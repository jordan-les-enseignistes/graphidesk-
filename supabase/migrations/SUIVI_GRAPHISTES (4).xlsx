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RDAN" sheetId="1" r:id="rId4"/>
    <sheet state="visible" name="CAROLE" sheetId="2" r:id="rId5"/>
    <sheet state="hidden" name="HUGO" sheetId="3" r:id="rId6"/>
    <sheet state="hidden" name="AUDREY" sheetId="4" r:id="rId7"/>
    <sheet state="visible" name="JULIETTE" sheetId="5" r:id="rId8"/>
    <sheet state="hidden" name="LAURIE" sheetId="6" r:id="rId9"/>
    <sheet state="hidden" name="GUILLAUME" sheetId="7" r:id="rId10"/>
    <sheet state="hidden" name="MARION" sheetId="8" r:id="rId11"/>
    <sheet state="visible" name="QUENTIN" sheetId="9" r:id="rId12"/>
    <sheet state="visible" name="ARCHIVE" sheetId="10" r:id="rId13"/>
    <sheet state="hidden" name="LUCIE" sheetId="11" r:id="rId14"/>
    <sheet state="hidden" name="MODELE_NG" sheetId="12" r:id="rId15"/>
    <sheet state="hidden" name="PAUL" sheetId="13" r:id="rId16"/>
    <sheet state="hidden" name="FRANK" sheetId="14" r:id="rId17"/>
    <sheet state="visible" name="STATS_2025" sheetId="15" r:id="rId18"/>
    <sheet state="hidden" name="STATS_2024" sheetId="16" r:id="rId19"/>
    <sheet state="visible" name="FRANCHISES" sheetId="17" r:id="rId20"/>
    <sheet state="hidden" name="JB" sheetId="18" r:id="rId21"/>
    <sheet state="hidden" name="MICKAEL" sheetId="19" r:id="rId22"/>
    <sheet state="hidden" name="DAVID" sheetId="20" r:id="rId23"/>
    <sheet state="hidden" name="TEST" sheetId="21" r:id="rId24"/>
    <sheet state="hidden" name="STATS_2023" sheetId="22" r:id="rId25"/>
    <sheet state="hidden" name="STATS_2022" sheetId="23" r:id="rId26"/>
    <sheet state="visible" name="PROJETS_INTERNE" sheetId="24" r:id="rId27"/>
    <sheet state="hidden" name="MARIE" sheetId="25" r:id="rId28"/>
    <sheet state="hidden" name="Feuille 5" sheetId="26" r:id="rId29"/>
  </sheets>
  <definedNames/>
  <calcPr/>
</workbook>
</file>

<file path=xl/sharedStrings.xml><?xml version="1.0" encoding="utf-8"?>
<sst xmlns="http://schemas.openxmlformats.org/spreadsheetml/2006/main" count="70400" uniqueCount="9220">
  <si>
    <t>JORDAN</t>
  </si>
  <si>
    <t>DOSSIER :</t>
  </si>
  <si>
    <t>DATE RAJOUT</t>
  </si>
  <si>
    <t>DDL. 1ERE REPONSE</t>
  </si>
  <si>
    <t>COM.</t>
  </si>
  <si>
    <t>DDL. COM.</t>
  </si>
  <si>
    <t>STATUT</t>
  </si>
  <si>
    <t>COMMENTAIRES :</t>
  </si>
  <si>
    <t>DOSSIER TERMINÉ :</t>
  </si>
  <si>
    <t>J</t>
  </si>
  <si>
    <t>Plaquette - Centre Service</t>
  </si>
  <si>
    <t>-</t>
  </si>
  <si>
    <t>! Urgent !</t>
  </si>
  <si>
    <t>FAUX</t>
  </si>
  <si>
    <t>Destia La Mure</t>
  </si>
  <si>
    <t>Attente R.</t>
  </si>
  <si>
    <t>BAT VT + BAT V1 envoyé le 19/12</t>
  </si>
  <si>
    <t>GDS Niort</t>
  </si>
  <si>
    <t>A faire</t>
  </si>
  <si>
    <t>Temporis Cannes</t>
  </si>
  <si>
    <t>Centre Services - Saint Brieuc</t>
  </si>
  <si>
    <t>Mairie</t>
  </si>
  <si>
    <t>BAT V1 franchiseur envoyé le 17/12 - Dossier mairie le 17/12</t>
  </si>
  <si>
    <t>Camif Habiat - Crapone</t>
  </si>
  <si>
    <t>BAT V1 + BAT VT + Adhésif provisoire fait le 16/12 - BAT V2 franchiseur le 19/12 - Ok franchiseur - BAT Franchisé le 22/12</t>
  </si>
  <si>
    <t>EDRA - Bertelli et Fils</t>
  </si>
  <si>
    <t>BAT V1 envoyé le 15/12 - V2 le 22/12</t>
  </si>
  <si>
    <t>Destia - Nogent sur Marne</t>
  </si>
  <si>
    <t>BAT VT + BAT V1 envoyé le 15/12</t>
  </si>
  <si>
    <t>Destia - Vincennes</t>
  </si>
  <si>
    <t>BAT V1 + BAT VT envoyé le 12/12</t>
  </si>
  <si>
    <t>Temporis Orly</t>
  </si>
  <si>
    <t>BAT VT + BAT V1 envoyé le 10/12 - BAT V2 le 16/12 - BAT Validé, mais attente de visite technique pour FAB</t>
  </si>
  <si>
    <t>Destia - Ajaccio</t>
  </si>
  <si>
    <t>BAT VT + BAT V1 envoyé le 18/11 - V2 le 09/12 - V3 le 18/12</t>
  </si>
  <si>
    <t>Destia - Lys</t>
  </si>
  <si>
    <t>BAT V1 envoyé le 25/11 - V2 envoyé le 03/12 - V3 le 04/12 - Passage du dossier en mairie côté client - BAT Mairie préparé</t>
  </si>
  <si>
    <t>GDS - Lyon Sud Ouest</t>
  </si>
  <si>
    <t>ta</t>
  </si>
  <si>
    <t>EDRA Touques Carrosserie Cuvilliez</t>
  </si>
  <si>
    <t>BAT V1 envoyé le 08/12 - V2 le 09/12</t>
  </si>
  <si>
    <t>Temporis - Marseille La Joliette</t>
  </si>
  <si>
    <t>BAT V1 envoyé le 01/12 - V2 le 05/12</t>
  </si>
  <si>
    <t>EDRA - Garage DMC</t>
  </si>
  <si>
    <t>BAT V1 envoyé le 01/12</t>
  </si>
  <si>
    <t>EDRA - Wasquehal - Alexandre</t>
  </si>
  <si>
    <t>BAT V1 envoyé le 27/11</t>
  </si>
  <si>
    <t>SERIMETAL</t>
  </si>
  <si>
    <t>BAT V1 envoyé le 24/11 en interne, attente validation pour envoi client - BAT envoyé au client le 25/11 - Relance le 27/11 - Relance le 01/12</t>
  </si>
  <si>
    <t>Temporis - Plaquette / Visuel changement de type d'enseigne</t>
  </si>
  <si>
    <t>V1 envoyé le 17/11</t>
  </si>
  <si>
    <t xml:space="preserve">Edra Carrosserie du Littoral Atlantique </t>
  </si>
  <si>
    <t>BAT V1 envoyé le 13/11 - BAT V2 envoyé le 20/11</t>
  </si>
  <si>
    <t>GDS Valence</t>
  </si>
  <si>
    <t>V1 envoyé à Sophie-Amélie le 03/11 - Pas de réponse de S.A. envoi au franchisée le 04/11 - V2 le 06/11 - V3 le 07/11 - Modif à faire - V4 le 13/11</t>
  </si>
  <si>
    <t>Centre services - Courbevoie - Extérieur</t>
  </si>
  <si>
    <t>BAT V1 franchiseur + BAT VT fait le 12/11</t>
  </si>
  <si>
    <t xml:space="preserve">Brenntag </t>
  </si>
  <si>
    <t>V1 envoyé le 04/11</t>
  </si>
  <si>
    <t>Reset Laser</t>
  </si>
  <si>
    <t>V1 faite le 03/09 - V2 à faire, premier retour fait le 08/09 - Nouvelle maquette via WhatsApp le 09/09 - Nouveau BAT complet le 11/09</t>
  </si>
  <si>
    <t>GDS - St Cloud</t>
  </si>
  <si>
    <t>V1 envoyé le 18/06 - V2 le 19/06 - Relance le 03/09</t>
  </si>
  <si>
    <t>Novi - Carcassonne</t>
  </si>
  <si>
    <t>BAT VT envoyé le 18/06 - BAT envoyé à MO le 24/06 - Modif le 23/10 - Modif le 05/11 - Relance le 12/03/25</t>
  </si>
  <si>
    <t xml:space="preserve">AXIAL PACHECO MC - 13_ENSUES-LA-REDONNE_PACHECO MC </t>
  </si>
  <si>
    <r>
      <rPr>
        <rFont val="Comfortaa"/>
        <b/>
        <color rgb="FFFF0000"/>
      </rPr>
      <t xml:space="preserve">REPRISE DOSSIER DE MARIE : </t>
    </r>
    <r>
      <rPr>
        <rFont val="Comfortaa"/>
        <color theme="1"/>
      </rPr>
      <t xml:space="preserve">BAT V1 - 29/10
Devis établi par la commerciale Sophie au mois de février et l'adhérent vient de le valider.
Attente validation d'Axial. </t>
    </r>
  </si>
  <si>
    <t xml:space="preserve">CO2410-2707_1 - Human Academy Europe </t>
  </si>
  <si>
    <r>
      <rPr>
        <rFont val="Comfortaa"/>
        <b/>
        <color rgb="FFFF0000"/>
      </rPr>
      <t xml:space="preserve">REPRISE DOSSIER DE MARIE : </t>
    </r>
    <r>
      <rPr>
        <rFont val="Comfortaa"/>
        <color theme="1"/>
      </rPr>
      <t xml:space="preserve"> BAT V1 - 17/10
BAT V2 - 19/11
FAB - 23/12
Projet bloqué à l'étape de validation mairie car le client doit faire des travaux sur sa façade mais la copropriété refuse.</t>
    </r>
  </si>
  <si>
    <t>a03028c7 - NOVI DRAGUIGNAN</t>
  </si>
  <si>
    <r>
      <rPr>
        <rFont val="Comfortaa"/>
        <b/>
        <color rgb="FFFF0000"/>
      </rPr>
      <t>REPRISE DOSSIER DE MARIE :</t>
    </r>
    <r>
      <rPr>
        <rFont val="Comfortaa"/>
        <color theme="1"/>
      </rPr>
      <t xml:space="preserve"> BAT VT - 22/07
BAT V1 Franchise - 05/11 
BAT V2 Franchise - 15/05
Relance - 06/02 - 17/04 - 28/05 
Demande arrêt des relances de Marie-Odile - 17/04
Attente validation BAT</t>
    </r>
  </si>
  <si>
    <t>e40a1a45 - NOVI YZEURE</t>
  </si>
  <si>
    <r>
      <rPr>
        <rFont val="Comfortaa"/>
        <b/>
        <color rgb="FFFF0000"/>
      </rPr>
      <t xml:space="preserve">REPRISE DOSSIER DE MARIE : </t>
    </r>
    <r>
      <rPr>
        <rFont val="Comfortaa"/>
        <color theme="1"/>
      </rPr>
      <t>BAT V1 Franchise - 18/10
 Relances - 06/02 - 17/04 - 28/05
Demande arrêt des relances de Marie-Odile - 17/04
Attente validation BAT</t>
    </r>
  </si>
  <si>
    <t>Centre services Brest - Extérieur</t>
  </si>
  <si>
    <t>BAT V1 + BAT VT envoyé le 04/11 - BAT V2 le 05/11 - BAT Mairie à faire VT reçue le 06/11 - BAT Mairie fait le 06/11 - Refus mairie le 15/12, nouveau BAT pour Ludovic le 15/12, attente de son retour pour refaire le prochain BAT Mairie - Nouveau BAT Mairie le 15/12</t>
  </si>
  <si>
    <t>Destia - Grenoble</t>
  </si>
  <si>
    <t>BAT V1 + BAT VT envoyé le 31/10 - V2 envoyé le 04/11 - V3 envoyé le 28/11 - Dossier mairie fait le 15/12</t>
  </si>
  <si>
    <t>Camif le Passage d'Agen</t>
  </si>
  <si>
    <t>BAT VT fait en urgence le 24/11 - Adhésif provisoire fait le 27/11 - BAT V1 franchiseur fait le 27/11 - V2 franchiseur le 28/11 - V3 franchiseur le 02/12 - V4 franchiseur le 04/12 - V5 franchiseur le 05/12 - Ok franchiseur - Envoie au franchisé le 08/12 - BAT Mairie fait le 08/12</t>
  </si>
  <si>
    <t>Centre services Landerneau - Extérieur</t>
  </si>
  <si>
    <t>BAT V1 + BAT VT envoyé le 05/11 - V2 le 10/11 - BAT Mairie fait le 10/11 (Avant FAB demander élements kir horaire)</t>
  </si>
  <si>
    <t>MR ENSEIGNES - Proxis Développement - Bioprox Sozio</t>
  </si>
  <si>
    <t>Reprise dossier de Marion &gt; 15/09 BAT V1 - 16/09 BAT V2 - 18/09 BAT V3 - BAT V4 le 23/09 - Attente retour de Flo car client mets en standby pour potentiel changement - Modification du BAT le 07/10 - Modification du BAT par Carole durant mes congés suite demande de Flo le 4/10 - Modif du BAT mairie le 05/11 - Retourne en mairie le 06/11</t>
  </si>
  <si>
    <t>Camif Habitat - Cholet</t>
  </si>
  <si>
    <t>V1 envoyé le 19/06 + Mail au client pour N° de téléphone pour l'adhésif provisoire - Adhésif provisoire Ok lancé en prod le 19/06 - V2 franchiseur envoyé le 03/07 - V3 franchiseur OK + formation QR Code + Envoi au franchisé le 03/07 - V4 le 04/07 - BAT Mairie réalisé le 07/07 - Refus mairie le 18/09 - Modif à faire - Modif faite le 22/09 et envoyé au franchiseur - Validation franchiseur ok, envoie au franchisé le 29/09, si validation refaire un dossier mairie - Nouvelle modif le 29/09 - Modif BAT mairie ok, retourne en mairie</t>
  </si>
  <si>
    <t>Novi - Narbonne Sembat</t>
  </si>
  <si>
    <t>BAT VT envoyé le 11/07 - BAT V1 envoyé le 23/07 - Relance le 12/03/25 - Attente retour Morgane</t>
  </si>
  <si>
    <t>Camif - Vienne</t>
  </si>
  <si>
    <t>M</t>
  </si>
  <si>
    <t>Stand-by</t>
  </si>
  <si>
    <t>BAT Global + BAT VT + BAT Provisoire envoyé le 28/03 - Relance le 09/04 - V2 le 09/04 - V3 le 24/04 - Relance le 13/05 - Relance tél + messagerie + mail le 20/05 - V4 le 21/05 - Relance téléphonique le 31/05 - V5 le 04/06 suite retour avec le franchiseur - BAT Mairie le 05/06 - Modif à faire suivant refus mairie du 30/06 - Mail et appel le 05/07 - le 10/07 - Attente retour environ 2 à 3 semaines - Nouveau BAT mairie le 25/07 - Pas de retour - Retour prévu le 22/08 d'après FP - Mail au client, refus mairie pas certains d'avoir compris, mail à Louise pour qu'elle contacte la mairie / les ABF le 17/10 - Nouveau BAT mairie le 02/12 - Nouveau BAT + BAT mairie le 04/03 (Attente validation Camif) + Nouveau BAT le 10/03 + Nouveau BAT le 20/03 - Nouvel accord Franchiseur le 20/03 - ENvoi au franchisé le 20/03 - Relance le 29/04 - Relance le 18/06 - FAB A FAIRE - Info de Marion, le client en a marre de la mairie il va repeindre sans attendre leur autorisation - Mail le 17 pour les infos du kit horaire - Relance le 21/07 pas de nouvelle - Relance au près de la franchise le 01/08 - Nouvelle relance au franchiseur PUIS au franchisé le 08/09 - Nouvelle relance le 23/09 ..... Relance au franchiseur en expliquant le blocage le 01/10 - Réponse du franchiseur le 01/10, on arrête les relances ils s'en occupent en interne avec des arguments contractuels</t>
  </si>
  <si>
    <t>Destia - Ormesson</t>
  </si>
  <si>
    <t>BAT VT le 04/03 - V1 envoyé le 12/03 - V2 le 25/03 - V3 le 26/03 - Validation BAT le 26/03 - BAT Mairie le 26/03 - Mail de Charlotte le 28/07 probable changement de local donc mise en stand-by du dossier</t>
  </si>
  <si>
    <t>MBB Levallois</t>
  </si>
  <si>
    <t>F</t>
  </si>
  <si>
    <r>
      <rPr>
        <rFont val="Comfortaa"/>
        <b/>
        <color rgb="FFFF0000"/>
      </rPr>
      <t>REPRISE DOSSIER LAURIE :</t>
    </r>
    <r>
      <rPr>
        <rFont val="Comfortaa"/>
        <color theme="1"/>
      </rPr>
      <t xml:space="preserve"> MAQUETTE ENVOYE LE 11/01 - maquette 2 le 22/01 - toujours en attente le 26/02 demandé à florent le 07/03 pas de news - Relance Flo le 15/05 - Attente cet été pour ce projet - Relance le 16/10 - Attente retour mairie</t>
    </r>
  </si>
  <si>
    <t>Novi - Vichy</t>
  </si>
  <si>
    <t>CAROLE</t>
  </si>
  <si>
    <t>C</t>
  </si>
  <si>
    <t>Les lunettes de tipo</t>
  </si>
  <si>
    <t>Cassy pâtisserie</t>
  </si>
  <si>
    <t>Viva Services Beziers</t>
  </si>
  <si>
    <t>SQ Lyon Croix Rousse exterieur</t>
  </si>
  <si>
    <t>BAT 1 envoyé
BAT 2 envoyé
BAT 3 envoyé
BAT 4 envoyé
BAT 5 envoyé
BAT 6 envoyé
BAT mairie fait le 16-10 
--refus mairie</t>
  </si>
  <si>
    <t>Euronet plaque</t>
  </si>
  <si>
    <t>BAT 1 envoyé le 22-12</t>
  </si>
  <si>
    <t>SQ CDF Jean Richard exterieur</t>
  </si>
  <si>
    <t>BAT VT fait le 18-08
BAT 1 envoyé le 22-08
Relance le 28-08
BAT 2 envoyé le 2-09
Dossier mairie à la charge du client - en attente de vaidation de sa part
Finalement c'est nous qui faisons le dossier mairie &gt; BAT mairie fait le 29-09
Nouveau BAt mairie fait le 1-12
-- Refus mairie
BAT renvoyé à Paul en attente de validation pour renvoie en mairie (BAT mairie prêt)</t>
  </si>
  <si>
    <t>SQ Bruz</t>
  </si>
  <si>
    <t>BAT 1 envoyé le 17-12</t>
  </si>
  <si>
    <t>RIA FR15933</t>
  </si>
  <si>
    <t>BAT 1 envoyé le 17-12
BAT  validé- attente VT et validation devis</t>
  </si>
  <si>
    <t>Les lunettes de tipo adh noel</t>
  </si>
  <si>
    <t xml:space="preserve">BAT 1 envoyé le 17-12
BAT 2 envoyé le 18-12
BAT 3 envoyé le 22-12
</t>
  </si>
  <si>
    <t>SQ Saulce</t>
  </si>
  <si>
    <t>BAT 1 envoyé le 16-12
Paul a mis en syand by le visuel</t>
  </si>
  <si>
    <t>Sequoia pressing</t>
  </si>
  <si>
    <t>Demande photo pour BAT VT envoyé le 16-12</t>
  </si>
  <si>
    <t>Inrae</t>
  </si>
  <si>
    <t>STAND BY - recontacter en Janvier</t>
  </si>
  <si>
    <t>SQ Sathonay</t>
  </si>
  <si>
    <t>BAT 1 envoyé le 15-12</t>
  </si>
  <si>
    <t>RIA FR17384</t>
  </si>
  <si>
    <t>BAT 1 envoyé le 11-12
BAT 2 envoyé le 15-12
BAT 3 envoyé le 16-12
BAT  validé- attente VT et validation devis</t>
  </si>
  <si>
    <t>RIA FR17204</t>
  </si>
  <si>
    <t>BAT 1 envoyé le 11-12
BAT 2 envoyé le 18-12
BAT  validé- attente VT et validation devis</t>
  </si>
  <si>
    <t>RIA FR6428</t>
  </si>
  <si>
    <t>BAT 1 envoyé le 10-12
BAT 2 envoyé le 18-12
BAT validé - attente VT et validation devis</t>
  </si>
  <si>
    <t>COURTIE EXPERT</t>
  </si>
  <si>
    <t>BAT 1 envoyé le 5-12
BAT 2 envoyé le 8-12
BAT 3 envoyé le 10-12</t>
  </si>
  <si>
    <t>VB Services</t>
  </si>
  <si>
    <t>BAT 1 envoyé le 8-12</t>
  </si>
  <si>
    <t>RIA FR15913</t>
  </si>
  <si>
    <t>BAT VT fait le 22-09
Relance le 4-12
BAT 1 envoyé le 4-12
BAT 2 envoyé le 8-12</t>
  </si>
  <si>
    <t>RIA FR17108</t>
  </si>
  <si>
    <t xml:space="preserve">BAT 1 envoyé le 3-12
BAT VT fait le 3-12
Relance le 4-12
BAT et devis validé - attente VT </t>
  </si>
  <si>
    <t>Euronet EDFR0139</t>
  </si>
  <si>
    <t>BAT VT fait le 2-12</t>
  </si>
  <si>
    <t>Euronet EDFR0153</t>
  </si>
  <si>
    <t>Euronet EDFR 0100</t>
  </si>
  <si>
    <t>Euronet EDFR-inconu</t>
  </si>
  <si>
    <t>SQ Rivesaltes Chrétien extérieur</t>
  </si>
  <si>
    <t>BAT 1 envoyé le 17-11
BAT VT fait le 17-11
BAT 2 envoyé le 2-12
BAT 3 envoyé me 8-12
BAT 4 envoyé le 9-12
BAT 5 envoyé le 10-12</t>
  </si>
  <si>
    <t>SQ Lingolsheim Exterieur</t>
  </si>
  <si>
    <t>BAT VT fait le 23-04
BAT 1 envoyé le 14-05
Relance le 14-05
BAT mairie fait le 12-06
Refus mairie - nouveau BAT en attente de validation envoyé à Paul le 1-12
Relance le 3-12
BAT 3 envoyé le 10-12</t>
  </si>
  <si>
    <t>SQ Taverny interieur</t>
  </si>
  <si>
    <t>Attente de brief
Relance le 11-12</t>
  </si>
  <si>
    <t>RIA FR12411</t>
  </si>
  <si>
    <t>BAT VT fait le 19-11
BAT 1 envoyé le 19-11
BAT 2 envoyé le 1-12
Relance le 4-12</t>
  </si>
  <si>
    <t>SQ Rivesaltes Chrétien interieur</t>
  </si>
  <si>
    <t>SQ Ramonville exterieur</t>
  </si>
  <si>
    <t>BAT VT fait le 22-10
BAT 1 envoyé le 22-10
BAT2 envoyé le 13-11
Dossier mairie à la charge du client
Relance le 3-12
Marie ok, on attends plus que la validation BAT</t>
  </si>
  <si>
    <t>SQ Ramonville interieur</t>
  </si>
  <si>
    <t>RIA FR4344</t>
  </si>
  <si>
    <t>BAT VT fait le 22-09
BAT 1 envoyé le 21-10
Relance le 4-12</t>
  </si>
  <si>
    <t>RIA FR16121</t>
  </si>
  <si>
    <t>BAT VT fait le 15-09
VT faite - attente maquette RIA
BAT 1 envoyé le 15-10
Relance le 4-12</t>
  </si>
  <si>
    <t>SQ Bretteville interieur</t>
  </si>
  <si>
    <t>RIA FR15777</t>
  </si>
  <si>
    <t>BAT VT fait le 11-09
Relance le 4-12
BAT 1 envoyé le 16-12</t>
  </si>
  <si>
    <t>SQ St Jean de Luz exterieur</t>
  </si>
  <si>
    <t xml:space="preserve">BAT VT fait le 27-03
BAT 1 envoyé le 10-06
BAT 2 envoyé le 12-06
BAT mairie fait le 12-06
Paul a changé d'avis après la validation - 
BAT 3 envoyé le 19-06
Relance le 23-06
Relance le 30-06
Relance le 24-07
BAT mairie fait le 28-07
la mairie refuse en lumineux, renvoiue du BAT à Paul le 4-09 &gt; attente validation pour mise en production.
Relance le 5-09
EN STANDBY AVEC LE CLIENT - ATTENTE QUE PAUL REVIENNE VERS NOUS - faire quand meme dans le recap
Relance le 2-10 </t>
  </si>
  <si>
    <t>SQ St Jean de Luz interieur</t>
  </si>
  <si>
    <t>Attente de brief
Relance le 6-05
BAT 1 envoyé le 4-06
Relance le 13-06
Relance le 23-06
Relance le 30-06 
Relance le 24-07
Relance le 20-08
Relance le 28-08
Relance le 5-09
Relance le 11-12</t>
  </si>
  <si>
    <t>SQ Nice Cessole interieur</t>
  </si>
  <si>
    <t>SQ Lyon Dauphiné interieur</t>
  </si>
  <si>
    <t>SQ Lyon Bollier interieur</t>
  </si>
  <si>
    <t>SQ Cergy interieur</t>
  </si>
  <si>
    <t>SQ Argeles sur mer interieur</t>
  </si>
  <si>
    <t>SQ Melun interieur</t>
  </si>
  <si>
    <t>Terra Lacta</t>
  </si>
  <si>
    <t>BAT V1 - 09/12
BAT V2 - 22/04
BAT V3 - 15/05
BAT V4 - 26/05
Projet bloqué, attente de validation par le siège Terra Lacta.
Reprise dossier Marie</t>
  </si>
  <si>
    <t>SQ Taverny exterieur</t>
  </si>
  <si>
    <t>BAT 1 envoyé le 25-11
BAT VT fait le 25-11
BAT 2 envoyé le 2-12
BAT mairie fait le 3-12</t>
  </si>
  <si>
    <t>Viva Services Rouen</t>
  </si>
  <si>
    <t xml:space="preserve">BAT 1 envoyé à la franchise et au franchisé le 3-11
BAT VT fait le 3-11
BAT 2 envoyé le 6-11
BAT 3 envoyé le 26-11
BAT 4 envoyé le 27-11
La franchise à validé - franchisé validé
BAT mairie fait le 2-12
</t>
  </si>
  <si>
    <t>SQ Argeles sur mer exterieur</t>
  </si>
  <si>
    <t>BAT 1 envoyé le 14-11
BAT VT fait le 14-11
BAT 2 envoyé le 25-11
BAT mairie fait le 27-11
mis à jour des dimensions le 1-12</t>
  </si>
  <si>
    <t>SQ Lyon Bollier exterieur</t>
  </si>
  <si>
    <t>BAT VT fait le 28-10
BAT 1 envoyé le 28-10
BAT 2 envoyé le 24-11
BAT mairie fait le 26-11</t>
  </si>
  <si>
    <t>SQ Melun exterieur</t>
  </si>
  <si>
    <t>BAT 1 envoyé le 13-11
BAT VT fait le 13-11
BAT mairie fait le 26-11</t>
  </si>
  <si>
    <t>SQ Gennevillier exterieur</t>
  </si>
  <si>
    <t>BAT VT fait le 1-07
BAT 1 envoyé le 2-07
BAT mairie fait le 21-07
BAT 2 envoyé le 24-11
BAT mairie fait le 24-11</t>
  </si>
  <si>
    <t>SQ Bruges Verdun exterieur</t>
  </si>
  <si>
    <t>BAT VT fait le 29-10
BAT 1 envoyé le 29-10
BAT  mairie fait le 21-11</t>
  </si>
  <si>
    <t>SQ Suresnes exterieur</t>
  </si>
  <si>
    <t xml:space="preserve">Mail à Nathan le 25-09
BAT VT fait le 29-09
BAT 1 envoyé le 6-10
BAT 2 envoyé le 13-10
BAT validé - en attente de VT pour dossier mairie
BAT 3 envoyé le 14-10
BAT 4 envoyé le 28-10
BAT 5 envoyé le 19-11
validé - BAT mairie fait le 19-11
</t>
  </si>
  <si>
    <t>SQ Cergy exterieur</t>
  </si>
  <si>
    <t>BAT VT fait le 28-10
BAT 1 envoyé le 28-10
BAT 2 envoyé le 6-11
nouveau BAT VT fait le 13-11
BAT 3 envoyé le 13-11
BAT mairie fait le 18-11</t>
  </si>
  <si>
    <t>SQ Caillan nouvelle enseigne</t>
  </si>
  <si>
    <t>la mairie a refusé le BAT, nouveau BAT envoyé le 10-11, attente validation pour envoi du nouveau dossier mairie : BAT mairie déjà pret
BAT validé - nouveau BAT mairie le 12-11</t>
  </si>
  <si>
    <t>SQ Lyon Dauphiné exterierieur</t>
  </si>
  <si>
    <t>BAT VT fait le 28-10
BAT 1 envoyé le 28-10
BAT mis à jour après VT le 5-11
BAT mairie fait le 5-11</t>
  </si>
  <si>
    <t>SQ Nice Cessole exterieur</t>
  </si>
  <si>
    <t>BAT VT fait le 29-10
BAT 1 envoyé le 29-10
BAT mis à jour le 5-11 suite VT
BAT mairie fait le 5-11</t>
  </si>
  <si>
    <t>SQ La Rochelle 
exterieur</t>
  </si>
  <si>
    <t>BAT 1 envoyé le 7-10
BAT VT fait le 7-10
BAT 2 envoyé le 16-10
BAT 3 envoyé le 27-10
BAT 4 envoyé le 30-10
BAT mairie fait le 30-10
BAT 5 envoyé le 27-11 &gt; validé</t>
  </si>
  <si>
    <t>Lady sushi</t>
  </si>
  <si>
    <t>Demande de photo faite le 9-07 
BAT 1 envoyé le 9-07
BAT mairie fait le 11-07
-----
Nouvelle direction sans demande mairie
BAT VT fait le 17-09
BAT 2 envoyé le 17-09
BAT 3 envoyé le 01-10
BAT 4 envoyé le 15-10
BAT 5 envoyé le 15-10
BAT mairie fait le 24-10</t>
  </si>
  <si>
    <t>SQ Paris Saussure exterieur</t>
  </si>
  <si>
    <t>Demande de photo sans la structure terrasse  faite à Nathan le 6-05
Relance Nathan le 11-06
BAT VT fait le 12-06
Relance le 23-06
Relance le 30-06 
BAT 1 envoyé le 2-07
BAT 2 envoyé le 8-07
Relance Marion pour la VT le 30-07
Relance Marion le 20-08
BAT 3 envoyé le 23-09
Validé le 24-09 - BAT mairie fait le 24-09</t>
  </si>
  <si>
    <t>SQ Chatenay Malabry exterieur</t>
  </si>
  <si>
    <t>BAT VT fait le 17-03
VT incomplete, demande complément le 14-04
BAT 1 envoyé le 14-05
Relance le 14-05
BAT mairie fait le 3-06
Refus mairie - nouveua BAT transmis le 29-07 &gt; en attente de validation pour renvoie en mairie
BAT mairie fait le 29-07
Refus mairie
BAT mairie renvoyé le 28-08</t>
  </si>
  <si>
    <t>H</t>
  </si>
  <si>
    <t>AUDREY</t>
  </si>
  <si>
    <t>A</t>
  </si>
  <si>
    <t>Fiches produit</t>
  </si>
  <si>
    <t>Lobby Guys Voiron</t>
  </si>
  <si>
    <t>Lobby Guys adhésifs machine</t>
  </si>
  <si>
    <t>19/12 BAT envoyé</t>
  </si>
  <si>
    <t xml:space="preserve">[EDRA S.A] 69_CALUIRE ET CUIRE_DICK AUTO remplace la CO2410-2779 (reprendre l'historique) </t>
  </si>
  <si>
    <t>17/12 BAT envoyé</t>
  </si>
  <si>
    <t>ROMEROLAND</t>
  </si>
  <si>
    <t>Projet lancé OK
Adhésifs horaires à faire et expédier quand le client connaitra ses horaires d'ouverture
01/10 relance mail pour adhésif</t>
  </si>
  <si>
    <t>EDRA S.A - 42_SAINT PRIEST EN JAREZ_CARROSSERIE FAYOLLE</t>
  </si>
  <si>
    <t>S</t>
  </si>
  <si>
    <t>Pb en 2 parties &gt; attente devis en 1 partie pour renvoyer le BAT</t>
  </si>
  <si>
    <t>[EDRA S.A] 95_OSNY_CARROSSERIE JAMES - BAT mairie</t>
  </si>
  <si>
    <t>LES COCOTTES ROUSSES</t>
  </si>
  <si>
    <t>En cours</t>
  </si>
  <si>
    <t>COMMANDE TOILE nouveau format
10/12 demande de devis
11/12 Commande lancée chez SUn &amp; Lux</t>
  </si>
  <si>
    <t>EDRA S.A - 78_COIGNIERES_PRO AUTO</t>
  </si>
  <si>
    <t>Refab a venir &gt; attente validation client du devis de Sophie. 
Si il est validé telquel, j'ai préparé, sur le serveur et sur les tâches FP :
- le nouveau BAT a envoyer
- Le BAT pour la fab avec des indications pour la pose
- Les fichiers de FAB</t>
  </si>
  <si>
    <t>EDRA S.A - 77_ST THIBAULT DES VIGNES_OLYMPIC GARAGE</t>
  </si>
  <si>
    <t>Commande ST en cours puis fichier de fab</t>
  </si>
  <si>
    <t>EDRA S.A - 91_MENNECY_GARAGE CHRISTOPHE GENET</t>
  </si>
  <si>
    <t>08/11 envoi BAT 
ensuite BAT mairie</t>
  </si>
  <si>
    <t>[EDRA S.A] 38_BOURGOIN JALLIEU_BELLET AUTOMOBILES</t>
  </si>
  <si>
    <t>[Boulangerie Thévenet] TOTEM panneau</t>
  </si>
  <si>
    <t>09/07 Appeler client, la cliente amis un stand-by par mail le 09/07
21/10 relance mail</t>
  </si>
  <si>
    <t>CO2410-2843_1 - EDRA S.A - EDRA S.A - 71_MACON_CARROSSERIE DARNAND - REFAB PANNEAUX</t>
  </si>
  <si>
    <t>Refab avec bonnes dimensions / attente devis</t>
  </si>
  <si>
    <t>CO2410-2895_1 - EDRA S.A - AXIAL COIGNIERES - REFAB PANNEAUX 2 ET 3</t>
  </si>
  <si>
    <t>Refab avec bonnes dimensions / attente devis
Fichiers pret si devis validé sans changement</t>
  </si>
  <si>
    <t>JULIETTE</t>
  </si>
  <si>
    <t>JU</t>
  </si>
  <si>
    <t>SAS 2 big 1 Flyer professionnel</t>
  </si>
  <si>
    <t>à commencer 
(on a déjà fait 2 flyer R/V il en reste à faire et à commander en 1000 exempalires - à confirmer avec le client)</t>
  </si>
  <si>
    <t xml:space="preserve">CO2510-4363_1 - RENOVERT - VALLET </t>
  </si>
  <si>
    <r>
      <rPr>
        <rFont val="Comfortaa"/>
        <color rgb="FF000000"/>
      </rPr>
      <t xml:space="preserve">BAT V1 - 15/10 
BAT V2 - 15/10
BAT V3 - 16/10
BAT V4 - 22/10
BAT validé le 8/12
</t>
    </r>
    <r>
      <rPr>
        <rFont val="Comfortaa"/>
        <b/>
        <color rgb="FFFF6D01"/>
      </rPr>
      <t>BAT à modifié suivant retour par mail</t>
    </r>
  </si>
  <si>
    <t xml:space="preserve">CMD Lyon enseigne </t>
  </si>
  <si>
    <r>
      <rPr>
        <rFont val="Comfortaa"/>
        <b val="0"/>
        <color rgb="FF000000"/>
      </rPr>
      <t>BAT le 8/12</t>
    </r>
    <r>
      <rPr>
        <rFont val="Comfortaa"/>
        <b/>
        <color rgb="FFFF6D01"/>
      </rPr>
      <t xml:space="preserve">
</t>
    </r>
    <r>
      <rPr>
        <rFont val="Comfortaa"/>
        <b val="0"/>
        <color rgb="FF000000"/>
      </rPr>
      <t xml:space="preserve">Retour le 17/12  (d'autres retour entres temps par mail)
</t>
    </r>
    <r>
      <rPr>
        <rFont val="Comfortaa"/>
        <b/>
        <color rgb="FFFF6D01"/>
      </rPr>
      <t>BAT à faire</t>
    </r>
  </si>
  <si>
    <t>Urbencea</t>
  </si>
  <si>
    <r>
      <rPr>
        <rFont val="Comfortaa"/>
        <b val="0"/>
        <color rgb="FF000000"/>
      </rPr>
      <t>BAT v1 envoyé le 17/12
BAT v2 envoyé le 17/12</t>
    </r>
    <r>
      <rPr>
        <rFont val="Comfortaa"/>
        <b/>
        <color rgb="FFFF6D01"/>
      </rPr>
      <t xml:space="preserve">
BAT v3 à faire</t>
    </r>
  </si>
  <si>
    <t>GUY HOQUET Nation</t>
  </si>
  <si>
    <t>À relancer</t>
  </si>
  <si>
    <r>
      <rPr>
        <rFont val="Comfortaa"/>
        <color theme="1"/>
      </rPr>
      <t xml:space="preserve">le franchisé est en cours de négociation avec le syndic de l'immeuble, à relancer à la fin du mois 
relance le 23/006
relanceer le 20/08
Relancer le 8/09 par tel et whatsapp
</t>
    </r>
    <r>
      <rPr>
        <rFont val="Comfortaa"/>
        <b/>
        <color rgb="FFFF6D01"/>
      </rPr>
      <t>Rien à faire mais ça serait cool de le relancer</t>
    </r>
  </si>
  <si>
    <t>GUY HOQUET Chartes</t>
  </si>
  <si>
    <r>
      <rPr>
        <rFont val="Comfortaa"/>
        <color theme="1"/>
      </rPr>
      <t xml:space="preserve">Bloquer car devis pas payer
BAT v2 le 16/07 
BAT envoyé le 3/09 au franchisé, en attente de sa validation
</t>
    </r>
    <r>
      <rPr>
        <rFont val="Comfortaa"/>
        <b/>
        <color rgb="FFFF6D01"/>
      </rPr>
      <t>Rien à faire mais ça serait cool de le relancer</t>
    </r>
  </si>
  <si>
    <t>Novi - Annecy Sommeiller</t>
  </si>
  <si>
    <r>
      <rPr>
        <rFont val="Comfortaa"/>
        <color theme="1"/>
      </rPr>
      <t xml:space="preserve">BAT VT envoyé le 22/07
BAT V1 envoyé le 7/10
BAT v2 envoyé le 21/10
</t>
    </r>
    <r>
      <rPr>
        <rFont val="Comfortaa"/>
        <b/>
        <color rgb="FFFF6D01"/>
      </rPr>
      <t>Rien à faire relancé la franchisé pour la siganture de son BAT</t>
    </r>
  </si>
  <si>
    <t>Bureau vallée L'isle adam</t>
  </si>
  <si>
    <r>
      <rPr>
        <rFont val="Comfortaa"/>
        <color theme="1"/>
      </rPr>
      <t xml:space="preserve">BAT le 3/06
relance le 23/06
Client transmet à la centrale le 30/06
relance le 20/08 par mail
</t>
    </r>
    <r>
      <rPr>
        <rFont val="Comfortaa"/>
        <b/>
        <color rgb="FFFF6D01"/>
      </rPr>
      <t>Rien à faire - relance à faire</t>
    </r>
  </si>
  <si>
    <t>Viva service Chambéry</t>
  </si>
  <si>
    <r>
      <rPr>
        <rFont val="Comfortaa"/>
        <color theme="1"/>
      </rPr>
      <t xml:space="preserve">BAT VT le 2/04
BAT le 3/04 chez franchise
BAT franchisé le 4/04 attente validation
BAT mairie le 10/04
BAT renvoyé le 29/08 suite retour mairie
</t>
    </r>
    <r>
      <rPr>
        <rFont val="Comfortaa"/>
        <b/>
        <color rgb="FFFF6D01"/>
      </rPr>
      <t xml:space="preserve">Rien à faire - Sara le relance en parallèle 
</t>
    </r>
    <r>
      <rPr>
        <rFont val="Comfortaa"/>
        <color theme="1"/>
      </rPr>
      <t xml:space="preserve">Relance possible </t>
    </r>
  </si>
  <si>
    <t xml:space="preserve">HD Audition </t>
  </si>
  <si>
    <r>
      <rPr>
        <rFont val="Comfortaa"/>
        <b/>
        <color rgb="FF000000"/>
      </rPr>
      <t>BAT le 25/09
BAT v2 envoyé le 1/10</t>
    </r>
    <r>
      <rPr>
        <rFont val="Comfortaa"/>
        <b/>
        <color rgb="FFFF6D01"/>
      </rPr>
      <t xml:space="preserve">
à relancer</t>
    </r>
  </si>
  <si>
    <t xml:space="preserve">TC REtails </t>
  </si>
  <si>
    <r>
      <rPr>
        <rFont val="Comfortaa"/>
        <color theme="1"/>
      </rPr>
      <t xml:space="preserve">BAT envoyé le 13/11
</t>
    </r>
    <r>
      <rPr>
        <rFont val="Comfortaa"/>
        <b/>
        <color rgb="FFFF6D01"/>
      </rPr>
      <t>à relancer</t>
    </r>
  </si>
  <si>
    <t>Gacem studio</t>
  </si>
  <si>
    <r>
      <rPr>
        <rFont val="Comfortaa"/>
        <color theme="1"/>
      </rPr>
      <t xml:space="preserve">BAT envoyé le 4/09
</t>
    </r>
    <r>
      <rPr>
        <rFont val="Comfortaa"/>
        <b/>
        <color rgb="FFFF9900"/>
      </rPr>
      <t>à relancer</t>
    </r>
  </si>
  <si>
    <t>Novi - Aix les Bains</t>
  </si>
  <si>
    <r>
      <rPr>
        <rFont val="Comfortaa"/>
        <color theme="1"/>
      </rPr>
      <t xml:space="preserve">BAT VT envoyé le 18/07
BAT v1 envoye lé 01/10
BAT le 27/05 
Voir avec morgane les dimensions qui ont été prises </t>
    </r>
    <r>
      <rPr>
        <rFont val="Comfortaa"/>
        <color rgb="FFFF6D01"/>
      </rPr>
      <t xml:space="preserve">
</t>
    </r>
    <r>
      <rPr>
        <rFont val="Comfortaa"/>
        <b/>
        <color theme="1"/>
      </rPr>
      <t xml:space="preserve">Bat fait  avec retours mairie (infos demandé  à Marion G)
</t>
    </r>
    <r>
      <rPr>
        <rFont val="Comfortaa"/>
        <color theme="1"/>
      </rPr>
      <t>Envoyé le 26/09
BAT mairie  à faire en ajoutant un drapeau non lumineux  fait le 24/11</t>
    </r>
    <r>
      <rPr>
        <rFont val="Comfortaa"/>
        <b/>
        <color rgb="FFFF6D01"/>
      </rPr>
      <t xml:space="preserve">
</t>
    </r>
    <r>
      <rPr>
        <rFont val="Comfortaa"/>
        <color theme="1"/>
      </rPr>
      <t xml:space="preserve">le 2/12 &gt; réception d'un nouveau retour mairie par Marion Gay &gt; 
1,regarder les prescritpion 
2. Modifier maquette en suivant 
3, Modifier maquette en tenant compte des ajouts demandées par Marie-Odile en parallèle
4, faire validé le tout à Marie-Odile
5, demander un nouveau devis à Michael 
</t>
    </r>
    <r>
      <rPr>
        <rFont val="Comfortaa"/>
        <b/>
        <color theme="1"/>
        <sz val="12.0"/>
      </rPr>
      <t xml:space="preserve">OK ALORS VOILA Où ON EN EST :
</t>
    </r>
    <r>
      <rPr>
        <rFont val="Comfortaa"/>
        <color theme="1"/>
      </rPr>
      <t>Le dernier BAT en date est presque validé
Les retour mairie sont bien pris en compte
Le dernier point pas validé, c'est que le franchisé (M,Bergerat) veut que son enseigne principale (N1 - N2) soit lumineuse
Mais techniquement pas possible avec un panneau + des lettres il faudrait un caisson (mais caisson refusé par la mairie) 
Donc pas le choix que de faire une rampe lumineuse (vu avec Léa), je lui ai envoyé par mail cette proposition 'le 17/12/2025)
Attente de son retour et il faudra refaire devisé à Michael et qu'il vérifie bien que tout ce qu'il y a au BAT est bien dans le devis</t>
    </r>
  </si>
  <si>
    <t>BCR ASSET MANAGEMENT</t>
  </si>
  <si>
    <r>
      <rPr>
        <rFont val="Comfortaa"/>
        <b val="0"/>
        <color rgb="FF000000"/>
      </rPr>
      <t xml:space="preserve">BAT VT Et BAT fait le 4/12
BAT validé par Maureen le 9/12 attente VT pour envoyé le BAT à franchisé
VT le 16/12
BAT franchisé le 17/12
</t>
    </r>
    <r>
      <rPr>
        <rFont val="Comfortaa"/>
        <b/>
        <color rgb="FFFF6D01"/>
      </rPr>
      <t>Attente retour - rien à faire</t>
    </r>
  </si>
  <si>
    <t>Guy Hoquet Chelles</t>
  </si>
  <si>
    <r>
      <rPr>
        <rFont val="Comfortaa"/>
        <color theme="1"/>
      </rPr>
      <t xml:space="preserve">BAT v1 envoyé le 3/07
BAT v2 envoyé le 8/07
BAT franchisé envoyé le 8/07
Relance par mail le 20/08
</t>
    </r>
    <r>
      <rPr>
        <rFont val="Comfortaa"/>
        <b/>
        <color theme="8"/>
      </rPr>
      <t xml:space="preserve">Demande d'ajout d'un panneau sous l'enseigne principale 
</t>
    </r>
    <r>
      <rPr>
        <rFont val="Arial"/>
        <color theme="1"/>
      </rPr>
      <t xml:space="preserve">BAT envoyé le 12/12 et retour dans la journée
demande à avoir aussi la partie verticale avec un panneau mais pas compris dans le devis
Je lui ai fait un mail le 17/12 pour lui dire que c'ets pas compris dans le prix et qu'une mise en peinture serait mieux
Attente de retour de sa part + lui redemander les cotes des deux boitiers en haut et gauche de chaque coté qui vont géné le panneau
</t>
    </r>
    <r>
      <rPr>
        <rFont val="Arial"/>
        <b/>
        <color theme="8"/>
      </rPr>
      <t>Attente retour rien à faire</t>
    </r>
  </si>
  <si>
    <t>Novi - Bischheim</t>
  </si>
  <si>
    <r>
      <rPr>
        <rFont val="Comfortaa"/>
        <color theme="1"/>
      </rPr>
      <t xml:space="preserve">BAT VT envoyé le 11/07
BAT v1 envoyé le 19/09
BAT v2 envoyé le 21/10
</t>
    </r>
    <r>
      <rPr>
        <rFont val="Comfortaa"/>
        <b/>
        <color rgb="FFFF9900"/>
      </rPr>
      <t>Rien à faire</t>
    </r>
  </si>
  <si>
    <t>Novi - St Julien en Genevois</t>
  </si>
  <si>
    <r>
      <rPr>
        <rFont val="Comfortaa"/>
        <color theme="1"/>
      </rPr>
      <t xml:space="preserve">Dossier à prioriser (Mail du 06/09) - BAT VT envoyé le 22/07
BAT V1 envoyé le 11/09
</t>
    </r>
    <r>
      <rPr>
        <rFont val="Comfortaa"/>
        <b/>
        <color rgb="FFFF9900"/>
      </rPr>
      <t>Rien à faire</t>
    </r>
  </si>
  <si>
    <t>Novi - Chateauroux</t>
  </si>
  <si>
    <r>
      <rPr>
        <rFont val="Comfortaa"/>
        <color theme="1"/>
      </rPr>
      <t xml:space="preserve">BAT VT envoyé le 10/07
Photoshop bug...
BAT V1 envoyé le 13/09
BAT v2 envoyé le 21/10
</t>
    </r>
    <r>
      <rPr>
        <rFont val="Comfortaa"/>
        <b/>
        <color rgb="FFFF6D01"/>
      </rPr>
      <t>Rien à faire</t>
    </r>
  </si>
  <si>
    <t>Novi - Dinan</t>
  </si>
  <si>
    <r>
      <rPr>
        <rFont val="Comfortaa"/>
        <color theme="1"/>
      </rPr>
      <t xml:space="preserve">BAT VT envoyé le 11/07
BAT VT n°2 envoyé le 11/09
BAT VT 2 reçu le 18/09
BAT v1 envoyé le 18/09
BAT v2 envoyé le 21/10
</t>
    </r>
    <r>
      <rPr>
        <rFont val="Comfortaa"/>
        <b/>
        <color theme="8"/>
      </rPr>
      <t>Rien à faire</t>
    </r>
  </si>
  <si>
    <t>Novi - Bassens</t>
  </si>
  <si>
    <r>
      <rPr>
        <rFont val="Comfortaa"/>
        <color theme="1"/>
      </rPr>
      <t xml:space="preserve">BAT VT envoyé le 18/07
BAT v1 envoyé le 9/10
</t>
    </r>
    <r>
      <rPr>
        <rFont val="Comfortaa"/>
        <b/>
        <color rgb="FFFF6D01"/>
      </rPr>
      <t>Rien à faire</t>
    </r>
  </si>
  <si>
    <t>Novi - Lyon Charité</t>
  </si>
  <si>
    <r>
      <rPr>
        <rFont val="Comfortaa"/>
        <color theme="1"/>
      </rPr>
      <t xml:space="preserve">BAT VT fait par Jordan le 11/09
BAT v1 envoyé le 23/09
</t>
    </r>
    <r>
      <rPr>
        <rFont val="Comfortaa"/>
        <b/>
        <color rgb="FFFF6D01"/>
      </rPr>
      <t>Rien à faire - projet archivé sur FP jsp pq</t>
    </r>
  </si>
  <si>
    <t xml:space="preserve"> </t>
  </si>
  <si>
    <t>Novi - Lyon Vitton</t>
  </si>
  <si>
    <r>
      <rPr>
        <rFont val="Comfortaa"/>
        <color theme="1"/>
      </rPr>
      <t xml:space="preserve">BAT VT fait par Jordan le 11/10
BAT v1 envoyé le 23/09
</t>
    </r>
    <r>
      <rPr>
        <rFont val="Comfortaa"/>
        <b/>
        <color rgb="FFFF6D01"/>
      </rPr>
      <t>Rien à faire - projet archivé sur FP jsp pq</t>
    </r>
  </si>
  <si>
    <t>Novi Lyon Neuve</t>
  </si>
  <si>
    <r>
      <rPr>
        <rFont val="Comfortaa"/>
        <color theme="1"/>
      </rPr>
      <t xml:space="preserve">BAT VT fait par Jordan le 11/11
BAT v1 envoyé le 23/09
</t>
    </r>
    <r>
      <rPr>
        <rFont val="Comfortaa"/>
        <b/>
        <color theme="8"/>
      </rPr>
      <t>Rien à faire - projet archivé sur FP jsp pq</t>
    </r>
  </si>
  <si>
    <t>Novi - Cournon D'auvergne</t>
  </si>
  <si>
    <r>
      <rPr>
        <rFont val="Comfortaa"/>
        <color theme="1"/>
      </rPr>
      <t xml:space="preserve">BAT VT envoyé le 11/07
BAT v1 envoyé le 17/09
BAT v2 envoyé le 19/12
</t>
    </r>
    <r>
      <rPr>
        <rFont val="Comfortaa"/>
        <b/>
        <color rgb="FFFF6D01"/>
      </rPr>
      <t>Rien à faire</t>
    </r>
  </si>
  <si>
    <r>
      <rPr>
        <rFont val="docs-Comfortaa"/>
        <color rgb="FF000000"/>
      </rPr>
      <t>Novi - Cran Gevrier</t>
    </r>
  </si>
  <si>
    <r>
      <rPr>
        <rFont val="Comfortaa"/>
        <color theme="1"/>
      </rPr>
      <t xml:space="preserve">BAT VT envoyé le 22/07
BAT v1 envoyé le 9/10
</t>
    </r>
    <r>
      <rPr>
        <rFont val="Comfortaa"/>
        <b/>
        <color theme="8"/>
      </rPr>
      <t>Rien à faire</t>
    </r>
  </si>
  <si>
    <t>Novi - Annecy Prefecture</t>
  </si>
  <si>
    <r>
      <rPr>
        <rFont val="Comfortaa"/>
        <color theme="1"/>
      </rPr>
      <t xml:space="preserve">BAT VT envoyé le 18/07
BAT V1 envoyé le 25/09
</t>
    </r>
    <r>
      <rPr>
        <rFont val="Comfortaa"/>
        <b/>
        <color theme="8"/>
      </rPr>
      <t>Rien à faire</t>
    </r>
  </si>
  <si>
    <t>Novi - Bruz</t>
  </si>
  <si>
    <r>
      <rPr>
        <rFont val="Comfortaa"/>
        <color theme="1"/>
      </rPr>
      <t xml:space="preserve">BAT VT envoyé le 10/07
Besoin photo supplémentaire, demande envoyé le 12/09
BAT v1 envoyé le 28/11
BAT V2 envoyé le 29/11
</t>
    </r>
    <r>
      <rPr>
        <rFont val="Comfortaa"/>
        <b/>
        <color theme="8"/>
      </rPr>
      <t>Rien à faire</t>
    </r>
  </si>
  <si>
    <t xml:space="preserve">Synagogue Villeurbanne </t>
  </si>
  <si>
    <r>
      <rPr>
        <rFont val="Comfortaa"/>
        <color theme="1"/>
      </rPr>
      <t xml:space="preserve">BAT envoyé le 24/11
</t>
    </r>
    <r>
      <rPr>
        <rFont val="Comfortaa"/>
        <b/>
        <color theme="8"/>
      </rPr>
      <t xml:space="preserve">Attente retour - Rien à faire </t>
    </r>
  </si>
  <si>
    <t xml:space="preserve">CO2502-3448 - MR ENSEIGNES - SMASH BRO </t>
  </si>
  <si>
    <r>
      <rPr>
        <rFont val="Comfortaa"/>
        <i val="0"/>
        <color rgb="FF000000"/>
      </rPr>
      <t>BAT V1 - 06/05
BAT V2 - 28/05
BAT Mairie - 07/03
Refus Mairie - 01/10</t>
    </r>
    <r>
      <rPr>
        <rFont val="Comfortaa"/>
        <i/>
        <color rgb="FF999999"/>
      </rPr>
      <t xml:space="preserve">
Attente retour client.</t>
    </r>
  </si>
  <si>
    <t xml:space="preserve">efdd92cb - NOVI PUGET-SUR-ARGENS </t>
  </si>
  <si>
    <r>
      <rPr>
        <rFont val="Comfortaa"/>
        <color theme="1"/>
      </rPr>
      <t>BAT VT - 22/07
BAT V1 Franchise - 06/11
Relance - 06/02 - 17/04 - 28/05 
Demande arrêt des relances de Marie-Odile - 17/04</t>
    </r>
    <r>
      <rPr>
        <rFont val="Comfortaa"/>
        <b/>
        <color theme="1"/>
      </rPr>
      <t xml:space="preserve">
</t>
    </r>
    <r>
      <rPr>
        <rFont val="Comfortaa"/>
        <i/>
        <color rgb="FF999999"/>
      </rPr>
      <t>Attente validation BAT</t>
    </r>
  </si>
  <si>
    <t>ad0458e5 - NOVI EVREUX ✅</t>
  </si>
  <si>
    <r>
      <rPr>
        <rFont val="Comfortaa"/>
        <color theme="1"/>
      </rPr>
      <t xml:space="preserve"> BAT VT - 10/07 
BAT V1 Franchise - 16/09
BAT V2 Franchise - 22/10 
Relance - 06/02 - 17/04 - 28/05 
Demande arrêt des relances de Marie-Odile - 17/04
</t>
    </r>
    <r>
      <rPr>
        <rFont val="Comfortaa"/>
        <i/>
        <color rgb="FF999999"/>
      </rPr>
      <t>Attente validation BAT</t>
    </r>
  </si>
  <si>
    <t>Lobby Guys</t>
  </si>
  <si>
    <r>
      <rPr>
        <rFont val="Comfortaa"/>
        <color theme="1"/>
      </rPr>
      <t xml:space="preserve">BAT v1 envoyé le 16/12
</t>
    </r>
    <r>
      <rPr>
        <rFont val="Comfortaa"/>
        <b/>
        <color theme="8"/>
      </rPr>
      <t>Attente retour - Rien à faire</t>
    </r>
  </si>
  <si>
    <t>Brenntag SA</t>
  </si>
  <si>
    <r>
      <rPr>
        <rFont val="Comfortaa"/>
        <color rgb="FFFF6D01"/>
      </rPr>
      <t>BAT à faire</t>
    </r>
    <r>
      <rPr>
        <rFont val="Comfortaa"/>
        <color theme="1"/>
      </rPr>
      <t xml:space="preserve"> mais pas de visuel dans le brief &gt; relancer Michael pour avoir le visuel (le lien sur FP marche pas)
BAT le 8/12
</t>
    </r>
    <r>
      <rPr>
        <rFont val="Comfortaa"/>
        <b/>
        <color rgb="FFFF6D01"/>
      </rPr>
      <t>Attente retour - rien à faire</t>
    </r>
  </si>
  <si>
    <t xml:space="preserve">GH NANTES </t>
  </si>
  <si>
    <r>
      <rPr>
        <rFont val="Comfortaa"/>
        <color theme="1"/>
      </rPr>
      <t xml:space="preserve">BAT V1 le 25/02
BAT v2 le 12/03
BAT v3 le 18/03
VAT v4 le 31/03
BAT v5 le 8/04
BAT franchise le 8/04
Mairie + retour mairie
</t>
    </r>
    <r>
      <rPr>
        <rFont val="Comfortaa"/>
        <color theme="8"/>
      </rPr>
      <t xml:space="preserve">BAT le 13/10 et relance le 14/10
BAT v6 renvoyé suite retour franchise le 16/10 &gt; attente validation
</t>
    </r>
    <r>
      <rPr>
        <rFont val="Comfortaa"/>
        <b/>
        <color theme="8"/>
      </rPr>
      <t>Rein à faire</t>
    </r>
  </si>
  <si>
    <t xml:space="preserve">GUY HOQUET Saint Pierre La Mer </t>
  </si>
  <si>
    <r>
      <rPr>
        <rFont val="Comfortaa"/>
        <color theme="1"/>
      </rPr>
      <t xml:space="preserve">En attente validation, relancé le 13/02
BAT mairie le 17/04
enlever les coffrage
BAT renvoyé le 25/08 suite retour mairie
</t>
    </r>
    <r>
      <rPr>
        <rFont val="Comfortaa"/>
        <b/>
        <color rgb="FFFF6D01"/>
      </rPr>
      <t>BAT mairie fait le 21/09 - rien à faire</t>
    </r>
  </si>
  <si>
    <t xml:space="preserve">CO2506-3919_1 - RENOVERT - AIX EN PROVENCE </t>
  </si>
  <si>
    <r>
      <rPr>
        <rFont val="Comfortaa"/>
        <color theme="1"/>
      </rPr>
      <t xml:space="preserve">BAT V1 - 24/07
BAT V2  - 29/07 
BAT V3 - 01/08 
BAT V4 - 04/08
BAT V5 - 08/08
BAT V6 - 15/09
BAT V7 - 18/09
BAT V8 - 06/10
</t>
    </r>
    <r>
      <rPr>
        <rFont val="Comfortaa"/>
        <i/>
        <color rgb="FF666666"/>
      </rPr>
      <t>BAT partie 1 validé, fabriqué et posé
BAT partie 2 attente validation mairie</t>
    </r>
  </si>
  <si>
    <t xml:space="preserve">Juri Gestion </t>
  </si>
  <si>
    <r>
      <rPr>
        <rFont val="Comfortaa"/>
        <b/>
        <color rgb="FF000000"/>
      </rPr>
      <t>BAT (mise en page) à faire + appel client
BAT envoyé le 15/10</t>
    </r>
    <r>
      <rPr>
        <rFont val="Comfortaa"/>
        <b/>
        <color rgb="FFFF6D01"/>
      </rPr>
      <t xml:space="preserve">
</t>
    </r>
    <r>
      <rPr>
        <rFont val="Comfortaa"/>
        <b val="0"/>
        <color rgb="FF000000"/>
      </rPr>
      <t xml:space="preserve">Retour reçu le 15/10
</t>
    </r>
    <r>
      <rPr>
        <rFont val="Comfortaa"/>
        <b/>
        <color rgb="FFFF6D01"/>
      </rPr>
      <t>Carte de visite et ppage de garde envoyé mais attente d'envoie de coordonée pour lancer la prod des carte de visits</t>
    </r>
  </si>
  <si>
    <t>Beelodge - Atelier 80</t>
  </si>
  <si>
    <r>
      <rPr>
        <rFont val="Comfortaa"/>
        <color theme="1"/>
      </rPr>
      <t xml:space="preserve">BAT VT à faire suivant photos de Zoé ( en attente de We trasnfer)
BAT v1 envoyé le 21/08
</t>
    </r>
    <r>
      <rPr>
        <rFont val="Comfortaa"/>
        <b/>
        <color rgb="FFFF9900"/>
      </rPr>
      <t>Projet en Attente de Beelodge (ils sont souvent très long à valider le BAT et le devis)</t>
    </r>
  </si>
  <si>
    <t xml:space="preserve">CSE DASSAULT Aviation </t>
  </si>
  <si>
    <r>
      <rPr>
        <rFont val="Comfortaa"/>
        <color theme="1"/>
      </rPr>
      <t xml:space="preserve">BAT à faire 
Attente fichier client
</t>
    </r>
    <r>
      <rPr>
        <rFont val="Comfortaa"/>
        <b/>
        <color theme="8"/>
      </rPr>
      <t>Rien à faire (Avner a relancé une fois de plus le 9/09)</t>
    </r>
  </si>
  <si>
    <t>BEELODGE - Lyon 5</t>
  </si>
  <si>
    <r>
      <rPr>
        <rFont val="Comfortaa"/>
        <color theme="1"/>
      </rPr>
      <t xml:space="preserve">BAT VT le 3/04
BAT v1 le 15/04
Attente éléments suppléentaires
BAT le 9/06
</t>
    </r>
    <r>
      <rPr>
        <rFont val="Comfortaa"/>
        <b/>
        <color rgb="FFFF6D01"/>
      </rPr>
      <t>Attente validation Devis
Rien à faire</t>
    </r>
  </si>
  <si>
    <t>BEELODGE - ST PRIEST</t>
  </si>
  <si>
    <r>
      <rPr>
        <rFont val="Comfortaa"/>
        <color theme="1"/>
      </rPr>
      <t xml:space="preserve">BAT VT le 2/04
BAT v1 envoyé le 16/04
Attente éléments supplémentaire 
BAT le 5/06
Attente validation Devis
</t>
    </r>
    <r>
      <rPr>
        <rFont val="Comfortaa"/>
        <b/>
        <color rgb="FFFF6D01"/>
      </rPr>
      <t>RIen à faire</t>
    </r>
  </si>
  <si>
    <t>Le gainsbar &gt; Carte visites + Flyer</t>
  </si>
  <si>
    <r>
      <rPr>
        <rFont val="Comfortaa"/>
        <color theme="1"/>
      </rPr>
      <t xml:space="preserve">Carte et flyer envoyé le 4/004
EN attente de la validation du devis
</t>
    </r>
    <r>
      <rPr>
        <rFont val="Comfortaa"/>
        <b/>
        <color theme="8"/>
      </rPr>
      <t>Rien à faire</t>
    </r>
  </si>
  <si>
    <t xml:space="preserve">Subway boulogne </t>
  </si>
  <si>
    <t xml:space="preserve">Attente fichier </t>
  </si>
  <si>
    <t xml:space="preserve">Bagelstein anvers </t>
  </si>
  <si>
    <t xml:space="preserve">Attente visuels </t>
  </si>
  <si>
    <t>afflelou dossier mairie</t>
  </si>
  <si>
    <t>BAT mairie le 26/09
Retour pour dire d'ajouter les logos des sociétés sur le panneau mais je ne les ai pas</t>
  </si>
  <si>
    <t>LAURIE</t>
  </si>
  <si>
    <t>L</t>
  </si>
  <si>
    <t>GUILLAUME</t>
  </si>
  <si>
    <t>G</t>
  </si>
  <si>
    <t>MARION</t>
  </si>
  <si>
    <t>Ar</t>
  </si>
  <si>
    <t>QUENTIN</t>
  </si>
  <si>
    <t>( Ctrl + Alt + Shit + 1 )</t>
  </si>
  <si>
    <t>Q</t>
  </si>
  <si>
    <t>Guy Hoquet Villenave d'Ornon</t>
  </si>
  <si>
    <t>11/12 - En attente validation client</t>
  </si>
  <si>
    <t>CO2511-4594 - Guy Hoquet Marcq en Baroeul</t>
  </si>
  <si>
    <t>16/12 - En attente validation Franchiseur</t>
  </si>
  <si>
    <t>CO2512-4742 -SARL CGN - Affiche</t>
  </si>
  <si>
    <t>17/12 - En attente éléments Michael // 17/12 - En attente validation client // 19/12 - Modifications</t>
  </si>
  <si>
    <t>CO2512-4739 - Panneaux plexi</t>
  </si>
  <si>
    <t>17/12 - En attente validation client // 17/12 - BAT refusé //  17/12 - En attente validation client</t>
  </si>
  <si>
    <t>CO2512-4734 - SARL CGN - Création charte graphique</t>
  </si>
  <si>
    <t>16/12 - Brief pris auprès du client // 17/12 - Créa en cours // 18/12 - Propositions logo envoyées // 19/12 - modififcations suivant les directives client</t>
  </si>
  <si>
    <t xml:space="preserve"> CO2512-4719_3 - Guy Hoquet Saint-Denis</t>
  </si>
  <si>
    <t>18/12 - BAT envoyé Franchiseur // 19/12 - BAT VT déposée sur FP</t>
  </si>
  <si>
    <t>ARCHIVE DOSSIERS TERMINES</t>
  </si>
  <si>
    <t>RIA FR8089</t>
  </si>
  <si>
    <t>BAT 1 envoyé le 10-12
BAT validé - attente VT et validation devis</t>
  </si>
  <si>
    <t>VRAI</t>
  </si>
  <si>
    <t>Association Buers</t>
  </si>
  <si>
    <t>BAT 1 envoyé le 16-12
BAT 2 envoyé le 19-12</t>
  </si>
  <si>
    <t>SQ Bruges Verdun interieur</t>
  </si>
  <si>
    <t>Attente de brief
Relance le 11-12
BAT 1 envoyé le 16-12
BAT 2 envoyé le 17-12</t>
  </si>
  <si>
    <t>GDS Tassin - Devanture</t>
  </si>
  <si>
    <t>BAT V1 envoyé le 17/11 à Sophie-Amélie - Modif à faire - V2 envoyé le 18/11 - V3 le 18/11 - V4 le 19/11 - Relance le 24/11 - Ok franchiseur le 17/12 - Envoie au franchisé le 17/12</t>
  </si>
  <si>
    <t>RIA FR17124</t>
  </si>
  <si>
    <t>BAT 1 envoyé le 3-12
BAT VT fait le 3-12
Relance le 4-12
BAT 2 envoyé le4-12
BAT 3 envoyé le 5-12
BAT ET DEVIS validé - attente VT</t>
  </si>
  <si>
    <t>Edra Michinot</t>
  </si>
  <si>
    <t>BAT V1 envoyé le 16/12</t>
  </si>
  <si>
    <t>Mr Enseignes - The First Light</t>
  </si>
  <si>
    <t>BAT V1 envoyé le 17/12 - V2 le 18/12</t>
  </si>
  <si>
    <t>Temporis Nantes Santé</t>
  </si>
  <si>
    <t>BAT V1 envoyé le 15/12 - V2 le 18/12</t>
  </si>
  <si>
    <t>Piscine Ibiza - SAS Brodeac signalétique extérieur + marquage véhicule</t>
  </si>
  <si>
    <t>V1 envoyé le 08/12 à Amanda pour les nouveaux véhicules - V2 envoyé le 10/12 - Nouvelles plaquettes validées - V1 BAT global envoyé le 11/12 - BAT Validé côté franchiseur, BAT envoyé au franchisé le 15/12 - BAT V2 envoyé le 17/12 - V3 le 17/12 - FAB A FAIRE</t>
  </si>
  <si>
    <t>CO2512-4738 - My Little Invest - Marquage véhicule</t>
  </si>
  <si>
    <t>11/12 - En attente Visuel Vitres arrière // 15/12 - Créa BAT // 15/12 - En attente validation client // 17/12 - Modif BAT // 17/12 - En attente validation client</t>
  </si>
  <si>
    <t>EDRA Carrosserie Ayvazian</t>
  </si>
  <si>
    <t>Temporis - Toulouse Ouest</t>
  </si>
  <si>
    <t>BAT V1 envoyé le 15/12</t>
  </si>
  <si>
    <t>Librairie BlackSpell</t>
  </si>
  <si>
    <t>27/08 BAT V1 - 01/09 BAT V2 + BAT mairie - FAB A FAIRE</t>
  </si>
  <si>
    <t>vallois Bureau détudes</t>
  </si>
  <si>
    <t>Reprise dossier Marie
BAT modifié renvoyé à Avner et Léa - attente validation
BAT 2 envoyé le17-12</t>
  </si>
  <si>
    <t>Modification du site "Sourire d'enfant"</t>
  </si>
  <si>
    <t>V1 des modifs faites, mail le 17/12 pour demander de nouvel envoi des photos + précisions sur certains points</t>
  </si>
  <si>
    <t>Generasons</t>
  </si>
  <si>
    <t xml:space="preserve">BAT à faire </t>
  </si>
  <si>
    <t xml:space="preserve">Aragor </t>
  </si>
  <si>
    <t xml:space="preserve">Pyramide Online </t>
  </si>
  <si>
    <r>
      <rPr>
        <rFont val="Comfortaa"/>
        <color theme="1"/>
      </rPr>
      <t xml:space="preserve">BAT à faire mais incompréhension sur les fichiers transmis et la demande &gt; voir avec Avner
BAT envoyé le 8/12
</t>
    </r>
    <r>
      <rPr>
        <rFont val="Comfortaa"/>
        <b/>
        <color rgb="FFFF6D01"/>
      </rPr>
      <t xml:space="preserve">Attente retour - rien à faire </t>
    </r>
  </si>
  <si>
    <t>See&amp;be</t>
  </si>
  <si>
    <r>
      <rPr>
        <rFont val="Comfortaa"/>
        <b/>
        <color rgb="FF000000"/>
      </rPr>
      <t xml:space="preserve">BAT validé le 1/10
BAT mairie le 1/10
</t>
    </r>
    <r>
      <rPr>
        <rFont val="Comfortaa"/>
        <b/>
        <color rgb="FFFF6D01"/>
      </rPr>
      <t>Rien à faire</t>
    </r>
  </si>
  <si>
    <t>GH Carpentras</t>
  </si>
  <si>
    <r>
      <rPr>
        <rFont val="Comfortaa"/>
        <b val="0"/>
        <color rgb="FF000000"/>
      </rPr>
      <t xml:space="preserve">BAT envoyé le 6/10 à la franchise
BAT valiidée par la franchise - renvoyé au franchisé le 20/10
BAT mairie le 19/11
</t>
    </r>
    <r>
      <rPr>
        <rFont val="Comfortaa"/>
        <b/>
        <color rgb="FFFF6D01"/>
      </rPr>
      <t xml:space="preserve">Rien à faire
</t>
    </r>
  </si>
  <si>
    <t xml:space="preserve">Hydro Buiding Technal </t>
  </si>
  <si>
    <r>
      <rPr>
        <rFont val="Comfortaa"/>
        <color theme="1"/>
      </rPr>
      <t xml:space="preserve">BAT v1 envoyé le 24/11
</t>
    </r>
    <r>
      <rPr>
        <rFont val="Comfortaa"/>
        <b/>
        <color rgb="FFFF6D01"/>
      </rPr>
      <t xml:space="preserve">Attente retour - Rien à faire </t>
    </r>
  </si>
  <si>
    <t xml:space="preserve">GH Lyon 7 </t>
  </si>
  <si>
    <r>
      <rPr>
        <rFont val="Comfortaa"/>
        <color theme="1"/>
      </rPr>
      <t xml:space="preserve">ATtente photo VT ( client relancé 3fois)
VAT VT le 9/06
BAT le 11/06
BAT v2 envoyé le 24/06
BAT v3 le 25/06
Projet e stand-y attente d'accord entres la franchise et le franchisé (manque de budget pour avoir les éléments de la charte)
</t>
    </r>
    <r>
      <rPr>
        <rFont val="Comfortaa"/>
        <b/>
        <color theme="1"/>
      </rPr>
      <t xml:space="preserve">Retour de Pauline &gt; c'est une demande de la copro d'avoir que des adhésif alors c'est ok donc attente de MAureen pour valider mon BAT
</t>
    </r>
    <r>
      <rPr>
        <rFont val="Comfortaa"/>
        <color theme="1"/>
      </rPr>
      <t xml:space="preserve">BAT validé par la franchise le 24/11
BAT envoyé le 4/12
</t>
    </r>
    <r>
      <rPr>
        <rFont val="Comfortaa"/>
        <b/>
        <color rgb="FFFF6D01"/>
      </rPr>
      <t>FAB le 6/12</t>
    </r>
  </si>
  <si>
    <t>SQ Suresnes adh prix</t>
  </si>
  <si>
    <t>BAT 1 envoyé le 16-12</t>
  </si>
  <si>
    <t>SQ La Rochelle interieur</t>
  </si>
  <si>
    <t>En attente de brief
BAT 1 envoyé le 11-12
BAT 2 envoyé le 16-12</t>
  </si>
  <si>
    <t>Euronet topper 200H</t>
  </si>
  <si>
    <t>SQ Bretteville exterieur</t>
  </si>
  <si>
    <t>BAT VT fait le 13-10
BAT 1 envoyé le 13-10
BAT 2 envoyé le 23-10
BAT 3 envoyé le 3-11
BAT 4 envoyé le 5-11
BAT 5 envoyé le 19-11
BAT mairie fait le 20-11</t>
  </si>
  <si>
    <t>Edra MV Automobiles</t>
  </si>
  <si>
    <t>BAT V1 envoyé le 24/11 - V2 le 15/12 - FAB A FAIRE</t>
  </si>
  <si>
    <t>SQ Gennevillier adh</t>
  </si>
  <si>
    <t>BAT 1 envoyé le 11-12
BAT 2 envoyé le 12-12</t>
  </si>
  <si>
    <t>RIA FR16574</t>
  </si>
  <si>
    <t>BAT 1 envoyé le 3-12
BAT VT fait le 3-12
Relance le 4-12
BAT 2 envoyé le 4-12
BAT et devis validé - attente VT</t>
  </si>
  <si>
    <t>Alliance française Lyon</t>
  </si>
  <si>
    <t>BAT 1 envoyé le 18-11
BAT 2 envoyé le 21-11
BAT 3 envoyé le 4-12
BAT 4 envoyé le 5-12
Relance le 8-12
BAT 5 envoyé le 11-12</t>
  </si>
  <si>
    <t>EDRA Avignon Carrosserie Auto Doral</t>
  </si>
  <si>
    <t>BAT V1 envoyé le 11/12</t>
  </si>
  <si>
    <t>EDRA La Madeleine Soc Exploitation Garage Michel Dubois</t>
  </si>
  <si>
    <t>EDRA Villepinte</t>
  </si>
  <si>
    <t xml:space="preserve">Panneau copro </t>
  </si>
  <si>
    <t>Panneau ENTREE et panneau SORTIE 500*300mm fond blanc texte noir
Panneau sens interdit diamètre 400mm</t>
  </si>
  <si>
    <t>LPA Paradis du fruit</t>
  </si>
  <si>
    <t>BAT VT fait le 28-11
BAT 1 envoyé le 8-12
BAT 2 envoyé le 10-12 à Oriane
BAT 3 envoyé le 10-12</t>
  </si>
  <si>
    <t>Topadev</t>
  </si>
  <si>
    <t>BAT 1 envoyé le 10-12</t>
  </si>
  <si>
    <t>EDRA - Saint Maurice de Beynost BF System</t>
  </si>
  <si>
    <t>BAT V1 envoyé le 09/12 - V2 le 09/12</t>
  </si>
  <si>
    <t>EDRA - Carats Automobiles</t>
  </si>
  <si>
    <t>RIA FR16448</t>
  </si>
  <si>
    <t>BAT VT fait le 11-09
BAT 1 envoyé le 29-10
BAT 2 envoyé le 31-10
BAT 3 envoyé le 3-12
BAT 4 envoyé le 3-12
Relance le 4-12
BAT 5 envoyé le 4-12
BAT 1 envoyé le 26-06
BAT 2 envoyé le 27-06
BAT 3 envoyé le 30-06
Relance le 30-06
Relance le 16-07
Relance le 30-07
Relance le 20-08
Relance le 29-08
Relance le 5-09
Relance le 2-10 
Ria demande une VT - BAT VT fait le 9-10
BAT 4 envoyé le 22-10
BAT 5 envoyé le 12-11
Relance le 4-12
BAT 6 envoyé le 4-12
BAT validé- attente validation devis</t>
  </si>
  <si>
    <t>RIA FR17326</t>
  </si>
  <si>
    <t>BAT 1 envoyé le 3-12
Relance le 4-12
BAT 2 envoyé le 4-12
BAT validé - attente validation devis</t>
  </si>
  <si>
    <t>Duplo France</t>
  </si>
  <si>
    <t>BAT 1 envoyé le 9-12
BAT 2 envoyé le 9-12</t>
  </si>
  <si>
    <t>City locker notre dame</t>
  </si>
  <si>
    <t>BAT 1 envoyé le 9-12</t>
  </si>
  <si>
    <t>SQ Albert panneau</t>
  </si>
  <si>
    <t>Attente info et visuel -mail fait à Marion le 5-12
BAT 1 envoyé le 9-12</t>
  </si>
  <si>
    <t>RIA FR11578</t>
  </si>
  <si>
    <t>BAT 1 envoyé le 26-06
BAT 2 envoyé le 27-06
BAT 3 envoyé le 30-06
Relance le 30-06
Relance le 16-07
Relance le 30-07
Relance le 20-08
Relance le 29-08
Relance le 5-09
Relance le 2-10 
Ria demande une VT - BAT VT fait le 9-10
BAT 4 envoyé le 22-10
BAT 5 envoyé le 12-11
Relance le 4-12
BAT validé - attente validation devis pour FAB</t>
  </si>
  <si>
    <t>Point S St Claude</t>
  </si>
  <si>
    <t>BAT 1 envoyé le 9-12
BAT validé par la franchise - envoyé au franchisé le 9-12</t>
  </si>
  <si>
    <t>Groupe Full ACE</t>
  </si>
  <si>
    <t>FAB A FAIRE</t>
  </si>
  <si>
    <t>Mr enseigne M2 numérique</t>
  </si>
  <si>
    <t>Mr enseigne Tabac de Mongelas</t>
  </si>
  <si>
    <t xml:space="preserve">Mr enseigne luxury beauty </t>
  </si>
  <si>
    <t>Destia - La Seyne sur Mer</t>
  </si>
  <si>
    <t>V1 faite le 03/09 - V2 à faire, premier retour fait le 08/09 - Nouvelle maquette via WhatsApp le 09/09 - Nouveau BAT complet le 11/09 - BAT VT fait le 22/10 - Nouveau BAT Mairie fait le 24/11 - FAB A FAIRE</t>
  </si>
  <si>
    <t>EDRA PAZOT</t>
  </si>
  <si>
    <t>BAT V1 envoyé le 02/12 - V2 le 08/12 - V3 le 08/12 - FAB A FAIRE</t>
  </si>
  <si>
    <t>Optic Duroc Lettres PVC</t>
  </si>
  <si>
    <t>BAT et FAB le 8/12</t>
  </si>
  <si>
    <t>Les Arches</t>
  </si>
  <si>
    <t>Graphisme BAT</t>
  </si>
  <si>
    <t>SQ Croix rousse micro</t>
  </si>
  <si>
    <t>EDRA - Arpajon - Belles vues</t>
  </si>
  <si>
    <t>BAT V1 envoyé le 04/12 - FAB A FAIRE</t>
  </si>
  <si>
    <t>EDRA - Bar sur Aube Roussat</t>
  </si>
  <si>
    <t>BAT V1 envoyé le 04/12 - V2 le 04/12 - FAB A FAIRE</t>
  </si>
  <si>
    <t>Euronet ENFR0005</t>
  </si>
  <si>
    <t>BAT VT fait le 1-12
BAT 1 envoyé le 5-12</t>
  </si>
  <si>
    <t>EDRA - Souffelweyersheim - Ritterbeck</t>
  </si>
  <si>
    <t>BAT V1 envoyé le 04/12</t>
  </si>
  <si>
    <t>Cainaio</t>
  </si>
  <si>
    <r>
      <rPr>
        <rFont val="Comfortaa"/>
        <color theme="1"/>
      </rPr>
      <t xml:space="preserve">BAT mairie le 18/11
</t>
    </r>
    <r>
      <rPr>
        <rFont val="Comfortaa"/>
        <b/>
        <color rgb="FFFF6D01"/>
      </rPr>
      <t>En attente retour mairie - rien à faire</t>
    </r>
  </si>
  <si>
    <t xml:space="preserve">Ciné Digital </t>
  </si>
  <si>
    <r>
      <rPr>
        <rFont val="Comfortaa"/>
        <b/>
        <color rgb="FFFF9900"/>
      </rPr>
      <t>BAT VT à faire (j'attendais des photos mais je les ai reçu le 2/09)</t>
    </r>
    <r>
      <rPr>
        <rFont val="Comfortaa"/>
        <color theme="1"/>
      </rPr>
      <t xml:space="preserve">
BAT v1 envoyé le 04/08 mais toujours pas de photo
BAT mairie le 23/09</t>
    </r>
  </si>
  <si>
    <t xml:space="preserve">SAS 2 big 1 Flyer étudiants </t>
  </si>
  <si>
    <t>Mise en page ne cours</t>
  </si>
  <si>
    <t xml:space="preserve">CMD habillage vitres </t>
  </si>
  <si>
    <r>
      <rPr>
        <rFont val="Comfortaa"/>
        <color theme="1"/>
      </rPr>
      <t xml:space="preserve">4e BAT envoyé le 24/11
Retour le 25/11
</t>
    </r>
    <r>
      <rPr>
        <rFont val="Comfortaa"/>
        <b/>
        <color rgb="FFFF6D01"/>
      </rPr>
      <t>BAT à faire</t>
    </r>
  </si>
  <si>
    <t xml:space="preserve">Fit One </t>
  </si>
  <si>
    <r>
      <rPr>
        <rFont val="Comfortaa"/>
        <b val="0"/>
        <color rgb="FF000000"/>
      </rPr>
      <t xml:space="preserve">BAT à faire
Appel cliente sans réponse pour emplacement des éléments + demande du mail de la cliente à antoine pour lui envoyer les emplacements supposés
Réception de tout les éléments OK
</t>
    </r>
    <r>
      <rPr>
        <rFont val="Comfortaa"/>
        <b/>
        <color rgb="FFFF6D01"/>
      </rPr>
      <t xml:space="preserve">BAT validé le 29/10
Attente VT pour FAB </t>
    </r>
  </si>
  <si>
    <t>Guy Hoquet Somain</t>
  </si>
  <si>
    <r>
      <rPr>
        <rFont val="Comfortaa"/>
        <color theme="1"/>
      </rPr>
      <t xml:space="preserve">BAT VT le 25/06
BAT franchise le 3/07
Répondre à Loris
BAT le 8/07
BAT v1 franchisé le 20/08
BAT v2 à faire
</t>
    </r>
    <r>
      <rPr>
        <rFont val="Comfortaa"/>
        <color rgb="FFFF6D01"/>
      </rPr>
      <t>Retour mairie me 13/10 &gt; proposer nouveau BAT franchise</t>
    </r>
    <r>
      <rPr>
        <rFont val="Comfortaa"/>
        <b/>
        <color rgb="FFFF6D01"/>
      </rPr>
      <t xml:space="preserve">
</t>
    </r>
    <r>
      <rPr>
        <rFont val="Comfortaa"/>
        <color theme="1"/>
      </rPr>
      <t xml:space="preserve">Bloqué car on s'est pas ce qu'il est possible de faire, le mieux serait de faire erepasser quelqu'un pour dire si oui ou non on peut peindre sur les traces dégueu de l'ancienne ensiegne, sinon on coffrele tout et on ment sur les mesure sur le dossier mairie
voir avec Michael 
BAT renvoyé franchisé et franchise pour vote envoyé en mairie
Validé coté franchisé en attente côté franchise
BAT VT à faire pour prévoir le cofrage de la partie du dessous et lance la FAB et la ST 
BAT VT fait le 24/11
</t>
    </r>
    <r>
      <rPr>
        <rFont val="Comfortaa"/>
        <b/>
        <color rgb="FFFF6D01"/>
      </rPr>
      <t>Attente VT pour lancer la FAB</t>
    </r>
  </si>
  <si>
    <t>Mr enseignes Nojac Enseignes</t>
  </si>
  <si>
    <r>
      <rPr>
        <rFont val="Comfortaa"/>
        <b/>
        <color theme="1"/>
      </rPr>
      <t xml:space="preserve">BAT fait le 27/10
Attente retour </t>
    </r>
    <r>
      <rPr>
        <rFont val="Comfortaa"/>
        <b/>
        <color rgb="FFFF6D01"/>
      </rPr>
      <t xml:space="preserve">
Rien  à faire</t>
    </r>
  </si>
  <si>
    <t>Cypath</t>
  </si>
  <si>
    <t>BAT à faire</t>
  </si>
  <si>
    <t xml:space="preserve">Audition des collines </t>
  </si>
  <si>
    <t xml:space="preserve">NOVI - Marseille Breteuil ✅
CO2410-2773 - EURL Miline (Institut beauty success Marseille Breteuil) - dossier mairie
CO2509-4202 - NOVI - DP façade marseille Breteuil </t>
  </si>
  <si>
    <r>
      <rPr>
        <rFont val="Comfortaa"/>
        <i val="0"/>
        <color rgb="FF000000"/>
      </rPr>
      <t xml:space="preserve">BAT V1 Franchise - 27/01
BAT V2 Franchise - 28/05
</t>
    </r>
    <r>
      <rPr>
        <rFont val="Comfortaa"/>
        <i/>
        <color rgb="FF999999"/>
      </rPr>
      <t>17/11 Accord tacite pour la Mairie 
FAB à faire dès que Marie-Odile donne son accord.
Accord recu FAB A FAIRE</t>
    </r>
  </si>
  <si>
    <t>EDRA - Alfortville Alfort</t>
  </si>
  <si>
    <t>Steep plastique</t>
  </si>
  <si>
    <t>BAT V1 - 12/11
BAT V2 - 13/11
BAT et MAQUETTE mis à jour, plus qu'à faire les mises en situation sur le BAT.  
Reprise dossier Marie
BAT 3 envoyé le 3-12</t>
  </si>
  <si>
    <t>Destia Brest</t>
  </si>
  <si>
    <t>BAT V1 envoyé le 10/11 - V2 le 25/11 - V3 le 03/12 - V4 le 04/12 - FAB A FAIRE</t>
  </si>
  <si>
    <t>Temporis - Mantes la Jolie</t>
  </si>
  <si>
    <t>Euronet ENFR0004</t>
  </si>
  <si>
    <t>BAT VT fait le 1-12
BAT 1 envoyé le 4-12</t>
  </si>
  <si>
    <t>Euronet ENFR0002</t>
  </si>
  <si>
    <t>EDRA Villevaude BDM</t>
  </si>
  <si>
    <t>BAT V1 envoyé le 02/12</t>
  </si>
  <si>
    <t>Institu orchidé</t>
  </si>
  <si>
    <t xml:space="preserve">BAT 1 envoyé le 18-09
BAT 2 envoyé le 19-09
BAT 3 envoyé le 22-09
Modifs faite par téléphone : durée 37 minutes
Relance le 26-09 : en attente des indications pour la CDV : message vocal
BAT 4 envoyé le 29-09
Relance le 16-10
BAT 5 envoyé le 21-10
BAT 6 envoyé le 22-10
BAT 7 envoyé le 6-11
BAT 8 envoyé le 27-11
BAT 9 envoyé le 1-12
BAT 10 envoyé le 3-12
</t>
  </si>
  <si>
    <t>PPS Sanvignes Les mines</t>
  </si>
  <si>
    <t>BAT 1 envoyé à la franchise le 4-11
BAT 2 envoyé le 5-11
BAT 3 envoyé le 10-11
BAT validé par la franchise le 12-11 et envoyé au franchisé
BAT 4 envoyé à la franchise et au franchisé le 24-11
BAT 5 envoyé à la franchise le 27-11
Franchise à validé - envoie au franchisé le 27-11</t>
  </si>
  <si>
    <t>Mobalpa - Co2510-4413 - Reprise Marie</t>
  </si>
  <si>
    <t>FA A FAIRE</t>
  </si>
  <si>
    <t>Euronet FRMD0344</t>
  </si>
  <si>
    <t>BAT 1 envoyé le 2-12</t>
  </si>
  <si>
    <t>EDRA - Vedene Carrosserie Alesi et Fils</t>
  </si>
  <si>
    <t>BAT V1 envoyé le 25/11 - FAB A FAIRE</t>
  </si>
  <si>
    <t>EDRA Achères BRS France</t>
  </si>
  <si>
    <t>BAT V1 envoyé le 02/12 - FAB A FAIRE</t>
  </si>
  <si>
    <t>Edra CEPOY</t>
  </si>
  <si>
    <t xml:space="preserve">Rénovert covering véhicules </t>
  </si>
  <si>
    <t>attentes nouveau numéro de téléphone pour faire le BAT</t>
  </si>
  <si>
    <t>ARVALIS - La Jaillere</t>
  </si>
  <si>
    <r>
      <rPr>
        <rFont val="Comfortaa"/>
        <color theme="1"/>
      </rPr>
      <t xml:space="preserve">BAT v1 envoyé le 15/11
--&gt; m'ont renvoyer un BAT corriger (le 2/12) mais la pj ne m'a pas été transféré
BAT v2 renvoyé le 13/01
</t>
    </r>
    <r>
      <rPr>
        <rFont val="Comfortaa"/>
        <b/>
        <color rgb="FFFF6D01"/>
      </rPr>
      <t>Attente retour El MEdhi et Antoine pour lancer la prod
Rien à faire</t>
    </r>
  </si>
  <si>
    <t xml:space="preserve">Beauty success LIMAS </t>
  </si>
  <si>
    <r>
      <rPr>
        <rFont val="Comfortaa"/>
        <color theme="1"/>
      </rPr>
      <t xml:space="preserve">BAT v1 le 28/08
BAT v2 le 3/09
</t>
    </r>
    <r>
      <rPr>
        <rFont val="Comfortaa"/>
        <b/>
        <color theme="8"/>
      </rPr>
      <t>Rien à faire</t>
    </r>
  </si>
  <si>
    <t xml:space="preserve">GUY HOQUET RODEZ </t>
  </si>
  <si>
    <r>
      <rPr>
        <rFont val="Comfortaa"/>
        <color theme="1"/>
      </rPr>
      <t xml:space="preserve">BAT v2 suite retour mairie envoyé le 20/08
BAt franchisé envoyé le 21/08
BAT en mairie
</t>
    </r>
    <r>
      <rPr>
        <rFont val="Comfortaa"/>
        <b/>
        <color theme="1"/>
      </rPr>
      <t xml:space="preserve">BAT validé après retour mairie 
</t>
    </r>
    <r>
      <rPr>
        <rFont val="Comfortaa"/>
        <color theme="1"/>
      </rPr>
      <t xml:space="preserve">BAT validé le 18/09
</t>
    </r>
    <r>
      <rPr>
        <rFont val="Comfortaa"/>
        <color theme="1"/>
      </rPr>
      <t xml:space="preserve">BAT mairie envoyé le 19/09
</t>
    </r>
    <r>
      <rPr>
        <rFont val="Comfortaa"/>
        <color theme="8"/>
      </rPr>
      <t>Attente retour</t>
    </r>
  </si>
  <si>
    <t xml:space="preserve">Morgan service </t>
  </si>
  <si>
    <t>Refab Panneau 
FAB A FAIRE</t>
  </si>
  <si>
    <t>Edra Garage de la Butte</t>
  </si>
  <si>
    <t>BAT V1 envoyé le 28/11 - FAB A FAIRE</t>
  </si>
  <si>
    <t>Cristal pur</t>
  </si>
  <si>
    <t>BAT 1 envoyé le 1-12</t>
  </si>
  <si>
    <t>Eliteeth</t>
  </si>
  <si>
    <t>BAT V1 le 20/11 - Modif à faire, mail le 27/11 - V2 le 27/11 - V3 le 27/11 - V4 le 01/12 - FAB A FAIRE</t>
  </si>
  <si>
    <t>Point S Ille sur Têt</t>
  </si>
  <si>
    <t>BAT 1 envoyé le 27-11
BAT 2 envoyé le 28-11</t>
  </si>
  <si>
    <t>BAT V1 et BAT VT envoyé le 18/11 - V2 le 19/11</t>
  </si>
  <si>
    <t>Euronet FRMD2241</t>
  </si>
  <si>
    <t xml:space="preserve">BAT 1 envoyé le 28-11
BAT 2 envoyé le 28-11
</t>
  </si>
  <si>
    <t>Mr Enseignes - Topadev</t>
  </si>
  <si>
    <t>BAT V1 envoyé le 25/11</t>
  </si>
  <si>
    <t>EDRA - Cournon d'Auvergne - Carrosserie Moneyron</t>
  </si>
  <si>
    <t>EDRA - La Brede Carrosserie Alexandre SARL</t>
  </si>
  <si>
    <t>BAT V1 envoyé le 26/11</t>
  </si>
  <si>
    <t>EDRA - Antibes SARL CTBL Giordano</t>
  </si>
  <si>
    <t>BAT V1 envoyé le 26/11 - FAB A FAIRE</t>
  </si>
  <si>
    <t>EDRA - Hennebont ACI 56</t>
  </si>
  <si>
    <t>RIA FR6775</t>
  </si>
  <si>
    <t>BAT VT fait le 22-09
BAT 1 envoyé le 25-11
Relance le 26-11</t>
  </si>
  <si>
    <t>EDTA - Saint Herblain K3S Automobiles</t>
  </si>
  <si>
    <t>CO2509-4201_1 - ESPRIT BAIGNADE - Signalétique extérieure - PISCINE IBIZA - LA ROCHELLE -FERRIERES</t>
  </si>
  <si>
    <r>
      <rPr>
        <rFont val="Comfortaa"/>
        <b/>
        <color rgb="FFFF0000"/>
      </rPr>
      <t xml:space="preserve">REPRISE DOSSIER DE MARIE : </t>
    </r>
    <r>
      <rPr>
        <rFont val="Comfortaa"/>
        <color theme="1"/>
      </rPr>
      <t>BAT V1 - 10/09
BAT V2 - 15/09 
BAT V3 - 15/09
BAT Mairie - 11/09 - 15/09 
Eléments 1(x1),2,4 et 5 de la façade entrée : validés, fabriqués et pose programmée. 
Attention le N1 a été sorti en deux exemplaires, ne pas refabriquer.
FAB A FAIRE</t>
    </r>
  </si>
  <si>
    <t>Euronet FRMD2259</t>
  </si>
  <si>
    <t>BAT 1 envoyé le 25-11
Relance le 26-11</t>
  </si>
  <si>
    <t>SQ Suresnes adh</t>
  </si>
  <si>
    <t>BAT 1 envoyé le 26-11</t>
  </si>
  <si>
    <t>Euronet 10 DAB 200H</t>
  </si>
  <si>
    <t>RIA FR1306</t>
  </si>
  <si>
    <t>BAT 1 envoyé le 26-06
BAT 2 envoyé le 26-06
Relance le 30-06
BAT validé - en attente de VT
Relance le 16-07
Relance responsable VT le 19-08
Relance Oriane et Antoine le 26-11</t>
  </si>
  <si>
    <t>Euronet FRMD2263</t>
  </si>
  <si>
    <t>BAT 1 envoyé le 25-11</t>
  </si>
  <si>
    <t>SQ Lyon Croix Rousse micro</t>
  </si>
  <si>
    <t>Mr enseigne - agraph com jubil</t>
  </si>
  <si>
    <t>Reprise dossier Marie
BAT 2 envoyé le 25-11</t>
  </si>
  <si>
    <t>Mr Enseignes - Amazonie Parfum</t>
  </si>
  <si>
    <t>V1 envoyé le 24/11 - FAB A FAIRE (Question posée à Flo pour finalisation du dossier)</t>
  </si>
  <si>
    <t>Pizza Cash</t>
  </si>
  <si>
    <t xml:space="preserve">7abf2b74 - Baby Eveil Vendargues Bache </t>
  </si>
  <si>
    <t>04/11 - Demande de  format de la bâche réel et le format visible pour pouvoir la fixer au support. 
Léa a géré la ST</t>
  </si>
  <si>
    <t>La Cautergerie néon</t>
  </si>
  <si>
    <r>
      <rPr>
        <rFont val="Comfortaa"/>
        <color theme="1"/>
      </rPr>
      <t xml:space="preserve">BAT envoyé le 24/11
</t>
    </r>
    <r>
      <rPr>
        <rFont val="Comfortaa"/>
        <b/>
        <color rgb="FFFF6D01"/>
      </rPr>
      <t xml:space="preserve">Attente retour - Rien à faire 
</t>
    </r>
    <r>
      <rPr>
        <rFont val="Comfortaa"/>
        <color theme="1"/>
      </rPr>
      <t>FAB le 26/11</t>
    </r>
  </si>
  <si>
    <t>Edra - Carrosserie Mamy Relaçons</t>
  </si>
  <si>
    <t>BAT V1 envoyé le 24/11 - BAT V2 le 24/11 (Totem) - FAB A FAIRE</t>
  </si>
  <si>
    <t>EDRA S.A - Devis _25_Besançon_CARROSSERIE MAMY RELANCONS</t>
  </si>
  <si>
    <r>
      <rPr>
        <rFont val="Comfortaa"/>
        <b/>
        <color rgb="FFFF0000"/>
      </rPr>
      <t xml:space="preserve">REPRISE DOSSIER DE MARIE : </t>
    </r>
    <r>
      <rPr>
        <rFont val="Comfortaa"/>
        <color theme="1"/>
      </rPr>
      <t>BAT V1 - 29/10 - BAT V2 le 24/11 (Devanture) - BAT V3 le 25/11 - FAB A FAIRE</t>
    </r>
  </si>
  <si>
    <t xml:space="preserve">Hi France </t>
  </si>
  <si>
    <t>Reprise dossier Marie
BAT 2 envoyé le 24-11</t>
  </si>
  <si>
    <t>EDRA - Meaux Concept Auto</t>
  </si>
  <si>
    <t>BAT V1 envoyé le 24/11 - FAB A FAIRE</t>
  </si>
  <si>
    <t>Complicivet</t>
  </si>
  <si>
    <t>BAT 1 fait le 7-11
BAT VT fait le 7-11
mise en fab partie 1 le 7-11
ATTENTE VT
BAT 2 envoyé le 21-11
BAT 3 envoyé le 24-11</t>
  </si>
  <si>
    <t>EDRA Cagnes sur mer Azur V.O. Préparation</t>
  </si>
  <si>
    <t>BAT V1 envoyé le 13/11 - FAB A FAIRE</t>
  </si>
  <si>
    <t>Mr enseigne - Duomo Pizzeria</t>
  </si>
  <si>
    <t>Reprise dossier Marie
BAT 1 envoyé le 21-11
BAT 2 envoyé le 24-11
BAT mairie fait le 24-11
pas de FAB, c'est juste un dossier mairie</t>
  </si>
  <si>
    <t>insersite</t>
  </si>
  <si>
    <t>Fab le 9/10</t>
  </si>
  <si>
    <t xml:space="preserve">Tanagym Two </t>
  </si>
  <si>
    <t>FAB le 7/10</t>
  </si>
  <si>
    <t>Mr enseignes Digital Virgo</t>
  </si>
  <si>
    <t>FAB le 15/10</t>
  </si>
  <si>
    <t xml:space="preserve">Le point tabac dossier mairie </t>
  </si>
  <si>
    <t>En mairie</t>
  </si>
  <si>
    <t xml:space="preserve">Bati centre </t>
  </si>
  <si>
    <t>FAB le 5/11</t>
  </si>
  <si>
    <t xml:space="preserve">onet bosh </t>
  </si>
  <si>
    <t>FAB le 20/10</t>
  </si>
  <si>
    <t xml:space="preserve">Nojac installation </t>
  </si>
  <si>
    <t>ON AIR la ville du bois (VDB) dossier mairie)</t>
  </si>
  <si>
    <t>BAT mairie le 19/11</t>
  </si>
  <si>
    <t xml:space="preserve">LE SECRETARIAT MEDICAL - 150 calendriers </t>
  </si>
  <si>
    <r>
      <rPr>
        <rFont val="Comfortaa"/>
        <b/>
        <color rgb="FFFF0000"/>
      </rPr>
      <t xml:space="preserve">REPRISE DOSSIER DE MARIE : </t>
    </r>
    <r>
      <rPr>
        <rFont val="Comfortaa"/>
        <color theme="1"/>
      </rPr>
      <t>21/10 - Prise de contact avec la cliente
BAT V1 - 23/10
FAB A FAIRE</t>
    </r>
  </si>
  <si>
    <t xml:space="preserve">Courriers des rhodanines </t>
  </si>
  <si>
    <t>FAB le 18/11</t>
  </si>
  <si>
    <t>Hotel les lans</t>
  </si>
  <si>
    <t>FAB les 13/11</t>
  </si>
  <si>
    <t>Miramand</t>
  </si>
  <si>
    <t>FAB le 31/10</t>
  </si>
  <si>
    <t xml:space="preserve">Grizard agencement </t>
  </si>
  <si>
    <t>FAB le 6/11</t>
  </si>
  <si>
    <t xml:space="preserve">CO2509-4334_1 - TGS FITNESS - Entretoises + adhésif FITNESS BAGNOLET
nom@mail.fr - 0621377976
</t>
  </si>
  <si>
    <t>FAB le 12/11</t>
  </si>
  <si>
    <t xml:space="preserve">TGS Fitnesss </t>
  </si>
  <si>
    <t>FAB le 9/10</t>
  </si>
  <si>
    <t xml:space="preserve">TGS Fitness Bagnolet </t>
  </si>
  <si>
    <t>Fait le 5/11
la cliente souhaite un adhésif comptoir comme à ROMAINVILLE</t>
  </si>
  <si>
    <t>TGS Fitness - plaques</t>
  </si>
  <si>
    <t>Club Fun et bien etre</t>
  </si>
  <si>
    <t>Studio Mischa allauch</t>
  </si>
  <si>
    <t>BAT à faire et fab fait le24/10</t>
  </si>
  <si>
    <t>Studio Mischa Déco Noel</t>
  </si>
  <si>
    <t xml:space="preserve">ESF Val Thorens </t>
  </si>
  <si>
    <t>Les mini perles</t>
  </si>
  <si>
    <t>SLAKE</t>
  </si>
  <si>
    <r>
      <rPr>
        <rFont val="Comfortaa"/>
        <b val="0"/>
        <color rgb="FF000000"/>
      </rPr>
      <t xml:space="preserve">BAT v1 envoyé le 20/10
Retour reçu le 20/10
</t>
    </r>
    <r>
      <rPr>
        <rFont val="Comfortaa"/>
        <b/>
        <color rgb="FFFF6D01"/>
      </rPr>
      <t>BAT v2 à faire</t>
    </r>
  </si>
  <si>
    <t xml:space="preserve">SAS 2 big 1 Flyer fidélité </t>
  </si>
  <si>
    <t>Rendu et mis en FAB le 18/11</t>
  </si>
  <si>
    <t xml:space="preserve">Equinox </t>
  </si>
  <si>
    <t>BAT le 17/11 et FAB le 17/11</t>
  </si>
  <si>
    <t xml:space="preserve">Bagelstein CERGY </t>
  </si>
  <si>
    <t>BAT le 19/11
+ FAB le 20/11</t>
  </si>
  <si>
    <t xml:space="preserve">GH Lyon 2 - Mazzocco </t>
  </si>
  <si>
    <t>FAB le 21/11</t>
  </si>
  <si>
    <t>Easy charge 60 et 120kw</t>
  </si>
  <si>
    <t>FAB el 19/11</t>
  </si>
  <si>
    <t>La Cautergerie panneau ext</t>
  </si>
  <si>
    <t>FAB le 7/11</t>
  </si>
  <si>
    <t>Novi - Lyon Vaise</t>
  </si>
  <si>
    <r>
      <rPr>
        <rFont val="Comfortaa"/>
        <b/>
        <color theme="1"/>
      </rPr>
      <t>05/07</t>
    </r>
    <r>
      <rPr>
        <rFont val="Comfortaa"/>
        <color theme="1"/>
      </rPr>
      <t xml:space="preserve"> BAT VT 
</t>
    </r>
    <r>
      <rPr>
        <rFont val="Comfortaa"/>
        <b/>
        <color theme="1"/>
      </rPr>
      <t>13/09 - 10/01</t>
    </r>
    <r>
      <rPr>
        <rFont val="Comfortaa"/>
        <color theme="1"/>
      </rPr>
      <t xml:space="preserve"> BAT 
 </t>
    </r>
    <r>
      <rPr>
        <rFont val="Comfortaa"/>
        <b/>
        <color theme="1"/>
      </rPr>
      <t>10/01</t>
    </r>
    <r>
      <rPr>
        <rFont val="Comfortaa"/>
        <color theme="1"/>
      </rPr>
      <t xml:space="preserve"> BAT Franchisée
</t>
    </r>
    <r>
      <rPr>
        <rFont val="Comfortaa"/>
        <b/>
        <color theme="1"/>
      </rPr>
      <t>06/02 - 17/04 - 28/05</t>
    </r>
    <r>
      <rPr>
        <rFont val="Comfortaa"/>
        <color theme="1"/>
      </rPr>
      <t xml:space="preserve"> Relance 
</t>
    </r>
    <r>
      <rPr>
        <rFont val="Comfortaa"/>
        <i/>
        <color rgb="FF999999"/>
      </rPr>
      <t>Attente validation BAT</t>
    </r>
  </si>
  <si>
    <t xml:space="preserve">CO2510-4486 - Étoffe des cîmes - Enseigne intérieure + CO2511-4562 - Étoffe des cîmes - Adhésif ✅ </t>
  </si>
  <si>
    <r>
      <rPr>
        <rFont val="Comfortaa"/>
        <color rgb="FF000000"/>
      </rPr>
      <t xml:space="preserve">BAT V1 - 05/11
BAT V2 - 07/11
BAT V3 - 07/11
BAT V4 - 12/11
</t>
    </r>
    <r>
      <rPr>
        <rFont val="Comfortaa"/>
        <i/>
        <color rgb="FF999999"/>
      </rPr>
      <t>BAT à mettre à jour avec les photos + photomontages pour la mise en situation.</t>
    </r>
  </si>
  <si>
    <t>Ma</t>
  </si>
  <si>
    <t>CO2510-4437_1 - NOVI - Lyon Monplaisir ✅</t>
  </si>
  <si>
    <r>
      <rPr>
        <rFont val="Comfortaa"/>
        <color theme="1"/>
      </rPr>
      <t xml:space="preserve">BAT VT - 11/07 
BAT - 19/09 - 22/10 - 26/11 - 10/12 - 08/01 - 09/01 - 10/01 - 14/01
</t>
    </r>
    <r>
      <rPr>
        <rFont val="Comfortaa"/>
        <b/>
        <color theme="1"/>
      </rPr>
      <t>FAB signalétique intérieure part 1 - 04/02</t>
    </r>
    <r>
      <rPr>
        <rFont val="Comfortaa"/>
        <color theme="1"/>
      </rPr>
      <t xml:space="preserve"> 
FAB Partie 2 - 31/10</t>
    </r>
  </si>
  <si>
    <t>Centre Service Miribel complément</t>
  </si>
  <si>
    <t>BAT V1 + Relance sur le dossier principal le 12/11 - BAT V2 le 24/11 - FAB A FAIRE</t>
  </si>
  <si>
    <t>Centre Services Miribel</t>
  </si>
  <si>
    <t>BAT VT envoyé le 07/08 - Le BAT est bloqué en attente de retour de congé de l'agence 21 - V1 envoyé au franchiseur le 20/08 - Dossier mairie fait le 25/08 - Demande information RAL manquante à Akram le 10/11 - FAB A FAIRE</t>
  </si>
  <si>
    <t>Airflex</t>
  </si>
  <si>
    <t>BAT 1 fait le 24-11</t>
  </si>
  <si>
    <t>Ludovic Ballansat - Audio 2000</t>
  </si>
  <si>
    <t>BAT V1 envoyé le 10/11 - FAB A FAIRE</t>
  </si>
  <si>
    <t>Temporis - Bâche provisoire</t>
  </si>
  <si>
    <t>Préparer fichier pour l'ensemble des Temporis (prochain) plus en lancer 2 en prod</t>
  </si>
  <si>
    <t>Temporis Sorgues</t>
  </si>
  <si>
    <t>BAT V1 + BAT VT le 12/11 - BAT ok, attente VT  - FAB A FAIRE</t>
  </si>
  <si>
    <t>SQ Tavaco R</t>
  </si>
  <si>
    <t>BAT 1 envoyé le 24-11</t>
  </si>
  <si>
    <t>SQ Lyon Croix Rousse interieur</t>
  </si>
  <si>
    <t xml:space="preserve">Attente de brief
Relance le 20-08
Relance le 28-08
Relance le 5-09
Relance le 2-10 
BAT 1 envoyé le 20-11
</t>
  </si>
  <si>
    <t>RIA noel</t>
  </si>
  <si>
    <t>BAT 1 envoyé le 20-11</t>
  </si>
  <si>
    <t>Edra Bagnols sur Ceze Vincent Auto Lifting</t>
  </si>
  <si>
    <t>BAT V1 envoyé le 20/11</t>
  </si>
  <si>
    <t>Mr enseigne - agence CP - credit mutuelle</t>
  </si>
  <si>
    <t>Reprise dossier Marie
BAT 2 envoyé le 20-11</t>
  </si>
  <si>
    <t>NA3</t>
  </si>
  <si>
    <t>BAT 1 envoyé le 21-11</t>
  </si>
  <si>
    <t>Leclerc Meyzieux</t>
  </si>
  <si>
    <t>BAT V1 le 20/11</t>
  </si>
  <si>
    <t>SQ Suresnes bâche</t>
  </si>
  <si>
    <t>SQ Gennevillier bâche</t>
  </si>
  <si>
    <t>RIA FR16361</t>
  </si>
  <si>
    <t>BAT VT fait le 11-09
BAT 1 envoyé le 15-10</t>
  </si>
  <si>
    <t>Edra 59 Arneke Garage Boo Et Vanhee</t>
  </si>
  <si>
    <t>BAT V1 envoyé le 13/11 - BAT V2 envoyé le 20/11 - FAB A FAIRE</t>
  </si>
  <si>
    <t>Edra Valenciennes Garage Boutelier</t>
  </si>
  <si>
    <t>BAT V1 envoyé le 19/11 - FAB A FAIRE</t>
  </si>
  <si>
    <t>EDRA Nogent Le Roi Carrosserie de la Gare</t>
  </si>
  <si>
    <t>Oakberry</t>
  </si>
  <si>
    <t>BAT 1 envoyé le 12-11
BAT 2 envoyé le 19-11</t>
  </si>
  <si>
    <t>RIA FR16617</t>
  </si>
  <si>
    <t>BAT VT fait le 11-09
BAT 1 envoyé le 10-10</t>
  </si>
  <si>
    <t>SQ Suresnes interieur</t>
  </si>
  <si>
    <t xml:space="preserve">Attente de brief
Relance le 2-10
BAT 1 envoyé le 30-10
</t>
  </si>
  <si>
    <t>Destia - Marseille</t>
  </si>
  <si>
    <t>BAT PRE VT Ok le 23/10 - BAT VT et BAT V1 envoyé le 24/10 - BAT V2 envoyé le 27/10 - V3 envoyé le 28/10 - V4 envoyé le 30/10 - V5 envoyé le 31/10 - V6 envoyé le 03/11 - FAB A FAIRE</t>
  </si>
  <si>
    <t>EDRA Verfeil Carrosserie du Grand Faubourg</t>
  </si>
  <si>
    <t>BAT V1 envoyé le 17/11 - FAB A FAIRE</t>
  </si>
  <si>
    <t>CO2510-4400 - HPM - ENSEIGNE - Miquelon-Langlade ✅</t>
  </si>
  <si>
    <t>Récupération dossier de Marie - FAB à faire et changement de RAL</t>
  </si>
  <si>
    <t>EURONET-EDFR0317</t>
  </si>
  <si>
    <t>BAT 1 envoyé le 13-11
BAT 2 envoyé le 13-11
Relance le 18-11</t>
  </si>
  <si>
    <t>Mr Enseignes - DRN (Intérieur)</t>
  </si>
  <si>
    <t>BAT V1 envoyé le 17/11</t>
  </si>
  <si>
    <t>Euronet FRMD2264</t>
  </si>
  <si>
    <t>BAT 1 envoyé le 13-11</t>
  </si>
  <si>
    <t>Mikit</t>
  </si>
  <si>
    <t>Reprise dossier Marion
BAT modifié le 30-10
BAT mairie fait le 31-10</t>
  </si>
  <si>
    <t>La Baguetterie</t>
  </si>
  <si>
    <t>BAT 1 envoyé le 12-11
BAT 2 envoyé le 13-11</t>
  </si>
  <si>
    <t>GDS Tassin - Véhicule</t>
  </si>
  <si>
    <t>Centre Services Auray - Extérieur</t>
  </si>
  <si>
    <t>BAT VT + BAT V1 envoyé le 19/08 - V2 envoyé le 20/08 - V3 le 21/08 - BAT Mairie fait le 29/08 - FAB A FAIRE - Presque tout validé manque juste le QR Code, le reste, tout est prêt, juste à modifier la FAB du N°4 à réception du QR Code</t>
  </si>
  <si>
    <t>Mr Enseignes DNR - Extérieur</t>
  </si>
  <si>
    <t>BAT V1 envoyé le 17/11 - V2 le 17/11 - FAB A FAIRE</t>
  </si>
  <si>
    <t>CO2510-4416 - MEYZIEUDIS E.LECLERC - Adhésifs</t>
  </si>
  <si>
    <t>Morgan Services</t>
  </si>
  <si>
    <t>BAT envoyé le 13/08
Validé par le client le 18/08
BAT Mairie préparé par Jordan le 19/08</t>
  </si>
  <si>
    <t>EDRA Perenchies Atelier Carrosserie du Nord</t>
  </si>
  <si>
    <t>BAT V1 envoyé le 14/11 - FAB A FAIRE</t>
  </si>
  <si>
    <t>TWIN INVEST</t>
  </si>
  <si>
    <t>BAT V1 envoyé le 05/11 - Modif à faire - V2 envoyé le 07/11 - Modif à faire - V3 le 13/11 - Modif à faire - V4 le 17/11 - FAB A FAIRE</t>
  </si>
  <si>
    <t>CO2509-4243 - EIFFAGE CONSTRUCTION - GRILLE MICRO PERFORÉE + FILET 150g/m²</t>
  </si>
  <si>
    <t>BAT V1 - 18/09
BAT V2 - 22/09
ST - 22/09
VALIDATION ST - 29/09</t>
  </si>
  <si>
    <t>Mr Enseignes - Agence 3Dimensions CEMEA</t>
  </si>
  <si>
    <t>EDRA Plaisir Auto Plaisir</t>
  </si>
  <si>
    <t>BAT et FAB le 13/11</t>
  </si>
  <si>
    <t>SQ Bruz exterieur</t>
  </si>
  <si>
    <t>Demande photo et info à Nathan le 15-09
BAT VT fait le 18-09
BAT 1 envoyé le 29-09
Relance le 2-10
BAT 2 envoyé le 2-10
BAT mairie fait le 2-10
BAT 3 envoyé le 17-10 - attente confirmation 
BAT 4 envoyé le 28-10
BAT 5 envoyé le 28-10
BAT 6 envoyé le 7-11</t>
  </si>
  <si>
    <t>Alliance Energies - BT818270</t>
  </si>
  <si>
    <t>Demande du logo à la cliente faite par Antoine le 27/10</t>
  </si>
  <si>
    <t>Camif Habitat - Granville</t>
  </si>
  <si>
    <t>BAT V1 franchiseur envoyé le 11/09 - BAT V2 le 12/09 - V3 le 15/09 - Validé par le franchiseur, envoie au franchisé le 18/09 - BAT V4 au franchisé le 18/09 - Validation franchiseur et franchisé - BAT Mairie fait le 18/09</t>
  </si>
  <si>
    <t>Zekri Levi</t>
  </si>
  <si>
    <t>Attention dossier délicat - 200 plaques dibond à usiner - BAT V1 envoyé le 10/11</t>
  </si>
  <si>
    <t>Marchi Vie</t>
  </si>
  <si>
    <t>Demande du logo fichier natif le 23/10 - BAT V1 + Mail pour sous-traitance à Léa le 28/10 - V2 le 03/11</t>
  </si>
  <si>
    <t>Emmstore</t>
  </si>
  <si>
    <t>BAT 1 envoyé le 12-11</t>
  </si>
  <si>
    <t>EDRA 69 LYON</t>
  </si>
  <si>
    <t>BAT V1 envoyé le 04/11 - V2 le 04/11 - V3 le 05/11 - V4 le 06/11 - V5 le 12/11 - FAB a faire</t>
  </si>
  <si>
    <t>SQ Gennevillier interieur</t>
  </si>
  <si>
    <t>Attente de brief
Relance le 24-07
Relance le 20-08
Relance le 28-08
Relance le 5-09
Relance le 2-10 
BAT 1 envoyé le 10-11
BAT 2 envoyé le 12-11</t>
  </si>
  <si>
    <t>Bonaparte Rhone Villeurbanne</t>
  </si>
  <si>
    <t>BAT VT fait le 22-08
BAT 1 envoyé le 26-08
BAT 2 envoyé le 29-08
BAT 3 envoyé le 1-09
Relance le 5-09
BAT 4 envoyé le 8-09
BAT 5 envoyé le 9-09
BAT mairie fait le 10-09</t>
  </si>
  <si>
    <t>Euronet bondoufle</t>
  </si>
  <si>
    <t>EDRA - Seyssins carrosserie Routin</t>
  </si>
  <si>
    <t>BAT V1 le 06/11 - FAB A FAIRE</t>
  </si>
  <si>
    <t>Mr Enseignes - Villa Infinity</t>
  </si>
  <si>
    <t>V1 envoyé le 10/11 - V2 envoyé le 10/11 - V3 le 12/11</t>
  </si>
  <si>
    <t>Centre Services Compiegne - Extérieur</t>
  </si>
  <si>
    <t xml:space="preserve">BAT V1 envoyé le 12/11 </t>
  </si>
  <si>
    <t>Centre Services Compiege - Intérieur</t>
  </si>
  <si>
    <t>RIA FR16203</t>
  </si>
  <si>
    <t>BAT VT fait le 14-08
Relance Oriane et Marion le 20-08
BAT 1 envoyé le 14-10
BAT 2 envoyé le 15-10
BAT 3 envoyé le 16-10
BAT validé - attente validation devis</t>
  </si>
  <si>
    <t>Euronet bleu merchant fill cash 200H</t>
  </si>
  <si>
    <t>BAT 1 envoyé le 10-11</t>
  </si>
  <si>
    <t>Mickael coiffure</t>
  </si>
  <si>
    <t>BAT VT fait le 25-09
BAT 1 envoyé le 14-10
BAT 2 envoyé le 15-10
BAT 3 envoyé le 23-10
Relance le 30-10
BAT 4 envoyé le 5-11
BAT 5 envoyé le 6-11
Relance le 10-11 &gt; ne repond pas au telephone - mail envoyé</t>
  </si>
  <si>
    <t>Demande correction des fichiers à Flo le 10/11 - Au final j'ai fait les modifs - BAT V1 envoyé le 10/11 - FAB A FAIRE</t>
  </si>
  <si>
    <t>Euronet bleu merchant fill retrait 200H</t>
  </si>
  <si>
    <t>Euronet FRRD0523</t>
  </si>
  <si>
    <t>BAT 1 envoyé le 6-11
Relance le 10-11</t>
  </si>
  <si>
    <t>EDRA 05 GAP</t>
  </si>
  <si>
    <t>V1 envoyé le 31/10</t>
  </si>
  <si>
    <t>Ingecal</t>
  </si>
  <si>
    <t>BAT 1 envoyé le 6-11
Relance le 10-11 par téléphone</t>
  </si>
  <si>
    <t>Ville de Senlis</t>
  </si>
  <si>
    <t>Reprise dossier Marion
BAT 1 envoyé le 22-09
BAT 2 envoyé le 24-09
BAT 3 envoyé le 26-09
BAT 4 envoyé le 29-09
BAT 5 envoyé le 30-09
BAT 6 envoyé le 16-10</t>
  </si>
  <si>
    <t>Euronet vert  merchant fill 200H</t>
  </si>
  <si>
    <t>BAT 1 envoyé le 3-11</t>
  </si>
  <si>
    <t>EDRA 30 MILHAUD</t>
  </si>
  <si>
    <t>BAT V1 envoyé le 04/11</t>
  </si>
  <si>
    <t>EDRA 94. VITRY</t>
  </si>
  <si>
    <t>V1 envoyé le 30/10</t>
  </si>
  <si>
    <t>Mr Enseignes - Print and Com</t>
  </si>
  <si>
    <t>V1 envoyé le 06/11 - FAB A FAIRE</t>
  </si>
  <si>
    <t>Centre services Chalon - Extérieur - Rajout</t>
  </si>
  <si>
    <t>e3420365 - O sidney signalétique</t>
  </si>
  <si>
    <t>BAT V1 - 28/10
BAT V2 - 03/11
BAT V3 - 03/11
FAB - 06/11</t>
  </si>
  <si>
    <t>Lav Libre SQ Tolstoi</t>
  </si>
  <si>
    <t>BAT 1 envoyé le 5-11</t>
  </si>
  <si>
    <t>CO2510-4413 - MALCO - MOBALPA - Signalétique extérieure</t>
  </si>
  <si>
    <t>BAT V1 - 23/10
BAT V2 - 23/10
BAT V3 - 28/10
BAT V4 - 29/10
BAT V5 - 31/10
BAT V6 - 03/11
FAB - 04/11</t>
  </si>
  <si>
    <t>Temporis - Angers Nord</t>
  </si>
  <si>
    <t>BAT V1 envoyé le 05/11</t>
  </si>
  <si>
    <t>La salle ampere Mr</t>
  </si>
  <si>
    <t>MR ENSEIGNES - Vert Volt</t>
  </si>
  <si>
    <t>BAT V1 envoyé le 24/10 - V2 le 24/10</t>
  </si>
  <si>
    <t>Mr Enseignes - Totem CG Design</t>
  </si>
  <si>
    <t xml:space="preserve">Wash n dry </t>
  </si>
  <si>
    <t>BAT 1 envoyé le 3-11
BAT 2 envoyé le 4-11</t>
  </si>
  <si>
    <t>SQ Bruz R interieur</t>
  </si>
  <si>
    <t xml:space="preserve">BAT 1 envoyé le 20-10
BAT 2 envoyé le 3-11
</t>
  </si>
  <si>
    <t>Destia - Lyon</t>
  </si>
  <si>
    <t>BAT V1 envoyé le 04/11 - FAB A FAIRE</t>
  </si>
  <si>
    <t>Yuly Institut</t>
  </si>
  <si>
    <t>Bloqué après la 4ème demande au client de fichier, pas de réponse, toutes les infos sont sur FP</t>
  </si>
  <si>
    <t xml:space="preserve">CO2510-4372 - GROUPE PLOMBERIE / CVC - CAISSONS LUMINEUX DF
</t>
  </si>
  <si>
    <t>BAT V1 - 23/10
FAB - 03/11</t>
  </si>
  <si>
    <t>CO2509-4326 - POKE DAILY - PVC BACKLIGHT POUR MENU BOARD LUMINEUX / CONCEPTION GRAPHIQUE</t>
  </si>
  <si>
    <t>BAT V1 - 06/10 
BAT V2 - 08/10 
BAT V3 - 14/10
BAT V4 - 14/10
BAT V5 - 21/10
BAT V6 - 22/10
FAB - 29/10</t>
  </si>
  <si>
    <t>Euronet FRMD2260</t>
  </si>
  <si>
    <t>BAT 1 envoyé le 29-10
BAT 2 envoyé le 31-10</t>
  </si>
  <si>
    <t>Euronet FRMD2261</t>
  </si>
  <si>
    <t>BAT 1 envoyé le 30-10</t>
  </si>
  <si>
    <t>Centre services -Courbevoie Intérieur</t>
  </si>
  <si>
    <t>Centre services Brest - Intérieur</t>
  </si>
  <si>
    <t>Centre Services - Landerneau - Intérieur</t>
  </si>
  <si>
    <t>Mister Enseignes - Fast and Diet</t>
  </si>
  <si>
    <t>V1 envoyé le 30/10 - FAB A FAIRE</t>
  </si>
  <si>
    <t>Euronet FRMD2254</t>
  </si>
  <si>
    <t>BAT fait le 30-10</t>
  </si>
  <si>
    <t>BAT V1 envoyé le 30/10 - FAB A FAIRE URGENTE</t>
  </si>
  <si>
    <t>Euronet FRMD0500</t>
  </si>
  <si>
    <t>Lissac Audition - Villeneuve d'Ascq</t>
  </si>
  <si>
    <t>BAT V1 envoyé le 24/10 - FAB A FAIRE</t>
  </si>
  <si>
    <t>Mr Enseignes - Blanc Publicité</t>
  </si>
  <si>
    <t>BAT V1 envoyé le 30/10 - FAB A FAIRE</t>
  </si>
  <si>
    <t>Euronet FRRD0517</t>
  </si>
  <si>
    <t>Demande fichier exploitable le 24-10
BAT 1 envoyé le 30-10</t>
  </si>
  <si>
    <t>Temporis - Bapaume 2e commande</t>
  </si>
  <si>
    <t>Temporis - Deauville</t>
  </si>
  <si>
    <t>BAT V1 envoyé le 23/10 - V2 le 30/10 - FAB A FAIRE</t>
  </si>
  <si>
    <t>Destia - Epinay sur Orge</t>
  </si>
  <si>
    <t>BAT V1 franchiseur + BAT VT envoyé le 16/09 - V2 le 17 - V3 le 23/09 - BAT Mairie préparé le 24/09 - FAB A FAIRE</t>
  </si>
  <si>
    <t>Cave Gencel</t>
  </si>
  <si>
    <t>BAT V1 envoyé le 30/10 - FAB A FAIRE DES DEUX CAISSONS</t>
  </si>
  <si>
    <t>Temporis - Ancenis</t>
  </si>
  <si>
    <t>V1 envoyé le 29/10</t>
  </si>
  <si>
    <t>Croquazur - Aubagne</t>
  </si>
  <si>
    <t>BAT client + BAT VT envoyé le 27/10 - Préparation des enseignes en FAB + relance client pour fichiers adhésifs le 28/10 - FAB A FAIRE</t>
  </si>
  <si>
    <t>Euronet FRMD2238 R</t>
  </si>
  <si>
    <t>SQ Montbeliard R</t>
  </si>
  <si>
    <t>BAT 1 envoyé le 23-10</t>
  </si>
  <si>
    <t>CO2510-4354_2 - EDRA S.A - Devis _02_CHATEAU-THIERRY_DESSON MAURICE ET RENE</t>
  </si>
  <si>
    <t>BAT V1 - 09/10 
FAB - 28/10</t>
  </si>
  <si>
    <t>CO2510-4370_2 - EDRA S.A - Devis _22_LANNION_CARROSSERIE COLLET</t>
  </si>
  <si>
    <t>BAT V1 - 16/10 
FAB - 28/10</t>
  </si>
  <si>
    <t>CO2510-4371 - RENOVERT - MARQUAGE VEHICULE</t>
  </si>
  <si>
    <t>BAT V1  - 21/10 
BAT V2 - 22/10
BAT V3 - 22/10
FAB - 28/10</t>
  </si>
  <si>
    <t>Mr Enseignes - Boivin</t>
  </si>
  <si>
    <t>V1 envoyé le 27/10</t>
  </si>
  <si>
    <t>Euronet bleu small merchant 100 D -cash</t>
  </si>
  <si>
    <t>BAT 1 envoyé le 27-10</t>
  </si>
  <si>
    <t>Temporis - Audincourt</t>
  </si>
  <si>
    <t>BAT V1 envoyé le 27/10</t>
  </si>
  <si>
    <t>SQ Mimizan interieur</t>
  </si>
  <si>
    <t xml:space="preserve">Attente de brief
Bloqué &gt; susceptible d'être annulé
Relance le 2-10 </t>
  </si>
  <si>
    <t>SQ Mimizan exterieur</t>
  </si>
  <si>
    <t>BAT VT fait le 10-09
BAT 1 envoyé le 11-09
Bloqué &gt; susceptible d'être annulé
Relance le 2-10</t>
  </si>
  <si>
    <t>Novi - Flin sur Seine</t>
  </si>
  <si>
    <t>Renvoie de la maquette initiale à Marie-Odile le 17/09 - Modif maquette, validation Marie-Odile et envoie au franchisé le 18/09 - Annulation de l'envoi au franchisé, Marie-Odile veut d'abord faire sa visio avec le franchisé - En date du 18/09 - Nouveau BAT le 01/10 - BAT VX le 02/10 - Validation franchiseur et envoie au franchisé le 02/10 - Passage en devis pour Michael - Modif BAT à faire - Modif envoyé le 22/10 - FAB A FAIRE</t>
  </si>
  <si>
    <t>SQ Sathonay camp exterieur</t>
  </si>
  <si>
    <t>BAT VT fait le 10-09
BAT 1 envoyé le 15-09
BAT 2 envoyé le 25-09
BAT mairie fait le 25-09</t>
  </si>
  <si>
    <t>Brenntag - Chassieu</t>
  </si>
  <si>
    <t>V1 envoyé le 27/10 - FAB A FAIRE</t>
  </si>
  <si>
    <t>SQ Bayonne Foch exterieur</t>
  </si>
  <si>
    <t>BAT VT fait le 26-02
VT incomplete le 14-04
BAT 1 envoyé le 12-06
BAT 2 envoyé le 13-06
Relance le 23-06
BAT mairie fait le 30-06
BAT 3 envoyé le 8-07 (ajout microperf n°2)
Refus mairie
BAT 4 envoyé le 31-07
BAT 5 envoyé le 1-08
demande à Nathan si on met un panneau fond blanc ou fond gris le 14-08 - en attente de reponse
BAT 6 envoyé le 18-08
Relance le 20-08
BAT mairie envoyé le 21-08</t>
  </si>
  <si>
    <t>Euronet merhant fill 100D</t>
  </si>
  <si>
    <t>Euronet FRMD2257</t>
  </si>
  <si>
    <t>BAT 1 envoyé le 24-10
BAT 2 envoyé le 24-10</t>
  </si>
  <si>
    <t>Euronet FRMD2256</t>
  </si>
  <si>
    <t>BAT 1 envoyé le 24-10</t>
  </si>
  <si>
    <t>Mr Enseignes - Topadev Bonaparte</t>
  </si>
  <si>
    <t>V1 envoyé le 23/10 - FAB A FAIRE + rajout de mention sur le BAT</t>
  </si>
  <si>
    <t>Euronet 100D x10 co2510-4435</t>
  </si>
  <si>
    <t>Brenntag - Vitrolles</t>
  </si>
  <si>
    <t xml:space="preserve">FAB A FAIRE </t>
  </si>
  <si>
    <t>Euronet vert  small merchant 100D</t>
  </si>
  <si>
    <t>BAT 1 envoyé le 21-10
BAT 2 envoyé le 22-10
BAT 3 envoyé le 22-10</t>
  </si>
  <si>
    <t>Destia - Henin Beaumont</t>
  </si>
  <si>
    <t>SQ Sathonay camp interieur</t>
  </si>
  <si>
    <t>Attente de brief
Relance le 2-10 
BAT 1 envoyé le 21-10</t>
  </si>
  <si>
    <t>SQ Chambery Veyrat Exterieur</t>
  </si>
  <si>
    <t>BAT VT fait le 16-04
BAT 1 envoyé le 30-04
Relance le 6-05
BAT 2 fait le 7-05
BAT mairie fait le 7-05
mairie annulé car modification demandé le 15-05
BAT 3 envoyé le 15-05
BAT mairie fait le 3-06
Refus mairie
Nouveau BAT envoyé le 18-08 &gt; en attente de validation pour renvoi en mairie (doc prêt)
BAT validé - BAT mairie renvoyé le 18-08</t>
  </si>
  <si>
    <t>Euronet FRMD0478</t>
  </si>
  <si>
    <t xml:space="preserve">BAT 1 envoyé le 14-10
BAT 2 envoyé le 21-10
BAT 3 envoyé le 22-10
</t>
  </si>
  <si>
    <t>f71222aa - CITY LOCKER - PARIS 75</t>
  </si>
  <si>
    <t>REFAB - 22/10</t>
  </si>
  <si>
    <t>CO2510-4406_2 - EDRA S.A - Devis _85_LA ROCHE SUR YON_AUTO CARROSSERIE CHRISTIAN ROY</t>
  </si>
  <si>
    <t>BAT V1  - 21/10 
FAB - 22/10</t>
  </si>
  <si>
    <t>CO2509-4226_1 - MSP Villeurbanne Cusset</t>
  </si>
  <si>
    <t>Euronet small merchant secu</t>
  </si>
  <si>
    <t>Attente elements client
Relance le 19-08</t>
  </si>
  <si>
    <t>Temporis - Bapaume</t>
  </si>
  <si>
    <t>BAT V1 le 10/10 - FAB A FAIRE</t>
  </si>
  <si>
    <t>Novi - Nimes</t>
  </si>
  <si>
    <t>Dossier Urgent - BAT VT envoyé le 18/06 - V1 envoyé le 26/08 - Mail du 13/11 = STANDBY - Relance le 12/03/25 - Suite mail de Michael, on archive</t>
  </si>
  <si>
    <t>Novi - Antony</t>
  </si>
  <si>
    <t>Dossier Urgent - BAT VT envoyé le 17/07 - BAT V1 envoyé le 30/07 - V2 le 09/09 - Envoie au franchisé le 12/09 - Mail du 13/11 = Dossier mairie côté Novi - Relance le 12/03/25 - Suite mail de Michael, on archive</t>
  </si>
  <si>
    <t>Novi - Saint Quay Perros</t>
  </si>
  <si>
    <t>BAT VT envoyé le 11/07 - BAT V1 envoyé le 23/07 - Relance le 12/03/25  - Suite mail de Michael, on archive</t>
  </si>
  <si>
    <t>Novi - Lourdes</t>
  </si>
  <si>
    <t>Dossier Urgent - BAT VT envoyé le 18/06 - V1 envoyé le 17/07 - V2 le 05/08 - Mail du 13/11 = STANDBY - Relance le 12/03/25 -  - Suite mail de Michael, on archive</t>
  </si>
  <si>
    <t>Novi - Mauguio</t>
  </si>
  <si>
    <t>BAT VT envoyé le 18/06 - V1 Envoyé le 01/08 - V2 le 23/08 - Stand-by suite mail du 11/09 - Relance le 16/10 - Toujours en stand by - Relance le 12/03/25 - Suite mail de Michael, on archive</t>
  </si>
  <si>
    <t>CO2509-4207 - EASY CHARGE - TDEC Services de Lus la Croix Haute (LCH) - 2 BORNES 180 kW</t>
  </si>
  <si>
    <t>BAT V1 - 20/10
FAB - 21/10</t>
  </si>
  <si>
    <t>CO2510-4356_2 - EDRA S.A - Devis _13_Marseille_AVANCAR</t>
  </si>
  <si>
    <t>BAT V1 - 09/10
FAB - 21/10</t>
  </si>
  <si>
    <t>CO2510-4357_1 - EDRA S.A - Devis _95_CHAMPAGNE-SUR-OISE_BL AUTO- Graphisme BAT</t>
  </si>
  <si>
    <t>BAT V1 - 10/10
FAB - 21/10</t>
  </si>
  <si>
    <t>CO2510-4403 - MR ENSEIGNES - SYNAPSYS</t>
  </si>
  <si>
    <r>
      <rPr>
        <rFont val="Comfortaa"/>
        <i val="0"/>
        <color rgb="FF000000"/>
      </rPr>
      <t>BAT V1</t>
    </r>
    <r>
      <rPr>
        <rFont val="Comfortaa"/>
        <b/>
        <i val="0"/>
        <color rgb="FF000000"/>
      </rPr>
      <t xml:space="preserve"> -</t>
    </r>
    <r>
      <rPr>
        <rFont val="Comfortaa"/>
        <i val="0"/>
        <color rgb="FF000000"/>
      </rPr>
      <t xml:space="preserve"> 20/10
FAB - 21/10</t>
    </r>
  </si>
  <si>
    <t>Atol R</t>
  </si>
  <si>
    <t>BAT 1 envoyé le 21-10</t>
  </si>
  <si>
    <t>SQ Strasbourg Vauban Exterieur</t>
  </si>
  <si>
    <t>BAT VT fait le 17-04
BAT 1 envoyé le 14-05
Relance le 14-05
BAT mairie fait le 12-06
BAT 2 envoyé le 17-06
VT 2 demandé le 17-06
on laisse le dossier mairie ainsi déjà lancé pour le moment - Paul a validé le BAT le 30-06. FAB en fonction du BAT et non du BAT mairie (pour laisse la place à l'aération)
BAT 3 modifié le 8-07 avec nouvelle dimension
Refus mairie le 24-07 - BAT 3 envoyé le 24-07
BAT mairie fait le 25-07</t>
  </si>
  <si>
    <t>SQ Caillan extérieur</t>
  </si>
  <si>
    <t>BAT VT fait le 8-07
BAT 1 envoyé le 24-07
Relance le 24-07
Relance le 30-07
BAT mairie fait le 30-07</t>
  </si>
  <si>
    <t>CAPSA SEB</t>
  </si>
  <si>
    <t>BAT 1 envoyé le 9-10
BAT 2 envoyé le 17-10</t>
  </si>
  <si>
    <t>CO2510-4396 - MR ENSEIGNES - Le Garage du Design - Caisson- Graphisme BAT</t>
  </si>
  <si>
    <r>
      <rPr>
        <rFont val="Comfortaa"/>
        <b/>
        <i val="0"/>
        <color rgb="FF000000"/>
      </rPr>
      <t>BAT</t>
    </r>
    <r>
      <rPr>
        <rFont val="Comfortaa"/>
        <i val="0"/>
        <color rgb="FF000000"/>
      </rPr>
      <t xml:space="preserve"> 16/10
</t>
    </r>
    <r>
      <rPr>
        <rFont val="Comfortaa"/>
        <b/>
        <i val="0"/>
        <color rgb="FF000000"/>
      </rPr>
      <t>FAB</t>
    </r>
    <r>
      <rPr>
        <rFont val="Comfortaa"/>
        <i val="0"/>
        <color rgb="FF000000"/>
      </rPr>
      <t xml:space="preserve"> 16/10</t>
    </r>
  </si>
  <si>
    <t>ONET Bosh</t>
  </si>
  <si>
    <t xml:space="preserve">City Locker 5 drapeau </t>
  </si>
  <si>
    <r>
      <rPr>
        <rFont val="Comfortaa"/>
        <b/>
        <color rgb="FFFF6D01"/>
      </rPr>
      <t>BAT à faire</t>
    </r>
    <r>
      <rPr>
        <rFont val="Comfortaa"/>
        <color theme="1"/>
      </rPr>
      <t xml:space="preserve"> attente retour client sur emplacement des drapeau 
Retour reçu le 9/10
Autre interrogation sur le fait de mettre un drapeau sur le coffrage d'un rideau metallique attente retour Jordan, demandé à Carolesi pas de retour Lundi
BAT envoyé le 15/10
Validé le 16/10 mais attente d'une réponse d'antoine parce qu'on sait pas si il y ades arrivvées elec partout et le client répond pas 
</t>
    </r>
    <r>
      <rPr>
        <rFont val="Comfortaa"/>
        <b/>
        <color rgb="FFFF6D01"/>
      </rPr>
      <t>Attente réponse d'Antoine pour envoyer en FAB</t>
    </r>
  </si>
  <si>
    <t>Etiquettes papi Michael</t>
  </si>
  <si>
    <t>BAT 1 envoyé le 20-10</t>
  </si>
  <si>
    <t>SQ Paris Saussure R</t>
  </si>
  <si>
    <t>CO2507-3948_2 - AUSTRAL SOLAR FRANCE - AGENCE DE BORDEAUX-</t>
  </si>
  <si>
    <r>
      <rPr>
        <rFont val="Comfortaa"/>
        <b/>
        <i val="0"/>
        <color rgb="FF000000"/>
      </rPr>
      <t>FAB</t>
    </r>
    <r>
      <rPr>
        <rFont val="Comfortaa"/>
        <i val="0"/>
        <color rgb="FF000000"/>
      </rPr>
      <t xml:space="preserve"> 20/10</t>
    </r>
  </si>
  <si>
    <t xml:space="preserve">TGS Fitness - adhésif </t>
  </si>
  <si>
    <t xml:space="preserve">BAT à faire - recpetion des fichiers normalement lundi </t>
  </si>
  <si>
    <t>LVB Salon 33</t>
  </si>
  <si>
    <r>
      <rPr>
        <rFont val="Comfortaa"/>
        <b/>
        <color theme="1"/>
      </rPr>
      <t xml:space="preserve">BAT à faire </t>
    </r>
    <r>
      <rPr>
        <rFont val="Comfortaa"/>
        <color theme="1"/>
      </rPr>
      <t xml:space="preserve">(attente retour Avner pour passer l'adhésif découpé en ultra transparents)
BAT le 9/10
Retour reçu le 9/10
BAT envoyé le 14/10
BAT v 3 envoyé le 15/10
</t>
    </r>
    <r>
      <rPr>
        <rFont val="Comfortaa"/>
        <b/>
        <color theme="8"/>
      </rPr>
      <t>Rien à faire</t>
    </r>
  </si>
  <si>
    <t>BAT 1 envoyé le 16-10</t>
  </si>
  <si>
    <t>CO2510-4341_1 - EDRA S.A - Devis _51_ÉPERNAY_CARROSSERIE DU QUAI DE LA MARNE</t>
  </si>
  <si>
    <r>
      <rPr>
        <rFont val="Comfortaa"/>
        <b/>
        <i val="0"/>
        <color rgb="FF000000"/>
      </rPr>
      <t xml:space="preserve">06/10 </t>
    </r>
    <r>
      <rPr>
        <rFont val="Comfortaa"/>
        <i val="0"/>
        <color rgb="FF000000"/>
      </rPr>
      <t xml:space="preserve">BAT
</t>
    </r>
    <r>
      <rPr>
        <rFont val="Comfortaa"/>
        <b/>
        <i val="0"/>
        <color rgb="FF000000"/>
      </rPr>
      <t>16/10</t>
    </r>
    <r>
      <rPr>
        <rFont val="Comfortaa"/>
        <i val="0"/>
        <color rgb="FF000000"/>
      </rPr>
      <t xml:space="preserve"> FAB</t>
    </r>
  </si>
  <si>
    <t>BAT 1 fait le 16-10</t>
  </si>
  <si>
    <t>CO2510-4384_2 - EDRA S.A - Devis _62_HOULLE_TD CARROSSERIE GARAGE</t>
  </si>
  <si>
    <r>
      <rPr>
        <rFont val="Comfortaa"/>
        <b/>
        <i val="0"/>
        <color rgb="FF000000"/>
      </rPr>
      <t>13/10</t>
    </r>
    <r>
      <rPr>
        <rFont val="Comfortaa"/>
        <i val="0"/>
        <color rgb="FF000000"/>
      </rPr>
      <t xml:space="preserve"> BAT
</t>
    </r>
    <r>
      <rPr>
        <rFont val="Comfortaa"/>
        <b/>
        <i val="0"/>
        <color rgb="FF000000"/>
      </rPr>
      <t>16/10</t>
    </r>
    <r>
      <rPr>
        <rFont val="Comfortaa"/>
        <i val="0"/>
        <color rgb="FF000000"/>
      </rPr>
      <t xml:space="preserve"> FAB</t>
    </r>
  </si>
  <si>
    <t>CO2510-4376_2 - EDRA S.A - Devis _13_TARASCON_CARROSSERIE NOUVELLE II</t>
  </si>
  <si>
    <r>
      <rPr>
        <rFont val="Comfortaa"/>
        <b/>
        <i val="0"/>
        <color rgb="FF000000"/>
      </rPr>
      <t>13/10</t>
    </r>
    <r>
      <rPr>
        <rFont val="Comfortaa"/>
        <i val="0"/>
        <color rgb="FF000000"/>
      </rPr>
      <t xml:space="preserve"> BAT
</t>
    </r>
    <r>
      <rPr>
        <rFont val="Comfortaa"/>
        <b/>
        <i val="0"/>
        <color rgb="FF000000"/>
      </rPr>
      <t>16/10</t>
    </r>
    <r>
      <rPr>
        <rFont val="Comfortaa"/>
        <i val="0"/>
        <color rgb="FF000000"/>
      </rPr>
      <t xml:space="preserve"> BAT</t>
    </r>
  </si>
  <si>
    <t xml:space="preserve">MR Digital Virgo </t>
  </si>
  <si>
    <r>
      <rPr>
        <rFont val="Comfortaa"/>
        <color theme="1"/>
      </rPr>
      <t xml:space="preserve">BAT envoyé le 2/10
</t>
    </r>
    <r>
      <rPr>
        <rFont val="Comfortaa"/>
        <b/>
        <color rgb="FFFF6D01"/>
      </rPr>
      <t>Rien à faire FAB le 1510</t>
    </r>
  </si>
  <si>
    <t>Normes et concpet</t>
  </si>
  <si>
    <t>BAT et FAB le 15/10</t>
  </si>
  <si>
    <t>Airflex cadre</t>
  </si>
  <si>
    <t>BAT 1 envoyé le 30-09
BAT 2 envoyé le 15-10</t>
  </si>
  <si>
    <t>82fe739f - RENOVERT - PLAQUETTE</t>
  </si>
  <si>
    <r>
      <rPr>
        <rFont val="Comfortaa"/>
        <b/>
        <color theme="1"/>
      </rPr>
      <t xml:space="preserve"> 04/03 - 14/03 - 24/03 - 21/07</t>
    </r>
    <r>
      <rPr>
        <rFont val="Comfortaa"/>
        <color theme="1"/>
      </rPr>
      <t xml:space="preserve"> Relance 
</t>
    </r>
    <r>
      <rPr>
        <rFont val="Comfortaa"/>
        <b/>
        <color theme="1"/>
      </rPr>
      <t xml:space="preserve">02/04 - 07/05  </t>
    </r>
    <r>
      <rPr>
        <rFont val="Comfortaa"/>
        <color theme="1"/>
      </rPr>
      <t>BAT Plaquette</t>
    </r>
    <r>
      <rPr>
        <rFont val="Comfortaa"/>
        <b/>
        <color theme="1"/>
      </rPr>
      <t xml:space="preserve">
25/06 </t>
    </r>
    <r>
      <rPr>
        <rFont val="Comfortaa"/>
        <color theme="1"/>
      </rPr>
      <t xml:space="preserve">BAT FINAL
</t>
    </r>
    <r>
      <rPr>
        <rFont val="Comfortaa"/>
        <b/>
        <color theme="1"/>
      </rPr>
      <t>26/06</t>
    </r>
    <r>
      <rPr>
        <rFont val="Comfortaa"/>
        <color theme="1"/>
      </rPr>
      <t xml:space="preserve"> Attente de validation de la part des responsables RENOVERT. </t>
    </r>
    <r>
      <rPr>
        <rFont val="Comfortaa"/>
        <i/>
        <color rgb="FF999999"/>
      </rPr>
      <t xml:space="preserve">
</t>
    </r>
    <r>
      <rPr>
        <rFont val="Comfortaa"/>
        <b/>
        <color theme="1"/>
      </rPr>
      <t>30/07</t>
    </r>
    <r>
      <rPr>
        <rFont val="Comfortaa"/>
        <color theme="1"/>
      </rPr>
      <t xml:space="preserve"> Demande de modifications de la plaquette
</t>
    </r>
    <r>
      <rPr>
        <rFont val="Comfortaa"/>
        <b/>
        <color theme="1"/>
      </rPr>
      <t>07/10</t>
    </r>
    <r>
      <rPr>
        <rFont val="Comfortaa"/>
        <color theme="1"/>
      </rPr>
      <t xml:space="preserve"> BAT</t>
    </r>
  </si>
  <si>
    <t>Pano macon</t>
  </si>
  <si>
    <t>BAT 1 envoyé le 14-10</t>
  </si>
  <si>
    <t xml:space="preserve">CO2509-4260 - VALLOIS BUREAU D'ETUDE </t>
  </si>
  <si>
    <r>
      <rPr>
        <rFont val="Comfortaa"/>
        <b/>
        <i val="0"/>
        <color rgb="FF000000"/>
      </rPr>
      <t>13/10</t>
    </r>
    <r>
      <rPr>
        <rFont val="Comfortaa"/>
        <i val="0"/>
        <color rgb="FF000000"/>
      </rPr>
      <t xml:space="preserve"> BAT
</t>
    </r>
    <r>
      <rPr>
        <rFont val="Comfortaa"/>
        <b/>
        <i val="0"/>
        <color rgb="FF000000"/>
      </rPr>
      <t>14/10</t>
    </r>
    <r>
      <rPr>
        <rFont val="Comfortaa"/>
        <i val="0"/>
        <color rgb="FF000000"/>
      </rPr>
      <t xml:space="preserve"> FAB</t>
    </r>
  </si>
  <si>
    <t>CO2509-4335 - Point Code Lormont - Adhésifs vitrine</t>
  </si>
  <si>
    <r>
      <rPr>
        <rFont val="Comfortaa"/>
        <b/>
        <i val="0"/>
        <color rgb="FF000000"/>
      </rPr>
      <t>09/10</t>
    </r>
    <r>
      <rPr>
        <rFont val="Comfortaa"/>
        <i val="0"/>
        <color rgb="FF000000"/>
      </rPr>
      <t xml:space="preserve"> BAT
</t>
    </r>
    <r>
      <rPr>
        <rFont val="Comfortaa"/>
        <b/>
        <i val="0"/>
        <color rgb="FF000000"/>
      </rPr>
      <t>14/10</t>
    </r>
    <r>
      <rPr>
        <rFont val="Comfortaa"/>
        <i val="0"/>
        <color rgb="FF000000"/>
      </rPr>
      <t xml:space="preserve"> FAB </t>
    </r>
  </si>
  <si>
    <t>CO2509-4210 - JURI GESTION - Adhésifs pour vitrage + enseigne double-face</t>
  </si>
  <si>
    <r>
      <rPr>
        <rFont val="Comfortaa"/>
        <b/>
        <i val="0"/>
        <color rgb="FF000000"/>
      </rPr>
      <t>17/09 - 24/09 - 25/09 - 02/10</t>
    </r>
    <r>
      <rPr>
        <rFont val="Comfortaa"/>
        <i val="0"/>
        <color rgb="FF000000"/>
      </rPr>
      <t xml:space="preserve"> BAT
</t>
    </r>
    <r>
      <rPr>
        <rFont val="Comfortaa"/>
        <b/>
        <i val="0"/>
        <color rgb="FF000000"/>
      </rPr>
      <t>14/10</t>
    </r>
    <r>
      <rPr>
        <rFont val="Comfortaa"/>
        <i val="0"/>
        <color rgb="FF000000"/>
      </rPr>
      <t xml:space="preserve"> FAB </t>
    </r>
  </si>
  <si>
    <t>Mr VLC Conseil</t>
  </si>
  <si>
    <r>
      <rPr>
        <rFont val="Comfortaa"/>
        <b val="0"/>
        <color rgb="FF000000"/>
      </rPr>
      <t>BAT fait le 10/10</t>
    </r>
    <r>
      <rPr>
        <rFont val="Comfortaa"/>
        <b/>
        <color rgb="FFFF6D01"/>
      </rPr>
      <t xml:space="preserve">
</t>
    </r>
    <r>
      <rPr>
        <rFont val="Comfortaa"/>
        <b val="0"/>
        <color rgb="FF000000"/>
      </rPr>
      <t>retour le 10/10 &gt; BAT à faire (URGENT)</t>
    </r>
    <r>
      <rPr>
        <rFont val="Comfortaa"/>
        <b/>
        <color rgb="FFFF6D01"/>
      </rPr>
      <t xml:space="preserve">
BAT fait le 13/10
FAB le 14/10</t>
    </r>
  </si>
  <si>
    <t>GUY HOIQUET MARGNY Les Compiègnes</t>
  </si>
  <si>
    <r>
      <rPr>
        <rFont val="Comfortaa"/>
        <color theme="1"/>
      </rPr>
      <t xml:space="preserve">En attente Validation nouveau BAT par le franchisé suite refus mairie. BAT relancé le 13/02
Suite refus mairie &gt; nouveau BAT franchiseur le 12/03
BAT mairie 28/05
</t>
    </r>
    <r>
      <rPr>
        <rFont val="Comfortaa"/>
        <color theme="8"/>
      </rPr>
      <t xml:space="preserve">retour mairie le 10/10 &gt; </t>
    </r>
    <r>
      <rPr>
        <rFont val="Comfortaa"/>
        <b/>
        <color theme="8"/>
      </rPr>
      <t xml:space="preserve">
FAB A FAIRE</t>
    </r>
  </si>
  <si>
    <t>Agraph com</t>
  </si>
  <si>
    <t>Euronet R FRMD2223</t>
  </si>
  <si>
    <t>Molsehim Orthopédie</t>
  </si>
  <si>
    <r>
      <rPr>
        <rFont val="Comfortaa"/>
        <color theme="1"/>
      </rPr>
      <t>Reprise dossier Marion</t>
    </r>
    <r>
      <rPr>
        <rFont val="Comfortaa"/>
        <b/>
        <color rgb="FFFF6D01"/>
      </rPr>
      <t xml:space="preserve">
</t>
    </r>
    <r>
      <rPr>
        <rFont val="Comfortaa"/>
        <color theme="1"/>
      </rPr>
      <t xml:space="preserve">En mairie + BAT validé
Retour mairie le 10/10
</t>
    </r>
    <r>
      <rPr>
        <rFont val="Comfortaa"/>
        <b/>
        <color rgb="FFFF6D01"/>
      </rPr>
      <t>FAB A FAIRE</t>
    </r>
  </si>
  <si>
    <t xml:space="preserve">Studio Mischa </t>
  </si>
  <si>
    <r>
      <rPr>
        <rFont val="Comfortaa"/>
        <b val="0"/>
        <color rgb="FF000000"/>
      </rPr>
      <t>BAT à faire (attente visuel de Melissa)
BAT envoyé le 9/10</t>
    </r>
    <r>
      <rPr>
        <rFont val="Comfortaa"/>
        <b/>
        <color rgb="FFFF6D01"/>
      </rPr>
      <t xml:space="preserve">
FAB A FAIRE</t>
    </r>
  </si>
  <si>
    <t>Euronet FRMD0333</t>
  </si>
  <si>
    <t>BAT 1 envoyé le 13-10</t>
  </si>
  <si>
    <t>CO2506-3945_1 - EASY CHARGE</t>
  </si>
  <si>
    <r>
      <rPr>
        <rFont val="Comfortaa"/>
        <b/>
        <i val="0"/>
        <color rgb="FF000000"/>
      </rPr>
      <t xml:space="preserve">30/09 </t>
    </r>
    <r>
      <rPr>
        <rFont val="Comfortaa"/>
        <i val="0"/>
        <color rgb="FF000000"/>
      </rPr>
      <t xml:space="preserve">BAT
</t>
    </r>
    <r>
      <rPr>
        <rFont val="Comfortaa"/>
        <b/>
        <i val="0"/>
        <color rgb="FF000000"/>
      </rPr>
      <t>13/10</t>
    </r>
    <r>
      <rPr>
        <rFont val="Comfortaa"/>
        <i val="0"/>
        <color rgb="FF000000"/>
      </rPr>
      <t xml:space="preserve"> FAB</t>
    </r>
  </si>
  <si>
    <t>M2 numérique</t>
  </si>
  <si>
    <t>Dyna</t>
  </si>
  <si>
    <t>Point S furiani</t>
  </si>
  <si>
    <t xml:space="preserve">Kelvika plexi </t>
  </si>
  <si>
    <r>
      <rPr>
        <rFont val="Comfortaa"/>
        <b val="0"/>
        <color rgb="FF000000"/>
      </rPr>
      <t xml:space="preserve">BAT à Faire
BAT le 9/10
</t>
    </r>
    <r>
      <rPr>
        <rFont val="Comfortaa"/>
        <b/>
        <color rgb="FFFF6D01"/>
      </rPr>
      <t>Rien à faire</t>
    </r>
  </si>
  <si>
    <t>TGS Fitness</t>
  </si>
  <si>
    <r>
      <rPr>
        <rFont val="Comfortaa"/>
        <color theme="1"/>
      </rPr>
      <t xml:space="preserve">BAT envoyé le 7/10
</t>
    </r>
    <r>
      <rPr>
        <rFont val="Comfortaa"/>
        <b/>
        <color rgb="FFFF6D01"/>
      </rPr>
      <t>FAB A FAIRE</t>
    </r>
  </si>
  <si>
    <t>Euronet stock bondoufle</t>
  </si>
  <si>
    <t>BAT 1 envoyé le 2-10
BAT 2 envoyé le 6-10</t>
  </si>
  <si>
    <t>Temporis - Toulouse santé</t>
  </si>
  <si>
    <t>V1 envoyé le 09/10 - FAB Pré préparé, plus qu'à passer la tâche en "FAITE" si pas de modif</t>
  </si>
  <si>
    <t>Temporis - Chalons en Champagne</t>
  </si>
  <si>
    <t>CO2509-4228 - LES FERMETURES VISA - ENSEIGNE EXTÉRIEURE EN ALU ÉPAISSEUR 3mm</t>
  </si>
  <si>
    <r>
      <rPr>
        <rFont val="Comfortaa"/>
        <b/>
        <i val="0"/>
        <color rgb="FF000000"/>
      </rPr>
      <t xml:space="preserve">22/09 - 25/09 </t>
    </r>
    <r>
      <rPr>
        <rFont val="Comfortaa"/>
        <i val="0"/>
        <color rgb="FF000000"/>
      </rPr>
      <t xml:space="preserve">BAT
</t>
    </r>
    <r>
      <rPr>
        <rFont val="Comfortaa"/>
        <b/>
        <i val="0"/>
        <color rgb="FF000000"/>
      </rPr>
      <t>30/09</t>
    </r>
    <r>
      <rPr>
        <rFont val="Comfortaa"/>
        <i val="0"/>
        <color rgb="FF000000"/>
      </rPr>
      <t xml:space="preserve"> ST</t>
    </r>
  </si>
  <si>
    <t xml:space="preserve">Intersite </t>
  </si>
  <si>
    <r>
      <rPr>
        <rFont val="Comfortaa"/>
        <b/>
        <color rgb="FF000000"/>
      </rPr>
      <t xml:space="preserve">BAT envoyé le 7/10
</t>
    </r>
    <r>
      <rPr>
        <rFont val="Comfortaa"/>
        <b/>
        <color rgb="FFFF6D01"/>
      </rPr>
      <t>BAT à renvoyé avec des détails en +
BAT et FAB le 9/10</t>
    </r>
  </si>
  <si>
    <t>Crusta C</t>
  </si>
  <si>
    <t>V1 envoyé le 04/08 - Relance le 03/09 - V2 le 11/09</t>
  </si>
  <si>
    <t>TC Retail</t>
  </si>
  <si>
    <t>Demande de faisabilité et de devis à BS le 01/10 - BAT à faire à l'aveugle - V1 envoyé le 02/10 - V2 envoyé le 06/10 - Toutes les demandes de sous-traitances sont passés à Léa car congé, finalisation du dossier avec fichier de prod pour sous traitant à l'échelle 1:10e</t>
  </si>
  <si>
    <t>SQ Bruz interieur</t>
  </si>
  <si>
    <t>Attente de brief
Relance le 2-10
BAT 1 envoyé le 7-10</t>
  </si>
  <si>
    <t xml:space="preserve">SQ Grille </t>
  </si>
  <si>
    <t>Visuels propal fait le 9-10</t>
  </si>
  <si>
    <t>Centre Services Villejuif</t>
  </si>
  <si>
    <t>BAT V1 au franchiseur + BAT VT réalisé le 28/07 - V2 franchiseur le 29/07 - Validation franchiseur - Envoi au franchisé le 29/07 - Validation ok - Dossier mairie fait le 29/07</t>
  </si>
  <si>
    <t>SQ Berthelot exterieur</t>
  </si>
  <si>
    <t xml:space="preserve">BAT VT fait le 14-08
BAT 1 envoyé le 20-08
Relance le 28-08
BAT mairie fait le 1-09
Partie vitre mis en FAB le 2-10
</t>
  </si>
  <si>
    <t>Temporis - Mantes la jolie</t>
  </si>
  <si>
    <t>BAT V1 + BAT VT envoyé le 30/09 - FAB A FAIRE mais attente de la visite technique</t>
  </si>
  <si>
    <t>Centre Services Poitier - Extérieur</t>
  </si>
  <si>
    <t>BAT V1 + BAT VT envoyé le 13/08 - V2 envoyé le 19/08 - Validation franchiseur, V2 envoyé au franchisé le 20/08 - BAT Mairie fait le 21/08 - Modif BAT le 06/10</t>
  </si>
  <si>
    <t>Centre Services - Chalon en Champagne</t>
  </si>
  <si>
    <t>V1 envoyé le 04/06 - Ok franchiseur - BAT Mairie préparé et envoyé à Océane - BAT V2 le 01/08 suite refus mairie - Attente info kit horaire + réponse client pour l'enseigne principale puis FAB A FAIRE - Au final pas de FAB Maintenant, trop de question en cours avec le franchiseur - nouvelle version le 06/10</t>
  </si>
  <si>
    <t>Keatis</t>
  </si>
  <si>
    <t>Demande fichiers graphique au client le 1-10
Relance tel le 2-10 (message vocal)
BAT 1 envoyé le 7-10</t>
  </si>
  <si>
    <t xml:space="preserve">KElvika </t>
  </si>
  <si>
    <t>BAT 1/10 et FAB le 1/10</t>
  </si>
  <si>
    <t xml:space="preserve">Le point Tabac BAT mairie </t>
  </si>
  <si>
    <t>BAT mairie le 6/10</t>
  </si>
  <si>
    <t>BAT + FAB 8/10</t>
  </si>
  <si>
    <t xml:space="preserve">Fast &amp; Diet </t>
  </si>
  <si>
    <t>BAT à faire 
FAB le 1/10</t>
  </si>
  <si>
    <t xml:space="preserve">GYM Eleven TanaGym </t>
  </si>
  <si>
    <t>BAT à faire FAB le 7/10</t>
  </si>
  <si>
    <t>Afflelou dossier mairie</t>
  </si>
  <si>
    <t>BAT département fait le 29/09</t>
  </si>
  <si>
    <t>EUROFIN Lyon Croix rousse</t>
  </si>
  <si>
    <r>
      <rPr>
        <rFont val="Comfortaa"/>
        <b/>
        <color rgb="FFFF6D01"/>
      </rPr>
      <t>BAT fait à envoyer après V</t>
    </r>
    <r>
      <rPr>
        <rFont val="Comfortaa"/>
        <color theme="1"/>
      </rPr>
      <t>T - Vu avec Antoine, Jordan a fait partir le BAT le 10/09 pour les deux contact dans le FP - BAT sans VT donc provisoire - Mise à jour du BAT et de la maquette après visite technique + demande modification enseigne drapeau du client (on prévoit de commander l'enseigne chez Enseigne Plus puis de la laquer en interne)
FAB le 01/10</t>
    </r>
  </si>
  <si>
    <t xml:space="preserve">On Air Malaga </t>
  </si>
  <si>
    <r>
      <rPr>
        <rFont val="Comfortaa"/>
        <color theme="1"/>
      </rPr>
      <t xml:space="preserve">BAT VT le 25/08
BAT à faire après visite technique pour avoir tous les détails
Mais J'ai fait un BAT juste pour les ensiegnes pour lancer cette partie en prod
Attente de validation de la part d'Antoine puis validation auprès de Jordan et 
FAB enseigne faite le 18/09
Attente d'info supplémentaire sur comment ça va être refait 
</t>
    </r>
    <r>
      <rPr>
        <rFont val="Comfortaa"/>
        <b/>
        <color rgb="FFFF6D01"/>
      </rPr>
      <t xml:space="preserve">Stand-by jusqu'à indication de Teddy ou Antoine plus Re BAt sur le projet dans sa globalité
</t>
    </r>
    <r>
      <rPr>
        <rFont val="Comfortaa"/>
        <color theme="1"/>
      </rPr>
      <t>FAB ET BAT final envoyé le 1/10</t>
    </r>
  </si>
  <si>
    <t xml:space="preserve">Dufour et theret </t>
  </si>
  <si>
    <r>
      <rPr>
        <rFont val="Comfortaa"/>
        <color theme="1"/>
      </rPr>
      <t xml:space="preserve">BAT le 8/08 bon je retrouve pas ...
BAT renvoyé le 13/08
ATtente confirmation RAL pour envoye en FAB
RAL reçu le 7/09 et BAT renvoyé le 7/09
</t>
    </r>
    <r>
      <rPr>
        <rFont val="Comfortaa"/>
        <b/>
        <color rgb="FFFF6D01"/>
      </rPr>
      <t xml:space="preserve">BAT renvoyer avec l'enseigne + petite (min. 17mm d'épaisseur)
</t>
    </r>
    <r>
      <rPr>
        <rFont val="Comfortaa"/>
        <color theme="1"/>
      </rPr>
      <t>FAB le 6/10</t>
    </r>
  </si>
  <si>
    <t>Anancours Toulon</t>
  </si>
  <si>
    <r>
      <rPr>
        <rFont val="Comfortaa"/>
        <color theme="1"/>
      </rPr>
      <t xml:space="preserve">BAT VT ET BAT à faire 
BAT le 11/06
FAB provisoire le 111/06
BAT v2 à faire -  contact par mail le 24/06 pour comprenre demande
BAT v3 le 3/07
BAT mairie le 4/07
Retour mairie le 4/08
BAT après retour mairie envoyé le 14/08
BAT v1 après retour maire 
en mairie
</t>
    </r>
    <r>
      <rPr>
        <rFont val="Comfortaa"/>
        <b/>
        <color rgb="FFFF6D01"/>
      </rPr>
      <t>FAB le 2/10</t>
    </r>
  </si>
  <si>
    <t>CO2509-4212 - Cabinet CAB02 - Adhésifs- Graphisme BAT</t>
  </si>
  <si>
    <r>
      <rPr>
        <rFont val="Comfortaa"/>
        <b/>
        <i val="0"/>
        <color rgb="FF000000"/>
      </rPr>
      <t xml:space="preserve">17/09 - 19/09 </t>
    </r>
    <r>
      <rPr>
        <rFont val="Comfortaa"/>
        <i val="0"/>
        <color rgb="FF000000"/>
      </rPr>
      <t xml:space="preserve">BAT
</t>
    </r>
    <r>
      <rPr>
        <rFont val="Comfortaa"/>
        <b/>
        <i val="0"/>
        <color rgb="FF000000"/>
      </rPr>
      <t>25/09</t>
    </r>
    <r>
      <rPr>
        <rFont val="Comfortaa"/>
        <i val="0"/>
        <color rgb="FF000000"/>
      </rPr>
      <t xml:space="preserve"> FAB</t>
    </r>
  </si>
  <si>
    <t>CO2508-4163 - EASY CHARGE</t>
  </si>
  <si>
    <r>
      <rPr>
        <rFont val="Comfortaa"/>
        <b/>
        <i val="0"/>
        <color rgb="FF000000"/>
      </rPr>
      <t xml:space="preserve">02/10 </t>
    </r>
    <r>
      <rPr>
        <rFont val="Comfortaa"/>
        <i val="0"/>
        <color rgb="FF000000"/>
      </rPr>
      <t xml:space="preserve">BAT
</t>
    </r>
    <r>
      <rPr>
        <rFont val="Comfortaa"/>
        <b/>
        <i val="0"/>
        <color rgb="FF000000"/>
      </rPr>
      <t>08/10</t>
    </r>
    <r>
      <rPr>
        <rFont val="Comfortaa"/>
        <i val="0"/>
        <color rgb="FF000000"/>
      </rPr>
      <t xml:space="preserve"> FAB</t>
    </r>
  </si>
  <si>
    <t xml:space="preserve">CO2509-4304 - ASSEMBLAGES ASSOCIES - REINTERVENTION </t>
  </si>
  <si>
    <r>
      <rPr>
        <rFont val="Comfortaa"/>
        <b/>
        <color rgb="FF000000"/>
      </rPr>
      <t>03/10</t>
    </r>
    <r>
      <rPr>
        <rFont val="Comfortaa"/>
        <color rgb="FF000000"/>
      </rPr>
      <t xml:space="preserve"> BAT
</t>
    </r>
    <r>
      <rPr>
        <rFont val="Comfortaa"/>
        <b/>
        <color rgb="FF000000"/>
      </rPr>
      <t>08/10</t>
    </r>
    <r>
      <rPr>
        <rFont val="Comfortaa"/>
        <color rgb="FF000000"/>
      </rPr>
      <t xml:space="preserve"> FAB</t>
    </r>
  </si>
  <si>
    <t>CAUA</t>
  </si>
  <si>
    <t xml:space="preserve">BAT 1 envoyé le 1-10
BAT 2 envoyé le 6-10
mise en fab bache le 6-10
BAT 3 envoyé le 6-10
</t>
  </si>
  <si>
    <t>CO2510-4344_2 - EDRA S.A - Devis _59_RONCQ_AUTOMOBILE DU DRONCKAERT</t>
  </si>
  <si>
    <r>
      <rPr>
        <rFont val="Comfortaa"/>
        <b/>
        <color rgb="FF000000"/>
      </rPr>
      <t>06/10</t>
    </r>
    <r>
      <rPr>
        <rFont val="Comfortaa"/>
        <color rgb="FF000000"/>
      </rPr>
      <t xml:space="preserve"> BAT
</t>
    </r>
    <r>
      <rPr>
        <rFont val="Comfortaa"/>
        <b/>
        <color rgb="FF000000"/>
      </rPr>
      <t>07/10</t>
    </r>
    <r>
      <rPr>
        <rFont val="Comfortaa"/>
        <color rgb="FF000000"/>
      </rPr>
      <t xml:space="preserve"> FAB</t>
    </r>
  </si>
  <si>
    <t>CO2509-4226 - MSP Villeurbanne Cusset - Signalétiques</t>
  </si>
  <si>
    <r>
      <rPr>
        <rFont val="Comfortaa"/>
        <b/>
        <i val="0"/>
        <color rgb="FF000000"/>
      </rPr>
      <t xml:space="preserve">23/09 - 02/10 </t>
    </r>
    <r>
      <rPr>
        <rFont val="Comfortaa"/>
        <i val="0"/>
        <color rgb="FF000000"/>
      </rPr>
      <t xml:space="preserve">BAT
</t>
    </r>
    <r>
      <rPr>
        <rFont val="Comfortaa"/>
        <b/>
        <i val="0"/>
        <color rgb="FF000000"/>
      </rPr>
      <t>07/10</t>
    </r>
    <r>
      <rPr>
        <rFont val="Comfortaa"/>
        <i val="0"/>
        <color rgb="FF000000"/>
      </rPr>
      <t xml:space="preserve"> FAB</t>
    </r>
  </si>
  <si>
    <t>Mr Enseignes - Pano Macon Ymanci</t>
  </si>
  <si>
    <t>V1 envoyé le 06/10</t>
  </si>
  <si>
    <t>Euronet FRMD0332</t>
  </si>
  <si>
    <t>BAT 1 envoyé le 6-10</t>
  </si>
  <si>
    <t>Euronet FRMD2255</t>
  </si>
  <si>
    <t>BAT 1 envoyé le 2-10</t>
  </si>
  <si>
    <t>Euronet FRMD2244</t>
  </si>
  <si>
    <t>BAT 1 envoyé le 3-10</t>
  </si>
  <si>
    <t>RIA FR16609</t>
  </si>
  <si>
    <t>BAT VT envoyé à Antoine et mise sous FP le 30-07
BAT VT 2 fait le 30-07
Relance le 20-08
Attente devis Antoine
BAT 1 envoyé le 24-09
Relance le 2-10</t>
  </si>
  <si>
    <t>Pizza land</t>
  </si>
  <si>
    <t>BAT 1 envoyé le 6-03
Relance le 27-03
BAT 2 envoyé le 2-04
Relance tel le 2-05 &gt; message vocal  
Relance le 20-06
BAT 3 envoyé le 1-08
Relance antoine le 2-10</t>
  </si>
  <si>
    <t>Sainte Maxi clean</t>
  </si>
  <si>
    <t>BAT1 envoyé le 1-10
Relance tel le 2-10</t>
  </si>
  <si>
    <t>Creative It</t>
  </si>
  <si>
    <t>V1 Envoyé le 01/10 - FAB A FAIRE</t>
  </si>
  <si>
    <t>Temporis - Haguenau</t>
  </si>
  <si>
    <t>Mail fait à la franchise pour plusieurs questions le 25/09 - BAT faisable + info complémentaire reçu par Michael - A FAIRE - V1 envoyé le 29/09 - V2 le 30/09 - FAB A FAIRE</t>
  </si>
  <si>
    <t>CO2508-4186_1 - NOVI - Enseignes et signalétique Institut Beauty Success Tassin la demi Lune</t>
  </si>
  <si>
    <r>
      <rPr>
        <rFont val="Comfortaa"/>
        <b/>
        <i val="0"/>
        <color rgb="FF000000"/>
      </rPr>
      <t>08/08</t>
    </r>
    <r>
      <rPr>
        <rFont val="Comfortaa"/>
        <i val="0"/>
        <color rgb="FF000000"/>
      </rPr>
      <t xml:space="preserve"> FAB
</t>
    </r>
    <r>
      <rPr>
        <rFont val="Comfortaa"/>
        <b/>
        <i val="0"/>
        <color rgb="FF000000"/>
      </rPr>
      <t xml:space="preserve">02/10 </t>
    </r>
    <r>
      <rPr>
        <rFont val="Comfortaa"/>
        <i val="0"/>
        <color rgb="FF000000"/>
      </rPr>
      <t>BAT Prestation peinture</t>
    </r>
  </si>
  <si>
    <t>Mr Enseignes - Corinne Mergui</t>
  </si>
  <si>
    <t>BAT V1 envoyé le 30/09 - FAB A FAIRE</t>
  </si>
  <si>
    <t>SQ Lyon Berthelot avenant &gt; lightbox + vitre</t>
  </si>
  <si>
    <t>BAT 1 (exterieur et interieur) envoyé le 30-09</t>
  </si>
  <si>
    <t>Camif Habitat - Boulogne sur Mer</t>
  </si>
  <si>
    <t>BAT V1 Franchiseur + BAT VT + Adhésif provisoire (Fab et BAT) envoyé le 25/08 - Ok franchiseur et envoie au franchisé le 27/08 - Mairie côté client</t>
  </si>
  <si>
    <t>Mr Enseignes - Nash Airport</t>
  </si>
  <si>
    <t>V1 envoyé le 23/09</t>
  </si>
  <si>
    <t>CO2509-4294 - SPARKHUB SAS - enseigne extérieure</t>
  </si>
  <si>
    <r>
      <rPr>
        <rFont val="Comfortaa"/>
        <b/>
        <i val="0"/>
        <color rgb="FF000000"/>
      </rPr>
      <t>26/09 - 29/09</t>
    </r>
    <r>
      <rPr>
        <rFont val="Comfortaa"/>
        <i val="0"/>
        <color rgb="FF000000"/>
      </rPr>
      <t xml:space="preserve"> BAT
</t>
    </r>
    <r>
      <rPr>
        <rFont val="Comfortaa"/>
        <b/>
        <i val="0"/>
        <color rgb="FF000000"/>
      </rPr>
      <t xml:space="preserve">01/10 </t>
    </r>
    <r>
      <rPr>
        <rFont val="Comfortaa"/>
        <i val="0"/>
        <color rgb="FF000000"/>
      </rPr>
      <t>FAB</t>
    </r>
  </si>
  <si>
    <t>BAT 1 envoyé le 16-09
BAT 2 envoyé le 24-09
Relance le 26-09</t>
  </si>
  <si>
    <t xml:space="preserve">CO2509-4271 - RENOVERT - LOGO INTERIEUR / LYON- Graphisme BAT
</t>
  </si>
  <si>
    <r>
      <rPr>
        <rFont val="Comfortaa"/>
        <b/>
        <i val="0"/>
        <color rgb="FF000000"/>
      </rPr>
      <t>26/09</t>
    </r>
    <r>
      <rPr>
        <rFont val="Comfortaa"/>
        <i val="0"/>
        <color rgb="FF000000"/>
      </rPr>
      <t xml:space="preserve"> BAT
</t>
    </r>
    <r>
      <rPr>
        <rFont val="Comfortaa"/>
        <b/>
        <i val="0"/>
        <color rgb="FF000000"/>
      </rPr>
      <t>29/09</t>
    </r>
    <r>
      <rPr>
        <rFont val="Comfortaa"/>
        <i val="0"/>
        <color rgb="FF000000"/>
      </rPr>
      <t xml:space="preserve"> FAB</t>
    </r>
  </si>
  <si>
    <t>Vintage Lovers</t>
  </si>
  <si>
    <t>BAT 1 envoyé le 23-09
Relance le 26-09 : message vocal
BAT 2 envoyé le 30-09</t>
  </si>
  <si>
    <t>BAT V1 envoyé le 29/09</t>
  </si>
  <si>
    <t>CO2509-4205 - POKE DAILY - (POKE DAILY) STOP TROTTOIR + ADHÉSIFS VITRAGES</t>
  </si>
  <si>
    <r>
      <rPr>
        <rFont val="Comfortaa"/>
        <b/>
        <i val="0"/>
        <color rgb="FF000000"/>
      </rPr>
      <t>23/09</t>
    </r>
    <r>
      <rPr>
        <rFont val="Comfortaa"/>
        <i val="0"/>
        <color rgb="FF000000"/>
      </rPr>
      <t xml:space="preserve"> BAT
</t>
    </r>
    <r>
      <rPr>
        <rFont val="Comfortaa"/>
        <b/>
        <i val="0"/>
        <color rgb="FF000000"/>
      </rPr>
      <t>29/09</t>
    </r>
    <r>
      <rPr>
        <rFont val="Comfortaa"/>
        <i val="0"/>
        <color rgb="FF000000"/>
      </rPr>
      <t xml:space="preserve"> FAB</t>
    </r>
  </si>
  <si>
    <t>Mr Enseignes - Niall Bond</t>
  </si>
  <si>
    <t>V1 envoyé le 29/09</t>
  </si>
  <si>
    <t>Destia - Seclin</t>
  </si>
  <si>
    <t>Vu avec Michael pour quel caisson faire, réponse sur WhatsApp - BAT V1 fait le 29/09</t>
  </si>
  <si>
    <t>CO2508-4175 - EDRA S.A - Devis 49_Avrille_ROBERT S AUTOMOBILES</t>
  </si>
  <si>
    <r>
      <rPr>
        <rFont val="Comfortaa"/>
        <b/>
        <color theme="1"/>
      </rPr>
      <t>03/09</t>
    </r>
    <r>
      <rPr>
        <rFont val="Comfortaa"/>
        <color theme="1"/>
      </rPr>
      <t xml:space="preserve"> BAT
</t>
    </r>
    <r>
      <rPr>
        <rFont val="Comfortaa"/>
        <b/>
        <color theme="1"/>
      </rPr>
      <t>29/09</t>
    </r>
    <r>
      <rPr>
        <rFont val="Comfortaa"/>
        <color theme="1"/>
      </rPr>
      <t xml:space="preserve"> FAB</t>
    </r>
  </si>
  <si>
    <t xml:space="preserve">Yogurt Factory </t>
  </si>
  <si>
    <t>FAB le 23/09</t>
  </si>
  <si>
    <t>ARVALIS - Montans</t>
  </si>
  <si>
    <r>
      <rPr>
        <rFont val="Comfortaa"/>
        <color theme="1"/>
      </rPr>
      <t xml:space="preserve">BAT v1 envoyé le 21/11
BAT v2 envoyé le 20/01
</t>
    </r>
    <r>
      <rPr>
        <rFont val="Comfortaa"/>
        <b/>
        <color rgb="FFFF6D01"/>
      </rPr>
      <t>Attente retour El MEdhi et Antoine pour lancer la prod
FAB le 18/09</t>
    </r>
  </si>
  <si>
    <t>Centre Services - Plaine du Forez</t>
  </si>
  <si>
    <t>V1 franchiseur + franchisé + BAT VT le 21/07 - V2 le 21/07 - V3 le 24/07 - V4 le 25/07 - Validation de principe le 25/07 par le franchisé, mais en attente de la validation franchiseur, relance le 28/07 - Dossier mairie envoyé le 29/07 - FAB A FAIRE - Tout est prêt, j'attends la confirmation avec Michael pour le caisson double face</t>
  </si>
  <si>
    <t>SQ PARIS  PROV</t>
  </si>
  <si>
    <t>BAT 1 envoyé le 25-09</t>
  </si>
  <si>
    <t>ACM - Yannick Rastel</t>
  </si>
  <si>
    <t>V1 envoyé le 25/09</t>
  </si>
  <si>
    <t>SQ Artigues</t>
  </si>
  <si>
    <t>BAT 1 envoyé le 22-09</t>
  </si>
  <si>
    <t>Lissac Audition</t>
  </si>
  <si>
    <t>Demande de fichier le 15/09 - Fichier pas bon, demande de nouveau fichier le 15/09 - BAT V1 envoyé le 22/09 - FAB</t>
  </si>
  <si>
    <t>BAT 1 envoyé le 17-09
BAT 2 envoyé le 19-09
Relance le 23-09
BAT 3 envoyé le 25-09</t>
  </si>
  <si>
    <t>Temporis - Ingwiller</t>
  </si>
  <si>
    <t>V1 envoyé le 24/09</t>
  </si>
  <si>
    <t>Temporis - St Vincent de Tyrosse</t>
  </si>
  <si>
    <t>Athem - Sephora Holidays</t>
  </si>
  <si>
    <t>5 BAT VT à faire</t>
  </si>
  <si>
    <t>French Taperia</t>
  </si>
  <si>
    <t>Demande du logo au formar vectoriel fait le 4-09
BAT 1 envoyé le 9-09
Relance le 22-09
Relance 23-09</t>
  </si>
  <si>
    <t>Mr Enseignes - Agence 3D</t>
  </si>
  <si>
    <t>Temporis Audincourt</t>
  </si>
  <si>
    <t>BAT V1 + BAT VT fait le 09/09 - Suite modification totale et refus mairie, nouveau BAT V1 + BAT VT le 17/09</t>
  </si>
  <si>
    <t>Hotel au Trocadero</t>
  </si>
  <si>
    <t>Reprise dossier Marion
Commandé par Marion et florent - mise à jour du FP</t>
  </si>
  <si>
    <t>Point S Furiani</t>
  </si>
  <si>
    <t>BAT VT fait le 4-09
Demande info à Célia le 4-09
Demande horaires et telephone au franchisé le 4-09
BAT 1 envoyé  le 15-09
BAT 2 envoyé le 16-09
Relance le 22-09
Validé par la franchise, envoyé au franchisé le 22-09</t>
  </si>
  <si>
    <t>RIA FR636</t>
  </si>
  <si>
    <t>BAT 1 envoyé le 16-09</t>
  </si>
  <si>
    <t>Euronet FRMD2242</t>
  </si>
  <si>
    <t>CO2508-4181_1 - EDRA S.A - Refab Panneau Axial Caen</t>
  </si>
  <si>
    <t>Profire Batiment</t>
  </si>
  <si>
    <t>V1 envoyé le 17/09 - V2 le 18/09</t>
  </si>
  <si>
    <t>Centre Services - Melun</t>
  </si>
  <si>
    <t>BAT V1 franchiseur envoyé le 27/08 - V2 le 01/09 - Mairie côté client - Ok Mairie, mail fait au franchisé pour confirmation dimensions et fixations le 15/09</t>
  </si>
  <si>
    <t>Novi - Mantes la Jolie</t>
  </si>
  <si>
    <t>BAT Mairie envoyé le 20/05 - Modif suite mairie envoyé le 02/07 à Marie-Odile - Validation BAT par M.O. le 02/07 mais stand-by car ils doivent gérer un souci avec la franchisée en interne - Mail du 12/08 la franchisée indique avoir fait un virement mais Marion indique ne pas répondre car litige en interne - FAB A FAIRE</t>
  </si>
  <si>
    <t>CO2509-4287 - MR ENSEIGNES - ASSIBA REFLEXOLOGIE AURICULAIRE</t>
  </si>
  <si>
    <r>
      <rPr>
        <rFont val="Comfortaa"/>
        <b/>
        <i val="0"/>
        <color rgb="FF000000"/>
      </rPr>
      <t>22/09</t>
    </r>
    <r>
      <rPr>
        <rFont val="Comfortaa"/>
        <i val="0"/>
        <color rgb="FF000000"/>
      </rPr>
      <t xml:space="preserve"> BAT
</t>
    </r>
    <r>
      <rPr>
        <rFont val="Comfortaa"/>
        <b/>
        <i val="0"/>
        <color rgb="FF000000"/>
      </rPr>
      <t>22/09</t>
    </r>
    <r>
      <rPr>
        <rFont val="Comfortaa"/>
        <i val="0"/>
        <color rgb="FF000000"/>
      </rPr>
      <t xml:space="preserve"> FAB</t>
    </r>
  </si>
  <si>
    <t>Reprise du dossier de Marion &gt; FAB A FAIRE</t>
  </si>
  <si>
    <t>CO2508-4190_1 - SARL Baroof - Enseigne extérieure</t>
  </si>
  <si>
    <r>
      <rPr>
        <rFont val="Comfortaa"/>
        <b/>
        <i val="0"/>
        <color rgb="FF000000"/>
      </rPr>
      <t>10/09</t>
    </r>
    <r>
      <rPr>
        <rFont val="Comfortaa"/>
        <i val="0"/>
        <color rgb="FF000000"/>
      </rPr>
      <t xml:space="preserve"> BAT 
</t>
    </r>
    <r>
      <rPr>
        <rFont val="Comfortaa"/>
        <b/>
        <i val="0"/>
        <color rgb="FF000000"/>
      </rPr>
      <t>16/09</t>
    </r>
    <r>
      <rPr>
        <rFont val="Comfortaa"/>
        <i val="0"/>
        <color rgb="FF000000"/>
      </rPr>
      <t xml:space="preserve"> FAB
</t>
    </r>
    <r>
      <rPr>
        <rFont val="Comfortaa"/>
        <b/>
        <i val="0"/>
        <color rgb="FF000000"/>
      </rPr>
      <t>17/09</t>
    </r>
    <r>
      <rPr>
        <rFont val="Comfortaa"/>
        <i val="0"/>
        <color rgb="FF000000"/>
      </rPr>
      <t xml:space="preserve"> ST</t>
    </r>
  </si>
  <si>
    <t>CO2411-2956 - Terra Lacta - PROTOTYPES</t>
  </si>
  <si>
    <r>
      <rPr>
        <rFont val="Comfortaa"/>
        <b/>
        <color theme="1"/>
      </rPr>
      <t xml:space="preserve">09/12 - 22/04 - 15/05 - 26/05 </t>
    </r>
    <r>
      <rPr>
        <rFont val="Comfortaa"/>
        <color theme="1"/>
      </rPr>
      <t xml:space="preserve"> BAT 
</t>
    </r>
    <r>
      <rPr>
        <rFont val="Comfortaa"/>
        <b/>
        <color theme="1"/>
      </rPr>
      <t>21/02</t>
    </r>
    <r>
      <rPr>
        <rFont val="Comfortaa"/>
        <color theme="1"/>
      </rPr>
      <t xml:space="preserve"> </t>
    </r>
    <r>
      <rPr>
        <rFont val="Comfortaa"/>
        <b/>
        <color theme="1"/>
      </rPr>
      <t>- 04/03 - 10/03 - 17/06</t>
    </r>
    <r>
      <rPr>
        <rFont val="Comfortaa"/>
        <color theme="1"/>
      </rPr>
      <t xml:space="preserve"> </t>
    </r>
    <r>
      <rPr>
        <rFont val="Comfortaa"/>
        <b/>
        <color theme="1"/>
      </rPr>
      <t xml:space="preserve">- 27/06 - 30/06 - 21/07 </t>
    </r>
    <r>
      <rPr>
        <rFont val="Comfortaa"/>
        <color theme="1"/>
      </rPr>
      <t xml:space="preserve">Relance
</t>
    </r>
    <r>
      <rPr>
        <rFont val="Comfortaa"/>
        <i/>
        <color rgb="FF999999"/>
      </rPr>
      <t xml:space="preserve">A relancer à fin Août.
</t>
    </r>
    <r>
      <rPr>
        <rFont val="Comfortaa"/>
        <b/>
        <color theme="1"/>
      </rPr>
      <t>18/09</t>
    </r>
    <r>
      <rPr>
        <rFont val="Comfortaa"/>
        <color theme="1"/>
      </rPr>
      <t xml:space="preserve"> FAB</t>
    </r>
  </si>
  <si>
    <t>ADDICT PARIS - Lettrage en PVC</t>
  </si>
  <si>
    <t>Antoine</t>
  </si>
  <si>
    <r>
      <rPr>
        <rFont val="Comfortaa"/>
        <color theme="1"/>
      </rPr>
      <t xml:space="preserve">18/09 BAT V1
19/09 BAT V2
</t>
    </r>
    <r>
      <rPr>
        <rFont val="Comfortaa"/>
        <color rgb="FFB7B7B7"/>
      </rPr>
      <t>RAS</t>
    </r>
  </si>
  <si>
    <t>Marelia Institut - Refab + plaque</t>
  </si>
  <si>
    <t>18/09/2025 BAT V1</t>
  </si>
  <si>
    <t>ESQUI</t>
  </si>
  <si>
    <r>
      <rPr>
        <rFont val="Comfortaa"/>
        <color theme="1"/>
      </rPr>
      <t xml:space="preserve">BAT ( demande i,fo le 19/08)
BAT v1 envoyé le 2/09
</t>
    </r>
    <r>
      <rPr>
        <rFont val="Comfortaa"/>
        <b/>
        <color rgb="FFFF6D01"/>
      </rPr>
      <t>FAB le 18/09</t>
    </r>
  </si>
  <si>
    <t>Mr Enseignes - Prodezza</t>
  </si>
  <si>
    <t>V1 envoyé le 18/09 - V2 le 18/09</t>
  </si>
  <si>
    <t>RIA FR17053</t>
  </si>
  <si>
    <t>BAT VT fait le 22-07
VT complété envoyé à Michelle le 29-07
Relance le 20-08
Relance le 4-09
BAT 1 envoyé le 17-09</t>
  </si>
  <si>
    <t>Mr Enseignes - Visualis</t>
  </si>
  <si>
    <t>V1 envoyé le 17/09</t>
  </si>
  <si>
    <t xml:space="preserve">Euronet Crecy la chapelle </t>
  </si>
  <si>
    <t>BAT 1 envoyé le 17-09</t>
  </si>
  <si>
    <t>Supermarché Asie - Fresh Asie</t>
  </si>
  <si>
    <t>20/08 BAT VT
22/08 BAT V1
28/08 relance par mail
01/09 BAT V2 et V3
10/09 relance par mail
15/09 Mail de fab à Marie
16/09 Relance mail fab Marie</t>
  </si>
  <si>
    <t>Lady sushi Montbonnot</t>
  </si>
  <si>
    <t>Mr Enseignes - M2 Numérique</t>
  </si>
  <si>
    <t>V1 envoyé le 16/09 - FAB A FAIRE</t>
  </si>
  <si>
    <t>Euronet FRMD2252</t>
  </si>
  <si>
    <t>BAT 1 envoyé le 12-09</t>
  </si>
  <si>
    <t>Point S Wittenheim R</t>
  </si>
  <si>
    <t xml:space="preserve">Demande précisions faite à Orianne le 15-09 - dossier bloqué en attendant les infos
BAT fait le 16-09
</t>
  </si>
  <si>
    <t>Point S La Boisse</t>
  </si>
  <si>
    <t>BAT 1 envoyé le 15-09
Validé par la franchise le 16-09
envoi au franchisé le 16-09</t>
  </si>
  <si>
    <t>MR ENSEIGNES - Ecopub - Swile</t>
  </si>
  <si>
    <t>Florent</t>
  </si>
  <si>
    <t>09/09 BAT V1
10/09 demande de faisabilité en 10mm à Alicia
11/09 validation d'Alicia + BAT V2</t>
  </si>
  <si>
    <t>Mr Enseignes - CEMEA</t>
  </si>
  <si>
    <t>BAT V1 envoyé le 15/09</t>
  </si>
  <si>
    <t>CANDELIA - LYON</t>
  </si>
  <si>
    <t>Avner</t>
  </si>
  <si>
    <t>RIA FR30</t>
  </si>
  <si>
    <t>BAT 1 envoyé le 15-09</t>
  </si>
  <si>
    <t>CO2508-4176 - EDRA S.A - CARROSSERIE DAO-ANDREO</t>
  </si>
  <si>
    <r>
      <rPr>
        <rFont val="Comfortaa"/>
        <b/>
        <i val="0"/>
        <color rgb="FF000000"/>
      </rPr>
      <t>03/09 - 11/09</t>
    </r>
    <r>
      <rPr>
        <rFont val="Comfortaa"/>
        <i val="0"/>
        <color rgb="FF000000"/>
      </rPr>
      <t xml:space="preserve"> BAT
</t>
    </r>
    <r>
      <rPr>
        <rFont val="Comfortaa"/>
        <b/>
        <i val="0"/>
        <color rgb="FF000000"/>
      </rPr>
      <t>15/09</t>
    </r>
    <r>
      <rPr>
        <rFont val="Comfortaa"/>
        <i val="0"/>
        <color rgb="FF000000"/>
      </rPr>
      <t xml:space="preserve"> FAB</t>
    </r>
  </si>
  <si>
    <t>Aya Optic</t>
  </si>
  <si>
    <t>V1 envoyé le 15/09 - V2 le 15/09 - FAB A FAIRE</t>
  </si>
  <si>
    <t>Le votre traiteur</t>
  </si>
  <si>
    <r>
      <rPr>
        <rFont val="Comfortaa"/>
        <color theme="1"/>
      </rPr>
      <t xml:space="preserve">BAT v1 envoy éle 1/09
</t>
    </r>
    <r>
      <rPr>
        <rFont val="Comfortaa"/>
        <b/>
        <color rgb="FFFF6D01"/>
      </rPr>
      <t>FAB Réalisé par Jordan</t>
    </r>
  </si>
  <si>
    <t>Point S Fourneaux</t>
  </si>
  <si>
    <t xml:space="preserve">BAT Franchise envoyé le 11-09
BAT 2 envoyé le 11-09
Validé par la franchise - envoyé au franchisé le 11-09
</t>
  </si>
  <si>
    <t>Euronet FRMD0331</t>
  </si>
  <si>
    <t xml:space="preserve">CO2508-4096 - ESPACE GOLD CHANGE - Adhésifs
</t>
  </si>
  <si>
    <r>
      <rPr>
        <rFont val="Comfortaa"/>
        <b/>
        <i val="0"/>
        <color rgb="FF000000"/>
      </rPr>
      <t>04/09</t>
    </r>
    <r>
      <rPr>
        <rFont val="Comfortaa"/>
        <i val="0"/>
        <color rgb="FF000000"/>
      </rPr>
      <t xml:space="preserve"> BAT
</t>
    </r>
    <r>
      <rPr>
        <rFont val="Comfortaa"/>
        <b/>
        <i val="0"/>
        <color rgb="FF000000"/>
      </rPr>
      <t>12/09</t>
    </r>
    <r>
      <rPr>
        <rFont val="Comfortaa"/>
        <i val="0"/>
        <color rgb="FF000000"/>
      </rPr>
      <t xml:space="preserve"> FAB + ST</t>
    </r>
  </si>
  <si>
    <t>SQ CDF Jean Richard R</t>
  </si>
  <si>
    <t>BAT 1 envoyé le 8-09
BAT 2 envoyé le 9-09</t>
  </si>
  <si>
    <t>SQ Saulce R</t>
  </si>
  <si>
    <t>BAT 1 envoyé le 8-09</t>
  </si>
  <si>
    <t>CO2507-3959 - EDRA S.A - Stands</t>
  </si>
  <si>
    <t>10/09 Commande reçue</t>
  </si>
  <si>
    <t>CO2508-4181 - EDRA S.A - Devis _14_Caen_GARAGE HASTINGS</t>
  </si>
  <si>
    <r>
      <rPr>
        <rFont val="Comfortaa"/>
        <b/>
        <i val="0"/>
        <color rgb="FF000000"/>
      </rPr>
      <t>03/09</t>
    </r>
    <r>
      <rPr>
        <rFont val="Comfortaa"/>
        <i val="0"/>
        <color rgb="FF000000"/>
      </rPr>
      <t xml:space="preserve"> BAT
</t>
    </r>
    <r>
      <rPr>
        <rFont val="Comfortaa"/>
        <b/>
        <i val="0"/>
        <color rgb="FF000000"/>
      </rPr>
      <t>11/09</t>
    </r>
    <r>
      <rPr>
        <rFont val="Comfortaa"/>
        <i val="0"/>
        <color rgb="FF000000"/>
      </rPr>
      <t xml:space="preserve"> FAB</t>
    </r>
  </si>
  <si>
    <t>SQ Orly</t>
  </si>
  <si>
    <t>BAT 1 envoyé le 11-09</t>
  </si>
  <si>
    <t>Bonaparte Alsace</t>
  </si>
  <si>
    <t>BAT VT fait le 20-08
Demande d efichier client faire le 20-08
BAT 1 envoyé le 1-09
BAT 2 envoyé le 2-09
BAT 3 envoyé le 10-09</t>
  </si>
  <si>
    <t>Temporis Siege</t>
  </si>
  <si>
    <t>Demande des fichiers le 10/09 - BAT fait le 11/09</t>
  </si>
  <si>
    <t>Temporis - Guéreins</t>
  </si>
  <si>
    <t>BAT V1 le 10/09 - FAB A FAIRE</t>
  </si>
  <si>
    <t>Temporis St Pere En Retz</t>
  </si>
  <si>
    <t>BAT V1 le 10/09</t>
  </si>
  <si>
    <t>Lady sushi menu</t>
  </si>
  <si>
    <t>BAT 1 envoyé le 10-09</t>
  </si>
  <si>
    <t>On Air - Décines</t>
  </si>
  <si>
    <t>Reprise d'un dossier de Juliette - Modification de la maquette (Façade en fonction du plan archi + Modification des emplacements des enseignes déjà produites pour refab d'un plan de pose de la baseline (refaire la baseline)</t>
  </si>
  <si>
    <t>Panneau Parking</t>
  </si>
  <si>
    <t>V1 à Michael le 10/09</t>
  </si>
  <si>
    <t>LPA enseigne - Paradis du fruit</t>
  </si>
  <si>
    <t>ADDICT PARIS</t>
  </si>
  <si>
    <t>13/08 BAT VT + BAT bâche provisoire
14/08 FAB bâche provisoire + BAT complet avant VT
en attente de la VT
03/09 BAT après VT + mail pour demande élément client
04/09 mail client pour demande fichier
08/09 en attente d'Antoine pour lancer la fab</t>
  </si>
  <si>
    <t>RIA FR34</t>
  </si>
  <si>
    <t>BAT 1 envoyé le 4-09
Relance le 9-09</t>
  </si>
  <si>
    <t>RIA FR7892</t>
  </si>
  <si>
    <t>BAT 1 envoyé le 25-06
Relance le 30-06
Relance le 16-07
BAT validé - en attente de VT
Relance Antoine le 19-08</t>
  </si>
  <si>
    <t>Ciné digital cluny</t>
  </si>
  <si>
    <t xml:space="preserve">BAT VT le 12/08
</t>
  </si>
  <si>
    <t>Demande de fichier client le 27-08
BAT VT fait le 27-08
BAT 1 envoyé le 28-08
BAT validé - attente de VT
BAT 2 envoyé le 8-09</t>
  </si>
  <si>
    <t>Taxi Ambulance de la Vallée - CDV</t>
  </si>
  <si>
    <t xml:space="preserve">26/08 BAT V1
27/08 BAT V2
29/08 BAT V3 + FAB + ST </t>
  </si>
  <si>
    <t>GH l'agence du 12</t>
  </si>
  <si>
    <t>BAT VT
BAT lee 258/0zqF</t>
  </si>
  <si>
    <t>GUY HOQUET St-MAX</t>
  </si>
  <si>
    <t>BAT v1 à Sophie le 18/03
BAT franchiseur le 20/03
BAT mairie le 8/04</t>
  </si>
  <si>
    <t xml:space="preserve">GUY HOQUET Coulommiers </t>
  </si>
  <si>
    <t>BAT VT le 25/06
BAT envoyé le 18/07
BAT franchisé le 23/07
La franchisé doit contacté le siège pour sa demande
BAT envoyé le 18/08
FAB A FAIRE</t>
  </si>
  <si>
    <t>GDS - Cluny</t>
  </si>
  <si>
    <t>V1 envoyé à S.A. le 17/06 - Modif reçu le 02/07 - V2 le 08/07 - V3 le 16/07 - V4 le 17/07 - BAT MAIRIE réalisé le 28/07 - Modif kit horaire le 30/07 - Suite retour mairie, nouveau BAT à la franchisé avec adhésif blanc passé en correspondance 9001</t>
  </si>
  <si>
    <t>Centre Services St Maur des Fosses - Enseignes</t>
  </si>
  <si>
    <t>BAT VT + BAT Franchiseur envoyé le 02/07 - Ok Franchiseur le 02/07 - BAT au Franchisé le 07/07 - FAB a faire, mais attente retour Morgane car souci sur la VT</t>
  </si>
  <si>
    <t>SQ Sannois exterieur</t>
  </si>
  <si>
    <t>BAT VT fait le 13-05
BAT 1 envoyé le 10-06
Relance le 13-06
BAT mairie fait le 19-06</t>
  </si>
  <si>
    <t>CO2509-4209_1 - EDRA S.A - Devis _33_Eysines_CARROSSERIE CLEMENCEAU</t>
  </si>
  <si>
    <r>
      <rPr>
        <rFont val="Comfortaa"/>
        <b/>
        <i val="0"/>
        <color rgb="FF000000"/>
      </rPr>
      <t>04/09</t>
    </r>
    <r>
      <rPr>
        <rFont val="Comfortaa"/>
        <i val="0"/>
        <color rgb="FF000000"/>
      </rPr>
      <t xml:space="preserve"> BAT
</t>
    </r>
    <r>
      <rPr>
        <rFont val="Comfortaa"/>
        <b/>
        <i val="0"/>
        <color rgb="FF000000"/>
      </rPr>
      <t>08/09</t>
    </r>
    <r>
      <rPr>
        <rFont val="Comfortaa"/>
        <i val="0"/>
        <color rgb="FF000000"/>
      </rPr>
      <t xml:space="preserve"> FAB</t>
    </r>
  </si>
  <si>
    <t>O Sidney</t>
  </si>
  <si>
    <t>Bâche à produire suivant ancien fichier DG</t>
  </si>
  <si>
    <t>Renalia</t>
  </si>
  <si>
    <t>Demande d'info faite au client le 13/08 - BAT V1 le 19/08 - V2 le 19/08 - FAB A FAIRE, mais attente retour cliente et / ou Avner car RAL manquant</t>
  </si>
  <si>
    <t>Myotec VENELLES</t>
  </si>
  <si>
    <t>BAT v2 envoy éle 1/09
FAB A FAIRE</t>
  </si>
  <si>
    <t>O My Sushi</t>
  </si>
  <si>
    <t>Commande des 20k étiquettes habituelles - Livraison sur Annemasse</t>
  </si>
  <si>
    <t>Centre Services - Plaine du Forez - Extérieur provisoire</t>
  </si>
  <si>
    <t>BAT V1 fait le 04/08 - V2 le 06/08 - V3 le 20/08 - Dossier abandonné par le client, on ne fait plus le provisoire, on fera que le définitif</t>
  </si>
  <si>
    <t>CO2507-4003 - Anticafe - Enseigne drapeau</t>
  </si>
  <si>
    <r>
      <rPr>
        <rFont val="Comfortaa"/>
        <b/>
        <color theme="1"/>
      </rPr>
      <t>31/07</t>
    </r>
    <r>
      <rPr>
        <rFont val="Comfortaa"/>
        <color theme="1"/>
      </rPr>
      <t xml:space="preserve"> BAT en cours - manque RAL
</t>
    </r>
    <r>
      <rPr>
        <rFont val="Comfortaa"/>
        <b/>
        <color theme="1"/>
      </rPr>
      <t>06/08</t>
    </r>
    <r>
      <rPr>
        <rFont val="Comfortaa"/>
        <color theme="1"/>
      </rPr>
      <t xml:space="preserve"> Relance
</t>
    </r>
    <r>
      <rPr>
        <rFont val="Comfortaa"/>
        <b/>
        <color theme="1"/>
      </rPr>
      <t>13/08</t>
    </r>
    <r>
      <rPr>
        <rFont val="Comfortaa"/>
        <color theme="1"/>
      </rPr>
      <t xml:space="preserve"> Relance
</t>
    </r>
    <r>
      <rPr>
        <rFont val="Comfortaa"/>
        <b/>
        <color theme="1"/>
      </rPr>
      <t>04/09</t>
    </r>
    <r>
      <rPr>
        <rFont val="Comfortaa"/>
        <color theme="1"/>
      </rPr>
      <t xml:space="preserve"> FAB</t>
    </r>
  </si>
  <si>
    <t>Vinci Energies - EASY CHARGE</t>
  </si>
  <si>
    <t>BAT 1 envoyé le 3-09</t>
  </si>
  <si>
    <t>Camif - Montreuil sur mer</t>
  </si>
  <si>
    <t>BAT VT + BAT V1 au franchiseur + Mise en FAB de l'adhésif provisoire le 06/02 - V2 le 13/02 - V3 le 17/02 - V4 le 18/02 - Envoyé au franchisé le 18/02 - Validation franchiseur le 18/02 - Attente retour mairie [ATTENTION] Ensemble de la FAB faite sauf le caisson drapeau en stand-ny</t>
  </si>
  <si>
    <t>Destia - Boulogne Billancourt</t>
  </si>
  <si>
    <t>BAT VT le 04/03 - V1 le 05/03 - V2 le 06/03 - Modif à faire - V3 envoyé le 10/03 - BAT Mairie le 11/03</t>
  </si>
  <si>
    <t>BAT VT - Envoyé le 14/04 - BAT V1 le 16/04 - V2 le 22/04 - V3 le 25/04 - BAT Mairie le 28/04 - Nouveau BAT Mairie le 16/07 suite refus du premier</t>
  </si>
  <si>
    <t>Résidence Ovélia</t>
  </si>
  <si>
    <t>V1 envoyé le 12/08 - En congé jusqu'au 26/08 donc pas de retour avant</t>
  </si>
  <si>
    <t>CO2507-4079 - DMP36 - REPRISE ENSEIGNE - PISCINE IBIZA CHATEAUROUX</t>
  </si>
  <si>
    <r>
      <rPr>
        <rFont val="Comfortaa"/>
        <b/>
        <color theme="1"/>
      </rPr>
      <t>13/08</t>
    </r>
    <r>
      <rPr>
        <rFont val="Comfortaa"/>
        <color theme="1"/>
      </rPr>
      <t xml:space="preserve"> BAT
</t>
    </r>
    <r>
      <rPr>
        <rFont val="Comfortaa"/>
        <i/>
        <color rgb="FF999999"/>
      </rPr>
      <t xml:space="preserve">Fab déjà faite pour l'enseigne de 13 mètre vous pouvez reprendre les fichiers de fabs si besoin.
</t>
    </r>
    <r>
      <rPr>
        <rFont val="Comfortaa"/>
        <color theme="1"/>
      </rPr>
      <t xml:space="preserve">26/08 - Modification du BAT pour l'enseigne du milieu par Jordan
</t>
    </r>
    <r>
      <rPr>
        <rFont val="Comfortaa"/>
        <b/>
        <color theme="1"/>
      </rPr>
      <t>01/09</t>
    </r>
    <r>
      <rPr>
        <rFont val="Comfortaa"/>
        <color theme="1"/>
      </rPr>
      <t xml:space="preserve"> FAB </t>
    </r>
  </si>
  <si>
    <t>Topper 200H vert</t>
  </si>
  <si>
    <t>Euronet FRMD2229</t>
  </si>
  <si>
    <t>BAT 1 fait le 23-07
BAT VT fait le 23-07
BAT 2 envoyé le 2-09</t>
  </si>
  <si>
    <t>BAT 1 envoyé le 28-08
BAT 2 envoyé le 1-09
Relance me 3-09</t>
  </si>
  <si>
    <t>MR ENSEIGNES - HIER DP</t>
  </si>
  <si>
    <t>27/08 En attente du fichier graphique
03/09 BAT V1</t>
  </si>
  <si>
    <t>CANDELIA - REFAB Lyon et Nice</t>
  </si>
  <si>
    <t>DIAMOND ROCK</t>
  </si>
  <si>
    <t>Dimeo - visuel bache Pollutec Lyon</t>
  </si>
  <si>
    <t>Visuel à envoyer le 28/07
Visuel envoyé le 28/07
Attends lundi 24/08 que la personne qui gère l'impression de sbache reveinne pour me dire les mesures exact</t>
  </si>
  <si>
    <t xml:space="preserve">Signavision </t>
  </si>
  <si>
    <t>BAT et FAB le 02/09</t>
  </si>
  <si>
    <t>Beaity scucess LIMAS Bache</t>
  </si>
  <si>
    <t>BAT v1 le 1/09</t>
  </si>
  <si>
    <t>SQ Albert extérieur</t>
  </si>
  <si>
    <t>BAT VT fait le 13-05
BAT 1 envoyé le 9-06
BAT mairie fait le 11-06
Refus mairie - BAT mairie modifié envoyé le 31-07</t>
  </si>
  <si>
    <t>ARVALIS - St Hilaire en Woeure</t>
  </si>
  <si>
    <t>Attente fichier graphique 
BAT v1 envoyé le 11/12
BAT v2 envoyé le 12/02
BAT v3 envoyé le 19/02
FAB le 27/08</t>
  </si>
  <si>
    <t>LPB - réclamation ST wow print</t>
  </si>
  <si>
    <t>14/08 réclamation depuis le 28/07 en échange avec wow print. 
Adhésifs renvoyés chez eux le 12/08. Ils considèrent que les adhésifs sont conformes, c'est toujours en discussion
28/08 relance par mail</t>
  </si>
  <si>
    <t xml:space="preserve">Camif Habitat </t>
  </si>
  <si>
    <t>Nouvelle charte agence à réaliser - V1 envoyée le 19/03 - V2 le 01/04 - V3 le 29/04 AVEC PUTAIN 48 PAGES - V4 le 30/04 - V5 le 27/05</t>
  </si>
  <si>
    <t>Novi - Lunel</t>
  </si>
  <si>
    <t>Dossier Urgent - BAT VT envoyé le 18/06 - V1 envoyé le 08/08 - Mail du 13/11 = STANDBY - Modif BAT à faire - Validation franchiseur le 05/12 - Envoi au franchisé le 05/12 - Relance le 12/03 - Relance le 24/07 - Relance le 04/08 - V3 le 11/08 - Validation franchisé le 12/08 - Attente devis par Michael puis validation devis pour faire les FABS</t>
  </si>
  <si>
    <t>Pizza lala</t>
  </si>
  <si>
    <t>BAT le  29/08
FAB A FAIRE</t>
  </si>
  <si>
    <t>Pechup</t>
  </si>
  <si>
    <t>27/08 demande faisabilité Léa + BAT V1</t>
  </si>
  <si>
    <t>MR ENSEIGNES - DECOPUB 71</t>
  </si>
  <si>
    <t>27/08 BAT V1</t>
  </si>
  <si>
    <t>MSCN</t>
  </si>
  <si>
    <t>BAT 1 envoyé le 28-08</t>
  </si>
  <si>
    <t>Multioumono - logo intérieur</t>
  </si>
  <si>
    <t>19/08 BAT V1
28/08 relance par mail</t>
  </si>
  <si>
    <t>EASY CHARGE - Montélimar</t>
  </si>
  <si>
    <t>26/08 demande de fichiers graphiques au client
27/08 BAT V1</t>
  </si>
  <si>
    <t>Néon bleu</t>
  </si>
  <si>
    <t>BAT 1 envoyé le 25-08
BAT 2 envoyé le 26-08
BAT 3 envoyé le 27-08
BAT 4 envoyé le 27-08</t>
  </si>
  <si>
    <t>GDS - Charnay les Macons - Rajout</t>
  </si>
  <si>
    <t>BAT V1 envoyé le 27/08</t>
  </si>
  <si>
    <t>Brenntag Vitrolles - Plaques PVC</t>
  </si>
  <si>
    <t>V1 envoyé le 13/08 - Mauvais mail dans FP. - V1 renvoyé le 27/08 - V2 le 27/08</t>
  </si>
  <si>
    <t>CO2507-4027_1 - CITY-LOCKER - Signalétique extérieure</t>
  </si>
  <si>
    <r>
      <rPr>
        <rFont val="Comfortaa"/>
        <b/>
        <color theme="1"/>
      </rPr>
      <t>12/08</t>
    </r>
    <r>
      <rPr>
        <rFont val="Comfortaa"/>
        <color theme="1"/>
      </rPr>
      <t xml:space="preserve"> BAT
</t>
    </r>
    <r>
      <rPr>
        <rFont val="Comfortaa"/>
        <i/>
        <color rgb="FF999999"/>
      </rPr>
      <t xml:space="preserve">Modifications BAT à faire
</t>
    </r>
    <r>
      <rPr>
        <rFont val="Comfortaa"/>
        <color theme="1"/>
      </rPr>
      <t>Dossier switch à Carole, faire le point avec elle à ton retour savoir si tu peux supprimer la ligne</t>
    </r>
  </si>
  <si>
    <t>City Locker Paris</t>
  </si>
  <si>
    <t>Reprise du dossier de Marie - BAT envoyé le 19-08
Relance le 20-08
Relance le 25-08
BAT 2 envoyé le 27-08</t>
  </si>
  <si>
    <t xml:space="preserve">VB service </t>
  </si>
  <si>
    <t>BAT echantillon envoyé le 13/08
FAB le 25/08</t>
  </si>
  <si>
    <t>CADI</t>
  </si>
  <si>
    <t>BAT 1 le 7/08
FAB le 26/08</t>
  </si>
  <si>
    <t>MYOTEC ROUSSET</t>
  </si>
  <si>
    <t>BAT envoyé le 20/08
Retour par whatsapp le 21/08
FAB le 26/08</t>
  </si>
  <si>
    <t>MR ENSEIGNES - Asie V&amp;B</t>
  </si>
  <si>
    <t>26/08 BAT V1</t>
  </si>
  <si>
    <t>Thuy Cuisine d'Asie - ST kit horaires</t>
  </si>
  <si>
    <t>problème de produit vendu par wow print, voir pour modifier le produit vendu
26/08 fab interne</t>
  </si>
  <si>
    <t>MR ENSEIGNES - Badass Reformer Studio</t>
  </si>
  <si>
    <t>20/08 BAT V1</t>
  </si>
  <si>
    <t>Axial - St Germain les Corbeils</t>
  </si>
  <si>
    <t>Reprise du dossier de Marie pour mise en FAB</t>
  </si>
  <si>
    <t>Atol</t>
  </si>
  <si>
    <t>Demande fichier faite le 24-06
BAT VT fait le 25-06
BAT fait le 26-06
Relance le 2-07
BAT 2 envoyé le 28-07
BAT 3 envoyé le 29-07
BAT 4 envoyé le 1-08
Jordan à fait le BAT 5 le 04/08
BAT 6 envoyé le 19-08
BAT 7 envoyé le 21-08</t>
  </si>
  <si>
    <t>SNC Wap Ormes Sablons</t>
  </si>
  <si>
    <t>BAT 1 envoyé le 20-08</t>
  </si>
  <si>
    <t>Euronet FRMD2195</t>
  </si>
  <si>
    <t>Demande de fichier fait le 19-08
BAT 1 envoyé le 21-08</t>
  </si>
  <si>
    <t>Complici vet</t>
  </si>
  <si>
    <t>18/08 switch du dossier de Marie / contact client pour fichier non exploitable de l'affiche
20/08 BAT V1 et V2
21/08 Attente retour info Antoine</t>
  </si>
  <si>
    <t>RIA FR1</t>
  </si>
  <si>
    <t xml:space="preserve">ARVALIS - Saint-Christophe </t>
  </si>
  <si>
    <t>Attente photo VT
BAT v1 envoyé le 8/01
BAT v2 envoyé le 28/01
BAT v5 envoyé le 9/06</t>
  </si>
  <si>
    <t>ARVALIS - Villiers le bacle</t>
  </si>
  <si>
    <t>BAT v1 envoyé le 28/11
BAT v2 envoyé le 20/01
BAT v3 envoyé le 03/02
BAT v4 le 12/02</t>
  </si>
  <si>
    <t>Mr Enseignes - Signapub - Boucherie</t>
  </si>
  <si>
    <t>V1 envoyé le 20/08</t>
  </si>
  <si>
    <t>SQ Albert R</t>
  </si>
  <si>
    <t>BAT 1 envoyé le 21-08</t>
  </si>
  <si>
    <t xml:space="preserve">Pathé Vaise </t>
  </si>
  <si>
    <t>BAT VT le 16/07
BAT à faire 
Tous les éléments ok juste attente éléments pour le grand murs jaune
BAT envoyé le 8/08 (manque 3 visuel)
FAB le 21/08</t>
  </si>
  <si>
    <t>Euronet NCR</t>
  </si>
  <si>
    <t>BAT VT fait le 25-07
BAT 1 envoyé le 19-08
Relance le 21-08
BAT 2 envoyé le 21-08</t>
  </si>
  <si>
    <t xml:space="preserve">Mr enseignes - El classico </t>
  </si>
  <si>
    <t>BAT envoyé le 18/08</t>
  </si>
  <si>
    <t>Viva Services Puilboreau</t>
  </si>
  <si>
    <t>BAT 1 envoyé le 19-06
BAT 2 envoyé le 26-06
BAT mairie fait le 26-06</t>
  </si>
  <si>
    <t>Novi - Montgeron</t>
  </si>
  <si>
    <t>V1 envoyé le 27/03 - Attente validation mairie de leur côté - Relance le 12/03/25</t>
  </si>
  <si>
    <t>Bikube Montpellier - Néon</t>
  </si>
  <si>
    <t>V1 envoyé le 15/05 - V2 le 19/05 - V3 le 20/05 - V4 le 22/05 - Relance le 09/06 - Relance le 02/07 - Validation le 03/07 - Demande de devis le 03/07</t>
  </si>
  <si>
    <t>Mr Enseignes - Signapub La pétrie</t>
  </si>
  <si>
    <r>
      <rPr>
        <rFont val="Comfortaa"/>
        <b/>
        <color rgb="FFFF0000"/>
      </rPr>
      <t>REPRISE DOSSIER LAURIE :</t>
    </r>
    <r>
      <rPr>
        <rFont val="Comfortaa"/>
        <color theme="1"/>
      </rPr>
      <t xml:space="preserve"> MAQUETTE ENVOYE LE 11/01 - maquette 2 le 22/01 - toujours en attente le 26/02 demandé à florent le 07/03 pas de news - Relance Flo le 15/05 - Attente cet été pour ce projet - Relance le 16/10 - Attente retour mairie</t>
    </r>
  </si>
  <si>
    <t>MR ENSEIGNES - REPRO SERVICE - lettre i</t>
  </si>
  <si>
    <t>31/07 BAT V1
01/08 FAB prête mais attente du feu vert de Florent pour mettre en FAB en même temps que GALMMA</t>
  </si>
  <si>
    <t>MR ENSEIGNES - REPRO SERVICE - Galmma</t>
  </si>
  <si>
    <t>A Relancer</t>
  </si>
  <si>
    <t>31/07 BAT V1
01/08 FAB quasi prête / en attente du RAL de la façade pour la bande de dibond fixation du N3 + plan de pose rigide + attente feu vert de Florent pour mettre en fab
12/08 mail client pour RAL façade
14/08 proposition RAL au client en attente de réponse</t>
  </si>
  <si>
    <t>City Locker strasbourg</t>
  </si>
  <si>
    <t>BAT 1 envoyé le 18-08
Relance le 19-08</t>
  </si>
  <si>
    <t>Full Ace</t>
  </si>
  <si>
    <t>Demande de fichier client le 10/08
V1 envoyé le 18/08
FAB A FAIRE</t>
  </si>
  <si>
    <t>CO2507-4071 - MR ENSEIGNES - ATC - HCL</t>
  </si>
  <si>
    <r>
      <rPr>
        <rFont val="Comfortaa"/>
        <b/>
        <color theme="1"/>
      </rPr>
      <t>11/08</t>
    </r>
    <r>
      <rPr>
        <rFont val="Comfortaa"/>
        <color theme="1"/>
      </rPr>
      <t xml:space="preserve"> BAT
</t>
    </r>
    <r>
      <rPr>
        <rFont val="Comfortaa"/>
        <i/>
        <color rgb="FF999999"/>
      </rPr>
      <t xml:space="preserve">Attente validation BAT
</t>
    </r>
    <r>
      <rPr>
        <rFont val="Comfortaa"/>
        <color theme="1"/>
      </rPr>
      <t>BAT Validé + FAB réalisé par Jordan le 19/08</t>
    </r>
  </si>
  <si>
    <t>Reprise du dossier de Marie pour réaliser la FAB et le suivi du dossier</t>
  </si>
  <si>
    <t>Temporis - Toulon Véhicules</t>
  </si>
  <si>
    <t>V1 envoyé le 18/08</t>
  </si>
  <si>
    <t>Mr Enseignes - Esprit Padel Shop</t>
  </si>
  <si>
    <t>14/08 BAT V1
18/08 BAT V2</t>
  </si>
  <si>
    <t>SQ CDF Jean Richard interieur</t>
  </si>
  <si>
    <t>BAT 1 envoyé le 18-08</t>
  </si>
  <si>
    <t>Centre Services Auray - Intérieur</t>
  </si>
  <si>
    <t>MARELIA INSTITUT - refab</t>
  </si>
  <si>
    <t>Euronet FRMD2250</t>
  </si>
  <si>
    <t>M Tekari</t>
  </si>
  <si>
    <t>BAT v1 le 11/08</t>
  </si>
  <si>
    <t>On Air Décines</t>
  </si>
  <si>
    <t>BAT VT le 17/07
BAT envoyé le 23/07
Modifs par whatsapp
BAT v2 le 30/07
BAT mairie le 7/08</t>
  </si>
  <si>
    <t>SAS TBMD - refab + reclamation ST</t>
  </si>
  <si>
    <t>31/07 Refab envoyée en atelier + reclamations x6 faites sur exaprint, en attente de retour pour des avoirs</t>
  </si>
  <si>
    <t>Mr Enseignes - ORA</t>
  </si>
  <si>
    <t>14/08 BAT V1</t>
  </si>
  <si>
    <t>SQ Berthelot interieur</t>
  </si>
  <si>
    <t>BAT 1 envoyé le 14-08</t>
  </si>
  <si>
    <t>Vista</t>
  </si>
  <si>
    <t>12/08 BAT V1</t>
  </si>
  <si>
    <t>CO2507-4072 - MR ENSEIGNES - Gandi Moto</t>
  </si>
  <si>
    <r>
      <rPr>
        <rFont val="Comfortaa"/>
        <b/>
        <color theme="1"/>
      </rPr>
      <t>12/08</t>
    </r>
    <r>
      <rPr>
        <rFont val="Comfortaa"/>
        <color theme="1"/>
      </rPr>
      <t xml:space="preserve"> BAT 
</t>
    </r>
    <r>
      <rPr>
        <rFont val="Comfortaa"/>
        <b/>
        <color theme="1"/>
      </rPr>
      <t>13/08</t>
    </r>
    <r>
      <rPr>
        <rFont val="Comfortaa"/>
        <i/>
        <color theme="1"/>
      </rPr>
      <t xml:space="preserve"> </t>
    </r>
    <r>
      <rPr>
        <rFont val="Comfortaa"/>
        <color theme="1"/>
      </rPr>
      <t>FAB</t>
    </r>
  </si>
  <si>
    <t>Le Studio de Maks</t>
  </si>
  <si>
    <t>V1 envoyé le 14/08</t>
  </si>
  <si>
    <t>SQ Saint Pierre d'Irrube extérieur</t>
  </si>
  <si>
    <t>BAT VT fait le 13-05
BAT 1 envoyé le 10-06
BAT 2 envoyé le 12-06
Relance le 13-06
BAT mairie fait le 23-06</t>
  </si>
  <si>
    <t>CO2508-4092 - EASY CHARGE - 1 BORNE - NEVERS</t>
  </si>
  <si>
    <r>
      <rPr>
        <rFont val="Comfortaa"/>
        <b/>
        <color theme="1"/>
      </rPr>
      <t>12/08 - 13/08</t>
    </r>
    <r>
      <rPr>
        <rFont val="Comfortaa"/>
        <color theme="1"/>
      </rPr>
      <t xml:space="preserve"> BAT
</t>
    </r>
    <r>
      <rPr>
        <rFont val="Comfortaa"/>
        <b/>
        <color theme="1"/>
      </rPr>
      <t>14/08</t>
    </r>
    <r>
      <rPr>
        <rFont val="Comfortaa"/>
        <color theme="1"/>
      </rPr>
      <t xml:space="preserve"> FAB </t>
    </r>
  </si>
  <si>
    <t>CO2507-3994_3 - Marek&amp;Sons - REFAB DRAPEAU BACHE</t>
  </si>
  <si>
    <r>
      <rPr>
        <rFont val="Comfortaa"/>
        <b/>
        <color theme="1"/>
      </rPr>
      <t xml:space="preserve">05/08 </t>
    </r>
    <r>
      <rPr>
        <rFont val="Comfortaa"/>
        <color theme="1"/>
      </rPr>
      <t>FP à jour</t>
    </r>
  </si>
  <si>
    <r>
      <rPr>
        <rFont val="Comfortaa"/>
        <b/>
        <color theme="1"/>
      </rPr>
      <t>03/07</t>
    </r>
    <r>
      <rPr>
        <rFont val="Comfortaa"/>
        <color theme="1"/>
      </rPr>
      <t xml:space="preserve"> GABARIT 
</t>
    </r>
    <r>
      <rPr>
        <rFont val="Comfortaa"/>
        <b/>
        <color theme="1"/>
      </rPr>
      <t>21/07</t>
    </r>
    <r>
      <rPr>
        <rFont val="Comfortaa"/>
        <color theme="1"/>
      </rPr>
      <t xml:space="preserve"> Demande de devis
</t>
    </r>
    <r>
      <rPr>
        <rFont val="Comfortaa"/>
        <b/>
        <color theme="1"/>
      </rPr>
      <t>31/07</t>
    </r>
    <r>
      <rPr>
        <rFont val="Comfortaa"/>
        <color theme="1"/>
      </rPr>
      <t xml:space="preserve"> Demande info ST
</t>
    </r>
    <r>
      <rPr>
        <rFont val="Comfortaa"/>
        <b/>
        <color theme="1"/>
      </rPr>
      <t>05/08 - 06/08</t>
    </r>
    <r>
      <rPr>
        <rFont val="Comfortaa"/>
        <color theme="1"/>
      </rPr>
      <t xml:space="preserve"> BAT
</t>
    </r>
    <r>
      <rPr>
        <rFont val="Comfortaa"/>
        <b/>
        <color theme="1"/>
      </rPr>
      <t>13/08</t>
    </r>
    <r>
      <rPr>
        <rFont val="Comfortaa"/>
        <color theme="1"/>
      </rPr>
      <t xml:space="preserve"> FAB + ST</t>
    </r>
  </si>
  <si>
    <t>CO2508-4095 - EDRA S.A - Enseignes CARROSSERIE SPORTWAGEN COURLAOUX</t>
  </si>
  <si>
    <r>
      <rPr>
        <rFont val="Comfortaa"/>
        <b/>
        <color theme="1"/>
      </rPr>
      <t>06/08</t>
    </r>
    <r>
      <rPr>
        <rFont val="Comfortaa"/>
        <color theme="1"/>
      </rPr>
      <t xml:space="preserve"> BAT
</t>
    </r>
    <r>
      <rPr>
        <rFont val="Comfortaa"/>
        <b/>
        <color theme="1"/>
      </rPr>
      <t>13/09</t>
    </r>
    <r>
      <rPr>
        <rFont val="Comfortaa"/>
        <color theme="1"/>
      </rPr>
      <t xml:space="preserve"> FAB</t>
    </r>
  </si>
  <si>
    <t>[HYDRO BUILDING SYSTEMS (Technal)] Cadre GAP - Graphisme BAT</t>
  </si>
  <si>
    <r>
      <rPr>
        <rFont val="Comfortaa"/>
        <b/>
        <color theme="1"/>
      </rPr>
      <t>15/04 - 07/05</t>
    </r>
    <r>
      <rPr>
        <rFont val="Comfortaa"/>
        <color theme="1"/>
      </rPr>
      <t xml:space="preserve"> BAT 
</t>
    </r>
    <r>
      <rPr>
        <rFont val="Comfortaa"/>
        <b/>
        <color theme="1"/>
      </rPr>
      <t>26/05</t>
    </r>
    <r>
      <rPr>
        <rFont val="Comfortaa"/>
        <color theme="1"/>
      </rPr>
      <t xml:space="preserve"> Demande ST
</t>
    </r>
    <r>
      <rPr>
        <rFont val="Comfortaa"/>
        <b/>
        <color theme="1"/>
      </rPr>
      <t xml:space="preserve">02/07 - 21/07 - 28/07 </t>
    </r>
    <r>
      <rPr>
        <rFont val="Comfortaa"/>
        <color theme="1"/>
      </rPr>
      <t xml:space="preserve">Relance
</t>
    </r>
    <r>
      <rPr>
        <rFont val="Comfortaa"/>
        <b/>
        <color theme="1"/>
      </rPr>
      <t>29/07</t>
    </r>
    <r>
      <rPr>
        <rFont val="Comfortaa"/>
        <color theme="1"/>
      </rPr>
      <t xml:space="preserve"> Validation photo + ST
</t>
    </r>
  </si>
  <si>
    <t>V1 envoyé le 12/08</t>
  </si>
  <si>
    <t>Topadev - Eukran ESM Auto 93</t>
  </si>
  <si>
    <t>Demande modif fichier client, faute d'orthographe trouvé sur son fichier - V1 envoyé le 13/08</t>
  </si>
  <si>
    <t>Vivav services Villeneuve d'ascq</t>
  </si>
  <si>
    <t>Faite le 27/05
BAT le 4/06
BAT mairie le 5/06
Adhésif provisoire fait le 11/06
FAB le 13/08</t>
  </si>
  <si>
    <t>ARVALIS - vendome</t>
  </si>
  <si>
    <t>BAT v1 envoyé le 28/11
BAT v2 enoyé le 31/01
BAT v3 envoyé le 19/02
FAB A FAIRE</t>
  </si>
  <si>
    <t xml:space="preserve">JOUY le moutier </t>
  </si>
  <si>
    <t>BAT validé le 13/08
FAB A FAIRE</t>
  </si>
  <si>
    <t>ARVALIS - Saint Beauzire</t>
  </si>
  <si>
    <t>BAT V1 envoyé le 26/11
FAB le 13/08</t>
  </si>
  <si>
    <t xml:space="preserve">Mr enseignes le petit sérigraphe </t>
  </si>
  <si>
    <t>BAT à faire 
FAB le 13/08</t>
  </si>
  <si>
    <t>CANDELIA - adhésifs Nice</t>
  </si>
  <si>
    <t>CANDELIA - adhésif Lyon</t>
  </si>
  <si>
    <t>Topadev - Mon Covering</t>
  </si>
  <si>
    <t>AFC Concept - Fit5</t>
  </si>
  <si>
    <t>BAT VT + BAT envoyé le 24/07 - V2 le 06/08 - V3 le 11/08 - FAB A FAIRE</t>
  </si>
  <si>
    <t>Euronet FRMD0329</t>
  </si>
  <si>
    <t>Destia - Annoeulin</t>
  </si>
  <si>
    <t>BAT VT le 16/04 - V1 le 23/04 - V2 le 25/04 - Dossier mairie le 28/04 - FAB A FAIRE</t>
  </si>
  <si>
    <t>V1 envoyé le 28/07 - V2 le 11/08 - FAB A FAIRE</t>
  </si>
  <si>
    <t>V1 envoyé le 07/08</t>
  </si>
  <si>
    <t>SUSHI MAN - corner Toulouse</t>
  </si>
  <si>
    <t>28/07 BAT VT
01/08 EN attente de la VT + des fichiers graphiques du client et des photos pour pouvoir faire le BAT
Suite du dossier par Marie</t>
  </si>
  <si>
    <t>LVB SALON 33 - refab</t>
  </si>
  <si>
    <t>ARVALIS - Ploermel</t>
  </si>
  <si>
    <t>BAT v1 envoyé le 27/11
BAT v2 evnoyé le 20/01</t>
  </si>
  <si>
    <t xml:space="preserve">GH Les 2 A immo st just </t>
  </si>
  <si>
    <t>FAB le 4/08</t>
  </si>
  <si>
    <t>Centre Services Poitier - Intérieur</t>
  </si>
  <si>
    <t>Bouygues Bâtiment Grand Ouest</t>
  </si>
  <si>
    <t>V1 envoyé le 06/08 - FAB A FAIRE Sous traitance Réalisaprint</t>
  </si>
  <si>
    <t>Euronet FRMD2213</t>
  </si>
  <si>
    <t>V1 envoyé le 06/08</t>
  </si>
  <si>
    <t>Cités Immersives Nomade</t>
  </si>
  <si>
    <t>V1 envoyé le 06/08 - FAB A FAIRE</t>
  </si>
  <si>
    <t>[Balzac Paris Retail] Enseignes</t>
  </si>
  <si>
    <r>
      <rPr>
        <rFont val="Comfortaa"/>
        <color theme="1"/>
      </rPr>
      <t xml:space="preserve">19/06 VT
</t>
    </r>
    <r>
      <rPr>
        <rFont val="Comfortaa"/>
        <b/>
        <color theme="1"/>
      </rPr>
      <t>26/06 - 10/07</t>
    </r>
    <r>
      <rPr>
        <rFont val="Comfortaa"/>
        <color theme="1"/>
      </rPr>
      <t xml:space="preserve"> </t>
    </r>
    <r>
      <rPr>
        <rFont val="Comfortaa"/>
        <b/>
        <color theme="1"/>
      </rPr>
      <t>- 11/07</t>
    </r>
    <r>
      <rPr>
        <rFont val="Comfortaa"/>
        <color theme="1"/>
      </rPr>
      <t xml:space="preserve"> BAT</t>
    </r>
    <r>
      <rPr>
        <rFont val="Comfortaa"/>
        <i/>
        <color rgb="FF999999"/>
      </rPr>
      <t xml:space="preserve">
</t>
    </r>
    <r>
      <rPr>
        <rFont val="Comfortaa"/>
        <b/>
        <color theme="1"/>
      </rPr>
      <t>11/07</t>
    </r>
    <r>
      <rPr>
        <rFont val="Comfortaa"/>
        <color theme="1"/>
      </rPr>
      <t xml:space="preserve"> FAB
</t>
    </r>
    <r>
      <rPr>
        <rFont val="Comfortaa"/>
        <b/>
        <color theme="1"/>
      </rPr>
      <t>11/07</t>
    </r>
    <r>
      <rPr>
        <rFont val="Comfortaa"/>
        <color theme="1"/>
      </rPr>
      <t xml:space="preserve"> DEMANDE DEVIS ST
</t>
    </r>
    <r>
      <rPr>
        <rFont val="Comfortaa"/>
        <b/>
        <color theme="1"/>
      </rPr>
      <t xml:space="preserve">21/07 </t>
    </r>
    <r>
      <rPr>
        <rFont val="Comfortaa"/>
        <color theme="1"/>
      </rPr>
      <t>Devis ST validé + lancement en fab</t>
    </r>
  </si>
  <si>
    <t>project lateCO2505-3808_1 - SAS du centre ophtalmologique de l'ouest lyonnais - LOZANNE 30 CHEMIN DU VAVRE - 69380 interieur- Graphisme BAT</t>
  </si>
  <si>
    <r>
      <rPr>
        <rFont val="Comfortaa"/>
        <b/>
        <color theme="1"/>
      </rPr>
      <t>25/07</t>
    </r>
    <r>
      <rPr>
        <rFont val="Comfortaa"/>
        <color theme="1"/>
      </rPr>
      <t xml:space="preserve"> BAT
</t>
    </r>
    <r>
      <rPr>
        <rFont val="Comfortaa"/>
        <b/>
        <color theme="1"/>
      </rPr>
      <t>30/07</t>
    </r>
    <r>
      <rPr>
        <rFont val="Comfortaa"/>
        <color theme="1"/>
      </rPr>
      <t xml:space="preserve"> BAT REFAB
</t>
    </r>
    <r>
      <rPr>
        <rFont val="Comfortaa"/>
        <b/>
        <color theme="1"/>
      </rPr>
      <t>07/08</t>
    </r>
    <r>
      <rPr>
        <rFont val="Comfortaa"/>
        <color theme="1"/>
      </rPr>
      <t xml:space="preserve"> FAB</t>
    </r>
  </si>
  <si>
    <t>Euronet 200H - Fichier de base</t>
  </si>
  <si>
    <t>FAB A FAIRE - Faite pour Léa le 06/08</t>
  </si>
  <si>
    <t>Artibox</t>
  </si>
  <si>
    <t>V1 envoyé le 29/07 - Bloqué, le client doit refaire son visuel - V2 le 06/08</t>
  </si>
  <si>
    <t>CO2502-3332_3 - EASY CHARGE - Easy charge Trouville Refab adhésifs</t>
  </si>
  <si>
    <r>
      <rPr>
        <rFont val="Comfortaa"/>
        <b/>
        <color theme="1"/>
      </rPr>
      <t xml:space="preserve">06/08 </t>
    </r>
    <r>
      <rPr>
        <rFont val="Comfortaa"/>
        <color theme="1"/>
      </rPr>
      <t xml:space="preserve">BAT+REFAB </t>
    </r>
  </si>
  <si>
    <t>CO2506-3945 - EASY CHARGE - 6 bornes à Fontenay Sous-Bois : 2 bornes 60kW 4 bornes 120kW- Graphisme BAT</t>
  </si>
  <si>
    <r>
      <rPr>
        <rFont val="Comfortaa"/>
        <b/>
        <color theme="1"/>
      </rPr>
      <t>31/07</t>
    </r>
    <r>
      <rPr>
        <rFont val="Comfortaa"/>
        <color theme="1"/>
      </rPr>
      <t xml:space="preserve"> Réception des fichiers sources
</t>
    </r>
    <r>
      <rPr>
        <rFont val="Comfortaa"/>
        <b/>
        <color theme="1"/>
      </rPr>
      <t>31/07</t>
    </r>
    <r>
      <rPr>
        <rFont val="Comfortaa"/>
        <color theme="1"/>
      </rPr>
      <t xml:space="preserve"> BAT 
</t>
    </r>
    <r>
      <rPr>
        <rFont val="Comfortaa"/>
        <b/>
        <color theme="1"/>
      </rPr>
      <t>06/08</t>
    </r>
    <r>
      <rPr>
        <rFont val="Comfortaa"/>
        <color theme="1"/>
      </rPr>
      <t xml:space="preserve"> FAB</t>
    </r>
  </si>
  <si>
    <t>CO2507-3995_1 - SAS ARGEMA - logos PVC et adhésifs</t>
  </si>
  <si>
    <r>
      <rPr>
        <rFont val="Comfortaa"/>
        <b/>
        <color theme="1"/>
      </rPr>
      <t>31/07</t>
    </r>
    <r>
      <rPr>
        <rFont val="Comfortaa"/>
        <color theme="1"/>
      </rPr>
      <t xml:space="preserve"> BAT
</t>
    </r>
    <r>
      <rPr>
        <rFont val="Comfortaa"/>
        <b/>
        <color theme="1"/>
      </rPr>
      <t xml:space="preserve">05/08  </t>
    </r>
    <r>
      <rPr>
        <rFont val="Comfortaa"/>
        <color theme="1"/>
      </rPr>
      <t>FAB</t>
    </r>
  </si>
  <si>
    <t>ARVALIS - Pusignan</t>
  </si>
  <si>
    <t>BAT v1 envoyé le 27/11
BAT v2 evnoyé le 03/02
BAT v3 envoyé l e06/02
BAT v4 envoyé le 12/02
FAB le 5/08</t>
  </si>
  <si>
    <t>ARVALIS - Ouzouer le Marche</t>
  </si>
  <si>
    <t>BAT V1 envoyé le 25/11
BAT v2 envoyé le 12/02
BAT v3 envoyé le 21/02
FAB le 5/08</t>
  </si>
  <si>
    <t>Euronet FRRD0512</t>
  </si>
  <si>
    <t>V1 envoyé le 04/08 à Antoine d'abord - V1 envoyé  au client le 04/08 - FAB A FAIRE</t>
  </si>
  <si>
    <t>CO2507-4056 - EDRA S.A - Adhésifs véhicules relais</t>
  </si>
  <si>
    <r>
      <rPr>
        <rFont val="Comfortaa"/>
        <b/>
        <color theme="1"/>
      </rPr>
      <t>31/07</t>
    </r>
    <r>
      <rPr>
        <rFont val="Comfortaa"/>
        <color theme="1"/>
      </rPr>
      <t xml:space="preserve"> FAB </t>
    </r>
  </si>
  <si>
    <t>f283514e - DETAIL CAR PANTIERO</t>
  </si>
  <si>
    <r>
      <rPr>
        <rFont val="Comfortaa"/>
        <b/>
        <color theme="1"/>
      </rPr>
      <t xml:space="preserve">05/08 </t>
    </r>
    <r>
      <rPr>
        <rFont val="Comfortaa"/>
        <b val="0"/>
        <color theme="1"/>
      </rPr>
      <t>BAT + FAB</t>
    </r>
  </si>
  <si>
    <t>CO2506-3865_1 - ARTEMISIA - Artemisia Refab Adhésif n°1- Refabrication - Prépa fichier</t>
  </si>
  <si>
    <r>
      <rPr>
        <rFont val="Comfortaa"/>
        <b/>
        <i val="0"/>
        <color rgb="FF000000"/>
      </rPr>
      <t>23/07</t>
    </r>
    <r>
      <rPr>
        <rFont val="Comfortaa"/>
        <i val="0"/>
        <color rgb="FF000000"/>
      </rPr>
      <t xml:space="preserve"> Relance par téléphone + message téléphonique + mail de relance
</t>
    </r>
    <r>
      <rPr>
        <rFont val="Comfortaa"/>
        <b/>
        <i val="0"/>
        <color rgb="FF000000"/>
      </rPr>
      <t>21/07</t>
    </r>
    <r>
      <rPr>
        <rFont val="Comfortaa"/>
        <i val="0"/>
        <color rgb="FF000000"/>
      </rPr>
      <t xml:space="preserve"> Attente photos pour refab
</t>
    </r>
    <r>
      <rPr>
        <rFont val="Comfortaa"/>
        <b/>
        <i val="0"/>
        <color rgb="FF000000"/>
      </rPr>
      <t>18/07</t>
    </r>
    <r>
      <rPr>
        <rFont val="Comfortaa"/>
        <i val="0"/>
        <color rgb="FF000000"/>
      </rPr>
      <t xml:space="preserve"> -</t>
    </r>
    <r>
      <rPr>
        <rFont val="Comfortaa"/>
        <b/>
        <i val="0"/>
        <color rgb="FF000000"/>
      </rPr>
      <t xml:space="preserve"> 28/07</t>
    </r>
    <r>
      <rPr>
        <rFont val="Comfortaa"/>
        <i val="0"/>
        <color rgb="FF000000"/>
      </rPr>
      <t xml:space="preserve"> Relance par mail
</t>
    </r>
    <r>
      <rPr>
        <rFont val="Comfortaa"/>
        <b/>
        <i val="0"/>
        <color rgb="FF000000"/>
      </rPr>
      <t>04/08</t>
    </r>
    <r>
      <rPr>
        <rFont val="Comfortaa"/>
        <i val="0"/>
        <color rgb="FF000000"/>
      </rPr>
      <t xml:space="preserve"> FAB</t>
    </r>
  </si>
  <si>
    <t>Jour de fête</t>
  </si>
  <si>
    <t>BAT préparé mais fichier pas conforme, demande au client le 04/08 - V1 Envoyé le 04/08 FAB A FAIRE</t>
  </si>
  <si>
    <t>SQ - St Albert</t>
  </si>
  <si>
    <t>Passage de la bâche en sous-traitance, plus en interne, FAB à revoir</t>
  </si>
  <si>
    <t>Poke Dayli</t>
  </si>
  <si>
    <t>BAT 1 envoyé le 15-07
BAT 2 envoyé le 21-07
BAT 3 envoyé le 24-07
BAT 4 envoyé le 28-07
BAT 5 envoyé le 1-08
Jordan a mis le dossier en FAB (PVC en interne + Commande chez Exa des flyers directement chez le client)</t>
  </si>
  <si>
    <t>Poké Daily</t>
  </si>
  <si>
    <t>Reprise du dossier de Carole - Mise en FAB seulement (Sous-traitance + gestion interne)</t>
  </si>
  <si>
    <t>Undife Mutzig</t>
  </si>
  <si>
    <t>Demande de fichier graphique fait le 30-06
Relance le 9-07
Relance le 21-07
BAT 1 envoyé le 29-07
BAT 2 envoyé le 30-07
BAT 3 envoyé le 1-08
BAT 4 envoyé le 1-08
Jordan à pris le relais pour la FAB juste</t>
  </si>
  <si>
    <t>Udige - Mutzig</t>
  </si>
  <si>
    <t>Reprise du dossier de Carole - Tout est validé juste fab à faire</t>
  </si>
  <si>
    <t>Centre Services - Anglet</t>
  </si>
  <si>
    <t>BAT VT et BAT VT1 envoyé le 05/06 - Ok franchiseur - BAT Mairie préparé et envoyé à Océane - Validation franchisé envoyé le 11/06 - Relance avec nouveau BAT modifié au franchisé le 22/07 - Nouvelle relance le 23/07 - Nouveau BAT le 24/07 - FAB A FAIRE</t>
  </si>
  <si>
    <t>Pain des Paumes</t>
  </si>
  <si>
    <t>Demande de fichier graphique le 27/07 - V1 envoyé le 30/07 - V2 le 31/07 - V3 le 04/08 - FAB A FAIRE</t>
  </si>
  <si>
    <t>THUY CUISINE D'ASIE</t>
  </si>
  <si>
    <t>18/03 BAT envoyé
25/03 BAT V2 envoyé
10/04 relance par mail
24/04 BAT V3
30/04 relance validation par mail
13/05 relance par mail
28/05 relance téléphonique
06/06 relance par téléphone sans réponse (message vocal laissé)
10/06 relance par mail
19/06 relance par téléphone (Le site internet est toujours en construction / le kit horaires est presque prêt / les visuels ne conviennent pas, le client doit revenir vers moi avec de nouveaux visuels
01/07 relance téléphonique : le client m'envoie les visuels dans la journée
30/07 mail au client car photos inutilisables
31/07 BAT V4 et V5</t>
  </si>
  <si>
    <t>Euronet FRMD2246</t>
  </si>
  <si>
    <t>BAT 1 envoyé le 31-07</t>
  </si>
  <si>
    <t>MR ENSEIGNES - HARC BATIMENT - Conservatoire Paris 6</t>
  </si>
  <si>
    <t>29/07 BAT V1</t>
  </si>
  <si>
    <t>SQ Caillan interieur</t>
  </si>
  <si>
    <t>Attente de brief
Relance le 24-07
BAT 1 envoyé le 31-07</t>
  </si>
  <si>
    <t>ARI GRAND AUDITION - Refab microperf</t>
  </si>
  <si>
    <t>28/07 Mail cliente pour proposition solution
31/07 relance par mail</t>
  </si>
  <si>
    <t>SQ Sannois intérieur</t>
  </si>
  <si>
    <t>Attente de brief
Relance le 13-06
 Relance le 23-06
Relance le 30-06 
Relance le 24-07
BAT 1 envoyé le 31-07</t>
  </si>
  <si>
    <t>SQ Sassenage R</t>
  </si>
  <si>
    <t>BAT 1 envoyé le 30-07
BAT 2 envoyé le 31-07</t>
  </si>
  <si>
    <t>SQ Biganos R</t>
  </si>
  <si>
    <r>
      <rPr>
        <rFont val="Comfortaa"/>
        <b/>
        <color theme="1"/>
      </rPr>
      <t>30/07</t>
    </r>
    <r>
      <rPr>
        <rFont val="Comfortaa"/>
        <color theme="1"/>
      </rPr>
      <t xml:space="preserve"> VT</t>
    </r>
  </si>
  <si>
    <t>CO2507-4021_1 - EDRA S.A - SAS CARROSSERIE CP AUTO- Graphisme BAT</t>
  </si>
  <si>
    <r>
      <rPr>
        <rFont val="Comfortaa"/>
        <b/>
        <color theme="1"/>
      </rPr>
      <t>22/07 - 29/07</t>
    </r>
    <r>
      <rPr>
        <rFont val="Comfortaa"/>
        <color theme="1"/>
      </rPr>
      <t xml:space="preserve"> BAT
</t>
    </r>
    <r>
      <rPr>
        <rFont val="Comfortaa"/>
        <b/>
        <color theme="1"/>
      </rPr>
      <t>30/07</t>
    </r>
    <r>
      <rPr>
        <rFont val="Comfortaa"/>
        <color theme="1"/>
      </rPr>
      <t xml:space="preserve"> FAB</t>
    </r>
  </si>
  <si>
    <t>Euronet FRMD2214</t>
  </si>
  <si>
    <t>En attente de devis - dossier mis en pause
BAT 1 envoyé le 30-07</t>
  </si>
  <si>
    <t>V1 franchiseur envoyé le 30/07 - BAT Mairie le 31/07</t>
  </si>
  <si>
    <t>BAT 1 envoyé le 30-07</t>
  </si>
  <si>
    <t>CO2507-4010 - ACI FORMATION (POINT CODE BRUNSTATT) - Adhésifs microperforés- Graphisme BAT</t>
  </si>
  <si>
    <t>03/07 BAT + FAB</t>
  </si>
  <si>
    <t>CO2507-4042 - ACM VITRERIE - Enseigne drapeau lumineuse</t>
  </si>
  <si>
    <r>
      <rPr>
        <rFont val="Comfortaa"/>
        <b/>
        <color theme="1"/>
      </rPr>
      <t>28/07</t>
    </r>
    <r>
      <rPr>
        <rFont val="Comfortaa"/>
        <color theme="1"/>
      </rPr>
      <t xml:space="preserve"> BAT
</t>
    </r>
    <r>
      <rPr>
        <rFont val="Comfortaa"/>
        <b/>
        <color theme="1"/>
      </rPr>
      <t xml:space="preserve">29/07 </t>
    </r>
    <r>
      <rPr>
        <rFont val="Comfortaa"/>
        <color theme="1"/>
      </rPr>
      <t>FAB</t>
    </r>
  </si>
  <si>
    <t>AG PLOMBERIE - REFAB 2</t>
  </si>
  <si>
    <t>MYOTEC ROANNE</t>
  </si>
  <si>
    <t>17/06 relance mail pour charte graphique
26/06 Relance par mail
27/06 réponse du mail mais reste en attente des fichiers
01/06 nouvelle relance mail
03/07 BAT enseigne + BAT mairie
25/07 BAT V1
29/07 BAT V2</t>
  </si>
  <si>
    <t>CO2506-3919_1 - RENOVERT - LETTRAGE PVC- Graphisme BAT interne</t>
  </si>
  <si>
    <r>
      <rPr>
        <rFont val="Comfortaa"/>
        <b/>
        <color theme="1"/>
      </rPr>
      <t>24/07</t>
    </r>
    <r>
      <rPr>
        <rFont val="Comfortaa"/>
        <color theme="1"/>
      </rPr>
      <t xml:space="preserve"> BAT </t>
    </r>
  </si>
  <si>
    <t xml:space="preserve"> EDRA S.A - 95_OSNY_CARROSSERIE JAMES</t>
  </si>
  <si>
    <r>
      <rPr>
        <rFont val="Comfortaa"/>
        <b/>
        <color theme="1"/>
      </rPr>
      <t>27/02</t>
    </r>
    <r>
      <rPr>
        <rFont val="Comfortaa"/>
        <color theme="1"/>
      </rPr>
      <t xml:space="preserve"> Refus mairie
</t>
    </r>
    <r>
      <rPr>
        <rFont val="Comfortaa"/>
        <b/>
        <color theme="1"/>
      </rPr>
      <t>30/06</t>
    </r>
    <r>
      <rPr>
        <rFont val="Comfortaa"/>
        <color theme="1"/>
      </rPr>
      <t xml:space="preserve"> BAT VT
</t>
    </r>
    <r>
      <rPr>
        <rFont val="Comfortaa"/>
        <b/>
        <color theme="1"/>
      </rPr>
      <t>11/07</t>
    </r>
    <r>
      <rPr>
        <rFont val="Comfortaa"/>
        <color theme="1"/>
      </rPr>
      <t xml:space="preserve"> BAT </t>
    </r>
    <r>
      <rPr>
        <rFont val="Comfortaa"/>
        <b/>
        <i/>
        <color rgb="FF999999"/>
      </rPr>
      <t xml:space="preserve">
</t>
    </r>
    <r>
      <rPr>
        <rFont val="Comfortaa"/>
        <i/>
        <color rgb="FF999999"/>
      </rPr>
      <t xml:space="preserve">21/07 En cours de validation
</t>
    </r>
    <r>
      <rPr>
        <rFont val="Comfortaa"/>
        <b/>
        <color theme="1"/>
      </rPr>
      <t>29/07</t>
    </r>
    <r>
      <rPr>
        <rFont val="Comfortaa"/>
        <color theme="1"/>
      </rPr>
      <t xml:space="preserve"> FAB</t>
    </r>
  </si>
  <si>
    <t>France Valsir</t>
  </si>
  <si>
    <t>BAT envoyé le 24/07
BAT V2,3,4 envoyé le 28/07
FAB le 30/07</t>
  </si>
  <si>
    <t>Mr Enseignes - Paris Canal</t>
  </si>
  <si>
    <t>BAT envoyé le 24/07
FAB le 30/07</t>
  </si>
  <si>
    <t>Studio dentaire</t>
  </si>
  <si>
    <t>BAT 1 envoyé le 17-07
BAT 2 envoyé le 21-07
Relance le 28-07
BAT 3 envoyé le 28-07</t>
  </si>
  <si>
    <t>En attente de devis - dossier mis en pause</t>
  </si>
  <si>
    <t>Beemover EasyTax</t>
  </si>
  <si>
    <t>V1 envoyé le 24/07 - FAB A FAIRE</t>
  </si>
  <si>
    <t>Euronet FRMD2227</t>
  </si>
  <si>
    <t>BAT 1 envoyé le 29-07
BAT 2 envoyé le 29-07</t>
  </si>
  <si>
    <t>Euronet cash FRRD0512</t>
  </si>
  <si>
    <t>DIMEO</t>
  </si>
  <si>
    <t>Maquette à envoyé avant mercredi 
MAQUETTE V1 envoyé le 04/06
Réu le 23/06
Visuel validé le 2/07
Réu le 3/07 pour parler des stand et configuartion
FAB A FAIRE</t>
  </si>
  <si>
    <t>Destia - Carvin</t>
  </si>
  <si>
    <t>BAT VT - Envoyé le 14/04 - V1 envoyé le 28/04 - V2 le 29/04 - V3 le 30/04 - BAT Mairie le 30/04 - FAB A FAIRE</t>
  </si>
  <si>
    <t>Marélia Institut</t>
  </si>
  <si>
    <t>11/07 BAT V1
15/07 BAT V2
24/07 mail client pour non faisabilité de la nouvelle demande
28/07 BAT V3</t>
  </si>
  <si>
    <t xml:space="preserve">LVB Salon 33 </t>
  </si>
  <si>
    <t>24/07 BAT V1</t>
  </si>
  <si>
    <t>L3T Thérapy</t>
  </si>
  <si>
    <t>15/07 BAT V1</t>
  </si>
  <si>
    <t>BIKUBE - Lyon - slogan lettres relief lumineuses</t>
  </si>
  <si>
    <t>Michael</t>
  </si>
  <si>
    <t>12/06 BAT V1
18/06 BAT V2
15/07 relance de la client pour faisabilité lettres lumineuses, à étudier
18/07 demande de la cliente pour des lettres lumineuses, à étudier</t>
  </si>
  <si>
    <t>CO2507-3995_1 - SAS ARGEMA - logos PVC et adhésifs- Graphisme BAT</t>
  </si>
  <si>
    <t>CO2507-3985 - EASY CHARGE - STICKAGE BORNES 180KW- Graphisme BAT</t>
  </si>
  <si>
    <r>
      <rPr>
        <rFont val="Comfortaa"/>
        <b/>
        <i val="0"/>
        <color rgb="FF000000"/>
      </rPr>
      <t>23/07</t>
    </r>
    <r>
      <rPr>
        <rFont val="Comfortaa"/>
        <i val="0"/>
        <color rgb="FF000000"/>
      </rPr>
      <t xml:space="preserve"> BAT 
</t>
    </r>
    <r>
      <rPr>
        <rFont val="Comfortaa"/>
        <b/>
        <i val="0"/>
        <color rgb="FF000000"/>
      </rPr>
      <t>27/07</t>
    </r>
    <r>
      <rPr>
        <rFont val="Comfortaa"/>
        <i val="0"/>
        <color rgb="FF000000"/>
      </rPr>
      <t xml:space="preserve"> FAB</t>
    </r>
  </si>
  <si>
    <t>SQ Albert provisoire</t>
  </si>
  <si>
    <t>BAT 1 envoyé le 21-07
Relance le 24-07</t>
  </si>
  <si>
    <t>Centre Services Villejuif - Intérieur</t>
  </si>
  <si>
    <t>Mr enseigne summer rolls</t>
  </si>
  <si>
    <t>BAT 1 envoyé le 28-07</t>
  </si>
  <si>
    <t>Euronet FRMD2100</t>
  </si>
  <si>
    <t>BAT 1 fait le 28-07</t>
  </si>
  <si>
    <t>SQ Artigues Gay Lussac extérieur</t>
  </si>
  <si>
    <t>BAT VT fait le 13-05
BAT 1 envoyé le 9-06
Relance le 13-06
Relance le 23-06
Relance le 30-06 
BAT mairie fait le 1-07</t>
  </si>
  <si>
    <t>GDS - Charnay les Macon</t>
  </si>
  <si>
    <t>V1 envoyé le 17/06 à S.A. - V2 à S.A. + Franchisé le 01/07 - Relance le 02/07 - V3 le 08/07 - V4 le 16/07 - V5 le 17/07</t>
  </si>
  <si>
    <t>SQ YVERDON EXTERIEUR</t>
  </si>
  <si>
    <t>BAT VT fait le 9-10
BAT 1 envoyé le 9-10
enseigne refusé - le client regarde pour mettre l'enseigne sur le toit et reviens vers nous
Relance le 22-10
BAT 2 envoyé le 26-11
BAT 3 envoyé le 26-11
La franchisé à validé le 2-12 
attente validation nouveau devis
nouveau BAT envoyé le 3-12 avec modif de structure - attente confirmation léa pour lancer la 3eme VT
Relance le 4-12
BAT 4 envoyé le 10-12
BAT validé
Demande en mairie à la charge de Paul
Relance le 23-06</t>
  </si>
  <si>
    <t>ARVALIS - Nîmes</t>
  </si>
  <si>
    <t>BAT v1 envoyé le 25/11
FAB A FAIRE</t>
  </si>
  <si>
    <t>ARVALIS - Montaut Les créneaux</t>
  </si>
  <si>
    <t>BAT v1 envoyé le 21/11
BAT v2 envoyé le 20/02
FAB A FAIRE</t>
  </si>
  <si>
    <t>SQ BIGANOS R</t>
  </si>
  <si>
    <t>ARVALIS - Lannion</t>
  </si>
  <si>
    <t>BAT V1 envoyé le 19/11
FAB A FAIRE</t>
  </si>
  <si>
    <t>Centre Services Miribel - Intérieur</t>
  </si>
  <si>
    <t>BIKUBE - Montpellier - lettres reliefs PVC</t>
  </si>
  <si>
    <t>partie 2 du projet
18/07 impossible que les lettres soit lumineuses, en attente de la validation BAT
25/07 FAB</t>
  </si>
  <si>
    <t>Euronet topper 100 D 4 mois</t>
  </si>
  <si>
    <t>BAT 1 envoyé le 24-07</t>
  </si>
  <si>
    <t>Les lunettes de Typo</t>
  </si>
  <si>
    <t>BAT commencé - le client m'appelle mardi pour les questions car pas disponible pour le moment
Relance le 2-10
Relance le 3-10
Relance le 9-10
Relance le 16-10
Relance le 22-10
Relance le 24-10
Relance le 6-11
Relance le 20-11
Relance le 26-11
Relance le 28-11
BAT 1 envoyé le 31-01
BAT VT envoyé le 10-02
BAT 2 envoyé le 11-02
Relance le 18-02
Relance le 25-02
Relance le 27-03
Relance tel le 2-05 &gt; message vocal  
BAT 3 envoyé le 13-06
BAT 4 envoyé le 19-06
BAT 5 envoyé le 23-06
Relance le 9-07
BAT 6 envoyé le 15-07
BAT 7 envoyé le 16-07
Relance le 21-07
Relance le 23-07
BAT 8 envoyé le 24-07
BAT 9 envoyé le 24-07</t>
  </si>
  <si>
    <t>SQ Craponne Millaud  - dossier provisoire</t>
  </si>
  <si>
    <t>Attente d'élément de Paul - relance le 22-07
BAT 1 envoyé le 24-07</t>
  </si>
  <si>
    <t>ADHESIF SECHOIR SQ</t>
  </si>
  <si>
    <t>BAT 1 envoyé le 10-07
Relance le 16-07
Relance le 21-07
BAT 2 envoyé le 24-07</t>
  </si>
  <si>
    <t xml:space="preserve">Bnails </t>
  </si>
  <si>
    <t>BAT envoyé le 23/07
FAB le 24/07</t>
  </si>
  <si>
    <t>Temporis - Tourcoing</t>
  </si>
  <si>
    <t>BAT V1 le 21/07 - FAB A FAIRE</t>
  </si>
  <si>
    <t>Temporis Cartoucherie</t>
  </si>
  <si>
    <t>V1 envoyé le 16/06 + BAT VT - Correction sur le kit horaire ok, attente nouveau fichier QR Code + confirmation couleur bande "Santé" - BAT Refait mais appeler le poseur pour confirmer faisabilité - Attente retour Marion - Faire -20mm sur la largeur des enseignes en revanche attente information dimensions des aérations sur enseignes  - V1 le 03/07 - V2 le 04/07 - V3 le 07/07 - V4 le 0707 - FAB FAITE pour tous les adhésifs et les enseignes SAUF : Plaques, caissons, plans de pose et lisses (A rajouter mais en attente de confirmation côté Temporis)</t>
  </si>
  <si>
    <t>,</t>
  </si>
  <si>
    <t>AG PLOMBERIE - REFAB</t>
  </si>
  <si>
    <t>Litige en cours
30/05 BAT refab envoyé
06/06 Relance validation mail
10/06 Relance par mail via nouveau dossier véhicule
24/06 relance par mail
01/07 nouvelle relance
04/07 demandes d'infos par mail
09/07 relance BAT mis à jour
15/07 relance Sara pour infos sur la pose à mettre dans le bat</t>
  </si>
  <si>
    <t>BAT 1 envoyé le 22-07
Relance le 23-07
BAT 2 envoyé le 24-07</t>
  </si>
  <si>
    <t>Etiquette Lisa</t>
  </si>
  <si>
    <t>BAT 1 fait le 24-07</t>
  </si>
  <si>
    <t>Euronet FRMD2243</t>
  </si>
  <si>
    <t>BAT 1 envoyé le 23-07</t>
  </si>
  <si>
    <t>Euronet FRMD2228</t>
  </si>
  <si>
    <t>BAT 1 envoyé le 23-07
Relance le 24-07</t>
  </si>
  <si>
    <t>Euronet FRMD2217</t>
  </si>
  <si>
    <t>Euronet 100D x10 plateforme</t>
  </si>
  <si>
    <t>Euronet FRMD2216</t>
  </si>
  <si>
    <t>Euronet FRMD2231</t>
  </si>
  <si>
    <t>BAT VT fait le 23-07</t>
  </si>
  <si>
    <t>Euronet FRMD 2107</t>
  </si>
  <si>
    <t>2 BIG 1</t>
  </si>
  <si>
    <t>BAT 1 envoyé le 17-07
BAT 2 envoyé le 23-07</t>
  </si>
  <si>
    <t>SARL Panchoubi</t>
  </si>
  <si>
    <t>BAT 1 envoyé le 22-07
BAT 2 envoyé le 22-07</t>
  </si>
  <si>
    <t>Euronet FRMD2237</t>
  </si>
  <si>
    <t>Euronet FRMD2067</t>
  </si>
  <si>
    <t>Euronet FRMD2077</t>
  </si>
  <si>
    <t>Euronet FRMD2238</t>
  </si>
  <si>
    <t>Euronet FRMD2236</t>
  </si>
  <si>
    <t>Euronet FRMD2225</t>
  </si>
  <si>
    <t xml:space="preserve">CO2507-4031_1 - EDRA S.A - Carrosserie Bousquet- Graphisme BAT
</t>
  </si>
  <si>
    <t xml:space="preserve">22/07 BAT
23/07 FAB </t>
  </si>
  <si>
    <t>Mr Enseignes - Tecamver</t>
  </si>
  <si>
    <t>V1 envoyé le 22/07 - FAB A FAIRE</t>
  </si>
  <si>
    <t>Adenior - Halluin</t>
  </si>
  <si>
    <t>BAT VT + BAT V1 envoyé le 10/07 au franchiseur - V2 suivant VT envoyé le 22/07 - FAB A FAIRE</t>
  </si>
  <si>
    <t>Euronet topper 100D 1 mois</t>
  </si>
  <si>
    <t>BAT 1 envoyé le 22-07</t>
  </si>
  <si>
    <t xml:space="preserve">ARVALIS - Ecardanville la campagne </t>
  </si>
  <si>
    <t xml:space="preserve">Chasse aux infos, appel Antoie &gt; me dis d'appeler Medhi &gt; me dis d'appeler ANtoine et les responsable de site mais pas de réponse au tel
BAT v1 envoyé le 22/11
BAT V2 envoyé le 03/02
BAT v3 envoyé le 06/02
FAB le 22/07
</t>
  </si>
  <si>
    <t>RIA FR13360</t>
  </si>
  <si>
    <t>BAT 1 envoyé le 26-06
BAT 2 envoyé le 27-06
Relance le 30-06
BAT 3 envoyé le 9-07
Relance le 16-07
BAT validé - en attente de VT</t>
  </si>
  <si>
    <t>SQ Montbéliard exterieur</t>
  </si>
  <si>
    <t>BAT VT fait le 27-03
BAT 1 envoyé le 9-05
Relance le 14-05
BAT mairie fait le 3-06</t>
  </si>
  <si>
    <t xml:space="preserve">ARVALIS - Greoux les bains </t>
  </si>
  <si>
    <t>BAT v1 envoyé le 20/11
FAB le 22/07</t>
  </si>
  <si>
    <t>Euronet FRMD2233</t>
  </si>
  <si>
    <t>BAT 1 envoyé le 18-07
BAT 2 envoyé le 21-07</t>
  </si>
  <si>
    <t>MR ENSEIGNES - Agence 3Dimensions - CSGV P2</t>
  </si>
  <si>
    <t>V1 à envoyer le 22/07 - V2 le 22/07 - FAB A FAIRE</t>
  </si>
  <si>
    <t>Regie Lescuyer</t>
  </si>
  <si>
    <t>BAT 1 envoyé le 18-06
Relance le 26-06
Relance le 30-06 
Relance le 9-07
Relance le 21-07</t>
  </si>
  <si>
    <t>ARVALIS - Jeu les bains</t>
  </si>
  <si>
    <t>BAT v1 envoyé le 13/11
BAT v2 envoyé le 17/12
FAB le 22/07</t>
  </si>
  <si>
    <t>Les Enseignistes - WP</t>
  </si>
  <si>
    <t>Etiquette pour totem extérieur nouvelle société</t>
  </si>
  <si>
    <t xml:space="preserve">GH Lyon 5 Kit horaore </t>
  </si>
  <si>
    <t>BAT envoyé le 18/07
FAB le 22/07</t>
  </si>
  <si>
    <t>GUY HOQUET Sézanne</t>
  </si>
  <si>
    <t>RAS 
Attente RAL façade pour faire les ilisses
En mairie le 22/05
FAB le 22/07</t>
  </si>
  <si>
    <t>SQ Marseille Pharo - dossier provisoire</t>
  </si>
  <si>
    <t>Particulier</t>
  </si>
  <si>
    <t>Appel avec la cliente le 21/07 - BAT V1 le 21/07 - V2 le 22/07</t>
  </si>
  <si>
    <t>City locker dossier mairie</t>
  </si>
  <si>
    <t>BAT fait le 22-07</t>
  </si>
  <si>
    <t>V1 le 10/07</t>
  </si>
  <si>
    <t>Les Enseignistes - Bâche</t>
  </si>
  <si>
    <t>V1 le 21/07 - Et merci la FAB Marie !</t>
  </si>
  <si>
    <t>SQ Tasseaux</t>
  </si>
  <si>
    <t>BAT 1 fait le 21-07</t>
  </si>
  <si>
    <t xml:space="preserve">Guy Hoquet </t>
  </si>
  <si>
    <t>BAT 1 envoyé le 18-07</t>
  </si>
  <si>
    <t xml:space="preserve">CO2506-3940 - BLACK BOOK SHOP - Signaletique exterieur
</t>
  </si>
  <si>
    <r>
      <rPr>
        <rFont val="Comfortaa"/>
        <b/>
        <color theme="1"/>
      </rPr>
      <t>02/07</t>
    </r>
    <r>
      <rPr>
        <rFont val="Comfortaa"/>
        <color theme="1"/>
      </rPr>
      <t xml:space="preserve"> BAT
</t>
    </r>
    <r>
      <rPr>
        <rFont val="Comfortaa"/>
        <b/>
        <color theme="1"/>
      </rPr>
      <t>02/07</t>
    </r>
    <r>
      <rPr>
        <rFont val="Comfortaa"/>
        <color theme="1"/>
      </rPr>
      <t xml:space="preserve"> FAB </t>
    </r>
  </si>
  <si>
    <t>Vallois Bureau d'Etude</t>
  </si>
  <si>
    <t>V1 envoyé le 17/07</t>
  </si>
  <si>
    <t>[PURE PERLE] Adhésif teinté masse découpé à la forme pour porte entrée</t>
  </si>
  <si>
    <r>
      <rPr>
        <rFont val="Comfortaa"/>
        <b/>
        <color theme="1"/>
      </rPr>
      <t>26/06</t>
    </r>
    <r>
      <rPr>
        <rFont val="Comfortaa"/>
        <color theme="1"/>
      </rPr>
      <t xml:space="preserve"> Prise de contact 
</t>
    </r>
    <r>
      <rPr>
        <rFont val="Comfortaa"/>
        <b/>
        <color theme="1"/>
      </rPr>
      <t>30/06</t>
    </r>
    <r>
      <rPr>
        <rFont val="Comfortaa"/>
        <color theme="1"/>
      </rPr>
      <t xml:space="preserve"> RDV Appel client 
</t>
    </r>
    <r>
      <rPr>
        <rFont val="Comfortaa"/>
        <b/>
        <color theme="1"/>
      </rPr>
      <t xml:space="preserve">30/06 - 02/07 </t>
    </r>
    <r>
      <rPr>
        <rFont val="Comfortaa"/>
        <color theme="1"/>
      </rPr>
      <t xml:space="preserve">BAT
</t>
    </r>
    <r>
      <rPr>
        <rFont val="Comfortaa"/>
        <i/>
        <color rgb="FF999999"/>
      </rPr>
      <t xml:space="preserve">FAB </t>
    </r>
  </si>
  <si>
    <t>SAS TBMD</t>
  </si>
  <si>
    <t>08/07 vérification de faisabilité du projet par Avner avec l'atelier
09/07 BAT V2</t>
  </si>
  <si>
    <t>EDRA (AXIAL) - Carrosserie scibetta</t>
  </si>
  <si>
    <t>08/07 Manque d'infos sur les emplacements des enseignes, en attente du retour franchiseur
11/07 relance par mail
15/07 relance et réponse par mail : toujours en attente
16/07 BAT V1</t>
  </si>
  <si>
    <t>Marek&amp;Sons</t>
  </si>
  <si>
    <t>15/07 BAT V1
16/07 BAT V2</t>
  </si>
  <si>
    <t>Multioumono</t>
  </si>
  <si>
    <t>09/07 appel sans réponse + mail demandes d'infos
15/07 BAT V1
16/07 BAT V2</t>
  </si>
  <si>
    <t>ARVALIS - Colmar</t>
  </si>
  <si>
    <t>BAT v1 envoyé le 13/11
BAT v2 envoyé le 20/01
BAT v3 envoyé le 13/03
FAB A FAIRE</t>
  </si>
  <si>
    <t xml:space="preserve">ARVALIS - Etoile sur Rhône </t>
  </si>
  <si>
    <t>BAT v1 envoyé le 13/11
BAT v2 envoyé le 31/01
Validé le 03/04
FAB A FAIRE</t>
  </si>
  <si>
    <t>Anancours Toulon bache</t>
  </si>
  <si>
    <t>BAT le 16/07
FAB A FAIRE</t>
  </si>
  <si>
    <t xml:space="preserve">ON AIR Chalon </t>
  </si>
  <si>
    <t>BAT V1 le 10/04
BAT v2 le 10/04
BAT VT le 10/04
BAT mairie le 6/05
FAB A FAIRE</t>
  </si>
  <si>
    <t>SQ Paris Saussure intérieur</t>
  </si>
  <si>
    <t>Attente de brief
Relance le 6-05
Relance le 13-06
Relance le 23-06
BAT 1 envoyé le 16-07</t>
  </si>
  <si>
    <t>SQ ST MEDARD R</t>
  </si>
  <si>
    <t>BAT 1 envoyé le 16-07</t>
  </si>
  <si>
    <t>SQ Orly exterieur</t>
  </si>
  <si>
    <t>BAT VT fait le 14-03
BAT 1 envoyé le 14-04
BAT mairie le 16-04
BAT 2 envoyé le 12-05
Refus mairie en brillant - renvoyé le 18-06 en mat</t>
  </si>
  <si>
    <t>Le Petit Lunetier - REFAB (pb de ultra transparent)</t>
  </si>
  <si>
    <t>15/07 Commande ST Wow print et mail récap envoyé</t>
  </si>
  <si>
    <t>EURONET FRMD0325</t>
  </si>
  <si>
    <t>BAT fait le 16-07</t>
  </si>
  <si>
    <t>Pullman Pampa</t>
  </si>
  <si>
    <t>BAT approximatifà envoyé avec des mesures approximative
BAT V1 envoyé le 3/12
RELANCE le 6/01
BAT v2  le 30/01
BAT v3 le  3/03
BAT v4 le 30/04
BAT validé et devis validé le 26/05
BAT envoyé le 27/05 validé le 5/06
BAT mairie envoyé le 27/05
FAB le 16/07</t>
  </si>
  <si>
    <t>Bureau Vallée Biscarosse</t>
  </si>
  <si>
    <t>BAT v1 envoyé le 23/05
BAT v2 envoyé le 27/05
BAT v3 le 27/05
BAT v4 le 30/06</t>
  </si>
  <si>
    <t>Novi - Sillingy</t>
  </si>
  <si>
    <t>RIA FR13884</t>
  </si>
  <si>
    <t>BAT 1 envoyé le 1-07
BAT 2 envoyé le 1-07
BAT 3 envoyé le 7-07</t>
  </si>
  <si>
    <t>RIA FR15407</t>
  </si>
  <si>
    <t>BAT 1 envoyé le 25-06
BAT 2 envoyé le 27-06
BAT 3 envoyé le 27-06
BAT validé - en attente de VT</t>
  </si>
  <si>
    <t>Centre Services - St Maur des Fosses - Intérieur</t>
  </si>
  <si>
    <t>Destia - Orléans Nord</t>
  </si>
  <si>
    <t>BAT VT - Envoyé le 15/04 - BAT V1 le 16/04 - V2 le 16/04 - V3 le 17/04 - V4 le 22/04 - V5 le 30/04 - BAT Mairie le 30/04</t>
  </si>
  <si>
    <t>Destia - Orléans Sud</t>
  </si>
  <si>
    <t>BAT VT le 04/03 - V1 le 10/03 - V2 le 12/03 - BAT Mairie fait le 12/03 - Modif après BAT Mairie, seulement changement sur l'adhésif, pas de nouveau BAT Mairie - Modif le 17/03 - Modif vitrophanie le 22/04 - Modif vitro le 28/04 - Modif vitro le 11/06 suite retour mairie et changement enseigne - Modif BAT + BAT Mairie le 08/07 - Attente validation devis</t>
  </si>
  <si>
    <t>Etiquette soeur Michael</t>
  </si>
  <si>
    <t>BAT 1 envoyé le 15-07</t>
  </si>
  <si>
    <t>Centre Services Chantilly</t>
  </si>
  <si>
    <t>Centre Services Saint Germain en Laye</t>
  </si>
  <si>
    <t>Centre Services Sens</t>
  </si>
  <si>
    <t>B&amp;B Jack Gomme</t>
  </si>
  <si>
    <t>10/07 BAT V1</t>
  </si>
  <si>
    <t>Novi - Scionzier</t>
  </si>
  <si>
    <r>
      <rPr>
        <rFont val="Comfortaa"/>
        <color theme="1"/>
      </rPr>
      <t xml:space="preserve"> </t>
    </r>
    <r>
      <rPr>
        <rFont val="Comfortaa"/>
        <b/>
        <color theme="1"/>
      </rPr>
      <t>22/07</t>
    </r>
    <r>
      <rPr>
        <rFont val="Comfortaa"/>
        <color theme="1"/>
      </rPr>
      <t xml:space="preserve"> BAT VT 
</t>
    </r>
    <r>
      <rPr>
        <rFont val="Comfortaa"/>
        <b/>
        <color theme="1"/>
      </rPr>
      <t>28/10 - 29/01</t>
    </r>
    <r>
      <rPr>
        <rFont val="Comfortaa"/>
        <color theme="1"/>
      </rPr>
      <t xml:space="preserve"> BAT 
 </t>
    </r>
    <r>
      <rPr>
        <rFont val="Comfortaa"/>
        <b/>
        <color theme="1"/>
      </rPr>
      <t>06/02 - 17/04 - 28/05</t>
    </r>
    <r>
      <rPr>
        <rFont val="Comfortaa"/>
        <color theme="1"/>
      </rPr>
      <t xml:space="preserve"> Relance
</t>
    </r>
    <r>
      <rPr>
        <rFont val="Comfortaa"/>
        <b/>
        <color theme="1"/>
      </rPr>
      <t>29/01</t>
    </r>
    <r>
      <rPr>
        <rFont val="Comfortaa"/>
        <color theme="1"/>
      </rPr>
      <t xml:space="preserve"> BAT Franchisé
</t>
    </r>
    <r>
      <rPr>
        <rFont val="Comfortaa"/>
        <b/>
        <color theme="1"/>
      </rPr>
      <t>11/07</t>
    </r>
    <r>
      <rPr>
        <rFont val="Comfortaa"/>
        <color theme="1"/>
      </rPr>
      <t xml:space="preserve"> FAB</t>
    </r>
  </si>
  <si>
    <t>ME ENSEIGNES - Yaka Rim - Sucré Salé</t>
  </si>
  <si>
    <t>08/07 BAT validé mais en attente de la ref du RAL des lisses</t>
  </si>
  <si>
    <t>Euronet Small merchant</t>
  </si>
  <si>
    <t>BAT 1 envoyé le 8-07</t>
  </si>
  <si>
    <t>SQ Audenge R2</t>
  </si>
  <si>
    <t>BAT 1 envoyé le 8-07
Relance le 9-07
BAT 2 envoyé le 9-07</t>
  </si>
  <si>
    <t>AG PLOMBERIE - FORD TRANSIT</t>
  </si>
  <si>
    <t>24/06 Relance demande infos véhicule
01/06 nouvelle relance mail
04/07 BAT fait
09/07 relance pour validation claire et écrite du BAT</t>
  </si>
  <si>
    <t>MR ENSEIGNES - Auto Ecole Caluire Croix Rousse - Panneau</t>
  </si>
  <si>
    <t>08/07 BAT V1 et V2
fab à faire</t>
  </si>
  <si>
    <t>Bagelstein ABEIL</t>
  </si>
  <si>
    <t>BAT 9/07
FAB l 10/07</t>
  </si>
  <si>
    <t>ARVALIS - Caen</t>
  </si>
  <si>
    <t>BAT v1 enovyé le 6/11
BAT v2 envoyé le 03/02
BAT v3 envoyé le 06/02
FAB le 10/07</t>
  </si>
  <si>
    <t>Euronet EWFR0385</t>
  </si>
  <si>
    <t>BAT 1 envoyé le 2-07
Relance le 9-07
BAT 2 envoyé le 9-07</t>
  </si>
  <si>
    <t xml:space="preserve">GUY HOQUET NEUILLY PLAISANCE </t>
  </si>
  <si>
    <t>En attente validation, relancé le 13/02
BAT che zle franchiseur cause refus mairie le 2/04
BAT mairie le 15/04
BAT v2 le 10/04
BAT mairie le 15/04
FAB à faire en attente d'une VT complémentaire pour réaliser le coffrage 
FAB le 9/07</t>
  </si>
  <si>
    <t>BIKUBE-Montpellier</t>
  </si>
  <si>
    <t>20/05 BAT V1
02/06 BAT V3
04/06 BAT V4
11/06 BAT V5 et V6
18/06 BAT V7 en 2 parties
19/06 BAT V8 partie 1</t>
  </si>
  <si>
    <t>RIA BE3038 R</t>
  </si>
  <si>
    <t>BAT 1 envoyé le 7-07
BAT 2 envoyé le 8-07</t>
  </si>
  <si>
    <t>La Française des Façades</t>
  </si>
  <si>
    <t>01/07 BAT V1</t>
  </si>
  <si>
    <t>MR ENSEIGNES - SIGNAPUB - Eau Claire</t>
  </si>
  <si>
    <t>04/07 fab à faire</t>
  </si>
  <si>
    <t>MR ENSEIGNES - LA DESCARGA</t>
  </si>
  <si>
    <t>26/06 BAT V1 et V2
01/07 BAT V3 et V4</t>
  </si>
  <si>
    <t>Adhésifs - SAS Carbiol - Intermaché</t>
  </si>
  <si>
    <t>FAB le 7/07</t>
  </si>
  <si>
    <t xml:space="preserve">Supermarché d"asie </t>
  </si>
  <si>
    <t>VT le 4/06
BAT v1 envoyé le 12/06
BAT v2 le 25/06 par Marion
FAB par carole le 3/07</t>
  </si>
  <si>
    <t>ARVALIS - Chalon en Champagne</t>
  </si>
  <si>
    <t>Attente de référence véhicuel
BAT v1 envoyé le 9/1
Vlidé le 25/03 &gt; demander une signature
FAB le 7/07</t>
  </si>
  <si>
    <t>ARVALIS - Bergerac</t>
  </si>
  <si>
    <t>BAT v1 envoyé le 5/11
BAT vvalidé le 11/04
BAT envoyé le 4/06
FAB le 7/07</t>
  </si>
  <si>
    <t>ARVALIS - Boigneville</t>
  </si>
  <si>
    <t>BAT v1 envoyé le 6/11 (attente de précision sur des retours suite à mail envoyé le 9 janvier))
BAT v2 envoyé le 18/02
BAT v5 envoyé le 30/04
FAB le 7/07</t>
  </si>
  <si>
    <t>RIA FR15520</t>
  </si>
  <si>
    <t>BAT 1 envoyé le 10-06
BAT 2 envoyé le 11-06
BAT validé - attente VT</t>
  </si>
  <si>
    <t>BAT 1 envoyé le 4-06
Relance le 11-06
BAT validé - attente VT</t>
  </si>
  <si>
    <t>Destia - Tours</t>
  </si>
  <si>
    <t>V1 envoyé le 30/05 - V2 le 04/06 - V3 le 10/06 - V4 le 03/07 - FAB A FAIRE</t>
  </si>
  <si>
    <t>SQ ALBERT - adh + light</t>
  </si>
  <si>
    <t>2 BAT envoyés le 7-07
lightbox mis en FAB - attente confirmation pour archiver</t>
  </si>
  <si>
    <t>SQ Saulce sur Rhone Interieur</t>
  </si>
  <si>
    <t xml:space="preserve">Attente de brief
Relance le 6-05
Relance le 13-06
Relance le 17-06
Relance le 23-06
Relance le 30-06 
BAT 1 envoyé le 3-07
</t>
  </si>
  <si>
    <t>[EDRA S.A] CARROSSERIE DU LITTORAL ATLANTIQUE - Graphisme BAT</t>
  </si>
  <si>
    <r>
      <rPr>
        <rFont val="Comfortaa"/>
        <b/>
        <color theme="1"/>
      </rPr>
      <t>16/06</t>
    </r>
    <r>
      <rPr>
        <rFont val="Comfortaa"/>
        <color theme="1"/>
      </rPr>
      <t xml:space="preserve"> </t>
    </r>
    <r>
      <rPr>
        <rFont val="Comfortaa"/>
        <b/>
        <color theme="1"/>
      </rPr>
      <t>- 17/06 - 26/06 - 03/06</t>
    </r>
    <r>
      <rPr>
        <rFont val="Comfortaa"/>
        <color theme="1"/>
      </rPr>
      <t xml:space="preserve"> BAT
</t>
    </r>
    <r>
      <rPr>
        <rFont val="Comfortaa"/>
        <b/>
        <color theme="1"/>
      </rPr>
      <t>02/07</t>
    </r>
    <r>
      <rPr>
        <rFont val="Comfortaa"/>
        <color theme="1"/>
      </rPr>
      <t xml:space="preserve"> Relance 
04/07 FAB</t>
    </r>
  </si>
  <si>
    <t>Euronet FRMD2205</t>
  </si>
  <si>
    <t>BAT et FAB fait le 4-07</t>
  </si>
  <si>
    <t>Euronet FRMD2180</t>
  </si>
  <si>
    <t>Euronet FRMD2170</t>
  </si>
  <si>
    <t>Euronet FRMD2175</t>
  </si>
  <si>
    <t xml:space="preserve">CO2507-3951 - MR ENSEIGNES - KNIS - Le Shop
</t>
  </si>
  <si>
    <r>
      <rPr>
        <rFont val="Comfortaa"/>
        <b/>
        <color theme="1"/>
      </rPr>
      <t>02/07</t>
    </r>
    <r>
      <rPr>
        <rFont val="Comfortaa"/>
        <color theme="1"/>
      </rPr>
      <t xml:space="preserve"> BAT
</t>
    </r>
    <r>
      <rPr>
        <rFont val="Comfortaa"/>
        <b/>
        <color theme="1"/>
      </rPr>
      <t>04/07</t>
    </r>
    <r>
      <rPr>
        <rFont val="Comfortaa"/>
        <color theme="1"/>
      </rPr>
      <t xml:space="preserve"> FAB</t>
    </r>
  </si>
  <si>
    <t>ARVALIS - Magneraud</t>
  </si>
  <si>
    <t>BAT v1 envoyé le 19/11
BAT v2 envoyé le 13/03
FAB le 3/07</t>
  </si>
  <si>
    <t>CANDELIA - Refab caisson</t>
  </si>
  <si>
    <t>LES LUNETTES DE TIPO</t>
  </si>
  <si>
    <t>26/06 BAT V1
30/06 BAT V2
01/07 BAT V3
02/07 BAT V4 et V5
03/07 BAT V6 à V8</t>
  </si>
  <si>
    <t>ARVALIS - Avignon</t>
  </si>
  <si>
    <t>BAT v1 envoyé le 5/11
BAT validé le 03/04
FAB le 3/07</t>
  </si>
  <si>
    <t>Supermarché d'Asie FAB</t>
  </si>
  <si>
    <t>FAB faite le 3-07</t>
  </si>
  <si>
    <t>Temporis St Pere en Retz</t>
  </si>
  <si>
    <t>V1 envoyé le 01/07 - V2 envoyé le 01/07 - FAB A FAIRE</t>
  </si>
  <si>
    <t xml:space="preserve">Anancours boulogne sur mer </t>
  </si>
  <si>
    <t>BAT VT le 25/04
BAT v5 envoyé le 23/05
BAT mairie le 26/05
FAB le 3/07</t>
  </si>
  <si>
    <t>GUY HOQUET Guérande</t>
  </si>
  <si>
    <t>En attente retour client &amp; architecte pour solution suite au refus mairie
Refus mairie &gt; BAT avecc prescription
BAT franchiseur envoyé le 12/03
BAT franchisé le 24/03
BAT mairie le 26/03
BAT mairie le 23/04
FAB le 21/05
Modifs à faire sur BAT &gt; mail envoyé le 23/06 à Loris poir lui proposer une solution
BAT envoyé le 25/06 
FAB le 21/05</t>
  </si>
  <si>
    <t xml:space="preserve">GH Tignieux </t>
  </si>
  <si>
    <t>BAT VT le 29/04
Attente retour des poseurs car mesures wtf
BAT v1 envoyé le 20/05
BAT franchisé envoyé le 28/05
BAT mairie le 3/06
FAB le 1/07</t>
  </si>
  <si>
    <t>Guy Hoquet Armentières</t>
  </si>
  <si>
    <t>BAT v1 le 3/05/24
BAT v2 le 15/05/24
BAT v3 le 26/02/25
BAT v4 le 12/03/25
BAT v5 le 13/05
BAT v6 le 17/03
FAB le 30/06</t>
  </si>
  <si>
    <t xml:space="preserve">GUY HOQUET Rilleux - panneaxu </t>
  </si>
  <si>
    <t>BAT le 30/06
FAB le 3/07</t>
  </si>
  <si>
    <t>CO2507-3955 - PRYSME - REPRISE ENSEIGNE</t>
  </si>
  <si>
    <r>
      <rPr>
        <rFont val="Comfortaa"/>
        <b/>
        <color theme="1"/>
      </rPr>
      <t>03/07</t>
    </r>
    <r>
      <rPr>
        <rFont val="Comfortaa"/>
        <color theme="1"/>
      </rPr>
      <t xml:space="preserve"> FAB</t>
    </r>
  </si>
  <si>
    <t>Temporis - Lyon Vaise</t>
  </si>
  <si>
    <t>V1 envoyé le 10/06</t>
  </si>
  <si>
    <t>BAT V1 + BAT VT envoyé le 18/06 - BAT V2 le 19/06 - Modif avec VT faite + Validation franchiseur le 01/07 - Envoyé au franchisé le 01/07 - FAB A FAIRE</t>
  </si>
  <si>
    <t>Mr Enseignes - Comme à la maison</t>
  </si>
  <si>
    <t>V1 envoyé le 02/06</t>
  </si>
  <si>
    <t>CO2502-3445_1 - HYDRO BUILDING SYSTEMS (Technal) - Enseignes et signalétique GAP</t>
  </si>
  <si>
    <r>
      <rPr>
        <rFont val="Comfortaa"/>
        <b/>
        <color theme="1"/>
      </rPr>
      <t xml:space="preserve">27/05 - 17/06 - 19/06 </t>
    </r>
    <r>
      <rPr>
        <rFont val="Comfortaa"/>
        <color theme="1"/>
      </rPr>
      <t xml:space="preserve"> BAT Adhésif
</t>
    </r>
    <r>
      <rPr>
        <rFont val="Comfortaa"/>
        <b/>
        <color theme="1"/>
      </rPr>
      <t xml:space="preserve">04/06 - 16/06 </t>
    </r>
    <r>
      <rPr>
        <rFont val="Comfortaa"/>
        <color theme="1"/>
      </rPr>
      <t xml:space="preserve">Relance
</t>
    </r>
    <r>
      <rPr>
        <rFont val="Comfortaa"/>
        <b/>
        <color theme="1"/>
      </rPr>
      <t>01/06</t>
    </r>
    <r>
      <rPr>
        <rFont val="Comfortaa"/>
        <color theme="1"/>
      </rPr>
      <t xml:space="preserve"> FAB</t>
    </r>
  </si>
  <si>
    <t>SQ BIGANOS</t>
  </si>
  <si>
    <t>BAT 1 envoyé le 30-06
Relance le 1-07
Relance le 2-07</t>
  </si>
  <si>
    <t>[GINETTE NY] ENSEIGNE DRAPEAU - Graphisme BAT</t>
  </si>
  <si>
    <r>
      <rPr>
        <rFont val="Comfortaa"/>
        <b/>
        <color theme="1"/>
      </rPr>
      <t xml:space="preserve">26/06 - 01/07 </t>
    </r>
    <r>
      <rPr>
        <rFont val="Comfortaa"/>
        <color theme="1"/>
      </rPr>
      <t xml:space="preserve">BAT
</t>
    </r>
    <r>
      <rPr>
        <rFont val="Comfortaa"/>
        <b/>
        <color theme="1"/>
      </rPr>
      <t>02/07</t>
    </r>
    <r>
      <rPr>
        <rFont val="Comfortaa"/>
        <color theme="1"/>
      </rPr>
      <t xml:space="preserve"> FAB</t>
    </r>
  </si>
  <si>
    <t>[MR ENSEIGNES] SIGNAPUB - Boulangerie Prévotat</t>
  </si>
  <si>
    <t>26/06 BAT
02/07 FAB</t>
  </si>
  <si>
    <t>MR ENSEIGNES - Knis - ICADE</t>
  </si>
  <si>
    <t>30/06 BAT V1</t>
  </si>
  <si>
    <t>CENTRE OPHTALMOLOGIQUE DE L'OUEST LYONNAIS - LOZANNE</t>
  </si>
  <si>
    <r>
      <rPr>
        <rFont val="Comfortaa"/>
        <b/>
        <color theme="1"/>
      </rPr>
      <t>04/06</t>
    </r>
    <r>
      <rPr>
        <rFont val="Comfortaa"/>
        <color theme="1"/>
      </rPr>
      <t xml:space="preserve"> BAT VT
</t>
    </r>
    <r>
      <rPr>
        <rFont val="Comfortaa"/>
        <b/>
        <color theme="1"/>
      </rPr>
      <t>16/06 - 18/06</t>
    </r>
    <r>
      <rPr>
        <rFont val="Comfortaa"/>
        <color theme="1"/>
      </rPr>
      <t xml:space="preserve"> - </t>
    </r>
    <r>
      <rPr>
        <rFont val="Comfortaa"/>
        <b/>
        <color theme="1"/>
      </rPr>
      <t>30/06</t>
    </r>
    <r>
      <rPr>
        <rFont val="Comfortaa"/>
        <color theme="1"/>
      </rPr>
      <t xml:space="preserve"> BAT
</t>
    </r>
    <r>
      <rPr>
        <rFont val="Comfortaa"/>
        <b/>
        <color theme="1"/>
      </rPr>
      <t xml:space="preserve">26/06 </t>
    </r>
    <r>
      <rPr>
        <rFont val="Comfortaa"/>
        <color theme="1"/>
      </rPr>
      <t xml:space="preserve">Relance
</t>
    </r>
    <r>
      <rPr>
        <rFont val="Comfortaa"/>
        <b/>
        <color theme="1"/>
      </rPr>
      <t>01/07</t>
    </r>
    <r>
      <rPr>
        <rFont val="Comfortaa"/>
        <color theme="1"/>
      </rPr>
      <t xml:space="preserve"> FAB</t>
    </r>
  </si>
  <si>
    <t>NOVI BRON</t>
  </si>
  <si>
    <r>
      <rPr>
        <rFont val="Comfortaa"/>
        <b/>
        <color theme="1"/>
      </rPr>
      <t xml:space="preserve"> 21/10 - 21/11 - 21/11 - 21/11 - 25/11 - 18/12 - 18/03 - 01/04</t>
    </r>
    <r>
      <rPr>
        <rFont val="Comfortaa"/>
        <color theme="1"/>
      </rPr>
      <t xml:space="preserve"> BAT
</t>
    </r>
    <r>
      <rPr>
        <rFont val="Comfortaa"/>
        <b/>
        <color theme="1"/>
      </rPr>
      <t>27/05</t>
    </r>
    <r>
      <rPr>
        <rFont val="Comfortaa"/>
        <color theme="1"/>
      </rPr>
      <t xml:space="preserve"> FAB 
</t>
    </r>
    <r>
      <rPr>
        <rFont val="Comfortaa"/>
        <b/>
        <color theme="1"/>
      </rPr>
      <t>17/06</t>
    </r>
    <r>
      <rPr>
        <rFont val="Comfortaa"/>
        <color theme="1"/>
      </rPr>
      <t xml:space="preserve"> FAB EXTERIEUR
</t>
    </r>
    <r>
      <rPr>
        <rFont val="Comfortaa"/>
        <b/>
        <color theme="1"/>
      </rPr>
      <t>02/06</t>
    </r>
    <r>
      <rPr>
        <rFont val="Comfortaa"/>
        <color theme="1"/>
      </rPr>
      <t xml:space="preserve"> ORIFLAMME</t>
    </r>
  </si>
  <si>
    <t>RIA FR15417</t>
  </si>
  <si>
    <t>BAT 1 envoyé le 3-10
BAT 2 envoyé le 8-10
BAT 3 envoyé le 9-10
BAT et devis validé - attente VT
Relance Antoine le 30-06</t>
  </si>
  <si>
    <t>RIA FR15662</t>
  </si>
  <si>
    <t>BAT 1 envoyé le 15-01
BAT 2 envoyé le 22-01
BAT validé - attente VT et validation devis
Relance Antoine le 30-06</t>
  </si>
  <si>
    <t>Temporis - Saint Afrique</t>
  </si>
  <si>
    <t>V1 envoyé le 21/05 - FAB A FAIRE - Attente VT - VT éclatée au sol le 09/06, attente nouvelle VT - FAB A FAIRE - ENFAITE FAUT ENCORE UNE VT PARCE QUE TOUJOURS PAS BON !!!!!!!!! - FAB A FAIRE VT A CHECKER</t>
  </si>
  <si>
    <t>City locker Strasbourg</t>
  </si>
  <si>
    <t>BAT VT fait le 4-11
BAT provisoire envoyé le 4-11
FAB Bache provisoire fait le 4-11
BAT provisoire 2 envoyé le 6-11
BAT 1 envoyé le 18-11
BAT 2 envoyé le 25-11
BAT 3 envoyé le 28-11
BAT 4 envoyé le 29-11
BAT mairie fait le 11-12
refus mairie
BAT 5 envoyé à Antoine et Océane le 12-02 - attente validation de leur part
BAT 6 envoyé le 13-02
Relance le 25-02
Relance le 27-03
BAT 7 envoyé le 28-03
mail fait le 9-04
BAT 8 envoyé le 16-04
BAT 9 envoyé le 23-06
BAT 10 envoyé le 24-06
BAT 11 envoyé le 25-06
BAT 12 envoyé le 26-06
Relance Antoine le 30-06</t>
  </si>
  <si>
    <t>Tack TMI</t>
  </si>
  <si>
    <t>26/06 BAT V1</t>
  </si>
  <si>
    <t>SQ Lingolsheim Interieur</t>
  </si>
  <si>
    <t xml:space="preserve">Attente de brief
Relance le 6-05
Relance le 13-06
BAT 1 envoyé le 17-06
Relance le 23-06
Relance le 30-06 </t>
  </si>
  <si>
    <t>SQ Le Cannet grille</t>
  </si>
  <si>
    <t xml:space="preserve">BAT 1 envoyé le 6-09
Relance le 10-09
Relance le 17-09
Relance le 2-10
Relance le 22-10
Relance le 5-11
Relance le 21-11
Relance le 4-12
Relance le 6-05
Relance le 23-06
Relance le 30-06 </t>
  </si>
  <si>
    <t>Le serrurrier Lyonnais</t>
  </si>
  <si>
    <t>BAT 1 fait le 29-04 - attente adresse mail.
BAT envoyé au client le 30-04
Relance tel le 2-05 &gt; échange
Relance le 12-05
Relance le 15-05
Relance le 11-06
BAT 2 envoyé le 12-06</t>
  </si>
  <si>
    <t>SQ Tavaco Corse interieur</t>
  </si>
  <si>
    <t>Attente de brief
Relance le 6-05
Relance le 13-06
BAT 1 envoyé le 23-06 &gt; en attente du téléphone
Relance le 23-06
BAT 2 envoyé le 30-06</t>
  </si>
  <si>
    <t>[ARTEMISIA] Vitrophanie - Graphisme BAT</t>
  </si>
  <si>
    <r>
      <rPr>
        <rFont val="Comfortaa"/>
        <b/>
        <color theme="1"/>
      </rPr>
      <t>18/06 - 26/06</t>
    </r>
    <r>
      <rPr>
        <rFont val="Comfortaa"/>
        <color theme="1"/>
      </rPr>
      <t xml:space="preserve"> BAT 
27/06 FAB</t>
    </r>
  </si>
  <si>
    <t>[PAROISSE SAINTE JEANNE D'ARC] Enseignes panneaux - Graphisme BAT</t>
  </si>
  <si>
    <t>16/06 - 26/06 - 27/06 BAT
27/06 FAB</t>
  </si>
  <si>
    <t>Agence 3D Dimension</t>
  </si>
  <si>
    <t>BAT 1 envoyé le 25-06
BAT 2 envoyé le 26-06</t>
  </si>
  <si>
    <t xml:space="preserve">LE STUDIO DENTAIRE </t>
  </si>
  <si>
    <t>25/06 BAT V1
26/06 BAT V2</t>
  </si>
  <si>
    <t>Euronet DAB NCR</t>
  </si>
  <si>
    <t>BAT 1 envoyé le 26-06
BAT 2 envoyé le 26-06</t>
  </si>
  <si>
    <t>Centre Services Clermont Ferrand</t>
  </si>
  <si>
    <t>Centre Services Strasbourg Nord</t>
  </si>
  <si>
    <t>Novi - La Madeleine</t>
  </si>
  <si>
    <t>BAT VT envoyé le 10/07
BAT V1 envoyé le 16/09
BAT validé le 19/05
EN mairie le 21/05
retour de mairie le 19/06
FAB le 26/06</t>
  </si>
  <si>
    <t>Euronet FRMD2212</t>
  </si>
  <si>
    <t>BAT 1 envoyé  le 24-06</t>
  </si>
  <si>
    <t>RIA FR4805</t>
  </si>
  <si>
    <t>BAT 1 envoyé le 15-05
Relance le 21-05
Relance le 30-05
Relance le 27-06
Relance le 31-07
Relance le 10-09
Relance le 19-09
Relance le 11-10
Relance le 5-11
Relance le 28-01
Relance le 31-01
Relance le 6-02
Relance le 28-02
Relance le 26-03
Relance le 16-04
Relance le 5-05
BAT 2 envoyé le 6-05
Relance le 11-06
BAT 3 envoyé le 12-06
BAT validé - attente VT</t>
  </si>
  <si>
    <t>Le petit lunetier</t>
  </si>
  <si>
    <t>POKASIA devient POKE DAILY</t>
  </si>
  <si>
    <t>19/05 BAT V1 et V2
02/06 FAB en cours pour l'adhésif / enseigne en attente de la validation mairie
05/06 Le client doit changer de nom car POKASIA est déjà déposé, il revient vers nous dès qu'il aura un nouveau nom
24/06 BAT V1 POKE DAILY et V2</t>
  </si>
  <si>
    <t>SQ Albert intérieur</t>
  </si>
  <si>
    <t>Attente de brief
Relance le 13-06
Relance le 23-06
BAT 1 envoyé le 25-06</t>
  </si>
  <si>
    <t>Euronet FRMD2215</t>
  </si>
  <si>
    <t>BAT VT fait le 16-06
BAT 1 envoyé le 25-06</t>
  </si>
  <si>
    <t xml:space="preserve">GUY hoquet Livry Gargan </t>
  </si>
  <si>
    <t>VT le 23/05
BAT v1 envoyé le 3/06
BAT franchisé le 4/06
BAT V2 envoyé le 24/06
FAB le 24/06</t>
  </si>
  <si>
    <t>MR ENSEIGNES - Casa di Pasta</t>
  </si>
  <si>
    <t>06/06 BAT V1
11/06 relance par mail</t>
  </si>
  <si>
    <t>Oriflame SQ Bayonne</t>
  </si>
  <si>
    <t>BAT internet envoyé le 23-06
BAT 1 envoyé le 23-06
BAT 2 envoyé le 24-06</t>
  </si>
  <si>
    <t>CANDELIA - signalétique interne (adhésifs et panneaux)</t>
  </si>
  <si>
    <t>18/06 BAT V1</t>
  </si>
  <si>
    <t>CANDELIA - signalétique interne (lettres en relief)</t>
  </si>
  <si>
    <t>17/06 BAT V1</t>
  </si>
  <si>
    <t>EASY NAILS - adhésifs</t>
  </si>
  <si>
    <t>16/06 BAT V1 et V2
17/06 fab faite
18/06 BAT V3 avec ajout adhésifs</t>
  </si>
  <si>
    <t>COSTY CONSTRUCTION - marquage véhicule</t>
  </si>
  <si>
    <t>10/06 BAT V1
18/06 relance validation par whatsapp
validé, fab à faire</t>
  </si>
  <si>
    <t>Euronet 100 D  vert x10</t>
  </si>
  <si>
    <t>BAT 1 envoyé le 23-06</t>
  </si>
  <si>
    <t xml:space="preserve">CO2505-3804_1 - EDRA S.A - Devis _91_Saint-hilaire_HB Auto
</t>
  </si>
  <si>
    <t>11/06 - 16/06 - 19/06 BAT
23/06 FAB</t>
  </si>
  <si>
    <t>[ASSEMBLAGES ASSOCIES] SIGNALÉTIQUE INTÉRIEURE</t>
  </si>
  <si>
    <r>
      <rPr>
        <rFont val="Comfortaa"/>
        <b/>
        <color theme="1"/>
      </rPr>
      <t>09/06</t>
    </r>
    <r>
      <rPr>
        <rFont val="Comfortaa"/>
        <color theme="1"/>
      </rPr>
      <t xml:space="preserve"> Demande éléments graphiques
</t>
    </r>
    <r>
      <rPr>
        <rFont val="Comfortaa"/>
        <b/>
        <color theme="1"/>
      </rPr>
      <t xml:space="preserve">11/06 - 18/06 - 19/06 </t>
    </r>
    <r>
      <rPr>
        <rFont val="Comfortaa"/>
        <color theme="1"/>
      </rPr>
      <t xml:space="preserve">BAT 
</t>
    </r>
    <r>
      <rPr>
        <rFont val="Comfortaa"/>
        <b/>
        <color theme="1"/>
      </rPr>
      <t>23/06 -</t>
    </r>
    <r>
      <rPr>
        <rFont val="Comfortaa"/>
        <color theme="1"/>
      </rPr>
      <t xml:space="preserve"> FAB</t>
    </r>
  </si>
  <si>
    <t>FICHE PRODUIT 1 PAR SEMAINE</t>
  </si>
  <si>
    <r>
      <rPr>
        <rFont val="Comfortaa"/>
        <b/>
        <color theme="1"/>
      </rPr>
      <t xml:space="preserve">Fiche drapeau double face 
</t>
    </r>
    <r>
      <rPr>
        <rFont val="Comfortaa"/>
        <color theme="1"/>
      </rPr>
      <t xml:space="preserve">envoyé le 7-11 - Modif envoyé le 8-11 - Modif envoyé le 12-11
Relance le 20-11 - Modif envoyé le 28-11
</t>
    </r>
    <r>
      <rPr>
        <rFont val="Comfortaa"/>
        <b/>
        <color theme="1"/>
      </rPr>
      <t>Fiche caisson simple face</t>
    </r>
    <r>
      <rPr>
        <rFont val="Comfortaa"/>
        <color theme="1"/>
      </rPr>
      <t xml:space="preserve">
Envoyé le 28-11 - Modif envoyé le 5-12
</t>
    </r>
    <r>
      <rPr>
        <rFont val="Comfortaa"/>
        <b/>
        <color theme="1"/>
      </rPr>
      <t>Fiche Lettre boitier</t>
    </r>
    <r>
      <rPr>
        <rFont val="Comfortaa"/>
        <color theme="1"/>
      </rPr>
      <t xml:space="preserve">
Envoyé le 5-12 - modif envoyé le 19-12 - modif envoyé le 20-12
</t>
    </r>
    <r>
      <rPr>
        <rFont val="Comfortaa"/>
        <b/>
        <color theme="1"/>
      </rPr>
      <t>Fiche BLoc LED</t>
    </r>
    <r>
      <rPr>
        <rFont val="Comfortaa"/>
        <color theme="1"/>
      </rPr>
      <t xml:space="preserve">
Envoyé le 20-12
</t>
    </r>
    <r>
      <rPr>
        <rFont val="Comfortaa"/>
        <b/>
        <color theme="1"/>
      </rPr>
      <t>Fiche Lettre PVC rétroéclairée</t>
    </r>
    <r>
      <rPr>
        <rFont val="Comfortaa"/>
        <color theme="1"/>
      </rPr>
      <t xml:space="preserve">
Envoyé le 5-02
</t>
    </r>
    <r>
      <rPr>
        <rFont val="Comfortaa"/>
        <b/>
        <color theme="1"/>
      </rPr>
      <t xml:space="preserve">Fiche Lettrage su Lisse
</t>
    </r>
    <r>
      <rPr>
        <rFont val="Comfortaa"/>
        <color theme="1"/>
      </rPr>
      <t>Envoyé le 13-02
En attente des prochaines fiches par Léa (derniere relance fin mars)</t>
    </r>
  </si>
  <si>
    <t xml:space="preserve">REFAB GH Guignes </t>
  </si>
  <si>
    <t>Faites le 23/06</t>
  </si>
  <si>
    <t>Euronet 100 D  bleu x10</t>
  </si>
  <si>
    <t>BAT 1 envoyé le 20-06</t>
  </si>
  <si>
    <t>Euronet EDF0124</t>
  </si>
  <si>
    <t>BAT 1 envoyé le 18-06</t>
  </si>
  <si>
    <t>RIA FR16102</t>
  </si>
  <si>
    <t>BAT 1 envoyé le 14-01
BAT 2 envoyé le 22-01
BAT 3 envoyé le 27-01
Relance le 28-01
Relance le 31-01
Relance le 6-02
Relance le 28-02
Relance le 26-03
Relance le 16-04
Relance le 5-05
Relance le 11-06
Relance le 20-06</t>
  </si>
  <si>
    <t>RIA FR9953</t>
  </si>
  <si>
    <t>BAT 1 envoyé le 13-06
Relance le 20-06</t>
  </si>
  <si>
    <t xml:space="preserve">[HYDRO BUILDING SYSTEMS (Technal)] Cadres Dinard - Graphisme BAT Franchiseur
</t>
  </si>
  <si>
    <r>
      <rPr>
        <rFont val="Comfortaa"/>
        <b/>
        <color theme="1"/>
      </rPr>
      <t>15/04 - 07/05 - 26/05</t>
    </r>
    <r>
      <rPr>
        <rFont val="Comfortaa"/>
        <color theme="1"/>
      </rPr>
      <t xml:space="preserve"> BAT </t>
    </r>
  </si>
  <si>
    <t>MR ENSEIGNES - Boucherie Gratte Ciel - flyers</t>
  </si>
  <si>
    <t>SUSHI MAN CORNER - Montélimar</t>
  </si>
  <si>
    <t>10/06 BAT VT
17/06 BAT V1
19/06 BAT V2 et V3</t>
  </si>
  <si>
    <t>PAUPIETTE</t>
  </si>
  <si>
    <t>Guy Hoquet Armentieres</t>
  </si>
  <si>
    <t>BAT 1 envoyé le 3-05
BAT VT envoyé le 3-05
BAT 2 envoyé le 6-05
BAT validé par la franchise le 13-05 - impression de la bache provisoire et envoi du BAT au franchisé le 14-05
validé - attente VT pour dossier mairie
Relance le 30-05 pour la VT
BAT mairie fait le 31-05
Stand by jusqu'au 8 octobre rdv mairie
Relance le 29-10
Relance le 6-11
Relance le 28-11
Relance 4-02 : a recontacter debut Mars
Réattribué à Juliette</t>
  </si>
  <si>
    <t>Guy Hoquet Rillieux</t>
  </si>
  <si>
    <t>BAT  1 Envoyé à Michael le 23-10
BAT 2 envoyé le 25-10
BAT validé - en attente de VT pour dossier mairie
BAT 3 envoyé le 30-10
BAT mairie fait le 31-10
Relance Diane le 19-01
La mairie à validé - on attend que le client ai le budget pour faire la prod
Relance Michael le 2-10
Annulé</t>
  </si>
  <si>
    <t>BAT 1 envoyé le 9-06
BAT 2 envoyé le 10-06
Relance le 20-06
Annulé</t>
  </si>
  <si>
    <t>GDS St jean de Braye</t>
  </si>
  <si>
    <t>Demande d'info au client le 18/06 - V1 envoyé le 19/06</t>
  </si>
  <si>
    <t>MR ENSEIGNES - Bochi Bochi - Problème caisson</t>
  </si>
  <si>
    <t>18/06 BAT</t>
  </si>
  <si>
    <t>DISTRIKT - adhésifs vitres</t>
  </si>
  <si>
    <t>12/06 BAT V1</t>
  </si>
  <si>
    <t>AG PLOMBERIE - nouveau camion trafic (N4 du BAT des 8 camions)</t>
  </si>
  <si>
    <t>10/06 BAT V1 + relance pour le dossier refab</t>
  </si>
  <si>
    <t>STEEP platiques - panneau</t>
  </si>
  <si>
    <t>04/06 Le client va rajouter des éléments
18/06 modification de commande
19/06 BAT + fab</t>
  </si>
  <si>
    <t>CO2503-3521_2 - EDRA S.A - 78_COIGNIERES_PRO AUTO</t>
  </si>
  <si>
    <r>
      <rPr>
        <rFont val="Comfortaa"/>
        <color theme="1"/>
      </rPr>
      <t xml:space="preserve">26/03 - 03/04 BAT
06/05 - 17/06 Relance
</t>
    </r>
    <r>
      <rPr>
        <rFont val="Comfortaa"/>
        <b/>
        <color theme="1"/>
      </rPr>
      <t>17/06 FAB</t>
    </r>
  </si>
  <si>
    <t>[EDRA S.A] 78_TRIEL SUR SEINE_CARROSSERIE TRIELLOISE</t>
  </si>
  <si>
    <r>
      <rPr>
        <rFont val="Comfortaa"/>
        <b/>
        <color theme="1"/>
      </rPr>
      <t>05/06 - 17/06</t>
    </r>
    <r>
      <rPr>
        <rFont val="Comfortaa"/>
        <color theme="1"/>
      </rPr>
      <t xml:space="preserve"> BAT
19/06 FAB</t>
    </r>
  </si>
  <si>
    <t>Temporis - Saverne</t>
  </si>
  <si>
    <t>V1 envoyé le 18/06 - V2 le 18/06</t>
  </si>
  <si>
    <t>SQ Tavaco corse  Exterieur</t>
  </si>
  <si>
    <t>Attente déponse de Paul suite à mon mail 
BAT VT fait le 30-04
BAT 1 envoyé le 4-06
Relance le 13-06</t>
  </si>
  <si>
    <t>Viva services Aubagne</t>
  </si>
  <si>
    <t>BAT VT fait le 4-06
BAT provisoire fait le 4-06
FAB provisoire fait le 4-06
BAT 1 envoyé le 16-06
BAT 2 envoyé le17-06
BAT 3 envoyé le 18-06</t>
  </si>
  <si>
    <t xml:space="preserve">Euronet 100 D X2 </t>
  </si>
  <si>
    <t>BAT 1 envoyé le 10-06
BAT 2 envoyé le 16-06
Relance le 18-06</t>
  </si>
  <si>
    <t>Euronet 200 H couleur euronet bleu</t>
  </si>
  <si>
    <t>BAT 1 envoyé le 17-06
Relance le 18-06</t>
  </si>
  <si>
    <t>Euronet FRMD2220</t>
  </si>
  <si>
    <t>Bloqué - attente de savoir si panneau en plus du DAB et topper
BAT 1 envoyé le 15-05 
Relance le 15-05
Relance le 16-05
BAT 2 envoyé le 16-06
BAT 3 envoyé le 17-06</t>
  </si>
  <si>
    <t>Kreature - Decathlon Chambéry St Alban</t>
  </si>
  <si>
    <t>Mail le 10/06 - Demande de fichier graphique - Fichier reçu le 17/06 - V1 le 17/06 - FAB A FAIRE</t>
  </si>
  <si>
    <t xml:space="preserve">[AREVE Citron Vert (institut Beauty success Bron)] Adhésif interieur 
</t>
  </si>
  <si>
    <t>17/06 FAB</t>
  </si>
  <si>
    <t>SQ Saulce sur Rhone Exterieur</t>
  </si>
  <si>
    <t>BAT VT fait le 17-04
BAT 1 envoyé le 30-04
Relance le 6-05
Relance le 14-05
Relance le 13-06</t>
  </si>
  <si>
    <t>SQ Bayonne bâche</t>
  </si>
  <si>
    <t>BAT fait le 17-06</t>
  </si>
  <si>
    <t>d4b39fa0 - Stock enseignes Axial / EDRA</t>
  </si>
  <si>
    <r>
      <rPr>
        <rFont val="Comfortaa"/>
        <b/>
        <color theme="1"/>
      </rPr>
      <t>12/05 - 20/05</t>
    </r>
    <r>
      <rPr>
        <rFont val="Comfortaa"/>
        <color theme="1"/>
      </rPr>
      <t xml:space="preserve"> BAT
</t>
    </r>
    <r>
      <rPr>
        <rFont val="Comfortaa"/>
        <b/>
        <color theme="1"/>
      </rPr>
      <t>17/06</t>
    </r>
    <r>
      <rPr>
        <rFont val="Comfortaa"/>
        <color theme="1"/>
      </rPr>
      <t xml:space="preserve"> BAT</t>
    </r>
  </si>
  <si>
    <t>CO2503-3472_1 - EDRA S.A - 19_ARGENTAT SUR DORDOGNE_ARGENTAT CARROSSERIE BOURGEADE</t>
  </si>
  <si>
    <r>
      <rPr>
        <rFont val="Comfortaa"/>
        <b/>
        <color theme="1"/>
      </rPr>
      <t>11/03</t>
    </r>
    <r>
      <rPr>
        <rFont val="Comfortaa"/>
        <color theme="1"/>
      </rPr>
      <t xml:space="preserve"> BAT
</t>
    </r>
    <r>
      <rPr>
        <rFont val="Comfortaa"/>
        <b/>
        <color theme="1"/>
      </rPr>
      <t>17/06</t>
    </r>
    <r>
      <rPr>
        <rFont val="Comfortaa"/>
        <color theme="1"/>
      </rPr>
      <t xml:space="preserve"> FAB</t>
    </r>
  </si>
  <si>
    <t>Euronet FRMD2223</t>
  </si>
  <si>
    <t>BAT VT fait le 14-05
BAT 1 envoyé le 4-06
BAT 2 envoyé le 16-06</t>
  </si>
  <si>
    <t>Euronet maquette sans "cash" DNS200H</t>
  </si>
  <si>
    <t>BAT 1 envoyé le 15-04
BAT 2 envoyé le 17-04
BAT 3 envoyé le 30-04
BAT 4 envoyé le 13-06
BAT 5 envoyé le 13-06</t>
  </si>
  <si>
    <t>Caisson euronet</t>
  </si>
  <si>
    <t>BAT 1 envoyé le 16-06</t>
  </si>
  <si>
    <t>RIA BE3433</t>
  </si>
  <si>
    <t>BAT 1 envoyé le 4-09
Relance le 10-09
Relance le 19-09
Relance le 11-10
Relance le 5-11
Relance le 28-01
Relance le 31-01
Relance le 6-02
BAT 2 envoyé le 25-02
BAT validé - attente validation devis et VT</t>
  </si>
  <si>
    <t>RIA BE3038</t>
  </si>
  <si>
    <t>BAT 1 envoyé le 4-09
Relance le 10-09
Relance le 19-09
Relance le 11-10
Relance le 5-11
BAT 2 envoyé le 19-11
BAT 3 envoyé le 25-11
BAT 4 envoyé le 29-01
Relance le 28-01
Relance le 31-01
BAT validé -attente validation devis et VT</t>
  </si>
  <si>
    <t>CO2505-3715 - EDRA S.A - 79_Le Tallud_SARL AMCP</t>
  </si>
  <si>
    <r>
      <rPr>
        <rFont val="Comfortaa"/>
        <b/>
        <color theme="1"/>
      </rPr>
      <t>06/05 - 07/05</t>
    </r>
    <r>
      <rPr>
        <rFont val="Comfortaa"/>
        <color theme="1"/>
      </rPr>
      <t xml:space="preserve"> BAT
</t>
    </r>
    <r>
      <rPr>
        <rFont val="Comfortaa"/>
        <b/>
        <color theme="1"/>
      </rPr>
      <t>12/05</t>
    </r>
    <r>
      <rPr>
        <rFont val="Comfortaa"/>
        <color theme="1"/>
      </rPr>
      <t xml:space="preserve"> FAB</t>
    </r>
  </si>
  <si>
    <t>Mr Enseigne - Blanc Publicite</t>
  </si>
  <si>
    <t>V1 le 13/06</t>
  </si>
  <si>
    <t>Temporis - Toulouse Nord Est</t>
  </si>
  <si>
    <t>BAT V1 envoyé le 04/06 + BAT VT envoyé le 04/06 - V2 le 05/06 - FAB A FAIRE</t>
  </si>
  <si>
    <t>SQ Asnieres  (demenagement) interieur</t>
  </si>
  <si>
    <t>Attente Brief
Relance le 11-04
Relance le 15-05
Relance le 30-05
Relance le7-06
Relance le 3-07
Relance le 10-09
Relance le 17-09
Relance le 2-10
Relance le 22-10
Relance le 5-11
Projet en attente de validation
Relance le 21-11
Relance le 4-12
Relance le 6-05</t>
  </si>
  <si>
    <t>SQ Asnieres déménagement exterieur</t>
  </si>
  <si>
    <t>BAT 1 envoyé le 10-04
Relance le 11-04
Relance le 19-04
Relnce le 15-05
Relance le 30-05
Relance le7-06
Relance le 3-07
Relance le 26-07
Relance le 10-09
Relance le 17-09
Relance le 2-10
Relance le 22-10
Relance le 5-11
Projet en attente de validation
Relance le 21-11
Relance le 4-12
BAT 2 envoyé le 19-12
BAT VT fait le 19-12
DEMENAGEMENT --- ATTENTE BRIEF MICHAEL ---- NOUVEAU LOCAL
Relance le 6-05
Relance le 13-06</t>
  </si>
  <si>
    <t>SQ Artigues Gay Lussac  intérieur</t>
  </si>
  <si>
    <t>Attente de brief
BAT 1 envoyé le 4-06</t>
  </si>
  <si>
    <t>RIA FR483</t>
  </si>
  <si>
    <t>BAT 1 envoyé le 13-12
relance le 25-01
BAT 2 envoyé le 26-01
BAT 3 envoyé le 29-01
Relance faite le 13-02
Relance le 21-02
Relance le 25-03
Relance le 11-04
Relance le 19-04
Relance le 15-05
Relance le 21-05
Relance le 30-05
Relance le  27-06
Relance le 31-07
BAT 4 envoyé le 4-09
Relance le 10-09
Relance le 19-09
Relance le 11-10
Relance le 5-11
Relance le 28-01
Relance le 31-01
Relance le 6-02
Relance le 28-02
Relance le 26-03
BAT 5 envoyé le 10-04
Relance le 5-05
Relance le 11-06
Annulé</t>
  </si>
  <si>
    <t>[DETAIL CAR] DETAIL CAR CANNES PANTIERO</t>
  </si>
  <si>
    <t>10/06 BAT
12/06 FAB</t>
  </si>
  <si>
    <t>RIA FR12302</t>
  </si>
  <si>
    <t>BAT 1 envoyé le 20-03
BAT 2 envoyé le 26-03
Relance le 26-03
BAT validé - attente VT</t>
  </si>
  <si>
    <t>RIA FR14617</t>
  </si>
  <si>
    <t xml:space="preserve">BAT 1 envoyé le 24-04
Relance le 5-05
BAT 2 envoyé le 6-05
BAT 3 envoyé le 12-05
BAT 4 envoyé le 2-06
BAT validé - attente VT </t>
  </si>
  <si>
    <t>MR ENSEIGNES - Bochi Bochi - adhésifs porte</t>
  </si>
  <si>
    <t>CANDELIA FRANCE SASU - enseignes</t>
  </si>
  <si>
    <t>BAT validé mais en attente de vérification de mesure du jonc avant passage de la commande. 
Vérification de mesures le 10/06 lors de la pose des adhésifs provisoires. 
commande ST passée</t>
  </si>
  <si>
    <t>SQ Audenge signalétique</t>
  </si>
  <si>
    <t>BAT 1 envoyé le 12-06</t>
  </si>
  <si>
    <t>SQ Saint Pierre d'Irrube intérieur</t>
  </si>
  <si>
    <t>Attente de brief
BAT 1 envoyé le 11-06</t>
  </si>
  <si>
    <t>SQ Strasbourg Vauban Interieur</t>
  </si>
  <si>
    <t>Attente de brief
Relance le 6-05
BAT 1 envoyé le 12-06</t>
  </si>
  <si>
    <t>SQ Boulazac alsacien lightbox</t>
  </si>
  <si>
    <t xml:space="preserve">[PRYSME] ENSEIGNE EXTERIEURE LUMINEUSE </t>
  </si>
  <si>
    <r>
      <rPr>
        <rFont val="Comfortaa"/>
        <b/>
        <color rgb="FF000000"/>
      </rPr>
      <t xml:space="preserve">03/06 - 09/06 </t>
    </r>
    <r>
      <rPr>
        <rFont val="Comfortaa"/>
        <b val="0"/>
        <color rgb="FF000000"/>
      </rPr>
      <t xml:space="preserve">BAT
</t>
    </r>
    <r>
      <rPr>
        <rFont val="Comfortaa"/>
        <b/>
        <color rgb="FF000000"/>
      </rPr>
      <t xml:space="preserve">12/06 </t>
    </r>
    <r>
      <rPr>
        <rFont val="Comfortaa"/>
        <b val="0"/>
        <color rgb="FF000000"/>
      </rPr>
      <t>FAB</t>
    </r>
  </si>
  <si>
    <t>SQ Sassenage gleriates Exterieur</t>
  </si>
  <si>
    <t>BAT VT fait le 17-04
BAT VT 2 fait le 30-04
BAT 1 envoyé le 7-05
Relance le 14-05
BAT 2 envoyé le 2-06</t>
  </si>
  <si>
    <t>BAT 1  envoyé le 11-06</t>
  </si>
  <si>
    <t xml:space="preserve">CO2503-3546_1 - Detail Car - DETAIL CAR DIJON REFAB
</t>
  </si>
  <si>
    <r>
      <rPr>
        <rFont val="Comfortaa"/>
        <b/>
        <color theme="1"/>
      </rPr>
      <t>BAT</t>
    </r>
    <r>
      <rPr>
        <rFont val="Comfortaa"/>
        <color theme="1"/>
      </rPr>
      <t xml:space="preserve"> 11/06
</t>
    </r>
    <r>
      <rPr>
        <rFont val="Comfortaa"/>
        <b/>
        <color theme="1"/>
      </rPr>
      <t>FAB</t>
    </r>
    <r>
      <rPr>
        <rFont val="Comfortaa"/>
        <color theme="1"/>
      </rPr>
      <t xml:space="preserve"> 11/06</t>
    </r>
  </si>
  <si>
    <t>ESPACE GOLD</t>
  </si>
  <si>
    <r>
      <rPr>
        <rFont val="Comfortaa"/>
        <b/>
        <color theme="1"/>
      </rPr>
      <t>11/06</t>
    </r>
    <r>
      <rPr>
        <rFont val="Comfortaa"/>
        <color theme="1"/>
      </rPr>
      <t xml:space="preserve"> BAT
</t>
    </r>
    <r>
      <rPr>
        <rFont val="Comfortaa"/>
        <b/>
        <color theme="1"/>
      </rPr>
      <t>11/06</t>
    </r>
    <r>
      <rPr>
        <rFont val="Comfortaa"/>
        <color theme="1"/>
      </rPr>
      <t xml:space="preserve"> FAB</t>
    </r>
  </si>
  <si>
    <t>Musi Quizz</t>
  </si>
  <si>
    <t>BAT à faire, attennte réponse Avner
FAB le 11/06</t>
  </si>
  <si>
    <t>ELITEETH - QR CODE</t>
  </si>
  <si>
    <t>06/06 BAT V1</t>
  </si>
  <si>
    <t xml:space="preserve">MAITRE LAURENT AZOULAY </t>
  </si>
  <si>
    <t>27/05 BAT V1
06/06 relance validation mail</t>
  </si>
  <si>
    <t>Yellow Coiffure - SABI FOOD</t>
  </si>
  <si>
    <t>En attente de la révision du devis pour avancer car dimensions de panneaux manquantes
06/06 réception des nouvells infos, à traiter</t>
  </si>
  <si>
    <t>Mr Enseignes - Serigrahie Vilar</t>
  </si>
  <si>
    <t>BAT à faire
FAB le 10/06</t>
  </si>
  <si>
    <t>Destia - Paris 15</t>
  </si>
  <si>
    <t>V1 le 10/06 - V2 le 10/06</t>
  </si>
  <si>
    <t xml:space="preserve">PWP </t>
  </si>
  <si>
    <t>V1 envoyé le 09/06/2025</t>
  </si>
  <si>
    <t>GDS - Mayotte</t>
  </si>
  <si>
    <t>Demande fichier au client le 05/06 - Toujours pas bon fichier, nouvelle demande le 05/06 - V1 envoyé le 06/06</t>
  </si>
  <si>
    <t>Romain Paysal</t>
  </si>
  <si>
    <t>BAT v1 envoyé le 27/05
BAT v2 envoyé le 3/06
FAB le 9/06</t>
  </si>
  <si>
    <t xml:space="preserve">[NEW DRIVER] SIGNALETIQUE EXTERIEURE </t>
  </si>
  <si>
    <r>
      <rPr>
        <rFont val="Comfortaa"/>
        <b/>
        <color theme="1"/>
      </rPr>
      <t xml:space="preserve">02/06 </t>
    </r>
    <r>
      <rPr>
        <rFont val="Comfortaa"/>
        <color theme="1"/>
      </rPr>
      <t xml:space="preserve">BAT
</t>
    </r>
    <r>
      <rPr>
        <rFont val="Comfortaa"/>
        <b/>
        <color theme="1"/>
      </rPr>
      <t xml:space="preserve">09/06 </t>
    </r>
    <r>
      <rPr>
        <rFont val="Comfortaa"/>
        <color theme="1"/>
      </rPr>
      <t>FAB</t>
    </r>
  </si>
  <si>
    <t xml:space="preserve">Optic Duroc Schiltighim caean </t>
  </si>
  <si>
    <t>FAB à faire sans BAT le 9/06</t>
  </si>
  <si>
    <t>UDIFS VT</t>
  </si>
  <si>
    <t>VT le 21/05</t>
  </si>
  <si>
    <t>SQ Asnieres Gresillon interieur</t>
  </si>
  <si>
    <t>Attente de brief
Relance le 6-02
Relance le 6-05</t>
  </si>
  <si>
    <t>SQ Asnieres Gresillon exterieur</t>
  </si>
  <si>
    <t>BAT 1 envoyé le 16-01
Relance message vocal le 6-02
Relance le 6-05</t>
  </si>
  <si>
    <t>RIA FR12746</t>
  </si>
  <si>
    <t>BAT 1 envoyé le 15-01
Relance le 28-01
Relance le 31-01
Relance le 6-02
Relance le 28-02
Relance le 26-03
Relance le 16-04
Relance le 5-05
BAT validé - attente VT</t>
  </si>
  <si>
    <t>ESSENTIAL PARFUMS - adhésif</t>
  </si>
  <si>
    <t>CO2505-3744_3 - NOVI - Novi Francheville - REFAB</t>
  </si>
  <si>
    <t>CO2409-2621_1 - Audition Duquesne - Atelier Duquesne -REFAB</t>
  </si>
  <si>
    <r>
      <rPr>
        <rFont val="Comfortaa"/>
        <b/>
        <color theme="1"/>
      </rPr>
      <t>06/06</t>
    </r>
    <r>
      <rPr>
        <rFont val="Comfortaa"/>
        <color theme="1"/>
      </rPr>
      <t xml:space="preserve"> FAB</t>
    </r>
  </si>
  <si>
    <t>SQ Chatenay Malabry Bache</t>
  </si>
  <si>
    <t>BAT 1 envoyé le 5-06</t>
  </si>
  <si>
    <t>Camif - Montreuil sur mer (Sans caisson drapeau)</t>
  </si>
  <si>
    <t>Mail envoyé le 05/06 pour complément d'information - FAB A FAIRE</t>
  </si>
  <si>
    <t>SQ Neuilly plaisance - caisson double face</t>
  </si>
  <si>
    <t>Brenntag</t>
  </si>
  <si>
    <t>V1 envoyé le 04/05 - V2 le 05/05 - FAB A FAIRE</t>
  </si>
  <si>
    <t>Mr Enseignes - Yaka Rim - Sucré Salé</t>
  </si>
  <si>
    <t>V1 envoyé le 04/06 - V2 le 04/06 - V3 le 04/06 - FAB A FAIRE</t>
  </si>
  <si>
    <t>Biomama</t>
  </si>
  <si>
    <t>BAT V1 et V2 le 16 et 19/06
BAT v3 le 3/06</t>
  </si>
  <si>
    <t xml:space="preserve">Terres fermes </t>
  </si>
  <si>
    <t>BAT V1 et V2 le 16 et 19/05
BAT v3 le 3/06</t>
  </si>
  <si>
    <t>GUY HOQUET REUIL MALMAISON</t>
  </si>
  <si>
    <t>En attente validation, relancé le 13/02
BAT renvoyé le 24/02 et validé le 6/03
BAT mairie le 12/03
BAT v3 le 14/04
bAT v4 le 14/04
BAT mairie le 16/04
FAB le 04/06</t>
  </si>
  <si>
    <t>Novi - Marseille Breteuil</t>
  </si>
  <si>
    <t>BAT VT envoyé le 05/07
BAT envoyé le 24/09
FAB signalétique intérieure ✅</t>
  </si>
  <si>
    <t>CO2504-3694 - Wellness training - Adhésif</t>
  </si>
  <si>
    <r>
      <rPr>
        <rFont val="Comfortaa"/>
        <b/>
        <color theme="1"/>
      </rPr>
      <t>12/05 - 03/06</t>
    </r>
    <r>
      <rPr>
        <rFont val="Comfortaa"/>
        <color theme="1"/>
      </rPr>
      <t xml:space="preserve"> BAT
04/06 FAB</t>
    </r>
  </si>
  <si>
    <t>cb343ed7 - CAMION LES ENSEIGNISTES GS-546-JZ côté droit passager</t>
  </si>
  <si>
    <t>04/06 BAT 
04/06 FAB</t>
  </si>
  <si>
    <t>Guy hoquet rodez oriflammes encore</t>
  </si>
  <si>
    <t>Recommander le 4/06</t>
  </si>
  <si>
    <t>SQ Chatenay Malabry interieur</t>
  </si>
  <si>
    <t>Attente de brief
Relance le 6-05
BAT 1 envoyé le 2-06
BAT 2 envoyé le 3-06</t>
  </si>
  <si>
    <t>SQ Sassenage gleriates Interieur</t>
  </si>
  <si>
    <t>Attente de brief
Relance le 6-05
BAT 1 envoyé le 2-06</t>
  </si>
  <si>
    <t>Point S St Ever</t>
  </si>
  <si>
    <t>BAT VT fait le 2-05
juste VT - Jordan a fait la maquette pendant les congés</t>
  </si>
  <si>
    <t>SQ Chambery Veyrat Interieur</t>
  </si>
  <si>
    <t>SQ Médard exterieur</t>
  </si>
  <si>
    <t>BAT VT fait le 5-03
BAT 1 envoyé le 19-03
BAT 2 envoyé le 24-03
BAT mairie fait le 4-04</t>
  </si>
  <si>
    <t>SQ Montbéliard interieur</t>
  </si>
  <si>
    <t xml:space="preserve"> RIA FR10680</t>
  </si>
  <si>
    <t>BAT 1 envoyé le 20-03
Relance le 26-03
BAT 2 envoyé le 16-04
Relance le 16-04
BAT validé - attente VT</t>
  </si>
  <si>
    <t>Bagelstein Paris Italie 2</t>
  </si>
  <si>
    <t>BAT v1 envoyé me 28/05
FAB A FAIRE</t>
  </si>
  <si>
    <t xml:space="preserve">Police courdimanceh plaque plexi </t>
  </si>
  <si>
    <t>BAT envoyé le 26/05
FAB le 2/06</t>
  </si>
  <si>
    <t>CANDELIA FRANCE SASU - vitrophanie</t>
  </si>
  <si>
    <t>MR ENSEIGNES - Repro services -  Marché aux affaires</t>
  </si>
  <si>
    <t>SUSHI MAN - corner Brest</t>
  </si>
  <si>
    <t>15/05 BAT V1</t>
  </si>
  <si>
    <t>ARMYA</t>
  </si>
  <si>
    <t>16/05 Commande ST + Préparation fichiers en cours</t>
  </si>
  <si>
    <t>TC RETAIL SAS</t>
  </si>
  <si>
    <t>30/04 BAT V1</t>
  </si>
  <si>
    <t>IDF EXPERTISE</t>
  </si>
  <si>
    <t>29/04 BAT V2
conflit couleurs RVB / CMJN en cours
13/05 relance par mail</t>
  </si>
  <si>
    <t xml:space="preserve">BRIMM IMMOBILIER </t>
  </si>
  <si>
    <t>07/03 commande CDV 
14/03 appel client pour demande panneaux
17/03 BAT envoyé
26/03 relance client par mail
31/03 relance téléphonique sans réponse
10/04 relance par mail
29/04 BAT v2</t>
  </si>
  <si>
    <t>MR ENSEIGNES - 05 Enseignes - Optique du Guillestrois</t>
  </si>
  <si>
    <t>Reception commande ST en attente</t>
  </si>
  <si>
    <t>CAP IMPRIM</t>
  </si>
  <si>
    <t>20/05 BAT V1
20/05 fab à faire</t>
  </si>
  <si>
    <t>SUSHI MAN - enseigne lumineuse</t>
  </si>
  <si>
    <t>CO2502-3438 - MR ENSEIGNES - My Big Bang - Levallois</t>
  </si>
  <si>
    <r>
      <rPr>
        <rFont val="Comfortaa"/>
        <b/>
        <color theme="1"/>
      </rPr>
      <t>07/03 - 16/05 - 27/05 - 27/05</t>
    </r>
    <r>
      <rPr>
        <rFont val="Comfortaa"/>
        <color theme="1"/>
      </rPr>
      <t xml:space="preserve"> BAT
</t>
    </r>
    <r>
      <rPr>
        <rFont val="Comfortaa"/>
        <b/>
        <color theme="1"/>
      </rPr>
      <t>24/03</t>
    </r>
    <r>
      <rPr>
        <rFont val="Comfortaa"/>
        <color theme="1"/>
      </rPr>
      <t xml:space="preserve"> Attente mesures client
</t>
    </r>
    <r>
      <rPr>
        <rFont val="Comfortaa"/>
        <b/>
        <color theme="1"/>
      </rPr>
      <t>24/03</t>
    </r>
    <r>
      <rPr>
        <rFont val="Comfortaa"/>
        <color theme="1"/>
      </rPr>
      <t xml:space="preserve"> Relance
</t>
    </r>
    <r>
      <rPr>
        <rFont val="Comfortaa"/>
        <b/>
        <color theme="1"/>
      </rPr>
      <t>02/06</t>
    </r>
    <r>
      <rPr>
        <rFont val="Comfortaa"/>
        <color theme="1"/>
      </rPr>
      <t xml:space="preserve"> FAB</t>
    </r>
  </si>
  <si>
    <t>CO2505-3754_2 - EDRA S.A - 15_MAURIAC_CARROSSERIE BOURGEADE</t>
  </si>
  <si>
    <r>
      <rPr>
        <rFont val="Comfortaa"/>
        <b/>
        <color theme="1"/>
      </rPr>
      <t>15/05</t>
    </r>
    <r>
      <rPr>
        <rFont val="Comfortaa"/>
        <color theme="1"/>
      </rPr>
      <t xml:space="preserve"> BAT
28/05 Relance
02/06 FAB</t>
    </r>
  </si>
  <si>
    <t>CO2505-3765 - ESPACE GOLD CHANGE - Adhésif pose intérieur</t>
  </si>
  <si>
    <t>Validation BAT en cours</t>
  </si>
  <si>
    <r>
      <rPr>
        <rFont val="Comfortaa"/>
        <b/>
        <color theme="1"/>
      </rPr>
      <t>15/05 - 15/05 - 21/05 - 22/05</t>
    </r>
    <r>
      <rPr>
        <rFont val="Comfortaa"/>
        <color theme="1"/>
      </rPr>
      <t xml:space="preserve"> BAT</t>
    </r>
  </si>
  <si>
    <t>MR ENSEIGNES - CONTE</t>
  </si>
  <si>
    <r>
      <rPr>
        <rFont val="Comfortaa"/>
        <b/>
        <color rgb="FFFF0000"/>
      </rPr>
      <t>REPRISE DOSSIER LAURIE :</t>
    </r>
    <r>
      <rPr>
        <rFont val="Comfortaa"/>
        <color theme="1"/>
      </rPr>
      <t xml:space="preserve"> ENVOYER BAT 1 le 02/11 -  BAT 2 envoyé la semaine du 6/11 - quelques news le 02/01 - ON va bientot recevoir dossier mairie - pas de news - Relance Flo le 15/05 - En Mairie de notre côté - Relance Flo le 16/10 - Locataire en procès avec le proprio, dossier en stand-by</t>
    </r>
  </si>
  <si>
    <t>CO2501-3205_4 - MST Villeurbanne Cusset - CO2501-3205_1 - MSP Villeurbanne Cusset - Signalétique</t>
  </si>
  <si>
    <t xml:space="preserve"> 30/05 FAB</t>
  </si>
  <si>
    <t>Centre Service - COrbeil-Essonnes</t>
  </si>
  <si>
    <t>RIA FR364</t>
  </si>
  <si>
    <t>BAT 1 envoyé le 4-11
Relance le 5-11
BAT 2 envoyé le 15-11
BAT validé - attente VT et validation devis</t>
  </si>
  <si>
    <t>CO2505-3790 - AREVE Citron Vert (institut Beauty success Bron) - Oriflamme</t>
  </si>
  <si>
    <r>
      <rPr>
        <rFont val="Comfortaa"/>
        <b/>
        <color theme="1"/>
      </rPr>
      <t>27/05 - 28/05</t>
    </r>
    <r>
      <rPr>
        <rFont val="Comfortaa"/>
        <color theme="1"/>
      </rPr>
      <t xml:space="preserve"> BAT
</t>
    </r>
    <r>
      <rPr>
        <rFont val="Comfortaa"/>
        <b/>
        <color theme="1"/>
      </rPr>
      <t>28/05</t>
    </r>
    <r>
      <rPr>
        <rFont val="Comfortaa"/>
        <color theme="1"/>
      </rPr>
      <t xml:space="preserve"> FAB</t>
    </r>
  </si>
  <si>
    <t>CO2504-3659 - EDRA S.A - Stickers véhicule carrosserie Bredoise</t>
  </si>
  <si>
    <r>
      <rPr>
        <rFont val="Comfortaa"/>
        <b/>
        <color theme="1"/>
      </rPr>
      <t>22/04 - 29/04 - 20/05 - 27/05</t>
    </r>
    <r>
      <rPr>
        <rFont val="Comfortaa"/>
        <color theme="1"/>
      </rPr>
      <t xml:space="preserve"> BAT
</t>
    </r>
    <r>
      <rPr>
        <rFont val="Comfortaa"/>
        <b/>
        <color theme="1"/>
      </rPr>
      <t>28/05</t>
    </r>
    <r>
      <rPr>
        <rFont val="Comfortaa"/>
        <color theme="1"/>
      </rPr>
      <t xml:space="preserve"> FAB</t>
    </r>
  </si>
  <si>
    <t xml:space="preserve">RED - Refab + ST drapeau </t>
  </si>
  <si>
    <t>Attente de projet sur FP</t>
  </si>
  <si>
    <t xml:space="preserve">Denthéol </t>
  </si>
  <si>
    <t>V1 envoyé le 28/05</t>
  </si>
  <si>
    <t xml:space="preserve">KAMS PARIS </t>
  </si>
  <si>
    <t>BAT v1 envoyé le 27/05
FAB le 28/05</t>
  </si>
  <si>
    <t>Temporis - Hagetmau</t>
  </si>
  <si>
    <t>V1 envoyé le 26/05 - FAB A FAIRE</t>
  </si>
  <si>
    <t>[M.MOUSTACHE] Odaje Rennes - Réintervention - Refabrication - Prépa fichier</t>
  </si>
  <si>
    <r>
      <rPr>
        <rFont val="Comfortaa"/>
        <b/>
        <color theme="1"/>
      </rPr>
      <t xml:space="preserve">23/01 </t>
    </r>
    <r>
      <rPr>
        <rFont val="Comfortaa"/>
        <color theme="1"/>
      </rPr>
      <t xml:space="preserve">Projet bloqué
</t>
    </r>
    <r>
      <rPr>
        <rFont val="Comfortaa"/>
        <b/>
        <color theme="1"/>
      </rPr>
      <t>31/01</t>
    </r>
    <r>
      <rPr>
        <rFont val="Comfortaa"/>
        <color theme="1"/>
      </rPr>
      <t xml:space="preserve"> Attente validation devis
</t>
    </r>
    <r>
      <rPr>
        <rFont val="Comfortaa"/>
        <b/>
        <color theme="1"/>
      </rPr>
      <t>Projet bloqué</t>
    </r>
  </si>
  <si>
    <t>CO2502-3364 - MPI 30 - VÉHICULE PISCINE IBIZA</t>
  </si>
  <si>
    <r>
      <rPr>
        <rFont val="Comfortaa"/>
        <b/>
        <color theme="1"/>
      </rPr>
      <t>20/02 - 06/03 - 11/03</t>
    </r>
    <r>
      <rPr>
        <rFont val="Comfortaa"/>
        <color theme="1"/>
      </rPr>
      <t xml:space="preserve"> BAT
13/03 FAB</t>
    </r>
  </si>
  <si>
    <t>CO2503-3545_1 - RS PISCINES - SIGNALETIQUE EXTERIEURE</t>
  </si>
  <si>
    <r>
      <rPr>
        <rFont val="Comfortaa"/>
        <color theme="1"/>
      </rPr>
      <t xml:space="preserve">31/03 BAT Bâche
31/03 BAT Enseignes + adhésifs
31/03 BAT mairie  
01/04 BATbâche envoyé franchisé
02/04 FAB Bâche envoyée 
02/04 BAT franchiseur + franchisé envoyé 
</t>
    </r>
    <r>
      <rPr>
        <rFont val="Comfortaa"/>
        <b/>
        <color theme="1"/>
      </rPr>
      <t>02/04</t>
    </r>
    <r>
      <rPr>
        <rFont val="Comfortaa"/>
        <color theme="1"/>
      </rPr>
      <t xml:space="preserve"> FAB</t>
    </r>
  </si>
  <si>
    <t>LOBBY GUYS VOIRON</t>
  </si>
  <si>
    <r>
      <rPr>
        <rFont val="Comfortaa"/>
        <b/>
        <color theme="1"/>
      </rPr>
      <t>19/02</t>
    </r>
    <r>
      <rPr>
        <rFont val="Comfortaa"/>
        <color theme="1"/>
      </rPr>
      <t xml:space="preserve"> BAT Mairie
</t>
    </r>
    <r>
      <rPr>
        <rFont val="Comfortaa"/>
        <b/>
        <color theme="1"/>
      </rPr>
      <t xml:space="preserve">06/03 </t>
    </r>
    <r>
      <rPr>
        <rFont val="Comfortaa"/>
        <color theme="1"/>
      </rPr>
      <t>Modifications</t>
    </r>
    <r>
      <rPr>
        <rFont val="Comfortaa"/>
        <b/>
        <color theme="1"/>
      </rPr>
      <t xml:space="preserve"> </t>
    </r>
    <r>
      <rPr>
        <rFont val="Comfortaa"/>
        <color theme="1"/>
      </rPr>
      <t xml:space="preserve">BAT Mairie
</t>
    </r>
    <r>
      <rPr>
        <rFont val="Comfortaa"/>
        <b/>
        <color theme="1"/>
      </rPr>
      <t>20/05</t>
    </r>
    <r>
      <rPr>
        <rFont val="Comfortaa"/>
        <color theme="1"/>
      </rPr>
      <t xml:space="preserve"> FAB</t>
    </r>
  </si>
  <si>
    <t>O My Sushi Cannes</t>
  </si>
  <si>
    <r>
      <rPr>
        <rFont val="Comfortaa"/>
        <b/>
        <color theme="1"/>
      </rPr>
      <t xml:space="preserve">14/02 - 18/03 - 19/03 - 24/03 - 24/03 - 01/04 - 10/04 </t>
    </r>
    <r>
      <rPr>
        <rFont val="Comfortaa"/>
        <color theme="1"/>
      </rPr>
      <t xml:space="preserve">BAT
</t>
    </r>
    <r>
      <rPr>
        <rFont val="Comfortaa"/>
        <b/>
        <color theme="1"/>
      </rPr>
      <t>23/04 - 25/04 - 28/04 - 29/04 - 06/05 - 14/05 -</t>
    </r>
    <r>
      <rPr>
        <rFont val="Comfortaa"/>
        <color theme="1"/>
      </rPr>
      <t xml:space="preserve"> BAT Menu fr + suisse 
</t>
    </r>
    <r>
      <rPr>
        <rFont val="Comfortaa"/>
        <b/>
        <color theme="1"/>
      </rPr>
      <t>07/04 - 09/04</t>
    </r>
    <r>
      <rPr>
        <rFont val="Comfortaa"/>
        <color theme="1"/>
      </rPr>
      <t xml:space="preserve"> BAT Flyer
</t>
    </r>
    <r>
      <rPr>
        <rFont val="Comfortaa"/>
        <b/>
        <color theme="1"/>
      </rPr>
      <t>04/03 - 25/02- 30/04 - 05/05</t>
    </r>
    <r>
      <rPr>
        <rFont val="Comfortaa"/>
        <color theme="1"/>
      </rPr>
      <t xml:space="preserve"> Relance téléphone + mail
</t>
    </r>
    <r>
      <rPr>
        <rFont val="Comfortaa"/>
        <b/>
        <color theme="1"/>
      </rPr>
      <t>18/03</t>
    </r>
    <r>
      <rPr>
        <rFont val="Comfortaa"/>
        <color theme="1"/>
      </rPr>
      <t xml:space="preserve"> BAT + Commande sous-traitance étiquettes
</t>
    </r>
    <r>
      <rPr>
        <rFont val="Comfortaa"/>
        <b/>
        <color theme="1"/>
      </rPr>
      <t>06/05</t>
    </r>
    <r>
      <rPr>
        <rFont val="Comfortaa"/>
        <color theme="1"/>
      </rPr>
      <t xml:space="preserve"> BAT Bâche temporaire
</t>
    </r>
    <r>
      <rPr>
        <rFont val="Comfortaa"/>
        <b/>
        <color theme="1"/>
      </rPr>
      <t>06/05</t>
    </r>
    <r>
      <rPr>
        <rFont val="Comfortaa"/>
        <color theme="1"/>
      </rPr>
      <t xml:space="preserve"> FAB Bâche temporaire
</t>
    </r>
    <r>
      <rPr>
        <rFont val="Comfortaa"/>
        <b/>
        <color theme="1"/>
      </rPr>
      <t>07/05</t>
    </r>
    <r>
      <rPr>
        <rFont val="Comfortaa"/>
        <color theme="1"/>
      </rPr>
      <t xml:space="preserve"> FAB Adhésif + Caisson drapeau
</t>
    </r>
    <r>
      <rPr>
        <rFont val="Comfortaa"/>
        <b/>
        <color theme="1"/>
      </rPr>
      <t>30/04</t>
    </r>
    <r>
      <rPr>
        <rFont val="Comfortaa"/>
        <color theme="1"/>
      </rPr>
      <t xml:space="preserve"> ST
</t>
    </r>
    <r>
      <rPr>
        <rFont val="Comfortaa"/>
        <b/>
        <color theme="1"/>
      </rPr>
      <t>14/05</t>
    </r>
    <r>
      <rPr>
        <rFont val="Comfortaa"/>
        <color theme="1"/>
      </rPr>
      <t xml:space="preserve"> ST Flyer
</t>
    </r>
    <r>
      <rPr>
        <rFont val="Comfortaa"/>
        <b/>
        <color theme="1"/>
      </rPr>
      <t>21/05</t>
    </r>
    <r>
      <rPr>
        <rFont val="Comfortaa"/>
        <color theme="1"/>
      </rPr>
      <t xml:space="preserve"> FAB + ST Menu fr + suisse</t>
    </r>
  </si>
  <si>
    <t xml:space="preserve">Guy Hoquet Eaubonne REFAB </t>
  </si>
  <si>
    <t>En cours avce easy pliage le 20/05
Le 27/05 commande validé</t>
  </si>
  <si>
    <t>[HYDRO BUILDING SYSTEMS (Technal)] Enseignes et signalétique GAP</t>
  </si>
  <si>
    <t xml:space="preserve">10/03 - 10/03 - 11/03 - 24/03 - 26/03 BAT
27/03 FAB </t>
  </si>
  <si>
    <t>CO2501-3308 - ESPACE GOLD CHANGE - Vitrophanie Guillotière</t>
  </si>
  <si>
    <r>
      <rPr>
        <rFont val="Comfortaa"/>
        <b/>
        <color theme="1"/>
      </rPr>
      <t>04/02 - 28/04 - 09/05</t>
    </r>
    <r>
      <rPr>
        <rFont val="Comfortaa"/>
        <color theme="1"/>
      </rPr>
      <t xml:space="preserve"> BAT
</t>
    </r>
    <r>
      <rPr>
        <rFont val="Comfortaa"/>
        <b/>
        <color theme="1"/>
      </rPr>
      <t>23/05</t>
    </r>
    <r>
      <rPr>
        <rFont val="Comfortaa"/>
        <color theme="1"/>
      </rPr>
      <t xml:space="preserve"> FAB</t>
    </r>
  </si>
  <si>
    <t xml:space="preserve">CO2501-3307 - ESPACE GOLD CHANGE - Vitrophanie Franklin Roosevelt
</t>
  </si>
  <si>
    <r>
      <rPr>
        <rFont val="Comfortaa"/>
        <b/>
        <color theme="1"/>
      </rPr>
      <t>05/02</t>
    </r>
    <r>
      <rPr>
        <rFont val="Comfortaa"/>
        <color theme="1"/>
      </rPr>
      <t xml:space="preserve"> </t>
    </r>
    <r>
      <rPr>
        <rFont val="Comfortaa"/>
        <b/>
        <color theme="1"/>
      </rPr>
      <t>- 28/04</t>
    </r>
    <r>
      <rPr>
        <rFont val="Comfortaa"/>
        <color theme="1"/>
      </rPr>
      <t xml:space="preserve"> BAT 
</t>
    </r>
    <r>
      <rPr>
        <rFont val="Comfortaa"/>
        <b/>
        <color theme="1"/>
      </rPr>
      <t>06/05</t>
    </r>
    <r>
      <rPr>
        <rFont val="Comfortaa"/>
        <color theme="1"/>
      </rPr>
      <t xml:space="preserve"> FAB</t>
    </r>
  </si>
  <si>
    <t xml:space="preserve">[Detail Car] VISITE TECHNIQUE DÉTAIL CAR BORDEAUX MERIADECK </t>
  </si>
  <si>
    <r>
      <rPr>
        <rFont val="Comfortaa"/>
        <b/>
        <color theme="1"/>
      </rPr>
      <t xml:space="preserve"> 17/03</t>
    </r>
    <r>
      <rPr>
        <rFont val="Comfortaa"/>
        <color theme="1"/>
      </rPr>
      <t xml:space="preserve"> Appel + mail relance pour les fichiers
Récupération des fichiers source en cours
</t>
    </r>
    <r>
      <rPr>
        <rFont val="Comfortaa"/>
        <b/>
        <color theme="1"/>
      </rPr>
      <t xml:space="preserve">25/03 </t>
    </r>
    <r>
      <rPr>
        <rFont val="Comfortaa"/>
        <color theme="1"/>
      </rPr>
      <t>BAT VT</t>
    </r>
    <r>
      <rPr>
        <rFont val="Comfortaa"/>
        <color rgb="FFF162A8"/>
      </rPr>
      <t xml:space="preserve"> 
</t>
    </r>
    <r>
      <rPr>
        <rFont val="Comfortaa"/>
        <b/>
        <color theme="1"/>
      </rPr>
      <t>16/04 - 17/04</t>
    </r>
    <r>
      <rPr>
        <rFont val="Comfortaa"/>
        <color theme="1"/>
      </rPr>
      <t xml:space="preserve"> BAT
</t>
    </r>
    <r>
      <rPr>
        <rFont val="Comfortaa"/>
        <b/>
        <color theme="1"/>
      </rPr>
      <t>30/04</t>
    </r>
    <r>
      <rPr>
        <rFont val="Comfortaa"/>
        <color theme="1"/>
      </rPr>
      <t xml:space="preserve"> FAB </t>
    </r>
  </si>
  <si>
    <t>CO2503-3467 - Detail Car - DETAIL CAR DIJON</t>
  </si>
  <si>
    <r>
      <rPr>
        <rFont val="Comfortaa"/>
        <b/>
        <color theme="1"/>
      </rPr>
      <t>14/04 - 15/04 - 16/04 - 17/04 - 17/04</t>
    </r>
    <r>
      <rPr>
        <rFont val="Comfortaa"/>
        <color theme="1"/>
      </rPr>
      <t xml:space="preserve"> BAT 
</t>
    </r>
    <r>
      <rPr>
        <rFont val="Comfortaa"/>
        <b/>
        <color theme="1"/>
      </rPr>
      <t>25/04</t>
    </r>
    <r>
      <rPr>
        <rFont val="Comfortaa"/>
        <color theme="1"/>
      </rPr>
      <t xml:space="preserve"> FAB
</t>
    </r>
    <r>
      <rPr>
        <rFont val="Comfortaa"/>
        <b/>
        <color theme="1"/>
      </rPr>
      <t>25/04</t>
    </r>
    <r>
      <rPr>
        <rFont val="Comfortaa"/>
        <color theme="1"/>
      </rPr>
      <t xml:space="preserve"> FAB ST</t>
    </r>
  </si>
  <si>
    <t>CO2504-3671 - RENOVERT - MARQUAGE VEHICULE</t>
  </si>
  <si>
    <r>
      <rPr>
        <rFont val="Comfortaa"/>
        <b/>
        <color theme="1"/>
      </rPr>
      <t>13/05 - 14/05 - 20/05 - 27/05</t>
    </r>
    <r>
      <rPr>
        <rFont val="Comfortaa"/>
        <color theme="1"/>
      </rPr>
      <t xml:space="preserve"> BAT
</t>
    </r>
    <r>
      <rPr>
        <rFont val="Comfortaa"/>
        <b/>
        <color theme="1"/>
      </rPr>
      <t>27/05</t>
    </r>
    <r>
      <rPr>
        <rFont val="Comfortaa"/>
        <color theme="1"/>
      </rPr>
      <t xml:space="preserve"> FAB</t>
    </r>
  </si>
  <si>
    <t>GUY HOQUET RODEZ oriflammes</t>
  </si>
  <si>
    <t>FAB le 9/05</t>
  </si>
  <si>
    <t>Mondial relay vitrolles</t>
  </si>
  <si>
    <t>FAB le 15/05</t>
  </si>
  <si>
    <t xml:space="preserve">Baglsetin Roman sur Isère </t>
  </si>
  <si>
    <t>BAT v4 validé le 22/05
FAB le 23/05</t>
  </si>
  <si>
    <t>REFAB Media product</t>
  </si>
  <si>
    <t>Le 13/05</t>
  </si>
  <si>
    <t>Refab Le perreux GH</t>
  </si>
  <si>
    <t>le 13/05</t>
  </si>
  <si>
    <t xml:space="preserve">Bagelsetin covering </t>
  </si>
  <si>
    <t>le 19/05</t>
  </si>
  <si>
    <t xml:space="preserve">Aragor refab </t>
  </si>
  <si>
    <t xml:space="preserve">Camif refab adhésif </t>
  </si>
  <si>
    <t>refab le 20/05</t>
  </si>
  <si>
    <t>GUY HOQUET Lyon 3</t>
  </si>
  <si>
    <t>RAS 
FAB le 14/05</t>
  </si>
  <si>
    <t>GUY HOQUET Brie Comte Robert</t>
  </si>
  <si>
    <t>Nouveau BAT mairie envoyé à Océane le 12/02
FAB le 22/05</t>
  </si>
  <si>
    <t>Entres 2 chapitres</t>
  </si>
  <si>
    <t>BAT VT le 10/03
BAT v1 envoyé le 17/03
EN MAIRIE
FAB le 22/05</t>
  </si>
  <si>
    <t>ESPACE GOLD CHANGE - Vitrophanie Guillotière</t>
  </si>
  <si>
    <r>
      <rPr>
        <rFont val="Comfortaa"/>
        <b/>
        <color theme="1"/>
      </rPr>
      <t>04/02</t>
    </r>
    <r>
      <rPr>
        <rFont val="Comfortaa"/>
        <color theme="1"/>
      </rPr>
      <t xml:space="preserve"> </t>
    </r>
    <r>
      <rPr>
        <rFont val="Comfortaa"/>
        <b/>
        <color theme="1"/>
      </rPr>
      <t xml:space="preserve">- 23/04 </t>
    </r>
    <r>
      <rPr>
        <rFont val="Comfortaa"/>
        <color theme="1"/>
      </rPr>
      <t xml:space="preserve">BAT 
</t>
    </r>
    <r>
      <rPr>
        <rFont val="Comfortaa"/>
        <b/>
        <color theme="1"/>
      </rPr>
      <t xml:space="preserve">27/02 - 10/03 - 14/03 - 24/03 </t>
    </r>
    <r>
      <rPr>
        <rFont val="Comfortaa"/>
        <color theme="1"/>
      </rPr>
      <t xml:space="preserve"> Relance mail + téléphone
</t>
    </r>
    <r>
      <rPr>
        <rFont val="Comfortaa"/>
        <b/>
        <color theme="1"/>
      </rPr>
      <t>23/05</t>
    </r>
    <r>
      <rPr>
        <rFont val="Comfortaa"/>
        <color theme="1"/>
      </rPr>
      <t xml:space="preserve"> FAB</t>
    </r>
  </si>
  <si>
    <t>Vivaservice chambéry adhésifs</t>
  </si>
  <si>
    <t>FAB le 09/05</t>
  </si>
  <si>
    <t>[SAS ALENA (Institut Beauty success Tassin la demi Lune)] Signalétique interieure et dossier mairie</t>
  </si>
  <si>
    <r>
      <rPr>
        <rFont val="Comfortaa"/>
        <b/>
        <color rgb="FFF162A8"/>
      </rPr>
      <t xml:space="preserve">
</t>
    </r>
    <r>
      <rPr>
        <rFont val="Comfortaa"/>
        <b/>
        <color rgb="FF000000"/>
      </rPr>
      <t>01/04</t>
    </r>
    <r>
      <rPr>
        <rFont val="Comfortaa"/>
        <b val="0"/>
        <color rgb="FF000000"/>
      </rPr>
      <t xml:space="preserve"> FAB envoyée
</t>
    </r>
    <r>
      <rPr>
        <rFont val="Comfortaa"/>
        <b/>
        <color rgb="FF000000"/>
      </rPr>
      <t>10/04</t>
    </r>
    <r>
      <rPr>
        <rFont val="Comfortaa"/>
        <b val="0"/>
        <color rgb="FF000000"/>
      </rPr>
      <t xml:space="preserve"> BAT Mairie fait
</t>
    </r>
  </si>
  <si>
    <t xml:space="preserve">GUY HOQUET Villenave d'Ornon </t>
  </si>
  <si>
    <t>En attente validation, relancé le 13/02
BAT renvoyé le 17/04
FAB à faire mais VT pas clair demande VT complentaire le 22/04
FAB le 21/05</t>
  </si>
  <si>
    <t>Novi - Francheville</t>
  </si>
  <si>
    <r>
      <rPr>
        <rFont val="Comfortaa"/>
        <b/>
        <color theme="1"/>
      </rPr>
      <t>18/07</t>
    </r>
    <r>
      <rPr>
        <rFont val="Comfortaa"/>
        <color theme="1"/>
      </rPr>
      <t xml:space="preserve"> BAT VT  
</t>
    </r>
    <r>
      <rPr>
        <rFont val="Comfortaa"/>
        <b/>
        <color theme="1"/>
      </rPr>
      <t xml:space="preserve">22/10 - 19/11 - 06/12 - 18/03 </t>
    </r>
    <r>
      <rPr>
        <rFont val="Comfortaa"/>
        <color theme="1"/>
      </rPr>
      <t xml:space="preserve">BAT
</t>
    </r>
    <r>
      <rPr>
        <rFont val="Comfortaa"/>
        <b/>
        <color theme="1"/>
      </rPr>
      <t>20/05</t>
    </r>
    <r>
      <rPr>
        <rFont val="Comfortaa"/>
        <color theme="1"/>
      </rPr>
      <t xml:space="preserve"> FAB</t>
    </r>
  </si>
  <si>
    <t>Novi - Lyon Jean Mace</t>
  </si>
  <si>
    <r>
      <rPr>
        <rFont val="Comfortaa"/>
        <b/>
        <color theme="1"/>
      </rPr>
      <t>16/07</t>
    </r>
    <r>
      <rPr>
        <rFont val="Comfortaa"/>
        <color theme="1"/>
      </rPr>
      <t xml:space="preserve"> BAT VT 
</t>
    </r>
    <r>
      <rPr>
        <rFont val="Comfortaa"/>
        <b/>
        <color theme="1"/>
      </rPr>
      <t>18/09 - 19/11 - 06/12 - 18/03</t>
    </r>
    <r>
      <rPr>
        <rFont val="Comfortaa"/>
        <color theme="1"/>
      </rPr>
      <t xml:space="preserve"> BAT
</t>
    </r>
    <r>
      <rPr>
        <rFont val="Comfortaa"/>
        <b/>
        <color theme="1"/>
      </rPr>
      <t>12/05</t>
    </r>
    <r>
      <rPr>
        <rFont val="Comfortaa"/>
        <color theme="1"/>
      </rPr>
      <t xml:space="preserve"> BAT validé
</t>
    </r>
    <r>
      <rPr>
        <rFont val="Comfortaa"/>
        <b/>
        <color theme="1"/>
      </rPr>
      <t>20/05</t>
    </r>
    <r>
      <rPr>
        <rFont val="Comfortaa"/>
        <color theme="1"/>
      </rPr>
      <t xml:space="preserve"> FAB</t>
    </r>
  </si>
  <si>
    <t>Mizu</t>
  </si>
  <si>
    <t>V1 envoyé le 15/05 - V2 le 16/05 - V3 le 20/05 - V4 le 21/05 - V5 le 22/05 - V6 le 22/05 - FAB A FAIRE - Caisson 70 - Attente confirmation VT : Avner et Bilel le 26/05</t>
  </si>
  <si>
    <t>Optic Duroc REFAB</t>
  </si>
  <si>
    <t>le 26/05</t>
  </si>
  <si>
    <t>Kreature Decathlon Grenoble</t>
  </si>
  <si>
    <t>Demande de fichier à Océane le 02/05 - V1 le 22/05 - Modif à faire - V2 le 22/05 - V3 le 23/05 - FAB A FAIRE</t>
  </si>
  <si>
    <t>Temporis - Pont l'Abbé</t>
  </si>
  <si>
    <t>V1 envoyé le 22/05 - FAB A faire</t>
  </si>
  <si>
    <t>La Boite Immo</t>
  </si>
  <si>
    <t>Flyers</t>
  </si>
  <si>
    <t>Ligne Ouverte</t>
  </si>
  <si>
    <t>Rajout sur commande de Carole lignes de Dépoli</t>
  </si>
  <si>
    <t>Emilie In Braderie</t>
  </si>
  <si>
    <t>V1 envoyé le 23/05</t>
  </si>
  <si>
    <t>Point S - St Sever</t>
  </si>
  <si>
    <t>V1 envoyé le 21/05 - Ok Franchiseur - V1 envoyé le 22/05 au franchisé</t>
  </si>
  <si>
    <t>Destia - Rosny sur Seine - Véhicule</t>
  </si>
  <si>
    <t>BAT V1 envoyé le 13/05 - V2 le 15/05  - V3 le 19/05 - V4 le 20/05 - V5 le 21/05</t>
  </si>
  <si>
    <t>GH Rodez oriflammes - int et classique</t>
  </si>
  <si>
    <t>BAT V1 le 17/04
BAT v2 le 24/04
Attente info franchise pourBATv3</t>
  </si>
  <si>
    <t>Destia - Rosny sur Seine - Devanture</t>
  </si>
  <si>
    <t>BAT VT + BAT V1 - Envoyé le 13/05 - V2 le 15/05 - FAB A FAIRE</t>
  </si>
  <si>
    <t>Temporis - Bordeaux Centre</t>
  </si>
  <si>
    <t>Mr Enseignes - ROMESA</t>
  </si>
  <si>
    <t>V1 le 30/04</t>
  </si>
  <si>
    <t>Leclerc Meyzieu</t>
  </si>
  <si>
    <t>V1 envoyé le 14/05</t>
  </si>
  <si>
    <t>La Réserve des Arts</t>
  </si>
  <si>
    <t>V1 envoyé le 19/05</t>
  </si>
  <si>
    <t>La Pause Gourmande</t>
  </si>
  <si>
    <t>V1 envoyé le 01/04 - Dossier hors FP BAT envoyé par mail</t>
  </si>
  <si>
    <t>Bikube Montpellier - Vitro</t>
  </si>
  <si>
    <t>Passage à Marion - Juste réalisé l'aspect visite technique de ce dossier</t>
  </si>
  <si>
    <t>Petit glouton</t>
  </si>
  <si>
    <t>BAT v1 le 15/05</t>
  </si>
  <si>
    <t xml:space="preserve">ARAGOR plaque plexi </t>
  </si>
  <si>
    <t>BAT v1 envoyé le 18/04</t>
  </si>
  <si>
    <t xml:space="preserve">RED - GENAS </t>
  </si>
  <si>
    <t>BAT v1 le22/04
BAT v2 le 22/04
BAT v3 le 28/04
BAT v4 le 29/04
BAT v5 le 30/05
BAT validé par mail - Attente validation devis</t>
  </si>
  <si>
    <t>BDPS - adhésif miroir sans tain</t>
  </si>
  <si>
    <t>ON AIR - refab adhésif transparent + complément de commande</t>
  </si>
  <si>
    <t>FLANDRES KINE</t>
  </si>
  <si>
    <t>DECLIC IMMO - enseignes</t>
  </si>
  <si>
    <t xml:space="preserve">NETCEED </t>
  </si>
  <si>
    <t>23/04 BAT V2
30/04 fab à faire</t>
  </si>
  <si>
    <t>VALLOIS BUREAU D'ETUDE</t>
  </si>
  <si>
    <t>MR ENSEIGNES - BOUCHERIE TRADITIONNELLE GRATTE CIEL</t>
  </si>
  <si>
    <t>02/05 BAT V1</t>
  </si>
  <si>
    <t>KF IMMO</t>
  </si>
  <si>
    <t>31/03 demande d'infos au client par mail
08/04 nouvelle demande d'éléments
15/04 BAT VT + BAT envoyé
21/04 échanges de nouveaux BAT (V5)
30/04 BAT V7</t>
  </si>
  <si>
    <t>MR ENSEIGNES - BOCHI BOCHI</t>
  </si>
  <si>
    <t>17/03 demande de RDV client avec Florent
03/04 envoie BAT V2
10/04 BAT mairie envoyé</t>
  </si>
  <si>
    <t>ECOLE SAINT ANDRE - panneaux</t>
  </si>
  <si>
    <t>01/04 BAT envoyé
04/04 BAT V2
10/04 relance par mail
25/04 relance par sms</t>
  </si>
  <si>
    <t>GREEN LUNETTES</t>
  </si>
  <si>
    <t>30/04 fab à faire</t>
  </si>
  <si>
    <t>MON INSTANT MASSAGE</t>
  </si>
  <si>
    <t>24/04 BAT V1
30/04 fab à faire</t>
  </si>
  <si>
    <t>Point S Bessan</t>
  </si>
  <si>
    <t>Attente visuel - demande envoyé le 2-05
BAT VT fait le 5-05
BAT 1 envoyé le 13-05
BAT 2 envoyé le 13-05
Franchise validé - envoyé au franchisé le 14-05
Relance le 15-05 8h50
Relance le 15-05 10h
Relance mail 15-05 10h10</t>
  </si>
  <si>
    <t>Destia Paris 15 - Saperlipopette</t>
  </si>
  <si>
    <t>V1 envoyé le 05/05 - V2 le 12/05 - V3 le 14/05</t>
  </si>
  <si>
    <t>Euronet FRMD2222</t>
  </si>
  <si>
    <t>BAT 1 envoyé le 12-05
Relance le 14-05
BBAT 2 envoyé le 14-05</t>
  </si>
  <si>
    <t>Euronet FRMD0503</t>
  </si>
  <si>
    <t>BAT VT fait le 23-04
BAT 1 envoyé le 12-05
Relance le 14-05
BAT 2 envoyé le 14-05</t>
  </si>
  <si>
    <t>Centre Services - Roanne</t>
  </si>
  <si>
    <t>V1 envoyé le 23/04 + BAT VT le 23/04</t>
  </si>
  <si>
    <t>Centre Service Cannes</t>
  </si>
  <si>
    <t xml:space="preserve">RAS </t>
  </si>
  <si>
    <t>KMI - Panneau</t>
  </si>
  <si>
    <t>Euronet double face</t>
  </si>
  <si>
    <t>BAT 1 envoyé le 14-05</t>
  </si>
  <si>
    <t>Euronet FRMD0325</t>
  </si>
  <si>
    <t>BAT 1 envoyé le 12-05
BAT 2 envoyé le 12-05
Relance le 14-05</t>
  </si>
  <si>
    <t>GI GROUP LA DEFENSE</t>
  </si>
  <si>
    <t>BAT 1 envoyé le 30-04
Relance Iman le 2-05
Relance Iman et Catherine le 7-05
BAT 2 envoyé le 13-05</t>
  </si>
  <si>
    <t>Destia - Seclin - Deuxième cmd</t>
  </si>
  <si>
    <t>V1 envoyé le 12/05 - V2 le 12/05</t>
  </si>
  <si>
    <t>Novi - Vannes</t>
  </si>
  <si>
    <t>BAT VT envoyé le 05/02/24 - V1 envoyé le 06/03 - V2 le 07/03 - V3 le 13/03 - V4 le 18/03 - V5 le 19/03 - V6 le 21/03 - Mairie depuis le 20/05 - Refus mairie le 18/06 - Nouveau BAT proposé à Marie-Odile le 20/06 - Ok mairie le 13/09 - Attente validation devis secondaire - Relance le 12/03/25 - V1844187451 envoyé le 26/03 - V1584448481515 envoyé le 01/04 - V591954599429421241949149119 envoyé le 02/04</t>
  </si>
  <si>
    <t>Bureau Vallee Biscarosse</t>
  </si>
  <si>
    <t>BAT VT fait le 14-04
Réattribution à Juliette pour le BAT</t>
  </si>
  <si>
    <t>Ligne ouverte</t>
  </si>
  <si>
    <t>BAT reinter fait le 12-05</t>
  </si>
  <si>
    <t>ISERE NORD GRANULATS</t>
  </si>
  <si>
    <t>V1 envoyé le 12/05</t>
  </si>
  <si>
    <t>Viva service st Malo</t>
  </si>
  <si>
    <t>BAT et FAB fait le 12-05</t>
  </si>
  <si>
    <t>Euronet FRMD2208</t>
  </si>
  <si>
    <t>BAT VT fait le 18-04</t>
  </si>
  <si>
    <t>SQ Clichy</t>
  </si>
  <si>
    <t>BAT fait - attente validation devis pour envoyer à Nathan
Relance le 6-05
BAT 1 envoyé le 7-05</t>
  </si>
  <si>
    <t>Novi - Dunkerque (Vimidom)</t>
  </si>
  <si>
    <t>SQ Médard interieur</t>
  </si>
  <si>
    <t>Attente de brief
Relance le 6-05
BAT 1 envoyé le 7-05</t>
  </si>
  <si>
    <t>Euronet FRMD2218</t>
  </si>
  <si>
    <t>BAT fait le 7-05</t>
  </si>
  <si>
    <t>SQ Marseille Ballard interieur</t>
  </si>
  <si>
    <t>Attente de brief
BAT 1 envoyé le 5-05
Relance le 6-05</t>
  </si>
  <si>
    <t>RIA FR12528</t>
  </si>
  <si>
    <t>BAT 1 envoyé le 20-03
BAT validé - attente VT</t>
  </si>
  <si>
    <t>Viva Services Chambery</t>
  </si>
  <si>
    <t>BAT 1 envoyé le 30-04
Relance tel le 2-05 &gt; message vocal
BAT 2 envoyé le 6-05</t>
  </si>
  <si>
    <t>RIA FR12971</t>
  </si>
  <si>
    <t>BAT 1 envoyé le 20-03
Relance le 26-03
Relance le 16-04
Relance le 5-05</t>
  </si>
  <si>
    <t>LHD distribution - SD Modesty</t>
  </si>
  <si>
    <t>BAT envoyé à Florent le 29-04
BAT 2 envoyé au client le 30-04
BAT 3 envoyé le 5-05</t>
  </si>
  <si>
    <t>Temporis - Merignac</t>
  </si>
  <si>
    <t>V1 envoyé le 02/05</t>
  </si>
  <si>
    <t>DECLIC IMMO REFAB ADHESIF</t>
  </si>
  <si>
    <t>CREAMETAL - REFAB</t>
  </si>
  <si>
    <t xml:space="preserve">Hotel Agenor </t>
  </si>
  <si>
    <t>Dossier d'Hugo &gt; attente réponse devis (Avner gère)
BAT envoyé le 12/03
Commande ST le 22/04</t>
  </si>
  <si>
    <t>GUY HOQUET MONTLHERY</t>
  </si>
  <si>
    <t>RAS 
FAB le 27/03</t>
  </si>
  <si>
    <t>GH Brunoy</t>
  </si>
  <si>
    <t>BAT v1 envoyé le 21/01
BAT franchise validé le 27/01
BAT v1 envoyé franchisé le 27/01 &gt; refusé
BAT v2 validé le 28/01
BAT mairie à faire
BAT mairie envoyé le 28/01
DOSSIER MAIRIE EN COURS
REFUS MAIRIE drapeau &gt;
BAT franchisé le 27/02
BAT franchise le 12/03
BAT dossier mairie le 12/03
FAB le 29/04</t>
  </si>
  <si>
    <t xml:space="preserve">Viva service Sete </t>
  </si>
  <si>
    <t>BAT franchise le 1/04
BAT franchisé le 1/04 attente validation  
FAB le 8/04</t>
  </si>
  <si>
    <t xml:space="preserve">Optic Duroc Reims </t>
  </si>
  <si>
    <t>BAT v1 envoyé le 11/03
BAT v2 envoyé le12/03
FAB et ST le 10/04</t>
  </si>
  <si>
    <t>Bagelstein Grenoble</t>
  </si>
  <si>
    <t>BAT VT le 02/04
BAT v1 le 7/04
FAB le 14/04</t>
  </si>
  <si>
    <t xml:space="preserve">Bagelstein Nancy </t>
  </si>
  <si>
    <t>BAT VT le 9/04
BAT v1 le 14/04 
BAT v2 le 15/04
BAT v3 le 15/04
BAT v4 le 16/04
BAT v5 le 17/04
FAB el 18/04</t>
  </si>
  <si>
    <t>ARAGOR signéltique int</t>
  </si>
  <si>
    <t>BAT le 16/04
Commande ST le 17/04</t>
  </si>
  <si>
    <t>GH Le perreux REFAB</t>
  </si>
  <si>
    <t>Voir avcec Marion les infos</t>
  </si>
  <si>
    <t>GH Rodez Baches provisoires</t>
  </si>
  <si>
    <t>BAT le 28/04
FAB le 28/04</t>
  </si>
  <si>
    <t>Jet clean</t>
  </si>
  <si>
    <t>BAT et FAB fait le 2-05</t>
  </si>
  <si>
    <t>Euronet FRMD2199 R</t>
  </si>
  <si>
    <t>BAT fait le 30-04</t>
  </si>
  <si>
    <t>RIA FR432</t>
  </si>
  <si>
    <t>BAT 1 envoyé le 20-03
Relance le 26-03
BAT validé - attente VT et validation devis</t>
  </si>
  <si>
    <t>VT le 28/04 - V1 le 29/04 - V2 le 29/04</t>
  </si>
  <si>
    <t>Temporis - St Romain de Colbosc</t>
  </si>
  <si>
    <t>V1 - V2 - V3 le 22/04</t>
  </si>
  <si>
    <t>Ligne ouverte Dépoli</t>
  </si>
  <si>
    <t>BAT fait le 29-04
FAB fait le 29-04</t>
  </si>
  <si>
    <t>Point S Cranves-Sales</t>
  </si>
  <si>
    <t>BAT VT fait le 14-04
BAT 1 envoyé le 23-04
validé par la franchise le 24-04 - envoyé au franchisé le 24-04</t>
  </si>
  <si>
    <t>SQ Strassen luxembourg Interieur</t>
  </si>
  <si>
    <t>Attente de brief</t>
  </si>
  <si>
    <t>SQ Strassen luxembourg Exterieur</t>
  </si>
  <si>
    <t>BAT VT fait le 17-04</t>
  </si>
  <si>
    <t>IMMPROVE</t>
  </si>
  <si>
    <t>PLEIN FORMAT - SKECHERS</t>
  </si>
  <si>
    <t>BAT VT envoyé</t>
  </si>
  <si>
    <t>MR ENSEIGNES - GOLD ELITE - dossier mairie</t>
  </si>
  <si>
    <t>31/03 en attente détails de l'enseigne
02/04 appel client + attente de retour
10/04 BAT V2 envoyé
17/04 Nouveau BAT envoyé</t>
  </si>
  <si>
    <t>Viva Services Orléans</t>
  </si>
  <si>
    <t>BAT 1 envoyé le 15-04
BAT 2 envoyé le 17-04
BAT 3 envoyé le 17-04
BAT 4 envoyé le 18-04</t>
  </si>
  <si>
    <t>Euronet FRMD0326</t>
  </si>
  <si>
    <t>BAT 1 envoyé mr 22-04
BAT 2 envoyé le 23-04</t>
  </si>
  <si>
    <t>SQ Biganos Auchan exterieur</t>
  </si>
  <si>
    <t>BAT VT fait le 26-02
BAT 1 envoyé le 10-03</t>
  </si>
  <si>
    <t>SQ Marseille Ballard exterieur</t>
  </si>
  <si>
    <t>BAT VT fait le 27-02
BAT 1 envoyé le 18-03
BAT 2 envoyé le 24-03
Relance le 26-03
BAT 3 envoyé le 23-04
BAT 4 envoyé le 23-04</t>
  </si>
  <si>
    <t>RIA FR1823</t>
  </si>
  <si>
    <t>BAT 1 envoyé le 23-11
Relance faite le 5-12
Relance faite le 13-12
relance le 25-01
Relance faite le 13-02
Relance le 21-02
Relance le 25-03 
Relance le 11-04
Relance le 19-04
Relance le 15-05
Relance le 21-05
Relance le 30-05
Relance le 27-06
Relance le 31-07
Relance le 10-09
Relance le 19-09
Relance le 11-10
Relance le 5-11
BAT 2 envoyé le 29-01
BAT validé - attente validation devis et VT
BAT 3 envoyé le 4-02
BAT 4 envoyé le 4-02
BAT 5 envoyé le 5-02
BAT validé - attente validation devis et VT</t>
  </si>
  <si>
    <t>Gi group</t>
  </si>
  <si>
    <t>BAT 1 envoyé le 10-04
BAT 2 envoyé le 10-04
BAT 3 envoyé le 22-04</t>
  </si>
  <si>
    <t>[SAS OMNISTANCE] Vitrophanie - Graphisme BAT</t>
  </si>
  <si>
    <r>
      <rPr>
        <rFont val="Comfortaa"/>
        <b/>
        <color theme="1"/>
      </rPr>
      <t>BAT</t>
    </r>
    <r>
      <rPr>
        <rFont val="Comfortaa"/>
        <color theme="1"/>
      </rPr>
      <t xml:space="preserve"> envoyé le 09/04
09/04 FAB envoyée</t>
    </r>
  </si>
  <si>
    <t>CO2503-3547 - EDRA S.A - 62_BRUAY LA BUSSIERE_CARROSSERIE G2R</t>
  </si>
  <si>
    <t>08/04 BAT envoyé 
09/04 FAB envoyée</t>
  </si>
  <si>
    <t>CO2501-3399 - Association BA2I - Vitrophanie</t>
  </si>
  <si>
    <r>
      <rPr>
        <rFont val="Comfortaa"/>
        <b/>
        <color theme="1"/>
      </rPr>
      <t xml:space="preserve">14/03 - 17/03 - 18/03 - 24/03 Appel + mail relance pour les fichiers
</t>
    </r>
    <r>
      <rPr>
        <rFont val="Comfortaa"/>
        <color theme="1"/>
      </rPr>
      <t xml:space="preserve">Récupération des fichiers source en cours
03/04 BAT envoyé
</t>
    </r>
    <r>
      <rPr>
        <rFont val="Comfortaa"/>
        <b/>
        <color theme="1"/>
      </rPr>
      <t>03/04 - 04/04</t>
    </r>
    <r>
      <rPr>
        <rFont val="Comfortaa"/>
        <color theme="1"/>
      </rPr>
      <t xml:space="preserve"> Relance cliente BAT
</t>
    </r>
    <r>
      <rPr>
        <rFont val="Comfortaa"/>
        <b/>
        <color theme="1"/>
      </rPr>
      <t>07/04</t>
    </r>
    <r>
      <rPr>
        <rFont val="Comfortaa"/>
        <color theme="1"/>
      </rPr>
      <t xml:space="preserve"> BAT envoyé
17/04 FAB envoyé</t>
    </r>
  </si>
  <si>
    <t xml:space="preserve">ARCHI CHOUETTE </t>
  </si>
  <si>
    <r>
      <rPr>
        <rFont val="Comfortaa"/>
        <b/>
        <color theme="1"/>
      </rPr>
      <t xml:space="preserve">18/03 </t>
    </r>
    <r>
      <rPr>
        <rFont val="Comfortaa"/>
        <b val="0"/>
        <color theme="1"/>
      </rPr>
      <t xml:space="preserve">Une entreprise s'occupe de la réalisation des enseignes et nous de la pose
mail pour demander les fichiers graphique pour réaliser le plan de pose
</t>
    </r>
    <r>
      <rPr>
        <rFont val="Comfortaa"/>
        <b/>
        <color theme="1"/>
      </rPr>
      <t>26/03</t>
    </r>
    <r>
      <rPr>
        <rFont val="Comfortaa"/>
        <b val="0"/>
        <color theme="1"/>
      </rPr>
      <t xml:space="preserve"> BAT envoyé + FAB plan de pose
</t>
    </r>
    <r>
      <rPr>
        <rFont val="Comfortaa"/>
        <b/>
        <color theme="1"/>
      </rPr>
      <t xml:space="preserve">27/03 </t>
    </r>
    <r>
      <rPr>
        <rFont val="Comfortaa"/>
        <b val="0"/>
        <color theme="1"/>
      </rPr>
      <t xml:space="preserve">Appels avec le sous-traitant + échange avec le responsable d'atelier pour faire le BAT
</t>
    </r>
    <r>
      <rPr>
        <rFont val="Comfortaa"/>
        <b/>
        <color theme="1"/>
      </rPr>
      <t xml:space="preserve">Attente retour atelier + sous traitant + franchisé photo pour faire le BAT
02/04 </t>
    </r>
    <r>
      <rPr>
        <rFont val="Comfortaa"/>
        <b val="0"/>
        <color theme="1"/>
      </rPr>
      <t xml:space="preserve">Attente réception de l'enseigne pour réaliser le BAT + le plan depose
</t>
    </r>
    <r>
      <rPr>
        <rFont val="Comfortaa"/>
        <b/>
        <color theme="1"/>
      </rPr>
      <t xml:space="preserve">22/04 </t>
    </r>
    <r>
      <rPr>
        <rFont val="Comfortaa"/>
        <b val="0"/>
        <color theme="1"/>
      </rPr>
      <t>Plan de pose + BAT</t>
    </r>
  </si>
  <si>
    <t>SQ Boulazac Alsacien interieur</t>
  </si>
  <si>
    <t>Attente de brief
Relance le 5-11
Relance le 21-11
Relance le 4-12
Relance le 6-02
Relance le 26-02
BAT 1 envoyé le 22-04</t>
  </si>
  <si>
    <t>RIA FR14271</t>
  </si>
  <si>
    <t>BAT 1 envoyé le 16-01
BAT 2 envoyé le 21-01
Relance le 28-01
Relance le 31-01
Relance le 6-02
Relance le 28-02
Relance le 26-03
BAT validé - attente VT et validation devis</t>
  </si>
  <si>
    <t>RIA FR9334</t>
  </si>
  <si>
    <t>BAT 1 envoyé le 20-03
Relance le 26-03
BAT 2 envoyé le 27-03
BAT validé - attente VT</t>
  </si>
  <si>
    <t>Point S Rumilly</t>
  </si>
  <si>
    <t>BAT VT envoyé le 3-04
BAT 1 envoyé le 14-04
BAT 2 envoyé le 15-04
BAT 3 envoyé le 16-04 - validé par la franchise et envoyé au franchisé</t>
  </si>
  <si>
    <t>V1 le 18/03 - Relance le 25/03</t>
  </si>
  <si>
    <t>EASY CHARGE Trouville - REFAB</t>
  </si>
  <si>
    <t>Euronet FRMD2221</t>
  </si>
  <si>
    <t>BAT fait le 17-04</t>
  </si>
  <si>
    <t>MR ENSEIGNES - REPRO SERVICE - LE VALLOMINATI</t>
  </si>
  <si>
    <t xml:space="preserve">OPTIONS SOLUTIONS </t>
  </si>
  <si>
    <t>15/04 BAT envoyé</t>
  </si>
  <si>
    <t>Mairie Saint Marcel</t>
  </si>
  <si>
    <t>09/04 BAT envoyé</t>
  </si>
  <si>
    <t>Ligne ouverte seconde intervention</t>
  </si>
  <si>
    <t>Attente VT et dossier FP
VT reçu le 16-04
BAT 1 envoyé à Antoine le 16-04
BAT envoyé le 17-04 à la cliente
Relance par tel + mail le 17-04 à 14h</t>
  </si>
  <si>
    <t>SQ Toulenne Horloge Interieur</t>
  </si>
  <si>
    <t>Attente brief
Relance le 10-09
Relance le 17-09
Relance le 22-10
Relance le 5-11
Relance le 21-11
Relance le 4-12
Relance le 6-02
BAT 1 envoyé le 26-03 - En attente du numéro de téléphone
BAT 2 envoyé le 3-04</t>
  </si>
  <si>
    <t>Temporis - Toulon</t>
  </si>
  <si>
    <t>V1 envoyé le 31/03 - V2 le 16/04</t>
  </si>
  <si>
    <t>SQ Bry sur Marne adhesif</t>
  </si>
  <si>
    <t>BAT 1 envoyé le 15-04</t>
  </si>
  <si>
    <t xml:space="preserve"> RIA FR15438</t>
  </si>
  <si>
    <t>Relance le 24-03
BAT 1 envoyé le 26-03
Relance le 26-03
Relance le 16-04</t>
  </si>
  <si>
    <t>RIA FR14898</t>
  </si>
  <si>
    <t>BAT 1 envoyé le 9-01
Relance le 28-01
Relance le 31-01
Relance le 6-02
Relance le 28-02
Relance le 26-03
Relance le 16-04</t>
  </si>
  <si>
    <t>RIA FR14212</t>
  </si>
  <si>
    <t>BAT 1 envoyé le 14-01
Relance le 28-01
Relance le 31-01
Relance le 6-02
Relance le 28-02
Relance le 26-03
Relance le 16-04</t>
  </si>
  <si>
    <t>RIA FR13929</t>
  </si>
  <si>
    <t>BAT 1 envoyé le 15-05
Relance le 21-05
BAT 2 envoyé le 23-05
Relance le 30-05
Relance le 27-06
Relance le 31-07
Relance le 10-09
Relance le 19-09
Relance le 11-10
Relance le 5-11
Relance le 28-01
Relance le 31-01
Relance le 6-02
Relance le 28-02
Relance le 26-03
Relance le 16-04</t>
  </si>
  <si>
    <t xml:space="preserve"> RIA FR13838</t>
  </si>
  <si>
    <t>BAT 1 envoyé le 20-03
Relance le 26-03
Relance le 16-04</t>
  </si>
  <si>
    <t>RIA FR5706</t>
  </si>
  <si>
    <t>BAT 2 envoyé le 27-11
Relance faite le 5-12
Relance faite le 13-12
Relance faite le 13-02
Relance le 21-02
Relance le 25-03
Relance le 11-04
Relance le 19-04
Relance le 15-05
Relance le 21-05
Relance le 30-05
Relance le 27-06
Relance le 31-07
Relance le 10-09
Relance le 19-09
Relance le 11-10
Relance le 5-11
Relance le 28-01
Relance le 31-01
Relance le 6-02
BAT 3 envoyé le 10-02
Relance le 28-02
Relance le 26-03
Relance le 16-04</t>
  </si>
  <si>
    <t>RIA FR15192</t>
  </si>
  <si>
    <t>BAT 1 envoyé le 2-09
Relance le 10-09
Relance le 19-09
Relance le 5-11
BAT 2 envoyé le 29-01
Relance le 28-01
Relance le 31-01
BAT 3 envoyé le 4-02
BAT 4 envoyé le 5-02
Relance le 6-02
Relance le 28-02
Relance le 26-03
Relance le 16-04</t>
  </si>
  <si>
    <t>RIA FR8154</t>
  </si>
  <si>
    <t>BAT 1 envoyé le 14-12
BAT 2 envoyé le 19-12
Relance le 25-03
Relance le 11-04
Relance le 19-04
Relance le 15-05
Relance le 27-06
Relance le 31-07
Relance le 10-09
Relance le 19-09
Relance le 11-10
Relance le 5-11
Relance le 6-02
Relance le 28-02
Relance le 26-03
Relance le 16-04</t>
  </si>
  <si>
    <t>RIA FR14470</t>
  </si>
  <si>
    <t>BAT 1 envoyé le 8-03
BAT 2 envoyé le 13-03
Relance le 25-03
Relance le 19-04
Relance le 15-05
Relance le 21-05
Relance le 30-05
Relance le  27-06
Relance le 31-07
Relance le 10-09
Relance le 19-09
Relance le 11-10
Relance le 5-11
Relance le 28-01
Relance le 31-01
Relance le 6-02
Relance le 16-04</t>
  </si>
  <si>
    <t>RIA FR10778</t>
  </si>
  <si>
    <t>BAT 1 envoyé le 17-06
Relance le 27-06
Relance le 10-09
Relance le 19-09
Relance le 11-10
Relance le 5-11
Relance le 28-01
Relance le 31-01
Relance le 6-02
Relance le 28-02
Relance le 26-03</t>
  </si>
  <si>
    <t>Euronet FRMD2200</t>
  </si>
  <si>
    <t>BAT fait le 16-04</t>
  </si>
  <si>
    <t>SQ Orly interieur</t>
  </si>
  <si>
    <t>Attente de brief
BAT 1 envoyé le 14-04</t>
  </si>
  <si>
    <t>City Locker - Notre Dame - signalétique extérieure</t>
  </si>
  <si>
    <t>MR ENSEIGNES - OFFICE NOTARIAL</t>
  </si>
  <si>
    <t>BAT VT le 03/04 - V1 Envoyé le 15/04</t>
  </si>
  <si>
    <t>Centre Services - La Teste</t>
  </si>
  <si>
    <t>V1 le 25/02 - V2 le 27/02 - Attente validation franchiseur - Validation franchisé reçue le 04/03 - Dossier mairie géré par le client, mail fait le 04/03</t>
  </si>
  <si>
    <t>ESPACE GOLD CHANGE - Vitrophanie Bellecour</t>
  </si>
  <si>
    <r>
      <rPr>
        <rFont val="Comfortaa"/>
        <b/>
        <color theme="1"/>
      </rPr>
      <t>04/02</t>
    </r>
    <r>
      <rPr>
        <rFont val="Comfortaa"/>
        <color theme="1"/>
      </rPr>
      <t xml:space="preserve"> BAT envoyé 
</t>
    </r>
    <r>
      <rPr>
        <rFont val="Comfortaa"/>
        <b/>
        <color theme="1"/>
      </rPr>
      <t xml:space="preserve">27/02 - 10/03 - 14/03 - 24/03 </t>
    </r>
    <r>
      <rPr>
        <rFont val="Comfortaa"/>
        <color theme="1"/>
      </rPr>
      <t xml:space="preserve">Relance mail + téléphone
</t>
    </r>
    <r>
      <rPr>
        <rFont val="Comfortaa"/>
        <b/>
        <color theme="1"/>
      </rPr>
      <t>31/03</t>
    </r>
    <r>
      <rPr>
        <rFont val="Comfortaa"/>
        <color theme="1"/>
      </rPr>
      <t xml:space="preserve"> BAT envoyé
</t>
    </r>
    <r>
      <rPr>
        <rFont val="Comfortaa"/>
        <b/>
        <color theme="1"/>
      </rPr>
      <t>09/04</t>
    </r>
    <r>
      <rPr>
        <rFont val="Comfortaa"/>
        <color theme="1"/>
      </rPr>
      <t xml:space="preserve"> BAT envoyé 
11/04 FAB envoyé</t>
    </r>
  </si>
  <si>
    <t>CÔTE AUDITION</t>
  </si>
  <si>
    <t>Euronet FRMD2219</t>
  </si>
  <si>
    <t>BAT Fait le 14-04</t>
  </si>
  <si>
    <t>Euronet FRMD2210</t>
  </si>
  <si>
    <t>Centre Services Paris 13</t>
  </si>
  <si>
    <t>Temporis - Dijon Nord</t>
  </si>
  <si>
    <t>V1 envoyé le 09/04</t>
  </si>
  <si>
    <t xml:space="preserve"> RIA FR15738</t>
  </si>
  <si>
    <t>BAT fait le 14-04</t>
  </si>
  <si>
    <t>Euronet FRMD2211</t>
  </si>
  <si>
    <t>BAT fait le 11-04</t>
  </si>
  <si>
    <t>Euronet FRMD2199</t>
  </si>
  <si>
    <t>BAT et FAB fait le 11-04</t>
  </si>
  <si>
    <t>Euronet FRMD2179</t>
  </si>
  <si>
    <t>BAT VT fait le 27-02
BAT et FAB fait le 11-04 sans VT</t>
  </si>
  <si>
    <t>SQ Neuilly plaisance interieur</t>
  </si>
  <si>
    <t>Attente de brief
Relance le 21-11
Relance le 4-12
Relance le 6-02
BAT 1 envoyé le 26-03
BAT 2 envoyé le 9-04</t>
  </si>
  <si>
    <t>SQ Audenge Bordeaux exterieur</t>
  </si>
  <si>
    <t>BAT VT fait le 26-02
BAT 1 envoyé le 10-03
BAT 2 envoyé le 13-03
BAT mairie fait le 17-03</t>
  </si>
  <si>
    <t>MA FEE</t>
  </si>
  <si>
    <t>Euronet FRMD2184 R</t>
  </si>
  <si>
    <t>BAT et FAB fait le 9-04</t>
  </si>
  <si>
    <t>RIA FR13723</t>
  </si>
  <si>
    <t>BAT 1 envoyé le 19-11
BAT 2 envoyé le 26-11
Relance le 28-01
Relance le 31-01
Relance le 6-02
Relance le 28-02
Attente VT
BAT 3 envoyé le 24-03
BAT 4 envoyé le 26-03
Relance le 26-03</t>
  </si>
  <si>
    <t>Euronet FRMD2191 R</t>
  </si>
  <si>
    <t>Euronet FRMD2186 R</t>
  </si>
  <si>
    <t>BAT envoyé à Sophie le 25-03
BAT 2 envoyé le 26-03 à Sophie
BAT 3 envoyé à sophie le 26-03
BAT envoyé au client le 26-03
Relance le 27-03
Sophie ne veux pas que je contacte le client en direct - les modifications doivent passer par elle
BAT 4 envoyé le 2-04
BAT 5 envoyé le 3-04
BAT VT credence fait le 3-04
BAT 6 envoyé le 4-04</t>
  </si>
  <si>
    <t>Temporis - Strasbourg Sud</t>
  </si>
  <si>
    <t>V1 envoyé le 03/04</t>
  </si>
  <si>
    <t>RIA FR6701</t>
  </si>
  <si>
    <t>BAT 1 envoyé le 14-11
Relance le 28-01
Relance le 31-01
Relance le 6-02
Relance le 28-02
Relance le 26-03</t>
  </si>
  <si>
    <t>Centre Services - Cognac</t>
  </si>
  <si>
    <t>V1 le 26/02 - V2 le 27/02 - FAB A FAIRE - FAB FAITE (Mais en attente de retour de la VT pour lancement) -&gt; Relance pour la VT le 25/03</t>
  </si>
  <si>
    <t>Centre Services - Chatou</t>
  </si>
  <si>
    <t>BAT VT + BAT VT INTERIEUR + BAT V1 Franchiseur le 13/03 - V2 le 13/03 - FAB A FAIRE (Mais en attente de retour de VT) -&gt; Relance pour la VT le 25/03</t>
  </si>
  <si>
    <t>Kaptabul - REFAB (microperf + transparent avec blanc de soutien)</t>
  </si>
  <si>
    <t>ANTARES CONSEIL</t>
  </si>
  <si>
    <t>13/03 BAT envoyé
31/03 BAT nouvelle version envoyé
04/04 demande de sous traitance
07/04 commande sous traitance faite</t>
  </si>
  <si>
    <t>POINT CODE - RUEIL MALMAISON - adhésif</t>
  </si>
  <si>
    <t>26/03 BAT franchiseur envoyé
31/03 BAT V2 franchiseur et franchisé envoyé
03/04 nouvelle version BAT franchiseur et franchisé</t>
  </si>
  <si>
    <t>NETSF - film dépoli</t>
  </si>
  <si>
    <t>07/04 BAT envoyé</t>
  </si>
  <si>
    <t xml:space="preserve">[EDRA S.A] 91_BONDOUFLE_CDJ AUTO </t>
  </si>
  <si>
    <r>
      <rPr>
        <rFont val="Comfortaa"/>
        <color theme="1"/>
      </rPr>
      <t xml:space="preserve">12/03/2025 14h18 - le client a refusé le BAT
</t>
    </r>
    <r>
      <rPr>
        <rFont val="Comfortaa"/>
        <b/>
        <color theme="1"/>
      </rPr>
      <t xml:space="preserve">25/03 </t>
    </r>
    <r>
      <rPr>
        <rFont val="Comfortaa"/>
        <color theme="1"/>
      </rPr>
      <t xml:space="preserve">BAT envoyé
</t>
    </r>
    <r>
      <rPr>
        <rFont val="Comfortaa"/>
        <b/>
        <color theme="1"/>
      </rPr>
      <t>01/04</t>
    </r>
    <r>
      <rPr>
        <rFont val="Comfortaa"/>
        <color theme="1"/>
      </rPr>
      <t xml:space="preserve"> BAT envoyé
</t>
    </r>
    <r>
      <rPr>
        <rFont val="Comfortaa"/>
        <b/>
        <color theme="1"/>
      </rPr>
      <t>03/04</t>
    </r>
    <r>
      <rPr>
        <rFont val="Comfortaa"/>
        <color theme="1"/>
      </rPr>
      <t xml:space="preserve"> BAT envoyé
</t>
    </r>
    <r>
      <rPr>
        <rFont val="Comfortaa"/>
        <b/>
        <color theme="1"/>
      </rPr>
      <t>03/04</t>
    </r>
    <r>
      <rPr>
        <rFont val="Comfortaa"/>
        <color theme="1"/>
      </rPr>
      <t xml:space="preserve"> FAB envoyé </t>
    </r>
  </si>
  <si>
    <t>MR ENSEIGNES - DESIGN UP - O2</t>
  </si>
  <si>
    <t>04/04 à mettre en fab</t>
  </si>
  <si>
    <t>Novi - Bron</t>
  </si>
  <si>
    <r>
      <rPr>
        <rFont val="Comfortaa"/>
        <color theme="1"/>
      </rPr>
      <t xml:space="preserve">BAT VT envoyé le 16/07
Bat envoyé le 21/10
Dossier Mairie validé
Devis en cours de réalisation
</t>
    </r>
    <r>
      <rPr>
        <rFont val="Comfortaa"/>
        <b/>
        <color theme="1"/>
      </rPr>
      <t>18/03</t>
    </r>
    <r>
      <rPr>
        <rFont val="Comfortaa"/>
        <color theme="1"/>
      </rPr>
      <t xml:space="preserve"> BAT final envoyé 
04/04 FAB envoyée</t>
    </r>
  </si>
  <si>
    <t>[NOVI] Institut Beauty Success Bron - Préparation fichiers</t>
  </si>
  <si>
    <r>
      <rPr>
        <rFont val="Comfortaa"/>
        <b/>
        <color rgb="FF000000"/>
      </rPr>
      <t xml:space="preserve">04/04 </t>
    </r>
    <r>
      <rPr>
        <rFont val="Comfortaa"/>
        <b val="0"/>
        <color rgb="FF000000"/>
      </rPr>
      <t>FAB envoyée</t>
    </r>
  </si>
  <si>
    <t>Mr enseignes carottes tabac</t>
  </si>
  <si>
    <t>BAT le 18/03 + Flo a commandé</t>
  </si>
  <si>
    <t>Novi - Wambrechies</t>
  </si>
  <si>
    <t>BAT VT envoyé le 11/07
BAT V1 envoyé le11/09
BAT v2 envoyé le 21/10
BAT v3 envoyé le 23/01 (MO + franchisé)
BAT v4 envoyé le 28/01 (uniquement franchisé)
BAT validé le 28/01
FAB le 31/03</t>
  </si>
  <si>
    <t xml:space="preserve">Novi Decines Charpieu </t>
  </si>
  <si>
    <t>BAT v1 envoyé le 26/06 
BAT v2 envoyé le 6/10
BAT 3envoyé le 7/11
BAT v4 envoyé à MO et franchisée le 7/11
VT V2 envoyé à marion le 18/11
FAB le 01/04</t>
  </si>
  <si>
    <t>Novi - Villeurbanne Gratte Ciel</t>
  </si>
  <si>
    <t>BAT VT envoyé le 16/07
BAT v1 envoyé le 16/09
BAT v2 envoyé le 13/11
FAB le 01/04</t>
  </si>
  <si>
    <t xml:space="preserve">Underuse REFAB </t>
  </si>
  <si>
    <t>Suite à pb de livraison 
Le 3/04</t>
  </si>
  <si>
    <t xml:space="preserve">Bagelstein Anvers </t>
  </si>
  <si>
    <t>BAT VT envoyé le 25/02
BAT franchiseur le 11/03
BAT v2 le 18/03</t>
  </si>
  <si>
    <t>AUDIO 2000 - NICE</t>
  </si>
  <si>
    <t>Sophie</t>
  </si>
  <si>
    <t>Temporis Douai - Enseigne</t>
  </si>
  <si>
    <t>V1 envoyé le 02/04</t>
  </si>
  <si>
    <t>CO2503-3523 - EDRA S.A - 06_GRASSE_Carrosserie du CYPRES</t>
  </si>
  <si>
    <r>
      <rPr>
        <rFont val="Comfortaa"/>
        <b/>
        <color rgb="FF000000"/>
      </rPr>
      <t xml:space="preserve">26/03 </t>
    </r>
    <r>
      <rPr>
        <rFont val="Comfortaa"/>
        <b val="0"/>
        <color rgb="FF000000"/>
      </rPr>
      <t xml:space="preserve">BAT envoyé
</t>
    </r>
    <r>
      <rPr>
        <rFont val="Comfortaa"/>
        <b/>
        <color rgb="FF000000"/>
      </rPr>
      <t xml:space="preserve">02/04 </t>
    </r>
    <r>
      <rPr>
        <rFont val="Comfortaa"/>
        <b val="0"/>
        <color rgb="FF000000"/>
      </rPr>
      <t>FAB envoyée</t>
    </r>
  </si>
  <si>
    <t>SQ Voreppe exterieur</t>
  </si>
  <si>
    <t>BAT 1 envoyé le 21-01
BAT VT envoyé le 21-01
BAT 2 envoyé le 23-01
BAT 3 envoyé le 28-01
VT2 fait le 28-01
BAT mairie fait le30-01
refus mairie - nouveau BAT mairie envoyé le 24-02</t>
  </si>
  <si>
    <t>Temporis - Douai - Adhésif</t>
  </si>
  <si>
    <t>V1 envoyé le 26/03 - FAB A FAIRE</t>
  </si>
  <si>
    <t>RUE DES PLAISIRS ET DES SAVEURS</t>
  </si>
  <si>
    <t>Pearson France - Point code Chelles</t>
  </si>
  <si>
    <r>
      <rPr>
        <rFont val="Comfortaa"/>
        <b/>
        <color theme="1"/>
      </rPr>
      <t xml:space="preserve">17/03 </t>
    </r>
    <r>
      <rPr>
        <rFont val="Comfortaa"/>
        <b val="0"/>
        <color theme="1"/>
      </rPr>
      <t xml:space="preserve">BAT envoyé
</t>
    </r>
    <r>
      <rPr>
        <rFont val="Comfortaa"/>
        <b/>
        <color theme="1"/>
      </rPr>
      <t>01/04 FAB envoyée</t>
    </r>
  </si>
  <si>
    <t>ATHEM - Sephora Lyon Rep.</t>
  </si>
  <si>
    <t>BAT fait le 01/04</t>
  </si>
  <si>
    <t>ATHEM - Sephora Bordeaux</t>
  </si>
  <si>
    <t>4717dead - NOVI VERSAILLES</t>
  </si>
  <si>
    <t xml:space="preserve"> 01/04 FAB envoyée</t>
  </si>
  <si>
    <t>Novi - Tassin la Demi Lune</t>
  </si>
  <si>
    <r>
      <rPr>
        <rFont val="Comfortaa"/>
        <color theme="1"/>
      </rPr>
      <t xml:space="preserve">BAT VT envoyé le 18/07
BAT envoyé le 18/10 - 26/11
Relance le 06/02
</t>
    </r>
    <r>
      <rPr>
        <rFont val="Comfortaa"/>
        <b/>
        <color theme="1"/>
      </rPr>
      <t>18/03</t>
    </r>
    <r>
      <rPr>
        <rFont val="Comfortaa"/>
        <color theme="1"/>
      </rPr>
      <t xml:space="preserve"> BAT final envoyé </t>
    </r>
    <r>
      <rPr>
        <rFont val="Comfortaa"/>
        <b/>
        <color rgb="FFF162A8"/>
      </rPr>
      <t xml:space="preserve">
</t>
    </r>
    <r>
      <rPr>
        <rFont val="Comfortaa"/>
        <b/>
        <color theme="1"/>
      </rPr>
      <t>27/03</t>
    </r>
    <r>
      <rPr>
        <rFont val="Comfortaa"/>
        <color theme="1"/>
      </rPr>
      <t xml:space="preserve"> BAT Mairie fait, attente validation BAT de Marie-Odile
 01/04 FAB envoyée</t>
    </r>
  </si>
  <si>
    <t>Bikube - Montpellier</t>
  </si>
  <si>
    <t>BAT validé et transmis pour mairie le 31/01 - Ok Mairie - Attente acompte et validation Devis Michael - FAB A FAIRE - Message envoyé le 25/03 et mail le 24/03 en attente appel Stéphane atelier</t>
  </si>
  <si>
    <t>B&amp;M JACK GOMME - enseigne drapeau</t>
  </si>
  <si>
    <t>MR ENSEIGNES - ALL DESIGN CONCEPT</t>
  </si>
  <si>
    <t>EUROGRATE</t>
  </si>
  <si>
    <t>Temporis - Seltz</t>
  </si>
  <si>
    <t>V1 envoyé le 25/03 - V2 le 27/03</t>
  </si>
  <si>
    <t>CO2412-3085_4 - BRODEAC - Fab adhésif porte SAS</t>
  </si>
  <si>
    <t>26/03 Bat envoyé
26/03 FAB prête une fois le BAT validé
28/03 FAB envoyée</t>
  </si>
  <si>
    <t>RIA FR14482</t>
  </si>
  <si>
    <t>BAT 1 envoyé le 7-10
BAT 2 envoyé le 9-10
Relance le 11-10
Relance le 5-11
Relance le 28-01
Relance le 31-01
Relance le 6-02
Relance le 28-02</t>
  </si>
  <si>
    <t>Euronet FRMD2202</t>
  </si>
  <si>
    <t>BAT VT fait le 11-03
BAT 1 envoyé le 24-03</t>
  </si>
  <si>
    <t>Mr Enseignes - Spasso</t>
  </si>
  <si>
    <t>V1 envoyé le 26/03</t>
  </si>
  <si>
    <t>Temporis - Compiègne</t>
  </si>
  <si>
    <t>V1 Envoyé le 24/03</t>
  </si>
  <si>
    <t>SQ Clichy exterieur</t>
  </si>
  <si>
    <t>BAT 1 envoyé le 30-08
BAT VT envoyé le 30-08
BAT 2 envoyé le 9-09
Relance le 10-09
Relance le 17-09
Relance le 2-10
Relance le 22-10
Relance le 5-11
Projet en attente de validation
Relance le 21-11
BAT 3 envoyé le 26-11
Relance le 4-12
BAT 4 envoyé le 17-01
BAT mairie fait le 21-01
refus mairie - BAT 5 envoyé le 23-01
validé par franchise et client le 24-01
BAT mairie fait le 24-01
BAT mairie modifié le 19-02
BAT mairie modifié le 25-02</t>
  </si>
  <si>
    <t>RIA FR16316</t>
  </si>
  <si>
    <t>BAT 1 envoyé le 23-01
BAT 2 envoyé le 27-01
Relance le 6-02
BAT 3 envoyé le 10-02
BAT 4 envoyé le 11-02
BAT 5 envoyé le 18-02
BAT 6 envoyé le 19-02
BAT validé - attente validation devis et VT</t>
  </si>
  <si>
    <t>RIA FR7788</t>
  </si>
  <si>
    <t>BAT 1 envoyé le 16-01
BAT 2 envoyé le 21-01
BAT 3 envoyé le 22-01
BAT 4 envoyé le 30-01
Relance le 28-01
Relance le 31-01
BAT 5 envoyé le 5-02
Relance le 6-02
BAT 6 envoyé le 20-02
BAT 7 envoyé le 24-02
BAT 8 envoyé le 27-02
Relance le 28-02
Attente VT</t>
  </si>
  <si>
    <t>V1 envoyé le 25/03 - FAB A FAIRE</t>
  </si>
  <si>
    <t>Samsic</t>
  </si>
  <si>
    <t>SQ Soustons</t>
  </si>
  <si>
    <t>BAT 1 envoyé le 19-03
BAT 2 envoyé le 24-03</t>
  </si>
  <si>
    <t>SQ Bordeaux Eyssines</t>
  </si>
  <si>
    <t>BAT 1 envoyé à Michael le 27-02
Validé par Michael le 27-02- envoyé à Paul
BAT 2 envoyé le 24-03</t>
  </si>
  <si>
    <t>SQ Yverdon simply</t>
  </si>
  <si>
    <t>BAT 1 envoyé le 24-03</t>
  </si>
  <si>
    <t>CSE D'ASSAULT AVIATION SAINT-CLOUD - VT</t>
  </si>
  <si>
    <t>26/03 VT envoyée</t>
  </si>
  <si>
    <t>SARL DESGRANGES</t>
  </si>
  <si>
    <t>25/03 commande ST</t>
  </si>
  <si>
    <t>ABC auto</t>
  </si>
  <si>
    <t>BAT mairie - attente fichiers/ infos
19/02 attente nouveau catalogue corporate
06/03 en attente d'infos de la franchise sur caractéristiques enseigne
24/03 BAT mairie envoyé</t>
  </si>
  <si>
    <t>Signavision - optic 2000</t>
  </si>
  <si>
    <t>BAT envoyé 29/01 - attente retour Florent
attente mairie
13/03 attente validation BAT
18/03 demande de devis ST
25/03 commande ST + fichiers fab</t>
  </si>
  <si>
    <t>Epicerie</t>
  </si>
  <si>
    <t>E</t>
  </si>
  <si>
    <t>V1 le 16/04 - Relance tél le 15/05 - Elle dépose le dossier mairie de son côté, on attends le retour de la mairie</t>
  </si>
  <si>
    <t>Temporis - Reims Generaliste</t>
  </si>
  <si>
    <t>V1 envoyé le 18/12 - Relance le 31/12</t>
  </si>
  <si>
    <t>Temporis - Le Havre</t>
  </si>
  <si>
    <t>V1 le 13/03</t>
  </si>
  <si>
    <r>
      <rPr>
        <rFont val="Comfortaa"/>
        <b/>
        <color theme="1"/>
      </rPr>
      <t>08/11</t>
    </r>
    <r>
      <rPr>
        <rFont val="Comfortaa"/>
        <color theme="1"/>
      </rPr>
      <t xml:space="preserve"> BAT envoyé
FAB ✅</t>
    </r>
  </si>
  <si>
    <t xml:space="preserve">[RENOW] PLAQUE EXTÉRIEURE </t>
  </si>
  <si>
    <r>
      <rPr>
        <rFont val="Comfortaa"/>
        <b/>
        <color theme="1"/>
      </rPr>
      <t>17/03</t>
    </r>
    <r>
      <rPr>
        <rFont val="Comfortaa"/>
        <color theme="1"/>
      </rPr>
      <t xml:space="preserve"> Appel + mail demande fichiers sources client
</t>
    </r>
    <r>
      <rPr>
        <rFont val="Comfortaa"/>
        <b/>
        <color theme="1"/>
      </rPr>
      <t>18/03</t>
    </r>
    <r>
      <rPr>
        <rFont val="Comfortaa"/>
        <color theme="1"/>
      </rPr>
      <t xml:space="preserve"> BAT envoyé
</t>
    </r>
    <r>
      <rPr>
        <rFont val="Comfortaa"/>
        <b/>
        <color theme="1"/>
      </rPr>
      <t>20/03</t>
    </r>
    <r>
      <rPr>
        <rFont val="Comfortaa"/>
        <color theme="1"/>
      </rPr>
      <t xml:space="preserve"> Fab envoyée</t>
    </r>
  </si>
  <si>
    <t>AD AUTO</t>
  </si>
  <si>
    <t>20/03 BAT envoyé
24/03 BAT V2 envoyé</t>
  </si>
  <si>
    <t>[DMP36] Refab tous fichiers</t>
  </si>
  <si>
    <r>
      <rPr>
        <rFont val="Comfortaa"/>
        <b/>
        <color theme="1"/>
      </rPr>
      <t>24/03</t>
    </r>
    <r>
      <rPr>
        <rFont val="Comfortaa"/>
        <color theme="1"/>
      </rPr>
      <t xml:space="preserve"> Fab envoyée</t>
    </r>
  </si>
  <si>
    <t>NETSF - adhésifs manquants</t>
  </si>
  <si>
    <t xml:space="preserve">MR - Tabac arènes </t>
  </si>
  <si>
    <t>BAT v1 le 18/03</t>
  </si>
  <si>
    <t>CAMIF habitat VT montbonnot</t>
  </si>
  <si>
    <t>BAT validé par franchise le 18/02
BAT en cours de validation côté franchisé (envoyé le 18/02) 
Dossier mairie géré par le client 
BAT en cours de validation chez le franchisé
à relancer!
Relance le 19/03
FAB le 19/03</t>
  </si>
  <si>
    <t>RIA FR14438</t>
  </si>
  <si>
    <t>BAT 1 envoyé le 24-10
BAT 2 envoyé le 29-10
Relance le 5-11
BAT 3 envoyé le 13-01
Relance le 28-01
Relance le 31-01
Relance le 6-02
BAT 4 envoyé le 18-02
BAT validé - attente validation devis et VT
BAT 5 envoyé le 3-03</t>
  </si>
  <si>
    <t>Novi - Burnhaupt le Haut</t>
  </si>
  <si>
    <t>BAT VT envoyé le 11/07
Attente de la V2 de la VT (VT prévue le 30/09)
BAT envoyé le 19/09 - 29/01 - 04/02
Relance le 06/02
20/03 Fabrication envoyée + demande devis sous traitance caisson
21/03 Devis validé</t>
  </si>
  <si>
    <t>MR ENSEIGNES - Presqu'ile</t>
  </si>
  <si>
    <t>Lylo - REFAB</t>
  </si>
  <si>
    <t>EASY NAILS</t>
  </si>
  <si>
    <t>14/03 BAT envoyé</t>
  </si>
  <si>
    <t>LE 59</t>
  </si>
  <si>
    <t>20/02 Manque baseline
24/02 : revoir demande client, manque baseline, 3 adhésifs au lieu d'un ... 
06/03 en attente de la VT</t>
  </si>
  <si>
    <t>VH Group</t>
  </si>
  <si>
    <t>V1 envoyé le 20/03</t>
  </si>
  <si>
    <t>GI France Bordeaux</t>
  </si>
  <si>
    <t>Demande de brief le 17-03
BAT 1 envoyé le 18-03
BAT 2 envoyé le 19-03</t>
  </si>
  <si>
    <t>Guy Hoquet Strasbourg</t>
  </si>
  <si>
    <t>BAT 1 envoyé le 12-02
BAT VT envoyé le 12-02
BAT 2 envoyé le 14-02
BAT 3 envoyé le 20-02
BAT 4 envoyé le 5-03
franchise validé le 5-03 - envoie au franchisé le 5-03
Relance le 14-03
le franchisé veux un fond bleu - je viens de demander à la franchise si ils seraient d'accord pour remettre le fond caisson - en attente de leur réponse
BAT 5 envoyé le 9-04 à la franchise
BAT 6 envoyé le 12-04
la franchise à validé - envoyé au franchisé le 15-04
Relance faite le 19-04
Relance le 15-05 &gt; reponse après l'AG du 22 Mai
Relance le 30-05
Relance le 3-06
Refus mairie - BAT modifié et renvoyé à la franchise le 27-06 - attente de validation (BAt mairie deja modifié)
la franchise à validé - BAT envoyé le 4-07 au franchisé
le franchisé à validé le 4-07 - renvoie en mairie
Refus mairie - BAT renvoyé à la franchise le 10-07 pour validation
BAT renvoyé à la franchise le 15-07
BAT renvoyé à la franchise le 16-07
la franchisé à validé - renvoyé au franchisé le 17-07
BAT renvoyé à la franchise le 29-07  - validé par la franchise le 31-07 - attente validation du franchisé pour renvoie à la mairie
BAT renvoyé le 27-08 avec la demande "souhaitez vous renvoyer en mairie"
ils veulent reaire une demande en mairie - attente validation BAT
Relance le 10-09
Version 3 renvoyé le 12-09
Relance le 2-10</t>
  </si>
  <si>
    <t>RIA FR15136</t>
  </si>
  <si>
    <t>BAT 1 envoyé le 14-01
Relance le 28-01
Relance le 31-01
Relance le 6-02
BAT 2 envoyé le 25-02
BAT 3 envoyé le 27-02
BAT validé - attente VT et validation devis</t>
  </si>
  <si>
    <t>Ovelia</t>
  </si>
  <si>
    <t>V1 le 19/03</t>
  </si>
  <si>
    <t>SQ Voreppe interieur</t>
  </si>
  <si>
    <t>Attente de brief
Relance le 6-02
BAT 1 envoyé le 18-03</t>
  </si>
  <si>
    <t>Cristal pure</t>
  </si>
  <si>
    <t>BAT 1 envoyé le 18-03
BAT 2 envoyé le 18-03</t>
  </si>
  <si>
    <t>SQ Louis Huningue exterieur</t>
  </si>
  <si>
    <t>BAT 1 envoyé le 5-11
BAT VT fait le 5-11
Relance le 5-11
BAT 2 envoyé le 6-12
BAT 3 envoyé le 17-12
Relance le 20-12
BAT mairie fait le 24-12
Dossier en stand by - risque d'être annulé</t>
  </si>
  <si>
    <t>SQ Louis Huningue interieur</t>
  </si>
  <si>
    <t>Attente de brief
Relance le 5-11
Relance le 21-11
Relance le 4-12
Relance le 6-02
Dossier en stand by - risque d'être annulé</t>
  </si>
  <si>
    <t>EDRA S.A - 84_PIOLENC_CARROSSERIE DAMERY</t>
  </si>
  <si>
    <r>
      <rPr>
        <rFont val="Comfortaa"/>
        <b/>
        <color theme="1"/>
      </rPr>
      <t>18/02</t>
    </r>
    <r>
      <rPr>
        <rFont val="Comfortaa"/>
        <color theme="1"/>
      </rPr>
      <t xml:space="preserve"> BAT envoyé 
</t>
    </r>
    <r>
      <rPr>
        <rFont val="Comfortaa"/>
        <b/>
        <color theme="1"/>
      </rPr>
      <t>19/03</t>
    </r>
    <r>
      <rPr>
        <rFont val="Comfortaa"/>
        <color theme="1"/>
      </rPr>
      <t xml:space="preserve"> Fabrication</t>
    </r>
  </si>
  <si>
    <t>Flying for you - REFAB</t>
  </si>
  <si>
    <t>18/03 BAT envoyé</t>
  </si>
  <si>
    <t>Underuse</t>
  </si>
  <si>
    <t>BAT v1 le 12/03
Validé mais erreur de dimension avec nos plaques
Donc BAT v2 le 14/03</t>
  </si>
  <si>
    <t>GUY HOQUET PUTEAUX</t>
  </si>
  <si>
    <t>RAS 
FAB faites le 17/03
demande ST le 17/03</t>
  </si>
  <si>
    <t>SQ Provins exterieur</t>
  </si>
  <si>
    <t>BAT 1 envoyé le 30-10
BAT VT fait le 30-10
BAT validé - attente VT pour dossier mairie
BAT mis, à jour et renvoyé à la franchise le 12-11
BAT mairie fait le 12-11
BAT VS2 envoyé le 3-03 à la franchise pour validation avant renvoi à la mairie
BAT renvoyé en mairie le 11-03
Refus mairie
BAT renvoyé le 12-03 à Nathan
validé - BAT mairie fait le 12-03</t>
  </si>
  <si>
    <t>AG plomberie</t>
  </si>
  <si>
    <t>Bat enseignes envoyé au client
RDV client mardi 28/01 pour validation couleur + validation maquettes véhicules
RDV annulé = relance client
RDV + nouveau BAT fait 03/02
BAT non validé
Nouveau BAT 06/02
13/02 Relance appel + sms + mail
25/02 relance = rappeler pour une nouvelle propal le 27/02
26/02 modif BAT à faire
FAB ENSEIGNE LANCEE
14/03 BAT V8 marquag véhicule envoyé</t>
  </si>
  <si>
    <t>Lady sushi Villefranche</t>
  </si>
  <si>
    <t>Demande de brief envoyé le 14-03 au client
BAT 1 envoyé le 17-03
BAT 2 envoyé le 17-03
BAT 3 envoyé le 17-03</t>
  </si>
  <si>
    <t>Bureau vallée</t>
  </si>
  <si>
    <t>contact pris avec le client le 12-02
BAT envoyé à la franchise le 17-02
BAT 2 envoyé le 18-02
Relance le 21-02
BAT 3 envoyé le 24-02
La franchise à validé - envoi au franchisé le 25-02
Relance le 27-02
BAT 4 envoyé le 3-03
BAT 5 envoyé le 14-03</t>
  </si>
  <si>
    <t>SQ massy</t>
  </si>
  <si>
    <t>BAT fait le 17-03</t>
  </si>
  <si>
    <t xml:space="preserve">[LA FRANCAISE DES FACADES] PANNEAU PVC 10MM - OYONNAX </t>
  </si>
  <si>
    <r>
      <rPr>
        <rFont val="Comfortaa"/>
        <b/>
        <color theme="1"/>
      </rPr>
      <t xml:space="preserve">12/03 </t>
    </r>
    <r>
      <rPr>
        <rFont val="Comfortaa"/>
        <b val="0"/>
        <color theme="1"/>
      </rPr>
      <t xml:space="preserve">BAT envoyé
</t>
    </r>
    <r>
      <rPr>
        <rFont val="Comfortaa"/>
        <b/>
        <color theme="1"/>
      </rPr>
      <t xml:space="preserve">17/03 </t>
    </r>
    <r>
      <rPr>
        <rFont val="Comfortaa"/>
        <b val="0"/>
        <color theme="1"/>
      </rPr>
      <t>Fab envoyée</t>
    </r>
  </si>
  <si>
    <t>EDRA S.A - COLOMIERS - CARROSSERIE PASA -- REFAB PANNEAUX</t>
  </si>
  <si>
    <t>03/03 BAT
03/03 Fabrication</t>
  </si>
  <si>
    <t>29/01 REFAB - Sous traitance</t>
  </si>
  <si>
    <t>GUY HOQUET Lyon 9</t>
  </si>
  <si>
    <t>BAT validé le 13/02
FAB le 19/02
ST le 21/02</t>
  </si>
  <si>
    <t>SARL Majorelle</t>
  </si>
  <si>
    <t>BAT 1 envoyé le 12-03
BAT 2 envoyé le 13-03
BAT 3 envoyé le 14-03</t>
  </si>
  <si>
    <t>GUY HOQUET Levallois</t>
  </si>
  <si>
    <t>BAT validé le 7/06 
FAB le 10/02
ST le 21/02</t>
  </si>
  <si>
    <t>GUY HOQUET LE Perreux Sur Marne</t>
  </si>
  <si>
    <t>FAB prête, sujet de la sous traitance des plaques à suivre 
FAB lancé le 4/02
Mais ST lancée le 12/03</t>
  </si>
  <si>
    <t xml:space="preserve">GUY HOQUET GUIGNES </t>
  </si>
  <si>
    <t>BAT validé le 20//02
FAB le 21/02
ST le 21/02</t>
  </si>
  <si>
    <t xml:space="preserve">Police municiaple Courdimanche </t>
  </si>
  <si>
    <t>BAT v1 envoyé le 27/02
relance le 13/03
FAB le 14/03</t>
  </si>
  <si>
    <t>CO2502-3448 - MR ENSEIGNES - SMASH BRO - Dossier Mairie</t>
  </si>
  <si>
    <r>
      <rPr>
        <rFont val="Comfortaa"/>
        <b/>
        <color theme="1"/>
      </rPr>
      <t xml:space="preserve"> 14/03</t>
    </r>
    <r>
      <rPr>
        <rFont val="Comfortaa"/>
        <color theme="1"/>
      </rPr>
      <t xml:space="preserve">  BAT Mairie envoyé</t>
    </r>
  </si>
  <si>
    <t>Luxe optic</t>
  </si>
  <si>
    <t>BAT v1 le 24/01
FAB le 27/01
Besoin VT car projet où on pose un nouveau coffrage sur des caissons existants et Avner n'avait pas prévu de VT
FAB ST le 3/03</t>
  </si>
  <si>
    <t>NETSF - dépoli</t>
  </si>
  <si>
    <t>VFR PUBLICITE</t>
  </si>
  <si>
    <t>06/03 commande ST</t>
  </si>
  <si>
    <t>Kaptabul</t>
  </si>
  <si>
    <t>Attente carte grise le 26/02</t>
  </si>
  <si>
    <t>StickView</t>
  </si>
  <si>
    <t>Pas de BAT client, à lancer en prod direct car expédition ce weekend</t>
  </si>
  <si>
    <t>MR ENSEIGNES - MY PANINO</t>
  </si>
  <si>
    <t>25/02 attente éléments client</t>
  </si>
  <si>
    <t>ATEMCO</t>
  </si>
  <si>
    <t>BAT envoyé 25/02</t>
  </si>
  <si>
    <t>Maison Albert</t>
  </si>
  <si>
    <t>Attente Léa sur technique atelier (effet laiton mat)</t>
  </si>
  <si>
    <t>DECLIC IMMO</t>
  </si>
  <si>
    <t>BAT envoyé 13/02
BAT envoyé 17/02
BAT envoyé 19/02</t>
  </si>
  <si>
    <t>Lylo</t>
  </si>
  <si>
    <t>BAT adhésif provisoire envoyé au client
BAT validé / VT faite
Réalisation BAT adhésifs
BAT V2 à faire + attente nouveaux éléments client
BAT envoyé 03/02
FAB lancée 05/02</t>
  </si>
  <si>
    <t>Association BA2I - Vitrophanie</t>
  </si>
  <si>
    <t>BAT en cours (Attente retour cliente fichiers sources)</t>
  </si>
  <si>
    <t>PEK2</t>
  </si>
  <si>
    <r>
      <rPr>
        <rFont val="Comfortaa"/>
        <b/>
        <color theme="1"/>
      </rPr>
      <t xml:space="preserve">06/03 - 11/03 - 11/03 </t>
    </r>
    <r>
      <rPr>
        <rFont val="Comfortaa"/>
        <b val="0"/>
        <color theme="1"/>
      </rPr>
      <t xml:space="preserve">BAT envoyé
</t>
    </r>
    <r>
      <rPr>
        <rFont val="Comfortaa"/>
        <b/>
        <color theme="1"/>
      </rPr>
      <t xml:space="preserve">11/03 </t>
    </r>
    <r>
      <rPr>
        <rFont val="Comfortaa"/>
        <b val="0"/>
        <color theme="1"/>
      </rPr>
      <t>Sous traitance commandée</t>
    </r>
  </si>
  <si>
    <t>Gi Group La Défense</t>
  </si>
  <si>
    <t>BAT 1 envoyé le 5-03
BAT 2 envoyé le 10-03
BAT 3 envoyé le 12-03</t>
  </si>
  <si>
    <t>Optic Duric Dijon</t>
  </si>
  <si>
    <t>BAT v1 le 10/03
BAT v2 le 11/02
BAT v3 le 18/02
FAB le 19/02</t>
  </si>
  <si>
    <t>Bagelstein Aix</t>
  </si>
  <si>
    <t>BAT franchisé le 25/02
BAT franchise le  27/02
FAB le 6/03
ST drapeau le chez Alicia le 6/03
ST caisson chez MAuran Delon le 11/03</t>
  </si>
  <si>
    <t>REFAB City locker montmartre</t>
  </si>
  <si>
    <t>REFAB chez Wowprint le 18/02</t>
  </si>
  <si>
    <t xml:space="preserve">SACVL - Beelodge </t>
  </si>
  <si>
    <t>BAT v1 envoyé le 4/03
BAT v2 envoyé le 6/03
BAT v3 envoyé le 7/03
BAT v4 envoyé le 11/03
BAT v5 envoyé le 12/03
FAB le 13/03</t>
  </si>
  <si>
    <t>Procore</t>
  </si>
  <si>
    <t>BAT le 28/02
FAB le 3/03</t>
  </si>
  <si>
    <t xml:space="preserve">NOVI INT - Villeurbanne </t>
  </si>
  <si>
    <t>FAB le 27/02</t>
  </si>
  <si>
    <t>Bagelstein Boulogne - refab adhésif</t>
  </si>
  <si>
    <t>REFAB le 27/02</t>
  </si>
  <si>
    <t>NOVI Schweighouse - Refab adhésif</t>
  </si>
  <si>
    <t>REFAB le 3/03</t>
  </si>
  <si>
    <t>PMI</t>
  </si>
  <si>
    <t>BAT le 5/03
FAB le 5/03</t>
  </si>
  <si>
    <t>Le gainsbar - refab caisson + nouveau adhéisf</t>
  </si>
  <si>
    <t>refab caisson ST à GEP le 4/03
FAB adhésifs lancée le 5/03</t>
  </si>
  <si>
    <t>GUY HOQUET EAUBONNE - Refab caisson</t>
  </si>
  <si>
    <t xml:space="preserve">Caisson et rabat sous -traité à Mauran Delon le 11/03
En attente de réception </t>
  </si>
  <si>
    <t>MPI 30 - VÉHICULE PISCINE IBIZA</t>
  </si>
  <si>
    <r>
      <rPr>
        <rFont val="Comfortaa"/>
        <b/>
        <color theme="1"/>
      </rPr>
      <t xml:space="preserve"> 20/02 - 06/03 - 11/03</t>
    </r>
    <r>
      <rPr>
        <rFont val="Comfortaa"/>
        <color theme="1"/>
      </rPr>
      <t xml:space="preserve"> BAT envoyé
</t>
    </r>
    <r>
      <rPr>
        <rFont val="Comfortaa"/>
        <b/>
        <color theme="1"/>
      </rPr>
      <t>13/03</t>
    </r>
    <r>
      <rPr>
        <rFont val="Comfortaa"/>
        <color theme="1"/>
      </rPr>
      <t xml:space="preserve"> Fab envoyé</t>
    </r>
  </si>
  <si>
    <t>CO2502-3489 - EPIONE - ENSEIGNE</t>
  </si>
  <si>
    <r>
      <rPr>
        <rFont val="Comfortaa"/>
        <b/>
        <color theme="1"/>
      </rPr>
      <t>12/03</t>
    </r>
    <r>
      <rPr>
        <rFont val="Comfortaa"/>
        <color theme="1"/>
      </rPr>
      <t xml:space="preserve"> BAT
</t>
    </r>
    <r>
      <rPr>
        <rFont val="Comfortaa"/>
        <b/>
        <color theme="1"/>
      </rPr>
      <t>12/03</t>
    </r>
    <r>
      <rPr>
        <rFont val="Comfortaa"/>
        <color theme="1"/>
      </rPr>
      <t xml:space="preserve"> FAB</t>
    </r>
  </si>
  <si>
    <t>Bureau vallée val des mauves</t>
  </si>
  <si>
    <t>BAT fait le 13-03</t>
  </si>
  <si>
    <t>Maiga studio</t>
  </si>
  <si>
    <t>BAT 1 envoyé le 10-03
BAT 2 envoyé le 11-03
BAT 3 envoyé le 12-03</t>
  </si>
  <si>
    <t>New Driver</t>
  </si>
  <si>
    <r>
      <rPr>
        <rFont val="Comfortaa"/>
        <b/>
        <color theme="1"/>
      </rPr>
      <t>18/02</t>
    </r>
    <r>
      <rPr>
        <rFont val="Comfortaa"/>
        <color theme="1"/>
      </rPr>
      <t xml:space="preserve"> BAT validé 
</t>
    </r>
    <r>
      <rPr>
        <rFont val="Comfortaa"/>
        <b/>
        <color theme="1"/>
      </rPr>
      <t xml:space="preserve">Faire validé un BAT pour la bâche
03/03 </t>
    </r>
    <r>
      <rPr>
        <rFont val="Comfortaa"/>
        <color theme="1"/>
      </rPr>
      <t xml:space="preserve">BAT envoyé
</t>
    </r>
    <r>
      <rPr>
        <rFont val="Comfortaa"/>
        <b/>
        <color theme="1"/>
      </rPr>
      <t>04/03</t>
    </r>
    <r>
      <rPr>
        <rFont val="Comfortaa"/>
        <color theme="1"/>
      </rPr>
      <t xml:space="preserve"> Fabrication bâche envoyé
</t>
    </r>
    <r>
      <rPr>
        <rFont val="Comfortaa"/>
        <b/>
        <color theme="1"/>
      </rPr>
      <t>13/03</t>
    </r>
    <r>
      <rPr>
        <rFont val="Comfortaa"/>
        <color theme="1"/>
      </rPr>
      <t xml:space="preserve"> Fab envoyé</t>
    </r>
  </si>
  <si>
    <t xml:space="preserve">La Boite Immo </t>
  </si>
  <si>
    <t>250 Caissons à commander - Attente réception proto - Demande de devis le 06/03 - Commande faite le 13/03</t>
  </si>
  <si>
    <t>Novi - Lorient Keryado</t>
  </si>
  <si>
    <t>BAT VT envoyé le 06/02 - V1 envoyé le 06/03 - Attente visio de leur côté, relance le 13/05 - V2 le 23/05 - Attente septembre - Mail du 18/06 - Relance le 16/10 - Standby jusqu'au premier trimestre 2025 - Relance le 12/03/25</t>
  </si>
  <si>
    <t>Novi - Lorient Centre</t>
  </si>
  <si>
    <t>BAT VT envoyé le 06/02 - V1 envoyé le 16/02 - V2 le 20/02 -  Attente visio de leur côté, relance le 13/05 - Attente retour question du 23/05 sur la taille de la bâche - Attente septembre - Mail du 18/06 - Relance le 16/10 - Standby jusqu'au premier trimestre 2025 - Relance le 12/03/25</t>
  </si>
  <si>
    <t>RIA FR955</t>
  </si>
  <si>
    <t>BAT 1 envoyé le 3-10
Relance le 11-10
BAT 2 envoyé le 14-10
Relance le 5-11
Relance le 28-01
Relance le 31-01
Relance le 6-02
BAT validé - attente VT et validation devis</t>
  </si>
  <si>
    <t>5 Océans</t>
  </si>
  <si>
    <t>BAT 1 envoyé le 11-03
BAT 2 envoyé le 12-03</t>
  </si>
  <si>
    <t>Novi - Cesson Sevigne</t>
  </si>
  <si>
    <t>Refonte après demande mairie - V1 le 30/10 - En mairie côté Novi</t>
  </si>
  <si>
    <t>Nouveau BAT suite refus mairie le 04/02 à Marie-Odile - V2 le 04/02</t>
  </si>
  <si>
    <t>SQ Biganos Auchan interieur</t>
  </si>
  <si>
    <t>Attente de brief
BAT 1 envoyé le 5-03
BAT 2 envoyé le 11-03</t>
  </si>
  <si>
    <t>Kreature - Décathlon Albertville</t>
  </si>
  <si>
    <t>V1 envoyé le 03/03</t>
  </si>
  <si>
    <t>Temporis - Saint Dizier</t>
  </si>
  <si>
    <t>V1 le 12/02</t>
  </si>
  <si>
    <t>Elitys</t>
  </si>
  <si>
    <t>V1 le 03/03 - V2 le 05/03 - Modif à faire - V3 le 10/03</t>
  </si>
  <si>
    <t>Temporis - Bussy St Georges</t>
  </si>
  <si>
    <t>V1 le 27/02</t>
  </si>
  <si>
    <t>Attestation développement</t>
  </si>
  <si>
    <t>Luck / Frank / Lucie - Fiche pole emploi à compléter</t>
  </si>
  <si>
    <t>Société tregor</t>
  </si>
  <si>
    <t>BAT envoyé à Antoine le 11-03 + attente info largeur huisserie
BAT 2 envoyé le 12-03
BAT 3 envoyé le 12-03</t>
  </si>
  <si>
    <t>Point S Tulle</t>
  </si>
  <si>
    <t>BAT 1 envoyé le 7-03
Relance le 11-03</t>
  </si>
  <si>
    <t>BEA Conseils</t>
  </si>
  <si>
    <t>V1 envoyé le 10/03 - FAB A FAIRE</t>
  </si>
  <si>
    <t>NECH</t>
  </si>
  <si>
    <t>V1 envoyé le 10/03 - V2 le 10/03 - FAB A FAIRE</t>
  </si>
  <si>
    <t>SQ Toulenne Horloge Exterieur</t>
  </si>
  <si>
    <t>BAT 1 envoyé le 30-08
BAT VT envoyé le 30-08
BAT mairie fait le 6-09</t>
  </si>
  <si>
    <t>SQ Vignieux</t>
  </si>
  <si>
    <t>BAT 1 envoyé le 6-03</t>
  </si>
  <si>
    <t>V1 envoyé le 04/03 - V2 le 05/03 - V3 le 05/03 - FAB A FAIRE</t>
  </si>
  <si>
    <t>Temporis - Ex &amp; Cadres</t>
  </si>
  <si>
    <t>Euronet FRMD2166</t>
  </si>
  <si>
    <t>BAT VT fait le 12-02
BAT 1 envoyé le 6-03</t>
  </si>
  <si>
    <t>Euronet FRMD2204</t>
  </si>
  <si>
    <t>Point S Lempdes</t>
  </si>
  <si>
    <t>BAT 1 envoyé le 5-03
BAT validé par la franchise - envoi au franchisé le 5-03 
BAT 2 envoyé le 6-03</t>
  </si>
  <si>
    <t>Temporis - St Jean d'Illac</t>
  </si>
  <si>
    <t>BAT V1 le 05/03 - FAB A FAIRE</t>
  </si>
  <si>
    <t>Eurone FRMD2209</t>
  </si>
  <si>
    <t>Demande de fichiers tarif menu faite le 25-02
Relance le 26-02
Relance le 3-03 &gt; tel 06 et 04
appelé le 3-03 le franchisé pour le tenir au courant
BAT 1 envoyé le 3-03
BAT 2 envoyé le 5-03</t>
  </si>
  <si>
    <t>BAT fait le 6-03</t>
  </si>
  <si>
    <t>SQ Audenge Bordeaux interieur</t>
  </si>
  <si>
    <t>Attente de brief
BAT 1 envoyé le 5-03</t>
  </si>
  <si>
    <t>SQ Clichy interieur</t>
  </si>
  <si>
    <t>Attente de brief
Relance le 10-09
Relance le 17-09
Relance le 2-10
Relance le 22-10
Relance le 5-11
Projet en attente de validation
Relance le 21-11
Relance le 4-12
Relance le 6-02
BAT 1 envoyé le 5-03</t>
  </si>
  <si>
    <t>Orange Business Services SA</t>
  </si>
  <si>
    <t>V1 le 05/03 - FAB A FAIRE</t>
  </si>
  <si>
    <t>BAT 1 envoyé le 19-02
Relance le 25-02
BAT renvoyé à victor.goudot@ingecal.fr
BAT renvoyé le 5-03</t>
  </si>
  <si>
    <t>SQ Bayonne Foch interieur</t>
  </si>
  <si>
    <t>BAT 1 envoyé le 26-02
BAT 2 envoyé le 3-03</t>
  </si>
  <si>
    <t>Camif - St Gilles Croix de Vie</t>
  </si>
  <si>
    <t>Attente validation devis + ok de Louise pour les FABS (attente du local - Ok de la mairie)</t>
  </si>
  <si>
    <t>Camif - St Avertin</t>
  </si>
  <si>
    <t>Nouvelle commande totem + autre enseigne + mairie - V1 le 28/11 au franchiseur - V2 le 02/12 - Modif BAT Mairie faite le 19/12</t>
  </si>
  <si>
    <t xml:space="preserve">Centre services Paris 13 </t>
  </si>
  <si>
    <t>HYDRO BUILDING SYSTEMS (Technal) - Enseignes Dinard</t>
  </si>
  <si>
    <r>
      <rPr>
        <rFont val="Comfortaa"/>
        <b/>
        <color theme="1"/>
      </rPr>
      <t>13/02</t>
    </r>
    <r>
      <rPr>
        <rFont val="Comfortaa"/>
        <color theme="1"/>
      </rPr>
      <t xml:space="preserve"> BAT validé 
</t>
    </r>
    <r>
      <rPr>
        <rFont val="Comfortaa"/>
        <b/>
        <color theme="1"/>
      </rPr>
      <t>Fabrication à faire</t>
    </r>
  </si>
  <si>
    <t>Centre services - Chatou</t>
  </si>
  <si>
    <t>Centre Services - La teste - Intérieur</t>
  </si>
  <si>
    <t>RIA FR16001</t>
  </si>
  <si>
    <t>BAT 1 envoyé le 16-01
BAT 2 envoyé le 22-01
Relance le 28-01
Relance le 31-01
Relance le 6-02
BAT validé - attente VT et validation devis</t>
  </si>
  <si>
    <t>Baguette et Gourmandise</t>
  </si>
  <si>
    <t>BAT fait le 3-03</t>
  </si>
  <si>
    <t>Cototex</t>
  </si>
  <si>
    <t xml:space="preserve">Fabrication </t>
  </si>
  <si>
    <t>[ONET LOGISTIQUE ET PRODUCTION] Signalétique Bosch - Graphisme BAT</t>
  </si>
  <si>
    <t xml:space="preserve">BAT envoyé le 1 </t>
  </si>
  <si>
    <t>Point S Chambery</t>
  </si>
  <si>
    <t>BAT 1 envoyé le 27-02
validé par la franchise- envoyé au franchisé le 28-02</t>
  </si>
  <si>
    <t>RIA FR3172</t>
  </si>
  <si>
    <t>BAT 1 envoyé le 3-10
Relance le 11-10
Relance le 5-11
BAT 2 envoyé le 29-01
Relance le 28-01
Relance le 31-01
BAT 3 envoyé le 4-02
Relance le 6-02
BAT validé - attente VT et validation devis</t>
  </si>
  <si>
    <t>Novi - Marseille Prado</t>
  </si>
  <si>
    <t>BAT VT envoyé le 05/07
BAT envoyé le 09/10 - 16/10 - 30/10
Refab en cours</t>
  </si>
  <si>
    <t>[EDRA S.A] 71_MACON_CARROSSERIE DARNAND commande annulée remplacée par CO2410-2843 - Préparation fichiers</t>
  </si>
  <si>
    <t>En attente de validation de devis</t>
  </si>
  <si>
    <t>[EDRA S.A] 38_BOURGOIN JALLIEU_BELLET AUTOMOBILES - Préparation fichiers</t>
  </si>
  <si>
    <t>BAT V1 envoyé le 27/02 - V2 le 27/02</t>
  </si>
  <si>
    <t>RIA BE3565</t>
  </si>
  <si>
    <t>BAT 1 envoyé le 4-09
Relance le 10-09
Relance le 19-09
BAT 2 envoyé le 3-10
BAT 3 envoyé le 4-10
Relance le 11-10
Relance le 5-11
Relance le 28-01
Relance le 31-01
Relance le 6-02</t>
  </si>
  <si>
    <t>Destia</t>
  </si>
  <si>
    <t>Nouvelle franchise - V1 envoyé le 27/02</t>
  </si>
  <si>
    <t>Point S Pierre Feu</t>
  </si>
  <si>
    <t>BAT VT fait le 4-02
VT fausse - nouvel VT en cours
BAT 1 envoyé le 24-02 à la franchise
BAT 2 envoyé le 25-02
Franchise validé - envoi au franchisé le 26-02</t>
  </si>
  <si>
    <t>BAT V1 envoyé le 24/02 - V2 le 26/02 - FAB A FAIRE</t>
  </si>
  <si>
    <t>Centre Service Le Perreux Sur Marne</t>
  </si>
  <si>
    <t xml:space="preserve">FAB prête, sujet du drapeau à boucler </t>
  </si>
  <si>
    <t>SQ Boulazac Alsacien exterieur</t>
  </si>
  <si>
    <t>BAT 1 envoyé le 4-11
BAT VT fait le 5-11
Relance le 5-11
BAT 2 envoyé le 8-11
BAT mairie fait le 12-11</t>
  </si>
  <si>
    <t>ATC - LIMMON</t>
  </si>
  <si>
    <t>FAB envoyée 26/02</t>
  </si>
  <si>
    <t>Pharmacie du viviers du lac</t>
  </si>
  <si>
    <t>BAT 1 envoyé le 25-02</t>
  </si>
  <si>
    <t>RIA FR16097</t>
  </si>
  <si>
    <t>BAT 1 envoyé le 9-01
BAT 2 envoyé le 29-01
Relance le 28-01
Relance le 31-01
BAT validé - attente validation devis et VT</t>
  </si>
  <si>
    <t>FAB prête, sujet de la sous traitance des plaques à suivre 
FAB le 21/02</t>
  </si>
  <si>
    <t>FAB prête, il manque les adhésifs à valider, sujet de la sous traitance des plaques à suivre 
FAB Le 21/02</t>
  </si>
  <si>
    <t>GUY HOQUET Ezy sur eure</t>
  </si>
  <si>
    <t>RAS 
FAB le 21/02</t>
  </si>
  <si>
    <t xml:space="preserve">GH Le perreux </t>
  </si>
  <si>
    <t>Reprise dossier Hugo
FAB lancé par Hugo le 4/02</t>
  </si>
  <si>
    <t xml:space="preserve">GH Nation </t>
  </si>
  <si>
    <t>Ciné digital</t>
  </si>
  <si>
    <t xml:space="preserve">Fab lettre "E" </t>
  </si>
  <si>
    <t>APOGEA - marquage véhicule</t>
  </si>
  <si>
    <t>17/02 demande de photos + carte grise à la cliente 
18/02 relance part mail
20/02 BAT V2 envoyé</t>
  </si>
  <si>
    <t>Gestion santé medipole</t>
  </si>
  <si>
    <t xml:space="preserve">BAT v1 envoyé le 17/01
BAT v2 envoyé le 27/01
FAB lancée le 31/001
Commande ST pour le mur le 3/02
Commande passée pour enseigne le 4/02
Reçu le 24/02
</t>
  </si>
  <si>
    <t>Novi - schweighouse</t>
  </si>
  <si>
    <t>BAT v1 envoyé le 12/09
Retour le 16/09
BAT v2 envoyé le 17/09
retour le 17/09
BAT v3 envoyé le 17/09
Retour le 19/09 (attente du mail de la franchisée pour envoie) mais tout est prêt
BAT v4 envoyé MO et franchisé 19/09
retour le 23/09
Bat V5 le 23/09
BAT en deux versions à envoyé à la franchisé
Franchisée OK MO OK &gt; attente devis
BAT marie 6/11</t>
  </si>
  <si>
    <t>Morlaix médical</t>
  </si>
  <si>
    <t>VT faite le 28/01
BAT v1 le 30/01
Premier retour par mail le 31/01 &gt; 
Validation dernier BAT le 25/02
FAB le 25/02</t>
  </si>
  <si>
    <t xml:space="preserve">Audio vision - REFAB caisson </t>
  </si>
  <si>
    <t>Refab caisson le 24/01</t>
  </si>
  <si>
    <t xml:space="preserve">GH Guignes </t>
  </si>
  <si>
    <t>BAT 20/02
Gestion mairie par le client 
FAB le 21/02 
ST le 21/02</t>
  </si>
  <si>
    <t>Optic Duroc Dijon</t>
  </si>
  <si>
    <t>BAT VT le 7/02
BAT V1 envoyé le 10/02
BAT V2 11/02
BAT V3 18/02
FAB le 19/02</t>
  </si>
  <si>
    <t xml:space="preserve">GH Miribel </t>
  </si>
  <si>
    <t>BAT V1 envoyé le 24/02
Commande COmmande passée sur Wow print le 24/02 &gt; livraison prévu en neutre le 5/03</t>
  </si>
  <si>
    <t xml:space="preserve">City locker - REFAB </t>
  </si>
  <si>
    <t xml:space="preserve">Commande wow print passé le 24/01
Expédition estimé le jeudi 30 janvier </t>
  </si>
  <si>
    <t>RIA FR14625</t>
  </si>
  <si>
    <t>BAT 1 envoyé le 25-06
BAT 2 envoyé le 25-06
Relance le 27-06
Relance le 31-07
Relance le 10-09
Relance le 19-09
Relance le 11-10
Relance le 5-11
BAT validé - attente VT et validation devis</t>
  </si>
  <si>
    <t>P</t>
  </si>
  <si>
    <t>CetteFamille - Enseigne exterieure</t>
  </si>
  <si>
    <t>BAT V1 15/01/25 - Validé 15/01/25
Fichiers envoyé en FAB</t>
  </si>
  <si>
    <t>TOPADEV - Barber Gold - Mr Enseignes</t>
  </si>
  <si>
    <t>BAT V1 22/01/25
Fichiers envoyé en FAB 23/01</t>
  </si>
  <si>
    <t>Almas - Projet Enseigne</t>
  </si>
  <si>
    <t>BAT V1 20/01/25
BAT V2 21/01/25 
BAT V3 27/01/25 
Fichiers envoyé en FAB 29/01</t>
  </si>
  <si>
    <t>SUSHI MAN - CORNER</t>
  </si>
  <si>
    <t>BAT V1 03/02/2025
Fichiers envoyé en FAB 10/02</t>
  </si>
  <si>
    <t>LA FRANCAISE DES FACADES</t>
  </si>
  <si>
    <t>BAT V1 03/02/2024
Fichiers envoyé en FAB 04/02</t>
  </si>
  <si>
    <t>CYPATH</t>
  </si>
  <si>
    <t>BAT envoyé 13/02
Fichiers envoyés en FAB 17/02/2025</t>
  </si>
  <si>
    <t>ROAD SURFER</t>
  </si>
  <si>
    <t>BAT envoyé 11/02
Fichiers envoyé en FAB 11/02</t>
  </si>
  <si>
    <t>NETSF</t>
  </si>
  <si>
    <t>BAT envoyé 18/02
BAT envoyé 19/02
Fichiers envoyé en FAB 19/02</t>
  </si>
  <si>
    <t>FUCHSIA</t>
  </si>
  <si>
    <t>Attente RAL client
BAT envoyé 19/02
Fichiers envoyé en FAB 19/02</t>
  </si>
  <si>
    <t>gravure saint miichel</t>
  </si>
  <si>
    <t>FAB 18/02</t>
  </si>
  <si>
    <t xml:space="preserve">MSP </t>
  </si>
  <si>
    <t>BAT envoyé 13//02
en FAB 17/02</t>
  </si>
  <si>
    <t>EASY CHARGE NEVERS</t>
  </si>
  <si>
    <t>BAT envoyé 13//02
FAB 17/02</t>
  </si>
  <si>
    <t>EASY CHARGES TROUVILLE</t>
  </si>
  <si>
    <t>BAT envoyé 13//02
BAT V2 13/02
FAB 14/02</t>
  </si>
  <si>
    <t>paragon mobility</t>
  </si>
  <si>
    <t>BAT envoyé 04/02
BAT V2 06/02
Appel 11/02 :  modification la cliente attends un fichier
BAT V3 : 12/02
BAT V4  modif slogan 17/02
FAB 19/02</t>
  </si>
  <si>
    <t>Pizza la la</t>
  </si>
  <si>
    <t>BAT envoyé 24/01
attente fichier
V2 - 19/02
V3 - 19/02
FAB 19//02</t>
  </si>
  <si>
    <t>BAT 1 envoyé le 24-02</t>
  </si>
  <si>
    <t>MR ENSEIGNES - STICKVIEW - SLAY CLUB</t>
  </si>
  <si>
    <t>RIA FR8235</t>
  </si>
  <si>
    <t>BAT 1 envoyé le 8-02
BAT 2 envoyé le 8-02
Relance faite le 13-02
Relance le 21-02
Relance le 25-03
Relance le 11-04
Relance le 19-04
Relance le 15-05
Relance le 21-05
Relance le 30-05
Relance le  27-06
Relance le 31-07
Relance le 10-09
Relance le 19-09
Relance le 11-10
Relance le 5-11
BAT 3 envoyé le 9-01
BAT et devis validé -attente VT</t>
  </si>
  <si>
    <t>RIA FR14432</t>
  </si>
  <si>
    <t>BAT 1 envoyé le 4-10
BAT 2 envoyé le 8-10
Relance le 11-10
Relance le 5-11
Relance le 28-01
Relance le 31-01
BAT et devis validé - attente VT
BAT 3 envoyé le 5-02</t>
  </si>
  <si>
    <t>Panneau l'entr'chats</t>
  </si>
  <si>
    <t>BATv2 13/01 - fermé jusqu'au 7/02
FAB 10/02
18/02 RDV explication WP</t>
  </si>
  <si>
    <t>Point S Crolles</t>
  </si>
  <si>
    <t>BAT VT envoyé le 2-12
BAT 1 envoyé le 13-12
Relance le 16-12
BAT 2 envoyé le 19-12
BAT 3 envoyé le 24-12
BAT 4 envoyé le 9-01
La franchise à validé - envoie au franchisé le 9-01
BAT mairie fait le 16-01</t>
  </si>
  <si>
    <t>UPS PARIS - panneaux</t>
  </si>
  <si>
    <t>logo inexploitable, on doit le redessiner</t>
  </si>
  <si>
    <t>RIA FR6096</t>
  </si>
  <si>
    <t>BAT 1 envoyé le 15-05
Relance le 21-05
BAT 2 envoyé le 23-05
Relance le 30-05
Relance le 27-06
Relance le 31-07
Relance le 10-09
Relance le 19-09
Relance le 11-10
Relance le 5-11
BAT et devis validé - attente VT</t>
  </si>
  <si>
    <t>Plaquette RIA</t>
  </si>
  <si>
    <t>Plaquette envoyé le 14-02
plaquette 2 envoyé le 19-02</t>
  </si>
  <si>
    <t>Euronet FRMD2201</t>
  </si>
  <si>
    <t>BAT fait le 18-02</t>
  </si>
  <si>
    <t>RIA FR11728</t>
  </si>
  <si>
    <t>BAT 1 envoyé le 9-01
BAT et devis validé - attente VT</t>
  </si>
  <si>
    <t>LES ENSEIGNISTES - RS chantiers de la semaine</t>
  </si>
  <si>
    <t>Point S Istres</t>
  </si>
  <si>
    <t>BAT 1 envoyé le 11-02
BAT VT fait le 11-02
BAT 2 envoyé le 12-02
BAT 3 envoyé le 18-02
Validé par la franchise, envoyé au franchisé le 18-02</t>
  </si>
  <si>
    <t>Euronet FRMD2203</t>
  </si>
  <si>
    <t>RIA FR500</t>
  </si>
  <si>
    <t>BAT 1 envoyé le 14-01
BAT 2 envoyé le 22-01
BAT 3 envoyé le 24-01
BAT et devis validé - attente VT</t>
  </si>
  <si>
    <t>GDS - Tassin</t>
  </si>
  <si>
    <t>V1 envoyé le 17/02</t>
  </si>
  <si>
    <t>Les Enseignistes - fiches produits</t>
  </si>
  <si>
    <t>Toutes les fiches sont créées, en attente de validation et de correction
Réunion de finalisation lun. 27/01
Réalisation des modifs
Adaptation pour Mr Enseignes</t>
  </si>
  <si>
    <t>Camif Habitat - Chantilly</t>
  </si>
  <si>
    <t>BAT VT + Prod adh provisoire + BAT Franchiseur le 23/01 - Modif BAT + Modification suite VT le 05/02 - V2 le 05/02 - V3 le 06/02 - V4 le 12/02 - V5 au franchiseur validé le 13/02 - Envoie au franchisé le 13/02</t>
  </si>
  <si>
    <t>RIA FR14781</t>
  </si>
  <si>
    <t>BAT 1 envoyé le 19-03
Relance le 25-03
Relance le 19-04
Relance le 15-05
Relance le 21-05
Relance le 30-05
Relance le  27-06
Relance le 31-07
Relance le 10-09
Relance le 11-10
Relance le 5-11
BAT et devis validé - attente  VT</t>
  </si>
  <si>
    <t>RIA FR14243</t>
  </si>
  <si>
    <t>BAT 1 envoyé le 14-01
BAT 2 envoyé le 29-01
BAT validé - attente VT et validation devis</t>
  </si>
  <si>
    <t>LES ENSEIGNISTES - exprérimentation process bloc led</t>
  </si>
  <si>
    <t>RIA FR15935</t>
  </si>
  <si>
    <t>BAT 1 envoyé le 14-01
BAT et devis validé - attente VT</t>
  </si>
  <si>
    <t>RIA FR10125</t>
  </si>
  <si>
    <t>BAT 1 envoyé le 2-09
Relance le 10-09
Relance le 19-09
Relance le 5-11
BAT 2 envoyé le 29-01
Relance le 28-01
Relance le 31-01
BAT et devis validé - attente VT</t>
  </si>
  <si>
    <t>LES ENSEIGNISTES - aimants adhésivés camions</t>
  </si>
  <si>
    <t>2e BAT envoyé 12/02</t>
  </si>
  <si>
    <t>Video Avant/Après</t>
  </si>
  <si>
    <t>Préparer vidéo pour post</t>
  </si>
  <si>
    <t>RIA FR8592</t>
  </si>
  <si>
    <t>BAT 1 envoyé le 16-01
Relance le 6-02</t>
  </si>
  <si>
    <t>Flying For You</t>
  </si>
  <si>
    <t>Verif fichiers FAb et correction BAT</t>
  </si>
  <si>
    <t>Euronet FRMD0313</t>
  </si>
  <si>
    <t>BAT 1 envoyé le 12-02</t>
  </si>
  <si>
    <t>Grand audition miribel refab</t>
  </si>
  <si>
    <t>Demande confirmation au client par tél le 04/02 - V1 le 04/02 + demande de récupération des caissons sur place - V2 le 06/02</t>
  </si>
  <si>
    <t>Mr Enseignes - Blanc Publicité - Le temps d'une coupe</t>
  </si>
  <si>
    <t>BAT envoyé 12/02</t>
  </si>
  <si>
    <t>RIA FR10777</t>
  </si>
  <si>
    <t>BAT 1 envoyé le 10-01
BAT 2 envoyé le 21-01
BAT et devis validé - attente VT</t>
  </si>
  <si>
    <t>Euronet FRMD2194</t>
  </si>
  <si>
    <t>BAT VT fait le 28-01
BAT 1 envoyé le 11-02</t>
  </si>
  <si>
    <t>EUROGRATE - maquette avant devis</t>
  </si>
  <si>
    <t>Euronet FRMD2185</t>
  </si>
  <si>
    <t>BAT 1 envoyé le 11-02
BAT modifié le 11-02</t>
  </si>
  <si>
    <t>Les Enseignistes</t>
  </si>
  <si>
    <t>Veille pour RS
trouver des idées de templates animés</t>
  </si>
  <si>
    <t>BAT 1 envoyé le 5-02
Relance le 6-02</t>
  </si>
  <si>
    <t>Martial Bodnar</t>
  </si>
  <si>
    <t>Maquette envoyée au commercial</t>
  </si>
  <si>
    <t>Adhésifs Atelier</t>
  </si>
  <si>
    <t>Envoyé</t>
  </si>
  <si>
    <t>RIA FR6349</t>
  </si>
  <si>
    <t>BAT 1 envoyé le 3-10
Relance le 11-10
Relance le 5-11
BAT 2 envoyé le 28-01
BAT validé - attente VT et validation devis</t>
  </si>
  <si>
    <t>RIA FR10620</t>
  </si>
  <si>
    <t>BAT 1 envoyé le 25-06
BAT 2 envoyé le 25-06
Relance le 27-06
Relance le 31-07
Relance le 10-09
Relance le 19-09
Relance le 11-10
Relance le 5-11
Relance le 28-01
Relance le 31-01
Relance le 6-02</t>
  </si>
  <si>
    <t>RIA BE2721</t>
  </si>
  <si>
    <t>BAT 1 envoyé le 30-09
BAT 2 envoyé le 3-10
Relance le 11-10
Relance le 5-11
Relance le 28-01
Relance le 31-01
Relance le 6-02</t>
  </si>
  <si>
    <t>Créations de templates animés pour RS</t>
  </si>
  <si>
    <t>Vidéos RS</t>
  </si>
  <si>
    <t>Faire une version boucle et une version plus longue</t>
  </si>
  <si>
    <t>Demande info au client par mail le 04/02 - V1 le 06/02</t>
  </si>
  <si>
    <t>Grand audition Charvieu</t>
  </si>
  <si>
    <t>BAT envoyé le 07/02
FAB à faire</t>
  </si>
  <si>
    <t>RIA BE3166</t>
  </si>
  <si>
    <t>BAT 1 envoyé le 4-09
Relance le 10-09
Relance le 19-09
Relance le 11-10
Relance le 5-11
Relance le 28-01
Relance le 31-01
Relance le 6-02</t>
  </si>
  <si>
    <t>RIA BE2206</t>
  </si>
  <si>
    <t>BAT 1 envoyé le 27-09
Relance le 11-10
Relance le 5-11
Relance le 28-01
Relance le 31-01
Relance le 6-02</t>
  </si>
  <si>
    <t>RIA FR10583</t>
  </si>
  <si>
    <t>BAT 1 envoyé le 19-11
Relance le 28-01
Relance le 31-01
Relance le 6-02</t>
  </si>
  <si>
    <t>RIA FR14597</t>
  </si>
  <si>
    <t>BAT 1 envoyé le 25-06
Relance le 27-06
Relance le 31-07
Relance le 10-09
Relance le 19-09
Relance le 11-10
Relance le 5-11
Relance le 28-01
Relance le 31-01
Relance le 6-02</t>
  </si>
  <si>
    <t>RIA FR13511</t>
  </si>
  <si>
    <t>BAT 1 envoyé le 15-05
Relance le 21-05
Relance le 30-05
Relance le 27-06
Relance le 31-07
BAT 2 envoyé le 31-07
Relance le 10-09
Relance le 19-09
Relance le 11-10
Relance le 5-11
Relance le 28-01
Relance le 31-01
Relance le 6-02</t>
  </si>
  <si>
    <t>Portalp</t>
  </si>
  <si>
    <t>BAT 1 envoyé le 6-02
BAT 2 envoyé le 7-02</t>
  </si>
  <si>
    <t>Aminata Konate</t>
  </si>
  <si>
    <t xml:space="preserve">Commande ST </t>
  </si>
  <si>
    <t>Fiche produts</t>
  </si>
  <si>
    <t>dernière modifs</t>
  </si>
  <si>
    <t xml:space="preserve">ELIDA PONZU </t>
  </si>
  <si>
    <t>BAT envoyé 05/02
FAB 05/02</t>
  </si>
  <si>
    <t>Audio 2000 Grasse</t>
  </si>
  <si>
    <t>BAT validé 05/02
FAB</t>
  </si>
  <si>
    <t>Video prestations</t>
  </si>
  <si>
    <t>Adapter aux RS</t>
  </si>
  <si>
    <t>PPS Point S</t>
  </si>
  <si>
    <t>BAT 1 envoyé le 5-02
BAT 2 envoyé le 5-02</t>
  </si>
  <si>
    <t>Euronet FRMD0321</t>
  </si>
  <si>
    <t>BAT 1 envoyé le 3-02
couleur adhésif éroné - demande à Mohamed le bon fichier le 4-02
BAT 2 envoyé le 4-02
BAT 3 envoyé le 5-02
BAT 4 envoyé le 5-02
Relance tel le 5-02</t>
  </si>
  <si>
    <t>LADY SUSHI VEHICULE</t>
  </si>
  <si>
    <t>BAT 1 envoyé le 27-01
Relance le 29-01
Relance franchise le 4-02 message sur repondeur + mail.
BAT validé par la franchise - envoie au franchisé le 4-02</t>
  </si>
  <si>
    <t>Temporis - Compiegne</t>
  </si>
  <si>
    <t>BAT V1 le 03/02</t>
  </si>
  <si>
    <t>Acadely (ASAF) CDHS REFAB</t>
  </si>
  <si>
    <t>SDC LES GRANDES BOSSES VT</t>
  </si>
  <si>
    <t>Temporis - Reims Generaliste - Enseignes</t>
  </si>
  <si>
    <t>BAT V1 envoyé le 23/07 - V2 le 31/07 - Relance le 19/08 - Relance le 17/09 - Relance le 07/10 - Relance le 10/10 - Attendre retour Temporis pour dossier mairie - Fin novembre</t>
  </si>
  <si>
    <t>Les Enseignistes - Plaquette grande distribution</t>
  </si>
  <si>
    <t>V1 le 20/06 - V2 le 09/10 - V3 le 16/10</t>
  </si>
  <si>
    <t>GDS - Aix en Provence</t>
  </si>
  <si>
    <t>BAT V1 envoyé à SA le 12/08 - BAT VT et adhésif provisoire le 12/08 - V2 / V3 le 13/08 - V4 le 14/08 - Validation franchiseur et envoi au franchisé - EN mairie depuis le 20/08 - Nouveaux BAT Mairie + BAT provisoire le 23/01 - Mail client = FAB A FAIRE</t>
  </si>
  <si>
    <t>Euronet DAB DNS200H</t>
  </si>
  <si>
    <t>BAT 1 envoyé le 3-02</t>
  </si>
  <si>
    <t>Sourires d'enfants</t>
  </si>
  <si>
    <t>BAT envoyé 28/01
Fab à faire
Fab envoyée 04/01</t>
  </si>
  <si>
    <t>Euronet FRMD2186</t>
  </si>
  <si>
    <t>Euronet FRMD2187</t>
  </si>
  <si>
    <t>Livret d'accueil</t>
  </si>
  <si>
    <t>Modifs</t>
  </si>
  <si>
    <t>Camille May</t>
  </si>
  <si>
    <t>BAT envoyé</t>
  </si>
  <si>
    <t>Sourire d'enfant</t>
  </si>
  <si>
    <t>Modif site internet</t>
  </si>
  <si>
    <t>Novi - Castelnau le Lez</t>
  </si>
  <si>
    <t>Euronet FRMD2190</t>
  </si>
  <si>
    <t>BAT fait le 3-02</t>
  </si>
  <si>
    <t>Euronet FRMD2191</t>
  </si>
  <si>
    <t>Euronet FRMD2192</t>
  </si>
  <si>
    <t>Lidl Beynost</t>
  </si>
  <si>
    <t>BAT envoyé 30/01
FAB envoyée</t>
  </si>
  <si>
    <t>Weenav - Adhésif</t>
  </si>
  <si>
    <t>BAT V1 20/01/25
BAT V2 22/01/25 - Validé 22/01/25
Fichiers envoyé en FAB
BAT V3 23/01/25 - Validé 23/01/25
Fichiers envoyé en FAB</t>
  </si>
  <si>
    <t>Easy nails</t>
  </si>
  <si>
    <t>BAT envoyé 31/01</t>
  </si>
  <si>
    <t>DOUM - Lyon 5</t>
  </si>
  <si>
    <t>Flying for you</t>
  </si>
  <si>
    <t>FAB</t>
  </si>
  <si>
    <t>RSE</t>
  </si>
  <si>
    <t>Commander les tasses</t>
  </si>
  <si>
    <t xml:space="preserve">[INGECAL] Adhésifs découpés affaire IAF-04429-948 - Graphisme BAT
</t>
  </si>
  <si>
    <t>[DMP36] Marquage véhicule - Graphisme BAT</t>
  </si>
  <si>
    <t>Appartements et villas location</t>
  </si>
  <si>
    <t>BAT v2 envoyé 29/01</t>
  </si>
  <si>
    <t>RIA FR9237</t>
  </si>
  <si>
    <t>BAT 1 envoyé le 3-10
Relance le 11-10
Relance le 5-11
BAT et devis validé - attente VT</t>
  </si>
  <si>
    <t>Lady sushi vitrine</t>
  </si>
  <si>
    <t>BAT 1 envoyé le 28-01
Franchise validé le 28-01
BAT 2 envoyé le 29-01</t>
  </si>
  <si>
    <t>Demande à celia une photo complete le 15-01
BAT VT fait le 23-01
BAT 1 envoyé le 24-01
BAT 2 envoyé le 29-01
Franchise validé le 29-01 - envoi franchisé le 29-01</t>
  </si>
  <si>
    <t>Modern Dent</t>
  </si>
  <si>
    <t>Mug les enseignistes</t>
  </si>
  <si>
    <t>commande passé le 28-01</t>
  </si>
  <si>
    <t>MEYZIEUDIS E.LECLERC - REFAB ADHESIF MURAL</t>
  </si>
  <si>
    <t>TEST couleur + FAB le 24/01</t>
  </si>
  <si>
    <t xml:space="preserve">Fab Cine sign Pont cheruy </t>
  </si>
  <si>
    <t>fab faite le 27/01</t>
  </si>
  <si>
    <t>HUMAN ACADEMY EUROPE</t>
  </si>
  <si>
    <t>BAT Mairie</t>
  </si>
  <si>
    <t>[MR ENSEIGNES] MY BIG BANG - MODIFICATION ENSEIGNE - Refabrication - Prépa fichier</t>
  </si>
  <si>
    <t>En fabrication</t>
  </si>
  <si>
    <t>ESPACE GOLD CHANGE</t>
  </si>
  <si>
    <t>BAT envoyé le  23/12 - 30/12 - 03/01 - 08/01 - 09/01 - 13/01 - 20/01
FAB Partie 1 envoyé le 15/01 
FAB Partie 2 envoyé le 23/01</t>
  </si>
  <si>
    <t>GBD</t>
  </si>
  <si>
    <t>EN FAB</t>
  </si>
  <si>
    <t>harmonie optique (20 cartes)</t>
  </si>
  <si>
    <t>commande passé le 25/01 print,com</t>
  </si>
  <si>
    <t xml:space="preserve">Luxe optique </t>
  </si>
  <si>
    <t>BAT envoyé le 25/01
FAB lancé le 27/01</t>
  </si>
  <si>
    <t>Gym eleven</t>
  </si>
  <si>
    <t>BAT VT envoyé le 16/01
BAT v1 envoyé le 20/1
FAB lancé le 24/01</t>
  </si>
  <si>
    <t>Euronet adhesif secu</t>
  </si>
  <si>
    <t>BAT 1 envoyé le 23-01
BAT 2 envoyé le 24-01</t>
  </si>
  <si>
    <t>Les Trotters Anjou-Picards</t>
  </si>
  <si>
    <t>Transalp</t>
  </si>
  <si>
    <t>Temporis Epernay</t>
  </si>
  <si>
    <t>Déco interne - carte de france</t>
  </si>
  <si>
    <t>Proposition de principe validé</t>
  </si>
  <si>
    <t>Bouygues Bâtiment</t>
  </si>
  <si>
    <t>BAT refusé car faute d'orthographe</t>
  </si>
  <si>
    <t>SDC LES GRANDE BOSSES VT</t>
  </si>
  <si>
    <t>VT envoyée 25/01</t>
  </si>
  <si>
    <t>Viva service Lyon 6</t>
  </si>
  <si>
    <t>BAT 1 envoyé le 23-01</t>
  </si>
  <si>
    <t>ARI grande audition miribel</t>
  </si>
  <si>
    <t>en fab</t>
  </si>
  <si>
    <t>MSP + adhésifs</t>
  </si>
  <si>
    <t>Grand audition Jonage</t>
  </si>
  <si>
    <t>Euronet FRMD2168</t>
  </si>
  <si>
    <t>BAT 1 envoyé le 22-01</t>
  </si>
  <si>
    <t>GL Solution</t>
  </si>
  <si>
    <t>BAT 1 envoyé le 15-01</t>
  </si>
  <si>
    <t>Euronet FRMD0314</t>
  </si>
  <si>
    <t>Loxam corbas</t>
  </si>
  <si>
    <t>Fab envoyée</t>
  </si>
  <si>
    <t>SQ Bry sur Marne exterieur</t>
  </si>
  <si>
    <t>BAT 1 envoyé le 21-10
Relance le 22-10
BAT 2 envoyé le 24-10
Relance le 5-11
Projet en attente de validation
PROJET VALIDE PAR LE CLIENT
BAT VT envoyé le 14-11
BAT 3 envoyé le 27-11
Relance le 4-12
BAT mairie fait le 12-12</t>
  </si>
  <si>
    <t>Mr Enseignes 2comm acm</t>
  </si>
  <si>
    <t>Slide Linkedin Agencement</t>
  </si>
  <si>
    <t>BAT V1 17/01/25
BAT V2 22/01/25 - Validé 22/01/25
Fichiers transmis à Juliette</t>
  </si>
  <si>
    <t>Panneau horaire Gouiran Beauté</t>
  </si>
  <si>
    <t>Famicare</t>
  </si>
  <si>
    <t>Bat v1 envoyé le /01
Pui re-projet et re BAT envoyé le 16/01
BAT final envoyé le 16/01 (3 BAT envoyé entres temps)
FAB envoyé le 17/01</t>
  </si>
  <si>
    <t xml:space="preserve">Da mé </t>
  </si>
  <si>
    <t>BAT le 20/01
FAB le 21/01</t>
  </si>
  <si>
    <t>Gainsbar</t>
  </si>
  <si>
    <t>BAT v5 envoyé le 9/01</t>
  </si>
  <si>
    <t>Point S Istre banque d'accueil urgent</t>
  </si>
  <si>
    <t>BAT 1 envoyé à la franchise le 17-01
franchise validé - envoie à la franchisé le 21-01</t>
  </si>
  <si>
    <t>Euronet FRMD2184</t>
  </si>
  <si>
    <t>BAT 1 envoyé le 21-01</t>
  </si>
  <si>
    <t>[ONET PROPRETE ET FACILITY SERVICES] Complément de commande DR Onet Chassieu - Graphisme BAT</t>
  </si>
  <si>
    <t>Mail Léa pour la fab ✅</t>
  </si>
  <si>
    <t>Camif - Saint Cergues</t>
  </si>
  <si>
    <t>BAT VT + BAT + Adhésif provisoire V1 le 11/12 - Retour à la franchise le 12 / Envoie des résultats de la VT aux franchiseur et à la franchise le 26/12 - Attente retour pour modification du BAT - V2 le 16/01</t>
  </si>
  <si>
    <t>Bikube - Lyon - Néon</t>
  </si>
  <si>
    <t>V1 envoyé le 19/12 - Relance le 02/01 - V2 le 07/01</t>
  </si>
  <si>
    <t>La pharmacie du centre habillage tricycle</t>
  </si>
  <si>
    <t>FAB envoyée + donner info livraison tricycle à l'atelier au client</t>
  </si>
  <si>
    <t>ON AIR BESANCON - habillage totem</t>
  </si>
  <si>
    <t>lancé en FAB</t>
  </si>
  <si>
    <t>SQ Nice</t>
  </si>
  <si>
    <t>BAT 1 envoyé le 13-01</t>
  </si>
  <si>
    <t>RIA FR11409</t>
  </si>
  <si>
    <t>BAT 1 envoyé le 19-11
BAT 2 envoyé le 4-12
BAT 3 envoyé le 11-12
BAT 4 envoyé le 12-12
BAT et devis validé - attente VT</t>
  </si>
  <si>
    <t>Modifs organigramme</t>
  </si>
  <si>
    <t>Manque photo Philipe</t>
  </si>
  <si>
    <t>Point S St Etienne</t>
  </si>
  <si>
    <t>BAT 1 envoyé àla franchise le 15-01
validé par la franchise, envoyé le 15-01 au franchisé</t>
  </si>
  <si>
    <t>DRANCY</t>
  </si>
  <si>
    <t>FAB envoyée</t>
  </si>
  <si>
    <t>Plaquette les enseignistes agencement</t>
  </si>
  <si>
    <t>Temporis - Ploermel - Enseignes</t>
  </si>
  <si>
    <t>V1 le 14 - V2 le 15 - FAB A FAIRE</t>
  </si>
  <si>
    <t>Boucherie Les 3 frontières</t>
  </si>
  <si>
    <t>-Terminé</t>
  </si>
  <si>
    <t>Menu repère</t>
  </si>
  <si>
    <t>Teltec</t>
  </si>
  <si>
    <t>BAT prêt, j'attend que la cliente me rappel pour savoir quelle couleur elle veux.
deuxieme echec d'appel le 25-01
Attente nouveau logo
Relance faite le 13-02
Relance le 14-03
Ne plus relancer : demande de Elysabeth
Elisabeth a relancé le 21-05
Relance le 27-06
Relance le 2-10
BAT 1 envoyé le 11-12
Relance le 13-12 &gt; à rappeler en janvier</t>
  </si>
  <si>
    <t>Novatrans</t>
  </si>
  <si>
    <t>Novi Marseille</t>
  </si>
  <si>
    <t>SQ Bry sur Marne - interieur</t>
  </si>
  <si>
    <t>Attente de brief
Relance le 21-11
Relance le 4-12
BAT 1 envoyé le 19-12
BAT 2 envoyé le 24-12</t>
  </si>
  <si>
    <t xml:space="preserve">Paire &amp; fils </t>
  </si>
  <si>
    <t>BAT VT envoyé le 2/12
BAT v1 préliminaire v1 envoyé et accepté le 2/12
commande passé le 9/01, attente de réception</t>
  </si>
  <si>
    <t>RIA FR13491</t>
  </si>
  <si>
    <t xml:space="preserve">BAT 1 fait le 13-12
BAT et devis validé - en attente de VT </t>
  </si>
  <si>
    <t>Audition duquesne</t>
  </si>
  <si>
    <t>FAB en plus kit horaire</t>
  </si>
  <si>
    <t>CO2410-2707_1 - Human Academy Europe - Enseigne panneau</t>
  </si>
  <si>
    <t>BAT VT envoyé le 09/10
BAT envoyé le 17/10</t>
  </si>
  <si>
    <t>EASY CHARGE - ADHESIVAGE BORNES</t>
  </si>
  <si>
    <t>il manque des documents</t>
  </si>
  <si>
    <t>ETEX France Building Performance - Panneaux velleda</t>
  </si>
  <si>
    <t>Devis à mettre à jour</t>
  </si>
  <si>
    <t>PEARSON FRANCE PARIS</t>
  </si>
  <si>
    <t>RENOW</t>
  </si>
  <si>
    <t>APROLIS</t>
  </si>
  <si>
    <t>INFOSIDE PLAQUETTE</t>
  </si>
  <si>
    <t>CALL 14/10
moodboard 16/10</t>
  </si>
  <si>
    <t>VIVA service Developpement lyon 6</t>
  </si>
  <si>
    <t>SQ Neuilly plaisance exterieur</t>
  </si>
  <si>
    <t>BAT VT fait le 19-11
BAT 1 envoyé le 19-11
BAT mairie fait le 26-11
BAT 2 envoyé le 10-01</t>
  </si>
  <si>
    <t>Temporis Aix en Provence</t>
  </si>
  <si>
    <t>V1 envoyé le 30/12 - V2 le 13/01</t>
  </si>
  <si>
    <t>SQ Soustons Canterre exterieur</t>
  </si>
  <si>
    <t>BAT VT fait le 9-10
BAT 1 envoyé le 9-10
BAT 2 envoyé le 21-10
Relance VT le 22-10
BAT 3 envoyé le 4-11
BAT validé - BAT mairie fait le 5-11</t>
  </si>
  <si>
    <t>RIA FR1759</t>
  </si>
  <si>
    <t>BAT 1 envoyé le 20-05
Relance le 21-05
BAT 2 envoyé le 23-05
Relance le 30-05
Relance le 27-06
Relance le 31-07
Relance le 10-09
Relance le 19-09
BAT validé - en attente de validation devis et VT</t>
  </si>
  <si>
    <t>SQ Massy exterieur</t>
  </si>
  <si>
    <t>FAIRE JUSTE LE 1ER BAT,
attendre le signale de Michael pour lancer la VT et le dossier mairie
BAT 1 envoyé le 29-05
Relance le 7-06
Relance le 25-06
Relance le 3-07
BAT 2 envoyé le 16-07
BAT VT envoyé le 16-07
BAT 3 envoyé le 29-07
BAT mairie fait le 30-07
BAT 4 envoyé le 27-08
Validé - BAT mairie fait le 27-08
Modif adhesif envoyé le 17-09
Adhésifs vitre déjà imprimé et posé
Refus mairie - BAT 5 envoyé le 15-10
nouveau BAT mairie le 17-10
BAT 5 envoyé le 25-11
BAT mairie renvoyé le 25-11
BAT mairie renvoyé le 10-12</t>
  </si>
  <si>
    <t>SQ Provins interieur</t>
  </si>
  <si>
    <t>Attente brief
Relance le 5-11
Relance le 21-11
Relance le 4-12
BAT 1 envoyé le 18-12
BAT 2 envoyé le 24-12</t>
  </si>
  <si>
    <t>Euronet FRMD2155</t>
  </si>
  <si>
    <t>BAT VT fait le 30-09
BAT 1 envoyé le 9-1</t>
  </si>
  <si>
    <t>Triange interim</t>
  </si>
  <si>
    <t>Bat envoyé le 9/12
Fab le 12/12</t>
  </si>
  <si>
    <t>Aprolis</t>
  </si>
  <si>
    <t>BAT envoyé le 6/01
Fab faites le 6/01</t>
  </si>
  <si>
    <t>Artisans de france</t>
  </si>
  <si>
    <t>BAT v1 envoyé le 11/12
Fab faites le 12/12</t>
  </si>
  <si>
    <t>Martino</t>
  </si>
  <si>
    <t>BAT v1 validé le 17/12
FAB + ST faites le 18/12</t>
  </si>
  <si>
    <t xml:space="preserve">City locker montaparansse </t>
  </si>
  <si>
    <t>BAt envoyé le 18/12
Fab faite le 19/12</t>
  </si>
  <si>
    <t>&amp;&amp;&amp;&amp;&amp;&amp;&amp;&amp;&amp;&amp;</t>
  </si>
  <si>
    <t>Novi - Pertuis</t>
  </si>
  <si>
    <t>Dossier Urgent - BAT VT le 05/07 - BAT V1 envoyé le 31/07 - V2 le 26/08 - BAT Mairie le 04/09</t>
  </si>
  <si>
    <t>Enseigne drapeau 2Comm</t>
  </si>
  <si>
    <t>Plaquette les enseignistes amenagement</t>
  </si>
  <si>
    <t>Hyliko - marquage véhicule</t>
  </si>
  <si>
    <t>BAT V1 envoyé le 07/01</t>
  </si>
  <si>
    <t>La maison encrée</t>
  </si>
  <si>
    <t>V1 envoyé le 30/12</t>
  </si>
  <si>
    <t>Tartine et Chocolat</t>
  </si>
  <si>
    <t>V1 envoyée le 26/12 - Relance le 02/01</t>
  </si>
  <si>
    <t>Leclerc - Habillage</t>
  </si>
  <si>
    <t>V3 envoyé le 30/12</t>
  </si>
  <si>
    <t>KintsukI</t>
  </si>
  <si>
    <t>V1 envoyé le 27/11 - V2 le 27/11</t>
  </si>
  <si>
    <t>Temporis - Gujan Mestras</t>
  </si>
  <si>
    <t>CLD (Doum) - Lyon 5</t>
  </si>
  <si>
    <t>BAT + BAT VT le 18/11 - Nouveau BAT le 03/12 - V3 le 03/12 - V4 le 16/12</t>
  </si>
  <si>
    <t>Temporis Aigrefeuille</t>
  </si>
  <si>
    <t>V1 Envoyé le 16/12 - V2 le 19/12 - FAB A FAIRE</t>
  </si>
  <si>
    <t>BAT 1 envoyé le 12-12
BAT 2 envoyé le 13-12
Relance le 16-12
BAT 3 envoyé le 16-12
Appelé le 17-12 &gt; modifications du devis
Appelé le 18-12, cliente absente 
BAT 4 envoyé le 18-12
BAT 5 envoyé le 18-12
BAT 6 envoyé le 19-12</t>
  </si>
  <si>
    <t>EPIONE</t>
  </si>
  <si>
    <t>[HOTEL EIFFEL CAPITOL] Changement enseigne drapeau</t>
  </si>
  <si>
    <t>16/07 Prise d'info cliente
22/07 envoi BAT
12/08 Relance mail
19/09 Relance mail
07/10 Relance mail : elle attend la validation du proprio
13/10 relance &gt; elle a bien envoyé le dossier mairie, retour courant décembre</t>
  </si>
  <si>
    <t>RIA BE2618</t>
  </si>
  <si>
    <t>BAT 1 envoyé le 29-08
Relance le 10-09
Relance le 19-09
BAT 2 envoyé le 2-10
Relance le 11-10
BAT 3 envoyé le 14-11
BAT 4 envoyé le 14-11
BAT 5 envoyé le 2-12
BAT et devis validé - attente VT</t>
  </si>
  <si>
    <t>Affinessence</t>
  </si>
  <si>
    <t>V1 le 18/12</t>
  </si>
  <si>
    <t>RIA BE2540</t>
  </si>
  <si>
    <t>BAT 1 envoyé le 25-06
BAT 2 envoyé le 26-06
Relance le 27-06
BAT 3 envoyé le 3-07
BAT et devis validé -en attente de VT</t>
  </si>
  <si>
    <t>SQ Toulouse Montaudran interieur</t>
  </si>
  <si>
    <t>Attente brief
Relance le 15-05
Relance le 30-05
Relance le 7-06
Relance le 27-06
Relance le 3-07
Relance le 10-09
Relance le 17-09
Relance le 2-10
Relance le 22-10
Relance le 5-11
Relance le 21-11
Relance le 4-12
BAT 1 envoyé le 17-12</t>
  </si>
  <si>
    <t>Temporis Arcachon</t>
  </si>
  <si>
    <t>V1 envoyé le 16/12</t>
  </si>
  <si>
    <t>SQ St Orens Exterieur</t>
  </si>
  <si>
    <t>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Relance le 4-12
BAT 4 envoyé le 16-12</t>
  </si>
  <si>
    <t>Le café Sympa</t>
  </si>
  <si>
    <t>BAT 1 envoyé le 5-03
BAT VT envoyé le 5-03
BAT 2 envoyé le 8-03
dossier déposé en mairie par la cliente
Elisabeth a relancé le 21-05
Relancer le client au retour de congé
Relance le 6-11
BAT renvoyé le 10-12
Relance le 16-12
BAT 3 envoyé le 16-12</t>
  </si>
  <si>
    <t>LIDL</t>
  </si>
  <si>
    <t>V1 envoyé le 17/12</t>
  </si>
  <si>
    <t>Temporis - Chasseneuil</t>
  </si>
  <si>
    <t>V1 envoyé le 12/12 - V2 le 13/12 - FAB A FAIRE</t>
  </si>
  <si>
    <t>O2411-2964 - ONET PROPRETE ET FACILITY SERVICES - Changement signalétique DR Chassieu</t>
  </si>
  <si>
    <t>14/11 : BAT VT
25/11 demande de VT</t>
  </si>
  <si>
    <t xml:space="preserve">[EDRA S.A] 30_LES ANGLES_PROVOCAR - AUTO STYLE DESIGN </t>
  </si>
  <si>
    <t>MMB</t>
  </si>
  <si>
    <t>FAB (partie enseignes seulement)
Attente pour les adhésifs</t>
  </si>
  <si>
    <t>La Peyre adhésifs</t>
  </si>
  <si>
    <t>BAT VT fait le 5-12
BAT 1 envoyé le 13-12
Relance le 16-12</t>
  </si>
  <si>
    <t>Novi - Itteville</t>
  </si>
  <si>
    <t>Refab suite erreur de pose</t>
  </si>
  <si>
    <t>Brenntag - Amiens</t>
  </si>
  <si>
    <t xml:space="preserve">V1 le 16/12 - Pas de BAT Client </t>
  </si>
  <si>
    <t>RIA FR61215</t>
  </si>
  <si>
    <t>BAT 1 envoyé le 18-11
BAT et devis validé - attente VT</t>
  </si>
  <si>
    <t xml:space="preserve">Sculte my body </t>
  </si>
  <si>
    <t>BAT et FAB le 16/12</t>
  </si>
  <si>
    <t>Novi - Oberhoffen sur Moder</t>
  </si>
  <si>
    <t>BAT VT envoyé le 11/07
BAT V1 envoyé le 18/09
FAB lancé le 10/12</t>
  </si>
  <si>
    <t xml:space="preserve">PWP - Quatre </t>
  </si>
  <si>
    <t>PWP - La maison du Parc</t>
  </si>
  <si>
    <t>BAT 1 fait le 16-12</t>
  </si>
  <si>
    <t>Viva services developpement</t>
  </si>
  <si>
    <t>BAT VT fait le 5-12
BAT 1 envoyé le 9-12
BAT 2 envoyé le 11-12
BAT 3 envoyé le 12-12
BAT 4 envoyé le 13-12</t>
  </si>
  <si>
    <t>CO2412-3133 - NORMES &amp; CONCEPT - C&amp;A Strasbourg</t>
  </si>
  <si>
    <t xml:space="preserve">EDRA S.A - 31_COLOMIERS_CARROSSERIE PASA </t>
  </si>
  <si>
    <t>10/11 Envoi BAT</t>
  </si>
  <si>
    <t>Bibliotheque sainte barbe</t>
  </si>
  <si>
    <t>BAT 1 envoyé le 10-12
BAT 2 envoyé le 10-12</t>
  </si>
  <si>
    <t>Point S Villeurbanne</t>
  </si>
  <si>
    <t>BAT VT fait le 14-11
BAT 1 envoyé le 21-11
BAT 2 envoyé le 21-11
franchise validé le 21-11
Relance le 22-11
BAT 3 envoyé le 25-11
BAT 4 envoyé le 25-11
Franchise validé le 26-11
Relance le 27-11
BAT 5 envoyé le 6-12
BAT 6 envoyé le 10-12
Validé par Celia le 11-12 - envoyé à l'adhérent
Validé par l'adhérent le 11-12 - attente validation nouveau devis</t>
  </si>
  <si>
    <t>Mr enseignes Expace</t>
  </si>
  <si>
    <t>Plaquette formation</t>
  </si>
  <si>
    <t>4 plaquette s à faire : 
- poseur d'adhésifs
- poseur d'enseignes et d'adhésifs
- technicien d'atelier
- plaquette générale</t>
  </si>
  <si>
    <t>RIA FR14932</t>
  </si>
  <si>
    <t>BAT 1 envoyé le 10-10
Relance le 5-11
BAT et devis validé - attente VT</t>
  </si>
  <si>
    <t>Bulle gourmande</t>
  </si>
  <si>
    <t>BAT 1 fait le 10-12</t>
  </si>
  <si>
    <t>[ELITYS - BOULOGNE BILLANCOURT] ADHESIFS PORTES - Graphisme BAT</t>
  </si>
  <si>
    <t>27/11 envoi BAT 1 (dans l'urgence apres VT car cliente pressée pas super contente)</t>
  </si>
  <si>
    <t>EDRA S.A - 83_FREJUS_CARROSSERIE SCARPITTA BRUNO</t>
  </si>
  <si>
    <t>07/11 envoi BAT</t>
  </si>
  <si>
    <t>EDRA S.A - 44_VERTOU_SEVRE AUTOMOBILES</t>
  </si>
  <si>
    <t>13/11 envoi BAT</t>
  </si>
  <si>
    <t>EDRA S.A - 51_SAINT MEMMIE_AMR CARROSSERIE</t>
  </si>
  <si>
    <t>08/11 : envoi BAT
15/11 : relance</t>
  </si>
  <si>
    <t>EDRA S.A - 42_SAINT JUST SAINT RAMBERT_ETS OLIVIER MECANIQUE CARROSSERIE</t>
  </si>
  <si>
    <t xml:space="preserve">[EDRA S.A] 36_ISSOUDUN_ETS BARBIER DELACOU </t>
  </si>
  <si>
    <t>21/11 envoi BAT
FAB A FAIRE</t>
  </si>
  <si>
    <t>EDRA S.A - 19_MALEMORT_AC CARROSSERIE</t>
  </si>
  <si>
    <t>21/11 Envoi BAT 1</t>
  </si>
  <si>
    <t>EDRA S.A - 78_PLAISIR_AUTO PLAISIR</t>
  </si>
  <si>
    <t>22/11 envoi BAT
FAB A FAIRE</t>
  </si>
  <si>
    <t>[EDRA S.A] 40_TARTAS_DUVERGE</t>
  </si>
  <si>
    <t>[EDRA S.A] 33_BORDEAUX_CARROSSERIE ROBERT COUTURAS</t>
  </si>
  <si>
    <t>[EDRA S.A] 51_REIMS_CARROSSERIE BADET</t>
  </si>
  <si>
    <t>[EDRA S.A] 69_SAINT GENIS LAVAL_CARROSSERIE CHAPELLE</t>
  </si>
  <si>
    <t>[EDRA S.A] 38_COURTENAY_GARAGE LA BELLE EPOQUE</t>
  </si>
  <si>
    <t>EDRA S.A - 78_TRIEL SUR SEINE_CARROSSERIE TRIELLOISE</t>
  </si>
  <si>
    <t>22/11 envoi BAT</t>
  </si>
  <si>
    <t xml:space="preserve">[MR ENSEIGNES] Domileg Consulting </t>
  </si>
  <si>
    <t>BAT ENVOY2 
ATTENTE RETOUR CHOIX Echantillon couleur</t>
  </si>
  <si>
    <t>CO2411-2922 - Groupe ETEX - PANNEAU PVC 3MM / PLASTIFICATION VELEDA</t>
  </si>
  <si>
    <t>13/11 envoi BAT
15/11 relance mail
25/11 relance mail</t>
  </si>
  <si>
    <t>[MR ENSEIGNES] ATC - Phoenix</t>
  </si>
  <si>
    <t>21/11 envoi BAT</t>
  </si>
  <si>
    <t>CO2411-2949 - LEPENHUEL - Enseigne equipement scolaire</t>
  </si>
  <si>
    <t>FAB A FAIRE / commande Enseigne plus
15/11 demande delai au fournisseur puis le mettre sur FP</t>
  </si>
  <si>
    <t>[ONET PROPRETE ET FACILITY SERVICES] Enseignes Toulouse</t>
  </si>
  <si>
    <t>19/08 envoi BAT VT
Envoi BAT 1
19/09 Envoi BAT 2
02/10 envoi BAT 3
07/10 envoi BAT
09/10 Relance validation mail</t>
  </si>
  <si>
    <t>Euronet FRMD2145</t>
  </si>
  <si>
    <t>BAT VT fait le 26-11
BAT 1 envoyé le 10-12</t>
  </si>
  <si>
    <t>Euronet FRMD2177</t>
  </si>
  <si>
    <t>Euronet FRMD2075</t>
  </si>
  <si>
    <t>BAT fait le 10-12</t>
  </si>
  <si>
    <t>Euronet FRMD2178</t>
  </si>
  <si>
    <t>Mr Enseignes - ATC</t>
  </si>
  <si>
    <t>V1 envoyé le 09/12</t>
  </si>
  <si>
    <t>Euronet FRMD2183</t>
  </si>
  <si>
    <t>Euronet FRMD2176</t>
  </si>
  <si>
    <t>Mr Enseignes - Arrebatos</t>
  </si>
  <si>
    <t>V1 envoyé le 06/12</t>
  </si>
  <si>
    <t>LPI invest</t>
  </si>
  <si>
    <t>BAT 1 envoyé le 3-12
Relance le 4-12</t>
  </si>
  <si>
    <t>CCI LYON METROPOLE</t>
  </si>
  <si>
    <t>BAT 1 envoyé le 3-12</t>
  </si>
  <si>
    <t>BAT Fait le 6-12</t>
  </si>
  <si>
    <t>Euronet FRMD2173</t>
  </si>
  <si>
    <t>BAT fait le 6-12</t>
  </si>
  <si>
    <t>Euronet FRMD2146</t>
  </si>
  <si>
    <t>Temporis - Dijon Nord E.&amp;C.</t>
  </si>
  <si>
    <t>V1 envoyé le 04/12</t>
  </si>
  <si>
    <t>Euronet FRMD2172</t>
  </si>
  <si>
    <t>Euronet FRMD2182</t>
  </si>
  <si>
    <t>Euronet FRMD2171</t>
  </si>
  <si>
    <t>Euronet FRMD2169</t>
  </si>
  <si>
    <t>BAT fait le 5-12</t>
  </si>
  <si>
    <t>Archi Luminal</t>
  </si>
  <si>
    <t>V1 le 05/12</t>
  </si>
  <si>
    <t>RIA siege</t>
  </si>
  <si>
    <t>BAT 1 envoyé le 22-11
BAT 2 envoyé le 22-11
Relance le 26-11
BAT 3 envoyé le 2-12
BAT 4 envoyé le 3-12
BAT 5 envoyé le 3-12
Relance le 4-12</t>
  </si>
  <si>
    <t>Temporis - Frejus - Enseigne</t>
  </si>
  <si>
    <t>FAB ok mais attente dimensions caissons pour finaliser - Mail envoyé au poseur le 13/11 - Nouvelle FAB à faire après nouveau devis, nouveau BAT envoyé le 03/12 - V3 le 04/12 - FAB A FAIRE</t>
  </si>
  <si>
    <t>Axo</t>
  </si>
  <si>
    <t>Demande de devis à GEP le 25-11
Demande d'éléments à la cliente le 25-11 (logo vecto, photo devanture, dimensions devanture)
Relance le 26-11
BAT 1 envoyé le 3-12
BAT 2 envoyé le 3-12</t>
  </si>
  <si>
    <t>Leclerc - Totem</t>
  </si>
  <si>
    <t>V1 envoyé le 03/12</t>
  </si>
  <si>
    <t>RIA FR12246</t>
  </si>
  <si>
    <t>BAT 1 envoyé le 12-11
BAT 2 envoyé le 13-11
BAT validé - attente VT et validation devis</t>
  </si>
  <si>
    <t>Leclerc</t>
  </si>
  <si>
    <t>V1 envoyé le 26/11</t>
  </si>
  <si>
    <t>LAPEYRE SUITE</t>
  </si>
  <si>
    <t>BAT 1 envoyé le 16-10
Relance le 22-10
Relance le 29-10
Relance le 5-11
BAT 2 envoyé le 6-11
Relance Antoine le 20-11
BAT 3 envoyé le 27-11
BAT 4 envoyé le 28-11
BAT 5 envoyé le 2-12</t>
  </si>
  <si>
    <t>GL SOLUTION</t>
  </si>
  <si>
    <t>Demande de brief envoyé le 25-11
BAT 1 envoyé le 25-11
BAT 2 envoyé le 26-11
BAT 3 envoyé le 26-11
Relance le 27-11</t>
  </si>
  <si>
    <t>SAS DWICH Society</t>
  </si>
  <si>
    <t>V1 envoyé le 28/11 - V2 le 28/11</t>
  </si>
  <si>
    <t>Point S Chanas</t>
  </si>
  <si>
    <t>BAT 1 envoyé le 6-11
BAT 2 envoyé le 6-11
BAT 3 envoyé le 6-11
BAT 4 envoyé le 13-11
Relance Michael le 20-11
BAT envoyé le 2-12
BAT 5 envoyé le 2-12
la franchisé à validé le 2-12 - envoi au franchisé</t>
  </si>
  <si>
    <t>Mr Enseignes - Barber Gold</t>
  </si>
  <si>
    <t>V1 le 29/11</t>
  </si>
  <si>
    <t>PPS Neuville sur Saone</t>
  </si>
  <si>
    <t>BAT 1 envoyé le 29-11</t>
  </si>
  <si>
    <t>RS S46</t>
  </si>
  <si>
    <t xml:space="preserve">Post mardi : 
Reel Jeudi : plotteur </t>
  </si>
  <si>
    <t>V1 S.A. le 28/10 - Relance le 04/11 - Relance le 13/11 - V2 le 26/11 - V3 le 26/11 - Validation franchiseur le 27/11 - Attente retour franchisé - FAB A FAIRE</t>
  </si>
  <si>
    <t>Euronet Habillage DAB</t>
  </si>
  <si>
    <t>BAT 1 envoyé le 15-11
BAT 2 envoyé le 18-11
Relance le 20-11
Relance le 26-11</t>
  </si>
  <si>
    <t>RIA BE3573</t>
  </si>
  <si>
    <t>BAT 1 envoyé le 29-08
BAT 2 envoyé le 2-09
BAT et devis validé - attente  VT</t>
  </si>
  <si>
    <t>Atol Prototype</t>
  </si>
  <si>
    <t>BAT 1 envoyé le 27-11</t>
  </si>
  <si>
    <t>CO2411-3056 - EDRA S.A - 84_PIOLENC_CARROSSERIE DAMERY</t>
  </si>
  <si>
    <t>CO2411-2963 - EDRA S.A - 92_NANTERRE_AMS AUTO</t>
  </si>
  <si>
    <t>CO2411-2946 - Les artisans lunetiers - BACHEdrapeau</t>
  </si>
  <si>
    <t>14/11 Envoi BAT
15/11 Envoi BAT2
FAB A FAIRE
RECEPTION st</t>
  </si>
  <si>
    <t>Le Domaine 1838 CDV</t>
  </si>
  <si>
    <t>21/11 commande sur Exaprint</t>
  </si>
  <si>
    <t>[ELITYS - BOULOGNE BILLANCOURT] ADHESIFS PORTES - BAT VT</t>
  </si>
  <si>
    <t>Point S Chauffailles</t>
  </si>
  <si>
    <t>BAT 1 envoyé le 27-11
la franchise à validé le 27-11</t>
  </si>
  <si>
    <t>Camif - Angers</t>
  </si>
  <si>
    <t>BAT VT - BAT V1 - Adhé provisoire en prod le 31/07 - Relance le 19/08 - V3 le 02/09 - FAB Lettres intérieurs et Tapis lancé - Attente mairie - Modif suite refus mairie du 16/10 - V2 mairie le 17/10 - Modif envoyé au franchisé + franchiseur le 25/11 - Ok franchisé, attente réponse franchiseur - V3 le 26/11</t>
  </si>
  <si>
    <t>I run</t>
  </si>
  <si>
    <t>BAT VT fait le 13-11
BAT 1 envoyé le 25-11
Relance le 26-11 par telephone - ils envoient la validation avant 12h
BAT 2 envoyé le 26-11</t>
  </si>
  <si>
    <t>PWP - V&amp;B La Valette</t>
  </si>
  <si>
    <t>V1 envoyé le 25/11</t>
  </si>
  <si>
    <t>Point S Tarbes</t>
  </si>
  <si>
    <t>BAT 1 envoyé le 21-11
BAT 2 envoyé le 22-11
BAT 3 envoyé le 22-11
la franchise à validé le 22-11</t>
  </si>
  <si>
    <t xml:space="preserve">SEBACH </t>
  </si>
  <si>
    <t>BAT v1 envoyé le 21/11</t>
  </si>
  <si>
    <t xml:space="preserve">BAT Romao Domingues </t>
  </si>
  <si>
    <t>BAT v1 envoyé le 20/11
FAB A FAIRE</t>
  </si>
  <si>
    <t xml:space="preserve">AUdio vision </t>
  </si>
  <si>
    <t>BAT v1 avec juste les enseignes + demande texte et dimensions pour les adhésifs
Attentes des mesures pour la V2
bat V2 ENVOY2 LE 4/11
bat V3 envoyé
BAT v4 envoyé le 7/11
En attente des infos pour mes adhésif, partie enseigne validé
FAB enseigne lancé le 18/11
FAB A FAIRE
(adhésif)</t>
  </si>
  <si>
    <t>GDS - Anglet</t>
  </si>
  <si>
    <t>V1 le 24/04 - V2 le 25/04 - Relance le 13/05 - Relance mairie de Marion le 11/09 - FAB A FAIRE</t>
  </si>
  <si>
    <t>PWP - La Maison du Parc</t>
  </si>
  <si>
    <t>V1 envoyé le 21/11 - FAB A FAIRE</t>
  </si>
  <si>
    <t>PWP - Cave de Gondecourt</t>
  </si>
  <si>
    <t>Novi - Montpellier Justice</t>
  </si>
  <si>
    <t>Dossier Urgent - BAT VT envoyé le 18/06 - BAT V1 envoyé le 01/08 - Modif le 14/09 - Modif le 23/09 - Validé le 10/10 - En dossier mairie - FAB A FAIRE</t>
  </si>
  <si>
    <t>CO2411-2997 - EDRA S.A - 78_RAMBOUILLET_CARROSSERIE DEBETTE</t>
  </si>
  <si>
    <t>18/11 Envoi BAT</t>
  </si>
  <si>
    <t>EDRA S.A - 44_REZE_AUTO SATISFACTION</t>
  </si>
  <si>
    <t>20/11 Envoi BAT 1</t>
  </si>
  <si>
    <t>Hotel de Lans</t>
  </si>
  <si>
    <t>BAT envoyé
FAB A FAIRE</t>
  </si>
  <si>
    <t>CO2410-2882 - EDRA S.A - 56_HENNEBONT_A.C.I 56</t>
  </si>
  <si>
    <t>30/10 envoi BAT
18/11 envoi BAT2</t>
  </si>
  <si>
    <t>CO2410-2895 - EDRA S.A - 78_COIGNIERES_PRO AUTO</t>
  </si>
  <si>
    <t>04/11 envoi BAT</t>
  </si>
  <si>
    <t>RS S45</t>
  </si>
  <si>
    <t>Post MARDI : chantier semaine
Post jeudii :  Guy Hoquet</t>
  </si>
  <si>
    <t>Les dentelles</t>
  </si>
  <si>
    <t>Demande de  brief envoyé le 24-10
Relance le 6-11
BAT 1 envoyé le 20-11
BAT 2 envoyé le 22-11</t>
  </si>
  <si>
    <t>SQ St Quentin exterieur</t>
  </si>
  <si>
    <t>BAT VT envoyé le 9-09
BAT 1 envoyé le 9-09
Attente VT pour mise à jour BAT
BAT 2 envoyé le 24-09
BAT mairie fait le 2-10
nouveau BAT le 29-10 - attente validation Guillaume pour renvoie en mairie
Nouveau BAT mairie envoyé le 29-10</t>
  </si>
  <si>
    <t>Point S Charancieu</t>
  </si>
  <si>
    <t>BAT VT fait le 6-11
BAT 1 envoyé le 14-11
BAT 2 envoyé le 15-11
Franchise à validé - envoie au franchisé le 18-11
Relance le 20-11
BAT 3 envoyé le 21-11
franchise validé le 21-11
BAT 4 envoyé le 22-11
franchise validé le 22-11</t>
  </si>
  <si>
    <t>RIA BE3699</t>
  </si>
  <si>
    <t>BAT 1 envoyé le 30-09
Relance le 11-10
BAT et devis validé -attente VT</t>
  </si>
  <si>
    <t>RIA BE3780</t>
  </si>
  <si>
    <t>BAT 1 envoyé le 8-10
Relance le 11-10
BAT 2 envoyé le 15-10
BAT 3 envoyé le 28-10
BAT et devis validé - attente VT</t>
  </si>
  <si>
    <t xml:space="preserve">BAT rose poudrée </t>
  </si>
  <si>
    <t xml:space="preserve">BAT v1 envoyé le 20/11
EN attente des bons fichiers mais je reçois pas ses mails </t>
  </si>
  <si>
    <t>CO2411-2951 - EDRA S.A - 78_SARTROUVILLE_CARROSSERIE MVR</t>
  </si>
  <si>
    <t>13/11 envoi BAT
FAB A FAIRE</t>
  </si>
  <si>
    <t>[EDRA S.A] 84_LE PONTET_CARROSSERIE FOUCOT</t>
  </si>
  <si>
    <t>RIA FR14699</t>
  </si>
  <si>
    <t>BAT 1 envoyé le 12-11
modification n° rie le 13-11
BAT 2 envoyé le 14-11
BAT 3 envoyé le 14-11
BAT validé - attente VT et validation devis
BAT 4 envoyé le 14-11</t>
  </si>
  <si>
    <t>ETS Rougé</t>
  </si>
  <si>
    <t>Sasu Laverie Mercier</t>
  </si>
  <si>
    <t>BAT 1 envoyé le 20-11
BAT 2 envoyé le 20-11</t>
  </si>
  <si>
    <t>CO2411-2942_2 - STEEP plastique - adhésifs dépolis et panneaux</t>
  </si>
  <si>
    <t>14/11 envoi BAT
15/11 envoi BAT2
18/11 envoi BAT3
FAB A FAIRE</t>
  </si>
  <si>
    <t>CO2411-2947 - APOGEA - MARQUAGE VEHICULE</t>
  </si>
  <si>
    <t>CO2410-2888 - EDRA S.A - 42_FIRMINY_CARROSSERIE LIOGIER</t>
  </si>
  <si>
    <t>04/11 envoi BAT
FAB A FAIRE</t>
  </si>
  <si>
    <t>CO2410-2913 - EDRA S.A - 06_NICE_CARROSSERIE PAZOT</t>
  </si>
  <si>
    <t>05/11 envoi BAT
FAB A FAIRE</t>
  </si>
  <si>
    <t>CO2411-2962 - EDRA S.A - 14_CORMELLES LE ROYAL_CARROSSERIE PORTE D'ESPAGNE</t>
  </si>
  <si>
    <t>PWP - Le Bouillon DP Island</t>
  </si>
  <si>
    <t>BAT envoyé le 13/11</t>
  </si>
  <si>
    <t>PWP - La Cave de L'étable</t>
  </si>
  <si>
    <t>V1 le 15/11</t>
  </si>
  <si>
    <t xml:space="preserve">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t>
  </si>
  <si>
    <t>Dossier Urgent - BAT VT envoyé le 18/06 - V1 le 21/08 - V2 le 27/08 - V2 envoyé au franchisé le 27/08 - V3 le 03/09 - FAB A FAIRE</t>
  </si>
  <si>
    <t xml:space="preserve">REFAB Wild Food + FAB adhésifs </t>
  </si>
  <si>
    <t>fais le 20/11</t>
  </si>
  <si>
    <t xml:space="preserve">XOXO design </t>
  </si>
  <si>
    <t xml:space="preserve">Modifs FAB + nouveau fichiers </t>
  </si>
  <si>
    <t>ZAAP Thai</t>
  </si>
  <si>
    <t>échange par mail le 13/11
BAT v1 envoyé le 14/11
BAT v2 envoyé le 18/11
FAB ST et Atelier lancée le 21/11</t>
  </si>
  <si>
    <t>Novi - Pontarlier - Intérieur</t>
  </si>
  <si>
    <t>Novi - Morteau - Intérieur</t>
  </si>
  <si>
    <t xml:space="preserve">Point S Serezin </t>
  </si>
  <si>
    <t>kit horaire
Chopard PSC 
8h - 12h et 14h-18h lundi au vendredi
0 4 72 70 70 70
Relance Michael le 20-11</t>
  </si>
  <si>
    <t>Billy and june Craponne</t>
  </si>
  <si>
    <t>Demande de brief envoyé le 6-11
BAT 1 envoyé le 14-11</t>
  </si>
  <si>
    <t>Point S Chateau Gaillard</t>
  </si>
  <si>
    <t>BAT VT fait le 12-11
BAT 1 envoyé le 15-11
BAT 2 envoyé le 15-11
Franchise à validé - envoie au franchisé le 18-11
BAT 3 envoyé le 20-11</t>
  </si>
  <si>
    <t>SQ soustons CANTERRE INTERIEUR</t>
  </si>
  <si>
    <t>Attente de brief
Relance le 22-10
BAT 1 envoyé le 18-11
BAT 2 envoyé le 19-11</t>
  </si>
  <si>
    <t>PWP - Cave de l'Etable</t>
  </si>
  <si>
    <t>BAT V1 le 15 - V2 le 19/11 - FAB A FAIRE</t>
  </si>
  <si>
    <t>PWP - Cave d'Eric</t>
  </si>
  <si>
    <t xml:space="preserve">BAT le 18/11 - FAB A FAIRE </t>
  </si>
  <si>
    <t>Dossier Urgent - BAT VT envoyé le 17/07 - BAT V1 le 25/07 - V1 au franchisé le 09/09 - FAB INTERIEUR Faite - Attente extérieur - Mail du 13/11 = Attente retour centre co  - FAB A FAIRE</t>
  </si>
  <si>
    <t>RIA BE3790</t>
  </si>
  <si>
    <t>BAT 1 envoyé le 8-10
Relance le 11-10
BAT 2 envoyé le 16-10
BAT  3 envoyé le 24-10
BAT 4 envoyé le 25-10
BAT 5 envoyé le 25-10
BAT et devis validé - attente  VT</t>
  </si>
  <si>
    <t>Novi - Morteau</t>
  </si>
  <si>
    <t>Dossier Urgent - BAT VT envoyé le 10/07 - BAT V1 envoyé le 23/07 - V2 le 21/08 - V3 le 27/08 - V4 le 02/09 - BAT Mairie le 02/09 - Nouvelle version envoyé à M.O. le 03/10 suite refus mairie - Nouvelle version à refaire suite nouveau refus - FAB A FAIRE</t>
  </si>
  <si>
    <t>Temporis - Ales</t>
  </si>
  <si>
    <t>V1 envoyé le 19/11 - FAB A FAIRE</t>
  </si>
  <si>
    <t>Bossem Créative</t>
  </si>
  <si>
    <t>VEF - ITM</t>
  </si>
  <si>
    <t>V1 envoyé le 14/08 - Modif reçu le 02/10 je dois voir avec la cliente - V2 envoyé le 04/10 - V3 le 07/10 - V4 le 08/10 - V5 le 21/10 + V6 le 22/10 - V7 le 23/10 - Relance le 13/11 - FAB A FAIRE</t>
  </si>
  <si>
    <t>RIA BE2505</t>
  </si>
  <si>
    <t>BAT 1 envoyé le 03-09
BAT 2 envoyé le 5-09
Relance le 10-09
Relance le 19-09
Relance le 11-10
BAT 3 envoyé le 23-10
BAT 4 envoyé le 24-10
BAT et devis validé - attente  VT
BAT 5 envoyé le 28-10</t>
  </si>
  <si>
    <t>RIA BE2636</t>
  </si>
  <si>
    <t>BAT 1 envoyé le 26-09
BAT 2 envoyé le 3-10
Relance le 11-10
BAT validé - attente VT et validation devis</t>
  </si>
  <si>
    <t>Temporis - Souillac</t>
  </si>
  <si>
    <t>V1 envoyé le 13/11 - V2 le 18/11 - FAB A FAIRE (Attente savoir si nous ou poseur externe)</t>
  </si>
  <si>
    <t>RIA FR14771</t>
  </si>
  <si>
    <t>BAT 1 envoyé le 2-09
Relance le 10-09
Relance le 19-09
Relance le 11-10
BAT 2 envoyé le 16-10
BAT et devis validé - attente VT</t>
  </si>
  <si>
    <t>Panda 2 roues</t>
  </si>
  <si>
    <t>BAT v1 envoyé le 29/10
BAT v2 envoyé le 30/10
FAB A FAIRE</t>
  </si>
  <si>
    <t>PWP - Cave Annoeuillin</t>
  </si>
  <si>
    <t>CO2410-2788 - EDRA S.A - 71_MACON_CARROSSERIE DARNAND commande annulée remplacée par CO2410-2843</t>
  </si>
  <si>
    <t>BAT envoyé le 18/10
Attente mise à jour devis</t>
  </si>
  <si>
    <t>Lobby Guys Enseignes exterieures</t>
  </si>
  <si>
    <t>[EDRA S.A] 34_SETE_CARROSSERIE DU PARC</t>
  </si>
  <si>
    <t>09/10 envoi BAT</t>
  </si>
  <si>
    <t>[EDRA S.A] 95_PIERRELAYE_PIERRELAYE CARROSSERIE</t>
  </si>
  <si>
    <t>BAT envoyé
01/10 relance</t>
  </si>
  <si>
    <t>[EDRA S.A] 33_LORMONT_GARAGE DE LA RAMADE</t>
  </si>
  <si>
    <t>Devis doit etre mise à jour</t>
  </si>
  <si>
    <t>[EDRA S.A] 93_SAINT OUEN SUR SEINE_CARROSSERIE AUTOMOBILES RENAN</t>
  </si>
  <si>
    <t>[EDRA S.A] 06_NICE_CARROSSERIE PAZOT</t>
  </si>
  <si>
    <t>[EDRA S.A] 34_MONTPELLIER_SARES</t>
  </si>
  <si>
    <t>01/10 envoi BAT</t>
  </si>
  <si>
    <t>YO AGENCY</t>
  </si>
  <si>
    <t>31/10 : envoi BAT
06/11 : relance mail</t>
  </si>
  <si>
    <t>La TISSUTHEQUE</t>
  </si>
  <si>
    <t>Attente retour cliente sur contenu du chevalet</t>
  </si>
  <si>
    <t>Emilie Nailloux</t>
  </si>
  <si>
    <t>Commande chez l'Equipementier  &gt; attente devis
Commande en cours chez l'Equimentier</t>
  </si>
  <si>
    <t>Emilie BAYONE</t>
  </si>
  <si>
    <t>Brief à venir par Hugo, BAT envoyé au franchiseur, BAT renvoyé le 03/06, faire BAT VT pour corniche &amp; écliarages
28/09 envoi BAT suite refus mairie
Commande Goodies ok (gobelets, mugs, tee shirts, tapis)</t>
  </si>
  <si>
    <t>[SAS MH COFFEE (Emilie Arras)] Ouverture Arras</t>
  </si>
  <si>
    <t>03/10 envoi BAT adh provisoires + Enseignes finales
07/10 fichiers fab adh provisoire
VT a faire
07/08 envoi BAT franchiseur
09/07 BAT envoyé franchisé
11/10 BAT2 envoyé
FAB A FAIRE</t>
  </si>
  <si>
    <t>Lobby Guys Enseignes interieures</t>
  </si>
  <si>
    <t>26/09 envoi BAT
04/10 envoi BAT 2</t>
  </si>
  <si>
    <t>Valentin studio</t>
  </si>
  <si>
    <t>Novi - Perpignan</t>
  </si>
  <si>
    <t>BAT VT envoyé le 18/06 - BAT envoyé à MO le 28/06 - V2 le 20/08 - FAB A FAIRE - FAB Prête - Attente profondeur pour rajout des tasseaux</t>
  </si>
  <si>
    <t>ASSU2000 - TS</t>
  </si>
  <si>
    <t>BAT envoyé le 10/10</t>
  </si>
  <si>
    <t>Novi - La Ciotat</t>
  </si>
  <si>
    <t>BAT VT envoyé le 05/07
BAT envoyé le 23/09
BAT envoyé le 14/10</t>
  </si>
  <si>
    <t>Novi - Marseille St Barnabe</t>
  </si>
  <si>
    <t>BAT VT envoyé le 05/07
BAT envoyé le 12/09</t>
  </si>
  <si>
    <t>Novi - Six Fours les Plages</t>
  </si>
  <si>
    <t>BAT VT envoyé le 22/07
BAT envoyé le 25/09</t>
  </si>
  <si>
    <t>2COMM</t>
  </si>
  <si>
    <t>BAT envoyé 04/11</t>
  </si>
  <si>
    <t>DENTHEOL</t>
  </si>
  <si>
    <t>RIA BE3666</t>
  </si>
  <si>
    <t>BAT 1 envoyé le 03-09
BAT 2 envoyé le 3-09
Relance le 10-09
BAT validé - attente VT et validation devis
BAT 3 envoyé le 16-09</t>
  </si>
  <si>
    <t>RIA BE3296</t>
  </si>
  <si>
    <t>BAT 1 envoyé le 25-06
Relance le 27-06
BAT 2 envoyé le 02-07
Relance le 31-07
BAT validé - en attente de VT</t>
  </si>
  <si>
    <t>Novi - Flins sur Seine</t>
  </si>
  <si>
    <t>Dossier Urgent - BAT VT envoyé le 17/07 - BAT V1 le 24/07</t>
  </si>
  <si>
    <t>Novi - Maurepas</t>
  </si>
  <si>
    <t>Dossier Urgent - BAT VT envoyé le 17/07 - BAT V1 envoyé le 30/07</t>
  </si>
  <si>
    <t>Novi - Bourges</t>
  </si>
  <si>
    <t>VT faite sans BAT VT - BAT envoyé à M.A. le 05/07 - Validation franchisé - Attente validation devis</t>
  </si>
  <si>
    <t>A L'origine Oullins (billy and june)</t>
  </si>
  <si>
    <t>demande de fichier vectoriel à la cliente le 13-11
BAT 1 envoyé le 13-11</t>
  </si>
  <si>
    <t xml:space="preserve">Camif Arnas </t>
  </si>
  <si>
    <t>V1 envoyé au franchiseur le 04/11 - V2 le 07/11 - V2 renvoyé côté franchisé le 12/11</t>
  </si>
  <si>
    <t>RIA FR3192</t>
  </si>
  <si>
    <t>BAT 1 envoyé le 2-09
Relance le 10-09
Relance le 19-09
BAT validé - attente validation devis et VT</t>
  </si>
  <si>
    <t xml:space="preserve">PANO LIMOGE </t>
  </si>
  <si>
    <t>Euronet FRMD2167</t>
  </si>
  <si>
    <t>BAT fait le 13-11</t>
  </si>
  <si>
    <t>Novi - Vedene réinter</t>
  </si>
  <si>
    <t>RIA FR61440</t>
  </si>
  <si>
    <t>Pas de VT - dimension fourni par mail par Antoine
BAT 1 envoyé le 29-10
BAT 2 envoyé le 30-10
BAT validé - on a deja les dimensions - attente validation devis</t>
  </si>
  <si>
    <t>Mis en place certificat SSL + Mise en place d'un système de mailing sur le formulaire (Google Console - Clé API avec Token etc)</t>
  </si>
  <si>
    <t>PWP - Jac'O VIn</t>
  </si>
  <si>
    <t>V1 le 07/11 - V2 le 12/11</t>
  </si>
  <si>
    <t>PWP - Wasquehal</t>
  </si>
  <si>
    <t>V1 envoyé le 15/10 - Relance le 28/10 - V2 le 07/11</t>
  </si>
  <si>
    <t>Deka</t>
  </si>
  <si>
    <t>BAT 1 envoyé le 7-11</t>
  </si>
  <si>
    <t>Mail envoyé pour nouveau fichier le 07/11 - BAT V1 envoyé le 07/11 - FAB A FAIRE</t>
  </si>
  <si>
    <t>Leblanc illumination</t>
  </si>
  <si>
    <t>BAT 1 envoyé le 6-11</t>
  </si>
  <si>
    <t>JCPCDR ARchi</t>
  </si>
  <si>
    <t>BAT V1, V2 et V3 envoyer le 7/11
FAB A FAIRE</t>
  </si>
  <si>
    <t>Point S Lyon 3</t>
  </si>
  <si>
    <t>BAT VT envoyé le 4-07
Relance le 26-07
Attente acompte
relance Michael le 10-09
BAT 1 envoyé le 17-10
BAT 2 envoyé le 17-10
BAT 3 envoyé le 22-10
Relance le 6-11</t>
  </si>
  <si>
    <t xml:space="preserve">NOVI Schweighouse 
FAB intérieur </t>
  </si>
  <si>
    <t>envoyé le 7/10</t>
  </si>
  <si>
    <t>Euronet FRMD2141</t>
  </si>
  <si>
    <t>BAT fait le 7-11</t>
  </si>
  <si>
    <t>Euronet FRMD2147</t>
  </si>
  <si>
    <t>Grand Audition - Solution 1</t>
  </si>
  <si>
    <t>V1 le 04/11</t>
  </si>
  <si>
    <t>Pharmacie Bel air</t>
  </si>
  <si>
    <t>BAT et FAB fait le 6-11</t>
  </si>
  <si>
    <t>CO2410-2761 - MLB JACOBINS - VITROPHANIE</t>
  </si>
  <si>
    <t>BAT envoyé le 22/10
BAT envoyé le 24/10
BAT envoyé le 28/10</t>
  </si>
  <si>
    <t>L'ARBRE A COCCINELLE</t>
  </si>
  <si>
    <t>BAT envoyé le 23/10
BAT V2 envoyé le 24/10</t>
  </si>
  <si>
    <t>[Audition Duquesne] Enseigne et signalétique magasin</t>
  </si>
  <si>
    <t>BAT envoyé le 02/10
BAT V2 envoyé le 15/10
BAT V3 envoyé le 15/10
BAT V4 envoyé le 17/10
Corrections envoyés le 21/10</t>
  </si>
  <si>
    <t xml:space="preserve">AIN RHONE  </t>
  </si>
  <si>
    <t>BAT v1 envoyé le 30/10
BAT v2 envoyé le 31/10</t>
  </si>
  <si>
    <t>Novi - Bourg les Valence</t>
  </si>
  <si>
    <t>BAT VT envoyé le 10/07
BAT V1 envoyé le 11/09
BAT v2 envoye lé 9/10 (MO, Micha et franchisé)
FAB A FAIRE</t>
  </si>
  <si>
    <t>MPAA</t>
  </si>
  <si>
    <t>BAT 1 envoyé le 30-10
BAT 2 envoyé le 4-11
Relance le 6-11
BAT 3 envoyé le 6-11</t>
  </si>
  <si>
    <t xml:space="preserve">[Sarl BH Grenelle] Vitrophanie + adhésif </t>
  </si>
  <si>
    <t>Projet avant commande Emilie Montpellier</t>
  </si>
  <si>
    <t>Euronet FRMD2149</t>
  </si>
  <si>
    <t>BAT VT fait le 25-09
BAT 1 envoyé le 5-11</t>
  </si>
  <si>
    <t>SQ Massy machines</t>
  </si>
  <si>
    <t>BAT 1 envoyé le 22-10</t>
  </si>
  <si>
    <t>RIA FR14178</t>
  </si>
  <si>
    <t>BAT 1 envoyé le 8-10
BAT 2 envoyé le 9-10
Relance le 11-10
BAT validé - attente validation devis et VT</t>
  </si>
  <si>
    <t>Wild Food - Adhésif porte</t>
  </si>
  <si>
    <t>V1 le 04/11 - V2 le 05/11</t>
  </si>
  <si>
    <t>SQ YVERDON INTERIEUR</t>
  </si>
  <si>
    <t>Attente de brief
Relance le 22-10
BAT 1 envoyé le 30-10
BAT 2 envoyé le 30-10</t>
  </si>
  <si>
    <t>Affichage securité</t>
  </si>
  <si>
    <t>BAT 1 envoyé le 4-11
modif le 5-11</t>
  </si>
  <si>
    <t>[LES COCOTTES ROUSSES] SIGNALETIQUE EXTERIEURE -</t>
  </si>
  <si>
    <t>12/08 BAT envoyé avec questions (couleur enseigne + choix store)
21/08 retour client &gt; aller envoi BAT1-2-3 
21/08 BAT marie sur FP
FAB A FAIRE</t>
  </si>
  <si>
    <t xml:space="preserve">[NEULO] ENSEIGNE DOUBLE FACE NON LUMINEUSE </t>
  </si>
  <si>
    <t>09/10 Demande visuel HD
09/10 demande de vis enseigne plus pour drapeau non ajouré non lumineux
Relance le 14/10
relance 16/10 des interlocuteurs
21/10 envoi BAT</t>
  </si>
  <si>
    <t>RS S43</t>
  </si>
  <si>
    <t>MARDI : en cours
JEUDI : vidéo à monter</t>
  </si>
  <si>
    <t>GH CHARNAY LES MACONS</t>
  </si>
  <si>
    <t>HOTEL AGENOR</t>
  </si>
  <si>
    <t>Temporis Ploermel</t>
  </si>
  <si>
    <t>TWYD porte de versaille viparis</t>
  </si>
  <si>
    <t>Demande de fichier le 29/10
Attente de l'adresse de livraison</t>
  </si>
  <si>
    <t xml:space="preserve">mr enseignes - lyon éclair </t>
  </si>
  <si>
    <t>bat v1 envoyé le 29/10</t>
  </si>
  <si>
    <t>Temporis - Valenciennes</t>
  </si>
  <si>
    <t>V1 le 24/10 - V2 le 29/10 - FAB A FAIRE</t>
  </si>
  <si>
    <t>Mr Enseignes - Masclaux Toiture</t>
  </si>
  <si>
    <t>Temporis - Frejus - Adhésif</t>
  </si>
  <si>
    <t>V1 le 22/10 - V2 le 24/10</t>
  </si>
  <si>
    <t xml:space="preserve">Mr enseignes - AGOPTIC </t>
  </si>
  <si>
    <t>BAT  + FAB le 29/10</t>
  </si>
  <si>
    <t>PWP - Intercave Coulommier</t>
  </si>
  <si>
    <t>V1 le 29/10 - FAB A FAIRE</t>
  </si>
  <si>
    <t>PWP - Quatre</t>
  </si>
  <si>
    <t>V1 envoyé le 29/10 - FAB A FAIRE</t>
  </si>
  <si>
    <t>MBB VILLEFRANCHE</t>
  </si>
  <si>
    <r>
      <rPr>
        <rFont val="Comfortaa"/>
        <b/>
        <color rgb="FFFF0000"/>
      </rPr>
      <t>REPRISE DOSSIER LAURIE :</t>
    </r>
    <r>
      <rPr>
        <rFont val="Comfortaa"/>
        <color theme="1"/>
      </rPr>
      <t xml:space="preserve"> MAQUETTE ENVOYE LE 18/01 // BAT ENVOYE LE 23/01 // BAT 3 ENVOYE le 31/01 / BAT 4 envoyé le 16/02 // demandé à florent le 07/03 pas de news - Relance Flo le 15/05 - En dossier mairie côté Marion - Relance flo le 16/10 - Le dossier est accepté en mairie, il devrait arriver sous FP</t>
    </r>
  </si>
  <si>
    <t>GDS - Marcy l'étoile</t>
  </si>
  <si>
    <t>V1 envoyé le 16/10 - V2 le 17/10 - V3 le 21/10 - V4 le 21/10</t>
  </si>
  <si>
    <t>Acadelya</t>
  </si>
  <si>
    <t>Mail demande fichiers à Michael le 13/09 - V1 le 18/09 - Modif le 23/09</t>
  </si>
  <si>
    <t xml:space="preserve">Mon instant massage </t>
  </si>
  <si>
    <t>BAT v1 envoyé le 17/10
BAT V2 envoyé le 22/10
FAB A FAIRE</t>
  </si>
  <si>
    <t>RS S42</t>
  </si>
  <si>
    <t>Post mardi : OK
Post jeudi : nos machine : reel ou photo (attente retour Michael)</t>
  </si>
  <si>
    <t>[Groupe ETEX] PANNEAU PVC 3MM / PLASTIFICATION VELEDA - Graphisme BAT</t>
  </si>
  <si>
    <t>BAT envoyé le 08/10
BAT envoyé le 14/10</t>
  </si>
  <si>
    <t xml:space="preserve"> CetteFamille - 3 Allée Johnny Hallyday, 49520 Le Bourg-d'Iré</t>
  </si>
  <si>
    <t xml:space="preserve">BAT envoyé le 14/10
</t>
  </si>
  <si>
    <t>Paroisse sainte jeanne d'Arc</t>
  </si>
  <si>
    <t>VT fait le 29-10</t>
  </si>
  <si>
    <t>PWP - Chope et Compagnie</t>
  </si>
  <si>
    <t>V1 envoyé le 28/10</t>
  </si>
  <si>
    <t>UPS paris</t>
  </si>
  <si>
    <t>BAT 1 envoyé le 28-10</t>
  </si>
  <si>
    <t>Euronet FRMD2151</t>
  </si>
  <si>
    <t>BAT VT fait le 30-09
BAT 1 envoyé le 28-10</t>
  </si>
  <si>
    <t>SAS BM - Complexe Sportif</t>
  </si>
  <si>
    <r>
      <rPr>
        <rFont val="Comfortaa"/>
        <b/>
        <color rgb="FFFF0000"/>
      </rPr>
      <t>REPRISE DOSSIER LAURIE :</t>
    </r>
    <r>
      <rPr>
        <rFont val="Comfortaa"/>
        <color theme="1"/>
      </rPr>
      <t xml:space="preserve"> BAT 1 ENVOYE LE 22/11 - relance le 07/12 - relance mail le 03/01 - relance phone le 16/02 - Relance mail Michael le 28/02
Relance faite par Carole le 8-04
Relance le 19-04
Relance le 15-05
Relance 20-05
projet en stand by, a recontacter en automne
Relance le 2-10
BAT 2 envoyé le 9-10
BAT 3 envoyé le 10-10
Reponse au mail le 15-10 - attente de la largeur d'un pli de bardage
BAT 4 envoyé le 17-10
BAT 5 envoyé le 25-10</t>
    </r>
  </si>
  <si>
    <t>SQ St Orens interieur modifié</t>
  </si>
  <si>
    <t>RIA FR14208</t>
  </si>
  <si>
    <t>BAT 1 envoyé le 23-07
BAT 2 envoyé le 23-07
Relance le 31-07
BAT 3 envoyé le 1-08
BAT 4 envoyé le 1-08
BAT 5 envoyé le 1-08
Relance le 10-09
BAT 6 envoyé le 10-09
BAT et devis validé - attente VT</t>
  </si>
  <si>
    <t>La ruche à velo</t>
  </si>
  <si>
    <t>BAT envoyé le 24/10</t>
  </si>
  <si>
    <t>RIA FR33</t>
  </si>
  <si>
    <t xml:space="preserve">BAT 1 envoyé le 24-10 </t>
  </si>
  <si>
    <t>Novi - Cannes</t>
  </si>
  <si>
    <t>BAT VT envoyé le 06/02 - V1 envoyé le 28/02 - Mairie depuis le 13/06</t>
  </si>
  <si>
    <t>RIA BE1889</t>
  </si>
  <si>
    <t>BAT 1 envoyé le 03-09
Relance le 10-09
Relance le 19-09
BAT 2 envoyé le 1-10
BAT 3 envoyé le 1-10
BAT 4 envoyé le 3-10
BAT 5 envoyé le 10-10
BAT 6 envoyé le 10-10
Relance le 11-10
BAT et devis validé - attente  VT</t>
  </si>
  <si>
    <t>PWP - Le Cactus</t>
  </si>
  <si>
    <t>V1 le 22/10 - V2 le 23/10</t>
  </si>
  <si>
    <t xml:space="preserve">LNCR picto </t>
  </si>
  <si>
    <t>BAT et fab le 23/10</t>
  </si>
  <si>
    <t>Wild Mexican food</t>
  </si>
  <si>
    <t>demande d'info le 10/10 
BAT v1 envoyé le 15/10
BAT v2 envoyé 15/10
BAT v3 envoyé le 23/10</t>
  </si>
  <si>
    <t>Point S Salerne</t>
  </si>
  <si>
    <t>BAT 1 envoyé le 23-10
franchise validé - envoie au franchisé le 23-10</t>
  </si>
  <si>
    <t>RIA BE2324</t>
  </si>
  <si>
    <t>BAT 1 envoyé le 25-06
BAT 2 envoyé le 26-06
Relance le 27-06
BAT 3 envoyé le 11-07
Relance le 31-07
BAT et devis validé - attente  VT (celle faite est incomplete)</t>
  </si>
  <si>
    <t>RIA BE2209</t>
  </si>
  <si>
    <t>BAT 1 envoyé le 03-09
BAT 2 envoyé le 5-09
Relance le 10-09
BAT 3 envoyé le 11-09
Relance le 19-09
BAT et devis validé - attente VT</t>
  </si>
  <si>
    <t>Novi - Montigny le Bretonneux</t>
  </si>
  <si>
    <t>Dossier Urgent - BAT VT envoyé le 17/07 - BAT V1 envoyé le 24/07 - V2 le 23/08 - BAT Validé le 10/09 - Attente validation devis pour FAB - FAB A FAIRE mais reprendre dimension enseigne sur place avant - Nouveau BAT VT envoyé le 03/10</t>
  </si>
  <si>
    <t>RIA BE3102</t>
  </si>
  <si>
    <t>BAT 1 envoyé le 4-09
BAT 2 envoyé le 9-09
Relance le 10-09
BAT 3 envoyé le 10-09
Relance le 19-09
BAT et devis validé - attente VT</t>
  </si>
  <si>
    <t>Novi - Narbonne Gambetta</t>
  </si>
  <si>
    <t>BAT VT envoyé le 18/06 - BAT envoyé à MO le 25/06 - Nouveau BAT franchisé le 05/09</t>
  </si>
  <si>
    <t>RIA BE2047</t>
  </si>
  <si>
    <t>BAT 1 envoyé le 30-08
BAT et devis validé - attente  VT</t>
  </si>
  <si>
    <t>RIA BE3572</t>
  </si>
  <si>
    <t>BAT 1 envoyé le 29-08
BAT et devis validé - attente  VT
BAT 2 envoyé le 1-10</t>
  </si>
  <si>
    <t>PWP - Les Vins du Propriétaires</t>
  </si>
  <si>
    <t>V1 envoyé le 18/10</t>
  </si>
  <si>
    <t>TWYD</t>
  </si>
  <si>
    <t>BAT envoyé le 21/10
FAB A FAIRE</t>
  </si>
  <si>
    <t>Euronet FRMD2156</t>
  </si>
  <si>
    <t>BAT VT fait le 1-10
BAT 1 envoyé le 22-10</t>
  </si>
  <si>
    <t>Gacem &amp; Fils</t>
  </si>
  <si>
    <t>BAT envoyé le 21/10</t>
  </si>
  <si>
    <t>SIMON MARCOU</t>
  </si>
  <si>
    <t>CAPSA FRITERIE</t>
  </si>
  <si>
    <t>JOUE CLUB PARTIE 2</t>
  </si>
  <si>
    <t>SQ Toulouse Montaudran exterieur</t>
  </si>
  <si>
    <t>BAT 1 envoyé le 15-05
BAT VT envoyé le 15-05
Relance le 15-05
BAT 2 envoyé le 24-05
BAT 3 envoyé le 28-05
Relance le 30-05
Relance le 7-06
Relance le 12-06
Refus mairie - BAT 4 envoyé le 19-07
Relance le 26-07
Relance le 31-07
Validé le 26-08 pour dossier mairie</t>
  </si>
  <si>
    <t>Camif habitat -St Avertin</t>
  </si>
  <si>
    <t>V1 le 05/09 - V2 le 11/09 - V3 le 18/09 - V4 au franchisé le 19/09 - Dossier mairie le 23/09</t>
  </si>
  <si>
    <t>Dossier Urgent - BAT VT envoyé le 16/07 - BAT V1 le 24/07 - V2 le 26/08</t>
  </si>
  <si>
    <t>RIA BE3380</t>
  </si>
  <si>
    <t>BAT 1 envoyé le 23-07
BAT 2 envoyé le 25-07
Relance le 31-07
BAT 3 envoyé le 28-08
BAT et devis validé - attente  VT (incomplete)</t>
  </si>
  <si>
    <t>SQ St Quentin interieur</t>
  </si>
  <si>
    <t>Attente brief
Relance le 10-09
Relance le 17-09
BAT 1 envoyé le 19-09
BAT 2 envoyé le 24-09
BAT 3 envoyé le 24-09
attente identifiant laverie pour le panneau application
Relance le 2-10
BAT 4 envoyé le 2-10
Relance le 17-10
BAT 5 envoyé le 21-10</t>
  </si>
  <si>
    <t>RIA BE3221</t>
  </si>
  <si>
    <t>BAT 1 envoyé le 22-07
Relance le 31-07
BAT 2 envoyé le 2-09
Relance le 10-09
Relance le 19-09
BAT 3 envoyé le 8-10
BAT et devis validé - attente VT</t>
  </si>
  <si>
    <t>RIA BE2542 - BE3708</t>
  </si>
  <si>
    <t>BAT 1 envoyé le 4-09
Relance le 10-09
Relance le 19-09
BAT 2 envoyé le 1-10 
Relance le 11-10
BAT et devis validé - attente VT</t>
  </si>
  <si>
    <t>Euronet FRMD2153</t>
  </si>
  <si>
    <t>BAT VT fait le 25-09
BAT 1 envoyé le 17-10</t>
  </si>
  <si>
    <t>RS S41</t>
  </si>
  <si>
    <t>Post mardi : OK
Post jeudi : trouver musique, montage OK</t>
  </si>
  <si>
    <t>Mr enseignes DOm Mathis</t>
  </si>
  <si>
    <t xml:space="preserve">BAT v1 envoyé </t>
  </si>
  <si>
    <t>Mr enseignes LUNE 2e adhésifs</t>
  </si>
  <si>
    <t>BAT v1 envoyé</t>
  </si>
  <si>
    <t xml:space="preserve">Gate avocats </t>
  </si>
  <si>
    <t>BAT v1 envoyé le 15/10</t>
  </si>
  <si>
    <t>Murmues</t>
  </si>
  <si>
    <t>BAT V1 envoyé le 16/10
BAT v2 envoyé le 16/10</t>
  </si>
  <si>
    <t>RIA BE2508</t>
  </si>
  <si>
    <t>BAT 1 envoyé le 4-09
BAT 2 envoyé le 9-09
BAT et devis validé - attente VT</t>
  </si>
  <si>
    <t>SAS CEBRON</t>
  </si>
  <si>
    <t>BAT envoyé le 10/10
BAT V2 envoyé le 15/01
BAT V3 envoyé le 15/10</t>
  </si>
  <si>
    <t>Mama Pizza</t>
  </si>
  <si>
    <t>BAT 1 envoyé le 28/12 - relance le 09/01 - BAT 2 envoyé le 17/01 - BAT 3 envoyé le 25/01 - BAT 4 envoyé le 31/01 relance mail le 20/02 - Relance par Carole le 21-03
BAT 5 envoyé le 26-03 
BAT 6 envoyé le 10-04
Relance le 30-05
Relance le 7-06
Relance le 27-06
Relance le 10-09
Relance le 2-10</t>
  </si>
  <si>
    <t>RIA BE2734</t>
  </si>
  <si>
    <t>BAT 1 envoyé le 4-09
Relance le 10-09
Relance le 19-09
BAT et devis validé - attente  VT</t>
  </si>
  <si>
    <t>City Locker Montparnasse</t>
  </si>
  <si>
    <t>BAT interne envoyé le 14-10
BAT 1 envoyé le 14-10
BAT 2 envoyé le 15-10</t>
  </si>
  <si>
    <t>Novi intérieur bourg-les-Valence</t>
  </si>
  <si>
    <t>MBB biaritz</t>
  </si>
  <si>
    <r>
      <rPr>
        <rFont val="Comfortaa"/>
        <b/>
        <color rgb="FFFF0000"/>
      </rPr>
      <t>REPRISE DOSSIER LAURIE :</t>
    </r>
    <r>
      <rPr>
        <rFont val="Comfortaa"/>
        <color theme="1"/>
      </rPr>
      <t xml:space="preserve"> Attente retour client - toujours en attente le 26/02 // demandé à florent le 07/03 pas de news - Relance Flo le 15/05 - Relance Flo le 16/10 - A archiver pour l'instant</t>
    </r>
  </si>
  <si>
    <t>PWP - Bouchon et Delice</t>
  </si>
  <si>
    <t>V1 envoyé le 15/10</t>
  </si>
  <si>
    <t>Relais 42</t>
  </si>
  <si>
    <t>Nouveau BAT mairie suite refus le 24/07</t>
  </si>
  <si>
    <t xml:space="preserve"> CSE DASSAULT - Panneau</t>
  </si>
  <si>
    <t>Premières versions envoyé le 7/10
BAT v1 envoyé le 15/10
FAB A FAIRE</t>
  </si>
  <si>
    <t>Novi - Matoury</t>
  </si>
  <si>
    <t>BAT VT envoyé le 13/02 - V1 envoyé le 13/03 - V2 le 02/04 - Etude avec préstataire local - Mail du 18/06</t>
  </si>
  <si>
    <t>Novi - Cayenne</t>
  </si>
  <si>
    <t>V1 envoyé le 13/03 - Etude avec préstataire local - Mail du 18/06</t>
  </si>
  <si>
    <t>RIA BE1072</t>
  </si>
  <si>
    <t>BAT 1 envoyé le 30-08
BAT 2 envoyé le 3-09
Relance le 10-09
BAT et devis validé - attente VT</t>
  </si>
  <si>
    <t>Novi - St Clotilde</t>
  </si>
  <si>
    <t>Pas de BAT VT faisable - Pas de photos - STAND BY mail du 29/08</t>
  </si>
  <si>
    <t>Novi - St Louis</t>
  </si>
  <si>
    <t>Projet Charte Emilie and the cool kids</t>
  </si>
  <si>
    <t>12/07 Envoi BAT mail</t>
  </si>
  <si>
    <t>[EDRA S.A] 95_LE PLESSIS BOUCHARD_FOTIS ST MARC</t>
  </si>
  <si>
    <t>[EDRA S.A] 39_COURLANS_CARROSSERIE ROUTHIER</t>
  </si>
  <si>
    <t>Carte repère</t>
  </si>
  <si>
    <t>Point S  Carcassonne</t>
  </si>
  <si>
    <t>BAT 1 envoyé le 14-10
la franchise à validé 
BAT 2 envoyé le 14-10</t>
  </si>
  <si>
    <t>GDS - La Baule Escoublac</t>
  </si>
  <si>
    <t>Demande info par mail le 23/09 - V1 le 30/09 - Proposition modif à SA le 30/09 - V2 le 07/10 - V3 le 10/10 - V3 envoyé au franchisé le 10/10</t>
  </si>
  <si>
    <t>BRENTAG</t>
  </si>
  <si>
    <t>BAT 1 envoyé le 2-10
BAT 2 envoyé le 2-10
BAT 3 envoyé le 2-10
Relanc le 4-10
Relance le 11-10
BAT 4 envoyé le 11-10</t>
  </si>
  <si>
    <t xml:space="preserve">Mr enseignes A table </t>
  </si>
  <si>
    <t>BAT v1 envoyé le 7/10
FAB A FAIRE</t>
  </si>
  <si>
    <t>Novi - Decines Charpieu</t>
  </si>
  <si>
    <t>BAT VT envoyé le 18/07
BAT v1 envoye le 26/09</t>
  </si>
  <si>
    <t>BAT VT envoyé le 10/07
Besoin photo supplémentaire, demande envoyé le 12/09</t>
  </si>
  <si>
    <t>[SGC Green Food] T-Shirt</t>
  </si>
  <si>
    <t>A controler</t>
  </si>
  <si>
    <t>01/10 Commande ST l'équipementier</t>
  </si>
  <si>
    <t>Point S Castre</t>
  </si>
  <si>
    <t>BAT 1 envoyé le 10-10</t>
  </si>
  <si>
    <t>Gi Group</t>
  </si>
  <si>
    <t>Temporis - Reims Generaliste - Vitrophanie</t>
  </si>
  <si>
    <t>V1 le 07/10 - V2 le 09/10 - FAB A FAIRE</t>
  </si>
  <si>
    <t xml:space="preserve">Mr enseigne Xoxo Design Sinagogue </t>
  </si>
  <si>
    <t>BAT v1 envoyé le 8/10
FAB A FAIRE</t>
  </si>
  <si>
    <t>RIA FR14967</t>
  </si>
  <si>
    <t>BAT 1 envoyé le 17-06
BAT 2 envoyé le 19-06
BAT et devis validé - attente VT</t>
  </si>
  <si>
    <t xml:space="preserve">LYON UTILITAIRE </t>
  </si>
  <si>
    <t>BAT V1 envoye le 3/10
relance le 7/10</t>
  </si>
  <si>
    <t>CARTE FIDELITE LE REPERE</t>
  </si>
  <si>
    <t>CDV "reduc" le repère</t>
  </si>
  <si>
    <t>LA NOUVELLE</t>
  </si>
  <si>
    <t>BAT 1 envoyé le 8-10</t>
  </si>
  <si>
    <t>[GROUPE CHAUVIN ARNOUX] Supports de communication Chauvin Arnoux</t>
  </si>
  <si>
    <t>17/09 envoi BAT1
FICHIERS FAB
Commande ST
07/10 demande mail si tout est ok</t>
  </si>
  <si>
    <t>Triangle Interim Solution RH</t>
  </si>
  <si>
    <t>V1 le 07/10</t>
  </si>
  <si>
    <t>BGP Plomberie</t>
  </si>
  <si>
    <t>V1 le 08/10</t>
  </si>
  <si>
    <t>CDV Brimm</t>
  </si>
  <si>
    <t>BAT v1 envoyé le 30/09
BAT v2 envoyé le 1/10
SOUS-TRAITANCE lancé</t>
  </si>
  <si>
    <t>menu le repère</t>
  </si>
  <si>
    <t>envoyé à Michael
v2 le 7/10
FAB A FAIRE</t>
  </si>
  <si>
    <t>Novi - Charmeil</t>
  </si>
  <si>
    <t>Dossier à prioriser (Mail du 06/09) - BAT VT envoyé le 05/07
BAT envoyé le 11/09
Retour par mail le 17/09 MO
BAT V2 envoyé le 23/09
BAT Franchiseur et Franchisé est validé
BAT V3 envoyé le 30/09</t>
  </si>
  <si>
    <t xml:space="preserve">Panneau le repère </t>
  </si>
  <si>
    <t>ARI grand audition bugey</t>
  </si>
  <si>
    <t xml:space="preserve">Le domaine 1838 </t>
  </si>
  <si>
    <t>BAT 1 envoyé le 7-10
BAT 2 envoyé le 7-10
BAT 3 envoyé le 7-10</t>
  </si>
  <si>
    <t>GUY HOQUET VAULX EN VELIN</t>
  </si>
  <si>
    <t xml:space="preserve">SQ cluse </t>
  </si>
  <si>
    <t>BAT et FAB fait le 7-10</t>
  </si>
  <si>
    <t>BAT 1 envoyé le 17-07
BAT VT fait le 18-07
Adhésiuf provisoire BAT et FAB fait le 18-07
BAT 2 envoyé le 18-07
BAt validé par franchis ete franchisé le 18-07
attente envoie des affiches et selection + attente VT pour faire le dossier mairie (presenter coffrage + enseigne)
BAT 3 envoyé le 24-07
Dossier mairie fait le 24-07
FAB prêtes - coffrage validé par la mairie - attente validation mairie des enseignes</t>
  </si>
  <si>
    <t>SCI BENI Oughlis adhésifs</t>
  </si>
  <si>
    <t>BAT v1 envoyé le 7/10</t>
  </si>
  <si>
    <t>IRTX SYSTEM</t>
  </si>
  <si>
    <t xml:space="preserve">Mr enseignes Lune </t>
  </si>
  <si>
    <t>Novi - Saint Aunes</t>
  </si>
  <si>
    <t>Dossier Urgent - BAT VT envoyé le 18/06 - V1 envoyé le 01/08 - V2 le 26/08 - Ok franchiseur - Envoie au franchisé le 26/08 - Relance au franchisé le 09/09 - Validation BAT le 11/09 - Attente validation devis pour FAB - Nouveau BAT le 26/09 - FAB A FAIRE</t>
  </si>
  <si>
    <t>SQ Chennevriere</t>
  </si>
  <si>
    <t>[EDRA S.A] 38_VILLARD-BONNOT_CARROSSERIE V.B.C.R</t>
  </si>
  <si>
    <t>01/10 envoi BAT
FAB A FAIRE</t>
  </si>
  <si>
    <t>[ONET PROPRETE ET FACILITY SERVICES] Enseignes BILLIERE -</t>
  </si>
  <si>
    <t>20/08 envoi BAT
22/08 envoi BAT2
07/10 FAB A FAIRE</t>
  </si>
  <si>
    <t>[EDRA S.A] 83_LES ARCS SUR ARGENS_CARROSSERIE HEBRART</t>
  </si>
  <si>
    <t>[EDRA S.A] 57_METZ_CARROSSERIE BOURDON</t>
  </si>
  <si>
    <t>19/09 envoi BAT1
01/10 envoi BAT</t>
  </si>
  <si>
    <t>[EDRA S.A] 59_TOURCOING_CARROSSERIE DESMET</t>
  </si>
  <si>
    <t>PWP - Island</t>
  </si>
  <si>
    <t>V1 envoyé le 26/09</t>
  </si>
  <si>
    <t>PWP - Rum La Cave Provins</t>
  </si>
  <si>
    <t>AQUAMARK</t>
  </si>
  <si>
    <t>bat V3 ENVOYE LE 3/10</t>
  </si>
  <si>
    <t>G-On life covering</t>
  </si>
  <si>
    <t>BAT envoyé le 1/10
BAT v2 LE 2/10
FAB A FAIRE</t>
  </si>
  <si>
    <t>AKENA microperf</t>
  </si>
  <si>
    <t>BAT v1 envoyé le 30/09</t>
  </si>
  <si>
    <t>Les chérubins</t>
  </si>
  <si>
    <t>BAT en cours, erreur dimensions devis
BAT fait attente de réponse du devis 
BAT v1 envoyé le 30/09
FAB A FAIRE</t>
  </si>
  <si>
    <t>[Eiffage Route – Région Centre Est] LVL8 - BRON</t>
  </si>
  <si>
    <t>BAT envoyé le 03/10</t>
  </si>
  <si>
    <t>TERRES FERME Adhésif + Lambrequin</t>
  </si>
  <si>
    <t>BAT envoyé le 17/09
BAT envoyé le 23/09
BAT envoyé le 26/09
Demande devis lambrequin
Lambrequin commandé 02/10</t>
  </si>
  <si>
    <t>PWP - Cave du Berguenard</t>
  </si>
  <si>
    <t>V1 envoyé le 01/10</t>
  </si>
  <si>
    <t>KREATURE DECATH GRE PART 2</t>
  </si>
  <si>
    <t>Novi - Vedene</t>
  </si>
  <si>
    <t>DOSSIER URGENT - BAT VT envoyé le 18/07 - V1 envoyé le 03/09 - V2 le 19/09 - FAB A FAIRE</t>
  </si>
  <si>
    <t>Perenia</t>
  </si>
  <si>
    <t>GDS - Savigny sur Orge</t>
  </si>
  <si>
    <t>GH GUERANDE ADH PROV</t>
  </si>
  <si>
    <t>SNC WAP ORMES SABLON</t>
  </si>
  <si>
    <t>BAT V1 envoye le 1/10</t>
  </si>
  <si>
    <t xml:space="preserve">CVC PLOMBERIE </t>
  </si>
  <si>
    <t>CLERICI TESSUTO</t>
  </si>
  <si>
    <t>BAT envoyé le 23/09</t>
  </si>
  <si>
    <t>Concept auto</t>
  </si>
  <si>
    <t>BAT 1 envoyé le 12-09
BAT 2 envoyé le 12-09
BAT 3 envoyé le 16-09
BAT 4 envoyé le 18-09
Relance le 2-10</t>
  </si>
  <si>
    <t>SEP BAZILLE GARANDEL</t>
  </si>
  <si>
    <t>Envoi mail pour rdv tel (BAT commencé par Laurie)
RDV tel lundi 10h
VT en cours par Antoine
02/08 envoi BAT
12/08 Relance mail+proposition V3 différente avec charte grahique MMA
Modifier V1
30/08 envoi BAT
04/09 envoi BAT
19/09 envoi BAT
27/09 relance
FAB A FAIRE</t>
  </si>
  <si>
    <t>YCAO</t>
  </si>
  <si>
    <t>BAT mairie envoyé le 17/07 à la cliente
25/07 BAT envoyé selon BAT mairie
FAB A FAIRE
Commande sous traitant
validation nouveau BAT avec logo plus petit sur drapeau
ok</t>
  </si>
  <si>
    <t>Mr enseignes - innov data</t>
  </si>
  <si>
    <t>BAT v1 envoye le 1/12
FAB A FAIRE</t>
  </si>
  <si>
    <t>PWP - Bibs</t>
  </si>
  <si>
    <t>Onet Chasseneuil du Poitou</t>
  </si>
  <si>
    <t>BAT modifié envoyé le 12/08 - V2 modif le 12/08</t>
  </si>
  <si>
    <t>CS SAINT CLOUD</t>
  </si>
  <si>
    <t>REFAB ways expertise</t>
  </si>
  <si>
    <t>V1 envoyé le 25/09 - V2 le 30/09</t>
  </si>
  <si>
    <t xml:space="preserve">L'élégance périgourdine </t>
  </si>
  <si>
    <t xml:space="preserve">     prise de contact par tel pas de réponse
réponse le 24/09 
visuel pour retour graphique envoye le 25/09
BAT v1 envoyé le 26/09
Relance le 1/10</t>
  </si>
  <si>
    <t>Pedersen</t>
  </si>
  <si>
    <t>info reçu le 23/09
manque infos &gt; appel antoine le 23/09 pas de rep
Infos reçu 24/09
BAT V1 envoyé le 24/09
Relance le 1/10</t>
  </si>
  <si>
    <t>Euronet FRMD2161</t>
  </si>
  <si>
    <t>BAT 1 envoyé le 1-10</t>
  </si>
  <si>
    <t xml:space="preserve">Esqui </t>
  </si>
  <si>
    <t>Demande de rensignements le 18/09 (par mail car pas de num)
réponse le 19/09 &gt; demande d'autres renseignent 
BAT v1 envoyé le 20/09
relance le 1/10</t>
  </si>
  <si>
    <t>Euronet FRMD2164</t>
  </si>
  <si>
    <t>Euronet FRMD2162</t>
  </si>
  <si>
    <t xml:space="preserve">[BAILLY SEBASTIEN] CABINET DENTAIRE </t>
  </si>
  <si>
    <t xml:space="preserve">[M.MOUSTACHE] Nouvelle boutique / Strasbourg </t>
  </si>
  <si>
    <t>[ARI GrandAudition Ambérieu] AMBERIEU EN BUGEY</t>
  </si>
  <si>
    <t>Pause</t>
  </si>
  <si>
    <t>05/08 Demande fichiers graphiques
Retour après le 26/08 (sont en train de revoir la communication de la vitrine)
Transfert à Hugo</t>
  </si>
  <si>
    <t>Paracelse</t>
  </si>
  <si>
    <t>envoi BAT 1
envoi BAT 2
23/09 relance mail 
FAB A FAIRE</t>
  </si>
  <si>
    <t>[STEEP] SIGNALETIQUE EXTERIEURE</t>
  </si>
  <si>
    <t>BAT Eenvoyé le 30/09
FAB A FAIRE</t>
  </si>
  <si>
    <t>Euronet FRMD2144</t>
  </si>
  <si>
    <t>BAT 1 envoyé le 30-09</t>
  </si>
  <si>
    <t>PWP - Cave du Moulin Brignais</t>
  </si>
  <si>
    <t>Euronet FRMD2159</t>
  </si>
  <si>
    <t>Euronet habillage dab 100 D</t>
  </si>
  <si>
    <t>SQ SVT  animaux</t>
  </si>
  <si>
    <t>BAT 1 envoyé le 26-09</t>
  </si>
  <si>
    <t>AJC - Adhésif</t>
  </si>
  <si>
    <t>BAT envoyé le 26/09
BAT validé le 26/09</t>
  </si>
  <si>
    <t>Organigramme</t>
  </si>
  <si>
    <t>✅</t>
  </si>
  <si>
    <t>Temporis Fecamp et Lens</t>
  </si>
  <si>
    <t>V1 27/09</t>
  </si>
  <si>
    <t>NOVATRANS</t>
  </si>
  <si>
    <t>TOPADEV</t>
  </si>
  <si>
    <t>GH SAVIGNY</t>
  </si>
  <si>
    <t xml:space="preserve">GH LIEUSAINT </t>
  </si>
  <si>
    <t>GUY HOQUET LIEUSAINT</t>
  </si>
  <si>
    <t>Euronet FRMD2163</t>
  </si>
  <si>
    <t>BAT fait le 26-09</t>
  </si>
  <si>
    <t>ManuMesure</t>
  </si>
  <si>
    <t>Prise de contact par tel et mail le 16/09 pour demander les visuels 
relance par tel le 18/09 et relance par mail
éléments envoyé le 20/09
BAT v1 envoyé le 26/09
préparation fichier</t>
  </si>
  <si>
    <t>Frerejean Frères</t>
  </si>
  <si>
    <t>BAT 1 envoyé le 20-09
BAT 2 envoyé le 26-09
BAT 3 envoyé le 26-09</t>
  </si>
  <si>
    <t>Le domaine 1838</t>
  </si>
  <si>
    <t>BAT 1 envoyé le 24-09
propositions de polices envoyé le 24-09
BAT 2 envoyé le 25-09
BAT 3 envoyé le 26-09
BAT 4 envoyé le 26-09</t>
  </si>
  <si>
    <t>EURONET FRMD2165</t>
  </si>
  <si>
    <t>POST aménagement Wor k&amp; porgress</t>
  </si>
  <si>
    <t>Prise de vue 25/09
photos faites le  26/09</t>
  </si>
  <si>
    <t>EURONET FRMD2158</t>
  </si>
  <si>
    <t>EURONET FRMD2157</t>
  </si>
  <si>
    <t xml:space="preserve">Mon audio concept </t>
  </si>
  <si>
    <t>Info reçu le 24/09 &gt; besoin d'info pour compléter ou pas le devis  
BAT avec juste adhésifs envoyé le 24/09$
retour le 25/09
BAT v2  envoyé le 25/09
retour par tel le 25/09
BAT v3 envoyé le 25/09
BAT v4 envoyé le 25/09</t>
  </si>
  <si>
    <t>Gi plateau Regus</t>
  </si>
  <si>
    <t>BAT VT envoyé le 22-07
BAT 1 envoyé le 22-07
Relance le 26-07
BAT 2 envoyé le 29-07
Relance le 31-07
BAT 3 envoyé le 1-08
BAT 4 envoyé le 27-08
BAT 5 envoyé le 29-08
BAT 6 envoyé le 4-09
Relance le 10-09
Relance par tel le 17-09</t>
  </si>
  <si>
    <t>GDS - Savigny Sur Orge</t>
  </si>
  <si>
    <t>BAT Validé franchiseur et franchisé - BAT Mairie fait le 26/06 - FAB A FAIRE</t>
  </si>
  <si>
    <t>GDS - Tassin la demi lune</t>
  </si>
  <si>
    <t>V1 envoyé le 23/09 - FAB A FAIRE</t>
  </si>
  <si>
    <t>Novi - Aubagne</t>
  </si>
  <si>
    <t>BAT VT envoyé le 05/07
Attente, il manque des mesures</t>
  </si>
  <si>
    <t>SQ St Orens Interieur</t>
  </si>
  <si>
    <t>Attente brief
Relance le 10-09
Relance le 17-09
BAT 1 envoyé le 24-09</t>
  </si>
  <si>
    <t>La cabane - DA</t>
  </si>
  <si>
    <t>photo et mesure prise le 24/09
visuel envoyé le 24/09</t>
  </si>
  <si>
    <t>Panier des sens Opéra</t>
  </si>
  <si>
    <t>BAT 1 envoyé le 24-09</t>
  </si>
  <si>
    <t>INFOSIDE</t>
  </si>
  <si>
    <t>BAT envoyé le 20/09
BAT V2 envoyé le 24/09</t>
  </si>
  <si>
    <t>GUY HOQUET CESTAS</t>
  </si>
  <si>
    <t>Post RS - Récap semaine</t>
  </si>
  <si>
    <t>V1 choix photo et description envoyé à michael 19/09</t>
  </si>
  <si>
    <t>Camif - St Julien en Genevois</t>
  </si>
  <si>
    <t>BAT V1 Franchiseur envoyé le 12/09 - Adh provisoire prod et BAT VT le 12/09 - V2 le 18/09 - V3 le 19/09 - FAB A FAIRE mais attente dim N°1 et Kit horaire info</t>
  </si>
  <si>
    <t>Point S Boisset</t>
  </si>
  <si>
    <t>BAT 1 envoyé le 23-09
BAT 2 envoyé le 23-09</t>
  </si>
  <si>
    <t>Novi - Montpellier Carrieu</t>
  </si>
  <si>
    <t>Dossier Urgent - BAT VT envoyé le 18/06 - BAT V1 envoyé le 16/08 - V2 le 03/09 - Envoi au franchisé le 12/09</t>
  </si>
  <si>
    <t>Novi - Montpellier av Toulouse</t>
  </si>
  <si>
    <t>BAT VT envoyé le 18/06 - V1 envoyé le 14/08 - V2 le 03/09 - Envoi au franchisé le 12/09</t>
  </si>
  <si>
    <t>Novi - Beziers</t>
  </si>
  <si>
    <t>BAT VT envoyé le 18/06 - BAT envoyé à MO le 27/06 - Envoyé au franchisé le 05/09 - FAB A FAIRE</t>
  </si>
  <si>
    <t>Euronet FRMD2148</t>
  </si>
  <si>
    <t>BAT 1 envoyé le 23-09</t>
  </si>
  <si>
    <t>[EASY CHARGE] ADHESIVAGE BORNES</t>
  </si>
  <si>
    <t>Attente fichiers de la part du client appel 17/09</t>
  </si>
  <si>
    <t>O FUDA</t>
  </si>
  <si>
    <t xml:space="preserve">CAP 1 </t>
  </si>
  <si>
    <t>Demande d'éléments envoyé le 17-09
BAT 1 envoyé le 20-09</t>
  </si>
  <si>
    <t>MR ENSEIGNES - Lune</t>
  </si>
  <si>
    <t>BAT envoyé le 19/09</t>
  </si>
  <si>
    <t>Panier des sens Sanary</t>
  </si>
  <si>
    <t>BAT 1 envoyé le 18-09
BAT 2 envoyé le 20-09</t>
  </si>
  <si>
    <t>[EDRA S.A] 51_TINQUEUX_CARAXIAL TINQUEUX</t>
  </si>
  <si>
    <t>Centre service LOGO int</t>
  </si>
  <si>
    <t>SYPPLLAY</t>
  </si>
  <si>
    <t>TWYD - CMD240917</t>
  </si>
  <si>
    <t>Copro panneau</t>
  </si>
  <si>
    <t>SQ Montauban</t>
  </si>
  <si>
    <t>BAT 1 envoyé le 19-09</t>
  </si>
  <si>
    <t>Bikube Lyon adhésif</t>
  </si>
  <si>
    <t>BAT v1 envoyé le 12/09
Retour BAT le 17/09
BAT v2 envoyé le 18/09
Retouche fichier de fab le 25/09</t>
  </si>
  <si>
    <t>[M.MOUSTACHE] ENSEIGNES INTÉRIEURES</t>
  </si>
  <si>
    <t>BAT envoyé
FAB A faire</t>
  </si>
  <si>
    <t>LNCR</t>
  </si>
  <si>
    <t>Les petites cantines</t>
  </si>
  <si>
    <t>BAT 1 envoyé le 16-09
BAT 2 envoyé le 17-09
Relance le 18-09</t>
  </si>
  <si>
    <t xml:space="preserve">GH CHAPONOST </t>
  </si>
  <si>
    <t>VT réalisé le 25/06 - BAT MAIRIE A FAIRE</t>
  </si>
  <si>
    <t xml:space="preserve">EURONET BAUX DE PROVENCE </t>
  </si>
  <si>
    <t>VT envoyé le 06/04 - BAT envoyé me 05/03</t>
  </si>
  <si>
    <t>SQ Dax exterieur</t>
  </si>
  <si>
    <t>BAT 1 envoyé le 16-04
BAT VT envoyé le 16-04
BAT 2 envoyé le 19-04
BAT 3 envoyé le 14-05
Relance le 15-05
BAT mairie fait le 23-05
Refus mairie - nouveau BAT envoyé à Paul le 26-08 - en attente de sa validation pour renvoyer en mairie (dossier prêt)
nouveau BAT mairie fait le 29-08</t>
  </si>
  <si>
    <t>Guy Hoquet Besançon</t>
  </si>
  <si>
    <t>BAT VT envoyé - 
BAT 1 envoyé le 28-11
BAT 2 envoyé le 28-11
BAT 3 envoyé le 29-11
Michael relancé le 10-01 , on attend les infos pour le dossier mairie
la mairie est entrain de reflechir, lola regarde avec la direction pour savoir ce qu'il est possible de faire
Demande avis en fonction du retour mairie à la franchise le 8-03
BAT 4 envoyé le 12-03 à la franchise apreès retour mairie
Attente validation franchisé pour envoi à la mairie
BAT 5 envoyé à la franchise le 20-03
la franchise à validé le 21-03 - atte,nte validation franchisé
BAT6 envoyé le 28-03 à la franchise
franchise validé - envoyé au franchisé le 28-03
BAT mairie fait le 2-04
Nouveau BAt mairie le 29-04
nous ne produisons pas, dossier à archiver après validation mairie</t>
  </si>
  <si>
    <t>SQ Bordeaux Eysine exterieur</t>
  </si>
  <si>
    <t>BAT 1 envoyé le 17-05
BAT VT envoyé le 17-05
BAT Validé 
BAT mairie fait le 23-05</t>
  </si>
  <si>
    <t>[Solina Group Services] ADHÉSIF POUR EXTÉRIEURE</t>
  </si>
  <si>
    <t>A FAIRE OU NON ?</t>
  </si>
  <si>
    <t>Reborn expertise</t>
  </si>
  <si>
    <t>[AVISTA AGENCEMENT] PANIER DES SENS à PASSY -</t>
  </si>
  <si>
    <t>12/08 envoie BAT (client en vacances jusqu'au 25/08 inclus)
28/08 envoi BAT
29/08 enoi BAT
FAB A FAIRE</t>
  </si>
  <si>
    <t>RIA FR7313</t>
  </si>
  <si>
    <t>BAT 1 envoyé le 30-07
Relance le 31-07
Relance le 10-09
BAT validé - attente validation devis et VT</t>
  </si>
  <si>
    <t>Guy Hoquet Aubervillers</t>
  </si>
  <si>
    <t>BAT V2 envoyé le 12/09
V1 envoyé par hugo
V2 enovoyé le 12/09
retour le 16/09
V3 envoyé le 16/09
Retour reçu le 17/09
V4 envoyé le 17/09
Fab envoyé le 19/09</t>
  </si>
  <si>
    <t>[ASSOCIATION HMONG LEADERSHIP] roll up -</t>
  </si>
  <si>
    <t>A relancer</t>
  </si>
  <si>
    <t>17/09 envoi BAT1
18/09 relance
18/09 FAB A FAIRE</t>
  </si>
  <si>
    <t xml:space="preserve">Yogurt factory </t>
  </si>
  <si>
    <t>Envoie BAT le 18/09</t>
  </si>
  <si>
    <t>RIA FR9060</t>
  </si>
  <si>
    <t>BAT 1 envoyé le 23-07
BAT 2 envoyé le 25-077
BAT 3 envoyé le 30-07
Relance le 31-07
BAT 4 envoyé le 31-07
Relance le 10-09
BAT 4 envoyé le 11-09
BAT validé - attente validation devis et VT</t>
  </si>
  <si>
    <t>Galerie Imane Fares</t>
  </si>
  <si>
    <t>30/08 envoi BAT</t>
  </si>
  <si>
    <t>ANACOURS BOULOGNE</t>
  </si>
  <si>
    <t>City Locker</t>
  </si>
  <si>
    <t>BAT 1 envoyé en interne
VT à faire, Orianne a été brieffé le 16-09</t>
  </si>
  <si>
    <t>TCS</t>
  </si>
  <si>
    <t>BAT 1 envoyé le 16-09
Relance par tel le 17-09  - message vocal</t>
  </si>
  <si>
    <t>Lea Fedorko</t>
  </si>
  <si>
    <t>BAT 1 envoyé le 10-09
BAT 2 envoyé le 12-09
BAT 3 envoyé le 16-09
Relance par tel le 17-09</t>
  </si>
  <si>
    <t>Novi - Pontarlier</t>
  </si>
  <si>
    <t>BAT VT le 05/07 - V1 envoyé le 17/07 - V2 le 21/08 - V3 le 27/08 - FAB A FAIRE</t>
  </si>
  <si>
    <t>Profire</t>
  </si>
  <si>
    <t>BAT 1 envoyé le 12-09
BAT 2 envoyé le 16-09
BAT 3 envoyé le 17-09</t>
  </si>
  <si>
    <t>V1 envoyé le 13/09 - FAB A FAIRE</t>
  </si>
  <si>
    <t>Temporis Bar le Duc</t>
  </si>
  <si>
    <t>BAT V1 envoyé le 16/09</t>
  </si>
  <si>
    <t>Temporis - Metz</t>
  </si>
  <si>
    <t>Temporis Ales</t>
  </si>
  <si>
    <t>pyramide online</t>
  </si>
  <si>
    <t>GUY HOQUET MIRIBEL</t>
  </si>
  <si>
    <t>Euronet FRMD2152</t>
  </si>
  <si>
    <t>BAT fait le 17-09</t>
  </si>
  <si>
    <t>ALL AESTHETICS CANNES - Adhésifs provisoires</t>
  </si>
  <si>
    <t>BAT envoyé le 12/09</t>
  </si>
  <si>
    <t>INRAE</t>
  </si>
  <si>
    <t>EL INCA</t>
  </si>
  <si>
    <t>BAT envoyé le 19/06, pas de retour, relancé le 24/06, urgent, attente retour client pour lancer e FAB urgent</t>
  </si>
  <si>
    <t xml:space="preserve">[ALIMENTATION GENERALE] SIGNALÉTIQUE EXTÉRIEURE </t>
  </si>
  <si>
    <t>31/08 Appel client &gt; il sait pas quoi mettre sur le drapeau
12/08 envoi BAT</t>
  </si>
  <si>
    <t>MR ENSEIGNES_Vaness bauty</t>
  </si>
  <si>
    <t>BAT envoyé le 11/09</t>
  </si>
  <si>
    <t>Point S Millas</t>
  </si>
  <si>
    <t>BAT VT envoyé le 3-9
BAT 1 envoyé le 10-09
BAT 2 envoyé le 12-09
la franchise à validé - envoi au franchisé le 16-09</t>
  </si>
  <si>
    <t>Guy Hoquet st Germain Mont D'or</t>
  </si>
  <si>
    <t>BAT interne 1 envoyé le 30-11
BAT VT fait le 30-11
VT reçu - BAT 2 envoyé le 6-12
BAT mairie fait le 11-12
BAT 4 envoyé le 12-12
La mairie à refusé les panneaux, mettre les lettres direct sur la façade
BAT 5 envoyé le 10-01
BAT 6 envoyé à la franchise -  validé par la franchise
BAT envoyé au franchisé en attente de validation finale
BAT 7 envoyé le 25-01 au franchisé et franchiseur
la franchise à validé
attente validation franchisé - relancé le 30-01
validé par Michael le 20-02
BAT mairie envoyé le 20-02
mairie validé - attente confirmation Michael pour mise en prod
Relance Michael le 22-05
STAND BY - A RAPPELER EN SEPTEMBRE</t>
  </si>
  <si>
    <t xml:space="preserve">Mr enseignes PANO limoges </t>
  </si>
  <si>
    <t>BAT envoyé le 11/09
BAT accepté le 13/09
FAB A FAIRE</t>
  </si>
  <si>
    <t>PWP - Notre Cave</t>
  </si>
  <si>
    <t>BAT envoyé le 13/09</t>
  </si>
  <si>
    <t>Mr Enseignes - Vitrophanie</t>
  </si>
  <si>
    <r>
      <rPr>
        <rFont val="Comfortaa"/>
        <b/>
        <color rgb="FFFF0000"/>
      </rPr>
      <t>REPRISE DOSSIER VANESSA :</t>
    </r>
    <r>
      <rPr>
        <rFont val="Comfortaa"/>
        <color theme="1"/>
      </rPr>
      <t xml:space="preserve"> V1 envoyé le 21/08</t>
    </r>
  </si>
  <si>
    <t xml:space="preserve">Temporis - Lyon Nord E&amp;C </t>
  </si>
  <si>
    <t>V1 le 13/06 (Hors FP)</t>
  </si>
  <si>
    <t>V1 le 07/05 - V2 le 14/05 - Validation V noire le 22/05 - Virement, fichier et devis envoyé - Attente devis pour la V Blanche</t>
  </si>
  <si>
    <t>V1 au franchisé le 05/07</t>
  </si>
  <si>
    <t>TV NET</t>
  </si>
  <si>
    <t>La Maison Encrée</t>
  </si>
  <si>
    <t>BAT V1 le 13/09</t>
  </si>
  <si>
    <t>PWP - Cave de Regusse</t>
  </si>
  <si>
    <t>V1 envoyé le 03/09</t>
  </si>
  <si>
    <t>MR MISTER ENSEIGNE CITY COM_Girardin Artisan</t>
  </si>
  <si>
    <t>Apogea</t>
  </si>
  <si>
    <t>Demande de logo le 11/09
BAT V1 envoyé le 12/09
FAB A FAIRE</t>
  </si>
  <si>
    <t>RIA BE1681</t>
  </si>
  <si>
    <t>BAT 1 envoyé le 23-07
Relance le 31-07
BAT 2 envoyé le 2-09
BAT 3 envoyé le 3-09
FAB à faire</t>
  </si>
  <si>
    <t>SQ Massy interieur</t>
  </si>
  <si>
    <t>Attente de brief
Relance le 7-06
Relance le 3-07
Relance le 30-08
BAT 1 envoyé le 9-09
Relance le 10-09
BAT 2 envoyé le 13-09</t>
  </si>
  <si>
    <t>Valobat Saramejean</t>
  </si>
  <si>
    <t>BAT 1 envoyé le 9-09
Relance le 12-09
BAT 2 envoyé le 13-09</t>
  </si>
  <si>
    <t>point s Carcassone suite</t>
  </si>
  <si>
    <t>numéro sur panneau  et adhésif horaires tel sur porte à envoyer dans un second temps en découpe lettrage
Relance le 30-05
Relance le 27-06
Relance le 30-07
Relance le 10-09
BAT 1 envoyé le 11-09
BAT 2 envoyé le 12-09</t>
  </si>
  <si>
    <t>Le couche tard</t>
  </si>
  <si>
    <t>BAT 1 envoyé le 11-09
BAT 2 envoyé le 11-09</t>
  </si>
  <si>
    <t>Gestion Santé - Schiltigheim</t>
  </si>
  <si>
    <t>ME PRINT - REMAX (210824V1)</t>
  </si>
  <si>
    <t>faire la FAB du dossier d'Hugo</t>
  </si>
  <si>
    <t xml:space="preserve">Mr enseignes SMCR rotisserie </t>
  </si>
  <si>
    <t>BAT envoyé le 11/09
prération fichier</t>
  </si>
  <si>
    <t>Centre Services - Bordeaux</t>
  </si>
  <si>
    <t>V1 + BAT VT le 30/05 - V2 le 03/06 - V3 le 05/06 - FAB A FAIRE</t>
  </si>
  <si>
    <t>URGENT - Rollup Job Dating</t>
  </si>
  <si>
    <t>Point S Gange</t>
  </si>
  <si>
    <t>BAT VT envoyé le 23-07
Relance VT le 26-07
Attente VT, relance faite le 30-07
BAT 1 envoyé le 28-08
la franchise à validé le 29-08 - envoie franchisé le 29-08
Relance le 5-09
Relance le 10-09</t>
  </si>
  <si>
    <t>Ways expertise</t>
  </si>
  <si>
    <t>BAT V1 envoyé le 10/09</t>
  </si>
  <si>
    <t>SAS Cebron Aldente</t>
  </si>
  <si>
    <t>BAT 1 envoyé le 10-09
BAT 2 envoyé le 10-09</t>
  </si>
  <si>
    <t>Wash n dry Vienne exterieur</t>
  </si>
  <si>
    <t>attente brief, demande faite le 14-05
Relance le 15-05 - relance brief le 16-05
BAT VT envoyé le 16-05
BAT provisoire envoyé le 16-05
BAT 1 envoyé le 27-05
BAT 2 envoyé le 28-05
relance pour validation du provisoire le 3-06
Provisoire en FAB le 3-06
BAT 3 envoyé le 3-06
BAT 4 envoyé le 4-06
BAT 5 envoyé le 5-06
BAT mairie envoyé pour l'exterieur le 6-06
Refus mairie, BAT modifié le 3-07 
renvoie en mairie le 3-07
nouveau refus mairie - BAT 7 envoyé le 22-07 au franchisé et à la franchise
BAT mairie fait le 23-07
BAT finale envoyé le 9-09
Relance le 10-09</t>
  </si>
  <si>
    <t>SQ St Cyr simply pay</t>
  </si>
  <si>
    <t>BAT 1 envoyé le 6-09
Relance le 9-09
Relance le 10-09</t>
  </si>
  <si>
    <t xml:space="preserve">Onérique </t>
  </si>
  <si>
    <t>SQ Metz enseigne</t>
  </si>
  <si>
    <t>BAT 1 envoyé le 13-03
BAT VT fait le 13-03
Relance le 14-03
BAT 2 envoyé le 27-03
BAT mairie fait le 10-04</t>
  </si>
  <si>
    <t>Euronet C2040</t>
  </si>
  <si>
    <t>BAT 1 envoyé le 9-09</t>
  </si>
  <si>
    <t>Mr enseigne pano limoge</t>
  </si>
  <si>
    <t xml:space="preserve">[Little liamone] DRAPEAU BACHE </t>
  </si>
  <si>
    <t>26/08 envoi BAT
FAB A FAIRE (commander sur Pixartprinting)
Drapeau commandé ok &gt; voir si tout se passe bien</t>
  </si>
  <si>
    <t>KEBAB DU STADE - CAPSA</t>
  </si>
  <si>
    <t>V1 envoyé le 22/07, V2 envoyé le 25/07, Mail envyé le 19/08 - V3 - V4 - V5 envoyé le 02/09 - Attente retour client - FAB A FAIRE</t>
  </si>
  <si>
    <t>SQ Dax provisoire</t>
  </si>
  <si>
    <t>BAT 1 envoyé le 3-09
BAT 2 envoyé le 4-09</t>
  </si>
  <si>
    <t>Onet - Plaque PVC NOIR</t>
  </si>
  <si>
    <t>Relance le 19/08</t>
  </si>
  <si>
    <t>Onet Adamas</t>
  </si>
  <si>
    <t>Demande de devis GEP et Alicia - FAB A LANCER</t>
  </si>
  <si>
    <t>RIA BE3156</t>
  </si>
  <si>
    <t>BAT 1 envoyé le 22-07
Relance le 31-07
BAT validé - attente validation devis et VT</t>
  </si>
  <si>
    <t xml:space="preserve">INGECAL ADH </t>
  </si>
  <si>
    <t xml:space="preserve">Association des maitres cuisiniers </t>
  </si>
  <si>
    <t xml:space="preserve">demander les fichiers graphiques </t>
  </si>
  <si>
    <t>Point S Ile Sur Têt</t>
  </si>
  <si>
    <t>BAT VT envoyé le 26-08
BAT 1 envoyé le 2-09
la franchise à validé le 3-09 - attente validation franchisé</t>
  </si>
  <si>
    <t>Le Repere</t>
  </si>
  <si>
    <t>BAT 1 envoyé le 4-09
validé par la franchise - envoie au franchisé le 4-09</t>
  </si>
  <si>
    <t xml:space="preserve">SQ Montauban </t>
  </si>
  <si>
    <t>BAT 1 envoyé le 28-08
BAT 2 envoyé le 2-09</t>
  </si>
  <si>
    <t>RIA FR13950</t>
  </si>
  <si>
    <t>BAT 1 envoyé le 19-03
Relance le 25-03
Relance le 19-04
Relance le 15-05
Relance le 21-05
Relance le 30-05
Relance le  27-06
Relance le 31-07
BAT 2 envoyé le 27-08
BAT et devis validé - attente VT</t>
  </si>
  <si>
    <t>KANGO PISCINE 95</t>
  </si>
  <si>
    <t>CENTRE SERVICES BUSSY</t>
  </si>
  <si>
    <t>La peyre</t>
  </si>
  <si>
    <t>BAT 1 envoyé le 30-04
Relance le 3-05
Relance le 7-05
Dossier mairie fait le 10-05 
BAT 2 envoyé le 22-05
BAT 3 envoyé le 30-05
Relance le 3-06
BAT 4 envoyé le 11-06
BAT 5 envoyé le 17-06
BAT 6 envoyé le 18-06
BAT mairie fait le 21-06
BAT 7 envoyé le 27-08
BAT 8 envoyé le 3-09</t>
  </si>
  <si>
    <t>ON AIR ADH</t>
  </si>
  <si>
    <t>Novi Melun - 2e Commande</t>
  </si>
  <si>
    <t>Onet Courbevoie</t>
  </si>
  <si>
    <t xml:space="preserve">V1 envoyé le 25/07, V2 envoyé le 26/07 - FAB </t>
  </si>
  <si>
    <t>[LA GRANGE AU BOUC] ENSEIGNE EXTERIEURE</t>
  </si>
  <si>
    <t>30/07 envoi BAT
12/08 relance mail
FAB A FAIRE</t>
  </si>
  <si>
    <t xml:space="preserve">BAstien Blanc - PB ENSEIGNE avec Enseigne plus
</t>
  </si>
  <si>
    <t xml:space="preserve">
Des relances pour la livraison, voir Whatsapp
24/07 reception elements en laitons+ tige fieltes
02/08 Reception plexis et bandeaux led
05/08 Mail pour dire que ca va pas et qu'il faut refaire enseigne
06/08 retour service client ok+retour enseigne
06/08 Envoi mail avec coordonnes pour enlevement enseigne
07/08 relance mail
13/08 relance mail
19/08 relance tel &gt; retour du commercial, il relance l'enseigne (les autres n'avaient pas lancé la récupération de l'enseigne)</t>
  </si>
  <si>
    <t>Amour et cuisine</t>
  </si>
  <si>
    <t>28/08 Envoi BAT
FAB A FAIRE</t>
  </si>
  <si>
    <t>M.MOUSTACHE MARSEILLE</t>
  </si>
  <si>
    <t>13/08 envoi BAT FAB A FAIRE</t>
  </si>
  <si>
    <t>M.MOUSTACHE LYON</t>
  </si>
  <si>
    <t>M.MOUSTACHE PARIS GUICHARD</t>
  </si>
  <si>
    <t>M.MOUSTACHE PARIS LEGENDRE</t>
  </si>
  <si>
    <t>M.MOUSTACHE RENNES</t>
  </si>
  <si>
    <t>M.MOUSTACHE PARIS ST ANTOINE</t>
  </si>
  <si>
    <t>M.MOUSTACHE LILLE</t>
  </si>
  <si>
    <t>M.MOUSTACHE BORDEAUX</t>
  </si>
  <si>
    <t>M.MOUSTACHE TOULOUSE</t>
  </si>
  <si>
    <t>M.MOUSTACHE BOULOGNE</t>
  </si>
  <si>
    <t>M.MOUSTACHE PARIS ABBESSES</t>
  </si>
  <si>
    <t>M.MOUSTACHE NANTES</t>
  </si>
  <si>
    <t>CHEZ JULIEN</t>
  </si>
  <si>
    <t>Euronet FRRD0426 - Nice - MAYAME</t>
  </si>
  <si>
    <t>LEMON ANTIGONE</t>
  </si>
  <si>
    <t>Maquette et demande d'info envoyé le 21/03 - relancé par Elisabeth - à relancer</t>
  </si>
  <si>
    <t>RIA BE3008</t>
  </si>
  <si>
    <t>BAT 1 envoyé le 22-07
BAT 2 envoyé le 25-07
BAT 3 envoyé le 30-07
Attente VT et validation devis</t>
  </si>
  <si>
    <t xml:space="preserve">CINE OFFICE </t>
  </si>
  <si>
    <t>RIA BE3595</t>
  </si>
  <si>
    <t xml:space="preserve">BAT 1 envoyé le 26-06
BAT 2 envoyé le 26-06
Relance le 27-06
BAT et devis validé - attente vt </t>
  </si>
  <si>
    <t>RIA BE3647</t>
  </si>
  <si>
    <t>BAT 1 envoyé le 26-06
Relance le 27-06
BAT et devis validé - attente vt</t>
  </si>
  <si>
    <t>RIA FR14090</t>
  </si>
  <si>
    <t>BAT 1 envoyé le 23-07
BAT 2 envoyé le 25-07
BAT  et devis validé - VT Reçu - FAB à faire</t>
  </si>
  <si>
    <t>Etiquette O MY Sushi</t>
  </si>
  <si>
    <t>Euronet FRMD2009</t>
  </si>
  <si>
    <t>En attente - bloqué</t>
  </si>
  <si>
    <t>RIA FR14433</t>
  </si>
  <si>
    <t>BAT 1 envoyé le 15-05
Relance le 21-05
BAT 2 envoyé le 23-05
BAT 3 envoyé le 27-05
BAT et devis validé - attente VT
FAB faite par Hugo</t>
  </si>
  <si>
    <t>SQ Le Cannet Jean Pierre exterieur</t>
  </si>
  <si>
    <t xml:space="preserve">BAT 1 envoyé le 17-05
BAT VT envoyé le 17-05
BAT 2 envoyé le 27-05
BAT mairie fait le 27-05
Refus mairie
BAT renvoyé à Paul pour validation le 12-07
validé le 12-07 par Paul, envoie du nouveau dossier
FAB fait par Hugo </t>
  </si>
  <si>
    <t>Société Hippique de Marseille</t>
  </si>
  <si>
    <t>V1 et FAB le 23/08</t>
  </si>
  <si>
    <t>GUY HOQUET ARS EN RE</t>
  </si>
  <si>
    <t>ANACOURS NANCY</t>
  </si>
  <si>
    <t>ROMELAND</t>
  </si>
  <si>
    <t>01/07 attente typo pour l'enseigne
18/07 : demande photo et cote à la cliente attente + envoi apercu BAT
25/07 relance mail
envoi BAT
05/08 envoi BAT2
12/08 Relance mail
21/08 BAT validé (partie enseigne, les horaires vont changer, l'adh sera à expédier apres)
FAB A FAIRE</t>
  </si>
  <si>
    <t>[GIN KHAO] Dossier mairie + maquette</t>
  </si>
  <si>
    <t xml:space="preserve"> différente</t>
  </si>
  <si>
    <t>Kadi</t>
  </si>
  <si>
    <t>BAT V1 le 22/08</t>
  </si>
  <si>
    <t>Les Zouzouz Lyonnais (AZAP)</t>
  </si>
  <si>
    <t>Mail d'information envoyé le 19/08 - V1 le 19/08 - V2 le 21/08</t>
  </si>
  <si>
    <t>Point S - Garage des Alpes</t>
  </si>
  <si>
    <t>V1 envoyé le 30/07 - Relance le 19/08 - V1 franchisé le 20/08</t>
  </si>
  <si>
    <t>Mr Enseignes - Sebastien Ladoul</t>
  </si>
  <si>
    <t>V1 le 19/08 - V2 le 20/08</t>
  </si>
  <si>
    <t xml:space="preserve">[PANIER DES SENS] PANIER DES SENS - Aix en Provence </t>
  </si>
  <si>
    <t>BAT commencé, demander Léa si on peut faire le drapeau 1 potence seule
31/07 Envoi BAT
12/08 Relance mail (retour mail absence jusqu'au 16/08)
FAB A FAIRE</t>
  </si>
  <si>
    <t>Alliance Energies</t>
  </si>
  <si>
    <t>BAT V1 le 13/08</t>
  </si>
  <si>
    <t>V envoyé le 14/08 - V2 le 21/08 - V3 le 21/08 - V4 le 21/08</t>
  </si>
  <si>
    <t>BAT V1 envoyé le 20/08</t>
  </si>
  <si>
    <t>V</t>
  </si>
  <si>
    <t>academie des petits musiciens</t>
  </si>
  <si>
    <t>V1 envoyé 21/08, V2 envoyé le 21/08</t>
  </si>
  <si>
    <t>[ASSU2000] ASSU 2000 VILLEURBANNE ZOLA 66 Cours Emile Zola 69100 Villeurbanne</t>
  </si>
  <si>
    <t>24/07 BAT VT</t>
  </si>
  <si>
    <t xml:space="preserve">GH SAINTEMARIE EN RE </t>
  </si>
  <si>
    <t>Assu2000</t>
  </si>
  <si>
    <t>21/08 envoi BAT2
FAB A FAIRE</t>
  </si>
  <si>
    <t>MR ENSEIGNES - AX EVENTS - Aroma Naturals</t>
  </si>
  <si>
    <t>20/08 envoi BAT FAB A FAIRE</t>
  </si>
  <si>
    <t>CARPOR ADH CADDIE</t>
  </si>
  <si>
    <t>Acadely</t>
  </si>
  <si>
    <t>V1 le 20/08</t>
  </si>
  <si>
    <t>Novi - Golfe Juan</t>
  </si>
  <si>
    <t>BAT VT envoyé le 06/02 - V1 Eva le 21/02 - V2 le 22/02 - Standby autre enseigniste local</t>
  </si>
  <si>
    <t>Novi - Antibes</t>
  </si>
  <si>
    <t xml:space="preserve">ANACOURS ROUEN </t>
  </si>
  <si>
    <t>Le P'tit Breton - ENSEIGNE</t>
  </si>
  <si>
    <t>BAT
BAT MAIRIE
FAB a FAIRE</t>
  </si>
  <si>
    <t>LAPEYRE</t>
  </si>
  <si>
    <t>Mise en FAB - Enseigne 1A et 1B</t>
  </si>
  <si>
    <t>[OPTIONS SOLUTIONS] Marquage bâtiment Ferrières</t>
  </si>
  <si>
    <t>24/07  BAT commencé, attente VT
24/07 Finalement VT &gt; BAT VT
30/07 envoi BAT
31/07 envoi BAT a un autre interlocuteur
12/08 Relance1 mail
FAB A FAIRE</t>
  </si>
  <si>
    <t>[ONET PROPRETE ET FACILITY SERVICES] Enseignes Toulouse - BAT VT</t>
  </si>
  <si>
    <t>GDS - Antibes</t>
  </si>
  <si>
    <t>V1 le 02/05 - V1 au franchisé le 03/05 - V2 le 13/05 - BAT Mairie à faire - BAT Mairie envoyé le 16/05</t>
  </si>
  <si>
    <t>Wild Food - 2e Inter</t>
  </si>
  <si>
    <t>BAT V1 envoyé le 12/08 - V2 le 13/08</t>
  </si>
  <si>
    <t>Aasgard Limonest</t>
  </si>
  <si>
    <t>MEYZIEUDIS LECLERC</t>
  </si>
  <si>
    <t>V1 envoyé le 25/07, V2 envoyé le 26/07 - Suite dossier géré par Jordan</t>
  </si>
  <si>
    <t>Groupe Verlaine</t>
  </si>
  <si>
    <r>
      <rPr>
        <rFont val="Comfortaa"/>
        <color theme="1"/>
      </rPr>
      <t xml:space="preserve">V1 envoyé le 25/06, V2 envoyé le 28/06, V3 envoyé le 28/06, V4 envoyé le 08/07, </t>
    </r>
    <r>
      <rPr>
        <rFont val="Comfortaa"/>
        <b/>
        <color theme="1"/>
        <sz val="11.0"/>
      </rPr>
      <t>ATTENTE VT AVANT DOSSIER DE FAB - FAB traité par Hugo</t>
    </r>
  </si>
  <si>
    <t>O10COM</t>
  </si>
  <si>
    <t>Modif BAT le 12/08 - FAB A FAIRE + Commande à passer</t>
  </si>
  <si>
    <t>V1 envoyé le 09/08</t>
  </si>
  <si>
    <t>[BERGER POTIT Architecture] Enseigne NEON</t>
  </si>
  <si>
    <t>BAT envoyé le 08/07
18/07 relance mail
Commande passée le 19/07 sur Enseigne plus
Reception enseigne cassée &gt; Enseigne+ refait</t>
  </si>
  <si>
    <t>Ardesca print refab caisson</t>
  </si>
  <si>
    <t>[MR ENSEIGNES] Dahan - Dossier mairie - Graphisme BAT interne</t>
  </si>
  <si>
    <t>Point S Caissargues</t>
  </si>
  <si>
    <t>GH Bâche</t>
  </si>
  <si>
    <t>GUY HOQUET LEVALLOIS</t>
  </si>
  <si>
    <t>MAIRIE DE VARS PART 2</t>
  </si>
  <si>
    <t xml:space="preserve">répondre à leur mail pour le truc des oeillets </t>
  </si>
  <si>
    <t xml:space="preserve">SAS CARPOR ADH LOGO </t>
  </si>
  <si>
    <t>Brenntag siège</t>
  </si>
  <si>
    <t>31/07 envoi BAT</t>
  </si>
  <si>
    <t>[GROUPE VERLAINE] ORIFLAMME</t>
  </si>
  <si>
    <t>Faire valider BAT a ANtoine avant evnoi
01/08 envoi BAT
05/08 envoi BAT2</t>
  </si>
  <si>
    <t xml:space="preserve">EMILIE PARIS </t>
  </si>
  <si>
    <t>GDS - Roubaix</t>
  </si>
  <si>
    <t>V1 le 06/08 - V2 le 07/08 - V3 le 07/08 - V4 le 08/08</t>
  </si>
  <si>
    <t>Pokou Glace</t>
  </si>
  <si>
    <t>V1 le 08/08 - FAB A FAIRE</t>
  </si>
  <si>
    <t xml:space="preserve">GH GUJAN MESTRAS </t>
  </si>
  <si>
    <t xml:space="preserve">SQ LE CANNET </t>
  </si>
  <si>
    <t xml:space="preserve">Groupe Scolaire Camille Claudel </t>
  </si>
  <si>
    <t>GrandAudition Gujan-Mestras</t>
  </si>
  <si>
    <t>Bâche lancée en FAB et VT envoyé le 07/08</t>
  </si>
  <si>
    <t xml:space="preserve">GROUPE VERLAINE </t>
  </si>
  <si>
    <t>BAT V1 envoyé le 07/08</t>
  </si>
  <si>
    <t>EIFFAGE</t>
  </si>
  <si>
    <t>Temporis - Melle</t>
  </si>
  <si>
    <t>BAT envoyé le 05/08</t>
  </si>
  <si>
    <t>CAROSSERIE ROUSSILLON</t>
  </si>
  <si>
    <t>GH SOUCIEU</t>
  </si>
  <si>
    <t>Leclerc - Meyzieux</t>
  </si>
  <si>
    <t>Modif BAT de Vanessa le 31/07 - FAB A FAIRE</t>
  </si>
  <si>
    <t>Reprise panneau de Vanessa</t>
  </si>
  <si>
    <t>RIA Branding Paris Siege</t>
  </si>
  <si>
    <t>BAT 1 envoyé le 25-07
BAT 2 envoyé le 30-07
Relance le 31-07
BAT 3 envoyé le 1-08</t>
  </si>
  <si>
    <t>RIA FR14517</t>
  </si>
  <si>
    <t>BAT 1 envoyé le 16-05
Relance le 21-05
BAT 2 envoyé le 23-05
Relance le 30-05
BAT 3 envoyé le 13-06
BAT 4 envoyé le 19-06
BAT 5 envoyé le 26-06
Relance le 27-06
BAT validé - attente validation devis pour FAB</t>
  </si>
  <si>
    <t>La maison des pains La mulatiere</t>
  </si>
  <si>
    <t>BAT 1 envoyé le 30-07
BAT Vt envoyé le 30-07
BAT 2 envoyé le 31-07
BAT 3 envoyé le 31-07
BAT 4 envoyé le 1-08
BAT 5 envoyé le 1-08</t>
  </si>
  <si>
    <t xml:space="preserve">CAPSA </t>
  </si>
  <si>
    <t>Novos Batisseur</t>
  </si>
  <si>
    <t>BAT 1 envoyé le 13-06
Relance le 18-06
Relance le 27-06
Relance le 3-07</t>
  </si>
  <si>
    <t>RIA FR15381</t>
  </si>
  <si>
    <t>BAT 1 envoyé le 23-07
BAT 2 envoyé le 23-07
BAT 3 envoyé le 26-07
BAT validé - attente VT et validation devis</t>
  </si>
  <si>
    <t>RIA FR38</t>
  </si>
  <si>
    <t>BAT 1 envoyé le 9-07
BAT 2 envoyé le 11-07
Relance le 26-07
BAT validé par le client - attente validation du devis pour lancer FAB (Antoine me dit quand c'est bon)
Fichier de FAB prêt - attend le go d'Antoine pour commander sur wowprint
Fichiers de fab préparé pour commande par le commercial lors de mes congés dès validation</t>
  </si>
  <si>
    <t>RIA BE3313</t>
  </si>
  <si>
    <t>BAT 1 envoyé le 12-02
Relance faite le 13-02
BAT 2 envoyé le 13-02
Relance le 21-02
Relance le 25-03
Relance le 11-04
Relance le 19-04
Relance le 15-05
Relance le  27-06
Relance le 31-07</t>
  </si>
  <si>
    <t>Temporis - Lambesc</t>
  </si>
  <si>
    <t>BAT V1 envoyé le 30/07 - FAB A FAIRE</t>
  </si>
  <si>
    <t>Baguette et gourmandise Lyon 3</t>
  </si>
  <si>
    <t>BAT 1 envoyé le 2-07
VT à faire dès que le client valide la position
BAT 2 envoyé le 4-07
BAT 3 envoyé le 8-07
Relance le 10-07
BAT 4 envoyé le 12-07
BAT 5 envoyé le 18-07
BAT VT fait le 18-07
BAT 6 envoyé le 19-07</t>
  </si>
  <si>
    <t>SQ Le Cannet  Jean Pierre TEL</t>
  </si>
  <si>
    <t>interieur en FAB, manque le tel  - adhesifs à rajouter plus tard, le client s'occupe de la pose
Relance le 30-07
BAT fait le 31-07</t>
  </si>
  <si>
    <t>BAGELSTEIN LA ROCELLE</t>
  </si>
  <si>
    <t>TWYD - Ibis Rouge et Ibis Bleu</t>
  </si>
  <si>
    <t>V1 envoyé le 30/07</t>
  </si>
  <si>
    <t>AURAGNIER CYCLE PARTIE 2</t>
  </si>
  <si>
    <t>Avnir AViation SE SIGNALETIQUE</t>
  </si>
  <si>
    <t>Omnisa SA</t>
  </si>
  <si>
    <t>Euronet FRMD2007</t>
  </si>
  <si>
    <t>BAT fait le 29-07</t>
  </si>
  <si>
    <t>Novi - Le Cannet</t>
  </si>
  <si>
    <t>BAT VT envoyé le 05/02 - V1 le 11/03 - V2 le 20/03 - Mairie depuis le 13/06 - Validation mairie - Attente validation devis</t>
  </si>
  <si>
    <t>Happy car point S</t>
  </si>
  <si>
    <t>Novi - Melun</t>
  </si>
  <si>
    <t>BAT VT envoyé le 04/03 - V1 envoyé le 05/03 - V2 le 04/04 - V3 + BAT Mairie le 11/04</t>
  </si>
  <si>
    <t>MR Enseignes</t>
  </si>
  <si>
    <t>Le Gainsbar, V1 envoyé le 24, V2 envoyé le 25/07</t>
  </si>
  <si>
    <t>Amandes</t>
  </si>
  <si>
    <t>BAT VT envoyé le 3-07</t>
  </si>
  <si>
    <t>GUY HOQUET NANTERRE</t>
  </si>
  <si>
    <t>BAT 1 envoyé le 15-02
BAT 2 envoyé le 19-02
la franchise à validé le 20-02 - envoie au franchisé le 20-02
Relance franchisé le 4-03
BAT envoyé au franchisé le 4-03
BAT mairie envoyé le 6-03
Refus mairie
nouveau BAT envoyé le 24-04 à la franchise
la franchise à validé le 6-05 - BAT envoyé le meme jour au franchisé
le franchisé à validé le 7-05 - renvoi du nouveau BAT en mairie le 7-05 
La mairie à validé - attente validation de Michael pour mise en FAB</t>
  </si>
  <si>
    <t>09/07 Brief Anoine
22/07 Envoi BAT en cours + demande point tel
22/07 retour ok, finir BAT
25/06 FAB A FAIRE</t>
  </si>
  <si>
    <t>RIA FR27 plaques</t>
  </si>
  <si>
    <t>BAT 1 fait le 25-07</t>
  </si>
  <si>
    <t>ONET ASSISTANCE CONNECT</t>
  </si>
  <si>
    <t>V1 envoyé le 24/07</t>
  </si>
  <si>
    <t>SQ Tinqueux Adh</t>
  </si>
  <si>
    <t>Wash N Dry Lyon 5</t>
  </si>
  <si>
    <t>BAT 1 envoyé le 19-01
BAT 2 envoyé le 22-01
Relance le 25-01
BAT 3 envoyé le 29-01 à  benzoniantoine34@gmail.com
BAT 4 envoyé le 7-02
Adhesif provisoire envoyé au client en attente de validation
BAT VT envoyé le 9-02 - dès reception VT, faire le dossier mairie
BAT mairie fait le 22-02
refus mairie
nouveau BAT envoyé au client le 6-03 - attente validation pour nouveau dossier mairie
BAT validé par le client et renvoyé en mairie le 8-03
BAT 6 envoyé le 21-03 suite au refus mairie
BAT7 envoyé le 22-03
Envoyé le mairie le 25-03
Refus metropole
BAT 8 envoyé le 6-06
+ BAT provisoire envoyé le 6-06
BAT 9 envoyé le 7-06
BAT mairie le 10-06</t>
  </si>
  <si>
    <t>BRENNTAG MONTVILLE</t>
  </si>
  <si>
    <t>BRENNTAG AMIENS</t>
  </si>
  <si>
    <t>MR ENSEIGNES - PAINT AUTO SERVICES</t>
  </si>
  <si>
    <t>17/08 envoi BAT1
18/08 envoi BAT 2
FAB A FAIRE</t>
  </si>
  <si>
    <t>Euronet EDFRB0172</t>
  </si>
  <si>
    <t>BAT 1 fait le 11-07
BAT VT fait le 11-07
BAT 2 envoyé le 24-07</t>
  </si>
  <si>
    <t>Euronet EDFRB002</t>
  </si>
  <si>
    <t>BAT 1 envoyé le 11-07
BAT VT envoyé le 11-07
BAT 2 envoyé le 22-07</t>
  </si>
  <si>
    <t>BAT VT envoyé le 4-07
BAT 1 envoyé le 16-07
BAT 2 envoyé le 19-07
BAT validé par la franchise, envoie au franchisé le 19-07
BAT 3 envoyé le 23-07</t>
  </si>
  <si>
    <t>Patrimelle Lescuyer - nouveau BAT</t>
  </si>
  <si>
    <t>BAT 1 envoyé le 22-07 
BAT 2 envoyé le 23-07</t>
  </si>
  <si>
    <t xml:space="preserve">FOURNIL LES 3 BASTIDES </t>
  </si>
  <si>
    <t>CARLS JUNIOR</t>
  </si>
  <si>
    <t>Wash n dry Vienne panneau</t>
  </si>
  <si>
    <t>SQ Le Cannet provisoire</t>
  </si>
  <si>
    <t>BAT 1 fait le 23-07</t>
  </si>
  <si>
    <t>Novi - Tarbes</t>
  </si>
  <si>
    <t>BAT VT envoyé le 18/06</t>
  </si>
  <si>
    <t>BAT enseigne envoyé le 15/07</t>
  </si>
  <si>
    <t>[LARIVIERE] ADHÉSIF MICRO PERFORE</t>
  </si>
  <si>
    <t>18/07 envoi BAT1</t>
  </si>
  <si>
    <t>Temporis Vienne</t>
  </si>
  <si>
    <t>V1 le 22/07</t>
  </si>
  <si>
    <t>MENU KPIZZ</t>
  </si>
  <si>
    <t>SQ Mesnil enseigne</t>
  </si>
  <si>
    <t>BAT 1 envoyé le 22-03
BAT VT envoté le 22-03
BAT 2 envoyé le 9-04
BAT mairie envoyé le 10-04
Refus mairie
renvoie du nouveau BAT à Eric le 30-06, attente de sa validation pour renvoi à la mairie
demande de photo vue d'ensemble demandé au franchisé le 30-05
Relance le 7-06
Relance le 21-06
BAT mairie fait le 26-06</t>
  </si>
  <si>
    <t>SQ Publier</t>
  </si>
  <si>
    <t>BAT et FAB fait le 18-07</t>
  </si>
  <si>
    <t xml:space="preserve"> Eiffage Route – Région Centre Est - PANNEAUX DE CHANTIER</t>
  </si>
  <si>
    <t>18/08 envoi BAT1</t>
  </si>
  <si>
    <t>Wash n Dry vienne interieur</t>
  </si>
  <si>
    <t>BAT 1 envoyé le 16-07
Relance le 18-07</t>
  </si>
  <si>
    <t>Terre de café</t>
  </si>
  <si>
    <t>BAT 1 envoyé le 15-07
BAT validé - attente VT pour commander</t>
  </si>
  <si>
    <t>Jean-Michel Banderolle</t>
  </si>
  <si>
    <t>ANCT</t>
  </si>
  <si>
    <t>mail logo vecto envoyé le 30/05, VT envoyé le 03/06, créer visuel proche de celui en bd + attente dimensions VT
BAT envoyé le 03/07
RELANCE le 08/07</t>
  </si>
  <si>
    <t>Logo Bar Mitsva - BAT</t>
  </si>
  <si>
    <t>Noémie</t>
  </si>
  <si>
    <t>Noémie appelée le 15/05 + msg (avant juillet). 18/06 &gt; attente fichier visuel
ok dimensions finales mais trop grande</t>
  </si>
  <si>
    <t>YACO</t>
  </si>
  <si>
    <t>STEEP PLASTIQUE</t>
  </si>
  <si>
    <t>BAT ENVOYER 18/06
RELANCE MAIL LE 21/06
28/06 modele en cours de verif
01/07 FAB echantillon en cours</t>
  </si>
  <si>
    <t>KREATURE ENSEIGNE INTERIEUR</t>
  </si>
  <si>
    <t>Routaly - Lunette arrière - micro perforé</t>
  </si>
  <si>
    <t>V1 envoyé le 09/07, V2 envoyé le 11/07, V3 envoyé le 12/07, V4 envoyé le 16/07</t>
  </si>
  <si>
    <t>SQ Nice enseigne</t>
  </si>
  <si>
    <t>BAT 1 envoyé le 13-03
BAT VT fait le 13-03
Relance le 14-03
BAT 2 envoyé le 21-03
BAT 3 envoyé le 29-03
BAT mairie fait  le 2-04
Refus mairie, nouvelle maquette envoyé le 10-05 à Paul, attente de validation
Nouveau BAT validé - BAT mairie fait le 14-05
Ajout adhesifs au BAT le 13-06 - modifié le 19-06</t>
  </si>
  <si>
    <t>RIA FR5982</t>
  </si>
  <si>
    <t>BAT 1 envoyé le 17-06
BAT 2 envoyé le 25-06
BAT 3 envoyé le 25-06
BAT et devis validé -en attente de VT</t>
  </si>
  <si>
    <t>Euronet FRMD2150</t>
  </si>
  <si>
    <t>Novi - Dijon</t>
  </si>
  <si>
    <t>BAT VT envoyé le 11/07</t>
  </si>
  <si>
    <t>Laverie Bauer</t>
  </si>
  <si>
    <t xml:space="preserve">BAT fait le 16-07 </t>
  </si>
  <si>
    <t>ACR - Panneau siganlétique</t>
  </si>
  <si>
    <t>Appel et Mail envoyé le 11/07 pour fichier, V1 envoyé le 12/07</t>
  </si>
  <si>
    <t>Jimmy's street food</t>
  </si>
  <si>
    <t>V1 envoyé le 11/07, V2 envoyé le 16/07</t>
  </si>
  <si>
    <t>m</t>
  </si>
  <si>
    <t>Meyzieudis E-Leclerc</t>
  </si>
  <si>
    <t>V1 envoyé le 04/07, V2 envoyé le 08/07</t>
  </si>
  <si>
    <t xml:space="preserve">PROFIRE ETIQUETTE </t>
  </si>
  <si>
    <t>RIA FR11295</t>
  </si>
  <si>
    <t>BAT 1 envoyé le 25-06
BAT 2 envoyé le 25-06
Relance le 27-06
BAT et devis validé -en attente de VT</t>
  </si>
  <si>
    <t>Temporis - Obernai</t>
  </si>
  <si>
    <t>V1 le 10/07 - V2 le 11/07</t>
  </si>
  <si>
    <t>RIA ROND SUSPENDU</t>
  </si>
  <si>
    <t>BAT 1 envoyé le 10-07
BAT 2 le 11-07</t>
  </si>
  <si>
    <t>CABINET DETAIRE PART 2</t>
  </si>
  <si>
    <t xml:space="preserve">AIN Nord Granulat - Panneau </t>
  </si>
  <si>
    <t>V1 envoyé le 09/07, V2 envoyé le 09/07</t>
  </si>
  <si>
    <t xml:space="preserve">Isere Nord granulats </t>
  </si>
  <si>
    <t>V1 envoyé le 09/07</t>
  </si>
  <si>
    <t>MAISON BONNES HERBE 2</t>
  </si>
  <si>
    <t>SQ Graulhet exterieur</t>
  </si>
  <si>
    <t>BAT 1 envoyé le 3-07
BAT VT envoyé le 3-07
BAT 2 envoyé le 8-07</t>
  </si>
  <si>
    <t>Euronet FRMD2131</t>
  </si>
  <si>
    <t>BAT fait le 11-07</t>
  </si>
  <si>
    <t>BAT VT fait le 20-06
Relance le 27-06
BAT 1 envoyé le 4-07
BAT 2 envoyé le 4-07
LA FRANCHISE A VALIDE -  ENVOIE AU FRANCHISE LE 5-07
BAT 3 envoyé le 9-07
renvoyé au franchisé le 9-07</t>
  </si>
  <si>
    <t xml:space="preserve">POINT CODE COLOMMIERS </t>
  </si>
  <si>
    <t>A FAIRE</t>
  </si>
  <si>
    <t>RIA double face</t>
  </si>
  <si>
    <t>enseigne commandé le 10-07</t>
  </si>
  <si>
    <t>SQ Bordeau Eysine interieur</t>
  </si>
  <si>
    <t>Attente de brief
Relance le 30-05
Relance le 7-06
Relance le 27-06
Relance le 3-07
BAT 1 envoyé le 9-07</t>
  </si>
  <si>
    <t>EURONET 100D</t>
  </si>
  <si>
    <t>BAT 1 envoyé le 9-07</t>
  </si>
  <si>
    <t>SQ Vert ST DENIS</t>
  </si>
  <si>
    <t>BAT 1 envoyé le 26-06
BAT 2 envoyé le 2-07
BAT 3 envoyé le 3-07
BAT 4 envoyé le 4-07
BAT 5 envoyé le 9-07
BAT 6 envoyé le 9-07</t>
  </si>
  <si>
    <t>KREATURE ENSEIGNE</t>
  </si>
  <si>
    <t>KPIZZ VAROIS CHAIGNOT</t>
  </si>
  <si>
    <t>ARC 2</t>
  </si>
  <si>
    <t>EMILIE VIENNE</t>
  </si>
  <si>
    <t>Etex - Adhésif xpress + pose</t>
  </si>
  <si>
    <t>V1 envoyé le 08/07,</t>
  </si>
  <si>
    <t>Point S PPS</t>
  </si>
  <si>
    <t xml:space="preserve">ON AIR </t>
  </si>
  <si>
    <t>BAT envoyé le 24/06, urgent, attente retour client pour lancer e FAB urgent</t>
  </si>
  <si>
    <t>KREATURE GRENOBME PART 1</t>
  </si>
  <si>
    <t>SQ Metz interieur</t>
  </si>
  <si>
    <t>Attente de brief
Relance le 14-03
Relance le 11-04
Relance le 15-05
Relance le 30-05
Relance le 7-06
BAT 1 envoyé le 3-07
Relance le 3-07</t>
  </si>
  <si>
    <t>MR Enseignes - Madame a du style</t>
  </si>
  <si>
    <t>V1 envoyé le 02/07</t>
  </si>
  <si>
    <t>[DLC SEB] covering partiel crafter</t>
  </si>
  <si>
    <t>Marguerite</t>
  </si>
  <si>
    <t>brief Marguerite jeudi
Propositions envoyées le 20/06  FAB A FAIRE</t>
  </si>
  <si>
    <t>BASTIEN LEBLANC TAILLEUR</t>
  </si>
  <si>
    <t>01/07 Attente retour Enseigne plus pour envoi BAT
Enseigne envoyée en FAB</t>
  </si>
  <si>
    <t>Point S Laxou</t>
  </si>
  <si>
    <t>BAT 1 envoyé le 4-07
la franchise à validé - envoyé au franchisé le 4-07</t>
  </si>
  <si>
    <t xml:space="preserve">Wild food takeway </t>
  </si>
  <si>
    <t>Matin - Voir le 25/06 ce qu'il y a a commander, mail envoyé le 25/06 pour demande fichier, V1 envoyé le 27/06, V2 envoyé le 01/07, V3 envoyé le 08/07</t>
  </si>
  <si>
    <t>RIA FR14646</t>
  </si>
  <si>
    <t>BAT 1 envoyé le 20-05    
Relance le 21-05
Relance le 30-05
Relance le 27-06
BAT validé - attente validation devis 
Antoine me dit dès que le devis est validé pour faire la FAB sur FP.</t>
  </si>
  <si>
    <t>SQ LIBOURNE</t>
  </si>
  <si>
    <t>BAT 1 envoyé le 2-07
Relance le 3-07
BAT 2 envoyé le 8-07</t>
  </si>
  <si>
    <t>Brenntage Tournan en Brie</t>
  </si>
  <si>
    <t>V1 envoyé le 04/07, DOSSIER FAB A FAIRE</t>
  </si>
  <si>
    <t xml:space="preserve">TERRA LACTA </t>
  </si>
  <si>
    <t>proposition BAT envoyé le 29/12 -BAT v2 envoyé le 04/01 - rapeller Thibault - BAT v2 envoyé le 22/01 - BAT VT envoyé le 14/05 en attente retour vacances thibault</t>
  </si>
  <si>
    <t>vehicule DANA 91</t>
  </si>
  <si>
    <t xml:space="preserve">Mr Enseignes - Adresca Print </t>
  </si>
  <si>
    <t xml:space="preserve"> V 1 envoyé le 28/06,</t>
  </si>
  <si>
    <t>SQ Tinqueux</t>
  </si>
  <si>
    <t>BAT 1 envoyé le 3-07 
relance le 3-07</t>
  </si>
  <si>
    <t>REDHOOD DRAPEAU V3</t>
  </si>
  <si>
    <t>Comes consultant</t>
  </si>
  <si>
    <t>BAT 1 envoyé le 2-07
Relance le 3-07
BAT 2 envoyé le 3-07
BAT 3 envoyé le 4-07</t>
  </si>
  <si>
    <t>PWP - Ami du Vigneron</t>
  </si>
  <si>
    <t>V1 envoyé le 27/06</t>
  </si>
  <si>
    <t>Euronet FRMD2118</t>
  </si>
  <si>
    <t>BAT VT envoyé le 17-04
BAT 1 envoyé le 4-07</t>
  </si>
  <si>
    <t>SQ Tolstoi</t>
  </si>
  <si>
    <t>BAT VT fait le 3-07
BAT 1 envoyé le 3-07
BAT validé - attente VT</t>
  </si>
  <si>
    <t>Logo Les Enseigniste Agencement pour Marion</t>
  </si>
  <si>
    <t>Sur T.L.</t>
  </si>
  <si>
    <t>Voir charte graphique dans le dossier pour les typos</t>
  </si>
  <si>
    <t>C&amp;A - OUEST - Nantes</t>
  </si>
  <si>
    <t>BAT Semaine 26 (du 24 au 28 juin), BAT envoyé le 1/07 FAB A FAIRE</t>
  </si>
  <si>
    <t>C&amp;A - OUEST - Le Mans</t>
  </si>
  <si>
    <t>C&amp;A - HdF - Tourcoing</t>
  </si>
  <si>
    <t>BAT Semaine 26 (du 24 au 28 juin) &gt; TOUT A FAIRE BAT envoyé le 03/07 FAB A FAIRE</t>
  </si>
  <si>
    <t>Mickael</t>
  </si>
  <si>
    <t>19/06 Envoie premier elements en mai, attente élements Stephane stickers</t>
  </si>
  <si>
    <t>C&amp;A - HdF - Loyelles Godas</t>
  </si>
  <si>
    <t>C&amp;A - OUEST - Orleans</t>
  </si>
  <si>
    <t>Proebo</t>
  </si>
  <si>
    <t>attente brief, demande faite le 14-05
BAT VT envoyé le 14-05
Relance le 15-05
Relance le 7-06
BAT 1 envoyé le 2-07</t>
  </si>
  <si>
    <t>SQ Mesnil interieur</t>
  </si>
  <si>
    <t>Attente brief
Relance le 11-04
Relance le 15-05
Relance le 30-05
Relance le 7-06
BAT 1 envoyé le 26-06
BAT 2 envoyé le 1-07</t>
  </si>
  <si>
    <t>Brenntage Stickers Montville</t>
  </si>
  <si>
    <t>fab faite</t>
  </si>
  <si>
    <t>Gi st Laurent du Var</t>
  </si>
  <si>
    <t>BAT 1 envoyé le 22-03
Relance Michael le 11-04
Relance client le 11-04
Relance le 26-04
Relance 15-05
Relance le 7-06
BAT 2 envoyé le 17-06
BAT 3 envoyé le 27-06</t>
  </si>
  <si>
    <t>m-moustache</t>
  </si>
  <si>
    <t>V1 envoyé le 20/06, V2 envoyé le 21/06</t>
  </si>
  <si>
    <t>Eiffage Route - Region centre est</t>
  </si>
  <si>
    <t>ANACOURS SAINT ETIENNE</t>
  </si>
  <si>
    <t>DEVIS à faire valider à Michael</t>
  </si>
  <si>
    <t>SQ Le Cannet Jean Pierre interieur</t>
  </si>
  <si>
    <t>Attente de brief
Relance le 30-05
Relance le 7-06
BAT 1 envoyé le 26-06 (en attente du numéro de téléphone)
Relance le 27-06</t>
  </si>
  <si>
    <t>SQ SVT Nationale interieur</t>
  </si>
  <si>
    <t>Attente de brief
Relance le 15-05
Relance le 30-05
BAT 1 envoyé le 4-06
Relance le 7-06
BAT 2 envoyé le 26-06 (en attente du numéro de téléphone)
Relance le 27-06
BAT 3 envoyé le 27-06</t>
  </si>
  <si>
    <t>ARDESCA - Chistera</t>
  </si>
  <si>
    <t>Lancer FAB</t>
  </si>
  <si>
    <t>SQ SVT Nationale exterieur</t>
  </si>
  <si>
    <t>BAT 1 envoyé le 14-05
BAT VT envoyé le 14-05
Relance le 15-05
BAT 2 envoyé le 21-05
BAT validé - attente VT pour faire le dossier mairie
BAT mis à jour cote + BAT mairie envoyé le 30-05
Ajustement BAT le 13-06 (ajout adhesif vitre)</t>
  </si>
  <si>
    <t>Diméo</t>
  </si>
  <si>
    <t>BAT VT fait le 11-04
BAT 1 envoyé le 18-04
Relance le 26-04
BAT 2 envoyé le 29-04
BAT 3 envoyé le 13-05
BAT 4 envoyé le 17-05
Relance le 22-05
Relance le 30-05
Relance le 7-06
BAT 5 envoyé le 18-06
Relance le 27-06</t>
  </si>
  <si>
    <t>SQ Mesnil signalétique provisoire</t>
  </si>
  <si>
    <t>BAT 1 envoyé le 27-06</t>
  </si>
  <si>
    <t>Chronoselling Rouen</t>
  </si>
  <si>
    <t>Demande info par mail le 27/05, attente logo vecto et dimension enseigne, BAT envoyé le 19/06, attente info sur couleur panneau FAB A FAIRE</t>
  </si>
  <si>
    <t>C&amp;A - GD EST-2 - Nancy</t>
  </si>
  <si>
    <t>BAT Semaine 25 (du 17 au 21 juin), V1 BAT envoyé le 18/04, attention adhésif vitrophanie  &gt; REPASSER LE PROJET - BAT 2 envoyé le 21/06</t>
  </si>
  <si>
    <t>AUTOECOLE 2000</t>
  </si>
  <si>
    <t>Revoir fichier FAB (couper en 2) - info client?</t>
  </si>
  <si>
    <t>C&amp;A - GD EST-1 - Besancon</t>
  </si>
  <si>
    <t>BAT Semaine 25 (du 17 au 21 juin), V1 BAT envoyé le 18/04  &gt; REPASSER LE PROJET - BAT 2 envoyé le 20/06 - FAB A FAIRE</t>
  </si>
  <si>
    <t>C&amp;A - GD EST-1 - Ile Napoleon</t>
  </si>
  <si>
    <t>C&amp;A - GD EST-1 - Mulhouse</t>
  </si>
  <si>
    <t>C&amp;A - GD EST-1 - Pontarler</t>
  </si>
  <si>
    <t>C&amp;A - GD EST-1 - Strasbourg</t>
  </si>
  <si>
    <t>C&amp;A - GD EST-2 - Cormontreuil</t>
  </si>
  <si>
    <t>C&amp;A - GD EST-2 - Grosbliederstroff</t>
  </si>
  <si>
    <t>C&amp;A - GD EST-2 - Longwy</t>
  </si>
  <si>
    <t>C&amp;A - GD EST-2 - Terville</t>
  </si>
  <si>
    <t>Euronet FRMD0476</t>
  </si>
  <si>
    <t>BAT VT envoyé le 24-05
dossier bloqué - attente reotur Antoine
Relance le 27-06</t>
  </si>
  <si>
    <t>VM ST EULALIE</t>
  </si>
  <si>
    <t>BAT 1 envoyé le 10-06
Relance le 27-06</t>
  </si>
  <si>
    <t>Saint Jean Délice</t>
  </si>
  <si>
    <t>BAT 1 envoyé le 24-06
BAT 2 envoyé le 26-06
BAT 3 envoyé le 26-06</t>
  </si>
  <si>
    <t>BRENNTAG</t>
  </si>
  <si>
    <t>Appeler cliente pour quantité et comprendre panneau Sulpice
BAT pret &gt; voir avec Michael décalage quantité BAT-Quantité devis avant envoie cliente</t>
  </si>
  <si>
    <t>EURONET FRMD2143</t>
  </si>
  <si>
    <t>BAT 1 envoyé le 26-06</t>
  </si>
  <si>
    <t>Brenntag TOUL</t>
  </si>
  <si>
    <t>V1 envoyé le 24/06 - FAB A FAIRE</t>
  </si>
  <si>
    <t>Brenntag Saint Herblain</t>
  </si>
  <si>
    <t>GUY HOQUET Maubeuge</t>
  </si>
  <si>
    <t>Vidéo chapitre adhésifs (5 vidéos différentes)</t>
  </si>
  <si>
    <t>RIA FR10769</t>
  </si>
  <si>
    <t>BAT 1 envoyé le 20-03
BAT 2 envoyé le 25-03
Relance le 11-04
Relance le 19-04
Relance le 15-05
Relance le 21-05
Relance le 30-05
BAT 3 envoyé le 7-06
BAT validé - attente VT et validation devis</t>
  </si>
  <si>
    <t>RIA RIA FR6378</t>
  </si>
  <si>
    <t>BAT 1 envoyé le 15-05
Relance le 21-05
Relance le 30-05
BAT 2 envoyé le 5-06
BAT et devis validé - attente VT</t>
  </si>
  <si>
    <t>Point S Serezin du Rhone</t>
  </si>
  <si>
    <t>BAT 1 envoyé le 19-06
BAT 2 envoyé le 20-06
BAT 3 envoyé le 20-06
Franchise validé - elle l'envoe direct au franchisé</t>
  </si>
  <si>
    <t>Camif - Balma</t>
  </si>
  <si>
    <t>BAT Global + BAT VT + BAT Provisoire envoyé le 29/03 - V2 le 11/04 - V3 le 23/04 - V3 envoyé au franchisé le 23/04 - Attente mairie</t>
  </si>
  <si>
    <t>SARL IPI bache wash</t>
  </si>
  <si>
    <t>BAT 1 envoyé le 24-06</t>
  </si>
  <si>
    <t>RIA FR8582</t>
  </si>
  <si>
    <t>BAT 1 envoyé le 19-04
BAT 2 envoyé le 24-04
BAT et devis validé - attente VT
Relance le 15-05
Relance le 30-05</t>
  </si>
  <si>
    <t>DRAPEAU RESIDEA NICE</t>
  </si>
  <si>
    <t>EDE MISTER ENSEIGNE</t>
  </si>
  <si>
    <t>Anacours VERSAILLES 2</t>
  </si>
  <si>
    <t>Point S St Yriex</t>
  </si>
  <si>
    <t>BAT VT fait le 11-06
BAT 1 envoyé le 18-06
Franchise validé - envoi franchisé le 19-06</t>
  </si>
  <si>
    <t>Cabinet Laboure</t>
  </si>
  <si>
    <t>BAT VT fait le 24-05
Relance VT le 30-05
BAT 1 envoyé le 5-06
BAT 2 envoyé le 14-06
BAT 3 envoyé le 19-06
BAT 4 envoyé le 20-06</t>
  </si>
  <si>
    <t>Temporis - Vienne</t>
  </si>
  <si>
    <t>V1 le 06/06</t>
  </si>
  <si>
    <t>[LES LUNETTES DE TIPO] SIGNALÉTIQUE OULLINS</t>
  </si>
  <si>
    <t>Attente retour client sur la phrase à ajouter sous le logo, BAT envoyé le 30/05</t>
  </si>
  <si>
    <t>Brentag</t>
  </si>
  <si>
    <t>BAT 1 envoyé le 13-06
Relance le 18-06
BAT 2 envoyé le 18-06</t>
  </si>
  <si>
    <t>GDS - Tassin la Demi Lune</t>
  </si>
  <si>
    <t>Modification marquage Nissan Micra - V1 le 19/06</t>
  </si>
  <si>
    <t>Atemcom</t>
  </si>
  <si>
    <t>BAT 1 envoyé le 13-06</t>
  </si>
  <si>
    <t>Mr Enseignes - Pano Limoges</t>
  </si>
  <si>
    <t>V1 le 19/06</t>
  </si>
  <si>
    <t>Temporis - Villefranche sur Saone</t>
  </si>
  <si>
    <t>Novi - Ajaccio Attrium</t>
  </si>
  <si>
    <t>V1 envoyé le 18/05 - Enseigniste local au final</t>
  </si>
  <si>
    <t>C&amp;A - SUD - Montpellier</t>
  </si>
  <si>
    <t>BAT Semaine 24 (du 10 au 14 juin) envoyé le 11/04, validé, FAB  A FAIRE (attente retour sur emplacement horaires vitrophanie possible ou non)</t>
  </si>
  <si>
    <t>Valobat Ciffréo</t>
  </si>
  <si>
    <t>BAT 1 envoyé le 17-06</t>
  </si>
  <si>
    <t>DRAPEAU BONTON</t>
  </si>
  <si>
    <t>BAGELSTEIN SAINT LAZARE PARTIE 2</t>
  </si>
  <si>
    <t>[AUTO ECOLE 2000] ENSEIGNE</t>
  </si>
  <si>
    <t>Demander à Antoine, pas assez d'infos. CLient appelé le 03/06 : il m'envoie sa créa</t>
  </si>
  <si>
    <t>C&amp;A - SUD - Nimes</t>
  </si>
  <si>
    <t>BAT Semaine 24 (du 10 au 14 juin) envoyé le 12/04, validé, FAB FAITS  &gt; COMPLETER BAT + FAB</t>
  </si>
  <si>
    <t>C&amp;A - SUD - Nice</t>
  </si>
  <si>
    <t>C&amp;A ROUEN</t>
  </si>
  <si>
    <t>C&amp;A - ARA - Valence</t>
  </si>
  <si>
    <t>C&amp;A - SUD - Villeneuve Loubet</t>
  </si>
  <si>
    <t>C&amp;A - SUD - Vitrolles</t>
  </si>
  <si>
    <t>C&amp;A - SUD - Carcassone</t>
  </si>
  <si>
    <t>C&amp;A - ARA - Carré de Soie</t>
  </si>
  <si>
    <t>C&amp;A Chasse sur Rhone</t>
  </si>
  <si>
    <t>C&amp;A - ARA - Crèche sur Saone</t>
  </si>
  <si>
    <t>C&amp;A - ARA - Grenoble</t>
  </si>
  <si>
    <t>C&amp;A - ARA - Lyon</t>
  </si>
  <si>
    <t>BAT Semaine 24 (du 10 au 14 juin) envoyé le 12/04, validé, FAB  A FAIRE  &gt; REPASSER LE PROJET (attente retour sur emplacement horaires vitrophanie possible ou non)  &gt; REPASSER LE PROJET</t>
  </si>
  <si>
    <t>C&amp;A - SUD - Marseille</t>
  </si>
  <si>
    <t>CURIUM</t>
  </si>
  <si>
    <t>BIOBURGER NANTES</t>
  </si>
  <si>
    <t>ANTARES PART 2</t>
  </si>
  <si>
    <t xml:space="preserve">  Attente visio de leur côté, relance le 13/05 - V2 le 23/05</t>
  </si>
  <si>
    <t>Novi - Rennes</t>
  </si>
  <si>
    <t>BAT VT envoyé le 07/02 - V1 envoyé le 05/03 - Attente visio de leur côté, relance le 13/05 - V2 le 23/05</t>
  </si>
  <si>
    <t>Euronet FRMD2090</t>
  </si>
  <si>
    <t>BAT VT envoyé le 11-06
BAT 1 envoyé le 17-06</t>
  </si>
  <si>
    <t>PWP - Saumon Passion</t>
  </si>
  <si>
    <t>PWP - V&amp;B Toulon</t>
  </si>
  <si>
    <t>Mr Enseignes - Blanc Publicite</t>
  </si>
  <si>
    <t>V1 le 13/06 - V2 le 13/06</t>
  </si>
  <si>
    <t>Temporis - Sarlat</t>
  </si>
  <si>
    <t>V1 le 13/06 - FAB A FAIRE</t>
  </si>
  <si>
    <t>Mairie de VARS partie 2 BAT a faire</t>
  </si>
  <si>
    <t>Temporis - Nantes Est</t>
  </si>
  <si>
    <t>V1 le 07/06 - V2 le 10/06 - FAB FAITE - Rajout à la commande v3 le 13/06</t>
  </si>
  <si>
    <t>Point S adhesif découpé x67</t>
  </si>
  <si>
    <t>BAT 1 envoyé le 12-06
BAT 2 envoyé le 13-06</t>
  </si>
  <si>
    <t>BAT 1 envoyé le 10-06
BAT 2 envoyé le 11-06
BAT 3 envoyé le 13-06</t>
  </si>
  <si>
    <t>Mr Enseignes - SCI PKTM</t>
  </si>
  <si>
    <t>CERJ</t>
  </si>
  <si>
    <t>MR Enseignes - Me Print - 1371</t>
  </si>
  <si>
    <t>V1 le 05/06</t>
  </si>
  <si>
    <t>MR Enseignes - Me Print - 1373</t>
  </si>
  <si>
    <t>V1 le 10/06</t>
  </si>
  <si>
    <t>THE BEAUTY LAB</t>
  </si>
  <si>
    <t>Le Paon</t>
  </si>
  <si>
    <t>V1 envoyé le 12/06</t>
  </si>
  <si>
    <t>V1 le 11/06</t>
  </si>
  <si>
    <t>Mr enseignes - Esme</t>
  </si>
  <si>
    <t>V1 le 10/06 - FAB A FAIRE</t>
  </si>
  <si>
    <t>Wash n dry Vienne interieur</t>
  </si>
  <si>
    <t>attente brief, demande faite le 14-05
Relance le 15-05 - relance brief le 16-05
BAT 1 envoyé le 27-05
BAT 2 envoyé le 28-05
BAT 3 envoyé le 3-06
BAT 4 envoyé le 4-06
BAT 5 envoyé le 5-06
Interieur en attente de dimension (relance faite le 6-06)</t>
  </si>
  <si>
    <t>Escale nomade, caisson ajouré</t>
  </si>
  <si>
    <t>Mag</t>
  </si>
  <si>
    <t>V1 envoyé le 28/05, Mail envoyé le 30/05,  attente de son renvoie on était au tel le 30/05 : elle a dit elle le regarde et m'envoie, v2 envoyé le 31/05, V3 envoyé le 10/06</t>
  </si>
  <si>
    <t>RIA FR2257</t>
  </si>
  <si>
    <t>BAT 1 envoyé le 20-05
Relance le 21-05
BAT validé - devis validé -  attente VT
Relance le 30-05</t>
  </si>
  <si>
    <t>Vidéo chapitre branchement électrique (3 vidéos différentes) ✅ 3/3</t>
  </si>
  <si>
    <t>C&amp;A - Corbeil Essonnes</t>
  </si>
  <si>
    <t>Semaine 22 (du 27 au 31 mai) FAIT  &gt; REPASSER LE PROJET, FAB A FAIRE</t>
  </si>
  <si>
    <t>C&amp;A - IDF - Barentin</t>
  </si>
  <si>
    <t>C&amp;A - IDF -  Fresnes</t>
  </si>
  <si>
    <t>Semaine 23 (du juin 3 au 7) FAIT  &gt; REPASSER LE PROJET, , BAT envoyé</t>
  </si>
  <si>
    <t>C&amp;A - Genevilliers</t>
  </si>
  <si>
    <t>Semaine 23 (du juin 3 au 7) FAIT  &gt; REPASSER LE PROJET, FAB A FAIRE</t>
  </si>
  <si>
    <t>C&amp;A - Franconville</t>
  </si>
  <si>
    <t>C&amp;A - Garges</t>
  </si>
  <si>
    <t>C&amp;A - IDF - Beauvais</t>
  </si>
  <si>
    <t xml:space="preserve">C&amp;A - IDF -  Creil </t>
  </si>
  <si>
    <t>Semaine 22 (du 27 au 31 mai) FAIT  &gt; BAT PRET, FAB A FAIRE</t>
  </si>
  <si>
    <t>C&amp;A - IDF -  Clos du chene</t>
  </si>
  <si>
    <t>C&amp;A - IDF -  Claye souilly</t>
  </si>
  <si>
    <t xml:space="preserve">C&amp;A - IDF -  Chambly </t>
  </si>
  <si>
    <t>C&amp;A - IDF -   Cergy</t>
  </si>
  <si>
    <t>C&amp;A - IDF -  Buchelay</t>
  </si>
  <si>
    <t>C&amp;A - IDF - Brétigny</t>
  </si>
  <si>
    <t>C&amp;A - IDF - Beausevran</t>
  </si>
  <si>
    <t>Bikube - Lyon</t>
  </si>
  <si>
    <t>BAT validé et transmis pour mairie le 31/01</t>
  </si>
  <si>
    <t>Novi - Genève Délices</t>
  </si>
  <si>
    <t>BAT VT envoyé le 05/02 - V1 envoyé le 23/02 - Attente validation devis Michael - V1000 le 06/06</t>
  </si>
  <si>
    <t xml:space="preserve">ARC </t>
  </si>
  <si>
    <t xml:space="preserve">ATTENTE GEP </t>
  </si>
  <si>
    <t>GDE</t>
  </si>
  <si>
    <t>BAT et FAB fait le 10-06</t>
  </si>
  <si>
    <t>SQ St Cyr</t>
  </si>
  <si>
    <t>BAT 1 fait le 10-06
A voir si Marion à des éléments à rajouter</t>
  </si>
  <si>
    <t>Family +</t>
  </si>
  <si>
    <t>BAT 1 envoyé le 6-06
AJOUT FILM SOLAIRE AU BAT</t>
  </si>
  <si>
    <t>Crhistophe Girard immobilier</t>
  </si>
  <si>
    <t>BAT 1 envoyé le 6-06
BAT 2 envoyé le 6-06</t>
  </si>
  <si>
    <t>VM Royan</t>
  </si>
  <si>
    <t>BAT 1 envoyé le 23-04
Relance le 15-05
Relance le 20-05
Relance le 27-05
BAT 2 envoyé le 10-06</t>
  </si>
  <si>
    <t>VM BIGANOS</t>
  </si>
  <si>
    <t>BAT 1 envoyé le 30-05</t>
  </si>
  <si>
    <t>Panchoubi</t>
  </si>
  <si>
    <t>BAT 1 envoyé le 4-06</t>
  </si>
  <si>
    <t>Panneau wash n dry Lyon 5</t>
  </si>
  <si>
    <t>BAT 1 envoyé le 6-06</t>
  </si>
  <si>
    <t>RED HOOD ANGOULEME YUPO TAKO</t>
  </si>
  <si>
    <t>C&amp;A - Creteil</t>
  </si>
  <si>
    <t>Semaine 22 (du 27 au 31 mai) FAIT  &gt; REPASSER LE PROJET</t>
  </si>
  <si>
    <t>C&amp;A - IDF -  St Geneviève</t>
  </si>
  <si>
    <t>Semaine 23 (du juin 3 au 7) FAIT  &gt; REPASSER LE PROJET</t>
  </si>
  <si>
    <t>C&amp;A - Saint quentin</t>
  </si>
  <si>
    <t>C&amp;A - IDF -  Quatre temps</t>
  </si>
  <si>
    <t>C&amp;A - Maurepas</t>
  </si>
  <si>
    <t>C&amp;A - Parinor</t>
  </si>
  <si>
    <t>C&amp;A - IDF -  Maine</t>
  </si>
  <si>
    <t>C&amp;A - IDF -  Flins</t>
  </si>
  <si>
    <t>C&amp;A - IDF - Belle Epine</t>
  </si>
  <si>
    <t xml:space="preserve">JOUE CLUB </t>
  </si>
  <si>
    <t xml:space="preserve">ETIQUETTE PROFIRE </t>
  </si>
  <si>
    <t>MR Enseignes - Au Ptit Ternois</t>
  </si>
  <si>
    <t>Temporis - Merignac / Bruges</t>
  </si>
  <si>
    <t>MIKKO triporteur 2</t>
  </si>
  <si>
    <t>voir mails, BAT envoyé le 05/06, OK FAB - attente adresse de pose</t>
  </si>
  <si>
    <t xml:space="preserve">[LES LUNETTES DE TIPO] SIGNALETIQUE INTERIEURE </t>
  </si>
  <si>
    <t>Bat enseigne envoyé le 25/04, ATTENTE RETOUR CLIENT horaires pour BAT adhesifs, BAT renvoyé le 02/05, FAB Adh ok. attente retour VT Antoine pour barres alu</t>
  </si>
  <si>
    <t>Novi - Genève Plainpalais</t>
  </si>
  <si>
    <t>BAT VT envoyé le 05/02 - V1 envoyé le 22/02 - Attente validation mairie de leur côté , relance le 13/05 - Modif suite retour mairie le 24/05 - Modif le 29/05</t>
  </si>
  <si>
    <t>Adh gh villeurbanne</t>
  </si>
  <si>
    <t xml:space="preserve">SNC NEXXT </t>
  </si>
  <si>
    <t>Croix Rouge Francaise</t>
  </si>
  <si>
    <t>BAT 1 envoyé le 4-06
BAT 2 envoyé le 5-06</t>
  </si>
  <si>
    <t>Relance projet C&amp;A</t>
  </si>
  <si>
    <t>Demande de fichier envoyé par mail, relance mail le 04/06</t>
  </si>
  <si>
    <t>Tasses</t>
  </si>
  <si>
    <t>AFFINESSENCE</t>
  </si>
  <si>
    <t>V1 le 04/06</t>
  </si>
  <si>
    <t>EASY CHARGE</t>
  </si>
  <si>
    <t>BERTI AUTOMONILE</t>
  </si>
  <si>
    <t>GH PARIS 11 VOLTAIRE</t>
  </si>
  <si>
    <t>PWP - Le Flo du Vin</t>
  </si>
  <si>
    <t>V1 le 31/05</t>
  </si>
  <si>
    <t>PWP - High Bar</t>
  </si>
  <si>
    <t>Demande info sup' le 03/06 - V1 le 03/06</t>
  </si>
  <si>
    <t>Mr Enseignes - 2COMM</t>
  </si>
  <si>
    <t>V1 envoyé le 30/05 - FAB et commande sous traitance faite par Jordan le 03/06</t>
  </si>
  <si>
    <t>SQ Villeurbanne Tolstoi numéro interieur</t>
  </si>
  <si>
    <t>Interieur mis en FAB, il faudra ajouter des adhésifs numéro de téléphone quand on l'aura
Relance le 15-05
Relance le 30-05</t>
  </si>
  <si>
    <t>PWP Comptoir des vignes</t>
  </si>
  <si>
    <t>MOKKI</t>
  </si>
  <si>
    <t>J2M</t>
  </si>
  <si>
    <t>BAT interne envoyé le 15-04 attente confirmation et prix néon
BAT 1 envoyé le 17-04
BAT 2 envoyé le 23-04
Relance le 26-04
BAT 3 envoyé le 2-05
BAT 4 envoyé le 14-05
BAT 5 envoyé le 16-05
BAT 6 envoyé le 20-05
Relance le 22-05</t>
  </si>
  <si>
    <t xml:space="preserve">YK DESIGN </t>
  </si>
  <si>
    <t>VM EYSINES BOIS</t>
  </si>
  <si>
    <t>BAT 1 envoyé le 13-05
Relance le 15-05
Relance le 20-05
Relance le 27-05</t>
  </si>
  <si>
    <t>Steep plastique - Adhésifs et pochoirs</t>
  </si>
  <si>
    <t>V1 envoyé le 27/05, V2 envoyé le 28/05, V3 envoyé le 28/05, attente de son renvoie on était au tel le 30/05, V3 envoyé le 30/05</t>
  </si>
  <si>
    <t>CTS</t>
  </si>
  <si>
    <t>Elisabeth</t>
  </si>
  <si>
    <t>VT faite le 29/04, attente retour client sur fichiers HS, en parallèle BAT commencé, FAB A FAIRE</t>
  </si>
  <si>
    <t>VM BOUGUENAIS</t>
  </si>
  <si>
    <t>BAT 1 envoyé le 13-05
Relance le 20-05
Relance le 27-05</t>
  </si>
  <si>
    <t>VM Oleron</t>
  </si>
  <si>
    <t>BAT 1 envoyé le 23-04
Relance le 15-05
Relance le 20-05
Relance le 27-05</t>
  </si>
  <si>
    <t>UPS Jonage</t>
  </si>
  <si>
    <t>V1 le 29/05 - V2 le 30/05 - FAB A FAIRE</t>
  </si>
  <si>
    <t xml:space="preserve">FRENCH TRATORIA </t>
  </si>
  <si>
    <t>PWP - Couilly Pont aux Dames</t>
  </si>
  <si>
    <t>V1 envoyé le 29/05</t>
  </si>
  <si>
    <t xml:space="preserve">PANNEAUX GH VILLEURBANNE </t>
  </si>
  <si>
    <t>L'équipementier</t>
  </si>
  <si>
    <t>BAT 1 envoyé le 27-05
BAT 2 envoyé le 30-05
BAT 3 envoyé le 30-05
BAT 4 envoyé le 30-05</t>
  </si>
  <si>
    <t>VM NALLIERS</t>
  </si>
  <si>
    <t>BAT 1 envoyé le 13-05
Relance le 15-05
Relance le 20-05
BAT 2 envoyé le 22-05
Relance le 27-05
BAT 3 envoyé le 29-05</t>
  </si>
  <si>
    <t>[L'EQUILIBRISTE] alu 3mm ajouré</t>
  </si>
  <si>
    <t>mail client envoyé pour infos le 07/05, BAT enovyé le 16/05, FAB A FAIRE (attente validation cliente)</t>
  </si>
  <si>
    <t>AU VIEUX CAMPEUR] CHANGEMENT ENSEIGNE</t>
  </si>
  <si>
    <t>mail client envoyé pour infos le 07/05, 13/05 attente logo vecto, FAB A FAIRE</t>
  </si>
  <si>
    <t>Point S Chaufailles</t>
  </si>
  <si>
    <t>BAT VT envoyé le 23-05
BAT 1 envoyé le 28-05
BAT 2 envoyé le 29-05
la franchise à validé - envoi au franchisé le 29-05
BAT 3 envoyé le 29-05</t>
  </si>
  <si>
    <t xml:space="preserve">Tartine &amp; Chocolat </t>
  </si>
  <si>
    <t xml:space="preserve">kreature shopping leman </t>
  </si>
  <si>
    <t>fab a faire</t>
  </si>
  <si>
    <t>Plaquette agencement</t>
  </si>
  <si>
    <t>Guy Hoquet Compiegne</t>
  </si>
  <si>
    <t>BAT interne envoyé à Michael le 16-01
BAT VT envoyé le 16-01
BAT 2 envoyé le 22-01
La franchisé attend le BAT aux bonnes dimensions + le Qrcode pour valider - je viens de faire la demande au franchisé
BAT 3 envoyé le 1-02
BAT 4 envoyé le 2-02
BAT 5 envoyé le 5-02 à la franchise
BAT 6 envoyé le 8-02 à la franchise
BAT 7 envoyé le 15-02 à la franchise
Relance le 4-03
Franchise à validé le 5-03 - envoie au franchisé pour qu'il choissise entre deux options
BAT 8 envoyé au franchisé le 7-03
BAT mairie fait le 12-03
la mairie à validé avec une réserve - nouveau BAT envoyé à la franchise le 20-05 - attente validation franchise - franchisé et devis
mise en prod une fois le dossier FP créé par Michael (pas besoin de nouveau BAT mairie)
Relance Michael le 22-05
Michael a validé - La franchise à validé le 28-05 - envoi au franchisé le 28-05 : en attente de sa validation</t>
  </si>
  <si>
    <t>MR ENSEIGNES - Stephane Plaza</t>
  </si>
  <si>
    <t>V1 le 29/05</t>
  </si>
  <si>
    <t>PWP - Intercaves Vinotea Coulommiers</t>
  </si>
  <si>
    <t>Viva services Villefranche</t>
  </si>
  <si>
    <t>BAT VT fait le 21-05
BAT 1 envoyé le 28-05
BAT 2 envoyé le 29-05</t>
  </si>
  <si>
    <t>SQ Dax interieur</t>
  </si>
  <si>
    <t>Attente brief
Relance le 15-05
BAT 1 envoyé le 16-05
BAT 2 envoyé le 27-05</t>
  </si>
  <si>
    <t>Mr Enseignes - Authentick Immobilier</t>
  </si>
  <si>
    <t>V1 le 21/05</t>
  </si>
  <si>
    <t>Manumesure</t>
  </si>
  <si>
    <t>BAT 1 envoyé le 28-05</t>
  </si>
  <si>
    <t>Novi - Saint Gilles Croix de Vie</t>
  </si>
  <si>
    <t>Xefi - x30 Véhicules</t>
  </si>
  <si>
    <t>ROUTALYA</t>
  </si>
  <si>
    <t>Temporis - Lyon Nord - Experts et Cadres</t>
  </si>
  <si>
    <t>V1 le 16/05 - BAT VT envoyé le 16/05</t>
  </si>
  <si>
    <t>Mr Enseignes - Lin Teas</t>
  </si>
  <si>
    <t xml:space="preserve">Maison herbes </t>
  </si>
  <si>
    <t>Sogedo adhésif plaques</t>
  </si>
  <si>
    <t>V1 envoyé le 27/05</t>
  </si>
  <si>
    <t>SCCV BARTHELEMY] 20240404_SME</t>
  </si>
  <si>
    <t>Attente infos Antoine vendredi 10/05</t>
  </si>
  <si>
    <t>API restauration</t>
  </si>
  <si>
    <t>Demander du site adresse à Antoine, envoi BAT 13/05 (la validation se fera autour du 21/05 cause vacances), FAB A FAIRE</t>
  </si>
  <si>
    <t>ATELIER SP - vitrophanie</t>
  </si>
  <si>
    <t>ATTENTE RETOUR CLIENT pour les dimensions, Propositions envoyées, FAB A FAIRE</t>
  </si>
  <si>
    <t xml:space="preserve">[SCCV BARTHELEMY] 20240404_SME </t>
  </si>
  <si>
    <t>BAT envoyé, validation en cours, FAB A faire</t>
  </si>
  <si>
    <t>Mr Enseignes - Vite cook</t>
  </si>
  <si>
    <t>Faire le BAT, V1 envoyé le 20/05 à Flo</t>
  </si>
  <si>
    <t>Otpima Retail - Kave Home</t>
  </si>
  <si>
    <t>BAT VT Tech</t>
  </si>
  <si>
    <t>Auragniers Cycles</t>
  </si>
  <si>
    <t xml:space="preserve">Favorite Kid Stickers </t>
  </si>
  <si>
    <t>Archi luminal</t>
  </si>
  <si>
    <t>VM Bretteville GD Caux</t>
  </si>
  <si>
    <t>BAT 1 envoyé le 24-04
Relance le 15-05
Relance le 20-05
BAT 2 envoyé le 22-05</t>
  </si>
  <si>
    <t>Mr Enseignes - Nide Com</t>
  </si>
  <si>
    <t>SAS La Fabrik</t>
  </si>
  <si>
    <t>V1 envoyé le 20/05, envoyé à Denis mardi 21/05</t>
  </si>
  <si>
    <t>VM Angouleme Bois</t>
  </si>
  <si>
    <t>BAT 1 envoyé le 13-05
Relance le 15-05
Relance le 20-05</t>
  </si>
  <si>
    <t>VM Eguzon Bois</t>
  </si>
  <si>
    <t>BAT 1 envoyé le 22-04
BAT 2 envoyé le 6-05
Relance le 15-05
Relance le 20-05</t>
  </si>
  <si>
    <t>Laverie D'Andromede</t>
  </si>
  <si>
    <t>BAT 1 envoyé le 17-05
Relance le 22-05</t>
  </si>
  <si>
    <t>Paprec</t>
  </si>
  <si>
    <t>Mail de demande de brief envoyé le 14-05
reunion prévu mardi 21-05
Relance le 21-05 par tel
BAT 1 envoyé le 21-05
Relance le 22-05</t>
  </si>
  <si>
    <t>Panneaux dechetterie</t>
  </si>
  <si>
    <t>BAT 1 envoyé le 12-04 
Relance faite le 19-04</t>
  </si>
  <si>
    <t>BAT mairie envoyé le 17-05</t>
  </si>
  <si>
    <t>Temporis - Lamballe</t>
  </si>
  <si>
    <t>V1 le 19/01 - FAB A FAIRE</t>
  </si>
  <si>
    <t>VM Mirebeau</t>
  </si>
  <si>
    <t>BAT 1 envoyé le 22-04
Relance le 15-05
Relance le 20-05</t>
  </si>
  <si>
    <t>ANACOURS LEMANS</t>
  </si>
  <si>
    <t>VM BORDEAUX BOIS</t>
  </si>
  <si>
    <t>BAT 1 envoyé le 13-05
Relance le 15-05
Relance le 20-05
BAT 2 envoyé le 22-05</t>
  </si>
  <si>
    <t>LPA enseigne</t>
  </si>
  <si>
    <t>BAT 1 envoyé le 16-05
BAT 2 envoyé le 21-05
Relance le 21-05
Relance le 22-05</t>
  </si>
  <si>
    <t>Euronet FRMD2102</t>
  </si>
  <si>
    <t>BAT VT fait le 25-04
Relance fait le 15-05
BAT 1 envoyé le 22-05</t>
  </si>
  <si>
    <t>KREATURE CARREFOUR DOUVAINE</t>
  </si>
  <si>
    <t>SQ Villeurbanne Tolstoi exterieur</t>
  </si>
  <si>
    <t>BAT 1 envoyé loe 26-02 à Paul
BAT VT fait le 26-02
Attente VT pour mise en situation plus réaliste 
BAT 2 envoyé le 7-03
validé - dossier mairie le 11-03
refus mairie - BAT 3 envoyé le 9-04 à Paul (dossier mairie déjà modifié, j'attend juste la validation de Paul)
Relance le 11-04
Relance par Marion le 19-04
BAT mairie fait le 22-04</t>
  </si>
  <si>
    <t>JBM</t>
  </si>
  <si>
    <t>BAT 1 envoyé le 21-05</t>
  </si>
  <si>
    <t>VM ANCENIS</t>
  </si>
  <si>
    <t>BAT 1 envoyé le 20-05</t>
  </si>
  <si>
    <t>VM CHOLET</t>
  </si>
  <si>
    <t>VM ST PHILBERT</t>
  </si>
  <si>
    <t>City Locker - Gare du Nord</t>
  </si>
  <si>
    <t>BAT VT envoyé le 12/04 - V1 envoyé le 30/04 - attente VT</t>
  </si>
  <si>
    <t>Novi - Ajaccio Stiletto</t>
  </si>
  <si>
    <t>V1 envoyé le 18/04 - V2 le 30/04 - FAB exté ok - Attente acompte pour FAB int.</t>
  </si>
  <si>
    <t>Temporis - Caen BTP</t>
  </si>
  <si>
    <t>Attente dimensions agence - Demande le 13/11 et relance le 15/11 - V1 envoyé le 21/11 - Standby mail du 07/12 - Relance le 04/01 -  A modifier suivant nouveau fichier - FAB A FAIRE</t>
  </si>
  <si>
    <t>Temporis - Caen Generaliste</t>
  </si>
  <si>
    <t>A faire pour calcul % vitrine - Dossier fait et envoyé pour mise en mairie - Vmodifié le 14/03 - V2 le 16/05 - FAB A FAIRE</t>
  </si>
  <si>
    <t>Emilie La Rochelle</t>
  </si>
  <si>
    <t>Pas le temps de m'n occuper... il faut absolument revoir VT pour commande store et faire BAT adhésif</t>
  </si>
  <si>
    <t>[MR ENSEIGNES] DISTINGUEZ-VOUS - Firmin</t>
  </si>
  <si>
    <t>BAT envoyé le 06/05, FAB A FAIRE, fichier global envoyé à Florent pour ST</t>
  </si>
  <si>
    <t>Mr Enseignes - distinguez-vous easy cash</t>
  </si>
  <si>
    <t>fait</t>
  </si>
  <si>
    <t>Mr Enseignes - La clinique du Poux</t>
  </si>
  <si>
    <t>RIA FR61050</t>
  </si>
  <si>
    <t>BAT envoyé le 22/06</t>
  </si>
  <si>
    <t>ELYSEE LIBAN</t>
  </si>
  <si>
    <t>En attente validation  du propriétaire</t>
  </si>
  <si>
    <t>POPOTES ASSAS</t>
  </si>
  <si>
    <t>BAT envoyé le 06/12 - appelé le 16/05, pas de réponse</t>
  </si>
  <si>
    <t>BAT MAIRIE supp CABINET DENTAIRE</t>
  </si>
  <si>
    <t>POPOTES MONCEAU</t>
  </si>
  <si>
    <t>DENTAL PARK PROJET AVANT ENSEIGNE</t>
  </si>
  <si>
    <r>
      <rPr>
        <rFont val="Comfortaa"/>
        <b/>
        <color rgb="FFFF0000"/>
      </rPr>
      <t xml:space="preserve">REPRISE DOSSIER LAURIE : </t>
    </r>
    <r>
      <rPr>
        <rFont val="Comfortaa"/>
        <color theme="1"/>
      </rPr>
      <t>BAT 1 envoyé le 21/11 - BAT 2 envoyé le 12/12 - relance 26/12 - relance le 11/01 wasap - relance wasap le 22janv M - Relance D téléphone le 23/01 - sms D le 25/01 - MAIL le 05/02 - Relance le 16/02 phone + mail - relance telephone le 19/02</t>
    </r>
  </si>
  <si>
    <t>EMILIE GRENOBLE CADRES</t>
  </si>
  <si>
    <t>BAT envoyé le 22/12</t>
  </si>
  <si>
    <t xml:space="preserve">ANACOURS CHAMBERY </t>
  </si>
  <si>
    <t>BAT interne envoyé le 21/12 - BAT3 envoyé le 05/01 , appelé le 26/01, elle etait occupé elle doit me rappeler</t>
  </si>
  <si>
    <t>O My Sushi &amp; Mama Pizza</t>
  </si>
  <si>
    <r>
      <rPr>
        <rFont val="Comfortaa"/>
        <b/>
        <color rgb="FFFF0000"/>
      </rPr>
      <t>REPRISE DOSSIER LAURIE :</t>
    </r>
    <r>
      <rPr>
        <rFont val="Comfortaa"/>
        <b/>
        <color theme="1"/>
      </rPr>
      <t xml:space="preserve"> 
</t>
    </r>
    <r>
      <rPr>
        <rFont val="Comfortaa"/>
        <color theme="1"/>
      </rPr>
      <t>O My Sushi : BAT 1 envoyé le 28/12 - relance le 09/01 - BAT 2 envoyé le 17/01 - relance mail le 31/01 - relance mail le 20/02 - Relance par Carole le 21-03 - BAT validé le 29-03 - Michael envoie le devis, des validation - FAB</t>
    </r>
  </si>
  <si>
    <t>Mr Enseignes - El Cafetal</t>
  </si>
  <si>
    <t>v1 envoyé le 16/05 à Flo,</t>
  </si>
  <si>
    <t>Mr Enseignes - Tanière des nours</t>
  </si>
  <si>
    <t>Forest - adhésif découpé à la forme</t>
  </si>
  <si>
    <t>V1 envoyé le 16/05,</t>
  </si>
  <si>
    <t>Jimmy's Street Food</t>
  </si>
  <si>
    <t>v1 envoyé le 14/05/2024, v2 envoyé le 14/05/2024, v3 envoyé le 16/05, v4 envoyé le 16/05</t>
  </si>
  <si>
    <t>Temporis - Experts &amp; Cadres</t>
  </si>
  <si>
    <t>BAT V1 le 13/05</t>
  </si>
  <si>
    <t>SERENNITY Immo</t>
  </si>
  <si>
    <t>Pizza Tour</t>
  </si>
  <si>
    <t>BAT VT fait le 23-04
BAT 1 envoyé le 13-05
BAT 2 envoyé le 14-05</t>
  </si>
  <si>
    <t>Point S Millau</t>
  </si>
  <si>
    <t>BAT VT envoyé le 25-04
BAT 1 envoyé le 13-05
validé par la franchise, envoyé au franchisé le 14-05
Relance le 15-05
BAT 2 envoyé le 15-05</t>
  </si>
  <si>
    <t>Patrimelle Lyautey</t>
  </si>
  <si>
    <t>BAT 1 envoyé le 14-05
BAT 2 envoyé le 14-05</t>
  </si>
  <si>
    <t>[BRENNTAG SA] Panneaux habillage panneaux d'affichage St Sulpice</t>
  </si>
  <si>
    <t>BAT envoyé le 15/05, FAB LE 16/05</t>
  </si>
  <si>
    <t>Liège - Popotes</t>
  </si>
  <si>
    <t>V1 le 04/09 - Relance mail le 05/10 - Relance le 20/10</t>
  </si>
  <si>
    <t>Condorcet - Popotes</t>
  </si>
  <si>
    <t>V1 le 04/09 - Relance mail le 05/10 - Relance le 20/10 - Réponse comme quoi en attente validation interne chez eux</t>
  </si>
  <si>
    <t>CAMIF TOURS</t>
  </si>
  <si>
    <t>BAT et BAT VT envoyé le 27/09 - INTERIEUR ET ADHESIF OK - Attente pour enseigne - Changement de local prévu, donc en attente pour nouveau dossier global</t>
  </si>
  <si>
    <t>Bureau Vallée - Caen Mondeville</t>
  </si>
  <si>
    <t>Attente validation devis pour les enseignes - Relance tél le 05/10 : Ils prévoient un changement de local, mais blocage entre le bailleur et le groupe, en attente de retour</t>
  </si>
  <si>
    <t>Capvital - Bourge</t>
  </si>
  <si>
    <t xml:space="preserve">Message sur répondeur le 05/10 - Sur un projet de construction dans 1 an - Michael doit rappeler dans 1 mois </t>
  </si>
  <si>
    <t>Gi Group - Aix Les Milles</t>
  </si>
  <si>
    <t>Nouveau BAT envoyé le 15/02 - Relance le 15/03 - Relance le 31/05 - Call du 25/07 pour relance toujours en standby - Relance le 04/09</t>
  </si>
  <si>
    <t>Adisseo - Signalétique Int. P2</t>
  </si>
  <si>
    <t>V1 envoyé le 04/10 - V2 le 19/10 - Relance le 26/10 - Relance le 07/11</t>
  </si>
  <si>
    <t>BAT MAIRIE LMT</t>
  </si>
  <si>
    <r>
      <rPr>
        <rFont val="Comfortaa"/>
        <b/>
        <color rgb="FFFF0000"/>
      </rPr>
      <t>REPRISE DOSSIER LAURIE :</t>
    </r>
    <r>
      <rPr>
        <rFont val="Comfortaa"/>
        <color rgb="FFFF0000"/>
      </rPr>
      <t xml:space="preserve"> </t>
    </r>
    <r>
      <rPr>
        <rFont val="Comfortaa"/>
        <color theme="1"/>
      </rPr>
      <t>DEPOSE LE 26/02 - MODIFS - Modif Jordan le 27/02 /Demande à Diane le 07/03 , pas de nouvelle</t>
    </r>
  </si>
  <si>
    <t>Viva services Clermont</t>
  </si>
  <si>
    <t xml:space="preserve">REPRISE DOSSIER Carole - BAT envoyé - BAT mairie envoyé - Attente retour mairie pour FAB - Relance mail Myriam le 05/10 - Tentative appel le 05/10 - Nouvelle tentative le 05/10 + Message sur la messagerie - Coordonnées pour prochaine relance : Monsieur Mathieu Hoareau Viva services Clermont ferrand 26bis Boulevard Berthelot 63000 CLERMONT FERRAND Tél : Tél. portable : 0612862261 Email : mathieuhoareauperso@outlook.f </t>
  </si>
  <si>
    <t>Modif envoyé le 01/07 - Relance le 18/07 - Relance téléphonique (message sur le répondeur) le 26/08 - Modif envoyé le 05/09 - Modif envoyé le 12/09 - Relance mail le 19/09 - Nouveau BAT le 04/10</t>
  </si>
  <si>
    <t>Camif - Challans</t>
  </si>
  <si>
    <t>V1 envoyé à Sylvie le 30/10 - BAT VT fait le 30/10 - V2 et V3 le 31/10 - Envoyé au franchisé le 31/10 - V2 le 07/11 - BAT Mairie envoyé le 28/11</t>
  </si>
  <si>
    <t>Emilie - Mandelieu</t>
  </si>
  <si>
    <t>Mail sur fichiers à corriger le 06/05 - Fichier adh prod - mise en prod adh. pro</t>
  </si>
  <si>
    <t>Guy Hoquet - Panneaux Villeurbanne</t>
  </si>
  <si>
    <t>V2 envoyé le 03/05</t>
  </si>
  <si>
    <t>Cell For Cure (Sequens)</t>
  </si>
  <si>
    <t>V1 le 02/05 - Mail de réponse auto, en congé jusqu'au 12</t>
  </si>
  <si>
    <t>Temporis - Perpignan</t>
  </si>
  <si>
    <t>V1 le 13/05</t>
  </si>
  <si>
    <t>[Le petit Lunetier] Enseignes et adhésifs Nimes</t>
  </si>
  <si>
    <t>BAT envoyé le 13/05, FAB A FAIRE</t>
  </si>
  <si>
    <t>[Le petit Lunetier] Enseignes Angers</t>
  </si>
  <si>
    <t>ANACOURS LILLE</t>
  </si>
  <si>
    <t xml:space="preserve">ANACOURS TOURS EXTE </t>
  </si>
  <si>
    <t xml:space="preserve">Emilie Mandelieu </t>
  </si>
  <si>
    <t>BAt v2 envoyé le 27/03 - Refab des adhésifs provisoire Jordan le 07/05</t>
  </si>
  <si>
    <t>RIA FR12280</t>
  </si>
  <si>
    <t>BAT 1 envoyé le 8-03
Relance le 25-03
BAT 2 envoyé le 26-03
BAT et devis validé attente VT
Relance le 19-04</t>
  </si>
  <si>
    <t xml:space="preserve">L'ESTEVAO BAT </t>
  </si>
  <si>
    <t xml:space="preserve">FAIRE BAT </t>
  </si>
  <si>
    <t>BAT 1 envoyé le 8-04
Relance le 11-04
Relance le 19-04
BAT 2 envoyé le 29-04
Projet annulé</t>
  </si>
  <si>
    <t>MR Enseignes - Golden cook</t>
  </si>
  <si>
    <t>Envoie du V1 à Flo le 28/03</t>
  </si>
  <si>
    <t xml:space="preserve">Nova - Montage vidéo </t>
  </si>
  <si>
    <t>Vidéo 1 fini, tournage vidéo 2 mardi 09/04</t>
  </si>
  <si>
    <t>Mr Enseignes - Griesser Showroom</t>
  </si>
  <si>
    <t>Commande effectué</t>
  </si>
  <si>
    <t>Hôpital - Pierre Rouques</t>
  </si>
  <si>
    <t>V1 le 14/05</t>
  </si>
  <si>
    <t>SQ Villeurbanne Tolstoi interieur</t>
  </si>
  <si>
    <t>Attente Brief
Relance le 14-03
Relance le 11-04
BAT 1 envoyé le 6-05</t>
  </si>
  <si>
    <t>Euronet FRMD2098</t>
  </si>
  <si>
    <t>BAT VT envoyé le 19-04
BAT 1 envoyé le 2-05</t>
  </si>
  <si>
    <t>ONET</t>
  </si>
  <si>
    <t>Novi - Dunkerque</t>
  </si>
  <si>
    <t>BAT VT envoyé le 13/02 - V1 envoyé le 05/03 -  BAT mairie le 25/03</t>
  </si>
  <si>
    <t>EMILIE STRASBOURG</t>
  </si>
  <si>
    <t>FAIRE LE POINT AVANT REU MICHAEL</t>
  </si>
  <si>
    <t>Solina Group Services] ADHÉSIF POUR EXTÉRIEURE</t>
  </si>
  <si>
    <t>BAT envoyé le 06/05, BAT2 envyé le 07/05, FAB A FAIRE</t>
  </si>
  <si>
    <t>project late[SAS 6 BOATS] Place Hubert Dubedou Grenoble</t>
  </si>
  <si>
    <t>Phibor</t>
  </si>
  <si>
    <t>BAT interne envoyé le 16-04
BAT 1 envoyé le 16-04</t>
  </si>
  <si>
    <t>CASA PENASA</t>
  </si>
  <si>
    <t>Point S Industriel</t>
  </si>
  <si>
    <t>BAT 1 envoyé le 7-05</t>
  </si>
  <si>
    <t>Wash n dry tel</t>
  </si>
  <si>
    <t>Detail Car Garibaldi</t>
  </si>
  <si>
    <t>Adh horaire a refaire + BAT envoyé le 07/05. Finalement  on repart sur le 1er fichier de fab</t>
  </si>
  <si>
    <t>BAT VT fait le 11-04
BAT 1 envoyé le 25-04
BAT 2 envoyé le 25-04
franchise à validé - envoi au franchisé le 25-04
Renvoi au franchisé le 7-05</t>
  </si>
  <si>
    <t>Mairie de Jons</t>
  </si>
  <si>
    <t>BAT 1 envoyé le 24-04
Relance le 26-04</t>
  </si>
  <si>
    <t>SQ Tinqueux exterieur</t>
  </si>
  <si>
    <t>BAT 1 envoyé le 6-10 -- BAT VT fait le 6-10
Relance faite le 12-10
BAT validé - j'attends la VT pour faire le dossier mairie
Dossier mairie envoyé -
refus mairie - nouveau BAT envoyé à Eric le 11-01 en arttente de validation pour envoyer le nouveau doc en mairie
Relance Eric le 19-01
Relance Eric le 21-02
Eric à validé - nouveau dossier en mairie envoyé le 21-02
2 proposition envoyé le 2-05 pour marquage vitre
Adhésif validé le 6-05 
attente dimensions et confirmation mairie</t>
  </si>
  <si>
    <t>SAS 6 BOATS - Place Hubert Dubedou Grenoble</t>
  </si>
  <si>
    <t>BAT avec options envoyé le 16/04, BAT FINAL envoyé 18/04 apres appel, dossier mairie mis en ligne le 18/04, fichiers FAB prêts &gt; ATTENTE GO de Elisabeth. retour : BAT mairie annulé, FAB envoyé le 07/05</t>
  </si>
  <si>
    <t>Point S Illkrich</t>
  </si>
  <si>
    <t>BAT 1 envoyé le 12-04
Relance faite le 19-04
Franchise validé- envoie au franchisé le 6-05</t>
  </si>
  <si>
    <t>Société Tregor</t>
  </si>
  <si>
    <t>BAT interne envoyé le 2-05
BAT 1 envoyé le 3-05</t>
  </si>
  <si>
    <t>SQ Nice adhésif</t>
  </si>
  <si>
    <t>BAT fait le 6-05</t>
  </si>
  <si>
    <t>Sandra Malfilatre</t>
  </si>
  <si>
    <t>V1 suivant fichier de Hugo le 06/05</t>
  </si>
  <si>
    <t>PWP - Cellier des 3 Pierres</t>
  </si>
  <si>
    <t>V1 le 02/05</t>
  </si>
  <si>
    <t>Symathese</t>
  </si>
  <si>
    <t>BAT 1 envoyé le 24-04
BAT 2 envoyé le 24-04
Relance le 25-04
BAT 3 envoyé le 30-04</t>
  </si>
  <si>
    <t>VM Le Houlme</t>
  </si>
  <si>
    <t>BAT 1 envoyé le 24-04
BAT 2 envoyé le 6-05</t>
  </si>
  <si>
    <t>VM Aytre</t>
  </si>
  <si>
    <t>BAT 1 envoyé le 23-04
BAT 2 envoyé le 6-05</t>
  </si>
  <si>
    <t>[MR ENSEIGNES] Ardesca Print - CENTRAKOR</t>
  </si>
  <si>
    <t>BAT envoyé le 10/04 - FAB A FAIRE - fichiers commencés mais attente si externalisation ou non, finir les fichiers de prod</t>
  </si>
  <si>
    <t>VM Rochefort</t>
  </si>
  <si>
    <t>BAT 1 envoyé le 22-04
BAT 2 envoyé le 6-05</t>
  </si>
  <si>
    <t>PANNEAU STEPEC</t>
  </si>
  <si>
    <t>BAT 1 envoyé le 6-05</t>
  </si>
  <si>
    <t>VM Brioux Sur Boutonne</t>
  </si>
  <si>
    <t>BAT 1 envoyé le 24-04</t>
  </si>
  <si>
    <t>Way</t>
  </si>
  <si>
    <r>
      <rPr>
        <rFont val="Comfortaa"/>
        <b/>
        <color rgb="FFFF0000"/>
      </rPr>
      <t>REPRISE DOSSIER LAURIE :</t>
    </r>
    <r>
      <rPr>
        <rFont val="Comfortaa"/>
        <color theme="1"/>
      </rPr>
      <t xml:space="preserve"> BAT 1 envoyé le 08/02 - BAT 2 envoyé le 12/02 - BAT validé  - BAT marie fait, attente retour mairie // demande à Diane le 07/03 pas de nouvelles - FAB OK - Attente validation devis GEP</t>
    </r>
  </si>
  <si>
    <t>Temporis - Lille</t>
  </si>
  <si>
    <t>SQ Toulouse Blagnac enseigne</t>
  </si>
  <si>
    <t>BAT 1 envoyé le 22-01
BAT VT envoyé le 22-01
BAT mairie fait le 24-01
BAT 2 suite retour mairie envoyé le 5-04
envoi BAT mairie le 9-04</t>
  </si>
  <si>
    <t>Flyer DPW</t>
  </si>
  <si>
    <t>BAT 1 envoyé le 2-05
BAT 2 envoyé le 2-05</t>
  </si>
  <si>
    <t>Novi - Gap</t>
  </si>
  <si>
    <t>BAT VT envoyé le 13/02 - V1 envoyé le 05/03 - V2 le 07/03 - V3 le 10/04</t>
  </si>
  <si>
    <t>GAC Groupe</t>
  </si>
  <si>
    <t>BAT envoyé le 11/04, BAT1 envoyé en FAB, BAT 2 en ATTENTE RETOUR CLIENT sur les dimensions et couleurs</t>
  </si>
  <si>
    <t>Epione</t>
  </si>
  <si>
    <t>Faire déco et doc mairie ENVOI POUR LE 18/04, voir fichier VT 2 mis par Orianne sur le serveur, BAT + BAT mairie envoyé le 25/04, BAT 2 envoyé le 30/04</t>
  </si>
  <si>
    <t>Temporis Quimper - Véhicule</t>
  </si>
  <si>
    <t>V1 le 29/04</t>
  </si>
  <si>
    <t>Temporis Quimper - Kit Horaire</t>
  </si>
  <si>
    <t>V1 le 25/04</t>
  </si>
  <si>
    <t>bache Avnir AVIATION</t>
  </si>
  <si>
    <t>Camif - Ambérieu</t>
  </si>
  <si>
    <t>V1 le 27/02 - Validation franchiseur - V1 au franchisé le 29/02 - Relance le 14/03 - BAT Mairie fait le 14/03 - Modif à faire sur Kit Horaire + Repasser en dossier mairie - Modif envoyé le 21/03</t>
  </si>
  <si>
    <t>ANACOURS VERSAILLES</t>
  </si>
  <si>
    <t>[LES MARMITES FOLLES DE DOG'G] Adhésifs habillage vitrines v2</t>
  </si>
  <si>
    <t>doit appeler la cliente pour brief. veux un appel ven 12/04 car un peu pressée, BAT envoyé le 24/04, BAT renvoyé le 26/04, BAT renvoyé le 29/04</t>
  </si>
  <si>
    <t>Point S Carcassone</t>
  </si>
  <si>
    <t>BAT VT envoyé le 17-04
BAT 1 envoyé le 26-04
la franchise à validé -envoi au franchisé le 26-04</t>
  </si>
  <si>
    <t>Drapeau Euronet</t>
  </si>
  <si>
    <t>BAT 1 envoyé le 18-04
Relance le 24-04
Relance le 26-04</t>
  </si>
  <si>
    <t>Euronet FRMD2071</t>
  </si>
  <si>
    <t>BAT VT envoyé le 19-04
BAT 1 envoyé le 29-04</t>
  </si>
  <si>
    <t>SQ Creteil</t>
  </si>
  <si>
    <t>BAT fait le 29-04</t>
  </si>
  <si>
    <t>MCF</t>
  </si>
  <si>
    <t>FAB fait le 29-04</t>
  </si>
  <si>
    <t>Editions Boleine - Marquage deventure</t>
  </si>
  <si>
    <t>V1 envoyé le 09/04, V2 envoyé le 11/04</t>
  </si>
  <si>
    <t>Point S St Hilaire</t>
  </si>
  <si>
    <t>BAT 1 envoyé le 25-04
Franchise validé - envoie au franchisé le 25-04</t>
  </si>
  <si>
    <t>[Ateliers SP] SIGNALÉTIQUE INTÉRIEUR</t>
  </si>
  <si>
    <t>Vu avec Jordan puis  Antoine : sur le BAT, mettre dans un coin les lettres en 200 qui ne rentrent pas et faire la préco, BAT envoyé en validation à Jordan -  FAB A FAIRE - Fab envoyée le 23/04 - plexi envoyé sur Wowprint le 23/04 (suivre commande au cas ou)</t>
  </si>
  <si>
    <t>MR ENSEIGNES] Pizza La La - Drapeau lumineux</t>
  </si>
  <si>
    <t>BAT envoyé, commande passée enseignelowcost</t>
  </si>
  <si>
    <t xml:space="preserve">MR ENSEIGNES] PANO LIMOGES - A poèle </t>
  </si>
  <si>
    <t>BAT prêt, BAT envoyé le 22/04 (fichiers prod prets), fichiers prod envoyé le 23/04 - verifier Enseigne+ ok</t>
  </si>
  <si>
    <t>Pyramid Conseil (Online)</t>
  </si>
  <si>
    <t>VM Lucon Bois</t>
  </si>
  <si>
    <t>BAT 1 envoyé le 23-04
BAT 2 envoyé le 25-04</t>
  </si>
  <si>
    <t>VM Niort</t>
  </si>
  <si>
    <t>BAT 1 envoyé le 23-04</t>
  </si>
  <si>
    <t>Point S Aurillac</t>
  </si>
  <si>
    <t>BAT 1 envoyé le 19-03
Relance le 25-03
BAT 2 envoyé le 29-03
BAT 3 envoyé le 2-04
Franchise à validé - ils s'occupent de faire valider par le franchisé
BAT 4 envoyé le 4-04
Relance le 19-04
BAT 5 envoyé le 23-04
BAT 6 envoyé le 24-04
validé par la franchise le 24-04</t>
  </si>
  <si>
    <t>Essomo Laundry</t>
  </si>
  <si>
    <t>Pano Limoges Mr enseigne</t>
  </si>
  <si>
    <t>Etiquettes colis</t>
  </si>
  <si>
    <t>Mr Enseignes - Moquet</t>
  </si>
  <si>
    <t>V1 le 24/04</t>
  </si>
  <si>
    <t>VM Saintes</t>
  </si>
  <si>
    <t>BAT 1 envoyé le 22-04</t>
  </si>
  <si>
    <t>[CENTRE D'OPHTALMOLOGIE MEGAVISION] adhesifs</t>
  </si>
  <si>
    <t>BAT envoyé le 22/04, FAB A FAIRE</t>
  </si>
  <si>
    <t>Camif - La Baule Pornichet</t>
  </si>
  <si>
    <t>VM Roullet Carrelage</t>
  </si>
  <si>
    <t>BAT 1 envoyé le 24-04
BAT 2 envoyé le 24-04</t>
  </si>
  <si>
    <t>VM Le Havre</t>
  </si>
  <si>
    <t>Camif - Voreppe</t>
  </si>
  <si>
    <t>BAT VT fait le 19/03 - BAT V1 fait le 19/03 - Adhésif provisoire en prod le 19/03 - Relance le 16/04 - Le franchiseur va échanger en direct avec le franchisé - BAT envoyé au franchisé le 16/04 - Renvoyé le 18/04 - VX le 23/04 franchisé + franchiseur</t>
  </si>
  <si>
    <t>Mr Enseignes - Ardesca 1324</t>
  </si>
  <si>
    <t>V1 le 23/04</t>
  </si>
  <si>
    <t>GUY HOQUET Lyon 5</t>
  </si>
  <si>
    <t>BAT envoyé le 15/04</t>
  </si>
  <si>
    <t>VM Tours</t>
  </si>
  <si>
    <t>BAT 1 envoyé le 10-04</t>
  </si>
  <si>
    <t>Novi - Issy les Moulinaux</t>
  </si>
  <si>
    <t>BAT VT envoyé le 04/03 - V1 le 15/03 - V2 le 04/04</t>
  </si>
  <si>
    <t>VM Vouneuil</t>
  </si>
  <si>
    <t>Euronet FRMD2028</t>
  </si>
  <si>
    <t>BAT fait le 23-04</t>
  </si>
  <si>
    <t>Euronet FRMD2035</t>
  </si>
  <si>
    <t>BAT 1 fait le 22-04</t>
  </si>
  <si>
    <t>RIA FR14515</t>
  </si>
  <si>
    <t>BAT 1 envoyé le 12-12
Relance faite le 13-12
BAT 2 envoyé le 13-12
relance le 25-01
BAT 3 envoyé le 6-02
Relance faite le 13-02
Relance le 21-02
Relance le 25-03
BAT 4 envoyé le 9-04
Relance le 11-04
Attente VT pour FAB</t>
  </si>
  <si>
    <t>MR Enseigne 2COMM</t>
  </si>
  <si>
    <t>Novi - Amiens</t>
  </si>
  <si>
    <t>BAT VT envoyé le 08/02 - V1 envoyé le 04/03 - V2 le 05/03 - V3 le 05/03 - V4 le 28/03 - V5 le 02/04 - V6 le 10/04</t>
  </si>
  <si>
    <t>SQ Cheneviere exterieur</t>
  </si>
  <si>
    <t>BAT 1 envoyé le 16-01
BAT VT envoyé le 16-01
BAT 2 envoyé le 17-01
BAT validé - Dossier mairie en cours le 17-01
Relance Diane le 19-01
VT reçu le 23-01, dossier mis à jour 
BAT 3 envoyé le 24-01
Mairie le 24-01</t>
  </si>
  <si>
    <t>Point S Ambares</t>
  </si>
  <si>
    <t>BAT 1 envoyé le 17-04
validation franchise
envoie franchisé le 17-04
BAT 2 envoyé le 22-04</t>
  </si>
  <si>
    <t>Mr Enseignes - Hugo THierry</t>
  </si>
  <si>
    <t>SQ Tinqueux interieur</t>
  </si>
  <si>
    <t>BAT 1 envoyé le 19-04</t>
  </si>
  <si>
    <t>Temporis - Chantonnay</t>
  </si>
  <si>
    <t>Enseignes - V1 envoyé le 19/04</t>
  </si>
  <si>
    <t>SAS CARPOR</t>
  </si>
  <si>
    <t>BAT V2 envoyé le 09/05 - preparer rdv du 31/05 - BAT 2 envoyé le 06/06 -  appelé avec mssg laissé le 17/07 - appelé le 06/11 message laissé - BAT exte envoyé le 28/11 - BAT exte v2 envoyé l 04/12 - projet inte envoyé le 29/01 - BAT v2 envoyé le 13/02 - ajout a faire sur le BAT  - Mdif BAT INT à faire - FAB A FAIRE</t>
  </si>
  <si>
    <t>Mr Enseignes - Hadrien</t>
  </si>
  <si>
    <t>LES GERMAINE DEPOLI</t>
  </si>
  <si>
    <t xml:space="preserve">Kpizz Angouleme </t>
  </si>
  <si>
    <t>BAT envoyé le 27/03 - VT a faire</t>
  </si>
  <si>
    <t>Novi - Paris Rivoli</t>
  </si>
  <si>
    <t>BAT VT envoyé le 06/02 - V1 envoyé le 01/03 - V2 le 26/03 - V3 le 10/04</t>
  </si>
  <si>
    <t>[MR ENSEIGNES] Ardesca Print - Caisson DMX</t>
  </si>
  <si>
    <t>BAT envoyé le 10/04 - FAB A FAIRE</t>
  </si>
  <si>
    <t xml:space="preserve">ANACOURS LILLE </t>
  </si>
  <si>
    <t xml:space="preserve">GUY HOQUET BLAGNAC </t>
  </si>
  <si>
    <t>BAT envoyé le 26/03 - VT envoyé le 02/04 - FAB A FAIRE</t>
  </si>
  <si>
    <t>Euronet FRMD2020</t>
  </si>
  <si>
    <t>SQ Cheneviere interieur</t>
  </si>
  <si>
    <t>Attente Brief
Relance Eric le 19-01
Relance Eric le 21-02
Relance le 14-03
Relance le 11-04
BAT 1 envoyé le 15-04</t>
  </si>
  <si>
    <t>Euronet FRMD2003</t>
  </si>
  <si>
    <t>BAT VT envoyé le 8-04
BAT 1 envoyé le 19-04</t>
  </si>
  <si>
    <t>Point S Chatenoy</t>
  </si>
  <si>
    <t>BAT VT envoyé le 4-04
BAT 1 envoyé le 10-04
BAT validé par la franchise - envoyé au franchisé le 15-04
Relance le 19-04</t>
  </si>
  <si>
    <t>Point Code - St Etienne</t>
  </si>
  <si>
    <r>
      <rPr>
        <rFont val="Comfortaa"/>
        <b/>
        <color rgb="FFFF0000"/>
      </rPr>
      <t xml:space="preserve">REPRISE DOSSIER LAURIE : </t>
    </r>
    <r>
      <rPr>
        <rFont val="Comfortaa"/>
        <color theme="1"/>
      </rPr>
      <t>BAT VT fait - BAT 1 envoyé aux fanchisées le 14/02 - FINIR MONTAGE + relire - BAT 2 envoyé aux franchisées le 20/02 - relance mail le 26/02 - valide par franchise le 26/02 - envoyé au franchisé le 27/02 - Nouveau BAT V3 le 04/03 - V4 le 04/03  - Dossier mairie fait le 04/03 - Nouveau dossier mairie suite refus le 20/03 - Modif du BAT le 21/03</t>
    </r>
  </si>
  <si>
    <t>Euronet FRMD2015</t>
  </si>
  <si>
    <t>BAT VT envoyé le 17-04
BAT 1 envoyé le 19-04</t>
  </si>
  <si>
    <t>VM Beauvoir</t>
  </si>
  <si>
    <t>BAT 1 envoyé le 29-03
BAT 2 envoyé le 18-04</t>
  </si>
  <si>
    <t>VM Chateau d'Olonne</t>
  </si>
  <si>
    <t>Euronet FRMD2137</t>
  </si>
  <si>
    <t>BAT 1 envoyé le 18-04</t>
  </si>
  <si>
    <t>Euronet FRMD2072</t>
  </si>
  <si>
    <t>Euronet FRMD2139</t>
  </si>
  <si>
    <t>Euronet FRMD2038</t>
  </si>
  <si>
    <t>Novi - Aubenas</t>
  </si>
  <si>
    <t>BAT VT envoyé le 15/02 - V1 envoyé le 28/02 - V2 le 04/03 - V3 le 05/03 - V4 le 10/04</t>
  </si>
  <si>
    <t>Kemroc</t>
  </si>
  <si>
    <t>BAT 1 envoyé le 17-04
BAT 2 envoyé le 18-04</t>
  </si>
  <si>
    <t>VM Niort Bois</t>
  </si>
  <si>
    <t>VM Parthenay</t>
  </si>
  <si>
    <t>VM St Aignan</t>
  </si>
  <si>
    <t>VM Leblanc</t>
  </si>
  <si>
    <t>Euronet FRMD2021</t>
  </si>
  <si>
    <t>Euronet FRMD2113</t>
  </si>
  <si>
    <t>BAT 1 envoyé le 17-04</t>
  </si>
  <si>
    <t>Guy Hoquet</t>
  </si>
  <si>
    <t>Visuel com' - V1 le 16/04</t>
  </si>
  <si>
    <t>XR Repro</t>
  </si>
  <si>
    <t>Euronet FRMD2129</t>
  </si>
  <si>
    <t>Euronet FRMD2109</t>
  </si>
  <si>
    <t>Euronet FRMD2039</t>
  </si>
  <si>
    <t>Euronet FRMD2138</t>
  </si>
  <si>
    <t>Euronet FRMD2134</t>
  </si>
  <si>
    <t>BAT VT envoyé le 17-04</t>
  </si>
  <si>
    <t>Euronet FRMD2087</t>
  </si>
  <si>
    <t xml:space="preserve">L'ITELIER </t>
  </si>
  <si>
    <t>Euronet FRMD2059</t>
  </si>
  <si>
    <t>Euronet FRMD2016</t>
  </si>
  <si>
    <t>BAT 1 envoyé le 17-04
BAT 2 envoyé le 17-04</t>
  </si>
  <si>
    <t>BAT Semaine 15 (du 7 au 12 avril) envoyé le 11/04, FAB A FAIRE</t>
  </si>
  <si>
    <t>BAT Semaine 15 (du 7 au 12 avril) envoyé le 12/04, validé, FAB A FAIRE</t>
  </si>
  <si>
    <t>BAT Semaine 15 (du 7 au 12 avril) envoyé le 11/04, validé, FAB A FAIRE</t>
  </si>
  <si>
    <t>Euronet FRMD2140</t>
  </si>
  <si>
    <t>Euronet FRMD2092</t>
  </si>
  <si>
    <t>BAT 1 envoyé le 16-04</t>
  </si>
  <si>
    <t>Euronet FRMD2082</t>
  </si>
  <si>
    <t>Novi - Lens</t>
  </si>
  <si>
    <t>BAT VT envoyé le 08/02 - V1 le 05/03 - V2 le 21/03</t>
  </si>
  <si>
    <t>Novi - Arras</t>
  </si>
  <si>
    <t>BAT VT envoyé le 08/02 - V1 envoyé le 27/02 - V2 le 21/03</t>
  </si>
  <si>
    <t>Euronet FRMD2005</t>
  </si>
  <si>
    <t>BAT 1 fait le 16-04</t>
  </si>
  <si>
    <t>Euronet FRMD2117</t>
  </si>
  <si>
    <t>Mr enseigne Pano</t>
  </si>
  <si>
    <t>BAT interne envoyé le 16-04</t>
  </si>
  <si>
    <t>YUBA BICYCLE</t>
  </si>
  <si>
    <t>DPW st julien</t>
  </si>
  <si>
    <t>[MR ENSEIGNES] NORBA MENUISERIE - Gendarmerie Nationale</t>
  </si>
  <si>
    <t>Z:\M\Mister Enseignes\Client MR Enseignes\NORBA MENUISERIE\FZ  900765 - SURVILLIERS Gendarmerie - MAQUETTE + BAT envoyé le 04/04</t>
  </si>
  <si>
    <t>Mr Enseignes - Pano limoges Nestenn</t>
  </si>
  <si>
    <t xml:space="preserve">Envoie du V1 à Flo le 08/04 </t>
  </si>
  <si>
    <t>Plaquette Decathlon</t>
  </si>
  <si>
    <t>version 1 envoyé le 11-04
version 2 envoyé le 11-04
Version 3 envoyé le 12-04</t>
  </si>
  <si>
    <t xml:space="preserve">EMILIE LYON </t>
  </si>
  <si>
    <t>BAt envoyé le 03/11 - BAT v2 envoyé le 22/11</t>
  </si>
  <si>
    <t>Novi - St Junien</t>
  </si>
  <si>
    <t>BAT VT envoyé le 06/02 - V1 Eva le 16/02 - V2 le 05/03 - FAB OK pour tout sauf texte bois et MATS</t>
  </si>
  <si>
    <t>VM Soullans</t>
  </si>
  <si>
    <t>BAT 1 envoyé le 29-03</t>
  </si>
  <si>
    <t xml:space="preserve">OLIVIER TOURASSE </t>
  </si>
  <si>
    <t>RIA BE1834</t>
  </si>
  <si>
    <t>BAT envoyé le 13/02 - BAT v2 a faire - en attente retour Michele</t>
  </si>
  <si>
    <t>VM CHATELLERAULT</t>
  </si>
  <si>
    <t>VM Thouars</t>
  </si>
  <si>
    <t>VM Chataigneraie</t>
  </si>
  <si>
    <t>VM Pouzauges</t>
  </si>
  <si>
    <t>VM Chauvigny</t>
  </si>
  <si>
    <t>RESIDEA GRASSE</t>
  </si>
  <si>
    <t>envoyé le 03/01 - cliente appelé le 11 et 12/01, pas de réponses, appelé le 16/01 - Antoine a relancé le 22/01 - RDV à 14h - refaire BAT - FAB A FAIRE</t>
  </si>
  <si>
    <t xml:space="preserve">LEMON ROCHE </t>
  </si>
  <si>
    <t>BAT envoyé le 21/03</t>
  </si>
  <si>
    <t>Quiz Room Lille</t>
  </si>
  <si>
    <t>demande client de fichiers source le 28/03, envoi BAT le 09/04, fichiers FAB le 10/04</t>
  </si>
  <si>
    <t>[MR ENSEIGNES] PANO POITIERS - Hôtel Central (Drapeau ajouré)</t>
  </si>
  <si>
    <t>BAT envoyé le 05/04, Fichiers FAB le 09/04</t>
  </si>
  <si>
    <t>BAGELSTEIN SAINT LAZARE</t>
  </si>
  <si>
    <t>[MR ENSEIGNES] PANO LIMOGES - Clinique du mobile</t>
  </si>
  <si>
    <t>BAT envoyé le 05/04, Fichiers pro le 10/04</t>
  </si>
  <si>
    <t>RIA FR14587</t>
  </si>
  <si>
    <t>BAT 1 envoyé le 7-03
BAT 2 envoyé le 8-03
Relance le 25-03
BAT 3 envoyé le 2-04
BAT validé attente VT</t>
  </si>
  <si>
    <t>RIA FR10319</t>
  </si>
  <si>
    <t>BAT 1 envoyé le 7-03
BAT 2 envoyé le 25-03
BAT et devis validé attente VT</t>
  </si>
  <si>
    <t>Guy Hoquet Bourg en Bresse Porte</t>
  </si>
  <si>
    <t>Devanture en FAB - attente éléments porte pour lancer la fab de l'adhesif vitre</t>
  </si>
  <si>
    <t>VM Longeville</t>
  </si>
  <si>
    <t>BAT 1 envoyé le 29-03
BAT 2 envoyé le 8-04</t>
  </si>
  <si>
    <t>Guy Hoquet Aytré</t>
  </si>
  <si>
    <t>BAT 1 envoyé le 17-01 en interne
BAT provisoire envoyé le 17-01 
BAT VT fait le 17-01
BAT 2 envoyé le 18-01
BAT 3 envoyé le 22-01
BAT 4 envoyé le 23-01
BAT 5 envoyé le 24-01
la franchise à validé 
BAT 6 envoyé au franchisé le 24-01
relance client le 2-02
BAT 7 envoyé le 16-02
BAT 8 envoyé le 19-02
BAT mairie fait le 20-02 en attente de validation franchise et franchisé
Nouveau BAT envoyé le 27-02 à la franchise avec le visuel du graphiste
la franchise à validé - envoi au franchisé</t>
  </si>
  <si>
    <t>VT fait et mis à dispo le 03/04, retour cliente : pas de fichier supplémentaire, voulait un dessin de main sur le bâche, j'ai préconisé non au vu du délai, BAT envoyé le 08/04, fichier fab envoyé le 08/04</t>
  </si>
  <si>
    <t>CITY LOCKER - MONTMARTRE</t>
  </si>
  <si>
    <t>V1 le 08/04</t>
  </si>
  <si>
    <t>GRDF</t>
  </si>
  <si>
    <t>Attente retour Marguerite le 21/03 pour socle avant envoi BAT au client - V1 le 21/03 - V2 le 27/03 - Relance le 08/04</t>
  </si>
  <si>
    <t>Mr Enseignes - Alexis Jude</t>
  </si>
  <si>
    <t>Camif Habitat Rennes</t>
  </si>
  <si>
    <t>BAT 1 envoyé le 23-01
BAT VT envoyé le 23-01
relance le 25-01
Provisoire en impression
BAT 2 envoyé le 30-01
BAT 3 envoyé le 01-02
BAT 4 envoyé le 13-02
BAT 5 envoyé le 14-02
BAT 6 envoyé le 14-02
la franchise à validé - envoie le 14-02 au franchisé
BAT 7 envoyé le 16-02 à la franchise
Franchise à validé - envoyé au franchisé le 16-02
tout est validé - BAT Mairie fait le 20-02</t>
  </si>
  <si>
    <t>Temporis - Epinal Experts et Cadres</t>
  </si>
  <si>
    <t>V1 envoyé le 26/03/2024, V2 envoyé le 28/03/2024</t>
  </si>
  <si>
    <t>REINTER HOUCHE PI</t>
  </si>
  <si>
    <t>BAT  a envoyer</t>
  </si>
  <si>
    <t xml:space="preserve">Wordpress nova </t>
  </si>
  <si>
    <t>Site fini avec modif le 04/04</t>
  </si>
  <si>
    <t>Nova - Test</t>
  </si>
  <si>
    <t>Test donné le jeudi 04/04 à Léa pour l'envoie</t>
  </si>
  <si>
    <t>VM Olonne</t>
  </si>
  <si>
    <t>BAT 1 envoyé le 28-03
BAT 2 envoyé le 8-04</t>
  </si>
  <si>
    <t>ETEX</t>
  </si>
  <si>
    <t xml:space="preserve">DPT nouveau local </t>
  </si>
  <si>
    <t>BAT envoyé le 04/01</t>
  </si>
  <si>
    <t>UPS</t>
  </si>
  <si>
    <t xml:space="preserve">BAT mis à jour le 25/03 - </t>
  </si>
  <si>
    <t>BAT à jour des nouvelles infos pour pose</t>
  </si>
  <si>
    <t>Mr Enseignes - Chez Josy</t>
  </si>
  <si>
    <t>BAT envoyé le 28/03, fichiers fab envoyés le 04/10</t>
  </si>
  <si>
    <t>BAT envoyé le 28/03, fichiers fab envoyés le 04/15</t>
  </si>
  <si>
    <t>BAT envoyé le 28/03, fichiers fab envoyés le 04/14</t>
  </si>
  <si>
    <t>BAT envoyé le 28/03, fichiers fab envoyés le 04/06</t>
  </si>
  <si>
    <t>BAT envoyé le 28/03, fichiers fab envoyés le 04/05</t>
  </si>
  <si>
    <t>BAT envoyé le 28/03, fichiers fab envoyés le 03/04</t>
  </si>
  <si>
    <t>SQ Nice interieur</t>
  </si>
  <si>
    <t>Attente de brief
Relance le 14-03
BAT 1 envoyé le 3-04</t>
  </si>
  <si>
    <t>SQ Brives Churchill INTERIEUR</t>
  </si>
  <si>
    <t>Attente brief - relance client faite le 27-10
lightbox à faire en 600 et pas en 800 mm
Relance Paul faite le 19-01
Relance Paul faite le 21-02
Relance le 14-03
BAT 1 envoyé le 3-04</t>
  </si>
  <si>
    <t xml:space="preserve">TC RETAIL LE TOUQUET </t>
  </si>
  <si>
    <t>maquete encoyé à Léa le 28/0 - FAB A FAIRE</t>
  </si>
  <si>
    <t>Temporis - Albi</t>
  </si>
  <si>
    <t>V1 envoyé le 02/04 - V2 le 03/04</t>
  </si>
  <si>
    <t>Mr Enseignes - Lou Kasatche</t>
  </si>
  <si>
    <t>V1 le 03/04</t>
  </si>
  <si>
    <t>Wash n Dry Lyon 5 interieur</t>
  </si>
  <si>
    <t>BAT 1 envoyé le 27-03</t>
  </si>
  <si>
    <t>Novos Batisseurs</t>
  </si>
  <si>
    <t>Mail demande info le 20/09/2023, simplification du plan, attente reponse du mail d'antoine, V1 envoyé le 09/10/2023, relance le 10/11, réponse de la dame : elle est en attente d'information a rajouter sur les plans..., relance le 21/11, relance le 15/12</t>
  </si>
  <si>
    <t>BAT envoyé le 28/03, fichiers fab envoyés le 04/13</t>
  </si>
  <si>
    <t>BAT envoyé le 28/03, fichiers fab envoyés le 04/07</t>
  </si>
  <si>
    <t>BAT envoyé le 28/03, fichiers fab envoyés le 04/04</t>
  </si>
  <si>
    <t>Bobbies</t>
  </si>
  <si>
    <t>BAT a faire</t>
  </si>
  <si>
    <t>Wash n dry st julien</t>
  </si>
  <si>
    <t>BAT 1 envoyé le 26-03
BAT 2 envoyé le 28-03</t>
  </si>
  <si>
    <t>SQ VERT ST DENIS EXTERIEUR</t>
  </si>
  <si>
    <t>BAT 1 envoyé le 30-10 -  BAT VT fait le 30-10
relance faite le 6-11
BAT validé -
BAT mairie fait le 27-11
BAT mairie refusé - nouveau BAT client envoyé le 21-12,
BAT validé - attente de la nouvelle VT pour refaire le dossier mairie (nouveau dossier mairie demandé par le client)
Noveau BAT mairie envoyé le 18-01
Relance Diane le 19-01</t>
  </si>
  <si>
    <t>SQ VERT ST DENIS INTERIEUR</t>
  </si>
  <si>
    <t>Demande de brief envoyé le 30-10 à Eric
Relance Eric faite le 19-01
Relance Eric le 21-02
Relance le 14-03
BAT 1 envoyé le 29-03
BAT 2 envoyé le 2-04</t>
  </si>
  <si>
    <t xml:space="preserve">Co kitchen </t>
  </si>
  <si>
    <t>BAT 1 envoyé le 16-03</t>
  </si>
  <si>
    <t>Euronet FRMD2062</t>
  </si>
  <si>
    <t>BAT fait le 3-04</t>
  </si>
  <si>
    <t>Euronet FRMD2123</t>
  </si>
  <si>
    <t>Euronet FRMD2125</t>
  </si>
  <si>
    <t>Euronet FRMD2052</t>
  </si>
  <si>
    <t>Euronet FRMD2049</t>
  </si>
  <si>
    <t>Euronet FRMD2022</t>
  </si>
  <si>
    <t>Euronet FRMD2014</t>
  </si>
  <si>
    <t>Euronet FRMD2084</t>
  </si>
  <si>
    <t>Maquette PI AMANDA</t>
  </si>
  <si>
    <t xml:space="preserve">Maquette nouveau véhicule </t>
  </si>
  <si>
    <t>[Mr ENSEIGNE] SARL EMERAUDE</t>
  </si>
  <si>
    <t>BAT envoyé à Florent le 27/03 validé - fichier prod ok</t>
  </si>
  <si>
    <t>Végétal enseigne</t>
  </si>
  <si>
    <t>BAT VT envoyé le 22-03
BAT 1 envoyé le 28-03</t>
  </si>
  <si>
    <t>Emily Nancy</t>
  </si>
  <si>
    <t>Mail envoyé à Eliz le 21/12 - à relancer une énième fois - via whatsapp (fait le 15/01</t>
  </si>
  <si>
    <t xml:space="preserve">O MY SUSHIS </t>
  </si>
  <si>
    <t xml:space="preserve">ETIQUETTE </t>
  </si>
  <si>
    <t>MR ENSEIGNE ROQUETTE B</t>
  </si>
  <si>
    <t>5 océans</t>
  </si>
  <si>
    <t>BAT 1 envoyé le 19-02
Dossier mairie fait le 19-02</t>
  </si>
  <si>
    <t>La nouvelle</t>
  </si>
  <si>
    <t>BAT 1 envoyé le 28-03
BAT 2 envoyé le 29-03</t>
  </si>
  <si>
    <t>Euronet FRMD2106</t>
  </si>
  <si>
    <t>BAT fait le 29-03</t>
  </si>
  <si>
    <t>Euronet FRMD2073</t>
  </si>
  <si>
    <t>Euronet FRMD2112</t>
  </si>
  <si>
    <t>Euronet FRMD2115</t>
  </si>
  <si>
    <t>Euronet FRMD2034</t>
  </si>
  <si>
    <t>Euronet FRMD2054</t>
  </si>
  <si>
    <t>Euronet FRMD2119</t>
  </si>
  <si>
    <t>Euronet FRMD2055</t>
  </si>
  <si>
    <t>C&amp;A BESANCON</t>
  </si>
  <si>
    <t>FAB A FAIRE avec AUDREY</t>
  </si>
  <si>
    <t>Euronet FRMD2025</t>
  </si>
  <si>
    <t>Euronet FRMD2088</t>
  </si>
  <si>
    <t>Euronet FRMD2013</t>
  </si>
  <si>
    <t>Euronet FRMD2127</t>
  </si>
  <si>
    <t>Euronet FRMD2124</t>
  </si>
  <si>
    <t>BAT Fait le 29-03</t>
  </si>
  <si>
    <t>Euronet FRMD2018</t>
  </si>
  <si>
    <t>Euronet FRMD2058</t>
  </si>
  <si>
    <t>Euronet FRMD2065</t>
  </si>
  <si>
    <t>Euronet FRMD2097</t>
  </si>
  <si>
    <t>Euronet FRMD2132</t>
  </si>
  <si>
    <t>VM Vertou</t>
  </si>
  <si>
    <t>BAT 1 envoyé le 13-03</t>
  </si>
  <si>
    <t>VM fontaine Etoupefour</t>
  </si>
  <si>
    <t>VM st Herblain</t>
  </si>
  <si>
    <t>BAT 1 envoyé le 13-03
BAT 2 envoyé le 18-03</t>
  </si>
  <si>
    <t>VM Trignac</t>
  </si>
  <si>
    <t>Camif Castelnaudary</t>
  </si>
  <si>
    <t>BAT 1 envoyé le 24-10
BAT VT envoté le 24-10
BAT 2 envoyé le 30-10
BAT 3 envoyé le 30-10
relance faite le 6-11
La Franchise à validé - BAT envoyé au franchisé le 6-11
BAT 4 envoyé le 6-11
BAT validé 
BAT mairie envoyé le 27-11
Jordan : Modification du BAT suite refus de la mairie - 03/01 - Envoie au franchiseur
Relance client le 1-02
mise en situation envoyé le 5-02
mise en situation envoyé le 7-02
Franchise validé - Franchisé doit voir avec les batiments de France
BAT 6 envoyé le 13-02 à la franchise et au franchisé en même temps suite au retour des batiments de france
La franchise à validé le 13-02, le franchisé s'occupe de renvoyer au batiment de france pour avoir l'accord sur ce denier BAT.
BAT modifié le 6-03 en fonction du retour des Batiments de france
BAT modifié le 8-03
BAT modifié le 11-03
il a validé -on attend juste une dimension pour mettre à jour le devis et attente de la validation du nouveau devis pour lancement direct en fAB.</t>
  </si>
  <si>
    <t>SAS WINE HOME</t>
  </si>
  <si>
    <t>FAB A FARE</t>
  </si>
  <si>
    <t>BAT envoyé le 13/03 - FAB A FAIRE</t>
  </si>
  <si>
    <t>BAT 1 envoyé le 25-03
BAT 2 envoyé le 26-03</t>
  </si>
  <si>
    <t>RESPONSABLE COPRO</t>
  </si>
  <si>
    <t>pré maquette envoyé le 08/01, en attente retour, à relancer - FAB A FAIRE</t>
  </si>
  <si>
    <t xml:space="preserve">START ENGLISH </t>
  </si>
  <si>
    <t>BAT A FAIRE</t>
  </si>
  <si>
    <t>Dr hervé</t>
  </si>
  <si>
    <t>Mr Enseignes - Point Bornes</t>
  </si>
  <si>
    <t>V1 envoyé le 25/03</t>
  </si>
  <si>
    <t>Point S les Angles</t>
  </si>
  <si>
    <t>Point S St Julien</t>
  </si>
  <si>
    <t>BAT VT envoyé le 8-03 - attente VT pour faire BAT
BAT 1 envoyé le 21-03
BAT 2 envoyé le 26-03</t>
  </si>
  <si>
    <t>Point S Marseille</t>
  </si>
  <si>
    <t>BAT VT envoyé le 19-02
BAT 1 envoyé le 6-03
BAT 2 envoyé le 11-03
BAT 3 envoyé le 11-03
BAT 4 envoyé le 12-03
Relance le 14-03
BAT 5 envoyé le 18-03
Relance le 25-03
BATY 6 envoyé le 26-03</t>
  </si>
  <si>
    <t>Euronet FRMD2046</t>
  </si>
  <si>
    <t>attente reponse samy
validation -
BAT fait le 26-03</t>
  </si>
  <si>
    <t>Euronet FRMD2089</t>
  </si>
  <si>
    <t>BAT fait le 26-03</t>
  </si>
  <si>
    <t>Euronet FRMD2110</t>
  </si>
  <si>
    <t>Euronet FRMD2085</t>
  </si>
  <si>
    <t>Euronet FRMD2066</t>
  </si>
  <si>
    <t>Euronet FRMD2078</t>
  </si>
  <si>
    <t>Euronet FRMD2033</t>
  </si>
  <si>
    <t>Euronet FRMD2031</t>
  </si>
  <si>
    <t>Euronet FRMD2120</t>
  </si>
  <si>
    <t>Euronet FRMD2056</t>
  </si>
  <si>
    <t>Euronet FRMD2030</t>
  </si>
  <si>
    <t>Euronet FRMD2079</t>
  </si>
  <si>
    <t>Euronet FRMD2070</t>
  </si>
  <si>
    <t>Euronet FRMD2063</t>
  </si>
  <si>
    <t>Euronet FRMD2027</t>
  </si>
  <si>
    <t>Euronet FRMD2122</t>
  </si>
  <si>
    <t>Euronet FRMD2051</t>
  </si>
  <si>
    <t>BAT 1 fait le 26-03</t>
  </si>
  <si>
    <t>Euronet FRMD2081</t>
  </si>
  <si>
    <t>Euronet FRMD2045</t>
  </si>
  <si>
    <t>Euronet FRMD2050</t>
  </si>
  <si>
    <t>Euronet FRMD2133</t>
  </si>
  <si>
    <t>Euronet FRMD2008</t>
  </si>
  <si>
    <t>Euronet FRMD2053</t>
  </si>
  <si>
    <t>Euronet FRMD2096</t>
  </si>
  <si>
    <t>Euronet FRMD2057</t>
  </si>
  <si>
    <t>Euronet FRMD2128</t>
  </si>
  <si>
    <t>Euronet FRMD2060</t>
  </si>
  <si>
    <t>Patrimelle - Régie Lescuyer</t>
  </si>
  <si>
    <t>BAT 1 envoyé le 29-02
Relance le 5-03
BAT 2 envoyé le 8-03
BAT 3 envoyé le 14-03
BAT 4 envoyé le 18-03
BAT 5 envoyé le 19-03
BAT 6 envoyé le 21-03</t>
  </si>
  <si>
    <t>Campus Science-U</t>
  </si>
  <si>
    <t>Réalisation d'une fiche de poste pour Vanessa</t>
  </si>
  <si>
    <t>ENSEIGNE LYON 6</t>
  </si>
  <si>
    <t>Novi - Villeneuve d'Asq</t>
  </si>
  <si>
    <t>BAT VT envoyé le 04/03 - V1 le 18/03 -</t>
  </si>
  <si>
    <t>Le studio dentaire</t>
  </si>
  <si>
    <t>BAT 1 envoyé le 20-03
BAT 2 envoyé le 20-03</t>
  </si>
  <si>
    <t>Ancien local JMJ</t>
  </si>
  <si>
    <t>BAT 1 envoyé le 20-03</t>
  </si>
  <si>
    <t>Euronet FRMD2091</t>
  </si>
  <si>
    <t>Euronet FRMD2076</t>
  </si>
  <si>
    <t>Euronet FRMD2107</t>
  </si>
  <si>
    <t>Euronet FRMD2121</t>
  </si>
  <si>
    <t>Euronet FRMD2011</t>
  </si>
  <si>
    <t>TWYD - CMD240321</t>
  </si>
  <si>
    <t>V1 envoyé le 21/03</t>
  </si>
  <si>
    <t>TWYD - CMD240320</t>
  </si>
  <si>
    <t>SQ France depoli</t>
  </si>
  <si>
    <t>C&amp;A BEAUVAIS</t>
  </si>
  <si>
    <t>BAT A FAIRE (REVOIR LES ANCIENNES)</t>
  </si>
  <si>
    <t>C&amp;A BELLEPEINE</t>
  </si>
  <si>
    <t>Ya + k</t>
  </si>
  <si>
    <t>BAT 1 envoyé le 14-03
BAT 2 envoyé le 18-03
BAT 3 envoyé le 21-03</t>
  </si>
  <si>
    <t>Euronet FRMD2101</t>
  </si>
  <si>
    <t>BAT 1 envoyé le 21-03 à Samy</t>
  </si>
  <si>
    <t>Euronet FRMD2105</t>
  </si>
  <si>
    <t>BAT fait le 21-03</t>
  </si>
  <si>
    <t>Euronet FRMD2116</t>
  </si>
  <si>
    <t>KYMONO</t>
  </si>
  <si>
    <t>DMP72</t>
  </si>
  <si>
    <t>BAT envoyé le 11/03 FAB A FINIR</t>
  </si>
  <si>
    <t>Novi - Ensemble des dossiers</t>
  </si>
  <si>
    <t>Modification générale sur les BAT pour signalétique intérieure + Modification fichier de FAB et nomemclature</t>
  </si>
  <si>
    <t>Novi - Dossier drive global</t>
  </si>
  <si>
    <t>---</t>
  </si>
  <si>
    <t xml:space="preserve">Kreature Chambery </t>
  </si>
  <si>
    <t>en attente fichier</t>
  </si>
  <si>
    <t>Gi Grafton haussman</t>
  </si>
  <si>
    <t>BAT 1 envoyé le 12-03
Relance le 14-03
BAT 2 envoyé le 15-03
BAT 3 envoyé le 18-03
BAT 4 envoyé le 19-03</t>
  </si>
  <si>
    <t>Euronet FRMD2108</t>
  </si>
  <si>
    <t>BAT fait le 20-03</t>
  </si>
  <si>
    <t xml:space="preserve">Gi group Moulin </t>
  </si>
  <si>
    <t>BAT 1 envoyé le 5-03
BAT 2 envoyé le 12-03
Relance le 14-03
BAT 3 envoyé le 18-03</t>
  </si>
  <si>
    <t>SQ Libourne Verdun interieur</t>
  </si>
  <si>
    <t>BAT 1 envoyé le 14-03
BAT 2 envoyé le 19-03</t>
  </si>
  <si>
    <t>Euronet FRMD2094</t>
  </si>
  <si>
    <t>BAT fait le 19-03</t>
  </si>
  <si>
    <t>Euronet FRMD2064</t>
  </si>
  <si>
    <t>BAT 1 fait le 19-03</t>
  </si>
  <si>
    <t xml:space="preserve">SAS CARPOR EXTERIEUR </t>
  </si>
  <si>
    <t>Etiquette numérotation</t>
  </si>
  <si>
    <t>De 1 à 150</t>
  </si>
  <si>
    <t>Vue avec commercial - client et orianne - message à Léa pour commande film solaire</t>
  </si>
  <si>
    <t>BAT 1 envoyé le 18-03</t>
  </si>
  <si>
    <t>DPW laverie st Julien -WASH N DRY</t>
  </si>
  <si>
    <t>BAT 1 envoyé le 4-03
BAT VT envoyé le 4-03
BAT 2 envoyé le 12-03
BAT 3 envoyé le 13-03
BAT 4 envoyé le 18-03</t>
  </si>
  <si>
    <t xml:space="preserve">AURAGNER CYCLE </t>
  </si>
  <si>
    <t>BAT envoyé le 15/03</t>
  </si>
  <si>
    <t>C&amp;A BARENTIN</t>
  </si>
  <si>
    <t>C&amp;A BEAUSEVRAN</t>
  </si>
  <si>
    <t xml:space="preserve">Point S Beaujeu </t>
  </si>
  <si>
    <t>BAT VT envoyé le 13-02 
BAT en cours en attente de VT et d'un fichier client pour le finaliser
BAT 2 envoyé le 7-03
BAT 3 envoyé le 13-03
envoyé au franchisé le 14-03</t>
  </si>
  <si>
    <t>Camif - Saintes</t>
  </si>
  <si>
    <t>V1 à Sylvie le 08/11 - BAT VT le 08/11 - V2 le 08/11 - Validation franchiseur le 10/11 - Envoie au franchisé le 10/11 - BAT Mairie envoyé le 28/11 - Modif envoyé le 25/01 suite refus ABF - Modif envoyé le 30/01 - Validation franchiseur le 30 - Envoi au franchisé le 31/01 - Nouveau BAT mairie le 06/02 - Relance Sylvie le 14/03</t>
  </si>
  <si>
    <t>Valobat n°11</t>
  </si>
  <si>
    <t>BAT 1 envoyé le 07/03 - ATTENTE VISU - BAT 2 envoyé le 12/03 - crea à faire, attente info du client - BAT 3 envoyé le 15/03</t>
  </si>
  <si>
    <t>BAT SHOWROOM</t>
  </si>
  <si>
    <t>Envoyer direct à michael, attente valid pour fab FAB A FAIRE</t>
  </si>
  <si>
    <t>MMA BAT</t>
  </si>
  <si>
    <r>
      <rPr>
        <rFont val="Comfortaa"/>
        <color theme="1"/>
      </rPr>
      <t xml:space="preserve">BAT 1 envoyé le 06/12 - </t>
    </r>
    <r>
      <rPr>
        <rFont val="Comfortaa"/>
        <b/>
        <i/>
        <color rgb="FF00FF00"/>
      </rPr>
      <t>ATTENTE VT</t>
    </r>
    <r>
      <rPr>
        <rFont val="Comfortaa"/>
        <color theme="1"/>
      </rPr>
      <t xml:space="preserve"> - ATTENTE RETOUR CLIENT POUR MODIFIER BAT - BAT 2 ENVOY2 LE 13/12 - relance le 26/12 - BAT renvoyé pour relance le 04/01 - RELANCE MAIL 31/01</t>
    </r>
  </si>
  <si>
    <t>BAT 1 envoyé le 08/02 - BAT 2 envoyé le 12/02 - BAT validé  - BAT marie fait, attente retour mairie // demande à Diane le 07/03 pas de nouvelles</t>
  </si>
  <si>
    <t>MAQUETTE ENVOYE LE 18/01 // BAT ENVOYE LE 23/01 // BAT 3 ENVOYE le 31/01 / BAT 4 envoyé le 16/02 // demandé à florent le 07/03 pas de news</t>
  </si>
  <si>
    <t>ENVOYER BAT 1 le 02/11 -  BAT 2 envoyé la semaine du 6/11 - quelques news le 02/01 - ON va bientot recevoir dossier mairie - pas de news</t>
  </si>
  <si>
    <t>Attente retour client - toujours en attente le 26/02 // demandé à florent le 07/03 pas de news</t>
  </si>
  <si>
    <t>MAQUETTE ENVOYE LE 11/01 - maquette 2 le 22/01 - toujours en attente le 26/02 demandé à florent le 07/03 pas de news</t>
  </si>
  <si>
    <t>GENERATION OPTIQUE</t>
  </si>
  <si>
    <r>
      <rPr>
        <rFont val="Comfortaa"/>
        <color theme="1"/>
      </rPr>
      <t xml:space="preserve">BAT 1 envoyé le 08/11 - </t>
    </r>
    <r>
      <rPr>
        <rFont val="Comfortaa"/>
        <b/>
        <color theme="1"/>
      </rPr>
      <t>relance phone le 21/11 - Relance phone le 11/12 - appel Wasap le 18/12 + message vocal // 22/12 phone //</t>
    </r>
    <r>
      <rPr>
        <rFont val="Comfortaa"/>
        <b/>
        <color rgb="FFF1C232"/>
      </rPr>
      <t xml:space="preserve"> relance le 02/01 //</t>
    </r>
    <r>
      <rPr>
        <rFont val="Comfortaa"/>
        <color rgb="FF00FF00"/>
      </rPr>
      <t xml:space="preserve"> relance le 18/01 phone // relance mail le 21/01 // relance phone 22/01 // renvoi d'un BAT le 23/01 - phone 2 fois le 25/01- phone le 26 - relance SMS le 29 - </t>
    </r>
    <r>
      <rPr>
        <rFont val="Comfortaa"/>
        <color theme="1"/>
      </rPr>
      <t>BAT 2 envoyé le 02/02 - relance wasap 22/02 - relance mail le 07/03 - relance telephone le 13/03</t>
    </r>
  </si>
  <si>
    <t>DEPOSE LE 26/02 - MODIFS - Modif Jordan le 27/02 /Demande à Diane le 07/03 , pas de nouvelle</t>
  </si>
  <si>
    <t>Fiches pdt comparatif</t>
  </si>
  <si>
    <t>Refaire avec tab vbrochure</t>
  </si>
  <si>
    <t>BROCHURES A mettre à jour</t>
  </si>
  <si>
    <t>Fait : Camif / en cours : Emilie et LMT / A faire : les autres</t>
  </si>
  <si>
    <t>RIA FR14689</t>
  </si>
  <si>
    <t>BAT 1 envoyé le 7-03
Validé BAT et devis - attente VT prévue le 14-03</t>
  </si>
  <si>
    <t>AUTO ECOLE LECLERC</t>
  </si>
  <si>
    <r>
      <rPr>
        <rFont val="Comfortaa"/>
        <color theme="1"/>
      </rPr>
      <t xml:space="preserve">BAT 1 envoyé le 19/02 </t>
    </r>
    <r>
      <rPr>
        <rFont val="Comfortaa"/>
        <b/>
        <color theme="1"/>
      </rPr>
      <t>- BAT 2 envoyé le 11/03 - BAT 3 envoyé le 12/03 - cliente relancé le 14/03 FAB A FAIRE</t>
    </r>
  </si>
  <si>
    <t>Point S Wittenheim nouvelles lettres</t>
  </si>
  <si>
    <t>BAT BAR MISTVA</t>
  </si>
  <si>
    <t xml:space="preserve">               LOGOS ENVOYES LE 13/03</t>
  </si>
  <si>
    <t xml:space="preserve">Point S Mulhouse </t>
  </si>
  <si>
    <t>BAT 1 prêt en attente de VT pour faire la mise en situation et envoyé à la franchise le 5-03
BAT VT envoyé le 5-03
BAT 2 envoyé le 11-03
BAT 3 envoyé le 14-03</t>
  </si>
  <si>
    <t>Euronet FRMD2029</t>
  </si>
  <si>
    <t>BAT 1 envoyé le 7-03
attente VT pour FAB</t>
  </si>
  <si>
    <t>Euronet FRMD2006</t>
  </si>
  <si>
    <t>JNX PROP</t>
  </si>
  <si>
    <t>Appel réalisé le 22/02 - en attente photos et inspi graphique - BAT envoyé le 01/03</t>
  </si>
  <si>
    <t>VM Guerande</t>
  </si>
  <si>
    <t>BAT 1 envoyé le 13-03
BAT 2 envoyé le 13-03</t>
  </si>
  <si>
    <t>Mr Enseignes - Waniyaka</t>
  </si>
  <si>
    <t>TWTD - Etiquette X200</t>
  </si>
  <si>
    <t>V1 envoyé le 11/03 - V2 le 11/03</t>
  </si>
  <si>
    <t>RIA FR14971</t>
  </si>
  <si>
    <t xml:space="preserve">BAT 1 envoyé le 28-02
BAT et devis validé - attente VT </t>
  </si>
  <si>
    <t>RIA FR12927</t>
  </si>
  <si>
    <t>BAT 1 envoyé le 28-02
BAT 2 envoyé le 4-03
BAT et devis validé - attente VT</t>
  </si>
  <si>
    <t>Point S Cornebarrieu</t>
  </si>
  <si>
    <t>APLEONA</t>
  </si>
  <si>
    <t>BAT A FAIRE - en attente fichier graphiques - BAT envoyé le 21/11 - BAT v2 envoyé le 11/12 - FAB A FAIRE</t>
  </si>
  <si>
    <t>VM DEMOUVILLE</t>
  </si>
  <si>
    <t>BAT 1 envoyé le 8-03</t>
  </si>
  <si>
    <t>MR Enseignes - Au Grain de Cafe</t>
  </si>
  <si>
    <t>V1 envoyé le 07/03 - V2 le 12/03</t>
  </si>
  <si>
    <t>PWP - R Wine House</t>
  </si>
  <si>
    <t>Alynea</t>
  </si>
  <si>
    <t>BAT 1 envoyé le 11/03</t>
  </si>
  <si>
    <t>ELYSEE LIBAN INTERIEUR</t>
  </si>
  <si>
    <t>BAT envoyé le 11/03</t>
  </si>
  <si>
    <t>Grumf</t>
  </si>
  <si>
    <t>Appel et demande d'infos réalisé le 28/02 - BAT envoyé le 12/03</t>
  </si>
  <si>
    <t>Mr Enseignes - Chez Kim</t>
  </si>
  <si>
    <t>V1 envoyé le 12/03</t>
  </si>
  <si>
    <t>V1 envoyé le 06/03 - V2 le 12/03 - FAB A FAIRE</t>
  </si>
  <si>
    <t>RIA BE2509</t>
  </si>
  <si>
    <t>BAT 1 envoyé le 12-01
relance le 25-01 
BAT validé le 12-02
Relance faite le 13-02</t>
  </si>
  <si>
    <t>Guy Hoquet Villejuif</t>
  </si>
  <si>
    <t>BAT 1 envoyé le 6-02
BAT VT envoyé le 6-02
BAT 2 envoyé le 12-02
BAT 3 envoyé à la franchise le 15-02
BAT validé par la franchise, envoie au franchiseur le 21-02
La moitié en FAB</t>
  </si>
  <si>
    <t>PWP - Le Punch</t>
  </si>
  <si>
    <t>V1 le 08/03</t>
  </si>
  <si>
    <t>XR REPRO - 6 Kangoos</t>
  </si>
  <si>
    <t>V1 le 13/12 - Relance le 27/12 - Attente carte grise en Janvier puis ils reviennent vers nous - Relance le 24/01 - Reponse le 28/02 - V? le 08/03</t>
  </si>
  <si>
    <r>
      <rPr>
        <rFont val="Comfortaa"/>
        <b/>
        <color rgb="FFFF0000"/>
      </rPr>
      <t>REPRISE DOSSIER LAURIE :</t>
    </r>
    <r>
      <rPr>
        <rFont val="Comfortaa"/>
        <color theme="1"/>
      </rPr>
      <t xml:space="preserve"> BAT 1 envoyé le 18/01 - BAT 2 envoyé le 22/01 - BAT 3 envoyé le 23/01 - BAT 4 envoyé le 24/01 - RELANCE le 05/02 - BAT 5 envoyé le 15/02 - BAT 6 envoyé le 19/02 - BAT 7 envoyé le 21/02 - BAT 8 envoyé le 22/02 - FAB A FAIRE - MANQUE le N12, N14 et N15 (à sous traiter)</t>
    </r>
  </si>
  <si>
    <t xml:space="preserve">LA PROD EST DANS LE PRE </t>
  </si>
  <si>
    <t>Garage boileau</t>
  </si>
  <si>
    <t>Marquage Xefi - Question WhatsApp Antoine le 04/03</t>
  </si>
  <si>
    <t>ARXIMA</t>
  </si>
  <si>
    <t>Euronet FRMD2114</t>
  </si>
  <si>
    <t>BAT 1 envoyé le 7-03</t>
  </si>
  <si>
    <t>Mr Enseignes - Dany Matias</t>
  </si>
  <si>
    <t>V1 envoyé le 06/03 - FAB A FAIRE</t>
  </si>
  <si>
    <t>POPOTES - LIEGE</t>
  </si>
  <si>
    <t>Reprise ancien dossier Jordan - Suppression du drapeau et passage sur Store Banne - BAT 1 envoyé le 21/12 - relance mail le 03/01 - rzlance mail le 18/01 - relance avec renvoi de BAT le 05/02 - annulé</t>
  </si>
  <si>
    <t>Mercadier</t>
  </si>
  <si>
    <t>BAT 1 envoyé le 27-02
BAT 2 envoyé le 4-03</t>
  </si>
  <si>
    <t>Les Germaine</t>
  </si>
  <si>
    <t>BAT envoyé le 06/03 FAB A FAIRE</t>
  </si>
  <si>
    <t>SQ Creteil interieur</t>
  </si>
  <si>
    <t>BAT 1 envoyé le 6-03
BAT 2 envoyé le 6-03</t>
  </si>
  <si>
    <t>Mr Enseignes - NB Design</t>
  </si>
  <si>
    <t>V1 Flo le 06/03</t>
  </si>
  <si>
    <t>Gypso Staff</t>
  </si>
  <si>
    <t>Piscine Ibiza DMP 72</t>
  </si>
  <si>
    <t>BAT envoyé le 12/01 - VT a faire - FAB A FAIRE</t>
  </si>
  <si>
    <t>GROUMF enseigne</t>
  </si>
  <si>
    <t>Cabinet dentaire</t>
  </si>
  <si>
    <t>Point fait avec Jonathan, retour à faire mercredi et point avec Michael pour l'orga - FAB A FAIRE - finir</t>
  </si>
  <si>
    <t>Mr Enseignes - PC MEDIA</t>
  </si>
  <si>
    <t>CABINET LALINE IMMOBILIER</t>
  </si>
  <si>
    <t>BAT A FAIRE - appelé le 04/03 , il doit me rappeler</t>
  </si>
  <si>
    <t>DEMATHIEU BARD</t>
  </si>
  <si>
    <t>Attente retour Elisabeth sur tâche à faire - Mail du 26*12</t>
  </si>
  <si>
    <t>Temporis - Bordeaux Rive Droite</t>
  </si>
  <si>
    <t>BAT V1 envoyé le 04/03</t>
  </si>
  <si>
    <t>MR Enseigne SO DESIGN</t>
  </si>
  <si>
    <t>Euronet FRMD2040</t>
  </si>
  <si>
    <t>BAT VT fait le 27-02
BAT 1 envoyé le 27-02
FAB à faire</t>
  </si>
  <si>
    <t>Les Zouzous Lyonnais</t>
  </si>
  <si>
    <t>V1 envoyé le 18/12 - V2 le 18/12 - Relance le 27/12 - V3 le 28/12 - V4 le 04/01 - Relance le 24/01 - Relance mail Michael le 28/02 - Annulé par la cliente</t>
  </si>
  <si>
    <t>Le petit Lunetier</t>
  </si>
  <si>
    <t>ARI GRANDE AUDITION</t>
  </si>
  <si>
    <t>Fichier graphique demandé le 19/02 (téléphone) - a relancer</t>
  </si>
  <si>
    <t xml:space="preserve">ELITYS ADHESIF </t>
  </si>
  <si>
    <t>BAT envoyé le 19/02 - Modif BAT à faire</t>
  </si>
  <si>
    <t>TWYD - Levallois - St Barth - Ibis</t>
  </si>
  <si>
    <t>V1 le 29/02</t>
  </si>
  <si>
    <t>RIA BE1397</t>
  </si>
  <si>
    <t>BAT 1 envoyé le 17-01
relance le 25-01
BAT 2 envoyé le 5-02
BAT validé
Relance VT faite le 13-02
VT le 16-02</t>
  </si>
  <si>
    <t>Plaquette LMT</t>
  </si>
  <si>
    <t>Modification plaquette LMT 2024</t>
  </si>
  <si>
    <t>Ecotherme</t>
  </si>
  <si>
    <t>Refab de plusieurs éléments et BAT - Dossier initialement Laurie</t>
  </si>
  <si>
    <t>HENRI THUAUD NEON</t>
  </si>
  <si>
    <t xml:space="preserve">FAB A LANCER, DEVIS demandé à Alicia </t>
  </si>
  <si>
    <t>TWYD - Levallois | Marvilla</t>
  </si>
  <si>
    <t>V1 envoyé le 28/02</t>
  </si>
  <si>
    <t>Guy hoquet bourg en bresse</t>
  </si>
  <si>
    <r>
      <rPr>
        <rFont val="Comfortaa"/>
        <color theme="1"/>
      </rPr>
      <t xml:space="preserve">BAT VT envoyé le 16-11
BAT interne envoyé le 16-11
BAT interne 2 envoyé le 20-11
BAT interne 3 envoyé le 22-11
BAT mairie envoyé le 27-11
Relance Diane le 19-01
retour mairie défavorable - nouveau BAT envoyé à la franchise. - attente de leur validation pour envoie au franchisé.
la franchise est daccord sur tout excepté le caisson, j'attends un retour de leur part
relance client le 2-02
BAT 4 envoyé le 6-02 à la franchise
BAT 5 envoyé le 8-02 à la franchise
BAT 6 envoyé le 14-02 à la franchise
BAT 7 envoyé le 15-02 à la franchise
</t>
    </r>
    <r>
      <rPr>
        <rFont val="Comfortaa"/>
        <color rgb="FFFF0000"/>
      </rPr>
      <t>A FAIRE VALIDER PAR LA FRANCHISE ET LE FRANCHISE PUIS FAB DIRECT</t>
    </r>
    <r>
      <rPr>
        <rFont val="Comfortaa"/>
        <color theme="1"/>
      </rPr>
      <t xml:space="preserve">
la franchise à validé le 20-02
modif envoyé au franchisé le 21-02
</t>
    </r>
    <r>
      <rPr>
        <rFont val="Comfortaa"/>
        <color rgb="FFFF0000"/>
      </rPr>
      <t xml:space="preserve">si il valide : dire à la franchise qu'ila  voulu déplacer les blocs de couleur
</t>
    </r>
    <r>
      <rPr>
        <rFont val="Comfortaa"/>
        <color theme="1"/>
      </rPr>
      <t>relance faite le 28-02 au tel</t>
    </r>
  </si>
  <si>
    <t>TWYD - 14 Kits</t>
  </si>
  <si>
    <t>V2 envoyé le 28/02</t>
  </si>
  <si>
    <t>Temporis - Cholet</t>
  </si>
  <si>
    <t>Véhicule</t>
  </si>
  <si>
    <t>TEMPORIS - VITRY LE FRANCOIS</t>
  </si>
  <si>
    <t>V1 le 26/02</t>
  </si>
  <si>
    <t>V1 le 20/02 - V2 le 26/02 - Relance mail Michael le 28/02</t>
  </si>
  <si>
    <t>Decathlon Albertville</t>
  </si>
  <si>
    <t>REFAB - Lyon 3 - ONEPI</t>
  </si>
  <si>
    <t>PWP - Comptoir des Vignes - La Clayette</t>
  </si>
  <si>
    <t>V1 le 26/02 - V2 le 27/02</t>
  </si>
  <si>
    <t>RIA BE1584</t>
  </si>
  <si>
    <t>BAT 1 envoyé le 18-01
BAT et devis validé - en attente de VT pour FAB
VT le 02-02
Relance VT faite le 13-02
VT le 26-02</t>
  </si>
  <si>
    <t>SAS MCF laverie Bonnel</t>
  </si>
  <si>
    <t>BAT 1 envoyé le 27-02
BAT 2 envoyé le 27-02</t>
  </si>
  <si>
    <t>SQ Montevrain Oriflamme</t>
  </si>
  <si>
    <t>BAT 1 envoyé le 26-02</t>
  </si>
  <si>
    <t>Euronet FRMD2017</t>
  </si>
  <si>
    <t>BAT 1 envoyé le 27-02
FAB A FAIRE</t>
  </si>
  <si>
    <t>GH J2m IMMO</t>
  </si>
  <si>
    <t xml:space="preserve">BAT envoyé à Jordan et Michael le 21/02 - BAT envoyé le 23/02 - Retour à faire </t>
  </si>
  <si>
    <t>RIA FR10156</t>
  </si>
  <si>
    <t>BAT 1 envoyé le 8-02
Relance faite le 13-02
BAR 2 envoyé le 20-02
BAT validé - attente validation devis et VT</t>
  </si>
  <si>
    <t xml:space="preserve">Leclerc </t>
  </si>
  <si>
    <t>FAB Panneau Leclerc Laurie</t>
  </si>
  <si>
    <t>LECLERC</t>
  </si>
  <si>
    <t>BAT 1 envoyé le 21/02 - fab a faire</t>
  </si>
  <si>
    <t>BAT 1 envoyé le 18/01 - BAT 2 envoyé le 22/01 - BAT 3 envoyé le 29/01 - FAB A FAIRE</t>
  </si>
  <si>
    <t>Patrimelle</t>
  </si>
  <si>
    <t>Réinter + Nouveaux elemts - V1 envoyé le 20/02 - Papier peint OK + BAT Panneaux envoyé le 26/02</t>
  </si>
  <si>
    <t>SQ Toulouse Blagnac panneau</t>
  </si>
  <si>
    <t>BAT1 envoyé le 26-02</t>
  </si>
  <si>
    <t>Euronet FRMD2019</t>
  </si>
  <si>
    <t>BAT 1 fait le 27-02</t>
  </si>
  <si>
    <t>Euronet FRMD2104</t>
  </si>
  <si>
    <t>Euronet FRMD2010</t>
  </si>
  <si>
    <t>Euronet FRMD2130</t>
  </si>
  <si>
    <t>BAT fait le 27-02</t>
  </si>
  <si>
    <t>Euronet FRMD2135</t>
  </si>
  <si>
    <t>MAGNOLIA ADH</t>
  </si>
  <si>
    <t>V1 le 21/02</t>
  </si>
  <si>
    <t>CAMIF PLAQUETTE</t>
  </si>
  <si>
    <t>MISTER ENSEIGNE - MBB VILLEFRANCHE</t>
  </si>
  <si>
    <t>ATTENTE FICHIER - ATTENTE RETOUR - COMMANDE PASSE LE 31/01</t>
  </si>
  <si>
    <t>ZOL</t>
  </si>
  <si>
    <r>
      <rPr>
        <rFont val="Comfortaa"/>
        <color theme="1"/>
      </rPr>
      <t xml:space="preserve">BAT 1 envoyé le 23/01 - </t>
    </r>
    <r>
      <rPr>
        <rFont val="Comfortaa"/>
        <color rgb="FFFF0000"/>
      </rPr>
      <t>relance mail le 29/01 stand by car ils veulent changer - relance le 21/02 mail</t>
    </r>
  </si>
  <si>
    <t>Lattonedil</t>
  </si>
  <si>
    <t>BAT 1 envoyé le 06/02 - ATTENTE TEST COULEUR - BAT 2 envoyé le 22/02 - FAB A FAIRE</t>
  </si>
  <si>
    <t>Camif Habitat - Montpellier Sud</t>
  </si>
  <si>
    <t>BAT VT ok - BAT Provisoire V1 le 13/12 à S.J. - Provisoire validé - BAT V1 envoyé le 18/12 - V2 envoyé le 19/12 - V3 le 19/12 - Relance le 27/12 - Relance le 11/01 - Demande de modif en stand-by Juliette au tel le 16/01 - Modif le 23/01 - Modif le 24/01 - Modif le 30-01 - Modif le 01/02 - BAT Mairie fait et transmis le 01/02 - Modif envoyé au franchiseur et franchisé le 20/02 pour nouveau dossier mairie - V2 le 20/02</t>
  </si>
  <si>
    <t>Euronet FRMD2103</t>
  </si>
  <si>
    <t>BAT 1 fait le 26-02</t>
  </si>
  <si>
    <t>Euronet FRMDS2068</t>
  </si>
  <si>
    <t>Euronet FRMD2047</t>
  </si>
  <si>
    <t>Euronet FRMD2032</t>
  </si>
  <si>
    <t>BAT fait le 26-02</t>
  </si>
  <si>
    <t>AGILI3F</t>
  </si>
  <si>
    <t>Euronet FRMD2012</t>
  </si>
  <si>
    <t>BAT 1 fait le 22-02</t>
  </si>
  <si>
    <t>Euronet FRMD2036</t>
  </si>
  <si>
    <t>BAT 1 envoyé le 6-02
BAT VT envoyé le 6-02
BAT validé - attente VT</t>
  </si>
  <si>
    <t>Mom bistrot</t>
  </si>
  <si>
    <t>BAT 1 envoyé le 22-02</t>
  </si>
  <si>
    <t>Euronet tabac flamme et fumé</t>
  </si>
  <si>
    <t>mis en fab - ajout plexi</t>
  </si>
  <si>
    <t>BAT 1 envoyé le 21/02 - FAB A FAIRE</t>
  </si>
  <si>
    <t>Sarremjean Valobat</t>
  </si>
  <si>
    <t>BAT 1 envoyé le 7-02
BAT 2 envoyé le 9-02
Relance faite le 13-02
BAT 3 envoyé le 14-02
relance faite le 21-02
BAT 4 envoyé le 21-02</t>
  </si>
  <si>
    <t>RIA BE391</t>
  </si>
  <si>
    <t>BAT 1 envoyé le 18-12
BAT 2 envoyé le 19-12
BAT 3 envoyé le 21-12
BAT Validé  devis validé- Attente   VT
VT le 30-01
Relance VT faite le 13-02
VT le 21-02</t>
  </si>
  <si>
    <t>ANTARES CONSEIL PICTO</t>
  </si>
  <si>
    <t>POCHOIR</t>
  </si>
  <si>
    <t>RIA BE2126</t>
  </si>
  <si>
    <t>BAT 1 envoyé le 15-01
BAT 2 envoyé le 16-01
BAT et devis validé - en attente de VT pour FAB
VT le 01-02
Relance VT faite le 13-02</t>
  </si>
  <si>
    <t>Quizz zoom</t>
  </si>
  <si>
    <t>BAT 1 envoyé le 21-02</t>
  </si>
  <si>
    <t>LEMON ADH</t>
  </si>
  <si>
    <t>Temporis - Clermont</t>
  </si>
  <si>
    <t>Euronet FRMD2041</t>
  </si>
  <si>
    <t xml:space="preserve">LA MAIN TENDUE </t>
  </si>
  <si>
    <t>SQ MONTEVRAIN exterieur</t>
  </si>
  <si>
    <t>BAT 1 envoyé le 23-10
BAT VT envoyé le 23-10
BAT validé - en attente de VT pour dossier mairie
BAT mairie fait le 20-11
nouveau BAT envoyé le 17-01 à Eric, attente confirmation pour renvoyer le dossier mairie
Relance Eric faite le 19-01
Relance faire le 25-01
Eric à validé - dossier mairie en cours</t>
  </si>
  <si>
    <t>V1 le 19/02 - V2 le 19/02</t>
  </si>
  <si>
    <t>RIA BE1735</t>
  </si>
  <si>
    <t>BAT 1 envoyé le 15-01
BAT 2 envoyé le 16-01
BAT 3 envoyé le 19-01
relance le 25-01
BAT 4 envoyé le 01-02
BAT 5 envoyé le 5-02
BAT 6 envoyé le 7-02
BAT 7 envoyé le 8-02
BAT et devis validé
Relance VT faite le 13-02</t>
  </si>
  <si>
    <t>BAT envoyé le 21/12 FAB A FAIRE</t>
  </si>
  <si>
    <t>BACHE BAGELSTEIN</t>
  </si>
  <si>
    <t>BAT Pour Michael envoyé le 19/02</t>
  </si>
  <si>
    <t>MR ENSEIGNE PC MEDIA</t>
  </si>
  <si>
    <t>SCCV BOURG BROU</t>
  </si>
  <si>
    <t>BAT envoyé le 09/02 - attente retour mail - FAB A FAIRE</t>
  </si>
  <si>
    <t xml:space="preserve">DETAIL CAR ORANGE </t>
  </si>
  <si>
    <t>RIA BE636</t>
  </si>
  <si>
    <t>BAT 1 envoyé le 15-01
BAT 2 envoyé le 16-01
relance le 25-01
BAT 3 envoyé le 12-02
BAT et devis validé le 12-02
Relance faite le 13-02
VT le 16-02</t>
  </si>
  <si>
    <t>LADIES BARBER</t>
  </si>
  <si>
    <t>BAT 1 envoyé le 16/02 - FAB A FAIRE</t>
  </si>
  <si>
    <t>SAS MERCURE</t>
  </si>
  <si>
    <t>BAT 1 le 15/02 FAB A FAIRE</t>
  </si>
  <si>
    <t>GUY HOQUET VILLIER SUR MARNE</t>
  </si>
  <si>
    <t>BAT VT envoyé le 16-02
Switch Hugo</t>
  </si>
  <si>
    <t>Gi Group - La Defense - 2e Inter</t>
  </si>
  <si>
    <t>BAT V1 envoyé le 14/02</t>
  </si>
  <si>
    <t>SQ Toulouse Blagnac signalétique intérieur</t>
  </si>
  <si>
    <t>BAT envoyé le 12-02</t>
  </si>
  <si>
    <t>RIA FR 364</t>
  </si>
  <si>
    <t>BAT 1 envoyé le 8-02
Relance faite le 13-02
BAT validé - - j'ai la VT - attente validation devis pour FAB</t>
  </si>
  <si>
    <t>Euronet FRMD2069</t>
  </si>
  <si>
    <t>BAT 1 fait
Validé</t>
  </si>
  <si>
    <t>Euronet FRMD2136</t>
  </si>
  <si>
    <t>Euronet FRMD2080</t>
  </si>
  <si>
    <t>PEDERSEN</t>
  </si>
  <si>
    <t>BAT 1 et 2 envoyés le 13/02 - FAB A FAIRE</t>
  </si>
  <si>
    <t>EMILIE LA ROCHELLE ADH PROV</t>
  </si>
  <si>
    <t>BAT envoyé le 12/02</t>
  </si>
  <si>
    <t>Euronet FRMD2086</t>
  </si>
  <si>
    <t>BAT 1 fait</t>
  </si>
  <si>
    <t>Euronet FRMD2024</t>
  </si>
  <si>
    <t>Laverie st Michel</t>
  </si>
  <si>
    <t>en FAB</t>
  </si>
  <si>
    <t>LUNETTES TIPO</t>
  </si>
  <si>
    <r>
      <rPr>
        <rFont val="Comfortaa"/>
        <color theme="1"/>
      </rPr>
      <t xml:space="preserve">BAT 1 envoyé le 05/12 - BAT 2 + relance le 12/12 (relance vendredi d'avant aussi) - BAT 14/12 le 3 - BAT 4 le 19/12 - attente valid reste BAT - </t>
    </r>
    <r>
      <rPr>
        <rFont val="Comfortaa"/>
        <color rgb="FFBF9000"/>
      </rPr>
      <t>relance le 29/12 -</t>
    </r>
    <r>
      <rPr>
        <rFont val="Comfortaa"/>
        <color theme="1"/>
      </rPr>
      <t xml:space="preserve"> BAT 5 envoyé le 09/01 - BAT 6 envoyé le 06/02 - </t>
    </r>
    <r>
      <rPr>
        <rFont val="Comfortaa"/>
        <b/>
        <color rgb="FFFF0000"/>
      </rPr>
      <t>relance le 09/02 - BAT 7 e,voyé le 14/02</t>
    </r>
  </si>
  <si>
    <t>Valobat n°38</t>
  </si>
  <si>
    <t>BAT 1 envoyé le 12-02
BAT 2 envoyé le 12-02</t>
  </si>
  <si>
    <t>GIN FOUND HOTEL</t>
  </si>
  <si>
    <t>BAT 1 envoyé le 12/02 - BAT 2 envoyé le 12/02 FAB A FAIRE</t>
  </si>
  <si>
    <t>Point S Wittenheim</t>
  </si>
  <si>
    <t>BAT VT envoyé le 31-01
VT reçu
BAT 1 envoyé le 7-02
BAT 2 envoyé le 7-02
Franchise validé - BAT envoyé au franchisé</t>
  </si>
  <si>
    <t>Temporis - SELTZ</t>
  </si>
  <si>
    <t>XOXO DESIGN</t>
  </si>
  <si>
    <t>BAT 2 envoyé le 09/02 - FAB A FAIRE</t>
  </si>
  <si>
    <t>MLP</t>
  </si>
  <si>
    <t>BAT envoyé le 15/01 - BAT avec nouveau plan envoyé le 7/02 - FAB A FAIRE</t>
  </si>
  <si>
    <t>PLAQUE COMMERO</t>
  </si>
  <si>
    <t xml:space="preserve"> BAT 1 envoyé le 06/02 - relance mail et BAT le 08/02 - FAB A FAIRE - DEMANDE DEVIS FAITE LE 08</t>
  </si>
  <si>
    <t>Euronet FRRD0434</t>
  </si>
  <si>
    <t>BAT VT envoyé le 23-01
BAT 1 envoyé le 8-02</t>
  </si>
  <si>
    <t>NL PITCH</t>
  </si>
  <si>
    <t>VT FAITE - BAT PROVISOIRE A FAIRE - BAT 1 envoyé le 24/10 - BAT PROVISOIRE ENVOYE LE 16/11 - BAT VALIDE ATTENTE VT - DEVIS VALIDE - 20eme relance à SetL le 09/01 - commande arrivée</t>
  </si>
  <si>
    <t>ECONOPNEUS</t>
  </si>
  <si>
    <t>BAT 1 envoyé le 25/01 - BAT 2 envoyé le 29/01 - relance le 05/02 - BAT 3 envoyé le 05/02 - BAT 4 envoyé le 08/02 - FAB A FAIRE</t>
  </si>
  <si>
    <t xml:space="preserve">CABINET PARAMEDICAL </t>
  </si>
  <si>
    <t>BAT envoyé le 19/01</t>
  </si>
  <si>
    <t>Bagelstein - Abeil</t>
  </si>
  <si>
    <t>Novi - Test Bardage Bois</t>
  </si>
  <si>
    <t>BAT envoyé le 08/02</t>
  </si>
  <si>
    <t>RIA FR13091</t>
  </si>
  <si>
    <t>BAT envoyé le 23/08</t>
  </si>
  <si>
    <t>RIA Lyon Gambetta</t>
  </si>
  <si>
    <t>BAT 1 envoyé le 15-11
Relance faite le 5-12
BAT 2 envoyé le 6-12
BAT 3 envoyé le 13-12
Modifs faite par Jordan et envoyé le 26/12
V2 Jordan le 03/01
BAT 5 envoyé le 11-01
BAT 6 envoyé le 12-01
BAT 7 envoyé le 16-01
BAT 8 envoyé le 19-01
Validé - Attente VT</t>
  </si>
  <si>
    <t>Depoli Symatese</t>
  </si>
  <si>
    <t>BAT 1 envoyé le 07/02 - FAB A FAIRE</t>
  </si>
  <si>
    <t>SQ MONTLUCON INTERIEUR</t>
  </si>
  <si>
    <t>En attente des informations pour le BAT intérieur - relancé le 11/10 - à relancer
---------- Passation Carole -------------
Mail relance pour le brief interieur envoyé le 27-10 - Paul : on a pas encore
Relance Paul Faite le 19-01
Relance Paul le 7-02
BAT 1 envoyé le 7-02
BAT 2 envoyé le 7-02
Faire la FAB</t>
  </si>
  <si>
    <t>MISTER ENSEIGNE ROTISSERIE</t>
  </si>
  <si>
    <t>BAT 1 envoyé le 31/01  - 2 envoyé le 05/02 FAB A FAIRE</t>
  </si>
  <si>
    <t>Euronet FRMD2083</t>
  </si>
  <si>
    <t>BAT 1 envoyé le 6-02</t>
  </si>
  <si>
    <t>Euronet FRMD2004</t>
  </si>
  <si>
    <t>Twyd</t>
  </si>
  <si>
    <t>BAT 1 envoyé le 07/02</t>
  </si>
  <si>
    <t>RIA FR13922</t>
  </si>
  <si>
    <t>BAT 1 envoyé le 13-12
BAT validé- attente VT pour FAB
VT le 29-01</t>
  </si>
  <si>
    <t>RIA BE2602</t>
  </si>
  <si>
    <t>BAT 1 envoyé le 18-10
BAT 2 envoyé le 20-10
Relance faite le 24-10
BAT 3 envoyé le 26-10
BAT 4 envoyé le 22-11
Relance faite le 5-12
Relance faite le 13-12
Modifs faite par Jordan et envoyé le 26/12
BAT 6 envoyé le 11-01
BAT validé - en attente de validation devis et VT
VT le 26-01</t>
  </si>
  <si>
    <t>OVELIA</t>
  </si>
  <si>
    <t>BAT v2 envoyé le 19/09 - BAT MAIRIE envoyé le 28/ - VT a faire - BAT v2 à faire - POINT MAIL ET FAB A FAIRE</t>
  </si>
  <si>
    <t>SQ MONTLUCON EXTERIEUR</t>
  </si>
  <si>
    <t>BAT envoyé le 05/09 - relance le 22/09  - relancé mar Myriam le 22 également pour éléments mairie, rien depuis.
---------- Passation Carole -------------
BAT mairie modifié le 30-10
Relance Diane le 19-01
FAB à faire</t>
  </si>
  <si>
    <t>VM-9-Bressure</t>
  </si>
  <si>
    <t>BAT 1 envoyé le 5-02
Faire la FAB</t>
  </si>
  <si>
    <t>VM-8 Aizenay</t>
  </si>
  <si>
    <t>Reprise dossier Guillaume
Dossier mairie et BAt modifié le 30-10
Relance Diane le 19-01
Faire la FAB</t>
  </si>
  <si>
    <t>REFAB OIL AND STEEL</t>
  </si>
  <si>
    <t>Euronet FRMD2023</t>
  </si>
  <si>
    <t>VM-7-St Gilles</t>
  </si>
  <si>
    <t>RIA 9045</t>
  </si>
  <si>
    <t>attente retour VT - FAB A FAIRE</t>
  </si>
  <si>
    <t>VM-3-Avrille</t>
  </si>
  <si>
    <t>BAT 1 envoyé le 02-02</t>
  </si>
  <si>
    <t>BAT 1 envoyé  le 01-02
Relance faite le 5-02</t>
  </si>
  <si>
    <t>SEQUENS</t>
  </si>
  <si>
    <t>Deuxième commande - papier peint - BAT envoyé le 06/02</t>
  </si>
  <si>
    <t>VM-2 - Angers</t>
  </si>
  <si>
    <t>Mr Enseignes - Lyon Eclair Cafe</t>
  </si>
  <si>
    <t>BAT envoyé à Flo le 31/01</t>
  </si>
  <si>
    <t>BAT VT envoyé à Antoine le 23/01 - BAT V1 le 01/02</t>
  </si>
  <si>
    <t>Michael - Photos Plexi</t>
  </si>
  <si>
    <t>VM-4-Bouffere</t>
  </si>
  <si>
    <t>BAT 1 envoyé le 02-02
BAT 2 envoyé le 5-02</t>
  </si>
  <si>
    <t>NAO Energy CRANS-PRÈS-CÉLIGNY</t>
  </si>
  <si>
    <t>BAT 1 envoyé le 31-01
Relance faite le 5-02</t>
  </si>
  <si>
    <t>MR Enseignes - La croix city</t>
  </si>
  <si>
    <t>V1 envoyé à Flo le 05/02/2024</t>
  </si>
  <si>
    <t>Posts recrutements + mettre offres d'emploi sur le site +  indeed</t>
  </si>
  <si>
    <t>Newsletters les franchises</t>
  </si>
  <si>
    <t xml:space="preserve">FAB </t>
  </si>
  <si>
    <t>API</t>
  </si>
  <si>
    <t>ATTENTE EMPLACEMENT - BAT 1 envoyé le 01/02 - BAT 2 envoyé le 02/02 - FAB A FAIRE</t>
  </si>
  <si>
    <t>VM-6-Les herbiers</t>
  </si>
  <si>
    <t>BAT 1 envoyé le 2-02</t>
  </si>
  <si>
    <t>Brochure Camif</t>
  </si>
  <si>
    <t>VM-5-La Roche</t>
  </si>
  <si>
    <t>PWP - Cave a Arles</t>
  </si>
  <si>
    <t>V1 le 31/01 - V2 le 01/02</t>
  </si>
  <si>
    <t>VM - TREILLEUX MTX - 1</t>
  </si>
  <si>
    <t>BAT 1 envoyé le 29-01
BAT 2 envoyé le 30-01
BAT 3 envoyé le 31-01</t>
  </si>
  <si>
    <t>RIA FR13920</t>
  </si>
  <si>
    <t>BAT 1 envoyé le 23-11
BAT 2 envoyé le 4-12
Relance faite le 5-12
Relance faite le 13-12
BAT 3 envoyé le 18-12
BAT validé - attente validation devis et VT
VT le 26-01</t>
  </si>
  <si>
    <t>PATRIMELLE</t>
  </si>
  <si>
    <t xml:space="preserve">Attente retour du mail du 07/12 et de la VT le 18/12 - BAT V1 le 20/12 - V2 le 04/01 - BAT Validé le 05/01 pour le RDC - FAB OK RDC - V3 le 18/01 - V4 le 18/01 - FAB R+1 en cours (manque le RAL de l'enseigne) + V1 des dépoli le 23/01 - V2 le 30/01 - Ok BAT Dépoli - Attente validation accompte + Fabrication enseigne </t>
  </si>
  <si>
    <t>ATTENTE VISU - BAT 1 envoyé le 31/01 - BAT 2 envoyé le 31/01 FAB A FAIRE</t>
  </si>
  <si>
    <t>MISTER ENSEIGNE - AUTOMATISME</t>
  </si>
  <si>
    <t>BAT 1 envoyé le 31/01 - FAB A FAIRE</t>
  </si>
  <si>
    <t>NAO Energy Romont</t>
  </si>
  <si>
    <t>BAT 1 envoyé le 30-01
BAT 2 envoyé le31-01
BAT 3 envoyé le 31-01</t>
  </si>
  <si>
    <t>SIRENE</t>
  </si>
  <si>
    <t>ATTENTE ELEMENT - BAT 1 envoyé le 29/01 - BAT 2 envoyé le 29/01 FAB A FAIRE</t>
  </si>
  <si>
    <t>REFAB ESPACE GOLD CHANGE</t>
  </si>
  <si>
    <t>La cliente à changer sa porte entre temps sans nous en informer :))) FAB A FAIRE</t>
  </si>
  <si>
    <t>BAT 1 le 30/01 FAB A FAIRE</t>
  </si>
  <si>
    <t>SQ Toulouse Roseraie</t>
  </si>
  <si>
    <t>BAT 1 envoyé le 30-01</t>
  </si>
  <si>
    <t>ALPINE</t>
  </si>
  <si>
    <t>BAT 1 envoyé le 29/01 - FAB A FAIRE</t>
  </si>
  <si>
    <t>BROSSUP</t>
  </si>
  <si>
    <r>
      <rPr>
        <rFont val="Comfortaa"/>
        <color theme="1"/>
      </rPr>
      <t>ATTENTE FICHIERS - BAT 1 envoyé le 22/01 - bat 2 envoyé le 23/01 -</t>
    </r>
    <r>
      <rPr>
        <rFont val="Comfortaa"/>
        <color rgb="FFFF0000"/>
      </rPr>
      <t xml:space="preserve"> relance mail le 29/01 - FAB A FAIRE</t>
    </r>
  </si>
  <si>
    <t>Bache agence immo</t>
  </si>
  <si>
    <r>
      <rPr>
        <rFont val="Comfortaa"/>
        <color theme="1"/>
      </rPr>
      <t xml:space="preserve">Cliente appelée - attente visu - relance le 03/01 - relance le 09/01 - BAT 1 et 2 envoyé le 11/01 - </t>
    </r>
    <r>
      <rPr>
        <rFont val="Comfortaa"/>
        <b/>
        <color theme="1"/>
      </rPr>
      <t>commande faites le 18/01</t>
    </r>
  </si>
  <si>
    <t>SAMSIC RAMBOU</t>
  </si>
  <si>
    <r>
      <rPr>
        <rFont val="Comfortaa"/>
        <color theme="1"/>
      </rPr>
      <t xml:space="preserve">BAT 1 envoyé - a modifé - BAT 2 envoyé le 09/11 -  relance le 13/11 - BAT 3 envoyé le 14/11  - attente validation mairie - marie a refusée, attente - relance 12/12 - BAT modifé envoyé le 15/12 - BAT 47 envoyé le 22/12 -  </t>
    </r>
    <r>
      <rPr>
        <rFont val="Comfortaa"/>
        <color rgb="FFF1C232"/>
      </rPr>
      <t>relance le 02/01 -</t>
    </r>
    <r>
      <rPr>
        <rFont val="Comfortaa"/>
        <color rgb="FF980000"/>
      </rPr>
      <t xml:space="preserve"> tout modifier - ATTENTE CLARIFICATION le 23/01 - Bat 6 envoyé le 23/01 - BAT 7 envoyé le 24/01</t>
    </r>
  </si>
  <si>
    <t>SQ GALOIS panneaux supp</t>
  </si>
  <si>
    <t>relancer Orianne</t>
  </si>
  <si>
    <t>Xefi - Pozuelo</t>
  </si>
  <si>
    <t>BAT envoyé à Antoine le 29/05 - BAT envoyé aux clients le 29/05 - Nouveau BAT le 07/06 - Relance le 05/10 - Relance le 20/10 - Relance le 31/10 - Relance le 24/01</t>
  </si>
  <si>
    <t>Maison Cresus</t>
  </si>
  <si>
    <t>BAT A faire, les deux num appelé le 23/01, message laissé, BAT envoyé le 24/01</t>
  </si>
  <si>
    <t>BAT 1 envoyé le 25/01 - FAB A FAIRE</t>
  </si>
  <si>
    <t>SQ Montauban interieur</t>
  </si>
  <si>
    <t>En attente de brief - j'ai appelé Paul le 16-01, il est entrain de le faire
Relance Paul faite le 19-01
BAT 1 envoyé le 23-01
relance le 25-01
Faire la FAB</t>
  </si>
  <si>
    <t xml:space="preserve">Detail Car AIx </t>
  </si>
  <si>
    <t>Client appelé le 29/11, rappelé le 30/11, il nous envoit les fichier pour le 01/12 - client relancé le 04/12 - VT envoyé le 15/12 - client relancé le 12/01</t>
  </si>
  <si>
    <t>EXPRESSO</t>
  </si>
  <si>
    <t>BAT avec prix envoyer à M Benzoni e 16/01 - BAT v2 envoyé le 23/10</t>
  </si>
  <si>
    <t>RIA FR13993</t>
  </si>
  <si>
    <t>BAT 1 envoyé le 13-12
BAT validé - attente VT - VT prevu le 15-01
VT le 23-01</t>
  </si>
  <si>
    <t>Net Activ</t>
  </si>
  <si>
    <t>Albe Pressina</t>
  </si>
  <si>
    <t>BAT 1 envoyé le 17-01
Relance faite le 19-01
BAT 2 envoyé le 24-01
FAB à faire</t>
  </si>
  <si>
    <t>Temporis Pithiviers</t>
  </si>
  <si>
    <t>BAT adhésif envoyé le 24/08 - FAB des adhésifs faites le 25/08 - Attente retour mairie pour les enseignes</t>
  </si>
  <si>
    <t>V5 le 16/01 avant dossier mairie - V7 le 18/01</t>
  </si>
  <si>
    <t>Gi Group - Rennes</t>
  </si>
  <si>
    <t>2E Inter - V1 le 28/09 - Message vocal le 03/10 - Relance mail le 05/10 - Relance interne le 20/10 - V2 le 10/01</t>
  </si>
  <si>
    <t>Attente visio du 15/11 - V1 le 16/11 - V2 le 20/11 - Attente pour dossier mairie - Info pour le caisson take away "alu et 70mm en épaisseur" - V3 le 18/12</t>
  </si>
  <si>
    <t>TEMPORIS - NANCY SUD</t>
  </si>
  <si>
    <t>V1 le 22/01</t>
  </si>
  <si>
    <t>UCPA - Rive - Ibis</t>
  </si>
  <si>
    <t>FINSBURRY</t>
  </si>
  <si>
    <t>BAT envoyé le 22/01</t>
  </si>
  <si>
    <t>SVS INVINNOVA</t>
  </si>
  <si>
    <t xml:space="preserve">Lemon </t>
  </si>
  <si>
    <t>BAT 1 envoyé le 22-01
Faire la FAB</t>
  </si>
  <si>
    <t>LA MAIN TENDUE</t>
  </si>
  <si>
    <t>ATTENTE DIMENSIONS - ATTENTE VALID DIMENSIONS - BAT 1 envoyé le 11/01 - BAT 2 envoyé le 17/01 - BAT validé par franchiseur, envoyé à franchisée le 18/01 - FAB A FAIRE</t>
  </si>
  <si>
    <t>La Nouvelle</t>
  </si>
  <si>
    <t>KREATURE VAL THOIRY</t>
  </si>
  <si>
    <t>Faite une demande pour les fichiers graphiques - FAB A FAIRE</t>
  </si>
  <si>
    <t>GI - La Defense</t>
  </si>
  <si>
    <t>V1 le 15/01 - V2 le 16 - V3 le 17</t>
  </si>
  <si>
    <t>CMD LYON</t>
  </si>
  <si>
    <t>BAT 1 envoyé le 17/01 - FAB A FAIRE</t>
  </si>
  <si>
    <t>l'eatalienne</t>
  </si>
  <si>
    <t>BAT 1 envoyé le 18-01
BAT 2 envoyé le 19-01
BAT 3 envoyé le 19-01
FAB à faire</t>
  </si>
  <si>
    <t>Guy Hoquet Aytré 1er inter</t>
  </si>
  <si>
    <t>BAT 1 envoyé le 17-01
Faire la FAB</t>
  </si>
  <si>
    <t>REDHOOD</t>
  </si>
  <si>
    <t>Sweely</t>
  </si>
  <si>
    <t>Devis demandé chez Dominosign pour lettre boitier
refaire un BAT avec ombre et contour doré
Test prévu semaine prochaine en atelier
Attend un retour de l'atelier sur le nouveau test à faire</t>
  </si>
  <si>
    <t>A chacun son histoire</t>
  </si>
  <si>
    <t>BAT 1 envoyé le 18-01
BAT 2 envoyé le 18-01
Fab à faire</t>
  </si>
  <si>
    <t>Perdesen</t>
  </si>
  <si>
    <t>BAT 1 envoyé le 18-01
FAB à faire</t>
  </si>
  <si>
    <t>TIPO BACHE</t>
  </si>
  <si>
    <t>BAT ENVOYE LE 17/01 - BAT 2 et 3envoyé le 18/01</t>
  </si>
  <si>
    <t>Lyonnaise de cablage</t>
  </si>
  <si>
    <t>BAT 1 envoyé le 18-01
Fab à faire</t>
  </si>
  <si>
    <t xml:space="preserve">MAISON &amp; BIJOUX </t>
  </si>
  <si>
    <t xml:space="preserve">POMMEROl </t>
  </si>
  <si>
    <t>WILD FOOD</t>
  </si>
  <si>
    <t>V1 le 17/01 - V2 le 18/01</t>
  </si>
  <si>
    <t xml:space="preserve">Création de vidéo... en cours de plein de vidéo car URGENT </t>
  </si>
  <si>
    <t>GUY HOQUET FONTENAY</t>
  </si>
  <si>
    <t>BAT VT envoyé le 05/10 - BAT v2 envoyé le 30/10</t>
  </si>
  <si>
    <t>SQ L'isle d'Abeau café</t>
  </si>
  <si>
    <t>BAT 1 envoyé le 16-01
BAT 2 envoyé le 16-01
BAT 3 envoyé le 16-01
BAT 4 envoyé le 17-01
BAT 5 envoyé le 17-01
BAT 6 envoyé le 17-01
FAB à faire</t>
  </si>
  <si>
    <t>SQ Paris 9 INTERIEUR</t>
  </si>
  <si>
    <t>Attente de brief - demandé le 24-11</t>
  </si>
  <si>
    <t>SQ Paris 9 EXTERIEUR</t>
  </si>
  <si>
    <t>BAT 1 envoyé le 03-11
BAT 2 envoyé le 6-11
Relance faite le 22-11
BAT validé - Michael viens d'envoyer le devis, j'attend son signal pour faire le BAT VT</t>
  </si>
  <si>
    <t>Mise à jour - Rajout des articles "Emilie and the Cool Kids", V1 envoyé le 19/09/2023,  rajout d'articles le 21/09/2023, rajout d'articles le 09/10/2023, rajout d'article 30/11, attente d'information pour les boites roses</t>
  </si>
  <si>
    <t>Préparation de la programmation des posts de réseaux sociaux pour Nöel et prévoir les prochaines publication à l'avance ..</t>
  </si>
  <si>
    <r>
      <rPr>
        <rFont val="Comfortaa"/>
        <color theme="1"/>
      </rPr>
      <t xml:space="preserve">Récupere plein de vidéo pour les mettres sur les TV ... , </t>
    </r>
    <r>
      <rPr>
        <rFont val="Comfortaa"/>
        <b/>
        <color theme="1"/>
      </rPr>
      <t>TROUVER UNE FACON D'ACTIVER LA TV SEUL</t>
    </r>
  </si>
  <si>
    <t>MR ENSEIGNE 3D</t>
  </si>
  <si>
    <t>BAT 1 envoyé le 09/01 FAB A FAIRE</t>
  </si>
  <si>
    <t>RIA FR4110 VS2</t>
  </si>
  <si>
    <t>BAT 1 envoyé le 17-01</t>
  </si>
  <si>
    <t>GOLD</t>
  </si>
  <si>
    <t>ATTENTE VISU et ATTENTE VISIO - ATTENTE RDV - dossier pas clair - BAT envoyé le 14/12 - BAT 2 envoyé le 21/12 - BAT 3 le 26/12 - relance le 28/12 - BAT envoyé le 08/01 - BAT 15454 envoyé le 09/01 - BAT envoyé le 09/01 - FAB A FAIRE</t>
  </si>
  <si>
    <t>POINT S DOMANCY</t>
  </si>
  <si>
    <t>BAT VT envoyé le 28/07 - BAT a faire - VT pas cohérente - V1 à Celia le 20/09 - V2 le 20/09 - Envoyé au franchisé le 20/09 - V3 le 29/09 - V4 le 03/10 - V5 le 17/10 - BAT VT a refaire et BAT a refaire - BAT VT Envoyé le 22/12 - Attente retour pour demande fichier à Célia - Modif à faire suivant VT - Modif envoyé le 10/01</t>
  </si>
  <si>
    <t>RIA BE1842</t>
  </si>
  <si>
    <t>BAT 1 envoyé le 18-10
Relance faite le 24-10
VT reçu incomplete
BAT 2 envoyé le 22-11
BAT validé - devis validé - en attente VT pour FAB
Relance faite le 13-12
Attente reponse VT - mail envoyé le 11-01 à Orianne et Antoine
FAB à faire</t>
  </si>
  <si>
    <t>MAIRIE VARS PART 1</t>
  </si>
  <si>
    <t>Marie appelé le 22/11, tout est ok, ils rajoutent 54 plaques au devis, j'ai eu Prozon pour la sous traitance, il revient vers moi avecun fichier graphique pour que je réalise le BAT - FAB A FAIRE</t>
  </si>
  <si>
    <t xml:space="preserve">MAGNOLIA WEB </t>
  </si>
  <si>
    <t>APPELER pour fichier grahique le 05/12, e attente</t>
  </si>
  <si>
    <t>EMILIE LYON PROV</t>
  </si>
  <si>
    <t>BAT envoyé le 22/11</t>
  </si>
  <si>
    <t xml:space="preserve">LES SUBS </t>
  </si>
  <si>
    <t>Point S Bourgeuil</t>
  </si>
  <si>
    <t>BAT envoyé en octobre
FAB à faire</t>
  </si>
  <si>
    <t>POINT S Saint Genis Pouilly</t>
  </si>
  <si>
    <t>[Dossier récupéré de JB] BAT VT envoyé le 28/07 - V1 envoyé au franchiseur le 07/09 - V2 le 07/09 - Validation franchiseur le 07/09 - Envoie au franchisé le 07/09 - V4 le 20/09 - V5 le 29/09 - V6 le 03/10 - V7 le 17/10 - BAT VT a refaire et BAT a refaire - BAT VT Envoyé le 22/12 - Attente retour pour demande fichier à Célia - Modif à faire suivant VT - Modif suite VT le 10/01</t>
  </si>
  <si>
    <t>POINT S ETREMBIERES</t>
  </si>
  <si>
    <t>BAT VT envoyé le 28/07 - V1 le 06/09 - Validation franchiseur le 06/09 - Envoie au franchisé le 06/09 - V4 le 20/09 - V5 le 29/09 - V6 le 03/10 - V7 le 17/10 - BAT VT a refaire et BAT a refaire - BAT VT Envoyé le 22/12 - Attente retour pour demande fichier à Célia - Modif à faire suivant VT - Modif suite VT le 10/01</t>
  </si>
  <si>
    <t>RIA FR3304 VS2</t>
  </si>
  <si>
    <t>BAT 1 envoyé le 19-12
BAT 2 envoyé le 21-12
modifé par Jordan le 26-12
BAT 4 envoyé le 10-01
BAT 5 envoyé le 11-01
Faire la FAB</t>
  </si>
  <si>
    <t>Temporis - Mulhouse</t>
  </si>
  <si>
    <t>V1 le 26/12 - Modif à faire - Deux appels sans réponses - mail le 11/01 - V3 et V4 le 11/01 - FAB A FAIRE</t>
  </si>
  <si>
    <t>V1 le 12/01</t>
  </si>
  <si>
    <t>RIA BE3320</t>
  </si>
  <si>
    <t>BAT 1 envoyé le 31-10
Relance faite le 5-12
Relance faite le 13-12
Annulé</t>
  </si>
  <si>
    <t>Ingetis</t>
  </si>
  <si>
    <t>VT envoyé 
BAT 1 envoyé le 20-10
BAT 2 envoyé le 23-10
BAT 3 envoyé le 23-10
Attente VT pour dossier mairie
BAT 4 envoyé le 26-10
BAT mairie envoyé le 30-10
BAT 5 envoyé le 11-01
faire la FAB</t>
  </si>
  <si>
    <t>Etiquette PROFIRE</t>
  </si>
  <si>
    <t>Elithys</t>
  </si>
  <si>
    <t>INSTITU OASIS BEAUTE</t>
  </si>
  <si>
    <t xml:space="preserve">MAIL avec problème technique envoyé le 20/12, réponse de la cliente le 21, BAT envoyé le 28/12 - BAT V2 envoyé le 29/12 - BAT validé - en attente info marguerite - en attente validation nouvelle VT </t>
  </si>
  <si>
    <t>RIA FR4110</t>
  </si>
  <si>
    <t>BAT 1 envoyé le 23-11
BAT 2 envoyé le 27-11
BAT 3 envoyé le 27-11
Relance faite le 5-12
BAT validé - attente validation devis et VT
Relance faite le 13-12
Nouveau BAT de Jordan le 02/01 suite VT - pas mal de modif graphique, Antoine pense envoyer le BAT à Michelle
BAT 4 envoyé à Antoine le 10-01
BAT 5 envoyé le 11-01
BAT 6 envoyé le 12-01</t>
  </si>
  <si>
    <t xml:space="preserve">EMILIE TSHIRT </t>
  </si>
  <si>
    <t xml:space="preserve">Confirmer avec Michael que tout est lancé </t>
  </si>
  <si>
    <t>Ria Repair Tech</t>
  </si>
  <si>
    <t>BAT 1 envoyé le 03-11
BAT 2 envoyé le 7-11
BAT 3 envoyé le 8-11
Relance faite le 5-12
BAT 4 envoyé le 12-12
BAT 5 envoyé le 12-12
BAT 6 envoyé le 11-01
FAB à faire</t>
  </si>
  <si>
    <t>SQ Montevrain</t>
  </si>
  <si>
    <t>BAT 1 envoyé le 11-01</t>
  </si>
  <si>
    <t>Pharma brotteaux</t>
  </si>
  <si>
    <t>Attente visu - attente VT - BAT 1 envoyé le 10/01 FAB A FAIRE</t>
  </si>
  <si>
    <t xml:space="preserve">ROMASEG </t>
  </si>
  <si>
    <t>RIA BE2961</t>
  </si>
  <si>
    <t>BAT 1 envoyé le 18-10
Relance faite le 24-10
BAT 2 envoyé le 30-10
Relance faite le 5-12
Relance faite le 13-12
BAT validé - attente validation devis et VT
Devis validé - Attente VT - VT prevu le 10-01</t>
  </si>
  <si>
    <t>RIA BE625</t>
  </si>
  <si>
    <t>BAT 1 envoyé le 18-12
BAT 2 envoyé le 19-12
BAT validé - attente validation devis et VT</t>
  </si>
  <si>
    <t>BAT 1 envoyé le 09/01 - FAB A FAIRE</t>
  </si>
  <si>
    <t>RIA FR11871</t>
  </si>
  <si>
    <t>BAT 1 envoyé le 23-11
BAT 2 envoyé le 23-11
BAT validé - attente validation devis et VT
Relance faite le 13-12
VT reçu inexploitable, nouvelle VT prévu</t>
  </si>
  <si>
    <t>Valobat N°37</t>
  </si>
  <si>
    <t>BAT 1 envoyé le 10-01</t>
  </si>
  <si>
    <t xml:space="preserve">CAZAMANGA EXTE </t>
  </si>
  <si>
    <t>ONEPI</t>
  </si>
  <si>
    <t>Gi Affichage vitrine Rennes</t>
  </si>
  <si>
    <t>Pharmacie Polossat</t>
  </si>
  <si>
    <t>BAT 1 envoyé le 21-11
VT interieur le 11-12
BAT 2 envoyé le 24-11
BAT 3 envoyé le 27-11
BAT 4 envoyé le 30-11
BAT 5 envoyé le 12-12
BAT 6 envoyé le 13-12
BAT 7 envoyé le 13-12
BAT 8 envoyé le 14-12
BAT 9 envoyé le 18-12
BAT 10 envoyé le 19-12
BAT 2 en FAB
BAT 1 en FAB
BAT 3 &gt; attente retour client
Jordan V2 BAT intérieur le 02/01
Jordan -&gt; FAB OK POUR INTERIEUR FAITE LE 09/01</t>
  </si>
  <si>
    <t>POINT S SCIONZIER</t>
  </si>
  <si>
    <t>BAT VT envoyé le 28/07 - V1 le 06/09 au franchiseur - V2 le 06/09 - V3 le 07/09 - V4 le 07/09 - Validé par le franchiseur - Envoyé au franchisé le 07/09 - V5 le 29/09 - V6 le 03/10 - V7 le 17/10 - BAT VT a refaire et BAT a refaire - BAT VT Envoyé le 22/12 - Attente retour pour demande fichier à Célia - Modif à faire suivant VT - Modif suite VT envoyé le 10/01</t>
  </si>
  <si>
    <t>GDS</t>
  </si>
  <si>
    <r>
      <rPr>
        <rFont val="Comfortaa"/>
        <color theme="1"/>
      </rPr>
      <t xml:space="preserve">BAT 1 envoyé le 27/12 au franchisseur (elle revient le 2) - BAT 2 envoyé le 03/01 - BAT 3 envoyé le 04/01 - BAT 4 le 09/01 - </t>
    </r>
    <r>
      <rPr>
        <rFont val="Comfortaa"/>
        <b/>
        <color rgb="FFFF0000"/>
      </rPr>
      <t>BAT 5 envoyé à farnchisé le 09/01 - FAB A FAIRE</t>
    </r>
  </si>
  <si>
    <t xml:space="preserve">PI Villar Vehicule </t>
  </si>
  <si>
    <t>CG et photos demandées le 02/01</t>
  </si>
  <si>
    <t>Modification du BAT suite refus de la mairie - 03/01 - Réalisation 5V le 04/01</t>
  </si>
  <si>
    <t>Modif faites sur le BAT - Envoyé le 26/12 - V2 le 03/01</t>
  </si>
  <si>
    <t>Nouveau BAT envoyé à Antoine le 02/01 - Modif le 05/01 - Modif le 09/01</t>
  </si>
  <si>
    <t xml:space="preserve">HYDRO BUILDING </t>
  </si>
  <si>
    <t>BAT - client appelé le 21/12, - BAt envoyé le 04/12</t>
  </si>
  <si>
    <t xml:space="preserve">DECATH PUBLIER TOILE </t>
  </si>
  <si>
    <t xml:space="preserve">TWYD </t>
  </si>
  <si>
    <t>BAT envoyé le 09/01</t>
  </si>
  <si>
    <t>BRIMM</t>
  </si>
  <si>
    <t>Rappeler le client pour modif site - Attente validation client</t>
  </si>
  <si>
    <t>PHARMACIE POLOSSAT</t>
  </si>
  <si>
    <t>BAT V2 Intérieur envoyé le 02/01 - V3 et V4 le 04/01</t>
  </si>
  <si>
    <t>eclair cafe</t>
  </si>
  <si>
    <t>BIG MEDIA</t>
  </si>
  <si>
    <r>
      <rPr>
        <rFont val="Comfortaa"/>
        <color theme="1"/>
      </rPr>
      <t xml:space="preserve">27/12/2023 - </t>
    </r>
    <r>
      <rPr>
        <rFont val="Comfortaa"/>
        <color rgb="FFF1C232"/>
      </rPr>
      <t>relance auprès le Flo le 02/01</t>
    </r>
  </si>
  <si>
    <t>MR ENSEIGNE CHARLIE</t>
  </si>
  <si>
    <t>BAT 1 envoyé le 03/01 - FAB A FAIRE</t>
  </si>
  <si>
    <t>REINTER DEBUYS</t>
  </si>
  <si>
    <t>FAB A LANCER</t>
  </si>
  <si>
    <t>Tartines et choco</t>
  </si>
  <si>
    <t>ATTENTE VISU - La cliente va m'envoyer le visuel d'ici fin semaine - BAT 1 envoyé le 29/12, pas encore de visu - relance mail le 03/01 FAB A FAIRE</t>
  </si>
  <si>
    <t>SAMSIC RUNGIS</t>
  </si>
  <si>
    <r>
      <rPr>
        <rFont val="Comfortaa"/>
        <color theme="1"/>
      </rPr>
      <t xml:space="preserve">BAT 1 envoyé le 26/10 - BAT 2 envoyé le 30/10 - en vacances - relance avec bat rambou le 09/11 - relance le 13/11 - BAT 3 envoyé le 14/11 - attente validation mairie - </t>
    </r>
    <r>
      <rPr>
        <rFont val="Comfortaa"/>
        <b/>
        <color theme="1"/>
      </rPr>
      <t xml:space="preserve">relance phone le 23/11 - relance phone le 30/11, pas de reponse des mairie - relance 12/12 - </t>
    </r>
    <r>
      <rPr>
        <rFont val="Comfortaa"/>
        <b/>
        <color rgb="FFF1C232"/>
      </rPr>
      <t>relance le 02/01 - FAB A FAIRE</t>
    </r>
  </si>
  <si>
    <t xml:space="preserve">OGIC </t>
  </si>
  <si>
    <t>Wordpress clients</t>
  </si>
  <si>
    <t>Modification des tarifs sur wordpress par rapport aux nouvelles plaquettes</t>
  </si>
  <si>
    <t>BAT MUSA</t>
  </si>
  <si>
    <r>
      <rPr>
        <rFont val="Comfortaa"/>
        <color theme="1"/>
      </rPr>
      <t xml:space="preserve">ATTENTE VISU ET VT - BAT 1 envoyé le 13/12 - attente vt - </t>
    </r>
    <r>
      <rPr>
        <rFont val="Comfortaa"/>
        <b/>
        <color rgb="FF980000"/>
      </rPr>
      <t>BAT FINAL LE 03/01 FAB A FAIRE</t>
    </r>
  </si>
  <si>
    <t xml:space="preserve">INGECAL </t>
  </si>
  <si>
    <t>BAT 1 envoyé le 04/01</t>
  </si>
  <si>
    <t xml:space="preserve">EMILIE VALENCE </t>
  </si>
  <si>
    <t>BAT v2 envoyé le 07/11 - FAire un retour pour la Bache Provisoire - BAT enseigne provisoire à faire - en attente VT</t>
  </si>
  <si>
    <t>INGETIS (carole)</t>
  </si>
  <si>
    <t>attente retour pour voir ce que j'en fais</t>
  </si>
  <si>
    <t>Agence ouest lyonnais</t>
  </si>
  <si>
    <t>BAT 1 envoyé le 02/01 - BAT 2 envoyé le 03/01 FAB A FAIRE</t>
  </si>
  <si>
    <t>MR ENSEIGNE</t>
  </si>
  <si>
    <t>LAVERIE BAUER</t>
  </si>
  <si>
    <t>BAT envoyé le 29/12</t>
  </si>
  <si>
    <t>BV rampe lumineuse</t>
  </si>
  <si>
    <t>SMT ELITE</t>
  </si>
  <si>
    <t>BAT 1, 2 et 3 envoyés le 02/01 FAB A FAIRE</t>
  </si>
  <si>
    <t>Préparation de plein de petite story ou de réel pour les réseaux sociaux.</t>
  </si>
  <si>
    <t>BAT 1 envoyé le 7-12 - BAT VT fait le 7-12
BAT 2 envoyé le 7-12
BAT 3 envoyé le 7-12
BAT 4 envoyé le 11-12
VT reçu
BAT 5 envoyé le 20-12
BAT 6 envoyé le 21-12
FAB faite par Jordan le 28/12</t>
  </si>
  <si>
    <t>Point S - St Etienne</t>
  </si>
  <si>
    <t>FAB du dossier de Carole</t>
  </si>
  <si>
    <t>TWYD - College André Malraux - Roland Garros -  Standard</t>
  </si>
  <si>
    <t>V1 envoyé le 26/12</t>
  </si>
  <si>
    <t>Temporis - Annecy</t>
  </si>
  <si>
    <t>V1 le 27/12</t>
  </si>
  <si>
    <t>LANDRAUTO</t>
  </si>
  <si>
    <t>ATTENTE VISU CLIENT - BAT 1 envoyé le 06/12 - BAT 2 envoyé le 11/12 - relance le 13/12 par mail fresh - attente retour franchise - relance 19/12 - validé ar franchise, relance client le 26/12 - FAB A FAIRE</t>
  </si>
  <si>
    <t>Préparer un post pour les solds "les solds arrivent bientôt"</t>
  </si>
  <si>
    <t>INGECAL</t>
  </si>
  <si>
    <r>
      <rPr>
        <rFont val="Comfortaa"/>
        <color theme="1"/>
      </rPr>
      <t xml:space="preserve">BAT 1 envoyé le 27/12 - </t>
    </r>
    <r>
      <rPr>
        <rFont val="Comfortaa"/>
        <b/>
        <i/>
        <color rgb="FF00FF00"/>
      </rPr>
      <t xml:space="preserve"> </t>
    </r>
    <r>
      <rPr>
        <rFont val="Comfortaa"/>
        <b/>
        <i/>
        <color theme="1"/>
      </rPr>
      <t xml:space="preserve">FAB A FAIRE </t>
    </r>
  </si>
  <si>
    <t>NAKACHE</t>
  </si>
  <si>
    <t>CARTE de voeux</t>
  </si>
  <si>
    <t>COMMANDE FAITE</t>
  </si>
  <si>
    <t>POLICE MR ENSEIGNE</t>
  </si>
  <si>
    <t xml:space="preserve">BAT 1 envoyé le 20/12 </t>
  </si>
  <si>
    <t>PWP - La Queue Lez Yvelines</t>
  </si>
  <si>
    <t>V1 le 22/11</t>
  </si>
  <si>
    <t>GESTION SANTE</t>
  </si>
  <si>
    <t>ATTENTE VISU CLIENT - relance dans 10 jour (25 nov) - Relance le 13/12 - BAT 1 envoyé le 20/12- BAT 2 envoyé le 22/12 FAB A FAIRE</t>
  </si>
  <si>
    <t>UNCCA</t>
  </si>
  <si>
    <t>BAT 1 envoyé le 20/12 MAIL - attente retour - BAT 2 envoyé le 21/12 - FAB A FAIRE</t>
  </si>
  <si>
    <t>Commande faite le 12/12</t>
  </si>
  <si>
    <t>GDS Limours</t>
  </si>
  <si>
    <t>Demande de devis le 22/12 - FAB OK - Devis signé le 26/12</t>
  </si>
  <si>
    <t>RIA FR8455</t>
  </si>
  <si>
    <t>BAT 1 envoyé le 23-11
BAT validé - attente validation devis et VT
Relance faite le 13-12</t>
  </si>
  <si>
    <t>Guy Hoquet - Bureau Président</t>
  </si>
  <si>
    <t>CAFE</t>
  </si>
  <si>
    <t>BAT 1 envoyé le 22/12</t>
  </si>
  <si>
    <t>SQ Selestat microperf</t>
  </si>
  <si>
    <t>BAT envoyé le 19-12</t>
  </si>
  <si>
    <t>Maquette à faire suivant mail du 11/12 - V2 le 12/12 - V3 le 21/12 - V4 le 21/12</t>
  </si>
  <si>
    <t>Mr Enseignes</t>
  </si>
  <si>
    <t>Préparation de prochain post réseaux sociaux pour internet ..</t>
  </si>
  <si>
    <t xml:space="preserve"> Post réseaux sociaux : En cours .. Actuellement entrain de préparer les post jusqu'à janvier .. à l'avance</t>
  </si>
  <si>
    <t xml:space="preserve">Newsletters : Préparation de deux newsletters pour les Enseignistes : Pharmacies et promoteurs, pharmacie envoyé le 13/12/2023, pormoteur en cours </t>
  </si>
  <si>
    <r>
      <rPr>
        <rFont val="Comfortaa"/>
        <color theme="1"/>
      </rPr>
      <t xml:space="preserve">Mise à jour de l'ogranigramme le 11/12/2023 attente d'un retour, </t>
    </r>
    <r>
      <rPr>
        <rFont val="Comfortaa"/>
        <b/>
        <color theme="1"/>
      </rPr>
      <t>ENVOYER A MARTIN</t>
    </r>
  </si>
  <si>
    <t>RIA BE3266</t>
  </si>
  <si>
    <t>BAT 1 envoyé le 18-10
BAT 2 envoyé le 20-10
Relance faite le 24-10
BAT 3 envoyé le 26-10
BAT et devis validé - attente VT pour FAB
FAB faite pour les panneaux - attente VT pour commander la toile de store
Relance faite le 13-12</t>
  </si>
  <si>
    <t>ELITYS FRISE</t>
  </si>
  <si>
    <t>Tazita - Thuir</t>
  </si>
  <si>
    <t>Tazita - Scionzier</t>
  </si>
  <si>
    <t xml:space="preserve">Demande plan archi faite le 28/07 - Relance le 11/08 - BAT VT le 23/08 - BAT  le 23/08 - BAT Standby - Relance dans mail général du 05/10 - </t>
  </si>
  <si>
    <t>Tazita - Oyonnax</t>
  </si>
  <si>
    <t>BAT VT + BAT envoyé le 18/04 + Retouche envoyé le 19/04 + BAT VT et Provisoire ok et lancé le 24/04 - V3 BAT classique le 24/04 - V4 BAT refonte charte le 05/06 - V5 le 09/06  - V6 le 16/06 - Relance le 22/06 - Relance le 05/07 - Nouveau BAT le 19/07 - Relance le 04/09 -  - Relance dans mail général du 05/10</t>
  </si>
  <si>
    <t>Tazita - Oriflamme</t>
  </si>
  <si>
    <t>V1 le 17/07 -  - Relance dans mail général du 05/10</t>
  </si>
  <si>
    <t>Tazita - Villeneuve sur Lot</t>
  </si>
  <si>
    <t>V1 le 20/06 - V2 le 27/06 - Relance le 05/07 - V3 le 11/07 - V4 le 17/07 - V5 le 20/07 - V6 le 21/07 - Validé le 21/07 - Modif suite VT le 24/07 - Relance le 04/08 - Relance le 10/08 - Relance le 04/09 - Validation BAT le 05/09 - Attente mail de Elise pour lancement en prod -  - Relance dans mail général du 05/10</t>
  </si>
  <si>
    <t>Tazita - Reims</t>
  </si>
  <si>
    <t>BAT envoyé le 05/06 - Relance le 22/06 - Relance le 05/07 - Attente nouveau fichier DWG demande le 11/07 - Relance le 12/07 - Attente VT pour réaliser les FAB, validation le 18/07 - Mise en standby mail du 20/07 de Elise</t>
  </si>
  <si>
    <t>Valobat n°36</t>
  </si>
  <si>
    <t>BAT 1 envoyé le 20-12
BAT 2 envoyé le 20-12</t>
  </si>
  <si>
    <t xml:space="preserve">EMILIE LYON 6 ADH PROV </t>
  </si>
  <si>
    <t xml:space="preserve">ELITYS </t>
  </si>
  <si>
    <t>Valobat n°35</t>
  </si>
  <si>
    <t>BAT 1 envoyé le 20-12</t>
  </si>
  <si>
    <t>BUREAU VALLE RENNES 2</t>
  </si>
  <si>
    <t>BATv2 envoyé le 23/10</t>
  </si>
  <si>
    <t>MISTER ENSEIGNE</t>
  </si>
  <si>
    <t>BAT 1 envoyé le 19/12</t>
  </si>
  <si>
    <t>ARCHI CHOUETTE TAPIS MACON</t>
  </si>
  <si>
    <t xml:space="preserve"> - Demande devis le 08/11 - COMMANDE FAITE</t>
  </si>
  <si>
    <t>XEFI INGIENERIE</t>
  </si>
  <si>
    <t>BAT 1 envoye le 24/11 FAB A FAIRE</t>
  </si>
  <si>
    <t>Vigne</t>
  </si>
  <si>
    <t>BAT 1 envoyé le 28/11 FAB A FAIRE</t>
  </si>
  <si>
    <t>le locale</t>
  </si>
  <si>
    <t>Appeler client  - BAT 1 envoyé le 13/12 - BAT 2 envoyé le 14/12 - BAT 3 envoyé le 18 FAB A FAIRE</t>
  </si>
  <si>
    <t>PYRAMID ONLINE</t>
  </si>
  <si>
    <t>BAT 1 envoyé le 18/12 - FAB A FAIRE</t>
  </si>
  <si>
    <t>RIA FR11916</t>
  </si>
  <si>
    <t>Annulé</t>
  </si>
  <si>
    <r>
      <rPr>
        <rFont val="Comfortaa"/>
        <color theme="1"/>
      </rPr>
      <t xml:space="preserve">SQ Selestat </t>
    </r>
    <r>
      <rPr>
        <rFont val="Comfortaa"/>
        <b/>
        <color theme="1"/>
      </rPr>
      <t>Poincarré EXTERIEUR</t>
    </r>
  </si>
  <si>
    <t>Modification BAT mairie suite refus suivant mail du 23/08 - BAT marie v2 envoyé le 04/10
BAT INT et FAB OK 
---------- Passation Carole -------------
Relance Paul au sujet du dossier mairie le 27-10 - Paul : pas de nouvelles
reponse mairie reçu mais contradictoire, Michael est entrain de faire le point</t>
  </si>
  <si>
    <t>Start English</t>
  </si>
  <si>
    <t>BAT 1 envoyé le 12/12 - BAT 2 envoyé le 13/12 - BAT 3 envoyé le 18/12 - FAB A FAIRE</t>
  </si>
  <si>
    <t>ECOLAVE</t>
  </si>
  <si>
    <t>Demande fichiers graphiques le 11/12 - appeler client - attente visu - BAT 1 provisioire envoyé le 14/12 - attente visu - FAB A FAIRE</t>
  </si>
  <si>
    <t>RIA BE3304</t>
  </si>
  <si>
    <t>BAT 1 envoyé le 26-10
BAT et devis validé - attente VT pour FAB
Relance faite le 13-12</t>
  </si>
  <si>
    <t>RIA BE2730</t>
  </si>
  <si>
    <t>BAT 1 envoyé le 18-10
BAT 2 envoyé le 20-10
Relance faite le 24-10
Relance faite le 5-12
Relance faite le 13-12</t>
  </si>
  <si>
    <t>RIA BE3452</t>
  </si>
  <si>
    <t>BAT 1 envoyé le 17-10
BAT 2 envoyé le 20-10
Relance faite le 24-10
BAT 3 envoyé le 26-10
BAT et devis validé - attente VT pour FAB
Relance faite le 13-12</t>
  </si>
  <si>
    <t>GDS - St Jean de Braye</t>
  </si>
  <si>
    <t>V1 le 28/11 - Modif à faire - V2 le 04/12 - V3 le 06/12 - Réponse mail le 07/12 - Relance le 12/12 - Envoie au franchisé le 12/12 - VSA me les brise le 14/12</t>
  </si>
  <si>
    <t xml:space="preserve">LAVERIE BRILAVE BAT REINTER </t>
  </si>
  <si>
    <t>CARTE CORREPONDANCE</t>
  </si>
  <si>
    <t xml:space="preserve"> Commande faites</t>
  </si>
  <si>
    <t>AVIA VIP</t>
  </si>
  <si>
    <t xml:space="preserve">DETAIL CAR MANDELIEU </t>
  </si>
  <si>
    <t>BAT v2 envoyé le 13/12</t>
  </si>
  <si>
    <t>Guy Hoquet Lyon 2</t>
  </si>
  <si>
    <t>BAT 1 envoyé le 4-12
BAT VT envoyé le 4-12
VT reçu - BAT 2 envoyé le 6-12
BAT 3 envoyé le 11-12
BAT 4 envoyé le 12-12
BAT 5 envoyé le 13-12</t>
  </si>
  <si>
    <t>RIA FR14222</t>
  </si>
  <si>
    <t>BAT 1 envoyé le 16-11
Relance faite le 5-12
BAT validé - attente validation devis et VT
Relance faite le 13-12</t>
  </si>
  <si>
    <t>BAT Marie popotes</t>
  </si>
  <si>
    <t>Fait le 13</t>
  </si>
  <si>
    <t>MEUNIER</t>
  </si>
  <si>
    <t xml:space="preserve">PERE ET FILS </t>
  </si>
  <si>
    <t>BAT 1 envoyé le 11/12 - BAT 2 et 3 envoyé le 12/12 FAB A FAIRE</t>
  </si>
  <si>
    <t>SAS Holynvest</t>
  </si>
  <si>
    <t>30000 etiquettes O my sushis</t>
  </si>
  <si>
    <t>Proebo Saumur</t>
  </si>
  <si>
    <t>Attente fichiers client -  il me les envoies le 7-12
BAT 1 envoyé le 11-12
BAT 2 envoyé le 12-12</t>
  </si>
  <si>
    <t>BAT REINTER CASAMANGA BETON ET DRAPEAU</t>
  </si>
  <si>
    <t>relancer Antoine pour validation de thomas béton - fait - attente retour</t>
  </si>
  <si>
    <t>SQ L'isle d'Abeau Bourg EXTERIEUR</t>
  </si>
  <si>
    <t>BAT 1 envoyé le 26-10
BAT VT envoyé le 26-10
VT reçu 
BAT 2 envoyé le 2-11
BAT mairie fait le 3-11</t>
  </si>
  <si>
    <t>Xefi - 31 Véhicules</t>
  </si>
  <si>
    <t>Relance le 21/11</t>
  </si>
  <si>
    <t>Le relais 42</t>
  </si>
  <si>
    <t>V1 BAT le 28/11</t>
  </si>
  <si>
    <t>Temporis - Wissembourg</t>
  </si>
  <si>
    <t>V1 envoyé le 08/12</t>
  </si>
  <si>
    <t>PWP - L'entrepot - Gaillan-en-Médoc</t>
  </si>
  <si>
    <t>V1 le 11/12</t>
  </si>
  <si>
    <t>VT MMA</t>
  </si>
  <si>
    <t>ATTENTE PHOTO</t>
  </si>
  <si>
    <t>Temporis - Lyon Nord</t>
  </si>
  <si>
    <t>V1 le 11/12 - V2 le 11/12</t>
  </si>
  <si>
    <t>PWP - L'entrepot - Cissac Médoc</t>
  </si>
  <si>
    <r>
      <rPr>
        <rFont val="Comfortaa"/>
        <color theme="1"/>
      </rPr>
      <t xml:space="preserve">BAT 1 envoyé le 08/11 - </t>
    </r>
    <r>
      <rPr>
        <rFont val="Comfortaa"/>
        <b/>
        <color theme="1"/>
      </rPr>
      <t>relance phone le 21/11</t>
    </r>
  </si>
  <si>
    <t>ARCHI CHOUETTE tapis NANTES</t>
  </si>
  <si>
    <t>BAT 2 envoyé le 02/11 - BAT 3 envoyé le 03/11 - Demande devis le 08/11 - COMMANDE FAITE le 17/11</t>
  </si>
  <si>
    <t>MR Enseignes - Lyon Eclair Cafe</t>
  </si>
  <si>
    <t>Temporis - Epinal</t>
  </si>
  <si>
    <t>V1 le 08/12 - V2 le 11/12</t>
  </si>
  <si>
    <t>Temporis - Vannes</t>
  </si>
  <si>
    <t>V1 le 07/11 - V2 le 11/12</t>
  </si>
  <si>
    <t>NAS du Volant</t>
  </si>
  <si>
    <t>BAT 1 envoyé le 14-11
BAT validé - en attente de VT pour FAB
VT reçu, FAB à faire</t>
  </si>
  <si>
    <t>SQ Selestat bache urgent</t>
  </si>
  <si>
    <t>LPD Pallissade</t>
  </si>
  <si>
    <t>BAT 1 envoyé le 5-12
BAT 2 envoyé le 11-12</t>
  </si>
  <si>
    <t>Le vestiaire de Charlie</t>
  </si>
  <si>
    <t>BAT 1 envoyé le 07/12 FAB A FAIRE - FAB A CHECK</t>
  </si>
  <si>
    <t>ECOTHERME</t>
  </si>
  <si>
    <t>BAT 1 envoyé le 05/12 - BAT 2 envoyé le 06/12 - BAT 3 envoyé le 07/12 FAB A CHECK</t>
  </si>
  <si>
    <t>BAT envoyé le 11/12</t>
  </si>
  <si>
    <t>ASIA MARKET</t>
  </si>
  <si>
    <t>Elements demandés - relance le 24/11 - BAT 1 envoyé le 29/11 - BAT 2 envoyé le 30/11 FAB A CHECK</t>
  </si>
  <si>
    <t>DECATHLON PUBLIER</t>
  </si>
  <si>
    <t>LE PETIT LUNETIER</t>
  </si>
  <si>
    <t>BAT 1 envoyé le 04/12 -BAT 2 envoyé le 07/12 - FAB A FAIRE</t>
  </si>
  <si>
    <t>Camif Marseille Mazargues</t>
  </si>
  <si>
    <t>BAT 1 envoyé le 31-10
Franchise à validé
client relancé le 6-11
BAT 2 envoyé le 6-11
BAT 3 envoyé le 6-11
BAT validé - Attente VT pour FAB - VT prévu le 24-11
relance faite le 5-12
Pose le 20-12</t>
  </si>
  <si>
    <t xml:space="preserve">ADH repo EMILIE AIX </t>
  </si>
  <si>
    <t>NELS MR ENSEIGNE</t>
  </si>
  <si>
    <t>Point S Perpignan</t>
  </si>
  <si>
    <t>BAT 1 envoyé le 6-12
BAT 2 envoyé le 6-12
FAB à faire</t>
  </si>
  <si>
    <t>REFAB ARCHI CHOUETTE</t>
  </si>
  <si>
    <t>COMMANDE FAITE le 21/11</t>
  </si>
  <si>
    <t>BAT 1 envoyé le 22-11
Relance faite le 27-11
Relance faite le 5-12
BAT 2 envoyé le 6-12
BAT 3 envoyé le 7-12
FAB à faire</t>
  </si>
  <si>
    <t>V1 le 07/12</t>
  </si>
  <si>
    <t>YOGURT FACTORY</t>
  </si>
  <si>
    <t>RIA FR9338</t>
  </si>
  <si>
    <t>BAT 1 envoyé le 30-10
BAT 2 envoyé le 2-11
BAT et devis validé - attente VT pour FAB
BAT 3 envoyé le 5-12</t>
  </si>
  <si>
    <t>ria FR30</t>
  </si>
  <si>
    <t>BAT 1 envoyé le 5-12</t>
  </si>
  <si>
    <t>RIA FR13946</t>
  </si>
  <si>
    <t>BAT 1 envoyé le 16-11
BAT et devis validé - en attente de VT pour la FAB</t>
  </si>
  <si>
    <t>LPD pilier central</t>
  </si>
  <si>
    <t>BAT à SA le 20/11  - V2 le 21/11 - Modif à faire - V3 le 04/12 - Validation SA - Envoi au franchisé le 04/12</t>
  </si>
  <si>
    <t xml:space="preserve">SVS INVINNOVA </t>
  </si>
  <si>
    <t>BAT a faire, client appelé le 04/12 pour récup photo enplacement, en attente doc</t>
  </si>
  <si>
    <t xml:space="preserve">GOLD SERVICE ANNECY </t>
  </si>
  <si>
    <t>EN ATTENTE INFO ANTOINE LAQUAGE BAT PRET - BAT v2 envoyé le 30/10 - BAT v3 envoyé le 02/11 - relancer VT</t>
  </si>
  <si>
    <t xml:space="preserve">Point S Than </t>
  </si>
  <si>
    <t>BAT 1 envoyé le 29-11
BAT 2 envouyé le 30-11
validé par la franchise -envoyé au franchisé</t>
  </si>
  <si>
    <t>La parenthese liquide</t>
  </si>
  <si>
    <t>BAT 1 envoyé le 4-12
faire la FAB</t>
  </si>
  <si>
    <t>CMSI ensigne</t>
  </si>
  <si>
    <t>BAT 1 envoyé le 04/12 FAB A FAIRE</t>
  </si>
  <si>
    <t>Probeo pluguffan</t>
  </si>
  <si>
    <t>BAT envoyé le 25-10 - attente VT pour FAB
demande nouveaux fichiers au client
relance faite le 6-11</t>
  </si>
  <si>
    <t>RIA FR13549</t>
  </si>
  <si>
    <t>BAT 1 envoyé le 16-11
BAT et devis validé - en attente VT
Faire la FAB</t>
  </si>
  <si>
    <t>GDS - Valence</t>
  </si>
  <si>
    <t>V1 à SA le 08/11 - Relance le 20/11 - Relance le 27/11 - Envoi du BAT au franchisé sans retour de SA le 27/11 - Modif à faire - V2 le 04/12</t>
  </si>
  <si>
    <t>V1 le 27/11</t>
  </si>
  <si>
    <t>RIA FR27</t>
  </si>
  <si>
    <t>BAT 1 envoyé le 14-11
VT en attente
BAT 2 envoyé le 17-11
BAT 3 envoyé le 20-11
BAT envoyé le 22-11
Relance faite le 27-11
faire la FAB</t>
  </si>
  <si>
    <t>BAT 1 envoyé le 28/11 - BAT 2 envoyé le 29/11 - BAT 3 envoyé le 29/11</t>
  </si>
  <si>
    <t>EXpression intérieur</t>
  </si>
  <si>
    <t>SEP BAZILLE</t>
  </si>
  <si>
    <t>PWP - Terroir fromage et Vins</t>
  </si>
  <si>
    <t>V1 le 04/12</t>
  </si>
  <si>
    <t>Piscine ibiza Pavillon</t>
  </si>
  <si>
    <t>BAT envoyé le 30/11</t>
  </si>
  <si>
    <t>SQ Audruicq</t>
  </si>
  <si>
    <t>EURONET DAB 120 bornes</t>
  </si>
  <si>
    <t>BAT 1 envoyé le 30-11</t>
  </si>
  <si>
    <t>profire</t>
  </si>
  <si>
    <t>RIA FR13561</t>
  </si>
  <si>
    <t>BAT 1 envoyé le 16-11
BAT validé- attente VT pour FAB</t>
  </si>
  <si>
    <t>GARAGE BOILEAU</t>
  </si>
  <si>
    <t>bat 1 et 2 envoye le 23/11 - relance le 29/11 - bat 3 envoyé le 30/11</t>
  </si>
  <si>
    <t>SQ Montevrain provisoire</t>
  </si>
  <si>
    <t>BAT 1 envoyé le 30-11
FAB à faire</t>
  </si>
  <si>
    <t>V1 le 28/09 - Relance le 05/10 - Relance le 20/10 - Relance le 31/10 - Tentative appel téléphonique sans réponse - Relance le 27/11 - Modif à faire</t>
  </si>
  <si>
    <t>Marion Bricard</t>
  </si>
  <si>
    <t>Temporis Pamiers</t>
  </si>
  <si>
    <t>V1 le 20/11 - FAB A FAIRE</t>
  </si>
  <si>
    <t xml:space="preserve">Temporis Epinal </t>
  </si>
  <si>
    <t>REDHOOD ADH</t>
  </si>
  <si>
    <t>SPORT 2000</t>
  </si>
  <si>
    <t>RIA BE1418</t>
  </si>
  <si>
    <t>BAT 1 envoyé le 17-10
BAT validé ! en Attente de VT et validation devis.
Relance faite le 24-10
BAT et devis validé - attente VT pour FAB</t>
  </si>
  <si>
    <t>BAT 1 envoyé le 29-11
BAT 2 envoyé le 30-11
BAT 3 envoyé le 30-11</t>
  </si>
  <si>
    <t>ChefSquare - Garibaldi</t>
  </si>
  <si>
    <t>V1 le 29/11 - V2 le 30/11</t>
  </si>
  <si>
    <t>ALGECO</t>
  </si>
  <si>
    <t>BAT 1 envoyé le 29/11 - 2 envoyé le 29/11 - FAB A FAIRE</t>
  </si>
  <si>
    <t>REFAB ARBRE A COCINELLES</t>
  </si>
  <si>
    <t>En cours : test couleur</t>
  </si>
  <si>
    <t>XEFI LYON</t>
  </si>
  <si>
    <t>Mr enseigne Agence 3D</t>
  </si>
  <si>
    <t>BAT 1 envoyé le 28-11
FAB à faire</t>
  </si>
  <si>
    <t>PWP - La Réserve</t>
  </si>
  <si>
    <t>V1 le 23/11</t>
  </si>
  <si>
    <t>RIA BE101</t>
  </si>
  <si>
    <t>BAT 1 envoyé le 18-10
Relance faite le 24-10
BAT 2 evoyé le 30-10
BAT et devis validé - attente VT pour FAB</t>
  </si>
  <si>
    <t>PWP - La Boutique - Montreuil</t>
  </si>
  <si>
    <t>V1 le 23/11 - V2 le 28/11</t>
  </si>
  <si>
    <t>Temporis - Nantes Santé</t>
  </si>
  <si>
    <t>BAT enseigne envoyé le 28/11</t>
  </si>
  <si>
    <t>SQ Lauganet exterieur</t>
  </si>
  <si>
    <t>dossier mairie validé - FAB à faire</t>
  </si>
  <si>
    <t>Le Relais 42</t>
  </si>
  <si>
    <t>V1 et BAT VT envoyé le 10/11 - Relance pour la VT le 20/11 - V2 le 23/11</t>
  </si>
  <si>
    <t>DANA 91</t>
  </si>
  <si>
    <t>BAT envoyé el 21/09 - BAY v2 envoyé le 25/09 - en attente dimensions vitres pour finir FAB</t>
  </si>
  <si>
    <t>LE LAB</t>
  </si>
  <si>
    <t>PANO BD MAMANDE ARDEXSA</t>
  </si>
  <si>
    <t>MR</t>
  </si>
  <si>
    <t>BAT 1 envoyé le 28-11</t>
  </si>
  <si>
    <t>PWP - Intercaves - Plan de Campagne</t>
  </si>
  <si>
    <t>PWP - Le Saumon Passion</t>
  </si>
  <si>
    <t>Plaquette Piscine Ibiza</t>
  </si>
  <si>
    <t>UTILITAIRE</t>
  </si>
  <si>
    <t>BAT 1 envoyé le 17/11 - BAT 2 et 3 envoyé le 27/11 FAB A FAIRE</t>
  </si>
  <si>
    <t>AUDITION 33</t>
  </si>
  <si>
    <r>
      <rPr>
        <rFont val="Comfortaa"/>
        <color theme="1"/>
      </rPr>
      <t xml:space="preserve">BAT 1 envoyé le 20/11 - BAT 2 envoyé le 21//11 - BAT 3 envoyé le 22/11 - </t>
    </r>
    <r>
      <rPr>
        <rFont val="Comfortaa"/>
        <b/>
        <color theme="1"/>
      </rPr>
      <t>relance mail le 27/11 - BAT 3 envoyé le 27/11 - FAB A FAIRE</t>
    </r>
  </si>
  <si>
    <t>RED HOOD</t>
  </si>
  <si>
    <t>PWP - Cave St Matthieu</t>
  </si>
  <si>
    <t>PWP - Clafoutis - Antony</t>
  </si>
  <si>
    <t>V1 le 23/11 - V2 le 27/11</t>
  </si>
  <si>
    <t>Temporis - Reze</t>
  </si>
  <si>
    <t>V1 envoyé le 27/11</t>
  </si>
  <si>
    <t>COVERING LES ENSEIGNISTES</t>
  </si>
  <si>
    <t>REFAB MBB</t>
  </si>
  <si>
    <t>PWP - Grézieu la Varenne</t>
  </si>
  <si>
    <t>V1 le 22/11 - V2 le 23/11</t>
  </si>
  <si>
    <t>BAT 1 envoyé le 23-11</t>
  </si>
  <si>
    <t>DANA 91 véhicule</t>
  </si>
  <si>
    <t>attete retour info camion</t>
  </si>
  <si>
    <t>PWP - Milly la Forêt</t>
  </si>
  <si>
    <t>PWP - St André de Corcy</t>
  </si>
  <si>
    <t>PWP - Brignais</t>
  </si>
  <si>
    <t>PWP - Livry Gargan</t>
  </si>
  <si>
    <t>PWP - Fontenay aux Roses</t>
  </si>
  <si>
    <t>PWP - Thizy Les Bourgs</t>
  </si>
  <si>
    <t>PWP - Provins</t>
  </si>
  <si>
    <t>PWP - Coulommiers</t>
  </si>
  <si>
    <t>PWP - Tarare</t>
  </si>
  <si>
    <t xml:space="preserve">WOMBAT </t>
  </si>
  <si>
    <t>FAB ET ELECTRICIEN</t>
  </si>
  <si>
    <t>Axima V1 le 18/08 - V2 le 03/10 - V3 le 21/11</t>
  </si>
  <si>
    <t>POINT CODE</t>
  </si>
  <si>
    <t>BAT 2 envoyé le 22/11 - BAT 1,2 envoyé le 22/11 FAB A FAIRE</t>
  </si>
  <si>
    <t>AVIA MALAGA</t>
  </si>
  <si>
    <t>BAT 1 envoyé le 22/11 FAB A FAIRE</t>
  </si>
  <si>
    <t xml:space="preserve">DPT </t>
  </si>
  <si>
    <t>RIA FR11657</t>
  </si>
  <si>
    <t>BAT 1 envoyé - 
FAB à faire</t>
  </si>
  <si>
    <t>AVIA EXECUTIVE</t>
  </si>
  <si>
    <t>BAT 1 envoyé le 20/11 - BAT 2 envoyé le 21//11 FAB A FAIRE</t>
  </si>
  <si>
    <t>SQ Paris Galois</t>
  </si>
  <si>
    <t>Attente VT pour refaire tout les panneauxcar pas à la bonne dimension.</t>
  </si>
  <si>
    <t>IBIZA AVIA</t>
  </si>
  <si>
    <t>BAT 1 envoyé le 20/11 FAB A FAIRE</t>
  </si>
  <si>
    <t>RIA FR60918</t>
  </si>
  <si>
    <t>BAT envoyé le 23/08 FAB A FAIRE</t>
  </si>
  <si>
    <t>POINT RIA A FAIRE</t>
  </si>
  <si>
    <t>envoyé à antoine le 14/11</t>
  </si>
  <si>
    <t>Lyon Utilitaire</t>
  </si>
  <si>
    <t>V1 envoyé le 30/10 - Relance le 20/11</t>
  </si>
  <si>
    <t>IT HELFER</t>
  </si>
  <si>
    <t xml:space="preserve">BAT ENVOYE LE 26/09 - ATTENTE REPONSE FR </t>
  </si>
  <si>
    <t>V1 le 21/11</t>
  </si>
  <si>
    <t>BAT 1 envoyé le 09/11 - commande faites</t>
  </si>
  <si>
    <t>DENTAL PARK</t>
  </si>
  <si>
    <t>BAT 1 envoyé le 14/11 - BAT 2 envoyé le 16</t>
  </si>
  <si>
    <t>Valobat n°34</t>
  </si>
  <si>
    <t>BAT 1 envoyé le 20-11
FAB à faire</t>
  </si>
  <si>
    <t>GDS - Merignac</t>
  </si>
  <si>
    <t>BAT V1 + BAT VT + BAT adhésif provisoire fait le 19/10 - Relance le 20/10 - Relance le 23/10 + Demande au franchisé coordonnées - BAT Provisoire au franchisé le 23/10 - Attente numéro de tél - FAB Adh provisoire OK - Relance le 31/10 - Relance via BAT suite VT le 13/11 - V2 le 15/11 - V3 le 17/11</t>
  </si>
  <si>
    <t xml:space="preserve">BUREAU VALLE </t>
  </si>
  <si>
    <t>BAT VT fait, BAT envoyé le 11/09 - J'ai eu un certain Monsieur Angelo le 06/10, à appelé pour faire le point sur le BAT FAB A FAIRE</t>
  </si>
  <si>
    <t>DMP 34 BOXER</t>
  </si>
  <si>
    <t>Appel le 06/11 pour recup photos véhicule, pas de réponse, message laissé, appéle le 07/11; il envoit les photos mercredi ou jeudi  - BAT envoyé le 14/11 - FAB A FAIRE</t>
  </si>
  <si>
    <t>BRILAVE INT</t>
  </si>
  <si>
    <t>faire modif BAT et demander photos de l'intérieur _ faire un retour BAT et préparer VT  - finaliser BAT interieur - FAB A FAIRE</t>
  </si>
  <si>
    <t>Mr Enseignes - Vincent Debaene</t>
  </si>
  <si>
    <t>V1 le 20/11</t>
  </si>
  <si>
    <t>BAT 1 envoyé le 15-11
BAT 2 envoyé le 17-11
FAB à faire</t>
  </si>
  <si>
    <t>studio dentaire</t>
  </si>
  <si>
    <t>BAT 1 envoyé le 16-11</t>
  </si>
  <si>
    <t>WILD FOOD TAKEAWAY</t>
  </si>
  <si>
    <t>BAT 1 envoyé le 15/11 - bat 2 envoyé le 15/11 - BAT 3 envoyé le 17/11</t>
  </si>
  <si>
    <t>LECLREC AUTO ECOLE</t>
  </si>
  <si>
    <t>Point S Carpentra</t>
  </si>
  <si>
    <t>BAT 1 envoyé le 2-11
BAT 2 envoyé le 2-11
Relance faite le 6-11
validé - attente VT pour faire la FAB</t>
  </si>
  <si>
    <t>Valobat n°33</t>
  </si>
  <si>
    <t>BAT 1 envoyé le 17-11</t>
  </si>
  <si>
    <t>Point S voreppe - nouvelle commande par mail</t>
  </si>
  <si>
    <t>Proebo Macon Barbe</t>
  </si>
  <si>
    <t>Mr Enseignes - Expace</t>
  </si>
  <si>
    <t>PWP - Echoppe - Tarare</t>
  </si>
  <si>
    <t>V1 à Antoine le 14/11 - FAB A FAIRE</t>
  </si>
  <si>
    <t>RIA BE2975</t>
  </si>
  <si>
    <t>BAT 1 envoyé le 17-10
Relance faite le 24-10
BAT 2 envoyé le 26-10
BAT 3 envoyé le 30-10
BAT et devis validé - attente VT pour FAB</t>
  </si>
  <si>
    <t>JB Avocat</t>
  </si>
  <si>
    <t>V1 envoyé le 14/11 - V2 le 14/11 - V3 le 16/11</t>
  </si>
  <si>
    <t>Temporis Bruges</t>
  </si>
  <si>
    <t>V1 envoyé le 13/11</t>
  </si>
  <si>
    <t>MV Coiffure - V1 le 15/11</t>
  </si>
  <si>
    <t>SQ Troyes - Complément commande</t>
  </si>
  <si>
    <t>BAT envoyé le 10/10 - relancé le 26/10
---------- Passation Carole -------------
BAT 2 envoyé le 27-10 - demande de VT faite à Myriam le 17-10
relance faite le 6-11
VT prévue le 13-11
BAT validé - attente VT pour FAB</t>
  </si>
  <si>
    <t xml:space="preserve">ON AIR JEAN MACE </t>
  </si>
  <si>
    <t xml:space="preserve">VT envoyé le 12/10 BAT A FAIRE - BAT envoyé le 03/11 - plan electricien </t>
  </si>
  <si>
    <t>Cabine laboure</t>
  </si>
  <si>
    <t>BAT 1 envoyé le 3-11
Attente VT
BAT 2 envoyé le 13-11</t>
  </si>
  <si>
    <t>SQ Brives Churchill - Enseignes</t>
  </si>
  <si>
    <t>- VT reçu le 24/08 - BAT envoyé le 05/09 validé - en mairie 
BAT INT en attente d'infos
---------- Passation Carole -------------
Relance Paul pour savoir si des nouvelles du dossier mairie le 27-10 : pas de news</t>
  </si>
  <si>
    <t>Clinique veterianire des gratte ciel</t>
  </si>
  <si>
    <t>BAT VT envoyé le 25-10
Attente VT pour BAT et FAB</t>
  </si>
  <si>
    <t xml:space="preserve">BAGELSTEIN AGEN </t>
  </si>
  <si>
    <t xml:space="preserve">bat envoyé le 19/06, relancer le 17/07 - FAB A FAIRE -  vérifier l'envoi du nuancier et commander le drapeau </t>
  </si>
  <si>
    <t>BAT 1 envoyé le 7-11
BAT 2 envoyé le 13-11
BAT 3 envoyé le 14-11
Faire la FAB</t>
  </si>
  <si>
    <t>DPM36 PISCINE IBIZA</t>
  </si>
  <si>
    <t>BAT V2  envoyé le 31/10 BAT v3 envoyé le 02/11 - FAB A FAIRE</t>
  </si>
  <si>
    <t>VEGA</t>
  </si>
  <si>
    <t>BAT 1 envoyé le 10/11 FAB A FAIRE</t>
  </si>
  <si>
    <t>SQ Roserai</t>
  </si>
  <si>
    <t>BAT 1 envoyé le 13-11
BAT 2 envoyé le 14-11</t>
  </si>
  <si>
    <t>MR Enseigne - City Com</t>
  </si>
  <si>
    <t>V1 le 08/11 - V2 le 09/11</t>
  </si>
  <si>
    <t>SQ Cannes Toner</t>
  </si>
  <si>
    <t>Routalya</t>
  </si>
  <si>
    <t>BAT envoyé le 10/11 - V2 le 13/11</t>
  </si>
  <si>
    <t>Sous traitance Proebo Pharmacie Debuys</t>
  </si>
  <si>
    <t>devis pour lettre boitiers demandé à Dominosigne + Sign 24 + enseign +
Devis panneaux demandé à Matel + GEP
Devis croix demandé à GEP
Faire FAB adhésifs sur panneaux
commander chez GEP</t>
  </si>
  <si>
    <t>BAT envoyé le 10/11 - FAB A FAIRE</t>
  </si>
  <si>
    <t xml:space="preserve">Valobat n°27 </t>
  </si>
  <si>
    <t>BAT 1 envoyé le 9-11</t>
  </si>
  <si>
    <t>BAT 1 envoyé le 03/11 - BAT 2 envoyé 09/11 - FAB A FAIRE - FAB A CHECK</t>
  </si>
  <si>
    <t>Le Loc'Ale</t>
  </si>
  <si>
    <t>BAT VT</t>
  </si>
  <si>
    <t>CV</t>
  </si>
  <si>
    <t>BAT 1 envoyé le 06/11 - attente nouvelles cartes FAB A FAIRE</t>
  </si>
  <si>
    <t xml:space="preserve">BAT pret, il manque une info pour un des panneaux il me rapelle l 08/11 </t>
  </si>
  <si>
    <t>Gi Agen</t>
  </si>
  <si>
    <t>SQ Troyes EXTERIEUR</t>
  </si>
  <si>
    <t>BAT provisoire envoyé le 16/06 - BAT intérieur envoyé le 20/06 VALIDE le 21/06 - BAT Enseigne envoyé le 20/06 - BAT Enseignes envoyé le 21/06 - VALIDE - BAT provisoire validé - fab provisoire faite le 23/06 -  FAB intérieur faite le 27/06 - BAT renvoyé à Audrey Carre le 19/09
---------- Passation Carole -------------
Mail relance à Eric pour savoir si il avais un retour de la mairie - Eric n'as pas de news
----
Enseignes annulées</t>
  </si>
  <si>
    <t>BAT 1 envoyé le 8-11
relance par tel fait le 9-11</t>
  </si>
  <si>
    <t>Temporis Roubaix</t>
  </si>
  <si>
    <t>BAT 1 envoyé le 8-11</t>
  </si>
  <si>
    <t>Commune drocourt</t>
  </si>
  <si>
    <t>BAT 1 envoyé le 7-11
BAT 2 envoyé le 8-11
relance par tel le 9-11</t>
  </si>
  <si>
    <t>Point S Aménagement intérieur Voreppe</t>
  </si>
  <si>
    <t>BAT 1 envoyé le 8-11
BAT 2 envoyé le 8-11
BAT 3 envoyé le 8-11
BAT 4 envoyé le 9-11</t>
  </si>
  <si>
    <t>Temporis - Concarneau</t>
  </si>
  <si>
    <t>V1 envoyé le 7/11/2023,</t>
  </si>
  <si>
    <t>LECLERC ESSENCE</t>
  </si>
  <si>
    <t>BAT envoyé le 02/11 - BAT 3 envoyé le 06/11 FAB A FAIRE - attend remi</t>
  </si>
  <si>
    <t>WECANDOO</t>
  </si>
  <si>
    <t>BAT 1 envoyé le 08/11 - FAB A FAIRE</t>
  </si>
  <si>
    <t>SQ L'isle d'Abeau Bourg INTERIEUR</t>
  </si>
  <si>
    <t>Attente fichier brief demandé le 26-10 - Paul ne l'as pas encore reçu
BAT 1 envoyé le 3-11
BAT 2 envoyé le 3-11</t>
  </si>
  <si>
    <t>BAT 1 envoyé le 06/11 FAB A FAIRE</t>
  </si>
  <si>
    <t>ARCHI CHOUETTE adhésif macon</t>
  </si>
  <si>
    <t>BAT 1 envoyé le 27/10 a modifie - BAT 2 envoyé le 02/10 FAB A FAIRE</t>
  </si>
  <si>
    <t xml:space="preserve">DENTEGO </t>
  </si>
  <si>
    <t>LECLREC</t>
  </si>
  <si>
    <t>BAT 1 et 2 envoyé le 25/10 - attente nouveaux visu client - BAT 3 envoyé le 06/11 FAB A FAIRE</t>
  </si>
  <si>
    <t>AYGROUP</t>
  </si>
  <si>
    <t>BAT ENVOYE LE 27/09 -Relance le 05/10 - phone le 06/10 - attentes mesures mur - relance le 10/10 - relance avec bat le 11 - relance tel le 16 - BAT 2 envoyé le 23/10- bat 3 envoyé le 24/10 - BAT4 envoyé le 06/11 FAB A FAIRE</t>
  </si>
  <si>
    <t>V1 bâche le 07/11</t>
  </si>
  <si>
    <t>ARCHI CHOUETTE NANTES DEPOLI</t>
  </si>
  <si>
    <t>BAT 1 et 2 le 25/10</t>
  </si>
  <si>
    <t>Favorite Kid</t>
  </si>
  <si>
    <t>Propositions v2 envoyé ke 23/10 , BAT envoyé le 23/10 - FAB A FAIRE</t>
  </si>
  <si>
    <t>Euronet double face prototype</t>
  </si>
  <si>
    <t>BAT 1 envoyé le 25-10 - caisson commandé le 25-10
Relance faite le 6-11</t>
  </si>
  <si>
    <t>SQ LA PLAINE ST DENIS</t>
  </si>
  <si>
    <t xml:space="preserve">BAT EXT envoyé le 12/09, relancé le 22/09, relance faite le 26/10 - BAT mairie et VT fait, VT realisée
BAT int en attente d'infos - refus par Eric le 27/10 projet tombé à l'eau </t>
  </si>
  <si>
    <t>BAT 1 envoyé le 31-10
Franchise à validé</t>
  </si>
  <si>
    <t>SQ Dijon Transval</t>
  </si>
  <si>
    <t>BAT 1 envoyé le 31-10
BAT 2 envoyé le 2-11</t>
  </si>
  <si>
    <t xml:space="preserve">BRILAVE EXTE </t>
  </si>
  <si>
    <t>FAB  A FAIRE</t>
  </si>
  <si>
    <t>Proébo Pharmacie debuys</t>
  </si>
  <si>
    <t>Les BAT est prêt, je n'attends plus que les fichiers graphique du client // 
client relancé le 9-10
client relancé le 19-10
client relancé le 24-10
fichiers reçu
BAT 1 envoyé le 26-10
BAT 2 envoyé le 30-10
Faire la FAB - voir avec Antoine jeudi matin</t>
  </si>
  <si>
    <t>BAT 1 envoyé le 26-10
BAT 2 envoyé le 30-10
BAT 3 envoyé le 31-10
BAT 4 envoyé le 31-10
faire la fab</t>
  </si>
  <si>
    <t>AVH</t>
  </si>
  <si>
    <t>Attente VT</t>
  </si>
  <si>
    <t>BAT 1 envoyé le 2-11
BAT 2 envoyé le 2-11</t>
  </si>
  <si>
    <t>Gi Group Léa Sacoman</t>
  </si>
  <si>
    <t>Demande de devis tapis en cours</t>
  </si>
  <si>
    <t xml:space="preserve">TWYD FAB </t>
  </si>
  <si>
    <t>V1 envoyé le 31/10 - Attente retour concernant N°2 du BAT fichier manquant</t>
  </si>
  <si>
    <t>Euronet  habillage dab prototype</t>
  </si>
  <si>
    <t>BAT 1 envoyé e 25-10  - BAT VT envoyé
BAT 2 envoyé le 31-10
BAT 3 envoyé le 31-10</t>
  </si>
  <si>
    <t>Folcher</t>
  </si>
  <si>
    <t>Réalisation des plaquettes "Franchise" - Création charte intérieur</t>
  </si>
  <si>
    <t>Hubsante</t>
  </si>
  <si>
    <t>BAT V1 le 23/10 - V le 23/10 - Relance le 31/10</t>
  </si>
  <si>
    <t>V1 le 26/10</t>
  </si>
  <si>
    <t>Audience Nancy</t>
  </si>
  <si>
    <t>Refaire avec de nouvelles dimensions - V1 interne le 20/10 - V1 client le 20/10 - Demande de devis le 20/10</t>
  </si>
  <si>
    <t>Temporis - Fecamp</t>
  </si>
  <si>
    <t>INFERENCIAL</t>
  </si>
  <si>
    <t>BAT 1 envoyé le 27/10 - FAB A FAIRE</t>
  </si>
  <si>
    <t>SQ Selestat poincarré INTERIEUR</t>
  </si>
  <si>
    <t>Nouveau BAT pour reinter envoyé le 30-10</t>
  </si>
  <si>
    <t>GROUPE SANTE</t>
  </si>
  <si>
    <t>BAT 1 envoyé le 04/10 -bat 2 le 10/10 - BAT 3 le 11/10 - relance le 16/10 par mail - relance mail le 26/10 - BAT 4 envoyé le 27/10 - BAT 5 envpyé le 30/10-bat 6 envyé le 30/10 FAB A FAIRE</t>
  </si>
  <si>
    <t xml:space="preserve">GOLD SERVICE REFAB </t>
  </si>
  <si>
    <t>BAGELSTEIN STRASBOURG</t>
  </si>
  <si>
    <t>BAT v2 envoyé le 23/10 - FAB A FAIRE</t>
  </si>
  <si>
    <t>Bagelstein - Châlons</t>
  </si>
  <si>
    <t>En attente RAL Laura à appeler / à relancer / retour envoyé le 06/ bat v4 envoyé le 11/10 -  FAB A FAIRE</t>
  </si>
  <si>
    <t>HPM</t>
  </si>
  <si>
    <t>PANNEAU PLIE SQ</t>
  </si>
  <si>
    <t>SQ Cannes</t>
  </si>
  <si>
    <t>n°5 et 6 en FAB</t>
  </si>
  <si>
    <t>Dentinov Villeurbanne</t>
  </si>
  <si>
    <t>ZIMVIE</t>
  </si>
  <si>
    <t>BAT 1 envoyé le 24/10</t>
  </si>
  <si>
    <t>Valobat n°32</t>
  </si>
  <si>
    <t>BAT 1 envoyé le 25-10
FAB à faire</t>
  </si>
  <si>
    <t>Valobat n°31</t>
  </si>
  <si>
    <t>Gi Group - Grafton</t>
  </si>
  <si>
    <t>V1 envoyé le 28/06 - V2 le 12/07 - Call du 25/07 attente nouveau logo - Relance le 28/07 - BAT mairie + BAT V4 le 31/07 - Relance le 04/09 - Relance le 05/10 - Relance le 20/10 - Mail attente RAL le 20/10 - V5 le 23/10 - Ok mail le 23/10 - Attente dossier sur FP validation devis</t>
  </si>
  <si>
    <t>ARCHI CHOUETTE MACON</t>
  </si>
  <si>
    <t>BAT 1 envoyé le 26/10</t>
  </si>
  <si>
    <t>ARCHI CHOUETTE ADHE + enseigne</t>
  </si>
  <si>
    <t>BAT 1 envoyé le 19/10 FAB A FAIRE</t>
  </si>
  <si>
    <t>Point S - Bourgueil</t>
  </si>
  <si>
    <t>Dossier mairie en cours</t>
  </si>
  <si>
    <t>BAT 1 envoyé le 19-10
BAT 2 envoyé le 19-10
validé par Tetard, envoyé au franchisé le 20-10
BAT 3 envoyé le 23-10
Tetard à envoyé à la franchise le 23-10 les differentes propositions
BAT 4 envoyé le 23-10</t>
  </si>
  <si>
    <t>BAt envoyé, projet de prop envoyé à michael le 25/09</t>
  </si>
  <si>
    <t>SQ ST CYR INT</t>
  </si>
  <si>
    <t>BAT v2 envoyé le 26/10</t>
  </si>
  <si>
    <t>ARCHI CHOUETTE</t>
  </si>
  <si>
    <t>BAT 1 envoyé le 17/10 FAB A FAIRE</t>
  </si>
  <si>
    <t>Yohann Rassed</t>
  </si>
  <si>
    <t>Attente de VT - Orianne relancé le 23-10 par téléphone
VT reçu le 25-10
BAT 1 envoyé le 26-10</t>
  </si>
  <si>
    <t>BAGELSTEIN PROVISOIRE EXPRESS</t>
  </si>
  <si>
    <t>HYDRO BUILDING TOILE NARBONNE</t>
  </si>
  <si>
    <t>en attente adresse livraison Orianne</t>
  </si>
  <si>
    <t>V1 le 24/10 - V2 le 24/10</t>
  </si>
  <si>
    <t>AUNESSA</t>
  </si>
  <si>
    <t>BAT 1 envoyé le 23/10 - BAT 2 et 3  envoyés le 24/10 - FAB A FAIRE</t>
  </si>
  <si>
    <t>Angouleme PARTIE 2</t>
  </si>
  <si>
    <t>VM Matériaux à relancer</t>
  </si>
  <si>
    <t>RELANCER</t>
  </si>
  <si>
    <t>LOGO  WIMOINVEST</t>
  </si>
  <si>
    <t>BAT envoyé le 23/10</t>
  </si>
  <si>
    <t>Cuve Brentag</t>
  </si>
  <si>
    <t xml:space="preserve">V1 envoyé le 23/10/2023, </t>
  </si>
  <si>
    <t>BIG BANG</t>
  </si>
  <si>
    <t>BAT 1 envoyé le 28/09 - BAT 3 envoyé le 16/10 FAB A FAIRE</t>
  </si>
  <si>
    <t>Temporis - Cagnes sur Mer</t>
  </si>
  <si>
    <t>V1 le 23/10</t>
  </si>
  <si>
    <t>BAT 1 envoyé le 19-10</t>
  </si>
  <si>
    <t>SQ MONTRVANT intérieur</t>
  </si>
  <si>
    <t>Xefi - Austral</t>
  </si>
  <si>
    <t>BAT envoyé le 17/05 - V2 le 22/05 - Relance le 10/10 - V3 le 11/10 - Relance le 17/10 - Relance le 19/10 - Dossier anulé mail du 20/10</t>
  </si>
  <si>
    <t>Mr Enseignes - Helene Soudy</t>
  </si>
  <si>
    <t>MICRO PERF AUDITION</t>
  </si>
  <si>
    <t>BAT 1 envoyé le 19</t>
  </si>
  <si>
    <t>L'arbre au cocinelle</t>
  </si>
  <si>
    <t>BAT 1 envoyé le 19/09 - BAT 2 envoyé le 20/09 RELANCE LE 26/09 - BAT 3 envoyé le 05/10 - relance mail le 11/10 - BAT 4 envoyé le 16/10 FAB A FAIRE</t>
  </si>
  <si>
    <t>Wash n Dry Annemasse</t>
  </si>
  <si>
    <t>Haute Maurienne</t>
  </si>
  <si>
    <t>BAT 1 envoyé le 18-10</t>
  </si>
  <si>
    <t>Dentinov - Creil</t>
  </si>
  <si>
    <t>Refab - Demande par mail le 18/10 - V1 refab le 19/10 - V2 le 20/10</t>
  </si>
  <si>
    <t>ROYER RETAIL - Kickers</t>
  </si>
  <si>
    <t>[Dossier récupéré de JB] BAT envoyé le 18/04 - modifs envoyées le 24/04 - BAT envoyé le 02/05 - BAT final envoyé le 05/05 - BAT MAIRIE envoyé le 09/05 - délai mairie de 4 mois car c'est un site classé - Relance le 05/10</t>
  </si>
  <si>
    <t>Twyd - Ibis Scad</t>
  </si>
  <si>
    <t>V1 le 10/10</t>
  </si>
  <si>
    <t>Temporis - Pamiers</t>
  </si>
  <si>
    <t>V1 le 04/10</t>
  </si>
  <si>
    <t>SQ Toulouse Roserai</t>
  </si>
  <si>
    <t>BAT 1 envoyé le 18-10
BAT 2 envoyé le 18-10</t>
  </si>
  <si>
    <t>Adisseo - Signalétique Int. P1</t>
  </si>
  <si>
    <t>V1 le 24/07 - Relance tél et mail le 02/08 - V2 le 14/09</t>
  </si>
  <si>
    <t>SQ Lavoisier interieur</t>
  </si>
  <si>
    <t>BAT 1 envoyé le 17-10
BAT 2 envoyé le 17-10
BAT 3 envoyé le 17-10</t>
  </si>
  <si>
    <t>Point S Saint Martin d'Heres</t>
  </si>
  <si>
    <t>BAT 1 envoyé le 9-10 // tetard à validé - envoie le 9-10 au franchisé
Relance le 12-10
Relance le 17-10</t>
  </si>
  <si>
    <t>Temporis - Charlieu</t>
  </si>
  <si>
    <t>2 Véhicules - V1 le 11/10</t>
  </si>
  <si>
    <t>BAT 1 envoyé le 16-10
BAT 2 envoyé le 16-10</t>
  </si>
  <si>
    <t>BAT 1 envoyé le 10-10
BAT 2 envoyé le 11-10
BAT 3 envoyé le 12-10
BAT 4 envoyé le 12-10
BAT 5 envoyé le 13-10
validé - FAB à faire</t>
  </si>
  <si>
    <t>Groupe dubois - Lettre enseigne lumineuse</t>
  </si>
  <si>
    <t>D</t>
  </si>
  <si>
    <t>Mail envoyé par David le 25/09/2023, V1 envoyé le 26/09/2023, V2 envoyé le 29/09/2023, attente réponse</t>
  </si>
  <si>
    <t>SQ Roserais</t>
  </si>
  <si>
    <t xml:space="preserve">SQ Paris Galois </t>
  </si>
  <si>
    <t>Faire la FAB</t>
  </si>
  <si>
    <t>Dental Park</t>
  </si>
  <si>
    <t>[Dossier récupéré de JB] BAT V1 envoyé le 13/07 - BAT relance le 21/07 -  BAT V2 envoyé le 03/08 - BAT V3 envoyé le 7 aout - Devis à mettre à jour - dimensions complementaires a prendre par le client pour valider BAT définitif - Relance pour les dimensions le 04/09- BAT V4 envoyé le 13/09 - BAT 5 enoyé le 14/09 FAB A FAIRE - Attente retour Michael pour FAB</t>
  </si>
  <si>
    <t>SQ Dijon</t>
  </si>
  <si>
    <t>Groupe dubois loréal</t>
  </si>
  <si>
    <t xml:space="preserve">BAT 1 envoyé le 11-10
Appeler la cliente </t>
  </si>
  <si>
    <t>Les subs</t>
  </si>
  <si>
    <t>Echantillon fait - attente de la commande
Fichiers envoyés non conforme, demande envoyé le 12-10
BAT 1 envoyé le 12-10</t>
  </si>
  <si>
    <t>Valobat N°29</t>
  </si>
  <si>
    <t>BAT 1 envoyé le 13-10
Annulé</t>
  </si>
  <si>
    <t>Moreau Matériaux</t>
  </si>
  <si>
    <t>Demande de logo envoyé le 21/09/2023, attente de dossier/documents
Relance faite le 12-10
BAT 1 Envoyé le 12-10
BAT validé - FAB à faire</t>
  </si>
  <si>
    <t xml:space="preserve">Royer Retail </t>
  </si>
  <si>
    <t xml:space="preserve">SVS invinova </t>
  </si>
  <si>
    <t>à relancer, bat envoyé le 28/09, BAT v2 envoyé le 04/10 -  FAB A FAIRE</t>
  </si>
  <si>
    <t>Grignotte popotte</t>
  </si>
  <si>
    <t>VT en cours dans la semaine
Attente VT 
BAT 1 envoyé le 11-10
BAT 2 envoyé le 12-10
BAT 3 envoyé le 12-10
FAB à faire</t>
  </si>
  <si>
    <t>AC pneux et services thann</t>
  </si>
  <si>
    <t>BAT envoyé le 02-10 // BAT VT Fait // modifs N1 envoyé le 2-10 // Attente VT // relance pour la VT le 9-10 // BAT validé - attente de la VT pour production
BAT validé et VT reçu FAB à faire</t>
  </si>
  <si>
    <t>Sweely Enseigne MCS Paris</t>
  </si>
  <si>
    <t>Attend le logo vectoriel - demande envoyé le 10-10
BAT 1 envoyé le 11-10
BAT 2 envoyé le 11-10
BAT validé - FAB à faire</t>
  </si>
  <si>
    <t>Valobat Nimes</t>
  </si>
  <si>
    <t>En attente de fichier - relance faite le 9-10 // BAT 1 envoyé le 11-10
Relance faite le 12-10</t>
  </si>
  <si>
    <t>Point S St Gely sur Fesc</t>
  </si>
  <si>
    <t>BAT 1 envoyé le 9-10 // BAT 2 envoyé le 9-10 // BAT 3 envoyé le 10-10 // validé- faire la FAB</t>
  </si>
  <si>
    <t>Cadres - V1 le 11/10</t>
  </si>
  <si>
    <t>LECLERC VT</t>
  </si>
  <si>
    <t>BAT 1 evoyé le 10/10 - 2 le 10/10</t>
  </si>
  <si>
    <t xml:space="preserve">EMILIE T SHIRT BORDEAUX </t>
  </si>
  <si>
    <t xml:space="preserve">BAT A VALIDER </t>
  </si>
  <si>
    <t>Préparation des questions types à poser pour les postes sur les employés, envoyé a Michaël le 05/10/2023, modif en cours..</t>
  </si>
  <si>
    <t xml:space="preserve">MR CONTAMIN </t>
  </si>
  <si>
    <t>FAB PANNEAUX</t>
  </si>
  <si>
    <t>Pain et Cantine</t>
  </si>
  <si>
    <t>BAT 1 envoyé le 20/09 - BAT 2 envoyé le 21/09 RELANCE le 28/09 - BAT 3 envoyé le 03/10 - relance le 06/10 - BAT 4 le 09/10 FAB A FAIRE et attente valid BAT</t>
  </si>
  <si>
    <t>Optic Saint Antoine</t>
  </si>
  <si>
    <t>BAT 2 envoyé le 02/10 - FAB A FAIRE PAS POSSIBLE VENDREDI CAR PAS DE MOYEN DE PAIEMENT DISPO</t>
  </si>
  <si>
    <t>MAISON CARRE</t>
  </si>
  <si>
    <t>BAT 1 envoyé le 014/10 - BAT 2-3-4 envoyé le 05/10 - BAT final envoyé - relance le 10/10 - BAT 6 envoyé le 10/10 - FAB A FAIRE</t>
  </si>
  <si>
    <t>JMJCOM</t>
  </si>
  <si>
    <t>Migration Mail</t>
  </si>
  <si>
    <t>Temporis - Santé Nantes - Devanture</t>
  </si>
  <si>
    <t>V1 envoyé le 02/10 + BAT VT le 02/10</t>
  </si>
  <si>
    <t>Temporis - Santé Nantes - Véchiule</t>
  </si>
  <si>
    <t>SEMOLA</t>
  </si>
  <si>
    <t>BAT 1 envoyé le 01/10 - BAT 2 envoyé le 06/10 - RENVOYER UN BAT le 10/10 - BAT envoyé le 10/10</t>
  </si>
  <si>
    <t>CSM</t>
  </si>
  <si>
    <t>BAT 1  envoyé - relance en cours</t>
  </si>
  <si>
    <t>MARIN NOTAIRE</t>
  </si>
  <si>
    <t>BAT 1 envoyé le 29/09 BAT 2 envoyé le 02/10 - relance le 09/10 FAB A FAIRE</t>
  </si>
  <si>
    <t>BAT envoyé le 02-10 // relance faite le 4-10 // relance faite le 9-10</t>
  </si>
  <si>
    <t>Création visuels réseaux sociaux (4 visuels), envoyé a Michaël le 05/10/2023 attente réponse, modif fait le 09/10/2023</t>
  </si>
  <si>
    <t>Point S poitiers</t>
  </si>
  <si>
    <t xml:space="preserve">BAT à faire (3 plaques/cotes sur FP) - Appelé le 04/10 message laissé - appelé le 06/10 - ils ont pas eu le temps de le valdier, il reviennent vers le 10/10 </t>
  </si>
  <si>
    <t>Point S Poitier</t>
  </si>
  <si>
    <t>INTERMATCHE</t>
  </si>
  <si>
    <t xml:space="preserve">ETIQUETTE x200 mise en FAB </t>
  </si>
  <si>
    <t>Le secrétariat médical</t>
  </si>
  <si>
    <t>BAT 1 envoyé le 6-10 // BAT 2 envoyé le 6-10 // BAT 3 envoyé le 9-10</t>
  </si>
  <si>
    <t>Coiffure Free Style</t>
  </si>
  <si>
    <t>BAT 1 ENVOYE LE 26/09 BAT 2 envoyé le 27/09 BAT 3 envoyé le 28/09 - BAT 4 envoyé le 02/10 FAB A FAIRE</t>
  </si>
  <si>
    <t>PEINERA</t>
  </si>
  <si>
    <t>BAT 1 envoyé le 04/10 2 envoyé le 05/10 - ATTENTE RETOUR CLIENT POUR LANCER FAB</t>
  </si>
  <si>
    <t>JMT - FORFAIT MAQUETTE / CERFA rempli</t>
  </si>
  <si>
    <t>V1 envoyé le 28/09/2023, BAT refusé le 29/09/2023, Message envoyé pour recevoir la typographie, V2 envoyé le 29/09/2023, V3 envoyé le 02/10/2023, dossier mairie envoyé le 03/10/2023</t>
  </si>
  <si>
    <t>RSV Concept - Signalétique façade</t>
  </si>
  <si>
    <t>Mail pour logo et réf des RAL envoyé le 25/09/2023 - attente d'une réponse, V1 envoyé le 03/10/2023</t>
  </si>
  <si>
    <t>ON AIR CHANGEMENT DRAPEAU</t>
  </si>
  <si>
    <t>Proébo Pharmacie de la vallée</t>
  </si>
  <si>
    <t>BAT envoyé le 02-10 // relance faite le 4-10 // modifs envoyé le 4-10</t>
  </si>
  <si>
    <t>LA BAGARRE</t>
  </si>
  <si>
    <t>FAB A FAIRE + COMMANDE A FAIRE</t>
  </si>
  <si>
    <t>Affichage Dynamique</t>
  </si>
  <si>
    <t>Faire le point avec Michael sur devis reçu</t>
  </si>
  <si>
    <t>Temporis Agen</t>
  </si>
  <si>
    <t>V1 le 07/09 - Relance mail le 05/10</t>
  </si>
  <si>
    <t>SQ</t>
  </si>
  <si>
    <t>Préparation fichiers "Kit SQ" (Adhésif)</t>
  </si>
  <si>
    <t>SARL - Audience Nancy</t>
  </si>
  <si>
    <t>Demande faisabilité fournisseur le 19/09 - V1 le 19/09 - V2 le 19/09 - V3 le 20/09 - V4 le 20/09 - V5 le 20/09 - V6 le 20/09 - V7 le 20/09 - V8 le 20/09 - V9 le 20/09</t>
  </si>
  <si>
    <t>Foot Connect</t>
  </si>
  <si>
    <t>V1 le 15/09</t>
  </si>
  <si>
    <t>Atome 3D</t>
  </si>
  <si>
    <t>BAT envoyé en interne le 19/06 - BAT client envoyé le 19/06 - V2 le 22/06 - V3 le 23/06 - V4 le 27/06 - V5 le 12/07 - V6 le 31/07 - V7 le 31/07 - V8 le 01/08 - V9 le 01/08 - V12 le 04/09 - V13 le 07/09</t>
  </si>
  <si>
    <t>Clean Box SAS (SQ)</t>
  </si>
  <si>
    <t>BAT envoyé le 22-09 - relance faite le 2-10 // modifs envoyés le 4-10</t>
  </si>
  <si>
    <t>Pyramid Conseil</t>
  </si>
  <si>
    <t xml:space="preserve">BAT n1 envoyé le 4-10 // validé </t>
  </si>
  <si>
    <t xml:space="preserve">STORE P GODOT </t>
  </si>
  <si>
    <t xml:space="preserve">devis à confirmer avec elements en attente Oriane </t>
  </si>
  <si>
    <t>O MY SUSHI</t>
  </si>
  <si>
    <t xml:space="preserve">en attente retour BAT </t>
  </si>
  <si>
    <t>EMILIE BORDEAUX AUCHAN</t>
  </si>
  <si>
    <t>BAT envoyé le 28/09 - BAY v2 à envoyer</t>
  </si>
  <si>
    <t>WOK TO WALK</t>
  </si>
  <si>
    <t>en attente fichiers, le franchisé est en attente de retour des fichiers, appelé le 27/07, BAT v2 avec le neon envoyé le 11/09  - FAB à TERMINER</t>
  </si>
  <si>
    <t>Temporis - Rennes Est</t>
  </si>
  <si>
    <t>MAISON CARRE ENSEIGNE ET LETTRE</t>
  </si>
  <si>
    <t>BAT 1 envoyé le 03/10 - BAT 2 envoyé le 04/10 - FAB A FAIRE</t>
  </si>
  <si>
    <t>Temporis - Louhans</t>
  </si>
  <si>
    <t>V1 envoyé le 02/10</t>
  </si>
  <si>
    <t>Proébo 29700 pluguffan</t>
  </si>
  <si>
    <t>[Dossier récupéré de JB] VT envoyée le 10/07 - pas encore de retur le 19/07 // BAT n1 envoyé le 3-10</t>
  </si>
  <si>
    <t>Lobby 100D</t>
  </si>
  <si>
    <t>Dossier urgent d'Antoine - en attente de fichier client - client appelé le 29-09 - relance le 2-10 // maquette1 envoyé le 3-10</t>
  </si>
  <si>
    <t>Demande fichier car fichier avec lien manquant - 02/10 - V1 le 03/10</t>
  </si>
  <si>
    <t>Point S - Lannemezan</t>
  </si>
  <si>
    <t>BAT envoyé le 3-10 // modifs 1 envoyé le 3-10 // tetard à validé le 3-10</t>
  </si>
  <si>
    <t>SAVON YVARD</t>
  </si>
  <si>
    <t>BAT 1 et 2envoyée le 01/10 FAB A FAIRE</t>
  </si>
  <si>
    <t>SYMATES</t>
  </si>
  <si>
    <t>BAT 1 ENVOYE LE 27/09 - BAT 2 ENVOYE LE 27/09 - BAT 3 ENVOYE LE 02/10 FAB A FAIRE</t>
  </si>
  <si>
    <t>Euronet FRD0408</t>
  </si>
  <si>
    <t>BAT envoyé le 2-10</t>
  </si>
  <si>
    <t xml:space="preserve">Mail de Michael du 28/09 - Visuel "Rejoignez la franchise" - A faire pour le 02/10 si possible </t>
  </si>
  <si>
    <t xml:space="preserve">MRTI TRANSPORT </t>
  </si>
  <si>
    <t xml:space="preserve">
en attente VT </t>
  </si>
  <si>
    <t>BAT pret, à voir avec Michael, Lettres en FAB chez DOMINO, CAISSONS en FAB, il manque un échange avec l'archi pour discuter fixation et process lettres boitier pour semelle et plexi - retour plan archi - BAT fixation envoyé le 15/09</t>
  </si>
  <si>
    <t>Otto'go</t>
  </si>
  <si>
    <t>adhésif horaire à changer (voir FP) -  BAT envoyé le 19/09</t>
  </si>
  <si>
    <t>Xefi - Zurich</t>
  </si>
  <si>
    <t>BAT 1 envoyé le 19/09 BAT 2 envoyé le 27/09 - BAT 2 et 3 envoyés le 29/09 FAB A FAIRE</t>
  </si>
  <si>
    <t>Comptoir Roosevelt</t>
  </si>
  <si>
    <t>BAT envoyé le 21-09 - relance faite le 2-10</t>
  </si>
  <si>
    <t>MR Enseigne - Chez Kawa</t>
  </si>
  <si>
    <t>V1 le 29/09</t>
  </si>
  <si>
    <t>Envision Digital</t>
  </si>
  <si>
    <t>Modifs envoyé le 27-09</t>
  </si>
  <si>
    <t>Emilie goodies urgent</t>
  </si>
  <si>
    <t>Modifs envoyé le 26-09</t>
  </si>
  <si>
    <t>VALENTIN HAUY</t>
  </si>
  <si>
    <t>BAT ENVOYE LE 26/09 FAB A FAIRE</t>
  </si>
  <si>
    <t>Adhésif intérieur</t>
  </si>
  <si>
    <t>Temporis - Epinal Expert &amp; Cadres</t>
  </si>
  <si>
    <t>V1 le 19/09 - V2 le 25/09</t>
  </si>
  <si>
    <t>Terre Fermes Corbas - Adhésifs totem</t>
  </si>
  <si>
    <t>V1 envoyé le 28/09/2023</t>
  </si>
  <si>
    <t>Temporis - Coeur Alsace</t>
  </si>
  <si>
    <t>V1 le 28/09</t>
  </si>
  <si>
    <t>3e Inter - 4 Kangoo Van</t>
  </si>
  <si>
    <t>Le Petit Lunetier</t>
  </si>
  <si>
    <t>V1 envoyé le 20/09/2023, V2 envoyé le 22/09/2023, FAB a faire</t>
  </si>
  <si>
    <t>Hubsanté - Intérieur et Ext.</t>
  </si>
  <si>
    <t>V1 le 05/09 - V2 le 08/09 - V3 le 12/09 - V4 le 12/09</t>
  </si>
  <si>
    <t>Mise à jour de l'organigramme, Attente photo Remy, modif fait le 26/09/2023</t>
  </si>
  <si>
    <t>Temporis - Luçon</t>
  </si>
  <si>
    <t>V1 le 21/09 - V2 le 21/09 - V3 le 22/09 - V4 le 25/09</t>
  </si>
  <si>
    <t>Xefi - Genève</t>
  </si>
  <si>
    <t>BAT 1 envoyé le 20/09 - BAT 2 envoyé le 21/09 - BAT 3 envoyé le 21/0- BAT 4 envoyé le 25/09</t>
  </si>
  <si>
    <t>FR 13884</t>
  </si>
  <si>
    <t>Point S - Voreppe</t>
  </si>
  <si>
    <t>Maquette envoyé le 20-09</t>
  </si>
  <si>
    <t>Temporis - St Nazaire</t>
  </si>
  <si>
    <t>V1 le 26/09</t>
  </si>
  <si>
    <t xml:space="preserve">COUREUR DU DIMANCHE </t>
  </si>
  <si>
    <t>PISCINE 95 CLIO</t>
  </si>
  <si>
    <t>RIA BE 1576</t>
  </si>
  <si>
    <t>SQ St Cyr Vaillant</t>
  </si>
  <si>
    <t>BAT extérieur envoyé le 13/06 + VT envoyé le 16/06 - attente instructions pour l'intérieur - BAT extérieur aux bonnes dimensions envoyé le 03/07</t>
  </si>
  <si>
    <t>LSM</t>
  </si>
  <si>
    <t>LAVERIE BONNEL KIT HORAIR</t>
  </si>
  <si>
    <t>BAT VT ENVOYE LE 21/09</t>
  </si>
  <si>
    <t>Samsic RAMBOUILLAT</t>
  </si>
  <si>
    <t>ROUNB B</t>
  </si>
  <si>
    <t>BAT 1 envoyé le 18/09 - BAT 2 envoyé le 21/09- BAT 3 envoyé le 21/09</t>
  </si>
  <si>
    <t>BAGELSTEIN BAYONNE</t>
  </si>
  <si>
    <t>BAT v2 envoyé le 24/08</t>
  </si>
  <si>
    <t>RIA FR12855</t>
  </si>
  <si>
    <t>BAT v2 envoyé le 17/04</t>
  </si>
  <si>
    <t>SQ TOULOUSE INTERIEUR</t>
  </si>
  <si>
    <t xml:space="preserve">LUNDI </t>
  </si>
  <si>
    <t>Expression Intérieure</t>
  </si>
  <si>
    <t>Demande de logo envoyé le 20/09/2023, Mail 2 envoyé le 20/09/2023 (autre adresse), V1 envoyé le 21/09/2023, Relance envoyé le 25/09/2023, FAB a faire</t>
  </si>
  <si>
    <t>CHEMINOTS CASI PACA</t>
  </si>
  <si>
    <t>BAT3 ENVOYE LE 21/09 FAB A FAIRE</t>
  </si>
  <si>
    <t>NML2</t>
  </si>
  <si>
    <t>BAT 1 envoyé le 25/09 FAB A FAIRE</t>
  </si>
  <si>
    <t>Université Paris VIII</t>
  </si>
  <si>
    <t>V1 envoyé le 11/09 - V2 le 18/09</t>
  </si>
  <si>
    <t xml:space="preserve">GOLD SERVICE </t>
  </si>
  <si>
    <t>Temporis - Melun</t>
  </si>
  <si>
    <t>V1 le 21/09</t>
  </si>
  <si>
    <t>ETIQUETTE O MY SUSHI</t>
  </si>
  <si>
    <t>COMMANDE DETIQUETTE</t>
  </si>
  <si>
    <t>Point S - Luxeuil les Bains</t>
  </si>
  <si>
    <t>Modifs envoyés le 20-09</t>
  </si>
  <si>
    <t>Evolis</t>
  </si>
  <si>
    <t xml:space="preserve">REINTER CAMPUS LILLE </t>
  </si>
  <si>
    <t>Onet Technologies</t>
  </si>
  <si>
    <t>BAT modifié envoyé le 20-09</t>
  </si>
  <si>
    <t>Agence Dunk</t>
  </si>
  <si>
    <t>Priorité 1 - V1 envoyé le 20/09/2023, FAB à faire</t>
  </si>
  <si>
    <t xml:space="preserve">NABAO </t>
  </si>
  <si>
    <t>cliente appelé le 19/06, appelé le 01/08</t>
  </si>
  <si>
    <t>RIA 11547</t>
  </si>
  <si>
    <t>Marion Guttin</t>
  </si>
  <si>
    <t>Maquette envoyé le 18-09</t>
  </si>
  <si>
    <t>LADY SUSHIS MENU</t>
  </si>
  <si>
    <t>BAT envoyé le 20/09</t>
  </si>
  <si>
    <t>Espace Foot</t>
  </si>
  <si>
    <t>VT envoyé le 06/09</t>
  </si>
  <si>
    <t>Guy Hoquet Villeurbanne</t>
  </si>
  <si>
    <t>V1 envoyé le 15/09/2023, V2 envoyé le 18/09/2023 - V3 le 19/09 - FAB A FAIRE, CDV commandé le 19/09/2023</t>
  </si>
  <si>
    <t>FBM Cuisine &amp; Bain</t>
  </si>
  <si>
    <t>V1 envoyé le 13/09/2023, V2 envoyé le 18/09/2023, V3 envoyé le 18/09/2023</t>
  </si>
  <si>
    <t>Jeremy Bouchoucha</t>
  </si>
  <si>
    <t>V1 envoyé le 11/09/2023, V2 envoyé le 13/09/2023 - FAB A FAIRE, Commandé le 19/09/2023</t>
  </si>
  <si>
    <t xml:space="preserve">VIEILLAR ET FRANCHETEAU </t>
  </si>
  <si>
    <t xml:space="preserve">AMGECO PANNEAU </t>
  </si>
  <si>
    <t>Twyd - SNF</t>
  </si>
  <si>
    <t>V1 le 19/09</t>
  </si>
  <si>
    <t>Commande toiles KREARTURE</t>
  </si>
  <si>
    <t>Point S - Beziers</t>
  </si>
  <si>
    <t>V1 envoyé le 12/09 - V2 le 13/09 | Validation franchiseur le 13/09 | BAT franchisé le 13/09 - V2 le 14/09 - FAB A FAIRE</t>
  </si>
  <si>
    <t>Saunier</t>
  </si>
  <si>
    <t>Demande du logo le 14/08 - Logo pas bon, réponse le 17/08 - Relance le 04/09 - V1 le 13/09 - V2 le 14/09 - V3 le 18/09</t>
  </si>
  <si>
    <t>EURONET FRRD0440</t>
  </si>
  <si>
    <t>FAB A FAIREE</t>
  </si>
  <si>
    <t>RIA FR14020</t>
  </si>
  <si>
    <t>My Big Bang - Boulogne</t>
  </si>
  <si>
    <t>START ENGLISH</t>
  </si>
  <si>
    <t>BAT 1 envoyé le 15/09 - BAT validée le 15/09 FAB A FAIRE</t>
  </si>
  <si>
    <t>Menu Mika Sushi</t>
  </si>
  <si>
    <t>MC2P</t>
  </si>
  <si>
    <t>BAT VT et BAT Provisoire fait le 05/07 - V2 le 06/07 - Commande de la bâche provisoire le 10/07 en express directement chez le poseur - V1 global le 19/07 - V2 le 25/07 - V3 le 27/07 - V4 - V5 - V6 le 31/07 - V7 le 01/08 - V8 le 02/08 - V9 le 11/08 - V10 le 14/08  - BAT Enseigne envoyé le 12/09 - FAB du reste OK - FAB A FAIRE ENSEIGNE</t>
  </si>
  <si>
    <t>ADISSEO France</t>
  </si>
  <si>
    <t>BAT enseigne envoyé le 18/04 - Validé le 21/04  || BAT proposition intérieur le 24/07 - Validation le 24/08 - Attente retour RAL façade et lettres, demande le 25/08 - Relance le 14/09</t>
  </si>
  <si>
    <t>TC Retail SAS - tartine et chocolat</t>
  </si>
  <si>
    <t>en fab le 15-09</t>
  </si>
  <si>
    <t>RUN SERVICE</t>
  </si>
  <si>
    <t>BAT 1 envoyé le 11/09 - BAT validé le 14/09 FAB A FAIRE</t>
  </si>
  <si>
    <t>MONDIAL TISSU ALBERTVILLE</t>
  </si>
  <si>
    <t>BAT 1 envoyé le 11/09 - BAT 2 envoyé le 12/09 - BAT 3 envoyé le 12/09 FAB A FAIRE</t>
  </si>
  <si>
    <t xml:space="preserve">Temporis Pithiviers </t>
  </si>
  <si>
    <t xml:space="preserve">ON AIR PLAQUE </t>
  </si>
  <si>
    <t xml:space="preserve">SR VERRES </t>
  </si>
  <si>
    <t>RIA 60700</t>
  </si>
  <si>
    <t>Redhood</t>
  </si>
  <si>
    <t>Bâches - Toiles tendues</t>
  </si>
  <si>
    <t>UPS - Panneau Prévention</t>
  </si>
  <si>
    <t>V1 le 17/08 - Relance le 04/09 [Congé jusqu'au 14/09] - V2 le 12/09</t>
  </si>
  <si>
    <t>FLUIDE EUROPE</t>
  </si>
  <si>
    <t>BAT 1 envoyé le 12/09 FAB A FAIRE</t>
  </si>
  <si>
    <t xml:space="preserve">SOTRE POPOTE </t>
  </si>
  <si>
    <t xml:space="preserve">TC RETAIL STORE </t>
  </si>
  <si>
    <t>en attente retour DL sun et lux</t>
  </si>
  <si>
    <t>Point S - Stand Equip Auto</t>
  </si>
  <si>
    <t>V1 envoyé le 11/09</t>
  </si>
  <si>
    <t>Temporis Cholet</t>
  </si>
  <si>
    <t>V1 envoyé le 07/09</t>
  </si>
  <si>
    <t>EASYCHARGE</t>
  </si>
  <si>
    <t>BAT envoyé le 07/09</t>
  </si>
  <si>
    <t>RedHood - Chez lolotte</t>
  </si>
  <si>
    <t>BAT 1 envoyé le 11/09 - BAT 1 validé le 11/09 FAB A FAIRE</t>
  </si>
  <si>
    <t>CAMELIA BEAUTE</t>
  </si>
  <si>
    <r>
      <rPr>
        <rFont val="Comfortaa"/>
        <color theme="1"/>
      </rPr>
      <t xml:space="preserve">BAT 1 envoyé le 11/09 - BAT 1 validé le 11/09 </t>
    </r>
    <r>
      <rPr>
        <rFont val="Comfortaa"/>
        <color rgb="FFFBBC04"/>
      </rPr>
      <t xml:space="preserve"> FAB A FAIRE</t>
    </r>
  </si>
  <si>
    <t xml:space="preserve">PORTALP PANEAU </t>
  </si>
  <si>
    <t>FAN A FAIRE</t>
  </si>
  <si>
    <t>SECOM</t>
  </si>
  <si>
    <r>
      <rPr>
        <rFont val="Comfortaa"/>
        <color theme="1"/>
      </rPr>
      <t xml:space="preserve">BAT 1 envoyé le 11/09 - BAT 2 envoyé le 11/09 - BAT validé le 11/09 - </t>
    </r>
    <r>
      <rPr>
        <rFont val="Comfortaa"/>
        <b/>
        <color rgb="FFFF9900"/>
      </rPr>
      <t>FAB A FAIRE</t>
    </r>
  </si>
  <si>
    <t>Viva Services - La Seyne sur Mer</t>
  </si>
  <si>
    <t>V1 le 08/09</t>
  </si>
  <si>
    <t>SQ Vigneux Concorde</t>
  </si>
  <si>
    <t>BAT envoyé le 04/05 - BAT envoyé le 10/05 - BAT envoyé le 30/05 - Validé le 01/06 - BAT mairie fait le 01/06 - FAB extérieur faite le 29/06 - Attention, FAB extérieur faite MAIS pas encore la validation mairie - Attentes instructions intérieur - BAT i,ntérieur envoyé le 08/09 - BAT interieur V2 envoyé le 11/09</t>
  </si>
  <si>
    <t>RIA BE3350</t>
  </si>
  <si>
    <t>Temporis Agado</t>
  </si>
  <si>
    <t>Demande logo le 24/08 - Logo reçu le 24/08 - V1 envoyé le 25/08 - Relance le 04/09</t>
  </si>
  <si>
    <t>Temporis - Quimper</t>
  </si>
  <si>
    <t>Temporis Saintes</t>
  </si>
  <si>
    <t>V1 le 07/09</t>
  </si>
  <si>
    <t>Le Semnoz</t>
  </si>
  <si>
    <t>Attente retour de VT pour panneau en plus</t>
  </si>
  <si>
    <t>Point S Cholet - Adhésif</t>
  </si>
  <si>
    <t>Mr Enseignes - 3Dimensions</t>
  </si>
  <si>
    <t>Mail à Flo pour vérif le 07/09</t>
  </si>
  <si>
    <t>Mr Enseignes - Alrema</t>
  </si>
  <si>
    <t>Dossier mairie suite refus</t>
  </si>
  <si>
    <t>STORE TC PARIS</t>
  </si>
  <si>
    <t xml:space="preserve">COMMANDE ST </t>
  </si>
  <si>
    <t xml:space="preserve">PROEBO PONTVALLAIN </t>
  </si>
  <si>
    <t>Point S Cholet - 4x3</t>
  </si>
  <si>
    <t>Maison Ribeyre</t>
  </si>
  <si>
    <t>BAT VT le 23/08 - Attente retour VT pour BAT - BAT a faire - V1 envoyé le 05/09 - V2 le 06/09 - FAB A FAIRE</t>
  </si>
  <si>
    <t>Hubsanté - Etape 2</t>
  </si>
  <si>
    <t>V1 le 05/09 - V2 le 05/09</t>
  </si>
  <si>
    <t>Point S - Pernes les Fontaines</t>
  </si>
  <si>
    <t>Hubsanté - Etape 1</t>
  </si>
  <si>
    <t>V1 le 04/09</t>
  </si>
  <si>
    <t>SARL KREATURE</t>
  </si>
  <si>
    <t>Tazita - Atelier découpe</t>
  </si>
  <si>
    <t>Ceres Boulangerie</t>
  </si>
  <si>
    <t>Demande de fichier graphique le 16/08 - V1 le 22/08 - V2 le 04/09</t>
  </si>
  <si>
    <t>Ovelia - St Etienne</t>
  </si>
  <si>
    <t>Camif Habitat - Niort</t>
  </si>
  <si>
    <t>V1 le 18/08 - Relance le 23/08 - V2 le 23/08 - V3 le 24/08 - V4 le 23/08 - FAB A FAIRE</t>
  </si>
  <si>
    <t>Lettre showroom ?</t>
  </si>
  <si>
    <t>Tableau des garanties</t>
  </si>
  <si>
    <t>K par K - Angers</t>
  </si>
  <si>
    <t>BAT envoyé le 27/02</t>
  </si>
  <si>
    <t>BAT envoyé le 04/07 - BAT VT fait le 04/07 - BAT envoyé le 07/07 - BAT extérieur validé le 10/07 - BAT Mairie envoyé le 13/07 - Attente instruction intérieur</t>
  </si>
  <si>
    <t>V1 envoyé le 14/08 (Mail auto, congé jusqu'au 29/08) - V2 le 04/09</t>
  </si>
  <si>
    <t>TM Travaux</t>
  </si>
  <si>
    <t>Fab des éléments manquants</t>
  </si>
  <si>
    <t xml:space="preserve">Viva Service - La Seyne sur Mer </t>
  </si>
  <si>
    <t>Choix PVC Backlight client</t>
  </si>
  <si>
    <t>[Dossier récupéré de JB] BAT envoyé le 26/04 - relancé le 03/05 - relancé le 10/05 - relancé le 16/05 ils reviennt vers nous bientôt car le Maire est hospitalisé / evenement repoussé - relancé le 31/05 - relancé le 08/06 - Relancé le 19/06 - relancé le 05/07 - Antoine relance le 19/07</t>
  </si>
  <si>
    <t>Menuiserie Thollet</t>
  </si>
  <si>
    <t>V1 envoyé le 10/08 (Mail auto, congé jusqu'au 28/08) - FAB A FAIRE</t>
  </si>
  <si>
    <t>Emalec - H&amp;M NEVERS</t>
  </si>
  <si>
    <t>BAT VT envoyé le 07/02 -  MAIL ST envoyé - BAT ENVOYE LE 08/03 - à voir avec Orianne commande à faire</t>
  </si>
  <si>
    <t>EMALEC - H&amp;M Barjouville</t>
  </si>
  <si>
    <t>BAT VT envoyé le 07/02 - ST envoyé - BAT ENVOYE LE 08/03 - Commander lettres GEP - faire le point pour michael - mail pour michael ebvoyé - commande à faire</t>
  </si>
  <si>
    <t>POINT S ARNAS</t>
  </si>
  <si>
    <t xml:space="preserve">CAMPUS </t>
  </si>
  <si>
    <t>JB</t>
  </si>
  <si>
    <t>CAMPUS SCIENCES U LILLE</t>
  </si>
  <si>
    <t>BAT V1 envoyé le 17/08 (par mail) - BAT V2 envoyé  le 18/08 - BAT V3 envoyé le 21/08 -BAT V4 envoyé le 23/08</t>
  </si>
  <si>
    <t>Steep Plastique</t>
  </si>
  <si>
    <t>Panneaux Réception - Demande du fichier modèle le 25/08 - V1 le 25/08</t>
  </si>
  <si>
    <t>My Taylor is Joh</t>
  </si>
  <si>
    <t>doc reçu le 24, BAT A FAIRE</t>
  </si>
  <si>
    <t>REFAB ANACOURS FREJUS</t>
  </si>
  <si>
    <t>WimoInvest</t>
  </si>
  <si>
    <t>Refab du totem en double face</t>
  </si>
  <si>
    <t>LA MAIN TENDU</t>
  </si>
  <si>
    <t>MT QUESINY</t>
  </si>
  <si>
    <t>FRRD0458</t>
  </si>
  <si>
    <t>CAMPUS LILLE</t>
  </si>
  <si>
    <t>SQ TOULOUSE</t>
  </si>
  <si>
    <t xml:space="preserve">FAB SQ TOULOUSE </t>
  </si>
  <si>
    <t>Zestia Libourne</t>
  </si>
  <si>
    <r>
      <rPr>
        <rFont val="Comfortaa"/>
        <color theme="1"/>
      </rPr>
      <t xml:space="preserve">VT envoyée le 01/06 - BAT envoyé le 19/06 - validé le 19/06 - BAT mairie envoyé le 19/06 - Nouveau BAT envoyé le 26/06 - BAT Mairie V2 envoyé le 26/06 - Accord mairie reçu - </t>
    </r>
    <r>
      <rPr>
        <rFont val="Comfortaa"/>
        <b/>
        <color theme="1"/>
      </rPr>
      <t>le BAT est-il validé ? (non validé sur FP)</t>
    </r>
  </si>
  <si>
    <t>19 Panneaux - V1 le 24/08</t>
  </si>
  <si>
    <t>Laverie Bri'Lave</t>
  </si>
  <si>
    <t>V1 le 24/08 - V2 le 24/08</t>
  </si>
  <si>
    <t>PROMESSE MAIN TENDUE</t>
  </si>
  <si>
    <t>BAT bâche provisoire + VT envoyé le 06/06 - BAT bâche provisoire envoyé le 07/06 - BAT Bâche validé  FAB lancée le 07/06 - attente 2ème VT - BAT envoyé franchise le 19/07 - ils changent le logo il faut supprimer LMT - BAT envoyé le 20/07 - voir mail, on dirait qu'il valide - BAT envoyé à la franchisé le 21/07 - BAT V3 envoyé le 31/07 - validé le 21/08 - FAB faite / à checker</t>
  </si>
  <si>
    <t>BAT et mail à préparer puis switch à Hugo</t>
  </si>
  <si>
    <t>Tazita</t>
  </si>
  <si>
    <t>Fab REINTER faite - attente de validation pour envoi</t>
  </si>
  <si>
    <t xml:space="preserve">BAGELSTEIN PEINTURE </t>
  </si>
  <si>
    <t>Brenntag - EIPS</t>
  </si>
  <si>
    <t>V1 le 23/08</t>
  </si>
  <si>
    <t>Gold Service - Enseigne</t>
  </si>
  <si>
    <t>BAT V1 envoyé 21/08 - BAT V2 22/08 - BAT V3 envoyé le 23/08 - validé - FAB à faire</t>
  </si>
  <si>
    <t>CASI Cheminots PACA</t>
  </si>
  <si>
    <t>BAT envoyé le 12/05 - relancé le 22/05 - relancé 30/05 - ils vont retravailler le logo de leur côté et revenir vers nous - relancé le 06/07 - logo toujours pas fait, ils reviennent vers nous</t>
  </si>
  <si>
    <t xml:space="preserve">KREATURE LEMAN </t>
  </si>
  <si>
    <t>RIA FR 13891</t>
  </si>
  <si>
    <t>BAT v2 envoyé le 21/06</t>
  </si>
  <si>
    <t>VALOBAT - Ciffreo Bona Nice</t>
  </si>
  <si>
    <t>BAT V1 envoyé le 17/08 - validé FAB à faire</t>
  </si>
  <si>
    <t>VALOBAT - Denis Matériaux Dol De Bretagne</t>
  </si>
  <si>
    <t>BAT V1 envoyé le 21/08 - validé - FAB à faire</t>
  </si>
  <si>
    <t>VALOBAT - Denis Matériaux Danestal</t>
  </si>
  <si>
    <t>VALOBAT - Denis Matériaux Le Breuil En Bessin</t>
  </si>
  <si>
    <t>VALOBAT - Denis Matériaux Isigny</t>
  </si>
  <si>
    <t>VALOBAT - Denis Matériaux Pontchateau</t>
  </si>
  <si>
    <t>VALOBAT - Denis Matériaux Noyal Pontivy</t>
  </si>
  <si>
    <t xml:space="preserve">VALOBAT - Denis Matériaux St Aubin du Cormier </t>
  </si>
  <si>
    <t xml:space="preserve">VALOBAT - Denis Matériaux Montfort   </t>
  </si>
  <si>
    <t>VALOBAT - Denis Matériaux Combourg</t>
  </si>
  <si>
    <t>Fichiers FAB exterieur - FAB A FAIRE Mail de Myriam du 21/08</t>
  </si>
  <si>
    <t>SERARL LIBERA K</t>
  </si>
  <si>
    <t>BAT VT envoyé le 31/07 - BAT V1 envoyé le 31/07 - BAT V2 envoyé le 17/08- validé - FAB à faire</t>
  </si>
  <si>
    <t xml:space="preserve">La baguetterie </t>
  </si>
  <si>
    <t>BAT V5 envoyé le 01/08 - Validé/demandes devis envoyées le 01/08 - attente réception enseignes</t>
  </si>
  <si>
    <t>P Godot</t>
  </si>
  <si>
    <t>BAT V1 - envoyé le 20/07 - BAT VT envoyé attente dimensions finales - BAT V2 envoyé le 01/08 - BAT V3 envoyé le 01/08 - attente validation BAT - BAT v4 envoyé le 08/08 - FAB prête - devis fournisseur lambrequin envoyé</t>
  </si>
  <si>
    <t>NL Pich</t>
  </si>
  <si>
    <t>BAT V1 - envoyé le 20/07 - relance le 31/07 - BAT validé, fichier fab ready, attente livraison enseigne</t>
  </si>
  <si>
    <t>V1 le 21/08</t>
  </si>
  <si>
    <t>POINT S stand Equip auto</t>
  </si>
  <si>
    <t xml:space="preserve">BAT V1 envoyé le 17/08 - validé FAB à faire </t>
  </si>
  <si>
    <t>V1 le 17/08 - V2 le 17/08 - Relance le 21/08</t>
  </si>
  <si>
    <t>Ecotherme Bailly</t>
  </si>
  <si>
    <t>V1 le 17/08</t>
  </si>
  <si>
    <t>BAGELSTEIN NANTES</t>
  </si>
  <si>
    <t>CHAMONIX XKIPRUN</t>
  </si>
  <si>
    <t>FAB A AFAIRE</t>
  </si>
  <si>
    <t>FAB adh lancé, en attente VT pour caisson</t>
  </si>
  <si>
    <t>GOLD SERVICE</t>
  </si>
  <si>
    <t>BAT V1 envoyé le 10/08 - BAT V2 envoyé le 14/08 -  BAT V3 dimensions définitives envoyé le 17/08</t>
  </si>
  <si>
    <t>Generation Optique</t>
  </si>
  <si>
    <t>Temporis - Bourg en Bresse</t>
  </si>
  <si>
    <t xml:space="preserve">Temporis - Port Jerome Sur Seine </t>
  </si>
  <si>
    <t>Concept Signalétique</t>
  </si>
  <si>
    <t>V1 le 16/08</t>
  </si>
  <si>
    <t>RIA FR13752</t>
  </si>
  <si>
    <t>RIA 13752</t>
  </si>
  <si>
    <t>BAT envoyé le 13752</t>
  </si>
  <si>
    <t>RIA FR12706</t>
  </si>
  <si>
    <t>BAT envoyé le 08/06 - BAT v2 envoyé le 21/06</t>
  </si>
  <si>
    <t>EMILIE AIX VITRO REINTER</t>
  </si>
  <si>
    <t>BAT envoyé le 02/08</t>
  </si>
  <si>
    <t xml:space="preserve">YOGURT FACTORY </t>
  </si>
  <si>
    <t>Raphael Tedgui</t>
  </si>
  <si>
    <t>V1 envoyé le 14/08 - V2 envoyé le 14/08</t>
  </si>
  <si>
    <t>Immotaux</t>
  </si>
  <si>
    <t>Dossier mairie MR Enseignes</t>
  </si>
  <si>
    <t>Xefi</t>
  </si>
  <si>
    <t>9 Véhicules</t>
  </si>
  <si>
    <t>Projet monoprix - La boucherie</t>
  </si>
  <si>
    <t>V1 envoyé le 07/08 - V2 envoyé le 08/08 - V3 envoyé le 09/08/ - BAT validé</t>
  </si>
  <si>
    <t>GLE Printing</t>
  </si>
  <si>
    <t>Bioburger - Angers</t>
  </si>
  <si>
    <t>Urgence</t>
  </si>
  <si>
    <t>Boite à lumière</t>
  </si>
  <si>
    <t>création des fichiers de fab</t>
  </si>
  <si>
    <t>SQ Toulouse</t>
  </si>
  <si>
    <t>Vue BAT mairie à refaire</t>
  </si>
  <si>
    <t>SQ créteil Re-inter</t>
  </si>
  <si>
    <t>elements envoyés</t>
  </si>
  <si>
    <t>Wash n dry Annemasse - reinter</t>
  </si>
  <si>
    <t>50 adhésifs - V1 le 03/08</t>
  </si>
  <si>
    <t xml:space="preserve">KIZEO </t>
  </si>
  <si>
    <t>EURONET PUCES DU CANAL</t>
  </si>
  <si>
    <t>MAIRIE DE JONS</t>
  </si>
  <si>
    <t>BAT validé le 02/08</t>
  </si>
  <si>
    <t>SOMED</t>
  </si>
  <si>
    <t>BAT V1 envoyé le 20/07 - relance BAT le 31/07 - BAT v2 le 01/08 - BAT V3 01/08</t>
  </si>
  <si>
    <t>LES CROCS EN POSITIF</t>
  </si>
  <si>
    <t>BAT V3 envoyé le 01/08</t>
  </si>
  <si>
    <t>TEMPORIS THOUARS</t>
  </si>
  <si>
    <t>BAT V1 envoyé le 31/07</t>
  </si>
  <si>
    <t xml:space="preserve">PROFIRE ETOIQUETTE </t>
  </si>
  <si>
    <t>KREATURE HOPITAUX LEMANS</t>
  </si>
  <si>
    <t>Gi group - Agen</t>
  </si>
  <si>
    <t>V1 le 29/06  - Call du 25/07 pour relance - V2 le 27/07</t>
  </si>
  <si>
    <t>Gi Group - Holding</t>
  </si>
  <si>
    <t>V1 le 20/07 - V2 le 21/07 - V3 le 24/07 - Call du 25/07 pour relance - V4 le 26/07 - V5 le 27/07</t>
  </si>
  <si>
    <t>Maison à deux</t>
  </si>
  <si>
    <t>Demande de fichiers graphiques le 20/07 - V1 le 21/07 - 3 relances tél le 25/07 + 1 le 26 et message sur le répondeur</t>
  </si>
  <si>
    <t>POINT S PERNES</t>
  </si>
  <si>
    <t>préparation des derniers fichiers de fab - fab ok</t>
  </si>
  <si>
    <t>RIA FR60942</t>
  </si>
  <si>
    <t>RIA 13573</t>
  </si>
  <si>
    <t>BAT T&amp;C</t>
  </si>
  <si>
    <t>BAT  A FAIRE</t>
  </si>
  <si>
    <t>Albe Pessina</t>
  </si>
  <si>
    <t>Refab et modif adhésif - V1 le 27/07</t>
  </si>
  <si>
    <t>Laboratoire Oligosante</t>
  </si>
  <si>
    <t>V1 le 07/07 - V2 le 20/07 - V3 le 27/07</t>
  </si>
  <si>
    <t>Black Book</t>
  </si>
  <si>
    <t>BAT V1 envoyé le 17/07 - BAT V2 envoyé le 18/07 - BAT V3 envoyé le 24/07</t>
  </si>
  <si>
    <t>Xefi - E-Expert</t>
  </si>
  <si>
    <t>V1 le 24/07</t>
  </si>
  <si>
    <t>BCOMM AGENCY</t>
  </si>
  <si>
    <t>BAT V1 envoyé le 21/07 - BAT validé le 21/07</t>
  </si>
  <si>
    <t>M MOUSTACHE</t>
  </si>
  <si>
    <t>Attente VT pour mise en situation BAT à l'echelle</t>
  </si>
  <si>
    <t>Lamia Tham</t>
  </si>
  <si>
    <t>BAT V1 envoyé le 12/07 - BAT V2 envoyé le 17/07 - BAT V3 envoyé le 18/07, BAT V4 envoyé le 18/07 - BAT V5 validé le 21/07</t>
  </si>
  <si>
    <t>Mantu</t>
  </si>
  <si>
    <t>BAT V1 envoyé le 13/07 - relance BAT V1 le 20/07 - BAT validé le 21/07</t>
  </si>
  <si>
    <t>MR Enseignes - Ardéco</t>
  </si>
  <si>
    <t>V1 le 20/07</t>
  </si>
  <si>
    <t>KREATURE CHAMONIX</t>
  </si>
  <si>
    <t>checker pixart</t>
  </si>
  <si>
    <t xml:space="preserve">GAILLARD REINTER </t>
  </si>
  <si>
    <t>SNC NEXXT</t>
  </si>
  <si>
    <t xml:space="preserve">Appelé le 22/06, en attente fichier graphique à rappeler le 27/06  </t>
  </si>
  <si>
    <t xml:space="preserve">GEOSEL </t>
  </si>
  <si>
    <t>BAT envoyé le 15/06 - à relancer FAB A FAIRE</t>
  </si>
  <si>
    <t>SQ Cannes complément</t>
  </si>
  <si>
    <t>fichier graphique demandé le 10/07</t>
  </si>
  <si>
    <t>Copro</t>
  </si>
  <si>
    <t>FAB faite - Attente pour la FAB de l'entrée de responsable atelier</t>
  </si>
  <si>
    <t>Kaova</t>
  </si>
  <si>
    <t>V1 le 20/07 - V2 le 20/07</t>
  </si>
  <si>
    <t>Mr Enseignes - Poussier</t>
  </si>
  <si>
    <t>V1 le 19/07</t>
  </si>
  <si>
    <t>Valobat Reval 23</t>
  </si>
  <si>
    <t xml:space="preserve">BAT envoyé le 20/07 </t>
  </si>
  <si>
    <t>Creative Design</t>
  </si>
  <si>
    <t xml:space="preserve">Xefi Vitrolles </t>
  </si>
  <si>
    <t>Refab de deux véhicules</t>
  </si>
  <si>
    <t>KRAV MAGA</t>
  </si>
  <si>
    <t>BAT envoyé le 17/07</t>
  </si>
  <si>
    <t>EMILIE AIX VITROPHANIE</t>
  </si>
  <si>
    <t>appelé le 17/07</t>
  </si>
  <si>
    <t>RIA FR4786</t>
  </si>
  <si>
    <t>REPRISE DOSSIER Carole - BAT envoyé - Attente validation pour devis</t>
  </si>
  <si>
    <t>RIA6895</t>
  </si>
  <si>
    <t>RIA FR12831</t>
  </si>
  <si>
    <t>MODIF BAT A FAIRE</t>
  </si>
  <si>
    <t>Biens Sûrs signalétique Coteo</t>
  </si>
  <si>
    <t>BAT envoyé le 12/07 - relancé le 18/07 - BAT envoyé le 19/07 - FAB A FAIRE</t>
  </si>
  <si>
    <t>Mr Enseignes - STB2L</t>
  </si>
  <si>
    <t>MR Enseigne - Alrema</t>
  </si>
  <si>
    <t>Wax Energie</t>
  </si>
  <si>
    <t>V1 le 17/07</t>
  </si>
  <si>
    <t>SQ Sallanches</t>
  </si>
  <si>
    <t>mise en situation envoyée le 23/03</t>
  </si>
  <si>
    <t>éléments graphiques + infos demandés le 12/06 - BAT envoyé le 14/06 - BAT envoyé le 23/06 - BAT envoyé le 11/07 - validé - ST lancée chez GEP le 12/07</t>
  </si>
  <si>
    <t>Temporis Vannes</t>
  </si>
  <si>
    <t>BAT envoyé le 18/07 - FAB A FAIRE</t>
  </si>
  <si>
    <t>Visuel RS ouvert en août</t>
  </si>
  <si>
    <t>validé le 18/07</t>
  </si>
  <si>
    <t>Temporis St Quentin</t>
  </si>
  <si>
    <t>BAT envoyé le 17/07 - BAT envoyé le 17/07 - FAB A FAIRE</t>
  </si>
  <si>
    <t>API Restauration</t>
  </si>
  <si>
    <t>V1 le 13/07 - FAB A FAIRE</t>
  </si>
  <si>
    <t>SELARL Le Semnoz</t>
  </si>
  <si>
    <t>BAT envoyé le 30/05 - V2 le 02/06 - Relance le 06/06 - Nouveau BAT le 07/06 - Autre BAT le 07/06 - Autre BAT le 08/06 - Nouveau BAT le 12/06 - Lancement VT et FAB de la bâche le 12/06 - Nouveau BAT le 14/06 - Nouveau BAT le 27/06 - V11 le 28/06 - Attente retour mairie</t>
  </si>
  <si>
    <t>WIMOINVEST</t>
  </si>
  <si>
    <t>éléments demandés le 01/06 - client doit envoyer un mail avec logo vectoriel dans un premier temps, puis maquette barre relief et autres logos vectoriels - question scellement béton et fixation + mail parkings - BAT envoyé le 15/06 - BAT envoyé le 20/06 - BAT envoyé le 22/06 - BAT envoyé le 26/06 - BAT envoyé le 04/07 - BAT envoyé le 05/07 - FAB A FAIRE</t>
  </si>
  <si>
    <t>PROEBO Pharmacie de Pontvallain</t>
  </si>
  <si>
    <t>VT lancée le 04/07 - attente fichiers graphiques - fichiers incorrects - BAT envoyé le 17/07 - FAB A FAIRE</t>
  </si>
  <si>
    <t>Visuels RS PVC Vegetal  Enseignistes &amp; Mister enseigne</t>
  </si>
  <si>
    <t>OK</t>
  </si>
  <si>
    <t>L'eatalienne</t>
  </si>
  <si>
    <t>Black Corp Protect</t>
  </si>
  <si>
    <t>V1 le 12/07 - V2 le 13/07 - V3 le 13/07</t>
  </si>
  <si>
    <t>Tazita - Montauban</t>
  </si>
  <si>
    <t>V1 pour les adhésifs le 12/07</t>
  </si>
  <si>
    <t>Gi Group Rennes</t>
  </si>
  <si>
    <t>V1 le 29/06 - V2 le 30/06 - V3 le 07/07 - V4 le 10/07</t>
  </si>
  <si>
    <t>Black Book Shop</t>
  </si>
  <si>
    <t>VT lancée le 05/07</t>
  </si>
  <si>
    <t xml:space="preserve">ANACOURS FREJUS </t>
  </si>
  <si>
    <t>BAT envoyé me 27/06 -  FAB A FAIRE</t>
  </si>
  <si>
    <t>A rappeler pour ses nouveaux menus _ faire les menus _ appelé le 22/03 message laissée _ MENU v4 envoyé le 04/04 - V5 envoyé le 12/04 - répondre _ BAT v9 envoyé le 21/04 - V11 envoyé le 11/05 - BAT V12 envoyé 05/06 - appel fait le 19/06, message laissée</t>
  </si>
  <si>
    <t>mockup envoyé le 12/04 - VT le 29/06 - BAT extérieur envoyé le 12/07 - BAT extérieur validé - BAT intérieur envoyé le 12/07 - validé intérieur le 13/07 - FAB A FAIRE</t>
  </si>
  <si>
    <t>Second expé</t>
  </si>
  <si>
    <t>City Wash refab</t>
  </si>
  <si>
    <t>FAb num de telephone faite le 11/07</t>
  </si>
  <si>
    <t>Temporis Reims</t>
  </si>
  <si>
    <t>BAT envoyé le 05/07 - BAT envoyé le 06/07 - FAB A FAIRE</t>
  </si>
  <si>
    <t>GDS - Sable d'olonne</t>
  </si>
  <si>
    <t>BAT envoyé le 24/10 - BAT modifié le 02/11 - Modif le 10/11 - BAT Mairie envoyé le 14/11 - BAT Mairie refusé - Modif le 13/02 - Modif de Sophie-Amélie à faire mail du 14, attente retour franchisé pour autre modif, relance le 20/02 - Modif le 22/02 - Modif envoyé le 23/02 - Modif le 15/03 - Modif le 21/03 - Modif le 22/03 - Encore modif le 22/03 - BAT Mairie envoyé le 27/03 - attente retour mairie - Retour mairie le 12/04 - Nouveau BAT x2 le 12/04 - Nouveau BAT le 02/05 - Nouveau BAT le 11/05 - Autre BAT le 11/05 - Attente retour mail du 15/05 à Sophie-Amélie - Relance le 25/05 - Nouveau BAT le 26/05 - Nouveau BAT mairie le 26/05 envoyé par mail</t>
  </si>
  <si>
    <t>BAT envoyé le 11/07</t>
  </si>
  <si>
    <t>MEGAN OPTIMIZER</t>
  </si>
  <si>
    <t>En attente fichiers graphique</t>
  </si>
  <si>
    <t>BIOBURGER BLCO</t>
  </si>
  <si>
    <t xml:space="preserve">AU BURON FROMAGERIE </t>
  </si>
  <si>
    <t>FAB A FAIR</t>
  </si>
  <si>
    <t>Mr Enseignes - LES2V</t>
  </si>
  <si>
    <t>demander infos à Marius sur les cotes</t>
  </si>
  <si>
    <t>ALBE_PESSINA_CONSEIL_IMMOBILIER</t>
  </si>
  <si>
    <t>BAT interne envoyé - V1 client le 07/07 - V2 le 10/07</t>
  </si>
  <si>
    <t>Double X Styles</t>
  </si>
  <si>
    <t>V1 le 10/07 - V2 le 10/07</t>
  </si>
  <si>
    <t>Xefi - 308</t>
  </si>
  <si>
    <t>9 Véhicules par VIN</t>
  </si>
  <si>
    <t>Elsa</t>
  </si>
  <si>
    <t xml:space="preserve">Etiquettes </t>
  </si>
  <si>
    <t>Blue Skin Care</t>
  </si>
  <si>
    <t>Gi Group - Lettres relief</t>
  </si>
  <si>
    <t>Siege - V1 le 06/07</t>
  </si>
  <si>
    <t>Brenntag Toul Adhésifs</t>
  </si>
  <si>
    <t>PROEBO GRANDJEAN</t>
  </si>
  <si>
    <t>attente fichiers graphiques - BAT envoyé le 06/07 - FAB A FAIRE</t>
  </si>
  <si>
    <t>PROEBO OTTMARSHEIM</t>
  </si>
  <si>
    <t>VT envoyé le 26/05 - retour de la VT le 12/06 - attente fichiers proebo - prévoir contraintes techniques dans le BAT (voir mails) - BAT envoyé le 22/06 - BAT envoyé le 29/06 - FAB A FAIRE</t>
  </si>
  <si>
    <t>Mr Enseignes - Parenthese</t>
  </si>
  <si>
    <t>Mr Enseignes - Relais 113</t>
  </si>
  <si>
    <t>V1 le 06/07</t>
  </si>
  <si>
    <t>Maison de retraite - EHPAD</t>
  </si>
  <si>
    <t>BAT envoyé le 21/03 - relancé le 27/03 - appeler la cliente - BAT V5 logo envoyé le 06/04 - relancé le 17/04 - relancé le 24/04</t>
  </si>
  <si>
    <t>INEA Services</t>
  </si>
  <si>
    <t>SQ Rouen en 2021 - demande de devis sur actimat le 28/06</t>
  </si>
  <si>
    <t>Redhood PVC</t>
  </si>
  <si>
    <t>BAT interne attente validation du client via antoine - fab a faire</t>
  </si>
  <si>
    <t>Point S Villefranche de Lauragais</t>
  </si>
  <si>
    <t>BAT envoyé le 22/06 - BAT envoyé le 28/06 - BAT envoyé le 28/06 - validé - BAT envoyé à l'adhérent le 28/06 - relancé le 03/07 - FAB A FAIRE</t>
  </si>
  <si>
    <t>Fondation INFA</t>
  </si>
  <si>
    <t>V1 le 05/07 - V2 le 06/07</t>
  </si>
  <si>
    <t>Mr Enseigne - Jardin de Babylone</t>
  </si>
  <si>
    <t>VelyVélo</t>
  </si>
  <si>
    <t>BAT mairie envoyé le 24/02 - Faire point avec le commercial</t>
  </si>
  <si>
    <t>Centre des maladies</t>
  </si>
  <si>
    <t>BAT VT envoyé le 29/06 - Demande information client le 29/06 - V1 le 04/07 - V2 le 05/07</t>
  </si>
  <si>
    <t>Abalone</t>
  </si>
  <si>
    <t>BAT VT envoyé le 23/06 - V1 le 05/07</t>
  </si>
  <si>
    <t>GEDIMAT LABENNE ROUGIER</t>
  </si>
  <si>
    <t>BAT envoyé le 05/07 - FAB A FAIRE</t>
  </si>
  <si>
    <t>Brenntag Montville</t>
  </si>
  <si>
    <t>Montville adhésifs</t>
  </si>
  <si>
    <t>Proebo Pharmacie de l'avenue</t>
  </si>
  <si>
    <t xml:space="preserve">BAT envoyé le 04/07 </t>
  </si>
  <si>
    <t>Temporis Montpellier Est Réinter</t>
  </si>
  <si>
    <t>FB Multiservices</t>
  </si>
  <si>
    <t>BAT Mairie le 11/05 - Ok mairie le 04/07</t>
  </si>
  <si>
    <t>Le Maryland</t>
  </si>
  <si>
    <t>V1 envoyé le 29/06 - V2 le 03/07 - FAB A FAIRE</t>
  </si>
  <si>
    <t>Viva Services - Berck sur Mer</t>
  </si>
  <si>
    <t>BAT envoyé le 20/06 - FAB provisoire et VT lancé le 20/06 - V2 le 21/06 - V3 le 21/06 - Validé par le franchiseur le 21/06 - V4 le 03/07 (Attente visuels backlight et info kit horaire) - FAB A FAIRE</t>
  </si>
  <si>
    <t>Thyssenkrupp</t>
  </si>
  <si>
    <t>V1 envoyé le 26/06 - V2 envoyé le 26/06 - V3 envoyé le 28/06 - V4 le 28/06</t>
  </si>
  <si>
    <t>GEDIMAT MCF YZEURE</t>
  </si>
  <si>
    <t>BAT envoyé le 03/07 - FAB A FAIRE</t>
  </si>
  <si>
    <t>GEDIMAT VILVERT MATERIAUX / CASEO VILVERT MENUISERIE</t>
  </si>
  <si>
    <t>BAT envoyé le 03/07 - BAT envoyé le 03/07 - FAB A FAIRE</t>
  </si>
  <si>
    <t>NFC Store</t>
  </si>
  <si>
    <t>BAT envoyé le 26/06 - BAT envoyé le 28/06 - FAB A FAIRE</t>
  </si>
  <si>
    <t>LADy SUSHI GYERES</t>
  </si>
  <si>
    <t>logo étiquettes</t>
  </si>
  <si>
    <t>Dentinov - Saint-denis</t>
  </si>
  <si>
    <t>Lancement en fab de deux adhésifs tests</t>
  </si>
  <si>
    <t>Proebo St Denis</t>
  </si>
  <si>
    <t>VT envoyée le 28/03 - BAT envoyé le 23/06 - FAB A FAIRE</t>
  </si>
  <si>
    <t>Antea</t>
  </si>
  <si>
    <t>V1 le 29/06 - V2 le 29/06</t>
  </si>
  <si>
    <t>2E Vehicule</t>
  </si>
  <si>
    <t>RIA FR60933</t>
  </si>
  <si>
    <t>BAT envoyé le 26/04 - FAB A FAIRE</t>
  </si>
  <si>
    <t xml:space="preserve">RIA FR11387 </t>
  </si>
  <si>
    <t>Point S Foucherans</t>
  </si>
  <si>
    <t>BAT envoyé à la franchise le 13/06 - validé - envoyé au franchisé le 13/06 - relancé le 20/06 - FAB A FAIRE</t>
  </si>
  <si>
    <t>RIA FR10789</t>
  </si>
  <si>
    <t>RIA13366</t>
  </si>
  <si>
    <t>BAT provisoire envoyé le 10/05 - en stand by jusqu'à réponse du bailleur</t>
  </si>
  <si>
    <t>GDS FACILISWISS</t>
  </si>
  <si>
    <t>BAT envoyé à Sophie Amelie le 16/06 - BAT v2 envoyé le 22/06 -  FAB A FAIRE</t>
  </si>
  <si>
    <t>REPRISE DOSSIER Carole - BAT envoyé - BAT mairie envoyé - Avis favorable mairie - Travaux pas commencé, pas de lancement en production - Demande du client le 09/03 - FAB FAITE POUR L'EXTERIEUR - COMMANDE LIGHTBOX le 10/05 - BAT intérieur envoyé le 27/06 - VALIDE - FAB faite pour l'extérieur</t>
  </si>
  <si>
    <t>Concept Signalétique - Stas</t>
  </si>
  <si>
    <t>V1 envoyé le 28/06</t>
  </si>
  <si>
    <t>Concept Signalétique - Maxi Bazar</t>
  </si>
  <si>
    <t>V1 envoyé le 27/06 - V2 le 27/06</t>
  </si>
  <si>
    <t>Tazita - Sponsoring</t>
  </si>
  <si>
    <t>BAT envoyé le 23/06</t>
  </si>
  <si>
    <t>Auto Ecole Leclerc</t>
  </si>
  <si>
    <t>BAT envoyé le 21/06 - V2 le 22/06 - V3 le 23/06 - V4 le 26/06</t>
  </si>
  <si>
    <t>NEER SERVICES</t>
  </si>
  <si>
    <t>BAT v3 à envoyer - maquettes supp envoyées le 19/06</t>
  </si>
  <si>
    <t>BAGELSTEIN SENS</t>
  </si>
  <si>
    <t>RIA FR7996</t>
  </si>
  <si>
    <t>BAT envoyé le 26/04</t>
  </si>
  <si>
    <t>Lyon utilitaire</t>
  </si>
  <si>
    <t>2T3M - Mail au client demande d'info le 22/06 - V1 le 22/06</t>
  </si>
  <si>
    <t>Cette famille</t>
  </si>
  <si>
    <t>V1 envoyé le 22/06 - V2 le 22/06</t>
  </si>
  <si>
    <t>BAT Mairie V2 le 27/04</t>
  </si>
  <si>
    <t>B-NOVA</t>
  </si>
  <si>
    <t>BAT envoyé le 19/06 - FAB A FAIRE - en attente de l'adhésif dichroique</t>
  </si>
  <si>
    <t>Temporis Toul</t>
  </si>
  <si>
    <t>BAT envoyé le 26/06 - FAB A FAIRE</t>
  </si>
  <si>
    <t>Kiriat</t>
  </si>
  <si>
    <t>Xefi - BRAM</t>
  </si>
  <si>
    <t>stickers (fp)</t>
  </si>
  <si>
    <t>City Wash Lafayette réinter</t>
  </si>
  <si>
    <t>Rtone</t>
  </si>
  <si>
    <t>BAT envoyé le 12/06 - relancé le 19/06 - FAB A FAIRE après avoir le bon logo</t>
  </si>
  <si>
    <t>Yoann Rassed</t>
  </si>
  <si>
    <t>FAB de deux panneaux en découpe</t>
  </si>
  <si>
    <t>BAT envoyé le 17/04 - relancé le 24/04 (en vacances jusqu'au 03/05) - relancé le 03/05 - FAB A FAIRE - attente accompte - BAT envoyé pour check le 22/06</t>
  </si>
  <si>
    <t>Generation Optique réinter</t>
  </si>
  <si>
    <t>Caisson de clim + cache store</t>
  </si>
  <si>
    <t>Echantillons</t>
  </si>
  <si>
    <t>RIA FR10129</t>
  </si>
  <si>
    <t>REPRISE DOSSIER Carole - BAT envoyé - Attente validation pour devis - mail michel pour QUID</t>
  </si>
  <si>
    <t>Pyramid Conseils</t>
  </si>
  <si>
    <t>BAT V1 le 21/06 - V2 le 22/06 - V3 le 22/06</t>
  </si>
  <si>
    <t xml:space="preserve"> Pharmacie Guedj</t>
  </si>
  <si>
    <t>Adhésif Cap Vaise - BAT envoyé le 15/06</t>
  </si>
  <si>
    <t>Kapitocafe - BAT envoyé le 21/06</t>
  </si>
  <si>
    <t>Concept Auto Lyon</t>
  </si>
  <si>
    <t>Concept Lease</t>
  </si>
  <si>
    <t>Xefi Vitrolles</t>
  </si>
  <si>
    <t>BAT envoyé le 21/06</t>
  </si>
  <si>
    <t>KparK Lille</t>
  </si>
  <si>
    <t xml:space="preserve"> - attente dossier mairie - besoin de plus de mesures -  fab a faire</t>
  </si>
  <si>
    <t>Redhood PVC + bois</t>
  </si>
  <si>
    <t>BAT envoyé le 16/06 - BAT envoyé le 20/06 - FAB A FAIRE</t>
  </si>
  <si>
    <t>Viva Services Nice</t>
  </si>
  <si>
    <t>BAT VT envoyé le 17/05 - BAT le 09/06 - Porte affiche commandé le 14/06 - BAT V4 le 14/06 - Relance le 14/06</t>
  </si>
  <si>
    <t>Collège Mère Teresa</t>
  </si>
  <si>
    <t>BAT envoyé le 30/05 - V2 le 02/06 - Relance le 06/06 - Nouveau BAT le 07/06 - Autre BAT le 07/06</t>
  </si>
  <si>
    <t>Pano Beauvais - BAT envoyé le19/06</t>
  </si>
  <si>
    <t>City Com - BAT envoyé le 19/06</t>
  </si>
  <si>
    <t>RIA FR13573</t>
  </si>
  <si>
    <t>DOUM</t>
  </si>
  <si>
    <t>Création charte vitrine et Agence de Lyon 6 - BAT envoyé à Michael le 25/05 - Envoie client le 25/05 - BAT 2 envoyé le 29/05 - V3 le 31/05 - V4 le 07/06 - V6 le 08/06 - V7 le 12/06 - V8 le 12/06 - V9 le 13/06 - V10 le 14/06 - V11 le 14/06 - V12 le 15/06</t>
  </si>
  <si>
    <t>Temporis Dieppe</t>
  </si>
  <si>
    <t>GEDIMAT Docks Clamart</t>
  </si>
  <si>
    <t>BAT envoyé le 20/06</t>
  </si>
  <si>
    <t>Point S Rochefort</t>
  </si>
  <si>
    <t>BAT envoyé à la franchise le 13/06 - BAT envoyé à la franchise le 20/06 - validé - envoyé au franchisé le 20/06 - FAB A FAIRE</t>
  </si>
  <si>
    <t>City Wash dibond supplémentaire</t>
  </si>
  <si>
    <t>dimensions du rebord de la colonne attente retour 0668831138 - rappeler plus tard</t>
  </si>
  <si>
    <t>RIA FR13591</t>
  </si>
  <si>
    <t>Capsa Réinter</t>
  </si>
  <si>
    <t>BAT envoyé le 20/06 - FAB A FAIRE</t>
  </si>
  <si>
    <t>Adhésif à lancer en FAB</t>
  </si>
  <si>
    <t>SQ Lyon 8</t>
  </si>
  <si>
    <t>BAT envoyé le 13/06 - BAT envoyé le 16/06 - BAT envoyé le 19/06 - FAB A FAIRE</t>
  </si>
  <si>
    <t xml:space="preserve">BAGELSTEIN TROYES </t>
  </si>
  <si>
    <t>BAT envoyé le 14/06</t>
  </si>
  <si>
    <t>Domaine de Kervennec</t>
  </si>
  <si>
    <t>V1 le 14/06 - V2 le 14/06 - V3 le 15/06 - V4 le 15/06</t>
  </si>
  <si>
    <t xml:space="preserve">ZAAP THAI </t>
  </si>
  <si>
    <t>EURONET FRRD0459</t>
  </si>
  <si>
    <t>Proebo Macon</t>
  </si>
  <si>
    <t>Pas encore prêt du côté de Proebo - échantillon lancé en fab le 02/05 - attente fichiers client - relancé le 31/05 - BAT envoyé le 14/06 - FAB A FAIRE</t>
  </si>
  <si>
    <t>GLP - BAT envoyé le 15/06</t>
  </si>
  <si>
    <t xml:space="preserve">PROFIRE </t>
  </si>
  <si>
    <t xml:space="preserve">BAT envoyé </t>
  </si>
  <si>
    <t xml:space="preserve">Mr Enseignes </t>
  </si>
  <si>
    <t>Roberto Teixeira</t>
  </si>
  <si>
    <t>Profire adhésif</t>
  </si>
  <si>
    <t>MR ENSEIGNES</t>
  </si>
  <si>
    <t>MR ENSEIGNES - GFC Création - SMB AUTOS - Envoyé le 14/06</t>
  </si>
  <si>
    <t xml:space="preserve">Xefi </t>
  </si>
  <si>
    <t>208 noires x3 - BAT envoyé le 14/06</t>
  </si>
  <si>
    <t>Tazita - Rivery</t>
  </si>
  <si>
    <t>BAT envoyé le 06/06 - V2 le 07/06 - V3 le 08/06 - V4 le 12/06 - V5 le 12/06 - V6 le 13/06 - V7 le 13/06 - V8 le 13/06</t>
  </si>
  <si>
    <t>Capsa</t>
  </si>
  <si>
    <t>BAT envoyé le 13/06 - BAT 2 envoyé le 13/06 - BAT 3 envoyé le 14/06 - validé mais attente retour arrivée électrique</t>
  </si>
  <si>
    <t xml:space="preserve">[B2M38] FLOCAGE VEHICULE </t>
  </si>
  <si>
    <t>Point S Folschviller</t>
  </si>
  <si>
    <t>envoyé à la franchise le 13/06 - validé - envoyé au franchisé le 13/06 - validé - FAB A FAIRE</t>
  </si>
  <si>
    <t xml:space="preserve">Euronet - EDFR0102 - Beziers </t>
  </si>
  <si>
    <t>BAT envoyé le 05/06</t>
  </si>
  <si>
    <t xml:space="preserve">Emilie Cross fit nice </t>
  </si>
  <si>
    <t>Kit Horaire</t>
  </si>
  <si>
    <t>Viva Services</t>
  </si>
  <si>
    <t>La Seyne sur Mer - BAT VT et BAT envoyé le 06/06 - BAT V2 le 07/06 - V3 le 08/06 - Relance le 09/06 - FAB A FAIRE Après validation franchisé - Vérifier avec VT reçu le 09/06 les dimensions</t>
  </si>
  <si>
    <t>BAT envoyé le 13/06 - 1er Inter OK</t>
  </si>
  <si>
    <t>Carbon Works</t>
  </si>
  <si>
    <t>Point S - Sorgues</t>
  </si>
  <si>
    <t>BAT envoyé à la franchise le 07/06 - validé - envoyé au franchisé le 07/06 - FAB A FAIRE</t>
  </si>
  <si>
    <t>EMALEC - H&amp;M Tours</t>
  </si>
  <si>
    <t>BAT VT envoyé le 07/02 -  ST envoyé - BAT ENVOYE LE 08/03 - Point TRANSFO avecOrianne</t>
  </si>
  <si>
    <t xml:space="preserve">Profire </t>
  </si>
  <si>
    <t>4 BAT réalisés, la FAB du 5 est déja faite, voir avec l'atelier si ok</t>
  </si>
  <si>
    <t>PISCINE N'CO</t>
  </si>
  <si>
    <t>BAT VT FAIT (date), MAQUETTE PRETE, orianne à relancer</t>
  </si>
  <si>
    <t>VIQI</t>
  </si>
  <si>
    <t>BAT envoyé le 12/06 - FAB A FAIRE</t>
  </si>
  <si>
    <t>FAB de l'ancien à refaire</t>
  </si>
  <si>
    <t>SARL MLZE</t>
  </si>
  <si>
    <t>BAT VT envoyé le 08/06</t>
  </si>
  <si>
    <t>Point S Arpajon</t>
  </si>
  <si>
    <t>BAT envoyé à la franchise le 08/06 - BAT v2 envoyé le 08/06 - BAT V3 envoyé le 08/06 - BAT envoyé au franchisé le 08/06 - validé par le franchisé le 09/06  FAB A FAIRE</t>
  </si>
  <si>
    <t xml:space="preserve">EMMILIE AIX Nailloux </t>
  </si>
  <si>
    <t>BAT prov et devanture envoyé à Eliz le 12/04 - BAT v3 envyé le 01/06</t>
  </si>
  <si>
    <t>Lady Sushi - Gieres</t>
  </si>
  <si>
    <t>BAT envoyé le 17/05 -  a relancer</t>
  </si>
  <si>
    <t>City Wash Laverie Lafayette</t>
  </si>
  <si>
    <t>VT envoyé le 06/04 - BAT envoyé le 17/04 - BAT modifié envoyé le 19/04 - FAB extérieur lancée le 20/04 / INTERIEUR éléments demandés le 26/04 - préparer un pré-BAT intérieur en attendant détails + fiche récap intérieure - BAT intérieur envoyé le 25/05 - validé le 31/05 - mais tjrs en attente des dimensions pour les lettres relief - relancé le 06/06 - FAB A FAIRE</t>
  </si>
  <si>
    <t>GEDIMAT IMBERT DEHESTRU</t>
  </si>
  <si>
    <t>problème typo attente R. - BAT envoyé le 08/06 - FAB A FAIRE</t>
  </si>
  <si>
    <t>Symatèse</t>
  </si>
  <si>
    <t>BAT Mairie envoyé le 03/04 + BAT Généraliste le 07/04 - V2 le 12/04 - V3 le 17/04 - V4 le 02/05 - FAB en cours - Manque les deux plans de pose + adhésif lune N1 - Attente dim atelier - Refab plan de pose suivante nouvelle maquette - BAT envoyé le 08/06</t>
  </si>
  <si>
    <t>Redhood TS2</t>
  </si>
  <si>
    <t>BAT envoyé le 07/06 - validé mais tjrs attente fichiers PVC - FAB pour l'adhésif à lancer en premier</t>
  </si>
  <si>
    <t xml:space="preserve">MR Enseignes </t>
  </si>
  <si>
    <t>Ardesca - Boucher Mounier - BAT envoyé le 06/06</t>
  </si>
  <si>
    <t>Point S - Warning Thones</t>
  </si>
  <si>
    <t>BAT envoyé le 19/04 - validé franchise - envoyé à l'adhérent le 19/04 - en attente de virement - la franchise continue de relancer l'adhérent - validation adhérent le 05/06 - FAB A FAIRE</t>
  </si>
  <si>
    <t>VM Matériaux Bouguenais</t>
  </si>
  <si>
    <t>BAT envoyé le 06/06 - BAT envoyé le 07/06 - BAT envoyé le 07/06 - FAB A FAIRE</t>
  </si>
  <si>
    <t>Al Studio</t>
  </si>
  <si>
    <t>SAS Cebron</t>
  </si>
  <si>
    <t>BAT envoyé le 13/04 (V1) - BAT V2 envoyé le 25/04 - 1eres modifs à faire - attente modifs du mari - BAT envoyé en attendant le 03/05 - BAT envoyé le 10/05 - BAT envoyé le 11/05 - BAT envoyé le 25/05 - modif prix - BAT envoyé le 25/05 - ST à faire - ST lancée le 30/05 - expédition chez la cliente prévue le 07/06</t>
  </si>
  <si>
    <t>Avnir Aviation</t>
  </si>
  <si>
    <t>X7 Véhicule par VIN - 208 Noir - BAT envoyé le 07/06</t>
  </si>
  <si>
    <t>ADHESIF PROVISOIRE</t>
  </si>
  <si>
    <t>COMAFRANC Luxeuil</t>
  </si>
  <si>
    <t>BAT envoyé le 05/06 - FAB A FAIRE</t>
  </si>
  <si>
    <t>PROLIANS Auxerre</t>
  </si>
  <si>
    <t>PROLIANS Etampes</t>
  </si>
  <si>
    <t>SQ Nancy</t>
  </si>
  <si>
    <t xml:space="preserve">REPRISE DOSSIER Carole - BAT envoyé - BAT mairie envoyé - Attente retour mairie pour FAB - intérieur à faire -  BAT intérieur envoyé le 04/04 - FAB intérieur envoyé le 12/04 + LIGHTBOX COMMANDEE LE 17/04 - FAB A FAIRE exterieur - </t>
  </si>
  <si>
    <t>PROLIANS Bonneuil Sur Marne</t>
  </si>
  <si>
    <t>Point S Gignac</t>
  </si>
  <si>
    <t>BAT envoyé à la franchise le 02/06 - validé - envoyé à l'adhérent le 02/06 - FAB A FAIRE</t>
  </si>
  <si>
    <t>CMD Réinter</t>
  </si>
  <si>
    <t>urgent</t>
  </si>
  <si>
    <t>Temporis Haguenau réimpression adhésifs</t>
  </si>
  <si>
    <t>URGENT</t>
  </si>
  <si>
    <t>Small Yoga Pilates</t>
  </si>
  <si>
    <t>Refaire éléments tarifs vitrines - BAT envoyé le 02/06</t>
  </si>
  <si>
    <t>Tazita - St Maur</t>
  </si>
  <si>
    <t>Dossier mairie à préparer</t>
  </si>
  <si>
    <t>Lhoest Clinic</t>
  </si>
  <si>
    <t>logo demandé le 26/04 - BAT envoyé le 27/4 - BAT modifs envoyé le 28/04 - BAT modifs envoyé le 02/05 - FAB ok - attente info Antoine - Commande ST à faire en 250mm de hauteur - commande ST le 17/05</t>
  </si>
  <si>
    <t xml:space="preserve">Les Zouzous Lyonnais </t>
  </si>
  <si>
    <t>Roll Up - Lyon 8 - Ancier Kakémonos envoyé le 29/05 - Attente retour</t>
  </si>
  <si>
    <t>BIO BURGER VICTOIRE</t>
  </si>
  <si>
    <t>BAT envoyé le 30/05, BAT v3 envoyé le 31/05</t>
  </si>
  <si>
    <t>Adhésifs pour l'atelier</t>
  </si>
  <si>
    <t>Point S - Bourgueil 37</t>
  </si>
  <si>
    <t>BAT envoyé le 29/12 - Modif envoyé le 02/01 - Franchisée à dit de ne pas relancer</t>
  </si>
  <si>
    <t>In Rosa</t>
  </si>
  <si>
    <t>Attente des nouvelles du client</t>
  </si>
  <si>
    <t>VT envoyée le 04/05 - attente retour</t>
  </si>
  <si>
    <t>Point S Sorgues</t>
  </si>
  <si>
    <t>VT envoyé le 09/05 - attente retour</t>
  </si>
  <si>
    <t>Point S Pernes-les-Fontaines</t>
  </si>
  <si>
    <t>VT envoyée le 10/05 - attente retour</t>
  </si>
  <si>
    <t>CHAMONIX BAT BOIS</t>
  </si>
  <si>
    <t>Valobat</t>
  </si>
  <si>
    <t>BAT envoyé le 06/04 - premiers fichiers envoyés le 07/04 - fichiers sources modifiés envoyés le 11/04 - fab test lancée le 12/04</t>
  </si>
  <si>
    <t>PROLIANS SMG (VALOBAT)</t>
  </si>
  <si>
    <t>BAT envoyé le 31/05 FAB A FAIRE</t>
  </si>
  <si>
    <t>Point S Chateauneuf les Martigues</t>
  </si>
  <si>
    <t xml:space="preserve">BAT envoyé le 15/05 à la franchise - envoyé au franchisé le 15/05 - validé par le franchisé - attente accompte + FAB A FAIRE </t>
  </si>
  <si>
    <t>Goy Pneus - Point S Breteuil</t>
  </si>
  <si>
    <t>BAT envoyé à la franchise (C. Tetard) le 30/05 - validé - BAT envoyé à l'adhérent le 30/05 - FAB A FAIRE</t>
  </si>
  <si>
    <t>Alain Garrault</t>
  </si>
  <si>
    <t>SQ Muret</t>
  </si>
  <si>
    <t>BAT envoyé le 26/05 - FAB A FAIRE - mais attente informations</t>
  </si>
  <si>
    <t xml:space="preserve">MR ENSEIGNES </t>
  </si>
  <si>
    <t>Ardesca Print - Le Cab</t>
  </si>
  <si>
    <t>Generation optique</t>
  </si>
  <si>
    <t>BAT envoyé le 27/03 + relancé le 07/04 - BAT V2 envoyé le 17/04 - VT envoyée le 24/04 - BAT envoyé le 03/05 - relancé le 11/05 - relancé le 22/05 - BAT envoyé le 25/05 - validé - FAB A FAIRE</t>
  </si>
  <si>
    <t xml:space="preserve"> ETUDE NOTARIALE SAIN-BEL</t>
  </si>
  <si>
    <t>BAT envoyé le 23/05 - Relance le 30/05 par mail</t>
  </si>
  <si>
    <t>Temporis St Jean D'Angely Enseignes</t>
  </si>
  <si>
    <t>BAT envoyé le 30/05 - FAB A FAIRE</t>
  </si>
  <si>
    <t>La Fermeture Luis Lopes Fernandes</t>
  </si>
  <si>
    <t>serveur LAF - infos véhicule demandées le 26/05 - infos demandés au concessionaire le 30/05 - BAT envoyé le 30/05 - FAB A FAIRe</t>
  </si>
  <si>
    <t>Anacours Ferney VOltaire</t>
  </si>
  <si>
    <t>Refab des enseignes suivant nouvelles VT</t>
  </si>
  <si>
    <t>SAV</t>
  </si>
  <si>
    <t>Dossier bloqué sur FP</t>
  </si>
  <si>
    <t>RIA FR10363</t>
  </si>
  <si>
    <t>PISCINE 95</t>
  </si>
  <si>
    <t>BAT envoyé à Amanda le 25/05; FAB A FAIRE</t>
  </si>
  <si>
    <t>Work and Progress</t>
  </si>
  <si>
    <t xml:space="preserve">Page et modif - domiciliation </t>
  </si>
  <si>
    <t xml:space="preserve">Redhood </t>
  </si>
  <si>
    <t>Refab 3 éléments</t>
  </si>
  <si>
    <t>Jardin d'Eden</t>
  </si>
  <si>
    <t>Refab</t>
  </si>
  <si>
    <t xml:space="preserve">Mister Enseigne </t>
  </si>
  <si>
    <t>OgrafX</t>
  </si>
  <si>
    <t>Paris Ventoux</t>
  </si>
  <si>
    <t>mockup drapeau envoyé le 16/05 - mockup envoyé le 17/05 - BAT envoyé le 22/05 - nouvelle photo + nouvelle typo - V2 envoyé le 23/05 - V3 envoyé le 23/05 - V4 envoyé le 25/05 - V5 envoyé le 25/05 - FAB A FAIRE</t>
  </si>
  <si>
    <t>CCFI ARA</t>
  </si>
  <si>
    <t>Validé le 15/05 - ST lancée le 15/05 - réception prévue le 22/05</t>
  </si>
  <si>
    <t>Camif Habitat - Arnas</t>
  </si>
  <si>
    <t>BAT VT et BAT le 11/05 - BAT refait suite VT envoyé le 24/05</t>
  </si>
  <si>
    <t>PROLIANS Guermont Weber Metz (valobat)</t>
  </si>
  <si>
    <t>BAT envoyé le 25/05 fab a faire</t>
  </si>
  <si>
    <t>Nexeren</t>
  </si>
  <si>
    <t>Refab de certains éléments en blanc</t>
  </si>
  <si>
    <t xml:space="preserve">Tazita </t>
  </si>
  <si>
    <t>Plaquette 2023 + Créa Totem - Envoyé le 09/05 - Modif totem envoyé le 17/05</t>
  </si>
  <si>
    <t>GDS Annecy</t>
  </si>
  <si>
    <t>Visuel dossier mairie OK par David - Attente validation de David pour le Dossier mairie avant BAT - A relancer Le franchisé a t-il eu le local ? - Relance le 16/02</t>
  </si>
  <si>
    <t>Préparation poste David</t>
  </si>
  <si>
    <t>Mail : OK | Discord : Ok |Signature mail : Ok | Access Serveur : Demande faite le 22/05 | PC : Ok</t>
  </si>
  <si>
    <t>Hopla</t>
  </si>
  <si>
    <t>BAT VT le 20/04 - BAT le 17/05 - V2 le 22/05 - Ok attente autre devis si prod</t>
  </si>
  <si>
    <t>POINT S MACON</t>
  </si>
  <si>
    <t>BAT envoyé le 17/05 - validé par la franchise le 22/05 - BAT envoyé au franchisé le 22/05 - validé - FAB A FAIRE</t>
  </si>
  <si>
    <t>SAVE - SAS MG COM</t>
  </si>
  <si>
    <t>Deux agences - Lyon 6 et Caluire</t>
  </si>
  <si>
    <t>Drmtec</t>
  </si>
  <si>
    <t>Client appelé pour brief le 16/05 - BAT le 17/05</t>
  </si>
  <si>
    <t>Redhood Angouleme Partie 1</t>
  </si>
  <si>
    <t>BAT envoyé le 23/05 - V2 envoyé le 23/05 - V3 envoyé le 23/05 - validé - Fab lancée le 24/05 - ST lancée le 24/05 - départ annoncé le 26/05</t>
  </si>
  <si>
    <t>Dentinov - Villeurbanne</t>
  </si>
  <si>
    <t>FAB des éléments portes</t>
  </si>
  <si>
    <t xml:space="preserve">KREATURE HOPITAUX LEMANS </t>
  </si>
  <si>
    <t>Davia</t>
  </si>
  <si>
    <t>Nouveau dossier sur FP</t>
  </si>
  <si>
    <t>LADY SUSHI MONTBONNO &amp; CROLLES</t>
  </si>
  <si>
    <t>BAT en attente fichier actualisé</t>
  </si>
  <si>
    <t xml:space="preserve">RIA FR10129 </t>
  </si>
  <si>
    <t>Dezigner Numérique - Lettres en relief rétroéclairée sur entretoises</t>
  </si>
  <si>
    <t>CMPM ENNERY Reintervention (Valobat)</t>
  </si>
  <si>
    <t>BAT envoyé le 22/05 - FAB A FAIRE</t>
  </si>
  <si>
    <t>Prolians Prevot Smeta Saint Didier (VALOBAT)</t>
  </si>
  <si>
    <t>Tecfit</t>
  </si>
  <si>
    <t>BAT envoyé le 02/05 - V2 le 15/05 - Relance mail le 22/05</t>
  </si>
  <si>
    <t>Ecograv réinter</t>
  </si>
  <si>
    <t>Panneau flux "Laine de roche" + 18 bandes magnétiques - BAT envoyé le 22/05 - FAB A FAIRE</t>
  </si>
  <si>
    <t xml:space="preserve">AU FIL DES MARQUES </t>
  </si>
  <si>
    <t>BAT envoyé le 20/12 -  BAT v2 envoyé le 28/04</t>
  </si>
  <si>
    <t>Temporis St Jean d'Angely</t>
  </si>
  <si>
    <t>dimensions vitrines demandées le 17/05 - BAT envoyé le 19/05 - FAB A FAIRE</t>
  </si>
  <si>
    <t>CMD Lyon</t>
  </si>
  <si>
    <t>BAT envoyé le 24/04 _ BAT envoyé le 02/05 - BAT envoyé le 09/05 - BAT envoyé le 22/05 - FAB A FAIRE</t>
  </si>
  <si>
    <t>Lucky VIP</t>
  </si>
  <si>
    <t>BAT envoyé le 17/05 - Validé par le franchiseur le 17/05 - Envoie au franchisé le 17/05</t>
  </si>
  <si>
    <t>YOGURT FACTORY PARIS 13</t>
  </si>
  <si>
    <t>Mr Enseigne - Le Flambé</t>
  </si>
  <si>
    <t>BAT le 17/05</t>
  </si>
  <si>
    <t>Gi Group - Abbeville</t>
  </si>
  <si>
    <t>Dossier Mairie</t>
  </si>
  <si>
    <t>Biens Sûrs réintervention</t>
  </si>
  <si>
    <t>BAT envoyé le 11/05 - FAB A FAIRE</t>
  </si>
  <si>
    <t xml:space="preserve">HYDRO TECHNAL PLEXI </t>
  </si>
  <si>
    <t>BAT A FAIRE, VAT V2 envoyé le 12/05 FAB A FAIRE</t>
  </si>
  <si>
    <t>BAT envoyé le 17/05</t>
  </si>
  <si>
    <t>Thomyris</t>
  </si>
  <si>
    <t>BAT envoyé le 28/02 - Relance le 16/05 - Annulé par le client</t>
  </si>
  <si>
    <t>[HYDRO BUILDING SYSTEMS (Technal)] Communication MDL Narbonne</t>
  </si>
  <si>
    <t>FAB EN COURS, à suivre</t>
  </si>
  <si>
    <t>Evolis - Quai Gailleton</t>
  </si>
  <si>
    <t>Proebo - Pharmacie du Progres</t>
  </si>
  <si>
    <t>Vt envoyée le 12/04 - fichiers graphiques demandés le 09/05 - BAT interne envoyé le 12/05 - BAT envoyé le 16/05 - FAB A FAIRE</t>
  </si>
  <si>
    <t>Cookers</t>
  </si>
  <si>
    <t>Maintenance crash site web</t>
  </si>
  <si>
    <t>Piscine Ibiza Siege</t>
  </si>
  <si>
    <t>Adhésif à refaire - Côté projet - BAT le 16/05</t>
  </si>
  <si>
    <t xml:space="preserve">K par K Wambrechies </t>
  </si>
  <si>
    <t>BAT envoyé le 17/04 - BAT validé le 10/05 - FAB A FAIRE</t>
  </si>
  <si>
    <t>Anacours</t>
  </si>
  <si>
    <t>Modif site à faire - Modif plaquette OK</t>
  </si>
  <si>
    <t>ICE Ingénieurs</t>
  </si>
  <si>
    <t>BAT envoyé le 16/05</t>
  </si>
  <si>
    <t>K par K Frejus</t>
  </si>
  <si>
    <t>BAT envoyé le 14/04 - REVOIR LA PROPOSITION - FAB A FAIRE</t>
  </si>
  <si>
    <t>Mercure</t>
  </si>
  <si>
    <t>Chateau Chartrons - BAT le 10/05 - V2 le 15/05 - V3 le 16/05 - FAB A FAIRE</t>
  </si>
  <si>
    <t>Wanted Pizza</t>
  </si>
  <si>
    <t>BAT le 11/05 - V2 le 11/05 - V3 le 11/05 - V4 le 15/05 - FAB A FAIRE</t>
  </si>
  <si>
    <t>Tazita - Ernest</t>
  </si>
  <si>
    <t>Beaucoup de chose à faire, V1 à V5 envoyé le 12/05 - V6 à V9 envoyé le 15/05</t>
  </si>
  <si>
    <t>Gedimat Arthur Collet (VALOBAT)</t>
  </si>
  <si>
    <t>BAT envoyé le 15/05 - FAB A FAIRE</t>
  </si>
  <si>
    <t>Cokitchen</t>
  </si>
  <si>
    <t>Attente modifs</t>
  </si>
  <si>
    <r>
      <rPr>
        <rFont val="Comfortaa"/>
        <b/>
        <color theme="1"/>
      </rPr>
      <t>[WEB]</t>
    </r>
    <r>
      <rPr>
        <rFont val="Comfortaa"/>
        <color theme="1"/>
      </rPr>
      <t xml:space="preserve"> Netilav</t>
    </r>
  </si>
  <si>
    <t>Attente retour Jean-Louis quand produit rajouté</t>
  </si>
  <si>
    <t>POINT S - Gouvieux</t>
  </si>
  <si>
    <t>BAT envoyé le 09/12 - Relance le 15/03 - D'après Celia - Le franchisé ne donnera pas suite</t>
  </si>
  <si>
    <t>Evolis - Rue Racine</t>
  </si>
  <si>
    <t>BAT envoyé à Michael le 23/03</t>
  </si>
  <si>
    <t>Euronet - Grau du Roi</t>
  </si>
  <si>
    <t>Orianne relance le 20/10</t>
  </si>
  <si>
    <t>Dental Kare</t>
  </si>
  <si>
    <t>BAT le 04/05 - V2 le 11/05 - Validé le 11/05 - Demande nouvelle VT pour lancement en FAB</t>
  </si>
  <si>
    <t>Brenntag Véhicules St Herblain</t>
  </si>
  <si>
    <t>MD Wedding</t>
  </si>
  <si>
    <t>BAT V1 le 10/05 - V2 le 11/05</t>
  </si>
  <si>
    <t>RIA FR3573</t>
  </si>
  <si>
    <t>Hydram</t>
  </si>
  <si>
    <t>BAT le 10/05</t>
  </si>
  <si>
    <t>RIA FR61078</t>
  </si>
  <si>
    <t>BAT envoyé le02/05</t>
  </si>
  <si>
    <t>Family Plus  - Paris 15</t>
  </si>
  <si>
    <t>BAT le 10/05 - V2 - V3 - V4 le 11/05</t>
  </si>
  <si>
    <t>KIT HORAIRE I GRAPHICS PAIN</t>
  </si>
  <si>
    <t>STiD</t>
  </si>
  <si>
    <t>Nouveau dossier FP - BAT envoyé le 13/03 - FAB A FAIRE</t>
  </si>
  <si>
    <t>Store Lift - Genevillier</t>
  </si>
  <si>
    <t>PROLIANS Poitiers (VALOBAT)</t>
  </si>
  <si>
    <t>BAT envoyé le 10/05 - FAB A FAIRE</t>
  </si>
  <si>
    <t>DENIS MATERIAUX (Valobat)</t>
  </si>
  <si>
    <t>BAT envoyé le 02/05 - FAB A FAIRE</t>
  </si>
  <si>
    <t>20 plaques - 10 noirs / 10 blanches</t>
  </si>
  <si>
    <t>O My Sushi etiquettes</t>
  </si>
  <si>
    <t>FAB A FAIRE en attente info livraison pour Pixart</t>
  </si>
  <si>
    <t>RIA FR 13152</t>
  </si>
  <si>
    <t>BAT envoyé le 20/04</t>
  </si>
  <si>
    <t xml:space="preserve">AVM IDF </t>
  </si>
  <si>
    <t>ARG</t>
  </si>
  <si>
    <t>BAT envoyé le 09/05 - BAT modifs envoyé le 09/05 - FAB a FAIRE</t>
  </si>
  <si>
    <t>Café du Boulevard</t>
  </si>
  <si>
    <t>V1 le 24/04 - BAT V2 le 03/05 - V3 le 09/05</t>
  </si>
  <si>
    <t>RIA 12428</t>
  </si>
  <si>
    <t>Maquette Austral</t>
  </si>
  <si>
    <t>Tazita - Pouvoir d'achat</t>
  </si>
  <si>
    <t>V1 le 03/05 - V2 le 04/05</t>
  </si>
  <si>
    <t>Bruno Morreaux</t>
  </si>
  <si>
    <t>Adh. Anniv'</t>
  </si>
  <si>
    <t>BAT et BAT VT envoyé le 18/04 - V2 le 21/04</t>
  </si>
  <si>
    <t>O2 - Brignais</t>
  </si>
  <si>
    <t>FP - Attente VT Myriam - BAT le 20/04 - V2 le 04/05</t>
  </si>
  <si>
    <t>Brenntag Répartition camions</t>
  </si>
  <si>
    <t>Mail : Montville + Wattrelos</t>
  </si>
  <si>
    <t>Temporis Montpellier Est</t>
  </si>
  <si>
    <t>BAT envoyé le 04/05 - FAB A FAIRE - attente kit horaire</t>
  </si>
  <si>
    <t xml:space="preserve">DECATHLON SCIONZIER BACHE </t>
  </si>
  <si>
    <t>FAB A FAIRE Commande jonc</t>
  </si>
  <si>
    <t>RIA FR12755</t>
  </si>
  <si>
    <t>En attente DEVIS SUN &amp; LUX</t>
  </si>
  <si>
    <t>Temporis C3 Epinal</t>
  </si>
  <si>
    <t>BAT envoyé le 04/05 - FAB A FAIRE</t>
  </si>
  <si>
    <t>STICKERS FAB</t>
  </si>
  <si>
    <t>Systhen</t>
  </si>
  <si>
    <t>BAT envoyé le 02/05 - V2 le 03/05</t>
  </si>
  <si>
    <t>Intégration nouveaux menus + Préparation espace backoffice client / formation</t>
  </si>
  <si>
    <t>DECATHLON ALBERTVILLE 2</t>
  </si>
  <si>
    <t>PISCINE IBIZA MELLAC</t>
  </si>
  <si>
    <t>BAT VT envoyé le 13/04 - BAT envoyé le 25/04</t>
  </si>
  <si>
    <t>Temporis Fiches Techniques</t>
  </si>
  <si>
    <t>mail + z charte</t>
  </si>
  <si>
    <t>Nouveau Flyer et numéro de table</t>
  </si>
  <si>
    <t>EMMILIE AIX STORE</t>
  </si>
  <si>
    <t>BAT à envoyer à la franchisé - Répondre au BATs refusé - BAT store v2 envoyé - commande en cours</t>
  </si>
  <si>
    <t>MTL LVP</t>
  </si>
  <si>
    <t>Appel puis SMS à la cliente le 12/04 - En vacance, elle me rappelle semaine prochaine - BAT VT fait le 18/04 - BAT envoyé le 20/04 - V2 le 03/05</t>
  </si>
  <si>
    <t>Bâche - BAT le 03/05</t>
  </si>
  <si>
    <t>LHOEST CLINIQUE</t>
  </si>
  <si>
    <t>BAT VT le 17/04</t>
  </si>
  <si>
    <t>CMPM Ennery (VALOBAT)</t>
  </si>
  <si>
    <t>BAT envoyé le 25/04 - BAT envoyé le 02/05 - FAB a FAIRE</t>
  </si>
  <si>
    <t>Bistrot La Varenne</t>
  </si>
  <si>
    <t>Cdv</t>
  </si>
  <si>
    <t>RIA FR7213</t>
  </si>
  <si>
    <t>BAT envoyé le 24/03 FAB A FAIRE</t>
  </si>
  <si>
    <t>Tazita - Plein Air</t>
  </si>
  <si>
    <t>SM BOIS</t>
  </si>
  <si>
    <t>BAT envoyé le 27/04</t>
  </si>
  <si>
    <t>Temporis Dieppe Toyota</t>
  </si>
  <si>
    <t>Temporis Merignac</t>
  </si>
  <si>
    <t>Temporis Arras</t>
  </si>
  <si>
    <t>BAT envoyé le 02/05 6 FAB A FAIRE</t>
  </si>
  <si>
    <t>Mister Enseignes Algeco</t>
  </si>
  <si>
    <t>FAST CACHE</t>
  </si>
  <si>
    <t>Attente fichier graphiques, FAB A FAIRE</t>
  </si>
  <si>
    <t>Totem entrée</t>
  </si>
  <si>
    <t>SCI Ren. + Dev.</t>
  </si>
  <si>
    <t>Aquaprox</t>
  </si>
  <si>
    <t>Vaulx milieu - Véhicules BAT envoyé pour 30 véhicules - 8 véhicules différents le 30/03 - Relance le 06/04 - Appel le 17/04- V2 le 27/04</t>
  </si>
  <si>
    <t>Mr Enseignes - Filor Avocats</t>
  </si>
  <si>
    <t>BAT le 27/04</t>
  </si>
  <si>
    <t>PHARMACIE DU CENTRE</t>
  </si>
  <si>
    <t>BAT envoyé le 09/01 - BAT v à faire -  BAT envoyé 16/03 - BAT v2 à envoyer - BAT v3 envoyé le 03/04 - FAB A FAIRE en attente ALAN</t>
  </si>
  <si>
    <t>Rajout Sas MCF</t>
  </si>
  <si>
    <t>FAB lancée le 28/04</t>
  </si>
  <si>
    <t>Proebo Mirebeau-sur-Bèze</t>
  </si>
  <si>
    <t>Fichiers clients et infos demandées le 06/04 - VT envoyé le 06/04 - BAT envoyé le 17/04 -  nouveau BAT envoyé le 26/04 - FAB A FAIRE</t>
  </si>
  <si>
    <t>Mr Enseignes - Ardesco</t>
  </si>
  <si>
    <t>3 Immat</t>
  </si>
  <si>
    <t>Point S - Chateauneuf</t>
  </si>
  <si>
    <t>Gi Group - St Quentin Fallavier</t>
  </si>
  <si>
    <t>Kit + Cadre</t>
  </si>
  <si>
    <t>Temporis Castelsarrasin Montauban</t>
  </si>
  <si>
    <t>Fichier Enseigne Solaire - V1 le 24/04</t>
  </si>
  <si>
    <t xml:space="preserve">Nexeren </t>
  </si>
  <si>
    <t>208 et 308 - Modif envoyé le 24/04</t>
  </si>
  <si>
    <t>Commissariat des armées</t>
  </si>
  <si>
    <t>MT Services</t>
  </si>
  <si>
    <t>Dossier mairie OK le 23/11 - Nouveau BAT mairie le 24/01 - Nouveau BAT mairie le 15/02 - Relance le 20/02 - Nouveau BAT Mairie le 13/03 - Nouveau doc mairie le 31/03</t>
  </si>
  <si>
    <t>Xefi - 12 Véhicules</t>
  </si>
  <si>
    <t>7 Expert et 5 308 - BAT le 26/04</t>
  </si>
  <si>
    <t>Xefi - Montargis</t>
  </si>
  <si>
    <t>Véhicules ?</t>
  </si>
  <si>
    <t>Vieilles Matériaux (VALOBAT)</t>
  </si>
  <si>
    <t>Cookers - Site</t>
  </si>
  <si>
    <t>MAJ</t>
  </si>
  <si>
    <t>Attente fichiers Nexeren et Yotta</t>
  </si>
  <si>
    <t>ECOGRAV (VALOBAT)</t>
  </si>
  <si>
    <t>BAT envoyé le 24/04 - renvoyé le 25/04 - FAB A FAIRE</t>
  </si>
  <si>
    <t>BAT fait et mail à Antoine et Orianne le 20/04</t>
  </si>
  <si>
    <t>Dentinov - Villeurbanne Zola</t>
  </si>
  <si>
    <t>BAT Validé - FAB enseignes OK - Attente choix Dan pour le reste</t>
  </si>
  <si>
    <t>RIA FR12721</t>
  </si>
  <si>
    <t>BAT envoyé le 30/03 FAB A FAIRE</t>
  </si>
  <si>
    <t>Evolis - Cours Tolstoi</t>
  </si>
  <si>
    <t>BAT envoyé le 25/04</t>
  </si>
  <si>
    <t>ADN Structure</t>
  </si>
  <si>
    <t>BAT envoyé le 12/04 - Modif à faire suite réu. le 13/04 - V2 le 13/04 - V3 le 20/04 - V4 le 21/04</t>
  </si>
  <si>
    <t>Les Subs</t>
  </si>
  <si>
    <t>Adhésif - BAT le 25/04</t>
  </si>
  <si>
    <t>Tout Faire Carobaie Matériaux (VALOBAT)</t>
  </si>
  <si>
    <t>BAT envoyé le 20/04 - BAT envoyé le 24/04 - FAB A FAIRE</t>
  </si>
  <si>
    <t>Viva services Lyon 7</t>
  </si>
  <si>
    <t>REPRISE DOSSIER Carole - BAT envoyé - BAT mairie envoyé - Attente retour mairie pour FAB</t>
  </si>
  <si>
    <t>VM Cholet (VALOBAT)</t>
  </si>
  <si>
    <t>Xefi Vénissieux</t>
  </si>
  <si>
    <t>Attente retour VT pour réalisation BAT - URGENT - Envoyé le 12/04 - BAT envoyé le 19/04 - V2 le 20/04</t>
  </si>
  <si>
    <t>PISCINE IBIZA IBAZYE PAVILLON</t>
  </si>
  <si>
    <t>BAT Envoyé le 18/04 - COMMANDE ST attente retour</t>
  </si>
  <si>
    <t xml:space="preserve">PISCINE IBIZA B2M38 MAS </t>
  </si>
  <si>
    <t>DEmande de devis envoyé  - BAT envoyé</t>
  </si>
  <si>
    <t>MR ENSEIGNES - BRUNO MOREAUX</t>
  </si>
  <si>
    <t>French Trattoria</t>
  </si>
  <si>
    <t>BAT envoyé le 19/02 - BAT v2 à envoyer - FAB A FAIRE</t>
  </si>
  <si>
    <t>Gi Group - Agen</t>
  </si>
  <si>
    <t>BAT envoyé le 22/03 - Modif le 28/03 - BAT VT le 12/04</t>
  </si>
  <si>
    <t>Do It Platinium</t>
  </si>
  <si>
    <t>BAt envoyé le 20/04 - FAB A FAIRE</t>
  </si>
  <si>
    <t>ALADD Villeurbanne - Centre de santé</t>
  </si>
  <si>
    <t xml:space="preserve">en attente fichier - BAT envoyé le 19/04 - revoir la fab </t>
  </si>
  <si>
    <t xml:space="preserve">Au grand large </t>
  </si>
  <si>
    <t>BAT envoyé le 17/04 - validé - commande ST le 18/04</t>
  </si>
  <si>
    <t>Yogurt Factory</t>
  </si>
  <si>
    <t>BAt envoyé le 18/04  FAB A FAIRE</t>
  </si>
  <si>
    <t>Xefi - Nexeren</t>
  </si>
  <si>
    <t>Nouvelle maquette pour 308 - BAT Envoyé le 20/04</t>
  </si>
  <si>
    <t>Hummel</t>
  </si>
  <si>
    <t>Graphisme + BAT - demande elements graphiques le 27/03 - relancé le 28/03 par tel - relancé par tel le 29/03 - attente fichiers graphiques du client - relancé le 04/04 - réponse le 05/04 annonce le fichier en fin de semaine - reçu le 11/04 - BAT envoyé le 13/04 - FAB A FAIRE</t>
  </si>
  <si>
    <t>ASSIYADA</t>
  </si>
  <si>
    <t>BAT envoyé le 20/04 - modifs envoyées le 20/04 - FAB a faire</t>
  </si>
  <si>
    <t>DECATHLON PORTAIL SCIONZIER</t>
  </si>
  <si>
    <t>BAT envoyé le 18/04 FAB A FAIRE</t>
  </si>
  <si>
    <t xml:space="preserve">Tomber des Nues </t>
  </si>
  <si>
    <t>Karreprod</t>
  </si>
  <si>
    <t>FR RIA 13143</t>
  </si>
  <si>
    <t>RIA FR8243</t>
  </si>
  <si>
    <t>Baudran</t>
  </si>
  <si>
    <t>Temporis Deauville</t>
  </si>
  <si>
    <t>BAT envoyé le 17/04 - FAB A FAIRE</t>
  </si>
  <si>
    <t>Gedimat Boulard Verdier (VALOBAT)</t>
  </si>
  <si>
    <t>BAT envoyé le 17/04 - FAB A FAIRE - fichiers client incorrects attente client</t>
  </si>
  <si>
    <t>Anacours Ferney Voltaire</t>
  </si>
  <si>
    <t>Nouvelles maquettes envoyées le 06/01 - Modif à faire - Nouveau BAT mairie le 15/02 - Relance le 15/03 - BAT généraliste envoyé le 23/03 - Attente validation devis et mairie - BAT validé le 24/03  - FAB A FAIRE</t>
  </si>
  <si>
    <t>SARL LOCAL JMR</t>
  </si>
  <si>
    <t>GDS - Les Sables d'Olonne</t>
  </si>
  <si>
    <t>Véhicules - BAT FP à SA 31/03 - Relance le 06/4 - V3 le 07/04 - V4 le 17/04 - V5 le 18/04</t>
  </si>
  <si>
    <t>My Bud</t>
  </si>
  <si>
    <t>BAT envoyé le 18/04 - FAB a FAIRE</t>
  </si>
  <si>
    <t>DECATHLON MOUNTAIN PASSY</t>
  </si>
  <si>
    <t xml:space="preserve">FAB A FAIRE - PIXART SITE DOWN </t>
  </si>
  <si>
    <t>Hydro Building System</t>
  </si>
  <si>
    <t>Trophées</t>
  </si>
  <si>
    <t>Attente fichier client demandé le 11/04 - Censé arriver le 13/04 - BAT envoyé le 17/04</t>
  </si>
  <si>
    <t>Voir avec Noémie et / ou support Oxatis pour récupération ID + renouvellement SSL</t>
  </si>
  <si>
    <t>TEMPORIS EC RENNES</t>
  </si>
  <si>
    <t>Fast Cash</t>
  </si>
  <si>
    <t>Nouveau dossier -  BAT envoyé le 18/01 - BAT V2 envoyé le 20/01 - BAT v3 envoyé le 04/04*</t>
  </si>
  <si>
    <t>GDS MAYOTTE</t>
  </si>
  <si>
    <t>Demande d'infos envoyer le 05/01 - relancé le 09/01 - BAT v2 envoyé le 16/02 - BAT v3 envoyé 07/03 - BAT v4 envoyé le 14/03 - SUIVRE COMMANDE ST</t>
  </si>
  <si>
    <t>RIA FR 13711 CAPITAL WORLD</t>
  </si>
  <si>
    <t>BAT ok FAB A FAIRE</t>
  </si>
  <si>
    <t>RIA FR12758</t>
  </si>
  <si>
    <t xml:space="preserve">BAT intérieur magasin envoyé le 21/03, VT envoyé le 30/03*- FAB ok </t>
  </si>
  <si>
    <t>Euronet - Beauvais</t>
  </si>
  <si>
    <t>VT à faire</t>
  </si>
  <si>
    <t>EMMA PATISSERIE</t>
  </si>
  <si>
    <t>VT envoyé le 19/01 - BAT envoyé le 19/01 - BAT v2 envoyé le 23/01  - SUIVRE COMMANDE ST</t>
  </si>
  <si>
    <t>RIA FR100</t>
  </si>
  <si>
    <t xml:space="preserve">REPRISE DOSSIER Carole - BAT envoyé - Attente VT pour FAB </t>
  </si>
  <si>
    <t>Point S Louviers</t>
  </si>
  <si>
    <t>Réinter - commande ST -</t>
  </si>
  <si>
    <t>SQ - Site</t>
  </si>
  <si>
    <t>Refonte charte --&gt; Refaire image et dimension des produits</t>
  </si>
  <si>
    <t>GDS Angouleme</t>
  </si>
  <si>
    <t>Attente retour franchisé concernant retour de la mairie  - Relance le 29/07 - Envoie choix le 08/09 - Modif le 28/09 - BAT modif envoyé le 12/01 - FAB des enseignes, du mur de mot et des cadres lancées, reste Adhésif vitrine en attente de validation - Relance le 19/01 - Modif envoyé le 24/01 - Modif envoyé le 16/02 - Sophie Amélie valide attente retour franchisé du 20/02 - Standby - franchisé avec difficulté de trésorerie</t>
  </si>
  <si>
    <t>Au fil des marques</t>
  </si>
  <si>
    <t>BAT modif envoyé le 31/10 - Modif le 23/11 - Attente de nouvelle des commerciaux</t>
  </si>
  <si>
    <t>Temporis - DEAUVILLE</t>
  </si>
  <si>
    <t>BAT envoyé le 27/02 - Franchisée à demandé à mettre en attente</t>
  </si>
  <si>
    <t>Expert et cadre - BAT envoyé le 03/04</t>
  </si>
  <si>
    <t>Annacours Vannes</t>
  </si>
  <si>
    <t>FAB TEL</t>
  </si>
  <si>
    <t>Mr Enseignes - Xavier Aubert</t>
  </si>
  <si>
    <t>Laverie Bonnel rajouts</t>
  </si>
  <si>
    <t>BAT rajouts envoyé le 11/04 - fab envoyée le 11/04</t>
  </si>
  <si>
    <t>France - Ski - Sport 2000</t>
  </si>
  <si>
    <t>Nouveau dossier - FP - BAT PRET attente retour Antoine avant envoi- FAB A FAIRE</t>
  </si>
  <si>
    <t>RIA FR11695</t>
  </si>
  <si>
    <t>V1 ET V2 le 03/04 -V3 le 05/04</t>
  </si>
  <si>
    <t>Biens Sûrs</t>
  </si>
  <si>
    <t>BAT envoyé le 03/04 - modifs envoyées le 03/04 - FAB A FAIRE</t>
  </si>
  <si>
    <t>City Com</t>
  </si>
  <si>
    <t>BAT envoyé le 13/03 - FAB Provisoire OK - Attente nouvelle dim pour FAB finale - Relance VT le 21/03</t>
  </si>
  <si>
    <t>Gasoline</t>
  </si>
  <si>
    <t>Adhésif Totem</t>
  </si>
  <si>
    <t>Tomber des Nues</t>
  </si>
  <si>
    <t>BAT envoyé le 05/04</t>
  </si>
  <si>
    <t>Pompes Funèbres - Venissieux</t>
  </si>
  <si>
    <t>Attente retour de Bron pour réalisation de Vénissieux - BAT envoyé le 22/03 - V2 le 27/03 - Nouveau BAT le 31/03 - FAB A FAIRE</t>
  </si>
  <si>
    <t>Laverie Bonnel Reintervention</t>
  </si>
  <si>
    <t>à vérifier avec Vitor le 04/04 matin</t>
  </si>
  <si>
    <t>Pharmacie Dampmartoise</t>
  </si>
  <si>
    <t>BAT envoyé le 03/04 - FAB A FAIRE</t>
  </si>
  <si>
    <t>Le petit lunetier Montpellier réintervention</t>
  </si>
  <si>
    <t xml:space="preserve">Anacours Boulogne sur Mer </t>
  </si>
  <si>
    <t xml:space="preserve">BAT et BAT VT envoyés le 10/02 -  BAT V 2 envoyé le 17/02 -  FAB A FAIRE (en cours) </t>
  </si>
  <si>
    <t>Tartine et Chocolat Paris</t>
  </si>
  <si>
    <t>BAT envoyé le 23/03 - relancé le 24/03 - BAT envoyé le 28/03 - BAT envoyé le 31/03 - FAB A FAIRE</t>
  </si>
  <si>
    <t>Refab bois + trot</t>
  </si>
  <si>
    <t xml:space="preserve">IGRaphic Garage </t>
  </si>
  <si>
    <t>Algeco</t>
  </si>
  <si>
    <t>attente fichier client - à faire</t>
  </si>
  <si>
    <t>ESB Campus</t>
  </si>
  <si>
    <t>C.O.A Bordeaux</t>
  </si>
  <si>
    <t>Les Zouzous Lyonnais - Lyon 3</t>
  </si>
  <si>
    <t>BAT envoyé le 09/03 - BAT VT envoyé le 09/03 - Maquette refaite via VT - Attente validation client - CLiente a bien reçu le BAT (16/06) - Modif envoyé le 23/03 - Réponse mail le 27/03 - Re réponse le 27 - Nouveau BAT le 27/03 - Nouveau BAT le 28/03</t>
  </si>
  <si>
    <t>Le Petit Lunetier Paris Temple</t>
  </si>
  <si>
    <t>Pharmacie du Stade</t>
  </si>
  <si>
    <t>Projet de BAT  envoyé à Orianne et Antoine - croix GABI Commandée</t>
  </si>
  <si>
    <t xml:space="preserve">EURONET RUE DE LAPPE </t>
  </si>
  <si>
    <t>Maquette envoyé le 13/03</t>
  </si>
  <si>
    <t>Lorience</t>
  </si>
  <si>
    <t>repondre au mail et préparer BAT - BAT envoyé le 06/03 -  BAT v2 envoyé le 15/03</t>
  </si>
  <si>
    <t xml:space="preserve">ECODIME </t>
  </si>
  <si>
    <t>BAT envoyé le 07/02 -  BAT v2 envoyé le 20/03 _  FAB A FAIRE, en attente RAL</t>
  </si>
  <si>
    <t>BIOBURGER</t>
  </si>
  <si>
    <t>REFAIRE UN BAT POUR ANTOINE - BAT v3 envoyé 27/01</t>
  </si>
  <si>
    <t>GDS OYONNAX</t>
  </si>
  <si>
    <t>BAT ADH PROV ET BAT VT envoyés le 08/02 - BAT v2 envoyé le 16/02 - BAT v3envoyé le 22/02 - VAT v4 envoyé le 28</t>
  </si>
  <si>
    <t>VEHICULE ET PANNEAUX</t>
  </si>
  <si>
    <t>OPTIONS SOLUTIONS NANTES REINTER</t>
  </si>
  <si>
    <t>REINTER PANNEAUX</t>
  </si>
  <si>
    <t>Xefi Villefranche</t>
  </si>
  <si>
    <t>BAT envoyé le 29/03</t>
  </si>
  <si>
    <t>PC - Mail - Installe - Cyril</t>
  </si>
  <si>
    <t>Club Amitié Loisirs</t>
  </si>
  <si>
    <t>RIA capital Phone</t>
  </si>
  <si>
    <t>Plaquette Bagelstein</t>
  </si>
  <si>
    <t>L'EATALIENNE</t>
  </si>
  <si>
    <t>commande exa</t>
  </si>
  <si>
    <t>INDRA</t>
  </si>
  <si>
    <t>ST en cours</t>
  </si>
  <si>
    <t>MEDXSoft</t>
  </si>
  <si>
    <t>BAT envoyé sur FP le 27/03</t>
  </si>
  <si>
    <t>Temporis Compiègne</t>
  </si>
  <si>
    <t>K par K - Villefranche</t>
  </si>
  <si>
    <t xml:space="preserve">07/03 - BAT envoyé plus question pour Lille (dossier de Guillaume) - Ok Mairie le 15 /03 - BAT VT Coffrage envoyé le 15/03 - VT MAX le 20/03 </t>
  </si>
  <si>
    <t>Temporis Bordeaux Rive Droite</t>
  </si>
  <si>
    <t>Demande nouvelles dimensions 08/02 - relancé 17/02 - relancé 02/03 - cliente tjrs en attente du franchisé - BAT VT envoyé le 16/03 - BAT envoyé le 24/03 -  FAB A FAIRE</t>
  </si>
  <si>
    <t>Gi Group - CTA Cergy</t>
  </si>
  <si>
    <t>BAT le 17/03 - Modif le 21/03 - Modif le 23/03 + Attente dim poteau</t>
  </si>
  <si>
    <t>Vaulx milieu - Devanture</t>
  </si>
  <si>
    <t>Brenntag - Chassieu camion</t>
  </si>
  <si>
    <t>Brenntag Wattrelos Véhicules</t>
  </si>
  <si>
    <t>Nouveau dossier - FP - BAT envoyé le 20/03</t>
  </si>
  <si>
    <t>EXALTO</t>
  </si>
  <si>
    <t xml:space="preserve">BAT 2nd intervention envoyé le 20/03 -  FAB </t>
  </si>
  <si>
    <t>Pompes Funèbres - Bron</t>
  </si>
  <si>
    <t>BAT envoyé le 01/03 - Relance automatique de FP tous les deux jours + relance par mail le 09/03 - Relance le 22/03</t>
  </si>
  <si>
    <t>Waves Club</t>
  </si>
  <si>
    <t>Tazita Lempdes</t>
  </si>
  <si>
    <t>BAT envoyé le 16/02 + V2 le 16/02 - BAT validé - Provisoire OK - Attente retour nouvelle VT + Dossier mairie - Relance VT le 21/03 - Attente retour nouveau BAT du 22/03 FAB prête</t>
  </si>
  <si>
    <t>Xefi - Rilleux - Villefranche - Clermont</t>
  </si>
  <si>
    <t>Envoie des BAT le 23/02 - Validation devis le 10/03 mais pas de retour BAT - Nouveaux BAT (8 BAT) le 14/03 + récap - 15 Véhicules en FAB.</t>
  </si>
  <si>
    <t>Kreature - Décathlon Publier</t>
  </si>
  <si>
    <t>BAT envoyé le 22/03</t>
  </si>
  <si>
    <t xml:space="preserve">Les Enseignistes </t>
  </si>
  <si>
    <t>Publication r&amp;s</t>
  </si>
  <si>
    <t>Tartine et chocolat</t>
  </si>
  <si>
    <t>Tazita - Cambrai</t>
  </si>
  <si>
    <t>BAT Mairie envoyé le 08/03 - Validation du BAT le 08/03 - FAB A FAIRE</t>
  </si>
  <si>
    <t>EaTCK - NiceToile</t>
  </si>
  <si>
    <t>N°1 et 2 en FAB - Attente info N3</t>
  </si>
  <si>
    <t>Atelier Moderne - Rajout</t>
  </si>
  <si>
    <t xml:space="preserve">LNCR </t>
  </si>
  <si>
    <t>BAT envoyé le 20/03 - FAB A FAIRE</t>
  </si>
  <si>
    <t>Loutsa - Paris 17</t>
  </si>
  <si>
    <t>BAT VT et BAT client envoyé le 07/03 - Nouveau BAT le 20/03</t>
  </si>
  <si>
    <t>Brenntag Toul</t>
  </si>
  <si>
    <t>Kit Horaires Igraphics</t>
  </si>
  <si>
    <t>Temporis Haguenau</t>
  </si>
  <si>
    <t>Anacours - Vannes</t>
  </si>
  <si>
    <t>FAB A FAIRE - Attente VT</t>
  </si>
  <si>
    <t>Maison Grand Large</t>
  </si>
  <si>
    <t xml:space="preserve">Cookers </t>
  </si>
  <si>
    <t>Site + CdV</t>
  </si>
  <si>
    <t>Nouveau dossier - FP</t>
  </si>
  <si>
    <t>iGraphic</t>
  </si>
  <si>
    <t>Mr Enseignes - 2Comm</t>
  </si>
  <si>
    <t>NMY Santé</t>
  </si>
  <si>
    <t>3e Inter</t>
  </si>
  <si>
    <t>Foot.fr</t>
  </si>
  <si>
    <t>Commande ST le 08/03</t>
  </si>
  <si>
    <t>Mail Michael</t>
  </si>
  <si>
    <t>Vosenseignes.fr</t>
  </si>
  <si>
    <t>Version Brenntag</t>
  </si>
  <si>
    <t>PROEBO - Mat a Dom - Villeneuve</t>
  </si>
  <si>
    <t>K par K</t>
  </si>
  <si>
    <t>Bat et modif envoyé le 21/11 - EN dossier mairie</t>
  </si>
  <si>
    <t>Gi Moulins</t>
  </si>
  <si>
    <t>BAT envoyé le 26/09 - Nouveau BAT 03/10 - Mis en standby par Gi le 03/10</t>
  </si>
  <si>
    <t>SL Services</t>
  </si>
  <si>
    <t>Attente retour client BAT le 06/10 - relance le 14/10 - Relance le 19/10</t>
  </si>
  <si>
    <t>Tazita Ales - Agrandissement</t>
  </si>
  <si>
    <t>Attente retour Elise</t>
  </si>
  <si>
    <t>BAT envoyé le 13/12 via FP - Modif envoyé le 06/01 - Bloqué sur FP</t>
  </si>
  <si>
    <t xml:space="preserve">Jeannette Optique </t>
  </si>
  <si>
    <t>BAT prov et VT envoyé le 20/02 - BAT V2 envoyé le 6/03</t>
  </si>
  <si>
    <t>RIA FR12240</t>
  </si>
  <si>
    <t>RIA FR7906</t>
  </si>
  <si>
    <t>REPRISE DOSSIER Carole - BAT envoyé - Devis validé - Attente validation devis pour FAB</t>
  </si>
  <si>
    <t>Gi Group - Valenciennes</t>
  </si>
  <si>
    <t>BAT validé - Attente retour Michael sur devis pour FAB</t>
  </si>
  <si>
    <t>DECATHLON CHAMONIX</t>
  </si>
  <si>
    <t>BAT a faire - en attente retour Océane</t>
  </si>
  <si>
    <t>Keature ALBERTVILLE</t>
  </si>
  <si>
    <t>PRET A ETRE ENVOYE , en attente Photo BILEL pour finalisation</t>
  </si>
  <si>
    <t>Tazita Moneteau</t>
  </si>
  <si>
    <t>BAT validé - Attente acompte et dossier mairie pour FAB - FAB A FAIRE ?</t>
  </si>
  <si>
    <t>Modification menus site</t>
  </si>
  <si>
    <t xml:space="preserve">Tazita Moneteau </t>
  </si>
  <si>
    <t>Adh prov.</t>
  </si>
  <si>
    <t>Attente dimensions véhicule (mail du 10/11) - BAT envoyé à Sophie-Amélie le 28/11 - Nouveau BAT le 01/12 - Nouveau BAT le 05/12 - BAT au franchisé le 06/12 - Relance le 12/12 - Relance le 19/01 - Relance le 06/02 - Relance le 16/02 - Validation le 21/02 - Demande de confirmation tél le 22/02 - Relance le 01/03</t>
  </si>
  <si>
    <t>Brenntag ST Herblain</t>
  </si>
  <si>
    <t>RIA FR23</t>
  </si>
  <si>
    <t>RIA FR 23</t>
  </si>
  <si>
    <t>Brenntag Wattrelos</t>
  </si>
  <si>
    <t xml:space="preserve">Tazita - Ales </t>
  </si>
  <si>
    <t>Gros volume</t>
  </si>
  <si>
    <t>Brenntag St Sulpice</t>
  </si>
  <si>
    <t>Création d'une boite mail pour tous ?</t>
  </si>
  <si>
    <t>PISCINE IBIZA adh à relancer</t>
  </si>
  <si>
    <t>Emblematik</t>
  </si>
  <si>
    <t>Mail atelier</t>
  </si>
  <si>
    <t>We Do Yoga modifs</t>
  </si>
  <si>
    <t>XEFI</t>
  </si>
  <si>
    <t>Upperpub</t>
  </si>
  <si>
    <t>LASER GAME de St Savin</t>
  </si>
  <si>
    <t>REPRISE DOSSIER Carole - BAT à revoir en attente point atelier</t>
  </si>
  <si>
    <t>Angelinks</t>
  </si>
  <si>
    <t>Conseil Ad'Oc</t>
  </si>
  <si>
    <t>BAT envoyé le 28/02 - Demande du RAL le 01/03</t>
  </si>
  <si>
    <t>EaTCK - Nicetoile</t>
  </si>
  <si>
    <t>BAT Fait le 20/02 relance le 23/02 - relance tel le 01/03 avec message vocal</t>
  </si>
  <si>
    <t>SAS ACSM</t>
  </si>
  <si>
    <t>attente modif kit horaire</t>
  </si>
  <si>
    <t>BH Ecologie</t>
  </si>
  <si>
    <t>Pochettes et FLyers</t>
  </si>
  <si>
    <t>Temporis - St Etienne</t>
  </si>
  <si>
    <t>Intérieure</t>
  </si>
  <si>
    <t>Compagnons des Cimes - nouveaux éléments</t>
  </si>
  <si>
    <t>Brenntag Grez en bouere</t>
  </si>
  <si>
    <t>BioBurger</t>
  </si>
  <si>
    <t>FAB A FAIRE REINTER</t>
  </si>
  <si>
    <t>PROEBO - Mat a Dom - ST Denis</t>
  </si>
  <si>
    <t>fab prête, attente infos oriane</t>
  </si>
  <si>
    <t>Brenntag Vitrolles</t>
  </si>
  <si>
    <t xml:space="preserve">C &amp; A </t>
  </si>
  <si>
    <t>Mail tech envoyé à Jérome le 16/02 - Devis ATC validé et envoyé le 01/03</t>
  </si>
  <si>
    <t>Bâche C&amp;A - Vaulx</t>
  </si>
  <si>
    <t>Attente retour Jérome Isermatic</t>
  </si>
  <si>
    <t>FAB a faire du totem Work &amp; Progress</t>
  </si>
  <si>
    <t>Casino 4 Saisons</t>
  </si>
  <si>
    <t>BAT envoyé le 28/02</t>
  </si>
  <si>
    <t>Laverie Bonnel - wash'n dry</t>
  </si>
  <si>
    <t>We Do Yoga</t>
  </si>
  <si>
    <t>JB Avocats</t>
  </si>
  <si>
    <t>Dépoli vitrine</t>
  </si>
  <si>
    <t>Ibazur (Piscine Ibiza)</t>
  </si>
  <si>
    <t>BAT envoyé 27/02</t>
  </si>
  <si>
    <t>PROEBO LUSIGNY -  Pharmacie Doussot</t>
  </si>
  <si>
    <t>Brenntag Andance</t>
  </si>
  <si>
    <t>Rajout Hygiaphone GDS</t>
  </si>
  <si>
    <t>Temporis Reze</t>
  </si>
  <si>
    <t>Reinter</t>
  </si>
  <si>
    <t>PISCINE IBIZA NÎMES</t>
  </si>
  <si>
    <t>Nouveau dossier - BAT envoyé le 21/02 - FAB A FAIRE ATTENTION MACARON</t>
  </si>
  <si>
    <t>Cabinet WILSON</t>
  </si>
  <si>
    <t xml:space="preserve">REFAB </t>
  </si>
  <si>
    <t>Brenntag Contes</t>
  </si>
  <si>
    <t>Portalp - panneaux incorrects</t>
  </si>
  <si>
    <t>BAT et Fab renvoyé 20/02</t>
  </si>
  <si>
    <t>ATELIER MODERNE</t>
  </si>
  <si>
    <t>Fait</t>
  </si>
  <si>
    <t>Brenntag Bordeaux</t>
  </si>
  <si>
    <t>Piscine Ibiza</t>
  </si>
  <si>
    <t>BAT envoyé 24/02 - FAB A FAIRE</t>
  </si>
  <si>
    <t>Piscine Ibiza - Perpignan</t>
  </si>
  <si>
    <t>BAT envoyé le 24/11 - BAT 4x3 envoyé le 29/11 - VALIDE - BAT MAIRIE A FAIRE</t>
  </si>
  <si>
    <t>Doc PV Intervention</t>
  </si>
  <si>
    <t>FAB temporis CArole</t>
  </si>
  <si>
    <t>Hydro Building Systems</t>
  </si>
  <si>
    <t>BAT A FAIRE - FAB A FAIRE</t>
  </si>
  <si>
    <t>GDS DIJON</t>
  </si>
  <si>
    <t>BAT v3 envoyé 07/02 - envoyé au franchisé le 16/02 -  FAB A FAIRE - attente num client</t>
  </si>
  <si>
    <t>KREATURE DECATH SEYNOD</t>
  </si>
  <si>
    <t>BAT envoyé le 08/02 - fab a faire - en attente devis isermatic</t>
  </si>
  <si>
    <t>Bagesltein</t>
  </si>
  <si>
    <t>BAT envoyé sur FP le 22/02</t>
  </si>
  <si>
    <t>Cookers - SAS La Fabrik</t>
  </si>
  <si>
    <t>Cdv envoyé le 17/02 - Modif le 20/02 - Attente Nbr exemplaires + Fichier Chicha</t>
  </si>
  <si>
    <t xml:space="preserve">Caffon Boileau </t>
  </si>
  <si>
    <t>3 véhicules 2016 - 208</t>
  </si>
  <si>
    <t>Piscine Ibiza Narbonne</t>
  </si>
  <si>
    <t>BAT et VT envoyé le 21/10 - BAT modif envoyé le 08/11 - Attente dossier mairie 17/11 - FAB A FAIRE</t>
  </si>
  <si>
    <t>Evolis - NCT</t>
  </si>
  <si>
    <t>Attention double BAT / Double dossier sur FP - BAT envoyé le 20/02</t>
  </si>
  <si>
    <t>KREATURE DECATH SCIONZIER</t>
  </si>
  <si>
    <t>BAT envoyé le 14/02 - FAB A FAIRE</t>
  </si>
  <si>
    <t>SARL Leo - Iris Power</t>
  </si>
  <si>
    <t>Attente nouveaux fichiers clients demandé le 20/02</t>
  </si>
  <si>
    <t>BAT envoyé le 20/02 - Cabine adh. + logo</t>
  </si>
  <si>
    <t>Guy Hoquet - CdV</t>
  </si>
  <si>
    <t>BAT envoyé le 15/02 -  FAB A FAIRE</t>
  </si>
  <si>
    <t>Dossier affiche Montville</t>
  </si>
  <si>
    <t xml:space="preserve">TEMPORIS Bordeaux </t>
  </si>
  <si>
    <t>Dome des associations</t>
  </si>
  <si>
    <t>BAT envoyé le 02/02 -  FAB A FAIRE - VERIFIER suivi commande</t>
  </si>
  <si>
    <t>PROBEO</t>
  </si>
  <si>
    <t>BAT VT envoyé le 17/01</t>
  </si>
  <si>
    <t>Probéo - Lusigny</t>
  </si>
  <si>
    <t>VT envoyé le 24/01</t>
  </si>
  <si>
    <t>Temporis - Cesson Sevigné</t>
  </si>
  <si>
    <t>Celette</t>
  </si>
  <si>
    <t>Salon Center</t>
  </si>
  <si>
    <t>Au Chalet Fleuri</t>
  </si>
  <si>
    <t>Refab des plusieurs éléménts</t>
  </si>
  <si>
    <t>Mise à jour de la plaquette Viva</t>
  </si>
  <si>
    <t xml:space="preserve">Le Penjab </t>
  </si>
  <si>
    <t>Panneau dibond suivant VT Discord</t>
  </si>
  <si>
    <t>Le secrétariat Médical</t>
  </si>
  <si>
    <t xml:space="preserve">Modif site </t>
  </si>
  <si>
    <t>Decathlon - Scionzier</t>
  </si>
  <si>
    <t>BAT envoyé le 30/12 - Nouveau BAT le 12/01 - Nouveau BAT le 18/01</t>
  </si>
  <si>
    <t>Décathlon Seynod</t>
  </si>
  <si>
    <t>BAT envoyé le 15/02</t>
  </si>
  <si>
    <t>Brenntag Camion</t>
  </si>
  <si>
    <t>BAT envoyé le 01/02 - Modif le 02/02 - Modif le 06/02 - Modif à faire et lancement en FAB pour trois sites</t>
  </si>
  <si>
    <t xml:space="preserve">TEMPORIS LE HAVRE </t>
  </si>
  <si>
    <t>attente retour BAT relancé le 15/02</t>
  </si>
  <si>
    <t>Point S - Limoges</t>
  </si>
  <si>
    <t>BAT envoyé le 06/12</t>
  </si>
  <si>
    <t>KOS</t>
  </si>
  <si>
    <t xml:space="preserve">BAT envoyé le 08/12 -  BAT Mairie envoyé le 12/12 -  BAT MAIRIE v2 envoyé le 20/12 - FAB A FAIRE - Commander GEP dès reception devis </t>
  </si>
  <si>
    <t>Cerf Ludique</t>
  </si>
  <si>
    <t>BAT envoyé le 12/02 -  FAB A FAIRE</t>
  </si>
  <si>
    <t>Attente retour Sophie-Amélie 07/04 - Relance le 18/05 - Relance le 16/06 - Relance le 29/07 - Relance le 10/11 - Sophie Amélie se renseigne mail du 07/10 - Relance le 19/01 - Voiture à la casse - dossier annulé</t>
  </si>
  <si>
    <t>Rajout bande 500mm</t>
  </si>
  <si>
    <t>Speedy Sending / Eratos</t>
  </si>
  <si>
    <t>Flyer reçu, voir ce qu'il faut faire</t>
  </si>
  <si>
    <t>NOVO</t>
  </si>
  <si>
    <t>Synagogue</t>
  </si>
  <si>
    <t>FAB a faire du gros camion Les Enseignistes</t>
  </si>
  <si>
    <t>TEMPORIS Courbevoie</t>
  </si>
  <si>
    <t>TEMPORIS Lille</t>
  </si>
  <si>
    <t>TEMPORIS REIMS</t>
  </si>
  <si>
    <t>TEMPORIS Montreuil</t>
  </si>
  <si>
    <t>TEMPORIS Bourges</t>
  </si>
  <si>
    <t>Options Solutions - Les Garennes</t>
  </si>
  <si>
    <t>BAT envoyé le 06/02 , FAB A FAIRE</t>
  </si>
  <si>
    <t>Work &amp; Progress</t>
  </si>
  <si>
    <t>Id Connexion nouveau membre</t>
  </si>
  <si>
    <t>Point S Carpentras</t>
  </si>
  <si>
    <t>Fab prête - attente confirmation accompte pour lancement</t>
  </si>
  <si>
    <t>PROEBO - Fontaine les Dijons</t>
  </si>
  <si>
    <t>Brenntag - Montville</t>
  </si>
  <si>
    <t>PISCINE IBIZA 4x3</t>
  </si>
  <si>
    <t>Proebo - Pharmacie de la mairie</t>
  </si>
  <si>
    <t xml:space="preserve">GDS LILLE </t>
  </si>
  <si>
    <t>Brenntag Amiens</t>
  </si>
  <si>
    <t>Indra</t>
  </si>
  <si>
    <t>Fichiers de Fabrication WoW</t>
  </si>
  <si>
    <t>Indra - Prunier en Sologne</t>
  </si>
  <si>
    <t>Nouveau dossier</t>
  </si>
  <si>
    <t>Camif Thionville</t>
  </si>
  <si>
    <t>Décathlon Publier</t>
  </si>
  <si>
    <t>Adhésif repositionnable</t>
  </si>
  <si>
    <t>Brenntag Tournan</t>
  </si>
  <si>
    <t>BAT envoyé le 31/01 - Modif le 06/02</t>
  </si>
  <si>
    <t>Dossier mairie - Anacours Vannes</t>
  </si>
  <si>
    <t>Maglone</t>
  </si>
  <si>
    <t>SHARELOCK</t>
  </si>
  <si>
    <t>Camif - Valence Nord</t>
  </si>
  <si>
    <t>BAT validé par la franchise le 18/11 - BAT envoyé au client le 21/11 - Demande info complémentaire au client concernant vitrine + nouveau BAT le 08/12 - Toutes les FABS sont ok sauf grand adhésif (N°3) - Nouveau BAT envoyé le 06/01 - Relance le 06/02</t>
  </si>
  <si>
    <t>Temporis - Annemasse EC</t>
  </si>
  <si>
    <t>BAT envoyé le 05/01 - FAB A FAIRE</t>
  </si>
  <si>
    <t>Tazita - Ales</t>
  </si>
  <si>
    <t>BAT envoyé le 01/02</t>
  </si>
  <si>
    <t>Terminé</t>
  </si>
  <si>
    <t>Publication RS</t>
  </si>
  <si>
    <t xml:space="preserve">Laverie Bonnel </t>
  </si>
  <si>
    <t>BAT VT envoyé le 25/01 - VT le 03/02</t>
  </si>
  <si>
    <t>Modif envoyé le 28/11 - Attente retour client + Vérif cotes - FAB des Enseignes OK le 05/12 - Nouveau BAT le 13/12 - Nouveau BAT le 28/12 - Nouveau BAT le 02/01 - Nouveau BAT le 05/01 - Nouveau BAT le 15 - Nouveau BAT le 23 - Nouveau BAT le 31</t>
  </si>
  <si>
    <t>ROUND B - Renault Master</t>
  </si>
  <si>
    <t>BAT sur FP le 25/01</t>
  </si>
  <si>
    <t>Mayer</t>
  </si>
  <si>
    <t>BAT envoyé le 23/01 - BAT v2 envoyé le 24/01 -  FAB A FAIRE</t>
  </si>
  <si>
    <t>Rent a Car - Villeurbanne</t>
  </si>
  <si>
    <t>Rent a car - Chassieu</t>
  </si>
  <si>
    <t>Groupe Chalvignac</t>
  </si>
  <si>
    <t>Nouveau dossier Totem -  BAT envoyé le 25/01 - BAT v2 envoyé le 30/01 - BAT v3 envoyé l 31/01 -  FAB A FAIRE</t>
  </si>
  <si>
    <t>OPTIONS SOLUTIONS BORDEAUX</t>
  </si>
  <si>
    <t>BAT envoyé le 17/01 -  FAB A FAIRE - manque le totem</t>
  </si>
  <si>
    <t>Décathlon Val Thoiry</t>
  </si>
  <si>
    <t>BAT envoyé le 31/01</t>
  </si>
  <si>
    <t>OPTIONS SOLUTIONS NANTES</t>
  </si>
  <si>
    <t>OPTIONS SOLUTIONS CHASSIEUX</t>
  </si>
  <si>
    <t>FAB faite (suivre livraison film aimanté ref MB800)</t>
  </si>
  <si>
    <t>TEMPORIS - TARBES</t>
  </si>
  <si>
    <t>FAB A CHECKER</t>
  </si>
  <si>
    <t>TEMPORIS - REZE</t>
  </si>
  <si>
    <t xml:space="preserve">Stickers aditionnels - Fab à checker </t>
  </si>
  <si>
    <t>SHD 36</t>
  </si>
  <si>
    <t>DEEP NATURE GROUP</t>
  </si>
  <si>
    <t>BAT envoyé le 26/01 -  FAB A FAIRE</t>
  </si>
  <si>
    <t>Compagnons des Cimes</t>
  </si>
  <si>
    <t>FAB a checker</t>
  </si>
  <si>
    <t>Temporis Lille</t>
  </si>
  <si>
    <t>ULTIMATE GROUP</t>
  </si>
  <si>
    <t>BAT FAB URGENT</t>
  </si>
  <si>
    <t>PISCINE IBIZA VEHICULE Perpignan</t>
  </si>
  <si>
    <t>BAT envoté le 23/01 - FAB A FAIRE / en attente point adhésif trop grand Mickaël</t>
  </si>
  <si>
    <t>DETAIL CAR - CANNES</t>
  </si>
  <si>
    <t>Nouveau dossier - Tous les éléments son déjà sur le serveur</t>
  </si>
  <si>
    <t>Brenntag - Chassieu Dépôt</t>
  </si>
  <si>
    <t>Modif envoyé le 24/01</t>
  </si>
  <si>
    <t>Brenntag Chassieu - Bureau</t>
  </si>
  <si>
    <t>Attente validation "Brenntag Dépot" pour lancer FAB</t>
  </si>
  <si>
    <t>Emilie and The Cool Kids - Nice</t>
  </si>
  <si>
    <t>Maquette définitive à faire - BAT envoyé le 28/11 - Modif envoyé le 06/12 - Attente nouvelle VT suite appel et mail du 04/01 - Et appel du 11.01 - Nouveau BAT et demande devis pour Neon Flex le 19/01</t>
  </si>
  <si>
    <t>Brenntag - Stickers</t>
  </si>
  <si>
    <t>FAB A FAIRE ? Je lance le tout ?</t>
  </si>
  <si>
    <t>Centre Dentaire - Oullins</t>
  </si>
  <si>
    <t>PROBEO - ST Denis &amp; Villeneuve la Garenne</t>
  </si>
  <si>
    <t>BAT envoyé le 25/01 - VNoir ok - Attente retour Michael</t>
  </si>
  <si>
    <t>PISCINE IBIZA VEHICULE Colombiers</t>
  </si>
  <si>
    <t>BAT envoté le 23/01 - FAB A FAIRE</t>
  </si>
  <si>
    <t>BAT envoyé le 07/12 - BAT modif envoyé le 13/12 - Modif envoyé le 15/12 - Modif envoyé le 02/01 - Modif envoyé le 05/01 x2 - FAB des enseignes OK - FAB CDV ET PLAQUETTES A FAIRE</t>
  </si>
  <si>
    <t>WTR - Point S Crolles</t>
  </si>
  <si>
    <t>Gagnaire associés</t>
  </si>
  <si>
    <t>SAS Cookie en folie - Aix</t>
  </si>
  <si>
    <t>Refab et BAT atelier</t>
  </si>
  <si>
    <t>PISCINE IBIZA LA ROCHELLE</t>
  </si>
  <si>
    <t>BAT 2 envoyé le 16/01 -  FAB A FAIRE</t>
  </si>
  <si>
    <t>POINT S - CHATENOY EN BRESSE</t>
  </si>
  <si>
    <t>COPRO</t>
  </si>
  <si>
    <t>Attente retour Michael</t>
  </si>
  <si>
    <t>BLACK HAT TATOO</t>
  </si>
  <si>
    <t>Temporis - Bruz</t>
  </si>
  <si>
    <t>Temporis Tarbes</t>
  </si>
  <si>
    <t>POINT S - BERNES SUR OISE</t>
  </si>
  <si>
    <t>Cdv Michael</t>
  </si>
  <si>
    <t>SAS Carpor - Intermarché La Biolle</t>
  </si>
  <si>
    <t>BAT envoyé le 02/01</t>
  </si>
  <si>
    <t>DAVIA</t>
  </si>
  <si>
    <t>Nouveau dossier FP</t>
  </si>
  <si>
    <t>Camif Habitat Thionville</t>
  </si>
  <si>
    <t>ATTENTE VALIDATION MAIRIE POUR FAB ENSEIGNES ET ADHESIFS (Intérieur et Véhicule OK) FAB A FAIRE</t>
  </si>
  <si>
    <t>BAT Copro envoyé le 29/11 - Modif le 15/12 - Dossier passé pour Guillaume</t>
  </si>
  <si>
    <t>AFFICHES PETITES COCOTTE</t>
  </si>
  <si>
    <t xml:space="preserve">FP JUSTE FAB </t>
  </si>
  <si>
    <t>Piscine Ibizia - Colombiers - Devanture</t>
  </si>
  <si>
    <t>BAT envoyé le 03/01 -  BAT v2 envoyé le 12/01 - FAB A FAIRE - MANQUE plus que la BACHE</t>
  </si>
  <si>
    <t>MKA</t>
  </si>
  <si>
    <t>Espace Co-Working</t>
  </si>
  <si>
    <t>BAT Envoyé le 12/01 - FAB A FAIRE</t>
  </si>
  <si>
    <t>Temporis - Anglet</t>
  </si>
  <si>
    <t>Caisson SIRHA</t>
  </si>
  <si>
    <t>COMPTOIR ROOSEVELT</t>
  </si>
  <si>
    <t>TA Invest - Bagelstein Villefranche</t>
  </si>
  <si>
    <t>BAT envoyé le 12/12 - Modif le 13/12 - Devis signé le 16/12 pour les enseignes - Attente retour atelier pour FAB DB</t>
  </si>
  <si>
    <t>Chambre Funéraire</t>
  </si>
  <si>
    <t>BAT renvoyé le 02/11 - Relance le 08/11 - Brief à Antoine le 08/11 - BAT "Chambre funéraire" envoyé le 16/12 - Attente pour In Rosa - Attente confirmation police d'écriture</t>
  </si>
  <si>
    <t>Piscine Ibiza Pia - Siege</t>
  </si>
  <si>
    <t>Nouveau BAT le 01/12 - Modif à faire + Proto plexi - Devis en cours pour sous traitance - Modif totem envoyé le 30/12 - FAB A FAIRE restante → Plaque plexi</t>
  </si>
  <si>
    <t>UPS - Jonage</t>
  </si>
  <si>
    <t>Attente OK Antoine avant de refab</t>
  </si>
  <si>
    <t>Temporis - Les Ponts Tarrets</t>
  </si>
  <si>
    <t>Voile de fond</t>
  </si>
  <si>
    <t>Adenior St Amant</t>
  </si>
  <si>
    <t>Logistic Operatons</t>
  </si>
  <si>
    <t>Temporis - Guingamp</t>
  </si>
  <si>
    <t>BAT envoyé via FP le 12/01</t>
  </si>
  <si>
    <t>Décathlon - Marseille</t>
  </si>
  <si>
    <t>Xefi Sprintech 208</t>
  </si>
  <si>
    <t>BAT envoyé le 10/11 - Relance faite -Nouvelle relance le 12/12</t>
  </si>
  <si>
    <t>Temporis - Modification tarif</t>
  </si>
  <si>
    <t>Modification site interne de tout les tarifs (très longs !!!!)</t>
  </si>
  <si>
    <t>BAGELSTEIN</t>
  </si>
  <si>
    <t>BAT envoyé LE 05/01 - FAB A FAIRE</t>
  </si>
  <si>
    <t>Temporis - Montauban</t>
  </si>
  <si>
    <t xml:space="preserve">BAT VT envoyé le 02/12 - BAT envoyé le 02/01 - Attente nouvelle VT MAIS FAB A FAIRE du reste </t>
  </si>
  <si>
    <t>Temporis - rebranding</t>
  </si>
  <si>
    <t>Attente retour Michael pour envoi à Temporis</t>
  </si>
  <si>
    <t>Stella Luna</t>
  </si>
  <si>
    <t>BAT envoyé au franchiseur le 13/12 - Modif envoyé le 14/12 -  Modif envoyé le 16/12 - Attente retour VT pour FAB</t>
  </si>
  <si>
    <t>Emilie and The Cool Kids - Cagnes sur Mer</t>
  </si>
  <si>
    <t>Attente validation</t>
  </si>
  <si>
    <t>ria FR4748</t>
  </si>
  <si>
    <t>RIA FR234</t>
  </si>
  <si>
    <t>Attente retour client</t>
  </si>
  <si>
    <t>RIA FR12050</t>
  </si>
  <si>
    <t>SQ Lyon route de Vienne</t>
  </si>
  <si>
    <t>Dossier mairie</t>
  </si>
  <si>
    <t>RIA FR9300</t>
  </si>
  <si>
    <t>Emilie and the cool plexi</t>
  </si>
  <si>
    <t>?</t>
  </si>
  <si>
    <t>SQ Paris Chateaudun</t>
  </si>
  <si>
    <t>RIA FR sans nom</t>
  </si>
  <si>
    <t>RIA FR12501</t>
  </si>
  <si>
    <t>Craft Décor</t>
  </si>
  <si>
    <t>Euronet - ValMorel</t>
  </si>
  <si>
    <t>SIRHA TAZITA</t>
  </si>
  <si>
    <t>Nouveau dossier - Faire brief avant</t>
  </si>
  <si>
    <t>Temporis</t>
  </si>
  <si>
    <t>Ouverture prochaine</t>
  </si>
  <si>
    <t>STELA LUNA</t>
  </si>
  <si>
    <t>Callage VT - trouver VT - FAB A FAIRE</t>
  </si>
  <si>
    <t>CABINET WILSON</t>
  </si>
  <si>
    <t>BAT texte blanc etplus grand envoyé le 05/01 -  à relancer pose le 13 -  FAB  A FAIRE</t>
  </si>
  <si>
    <t>Sabelline</t>
  </si>
  <si>
    <t>JB-Avocat</t>
  </si>
  <si>
    <t>Nouvelle boite mail</t>
  </si>
  <si>
    <t>Brenntag Trophée</t>
  </si>
  <si>
    <t>208 noire 5p</t>
  </si>
  <si>
    <t>Brenntag - Paris 14</t>
  </si>
  <si>
    <t>Envoie du BAT à Michael le 05/01</t>
  </si>
  <si>
    <t>EHPAD LES TILLHEULS</t>
  </si>
  <si>
    <t>SUIVRE COMMANDE</t>
  </si>
  <si>
    <t>NV400 L3H2</t>
  </si>
  <si>
    <t>BAY envoyé le 03/01 - BAT v2 envoyé le 03/01 - validé - FAB A FAIRE</t>
  </si>
  <si>
    <t>LIGUE AURA RUGBY</t>
  </si>
  <si>
    <t>MODIFIER BAT POUR POSE</t>
  </si>
  <si>
    <t>SG Architecte</t>
  </si>
  <si>
    <t>Attente retour client RAL</t>
  </si>
  <si>
    <t>DECAT PROJET SKI</t>
  </si>
  <si>
    <t>VERIFIER CONTROL REALISAPRINT</t>
  </si>
  <si>
    <t xml:space="preserve">Luc PEPE </t>
  </si>
  <si>
    <t>Fichier manquand pour la fab , demandé au client</t>
  </si>
  <si>
    <t>Ligue Aura Rugby</t>
  </si>
  <si>
    <t>FAB A ENVOYER</t>
  </si>
  <si>
    <t>KREATURe DECAT</t>
  </si>
  <si>
    <t>BAT Envoyé le 28/12</t>
  </si>
  <si>
    <t>Malka</t>
  </si>
  <si>
    <t>Refab adhésif noir</t>
  </si>
  <si>
    <t>CELLENION</t>
  </si>
  <si>
    <t>BAT envoyé le 07/12 -  client relancé le 28/12 - validé -  FAB A FAIRE</t>
  </si>
  <si>
    <t>Cabinet Wilson</t>
  </si>
  <si>
    <t>BAT envoyé le 13/12 - BAT V2 envoyé le 15/12 - BAT v3 envoyé le 20/12 - BAT v5 envoyé le 23/12 FAB A FAIRE</t>
  </si>
  <si>
    <t>speedy sending</t>
  </si>
  <si>
    <t>La Retail Fabrik</t>
  </si>
  <si>
    <t>Bioburger</t>
  </si>
  <si>
    <t>en attente RAL façade client</t>
  </si>
  <si>
    <t>Roll Up sur FP - Mail de Michael</t>
  </si>
  <si>
    <t>Kipli</t>
  </si>
  <si>
    <t>Mail incohérence le 16/12 - Voir réponse du 20/12 pour modif</t>
  </si>
  <si>
    <t>Hôtel Moulin Plaza</t>
  </si>
  <si>
    <t xml:space="preserve">Nouveau dossier </t>
  </si>
  <si>
    <t>La petite cocotte</t>
  </si>
  <si>
    <t>Urban Assainissement</t>
  </si>
  <si>
    <t>Véhicule - Dossier sur FreshProcess - Vt sur le serveur - Apparement on en a déjà fait un</t>
  </si>
  <si>
    <t>Speedy Sending</t>
  </si>
  <si>
    <t>A faire dossier FreshProcess (Carte de visite)</t>
  </si>
  <si>
    <t>Dental Kar</t>
  </si>
  <si>
    <t>Kit Horaire - Nouveau dossier</t>
  </si>
  <si>
    <t>Confort Glass</t>
  </si>
  <si>
    <t>Fichier prêt à la prod - A lancer sur WoW - Si nécessaire petit brief avec Antoine</t>
  </si>
  <si>
    <t>steep plastique</t>
  </si>
  <si>
    <t>SQ Orange</t>
  </si>
  <si>
    <t>RIA FR7438</t>
  </si>
  <si>
    <t>ROUGE ET NOIR</t>
  </si>
  <si>
    <t>EAST LODGE</t>
  </si>
  <si>
    <t>Taxi Ambulance</t>
  </si>
  <si>
    <t>BAT envoyé le 15/12</t>
  </si>
  <si>
    <t>Leclerc - Voyage</t>
  </si>
  <si>
    <t>BAT envoyé le 12/12 - Modif envoyé le 15/12 - Modif envoyé le 15/12</t>
  </si>
  <si>
    <t>BATs EURONET à revoir</t>
  </si>
  <si>
    <t xml:space="preserve">Copro </t>
  </si>
  <si>
    <t>BAT envoyé le 20/12</t>
  </si>
  <si>
    <t>STELLA LUNA</t>
  </si>
  <si>
    <t>BAT et BAT VT envoyé le 21/12</t>
  </si>
  <si>
    <t>BAT envoyé le 12/12 - FAB A FAIRE</t>
  </si>
  <si>
    <t>Temporis Concarneau</t>
  </si>
  <si>
    <t xml:space="preserve">GUY HOQUET </t>
  </si>
  <si>
    <t>BAT envoyé le 20/12 - FAB A FAIRE</t>
  </si>
  <si>
    <t>Leclerc Voyage</t>
  </si>
  <si>
    <t>BAT envoyé el 16/12 - validé -  FAB A FAIRE</t>
  </si>
  <si>
    <t>Euronet FRMD0301 - Artannes</t>
  </si>
  <si>
    <t>Nouveau dossier - BAT envoyé le 15/12 validé - FAB A FAIRE</t>
  </si>
  <si>
    <t>Carte de voeux - JMJCOM</t>
  </si>
  <si>
    <t xml:space="preserve">Proposition envoyée </t>
  </si>
  <si>
    <t>BAT réalisé - FAB A FAIRE</t>
  </si>
  <si>
    <t>TAZITA - Ales</t>
  </si>
  <si>
    <t>BAT envoyé le 28/09 - ATTENTE INFOS COMPLEMENTAIRES</t>
  </si>
  <si>
    <t xml:space="preserve">VT Tazita </t>
  </si>
  <si>
    <t>Trelissac - Terrasson - Lempdes</t>
  </si>
  <si>
    <t xml:space="preserve">Temporis - Valence </t>
  </si>
  <si>
    <t>BAT envoyé le 08/12 - Modif envoyé le 13/12 - FAB A FAIRE</t>
  </si>
  <si>
    <t>Ates - AYN</t>
  </si>
  <si>
    <t>BAT envoyé le 23/11 - BAT v2 envoyé le 15/12</t>
  </si>
  <si>
    <t>SARL EJ</t>
  </si>
  <si>
    <t>Attention deadline pose le 19 - BAT envoyé le 13/12 - BAT envoyé le 14/12 - FAB A FAIRE</t>
  </si>
  <si>
    <t>Figo</t>
  </si>
  <si>
    <t>En attente devis caisson lum GEP</t>
  </si>
  <si>
    <t>Lady Sushi - Toulouse</t>
  </si>
  <si>
    <t>BAT envoyé le 03/11 - Relance le 08/11 - Relance par Michael le 21/11</t>
  </si>
  <si>
    <t>Point Code - Valence</t>
  </si>
  <si>
    <t>BAT envoyé au franchiseur le 09/12 - BAT envoyé au franchisé le 12/12 - Modif le 13/12 - FAB A FAIRE</t>
  </si>
  <si>
    <t>Les Eclaireurs</t>
  </si>
  <si>
    <t>ND</t>
  </si>
  <si>
    <t>croi</t>
  </si>
  <si>
    <t>BAT envoyé le 12/12 - validé - FAB A FAIRE</t>
  </si>
  <si>
    <t>Achat poste Ruben : OK // Mail Ruben : Signature mail à faire quand réception du PC // CdV : Attente N° de tél</t>
  </si>
  <si>
    <t>Le Penjab</t>
  </si>
  <si>
    <t>BAT envoyé le 31/10 - Modif le 10/11 - Modif le 15/11 - Modif le 23/11 - FAB OK - Demande devis pour store et lambrequin en cours</t>
  </si>
  <si>
    <t>Piscine Ibizia - Colombiers - Véhicule</t>
  </si>
  <si>
    <t>BAT envoyé le 14/12 -  FAB A FAIRE</t>
  </si>
  <si>
    <t>BAT envoyé le 14/12 -  validé - FAB A FAIRE</t>
  </si>
  <si>
    <t>BAT et VT envoyé le 10/10 - Modif envoyé le 11/10 - Modif envoyé le 25/10 - Modif envoyé le 03/11 - BAT envoyé le 15/11 - Modif envoyé le 28/11 - FAB A FAIRE</t>
  </si>
  <si>
    <t>The Beauty Lab</t>
  </si>
  <si>
    <t>FAB A FAIRE -BAT envoyé le 06/12 - Adhésif meuble</t>
  </si>
  <si>
    <t>V1 Vidéo envoyé le 09/12</t>
  </si>
  <si>
    <t>BAT envoyé le 05/12 - Modif envoyé le 08/12 - Modif le 09/12 - FAB A FAIRE</t>
  </si>
  <si>
    <t>Refab certains éléments</t>
  </si>
  <si>
    <t xml:space="preserve">Atol Lyon 6 </t>
  </si>
  <si>
    <t>GDS Rambouillet</t>
  </si>
  <si>
    <t>BAT envoyé à Sophie-Amélie le 01/12 - Ok S.A. → BAT envoyé au franchisé le 02/12 - FAB A FAIRE</t>
  </si>
  <si>
    <t>Temporis - Le Mans</t>
  </si>
  <si>
    <t>BAT envoyé le 08/12 - FAB A FAIRE</t>
  </si>
  <si>
    <t>BAT VT - Tazita Montauban</t>
  </si>
  <si>
    <t>Montauban</t>
  </si>
  <si>
    <t>MALKA</t>
  </si>
  <si>
    <t>BAT envoyé le 06/12 - FAB A FAIRE</t>
  </si>
  <si>
    <t xml:space="preserve">nouveau BAT pour Impression d'une carte </t>
  </si>
  <si>
    <t>KMI</t>
  </si>
  <si>
    <t>KMI - BAT envoué me 07/12</t>
  </si>
  <si>
    <t>Proposition envoyée - Voir avec Jordan</t>
  </si>
  <si>
    <t>Tazita - VT</t>
  </si>
  <si>
    <t>Check les VT pour indiquer si nacelle ou non</t>
  </si>
  <si>
    <t>Maison des familles</t>
  </si>
  <si>
    <t>GSEH - Lyon</t>
  </si>
  <si>
    <t>Temporis Châlons en Champagne</t>
  </si>
  <si>
    <t>BAT envoyé le 01/12 - FAB A FAIRE</t>
  </si>
  <si>
    <t>Detail Car - Francheville</t>
  </si>
  <si>
    <t>BAT envoyé le 23/11 - BAT complet envoyé le 29/11 - FAB enseigne OK - Attente nouvelle VT pour FAB du reste - FAB A FAIRE</t>
  </si>
  <si>
    <t>Dentinov Oullins</t>
  </si>
  <si>
    <t>Attente dimensions fenêtre "Welcome"</t>
  </si>
  <si>
    <t>Kreature - Carrefour Groisy</t>
  </si>
  <si>
    <t>BAT envoyé le 05/12</t>
  </si>
  <si>
    <t>Dentinov - St Etienne</t>
  </si>
  <si>
    <t>BAT envoyé le 15/11 - Modif envoyé le 17/11 - FAB ENSEIGNE ok → FAB ADHESIF A FAIRE</t>
  </si>
  <si>
    <t>ANECO</t>
  </si>
  <si>
    <t>Xefi Garage Caffon</t>
  </si>
  <si>
    <t>Euronet FRRD0357 - Tabac de L'Ilette</t>
  </si>
  <si>
    <t>BAT envoyé le 23/11 - FAB A FAIRE</t>
  </si>
  <si>
    <t>Euronet -Dianedis FRRD0421</t>
  </si>
  <si>
    <t>Projet Gi Group Fiiver - Faire les modifs pour rendre la vidéo mieux</t>
  </si>
  <si>
    <t>Paramétrage imprimante du haut pour commerciaux</t>
  </si>
  <si>
    <t>URBAN ASSAINISSEMENT</t>
  </si>
  <si>
    <t>Nouveau dossier - Pas de BAT</t>
  </si>
  <si>
    <t>PORTAL P</t>
  </si>
  <si>
    <t>BAT envoyé le 28/11 - FAB A FAIRE</t>
  </si>
  <si>
    <t>Temporis Tours Nord</t>
  </si>
  <si>
    <t>BAT envoyé le 24/11 - FAB A FAIRE</t>
  </si>
  <si>
    <t>Kit horaire - Fab préparé attente OK pour envoi du mail FAB et BAT ok</t>
  </si>
  <si>
    <t>Red Distribution</t>
  </si>
  <si>
    <t>BAT envoyé le 22/11 - Modif le 23/11 - FAB A FAIRE</t>
  </si>
  <si>
    <t>TOMBER DES NUES</t>
  </si>
  <si>
    <t>BAT envoyé le 25/11 - FAB A FAIRE (Oriflammes commandés)</t>
  </si>
  <si>
    <t>OCORDO</t>
  </si>
  <si>
    <t>BAT véhicule et devanture envoyé le 19/10 - Modif envoyé le 21/10</t>
  </si>
  <si>
    <t>Laurent Dray</t>
  </si>
  <si>
    <t>Dentinov - Oullins</t>
  </si>
  <si>
    <t>Attentes éléments client</t>
  </si>
  <si>
    <t>Régie Dervault - Lyon 6</t>
  </si>
  <si>
    <t>BAT envoyé le 15-11 - Modif à faire</t>
  </si>
  <si>
    <t>Xefi Sprintech Magasin</t>
  </si>
  <si>
    <t>Réinter ? SUivant quels dimensions ?</t>
  </si>
  <si>
    <t>Xefi Lyon 2</t>
  </si>
  <si>
    <t>BAT envoyé le 22/11 - Modif envoyé le 23/11</t>
  </si>
  <si>
    <t>à finaliser</t>
  </si>
  <si>
    <t>Au fil des Marques</t>
  </si>
  <si>
    <t xml:space="preserve">BAT envoyé le 21/11
FAB A FAIRE </t>
  </si>
  <si>
    <t>Duong Agencement</t>
  </si>
  <si>
    <t>Galaxie my name</t>
  </si>
  <si>
    <t>Modifs à faire</t>
  </si>
  <si>
    <t>GDS PAris 12</t>
  </si>
  <si>
    <t>En dossier mairie (25/05) - attente validation du dossier mairie pour faire FAB suivant VT + Confirmation dimension mur de mot intérieur ||  BAT mairie refait le 21/07 - FAB A FAIRE</t>
  </si>
  <si>
    <t>BAT envoyé le 18/11 - Souci sur les fichiers - BAT envoyé le 21/11</t>
  </si>
  <si>
    <t xml:space="preserve">LSM </t>
  </si>
  <si>
    <t>BAT le 10/11 - Modif envoyé le 21/11</t>
  </si>
  <si>
    <t>Cadres Gi Group</t>
  </si>
  <si>
    <t>REFAIRE TOUT LES VISUELS AUX BONNES DIMENSIONS + FAB</t>
  </si>
  <si>
    <t>Emilie and The Cool Kids - Lille</t>
  </si>
  <si>
    <t>Devis signé le 14/11 - Mail FAB ok à faire</t>
  </si>
  <si>
    <t>FAB A FAIRE - Lancer la bâche</t>
  </si>
  <si>
    <t>BAT envoyé le 15-11</t>
  </si>
  <si>
    <t>CVDS</t>
  </si>
  <si>
    <t>BAT envoyé 8-11</t>
  </si>
  <si>
    <t>Hopitaux du Léman</t>
  </si>
  <si>
    <t>Euronet FRRD0397 - Spar Île des Pecheurs</t>
  </si>
  <si>
    <t>FAB A FAIRE - Suivant VT</t>
  </si>
  <si>
    <t>RGN</t>
  </si>
  <si>
    <t>Nouveau dossier (Refab) - Demande info le 15/11</t>
  </si>
  <si>
    <t>Nobel Santé - Adhésif</t>
  </si>
  <si>
    <t>BAT le 14/11</t>
  </si>
  <si>
    <t>Olami - Montpellier</t>
  </si>
  <si>
    <t>Lecler Meyzieux</t>
  </si>
  <si>
    <t>BAT envoyé le 02/11 - Relance le 14/11</t>
  </si>
  <si>
    <t>Loutsa - 55 Av des F.L.</t>
  </si>
  <si>
    <t>BAT envoyé le 10/11 - Modif le 14/11 (x2)</t>
  </si>
  <si>
    <t>GDS - Saint Jean de Braye</t>
  </si>
  <si>
    <t>Marquage véhicule - BAT envoyé le 14/10 - Modif envoyé le 24/10 - Modif le 26/10 (x2) - Modif le 03/11 (x2) - Modif le 10/11</t>
  </si>
  <si>
    <t>Centre dentaine Nobel Oullins</t>
  </si>
  <si>
    <t>FAB ENSEIGNES OK - FAB A FAIRE adhésif</t>
  </si>
  <si>
    <t>Emilie &amp; The Cool Kids - Aix</t>
  </si>
  <si>
    <t>FAB ENSEIGNE ok → Reste à valider les adhésifs - Appel Eliz le 20/10 (pas de réponse, message sur le répondeur) + mail et appel le 26/10 - Modif le 14/11 (x2)</t>
  </si>
  <si>
    <t>Piscine Ibiza - Pia</t>
  </si>
  <si>
    <t>BAT envoyé le 10/11</t>
  </si>
  <si>
    <t>Décathlon - Plagne Moutain</t>
  </si>
  <si>
    <t>BAT envoyé le 09/11</t>
  </si>
  <si>
    <t>Répondre pour le flyer, attention à la qualité plus pas de débords</t>
  </si>
  <si>
    <t>Décathlon - Annemasse</t>
  </si>
  <si>
    <t>Haribo - Limoges</t>
  </si>
  <si>
    <t>Temporis Le Havre</t>
  </si>
  <si>
    <t>BAT modifié envoyé le 08/11</t>
  </si>
  <si>
    <t>Temporis - Strasbourg Nord</t>
  </si>
  <si>
    <t>Temporis Auxerre</t>
  </si>
  <si>
    <t>Temporis - Langres</t>
  </si>
  <si>
    <t>Temporis - Lot et Garonne</t>
  </si>
  <si>
    <t>Temporis Selestat</t>
  </si>
  <si>
    <t>Temporis - EU</t>
  </si>
  <si>
    <t>La Box de Charly</t>
  </si>
  <si>
    <t>BAT envoyé le 08/11</t>
  </si>
  <si>
    <t>Iman Pack</t>
  </si>
  <si>
    <t>BAT envoyé le 02/11 - Modif le 07/11 - Modif le 08/11</t>
  </si>
  <si>
    <t>BAT validé → Vérifier les affiches → Fichiers FAB à faire quand ok Antoine (paiement)</t>
  </si>
  <si>
    <t>Megavision</t>
  </si>
  <si>
    <t>EN FAB - VT programmé</t>
  </si>
  <si>
    <t>Décathlon Epagny</t>
  </si>
  <si>
    <t>BAT envoyé le 03/11</t>
  </si>
  <si>
    <t>Décathlon - Epagny</t>
  </si>
  <si>
    <t>Attente élément pour refab totem et horaires</t>
  </si>
  <si>
    <t>Visuel recrutement</t>
  </si>
  <si>
    <t>Ikea Nice - EATCK</t>
  </si>
  <si>
    <t>Euronet FRRD0392 - Station Avia Seyne sur Mer</t>
  </si>
  <si>
    <t>BAT envoyé le 03/11 - Modif BAT à faire après nouvelle VT</t>
  </si>
  <si>
    <t>Temporis Loroux Bottereau</t>
  </si>
  <si>
    <t>Refab élément vitrine</t>
  </si>
  <si>
    <t>Point Code Le Mans</t>
  </si>
  <si>
    <t>Fichiers backlight à mettre en prod</t>
  </si>
  <si>
    <t>Fabrice Chauville</t>
  </si>
  <si>
    <t>BAT VT envoyé le 28/10</t>
  </si>
  <si>
    <t>TRANS24</t>
  </si>
  <si>
    <t>BAT le 11/10</t>
  </si>
  <si>
    <t>ADENIOR - ST AMAND LES EAUX - VEHICULE</t>
  </si>
  <si>
    <t>vehicule Hunday - BAT envoyé 06/09 - Relance le 12/09 [Dossier David] - Modif envoyé le 16/09 - Relance le 19/10 - Modif le 25/10</t>
  </si>
  <si>
    <t>3 BAT VT a faire</t>
  </si>
  <si>
    <t>LMT</t>
  </si>
  <si>
    <t>FAB A FAIRE (4/5 véhicules à faire)</t>
  </si>
  <si>
    <t>Gi group - Chambéry Le Cheylas</t>
  </si>
  <si>
    <t>Anacours - Ferney Voltaire</t>
  </si>
  <si>
    <t>Le petit lunetier marseille</t>
  </si>
  <si>
    <t>Refaire horaire</t>
  </si>
  <si>
    <t>Pyramide Conseil</t>
  </si>
  <si>
    <t>Dentinov - St Ouen</t>
  </si>
  <si>
    <t>Yohav carte</t>
  </si>
  <si>
    <t>Attente réponse Michael</t>
  </si>
  <si>
    <t>Point code - Paris</t>
  </si>
  <si>
    <t>FAB A FAIRE SUIVANT VT</t>
  </si>
  <si>
    <t>Temporis - Ponts Tarrets</t>
  </si>
  <si>
    <t>Décathlon - Scionzier</t>
  </si>
  <si>
    <t>Euronet FRRD0346 - Sherpa Praz sur Arly</t>
  </si>
  <si>
    <t>FAB A FAIRE - Tasseau 50mm + lancer le dossier</t>
  </si>
  <si>
    <t>Café Vatel</t>
  </si>
  <si>
    <t>BAT envoyé le 17/10</t>
  </si>
  <si>
    <t>KABUKI</t>
  </si>
  <si>
    <t>BAT envoyé le 21/10 - Vérfier si match avec la VT après retour client</t>
  </si>
  <si>
    <t>GDS Gaillard</t>
  </si>
  <si>
    <t>MR - Enseigne - Kiff Ca</t>
  </si>
  <si>
    <t>BAT envoyé le 20/10</t>
  </si>
  <si>
    <t>XEFI - Montpellier Sprintech</t>
  </si>
  <si>
    <t>FAB A FAIRE (Validation le 14/10) Attente confirmation pas de laquage</t>
  </si>
  <si>
    <t>LES ECLAIREURS</t>
  </si>
  <si>
    <t>BAT VT le 11/10 et BAT lle 11/10 - Modif le 14/10 - Modif le 19/10 - Modif le 21/10</t>
  </si>
  <si>
    <t>Temporis Souillac</t>
  </si>
  <si>
    <t>BAT envoyé le 18/10</t>
  </si>
  <si>
    <t>Severine</t>
  </si>
  <si>
    <t>Plaqutte Comm</t>
  </si>
  <si>
    <t>STEEP</t>
  </si>
  <si>
    <t>Refaire bâche</t>
  </si>
  <si>
    <t>Temporis Terrasson</t>
  </si>
  <si>
    <t>BAT le 17/10</t>
  </si>
  <si>
    <t>EURONET FRRD0402 SHERPA SUPERMARCHE - VALMOREIL</t>
  </si>
  <si>
    <t>Dossier mairie envoyé 30/08 (voir avec Orianne)</t>
  </si>
  <si>
    <t>EURONET FRRD0401 - CHAMONIX</t>
  </si>
  <si>
    <t>VT envoyé 14/06 / VT reçu 19/07
Dossier mairie en cours (Envoyé le 30/08)
Pas de FAB à faire : utilisation caisson déjà produit
déjà emballé en atelier : ref dossier noté dessus FRRD0401 - CHAMONIX
 (carré bleu) (voir avec Orianne)</t>
  </si>
  <si>
    <t>EURONET FRRD0413 - LE NAPOLEONE - NICE</t>
  </si>
  <si>
    <t>VT ENVOYE 13/09 BAT ENVOYE 19/09</t>
  </si>
  <si>
    <t>COOKERS PERRACHE</t>
  </si>
  <si>
    <t>BAT ENVOYE 12/09V NOUVEAU BAT 20/09 REFAIRE BAT RETOUR BAT A FAIRE</t>
  </si>
  <si>
    <t>SQ Lyon Vienne</t>
  </si>
  <si>
    <t>Loutsa</t>
  </si>
  <si>
    <t>Kreature - Decathlon Oyonnax</t>
  </si>
  <si>
    <t>Publication réseau sociaux - Recrutement - Modif à faire</t>
  </si>
  <si>
    <t>FAB A FAIRE - Attente picto intérieur</t>
  </si>
  <si>
    <t>TEMPORIS - Villeneuve d'asq</t>
  </si>
  <si>
    <t>Jonathan Dray</t>
  </si>
  <si>
    <t>Flyer A6 Bat Mitva - A lancer en FAB</t>
  </si>
  <si>
    <t>Auto-Ecole Leclerc</t>
  </si>
  <si>
    <t>Refaire n°</t>
  </si>
  <si>
    <t>POINT CODE - Le Mans</t>
  </si>
  <si>
    <t>Modif à faire sur le BAT</t>
  </si>
  <si>
    <t>Kreature - Décathlon Chambéry</t>
  </si>
  <si>
    <t>BAT envoyé à Michael le 11/10</t>
  </si>
  <si>
    <t>CAFON BOILEAU</t>
  </si>
  <si>
    <t>EURONET - TABAC DES SONNETTES</t>
  </si>
  <si>
    <t>Dentinov - St ouen</t>
  </si>
  <si>
    <t>BAT envoyé 29/08 - VT envoyé 01/09 - VT extérieur OK - 01/09
RELANCE 13/09</t>
  </si>
  <si>
    <t>EMILIE &amp; COOL KIDS - NICE</t>
  </si>
  <si>
    <t>NOUVEAU DOSSIER</t>
  </si>
  <si>
    <t xml:space="preserve">GDS </t>
  </si>
  <si>
    <t>Création maquette 3 véhicules - Modification envoyé le 13/04 - Relance le 18/05  - Relance le 29/07 - Relance 03/10</t>
  </si>
  <si>
    <t>Temporis St Etienne</t>
  </si>
  <si>
    <t>FAB A FAIRE - Avant le 07/10</t>
  </si>
  <si>
    <t>SARL LEO</t>
  </si>
  <si>
    <t>BAT envoyé le 04/10 (affiche A3) - Nouveau BAT le 07/10 (x2)</t>
  </si>
  <si>
    <t>Ardesca</t>
  </si>
  <si>
    <t>Madame a du style</t>
  </si>
  <si>
    <t>Myriam</t>
  </si>
  <si>
    <t>BLANC PUBLICITE</t>
  </si>
  <si>
    <t>BAT envoyé le 29/09</t>
  </si>
  <si>
    <t>Lady Sushi - Crolles</t>
  </si>
  <si>
    <t>Question concernant les fichiers reçus - 04/10</t>
  </si>
  <si>
    <t>Lady Sushi - Montbonnot</t>
  </si>
  <si>
    <t>Cookers Perrache</t>
  </si>
  <si>
    <t>Fab Flyer + PErrache restau</t>
  </si>
  <si>
    <t xml:space="preserve">Distinguez-vous </t>
  </si>
  <si>
    <t>Nelio Cabs</t>
  </si>
  <si>
    <t>SMC2</t>
  </si>
  <si>
    <t>EATalienne</t>
  </si>
  <si>
    <t>BOBBIES</t>
  </si>
  <si>
    <t>BAT envoyé le 05/10</t>
  </si>
  <si>
    <t>Studio Grimm</t>
  </si>
  <si>
    <t>BAT envoyé le 04/10</t>
  </si>
  <si>
    <t>Ax-Event</t>
  </si>
  <si>
    <t>Emilie and the cool kis nice</t>
  </si>
  <si>
    <t>Essence of Beauty</t>
  </si>
  <si>
    <t>BAT envoyé à Orianne le 30/09</t>
  </si>
  <si>
    <t>Adenior - Armentières</t>
  </si>
  <si>
    <t>BAT envoyé le 22/09 - Renvoyé le 27/09 - Nouveau BAT le 30/09</t>
  </si>
  <si>
    <t>Mail demande de dimension envoyé le 12/09 (Billetterie) - BAT Envoyé 03/10</t>
  </si>
  <si>
    <t>Service Auto - Mr Enseigne</t>
  </si>
  <si>
    <t>Monterau - Mr Enseignes</t>
  </si>
  <si>
    <t>Musée de l'illusion</t>
  </si>
  <si>
    <t>Kreature - Decathlon</t>
  </si>
  <si>
    <t>GDS - Forum franchise Lyon</t>
  </si>
  <si>
    <t>Novatech</t>
  </si>
  <si>
    <t>Temporis - Guérande</t>
  </si>
  <si>
    <t>BAT envoyé le 27/09</t>
  </si>
  <si>
    <t>FAB 208 + 3008 + Récap suivi</t>
  </si>
  <si>
    <t>All Design Concept - Mr. En.</t>
  </si>
  <si>
    <t>SLEA - Mr Enseigne</t>
  </si>
  <si>
    <t>Ok</t>
  </si>
  <si>
    <t>SYSTHEN</t>
  </si>
  <si>
    <t>Demande fichier 26/09</t>
  </si>
  <si>
    <t>Temporis - Doué en Anjou</t>
  </si>
  <si>
    <t>Plaquette PUB Agence Immobilière - Première version envoyé le 19/09</t>
  </si>
  <si>
    <t>Temporis - Eu</t>
  </si>
  <si>
    <t>BAT envoyé le 26/09</t>
  </si>
  <si>
    <t>RIA FR8272</t>
  </si>
  <si>
    <t>RIA FR60518</t>
  </si>
  <si>
    <t>RIA FR5385</t>
  </si>
  <si>
    <t>RIA FR7156</t>
  </si>
  <si>
    <t>RIA FR60050</t>
  </si>
  <si>
    <t>RIA FR10328</t>
  </si>
  <si>
    <t>RIA FR7724</t>
  </si>
  <si>
    <t>RIA FR11154</t>
  </si>
  <si>
    <t>Intermarché Garibaldi</t>
  </si>
  <si>
    <t>GUY HOQUET - VILLEURBANNE</t>
  </si>
  <si>
    <t>Hanane Beauté</t>
  </si>
  <si>
    <t>Analyse de capacité nécessaire + recherche disque dur sauvegarde froide</t>
  </si>
  <si>
    <t>Protection des mots de passe en les mettant dans un logiciel tiers</t>
  </si>
  <si>
    <t>Intermarché</t>
  </si>
  <si>
    <t>Demande éléments graphiques le 16/09 - Pas de réponse - regarder sur le serveur si je peux trouver</t>
  </si>
  <si>
    <t xml:space="preserve">Gi Group </t>
  </si>
  <si>
    <t>Attente tarif Michael</t>
  </si>
  <si>
    <t>GDS - Tassin la demie Lune</t>
  </si>
  <si>
    <t>BAT envoyé à S.A. le 13/09 - BAT envoyé au franchisé le 22/09</t>
  </si>
  <si>
    <t>Temporis - Toulouse</t>
  </si>
  <si>
    <t>MR Enseigne - Vitali</t>
  </si>
  <si>
    <t>KREATURE - Carrefour Gresy</t>
  </si>
  <si>
    <t>GDS saint Avold</t>
  </si>
  <si>
    <t>Tartine et Chocolat Biarritz</t>
  </si>
  <si>
    <t>BAT envoyé le 24/08 - Relance mail le 21/09</t>
  </si>
  <si>
    <t>VICTORINE</t>
  </si>
  <si>
    <t>BAT ENVOYE 21/09</t>
  </si>
  <si>
    <t>STUDIO GRIM - MR ENSEIGNES</t>
  </si>
  <si>
    <t>Gestion Santé</t>
  </si>
  <si>
    <t>Rajouter diapo avec des photos de l'open space</t>
  </si>
  <si>
    <t>MUSEE DE L'ILLUSION</t>
  </si>
  <si>
    <t>FAB OK 16/09</t>
  </si>
  <si>
    <t>Jeudi - Vidéo locaux W&amp;P</t>
  </si>
  <si>
    <t>ATTENTE VALID ANTOINE POUR LANCER FAB</t>
  </si>
  <si>
    <t>Trier les photos</t>
  </si>
  <si>
    <t>TEMPORIS</t>
  </si>
  <si>
    <t>FICHE TECH OK</t>
  </si>
  <si>
    <t>ATC GROUPE</t>
  </si>
  <si>
    <t>FAB OK 15/09</t>
  </si>
  <si>
    <t>ANGELINKS</t>
  </si>
  <si>
    <t>BAT 16/09</t>
  </si>
  <si>
    <t xml:space="preserve">CONCEPT AUTO </t>
  </si>
  <si>
    <t>RETOUCHE LOGO OK</t>
  </si>
  <si>
    <t>Modif chantier récap - Rajout onglet + code</t>
  </si>
  <si>
    <t>GI Group Levallois + Siege</t>
  </si>
  <si>
    <t>REFAB 3e Inter</t>
  </si>
  <si>
    <t>Demande les tarifs pour les deux versions des maquettes évhicules + fab derrière</t>
  </si>
  <si>
    <t>Préparation poste de travail Lyes Dib</t>
  </si>
  <si>
    <t>Temporis - Angers Sud</t>
  </si>
  <si>
    <t>BAT envoyé le 09/09 - Modif envoyée le 09/09</t>
  </si>
  <si>
    <t>Emilie &amp; COOL KIDS - NICE - BUREAU</t>
  </si>
  <si>
    <t>commande en cours Neon Flex : BeautyStarSign@outlook.com</t>
  </si>
  <si>
    <t>GiGroupe - Levallois + Haussman (Siege)</t>
  </si>
  <si>
    <t>attente retour client pour : dépoli + logo</t>
  </si>
  <si>
    <t>GIGROUP - PICTO NOS VALEURS</t>
  </si>
  <si>
    <t>BAT envoyé - 05/09 - attente validation couleurs</t>
  </si>
  <si>
    <t>Pharmacie du centre</t>
  </si>
  <si>
    <t xml:space="preserve"> BAT envoyé client 23/06/22 → Relancé 30/06/22 → 
En attente de validation 06/07/2022 → Nouvelle relance 15/07/22
En attente de validation BAT
Mail client : mikael.kessous@gmail.com</t>
  </si>
  <si>
    <t>Garage Caffon Boileau</t>
  </si>
  <si>
    <t>Côté droit - 208 ancienne .fr</t>
  </si>
  <si>
    <t>BAT ENVOYE  07/09 FAB OK 12/09</t>
  </si>
  <si>
    <t>LAURENT AZOULAY</t>
  </si>
  <si>
    <t>BAT ET FAB OK 05/09</t>
  </si>
  <si>
    <t>EN EQUILIBRE</t>
  </si>
  <si>
    <t xml:space="preserve">BAT ENVOYE  29/08 - ADHESIF OK EN ATTENTE DE MESURES STORE - 01/09 FAB OK LAMBREQUIN </t>
  </si>
  <si>
    <t>GDS Poissy</t>
  </si>
  <si>
    <t>Planche de test + réimpression nouvelle réinter</t>
  </si>
  <si>
    <t>Gi Group - Le Mans</t>
  </si>
  <si>
    <t>BAT envoyé le 08/09</t>
  </si>
  <si>
    <t>Temporis - Villeneuve d'Asq</t>
  </si>
  <si>
    <t>BAT envoyé le 09/09</t>
  </si>
  <si>
    <t>Piscine Ibiza - Colmar</t>
  </si>
  <si>
    <t>Lady Sushi Guérande</t>
  </si>
  <si>
    <t>bat envoyé - panneau alu sous enseigne adhésivé ou laqué - confirmation RAL ?</t>
  </si>
  <si>
    <t>dream immo</t>
  </si>
  <si>
    <t>réception caisson (partie avant) mercredi 07/09
GEP</t>
  </si>
  <si>
    <t>adenior</t>
  </si>
  <si>
    <t>refab</t>
  </si>
  <si>
    <t>RENT A CAR</t>
  </si>
  <si>
    <t>FAB OK 05/09</t>
  </si>
  <si>
    <t>BAT VT envoyé le 02/09</t>
  </si>
  <si>
    <t>DENTINOV BACHE</t>
  </si>
  <si>
    <t>BAT validé / en FAB</t>
  </si>
  <si>
    <t>DENTINOV - MICRO PERF - VITRY</t>
  </si>
  <si>
    <t>BAT envoyé 05/09 - validé 05/09 - FAB ok - 05/09</t>
  </si>
  <si>
    <t>Test impression pour réinter</t>
  </si>
  <si>
    <t>Repar vite</t>
  </si>
  <si>
    <t>BAT envoyé le 02/09</t>
  </si>
  <si>
    <t>BAT envoyé le 24/08 - Relance le 26/08</t>
  </si>
  <si>
    <t>Kit horaire</t>
  </si>
  <si>
    <t>BAT RE-envoyé / retour franchiseur ? - à supprimer ?</t>
  </si>
  <si>
    <t>GiGroupe - LABEGE</t>
  </si>
  <si>
    <t>?? pose avant les congés été</t>
  </si>
  <si>
    <t xml:space="preserve">Gi Group - Siege </t>
  </si>
  <si>
    <t>Adhésif coté comptabilité - BAT VALIDER - FAB OK</t>
  </si>
  <si>
    <t>ESPACE DE LOUEST LYONNAIS</t>
  </si>
  <si>
    <t>BAT envoyé 31/08 - FAB ok</t>
  </si>
  <si>
    <t>Temporis - Remiremont</t>
  </si>
  <si>
    <t>BAT envoyé le 31/08</t>
  </si>
  <si>
    <t xml:space="preserve">SHOWROOM </t>
  </si>
  <si>
    <t>lettres retrouvé en atelier</t>
  </si>
  <si>
    <t>XEFI - 308</t>
  </si>
  <si>
    <t xml:space="preserve">FAB ok 31/08 - Reneault .E-Tech envoyé 19/08 -  // BAT nvlle 308 envoyé </t>
  </si>
  <si>
    <t>Nom de domaine Ionos</t>
  </si>
  <si>
    <t>Tableau de récap chantier pour M.S.O.</t>
  </si>
  <si>
    <t>Jonathan</t>
  </si>
  <si>
    <t>Paramétrage accès VPN</t>
  </si>
  <si>
    <t>EURONET - FRRD0380 TABAC PORT PRESSE</t>
  </si>
  <si>
    <t>VT recue - BAT A FAIRE - caisson face plexi intégrale
DEVIS MATEL validé - adhésif envoyé - caissons reçu et posé adhésivé</t>
  </si>
  <si>
    <t>FRRD0389 TABAC DE L'ETOILE</t>
  </si>
  <si>
    <t>VT envoyée 23/06 - VT reçue - 19/07 - FAB FAIT - 1 caisson en cours (potences)</t>
  </si>
  <si>
    <t xml:space="preserve">Gi GROUP - Levallois perret </t>
  </si>
  <si>
    <t>BAT envoyé - FAB OK</t>
  </si>
  <si>
    <t>Gestion Santé - Medipole</t>
  </si>
  <si>
    <t xml:space="preserve">panneau parking OK FAIT
</t>
  </si>
  <si>
    <t>Temporis Quimperlé</t>
  </si>
  <si>
    <t>FAB A FAIRE - Avant le 01/09</t>
  </si>
  <si>
    <t>Pharmacie Gorge de Loup</t>
  </si>
  <si>
    <t xml:space="preserve">GI GROUP SIEGE </t>
  </si>
  <si>
    <t>BAT FAIT - VT RECUE 22/08
FAB depolié FAIT - 24/08
FAB OK</t>
  </si>
  <si>
    <t>Bat envoyé le 18/08 - Relance le 23/08 - Modif envoyée le 24/08</t>
  </si>
  <si>
    <t>Temporis Noyon</t>
  </si>
  <si>
    <t>FAB A FAIRE - Avant le 30/08</t>
  </si>
  <si>
    <t xml:space="preserve">Mr Enseignes - The My Hong </t>
  </si>
  <si>
    <t>FAB A FAIRE + BAT</t>
  </si>
  <si>
    <t>Mr Enseignes → VITALI</t>
  </si>
  <si>
    <t>ARG - panneaux PORCIEU</t>
  </si>
  <si>
    <t>retour client &gt; BAT re-envoyé 25/08 - BAT validé 25/08 - FAB OK</t>
  </si>
  <si>
    <t>SAR LEO / weedparadise</t>
  </si>
  <si>
    <t>relancer client pour les adhésifs intérieur + panneau cbd</t>
  </si>
  <si>
    <t>Emilie and the cool Kids
BILLANCOURT - LLA COFFE SHOP</t>
  </si>
  <si>
    <t xml:space="preserve">FAB AD Provisoire fait
FAB OK </t>
  </si>
  <si>
    <t>L'artigiano - Biomama</t>
  </si>
  <si>
    <t xml:space="preserve">FAB OK
A COMMANDER &gt; Carole ok
STORE BANNE : Sun&amp;Lux : store ban demande devis 17/08
4 SPOTS noir
</t>
  </si>
  <si>
    <t>Publication R.S W&amp;P</t>
  </si>
  <si>
    <t>REFAB + Nouveau BAT (Transfo + Néon)</t>
  </si>
  <si>
    <t>Mill Factory</t>
  </si>
  <si>
    <t>BAT VT à faire - à supprimer ?</t>
  </si>
  <si>
    <t>Beer o'clock</t>
  </si>
  <si>
    <t>BAT VT à faire</t>
  </si>
  <si>
    <t>Benahmed</t>
  </si>
  <si>
    <t>VT envoyée</t>
  </si>
  <si>
    <t>Trois appel le 28/06 pour me dire d'envoyer un mail (Mail envoyé le 29/06 + Relance mail le 05/07) - Florian retourne prendre les dimensions le 18/07 + le 20/07 - BAT envoyé le 28/07 - Relance le 23/08</t>
  </si>
  <si>
    <t>BdC 50452 - NV300 L2H1 - BAT envoyé le 28/07</t>
  </si>
  <si>
    <t xml:space="preserve"> Attente confirmation dim. Enseigne par Temporis (Fab déjà faite)</t>
  </si>
  <si>
    <t>Temporis Salon de Provence</t>
  </si>
  <si>
    <t>MANNADA OGAM CHICKEN</t>
  </si>
  <si>
    <t>BAT envoyé le 22/08</t>
  </si>
  <si>
    <t xml:space="preserve">PaperCut - Regarder le fonctionnement </t>
  </si>
  <si>
    <t>Temporis Fontenay le Compte</t>
  </si>
  <si>
    <t>Maquette véhicule</t>
  </si>
  <si>
    <t>SEPR</t>
  </si>
  <si>
    <t>BAT envoyé 17/08 - Bat validé - FAB ok</t>
  </si>
  <si>
    <t>Adenior SAINT-AMAND-LES-EAUX</t>
  </si>
  <si>
    <t>fab fait</t>
  </si>
  <si>
    <t>EURONET FRRD0391 - SAINT PONS GRIMAUD</t>
  </si>
  <si>
    <t>VT envoyée 07/07/2022 / VT reçu 25/07 / BAT validé FAB A FAIRE revoir fixation grand caisson</t>
  </si>
  <si>
    <t>Workd And Progress</t>
  </si>
  <si>
    <t>Prix HT</t>
  </si>
  <si>
    <t>DREAM IMOBILIER AGENCY</t>
  </si>
  <si>
    <t>FAB envoyé 25/07 - prévenir client date de pose</t>
  </si>
  <si>
    <t>OUTIL ACIER</t>
  </si>
  <si>
    <t>FAB FAIT - 17/08</t>
  </si>
  <si>
    <t>BAT envoyé - FAB envoyé 17/08</t>
  </si>
  <si>
    <t>GDS - Perpignan</t>
  </si>
  <si>
    <t>Refab de Kit Horaire</t>
  </si>
  <si>
    <t>Les Tilleuls</t>
  </si>
  <si>
    <t>Récap à la compta</t>
  </si>
  <si>
    <t>WORK&amp;PROGRESS</t>
  </si>
  <si>
    <r>
      <rPr>
        <rFont val="Comfortaa"/>
      </rPr>
      <t xml:space="preserve">commander stylo + Bloc note : 
Stylo </t>
    </r>
    <r>
      <rPr>
        <rFont val="Comfortaa"/>
        <color rgb="FF1155CC"/>
        <u/>
      </rPr>
      <t>https://www.objetrama.fr/stylo-senator-super-hit-mat-personnalisation-incluse.html</t>
    </r>
    <r>
      <rPr>
        <rFont val="Comfortaa"/>
        <color rgb="FF000000"/>
      </rPr>
      <t xml:space="preserve">
</t>
    </r>
    <r>
      <rPr>
        <rFont val="Comfortaa"/>
      </rPr>
      <t xml:space="preserve">bloc note </t>
    </r>
    <r>
      <rPr>
        <rFont val="Comfortaa"/>
        <color rgb="FF1155CC"/>
        <u/>
      </rPr>
      <t>https://www.pixartprinting.fr/petit-format/articles-de-bureau/bloc-notes/</t>
    </r>
  </si>
  <si>
    <t>BAT envoyé - 28/07 - FAB prêt</t>
  </si>
  <si>
    <t>GEP Valide la production ; livraison direct chez poseur avant le 20 aout.
b.volbart@bioburger.fr</t>
  </si>
  <si>
    <t>Mail pour dim + fichier envoyé le 23/06 + Relance le 18/07</t>
  </si>
  <si>
    <t>Towers Location</t>
  </si>
  <si>
    <t>Modif envoyé le 29/04 - Relance le 16/06</t>
  </si>
  <si>
    <t>Création des différents réseaux sociaux</t>
  </si>
  <si>
    <t>Temporis Epinal</t>
  </si>
  <si>
    <t>BAT envoyé le 05/07 - Suite appel du 06/07 attente nouveau élément car devanture modifiée</t>
  </si>
  <si>
    <t>20 000 annemasse + 20 000 Genève &gt; livraison annemasse
20 000 st cyr &gt; livraison St cyr
commandé 25/07</t>
  </si>
  <si>
    <t>Gi Group - Lyon3</t>
  </si>
  <si>
    <t>Réclamation BeFloor - Livraison annoncé sous 7j ouvré depuis le 08/07</t>
  </si>
  <si>
    <t>Contrat à mettre en page</t>
  </si>
  <si>
    <t>Work And Progress</t>
  </si>
  <si>
    <t>Installation de la salle de réunion et de la salle de formation + Bornes Wifis + Photos</t>
  </si>
  <si>
    <t>EURONET  - CAP D'AGDE - heliopolis</t>
  </si>
  <si>
    <t>VT envoyée 07/07/2022</t>
  </si>
  <si>
    <t>EURONET - canne - l'essentiel de la marina</t>
  </si>
  <si>
    <t>VT envoyée 19/07</t>
  </si>
  <si>
    <t>SLCC - LYON</t>
  </si>
  <si>
    <t>BAT envoyé - validé 27/07 - en FAB</t>
  </si>
  <si>
    <t>Conf VPN + Nouveau Tel Séverine</t>
  </si>
  <si>
    <t>Cabine post</t>
  </si>
  <si>
    <t>Lady Sushi - Guérande</t>
  </si>
  <si>
    <r>
      <rPr>
        <rFont val="Comfortaa"/>
        <b/>
        <color theme="1"/>
      </rPr>
      <t>FAB envoyé 26/07</t>
    </r>
    <r>
      <rPr>
        <rFont val="Comfortaa"/>
        <color theme="1"/>
      </rPr>
      <t xml:space="preserve">
guerande@lady-sushi.fr
developpement@lady-sushi.fr</t>
    </r>
  </si>
  <si>
    <t>ROUGE ET NOIRE</t>
  </si>
  <si>
    <t>posé</t>
  </si>
  <si>
    <t>PLAQUETTE COMMERCIALE -  EN COURs</t>
  </si>
  <si>
    <t>EMILIE &amp; COOL KIDS</t>
  </si>
  <si>
    <t>Modif PLAQUETTE COM</t>
  </si>
  <si>
    <t>Viva Service Meyzieux</t>
  </si>
  <si>
    <t>Refab N° tél</t>
  </si>
  <si>
    <t>2 - GSEH</t>
  </si>
  <si>
    <r>
      <rPr>
        <rFont val="Comfortaa"/>
        <b/>
        <color theme="1"/>
      </rPr>
      <t>FAB A FAIRE</t>
    </r>
    <r>
      <rPr>
        <rFont val="Comfortaa"/>
        <color theme="1"/>
      </rPr>
      <t xml:space="preserve"> -</t>
    </r>
    <r>
      <rPr>
        <rFont val="Comfortaa"/>
        <b/>
        <color theme="1"/>
      </rPr>
      <t xml:space="preserve"> OK FAIT</t>
    </r>
  </si>
  <si>
    <t>Deux véhicules en FAB</t>
  </si>
  <si>
    <t>Installe suite Office Alan</t>
  </si>
  <si>
    <t>Publi RS</t>
  </si>
  <si>
    <t>BAT envoyé le 22/06 - Enseigne OK - Attente retour intérieur - Modif envoyé le 08/07</t>
  </si>
  <si>
    <t>Temporis - St Yrieix La Perche</t>
  </si>
  <si>
    <t>Xefi - Garage Caffon Boileau</t>
  </si>
  <si>
    <t>Expert (deux côtés) / attente validation devis - point Orianne - reFAB OK</t>
  </si>
  <si>
    <t xml:space="preserve">WEED PARADISE </t>
  </si>
  <si>
    <t>Boulanger Cordelier</t>
  </si>
  <si>
    <t>FAB OK</t>
  </si>
  <si>
    <t>FAB ok</t>
  </si>
  <si>
    <t>Dentinov / Nobel santé Asnière</t>
  </si>
  <si>
    <t>FAB OK - DEPOLI INTERIEUR</t>
  </si>
  <si>
    <t>Beauté Nana</t>
  </si>
  <si>
    <t>Savoir ce qu'il faut faire</t>
  </si>
  <si>
    <t>EURONET FRRD0388 - TABAC DE LA ROTONDE</t>
  </si>
  <si>
    <t>BAT VALIDER - FAB A FAIRE</t>
  </si>
  <si>
    <t>Document légaux à mettre en page</t>
  </si>
  <si>
    <t>EURONET - FRRD0381 - LE MARCHE D'A COTE</t>
  </si>
  <si>
    <t>BAT envoyé / FAB fait (partie adhésif / caisson envoyé par euronet) - faire point Orianne</t>
  </si>
  <si>
    <t>EMILIE &amp; COOL KIDS - REIMS</t>
  </si>
  <si>
    <t>retour fait au fournisseur neon flex - recommander néon flex chine</t>
  </si>
  <si>
    <t>Commande nouvelle barre de visio - Relance réclamation le 18/07</t>
  </si>
  <si>
    <t>Serenfo</t>
  </si>
  <si>
    <t>Signer contrat de maintenance Firewall</t>
  </si>
  <si>
    <t>Temporis - Loroux Bottereau</t>
  </si>
  <si>
    <t>BAT envoyé le 18/07</t>
  </si>
  <si>
    <t xml:space="preserve">TAZITA </t>
  </si>
  <si>
    <t>GDS St CLoud</t>
  </si>
  <si>
    <t>LANCEMENT EN FAB - Penser à mettre le véhicule plus en "Attente"</t>
  </si>
  <si>
    <t>Temporis VIlleneuve d'Ascq</t>
  </si>
  <si>
    <t>BAT envoyé le 06/07</t>
  </si>
  <si>
    <t>Lyon CAB</t>
  </si>
  <si>
    <t>Redirection mail - Attente identifiant du client</t>
  </si>
  <si>
    <t>EURONET - SAINT PONS GRIMAUD</t>
  </si>
  <si>
    <t>EURONET  - CAP D'AGDE</t>
  </si>
  <si>
    <t>En attente validation BAT du 13/07/22
ATTENTION, Logo : éléments noirs → teinté masse 19mm
guerande@lady-sushi.fr
developpement@lady-sushi.fr</t>
  </si>
  <si>
    <t>BEFLOOR - POUR CAMIF HABITAT - MACON</t>
  </si>
  <si>
    <t>tapis commandé 15/07 -  depuis client vers BEFLOOR</t>
  </si>
  <si>
    <t>EURONET - FRRD0390 / TABAC FLAMME ET FUMEE</t>
  </si>
  <si>
    <t>piscine ibiza orgeres</t>
  </si>
  <si>
    <t>Adhésifs vitrines FAB FAIT
spot commandé MATEL &gt; livré le 06/07
FAB FAIT</t>
  </si>
  <si>
    <t>Temporis Les Herbiers</t>
  </si>
  <si>
    <t>Com Unity sticker</t>
  </si>
  <si>
    <t>LYON UTILITAIRE - 2D3M</t>
  </si>
  <si>
    <t xml:space="preserve">FAB - 2 VEHICULES
NV400 *- </t>
  </si>
  <si>
    <t>O MY SHUSHI StCyr/sMer</t>
  </si>
  <si>
    <r>
      <rPr>
        <rFont val="Comfortaa, Arial"/>
      </rPr>
      <t>Enseigne intérieur NON FLEX &gt; reçu &gt; poseur mur végé vient chercher
lettre retro éclairées &gt; GEP &gt; livraison chez JMJ &gt; poseur mur végé vient chercher
FAB ok pour tous les adhésifs
CDV &gt; envoyé sur exa 29/06
FLYER &gt; envoyé sur exa 29/06
MENU &gt; envoyé pixar 29/</t>
    </r>
    <r>
      <rPr>
        <rFont val="Comfortaa, Arial"/>
        <color rgb="FF000000"/>
      </rPr>
      <t>06</t>
    </r>
  </si>
  <si>
    <t>Gi Group - Labege</t>
  </si>
  <si>
    <r>
      <rPr>
        <rFont val="Comfortaa"/>
        <color theme="1"/>
      </rPr>
      <t xml:space="preserve">Fichier de FAB max le 18/07 // </t>
    </r>
    <r>
      <rPr>
        <rFont val="Comfortaa"/>
        <b/>
        <color theme="1"/>
      </rPr>
      <t>BAT validé → Préparation fichiers FAB</t>
    </r>
  </si>
  <si>
    <t>ROUND B</t>
  </si>
  <si>
    <t xml:space="preserve">TEMPORIS - AIX </t>
  </si>
  <si>
    <t>BAT REINTER</t>
  </si>
  <si>
    <t>Sur toutes les plaquettes franchisées rajouter "Adhésif pose en extérieur" pour les adhésifs provisoires</t>
  </si>
  <si>
    <t xml:space="preserve">BOX KEYO </t>
  </si>
  <si>
    <t>BOX à renvoyer</t>
  </si>
  <si>
    <t>CROISI EUROPE</t>
  </si>
  <si>
    <t>Logo leclerc</t>
  </si>
  <si>
    <t>FAB A FAIRE - logo special sol</t>
  </si>
  <si>
    <t xml:space="preserve">Anacours Caroline </t>
  </si>
  <si>
    <t>1 panneau alu sur entretoise + AD découpé blanc FAB A FAIRE</t>
  </si>
  <si>
    <t>Office Easy</t>
  </si>
  <si>
    <t>Surveiller réponse par mail savoir si annulation commande ou livraison prévue</t>
  </si>
  <si>
    <t>EURONET EDFR0140 - CARCASSONNE</t>
  </si>
  <si>
    <t xml:space="preserve">VT envoyé 14/06 - VT reçu 07/07 - FAB fait </t>
  </si>
  <si>
    <t>EURONET - FRRD0393 JMM SPAR HELIOPOLIS</t>
  </si>
  <si>
    <t>VT demandée le 07/06/22 → VT reçue → BAT envoyé 06/07/2022 → BAT Validé 06/07/2022 FAB à faire</t>
  </si>
  <si>
    <t>Plaquette Anacours</t>
  </si>
  <si>
    <t>Rajout de deux catégories</t>
  </si>
  <si>
    <t>Modification site</t>
  </si>
  <si>
    <t>Suppression produit COVID</t>
  </si>
  <si>
    <t>Boulanger - Cordeliers</t>
  </si>
  <si>
    <t>FAB A FAIRE validation le 06/07</t>
  </si>
  <si>
    <t>BAT validé le 05/07/22 → à envoyer en FAB</t>
  </si>
  <si>
    <t>Gi Group Pierrelate</t>
  </si>
  <si>
    <t>Fichier FAB prêt → à valider avec Jordan</t>
  </si>
  <si>
    <t>BAT modifié le 29/06</t>
  </si>
  <si>
    <t>RIA FR7125</t>
  </si>
  <si>
    <t>EURONET FRRD0395 - FRONTIGNAN</t>
  </si>
  <si>
    <t>BAT- envoyé et validé 28/06 / Caisson déjà produit &gt; à envoyer / Mail de FAB envoyé 29/06</t>
  </si>
  <si>
    <t>EURONET -  FRRD0396 SNC Tabac Soleil Bar - SAINT RAPHAEL</t>
  </si>
  <si>
    <t>BAT validé 04/07 - FAB A FAIRE - DRAPEAU JAUNE ?</t>
  </si>
  <si>
    <t>RIA FR60574</t>
  </si>
  <si>
    <t>Gi Group Bordeaux</t>
  </si>
  <si>
    <t>mairie</t>
  </si>
  <si>
    <t>RIA FR10369</t>
  </si>
  <si>
    <t>RIA FR10386</t>
  </si>
  <si>
    <t>Attente retour client- attente VT</t>
  </si>
  <si>
    <t>RIA FR10316</t>
  </si>
  <si>
    <t>SQ Clermont</t>
  </si>
  <si>
    <t>MAIRIE + bat vitre a faire</t>
  </si>
  <si>
    <t>Viva Services Tours</t>
  </si>
  <si>
    <t>Validé - en attente de confirmation porte affiche pour mis ene production</t>
  </si>
  <si>
    <t>RIA FR9753</t>
  </si>
  <si>
    <t>RIA FR1761</t>
  </si>
  <si>
    <t>Viva Meyzieu</t>
  </si>
  <si>
    <t>MAIRIE EN COURS</t>
  </si>
  <si>
    <t>Gi Dieppe</t>
  </si>
  <si>
    <t>Gi Rouen</t>
  </si>
  <si>
    <t>ATTENTE VT</t>
  </si>
  <si>
    <t>GI Holding</t>
  </si>
  <si>
    <t>FLyer l'eatalienne</t>
  </si>
  <si>
    <t>Temporis Ancénis</t>
  </si>
  <si>
    <t>Attente retour BAT envoyé le 22/06</t>
  </si>
  <si>
    <t>LM Coiffure</t>
  </si>
  <si>
    <r>
      <rPr>
        <rFont val="Comfortaa"/>
        <color theme="1"/>
      </rPr>
      <t xml:space="preserve">Commander carte de visite - LIVRAISON </t>
    </r>
    <r>
      <rPr>
        <rFont val="Comfortaa"/>
        <b/>
        <color theme="1"/>
        <sz val="12.0"/>
      </rPr>
      <t>pas avant</t>
    </r>
    <r>
      <rPr>
        <rFont val="Comfortaa"/>
        <color theme="1"/>
      </rPr>
      <t xml:space="preserve"> le 05/07 !!!! </t>
    </r>
  </si>
  <si>
    <t>Temporis Terasson</t>
  </si>
  <si>
    <t>Maquette envoyé le 30/06</t>
  </si>
  <si>
    <t>Mail Klouthoume Bacar Agent Polyvalent (OK) + Myriam (OK) + Severine</t>
  </si>
  <si>
    <t>Contrat de maintenance</t>
  </si>
  <si>
    <t>Gi Group - Bordeaux</t>
  </si>
  <si>
    <t>Ficheirs fab en préparation</t>
  </si>
  <si>
    <t>dentinov - argenteuil</t>
  </si>
  <si>
    <t>dépoli intérieur - pour sous sol - FAB A FAIRE</t>
  </si>
  <si>
    <t>EURONET - FRRD0404 Tabac le Maryland</t>
  </si>
  <si>
    <t>ANECO / GENAS</t>
  </si>
  <si>
    <t>BAT validé / FAB ok</t>
  </si>
  <si>
    <t>Temporis Saint Malo</t>
  </si>
  <si>
    <t>Cadre Alucobon</t>
  </si>
  <si>
    <t xml:space="preserve"> → Demande validation par Antoine du devis du fournisseur pour lancement FAB</t>
  </si>
  <si>
    <t>BAT CdV envoyé 14/06/22 → Relancé 17/06/22 → Relancé 23/06/22 → Relancé 28/06/22</t>
  </si>
  <si>
    <t>Post réseaux sociaux</t>
  </si>
  <si>
    <t>Eddie (Poseur)</t>
  </si>
  <si>
    <t>Photo site</t>
  </si>
  <si>
    <t>ISS</t>
  </si>
  <si>
    <t>COMMANDER ROLLUP PIXAR - dès validation client</t>
  </si>
  <si>
    <t>ShowRoom</t>
  </si>
  <si>
    <t xml:space="preserve">ISFEC </t>
  </si>
  <si>
    <t xml:space="preserve"> envoi du probleme (pliage) à pixartprinting
nouvelle comande faite pour livraison mardi 28/06</t>
  </si>
  <si>
    <t>confort glass / le riccoty</t>
  </si>
  <si>
    <t xml:space="preserve">bat validé - fab ok </t>
  </si>
  <si>
    <t>guy hoquet</t>
  </si>
  <si>
    <t>panneau akilux</t>
  </si>
  <si>
    <t>EHPAD</t>
  </si>
  <si>
    <t>Flyers x1000 - BAT envoyé le 23/06</t>
  </si>
  <si>
    <t>Camif Habitat - Thionville</t>
  </si>
  <si>
    <t>modif bat</t>
  </si>
  <si>
    <t>republic pressing</t>
  </si>
  <si>
    <t>modif cdv</t>
  </si>
  <si>
    <t>Green Lunettes</t>
  </si>
  <si>
    <t>Demande de devis GEP → Attente de modification devis 23/06/22</t>
  </si>
  <si>
    <t>Azap</t>
  </si>
  <si>
    <t>BAT cvalidé 22/06 → FAB à envoyer → Attente mail client pour adresse livraison</t>
  </si>
  <si>
    <r>
      <rPr>
        <rFont val="Comfortaa"/>
      </rPr>
      <t xml:space="preserve">Ajouter Interpompier sur </t>
    </r>
    <r>
      <rPr>
        <rFont val="Comfortaa"/>
        <color rgb="FF1155CC"/>
        <u/>
      </rPr>
      <t>www.vosenseignes.fr</t>
    </r>
    <r>
      <rPr>
        <rFont val="Comfortaa"/>
      </rPr>
      <t xml:space="preserve"> (Viva - GDS - SQ - Gi Group)</t>
    </r>
  </si>
  <si>
    <t>JMJCOM / W&amp;P / MR. E</t>
  </si>
  <si>
    <t>Tampons</t>
  </si>
  <si>
    <t xml:space="preserve">dentinov nancy </t>
  </si>
  <si>
    <t>refab / reinter</t>
  </si>
  <si>
    <t>RIA - Opé sur deux ans</t>
  </si>
  <si>
    <t>BAT validé le 22/06/22 → Fab à envoyer</t>
  </si>
  <si>
    <t xml:space="preserve">PISCINE IBIZA - CHATTE </t>
  </si>
  <si>
    <t>REFAB VEHICULE</t>
  </si>
  <si>
    <t>BAT envoyé le 15/06 - Modif envoyé le 20/06 - Modif envoyé le 22/06</t>
  </si>
  <si>
    <t>BAT validé 17/06/22 - FAB a Lancer</t>
  </si>
  <si>
    <t>Junior Senior - Chambery</t>
  </si>
  <si>
    <t>BAT Validé 16/06/22 - FAB a lancer</t>
  </si>
  <si>
    <t>Gi Group - Rouen</t>
  </si>
  <si>
    <t>BAT Validé - Jordan fait les FAB</t>
  </si>
  <si>
    <t>Temporis Leognan</t>
  </si>
  <si>
    <t>FAB A FAIRE - Attente dimension porte</t>
  </si>
  <si>
    <t>GDS St Cloud</t>
  </si>
  <si>
    <t>BASTIEN CASSABOIS</t>
  </si>
  <si>
    <t xml:space="preserve">Viva services </t>
  </si>
  <si>
    <t>Fichier envoyé à Signatix le 17/06</t>
  </si>
  <si>
    <t>l'équipementier</t>
  </si>
  <si>
    <t>reFAB
- adhésif porte check bleu ?
- adhésif kangoo : découpe du L
- refaire adhéfis : attention à la marche</t>
  </si>
  <si>
    <t>Refab Juan les Pins EURONET</t>
  </si>
  <si>
    <t>Mail de de vendredi</t>
  </si>
  <si>
    <t>Ajouter logo PROFIREGROUPE → BAT envoyé 17/06/22</t>
  </si>
  <si>
    <t xml:space="preserve">Pharmacie Gorge de Loup </t>
  </si>
  <si>
    <t>Refab d'un caisson + plan de pose</t>
  </si>
  <si>
    <t>FAB x30 208 / 308</t>
  </si>
  <si>
    <t>Camif HABITAT - MACON SUD</t>
  </si>
  <si>
    <t>COMMANDE TAPIS &gt; BEFLOOR commandé 13/06 (livré sous 10 jours)</t>
  </si>
  <si>
    <t>1 - Piscine Ibiza Chatte  - B2M38</t>
  </si>
  <si>
    <t>Reste à faire : emplacement 3x drapeaux à voir avec client + demande en mairie /
le reste est en FAB</t>
  </si>
  <si>
    <t>Atol Lyon 6</t>
  </si>
  <si>
    <t>Réinter</t>
  </si>
  <si>
    <t>Achat télé salle de sport</t>
  </si>
  <si>
    <t>Rent a Car - Chassieu</t>
  </si>
  <si>
    <t>Beaute nana</t>
  </si>
  <si>
    <t>OK livré sous 10 jours → 27/06</t>
  </si>
  <si>
    <t>FAB ADHESIFS → OK + GEP pour LETTRES → OK - POSE le  05/07/22</t>
  </si>
  <si>
    <t>BTP CFA</t>
  </si>
  <si>
    <t>BAT Validé - FAB a lancer</t>
  </si>
  <si>
    <t>ISFEC</t>
  </si>
  <si>
    <t xml:space="preserve">envoyé pixartprint - </t>
  </si>
  <si>
    <t xml:space="preserve">Gi Group  </t>
  </si>
  <si>
    <t xml:space="preserve">Nouvelles photos à mettre sur le site </t>
  </si>
  <si>
    <t>EURONET</t>
  </si>
  <si>
    <t>REFAB</t>
  </si>
  <si>
    <t>JMJCOM x Temporis</t>
  </si>
  <si>
    <r>
      <rPr>
        <rFont val="Comfortaa, Arial"/>
      </rPr>
      <t xml:space="preserve">Réaliser une page SAV sur </t>
    </r>
    <r>
      <rPr>
        <rFont val="Comfortaa, Arial"/>
        <color rgb="FF1155CC"/>
        <u/>
      </rPr>
      <t>www.vosenseignes.fr</t>
    </r>
    <r>
      <rPr>
        <rFont val="Comfortaa, Arial"/>
      </rPr>
      <t xml:space="preserve"> (Toujours à faire puisque sur le new site ?)</t>
    </r>
  </si>
  <si>
    <t>Organisation, achat et déploiement modem Wifi - Serenfo x JMJCOM</t>
  </si>
  <si>
    <t>Modification site internet (Message laissé le 05/05 sur le répondeur + un autre le 18/05)</t>
  </si>
  <si>
    <t>Bubble Stop</t>
  </si>
  <si>
    <t>On refait un truc au final ? En attente depuis X mois</t>
  </si>
  <si>
    <t>Jasmine</t>
  </si>
  <si>
    <t>Réclamation CdV le 15/06</t>
  </si>
  <si>
    <t>SERENFO</t>
  </si>
  <si>
    <t>Réunion + price de décision pour le serveur</t>
  </si>
  <si>
    <t>Temporis Quimper</t>
  </si>
  <si>
    <t>Kit horaire FAB A FAIRE</t>
  </si>
  <si>
    <t>Temporis Aix</t>
  </si>
  <si>
    <t>Gi Group - Dieppe</t>
  </si>
  <si>
    <t>dentinov nancy</t>
  </si>
  <si>
    <t>FAB A FAIRE dépoli intérieur</t>
  </si>
  <si>
    <t>Work &amp; Progess</t>
  </si>
  <si>
    <t>Réalisation du site internet - Attente retour Michael</t>
  </si>
  <si>
    <t>Bureau Vallée - St Malo</t>
  </si>
  <si>
    <t>Ancien locaux → Voir Discord</t>
  </si>
  <si>
    <t>Panneau animaux Guy Hoquet (Même que Miribel)</t>
  </si>
  <si>
    <t>Radio Judaica Lyon</t>
  </si>
  <si>
    <t>BAT validé. A envoyer en FAB (500ex A4 en tête (80g) +250ex Cartes de correspondances)</t>
  </si>
  <si>
    <t>Attente réponse Antoine savoir si créa ou refab</t>
  </si>
  <si>
    <t>Jasmine Yahiaoui</t>
  </si>
  <si>
    <t>BAT envoyé le 08/06</t>
  </si>
  <si>
    <t>guy hoquet Villeurbanne</t>
  </si>
  <si>
    <t>akilux 1m / x20 chez wowprint 13/06</t>
  </si>
  <si>
    <t>Huissier Oullins</t>
  </si>
  <si>
    <t>FAB fait / mail envoyé</t>
  </si>
  <si>
    <t>Euronet le fontenoy - nice</t>
  </si>
  <si>
    <t xml:space="preserve"> fab envoyé</t>
  </si>
  <si>
    <t>Beauté nana</t>
  </si>
  <si>
    <t>EURONET FRRD0370 TABAC DU PORT - CAP FERRAT</t>
  </si>
  <si>
    <t>Dentinov / Nobel santé Vitry</t>
  </si>
  <si>
    <r>
      <rPr>
        <rFont val="Comfortaa, Arial"/>
        <color theme="1"/>
      </rPr>
      <t xml:space="preserve">FAB FAIT
// enseigne + drapeau + panneaux en cours chez GEP &gt;&gt;  </t>
    </r>
    <r>
      <rPr>
        <rFont val="Comfortaa, Arial"/>
        <b/>
        <color theme="1"/>
      </rPr>
      <t>livraison ok ?</t>
    </r>
    <r>
      <rPr>
        <rFont val="Comfortaa, Arial"/>
        <color theme="1"/>
      </rPr>
      <t xml:space="preserve">
// depoli OK reçu/envoyé Espace Signalétique
 // adhésifs découpé en interne ok envoyé</t>
    </r>
  </si>
  <si>
    <t>Dentinov - Paris - Bd Saint Denis</t>
  </si>
  <si>
    <t>FAB envoyé &gt; Signatix / 02/06 - payé - en cours d'impression</t>
  </si>
  <si>
    <t>camelia bauté</t>
  </si>
  <si>
    <t>roll up  chez Pixar - check livraison chez jmj - 7/06</t>
  </si>
  <si>
    <t>SQ Ales Gambetta</t>
  </si>
  <si>
    <t>SARL LEO - DR LONG</t>
  </si>
  <si>
    <t>• bat DrLong &gt; FAB envoyé 03/06</t>
  </si>
  <si>
    <t>SARL LEO - MERCIERE</t>
  </si>
  <si>
    <t>• bat merciere &gt; FAB envoyé 07/06</t>
  </si>
  <si>
    <t>SARL LEO - MADELEINE</t>
  </si>
  <si>
    <t>• BAT Paul Bert / FAB FAIT / PROD FAITE</t>
  </si>
  <si>
    <t>SARL LEO - PAUL BERT</t>
  </si>
  <si>
    <t>GDE - Valence</t>
  </si>
  <si>
    <t>BAT + Refab éléments</t>
  </si>
  <si>
    <t>BAT validé 08/06/22 - Fichiers FAB en cours</t>
  </si>
  <si>
    <t>EURONET - EWFRB010 - CFA NICE</t>
  </si>
  <si>
    <t>BAT validé - Potences et bâche commandées.</t>
  </si>
  <si>
    <t>Publication Facebook</t>
  </si>
  <si>
    <t>RIA FR25</t>
  </si>
  <si>
    <t>Steep</t>
  </si>
  <si>
    <t>Gi Cognac</t>
  </si>
  <si>
    <t>CDV parents Michael</t>
  </si>
  <si>
    <t>Signalétique atelier sens interdit</t>
  </si>
  <si>
    <t xml:space="preserve"> Modification  de toutes les plaquettes franchisées</t>
  </si>
  <si>
    <t>La petite Cocotte</t>
  </si>
  <si>
    <t>Lancement en prod de 8 véhicules</t>
  </si>
  <si>
    <t>Gi Group Lyon 3</t>
  </si>
  <si>
    <t>Tapis → Attente bon de commande Befloor</t>
  </si>
  <si>
    <t>FRRD0386 ELI MARKET</t>
  </si>
  <si>
    <t>FRRD0383 TAN MARKET</t>
  </si>
  <si>
    <t>En même temps que l'autre Caffon Boileau en livraison ATTENTION x2 ex
&gt;FAB A FAIRE 03/06</t>
  </si>
  <si>
    <t xml:space="preserve"> 208 nouvelle génération et non ancienne comme mentionné dans le devis
&gt;FAB A FAIRE 03/06</t>
  </si>
  <si>
    <t>REFAB Lille</t>
  </si>
  <si>
    <t>EURONET - FRRD0382 - GFM Distribution SPAR</t>
  </si>
  <si>
    <t>David</t>
  </si>
  <si>
    <t>FAB envoyé 30/05</t>
  </si>
  <si>
    <t>Quentin</t>
  </si>
  <si>
    <t>FJ938DT - FAB A FAIRE</t>
  </si>
  <si>
    <t>EURONET - FRRD0371 - TABAC DU PONT NEUF - ANNECY</t>
  </si>
  <si>
    <r>
      <rPr>
        <rFont val="Comfortaa"/>
        <color theme="1"/>
      </rPr>
      <t>BAT validé Client le 01/06/22 - BAT pour fab a préparer</t>
    </r>
    <r>
      <rPr>
        <rFont val="Comfortaa"/>
        <b/>
        <color theme="1"/>
      </rPr>
      <t xml:space="preserve"> - 1.5 semaine de délai</t>
    </r>
  </si>
  <si>
    <t>Verger potager</t>
  </si>
  <si>
    <r>
      <rPr>
        <rFont val="Comfortaa"/>
        <color theme="1"/>
      </rPr>
      <t xml:space="preserve">Matel : devis projecteurs gris + potences blanche // FAB A FAIRE
A </t>
    </r>
    <r>
      <rPr>
        <rFont val="Comfortaa"/>
        <b/>
        <color theme="1"/>
      </rPr>
      <t xml:space="preserve">posé le 5 juin pour la partie : alu + AD + spots
</t>
    </r>
    <r>
      <rPr>
        <rFont val="Comfortaa"/>
        <color theme="1"/>
      </rPr>
      <t>Caisson double face : demande de devis à GEP et MATEL envoyé</t>
    </r>
  </si>
  <si>
    <t>Dentinov Nancy</t>
  </si>
  <si>
    <t>fab fini</t>
  </si>
  <si>
    <t>relance faite pour : 
numéro de téléphone pour vitro porte + confirmation horaires</t>
  </si>
  <si>
    <t>Jordan</t>
  </si>
  <si>
    <t>FAB A FAIRE FD445XX</t>
  </si>
  <si>
    <t>En cours - BAT pour fab a préparer</t>
  </si>
  <si>
    <t>GDS Gaillard Enseigne</t>
  </si>
  <si>
    <t>Relance à GEP le 30/05</t>
  </si>
  <si>
    <t xml:space="preserve">Les Plombiers Lyonnais </t>
  </si>
  <si>
    <t>Export des logos sous différents formats</t>
  </si>
  <si>
    <t>EURONET - FRRD0405 BRASSERIE LE PRADO</t>
  </si>
  <si>
    <r>
      <rPr>
        <rFont val="Comfortaa"/>
        <color theme="1"/>
      </rPr>
      <t>BAT validé Client le 01/06/22 - BAT pour fab a préparer</t>
    </r>
    <r>
      <rPr>
        <rFont val="Comfortaa"/>
        <b/>
        <color theme="1"/>
      </rPr>
      <t xml:space="preserve"> - 1.5 semaine de délai</t>
    </r>
  </si>
  <si>
    <t>Temporis Golbey / Chaumont</t>
  </si>
  <si>
    <t>Kit Horaire à faire (Chaumont, Golbey c'est ok)</t>
  </si>
  <si>
    <t>Préparation nouveau graphiste (W10Pro / Office / Mail / Ecran / Accès réseau)</t>
  </si>
  <si>
    <t>Réalisation de 6 BAT VT (6/6)</t>
  </si>
  <si>
    <t>Identification des cloisons plan</t>
  </si>
  <si>
    <t>Gi Group Clermont</t>
  </si>
  <si>
    <t>A faire panneaux, adhésif vitrine et totem</t>
  </si>
  <si>
    <t>Carole</t>
  </si>
  <si>
    <t>RIA FR12435</t>
  </si>
  <si>
    <t>SQ Montelimar</t>
  </si>
  <si>
    <t>faire la fab</t>
  </si>
  <si>
    <t>Rent a Car</t>
  </si>
  <si>
    <t>SQ Castres</t>
  </si>
  <si>
    <t>Nouvelle maquette à faire</t>
  </si>
  <si>
    <t>I graphics</t>
  </si>
  <si>
    <t>pb de fichiers client</t>
  </si>
  <si>
    <t>Guuy hoquet Miribel</t>
  </si>
  <si>
    <t>BAT envoyé (akilux x20 x30)</t>
  </si>
  <si>
    <t>Camelia Beauty</t>
  </si>
  <si>
    <t>Intégration d'autres agences sur le site</t>
  </si>
  <si>
    <t>Temporis - Roubaix</t>
  </si>
  <si>
    <t>Marquage véhicule</t>
  </si>
  <si>
    <t>FAB FAITE</t>
  </si>
  <si>
    <t>Temporis - CHOLET</t>
  </si>
  <si>
    <t>XEFI - PARTNER 650 - AIX EN PROVENCE</t>
  </si>
  <si>
    <t>FAB OK/ PARTNER 650</t>
  </si>
  <si>
    <t>1 - Piscine Ibiza - Perpignan
Bernis</t>
  </si>
  <si>
    <t>FAB ok  /  1 véhicule (hynudai kona)</t>
  </si>
  <si>
    <t>Euronet - SPAR Tamburini</t>
  </si>
  <si>
    <t>BAT validé / VT envoyé / FAB FAIT</t>
  </si>
  <si>
    <t>Mugs les enseignistes</t>
  </si>
  <si>
    <t>Elso</t>
  </si>
  <si>
    <t>Attente photo et coordonnées nouveaux collaborateurs</t>
  </si>
  <si>
    <t>SQ Pierrelatte</t>
  </si>
  <si>
    <t>MAIRIE - attente VT</t>
  </si>
  <si>
    <t>RIA FR12207</t>
  </si>
  <si>
    <t>RIA FR7689</t>
  </si>
  <si>
    <t>Le Secrétariat Médical</t>
  </si>
  <si>
    <t>Gi Group Dunkerque</t>
  </si>
  <si>
    <t>FAB A FAIRE Après VT</t>
  </si>
  <si>
    <t>CAMIF HABITAT - THONON</t>
  </si>
  <si>
    <t>3 - Happesmoke</t>
  </si>
  <si>
    <t>CAISSON en cours chez GEP : 2em moitié de la semaine (16/05)
 // AD en interne // FAB FAIT</t>
  </si>
  <si>
    <t>FAB FAIT</t>
  </si>
  <si>
    <t>WEED PARADISE</t>
  </si>
  <si>
    <t>LyonCab</t>
  </si>
  <si>
    <t>Paramétrage DNS</t>
  </si>
  <si>
    <t>Gi Group - La Valentine</t>
  </si>
  <si>
    <t>Reprod 5 adhésifs</t>
  </si>
  <si>
    <t>FAB A FAIRE 7 AGENCES</t>
  </si>
  <si>
    <t>Architecture réseaux prix firewall</t>
  </si>
  <si>
    <t>Netilav</t>
  </si>
  <si>
    <t>50 ex à sortir</t>
  </si>
  <si>
    <t>Temporis - HAGUENEAU</t>
  </si>
  <si>
    <t>Les terasses du Parc</t>
  </si>
  <si>
    <t>FAB A FAIRE &gt; cdv chez exa</t>
  </si>
  <si>
    <t>Gi Group Chessy</t>
  </si>
  <si>
    <t>Nouveau panneau</t>
  </si>
  <si>
    <t>Guy Hoquet - CDV</t>
  </si>
  <si>
    <t>FAB A FAIRE / envoyé</t>
  </si>
  <si>
    <t>Cerema</t>
  </si>
  <si>
    <t>FAB A FAIRe</t>
  </si>
  <si>
    <t>CUBIC33</t>
  </si>
  <si>
    <t>républic pressing</t>
  </si>
  <si>
    <t>Commandé chez EXA : livraison direct clietn &gt; 20-23 / 05</t>
  </si>
  <si>
    <t>MAMA PIZZA</t>
  </si>
  <si>
    <t>ETIQUETTE RONDES MAMA PIZZA x10 000 / come pour omyshushi</t>
  </si>
  <si>
    <t>8 - Festival collection</t>
  </si>
  <si>
    <t>FAB a faire</t>
  </si>
  <si>
    <t>FAB A FAIRE - goulotte pour passage cable -gris anthra</t>
  </si>
  <si>
    <t>Gentle cat</t>
  </si>
  <si>
    <t xml:space="preserve">attente potences &gt; cash display // bache dble face &gt; pixar reçu </t>
  </si>
  <si>
    <t>7 - GDE Macon</t>
  </si>
  <si>
    <t>FAB fait</t>
  </si>
  <si>
    <t>Guy Hoquet Panneaux</t>
  </si>
  <si>
    <t>Relance téléphonique à Eva (06 34 41 00 43) le 07/03 - ANNULE</t>
  </si>
  <si>
    <t>Gi Group Salon de Provence</t>
  </si>
  <si>
    <t>FAB A FAIRE - A faire avant le 09/05</t>
  </si>
  <si>
    <t>Temporis - Fontenay Le Compte</t>
  </si>
  <si>
    <t>o sushi</t>
  </si>
  <si>
    <t>commande faite /exaprint / livré au resto Annemasse &gt; 09 ou 10 mai</t>
  </si>
  <si>
    <t>6 - UPS - totem</t>
  </si>
  <si>
    <t>Epicerie Renard</t>
  </si>
  <si>
    <t>Manon</t>
  </si>
  <si>
    <t>standby</t>
  </si>
  <si>
    <t>retour BAT Mairie &gt; renvoyé</t>
  </si>
  <si>
    <t>OTT</t>
  </si>
  <si>
    <t>Adhésif chez nous - à poser au plus vite</t>
  </si>
  <si>
    <t>Menu papier reçu x1000 / 3 x jpg pour écran fait &gt; clé usb</t>
  </si>
  <si>
    <t>Central Garage</t>
  </si>
  <si>
    <t>caisson double face envoyé à GEP - adhésif en interne à poser</t>
  </si>
  <si>
    <r>
      <rPr>
        <rFont val="Comfortaa"/>
        <b/>
        <color theme="1"/>
      </rPr>
      <t>[WEB]</t>
    </r>
    <r>
      <rPr>
        <rFont val="Comfortaa"/>
        <color theme="1"/>
      </rPr>
      <t xml:space="preserve"> NOVEA GROUP</t>
    </r>
  </si>
  <si>
    <t>site fonctionnel formulaire OK accès client OK / attente retour client sur couleurs image de fond ...</t>
  </si>
  <si>
    <t xml:space="preserve">L'atelier des chef </t>
  </si>
  <si>
    <t>FAIT</t>
  </si>
  <si>
    <t>SAS auto repar</t>
  </si>
  <si>
    <t>Mr enseigne</t>
  </si>
  <si>
    <t>logo validé &gt; enseigne chez Mr Enseigne</t>
  </si>
  <si>
    <t>AUTO CAR</t>
  </si>
  <si>
    <t>-Mr Enseigne</t>
  </si>
  <si>
    <t>logo envoyé sous différents formats</t>
  </si>
  <si>
    <t>Création boite mail Orianne</t>
  </si>
  <si>
    <t>FAB A FAIRE ENSEIGNE</t>
  </si>
  <si>
    <t>Tableau - Contrats maitnenance - Envoyé le 06/05</t>
  </si>
  <si>
    <t>Temporis - Andernos</t>
  </si>
  <si>
    <t>Axxis formation Lyon 8</t>
  </si>
  <si>
    <t>Lynaria Collection</t>
  </si>
  <si>
    <t>Gi holding reintervention</t>
  </si>
  <si>
    <t>Viva thonon les bains</t>
  </si>
  <si>
    <t>Signalétique nouveaux locaux</t>
  </si>
  <si>
    <t>SQ Montbrison</t>
  </si>
  <si>
    <t>RIA FR11647</t>
  </si>
  <si>
    <t>RIA FR7068</t>
  </si>
  <si>
    <t>Gi Group Aix Les Milles</t>
  </si>
  <si>
    <t>FAB A FAIRE - A faire avant le 06/05</t>
  </si>
  <si>
    <t>Faire plan et maquette du parc machine JMJCOM</t>
  </si>
  <si>
    <t>Gi Group - Marignane</t>
  </si>
  <si>
    <t>FAB A FAIRE - A faire avant le 04/05</t>
  </si>
  <si>
    <t>EHPAD - Les Tilleuls</t>
  </si>
  <si>
    <t>Carte en FAB + Affiche en cours de validation BAT</t>
  </si>
  <si>
    <t>Signalétique "Bâche à l'envers" → RECRUTE POSEURS SIGNALETIQUE (Logo + Tel + Site) 4000x1200mm</t>
  </si>
  <si>
    <t>Kubiweb</t>
  </si>
  <si>
    <t>Câler RDV en fonction des dispos CPrint</t>
  </si>
  <si>
    <t>Gi Group - Marseille MS</t>
  </si>
  <si>
    <t>FAB A FAIRE - A faire avant le 03/05</t>
  </si>
  <si>
    <t>Nouveau panneau "Trotinnette"</t>
  </si>
  <si>
    <t>Publication réseaux sociaux</t>
  </si>
  <si>
    <t>Gi Group - Marseille La Valentine</t>
  </si>
  <si>
    <t>FAB A FAIRE - A faire avant le 02/05</t>
  </si>
  <si>
    <t>test</t>
  </si>
  <si>
    <t>Z</t>
  </si>
  <si>
    <t>Temporis - Arcachon</t>
  </si>
  <si>
    <t>Regie Dervault</t>
  </si>
  <si>
    <t>Attente validation devis Manon</t>
  </si>
  <si>
    <t>les clés de l'atelier</t>
  </si>
  <si>
    <t>LES SUBS</t>
  </si>
  <si>
    <t>FAB A FAIRE / OK FAIT</t>
  </si>
  <si>
    <r>
      <rPr>
        <rFont val="Comfortaa"/>
        <b/>
        <color theme="1"/>
      </rPr>
      <t>[WEB]</t>
    </r>
    <r>
      <rPr>
        <rFont val="Comfortaa"/>
        <color theme="1"/>
      </rPr>
      <t xml:space="preserve"> Safran Ancestral </t>
    </r>
  </si>
  <si>
    <t>cliente contente site web terminé (quelques modif en cours)</t>
  </si>
  <si>
    <t>Refaire certains éléments de la première inter</t>
  </si>
  <si>
    <t xml:space="preserve">Temporis </t>
  </si>
  <si>
    <t>Nouvelle fiche technique "BTP"</t>
  </si>
  <si>
    <t>WEB</t>
  </si>
  <si>
    <t>Supression boite mail Aviseo DSN Auto</t>
  </si>
  <si>
    <t>Gi Group Valenciennes</t>
  </si>
  <si>
    <t>FAB A FAIRE - A faire avant le 26/04</t>
  </si>
  <si>
    <t xml:space="preserve">Basilicus </t>
  </si>
  <si>
    <t>Temporis - Meung sur loire</t>
  </si>
  <si>
    <t>ONLY VET</t>
  </si>
  <si>
    <t>Ligne FAB A FAIRE</t>
  </si>
  <si>
    <t>SCI TIFERET 770</t>
  </si>
  <si>
    <t>re inter / nouveau BAT / nouveau panneaux</t>
  </si>
  <si>
    <t>Commande sup' (Ecran Covid + Masques)</t>
  </si>
  <si>
    <t>Copropriété locaux</t>
  </si>
  <si>
    <t>Projet d'harmonisation des nouveaux locaux [ANNULE]</t>
  </si>
  <si>
    <t>Gi Group Lille</t>
  </si>
  <si>
    <t>FAB A FAIRE - A faire avant le 25/04</t>
  </si>
  <si>
    <t>Nouvelle campagne de recrutement</t>
  </si>
  <si>
    <t>Gi Group Saint Vulbas</t>
  </si>
  <si>
    <t>Attente validation BAT → FAB A FAIRE</t>
  </si>
  <si>
    <t>Gi Group Saint Etienne</t>
  </si>
  <si>
    <t>Systhen - bureaux Val-de-Fontenay</t>
  </si>
  <si>
    <t>L'atelier des chefs</t>
  </si>
  <si>
    <t>Association SL Les Villanelles</t>
  </si>
  <si>
    <t>Le petit Lunetier Nantes</t>
  </si>
  <si>
    <t>Le petit Lunetier Temple</t>
  </si>
  <si>
    <t>SQ Alevard</t>
  </si>
  <si>
    <t>A faire BAT reinter</t>
  </si>
  <si>
    <t>Tampon jmj</t>
  </si>
  <si>
    <t>RIA FR1666</t>
  </si>
  <si>
    <t>RIA FR11383</t>
  </si>
  <si>
    <t>Onepi Lyon</t>
  </si>
  <si>
    <t>Gi Group Toulouse</t>
  </si>
  <si>
    <t>Gi Group Saint Laruent du Var</t>
  </si>
  <si>
    <t>Gi Group Montpellier</t>
  </si>
  <si>
    <t>Gi Group Beauvais</t>
  </si>
  <si>
    <t>Gi Group Avignon</t>
  </si>
  <si>
    <t>Gi Group Abbeville</t>
  </si>
  <si>
    <t>Viva Services Bordeaux</t>
  </si>
  <si>
    <t>GDS Gailar</t>
  </si>
  <si>
    <t>Gi Group - Roissy</t>
  </si>
  <si>
    <t>Gi Group - Lyon Saint-Exupery</t>
  </si>
  <si>
    <t>Gi Groupe Lyon 3</t>
  </si>
  <si>
    <t>Camif HABITAT - Besançon</t>
  </si>
  <si>
    <t>-- FAB A FAIRE --</t>
  </si>
  <si>
    <t>Nouvelle bâche Ramadan FAB A FAIRE</t>
  </si>
  <si>
    <t>Camion services</t>
  </si>
  <si>
    <t>Slake / Noralim</t>
  </si>
  <si>
    <t>Gi Group Clermont Ferrand</t>
  </si>
  <si>
    <t>Gi Group  St Valéry en Caux</t>
  </si>
  <si>
    <t>Gi Group Le Mans</t>
  </si>
  <si>
    <t>Gi Group Dijon</t>
  </si>
  <si>
    <t>Gi Group Lens</t>
  </si>
  <si>
    <t>Gi Group Orléans</t>
  </si>
  <si>
    <t>Viva services Annecy</t>
  </si>
  <si>
    <t xml:space="preserve">SQ Bagnere </t>
  </si>
  <si>
    <t>Euronet week end</t>
  </si>
  <si>
    <t>Viva services thonons</t>
  </si>
  <si>
    <t>voir avec le client ce qu'il faut ressortir</t>
  </si>
  <si>
    <t>Viva Toulouse</t>
  </si>
  <si>
    <t>Euronet Ferney Voltaire</t>
  </si>
  <si>
    <t>Euronet Lyon</t>
  </si>
  <si>
    <t>RIA FR10757</t>
  </si>
  <si>
    <t>RIA FR6540</t>
  </si>
  <si>
    <t>RIA FR11598</t>
  </si>
  <si>
    <t>RIA FR10722</t>
  </si>
  <si>
    <t xml:space="preserve">JMJCOM   </t>
  </si>
  <si>
    <t>Signalétique extérieur - FAB A FAIRE</t>
  </si>
  <si>
    <t xml:space="preserve">JMJCOM </t>
  </si>
  <si>
    <t>MaJ Plaquette GDS - Anacours - Bureau Vallée - Viva - Temporis - Lady Sushi + Site</t>
  </si>
  <si>
    <t>Lyon Utilitaires</t>
  </si>
  <si>
    <t>TEMPORIS ANDERNOS</t>
  </si>
  <si>
    <t>Complément de commande → FAB A FAIRE</t>
  </si>
  <si>
    <t>ATOL  Lyon 6</t>
  </si>
  <si>
    <t>Flyers + Adhésif sup → FAB A FAIRE</t>
  </si>
  <si>
    <t xml:space="preserve">Renouvellement PC compta </t>
  </si>
  <si>
    <t>Point code</t>
  </si>
  <si>
    <t>Gi Group Paris 10E</t>
  </si>
  <si>
    <t>Gi Group IDF</t>
  </si>
  <si>
    <t>Pizza Qualidade</t>
  </si>
  <si>
    <t>Gi Group Pierrefite</t>
  </si>
  <si>
    <t>Gi Group Rungis</t>
  </si>
  <si>
    <t>Centre dentaire - Argenteuil</t>
  </si>
  <si>
    <t>dépolis re FAB envoyé</t>
  </si>
  <si>
    <t>Chef carré de soie</t>
  </si>
  <si>
    <t>Temporis Sable d'Olonne</t>
  </si>
  <si>
    <t>Gi Group Lyon 6 (Electricité)</t>
  </si>
  <si>
    <t>Gi Group Levallois Perret</t>
  </si>
  <si>
    <t>Gi Group Cergy</t>
  </si>
  <si>
    <t>The beauty room</t>
  </si>
  <si>
    <t>FAB A FAIRE - confirmation horaires</t>
  </si>
  <si>
    <t>LES PLOMBIERS LYONNAIS</t>
  </si>
  <si>
    <t>FAB A FAIRE + Signature mail (Attente adresse de livraison)</t>
  </si>
  <si>
    <t>Gi Group Dieppe</t>
  </si>
  <si>
    <t>SCI Tiferet 770</t>
  </si>
  <si>
    <t>Gi Group Coquelles</t>
  </si>
  <si>
    <t>Gi Group Paris Gros Oeuvre</t>
  </si>
  <si>
    <t>Visuel et pose - ***arbre***</t>
  </si>
  <si>
    <t>arbre validé - FAB A FAIRE</t>
  </si>
  <si>
    <t>SCI Avraham</t>
  </si>
  <si>
    <t>FAB A FAIRE - akilux + 4 oeillets</t>
  </si>
  <si>
    <t>Temporis Nantes Est</t>
  </si>
  <si>
    <t>Temporis Argelès Gazost</t>
  </si>
  <si>
    <t>Maintenance et installation dans les nouveaux locaux</t>
  </si>
  <si>
    <t>Création boite mail VITOR</t>
  </si>
  <si>
    <t>Gi Group Tours</t>
  </si>
  <si>
    <t>Gi Group Nantes</t>
  </si>
  <si>
    <t>Gi Group Cognac</t>
  </si>
  <si>
    <t>Planning Temporis</t>
  </si>
  <si>
    <t>SQ Allevard</t>
  </si>
  <si>
    <t>Attente dimensions client</t>
  </si>
  <si>
    <t>RIA FR11758</t>
  </si>
  <si>
    <t>Gi Group Holding Paris</t>
  </si>
  <si>
    <t>validé - en attente de VT pour FAB</t>
  </si>
  <si>
    <t>Adenior services</t>
  </si>
  <si>
    <t>Gi Group Melun</t>
  </si>
  <si>
    <t>Mailing JMJCOM (v. avec Flo)</t>
  </si>
  <si>
    <t>Temporis Rouen Sud</t>
  </si>
  <si>
    <t>LYON UTILITAIRE</t>
  </si>
  <si>
    <t>L'artigiano</t>
  </si>
  <si>
    <t>Mise à jour stock + commande stock Gi</t>
  </si>
  <si>
    <t>CGR</t>
  </si>
  <si>
    <t>passer commande rampe</t>
  </si>
  <si>
    <t>Planning Gi group atelier</t>
  </si>
  <si>
    <t>SQ Annecy</t>
  </si>
  <si>
    <t>Dépot de la marque</t>
  </si>
  <si>
    <t>Temporis Angoulême</t>
  </si>
  <si>
    <t>Temporis Bois-Colombes</t>
  </si>
  <si>
    <t>Limes</t>
  </si>
  <si>
    <t>Atol - Lyon 6</t>
  </si>
  <si>
    <t>AGENCE AKINAI</t>
  </si>
  <si>
    <t>FAB a FAIRE</t>
  </si>
  <si>
    <t>Boulanger Beynost</t>
  </si>
  <si>
    <t>Temporis Caen</t>
  </si>
  <si>
    <t>Atol - Décines</t>
  </si>
  <si>
    <t>La Cuisine</t>
  </si>
  <si>
    <t>Temporis - Thouars</t>
  </si>
  <si>
    <t>Xefi Paris 12</t>
  </si>
  <si>
    <t>GDS - Gaillard</t>
  </si>
  <si>
    <t>XEFI - SUISSE</t>
  </si>
  <si>
    <t>FAB fait (fichier vecto envoyé par le client)</t>
  </si>
  <si>
    <t>Gi Group Toulon</t>
  </si>
  <si>
    <t>Gi Group Le Havre</t>
  </si>
  <si>
    <t>Gi Group La ferte Bernard</t>
  </si>
  <si>
    <t>Gi Group Braud Saint Louis</t>
  </si>
  <si>
    <t>Gi Group Amiens</t>
  </si>
  <si>
    <t>RIA FR11043</t>
  </si>
  <si>
    <t>RIA FR8865</t>
  </si>
  <si>
    <t>RIA FR11739</t>
  </si>
  <si>
    <t>UTS</t>
  </si>
  <si>
    <t>Dental Kare Suite</t>
  </si>
  <si>
    <t>JP Carrelage</t>
  </si>
  <si>
    <t>Attente éléments client</t>
  </si>
  <si>
    <t>Akinai</t>
  </si>
  <si>
    <t>Attente éléments</t>
  </si>
  <si>
    <t>ARG - ISERE NORD</t>
  </si>
  <si>
    <t>XEFI - GARAGE CAFFON BOILEAU</t>
  </si>
  <si>
    <t>FAB envoyé</t>
  </si>
  <si>
    <t>Camif habitat la falerde</t>
  </si>
  <si>
    <t>Duong Angencement</t>
  </si>
  <si>
    <t>Roll up Yohan Zerdoun</t>
  </si>
  <si>
    <t>FAB envoyé (sous-traitant Pixartprinting &gt; livraison prévu 22/03 ) ROLL UP XL  2M</t>
  </si>
  <si>
    <t>Cubic 33</t>
  </si>
  <si>
    <t>FAB envoyé (sous-traitant Realisaprint &gt; livraison prévu 17/03) ORIFLAMM XL 5M</t>
  </si>
  <si>
    <t>Nuoo</t>
  </si>
  <si>
    <t>Gi Group Cherbourg</t>
  </si>
  <si>
    <t>Gi Group Montbelliard</t>
  </si>
  <si>
    <t>Gi Group Metz</t>
  </si>
  <si>
    <t>Guy Hoquet CDV</t>
  </si>
  <si>
    <t>Attente infos client</t>
  </si>
  <si>
    <t>Refaire les 7 visuels</t>
  </si>
  <si>
    <t xml:space="preserve">Refab panneau </t>
  </si>
  <si>
    <t>Dalipi</t>
  </si>
  <si>
    <t>GDE Valences</t>
  </si>
  <si>
    <t>Viva services Les sables d'Olonne</t>
  </si>
  <si>
    <t>Eco handicap grand panneau</t>
  </si>
  <si>
    <t>Bâche Michael</t>
  </si>
  <si>
    <t>Pyramide conseil</t>
  </si>
  <si>
    <t>Reveil de la memoire et du souvenir</t>
  </si>
  <si>
    <t>Junior senior pertuis</t>
  </si>
  <si>
    <t>Gi Group Compiegne</t>
  </si>
  <si>
    <t>Junior senior</t>
  </si>
  <si>
    <t>Grande Pharmacie des Brotteaux</t>
  </si>
  <si>
    <t>Boite mail de Lisa à faire et paramétrer</t>
  </si>
  <si>
    <t>Mairie satolas reinter</t>
  </si>
  <si>
    <t>L'atelier chatillonnais</t>
  </si>
  <si>
    <t>planete raphael</t>
  </si>
  <si>
    <t>Temporis - Six Fours les plages</t>
  </si>
  <si>
    <t>Camif Besançon</t>
  </si>
  <si>
    <t>FAB A FAIRE - ATTENTE RAL</t>
  </si>
  <si>
    <t>Temporis Mauleon</t>
  </si>
  <si>
    <t>Balanant</t>
  </si>
  <si>
    <t>FAB A FAIRE - Attente logo "Optic +"</t>
  </si>
  <si>
    <t>GDS - Rambouillet</t>
  </si>
  <si>
    <t>Etiquettes Annemasse et Geneve</t>
  </si>
  <si>
    <t>CDV jmj</t>
  </si>
  <si>
    <t>a faire</t>
  </si>
  <si>
    <t>Maison créative Marion</t>
  </si>
  <si>
    <t>Float Europe</t>
  </si>
  <si>
    <t>ISS Logistique et production</t>
  </si>
  <si>
    <t>ISS Facility Services</t>
  </si>
  <si>
    <t>Grafton</t>
  </si>
  <si>
    <t>Le Bonnet de douche</t>
  </si>
  <si>
    <t>Attente RAL</t>
  </si>
  <si>
    <t>Viva services Versailles</t>
  </si>
  <si>
    <t>Lady sushi Bassens</t>
  </si>
  <si>
    <t>Attente maquette client</t>
  </si>
  <si>
    <t>L'atelier Châtillonais</t>
  </si>
  <si>
    <t>Maman et moi massage</t>
  </si>
  <si>
    <t>Temporis - La Roche</t>
  </si>
  <si>
    <t>Elle cosmétiques</t>
  </si>
  <si>
    <t>Tableau de suivi Gi Group</t>
  </si>
  <si>
    <t>XEFI - NICE</t>
  </si>
  <si>
    <t>Link</t>
  </si>
  <si>
    <t>bat validé &gt; FAB A FAIRE</t>
  </si>
  <si>
    <t>musée illusion - ad colle renf.</t>
  </si>
  <si>
    <t>Detail Car Nice</t>
  </si>
  <si>
    <t>FAB panneaux &gt; envoyé sous-traitant WIPRINT 
Enseigne lumineuse FAB FAIT</t>
  </si>
  <si>
    <r>
      <rPr>
        <rFont val="Comfortaa"/>
        <b/>
        <color theme="1"/>
      </rPr>
      <t>[WEB]</t>
    </r>
    <r>
      <rPr>
        <rFont val="Comfortaa"/>
        <color theme="1"/>
      </rPr>
      <t xml:space="preserve"> Gi Group</t>
    </r>
  </si>
  <si>
    <t>V1 Envoyé</t>
  </si>
  <si>
    <t xml:space="preserve">Temporis Saverne </t>
  </si>
  <si>
    <t>Xefi PResqu'ile</t>
  </si>
  <si>
    <t>Distrikt</t>
  </si>
  <si>
    <t>Andréa</t>
  </si>
  <si>
    <t>BAT signé -  FAB fait</t>
  </si>
  <si>
    <t>Victoire du gout</t>
  </si>
  <si>
    <t>BAT mairie ok - mais le client n'attendra pas la validation
FAB A FAIRE (panneaux x4) + Caisson double face non lumineux
lettres lumineuses sous traité &gt; FAB envoyé &gt; réception semaine pro</t>
  </si>
  <si>
    <t>Gi Group - Autres dossiers</t>
  </si>
  <si>
    <t>Reprendre les différents dossiers en fonction du compte rendu de réunion</t>
  </si>
  <si>
    <t>Xefi 3008</t>
  </si>
  <si>
    <t>Reprod adhésif</t>
  </si>
  <si>
    <t>Xefi - Caffon Boileau</t>
  </si>
  <si>
    <t>4 Fab pour adhésif côté "Logo"</t>
  </si>
  <si>
    <t>XEFI - 208</t>
  </si>
  <si>
    <t>Refab 208 Xefi</t>
  </si>
  <si>
    <t>Cabinet dentaire - Dentinov - Paris</t>
  </si>
  <si>
    <t>26 FRUIT</t>
  </si>
  <si>
    <t>FAB A FAIRE - Reste validation devis caisson (attente Matel)</t>
  </si>
  <si>
    <t>FAB FAIT - Voir caissons x2 + Enseigne lumineuse</t>
  </si>
  <si>
    <t>Emilie and the cool kids</t>
  </si>
  <si>
    <t>FAB FAIT - RAL 1013</t>
  </si>
  <si>
    <t xml:space="preserve"> FAB fait</t>
  </si>
  <si>
    <t>Douzet</t>
  </si>
  <si>
    <t>BAT VT a faire</t>
  </si>
  <si>
    <t>Temporis - ChateauBriant</t>
  </si>
  <si>
    <t>Refab "Intérim"</t>
  </si>
  <si>
    <t>Supply Santé</t>
  </si>
  <si>
    <t>Refonte QR Code Algeco</t>
  </si>
  <si>
    <t>Xefi - Hoki DOki</t>
  </si>
  <si>
    <t xml:space="preserve">Refab  </t>
  </si>
  <si>
    <r>
      <rPr>
        <rFont val="Comfortaa"/>
        <b/>
        <color theme="1"/>
      </rPr>
      <t>[PLAQUETTE]</t>
    </r>
    <r>
      <rPr>
        <rFont val="Comfortaa"/>
        <color theme="1"/>
      </rPr>
      <t xml:space="preserve"> FINANCE CONSEIL</t>
    </r>
  </si>
  <si>
    <t>FAB FAIT - envoie chez imprimeur 03/02</t>
  </si>
  <si>
    <t>Beaulieu</t>
  </si>
  <si>
    <t>Transmission clé web</t>
  </si>
  <si>
    <t>Adhésif provisoire FAB OK</t>
  </si>
  <si>
    <t>Xefi Paris 15</t>
  </si>
  <si>
    <t>Xefi - Nice</t>
  </si>
  <si>
    <t xml:space="preserve">FAB A FAIRE - VT envoyé à andrea </t>
  </si>
  <si>
    <t>BAT envoyé le 04/02</t>
  </si>
  <si>
    <t>Gi Group - Salon de Provence</t>
  </si>
  <si>
    <t>YEKPE Nicole</t>
  </si>
  <si>
    <t xml:space="preserve">FAB A FAIRE   </t>
  </si>
  <si>
    <t>SQ commande site</t>
  </si>
  <si>
    <t>Viva Services Rennes</t>
  </si>
  <si>
    <t>Les zouzou Lyonnais</t>
  </si>
  <si>
    <t>EOL</t>
  </si>
  <si>
    <t>RIA FR60516</t>
  </si>
  <si>
    <t>Touati</t>
  </si>
  <si>
    <t>Attente retour client - echantillon envoyé le 18-01</t>
  </si>
  <si>
    <t>GI group Martigues</t>
  </si>
  <si>
    <t>RIA FR9477</t>
  </si>
  <si>
    <t>RIA FR6569</t>
  </si>
  <si>
    <t>ISS Molsheim</t>
  </si>
  <si>
    <t>XEFI VITROLLES</t>
  </si>
  <si>
    <t>Installation 2 nouveaux postes</t>
  </si>
  <si>
    <t>Attente clé Office</t>
  </si>
  <si>
    <t>Temporis Gujan et Parentis</t>
  </si>
  <si>
    <t>COVID</t>
  </si>
  <si>
    <t>Nouvel Algeco</t>
  </si>
  <si>
    <t>Proposition envoyée</t>
  </si>
  <si>
    <t>Refab à faire</t>
  </si>
  <si>
    <t>Mails : OK - Cdv Attente validation BAT</t>
  </si>
  <si>
    <t>L'atelier - Villeurbanne Gare</t>
  </si>
  <si>
    <t>Attente retour client 26/01</t>
  </si>
  <si>
    <t>Gi Group - Saint Martin de Crau</t>
  </si>
  <si>
    <t>SEMARCHY</t>
  </si>
  <si>
    <t>L'atelier - Cours Albert Thomas</t>
  </si>
  <si>
    <t>Carole reprends le dossier</t>
  </si>
  <si>
    <t>BAT drapeau validé par client 19/01 - FAB OK</t>
  </si>
  <si>
    <t>SRVerres</t>
  </si>
  <si>
    <t>Publication à faire + programmer</t>
  </si>
  <si>
    <t>GDS POISSY</t>
  </si>
  <si>
    <t>Caffon Boileau - Partner 950</t>
  </si>
  <si>
    <t>Temporis La Roche Sur Yon</t>
  </si>
  <si>
    <t>RGT</t>
  </si>
  <si>
    <t>Nouveau locaux</t>
  </si>
  <si>
    <r>
      <rPr>
        <rFont val="Comfortaa"/>
        <b/>
        <color theme="1"/>
      </rPr>
      <t>[DIVERS]</t>
    </r>
    <r>
      <rPr>
        <rFont val="Comfortaa"/>
        <color theme="1"/>
      </rPr>
      <t xml:space="preserve"> Temporis - Suivi stats</t>
    </r>
  </si>
  <si>
    <t>On refait depuis le début ?</t>
  </si>
  <si>
    <t>Artisanat Sel</t>
  </si>
  <si>
    <t>La Caverne de Lepinoy</t>
  </si>
  <si>
    <t>musé de l'illusion</t>
  </si>
  <si>
    <t>attente retour client (il ne souhaite plus imprimer
garder uniquement la réparation</t>
  </si>
  <si>
    <t>Concergerie Cyconia</t>
  </si>
  <si>
    <t>BAT ok FAB ok</t>
  </si>
  <si>
    <r>
      <rPr>
        <rFont val="Comfortaa"/>
        <b/>
        <color theme="1"/>
      </rPr>
      <t>[FLOCAGE]</t>
    </r>
    <r>
      <rPr>
        <rFont val="Comfortaa"/>
        <color theme="1"/>
      </rPr>
      <t xml:space="preserve"> Power Energy</t>
    </r>
  </si>
  <si>
    <t xml:space="preserve">BAT fait FAB fait </t>
  </si>
  <si>
    <t>[LOGO] Only Biz</t>
  </si>
  <si>
    <t>fait et envoyé</t>
  </si>
  <si>
    <t>Mika Sushi / Tap Covid</t>
  </si>
  <si>
    <t>fait et posé</t>
  </si>
  <si>
    <t>LUCIE</t>
  </si>
  <si>
    <t>PAUL</t>
  </si>
  <si>
    <t>FRANK</t>
  </si>
  <si>
    <t>DOSIER</t>
  </si>
  <si>
    <t>NUMERO</t>
  </si>
  <si>
    <t>Hugo</t>
  </si>
  <si>
    <t>Marie</t>
  </si>
  <si>
    <t>Juliette</t>
  </si>
  <si>
    <t>Lucie</t>
  </si>
  <si>
    <t>Paul</t>
  </si>
  <si>
    <t>Marion</t>
  </si>
  <si>
    <t>Frank</t>
  </si>
  <si>
    <t>Nbr de jours ouvrés pris en compte :</t>
  </si>
  <si>
    <t>Total de dossiers :</t>
  </si>
  <si>
    <t>Guillaume</t>
  </si>
  <si>
    <t>Laurie</t>
  </si>
  <si>
    <t>Vanessa</t>
  </si>
  <si>
    <t>Audrey</t>
  </si>
  <si>
    <t xml:space="preserve">ATTRIBUTION DES FRANCHISES : </t>
  </si>
  <si>
    <t xml:space="preserve">FRANCHISES </t>
  </si>
  <si>
    <t>Bagelstein</t>
  </si>
  <si>
    <t>Bureau Vallée</t>
  </si>
  <si>
    <t>Camif Habitat</t>
  </si>
  <si>
    <t>General des Services</t>
  </si>
  <si>
    <t>La Main Tendue</t>
  </si>
  <si>
    <t>Lady Sushi</t>
  </si>
  <si>
    <t>Point Code</t>
  </si>
  <si>
    <t>Ria</t>
  </si>
  <si>
    <t>Kreature</t>
  </si>
  <si>
    <t>Point S</t>
  </si>
  <si>
    <t>Wash n Dry</t>
  </si>
  <si>
    <t>SQ Laverie</t>
  </si>
  <si>
    <t>O2</t>
  </si>
  <si>
    <t>Euronet</t>
  </si>
  <si>
    <t>EDRA</t>
  </si>
  <si>
    <t>Novi</t>
  </si>
  <si>
    <t>Arvalis</t>
  </si>
  <si>
    <t>Centre Service</t>
  </si>
  <si>
    <t>Kpizz</t>
  </si>
  <si>
    <t>Detail Car</t>
  </si>
  <si>
    <t>On Air</t>
  </si>
  <si>
    <t>Ingécal</t>
  </si>
  <si>
    <t>Technal</t>
  </si>
  <si>
    <t>Renovert</t>
  </si>
  <si>
    <t>Easy Charge</t>
  </si>
  <si>
    <t>Fitness Park</t>
  </si>
  <si>
    <t xml:space="preserve">Destia </t>
  </si>
  <si>
    <t>MICKAEL</t>
  </si>
  <si>
    <t>Dentinov - Republique</t>
  </si>
  <si>
    <t>BAT envoyé 08/09 / VT OK / Adhésifs uniquement
retour client 08/09 : "c’est trop opaque, il ne faut pas recouvrir la totalité de la vitre "
Réduire hauteur Dépoli 
Insister pour avoir un plan intérieur des cloisons. BAT RETOUR 14/09</t>
  </si>
  <si>
    <t>Mr Medical</t>
  </si>
  <si>
    <t>BAT envoyé 22/06/22 → Demande nouvelle proposition → 
Attente de brief M.Kessous → En attente de rappel et relance mail 06/07/2022
Nouvelle relance 15/07/22
Nouvelle relance 14/09/22</t>
  </si>
  <si>
    <t>Dentinov / Villeurbanne - ZOLA</t>
  </si>
  <si>
    <t>BAT RE- envoyé 29/08 / VT ok - RELANCE 13/09</t>
  </si>
  <si>
    <t>DAVID</t>
  </si>
  <si>
    <t>Nbr de BAT envoyé</t>
  </si>
  <si>
    <t>Commercial</t>
  </si>
  <si>
    <t>Tâche</t>
  </si>
  <si>
    <t>Demande</t>
  </si>
  <si>
    <t>Graphiste</t>
  </si>
  <si>
    <t>Process atelier</t>
  </si>
  <si>
    <t>Mise en forme des process / contraintes atelier. Fiche à destination des graphistes pour réalisation des fichiers de fabrication</t>
  </si>
  <si>
    <t>Catalogue "Les Enseignistes"</t>
  </si>
  <si>
    <t>Mise à jour du gros catalogue "JMJCOM" en rebrand "Les Enseignistes", corrections d'erreur, réalisation de simulation 3D, changement de photos etc</t>
  </si>
  <si>
    <t>Modification des BAT</t>
  </si>
  <si>
    <t>Créer un modèle de BAT "cochable", afin que tous les graphistes indique systématiquement la même chose dans le BAT - Brief avec Michael avant</t>
  </si>
  <si>
    <t>Page produits</t>
  </si>
  <si>
    <t>Réalisation d'une page (A4) pour expliquer chaque produit, exemple une fiche dépoli, expliquant le produit, avec des photos d'exemples, les avantages, les inconvénients, les spécificité techniques (exemple "Imprimable : Oui / Non") etc</t>
  </si>
  <si>
    <t>Showroom</t>
  </si>
  <si>
    <t>Showroom de base pour franchise "Les Enseignistes"</t>
  </si>
  <si>
    <t>Vidéo formation</t>
  </si>
  <si>
    <t>Tournage et montage des vidéos destinées à la formation de poseurs en fonction d'un document pré-établi</t>
  </si>
  <si>
    <t>Post sur le personnel</t>
  </si>
  <si>
    <t>Réalisation d'un post "Interview" sur les RS de "Les Enseignistes" sur le personnel de la société</t>
  </si>
  <si>
    <t>Mockup</t>
  </si>
  <si>
    <t>Création et préparation de Mockup de qualité (pour la réalisation de nos BAT) donc des mockup généraliste avec les produits que l'on réalise régulièrement</t>
  </si>
  <si>
    <t>Newsletter</t>
  </si>
  <si>
    <t>Création de Newsletter pour Les Enseignistes / Work &amp; Progress / Mr Enseignes</t>
  </si>
  <si>
    <t>Vidéo écran</t>
  </si>
  <si>
    <t>Création de vidéo pour les écrans d'affichage en interne - Brief avec Michael pour savoir les informations à y mettre</t>
  </si>
  <si>
    <t>Marie / Michael</t>
  </si>
  <si>
    <t>Afichage RSE</t>
  </si>
  <si>
    <t>Brochure franchisé (modèle)</t>
  </si>
  <si>
    <t>Vidéo devenez franchisé</t>
  </si>
  <si>
    <r>
      <rPr>
        <rFont val="Comfortaa,Arial"/>
        <b/>
        <color theme="1"/>
      </rPr>
      <t>[WEB]</t>
    </r>
    <r>
      <rPr>
        <rFont val="Comfortaa,Arial"/>
        <b/>
        <color theme="1"/>
      </rPr>
      <t xml:space="preserve"> Netilav</t>
    </r>
  </si>
  <si>
    <t>Réalisation logo [OK] + développement site internet en cours</t>
  </si>
  <si>
    <t>Attente retour client (Travaux sur la facade finissant fin Juin)</t>
  </si>
  <si>
    <t>Modif envoyée le 29/04</t>
  </si>
  <si>
    <t>7 Véhicules à faire (Différents) → FAB 4/7 (2BAT + 1 demande d'info en cours le 07/04) + Relance le 02/05</t>
  </si>
  <si>
    <t>Modif à faire puis lancement en FAB</t>
  </si>
  <si>
    <t>Relance téléphonique à Eva (06 34 41 00 43) le 07/03</t>
  </si>
  <si>
    <t>MODIF BAT envoyé le 28/04</t>
  </si>
  <si>
    <t>Organisation, achat et déploiement modem Wifi</t>
  </si>
  <si>
    <t>Recâblage de la salle réseau (débrancher et rebrancher la totalité des câbles réseaux)</t>
  </si>
  <si>
    <r>
      <rPr>
        <rFont val="Comfortaa,Arial"/>
      </rPr>
      <t xml:space="preserve">Réaliser une page SAV sur </t>
    </r>
    <r>
      <rPr>
        <rFont val="Comfortaa,Arial"/>
        <color rgb="FF1155CC"/>
        <u/>
      </rPr>
      <t>www.vosenseignes.fr</t>
    </r>
  </si>
  <si>
    <t>BAT envoyé le 02/05 - BAT VT envoyé le 02/05</t>
  </si>
  <si>
    <t>Modification et centralisation de toutes les plaquettes franchisées</t>
  </si>
  <si>
    <t>Nouveau Dossier</t>
  </si>
  <si>
    <t>Audit client Web</t>
  </si>
  <si>
    <t>Tableau - Contrats maitnenance</t>
  </si>
  <si>
    <t>Intégration des cadres sur le site</t>
  </si>
  <si>
    <t>BAT envoyé le 02/05</t>
  </si>
  <si>
    <t>Nouvelle bâche</t>
  </si>
  <si>
    <t>Attente retour Sophie-Amélie 07/04</t>
  </si>
  <si>
    <t>Création maquette 3 véhicules - Modification envoyé le 13/04</t>
  </si>
  <si>
    <t>Création maquette véhicule (dépendant de la première maquette envoyé à S.A.</t>
  </si>
  <si>
    <t>Modif envoyé le 21/04</t>
  </si>
  <si>
    <t>Maquette envoyé le 25/04 + Relance le 02/05</t>
  </si>
  <si>
    <t>GDS saint Avolde</t>
  </si>
  <si>
    <t>Reprise du dossier</t>
  </si>
  <si>
    <t>Charte Graphique - CdV, Signature mail etc.</t>
  </si>
  <si>
    <t>Site Internet ? Logo ? Faire point avec Michael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</si>
</sst>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
    <numFmt numFmtId="165" formatCode="dd/mm"/>
    <numFmt numFmtId="166" formatCode="dd/MM/yyyy"/>
    <numFmt numFmtId="167" formatCode="dd-mm"/>
    <numFmt numFmtId="168" formatCode="d/m"/>
    <numFmt numFmtId="169" formatCode="dd/mm/yyyy"/>
  </numFmts>
  <fonts count="53">
    <font>
      <sz val="10.0"/>
      <color rgb="FF000000"/>
      <name val="Arial"/>
      <scheme val="minor"/>
    </font>
    <font>
      <b/>
      <color rgb="FFFFFFFF"/>
      <name val="Comfortaa"/>
    </font>
    <font>
      <color theme="1"/>
      <name val="Comfortaa"/>
    </font>
    <font>
      <b/>
      <color theme="0"/>
      <name val="Comfortaa"/>
    </font>
    <font>
      <color rgb="FFEF6868"/>
      <name val="Comfortaa"/>
    </font>
    <font>
      <color theme="7"/>
      <name val="Comfortaa"/>
    </font>
    <font>
      <color theme="1"/>
      <name val="Arial"/>
      <scheme val="minor"/>
    </font>
    <font>
      <b/>
      <color rgb="FFFF0000"/>
      <name val="Comfortaa"/>
    </font>
    <font>
      <color rgb="FFF1C232"/>
      <name val="Comfortaa"/>
    </font>
    <font>
      <color rgb="FFBC68EF"/>
      <name val="Comfortaa"/>
    </font>
    <font>
      <color rgb="FF55C7E0"/>
      <name val="Comfortaa"/>
    </font>
    <font>
      <color rgb="FF000000"/>
      <name val="Comfortaa"/>
    </font>
    <font>
      <b/>
      <color rgb="FFFF6D01"/>
      <name val="Comfortaa"/>
    </font>
    <font>
      <i/>
      <color rgb="FF999999"/>
      <name val="Comfortaa"/>
    </font>
    <font>
      <b/>
      <color theme="8"/>
      <name val="Comfortaa"/>
    </font>
    <font>
      <color rgb="FFFBBC04"/>
      <name val="Comfortaa"/>
    </font>
    <font>
      <b/>
      <sz val="7.0"/>
      <color theme="1"/>
      <name val="Comfortaa"/>
    </font>
    <font>
      <color rgb="FFF162A8"/>
      <name val="Comfortaa"/>
    </font>
    <font>
      <b/>
      <color rgb="FF000000"/>
      <name val="Comfortaa"/>
    </font>
    <font>
      <color rgb="FF34A853"/>
      <name val="Comfortaa"/>
    </font>
    <font>
      <b/>
      <color theme="1"/>
      <name val="Comfortaa"/>
    </font>
    <font>
      <b/>
      <color rgb="FFF162A8"/>
      <name val="Comfortaa"/>
    </font>
    <font>
      <sz val="11.0"/>
      <color rgb="FF000000"/>
      <name val="Muli"/>
    </font>
    <font>
      <color rgb="FF980000"/>
      <name val="Comfortaa"/>
    </font>
    <font>
      <color rgb="FF674EA7"/>
      <name val="Comfortaa"/>
    </font>
    <font>
      <color theme="1"/>
      <name val="Arial"/>
    </font>
    <font>
      <color rgb="FF000000"/>
      <name val="Docs-Comfortaa"/>
    </font>
    <font>
      <sz val="11.0"/>
      <color theme="1"/>
      <name val="Muli"/>
    </font>
    <font>
      <color rgb="FF000000"/>
      <name val="&quot;docs-Comfortaa&quot;"/>
    </font>
    <font>
      <sz val="11.0"/>
      <color theme="1"/>
      <name val="Arial"/>
      <scheme val="minor"/>
    </font>
    <font>
      <i/>
      <color rgb="FFF1C232"/>
      <name val="Comfortaa"/>
    </font>
    <font>
      <i/>
      <color theme="1"/>
      <name val="Comfortaa"/>
    </font>
    <font>
      <color rgb="FF6AA84F"/>
      <name val="Comfortaa"/>
    </font>
    <font>
      <u/>
      <color rgb="FF0000FF"/>
      <name val="Comfortaa"/>
    </font>
    <font>
      <u/>
      <color rgb="FF0000FF"/>
      <name val="Comfortaa"/>
    </font>
    <font>
      <color rgb="FFA0E874"/>
      <name val="Comfortaa"/>
    </font>
    <font>
      <b/>
      <color rgb="FF3C78D8"/>
      <name val="Comfortaa"/>
    </font>
    <font>
      <b/>
      <sz val="11.0"/>
      <color theme="1"/>
      <name val="Comfortaa"/>
    </font>
    <font>
      <strike/>
      <color theme="1"/>
      <name val="Comfortaa"/>
    </font>
    <font>
      <u/>
      <color rgb="FF0000FF"/>
      <name val="Comfortaa"/>
    </font>
    <font>
      <sz val="11.0"/>
      <color theme="1"/>
      <name val="Comfortaa"/>
    </font>
    <font>
      <u/>
      <color rgb="FF0000FF"/>
      <name val="Comfortaa"/>
    </font>
    <font>
      <u/>
      <color rgb="FF0000FF"/>
      <name val="Comfortaa"/>
    </font>
    <font>
      <i/>
      <color theme="1"/>
      <name val="Arial"/>
      <scheme val="minor"/>
    </font>
    <font>
      <u/>
      <color rgb="FF1155CC"/>
    </font>
    <font>
      <sz val="11.0"/>
      <color rgb="FF000000"/>
      <name val="&quot;docs-Calibri&quot;"/>
    </font>
    <font>
      <color rgb="FFFFFFFF"/>
      <name val="Comfortaa"/>
    </font>
    <font>
      <color rgb="FF666666"/>
      <name val="Arial"/>
      <scheme val="minor"/>
    </font>
    <font>
      <color rgb="FFFFFFFF"/>
      <name val="Arial"/>
      <scheme val="minor"/>
    </font>
    <font>
      <b/>
      <color rgb="FFFFFFFF"/>
      <name val="Arial"/>
      <scheme val="minor"/>
    </font>
    <font>
      <b/>
      <color theme="0"/>
      <name val="Arial"/>
      <scheme val="minor"/>
    </font>
    <font>
      <b/>
      <color theme="1"/>
      <name val="Arial"/>
      <scheme val="minor"/>
    </font>
    <font>
      <u/>
      <color rgb="FF0000FF"/>
      <name val="Comfortaa"/>
    </font>
  </fonts>
  <fills count="56">
    <fill>
      <patternFill patternType="none"/>
    </fill>
    <fill>
      <patternFill patternType="lightGray"/>
    </fill>
    <fill>
      <patternFill patternType="solid">
        <fgColor rgb="FFEF6868"/>
        <bgColor rgb="FFEF6868"/>
      </patternFill>
    </fill>
    <fill>
      <patternFill patternType="solid">
        <fgColor rgb="FF6AA84F"/>
        <bgColor rgb="FF6AA84F"/>
      </patternFill>
    </fill>
    <fill>
      <patternFill patternType="solid">
        <fgColor rgb="FFFFFFFF"/>
        <bgColor rgb="FFFFFFFF"/>
      </patternFill>
    </fill>
    <fill>
      <patternFill patternType="solid">
        <fgColor rgb="FFFFF2CC"/>
        <bgColor rgb="FFFFF2CC"/>
      </patternFill>
    </fill>
    <fill>
      <patternFill patternType="solid">
        <fgColor rgb="FFF1C232"/>
        <bgColor rgb="FFF1C232"/>
      </patternFill>
    </fill>
    <fill>
      <patternFill patternType="solid">
        <fgColor rgb="FFBC68EF"/>
        <bgColor rgb="FFBC68EF"/>
      </patternFill>
    </fill>
    <fill>
      <patternFill patternType="solid">
        <fgColor rgb="FFA4C2F4"/>
        <bgColor rgb="FFA4C2F4"/>
      </patternFill>
    </fill>
    <fill>
      <patternFill patternType="solid">
        <fgColor rgb="FF6D9EEB"/>
        <bgColor rgb="FF6D9EEB"/>
      </patternFill>
    </fill>
    <fill>
      <patternFill patternType="solid">
        <fgColor rgb="FF55C7E0"/>
        <bgColor rgb="FF55C7E0"/>
      </patternFill>
    </fill>
    <fill>
      <patternFill patternType="solid">
        <fgColor rgb="FFCFE2F3"/>
        <bgColor rgb="FFCFE2F3"/>
      </patternFill>
    </fill>
    <fill>
      <patternFill patternType="solid">
        <fgColor rgb="FFEFEFEF"/>
        <bgColor rgb="FFEFEFEF"/>
      </patternFill>
    </fill>
    <fill>
      <patternFill patternType="solid">
        <fgColor rgb="FFC9DAF8"/>
        <bgColor rgb="FFC9DAF8"/>
      </patternFill>
    </fill>
    <fill>
      <patternFill patternType="solid">
        <fgColor rgb="FFFBBC04"/>
        <bgColor rgb="FFFBBC04"/>
      </patternFill>
    </fill>
    <fill>
      <patternFill patternType="solid">
        <fgColor rgb="FFFF0000"/>
        <bgColor rgb="FFFF0000"/>
      </patternFill>
    </fill>
    <fill>
      <patternFill patternType="solid">
        <fgColor theme="0"/>
        <bgColor theme="0"/>
      </patternFill>
    </fill>
    <fill>
      <patternFill patternType="solid">
        <fgColor rgb="FFC8FFBE"/>
        <bgColor rgb="FFC8FFBE"/>
      </patternFill>
    </fill>
    <fill>
      <patternFill patternType="solid">
        <fgColor rgb="FFF162A8"/>
        <bgColor rgb="FFF162A8"/>
      </patternFill>
    </fill>
    <fill>
      <patternFill patternType="solid">
        <fgColor rgb="FFEAD1DC"/>
        <bgColor rgb="FFEAD1DC"/>
      </patternFill>
    </fill>
    <fill>
      <patternFill patternType="solid">
        <fgColor rgb="FF9FC5E8"/>
        <bgColor rgb="FF9FC5E8"/>
      </patternFill>
    </fill>
    <fill>
      <patternFill patternType="solid">
        <fgColor rgb="FF93C47D"/>
        <bgColor rgb="FF93C47D"/>
      </patternFill>
    </fill>
    <fill>
      <patternFill patternType="solid">
        <fgColor rgb="FFD9D9D9"/>
        <bgColor rgb="FFD9D9D9"/>
      </patternFill>
    </fill>
    <fill>
      <patternFill patternType="solid">
        <fgColor rgb="FF00FFFF"/>
        <bgColor rgb="FF00FFFF"/>
      </patternFill>
    </fill>
    <fill>
      <patternFill patternType="solid">
        <fgColor rgb="FFD9EAD3"/>
        <bgColor rgb="FFD9EAD3"/>
      </patternFill>
    </fill>
    <fill>
      <patternFill patternType="solid">
        <fgColor rgb="FFFFE599"/>
        <bgColor rgb="FFFFE599"/>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D5A6BD"/>
        <bgColor rgb="FFD5A6BD"/>
      </patternFill>
    </fill>
    <fill>
      <patternFill patternType="solid">
        <fgColor rgb="FFFF9900"/>
        <bgColor rgb="FFFF9900"/>
      </patternFill>
    </fill>
    <fill>
      <patternFill patternType="solid">
        <fgColor rgb="FF980000"/>
        <bgColor rgb="FF980000"/>
      </patternFill>
    </fill>
    <fill>
      <patternFill patternType="solid">
        <fgColor rgb="FF674EA7"/>
        <bgColor rgb="FF674EA7"/>
      </patternFill>
    </fill>
    <fill>
      <patternFill patternType="solid">
        <fgColor rgb="FFFCE5CD"/>
        <bgColor rgb="FFFCE5CD"/>
      </patternFill>
    </fill>
    <fill>
      <patternFill patternType="solid">
        <fgColor rgb="FFF9CB9C"/>
        <bgColor rgb="FFF9CB9C"/>
      </patternFill>
    </fill>
    <fill>
      <patternFill patternType="solid">
        <fgColor rgb="FFFEE3A1"/>
        <bgColor rgb="FFFEE3A1"/>
      </patternFill>
    </fill>
    <fill>
      <patternFill patternType="solid">
        <fgColor rgb="FFFFFF00"/>
        <bgColor rgb="FFFFFF00"/>
      </patternFill>
    </fill>
    <fill>
      <patternFill patternType="solid">
        <fgColor rgb="FF00FF00"/>
        <bgColor rgb="FF00FF00"/>
      </patternFill>
    </fill>
    <fill>
      <patternFill patternType="solid">
        <fgColor theme="4"/>
        <bgColor theme="4"/>
      </patternFill>
    </fill>
    <fill>
      <patternFill patternType="solid">
        <fgColor rgb="FFE6B8AF"/>
        <bgColor rgb="FFE6B8AF"/>
      </patternFill>
    </fill>
    <fill>
      <patternFill patternType="solid">
        <fgColor rgb="FFDD7E6B"/>
        <bgColor rgb="FFDD7E6B"/>
      </patternFill>
    </fill>
    <fill>
      <patternFill patternType="solid">
        <fgColor rgb="FFB6D7A8"/>
        <bgColor rgb="FFB6D7A8"/>
      </patternFill>
    </fill>
    <fill>
      <patternFill patternType="solid">
        <fgColor rgb="FF8E7CC3"/>
        <bgColor rgb="FF8E7CC3"/>
      </patternFill>
    </fill>
    <fill>
      <patternFill patternType="solid">
        <fgColor rgb="FFB4A7D6"/>
        <bgColor rgb="FFB4A7D6"/>
      </patternFill>
    </fill>
    <fill>
      <patternFill patternType="solid">
        <fgColor theme="6"/>
        <bgColor theme="6"/>
      </patternFill>
    </fill>
    <fill>
      <patternFill patternType="solid">
        <fgColor rgb="FFFFD966"/>
        <bgColor rgb="FFFFD966"/>
      </patternFill>
    </fill>
    <fill>
      <patternFill patternType="solid">
        <fgColor theme="8"/>
        <bgColor theme="8"/>
      </patternFill>
    </fill>
    <fill>
      <patternFill patternType="solid">
        <fgColor rgb="FF4A86E8"/>
        <bgColor rgb="FF4A86E8"/>
      </patternFill>
    </fill>
    <fill>
      <patternFill patternType="solid">
        <fgColor theme="5"/>
        <bgColor theme="5"/>
      </patternFill>
    </fill>
    <fill>
      <patternFill patternType="solid">
        <fgColor rgb="FFA0E874"/>
        <bgColor rgb="FFA0E874"/>
      </patternFill>
    </fill>
    <fill>
      <patternFill patternType="solid">
        <fgColor rgb="FFEA9999"/>
        <bgColor rgb="FFEA9999"/>
      </patternFill>
    </fill>
    <fill>
      <patternFill patternType="solid">
        <fgColor rgb="FF434343"/>
        <bgColor rgb="FF434343"/>
      </patternFill>
    </fill>
    <fill>
      <patternFill patternType="solid">
        <fgColor rgb="FF666666"/>
        <bgColor rgb="FF666666"/>
      </patternFill>
    </fill>
    <fill>
      <patternFill patternType="solid">
        <fgColor rgb="FF3D85C6"/>
        <bgColor rgb="FF3D85C6"/>
      </patternFill>
    </fill>
    <fill>
      <patternFill patternType="solid">
        <fgColor rgb="FFF6B26B"/>
        <bgColor rgb="FFF6B26B"/>
      </patternFill>
    </fill>
    <fill>
      <patternFill patternType="solid">
        <fgColor rgb="FFF3F3F3"/>
        <bgColor rgb="FFF3F3F3"/>
      </patternFill>
    </fill>
  </fills>
  <borders count="3">
    <border/>
    <border>
      <right style="thin">
        <color rgb="FF000000"/>
      </right>
      <top style="thin">
        <color rgb="FF000000"/>
      </top>
    </border>
    <border>
      <top style="thin">
        <color rgb="FF000000"/>
      </top>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4"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vertical="center"/>
    </xf>
    <xf borderId="0" fillId="0" fontId="2" numFmtId="0" xfId="0" applyAlignment="1" applyFont="1">
      <alignment horizontal="center" shrinkToFit="0" vertical="center" wrapText="1"/>
    </xf>
    <xf borderId="0" fillId="2" fontId="2" numFmtId="0" xfId="0" applyAlignment="1" applyFont="1">
      <alignment horizontal="center" vertical="center"/>
    </xf>
    <xf borderId="0" fillId="0" fontId="2" numFmtId="4" xfId="0" applyAlignment="1" applyFont="1" applyNumberFormat="1">
      <alignment horizontal="center" shrinkToFit="0" vertical="center" wrapText="1"/>
    </xf>
    <xf borderId="0" fillId="3" fontId="1" numFmtId="0" xfId="0" applyAlignment="1" applyFill="1" applyFont="1">
      <alignment horizontal="center" readingOrder="0" vertical="center"/>
    </xf>
    <xf borderId="0" fillId="3" fontId="5"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1" numFmtId="164" xfId="0" applyAlignment="1" applyFont="1" applyNumberFormat="1">
      <alignment horizontal="center" readingOrder="0" shrinkToFit="0" vertical="center" wrapText="1"/>
    </xf>
    <xf borderId="0" fillId="3" fontId="1" numFmtId="0" xfId="0" applyAlignment="1" applyFont="1">
      <alignment horizontal="center" readingOrder="0" shrinkToFit="0" vertical="center" wrapText="1"/>
    </xf>
    <xf borderId="0" fillId="3" fontId="2" numFmtId="0" xfId="0" applyAlignment="1" applyFont="1">
      <alignment horizontal="center" shrinkToFit="0" vertical="center" wrapText="1"/>
    </xf>
    <xf borderId="0" fillId="3" fontId="5" numFmtId="0" xfId="0" applyAlignment="1" applyFont="1">
      <alignment horizontal="center" readingOrder="0" vertical="center"/>
    </xf>
    <xf borderId="0" fillId="3" fontId="2" numFmtId="0" xfId="0" applyAlignment="1" applyFont="1">
      <alignment horizontal="center" vertical="center"/>
    </xf>
    <xf borderId="0" fillId="4"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0" fontId="6" numFmtId="0" xfId="0" applyAlignment="1" applyFont="1">
      <alignment horizontal="center" readingOrder="0"/>
    </xf>
    <xf borderId="0" fillId="4" fontId="2" numFmtId="4" xfId="0" applyAlignment="1" applyFont="1" applyNumberFormat="1">
      <alignment horizontal="center" readingOrder="0" shrinkToFit="0" vertical="center" wrapText="1"/>
    </xf>
    <xf borderId="0" fillId="0" fontId="2" numFmtId="0" xfId="0" applyAlignment="1" applyFont="1">
      <alignment horizontal="center" vertical="center"/>
    </xf>
    <xf borderId="0" fillId="3" fontId="2" numFmtId="4" xfId="0" applyAlignment="1" applyFont="1" applyNumberFormat="1">
      <alignment horizontal="center" vertical="center"/>
    </xf>
    <xf borderId="0" fillId="6" fontId="7" numFmtId="0" xfId="0" applyAlignment="1" applyFill="1" applyFont="1">
      <alignment horizontal="center" readingOrder="0" vertical="center"/>
    </xf>
    <xf borderId="0" fillId="6" fontId="8" numFmtId="0" xfId="0" applyAlignment="1" applyFont="1">
      <alignment horizontal="center" shrinkToFit="0" vertical="center" wrapText="1"/>
    </xf>
    <xf borderId="0" fillId="6" fontId="3" numFmtId="0" xfId="0" applyAlignment="1" applyFont="1">
      <alignment horizontal="center" readingOrder="0" shrinkToFit="0" vertical="center" wrapText="1"/>
    </xf>
    <xf borderId="0" fillId="6" fontId="1" numFmtId="164" xfId="0" applyAlignment="1" applyFont="1" applyNumberFormat="1">
      <alignment horizontal="center" readingOrder="0" shrinkToFit="0" vertical="center" wrapText="1"/>
    </xf>
    <xf borderId="0" fillId="6" fontId="1"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6" fontId="8" numFmtId="0" xfId="0" applyAlignment="1" applyFont="1">
      <alignment horizontal="center" readingOrder="0" vertical="center"/>
    </xf>
    <xf borderId="0" fillId="6" fontId="2" numFmtId="0" xfId="0" applyAlignment="1" applyFont="1">
      <alignment horizontal="center" vertical="center"/>
    </xf>
    <xf borderId="0" fillId="7" fontId="1" numFmtId="0" xfId="0" applyAlignment="1" applyFill="1" applyFont="1">
      <alignment horizontal="center" readingOrder="0" vertical="center"/>
    </xf>
    <xf borderId="0" fillId="7" fontId="9" numFmtId="0" xfId="0" applyAlignment="1" applyFont="1">
      <alignment horizontal="center" shrinkToFit="0" vertical="center" wrapText="1"/>
    </xf>
    <xf borderId="0" fillId="7" fontId="3" numFmtId="0" xfId="0" applyAlignment="1" applyFont="1">
      <alignment horizontal="left" readingOrder="0" shrinkToFit="0" vertical="center" wrapText="1"/>
    </xf>
    <xf borderId="0" fillId="7" fontId="1" numFmtId="164" xfId="0" applyAlignment="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2" numFmtId="0" xfId="0" applyAlignment="1" applyFont="1">
      <alignment horizontal="center" shrinkToFit="0" vertical="center" wrapText="1"/>
    </xf>
    <xf borderId="0" fillId="7" fontId="9" numFmtId="0" xfId="0" applyAlignment="1" applyFont="1">
      <alignment horizontal="center" readingOrder="0" vertical="center"/>
    </xf>
    <xf borderId="0" fillId="0" fontId="2" numFmtId="0" xfId="0" applyAlignment="1" applyFont="1">
      <alignment horizontal="left" readingOrder="0" shrinkToFit="0" vertical="center" wrapText="1"/>
    </xf>
    <xf borderId="0" fillId="7" fontId="2" numFmtId="0" xfId="0" applyAlignment="1" applyFont="1">
      <alignment horizontal="center" vertical="center"/>
    </xf>
    <xf borderId="0" fillId="8" fontId="2" numFmtId="0" xfId="0" applyAlignment="1" applyFill="1" applyFont="1">
      <alignment horizontal="left" readingOrder="0" shrinkToFit="0" vertical="center" wrapText="1"/>
    </xf>
    <xf borderId="0" fillId="9" fontId="2"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10" fontId="1" numFmtId="0" xfId="0" applyAlignment="1" applyFill="1" applyFont="1">
      <alignment horizontal="center" readingOrder="0" vertical="center"/>
    </xf>
    <xf borderId="0" fillId="10" fontId="9"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0" fontId="1" numFmtId="164" xfId="0" applyAlignment="1" applyFont="1" applyNumberFormat="1">
      <alignment horizontal="center" readingOrder="0" shrinkToFit="0" vertical="center" wrapText="1"/>
    </xf>
    <xf borderId="0" fillId="10" fontId="1" numFmtId="0" xfId="0" applyAlignment="1" applyFont="1">
      <alignment horizontal="center" readingOrder="0" shrinkToFit="0" vertical="center" wrapText="1"/>
    </xf>
    <xf borderId="0" fillId="10" fontId="2" numFmtId="0" xfId="0" applyAlignment="1" applyFont="1">
      <alignment horizontal="center" shrinkToFit="0" vertical="center" wrapText="1"/>
    </xf>
    <xf borderId="0" fillId="10" fontId="10" numFmtId="0" xfId="0" applyAlignment="1" applyFont="1">
      <alignment horizontal="center" readingOrder="0" vertical="center"/>
    </xf>
    <xf borderId="0" fillId="10" fontId="2" numFmtId="0" xfId="0" applyAlignment="1" applyFont="1">
      <alignment horizontal="center" vertical="center"/>
    </xf>
    <xf borderId="0" fillId="4" fontId="2" numFmtId="164" xfId="0" applyAlignment="1" applyFont="1" applyNumberFormat="1">
      <alignment horizontal="center" readingOrder="0" vertical="center"/>
    </xf>
    <xf borderId="0" fillId="4" fontId="2" numFmtId="0" xfId="0" applyAlignment="1" applyFont="1">
      <alignment horizontal="center" readingOrder="0" vertical="center"/>
    </xf>
    <xf borderId="0" fillId="4" fontId="2" numFmtId="164" xfId="0" applyAlignment="1" applyFont="1" applyNumberFormat="1">
      <alignment horizontal="center" vertical="center"/>
    </xf>
    <xf borderId="0" fillId="4"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10" fontId="2" numFmtId="0" xfId="0" applyAlignment="1" applyFont="1">
      <alignment horizontal="center" readingOrder="0" vertical="center"/>
    </xf>
    <xf borderId="0" fillId="12" fontId="2" numFmtId="0" xfId="0" applyAlignment="1" applyFill="1" applyFont="1">
      <alignment horizontal="center" readingOrder="0" vertical="center"/>
    </xf>
    <xf borderId="0" fillId="0" fontId="2" numFmtId="14" xfId="0" applyAlignment="1" applyFont="1" applyNumberFormat="1">
      <alignment horizontal="center" readingOrder="0" vertical="center"/>
    </xf>
    <xf borderId="0" fillId="4" fontId="13" numFmtId="0" xfId="0" applyAlignment="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0" fontId="14"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10" fontId="10" numFmtId="0" xfId="0" applyAlignment="1" applyFont="1">
      <alignment horizontal="center" shrinkToFit="0" vertical="center" wrapText="1"/>
    </xf>
    <xf borderId="0" fillId="0" fontId="2" numFmtId="165" xfId="0" applyAlignment="1" applyFont="1" applyNumberFormat="1">
      <alignment horizontal="center" readingOrder="0" vertical="center"/>
    </xf>
    <xf borderId="0" fillId="14" fontId="1" numFmtId="0" xfId="0" applyAlignment="1" applyFill="1" applyFont="1">
      <alignment horizontal="center" readingOrder="0" vertical="center"/>
    </xf>
    <xf borderId="0" fillId="14" fontId="15" numFmtId="0" xfId="0" applyAlignment="1" applyFont="1">
      <alignment horizontal="center" shrinkToFit="0" vertical="center" wrapText="1"/>
    </xf>
    <xf borderId="0" fillId="14" fontId="3" numFmtId="0" xfId="0" applyAlignment="1" applyFont="1">
      <alignment horizontal="left" readingOrder="0" shrinkToFit="0" vertical="center" wrapText="1"/>
    </xf>
    <xf borderId="0" fillId="14" fontId="1" numFmtId="164" xfId="0" applyAlignment="1" applyFont="1" applyNumberFormat="1">
      <alignment horizontal="center" readingOrder="0" shrinkToFit="0" vertical="center" wrapText="1"/>
    </xf>
    <xf borderId="0" fillId="14" fontId="1" numFmtId="0" xfId="0" applyAlignment="1" applyFont="1">
      <alignment horizontal="center" readingOrder="0" shrinkToFit="0" vertical="center" wrapText="1"/>
    </xf>
    <xf borderId="0" fillId="14" fontId="2" numFmtId="0" xfId="0" applyAlignment="1" applyFont="1">
      <alignment horizontal="center" shrinkToFit="0" vertical="center" wrapText="1"/>
    </xf>
    <xf borderId="0" fillId="14" fontId="15" numFmtId="0" xfId="0" applyAlignment="1" applyFont="1">
      <alignment horizontal="center" readingOrder="0" vertical="center"/>
    </xf>
    <xf borderId="0" fillId="0" fontId="2" numFmtId="164" xfId="0" applyAlignment="1" applyFont="1" applyNumberFormat="1">
      <alignment horizontal="center" readingOrder="0"/>
    </xf>
    <xf borderId="0" fillId="0" fontId="2" numFmtId="164" xfId="0" applyAlignment="1" applyFont="1" applyNumberFormat="1">
      <alignment horizontal="center"/>
    </xf>
    <xf borderId="0" fillId="14" fontId="2" numFmtId="0" xfId="0" applyAlignment="1" applyFont="1">
      <alignment horizontal="center" vertical="center"/>
    </xf>
    <xf borderId="0" fillId="6" fontId="16" numFmtId="0" xfId="0" applyAlignment="1" applyFont="1">
      <alignment horizontal="center" readingOrder="0" shrinkToFit="0" vertical="center" wrapText="1"/>
    </xf>
    <xf borderId="0" fillId="6" fontId="10" numFmtId="0" xfId="0" applyAlignment="1" applyFont="1">
      <alignment horizontal="center" shrinkToFit="0" vertical="center" wrapText="1"/>
    </xf>
    <xf borderId="0" fillId="6" fontId="8"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64" xfId="0" applyAlignment="1" applyFont="1" applyNumberFormat="1">
      <alignment horizontal="center" shrinkToFit="0" vertical="center" wrapText="1"/>
    </xf>
    <xf borderId="0" fillId="15" fontId="1" numFmtId="0" xfId="0" applyAlignment="1" applyFill="1" applyFont="1">
      <alignment horizontal="center" readingOrder="0" vertical="center"/>
    </xf>
    <xf borderId="0" fillId="15" fontId="2" numFmtId="0" xfId="0" applyAlignment="1" applyFont="1">
      <alignment horizontal="center" vertical="center"/>
    </xf>
    <xf borderId="0" fillId="15" fontId="3" numFmtId="0" xfId="0" applyAlignment="1" applyFont="1">
      <alignment horizontal="center" readingOrder="0" vertical="center"/>
    </xf>
    <xf borderId="0" fillId="15" fontId="3" numFmtId="166" xfId="0" applyAlignment="1" applyFont="1" applyNumberFormat="1">
      <alignment horizontal="center" readingOrder="0" vertical="center"/>
    </xf>
    <xf borderId="0" fillId="0" fontId="2" numFmtId="166" xfId="0" applyAlignment="1" applyFont="1" applyNumberFormat="1">
      <alignment horizontal="center" readingOrder="0" vertical="center"/>
    </xf>
    <xf borderId="0" fillId="0" fontId="2" numFmtId="166" xfId="0" applyAlignment="1" applyFont="1" applyNumberFormat="1">
      <alignment horizontal="center" readingOrder="0" shrinkToFit="0" vertical="center" wrapText="1"/>
    </xf>
    <xf borderId="0" fillId="0" fontId="2" numFmtId="4" xfId="0" applyAlignment="1" applyFont="1" applyNumberFormat="1">
      <alignment horizontal="center" readingOrder="0" vertical="center"/>
    </xf>
    <xf borderId="1" fillId="0" fontId="2" numFmtId="0" xfId="0" applyAlignment="1" applyBorder="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16" fontId="2" numFmtId="166" xfId="0" applyAlignment="1" applyFont="1" applyNumberFormat="1">
      <alignment horizontal="center" readingOrder="0" vertical="center"/>
    </xf>
    <xf borderId="0" fillId="16" fontId="2" numFmtId="164" xfId="0" applyAlignment="1" applyFont="1" applyNumberFormat="1">
      <alignment horizontal="center" readingOrder="0" vertical="center"/>
    </xf>
    <xf borderId="0" fillId="16" fontId="2" numFmtId="0" xfId="0" applyAlignment="1" applyFont="1">
      <alignment horizontal="center" readingOrder="0" vertical="center"/>
    </xf>
    <xf borderId="0" fillId="16" fontId="13" numFmtId="0" xfId="0" applyAlignment="1" applyFont="1">
      <alignment horizontal="center" readingOrder="0" shrinkToFit="0" vertical="center" wrapText="1"/>
    </xf>
    <xf borderId="0" fillId="17" fontId="2" numFmtId="0" xfId="0" applyAlignment="1" applyFill="1" applyFont="1">
      <alignment horizontal="center" readingOrder="0" shrinkToFit="0" vertical="center" wrapText="1"/>
    </xf>
    <xf borderId="0" fillId="4" fontId="2" numFmtId="166" xfId="0" applyAlignment="1" applyFont="1" applyNumberFormat="1">
      <alignment horizontal="center" readingOrder="0" vertical="center"/>
    </xf>
    <xf borderId="0" fillId="18" fontId="17" numFmtId="0" xfId="0" applyAlignment="1" applyFill="1" applyFont="1">
      <alignment horizontal="center" readingOrder="0" vertical="center"/>
    </xf>
    <xf borderId="0" fillId="19" fontId="2"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20" fontId="2" numFmtId="0" xfId="0" applyAlignment="1" applyFill="1" applyFont="1">
      <alignment horizontal="center" readingOrder="0" shrinkToFit="0" vertical="center" wrapText="1"/>
    </xf>
    <xf borderId="0" fillId="0" fontId="18" numFmtId="0" xfId="0" applyAlignment="1" applyFont="1">
      <alignment horizontal="center" readingOrder="0" shrinkToFit="0" vertical="center" wrapText="1"/>
    </xf>
    <xf borderId="0" fillId="21" fontId="2" numFmtId="0" xfId="0" applyAlignment="1" applyFill="1" applyFont="1">
      <alignment horizontal="center" readingOrder="0" shrinkToFit="0" vertical="center" wrapText="1"/>
    </xf>
    <xf borderId="0" fillId="3" fontId="19" numFmtId="0" xfId="0" applyAlignment="1" applyFont="1">
      <alignment horizontal="center" readingOrder="0" vertical="center"/>
    </xf>
    <xf borderId="0" fillId="0" fontId="6" numFmtId="0" xfId="0" applyAlignment="1" applyFont="1">
      <alignment readingOrder="0"/>
    </xf>
    <xf borderId="0" fillId="22" fontId="2" numFmtId="0" xfId="0" applyAlignment="1" applyFill="1" applyFont="1">
      <alignment horizontal="center" readingOrder="0" shrinkToFit="0" vertical="center" wrapText="1"/>
    </xf>
    <xf borderId="0" fillId="0" fontId="11" numFmtId="0" xfId="0" applyAlignment="1" applyFont="1">
      <alignment horizontal="center" readingOrder="0" vertical="center"/>
    </xf>
    <xf borderId="0" fillId="23" fontId="2" numFmtId="0" xfId="0" applyAlignment="1" applyFill="1" applyFont="1">
      <alignment horizontal="center" readingOrder="0" shrinkToFit="0" vertical="center" wrapText="1"/>
    </xf>
    <xf borderId="0" fillId="24" fontId="2" numFmtId="0" xfId="0" applyAlignment="1" applyFill="1" applyFont="1">
      <alignment horizontal="center" readingOrder="0" shrinkToFit="0" vertical="center" wrapText="1"/>
    </xf>
    <xf borderId="0" fillId="0" fontId="12" numFmtId="4" xfId="0" applyAlignment="1" applyFont="1" applyNumberFormat="1">
      <alignment horizontal="center" readingOrder="0" shrinkToFit="0" vertical="center" wrapText="1"/>
    </xf>
    <xf borderId="0" fillId="25" fontId="2" numFmtId="0" xfId="0" applyAlignment="1" applyFill="1" applyFont="1">
      <alignment horizontal="center" readingOrder="0" shrinkToFit="0" vertical="center" wrapText="1"/>
    </xf>
    <xf borderId="0" fillId="0" fontId="13" numFmtId="165" xfId="0" applyAlignment="1" applyFont="1" applyNumberFormat="1">
      <alignment horizontal="center" readingOrder="0" shrinkToFit="0" vertical="center" wrapText="1"/>
    </xf>
    <xf borderId="0" fillId="0" fontId="2" numFmtId="166" xfId="0" applyAlignment="1" applyFont="1" applyNumberFormat="1">
      <alignment horizontal="center" readingOrder="0"/>
    </xf>
    <xf borderId="0" fillId="13" fontId="10" numFmtId="0" xfId="0" applyAlignment="1" applyFont="1">
      <alignment horizontal="center" readingOrder="0" vertical="center"/>
    </xf>
    <xf borderId="0" fillId="13" fontId="2" numFmtId="166" xfId="0" applyAlignment="1" applyFont="1" applyNumberFormat="1">
      <alignment horizontal="center" readingOrder="0" vertical="center"/>
    </xf>
    <xf borderId="0" fillId="13" fontId="2" numFmtId="164" xfId="0" applyAlignment="1" applyFont="1" applyNumberFormat="1">
      <alignment horizontal="center" readingOrder="0" vertical="center"/>
    </xf>
    <xf borderId="0" fillId="13" fontId="2" numFmtId="0" xfId="0" applyAlignment="1" applyFont="1">
      <alignment horizontal="center" readingOrder="0" vertical="center"/>
    </xf>
    <xf borderId="0" fillId="13" fontId="2" numFmtId="164" xfId="0" applyAlignment="1" applyFont="1" applyNumberFormat="1">
      <alignment horizontal="center" vertical="center"/>
    </xf>
    <xf borderId="0" fillId="11" fontId="2" numFmtId="0" xfId="0" applyAlignment="1" applyFont="1">
      <alignment horizontal="left" readingOrder="0" shrinkToFit="0" vertical="center" wrapText="1"/>
    </xf>
    <xf borderId="0" fillId="26" fontId="2" numFmtId="0" xfId="0" applyAlignment="1" applyFill="1" applyFont="1">
      <alignment horizontal="center" readingOrder="0" shrinkToFit="0" vertical="center" wrapText="1"/>
    </xf>
    <xf borderId="0" fillId="27" fontId="20" numFmtId="0" xfId="0" applyAlignment="1" applyFill="1" applyFont="1">
      <alignment horizontal="center" readingOrder="0" shrinkToFit="0" vertical="center" wrapText="1"/>
    </xf>
    <xf borderId="0" fillId="28" fontId="2" numFmtId="0" xfId="0" applyAlignment="1" applyFill="1" applyFont="1">
      <alignment horizontal="left"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5" fontId="2" numFmtId="0" xfId="0" applyAlignment="1" applyFont="1">
      <alignment horizontal="left" readingOrder="0" shrinkToFit="0" vertical="center" wrapText="1"/>
    </xf>
    <xf borderId="0" fillId="4" fontId="11" numFmtId="0" xfId="0" applyAlignment="1" applyFont="1">
      <alignment horizontal="center" readingOrder="0" shrinkToFit="0" wrapText="1"/>
    </xf>
    <xf borderId="0" fillId="16" fontId="2" numFmtId="164" xfId="0" applyAlignment="1" applyFont="1" applyNumberFormat="1">
      <alignment horizontal="center" vertical="center"/>
    </xf>
    <xf borderId="0" fillId="8" fontId="2" numFmtId="0" xfId="0" applyAlignment="1" applyFont="1">
      <alignment horizontal="center" readingOrder="0" shrinkToFit="0" vertical="center" wrapText="1"/>
    </xf>
    <xf borderId="0" fillId="29" fontId="2" numFmtId="0" xfId="0" applyAlignment="1" applyFill="1" applyFont="1">
      <alignment horizontal="center"/>
    </xf>
    <xf borderId="0" fillId="5" fontId="2" numFmtId="0" xfId="0" applyAlignment="1" applyFont="1">
      <alignment horizontal="center" readingOrder="0" shrinkToFit="0" wrapText="1"/>
    </xf>
    <xf borderId="0" fillId="30" fontId="2" numFmtId="0" xfId="0" applyAlignment="1" applyFill="1" applyFont="1">
      <alignment horizontal="left" readingOrder="0" shrinkToFit="0" vertical="center" wrapText="1"/>
    </xf>
    <xf borderId="0" fillId="0" fontId="6" numFmtId="0" xfId="0" applyAlignment="1" applyFont="1">
      <alignment horizontal="center" readingOrder="0" vertical="center"/>
    </xf>
    <xf borderId="0" fillId="13" fontId="2" numFmtId="0" xfId="0" applyAlignment="1" applyFont="1">
      <alignment horizontal="left" readingOrder="0" shrinkToFit="0" vertical="center" wrapText="1"/>
    </xf>
    <xf borderId="0" fillId="0" fontId="22" numFmtId="0" xfId="0" applyAlignment="1" applyFont="1">
      <alignment readingOrder="0" vertical="center"/>
    </xf>
    <xf borderId="0" fillId="5" fontId="2" numFmtId="4" xfId="0" applyAlignment="1" applyFont="1" applyNumberFormat="1">
      <alignment horizontal="center" readingOrder="0" shrinkToFit="0" vertical="center" wrapText="1"/>
    </xf>
    <xf borderId="0" fillId="27" fontId="2" numFmtId="0" xfId="0" applyAlignment="1" applyFont="1">
      <alignment horizontal="center" readingOrder="0" shrinkToFit="0" vertical="center" wrapText="1"/>
    </xf>
    <xf borderId="0" fillId="31" fontId="23" numFmtId="0" xfId="0" applyAlignment="1" applyFill="1" applyFont="1">
      <alignment horizontal="center" readingOrder="0" vertical="center"/>
    </xf>
    <xf borderId="0" fillId="32" fontId="24" numFmtId="0" xfId="0" applyAlignment="1" applyFill="1" applyFont="1">
      <alignment horizontal="center" readingOrder="0" vertical="center"/>
    </xf>
    <xf borderId="0" fillId="0" fontId="2" numFmtId="166" xfId="0" applyAlignment="1" applyFont="1" applyNumberFormat="1">
      <alignment horizontal="center" readingOrder="0" vertical="bottom"/>
    </xf>
    <xf borderId="0" fillId="0" fontId="2" numFmtId="164" xfId="0" applyAlignment="1" applyFont="1" applyNumberFormat="1">
      <alignment horizontal="center" vertical="bottom"/>
    </xf>
    <xf borderId="0" fillId="0" fontId="25" numFmtId="0" xfId="0" applyAlignment="1" applyFont="1">
      <alignment horizontal="center"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center" readingOrder="0" vertical="center"/>
    </xf>
    <xf borderId="0" fillId="0" fontId="2" numFmtId="14" xfId="0" applyAlignment="1" applyFont="1" applyNumberFormat="1">
      <alignment horizontal="center" readingOrder="0" shrinkToFit="0" vertical="center" wrapText="1"/>
    </xf>
    <xf borderId="0" fillId="0" fontId="2" numFmtId="167" xfId="0" applyAlignment="1" applyFont="1" applyNumberFormat="1">
      <alignment horizontal="center" readingOrder="0" vertical="center"/>
    </xf>
    <xf borderId="0" fillId="4" fontId="26" numFmtId="0" xfId="0" applyAlignment="1" applyFont="1">
      <alignment horizontal="center" readingOrder="0"/>
    </xf>
    <xf borderId="0" fillId="0" fontId="11" numFmtId="0" xfId="0" applyAlignment="1" applyFont="1">
      <alignment horizontal="center" readingOrder="0"/>
    </xf>
    <xf borderId="0" fillId="33" fontId="2" numFmtId="0" xfId="0" applyAlignment="1" applyFill="1" applyFont="1">
      <alignment horizontal="center" readingOrder="0" shrinkToFit="0" vertical="center" wrapText="1"/>
    </xf>
    <xf borderId="0" fillId="0" fontId="22" numFmtId="0" xfId="0" applyAlignment="1" applyFont="1">
      <alignment horizontal="left" readingOrder="0"/>
    </xf>
    <xf borderId="0" fillId="4" fontId="11" numFmtId="0" xfId="0" applyAlignment="1" applyFont="1">
      <alignment horizontal="center" readingOrder="0"/>
    </xf>
    <xf borderId="0" fillId="13" fontId="27" numFmtId="0" xfId="0" applyAlignment="1" applyFont="1">
      <alignment horizontal="left" readingOrder="0"/>
    </xf>
    <xf borderId="0" fillId="0" fontId="27" numFmtId="0" xfId="0" applyAlignment="1" applyFont="1">
      <alignment horizontal="left" readingOrder="0"/>
    </xf>
    <xf borderId="0" fillId="34" fontId="2" numFmtId="0" xfId="0" applyAlignment="1" applyFill="1" applyFont="1">
      <alignment horizontal="center" readingOrder="0" shrinkToFit="0" vertical="center" wrapText="1"/>
    </xf>
    <xf borderId="0" fillId="35" fontId="2" numFmtId="0" xfId="0" applyAlignment="1" applyFill="1" applyFont="1">
      <alignment horizontal="center" readingOrder="0" shrinkToFit="0" vertical="center" wrapText="1"/>
    </xf>
    <xf borderId="0" fillId="4" fontId="11" numFmtId="0" xfId="0" applyAlignment="1" applyFont="1">
      <alignment horizontal="center" readingOrder="0" vertical="center"/>
    </xf>
    <xf borderId="0" fillId="0" fontId="28" numFmtId="0" xfId="0" applyAlignment="1" applyFont="1">
      <alignment horizontal="center" readingOrder="0"/>
    </xf>
    <xf borderId="0" fillId="36" fontId="2" numFmtId="0" xfId="0" applyAlignment="1" applyFill="1" applyFont="1">
      <alignment horizontal="center" readingOrder="0" vertical="center"/>
    </xf>
    <xf borderId="0" fillId="0" fontId="2" numFmtId="0" xfId="0" applyAlignment="1" applyFont="1">
      <alignment horizontal="center" readingOrder="0"/>
    </xf>
    <xf borderId="2" fillId="0" fontId="2" numFmtId="0" xfId="0" applyAlignment="1" applyBorder="1" applyFont="1">
      <alignment horizontal="center" readingOrder="0" vertical="center"/>
    </xf>
    <xf borderId="0" fillId="15" fontId="2" numFmtId="0" xfId="0" applyAlignment="1" applyFont="1">
      <alignment horizontal="center" readingOrder="0" shrinkToFit="0" vertical="center" wrapText="1"/>
    </xf>
    <xf borderId="0" fillId="0" fontId="11" numFmtId="0" xfId="0" applyAlignment="1" applyFont="1">
      <alignment readingOrder="0"/>
    </xf>
    <xf borderId="0" fillId="0" fontId="2" numFmtId="0" xfId="0" applyAlignment="1" applyFont="1">
      <alignment horizontal="left" shrinkToFit="0" wrapText="1"/>
    </xf>
    <xf borderId="0" fillId="0" fontId="2" numFmtId="166" xfId="0" applyAlignment="1" applyFont="1" applyNumberFormat="1">
      <alignment horizontal="center"/>
    </xf>
    <xf borderId="0" fillId="0" fontId="2" numFmtId="0" xfId="0" applyAlignment="1" applyFont="1">
      <alignment horizontal="center"/>
    </xf>
    <xf borderId="0" fillId="20" fontId="2" numFmtId="0" xfId="0" applyAlignment="1" applyFont="1">
      <alignment horizontal="center" readingOrder="0"/>
    </xf>
    <xf borderId="0" fillId="0" fontId="2" numFmtId="0" xfId="0" applyAlignment="1" applyFont="1">
      <alignment horizontal="center" readingOrder="0" shrinkToFit="0" wrapText="1"/>
    </xf>
    <xf borderId="0" fillId="0" fontId="25" numFmtId="164" xfId="0" applyFont="1" applyNumberFormat="1"/>
    <xf borderId="0" fillId="20" fontId="2" numFmtId="0" xfId="0" applyAlignment="1" applyFont="1">
      <alignment horizontal="center"/>
    </xf>
    <xf borderId="0" fillId="4" fontId="2" numFmtId="0" xfId="0" applyAlignment="1" applyFont="1">
      <alignment horizontal="center" readingOrder="0" shrinkToFit="0" wrapText="1"/>
    </xf>
    <xf borderId="0" fillId="5" fontId="11" numFmtId="0" xfId="0" applyAlignment="1" applyFont="1">
      <alignment horizontal="left" readingOrder="0"/>
    </xf>
    <xf borderId="2" fillId="0" fontId="2" numFmtId="0" xfId="0" applyAlignment="1" applyBorder="1" applyFont="1">
      <alignment horizontal="center" readingOrder="0" shrinkToFit="0" vertical="center" wrapText="1"/>
    </xf>
    <xf borderId="0" fillId="0" fontId="29" numFmtId="0" xfId="0" applyAlignment="1" applyFont="1">
      <alignment horizontal="left" readingOrder="0"/>
    </xf>
    <xf borderId="2" fillId="0" fontId="2" numFmtId="4" xfId="0" applyAlignment="1" applyBorder="1" applyFont="1" applyNumberFormat="1">
      <alignment horizontal="center" readingOrder="0" vertical="center"/>
    </xf>
    <xf borderId="0" fillId="0" fontId="2" numFmtId="165" xfId="0" applyAlignment="1" applyFont="1" applyNumberFormat="1">
      <alignment horizontal="center" readingOrder="0" shrinkToFit="0" vertical="center" wrapText="1"/>
    </xf>
    <xf borderId="0" fillId="0" fontId="25" numFmtId="0" xfId="0" applyAlignment="1" applyFont="1">
      <alignment horizontal="center" readingOrder="0"/>
    </xf>
    <xf borderId="0" fillId="30" fontId="2" numFmtId="0" xfId="0" applyAlignment="1" applyFont="1">
      <alignment horizontal="center" readingOrder="0" shrinkToFit="0" vertical="center" wrapText="1"/>
    </xf>
    <xf borderId="0" fillId="37" fontId="2"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6" fontId="2" numFmtId="0" xfId="0" applyAlignment="1" applyFont="1">
      <alignment horizontal="center" readingOrder="0" shrinkToFit="0" vertical="center" wrapText="1"/>
    </xf>
    <xf borderId="0" fillId="38" fontId="2" numFmtId="0" xfId="0" applyAlignment="1" applyFill="1" applyFont="1">
      <alignment horizontal="center" readingOrder="0" shrinkToFit="0" vertical="center" wrapText="1"/>
    </xf>
    <xf borderId="0" fillId="31" fontId="2" numFmtId="0" xfId="0" applyAlignment="1" applyFont="1">
      <alignment horizontal="center" readingOrder="0" shrinkToFit="0" vertical="center" wrapText="1"/>
    </xf>
    <xf borderId="0" fillId="0" fontId="6" numFmtId="168" xfId="0" applyAlignment="1" applyFont="1" applyNumberFormat="1">
      <alignment readingOrder="0"/>
    </xf>
    <xf borderId="0" fillId="39" fontId="2" numFmtId="0" xfId="0" applyAlignment="1" applyFill="1" applyFont="1">
      <alignment horizontal="center" readingOrder="0" shrinkToFit="0" vertical="center" wrapText="1"/>
    </xf>
    <xf borderId="0" fillId="0" fontId="2" numFmtId="168" xfId="0" applyAlignment="1" applyFont="1" applyNumberFormat="1">
      <alignment horizontal="center" readingOrder="0" vertical="center"/>
    </xf>
    <xf borderId="0" fillId="40" fontId="2" numFmtId="0" xfId="0" applyAlignment="1" applyFill="1" applyFont="1">
      <alignment horizontal="center" readingOrder="0" shrinkToFit="0" vertical="center" wrapText="1"/>
    </xf>
    <xf borderId="0" fillId="41" fontId="2" numFmtId="0" xfId="0" applyAlignment="1" applyFill="1" applyFont="1">
      <alignment horizontal="center" readingOrder="0" shrinkToFit="0" vertical="center" wrapText="1"/>
    </xf>
    <xf borderId="0" fillId="42" fontId="9" numFmtId="0" xfId="0" applyAlignment="1" applyFill="1" applyFont="1">
      <alignment horizontal="center" readingOrder="0" vertical="center"/>
    </xf>
    <xf borderId="0" fillId="15" fontId="2" numFmtId="0" xfId="0" applyAlignment="1" applyFont="1">
      <alignment horizontal="center" readingOrder="0" vertical="center"/>
    </xf>
    <xf borderId="0" fillId="42" fontId="2" numFmtId="0" xfId="0" applyAlignment="1" applyFont="1">
      <alignment horizontal="center" readingOrder="0" vertical="center"/>
    </xf>
    <xf borderId="0" fillId="15" fontId="2" numFmtId="164" xfId="0" applyAlignment="1" applyFont="1" applyNumberFormat="1">
      <alignment horizontal="center" vertical="center"/>
    </xf>
    <xf borderId="0" fillId="2" fontId="4" numFmtId="0" xfId="0" applyAlignment="1" applyFont="1">
      <alignment horizontal="center"/>
    </xf>
    <xf borderId="0" fillId="0" fontId="2" numFmtId="0" xfId="0" applyAlignment="1" applyFont="1">
      <alignment horizontal="center" shrinkToFit="0" wrapText="1"/>
    </xf>
    <xf borderId="0" fillId="0" fontId="25" numFmtId="0" xfId="0" applyAlignment="1" applyFont="1">
      <alignment readingOrder="0"/>
    </xf>
    <xf borderId="0" fillId="6" fontId="30"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31" numFmtId="166" xfId="0" applyAlignment="1" applyFont="1" applyNumberFormat="1">
      <alignment horizontal="center" readingOrder="0" vertical="center"/>
    </xf>
    <xf borderId="0" fillId="0" fontId="31" numFmtId="164" xfId="0" applyAlignment="1" applyFont="1" applyNumberFormat="1">
      <alignment horizontal="center" readingOrder="0" vertical="center"/>
    </xf>
    <xf borderId="0" fillId="0" fontId="31" numFmtId="0" xfId="0" applyAlignment="1" applyFont="1">
      <alignment horizontal="center" readingOrder="0" vertical="center"/>
    </xf>
    <xf borderId="0" fillId="0" fontId="31" numFmtId="164" xfId="0" applyAlignment="1" applyFont="1" applyNumberFormat="1">
      <alignment horizontal="center" vertical="center"/>
    </xf>
    <xf borderId="0" fillId="43" fontId="2" numFmtId="0" xfId="0" applyAlignment="1" applyFill="1" applyFont="1">
      <alignment horizontal="center" readingOrder="0" shrinkToFit="0" vertical="center" wrapText="1"/>
    </xf>
    <xf borderId="0" fillId="44" fontId="2" numFmtId="0" xfId="0" applyAlignment="1" applyFill="1" applyFont="1">
      <alignment horizontal="center" readingOrder="0" shrinkToFit="0" vertical="center" wrapText="1"/>
    </xf>
    <xf borderId="0" fillId="3" fontId="32" numFmtId="0" xfId="0" applyAlignment="1" applyFont="1">
      <alignment horizontal="center" readingOrder="0" vertical="center"/>
    </xf>
    <xf borderId="0" fillId="45" fontId="2" numFmtId="164" xfId="0" applyAlignment="1" applyFill="1" applyFont="1" applyNumberFormat="1">
      <alignment horizontal="center" readingOrder="0" vertical="center"/>
    </xf>
    <xf borderId="0" fillId="5" fontId="2" numFmtId="166"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horizontal="center" readingOrder="0" vertical="center"/>
    </xf>
    <xf borderId="0" fillId="46" fontId="2" numFmtId="0" xfId="0" applyAlignment="1" applyFill="1" applyFont="1">
      <alignment horizontal="center" readingOrder="0" shrinkToFit="0" vertical="center" wrapText="1"/>
    </xf>
    <xf borderId="0" fillId="47" fontId="2" numFmtId="0" xfId="0" applyAlignment="1" applyFill="1" applyFont="1">
      <alignment horizontal="center" readingOrder="0" shrinkToFit="0" vertical="center" wrapText="1"/>
    </xf>
    <xf borderId="0" fillId="48" fontId="2" numFmtId="0" xfId="0" applyAlignment="1" applyFill="1" applyFont="1">
      <alignment horizontal="center" readingOrder="0" shrinkToFit="0" vertical="center" wrapText="1"/>
    </xf>
    <xf borderId="0" fillId="0" fontId="25" numFmtId="164" xfId="0" applyAlignment="1" applyFont="1" applyNumberFormat="1">
      <alignment horizontal="center" readingOrder="0"/>
    </xf>
    <xf borderId="0" fillId="23" fontId="2" numFmtId="165" xfId="0" applyAlignment="1" applyFont="1" applyNumberFormat="1">
      <alignment horizontal="center" readingOrder="0" vertical="center"/>
    </xf>
    <xf borderId="0" fillId="16" fontId="2" numFmtId="0" xfId="0" applyAlignment="1" applyFont="1">
      <alignment horizontal="center" readingOrder="0" shrinkToFit="0" wrapText="1"/>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49" fontId="35" numFmtId="0" xfId="0" applyAlignment="1" applyFill="1" applyFont="1">
      <alignment horizontal="center" readingOrder="0" vertical="center"/>
    </xf>
    <xf borderId="0" fillId="0" fontId="2" numFmtId="0" xfId="0" applyAlignment="1" applyFont="1">
      <alignment horizontal="center" readingOrder="0"/>
    </xf>
    <xf borderId="0" fillId="16" fontId="2" numFmtId="0" xfId="0" applyAlignment="1" applyFont="1">
      <alignment horizontal="center"/>
    </xf>
    <xf borderId="0" fillId="0" fontId="2" numFmtId="0" xfId="0" applyAlignment="1" applyFont="1">
      <alignment horizontal="center" readingOrder="0" shrinkToFit="0" vertical="center" wrapText="1"/>
    </xf>
    <xf borderId="0" fillId="4" fontId="2" numFmtId="168" xfId="0" applyAlignment="1" applyFont="1" applyNumberFormat="1">
      <alignment horizontal="center" readingOrder="0" vertical="center"/>
    </xf>
    <xf borderId="0" fillId="0" fontId="2" numFmtId="0" xfId="0" applyAlignment="1" applyFont="1">
      <alignment horizontal="center" readingOrder="0" vertical="center"/>
    </xf>
    <xf borderId="0" fillId="2" fontId="2" numFmtId="164" xfId="0" applyAlignment="1" applyFont="1" applyNumberFormat="1">
      <alignment horizontal="center" vertical="center"/>
    </xf>
    <xf borderId="0" fillId="16" fontId="2" numFmtId="0" xfId="0" applyAlignment="1" applyFont="1">
      <alignment horizontal="center"/>
    </xf>
    <xf borderId="0" fillId="16" fontId="2" numFmtId="0" xfId="0" applyAlignment="1" applyFont="1">
      <alignment horizontal="center" shrinkToFit="0" wrapText="1"/>
    </xf>
    <xf borderId="0" fillId="50" fontId="2" numFmtId="0" xfId="0" applyAlignment="1" applyFill="1" applyFont="1">
      <alignment horizontal="center" readingOrder="0" vertical="center"/>
    </xf>
    <xf borderId="0" fillId="0" fontId="36" numFmtId="0" xfId="0" applyAlignment="1" applyFont="1">
      <alignment horizontal="center" readingOrder="0" vertical="center"/>
    </xf>
    <xf borderId="0" fillId="16" fontId="2" numFmtId="0" xfId="0" applyAlignment="1" applyFont="1">
      <alignment horizontal="center" vertical="center"/>
    </xf>
    <xf borderId="0" fillId="0" fontId="2" numFmtId="0" xfId="0" applyAlignment="1" applyFont="1">
      <alignment horizontal="center" readingOrder="0" vertical="center"/>
    </xf>
    <xf borderId="0" fillId="16" fontId="2" numFmtId="0" xfId="0" applyAlignment="1" applyFont="1">
      <alignment horizontal="left" vertical="center"/>
    </xf>
    <xf borderId="0" fillId="0" fontId="20" numFmtId="0" xfId="0" applyAlignment="1" applyFont="1">
      <alignment horizontal="left" readingOrder="0" vertical="center"/>
    </xf>
    <xf borderId="0" fillId="0" fontId="20" numFmtId="0" xfId="0" applyAlignment="1" applyFont="1">
      <alignment horizontal="center" readingOrder="0" vertical="center"/>
    </xf>
    <xf borderId="0" fillId="0" fontId="37" numFmtId="0" xfId="0" applyAlignment="1" applyFont="1">
      <alignment horizontal="center" readingOrder="0" vertical="center"/>
    </xf>
    <xf borderId="0" fillId="16" fontId="38" numFmtId="0" xfId="0" applyAlignment="1" applyFont="1">
      <alignment vertical="center"/>
    </xf>
    <xf borderId="0" fillId="16" fontId="31" numFmtId="0" xfId="0" applyAlignment="1" applyFont="1">
      <alignment horizontal="center" readingOrder="0" vertical="center"/>
    </xf>
    <xf borderId="0" fillId="16" fontId="31" numFmtId="0" xfId="0" applyAlignment="1" applyFont="1">
      <alignment horizontal="center" vertical="center"/>
    </xf>
    <xf borderId="0" fillId="16" fontId="20" numFmtId="0" xfId="0" applyAlignment="1" applyFont="1">
      <alignment horizontal="center" readingOrder="0" vertical="center"/>
    </xf>
    <xf borderId="0" fillId="27" fontId="2" numFmtId="0" xfId="0" applyAlignment="1" applyFont="1">
      <alignment horizontal="center" readingOrder="0" vertical="center"/>
    </xf>
    <xf borderId="0" fillId="0" fontId="39" numFmtId="0" xfId="0" applyAlignment="1" applyFont="1">
      <alignment horizontal="center" readingOrder="0" vertical="center"/>
    </xf>
    <xf borderId="0" fillId="16" fontId="2" numFmtId="0" xfId="0" applyAlignment="1" applyFont="1">
      <alignment horizontal="center" readingOrder="0" vertical="center"/>
    </xf>
    <xf borderId="0" fillId="16" fontId="2" numFmtId="0" xfId="0" applyAlignment="1" applyFont="1">
      <alignment horizontal="center" readingOrder="0"/>
    </xf>
    <xf borderId="0" fillId="11" fontId="2" numFmtId="0" xfId="0" applyAlignment="1" applyFont="1">
      <alignment horizontal="center" readingOrder="0" vertical="center"/>
    </xf>
    <xf borderId="0" fillId="16" fontId="40" numFmtId="0" xfId="0" applyAlignment="1" applyFont="1">
      <alignment horizontal="center" readingOrder="0" vertical="center"/>
    </xf>
    <xf borderId="0" fillId="16" fontId="37" numFmtId="0" xfId="0" applyAlignment="1" applyFont="1">
      <alignment horizontal="center" vertical="center"/>
    </xf>
    <xf borderId="0" fillId="16" fontId="41" numFmtId="0" xfId="0" applyAlignment="1" applyFont="1">
      <alignment horizontal="center" readingOrder="0" vertical="center"/>
    </xf>
    <xf borderId="0" fillId="0" fontId="7" numFmtId="0" xfId="0" applyAlignment="1" applyFont="1">
      <alignment horizontal="center" readingOrder="0" vertical="center"/>
    </xf>
    <xf borderId="0" fillId="16" fontId="25" numFmtId="0" xfId="0" applyAlignment="1" applyFont="1">
      <alignment horizontal="center" vertical="bottom"/>
    </xf>
    <xf borderId="0" fillId="16" fontId="2" numFmtId="0" xfId="0" applyAlignment="1" applyFont="1">
      <alignment readingOrder="0" vertical="center"/>
    </xf>
    <xf borderId="0" fillId="16" fontId="42" numFmtId="0" xfId="0" applyAlignment="1" applyFont="1">
      <alignment horizontal="center" readingOrder="0"/>
    </xf>
    <xf borderId="0" fillId="16" fontId="37" numFmtId="0" xfId="0" applyAlignment="1" applyFont="1">
      <alignment horizontal="center" readingOrder="0" vertical="center"/>
    </xf>
    <xf borderId="0" fillId="16" fontId="20" numFmtId="0" xfId="0" applyAlignment="1" applyFont="1">
      <alignment horizontal="center" vertical="center"/>
    </xf>
    <xf borderId="0" fillId="16" fontId="2" numFmtId="0" xfId="0" applyAlignment="1" applyFont="1">
      <alignment horizontal="center" vertical="center"/>
    </xf>
    <xf borderId="0" fillId="51" fontId="2" numFmtId="0" xfId="0" applyAlignment="1" applyFill="1" applyFont="1">
      <alignment horizontal="center" vertical="center"/>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43" numFmtId="0" xfId="0" applyAlignment="1" applyFont="1">
      <alignment horizontal="center" readingOrder="0"/>
    </xf>
    <xf borderId="0" fillId="0" fontId="31" numFmtId="0" xfId="0" applyAlignment="1" applyFont="1">
      <alignment horizontal="left" readingOrder="0" vertical="center"/>
    </xf>
    <xf borderId="0" fillId="13" fontId="31" numFmtId="0" xfId="0" applyAlignment="1" applyFont="1">
      <alignment horizontal="center" readingOrder="0" vertical="center"/>
    </xf>
    <xf borderId="0" fillId="13" fontId="2" numFmtId="0" xfId="0" applyAlignment="1" applyFont="1">
      <alignment horizontal="center" readingOrder="0" vertical="center"/>
    </xf>
    <xf borderId="0" fillId="0" fontId="2" numFmtId="0" xfId="0" applyAlignment="1" applyFont="1">
      <alignment horizontal="center" readingOrder="0" vertical="center"/>
    </xf>
    <xf borderId="0" fillId="0" fontId="44" numFmtId="0" xfId="0" applyAlignment="1" applyFont="1">
      <alignment readingOrder="0"/>
    </xf>
    <xf borderId="0" fillId="0" fontId="2" numFmtId="0" xfId="0" applyAlignment="1" applyFont="1">
      <alignment horizontal="right" readingOrder="0" vertical="center"/>
    </xf>
    <xf borderId="0" fillId="0" fontId="45" numFmtId="0" xfId="0" applyAlignment="1" applyFont="1">
      <alignment readingOrder="0"/>
    </xf>
    <xf borderId="0" fillId="31" fontId="1" numFmtId="0" xfId="0" applyAlignment="1" applyFont="1">
      <alignment horizontal="center" readingOrder="0" vertical="center"/>
    </xf>
    <xf borderId="0" fillId="31" fontId="23" numFmtId="0" xfId="0" applyAlignment="1" applyFont="1">
      <alignment horizontal="center" shrinkToFit="0" vertical="center" wrapText="1"/>
    </xf>
    <xf borderId="0" fillId="31" fontId="3" numFmtId="0" xfId="0" applyAlignment="1" applyFont="1">
      <alignment horizontal="left" readingOrder="0" shrinkToFit="0" vertical="center" wrapText="1"/>
    </xf>
    <xf borderId="0" fillId="31" fontId="1" numFmtId="164" xfId="0" applyAlignment="1" applyFont="1" applyNumberFormat="1">
      <alignment horizontal="center" readingOrder="0" shrinkToFit="0" vertical="center" wrapText="1"/>
    </xf>
    <xf borderId="0" fillId="31" fontId="1" numFmtId="0" xfId="0" applyAlignment="1" applyFont="1">
      <alignment horizontal="center" readingOrder="0" shrinkToFit="0" vertical="center" wrapText="1"/>
    </xf>
    <xf borderId="0" fillId="31" fontId="2" numFmtId="0" xfId="0" applyAlignment="1" applyFont="1">
      <alignment horizontal="center" shrinkToFit="0" vertical="center" wrapText="1"/>
    </xf>
    <xf borderId="0" fillId="31" fontId="2" numFmtId="0" xfId="0" applyAlignment="1" applyFont="1">
      <alignment horizontal="center" vertical="center"/>
    </xf>
    <xf borderId="0" fillId="32" fontId="1" numFmtId="0" xfId="0" applyAlignment="1" applyFont="1">
      <alignment horizontal="center" readingOrder="0" vertical="center"/>
    </xf>
    <xf borderId="0" fillId="32" fontId="46" numFmtId="0" xfId="0" applyAlignment="1" applyFont="1">
      <alignment horizontal="center" shrinkToFit="0" vertical="center" wrapText="1"/>
    </xf>
    <xf borderId="0" fillId="32" fontId="1" numFmtId="0" xfId="0" applyAlignment="1" applyFont="1">
      <alignment horizontal="left" readingOrder="0" shrinkToFit="0" vertical="center" wrapText="1"/>
    </xf>
    <xf borderId="0" fillId="32" fontId="1" numFmtId="164" xfId="0" applyAlignment="1" applyFont="1" applyNumberFormat="1">
      <alignment horizontal="center" readingOrder="0" shrinkToFit="0" vertical="center" wrapText="1"/>
    </xf>
    <xf borderId="0" fillId="32" fontId="1" numFmtId="0" xfId="0" applyAlignment="1" applyFont="1">
      <alignment horizontal="center" readingOrder="0" shrinkToFit="0" vertical="center" wrapText="1"/>
    </xf>
    <xf borderId="0" fillId="32" fontId="2" numFmtId="0" xfId="0" applyAlignment="1" applyFont="1">
      <alignment horizontal="center" vertical="center"/>
    </xf>
    <xf borderId="0" fillId="52" fontId="47" numFmtId="0" xfId="0" applyFill="1" applyFont="1"/>
    <xf borderId="0" fillId="52" fontId="47" numFmtId="0" xfId="0" applyAlignment="1" applyFont="1">
      <alignment horizontal="center"/>
    </xf>
    <xf borderId="0" fillId="0" fontId="47" numFmtId="0" xfId="0" applyFont="1"/>
    <xf borderId="0" fillId="0" fontId="47" numFmtId="0" xfId="0" applyAlignment="1" applyFont="1">
      <alignment horizontal="center"/>
    </xf>
    <xf borderId="0" fillId="52" fontId="47" numFmtId="0" xfId="0" applyAlignment="1" applyFont="1">
      <alignment horizontal="center" readingOrder="0" vertical="center"/>
    </xf>
    <xf borderId="0" fillId="0" fontId="47" numFmtId="0" xfId="0" applyAlignment="1" applyFont="1">
      <alignment horizontal="center" vertical="center"/>
    </xf>
    <xf borderId="0" fillId="52" fontId="47" numFmtId="0" xfId="0" applyAlignment="1" applyFont="1">
      <alignment readingOrder="0"/>
    </xf>
    <xf borderId="0" fillId="0" fontId="47" numFmtId="0" xfId="0" applyAlignment="1" applyFont="1">
      <alignment readingOrder="0"/>
    </xf>
    <xf borderId="0" fillId="52" fontId="6" numFmtId="0" xfId="0" applyFont="1"/>
    <xf borderId="0" fillId="52" fontId="47" numFmtId="0" xfId="0" applyAlignment="1" applyFont="1">
      <alignment horizontal="center" vertical="top"/>
    </xf>
    <xf borderId="0" fillId="52" fontId="47" numFmtId="14" xfId="0" applyFont="1" applyNumberFormat="1"/>
    <xf borderId="0" fillId="52" fontId="47" numFmtId="166" xfId="0" applyAlignment="1" applyFont="1" applyNumberFormat="1">
      <alignment readingOrder="0"/>
    </xf>
    <xf borderId="0" fillId="52" fontId="48" numFmtId="0" xfId="0" applyAlignment="1" applyFont="1">
      <alignment readingOrder="0"/>
    </xf>
    <xf borderId="0" fillId="52" fontId="49" numFmtId="0" xfId="0" applyAlignment="1" applyFont="1">
      <alignment horizontal="left"/>
    </xf>
    <xf borderId="0" fillId="52" fontId="48" numFmtId="0" xfId="0" applyAlignment="1" applyFont="1">
      <alignment readingOrder="0"/>
    </xf>
    <xf borderId="0" fillId="52" fontId="48" numFmtId="0" xfId="0" applyFont="1"/>
    <xf borderId="0" fillId="52" fontId="50" numFmtId="0" xfId="0" applyAlignment="1" applyFont="1">
      <alignment horizontal="left"/>
    </xf>
    <xf borderId="0" fillId="0" fontId="48" numFmtId="0" xfId="0" applyFont="1"/>
    <xf borderId="0" fillId="0" fontId="48" numFmtId="0" xfId="0" applyAlignment="1" applyFont="1">
      <alignment horizontal="center" vertical="center"/>
    </xf>
    <xf borderId="0" fillId="0" fontId="48" numFmtId="0" xfId="0" applyAlignment="1" applyFont="1">
      <alignment readingOrder="0"/>
    </xf>
    <xf borderId="0" fillId="52" fontId="48" numFmtId="169" xfId="0" applyAlignment="1" applyFont="1" applyNumberFormat="1">
      <alignment readingOrder="0"/>
    </xf>
    <xf borderId="0" fillId="52" fontId="6" numFmtId="0" xfId="0" applyAlignment="1" applyFont="1">
      <alignment horizontal="center" vertical="center"/>
    </xf>
    <xf borderId="0" fillId="53" fontId="49" numFmtId="0" xfId="0" applyAlignment="1" applyFill="1" applyFont="1">
      <alignment horizontal="center" readingOrder="0" vertical="center"/>
    </xf>
    <xf borderId="0" fillId="52" fontId="6" numFmtId="0" xfId="0" applyAlignment="1" applyFont="1">
      <alignment horizontal="center" readingOrder="0" vertical="center"/>
    </xf>
    <xf borderId="0" fillId="20" fontId="48" numFmtId="0" xfId="0" applyAlignment="1" applyFont="1">
      <alignment horizontal="center" readingOrder="0" vertical="center"/>
    </xf>
    <xf borderId="0" fillId="2" fontId="49" numFmtId="0" xfId="0" applyAlignment="1" applyFont="1">
      <alignment horizontal="center" readingOrder="0" vertical="center"/>
    </xf>
    <xf borderId="0" fillId="3" fontId="49" numFmtId="0" xfId="0" applyAlignment="1" applyFont="1">
      <alignment horizontal="center" readingOrder="0" vertical="center"/>
    </xf>
    <xf borderId="0" fillId="47" fontId="49" numFmtId="0" xfId="0" applyAlignment="1" applyFont="1">
      <alignment horizontal="center" readingOrder="0" vertical="center"/>
    </xf>
    <xf borderId="0" fillId="13" fontId="6" numFmtId="0" xfId="0" applyAlignment="1" applyFont="1">
      <alignment horizontal="center" readingOrder="0" vertical="center"/>
    </xf>
    <xf borderId="0" fillId="27" fontId="6" numFmtId="0" xfId="0" applyAlignment="1" applyFont="1">
      <alignment horizontal="center" vertical="center"/>
    </xf>
    <xf borderId="0" fillId="41" fontId="6" numFmtId="0" xfId="0" applyAlignment="1" applyFont="1">
      <alignment horizontal="center" vertical="center"/>
    </xf>
    <xf borderId="0" fillId="41" fontId="6" numFmtId="0" xfId="0" applyAlignment="1" applyFont="1">
      <alignment horizontal="center" readingOrder="0" vertical="center"/>
    </xf>
    <xf borderId="0" fillId="27" fontId="6" numFmtId="0" xfId="0" applyAlignment="1" applyFont="1">
      <alignment horizontal="center" readingOrder="0" vertical="center"/>
    </xf>
    <xf borderId="0" fillId="13" fontId="6" numFmtId="0" xfId="0" applyAlignment="1" applyFont="1">
      <alignment horizontal="center" vertical="center"/>
    </xf>
    <xf borderId="0" fillId="22" fontId="6" numFmtId="0" xfId="0" applyAlignment="1" applyFont="1">
      <alignment horizontal="center" readingOrder="0" vertical="center"/>
    </xf>
    <xf borderId="0" fillId="11" fontId="6" numFmtId="0" xfId="0" applyAlignment="1" applyFont="1">
      <alignment horizontal="center" readingOrder="0" vertical="center"/>
    </xf>
    <xf borderId="0" fillId="0" fontId="6" numFmtId="0" xfId="0" applyAlignment="1" applyFont="1">
      <alignment horizontal="center" vertical="center"/>
    </xf>
    <xf borderId="0" fillId="3" fontId="3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10" fontId="3" numFmtId="0" xfId="0" applyAlignment="1" applyFont="1">
      <alignment horizontal="center" readingOrder="0" vertical="center"/>
    </xf>
    <xf borderId="0" fillId="0" fontId="51" numFmtId="0" xfId="0" applyAlignment="1" applyFont="1">
      <alignment horizontal="center" readingOrder="0" vertical="center"/>
    </xf>
    <xf borderId="0" fillId="0" fontId="47" numFmtId="0" xfId="0" applyAlignment="1" applyFont="1">
      <alignment horizontal="center" readingOrder="0" vertical="center"/>
    </xf>
    <xf borderId="0" fillId="52" fontId="47" numFmtId="169" xfId="0" applyAlignment="1" applyFont="1" applyNumberFormat="1">
      <alignment readingOrder="0"/>
    </xf>
    <xf borderId="0" fillId="52" fontId="6" numFmtId="0" xfId="0" applyAlignment="1" applyFont="1">
      <alignment horizontal="center"/>
    </xf>
    <xf borderId="0" fillId="0" fontId="6" numFmtId="0" xfId="0" applyFont="1"/>
    <xf borderId="0" fillId="0" fontId="6" numFmtId="0" xfId="0" applyAlignment="1" applyFont="1">
      <alignment horizontal="center"/>
    </xf>
    <xf borderId="0" fillId="52" fontId="6" numFmtId="0" xfId="0" applyAlignment="1" applyFont="1">
      <alignment horizontal="center" vertical="top"/>
    </xf>
    <xf borderId="0" fillId="52" fontId="6" numFmtId="0" xfId="0" applyAlignment="1" applyFont="1">
      <alignment readingOrder="0"/>
    </xf>
    <xf borderId="0" fillId="46" fontId="6" numFmtId="0" xfId="0" applyAlignment="1" applyFont="1">
      <alignment horizontal="center" shrinkToFit="0" vertical="center" wrapText="1"/>
    </xf>
    <xf borderId="0" fillId="54" fontId="49"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34" fontId="6" numFmtId="0" xfId="0" applyAlignment="1" applyFont="1">
      <alignment horizontal="center" readingOrder="0" shrinkToFit="0" vertical="center" wrapText="1"/>
    </xf>
    <xf borderId="0" fillId="18" fontId="1" numFmtId="0" xfId="0" applyAlignment="1" applyFont="1">
      <alignment horizontal="center" readingOrder="0" vertical="center"/>
    </xf>
    <xf borderId="0" fillId="18" fontId="17" numFmtId="0" xfId="0" applyAlignment="1" applyFont="1">
      <alignment horizontal="center" shrinkToFit="0" vertical="center" wrapText="1"/>
    </xf>
    <xf borderId="0" fillId="18" fontId="3" numFmtId="0" xfId="0" applyAlignment="1" applyFont="1">
      <alignment horizontal="center" readingOrder="0" shrinkToFit="0" vertical="center" wrapText="1"/>
    </xf>
    <xf borderId="0" fillId="18" fontId="1" numFmtId="164" xfId="0" applyAlignment="1" applyFont="1" applyNumberFormat="1">
      <alignment horizontal="center" readingOrder="0" shrinkToFit="0" vertical="center" wrapText="1"/>
    </xf>
    <xf borderId="0" fillId="18" fontId="1"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11" fontId="17" numFmtId="0" xfId="0" applyAlignment="1" applyFont="1">
      <alignment horizontal="center" readingOrder="0" vertical="center"/>
    </xf>
    <xf borderId="0" fillId="11" fontId="2" numFmtId="164" xfId="0" applyAlignment="1" applyFont="1" applyNumberFormat="1">
      <alignment horizontal="center" readingOrder="0" vertical="center"/>
    </xf>
    <xf borderId="0" fillId="11" fontId="2" numFmtId="164" xfId="0" applyAlignment="1" applyFont="1" applyNumberFormat="1">
      <alignment horizontal="center" vertical="center"/>
    </xf>
    <xf borderId="0" fillId="11" fontId="2" numFmtId="0" xfId="0" applyAlignment="1" applyFont="1">
      <alignment horizontal="center" vertical="center"/>
    </xf>
    <xf borderId="0" fillId="18" fontId="2" numFmtId="0" xfId="0" applyAlignment="1" applyFont="1">
      <alignment horizontal="center" vertical="center"/>
    </xf>
    <xf borderId="0" fillId="16" fontId="20" numFmtId="0" xfId="0" applyAlignment="1" applyFont="1">
      <alignment horizontal="center"/>
    </xf>
    <xf borderId="0" fillId="16" fontId="52" numFmtId="0" xfId="0" applyAlignment="1" applyFont="1">
      <alignment horizontal="center"/>
    </xf>
    <xf borderId="0" fillId="55" fontId="2" numFmtId="0" xfId="0" applyAlignment="1" applyFill="1" applyFont="1">
      <alignment horizontal="center"/>
    </xf>
    <xf borderId="0" fillId="49" fontId="2" numFmtId="0" xfId="0" applyAlignment="1" applyFont="1">
      <alignment horizontal="center"/>
    </xf>
    <xf borderId="0" fillId="10" fontId="2" numFmtId="0" xfId="0" applyAlignment="1" applyFont="1">
      <alignment horizontal="center"/>
    </xf>
  </cellXfs>
  <cellStyles count="1">
    <cellStyle xfId="0" name="Normal" builtinId="0"/>
  </cellStyles>
  <dxfs count="21">
    <dxf>
      <font/>
      <fill>
        <patternFill patternType="solid">
          <fgColor rgb="FFF4CCCC"/>
          <bgColor rgb="FFF4CCCC"/>
        </patternFill>
      </fill>
      <border/>
    </dxf>
    <dxf>
      <font/>
      <fill>
        <patternFill patternType="solid">
          <fgColor rgb="FFEFEFEF"/>
          <bgColor rgb="FFEFEFEF"/>
        </patternFill>
      </fill>
      <border/>
    </dxf>
    <dxf>
      <font/>
      <fill>
        <patternFill patternType="solid">
          <fgColor rgb="FF9FC5E8"/>
          <bgColor rgb="FF9FC5E8"/>
        </patternFill>
      </fill>
      <border/>
    </dxf>
    <dxf>
      <font/>
      <fill>
        <patternFill patternType="solid">
          <fgColor rgb="FFFCE5CD"/>
          <bgColor rgb="FFFCE5CD"/>
        </patternFill>
      </fill>
      <border/>
    </dxf>
    <dxf>
      <font/>
      <fill>
        <patternFill patternType="solid">
          <fgColor rgb="FFD9D9D9"/>
          <bgColor rgb="FFD9D9D9"/>
        </patternFill>
      </fill>
      <border/>
    </dxf>
    <dxf>
      <font/>
      <fill>
        <patternFill patternType="solid">
          <fgColor rgb="FFD5A6BD"/>
          <bgColor rgb="FFD5A6BD"/>
        </patternFill>
      </fill>
      <border/>
    </dxf>
    <dxf>
      <font/>
      <fill>
        <patternFill patternType="solid">
          <fgColor rgb="FFFFD966"/>
          <bgColor rgb="FFFFD966"/>
        </patternFill>
      </fill>
      <border/>
    </dxf>
    <dxf>
      <font/>
      <fill>
        <patternFill patternType="solid">
          <fgColor rgb="FFCC0000"/>
          <bgColor rgb="FFCC0000"/>
        </patternFill>
      </fill>
      <border/>
    </dxf>
    <dxf>
      <font/>
      <fill>
        <patternFill patternType="solid">
          <fgColor rgb="FFB4A7D6"/>
          <bgColor rgb="FFB4A7D6"/>
        </patternFill>
      </fill>
      <border/>
    </dxf>
    <dxf>
      <font/>
      <fill>
        <patternFill patternType="solid">
          <fgColor rgb="FFD9D2E9"/>
          <bgColor rgb="FFD9D2E9"/>
        </patternFill>
      </fill>
      <border/>
    </dxf>
    <dxf>
      <font/>
      <fill>
        <patternFill patternType="solid">
          <fgColor rgb="FFF9CB9C"/>
          <bgColor rgb="FFF9CB9C"/>
        </patternFill>
      </fill>
      <border/>
    </dxf>
    <dxf>
      <font/>
      <fill>
        <patternFill patternType="solid">
          <fgColor rgb="FFF1C232"/>
          <bgColor rgb="FFF1C232"/>
        </patternFill>
      </fill>
      <border/>
    </dxf>
    <dxf>
      <font/>
      <fill>
        <patternFill patternType="solid">
          <fgColor rgb="FFF162A8"/>
          <bgColor rgb="FFF162A8"/>
        </patternFill>
      </fill>
      <border/>
    </dxf>
    <dxf>
      <font/>
      <fill>
        <patternFill patternType="solid">
          <fgColor rgb="FFEF6868"/>
          <bgColor rgb="FFEF6868"/>
        </patternFill>
      </fill>
      <border/>
    </dxf>
    <dxf>
      <font/>
      <fill>
        <patternFill patternType="solid">
          <fgColor rgb="FF55C7E0"/>
          <bgColor rgb="FF55C7E0"/>
        </patternFill>
      </fill>
      <border/>
    </dxf>
    <dxf>
      <font/>
      <fill>
        <patternFill patternType="solid">
          <fgColor rgb="FFA0E874"/>
          <bgColor rgb="FFA0E874"/>
        </patternFill>
      </fill>
      <border/>
    </dxf>
    <dxf>
      <font>
        <color rgb="FFFFFFFF"/>
      </font>
      <fill>
        <patternFill patternType="solid">
          <fgColor rgb="FFFFFFFF"/>
          <bgColor rgb="FFFFFFFF"/>
        </patternFill>
      </fill>
      <border/>
    </dxf>
    <dxf>
      <font/>
      <fill>
        <patternFill patternType="solid">
          <fgColor rgb="FFB6D7A8"/>
          <bgColor rgb="FFB6D7A8"/>
        </patternFill>
      </fill>
      <border/>
    </dxf>
    <dxf>
      <font>
        <color rgb="FF000000"/>
      </font>
      <fill>
        <patternFill patternType="solid">
          <fgColor rgb="FFA4C2F4"/>
          <bgColor rgb="FFA4C2F4"/>
        </patternFill>
      </fill>
      <border/>
    </dxf>
    <dxf>
      <font/>
      <fill>
        <patternFill patternType="solid">
          <fgColor rgb="FFFFE599"/>
          <bgColor rgb="FFFFE599"/>
        </patternFill>
      </fill>
      <border/>
    </dxf>
    <dxf>
      <font>
        <color theme="1"/>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0"/>
            <c:spPr>
              <a:solidFill>
                <a:schemeClr val="accent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000000"/>
              </a:solidFill>
            </c:spPr>
          </c:dPt>
          <c:dPt>
            <c:idx val="6"/>
            <c:explosion val="0"/>
            <c:spPr>
              <a:solidFill>
                <a:srgbClr val="980000"/>
              </a:solidFill>
            </c:spPr>
          </c:dPt>
          <c:dPt>
            <c:idx val="7"/>
            <c:explosion val="10"/>
            <c:spPr>
              <a:solidFill>
                <a:srgbClr val="FF9900"/>
              </a:solidFill>
            </c:spPr>
          </c:dPt>
          <c:dPt>
            <c:idx val="8"/>
            <c:explosion val="10"/>
            <c:spPr>
              <a:solidFill>
                <a:srgbClr val="0000FF"/>
              </a:solidFill>
            </c:spPr>
          </c:dPt>
          <c:dPt>
            <c:idx val="9"/>
            <c:explosion val="10"/>
            <c:spPr>
              <a:solidFill>
                <a:srgbClr val="FBBC04"/>
              </a:solidFill>
            </c:spPr>
          </c:dPt>
          <c:dPt>
            <c:idx val="10"/>
          </c:dPt>
          <c:dPt>
            <c:idx val="11"/>
          </c:dPt>
          <c:dLbls>
            <c:showLegendKey val="0"/>
            <c:showVal val="1"/>
            <c:showCatName val="0"/>
            <c:showSerName val="0"/>
            <c:showPercent val="0"/>
            <c:showBubbleSize val="0"/>
            <c:showLeaderLines val="1"/>
          </c:dLbls>
          <c:cat>
            <c:strRef>
              <c:f>STATS_2025!$A$3:$A$14</c:f>
            </c:strRef>
          </c:cat>
          <c:val>
            <c:numRef>
              <c:f>STATS_2025!$B$3:$B$14</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layout>
        <c:manualLayout>
          <c:xMode val="edge"/>
          <c:yMode val="edge"/>
          <c:x val="0.030718954248366015"/>
          <c:y val="0.046366399557888925"/>
        </c:manualLayout>
      </c:layout>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0"/>
            <c:spPr>
              <a:solidFill>
                <a:srgbClr val="43434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434343"/>
              </a:solidFill>
            </c:spPr>
          </c:dPt>
          <c:dPt>
            <c:idx val="6"/>
            <c:explosion val="0"/>
            <c:spPr>
              <a:solidFill>
                <a:srgbClr val="434343"/>
              </a:solidFill>
            </c:spPr>
          </c:dPt>
          <c:dPt>
            <c:idx val="7"/>
            <c:explosion val="0"/>
            <c:spPr>
              <a:solidFill>
                <a:srgbClr val="434343"/>
              </a:solidFill>
            </c:spPr>
          </c:dPt>
          <c:dPt>
            <c:idx val="8"/>
            <c:explosion val="0"/>
            <c:spPr>
              <a:solidFill>
                <a:srgbClr val="434343"/>
              </a:solidFill>
            </c:spPr>
          </c:dPt>
          <c:dPt>
            <c:idx val="9"/>
            <c:explosion val="10"/>
            <c:spPr>
              <a:solidFill>
                <a:srgbClr val="FBBC04"/>
              </a:solidFill>
            </c:spPr>
          </c:dPt>
          <c:dPt>
            <c:idx val="10"/>
          </c:dPt>
          <c:dPt>
            <c:idx val="11"/>
          </c:dPt>
          <c:dPt>
            <c:idx val="12"/>
          </c:dPt>
          <c:dLbls>
            <c:showLegendKey val="0"/>
            <c:showVal val="1"/>
            <c:showCatName val="0"/>
            <c:showSerName val="0"/>
            <c:showPercent val="0"/>
            <c:showBubbleSize val="0"/>
            <c:showLeaderLines val="1"/>
          </c:dLbls>
          <c:cat>
            <c:strRef>
              <c:f>STATS_2025!$A$3:$A$14</c:f>
            </c:strRef>
          </c:cat>
          <c:val>
            <c:numRef>
              <c:f>STATS_2025!$J$3:$J$15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2025</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0"/>
            <c:spPr>
              <a:solidFill>
                <a:srgbClr val="434343"/>
              </a:solidFill>
            </c:spPr>
          </c:dPt>
          <c:dPt>
            <c:idx val="2"/>
            <c:explosion val="10"/>
            <c:spPr>
              <a:solidFill>
                <a:srgbClr val="A0E874"/>
              </a:solidFill>
            </c:spPr>
          </c:dPt>
          <c:dPt>
            <c:idx val="3"/>
            <c:explosion val="0"/>
            <c:spPr>
              <a:solidFill>
                <a:srgbClr val="434343"/>
              </a:solidFill>
            </c:spPr>
          </c:dPt>
          <c:dPt>
            <c:idx val="4"/>
            <c:explosion val="10"/>
            <c:spPr>
              <a:solidFill>
                <a:srgbClr val="55C7E0"/>
              </a:solidFill>
            </c:spPr>
          </c:dPt>
          <c:dPt>
            <c:idx val="5"/>
            <c:explosion val="0"/>
            <c:spPr>
              <a:solidFill>
                <a:srgbClr val="434343"/>
              </a:solidFill>
            </c:spPr>
          </c:dPt>
          <c:dPt>
            <c:idx val="6"/>
            <c:explosion val="0"/>
            <c:spPr>
              <a:solidFill>
                <a:srgbClr val="434343"/>
              </a:solidFill>
            </c:spPr>
          </c:dPt>
          <c:dPt>
            <c:idx val="7"/>
            <c:explosion val="0"/>
            <c:spPr>
              <a:solidFill>
                <a:srgbClr val="434343"/>
              </a:solidFill>
            </c:spPr>
          </c:dPt>
          <c:dPt>
            <c:idx val="8"/>
            <c:explosion val="0"/>
            <c:spPr>
              <a:solidFill>
                <a:srgbClr val="434343"/>
              </a:solidFill>
            </c:spPr>
          </c:dPt>
          <c:dPt>
            <c:idx val="9"/>
            <c:explosion val="10"/>
            <c:spPr>
              <a:solidFill>
                <a:srgbClr val="FBBC04"/>
              </a:solidFill>
            </c:spPr>
          </c:dPt>
          <c:dPt>
            <c:idx val="10"/>
          </c:dPt>
          <c:dPt>
            <c:idx val="11"/>
          </c:dPt>
          <c:dPt>
            <c:idx val="12"/>
          </c:dPt>
          <c:dPt>
            <c:idx val="13"/>
          </c:dPt>
          <c:dLbls>
            <c:showLegendKey val="0"/>
            <c:showVal val="1"/>
            <c:showCatName val="0"/>
            <c:showSerName val="0"/>
            <c:showPercent val="0"/>
            <c:showBubbleSize val="0"/>
            <c:showLeaderLines val="1"/>
          </c:dLbls>
          <c:cat>
            <c:strRef>
              <c:f>STATS_2025!$A$3:$A$14</c:f>
            </c:strRef>
          </c:cat>
          <c:val>
            <c:numRef>
              <c:f>STATS_2025!$R$3:$R$16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layout>
        <c:manualLayout>
          <c:xMode val="edge"/>
          <c:yMode val="edge"/>
          <c:x val="0.030718954248366015"/>
          <c:y val="0.046366399557888925"/>
        </c:manualLayout>
      </c:layout>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999999"/>
              </a:solidFill>
            </c:spPr>
          </c:dPt>
          <c:dPt>
            <c:idx val="4"/>
            <c:explosion val="10"/>
            <c:spPr>
              <a:solidFill>
                <a:srgbClr val="CCCCCC"/>
              </a:solidFill>
            </c:spPr>
          </c:dPt>
          <c:dPt>
            <c:idx val="5"/>
            <c:explosion val="10"/>
            <c:spPr>
              <a:solidFill>
                <a:srgbClr val="CCCCCC"/>
              </a:solidFill>
            </c:spPr>
          </c:dPt>
          <c:dPt>
            <c:idx val="6"/>
            <c:explosion val="10"/>
            <c:spPr>
              <a:solidFill>
                <a:srgbClr val="A0E874"/>
              </a:solidFill>
            </c:spPr>
          </c:dPt>
          <c:dPt>
            <c:idx val="7"/>
            <c:explosion val="10"/>
            <c:spPr>
              <a:solidFill>
                <a:srgbClr val="BC68EF"/>
              </a:solidFill>
            </c:spPr>
          </c:dPt>
          <c:dPt>
            <c:idx val="8"/>
            <c:explosion val="10"/>
            <c:spPr>
              <a:solidFill>
                <a:srgbClr val="F162A8"/>
              </a:solidFill>
            </c:spPr>
          </c:dPt>
          <c:dPt>
            <c:idx val="9"/>
            <c:explosion val="10"/>
            <c:spPr>
              <a:solidFill>
                <a:srgbClr val="55C7E0"/>
              </a:solidFill>
            </c:spPr>
          </c:dPt>
          <c:dPt>
            <c:idx val="10"/>
          </c:dPt>
          <c:dPt>
            <c:idx val="11"/>
          </c:dPt>
          <c:dPt>
            <c:idx val="12"/>
          </c:dPt>
          <c:dPt>
            <c:idx val="13"/>
          </c:dPt>
          <c:dLbls>
            <c:showLegendKey val="0"/>
            <c:showVal val="1"/>
            <c:showCatName val="0"/>
            <c:showSerName val="0"/>
            <c:showPercent val="0"/>
            <c:showBubbleSize val="0"/>
            <c:showLeaderLines val="1"/>
          </c:dLbls>
          <c:cat>
            <c:strRef>
              <c:f>STATS_2024!$A$3:$A$16</c:f>
            </c:strRef>
          </c:cat>
          <c:val>
            <c:numRef>
              <c:f>STATS_2024!$J$3:$J$16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2023</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B7B7B7"/>
              </a:solidFill>
            </c:spPr>
          </c:dPt>
          <c:dPt>
            <c:idx val="4"/>
            <c:explosion val="10"/>
            <c:spPr>
              <a:solidFill>
                <a:srgbClr val="CCCCCC"/>
              </a:solidFill>
            </c:spPr>
          </c:dPt>
          <c:dPt>
            <c:idx val="5"/>
            <c:explosion val="10"/>
            <c:spPr>
              <a:solidFill>
                <a:srgbClr val="CCCCCC"/>
              </a:solidFill>
            </c:spPr>
          </c:dPt>
          <c:dPt>
            <c:idx val="6"/>
            <c:explosion val="10"/>
            <c:spPr>
              <a:solidFill>
                <a:srgbClr val="A0E874"/>
              </a:solidFill>
            </c:spPr>
          </c:dPt>
          <c:dPt>
            <c:idx val="7"/>
            <c:explosion val="10"/>
            <c:spPr>
              <a:solidFill>
                <a:srgbClr val="BC68EF"/>
              </a:solidFill>
            </c:spPr>
          </c:dPt>
          <c:dPt>
            <c:idx val="8"/>
            <c:explosion val="10"/>
            <c:spPr>
              <a:solidFill>
                <a:srgbClr val="F162A8"/>
              </a:solidFill>
            </c:spPr>
          </c:dPt>
          <c:dPt>
            <c:idx val="9"/>
            <c:explosion val="10"/>
            <c:spPr>
              <a:solidFill>
                <a:srgbClr val="55C7E0"/>
              </a:solidFill>
            </c:spPr>
          </c:dPt>
          <c:dPt>
            <c:idx val="10"/>
          </c:dPt>
          <c:dPt>
            <c:idx val="11"/>
          </c:dPt>
          <c:dPt>
            <c:idx val="12"/>
          </c:dPt>
          <c:dPt>
            <c:idx val="13"/>
          </c:dPt>
          <c:dLbls>
            <c:showLegendKey val="0"/>
            <c:showVal val="1"/>
            <c:showCatName val="0"/>
            <c:showSerName val="0"/>
            <c:showPercent val="0"/>
            <c:showBubbleSize val="0"/>
            <c:showLeaderLines val="1"/>
          </c:dLbls>
          <c:cat>
            <c:strRef>
              <c:f>STATS_2024!$A$3:$A$16</c:f>
            </c:strRef>
          </c:cat>
          <c:val>
            <c:numRef>
              <c:f>STATS_2024!$R$3:$R$16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999999"/>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STATS_2023!$J$3:$J$15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2023</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666666"/>
              </a:solidFill>
            </c:spPr>
          </c:dPt>
          <c:dPt>
            <c:idx val="3"/>
            <c:explosion val="10"/>
            <c:spPr>
              <a:solidFill>
                <a:srgbClr val="B7B7B7"/>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STATS_2023!$R$3:$R$15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chemeClr val="accent3"/>
              </a:solidFill>
            </c:spPr>
          </c:dPt>
          <c:dPt>
            <c:idx val="2"/>
            <c:explosion val="10"/>
            <c:spPr>
              <a:solidFill>
                <a:srgbClr val="A0E874"/>
              </a:solidFill>
            </c:spPr>
          </c:dPt>
          <c:dPt>
            <c:idx val="3"/>
            <c:explosion val="10"/>
            <c:spPr>
              <a:solidFill>
                <a:srgbClr val="F1C232"/>
              </a:solidFill>
            </c:spPr>
          </c:dPt>
          <c:dPt>
            <c:idx val="4"/>
            <c:explosion val="10"/>
            <c:spPr>
              <a:solidFill>
                <a:srgbClr val="BC68EF"/>
              </a:solidFill>
            </c:spPr>
          </c:dPt>
          <c:dPt>
            <c:idx val="5"/>
            <c:explosion val="10"/>
            <c:spPr>
              <a:solidFill>
                <a:srgbClr val="55C7E0"/>
              </a:solidFill>
            </c:spPr>
          </c:dPt>
          <c:dPt>
            <c:idx val="6"/>
            <c:explosion val="10"/>
            <c:spPr>
              <a:solidFill>
                <a:srgbClr val="A0E874"/>
              </a:solidFill>
            </c:spPr>
          </c:dPt>
          <c:dPt>
            <c:idx val="7"/>
          </c:dPt>
          <c:dPt>
            <c:idx val="8"/>
          </c:dPt>
          <c:dPt>
            <c:idx val="9"/>
          </c:dPt>
          <c:dPt>
            <c:idx val="10"/>
          </c:dPt>
          <c:dPt>
            <c:idx val="11"/>
          </c:dPt>
          <c:dPt>
            <c:idx val="12"/>
          </c:dPt>
          <c:dLbls>
            <c:showLegendKey val="0"/>
            <c:showVal val="1"/>
            <c:showCatName val="0"/>
            <c:showSerName val="0"/>
            <c:showPercent val="0"/>
            <c:showBubbleSize val="0"/>
            <c:showLeaderLines val="1"/>
          </c:dLbls>
          <c:cat>
            <c:strRef>
              <c:f>STATS_2023!$A$3:$A$15</c:f>
            </c:strRef>
          </c:cat>
          <c:val>
            <c:numRef>
              <c:f>STATS_2023!$B$3:$B$15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Verdana"/>
              </a:defRPr>
            </a:pPr>
            <a:r>
              <a:rPr b="1">
                <a:solidFill>
                  <a:srgbClr val="CC0000"/>
                </a:solidFill>
                <a:latin typeface="Verdana"/>
              </a:rPr>
              <a:t>Dossiers terminés</a:t>
            </a:r>
          </a:p>
        </c:rich>
      </c:tx>
      <c:overlay val="0"/>
    </c:title>
    <c:view3D>
      <c:rotX val="50"/>
      <c:perspective val="0"/>
    </c:view3D>
    <c:plotArea>
      <c:layout>
        <c:manualLayout>
          <c:xMode val="edge"/>
          <c:yMode val="edge"/>
          <c:x val="0.030718954248366015"/>
          <c:y val="0.13386524822695034"/>
          <c:w val="0.9385620915032681"/>
          <c:h val="0.7482269503546098"/>
        </c:manualLayout>
      </c:layout>
      <c:doughnutChart>
        <c:varyColors val="1"/>
        <c:ser>
          <c:idx val="0"/>
          <c:order val="0"/>
          <c:dPt>
            <c:idx val="0"/>
            <c:explosion val="10"/>
            <c:spPr>
              <a:solidFill>
                <a:srgbClr val="EF6868"/>
              </a:solidFill>
            </c:spPr>
          </c:dPt>
          <c:dPt>
            <c:idx val="1"/>
            <c:explosion val="10"/>
            <c:spPr>
              <a:solidFill>
                <a:srgbClr val="CCCCCC"/>
              </a:solidFill>
            </c:spPr>
          </c:dPt>
          <c:dPt>
            <c:idx val="2"/>
            <c:explosion val="10"/>
            <c:spPr>
              <a:solidFill>
                <a:srgbClr val="A0E874"/>
              </a:solidFill>
            </c:spPr>
          </c:dPt>
          <c:dPt>
            <c:idx val="3"/>
            <c:explosion val="10"/>
            <c:spPr>
              <a:solidFill>
                <a:srgbClr val="999999"/>
              </a:solidFill>
            </c:spPr>
          </c:dPt>
          <c:dPt>
            <c:idx val="4"/>
            <c:explosion val="10"/>
            <c:spPr>
              <a:solidFill>
                <a:srgbClr val="666666"/>
              </a:solidFill>
            </c:spPr>
          </c:dPt>
          <c:dPt>
            <c:idx val="5"/>
            <c:explosion val="10"/>
            <c:spPr>
              <a:solidFill>
                <a:srgbClr val="F1C232"/>
              </a:solidFill>
            </c:spPr>
          </c:dPt>
          <c:dPt>
            <c:idx val="6"/>
            <c:explosion val="10"/>
            <c:spPr>
              <a:solidFill>
                <a:srgbClr val="7BAAF7"/>
              </a:solidFill>
            </c:spPr>
          </c:dPt>
          <c:dLbls>
            <c:showLegendKey val="0"/>
            <c:showVal val="1"/>
            <c:showCatName val="0"/>
            <c:showSerName val="0"/>
            <c:showPercent val="0"/>
            <c:showBubbleSize val="0"/>
            <c:showLeaderLines val="1"/>
          </c:dLbls>
          <c:cat>
            <c:strRef>
              <c:f>STATS_2022!$A$3:$A$9</c:f>
            </c:strRef>
          </c:cat>
          <c:val>
            <c:numRef>
              <c:f>STATS_2022!$J$3:$J$9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Verdana"/>
              </a:defRPr>
            </a:pPr>
            <a:r>
              <a:rPr b="1">
                <a:solidFill>
                  <a:srgbClr val="757575"/>
                </a:solidFill>
                <a:latin typeface="Verdana"/>
              </a:rPr>
              <a:t>Dossiers totaux 2022</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rgbClr val="CCCCCC"/>
              </a:solidFill>
            </c:spPr>
          </c:dPt>
          <c:dPt>
            <c:idx val="2"/>
            <c:explosion val="10"/>
            <c:spPr>
              <a:solidFill>
                <a:srgbClr val="A0E874"/>
              </a:solidFill>
            </c:spPr>
          </c:dPt>
          <c:dPt>
            <c:idx val="3"/>
            <c:explosion val="10"/>
            <c:spPr>
              <a:solidFill>
                <a:srgbClr val="999999"/>
              </a:solidFill>
            </c:spPr>
          </c:dPt>
          <c:dPt>
            <c:idx val="4"/>
            <c:explosion val="10"/>
            <c:spPr>
              <a:solidFill>
                <a:srgbClr val="666666"/>
              </a:solidFill>
            </c:spPr>
          </c:dPt>
          <c:dPt>
            <c:idx val="5"/>
            <c:explosion val="10"/>
            <c:spPr>
              <a:solidFill>
                <a:srgbClr val="F1C232"/>
              </a:solidFill>
            </c:spPr>
          </c:dPt>
          <c:dPt>
            <c:idx val="6"/>
            <c:explosion val="10"/>
            <c:spPr>
              <a:solidFill>
                <a:srgbClr val="7BAAF7"/>
              </a:solidFill>
            </c:spPr>
          </c:dPt>
          <c:dLbls>
            <c:showLegendKey val="0"/>
            <c:showVal val="1"/>
            <c:showCatName val="0"/>
            <c:showSerName val="0"/>
            <c:showPercent val="0"/>
            <c:showBubbleSize val="0"/>
            <c:showLeaderLines val="1"/>
          </c:dLbls>
          <c:cat>
            <c:strRef>
              <c:f>STATS_2022!$A$3:$A$9</c:f>
            </c:strRef>
          </c:cat>
          <c:val>
            <c:numRef>
              <c:f>STATS_2022!$R$3:$R$9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Verdana"/>
              </a:defRPr>
            </a:pPr>
            <a:r>
              <a:rPr b="1">
                <a:solidFill>
                  <a:srgbClr val="6AA84F"/>
                </a:solidFill>
                <a:latin typeface="Verdana"/>
              </a:rPr>
              <a:t>Répartition des dossiers en cours</a:t>
            </a:r>
          </a:p>
        </c:rich>
      </c:tx>
      <c:overlay val="0"/>
    </c:title>
    <c:view3D>
      <c:rotX val="50"/>
      <c:perspective val="0"/>
    </c:view3D>
    <c:plotArea>
      <c:layout/>
      <c:doughnutChart>
        <c:varyColors val="1"/>
        <c:ser>
          <c:idx val="0"/>
          <c:order val="0"/>
          <c:dPt>
            <c:idx val="0"/>
            <c:explosion val="10"/>
            <c:spPr>
              <a:solidFill>
                <a:srgbClr val="EF6868"/>
              </a:solidFill>
            </c:spPr>
          </c:dPt>
          <c:dPt>
            <c:idx val="1"/>
            <c:explosion val="10"/>
            <c:spPr>
              <a:solidFill>
                <a:srgbClr val="55C7E0"/>
              </a:solidFill>
            </c:spPr>
          </c:dPt>
          <c:dPt>
            <c:idx val="2"/>
            <c:explosion val="10"/>
            <c:spPr>
              <a:solidFill>
                <a:srgbClr val="A0E874"/>
              </a:solidFill>
            </c:spPr>
          </c:dPt>
          <c:dPt>
            <c:idx val="3"/>
            <c:explosion val="10"/>
            <c:spPr>
              <a:solidFill>
                <a:srgbClr val="F1C232"/>
              </a:solidFill>
            </c:spPr>
          </c:dPt>
          <c:dPt>
            <c:idx val="4"/>
            <c:explosion val="10"/>
            <c:spPr>
              <a:solidFill>
                <a:srgbClr val="666666"/>
              </a:solidFill>
            </c:spPr>
          </c:dPt>
          <c:dPt>
            <c:idx val="5"/>
            <c:explosion val="10"/>
            <c:spPr>
              <a:solidFill>
                <a:srgbClr val="F1C232"/>
              </a:solidFill>
            </c:spPr>
          </c:dPt>
          <c:dPt>
            <c:idx val="6"/>
            <c:explosion val="10"/>
            <c:spPr>
              <a:solidFill>
                <a:srgbClr val="55C7E0"/>
              </a:solidFill>
            </c:spPr>
          </c:dPt>
          <c:dLbls>
            <c:showLegendKey val="0"/>
            <c:showVal val="1"/>
            <c:showCatName val="0"/>
            <c:showSerName val="0"/>
            <c:showPercent val="0"/>
            <c:showBubbleSize val="0"/>
            <c:showLeaderLines val="1"/>
          </c:dLbls>
          <c:cat>
            <c:strRef>
              <c:f>STATS_2022!$A$3:$A$9</c:f>
            </c:strRef>
          </c:cat>
          <c:val>
            <c:numRef>
              <c:f>STATS_2022!$B$3:$B$9</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Verdana"/>
            </a:defRPr>
          </a:pPr>
        </a:p>
      </c:txPr>
    </c:legend>
    <c:plotVisOnly val="1"/>
  </c:chart>
  <c:spPr>
    <a:solidFill>
      <a:schemeClr val="lt1"/>
    </a:solidFill>
  </c:spPr>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180975</xdr:rowOff>
    </xdr:from>
    <xdr:ext cx="5829300" cy="358140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180975</xdr:colOff>
      <xdr:row>0</xdr:row>
      <xdr:rowOff>180975</xdr:rowOff>
    </xdr:from>
    <xdr:ext cx="5829300" cy="35814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152400</xdr:colOff>
      <xdr:row>0</xdr:row>
      <xdr:rowOff>180975</xdr:rowOff>
    </xdr:from>
    <xdr:ext cx="5781675" cy="358140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0</xdr:row>
      <xdr:rowOff>180975</xdr:rowOff>
    </xdr:from>
    <xdr:ext cx="5829300" cy="3581400"/>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190500</xdr:colOff>
      <xdr:row>0</xdr:row>
      <xdr:rowOff>180975</xdr:rowOff>
    </xdr:from>
    <xdr:ext cx="5781675" cy="3581400"/>
    <xdr:graphicFrame>
      <xdr:nvGraphicFramePr>
        <xdr:cNvPr id="5" name="Chart 5"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7</xdr:row>
      <xdr:rowOff>104775</xdr:rowOff>
    </xdr:from>
    <xdr:ext cx="933450" cy="933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104775</xdr:colOff>
      <xdr:row>7</xdr:row>
      <xdr:rowOff>104775</xdr:rowOff>
    </xdr:from>
    <xdr:ext cx="1219200" cy="1219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180975</xdr:rowOff>
    </xdr:from>
    <xdr:ext cx="5829300" cy="3581400"/>
    <xdr:graphicFrame>
      <xdr:nvGraphicFramePr>
        <xdr:cNvPr id="6" name="Chart 6"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190500</xdr:colOff>
      <xdr:row>0</xdr:row>
      <xdr:rowOff>180975</xdr:rowOff>
    </xdr:from>
    <xdr:ext cx="5781675" cy="3581400"/>
    <xdr:graphicFrame>
      <xdr:nvGraphicFramePr>
        <xdr:cNvPr id="7" name="Chart 7"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152400</xdr:colOff>
      <xdr:row>0</xdr:row>
      <xdr:rowOff>180975</xdr:rowOff>
    </xdr:from>
    <xdr:ext cx="5829300" cy="3581400"/>
    <xdr:graphicFrame>
      <xdr:nvGraphicFramePr>
        <xdr:cNvPr id="8" name="Chart 8"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0</xdr:row>
      <xdr:rowOff>180975</xdr:rowOff>
    </xdr:from>
    <xdr:ext cx="5829300" cy="3581400"/>
    <xdr:graphicFrame>
      <xdr:nvGraphicFramePr>
        <xdr:cNvPr id="9" name="Chart 9"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171450</xdr:colOff>
      <xdr:row>0</xdr:row>
      <xdr:rowOff>180975</xdr:rowOff>
    </xdr:from>
    <xdr:ext cx="5781675" cy="3581400"/>
    <xdr:graphicFrame>
      <xdr:nvGraphicFramePr>
        <xdr:cNvPr id="10" name="Chart 10"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133350</xdr:colOff>
      <xdr:row>0</xdr:row>
      <xdr:rowOff>180975</xdr:rowOff>
    </xdr:from>
    <xdr:ext cx="5829300" cy="3581400"/>
    <xdr:graphicFrame>
      <xdr:nvGraphicFramePr>
        <xdr:cNvPr id="11" name="Chart 11"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foot/" TargetMode="External"/><Relationship Id="rId2" Type="http://schemas.openxmlformats.org/officeDocument/2006/relationships/hyperlink" Target="http://vosenseignes.fr/" TargetMode="External"/><Relationship Id="rId3" Type="http://schemas.openxmlformats.org/officeDocument/2006/relationships/hyperlink" Target="http://vosenseignes.fr" TargetMode="External"/><Relationship Id="rId4" Type="http://schemas.openxmlformats.org/officeDocument/2006/relationships/hyperlink" Target="https://www.objetrama.fr/stylo-senator-super-hit-mat-personnalisation-incluse.html" TargetMode="External"/><Relationship Id="rId9" Type="http://schemas.openxmlformats.org/officeDocument/2006/relationships/drawing" Target="../drawings/drawing10.xml"/><Relationship Id="rId5" Type="http://schemas.openxmlformats.org/officeDocument/2006/relationships/hyperlink" Target="https://www.fedex.com/fedextrack/?trknbr=583772525017&amp;trkqual=2459755000~583772525017~FX" TargetMode="External"/><Relationship Id="rId6" Type="http://schemas.openxmlformats.org/officeDocument/2006/relationships/hyperlink" Target="http://www.vosenseignes.fr/" TargetMode="External"/><Relationship Id="rId7" Type="http://schemas.openxmlformats.org/officeDocument/2006/relationships/hyperlink" Target="http://www.vosenseignes.fr/" TargetMode="External"/><Relationship Id="rId8" Type="http://schemas.openxmlformats.org/officeDocument/2006/relationships/hyperlink" Target="http://foot.fr/"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vosenseignes.fr/" TargetMode="External"/><Relationship Id="rId2"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6868"/>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2.63"/>
    <col customWidth="1" min="8" max="8" width="101.38"/>
    <col customWidth="1" min="9" max="9" width="11.63"/>
    <col customWidth="1" min="10" max="10" width="2.63"/>
  </cols>
  <sheetData>
    <row r="1" ht="24.0" customHeight="1">
      <c r="A1" s="1" t="s">
        <v>0</v>
      </c>
    </row>
    <row r="2">
      <c r="A2" s="2"/>
      <c r="B2" s="3" t="s">
        <v>1</v>
      </c>
      <c r="C2" s="4" t="s">
        <v>2</v>
      </c>
      <c r="D2" s="4" t="s">
        <v>3</v>
      </c>
      <c r="E2" s="5" t="s">
        <v>4</v>
      </c>
      <c r="F2" s="4" t="s">
        <v>5</v>
      </c>
      <c r="G2" s="5" t="s">
        <v>6</v>
      </c>
      <c r="H2" s="5" t="s">
        <v>7</v>
      </c>
      <c r="I2" s="5" t="s">
        <v>8</v>
      </c>
      <c r="J2" s="2"/>
    </row>
    <row r="3">
      <c r="A3" s="6" t="s">
        <v>9</v>
      </c>
      <c r="B3" s="7" t="s">
        <v>10</v>
      </c>
      <c r="C3" s="8">
        <v>45995.524356759255</v>
      </c>
      <c r="D3" s="8">
        <f t="shared" ref="D3:D361" si="1">IFERROR(_xlfn.WORKDAY.INTL(C3, 2),"-")</f>
        <v>45999</v>
      </c>
      <c r="E3" s="9" t="s">
        <v>11</v>
      </c>
      <c r="F3" s="10"/>
      <c r="G3" s="9" t="s">
        <v>12</v>
      </c>
      <c r="H3" s="11"/>
      <c r="I3" s="9" t="s">
        <v>13</v>
      </c>
      <c r="J3" s="12"/>
    </row>
    <row r="4">
      <c r="A4" s="6" t="s">
        <v>9</v>
      </c>
      <c r="B4" s="7" t="s">
        <v>14</v>
      </c>
      <c r="C4" s="8">
        <v>46001.36985811342</v>
      </c>
      <c r="D4" s="8">
        <f t="shared" si="1"/>
        <v>46003</v>
      </c>
      <c r="E4" s="9" t="s">
        <v>11</v>
      </c>
      <c r="F4" s="10"/>
      <c r="G4" s="9" t="s">
        <v>15</v>
      </c>
      <c r="H4" s="7" t="s">
        <v>16</v>
      </c>
      <c r="I4" s="9" t="s">
        <v>13</v>
      </c>
      <c r="J4" s="12"/>
    </row>
    <row r="5">
      <c r="A5" s="6" t="s">
        <v>9</v>
      </c>
      <c r="B5" s="7" t="s">
        <v>17</v>
      </c>
      <c r="C5" s="8">
        <v>46006.66293222222</v>
      </c>
      <c r="D5" s="8">
        <f t="shared" si="1"/>
        <v>46008</v>
      </c>
      <c r="E5" s="9" t="s">
        <v>11</v>
      </c>
      <c r="F5" s="10"/>
      <c r="G5" s="9" t="s">
        <v>18</v>
      </c>
      <c r="H5" s="11"/>
      <c r="I5" s="9" t="s">
        <v>13</v>
      </c>
      <c r="J5" s="12"/>
    </row>
    <row r="6">
      <c r="A6" s="6" t="s">
        <v>9</v>
      </c>
      <c r="B6" s="7" t="s">
        <v>19</v>
      </c>
      <c r="C6" s="8">
        <v>46006.66303837963</v>
      </c>
      <c r="D6" s="8">
        <f t="shared" si="1"/>
        <v>46008</v>
      </c>
      <c r="E6" s="9" t="s">
        <v>11</v>
      </c>
      <c r="F6" s="10"/>
      <c r="G6" s="9" t="s">
        <v>18</v>
      </c>
      <c r="H6" s="11"/>
      <c r="I6" s="9" t="s">
        <v>13</v>
      </c>
      <c r="J6" s="12"/>
    </row>
    <row r="7">
      <c r="A7" s="6" t="s">
        <v>9</v>
      </c>
      <c r="B7" s="7" t="s">
        <v>20</v>
      </c>
      <c r="C7" s="8">
        <v>46003.40613914352</v>
      </c>
      <c r="D7" s="8">
        <f t="shared" si="1"/>
        <v>46007</v>
      </c>
      <c r="E7" s="9" t="s">
        <v>11</v>
      </c>
      <c r="F7" s="10"/>
      <c r="G7" s="9" t="s">
        <v>21</v>
      </c>
      <c r="H7" s="7" t="s">
        <v>22</v>
      </c>
      <c r="I7" s="9" t="s">
        <v>13</v>
      </c>
      <c r="J7" s="12"/>
    </row>
    <row r="8">
      <c r="A8" s="6" t="s">
        <v>9</v>
      </c>
      <c r="B8" s="7" t="s">
        <v>23</v>
      </c>
      <c r="C8" s="8">
        <v>46007.44165761574</v>
      </c>
      <c r="D8" s="8">
        <f t="shared" si="1"/>
        <v>46009</v>
      </c>
      <c r="E8" s="9" t="s">
        <v>11</v>
      </c>
      <c r="F8" s="10"/>
      <c r="G8" s="9" t="s">
        <v>15</v>
      </c>
      <c r="H8" s="7" t="s">
        <v>24</v>
      </c>
      <c r="I8" s="9" t="s">
        <v>13</v>
      </c>
      <c r="J8" s="12"/>
    </row>
    <row r="9">
      <c r="A9" s="6" t="s">
        <v>9</v>
      </c>
      <c r="B9" s="7" t="s">
        <v>25</v>
      </c>
      <c r="C9" s="8">
        <v>46003.40600940972</v>
      </c>
      <c r="D9" s="8">
        <f t="shared" si="1"/>
        <v>46007</v>
      </c>
      <c r="E9" s="9" t="s">
        <v>11</v>
      </c>
      <c r="F9" s="10"/>
      <c r="G9" s="9" t="s">
        <v>15</v>
      </c>
      <c r="H9" s="7" t="s">
        <v>26</v>
      </c>
      <c r="I9" s="9" t="s">
        <v>13</v>
      </c>
      <c r="J9" s="12"/>
    </row>
    <row r="10">
      <c r="A10" s="6" t="s">
        <v>9</v>
      </c>
      <c r="B10" s="7" t="s">
        <v>27</v>
      </c>
      <c r="C10" s="8">
        <v>45995.511777164356</v>
      </c>
      <c r="D10" s="8">
        <f t="shared" si="1"/>
        <v>45999</v>
      </c>
      <c r="E10" s="9" t="s">
        <v>11</v>
      </c>
      <c r="F10" s="10"/>
      <c r="G10" s="9" t="s">
        <v>15</v>
      </c>
      <c r="H10" s="7" t="s">
        <v>28</v>
      </c>
      <c r="I10" s="9" t="s">
        <v>13</v>
      </c>
      <c r="J10" s="12"/>
    </row>
    <row r="11">
      <c r="A11" s="6" t="s">
        <v>9</v>
      </c>
      <c r="B11" s="7" t="s">
        <v>29</v>
      </c>
      <c r="C11" s="8">
        <v>45995.51167655093</v>
      </c>
      <c r="D11" s="8">
        <f t="shared" si="1"/>
        <v>45999</v>
      </c>
      <c r="E11" s="9" t="s">
        <v>11</v>
      </c>
      <c r="F11" s="10"/>
      <c r="G11" s="9" t="s">
        <v>15</v>
      </c>
      <c r="H11" s="7" t="s">
        <v>30</v>
      </c>
      <c r="I11" s="9" t="s">
        <v>13</v>
      </c>
      <c r="J11" s="12"/>
    </row>
    <row r="12">
      <c r="A12" s="6" t="s">
        <v>9</v>
      </c>
      <c r="B12" s="7" t="s">
        <v>31</v>
      </c>
      <c r="C12" s="8">
        <v>46000.451088194444</v>
      </c>
      <c r="D12" s="8">
        <f t="shared" si="1"/>
        <v>46002</v>
      </c>
      <c r="E12" s="9" t="s">
        <v>11</v>
      </c>
      <c r="F12" s="10"/>
      <c r="G12" s="9" t="s">
        <v>15</v>
      </c>
      <c r="H12" s="7" t="s">
        <v>32</v>
      </c>
      <c r="I12" s="9" t="s">
        <v>13</v>
      </c>
      <c r="J12" s="12"/>
    </row>
    <row r="13">
      <c r="A13" s="6" t="s">
        <v>9</v>
      </c>
      <c r="B13" s="7" t="s">
        <v>33</v>
      </c>
      <c r="C13" s="8">
        <v>45973.36673469907</v>
      </c>
      <c r="D13" s="8">
        <f t="shared" si="1"/>
        <v>45975</v>
      </c>
      <c r="E13" s="9" t="s">
        <v>11</v>
      </c>
      <c r="F13" s="10"/>
      <c r="G13" s="9" t="s">
        <v>15</v>
      </c>
      <c r="H13" s="7" t="s">
        <v>34</v>
      </c>
      <c r="I13" s="9" t="s">
        <v>13</v>
      </c>
      <c r="J13" s="12"/>
    </row>
    <row r="14">
      <c r="A14" s="6" t="s">
        <v>9</v>
      </c>
      <c r="B14" s="7" t="s">
        <v>35</v>
      </c>
      <c r="C14" s="8">
        <v>45978.35180878472</v>
      </c>
      <c r="D14" s="8">
        <f t="shared" si="1"/>
        <v>45980</v>
      </c>
      <c r="E14" s="9" t="s">
        <v>11</v>
      </c>
      <c r="F14" s="10"/>
      <c r="G14" s="9" t="s">
        <v>15</v>
      </c>
      <c r="H14" s="7" t="s">
        <v>36</v>
      </c>
      <c r="I14" s="9" t="s">
        <v>13</v>
      </c>
      <c r="J14" s="12"/>
    </row>
    <row r="15">
      <c r="A15" s="6" t="s">
        <v>9</v>
      </c>
      <c r="B15" s="7" t="s">
        <v>37</v>
      </c>
      <c r="C15" s="8">
        <v>45939.67722395834</v>
      </c>
      <c r="D15" s="8">
        <f t="shared" si="1"/>
        <v>45943</v>
      </c>
      <c r="E15" s="9" t="s">
        <v>11</v>
      </c>
      <c r="F15" s="10"/>
      <c r="G15" s="9" t="s">
        <v>15</v>
      </c>
      <c r="H15" s="7" t="s">
        <v>38</v>
      </c>
      <c r="I15" s="9" t="s">
        <v>13</v>
      </c>
      <c r="J15" s="12"/>
    </row>
    <row r="16">
      <c r="A16" s="6" t="s">
        <v>9</v>
      </c>
      <c r="B16" s="7" t="s">
        <v>39</v>
      </c>
      <c r="C16" s="8">
        <v>45987.624028171296</v>
      </c>
      <c r="D16" s="8">
        <f t="shared" si="1"/>
        <v>45989</v>
      </c>
      <c r="E16" s="9" t="s">
        <v>11</v>
      </c>
      <c r="F16" s="10"/>
      <c r="G16" s="9" t="s">
        <v>15</v>
      </c>
      <c r="H16" s="7" t="s">
        <v>40</v>
      </c>
      <c r="I16" s="9" t="s">
        <v>13</v>
      </c>
      <c r="J16" s="12"/>
    </row>
    <row r="17">
      <c r="A17" s="6" t="s">
        <v>9</v>
      </c>
      <c r="B17" s="7" t="s">
        <v>41</v>
      </c>
      <c r="C17" s="8">
        <v>45992.63930491898</v>
      </c>
      <c r="D17" s="8">
        <f t="shared" si="1"/>
        <v>45994</v>
      </c>
      <c r="E17" s="9" t="s">
        <v>11</v>
      </c>
      <c r="F17" s="10"/>
      <c r="G17" s="9" t="s">
        <v>15</v>
      </c>
      <c r="H17" s="7" t="s">
        <v>42</v>
      </c>
      <c r="I17" s="9" t="s">
        <v>13</v>
      </c>
      <c r="J17" s="12"/>
    </row>
    <row r="18">
      <c r="A18" s="6" t="s">
        <v>9</v>
      </c>
      <c r="B18" s="7" t="s">
        <v>43</v>
      </c>
      <c r="C18" s="8">
        <v>45987.62368318287</v>
      </c>
      <c r="D18" s="8">
        <f t="shared" si="1"/>
        <v>45989</v>
      </c>
      <c r="E18" s="9" t="s">
        <v>11</v>
      </c>
      <c r="F18" s="10"/>
      <c r="G18" s="9" t="s">
        <v>15</v>
      </c>
      <c r="H18" s="7" t="s">
        <v>44</v>
      </c>
      <c r="I18" s="9" t="s">
        <v>13</v>
      </c>
      <c r="J18" s="12"/>
    </row>
    <row r="19">
      <c r="A19" s="6" t="s">
        <v>9</v>
      </c>
      <c r="B19" s="7" t="s">
        <v>45</v>
      </c>
      <c r="C19" s="8">
        <v>45988.49659916667</v>
      </c>
      <c r="D19" s="8">
        <f t="shared" si="1"/>
        <v>45992</v>
      </c>
      <c r="E19" s="9" t="s">
        <v>11</v>
      </c>
      <c r="F19" s="10"/>
      <c r="G19" s="9" t="s">
        <v>15</v>
      </c>
      <c r="H19" s="7" t="s">
        <v>46</v>
      </c>
      <c r="I19" s="9" t="s">
        <v>13</v>
      </c>
      <c r="J19" s="12"/>
    </row>
    <row r="20">
      <c r="A20" s="6" t="s">
        <v>9</v>
      </c>
      <c r="B20" s="7" t="s">
        <v>47</v>
      </c>
      <c r="C20" s="8">
        <v>45981.64433186343</v>
      </c>
      <c r="D20" s="8">
        <f t="shared" si="1"/>
        <v>45985</v>
      </c>
      <c r="E20" s="9" t="s">
        <v>11</v>
      </c>
      <c r="F20" s="10"/>
      <c r="G20" s="9" t="s">
        <v>15</v>
      </c>
      <c r="H20" s="7" t="s">
        <v>48</v>
      </c>
      <c r="I20" s="9" t="s">
        <v>13</v>
      </c>
      <c r="J20" s="12"/>
    </row>
    <row r="21">
      <c r="A21" s="6" t="s">
        <v>9</v>
      </c>
      <c r="B21" s="7" t="s">
        <v>49</v>
      </c>
      <c r="C21" s="8">
        <v>45978.354242546295</v>
      </c>
      <c r="D21" s="8">
        <f t="shared" si="1"/>
        <v>45980</v>
      </c>
      <c r="E21" s="9" t="s">
        <v>11</v>
      </c>
      <c r="F21" s="10"/>
      <c r="G21" s="9" t="s">
        <v>15</v>
      </c>
      <c r="H21" s="7" t="s">
        <v>50</v>
      </c>
      <c r="I21" s="9" t="s">
        <v>13</v>
      </c>
      <c r="J21" s="12"/>
    </row>
    <row r="22">
      <c r="A22" s="6" t="s">
        <v>9</v>
      </c>
      <c r="B22" s="7" t="s">
        <v>51</v>
      </c>
      <c r="C22" s="8">
        <v>45973.36699476852</v>
      </c>
      <c r="D22" s="8">
        <f t="shared" si="1"/>
        <v>45975</v>
      </c>
      <c r="E22" s="9" t="s">
        <v>11</v>
      </c>
      <c r="F22" s="10"/>
      <c r="G22" s="9" t="s">
        <v>15</v>
      </c>
      <c r="H22" s="7" t="s">
        <v>52</v>
      </c>
      <c r="I22" s="9" t="s">
        <v>13</v>
      </c>
      <c r="J22" s="12"/>
    </row>
    <row r="23">
      <c r="A23" s="6" t="s">
        <v>9</v>
      </c>
      <c r="B23" s="7" t="s">
        <v>53</v>
      </c>
      <c r="C23" s="8">
        <v>45961.360702199076</v>
      </c>
      <c r="D23" s="8">
        <f t="shared" si="1"/>
        <v>45965</v>
      </c>
      <c r="E23" s="9" t="s">
        <v>11</v>
      </c>
      <c r="F23" s="10"/>
      <c r="G23" s="9" t="s">
        <v>15</v>
      </c>
      <c r="H23" s="7" t="s">
        <v>54</v>
      </c>
      <c r="I23" s="9" t="s">
        <v>13</v>
      </c>
      <c r="J23" s="12"/>
    </row>
    <row r="24">
      <c r="A24" s="6" t="s">
        <v>9</v>
      </c>
      <c r="B24" s="7" t="s">
        <v>55</v>
      </c>
      <c r="C24" s="8">
        <v>45961.36041069444</v>
      </c>
      <c r="D24" s="8">
        <f t="shared" si="1"/>
        <v>45965</v>
      </c>
      <c r="E24" s="9" t="s">
        <v>11</v>
      </c>
      <c r="F24" s="10"/>
      <c r="G24" s="9" t="s">
        <v>15</v>
      </c>
      <c r="H24" s="7" t="s">
        <v>56</v>
      </c>
      <c r="I24" s="9" t="s">
        <v>13</v>
      </c>
      <c r="J24" s="12"/>
    </row>
    <row r="25">
      <c r="A25" s="6" t="s">
        <v>9</v>
      </c>
      <c r="B25" s="7" t="s">
        <v>57</v>
      </c>
      <c r="C25" s="8">
        <v>45965.51941046296</v>
      </c>
      <c r="D25" s="8">
        <f t="shared" si="1"/>
        <v>45967</v>
      </c>
      <c r="E25" s="9" t="s">
        <v>11</v>
      </c>
      <c r="F25" s="10"/>
      <c r="G25" s="9" t="s">
        <v>15</v>
      </c>
      <c r="H25" s="7" t="s">
        <v>58</v>
      </c>
      <c r="I25" s="9" t="s">
        <v>13</v>
      </c>
      <c r="J25" s="12"/>
    </row>
    <row r="26">
      <c r="A26" s="6" t="s">
        <v>9</v>
      </c>
      <c r="B26" s="7" t="s">
        <v>59</v>
      </c>
      <c r="C26" s="8">
        <v>45903.67220714121</v>
      </c>
      <c r="D26" s="8">
        <f t="shared" si="1"/>
        <v>45905</v>
      </c>
      <c r="E26" s="9" t="s">
        <v>11</v>
      </c>
      <c r="F26" s="10"/>
      <c r="G26" s="9" t="s">
        <v>15</v>
      </c>
      <c r="H26" s="7" t="s">
        <v>60</v>
      </c>
      <c r="I26" s="9" t="s">
        <v>13</v>
      </c>
      <c r="J26" s="12"/>
    </row>
    <row r="27">
      <c r="A27" s="6" t="s">
        <v>9</v>
      </c>
      <c r="B27" s="7" t="s">
        <v>61</v>
      </c>
      <c r="C27" s="8">
        <v>45825.72070640046</v>
      </c>
      <c r="D27" s="8">
        <f t="shared" si="1"/>
        <v>45827</v>
      </c>
      <c r="E27" s="9" t="s">
        <v>11</v>
      </c>
      <c r="F27" s="10"/>
      <c r="G27" s="9" t="s">
        <v>15</v>
      </c>
      <c r="H27" s="7" t="s">
        <v>62</v>
      </c>
      <c r="I27" s="9" t="s">
        <v>13</v>
      </c>
      <c r="J27" s="12"/>
    </row>
    <row r="28">
      <c r="A28" s="6" t="s">
        <v>9</v>
      </c>
      <c r="B28" s="7" t="s">
        <v>63</v>
      </c>
      <c r="C28" s="8">
        <v>45461.33979067129</v>
      </c>
      <c r="D28" s="8">
        <f t="shared" si="1"/>
        <v>45463</v>
      </c>
      <c r="E28" s="9" t="s">
        <v>11</v>
      </c>
      <c r="F28" s="10"/>
      <c r="G28" s="9" t="s">
        <v>15</v>
      </c>
      <c r="H28" s="7" t="s">
        <v>64</v>
      </c>
      <c r="I28" s="9" t="s">
        <v>13</v>
      </c>
      <c r="J28" s="12"/>
    </row>
    <row r="29">
      <c r="A29" s="6" t="s">
        <v>9</v>
      </c>
      <c r="B29" s="7" t="s">
        <v>65</v>
      </c>
      <c r="C29" s="8">
        <v>45985.52311627315</v>
      </c>
      <c r="D29" s="8">
        <f t="shared" si="1"/>
        <v>45987</v>
      </c>
      <c r="E29" s="9" t="s">
        <v>11</v>
      </c>
      <c r="F29" s="10"/>
      <c r="G29" s="9" t="s">
        <v>15</v>
      </c>
      <c r="H29" s="7" t="s">
        <v>66</v>
      </c>
      <c r="I29" s="9" t="s">
        <v>13</v>
      </c>
      <c r="J29" s="12"/>
    </row>
    <row r="30">
      <c r="A30" s="6" t="s">
        <v>9</v>
      </c>
      <c r="B30" s="7" t="s">
        <v>67</v>
      </c>
      <c r="C30" s="8">
        <v>45985.524076319445</v>
      </c>
      <c r="D30" s="8">
        <f t="shared" si="1"/>
        <v>45987</v>
      </c>
      <c r="E30" s="9" t="s">
        <v>11</v>
      </c>
      <c r="F30" s="10"/>
      <c r="G30" s="9" t="s">
        <v>15</v>
      </c>
      <c r="H30" s="7" t="s">
        <v>68</v>
      </c>
      <c r="I30" s="9" t="s">
        <v>13</v>
      </c>
      <c r="J30" s="12"/>
    </row>
    <row r="31">
      <c r="A31" s="6" t="s">
        <v>9</v>
      </c>
      <c r="B31" s="7" t="s">
        <v>69</v>
      </c>
      <c r="C31" s="8">
        <v>45985.52452668981</v>
      </c>
      <c r="D31" s="8">
        <f t="shared" si="1"/>
        <v>45987</v>
      </c>
      <c r="E31" s="9" t="s">
        <v>11</v>
      </c>
      <c r="F31" s="10"/>
      <c r="G31" s="9" t="s">
        <v>15</v>
      </c>
      <c r="H31" s="7" t="s">
        <v>70</v>
      </c>
      <c r="I31" s="9" t="s">
        <v>13</v>
      </c>
      <c r="J31" s="12"/>
    </row>
    <row r="32">
      <c r="A32" s="6" t="s">
        <v>9</v>
      </c>
      <c r="B32" s="7" t="s">
        <v>71</v>
      </c>
      <c r="C32" s="8">
        <v>45985.52480266204</v>
      </c>
      <c r="D32" s="8">
        <f t="shared" si="1"/>
        <v>45987</v>
      </c>
      <c r="E32" s="9" t="s">
        <v>11</v>
      </c>
      <c r="F32" s="10"/>
      <c r="G32" s="9" t="s">
        <v>15</v>
      </c>
      <c r="H32" s="7" t="s">
        <v>72</v>
      </c>
      <c r="I32" s="9" t="s">
        <v>13</v>
      </c>
      <c r="J32" s="12"/>
    </row>
    <row r="33">
      <c r="A33" s="6" t="s">
        <v>9</v>
      </c>
      <c r="B33" s="7" t="s">
        <v>73</v>
      </c>
      <c r="C33" s="8">
        <v>45961.36062082176</v>
      </c>
      <c r="D33" s="8">
        <f t="shared" si="1"/>
        <v>45965</v>
      </c>
      <c r="E33" s="9" t="s">
        <v>11</v>
      </c>
      <c r="F33" s="10"/>
      <c r="G33" s="9" t="s">
        <v>21</v>
      </c>
      <c r="H33" s="7" t="s">
        <v>74</v>
      </c>
      <c r="I33" s="9" t="s">
        <v>13</v>
      </c>
      <c r="J33" s="12"/>
    </row>
    <row r="34">
      <c r="A34" s="6" t="s">
        <v>9</v>
      </c>
      <c r="B34" s="7" t="s">
        <v>75</v>
      </c>
      <c r="C34" s="8">
        <v>45958.42842414352</v>
      </c>
      <c r="D34" s="8">
        <f t="shared" si="1"/>
        <v>45960</v>
      </c>
      <c r="E34" s="9" t="s">
        <v>11</v>
      </c>
      <c r="F34" s="10"/>
      <c r="G34" s="9" t="s">
        <v>21</v>
      </c>
      <c r="H34" s="7" t="s">
        <v>76</v>
      </c>
      <c r="I34" s="9" t="s">
        <v>13</v>
      </c>
      <c r="J34" s="12"/>
    </row>
    <row r="35">
      <c r="A35" s="6" t="s">
        <v>9</v>
      </c>
      <c r="B35" s="7" t="s">
        <v>77</v>
      </c>
      <c r="C35" s="8">
        <v>45985.51971320602</v>
      </c>
      <c r="D35" s="8">
        <f t="shared" si="1"/>
        <v>45987</v>
      </c>
      <c r="E35" s="9" t="s">
        <v>11</v>
      </c>
      <c r="F35" s="10"/>
      <c r="G35" s="9" t="s">
        <v>21</v>
      </c>
      <c r="H35" s="7" t="s">
        <v>78</v>
      </c>
      <c r="I35" s="9" t="s">
        <v>13</v>
      </c>
      <c r="J35" s="12"/>
    </row>
    <row r="36">
      <c r="A36" s="6" t="s">
        <v>9</v>
      </c>
      <c r="B36" s="7" t="s">
        <v>79</v>
      </c>
      <c r="C36" s="8">
        <v>45961.36078538194</v>
      </c>
      <c r="D36" s="8">
        <f t="shared" si="1"/>
        <v>45965</v>
      </c>
      <c r="E36" s="9" t="s">
        <v>11</v>
      </c>
      <c r="F36" s="10"/>
      <c r="G36" s="9" t="s">
        <v>21</v>
      </c>
      <c r="H36" s="7" t="s">
        <v>80</v>
      </c>
      <c r="I36" s="9" t="s">
        <v>13</v>
      </c>
      <c r="J36" s="12"/>
    </row>
    <row r="37">
      <c r="A37" s="6" t="s">
        <v>9</v>
      </c>
      <c r="B37" s="7" t="s">
        <v>81</v>
      </c>
      <c r="C37" s="8">
        <v>45919.46267342592</v>
      </c>
      <c r="D37" s="8">
        <f t="shared" si="1"/>
        <v>45923</v>
      </c>
      <c r="E37" s="9" t="s">
        <v>11</v>
      </c>
      <c r="F37" s="10"/>
      <c r="G37" s="9" t="s">
        <v>21</v>
      </c>
      <c r="H37" s="7" t="s">
        <v>82</v>
      </c>
      <c r="I37" s="9" t="s">
        <v>13</v>
      </c>
      <c r="J37" s="12"/>
    </row>
    <row r="38">
      <c r="A38" s="6" t="s">
        <v>9</v>
      </c>
      <c r="B38" s="7" t="s">
        <v>83</v>
      </c>
      <c r="C38" s="8">
        <v>45825.614278900466</v>
      </c>
      <c r="D38" s="8">
        <f t="shared" si="1"/>
        <v>45827</v>
      </c>
      <c r="E38" s="9" t="s">
        <v>11</v>
      </c>
      <c r="F38" s="10"/>
      <c r="G38" s="9" t="s">
        <v>21</v>
      </c>
      <c r="H38" s="7" t="s">
        <v>84</v>
      </c>
      <c r="I38" s="9" t="s">
        <v>13</v>
      </c>
      <c r="J38" s="12"/>
    </row>
    <row r="39">
      <c r="A39" s="6" t="s">
        <v>9</v>
      </c>
      <c r="B39" s="7" t="s">
        <v>85</v>
      </c>
      <c r="C39" s="8">
        <v>45461.33989398148</v>
      </c>
      <c r="D39" s="8">
        <f t="shared" si="1"/>
        <v>45463</v>
      </c>
      <c r="E39" s="9" t="s">
        <v>11</v>
      </c>
      <c r="F39" s="10"/>
      <c r="G39" s="9" t="s">
        <v>21</v>
      </c>
      <c r="H39" s="7" t="s">
        <v>86</v>
      </c>
      <c r="I39" s="9" t="s">
        <v>13</v>
      </c>
      <c r="J39" s="12"/>
    </row>
    <row r="40">
      <c r="A40" s="6" t="s">
        <v>9</v>
      </c>
      <c r="B40" s="7" t="s">
        <v>87</v>
      </c>
      <c r="C40" s="8">
        <v>45376.633258194444</v>
      </c>
      <c r="D40" s="8">
        <f t="shared" si="1"/>
        <v>45378</v>
      </c>
      <c r="E40" s="9" t="s">
        <v>88</v>
      </c>
      <c r="F40" s="8"/>
      <c r="G40" s="9" t="s">
        <v>89</v>
      </c>
      <c r="H40" s="7" t="s">
        <v>90</v>
      </c>
      <c r="I40" s="9" t="s">
        <v>13</v>
      </c>
      <c r="J40" s="12"/>
    </row>
    <row r="41">
      <c r="A41" s="6" t="s">
        <v>9</v>
      </c>
      <c r="B41" s="7" t="s">
        <v>91</v>
      </c>
      <c r="C41" s="8">
        <v>45720.58855047454</v>
      </c>
      <c r="D41" s="8">
        <f t="shared" si="1"/>
        <v>45722</v>
      </c>
      <c r="E41" s="9" t="s">
        <v>11</v>
      </c>
      <c r="F41" s="10"/>
      <c r="G41" s="9" t="s">
        <v>89</v>
      </c>
      <c r="H41" s="7" t="s">
        <v>92</v>
      </c>
      <c r="I41" s="9" t="s">
        <v>13</v>
      </c>
      <c r="J41" s="12"/>
    </row>
    <row r="42">
      <c r="A42" s="6" t="s">
        <v>9</v>
      </c>
      <c r="B42" s="7" t="s">
        <v>93</v>
      </c>
      <c r="C42" s="8">
        <v>45369.34602046297</v>
      </c>
      <c r="D42" s="8">
        <f t="shared" si="1"/>
        <v>45371</v>
      </c>
      <c r="E42" s="9" t="s">
        <v>94</v>
      </c>
      <c r="F42" s="10"/>
      <c r="G42" s="9" t="s">
        <v>89</v>
      </c>
      <c r="H42" s="7" t="s">
        <v>95</v>
      </c>
      <c r="I42" s="9" t="s">
        <v>13</v>
      </c>
      <c r="J42" s="12"/>
    </row>
    <row r="43">
      <c r="A43" s="6" t="s">
        <v>9</v>
      </c>
      <c r="B43" s="7" t="s">
        <v>96</v>
      </c>
      <c r="C43" s="8">
        <v>45960.48718871528</v>
      </c>
      <c r="D43" s="8">
        <f t="shared" si="1"/>
        <v>45964</v>
      </c>
      <c r="E43" s="9" t="s">
        <v>88</v>
      </c>
      <c r="F43" s="10"/>
      <c r="G43" s="9" t="s">
        <v>89</v>
      </c>
      <c r="H43" s="13"/>
      <c r="I43" s="9" t="s">
        <v>13</v>
      </c>
      <c r="J43" s="12"/>
    </row>
    <row r="44">
      <c r="A44" s="6" t="s">
        <v>9</v>
      </c>
      <c r="B44" s="11"/>
      <c r="C44" s="8" t="s">
        <v>11</v>
      </c>
      <c r="D44" s="8" t="str">
        <f t="shared" si="1"/>
        <v>-</v>
      </c>
      <c r="E44" s="9" t="s">
        <v>11</v>
      </c>
      <c r="F44" s="10"/>
      <c r="G44" s="9"/>
      <c r="H44" s="11"/>
      <c r="I44" s="9" t="s">
        <v>13</v>
      </c>
      <c r="J44" s="12"/>
    </row>
    <row r="45">
      <c r="A45" s="6" t="s">
        <v>9</v>
      </c>
      <c r="B45" s="11"/>
      <c r="C45" s="8" t="s">
        <v>11</v>
      </c>
      <c r="D45" s="8" t="str">
        <f t="shared" si="1"/>
        <v>-</v>
      </c>
      <c r="E45" s="9" t="s">
        <v>11</v>
      </c>
      <c r="F45" s="10"/>
      <c r="G45" s="9"/>
      <c r="H45" s="11"/>
      <c r="I45" s="9" t="s">
        <v>13</v>
      </c>
      <c r="J45" s="12"/>
    </row>
    <row r="46">
      <c r="A46" s="6" t="s">
        <v>9</v>
      </c>
      <c r="B46" s="11"/>
      <c r="C46" s="8" t="s">
        <v>11</v>
      </c>
      <c r="D46" s="8" t="str">
        <f t="shared" si="1"/>
        <v>-</v>
      </c>
      <c r="E46" s="9" t="s">
        <v>11</v>
      </c>
      <c r="F46" s="10"/>
      <c r="G46" s="9"/>
      <c r="H46" s="11"/>
      <c r="I46" s="9" t="s">
        <v>13</v>
      </c>
      <c r="J46" s="12"/>
    </row>
    <row r="47">
      <c r="A47" s="6" t="s">
        <v>9</v>
      </c>
      <c r="B47" s="11"/>
      <c r="C47" s="8" t="s">
        <v>11</v>
      </c>
      <c r="D47" s="8" t="str">
        <f t="shared" si="1"/>
        <v>-</v>
      </c>
      <c r="E47" s="9" t="s">
        <v>11</v>
      </c>
      <c r="F47" s="10"/>
      <c r="G47" s="9"/>
      <c r="H47" s="11"/>
      <c r="I47" s="9" t="s">
        <v>13</v>
      </c>
      <c r="J47" s="12"/>
    </row>
    <row r="48">
      <c r="A48" s="6" t="s">
        <v>9</v>
      </c>
      <c r="B48" s="11"/>
      <c r="C48" s="8" t="s">
        <v>11</v>
      </c>
      <c r="D48" s="8" t="str">
        <f t="shared" si="1"/>
        <v>-</v>
      </c>
      <c r="E48" s="9" t="s">
        <v>11</v>
      </c>
      <c r="F48" s="10"/>
      <c r="G48" s="9"/>
      <c r="H48" s="11"/>
      <c r="I48" s="9" t="s">
        <v>13</v>
      </c>
      <c r="J48" s="12"/>
    </row>
    <row r="49">
      <c r="A49" s="6" t="s">
        <v>9</v>
      </c>
      <c r="B49" s="11"/>
      <c r="C49" s="8" t="s">
        <v>11</v>
      </c>
      <c r="D49" s="8" t="str">
        <f t="shared" si="1"/>
        <v>-</v>
      </c>
      <c r="E49" s="9" t="s">
        <v>11</v>
      </c>
      <c r="F49" s="10"/>
      <c r="G49" s="9"/>
      <c r="H49" s="11"/>
      <c r="I49" s="9" t="s">
        <v>13</v>
      </c>
      <c r="J49" s="12"/>
    </row>
    <row r="50">
      <c r="A50" s="6" t="s">
        <v>9</v>
      </c>
      <c r="B50" s="11"/>
      <c r="C50" s="8" t="s">
        <v>11</v>
      </c>
      <c r="D50" s="8" t="str">
        <f t="shared" si="1"/>
        <v>-</v>
      </c>
      <c r="E50" s="9" t="s">
        <v>11</v>
      </c>
      <c r="F50" s="10"/>
      <c r="G50" s="9"/>
      <c r="H50" s="11"/>
      <c r="I50" s="9" t="s">
        <v>13</v>
      </c>
      <c r="J50" s="12"/>
    </row>
    <row r="51">
      <c r="A51" s="6" t="s">
        <v>9</v>
      </c>
      <c r="B51" s="11"/>
      <c r="C51" s="8" t="s">
        <v>11</v>
      </c>
      <c r="D51" s="8" t="str">
        <f t="shared" si="1"/>
        <v>-</v>
      </c>
      <c r="E51" s="9" t="s">
        <v>11</v>
      </c>
      <c r="F51" s="10"/>
      <c r="G51" s="9"/>
      <c r="H51" s="11"/>
      <c r="I51" s="9" t="s">
        <v>13</v>
      </c>
      <c r="J51" s="12"/>
    </row>
    <row r="52">
      <c r="A52" s="6" t="s">
        <v>9</v>
      </c>
      <c r="B52" s="11"/>
      <c r="C52" s="8" t="s">
        <v>11</v>
      </c>
      <c r="D52" s="8" t="str">
        <f t="shared" si="1"/>
        <v>-</v>
      </c>
      <c r="E52" s="9" t="s">
        <v>11</v>
      </c>
      <c r="F52" s="10"/>
      <c r="G52" s="9"/>
      <c r="H52" s="11"/>
      <c r="I52" s="9" t="s">
        <v>13</v>
      </c>
      <c r="J52" s="12"/>
    </row>
    <row r="53">
      <c r="A53" s="6" t="s">
        <v>9</v>
      </c>
      <c r="B53" s="11"/>
      <c r="C53" s="8" t="s">
        <v>11</v>
      </c>
      <c r="D53" s="8" t="str">
        <f t="shared" si="1"/>
        <v>-</v>
      </c>
      <c r="E53" s="9" t="s">
        <v>11</v>
      </c>
      <c r="F53" s="10"/>
      <c r="G53" s="9"/>
      <c r="H53" s="11"/>
      <c r="I53" s="9" t="s">
        <v>13</v>
      </c>
      <c r="J53" s="12"/>
    </row>
    <row r="54">
      <c r="A54" s="6" t="s">
        <v>9</v>
      </c>
      <c r="B54" s="11"/>
      <c r="C54" s="8" t="s">
        <v>11</v>
      </c>
      <c r="D54" s="8" t="str">
        <f t="shared" si="1"/>
        <v>-</v>
      </c>
      <c r="E54" s="9" t="s">
        <v>11</v>
      </c>
      <c r="F54" s="10"/>
      <c r="G54" s="9"/>
      <c r="H54" s="11"/>
      <c r="I54" s="9" t="s">
        <v>13</v>
      </c>
      <c r="J54" s="12"/>
    </row>
    <row r="55">
      <c r="A55" s="6" t="s">
        <v>9</v>
      </c>
      <c r="B55" s="11"/>
      <c r="C55" s="8" t="s">
        <v>11</v>
      </c>
      <c r="D55" s="8" t="str">
        <f t="shared" si="1"/>
        <v>-</v>
      </c>
      <c r="E55" s="9" t="s">
        <v>11</v>
      </c>
      <c r="F55" s="10"/>
      <c r="G55" s="9"/>
      <c r="H55" s="11"/>
      <c r="I55" s="9" t="s">
        <v>13</v>
      </c>
      <c r="J55" s="12"/>
    </row>
    <row r="56">
      <c r="A56" s="6" t="s">
        <v>9</v>
      </c>
      <c r="B56" s="11"/>
      <c r="C56" s="8" t="s">
        <v>11</v>
      </c>
      <c r="D56" s="8" t="str">
        <f t="shared" si="1"/>
        <v>-</v>
      </c>
      <c r="E56" s="9" t="s">
        <v>11</v>
      </c>
      <c r="F56" s="10"/>
      <c r="G56" s="9"/>
      <c r="H56" s="11"/>
      <c r="I56" s="9" t="s">
        <v>13</v>
      </c>
      <c r="J56" s="12"/>
    </row>
    <row r="57">
      <c r="A57" s="6" t="s">
        <v>9</v>
      </c>
      <c r="B57" s="11"/>
      <c r="C57" s="8" t="s">
        <v>11</v>
      </c>
      <c r="D57" s="8" t="str">
        <f t="shared" si="1"/>
        <v>-</v>
      </c>
      <c r="E57" s="9" t="s">
        <v>11</v>
      </c>
      <c r="F57" s="10"/>
      <c r="G57" s="9"/>
      <c r="H57" s="11"/>
      <c r="I57" s="9" t="s">
        <v>13</v>
      </c>
      <c r="J57" s="12"/>
    </row>
    <row r="58">
      <c r="A58" s="6" t="s">
        <v>9</v>
      </c>
      <c r="B58" s="11"/>
      <c r="C58" s="8" t="s">
        <v>11</v>
      </c>
      <c r="D58" s="8" t="str">
        <f t="shared" si="1"/>
        <v>-</v>
      </c>
      <c r="E58" s="9" t="s">
        <v>11</v>
      </c>
      <c r="F58" s="10"/>
      <c r="G58" s="9"/>
      <c r="H58" s="11"/>
      <c r="I58" s="9" t="s">
        <v>13</v>
      </c>
      <c r="J58" s="12"/>
    </row>
    <row r="59">
      <c r="A59" s="6" t="s">
        <v>9</v>
      </c>
      <c r="B59" s="11"/>
      <c r="C59" s="8" t="s">
        <v>11</v>
      </c>
      <c r="D59" s="8" t="str">
        <f t="shared" si="1"/>
        <v>-</v>
      </c>
      <c r="E59" s="9" t="s">
        <v>11</v>
      </c>
      <c r="F59" s="10"/>
      <c r="G59" s="9"/>
      <c r="H59" s="11"/>
      <c r="I59" s="9" t="s">
        <v>13</v>
      </c>
      <c r="J59" s="12"/>
    </row>
    <row r="60">
      <c r="A60" s="6" t="s">
        <v>9</v>
      </c>
      <c r="B60" s="11"/>
      <c r="C60" s="8" t="s">
        <v>11</v>
      </c>
      <c r="D60" s="8" t="str">
        <f t="shared" si="1"/>
        <v>-</v>
      </c>
      <c r="E60" s="9" t="s">
        <v>11</v>
      </c>
      <c r="F60" s="10"/>
      <c r="G60" s="9"/>
      <c r="H60" s="11"/>
      <c r="I60" s="9" t="s">
        <v>13</v>
      </c>
      <c r="J60" s="12"/>
    </row>
    <row r="61">
      <c r="A61" s="6" t="s">
        <v>9</v>
      </c>
      <c r="B61" s="11"/>
      <c r="C61" s="8" t="s">
        <v>11</v>
      </c>
      <c r="D61" s="8" t="str">
        <f t="shared" si="1"/>
        <v>-</v>
      </c>
      <c r="E61" s="9" t="s">
        <v>11</v>
      </c>
      <c r="F61" s="10"/>
      <c r="G61" s="9"/>
      <c r="H61" s="11"/>
      <c r="I61" s="9" t="s">
        <v>13</v>
      </c>
      <c r="J61" s="12"/>
    </row>
    <row r="62">
      <c r="A62" s="6" t="s">
        <v>9</v>
      </c>
      <c r="B62" s="11"/>
      <c r="C62" s="8" t="s">
        <v>11</v>
      </c>
      <c r="D62" s="8" t="str">
        <f t="shared" si="1"/>
        <v>-</v>
      </c>
      <c r="E62" s="9" t="s">
        <v>11</v>
      </c>
      <c r="F62" s="10"/>
      <c r="G62" s="9"/>
      <c r="H62" s="11"/>
      <c r="I62" s="9" t="s">
        <v>13</v>
      </c>
      <c r="J62" s="12"/>
    </row>
    <row r="63">
      <c r="A63" s="6" t="s">
        <v>9</v>
      </c>
      <c r="B63" s="11"/>
      <c r="C63" s="8" t="s">
        <v>11</v>
      </c>
      <c r="D63" s="8" t="str">
        <f t="shared" si="1"/>
        <v>-</v>
      </c>
      <c r="E63" s="9" t="s">
        <v>11</v>
      </c>
      <c r="F63" s="10"/>
      <c r="G63" s="9"/>
      <c r="H63" s="11"/>
      <c r="I63" s="9" t="s">
        <v>13</v>
      </c>
      <c r="J63" s="12"/>
    </row>
    <row r="64">
      <c r="A64" s="6" t="s">
        <v>9</v>
      </c>
      <c r="B64" s="11"/>
      <c r="C64" s="8" t="s">
        <v>11</v>
      </c>
      <c r="D64" s="8" t="str">
        <f t="shared" si="1"/>
        <v>-</v>
      </c>
      <c r="E64" s="9" t="s">
        <v>11</v>
      </c>
      <c r="F64" s="10"/>
      <c r="G64" s="9"/>
      <c r="H64" s="11"/>
      <c r="I64" s="9" t="s">
        <v>13</v>
      </c>
      <c r="J64" s="12"/>
    </row>
    <row r="65">
      <c r="A65" s="6" t="s">
        <v>9</v>
      </c>
      <c r="B65" s="11"/>
      <c r="C65" s="8" t="s">
        <v>11</v>
      </c>
      <c r="D65" s="8" t="str">
        <f t="shared" si="1"/>
        <v>-</v>
      </c>
      <c r="E65" s="9" t="s">
        <v>11</v>
      </c>
      <c r="F65" s="10"/>
      <c r="G65" s="9"/>
      <c r="H65" s="11"/>
      <c r="I65" s="9" t="s">
        <v>13</v>
      </c>
      <c r="J65" s="12"/>
    </row>
    <row r="66">
      <c r="A66" s="6" t="s">
        <v>9</v>
      </c>
      <c r="B66" s="11"/>
      <c r="C66" s="8" t="s">
        <v>11</v>
      </c>
      <c r="D66" s="8" t="str">
        <f t="shared" si="1"/>
        <v>-</v>
      </c>
      <c r="E66" s="9" t="s">
        <v>11</v>
      </c>
      <c r="F66" s="10"/>
      <c r="G66" s="9"/>
      <c r="H66" s="11"/>
      <c r="I66" s="9" t="s">
        <v>13</v>
      </c>
      <c r="J66" s="12"/>
    </row>
    <row r="67">
      <c r="A67" s="6" t="s">
        <v>9</v>
      </c>
      <c r="B67" s="11"/>
      <c r="C67" s="8" t="s">
        <v>11</v>
      </c>
      <c r="D67" s="8" t="str">
        <f t="shared" si="1"/>
        <v>-</v>
      </c>
      <c r="E67" s="9" t="s">
        <v>11</v>
      </c>
      <c r="F67" s="10"/>
      <c r="G67" s="9"/>
      <c r="H67" s="11"/>
      <c r="I67" s="9" t="s">
        <v>13</v>
      </c>
      <c r="J67" s="12"/>
    </row>
    <row r="68">
      <c r="A68" s="6" t="s">
        <v>9</v>
      </c>
      <c r="B68" s="11"/>
      <c r="C68" s="8" t="s">
        <v>11</v>
      </c>
      <c r="D68" s="8" t="str">
        <f t="shared" si="1"/>
        <v>-</v>
      </c>
      <c r="E68" s="9" t="s">
        <v>11</v>
      </c>
      <c r="F68" s="10"/>
      <c r="G68" s="9"/>
      <c r="H68" s="11"/>
      <c r="I68" s="9" t="s">
        <v>13</v>
      </c>
      <c r="J68" s="12"/>
    </row>
    <row r="69">
      <c r="A69" s="6" t="s">
        <v>9</v>
      </c>
      <c r="B69" s="11"/>
      <c r="C69" s="8" t="s">
        <v>11</v>
      </c>
      <c r="D69" s="8" t="str">
        <f t="shared" si="1"/>
        <v>-</v>
      </c>
      <c r="E69" s="9" t="s">
        <v>11</v>
      </c>
      <c r="F69" s="10"/>
      <c r="G69" s="9"/>
      <c r="H69" s="11"/>
      <c r="I69" s="9" t="s">
        <v>13</v>
      </c>
      <c r="J69" s="12"/>
    </row>
    <row r="70">
      <c r="A70" s="6" t="s">
        <v>9</v>
      </c>
      <c r="B70" s="11"/>
      <c r="C70" s="8" t="s">
        <v>11</v>
      </c>
      <c r="D70" s="8" t="str">
        <f t="shared" si="1"/>
        <v>-</v>
      </c>
      <c r="E70" s="9" t="s">
        <v>11</v>
      </c>
      <c r="F70" s="10"/>
      <c r="G70" s="9"/>
      <c r="H70" s="11"/>
      <c r="I70" s="9" t="s">
        <v>13</v>
      </c>
      <c r="J70" s="12"/>
    </row>
    <row r="71">
      <c r="A71" s="6" t="s">
        <v>9</v>
      </c>
      <c r="B71" s="11"/>
      <c r="C71" s="8" t="s">
        <v>11</v>
      </c>
      <c r="D71" s="8" t="str">
        <f t="shared" si="1"/>
        <v>-</v>
      </c>
      <c r="E71" s="9" t="s">
        <v>11</v>
      </c>
      <c r="F71" s="10"/>
      <c r="G71" s="9"/>
      <c r="H71" s="11"/>
      <c r="I71" s="9" t="s">
        <v>13</v>
      </c>
      <c r="J71" s="12"/>
    </row>
    <row r="72">
      <c r="A72" s="6" t="s">
        <v>9</v>
      </c>
      <c r="B72" s="11"/>
      <c r="C72" s="8" t="s">
        <v>11</v>
      </c>
      <c r="D72" s="8" t="str">
        <f t="shared" si="1"/>
        <v>-</v>
      </c>
      <c r="E72" s="9" t="s">
        <v>11</v>
      </c>
      <c r="F72" s="10"/>
      <c r="G72" s="9"/>
      <c r="H72" s="11"/>
      <c r="I72" s="9" t="s">
        <v>13</v>
      </c>
      <c r="J72" s="12"/>
    </row>
    <row r="73">
      <c r="A73" s="6" t="s">
        <v>9</v>
      </c>
      <c r="B73" s="11"/>
      <c r="C73" s="8" t="s">
        <v>11</v>
      </c>
      <c r="D73" s="8" t="str">
        <f t="shared" si="1"/>
        <v>-</v>
      </c>
      <c r="E73" s="9" t="s">
        <v>11</v>
      </c>
      <c r="F73" s="10"/>
      <c r="G73" s="9"/>
      <c r="H73" s="11"/>
      <c r="I73" s="9" t="s">
        <v>13</v>
      </c>
      <c r="J73" s="12"/>
    </row>
    <row r="74">
      <c r="A74" s="6" t="s">
        <v>9</v>
      </c>
      <c r="B74" s="11"/>
      <c r="C74" s="8" t="s">
        <v>11</v>
      </c>
      <c r="D74" s="8" t="str">
        <f t="shared" si="1"/>
        <v>-</v>
      </c>
      <c r="E74" s="9" t="s">
        <v>11</v>
      </c>
      <c r="F74" s="10"/>
      <c r="G74" s="9"/>
      <c r="H74" s="11"/>
      <c r="I74" s="9" t="s">
        <v>13</v>
      </c>
      <c r="J74" s="12"/>
    </row>
    <row r="75">
      <c r="A75" s="6" t="s">
        <v>9</v>
      </c>
      <c r="B75" s="11"/>
      <c r="C75" s="8" t="s">
        <v>11</v>
      </c>
      <c r="D75" s="8" t="str">
        <f t="shared" si="1"/>
        <v>-</v>
      </c>
      <c r="E75" s="9" t="s">
        <v>11</v>
      </c>
      <c r="F75" s="10"/>
      <c r="G75" s="9"/>
      <c r="H75" s="11"/>
      <c r="I75" s="9" t="s">
        <v>13</v>
      </c>
      <c r="J75" s="12"/>
    </row>
    <row r="76">
      <c r="A76" s="6" t="s">
        <v>9</v>
      </c>
      <c r="B76" s="11"/>
      <c r="C76" s="8" t="s">
        <v>11</v>
      </c>
      <c r="D76" s="8" t="str">
        <f t="shared" si="1"/>
        <v>-</v>
      </c>
      <c r="E76" s="9" t="s">
        <v>11</v>
      </c>
      <c r="F76" s="10"/>
      <c r="G76" s="9"/>
      <c r="H76" s="11"/>
      <c r="I76" s="9" t="s">
        <v>13</v>
      </c>
      <c r="J76" s="12"/>
    </row>
    <row r="77">
      <c r="A77" s="6" t="s">
        <v>9</v>
      </c>
      <c r="B77" s="11"/>
      <c r="C77" s="8" t="s">
        <v>11</v>
      </c>
      <c r="D77" s="8" t="str">
        <f t="shared" si="1"/>
        <v>-</v>
      </c>
      <c r="E77" s="9" t="s">
        <v>11</v>
      </c>
      <c r="F77" s="10"/>
      <c r="G77" s="9"/>
      <c r="H77" s="11"/>
      <c r="I77" s="9" t="s">
        <v>13</v>
      </c>
      <c r="J77" s="12"/>
    </row>
    <row r="78">
      <c r="A78" s="6" t="s">
        <v>9</v>
      </c>
      <c r="B78" s="11"/>
      <c r="C78" s="8" t="s">
        <v>11</v>
      </c>
      <c r="D78" s="8" t="str">
        <f t="shared" si="1"/>
        <v>-</v>
      </c>
      <c r="E78" s="9" t="s">
        <v>11</v>
      </c>
      <c r="F78" s="10"/>
      <c r="G78" s="9"/>
      <c r="H78" s="11"/>
      <c r="I78" s="9" t="s">
        <v>13</v>
      </c>
      <c r="J78" s="12"/>
    </row>
    <row r="79">
      <c r="A79" s="6" t="s">
        <v>9</v>
      </c>
      <c r="B79" s="11"/>
      <c r="C79" s="8" t="s">
        <v>11</v>
      </c>
      <c r="D79" s="8" t="str">
        <f t="shared" si="1"/>
        <v>-</v>
      </c>
      <c r="E79" s="9" t="s">
        <v>11</v>
      </c>
      <c r="F79" s="10"/>
      <c r="G79" s="9"/>
      <c r="H79" s="11"/>
      <c r="I79" s="9" t="s">
        <v>13</v>
      </c>
      <c r="J79" s="12"/>
    </row>
    <row r="80">
      <c r="A80" s="6" t="s">
        <v>9</v>
      </c>
      <c r="B80" s="11"/>
      <c r="C80" s="8" t="s">
        <v>11</v>
      </c>
      <c r="D80" s="8" t="str">
        <f t="shared" si="1"/>
        <v>-</v>
      </c>
      <c r="E80" s="9" t="s">
        <v>11</v>
      </c>
      <c r="F80" s="10"/>
      <c r="G80" s="9"/>
      <c r="H80" s="11"/>
      <c r="I80" s="9" t="s">
        <v>13</v>
      </c>
      <c r="J80" s="12"/>
    </row>
    <row r="81">
      <c r="A81" s="6" t="s">
        <v>9</v>
      </c>
      <c r="B81" s="11"/>
      <c r="C81" s="8" t="s">
        <v>11</v>
      </c>
      <c r="D81" s="8" t="str">
        <f t="shared" si="1"/>
        <v>-</v>
      </c>
      <c r="E81" s="9" t="s">
        <v>11</v>
      </c>
      <c r="F81" s="10"/>
      <c r="G81" s="9"/>
      <c r="H81" s="11"/>
      <c r="I81" s="9" t="s">
        <v>13</v>
      </c>
      <c r="J81" s="12"/>
    </row>
    <row r="82">
      <c r="A82" s="6" t="s">
        <v>9</v>
      </c>
      <c r="B82" s="11"/>
      <c r="C82" s="8" t="s">
        <v>11</v>
      </c>
      <c r="D82" s="8" t="str">
        <f t="shared" si="1"/>
        <v>-</v>
      </c>
      <c r="E82" s="9" t="s">
        <v>11</v>
      </c>
      <c r="F82" s="10"/>
      <c r="G82" s="9"/>
      <c r="H82" s="11"/>
      <c r="I82" s="9" t="s">
        <v>13</v>
      </c>
      <c r="J82" s="12"/>
    </row>
    <row r="83">
      <c r="A83" s="6" t="s">
        <v>9</v>
      </c>
      <c r="B83" s="11"/>
      <c r="C83" s="8" t="s">
        <v>11</v>
      </c>
      <c r="D83" s="8" t="str">
        <f t="shared" si="1"/>
        <v>-</v>
      </c>
      <c r="E83" s="9" t="s">
        <v>11</v>
      </c>
      <c r="F83" s="10"/>
      <c r="G83" s="9"/>
      <c r="H83" s="11"/>
      <c r="I83" s="9" t="s">
        <v>13</v>
      </c>
      <c r="J83" s="12"/>
    </row>
    <row r="84">
      <c r="A84" s="6" t="s">
        <v>9</v>
      </c>
      <c r="B84" s="11"/>
      <c r="C84" s="8" t="s">
        <v>11</v>
      </c>
      <c r="D84" s="8" t="str">
        <f t="shared" si="1"/>
        <v>-</v>
      </c>
      <c r="E84" s="9" t="s">
        <v>11</v>
      </c>
      <c r="F84" s="10"/>
      <c r="G84" s="9"/>
      <c r="H84" s="11"/>
      <c r="I84" s="9" t="s">
        <v>13</v>
      </c>
      <c r="J84" s="12"/>
    </row>
    <row r="85">
      <c r="A85" s="6" t="s">
        <v>9</v>
      </c>
      <c r="B85" s="11"/>
      <c r="C85" s="8" t="s">
        <v>11</v>
      </c>
      <c r="D85" s="8" t="str">
        <f t="shared" si="1"/>
        <v>-</v>
      </c>
      <c r="E85" s="9" t="s">
        <v>11</v>
      </c>
      <c r="F85" s="10"/>
      <c r="G85" s="9"/>
      <c r="H85" s="11"/>
      <c r="I85" s="9" t="s">
        <v>13</v>
      </c>
      <c r="J85" s="12"/>
    </row>
    <row r="86">
      <c r="A86" s="6" t="s">
        <v>9</v>
      </c>
      <c r="B86" s="11"/>
      <c r="C86" s="8" t="s">
        <v>11</v>
      </c>
      <c r="D86" s="8" t="str">
        <f t="shared" si="1"/>
        <v>-</v>
      </c>
      <c r="E86" s="9" t="s">
        <v>11</v>
      </c>
      <c r="F86" s="10"/>
      <c r="G86" s="9"/>
      <c r="H86" s="11"/>
      <c r="I86" s="9" t="s">
        <v>13</v>
      </c>
      <c r="J86" s="12"/>
    </row>
    <row r="87">
      <c r="A87" s="6" t="s">
        <v>9</v>
      </c>
      <c r="B87" s="11"/>
      <c r="C87" s="8" t="s">
        <v>11</v>
      </c>
      <c r="D87" s="8" t="str">
        <f t="shared" si="1"/>
        <v>-</v>
      </c>
      <c r="E87" s="9" t="s">
        <v>11</v>
      </c>
      <c r="F87" s="10"/>
      <c r="G87" s="9"/>
      <c r="H87" s="11"/>
      <c r="I87" s="9" t="s">
        <v>13</v>
      </c>
      <c r="J87" s="12"/>
    </row>
    <row r="88">
      <c r="A88" s="6" t="s">
        <v>9</v>
      </c>
      <c r="B88" s="11"/>
      <c r="C88" s="8" t="s">
        <v>11</v>
      </c>
      <c r="D88" s="8" t="str">
        <f t="shared" si="1"/>
        <v>-</v>
      </c>
      <c r="E88" s="9" t="s">
        <v>11</v>
      </c>
      <c r="F88" s="10"/>
      <c r="G88" s="9"/>
      <c r="H88" s="11"/>
      <c r="I88" s="9" t="s">
        <v>13</v>
      </c>
      <c r="J88" s="12"/>
    </row>
    <row r="89">
      <c r="A89" s="6" t="s">
        <v>9</v>
      </c>
      <c r="B89" s="11"/>
      <c r="C89" s="8" t="s">
        <v>11</v>
      </c>
      <c r="D89" s="8" t="str">
        <f t="shared" si="1"/>
        <v>-</v>
      </c>
      <c r="E89" s="9" t="s">
        <v>11</v>
      </c>
      <c r="F89" s="10"/>
      <c r="G89" s="9"/>
      <c r="H89" s="11"/>
      <c r="I89" s="9" t="s">
        <v>13</v>
      </c>
      <c r="J89" s="12"/>
    </row>
    <row r="90">
      <c r="A90" s="6" t="s">
        <v>9</v>
      </c>
      <c r="B90" s="11"/>
      <c r="C90" s="8" t="s">
        <v>11</v>
      </c>
      <c r="D90" s="8" t="str">
        <f t="shared" si="1"/>
        <v>-</v>
      </c>
      <c r="E90" s="9" t="s">
        <v>11</v>
      </c>
      <c r="F90" s="10"/>
      <c r="G90" s="9"/>
      <c r="H90" s="11"/>
      <c r="I90" s="9" t="s">
        <v>13</v>
      </c>
      <c r="J90" s="12"/>
    </row>
    <row r="91">
      <c r="A91" s="6" t="s">
        <v>9</v>
      </c>
      <c r="B91" s="11"/>
      <c r="C91" s="8" t="s">
        <v>11</v>
      </c>
      <c r="D91" s="8" t="str">
        <f t="shared" si="1"/>
        <v>-</v>
      </c>
      <c r="E91" s="9" t="s">
        <v>11</v>
      </c>
      <c r="F91" s="10"/>
      <c r="G91" s="9"/>
      <c r="H91" s="11"/>
      <c r="I91" s="9" t="s">
        <v>13</v>
      </c>
      <c r="J91" s="12"/>
    </row>
    <row r="92">
      <c r="A92" s="6" t="s">
        <v>9</v>
      </c>
      <c r="B92" s="11"/>
      <c r="C92" s="8" t="s">
        <v>11</v>
      </c>
      <c r="D92" s="8" t="str">
        <f t="shared" si="1"/>
        <v>-</v>
      </c>
      <c r="E92" s="9" t="s">
        <v>11</v>
      </c>
      <c r="F92" s="10"/>
      <c r="G92" s="9"/>
      <c r="H92" s="11"/>
      <c r="I92" s="9" t="s">
        <v>13</v>
      </c>
      <c r="J92" s="12"/>
    </row>
    <row r="93">
      <c r="A93" s="6" t="s">
        <v>9</v>
      </c>
      <c r="B93" s="11"/>
      <c r="C93" s="8" t="s">
        <v>11</v>
      </c>
      <c r="D93" s="8" t="str">
        <f t="shared" si="1"/>
        <v>-</v>
      </c>
      <c r="E93" s="9" t="s">
        <v>11</v>
      </c>
      <c r="F93" s="10"/>
      <c r="G93" s="9"/>
      <c r="H93" s="11"/>
      <c r="I93" s="9" t="s">
        <v>13</v>
      </c>
      <c r="J93" s="12"/>
    </row>
    <row r="94">
      <c r="A94" s="6" t="s">
        <v>9</v>
      </c>
      <c r="B94" s="11"/>
      <c r="C94" s="8" t="s">
        <v>11</v>
      </c>
      <c r="D94" s="8" t="str">
        <f t="shared" si="1"/>
        <v>-</v>
      </c>
      <c r="E94" s="9" t="s">
        <v>11</v>
      </c>
      <c r="F94" s="10"/>
      <c r="G94" s="9"/>
      <c r="H94" s="11"/>
      <c r="I94" s="9" t="s">
        <v>13</v>
      </c>
      <c r="J94" s="12"/>
    </row>
    <row r="95">
      <c r="A95" s="6" t="s">
        <v>9</v>
      </c>
      <c r="B95" s="11"/>
      <c r="C95" s="8" t="s">
        <v>11</v>
      </c>
      <c r="D95" s="8" t="str">
        <f t="shared" si="1"/>
        <v>-</v>
      </c>
      <c r="E95" s="9" t="s">
        <v>11</v>
      </c>
      <c r="F95" s="10"/>
      <c r="G95" s="9"/>
      <c r="H95" s="11"/>
      <c r="I95" s="9" t="s">
        <v>13</v>
      </c>
      <c r="J95" s="12"/>
    </row>
    <row r="96">
      <c r="A96" s="6" t="s">
        <v>9</v>
      </c>
      <c r="B96" s="11"/>
      <c r="C96" s="8" t="s">
        <v>11</v>
      </c>
      <c r="D96" s="8" t="str">
        <f t="shared" si="1"/>
        <v>-</v>
      </c>
      <c r="E96" s="9" t="s">
        <v>11</v>
      </c>
      <c r="F96" s="10"/>
      <c r="G96" s="9"/>
      <c r="H96" s="11"/>
      <c r="I96" s="9" t="s">
        <v>13</v>
      </c>
      <c r="J96" s="12"/>
    </row>
    <row r="97">
      <c r="A97" s="6" t="s">
        <v>9</v>
      </c>
      <c r="B97" s="11"/>
      <c r="C97" s="8" t="s">
        <v>11</v>
      </c>
      <c r="D97" s="8" t="str">
        <f t="shared" si="1"/>
        <v>-</v>
      </c>
      <c r="E97" s="9" t="s">
        <v>11</v>
      </c>
      <c r="F97" s="10"/>
      <c r="G97" s="9"/>
      <c r="H97" s="11"/>
      <c r="I97" s="9" t="s">
        <v>13</v>
      </c>
      <c r="J97" s="12"/>
    </row>
    <row r="98">
      <c r="A98" s="6" t="s">
        <v>9</v>
      </c>
      <c r="B98" s="11"/>
      <c r="C98" s="8" t="s">
        <v>11</v>
      </c>
      <c r="D98" s="8" t="str">
        <f t="shared" si="1"/>
        <v>-</v>
      </c>
      <c r="E98" s="9" t="s">
        <v>11</v>
      </c>
      <c r="F98" s="10"/>
      <c r="G98" s="9"/>
      <c r="H98" s="11"/>
      <c r="I98" s="9" t="s">
        <v>13</v>
      </c>
      <c r="J98" s="12"/>
    </row>
    <row r="99">
      <c r="A99" s="6" t="s">
        <v>9</v>
      </c>
      <c r="B99" s="11"/>
      <c r="C99" s="8" t="s">
        <v>11</v>
      </c>
      <c r="D99" s="8" t="str">
        <f t="shared" si="1"/>
        <v>-</v>
      </c>
      <c r="E99" s="9" t="s">
        <v>11</v>
      </c>
      <c r="F99" s="10"/>
      <c r="G99" s="9"/>
      <c r="H99" s="11"/>
      <c r="I99" s="9" t="s">
        <v>13</v>
      </c>
      <c r="J99" s="12"/>
    </row>
    <row r="100">
      <c r="A100" s="6" t="s">
        <v>9</v>
      </c>
      <c r="B100" s="11"/>
      <c r="C100" s="8" t="s">
        <v>11</v>
      </c>
      <c r="D100" s="8" t="str">
        <f t="shared" si="1"/>
        <v>-</v>
      </c>
      <c r="E100" s="9" t="s">
        <v>11</v>
      </c>
      <c r="F100" s="10"/>
      <c r="G100" s="9"/>
      <c r="H100" s="11"/>
      <c r="I100" s="9" t="s">
        <v>13</v>
      </c>
      <c r="J100" s="12"/>
    </row>
    <row r="101">
      <c r="A101" s="6" t="s">
        <v>9</v>
      </c>
      <c r="B101" s="11"/>
      <c r="C101" s="8" t="s">
        <v>11</v>
      </c>
      <c r="D101" s="8" t="str">
        <f t="shared" si="1"/>
        <v>-</v>
      </c>
      <c r="E101" s="9" t="s">
        <v>11</v>
      </c>
      <c r="F101" s="10"/>
      <c r="G101" s="9"/>
      <c r="H101" s="11"/>
      <c r="I101" s="9" t="s">
        <v>13</v>
      </c>
      <c r="J101" s="12"/>
    </row>
    <row r="102">
      <c r="A102" s="6" t="s">
        <v>9</v>
      </c>
      <c r="B102" s="11"/>
      <c r="C102" s="8" t="s">
        <v>11</v>
      </c>
      <c r="D102" s="8" t="str">
        <f t="shared" si="1"/>
        <v>-</v>
      </c>
      <c r="E102" s="9" t="s">
        <v>11</v>
      </c>
      <c r="F102" s="10"/>
      <c r="G102" s="9"/>
      <c r="H102" s="11"/>
      <c r="I102" s="9" t="s">
        <v>13</v>
      </c>
      <c r="J102" s="12"/>
    </row>
    <row r="103">
      <c r="A103" s="6" t="s">
        <v>9</v>
      </c>
      <c r="B103" s="11"/>
      <c r="C103" s="8" t="s">
        <v>11</v>
      </c>
      <c r="D103" s="8" t="str">
        <f t="shared" si="1"/>
        <v>-</v>
      </c>
      <c r="E103" s="9" t="s">
        <v>11</v>
      </c>
      <c r="F103" s="10"/>
      <c r="G103" s="9"/>
      <c r="H103" s="11"/>
      <c r="I103" s="9" t="s">
        <v>13</v>
      </c>
      <c r="J103" s="12"/>
    </row>
    <row r="104">
      <c r="A104" s="6" t="s">
        <v>9</v>
      </c>
      <c r="B104" s="11"/>
      <c r="C104" s="8" t="s">
        <v>11</v>
      </c>
      <c r="D104" s="8" t="str">
        <f t="shared" si="1"/>
        <v>-</v>
      </c>
      <c r="E104" s="9" t="s">
        <v>11</v>
      </c>
      <c r="F104" s="10"/>
      <c r="G104" s="9"/>
      <c r="H104" s="11"/>
      <c r="I104" s="9" t="s">
        <v>13</v>
      </c>
      <c r="J104" s="12"/>
    </row>
    <row r="105">
      <c r="A105" s="6" t="s">
        <v>9</v>
      </c>
      <c r="B105" s="11"/>
      <c r="C105" s="8" t="s">
        <v>11</v>
      </c>
      <c r="D105" s="8" t="str">
        <f t="shared" si="1"/>
        <v>-</v>
      </c>
      <c r="E105" s="9" t="s">
        <v>11</v>
      </c>
      <c r="F105" s="10"/>
      <c r="G105" s="9"/>
      <c r="H105" s="11"/>
      <c r="I105" s="9" t="s">
        <v>13</v>
      </c>
      <c r="J105" s="12"/>
    </row>
    <row r="106">
      <c r="A106" s="6" t="s">
        <v>9</v>
      </c>
      <c r="B106" s="11"/>
      <c r="C106" s="8" t="s">
        <v>11</v>
      </c>
      <c r="D106" s="8" t="str">
        <f t="shared" si="1"/>
        <v>-</v>
      </c>
      <c r="E106" s="9" t="s">
        <v>11</v>
      </c>
      <c r="F106" s="10"/>
      <c r="G106" s="9"/>
      <c r="H106" s="11"/>
      <c r="I106" s="9" t="s">
        <v>13</v>
      </c>
      <c r="J106" s="12"/>
    </row>
    <row r="107">
      <c r="A107" s="6" t="s">
        <v>9</v>
      </c>
      <c r="B107" s="11"/>
      <c r="C107" s="8" t="s">
        <v>11</v>
      </c>
      <c r="D107" s="8" t="str">
        <f t="shared" si="1"/>
        <v>-</v>
      </c>
      <c r="E107" s="9" t="s">
        <v>11</v>
      </c>
      <c r="F107" s="10"/>
      <c r="G107" s="9"/>
      <c r="H107" s="11"/>
      <c r="I107" s="9" t="s">
        <v>13</v>
      </c>
      <c r="J107" s="12"/>
    </row>
    <row r="108">
      <c r="A108" s="6" t="s">
        <v>9</v>
      </c>
      <c r="B108" s="11"/>
      <c r="C108" s="8" t="s">
        <v>11</v>
      </c>
      <c r="D108" s="8" t="str">
        <f t="shared" si="1"/>
        <v>-</v>
      </c>
      <c r="E108" s="9" t="s">
        <v>11</v>
      </c>
      <c r="F108" s="10"/>
      <c r="G108" s="9"/>
      <c r="H108" s="11"/>
      <c r="I108" s="9" t="s">
        <v>13</v>
      </c>
      <c r="J108" s="12"/>
    </row>
    <row r="109">
      <c r="A109" s="6" t="s">
        <v>9</v>
      </c>
      <c r="B109" s="11"/>
      <c r="C109" s="8" t="s">
        <v>11</v>
      </c>
      <c r="D109" s="8" t="str">
        <f t="shared" si="1"/>
        <v>-</v>
      </c>
      <c r="E109" s="9" t="s">
        <v>11</v>
      </c>
      <c r="F109" s="10"/>
      <c r="G109" s="9"/>
      <c r="H109" s="11"/>
      <c r="I109" s="9" t="s">
        <v>13</v>
      </c>
      <c r="J109" s="12"/>
    </row>
    <row r="110">
      <c r="A110" s="6" t="s">
        <v>9</v>
      </c>
      <c r="B110" s="11"/>
      <c r="C110" s="8" t="s">
        <v>11</v>
      </c>
      <c r="D110" s="8" t="str">
        <f t="shared" si="1"/>
        <v>-</v>
      </c>
      <c r="E110" s="9" t="s">
        <v>11</v>
      </c>
      <c r="F110" s="10"/>
      <c r="G110" s="9"/>
      <c r="H110" s="11"/>
      <c r="I110" s="9" t="s">
        <v>13</v>
      </c>
      <c r="J110" s="12"/>
    </row>
    <row r="111">
      <c r="A111" s="6" t="s">
        <v>9</v>
      </c>
      <c r="B111" s="11"/>
      <c r="C111" s="8" t="s">
        <v>11</v>
      </c>
      <c r="D111" s="8" t="str">
        <f t="shared" si="1"/>
        <v>-</v>
      </c>
      <c r="E111" s="9" t="s">
        <v>11</v>
      </c>
      <c r="F111" s="10"/>
      <c r="G111" s="9"/>
      <c r="H111" s="11"/>
      <c r="I111" s="9" t="s">
        <v>13</v>
      </c>
      <c r="J111" s="12"/>
    </row>
    <row r="112">
      <c r="A112" s="6" t="s">
        <v>9</v>
      </c>
      <c r="B112" s="11"/>
      <c r="C112" s="8" t="s">
        <v>11</v>
      </c>
      <c r="D112" s="8" t="str">
        <f t="shared" si="1"/>
        <v>-</v>
      </c>
      <c r="E112" s="9" t="s">
        <v>11</v>
      </c>
      <c r="F112" s="10"/>
      <c r="G112" s="9"/>
      <c r="H112" s="11"/>
      <c r="I112" s="9" t="s">
        <v>13</v>
      </c>
      <c r="J112" s="12"/>
    </row>
    <row r="113">
      <c r="A113" s="6" t="s">
        <v>9</v>
      </c>
      <c r="B113" s="11"/>
      <c r="C113" s="8" t="s">
        <v>11</v>
      </c>
      <c r="D113" s="8" t="str">
        <f t="shared" si="1"/>
        <v>-</v>
      </c>
      <c r="E113" s="9" t="s">
        <v>11</v>
      </c>
      <c r="F113" s="10"/>
      <c r="G113" s="9"/>
      <c r="H113" s="11"/>
      <c r="I113" s="9" t="s">
        <v>13</v>
      </c>
      <c r="J113" s="12"/>
    </row>
    <row r="114">
      <c r="A114" s="6" t="s">
        <v>9</v>
      </c>
      <c r="B114" s="11"/>
      <c r="C114" s="8" t="s">
        <v>11</v>
      </c>
      <c r="D114" s="8" t="str">
        <f t="shared" si="1"/>
        <v>-</v>
      </c>
      <c r="E114" s="9" t="s">
        <v>11</v>
      </c>
      <c r="F114" s="10"/>
      <c r="G114" s="9"/>
      <c r="H114" s="11"/>
      <c r="I114" s="9" t="s">
        <v>13</v>
      </c>
      <c r="J114" s="12"/>
    </row>
    <row r="115">
      <c r="A115" s="6" t="s">
        <v>9</v>
      </c>
      <c r="B115" s="11"/>
      <c r="C115" s="8" t="s">
        <v>11</v>
      </c>
      <c r="D115" s="8" t="str">
        <f t="shared" si="1"/>
        <v>-</v>
      </c>
      <c r="E115" s="9" t="s">
        <v>11</v>
      </c>
      <c r="F115" s="10"/>
      <c r="G115" s="9"/>
      <c r="H115" s="11"/>
      <c r="I115" s="9" t="s">
        <v>13</v>
      </c>
      <c r="J115" s="12"/>
    </row>
    <row r="116">
      <c r="A116" s="6" t="s">
        <v>9</v>
      </c>
      <c r="B116" s="11"/>
      <c r="C116" s="8" t="s">
        <v>11</v>
      </c>
      <c r="D116" s="8" t="str">
        <f t="shared" si="1"/>
        <v>-</v>
      </c>
      <c r="E116" s="9" t="s">
        <v>11</v>
      </c>
      <c r="F116" s="10"/>
      <c r="G116" s="9"/>
      <c r="H116" s="11"/>
      <c r="I116" s="9" t="s">
        <v>13</v>
      </c>
      <c r="J116" s="12"/>
    </row>
    <row r="117">
      <c r="A117" s="6" t="s">
        <v>9</v>
      </c>
      <c r="B117" s="11"/>
      <c r="C117" s="8" t="s">
        <v>11</v>
      </c>
      <c r="D117" s="8" t="str">
        <f t="shared" si="1"/>
        <v>-</v>
      </c>
      <c r="E117" s="9" t="s">
        <v>11</v>
      </c>
      <c r="F117" s="10"/>
      <c r="G117" s="9"/>
      <c r="H117" s="11"/>
      <c r="I117" s="9" t="s">
        <v>13</v>
      </c>
      <c r="J117" s="12"/>
    </row>
    <row r="118">
      <c r="A118" s="6" t="s">
        <v>9</v>
      </c>
      <c r="B118" s="11"/>
      <c r="C118" s="8" t="s">
        <v>11</v>
      </c>
      <c r="D118" s="8" t="str">
        <f t="shared" si="1"/>
        <v>-</v>
      </c>
      <c r="E118" s="9" t="s">
        <v>11</v>
      </c>
      <c r="F118" s="10"/>
      <c r="G118" s="9"/>
      <c r="H118" s="11"/>
      <c r="I118" s="9" t="s">
        <v>13</v>
      </c>
      <c r="J118" s="12"/>
    </row>
    <row r="119">
      <c r="A119" s="6" t="s">
        <v>9</v>
      </c>
      <c r="B119" s="11"/>
      <c r="C119" s="8" t="s">
        <v>11</v>
      </c>
      <c r="D119" s="8" t="str">
        <f t="shared" si="1"/>
        <v>-</v>
      </c>
      <c r="E119" s="9" t="s">
        <v>11</v>
      </c>
      <c r="F119" s="10"/>
      <c r="G119" s="9"/>
      <c r="H119" s="11"/>
      <c r="I119" s="9" t="s">
        <v>13</v>
      </c>
      <c r="J119" s="12"/>
    </row>
    <row r="120">
      <c r="A120" s="6" t="s">
        <v>9</v>
      </c>
      <c r="B120" s="11"/>
      <c r="C120" s="8" t="s">
        <v>11</v>
      </c>
      <c r="D120" s="8" t="str">
        <f t="shared" si="1"/>
        <v>-</v>
      </c>
      <c r="E120" s="9" t="s">
        <v>11</v>
      </c>
      <c r="F120" s="10"/>
      <c r="G120" s="9"/>
      <c r="H120" s="11"/>
      <c r="I120" s="9" t="s">
        <v>13</v>
      </c>
      <c r="J120" s="12"/>
    </row>
    <row r="121">
      <c r="A121" s="6" t="s">
        <v>9</v>
      </c>
      <c r="B121" s="11"/>
      <c r="C121" s="8" t="s">
        <v>11</v>
      </c>
      <c r="D121" s="8" t="str">
        <f t="shared" si="1"/>
        <v>-</v>
      </c>
      <c r="E121" s="9" t="s">
        <v>11</v>
      </c>
      <c r="F121" s="10"/>
      <c r="G121" s="9"/>
      <c r="H121" s="11"/>
      <c r="I121" s="9" t="s">
        <v>13</v>
      </c>
      <c r="J121" s="12"/>
    </row>
    <row r="122">
      <c r="A122" s="6" t="s">
        <v>9</v>
      </c>
      <c r="B122" s="11"/>
      <c r="C122" s="8" t="s">
        <v>11</v>
      </c>
      <c r="D122" s="8" t="str">
        <f t="shared" si="1"/>
        <v>-</v>
      </c>
      <c r="E122" s="9" t="s">
        <v>11</v>
      </c>
      <c r="F122" s="10"/>
      <c r="G122" s="9"/>
      <c r="H122" s="11"/>
      <c r="I122" s="9" t="s">
        <v>13</v>
      </c>
      <c r="J122" s="12"/>
    </row>
    <row r="123">
      <c r="A123" s="6" t="s">
        <v>9</v>
      </c>
      <c r="B123" s="11"/>
      <c r="C123" s="8" t="s">
        <v>11</v>
      </c>
      <c r="D123" s="8" t="str">
        <f t="shared" si="1"/>
        <v>-</v>
      </c>
      <c r="E123" s="9" t="s">
        <v>11</v>
      </c>
      <c r="F123" s="10"/>
      <c r="G123" s="9"/>
      <c r="H123" s="11"/>
      <c r="I123" s="9" t="s">
        <v>13</v>
      </c>
      <c r="J123" s="12"/>
    </row>
    <row r="124">
      <c r="A124" s="6" t="s">
        <v>9</v>
      </c>
      <c r="B124" s="11"/>
      <c r="C124" s="8" t="s">
        <v>11</v>
      </c>
      <c r="D124" s="8" t="str">
        <f t="shared" si="1"/>
        <v>-</v>
      </c>
      <c r="E124" s="9" t="s">
        <v>11</v>
      </c>
      <c r="F124" s="10"/>
      <c r="G124" s="9"/>
      <c r="H124" s="11"/>
      <c r="I124" s="9" t="s">
        <v>13</v>
      </c>
      <c r="J124" s="12"/>
    </row>
    <row r="125">
      <c r="A125" s="6" t="s">
        <v>9</v>
      </c>
      <c r="B125" s="11"/>
      <c r="C125" s="8" t="s">
        <v>11</v>
      </c>
      <c r="D125" s="8" t="str">
        <f t="shared" si="1"/>
        <v>-</v>
      </c>
      <c r="E125" s="9" t="s">
        <v>11</v>
      </c>
      <c r="F125" s="10"/>
      <c r="G125" s="9"/>
      <c r="H125" s="11"/>
      <c r="I125" s="9" t="s">
        <v>13</v>
      </c>
      <c r="J125" s="12"/>
    </row>
    <row r="126">
      <c r="A126" s="6" t="s">
        <v>9</v>
      </c>
      <c r="B126" s="11"/>
      <c r="C126" s="8" t="s">
        <v>11</v>
      </c>
      <c r="D126" s="8" t="str">
        <f t="shared" si="1"/>
        <v>-</v>
      </c>
      <c r="E126" s="9" t="s">
        <v>11</v>
      </c>
      <c r="F126" s="10"/>
      <c r="G126" s="9"/>
      <c r="H126" s="11"/>
      <c r="I126" s="9" t="s">
        <v>13</v>
      </c>
      <c r="J126" s="12"/>
    </row>
    <row r="127">
      <c r="A127" s="6" t="s">
        <v>9</v>
      </c>
      <c r="B127" s="11"/>
      <c r="C127" s="8" t="s">
        <v>11</v>
      </c>
      <c r="D127" s="8" t="str">
        <f t="shared" si="1"/>
        <v>-</v>
      </c>
      <c r="E127" s="9" t="s">
        <v>11</v>
      </c>
      <c r="F127" s="10"/>
      <c r="G127" s="9"/>
      <c r="H127" s="11"/>
      <c r="I127" s="9" t="s">
        <v>13</v>
      </c>
      <c r="J127" s="12"/>
    </row>
    <row r="128">
      <c r="A128" s="6" t="s">
        <v>9</v>
      </c>
      <c r="B128" s="11"/>
      <c r="C128" s="8" t="s">
        <v>11</v>
      </c>
      <c r="D128" s="8" t="str">
        <f t="shared" si="1"/>
        <v>-</v>
      </c>
      <c r="E128" s="9" t="s">
        <v>11</v>
      </c>
      <c r="F128" s="10"/>
      <c r="G128" s="9"/>
      <c r="H128" s="11"/>
      <c r="I128" s="9" t="s">
        <v>13</v>
      </c>
      <c r="J128" s="12"/>
    </row>
    <row r="129">
      <c r="A129" s="6" t="s">
        <v>9</v>
      </c>
      <c r="B129" s="11"/>
      <c r="C129" s="8" t="s">
        <v>11</v>
      </c>
      <c r="D129" s="8" t="str">
        <f t="shared" si="1"/>
        <v>-</v>
      </c>
      <c r="E129" s="9" t="s">
        <v>11</v>
      </c>
      <c r="F129" s="10"/>
      <c r="G129" s="9"/>
      <c r="H129" s="11"/>
      <c r="I129" s="9" t="s">
        <v>13</v>
      </c>
      <c r="J129" s="12"/>
    </row>
    <row r="130">
      <c r="A130" s="6" t="s">
        <v>9</v>
      </c>
      <c r="B130" s="11"/>
      <c r="C130" s="8" t="s">
        <v>11</v>
      </c>
      <c r="D130" s="8" t="str">
        <f t="shared" si="1"/>
        <v>-</v>
      </c>
      <c r="E130" s="9" t="s">
        <v>11</v>
      </c>
      <c r="F130" s="10"/>
      <c r="G130" s="9"/>
      <c r="H130" s="11"/>
      <c r="I130" s="9" t="s">
        <v>13</v>
      </c>
      <c r="J130" s="12"/>
    </row>
    <row r="131">
      <c r="A131" s="6" t="s">
        <v>9</v>
      </c>
      <c r="B131" s="11"/>
      <c r="C131" s="8" t="s">
        <v>11</v>
      </c>
      <c r="D131" s="8" t="str">
        <f t="shared" si="1"/>
        <v>-</v>
      </c>
      <c r="E131" s="9" t="s">
        <v>11</v>
      </c>
      <c r="F131" s="10"/>
      <c r="G131" s="9"/>
      <c r="H131" s="11"/>
      <c r="I131" s="9" t="s">
        <v>13</v>
      </c>
      <c r="J131" s="12"/>
    </row>
    <row r="132">
      <c r="A132" s="6" t="s">
        <v>9</v>
      </c>
      <c r="B132" s="11"/>
      <c r="C132" s="8" t="s">
        <v>11</v>
      </c>
      <c r="D132" s="8" t="str">
        <f t="shared" si="1"/>
        <v>-</v>
      </c>
      <c r="E132" s="9" t="s">
        <v>11</v>
      </c>
      <c r="F132" s="10"/>
      <c r="G132" s="9"/>
      <c r="H132" s="11"/>
      <c r="I132" s="9" t="s">
        <v>13</v>
      </c>
      <c r="J132" s="12"/>
    </row>
    <row r="133">
      <c r="A133" s="6" t="s">
        <v>9</v>
      </c>
      <c r="B133" s="11"/>
      <c r="C133" s="8" t="s">
        <v>11</v>
      </c>
      <c r="D133" s="8" t="str">
        <f t="shared" si="1"/>
        <v>-</v>
      </c>
      <c r="E133" s="9" t="s">
        <v>11</v>
      </c>
      <c r="F133" s="10"/>
      <c r="G133" s="9"/>
      <c r="H133" s="11"/>
      <c r="I133" s="9" t="s">
        <v>13</v>
      </c>
      <c r="J133" s="12"/>
    </row>
    <row r="134">
      <c r="A134" s="6" t="s">
        <v>9</v>
      </c>
      <c r="B134" s="11"/>
      <c r="C134" s="8" t="s">
        <v>11</v>
      </c>
      <c r="D134" s="8" t="str">
        <f t="shared" si="1"/>
        <v>-</v>
      </c>
      <c r="E134" s="9" t="s">
        <v>11</v>
      </c>
      <c r="F134" s="10"/>
      <c r="G134" s="9"/>
      <c r="H134" s="11"/>
      <c r="I134" s="9" t="s">
        <v>13</v>
      </c>
      <c r="J134" s="12"/>
    </row>
    <row r="135">
      <c r="A135" s="6" t="s">
        <v>9</v>
      </c>
      <c r="B135" s="11"/>
      <c r="C135" s="8" t="s">
        <v>11</v>
      </c>
      <c r="D135" s="8" t="str">
        <f t="shared" si="1"/>
        <v>-</v>
      </c>
      <c r="E135" s="9" t="s">
        <v>11</v>
      </c>
      <c r="F135" s="10"/>
      <c r="G135" s="9"/>
      <c r="H135" s="11"/>
      <c r="I135" s="9" t="s">
        <v>13</v>
      </c>
      <c r="J135" s="12"/>
    </row>
    <row r="136">
      <c r="A136" s="6" t="s">
        <v>9</v>
      </c>
      <c r="B136" s="11"/>
      <c r="C136" s="8" t="s">
        <v>11</v>
      </c>
      <c r="D136" s="8" t="str">
        <f t="shared" si="1"/>
        <v>-</v>
      </c>
      <c r="E136" s="9" t="s">
        <v>11</v>
      </c>
      <c r="F136" s="10"/>
      <c r="G136" s="9"/>
      <c r="H136" s="11"/>
      <c r="I136" s="9" t="s">
        <v>13</v>
      </c>
      <c r="J136" s="12"/>
    </row>
    <row r="137">
      <c r="A137" s="6" t="s">
        <v>9</v>
      </c>
      <c r="B137" s="11"/>
      <c r="C137" s="8" t="s">
        <v>11</v>
      </c>
      <c r="D137" s="8" t="str">
        <f t="shared" si="1"/>
        <v>-</v>
      </c>
      <c r="E137" s="9" t="s">
        <v>11</v>
      </c>
      <c r="F137" s="10"/>
      <c r="G137" s="9"/>
      <c r="H137" s="11"/>
      <c r="I137" s="9" t="s">
        <v>13</v>
      </c>
      <c r="J137" s="12"/>
    </row>
    <row r="138">
      <c r="A138" s="6" t="s">
        <v>9</v>
      </c>
      <c r="B138" s="11"/>
      <c r="C138" s="8" t="s">
        <v>11</v>
      </c>
      <c r="D138" s="8" t="str">
        <f t="shared" si="1"/>
        <v>-</v>
      </c>
      <c r="E138" s="9" t="s">
        <v>11</v>
      </c>
      <c r="F138" s="10"/>
      <c r="G138" s="9"/>
      <c r="H138" s="11"/>
      <c r="I138" s="9" t="s">
        <v>13</v>
      </c>
      <c r="J138" s="12"/>
    </row>
    <row r="139">
      <c r="A139" s="6" t="s">
        <v>9</v>
      </c>
      <c r="B139" s="11"/>
      <c r="C139" s="8" t="s">
        <v>11</v>
      </c>
      <c r="D139" s="8" t="str">
        <f t="shared" si="1"/>
        <v>-</v>
      </c>
      <c r="E139" s="9" t="s">
        <v>11</v>
      </c>
      <c r="F139" s="10"/>
      <c r="G139" s="9"/>
      <c r="H139" s="11"/>
      <c r="I139" s="9" t="s">
        <v>13</v>
      </c>
      <c r="J139" s="12"/>
    </row>
    <row r="140">
      <c r="A140" s="6" t="s">
        <v>9</v>
      </c>
      <c r="B140" s="11"/>
      <c r="C140" s="8" t="s">
        <v>11</v>
      </c>
      <c r="D140" s="8" t="str">
        <f t="shared" si="1"/>
        <v>-</v>
      </c>
      <c r="E140" s="9" t="s">
        <v>11</v>
      </c>
      <c r="F140" s="10"/>
      <c r="G140" s="9"/>
      <c r="H140" s="11"/>
      <c r="I140" s="9" t="s">
        <v>13</v>
      </c>
      <c r="J140" s="12"/>
    </row>
    <row r="141">
      <c r="A141" s="6" t="s">
        <v>9</v>
      </c>
      <c r="B141" s="11"/>
      <c r="C141" s="8" t="s">
        <v>11</v>
      </c>
      <c r="D141" s="8" t="str">
        <f t="shared" si="1"/>
        <v>-</v>
      </c>
      <c r="E141" s="9" t="s">
        <v>11</v>
      </c>
      <c r="F141" s="10"/>
      <c r="G141" s="9"/>
      <c r="H141" s="11"/>
      <c r="I141" s="9" t="s">
        <v>13</v>
      </c>
      <c r="J141" s="12"/>
    </row>
    <row r="142">
      <c r="A142" s="6" t="s">
        <v>9</v>
      </c>
      <c r="B142" s="11"/>
      <c r="C142" s="8" t="s">
        <v>11</v>
      </c>
      <c r="D142" s="8" t="str">
        <f t="shared" si="1"/>
        <v>-</v>
      </c>
      <c r="E142" s="9" t="s">
        <v>11</v>
      </c>
      <c r="F142" s="10"/>
      <c r="G142" s="9"/>
      <c r="H142" s="11"/>
      <c r="I142" s="9" t="s">
        <v>13</v>
      </c>
      <c r="J142" s="12"/>
    </row>
    <row r="143">
      <c r="A143" s="6" t="s">
        <v>9</v>
      </c>
      <c r="B143" s="11"/>
      <c r="C143" s="8" t="s">
        <v>11</v>
      </c>
      <c r="D143" s="8" t="str">
        <f t="shared" si="1"/>
        <v>-</v>
      </c>
      <c r="E143" s="9" t="s">
        <v>11</v>
      </c>
      <c r="F143" s="10"/>
      <c r="G143" s="9"/>
      <c r="H143" s="11"/>
      <c r="I143" s="9" t="s">
        <v>13</v>
      </c>
      <c r="J143" s="12"/>
    </row>
    <row r="144">
      <c r="A144" s="6" t="s">
        <v>9</v>
      </c>
      <c r="B144" s="11"/>
      <c r="C144" s="8" t="s">
        <v>11</v>
      </c>
      <c r="D144" s="8" t="str">
        <f t="shared" si="1"/>
        <v>-</v>
      </c>
      <c r="E144" s="9" t="s">
        <v>11</v>
      </c>
      <c r="F144" s="10"/>
      <c r="G144" s="9"/>
      <c r="H144" s="11"/>
      <c r="I144" s="9" t="s">
        <v>13</v>
      </c>
      <c r="J144" s="12"/>
    </row>
    <row r="145">
      <c r="A145" s="6" t="s">
        <v>9</v>
      </c>
      <c r="B145" s="11"/>
      <c r="C145" s="8" t="s">
        <v>11</v>
      </c>
      <c r="D145" s="8" t="str">
        <f t="shared" si="1"/>
        <v>-</v>
      </c>
      <c r="E145" s="9" t="s">
        <v>11</v>
      </c>
      <c r="F145" s="10"/>
      <c r="G145" s="9"/>
      <c r="H145" s="11"/>
      <c r="I145" s="9" t="s">
        <v>13</v>
      </c>
      <c r="J145" s="12"/>
    </row>
    <row r="146">
      <c r="A146" s="6" t="s">
        <v>9</v>
      </c>
      <c r="B146" s="11"/>
      <c r="C146" s="8" t="s">
        <v>11</v>
      </c>
      <c r="D146" s="8" t="str">
        <f t="shared" si="1"/>
        <v>-</v>
      </c>
      <c r="E146" s="9" t="s">
        <v>11</v>
      </c>
      <c r="F146" s="10"/>
      <c r="G146" s="9"/>
      <c r="H146" s="11"/>
      <c r="I146" s="9" t="s">
        <v>13</v>
      </c>
      <c r="J146" s="12"/>
    </row>
    <row r="147">
      <c r="A147" s="6" t="s">
        <v>9</v>
      </c>
      <c r="B147" s="11"/>
      <c r="C147" s="8" t="s">
        <v>11</v>
      </c>
      <c r="D147" s="8" t="str">
        <f t="shared" si="1"/>
        <v>-</v>
      </c>
      <c r="E147" s="9" t="s">
        <v>11</v>
      </c>
      <c r="F147" s="10"/>
      <c r="G147" s="9"/>
      <c r="H147" s="11"/>
      <c r="I147" s="9" t="s">
        <v>13</v>
      </c>
      <c r="J147" s="12"/>
    </row>
    <row r="148">
      <c r="A148" s="6" t="s">
        <v>9</v>
      </c>
      <c r="B148" s="11"/>
      <c r="C148" s="8" t="s">
        <v>11</v>
      </c>
      <c r="D148" s="8" t="str">
        <f t="shared" si="1"/>
        <v>-</v>
      </c>
      <c r="E148" s="9" t="s">
        <v>11</v>
      </c>
      <c r="F148" s="10"/>
      <c r="G148" s="9"/>
      <c r="H148" s="11"/>
      <c r="I148" s="9" t="s">
        <v>13</v>
      </c>
      <c r="J148" s="12"/>
    </row>
    <row r="149">
      <c r="A149" s="6" t="s">
        <v>9</v>
      </c>
      <c r="B149" s="11"/>
      <c r="C149" s="8" t="s">
        <v>11</v>
      </c>
      <c r="D149" s="8" t="str">
        <f t="shared" si="1"/>
        <v>-</v>
      </c>
      <c r="E149" s="9" t="s">
        <v>11</v>
      </c>
      <c r="F149" s="10"/>
      <c r="G149" s="9"/>
      <c r="H149" s="11"/>
      <c r="I149" s="9" t="s">
        <v>13</v>
      </c>
      <c r="J149" s="12"/>
    </row>
    <row r="150">
      <c r="A150" s="6" t="s">
        <v>9</v>
      </c>
      <c r="B150" s="11"/>
      <c r="C150" s="8" t="s">
        <v>11</v>
      </c>
      <c r="D150" s="8" t="str">
        <f t="shared" si="1"/>
        <v>-</v>
      </c>
      <c r="E150" s="9" t="s">
        <v>11</v>
      </c>
      <c r="F150" s="10"/>
      <c r="G150" s="9"/>
      <c r="H150" s="11"/>
      <c r="I150" s="9" t="s">
        <v>13</v>
      </c>
      <c r="J150" s="12"/>
    </row>
    <row r="151">
      <c r="A151" s="6" t="s">
        <v>9</v>
      </c>
      <c r="B151" s="11"/>
      <c r="C151" s="8" t="s">
        <v>11</v>
      </c>
      <c r="D151" s="8" t="str">
        <f t="shared" si="1"/>
        <v>-</v>
      </c>
      <c r="E151" s="9" t="s">
        <v>11</v>
      </c>
      <c r="F151" s="10"/>
      <c r="G151" s="9"/>
      <c r="H151" s="11"/>
      <c r="I151" s="9" t="s">
        <v>13</v>
      </c>
      <c r="J151" s="12"/>
    </row>
    <row r="152">
      <c r="A152" s="6" t="s">
        <v>9</v>
      </c>
      <c r="B152" s="11"/>
      <c r="C152" s="8" t="s">
        <v>11</v>
      </c>
      <c r="D152" s="8" t="str">
        <f t="shared" si="1"/>
        <v>-</v>
      </c>
      <c r="E152" s="9" t="s">
        <v>11</v>
      </c>
      <c r="F152" s="10"/>
      <c r="G152" s="9"/>
      <c r="H152" s="11"/>
      <c r="I152" s="9" t="s">
        <v>13</v>
      </c>
      <c r="J152" s="12"/>
    </row>
    <row r="153">
      <c r="A153" s="6" t="s">
        <v>9</v>
      </c>
      <c r="B153" s="11"/>
      <c r="C153" s="8" t="s">
        <v>11</v>
      </c>
      <c r="D153" s="8" t="str">
        <f t="shared" si="1"/>
        <v>-</v>
      </c>
      <c r="E153" s="9" t="s">
        <v>11</v>
      </c>
      <c r="F153" s="10"/>
      <c r="G153" s="9"/>
      <c r="H153" s="11"/>
      <c r="I153" s="9" t="s">
        <v>13</v>
      </c>
      <c r="J153" s="12"/>
    </row>
    <row r="154">
      <c r="A154" s="6" t="s">
        <v>9</v>
      </c>
      <c r="B154" s="11"/>
      <c r="C154" s="8" t="s">
        <v>11</v>
      </c>
      <c r="D154" s="8" t="str">
        <f t="shared" si="1"/>
        <v>-</v>
      </c>
      <c r="E154" s="9" t="s">
        <v>11</v>
      </c>
      <c r="F154" s="10"/>
      <c r="G154" s="9"/>
      <c r="H154" s="11"/>
      <c r="I154" s="9" t="s">
        <v>13</v>
      </c>
      <c r="J154" s="12"/>
    </row>
    <row r="155">
      <c r="A155" s="6" t="s">
        <v>9</v>
      </c>
      <c r="B155" s="11"/>
      <c r="C155" s="8" t="s">
        <v>11</v>
      </c>
      <c r="D155" s="8" t="str">
        <f t="shared" si="1"/>
        <v>-</v>
      </c>
      <c r="E155" s="9" t="s">
        <v>11</v>
      </c>
      <c r="F155" s="10"/>
      <c r="G155" s="9"/>
      <c r="H155" s="11"/>
      <c r="I155" s="9" t="s">
        <v>13</v>
      </c>
      <c r="J155" s="12"/>
    </row>
    <row r="156">
      <c r="A156" s="6" t="s">
        <v>9</v>
      </c>
      <c r="B156" s="11"/>
      <c r="C156" s="8" t="s">
        <v>11</v>
      </c>
      <c r="D156" s="8" t="str">
        <f t="shared" si="1"/>
        <v>-</v>
      </c>
      <c r="E156" s="9" t="s">
        <v>11</v>
      </c>
      <c r="F156" s="10"/>
      <c r="G156" s="9"/>
      <c r="H156" s="11"/>
      <c r="I156" s="9" t="s">
        <v>13</v>
      </c>
      <c r="J156" s="12"/>
    </row>
    <row r="157">
      <c r="A157" s="6" t="s">
        <v>9</v>
      </c>
      <c r="B157" s="11"/>
      <c r="C157" s="8" t="s">
        <v>11</v>
      </c>
      <c r="D157" s="8" t="str">
        <f t="shared" si="1"/>
        <v>-</v>
      </c>
      <c r="E157" s="9" t="s">
        <v>11</v>
      </c>
      <c r="F157" s="10"/>
      <c r="G157" s="9"/>
      <c r="H157" s="11"/>
      <c r="I157" s="9" t="s">
        <v>13</v>
      </c>
      <c r="J157" s="12"/>
    </row>
    <row r="158">
      <c r="A158" s="6" t="s">
        <v>9</v>
      </c>
      <c r="B158" s="11"/>
      <c r="C158" s="8" t="s">
        <v>11</v>
      </c>
      <c r="D158" s="8" t="str">
        <f t="shared" si="1"/>
        <v>-</v>
      </c>
      <c r="E158" s="9" t="s">
        <v>11</v>
      </c>
      <c r="F158" s="10"/>
      <c r="G158" s="9"/>
      <c r="H158" s="11"/>
      <c r="I158" s="9" t="s">
        <v>13</v>
      </c>
      <c r="J158" s="12"/>
    </row>
    <row r="159">
      <c r="A159" s="6" t="s">
        <v>9</v>
      </c>
      <c r="B159" s="11"/>
      <c r="C159" s="8" t="s">
        <v>11</v>
      </c>
      <c r="D159" s="8" t="str">
        <f t="shared" si="1"/>
        <v>-</v>
      </c>
      <c r="E159" s="9" t="s">
        <v>11</v>
      </c>
      <c r="F159" s="10"/>
      <c r="G159" s="9"/>
      <c r="H159" s="11"/>
      <c r="I159" s="9" t="s">
        <v>13</v>
      </c>
      <c r="J159" s="12"/>
    </row>
    <row r="160">
      <c r="A160" s="6" t="s">
        <v>9</v>
      </c>
      <c r="B160" s="11"/>
      <c r="C160" s="8" t="s">
        <v>11</v>
      </c>
      <c r="D160" s="8" t="str">
        <f t="shared" si="1"/>
        <v>-</v>
      </c>
      <c r="E160" s="9" t="s">
        <v>11</v>
      </c>
      <c r="F160" s="10"/>
      <c r="G160" s="9"/>
      <c r="H160" s="11"/>
      <c r="I160" s="9" t="s">
        <v>13</v>
      </c>
      <c r="J160" s="12"/>
    </row>
    <row r="161">
      <c r="A161" s="6" t="s">
        <v>9</v>
      </c>
      <c r="B161" s="11"/>
      <c r="C161" s="8" t="s">
        <v>11</v>
      </c>
      <c r="D161" s="8" t="str">
        <f t="shared" si="1"/>
        <v>-</v>
      </c>
      <c r="E161" s="9" t="s">
        <v>11</v>
      </c>
      <c r="F161" s="10"/>
      <c r="G161" s="9"/>
      <c r="H161" s="11"/>
      <c r="I161" s="9" t="s">
        <v>13</v>
      </c>
      <c r="J161" s="12"/>
    </row>
    <row r="162">
      <c r="A162" s="6" t="s">
        <v>9</v>
      </c>
      <c r="B162" s="11"/>
      <c r="C162" s="8" t="s">
        <v>11</v>
      </c>
      <c r="D162" s="8" t="str">
        <f t="shared" si="1"/>
        <v>-</v>
      </c>
      <c r="E162" s="9" t="s">
        <v>11</v>
      </c>
      <c r="F162" s="10"/>
      <c r="G162" s="9"/>
      <c r="H162" s="11"/>
      <c r="I162" s="9" t="s">
        <v>13</v>
      </c>
      <c r="J162" s="12"/>
    </row>
    <row r="163">
      <c r="A163" s="6" t="s">
        <v>9</v>
      </c>
      <c r="B163" s="11"/>
      <c r="C163" s="8" t="s">
        <v>11</v>
      </c>
      <c r="D163" s="8" t="str">
        <f t="shared" si="1"/>
        <v>-</v>
      </c>
      <c r="E163" s="9" t="s">
        <v>11</v>
      </c>
      <c r="F163" s="10"/>
      <c r="G163" s="9"/>
      <c r="H163" s="11"/>
      <c r="I163" s="9" t="s">
        <v>13</v>
      </c>
      <c r="J163" s="12"/>
    </row>
    <row r="164">
      <c r="A164" s="6" t="s">
        <v>9</v>
      </c>
      <c r="B164" s="11"/>
      <c r="C164" s="8" t="s">
        <v>11</v>
      </c>
      <c r="D164" s="8" t="str">
        <f t="shared" si="1"/>
        <v>-</v>
      </c>
      <c r="E164" s="9" t="s">
        <v>11</v>
      </c>
      <c r="F164" s="10"/>
      <c r="G164" s="9"/>
      <c r="H164" s="11"/>
      <c r="I164" s="9" t="s">
        <v>13</v>
      </c>
      <c r="J164" s="12"/>
    </row>
    <row r="165">
      <c r="A165" s="6" t="s">
        <v>9</v>
      </c>
      <c r="B165" s="11"/>
      <c r="C165" s="8" t="s">
        <v>11</v>
      </c>
      <c r="D165" s="8" t="str">
        <f t="shared" si="1"/>
        <v>-</v>
      </c>
      <c r="E165" s="9" t="s">
        <v>11</v>
      </c>
      <c r="F165" s="10"/>
      <c r="G165" s="9"/>
      <c r="H165" s="11"/>
      <c r="I165" s="9" t="s">
        <v>13</v>
      </c>
      <c r="J165" s="12"/>
    </row>
    <row r="166">
      <c r="A166" s="6" t="s">
        <v>9</v>
      </c>
      <c r="B166" s="11"/>
      <c r="C166" s="8" t="s">
        <v>11</v>
      </c>
      <c r="D166" s="8" t="str">
        <f t="shared" si="1"/>
        <v>-</v>
      </c>
      <c r="E166" s="9" t="s">
        <v>11</v>
      </c>
      <c r="F166" s="10"/>
      <c r="G166" s="9"/>
      <c r="H166" s="11"/>
      <c r="I166" s="9" t="s">
        <v>13</v>
      </c>
      <c r="J166" s="12"/>
    </row>
    <row r="167">
      <c r="A167" s="6" t="s">
        <v>9</v>
      </c>
      <c r="B167" s="11"/>
      <c r="C167" s="8" t="s">
        <v>11</v>
      </c>
      <c r="D167" s="8" t="str">
        <f t="shared" si="1"/>
        <v>-</v>
      </c>
      <c r="E167" s="9" t="s">
        <v>11</v>
      </c>
      <c r="F167" s="10"/>
      <c r="G167" s="9"/>
      <c r="H167" s="11"/>
      <c r="I167" s="9" t="s">
        <v>13</v>
      </c>
      <c r="J167" s="12"/>
    </row>
    <row r="168">
      <c r="A168" s="6" t="s">
        <v>9</v>
      </c>
      <c r="B168" s="11"/>
      <c r="C168" s="8" t="s">
        <v>11</v>
      </c>
      <c r="D168" s="8" t="str">
        <f t="shared" si="1"/>
        <v>-</v>
      </c>
      <c r="E168" s="9" t="s">
        <v>11</v>
      </c>
      <c r="F168" s="10"/>
      <c r="G168" s="9"/>
      <c r="H168" s="11"/>
      <c r="I168" s="9" t="s">
        <v>13</v>
      </c>
      <c r="J168" s="12"/>
    </row>
    <row r="169">
      <c r="A169" s="6" t="s">
        <v>9</v>
      </c>
      <c r="B169" s="11"/>
      <c r="C169" s="8" t="s">
        <v>11</v>
      </c>
      <c r="D169" s="8" t="str">
        <f t="shared" si="1"/>
        <v>-</v>
      </c>
      <c r="E169" s="9" t="s">
        <v>11</v>
      </c>
      <c r="F169" s="10"/>
      <c r="G169" s="9"/>
      <c r="H169" s="11"/>
      <c r="I169" s="9" t="s">
        <v>13</v>
      </c>
      <c r="J169" s="12"/>
    </row>
    <row r="170">
      <c r="A170" s="6" t="s">
        <v>9</v>
      </c>
      <c r="B170" s="11"/>
      <c r="C170" s="8" t="s">
        <v>11</v>
      </c>
      <c r="D170" s="8" t="str">
        <f t="shared" si="1"/>
        <v>-</v>
      </c>
      <c r="E170" s="9" t="s">
        <v>11</v>
      </c>
      <c r="F170" s="10"/>
      <c r="G170" s="9"/>
      <c r="H170" s="11"/>
      <c r="I170" s="9" t="s">
        <v>13</v>
      </c>
      <c r="J170" s="12"/>
    </row>
    <row r="171">
      <c r="A171" s="6" t="s">
        <v>9</v>
      </c>
      <c r="B171" s="11"/>
      <c r="C171" s="8" t="s">
        <v>11</v>
      </c>
      <c r="D171" s="8" t="str">
        <f t="shared" si="1"/>
        <v>-</v>
      </c>
      <c r="E171" s="9" t="s">
        <v>11</v>
      </c>
      <c r="F171" s="10"/>
      <c r="G171" s="9"/>
      <c r="H171" s="11"/>
      <c r="I171" s="9" t="s">
        <v>13</v>
      </c>
      <c r="J171" s="12"/>
    </row>
    <row r="172">
      <c r="A172" s="6" t="s">
        <v>9</v>
      </c>
      <c r="B172" s="11"/>
      <c r="C172" s="8" t="s">
        <v>11</v>
      </c>
      <c r="D172" s="8" t="str">
        <f t="shared" si="1"/>
        <v>-</v>
      </c>
      <c r="E172" s="9" t="s">
        <v>11</v>
      </c>
      <c r="F172" s="10"/>
      <c r="G172" s="9"/>
      <c r="H172" s="11"/>
      <c r="I172" s="9" t="s">
        <v>13</v>
      </c>
      <c r="J172" s="12"/>
    </row>
    <row r="173">
      <c r="A173" s="6" t="s">
        <v>9</v>
      </c>
      <c r="B173" s="11"/>
      <c r="C173" s="8" t="s">
        <v>11</v>
      </c>
      <c r="D173" s="8" t="str">
        <f t="shared" si="1"/>
        <v>-</v>
      </c>
      <c r="E173" s="9" t="s">
        <v>11</v>
      </c>
      <c r="F173" s="10"/>
      <c r="G173" s="9"/>
      <c r="H173" s="11"/>
      <c r="I173" s="9" t="s">
        <v>13</v>
      </c>
      <c r="J173" s="12"/>
    </row>
    <row r="174">
      <c r="A174" s="6" t="s">
        <v>9</v>
      </c>
      <c r="B174" s="11"/>
      <c r="C174" s="8" t="s">
        <v>11</v>
      </c>
      <c r="D174" s="8" t="str">
        <f t="shared" si="1"/>
        <v>-</v>
      </c>
      <c r="E174" s="9" t="s">
        <v>11</v>
      </c>
      <c r="F174" s="10"/>
      <c r="G174" s="9"/>
      <c r="H174" s="11"/>
      <c r="I174" s="9" t="s">
        <v>13</v>
      </c>
      <c r="J174" s="12"/>
    </row>
    <row r="175">
      <c r="A175" s="6" t="s">
        <v>9</v>
      </c>
      <c r="B175" s="11"/>
      <c r="C175" s="8" t="s">
        <v>11</v>
      </c>
      <c r="D175" s="8" t="str">
        <f t="shared" si="1"/>
        <v>-</v>
      </c>
      <c r="E175" s="9" t="s">
        <v>11</v>
      </c>
      <c r="F175" s="10"/>
      <c r="G175" s="9"/>
      <c r="H175" s="11"/>
      <c r="I175" s="9" t="s">
        <v>13</v>
      </c>
      <c r="J175" s="12"/>
    </row>
    <row r="176">
      <c r="A176" s="6" t="s">
        <v>9</v>
      </c>
      <c r="B176" s="11"/>
      <c r="C176" s="8" t="s">
        <v>11</v>
      </c>
      <c r="D176" s="8" t="str">
        <f t="shared" si="1"/>
        <v>-</v>
      </c>
      <c r="E176" s="9" t="s">
        <v>11</v>
      </c>
      <c r="F176" s="10"/>
      <c r="G176" s="9"/>
      <c r="H176" s="11"/>
      <c r="I176" s="9" t="s">
        <v>13</v>
      </c>
      <c r="J176" s="12"/>
    </row>
    <row r="177">
      <c r="A177" s="6" t="s">
        <v>9</v>
      </c>
      <c r="B177" s="11"/>
      <c r="C177" s="8" t="s">
        <v>11</v>
      </c>
      <c r="D177" s="8" t="str">
        <f t="shared" si="1"/>
        <v>-</v>
      </c>
      <c r="E177" s="9" t="s">
        <v>11</v>
      </c>
      <c r="F177" s="10"/>
      <c r="G177" s="9"/>
      <c r="H177" s="11"/>
      <c r="I177" s="9" t="s">
        <v>13</v>
      </c>
      <c r="J177" s="12"/>
    </row>
    <row r="178">
      <c r="A178" s="6" t="s">
        <v>9</v>
      </c>
      <c r="B178" s="11"/>
      <c r="C178" s="8" t="s">
        <v>11</v>
      </c>
      <c r="D178" s="8" t="str">
        <f t="shared" si="1"/>
        <v>-</v>
      </c>
      <c r="E178" s="9" t="s">
        <v>11</v>
      </c>
      <c r="F178" s="10"/>
      <c r="G178" s="9"/>
      <c r="H178" s="11"/>
      <c r="I178" s="9" t="s">
        <v>13</v>
      </c>
      <c r="J178" s="12"/>
    </row>
    <row r="179">
      <c r="A179" s="6" t="s">
        <v>9</v>
      </c>
      <c r="B179" s="11"/>
      <c r="C179" s="8" t="s">
        <v>11</v>
      </c>
      <c r="D179" s="8" t="str">
        <f t="shared" si="1"/>
        <v>-</v>
      </c>
      <c r="E179" s="9" t="s">
        <v>11</v>
      </c>
      <c r="F179" s="10"/>
      <c r="G179" s="9"/>
      <c r="H179" s="11"/>
      <c r="I179" s="9" t="s">
        <v>13</v>
      </c>
      <c r="J179" s="12"/>
    </row>
    <row r="180">
      <c r="A180" s="6" t="s">
        <v>9</v>
      </c>
      <c r="B180" s="11"/>
      <c r="C180" s="8" t="s">
        <v>11</v>
      </c>
      <c r="D180" s="8" t="str">
        <f t="shared" si="1"/>
        <v>-</v>
      </c>
      <c r="E180" s="9" t="s">
        <v>11</v>
      </c>
      <c r="F180" s="10"/>
      <c r="G180" s="9"/>
      <c r="H180" s="11"/>
      <c r="I180" s="9" t="s">
        <v>13</v>
      </c>
      <c r="J180" s="12"/>
    </row>
    <row r="181">
      <c r="A181" s="6" t="s">
        <v>9</v>
      </c>
      <c r="B181" s="11"/>
      <c r="C181" s="8" t="s">
        <v>11</v>
      </c>
      <c r="D181" s="8" t="str">
        <f t="shared" si="1"/>
        <v>-</v>
      </c>
      <c r="E181" s="9" t="s">
        <v>11</v>
      </c>
      <c r="F181" s="10"/>
      <c r="G181" s="9"/>
      <c r="H181" s="11"/>
      <c r="I181" s="9" t="s">
        <v>13</v>
      </c>
      <c r="J181" s="12"/>
    </row>
    <row r="182">
      <c r="A182" s="6" t="s">
        <v>9</v>
      </c>
      <c r="B182" s="11"/>
      <c r="C182" s="8" t="s">
        <v>11</v>
      </c>
      <c r="D182" s="8" t="str">
        <f t="shared" si="1"/>
        <v>-</v>
      </c>
      <c r="E182" s="9" t="s">
        <v>11</v>
      </c>
      <c r="F182" s="10"/>
      <c r="G182" s="9"/>
      <c r="H182" s="11"/>
      <c r="I182" s="9" t="s">
        <v>13</v>
      </c>
      <c r="J182" s="12"/>
    </row>
    <row r="183">
      <c r="A183" s="6" t="s">
        <v>9</v>
      </c>
      <c r="B183" s="11"/>
      <c r="C183" s="8" t="s">
        <v>11</v>
      </c>
      <c r="D183" s="8" t="str">
        <f t="shared" si="1"/>
        <v>-</v>
      </c>
      <c r="E183" s="9" t="s">
        <v>11</v>
      </c>
      <c r="F183" s="10"/>
      <c r="G183" s="9"/>
      <c r="H183" s="11"/>
      <c r="I183" s="9" t="s">
        <v>13</v>
      </c>
      <c r="J183" s="12"/>
    </row>
    <row r="184">
      <c r="A184" s="6" t="s">
        <v>9</v>
      </c>
      <c r="B184" s="11"/>
      <c r="C184" s="8" t="s">
        <v>11</v>
      </c>
      <c r="D184" s="8" t="str">
        <f t="shared" si="1"/>
        <v>-</v>
      </c>
      <c r="E184" s="9" t="s">
        <v>11</v>
      </c>
      <c r="F184" s="10"/>
      <c r="G184" s="9"/>
      <c r="H184" s="11"/>
      <c r="I184" s="9" t="s">
        <v>13</v>
      </c>
      <c r="J184" s="12"/>
    </row>
    <row r="185">
      <c r="A185" s="6" t="s">
        <v>9</v>
      </c>
      <c r="B185" s="11"/>
      <c r="C185" s="8" t="s">
        <v>11</v>
      </c>
      <c r="D185" s="8" t="str">
        <f t="shared" si="1"/>
        <v>-</v>
      </c>
      <c r="E185" s="9" t="s">
        <v>11</v>
      </c>
      <c r="F185" s="10"/>
      <c r="G185" s="9"/>
      <c r="H185" s="11"/>
      <c r="I185" s="9" t="s">
        <v>13</v>
      </c>
      <c r="J185" s="12"/>
    </row>
    <row r="186">
      <c r="A186" s="6" t="s">
        <v>9</v>
      </c>
      <c r="B186" s="11"/>
      <c r="C186" s="8" t="s">
        <v>11</v>
      </c>
      <c r="D186" s="8" t="str">
        <f t="shared" si="1"/>
        <v>-</v>
      </c>
      <c r="E186" s="9" t="s">
        <v>11</v>
      </c>
      <c r="F186" s="10"/>
      <c r="G186" s="9"/>
      <c r="H186" s="11"/>
      <c r="I186" s="9" t="s">
        <v>13</v>
      </c>
      <c r="J186" s="12"/>
    </row>
    <row r="187">
      <c r="A187" s="6" t="s">
        <v>9</v>
      </c>
      <c r="B187" s="11"/>
      <c r="C187" s="8" t="s">
        <v>11</v>
      </c>
      <c r="D187" s="8" t="str">
        <f t="shared" si="1"/>
        <v>-</v>
      </c>
      <c r="E187" s="9" t="s">
        <v>11</v>
      </c>
      <c r="F187" s="10"/>
      <c r="G187" s="9"/>
      <c r="H187" s="11"/>
      <c r="I187" s="9" t="s">
        <v>13</v>
      </c>
      <c r="J187" s="12"/>
    </row>
    <row r="188">
      <c r="A188" s="6" t="s">
        <v>9</v>
      </c>
      <c r="B188" s="11"/>
      <c r="C188" s="8" t="s">
        <v>11</v>
      </c>
      <c r="D188" s="8" t="str">
        <f t="shared" si="1"/>
        <v>-</v>
      </c>
      <c r="E188" s="9" t="s">
        <v>11</v>
      </c>
      <c r="F188" s="10"/>
      <c r="G188" s="9"/>
      <c r="H188" s="11"/>
      <c r="I188" s="9" t="s">
        <v>13</v>
      </c>
      <c r="J188" s="12"/>
    </row>
    <row r="189">
      <c r="A189" s="6" t="s">
        <v>9</v>
      </c>
      <c r="B189" s="11"/>
      <c r="C189" s="8" t="s">
        <v>11</v>
      </c>
      <c r="D189" s="8" t="str">
        <f t="shared" si="1"/>
        <v>-</v>
      </c>
      <c r="E189" s="9" t="s">
        <v>11</v>
      </c>
      <c r="F189" s="10"/>
      <c r="G189" s="9"/>
      <c r="H189" s="11"/>
      <c r="I189" s="9" t="s">
        <v>13</v>
      </c>
      <c r="J189" s="12"/>
    </row>
    <row r="190">
      <c r="A190" s="6" t="s">
        <v>9</v>
      </c>
      <c r="B190" s="11"/>
      <c r="C190" s="8" t="s">
        <v>11</v>
      </c>
      <c r="D190" s="8" t="str">
        <f t="shared" si="1"/>
        <v>-</v>
      </c>
      <c r="E190" s="9" t="s">
        <v>11</v>
      </c>
      <c r="F190" s="10"/>
      <c r="G190" s="9"/>
      <c r="H190" s="11"/>
      <c r="I190" s="9" t="s">
        <v>13</v>
      </c>
      <c r="J190" s="12"/>
    </row>
    <row r="191">
      <c r="A191" s="6" t="s">
        <v>9</v>
      </c>
      <c r="B191" s="11"/>
      <c r="C191" s="8" t="s">
        <v>11</v>
      </c>
      <c r="D191" s="8" t="str">
        <f t="shared" si="1"/>
        <v>-</v>
      </c>
      <c r="E191" s="9" t="s">
        <v>11</v>
      </c>
      <c r="F191" s="10"/>
      <c r="G191" s="9"/>
      <c r="H191" s="11"/>
      <c r="I191" s="9" t="s">
        <v>13</v>
      </c>
      <c r="J191" s="12"/>
    </row>
    <row r="192">
      <c r="A192" s="6" t="s">
        <v>9</v>
      </c>
      <c r="B192" s="11"/>
      <c r="C192" s="8" t="s">
        <v>11</v>
      </c>
      <c r="D192" s="8" t="str">
        <f t="shared" si="1"/>
        <v>-</v>
      </c>
      <c r="E192" s="9" t="s">
        <v>11</v>
      </c>
      <c r="F192" s="10"/>
      <c r="G192" s="9"/>
      <c r="H192" s="11"/>
      <c r="I192" s="9" t="s">
        <v>13</v>
      </c>
      <c r="J192" s="12"/>
    </row>
    <row r="193">
      <c r="A193" s="6" t="s">
        <v>9</v>
      </c>
      <c r="B193" s="11"/>
      <c r="C193" s="8" t="s">
        <v>11</v>
      </c>
      <c r="D193" s="8" t="str">
        <f t="shared" si="1"/>
        <v>-</v>
      </c>
      <c r="E193" s="9" t="s">
        <v>11</v>
      </c>
      <c r="F193" s="10"/>
      <c r="G193" s="9"/>
      <c r="H193" s="11"/>
      <c r="I193" s="9" t="s">
        <v>13</v>
      </c>
      <c r="J193" s="12"/>
    </row>
    <row r="194">
      <c r="A194" s="6" t="s">
        <v>9</v>
      </c>
      <c r="B194" s="11"/>
      <c r="C194" s="8" t="s">
        <v>11</v>
      </c>
      <c r="D194" s="8" t="str">
        <f t="shared" si="1"/>
        <v>-</v>
      </c>
      <c r="E194" s="9" t="s">
        <v>11</v>
      </c>
      <c r="F194" s="10"/>
      <c r="G194" s="9"/>
      <c r="H194" s="11"/>
      <c r="I194" s="9" t="s">
        <v>13</v>
      </c>
      <c r="J194" s="12"/>
    </row>
    <row r="195">
      <c r="A195" s="6" t="s">
        <v>9</v>
      </c>
      <c r="B195" s="11"/>
      <c r="C195" s="8" t="s">
        <v>11</v>
      </c>
      <c r="D195" s="8" t="str">
        <f t="shared" si="1"/>
        <v>-</v>
      </c>
      <c r="E195" s="9" t="s">
        <v>11</v>
      </c>
      <c r="F195" s="10"/>
      <c r="G195" s="9"/>
      <c r="H195" s="11"/>
      <c r="I195" s="9" t="s">
        <v>13</v>
      </c>
      <c r="J195" s="12"/>
    </row>
    <row r="196">
      <c r="A196" s="6" t="s">
        <v>9</v>
      </c>
      <c r="B196" s="11"/>
      <c r="C196" s="8" t="s">
        <v>11</v>
      </c>
      <c r="D196" s="8" t="str">
        <f t="shared" si="1"/>
        <v>-</v>
      </c>
      <c r="E196" s="9" t="s">
        <v>11</v>
      </c>
      <c r="F196" s="10"/>
      <c r="G196" s="9"/>
      <c r="H196" s="11"/>
      <c r="I196" s="9" t="s">
        <v>13</v>
      </c>
      <c r="J196" s="12"/>
    </row>
    <row r="197">
      <c r="A197" s="6" t="s">
        <v>9</v>
      </c>
      <c r="B197" s="11"/>
      <c r="C197" s="8" t="s">
        <v>11</v>
      </c>
      <c r="D197" s="8" t="str">
        <f t="shared" si="1"/>
        <v>-</v>
      </c>
      <c r="E197" s="9" t="s">
        <v>11</v>
      </c>
      <c r="F197" s="10"/>
      <c r="G197" s="9"/>
      <c r="H197" s="11"/>
      <c r="I197" s="9" t="s">
        <v>13</v>
      </c>
      <c r="J197" s="12"/>
    </row>
    <row r="198">
      <c r="A198" s="6" t="s">
        <v>9</v>
      </c>
      <c r="B198" s="11"/>
      <c r="C198" s="8" t="s">
        <v>11</v>
      </c>
      <c r="D198" s="8" t="str">
        <f t="shared" si="1"/>
        <v>-</v>
      </c>
      <c r="E198" s="9" t="s">
        <v>11</v>
      </c>
      <c r="F198" s="10"/>
      <c r="G198" s="9"/>
      <c r="H198" s="11"/>
      <c r="I198" s="9" t="s">
        <v>13</v>
      </c>
      <c r="J198" s="12"/>
    </row>
    <row r="199">
      <c r="A199" s="6" t="s">
        <v>9</v>
      </c>
      <c r="B199" s="11"/>
      <c r="C199" s="8" t="s">
        <v>11</v>
      </c>
      <c r="D199" s="8" t="str">
        <f t="shared" si="1"/>
        <v>-</v>
      </c>
      <c r="E199" s="9" t="s">
        <v>11</v>
      </c>
      <c r="F199" s="10"/>
      <c r="G199" s="9"/>
      <c r="H199" s="11"/>
      <c r="I199" s="9" t="s">
        <v>13</v>
      </c>
      <c r="J199" s="12"/>
    </row>
    <row r="200">
      <c r="A200" s="6" t="s">
        <v>9</v>
      </c>
      <c r="B200" s="11"/>
      <c r="C200" s="8" t="s">
        <v>11</v>
      </c>
      <c r="D200" s="8" t="str">
        <f t="shared" si="1"/>
        <v>-</v>
      </c>
      <c r="E200" s="9" t="s">
        <v>11</v>
      </c>
      <c r="F200" s="10"/>
      <c r="G200" s="9"/>
      <c r="H200" s="11"/>
      <c r="I200" s="9" t="s">
        <v>13</v>
      </c>
      <c r="J200" s="12"/>
    </row>
    <row r="201">
      <c r="A201" s="6" t="s">
        <v>9</v>
      </c>
      <c r="B201" s="11"/>
      <c r="C201" s="8" t="s">
        <v>11</v>
      </c>
      <c r="D201" s="8" t="str">
        <f t="shared" si="1"/>
        <v>-</v>
      </c>
      <c r="E201" s="9" t="s">
        <v>11</v>
      </c>
      <c r="F201" s="10"/>
      <c r="G201" s="9"/>
      <c r="H201" s="11"/>
      <c r="I201" s="9" t="s">
        <v>13</v>
      </c>
      <c r="J201" s="12"/>
    </row>
    <row r="202">
      <c r="A202" s="6" t="s">
        <v>9</v>
      </c>
      <c r="B202" s="11"/>
      <c r="C202" s="8" t="s">
        <v>11</v>
      </c>
      <c r="D202" s="8" t="str">
        <f t="shared" si="1"/>
        <v>-</v>
      </c>
      <c r="E202" s="9" t="s">
        <v>11</v>
      </c>
      <c r="F202" s="10"/>
      <c r="G202" s="9"/>
      <c r="H202" s="11"/>
      <c r="I202" s="9" t="s">
        <v>13</v>
      </c>
      <c r="J202" s="12"/>
    </row>
    <row r="203">
      <c r="A203" s="6" t="s">
        <v>9</v>
      </c>
      <c r="B203" s="11"/>
      <c r="C203" s="8" t="s">
        <v>11</v>
      </c>
      <c r="D203" s="8" t="str">
        <f t="shared" si="1"/>
        <v>-</v>
      </c>
      <c r="E203" s="9" t="s">
        <v>11</v>
      </c>
      <c r="F203" s="10"/>
      <c r="G203" s="9"/>
      <c r="H203" s="11"/>
      <c r="I203" s="9" t="s">
        <v>13</v>
      </c>
      <c r="J203" s="12"/>
    </row>
    <row r="204">
      <c r="A204" s="6" t="s">
        <v>9</v>
      </c>
      <c r="B204" s="11"/>
      <c r="C204" s="8" t="s">
        <v>11</v>
      </c>
      <c r="D204" s="8" t="str">
        <f t="shared" si="1"/>
        <v>-</v>
      </c>
      <c r="E204" s="9" t="s">
        <v>11</v>
      </c>
      <c r="F204" s="10"/>
      <c r="G204" s="9"/>
      <c r="H204" s="11"/>
      <c r="I204" s="9" t="s">
        <v>13</v>
      </c>
      <c r="J204" s="12"/>
    </row>
    <row r="205">
      <c r="A205" s="6" t="s">
        <v>9</v>
      </c>
      <c r="B205" s="11"/>
      <c r="C205" s="8" t="s">
        <v>11</v>
      </c>
      <c r="D205" s="8" t="str">
        <f t="shared" si="1"/>
        <v>-</v>
      </c>
      <c r="E205" s="9" t="s">
        <v>11</v>
      </c>
      <c r="F205" s="10"/>
      <c r="G205" s="9"/>
      <c r="H205" s="11"/>
      <c r="I205" s="9" t="s">
        <v>13</v>
      </c>
      <c r="J205" s="12"/>
    </row>
    <row r="206">
      <c r="A206" s="6" t="s">
        <v>9</v>
      </c>
      <c r="B206" s="11"/>
      <c r="C206" s="8" t="s">
        <v>11</v>
      </c>
      <c r="D206" s="8" t="str">
        <f t="shared" si="1"/>
        <v>-</v>
      </c>
      <c r="E206" s="9" t="s">
        <v>11</v>
      </c>
      <c r="F206" s="10"/>
      <c r="G206" s="9"/>
      <c r="H206" s="11"/>
      <c r="I206" s="9" t="s">
        <v>13</v>
      </c>
      <c r="J206" s="12"/>
    </row>
    <row r="207">
      <c r="A207" s="6" t="s">
        <v>9</v>
      </c>
      <c r="B207" s="11"/>
      <c r="C207" s="8" t="s">
        <v>11</v>
      </c>
      <c r="D207" s="8" t="str">
        <f t="shared" si="1"/>
        <v>-</v>
      </c>
      <c r="E207" s="9" t="s">
        <v>11</v>
      </c>
      <c r="F207" s="10"/>
      <c r="G207" s="9"/>
      <c r="H207" s="11"/>
      <c r="I207" s="9" t="s">
        <v>13</v>
      </c>
      <c r="J207" s="12"/>
    </row>
    <row r="208">
      <c r="A208" s="6" t="s">
        <v>9</v>
      </c>
      <c r="B208" s="11"/>
      <c r="C208" s="8" t="s">
        <v>11</v>
      </c>
      <c r="D208" s="8" t="str">
        <f t="shared" si="1"/>
        <v>-</v>
      </c>
      <c r="E208" s="9" t="s">
        <v>11</v>
      </c>
      <c r="F208" s="10"/>
      <c r="G208" s="9"/>
      <c r="H208" s="11"/>
      <c r="I208" s="9" t="s">
        <v>13</v>
      </c>
      <c r="J208" s="12"/>
    </row>
    <row r="209">
      <c r="A209" s="6" t="s">
        <v>9</v>
      </c>
      <c r="B209" s="11"/>
      <c r="C209" s="8" t="s">
        <v>11</v>
      </c>
      <c r="D209" s="8" t="str">
        <f t="shared" si="1"/>
        <v>-</v>
      </c>
      <c r="E209" s="9" t="s">
        <v>11</v>
      </c>
      <c r="F209" s="10"/>
      <c r="G209" s="9"/>
      <c r="H209" s="11"/>
      <c r="I209" s="9" t="s">
        <v>13</v>
      </c>
      <c r="J209" s="12"/>
    </row>
    <row r="210">
      <c r="A210" s="6" t="s">
        <v>9</v>
      </c>
      <c r="B210" s="11"/>
      <c r="C210" s="8" t="s">
        <v>11</v>
      </c>
      <c r="D210" s="8" t="str">
        <f t="shared" si="1"/>
        <v>-</v>
      </c>
      <c r="E210" s="9" t="s">
        <v>11</v>
      </c>
      <c r="F210" s="10"/>
      <c r="G210" s="9"/>
      <c r="H210" s="11"/>
      <c r="I210" s="9" t="s">
        <v>13</v>
      </c>
      <c r="J210" s="12"/>
    </row>
    <row r="211">
      <c r="A211" s="6" t="s">
        <v>9</v>
      </c>
      <c r="B211" s="11"/>
      <c r="C211" s="8" t="s">
        <v>11</v>
      </c>
      <c r="D211" s="8" t="str">
        <f t="shared" si="1"/>
        <v>-</v>
      </c>
      <c r="E211" s="9" t="s">
        <v>11</v>
      </c>
      <c r="F211" s="10"/>
      <c r="G211" s="9"/>
      <c r="H211" s="11"/>
      <c r="I211" s="9" t="s">
        <v>13</v>
      </c>
      <c r="J211" s="12"/>
    </row>
    <row r="212">
      <c r="A212" s="6" t="s">
        <v>9</v>
      </c>
      <c r="B212" s="11"/>
      <c r="C212" s="8" t="s">
        <v>11</v>
      </c>
      <c r="D212" s="8" t="str">
        <f t="shared" si="1"/>
        <v>-</v>
      </c>
      <c r="E212" s="9" t="s">
        <v>11</v>
      </c>
      <c r="F212" s="10"/>
      <c r="G212" s="9"/>
      <c r="H212" s="11"/>
      <c r="I212" s="9" t="s">
        <v>13</v>
      </c>
      <c r="J212" s="12"/>
    </row>
    <row r="213">
      <c r="A213" s="6" t="s">
        <v>9</v>
      </c>
      <c r="B213" s="11"/>
      <c r="C213" s="8" t="s">
        <v>11</v>
      </c>
      <c r="D213" s="8" t="str">
        <f t="shared" si="1"/>
        <v>-</v>
      </c>
      <c r="E213" s="9" t="s">
        <v>11</v>
      </c>
      <c r="F213" s="10"/>
      <c r="G213" s="9"/>
      <c r="H213" s="11"/>
      <c r="I213" s="9" t="s">
        <v>13</v>
      </c>
      <c r="J213" s="12"/>
    </row>
    <row r="214">
      <c r="A214" s="6" t="s">
        <v>9</v>
      </c>
      <c r="B214" s="11"/>
      <c r="C214" s="8" t="s">
        <v>11</v>
      </c>
      <c r="D214" s="8" t="str">
        <f t="shared" si="1"/>
        <v>-</v>
      </c>
      <c r="E214" s="9" t="s">
        <v>11</v>
      </c>
      <c r="F214" s="10"/>
      <c r="G214" s="9"/>
      <c r="H214" s="11"/>
      <c r="I214" s="9" t="s">
        <v>13</v>
      </c>
      <c r="J214" s="12"/>
    </row>
    <row r="215">
      <c r="A215" s="6" t="s">
        <v>9</v>
      </c>
      <c r="B215" s="11"/>
      <c r="C215" s="8" t="s">
        <v>11</v>
      </c>
      <c r="D215" s="8" t="str">
        <f t="shared" si="1"/>
        <v>-</v>
      </c>
      <c r="E215" s="9" t="s">
        <v>11</v>
      </c>
      <c r="F215" s="10"/>
      <c r="G215" s="9"/>
      <c r="H215" s="11"/>
      <c r="I215" s="9" t="s">
        <v>13</v>
      </c>
      <c r="J215" s="12"/>
    </row>
    <row r="216">
      <c r="A216" s="6" t="s">
        <v>9</v>
      </c>
      <c r="B216" s="11"/>
      <c r="C216" s="8" t="s">
        <v>11</v>
      </c>
      <c r="D216" s="8" t="str">
        <f t="shared" si="1"/>
        <v>-</v>
      </c>
      <c r="E216" s="9" t="s">
        <v>11</v>
      </c>
      <c r="F216" s="10"/>
      <c r="G216" s="9"/>
      <c r="H216" s="11"/>
      <c r="I216" s="9" t="s">
        <v>13</v>
      </c>
      <c r="J216" s="12"/>
    </row>
    <row r="217">
      <c r="A217" s="6" t="s">
        <v>9</v>
      </c>
      <c r="B217" s="11"/>
      <c r="C217" s="8" t="s">
        <v>11</v>
      </c>
      <c r="D217" s="8" t="str">
        <f t="shared" si="1"/>
        <v>-</v>
      </c>
      <c r="E217" s="9" t="s">
        <v>11</v>
      </c>
      <c r="F217" s="10"/>
      <c r="G217" s="9"/>
      <c r="H217" s="11"/>
      <c r="I217" s="9" t="s">
        <v>13</v>
      </c>
      <c r="J217" s="12"/>
    </row>
    <row r="218">
      <c r="A218" s="6" t="s">
        <v>9</v>
      </c>
      <c r="B218" s="11"/>
      <c r="C218" s="8" t="s">
        <v>11</v>
      </c>
      <c r="D218" s="8" t="str">
        <f t="shared" si="1"/>
        <v>-</v>
      </c>
      <c r="E218" s="9" t="s">
        <v>11</v>
      </c>
      <c r="F218" s="10"/>
      <c r="G218" s="9"/>
      <c r="H218" s="11"/>
      <c r="I218" s="9" t="s">
        <v>13</v>
      </c>
      <c r="J218" s="12"/>
    </row>
    <row r="219">
      <c r="A219" s="6" t="s">
        <v>9</v>
      </c>
      <c r="B219" s="11"/>
      <c r="C219" s="8" t="s">
        <v>11</v>
      </c>
      <c r="D219" s="8" t="str">
        <f t="shared" si="1"/>
        <v>-</v>
      </c>
      <c r="E219" s="9" t="s">
        <v>11</v>
      </c>
      <c r="F219" s="10"/>
      <c r="G219" s="9"/>
      <c r="H219" s="11"/>
      <c r="I219" s="9" t="s">
        <v>13</v>
      </c>
      <c r="J219" s="12"/>
    </row>
    <row r="220">
      <c r="A220" s="6" t="s">
        <v>9</v>
      </c>
      <c r="B220" s="11"/>
      <c r="C220" s="8" t="s">
        <v>11</v>
      </c>
      <c r="D220" s="8" t="str">
        <f t="shared" si="1"/>
        <v>-</v>
      </c>
      <c r="E220" s="9" t="s">
        <v>11</v>
      </c>
      <c r="F220" s="10"/>
      <c r="G220" s="9"/>
      <c r="H220" s="11"/>
      <c r="I220" s="9" t="s">
        <v>13</v>
      </c>
      <c r="J220" s="12"/>
    </row>
    <row r="221">
      <c r="A221" s="6" t="s">
        <v>9</v>
      </c>
      <c r="B221" s="11"/>
      <c r="C221" s="8" t="s">
        <v>11</v>
      </c>
      <c r="D221" s="8" t="str">
        <f t="shared" si="1"/>
        <v>-</v>
      </c>
      <c r="E221" s="9" t="s">
        <v>11</v>
      </c>
      <c r="F221" s="10"/>
      <c r="G221" s="9"/>
      <c r="H221" s="11"/>
      <c r="I221" s="9" t="s">
        <v>13</v>
      </c>
      <c r="J221" s="12"/>
    </row>
    <row r="222">
      <c r="A222" s="6" t="s">
        <v>9</v>
      </c>
      <c r="B222" s="11"/>
      <c r="C222" s="8" t="s">
        <v>11</v>
      </c>
      <c r="D222" s="8" t="str">
        <f t="shared" si="1"/>
        <v>-</v>
      </c>
      <c r="E222" s="9" t="s">
        <v>11</v>
      </c>
      <c r="F222" s="10"/>
      <c r="G222" s="9"/>
      <c r="H222" s="11"/>
      <c r="I222" s="9" t="s">
        <v>13</v>
      </c>
      <c r="J222" s="12"/>
    </row>
    <row r="223">
      <c r="A223" s="6" t="s">
        <v>9</v>
      </c>
      <c r="B223" s="11"/>
      <c r="C223" s="8" t="s">
        <v>11</v>
      </c>
      <c r="D223" s="8" t="str">
        <f t="shared" si="1"/>
        <v>-</v>
      </c>
      <c r="E223" s="9" t="s">
        <v>11</v>
      </c>
      <c r="F223" s="10"/>
      <c r="G223" s="9"/>
      <c r="H223" s="11"/>
      <c r="I223" s="9" t="s">
        <v>13</v>
      </c>
      <c r="J223" s="12"/>
    </row>
    <row r="224">
      <c r="A224" s="6" t="s">
        <v>9</v>
      </c>
      <c r="B224" s="11"/>
      <c r="C224" s="8" t="s">
        <v>11</v>
      </c>
      <c r="D224" s="8" t="str">
        <f t="shared" si="1"/>
        <v>-</v>
      </c>
      <c r="E224" s="9" t="s">
        <v>11</v>
      </c>
      <c r="F224" s="10"/>
      <c r="G224" s="9"/>
      <c r="H224" s="11"/>
      <c r="I224" s="9" t="s">
        <v>13</v>
      </c>
      <c r="J224" s="12"/>
    </row>
    <row r="225">
      <c r="A225" s="6" t="s">
        <v>9</v>
      </c>
      <c r="B225" s="11"/>
      <c r="C225" s="8" t="s">
        <v>11</v>
      </c>
      <c r="D225" s="8" t="str">
        <f t="shared" si="1"/>
        <v>-</v>
      </c>
      <c r="E225" s="9" t="s">
        <v>11</v>
      </c>
      <c r="F225" s="10"/>
      <c r="G225" s="9"/>
      <c r="H225" s="11"/>
      <c r="I225" s="9" t="s">
        <v>13</v>
      </c>
      <c r="J225" s="12"/>
    </row>
    <row r="226">
      <c r="A226" s="6" t="s">
        <v>9</v>
      </c>
      <c r="B226" s="11"/>
      <c r="C226" s="8" t="s">
        <v>11</v>
      </c>
      <c r="D226" s="8" t="str">
        <f t="shared" si="1"/>
        <v>-</v>
      </c>
      <c r="E226" s="9" t="s">
        <v>11</v>
      </c>
      <c r="F226" s="10"/>
      <c r="G226" s="9"/>
      <c r="H226" s="11"/>
      <c r="I226" s="9" t="s">
        <v>13</v>
      </c>
      <c r="J226" s="12"/>
    </row>
    <row r="227">
      <c r="A227" s="6" t="s">
        <v>9</v>
      </c>
      <c r="B227" s="11"/>
      <c r="C227" s="8" t="s">
        <v>11</v>
      </c>
      <c r="D227" s="8" t="str">
        <f t="shared" si="1"/>
        <v>-</v>
      </c>
      <c r="E227" s="9" t="s">
        <v>11</v>
      </c>
      <c r="F227" s="10"/>
      <c r="G227" s="9"/>
      <c r="H227" s="11"/>
      <c r="I227" s="9" t="s">
        <v>13</v>
      </c>
      <c r="J227" s="12"/>
    </row>
    <row r="228">
      <c r="A228" s="6" t="s">
        <v>9</v>
      </c>
      <c r="B228" s="11"/>
      <c r="C228" s="8" t="s">
        <v>11</v>
      </c>
      <c r="D228" s="8" t="str">
        <f t="shared" si="1"/>
        <v>-</v>
      </c>
      <c r="E228" s="9" t="s">
        <v>11</v>
      </c>
      <c r="F228" s="10"/>
      <c r="G228" s="9"/>
      <c r="H228" s="11"/>
      <c r="I228" s="9" t="s">
        <v>13</v>
      </c>
      <c r="J228" s="12"/>
    </row>
    <row r="229">
      <c r="A229" s="6" t="s">
        <v>9</v>
      </c>
      <c r="B229" s="11"/>
      <c r="C229" s="8" t="s">
        <v>11</v>
      </c>
      <c r="D229" s="8" t="str">
        <f t="shared" si="1"/>
        <v>-</v>
      </c>
      <c r="E229" s="9" t="s">
        <v>11</v>
      </c>
      <c r="F229" s="10"/>
      <c r="G229" s="9"/>
      <c r="H229" s="11"/>
      <c r="I229" s="9" t="s">
        <v>13</v>
      </c>
      <c r="J229" s="12"/>
    </row>
    <row r="230">
      <c r="A230" s="6" t="s">
        <v>9</v>
      </c>
      <c r="B230" s="11"/>
      <c r="C230" s="8" t="s">
        <v>11</v>
      </c>
      <c r="D230" s="8" t="str">
        <f t="shared" si="1"/>
        <v>-</v>
      </c>
      <c r="E230" s="9" t="s">
        <v>11</v>
      </c>
      <c r="F230" s="10"/>
      <c r="G230" s="9"/>
      <c r="H230" s="11"/>
      <c r="I230" s="9" t="s">
        <v>13</v>
      </c>
      <c r="J230" s="12"/>
    </row>
    <row r="231">
      <c r="A231" s="6" t="s">
        <v>9</v>
      </c>
      <c r="B231" s="11"/>
      <c r="C231" s="8" t="s">
        <v>11</v>
      </c>
      <c r="D231" s="8" t="str">
        <f t="shared" si="1"/>
        <v>-</v>
      </c>
      <c r="E231" s="9" t="s">
        <v>11</v>
      </c>
      <c r="F231" s="10"/>
      <c r="G231" s="9"/>
      <c r="H231" s="11"/>
      <c r="I231" s="9" t="s">
        <v>13</v>
      </c>
      <c r="J231" s="12"/>
    </row>
    <row r="232">
      <c r="A232" s="6" t="s">
        <v>9</v>
      </c>
      <c r="B232" s="11"/>
      <c r="C232" s="8" t="s">
        <v>11</v>
      </c>
      <c r="D232" s="8" t="str">
        <f t="shared" si="1"/>
        <v>-</v>
      </c>
      <c r="E232" s="9" t="s">
        <v>11</v>
      </c>
      <c r="F232" s="10"/>
      <c r="G232" s="9"/>
      <c r="H232" s="11"/>
      <c r="I232" s="9" t="s">
        <v>13</v>
      </c>
      <c r="J232" s="12"/>
    </row>
    <row r="233">
      <c r="A233" s="6" t="s">
        <v>9</v>
      </c>
      <c r="B233" s="11"/>
      <c r="C233" s="8" t="s">
        <v>11</v>
      </c>
      <c r="D233" s="8" t="str">
        <f t="shared" si="1"/>
        <v>-</v>
      </c>
      <c r="E233" s="9" t="s">
        <v>11</v>
      </c>
      <c r="F233" s="10"/>
      <c r="G233" s="9"/>
      <c r="H233" s="11"/>
      <c r="I233" s="9" t="s">
        <v>13</v>
      </c>
      <c r="J233" s="12"/>
    </row>
    <row r="234">
      <c r="A234" s="6" t="s">
        <v>9</v>
      </c>
      <c r="B234" s="11"/>
      <c r="C234" s="8" t="s">
        <v>11</v>
      </c>
      <c r="D234" s="8" t="str">
        <f t="shared" si="1"/>
        <v>-</v>
      </c>
      <c r="E234" s="9" t="s">
        <v>11</v>
      </c>
      <c r="F234" s="10"/>
      <c r="G234" s="9"/>
      <c r="H234" s="11"/>
      <c r="I234" s="9" t="s">
        <v>13</v>
      </c>
      <c r="J234" s="12"/>
    </row>
    <row r="235">
      <c r="A235" s="6" t="s">
        <v>9</v>
      </c>
      <c r="B235" s="11"/>
      <c r="C235" s="8" t="s">
        <v>11</v>
      </c>
      <c r="D235" s="8" t="str">
        <f t="shared" si="1"/>
        <v>-</v>
      </c>
      <c r="E235" s="9" t="s">
        <v>11</v>
      </c>
      <c r="F235" s="10"/>
      <c r="G235" s="9"/>
      <c r="H235" s="11"/>
      <c r="I235" s="9" t="s">
        <v>13</v>
      </c>
      <c r="J235" s="12"/>
    </row>
    <row r="236">
      <c r="A236" s="6" t="s">
        <v>9</v>
      </c>
      <c r="B236" s="11"/>
      <c r="C236" s="8" t="s">
        <v>11</v>
      </c>
      <c r="D236" s="8" t="str">
        <f t="shared" si="1"/>
        <v>-</v>
      </c>
      <c r="E236" s="9" t="s">
        <v>11</v>
      </c>
      <c r="F236" s="10"/>
      <c r="G236" s="9"/>
      <c r="H236" s="11"/>
      <c r="I236" s="9" t="s">
        <v>13</v>
      </c>
      <c r="J236" s="12"/>
    </row>
    <row r="237">
      <c r="A237" s="6" t="s">
        <v>9</v>
      </c>
      <c r="B237" s="11"/>
      <c r="C237" s="8" t="s">
        <v>11</v>
      </c>
      <c r="D237" s="8" t="str">
        <f t="shared" si="1"/>
        <v>-</v>
      </c>
      <c r="E237" s="9" t="s">
        <v>11</v>
      </c>
      <c r="F237" s="10"/>
      <c r="G237" s="9"/>
      <c r="H237" s="11"/>
      <c r="I237" s="9" t="s">
        <v>13</v>
      </c>
      <c r="J237" s="12"/>
    </row>
    <row r="238">
      <c r="A238" s="6" t="s">
        <v>9</v>
      </c>
      <c r="B238" s="11"/>
      <c r="C238" s="8" t="s">
        <v>11</v>
      </c>
      <c r="D238" s="8" t="str">
        <f t="shared" si="1"/>
        <v>-</v>
      </c>
      <c r="E238" s="9" t="s">
        <v>11</v>
      </c>
      <c r="F238" s="10"/>
      <c r="G238" s="9"/>
      <c r="H238" s="11"/>
      <c r="I238" s="9" t="s">
        <v>13</v>
      </c>
      <c r="J238" s="12"/>
    </row>
    <row r="239">
      <c r="A239" s="6" t="s">
        <v>9</v>
      </c>
      <c r="B239" s="11"/>
      <c r="C239" s="8" t="s">
        <v>11</v>
      </c>
      <c r="D239" s="8" t="str">
        <f t="shared" si="1"/>
        <v>-</v>
      </c>
      <c r="E239" s="9" t="s">
        <v>11</v>
      </c>
      <c r="F239" s="10"/>
      <c r="G239" s="9"/>
      <c r="H239" s="11"/>
      <c r="I239" s="9" t="s">
        <v>13</v>
      </c>
      <c r="J239" s="12"/>
    </row>
    <row r="240">
      <c r="A240" s="6" t="s">
        <v>9</v>
      </c>
      <c r="B240" s="11"/>
      <c r="C240" s="8" t="s">
        <v>11</v>
      </c>
      <c r="D240" s="8" t="str">
        <f t="shared" si="1"/>
        <v>-</v>
      </c>
      <c r="E240" s="9" t="s">
        <v>11</v>
      </c>
      <c r="F240" s="10"/>
      <c r="G240" s="9"/>
      <c r="H240" s="11"/>
      <c r="I240" s="9" t="s">
        <v>13</v>
      </c>
      <c r="J240" s="12"/>
    </row>
    <row r="241">
      <c r="A241" s="6" t="s">
        <v>9</v>
      </c>
      <c r="B241" s="11"/>
      <c r="C241" s="8" t="s">
        <v>11</v>
      </c>
      <c r="D241" s="8" t="str">
        <f t="shared" si="1"/>
        <v>-</v>
      </c>
      <c r="E241" s="9" t="s">
        <v>11</v>
      </c>
      <c r="F241" s="10"/>
      <c r="G241" s="9"/>
      <c r="H241" s="11"/>
      <c r="I241" s="9" t="s">
        <v>13</v>
      </c>
      <c r="J241" s="12"/>
    </row>
    <row r="242">
      <c r="A242" s="6" t="s">
        <v>9</v>
      </c>
      <c r="B242" s="11"/>
      <c r="C242" s="8" t="s">
        <v>11</v>
      </c>
      <c r="D242" s="8" t="str">
        <f t="shared" si="1"/>
        <v>-</v>
      </c>
      <c r="E242" s="9" t="s">
        <v>11</v>
      </c>
      <c r="F242" s="10"/>
      <c r="G242" s="9"/>
      <c r="H242" s="11"/>
      <c r="I242" s="9" t="s">
        <v>13</v>
      </c>
      <c r="J242" s="12"/>
    </row>
    <row r="243">
      <c r="A243" s="6" t="s">
        <v>9</v>
      </c>
      <c r="B243" s="11"/>
      <c r="C243" s="8" t="s">
        <v>11</v>
      </c>
      <c r="D243" s="8" t="str">
        <f t="shared" si="1"/>
        <v>-</v>
      </c>
      <c r="E243" s="9" t="s">
        <v>11</v>
      </c>
      <c r="F243" s="10"/>
      <c r="G243" s="9"/>
      <c r="H243" s="11"/>
      <c r="I243" s="9" t="s">
        <v>13</v>
      </c>
      <c r="J243" s="12"/>
    </row>
    <row r="244">
      <c r="A244" s="6" t="s">
        <v>9</v>
      </c>
      <c r="B244" s="11"/>
      <c r="C244" s="8" t="s">
        <v>11</v>
      </c>
      <c r="D244" s="8" t="str">
        <f t="shared" si="1"/>
        <v>-</v>
      </c>
      <c r="E244" s="9" t="s">
        <v>11</v>
      </c>
      <c r="F244" s="10"/>
      <c r="G244" s="9"/>
      <c r="H244" s="11"/>
      <c r="I244" s="9" t="s">
        <v>13</v>
      </c>
      <c r="J244" s="12"/>
    </row>
    <row r="245">
      <c r="A245" s="6" t="s">
        <v>9</v>
      </c>
      <c r="B245" s="11"/>
      <c r="C245" s="8" t="s">
        <v>11</v>
      </c>
      <c r="D245" s="8" t="str">
        <f t="shared" si="1"/>
        <v>-</v>
      </c>
      <c r="E245" s="9" t="s">
        <v>11</v>
      </c>
      <c r="F245" s="10"/>
      <c r="G245" s="9"/>
      <c r="H245" s="11"/>
      <c r="I245" s="9" t="s">
        <v>13</v>
      </c>
      <c r="J245" s="12"/>
    </row>
    <row r="246">
      <c r="A246" s="6" t="s">
        <v>9</v>
      </c>
      <c r="B246" s="11"/>
      <c r="C246" s="8" t="s">
        <v>11</v>
      </c>
      <c r="D246" s="8" t="str">
        <f t="shared" si="1"/>
        <v>-</v>
      </c>
      <c r="E246" s="9" t="s">
        <v>11</v>
      </c>
      <c r="F246" s="10"/>
      <c r="G246" s="9"/>
      <c r="H246" s="11"/>
      <c r="I246" s="9" t="s">
        <v>13</v>
      </c>
      <c r="J246" s="12"/>
    </row>
    <row r="247">
      <c r="A247" s="6" t="s">
        <v>9</v>
      </c>
      <c r="B247" s="11"/>
      <c r="C247" s="8" t="s">
        <v>11</v>
      </c>
      <c r="D247" s="8" t="str">
        <f t="shared" si="1"/>
        <v>-</v>
      </c>
      <c r="E247" s="9" t="s">
        <v>11</v>
      </c>
      <c r="F247" s="10"/>
      <c r="G247" s="9"/>
      <c r="H247" s="11"/>
      <c r="I247" s="9" t="s">
        <v>13</v>
      </c>
      <c r="J247" s="12"/>
    </row>
    <row r="248">
      <c r="A248" s="6" t="s">
        <v>9</v>
      </c>
      <c r="B248" s="11"/>
      <c r="C248" s="8" t="s">
        <v>11</v>
      </c>
      <c r="D248" s="8" t="str">
        <f t="shared" si="1"/>
        <v>-</v>
      </c>
      <c r="E248" s="9" t="s">
        <v>11</v>
      </c>
      <c r="F248" s="10"/>
      <c r="G248" s="9"/>
      <c r="H248" s="11"/>
      <c r="I248" s="9" t="s">
        <v>13</v>
      </c>
      <c r="J248" s="12"/>
    </row>
    <row r="249">
      <c r="A249" s="6" t="s">
        <v>9</v>
      </c>
      <c r="B249" s="11"/>
      <c r="C249" s="8" t="s">
        <v>11</v>
      </c>
      <c r="D249" s="8" t="str">
        <f t="shared" si="1"/>
        <v>-</v>
      </c>
      <c r="E249" s="9" t="s">
        <v>11</v>
      </c>
      <c r="F249" s="10"/>
      <c r="G249" s="9"/>
      <c r="H249" s="11"/>
      <c r="I249" s="9" t="s">
        <v>13</v>
      </c>
      <c r="J249" s="12"/>
    </row>
    <row r="250">
      <c r="A250" s="6" t="s">
        <v>9</v>
      </c>
      <c r="B250" s="11"/>
      <c r="C250" s="8" t="s">
        <v>11</v>
      </c>
      <c r="D250" s="8" t="str">
        <f t="shared" si="1"/>
        <v>-</v>
      </c>
      <c r="E250" s="9" t="s">
        <v>11</v>
      </c>
      <c r="F250" s="10"/>
      <c r="G250" s="9"/>
      <c r="H250" s="11"/>
      <c r="I250" s="9" t="s">
        <v>13</v>
      </c>
      <c r="J250" s="12"/>
    </row>
    <row r="251">
      <c r="A251" s="6" t="s">
        <v>9</v>
      </c>
      <c r="B251" s="11"/>
      <c r="C251" s="8" t="s">
        <v>11</v>
      </c>
      <c r="D251" s="8" t="str">
        <f t="shared" si="1"/>
        <v>-</v>
      </c>
      <c r="E251" s="9" t="s">
        <v>11</v>
      </c>
      <c r="F251" s="10"/>
      <c r="G251" s="9"/>
      <c r="H251" s="11"/>
      <c r="I251" s="9" t="s">
        <v>13</v>
      </c>
      <c r="J251" s="12"/>
    </row>
    <row r="252">
      <c r="A252" s="6" t="s">
        <v>9</v>
      </c>
      <c r="B252" s="11"/>
      <c r="C252" s="8" t="s">
        <v>11</v>
      </c>
      <c r="D252" s="8" t="str">
        <f t="shared" si="1"/>
        <v>-</v>
      </c>
      <c r="E252" s="9" t="s">
        <v>11</v>
      </c>
      <c r="F252" s="10"/>
      <c r="G252" s="9"/>
      <c r="H252" s="11"/>
      <c r="I252" s="9" t="s">
        <v>13</v>
      </c>
      <c r="J252" s="12"/>
    </row>
    <row r="253">
      <c r="A253" s="6" t="s">
        <v>9</v>
      </c>
      <c r="B253" s="11"/>
      <c r="C253" s="8" t="s">
        <v>11</v>
      </c>
      <c r="D253" s="8" t="str">
        <f t="shared" si="1"/>
        <v>-</v>
      </c>
      <c r="E253" s="9" t="s">
        <v>11</v>
      </c>
      <c r="F253" s="10"/>
      <c r="G253" s="9"/>
      <c r="H253" s="11"/>
      <c r="I253" s="9" t="s">
        <v>13</v>
      </c>
      <c r="J253" s="12"/>
    </row>
    <row r="254">
      <c r="A254" s="6" t="s">
        <v>9</v>
      </c>
      <c r="B254" s="11"/>
      <c r="C254" s="8" t="s">
        <v>11</v>
      </c>
      <c r="D254" s="8" t="str">
        <f t="shared" si="1"/>
        <v>-</v>
      </c>
      <c r="E254" s="9" t="s">
        <v>11</v>
      </c>
      <c r="F254" s="10"/>
      <c r="G254" s="9"/>
      <c r="H254" s="11"/>
      <c r="I254" s="9" t="s">
        <v>13</v>
      </c>
      <c r="J254" s="12"/>
    </row>
    <row r="255">
      <c r="A255" s="6" t="s">
        <v>9</v>
      </c>
      <c r="B255" s="11"/>
      <c r="C255" s="8" t="s">
        <v>11</v>
      </c>
      <c r="D255" s="8" t="str">
        <f t="shared" si="1"/>
        <v>-</v>
      </c>
      <c r="E255" s="9" t="s">
        <v>11</v>
      </c>
      <c r="F255" s="10"/>
      <c r="G255" s="9"/>
      <c r="H255" s="11"/>
      <c r="I255" s="9" t="s">
        <v>13</v>
      </c>
      <c r="J255" s="12"/>
    </row>
    <row r="256">
      <c r="A256" s="6" t="s">
        <v>9</v>
      </c>
      <c r="B256" s="11"/>
      <c r="C256" s="8" t="s">
        <v>11</v>
      </c>
      <c r="D256" s="8" t="str">
        <f t="shared" si="1"/>
        <v>-</v>
      </c>
      <c r="E256" s="9" t="s">
        <v>11</v>
      </c>
      <c r="F256" s="10"/>
      <c r="G256" s="9"/>
      <c r="H256" s="11"/>
      <c r="I256" s="9" t="s">
        <v>13</v>
      </c>
      <c r="J256" s="12"/>
    </row>
    <row r="257">
      <c r="A257" s="6" t="s">
        <v>9</v>
      </c>
      <c r="B257" s="11"/>
      <c r="C257" s="8" t="s">
        <v>11</v>
      </c>
      <c r="D257" s="8" t="str">
        <f t="shared" si="1"/>
        <v>-</v>
      </c>
      <c r="E257" s="9" t="s">
        <v>11</v>
      </c>
      <c r="F257" s="10"/>
      <c r="G257" s="9"/>
      <c r="H257" s="11"/>
      <c r="I257" s="9" t="s">
        <v>13</v>
      </c>
      <c r="J257" s="12"/>
    </row>
    <row r="258">
      <c r="A258" s="6" t="s">
        <v>9</v>
      </c>
      <c r="B258" s="11"/>
      <c r="C258" s="8" t="s">
        <v>11</v>
      </c>
      <c r="D258" s="8" t="str">
        <f t="shared" si="1"/>
        <v>-</v>
      </c>
      <c r="E258" s="9" t="s">
        <v>11</v>
      </c>
      <c r="F258" s="10"/>
      <c r="G258" s="9"/>
      <c r="H258" s="11"/>
      <c r="I258" s="9" t="s">
        <v>13</v>
      </c>
      <c r="J258" s="12"/>
    </row>
    <row r="259">
      <c r="A259" s="6" t="s">
        <v>9</v>
      </c>
      <c r="B259" s="11"/>
      <c r="C259" s="8" t="s">
        <v>11</v>
      </c>
      <c r="D259" s="8" t="str">
        <f t="shared" si="1"/>
        <v>-</v>
      </c>
      <c r="E259" s="9" t="s">
        <v>11</v>
      </c>
      <c r="F259" s="10"/>
      <c r="G259" s="9"/>
      <c r="H259" s="11"/>
      <c r="I259" s="9" t="s">
        <v>13</v>
      </c>
      <c r="J259" s="12"/>
    </row>
    <row r="260">
      <c r="A260" s="6" t="s">
        <v>9</v>
      </c>
      <c r="B260" s="11"/>
      <c r="C260" s="8" t="s">
        <v>11</v>
      </c>
      <c r="D260" s="8" t="str">
        <f t="shared" si="1"/>
        <v>-</v>
      </c>
      <c r="E260" s="9" t="s">
        <v>11</v>
      </c>
      <c r="F260" s="10"/>
      <c r="G260" s="9"/>
      <c r="H260" s="11"/>
      <c r="I260" s="9" t="s">
        <v>13</v>
      </c>
      <c r="J260" s="12"/>
    </row>
    <row r="261">
      <c r="A261" s="6" t="s">
        <v>9</v>
      </c>
      <c r="B261" s="11"/>
      <c r="C261" s="8" t="s">
        <v>11</v>
      </c>
      <c r="D261" s="8" t="str">
        <f t="shared" si="1"/>
        <v>-</v>
      </c>
      <c r="E261" s="9" t="s">
        <v>11</v>
      </c>
      <c r="F261" s="10"/>
      <c r="G261" s="9"/>
      <c r="H261" s="11"/>
      <c r="I261" s="9" t="s">
        <v>13</v>
      </c>
      <c r="J261" s="12"/>
    </row>
    <row r="262">
      <c r="A262" s="6" t="s">
        <v>9</v>
      </c>
      <c r="B262" s="11"/>
      <c r="C262" s="8" t="s">
        <v>11</v>
      </c>
      <c r="D262" s="8" t="str">
        <f t="shared" si="1"/>
        <v>-</v>
      </c>
      <c r="E262" s="9" t="s">
        <v>11</v>
      </c>
      <c r="F262" s="10"/>
      <c r="G262" s="9"/>
      <c r="H262" s="11"/>
      <c r="I262" s="9" t="s">
        <v>13</v>
      </c>
      <c r="J262" s="12"/>
    </row>
    <row r="263">
      <c r="A263" s="6" t="s">
        <v>9</v>
      </c>
      <c r="B263" s="11"/>
      <c r="C263" s="8" t="s">
        <v>11</v>
      </c>
      <c r="D263" s="8" t="str">
        <f t="shared" si="1"/>
        <v>-</v>
      </c>
      <c r="E263" s="9" t="s">
        <v>11</v>
      </c>
      <c r="F263" s="10"/>
      <c r="G263" s="9"/>
      <c r="H263" s="11"/>
      <c r="I263" s="9" t="s">
        <v>13</v>
      </c>
      <c r="J263" s="12"/>
    </row>
    <row r="264">
      <c r="A264" s="6" t="s">
        <v>9</v>
      </c>
      <c r="B264" s="11"/>
      <c r="C264" s="8" t="s">
        <v>11</v>
      </c>
      <c r="D264" s="8" t="str">
        <f t="shared" si="1"/>
        <v>-</v>
      </c>
      <c r="E264" s="9" t="s">
        <v>11</v>
      </c>
      <c r="F264" s="10"/>
      <c r="G264" s="9"/>
      <c r="H264" s="11"/>
      <c r="I264" s="9" t="s">
        <v>13</v>
      </c>
      <c r="J264" s="12"/>
    </row>
    <row r="265">
      <c r="A265" s="6" t="s">
        <v>9</v>
      </c>
      <c r="B265" s="11"/>
      <c r="C265" s="8" t="s">
        <v>11</v>
      </c>
      <c r="D265" s="8" t="str">
        <f t="shared" si="1"/>
        <v>-</v>
      </c>
      <c r="E265" s="9" t="s">
        <v>11</v>
      </c>
      <c r="F265" s="10"/>
      <c r="G265" s="9"/>
      <c r="H265" s="11"/>
      <c r="I265" s="9" t="s">
        <v>13</v>
      </c>
      <c r="J265" s="12"/>
    </row>
    <row r="266">
      <c r="A266" s="6" t="s">
        <v>9</v>
      </c>
      <c r="B266" s="11"/>
      <c r="C266" s="8" t="s">
        <v>11</v>
      </c>
      <c r="D266" s="8" t="str">
        <f t="shared" si="1"/>
        <v>-</v>
      </c>
      <c r="E266" s="9" t="s">
        <v>11</v>
      </c>
      <c r="F266" s="10"/>
      <c r="G266" s="9"/>
      <c r="H266" s="11"/>
      <c r="I266" s="9" t="s">
        <v>13</v>
      </c>
      <c r="J266" s="12"/>
    </row>
    <row r="267">
      <c r="A267" s="6" t="s">
        <v>9</v>
      </c>
      <c r="B267" s="11"/>
      <c r="C267" s="8" t="s">
        <v>11</v>
      </c>
      <c r="D267" s="8" t="str">
        <f t="shared" si="1"/>
        <v>-</v>
      </c>
      <c r="E267" s="9" t="s">
        <v>11</v>
      </c>
      <c r="F267" s="10"/>
      <c r="G267" s="9"/>
      <c r="H267" s="11"/>
      <c r="I267" s="9" t="s">
        <v>13</v>
      </c>
      <c r="J267" s="12"/>
    </row>
    <row r="268">
      <c r="A268" s="6" t="s">
        <v>9</v>
      </c>
      <c r="B268" s="11"/>
      <c r="C268" s="8" t="s">
        <v>11</v>
      </c>
      <c r="D268" s="8" t="str">
        <f t="shared" si="1"/>
        <v>-</v>
      </c>
      <c r="E268" s="9" t="s">
        <v>11</v>
      </c>
      <c r="F268" s="10"/>
      <c r="G268" s="9"/>
      <c r="H268" s="11"/>
      <c r="I268" s="9" t="s">
        <v>13</v>
      </c>
      <c r="J268" s="12"/>
    </row>
    <row r="269">
      <c r="A269" s="6" t="s">
        <v>9</v>
      </c>
      <c r="B269" s="11"/>
      <c r="C269" s="8" t="s">
        <v>11</v>
      </c>
      <c r="D269" s="8" t="str">
        <f t="shared" si="1"/>
        <v>-</v>
      </c>
      <c r="E269" s="9" t="s">
        <v>11</v>
      </c>
      <c r="F269" s="10"/>
      <c r="G269" s="9"/>
      <c r="H269" s="11"/>
      <c r="I269" s="9" t="s">
        <v>13</v>
      </c>
      <c r="J269" s="12"/>
    </row>
    <row r="270">
      <c r="A270" s="6" t="s">
        <v>9</v>
      </c>
      <c r="B270" s="11"/>
      <c r="C270" s="8" t="s">
        <v>11</v>
      </c>
      <c r="D270" s="8" t="str">
        <f t="shared" si="1"/>
        <v>-</v>
      </c>
      <c r="E270" s="9" t="s">
        <v>11</v>
      </c>
      <c r="F270" s="10"/>
      <c r="G270" s="9"/>
      <c r="H270" s="11"/>
      <c r="I270" s="9" t="s">
        <v>13</v>
      </c>
      <c r="J270" s="12"/>
    </row>
    <row r="271">
      <c r="A271" s="6" t="s">
        <v>9</v>
      </c>
      <c r="B271" s="11"/>
      <c r="C271" s="8" t="s">
        <v>11</v>
      </c>
      <c r="D271" s="8" t="str">
        <f t="shared" si="1"/>
        <v>-</v>
      </c>
      <c r="E271" s="9" t="s">
        <v>11</v>
      </c>
      <c r="F271" s="10"/>
      <c r="G271" s="9"/>
      <c r="H271" s="11"/>
      <c r="I271" s="9" t="s">
        <v>13</v>
      </c>
      <c r="J271" s="12"/>
    </row>
    <row r="272">
      <c r="A272" s="6" t="s">
        <v>9</v>
      </c>
      <c r="B272" s="11"/>
      <c r="C272" s="8" t="s">
        <v>11</v>
      </c>
      <c r="D272" s="8" t="str">
        <f t="shared" si="1"/>
        <v>-</v>
      </c>
      <c r="E272" s="9" t="s">
        <v>11</v>
      </c>
      <c r="F272" s="10"/>
      <c r="G272" s="9"/>
      <c r="H272" s="11"/>
      <c r="I272" s="9" t="s">
        <v>13</v>
      </c>
      <c r="J272" s="12"/>
    </row>
    <row r="273">
      <c r="A273" s="6" t="s">
        <v>9</v>
      </c>
      <c r="B273" s="11"/>
      <c r="C273" s="8" t="s">
        <v>11</v>
      </c>
      <c r="D273" s="8" t="str">
        <f t="shared" si="1"/>
        <v>-</v>
      </c>
      <c r="E273" s="9" t="s">
        <v>11</v>
      </c>
      <c r="F273" s="10"/>
      <c r="G273" s="9"/>
      <c r="H273" s="11"/>
      <c r="I273" s="9" t="s">
        <v>13</v>
      </c>
      <c r="J273" s="12"/>
    </row>
    <row r="274">
      <c r="A274" s="6" t="s">
        <v>9</v>
      </c>
      <c r="B274" s="11"/>
      <c r="C274" s="8" t="s">
        <v>11</v>
      </c>
      <c r="D274" s="8" t="str">
        <f t="shared" si="1"/>
        <v>-</v>
      </c>
      <c r="E274" s="9" t="s">
        <v>11</v>
      </c>
      <c r="F274" s="10"/>
      <c r="G274" s="9"/>
      <c r="H274" s="11"/>
      <c r="I274" s="9" t="s">
        <v>13</v>
      </c>
      <c r="J274" s="12"/>
    </row>
    <row r="275">
      <c r="A275" s="6" t="s">
        <v>9</v>
      </c>
      <c r="B275" s="11"/>
      <c r="C275" s="8" t="s">
        <v>11</v>
      </c>
      <c r="D275" s="8" t="str">
        <f t="shared" si="1"/>
        <v>-</v>
      </c>
      <c r="E275" s="9" t="s">
        <v>11</v>
      </c>
      <c r="F275" s="10"/>
      <c r="G275" s="9"/>
      <c r="H275" s="11"/>
      <c r="I275" s="9" t="s">
        <v>13</v>
      </c>
      <c r="J275" s="12"/>
    </row>
    <row r="276">
      <c r="A276" s="6" t="s">
        <v>9</v>
      </c>
      <c r="B276" s="11"/>
      <c r="C276" s="8" t="s">
        <v>11</v>
      </c>
      <c r="D276" s="8" t="str">
        <f t="shared" si="1"/>
        <v>-</v>
      </c>
      <c r="E276" s="9" t="s">
        <v>11</v>
      </c>
      <c r="F276" s="10"/>
      <c r="G276" s="9"/>
      <c r="H276" s="11"/>
      <c r="I276" s="9" t="s">
        <v>13</v>
      </c>
      <c r="J276" s="12"/>
    </row>
    <row r="277">
      <c r="A277" s="6" t="s">
        <v>9</v>
      </c>
      <c r="B277" s="11"/>
      <c r="C277" s="8" t="s">
        <v>11</v>
      </c>
      <c r="D277" s="8" t="str">
        <f t="shared" si="1"/>
        <v>-</v>
      </c>
      <c r="E277" s="9" t="s">
        <v>11</v>
      </c>
      <c r="F277" s="10"/>
      <c r="G277" s="9"/>
      <c r="H277" s="11"/>
      <c r="I277" s="9" t="s">
        <v>13</v>
      </c>
      <c r="J277" s="12"/>
    </row>
    <row r="278">
      <c r="A278" s="6" t="s">
        <v>9</v>
      </c>
      <c r="B278" s="11"/>
      <c r="C278" s="8" t="s">
        <v>11</v>
      </c>
      <c r="D278" s="8" t="str">
        <f t="shared" si="1"/>
        <v>-</v>
      </c>
      <c r="E278" s="9" t="s">
        <v>11</v>
      </c>
      <c r="F278" s="10"/>
      <c r="G278" s="9"/>
      <c r="H278" s="11"/>
      <c r="I278" s="9" t="s">
        <v>13</v>
      </c>
      <c r="J278" s="12"/>
    </row>
    <row r="279">
      <c r="A279" s="6" t="s">
        <v>9</v>
      </c>
      <c r="B279" s="11"/>
      <c r="C279" s="8" t="s">
        <v>11</v>
      </c>
      <c r="D279" s="8" t="str">
        <f t="shared" si="1"/>
        <v>-</v>
      </c>
      <c r="E279" s="9" t="s">
        <v>11</v>
      </c>
      <c r="F279" s="10"/>
      <c r="G279" s="9"/>
      <c r="H279" s="11"/>
      <c r="I279" s="9" t="s">
        <v>13</v>
      </c>
      <c r="J279" s="12"/>
    </row>
    <row r="280">
      <c r="A280" s="6" t="s">
        <v>9</v>
      </c>
      <c r="B280" s="11"/>
      <c r="C280" s="8" t="s">
        <v>11</v>
      </c>
      <c r="D280" s="8" t="str">
        <f t="shared" si="1"/>
        <v>-</v>
      </c>
      <c r="E280" s="9" t="s">
        <v>11</v>
      </c>
      <c r="F280" s="10"/>
      <c r="G280" s="9"/>
      <c r="H280" s="11"/>
      <c r="I280" s="9" t="s">
        <v>13</v>
      </c>
      <c r="J280" s="12"/>
    </row>
    <row r="281">
      <c r="A281" s="6" t="s">
        <v>9</v>
      </c>
      <c r="B281" s="11"/>
      <c r="C281" s="8" t="s">
        <v>11</v>
      </c>
      <c r="D281" s="8" t="str">
        <f t="shared" si="1"/>
        <v>-</v>
      </c>
      <c r="E281" s="9" t="s">
        <v>11</v>
      </c>
      <c r="F281" s="10"/>
      <c r="G281" s="9"/>
      <c r="H281" s="11"/>
      <c r="I281" s="9" t="s">
        <v>13</v>
      </c>
      <c r="J281" s="12"/>
    </row>
    <row r="282">
      <c r="A282" s="6" t="s">
        <v>9</v>
      </c>
      <c r="B282" s="11"/>
      <c r="C282" s="8" t="s">
        <v>11</v>
      </c>
      <c r="D282" s="8" t="str">
        <f t="shared" si="1"/>
        <v>-</v>
      </c>
      <c r="E282" s="9" t="s">
        <v>11</v>
      </c>
      <c r="F282" s="10"/>
      <c r="G282" s="9"/>
      <c r="H282" s="11"/>
      <c r="I282" s="9" t="s">
        <v>13</v>
      </c>
      <c r="J282" s="12"/>
    </row>
    <row r="283">
      <c r="A283" s="6" t="s">
        <v>9</v>
      </c>
      <c r="B283" s="11"/>
      <c r="C283" s="8" t="s">
        <v>11</v>
      </c>
      <c r="D283" s="8" t="str">
        <f t="shared" si="1"/>
        <v>-</v>
      </c>
      <c r="E283" s="9" t="s">
        <v>11</v>
      </c>
      <c r="F283" s="10"/>
      <c r="G283" s="9"/>
      <c r="H283" s="11"/>
      <c r="I283" s="9" t="s">
        <v>13</v>
      </c>
      <c r="J283" s="12"/>
    </row>
    <row r="284">
      <c r="A284" s="6" t="s">
        <v>9</v>
      </c>
      <c r="B284" s="11"/>
      <c r="C284" s="8" t="s">
        <v>11</v>
      </c>
      <c r="D284" s="8" t="str">
        <f t="shared" si="1"/>
        <v>-</v>
      </c>
      <c r="E284" s="9" t="s">
        <v>11</v>
      </c>
      <c r="F284" s="10"/>
      <c r="G284" s="9"/>
      <c r="H284" s="11"/>
      <c r="I284" s="9" t="s">
        <v>13</v>
      </c>
      <c r="J284" s="12"/>
    </row>
    <row r="285">
      <c r="A285" s="6" t="s">
        <v>9</v>
      </c>
      <c r="B285" s="11"/>
      <c r="C285" s="8" t="s">
        <v>11</v>
      </c>
      <c r="D285" s="8" t="str">
        <f t="shared" si="1"/>
        <v>-</v>
      </c>
      <c r="E285" s="9" t="s">
        <v>11</v>
      </c>
      <c r="F285" s="10"/>
      <c r="G285" s="9"/>
      <c r="H285" s="11"/>
      <c r="I285" s="9" t="s">
        <v>13</v>
      </c>
      <c r="J285" s="12"/>
    </row>
    <row r="286">
      <c r="A286" s="6" t="s">
        <v>9</v>
      </c>
      <c r="B286" s="11"/>
      <c r="C286" s="8" t="s">
        <v>11</v>
      </c>
      <c r="D286" s="8" t="str">
        <f t="shared" si="1"/>
        <v>-</v>
      </c>
      <c r="E286" s="9" t="s">
        <v>11</v>
      </c>
      <c r="F286" s="10"/>
      <c r="G286" s="9"/>
      <c r="H286" s="11"/>
      <c r="I286" s="9" t="s">
        <v>13</v>
      </c>
      <c r="J286" s="12"/>
    </row>
    <row r="287">
      <c r="A287" s="6" t="s">
        <v>9</v>
      </c>
      <c r="B287" s="11"/>
      <c r="C287" s="8" t="s">
        <v>11</v>
      </c>
      <c r="D287" s="8" t="str">
        <f t="shared" si="1"/>
        <v>-</v>
      </c>
      <c r="E287" s="9" t="s">
        <v>11</v>
      </c>
      <c r="F287" s="10"/>
      <c r="G287" s="9"/>
      <c r="H287" s="11"/>
      <c r="I287" s="9" t="s">
        <v>13</v>
      </c>
      <c r="J287" s="12"/>
    </row>
    <row r="288">
      <c r="A288" s="6" t="s">
        <v>9</v>
      </c>
      <c r="B288" s="11"/>
      <c r="C288" s="8" t="s">
        <v>11</v>
      </c>
      <c r="D288" s="8" t="str">
        <f t="shared" si="1"/>
        <v>-</v>
      </c>
      <c r="E288" s="9" t="s">
        <v>11</v>
      </c>
      <c r="F288" s="10"/>
      <c r="G288" s="9"/>
      <c r="H288" s="11"/>
      <c r="I288" s="9" t="s">
        <v>13</v>
      </c>
      <c r="J288" s="12"/>
    </row>
    <row r="289">
      <c r="A289" s="6" t="s">
        <v>9</v>
      </c>
      <c r="B289" s="11"/>
      <c r="C289" s="8" t="s">
        <v>11</v>
      </c>
      <c r="D289" s="8" t="str">
        <f t="shared" si="1"/>
        <v>-</v>
      </c>
      <c r="E289" s="9" t="s">
        <v>11</v>
      </c>
      <c r="F289" s="10"/>
      <c r="G289" s="9"/>
      <c r="H289" s="11"/>
      <c r="I289" s="9" t="s">
        <v>13</v>
      </c>
      <c r="J289" s="12"/>
    </row>
    <row r="290">
      <c r="A290" s="6" t="s">
        <v>9</v>
      </c>
      <c r="B290" s="11"/>
      <c r="C290" s="8" t="s">
        <v>11</v>
      </c>
      <c r="D290" s="8" t="str">
        <f t="shared" si="1"/>
        <v>-</v>
      </c>
      <c r="E290" s="9" t="s">
        <v>11</v>
      </c>
      <c r="F290" s="10"/>
      <c r="G290" s="9"/>
      <c r="H290" s="11"/>
      <c r="I290" s="9" t="s">
        <v>13</v>
      </c>
      <c r="J290" s="12"/>
    </row>
    <row r="291">
      <c r="A291" s="6" t="s">
        <v>9</v>
      </c>
      <c r="B291" s="11"/>
      <c r="C291" s="8" t="s">
        <v>11</v>
      </c>
      <c r="D291" s="8" t="str">
        <f t="shared" si="1"/>
        <v>-</v>
      </c>
      <c r="E291" s="9" t="s">
        <v>11</v>
      </c>
      <c r="F291" s="10"/>
      <c r="G291" s="9"/>
      <c r="H291" s="11"/>
      <c r="I291" s="9" t="s">
        <v>13</v>
      </c>
      <c r="J291" s="12"/>
    </row>
    <row r="292">
      <c r="A292" s="6" t="s">
        <v>9</v>
      </c>
      <c r="B292" s="11"/>
      <c r="C292" s="8" t="s">
        <v>11</v>
      </c>
      <c r="D292" s="8" t="str">
        <f t="shared" si="1"/>
        <v>-</v>
      </c>
      <c r="E292" s="9" t="s">
        <v>11</v>
      </c>
      <c r="F292" s="10"/>
      <c r="G292" s="9"/>
      <c r="H292" s="11"/>
      <c r="I292" s="9" t="s">
        <v>13</v>
      </c>
      <c r="J292" s="12"/>
    </row>
    <row r="293">
      <c r="A293" s="6" t="s">
        <v>9</v>
      </c>
      <c r="B293" s="11"/>
      <c r="C293" s="8" t="s">
        <v>11</v>
      </c>
      <c r="D293" s="8" t="str">
        <f t="shared" si="1"/>
        <v>-</v>
      </c>
      <c r="E293" s="9" t="s">
        <v>11</v>
      </c>
      <c r="F293" s="10"/>
      <c r="G293" s="9"/>
      <c r="H293" s="11"/>
      <c r="I293" s="9" t="s">
        <v>13</v>
      </c>
      <c r="J293" s="12"/>
    </row>
    <row r="294">
      <c r="A294" s="6" t="s">
        <v>9</v>
      </c>
      <c r="B294" s="11"/>
      <c r="C294" s="8" t="s">
        <v>11</v>
      </c>
      <c r="D294" s="8" t="str">
        <f t="shared" si="1"/>
        <v>-</v>
      </c>
      <c r="E294" s="9" t="s">
        <v>11</v>
      </c>
      <c r="F294" s="10"/>
      <c r="G294" s="9"/>
      <c r="H294" s="11"/>
      <c r="I294" s="9" t="s">
        <v>13</v>
      </c>
      <c r="J294" s="12"/>
    </row>
    <row r="295">
      <c r="A295" s="6" t="s">
        <v>9</v>
      </c>
      <c r="B295" s="11"/>
      <c r="C295" s="8" t="s">
        <v>11</v>
      </c>
      <c r="D295" s="8" t="str">
        <f t="shared" si="1"/>
        <v>-</v>
      </c>
      <c r="E295" s="9" t="s">
        <v>11</v>
      </c>
      <c r="F295" s="10"/>
      <c r="G295" s="9"/>
      <c r="H295" s="11"/>
      <c r="I295" s="9" t="s">
        <v>13</v>
      </c>
      <c r="J295" s="12"/>
    </row>
    <row r="296">
      <c r="A296" s="6" t="s">
        <v>9</v>
      </c>
      <c r="B296" s="11"/>
      <c r="C296" s="8" t="s">
        <v>11</v>
      </c>
      <c r="D296" s="8" t="str">
        <f t="shared" si="1"/>
        <v>-</v>
      </c>
      <c r="E296" s="9" t="s">
        <v>11</v>
      </c>
      <c r="F296" s="10"/>
      <c r="G296" s="9"/>
      <c r="H296" s="11"/>
      <c r="I296" s="9" t="s">
        <v>13</v>
      </c>
      <c r="J296" s="12"/>
    </row>
    <row r="297">
      <c r="A297" s="6" t="s">
        <v>9</v>
      </c>
      <c r="B297" s="11"/>
      <c r="C297" s="8" t="s">
        <v>11</v>
      </c>
      <c r="D297" s="8" t="str">
        <f t="shared" si="1"/>
        <v>-</v>
      </c>
      <c r="E297" s="9" t="s">
        <v>11</v>
      </c>
      <c r="F297" s="10"/>
      <c r="G297" s="9"/>
      <c r="H297" s="11"/>
      <c r="I297" s="9" t="s">
        <v>13</v>
      </c>
      <c r="J297" s="12"/>
    </row>
    <row r="298">
      <c r="A298" s="6" t="s">
        <v>9</v>
      </c>
      <c r="B298" s="11"/>
      <c r="C298" s="8" t="s">
        <v>11</v>
      </c>
      <c r="D298" s="8" t="str">
        <f t="shared" si="1"/>
        <v>-</v>
      </c>
      <c r="E298" s="9" t="s">
        <v>11</v>
      </c>
      <c r="F298" s="10"/>
      <c r="G298" s="9"/>
      <c r="H298" s="11"/>
      <c r="I298" s="9" t="s">
        <v>13</v>
      </c>
      <c r="J298" s="12"/>
    </row>
    <row r="299">
      <c r="A299" s="6" t="s">
        <v>9</v>
      </c>
      <c r="B299" s="11"/>
      <c r="C299" s="8" t="s">
        <v>11</v>
      </c>
      <c r="D299" s="8" t="str">
        <f t="shared" si="1"/>
        <v>-</v>
      </c>
      <c r="E299" s="9" t="s">
        <v>11</v>
      </c>
      <c r="F299" s="10"/>
      <c r="G299" s="9"/>
      <c r="H299" s="11"/>
      <c r="I299" s="9" t="s">
        <v>13</v>
      </c>
      <c r="J299" s="12"/>
    </row>
    <row r="300">
      <c r="A300" s="6" t="s">
        <v>9</v>
      </c>
      <c r="B300" s="11"/>
      <c r="C300" s="8" t="s">
        <v>11</v>
      </c>
      <c r="D300" s="8" t="str">
        <f t="shared" si="1"/>
        <v>-</v>
      </c>
      <c r="E300" s="9" t="s">
        <v>11</v>
      </c>
      <c r="F300" s="10"/>
      <c r="G300" s="9"/>
      <c r="H300" s="11"/>
      <c r="I300" s="9" t="s">
        <v>13</v>
      </c>
      <c r="J300" s="12"/>
    </row>
    <row r="301">
      <c r="A301" s="6" t="s">
        <v>9</v>
      </c>
      <c r="B301" s="11"/>
      <c r="C301" s="8" t="s">
        <v>11</v>
      </c>
      <c r="D301" s="8" t="str">
        <f t="shared" si="1"/>
        <v>-</v>
      </c>
      <c r="E301" s="9" t="s">
        <v>11</v>
      </c>
      <c r="F301" s="10"/>
      <c r="G301" s="9"/>
      <c r="H301" s="11"/>
      <c r="I301" s="9" t="s">
        <v>13</v>
      </c>
      <c r="J301" s="12"/>
    </row>
    <row r="302">
      <c r="A302" s="6" t="s">
        <v>9</v>
      </c>
      <c r="B302" s="11"/>
      <c r="C302" s="8" t="s">
        <v>11</v>
      </c>
      <c r="D302" s="8" t="str">
        <f t="shared" si="1"/>
        <v>-</v>
      </c>
      <c r="E302" s="9" t="s">
        <v>11</v>
      </c>
      <c r="F302" s="10"/>
      <c r="G302" s="9"/>
      <c r="H302" s="11"/>
      <c r="I302" s="9" t="s">
        <v>13</v>
      </c>
      <c r="J302" s="12"/>
    </row>
    <row r="303">
      <c r="A303" s="6" t="s">
        <v>9</v>
      </c>
      <c r="B303" s="11"/>
      <c r="C303" s="8" t="s">
        <v>11</v>
      </c>
      <c r="D303" s="8" t="str">
        <f t="shared" si="1"/>
        <v>-</v>
      </c>
      <c r="E303" s="9" t="s">
        <v>11</v>
      </c>
      <c r="F303" s="10"/>
      <c r="G303" s="9"/>
      <c r="H303" s="11"/>
      <c r="I303" s="9" t="s">
        <v>13</v>
      </c>
      <c r="J303" s="12"/>
    </row>
    <row r="304">
      <c r="A304" s="6" t="s">
        <v>9</v>
      </c>
      <c r="B304" s="11"/>
      <c r="C304" s="8" t="s">
        <v>11</v>
      </c>
      <c r="D304" s="8" t="str">
        <f t="shared" si="1"/>
        <v>-</v>
      </c>
      <c r="E304" s="9" t="s">
        <v>11</v>
      </c>
      <c r="F304" s="10"/>
      <c r="G304" s="9"/>
      <c r="H304" s="11"/>
      <c r="I304" s="9" t="s">
        <v>13</v>
      </c>
      <c r="J304" s="12"/>
    </row>
    <row r="305">
      <c r="A305" s="6" t="s">
        <v>9</v>
      </c>
      <c r="B305" s="11"/>
      <c r="C305" s="8" t="s">
        <v>11</v>
      </c>
      <c r="D305" s="8" t="str">
        <f t="shared" si="1"/>
        <v>-</v>
      </c>
      <c r="E305" s="9" t="s">
        <v>11</v>
      </c>
      <c r="F305" s="10"/>
      <c r="G305" s="9"/>
      <c r="H305" s="11"/>
      <c r="I305" s="9" t="s">
        <v>13</v>
      </c>
      <c r="J305" s="12"/>
    </row>
    <row r="306">
      <c r="A306" s="6" t="s">
        <v>9</v>
      </c>
      <c r="B306" s="11"/>
      <c r="C306" s="8" t="s">
        <v>11</v>
      </c>
      <c r="D306" s="8" t="str">
        <f t="shared" si="1"/>
        <v>-</v>
      </c>
      <c r="E306" s="9" t="s">
        <v>11</v>
      </c>
      <c r="F306" s="10"/>
      <c r="G306" s="9"/>
      <c r="H306" s="11"/>
      <c r="I306" s="9" t="s">
        <v>13</v>
      </c>
      <c r="J306" s="12"/>
    </row>
    <row r="307">
      <c r="A307" s="6" t="s">
        <v>9</v>
      </c>
      <c r="B307" s="11"/>
      <c r="C307" s="8" t="s">
        <v>11</v>
      </c>
      <c r="D307" s="8" t="str">
        <f t="shared" si="1"/>
        <v>-</v>
      </c>
      <c r="E307" s="9" t="s">
        <v>11</v>
      </c>
      <c r="F307" s="10"/>
      <c r="G307" s="9"/>
      <c r="H307" s="11"/>
      <c r="I307" s="9" t="s">
        <v>13</v>
      </c>
      <c r="J307" s="12"/>
    </row>
    <row r="308">
      <c r="A308" s="6" t="s">
        <v>9</v>
      </c>
      <c r="B308" s="11"/>
      <c r="C308" s="8" t="s">
        <v>11</v>
      </c>
      <c r="D308" s="8" t="str">
        <f t="shared" si="1"/>
        <v>-</v>
      </c>
      <c r="E308" s="9" t="s">
        <v>11</v>
      </c>
      <c r="F308" s="10"/>
      <c r="G308" s="9"/>
      <c r="H308" s="11"/>
      <c r="I308" s="9" t="s">
        <v>13</v>
      </c>
      <c r="J308" s="12"/>
    </row>
    <row r="309">
      <c r="A309" s="6" t="s">
        <v>9</v>
      </c>
      <c r="B309" s="11"/>
      <c r="C309" s="8" t="s">
        <v>11</v>
      </c>
      <c r="D309" s="8" t="str">
        <f t="shared" si="1"/>
        <v>-</v>
      </c>
      <c r="E309" s="9" t="s">
        <v>11</v>
      </c>
      <c r="F309" s="10"/>
      <c r="G309" s="9"/>
      <c r="H309" s="11"/>
      <c r="I309" s="9" t="s">
        <v>13</v>
      </c>
      <c r="J309" s="12"/>
    </row>
    <row r="310">
      <c r="A310" s="6" t="s">
        <v>9</v>
      </c>
      <c r="B310" s="11"/>
      <c r="C310" s="8" t="s">
        <v>11</v>
      </c>
      <c r="D310" s="8" t="str">
        <f t="shared" si="1"/>
        <v>-</v>
      </c>
      <c r="E310" s="9" t="s">
        <v>11</v>
      </c>
      <c r="F310" s="10"/>
      <c r="G310" s="9"/>
      <c r="H310" s="11"/>
      <c r="I310" s="9" t="s">
        <v>13</v>
      </c>
      <c r="J310" s="12"/>
    </row>
    <row r="311">
      <c r="A311" s="6" t="s">
        <v>9</v>
      </c>
      <c r="B311" s="11"/>
      <c r="C311" s="8" t="s">
        <v>11</v>
      </c>
      <c r="D311" s="8" t="str">
        <f t="shared" si="1"/>
        <v>-</v>
      </c>
      <c r="E311" s="9" t="s">
        <v>11</v>
      </c>
      <c r="F311" s="10"/>
      <c r="G311" s="9"/>
      <c r="H311" s="11"/>
      <c r="I311" s="9" t="s">
        <v>13</v>
      </c>
      <c r="J311" s="12"/>
    </row>
    <row r="312">
      <c r="A312" s="6" t="s">
        <v>9</v>
      </c>
      <c r="B312" s="11"/>
      <c r="C312" s="8" t="s">
        <v>11</v>
      </c>
      <c r="D312" s="8" t="str">
        <f t="shared" si="1"/>
        <v>-</v>
      </c>
      <c r="E312" s="9" t="s">
        <v>11</v>
      </c>
      <c r="F312" s="10"/>
      <c r="G312" s="9"/>
      <c r="H312" s="11"/>
      <c r="I312" s="9" t="s">
        <v>13</v>
      </c>
      <c r="J312" s="12"/>
    </row>
    <row r="313">
      <c r="A313" s="6" t="s">
        <v>9</v>
      </c>
      <c r="B313" s="11"/>
      <c r="C313" s="8" t="s">
        <v>11</v>
      </c>
      <c r="D313" s="8" t="str">
        <f t="shared" si="1"/>
        <v>-</v>
      </c>
      <c r="E313" s="9" t="s">
        <v>11</v>
      </c>
      <c r="F313" s="10"/>
      <c r="G313" s="9"/>
      <c r="H313" s="11"/>
      <c r="I313" s="9" t="s">
        <v>13</v>
      </c>
      <c r="J313" s="12"/>
    </row>
    <row r="314">
      <c r="A314" s="6" t="s">
        <v>9</v>
      </c>
      <c r="B314" s="11"/>
      <c r="C314" s="8" t="s">
        <v>11</v>
      </c>
      <c r="D314" s="8" t="str">
        <f t="shared" si="1"/>
        <v>-</v>
      </c>
      <c r="E314" s="9" t="s">
        <v>11</v>
      </c>
      <c r="F314" s="10"/>
      <c r="G314" s="9"/>
      <c r="H314" s="11"/>
      <c r="I314" s="9" t="s">
        <v>13</v>
      </c>
      <c r="J314" s="12"/>
    </row>
    <row r="315">
      <c r="A315" s="6" t="s">
        <v>9</v>
      </c>
      <c r="B315" s="11"/>
      <c r="C315" s="8" t="s">
        <v>11</v>
      </c>
      <c r="D315" s="8" t="str">
        <f t="shared" si="1"/>
        <v>-</v>
      </c>
      <c r="E315" s="9" t="s">
        <v>11</v>
      </c>
      <c r="F315" s="10"/>
      <c r="G315" s="9"/>
      <c r="H315" s="11"/>
      <c r="I315" s="9" t="s">
        <v>13</v>
      </c>
      <c r="J315" s="12"/>
    </row>
    <row r="316">
      <c r="A316" s="6" t="s">
        <v>9</v>
      </c>
      <c r="B316" s="11"/>
      <c r="C316" s="8" t="s">
        <v>11</v>
      </c>
      <c r="D316" s="8" t="str">
        <f t="shared" si="1"/>
        <v>-</v>
      </c>
      <c r="E316" s="9" t="s">
        <v>11</v>
      </c>
      <c r="F316" s="10"/>
      <c r="G316" s="9"/>
      <c r="H316" s="11"/>
      <c r="I316" s="9" t="s">
        <v>13</v>
      </c>
      <c r="J316" s="12"/>
    </row>
    <row r="317">
      <c r="A317" s="6" t="s">
        <v>9</v>
      </c>
      <c r="B317" s="11"/>
      <c r="C317" s="8" t="s">
        <v>11</v>
      </c>
      <c r="D317" s="8" t="str">
        <f t="shared" si="1"/>
        <v>-</v>
      </c>
      <c r="E317" s="9" t="s">
        <v>11</v>
      </c>
      <c r="F317" s="10"/>
      <c r="G317" s="9"/>
      <c r="H317" s="11"/>
      <c r="I317" s="9" t="s">
        <v>13</v>
      </c>
      <c r="J317" s="12"/>
    </row>
    <row r="318">
      <c r="A318" s="6" t="s">
        <v>9</v>
      </c>
      <c r="B318" s="11"/>
      <c r="C318" s="8" t="s">
        <v>11</v>
      </c>
      <c r="D318" s="8" t="str">
        <f t="shared" si="1"/>
        <v>-</v>
      </c>
      <c r="E318" s="9" t="s">
        <v>11</v>
      </c>
      <c r="F318" s="10"/>
      <c r="G318" s="9"/>
      <c r="H318" s="11"/>
      <c r="I318" s="9" t="s">
        <v>13</v>
      </c>
      <c r="J318" s="12"/>
    </row>
    <row r="319">
      <c r="A319" s="6" t="s">
        <v>9</v>
      </c>
      <c r="B319" s="11"/>
      <c r="C319" s="8" t="s">
        <v>11</v>
      </c>
      <c r="D319" s="8" t="str">
        <f t="shared" si="1"/>
        <v>-</v>
      </c>
      <c r="E319" s="9" t="s">
        <v>11</v>
      </c>
      <c r="F319" s="10"/>
      <c r="G319" s="9"/>
      <c r="H319" s="11"/>
      <c r="I319" s="9" t="s">
        <v>13</v>
      </c>
      <c r="J319" s="12"/>
    </row>
    <row r="320">
      <c r="A320" s="6" t="s">
        <v>9</v>
      </c>
      <c r="B320" s="11"/>
      <c r="C320" s="8" t="s">
        <v>11</v>
      </c>
      <c r="D320" s="8" t="str">
        <f t="shared" si="1"/>
        <v>-</v>
      </c>
      <c r="E320" s="9" t="s">
        <v>11</v>
      </c>
      <c r="F320" s="10"/>
      <c r="G320" s="9"/>
      <c r="H320" s="11"/>
      <c r="I320" s="9" t="s">
        <v>13</v>
      </c>
      <c r="J320" s="12"/>
    </row>
    <row r="321">
      <c r="A321" s="6" t="s">
        <v>9</v>
      </c>
      <c r="B321" s="11"/>
      <c r="C321" s="8" t="s">
        <v>11</v>
      </c>
      <c r="D321" s="8" t="str">
        <f t="shared" si="1"/>
        <v>-</v>
      </c>
      <c r="E321" s="9" t="s">
        <v>11</v>
      </c>
      <c r="F321" s="10"/>
      <c r="G321" s="9"/>
      <c r="H321" s="11"/>
      <c r="I321" s="9" t="s">
        <v>13</v>
      </c>
      <c r="J321" s="12"/>
    </row>
    <row r="322">
      <c r="A322" s="6" t="s">
        <v>9</v>
      </c>
      <c r="B322" s="11"/>
      <c r="C322" s="8" t="s">
        <v>11</v>
      </c>
      <c r="D322" s="8" t="str">
        <f t="shared" si="1"/>
        <v>-</v>
      </c>
      <c r="E322" s="9" t="s">
        <v>11</v>
      </c>
      <c r="F322" s="10"/>
      <c r="G322" s="9"/>
      <c r="H322" s="11"/>
      <c r="I322" s="9" t="s">
        <v>13</v>
      </c>
      <c r="J322" s="12"/>
    </row>
    <row r="323">
      <c r="A323" s="6" t="s">
        <v>9</v>
      </c>
      <c r="B323" s="11"/>
      <c r="C323" s="8" t="s">
        <v>11</v>
      </c>
      <c r="D323" s="8" t="str">
        <f t="shared" si="1"/>
        <v>-</v>
      </c>
      <c r="E323" s="9" t="s">
        <v>11</v>
      </c>
      <c r="F323" s="10"/>
      <c r="G323" s="9"/>
      <c r="H323" s="11"/>
      <c r="I323" s="9" t="s">
        <v>13</v>
      </c>
      <c r="J323" s="12"/>
    </row>
    <row r="324">
      <c r="A324" s="6" t="s">
        <v>9</v>
      </c>
      <c r="B324" s="11"/>
      <c r="C324" s="8" t="s">
        <v>11</v>
      </c>
      <c r="D324" s="8" t="str">
        <f t="shared" si="1"/>
        <v>-</v>
      </c>
      <c r="E324" s="9" t="s">
        <v>11</v>
      </c>
      <c r="F324" s="10"/>
      <c r="G324" s="9"/>
      <c r="H324" s="11"/>
      <c r="I324" s="9" t="s">
        <v>13</v>
      </c>
      <c r="J324" s="12"/>
    </row>
    <row r="325">
      <c r="A325" s="6" t="s">
        <v>9</v>
      </c>
      <c r="B325" s="11"/>
      <c r="C325" s="8" t="s">
        <v>11</v>
      </c>
      <c r="D325" s="8" t="str">
        <f t="shared" si="1"/>
        <v>-</v>
      </c>
      <c r="E325" s="9" t="s">
        <v>11</v>
      </c>
      <c r="F325" s="10"/>
      <c r="G325" s="9"/>
      <c r="H325" s="11"/>
      <c r="I325" s="9" t="s">
        <v>13</v>
      </c>
      <c r="J325" s="12"/>
    </row>
    <row r="326">
      <c r="A326" s="6" t="s">
        <v>9</v>
      </c>
      <c r="B326" s="11"/>
      <c r="C326" s="8" t="s">
        <v>11</v>
      </c>
      <c r="D326" s="8" t="str">
        <f t="shared" si="1"/>
        <v>-</v>
      </c>
      <c r="E326" s="9" t="s">
        <v>11</v>
      </c>
      <c r="F326" s="10"/>
      <c r="G326" s="9"/>
      <c r="H326" s="11"/>
      <c r="I326" s="9" t="s">
        <v>13</v>
      </c>
      <c r="J326" s="12"/>
    </row>
    <row r="327">
      <c r="A327" s="6" t="s">
        <v>9</v>
      </c>
      <c r="B327" s="11"/>
      <c r="C327" s="8" t="s">
        <v>11</v>
      </c>
      <c r="D327" s="8" t="str">
        <f t="shared" si="1"/>
        <v>-</v>
      </c>
      <c r="E327" s="9" t="s">
        <v>11</v>
      </c>
      <c r="F327" s="10"/>
      <c r="G327" s="9"/>
      <c r="H327" s="11"/>
      <c r="I327" s="9" t="s">
        <v>13</v>
      </c>
      <c r="J327" s="12"/>
    </row>
    <row r="328">
      <c r="A328" s="6" t="s">
        <v>9</v>
      </c>
      <c r="B328" s="11"/>
      <c r="C328" s="8" t="s">
        <v>11</v>
      </c>
      <c r="D328" s="8" t="str">
        <f t="shared" si="1"/>
        <v>-</v>
      </c>
      <c r="E328" s="9" t="s">
        <v>11</v>
      </c>
      <c r="F328" s="10"/>
      <c r="G328" s="9"/>
      <c r="H328" s="11"/>
      <c r="I328" s="9" t="s">
        <v>13</v>
      </c>
      <c r="J328" s="12"/>
    </row>
    <row r="329">
      <c r="A329" s="6" t="s">
        <v>9</v>
      </c>
      <c r="B329" s="11"/>
      <c r="C329" s="8" t="s">
        <v>11</v>
      </c>
      <c r="D329" s="8" t="str">
        <f t="shared" si="1"/>
        <v>-</v>
      </c>
      <c r="E329" s="9" t="s">
        <v>11</v>
      </c>
      <c r="F329" s="10"/>
      <c r="G329" s="9"/>
      <c r="H329" s="11"/>
      <c r="I329" s="9" t="s">
        <v>13</v>
      </c>
      <c r="J329" s="12"/>
    </row>
    <row r="330">
      <c r="A330" s="6" t="s">
        <v>9</v>
      </c>
      <c r="B330" s="11"/>
      <c r="C330" s="8" t="s">
        <v>11</v>
      </c>
      <c r="D330" s="8" t="str">
        <f t="shared" si="1"/>
        <v>-</v>
      </c>
      <c r="E330" s="9" t="s">
        <v>11</v>
      </c>
      <c r="F330" s="10"/>
      <c r="G330" s="9"/>
      <c r="H330" s="11"/>
      <c r="I330" s="9" t="s">
        <v>13</v>
      </c>
      <c r="J330" s="12"/>
    </row>
    <row r="331">
      <c r="A331" s="6" t="s">
        <v>9</v>
      </c>
      <c r="B331" s="11"/>
      <c r="C331" s="8" t="s">
        <v>11</v>
      </c>
      <c r="D331" s="8" t="str">
        <f t="shared" si="1"/>
        <v>-</v>
      </c>
      <c r="E331" s="9" t="s">
        <v>11</v>
      </c>
      <c r="F331" s="10"/>
      <c r="G331" s="9"/>
      <c r="H331" s="11"/>
      <c r="I331" s="9" t="s">
        <v>13</v>
      </c>
      <c r="J331" s="12"/>
    </row>
    <row r="332">
      <c r="A332" s="6" t="s">
        <v>9</v>
      </c>
      <c r="B332" s="11"/>
      <c r="C332" s="8" t="s">
        <v>11</v>
      </c>
      <c r="D332" s="8" t="str">
        <f t="shared" si="1"/>
        <v>-</v>
      </c>
      <c r="E332" s="9" t="s">
        <v>11</v>
      </c>
      <c r="F332" s="10"/>
      <c r="G332" s="9"/>
      <c r="H332" s="11"/>
      <c r="I332" s="9" t="s">
        <v>13</v>
      </c>
      <c r="J332" s="12"/>
    </row>
    <row r="333">
      <c r="A333" s="6" t="s">
        <v>9</v>
      </c>
      <c r="B333" s="11"/>
      <c r="C333" s="8" t="s">
        <v>11</v>
      </c>
      <c r="D333" s="8" t="str">
        <f t="shared" si="1"/>
        <v>-</v>
      </c>
      <c r="E333" s="9" t="s">
        <v>11</v>
      </c>
      <c r="F333" s="10"/>
      <c r="G333" s="9"/>
      <c r="H333" s="11"/>
      <c r="I333" s="9" t="s">
        <v>13</v>
      </c>
      <c r="J333" s="12"/>
    </row>
    <row r="334">
      <c r="A334" s="6" t="s">
        <v>9</v>
      </c>
      <c r="B334" s="11"/>
      <c r="C334" s="8" t="s">
        <v>11</v>
      </c>
      <c r="D334" s="8" t="str">
        <f t="shared" si="1"/>
        <v>-</v>
      </c>
      <c r="E334" s="9" t="s">
        <v>11</v>
      </c>
      <c r="F334" s="10"/>
      <c r="G334" s="9"/>
      <c r="H334" s="11"/>
      <c r="I334" s="9" t="s">
        <v>13</v>
      </c>
      <c r="J334" s="12"/>
    </row>
    <row r="335">
      <c r="A335" s="6" t="s">
        <v>9</v>
      </c>
      <c r="B335" s="11"/>
      <c r="C335" s="8" t="s">
        <v>11</v>
      </c>
      <c r="D335" s="8" t="str">
        <f t="shared" si="1"/>
        <v>-</v>
      </c>
      <c r="E335" s="9" t="s">
        <v>11</v>
      </c>
      <c r="F335" s="10"/>
      <c r="G335" s="9"/>
      <c r="H335" s="11"/>
      <c r="I335" s="9" t="s">
        <v>13</v>
      </c>
      <c r="J335" s="12"/>
    </row>
    <row r="336">
      <c r="A336" s="6" t="s">
        <v>9</v>
      </c>
      <c r="B336" s="11"/>
      <c r="C336" s="8" t="s">
        <v>11</v>
      </c>
      <c r="D336" s="8" t="str">
        <f t="shared" si="1"/>
        <v>-</v>
      </c>
      <c r="E336" s="9" t="s">
        <v>11</v>
      </c>
      <c r="F336" s="10"/>
      <c r="G336" s="9"/>
      <c r="H336" s="11"/>
      <c r="I336" s="9" t="s">
        <v>13</v>
      </c>
      <c r="J336" s="12"/>
    </row>
    <row r="337">
      <c r="A337" s="6" t="s">
        <v>9</v>
      </c>
      <c r="B337" s="11"/>
      <c r="C337" s="8" t="s">
        <v>11</v>
      </c>
      <c r="D337" s="8" t="str">
        <f t="shared" si="1"/>
        <v>-</v>
      </c>
      <c r="E337" s="9" t="s">
        <v>11</v>
      </c>
      <c r="F337" s="10"/>
      <c r="G337" s="9"/>
      <c r="H337" s="11"/>
      <c r="I337" s="9" t="s">
        <v>13</v>
      </c>
      <c r="J337" s="12"/>
    </row>
    <row r="338">
      <c r="A338" s="6" t="s">
        <v>9</v>
      </c>
      <c r="B338" s="11"/>
      <c r="C338" s="8" t="s">
        <v>11</v>
      </c>
      <c r="D338" s="8" t="str">
        <f t="shared" si="1"/>
        <v>-</v>
      </c>
      <c r="E338" s="9" t="s">
        <v>11</v>
      </c>
      <c r="F338" s="10"/>
      <c r="G338" s="9"/>
      <c r="H338" s="11"/>
      <c r="I338" s="9" t="s">
        <v>13</v>
      </c>
      <c r="J338" s="12"/>
    </row>
    <row r="339">
      <c r="A339" s="6" t="s">
        <v>9</v>
      </c>
      <c r="B339" s="11"/>
      <c r="C339" s="8" t="s">
        <v>11</v>
      </c>
      <c r="D339" s="8" t="str">
        <f t="shared" si="1"/>
        <v>-</v>
      </c>
      <c r="E339" s="9" t="s">
        <v>11</v>
      </c>
      <c r="F339" s="10"/>
      <c r="G339" s="9"/>
      <c r="H339" s="11"/>
      <c r="I339" s="9" t="s">
        <v>13</v>
      </c>
      <c r="J339" s="12"/>
    </row>
    <row r="340">
      <c r="A340" s="6" t="s">
        <v>9</v>
      </c>
      <c r="B340" s="11"/>
      <c r="C340" s="8" t="s">
        <v>11</v>
      </c>
      <c r="D340" s="8" t="str">
        <f t="shared" si="1"/>
        <v>-</v>
      </c>
      <c r="E340" s="9" t="s">
        <v>11</v>
      </c>
      <c r="F340" s="10"/>
      <c r="G340" s="9"/>
      <c r="H340" s="11"/>
      <c r="I340" s="9" t="s">
        <v>13</v>
      </c>
      <c r="J340" s="12"/>
    </row>
    <row r="341">
      <c r="A341" s="6" t="s">
        <v>9</v>
      </c>
      <c r="B341" s="11"/>
      <c r="C341" s="8" t="s">
        <v>11</v>
      </c>
      <c r="D341" s="8" t="str">
        <f t="shared" si="1"/>
        <v>-</v>
      </c>
      <c r="E341" s="9" t="s">
        <v>11</v>
      </c>
      <c r="F341" s="10"/>
      <c r="G341" s="9"/>
      <c r="H341" s="11"/>
      <c r="I341" s="9" t="s">
        <v>13</v>
      </c>
      <c r="J341" s="12"/>
    </row>
    <row r="342">
      <c r="A342" s="6" t="s">
        <v>9</v>
      </c>
      <c r="B342" s="11"/>
      <c r="C342" s="8" t="s">
        <v>11</v>
      </c>
      <c r="D342" s="8" t="str">
        <f t="shared" si="1"/>
        <v>-</v>
      </c>
      <c r="E342" s="9" t="s">
        <v>11</v>
      </c>
      <c r="F342" s="10"/>
      <c r="G342" s="9"/>
      <c r="H342" s="11"/>
      <c r="I342" s="9" t="s">
        <v>13</v>
      </c>
      <c r="J342" s="12"/>
    </row>
    <row r="343">
      <c r="A343" s="6" t="s">
        <v>9</v>
      </c>
      <c r="B343" s="11"/>
      <c r="C343" s="8" t="s">
        <v>11</v>
      </c>
      <c r="D343" s="8" t="str">
        <f t="shared" si="1"/>
        <v>-</v>
      </c>
      <c r="E343" s="9" t="s">
        <v>11</v>
      </c>
      <c r="F343" s="10"/>
      <c r="G343" s="9"/>
      <c r="H343" s="11"/>
      <c r="I343" s="9" t="s">
        <v>13</v>
      </c>
      <c r="J343" s="12"/>
    </row>
    <row r="344">
      <c r="A344" s="6" t="s">
        <v>9</v>
      </c>
      <c r="B344" s="11"/>
      <c r="C344" s="8" t="s">
        <v>11</v>
      </c>
      <c r="D344" s="8" t="str">
        <f t="shared" si="1"/>
        <v>-</v>
      </c>
      <c r="E344" s="9" t="s">
        <v>11</v>
      </c>
      <c r="F344" s="10"/>
      <c r="G344" s="9"/>
      <c r="H344" s="11"/>
      <c r="I344" s="9" t="s">
        <v>13</v>
      </c>
      <c r="J344" s="12"/>
    </row>
    <row r="345">
      <c r="A345" s="6" t="s">
        <v>9</v>
      </c>
      <c r="B345" s="11"/>
      <c r="C345" s="8" t="s">
        <v>11</v>
      </c>
      <c r="D345" s="8" t="str">
        <f t="shared" si="1"/>
        <v>-</v>
      </c>
      <c r="E345" s="9" t="s">
        <v>11</v>
      </c>
      <c r="F345" s="10"/>
      <c r="G345" s="9"/>
      <c r="H345" s="11"/>
      <c r="I345" s="9" t="s">
        <v>13</v>
      </c>
      <c r="J345" s="12"/>
    </row>
    <row r="346">
      <c r="A346" s="6" t="s">
        <v>9</v>
      </c>
      <c r="B346" s="11"/>
      <c r="C346" s="8" t="s">
        <v>11</v>
      </c>
      <c r="D346" s="8" t="str">
        <f t="shared" si="1"/>
        <v>-</v>
      </c>
      <c r="E346" s="9" t="s">
        <v>11</v>
      </c>
      <c r="F346" s="10"/>
      <c r="G346" s="9"/>
      <c r="H346" s="11"/>
      <c r="I346" s="9" t="s">
        <v>13</v>
      </c>
      <c r="J346" s="12"/>
    </row>
    <row r="347">
      <c r="A347" s="6" t="s">
        <v>9</v>
      </c>
      <c r="B347" s="11"/>
      <c r="C347" s="8" t="s">
        <v>11</v>
      </c>
      <c r="D347" s="8" t="str">
        <f t="shared" si="1"/>
        <v>-</v>
      </c>
      <c r="E347" s="9" t="s">
        <v>11</v>
      </c>
      <c r="F347" s="10"/>
      <c r="G347" s="9"/>
      <c r="H347" s="11"/>
      <c r="I347" s="9" t="s">
        <v>13</v>
      </c>
      <c r="J347" s="12"/>
    </row>
    <row r="348">
      <c r="A348" s="6" t="s">
        <v>9</v>
      </c>
      <c r="B348" s="11"/>
      <c r="C348" s="8" t="s">
        <v>11</v>
      </c>
      <c r="D348" s="8" t="str">
        <f t="shared" si="1"/>
        <v>-</v>
      </c>
      <c r="E348" s="9" t="s">
        <v>11</v>
      </c>
      <c r="F348" s="10"/>
      <c r="G348" s="9"/>
      <c r="H348" s="11"/>
      <c r="I348" s="9" t="s">
        <v>13</v>
      </c>
      <c r="J348" s="12"/>
    </row>
    <row r="349">
      <c r="A349" s="6" t="s">
        <v>9</v>
      </c>
      <c r="B349" s="11"/>
      <c r="C349" s="8" t="s">
        <v>11</v>
      </c>
      <c r="D349" s="8" t="str">
        <f t="shared" si="1"/>
        <v>-</v>
      </c>
      <c r="E349" s="9" t="s">
        <v>11</v>
      </c>
      <c r="F349" s="10"/>
      <c r="G349" s="9"/>
      <c r="H349" s="11"/>
      <c r="I349" s="9" t="s">
        <v>13</v>
      </c>
      <c r="J349" s="12"/>
    </row>
    <row r="350">
      <c r="A350" s="6" t="s">
        <v>9</v>
      </c>
      <c r="B350" s="11"/>
      <c r="C350" s="8" t="s">
        <v>11</v>
      </c>
      <c r="D350" s="8" t="str">
        <f t="shared" si="1"/>
        <v>-</v>
      </c>
      <c r="E350" s="9" t="s">
        <v>11</v>
      </c>
      <c r="F350" s="10"/>
      <c r="G350" s="9"/>
      <c r="H350" s="11"/>
      <c r="I350" s="9" t="s">
        <v>13</v>
      </c>
      <c r="J350" s="12"/>
    </row>
    <row r="351">
      <c r="A351" s="6" t="s">
        <v>9</v>
      </c>
      <c r="B351" s="11"/>
      <c r="C351" s="8" t="s">
        <v>11</v>
      </c>
      <c r="D351" s="8" t="str">
        <f t="shared" si="1"/>
        <v>-</v>
      </c>
      <c r="E351" s="9" t="s">
        <v>11</v>
      </c>
      <c r="F351" s="10"/>
      <c r="G351" s="9"/>
      <c r="H351" s="11"/>
      <c r="I351" s="9" t="s">
        <v>13</v>
      </c>
      <c r="J351" s="12"/>
    </row>
    <row r="352">
      <c r="A352" s="6" t="s">
        <v>9</v>
      </c>
      <c r="B352" s="11"/>
      <c r="C352" s="8" t="s">
        <v>11</v>
      </c>
      <c r="D352" s="8" t="str">
        <f t="shared" si="1"/>
        <v>-</v>
      </c>
      <c r="E352" s="9" t="s">
        <v>11</v>
      </c>
      <c r="F352" s="10"/>
      <c r="G352" s="9"/>
      <c r="H352" s="11"/>
      <c r="I352" s="9" t="s">
        <v>13</v>
      </c>
      <c r="J352" s="12"/>
    </row>
    <row r="353">
      <c r="A353" s="6" t="s">
        <v>9</v>
      </c>
      <c r="B353" s="11"/>
      <c r="C353" s="8" t="s">
        <v>11</v>
      </c>
      <c r="D353" s="8" t="str">
        <f t="shared" si="1"/>
        <v>-</v>
      </c>
      <c r="E353" s="9" t="s">
        <v>11</v>
      </c>
      <c r="F353" s="10"/>
      <c r="G353" s="9"/>
      <c r="H353" s="11"/>
      <c r="I353" s="9" t="s">
        <v>13</v>
      </c>
      <c r="J353" s="12"/>
    </row>
    <row r="354">
      <c r="A354" s="6" t="s">
        <v>9</v>
      </c>
      <c r="B354" s="11"/>
      <c r="C354" s="8" t="s">
        <v>11</v>
      </c>
      <c r="D354" s="8" t="str">
        <f t="shared" si="1"/>
        <v>-</v>
      </c>
      <c r="E354" s="9" t="s">
        <v>11</v>
      </c>
      <c r="F354" s="10"/>
      <c r="G354" s="9"/>
      <c r="H354" s="11"/>
      <c r="I354" s="9" t="s">
        <v>13</v>
      </c>
      <c r="J354" s="12"/>
    </row>
    <row r="355">
      <c r="A355" s="6" t="s">
        <v>9</v>
      </c>
      <c r="B355" s="11"/>
      <c r="C355" s="8" t="s">
        <v>11</v>
      </c>
      <c r="D355" s="8" t="str">
        <f t="shared" si="1"/>
        <v>-</v>
      </c>
      <c r="E355" s="9" t="s">
        <v>11</v>
      </c>
      <c r="F355" s="10"/>
      <c r="G355" s="9"/>
      <c r="H355" s="11"/>
      <c r="I355" s="9" t="s">
        <v>13</v>
      </c>
      <c r="J355" s="12"/>
    </row>
    <row r="356">
      <c r="A356" s="6" t="s">
        <v>9</v>
      </c>
      <c r="B356" s="11"/>
      <c r="C356" s="8" t="s">
        <v>11</v>
      </c>
      <c r="D356" s="8" t="str">
        <f t="shared" si="1"/>
        <v>-</v>
      </c>
      <c r="E356" s="9" t="s">
        <v>11</v>
      </c>
      <c r="F356" s="10"/>
      <c r="G356" s="9"/>
      <c r="H356" s="11"/>
      <c r="I356" s="9" t="s">
        <v>13</v>
      </c>
      <c r="J356" s="12"/>
    </row>
    <row r="357">
      <c r="A357" s="6" t="s">
        <v>9</v>
      </c>
      <c r="B357" s="11"/>
      <c r="C357" s="8" t="s">
        <v>11</v>
      </c>
      <c r="D357" s="8" t="str">
        <f t="shared" si="1"/>
        <v>-</v>
      </c>
      <c r="E357" s="9" t="s">
        <v>11</v>
      </c>
      <c r="F357" s="10"/>
      <c r="G357" s="9"/>
      <c r="H357" s="11"/>
      <c r="I357" s="9" t="s">
        <v>13</v>
      </c>
      <c r="J357" s="12"/>
    </row>
    <row r="358">
      <c r="A358" s="6" t="s">
        <v>9</v>
      </c>
      <c r="B358" s="11"/>
      <c r="C358" s="8" t="s">
        <v>11</v>
      </c>
      <c r="D358" s="8" t="str">
        <f t="shared" si="1"/>
        <v>-</v>
      </c>
      <c r="E358" s="9" t="s">
        <v>11</v>
      </c>
      <c r="F358" s="10"/>
      <c r="G358" s="9"/>
      <c r="H358" s="11"/>
      <c r="I358" s="9" t="s">
        <v>13</v>
      </c>
      <c r="J358" s="12"/>
    </row>
    <row r="359">
      <c r="A359" s="6" t="s">
        <v>9</v>
      </c>
      <c r="B359" s="11"/>
      <c r="C359" s="8" t="s">
        <v>11</v>
      </c>
      <c r="D359" s="8" t="str">
        <f t="shared" si="1"/>
        <v>-</v>
      </c>
      <c r="E359" s="9" t="s">
        <v>11</v>
      </c>
      <c r="F359" s="10"/>
      <c r="G359" s="9"/>
      <c r="H359" s="11"/>
      <c r="I359" s="9" t="s">
        <v>13</v>
      </c>
      <c r="J359" s="12"/>
    </row>
    <row r="360">
      <c r="A360" s="6" t="s">
        <v>9</v>
      </c>
      <c r="B360" s="11"/>
      <c r="C360" s="8" t="s">
        <v>11</v>
      </c>
      <c r="D360" s="8" t="str">
        <f t="shared" si="1"/>
        <v>-</v>
      </c>
      <c r="E360" s="9" t="s">
        <v>11</v>
      </c>
      <c r="F360" s="10"/>
      <c r="G360" s="9"/>
      <c r="H360" s="11"/>
      <c r="I360" s="9" t="s">
        <v>13</v>
      </c>
      <c r="J360" s="12"/>
    </row>
    <row r="361">
      <c r="A361" s="6" t="s">
        <v>9</v>
      </c>
      <c r="B361" s="11"/>
      <c r="C361" s="8" t="s">
        <v>11</v>
      </c>
      <c r="D361" s="8" t="str">
        <f t="shared" si="1"/>
        <v>-</v>
      </c>
      <c r="E361" s="9" t="s">
        <v>11</v>
      </c>
      <c r="F361" s="10"/>
      <c r="G361" s="9"/>
      <c r="H361" s="11"/>
      <c r="I361" s="9" t="s">
        <v>13</v>
      </c>
      <c r="J361" s="12"/>
    </row>
  </sheetData>
  <mergeCells count="1">
    <mergeCell ref="A1:J1"/>
  </mergeCells>
  <conditionalFormatting sqref="A1:J361">
    <cfRule type="containsText" dxfId="0" priority="1" operator="containsText" text="FAB A FAIRE">
      <formula>NOT(ISERROR(SEARCH(("FAB A FAIRE"),(A1))))</formula>
    </cfRule>
  </conditionalFormatting>
  <conditionalFormatting sqref="B3:H361">
    <cfRule type="expression" dxfId="1" priority="2">
      <formula>$G3="Stand-by"</formula>
    </cfRule>
  </conditionalFormatting>
  <conditionalFormatting sqref="G1:G361">
    <cfRule type="cellIs" dxfId="2" priority="3" operator="equal">
      <formula>"A faire"</formula>
    </cfRule>
  </conditionalFormatting>
  <conditionalFormatting sqref="G1:G361">
    <cfRule type="cellIs" dxfId="3" priority="4" operator="equal">
      <formula>"En cours"</formula>
    </cfRule>
  </conditionalFormatting>
  <conditionalFormatting sqref="B3:H361">
    <cfRule type="expression" dxfId="4" priority="5">
      <formula>$G3="Sur T.L."</formula>
    </cfRule>
  </conditionalFormatting>
  <conditionalFormatting sqref="G1:G361">
    <cfRule type="cellIs" dxfId="5" priority="6" operator="equal">
      <formula>"Attente R."</formula>
    </cfRule>
  </conditionalFormatting>
  <conditionalFormatting sqref="F1:F361">
    <cfRule type="timePeriod" dxfId="6" priority="7" timePeriod="today"/>
  </conditionalFormatting>
  <conditionalFormatting sqref="F1:F361">
    <cfRule type="expression" dxfId="7" priority="8">
      <formula>AND(ISNUMBER(F1),TRUNC(F1)&lt;TODAY())</formula>
    </cfRule>
  </conditionalFormatting>
  <conditionalFormatting sqref="G1:G361">
    <cfRule type="cellIs" dxfId="8" priority="9" operator="equal">
      <formula>"Mairie"</formula>
    </cfRule>
  </conditionalFormatting>
  <conditionalFormatting sqref="H1:H361">
    <cfRule type="containsText" dxfId="9" priority="10" operator="containsText" text="REPRISE DOSSIER CAROLE">
      <formula>NOT(ISERROR(SEARCH(("REPRISE DOSSIER CAROLE"),(H1))))</formula>
    </cfRule>
  </conditionalFormatting>
  <conditionalFormatting sqref="H1:H361">
    <cfRule type="containsText" dxfId="10" priority="11" operator="containsText" text="URGENT">
      <formula>NOT(ISERROR(SEARCH(("URGENT"),(H1))))</formula>
    </cfRule>
  </conditionalFormatting>
  <dataValidations>
    <dataValidation type="list" allowBlank="1" sqref="G3:G361">
      <formula1>"-,A faire,En cours,Attente R.,Stand-by,Sur T.L.,Mairie,! Urgent !,A Relancer"</formula1>
    </dataValidation>
    <dataValidation type="list" allowBlank="1" sqref="E3:E361">
      <formula1>"-,M,A,S,L,D,F"</formula1>
    </dataValidation>
  </dataValidations>
  <printOptions gridLines="1" horizontalCentered="1"/>
  <pageMargins bottom="0.75" footer="0.0" header="0.0" left="0.7" right="0.7" top="0.75"/>
  <pageSetup fitToWidth="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E874"/>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32.0"/>
    <col customWidth="1" min="3" max="3" width="9.38"/>
    <col customWidth="1" min="4" max="4" width="12.13"/>
    <col customWidth="1" min="5" max="5" width="6.88"/>
    <col customWidth="1" min="6" max="6" width="8.63"/>
    <col customWidth="1" min="7" max="7" width="11.88"/>
    <col customWidth="1" min="8" max="8" width="83.75"/>
    <col customWidth="1" min="9" max="9" width="11.63"/>
    <col customWidth="1" min="10" max="10" width="2.63"/>
  </cols>
  <sheetData>
    <row r="1" ht="24.0" customHeight="1">
      <c r="A1" s="14" t="s">
        <v>97</v>
      </c>
    </row>
    <row r="2">
      <c r="A2" s="15"/>
      <c r="B2" s="16" t="s">
        <v>1</v>
      </c>
      <c r="C2" s="17" t="s">
        <v>2</v>
      </c>
      <c r="D2" s="17" t="s">
        <v>3</v>
      </c>
      <c r="E2" s="18" t="s">
        <v>4</v>
      </c>
      <c r="F2" s="17" t="s">
        <v>5</v>
      </c>
      <c r="G2" s="18" t="s">
        <v>6</v>
      </c>
      <c r="H2" s="18" t="s">
        <v>7</v>
      </c>
      <c r="I2" s="18" t="s">
        <v>8</v>
      </c>
      <c r="J2" s="19"/>
    </row>
    <row r="3">
      <c r="A3" s="20" t="s">
        <v>98</v>
      </c>
      <c r="B3" s="9" t="s">
        <v>99</v>
      </c>
      <c r="C3" s="8">
        <v>46007.62611488426</v>
      </c>
      <c r="D3" s="8"/>
      <c r="E3" s="9"/>
      <c r="F3" s="10"/>
      <c r="G3" s="9" t="s">
        <v>18</v>
      </c>
      <c r="H3" s="11"/>
      <c r="I3" s="9" t="s">
        <v>13</v>
      </c>
      <c r="J3" s="21"/>
    </row>
    <row r="4">
      <c r="A4" s="20" t="s">
        <v>98</v>
      </c>
      <c r="B4" s="9" t="s">
        <v>100</v>
      </c>
      <c r="C4" s="8">
        <v>46007.722220138894</v>
      </c>
      <c r="D4" s="8"/>
      <c r="E4" s="9"/>
      <c r="F4" s="10"/>
      <c r="G4" s="9" t="s">
        <v>18</v>
      </c>
      <c r="H4" s="11"/>
      <c r="I4" s="9" t="s">
        <v>13</v>
      </c>
      <c r="J4" s="21"/>
    </row>
    <row r="5">
      <c r="A5" s="20" t="s">
        <v>98</v>
      </c>
      <c r="B5" s="9" t="s">
        <v>101</v>
      </c>
      <c r="C5" s="8">
        <v>46010.47529844908</v>
      </c>
      <c r="D5" s="8"/>
      <c r="E5" s="9"/>
      <c r="F5" s="10"/>
      <c r="G5" s="9" t="s">
        <v>18</v>
      </c>
      <c r="H5" s="11"/>
      <c r="I5" s="9" t="s">
        <v>13</v>
      </c>
      <c r="J5" s="21"/>
    </row>
    <row r="6">
      <c r="A6" s="20" t="s">
        <v>98</v>
      </c>
      <c r="B6" s="9" t="s">
        <v>102</v>
      </c>
      <c r="C6" s="8">
        <v>45883.42177223379</v>
      </c>
      <c r="D6" s="8"/>
      <c r="E6" s="9"/>
      <c r="F6" s="10"/>
      <c r="G6" s="9" t="s">
        <v>18</v>
      </c>
      <c r="H6" s="7" t="s">
        <v>103</v>
      </c>
      <c r="I6" s="9" t="s">
        <v>13</v>
      </c>
      <c r="J6" s="21"/>
    </row>
    <row r="7">
      <c r="A7" s="20" t="s">
        <v>98</v>
      </c>
      <c r="B7" s="9" t="s">
        <v>104</v>
      </c>
      <c r="C7" s="8">
        <v>46009.48284724537</v>
      </c>
      <c r="D7" s="8"/>
      <c r="E7" s="9"/>
      <c r="F7" s="10"/>
      <c r="G7" s="9" t="s">
        <v>15</v>
      </c>
      <c r="H7" s="7" t="s">
        <v>105</v>
      </c>
      <c r="I7" s="9" t="s">
        <v>13</v>
      </c>
      <c r="J7" s="21"/>
    </row>
    <row r="8">
      <c r="A8" s="20" t="s">
        <v>98</v>
      </c>
      <c r="B8" s="9" t="s">
        <v>106</v>
      </c>
      <c r="C8" s="8">
        <v>45883.39434673611</v>
      </c>
      <c r="D8" s="8"/>
      <c r="E8" s="9"/>
      <c r="F8" s="10"/>
      <c r="G8" s="9" t="s">
        <v>15</v>
      </c>
      <c r="H8" s="22" t="s">
        <v>107</v>
      </c>
      <c r="I8" s="9" t="s">
        <v>13</v>
      </c>
      <c r="J8" s="21"/>
    </row>
    <row r="9">
      <c r="A9" s="20" t="s">
        <v>98</v>
      </c>
      <c r="B9" s="9" t="s">
        <v>108</v>
      </c>
      <c r="C9" s="8">
        <v>46008.70182353009</v>
      </c>
      <c r="D9" s="8"/>
      <c r="E9" s="9"/>
      <c r="F9" s="10"/>
      <c r="G9" s="9" t="s">
        <v>15</v>
      </c>
      <c r="H9" s="7" t="s">
        <v>109</v>
      </c>
      <c r="I9" s="9" t="s">
        <v>13</v>
      </c>
      <c r="J9" s="21"/>
    </row>
    <row r="10">
      <c r="A10" s="20" t="s">
        <v>98</v>
      </c>
      <c r="B10" s="9" t="s">
        <v>110</v>
      </c>
      <c r="C10" s="8">
        <v>46008.620149131944</v>
      </c>
      <c r="D10" s="8"/>
      <c r="E10" s="9"/>
      <c r="F10" s="10"/>
      <c r="G10" s="9" t="s">
        <v>15</v>
      </c>
      <c r="H10" s="23" t="s">
        <v>111</v>
      </c>
      <c r="I10" s="9" t="s">
        <v>13</v>
      </c>
      <c r="J10" s="21"/>
    </row>
    <row r="11">
      <c r="A11" s="20" t="s">
        <v>98</v>
      </c>
      <c r="B11" s="9" t="s">
        <v>112</v>
      </c>
      <c r="C11" s="8">
        <v>46008.36701605324</v>
      </c>
      <c r="D11" s="8"/>
      <c r="E11" s="9"/>
      <c r="F11" s="10"/>
      <c r="G11" s="9" t="s">
        <v>15</v>
      </c>
      <c r="H11" s="7" t="s">
        <v>113</v>
      </c>
      <c r="I11" s="9" t="s">
        <v>13</v>
      </c>
      <c r="J11" s="21"/>
    </row>
    <row r="12">
      <c r="A12" s="20" t="s">
        <v>98</v>
      </c>
      <c r="B12" s="9" t="s">
        <v>114</v>
      </c>
      <c r="C12" s="8">
        <v>46007.625161331016</v>
      </c>
      <c r="D12" s="8"/>
      <c r="E12" s="9"/>
      <c r="F12" s="10"/>
      <c r="G12" s="9" t="s">
        <v>15</v>
      </c>
      <c r="H12" s="7" t="s">
        <v>115</v>
      </c>
      <c r="I12" s="9" t="s">
        <v>13</v>
      </c>
      <c r="J12" s="21"/>
    </row>
    <row r="13">
      <c r="A13" s="20" t="s">
        <v>98</v>
      </c>
      <c r="B13" s="9" t="s">
        <v>116</v>
      </c>
      <c r="C13" s="8">
        <v>46003.47740708334</v>
      </c>
      <c r="D13" s="8"/>
      <c r="E13" s="9"/>
      <c r="F13" s="10"/>
      <c r="G13" s="9" t="s">
        <v>15</v>
      </c>
      <c r="H13" s="7" t="s">
        <v>117</v>
      </c>
      <c r="I13" s="9" t="s">
        <v>13</v>
      </c>
      <c r="J13" s="21"/>
    </row>
    <row r="14">
      <c r="A14" s="20" t="s">
        <v>98</v>
      </c>
      <c r="B14" s="9" t="s">
        <v>118</v>
      </c>
      <c r="C14" s="8">
        <v>46000.350400625</v>
      </c>
      <c r="D14" s="8"/>
      <c r="E14" s="9"/>
      <c r="F14" s="10"/>
      <c r="G14" s="9" t="s">
        <v>15</v>
      </c>
      <c r="H14" s="7" t="s">
        <v>119</v>
      </c>
      <c r="I14" s="9" t="s">
        <v>13</v>
      </c>
      <c r="J14" s="21"/>
    </row>
    <row r="15">
      <c r="A15" s="20" t="s">
        <v>98</v>
      </c>
      <c r="B15" s="9" t="s">
        <v>120</v>
      </c>
      <c r="C15" s="8">
        <v>46001.76318238426</v>
      </c>
      <c r="D15" s="8"/>
      <c r="E15" s="9"/>
      <c r="F15" s="10"/>
      <c r="G15" s="9" t="s">
        <v>15</v>
      </c>
      <c r="H15" s="7" t="s">
        <v>121</v>
      </c>
      <c r="I15" s="9" t="s">
        <v>13</v>
      </c>
      <c r="J15" s="21"/>
    </row>
    <row r="16">
      <c r="A16" s="20" t="s">
        <v>98</v>
      </c>
      <c r="B16" s="9" t="s">
        <v>122</v>
      </c>
      <c r="C16" s="8">
        <v>46001.7629053125</v>
      </c>
      <c r="D16" s="8"/>
      <c r="E16" s="9"/>
      <c r="F16" s="10"/>
      <c r="G16" s="9" t="s">
        <v>15</v>
      </c>
      <c r="H16" s="23" t="s">
        <v>123</v>
      </c>
      <c r="I16" s="9" t="s">
        <v>13</v>
      </c>
      <c r="J16" s="21"/>
    </row>
    <row r="17">
      <c r="A17" s="20" t="s">
        <v>98</v>
      </c>
      <c r="B17" s="9" t="s">
        <v>124</v>
      </c>
      <c r="C17" s="8">
        <v>46001.763056701384</v>
      </c>
      <c r="D17" s="8"/>
      <c r="E17" s="9"/>
      <c r="F17" s="10"/>
      <c r="G17" s="9" t="s">
        <v>15</v>
      </c>
      <c r="H17" s="23" t="s">
        <v>125</v>
      </c>
      <c r="I17" s="9" t="s">
        <v>13</v>
      </c>
      <c r="J17" s="21"/>
    </row>
    <row r="18">
      <c r="A18" s="20" t="s">
        <v>98</v>
      </c>
      <c r="B18" s="9" t="s">
        <v>126</v>
      </c>
      <c r="C18" s="8">
        <v>45999.715054155095</v>
      </c>
      <c r="D18" s="8"/>
      <c r="E18" s="9"/>
      <c r="F18" s="10"/>
      <c r="G18" s="9" t="s">
        <v>15</v>
      </c>
      <c r="H18" s="23" t="s">
        <v>127</v>
      </c>
      <c r="I18" s="9" t="s">
        <v>13</v>
      </c>
      <c r="J18" s="21"/>
    </row>
    <row r="19">
      <c r="A19" s="20" t="s">
        <v>98</v>
      </c>
      <c r="B19" s="9" t="s">
        <v>128</v>
      </c>
      <c r="C19" s="8">
        <v>45992.62284576389</v>
      </c>
      <c r="D19" s="8"/>
      <c r="E19" s="9"/>
      <c r="F19" s="10"/>
      <c r="G19" s="9" t="s">
        <v>15</v>
      </c>
      <c r="H19" s="7" t="s">
        <v>129</v>
      </c>
      <c r="I19" s="9" t="s">
        <v>13</v>
      </c>
      <c r="J19" s="21"/>
    </row>
    <row r="20">
      <c r="A20" s="20" t="s">
        <v>98</v>
      </c>
      <c r="B20" s="9" t="s">
        <v>130</v>
      </c>
      <c r="C20" s="8">
        <v>45988.72791612268</v>
      </c>
      <c r="D20" s="8"/>
      <c r="E20" s="9"/>
      <c r="F20" s="10"/>
      <c r="G20" s="9" t="s">
        <v>15</v>
      </c>
      <c r="H20" s="24" t="s">
        <v>131</v>
      </c>
      <c r="I20" s="9" t="s">
        <v>13</v>
      </c>
      <c r="J20" s="21"/>
    </row>
    <row r="21">
      <c r="A21" s="20" t="s">
        <v>98</v>
      </c>
      <c r="B21" s="9" t="s">
        <v>132</v>
      </c>
      <c r="C21" s="8">
        <v>45919.37826729167</v>
      </c>
      <c r="D21" s="8"/>
      <c r="E21" s="9"/>
      <c r="F21" s="10"/>
      <c r="G21" s="9" t="s">
        <v>15</v>
      </c>
      <c r="H21" s="22" t="s">
        <v>133</v>
      </c>
      <c r="I21" s="9" t="s">
        <v>13</v>
      </c>
      <c r="J21" s="21"/>
    </row>
    <row r="22">
      <c r="A22" s="20" t="s">
        <v>98</v>
      </c>
      <c r="B22" s="9" t="s">
        <v>134</v>
      </c>
      <c r="C22" s="8">
        <v>45988.72831984954</v>
      </c>
      <c r="D22" s="8"/>
      <c r="E22" s="9"/>
      <c r="F22" s="10"/>
      <c r="G22" s="9" t="s">
        <v>15</v>
      </c>
      <c r="H22" s="23" t="s">
        <v>135</v>
      </c>
      <c r="I22" s="9" t="s">
        <v>13</v>
      </c>
      <c r="J22" s="21"/>
    </row>
    <row r="23">
      <c r="A23" s="20" t="s">
        <v>98</v>
      </c>
      <c r="B23" s="9" t="s">
        <v>136</v>
      </c>
      <c r="C23" s="8">
        <v>45993.62608439814</v>
      </c>
      <c r="D23" s="8"/>
      <c r="E23" s="9"/>
      <c r="F23" s="10"/>
      <c r="G23" s="9" t="s">
        <v>15</v>
      </c>
      <c r="H23" s="23" t="s">
        <v>137</v>
      </c>
      <c r="I23" s="9" t="s">
        <v>13</v>
      </c>
      <c r="J23" s="21"/>
    </row>
    <row r="24">
      <c r="A24" s="20" t="s">
        <v>98</v>
      </c>
      <c r="B24" s="9" t="s">
        <v>138</v>
      </c>
      <c r="C24" s="8">
        <v>45993.62617229167</v>
      </c>
      <c r="D24" s="8"/>
      <c r="E24" s="9"/>
      <c r="F24" s="10"/>
      <c r="G24" s="9" t="s">
        <v>15</v>
      </c>
      <c r="H24" s="23" t="s">
        <v>137</v>
      </c>
      <c r="I24" s="9" t="s">
        <v>13</v>
      </c>
      <c r="J24" s="21"/>
    </row>
    <row r="25">
      <c r="A25" s="20" t="s">
        <v>98</v>
      </c>
      <c r="B25" s="9" t="s">
        <v>139</v>
      </c>
      <c r="C25" s="8">
        <v>45993.62631835648</v>
      </c>
      <c r="D25" s="8"/>
      <c r="E25" s="9"/>
      <c r="F25" s="10"/>
      <c r="G25" s="9" t="s">
        <v>15</v>
      </c>
      <c r="H25" s="23" t="s">
        <v>137</v>
      </c>
      <c r="I25" s="9" t="s">
        <v>13</v>
      </c>
      <c r="J25" s="21"/>
    </row>
    <row r="26">
      <c r="A26" s="20" t="s">
        <v>98</v>
      </c>
      <c r="B26" s="9" t="s">
        <v>140</v>
      </c>
      <c r="C26" s="8">
        <v>45993.73181857639</v>
      </c>
      <c r="D26" s="8"/>
      <c r="E26" s="9"/>
      <c r="F26" s="10"/>
      <c r="G26" s="9" t="s">
        <v>15</v>
      </c>
      <c r="H26" s="23" t="s">
        <v>137</v>
      </c>
      <c r="I26" s="9" t="s">
        <v>13</v>
      </c>
      <c r="J26" s="21"/>
    </row>
    <row r="27">
      <c r="A27" s="20" t="s">
        <v>98</v>
      </c>
      <c r="B27" s="9" t="s">
        <v>141</v>
      </c>
      <c r="C27" s="8">
        <v>45975.46658961805</v>
      </c>
      <c r="D27" s="8"/>
      <c r="E27" s="9"/>
      <c r="F27" s="10"/>
      <c r="G27" s="9" t="s">
        <v>15</v>
      </c>
      <c r="H27" s="7" t="s">
        <v>142</v>
      </c>
      <c r="I27" s="9" t="s">
        <v>13</v>
      </c>
      <c r="J27" s="21"/>
    </row>
    <row r="28">
      <c r="A28" s="20" t="s">
        <v>98</v>
      </c>
      <c r="B28" s="9" t="s">
        <v>143</v>
      </c>
      <c r="C28" s="8">
        <v>45915.73450921296</v>
      </c>
      <c r="D28" s="8"/>
      <c r="E28" s="9"/>
      <c r="F28" s="10"/>
      <c r="G28" s="9" t="s">
        <v>15</v>
      </c>
      <c r="H28" s="22" t="s">
        <v>144</v>
      </c>
      <c r="I28" s="9" t="s">
        <v>13</v>
      </c>
      <c r="J28" s="21"/>
    </row>
    <row r="29">
      <c r="A29" s="20" t="s">
        <v>98</v>
      </c>
      <c r="B29" s="9" t="s">
        <v>145</v>
      </c>
      <c r="C29" s="8">
        <v>45981.832146099536</v>
      </c>
      <c r="D29" s="8"/>
      <c r="E29" s="9"/>
      <c r="F29" s="10"/>
      <c r="G29" s="9" t="s">
        <v>15</v>
      </c>
      <c r="H29" s="7" t="s">
        <v>146</v>
      </c>
      <c r="I29" s="9" t="s">
        <v>13</v>
      </c>
      <c r="J29" s="21"/>
    </row>
    <row r="30">
      <c r="A30" s="20" t="s">
        <v>98</v>
      </c>
      <c r="B30" s="9" t="s">
        <v>147</v>
      </c>
      <c r="C30" s="8">
        <v>45973.73578942129</v>
      </c>
      <c r="D30" s="8"/>
      <c r="E30" s="9"/>
      <c r="F30" s="10"/>
      <c r="G30" s="9" t="s">
        <v>15</v>
      </c>
      <c r="H30" s="22" t="s">
        <v>148</v>
      </c>
      <c r="I30" s="9" t="s">
        <v>13</v>
      </c>
      <c r="J30" s="21"/>
    </row>
    <row r="31">
      <c r="A31" s="20" t="s">
        <v>98</v>
      </c>
      <c r="B31" s="9" t="s">
        <v>149</v>
      </c>
      <c r="C31" s="8">
        <v>45975.46662929398</v>
      </c>
      <c r="D31" s="8"/>
      <c r="E31" s="9"/>
      <c r="F31" s="10"/>
      <c r="G31" s="9" t="s">
        <v>15</v>
      </c>
      <c r="H31" s="7" t="s">
        <v>146</v>
      </c>
      <c r="I31" s="9" t="s">
        <v>13</v>
      </c>
      <c r="J31" s="21"/>
    </row>
    <row r="32">
      <c r="A32" s="20" t="s">
        <v>98</v>
      </c>
      <c r="B32" s="9" t="s">
        <v>150</v>
      </c>
      <c r="C32" s="8">
        <v>45947.44500208333</v>
      </c>
      <c r="D32" s="8"/>
      <c r="E32" s="9"/>
      <c r="F32" s="10"/>
      <c r="G32" s="9" t="s">
        <v>15</v>
      </c>
      <c r="H32" s="22" t="s">
        <v>151</v>
      </c>
      <c r="I32" s="9" t="s">
        <v>13</v>
      </c>
      <c r="J32" s="21"/>
    </row>
    <row r="33">
      <c r="A33" s="20" t="s">
        <v>98</v>
      </c>
      <c r="B33" s="9" t="s">
        <v>152</v>
      </c>
      <c r="C33" s="8">
        <v>45950.38562513889</v>
      </c>
      <c r="D33" s="8"/>
      <c r="E33" s="9"/>
      <c r="F33" s="10"/>
      <c r="G33" s="9" t="s">
        <v>15</v>
      </c>
      <c r="H33" s="7" t="s">
        <v>146</v>
      </c>
      <c r="I33" s="9" t="s">
        <v>13</v>
      </c>
      <c r="J33" s="21"/>
    </row>
    <row r="34">
      <c r="A34" s="20" t="s">
        <v>98</v>
      </c>
      <c r="B34" s="9" t="s">
        <v>153</v>
      </c>
      <c r="C34" s="8">
        <v>45932.401031076384</v>
      </c>
      <c r="D34" s="8"/>
      <c r="E34" s="9"/>
      <c r="F34" s="10"/>
      <c r="G34" s="9" t="s">
        <v>15</v>
      </c>
      <c r="H34" s="22" t="s">
        <v>154</v>
      </c>
      <c r="I34" s="9" t="s">
        <v>13</v>
      </c>
      <c r="J34" s="21"/>
    </row>
    <row r="35">
      <c r="A35" s="20" t="s">
        <v>98</v>
      </c>
      <c r="B35" s="9" t="s">
        <v>155</v>
      </c>
      <c r="C35" s="8">
        <v>45911.747363981485</v>
      </c>
      <c r="D35" s="8"/>
      <c r="E35" s="9"/>
      <c r="F35" s="10"/>
      <c r="G35" s="9" t="s">
        <v>15</v>
      </c>
      <c r="H35" s="22" t="s">
        <v>156</v>
      </c>
      <c r="I35" s="9" t="s">
        <v>13</v>
      </c>
      <c r="J35" s="21"/>
    </row>
    <row r="36">
      <c r="A36" s="20" t="s">
        <v>98</v>
      </c>
      <c r="B36" s="9" t="s">
        <v>157</v>
      </c>
      <c r="C36" s="8">
        <v>45943.3883566088</v>
      </c>
      <c r="D36" s="8"/>
      <c r="E36" s="9"/>
      <c r="F36" s="10"/>
      <c r="G36" s="9" t="s">
        <v>15</v>
      </c>
      <c r="H36" s="7" t="s">
        <v>146</v>
      </c>
      <c r="I36" s="9" t="s">
        <v>13</v>
      </c>
      <c r="J36" s="21"/>
    </row>
    <row r="37">
      <c r="A37" s="20" t="s">
        <v>98</v>
      </c>
      <c r="B37" s="9" t="s">
        <v>158</v>
      </c>
      <c r="C37" s="8">
        <v>45911.376454502315</v>
      </c>
      <c r="D37" s="8"/>
      <c r="E37" s="9"/>
      <c r="F37" s="10"/>
      <c r="G37" s="9" t="s">
        <v>15</v>
      </c>
      <c r="H37" s="22" t="s">
        <v>159</v>
      </c>
      <c r="I37" s="9" t="s">
        <v>13</v>
      </c>
      <c r="J37" s="21"/>
    </row>
    <row r="38">
      <c r="A38" s="20" t="s">
        <v>98</v>
      </c>
      <c r="B38" s="9" t="s">
        <v>160</v>
      </c>
      <c r="C38" s="8">
        <v>45742.46683020833</v>
      </c>
      <c r="D38" s="8"/>
      <c r="E38" s="9"/>
      <c r="F38" s="10"/>
      <c r="G38" s="9" t="s">
        <v>15</v>
      </c>
      <c r="H38" s="22" t="s">
        <v>161</v>
      </c>
      <c r="I38" s="9" t="s">
        <v>13</v>
      </c>
      <c r="J38" s="21"/>
    </row>
    <row r="39">
      <c r="A39" s="20" t="s">
        <v>98</v>
      </c>
      <c r="B39" s="9" t="s">
        <v>162</v>
      </c>
      <c r="C39" s="8">
        <v>45742.4669659838</v>
      </c>
      <c r="D39" s="8"/>
      <c r="E39" s="9"/>
      <c r="F39" s="10"/>
      <c r="G39" s="9" t="s">
        <v>15</v>
      </c>
      <c r="H39" s="7" t="s">
        <v>163</v>
      </c>
      <c r="I39" s="9" t="s">
        <v>13</v>
      </c>
      <c r="J39" s="21"/>
    </row>
    <row r="40">
      <c r="A40" s="20" t="s">
        <v>98</v>
      </c>
      <c r="B40" s="9" t="s">
        <v>164</v>
      </c>
      <c r="C40" s="8">
        <v>45957.50256366898</v>
      </c>
      <c r="D40" s="8"/>
      <c r="E40" s="9"/>
      <c r="F40" s="10"/>
      <c r="G40" s="9" t="s">
        <v>15</v>
      </c>
      <c r="H40" s="7" t="s">
        <v>146</v>
      </c>
      <c r="I40" s="9" t="s">
        <v>13</v>
      </c>
      <c r="J40" s="21"/>
    </row>
    <row r="41">
      <c r="A41" s="20" t="s">
        <v>98</v>
      </c>
      <c r="B41" s="9" t="s">
        <v>165</v>
      </c>
      <c r="C41" s="8">
        <v>45957.50475306713</v>
      </c>
      <c r="D41" s="8"/>
      <c r="E41" s="9"/>
      <c r="F41" s="10"/>
      <c r="G41" s="9" t="s">
        <v>15</v>
      </c>
      <c r="H41" s="7" t="s">
        <v>146</v>
      </c>
      <c r="I41" s="9" t="s">
        <v>13</v>
      </c>
      <c r="J41" s="21"/>
    </row>
    <row r="42">
      <c r="A42" s="20" t="s">
        <v>98</v>
      </c>
      <c r="B42" s="9" t="s">
        <v>166</v>
      </c>
      <c r="C42" s="8">
        <v>45957.50591216436</v>
      </c>
      <c r="D42" s="8"/>
      <c r="E42" s="9"/>
      <c r="F42" s="10"/>
      <c r="G42" s="9" t="s">
        <v>15</v>
      </c>
      <c r="H42" s="7" t="s">
        <v>146</v>
      </c>
      <c r="I42" s="9" t="s">
        <v>13</v>
      </c>
      <c r="J42" s="21"/>
    </row>
    <row r="43">
      <c r="A43" s="20" t="s">
        <v>98</v>
      </c>
      <c r="B43" s="9" t="s">
        <v>167</v>
      </c>
      <c r="C43" s="8">
        <v>45957.506735717594</v>
      </c>
      <c r="D43" s="8"/>
      <c r="E43" s="9"/>
      <c r="F43" s="10"/>
      <c r="G43" s="9" t="s">
        <v>15</v>
      </c>
      <c r="H43" s="7" t="s">
        <v>146</v>
      </c>
      <c r="I43" s="9" t="s">
        <v>13</v>
      </c>
      <c r="J43" s="21"/>
    </row>
    <row r="44">
      <c r="A44" s="20" t="s">
        <v>98</v>
      </c>
      <c r="B44" s="9" t="s">
        <v>168</v>
      </c>
      <c r="C44" s="8">
        <v>45973.73367136574</v>
      </c>
      <c r="D44" s="8"/>
      <c r="E44" s="9"/>
      <c r="F44" s="10"/>
      <c r="G44" s="9" t="s">
        <v>15</v>
      </c>
      <c r="H44" s="7" t="s">
        <v>146</v>
      </c>
      <c r="I44" s="9" t="s">
        <v>13</v>
      </c>
      <c r="J44" s="21"/>
    </row>
    <row r="45">
      <c r="A45" s="20" t="s">
        <v>98</v>
      </c>
      <c r="B45" s="9" t="s">
        <v>169</v>
      </c>
      <c r="C45" s="8">
        <v>45973.73504138889</v>
      </c>
      <c r="D45" s="8"/>
      <c r="E45" s="9"/>
      <c r="F45" s="10"/>
      <c r="G45" s="9" t="s">
        <v>15</v>
      </c>
      <c r="H45" s="7" t="s">
        <v>146</v>
      </c>
      <c r="I45" s="9" t="s">
        <v>13</v>
      </c>
      <c r="J45" s="21"/>
    </row>
    <row r="46">
      <c r="A46" s="20" t="s">
        <v>98</v>
      </c>
      <c r="B46" s="9" t="s">
        <v>170</v>
      </c>
      <c r="C46" s="8">
        <v>45978.637254120375</v>
      </c>
      <c r="D46" s="8"/>
      <c r="E46" s="9"/>
      <c r="F46" s="10"/>
      <c r="G46" s="9" t="s">
        <v>15</v>
      </c>
      <c r="H46" s="7" t="s">
        <v>171</v>
      </c>
      <c r="I46" s="9" t="s">
        <v>13</v>
      </c>
      <c r="J46" s="21"/>
    </row>
    <row r="47">
      <c r="A47" s="20" t="s">
        <v>98</v>
      </c>
      <c r="B47" s="9" t="s">
        <v>172</v>
      </c>
      <c r="C47" s="8">
        <v>45981.83218034722</v>
      </c>
      <c r="D47" s="8"/>
      <c r="E47" s="9"/>
      <c r="F47" s="10"/>
      <c r="G47" s="9" t="s">
        <v>21</v>
      </c>
      <c r="H47" s="22" t="s">
        <v>173</v>
      </c>
      <c r="I47" s="9" t="s">
        <v>13</v>
      </c>
      <c r="J47" s="21"/>
    </row>
    <row r="48">
      <c r="A48" s="20" t="s">
        <v>98</v>
      </c>
      <c r="B48" s="9" t="s">
        <v>174</v>
      </c>
      <c r="C48" s="8">
        <v>45958.7306694213</v>
      </c>
      <c r="D48" s="8"/>
      <c r="E48" s="9"/>
      <c r="F48" s="10"/>
      <c r="G48" s="9" t="s">
        <v>21</v>
      </c>
      <c r="H48" s="22" t="s">
        <v>175</v>
      </c>
      <c r="I48" s="9" t="s">
        <v>13</v>
      </c>
      <c r="J48" s="21"/>
    </row>
    <row r="49">
      <c r="A49" s="20" t="s">
        <v>98</v>
      </c>
      <c r="B49" s="9" t="s">
        <v>176</v>
      </c>
      <c r="C49" s="8">
        <v>45973.73362221065</v>
      </c>
      <c r="D49" s="8"/>
      <c r="E49" s="9"/>
      <c r="F49" s="10"/>
      <c r="G49" s="9" t="s">
        <v>21</v>
      </c>
      <c r="H49" s="22" t="s">
        <v>177</v>
      </c>
      <c r="I49" s="9" t="s">
        <v>13</v>
      </c>
      <c r="J49" s="21"/>
    </row>
    <row r="50">
      <c r="A50" s="20" t="s">
        <v>98</v>
      </c>
      <c r="B50" s="9" t="s">
        <v>178</v>
      </c>
      <c r="C50" s="8">
        <v>45957.505857662036</v>
      </c>
      <c r="D50" s="8"/>
      <c r="E50" s="9"/>
      <c r="F50" s="10"/>
      <c r="G50" s="9" t="s">
        <v>21</v>
      </c>
      <c r="H50" s="7" t="s">
        <v>179</v>
      </c>
      <c r="I50" s="9" t="s">
        <v>13</v>
      </c>
      <c r="J50" s="21"/>
    </row>
    <row r="51">
      <c r="A51" s="20" t="s">
        <v>98</v>
      </c>
      <c r="B51" s="9" t="s">
        <v>180</v>
      </c>
      <c r="C51" s="8">
        <v>45973.73501023148</v>
      </c>
      <c r="D51" s="8"/>
      <c r="E51" s="9"/>
      <c r="F51" s="10"/>
      <c r="G51" s="9" t="s">
        <v>21</v>
      </c>
      <c r="H51" s="25" t="s">
        <v>181</v>
      </c>
      <c r="I51" s="9" t="s">
        <v>13</v>
      </c>
      <c r="J51" s="21"/>
    </row>
    <row r="52">
      <c r="A52" s="20" t="s">
        <v>98</v>
      </c>
      <c r="B52" s="9" t="s">
        <v>182</v>
      </c>
      <c r="C52" s="8">
        <v>45839.35254144676</v>
      </c>
      <c r="D52" s="8"/>
      <c r="E52" s="9"/>
      <c r="F52" s="10"/>
      <c r="G52" s="9" t="s">
        <v>21</v>
      </c>
      <c r="H52" s="22" t="s">
        <v>183</v>
      </c>
      <c r="I52" s="9" t="s">
        <v>13</v>
      </c>
      <c r="J52" s="21"/>
    </row>
    <row r="53">
      <c r="A53" s="20" t="s">
        <v>98</v>
      </c>
      <c r="B53" s="9" t="s">
        <v>184</v>
      </c>
      <c r="C53" s="8">
        <v>45957.50752896991</v>
      </c>
      <c r="D53" s="8"/>
      <c r="E53" s="9"/>
      <c r="F53" s="10"/>
      <c r="G53" s="9" t="s">
        <v>21</v>
      </c>
      <c r="H53" s="7" t="s">
        <v>185</v>
      </c>
      <c r="I53" s="9" t="s">
        <v>13</v>
      </c>
      <c r="J53" s="21"/>
    </row>
    <row r="54">
      <c r="A54" s="20" t="s">
        <v>98</v>
      </c>
      <c r="B54" s="9" t="s">
        <v>186</v>
      </c>
      <c r="C54" s="8">
        <v>45925.4414153588</v>
      </c>
      <c r="D54" s="8"/>
      <c r="E54" s="9"/>
      <c r="F54" s="10"/>
      <c r="G54" s="9" t="s">
        <v>21</v>
      </c>
      <c r="H54" s="22" t="s">
        <v>187</v>
      </c>
      <c r="I54" s="9" t="s">
        <v>13</v>
      </c>
      <c r="J54" s="21"/>
    </row>
    <row r="55">
      <c r="A55" s="20" t="s">
        <v>98</v>
      </c>
      <c r="B55" s="9" t="s">
        <v>188</v>
      </c>
      <c r="C55" s="8">
        <v>45957.506695937496</v>
      </c>
      <c r="D55" s="8"/>
      <c r="E55" s="9"/>
      <c r="F55" s="10"/>
      <c r="G55" s="9" t="s">
        <v>21</v>
      </c>
      <c r="H55" s="22" t="s">
        <v>189</v>
      </c>
      <c r="I55" s="9" t="s">
        <v>13</v>
      </c>
      <c r="J55" s="21"/>
    </row>
    <row r="56">
      <c r="A56" s="20" t="s">
        <v>98</v>
      </c>
      <c r="B56" s="9" t="s">
        <v>190</v>
      </c>
      <c r="C56" s="8">
        <v>45971.70049232639</v>
      </c>
      <c r="D56" s="8"/>
      <c r="E56" s="9"/>
      <c r="F56" s="10"/>
      <c r="G56" s="9" t="s">
        <v>21</v>
      </c>
      <c r="H56" s="7" t="s">
        <v>191</v>
      </c>
      <c r="I56" s="9" t="s">
        <v>13</v>
      </c>
      <c r="J56" s="21"/>
    </row>
    <row r="57">
      <c r="A57" s="20" t="s">
        <v>98</v>
      </c>
      <c r="B57" s="9" t="s">
        <v>192</v>
      </c>
      <c r="C57" s="8">
        <v>45957.50469371528</v>
      </c>
      <c r="D57" s="8"/>
      <c r="E57" s="9"/>
      <c r="F57" s="10"/>
      <c r="G57" s="9" t="s">
        <v>21</v>
      </c>
      <c r="H57" s="7" t="s">
        <v>193</v>
      </c>
      <c r="I57" s="9" t="s">
        <v>13</v>
      </c>
      <c r="J57" s="21"/>
    </row>
    <row r="58">
      <c r="A58" s="20" t="s">
        <v>98</v>
      </c>
      <c r="B58" s="9" t="s">
        <v>194</v>
      </c>
      <c r="C58" s="8">
        <v>45957.50252637731</v>
      </c>
      <c r="D58" s="8"/>
      <c r="E58" s="9"/>
      <c r="F58" s="10"/>
      <c r="G58" s="9" t="s">
        <v>21</v>
      </c>
      <c r="H58" s="7" t="s">
        <v>195</v>
      </c>
      <c r="I58" s="9" t="s">
        <v>13</v>
      </c>
      <c r="J58" s="21"/>
    </row>
    <row r="59">
      <c r="A59" s="20" t="s">
        <v>98</v>
      </c>
      <c r="B59" s="9" t="s">
        <v>196</v>
      </c>
      <c r="C59" s="8">
        <v>45936.43224184027</v>
      </c>
      <c r="D59" s="8"/>
      <c r="E59" s="9"/>
      <c r="F59" s="10"/>
      <c r="G59" s="9" t="s">
        <v>21</v>
      </c>
      <c r="H59" s="22" t="s">
        <v>197</v>
      </c>
      <c r="I59" s="9" t="s">
        <v>13</v>
      </c>
      <c r="J59" s="21"/>
    </row>
    <row r="60">
      <c r="A60" s="20" t="s">
        <v>98</v>
      </c>
      <c r="B60" s="9" t="s">
        <v>198</v>
      </c>
      <c r="C60" s="8">
        <v>45846.53800760416</v>
      </c>
      <c r="D60" s="8"/>
      <c r="E60" s="9"/>
      <c r="F60" s="10"/>
      <c r="G60" s="9" t="s">
        <v>21</v>
      </c>
      <c r="H60" s="22" t="s">
        <v>199</v>
      </c>
      <c r="I60" s="9" t="s">
        <v>13</v>
      </c>
      <c r="J60" s="21"/>
    </row>
    <row r="61">
      <c r="A61" s="20" t="s">
        <v>98</v>
      </c>
      <c r="B61" s="9" t="s">
        <v>200</v>
      </c>
      <c r="C61" s="8">
        <v>45846.49505336805</v>
      </c>
      <c r="D61" s="8"/>
      <c r="E61" s="9"/>
      <c r="F61" s="10"/>
      <c r="G61" s="9" t="s">
        <v>21</v>
      </c>
      <c r="H61" s="22" t="s">
        <v>201</v>
      </c>
      <c r="I61" s="9" t="s">
        <v>13</v>
      </c>
      <c r="J61" s="21"/>
    </row>
    <row r="62">
      <c r="A62" s="20" t="s">
        <v>98</v>
      </c>
      <c r="B62" s="9" t="s">
        <v>202</v>
      </c>
      <c r="C62" s="8">
        <v>45810.66963201389</v>
      </c>
      <c r="D62" s="8"/>
      <c r="E62" s="9"/>
      <c r="F62" s="10"/>
      <c r="G62" s="9" t="s">
        <v>21</v>
      </c>
      <c r="H62" s="25" t="s">
        <v>203</v>
      </c>
      <c r="I62" s="9" t="s">
        <v>13</v>
      </c>
      <c r="J62" s="21"/>
    </row>
    <row r="63">
      <c r="A63" s="20" t="s">
        <v>98</v>
      </c>
      <c r="B63" s="26"/>
      <c r="C63" s="8"/>
      <c r="D63" s="8"/>
      <c r="E63" s="9"/>
      <c r="F63" s="10"/>
      <c r="G63" s="9"/>
      <c r="H63" s="11"/>
      <c r="I63" s="9" t="s">
        <v>13</v>
      </c>
      <c r="J63" s="21"/>
    </row>
    <row r="64">
      <c r="A64" s="20" t="s">
        <v>98</v>
      </c>
      <c r="B64" s="26"/>
      <c r="C64" s="8"/>
      <c r="D64" s="8"/>
      <c r="E64" s="9"/>
      <c r="F64" s="10"/>
      <c r="G64" s="9"/>
      <c r="H64" s="11"/>
      <c r="I64" s="9" t="s">
        <v>13</v>
      </c>
      <c r="J64" s="21"/>
    </row>
    <row r="65">
      <c r="A65" s="20" t="s">
        <v>98</v>
      </c>
      <c r="B65" s="26"/>
      <c r="C65" s="8"/>
      <c r="D65" s="8"/>
      <c r="E65" s="9"/>
      <c r="F65" s="10"/>
      <c r="G65" s="9"/>
      <c r="H65" s="11"/>
      <c r="I65" s="9" t="s">
        <v>13</v>
      </c>
      <c r="J65" s="21"/>
    </row>
    <row r="66">
      <c r="A66" s="20" t="s">
        <v>98</v>
      </c>
      <c r="B66" s="26"/>
      <c r="C66" s="8"/>
      <c r="D66" s="8"/>
      <c r="E66" s="9"/>
      <c r="F66" s="10"/>
      <c r="G66" s="9"/>
      <c r="H66" s="11"/>
      <c r="I66" s="9" t="s">
        <v>13</v>
      </c>
      <c r="J66" s="21"/>
    </row>
    <row r="67">
      <c r="A67" s="20" t="s">
        <v>98</v>
      </c>
      <c r="B67" s="26"/>
      <c r="C67" s="8"/>
      <c r="D67" s="8"/>
      <c r="E67" s="9"/>
      <c r="F67" s="10"/>
      <c r="G67" s="9"/>
      <c r="H67" s="11"/>
      <c r="I67" s="9" t="s">
        <v>13</v>
      </c>
      <c r="J67" s="21"/>
    </row>
    <row r="68">
      <c r="A68" s="20" t="s">
        <v>98</v>
      </c>
      <c r="B68" s="26"/>
      <c r="C68" s="8"/>
      <c r="D68" s="8"/>
      <c r="E68" s="9"/>
      <c r="F68" s="10"/>
      <c r="G68" s="9"/>
      <c r="H68" s="11"/>
      <c r="I68" s="9" t="s">
        <v>13</v>
      </c>
      <c r="J68" s="21"/>
    </row>
    <row r="69">
      <c r="A69" s="20" t="s">
        <v>98</v>
      </c>
      <c r="B69" s="26"/>
      <c r="C69" s="8"/>
      <c r="D69" s="8"/>
      <c r="E69" s="9"/>
      <c r="F69" s="10"/>
      <c r="G69" s="9"/>
      <c r="H69" s="11"/>
      <c r="I69" s="9" t="s">
        <v>13</v>
      </c>
      <c r="J69" s="21"/>
    </row>
    <row r="70">
      <c r="A70" s="20" t="s">
        <v>98</v>
      </c>
      <c r="B70" s="26"/>
      <c r="C70" s="8"/>
      <c r="D70" s="8"/>
      <c r="E70" s="9"/>
      <c r="F70" s="10"/>
      <c r="G70" s="9"/>
      <c r="H70" s="11"/>
      <c r="I70" s="9" t="s">
        <v>13</v>
      </c>
      <c r="J70" s="21"/>
    </row>
    <row r="71">
      <c r="A71" s="20" t="s">
        <v>98</v>
      </c>
      <c r="B71" s="26"/>
      <c r="C71" s="8"/>
      <c r="D71" s="8"/>
      <c r="E71" s="9"/>
      <c r="F71" s="10"/>
      <c r="G71" s="9"/>
      <c r="H71" s="11"/>
      <c r="I71" s="9" t="s">
        <v>13</v>
      </c>
      <c r="J71" s="21"/>
    </row>
    <row r="72">
      <c r="A72" s="20" t="s">
        <v>98</v>
      </c>
      <c r="B72" s="26"/>
      <c r="C72" s="8"/>
      <c r="D72" s="8"/>
      <c r="E72" s="9"/>
      <c r="F72" s="10"/>
      <c r="G72" s="9"/>
      <c r="H72" s="11"/>
      <c r="I72" s="9" t="s">
        <v>13</v>
      </c>
      <c r="J72" s="21"/>
    </row>
    <row r="73">
      <c r="A73" s="20" t="s">
        <v>98</v>
      </c>
      <c r="B73" s="26"/>
      <c r="C73" s="8"/>
      <c r="D73" s="8"/>
      <c r="E73" s="9"/>
      <c r="F73" s="10"/>
      <c r="G73" s="9"/>
      <c r="H73" s="11"/>
      <c r="I73" s="9" t="s">
        <v>13</v>
      </c>
      <c r="J73" s="21"/>
    </row>
    <row r="74">
      <c r="A74" s="20" t="s">
        <v>98</v>
      </c>
      <c r="B74" s="26"/>
      <c r="C74" s="8"/>
      <c r="D74" s="8"/>
      <c r="E74" s="9"/>
      <c r="F74" s="10"/>
      <c r="G74" s="9"/>
      <c r="H74" s="11"/>
      <c r="I74" s="9" t="s">
        <v>13</v>
      </c>
      <c r="J74" s="21"/>
    </row>
    <row r="75">
      <c r="A75" s="20" t="s">
        <v>98</v>
      </c>
      <c r="B75" s="26"/>
      <c r="C75" s="8"/>
      <c r="D75" s="8"/>
      <c r="E75" s="9"/>
      <c r="F75" s="10"/>
      <c r="G75" s="9"/>
      <c r="H75" s="11"/>
      <c r="I75" s="9" t="s">
        <v>13</v>
      </c>
      <c r="J75" s="21"/>
    </row>
    <row r="76">
      <c r="A76" s="20" t="s">
        <v>98</v>
      </c>
      <c r="B76" s="26"/>
      <c r="C76" s="8"/>
      <c r="D76" s="8"/>
      <c r="E76" s="9"/>
      <c r="F76" s="10"/>
      <c r="G76" s="9"/>
      <c r="H76" s="11"/>
      <c r="I76" s="9" t="s">
        <v>13</v>
      </c>
      <c r="J76" s="21"/>
    </row>
    <row r="77">
      <c r="A77" s="20" t="s">
        <v>98</v>
      </c>
      <c r="B77" s="26"/>
      <c r="C77" s="8"/>
      <c r="D77" s="8"/>
      <c r="E77" s="9"/>
      <c r="F77" s="10"/>
      <c r="G77" s="9"/>
      <c r="H77" s="11"/>
      <c r="I77" s="9" t="s">
        <v>13</v>
      </c>
      <c r="J77" s="21"/>
    </row>
    <row r="78">
      <c r="A78" s="20" t="s">
        <v>98</v>
      </c>
      <c r="B78" s="26"/>
      <c r="C78" s="8"/>
      <c r="D78" s="8"/>
      <c r="E78" s="9"/>
      <c r="F78" s="10"/>
      <c r="G78" s="9"/>
      <c r="H78" s="11"/>
      <c r="I78" s="9" t="s">
        <v>13</v>
      </c>
      <c r="J78" s="21"/>
    </row>
    <row r="79">
      <c r="A79" s="20" t="s">
        <v>98</v>
      </c>
      <c r="B79" s="26"/>
      <c r="C79" s="8"/>
      <c r="D79" s="8"/>
      <c r="E79" s="9"/>
      <c r="F79" s="10"/>
      <c r="G79" s="9"/>
      <c r="H79" s="11"/>
      <c r="I79" s="9" t="s">
        <v>13</v>
      </c>
      <c r="J79" s="21"/>
    </row>
    <row r="80">
      <c r="A80" s="20" t="s">
        <v>98</v>
      </c>
      <c r="B80" s="26"/>
      <c r="C80" s="8"/>
      <c r="D80" s="8"/>
      <c r="E80" s="9"/>
      <c r="F80" s="10"/>
      <c r="G80" s="9"/>
      <c r="H80" s="11"/>
      <c r="I80" s="9" t="s">
        <v>13</v>
      </c>
      <c r="J80" s="21"/>
    </row>
    <row r="81">
      <c r="A81" s="20" t="s">
        <v>98</v>
      </c>
      <c r="B81" s="26"/>
      <c r="C81" s="8"/>
      <c r="D81" s="8"/>
      <c r="E81" s="9"/>
      <c r="F81" s="10"/>
      <c r="G81" s="9"/>
      <c r="H81" s="11"/>
      <c r="I81" s="9" t="s">
        <v>13</v>
      </c>
      <c r="J81" s="21"/>
    </row>
    <row r="82">
      <c r="A82" s="20" t="s">
        <v>98</v>
      </c>
      <c r="B82" s="26"/>
      <c r="C82" s="8"/>
      <c r="D82" s="8"/>
      <c r="E82" s="9"/>
      <c r="F82" s="10"/>
      <c r="G82" s="9"/>
      <c r="H82" s="11"/>
      <c r="I82" s="9" t="s">
        <v>13</v>
      </c>
      <c r="J82" s="21"/>
    </row>
    <row r="83">
      <c r="A83" s="20" t="s">
        <v>98</v>
      </c>
      <c r="B83" s="26"/>
      <c r="C83" s="8"/>
      <c r="D83" s="8"/>
      <c r="E83" s="9"/>
      <c r="F83" s="10"/>
      <c r="G83" s="9"/>
      <c r="H83" s="11"/>
      <c r="I83" s="9" t="s">
        <v>13</v>
      </c>
      <c r="J83" s="21"/>
    </row>
    <row r="84">
      <c r="A84" s="20" t="s">
        <v>98</v>
      </c>
      <c r="B84" s="26"/>
      <c r="C84" s="8"/>
      <c r="D84" s="8"/>
      <c r="E84" s="9"/>
      <c r="F84" s="10"/>
      <c r="G84" s="9"/>
      <c r="H84" s="11"/>
      <c r="I84" s="9" t="s">
        <v>13</v>
      </c>
      <c r="J84" s="21"/>
    </row>
    <row r="85">
      <c r="A85" s="20" t="s">
        <v>98</v>
      </c>
      <c r="B85" s="26"/>
      <c r="C85" s="8"/>
      <c r="D85" s="8"/>
      <c r="E85" s="9"/>
      <c r="F85" s="10"/>
      <c r="G85" s="9"/>
      <c r="H85" s="11"/>
      <c r="I85" s="9" t="s">
        <v>13</v>
      </c>
      <c r="J85" s="21"/>
    </row>
    <row r="86">
      <c r="A86" s="20" t="s">
        <v>98</v>
      </c>
      <c r="B86" s="26"/>
      <c r="C86" s="8"/>
      <c r="D86" s="8"/>
      <c r="E86" s="9"/>
      <c r="F86" s="10"/>
      <c r="G86" s="9"/>
      <c r="H86" s="11"/>
      <c r="I86" s="9" t="s">
        <v>13</v>
      </c>
      <c r="J86" s="21"/>
    </row>
    <row r="87">
      <c r="A87" s="20" t="s">
        <v>98</v>
      </c>
      <c r="B87" s="26"/>
      <c r="C87" s="8"/>
      <c r="D87" s="8"/>
      <c r="E87" s="9"/>
      <c r="F87" s="10"/>
      <c r="G87" s="9"/>
      <c r="H87" s="11"/>
      <c r="I87" s="9" t="s">
        <v>13</v>
      </c>
      <c r="J87" s="21"/>
    </row>
    <row r="88">
      <c r="A88" s="20" t="s">
        <v>98</v>
      </c>
      <c r="B88" s="26"/>
      <c r="C88" s="8"/>
      <c r="D88" s="8"/>
      <c r="E88" s="9"/>
      <c r="F88" s="10"/>
      <c r="G88" s="9"/>
      <c r="H88" s="11"/>
      <c r="I88" s="9" t="s">
        <v>13</v>
      </c>
      <c r="J88" s="21"/>
    </row>
    <row r="89">
      <c r="A89" s="20" t="s">
        <v>98</v>
      </c>
      <c r="B89" s="26"/>
      <c r="C89" s="8"/>
      <c r="D89" s="8"/>
      <c r="E89" s="9"/>
      <c r="F89" s="10"/>
      <c r="G89" s="9"/>
      <c r="H89" s="11"/>
      <c r="I89" s="9" t="s">
        <v>13</v>
      </c>
      <c r="J89" s="21"/>
    </row>
    <row r="90">
      <c r="A90" s="20" t="s">
        <v>98</v>
      </c>
      <c r="B90" s="26"/>
      <c r="C90" s="8"/>
      <c r="D90" s="8"/>
      <c r="E90" s="9"/>
      <c r="F90" s="10"/>
      <c r="G90" s="9"/>
      <c r="H90" s="11"/>
      <c r="I90" s="9" t="s">
        <v>13</v>
      </c>
      <c r="J90" s="21"/>
    </row>
    <row r="91">
      <c r="A91" s="20" t="s">
        <v>98</v>
      </c>
      <c r="B91" s="26"/>
      <c r="C91" s="8"/>
      <c r="D91" s="8"/>
      <c r="E91" s="9"/>
      <c r="F91" s="10"/>
      <c r="G91" s="9"/>
      <c r="H91" s="11"/>
      <c r="I91" s="9" t="s">
        <v>13</v>
      </c>
      <c r="J91" s="21"/>
    </row>
    <row r="92">
      <c r="A92" s="20" t="s">
        <v>98</v>
      </c>
      <c r="B92" s="26"/>
      <c r="C92" s="8"/>
      <c r="D92" s="8"/>
      <c r="E92" s="9"/>
      <c r="F92" s="10"/>
      <c r="G92" s="9"/>
      <c r="H92" s="11"/>
      <c r="I92" s="9" t="s">
        <v>13</v>
      </c>
      <c r="J92" s="21"/>
    </row>
    <row r="93">
      <c r="A93" s="20" t="s">
        <v>98</v>
      </c>
      <c r="B93" s="26"/>
      <c r="C93" s="8"/>
      <c r="D93" s="8"/>
      <c r="E93" s="9"/>
      <c r="F93" s="10"/>
      <c r="G93" s="9"/>
      <c r="H93" s="11"/>
      <c r="I93" s="9" t="s">
        <v>13</v>
      </c>
      <c r="J93" s="21"/>
    </row>
    <row r="94">
      <c r="A94" s="20" t="s">
        <v>98</v>
      </c>
      <c r="B94" s="26"/>
      <c r="C94" s="8"/>
      <c r="D94" s="8"/>
      <c r="E94" s="9"/>
      <c r="F94" s="10"/>
      <c r="G94" s="9"/>
      <c r="H94" s="11"/>
      <c r="I94" s="9" t="s">
        <v>13</v>
      </c>
      <c r="J94" s="21"/>
    </row>
    <row r="95">
      <c r="A95" s="20" t="s">
        <v>98</v>
      </c>
      <c r="B95" s="26"/>
      <c r="C95" s="8"/>
      <c r="D95" s="8"/>
      <c r="E95" s="9"/>
      <c r="F95" s="10"/>
      <c r="G95" s="9"/>
      <c r="H95" s="11"/>
      <c r="I95" s="9" t="s">
        <v>13</v>
      </c>
      <c r="J95" s="21"/>
    </row>
    <row r="96">
      <c r="A96" s="20" t="s">
        <v>98</v>
      </c>
      <c r="B96" s="26"/>
      <c r="C96" s="8"/>
      <c r="D96" s="8"/>
      <c r="E96" s="9"/>
      <c r="F96" s="10"/>
      <c r="G96" s="9"/>
      <c r="H96" s="11"/>
      <c r="I96" s="9" t="s">
        <v>13</v>
      </c>
      <c r="J96" s="21"/>
    </row>
    <row r="97">
      <c r="A97" s="20" t="s">
        <v>98</v>
      </c>
      <c r="B97" s="26"/>
      <c r="C97" s="8"/>
      <c r="D97" s="8"/>
      <c r="E97" s="9"/>
      <c r="F97" s="10"/>
      <c r="G97" s="9"/>
      <c r="H97" s="11"/>
      <c r="I97" s="9" t="s">
        <v>13</v>
      </c>
      <c r="J97" s="21"/>
    </row>
    <row r="98">
      <c r="A98" s="20" t="s">
        <v>98</v>
      </c>
      <c r="B98" s="26"/>
      <c r="C98" s="8"/>
      <c r="D98" s="8"/>
      <c r="E98" s="9"/>
      <c r="F98" s="10"/>
      <c r="G98" s="9"/>
      <c r="H98" s="11"/>
      <c r="I98" s="9" t="s">
        <v>13</v>
      </c>
      <c r="J98" s="21"/>
    </row>
    <row r="99">
      <c r="A99" s="20" t="s">
        <v>98</v>
      </c>
      <c r="B99" s="26"/>
      <c r="C99" s="8"/>
      <c r="D99" s="8"/>
      <c r="E99" s="9"/>
      <c r="F99" s="10"/>
      <c r="G99" s="9"/>
      <c r="H99" s="11"/>
      <c r="I99" s="9" t="s">
        <v>13</v>
      </c>
      <c r="J99" s="21"/>
    </row>
    <row r="100">
      <c r="A100" s="20" t="s">
        <v>98</v>
      </c>
      <c r="B100" s="26"/>
      <c r="C100" s="8"/>
      <c r="D100" s="8"/>
      <c r="E100" s="9"/>
      <c r="F100" s="10"/>
      <c r="G100" s="9"/>
      <c r="H100" s="11"/>
      <c r="I100" s="9" t="s">
        <v>13</v>
      </c>
      <c r="J100" s="21"/>
    </row>
    <row r="101">
      <c r="A101" s="20" t="s">
        <v>98</v>
      </c>
      <c r="B101" s="26"/>
      <c r="C101" s="8"/>
      <c r="D101" s="8"/>
      <c r="E101" s="9"/>
      <c r="F101" s="10"/>
      <c r="G101" s="9"/>
      <c r="H101" s="11"/>
      <c r="I101" s="9" t="s">
        <v>13</v>
      </c>
      <c r="J101" s="21"/>
    </row>
    <row r="102">
      <c r="A102" s="20" t="s">
        <v>98</v>
      </c>
      <c r="B102" s="26"/>
      <c r="C102" s="8"/>
      <c r="D102" s="8"/>
      <c r="E102" s="9"/>
      <c r="F102" s="10"/>
      <c r="G102" s="9"/>
      <c r="H102" s="11"/>
      <c r="I102" s="9" t="s">
        <v>13</v>
      </c>
      <c r="J102" s="21"/>
    </row>
    <row r="103">
      <c r="A103" s="20" t="s">
        <v>98</v>
      </c>
      <c r="B103" s="26"/>
      <c r="C103" s="8"/>
      <c r="D103" s="8"/>
      <c r="E103" s="9"/>
      <c r="F103" s="10"/>
      <c r="G103" s="9"/>
      <c r="H103" s="11"/>
      <c r="I103" s="9" t="s">
        <v>13</v>
      </c>
      <c r="J103" s="21"/>
    </row>
    <row r="104">
      <c r="A104" s="20" t="s">
        <v>98</v>
      </c>
      <c r="B104" s="26"/>
      <c r="C104" s="8"/>
      <c r="D104" s="8"/>
      <c r="E104" s="9"/>
      <c r="F104" s="10"/>
      <c r="G104" s="9"/>
      <c r="H104" s="11"/>
      <c r="I104" s="9" t="s">
        <v>13</v>
      </c>
      <c r="J104" s="21"/>
    </row>
    <row r="105">
      <c r="A105" s="20" t="s">
        <v>98</v>
      </c>
      <c r="B105" s="26"/>
      <c r="C105" s="8"/>
      <c r="D105" s="8"/>
      <c r="E105" s="9"/>
      <c r="F105" s="10"/>
      <c r="G105" s="9"/>
      <c r="H105" s="11"/>
      <c r="I105" s="9" t="s">
        <v>13</v>
      </c>
      <c r="J105" s="21"/>
    </row>
    <row r="106">
      <c r="A106" s="20" t="s">
        <v>98</v>
      </c>
      <c r="B106" s="26"/>
      <c r="C106" s="8"/>
      <c r="D106" s="8"/>
      <c r="E106" s="9"/>
      <c r="F106" s="10"/>
      <c r="G106" s="9"/>
      <c r="H106" s="11"/>
      <c r="I106" s="9" t="s">
        <v>13</v>
      </c>
      <c r="J106" s="21"/>
    </row>
    <row r="107">
      <c r="A107" s="20" t="s">
        <v>98</v>
      </c>
      <c r="B107" s="26"/>
      <c r="C107" s="8"/>
      <c r="D107" s="8"/>
      <c r="E107" s="9"/>
      <c r="F107" s="10"/>
      <c r="G107" s="9"/>
      <c r="H107" s="11"/>
      <c r="I107" s="9" t="s">
        <v>13</v>
      </c>
      <c r="J107" s="21"/>
    </row>
    <row r="108">
      <c r="A108" s="20" t="s">
        <v>98</v>
      </c>
      <c r="B108" s="26"/>
      <c r="C108" s="8"/>
      <c r="D108" s="8"/>
      <c r="E108" s="9"/>
      <c r="F108" s="10"/>
      <c r="G108" s="9"/>
      <c r="H108" s="11"/>
      <c r="I108" s="9" t="s">
        <v>13</v>
      </c>
      <c r="J108" s="21"/>
    </row>
    <row r="109">
      <c r="A109" s="20" t="s">
        <v>98</v>
      </c>
      <c r="B109" s="26"/>
      <c r="C109" s="8"/>
      <c r="D109" s="8"/>
      <c r="E109" s="9"/>
      <c r="F109" s="10"/>
      <c r="G109" s="9"/>
      <c r="H109" s="11"/>
      <c r="I109" s="9" t="s">
        <v>13</v>
      </c>
      <c r="J109" s="21"/>
    </row>
    <row r="110">
      <c r="A110" s="20" t="s">
        <v>98</v>
      </c>
      <c r="B110" s="26"/>
      <c r="C110" s="8"/>
      <c r="D110" s="8"/>
      <c r="E110" s="9"/>
      <c r="F110" s="10"/>
      <c r="G110" s="9"/>
      <c r="H110" s="11"/>
      <c r="I110" s="9" t="s">
        <v>13</v>
      </c>
      <c r="J110" s="21"/>
    </row>
    <row r="111">
      <c r="A111" s="20" t="s">
        <v>98</v>
      </c>
      <c r="B111" s="26"/>
      <c r="C111" s="8"/>
      <c r="D111" s="8"/>
      <c r="E111" s="9"/>
      <c r="F111" s="10"/>
      <c r="G111" s="9"/>
      <c r="H111" s="11"/>
      <c r="I111" s="9" t="s">
        <v>13</v>
      </c>
      <c r="J111" s="21"/>
    </row>
    <row r="112">
      <c r="A112" s="20" t="s">
        <v>98</v>
      </c>
      <c r="B112" s="26"/>
      <c r="C112" s="8"/>
      <c r="D112" s="8"/>
      <c r="E112" s="9"/>
      <c r="F112" s="10"/>
      <c r="G112" s="9"/>
      <c r="H112" s="11"/>
      <c r="I112" s="9" t="s">
        <v>13</v>
      </c>
      <c r="J112" s="21"/>
    </row>
    <row r="113">
      <c r="A113" s="20" t="s">
        <v>98</v>
      </c>
      <c r="B113" s="26"/>
      <c r="C113" s="8"/>
      <c r="D113" s="8"/>
      <c r="E113" s="9"/>
      <c r="F113" s="10"/>
      <c r="G113" s="9"/>
      <c r="H113" s="11"/>
      <c r="I113" s="9" t="s">
        <v>13</v>
      </c>
      <c r="J113" s="21"/>
    </row>
    <row r="114">
      <c r="A114" s="20" t="s">
        <v>98</v>
      </c>
      <c r="B114" s="26"/>
      <c r="C114" s="8"/>
      <c r="D114" s="8"/>
      <c r="E114" s="9"/>
      <c r="F114" s="10"/>
      <c r="G114" s="9"/>
      <c r="H114" s="11"/>
      <c r="I114" s="9" t="s">
        <v>13</v>
      </c>
      <c r="J114" s="21"/>
    </row>
    <row r="115">
      <c r="A115" s="20" t="s">
        <v>98</v>
      </c>
      <c r="B115" s="26"/>
      <c r="C115" s="8"/>
      <c r="D115" s="8"/>
      <c r="E115" s="9"/>
      <c r="F115" s="10"/>
      <c r="G115" s="9"/>
      <c r="H115" s="11"/>
      <c r="I115" s="9" t="s">
        <v>13</v>
      </c>
      <c r="J115" s="21"/>
    </row>
    <row r="116">
      <c r="A116" s="20" t="s">
        <v>98</v>
      </c>
      <c r="B116" s="26"/>
      <c r="C116" s="8"/>
      <c r="D116" s="8"/>
      <c r="E116" s="9"/>
      <c r="F116" s="10"/>
      <c r="G116" s="9"/>
      <c r="H116" s="11"/>
      <c r="I116" s="9" t="s">
        <v>13</v>
      </c>
      <c r="J116" s="21"/>
    </row>
    <row r="117">
      <c r="A117" s="20" t="s">
        <v>98</v>
      </c>
      <c r="B117" s="26"/>
      <c r="C117" s="8"/>
      <c r="D117" s="8"/>
      <c r="E117" s="9"/>
      <c r="F117" s="10"/>
      <c r="G117" s="9"/>
      <c r="H117" s="11"/>
      <c r="I117" s="9" t="s">
        <v>13</v>
      </c>
      <c r="J117" s="21"/>
    </row>
    <row r="118">
      <c r="A118" s="20" t="s">
        <v>98</v>
      </c>
      <c r="B118" s="26"/>
      <c r="C118" s="8"/>
      <c r="D118" s="8"/>
      <c r="E118" s="9"/>
      <c r="F118" s="10"/>
      <c r="G118" s="9"/>
      <c r="H118" s="11"/>
      <c r="I118" s="9" t="s">
        <v>13</v>
      </c>
      <c r="J118" s="21"/>
    </row>
    <row r="119">
      <c r="A119" s="20" t="s">
        <v>98</v>
      </c>
      <c r="B119" s="26"/>
      <c r="C119" s="8"/>
      <c r="D119" s="8"/>
      <c r="E119" s="9"/>
      <c r="F119" s="10"/>
      <c r="G119" s="9"/>
      <c r="H119" s="11"/>
      <c r="I119" s="9" t="s">
        <v>13</v>
      </c>
      <c r="J119" s="21"/>
    </row>
    <row r="120">
      <c r="A120" s="20" t="s">
        <v>98</v>
      </c>
      <c r="B120" s="26"/>
      <c r="C120" s="8"/>
      <c r="D120" s="8"/>
      <c r="E120" s="9"/>
      <c r="F120" s="10"/>
      <c r="G120" s="9"/>
      <c r="H120" s="11"/>
      <c r="I120" s="9" t="s">
        <v>13</v>
      </c>
      <c r="J120" s="21"/>
    </row>
    <row r="121">
      <c r="A121" s="20" t="s">
        <v>98</v>
      </c>
      <c r="B121" s="26"/>
      <c r="C121" s="8"/>
      <c r="D121" s="8"/>
      <c r="E121" s="9"/>
      <c r="F121" s="10"/>
      <c r="G121" s="9"/>
      <c r="H121" s="11"/>
      <c r="I121" s="9" t="s">
        <v>13</v>
      </c>
      <c r="J121" s="21"/>
    </row>
    <row r="122">
      <c r="A122" s="20" t="s">
        <v>98</v>
      </c>
      <c r="B122" s="26"/>
      <c r="C122" s="8"/>
      <c r="D122" s="8"/>
      <c r="E122" s="9"/>
      <c r="F122" s="10"/>
      <c r="G122" s="9"/>
      <c r="H122" s="11"/>
      <c r="I122" s="9" t="s">
        <v>13</v>
      </c>
      <c r="J122" s="21"/>
    </row>
    <row r="123">
      <c r="A123" s="20" t="s">
        <v>98</v>
      </c>
      <c r="B123" s="26"/>
      <c r="C123" s="8"/>
      <c r="D123" s="8"/>
      <c r="E123" s="9"/>
      <c r="F123" s="10"/>
      <c r="G123" s="9"/>
      <c r="H123" s="11"/>
      <c r="I123" s="9" t="s">
        <v>13</v>
      </c>
      <c r="J123" s="21"/>
    </row>
    <row r="124">
      <c r="A124" s="20" t="s">
        <v>98</v>
      </c>
      <c r="B124" s="26"/>
      <c r="C124" s="8"/>
      <c r="D124" s="8"/>
      <c r="E124" s="9"/>
      <c r="F124" s="10"/>
      <c r="G124" s="9"/>
      <c r="H124" s="11"/>
      <c r="I124" s="9" t="s">
        <v>13</v>
      </c>
      <c r="J124" s="21"/>
    </row>
    <row r="125">
      <c r="A125" s="20" t="s">
        <v>98</v>
      </c>
      <c r="B125" s="26"/>
      <c r="C125" s="8"/>
      <c r="D125" s="8"/>
      <c r="E125" s="9"/>
      <c r="F125" s="10"/>
      <c r="G125" s="9"/>
      <c r="H125" s="11"/>
      <c r="I125" s="9" t="s">
        <v>13</v>
      </c>
      <c r="J125" s="21"/>
    </row>
    <row r="126">
      <c r="A126" s="20" t="s">
        <v>98</v>
      </c>
      <c r="B126" s="26"/>
      <c r="C126" s="8"/>
      <c r="D126" s="8"/>
      <c r="E126" s="9"/>
      <c r="F126" s="10"/>
      <c r="G126" s="9"/>
      <c r="H126" s="11"/>
      <c r="I126" s="9" t="s">
        <v>13</v>
      </c>
      <c r="J126" s="21"/>
    </row>
    <row r="127">
      <c r="A127" s="20" t="s">
        <v>98</v>
      </c>
      <c r="B127" s="26"/>
      <c r="C127" s="8"/>
      <c r="D127" s="8"/>
      <c r="E127" s="9"/>
      <c r="F127" s="10"/>
      <c r="G127" s="9"/>
      <c r="H127" s="11"/>
      <c r="I127" s="9" t="s">
        <v>13</v>
      </c>
      <c r="J127" s="21"/>
    </row>
    <row r="128">
      <c r="A128" s="20" t="s">
        <v>98</v>
      </c>
      <c r="B128" s="26"/>
      <c r="C128" s="8"/>
      <c r="D128" s="8"/>
      <c r="E128" s="9"/>
      <c r="F128" s="10"/>
      <c r="G128" s="9"/>
      <c r="H128" s="11"/>
      <c r="I128" s="9" t="s">
        <v>13</v>
      </c>
      <c r="J128" s="21"/>
    </row>
    <row r="129">
      <c r="A129" s="20" t="s">
        <v>98</v>
      </c>
      <c r="B129" s="26"/>
      <c r="C129" s="8"/>
      <c r="D129" s="8"/>
      <c r="E129" s="9"/>
      <c r="F129" s="10"/>
      <c r="G129" s="9"/>
      <c r="H129" s="11"/>
      <c r="I129" s="9" t="s">
        <v>13</v>
      </c>
      <c r="J129" s="21"/>
    </row>
    <row r="130">
      <c r="A130" s="20" t="s">
        <v>98</v>
      </c>
      <c r="B130" s="26"/>
      <c r="C130" s="8"/>
      <c r="D130" s="8"/>
      <c r="E130" s="9"/>
      <c r="F130" s="10"/>
      <c r="G130" s="9"/>
      <c r="H130" s="11"/>
      <c r="I130" s="9" t="s">
        <v>13</v>
      </c>
      <c r="J130" s="21"/>
    </row>
    <row r="131">
      <c r="A131" s="20" t="s">
        <v>98</v>
      </c>
      <c r="B131" s="26"/>
      <c r="C131" s="8"/>
      <c r="D131" s="8"/>
      <c r="E131" s="9"/>
      <c r="F131" s="10"/>
      <c r="G131" s="9"/>
      <c r="H131" s="11"/>
      <c r="I131" s="9" t="s">
        <v>13</v>
      </c>
      <c r="J131" s="21"/>
    </row>
    <row r="132">
      <c r="A132" s="20" t="s">
        <v>98</v>
      </c>
      <c r="B132" s="26"/>
      <c r="C132" s="8"/>
      <c r="D132" s="8"/>
      <c r="E132" s="9"/>
      <c r="F132" s="10"/>
      <c r="G132" s="9"/>
      <c r="H132" s="11"/>
      <c r="I132" s="9" t="s">
        <v>13</v>
      </c>
      <c r="J132" s="21"/>
    </row>
    <row r="133">
      <c r="A133" s="20" t="s">
        <v>98</v>
      </c>
      <c r="B133" s="26"/>
      <c r="C133" s="8"/>
      <c r="D133" s="8"/>
      <c r="E133" s="9"/>
      <c r="F133" s="10"/>
      <c r="G133" s="9"/>
      <c r="H133" s="11"/>
      <c r="I133" s="9" t="s">
        <v>13</v>
      </c>
      <c r="J133" s="21"/>
    </row>
    <row r="134">
      <c r="A134" s="20" t="s">
        <v>98</v>
      </c>
      <c r="B134" s="26"/>
      <c r="C134" s="8"/>
      <c r="D134" s="8"/>
      <c r="E134" s="9"/>
      <c r="F134" s="10"/>
      <c r="G134" s="9"/>
      <c r="H134" s="11"/>
      <c r="I134" s="9" t="s">
        <v>13</v>
      </c>
      <c r="J134" s="21"/>
    </row>
    <row r="135">
      <c r="A135" s="20" t="s">
        <v>98</v>
      </c>
      <c r="B135" s="26"/>
      <c r="C135" s="8"/>
      <c r="D135" s="8"/>
      <c r="E135" s="9"/>
      <c r="F135" s="10"/>
      <c r="G135" s="9"/>
      <c r="H135" s="11"/>
      <c r="I135" s="9" t="s">
        <v>13</v>
      </c>
      <c r="J135" s="21"/>
    </row>
    <row r="136">
      <c r="A136" s="20" t="s">
        <v>98</v>
      </c>
      <c r="B136" s="26"/>
      <c r="C136" s="8"/>
      <c r="D136" s="8"/>
      <c r="E136" s="9"/>
      <c r="F136" s="10"/>
      <c r="G136" s="9"/>
      <c r="H136" s="11"/>
      <c r="I136" s="9" t="s">
        <v>13</v>
      </c>
      <c r="J136" s="21"/>
    </row>
    <row r="137">
      <c r="A137" s="20" t="s">
        <v>98</v>
      </c>
      <c r="B137" s="26"/>
      <c r="C137" s="8"/>
      <c r="D137" s="8"/>
      <c r="E137" s="9"/>
      <c r="F137" s="10"/>
      <c r="G137" s="9"/>
      <c r="H137" s="11"/>
      <c r="I137" s="9" t="s">
        <v>13</v>
      </c>
      <c r="J137" s="21"/>
    </row>
    <row r="138">
      <c r="A138" s="20" t="s">
        <v>98</v>
      </c>
      <c r="B138" s="26"/>
      <c r="C138" s="8"/>
      <c r="D138" s="8"/>
      <c r="E138" s="9"/>
      <c r="F138" s="10"/>
      <c r="G138" s="9"/>
      <c r="H138" s="11"/>
      <c r="I138" s="9" t="s">
        <v>13</v>
      </c>
      <c r="J138" s="21"/>
    </row>
    <row r="139">
      <c r="A139" s="20" t="s">
        <v>98</v>
      </c>
      <c r="B139" s="26"/>
      <c r="C139" s="8"/>
      <c r="D139" s="8"/>
      <c r="E139" s="9"/>
      <c r="F139" s="10"/>
      <c r="G139" s="9"/>
      <c r="H139" s="11"/>
      <c r="I139" s="9" t="s">
        <v>13</v>
      </c>
      <c r="J139" s="21"/>
    </row>
    <row r="140">
      <c r="A140" s="20" t="s">
        <v>98</v>
      </c>
      <c r="B140" s="26"/>
      <c r="C140" s="8"/>
      <c r="D140" s="8"/>
      <c r="E140" s="9"/>
      <c r="F140" s="10"/>
      <c r="G140" s="9"/>
      <c r="H140" s="11"/>
      <c r="I140" s="9" t="s">
        <v>13</v>
      </c>
      <c r="J140" s="21"/>
    </row>
    <row r="141">
      <c r="A141" s="20" t="s">
        <v>98</v>
      </c>
      <c r="B141" s="26"/>
      <c r="C141" s="8"/>
      <c r="D141" s="8"/>
      <c r="E141" s="9"/>
      <c r="F141" s="10"/>
      <c r="G141" s="9"/>
      <c r="H141" s="11"/>
      <c r="I141" s="9" t="s">
        <v>13</v>
      </c>
      <c r="J141" s="21"/>
    </row>
    <row r="142">
      <c r="A142" s="20" t="s">
        <v>98</v>
      </c>
      <c r="B142" s="26"/>
      <c r="C142" s="8"/>
      <c r="D142" s="8"/>
      <c r="E142" s="9"/>
      <c r="F142" s="10"/>
      <c r="G142" s="9"/>
      <c r="H142" s="11"/>
      <c r="I142" s="9" t="s">
        <v>13</v>
      </c>
      <c r="J142" s="21"/>
    </row>
    <row r="143">
      <c r="A143" s="20" t="s">
        <v>98</v>
      </c>
      <c r="B143" s="26"/>
      <c r="C143" s="8"/>
      <c r="D143" s="8"/>
      <c r="E143" s="9"/>
      <c r="F143" s="10"/>
      <c r="G143" s="9"/>
      <c r="H143" s="11"/>
      <c r="I143" s="9" t="s">
        <v>13</v>
      </c>
      <c r="J143" s="21"/>
    </row>
    <row r="144">
      <c r="A144" s="20" t="s">
        <v>98</v>
      </c>
      <c r="B144" s="26"/>
      <c r="C144" s="8"/>
      <c r="D144" s="8"/>
      <c r="E144" s="9"/>
      <c r="F144" s="10"/>
      <c r="G144" s="9"/>
      <c r="H144" s="11"/>
      <c r="I144" s="9" t="s">
        <v>13</v>
      </c>
      <c r="J144" s="21"/>
    </row>
    <row r="145">
      <c r="A145" s="20" t="s">
        <v>98</v>
      </c>
      <c r="B145" s="26"/>
      <c r="C145" s="8"/>
      <c r="D145" s="8"/>
      <c r="E145" s="9"/>
      <c r="F145" s="10"/>
      <c r="G145" s="9"/>
      <c r="H145" s="11"/>
      <c r="I145" s="9" t="s">
        <v>13</v>
      </c>
      <c r="J145" s="21"/>
    </row>
    <row r="146">
      <c r="A146" s="20" t="s">
        <v>98</v>
      </c>
      <c r="B146" s="26"/>
      <c r="C146" s="8"/>
      <c r="D146" s="8"/>
      <c r="E146" s="9"/>
      <c r="F146" s="10"/>
      <c r="G146" s="9"/>
      <c r="H146" s="11"/>
      <c r="I146" s="9" t="s">
        <v>13</v>
      </c>
      <c r="J146" s="21"/>
    </row>
    <row r="147">
      <c r="A147" s="20" t="s">
        <v>98</v>
      </c>
      <c r="B147" s="26"/>
      <c r="C147" s="8"/>
      <c r="D147" s="8"/>
      <c r="E147" s="9"/>
      <c r="F147" s="10"/>
      <c r="G147" s="9"/>
      <c r="H147" s="11"/>
      <c r="I147" s="9" t="s">
        <v>13</v>
      </c>
      <c r="J147" s="21"/>
    </row>
    <row r="148">
      <c r="A148" s="20" t="s">
        <v>98</v>
      </c>
      <c r="B148" s="26"/>
      <c r="C148" s="8"/>
      <c r="D148" s="8"/>
      <c r="E148" s="9"/>
      <c r="F148" s="10"/>
      <c r="G148" s="9"/>
      <c r="H148" s="11"/>
      <c r="I148" s="9" t="s">
        <v>13</v>
      </c>
      <c r="J148" s="21"/>
    </row>
    <row r="149">
      <c r="A149" s="20" t="s">
        <v>98</v>
      </c>
      <c r="B149" s="26"/>
      <c r="C149" s="8"/>
      <c r="D149" s="8"/>
      <c r="E149" s="9"/>
      <c r="F149" s="10"/>
      <c r="G149" s="9"/>
      <c r="H149" s="11"/>
      <c r="I149" s="9" t="s">
        <v>13</v>
      </c>
      <c r="J149" s="21"/>
    </row>
    <row r="150">
      <c r="A150" s="20" t="s">
        <v>98</v>
      </c>
      <c r="B150" s="26"/>
      <c r="C150" s="8"/>
      <c r="D150" s="8"/>
      <c r="E150" s="9"/>
      <c r="F150" s="10"/>
      <c r="G150" s="9"/>
      <c r="H150" s="11"/>
      <c r="I150" s="9" t="s">
        <v>13</v>
      </c>
      <c r="J150" s="21"/>
    </row>
    <row r="151">
      <c r="A151" s="20" t="s">
        <v>98</v>
      </c>
      <c r="B151" s="26"/>
      <c r="C151" s="8"/>
      <c r="D151" s="8"/>
      <c r="E151" s="9"/>
      <c r="F151" s="10"/>
      <c r="G151" s="9"/>
      <c r="H151" s="11"/>
      <c r="I151" s="9" t="s">
        <v>13</v>
      </c>
      <c r="J151" s="21"/>
    </row>
    <row r="152">
      <c r="A152" s="20" t="s">
        <v>98</v>
      </c>
      <c r="B152" s="26"/>
      <c r="C152" s="8"/>
      <c r="D152" s="8"/>
      <c r="E152" s="9"/>
      <c r="F152" s="10"/>
      <c r="G152" s="9"/>
      <c r="H152" s="11"/>
      <c r="I152" s="9" t="s">
        <v>13</v>
      </c>
      <c r="J152" s="21"/>
    </row>
    <row r="153">
      <c r="A153" s="20" t="s">
        <v>98</v>
      </c>
      <c r="B153" s="26"/>
      <c r="C153" s="8"/>
      <c r="D153" s="8"/>
      <c r="E153" s="9"/>
      <c r="F153" s="10"/>
      <c r="G153" s="9"/>
      <c r="H153" s="11"/>
      <c r="I153" s="9" t="s">
        <v>13</v>
      </c>
      <c r="J153" s="21"/>
    </row>
    <row r="154">
      <c r="A154" s="20" t="s">
        <v>98</v>
      </c>
      <c r="B154" s="26"/>
      <c r="C154" s="8"/>
      <c r="D154" s="8"/>
      <c r="E154" s="9"/>
      <c r="F154" s="10"/>
      <c r="G154" s="9"/>
      <c r="H154" s="11"/>
      <c r="I154" s="9" t="s">
        <v>13</v>
      </c>
      <c r="J154" s="21"/>
    </row>
    <row r="155">
      <c r="A155" s="20" t="s">
        <v>98</v>
      </c>
      <c r="B155" s="26"/>
      <c r="C155" s="8"/>
      <c r="D155" s="8"/>
      <c r="E155" s="9"/>
      <c r="F155" s="10"/>
      <c r="G155" s="9"/>
      <c r="H155" s="11"/>
      <c r="I155" s="9" t="s">
        <v>13</v>
      </c>
      <c r="J155" s="21"/>
    </row>
    <row r="156">
      <c r="A156" s="20" t="s">
        <v>98</v>
      </c>
      <c r="B156" s="26"/>
      <c r="C156" s="8"/>
      <c r="D156" s="8"/>
      <c r="E156" s="9"/>
      <c r="F156" s="10"/>
      <c r="G156" s="9"/>
      <c r="H156" s="11"/>
      <c r="I156" s="9" t="s">
        <v>13</v>
      </c>
      <c r="J156" s="21"/>
    </row>
    <row r="157">
      <c r="A157" s="20" t="s">
        <v>98</v>
      </c>
      <c r="B157" s="26"/>
      <c r="C157" s="8"/>
      <c r="D157" s="8"/>
      <c r="E157" s="9"/>
      <c r="F157" s="10"/>
      <c r="G157" s="9"/>
      <c r="H157" s="11"/>
      <c r="I157" s="9" t="s">
        <v>13</v>
      </c>
      <c r="J157" s="21"/>
    </row>
    <row r="158">
      <c r="A158" s="20" t="s">
        <v>98</v>
      </c>
      <c r="B158" s="26"/>
      <c r="C158" s="8"/>
      <c r="D158" s="8"/>
      <c r="E158" s="9"/>
      <c r="F158" s="10"/>
      <c r="G158" s="9"/>
      <c r="H158" s="11"/>
      <c r="I158" s="9" t="s">
        <v>13</v>
      </c>
      <c r="J158" s="21"/>
    </row>
    <row r="159">
      <c r="A159" s="20" t="s">
        <v>98</v>
      </c>
      <c r="B159" s="26"/>
      <c r="C159" s="8"/>
      <c r="D159" s="8"/>
      <c r="E159" s="9"/>
      <c r="F159" s="10"/>
      <c r="G159" s="9"/>
      <c r="H159" s="11"/>
      <c r="I159" s="9" t="s">
        <v>13</v>
      </c>
      <c r="J159" s="21"/>
    </row>
    <row r="160">
      <c r="A160" s="20" t="s">
        <v>98</v>
      </c>
      <c r="B160" s="26"/>
      <c r="C160" s="8"/>
      <c r="D160" s="8"/>
      <c r="E160" s="9"/>
      <c r="F160" s="10"/>
      <c r="G160" s="9"/>
      <c r="H160" s="11"/>
      <c r="I160" s="9" t="s">
        <v>13</v>
      </c>
      <c r="J160" s="21"/>
    </row>
    <row r="161">
      <c r="A161" s="20" t="s">
        <v>98</v>
      </c>
      <c r="B161" s="26"/>
      <c r="C161" s="8"/>
      <c r="D161" s="8"/>
      <c r="E161" s="9"/>
      <c r="F161" s="10"/>
      <c r="G161" s="9"/>
      <c r="H161" s="11"/>
      <c r="I161" s="9" t="s">
        <v>13</v>
      </c>
      <c r="J161" s="21"/>
    </row>
    <row r="162">
      <c r="A162" s="20" t="s">
        <v>98</v>
      </c>
      <c r="B162" s="26"/>
      <c r="C162" s="8"/>
      <c r="D162" s="8"/>
      <c r="E162" s="9"/>
      <c r="F162" s="10"/>
      <c r="G162" s="9"/>
      <c r="H162" s="11"/>
      <c r="I162" s="9" t="s">
        <v>13</v>
      </c>
      <c r="J162" s="21"/>
    </row>
    <row r="163">
      <c r="A163" s="20" t="s">
        <v>98</v>
      </c>
      <c r="B163" s="26"/>
      <c r="C163" s="8"/>
      <c r="D163" s="8"/>
      <c r="E163" s="9"/>
      <c r="F163" s="10"/>
      <c r="G163" s="9"/>
      <c r="H163" s="11"/>
      <c r="I163" s="9" t="s">
        <v>13</v>
      </c>
      <c r="J163" s="21"/>
    </row>
    <row r="164">
      <c r="A164" s="20" t="s">
        <v>98</v>
      </c>
      <c r="B164" s="26"/>
      <c r="C164" s="8"/>
      <c r="D164" s="8"/>
      <c r="E164" s="9"/>
      <c r="F164" s="10"/>
      <c r="G164" s="9"/>
      <c r="H164" s="11"/>
      <c r="I164" s="9" t="s">
        <v>13</v>
      </c>
      <c r="J164" s="21"/>
    </row>
    <row r="165">
      <c r="A165" s="20" t="s">
        <v>98</v>
      </c>
      <c r="B165" s="26"/>
      <c r="C165" s="8"/>
      <c r="D165" s="8"/>
      <c r="E165" s="9"/>
      <c r="F165" s="10"/>
      <c r="G165" s="9"/>
      <c r="H165" s="11"/>
      <c r="I165" s="9" t="s">
        <v>13</v>
      </c>
      <c r="J165" s="21"/>
    </row>
    <row r="166">
      <c r="A166" s="20" t="s">
        <v>98</v>
      </c>
      <c r="B166" s="26"/>
      <c r="C166" s="8"/>
      <c r="D166" s="8"/>
      <c r="E166" s="9"/>
      <c r="F166" s="10"/>
      <c r="G166" s="9"/>
      <c r="H166" s="11"/>
      <c r="I166" s="9" t="s">
        <v>13</v>
      </c>
      <c r="J166" s="21"/>
    </row>
    <row r="167">
      <c r="A167" s="20" t="s">
        <v>98</v>
      </c>
      <c r="B167" s="26"/>
      <c r="C167" s="8"/>
      <c r="D167" s="8"/>
      <c r="E167" s="9"/>
      <c r="F167" s="10"/>
      <c r="G167" s="9"/>
      <c r="H167" s="11"/>
      <c r="I167" s="9" t="s">
        <v>13</v>
      </c>
      <c r="J167" s="21"/>
    </row>
    <row r="168">
      <c r="A168" s="20" t="s">
        <v>98</v>
      </c>
      <c r="B168" s="26"/>
      <c r="C168" s="8"/>
      <c r="D168" s="8"/>
      <c r="E168" s="9"/>
      <c r="F168" s="10"/>
      <c r="G168" s="9"/>
      <c r="H168" s="11"/>
      <c r="I168" s="9" t="s">
        <v>13</v>
      </c>
      <c r="J168" s="21"/>
    </row>
    <row r="169">
      <c r="A169" s="20" t="s">
        <v>98</v>
      </c>
      <c r="B169" s="26"/>
      <c r="C169" s="8"/>
      <c r="D169" s="8"/>
      <c r="E169" s="9"/>
      <c r="F169" s="10"/>
      <c r="G169" s="9"/>
      <c r="H169" s="11"/>
      <c r="I169" s="9" t="s">
        <v>13</v>
      </c>
      <c r="J169" s="21"/>
    </row>
    <row r="170">
      <c r="A170" s="20" t="s">
        <v>98</v>
      </c>
      <c r="B170" s="26"/>
      <c r="C170" s="8"/>
      <c r="D170" s="8"/>
      <c r="E170" s="9"/>
      <c r="F170" s="10"/>
      <c r="G170" s="9"/>
      <c r="H170" s="11"/>
      <c r="I170" s="9" t="s">
        <v>13</v>
      </c>
      <c r="J170" s="21"/>
    </row>
    <row r="171">
      <c r="A171" s="20" t="s">
        <v>98</v>
      </c>
      <c r="B171" s="26"/>
      <c r="C171" s="8"/>
      <c r="D171" s="8"/>
      <c r="E171" s="9"/>
      <c r="F171" s="10"/>
      <c r="G171" s="9"/>
      <c r="H171" s="11"/>
      <c r="I171" s="9" t="s">
        <v>13</v>
      </c>
      <c r="J171" s="21"/>
    </row>
    <row r="172">
      <c r="A172" s="20" t="s">
        <v>98</v>
      </c>
      <c r="B172" s="26"/>
      <c r="C172" s="8"/>
      <c r="D172" s="8"/>
      <c r="E172" s="9"/>
      <c r="F172" s="10"/>
      <c r="G172" s="9"/>
      <c r="H172" s="11"/>
      <c r="I172" s="9" t="s">
        <v>13</v>
      </c>
      <c r="J172" s="21"/>
    </row>
    <row r="173">
      <c r="A173" s="20" t="s">
        <v>98</v>
      </c>
      <c r="B173" s="26"/>
      <c r="C173" s="8"/>
      <c r="D173" s="8"/>
      <c r="E173" s="9"/>
      <c r="F173" s="10"/>
      <c r="G173" s="9"/>
      <c r="H173" s="11"/>
      <c r="I173" s="9" t="s">
        <v>13</v>
      </c>
      <c r="J173" s="21"/>
    </row>
    <row r="174">
      <c r="A174" s="20" t="s">
        <v>98</v>
      </c>
      <c r="B174" s="26"/>
      <c r="C174" s="8"/>
      <c r="D174" s="8"/>
      <c r="E174" s="9"/>
      <c r="F174" s="10"/>
      <c r="G174" s="9"/>
      <c r="H174" s="11"/>
      <c r="I174" s="9" t="s">
        <v>13</v>
      </c>
      <c r="J174" s="21"/>
    </row>
    <row r="175">
      <c r="A175" s="20" t="s">
        <v>98</v>
      </c>
      <c r="B175" s="26"/>
      <c r="C175" s="8"/>
      <c r="D175" s="8"/>
      <c r="E175" s="9"/>
      <c r="F175" s="10"/>
      <c r="G175" s="9"/>
      <c r="H175" s="11"/>
      <c r="I175" s="9" t="s">
        <v>13</v>
      </c>
      <c r="J175" s="21"/>
    </row>
    <row r="176">
      <c r="A176" s="20" t="s">
        <v>98</v>
      </c>
      <c r="B176" s="26"/>
      <c r="C176" s="8"/>
      <c r="D176" s="8"/>
      <c r="E176" s="9"/>
      <c r="F176" s="10"/>
      <c r="G176" s="9"/>
      <c r="H176" s="11"/>
      <c r="I176" s="9" t="s">
        <v>13</v>
      </c>
      <c r="J176" s="21"/>
    </row>
    <row r="177">
      <c r="A177" s="20" t="s">
        <v>98</v>
      </c>
      <c r="B177" s="26"/>
      <c r="C177" s="8"/>
      <c r="D177" s="8"/>
      <c r="E177" s="9"/>
      <c r="F177" s="10"/>
      <c r="G177" s="9"/>
      <c r="H177" s="11"/>
      <c r="I177" s="9" t="s">
        <v>13</v>
      </c>
      <c r="J177" s="21"/>
    </row>
    <row r="178">
      <c r="A178" s="20" t="s">
        <v>98</v>
      </c>
      <c r="B178" s="26"/>
      <c r="C178" s="8"/>
      <c r="D178" s="8"/>
      <c r="E178" s="9"/>
      <c r="F178" s="10"/>
      <c r="G178" s="9"/>
      <c r="H178" s="11"/>
      <c r="I178" s="9" t="s">
        <v>13</v>
      </c>
      <c r="J178" s="21"/>
    </row>
    <row r="179">
      <c r="A179" s="20" t="s">
        <v>98</v>
      </c>
      <c r="B179" s="26"/>
      <c r="C179" s="8"/>
      <c r="D179" s="8"/>
      <c r="E179" s="9"/>
      <c r="F179" s="10"/>
      <c r="G179" s="9"/>
      <c r="H179" s="11"/>
      <c r="I179" s="9" t="s">
        <v>13</v>
      </c>
      <c r="J179" s="21"/>
    </row>
    <row r="180">
      <c r="A180" s="20" t="s">
        <v>98</v>
      </c>
      <c r="B180" s="26"/>
      <c r="C180" s="8"/>
      <c r="D180" s="8"/>
      <c r="E180" s="9"/>
      <c r="F180" s="10"/>
      <c r="G180" s="9"/>
      <c r="H180" s="11"/>
      <c r="I180" s="9" t="s">
        <v>13</v>
      </c>
      <c r="J180" s="21"/>
    </row>
    <row r="181">
      <c r="A181" s="20" t="s">
        <v>98</v>
      </c>
      <c r="B181" s="26"/>
      <c r="C181" s="8"/>
      <c r="D181" s="8"/>
      <c r="E181" s="9"/>
      <c r="F181" s="10"/>
      <c r="G181" s="9"/>
      <c r="H181" s="11"/>
      <c r="I181" s="9" t="s">
        <v>13</v>
      </c>
      <c r="J181" s="21"/>
    </row>
    <row r="182">
      <c r="A182" s="20" t="s">
        <v>98</v>
      </c>
      <c r="B182" s="26"/>
      <c r="C182" s="8"/>
      <c r="D182" s="8"/>
      <c r="E182" s="9"/>
      <c r="F182" s="10"/>
      <c r="G182" s="9"/>
      <c r="H182" s="11"/>
      <c r="I182" s="9" t="s">
        <v>13</v>
      </c>
      <c r="J182" s="21"/>
    </row>
    <row r="183">
      <c r="A183" s="20" t="s">
        <v>98</v>
      </c>
      <c r="B183" s="26"/>
      <c r="C183" s="8"/>
      <c r="D183" s="8"/>
      <c r="E183" s="9"/>
      <c r="F183" s="10"/>
      <c r="G183" s="9"/>
      <c r="H183" s="11"/>
      <c r="I183" s="9" t="s">
        <v>13</v>
      </c>
      <c r="J183" s="21"/>
    </row>
    <row r="184">
      <c r="A184" s="20" t="s">
        <v>98</v>
      </c>
      <c r="B184" s="26"/>
      <c r="C184" s="8"/>
      <c r="D184" s="8"/>
      <c r="E184" s="9"/>
      <c r="F184" s="10"/>
      <c r="G184" s="9"/>
      <c r="H184" s="11"/>
      <c r="I184" s="9" t="s">
        <v>13</v>
      </c>
      <c r="J184" s="21"/>
    </row>
    <row r="185">
      <c r="A185" s="20" t="s">
        <v>98</v>
      </c>
      <c r="B185" s="26"/>
      <c r="C185" s="8"/>
      <c r="D185" s="8"/>
      <c r="E185" s="9"/>
      <c r="F185" s="10"/>
      <c r="G185" s="9"/>
      <c r="H185" s="11"/>
      <c r="I185" s="9" t="s">
        <v>13</v>
      </c>
      <c r="J185" s="21"/>
    </row>
    <row r="186">
      <c r="A186" s="20" t="s">
        <v>98</v>
      </c>
      <c r="B186" s="26"/>
      <c r="C186" s="8"/>
      <c r="D186" s="8"/>
      <c r="E186" s="9"/>
      <c r="F186" s="10"/>
      <c r="G186" s="9"/>
      <c r="H186" s="11"/>
      <c r="I186" s="9" t="s">
        <v>13</v>
      </c>
      <c r="J186" s="21"/>
    </row>
    <row r="187">
      <c r="A187" s="20" t="s">
        <v>98</v>
      </c>
      <c r="B187" s="26"/>
      <c r="C187" s="8"/>
      <c r="D187" s="8"/>
      <c r="E187" s="9"/>
      <c r="F187" s="10"/>
      <c r="G187" s="9"/>
      <c r="H187" s="11"/>
      <c r="I187" s="9" t="s">
        <v>13</v>
      </c>
      <c r="J187" s="21"/>
    </row>
    <row r="188">
      <c r="A188" s="20" t="s">
        <v>98</v>
      </c>
      <c r="B188" s="26"/>
      <c r="C188" s="8"/>
      <c r="D188" s="8"/>
      <c r="E188" s="9"/>
      <c r="F188" s="10"/>
      <c r="G188" s="9"/>
      <c r="H188" s="11"/>
      <c r="I188" s="9" t="s">
        <v>13</v>
      </c>
      <c r="J188" s="21"/>
    </row>
    <row r="189">
      <c r="A189" s="20" t="s">
        <v>98</v>
      </c>
      <c r="B189" s="26"/>
      <c r="C189" s="8"/>
      <c r="D189" s="8"/>
      <c r="E189" s="9"/>
      <c r="F189" s="10"/>
      <c r="G189" s="9"/>
      <c r="H189" s="11"/>
      <c r="I189" s="9" t="s">
        <v>13</v>
      </c>
      <c r="J189" s="21"/>
    </row>
    <row r="190">
      <c r="A190" s="20" t="s">
        <v>98</v>
      </c>
      <c r="B190" s="26"/>
      <c r="C190" s="8"/>
      <c r="D190" s="8"/>
      <c r="E190" s="9"/>
      <c r="F190" s="10"/>
      <c r="G190" s="9"/>
      <c r="H190" s="11"/>
      <c r="I190" s="9" t="s">
        <v>13</v>
      </c>
      <c r="J190" s="21"/>
    </row>
    <row r="191">
      <c r="A191" s="20" t="s">
        <v>98</v>
      </c>
      <c r="B191" s="26"/>
      <c r="C191" s="8"/>
      <c r="D191" s="8"/>
      <c r="E191" s="9"/>
      <c r="F191" s="10"/>
      <c r="G191" s="9"/>
      <c r="H191" s="11"/>
      <c r="I191" s="9" t="s">
        <v>13</v>
      </c>
      <c r="J191" s="21"/>
    </row>
    <row r="192">
      <c r="A192" s="20" t="s">
        <v>98</v>
      </c>
      <c r="B192" s="26"/>
      <c r="C192" s="8"/>
      <c r="D192" s="8"/>
      <c r="E192" s="9"/>
      <c r="F192" s="10"/>
      <c r="G192" s="9"/>
      <c r="H192" s="11"/>
      <c r="I192" s="9" t="s">
        <v>13</v>
      </c>
      <c r="J192" s="21"/>
    </row>
    <row r="193">
      <c r="A193" s="20" t="s">
        <v>98</v>
      </c>
      <c r="B193" s="26"/>
      <c r="C193" s="8"/>
      <c r="D193" s="8"/>
      <c r="E193" s="9"/>
      <c r="F193" s="10"/>
      <c r="G193" s="9"/>
      <c r="H193" s="11"/>
      <c r="I193" s="9" t="s">
        <v>13</v>
      </c>
      <c r="J193" s="21"/>
    </row>
    <row r="194">
      <c r="A194" s="20" t="s">
        <v>98</v>
      </c>
      <c r="B194" s="26"/>
      <c r="C194" s="8"/>
      <c r="D194" s="8"/>
      <c r="E194" s="9"/>
      <c r="F194" s="10"/>
      <c r="G194" s="9"/>
      <c r="H194" s="11"/>
      <c r="I194" s="9" t="s">
        <v>13</v>
      </c>
      <c r="J194" s="21"/>
    </row>
    <row r="195">
      <c r="A195" s="20" t="s">
        <v>98</v>
      </c>
      <c r="B195" s="26"/>
      <c r="C195" s="8"/>
      <c r="D195" s="8"/>
      <c r="E195" s="9"/>
      <c r="F195" s="10"/>
      <c r="G195" s="9"/>
      <c r="H195" s="11"/>
      <c r="I195" s="9" t="s">
        <v>13</v>
      </c>
      <c r="J195" s="21"/>
    </row>
    <row r="196">
      <c r="A196" s="20" t="s">
        <v>98</v>
      </c>
      <c r="B196" s="26"/>
      <c r="C196" s="8"/>
      <c r="D196" s="8"/>
      <c r="E196" s="9"/>
      <c r="F196" s="10"/>
      <c r="G196" s="9"/>
      <c r="H196" s="11"/>
      <c r="I196" s="9" t="s">
        <v>13</v>
      </c>
      <c r="J196" s="21"/>
    </row>
    <row r="197">
      <c r="A197" s="20" t="s">
        <v>98</v>
      </c>
      <c r="B197" s="26"/>
      <c r="C197" s="8"/>
      <c r="D197" s="8"/>
      <c r="E197" s="9"/>
      <c r="F197" s="10"/>
      <c r="G197" s="9"/>
      <c r="H197" s="11"/>
      <c r="I197" s="9" t="s">
        <v>13</v>
      </c>
      <c r="J197" s="21"/>
    </row>
    <row r="198">
      <c r="A198" s="20" t="s">
        <v>98</v>
      </c>
      <c r="B198" s="26"/>
      <c r="C198" s="8"/>
      <c r="D198" s="8"/>
      <c r="E198" s="9"/>
      <c r="F198" s="10"/>
      <c r="G198" s="9"/>
      <c r="H198" s="11"/>
      <c r="I198" s="9" t="s">
        <v>13</v>
      </c>
      <c r="J198" s="21"/>
    </row>
    <row r="199">
      <c r="A199" s="20" t="s">
        <v>98</v>
      </c>
      <c r="B199" s="26"/>
      <c r="C199" s="8"/>
      <c r="D199" s="8"/>
      <c r="E199" s="9"/>
      <c r="F199" s="10"/>
      <c r="G199" s="9"/>
      <c r="H199" s="11"/>
      <c r="I199" s="9" t="s">
        <v>13</v>
      </c>
      <c r="J199" s="21"/>
    </row>
    <row r="200">
      <c r="A200" s="20" t="s">
        <v>98</v>
      </c>
      <c r="B200" s="26"/>
      <c r="C200" s="8"/>
      <c r="D200" s="8"/>
      <c r="E200" s="9"/>
      <c r="F200" s="10"/>
      <c r="G200" s="9"/>
      <c r="H200" s="11"/>
      <c r="I200" s="9" t="s">
        <v>13</v>
      </c>
      <c r="J200" s="21"/>
    </row>
    <row r="201">
      <c r="A201" s="20" t="s">
        <v>98</v>
      </c>
      <c r="B201" s="26"/>
      <c r="C201" s="8"/>
      <c r="D201" s="8"/>
      <c r="E201" s="9"/>
      <c r="F201" s="10"/>
      <c r="G201" s="9"/>
      <c r="H201" s="11"/>
      <c r="I201" s="9" t="s">
        <v>13</v>
      </c>
      <c r="J201" s="21"/>
    </row>
    <row r="202">
      <c r="A202" s="20" t="s">
        <v>98</v>
      </c>
      <c r="B202" s="26"/>
      <c r="C202" s="8"/>
      <c r="D202" s="8"/>
      <c r="E202" s="9"/>
      <c r="F202" s="10"/>
      <c r="G202" s="9"/>
      <c r="H202" s="11"/>
      <c r="I202" s="9" t="s">
        <v>13</v>
      </c>
      <c r="J202" s="21"/>
    </row>
    <row r="203">
      <c r="A203" s="20" t="s">
        <v>98</v>
      </c>
      <c r="B203" s="26"/>
      <c r="C203" s="8"/>
      <c r="D203" s="8"/>
      <c r="E203" s="9"/>
      <c r="F203" s="10"/>
      <c r="G203" s="9"/>
      <c r="H203" s="11"/>
      <c r="I203" s="9" t="s">
        <v>13</v>
      </c>
      <c r="J203" s="21"/>
    </row>
    <row r="204">
      <c r="A204" s="20" t="s">
        <v>98</v>
      </c>
      <c r="B204" s="26"/>
      <c r="C204" s="8"/>
      <c r="D204" s="8"/>
      <c r="E204" s="9"/>
      <c r="F204" s="10"/>
      <c r="G204" s="9"/>
      <c r="H204" s="11"/>
      <c r="I204" s="9" t="s">
        <v>13</v>
      </c>
      <c r="J204" s="21"/>
    </row>
    <row r="205">
      <c r="A205" s="20" t="s">
        <v>98</v>
      </c>
      <c r="B205" s="26"/>
      <c r="C205" s="8"/>
      <c r="D205" s="8"/>
      <c r="E205" s="9"/>
      <c r="F205" s="10"/>
      <c r="G205" s="9"/>
      <c r="H205" s="11"/>
      <c r="I205" s="9" t="s">
        <v>13</v>
      </c>
      <c r="J205" s="21"/>
    </row>
    <row r="206">
      <c r="A206" s="20" t="s">
        <v>98</v>
      </c>
      <c r="B206" s="26"/>
      <c r="C206" s="8"/>
      <c r="D206" s="8"/>
      <c r="E206" s="9"/>
      <c r="F206" s="10"/>
      <c r="G206" s="9"/>
      <c r="H206" s="11"/>
      <c r="I206" s="9" t="s">
        <v>13</v>
      </c>
      <c r="J206" s="21"/>
    </row>
    <row r="207">
      <c r="A207" s="20" t="s">
        <v>98</v>
      </c>
      <c r="B207" s="26"/>
      <c r="C207" s="8"/>
      <c r="D207" s="8"/>
      <c r="E207" s="9"/>
      <c r="F207" s="10"/>
      <c r="G207" s="9"/>
      <c r="H207" s="11"/>
      <c r="I207" s="9" t="s">
        <v>13</v>
      </c>
      <c r="J207" s="21"/>
    </row>
    <row r="208">
      <c r="A208" s="20" t="s">
        <v>98</v>
      </c>
      <c r="B208" s="26"/>
      <c r="C208" s="8"/>
      <c r="D208" s="8"/>
      <c r="E208" s="9"/>
      <c r="F208" s="10"/>
      <c r="G208" s="9"/>
      <c r="H208" s="11"/>
      <c r="I208" s="9" t="s">
        <v>13</v>
      </c>
      <c r="J208" s="21"/>
    </row>
    <row r="209">
      <c r="A209" s="20" t="s">
        <v>98</v>
      </c>
      <c r="B209" s="26"/>
      <c r="C209" s="8"/>
      <c r="D209" s="8"/>
      <c r="E209" s="9"/>
      <c r="F209" s="10"/>
      <c r="G209" s="9"/>
      <c r="H209" s="11"/>
      <c r="I209" s="9" t="s">
        <v>13</v>
      </c>
      <c r="J209" s="21"/>
    </row>
    <row r="210">
      <c r="A210" s="20" t="s">
        <v>98</v>
      </c>
      <c r="B210" s="26"/>
      <c r="C210" s="8"/>
      <c r="D210" s="8"/>
      <c r="E210" s="9"/>
      <c r="F210" s="10"/>
      <c r="G210" s="9"/>
      <c r="H210" s="11"/>
      <c r="I210" s="9" t="s">
        <v>13</v>
      </c>
      <c r="J210" s="21"/>
    </row>
    <row r="211">
      <c r="A211" s="20" t="s">
        <v>98</v>
      </c>
      <c r="B211" s="26"/>
      <c r="C211" s="8"/>
      <c r="D211" s="8"/>
      <c r="E211" s="9"/>
      <c r="F211" s="10"/>
      <c r="G211" s="9"/>
      <c r="H211" s="11"/>
      <c r="I211" s="9" t="s">
        <v>13</v>
      </c>
      <c r="J211" s="21"/>
    </row>
    <row r="212">
      <c r="A212" s="20" t="s">
        <v>98</v>
      </c>
      <c r="B212" s="26"/>
      <c r="C212" s="8"/>
      <c r="D212" s="8"/>
      <c r="E212" s="9"/>
      <c r="F212" s="10"/>
      <c r="G212" s="9"/>
      <c r="H212" s="11"/>
      <c r="I212" s="9" t="s">
        <v>13</v>
      </c>
      <c r="J212" s="21"/>
    </row>
    <row r="213">
      <c r="A213" s="20" t="s">
        <v>98</v>
      </c>
      <c r="B213" s="26"/>
      <c r="C213" s="8"/>
      <c r="D213" s="8"/>
      <c r="E213" s="9"/>
      <c r="F213" s="10"/>
      <c r="G213" s="9"/>
      <c r="H213" s="11"/>
      <c r="I213" s="9" t="s">
        <v>13</v>
      </c>
      <c r="J213" s="21"/>
    </row>
    <row r="214">
      <c r="A214" s="20" t="s">
        <v>98</v>
      </c>
      <c r="B214" s="26"/>
      <c r="C214" s="8"/>
      <c r="D214" s="8"/>
      <c r="E214" s="9"/>
      <c r="F214" s="10"/>
      <c r="G214" s="9"/>
      <c r="H214" s="11"/>
      <c r="I214" s="9" t="s">
        <v>13</v>
      </c>
      <c r="J214" s="21"/>
    </row>
    <row r="215">
      <c r="A215" s="20" t="s">
        <v>98</v>
      </c>
      <c r="B215" s="26"/>
      <c r="C215" s="8"/>
      <c r="D215" s="8"/>
      <c r="E215" s="9"/>
      <c r="F215" s="10"/>
      <c r="G215" s="9"/>
      <c r="H215" s="11"/>
      <c r="I215" s="9" t="s">
        <v>13</v>
      </c>
      <c r="J215" s="21"/>
    </row>
    <row r="216">
      <c r="A216" s="20" t="s">
        <v>98</v>
      </c>
      <c r="B216" s="26"/>
      <c r="C216" s="8"/>
      <c r="D216" s="8"/>
      <c r="E216" s="9"/>
      <c r="F216" s="10"/>
      <c r="G216" s="9"/>
      <c r="H216" s="11"/>
      <c r="I216" s="9" t="s">
        <v>13</v>
      </c>
      <c r="J216" s="21"/>
    </row>
    <row r="217">
      <c r="A217" s="20" t="s">
        <v>98</v>
      </c>
      <c r="B217" s="26"/>
      <c r="C217" s="8"/>
      <c r="D217" s="8"/>
      <c r="E217" s="9"/>
      <c r="F217" s="10"/>
      <c r="G217" s="9"/>
      <c r="H217" s="11"/>
      <c r="I217" s="9" t="s">
        <v>13</v>
      </c>
      <c r="J217" s="21"/>
    </row>
    <row r="218">
      <c r="A218" s="20" t="s">
        <v>98</v>
      </c>
      <c r="B218" s="26"/>
      <c r="C218" s="8"/>
      <c r="D218" s="8"/>
      <c r="E218" s="9"/>
      <c r="F218" s="10"/>
      <c r="G218" s="9"/>
      <c r="H218" s="11"/>
      <c r="I218" s="9" t="s">
        <v>13</v>
      </c>
      <c r="J218" s="21"/>
    </row>
    <row r="219">
      <c r="A219" s="20" t="s">
        <v>98</v>
      </c>
      <c r="B219" s="26"/>
      <c r="C219" s="8"/>
      <c r="D219" s="8"/>
      <c r="E219" s="9"/>
      <c r="F219" s="10"/>
      <c r="G219" s="9"/>
      <c r="H219" s="11"/>
      <c r="I219" s="9" t="s">
        <v>13</v>
      </c>
      <c r="J219" s="21"/>
    </row>
    <row r="220">
      <c r="A220" s="20" t="s">
        <v>98</v>
      </c>
      <c r="B220" s="26"/>
      <c r="C220" s="8"/>
      <c r="D220" s="8"/>
      <c r="E220" s="9"/>
      <c r="F220" s="10"/>
      <c r="G220" s="9"/>
      <c r="H220" s="11"/>
      <c r="I220" s="9" t="s">
        <v>13</v>
      </c>
      <c r="J220" s="21"/>
    </row>
    <row r="221">
      <c r="A221" s="20" t="s">
        <v>98</v>
      </c>
      <c r="B221" s="26"/>
      <c r="C221" s="8"/>
      <c r="D221" s="8"/>
      <c r="E221" s="9"/>
      <c r="F221" s="10"/>
      <c r="G221" s="9"/>
      <c r="H221" s="11"/>
      <c r="I221" s="9" t="s">
        <v>13</v>
      </c>
      <c r="J221" s="21"/>
    </row>
    <row r="222">
      <c r="A222" s="20" t="s">
        <v>98</v>
      </c>
      <c r="B222" s="26"/>
      <c r="C222" s="8"/>
      <c r="D222" s="8"/>
      <c r="E222" s="9"/>
      <c r="F222" s="10"/>
      <c r="G222" s="9"/>
      <c r="H222" s="11"/>
      <c r="I222" s="9" t="s">
        <v>13</v>
      </c>
      <c r="J222" s="21"/>
    </row>
    <row r="223">
      <c r="A223" s="20" t="s">
        <v>98</v>
      </c>
      <c r="B223" s="26"/>
      <c r="C223" s="8"/>
      <c r="D223" s="8"/>
      <c r="E223" s="9"/>
      <c r="F223" s="10"/>
      <c r="G223" s="9"/>
      <c r="H223" s="11"/>
      <c r="I223" s="9" t="s">
        <v>13</v>
      </c>
      <c r="J223" s="21"/>
    </row>
    <row r="224">
      <c r="A224" s="20" t="s">
        <v>98</v>
      </c>
      <c r="B224" s="26"/>
      <c r="C224" s="8"/>
      <c r="D224" s="8"/>
      <c r="E224" s="9"/>
      <c r="F224" s="10"/>
      <c r="G224" s="9"/>
      <c r="H224" s="11"/>
      <c r="I224" s="9" t="s">
        <v>13</v>
      </c>
      <c r="J224" s="21"/>
    </row>
    <row r="225">
      <c r="A225" s="20" t="s">
        <v>98</v>
      </c>
      <c r="B225" s="26"/>
      <c r="C225" s="8"/>
      <c r="D225" s="8"/>
      <c r="E225" s="9"/>
      <c r="F225" s="10"/>
      <c r="G225" s="9"/>
      <c r="H225" s="11"/>
      <c r="I225" s="9" t="s">
        <v>13</v>
      </c>
      <c r="J225" s="21"/>
    </row>
    <row r="226">
      <c r="A226" s="20" t="s">
        <v>98</v>
      </c>
      <c r="B226" s="26"/>
      <c r="C226" s="8"/>
      <c r="D226" s="8"/>
      <c r="E226" s="9"/>
      <c r="F226" s="10"/>
      <c r="G226" s="9"/>
      <c r="H226" s="11"/>
      <c r="I226" s="9" t="s">
        <v>13</v>
      </c>
      <c r="J226" s="21"/>
    </row>
    <row r="227">
      <c r="A227" s="20" t="s">
        <v>98</v>
      </c>
      <c r="B227" s="26"/>
      <c r="C227" s="8"/>
      <c r="D227" s="8"/>
      <c r="E227" s="9"/>
      <c r="F227" s="10"/>
      <c r="G227" s="9"/>
      <c r="H227" s="11"/>
      <c r="I227" s="9" t="s">
        <v>13</v>
      </c>
      <c r="J227" s="21"/>
    </row>
    <row r="228">
      <c r="A228" s="20" t="s">
        <v>98</v>
      </c>
      <c r="B228" s="26"/>
      <c r="C228" s="8"/>
      <c r="D228" s="8"/>
      <c r="E228" s="9"/>
      <c r="F228" s="10"/>
      <c r="G228" s="9"/>
      <c r="H228" s="11"/>
      <c r="I228" s="9" t="s">
        <v>13</v>
      </c>
      <c r="J228" s="21"/>
    </row>
    <row r="229">
      <c r="A229" s="20" t="s">
        <v>98</v>
      </c>
      <c r="B229" s="26"/>
      <c r="C229" s="8"/>
      <c r="D229" s="8"/>
      <c r="E229" s="9"/>
      <c r="F229" s="10"/>
      <c r="G229" s="9"/>
      <c r="H229" s="11"/>
      <c r="I229" s="9" t="s">
        <v>13</v>
      </c>
      <c r="J229" s="21"/>
    </row>
    <row r="230">
      <c r="A230" s="20" t="s">
        <v>98</v>
      </c>
      <c r="B230" s="26"/>
      <c r="C230" s="8"/>
      <c r="D230" s="8"/>
      <c r="E230" s="9"/>
      <c r="F230" s="10"/>
      <c r="G230" s="9"/>
      <c r="H230" s="11"/>
      <c r="I230" s="9" t="s">
        <v>13</v>
      </c>
      <c r="J230" s="21"/>
    </row>
    <row r="231">
      <c r="A231" s="20" t="s">
        <v>98</v>
      </c>
      <c r="B231" s="26"/>
      <c r="C231" s="8"/>
      <c r="D231" s="8"/>
      <c r="E231" s="9"/>
      <c r="F231" s="10"/>
      <c r="G231" s="9"/>
      <c r="H231" s="11"/>
      <c r="I231" s="9" t="s">
        <v>13</v>
      </c>
      <c r="J231" s="21"/>
    </row>
    <row r="232">
      <c r="A232" s="20" t="s">
        <v>98</v>
      </c>
      <c r="B232" s="26"/>
      <c r="C232" s="8"/>
      <c r="D232" s="8"/>
      <c r="E232" s="9"/>
      <c r="F232" s="10"/>
      <c r="G232" s="9"/>
      <c r="H232" s="11"/>
      <c r="I232" s="9" t="s">
        <v>13</v>
      </c>
      <c r="J232" s="21"/>
    </row>
    <row r="233">
      <c r="A233" s="20" t="s">
        <v>98</v>
      </c>
      <c r="B233" s="26"/>
      <c r="C233" s="8"/>
      <c r="D233" s="8"/>
      <c r="E233" s="9"/>
      <c r="F233" s="10"/>
      <c r="G233" s="9"/>
      <c r="H233" s="11"/>
      <c r="I233" s="9" t="s">
        <v>13</v>
      </c>
      <c r="J233" s="21"/>
    </row>
    <row r="234">
      <c r="A234" s="20" t="s">
        <v>98</v>
      </c>
      <c r="B234" s="26"/>
      <c r="C234" s="8"/>
      <c r="D234" s="8"/>
      <c r="E234" s="9"/>
      <c r="F234" s="10"/>
      <c r="G234" s="9"/>
      <c r="H234" s="11"/>
      <c r="I234" s="9" t="s">
        <v>13</v>
      </c>
      <c r="J234" s="21"/>
    </row>
    <row r="235">
      <c r="A235" s="20" t="s">
        <v>98</v>
      </c>
      <c r="B235" s="26"/>
      <c r="C235" s="8"/>
      <c r="D235" s="8"/>
      <c r="E235" s="9"/>
      <c r="F235" s="10"/>
      <c r="G235" s="9"/>
      <c r="H235" s="11"/>
      <c r="I235" s="9" t="s">
        <v>13</v>
      </c>
      <c r="J235" s="21"/>
    </row>
    <row r="236">
      <c r="A236" s="20" t="s">
        <v>98</v>
      </c>
      <c r="B236" s="26"/>
      <c r="C236" s="8"/>
      <c r="D236" s="8"/>
      <c r="E236" s="9"/>
      <c r="F236" s="10"/>
      <c r="G236" s="9"/>
      <c r="H236" s="11"/>
      <c r="I236" s="9" t="s">
        <v>13</v>
      </c>
      <c r="J236" s="21"/>
    </row>
    <row r="237">
      <c r="A237" s="20" t="s">
        <v>98</v>
      </c>
      <c r="B237" s="26"/>
      <c r="C237" s="8"/>
      <c r="D237" s="8"/>
      <c r="E237" s="9"/>
      <c r="F237" s="10"/>
      <c r="G237" s="9"/>
      <c r="H237" s="11"/>
      <c r="I237" s="9" t="s">
        <v>13</v>
      </c>
      <c r="J237" s="21"/>
    </row>
    <row r="238">
      <c r="A238" s="20" t="s">
        <v>98</v>
      </c>
      <c r="B238" s="26"/>
      <c r="C238" s="8"/>
      <c r="D238" s="8"/>
      <c r="E238" s="9"/>
      <c r="F238" s="10"/>
      <c r="G238" s="9"/>
      <c r="H238" s="11"/>
      <c r="I238" s="9" t="s">
        <v>13</v>
      </c>
      <c r="J238" s="21"/>
    </row>
    <row r="239">
      <c r="A239" s="20" t="s">
        <v>98</v>
      </c>
      <c r="B239" s="26"/>
      <c r="C239" s="8"/>
      <c r="D239" s="8"/>
      <c r="E239" s="9"/>
      <c r="F239" s="10"/>
      <c r="G239" s="9"/>
      <c r="H239" s="11"/>
      <c r="I239" s="9" t="s">
        <v>13</v>
      </c>
      <c r="J239" s="21"/>
    </row>
    <row r="240">
      <c r="A240" s="20" t="s">
        <v>98</v>
      </c>
      <c r="B240" s="26"/>
      <c r="C240" s="8"/>
      <c r="D240" s="8"/>
      <c r="E240" s="9"/>
      <c r="F240" s="10"/>
      <c r="G240" s="9"/>
      <c r="H240" s="11"/>
      <c r="I240" s="9" t="s">
        <v>13</v>
      </c>
      <c r="J240" s="21"/>
    </row>
    <row r="241">
      <c r="A241" s="20" t="s">
        <v>98</v>
      </c>
      <c r="B241" s="26"/>
      <c r="C241" s="8"/>
      <c r="D241" s="8"/>
      <c r="E241" s="9"/>
      <c r="F241" s="10"/>
      <c r="G241" s="9"/>
      <c r="H241" s="11"/>
      <c r="I241" s="9" t="s">
        <v>13</v>
      </c>
      <c r="J241" s="21"/>
    </row>
    <row r="242">
      <c r="A242" s="20" t="s">
        <v>98</v>
      </c>
      <c r="B242" s="26"/>
      <c r="C242" s="8"/>
      <c r="D242" s="8"/>
      <c r="E242" s="9"/>
      <c r="F242" s="10"/>
      <c r="G242" s="9"/>
      <c r="H242" s="11"/>
      <c r="I242" s="9" t="s">
        <v>13</v>
      </c>
      <c r="J242" s="21"/>
    </row>
    <row r="243">
      <c r="A243" s="20" t="s">
        <v>98</v>
      </c>
      <c r="B243" s="26"/>
      <c r="C243" s="8"/>
      <c r="D243" s="8"/>
      <c r="E243" s="9"/>
      <c r="F243" s="10"/>
      <c r="G243" s="9"/>
      <c r="H243" s="11"/>
      <c r="I243" s="9" t="s">
        <v>13</v>
      </c>
      <c r="J243" s="21"/>
    </row>
    <row r="244">
      <c r="A244" s="20" t="s">
        <v>98</v>
      </c>
      <c r="B244" s="26"/>
      <c r="C244" s="8"/>
      <c r="D244" s="8"/>
      <c r="E244" s="9"/>
      <c r="F244" s="10"/>
      <c r="G244" s="9"/>
      <c r="H244" s="11"/>
      <c r="I244" s="9" t="s">
        <v>13</v>
      </c>
      <c r="J244" s="21"/>
    </row>
    <row r="245">
      <c r="A245" s="20" t="s">
        <v>98</v>
      </c>
      <c r="B245" s="26"/>
      <c r="C245" s="8"/>
      <c r="D245" s="8"/>
      <c r="E245" s="9"/>
      <c r="F245" s="10"/>
      <c r="G245" s="9"/>
      <c r="H245" s="11"/>
      <c r="I245" s="9" t="s">
        <v>13</v>
      </c>
      <c r="J245" s="21"/>
    </row>
    <row r="246">
      <c r="A246" s="20" t="s">
        <v>98</v>
      </c>
      <c r="B246" s="26"/>
      <c r="C246" s="8"/>
      <c r="D246" s="8"/>
      <c r="E246" s="9"/>
      <c r="F246" s="10"/>
      <c r="G246" s="9"/>
      <c r="H246" s="11"/>
      <c r="I246" s="9" t="s">
        <v>13</v>
      </c>
      <c r="J246" s="21"/>
    </row>
    <row r="247">
      <c r="A247" s="20" t="s">
        <v>98</v>
      </c>
      <c r="B247" s="26"/>
      <c r="C247" s="8"/>
      <c r="D247" s="8"/>
      <c r="E247" s="9"/>
      <c r="F247" s="10"/>
      <c r="G247" s="9"/>
      <c r="H247" s="11"/>
      <c r="I247" s="9" t="s">
        <v>13</v>
      </c>
      <c r="J247" s="21"/>
    </row>
    <row r="248">
      <c r="A248" s="20" t="s">
        <v>98</v>
      </c>
      <c r="B248" s="26"/>
      <c r="C248" s="8"/>
      <c r="D248" s="8"/>
      <c r="E248" s="9"/>
      <c r="F248" s="10"/>
      <c r="G248" s="9"/>
      <c r="H248" s="11"/>
      <c r="I248" s="9" t="s">
        <v>13</v>
      </c>
      <c r="J248" s="21"/>
    </row>
    <row r="249">
      <c r="A249" s="20" t="s">
        <v>98</v>
      </c>
      <c r="B249" s="26"/>
      <c r="C249" s="8"/>
      <c r="D249" s="8"/>
      <c r="E249" s="9"/>
      <c r="F249" s="10"/>
      <c r="G249" s="9"/>
      <c r="H249" s="11"/>
      <c r="I249" s="9" t="s">
        <v>13</v>
      </c>
      <c r="J249" s="21"/>
    </row>
    <row r="250">
      <c r="A250" s="20" t="s">
        <v>98</v>
      </c>
      <c r="B250" s="26"/>
      <c r="C250" s="8"/>
      <c r="D250" s="8"/>
      <c r="E250" s="9"/>
      <c r="F250" s="10"/>
      <c r="G250" s="9"/>
      <c r="H250" s="11"/>
      <c r="I250" s="9" t="s">
        <v>13</v>
      </c>
      <c r="J250" s="21"/>
    </row>
    <row r="251">
      <c r="A251" s="20" t="s">
        <v>98</v>
      </c>
      <c r="B251" s="26"/>
      <c r="C251" s="8"/>
      <c r="D251" s="8"/>
      <c r="E251" s="9"/>
      <c r="F251" s="10"/>
      <c r="G251" s="9"/>
      <c r="H251" s="11"/>
      <c r="I251" s="9" t="s">
        <v>13</v>
      </c>
      <c r="J251" s="21"/>
    </row>
    <row r="252">
      <c r="A252" s="20" t="s">
        <v>98</v>
      </c>
      <c r="B252" s="26"/>
      <c r="C252" s="8"/>
      <c r="D252" s="8"/>
      <c r="E252" s="9"/>
      <c r="F252" s="10"/>
      <c r="G252" s="9"/>
      <c r="H252" s="11"/>
      <c r="I252" s="9" t="s">
        <v>13</v>
      </c>
      <c r="J252" s="21"/>
    </row>
    <row r="253">
      <c r="A253" s="20" t="s">
        <v>98</v>
      </c>
      <c r="B253" s="26"/>
      <c r="C253" s="8"/>
      <c r="D253" s="8"/>
      <c r="E253" s="9"/>
      <c r="F253" s="10"/>
      <c r="G253" s="9"/>
      <c r="H253" s="11"/>
      <c r="I253" s="9" t="s">
        <v>13</v>
      </c>
      <c r="J253" s="21"/>
    </row>
    <row r="254">
      <c r="A254" s="20" t="s">
        <v>98</v>
      </c>
      <c r="B254" s="26"/>
      <c r="C254" s="8"/>
      <c r="D254" s="8"/>
      <c r="E254" s="9"/>
      <c r="F254" s="10"/>
      <c r="G254" s="9"/>
      <c r="H254" s="11"/>
      <c r="I254" s="9" t="s">
        <v>13</v>
      </c>
      <c r="J254" s="21"/>
    </row>
    <row r="255">
      <c r="A255" s="20" t="s">
        <v>98</v>
      </c>
      <c r="B255" s="26"/>
      <c r="C255" s="8"/>
      <c r="D255" s="8"/>
      <c r="E255" s="9"/>
      <c r="F255" s="10"/>
      <c r="G255" s="9"/>
      <c r="H255" s="11"/>
      <c r="I255" s="9" t="s">
        <v>13</v>
      </c>
      <c r="J255" s="21"/>
    </row>
    <row r="256">
      <c r="A256" s="20" t="s">
        <v>98</v>
      </c>
      <c r="B256" s="26"/>
      <c r="C256" s="8"/>
      <c r="D256" s="8"/>
      <c r="E256" s="9"/>
      <c r="F256" s="10"/>
      <c r="G256" s="9"/>
      <c r="H256" s="11"/>
      <c r="I256" s="9" t="s">
        <v>13</v>
      </c>
      <c r="J256" s="21"/>
    </row>
    <row r="257">
      <c r="A257" s="20" t="s">
        <v>98</v>
      </c>
      <c r="B257" s="26"/>
      <c r="C257" s="8"/>
      <c r="D257" s="8"/>
      <c r="E257" s="9"/>
      <c r="F257" s="10"/>
      <c r="G257" s="9"/>
      <c r="H257" s="11"/>
      <c r="I257" s="9" t="s">
        <v>13</v>
      </c>
      <c r="J257" s="21"/>
    </row>
    <row r="258">
      <c r="A258" s="20" t="s">
        <v>98</v>
      </c>
      <c r="B258" s="26"/>
      <c r="C258" s="8"/>
      <c r="D258" s="8"/>
      <c r="E258" s="9"/>
      <c r="F258" s="10"/>
      <c r="G258" s="9"/>
      <c r="H258" s="11"/>
      <c r="I258" s="9" t="s">
        <v>13</v>
      </c>
      <c r="J258" s="21"/>
    </row>
    <row r="259">
      <c r="A259" s="20" t="s">
        <v>98</v>
      </c>
      <c r="B259" s="26"/>
      <c r="C259" s="8"/>
      <c r="D259" s="8"/>
      <c r="E259" s="9"/>
      <c r="F259" s="10"/>
      <c r="G259" s="9"/>
      <c r="H259" s="11"/>
      <c r="I259" s="9" t="s">
        <v>13</v>
      </c>
      <c r="J259" s="21"/>
    </row>
    <row r="260">
      <c r="A260" s="20" t="s">
        <v>98</v>
      </c>
      <c r="B260" s="26"/>
      <c r="C260" s="8"/>
      <c r="D260" s="8"/>
      <c r="E260" s="9"/>
      <c r="F260" s="10"/>
      <c r="G260" s="9"/>
      <c r="H260" s="11"/>
      <c r="I260" s="9" t="s">
        <v>13</v>
      </c>
      <c r="J260" s="21"/>
    </row>
    <row r="261">
      <c r="A261" s="20" t="s">
        <v>98</v>
      </c>
      <c r="B261" s="26"/>
      <c r="C261" s="8"/>
      <c r="D261" s="8"/>
      <c r="E261" s="9"/>
      <c r="F261" s="10"/>
      <c r="G261" s="9"/>
      <c r="H261" s="11"/>
      <c r="I261" s="9" t="s">
        <v>13</v>
      </c>
      <c r="J261" s="21"/>
    </row>
    <row r="262">
      <c r="A262" s="20" t="s">
        <v>98</v>
      </c>
      <c r="B262" s="26"/>
      <c r="C262" s="8"/>
      <c r="D262" s="8"/>
      <c r="E262" s="9"/>
      <c r="F262" s="10"/>
      <c r="G262" s="9"/>
      <c r="H262" s="11"/>
      <c r="I262" s="9" t="s">
        <v>13</v>
      </c>
      <c r="J262" s="21"/>
    </row>
    <row r="263">
      <c r="A263" s="20" t="s">
        <v>98</v>
      </c>
      <c r="B263" s="26"/>
      <c r="C263" s="8"/>
      <c r="D263" s="8"/>
      <c r="E263" s="9"/>
      <c r="F263" s="10"/>
      <c r="G263" s="9"/>
      <c r="H263" s="11"/>
      <c r="I263" s="9" t="s">
        <v>13</v>
      </c>
      <c r="J263" s="21"/>
    </row>
    <row r="264">
      <c r="A264" s="20" t="s">
        <v>98</v>
      </c>
      <c r="B264" s="26"/>
      <c r="C264" s="8"/>
      <c r="D264" s="8"/>
      <c r="E264" s="9"/>
      <c r="F264" s="10"/>
      <c r="G264" s="9"/>
      <c r="H264" s="11"/>
      <c r="I264" s="9" t="s">
        <v>13</v>
      </c>
      <c r="J264" s="21"/>
    </row>
    <row r="265">
      <c r="A265" s="20" t="s">
        <v>98</v>
      </c>
      <c r="B265" s="26"/>
      <c r="C265" s="8"/>
      <c r="D265" s="8"/>
      <c r="E265" s="9"/>
      <c r="F265" s="10"/>
      <c r="G265" s="9"/>
      <c r="H265" s="11"/>
      <c r="I265" s="9" t="s">
        <v>13</v>
      </c>
      <c r="J265" s="21"/>
    </row>
    <row r="266">
      <c r="A266" s="20" t="s">
        <v>98</v>
      </c>
      <c r="B266" s="26"/>
      <c r="C266" s="8"/>
      <c r="D266" s="8"/>
      <c r="E266" s="9"/>
      <c r="F266" s="10"/>
      <c r="G266" s="9"/>
      <c r="H266" s="11"/>
      <c r="I266" s="9" t="s">
        <v>13</v>
      </c>
      <c r="J266" s="21"/>
    </row>
    <row r="267">
      <c r="A267" s="20" t="s">
        <v>98</v>
      </c>
      <c r="B267" s="26"/>
      <c r="C267" s="8"/>
      <c r="D267" s="8"/>
      <c r="E267" s="9"/>
      <c r="F267" s="10"/>
      <c r="G267" s="9"/>
      <c r="H267" s="11"/>
      <c r="I267" s="9" t="s">
        <v>13</v>
      </c>
      <c r="J267" s="21"/>
    </row>
    <row r="268">
      <c r="A268" s="20" t="s">
        <v>98</v>
      </c>
      <c r="B268" s="26"/>
      <c r="C268" s="8"/>
      <c r="D268" s="8"/>
      <c r="E268" s="9"/>
      <c r="F268" s="10"/>
      <c r="G268" s="9"/>
      <c r="H268" s="11"/>
      <c r="I268" s="9" t="s">
        <v>13</v>
      </c>
      <c r="J268" s="21"/>
    </row>
    <row r="269">
      <c r="A269" s="20" t="s">
        <v>98</v>
      </c>
      <c r="B269" s="26"/>
      <c r="C269" s="8"/>
      <c r="D269" s="8"/>
      <c r="E269" s="9"/>
      <c r="F269" s="10"/>
      <c r="G269" s="9"/>
      <c r="H269" s="11"/>
      <c r="I269" s="9" t="s">
        <v>13</v>
      </c>
      <c r="J269" s="21"/>
    </row>
    <row r="270">
      <c r="A270" s="20" t="s">
        <v>98</v>
      </c>
      <c r="B270" s="26"/>
      <c r="C270" s="8"/>
      <c r="D270" s="8"/>
      <c r="E270" s="9"/>
      <c r="F270" s="10"/>
      <c r="G270" s="9"/>
      <c r="H270" s="11"/>
      <c r="I270" s="9" t="s">
        <v>13</v>
      </c>
      <c r="J270" s="21"/>
    </row>
    <row r="271">
      <c r="A271" s="20" t="s">
        <v>98</v>
      </c>
      <c r="B271" s="26"/>
      <c r="C271" s="8"/>
      <c r="D271" s="8"/>
      <c r="E271" s="9"/>
      <c r="F271" s="10"/>
      <c r="G271" s="9"/>
      <c r="H271" s="11"/>
      <c r="I271" s="9" t="s">
        <v>13</v>
      </c>
      <c r="J271" s="21"/>
    </row>
    <row r="272">
      <c r="A272" s="20" t="s">
        <v>98</v>
      </c>
      <c r="B272" s="26"/>
      <c r="C272" s="8"/>
      <c r="D272" s="8"/>
      <c r="E272" s="9"/>
      <c r="F272" s="10"/>
      <c r="G272" s="9"/>
      <c r="H272" s="11"/>
      <c r="I272" s="9" t="s">
        <v>13</v>
      </c>
      <c r="J272" s="21"/>
    </row>
    <row r="273">
      <c r="A273" s="20" t="s">
        <v>98</v>
      </c>
      <c r="B273" s="26"/>
      <c r="C273" s="8"/>
      <c r="D273" s="8"/>
      <c r="E273" s="9"/>
      <c r="F273" s="10"/>
      <c r="G273" s="9"/>
      <c r="H273" s="11"/>
      <c r="I273" s="9" t="s">
        <v>13</v>
      </c>
      <c r="J273" s="21"/>
    </row>
    <row r="274">
      <c r="A274" s="20" t="s">
        <v>98</v>
      </c>
      <c r="B274" s="26"/>
      <c r="C274" s="8"/>
      <c r="D274" s="8"/>
      <c r="E274" s="9"/>
      <c r="F274" s="10"/>
      <c r="G274" s="9"/>
      <c r="H274" s="11"/>
      <c r="I274" s="9" t="s">
        <v>13</v>
      </c>
      <c r="J274" s="21"/>
    </row>
    <row r="275">
      <c r="A275" s="20" t="s">
        <v>98</v>
      </c>
      <c r="B275" s="26"/>
      <c r="C275" s="8"/>
      <c r="D275" s="8"/>
      <c r="E275" s="9"/>
      <c r="F275" s="10"/>
      <c r="G275" s="9"/>
      <c r="H275" s="11"/>
      <c r="I275" s="9" t="s">
        <v>13</v>
      </c>
      <c r="J275" s="21"/>
    </row>
    <row r="276">
      <c r="A276" s="20" t="s">
        <v>98</v>
      </c>
      <c r="B276" s="26"/>
      <c r="C276" s="8"/>
      <c r="D276" s="8"/>
      <c r="E276" s="9"/>
      <c r="F276" s="10"/>
      <c r="G276" s="9"/>
      <c r="H276" s="11"/>
      <c r="I276" s="9" t="s">
        <v>13</v>
      </c>
      <c r="J276" s="21"/>
    </row>
    <row r="277">
      <c r="A277" s="20" t="s">
        <v>98</v>
      </c>
      <c r="B277" s="26"/>
      <c r="C277" s="8"/>
      <c r="D277" s="8"/>
      <c r="E277" s="9"/>
      <c r="F277" s="10"/>
      <c r="G277" s="9"/>
      <c r="H277" s="11"/>
      <c r="I277" s="9" t="s">
        <v>13</v>
      </c>
      <c r="J277" s="21"/>
    </row>
    <row r="278">
      <c r="A278" s="20" t="s">
        <v>98</v>
      </c>
      <c r="B278" s="26"/>
      <c r="C278" s="8"/>
      <c r="D278" s="8"/>
      <c r="E278" s="9"/>
      <c r="F278" s="10"/>
      <c r="G278" s="9"/>
      <c r="H278" s="11"/>
      <c r="I278" s="9" t="s">
        <v>13</v>
      </c>
      <c r="J278" s="21"/>
    </row>
    <row r="279">
      <c r="A279" s="20" t="s">
        <v>98</v>
      </c>
      <c r="B279" s="26"/>
      <c r="C279" s="8"/>
      <c r="D279" s="8"/>
      <c r="E279" s="9"/>
      <c r="F279" s="10"/>
      <c r="G279" s="9"/>
      <c r="H279" s="11"/>
      <c r="I279" s="9" t="s">
        <v>13</v>
      </c>
      <c r="J279" s="21"/>
    </row>
    <row r="280">
      <c r="A280" s="20" t="s">
        <v>98</v>
      </c>
      <c r="B280" s="26"/>
      <c r="C280" s="8"/>
      <c r="D280" s="8"/>
      <c r="E280" s="9"/>
      <c r="F280" s="10"/>
      <c r="G280" s="9"/>
      <c r="H280" s="11"/>
      <c r="I280" s="9" t="s">
        <v>13</v>
      </c>
      <c r="J280" s="21"/>
    </row>
    <row r="281">
      <c r="A281" s="20" t="s">
        <v>98</v>
      </c>
      <c r="B281" s="26"/>
      <c r="C281" s="8"/>
      <c r="D281" s="8"/>
      <c r="E281" s="9"/>
      <c r="F281" s="10"/>
      <c r="G281" s="9"/>
      <c r="H281" s="11"/>
      <c r="I281" s="9" t="s">
        <v>13</v>
      </c>
      <c r="J281" s="21"/>
    </row>
    <row r="282">
      <c r="A282" s="20" t="s">
        <v>98</v>
      </c>
      <c r="B282" s="26"/>
      <c r="C282" s="8"/>
      <c r="D282" s="8"/>
      <c r="E282" s="9"/>
      <c r="F282" s="10"/>
      <c r="G282" s="9"/>
      <c r="H282" s="11"/>
      <c r="I282" s="9" t="s">
        <v>13</v>
      </c>
      <c r="J282" s="21"/>
    </row>
    <row r="283">
      <c r="A283" s="20" t="s">
        <v>98</v>
      </c>
      <c r="B283" s="26"/>
      <c r="C283" s="8"/>
      <c r="D283" s="8"/>
      <c r="E283" s="9"/>
      <c r="F283" s="10"/>
      <c r="G283" s="9"/>
      <c r="H283" s="11"/>
      <c r="I283" s="9" t="s">
        <v>13</v>
      </c>
      <c r="J283" s="21"/>
    </row>
    <row r="284">
      <c r="A284" s="20" t="s">
        <v>98</v>
      </c>
      <c r="B284" s="26"/>
      <c r="C284" s="8"/>
      <c r="D284" s="8"/>
      <c r="E284" s="9"/>
      <c r="F284" s="10"/>
      <c r="G284" s="9"/>
      <c r="H284" s="11"/>
      <c r="I284" s="9" t="s">
        <v>13</v>
      </c>
      <c r="J284" s="21"/>
    </row>
    <row r="285">
      <c r="A285" s="20" t="s">
        <v>98</v>
      </c>
      <c r="B285" s="26"/>
      <c r="C285" s="8"/>
      <c r="D285" s="8"/>
      <c r="E285" s="9"/>
      <c r="F285" s="10"/>
      <c r="G285" s="9"/>
      <c r="H285" s="11"/>
      <c r="I285" s="9" t="s">
        <v>13</v>
      </c>
      <c r="J285" s="21"/>
    </row>
    <row r="286">
      <c r="A286" s="20" t="s">
        <v>98</v>
      </c>
      <c r="B286" s="26"/>
      <c r="C286" s="8"/>
      <c r="D286" s="8"/>
      <c r="E286" s="9"/>
      <c r="F286" s="10"/>
      <c r="G286" s="9"/>
      <c r="H286" s="11"/>
      <c r="I286" s="9" t="s">
        <v>13</v>
      </c>
      <c r="J286" s="21"/>
    </row>
    <row r="287">
      <c r="A287" s="20" t="s">
        <v>98</v>
      </c>
      <c r="B287" s="26"/>
      <c r="C287" s="8"/>
      <c r="D287" s="8"/>
      <c r="E287" s="9"/>
      <c r="F287" s="10"/>
      <c r="G287" s="9"/>
      <c r="H287" s="11"/>
      <c r="I287" s="9" t="s">
        <v>13</v>
      </c>
      <c r="J287" s="21"/>
    </row>
    <row r="288">
      <c r="A288" s="20" t="s">
        <v>98</v>
      </c>
      <c r="B288" s="26"/>
      <c r="C288" s="8"/>
      <c r="D288" s="8"/>
      <c r="E288" s="9"/>
      <c r="F288" s="10"/>
      <c r="G288" s="9"/>
      <c r="H288" s="11"/>
      <c r="I288" s="9" t="s">
        <v>13</v>
      </c>
      <c r="J288" s="21"/>
    </row>
    <row r="289">
      <c r="A289" s="20" t="s">
        <v>98</v>
      </c>
      <c r="B289" s="26"/>
      <c r="C289" s="8"/>
      <c r="D289" s="8"/>
      <c r="E289" s="9"/>
      <c r="F289" s="10"/>
      <c r="G289" s="9"/>
      <c r="H289" s="11"/>
      <c r="I289" s="9" t="s">
        <v>13</v>
      </c>
      <c r="J289" s="21"/>
    </row>
    <row r="290">
      <c r="A290" s="20" t="s">
        <v>98</v>
      </c>
      <c r="B290" s="26"/>
      <c r="C290" s="8"/>
      <c r="D290" s="8"/>
      <c r="E290" s="9"/>
      <c r="F290" s="10"/>
      <c r="G290" s="9"/>
      <c r="H290" s="11"/>
      <c r="I290" s="9" t="s">
        <v>13</v>
      </c>
      <c r="J290" s="21"/>
    </row>
    <row r="291">
      <c r="A291" s="20" t="s">
        <v>98</v>
      </c>
      <c r="B291" s="26"/>
      <c r="C291" s="8"/>
      <c r="D291" s="8"/>
      <c r="E291" s="9"/>
      <c r="F291" s="10"/>
      <c r="G291" s="9"/>
      <c r="H291" s="11"/>
      <c r="I291" s="9" t="s">
        <v>13</v>
      </c>
      <c r="J291" s="21"/>
    </row>
    <row r="292">
      <c r="A292" s="20" t="s">
        <v>98</v>
      </c>
      <c r="B292" s="26"/>
      <c r="C292" s="8"/>
      <c r="D292" s="8"/>
      <c r="E292" s="9"/>
      <c r="F292" s="10"/>
      <c r="G292" s="9"/>
      <c r="H292" s="11"/>
      <c r="I292" s="9" t="s">
        <v>13</v>
      </c>
      <c r="J292" s="21"/>
    </row>
    <row r="293">
      <c r="A293" s="20" t="s">
        <v>98</v>
      </c>
      <c r="B293" s="26"/>
      <c r="C293" s="8"/>
      <c r="D293" s="8"/>
      <c r="E293" s="9"/>
      <c r="F293" s="10"/>
      <c r="G293" s="9"/>
      <c r="H293" s="11"/>
      <c r="I293" s="9" t="s">
        <v>13</v>
      </c>
      <c r="J293" s="21"/>
    </row>
    <row r="294">
      <c r="A294" s="20" t="s">
        <v>98</v>
      </c>
      <c r="B294" s="26"/>
      <c r="C294" s="8"/>
      <c r="D294" s="8"/>
      <c r="E294" s="9"/>
      <c r="F294" s="10"/>
      <c r="G294" s="9"/>
      <c r="H294" s="11"/>
      <c r="I294" s="9" t="s">
        <v>13</v>
      </c>
      <c r="J294" s="21"/>
    </row>
    <row r="295">
      <c r="A295" s="20" t="s">
        <v>98</v>
      </c>
      <c r="B295" s="26"/>
      <c r="C295" s="8"/>
      <c r="D295" s="8"/>
      <c r="E295" s="9"/>
      <c r="F295" s="10"/>
      <c r="G295" s="9"/>
      <c r="H295" s="11"/>
      <c r="I295" s="9" t="s">
        <v>13</v>
      </c>
      <c r="J295" s="21"/>
    </row>
    <row r="296">
      <c r="A296" s="20" t="s">
        <v>98</v>
      </c>
      <c r="B296" s="26"/>
      <c r="C296" s="8"/>
      <c r="D296" s="8"/>
      <c r="E296" s="9"/>
      <c r="F296" s="10"/>
      <c r="G296" s="9"/>
      <c r="H296" s="11"/>
      <c r="I296" s="9" t="s">
        <v>13</v>
      </c>
      <c r="J296" s="21"/>
    </row>
    <row r="297">
      <c r="A297" s="20" t="s">
        <v>98</v>
      </c>
      <c r="B297" s="26"/>
      <c r="C297" s="8"/>
      <c r="D297" s="8"/>
      <c r="E297" s="9"/>
      <c r="F297" s="10"/>
      <c r="G297" s="9"/>
      <c r="H297" s="11"/>
      <c r="I297" s="9" t="s">
        <v>13</v>
      </c>
      <c r="J297" s="21"/>
    </row>
    <row r="298">
      <c r="A298" s="20" t="s">
        <v>98</v>
      </c>
      <c r="B298" s="26"/>
      <c r="C298" s="8"/>
      <c r="D298" s="8"/>
      <c r="E298" s="9"/>
      <c r="F298" s="10"/>
      <c r="G298" s="9"/>
      <c r="H298" s="11"/>
      <c r="I298" s="9" t="s">
        <v>13</v>
      </c>
      <c r="J298" s="21"/>
    </row>
    <row r="299">
      <c r="A299" s="20" t="s">
        <v>98</v>
      </c>
      <c r="B299" s="26"/>
      <c r="C299" s="8"/>
      <c r="D299" s="8"/>
      <c r="E299" s="9"/>
      <c r="F299" s="10"/>
      <c r="G299" s="9"/>
      <c r="H299" s="11"/>
      <c r="I299" s="9" t="s">
        <v>13</v>
      </c>
      <c r="J299" s="21"/>
    </row>
    <row r="300">
      <c r="A300" s="20" t="s">
        <v>98</v>
      </c>
      <c r="B300" s="26"/>
      <c r="C300" s="8"/>
      <c r="D300" s="8"/>
      <c r="E300" s="9"/>
      <c r="F300" s="10"/>
      <c r="G300" s="9"/>
      <c r="H300" s="11"/>
      <c r="I300" s="9" t="s">
        <v>13</v>
      </c>
      <c r="J300" s="21"/>
    </row>
    <row r="301">
      <c r="A301" s="20" t="s">
        <v>98</v>
      </c>
      <c r="B301" s="26"/>
      <c r="C301" s="8"/>
      <c r="D301" s="8"/>
      <c r="E301" s="9"/>
      <c r="F301" s="10"/>
      <c r="G301" s="9"/>
      <c r="H301" s="11"/>
      <c r="I301" s="9" t="s">
        <v>13</v>
      </c>
      <c r="J301" s="21"/>
    </row>
    <row r="302">
      <c r="A302" s="20" t="s">
        <v>98</v>
      </c>
      <c r="B302" s="26"/>
      <c r="C302" s="8"/>
      <c r="D302" s="8"/>
      <c r="E302" s="9"/>
      <c r="F302" s="10"/>
      <c r="G302" s="9"/>
      <c r="H302" s="11"/>
      <c r="I302" s="9" t="s">
        <v>13</v>
      </c>
      <c r="J302" s="21"/>
    </row>
    <row r="303">
      <c r="A303" s="20" t="s">
        <v>98</v>
      </c>
      <c r="B303" s="26"/>
      <c r="C303" s="8"/>
      <c r="D303" s="8"/>
      <c r="E303" s="9"/>
      <c r="F303" s="10"/>
      <c r="G303" s="9"/>
      <c r="H303" s="11"/>
      <c r="I303" s="9" t="s">
        <v>13</v>
      </c>
      <c r="J303" s="21"/>
    </row>
    <row r="304">
      <c r="A304" s="20" t="s">
        <v>98</v>
      </c>
      <c r="B304" s="26"/>
      <c r="C304" s="8"/>
      <c r="D304" s="8"/>
      <c r="E304" s="9"/>
      <c r="F304" s="10"/>
      <c r="G304" s="9"/>
      <c r="H304" s="11"/>
      <c r="I304" s="9" t="s">
        <v>13</v>
      </c>
      <c r="J304" s="21"/>
    </row>
    <row r="305">
      <c r="A305" s="20" t="s">
        <v>98</v>
      </c>
      <c r="B305" s="26"/>
      <c r="C305" s="8"/>
      <c r="D305" s="8"/>
      <c r="E305" s="9"/>
      <c r="F305" s="10"/>
      <c r="G305" s="9"/>
      <c r="H305" s="11"/>
      <c r="I305" s="9" t="s">
        <v>13</v>
      </c>
      <c r="J305" s="21"/>
    </row>
    <row r="306">
      <c r="A306" s="20" t="s">
        <v>98</v>
      </c>
      <c r="B306" s="26"/>
      <c r="C306" s="8"/>
      <c r="D306" s="8"/>
      <c r="E306" s="9"/>
      <c r="F306" s="10"/>
      <c r="G306" s="9"/>
      <c r="H306" s="11"/>
      <c r="I306" s="9" t="s">
        <v>13</v>
      </c>
      <c r="J306" s="21"/>
    </row>
    <row r="307">
      <c r="A307" s="20" t="s">
        <v>98</v>
      </c>
      <c r="B307" s="26"/>
      <c r="C307" s="8"/>
      <c r="D307" s="8"/>
      <c r="E307" s="9"/>
      <c r="F307" s="10"/>
      <c r="G307" s="9"/>
      <c r="H307" s="11"/>
      <c r="I307" s="9" t="s">
        <v>13</v>
      </c>
      <c r="J307" s="21"/>
    </row>
    <row r="308">
      <c r="A308" s="20" t="s">
        <v>98</v>
      </c>
      <c r="B308" s="26"/>
      <c r="C308" s="8"/>
      <c r="D308" s="8"/>
      <c r="E308" s="9"/>
      <c r="F308" s="10"/>
      <c r="G308" s="9"/>
      <c r="H308" s="11"/>
      <c r="I308" s="9" t="s">
        <v>13</v>
      </c>
      <c r="J308" s="21"/>
    </row>
    <row r="309">
      <c r="A309" s="20" t="s">
        <v>98</v>
      </c>
      <c r="B309" s="26"/>
      <c r="C309" s="8"/>
      <c r="D309" s="8"/>
      <c r="E309" s="9"/>
      <c r="F309" s="10"/>
      <c r="G309" s="9"/>
      <c r="H309" s="11"/>
      <c r="I309" s="9" t="s">
        <v>13</v>
      </c>
      <c r="J309" s="21"/>
    </row>
    <row r="310">
      <c r="A310" s="20" t="s">
        <v>98</v>
      </c>
      <c r="B310" s="26"/>
      <c r="C310" s="8"/>
      <c r="D310" s="8"/>
      <c r="E310" s="9"/>
      <c r="F310" s="10"/>
      <c r="G310" s="9"/>
      <c r="H310" s="11"/>
      <c r="I310" s="9" t="s">
        <v>13</v>
      </c>
      <c r="J310" s="21"/>
    </row>
    <row r="311">
      <c r="A311" s="20" t="s">
        <v>98</v>
      </c>
      <c r="B311" s="26"/>
      <c r="C311" s="8"/>
      <c r="D311" s="8"/>
      <c r="E311" s="9"/>
      <c r="F311" s="10"/>
      <c r="G311" s="9"/>
      <c r="H311" s="11"/>
      <c r="I311" s="9" t="s">
        <v>13</v>
      </c>
      <c r="J311" s="21"/>
    </row>
    <row r="312">
      <c r="A312" s="20" t="s">
        <v>98</v>
      </c>
      <c r="B312" s="26"/>
      <c r="C312" s="8"/>
      <c r="D312" s="8"/>
      <c r="E312" s="9"/>
      <c r="F312" s="10"/>
      <c r="G312" s="9"/>
      <c r="H312" s="11"/>
      <c r="I312" s="9" t="s">
        <v>13</v>
      </c>
      <c r="J312" s="21"/>
    </row>
    <row r="313">
      <c r="A313" s="20" t="s">
        <v>98</v>
      </c>
      <c r="B313" s="26"/>
      <c r="C313" s="8"/>
      <c r="D313" s="8"/>
      <c r="E313" s="9"/>
      <c r="F313" s="10"/>
      <c r="G313" s="9"/>
      <c r="H313" s="11"/>
      <c r="I313" s="9" t="s">
        <v>13</v>
      </c>
      <c r="J313" s="21"/>
    </row>
    <row r="314">
      <c r="A314" s="20" t="s">
        <v>98</v>
      </c>
      <c r="B314" s="26"/>
      <c r="C314" s="8"/>
      <c r="D314" s="8"/>
      <c r="E314" s="9"/>
      <c r="F314" s="10"/>
      <c r="G314" s="9"/>
      <c r="H314" s="11"/>
      <c r="I314" s="9" t="s">
        <v>13</v>
      </c>
      <c r="J314" s="21"/>
    </row>
    <row r="315">
      <c r="A315" s="20" t="s">
        <v>98</v>
      </c>
      <c r="B315" s="26"/>
      <c r="C315" s="8"/>
      <c r="D315" s="8"/>
      <c r="E315" s="9"/>
      <c r="F315" s="10"/>
      <c r="G315" s="9"/>
      <c r="H315" s="11"/>
      <c r="I315" s="9" t="s">
        <v>13</v>
      </c>
      <c r="J315" s="21"/>
    </row>
    <row r="316">
      <c r="A316" s="20" t="s">
        <v>98</v>
      </c>
      <c r="B316" s="26"/>
      <c r="C316" s="8"/>
      <c r="D316" s="8"/>
      <c r="E316" s="9"/>
      <c r="F316" s="10"/>
      <c r="G316" s="9"/>
      <c r="H316" s="11"/>
      <c r="I316" s="9" t="s">
        <v>13</v>
      </c>
      <c r="J316" s="21"/>
    </row>
    <row r="317">
      <c r="A317" s="20" t="s">
        <v>98</v>
      </c>
      <c r="B317" s="26"/>
      <c r="C317" s="8"/>
      <c r="D317" s="8"/>
      <c r="E317" s="9"/>
      <c r="F317" s="10"/>
      <c r="G317" s="9"/>
      <c r="H317" s="11"/>
      <c r="I317" s="9" t="s">
        <v>13</v>
      </c>
      <c r="J317" s="21"/>
    </row>
    <row r="318">
      <c r="A318" s="20" t="s">
        <v>98</v>
      </c>
      <c r="B318" s="26"/>
      <c r="C318" s="8"/>
      <c r="D318" s="8"/>
      <c r="E318" s="9"/>
      <c r="F318" s="10"/>
      <c r="G318" s="9"/>
      <c r="H318" s="11"/>
      <c r="I318" s="9" t="s">
        <v>13</v>
      </c>
      <c r="J318" s="21"/>
    </row>
    <row r="319">
      <c r="A319" s="20" t="s">
        <v>98</v>
      </c>
      <c r="B319" s="26"/>
      <c r="C319" s="8"/>
      <c r="D319" s="8"/>
      <c r="E319" s="9"/>
      <c r="F319" s="10"/>
      <c r="G319" s="9"/>
      <c r="H319" s="11"/>
      <c r="I319" s="9" t="s">
        <v>13</v>
      </c>
      <c r="J319" s="21"/>
    </row>
    <row r="320">
      <c r="A320" s="20" t="s">
        <v>98</v>
      </c>
      <c r="B320" s="26"/>
      <c r="C320" s="8"/>
      <c r="D320" s="8"/>
      <c r="E320" s="9"/>
      <c r="F320" s="10"/>
      <c r="G320" s="9"/>
      <c r="H320" s="11"/>
      <c r="I320" s="9" t="s">
        <v>13</v>
      </c>
      <c r="J320" s="21"/>
    </row>
    <row r="321">
      <c r="A321" s="20" t="s">
        <v>98</v>
      </c>
      <c r="B321" s="26"/>
      <c r="C321" s="8"/>
      <c r="D321" s="8"/>
      <c r="E321" s="9"/>
      <c r="F321" s="10"/>
      <c r="G321" s="9"/>
      <c r="H321" s="11"/>
      <c r="I321" s="9" t="s">
        <v>13</v>
      </c>
      <c r="J321" s="21"/>
    </row>
    <row r="322">
      <c r="A322" s="20" t="s">
        <v>98</v>
      </c>
      <c r="B322" s="26"/>
      <c r="C322" s="8"/>
      <c r="D322" s="8"/>
      <c r="E322" s="9"/>
      <c r="F322" s="10"/>
      <c r="G322" s="9"/>
      <c r="H322" s="11"/>
      <c r="I322" s="9" t="s">
        <v>13</v>
      </c>
      <c r="J322" s="21"/>
    </row>
    <row r="323">
      <c r="A323" s="20" t="s">
        <v>98</v>
      </c>
      <c r="B323" s="26"/>
      <c r="C323" s="8"/>
      <c r="D323" s="8"/>
      <c r="E323" s="9"/>
      <c r="F323" s="10"/>
      <c r="G323" s="9"/>
      <c r="H323" s="11"/>
      <c r="I323" s="9" t="s">
        <v>13</v>
      </c>
      <c r="J323" s="21"/>
    </row>
    <row r="324">
      <c r="A324" s="20" t="s">
        <v>98</v>
      </c>
      <c r="B324" s="26"/>
      <c r="C324" s="8"/>
      <c r="D324" s="8"/>
      <c r="E324" s="9"/>
      <c r="F324" s="10"/>
      <c r="G324" s="9"/>
      <c r="H324" s="11"/>
      <c r="I324" s="9" t="s">
        <v>13</v>
      </c>
      <c r="J324" s="21"/>
    </row>
    <row r="325">
      <c r="A325" s="20" t="s">
        <v>98</v>
      </c>
      <c r="B325" s="26"/>
      <c r="C325" s="8"/>
      <c r="D325" s="8"/>
      <c r="E325" s="9"/>
      <c r="F325" s="10"/>
      <c r="G325" s="9"/>
      <c r="H325" s="11"/>
      <c r="I325" s="9" t="s">
        <v>13</v>
      </c>
      <c r="J325" s="21"/>
    </row>
    <row r="326">
      <c r="A326" s="20" t="s">
        <v>98</v>
      </c>
      <c r="B326" s="26"/>
      <c r="C326" s="8"/>
      <c r="D326" s="8"/>
      <c r="E326" s="9"/>
      <c r="F326" s="10"/>
      <c r="G326" s="9"/>
      <c r="H326" s="11"/>
      <c r="I326" s="9" t="s">
        <v>13</v>
      </c>
      <c r="J326" s="21"/>
    </row>
    <row r="327">
      <c r="A327" s="20" t="s">
        <v>98</v>
      </c>
      <c r="B327" s="26"/>
      <c r="C327" s="8"/>
      <c r="D327" s="8"/>
      <c r="E327" s="9"/>
      <c r="F327" s="10"/>
      <c r="G327" s="9"/>
      <c r="H327" s="11"/>
      <c r="I327" s="9" t="s">
        <v>13</v>
      </c>
      <c r="J327" s="21"/>
    </row>
    <row r="328">
      <c r="A328" s="20" t="s">
        <v>98</v>
      </c>
      <c r="B328" s="26"/>
      <c r="C328" s="8"/>
      <c r="D328" s="8"/>
      <c r="E328" s="9"/>
      <c r="F328" s="10"/>
      <c r="G328" s="9"/>
      <c r="H328" s="11"/>
      <c r="I328" s="9" t="s">
        <v>13</v>
      </c>
      <c r="J328" s="21"/>
    </row>
    <row r="329">
      <c r="A329" s="20" t="s">
        <v>98</v>
      </c>
      <c r="B329" s="26"/>
      <c r="C329" s="8"/>
      <c r="D329" s="8"/>
      <c r="E329" s="9"/>
      <c r="F329" s="10"/>
      <c r="G329" s="9"/>
      <c r="H329" s="11"/>
      <c r="I329" s="9" t="s">
        <v>13</v>
      </c>
      <c r="J329" s="21"/>
    </row>
    <row r="330">
      <c r="A330" s="20" t="s">
        <v>98</v>
      </c>
      <c r="B330" s="26"/>
      <c r="C330" s="8"/>
      <c r="D330" s="8"/>
      <c r="E330" s="9"/>
      <c r="F330" s="10"/>
      <c r="G330" s="9"/>
      <c r="H330" s="11"/>
      <c r="I330" s="9" t="s">
        <v>13</v>
      </c>
      <c r="J330" s="21"/>
    </row>
    <row r="331">
      <c r="A331" s="20" t="s">
        <v>98</v>
      </c>
      <c r="B331" s="26"/>
      <c r="C331" s="8"/>
      <c r="D331" s="8"/>
      <c r="E331" s="9"/>
      <c r="F331" s="10"/>
      <c r="G331" s="9"/>
      <c r="H331" s="11"/>
      <c r="I331" s="9" t="s">
        <v>13</v>
      </c>
      <c r="J331" s="21"/>
    </row>
    <row r="332">
      <c r="A332" s="20" t="s">
        <v>98</v>
      </c>
      <c r="B332" s="26"/>
      <c r="C332" s="8"/>
      <c r="D332" s="8"/>
      <c r="E332" s="9"/>
      <c r="F332" s="10"/>
      <c r="G332" s="9"/>
      <c r="H332" s="11"/>
      <c r="I332" s="9" t="s">
        <v>13</v>
      </c>
      <c r="J332" s="21"/>
    </row>
    <row r="333">
      <c r="A333" s="20" t="s">
        <v>98</v>
      </c>
      <c r="B333" s="26"/>
      <c r="C333" s="8"/>
      <c r="D333" s="8"/>
      <c r="E333" s="9"/>
      <c r="F333" s="10"/>
      <c r="G333" s="9"/>
      <c r="H333" s="11"/>
      <c r="I333" s="9" t="s">
        <v>13</v>
      </c>
      <c r="J333" s="21"/>
    </row>
    <row r="334">
      <c r="A334" s="20" t="s">
        <v>98</v>
      </c>
      <c r="B334" s="26"/>
      <c r="C334" s="8"/>
      <c r="D334" s="8"/>
      <c r="E334" s="9"/>
      <c r="F334" s="10"/>
      <c r="G334" s="9"/>
      <c r="H334" s="11"/>
      <c r="I334" s="9" t="s">
        <v>13</v>
      </c>
      <c r="J334" s="21"/>
    </row>
    <row r="335">
      <c r="A335" s="20" t="s">
        <v>98</v>
      </c>
      <c r="B335" s="26"/>
      <c r="C335" s="8"/>
      <c r="D335" s="8"/>
      <c r="E335" s="9"/>
      <c r="F335" s="10"/>
      <c r="G335" s="9"/>
      <c r="H335" s="11"/>
      <c r="I335" s="9" t="s">
        <v>13</v>
      </c>
      <c r="J335" s="21"/>
    </row>
    <row r="336">
      <c r="A336" s="20" t="s">
        <v>98</v>
      </c>
      <c r="B336" s="26"/>
      <c r="C336" s="8"/>
      <c r="D336" s="8"/>
      <c r="E336" s="9"/>
      <c r="F336" s="10"/>
      <c r="G336" s="9"/>
      <c r="H336" s="11"/>
      <c r="I336" s="9" t="s">
        <v>13</v>
      </c>
      <c r="J336" s="21"/>
    </row>
    <row r="337">
      <c r="A337" s="20" t="s">
        <v>98</v>
      </c>
      <c r="B337" s="26"/>
      <c r="C337" s="8"/>
      <c r="D337" s="8"/>
      <c r="E337" s="9"/>
      <c r="F337" s="10"/>
      <c r="G337" s="9"/>
      <c r="H337" s="11"/>
      <c r="I337" s="9" t="s">
        <v>13</v>
      </c>
      <c r="J337" s="21"/>
    </row>
    <row r="338">
      <c r="A338" s="20" t="s">
        <v>98</v>
      </c>
      <c r="B338" s="26"/>
      <c r="C338" s="8"/>
      <c r="D338" s="8"/>
      <c r="E338" s="9"/>
      <c r="F338" s="10"/>
      <c r="G338" s="9"/>
      <c r="H338" s="11"/>
      <c r="I338" s="9" t="s">
        <v>13</v>
      </c>
      <c r="J338" s="21"/>
    </row>
    <row r="339">
      <c r="A339" s="20" t="s">
        <v>98</v>
      </c>
      <c r="B339" s="26"/>
      <c r="C339" s="8"/>
      <c r="D339" s="8"/>
      <c r="E339" s="9"/>
      <c r="F339" s="10"/>
      <c r="G339" s="9"/>
      <c r="H339" s="11"/>
      <c r="I339" s="9" t="s">
        <v>13</v>
      </c>
      <c r="J339" s="21"/>
    </row>
    <row r="340">
      <c r="A340" s="20" t="s">
        <v>98</v>
      </c>
      <c r="B340" s="26"/>
      <c r="C340" s="8"/>
      <c r="D340" s="8"/>
      <c r="E340" s="9"/>
      <c r="F340" s="10"/>
      <c r="G340" s="9"/>
      <c r="H340" s="11"/>
      <c r="I340" s="9" t="s">
        <v>13</v>
      </c>
      <c r="J340" s="21"/>
    </row>
    <row r="341">
      <c r="A341" s="20" t="s">
        <v>98</v>
      </c>
      <c r="B341" s="26"/>
      <c r="C341" s="8"/>
      <c r="D341" s="8"/>
      <c r="E341" s="9"/>
      <c r="F341" s="10"/>
      <c r="G341" s="9"/>
      <c r="H341" s="11"/>
      <c r="I341" s="9" t="s">
        <v>13</v>
      </c>
      <c r="J341" s="21"/>
    </row>
    <row r="342">
      <c r="A342" s="20" t="s">
        <v>98</v>
      </c>
      <c r="B342" s="26"/>
      <c r="C342" s="8"/>
      <c r="D342" s="8"/>
      <c r="E342" s="9"/>
      <c r="F342" s="10"/>
      <c r="G342" s="9"/>
      <c r="H342" s="11"/>
      <c r="I342" s="9" t="s">
        <v>13</v>
      </c>
      <c r="J342" s="21"/>
    </row>
    <row r="343">
      <c r="A343" s="20" t="s">
        <v>98</v>
      </c>
      <c r="B343" s="26"/>
      <c r="C343" s="8"/>
      <c r="D343" s="8"/>
      <c r="E343" s="9"/>
      <c r="F343" s="10"/>
      <c r="G343" s="9"/>
      <c r="H343" s="11"/>
      <c r="I343" s="9" t="s">
        <v>13</v>
      </c>
      <c r="J343" s="21"/>
    </row>
    <row r="344">
      <c r="A344" s="20" t="s">
        <v>98</v>
      </c>
      <c r="B344" s="26"/>
      <c r="C344" s="8"/>
      <c r="D344" s="8"/>
      <c r="E344" s="9"/>
      <c r="F344" s="10"/>
      <c r="G344" s="9"/>
      <c r="H344" s="11"/>
      <c r="I344" s="9" t="s">
        <v>13</v>
      </c>
      <c r="J344" s="21"/>
    </row>
    <row r="345">
      <c r="A345" s="20" t="s">
        <v>98</v>
      </c>
      <c r="B345" s="26"/>
      <c r="C345" s="8"/>
      <c r="D345" s="8"/>
      <c r="E345" s="9"/>
      <c r="F345" s="10"/>
      <c r="G345" s="9"/>
      <c r="H345" s="11"/>
      <c r="I345" s="9" t="s">
        <v>13</v>
      </c>
      <c r="J345" s="21"/>
    </row>
    <row r="346">
      <c r="A346" s="20" t="s">
        <v>98</v>
      </c>
      <c r="B346" s="26"/>
      <c r="C346" s="8"/>
      <c r="D346" s="8"/>
      <c r="E346" s="9"/>
      <c r="F346" s="10"/>
      <c r="G346" s="9"/>
      <c r="H346" s="11"/>
      <c r="I346" s="9" t="s">
        <v>13</v>
      </c>
      <c r="J346" s="21"/>
    </row>
    <row r="347">
      <c r="A347" s="20" t="s">
        <v>98</v>
      </c>
      <c r="B347" s="26"/>
      <c r="C347" s="8"/>
      <c r="D347" s="8"/>
      <c r="E347" s="9"/>
      <c r="F347" s="10"/>
      <c r="G347" s="9"/>
      <c r="H347" s="11"/>
      <c r="I347" s="9" t="s">
        <v>13</v>
      </c>
      <c r="J347" s="21"/>
    </row>
    <row r="348">
      <c r="A348" s="20" t="s">
        <v>98</v>
      </c>
      <c r="B348" s="26"/>
      <c r="C348" s="8"/>
      <c r="D348" s="8"/>
      <c r="E348" s="9"/>
      <c r="F348" s="10"/>
      <c r="G348" s="9"/>
      <c r="H348" s="11"/>
      <c r="I348" s="9" t="s">
        <v>13</v>
      </c>
      <c r="J348" s="21"/>
    </row>
    <row r="349">
      <c r="A349" s="20" t="s">
        <v>98</v>
      </c>
      <c r="B349" s="26"/>
      <c r="C349" s="8"/>
      <c r="D349" s="8"/>
      <c r="E349" s="9"/>
      <c r="F349" s="10"/>
      <c r="G349" s="9"/>
      <c r="H349" s="11"/>
      <c r="I349" s="9" t="s">
        <v>13</v>
      </c>
      <c r="J349" s="21"/>
    </row>
    <row r="350">
      <c r="A350" s="20" t="s">
        <v>98</v>
      </c>
      <c r="B350" s="26"/>
      <c r="C350" s="8"/>
      <c r="D350" s="8"/>
      <c r="E350" s="9"/>
      <c r="F350" s="10"/>
      <c r="G350" s="9"/>
      <c r="H350" s="11"/>
      <c r="I350" s="9" t="s">
        <v>13</v>
      </c>
      <c r="J350" s="21"/>
    </row>
    <row r="351">
      <c r="A351" s="20" t="s">
        <v>98</v>
      </c>
      <c r="B351" s="26"/>
      <c r="C351" s="8"/>
      <c r="D351" s="8"/>
      <c r="E351" s="9"/>
      <c r="F351" s="10"/>
      <c r="G351" s="9"/>
      <c r="H351" s="11"/>
      <c r="I351" s="9" t="s">
        <v>13</v>
      </c>
      <c r="J351" s="21"/>
    </row>
    <row r="352">
      <c r="A352" s="20" t="s">
        <v>98</v>
      </c>
      <c r="B352" s="26"/>
      <c r="C352" s="8"/>
      <c r="D352" s="8"/>
      <c r="E352" s="9"/>
      <c r="F352" s="10"/>
      <c r="G352" s="9"/>
      <c r="H352" s="11"/>
      <c r="I352" s="9" t="s">
        <v>13</v>
      </c>
      <c r="J352" s="21"/>
    </row>
    <row r="353">
      <c r="A353" s="20" t="s">
        <v>98</v>
      </c>
      <c r="B353" s="26"/>
      <c r="C353" s="8"/>
      <c r="D353" s="8"/>
      <c r="E353" s="9"/>
      <c r="F353" s="10"/>
      <c r="G353" s="9"/>
      <c r="H353" s="11"/>
      <c r="I353" s="9" t="s">
        <v>13</v>
      </c>
      <c r="J353" s="21"/>
    </row>
    <row r="354">
      <c r="A354" s="20" t="s">
        <v>98</v>
      </c>
      <c r="B354" s="26"/>
      <c r="C354" s="8"/>
      <c r="D354" s="8"/>
      <c r="E354" s="9"/>
      <c r="F354" s="10"/>
      <c r="G354" s="9"/>
      <c r="H354" s="11"/>
      <c r="I354" s="9" t="s">
        <v>13</v>
      </c>
      <c r="J354" s="21"/>
    </row>
    <row r="355">
      <c r="A355" s="20" t="s">
        <v>98</v>
      </c>
      <c r="B355" s="26"/>
      <c r="C355" s="8"/>
      <c r="D355" s="8"/>
      <c r="E355" s="9"/>
      <c r="F355" s="10"/>
      <c r="G355" s="9"/>
      <c r="H355" s="11"/>
      <c r="I355" s="9" t="s">
        <v>13</v>
      </c>
      <c r="J355" s="21"/>
    </row>
    <row r="356">
      <c r="A356" s="20" t="s">
        <v>98</v>
      </c>
      <c r="B356" s="26"/>
      <c r="C356" s="8"/>
      <c r="D356" s="8"/>
      <c r="E356" s="9"/>
      <c r="F356" s="10"/>
      <c r="G356" s="9"/>
      <c r="H356" s="11"/>
      <c r="I356" s="9" t="s">
        <v>13</v>
      </c>
      <c r="J356" s="21"/>
    </row>
    <row r="357">
      <c r="A357" s="20" t="s">
        <v>98</v>
      </c>
      <c r="B357" s="26"/>
      <c r="C357" s="8"/>
      <c r="D357" s="8"/>
      <c r="E357" s="9"/>
      <c r="F357" s="10"/>
      <c r="G357" s="9"/>
      <c r="H357" s="11"/>
      <c r="I357" s="9" t="s">
        <v>13</v>
      </c>
      <c r="J357" s="21"/>
    </row>
    <row r="358">
      <c r="A358" s="20" t="s">
        <v>98</v>
      </c>
      <c r="B358" s="26"/>
      <c r="C358" s="8"/>
      <c r="D358" s="8"/>
      <c r="E358" s="9"/>
      <c r="F358" s="10"/>
      <c r="G358" s="9"/>
      <c r="H358" s="11"/>
      <c r="I358" s="9" t="s">
        <v>13</v>
      </c>
      <c r="J358" s="21"/>
    </row>
    <row r="359">
      <c r="A359" s="20" t="s">
        <v>98</v>
      </c>
      <c r="B359" s="26"/>
      <c r="C359" s="8"/>
      <c r="D359" s="8"/>
      <c r="E359" s="9"/>
      <c r="F359" s="10"/>
      <c r="G359" s="9"/>
      <c r="H359" s="11"/>
      <c r="I359" s="9" t="s">
        <v>13</v>
      </c>
      <c r="J359" s="21"/>
    </row>
    <row r="360">
      <c r="A360" s="20" t="s">
        <v>98</v>
      </c>
      <c r="B360" s="26"/>
      <c r="C360" s="8"/>
      <c r="D360" s="8"/>
      <c r="E360" s="9"/>
      <c r="F360" s="10"/>
      <c r="G360" s="9"/>
      <c r="H360" s="11"/>
      <c r="I360" s="9" t="s">
        <v>13</v>
      </c>
      <c r="J360" s="21"/>
    </row>
    <row r="361">
      <c r="A361" s="20" t="s">
        <v>98</v>
      </c>
      <c r="B361" s="26"/>
      <c r="C361" s="8"/>
      <c r="D361" s="8"/>
      <c r="E361" s="9"/>
      <c r="F361" s="10"/>
      <c r="G361" s="9"/>
      <c r="H361" s="11"/>
      <c r="I361" s="9" t="s">
        <v>13</v>
      </c>
      <c r="J361" s="21"/>
    </row>
    <row r="362">
      <c r="A362" s="20" t="s">
        <v>98</v>
      </c>
      <c r="B362" s="26"/>
      <c r="C362" s="8"/>
      <c r="D362" s="8"/>
      <c r="E362" s="9"/>
      <c r="F362" s="10"/>
      <c r="G362" s="9"/>
      <c r="H362" s="11"/>
      <c r="I362" s="9" t="s">
        <v>13</v>
      </c>
      <c r="J362" s="21"/>
    </row>
    <row r="363">
      <c r="A363" s="20" t="s">
        <v>98</v>
      </c>
      <c r="B363" s="26"/>
      <c r="C363" s="8"/>
      <c r="D363" s="8"/>
      <c r="E363" s="9"/>
      <c r="F363" s="10"/>
      <c r="G363" s="9"/>
      <c r="H363" s="11"/>
      <c r="I363" s="9" t="s">
        <v>13</v>
      </c>
      <c r="J363" s="21"/>
    </row>
    <row r="364">
      <c r="A364" s="20" t="s">
        <v>98</v>
      </c>
      <c r="B364" s="26"/>
      <c r="C364" s="8"/>
      <c r="D364" s="8"/>
      <c r="E364" s="9"/>
      <c r="F364" s="10"/>
      <c r="G364" s="9"/>
      <c r="H364" s="11"/>
      <c r="I364" s="9" t="s">
        <v>13</v>
      </c>
      <c r="J364" s="21"/>
    </row>
    <row r="365">
      <c r="A365" s="20" t="s">
        <v>98</v>
      </c>
      <c r="B365" s="26"/>
      <c r="C365" s="8"/>
      <c r="D365" s="8"/>
      <c r="E365" s="9"/>
      <c r="F365" s="10"/>
      <c r="G365" s="9"/>
      <c r="H365" s="11"/>
      <c r="I365" s="9" t="s">
        <v>13</v>
      </c>
      <c r="J365" s="21"/>
    </row>
    <row r="366">
      <c r="A366" s="20" t="s">
        <v>98</v>
      </c>
      <c r="B366" s="26"/>
      <c r="C366" s="8"/>
      <c r="D366" s="8"/>
      <c r="E366" s="9"/>
      <c r="F366" s="10"/>
      <c r="G366" s="9"/>
      <c r="H366" s="11"/>
      <c r="I366" s="9" t="s">
        <v>13</v>
      </c>
      <c r="J366" s="21"/>
    </row>
    <row r="367">
      <c r="A367" s="20" t="s">
        <v>98</v>
      </c>
      <c r="B367" s="26"/>
      <c r="C367" s="8"/>
      <c r="D367" s="8"/>
      <c r="E367" s="9"/>
      <c r="F367" s="10"/>
      <c r="G367" s="9"/>
      <c r="H367" s="11"/>
      <c r="I367" s="9" t="s">
        <v>13</v>
      </c>
      <c r="J367" s="21"/>
    </row>
    <row r="368">
      <c r="A368" s="20" t="s">
        <v>98</v>
      </c>
      <c r="B368" s="26"/>
      <c r="C368" s="8"/>
      <c r="D368" s="8"/>
      <c r="E368" s="9"/>
      <c r="F368" s="10"/>
      <c r="G368" s="9"/>
      <c r="H368" s="11"/>
      <c r="I368" s="9" t="s">
        <v>13</v>
      </c>
      <c r="J368" s="21"/>
    </row>
    <row r="369">
      <c r="A369" s="20" t="s">
        <v>98</v>
      </c>
      <c r="B369" s="26"/>
      <c r="C369" s="8"/>
      <c r="D369" s="8"/>
      <c r="E369" s="9"/>
      <c r="F369" s="10"/>
      <c r="G369" s="9"/>
      <c r="H369" s="11"/>
      <c r="I369" s="9" t="s">
        <v>13</v>
      </c>
      <c r="J369" s="21"/>
    </row>
    <row r="370">
      <c r="A370" s="20" t="s">
        <v>98</v>
      </c>
      <c r="B370" s="26"/>
      <c r="C370" s="8"/>
      <c r="D370" s="8"/>
      <c r="E370" s="9"/>
      <c r="F370" s="10"/>
      <c r="G370" s="9"/>
      <c r="H370" s="11"/>
      <c r="I370" s="9" t="s">
        <v>13</v>
      </c>
      <c r="J370" s="21"/>
    </row>
    <row r="371">
      <c r="A371" s="20" t="s">
        <v>98</v>
      </c>
      <c r="B371" s="26"/>
      <c r="C371" s="8"/>
      <c r="D371" s="8"/>
      <c r="E371" s="9"/>
      <c r="F371" s="10"/>
      <c r="G371" s="9"/>
      <c r="H371" s="11"/>
      <c r="I371" s="9" t="s">
        <v>13</v>
      </c>
      <c r="J371" s="21"/>
    </row>
    <row r="372">
      <c r="A372" s="20" t="s">
        <v>98</v>
      </c>
      <c r="B372" s="26"/>
      <c r="C372" s="8"/>
      <c r="D372" s="8"/>
      <c r="E372" s="9"/>
      <c r="F372" s="10"/>
      <c r="G372" s="9"/>
      <c r="H372" s="11"/>
      <c r="I372" s="9" t="s">
        <v>13</v>
      </c>
      <c r="J372" s="21"/>
    </row>
    <row r="373">
      <c r="A373" s="20" t="s">
        <v>98</v>
      </c>
      <c r="B373" s="26"/>
      <c r="C373" s="8"/>
      <c r="D373" s="8"/>
      <c r="E373" s="9"/>
      <c r="F373" s="10"/>
      <c r="G373" s="9"/>
      <c r="H373" s="11"/>
      <c r="I373" s="9" t="s">
        <v>13</v>
      </c>
      <c r="J373" s="21"/>
    </row>
    <row r="374">
      <c r="A374" s="20" t="s">
        <v>98</v>
      </c>
      <c r="B374" s="26"/>
      <c r="C374" s="8"/>
      <c r="D374" s="8"/>
      <c r="E374" s="9"/>
      <c r="F374" s="10"/>
      <c r="G374" s="9"/>
      <c r="H374" s="11"/>
      <c r="I374" s="9" t="s">
        <v>13</v>
      </c>
      <c r="J374" s="21"/>
    </row>
    <row r="375">
      <c r="A375" s="20" t="s">
        <v>98</v>
      </c>
      <c r="B375" s="26"/>
      <c r="C375" s="8"/>
      <c r="D375" s="8"/>
      <c r="E375" s="9"/>
      <c r="F375" s="10"/>
      <c r="G375" s="9"/>
      <c r="H375" s="11"/>
      <c r="I375" s="9" t="s">
        <v>13</v>
      </c>
      <c r="J375" s="21"/>
    </row>
    <row r="376">
      <c r="A376" s="20" t="s">
        <v>98</v>
      </c>
      <c r="B376" s="26"/>
      <c r="C376" s="8"/>
      <c r="D376" s="8"/>
      <c r="E376" s="9"/>
      <c r="F376" s="10"/>
      <c r="G376" s="9"/>
      <c r="H376" s="11"/>
      <c r="I376" s="9" t="s">
        <v>13</v>
      </c>
      <c r="J376" s="21"/>
    </row>
    <row r="377">
      <c r="A377" s="20" t="s">
        <v>98</v>
      </c>
      <c r="B377" s="26"/>
      <c r="C377" s="8"/>
      <c r="D377" s="8"/>
      <c r="E377" s="9"/>
      <c r="F377" s="10"/>
      <c r="G377" s="9"/>
      <c r="H377" s="11"/>
      <c r="I377" s="9" t="s">
        <v>13</v>
      </c>
      <c r="J377" s="21"/>
    </row>
    <row r="378">
      <c r="A378" s="20" t="s">
        <v>98</v>
      </c>
      <c r="B378" s="26"/>
      <c r="C378" s="8"/>
      <c r="D378" s="8"/>
      <c r="E378" s="9"/>
      <c r="F378" s="10"/>
      <c r="G378" s="9"/>
      <c r="H378" s="11"/>
      <c r="I378" s="9" t="s">
        <v>13</v>
      </c>
      <c r="J378" s="21"/>
    </row>
    <row r="379">
      <c r="A379" s="20" t="s">
        <v>98</v>
      </c>
      <c r="B379" s="26"/>
      <c r="C379" s="8"/>
      <c r="D379" s="8"/>
      <c r="E379" s="9"/>
      <c r="F379" s="10"/>
      <c r="G379" s="9"/>
      <c r="H379" s="11"/>
      <c r="I379" s="9" t="s">
        <v>13</v>
      </c>
      <c r="J379" s="21"/>
    </row>
    <row r="380">
      <c r="A380" s="20" t="s">
        <v>98</v>
      </c>
      <c r="B380" s="26"/>
      <c r="C380" s="8"/>
      <c r="D380" s="8"/>
      <c r="E380" s="9"/>
      <c r="F380" s="10"/>
      <c r="G380" s="9"/>
      <c r="H380" s="11"/>
      <c r="I380" s="9" t="s">
        <v>13</v>
      </c>
      <c r="J380" s="21"/>
    </row>
    <row r="381">
      <c r="A381" s="20" t="s">
        <v>98</v>
      </c>
      <c r="B381" s="26"/>
      <c r="C381" s="8"/>
      <c r="D381" s="8"/>
      <c r="E381" s="9"/>
      <c r="F381" s="10"/>
      <c r="G381" s="9"/>
      <c r="H381" s="11"/>
      <c r="I381" s="9" t="s">
        <v>13</v>
      </c>
      <c r="J381" s="21"/>
    </row>
    <row r="382">
      <c r="A382" s="20" t="s">
        <v>98</v>
      </c>
      <c r="B382" s="26"/>
      <c r="C382" s="8"/>
      <c r="D382" s="8"/>
      <c r="E382" s="9"/>
      <c r="F382" s="10"/>
      <c r="G382" s="9"/>
      <c r="H382" s="11"/>
      <c r="I382" s="9" t="s">
        <v>13</v>
      </c>
      <c r="J382" s="21"/>
    </row>
    <row r="383">
      <c r="A383" s="20" t="s">
        <v>98</v>
      </c>
      <c r="B383" s="26"/>
      <c r="C383" s="8"/>
      <c r="D383" s="8"/>
      <c r="E383" s="9"/>
      <c r="F383" s="10"/>
      <c r="G383" s="9"/>
      <c r="H383" s="11"/>
      <c r="I383" s="9" t="s">
        <v>13</v>
      </c>
      <c r="J383" s="21"/>
    </row>
    <row r="384">
      <c r="A384" s="20" t="s">
        <v>98</v>
      </c>
      <c r="B384" s="26"/>
      <c r="C384" s="8"/>
      <c r="D384" s="8"/>
      <c r="E384" s="9"/>
      <c r="F384" s="10"/>
      <c r="G384" s="9"/>
      <c r="H384" s="11"/>
      <c r="I384" s="9" t="s">
        <v>13</v>
      </c>
      <c r="J384" s="21"/>
    </row>
    <row r="385">
      <c r="A385" s="20" t="s">
        <v>98</v>
      </c>
      <c r="B385" s="26"/>
      <c r="C385" s="8"/>
      <c r="D385" s="8"/>
      <c r="E385" s="9"/>
      <c r="F385" s="10"/>
      <c r="G385" s="9"/>
      <c r="H385" s="11"/>
      <c r="I385" s="9" t="s">
        <v>13</v>
      </c>
      <c r="J385" s="21"/>
    </row>
    <row r="386">
      <c r="A386" s="20" t="s">
        <v>98</v>
      </c>
      <c r="B386" s="26"/>
      <c r="C386" s="8"/>
      <c r="D386" s="8"/>
      <c r="E386" s="9"/>
      <c r="F386" s="10"/>
      <c r="G386" s="9"/>
      <c r="H386" s="11"/>
      <c r="I386" s="9" t="s">
        <v>13</v>
      </c>
      <c r="J386" s="21"/>
    </row>
    <row r="387">
      <c r="A387" s="20" t="s">
        <v>98</v>
      </c>
      <c r="B387" s="26"/>
      <c r="C387" s="8"/>
      <c r="D387" s="8"/>
      <c r="E387" s="9"/>
      <c r="F387" s="10"/>
      <c r="G387" s="9"/>
      <c r="H387" s="11"/>
      <c r="I387" s="9" t="s">
        <v>13</v>
      </c>
      <c r="J387" s="21"/>
    </row>
    <row r="388">
      <c r="A388" s="20" t="s">
        <v>98</v>
      </c>
      <c r="B388" s="26"/>
      <c r="C388" s="8"/>
      <c r="D388" s="8"/>
      <c r="E388" s="9"/>
      <c r="F388" s="10"/>
      <c r="G388" s="9"/>
      <c r="H388" s="11"/>
      <c r="I388" s="9" t="s">
        <v>13</v>
      </c>
      <c r="J388" s="21"/>
    </row>
    <row r="389">
      <c r="A389" s="20" t="s">
        <v>98</v>
      </c>
      <c r="B389" s="26"/>
      <c r="C389" s="8"/>
      <c r="D389" s="8"/>
      <c r="E389" s="9"/>
      <c r="F389" s="10"/>
      <c r="G389" s="9"/>
      <c r="H389" s="11"/>
      <c r="I389" s="9" t="s">
        <v>13</v>
      </c>
      <c r="J389" s="21"/>
    </row>
    <row r="390">
      <c r="A390" s="20" t="s">
        <v>98</v>
      </c>
      <c r="B390" s="26"/>
      <c r="C390" s="8"/>
      <c r="D390" s="8"/>
      <c r="E390" s="9"/>
      <c r="F390" s="10"/>
      <c r="G390" s="9"/>
      <c r="H390" s="11"/>
      <c r="I390" s="9" t="s">
        <v>13</v>
      </c>
      <c r="J390" s="21"/>
    </row>
    <row r="391">
      <c r="A391" s="20" t="s">
        <v>98</v>
      </c>
      <c r="B391" s="26"/>
      <c r="C391" s="8"/>
      <c r="D391" s="8"/>
      <c r="E391" s="9"/>
      <c r="F391" s="10"/>
      <c r="G391" s="9"/>
      <c r="H391" s="11"/>
      <c r="I391" s="9" t="s">
        <v>13</v>
      </c>
      <c r="J391" s="21"/>
    </row>
    <row r="392">
      <c r="A392" s="20" t="s">
        <v>98</v>
      </c>
      <c r="B392" s="26"/>
      <c r="C392" s="8"/>
      <c r="D392" s="8"/>
      <c r="E392" s="9"/>
      <c r="F392" s="10"/>
      <c r="G392" s="9"/>
      <c r="H392" s="11"/>
      <c r="I392" s="9" t="s">
        <v>13</v>
      </c>
      <c r="J392" s="21"/>
    </row>
    <row r="393">
      <c r="A393" s="20" t="s">
        <v>98</v>
      </c>
      <c r="B393" s="26"/>
      <c r="C393" s="8"/>
      <c r="D393" s="8"/>
      <c r="E393" s="9"/>
      <c r="F393" s="10"/>
      <c r="G393" s="9"/>
      <c r="H393" s="11"/>
      <c r="I393" s="9" t="s">
        <v>13</v>
      </c>
      <c r="J393" s="21"/>
    </row>
    <row r="394">
      <c r="A394" s="20" t="s">
        <v>98</v>
      </c>
      <c r="B394" s="26"/>
      <c r="C394" s="8"/>
      <c r="D394" s="8"/>
      <c r="E394" s="9"/>
      <c r="F394" s="10"/>
      <c r="G394" s="9"/>
      <c r="H394" s="11"/>
      <c r="I394" s="9" t="s">
        <v>13</v>
      </c>
      <c r="J394" s="21"/>
    </row>
    <row r="395">
      <c r="A395" s="20" t="s">
        <v>98</v>
      </c>
      <c r="B395" s="26"/>
      <c r="C395" s="8"/>
      <c r="D395" s="8"/>
      <c r="E395" s="9"/>
      <c r="F395" s="10"/>
      <c r="G395" s="9"/>
      <c r="H395" s="11"/>
      <c r="I395" s="9" t="s">
        <v>13</v>
      </c>
      <c r="J395" s="21"/>
    </row>
    <row r="396">
      <c r="A396" s="20" t="s">
        <v>98</v>
      </c>
      <c r="B396" s="26"/>
      <c r="C396" s="8"/>
      <c r="D396" s="8"/>
      <c r="E396" s="9"/>
      <c r="F396" s="10"/>
      <c r="G396" s="9"/>
      <c r="H396" s="11"/>
      <c r="I396" s="9" t="s">
        <v>13</v>
      </c>
      <c r="J396" s="21"/>
    </row>
    <row r="397">
      <c r="A397" s="20" t="s">
        <v>98</v>
      </c>
      <c r="B397" s="26"/>
      <c r="C397" s="8"/>
      <c r="D397" s="8"/>
      <c r="E397" s="9"/>
      <c r="F397" s="10"/>
      <c r="G397" s="9"/>
      <c r="H397" s="11"/>
      <c r="I397" s="9" t="s">
        <v>13</v>
      </c>
      <c r="J397" s="21"/>
    </row>
    <row r="398">
      <c r="A398" s="20" t="s">
        <v>98</v>
      </c>
      <c r="B398" s="26"/>
      <c r="C398" s="8"/>
      <c r="D398" s="8"/>
      <c r="E398" s="9"/>
      <c r="F398" s="10"/>
      <c r="G398" s="9"/>
      <c r="H398" s="11"/>
      <c r="I398" s="9" t="s">
        <v>13</v>
      </c>
      <c r="J398" s="21"/>
    </row>
    <row r="399">
      <c r="A399" s="20" t="s">
        <v>98</v>
      </c>
      <c r="B399" s="26"/>
      <c r="C399" s="8"/>
      <c r="D399" s="8"/>
      <c r="E399" s="9"/>
      <c r="F399" s="10"/>
      <c r="G399" s="9"/>
      <c r="H399" s="11"/>
      <c r="I399" s="9" t="s">
        <v>13</v>
      </c>
      <c r="J399" s="21"/>
    </row>
    <row r="400">
      <c r="A400" s="20" t="s">
        <v>98</v>
      </c>
      <c r="B400" s="26"/>
      <c r="C400" s="8"/>
      <c r="D400" s="8"/>
      <c r="E400" s="9"/>
      <c r="F400" s="10"/>
      <c r="G400" s="9"/>
      <c r="H400" s="11"/>
      <c r="I400" s="9" t="s">
        <v>13</v>
      </c>
      <c r="J400" s="21"/>
    </row>
    <row r="401">
      <c r="A401" s="20" t="s">
        <v>98</v>
      </c>
      <c r="B401" s="26"/>
      <c r="C401" s="8"/>
      <c r="D401" s="8"/>
      <c r="E401" s="9"/>
      <c r="F401" s="10"/>
      <c r="G401" s="9"/>
      <c r="H401" s="11"/>
      <c r="I401" s="9" t="s">
        <v>13</v>
      </c>
      <c r="J401" s="21"/>
    </row>
    <row r="402">
      <c r="A402" s="20" t="s">
        <v>98</v>
      </c>
      <c r="B402" s="26"/>
      <c r="C402" s="8"/>
      <c r="D402" s="8"/>
      <c r="E402" s="9"/>
      <c r="F402" s="10"/>
      <c r="G402" s="9"/>
      <c r="H402" s="11"/>
      <c r="I402" s="9" t="s">
        <v>13</v>
      </c>
      <c r="J402" s="21"/>
    </row>
    <row r="403">
      <c r="A403" s="20" t="s">
        <v>98</v>
      </c>
      <c r="B403" s="26"/>
      <c r="C403" s="8"/>
      <c r="D403" s="8"/>
      <c r="E403" s="9"/>
      <c r="F403" s="10"/>
      <c r="G403" s="9"/>
      <c r="H403" s="11"/>
      <c r="I403" s="9" t="s">
        <v>13</v>
      </c>
      <c r="J403" s="21"/>
    </row>
    <row r="404">
      <c r="A404" s="20" t="s">
        <v>98</v>
      </c>
      <c r="B404" s="26"/>
      <c r="C404" s="8"/>
      <c r="D404" s="8"/>
      <c r="E404" s="9"/>
      <c r="F404" s="10"/>
      <c r="G404" s="9"/>
      <c r="H404" s="11"/>
      <c r="I404" s="9" t="s">
        <v>13</v>
      </c>
      <c r="J404" s="21"/>
    </row>
    <row r="405">
      <c r="A405" s="20" t="s">
        <v>98</v>
      </c>
      <c r="B405" s="26"/>
      <c r="C405" s="8"/>
      <c r="D405" s="8"/>
      <c r="E405" s="9"/>
      <c r="F405" s="10"/>
      <c r="G405" s="9"/>
      <c r="H405" s="11"/>
      <c r="I405" s="9" t="s">
        <v>13</v>
      </c>
      <c r="J405" s="21"/>
    </row>
    <row r="406">
      <c r="A406" s="20" t="s">
        <v>98</v>
      </c>
      <c r="B406" s="26"/>
      <c r="C406" s="8"/>
      <c r="D406" s="8"/>
      <c r="E406" s="9"/>
      <c r="F406" s="10"/>
      <c r="G406" s="9"/>
      <c r="H406" s="11"/>
      <c r="I406" s="9" t="s">
        <v>13</v>
      </c>
      <c r="J406" s="21"/>
    </row>
    <row r="407">
      <c r="A407" s="20" t="s">
        <v>98</v>
      </c>
      <c r="B407" s="26"/>
      <c r="C407" s="8"/>
      <c r="D407" s="8"/>
      <c r="E407" s="9"/>
      <c r="F407" s="10"/>
      <c r="G407" s="9"/>
      <c r="H407" s="11"/>
      <c r="I407" s="9" t="s">
        <v>13</v>
      </c>
      <c r="J407" s="21"/>
    </row>
    <row r="408">
      <c r="A408" s="20" t="s">
        <v>98</v>
      </c>
      <c r="B408" s="26"/>
      <c r="C408" s="8"/>
      <c r="D408" s="8"/>
      <c r="E408" s="9"/>
      <c r="F408" s="10"/>
      <c r="G408" s="9"/>
      <c r="H408" s="11"/>
      <c r="I408" s="9" t="s">
        <v>13</v>
      </c>
      <c r="J408" s="21"/>
    </row>
    <row r="409">
      <c r="A409" s="20" t="s">
        <v>98</v>
      </c>
      <c r="B409" s="26"/>
      <c r="C409" s="8"/>
      <c r="D409" s="8"/>
      <c r="E409" s="9"/>
      <c r="F409" s="10"/>
      <c r="G409" s="9"/>
      <c r="H409" s="11"/>
      <c r="I409" s="9" t="s">
        <v>13</v>
      </c>
      <c r="J409" s="21"/>
    </row>
    <row r="410">
      <c r="A410" s="20" t="s">
        <v>98</v>
      </c>
      <c r="B410" s="26"/>
      <c r="C410" s="8"/>
      <c r="D410" s="8"/>
      <c r="E410" s="9"/>
      <c r="F410" s="10"/>
      <c r="G410" s="9"/>
      <c r="H410" s="11"/>
      <c r="I410" s="9" t="s">
        <v>13</v>
      </c>
      <c r="J410" s="21"/>
    </row>
    <row r="411">
      <c r="A411" s="20" t="s">
        <v>98</v>
      </c>
      <c r="B411" s="26"/>
      <c r="C411" s="8"/>
      <c r="D411" s="8"/>
      <c r="E411" s="9"/>
      <c r="F411" s="10"/>
      <c r="G411" s="9"/>
      <c r="H411" s="11"/>
      <c r="I411" s="9" t="s">
        <v>13</v>
      </c>
      <c r="J411" s="21"/>
    </row>
    <row r="412">
      <c r="A412" s="20" t="s">
        <v>98</v>
      </c>
      <c r="B412" s="26"/>
      <c r="C412" s="8"/>
      <c r="D412" s="8"/>
      <c r="E412" s="9"/>
      <c r="F412" s="10"/>
      <c r="G412" s="9"/>
      <c r="H412" s="11"/>
      <c r="I412" s="9" t="s">
        <v>13</v>
      </c>
      <c r="J412" s="21"/>
    </row>
    <row r="413">
      <c r="A413" s="20" t="s">
        <v>98</v>
      </c>
      <c r="B413" s="26"/>
      <c r="C413" s="8"/>
      <c r="D413" s="8"/>
      <c r="E413" s="9"/>
      <c r="F413" s="10"/>
      <c r="G413" s="9"/>
      <c r="H413" s="11"/>
      <c r="I413" s="9" t="s">
        <v>13</v>
      </c>
      <c r="J413" s="21"/>
    </row>
    <row r="414">
      <c r="A414" s="20" t="s">
        <v>98</v>
      </c>
      <c r="B414" s="26"/>
      <c r="C414" s="8"/>
      <c r="D414" s="8"/>
      <c r="E414" s="9"/>
      <c r="F414" s="10"/>
      <c r="G414" s="9"/>
      <c r="H414" s="11"/>
      <c r="I414" s="9" t="s">
        <v>13</v>
      </c>
      <c r="J414" s="21"/>
    </row>
    <row r="415">
      <c r="A415" s="20" t="s">
        <v>98</v>
      </c>
      <c r="B415" s="26"/>
      <c r="C415" s="8"/>
      <c r="D415" s="8"/>
      <c r="E415" s="9"/>
      <c r="F415" s="10"/>
      <c r="G415" s="9"/>
      <c r="H415" s="11"/>
      <c r="I415" s="9" t="s">
        <v>13</v>
      </c>
      <c r="J415" s="21"/>
    </row>
    <row r="416">
      <c r="A416" s="20" t="s">
        <v>98</v>
      </c>
      <c r="B416" s="26"/>
      <c r="C416" s="8"/>
      <c r="D416" s="8"/>
      <c r="E416" s="9"/>
      <c r="F416" s="10"/>
      <c r="G416" s="9"/>
      <c r="H416" s="11"/>
      <c r="I416" s="9" t="s">
        <v>13</v>
      </c>
      <c r="J416" s="21"/>
    </row>
    <row r="417">
      <c r="A417" s="20" t="s">
        <v>98</v>
      </c>
      <c r="B417" s="26"/>
      <c r="C417" s="8"/>
      <c r="D417" s="8"/>
      <c r="E417" s="9"/>
      <c r="F417" s="10"/>
      <c r="G417" s="9"/>
      <c r="H417" s="11"/>
      <c r="I417" s="9" t="s">
        <v>13</v>
      </c>
      <c r="J417" s="21"/>
    </row>
    <row r="418">
      <c r="A418" s="20" t="s">
        <v>98</v>
      </c>
      <c r="B418" s="26"/>
      <c r="C418" s="8"/>
      <c r="D418" s="8"/>
      <c r="E418" s="9"/>
      <c r="F418" s="10"/>
      <c r="G418" s="9"/>
      <c r="H418" s="11"/>
      <c r="I418" s="9" t="s">
        <v>13</v>
      </c>
      <c r="J418" s="21"/>
    </row>
    <row r="419">
      <c r="A419" s="20" t="s">
        <v>98</v>
      </c>
      <c r="B419" s="26"/>
      <c r="C419" s="8"/>
      <c r="D419" s="8"/>
      <c r="E419" s="9"/>
      <c r="F419" s="10"/>
      <c r="G419" s="9"/>
      <c r="H419" s="11"/>
      <c r="I419" s="9" t="s">
        <v>13</v>
      </c>
      <c r="J419" s="21"/>
    </row>
    <row r="420">
      <c r="A420" s="20" t="s">
        <v>98</v>
      </c>
      <c r="B420" s="26"/>
      <c r="C420" s="8"/>
      <c r="D420" s="8"/>
      <c r="E420" s="9"/>
      <c r="F420" s="10"/>
      <c r="G420" s="9"/>
      <c r="H420" s="11"/>
      <c r="I420" s="9" t="s">
        <v>13</v>
      </c>
      <c r="J420" s="21"/>
    </row>
    <row r="421">
      <c r="A421" s="20" t="s">
        <v>98</v>
      </c>
      <c r="B421" s="26"/>
      <c r="C421" s="8"/>
      <c r="D421" s="8"/>
      <c r="E421" s="9"/>
      <c r="F421" s="10"/>
      <c r="G421" s="9"/>
      <c r="H421" s="11"/>
      <c r="I421" s="9" t="s">
        <v>13</v>
      </c>
      <c r="J421" s="21"/>
    </row>
    <row r="422">
      <c r="A422" s="20" t="s">
        <v>98</v>
      </c>
      <c r="B422" s="26"/>
      <c r="C422" s="8"/>
      <c r="D422" s="8"/>
      <c r="E422" s="9"/>
      <c r="F422" s="10"/>
      <c r="G422" s="9"/>
      <c r="H422" s="11"/>
      <c r="I422" s="9" t="s">
        <v>13</v>
      </c>
      <c r="J422" s="21"/>
    </row>
    <row r="423">
      <c r="A423" s="20" t="s">
        <v>98</v>
      </c>
      <c r="B423" s="26"/>
      <c r="C423" s="8"/>
      <c r="D423" s="8"/>
      <c r="E423" s="9"/>
      <c r="F423" s="10"/>
      <c r="G423" s="9"/>
      <c r="H423" s="11"/>
      <c r="I423" s="9" t="s">
        <v>13</v>
      </c>
      <c r="J423" s="21"/>
    </row>
    <row r="424">
      <c r="A424" s="20" t="s">
        <v>98</v>
      </c>
      <c r="B424" s="26"/>
      <c r="C424" s="8"/>
      <c r="D424" s="8"/>
      <c r="E424" s="9"/>
      <c r="F424" s="10"/>
      <c r="G424" s="9"/>
      <c r="H424" s="11"/>
      <c r="I424" s="9" t="s">
        <v>13</v>
      </c>
      <c r="J424" s="21"/>
    </row>
    <row r="425">
      <c r="A425" s="20" t="s">
        <v>98</v>
      </c>
      <c r="B425" s="26"/>
      <c r="C425" s="8"/>
      <c r="D425" s="8"/>
      <c r="E425" s="9"/>
      <c r="F425" s="10"/>
      <c r="G425" s="9"/>
      <c r="H425" s="11"/>
      <c r="I425" s="9" t="s">
        <v>13</v>
      </c>
      <c r="J425" s="21"/>
    </row>
    <row r="426">
      <c r="A426" s="20" t="s">
        <v>98</v>
      </c>
      <c r="B426" s="26"/>
      <c r="C426" s="8"/>
      <c r="D426" s="8"/>
      <c r="E426" s="9"/>
      <c r="F426" s="10"/>
      <c r="G426" s="9"/>
      <c r="H426" s="11"/>
      <c r="I426" s="9" t="s">
        <v>13</v>
      </c>
      <c r="J426" s="21"/>
    </row>
    <row r="427">
      <c r="A427" s="20" t="s">
        <v>98</v>
      </c>
      <c r="B427" s="26"/>
      <c r="C427" s="8"/>
      <c r="D427" s="8"/>
      <c r="E427" s="9"/>
      <c r="F427" s="10"/>
      <c r="G427" s="9"/>
      <c r="H427" s="11"/>
      <c r="I427" s="9" t="s">
        <v>13</v>
      </c>
      <c r="J427" s="21"/>
    </row>
    <row r="428">
      <c r="A428" s="20" t="s">
        <v>98</v>
      </c>
      <c r="B428" s="26"/>
      <c r="C428" s="8"/>
      <c r="D428" s="8"/>
      <c r="E428" s="9"/>
      <c r="F428" s="10"/>
      <c r="G428" s="9"/>
      <c r="H428" s="11"/>
      <c r="I428" s="9" t="s">
        <v>13</v>
      </c>
      <c r="J428" s="21"/>
    </row>
    <row r="429">
      <c r="A429" s="20" t="s">
        <v>98</v>
      </c>
      <c r="B429" s="26"/>
      <c r="C429" s="8"/>
      <c r="D429" s="8"/>
      <c r="E429" s="9"/>
      <c r="F429" s="10"/>
      <c r="G429" s="9"/>
      <c r="H429" s="11"/>
      <c r="I429" s="9" t="s">
        <v>13</v>
      </c>
      <c r="J429" s="21"/>
    </row>
    <row r="430">
      <c r="A430" s="20" t="s">
        <v>98</v>
      </c>
      <c r="B430" s="26"/>
      <c r="C430" s="8"/>
      <c r="D430" s="8"/>
      <c r="E430" s="9"/>
      <c r="F430" s="10"/>
      <c r="G430" s="9"/>
      <c r="H430" s="11"/>
      <c r="I430" s="9" t="s">
        <v>13</v>
      </c>
      <c r="J430" s="21"/>
    </row>
    <row r="431">
      <c r="A431" s="20" t="s">
        <v>98</v>
      </c>
      <c r="B431" s="26"/>
      <c r="C431" s="8"/>
      <c r="D431" s="8"/>
      <c r="E431" s="9"/>
      <c r="F431" s="10"/>
      <c r="G431" s="9"/>
      <c r="H431" s="11"/>
      <c r="I431" s="9" t="s">
        <v>13</v>
      </c>
      <c r="J431" s="21"/>
    </row>
    <row r="432">
      <c r="A432" s="20" t="s">
        <v>98</v>
      </c>
      <c r="B432" s="26"/>
      <c r="C432" s="8"/>
      <c r="D432" s="8"/>
      <c r="E432" s="9"/>
      <c r="F432" s="10"/>
      <c r="G432" s="9"/>
      <c r="H432" s="11"/>
      <c r="I432" s="9" t="s">
        <v>13</v>
      </c>
      <c r="J432" s="21"/>
    </row>
    <row r="433">
      <c r="A433" s="20" t="s">
        <v>98</v>
      </c>
      <c r="B433" s="26"/>
      <c r="C433" s="8"/>
      <c r="D433" s="8"/>
      <c r="E433" s="9"/>
      <c r="F433" s="10"/>
      <c r="G433" s="9"/>
      <c r="H433" s="11"/>
      <c r="I433" s="9" t="s">
        <v>13</v>
      </c>
      <c r="J433" s="21"/>
    </row>
    <row r="434">
      <c r="A434" s="20" t="s">
        <v>98</v>
      </c>
      <c r="B434" s="26"/>
      <c r="C434" s="8"/>
      <c r="D434" s="8"/>
      <c r="E434" s="9"/>
      <c r="F434" s="10"/>
      <c r="G434" s="9"/>
      <c r="H434" s="11"/>
      <c r="I434" s="9" t="s">
        <v>13</v>
      </c>
      <c r="J434" s="21"/>
    </row>
    <row r="435">
      <c r="A435" s="20" t="s">
        <v>98</v>
      </c>
      <c r="B435" s="26"/>
      <c r="C435" s="8"/>
      <c r="D435" s="8"/>
      <c r="E435" s="9"/>
      <c r="F435" s="10"/>
      <c r="G435" s="9"/>
      <c r="H435" s="11"/>
      <c r="I435" s="9" t="s">
        <v>13</v>
      </c>
      <c r="J435" s="21"/>
    </row>
    <row r="436">
      <c r="A436" s="20" t="s">
        <v>98</v>
      </c>
      <c r="B436" s="26"/>
      <c r="C436" s="8"/>
      <c r="D436" s="8"/>
      <c r="E436" s="9"/>
      <c r="F436" s="10"/>
      <c r="G436" s="9"/>
      <c r="H436" s="11"/>
      <c r="I436" s="9" t="s">
        <v>13</v>
      </c>
      <c r="J436" s="21"/>
    </row>
    <row r="437">
      <c r="A437" s="20" t="s">
        <v>98</v>
      </c>
      <c r="B437" s="26"/>
      <c r="C437" s="8"/>
      <c r="D437" s="8"/>
      <c r="E437" s="9"/>
      <c r="F437" s="10"/>
      <c r="G437" s="9"/>
      <c r="H437" s="11"/>
      <c r="I437" s="9" t="s">
        <v>13</v>
      </c>
      <c r="J437" s="21"/>
    </row>
    <row r="438">
      <c r="A438" s="20" t="s">
        <v>98</v>
      </c>
      <c r="B438" s="26"/>
      <c r="C438" s="8"/>
      <c r="D438" s="8"/>
      <c r="E438" s="9"/>
      <c r="F438" s="10"/>
      <c r="G438" s="9"/>
      <c r="H438" s="11"/>
      <c r="I438" s="9" t="s">
        <v>13</v>
      </c>
      <c r="J438" s="21"/>
    </row>
    <row r="439">
      <c r="A439" s="20" t="s">
        <v>98</v>
      </c>
      <c r="B439" s="26"/>
      <c r="C439" s="8"/>
      <c r="D439" s="8"/>
      <c r="E439" s="9"/>
      <c r="F439" s="10"/>
      <c r="G439" s="9"/>
      <c r="H439" s="11"/>
      <c r="I439" s="9" t="s">
        <v>13</v>
      </c>
      <c r="J439" s="21"/>
    </row>
    <row r="440">
      <c r="A440" s="20" t="s">
        <v>98</v>
      </c>
      <c r="B440" s="26"/>
      <c r="C440" s="8"/>
      <c r="D440" s="8"/>
      <c r="E440" s="9"/>
      <c r="F440" s="10"/>
      <c r="G440" s="9"/>
      <c r="H440" s="11"/>
      <c r="I440" s="9" t="s">
        <v>13</v>
      </c>
      <c r="J440" s="21"/>
    </row>
    <row r="441">
      <c r="A441" s="20" t="s">
        <v>98</v>
      </c>
      <c r="B441" s="26"/>
      <c r="C441" s="8"/>
      <c r="D441" s="8"/>
      <c r="E441" s="9"/>
      <c r="F441" s="10"/>
      <c r="G441" s="9"/>
      <c r="H441" s="11"/>
      <c r="I441" s="9" t="s">
        <v>13</v>
      </c>
      <c r="J441" s="21"/>
    </row>
    <row r="442">
      <c r="A442" s="20" t="s">
        <v>98</v>
      </c>
      <c r="B442" s="26"/>
      <c r="C442" s="8"/>
      <c r="D442" s="8"/>
      <c r="E442" s="9"/>
      <c r="F442" s="10"/>
      <c r="G442" s="9"/>
      <c r="H442" s="11"/>
      <c r="I442" s="9" t="s">
        <v>13</v>
      </c>
      <c r="J442" s="21"/>
    </row>
    <row r="443">
      <c r="A443" s="20" t="s">
        <v>98</v>
      </c>
      <c r="B443" s="26"/>
      <c r="C443" s="8"/>
      <c r="D443" s="8"/>
      <c r="E443" s="9"/>
      <c r="F443" s="10"/>
      <c r="G443" s="9"/>
      <c r="H443" s="11"/>
      <c r="I443" s="9" t="s">
        <v>13</v>
      </c>
      <c r="J443" s="21"/>
    </row>
    <row r="444">
      <c r="A444" s="20" t="s">
        <v>98</v>
      </c>
      <c r="B444" s="26"/>
      <c r="C444" s="8"/>
      <c r="D444" s="8"/>
      <c r="E444" s="9"/>
      <c r="F444" s="10"/>
      <c r="G444" s="9"/>
      <c r="H444" s="11"/>
      <c r="I444" s="9" t="s">
        <v>13</v>
      </c>
      <c r="J444" s="21"/>
    </row>
    <row r="445">
      <c r="A445" s="20" t="s">
        <v>98</v>
      </c>
      <c r="B445" s="26"/>
      <c r="C445" s="8"/>
      <c r="D445" s="8"/>
      <c r="E445" s="9"/>
      <c r="F445" s="10"/>
      <c r="G445" s="9"/>
      <c r="H445" s="11"/>
      <c r="I445" s="9" t="s">
        <v>13</v>
      </c>
      <c r="J445" s="21"/>
    </row>
    <row r="446">
      <c r="A446" s="20" t="s">
        <v>98</v>
      </c>
      <c r="B446" s="26"/>
      <c r="C446" s="8"/>
      <c r="D446" s="8"/>
      <c r="E446" s="9"/>
      <c r="F446" s="10"/>
      <c r="G446" s="9"/>
      <c r="H446" s="11"/>
      <c r="I446" s="9" t="s">
        <v>13</v>
      </c>
      <c r="J446" s="21"/>
    </row>
    <row r="447">
      <c r="A447" s="20" t="s">
        <v>98</v>
      </c>
      <c r="B447" s="26"/>
      <c r="C447" s="8"/>
      <c r="D447" s="8"/>
      <c r="E447" s="9"/>
      <c r="F447" s="10"/>
      <c r="G447" s="9"/>
      <c r="H447" s="11"/>
      <c r="I447" s="9" t="s">
        <v>13</v>
      </c>
      <c r="J447" s="21"/>
    </row>
    <row r="448">
      <c r="A448" s="20" t="s">
        <v>98</v>
      </c>
      <c r="B448" s="26"/>
      <c r="C448" s="8"/>
      <c r="D448" s="8"/>
      <c r="E448" s="9"/>
      <c r="F448" s="10"/>
      <c r="G448" s="9"/>
      <c r="H448" s="11"/>
      <c r="I448" s="9" t="s">
        <v>13</v>
      </c>
      <c r="J448" s="21"/>
    </row>
    <row r="449">
      <c r="A449" s="20" t="s">
        <v>98</v>
      </c>
      <c r="B449" s="26"/>
      <c r="C449" s="8"/>
      <c r="D449" s="8"/>
      <c r="E449" s="9"/>
      <c r="F449" s="10"/>
      <c r="G449" s="9"/>
      <c r="H449" s="11"/>
      <c r="I449" s="9" t="s">
        <v>13</v>
      </c>
      <c r="J449" s="21"/>
    </row>
    <row r="450">
      <c r="A450" s="20" t="s">
        <v>98</v>
      </c>
      <c r="B450" s="26"/>
      <c r="C450" s="8"/>
      <c r="D450" s="8"/>
      <c r="E450" s="9"/>
      <c r="F450" s="10"/>
      <c r="G450" s="9"/>
      <c r="H450" s="11"/>
      <c r="I450" s="9" t="s">
        <v>13</v>
      </c>
      <c r="J450" s="21"/>
    </row>
    <row r="451">
      <c r="A451" s="20" t="s">
        <v>98</v>
      </c>
      <c r="B451" s="26"/>
      <c r="C451" s="8"/>
      <c r="D451" s="8"/>
      <c r="E451" s="9"/>
      <c r="F451" s="10"/>
      <c r="G451" s="9"/>
      <c r="H451" s="11"/>
      <c r="I451" s="9" t="s">
        <v>13</v>
      </c>
      <c r="J451" s="21"/>
    </row>
    <row r="452">
      <c r="A452" s="20" t="s">
        <v>98</v>
      </c>
      <c r="B452" s="26"/>
      <c r="C452" s="8"/>
      <c r="D452" s="8"/>
      <c r="E452" s="9"/>
      <c r="F452" s="10"/>
      <c r="G452" s="9"/>
      <c r="H452" s="11"/>
      <c r="I452" s="9" t="s">
        <v>13</v>
      </c>
      <c r="J452" s="21"/>
    </row>
    <row r="453">
      <c r="A453" s="20" t="s">
        <v>98</v>
      </c>
      <c r="B453" s="26"/>
      <c r="C453" s="8"/>
      <c r="D453" s="8"/>
      <c r="E453" s="9"/>
      <c r="F453" s="10"/>
      <c r="G453" s="9"/>
      <c r="H453" s="11"/>
      <c r="I453" s="9" t="s">
        <v>13</v>
      </c>
      <c r="J453" s="21"/>
    </row>
    <row r="454">
      <c r="A454" s="20" t="s">
        <v>98</v>
      </c>
      <c r="B454" s="26"/>
      <c r="C454" s="8"/>
      <c r="D454" s="8"/>
      <c r="E454" s="9"/>
      <c r="F454" s="10"/>
      <c r="G454" s="9"/>
      <c r="H454" s="11"/>
      <c r="I454" s="9" t="s">
        <v>13</v>
      </c>
      <c r="J454" s="21"/>
    </row>
    <row r="455">
      <c r="A455" s="20" t="s">
        <v>98</v>
      </c>
      <c r="B455" s="26"/>
      <c r="C455" s="8"/>
      <c r="D455" s="8"/>
      <c r="E455" s="9"/>
      <c r="F455" s="10"/>
      <c r="G455" s="9"/>
      <c r="H455" s="11"/>
      <c r="I455" s="9" t="s">
        <v>13</v>
      </c>
      <c r="J455" s="21"/>
    </row>
    <row r="456">
      <c r="A456" s="20" t="s">
        <v>98</v>
      </c>
      <c r="B456" s="26"/>
      <c r="C456" s="8"/>
      <c r="D456" s="8"/>
      <c r="E456" s="9"/>
      <c r="F456" s="10"/>
      <c r="G456" s="9"/>
      <c r="H456" s="11"/>
      <c r="I456" s="9" t="s">
        <v>13</v>
      </c>
      <c r="J456" s="21"/>
    </row>
    <row r="457">
      <c r="A457" s="20" t="s">
        <v>98</v>
      </c>
      <c r="B457" s="26"/>
      <c r="C457" s="8"/>
      <c r="D457" s="8"/>
      <c r="E457" s="9"/>
      <c r="F457" s="10"/>
      <c r="G457" s="9"/>
      <c r="H457" s="11"/>
      <c r="I457" s="9" t="s">
        <v>13</v>
      </c>
      <c r="J457" s="21"/>
    </row>
    <row r="458">
      <c r="A458" s="20" t="s">
        <v>98</v>
      </c>
      <c r="B458" s="26"/>
      <c r="C458" s="8"/>
      <c r="D458" s="8"/>
      <c r="E458" s="9"/>
      <c r="F458" s="10"/>
      <c r="G458" s="9"/>
      <c r="H458" s="11"/>
      <c r="I458" s="9" t="s">
        <v>13</v>
      </c>
      <c r="J458" s="21"/>
    </row>
    <row r="459">
      <c r="A459" s="20" t="s">
        <v>98</v>
      </c>
      <c r="B459" s="26"/>
      <c r="C459" s="8"/>
      <c r="D459" s="8"/>
      <c r="E459" s="9"/>
      <c r="F459" s="10"/>
      <c r="G459" s="9"/>
      <c r="H459" s="11"/>
      <c r="I459" s="9" t="s">
        <v>13</v>
      </c>
      <c r="J459" s="21"/>
    </row>
    <row r="460">
      <c r="A460" s="20" t="s">
        <v>98</v>
      </c>
      <c r="B460" s="26"/>
      <c r="C460" s="8"/>
      <c r="D460" s="8"/>
      <c r="E460" s="9"/>
      <c r="F460" s="10"/>
      <c r="G460" s="9"/>
      <c r="H460" s="11"/>
      <c r="I460" s="9" t="s">
        <v>13</v>
      </c>
      <c r="J460" s="21"/>
    </row>
    <row r="461">
      <c r="A461" s="20" t="s">
        <v>98</v>
      </c>
      <c r="B461" s="26"/>
      <c r="C461" s="8"/>
      <c r="D461" s="8"/>
      <c r="E461" s="9"/>
      <c r="F461" s="10"/>
      <c r="G461" s="9"/>
      <c r="H461" s="11"/>
      <c r="I461" s="9" t="s">
        <v>13</v>
      </c>
      <c r="J461" s="21"/>
    </row>
    <row r="462">
      <c r="A462" s="20" t="s">
        <v>98</v>
      </c>
      <c r="B462" s="26"/>
      <c r="C462" s="8"/>
      <c r="D462" s="8"/>
      <c r="E462" s="9"/>
      <c r="F462" s="10"/>
      <c r="G462" s="9"/>
      <c r="H462" s="11"/>
      <c r="I462" s="9" t="s">
        <v>13</v>
      </c>
      <c r="J462" s="21"/>
    </row>
    <row r="463">
      <c r="A463" s="20" t="s">
        <v>98</v>
      </c>
      <c r="B463" s="26"/>
      <c r="C463" s="8"/>
      <c r="D463" s="8"/>
      <c r="E463" s="9"/>
      <c r="F463" s="10"/>
      <c r="G463" s="9"/>
      <c r="H463" s="11"/>
      <c r="I463" s="9" t="s">
        <v>13</v>
      </c>
      <c r="J463" s="21"/>
    </row>
    <row r="464">
      <c r="A464" s="20" t="s">
        <v>98</v>
      </c>
      <c r="B464" s="26"/>
      <c r="C464" s="8"/>
      <c r="D464" s="8"/>
      <c r="E464" s="9"/>
      <c r="F464" s="10"/>
      <c r="G464" s="9"/>
      <c r="H464" s="11"/>
      <c r="I464" s="9" t="s">
        <v>13</v>
      </c>
      <c r="J464" s="21"/>
    </row>
    <row r="465">
      <c r="A465" s="20" t="s">
        <v>98</v>
      </c>
      <c r="B465" s="26"/>
      <c r="C465" s="8"/>
      <c r="D465" s="8"/>
      <c r="E465" s="9"/>
      <c r="F465" s="10"/>
      <c r="G465" s="9"/>
      <c r="H465" s="11"/>
      <c r="I465" s="9" t="s">
        <v>13</v>
      </c>
      <c r="J465" s="21"/>
    </row>
    <row r="466">
      <c r="A466" s="20" t="s">
        <v>98</v>
      </c>
      <c r="B466" s="26"/>
      <c r="C466" s="8"/>
      <c r="D466" s="8"/>
      <c r="E466" s="9"/>
      <c r="F466" s="10"/>
      <c r="G466" s="9"/>
      <c r="H466" s="11"/>
      <c r="I466" s="9" t="s">
        <v>13</v>
      </c>
      <c r="J466" s="21"/>
    </row>
    <row r="467">
      <c r="A467" s="20" t="s">
        <v>98</v>
      </c>
      <c r="B467" s="26"/>
      <c r="C467" s="8"/>
      <c r="D467" s="8"/>
      <c r="E467" s="9"/>
      <c r="F467" s="10"/>
      <c r="G467" s="9"/>
      <c r="H467" s="11"/>
      <c r="I467" s="9" t="s">
        <v>13</v>
      </c>
      <c r="J467" s="21"/>
    </row>
    <row r="468">
      <c r="A468" s="20" t="s">
        <v>98</v>
      </c>
      <c r="B468" s="26"/>
      <c r="C468" s="8"/>
      <c r="D468" s="8"/>
      <c r="E468" s="9"/>
      <c r="F468" s="10"/>
      <c r="G468" s="9"/>
      <c r="H468" s="11"/>
      <c r="I468" s="9" t="s">
        <v>13</v>
      </c>
      <c r="J468" s="21"/>
    </row>
    <row r="469">
      <c r="A469" s="20" t="s">
        <v>98</v>
      </c>
      <c r="B469" s="26"/>
      <c r="C469" s="8"/>
      <c r="D469" s="8"/>
      <c r="E469" s="9"/>
      <c r="F469" s="10"/>
      <c r="G469" s="9"/>
      <c r="H469" s="11"/>
      <c r="I469" s="9" t="s">
        <v>13</v>
      </c>
      <c r="J469" s="21"/>
    </row>
    <row r="470">
      <c r="A470" s="20" t="s">
        <v>98</v>
      </c>
      <c r="B470" s="26"/>
      <c r="C470" s="8"/>
      <c r="D470" s="8"/>
      <c r="E470" s="9"/>
      <c r="F470" s="10"/>
      <c r="G470" s="9"/>
      <c r="H470" s="11"/>
      <c r="I470" s="9" t="s">
        <v>13</v>
      </c>
      <c r="J470" s="21"/>
    </row>
    <row r="471">
      <c r="A471" s="20" t="s">
        <v>98</v>
      </c>
      <c r="B471" s="26"/>
      <c r="C471" s="8"/>
      <c r="D471" s="8"/>
      <c r="E471" s="9"/>
      <c r="F471" s="10"/>
      <c r="G471" s="9"/>
      <c r="H471" s="11"/>
      <c r="I471" s="9" t="s">
        <v>13</v>
      </c>
      <c r="J471" s="21"/>
    </row>
    <row r="472">
      <c r="A472" s="20" t="s">
        <v>98</v>
      </c>
      <c r="B472" s="26"/>
      <c r="C472" s="8"/>
      <c r="D472" s="8"/>
      <c r="E472" s="9"/>
      <c r="F472" s="10"/>
      <c r="G472" s="9"/>
      <c r="H472" s="11"/>
      <c r="I472" s="9" t="s">
        <v>13</v>
      </c>
      <c r="J472" s="21"/>
    </row>
    <row r="473">
      <c r="A473" s="20" t="s">
        <v>98</v>
      </c>
      <c r="B473" s="26"/>
      <c r="C473" s="8"/>
      <c r="D473" s="8"/>
      <c r="E473" s="9"/>
      <c r="F473" s="10"/>
      <c r="G473" s="9"/>
      <c r="H473" s="11"/>
      <c r="I473" s="9" t="s">
        <v>13</v>
      </c>
      <c r="J473" s="21"/>
    </row>
    <row r="474">
      <c r="A474" s="20" t="s">
        <v>98</v>
      </c>
      <c r="B474" s="26"/>
      <c r="C474" s="8"/>
      <c r="D474" s="8"/>
      <c r="E474" s="9"/>
      <c r="F474" s="10"/>
      <c r="G474" s="9"/>
      <c r="H474" s="11"/>
      <c r="I474" s="9" t="s">
        <v>13</v>
      </c>
      <c r="J474" s="21"/>
    </row>
    <row r="475">
      <c r="A475" s="20" t="s">
        <v>98</v>
      </c>
      <c r="B475" s="26"/>
      <c r="C475" s="8"/>
      <c r="D475" s="8"/>
      <c r="E475" s="9"/>
      <c r="F475" s="10"/>
      <c r="G475" s="9"/>
      <c r="H475" s="11"/>
      <c r="I475" s="9" t="s">
        <v>13</v>
      </c>
      <c r="J475" s="21"/>
    </row>
    <row r="476">
      <c r="A476" s="20" t="s">
        <v>98</v>
      </c>
      <c r="B476" s="26"/>
      <c r="C476" s="8"/>
      <c r="D476" s="8"/>
      <c r="E476" s="9"/>
      <c r="F476" s="10"/>
      <c r="G476" s="9"/>
      <c r="H476" s="11"/>
      <c r="I476" s="9" t="s">
        <v>13</v>
      </c>
      <c r="J476" s="21"/>
    </row>
    <row r="477">
      <c r="A477" s="20" t="s">
        <v>98</v>
      </c>
      <c r="B477" s="26"/>
      <c r="C477" s="8"/>
      <c r="D477" s="8"/>
      <c r="E477" s="9"/>
      <c r="F477" s="10"/>
      <c r="G477" s="9"/>
      <c r="H477" s="11"/>
      <c r="I477" s="9" t="s">
        <v>13</v>
      </c>
      <c r="J477" s="21"/>
    </row>
    <row r="478">
      <c r="A478" s="20" t="s">
        <v>98</v>
      </c>
      <c r="B478" s="26"/>
      <c r="C478" s="8"/>
      <c r="D478" s="8"/>
      <c r="E478" s="9"/>
      <c r="F478" s="10"/>
      <c r="G478" s="9"/>
      <c r="H478" s="11"/>
      <c r="I478" s="9" t="s">
        <v>13</v>
      </c>
      <c r="J478" s="21"/>
    </row>
    <row r="479">
      <c r="A479" s="20" t="s">
        <v>98</v>
      </c>
      <c r="B479" s="26"/>
      <c r="C479" s="8"/>
      <c r="D479" s="8"/>
      <c r="E479" s="9"/>
      <c r="F479" s="10"/>
      <c r="G479" s="9"/>
      <c r="H479" s="11"/>
      <c r="I479" s="9" t="s">
        <v>13</v>
      </c>
      <c r="J479" s="21"/>
    </row>
    <row r="480">
      <c r="A480" s="20" t="s">
        <v>98</v>
      </c>
      <c r="B480" s="26"/>
      <c r="C480" s="8"/>
      <c r="D480" s="8"/>
      <c r="E480" s="9"/>
      <c r="F480" s="10"/>
      <c r="G480" s="9"/>
      <c r="H480" s="11"/>
      <c r="I480" s="9" t="s">
        <v>13</v>
      </c>
      <c r="J480" s="21"/>
    </row>
    <row r="481">
      <c r="A481" s="20" t="s">
        <v>98</v>
      </c>
      <c r="B481" s="26"/>
      <c r="C481" s="8"/>
      <c r="D481" s="8"/>
      <c r="E481" s="9"/>
      <c r="F481" s="10"/>
      <c r="G481" s="9"/>
      <c r="H481" s="11"/>
      <c r="I481" s="9" t="s">
        <v>13</v>
      </c>
      <c r="J481" s="21"/>
    </row>
    <row r="482">
      <c r="A482" s="20" t="s">
        <v>98</v>
      </c>
      <c r="B482" s="26"/>
      <c r="C482" s="8"/>
      <c r="D482" s="8"/>
      <c r="E482" s="9"/>
      <c r="F482" s="10"/>
      <c r="G482" s="9"/>
      <c r="H482" s="11"/>
      <c r="I482" s="9" t="s">
        <v>13</v>
      </c>
      <c r="J482" s="21"/>
    </row>
    <row r="483">
      <c r="A483" s="20" t="s">
        <v>98</v>
      </c>
      <c r="B483" s="26"/>
      <c r="C483" s="8"/>
      <c r="D483" s="8"/>
      <c r="E483" s="9"/>
      <c r="F483" s="10"/>
      <c r="G483" s="9"/>
      <c r="H483" s="11"/>
      <c r="I483" s="9" t="s">
        <v>13</v>
      </c>
      <c r="J483" s="21"/>
    </row>
    <row r="484">
      <c r="A484" s="20" t="s">
        <v>98</v>
      </c>
      <c r="B484" s="26"/>
      <c r="C484" s="8"/>
      <c r="D484" s="8"/>
      <c r="E484" s="9"/>
      <c r="F484" s="10"/>
      <c r="G484" s="9"/>
      <c r="H484" s="11"/>
      <c r="I484" s="9" t="s">
        <v>13</v>
      </c>
      <c r="J484" s="21"/>
    </row>
    <row r="485">
      <c r="A485" s="20" t="s">
        <v>98</v>
      </c>
      <c r="B485" s="26"/>
      <c r="C485" s="8"/>
      <c r="D485" s="8"/>
      <c r="E485" s="9"/>
      <c r="F485" s="10"/>
      <c r="G485" s="9"/>
      <c r="H485" s="11"/>
      <c r="I485" s="9" t="s">
        <v>13</v>
      </c>
      <c r="J485" s="21"/>
    </row>
    <row r="486">
      <c r="A486" s="20" t="s">
        <v>98</v>
      </c>
      <c r="B486" s="26"/>
      <c r="C486" s="8"/>
      <c r="D486" s="8"/>
      <c r="E486" s="9"/>
      <c r="F486" s="10"/>
      <c r="G486" s="9"/>
      <c r="H486" s="11"/>
      <c r="I486" s="9" t="s">
        <v>13</v>
      </c>
      <c r="J486" s="21"/>
    </row>
    <row r="487">
      <c r="A487" s="20" t="s">
        <v>98</v>
      </c>
      <c r="B487" s="26"/>
      <c r="C487" s="8"/>
      <c r="D487" s="8"/>
      <c r="E487" s="9"/>
      <c r="F487" s="10"/>
      <c r="G487" s="9"/>
      <c r="H487" s="11"/>
      <c r="I487" s="9" t="s">
        <v>13</v>
      </c>
      <c r="J487" s="21"/>
    </row>
    <row r="488">
      <c r="A488" s="20" t="s">
        <v>98</v>
      </c>
      <c r="B488" s="26"/>
      <c r="C488" s="8"/>
      <c r="D488" s="8"/>
      <c r="E488" s="9"/>
      <c r="F488" s="10"/>
      <c r="G488" s="9"/>
      <c r="H488" s="11"/>
      <c r="I488" s="9" t="s">
        <v>13</v>
      </c>
      <c r="J488" s="21"/>
    </row>
    <row r="489">
      <c r="A489" s="20" t="s">
        <v>98</v>
      </c>
      <c r="B489" s="26"/>
      <c r="C489" s="8"/>
      <c r="D489" s="8"/>
      <c r="E489" s="9"/>
      <c r="F489" s="10"/>
      <c r="G489" s="9"/>
      <c r="H489" s="11"/>
      <c r="I489" s="9" t="s">
        <v>13</v>
      </c>
      <c r="J489" s="21"/>
    </row>
    <row r="490">
      <c r="A490" s="20" t="s">
        <v>98</v>
      </c>
      <c r="B490" s="26"/>
      <c r="C490" s="8"/>
      <c r="D490" s="8"/>
      <c r="E490" s="9"/>
      <c r="F490" s="10"/>
      <c r="G490" s="9"/>
      <c r="H490" s="11"/>
      <c r="I490" s="9" t="s">
        <v>13</v>
      </c>
      <c r="J490" s="21"/>
    </row>
    <row r="491">
      <c r="A491" s="20" t="s">
        <v>98</v>
      </c>
      <c r="B491" s="26"/>
      <c r="C491" s="8"/>
      <c r="D491" s="8"/>
      <c r="E491" s="9"/>
      <c r="F491" s="10"/>
      <c r="G491" s="9"/>
      <c r="H491" s="11"/>
      <c r="I491" s="9" t="s">
        <v>13</v>
      </c>
      <c r="J491" s="21"/>
    </row>
    <row r="492">
      <c r="A492" s="20" t="s">
        <v>98</v>
      </c>
      <c r="B492" s="26"/>
      <c r="C492" s="8"/>
      <c r="D492" s="8"/>
      <c r="E492" s="9"/>
      <c r="F492" s="10"/>
      <c r="G492" s="9"/>
      <c r="H492" s="11"/>
      <c r="I492" s="9" t="s">
        <v>13</v>
      </c>
      <c r="J492" s="21"/>
    </row>
    <row r="493">
      <c r="A493" s="20" t="s">
        <v>98</v>
      </c>
      <c r="B493" s="26"/>
      <c r="C493" s="8"/>
      <c r="D493" s="8"/>
      <c r="E493" s="9"/>
      <c r="F493" s="10"/>
      <c r="G493" s="9"/>
      <c r="H493" s="11"/>
      <c r="I493" s="9" t="s">
        <v>13</v>
      </c>
      <c r="J493" s="21"/>
    </row>
    <row r="494">
      <c r="A494" s="20" t="s">
        <v>98</v>
      </c>
      <c r="B494" s="26"/>
      <c r="C494" s="8"/>
      <c r="D494" s="8"/>
      <c r="E494" s="9"/>
      <c r="F494" s="10"/>
      <c r="G494" s="9"/>
      <c r="H494" s="11"/>
      <c r="I494" s="9" t="s">
        <v>13</v>
      </c>
      <c r="J494" s="21"/>
    </row>
    <row r="495">
      <c r="A495" s="20" t="s">
        <v>98</v>
      </c>
      <c r="B495" s="26"/>
      <c r="C495" s="8"/>
      <c r="D495" s="8"/>
      <c r="E495" s="9"/>
      <c r="F495" s="10"/>
      <c r="G495" s="9"/>
      <c r="H495" s="11"/>
      <c r="I495" s="9" t="s">
        <v>13</v>
      </c>
      <c r="J495" s="21"/>
    </row>
    <row r="496">
      <c r="A496" s="20" t="s">
        <v>98</v>
      </c>
      <c r="B496" s="26"/>
      <c r="C496" s="8"/>
      <c r="D496" s="8"/>
      <c r="E496" s="9"/>
      <c r="F496" s="10"/>
      <c r="G496" s="9"/>
      <c r="H496" s="11"/>
      <c r="I496" s="9" t="s">
        <v>13</v>
      </c>
      <c r="J496" s="21"/>
    </row>
    <row r="497">
      <c r="A497" s="20" t="s">
        <v>98</v>
      </c>
      <c r="B497" s="26"/>
      <c r="C497" s="8"/>
      <c r="D497" s="8"/>
      <c r="E497" s="9"/>
      <c r="F497" s="10"/>
      <c r="G497" s="9"/>
      <c r="H497" s="11"/>
      <c r="I497" s="9" t="s">
        <v>13</v>
      </c>
      <c r="J497" s="21"/>
    </row>
    <row r="498">
      <c r="A498" s="20" t="s">
        <v>98</v>
      </c>
      <c r="B498" s="26"/>
      <c r="C498" s="8"/>
      <c r="D498" s="8"/>
      <c r="E498" s="9"/>
      <c r="F498" s="10"/>
      <c r="G498" s="9"/>
      <c r="H498" s="11"/>
      <c r="I498" s="9" t="s">
        <v>13</v>
      </c>
      <c r="J498" s="21"/>
    </row>
    <row r="499">
      <c r="A499" s="20" t="s">
        <v>98</v>
      </c>
      <c r="B499" s="26"/>
      <c r="C499" s="8"/>
      <c r="D499" s="8"/>
      <c r="E499" s="9"/>
      <c r="F499" s="10"/>
      <c r="G499" s="9"/>
      <c r="H499" s="11"/>
      <c r="I499" s="9" t="s">
        <v>13</v>
      </c>
      <c r="J499" s="21"/>
    </row>
    <row r="500">
      <c r="A500" s="20" t="s">
        <v>98</v>
      </c>
      <c r="B500" s="26"/>
      <c r="C500" s="8"/>
      <c r="D500" s="8"/>
      <c r="E500" s="9"/>
      <c r="F500" s="10"/>
      <c r="G500" s="9"/>
      <c r="H500" s="11"/>
      <c r="I500" s="9" t="s">
        <v>13</v>
      </c>
      <c r="J500" s="21"/>
    </row>
    <row r="501">
      <c r="A501" s="20" t="s">
        <v>98</v>
      </c>
      <c r="B501" s="26"/>
      <c r="C501" s="8"/>
      <c r="D501" s="8"/>
      <c r="E501" s="9"/>
      <c r="F501" s="10"/>
      <c r="G501" s="9"/>
      <c r="H501" s="11"/>
      <c r="I501" s="9" t="s">
        <v>13</v>
      </c>
      <c r="J501" s="27"/>
    </row>
    <row r="502">
      <c r="A502" s="20" t="s">
        <v>98</v>
      </c>
      <c r="B502" s="26"/>
      <c r="C502" s="8"/>
      <c r="D502" s="8"/>
      <c r="E502" s="9"/>
      <c r="F502" s="10"/>
      <c r="G502" s="9"/>
      <c r="H502" s="11"/>
      <c r="I502" s="9" t="s">
        <v>13</v>
      </c>
      <c r="J502" s="21"/>
    </row>
    <row r="503">
      <c r="A503" s="20" t="s">
        <v>98</v>
      </c>
      <c r="B503" s="26"/>
      <c r="C503" s="8"/>
      <c r="D503" s="8"/>
      <c r="E503" s="9"/>
      <c r="F503" s="10"/>
      <c r="G503" s="9"/>
      <c r="H503" s="11"/>
      <c r="I503" s="9" t="s">
        <v>13</v>
      </c>
      <c r="J503" s="21"/>
    </row>
    <row r="504">
      <c r="A504" s="20" t="s">
        <v>98</v>
      </c>
      <c r="B504" s="26"/>
      <c r="C504" s="8"/>
      <c r="D504" s="8"/>
      <c r="E504" s="9"/>
      <c r="F504" s="10"/>
      <c r="G504" s="9"/>
      <c r="H504" s="11"/>
      <c r="I504" s="9" t="s">
        <v>13</v>
      </c>
      <c r="J504" s="21"/>
    </row>
    <row r="505">
      <c r="A505" s="20" t="s">
        <v>98</v>
      </c>
      <c r="B505" s="26"/>
      <c r="C505" s="8"/>
      <c r="D505" s="8"/>
      <c r="E505" s="9"/>
      <c r="F505" s="10"/>
      <c r="G505" s="9"/>
      <c r="H505" s="11"/>
      <c r="I505" s="9" t="s">
        <v>13</v>
      </c>
      <c r="J505" s="21"/>
    </row>
    <row r="506">
      <c r="A506" s="20" t="s">
        <v>98</v>
      </c>
      <c r="B506" s="26"/>
      <c r="C506" s="8"/>
      <c r="D506" s="8"/>
      <c r="E506" s="9"/>
      <c r="F506" s="10"/>
      <c r="G506" s="9"/>
      <c r="H506" s="11"/>
      <c r="I506" s="9" t="s">
        <v>13</v>
      </c>
      <c r="J506" s="21"/>
    </row>
    <row r="507">
      <c r="A507" s="20" t="s">
        <v>98</v>
      </c>
      <c r="B507" s="26"/>
      <c r="C507" s="8"/>
      <c r="D507" s="8"/>
      <c r="E507" s="9"/>
      <c r="F507" s="10"/>
      <c r="G507" s="9"/>
      <c r="H507" s="11"/>
      <c r="I507" s="9" t="s">
        <v>13</v>
      </c>
      <c r="J507" s="21"/>
    </row>
    <row r="508">
      <c r="A508" s="20" t="s">
        <v>98</v>
      </c>
      <c r="B508" s="26"/>
      <c r="C508" s="8"/>
      <c r="D508" s="8"/>
      <c r="E508" s="9"/>
      <c r="F508" s="10"/>
      <c r="G508" s="9"/>
      <c r="H508" s="11"/>
      <c r="I508" s="9" t="s">
        <v>13</v>
      </c>
      <c r="J508" s="21"/>
    </row>
    <row r="509">
      <c r="A509" s="20" t="s">
        <v>98</v>
      </c>
      <c r="B509" s="26"/>
      <c r="C509" s="8"/>
      <c r="D509" s="8"/>
      <c r="E509" s="9"/>
      <c r="F509" s="10"/>
      <c r="G509" s="9"/>
      <c r="H509" s="11"/>
      <c r="I509" s="9" t="s">
        <v>13</v>
      </c>
      <c r="J509" s="21"/>
    </row>
    <row r="510">
      <c r="A510" s="20" t="s">
        <v>98</v>
      </c>
      <c r="B510" s="26"/>
      <c r="C510" s="8"/>
      <c r="D510" s="8"/>
      <c r="E510" s="9"/>
      <c r="F510" s="10"/>
      <c r="G510" s="9"/>
      <c r="H510" s="11"/>
      <c r="I510" s="9" t="s">
        <v>13</v>
      </c>
      <c r="J510" s="21"/>
    </row>
    <row r="511">
      <c r="A511" s="20" t="s">
        <v>98</v>
      </c>
      <c r="B511" s="26"/>
      <c r="C511" s="8"/>
      <c r="D511" s="8"/>
      <c r="E511" s="9"/>
      <c r="F511" s="10"/>
      <c r="G511" s="9"/>
      <c r="H511" s="11"/>
      <c r="I511" s="9" t="s">
        <v>13</v>
      </c>
      <c r="J511" s="21"/>
    </row>
    <row r="512">
      <c r="A512" s="20" t="s">
        <v>98</v>
      </c>
      <c r="B512" s="26"/>
      <c r="C512" s="8"/>
      <c r="D512" s="8"/>
      <c r="E512" s="9"/>
      <c r="F512" s="10"/>
      <c r="G512" s="9"/>
      <c r="H512" s="11"/>
      <c r="I512" s="9" t="s">
        <v>13</v>
      </c>
      <c r="J512" s="21"/>
    </row>
    <row r="513">
      <c r="A513" s="20" t="s">
        <v>98</v>
      </c>
      <c r="B513" s="26"/>
      <c r="C513" s="8"/>
      <c r="D513" s="8"/>
      <c r="E513" s="9"/>
      <c r="F513" s="10"/>
      <c r="G513" s="9"/>
      <c r="H513" s="11"/>
      <c r="I513" s="9" t="s">
        <v>13</v>
      </c>
      <c r="J513" s="21"/>
    </row>
    <row r="514">
      <c r="A514" s="20" t="s">
        <v>98</v>
      </c>
      <c r="B514" s="26"/>
      <c r="C514" s="8"/>
      <c r="D514" s="8"/>
      <c r="E514" s="9"/>
      <c r="F514" s="10"/>
      <c r="G514" s="9"/>
      <c r="H514" s="11"/>
      <c r="I514" s="9" t="s">
        <v>13</v>
      </c>
      <c r="J514" s="21"/>
    </row>
    <row r="515">
      <c r="A515" s="20" t="s">
        <v>98</v>
      </c>
      <c r="B515" s="26"/>
      <c r="C515" s="8"/>
      <c r="D515" s="8"/>
      <c r="E515" s="9"/>
      <c r="F515" s="10"/>
      <c r="G515" s="9"/>
      <c r="H515" s="11"/>
      <c r="I515" s="9" t="s">
        <v>13</v>
      </c>
      <c r="J515" s="21"/>
    </row>
    <row r="516">
      <c r="A516" s="20" t="s">
        <v>98</v>
      </c>
      <c r="B516" s="26"/>
      <c r="C516" s="8"/>
      <c r="D516" s="8"/>
      <c r="E516" s="9"/>
      <c r="F516" s="10"/>
      <c r="G516" s="9"/>
      <c r="H516" s="11"/>
      <c r="I516" s="9" t="s">
        <v>13</v>
      </c>
      <c r="J516" s="21"/>
    </row>
    <row r="517">
      <c r="A517" s="20" t="s">
        <v>98</v>
      </c>
      <c r="B517" s="26"/>
      <c r="C517" s="8"/>
      <c r="D517" s="8"/>
      <c r="E517" s="9"/>
      <c r="F517" s="10"/>
      <c r="G517" s="9"/>
      <c r="H517" s="11"/>
      <c r="I517" s="9" t="s">
        <v>13</v>
      </c>
      <c r="J517" s="21"/>
    </row>
    <row r="518">
      <c r="A518" s="20" t="s">
        <v>98</v>
      </c>
      <c r="B518" s="26"/>
      <c r="C518" s="8"/>
      <c r="D518" s="8"/>
      <c r="E518" s="9"/>
      <c r="F518" s="10"/>
      <c r="G518" s="9"/>
      <c r="H518" s="11"/>
      <c r="I518" s="9" t="s">
        <v>13</v>
      </c>
      <c r="J518" s="21"/>
    </row>
  </sheetData>
  <mergeCells count="1">
    <mergeCell ref="A1:J1"/>
  </mergeCells>
  <conditionalFormatting sqref="G3:G518">
    <cfRule type="cellIs" dxfId="8" priority="1" operator="equal">
      <formula>"Mairie"</formula>
    </cfRule>
  </conditionalFormatting>
  <conditionalFormatting sqref="G3:G518">
    <cfRule type="cellIs" dxfId="5" priority="2" operator="equal">
      <formula>"Attente R."</formula>
    </cfRule>
  </conditionalFormatting>
  <conditionalFormatting sqref="G3:G518">
    <cfRule type="expression" dxfId="4" priority="3">
      <formula>$G3="Sur T.L."</formula>
    </cfRule>
  </conditionalFormatting>
  <conditionalFormatting sqref="A1:J518">
    <cfRule type="containsText" dxfId="0" priority="4" operator="containsText" text="FAB A FAIRE">
      <formula>NOT(ISERROR(SEARCH(("FAB A FAIRE"),(A1))))</formula>
    </cfRule>
  </conditionalFormatting>
  <conditionalFormatting sqref="B3:H518">
    <cfRule type="expression" dxfId="1" priority="5">
      <formula>$G3="Stand-by"</formula>
    </cfRule>
  </conditionalFormatting>
  <conditionalFormatting sqref="G2:G518">
    <cfRule type="cellIs" dxfId="2" priority="6" operator="equal">
      <formula>"A faire"</formula>
    </cfRule>
  </conditionalFormatting>
  <conditionalFormatting sqref="G2:G518">
    <cfRule type="cellIs" dxfId="3" priority="7" operator="equal">
      <formula>"En cours"</formula>
    </cfRule>
  </conditionalFormatting>
  <conditionalFormatting sqref="F1:F518">
    <cfRule type="timePeriod" dxfId="11" priority="8" timePeriod="today"/>
  </conditionalFormatting>
  <conditionalFormatting sqref="F1:F518">
    <cfRule type="expression" dxfId="7" priority="9">
      <formula>AND(ISNUMBER(F1),TRUNC(F1)&lt;TODAY())</formula>
    </cfRule>
  </conditionalFormatting>
  <dataValidations>
    <dataValidation type="list" allowBlank="1" sqref="G3:G518">
      <formula1>"-,A faire,En cours,Attente R.,Stand-by,Sur T.L.,Mairie"</formula1>
    </dataValidation>
    <dataValidation type="list" allowBlank="1" sqref="E3:E518">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38.0"/>
    <col customWidth="1" min="3" max="3" width="9.38"/>
    <col customWidth="1" min="4" max="4" width="12.13"/>
    <col customWidth="1" min="5" max="5" width="8.25"/>
    <col customWidth="1" min="6" max="6" width="8.63"/>
    <col customWidth="1" min="7" max="7" width="11.88"/>
    <col customWidth="1" min="8" max="8" width="88.5"/>
    <col customWidth="1" min="9" max="9" width="11.63"/>
    <col customWidth="1" min="10" max="10" width="2.63"/>
  </cols>
  <sheetData>
    <row r="1" ht="24.0" customHeight="1">
      <c r="A1" s="28"/>
    </row>
    <row r="2">
      <c r="A2" s="29"/>
      <c r="B2" s="30" t="s">
        <v>1</v>
      </c>
      <c r="C2" s="31" t="s">
        <v>2</v>
      </c>
      <c r="D2" s="31" t="s">
        <v>3</v>
      </c>
      <c r="E2" s="32" t="s">
        <v>4</v>
      </c>
      <c r="F2" s="31" t="s">
        <v>5</v>
      </c>
      <c r="G2" s="32" t="s">
        <v>6</v>
      </c>
      <c r="H2" s="32" t="s">
        <v>7</v>
      </c>
      <c r="I2" s="32" t="s">
        <v>8</v>
      </c>
      <c r="J2" s="33"/>
    </row>
    <row r="3">
      <c r="A3" s="34" t="s">
        <v>204</v>
      </c>
      <c r="B3" s="11"/>
      <c r="C3" s="8" t="s">
        <v>11</v>
      </c>
      <c r="D3" s="8" t="str">
        <f t="shared" ref="D3:D138" si="1">IFERROR(_xlfn.WORKDAY.INTL(C3, 2),"-")</f>
        <v>-</v>
      </c>
      <c r="E3" s="9" t="s">
        <v>11</v>
      </c>
      <c r="F3" s="10"/>
      <c r="G3" s="9"/>
      <c r="H3" s="11"/>
      <c r="I3" s="9" t="s">
        <v>13</v>
      </c>
      <c r="J3" s="35"/>
    </row>
    <row r="4">
      <c r="A4" s="34" t="s">
        <v>204</v>
      </c>
      <c r="B4" s="11"/>
      <c r="C4" s="8" t="s">
        <v>11</v>
      </c>
      <c r="D4" s="8" t="str">
        <f t="shared" si="1"/>
        <v>-</v>
      </c>
      <c r="E4" s="9" t="s">
        <v>11</v>
      </c>
      <c r="F4" s="10"/>
      <c r="G4" s="9"/>
      <c r="H4" s="11"/>
      <c r="I4" s="9" t="s">
        <v>13</v>
      </c>
      <c r="J4" s="35"/>
    </row>
    <row r="5">
      <c r="A5" s="34" t="s">
        <v>204</v>
      </c>
      <c r="B5" s="11"/>
      <c r="C5" s="8" t="s">
        <v>11</v>
      </c>
      <c r="D5" s="8" t="str">
        <f t="shared" si="1"/>
        <v>-</v>
      </c>
      <c r="E5" s="9" t="s">
        <v>11</v>
      </c>
      <c r="F5" s="10"/>
      <c r="G5" s="9"/>
      <c r="H5" s="11"/>
      <c r="I5" s="9" t="s">
        <v>13</v>
      </c>
      <c r="J5" s="35"/>
    </row>
    <row r="6">
      <c r="A6" s="34" t="s">
        <v>204</v>
      </c>
      <c r="B6" s="11"/>
      <c r="C6" s="8" t="s">
        <v>11</v>
      </c>
      <c r="D6" s="8" t="str">
        <f t="shared" si="1"/>
        <v>-</v>
      </c>
      <c r="E6" s="9" t="s">
        <v>11</v>
      </c>
      <c r="F6" s="10"/>
      <c r="G6" s="9"/>
      <c r="H6" s="11"/>
      <c r="I6" s="9" t="s">
        <v>13</v>
      </c>
      <c r="J6" s="35"/>
    </row>
    <row r="7">
      <c r="A7" s="34" t="s">
        <v>204</v>
      </c>
      <c r="B7" s="11"/>
      <c r="C7" s="8" t="s">
        <v>11</v>
      </c>
      <c r="D7" s="8" t="str">
        <f t="shared" si="1"/>
        <v>-</v>
      </c>
      <c r="E7" s="9" t="s">
        <v>11</v>
      </c>
      <c r="F7" s="10"/>
      <c r="G7" s="9"/>
      <c r="H7" s="11"/>
      <c r="I7" s="9" t="s">
        <v>13</v>
      </c>
      <c r="J7" s="35"/>
    </row>
    <row r="8">
      <c r="A8" s="34" t="s">
        <v>204</v>
      </c>
      <c r="B8" s="11"/>
      <c r="C8" s="8" t="s">
        <v>11</v>
      </c>
      <c r="D8" s="8" t="str">
        <f t="shared" si="1"/>
        <v>-</v>
      </c>
      <c r="E8" s="9" t="s">
        <v>11</v>
      </c>
      <c r="F8" s="10"/>
      <c r="G8" s="9"/>
      <c r="H8" s="11"/>
      <c r="I8" s="9" t="s">
        <v>13</v>
      </c>
      <c r="J8" s="35"/>
    </row>
    <row r="9">
      <c r="A9" s="34" t="s">
        <v>204</v>
      </c>
      <c r="B9" s="11"/>
      <c r="C9" s="8" t="s">
        <v>11</v>
      </c>
      <c r="D9" s="8" t="str">
        <f t="shared" si="1"/>
        <v>-</v>
      </c>
      <c r="E9" s="9" t="s">
        <v>11</v>
      </c>
      <c r="F9" s="10"/>
      <c r="G9" s="9"/>
      <c r="H9" s="11"/>
      <c r="I9" s="9" t="s">
        <v>13</v>
      </c>
      <c r="J9" s="35"/>
    </row>
    <row r="10">
      <c r="A10" s="34" t="s">
        <v>204</v>
      </c>
      <c r="B10" s="11"/>
      <c r="C10" s="8" t="s">
        <v>11</v>
      </c>
      <c r="D10" s="8" t="str">
        <f t="shared" si="1"/>
        <v>-</v>
      </c>
      <c r="E10" s="9" t="s">
        <v>11</v>
      </c>
      <c r="F10" s="10"/>
      <c r="G10" s="9"/>
      <c r="H10" s="11"/>
      <c r="I10" s="9" t="s">
        <v>13</v>
      </c>
      <c r="J10" s="35"/>
    </row>
    <row r="11">
      <c r="A11" s="34" t="s">
        <v>204</v>
      </c>
      <c r="B11" s="11"/>
      <c r="C11" s="8" t="s">
        <v>11</v>
      </c>
      <c r="D11" s="8" t="str">
        <f t="shared" si="1"/>
        <v>-</v>
      </c>
      <c r="E11" s="9" t="s">
        <v>11</v>
      </c>
      <c r="F11" s="10"/>
      <c r="G11" s="9"/>
      <c r="H11" s="11"/>
      <c r="I11" s="9" t="s">
        <v>13</v>
      </c>
      <c r="J11" s="35"/>
    </row>
    <row r="12">
      <c r="A12" s="34" t="s">
        <v>204</v>
      </c>
      <c r="B12" s="11"/>
      <c r="C12" s="8" t="s">
        <v>11</v>
      </c>
      <c r="D12" s="8" t="str">
        <f t="shared" si="1"/>
        <v>-</v>
      </c>
      <c r="E12" s="9" t="s">
        <v>11</v>
      </c>
      <c r="F12" s="10"/>
      <c r="G12" s="9"/>
      <c r="H12" s="11"/>
      <c r="I12" s="9" t="s">
        <v>13</v>
      </c>
      <c r="J12" s="35"/>
    </row>
    <row r="13">
      <c r="A13" s="34" t="s">
        <v>204</v>
      </c>
      <c r="B13" s="11"/>
      <c r="C13" s="8" t="s">
        <v>11</v>
      </c>
      <c r="D13" s="8" t="str">
        <f t="shared" si="1"/>
        <v>-</v>
      </c>
      <c r="E13" s="9" t="s">
        <v>11</v>
      </c>
      <c r="F13" s="10"/>
      <c r="G13" s="9"/>
      <c r="H13" s="11"/>
      <c r="I13" s="9" t="s">
        <v>13</v>
      </c>
      <c r="J13" s="35"/>
    </row>
    <row r="14">
      <c r="A14" s="34" t="s">
        <v>204</v>
      </c>
      <c r="B14" s="11"/>
      <c r="C14" s="8" t="s">
        <v>11</v>
      </c>
      <c r="D14" s="8" t="str">
        <f t="shared" si="1"/>
        <v>-</v>
      </c>
      <c r="E14" s="9" t="s">
        <v>11</v>
      </c>
      <c r="F14" s="10"/>
      <c r="G14" s="9"/>
      <c r="H14" s="11"/>
      <c r="I14" s="9" t="s">
        <v>13</v>
      </c>
      <c r="J14" s="35"/>
    </row>
    <row r="15">
      <c r="A15" s="34" t="s">
        <v>204</v>
      </c>
      <c r="B15" s="11"/>
      <c r="C15" s="8" t="s">
        <v>11</v>
      </c>
      <c r="D15" s="8" t="str">
        <f t="shared" si="1"/>
        <v>-</v>
      </c>
      <c r="E15" s="9" t="s">
        <v>11</v>
      </c>
      <c r="F15" s="10"/>
      <c r="G15" s="9"/>
      <c r="H15" s="11"/>
      <c r="I15" s="9" t="s">
        <v>13</v>
      </c>
      <c r="J15" s="35"/>
    </row>
    <row r="16">
      <c r="A16" s="34" t="s">
        <v>204</v>
      </c>
      <c r="B16" s="11"/>
      <c r="C16" s="8" t="s">
        <v>11</v>
      </c>
      <c r="D16" s="8" t="str">
        <f t="shared" si="1"/>
        <v>-</v>
      </c>
      <c r="E16" s="9" t="s">
        <v>11</v>
      </c>
      <c r="F16" s="10"/>
      <c r="G16" s="9"/>
      <c r="H16" s="11"/>
      <c r="I16" s="9" t="s">
        <v>13</v>
      </c>
      <c r="J16" s="35"/>
    </row>
    <row r="17">
      <c r="A17" s="34" t="s">
        <v>204</v>
      </c>
      <c r="B17" s="11"/>
      <c r="C17" s="8" t="s">
        <v>11</v>
      </c>
      <c r="D17" s="8" t="str">
        <f t="shared" si="1"/>
        <v>-</v>
      </c>
      <c r="E17" s="9" t="s">
        <v>11</v>
      </c>
      <c r="F17" s="10"/>
      <c r="G17" s="9"/>
      <c r="H17" s="11"/>
      <c r="I17" s="9" t="s">
        <v>13</v>
      </c>
      <c r="J17" s="35"/>
    </row>
    <row r="18">
      <c r="A18" s="34" t="s">
        <v>204</v>
      </c>
      <c r="B18" s="11"/>
      <c r="C18" s="8" t="s">
        <v>11</v>
      </c>
      <c r="D18" s="8" t="str">
        <f t="shared" si="1"/>
        <v>-</v>
      </c>
      <c r="E18" s="9" t="s">
        <v>11</v>
      </c>
      <c r="F18" s="10"/>
      <c r="G18" s="9"/>
      <c r="H18" s="11"/>
      <c r="I18" s="9" t="s">
        <v>13</v>
      </c>
      <c r="J18" s="35"/>
    </row>
    <row r="19">
      <c r="A19" s="34" t="s">
        <v>204</v>
      </c>
      <c r="B19" s="11"/>
      <c r="C19" s="8" t="s">
        <v>11</v>
      </c>
      <c r="D19" s="8" t="str">
        <f t="shared" si="1"/>
        <v>-</v>
      </c>
      <c r="E19" s="9" t="s">
        <v>11</v>
      </c>
      <c r="F19" s="10"/>
      <c r="G19" s="9"/>
      <c r="H19" s="11"/>
      <c r="I19" s="9" t="s">
        <v>13</v>
      </c>
      <c r="J19" s="35"/>
    </row>
    <row r="20">
      <c r="A20" s="34" t="s">
        <v>204</v>
      </c>
      <c r="B20" s="11"/>
      <c r="C20" s="8" t="s">
        <v>11</v>
      </c>
      <c r="D20" s="8" t="str">
        <f t="shared" si="1"/>
        <v>-</v>
      </c>
      <c r="E20" s="9" t="s">
        <v>11</v>
      </c>
      <c r="F20" s="10"/>
      <c r="G20" s="9"/>
      <c r="H20" s="11"/>
      <c r="I20" s="9" t="s">
        <v>13</v>
      </c>
      <c r="J20" s="35"/>
    </row>
    <row r="21">
      <c r="A21" s="34" t="s">
        <v>204</v>
      </c>
      <c r="B21" s="11"/>
      <c r="C21" s="8" t="s">
        <v>11</v>
      </c>
      <c r="D21" s="8" t="str">
        <f t="shared" si="1"/>
        <v>-</v>
      </c>
      <c r="E21" s="9" t="s">
        <v>11</v>
      </c>
      <c r="F21" s="10"/>
      <c r="G21" s="9"/>
      <c r="H21" s="11"/>
      <c r="I21" s="9" t="s">
        <v>13</v>
      </c>
      <c r="J21" s="35"/>
    </row>
    <row r="22">
      <c r="A22" s="34" t="s">
        <v>204</v>
      </c>
      <c r="B22" s="11"/>
      <c r="C22" s="8" t="s">
        <v>11</v>
      </c>
      <c r="D22" s="8" t="str">
        <f t="shared" si="1"/>
        <v>-</v>
      </c>
      <c r="E22" s="9" t="s">
        <v>11</v>
      </c>
      <c r="F22" s="10"/>
      <c r="G22" s="9"/>
      <c r="H22" s="11"/>
      <c r="I22" s="9" t="s">
        <v>13</v>
      </c>
      <c r="J22" s="35"/>
    </row>
    <row r="23">
      <c r="A23" s="34" t="s">
        <v>204</v>
      </c>
      <c r="B23" s="11"/>
      <c r="C23" s="8" t="s">
        <v>11</v>
      </c>
      <c r="D23" s="8" t="str">
        <f t="shared" si="1"/>
        <v>-</v>
      </c>
      <c r="E23" s="9" t="s">
        <v>11</v>
      </c>
      <c r="F23" s="10"/>
      <c r="G23" s="9"/>
      <c r="H23" s="11"/>
      <c r="I23" s="9" t="s">
        <v>13</v>
      </c>
      <c r="J23" s="35"/>
    </row>
    <row r="24">
      <c r="A24" s="34" t="s">
        <v>204</v>
      </c>
      <c r="B24" s="11"/>
      <c r="C24" s="8" t="s">
        <v>11</v>
      </c>
      <c r="D24" s="8" t="str">
        <f t="shared" si="1"/>
        <v>-</v>
      </c>
      <c r="E24" s="9" t="s">
        <v>11</v>
      </c>
      <c r="F24" s="10"/>
      <c r="G24" s="9"/>
      <c r="H24" s="11"/>
      <c r="I24" s="9" t="s">
        <v>13</v>
      </c>
      <c r="J24" s="35"/>
    </row>
    <row r="25">
      <c r="A25" s="34" t="s">
        <v>204</v>
      </c>
      <c r="B25" s="11"/>
      <c r="C25" s="8" t="s">
        <v>11</v>
      </c>
      <c r="D25" s="8" t="str">
        <f t="shared" si="1"/>
        <v>-</v>
      </c>
      <c r="E25" s="9" t="s">
        <v>11</v>
      </c>
      <c r="F25" s="10"/>
      <c r="G25" s="9"/>
      <c r="H25" s="11"/>
      <c r="I25" s="9" t="s">
        <v>13</v>
      </c>
      <c r="J25" s="35"/>
    </row>
    <row r="26">
      <c r="A26" s="34" t="s">
        <v>204</v>
      </c>
      <c r="B26" s="11"/>
      <c r="C26" s="8" t="s">
        <v>11</v>
      </c>
      <c r="D26" s="8" t="str">
        <f t="shared" si="1"/>
        <v>-</v>
      </c>
      <c r="E26" s="9" t="s">
        <v>11</v>
      </c>
      <c r="F26" s="10"/>
      <c r="G26" s="9"/>
      <c r="H26" s="11"/>
      <c r="I26" s="9" t="s">
        <v>13</v>
      </c>
      <c r="J26" s="35"/>
    </row>
    <row r="27">
      <c r="A27" s="34" t="s">
        <v>204</v>
      </c>
      <c r="B27" s="11"/>
      <c r="C27" s="8" t="s">
        <v>11</v>
      </c>
      <c r="D27" s="8" t="str">
        <f t="shared" si="1"/>
        <v>-</v>
      </c>
      <c r="E27" s="9" t="s">
        <v>11</v>
      </c>
      <c r="F27" s="10"/>
      <c r="G27" s="9"/>
      <c r="H27" s="11"/>
      <c r="I27" s="9" t="s">
        <v>13</v>
      </c>
      <c r="J27" s="35"/>
    </row>
    <row r="28">
      <c r="A28" s="34" t="s">
        <v>204</v>
      </c>
      <c r="B28" s="11"/>
      <c r="C28" s="8" t="s">
        <v>11</v>
      </c>
      <c r="D28" s="8" t="str">
        <f t="shared" si="1"/>
        <v>-</v>
      </c>
      <c r="E28" s="9" t="s">
        <v>11</v>
      </c>
      <c r="F28" s="10"/>
      <c r="G28" s="9"/>
      <c r="H28" s="11"/>
      <c r="I28" s="9" t="s">
        <v>13</v>
      </c>
      <c r="J28" s="35"/>
    </row>
    <row r="29">
      <c r="A29" s="34" t="s">
        <v>204</v>
      </c>
      <c r="B29" s="11"/>
      <c r="C29" s="8" t="s">
        <v>11</v>
      </c>
      <c r="D29" s="8" t="str">
        <f t="shared" si="1"/>
        <v>-</v>
      </c>
      <c r="E29" s="9" t="s">
        <v>11</v>
      </c>
      <c r="F29" s="10"/>
      <c r="G29" s="9"/>
      <c r="H29" s="11"/>
      <c r="I29" s="9" t="s">
        <v>13</v>
      </c>
      <c r="J29" s="35"/>
    </row>
    <row r="30">
      <c r="A30" s="34" t="s">
        <v>204</v>
      </c>
      <c r="B30" s="11"/>
      <c r="C30" s="8" t="s">
        <v>11</v>
      </c>
      <c r="D30" s="8" t="str">
        <f t="shared" si="1"/>
        <v>-</v>
      </c>
      <c r="E30" s="9" t="s">
        <v>11</v>
      </c>
      <c r="F30" s="10"/>
      <c r="G30" s="9"/>
      <c r="H30" s="11"/>
      <c r="I30" s="9" t="s">
        <v>13</v>
      </c>
      <c r="J30" s="35"/>
    </row>
    <row r="31">
      <c r="A31" s="34" t="s">
        <v>204</v>
      </c>
      <c r="B31" s="11"/>
      <c r="C31" s="8" t="s">
        <v>11</v>
      </c>
      <c r="D31" s="8" t="str">
        <f t="shared" si="1"/>
        <v>-</v>
      </c>
      <c r="E31" s="9" t="s">
        <v>11</v>
      </c>
      <c r="F31" s="10"/>
      <c r="G31" s="9"/>
      <c r="H31" s="11"/>
      <c r="I31" s="9" t="s">
        <v>13</v>
      </c>
      <c r="J31" s="35"/>
    </row>
    <row r="32">
      <c r="A32" s="34" t="s">
        <v>204</v>
      </c>
      <c r="B32" s="11"/>
      <c r="C32" s="8" t="s">
        <v>11</v>
      </c>
      <c r="D32" s="8" t="str">
        <f t="shared" si="1"/>
        <v>-</v>
      </c>
      <c r="E32" s="9" t="s">
        <v>11</v>
      </c>
      <c r="F32" s="10"/>
      <c r="G32" s="9"/>
      <c r="H32" s="11"/>
      <c r="I32" s="9" t="s">
        <v>13</v>
      </c>
      <c r="J32" s="35"/>
    </row>
    <row r="33">
      <c r="A33" s="34" t="s">
        <v>204</v>
      </c>
      <c r="B33" s="11"/>
      <c r="C33" s="8" t="s">
        <v>11</v>
      </c>
      <c r="D33" s="8" t="str">
        <f t="shared" si="1"/>
        <v>-</v>
      </c>
      <c r="E33" s="9" t="s">
        <v>11</v>
      </c>
      <c r="F33" s="10"/>
      <c r="G33" s="9"/>
      <c r="H33" s="11"/>
      <c r="I33" s="9" t="s">
        <v>13</v>
      </c>
      <c r="J33" s="35"/>
    </row>
    <row r="34">
      <c r="A34" s="34" t="s">
        <v>204</v>
      </c>
      <c r="B34" s="11"/>
      <c r="C34" s="8" t="s">
        <v>11</v>
      </c>
      <c r="D34" s="8" t="str">
        <f t="shared" si="1"/>
        <v>-</v>
      </c>
      <c r="E34" s="9" t="s">
        <v>11</v>
      </c>
      <c r="F34" s="10"/>
      <c r="G34" s="9"/>
      <c r="H34" s="11"/>
      <c r="I34" s="9" t="s">
        <v>13</v>
      </c>
      <c r="J34" s="35"/>
    </row>
    <row r="35">
      <c r="A35" s="34" t="s">
        <v>204</v>
      </c>
      <c r="B35" s="11"/>
      <c r="C35" s="8" t="s">
        <v>11</v>
      </c>
      <c r="D35" s="8" t="str">
        <f t="shared" si="1"/>
        <v>-</v>
      </c>
      <c r="E35" s="9" t="s">
        <v>11</v>
      </c>
      <c r="F35" s="10"/>
      <c r="G35" s="9"/>
      <c r="H35" s="11"/>
      <c r="I35" s="9" t="s">
        <v>13</v>
      </c>
      <c r="J35" s="35"/>
    </row>
    <row r="36">
      <c r="A36" s="34" t="s">
        <v>204</v>
      </c>
      <c r="B36" s="11"/>
      <c r="C36" s="8" t="s">
        <v>11</v>
      </c>
      <c r="D36" s="8" t="str">
        <f t="shared" si="1"/>
        <v>-</v>
      </c>
      <c r="E36" s="9" t="s">
        <v>11</v>
      </c>
      <c r="F36" s="10"/>
      <c r="G36" s="9"/>
      <c r="H36" s="11"/>
      <c r="I36" s="9" t="s">
        <v>13</v>
      </c>
      <c r="J36" s="35"/>
    </row>
    <row r="37">
      <c r="A37" s="34" t="s">
        <v>204</v>
      </c>
      <c r="B37" s="11"/>
      <c r="C37" s="8" t="s">
        <v>11</v>
      </c>
      <c r="D37" s="8" t="str">
        <f t="shared" si="1"/>
        <v>-</v>
      </c>
      <c r="E37" s="9" t="s">
        <v>11</v>
      </c>
      <c r="F37" s="10"/>
      <c r="G37" s="9"/>
      <c r="H37" s="11"/>
      <c r="I37" s="9" t="s">
        <v>13</v>
      </c>
      <c r="J37" s="35"/>
    </row>
    <row r="38">
      <c r="A38" s="34" t="s">
        <v>204</v>
      </c>
      <c r="B38" s="11"/>
      <c r="C38" s="8" t="s">
        <v>11</v>
      </c>
      <c r="D38" s="8" t="str">
        <f t="shared" si="1"/>
        <v>-</v>
      </c>
      <c r="E38" s="9" t="s">
        <v>11</v>
      </c>
      <c r="F38" s="10"/>
      <c r="G38" s="9"/>
      <c r="H38" s="11"/>
      <c r="I38" s="9" t="s">
        <v>13</v>
      </c>
      <c r="J38" s="35"/>
    </row>
    <row r="39">
      <c r="A39" s="34" t="s">
        <v>204</v>
      </c>
      <c r="B39" s="11"/>
      <c r="C39" s="8" t="s">
        <v>11</v>
      </c>
      <c r="D39" s="8" t="str">
        <f t="shared" si="1"/>
        <v>-</v>
      </c>
      <c r="E39" s="9" t="s">
        <v>11</v>
      </c>
      <c r="F39" s="10"/>
      <c r="G39" s="9"/>
      <c r="H39" s="11"/>
      <c r="I39" s="9" t="s">
        <v>13</v>
      </c>
      <c r="J39" s="35"/>
    </row>
    <row r="40">
      <c r="A40" s="34" t="s">
        <v>204</v>
      </c>
      <c r="B40" s="11"/>
      <c r="C40" s="8" t="s">
        <v>11</v>
      </c>
      <c r="D40" s="8" t="str">
        <f t="shared" si="1"/>
        <v>-</v>
      </c>
      <c r="E40" s="9" t="s">
        <v>11</v>
      </c>
      <c r="F40" s="10"/>
      <c r="G40" s="9"/>
      <c r="H40" s="11"/>
      <c r="I40" s="9" t="s">
        <v>13</v>
      </c>
      <c r="J40" s="35"/>
    </row>
    <row r="41">
      <c r="A41" s="34" t="s">
        <v>204</v>
      </c>
      <c r="B41" s="11"/>
      <c r="C41" s="8" t="s">
        <v>11</v>
      </c>
      <c r="D41" s="8" t="str">
        <f t="shared" si="1"/>
        <v>-</v>
      </c>
      <c r="E41" s="9" t="s">
        <v>11</v>
      </c>
      <c r="F41" s="10"/>
      <c r="G41" s="9"/>
      <c r="H41" s="11"/>
      <c r="I41" s="9" t="s">
        <v>13</v>
      </c>
      <c r="J41" s="35"/>
    </row>
    <row r="42">
      <c r="A42" s="34" t="s">
        <v>204</v>
      </c>
      <c r="B42" s="11"/>
      <c r="C42" s="8" t="s">
        <v>11</v>
      </c>
      <c r="D42" s="8" t="str">
        <f t="shared" si="1"/>
        <v>-</v>
      </c>
      <c r="E42" s="9" t="s">
        <v>11</v>
      </c>
      <c r="F42" s="10"/>
      <c r="G42" s="9"/>
      <c r="H42" s="11"/>
      <c r="I42" s="9" t="s">
        <v>13</v>
      </c>
      <c r="J42" s="35"/>
    </row>
    <row r="43">
      <c r="A43" s="34" t="s">
        <v>204</v>
      </c>
      <c r="B43" s="11"/>
      <c r="C43" s="8" t="s">
        <v>11</v>
      </c>
      <c r="D43" s="8" t="str">
        <f t="shared" si="1"/>
        <v>-</v>
      </c>
      <c r="E43" s="9" t="s">
        <v>11</v>
      </c>
      <c r="F43" s="10"/>
      <c r="G43" s="9"/>
      <c r="H43" s="11"/>
      <c r="I43" s="9" t="s">
        <v>13</v>
      </c>
      <c r="J43" s="35"/>
    </row>
    <row r="44">
      <c r="A44" s="34" t="s">
        <v>204</v>
      </c>
      <c r="B44" s="11"/>
      <c r="C44" s="8" t="s">
        <v>11</v>
      </c>
      <c r="D44" s="8" t="str">
        <f t="shared" si="1"/>
        <v>-</v>
      </c>
      <c r="E44" s="9" t="s">
        <v>11</v>
      </c>
      <c r="F44" s="10"/>
      <c r="G44" s="9"/>
      <c r="H44" s="11"/>
      <c r="I44" s="9" t="s">
        <v>13</v>
      </c>
      <c r="J44" s="35"/>
    </row>
    <row r="45">
      <c r="A45" s="34" t="s">
        <v>204</v>
      </c>
      <c r="B45" s="11"/>
      <c r="C45" s="8" t="s">
        <v>11</v>
      </c>
      <c r="D45" s="8" t="str">
        <f t="shared" si="1"/>
        <v>-</v>
      </c>
      <c r="E45" s="9" t="s">
        <v>11</v>
      </c>
      <c r="F45" s="10"/>
      <c r="G45" s="9"/>
      <c r="H45" s="11"/>
      <c r="I45" s="9" t="s">
        <v>13</v>
      </c>
      <c r="J45" s="35"/>
    </row>
    <row r="46">
      <c r="A46" s="34" t="s">
        <v>204</v>
      </c>
      <c r="B46" s="11"/>
      <c r="C46" s="8" t="s">
        <v>11</v>
      </c>
      <c r="D46" s="8" t="str">
        <f t="shared" si="1"/>
        <v>-</v>
      </c>
      <c r="E46" s="9" t="s">
        <v>11</v>
      </c>
      <c r="F46" s="10"/>
      <c r="G46" s="9"/>
      <c r="H46" s="11"/>
      <c r="I46" s="9" t="s">
        <v>13</v>
      </c>
      <c r="J46" s="35"/>
    </row>
    <row r="47">
      <c r="A47" s="34" t="s">
        <v>204</v>
      </c>
      <c r="B47" s="11"/>
      <c r="C47" s="8" t="s">
        <v>11</v>
      </c>
      <c r="D47" s="8" t="str">
        <f t="shared" si="1"/>
        <v>-</v>
      </c>
      <c r="E47" s="9" t="s">
        <v>11</v>
      </c>
      <c r="F47" s="10"/>
      <c r="G47" s="9"/>
      <c r="H47" s="11"/>
      <c r="I47" s="9" t="s">
        <v>13</v>
      </c>
      <c r="J47" s="35"/>
    </row>
    <row r="48">
      <c r="A48" s="34" t="s">
        <v>204</v>
      </c>
      <c r="B48" s="11"/>
      <c r="C48" s="8" t="s">
        <v>11</v>
      </c>
      <c r="D48" s="8" t="str">
        <f t="shared" si="1"/>
        <v>-</v>
      </c>
      <c r="E48" s="9" t="s">
        <v>11</v>
      </c>
      <c r="F48" s="10"/>
      <c r="G48" s="9"/>
      <c r="H48" s="11"/>
      <c r="I48" s="9" t="s">
        <v>13</v>
      </c>
      <c r="J48" s="35"/>
    </row>
    <row r="49">
      <c r="A49" s="34" t="s">
        <v>204</v>
      </c>
      <c r="B49" s="11"/>
      <c r="C49" s="8" t="s">
        <v>11</v>
      </c>
      <c r="D49" s="8" t="str">
        <f t="shared" si="1"/>
        <v>-</v>
      </c>
      <c r="E49" s="9" t="s">
        <v>11</v>
      </c>
      <c r="F49" s="10"/>
      <c r="G49" s="9"/>
      <c r="H49" s="11"/>
      <c r="I49" s="9" t="s">
        <v>13</v>
      </c>
      <c r="J49" s="35"/>
    </row>
    <row r="50">
      <c r="A50" s="34" t="s">
        <v>204</v>
      </c>
      <c r="B50" s="11"/>
      <c r="C50" s="8" t="s">
        <v>11</v>
      </c>
      <c r="D50" s="8" t="str">
        <f t="shared" si="1"/>
        <v>-</v>
      </c>
      <c r="E50" s="9" t="s">
        <v>11</v>
      </c>
      <c r="F50" s="10"/>
      <c r="G50" s="9"/>
      <c r="H50" s="11"/>
      <c r="I50" s="9" t="s">
        <v>13</v>
      </c>
      <c r="J50" s="35"/>
    </row>
    <row r="51">
      <c r="A51" s="34" t="s">
        <v>204</v>
      </c>
      <c r="B51" s="11"/>
      <c r="C51" s="8" t="s">
        <v>11</v>
      </c>
      <c r="D51" s="8" t="str">
        <f t="shared" si="1"/>
        <v>-</v>
      </c>
      <c r="E51" s="9" t="s">
        <v>11</v>
      </c>
      <c r="F51" s="10"/>
      <c r="G51" s="9"/>
      <c r="H51" s="11"/>
      <c r="I51" s="9" t="s">
        <v>13</v>
      </c>
      <c r="J51" s="35"/>
    </row>
    <row r="52">
      <c r="A52" s="34" t="s">
        <v>204</v>
      </c>
      <c r="B52" s="11"/>
      <c r="C52" s="8" t="s">
        <v>11</v>
      </c>
      <c r="D52" s="8" t="str">
        <f t="shared" si="1"/>
        <v>-</v>
      </c>
      <c r="E52" s="9" t="s">
        <v>11</v>
      </c>
      <c r="F52" s="10"/>
      <c r="G52" s="9"/>
      <c r="H52" s="11"/>
      <c r="I52" s="9" t="s">
        <v>13</v>
      </c>
      <c r="J52" s="35"/>
    </row>
    <row r="53">
      <c r="A53" s="34" t="s">
        <v>204</v>
      </c>
      <c r="B53" s="11"/>
      <c r="C53" s="8" t="s">
        <v>11</v>
      </c>
      <c r="D53" s="8" t="str">
        <f t="shared" si="1"/>
        <v>-</v>
      </c>
      <c r="E53" s="9" t="s">
        <v>11</v>
      </c>
      <c r="F53" s="10"/>
      <c r="G53" s="9"/>
      <c r="H53" s="11"/>
      <c r="I53" s="9" t="s">
        <v>13</v>
      </c>
      <c r="J53" s="35"/>
    </row>
    <row r="54">
      <c r="A54" s="34" t="s">
        <v>204</v>
      </c>
      <c r="B54" s="11"/>
      <c r="C54" s="8" t="s">
        <v>11</v>
      </c>
      <c r="D54" s="8" t="str">
        <f t="shared" si="1"/>
        <v>-</v>
      </c>
      <c r="E54" s="9" t="s">
        <v>11</v>
      </c>
      <c r="F54" s="10"/>
      <c r="G54" s="9"/>
      <c r="H54" s="11"/>
      <c r="I54" s="9" t="s">
        <v>13</v>
      </c>
      <c r="J54" s="35"/>
    </row>
    <row r="55">
      <c r="A55" s="34" t="s">
        <v>204</v>
      </c>
      <c r="B55" s="11"/>
      <c r="C55" s="8" t="s">
        <v>11</v>
      </c>
      <c r="D55" s="8" t="str">
        <f t="shared" si="1"/>
        <v>-</v>
      </c>
      <c r="E55" s="9" t="s">
        <v>11</v>
      </c>
      <c r="F55" s="10"/>
      <c r="G55" s="9"/>
      <c r="H55" s="11"/>
      <c r="I55" s="9" t="s">
        <v>13</v>
      </c>
      <c r="J55" s="35"/>
    </row>
    <row r="56">
      <c r="A56" s="34" t="s">
        <v>204</v>
      </c>
      <c r="B56" s="11"/>
      <c r="C56" s="8" t="s">
        <v>11</v>
      </c>
      <c r="D56" s="8" t="str">
        <f t="shared" si="1"/>
        <v>-</v>
      </c>
      <c r="E56" s="9" t="s">
        <v>11</v>
      </c>
      <c r="F56" s="10"/>
      <c r="G56" s="9"/>
      <c r="H56" s="11"/>
      <c r="I56" s="9" t="s">
        <v>13</v>
      </c>
      <c r="J56" s="35"/>
    </row>
    <row r="57">
      <c r="A57" s="34" t="s">
        <v>204</v>
      </c>
      <c r="B57" s="11"/>
      <c r="C57" s="8" t="s">
        <v>11</v>
      </c>
      <c r="D57" s="8" t="str">
        <f t="shared" si="1"/>
        <v>-</v>
      </c>
      <c r="E57" s="9" t="s">
        <v>11</v>
      </c>
      <c r="F57" s="10"/>
      <c r="G57" s="9"/>
      <c r="H57" s="11"/>
      <c r="I57" s="9" t="s">
        <v>13</v>
      </c>
      <c r="J57" s="35"/>
    </row>
    <row r="58">
      <c r="A58" s="34" t="s">
        <v>204</v>
      </c>
      <c r="B58" s="11"/>
      <c r="C58" s="8" t="s">
        <v>11</v>
      </c>
      <c r="D58" s="8" t="str">
        <f t="shared" si="1"/>
        <v>-</v>
      </c>
      <c r="E58" s="9" t="s">
        <v>11</v>
      </c>
      <c r="F58" s="10"/>
      <c r="G58" s="9"/>
      <c r="H58" s="11"/>
      <c r="I58" s="9" t="s">
        <v>13</v>
      </c>
      <c r="J58" s="35"/>
    </row>
    <row r="59">
      <c r="A59" s="34" t="s">
        <v>204</v>
      </c>
      <c r="B59" s="11"/>
      <c r="C59" s="8" t="s">
        <v>11</v>
      </c>
      <c r="D59" s="8" t="str">
        <f t="shared" si="1"/>
        <v>-</v>
      </c>
      <c r="E59" s="9" t="s">
        <v>11</v>
      </c>
      <c r="F59" s="10"/>
      <c r="G59" s="9"/>
      <c r="H59" s="11"/>
      <c r="I59" s="9" t="s">
        <v>13</v>
      </c>
      <c r="J59" s="35"/>
    </row>
    <row r="60">
      <c r="A60" s="34" t="s">
        <v>204</v>
      </c>
      <c r="B60" s="11"/>
      <c r="C60" s="8" t="s">
        <v>11</v>
      </c>
      <c r="D60" s="8" t="str">
        <f t="shared" si="1"/>
        <v>-</v>
      </c>
      <c r="E60" s="9" t="s">
        <v>11</v>
      </c>
      <c r="F60" s="10"/>
      <c r="G60" s="9"/>
      <c r="H60" s="11"/>
      <c r="I60" s="9" t="s">
        <v>13</v>
      </c>
      <c r="J60" s="35"/>
    </row>
    <row r="61">
      <c r="A61" s="34" t="s">
        <v>204</v>
      </c>
      <c r="B61" s="11"/>
      <c r="C61" s="8" t="s">
        <v>11</v>
      </c>
      <c r="D61" s="8" t="str">
        <f t="shared" si="1"/>
        <v>-</v>
      </c>
      <c r="E61" s="9" t="s">
        <v>11</v>
      </c>
      <c r="F61" s="10"/>
      <c r="G61" s="9"/>
      <c r="H61" s="11"/>
      <c r="I61" s="9" t="s">
        <v>13</v>
      </c>
      <c r="J61" s="35"/>
    </row>
    <row r="62">
      <c r="A62" s="34" t="s">
        <v>204</v>
      </c>
      <c r="B62" s="11"/>
      <c r="C62" s="8" t="s">
        <v>11</v>
      </c>
      <c r="D62" s="8" t="str">
        <f t="shared" si="1"/>
        <v>-</v>
      </c>
      <c r="E62" s="9" t="s">
        <v>11</v>
      </c>
      <c r="F62" s="10"/>
      <c r="G62" s="9"/>
      <c r="H62" s="11"/>
      <c r="I62" s="9" t="s">
        <v>13</v>
      </c>
      <c r="J62" s="35"/>
    </row>
    <row r="63">
      <c r="A63" s="34" t="s">
        <v>204</v>
      </c>
      <c r="B63" s="11"/>
      <c r="C63" s="8" t="s">
        <v>11</v>
      </c>
      <c r="D63" s="8" t="str">
        <f t="shared" si="1"/>
        <v>-</v>
      </c>
      <c r="E63" s="9" t="s">
        <v>11</v>
      </c>
      <c r="F63" s="10"/>
      <c r="G63" s="9"/>
      <c r="H63" s="11"/>
      <c r="I63" s="9" t="s">
        <v>13</v>
      </c>
      <c r="J63" s="35"/>
    </row>
    <row r="64">
      <c r="A64" s="34" t="s">
        <v>204</v>
      </c>
      <c r="B64" s="11"/>
      <c r="C64" s="8" t="s">
        <v>11</v>
      </c>
      <c r="D64" s="8" t="str">
        <f t="shared" si="1"/>
        <v>-</v>
      </c>
      <c r="E64" s="9" t="s">
        <v>11</v>
      </c>
      <c r="F64" s="10"/>
      <c r="G64" s="9"/>
      <c r="H64" s="11"/>
      <c r="I64" s="9" t="s">
        <v>13</v>
      </c>
      <c r="J64" s="35"/>
    </row>
    <row r="65">
      <c r="A65" s="34" t="s">
        <v>204</v>
      </c>
      <c r="B65" s="11"/>
      <c r="C65" s="8" t="s">
        <v>11</v>
      </c>
      <c r="D65" s="8" t="str">
        <f t="shared" si="1"/>
        <v>-</v>
      </c>
      <c r="E65" s="9" t="s">
        <v>11</v>
      </c>
      <c r="F65" s="10"/>
      <c r="G65" s="9"/>
      <c r="H65" s="11"/>
      <c r="I65" s="9" t="s">
        <v>13</v>
      </c>
      <c r="J65" s="35"/>
    </row>
    <row r="66">
      <c r="A66" s="34" t="s">
        <v>204</v>
      </c>
      <c r="B66" s="11"/>
      <c r="C66" s="8" t="s">
        <v>11</v>
      </c>
      <c r="D66" s="8" t="str">
        <f t="shared" si="1"/>
        <v>-</v>
      </c>
      <c r="E66" s="9" t="s">
        <v>11</v>
      </c>
      <c r="F66" s="10"/>
      <c r="G66" s="9"/>
      <c r="H66" s="11"/>
      <c r="I66" s="9" t="s">
        <v>13</v>
      </c>
      <c r="J66" s="35"/>
    </row>
    <row r="67">
      <c r="A67" s="34" t="s">
        <v>204</v>
      </c>
      <c r="B67" s="11"/>
      <c r="C67" s="8" t="s">
        <v>11</v>
      </c>
      <c r="D67" s="8" t="str">
        <f t="shared" si="1"/>
        <v>-</v>
      </c>
      <c r="E67" s="9" t="s">
        <v>11</v>
      </c>
      <c r="F67" s="10"/>
      <c r="G67" s="9"/>
      <c r="H67" s="11"/>
      <c r="I67" s="9" t="s">
        <v>13</v>
      </c>
      <c r="J67" s="35"/>
    </row>
    <row r="68">
      <c r="A68" s="34" t="s">
        <v>204</v>
      </c>
      <c r="B68" s="11"/>
      <c r="C68" s="8" t="s">
        <v>11</v>
      </c>
      <c r="D68" s="8" t="str">
        <f t="shared" si="1"/>
        <v>-</v>
      </c>
      <c r="E68" s="9" t="s">
        <v>11</v>
      </c>
      <c r="F68" s="10"/>
      <c r="G68" s="9"/>
      <c r="H68" s="11"/>
      <c r="I68" s="9" t="s">
        <v>13</v>
      </c>
      <c r="J68" s="35"/>
    </row>
    <row r="69">
      <c r="A69" s="34" t="s">
        <v>204</v>
      </c>
      <c r="B69" s="11"/>
      <c r="C69" s="8" t="s">
        <v>11</v>
      </c>
      <c r="D69" s="8" t="str">
        <f t="shared" si="1"/>
        <v>-</v>
      </c>
      <c r="E69" s="9" t="s">
        <v>11</v>
      </c>
      <c r="F69" s="10"/>
      <c r="G69" s="9"/>
      <c r="H69" s="11"/>
      <c r="I69" s="9" t="s">
        <v>13</v>
      </c>
      <c r="J69" s="35"/>
    </row>
    <row r="70">
      <c r="A70" s="34" t="s">
        <v>204</v>
      </c>
      <c r="B70" s="11"/>
      <c r="C70" s="8" t="s">
        <v>11</v>
      </c>
      <c r="D70" s="8" t="str">
        <f t="shared" si="1"/>
        <v>-</v>
      </c>
      <c r="E70" s="9" t="s">
        <v>11</v>
      </c>
      <c r="F70" s="10"/>
      <c r="G70" s="9"/>
      <c r="H70" s="11"/>
      <c r="I70" s="9" t="s">
        <v>13</v>
      </c>
      <c r="J70" s="35"/>
    </row>
    <row r="71">
      <c r="A71" s="34" t="s">
        <v>204</v>
      </c>
      <c r="B71" s="11"/>
      <c r="C71" s="8" t="s">
        <v>11</v>
      </c>
      <c r="D71" s="8" t="str">
        <f t="shared" si="1"/>
        <v>-</v>
      </c>
      <c r="E71" s="9" t="s">
        <v>11</v>
      </c>
      <c r="F71" s="10"/>
      <c r="G71" s="9"/>
      <c r="H71" s="11"/>
      <c r="I71" s="9" t="s">
        <v>13</v>
      </c>
      <c r="J71" s="35"/>
    </row>
    <row r="72">
      <c r="A72" s="34" t="s">
        <v>204</v>
      </c>
      <c r="B72" s="11"/>
      <c r="C72" s="8" t="s">
        <v>11</v>
      </c>
      <c r="D72" s="8" t="str">
        <f t="shared" si="1"/>
        <v>-</v>
      </c>
      <c r="E72" s="9" t="s">
        <v>11</v>
      </c>
      <c r="F72" s="10"/>
      <c r="G72" s="9"/>
      <c r="H72" s="11"/>
      <c r="I72" s="9" t="s">
        <v>13</v>
      </c>
      <c r="J72" s="35"/>
    </row>
    <row r="73">
      <c r="A73" s="34" t="s">
        <v>204</v>
      </c>
      <c r="B73" s="11"/>
      <c r="C73" s="8" t="s">
        <v>11</v>
      </c>
      <c r="D73" s="8" t="str">
        <f t="shared" si="1"/>
        <v>-</v>
      </c>
      <c r="E73" s="9" t="s">
        <v>11</v>
      </c>
      <c r="F73" s="10"/>
      <c r="G73" s="9"/>
      <c r="H73" s="11"/>
      <c r="I73" s="9" t="s">
        <v>13</v>
      </c>
      <c r="J73" s="35"/>
    </row>
    <row r="74">
      <c r="A74" s="34" t="s">
        <v>204</v>
      </c>
      <c r="B74" s="11"/>
      <c r="C74" s="8" t="s">
        <v>11</v>
      </c>
      <c r="D74" s="8" t="str">
        <f t="shared" si="1"/>
        <v>-</v>
      </c>
      <c r="E74" s="9" t="s">
        <v>11</v>
      </c>
      <c r="F74" s="10"/>
      <c r="G74" s="9"/>
      <c r="H74" s="11"/>
      <c r="I74" s="9" t="s">
        <v>13</v>
      </c>
      <c r="J74" s="35"/>
    </row>
    <row r="75">
      <c r="A75" s="34" t="s">
        <v>204</v>
      </c>
      <c r="B75" s="11"/>
      <c r="C75" s="8" t="s">
        <v>11</v>
      </c>
      <c r="D75" s="8" t="str">
        <f t="shared" si="1"/>
        <v>-</v>
      </c>
      <c r="E75" s="9" t="s">
        <v>11</v>
      </c>
      <c r="F75" s="10"/>
      <c r="G75" s="9"/>
      <c r="H75" s="11"/>
      <c r="I75" s="9" t="s">
        <v>13</v>
      </c>
      <c r="J75" s="35"/>
    </row>
    <row r="76">
      <c r="A76" s="34" t="s">
        <v>204</v>
      </c>
      <c r="B76" s="11"/>
      <c r="C76" s="8" t="s">
        <v>11</v>
      </c>
      <c r="D76" s="8" t="str">
        <f t="shared" si="1"/>
        <v>-</v>
      </c>
      <c r="E76" s="9" t="s">
        <v>11</v>
      </c>
      <c r="F76" s="10"/>
      <c r="G76" s="9"/>
      <c r="H76" s="11"/>
      <c r="I76" s="9" t="s">
        <v>13</v>
      </c>
      <c r="J76" s="35"/>
    </row>
    <row r="77">
      <c r="A77" s="34" t="s">
        <v>204</v>
      </c>
      <c r="B77" s="11"/>
      <c r="C77" s="8" t="s">
        <v>11</v>
      </c>
      <c r="D77" s="8" t="str">
        <f t="shared" si="1"/>
        <v>-</v>
      </c>
      <c r="E77" s="9" t="s">
        <v>11</v>
      </c>
      <c r="F77" s="10"/>
      <c r="G77" s="9"/>
      <c r="H77" s="11"/>
      <c r="I77" s="9" t="s">
        <v>13</v>
      </c>
      <c r="J77" s="35"/>
    </row>
    <row r="78">
      <c r="A78" s="34" t="s">
        <v>204</v>
      </c>
      <c r="B78" s="11"/>
      <c r="C78" s="8" t="s">
        <v>11</v>
      </c>
      <c r="D78" s="8" t="str">
        <f t="shared" si="1"/>
        <v>-</v>
      </c>
      <c r="E78" s="9" t="s">
        <v>11</v>
      </c>
      <c r="F78" s="10"/>
      <c r="G78" s="9"/>
      <c r="H78" s="11"/>
      <c r="I78" s="9" t="s">
        <v>13</v>
      </c>
      <c r="J78" s="35"/>
    </row>
    <row r="79">
      <c r="A79" s="34" t="s">
        <v>204</v>
      </c>
      <c r="B79" s="11"/>
      <c r="C79" s="8" t="s">
        <v>11</v>
      </c>
      <c r="D79" s="8" t="str">
        <f t="shared" si="1"/>
        <v>-</v>
      </c>
      <c r="E79" s="9" t="s">
        <v>11</v>
      </c>
      <c r="F79" s="10"/>
      <c r="G79" s="9"/>
      <c r="H79" s="11"/>
      <c r="I79" s="9" t="s">
        <v>13</v>
      </c>
      <c r="J79" s="35"/>
    </row>
    <row r="80">
      <c r="A80" s="34" t="s">
        <v>204</v>
      </c>
      <c r="B80" s="11"/>
      <c r="C80" s="8" t="s">
        <v>11</v>
      </c>
      <c r="D80" s="8" t="str">
        <f t="shared" si="1"/>
        <v>-</v>
      </c>
      <c r="E80" s="9" t="s">
        <v>11</v>
      </c>
      <c r="F80" s="10"/>
      <c r="G80" s="9"/>
      <c r="H80" s="11"/>
      <c r="I80" s="9" t="s">
        <v>13</v>
      </c>
      <c r="J80" s="35"/>
    </row>
    <row r="81">
      <c r="A81" s="34" t="s">
        <v>204</v>
      </c>
      <c r="B81" s="11"/>
      <c r="C81" s="8" t="s">
        <v>11</v>
      </c>
      <c r="D81" s="8" t="str">
        <f t="shared" si="1"/>
        <v>-</v>
      </c>
      <c r="E81" s="9" t="s">
        <v>11</v>
      </c>
      <c r="F81" s="10"/>
      <c r="G81" s="9"/>
      <c r="H81" s="11"/>
      <c r="I81" s="9" t="s">
        <v>13</v>
      </c>
      <c r="J81" s="35"/>
    </row>
    <row r="82">
      <c r="A82" s="34" t="s">
        <v>204</v>
      </c>
      <c r="B82" s="11"/>
      <c r="C82" s="8" t="s">
        <v>11</v>
      </c>
      <c r="D82" s="8" t="str">
        <f t="shared" si="1"/>
        <v>-</v>
      </c>
      <c r="E82" s="9" t="s">
        <v>11</v>
      </c>
      <c r="F82" s="10"/>
      <c r="G82" s="9"/>
      <c r="H82" s="11"/>
      <c r="I82" s="9" t="s">
        <v>13</v>
      </c>
      <c r="J82" s="35"/>
    </row>
    <row r="83">
      <c r="A83" s="34" t="s">
        <v>204</v>
      </c>
      <c r="B83" s="11"/>
      <c r="C83" s="8" t="s">
        <v>11</v>
      </c>
      <c r="D83" s="8" t="str">
        <f t="shared" si="1"/>
        <v>-</v>
      </c>
      <c r="E83" s="9" t="s">
        <v>11</v>
      </c>
      <c r="F83" s="10"/>
      <c r="G83" s="9"/>
      <c r="H83" s="11"/>
      <c r="I83" s="9" t="s">
        <v>13</v>
      </c>
      <c r="J83" s="35"/>
    </row>
    <row r="84">
      <c r="A84" s="34" t="s">
        <v>204</v>
      </c>
      <c r="B84" s="11"/>
      <c r="C84" s="8" t="s">
        <v>11</v>
      </c>
      <c r="D84" s="8" t="str">
        <f t="shared" si="1"/>
        <v>-</v>
      </c>
      <c r="E84" s="9" t="s">
        <v>11</v>
      </c>
      <c r="F84" s="10"/>
      <c r="G84" s="9"/>
      <c r="H84" s="11"/>
      <c r="I84" s="9" t="s">
        <v>13</v>
      </c>
      <c r="J84" s="35"/>
    </row>
    <row r="85">
      <c r="A85" s="34" t="s">
        <v>204</v>
      </c>
      <c r="B85" s="11"/>
      <c r="C85" s="8" t="s">
        <v>11</v>
      </c>
      <c r="D85" s="8" t="str">
        <f t="shared" si="1"/>
        <v>-</v>
      </c>
      <c r="E85" s="9" t="s">
        <v>11</v>
      </c>
      <c r="F85" s="10"/>
      <c r="G85" s="9"/>
      <c r="H85" s="11"/>
      <c r="I85" s="9" t="s">
        <v>13</v>
      </c>
      <c r="J85" s="35"/>
    </row>
    <row r="86">
      <c r="A86" s="34" t="s">
        <v>204</v>
      </c>
      <c r="B86" s="11"/>
      <c r="C86" s="8" t="s">
        <v>11</v>
      </c>
      <c r="D86" s="8" t="str">
        <f t="shared" si="1"/>
        <v>-</v>
      </c>
      <c r="E86" s="9" t="s">
        <v>11</v>
      </c>
      <c r="F86" s="10"/>
      <c r="G86" s="9"/>
      <c r="H86" s="11"/>
      <c r="I86" s="9" t="s">
        <v>13</v>
      </c>
      <c r="J86" s="35"/>
    </row>
    <row r="87">
      <c r="A87" s="34" t="s">
        <v>204</v>
      </c>
      <c r="B87" s="11"/>
      <c r="C87" s="8" t="s">
        <v>11</v>
      </c>
      <c r="D87" s="8" t="str">
        <f t="shared" si="1"/>
        <v>-</v>
      </c>
      <c r="E87" s="9" t="s">
        <v>11</v>
      </c>
      <c r="F87" s="10"/>
      <c r="G87" s="9"/>
      <c r="H87" s="11"/>
      <c r="I87" s="9" t="s">
        <v>13</v>
      </c>
      <c r="J87" s="35"/>
    </row>
    <row r="88">
      <c r="A88" s="34" t="s">
        <v>204</v>
      </c>
      <c r="B88" s="11"/>
      <c r="C88" s="8" t="s">
        <v>11</v>
      </c>
      <c r="D88" s="8" t="str">
        <f t="shared" si="1"/>
        <v>-</v>
      </c>
      <c r="E88" s="9" t="s">
        <v>11</v>
      </c>
      <c r="F88" s="10"/>
      <c r="G88" s="9"/>
      <c r="H88" s="11"/>
      <c r="I88" s="9" t="s">
        <v>13</v>
      </c>
      <c r="J88" s="35"/>
    </row>
    <row r="89">
      <c r="A89" s="34" t="s">
        <v>204</v>
      </c>
      <c r="B89" s="11"/>
      <c r="C89" s="8" t="s">
        <v>11</v>
      </c>
      <c r="D89" s="8" t="str">
        <f t="shared" si="1"/>
        <v>-</v>
      </c>
      <c r="E89" s="9" t="s">
        <v>11</v>
      </c>
      <c r="F89" s="10"/>
      <c r="G89" s="9"/>
      <c r="H89" s="11"/>
      <c r="I89" s="9" t="s">
        <v>13</v>
      </c>
      <c r="J89" s="35"/>
    </row>
    <row r="90">
      <c r="A90" s="34" t="s">
        <v>204</v>
      </c>
      <c r="B90" s="11"/>
      <c r="C90" s="8" t="s">
        <v>11</v>
      </c>
      <c r="D90" s="8" t="str">
        <f t="shared" si="1"/>
        <v>-</v>
      </c>
      <c r="E90" s="9" t="s">
        <v>11</v>
      </c>
      <c r="F90" s="10"/>
      <c r="G90" s="9"/>
      <c r="H90" s="11"/>
      <c r="I90" s="9" t="s">
        <v>13</v>
      </c>
      <c r="J90" s="35"/>
    </row>
    <row r="91">
      <c r="A91" s="34" t="s">
        <v>204</v>
      </c>
      <c r="B91" s="11"/>
      <c r="C91" s="8" t="s">
        <v>11</v>
      </c>
      <c r="D91" s="8" t="str">
        <f t="shared" si="1"/>
        <v>-</v>
      </c>
      <c r="E91" s="9" t="s">
        <v>11</v>
      </c>
      <c r="F91" s="10"/>
      <c r="G91" s="9"/>
      <c r="H91" s="11"/>
      <c r="I91" s="9" t="s">
        <v>13</v>
      </c>
      <c r="J91" s="35"/>
    </row>
    <row r="92">
      <c r="A92" s="34" t="s">
        <v>204</v>
      </c>
      <c r="B92" s="11"/>
      <c r="C92" s="8" t="s">
        <v>11</v>
      </c>
      <c r="D92" s="8" t="str">
        <f t="shared" si="1"/>
        <v>-</v>
      </c>
      <c r="E92" s="9" t="s">
        <v>11</v>
      </c>
      <c r="F92" s="10"/>
      <c r="G92" s="9"/>
      <c r="H92" s="11"/>
      <c r="I92" s="9" t="s">
        <v>13</v>
      </c>
      <c r="J92" s="35"/>
    </row>
    <row r="93">
      <c r="A93" s="34" t="s">
        <v>204</v>
      </c>
      <c r="B93" s="11"/>
      <c r="C93" s="8" t="s">
        <v>11</v>
      </c>
      <c r="D93" s="8" t="str">
        <f t="shared" si="1"/>
        <v>-</v>
      </c>
      <c r="E93" s="9" t="s">
        <v>11</v>
      </c>
      <c r="F93" s="10"/>
      <c r="G93" s="9"/>
      <c r="H93" s="11"/>
      <c r="I93" s="9" t="s">
        <v>13</v>
      </c>
      <c r="J93" s="35"/>
    </row>
    <row r="94">
      <c r="A94" s="34" t="s">
        <v>204</v>
      </c>
      <c r="B94" s="11"/>
      <c r="C94" s="8" t="s">
        <v>11</v>
      </c>
      <c r="D94" s="8" t="str">
        <f t="shared" si="1"/>
        <v>-</v>
      </c>
      <c r="E94" s="9" t="s">
        <v>11</v>
      </c>
      <c r="F94" s="10"/>
      <c r="G94" s="9"/>
      <c r="H94" s="11"/>
      <c r="I94" s="9" t="s">
        <v>13</v>
      </c>
      <c r="J94" s="35"/>
    </row>
    <row r="95">
      <c r="A95" s="34" t="s">
        <v>204</v>
      </c>
      <c r="B95" s="11"/>
      <c r="C95" s="8" t="s">
        <v>11</v>
      </c>
      <c r="D95" s="8" t="str">
        <f t="shared" si="1"/>
        <v>-</v>
      </c>
      <c r="E95" s="9" t="s">
        <v>11</v>
      </c>
      <c r="F95" s="10"/>
      <c r="G95" s="9"/>
      <c r="H95" s="11"/>
      <c r="I95" s="9" t="s">
        <v>13</v>
      </c>
      <c r="J95" s="35"/>
    </row>
    <row r="96">
      <c r="A96" s="34" t="s">
        <v>204</v>
      </c>
      <c r="B96" s="11"/>
      <c r="C96" s="8" t="s">
        <v>11</v>
      </c>
      <c r="D96" s="8" t="str">
        <f t="shared" si="1"/>
        <v>-</v>
      </c>
      <c r="E96" s="9" t="s">
        <v>11</v>
      </c>
      <c r="F96" s="10"/>
      <c r="G96" s="9"/>
      <c r="H96" s="11"/>
      <c r="I96" s="9" t="s">
        <v>13</v>
      </c>
      <c r="J96" s="35"/>
    </row>
    <row r="97">
      <c r="A97" s="34" t="s">
        <v>204</v>
      </c>
      <c r="B97" s="11"/>
      <c r="C97" s="8" t="s">
        <v>11</v>
      </c>
      <c r="D97" s="8" t="str">
        <f t="shared" si="1"/>
        <v>-</v>
      </c>
      <c r="E97" s="9" t="s">
        <v>11</v>
      </c>
      <c r="F97" s="10"/>
      <c r="G97" s="9"/>
      <c r="H97" s="11"/>
      <c r="I97" s="9" t="s">
        <v>13</v>
      </c>
      <c r="J97" s="35"/>
    </row>
    <row r="98">
      <c r="A98" s="34" t="s">
        <v>204</v>
      </c>
      <c r="B98" s="11"/>
      <c r="C98" s="8" t="s">
        <v>11</v>
      </c>
      <c r="D98" s="8" t="str">
        <f t="shared" si="1"/>
        <v>-</v>
      </c>
      <c r="E98" s="9" t="s">
        <v>11</v>
      </c>
      <c r="F98" s="10"/>
      <c r="G98" s="9"/>
      <c r="H98" s="11"/>
      <c r="I98" s="9" t="s">
        <v>13</v>
      </c>
      <c r="J98" s="35"/>
    </row>
    <row r="99">
      <c r="A99" s="34" t="s">
        <v>204</v>
      </c>
      <c r="B99" s="11"/>
      <c r="C99" s="8" t="s">
        <v>11</v>
      </c>
      <c r="D99" s="8" t="str">
        <f t="shared" si="1"/>
        <v>-</v>
      </c>
      <c r="E99" s="9" t="s">
        <v>11</v>
      </c>
      <c r="F99" s="10"/>
      <c r="G99" s="9"/>
      <c r="H99" s="11"/>
      <c r="I99" s="9" t="s">
        <v>13</v>
      </c>
      <c r="J99" s="35"/>
    </row>
    <row r="100">
      <c r="A100" s="34" t="s">
        <v>204</v>
      </c>
      <c r="B100" s="11"/>
      <c r="C100" s="8" t="s">
        <v>11</v>
      </c>
      <c r="D100" s="8" t="str">
        <f t="shared" si="1"/>
        <v>-</v>
      </c>
      <c r="E100" s="9" t="s">
        <v>11</v>
      </c>
      <c r="F100" s="10"/>
      <c r="G100" s="9"/>
      <c r="H100" s="11"/>
      <c r="I100" s="9" t="s">
        <v>13</v>
      </c>
      <c r="J100" s="35"/>
    </row>
    <row r="101">
      <c r="A101" s="34" t="s">
        <v>204</v>
      </c>
      <c r="B101" s="11"/>
      <c r="C101" s="8" t="s">
        <v>11</v>
      </c>
      <c r="D101" s="8" t="str">
        <f t="shared" si="1"/>
        <v>-</v>
      </c>
      <c r="E101" s="9" t="s">
        <v>11</v>
      </c>
      <c r="F101" s="10"/>
      <c r="G101" s="9"/>
      <c r="H101" s="11"/>
      <c r="I101" s="9" t="s">
        <v>13</v>
      </c>
      <c r="J101" s="35"/>
    </row>
    <row r="102">
      <c r="A102" s="34" t="s">
        <v>204</v>
      </c>
      <c r="B102" s="11"/>
      <c r="C102" s="8" t="s">
        <v>11</v>
      </c>
      <c r="D102" s="8" t="str">
        <f t="shared" si="1"/>
        <v>-</v>
      </c>
      <c r="E102" s="9" t="s">
        <v>11</v>
      </c>
      <c r="F102" s="10"/>
      <c r="G102" s="9"/>
      <c r="H102" s="11"/>
      <c r="I102" s="9" t="s">
        <v>13</v>
      </c>
      <c r="J102" s="35"/>
    </row>
    <row r="103">
      <c r="A103" s="34" t="s">
        <v>204</v>
      </c>
      <c r="B103" s="11"/>
      <c r="C103" s="8" t="s">
        <v>11</v>
      </c>
      <c r="D103" s="8" t="str">
        <f t="shared" si="1"/>
        <v>-</v>
      </c>
      <c r="E103" s="9" t="s">
        <v>11</v>
      </c>
      <c r="F103" s="10"/>
      <c r="G103" s="9"/>
      <c r="H103" s="11"/>
      <c r="I103" s="9" t="s">
        <v>13</v>
      </c>
      <c r="J103" s="35"/>
    </row>
    <row r="104">
      <c r="A104" s="34" t="s">
        <v>204</v>
      </c>
      <c r="B104" s="11"/>
      <c r="C104" s="8" t="s">
        <v>11</v>
      </c>
      <c r="D104" s="8" t="str">
        <f t="shared" si="1"/>
        <v>-</v>
      </c>
      <c r="E104" s="9" t="s">
        <v>11</v>
      </c>
      <c r="F104" s="10"/>
      <c r="G104" s="9"/>
      <c r="H104" s="11"/>
      <c r="I104" s="9" t="s">
        <v>13</v>
      </c>
      <c r="J104" s="35"/>
    </row>
    <row r="105">
      <c r="A105" s="34" t="s">
        <v>204</v>
      </c>
      <c r="B105" s="11"/>
      <c r="C105" s="8" t="s">
        <v>11</v>
      </c>
      <c r="D105" s="8" t="str">
        <f t="shared" si="1"/>
        <v>-</v>
      </c>
      <c r="E105" s="9" t="s">
        <v>11</v>
      </c>
      <c r="F105" s="10"/>
      <c r="G105" s="9"/>
      <c r="H105" s="11"/>
      <c r="I105" s="9" t="s">
        <v>13</v>
      </c>
      <c r="J105" s="35"/>
    </row>
    <row r="106">
      <c r="A106" s="34" t="s">
        <v>204</v>
      </c>
      <c r="B106" s="11"/>
      <c r="C106" s="8" t="s">
        <v>11</v>
      </c>
      <c r="D106" s="8" t="str">
        <f t="shared" si="1"/>
        <v>-</v>
      </c>
      <c r="E106" s="9" t="s">
        <v>11</v>
      </c>
      <c r="F106" s="10"/>
      <c r="G106" s="9"/>
      <c r="H106" s="11"/>
      <c r="I106" s="9" t="s">
        <v>13</v>
      </c>
      <c r="J106" s="35"/>
    </row>
    <row r="107">
      <c r="A107" s="34" t="s">
        <v>204</v>
      </c>
      <c r="B107" s="11"/>
      <c r="C107" s="8" t="s">
        <v>11</v>
      </c>
      <c r="D107" s="8" t="str">
        <f t="shared" si="1"/>
        <v>-</v>
      </c>
      <c r="E107" s="9" t="s">
        <v>11</v>
      </c>
      <c r="F107" s="10"/>
      <c r="G107" s="9"/>
      <c r="H107" s="11"/>
      <c r="I107" s="9" t="s">
        <v>13</v>
      </c>
      <c r="J107" s="35"/>
    </row>
    <row r="108">
      <c r="A108" s="34" t="s">
        <v>204</v>
      </c>
      <c r="B108" s="11"/>
      <c r="C108" s="8" t="s">
        <v>11</v>
      </c>
      <c r="D108" s="8" t="str">
        <f t="shared" si="1"/>
        <v>-</v>
      </c>
      <c r="E108" s="9" t="s">
        <v>11</v>
      </c>
      <c r="F108" s="10"/>
      <c r="G108" s="9"/>
      <c r="H108" s="11"/>
      <c r="I108" s="9" t="s">
        <v>13</v>
      </c>
      <c r="J108" s="35"/>
    </row>
    <row r="109">
      <c r="A109" s="34" t="s">
        <v>204</v>
      </c>
      <c r="B109" s="11"/>
      <c r="C109" s="8" t="s">
        <v>11</v>
      </c>
      <c r="D109" s="8" t="str">
        <f t="shared" si="1"/>
        <v>-</v>
      </c>
      <c r="E109" s="9" t="s">
        <v>11</v>
      </c>
      <c r="F109" s="10"/>
      <c r="G109" s="9"/>
      <c r="H109" s="11"/>
      <c r="I109" s="9" t="s">
        <v>13</v>
      </c>
      <c r="J109" s="35"/>
    </row>
    <row r="110">
      <c r="A110" s="34" t="s">
        <v>204</v>
      </c>
      <c r="B110" s="11"/>
      <c r="C110" s="8" t="s">
        <v>11</v>
      </c>
      <c r="D110" s="8" t="str">
        <f t="shared" si="1"/>
        <v>-</v>
      </c>
      <c r="E110" s="9" t="s">
        <v>11</v>
      </c>
      <c r="F110" s="10"/>
      <c r="G110" s="9"/>
      <c r="H110" s="11"/>
      <c r="I110" s="9" t="s">
        <v>13</v>
      </c>
      <c r="J110" s="35"/>
    </row>
    <row r="111">
      <c r="A111" s="34" t="s">
        <v>204</v>
      </c>
      <c r="B111" s="11"/>
      <c r="C111" s="8" t="s">
        <v>11</v>
      </c>
      <c r="D111" s="8" t="str">
        <f t="shared" si="1"/>
        <v>-</v>
      </c>
      <c r="E111" s="9" t="s">
        <v>11</v>
      </c>
      <c r="F111" s="10"/>
      <c r="G111" s="9"/>
      <c r="H111" s="11"/>
      <c r="I111" s="9" t="s">
        <v>13</v>
      </c>
      <c r="J111" s="35"/>
    </row>
    <row r="112">
      <c r="A112" s="34" t="s">
        <v>204</v>
      </c>
      <c r="B112" s="11"/>
      <c r="C112" s="8" t="s">
        <v>11</v>
      </c>
      <c r="D112" s="8" t="str">
        <f t="shared" si="1"/>
        <v>-</v>
      </c>
      <c r="E112" s="9" t="s">
        <v>11</v>
      </c>
      <c r="F112" s="10"/>
      <c r="G112" s="9"/>
      <c r="H112" s="11"/>
      <c r="I112" s="9" t="s">
        <v>13</v>
      </c>
      <c r="J112" s="35"/>
    </row>
    <row r="113">
      <c r="A113" s="34" t="s">
        <v>204</v>
      </c>
      <c r="B113" s="11"/>
      <c r="C113" s="8" t="s">
        <v>11</v>
      </c>
      <c r="D113" s="8" t="str">
        <f t="shared" si="1"/>
        <v>-</v>
      </c>
      <c r="E113" s="9" t="s">
        <v>11</v>
      </c>
      <c r="F113" s="10"/>
      <c r="G113" s="9"/>
      <c r="H113" s="11"/>
      <c r="I113" s="9" t="s">
        <v>13</v>
      </c>
      <c r="J113" s="35"/>
    </row>
    <row r="114">
      <c r="A114" s="34" t="s">
        <v>204</v>
      </c>
      <c r="B114" s="11"/>
      <c r="C114" s="8" t="s">
        <v>11</v>
      </c>
      <c r="D114" s="8" t="str">
        <f t="shared" si="1"/>
        <v>-</v>
      </c>
      <c r="E114" s="9" t="s">
        <v>11</v>
      </c>
      <c r="F114" s="10"/>
      <c r="G114" s="9"/>
      <c r="H114" s="11"/>
      <c r="I114" s="9" t="s">
        <v>13</v>
      </c>
      <c r="J114" s="35"/>
    </row>
    <row r="115">
      <c r="A115" s="34" t="s">
        <v>204</v>
      </c>
      <c r="B115" s="11"/>
      <c r="C115" s="8" t="s">
        <v>11</v>
      </c>
      <c r="D115" s="8" t="str">
        <f t="shared" si="1"/>
        <v>-</v>
      </c>
      <c r="E115" s="9" t="s">
        <v>11</v>
      </c>
      <c r="F115" s="10"/>
      <c r="G115" s="9"/>
      <c r="H115" s="11"/>
      <c r="I115" s="9" t="s">
        <v>13</v>
      </c>
      <c r="J115" s="35"/>
    </row>
    <row r="116">
      <c r="A116" s="34" t="s">
        <v>204</v>
      </c>
      <c r="B116" s="11"/>
      <c r="C116" s="8" t="s">
        <v>11</v>
      </c>
      <c r="D116" s="8" t="str">
        <f t="shared" si="1"/>
        <v>-</v>
      </c>
      <c r="E116" s="9" t="s">
        <v>11</v>
      </c>
      <c r="F116" s="10"/>
      <c r="G116" s="9"/>
      <c r="H116" s="11"/>
      <c r="I116" s="9" t="s">
        <v>13</v>
      </c>
      <c r="J116" s="35"/>
    </row>
    <row r="117">
      <c r="A117" s="34" t="s">
        <v>204</v>
      </c>
      <c r="B117" s="11"/>
      <c r="C117" s="8" t="s">
        <v>11</v>
      </c>
      <c r="D117" s="8" t="str">
        <f t="shared" si="1"/>
        <v>-</v>
      </c>
      <c r="E117" s="9" t="s">
        <v>11</v>
      </c>
      <c r="F117" s="10"/>
      <c r="G117" s="9"/>
      <c r="H117" s="11"/>
      <c r="I117" s="9" t="s">
        <v>13</v>
      </c>
      <c r="J117" s="35"/>
    </row>
    <row r="118">
      <c r="A118" s="34" t="s">
        <v>204</v>
      </c>
      <c r="B118" s="11"/>
      <c r="C118" s="8" t="s">
        <v>11</v>
      </c>
      <c r="D118" s="8" t="str">
        <f t="shared" si="1"/>
        <v>-</v>
      </c>
      <c r="E118" s="9" t="s">
        <v>11</v>
      </c>
      <c r="F118" s="10"/>
      <c r="G118" s="9"/>
      <c r="H118" s="11"/>
      <c r="I118" s="9" t="s">
        <v>13</v>
      </c>
      <c r="J118" s="35"/>
    </row>
    <row r="119">
      <c r="A119" s="34" t="s">
        <v>204</v>
      </c>
      <c r="B119" s="11"/>
      <c r="C119" s="8" t="s">
        <v>11</v>
      </c>
      <c r="D119" s="8" t="str">
        <f t="shared" si="1"/>
        <v>-</v>
      </c>
      <c r="E119" s="9" t="s">
        <v>11</v>
      </c>
      <c r="F119" s="10"/>
      <c r="G119" s="9"/>
      <c r="H119" s="11"/>
      <c r="I119" s="9" t="s">
        <v>13</v>
      </c>
      <c r="J119" s="35"/>
    </row>
    <row r="120">
      <c r="A120" s="34" t="s">
        <v>204</v>
      </c>
      <c r="B120" s="11"/>
      <c r="C120" s="8" t="s">
        <v>11</v>
      </c>
      <c r="D120" s="8" t="str">
        <f t="shared" si="1"/>
        <v>-</v>
      </c>
      <c r="E120" s="9" t="s">
        <v>11</v>
      </c>
      <c r="F120" s="10"/>
      <c r="G120" s="9"/>
      <c r="H120" s="11"/>
      <c r="I120" s="9" t="s">
        <v>13</v>
      </c>
      <c r="J120" s="35"/>
    </row>
    <row r="121">
      <c r="A121" s="34" t="s">
        <v>204</v>
      </c>
      <c r="B121" s="11"/>
      <c r="C121" s="8" t="s">
        <v>11</v>
      </c>
      <c r="D121" s="8" t="str">
        <f t="shared" si="1"/>
        <v>-</v>
      </c>
      <c r="E121" s="9" t="s">
        <v>11</v>
      </c>
      <c r="F121" s="10"/>
      <c r="G121" s="9"/>
      <c r="H121" s="11"/>
      <c r="I121" s="9" t="s">
        <v>13</v>
      </c>
      <c r="J121" s="35"/>
    </row>
    <row r="122">
      <c r="A122" s="34" t="s">
        <v>204</v>
      </c>
      <c r="B122" s="11"/>
      <c r="C122" s="8" t="s">
        <v>11</v>
      </c>
      <c r="D122" s="8" t="str">
        <f t="shared" si="1"/>
        <v>-</v>
      </c>
      <c r="E122" s="9" t="s">
        <v>11</v>
      </c>
      <c r="F122" s="10"/>
      <c r="G122" s="9"/>
      <c r="H122" s="11"/>
      <c r="I122" s="9" t="s">
        <v>13</v>
      </c>
      <c r="J122" s="35"/>
    </row>
    <row r="123">
      <c r="A123" s="34" t="s">
        <v>204</v>
      </c>
      <c r="B123" s="11"/>
      <c r="C123" s="8" t="s">
        <v>11</v>
      </c>
      <c r="D123" s="8" t="str">
        <f t="shared" si="1"/>
        <v>-</v>
      </c>
      <c r="E123" s="9" t="s">
        <v>11</v>
      </c>
      <c r="F123" s="10"/>
      <c r="G123" s="9"/>
      <c r="H123" s="11"/>
      <c r="I123" s="9" t="s">
        <v>13</v>
      </c>
      <c r="J123" s="35"/>
    </row>
    <row r="124">
      <c r="A124" s="34" t="s">
        <v>204</v>
      </c>
      <c r="B124" s="11"/>
      <c r="C124" s="8" t="s">
        <v>11</v>
      </c>
      <c r="D124" s="8" t="str">
        <f t="shared" si="1"/>
        <v>-</v>
      </c>
      <c r="E124" s="9" t="s">
        <v>11</v>
      </c>
      <c r="F124" s="10"/>
      <c r="G124" s="9"/>
      <c r="H124" s="11"/>
      <c r="I124" s="9" t="s">
        <v>13</v>
      </c>
      <c r="J124" s="35"/>
    </row>
    <row r="125">
      <c r="A125" s="34" t="s">
        <v>204</v>
      </c>
      <c r="B125" s="11"/>
      <c r="C125" s="8" t="s">
        <v>11</v>
      </c>
      <c r="D125" s="8" t="str">
        <f t="shared" si="1"/>
        <v>-</v>
      </c>
      <c r="E125" s="9" t="s">
        <v>11</v>
      </c>
      <c r="F125" s="10"/>
      <c r="G125" s="9"/>
      <c r="H125" s="11"/>
      <c r="I125" s="9" t="s">
        <v>13</v>
      </c>
      <c r="J125" s="35"/>
    </row>
    <row r="126">
      <c r="A126" s="34" t="s">
        <v>204</v>
      </c>
      <c r="B126" s="11"/>
      <c r="C126" s="8" t="s">
        <v>11</v>
      </c>
      <c r="D126" s="8" t="str">
        <f t="shared" si="1"/>
        <v>-</v>
      </c>
      <c r="E126" s="9" t="s">
        <v>11</v>
      </c>
      <c r="F126" s="10"/>
      <c r="G126" s="9"/>
      <c r="H126" s="11"/>
      <c r="I126" s="9" t="s">
        <v>13</v>
      </c>
      <c r="J126" s="35"/>
    </row>
    <row r="127">
      <c r="A127" s="34" t="s">
        <v>204</v>
      </c>
      <c r="B127" s="11"/>
      <c r="C127" s="8" t="s">
        <v>11</v>
      </c>
      <c r="D127" s="8" t="str">
        <f t="shared" si="1"/>
        <v>-</v>
      </c>
      <c r="E127" s="9" t="s">
        <v>11</v>
      </c>
      <c r="F127" s="10"/>
      <c r="G127" s="9"/>
      <c r="H127" s="11"/>
      <c r="I127" s="9" t="s">
        <v>13</v>
      </c>
      <c r="J127" s="35"/>
    </row>
    <row r="128">
      <c r="A128" s="34" t="s">
        <v>204</v>
      </c>
      <c r="B128" s="11"/>
      <c r="C128" s="8" t="s">
        <v>11</v>
      </c>
      <c r="D128" s="8" t="str">
        <f t="shared" si="1"/>
        <v>-</v>
      </c>
      <c r="E128" s="9" t="s">
        <v>11</v>
      </c>
      <c r="F128" s="10"/>
      <c r="G128" s="9"/>
      <c r="H128" s="11"/>
      <c r="I128" s="9" t="s">
        <v>13</v>
      </c>
      <c r="J128" s="35"/>
    </row>
    <row r="129">
      <c r="A129" s="34" t="s">
        <v>204</v>
      </c>
      <c r="B129" s="11"/>
      <c r="C129" s="8" t="s">
        <v>11</v>
      </c>
      <c r="D129" s="8" t="str">
        <f t="shared" si="1"/>
        <v>-</v>
      </c>
      <c r="E129" s="9" t="s">
        <v>11</v>
      </c>
      <c r="F129" s="10"/>
      <c r="G129" s="9"/>
      <c r="H129" s="11"/>
      <c r="I129" s="9" t="s">
        <v>13</v>
      </c>
      <c r="J129" s="35"/>
    </row>
    <row r="130">
      <c r="A130" s="34" t="s">
        <v>204</v>
      </c>
      <c r="B130" s="11"/>
      <c r="C130" s="8" t="s">
        <v>11</v>
      </c>
      <c r="D130" s="8" t="str">
        <f t="shared" si="1"/>
        <v>-</v>
      </c>
      <c r="E130" s="9" t="s">
        <v>11</v>
      </c>
      <c r="F130" s="10"/>
      <c r="G130" s="9"/>
      <c r="H130" s="11"/>
      <c r="I130" s="9" t="s">
        <v>13</v>
      </c>
      <c r="J130" s="35"/>
    </row>
    <row r="131">
      <c r="A131" s="34" t="s">
        <v>204</v>
      </c>
      <c r="B131" s="11"/>
      <c r="C131" s="8" t="s">
        <v>11</v>
      </c>
      <c r="D131" s="8" t="str">
        <f t="shared" si="1"/>
        <v>-</v>
      </c>
      <c r="E131" s="9" t="s">
        <v>11</v>
      </c>
      <c r="F131" s="10"/>
      <c r="G131" s="9"/>
      <c r="H131" s="11"/>
      <c r="I131" s="9" t="s">
        <v>13</v>
      </c>
      <c r="J131" s="35"/>
    </row>
    <row r="132">
      <c r="A132" s="34" t="s">
        <v>204</v>
      </c>
      <c r="B132" s="11"/>
      <c r="C132" s="8" t="s">
        <v>11</v>
      </c>
      <c r="D132" s="8" t="str">
        <f t="shared" si="1"/>
        <v>-</v>
      </c>
      <c r="E132" s="9" t="s">
        <v>11</v>
      </c>
      <c r="F132" s="10"/>
      <c r="G132" s="9"/>
      <c r="H132" s="11"/>
      <c r="I132" s="9" t="s">
        <v>13</v>
      </c>
      <c r="J132" s="35"/>
    </row>
    <row r="133">
      <c r="A133" s="34" t="s">
        <v>204</v>
      </c>
      <c r="B133" s="11"/>
      <c r="C133" s="8" t="s">
        <v>11</v>
      </c>
      <c r="D133" s="8" t="str">
        <f t="shared" si="1"/>
        <v>-</v>
      </c>
      <c r="E133" s="9" t="s">
        <v>11</v>
      </c>
      <c r="F133" s="10"/>
      <c r="G133" s="9"/>
      <c r="H133" s="11"/>
      <c r="I133" s="9" t="s">
        <v>13</v>
      </c>
      <c r="J133" s="35"/>
    </row>
    <row r="134">
      <c r="A134" s="34" t="s">
        <v>204</v>
      </c>
      <c r="B134" s="11"/>
      <c r="C134" s="8" t="s">
        <v>11</v>
      </c>
      <c r="D134" s="8" t="str">
        <f t="shared" si="1"/>
        <v>-</v>
      </c>
      <c r="E134" s="9" t="s">
        <v>11</v>
      </c>
      <c r="F134" s="10"/>
      <c r="G134" s="9"/>
      <c r="H134" s="11"/>
      <c r="I134" s="9" t="s">
        <v>13</v>
      </c>
      <c r="J134" s="35"/>
    </row>
    <row r="135">
      <c r="A135" s="34" t="s">
        <v>204</v>
      </c>
      <c r="B135" s="11"/>
      <c r="C135" s="8" t="s">
        <v>11</v>
      </c>
      <c r="D135" s="8" t="str">
        <f t="shared" si="1"/>
        <v>-</v>
      </c>
      <c r="E135" s="9" t="s">
        <v>11</v>
      </c>
      <c r="F135" s="10"/>
      <c r="G135" s="9"/>
      <c r="H135" s="11"/>
      <c r="I135" s="9" t="s">
        <v>13</v>
      </c>
      <c r="J135" s="35"/>
    </row>
    <row r="136">
      <c r="A136" s="34" t="s">
        <v>204</v>
      </c>
      <c r="B136" s="11"/>
      <c r="C136" s="8" t="s">
        <v>11</v>
      </c>
      <c r="D136" s="8" t="str">
        <f t="shared" si="1"/>
        <v>-</v>
      </c>
      <c r="E136" s="9" t="s">
        <v>11</v>
      </c>
      <c r="F136" s="10"/>
      <c r="G136" s="9"/>
      <c r="H136" s="11"/>
      <c r="I136" s="9" t="s">
        <v>13</v>
      </c>
      <c r="J136" s="35"/>
    </row>
    <row r="137">
      <c r="A137" s="34" t="s">
        <v>204</v>
      </c>
      <c r="B137" s="11"/>
      <c r="C137" s="8" t="s">
        <v>11</v>
      </c>
      <c r="D137" s="8" t="str">
        <f t="shared" si="1"/>
        <v>-</v>
      </c>
      <c r="E137" s="9" t="s">
        <v>11</v>
      </c>
      <c r="F137" s="10"/>
      <c r="G137" s="9"/>
      <c r="H137" s="11"/>
      <c r="I137" s="9" t="s">
        <v>13</v>
      </c>
      <c r="J137" s="35"/>
    </row>
    <row r="138">
      <c r="A138" s="34" t="s">
        <v>204</v>
      </c>
      <c r="B138" s="11"/>
      <c r="C138" s="8" t="s">
        <v>11</v>
      </c>
      <c r="D138" s="8" t="str">
        <f t="shared" si="1"/>
        <v>-</v>
      </c>
      <c r="E138" s="9" t="s">
        <v>11</v>
      </c>
      <c r="F138" s="10"/>
      <c r="G138" s="9"/>
      <c r="H138" s="11"/>
      <c r="I138" s="9" t="s">
        <v>13</v>
      </c>
      <c r="J138" s="35"/>
    </row>
    <row r="139">
      <c r="A139" s="34" t="s">
        <v>204</v>
      </c>
      <c r="B139" s="11"/>
      <c r="C139" s="8"/>
      <c r="D139" s="8"/>
      <c r="E139" s="9"/>
      <c r="F139" s="10"/>
      <c r="G139" s="9"/>
      <c r="H139" s="11"/>
      <c r="I139" s="9"/>
      <c r="J139" s="35"/>
    </row>
    <row r="140">
      <c r="A140" s="34" t="s">
        <v>204</v>
      </c>
      <c r="B140" s="11"/>
      <c r="C140" s="8"/>
      <c r="D140" s="8"/>
      <c r="E140" s="9"/>
      <c r="F140" s="10"/>
      <c r="G140" s="9"/>
      <c r="H140" s="11"/>
      <c r="I140" s="9" t="s">
        <v>13</v>
      </c>
      <c r="J140" s="35"/>
    </row>
    <row r="141">
      <c r="A141" s="34" t="s">
        <v>204</v>
      </c>
      <c r="B141" s="11"/>
      <c r="C141" s="8"/>
      <c r="D141" s="8"/>
      <c r="E141" s="9"/>
      <c r="F141" s="10"/>
      <c r="G141" s="9"/>
      <c r="H141" s="11"/>
      <c r="I141" s="9" t="s">
        <v>13</v>
      </c>
      <c r="J141" s="35"/>
    </row>
    <row r="142">
      <c r="A142" s="34" t="s">
        <v>204</v>
      </c>
      <c r="B142" s="11"/>
      <c r="C142" s="8"/>
      <c r="D142" s="8"/>
      <c r="E142" s="9"/>
      <c r="F142" s="10"/>
      <c r="G142" s="9"/>
      <c r="H142" s="11"/>
      <c r="I142" s="9" t="s">
        <v>13</v>
      </c>
      <c r="J142" s="35"/>
    </row>
    <row r="143">
      <c r="A143" s="34" t="s">
        <v>204</v>
      </c>
      <c r="B143" s="11"/>
      <c r="C143" s="8"/>
      <c r="D143" s="8"/>
      <c r="E143" s="9"/>
      <c r="F143" s="10"/>
      <c r="G143" s="9"/>
      <c r="H143" s="11"/>
      <c r="I143" s="9" t="s">
        <v>13</v>
      </c>
      <c r="J143" s="35"/>
    </row>
    <row r="144">
      <c r="A144" s="34" t="s">
        <v>204</v>
      </c>
      <c r="B144" s="11"/>
      <c r="C144" s="8"/>
      <c r="D144" s="8"/>
      <c r="E144" s="9"/>
      <c r="F144" s="10"/>
      <c r="G144" s="9"/>
      <c r="H144" s="11"/>
      <c r="I144" s="9" t="s">
        <v>13</v>
      </c>
      <c r="J144" s="35"/>
    </row>
    <row r="145">
      <c r="A145" s="34" t="s">
        <v>204</v>
      </c>
      <c r="B145" s="11"/>
      <c r="C145" s="8"/>
      <c r="D145" s="8"/>
      <c r="E145" s="9"/>
      <c r="F145" s="10"/>
      <c r="G145" s="9"/>
      <c r="H145" s="11"/>
      <c r="I145" s="9" t="s">
        <v>13</v>
      </c>
      <c r="J145" s="35"/>
    </row>
    <row r="146">
      <c r="A146" s="34" t="s">
        <v>204</v>
      </c>
      <c r="B146" s="11"/>
      <c r="C146" s="8"/>
      <c r="D146" s="8"/>
      <c r="E146" s="9"/>
      <c r="F146" s="10"/>
      <c r="G146" s="9"/>
      <c r="H146" s="11"/>
      <c r="I146" s="9" t="s">
        <v>13</v>
      </c>
      <c r="J146" s="35"/>
    </row>
    <row r="147">
      <c r="A147" s="34" t="s">
        <v>204</v>
      </c>
      <c r="B147" s="11"/>
      <c r="C147" s="8"/>
      <c r="D147" s="8"/>
      <c r="E147" s="9"/>
      <c r="F147" s="10"/>
      <c r="G147" s="9"/>
      <c r="H147" s="11"/>
      <c r="I147" s="9" t="s">
        <v>13</v>
      </c>
      <c r="J147" s="35"/>
    </row>
    <row r="148">
      <c r="A148" s="34" t="s">
        <v>204</v>
      </c>
      <c r="B148" s="11"/>
      <c r="C148" s="8"/>
      <c r="D148" s="8"/>
      <c r="E148" s="9"/>
      <c r="F148" s="10"/>
      <c r="G148" s="9"/>
      <c r="H148" s="11"/>
      <c r="I148" s="9" t="s">
        <v>13</v>
      </c>
      <c r="J148" s="35"/>
    </row>
    <row r="149">
      <c r="A149" s="34" t="s">
        <v>204</v>
      </c>
      <c r="B149" s="11"/>
      <c r="C149" s="8"/>
      <c r="D149" s="8"/>
      <c r="E149" s="9"/>
      <c r="F149" s="10"/>
      <c r="G149" s="9"/>
      <c r="H149" s="11"/>
      <c r="I149" s="9" t="s">
        <v>13</v>
      </c>
      <c r="J149" s="35"/>
    </row>
    <row r="150">
      <c r="A150" s="34" t="s">
        <v>204</v>
      </c>
      <c r="B150" s="11"/>
      <c r="C150" s="8"/>
      <c r="D150" s="8"/>
      <c r="E150" s="9"/>
      <c r="F150" s="10"/>
      <c r="G150" s="9"/>
      <c r="H150" s="11"/>
      <c r="I150" s="9" t="s">
        <v>13</v>
      </c>
      <c r="J150" s="35"/>
    </row>
    <row r="151">
      <c r="A151" s="34" t="s">
        <v>204</v>
      </c>
      <c r="B151" s="11"/>
      <c r="C151" s="8"/>
      <c r="D151" s="8"/>
      <c r="E151" s="9"/>
      <c r="F151" s="10"/>
      <c r="G151" s="9"/>
      <c r="H151" s="11"/>
      <c r="I151" s="9" t="s">
        <v>13</v>
      </c>
      <c r="J151" s="35"/>
    </row>
    <row r="152">
      <c r="A152" s="34" t="s">
        <v>204</v>
      </c>
      <c r="B152" s="11"/>
      <c r="C152" s="8"/>
      <c r="D152" s="8"/>
      <c r="E152" s="9"/>
      <c r="F152" s="10"/>
      <c r="G152" s="9"/>
      <c r="H152" s="11"/>
      <c r="I152" s="9" t="s">
        <v>13</v>
      </c>
      <c r="J152" s="35"/>
    </row>
    <row r="153">
      <c r="A153" s="34" t="s">
        <v>204</v>
      </c>
      <c r="B153" s="11"/>
      <c r="C153" s="8"/>
      <c r="D153" s="8"/>
      <c r="E153" s="9"/>
      <c r="F153" s="10"/>
      <c r="G153" s="9"/>
      <c r="H153" s="11"/>
      <c r="I153" s="9" t="s">
        <v>13</v>
      </c>
      <c r="J153" s="35"/>
    </row>
    <row r="154">
      <c r="A154" s="34" t="s">
        <v>204</v>
      </c>
      <c r="B154" s="11"/>
      <c r="C154" s="8"/>
      <c r="D154" s="8"/>
      <c r="E154" s="9"/>
      <c r="F154" s="10"/>
      <c r="G154" s="9"/>
      <c r="H154" s="11"/>
      <c r="I154" s="9" t="s">
        <v>13</v>
      </c>
      <c r="J154" s="35"/>
    </row>
    <row r="155">
      <c r="A155" s="34" t="s">
        <v>204</v>
      </c>
      <c r="B155" s="11"/>
      <c r="C155" s="8"/>
      <c r="D155" s="8"/>
      <c r="E155" s="9"/>
      <c r="F155" s="10"/>
      <c r="G155" s="9"/>
      <c r="H155" s="11"/>
      <c r="I155" s="9" t="s">
        <v>13</v>
      </c>
      <c r="J155" s="35"/>
    </row>
    <row r="156">
      <c r="A156" s="34" t="s">
        <v>204</v>
      </c>
      <c r="B156" s="11"/>
      <c r="C156" s="8"/>
      <c r="D156" s="8"/>
      <c r="E156" s="9"/>
      <c r="F156" s="10"/>
      <c r="G156" s="9"/>
      <c r="H156" s="11"/>
      <c r="I156" s="9" t="s">
        <v>13</v>
      </c>
      <c r="J156" s="35"/>
    </row>
    <row r="157">
      <c r="A157" s="34" t="s">
        <v>204</v>
      </c>
      <c r="B157" s="11"/>
      <c r="C157" s="8"/>
      <c r="D157" s="8"/>
      <c r="E157" s="9"/>
      <c r="F157" s="10"/>
      <c r="G157" s="9"/>
      <c r="H157" s="11"/>
      <c r="I157" s="9" t="s">
        <v>13</v>
      </c>
      <c r="J157" s="35"/>
    </row>
    <row r="158">
      <c r="A158" s="34" t="s">
        <v>204</v>
      </c>
      <c r="B158" s="11"/>
      <c r="C158" s="8"/>
      <c r="D158" s="8"/>
      <c r="E158" s="9"/>
      <c r="F158" s="10"/>
      <c r="G158" s="9"/>
      <c r="H158" s="11"/>
      <c r="I158" s="9" t="s">
        <v>13</v>
      </c>
      <c r="J158" s="35"/>
    </row>
    <row r="159">
      <c r="A159" s="34" t="s">
        <v>204</v>
      </c>
      <c r="B159" s="11"/>
      <c r="C159" s="8"/>
      <c r="D159" s="8"/>
      <c r="E159" s="9"/>
      <c r="F159" s="10"/>
      <c r="G159" s="9"/>
      <c r="H159" s="11"/>
      <c r="I159" s="9" t="s">
        <v>13</v>
      </c>
      <c r="J159" s="35"/>
    </row>
    <row r="160">
      <c r="A160" s="34" t="s">
        <v>204</v>
      </c>
      <c r="B160" s="11"/>
      <c r="C160" s="8"/>
      <c r="D160" s="8"/>
      <c r="E160" s="9"/>
      <c r="F160" s="10"/>
      <c r="G160" s="9"/>
      <c r="H160" s="11"/>
      <c r="I160" s="9" t="s">
        <v>13</v>
      </c>
      <c r="J160" s="35"/>
    </row>
    <row r="161">
      <c r="A161" s="34" t="s">
        <v>204</v>
      </c>
      <c r="B161" s="11"/>
      <c r="C161" s="8"/>
      <c r="D161" s="8"/>
      <c r="E161" s="9"/>
      <c r="F161" s="10"/>
      <c r="G161" s="9"/>
      <c r="H161" s="11"/>
      <c r="I161" s="9" t="s">
        <v>13</v>
      </c>
      <c r="J161" s="35"/>
    </row>
    <row r="162">
      <c r="A162" s="34" t="s">
        <v>204</v>
      </c>
      <c r="B162" s="11"/>
      <c r="C162" s="8"/>
      <c r="D162" s="8"/>
      <c r="E162" s="9"/>
      <c r="F162" s="10"/>
      <c r="G162" s="9"/>
      <c r="H162" s="11"/>
      <c r="I162" s="9" t="s">
        <v>13</v>
      </c>
      <c r="J162" s="35"/>
    </row>
    <row r="163">
      <c r="A163" s="34" t="s">
        <v>204</v>
      </c>
      <c r="B163" s="11"/>
      <c r="C163" s="8"/>
      <c r="D163" s="8"/>
      <c r="E163" s="9"/>
      <c r="F163" s="10"/>
      <c r="G163" s="9"/>
      <c r="H163" s="11"/>
      <c r="I163" s="9" t="s">
        <v>13</v>
      </c>
      <c r="J163" s="35"/>
    </row>
    <row r="164">
      <c r="A164" s="34" t="s">
        <v>204</v>
      </c>
      <c r="B164" s="11"/>
      <c r="C164" s="8"/>
      <c r="D164" s="8"/>
      <c r="E164" s="9"/>
      <c r="F164" s="10"/>
      <c r="G164" s="9"/>
      <c r="H164" s="11"/>
      <c r="I164" s="9" t="s">
        <v>13</v>
      </c>
      <c r="J164" s="35"/>
    </row>
    <row r="165">
      <c r="A165" s="34" t="s">
        <v>204</v>
      </c>
      <c r="B165" s="11"/>
      <c r="C165" s="8"/>
      <c r="D165" s="8"/>
      <c r="E165" s="9"/>
      <c r="F165" s="10"/>
      <c r="G165" s="9"/>
      <c r="H165" s="11"/>
      <c r="I165" s="9" t="s">
        <v>13</v>
      </c>
      <c r="J165" s="35"/>
    </row>
    <row r="166">
      <c r="A166" s="34" t="s">
        <v>204</v>
      </c>
      <c r="B166" s="11"/>
      <c r="C166" s="8"/>
      <c r="D166" s="8"/>
      <c r="E166" s="9"/>
      <c r="F166" s="10"/>
      <c r="G166" s="9"/>
      <c r="H166" s="11"/>
      <c r="I166" s="9" t="s">
        <v>13</v>
      </c>
      <c r="J166" s="35"/>
    </row>
    <row r="167">
      <c r="A167" s="34" t="s">
        <v>204</v>
      </c>
      <c r="B167" s="11"/>
      <c r="C167" s="8"/>
      <c r="D167" s="8"/>
      <c r="E167" s="9"/>
      <c r="F167" s="10"/>
      <c r="G167" s="9"/>
      <c r="H167" s="11"/>
      <c r="I167" s="9" t="s">
        <v>13</v>
      </c>
      <c r="J167" s="35"/>
    </row>
    <row r="168">
      <c r="A168" s="34" t="s">
        <v>204</v>
      </c>
      <c r="B168" s="11"/>
      <c r="C168" s="8"/>
      <c r="D168" s="8"/>
      <c r="E168" s="9"/>
      <c r="F168" s="10"/>
      <c r="G168" s="9"/>
      <c r="H168" s="11"/>
      <c r="I168" s="9" t="s">
        <v>13</v>
      </c>
      <c r="J168" s="35"/>
    </row>
    <row r="169">
      <c r="A169" s="34" t="s">
        <v>204</v>
      </c>
      <c r="B169" s="11"/>
      <c r="C169" s="8"/>
      <c r="D169" s="8"/>
      <c r="E169" s="9"/>
      <c r="F169" s="10"/>
      <c r="G169" s="9"/>
      <c r="H169" s="11"/>
      <c r="I169" s="9" t="s">
        <v>13</v>
      </c>
      <c r="J169" s="35"/>
    </row>
    <row r="170">
      <c r="A170" s="34" t="s">
        <v>204</v>
      </c>
      <c r="B170" s="11"/>
      <c r="C170" s="8"/>
      <c r="D170" s="8"/>
      <c r="E170" s="9"/>
      <c r="F170" s="10"/>
      <c r="G170" s="9"/>
      <c r="H170" s="11"/>
      <c r="I170" s="9" t="s">
        <v>13</v>
      </c>
      <c r="J170" s="35"/>
    </row>
    <row r="171">
      <c r="A171" s="34" t="s">
        <v>204</v>
      </c>
      <c r="B171" s="11"/>
      <c r="C171" s="8"/>
      <c r="D171" s="8"/>
      <c r="E171" s="9"/>
      <c r="F171" s="10"/>
      <c r="G171" s="9"/>
      <c r="H171" s="11"/>
      <c r="I171" s="9" t="s">
        <v>13</v>
      </c>
      <c r="J171" s="35"/>
    </row>
    <row r="172">
      <c r="A172" s="34" t="s">
        <v>204</v>
      </c>
      <c r="B172" s="11"/>
      <c r="C172" s="8"/>
      <c r="D172" s="8"/>
      <c r="E172" s="9"/>
      <c r="F172" s="10"/>
      <c r="G172" s="9"/>
      <c r="H172" s="11"/>
      <c r="I172" s="9" t="s">
        <v>13</v>
      </c>
      <c r="J172" s="35"/>
    </row>
    <row r="173">
      <c r="A173" s="34" t="s">
        <v>204</v>
      </c>
      <c r="B173" s="11"/>
      <c r="C173" s="8"/>
      <c r="D173" s="8"/>
      <c r="E173" s="9"/>
      <c r="F173" s="10"/>
      <c r="G173" s="9"/>
      <c r="H173" s="11"/>
      <c r="I173" s="9" t="s">
        <v>13</v>
      </c>
      <c r="J173" s="35"/>
    </row>
    <row r="174">
      <c r="A174" s="34" t="s">
        <v>204</v>
      </c>
      <c r="B174" s="11"/>
      <c r="C174" s="8"/>
      <c r="D174" s="8"/>
      <c r="E174" s="9"/>
      <c r="F174" s="10"/>
      <c r="G174" s="9"/>
      <c r="H174" s="11"/>
      <c r="I174" s="9" t="s">
        <v>13</v>
      </c>
      <c r="J174" s="35"/>
    </row>
    <row r="175">
      <c r="A175" s="34" t="s">
        <v>204</v>
      </c>
      <c r="B175" s="11"/>
      <c r="C175" s="8"/>
      <c r="D175" s="8"/>
      <c r="E175" s="9"/>
      <c r="F175" s="10"/>
      <c r="G175" s="9"/>
      <c r="H175" s="11"/>
      <c r="I175" s="9" t="s">
        <v>13</v>
      </c>
      <c r="J175" s="35"/>
    </row>
    <row r="176">
      <c r="A176" s="34" t="s">
        <v>204</v>
      </c>
      <c r="B176" s="11"/>
      <c r="C176" s="8"/>
      <c r="D176" s="8"/>
      <c r="E176" s="9"/>
      <c r="F176" s="10"/>
      <c r="G176" s="9"/>
      <c r="H176" s="11"/>
      <c r="I176" s="9" t="s">
        <v>13</v>
      </c>
      <c r="J176" s="35"/>
    </row>
    <row r="177">
      <c r="A177" s="34" t="s">
        <v>204</v>
      </c>
      <c r="B177" s="11"/>
      <c r="C177" s="8"/>
      <c r="D177" s="8"/>
      <c r="E177" s="9"/>
      <c r="F177" s="10"/>
      <c r="G177" s="9"/>
      <c r="H177" s="11"/>
      <c r="I177" s="9" t="s">
        <v>13</v>
      </c>
      <c r="J177" s="35"/>
    </row>
    <row r="178">
      <c r="A178" s="34" t="s">
        <v>204</v>
      </c>
      <c r="B178" s="11"/>
      <c r="C178" s="8"/>
      <c r="D178" s="8"/>
      <c r="E178" s="9"/>
      <c r="F178" s="10"/>
      <c r="G178" s="9"/>
      <c r="H178" s="11"/>
      <c r="I178" s="9" t="s">
        <v>13</v>
      </c>
      <c r="J178" s="35"/>
    </row>
    <row r="179">
      <c r="A179" s="34" t="s">
        <v>204</v>
      </c>
      <c r="B179" s="11"/>
      <c r="C179" s="8"/>
      <c r="D179" s="8"/>
      <c r="E179" s="9"/>
      <c r="F179" s="10"/>
      <c r="G179" s="9"/>
      <c r="H179" s="11"/>
      <c r="I179" s="9" t="s">
        <v>13</v>
      </c>
      <c r="J179" s="35"/>
    </row>
    <row r="180">
      <c r="A180" s="34" t="s">
        <v>204</v>
      </c>
      <c r="B180" s="11"/>
      <c r="C180" s="8"/>
      <c r="D180" s="8"/>
      <c r="E180" s="9"/>
      <c r="F180" s="10"/>
      <c r="G180" s="9"/>
      <c r="H180" s="11"/>
      <c r="I180" s="9" t="s">
        <v>13</v>
      </c>
      <c r="J180" s="35"/>
    </row>
    <row r="181">
      <c r="A181" s="34" t="s">
        <v>204</v>
      </c>
      <c r="B181" s="11"/>
      <c r="C181" s="8"/>
      <c r="D181" s="8"/>
      <c r="E181" s="9"/>
      <c r="F181" s="10"/>
      <c r="G181" s="9"/>
      <c r="H181" s="11"/>
      <c r="I181" s="9" t="s">
        <v>13</v>
      </c>
      <c r="J181" s="35"/>
    </row>
    <row r="182">
      <c r="A182" s="34" t="s">
        <v>204</v>
      </c>
      <c r="B182" s="11"/>
      <c r="C182" s="8"/>
      <c r="D182" s="8"/>
      <c r="E182" s="9"/>
      <c r="F182" s="10"/>
      <c r="G182" s="9"/>
      <c r="H182" s="11"/>
      <c r="I182" s="9" t="s">
        <v>13</v>
      </c>
      <c r="J182" s="35"/>
    </row>
    <row r="183">
      <c r="A183" s="34" t="s">
        <v>204</v>
      </c>
      <c r="B183" s="11"/>
      <c r="C183" s="8"/>
      <c r="D183" s="8"/>
      <c r="E183" s="9"/>
      <c r="F183" s="10"/>
      <c r="G183" s="9"/>
      <c r="H183" s="11"/>
      <c r="I183" s="9" t="s">
        <v>13</v>
      </c>
      <c r="J183" s="35"/>
    </row>
    <row r="184">
      <c r="A184" s="34" t="s">
        <v>204</v>
      </c>
      <c r="B184" s="11"/>
      <c r="C184" s="8"/>
      <c r="D184" s="8"/>
      <c r="E184" s="9"/>
      <c r="F184" s="10"/>
      <c r="G184" s="9"/>
      <c r="H184" s="11"/>
      <c r="I184" s="9" t="s">
        <v>13</v>
      </c>
      <c r="J184" s="35"/>
    </row>
    <row r="185">
      <c r="A185" s="34" t="s">
        <v>204</v>
      </c>
      <c r="B185" s="11"/>
      <c r="C185" s="8"/>
      <c r="D185" s="8"/>
      <c r="E185" s="9"/>
      <c r="F185" s="10"/>
      <c r="G185" s="9"/>
      <c r="H185" s="11"/>
      <c r="I185" s="9" t="s">
        <v>13</v>
      </c>
      <c r="J185" s="35"/>
    </row>
    <row r="186">
      <c r="A186" s="34" t="s">
        <v>204</v>
      </c>
      <c r="B186" s="11"/>
      <c r="C186" s="8"/>
      <c r="D186" s="8"/>
      <c r="E186" s="9"/>
      <c r="F186" s="10"/>
      <c r="G186" s="9"/>
      <c r="H186" s="11"/>
      <c r="I186" s="9" t="s">
        <v>13</v>
      </c>
      <c r="J186" s="35"/>
    </row>
    <row r="187">
      <c r="A187" s="34" t="s">
        <v>204</v>
      </c>
      <c r="B187" s="11"/>
      <c r="C187" s="8"/>
      <c r="D187" s="8"/>
      <c r="E187" s="9"/>
      <c r="F187" s="10"/>
      <c r="G187" s="9"/>
      <c r="H187" s="11"/>
      <c r="I187" s="9" t="s">
        <v>13</v>
      </c>
      <c r="J187" s="35"/>
    </row>
    <row r="188">
      <c r="A188" s="34" t="s">
        <v>204</v>
      </c>
      <c r="B188" s="11"/>
      <c r="C188" s="8"/>
      <c r="D188" s="8"/>
      <c r="E188" s="9"/>
      <c r="F188" s="10"/>
      <c r="G188" s="9"/>
      <c r="H188" s="11"/>
      <c r="I188" s="9" t="s">
        <v>13</v>
      </c>
      <c r="J188" s="35"/>
    </row>
    <row r="189">
      <c r="A189" s="34" t="s">
        <v>204</v>
      </c>
      <c r="B189" s="11"/>
      <c r="C189" s="8"/>
      <c r="D189" s="8"/>
      <c r="E189" s="9"/>
      <c r="F189" s="10"/>
      <c r="G189" s="9"/>
      <c r="H189" s="11"/>
      <c r="I189" s="9" t="s">
        <v>13</v>
      </c>
      <c r="J189" s="35"/>
    </row>
    <row r="190">
      <c r="A190" s="34" t="s">
        <v>204</v>
      </c>
      <c r="B190" s="11"/>
      <c r="C190" s="8"/>
      <c r="D190" s="8"/>
      <c r="E190" s="9"/>
      <c r="F190" s="10"/>
      <c r="G190" s="9"/>
      <c r="H190" s="11"/>
      <c r="I190" s="9" t="s">
        <v>13</v>
      </c>
      <c r="J190" s="35"/>
    </row>
    <row r="191">
      <c r="A191" s="34" t="s">
        <v>204</v>
      </c>
      <c r="B191" s="11"/>
      <c r="C191" s="8"/>
      <c r="D191" s="8"/>
      <c r="E191" s="9"/>
      <c r="F191" s="10"/>
      <c r="G191" s="9"/>
      <c r="H191" s="11"/>
      <c r="I191" s="9" t="s">
        <v>13</v>
      </c>
      <c r="J191" s="35"/>
    </row>
    <row r="192">
      <c r="A192" s="34" t="s">
        <v>204</v>
      </c>
      <c r="B192" s="11"/>
      <c r="C192" s="8"/>
      <c r="D192" s="8"/>
      <c r="E192" s="9"/>
      <c r="F192" s="10"/>
      <c r="G192" s="9"/>
      <c r="H192" s="11"/>
      <c r="I192" s="9" t="s">
        <v>13</v>
      </c>
      <c r="J192" s="35"/>
    </row>
    <row r="193">
      <c r="A193" s="34" t="s">
        <v>204</v>
      </c>
      <c r="B193" s="11"/>
      <c r="C193" s="8"/>
      <c r="D193" s="8"/>
      <c r="E193" s="9"/>
      <c r="F193" s="10"/>
      <c r="G193" s="9"/>
      <c r="H193" s="11"/>
      <c r="I193" s="9" t="s">
        <v>13</v>
      </c>
      <c r="J193" s="35"/>
    </row>
    <row r="194">
      <c r="A194" s="34" t="s">
        <v>204</v>
      </c>
      <c r="B194" s="11"/>
      <c r="C194" s="8"/>
      <c r="D194" s="8"/>
      <c r="E194" s="9"/>
      <c r="F194" s="10"/>
      <c r="G194" s="9"/>
      <c r="H194" s="11"/>
      <c r="I194" s="9" t="s">
        <v>13</v>
      </c>
      <c r="J194" s="35"/>
    </row>
    <row r="195">
      <c r="A195" s="34" t="s">
        <v>204</v>
      </c>
      <c r="B195" s="11"/>
      <c r="C195" s="8"/>
      <c r="D195" s="8"/>
      <c r="E195" s="9"/>
      <c r="F195" s="10"/>
      <c r="G195" s="9"/>
      <c r="H195" s="11"/>
      <c r="I195" s="9" t="s">
        <v>13</v>
      </c>
      <c r="J195" s="35"/>
    </row>
    <row r="196">
      <c r="A196" s="34" t="s">
        <v>204</v>
      </c>
      <c r="B196" s="11"/>
      <c r="C196" s="8"/>
      <c r="D196" s="8"/>
      <c r="E196" s="9"/>
      <c r="F196" s="10"/>
      <c r="G196" s="9"/>
      <c r="H196" s="11"/>
      <c r="I196" s="9" t="s">
        <v>13</v>
      </c>
      <c r="J196" s="35"/>
    </row>
    <row r="197">
      <c r="A197" s="34" t="s">
        <v>204</v>
      </c>
      <c r="B197" s="11"/>
      <c r="C197" s="8"/>
      <c r="D197" s="8"/>
      <c r="E197" s="9"/>
      <c r="F197" s="10"/>
      <c r="G197" s="9"/>
      <c r="H197" s="11"/>
      <c r="I197" s="9" t="s">
        <v>13</v>
      </c>
      <c r="J197" s="35"/>
    </row>
    <row r="198">
      <c r="A198" s="34" t="s">
        <v>204</v>
      </c>
      <c r="B198" s="11"/>
      <c r="C198" s="8"/>
      <c r="D198" s="8"/>
      <c r="E198" s="9"/>
      <c r="F198" s="10"/>
      <c r="G198" s="9"/>
      <c r="H198" s="11"/>
      <c r="I198" s="9" t="s">
        <v>13</v>
      </c>
      <c r="J198" s="35"/>
    </row>
    <row r="199">
      <c r="A199" s="34" t="s">
        <v>204</v>
      </c>
      <c r="B199" s="11"/>
      <c r="C199" s="8"/>
      <c r="D199" s="8"/>
      <c r="E199" s="9"/>
      <c r="F199" s="10"/>
      <c r="G199" s="9"/>
      <c r="H199" s="11"/>
      <c r="I199" s="9" t="s">
        <v>13</v>
      </c>
      <c r="J199" s="35"/>
    </row>
    <row r="200">
      <c r="A200" s="34" t="s">
        <v>204</v>
      </c>
      <c r="B200" s="11"/>
      <c r="C200" s="8"/>
      <c r="D200" s="8"/>
      <c r="E200" s="9"/>
      <c r="F200" s="10"/>
      <c r="G200" s="9"/>
      <c r="H200" s="11"/>
      <c r="I200" s="9" t="s">
        <v>13</v>
      </c>
      <c r="J200" s="35"/>
    </row>
    <row r="201">
      <c r="A201" s="34" t="s">
        <v>204</v>
      </c>
      <c r="B201" s="11"/>
      <c r="C201" s="8"/>
      <c r="D201" s="8"/>
      <c r="E201" s="9"/>
      <c r="F201" s="10"/>
      <c r="G201" s="9"/>
      <c r="H201" s="11"/>
      <c r="I201" s="9" t="s">
        <v>13</v>
      </c>
      <c r="J201" s="35"/>
    </row>
    <row r="202">
      <c r="A202" s="34" t="s">
        <v>204</v>
      </c>
      <c r="B202" s="11"/>
      <c r="C202" s="8"/>
      <c r="D202" s="8"/>
      <c r="E202" s="9"/>
      <c r="F202" s="10"/>
      <c r="G202" s="9"/>
      <c r="H202" s="11"/>
      <c r="I202" s="9" t="s">
        <v>13</v>
      </c>
      <c r="J202" s="35"/>
    </row>
    <row r="203">
      <c r="A203" s="34" t="s">
        <v>204</v>
      </c>
      <c r="B203" s="11"/>
      <c r="C203" s="8"/>
      <c r="D203" s="8"/>
      <c r="E203" s="9"/>
      <c r="F203" s="10"/>
      <c r="G203" s="9"/>
      <c r="H203" s="11"/>
      <c r="I203" s="9" t="s">
        <v>13</v>
      </c>
      <c r="J203" s="35"/>
    </row>
    <row r="204">
      <c r="A204" s="34" t="s">
        <v>204</v>
      </c>
      <c r="B204" s="11"/>
      <c r="C204" s="8"/>
      <c r="D204" s="8"/>
      <c r="E204" s="9"/>
      <c r="F204" s="10"/>
      <c r="G204" s="9"/>
      <c r="H204" s="11"/>
      <c r="I204" s="9" t="s">
        <v>13</v>
      </c>
      <c r="J204" s="35"/>
    </row>
    <row r="205">
      <c r="A205" s="34" t="s">
        <v>204</v>
      </c>
      <c r="B205" s="11"/>
      <c r="C205" s="8"/>
      <c r="D205" s="8"/>
      <c r="E205" s="9"/>
      <c r="F205" s="10"/>
      <c r="G205" s="9"/>
      <c r="H205" s="11"/>
      <c r="I205" s="9" t="s">
        <v>13</v>
      </c>
      <c r="J205" s="35"/>
    </row>
    <row r="206">
      <c r="A206" s="34" t="s">
        <v>204</v>
      </c>
      <c r="B206" s="11"/>
      <c r="C206" s="8"/>
      <c r="D206" s="8"/>
      <c r="E206" s="9"/>
      <c r="F206" s="10"/>
      <c r="G206" s="9"/>
      <c r="H206" s="11"/>
      <c r="I206" s="9" t="s">
        <v>13</v>
      </c>
      <c r="J206" s="35"/>
    </row>
    <row r="207">
      <c r="A207" s="34" t="s">
        <v>204</v>
      </c>
      <c r="B207" s="11"/>
      <c r="C207" s="8"/>
      <c r="D207" s="8"/>
      <c r="E207" s="9"/>
      <c r="F207" s="10"/>
      <c r="G207" s="9"/>
      <c r="H207" s="11"/>
      <c r="I207" s="9" t="s">
        <v>13</v>
      </c>
      <c r="J207" s="35"/>
    </row>
    <row r="208">
      <c r="A208" s="34" t="s">
        <v>204</v>
      </c>
      <c r="B208" s="11"/>
      <c r="C208" s="8"/>
      <c r="D208" s="8"/>
      <c r="E208" s="9"/>
      <c r="F208" s="10"/>
      <c r="G208" s="9"/>
      <c r="H208" s="11"/>
      <c r="I208" s="9" t="s">
        <v>13</v>
      </c>
      <c r="J208" s="35"/>
    </row>
    <row r="209">
      <c r="A209" s="34" t="s">
        <v>204</v>
      </c>
      <c r="B209" s="11"/>
      <c r="C209" s="8"/>
      <c r="D209" s="8"/>
      <c r="E209" s="9"/>
      <c r="F209" s="10"/>
      <c r="G209" s="9"/>
      <c r="H209" s="11"/>
      <c r="I209" s="9" t="s">
        <v>13</v>
      </c>
      <c r="J209" s="35"/>
    </row>
    <row r="210">
      <c r="A210" s="34" t="s">
        <v>204</v>
      </c>
      <c r="B210" s="11"/>
      <c r="C210" s="8"/>
      <c r="D210" s="8"/>
      <c r="E210" s="9"/>
      <c r="F210" s="10"/>
      <c r="G210" s="9"/>
      <c r="H210" s="11"/>
      <c r="I210" s="9" t="s">
        <v>13</v>
      </c>
      <c r="J210" s="35"/>
    </row>
    <row r="211">
      <c r="A211" s="34" t="s">
        <v>204</v>
      </c>
      <c r="B211" s="11"/>
      <c r="C211" s="8"/>
      <c r="D211" s="8"/>
      <c r="E211" s="9"/>
      <c r="F211" s="10"/>
      <c r="G211" s="9"/>
      <c r="H211" s="11"/>
      <c r="I211" s="9" t="s">
        <v>13</v>
      </c>
      <c r="J211" s="35"/>
    </row>
    <row r="212">
      <c r="A212" s="34" t="s">
        <v>204</v>
      </c>
      <c r="B212" s="11"/>
      <c r="C212" s="8"/>
      <c r="D212" s="8"/>
      <c r="E212" s="9"/>
      <c r="F212" s="10"/>
      <c r="G212" s="9"/>
      <c r="H212" s="11"/>
      <c r="I212" s="9" t="s">
        <v>13</v>
      </c>
      <c r="J212" s="35"/>
    </row>
    <row r="213">
      <c r="A213" s="34" t="s">
        <v>204</v>
      </c>
      <c r="B213" s="11"/>
      <c r="C213" s="8"/>
      <c r="D213" s="8"/>
      <c r="E213" s="9"/>
      <c r="F213" s="10"/>
      <c r="G213" s="9"/>
      <c r="H213" s="11"/>
      <c r="I213" s="9" t="s">
        <v>13</v>
      </c>
      <c r="J213" s="35"/>
    </row>
    <row r="214">
      <c r="A214" s="34" t="s">
        <v>204</v>
      </c>
      <c r="B214" s="11"/>
      <c r="C214" s="8"/>
      <c r="D214" s="8"/>
      <c r="E214" s="9"/>
      <c r="F214" s="10"/>
      <c r="G214" s="9"/>
      <c r="H214" s="11"/>
      <c r="I214" s="9" t="s">
        <v>13</v>
      </c>
      <c r="J214" s="35"/>
    </row>
    <row r="215">
      <c r="A215" s="34" t="s">
        <v>204</v>
      </c>
      <c r="B215" s="11"/>
      <c r="C215" s="8"/>
      <c r="D215" s="8"/>
      <c r="E215" s="9"/>
      <c r="F215" s="10"/>
      <c r="G215" s="9"/>
      <c r="H215" s="11"/>
      <c r="I215" s="9" t="s">
        <v>13</v>
      </c>
      <c r="J215" s="35"/>
    </row>
    <row r="216">
      <c r="A216" s="34" t="s">
        <v>204</v>
      </c>
      <c r="B216" s="11"/>
      <c r="C216" s="8"/>
      <c r="D216" s="8"/>
      <c r="E216" s="9"/>
      <c r="F216" s="10"/>
      <c r="G216" s="9"/>
      <c r="H216" s="11"/>
      <c r="I216" s="9" t="s">
        <v>13</v>
      </c>
      <c r="J216" s="35"/>
    </row>
    <row r="217">
      <c r="A217" s="34" t="s">
        <v>204</v>
      </c>
      <c r="B217" s="11"/>
      <c r="C217" s="8"/>
      <c r="D217" s="8"/>
      <c r="E217" s="9"/>
      <c r="F217" s="10"/>
      <c r="G217" s="9"/>
      <c r="H217" s="11"/>
      <c r="I217" s="9" t="s">
        <v>13</v>
      </c>
      <c r="J217" s="35"/>
    </row>
    <row r="218">
      <c r="A218" s="34" t="s">
        <v>204</v>
      </c>
      <c r="B218" s="11"/>
      <c r="C218" s="8"/>
      <c r="D218" s="8"/>
      <c r="E218" s="9"/>
      <c r="F218" s="10"/>
      <c r="G218" s="9"/>
      <c r="H218" s="11"/>
      <c r="I218" s="9" t="s">
        <v>13</v>
      </c>
      <c r="J218" s="35"/>
    </row>
    <row r="219">
      <c r="A219" s="34" t="s">
        <v>204</v>
      </c>
      <c r="B219" s="11"/>
      <c r="C219" s="8"/>
      <c r="D219" s="8"/>
      <c r="E219" s="9"/>
      <c r="F219" s="10"/>
      <c r="G219" s="9"/>
      <c r="H219" s="11"/>
      <c r="I219" s="9" t="s">
        <v>13</v>
      </c>
      <c r="J219" s="35"/>
    </row>
    <row r="220">
      <c r="A220" s="34" t="s">
        <v>204</v>
      </c>
      <c r="B220" s="11"/>
      <c r="C220" s="8"/>
      <c r="D220" s="8"/>
      <c r="E220" s="9"/>
      <c r="F220" s="10"/>
      <c r="G220" s="9"/>
      <c r="H220" s="11"/>
      <c r="I220" s="9" t="s">
        <v>13</v>
      </c>
      <c r="J220" s="35"/>
    </row>
    <row r="221">
      <c r="A221" s="34" t="s">
        <v>204</v>
      </c>
      <c r="B221" s="11"/>
      <c r="C221" s="8"/>
      <c r="D221" s="8"/>
      <c r="E221" s="9"/>
      <c r="F221" s="10"/>
      <c r="G221" s="9"/>
      <c r="H221" s="11"/>
      <c r="I221" s="9" t="s">
        <v>13</v>
      </c>
      <c r="J221" s="35"/>
    </row>
    <row r="222">
      <c r="A222" s="34" t="s">
        <v>204</v>
      </c>
      <c r="B222" s="11"/>
      <c r="C222" s="8"/>
      <c r="D222" s="8"/>
      <c r="E222" s="9"/>
      <c r="F222" s="10"/>
      <c r="G222" s="9"/>
      <c r="H222" s="11"/>
      <c r="I222" s="9" t="s">
        <v>13</v>
      </c>
      <c r="J222" s="35"/>
    </row>
    <row r="223">
      <c r="A223" s="34" t="s">
        <v>204</v>
      </c>
      <c r="B223" s="11"/>
      <c r="C223" s="8"/>
      <c r="D223" s="8"/>
      <c r="E223" s="9"/>
      <c r="F223" s="10"/>
      <c r="G223" s="9"/>
      <c r="H223" s="11"/>
      <c r="I223" s="9" t="s">
        <v>13</v>
      </c>
      <c r="J223" s="35"/>
    </row>
    <row r="224">
      <c r="A224" s="34" t="s">
        <v>204</v>
      </c>
      <c r="B224" s="11"/>
      <c r="C224" s="8"/>
      <c r="D224" s="8"/>
      <c r="E224" s="9"/>
      <c r="F224" s="10"/>
      <c r="G224" s="9"/>
      <c r="H224" s="11"/>
      <c r="I224" s="9" t="s">
        <v>13</v>
      </c>
      <c r="J224" s="35"/>
    </row>
    <row r="225">
      <c r="A225" s="34" t="s">
        <v>204</v>
      </c>
      <c r="B225" s="11"/>
      <c r="C225" s="8"/>
      <c r="D225" s="8"/>
      <c r="E225" s="9"/>
      <c r="F225" s="10"/>
      <c r="G225" s="9"/>
      <c r="H225" s="11"/>
      <c r="I225" s="9" t="s">
        <v>13</v>
      </c>
      <c r="J225" s="35"/>
    </row>
    <row r="226">
      <c r="A226" s="34" t="s">
        <v>204</v>
      </c>
      <c r="B226" s="11"/>
      <c r="C226" s="8"/>
      <c r="D226" s="8"/>
      <c r="E226" s="9"/>
      <c r="F226" s="10"/>
      <c r="G226" s="9"/>
      <c r="H226" s="11"/>
      <c r="I226" s="9" t="s">
        <v>13</v>
      </c>
      <c r="J226" s="35"/>
    </row>
    <row r="227">
      <c r="A227" s="34" t="s">
        <v>204</v>
      </c>
      <c r="B227" s="11"/>
      <c r="C227" s="8"/>
      <c r="D227" s="8"/>
      <c r="E227" s="9"/>
      <c r="F227" s="10"/>
      <c r="G227" s="9"/>
      <c r="H227" s="11"/>
      <c r="I227" s="9" t="s">
        <v>13</v>
      </c>
      <c r="J227" s="35"/>
    </row>
    <row r="228">
      <c r="A228" s="34" t="s">
        <v>204</v>
      </c>
      <c r="B228" s="11"/>
      <c r="C228" s="8"/>
      <c r="D228" s="8"/>
      <c r="E228" s="9"/>
      <c r="F228" s="10"/>
      <c r="G228" s="9"/>
      <c r="H228" s="11"/>
      <c r="I228" s="9" t="s">
        <v>13</v>
      </c>
      <c r="J228" s="35"/>
    </row>
    <row r="229">
      <c r="A229" s="34" t="s">
        <v>204</v>
      </c>
      <c r="B229" s="11"/>
      <c r="C229" s="8"/>
      <c r="D229" s="8"/>
      <c r="E229" s="9"/>
      <c r="F229" s="10"/>
      <c r="G229" s="9"/>
      <c r="H229" s="11"/>
      <c r="I229" s="9" t="s">
        <v>13</v>
      </c>
      <c r="J229" s="35"/>
    </row>
    <row r="230">
      <c r="A230" s="34" t="s">
        <v>204</v>
      </c>
      <c r="B230" s="11"/>
      <c r="C230" s="8"/>
      <c r="D230" s="8"/>
      <c r="E230" s="9"/>
      <c r="F230" s="10"/>
      <c r="G230" s="9"/>
      <c r="H230" s="11"/>
      <c r="I230" s="9" t="s">
        <v>13</v>
      </c>
      <c r="J230" s="35"/>
    </row>
    <row r="231">
      <c r="A231" s="34" t="s">
        <v>204</v>
      </c>
      <c r="B231" s="11"/>
      <c r="C231" s="8"/>
      <c r="D231" s="8"/>
      <c r="E231" s="9"/>
      <c r="F231" s="10"/>
      <c r="G231" s="9"/>
      <c r="H231" s="11"/>
      <c r="I231" s="9" t="s">
        <v>13</v>
      </c>
      <c r="J231" s="35"/>
    </row>
    <row r="232">
      <c r="A232" s="34" t="s">
        <v>204</v>
      </c>
      <c r="B232" s="11"/>
      <c r="C232" s="8"/>
      <c r="D232" s="8"/>
      <c r="E232" s="9"/>
      <c r="F232" s="10"/>
      <c r="G232" s="9"/>
      <c r="H232" s="11"/>
      <c r="I232" s="9" t="s">
        <v>13</v>
      </c>
      <c r="J232" s="35"/>
    </row>
    <row r="233">
      <c r="A233" s="34" t="s">
        <v>204</v>
      </c>
      <c r="B233" s="11"/>
      <c r="C233" s="8"/>
      <c r="D233" s="8"/>
      <c r="E233" s="9"/>
      <c r="F233" s="10"/>
      <c r="G233" s="9"/>
      <c r="H233" s="11"/>
      <c r="I233" s="9" t="s">
        <v>13</v>
      </c>
      <c r="J233" s="35"/>
    </row>
    <row r="234">
      <c r="A234" s="34" t="s">
        <v>204</v>
      </c>
      <c r="B234" s="11"/>
      <c r="C234" s="8"/>
      <c r="D234" s="8"/>
      <c r="E234" s="9"/>
      <c r="F234" s="10"/>
      <c r="G234" s="9"/>
      <c r="H234" s="11"/>
      <c r="I234" s="9" t="s">
        <v>13</v>
      </c>
      <c r="J234" s="35"/>
    </row>
    <row r="235">
      <c r="A235" s="34" t="s">
        <v>204</v>
      </c>
      <c r="B235" s="11"/>
      <c r="C235" s="8"/>
      <c r="D235" s="8"/>
      <c r="E235" s="9"/>
      <c r="F235" s="10"/>
      <c r="G235" s="9"/>
      <c r="H235" s="11"/>
      <c r="I235" s="9" t="s">
        <v>13</v>
      </c>
      <c r="J235" s="35"/>
    </row>
    <row r="236">
      <c r="A236" s="34" t="s">
        <v>204</v>
      </c>
      <c r="B236" s="11"/>
      <c r="C236" s="8"/>
      <c r="D236" s="8"/>
      <c r="E236" s="9"/>
      <c r="F236" s="10"/>
      <c r="G236" s="9"/>
      <c r="H236" s="11"/>
      <c r="I236" s="9" t="s">
        <v>13</v>
      </c>
      <c r="J236" s="35"/>
    </row>
    <row r="237">
      <c r="A237" s="34" t="s">
        <v>204</v>
      </c>
      <c r="B237" s="11"/>
      <c r="C237" s="8"/>
      <c r="D237" s="8"/>
      <c r="E237" s="9"/>
      <c r="F237" s="10"/>
      <c r="G237" s="9"/>
      <c r="H237" s="11"/>
      <c r="I237" s="9" t="s">
        <v>13</v>
      </c>
      <c r="J237" s="35"/>
    </row>
    <row r="238">
      <c r="A238" s="34" t="s">
        <v>204</v>
      </c>
      <c r="B238" s="11"/>
      <c r="C238" s="8"/>
      <c r="D238" s="8"/>
      <c r="E238" s="9"/>
      <c r="F238" s="10"/>
      <c r="G238" s="9"/>
      <c r="H238" s="11"/>
      <c r="I238" s="9" t="s">
        <v>13</v>
      </c>
      <c r="J238" s="35"/>
    </row>
    <row r="239">
      <c r="A239" s="34" t="s">
        <v>204</v>
      </c>
      <c r="B239" s="11"/>
      <c r="C239" s="8"/>
      <c r="D239" s="8"/>
      <c r="E239" s="9"/>
      <c r="F239" s="10"/>
      <c r="G239" s="9"/>
      <c r="H239" s="11"/>
      <c r="I239" s="9" t="s">
        <v>13</v>
      </c>
      <c r="J239" s="35"/>
    </row>
    <row r="240">
      <c r="A240" s="34" t="s">
        <v>204</v>
      </c>
      <c r="B240" s="11"/>
      <c r="C240" s="8"/>
      <c r="D240" s="8"/>
      <c r="E240" s="9"/>
      <c r="F240" s="10"/>
      <c r="G240" s="9"/>
      <c r="H240" s="11"/>
      <c r="I240" s="9" t="s">
        <v>13</v>
      </c>
      <c r="J240" s="35"/>
    </row>
    <row r="241">
      <c r="A241" s="34" t="s">
        <v>204</v>
      </c>
      <c r="B241" s="11"/>
      <c r="C241" s="8"/>
      <c r="D241" s="8"/>
      <c r="E241" s="9"/>
      <c r="F241" s="10"/>
      <c r="G241" s="9"/>
      <c r="H241" s="11"/>
      <c r="I241" s="9" t="s">
        <v>13</v>
      </c>
      <c r="J241" s="35"/>
    </row>
    <row r="242">
      <c r="A242" s="34" t="s">
        <v>204</v>
      </c>
      <c r="B242" s="11"/>
      <c r="C242" s="8"/>
      <c r="D242" s="8"/>
      <c r="E242" s="9"/>
      <c r="F242" s="10"/>
      <c r="G242" s="9"/>
      <c r="H242" s="11"/>
      <c r="I242" s="9" t="s">
        <v>13</v>
      </c>
      <c r="J242" s="35"/>
    </row>
    <row r="243">
      <c r="A243" s="34" t="s">
        <v>204</v>
      </c>
      <c r="B243" s="11"/>
      <c r="C243" s="8"/>
      <c r="D243" s="8"/>
      <c r="E243" s="9"/>
      <c r="F243" s="10"/>
      <c r="G243" s="9"/>
      <c r="H243" s="11"/>
      <c r="I243" s="9" t="s">
        <v>13</v>
      </c>
      <c r="J243" s="35"/>
    </row>
    <row r="244">
      <c r="A244" s="34" t="s">
        <v>204</v>
      </c>
      <c r="B244" s="11"/>
      <c r="C244" s="8"/>
      <c r="D244" s="8"/>
      <c r="E244" s="9"/>
      <c r="F244" s="10"/>
      <c r="G244" s="9"/>
      <c r="H244" s="11"/>
      <c r="I244" s="9" t="s">
        <v>13</v>
      </c>
      <c r="J244" s="35"/>
    </row>
    <row r="245">
      <c r="A245" s="34" t="s">
        <v>204</v>
      </c>
      <c r="B245" s="11"/>
      <c r="C245" s="8"/>
      <c r="D245" s="8"/>
      <c r="E245" s="9"/>
      <c r="F245" s="10"/>
      <c r="G245" s="9"/>
      <c r="H245" s="11"/>
      <c r="I245" s="9" t="s">
        <v>13</v>
      </c>
      <c r="J245" s="35"/>
    </row>
    <row r="246">
      <c r="A246" s="34" t="s">
        <v>204</v>
      </c>
      <c r="B246" s="11"/>
      <c r="C246" s="8"/>
      <c r="D246" s="8"/>
      <c r="E246" s="9"/>
      <c r="F246" s="10"/>
      <c r="G246" s="9"/>
      <c r="H246" s="11"/>
      <c r="I246" s="9" t="s">
        <v>13</v>
      </c>
      <c r="J246" s="35"/>
    </row>
    <row r="247">
      <c r="A247" s="34" t="s">
        <v>204</v>
      </c>
      <c r="B247" s="11"/>
      <c r="C247" s="8"/>
      <c r="D247" s="8"/>
      <c r="E247" s="9"/>
      <c r="F247" s="10"/>
      <c r="G247" s="9"/>
      <c r="H247" s="11"/>
      <c r="I247" s="9" t="s">
        <v>13</v>
      </c>
      <c r="J247" s="35"/>
    </row>
    <row r="248">
      <c r="A248" s="34" t="s">
        <v>204</v>
      </c>
      <c r="B248" s="11"/>
      <c r="C248" s="8"/>
      <c r="D248" s="8"/>
      <c r="E248" s="9"/>
      <c r="F248" s="10"/>
      <c r="G248" s="9"/>
      <c r="H248" s="11"/>
      <c r="I248" s="9" t="s">
        <v>13</v>
      </c>
      <c r="J248" s="35"/>
    </row>
    <row r="249">
      <c r="A249" s="34" t="s">
        <v>204</v>
      </c>
      <c r="B249" s="11"/>
      <c r="C249" s="8"/>
      <c r="D249" s="8"/>
      <c r="E249" s="9"/>
      <c r="F249" s="10"/>
      <c r="G249" s="9"/>
      <c r="H249" s="11"/>
      <c r="I249" s="9" t="s">
        <v>13</v>
      </c>
      <c r="J249" s="35"/>
    </row>
    <row r="250">
      <c r="A250" s="34" t="s">
        <v>204</v>
      </c>
      <c r="B250" s="11"/>
      <c r="C250" s="8"/>
      <c r="D250" s="8"/>
      <c r="E250" s="9"/>
      <c r="F250" s="10"/>
      <c r="G250" s="9"/>
      <c r="H250" s="11"/>
      <c r="I250" s="9" t="s">
        <v>13</v>
      </c>
      <c r="J250" s="35"/>
    </row>
    <row r="251">
      <c r="A251" s="34" t="s">
        <v>204</v>
      </c>
      <c r="B251" s="11"/>
      <c r="C251" s="8"/>
      <c r="D251" s="8"/>
      <c r="E251" s="9"/>
      <c r="F251" s="10"/>
      <c r="G251" s="9"/>
      <c r="H251" s="11"/>
      <c r="I251" s="9" t="s">
        <v>13</v>
      </c>
      <c r="J251" s="35"/>
    </row>
    <row r="252">
      <c r="A252" s="34" t="s">
        <v>204</v>
      </c>
      <c r="B252" s="11"/>
      <c r="C252" s="8"/>
      <c r="D252" s="8"/>
      <c r="E252" s="9"/>
      <c r="F252" s="10"/>
      <c r="G252" s="9"/>
      <c r="H252" s="11"/>
      <c r="I252" s="9" t="s">
        <v>13</v>
      </c>
      <c r="J252" s="35"/>
    </row>
    <row r="253">
      <c r="A253" s="34" t="s">
        <v>204</v>
      </c>
      <c r="B253" s="11"/>
      <c r="C253" s="8"/>
      <c r="D253" s="8"/>
      <c r="E253" s="9"/>
      <c r="F253" s="10"/>
      <c r="G253" s="9"/>
      <c r="H253" s="11"/>
      <c r="I253" s="9" t="s">
        <v>13</v>
      </c>
      <c r="J253" s="35"/>
    </row>
    <row r="254">
      <c r="A254" s="34" t="s">
        <v>204</v>
      </c>
      <c r="B254" s="11"/>
      <c r="C254" s="8"/>
      <c r="D254" s="8"/>
      <c r="E254" s="9"/>
      <c r="F254" s="10"/>
      <c r="G254" s="9"/>
      <c r="H254" s="11"/>
      <c r="I254" s="9" t="s">
        <v>13</v>
      </c>
      <c r="J254" s="35"/>
    </row>
    <row r="255">
      <c r="A255" s="34" t="s">
        <v>204</v>
      </c>
      <c r="B255" s="11"/>
      <c r="C255" s="8"/>
      <c r="D255" s="8"/>
      <c r="E255" s="9"/>
      <c r="F255" s="10"/>
      <c r="G255" s="9"/>
      <c r="H255" s="11"/>
      <c r="I255" s="9" t="s">
        <v>13</v>
      </c>
      <c r="J255" s="35"/>
    </row>
    <row r="256">
      <c r="A256" s="34" t="s">
        <v>204</v>
      </c>
      <c r="B256" s="11"/>
      <c r="C256" s="8"/>
      <c r="D256" s="8"/>
      <c r="E256" s="9"/>
      <c r="F256" s="10"/>
      <c r="G256" s="9"/>
      <c r="H256" s="11"/>
      <c r="I256" s="9" t="s">
        <v>13</v>
      </c>
      <c r="J256" s="35"/>
    </row>
    <row r="257">
      <c r="A257" s="34" t="s">
        <v>204</v>
      </c>
      <c r="B257" s="11"/>
      <c r="C257" s="8"/>
      <c r="D257" s="8"/>
      <c r="E257" s="9"/>
      <c r="F257" s="10"/>
      <c r="G257" s="9"/>
      <c r="H257" s="11"/>
      <c r="I257" s="9" t="s">
        <v>13</v>
      </c>
      <c r="J257" s="35"/>
    </row>
    <row r="258">
      <c r="A258" s="34" t="s">
        <v>204</v>
      </c>
      <c r="B258" s="11"/>
      <c r="C258" s="8"/>
      <c r="D258" s="8"/>
      <c r="E258" s="9"/>
      <c r="F258" s="10"/>
      <c r="G258" s="9"/>
      <c r="H258" s="11"/>
      <c r="I258" s="9" t="s">
        <v>13</v>
      </c>
      <c r="J258" s="35"/>
    </row>
    <row r="259">
      <c r="A259" s="34" t="s">
        <v>204</v>
      </c>
      <c r="B259" s="11"/>
      <c r="C259" s="8"/>
      <c r="D259" s="8"/>
      <c r="E259" s="9"/>
      <c r="F259" s="10"/>
      <c r="G259" s="9"/>
      <c r="H259" s="11"/>
      <c r="I259" s="9" t="s">
        <v>13</v>
      </c>
      <c r="J259" s="35"/>
    </row>
    <row r="260">
      <c r="A260" s="34" t="s">
        <v>204</v>
      </c>
      <c r="B260" s="11"/>
      <c r="C260" s="8"/>
      <c r="D260" s="8"/>
      <c r="E260" s="9"/>
      <c r="F260" s="10"/>
      <c r="G260" s="9"/>
      <c r="H260" s="11"/>
      <c r="I260" s="9" t="s">
        <v>13</v>
      </c>
      <c r="J260" s="35"/>
    </row>
    <row r="261">
      <c r="A261" s="34" t="s">
        <v>204</v>
      </c>
      <c r="B261" s="11"/>
      <c r="C261" s="8"/>
      <c r="D261" s="8"/>
      <c r="E261" s="9"/>
      <c r="F261" s="10"/>
      <c r="G261" s="9"/>
      <c r="H261" s="11"/>
      <c r="I261" s="9" t="s">
        <v>13</v>
      </c>
      <c r="J261" s="35"/>
    </row>
    <row r="262">
      <c r="A262" s="34" t="s">
        <v>204</v>
      </c>
      <c r="B262" s="11"/>
      <c r="C262" s="8"/>
      <c r="D262" s="8"/>
      <c r="E262" s="9"/>
      <c r="F262" s="10"/>
      <c r="G262" s="9"/>
      <c r="H262" s="11"/>
      <c r="I262" s="9" t="s">
        <v>13</v>
      </c>
      <c r="J262" s="35"/>
    </row>
    <row r="263">
      <c r="A263" s="34" t="s">
        <v>204</v>
      </c>
      <c r="B263" s="11"/>
      <c r="C263" s="8"/>
      <c r="D263" s="8"/>
      <c r="E263" s="9"/>
      <c r="F263" s="10"/>
      <c r="G263" s="9"/>
      <c r="H263" s="11"/>
      <c r="I263" s="9" t="s">
        <v>13</v>
      </c>
      <c r="J263" s="35"/>
    </row>
    <row r="264">
      <c r="A264" s="34" t="s">
        <v>204</v>
      </c>
      <c r="B264" s="11"/>
      <c r="C264" s="8"/>
      <c r="D264" s="8"/>
      <c r="E264" s="9"/>
      <c r="F264" s="10"/>
      <c r="G264" s="9"/>
      <c r="H264" s="11"/>
      <c r="I264" s="9" t="s">
        <v>13</v>
      </c>
      <c r="J264" s="35"/>
    </row>
    <row r="265">
      <c r="A265" s="34" t="s">
        <v>204</v>
      </c>
      <c r="B265" s="11"/>
      <c r="C265" s="8"/>
      <c r="D265" s="8"/>
      <c r="E265" s="9"/>
      <c r="F265" s="10"/>
      <c r="G265" s="9"/>
      <c r="H265" s="11"/>
      <c r="I265" s="9" t="s">
        <v>13</v>
      </c>
      <c r="J265" s="35"/>
    </row>
    <row r="266">
      <c r="A266" s="34" t="s">
        <v>204</v>
      </c>
      <c r="B266" s="11"/>
      <c r="C266" s="8"/>
      <c r="D266" s="8"/>
      <c r="E266" s="9"/>
      <c r="F266" s="10"/>
      <c r="G266" s="9"/>
      <c r="H266" s="11"/>
      <c r="I266" s="9" t="s">
        <v>13</v>
      </c>
      <c r="J266" s="35"/>
    </row>
    <row r="267">
      <c r="A267" s="34" t="s">
        <v>204</v>
      </c>
      <c r="B267" s="11"/>
      <c r="C267" s="8"/>
      <c r="D267" s="8"/>
      <c r="E267" s="9"/>
      <c r="F267" s="10"/>
      <c r="G267" s="9"/>
      <c r="H267" s="11"/>
      <c r="I267" s="9" t="s">
        <v>13</v>
      </c>
      <c r="J267" s="35"/>
    </row>
    <row r="268">
      <c r="A268" s="34" t="s">
        <v>204</v>
      </c>
      <c r="B268" s="11"/>
      <c r="C268" s="8"/>
      <c r="D268" s="8"/>
      <c r="E268" s="9"/>
      <c r="F268" s="10"/>
      <c r="G268" s="9"/>
      <c r="H268" s="11"/>
      <c r="I268" s="9" t="s">
        <v>13</v>
      </c>
      <c r="J268" s="35"/>
    </row>
    <row r="269">
      <c r="A269" s="34" t="s">
        <v>204</v>
      </c>
      <c r="B269" s="11"/>
      <c r="C269" s="8"/>
      <c r="D269" s="8"/>
      <c r="E269" s="9"/>
      <c r="F269" s="10"/>
      <c r="G269" s="9"/>
      <c r="H269" s="11"/>
      <c r="I269" s="9" t="s">
        <v>13</v>
      </c>
      <c r="J269" s="35"/>
    </row>
    <row r="270">
      <c r="A270" s="34" t="s">
        <v>204</v>
      </c>
      <c r="B270" s="11"/>
      <c r="C270" s="8"/>
      <c r="D270" s="8"/>
      <c r="E270" s="9"/>
      <c r="F270" s="10"/>
      <c r="G270" s="9"/>
      <c r="H270" s="11"/>
      <c r="I270" s="9" t="s">
        <v>13</v>
      </c>
      <c r="J270" s="35"/>
    </row>
    <row r="271">
      <c r="A271" s="34" t="s">
        <v>204</v>
      </c>
      <c r="B271" s="11"/>
      <c r="C271" s="8"/>
      <c r="D271" s="8"/>
      <c r="E271" s="9"/>
      <c r="F271" s="10"/>
      <c r="G271" s="9"/>
      <c r="H271" s="11"/>
      <c r="I271" s="9" t="s">
        <v>13</v>
      </c>
      <c r="J271" s="35"/>
    </row>
    <row r="272">
      <c r="A272" s="34" t="s">
        <v>204</v>
      </c>
      <c r="B272" s="11"/>
      <c r="C272" s="8"/>
      <c r="D272" s="8"/>
      <c r="E272" s="9"/>
      <c r="F272" s="10"/>
      <c r="G272" s="9"/>
      <c r="H272" s="11"/>
      <c r="I272" s="9" t="s">
        <v>13</v>
      </c>
      <c r="J272" s="35"/>
    </row>
    <row r="273">
      <c r="A273" s="34" t="s">
        <v>204</v>
      </c>
      <c r="B273" s="11"/>
      <c r="C273" s="8"/>
      <c r="D273" s="8"/>
      <c r="E273" s="9"/>
      <c r="F273" s="10"/>
      <c r="G273" s="9"/>
      <c r="H273" s="11"/>
      <c r="I273" s="9" t="s">
        <v>13</v>
      </c>
      <c r="J273" s="35"/>
    </row>
    <row r="274">
      <c r="A274" s="34" t="s">
        <v>204</v>
      </c>
      <c r="B274" s="11"/>
      <c r="C274" s="8"/>
      <c r="D274" s="8"/>
      <c r="E274" s="9"/>
      <c r="F274" s="10"/>
      <c r="G274" s="9"/>
      <c r="H274" s="11"/>
      <c r="I274" s="9" t="s">
        <v>13</v>
      </c>
      <c r="J274" s="35"/>
    </row>
    <row r="275">
      <c r="A275" s="34" t="s">
        <v>204</v>
      </c>
      <c r="B275" s="11"/>
      <c r="C275" s="8"/>
      <c r="D275" s="8"/>
      <c r="E275" s="9"/>
      <c r="F275" s="10"/>
      <c r="G275" s="9"/>
      <c r="H275" s="11"/>
      <c r="I275" s="9" t="s">
        <v>13</v>
      </c>
      <c r="J275" s="35"/>
    </row>
    <row r="276">
      <c r="A276" s="34" t="s">
        <v>204</v>
      </c>
      <c r="B276" s="11"/>
      <c r="C276" s="8"/>
      <c r="D276" s="8"/>
      <c r="E276" s="9"/>
      <c r="F276" s="10"/>
      <c r="G276" s="9"/>
      <c r="H276" s="11"/>
      <c r="I276" s="9" t="s">
        <v>13</v>
      </c>
      <c r="J276" s="35"/>
    </row>
    <row r="277">
      <c r="A277" s="34" t="s">
        <v>204</v>
      </c>
      <c r="B277" s="11"/>
      <c r="C277" s="8"/>
      <c r="D277" s="8"/>
      <c r="E277" s="9"/>
      <c r="F277" s="10"/>
      <c r="G277" s="9"/>
      <c r="H277" s="11"/>
      <c r="I277" s="9" t="s">
        <v>13</v>
      </c>
      <c r="J277" s="35"/>
    </row>
    <row r="278">
      <c r="A278" s="34" t="s">
        <v>204</v>
      </c>
      <c r="B278" s="11"/>
      <c r="C278" s="8"/>
      <c r="D278" s="8"/>
      <c r="E278" s="9"/>
      <c r="F278" s="10"/>
      <c r="G278" s="9"/>
      <c r="H278" s="11"/>
      <c r="I278" s="9" t="s">
        <v>13</v>
      </c>
      <c r="J278" s="35"/>
    </row>
    <row r="279">
      <c r="A279" s="34" t="s">
        <v>204</v>
      </c>
      <c r="B279" s="11"/>
      <c r="C279" s="8"/>
      <c r="D279" s="8"/>
      <c r="E279" s="9"/>
      <c r="F279" s="10"/>
      <c r="G279" s="9"/>
      <c r="H279" s="11"/>
      <c r="I279" s="9" t="s">
        <v>13</v>
      </c>
      <c r="J279" s="35"/>
    </row>
    <row r="280">
      <c r="A280" s="34" t="s">
        <v>204</v>
      </c>
      <c r="B280" s="11"/>
      <c r="C280" s="8"/>
      <c r="D280" s="8"/>
      <c r="E280" s="9"/>
      <c r="F280" s="10"/>
      <c r="G280" s="9"/>
      <c r="H280" s="11"/>
      <c r="I280" s="9" t="s">
        <v>13</v>
      </c>
      <c r="J280" s="35"/>
    </row>
    <row r="281">
      <c r="A281" s="34" t="s">
        <v>204</v>
      </c>
      <c r="B281" s="11"/>
      <c r="C281" s="8"/>
      <c r="D281" s="8"/>
      <c r="E281" s="9"/>
      <c r="F281" s="10"/>
      <c r="G281" s="9"/>
      <c r="H281" s="11"/>
      <c r="I281" s="9" t="s">
        <v>13</v>
      </c>
      <c r="J281" s="35"/>
    </row>
    <row r="282">
      <c r="A282" s="34" t="s">
        <v>204</v>
      </c>
      <c r="B282" s="11"/>
      <c r="C282" s="8"/>
      <c r="D282" s="8"/>
      <c r="E282" s="9"/>
      <c r="F282" s="10"/>
      <c r="G282" s="9"/>
      <c r="H282" s="11"/>
      <c r="I282" s="9" t="s">
        <v>13</v>
      </c>
      <c r="J282" s="35"/>
    </row>
    <row r="283">
      <c r="A283" s="34" t="s">
        <v>204</v>
      </c>
      <c r="B283" s="11"/>
      <c r="C283" s="8"/>
      <c r="D283" s="8"/>
      <c r="E283" s="9"/>
      <c r="F283" s="10"/>
      <c r="G283" s="9"/>
      <c r="H283" s="11"/>
      <c r="I283" s="9" t="s">
        <v>13</v>
      </c>
      <c r="J283" s="35"/>
    </row>
    <row r="284">
      <c r="A284" s="34" t="s">
        <v>204</v>
      </c>
      <c r="B284" s="11"/>
      <c r="C284" s="8"/>
      <c r="D284" s="8"/>
      <c r="E284" s="9"/>
      <c r="F284" s="10"/>
      <c r="G284" s="9"/>
      <c r="H284" s="11"/>
      <c r="I284" s="9" t="s">
        <v>13</v>
      </c>
      <c r="J284" s="35"/>
    </row>
    <row r="285">
      <c r="A285" s="34" t="s">
        <v>204</v>
      </c>
      <c r="B285" s="11"/>
      <c r="C285" s="8"/>
      <c r="D285" s="8"/>
      <c r="E285" s="9"/>
      <c r="F285" s="10"/>
      <c r="G285" s="9"/>
      <c r="H285" s="11"/>
      <c r="I285" s="9" t="s">
        <v>13</v>
      </c>
      <c r="J285" s="35"/>
    </row>
    <row r="286">
      <c r="A286" s="34" t="s">
        <v>204</v>
      </c>
      <c r="B286" s="11"/>
      <c r="C286" s="8"/>
      <c r="D286" s="8"/>
      <c r="E286" s="9"/>
      <c r="F286" s="10"/>
      <c r="G286" s="9"/>
      <c r="H286" s="11"/>
      <c r="I286" s="9" t="s">
        <v>13</v>
      </c>
      <c r="J286" s="35"/>
    </row>
    <row r="287">
      <c r="A287" s="34" t="s">
        <v>204</v>
      </c>
      <c r="B287" s="11"/>
      <c r="C287" s="8"/>
      <c r="D287" s="8"/>
      <c r="E287" s="9"/>
      <c r="F287" s="10"/>
      <c r="G287" s="9"/>
      <c r="H287" s="11"/>
      <c r="I287" s="9" t="s">
        <v>13</v>
      </c>
      <c r="J287" s="35"/>
    </row>
    <row r="288">
      <c r="A288" s="34" t="s">
        <v>204</v>
      </c>
      <c r="B288" s="11"/>
      <c r="C288" s="8"/>
      <c r="D288" s="8"/>
      <c r="E288" s="9"/>
      <c r="F288" s="10"/>
      <c r="G288" s="9"/>
      <c r="H288" s="11"/>
      <c r="I288" s="9" t="s">
        <v>13</v>
      </c>
      <c r="J288" s="35"/>
    </row>
    <row r="289">
      <c r="A289" s="34" t="s">
        <v>204</v>
      </c>
      <c r="B289" s="11"/>
      <c r="C289" s="8"/>
      <c r="D289" s="8"/>
      <c r="E289" s="9"/>
      <c r="F289" s="10"/>
      <c r="G289" s="9"/>
      <c r="H289" s="11"/>
      <c r="I289" s="9" t="s">
        <v>13</v>
      </c>
      <c r="J289" s="35"/>
    </row>
    <row r="290">
      <c r="A290" s="34" t="s">
        <v>204</v>
      </c>
      <c r="B290" s="11"/>
      <c r="C290" s="8"/>
      <c r="D290" s="8"/>
      <c r="E290" s="9"/>
      <c r="F290" s="10"/>
      <c r="G290" s="9"/>
      <c r="H290" s="11"/>
      <c r="I290" s="9" t="s">
        <v>13</v>
      </c>
      <c r="J290" s="35"/>
    </row>
    <row r="291">
      <c r="A291" s="34" t="s">
        <v>204</v>
      </c>
      <c r="B291" s="11"/>
      <c r="C291" s="8"/>
      <c r="D291" s="8"/>
      <c r="E291" s="9"/>
      <c r="F291" s="10"/>
      <c r="G291" s="9"/>
      <c r="H291" s="11"/>
      <c r="I291" s="9" t="s">
        <v>13</v>
      </c>
      <c r="J291" s="35"/>
    </row>
    <row r="292">
      <c r="A292" s="34" t="s">
        <v>204</v>
      </c>
      <c r="B292" s="11"/>
      <c r="C292" s="8"/>
      <c r="D292" s="8"/>
      <c r="E292" s="9"/>
      <c r="F292" s="10"/>
      <c r="G292" s="9"/>
      <c r="H292" s="11"/>
      <c r="I292" s="9" t="s">
        <v>13</v>
      </c>
      <c r="J292" s="35"/>
    </row>
    <row r="293">
      <c r="A293" s="34" t="s">
        <v>204</v>
      </c>
      <c r="B293" s="11"/>
      <c r="C293" s="8"/>
      <c r="D293" s="8"/>
      <c r="E293" s="9"/>
      <c r="F293" s="10"/>
      <c r="G293" s="9"/>
      <c r="H293" s="11"/>
      <c r="I293" s="9" t="s">
        <v>13</v>
      </c>
      <c r="J293" s="35"/>
    </row>
    <row r="294">
      <c r="A294" s="34" t="s">
        <v>204</v>
      </c>
      <c r="B294" s="11"/>
      <c r="C294" s="8"/>
      <c r="D294" s="8"/>
      <c r="E294" s="9"/>
      <c r="F294" s="10"/>
      <c r="G294" s="9"/>
      <c r="H294" s="11"/>
      <c r="I294" s="9" t="s">
        <v>13</v>
      </c>
      <c r="J294" s="35"/>
    </row>
    <row r="295">
      <c r="A295" s="34" t="s">
        <v>204</v>
      </c>
      <c r="B295" s="11"/>
      <c r="C295" s="8"/>
      <c r="D295" s="8"/>
      <c r="E295" s="9"/>
      <c r="F295" s="10"/>
      <c r="G295" s="9"/>
      <c r="H295" s="11"/>
      <c r="I295" s="9" t="s">
        <v>13</v>
      </c>
      <c r="J295" s="35"/>
    </row>
    <row r="296">
      <c r="A296" s="34" t="s">
        <v>204</v>
      </c>
      <c r="B296" s="11"/>
      <c r="C296" s="8"/>
      <c r="D296" s="8"/>
      <c r="E296" s="9"/>
      <c r="F296" s="10"/>
      <c r="G296" s="9"/>
      <c r="H296" s="11"/>
      <c r="I296" s="9" t="s">
        <v>13</v>
      </c>
      <c r="J296" s="35"/>
    </row>
    <row r="297">
      <c r="A297" s="34" t="s">
        <v>204</v>
      </c>
      <c r="B297" s="11"/>
      <c r="C297" s="8"/>
      <c r="D297" s="8"/>
      <c r="E297" s="9"/>
      <c r="F297" s="10"/>
      <c r="G297" s="9"/>
      <c r="H297" s="11"/>
      <c r="I297" s="9" t="s">
        <v>13</v>
      </c>
      <c r="J297" s="35"/>
    </row>
    <row r="298">
      <c r="A298" s="34" t="s">
        <v>204</v>
      </c>
      <c r="B298" s="11"/>
      <c r="C298" s="8"/>
      <c r="D298" s="8"/>
      <c r="E298" s="9"/>
      <c r="F298" s="10"/>
      <c r="G298" s="9"/>
      <c r="H298" s="11"/>
      <c r="I298" s="9" t="s">
        <v>13</v>
      </c>
      <c r="J298" s="35"/>
    </row>
    <row r="299">
      <c r="A299" s="34" t="s">
        <v>204</v>
      </c>
      <c r="B299" s="11"/>
      <c r="C299" s="8"/>
      <c r="D299" s="8"/>
      <c r="E299" s="9"/>
      <c r="F299" s="10"/>
      <c r="G299" s="9"/>
      <c r="H299" s="11"/>
      <c r="I299" s="9" t="s">
        <v>13</v>
      </c>
      <c r="J299" s="35"/>
    </row>
    <row r="300">
      <c r="A300" s="34" t="s">
        <v>204</v>
      </c>
      <c r="B300" s="11"/>
      <c r="C300" s="8"/>
      <c r="D300" s="8"/>
      <c r="E300" s="9"/>
      <c r="F300" s="10"/>
      <c r="G300" s="9"/>
      <c r="H300" s="11"/>
      <c r="I300" s="9" t="s">
        <v>13</v>
      </c>
      <c r="J300" s="35"/>
    </row>
    <row r="301">
      <c r="A301" s="34" t="s">
        <v>204</v>
      </c>
      <c r="B301" s="11"/>
      <c r="C301" s="8"/>
      <c r="D301" s="8"/>
      <c r="E301" s="9"/>
      <c r="F301" s="10"/>
      <c r="G301" s="9"/>
      <c r="H301" s="11"/>
      <c r="I301" s="9" t="s">
        <v>13</v>
      </c>
      <c r="J301" s="35"/>
    </row>
    <row r="302">
      <c r="A302" s="34" t="s">
        <v>204</v>
      </c>
      <c r="B302" s="11"/>
      <c r="C302" s="8"/>
      <c r="D302" s="8"/>
      <c r="E302" s="9"/>
      <c r="F302" s="10"/>
      <c r="G302" s="9"/>
      <c r="H302" s="11"/>
      <c r="I302" s="9" t="s">
        <v>13</v>
      </c>
      <c r="J302" s="35"/>
    </row>
    <row r="303">
      <c r="A303" s="34" t="s">
        <v>204</v>
      </c>
      <c r="B303" s="11"/>
      <c r="C303" s="8"/>
      <c r="D303" s="8"/>
      <c r="E303" s="9"/>
      <c r="F303" s="10"/>
      <c r="G303" s="9"/>
      <c r="H303" s="11"/>
      <c r="I303" s="9" t="s">
        <v>13</v>
      </c>
      <c r="J303" s="35"/>
    </row>
    <row r="304">
      <c r="A304" s="34" t="s">
        <v>204</v>
      </c>
      <c r="B304" s="11"/>
      <c r="C304" s="8"/>
      <c r="D304" s="8"/>
      <c r="E304" s="9"/>
      <c r="F304" s="10"/>
      <c r="G304" s="9"/>
      <c r="H304" s="11"/>
      <c r="I304" s="9" t="s">
        <v>13</v>
      </c>
      <c r="J304" s="35"/>
    </row>
    <row r="305">
      <c r="A305" s="34" t="s">
        <v>204</v>
      </c>
      <c r="B305" s="11"/>
      <c r="C305" s="8"/>
      <c r="D305" s="8"/>
      <c r="E305" s="9"/>
      <c r="F305" s="10"/>
      <c r="G305" s="9"/>
      <c r="H305" s="11"/>
      <c r="I305" s="9" t="s">
        <v>13</v>
      </c>
      <c r="J305" s="35"/>
    </row>
    <row r="306">
      <c r="A306" s="34" t="s">
        <v>204</v>
      </c>
      <c r="B306" s="11"/>
      <c r="C306" s="8"/>
      <c r="D306" s="8"/>
      <c r="E306" s="9"/>
      <c r="F306" s="10"/>
      <c r="G306" s="9"/>
      <c r="H306" s="11"/>
      <c r="I306" s="9" t="s">
        <v>13</v>
      </c>
      <c r="J306" s="35"/>
    </row>
    <row r="307">
      <c r="A307" s="34" t="s">
        <v>204</v>
      </c>
      <c r="B307" s="11"/>
      <c r="C307" s="8"/>
      <c r="D307" s="8"/>
      <c r="E307" s="9"/>
      <c r="F307" s="10"/>
      <c r="G307" s="9"/>
      <c r="H307" s="11"/>
      <c r="I307" s="9" t="s">
        <v>13</v>
      </c>
      <c r="J307" s="35"/>
    </row>
    <row r="308">
      <c r="A308" s="34" t="s">
        <v>204</v>
      </c>
      <c r="B308" s="11"/>
      <c r="C308" s="8"/>
      <c r="D308" s="8"/>
      <c r="E308" s="9"/>
      <c r="F308" s="10"/>
      <c r="G308" s="9"/>
      <c r="H308" s="11"/>
      <c r="I308" s="9" t="s">
        <v>13</v>
      </c>
      <c r="J308" s="35"/>
    </row>
    <row r="309">
      <c r="A309" s="34" t="s">
        <v>204</v>
      </c>
      <c r="B309" s="11"/>
      <c r="C309" s="8"/>
      <c r="D309" s="8"/>
      <c r="E309" s="9"/>
      <c r="F309" s="10"/>
      <c r="G309" s="9"/>
      <c r="H309" s="11"/>
      <c r="I309" s="9" t="s">
        <v>13</v>
      </c>
      <c r="J309" s="35"/>
    </row>
    <row r="310">
      <c r="A310" s="34" t="s">
        <v>204</v>
      </c>
      <c r="B310" s="11"/>
      <c r="C310" s="8"/>
      <c r="D310" s="8"/>
      <c r="E310" s="9"/>
      <c r="F310" s="10"/>
      <c r="G310" s="9"/>
      <c r="H310" s="11"/>
      <c r="I310" s="9" t="s">
        <v>13</v>
      </c>
      <c r="J310" s="35"/>
    </row>
    <row r="311">
      <c r="A311" s="34" t="s">
        <v>204</v>
      </c>
      <c r="B311" s="11"/>
      <c r="C311" s="8"/>
      <c r="D311" s="8"/>
      <c r="E311" s="9"/>
      <c r="F311" s="10"/>
      <c r="G311" s="9"/>
      <c r="H311" s="11"/>
      <c r="I311" s="9" t="s">
        <v>13</v>
      </c>
      <c r="J311" s="35"/>
    </row>
    <row r="312">
      <c r="A312" s="34" t="s">
        <v>204</v>
      </c>
      <c r="B312" s="11"/>
      <c r="C312" s="8"/>
      <c r="D312" s="8"/>
      <c r="E312" s="9"/>
      <c r="F312" s="10"/>
      <c r="G312" s="9"/>
      <c r="H312" s="11"/>
      <c r="I312" s="9" t="s">
        <v>13</v>
      </c>
      <c r="J312" s="35"/>
    </row>
    <row r="313">
      <c r="A313" s="34" t="s">
        <v>204</v>
      </c>
      <c r="B313" s="11"/>
      <c r="C313" s="8"/>
      <c r="D313" s="8"/>
      <c r="E313" s="9"/>
      <c r="F313" s="10"/>
      <c r="G313" s="9"/>
      <c r="H313" s="11"/>
      <c r="I313" s="9" t="s">
        <v>13</v>
      </c>
      <c r="J313" s="35"/>
    </row>
    <row r="314">
      <c r="A314" s="34" t="s">
        <v>204</v>
      </c>
      <c r="B314" s="11"/>
      <c r="C314" s="8"/>
      <c r="D314" s="8"/>
      <c r="E314" s="9"/>
      <c r="F314" s="10"/>
      <c r="G314" s="9"/>
      <c r="H314" s="11"/>
      <c r="I314" s="9" t="s">
        <v>13</v>
      </c>
      <c r="J314" s="35"/>
    </row>
    <row r="315">
      <c r="A315" s="34" t="s">
        <v>204</v>
      </c>
      <c r="B315" s="11"/>
      <c r="C315" s="8"/>
      <c r="D315" s="8"/>
      <c r="E315" s="9"/>
      <c r="F315" s="10"/>
      <c r="G315" s="9"/>
      <c r="H315" s="11"/>
      <c r="I315" s="9" t="s">
        <v>13</v>
      </c>
      <c r="J315" s="35"/>
    </row>
    <row r="316">
      <c r="A316" s="34" t="s">
        <v>204</v>
      </c>
      <c r="B316" s="11"/>
      <c r="C316" s="8"/>
      <c r="D316" s="8"/>
      <c r="E316" s="9"/>
      <c r="F316" s="10"/>
      <c r="G316" s="9"/>
      <c r="H316" s="11"/>
      <c r="I316" s="9" t="s">
        <v>13</v>
      </c>
      <c r="J316" s="35"/>
    </row>
    <row r="317">
      <c r="A317" s="34" t="s">
        <v>204</v>
      </c>
      <c r="B317" s="11"/>
      <c r="C317" s="8"/>
      <c r="D317" s="8"/>
      <c r="E317" s="9"/>
      <c r="F317" s="10"/>
      <c r="G317" s="9"/>
      <c r="H317" s="11"/>
      <c r="I317" s="9" t="s">
        <v>13</v>
      </c>
      <c r="J317" s="35"/>
    </row>
    <row r="318">
      <c r="A318" s="34" t="s">
        <v>204</v>
      </c>
      <c r="B318" s="11"/>
      <c r="C318" s="8"/>
      <c r="D318" s="8"/>
      <c r="E318" s="9"/>
      <c r="F318" s="10"/>
      <c r="G318" s="9"/>
      <c r="H318" s="11"/>
      <c r="I318" s="9" t="s">
        <v>13</v>
      </c>
      <c r="J318" s="35"/>
    </row>
    <row r="319">
      <c r="A319" s="34" t="s">
        <v>204</v>
      </c>
      <c r="B319" s="11"/>
      <c r="C319" s="8"/>
      <c r="D319" s="8"/>
      <c r="E319" s="9"/>
      <c r="F319" s="10"/>
      <c r="G319" s="9"/>
      <c r="H319" s="11"/>
      <c r="I319" s="9" t="s">
        <v>13</v>
      </c>
      <c r="J319" s="35"/>
    </row>
    <row r="320">
      <c r="A320" s="34" t="s">
        <v>204</v>
      </c>
      <c r="B320" s="11"/>
      <c r="C320" s="8"/>
      <c r="D320" s="8"/>
      <c r="E320" s="9"/>
      <c r="F320" s="10"/>
      <c r="G320" s="9"/>
      <c r="H320" s="11"/>
      <c r="I320" s="9" t="s">
        <v>13</v>
      </c>
      <c r="J320" s="35"/>
    </row>
    <row r="321">
      <c r="A321" s="34" t="s">
        <v>204</v>
      </c>
      <c r="B321" s="11"/>
      <c r="C321" s="8"/>
      <c r="D321" s="8"/>
      <c r="E321" s="9"/>
      <c r="F321" s="10"/>
      <c r="G321" s="9"/>
      <c r="H321" s="11"/>
      <c r="I321" s="9" t="s">
        <v>13</v>
      </c>
      <c r="J321" s="35"/>
    </row>
    <row r="322">
      <c r="A322" s="34" t="s">
        <v>204</v>
      </c>
      <c r="B322" s="11"/>
      <c r="C322" s="8"/>
      <c r="D322" s="8"/>
      <c r="E322" s="9"/>
      <c r="F322" s="10"/>
      <c r="G322" s="9"/>
      <c r="H322" s="11"/>
      <c r="I322" s="9" t="s">
        <v>13</v>
      </c>
      <c r="J322" s="35"/>
    </row>
    <row r="323">
      <c r="A323" s="34" t="s">
        <v>204</v>
      </c>
      <c r="B323" s="11"/>
      <c r="C323" s="8"/>
      <c r="D323" s="8"/>
      <c r="E323" s="9"/>
      <c r="F323" s="10"/>
      <c r="G323" s="9"/>
      <c r="H323" s="11"/>
      <c r="I323" s="9" t="s">
        <v>13</v>
      </c>
      <c r="J323" s="35"/>
    </row>
    <row r="324">
      <c r="A324" s="34" t="s">
        <v>204</v>
      </c>
      <c r="B324" s="11"/>
      <c r="C324" s="8"/>
      <c r="D324" s="8"/>
      <c r="E324" s="9"/>
      <c r="F324" s="10"/>
      <c r="G324" s="9"/>
      <c r="H324" s="11"/>
      <c r="I324" s="9" t="s">
        <v>13</v>
      </c>
      <c r="J324" s="35"/>
    </row>
    <row r="325">
      <c r="A325" s="34" t="s">
        <v>204</v>
      </c>
      <c r="B325" s="11"/>
      <c r="C325" s="8"/>
      <c r="D325" s="8"/>
      <c r="E325" s="9"/>
      <c r="F325" s="10"/>
      <c r="G325" s="9"/>
      <c r="H325" s="11"/>
      <c r="I325" s="9" t="s">
        <v>13</v>
      </c>
      <c r="J325" s="35"/>
    </row>
    <row r="326">
      <c r="A326" s="34" t="s">
        <v>204</v>
      </c>
      <c r="B326" s="11"/>
      <c r="C326" s="8"/>
      <c r="D326" s="8"/>
      <c r="E326" s="9"/>
      <c r="F326" s="10"/>
      <c r="G326" s="9"/>
      <c r="H326" s="11"/>
      <c r="I326" s="9" t="s">
        <v>13</v>
      </c>
      <c r="J326" s="35"/>
    </row>
    <row r="327">
      <c r="A327" s="34" t="s">
        <v>204</v>
      </c>
      <c r="B327" s="11"/>
      <c r="C327" s="8"/>
      <c r="D327" s="8"/>
      <c r="E327" s="9"/>
      <c r="F327" s="10"/>
      <c r="G327" s="9"/>
      <c r="H327" s="11"/>
      <c r="I327" s="9" t="s">
        <v>13</v>
      </c>
      <c r="J327" s="35"/>
    </row>
    <row r="328">
      <c r="A328" s="34" t="s">
        <v>204</v>
      </c>
      <c r="B328" s="11"/>
      <c r="C328" s="8"/>
      <c r="D328" s="8"/>
      <c r="E328" s="9"/>
      <c r="F328" s="10"/>
      <c r="G328" s="9"/>
      <c r="H328" s="11"/>
      <c r="I328" s="9" t="s">
        <v>13</v>
      </c>
      <c r="J328" s="35"/>
    </row>
    <row r="329">
      <c r="A329" s="34" t="s">
        <v>204</v>
      </c>
      <c r="B329" s="11"/>
      <c r="C329" s="8"/>
      <c r="D329" s="8"/>
      <c r="E329" s="9"/>
      <c r="F329" s="10"/>
      <c r="G329" s="9"/>
      <c r="H329" s="11"/>
      <c r="I329" s="9" t="s">
        <v>13</v>
      </c>
      <c r="J329" s="35"/>
    </row>
    <row r="330">
      <c r="A330" s="34" t="s">
        <v>204</v>
      </c>
      <c r="B330" s="11"/>
      <c r="C330" s="8"/>
      <c r="D330" s="8"/>
      <c r="E330" s="9"/>
      <c r="F330" s="10"/>
      <c r="G330" s="9"/>
      <c r="H330" s="11"/>
      <c r="I330" s="9" t="s">
        <v>13</v>
      </c>
      <c r="J330" s="35"/>
    </row>
    <row r="331">
      <c r="A331" s="34" t="s">
        <v>204</v>
      </c>
      <c r="B331" s="11"/>
      <c r="C331" s="8"/>
      <c r="D331" s="8"/>
      <c r="E331" s="9"/>
      <c r="F331" s="10"/>
      <c r="G331" s="9"/>
      <c r="H331" s="11"/>
      <c r="I331" s="9" t="s">
        <v>13</v>
      </c>
      <c r="J331" s="35"/>
    </row>
    <row r="332">
      <c r="A332" s="34" t="s">
        <v>204</v>
      </c>
      <c r="B332" s="11"/>
      <c r="C332" s="8"/>
      <c r="D332" s="8"/>
      <c r="E332" s="9"/>
      <c r="F332" s="10"/>
      <c r="G332" s="9"/>
      <c r="H332" s="11"/>
      <c r="I332" s="9" t="s">
        <v>13</v>
      </c>
      <c r="J332" s="35"/>
    </row>
    <row r="333">
      <c r="A333" s="34" t="s">
        <v>204</v>
      </c>
      <c r="B333" s="11"/>
      <c r="C333" s="8"/>
      <c r="D333" s="8"/>
      <c r="E333" s="9"/>
      <c r="F333" s="10"/>
      <c r="G333" s="9"/>
      <c r="H333" s="11"/>
      <c r="I333" s="9" t="s">
        <v>13</v>
      </c>
      <c r="J333" s="35"/>
    </row>
    <row r="334">
      <c r="A334" s="34" t="s">
        <v>204</v>
      </c>
      <c r="B334" s="11"/>
      <c r="C334" s="8"/>
      <c r="D334" s="8"/>
      <c r="E334" s="9"/>
      <c r="F334" s="10"/>
      <c r="G334" s="9"/>
      <c r="H334" s="11"/>
      <c r="I334" s="9" t="s">
        <v>13</v>
      </c>
      <c r="J334" s="35"/>
    </row>
    <row r="335">
      <c r="A335" s="34" t="s">
        <v>204</v>
      </c>
      <c r="B335" s="11"/>
      <c r="C335" s="8"/>
      <c r="D335" s="8"/>
      <c r="E335" s="9"/>
      <c r="F335" s="10"/>
      <c r="G335" s="9"/>
      <c r="H335" s="11"/>
      <c r="I335" s="9" t="s">
        <v>13</v>
      </c>
      <c r="J335" s="35"/>
    </row>
    <row r="336">
      <c r="A336" s="34" t="s">
        <v>204</v>
      </c>
      <c r="B336" s="11"/>
      <c r="C336" s="8"/>
      <c r="D336" s="8"/>
      <c r="E336" s="9"/>
      <c r="F336" s="10"/>
      <c r="G336" s="9"/>
      <c r="H336" s="11"/>
      <c r="I336" s="9" t="s">
        <v>13</v>
      </c>
      <c r="J336" s="35"/>
    </row>
    <row r="337">
      <c r="A337" s="34" t="s">
        <v>204</v>
      </c>
      <c r="B337" s="11"/>
      <c r="C337" s="8"/>
      <c r="D337" s="8"/>
      <c r="E337" s="9"/>
      <c r="F337" s="10"/>
      <c r="G337" s="9"/>
      <c r="H337" s="11"/>
      <c r="I337" s="9" t="s">
        <v>13</v>
      </c>
      <c r="J337" s="35"/>
    </row>
    <row r="338">
      <c r="A338" s="34" t="s">
        <v>204</v>
      </c>
      <c r="B338" s="11"/>
      <c r="C338" s="8"/>
      <c r="D338" s="8"/>
      <c r="E338" s="9"/>
      <c r="F338" s="10"/>
      <c r="G338" s="9"/>
      <c r="H338" s="11"/>
      <c r="I338" s="9" t="s">
        <v>13</v>
      </c>
      <c r="J338" s="35"/>
    </row>
    <row r="339">
      <c r="A339" s="34" t="s">
        <v>204</v>
      </c>
      <c r="B339" s="11"/>
      <c r="C339" s="8"/>
      <c r="D339" s="8"/>
      <c r="E339" s="9"/>
      <c r="F339" s="10"/>
      <c r="G339" s="9"/>
      <c r="H339" s="11"/>
      <c r="I339" s="9" t="s">
        <v>13</v>
      </c>
      <c r="J339" s="35"/>
    </row>
    <row r="340">
      <c r="A340" s="34" t="s">
        <v>204</v>
      </c>
      <c r="B340" s="11"/>
      <c r="C340" s="8"/>
      <c r="D340" s="8"/>
      <c r="E340" s="9"/>
      <c r="F340" s="10"/>
      <c r="G340" s="9"/>
      <c r="H340" s="11"/>
      <c r="I340" s="9" t="s">
        <v>13</v>
      </c>
      <c r="J340" s="35"/>
    </row>
    <row r="341">
      <c r="A341" s="34" t="s">
        <v>204</v>
      </c>
      <c r="B341" s="11"/>
      <c r="C341" s="8"/>
      <c r="D341" s="8"/>
      <c r="E341" s="9"/>
      <c r="F341" s="10"/>
      <c r="G341" s="9"/>
      <c r="H341" s="11"/>
      <c r="I341" s="9" t="s">
        <v>13</v>
      </c>
      <c r="J341" s="35"/>
    </row>
    <row r="342">
      <c r="A342" s="34" t="s">
        <v>204</v>
      </c>
      <c r="B342" s="11"/>
      <c r="C342" s="8"/>
      <c r="D342" s="8"/>
      <c r="E342" s="9"/>
      <c r="F342" s="10"/>
      <c r="G342" s="9"/>
      <c r="H342" s="11"/>
      <c r="I342" s="9" t="s">
        <v>13</v>
      </c>
      <c r="J342" s="35"/>
    </row>
    <row r="343">
      <c r="A343" s="34" t="s">
        <v>204</v>
      </c>
      <c r="B343" s="11"/>
      <c r="C343" s="8"/>
      <c r="D343" s="8"/>
      <c r="E343" s="9"/>
      <c r="F343" s="10"/>
      <c r="G343" s="9"/>
      <c r="H343" s="11"/>
      <c r="I343" s="9" t="s">
        <v>13</v>
      </c>
      <c r="J343" s="35"/>
    </row>
    <row r="344">
      <c r="A344" s="34" t="s">
        <v>204</v>
      </c>
      <c r="B344" s="11"/>
      <c r="C344" s="8"/>
      <c r="D344" s="8"/>
      <c r="E344" s="9"/>
      <c r="F344" s="10"/>
      <c r="G344" s="9"/>
      <c r="H344" s="11"/>
      <c r="I344" s="9" t="s">
        <v>13</v>
      </c>
      <c r="J344" s="35"/>
    </row>
    <row r="345">
      <c r="A345" s="34" t="s">
        <v>204</v>
      </c>
      <c r="B345" s="11"/>
      <c r="C345" s="8"/>
      <c r="D345" s="8"/>
      <c r="E345" s="9"/>
      <c r="F345" s="10"/>
      <c r="G345" s="9"/>
      <c r="H345" s="11"/>
      <c r="I345" s="9" t="s">
        <v>13</v>
      </c>
      <c r="J345" s="35"/>
    </row>
    <row r="346">
      <c r="A346" s="34" t="s">
        <v>204</v>
      </c>
      <c r="B346" s="11"/>
      <c r="C346" s="8"/>
      <c r="D346" s="8"/>
      <c r="E346" s="9"/>
      <c r="F346" s="10"/>
      <c r="G346" s="9"/>
      <c r="H346" s="11"/>
      <c r="I346" s="9" t="s">
        <v>13</v>
      </c>
      <c r="J346" s="35"/>
    </row>
    <row r="347">
      <c r="A347" s="34" t="s">
        <v>204</v>
      </c>
      <c r="B347" s="11"/>
      <c r="C347" s="8"/>
      <c r="D347" s="8"/>
      <c r="E347" s="9"/>
      <c r="F347" s="10"/>
      <c r="G347" s="9"/>
      <c r="H347" s="11"/>
      <c r="I347" s="9" t="s">
        <v>13</v>
      </c>
      <c r="J347" s="35"/>
    </row>
    <row r="348">
      <c r="A348" s="34" t="s">
        <v>204</v>
      </c>
      <c r="B348" s="11"/>
      <c r="C348" s="8"/>
      <c r="D348" s="8"/>
      <c r="E348" s="9"/>
      <c r="F348" s="10"/>
      <c r="G348" s="9"/>
      <c r="H348" s="11"/>
      <c r="I348" s="9" t="s">
        <v>13</v>
      </c>
      <c r="J348" s="35"/>
    </row>
    <row r="349">
      <c r="A349" s="34" t="s">
        <v>204</v>
      </c>
      <c r="B349" s="11"/>
      <c r="C349" s="8"/>
      <c r="D349" s="8"/>
      <c r="E349" s="9"/>
      <c r="F349" s="10"/>
      <c r="G349" s="9"/>
      <c r="H349" s="11"/>
      <c r="I349" s="9" t="s">
        <v>13</v>
      </c>
      <c r="J349" s="35"/>
    </row>
    <row r="350">
      <c r="A350" s="34" t="s">
        <v>204</v>
      </c>
      <c r="B350" s="11"/>
      <c r="C350" s="8"/>
      <c r="D350" s="8"/>
      <c r="E350" s="9"/>
      <c r="F350" s="10"/>
      <c r="G350" s="9"/>
      <c r="H350" s="11"/>
      <c r="I350" s="9" t="s">
        <v>13</v>
      </c>
      <c r="J350" s="35"/>
    </row>
    <row r="351">
      <c r="A351" s="34" t="s">
        <v>204</v>
      </c>
      <c r="B351" s="11"/>
      <c r="C351" s="8"/>
      <c r="D351" s="8"/>
      <c r="E351" s="9"/>
      <c r="F351" s="10"/>
      <c r="G351" s="9"/>
      <c r="H351" s="11"/>
      <c r="I351" s="9" t="s">
        <v>13</v>
      </c>
      <c r="J351" s="35"/>
    </row>
    <row r="352">
      <c r="A352" s="34" t="s">
        <v>204</v>
      </c>
      <c r="B352" s="11"/>
      <c r="C352" s="8"/>
      <c r="D352" s="8"/>
      <c r="E352" s="9"/>
      <c r="F352" s="10"/>
      <c r="G352" s="9"/>
      <c r="H352" s="11"/>
      <c r="I352" s="9" t="s">
        <v>13</v>
      </c>
      <c r="J352" s="35"/>
    </row>
    <row r="353">
      <c r="A353" s="34" t="s">
        <v>204</v>
      </c>
      <c r="B353" s="11"/>
      <c r="C353" s="8"/>
      <c r="D353" s="8"/>
      <c r="E353" s="9"/>
      <c r="F353" s="10"/>
      <c r="G353" s="9"/>
      <c r="H353" s="11"/>
      <c r="I353" s="9" t="s">
        <v>13</v>
      </c>
      <c r="J353" s="35"/>
    </row>
    <row r="354">
      <c r="A354" s="34" t="s">
        <v>204</v>
      </c>
      <c r="B354" s="11"/>
      <c r="C354" s="8"/>
      <c r="D354" s="8"/>
      <c r="E354" s="9"/>
      <c r="F354" s="10"/>
      <c r="G354" s="9"/>
      <c r="H354" s="11"/>
      <c r="I354" s="9" t="s">
        <v>13</v>
      </c>
      <c r="J354" s="35"/>
    </row>
    <row r="355">
      <c r="A355" s="34" t="s">
        <v>204</v>
      </c>
      <c r="B355" s="11"/>
      <c r="C355" s="8"/>
      <c r="D355" s="8"/>
      <c r="E355" s="9"/>
      <c r="F355" s="10"/>
      <c r="G355" s="9"/>
      <c r="H355" s="11"/>
      <c r="I355" s="9" t="s">
        <v>13</v>
      </c>
      <c r="J355" s="35"/>
    </row>
    <row r="356">
      <c r="A356" s="34" t="s">
        <v>204</v>
      </c>
      <c r="B356" s="11"/>
      <c r="C356" s="8"/>
      <c r="D356" s="8"/>
      <c r="E356" s="9"/>
      <c r="F356" s="10"/>
      <c r="G356" s="9"/>
      <c r="H356" s="11"/>
      <c r="I356" s="9" t="s">
        <v>13</v>
      </c>
      <c r="J356" s="35"/>
    </row>
    <row r="357">
      <c r="A357" s="34" t="s">
        <v>204</v>
      </c>
      <c r="B357" s="11"/>
      <c r="C357" s="8"/>
      <c r="D357" s="8"/>
      <c r="E357" s="9"/>
      <c r="F357" s="10"/>
      <c r="G357" s="9"/>
      <c r="H357" s="11"/>
      <c r="I357" s="9" t="s">
        <v>13</v>
      </c>
      <c r="J357" s="35"/>
    </row>
    <row r="358">
      <c r="A358" s="34" t="s">
        <v>204</v>
      </c>
      <c r="B358" s="11"/>
      <c r="C358" s="8"/>
      <c r="D358" s="8"/>
      <c r="E358" s="9"/>
      <c r="F358" s="10"/>
      <c r="G358" s="9"/>
      <c r="H358" s="11"/>
      <c r="I358" s="9" t="s">
        <v>13</v>
      </c>
      <c r="J358" s="35"/>
    </row>
    <row r="359">
      <c r="A359" s="34" t="s">
        <v>204</v>
      </c>
      <c r="B359" s="11"/>
      <c r="C359" s="8"/>
      <c r="D359" s="8"/>
      <c r="E359" s="9"/>
      <c r="F359" s="10"/>
      <c r="G359" s="9"/>
      <c r="H359" s="11"/>
      <c r="I359" s="9" t="s">
        <v>13</v>
      </c>
      <c r="J359" s="35"/>
    </row>
    <row r="360">
      <c r="A360" s="34" t="s">
        <v>204</v>
      </c>
      <c r="B360" s="11"/>
      <c r="C360" s="8"/>
      <c r="D360" s="8"/>
      <c r="E360" s="9"/>
      <c r="F360" s="10"/>
      <c r="G360" s="9"/>
      <c r="H360" s="11"/>
      <c r="I360" s="9" t="s">
        <v>13</v>
      </c>
      <c r="J360" s="35"/>
    </row>
    <row r="361">
      <c r="A361" s="34" t="s">
        <v>204</v>
      </c>
      <c r="B361" s="11"/>
      <c r="C361" s="8"/>
      <c r="D361" s="8"/>
      <c r="E361" s="9"/>
      <c r="F361" s="10"/>
      <c r="G361" s="9"/>
      <c r="H361" s="11"/>
      <c r="I361" s="9" t="s">
        <v>13</v>
      </c>
      <c r="J361" s="35"/>
    </row>
    <row r="362">
      <c r="A362" s="34" t="s">
        <v>204</v>
      </c>
      <c r="B362" s="11"/>
      <c r="C362" s="8"/>
      <c r="D362" s="8"/>
      <c r="E362" s="9"/>
      <c r="F362" s="10"/>
      <c r="G362" s="9"/>
      <c r="H362" s="11"/>
      <c r="I362" s="9" t="s">
        <v>13</v>
      </c>
      <c r="J362" s="35"/>
    </row>
    <row r="363">
      <c r="A363" s="34" t="s">
        <v>204</v>
      </c>
      <c r="B363" s="11"/>
      <c r="C363" s="8"/>
      <c r="D363" s="8"/>
      <c r="E363" s="9"/>
      <c r="F363" s="10"/>
      <c r="G363" s="9"/>
      <c r="H363" s="11"/>
      <c r="I363" s="9" t="s">
        <v>13</v>
      </c>
      <c r="J363" s="35"/>
    </row>
    <row r="364">
      <c r="A364" s="34" t="s">
        <v>204</v>
      </c>
      <c r="B364" s="11"/>
      <c r="C364" s="8"/>
      <c r="D364" s="8"/>
      <c r="E364" s="9"/>
      <c r="F364" s="10"/>
      <c r="G364" s="9"/>
      <c r="H364" s="11"/>
      <c r="I364" s="9" t="s">
        <v>13</v>
      </c>
      <c r="J364" s="35"/>
    </row>
    <row r="365">
      <c r="A365" s="34" t="s">
        <v>204</v>
      </c>
      <c r="B365" s="11"/>
      <c r="C365" s="8"/>
      <c r="D365" s="8"/>
      <c r="E365" s="9"/>
      <c r="F365" s="10"/>
      <c r="G365" s="9"/>
      <c r="H365" s="11"/>
      <c r="I365" s="9" t="s">
        <v>13</v>
      </c>
      <c r="J365" s="35"/>
    </row>
    <row r="366">
      <c r="A366" s="34" t="s">
        <v>204</v>
      </c>
      <c r="B366" s="11"/>
      <c r="C366" s="8"/>
      <c r="D366" s="8"/>
      <c r="E366" s="9"/>
      <c r="F366" s="10"/>
      <c r="G366" s="9"/>
      <c r="H366" s="11"/>
      <c r="I366" s="9" t="s">
        <v>13</v>
      </c>
      <c r="J366" s="35"/>
    </row>
    <row r="367">
      <c r="A367" s="34" t="s">
        <v>204</v>
      </c>
      <c r="B367" s="11"/>
      <c r="C367" s="8"/>
      <c r="D367" s="8"/>
      <c r="E367" s="9"/>
      <c r="F367" s="10"/>
      <c r="G367" s="9"/>
      <c r="H367" s="11"/>
      <c r="I367" s="9" t="s">
        <v>13</v>
      </c>
      <c r="J367" s="35"/>
    </row>
    <row r="368">
      <c r="A368" s="34" t="s">
        <v>204</v>
      </c>
      <c r="B368" s="11"/>
      <c r="C368" s="8"/>
      <c r="D368" s="8"/>
      <c r="E368" s="9"/>
      <c r="F368" s="10"/>
      <c r="G368" s="9"/>
      <c r="H368" s="11"/>
      <c r="I368" s="9" t="s">
        <v>13</v>
      </c>
      <c r="J368" s="35"/>
    </row>
    <row r="369">
      <c r="A369" s="34" t="s">
        <v>204</v>
      </c>
      <c r="B369" s="11"/>
      <c r="C369" s="8"/>
      <c r="D369" s="8"/>
      <c r="E369" s="9"/>
      <c r="F369" s="10"/>
      <c r="G369" s="9"/>
      <c r="H369" s="11"/>
      <c r="I369" s="9" t="s">
        <v>13</v>
      </c>
      <c r="J369" s="35"/>
    </row>
    <row r="370">
      <c r="A370" s="34" t="s">
        <v>204</v>
      </c>
      <c r="B370" s="11"/>
      <c r="C370" s="8"/>
      <c r="D370" s="8"/>
      <c r="E370" s="9"/>
      <c r="F370" s="10"/>
      <c r="G370" s="9"/>
      <c r="H370" s="11"/>
      <c r="I370" s="9" t="s">
        <v>13</v>
      </c>
      <c r="J370" s="35"/>
    </row>
    <row r="371">
      <c r="A371" s="34" t="s">
        <v>204</v>
      </c>
      <c r="B371" s="11"/>
      <c r="C371" s="8"/>
      <c r="D371" s="8"/>
      <c r="E371" s="9"/>
      <c r="F371" s="10"/>
      <c r="G371" s="9"/>
      <c r="H371" s="11"/>
      <c r="I371" s="9" t="s">
        <v>13</v>
      </c>
      <c r="J371" s="35"/>
    </row>
    <row r="372">
      <c r="A372" s="34" t="s">
        <v>204</v>
      </c>
      <c r="B372" s="11"/>
      <c r="C372" s="8"/>
      <c r="D372" s="8"/>
      <c r="E372" s="9"/>
      <c r="F372" s="10"/>
      <c r="G372" s="9"/>
      <c r="H372" s="11"/>
      <c r="I372" s="9" t="s">
        <v>13</v>
      </c>
      <c r="J372" s="35"/>
    </row>
    <row r="373">
      <c r="A373" s="34" t="s">
        <v>204</v>
      </c>
      <c r="B373" s="11"/>
      <c r="C373" s="8"/>
      <c r="D373" s="8"/>
      <c r="E373" s="9"/>
      <c r="F373" s="10"/>
      <c r="G373" s="9"/>
      <c r="H373" s="11"/>
      <c r="I373" s="9" t="s">
        <v>13</v>
      </c>
      <c r="J373" s="35"/>
    </row>
    <row r="374">
      <c r="A374" s="34" t="s">
        <v>204</v>
      </c>
      <c r="B374" s="11"/>
      <c r="C374" s="8"/>
      <c r="D374" s="8"/>
      <c r="E374" s="9"/>
      <c r="F374" s="10"/>
      <c r="G374" s="9"/>
      <c r="H374" s="11"/>
      <c r="I374" s="9" t="s">
        <v>13</v>
      </c>
      <c r="J374" s="35"/>
    </row>
    <row r="375">
      <c r="A375" s="34" t="s">
        <v>204</v>
      </c>
      <c r="B375" s="11"/>
      <c r="C375" s="8"/>
      <c r="D375" s="8"/>
      <c r="E375" s="9"/>
      <c r="F375" s="10"/>
      <c r="G375" s="9"/>
      <c r="H375" s="11"/>
      <c r="I375" s="9" t="s">
        <v>13</v>
      </c>
      <c r="J375" s="35"/>
    </row>
    <row r="376">
      <c r="A376" s="34" t="s">
        <v>204</v>
      </c>
      <c r="B376" s="11"/>
      <c r="C376" s="8"/>
      <c r="D376" s="8"/>
      <c r="E376" s="9"/>
      <c r="F376" s="10"/>
      <c r="G376" s="9"/>
      <c r="H376" s="11"/>
      <c r="I376" s="9" t="s">
        <v>13</v>
      </c>
      <c r="J376" s="35"/>
    </row>
    <row r="377">
      <c r="A377" s="34" t="s">
        <v>204</v>
      </c>
      <c r="B377" s="11"/>
      <c r="C377" s="8"/>
      <c r="D377" s="8"/>
      <c r="E377" s="9"/>
      <c r="F377" s="10"/>
      <c r="G377" s="9"/>
      <c r="H377" s="11"/>
      <c r="I377" s="9" t="s">
        <v>13</v>
      </c>
      <c r="J377" s="35"/>
    </row>
    <row r="378">
      <c r="A378" s="34" t="s">
        <v>204</v>
      </c>
      <c r="B378" s="11"/>
      <c r="C378" s="8"/>
      <c r="D378" s="8"/>
      <c r="E378" s="9"/>
      <c r="F378" s="10"/>
      <c r="G378" s="9"/>
      <c r="H378" s="11"/>
      <c r="I378" s="9" t="s">
        <v>13</v>
      </c>
      <c r="J378" s="35"/>
    </row>
    <row r="379">
      <c r="A379" s="34" t="s">
        <v>204</v>
      </c>
      <c r="B379" s="11"/>
      <c r="C379" s="8"/>
      <c r="D379" s="8"/>
      <c r="E379" s="9"/>
      <c r="F379" s="10"/>
      <c r="G379" s="9"/>
      <c r="H379" s="11"/>
      <c r="I379" s="9" t="s">
        <v>13</v>
      </c>
      <c r="J379" s="35"/>
    </row>
    <row r="380">
      <c r="A380" s="34" t="s">
        <v>204</v>
      </c>
      <c r="B380" s="11"/>
      <c r="C380" s="8"/>
      <c r="D380" s="8"/>
      <c r="E380" s="9"/>
      <c r="F380" s="10"/>
      <c r="G380" s="9"/>
      <c r="H380" s="11"/>
      <c r="I380" s="9" t="s">
        <v>13</v>
      </c>
      <c r="J380" s="35"/>
    </row>
    <row r="381">
      <c r="A381" s="34" t="s">
        <v>204</v>
      </c>
      <c r="B381" s="11"/>
      <c r="C381" s="8"/>
      <c r="D381" s="8"/>
      <c r="E381" s="9"/>
      <c r="F381" s="10"/>
      <c r="G381" s="9"/>
      <c r="H381" s="11"/>
      <c r="I381" s="9" t="s">
        <v>13</v>
      </c>
      <c r="J381" s="35"/>
    </row>
    <row r="382">
      <c r="A382" s="34" t="s">
        <v>204</v>
      </c>
      <c r="B382" s="11"/>
      <c r="C382" s="8"/>
      <c r="D382" s="8"/>
      <c r="E382" s="9"/>
      <c r="F382" s="10"/>
      <c r="G382" s="9"/>
      <c r="H382" s="11"/>
      <c r="I382" s="9" t="s">
        <v>13</v>
      </c>
      <c r="J382" s="35"/>
    </row>
    <row r="383">
      <c r="A383" s="34" t="s">
        <v>204</v>
      </c>
      <c r="B383" s="11"/>
      <c r="C383" s="8"/>
      <c r="D383" s="8"/>
      <c r="E383" s="9"/>
      <c r="F383" s="10"/>
      <c r="G383" s="9"/>
      <c r="H383" s="11"/>
      <c r="I383" s="9" t="s">
        <v>13</v>
      </c>
      <c r="J383" s="35"/>
    </row>
    <row r="384">
      <c r="A384" s="34" t="s">
        <v>204</v>
      </c>
      <c r="B384" s="11"/>
      <c r="C384" s="8"/>
      <c r="D384" s="8"/>
      <c r="E384" s="9"/>
      <c r="F384" s="10"/>
      <c r="G384" s="9"/>
      <c r="H384" s="11"/>
      <c r="I384" s="9" t="s">
        <v>13</v>
      </c>
      <c r="J384" s="35"/>
    </row>
    <row r="385">
      <c r="A385" s="34" t="s">
        <v>204</v>
      </c>
      <c r="B385" s="11"/>
      <c r="C385" s="8"/>
      <c r="D385" s="8"/>
      <c r="E385" s="9"/>
      <c r="F385" s="10"/>
      <c r="G385" s="9"/>
      <c r="H385" s="11"/>
      <c r="I385" s="9" t="s">
        <v>13</v>
      </c>
      <c r="J385" s="35"/>
    </row>
    <row r="386">
      <c r="A386" s="34" t="s">
        <v>204</v>
      </c>
      <c r="B386" s="11"/>
      <c r="C386" s="8"/>
      <c r="D386" s="8"/>
      <c r="E386" s="9"/>
      <c r="F386" s="10"/>
      <c r="G386" s="9"/>
      <c r="H386" s="11"/>
      <c r="I386" s="9" t="s">
        <v>13</v>
      </c>
      <c r="J386" s="35"/>
    </row>
    <row r="387">
      <c r="A387" s="34" t="s">
        <v>204</v>
      </c>
      <c r="B387" s="11"/>
      <c r="C387" s="8"/>
      <c r="D387" s="8"/>
      <c r="E387" s="9"/>
      <c r="F387" s="10"/>
      <c r="G387" s="9"/>
      <c r="H387" s="11"/>
      <c r="I387" s="9" t="s">
        <v>13</v>
      </c>
      <c r="J387" s="35"/>
    </row>
    <row r="388">
      <c r="A388" s="34" t="s">
        <v>204</v>
      </c>
      <c r="B388" s="11"/>
      <c r="C388" s="8"/>
      <c r="D388" s="8"/>
      <c r="E388" s="9"/>
      <c r="F388" s="10"/>
      <c r="G388" s="9"/>
      <c r="H388" s="11"/>
      <c r="I388" s="9" t="s">
        <v>13</v>
      </c>
      <c r="J388" s="35"/>
    </row>
    <row r="389">
      <c r="A389" s="34" t="s">
        <v>204</v>
      </c>
      <c r="B389" s="11"/>
      <c r="C389" s="8"/>
      <c r="D389" s="8"/>
      <c r="E389" s="9"/>
      <c r="F389" s="10"/>
      <c r="G389" s="9"/>
      <c r="H389" s="11"/>
      <c r="I389" s="9" t="s">
        <v>13</v>
      </c>
      <c r="J389" s="35"/>
    </row>
    <row r="390">
      <c r="A390" s="34" t="s">
        <v>204</v>
      </c>
      <c r="B390" s="11"/>
      <c r="C390" s="8"/>
      <c r="D390" s="8"/>
      <c r="E390" s="9"/>
      <c r="F390" s="10"/>
      <c r="G390" s="9"/>
      <c r="H390" s="11"/>
      <c r="I390" s="9" t="s">
        <v>13</v>
      </c>
      <c r="J390" s="35"/>
    </row>
    <row r="391">
      <c r="A391" s="34" t="s">
        <v>204</v>
      </c>
      <c r="B391" s="11"/>
      <c r="C391" s="8"/>
      <c r="D391" s="8"/>
      <c r="E391" s="9"/>
      <c r="F391" s="10"/>
      <c r="G391" s="9"/>
      <c r="H391" s="11"/>
      <c r="I391" s="9" t="s">
        <v>13</v>
      </c>
      <c r="J391" s="35"/>
    </row>
    <row r="392">
      <c r="A392" s="34" t="s">
        <v>204</v>
      </c>
      <c r="B392" s="11"/>
      <c r="C392" s="8"/>
      <c r="D392" s="8"/>
      <c r="E392" s="9"/>
      <c r="F392" s="10"/>
      <c r="G392" s="9"/>
      <c r="H392" s="11"/>
      <c r="I392" s="9" t="s">
        <v>13</v>
      </c>
      <c r="J392" s="35"/>
    </row>
    <row r="393">
      <c r="A393" s="34" t="s">
        <v>204</v>
      </c>
      <c r="B393" s="11"/>
      <c r="C393" s="8"/>
      <c r="D393" s="8"/>
      <c r="E393" s="9"/>
      <c r="F393" s="10"/>
      <c r="G393" s="9"/>
      <c r="H393" s="11"/>
      <c r="I393" s="9" t="s">
        <v>13</v>
      </c>
      <c r="J393" s="35"/>
    </row>
    <row r="394">
      <c r="A394" s="34" t="s">
        <v>204</v>
      </c>
      <c r="B394" s="11"/>
      <c r="C394" s="8"/>
      <c r="D394" s="8"/>
      <c r="E394" s="9"/>
      <c r="F394" s="10"/>
      <c r="G394" s="9"/>
      <c r="H394" s="11"/>
      <c r="I394" s="9" t="s">
        <v>13</v>
      </c>
      <c r="J394" s="35"/>
    </row>
    <row r="395">
      <c r="A395" s="34" t="s">
        <v>204</v>
      </c>
      <c r="B395" s="11"/>
      <c r="C395" s="8"/>
      <c r="D395" s="8"/>
      <c r="E395" s="9"/>
      <c r="F395" s="10"/>
      <c r="G395" s="9"/>
      <c r="H395" s="11"/>
      <c r="I395" s="9" t="s">
        <v>13</v>
      </c>
      <c r="J395" s="35"/>
    </row>
    <row r="396">
      <c r="A396" s="34" t="s">
        <v>204</v>
      </c>
      <c r="B396" s="11"/>
      <c r="C396" s="8"/>
      <c r="D396" s="8"/>
      <c r="E396" s="9"/>
      <c r="F396" s="10"/>
      <c r="G396" s="9"/>
      <c r="H396" s="11"/>
      <c r="I396" s="9" t="s">
        <v>13</v>
      </c>
      <c r="J396" s="35"/>
    </row>
    <row r="397">
      <c r="A397" s="34" t="s">
        <v>204</v>
      </c>
      <c r="B397" s="11"/>
      <c r="C397" s="8"/>
      <c r="D397" s="8"/>
      <c r="E397" s="9"/>
      <c r="F397" s="10"/>
      <c r="G397" s="9"/>
      <c r="H397" s="11"/>
      <c r="I397" s="9" t="s">
        <v>13</v>
      </c>
      <c r="J397" s="35"/>
    </row>
    <row r="398">
      <c r="A398" s="34" t="s">
        <v>204</v>
      </c>
      <c r="B398" s="11"/>
      <c r="C398" s="8"/>
      <c r="D398" s="8"/>
      <c r="E398" s="9"/>
      <c r="F398" s="10"/>
      <c r="G398" s="9"/>
      <c r="H398" s="11"/>
      <c r="I398" s="9" t="s">
        <v>13</v>
      </c>
      <c r="J398" s="35"/>
    </row>
    <row r="399">
      <c r="A399" s="34" t="s">
        <v>204</v>
      </c>
      <c r="B399" s="11"/>
      <c r="C399" s="8"/>
      <c r="D399" s="8"/>
      <c r="E399" s="9"/>
      <c r="F399" s="10"/>
      <c r="G399" s="9"/>
      <c r="H399" s="11"/>
      <c r="I399" s="9" t="s">
        <v>13</v>
      </c>
      <c r="J399" s="35"/>
    </row>
    <row r="400">
      <c r="A400" s="34" t="s">
        <v>204</v>
      </c>
      <c r="B400" s="11"/>
      <c r="C400" s="8"/>
      <c r="D400" s="8"/>
      <c r="E400" s="9"/>
      <c r="F400" s="10"/>
      <c r="G400" s="9"/>
      <c r="H400" s="11"/>
      <c r="I400" s="9" t="s">
        <v>13</v>
      </c>
      <c r="J400" s="35"/>
    </row>
    <row r="401">
      <c r="A401" s="34" t="s">
        <v>204</v>
      </c>
      <c r="B401" s="11"/>
      <c r="C401" s="8"/>
      <c r="D401" s="8"/>
      <c r="E401" s="9"/>
      <c r="F401" s="10"/>
      <c r="G401" s="9"/>
      <c r="H401" s="11"/>
      <c r="I401" s="9" t="s">
        <v>13</v>
      </c>
      <c r="J401" s="35"/>
    </row>
    <row r="402">
      <c r="A402" s="34" t="s">
        <v>204</v>
      </c>
      <c r="B402" s="11"/>
      <c r="C402" s="8"/>
      <c r="D402" s="8"/>
      <c r="E402" s="9"/>
      <c r="F402" s="10"/>
      <c r="G402" s="9"/>
      <c r="H402" s="11"/>
      <c r="I402" s="9" t="s">
        <v>13</v>
      </c>
      <c r="J402" s="35"/>
    </row>
    <row r="403">
      <c r="A403" s="34" t="s">
        <v>204</v>
      </c>
      <c r="B403" s="11"/>
      <c r="C403" s="8"/>
      <c r="D403" s="8"/>
      <c r="E403" s="9"/>
      <c r="F403" s="10"/>
      <c r="G403" s="9"/>
      <c r="H403" s="11"/>
      <c r="I403" s="9" t="s">
        <v>13</v>
      </c>
      <c r="J403" s="35"/>
    </row>
    <row r="404">
      <c r="A404" s="34" t="s">
        <v>204</v>
      </c>
      <c r="B404" s="11"/>
      <c r="C404" s="8"/>
      <c r="D404" s="8"/>
      <c r="E404" s="9"/>
      <c r="F404" s="10"/>
      <c r="G404" s="9"/>
      <c r="H404" s="11"/>
      <c r="I404" s="9" t="s">
        <v>13</v>
      </c>
      <c r="J404" s="35"/>
    </row>
    <row r="405">
      <c r="A405" s="34" t="s">
        <v>204</v>
      </c>
      <c r="B405" s="11"/>
      <c r="C405" s="8"/>
      <c r="D405" s="8"/>
      <c r="E405" s="9"/>
      <c r="F405" s="10"/>
      <c r="G405" s="9"/>
      <c r="H405" s="11"/>
      <c r="I405" s="9" t="s">
        <v>13</v>
      </c>
      <c r="J405" s="35"/>
    </row>
    <row r="406">
      <c r="A406" s="34" t="s">
        <v>204</v>
      </c>
      <c r="B406" s="11"/>
      <c r="C406" s="8"/>
      <c r="D406" s="8"/>
      <c r="E406" s="9"/>
      <c r="F406" s="10"/>
      <c r="G406" s="9"/>
      <c r="H406" s="11"/>
      <c r="I406" s="9" t="s">
        <v>13</v>
      </c>
      <c r="J406" s="35"/>
    </row>
    <row r="407">
      <c r="A407" s="34" t="s">
        <v>204</v>
      </c>
      <c r="B407" s="11"/>
      <c r="C407" s="8"/>
      <c r="D407" s="8"/>
      <c r="E407" s="9"/>
      <c r="F407" s="10"/>
      <c r="G407" s="9"/>
      <c r="H407" s="11"/>
      <c r="I407" s="9" t="s">
        <v>13</v>
      </c>
      <c r="J407" s="35"/>
    </row>
    <row r="408">
      <c r="A408" s="34" t="s">
        <v>204</v>
      </c>
      <c r="B408" s="11"/>
      <c r="C408" s="8"/>
      <c r="D408" s="8"/>
      <c r="E408" s="9"/>
      <c r="F408" s="10"/>
      <c r="G408" s="9"/>
      <c r="H408" s="11"/>
      <c r="I408" s="9" t="s">
        <v>13</v>
      </c>
      <c r="J408" s="35"/>
    </row>
    <row r="409">
      <c r="A409" s="34" t="s">
        <v>204</v>
      </c>
      <c r="B409" s="11"/>
      <c r="C409" s="8"/>
      <c r="D409" s="8"/>
      <c r="E409" s="9"/>
      <c r="F409" s="10"/>
      <c r="G409" s="9"/>
      <c r="H409" s="11"/>
      <c r="I409" s="9" t="s">
        <v>13</v>
      </c>
      <c r="J409" s="35"/>
    </row>
    <row r="410">
      <c r="A410" s="34" t="s">
        <v>204</v>
      </c>
      <c r="B410" s="11"/>
      <c r="C410" s="8"/>
      <c r="D410" s="8"/>
      <c r="E410" s="9"/>
      <c r="F410" s="10"/>
      <c r="G410" s="9"/>
      <c r="H410" s="11"/>
      <c r="I410" s="9" t="s">
        <v>13</v>
      </c>
      <c r="J410" s="35"/>
    </row>
    <row r="411">
      <c r="A411" s="34" t="s">
        <v>204</v>
      </c>
      <c r="B411" s="11"/>
      <c r="C411" s="8"/>
      <c r="D411" s="8"/>
      <c r="E411" s="9"/>
      <c r="F411" s="10"/>
      <c r="G411" s="9"/>
      <c r="H411" s="11"/>
      <c r="I411" s="9" t="s">
        <v>13</v>
      </c>
      <c r="J411" s="35"/>
    </row>
    <row r="412">
      <c r="A412" s="34" t="s">
        <v>204</v>
      </c>
      <c r="B412" s="11"/>
      <c r="C412" s="8"/>
      <c r="D412" s="8"/>
      <c r="E412" s="9"/>
      <c r="F412" s="10"/>
      <c r="G412" s="9"/>
      <c r="H412" s="11"/>
      <c r="I412" s="9" t="s">
        <v>13</v>
      </c>
      <c r="J412" s="35"/>
    </row>
    <row r="413">
      <c r="A413" s="34" t="s">
        <v>204</v>
      </c>
      <c r="B413" s="11"/>
      <c r="C413" s="8"/>
      <c r="D413" s="8"/>
      <c r="E413" s="9"/>
      <c r="F413" s="10"/>
      <c r="G413" s="9"/>
      <c r="H413" s="11"/>
      <c r="I413" s="9" t="s">
        <v>13</v>
      </c>
      <c r="J413" s="35"/>
    </row>
    <row r="414">
      <c r="A414" s="34" t="s">
        <v>204</v>
      </c>
      <c r="B414" s="11"/>
      <c r="C414" s="8"/>
      <c r="D414" s="8"/>
      <c r="E414" s="9"/>
      <c r="F414" s="10"/>
      <c r="G414" s="9"/>
      <c r="H414" s="11"/>
      <c r="I414" s="9" t="s">
        <v>13</v>
      </c>
      <c r="J414" s="35"/>
    </row>
    <row r="415">
      <c r="A415" s="34" t="s">
        <v>204</v>
      </c>
      <c r="B415" s="11"/>
      <c r="C415" s="8"/>
      <c r="D415" s="8"/>
      <c r="E415" s="9"/>
      <c r="F415" s="10"/>
      <c r="G415" s="9"/>
      <c r="H415" s="11"/>
      <c r="I415" s="9" t="s">
        <v>13</v>
      </c>
      <c r="J415" s="35"/>
    </row>
    <row r="416">
      <c r="A416" s="34" t="s">
        <v>204</v>
      </c>
      <c r="B416" s="11"/>
      <c r="C416" s="8"/>
      <c r="D416" s="8"/>
      <c r="E416" s="9"/>
      <c r="F416" s="10"/>
      <c r="G416" s="9"/>
      <c r="H416" s="11"/>
      <c r="I416" s="9" t="s">
        <v>13</v>
      </c>
      <c r="J416" s="35"/>
    </row>
    <row r="417">
      <c r="A417" s="34" t="s">
        <v>204</v>
      </c>
      <c r="B417" s="11"/>
      <c r="C417" s="8"/>
      <c r="D417" s="8"/>
      <c r="E417" s="9"/>
      <c r="F417" s="10"/>
      <c r="G417" s="9"/>
      <c r="H417" s="11"/>
      <c r="I417" s="9" t="s">
        <v>13</v>
      </c>
      <c r="J417" s="35"/>
    </row>
    <row r="418">
      <c r="A418" s="34" t="s">
        <v>204</v>
      </c>
      <c r="B418" s="11"/>
      <c r="C418" s="8"/>
      <c r="D418" s="8"/>
      <c r="E418" s="9"/>
      <c r="F418" s="10"/>
      <c r="G418" s="9"/>
      <c r="H418" s="11"/>
      <c r="I418" s="9" t="s">
        <v>13</v>
      </c>
      <c r="J418" s="35"/>
    </row>
    <row r="419">
      <c r="A419" s="34" t="s">
        <v>204</v>
      </c>
      <c r="B419" s="11"/>
      <c r="C419" s="8"/>
      <c r="D419" s="8"/>
      <c r="E419" s="9"/>
      <c r="F419" s="10"/>
      <c r="G419" s="9"/>
      <c r="H419" s="11"/>
      <c r="I419" s="9" t="s">
        <v>13</v>
      </c>
      <c r="J419" s="35"/>
    </row>
    <row r="420">
      <c r="A420" s="34" t="s">
        <v>204</v>
      </c>
      <c r="B420" s="11"/>
      <c r="C420" s="8"/>
      <c r="D420" s="8"/>
      <c r="E420" s="9"/>
      <c r="F420" s="10"/>
      <c r="G420" s="9"/>
      <c r="H420" s="11"/>
      <c r="I420" s="9" t="s">
        <v>13</v>
      </c>
      <c r="J420" s="35"/>
    </row>
    <row r="421">
      <c r="A421" s="34" t="s">
        <v>204</v>
      </c>
      <c r="B421" s="11"/>
      <c r="C421" s="8"/>
      <c r="D421" s="8"/>
      <c r="E421" s="9"/>
      <c r="F421" s="10"/>
      <c r="G421" s="9"/>
      <c r="H421" s="11"/>
      <c r="I421" s="9" t="s">
        <v>13</v>
      </c>
      <c r="J421" s="35"/>
    </row>
    <row r="422">
      <c r="A422" s="34" t="s">
        <v>204</v>
      </c>
      <c r="B422" s="11"/>
      <c r="C422" s="8"/>
      <c r="D422" s="8"/>
      <c r="E422" s="9"/>
      <c r="F422" s="10"/>
      <c r="G422" s="9"/>
      <c r="H422" s="11"/>
      <c r="I422" s="9" t="s">
        <v>13</v>
      </c>
      <c r="J422" s="35"/>
    </row>
    <row r="423">
      <c r="A423" s="34" t="s">
        <v>204</v>
      </c>
      <c r="B423" s="11"/>
      <c r="C423" s="8"/>
      <c r="D423" s="8"/>
      <c r="E423" s="9"/>
      <c r="F423" s="10"/>
      <c r="G423" s="9"/>
      <c r="H423" s="11"/>
      <c r="I423" s="9" t="s">
        <v>13</v>
      </c>
      <c r="J423" s="35"/>
    </row>
    <row r="424">
      <c r="A424" s="34" t="s">
        <v>204</v>
      </c>
      <c r="B424" s="11"/>
      <c r="C424" s="8"/>
      <c r="D424" s="8"/>
      <c r="E424" s="9"/>
      <c r="F424" s="10"/>
      <c r="G424" s="9"/>
      <c r="H424" s="11"/>
      <c r="I424" s="9" t="s">
        <v>13</v>
      </c>
      <c r="J424" s="35"/>
    </row>
    <row r="425">
      <c r="A425" s="34" t="s">
        <v>204</v>
      </c>
      <c r="B425" s="11"/>
      <c r="C425" s="8"/>
      <c r="D425" s="8"/>
      <c r="E425" s="9"/>
      <c r="F425" s="10"/>
      <c r="G425" s="9"/>
      <c r="H425" s="11"/>
      <c r="I425" s="9" t="s">
        <v>13</v>
      </c>
      <c r="J425" s="35"/>
    </row>
    <row r="426">
      <c r="A426" s="34" t="s">
        <v>204</v>
      </c>
      <c r="B426" s="11"/>
      <c r="C426" s="8"/>
      <c r="D426" s="8"/>
      <c r="E426" s="9"/>
      <c r="F426" s="10"/>
      <c r="G426" s="9"/>
      <c r="H426" s="11"/>
      <c r="I426" s="9" t="s">
        <v>13</v>
      </c>
      <c r="J426" s="35"/>
    </row>
    <row r="427">
      <c r="A427" s="34" t="s">
        <v>204</v>
      </c>
      <c r="B427" s="11"/>
      <c r="C427" s="8"/>
      <c r="D427" s="8"/>
      <c r="E427" s="9"/>
      <c r="F427" s="10"/>
      <c r="G427" s="9"/>
      <c r="H427" s="11"/>
      <c r="I427" s="9" t="s">
        <v>13</v>
      </c>
      <c r="J427" s="35"/>
    </row>
    <row r="428">
      <c r="A428" s="34" t="s">
        <v>204</v>
      </c>
      <c r="B428" s="11"/>
      <c r="C428" s="8"/>
      <c r="D428" s="8"/>
      <c r="E428" s="9"/>
      <c r="F428" s="10"/>
      <c r="G428" s="9"/>
      <c r="H428" s="11"/>
      <c r="I428" s="9" t="s">
        <v>13</v>
      </c>
      <c r="J428" s="35"/>
    </row>
    <row r="429">
      <c r="A429" s="34" t="s">
        <v>204</v>
      </c>
      <c r="B429" s="11"/>
      <c r="C429" s="8"/>
      <c r="D429" s="8"/>
      <c r="E429" s="9"/>
      <c r="F429" s="10"/>
      <c r="G429" s="9"/>
      <c r="H429" s="11"/>
      <c r="I429" s="9" t="s">
        <v>13</v>
      </c>
      <c r="J429" s="35"/>
    </row>
    <row r="430">
      <c r="A430" s="34" t="s">
        <v>204</v>
      </c>
      <c r="B430" s="11"/>
      <c r="C430" s="8"/>
      <c r="D430" s="8"/>
      <c r="E430" s="9"/>
      <c r="F430" s="10"/>
      <c r="G430" s="9"/>
      <c r="H430" s="11"/>
      <c r="I430" s="9" t="s">
        <v>13</v>
      </c>
      <c r="J430" s="35"/>
    </row>
    <row r="431">
      <c r="A431" s="34" t="s">
        <v>204</v>
      </c>
      <c r="B431" s="11"/>
      <c r="C431" s="8"/>
      <c r="D431" s="8"/>
      <c r="E431" s="9"/>
      <c r="F431" s="10"/>
      <c r="G431" s="9"/>
      <c r="H431" s="11"/>
      <c r="I431" s="9" t="s">
        <v>13</v>
      </c>
      <c r="J431" s="35"/>
    </row>
    <row r="432">
      <c r="A432" s="34" t="s">
        <v>204</v>
      </c>
      <c r="B432" s="11"/>
      <c r="C432" s="8"/>
      <c r="D432" s="8"/>
      <c r="E432" s="9"/>
      <c r="F432" s="10"/>
      <c r="G432" s="9"/>
      <c r="H432" s="11"/>
      <c r="I432" s="9" t="s">
        <v>13</v>
      </c>
      <c r="J432" s="35"/>
    </row>
    <row r="433">
      <c r="A433" s="34" t="s">
        <v>204</v>
      </c>
      <c r="B433" s="11"/>
      <c r="C433" s="8"/>
      <c r="D433" s="8"/>
      <c r="E433" s="9"/>
      <c r="F433" s="10"/>
      <c r="G433" s="9"/>
      <c r="H433" s="11"/>
      <c r="I433" s="9" t="s">
        <v>13</v>
      </c>
      <c r="J433" s="35"/>
    </row>
    <row r="434">
      <c r="A434" s="34" t="s">
        <v>204</v>
      </c>
      <c r="B434" s="11"/>
      <c r="C434" s="8"/>
      <c r="D434" s="8"/>
      <c r="E434" s="9"/>
      <c r="F434" s="10"/>
      <c r="G434" s="9"/>
      <c r="H434" s="11"/>
      <c r="I434" s="9" t="s">
        <v>13</v>
      </c>
      <c r="J434" s="35"/>
    </row>
    <row r="435">
      <c r="A435" s="34" t="s">
        <v>204</v>
      </c>
      <c r="B435" s="11"/>
      <c r="C435" s="8"/>
      <c r="D435" s="8"/>
      <c r="E435" s="9"/>
      <c r="F435" s="10"/>
      <c r="G435" s="9"/>
      <c r="H435" s="11"/>
      <c r="I435" s="9" t="s">
        <v>13</v>
      </c>
      <c r="J435" s="35"/>
    </row>
    <row r="436">
      <c r="A436" s="34" t="s">
        <v>204</v>
      </c>
      <c r="B436" s="11"/>
      <c r="C436" s="8"/>
      <c r="D436" s="8"/>
      <c r="E436" s="9"/>
      <c r="F436" s="10"/>
      <c r="G436" s="9"/>
      <c r="H436" s="11"/>
      <c r="I436" s="9" t="s">
        <v>13</v>
      </c>
      <c r="J436" s="35"/>
    </row>
    <row r="437">
      <c r="A437" s="34" t="s">
        <v>204</v>
      </c>
      <c r="B437" s="11"/>
      <c r="C437" s="8"/>
      <c r="D437" s="8"/>
      <c r="E437" s="9"/>
      <c r="F437" s="10"/>
      <c r="G437" s="9"/>
      <c r="H437" s="11"/>
      <c r="I437" s="9" t="s">
        <v>13</v>
      </c>
      <c r="J437" s="35"/>
    </row>
    <row r="438">
      <c r="A438" s="34" t="s">
        <v>204</v>
      </c>
      <c r="B438" s="11"/>
      <c r="C438" s="8"/>
      <c r="D438" s="8"/>
      <c r="E438" s="9"/>
      <c r="F438" s="10"/>
      <c r="G438" s="9"/>
      <c r="H438" s="11"/>
      <c r="I438" s="9" t="s">
        <v>13</v>
      </c>
      <c r="J438" s="35"/>
    </row>
    <row r="439">
      <c r="A439" s="34" t="s">
        <v>204</v>
      </c>
      <c r="B439" s="11"/>
      <c r="C439" s="8"/>
      <c r="D439" s="8"/>
      <c r="E439" s="9"/>
      <c r="F439" s="10"/>
      <c r="G439" s="9"/>
      <c r="H439" s="11"/>
      <c r="I439" s="9" t="s">
        <v>13</v>
      </c>
      <c r="J439" s="35"/>
    </row>
    <row r="440">
      <c r="A440" s="34" t="s">
        <v>204</v>
      </c>
      <c r="B440" s="11"/>
      <c r="C440" s="8"/>
      <c r="D440" s="8"/>
      <c r="E440" s="9"/>
      <c r="F440" s="10"/>
      <c r="G440" s="9"/>
      <c r="H440" s="11"/>
      <c r="I440" s="9" t="s">
        <v>13</v>
      </c>
      <c r="J440" s="35"/>
    </row>
    <row r="441">
      <c r="A441" s="34" t="s">
        <v>204</v>
      </c>
      <c r="B441" s="11"/>
      <c r="C441" s="8"/>
      <c r="D441" s="8"/>
      <c r="E441" s="9"/>
      <c r="F441" s="10"/>
      <c r="G441" s="9"/>
      <c r="H441" s="11"/>
      <c r="I441" s="9" t="s">
        <v>13</v>
      </c>
      <c r="J441" s="35"/>
    </row>
    <row r="442">
      <c r="A442" s="34" t="s">
        <v>204</v>
      </c>
      <c r="B442" s="11"/>
      <c r="C442" s="8"/>
      <c r="D442" s="8"/>
      <c r="E442" s="9"/>
      <c r="F442" s="10"/>
      <c r="G442" s="9"/>
      <c r="H442" s="11"/>
      <c r="I442" s="9" t="s">
        <v>13</v>
      </c>
      <c r="J442" s="35"/>
    </row>
    <row r="443">
      <c r="A443" s="34" t="s">
        <v>204</v>
      </c>
      <c r="B443" s="11"/>
      <c r="C443" s="8"/>
      <c r="D443" s="8"/>
      <c r="E443" s="9"/>
      <c r="F443" s="10"/>
      <c r="G443" s="9"/>
      <c r="H443" s="11"/>
      <c r="I443" s="9" t="s">
        <v>13</v>
      </c>
      <c r="J443" s="35"/>
    </row>
    <row r="444">
      <c r="A444" s="34" t="s">
        <v>204</v>
      </c>
      <c r="B444" s="11"/>
      <c r="C444" s="8"/>
      <c r="D444" s="8"/>
      <c r="E444" s="9"/>
      <c r="F444" s="10"/>
      <c r="G444" s="9"/>
      <c r="H444" s="11"/>
      <c r="I444" s="9" t="s">
        <v>13</v>
      </c>
      <c r="J444" s="35"/>
    </row>
    <row r="445">
      <c r="A445" s="34" t="s">
        <v>204</v>
      </c>
      <c r="B445" s="11"/>
      <c r="C445" s="8"/>
      <c r="D445" s="8"/>
      <c r="E445" s="9"/>
      <c r="F445" s="10"/>
      <c r="G445" s="9"/>
      <c r="H445" s="11"/>
      <c r="I445" s="9" t="s">
        <v>13</v>
      </c>
      <c r="J445" s="35"/>
    </row>
    <row r="446">
      <c r="A446" s="34" t="s">
        <v>204</v>
      </c>
      <c r="B446" s="11"/>
      <c r="C446" s="8"/>
      <c r="D446" s="8"/>
      <c r="E446" s="9"/>
      <c r="F446" s="10"/>
      <c r="G446" s="9"/>
      <c r="H446" s="11"/>
      <c r="I446" s="9" t="s">
        <v>13</v>
      </c>
      <c r="J446" s="35"/>
    </row>
    <row r="447">
      <c r="A447" s="34" t="s">
        <v>204</v>
      </c>
      <c r="B447" s="11"/>
      <c r="C447" s="8"/>
      <c r="D447" s="8"/>
      <c r="E447" s="9"/>
      <c r="F447" s="10"/>
      <c r="G447" s="9"/>
      <c r="H447" s="11"/>
      <c r="I447" s="9" t="s">
        <v>13</v>
      </c>
      <c r="J447" s="35"/>
    </row>
    <row r="448">
      <c r="A448" s="34" t="s">
        <v>204</v>
      </c>
      <c r="B448" s="11"/>
      <c r="C448" s="8"/>
      <c r="D448" s="8"/>
      <c r="E448" s="9"/>
      <c r="F448" s="10"/>
      <c r="G448" s="9"/>
      <c r="H448" s="11"/>
      <c r="I448" s="9" t="s">
        <v>13</v>
      </c>
      <c r="J448" s="35"/>
    </row>
    <row r="449">
      <c r="A449" s="34" t="s">
        <v>204</v>
      </c>
      <c r="B449" s="11"/>
      <c r="C449" s="8"/>
      <c r="D449" s="8"/>
      <c r="E449" s="9"/>
      <c r="F449" s="10"/>
      <c r="G449" s="9"/>
      <c r="H449" s="11"/>
      <c r="I449" s="9" t="s">
        <v>13</v>
      </c>
      <c r="J449" s="35"/>
    </row>
    <row r="450">
      <c r="A450" s="34" t="s">
        <v>204</v>
      </c>
      <c r="B450" s="11"/>
      <c r="C450" s="8"/>
      <c r="D450" s="8"/>
      <c r="E450" s="9"/>
      <c r="F450" s="10"/>
      <c r="G450" s="9"/>
      <c r="H450" s="11"/>
      <c r="I450" s="9" t="s">
        <v>13</v>
      </c>
      <c r="J450" s="35"/>
    </row>
    <row r="451">
      <c r="A451" s="34" t="s">
        <v>204</v>
      </c>
      <c r="B451" s="11"/>
      <c r="C451" s="8"/>
      <c r="D451" s="8"/>
      <c r="E451" s="9"/>
      <c r="F451" s="10"/>
      <c r="G451" s="9"/>
      <c r="H451" s="11"/>
      <c r="I451" s="9" t="s">
        <v>13</v>
      </c>
      <c r="J451" s="35"/>
    </row>
    <row r="452">
      <c r="A452" s="34" t="s">
        <v>204</v>
      </c>
      <c r="B452" s="11"/>
      <c r="C452" s="8"/>
      <c r="D452" s="8"/>
      <c r="E452" s="9"/>
      <c r="F452" s="10"/>
      <c r="G452" s="9"/>
      <c r="H452" s="11"/>
      <c r="I452" s="9" t="s">
        <v>13</v>
      </c>
      <c r="J452" s="35"/>
    </row>
    <row r="453">
      <c r="A453" s="34" t="s">
        <v>204</v>
      </c>
      <c r="B453" s="11"/>
      <c r="C453" s="8"/>
      <c r="D453" s="8"/>
      <c r="E453" s="9"/>
      <c r="F453" s="10"/>
      <c r="G453" s="9"/>
      <c r="H453" s="11"/>
      <c r="I453" s="9" t="s">
        <v>13</v>
      </c>
      <c r="J453" s="35"/>
    </row>
    <row r="454">
      <c r="A454" s="34" t="s">
        <v>204</v>
      </c>
      <c r="B454" s="11"/>
      <c r="C454" s="8"/>
      <c r="D454" s="8"/>
      <c r="E454" s="9"/>
      <c r="F454" s="10"/>
      <c r="G454" s="9"/>
      <c r="H454" s="11"/>
      <c r="I454" s="9" t="s">
        <v>13</v>
      </c>
      <c r="J454" s="35"/>
    </row>
    <row r="455">
      <c r="A455" s="34" t="s">
        <v>204</v>
      </c>
      <c r="B455" s="11"/>
      <c r="C455" s="8"/>
      <c r="D455" s="8"/>
      <c r="E455" s="9"/>
      <c r="F455" s="10"/>
      <c r="G455" s="9"/>
      <c r="H455" s="11"/>
      <c r="I455" s="9" t="s">
        <v>13</v>
      </c>
      <c r="J455" s="35"/>
    </row>
    <row r="456">
      <c r="A456" s="34" t="s">
        <v>204</v>
      </c>
      <c r="B456" s="11"/>
      <c r="C456" s="8"/>
      <c r="D456" s="8"/>
      <c r="E456" s="9"/>
      <c r="F456" s="10"/>
      <c r="G456" s="9"/>
      <c r="H456" s="11"/>
      <c r="I456" s="9" t="s">
        <v>13</v>
      </c>
      <c r="J456" s="35"/>
    </row>
    <row r="457">
      <c r="A457" s="34" t="s">
        <v>204</v>
      </c>
      <c r="B457" s="11"/>
      <c r="C457" s="8"/>
      <c r="D457" s="8"/>
      <c r="E457" s="9"/>
      <c r="F457" s="10"/>
      <c r="G457" s="9"/>
      <c r="H457" s="11"/>
      <c r="I457" s="9" t="s">
        <v>13</v>
      </c>
      <c r="J457" s="35"/>
    </row>
    <row r="458">
      <c r="A458" s="34" t="s">
        <v>204</v>
      </c>
      <c r="B458" s="11"/>
      <c r="C458" s="8"/>
      <c r="D458" s="8"/>
      <c r="E458" s="9"/>
      <c r="F458" s="10"/>
      <c r="G458" s="9"/>
      <c r="H458" s="11"/>
      <c r="I458" s="9" t="s">
        <v>13</v>
      </c>
      <c r="J458" s="35"/>
    </row>
    <row r="459">
      <c r="A459" s="34" t="s">
        <v>204</v>
      </c>
      <c r="B459" s="11"/>
      <c r="C459" s="8"/>
      <c r="D459" s="8"/>
      <c r="E459" s="9"/>
      <c r="F459" s="10"/>
      <c r="G459" s="9"/>
      <c r="H459" s="11"/>
      <c r="I459" s="9" t="s">
        <v>13</v>
      </c>
      <c r="J459" s="35"/>
    </row>
    <row r="460">
      <c r="A460" s="34" t="s">
        <v>204</v>
      </c>
      <c r="B460" s="11"/>
      <c r="C460" s="8"/>
      <c r="D460" s="8"/>
      <c r="E460" s="9"/>
      <c r="F460" s="10"/>
      <c r="G460" s="9"/>
      <c r="H460" s="11"/>
      <c r="I460" s="9" t="s">
        <v>13</v>
      </c>
      <c r="J460" s="35"/>
    </row>
    <row r="461">
      <c r="A461" s="34" t="s">
        <v>204</v>
      </c>
      <c r="B461" s="11"/>
      <c r="C461" s="8"/>
      <c r="D461" s="8"/>
      <c r="E461" s="9"/>
      <c r="F461" s="10"/>
      <c r="G461" s="9"/>
      <c r="H461" s="11"/>
      <c r="I461" s="9" t="s">
        <v>13</v>
      </c>
      <c r="J461" s="35"/>
    </row>
    <row r="462">
      <c r="A462" s="34" t="s">
        <v>204</v>
      </c>
      <c r="B462" s="11"/>
      <c r="C462" s="8"/>
      <c r="D462" s="8"/>
      <c r="E462" s="9"/>
      <c r="F462" s="10"/>
      <c r="G462" s="9"/>
      <c r="H462" s="11"/>
      <c r="I462" s="9" t="s">
        <v>13</v>
      </c>
      <c r="J462" s="35"/>
    </row>
    <row r="463">
      <c r="A463" s="34" t="s">
        <v>204</v>
      </c>
      <c r="B463" s="11"/>
      <c r="C463" s="8"/>
      <c r="D463" s="8"/>
      <c r="E463" s="9"/>
      <c r="F463" s="10"/>
      <c r="G463" s="9"/>
      <c r="H463" s="11"/>
      <c r="I463" s="9" t="s">
        <v>13</v>
      </c>
      <c r="J463" s="35"/>
    </row>
    <row r="464">
      <c r="A464" s="34" t="s">
        <v>204</v>
      </c>
      <c r="B464" s="11"/>
      <c r="C464" s="8"/>
      <c r="D464" s="8"/>
      <c r="E464" s="9"/>
      <c r="F464" s="10"/>
      <c r="G464" s="9"/>
      <c r="H464" s="11"/>
      <c r="I464" s="9" t="s">
        <v>13</v>
      </c>
      <c r="J464" s="35"/>
    </row>
    <row r="465">
      <c r="A465" s="34" t="s">
        <v>204</v>
      </c>
      <c r="B465" s="11"/>
      <c r="C465" s="8"/>
      <c r="D465" s="8"/>
      <c r="E465" s="9"/>
      <c r="F465" s="10"/>
      <c r="G465" s="9"/>
      <c r="H465" s="11"/>
      <c r="I465" s="9" t="s">
        <v>13</v>
      </c>
      <c r="J465" s="35"/>
    </row>
    <row r="466">
      <c r="A466" s="34" t="s">
        <v>204</v>
      </c>
      <c r="B466" s="11"/>
      <c r="C466" s="8"/>
      <c r="D466" s="8"/>
      <c r="E466" s="9"/>
      <c r="F466" s="10"/>
      <c r="G466" s="9"/>
      <c r="H466" s="11"/>
      <c r="I466" s="9" t="s">
        <v>13</v>
      </c>
      <c r="J466" s="35"/>
    </row>
    <row r="467">
      <c r="A467" s="34" t="s">
        <v>204</v>
      </c>
      <c r="B467" s="11"/>
      <c r="C467" s="8"/>
      <c r="D467" s="8"/>
      <c r="E467" s="9"/>
      <c r="F467" s="10"/>
      <c r="G467" s="9"/>
      <c r="H467" s="11"/>
      <c r="I467" s="9" t="s">
        <v>13</v>
      </c>
      <c r="J467" s="35"/>
    </row>
    <row r="468">
      <c r="A468" s="34" t="s">
        <v>204</v>
      </c>
      <c r="B468" s="11"/>
      <c r="C468" s="8"/>
      <c r="D468" s="8"/>
      <c r="E468" s="9"/>
      <c r="F468" s="10"/>
      <c r="G468" s="9"/>
      <c r="H468" s="11"/>
      <c r="I468" s="9" t="s">
        <v>13</v>
      </c>
      <c r="J468" s="35"/>
    </row>
    <row r="469">
      <c r="A469" s="34" t="s">
        <v>204</v>
      </c>
      <c r="B469" s="11"/>
      <c r="C469" s="8"/>
      <c r="D469" s="8"/>
      <c r="E469" s="9"/>
      <c r="F469" s="10"/>
      <c r="G469" s="9"/>
      <c r="H469" s="11"/>
      <c r="I469" s="9" t="s">
        <v>13</v>
      </c>
      <c r="J469" s="35"/>
    </row>
    <row r="470">
      <c r="A470" s="34" t="s">
        <v>204</v>
      </c>
      <c r="B470" s="11"/>
      <c r="C470" s="8"/>
      <c r="D470" s="8"/>
      <c r="E470" s="9"/>
      <c r="F470" s="10"/>
      <c r="G470" s="9"/>
      <c r="H470" s="11"/>
      <c r="I470" s="9" t="s">
        <v>13</v>
      </c>
      <c r="J470" s="35"/>
    </row>
    <row r="471">
      <c r="A471" s="34" t="s">
        <v>204</v>
      </c>
      <c r="B471" s="11"/>
      <c r="C471" s="8"/>
      <c r="D471" s="8"/>
      <c r="E471" s="9"/>
      <c r="F471" s="10"/>
      <c r="G471" s="9"/>
      <c r="H471" s="11"/>
      <c r="I471" s="9" t="s">
        <v>13</v>
      </c>
      <c r="J471" s="35"/>
    </row>
    <row r="472">
      <c r="A472" s="34" t="s">
        <v>204</v>
      </c>
      <c r="B472" s="11"/>
      <c r="C472" s="8"/>
      <c r="D472" s="8"/>
      <c r="E472" s="9"/>
      <c r="F472" s="10"/>
      <c r="G472" s="9"/>
      <c r="H472" s="11"/>
      <c r="I472" s="9" t="s">
        <v>13</v>
      </c>
      <c r="J472" s="35"/>
    </row>
    <row r="473">
      <c r="A473" s="34" t="s">
        <v>204</v>
      </c>
      <c r="B473" s="11"/>
      <c r="C473" s="8"/>
      <c r="D473" s="8"/>
      <c r="E473" s="9"/>
      <c r="F473" s="10"/>
      <c r="G473" s="9"/>
      <c r="H473" s="11"/>
      <c r="I473" s="9" t="s">
        <v>13</v>
      </c>
      <c r="J473" s="35"/>
    </row>
    <row r="474">
      <c r="A474" s="34" t="s">
        <v>204</v>
      </c>
      <c r="B474" s="11"/>
      <c r="C474" s="8"/>
      <c r="D474" s="8"/>
      <c r="E474" s="9"/>
      <c r="F474" s="10"/>
      <c r="G474" s="9"/>
      <c r="H474" s="11"/>
      <c r="I474" s="9" t="s">
        <v>13</v>
      </c>
      <c r="J474" s="35"/>
    </row>
    <row r="475">
      <c r="A475" s="34" t="s">
        <v>204</v>
      </c>
      <c r="B475" s="11"/>
      <c r="C475" s="8"/>
      <c r="D475" s="8"/>
      <c r="E475" s="9"/>
      <c r="F475" s="10"/>
      <c r="G475" s="9"/>
      <c r="H475" s="11"/>
      <c r="I475" s="9" t="s">
        <v>13</v>
      </c>
      <c r="J475" s="35"/>
    </row>
    <row r="476">
      <c r="A476" s="34" t="s">
        <v>204</v>
      </c>
      <c r="B476" s="11"/>
      <c r="C476" s="8"/>
      <c r="D476" s="8"/>
      <c r="E476" s="9"/>
      <c r="F476" s="10"/>
      <c r="G476" s="9"/>
      <c r="H476" s="11"/>
      <c r="I476" s="9" t="s">
        <v>13</v>
      </c>
      <c r="J476" s="35"/>
    </row>
    <row r="477">
      <c r="A477" s="34" t="s">
        <v>204</v>
      </c>
      <c r="B477" s="11"/>
      <c r="C477" s="8"/>
      <c r="D477" s="8"/>
      <c r="E477" s="9"/>
      <c r="F477" s="10"/>
      <c r="G477" s="9"/>
      <c r="H477" s="11"/>
      <c r="I477" s="9" t="s">
        <v>13</v>
      </c>
      <c r="J477" s="35"/>
    </row>
    <row r="478">
      <c r="A478" s="34" t="s">
        <v>204</v>
      </c>
      <c r="B478" s="11"/>
      <c r="C478" s="8"/>
      <c r="D478" s="8"/>
      <c r="E478" s="9"/>
      <c r="F478" s="10"/>
      <c r="G478" s="9"/>
      <c r="H478" s="11"/>
      <c r="I478" s="9" t="s">
        <v>13</v>
      </c>
      <c r="J478" s="35"/>
    </row>
    <row r="479">
      <c r="A479" s="34" t="s">
        <v>204</v>
      </c>
      <c r="B479" s="11"/>
      <c r="C479" s="8"/>
      <c r="D479" s="8"/>
      <c r="E479" s="9"/>
      <c r="F479" s="10"/>
      <c r="G479" s="9"/>
      <c r="H479" s="11"/>
      <c r="I479" s="9" t="s">
        <v>13</v>
      </c>
      <c r="J479" s="35"/>
    </row>
    <row r="480">
      <c r="A480" s="34" t="s">
        <v>204</v>
      </c>
      <c r="B480" s="11"/>
      <c r="C480" s="8"/>
      <c r="D480" s="8"/>
      <c r="E480" s="9"/>
      <c r="F480" s="10"/>
      <c r="G480" s="9"/>
      <c r="H480" s="11"/>
      <c r="I480" s="9" t="s">
        <v>13</v>
      </c>
      <c r="J480" s="35"/>
    </row>
    <row r="481">
      <c r="A481" s="34" t="s">
        <v>204</v>
      </c>
      <c r="B481" s="11"/>
      <c r="C481" s="8"/>
      <c r="D481" s="8"/>
      <c r="E481" s="9"/>
      <c r="F481" s="10"/>
      <c r="G481" s="9"/>
      <c r="H481" s="11"/>
      <c r="I481" s="9" t="s">
        <v>13</v>
      </c>
      <c r="J481" s="35"/>
    </row>
    <row r="482">
      <c r="A482" s="34" t="s">
        <v>204</v>
      </c>
      <c r="B482" s="11"/>
      <c r="C482" s="8"/>
      <c r="D482" s="8"/>
      <c r="E482" s="9"/>
      <c r="F482" s="10"/>
      <c r="G482" s="9"/>
      <c r="H482" s="11"/>
      <c r="I482" s="9" t="s">
        <v>13</v>
      </c>
      <c r="J482" s="35"/>
    </row>
    <row r="483">
      <c r="A483" s="34" t="s">
        <v>204</v>
      </c>
      <c r="B483" s="11"/>
      <c r="C483" s="8"/>
      <c r="D483" s="8"/>
      <c r="E483" s="9"/>
      <c r="F483" s="10"/>
      <c r="G483" s="9"/>
      <c r="H483" s="11"/>
      <c r="I483" s="9" t="s">
        <v>13</v>
      </c>
      <c r="J483" s="35"/>
    </row>
    <row r="484">
      <c r="A484" s="34" t="s">
        <v>204</v>
      </c>
      <c r="B484" s="11"/>
      <c r="C484" s="8"/>
      <c r="D484" s="8"/>
      <c r="E484" s="9"/>
      <c r="F484" s="10"/>
      <c r="G484" s="9"/>
      <c r="H484" s="11"/>
      <c r="I484" s="9" t="s">
        <v>13</v>
      </c>
      <c r="J484" s="35"/>
    </row>
    <row r="485">
      <c r="A485" s="34" t="s">
        <v>204</v>
      </c>
      <c r="B485" s="11"/>
      <c r="C485" s="8"/>
      <c r="D485" s="8"/>
      <c r="E485" s="9"/>
      <c r="F485" s="10"/>
      <c r="G485" s="9"/>
      <c r="H485" s="11"/>
      <c r="I485" s="9" t="s">
        <v>13</v>
      </c>
      <c r="J485" s="35"/>
    </row>
    <row r="486">
      <c r="A486" s="34" t="s">
        <v>204</v>
      </c>
      <c r="B486" s="11"/>
      <c r="C486" s="8"/>
      <c r="D486" s="8"/>
      <c r="E486" s="9"/>
      <c r="F486" s="10"/>
      <c r="G486" s="9"/>
      <c r="H486" s="11"/>
      <c r="I486" s="9" t="s">
        <v>13</v>
      </c>
      <c r="J486" s="35"/>
    </row>
    <row r="487">
      <c r="A487" s="34" t="s">
        <v>204</v>
      </c>
      <c r="B487" s="11"/>
      <c r="C487" s="8"/>
      <c r="D487" s="8"/>
      <c r="E487" s="9"/>
      <c r="F487" s="10"/>
      <c r="G487" s="9"/>
      <c r="H487" s="11"/>
      <c r="I487" s="9" t="s">
        <v>13</v>
      </c>
      <c r="J487" s="35"/>
    </row>
    <row r="488">
      <c r="A488" s="34" t="s">
        <v>204</v>
      </c>
      <c r="B488" s="11"/>
      <c r="C488" s="8"/>
      <c r="D488" s="8"/>
      <c r="E488" s="9"/>
      <c r="F488" s="10"/>
      <c r="G488" s="9"/>
      <c r="H488" s="11"/>
      <c r="I488" s="9" t="s">
        <v>13</v>
      </c>
      <c r="J488" s="35"/>
    </row>
    <row r="489">
      <c r="A489" s="34" t="s">
        <v>204</v>
      </c>
      <c r="B489" s="11"/>
      <c r="C489" s="8"/>
      <c r="D489" s="8"/>
      <c r="E489" s="9"/>
      <c r="F489" s="10"/>
      <c r="G489" s="9"/>
      <c r="H489" s="11"/>
      <c r="I489" s="9" t="s">
        <v>13</v>
      </c>
      <c r="J489" s="35"/>
    </row>
    <row r="490">
      <c r="A490" s="34" t="s">
        <v>204</v>
      </c>
      <c r="B490" s="11"/>
      <c r="C490" s="8"/>
      <c r="D490" s="8"/>
      <c r="E490" s="9"/>
      <c r="F490" s="10"/>
      <c r="G490" s="9"/>
      <c r="H490" s="11"/>
      <c r="I490" s="9" t="s">
        <v>13</v>
      </c>
      <c r="J490" s="35"/>
    </row>
    <row r="491">
      <c r="A491" s="34" t="s">
        <v>204</v>
      </c>
      <c r="B491" s="11"/>
      <c r="C491" s="8"/>
      <c r="D491" s="8"/>
      <c r="E491" s="9"/>
      <c r="F491" s="10"/>
      <c r="G491" s="9"/>
      <c r="H491" s="11"/>
      <c r="I491" s="9" t="s">
        <v>13</v>
      </c>
      <c r="J491" s="35"/>
    </row>
    <row r="492">
      <c r="A492" s="34" t="s">
        <v>204</v>
      </c>
      <c r="B492" s="11"/>
      <c r="C492" s="8"/>
      <c r="D492" s="8"/>
      <c r="E492" s="9"/>
      <c r="F492" s="10"/>
      <c r="G492" s="9"/>
      <c r="H492" s="11"/>
      <c r="I492" s="9" t="s">
        <v>13</v>
      </c>
      <c r="J492" s="35"/>
    </row>
    <row r="493">
      <c r="A493" s="34" t="s">
        <v>204</v>
      </c>
      <c r="B493" s="11"/>
      <c r="C493" s="8"/>
      <c r="D493" s="8"/>
      <c r="E493" s="9"/>
      <c r="F493" s="10"/>
      <c r="G493" s="9"/>
      <c r="H493" s="11"/>
      <c r="I493" s="9" t="s">
        <v>13</v>
      </c>
      <c r="J493" s="35"/>
    </row>
    <row r="494">
      <c r="A494" s="34" t="s">
        <v>204</v>
      </c>
      <c r="B494" s="11"/>
      <c r="C494" s="8"/>
      <c r="D494" s="8"/>
      <c r="E494" s="9"/>
      <c r="F494" s="10"/>
      <c r="G494" s="9"/>
      <c r="H494" s="11"/>
      <c r="I494" s="9" t="s">
        <v>13</v>
      </c>
      <c r="J494" s="35"/>
    </row>
    <row r="495">
      <c r="A495" s="34" t="s">
        <v>204</v>
      </c>
      <c r="B495" s="11"/>
      <c r="C495" s="8"/>
      <c r="D495" s="8"/>
      <c r="E495" s="9"/>
      <c r="F495" s="10"/>
      <c r="G495" s="9"/>
      <c r="H495" s="11"/>
      <c r="I495" s="9" t="s">
        <v>13</v>
      </c>
      <c r="J495" s="35"/>
    </row>
    <row r="496">
      <c r="A496" s="34" t="s">
        <v>204</v>
      </c>
      <c r="B496" s="11"/>
      <c r="C496" s="8"/>
      <c r="D496" s="8"/>
      <c r="E496" s="9"/>
      <c r="F496" s="10"/>
      <c r="G496" s="9"/>
      <c r="H496" s="11"/>
      <c r="I496" s="9" t="s">
        <v>13</v>
      </c>
      <c r="J496" s="35"/>
    </row>
    <row r="497">
      <c r="A497" s="34" t="s">
        <v>204</v>
      </c>
      <c r="B497" s="11"/>
      <c r="C497" s="8"/>
      <c r="D497" s="8"/>
      <c r="E497" s="9"/>
      <c r="F497" s="10"/>
      <c r="G497" s="9"/>
      <c r="H497" s="11"/>
      <c r="I497" s="9" t="s">
        <v>13</v>
      </c>
      <c r="J497" s="35"/>
    </row>
    <row r="498">
      <c r="A498" s="34" t="s">
        <v>204</v>
      </c>
      <c r="B498" s="11"/>
      <c r="C498" s="8"/>
      <c r="D498" s="8"/>
      <c r="E498" s="9"/>
      <c r="F498" s="10"/>
      <c r="G498" s="9"/>
      <c r="H498" s="11"/>
      <c r="I498" s="9" t="s">
        <v>13</v>
      </c>
      <c r="J498" s="35"/>
    </row>
    <row r="499">
      <c r="A499" s="34" t="s">
        <v>204</v>
      </c>
      <c r="B499" s="11"/>
      <c r="C499" s="8"/>
      <c r="D499" s="8"/>
      <c r="E499" s="9"/>
      <c r="F499" s="10"/>
      <c r="G499" s="9"/>
      <c r="H499" s="11"/>
      <c r="I499" s="9" t="s">
        <v>13</v>
      </c>
      <c r="J499" s="35"/>
    </row>
    <row r="500">
      <c r="A500" s="34" t="s">
        <v>204</v>
      </c>
      <c r="B500" s="11"/>
      <c r="C500" s="8"/>
      <c r="D500" s="8"/>
      <c r="E500" s="9"/>
      <c r="F500" s="10"/>
      <c r="G500" s="9"/>
      <c r="H500" s="11"/>
      <c r="I500" s="9" t="s">
        <v>13</v>
      </c>
      <c r="J500" s="35"/>
    </row>
    <row r="501">
      <c r="A501" s="34" t="s">
        <v>204</v>
      </c>
      <c r="B501" s="11"/>
      <c r="C501" s="8"/>
      <c r="D501" s="8"/>
      <c r="E501" s="9"/>
      <c r="F501" s="10"/>
      <c r="G501" s="9"/>
      <c r="H501" s="11"/>
      <c r="I501" s="9" t="s">
        <v>13</v>
      </c>
      <c r="J501" s="35"/>
    </row>
    <row r="502">
      <c r="A502" s="34" t="s">
        <v>204</v>
      </c>
      <c r="B502" s="11"/>
      <c r="C502" s="8"/>
      <c r="D502" s="8"/>
      <c r="E502" s="9"/>
      <c r="F502" s="10"/>
      <c r="G502" s="9"/>
      <c r="H502" s="11"/>
      <c r="I502" s="9" t="s">
        <v>13</v>
      </c>
      <c r="J502" s="35"/>
    </row>
    <row r="503">
      <c r="A503" s="34" t="s">
        <v>204</v>
      </c>
      <c r="B503" s="11"/>
      <c r="C503" s="8"/>
      <c r="D503" s="8"/>
      <c r="E503" s="9"/>
      <c r="F503" s="10"/>
      <c r="G503" s="9"/>
      <c r="H503" s="11"/>
      <c r="I503" s="9" t="s">
        <v>13</v>
      </c>
      <c r="J503" s="35"/>
    </row>
    <row r="504">
      <c r="A504" s="34" t="s">
        <v>204</v>
      </c>
      <c r="B504" s="11"/>
      <c r="C504" s="8"/>
      <c r="D504" s="8"/>
      <c r="E504" s="9"/>
      <c r="F504" s="10"/>
      <c r="G504" s="9"/>
      <c r="H504" s="11"/>
      <c r="I504" s="9" t="s">
        <v>13</v>
      </c>
      <c r="J504" s="35"/>
    </row>
    <row r="505">
      <c r="A505" s="34" t="s">
        <v>204</v>
      </c>
      <c r="B505" s="11"/>
      <c r="C505" s="8"/>
      <c r="D505" s="8"/>
      <c r="E505" s="9"/>
      <c r="F505" s="10"/>
      <c r="G505" s="9"/>
      <c r="H505" s="11"/>
      <c r="I505" s="9" t="s">
        <v>13</v>
      </c>
      <c r="J505" s="35"/>
    </row>
    <row r="506">
      <c r="A506" s="34" t="s">
        <v>204</v>
      </c>
      <c r="B506" s="11"/>
      <c r="C506" s="8"/>
      <c r="D506" s="8"/>
      <c r="E506" s="9"/>
      <c r="F506" s="10"/>
      <c r="G506" s="9"/>
      <c r="H506" s="11"/>
      <c r="I506" s="9" t="s">
        <v>13</v>
      </c>
      <c r="J506" s="35"/>
    </row>
    <row r="507">
      <c r="A507" s="34" t="s">
        <v>204</v>
      </c>
      <c r="B507" s="11"/>
      <c r="C507" s="8"/>
      <c r="D507" s="8"/>
      <c r="E507" s="9"/>
      <c r="F507" s="10"/>
      <c r="G507" s="9"/>
      <c r="H507" s="11"/>
      <c r="I507" s="9" t="s">
        <v>13</v>
      </c>
      <c r="J507" s="35"/>
    </row>
    <row r="508">
      <c r="A508" s="34" t="s">
        <v>204</v>
      </c>
      <c r="B508" s="11"/>
      <c r="C508" s="8"/>
      <c r="D508" s="8"/>
      <c r="E508" s="9"/>
      <c r="F508" s="10"/>
      <c r="G508" s="9"/>
      <c r="H508" s="11"/>
      <c r="I508" s="9" t="s">
        <v>13</v>
      </c>
      <c r="J508" s="35"/>
    </row>
    <row r="509">
      <c r="A509" s="34" t="s">
        <v>204</v>
      </c>
      <c r="B509" s="11"/>
      <c r="C509" s="8"/>
      <c r="D509" s="8"/>
      <c r="E509" s="9"/>
      <c r="F509" s="10"/>
      <c r="G509" s="9"/>
      <c r="H509" s="11"/>
      <c r="I509" s="9" t="s">
        <v>13</v>
      </c>
      <c r="J509" s="35"/>
    </row>
    <row r="510">
      <c r="A510" s="34" t="s">
        <v>204</v>
      </c>
      <c r="B510" s="11"/>
      <c r="C510" s="8"/>
      <c r="D510" s="8"/>
      <c r="E510" s="9"/>
      <c r="F510" s="10"/>
      <c r="G510" s="9"/>
      <c r="H510" s="11"/>
      <c r="I510" s="9" t="s">
        <v>13</v>
      </c>
      <c r="J510" s="35"/>
    </row>
    <row r="511">
      <c r="A511" s="34" t="s">
        <v>204</v>
      </c>
      <c r="B511" s="11"/>
      <c r="C511" s="8"/>
      <c r="D511" s="8"/>
      <c r="E511" s="9"/>
      <c r="F511" s="10"/>
      <c r="G511" s="9"/>
      <c r="H511" s="11"/>
      <c r="I511" s="9" t="s">
        <v>13</v>
      </c>
      <c r="J511" s="35"/>
    </row>
    <row r="512">
      <c r="A512" s="34" t="s">
        <v>204</v>
      </c>
      <c r="B512" s="11"/>
      <c r="C512" s="8"/>
      <c r="D512" s="8"/>
      <c r="E512" s="9"/>
      <c r="F512" s="10"/>
      <c r="G512" s="9"/>
      <c r="H512" s="11"/>
      <c r="I512" s="9" t="s">
        <v>13</v>
      </c>
      <c r="J512" s="35"/>
    </row>
    <row r="513">
      <c r="A513" s="34" t="s">
        <v>204</v>
      </c>
      <c r="B513" s="11"/>
      <c r="C513" s="8"/>
      <c r="D513" s="8"/>
      <c r="E513" s="9"/>
      <c r="F513" s="10"/>
      <c r="G513" s="9"/>
      <c r="H513" s="11"/>
      <c r="I513" s="9" t="s">
        <v>13</v>
      </c>
      <c r="J513" s="35"/>
    </row>
    <row r="514">
      <c r="A514" s="34" t="s">
        <v>204</v>
      </c>
      <c r="B514" s="11"/>
      <c r="C514" s="8"/>
      <c r="D514" s="8"/>
      <c r="E514" s="9"/>
      <c r="F514" s="10"/>
      <c r="G514" s="9"/>
      <c r="H514" s="11"/>
      <c r="I514" s="9" t="s">
        <v>13</v>
      </c>
      <c r="J514" s="35"/>
    </row>
    <row r="515">
      <c r="A515" s="34" t="s">
        <v>204</v>
      </c>
      <c r="B515" s="11"/>
      <c r="C515" s="8"/>
      <c r="D515" s="8"/>
      <c r="E515" s="9"/>
      <c r="F515" s="10"/>
      <c r="G515" s="9"/>
      <c r="H515" s="11"/>
      <c r="I515" s="9" t="s">
        <v>13</v>
      </c>
      <c r="J515" s="35"/>
    </row>
    <row r="516">
      <c r="A516" s="34" t="s">
        <v>204</v>
      </c>
      <c r="B516" s="11"/>
      <c r="C516" s="8"/>
      <c r="D516" s="8"/>
      <c r="E516" s="9"/>
      <c r="F516" s="10"/>
      <c r="G516" s="9"/>
      <c r="H516" s="11"/>
      <c r="I516" s="9" t="s">
        <v>13</v>
      </c>
      <c r="J516" s="35"/>
    </row>
    <row r="517">
      <c r="A517" s="34" t="s">
        <v>204</v>
      </c>
      <c r="B517" s="11"/>
      <c r="C517" s="8"/>
      <c r="D517" s="8"/>
      <c r="E517" s="9"/>
      <c r="F517" s="10"/>
      <c r="G517" s="9"/>
      <c r="H517" s="11"/>
      <c r="I517" s="9" t="s">
        <v>13</v>
      </c>
      <c r="J517" s="35"/>
    </row>
    <row r="518">
      <c r="A518" s="34" t="s">
        <v>204</v>
      </c>
      <c r="B518" s="11"/>
      <c r="C518" s="8"/>
      <c r="D518" s="8"/>
      <c r="E518" s="9"/>
      <c r="F518" s="10"/>
      <c r="G518" s="9"/>
      <c r="H518" s="11"/>
      <c r="I518" s="9" t="s">
        <v>13</v>
      </c>
      <c r="J518" s="35"/>
    </row>
    <row r="519">
      <c r="A519" s="34" t="s">
        <v>204</v>
      </c>
      <c r="B519" s="11"/>
      <c r="C519" s="8"/>
      <c r="D519" s="8"/>
      <c r="E519" s="9"/>
      <c r="F519" s="10"/>
      <c r="G519" s="9"/>
      <c r="H519" s="11"/>
      <c r="I519" s="9" t="s">
        <v>13</v>
      </c>
      <c r="J519" s="35"/>
    </row>
    <row r="520">
      <c r="A520" s="34" t="s">
        <v>204</v>
      </c>
      <c r="B520" s="11"/>
      <c r="C520" s="8"/>
      <c r="D520" s="8"/>
      <c r="E520" s="9"/>
      <c r="F520" s="10"/>
      <c r="G520" s="9"/>
      <c r="H520" s="11"/>
      <c r="I520" s="9" t="s">
        <v>13</v>
      </c>
      <c r="J520" s="35"/>
    </row>
    <row r="521">
      <c r="A521" s="34" t="s">
        <v>204</v>
      </c>
      <c r="B521" s="11"/>
      <c r="C521" s="8"/>
      <c r="D521" s="8"/>
      <c r="E521" s="9"/>
      <c r="F521" s="10"/>
      <c r="G521" s="9"/>
      <c r="H521" s="11"/>
      <c r="I521" s="9" t="s">
        <v>13</v>
      </c>
      <c r="J521" s="35"/>
    </row>
    <row r="522">
      <c r="A522" s="34" t="s">
        <v>204</v>
      </c>
      <c r="B522" s="11"/>
      <c r="C522" s="8"/>
      <c r="D522" s="8"/>
      <c r="E522" s="9"/>
      <c r="F522" s="10"/>
      <c r="G522" s="9"/>
      <c r="H522" s="11"/>
      <c r="I522" s="9" t="s">
        <v>13</v>
      </c>
      <c r="J522" s="35"/>
    </row>
    <row r="523">
      <c r="A523" s="34" t="s">
        <v>204</v>
      </c>
      <c r="B523" s="11"/>
      <c r="C523" s="8"/>
      <c r="D523" s="8"/>
      <c r="E523" s="9"/>
      <c r="F523" s="10"/>
      <c r="G523" s="9"/>
      <c r="H523" s="11"/>
      <c r="I523" s="9" t="s">
        <v>13</v>
      </c>
      <c r="J523" s="35"/>
    </row>
    <row r="524">
      <c r="A524" s="34" t="s">
        <v>204</v>
      </c>
      <c r="B524" s="11"/>
      <c r="C524" s="8"/>
      <c r="D524" s="8"/>
      <c r="E524" s="9"/>
      <c r="F524" s="10"/>
      <c r="G524" s="9"/>
      <c r="H524" s="11"/>
      <c r="I524" s="9" t="s">
        <v>13</v>
      </c>
      <c r="J524" s="35"/>
    </row>
    <row r="525">
      <c r="A525" s="34" t="s">
        <v>204</v>
      </c>
      <c r="B525" s="11"/>
      <c r="C525" s="8"/>
      <c r="D525" s="8"/>
      <c r="E525" s="9"/>
      <c r="F525" s="10"/>
      <c r="G525" s="9"/>
      <c r="H525" s="11"/>
      <c r="I525" s="9" t="s">
        <v>13</v>
      </c>
      <c r="J525" s="35"/>
    </row>
    <row r="526">
      <c r="A526" s="34" t="s">
        <v>204</v>
      </c>
      <c r="B526" s="11"/>
      <c r="C526" s="8"/>
      <c r="D526" s="8"/>
      <c r="E526" s="9"/>
      <c r="F526" s="10"/>
      <c r="G526" s="9"/>
      <c r="H526" s="11"/>
      <c r="I526" s="9" t="s">
        <v>13</v>
      </c>
      <c r="J526" s="35"/>
    </row>
    <row r="527">
      <c r="A527" s="34" t="s">
        <v>204</v>
      </c>
      <c r="B527" s="11"/>
      <c r="C527" s="8"/>
      <c r="D527" s="8"/>
      <c r="E527" s="9"/>
      <c r="F527" s="10"/>
      <c r="G527" s="9"/>
      <c r="H527" s="11"/>
      <c r="I527" s="9" t="s">
        <v>13</v>
      </c>
      <c r="J527" s="35"/>
    </row>
    <row r="528">
      <c r="A528" s="34" t="s">
        <v>204</v>
      </c>
      <c r="B528" s="11"/>
      <c r="C528" s="8"/>
      <c r="D528" s="8"/>
      <c r="E528" s="9"/>
      <c r="F528" s="10"/>
      <c r="G528" s="9"/>
      <c r="H528" s="11"/>
      <c r="I528" s="9" t="s">
        <v>13</v>
      </c>
      <c r="J528" s="35"/>
    </row>
    <row r="529">
      <c r="A529" s="34" t="s">
        <v>204</v>
      </c>
      <c r="B529" s="11"/>
      <c r="C529" s="8"/>
      <c r="D529" s="8"/>
      <c r="E529" s="9"/>
      <c r="F529" s="10"/>
      <c r="G529" s="9"/>
      <c r="H529" s="11"/>
      <c r="I529" s="9" t="s">
        <v>13</v>
      </c>
      <c r="J529" s="35"/>
    </row>
    <row r="530">
      <c r="A530" s="34" t="s">
        <v>204</v>
      </c>
      <c r="B530" s="11"/>
      <c r="C530" s="8"/>
      <c r="D530" s="8"/>
      <c r="E530" s="9"/>
      <c r="F530" s="10"/>
      <c r="G530" s="9"/>
      <c r="H530" s="11"/>
      <c r="I530" s="9" t="s">
        <v>13</v>
      </c>
      <c r="J530" s="35"/>
    </row>
    <row r="531">
      <c r="A531" s="34" t="s">
        <v>204</v>
      </c>
      <c r="B531" s="11"/>
      <c r="C531" s="8"/>
      <c r="D531" s="8"/>
      <c r="E531" s="9"/>
      <c r="F531" s="10"/>
      <c r="G531" s="9"/>
      <c r="H531" s="11"/>
      <c r="I531" s="9" t="s">
        <v>13</v>
      </c>
      <c r="J531" s="35"/>
    </row>
    <row r="532">
      <c r="A532" s="34" t="s">
        <v>204</v>
      </c>
      <c r="B532" s="11"/>
      <c r="C532" s="8"/>
      <c r="D532" s="8"/>
      <c r="E532" s="9"/>
      <c r="F532" s="10"/>
      <c r="G532" s="9"/>
      <c r="H532" s="11"/>
      <c r="I532" s="9" t="s">
        <v>13</v>
      </c>
      <c r="J532" s="35"/>
    </row>
    <row r="533">
      <c r="A533" s="34" t="s">
        <v>204</v>
      </c>
      <c r="B533" s="11"/>
      <c r="C533" s="8"/>
      <c r="D533" s="8"/>
      <c r="E533" s="9"/>
      <c r="F533" s="10"/>
      <c r="G533" s="9"/>
      <c r="H533" s="11"/>
      <c r="I533" s="9" t="s">
        <v>13</v>
      </c>
      <c r="J533" s="35"/>
    </row>
    <row r="534">
      <c r="A534" s="34" t="s">
        <v>204</v>
      </c>
      <c r="B534" s="11"/>
      <c r="C534" s="8"/>
      <c r="D534" s="8"/>
      <c r="E534" s="9"/>
      <c r="F534" s="10"/>
      <c r="G534" s="9"/>
      <c r="H534" s="11"/>
      <c r="I534" s="9" t="s">
        <v>13</v>
      </c>
      <c r="J534" s="35"/>
    </row>
    <row r="535">
      <c r="A535" s="34" t="s">
        <v>204</v>
      </c>
      <c r="B535" s="11"/>
      <c r="C535" s="8"/>
      <c r="D535" s="8"/>
      <c r="E535" s="9"/>
      <c r="F535" s="10"/>
      <c r="G535" s="9"/>
      <c r="H535" s="11"/>
      <c r="I535" s="9" t="s">
        <v>13</v>
      </c>
      <c r="J535" s="35"/>
    </row>
    <row r="536">
      <c r="A536" s="34" t="s">
        <v>204</v>
      </c>
      <c r="B536" s="11"/>
      <c r="C536" s="8"/>
      <c r="D536" s="8"/>
      <c r="E536" s="9"/>
      <c r="F536" s="10"/>
      <c r="G536" s="9"/>
      <c r="H536" s="11"/>
      <c r="I536" s="9" t="s">
        <v>13</v>
      </c>
      <c r="J536" s="35"/>
    </row>
    <row r="537">
      <c r="A537" s="34" t="s">
        <v>204</v>
      </c>
      <c r="B537" s="11"/>
      <c r="C537" s="8"/>
      <c r="D537" s="8"/>
      <c r="E537" s="9"/>
      <c r="F537" s="10"/>
      <c r="G537" s="9"/>
      <c r="H537" s="11"/>
      <c r="I537" s="9" t="s">
        <v>13</v>
      </c>
      <c r="J537" s="35"/>
    </row>
    <row r="538">
      <c r="A538" s="34" t="s">
        <v>204</v>
      </c>
      <c r="B538" s="11"/>
      <c r="C538" s="8"/>
      <c r="D538" s="8"/>
      <c r="E538" s="9"/>
      <c r="F538" s="10"/>
      <c r="G538" s="9"/>
      <c r="H538" s="11"/>
      <c r="I538" s="9" t="s">
        <v>13</v>
      </c>
      <c r="J538" s="35"/>
    </row>
    <row r="539">
      <c r="A539" s="34" t="s">
        <v>204</v>
      </c>
      <c r="B539" s="11"/>
      <c r="C539" s="8"/>
      <c r="D539" s="8"/>
      <c r="E539" s="9"/>
      <c r="F539" s="10"/>
      <c r="G539" s="9"/>
      <c r="H539" s="11"/>
      <c r="I539" s="9" t="s">
        <v>13</v>
      </c>
      <c r="J539" s="35"/>
    </row>
    <row r="540">
      <c r="A540" s="34" t="s">
        <v>204</v>
      </c>
      <c r="B540" s="11"/>
      <c r="C540" s="8"/>
      <c r="D540" s="8"/>
      <c r="E540" s="9"/>
      <c r="F540" s="10"/>
      <c r="G540" s="9"/>
      <c r="H540" s="11"/>
      <c r="I540" s="9" t="s">
        <v>13</v>
      </c>
      <c r="J540" s="35"/>
    </row>
    <row r="541">
      <c r="A541" s="34" t="s">
        <v>204</v>
      </c>
      <c r="B541" s="11"/>
      <c r="C541" s="8"/>
      <c r="D541" s="8"/>
      <c r="E541" s="9"/>
      <c r="F541" s="10"/>
      <c r="G541" s="9"/>
      <c r="H541" s="11"/>
      <c r="I541" s="9" t="s">
        <v>13</v>
      </c>
      <c r="J541" s="35"/>
    </row>
    <row r="542">
      <c r="A542" s="34" t="s">
        <v>204</v>
      </c>
      <c r="B542" s="11"/>
      <c r="C542" s="8"/>
      <c r="D542" s="8"/>
      <c r="E542" s="9"/>
      <c r="F542" s="10"/>
      <c r="G542" s="9"/>
      <c r="H542" s="11"/>
      <c r="I542" s="9" t="s">
        <v>13</v>
      </c>
      <c r="J542" s="35"/>
    </row>
    <row r="543">
      <c r="A543" s="34" t="s">
        <v>204</v>
      </c>
      <c r="B543" s="11"/>
      <c r="C543" s="8"/>
      <c r="D543" s="8"/>
      <c r="E543" s="9"/>
      <c r="F543" s="10"/>
      <c r="G543" s="9"/>
      <c r="H543" s="11"/>
      <c r="I543" s="9" t="s">
        <v>13</v>
      </c>
      <c r="J543" s="35"/>
    </row>
    <row r="544">
      <c r="A544" s="34" t="s">
        <v>204</v>
      </c>
      <c r="B544" s="11"/>
      <c r="C544" s="8"/>
      <c r="D544" s="8"/>
      <c r="E544" s="9"/>
      <c r="F544" s="10"/>
      <c r="G544" s="9"/>
      <c r="H544" s="11"/>
      <c r="I544" s="9" t="s">
        <v>13</v>
      </c>
      <c r="J544" s="35"/>
    </row>
    <row r="545">
      <c r="A545" s="34" t="s">
        <v>204</v>
      </c>
      <c r="B545" s="11"/>
      <c r="C545" s="8"/>
      <c r="D545" s="8"/>
      <c r="E545" s="9"/>
      <c r="F545" s="10"/>
      <c r="G545" s="9"/>
      <c r="H545" s="11"/>
      <c r="I545" s="9" t="s">
        <v>13</v>
      </c>
      <c r="J545" s="35"/>
    </row>
    <row r="546">
      <c r="A546" s="34" t="s">
        <v>204</v>
      </c>
      <c r="B546" s="11"/>
      <c r="C546" s="8"/>
      <c r="D546" s="8"/>
      <c r="E546" s="9"/>
      <c r="F546" s="10"/>
      <c r="G546" s="9"/>
      <c r="H546" s="11"/>
      <c r="I546" s="9" t="s">
        <v>13</v>
      </c>
      <c r="J546" s="35"/>
    </row>
    <row r="547">
      <c r="A547" s="34" t="s">
        <v>204</v>
      </c>
      <c r="B547" s="11"/>
      <c r="C547" s="8"/>
      <c r="D547" s="8"/>
      <c r="E547" s="9"/>
      <c r="F547" s="10"/>
      <c r="G547" s="9"/>
      <c r="H547" s="11"/>
      <c r="I547" s="9" t="s">
        <v>13</v>
      </c>
      <c r="J547" s="35"/>
    </row>
    <row r="548">
      <c r="A548" s="34" t="s">
        <v>204</v>
      </c>
      <c r="B548" s="11"/>
      <c r="C548" s="8"/>
      <c r="D548" s="8"/>
      <c r="E548" s="9"/>
      <c r="F548" s="10"/>
      <c r="G548" s="9"/>
      <c r="H548" s="11"/>
      <c r="I548" s="9" t="s">
        <v>13</v>
      </c>
      <c r="J548" s="35"/>
    </row>
    <row r="549">
      <c r="A549" s="34" t="s">
        <v>204</v>
      </c>
      <c r="B549" s="11"/>
      <c r="C549" s="8"/>
      <c r="D549" s="8"/>
      <c r="E549" s="9"/>
      <c r="F549" s="10"/>
      <c r="G549" s="9"/>
      <c r="H549" s="11"/>
      <c r="I549" s="9" t="s">
        <v>13</v>
      </c>
      <c r="J549" s="35"/>
    </row>
    <row r="550">
      <c r="A550" s="34" t="s">
        <v>204</v>
      </c>
      <c r="B550" s="11"/>
      <c r="C550" s="8"/>
      <c r="D550" s="8"/>
      <c r="E550" s="9"/>
      <c r="F550" s="10"/>
      <c r="G550" s="9"/>
      <c r="H550" s="11"/>
      <c r="I550" s="9" t="s">
        <v>13</v>
      </c>
      <c r="J550" s="35"/>
    </row>
    <row r="551">
      <c r="A551" s="34" t="s">
        <v>204</v>
      </c>
      <c r="B551" s="11"/>
      <c r="C551" s="8"/>
      <c r="D551" s="8"/>
      <c r="E551" s="9"/>
      <c r="F551" s="10"/>
      <c r="G551" s="9"/>
      <c r="H551" s="11"/>
      <c r="I551" s="9" t="s">
        <v>13</v>
      </c>
      <c r="J551" s="35"/>
    </row>
    <row r="552">
      <c r="A552" s="34" t="s">
        <v>204</v>
      </c>
      <c r="B552" s="11"/>
      <c r="C552" s="8"/>
      <c r="D552" s="8"/>
      <c r="E552" s="9"/>
      <c r="F552" s="10"/>
      <c r="G552" s="9"/>
      <c r="H552" s="11"/>
      <c r="I552" s="9" t="s">
        <v>13</v>
      </c>
      <c r="J552" s="35"/>
    </row>
    <row r="553">
      <c r="A553" s="34" t="s">
        <v>204</v>
      </c>
      <c r="B553" s="11"/>
      <c r="C553" s="8"/>
      <c r="D553" s="8"/>
      <c r="E553" s="9"/>
      <c r="F553" s="10"/>
      <c r="G553" s="9"/>
      <c r="H553" s="11"/>
      <c r="I553" s="9" t="s">
        <v>13</v>
      </c>
      <c r="J553" s="35"/>
    </row>
    <row r="554">
      <c r="A554" s="34" t="s">
        <v>204</v>
      </c>
      <c r="B554" s="11"/>
      <c r="C554" s="8"/>
      <c r="D554" s="8"/>
      <c r="E554" s="9"/>
      <c r="F554" s="10"/>
      <c r="G554" s="9"/>
      <c r="H554" s="11"/>
      <c r="I554" s="9" t="s">
        <v>13</v>
      </c>
      <c r="J554" s="35"/>
    </row>
    <row r="555">
      <c r="A555" s="34" t="s">
        <v>204</v>
      </c>
      <c r="B555" s="11"/>
      <c r="C555" s="8"/>
      <c r="D555" s="8"/>
      <c r="E555" s="9"/>
      <c r="F555" s="10"/>
      <c r="G555" s="9"/>
      <c r="H555" s="11"/>
      <c r="I555" s="9" t="s">
        <v>13</v>
      </c>
      <c r="J555" s="35"/>
    </row>
    <row r="556">
      <c r="A556" s="34" t="s">
        <v>204</v>
      </c>
      <c r="B556" s="11"/>
      <c r="C556" s="8"/>
      <c r="D556" s="8"/>
      <c r="E556" s="9"/>
      <c r="F556" s="10"/>
      <c r="G556" s="9"/>
      <c r="H556" s="11"/>
      <c r="I556" s="9" t="s">
        <v>13</v>
      </c>
      <c r="J556" s="35"/>
    </row>
    <row r="557">
      <c r="A557" s="34" t="s">
        <v>204</v>
      </c>
      <c r="B557" s="11"/>
      <c r="C557" s="8"/>
      <c r="D557" s="8"/>
      <c r="E557" s="9"/>
      <c r="F557" s="10"/>
      <c r="G557" s="9"/>
      <c r="H557" s="11"/>
      <c r="I557" s="9" t="s">
        <v>13</v>
      </c>
      <c r="J557" s="35"/>
    </row>
    <row r="558">
      <c r="A558" s="34" t="s">
        <v>204</v>
      </c>
      <c r="B558" s="11"/>
      <c r="C558" s="8"/>
      <c r="D558" s="8"/>
      <c r="E558" s="9"/>
      <c r="F558" s="10"/>
      <c r="G558" s="9"/>
      <c r="H558" s="11"/>
      <c r="I558" s="9" t="s">
        <v>13</v>
      </c>
      <c r="J558" s="35"/>
    </row>
    <row r="559">
      <c r="A559" s="34" t="s">
        <v>204</v>
      </c>
      <c r="B559" s="11"/>
      <c r="C559" s="8"/>
      <c r="D559" s="8"/>
      <c r="E559" s="9"/>
      <c r="F559" s="10"/>
      <c r="G559" s="9"/>
      <c r="H559" s="11"/>
      <c r="I559" s="9" t="s">
        <v>13</v>
      </c>
      <c r="J559" s="35"/>
    </row>
    <row r="560">
      <c r="A560" s="34" t="s">
        <v>204</v>
      </c>
      <c r="B560" s="11"/>
      <c r="C560" s="8"/>
      <c r="D560" s="8"/>
      <c r="E560" s="9"/>
      <c r="F560" s="10"/>
      <c r="G560" s="9"/>
      <c r="H560" s="11"/>
      <c r="I560" s="9" t="s">
        <v>13</v>
      </c>
      <c r="J560" s="35"/>
    </row>
    <row r="561">
      <c r="A561" s="34" t="s">
        <v>204</v>
      </c>
      <c r="B561" s="11"/>
      <c r="C561" s="8"/>
      <c r="D561" s="8"/>
      <c r="E561" s="9"/>
      <c r="F561" s="10"/>
      <c r="G561" s="9"/>
      <c r="H561" s="11"/>
      <c r="I561" s="9" t="s">
        <v>13</v>
      </c>
      <c r="J561" s="35"/>
    </row>
    <row r="562">
      <c r="A562" s="34" t="s">
        <v>204</v>
      </c>
      <c r="B562" s="11"/>
      <c r="C562" s="8"/>
      <c r="D562" s="8"/>
      <c r="E562" s="9"/>
      <c r="F562" s="10"/>
      <c r="G562" s="9"/>
      <c r="H562" s="11"/>
      <c r="I562" s="9" t="s">
        <v>13</v>
      </c>
      <c r="J562" s="35"/>
    </row>
    <row r="563">
      <c r="A563" s="34" t="s">
        <v>204</v>
      </c>
      <c r="B563" s="11"/>
      <c r="C563" s="8"/>
      <c r="D563" s="8"/>
      <c r="E563" s="9"/>
      <c r="F563" s="10"/>
      <c r="G563" s="9"/>
      <c r="H563" s="11"/>
      <c r="I563" s="9" t="s">
        <v>13</v>
      </c>
      <c r="J563" s="35"/>
    </row>
    <row r="564">
      <c r="A564" s="34" t="s">
        <v>204</v>
      </c>
      <c r="B564" s="11"/>
      <c r="C564" s="8"/>
      <c r="D564" s="8"/>
      <c r="E564" s="9"/>
      <c r="F564" s="10"/>
      <c r="G564" s="9"/>
      <c r="H564" s="11"/>
      <c r="I564" s="9" t="s">
        <v>13</v>
      </c>
      <c r="J564" s="35"/>
    </row>
    <row r="565">
      <c r="A565" s="34" t="s">
        <v>204</v>
      </c>
      <c r="B565" s="11"/>
      <c r="C565" s="8"/>
      <c r="D565" s="8"/>
      <c r="E565" s="9"/>
      <c r="F565" s="10"/>
      <c r="G565" s="9"/>
      <c r="H565" s="11"/>
      <c r="I565" s="9" t="s">
        <v>13</v>
      </c>
      <c r="J565" s="35"/>
    </row>
    <row r="566">
      <c r="A566" s="34" t="s">
        <v>204</v>
      </c>
      <c r="B566" s="11"/>
      <c r="C566" s="8"/>
      <c r="D566" s="8"/>
      <c r="E566" s="9"/>
      <c r="F566" s="10"/>
      <c r="G566" s="9"/>
      <c r="H566" s="11"/>
      <c r="I566" s="9" t="s">
        <v>13</v>
      </c>
      <c r="J566" s="35"/>
    </row>
    <row r="567">
      <c r="A567" s="34" t="s">
        <v>204</v>
      </c>
      <c r="B567" s="11"/>
      <c r="C567" s="8"/>
      <c r="D567" s="8"/>
      <c r="E567" s="9"/>
      <c r="F567" s="10"/>
      <c r="G567" s="9"/>
      <c r="H567" s="11"/>
      <c r="I567" s="9" t="s">
        <v>13</v>
      </c>
      <c r="J567" s="35"/>
    </row>
    <row r="568">
      <c r="A568" s="34" t="s">
        <v>204</v>
      </c>
      <c r="B568" s="11"/>
      <c r="C568" s="8"/>
      <c r="D568" s="8"/>
      <c r="E568" s="9"/>
      <c r="F568" s="10"/>
      <c r="G568" s="9"/>
      <c r="H568" s="11"/>
      <c r="I568" s="9" t="s">
        <v>13</v>
      </c>
      <c r="J568" s="35"/>
    </row>
    <row r="569">
      <c r="A569" s="34" t="s">
        <v>204</v>
      </c>
      <c r="B569" s="11"/>
      <c r="C569" s="8"/>
      <c r="D569" s="8"/>
      <c r="E569" s="9"/>
      <c r="F569" s="10"/>
      <c r="G569" s="9"/>
      <c r="H569" s="11"/>
      <c r="I569" s="9" t="s">
        <v>13</v>
      </c>
      <c r="J569" s="35"/>
    </row>
    <row r="570">
      <c r="A570" s="34" t="s">
        <v>204</v>
      </c>
      <c r="B570" s="11"/>
      <c r="C570" s="8"/>
      <c r="D570" s="8"/>
      <c r="E570" s="9"/>
      <c r="F570" s="10"/>
      <c r="G570" s="9"/>
      <c r="H570" s="11"/>
      <c r="I570" s="9" t="s">
        <v>13</v>
      </c>
      <c r="J570" s="35"/>
    </row>
    <row r="571">
      <c r="A571" s="34" t="s">
        <v>204</v>
      </c>
      <c r="B571" s="11"/>
      <c r="C571" s="8"/>
      <c r="D571" s="8"/>
      <c r="E571" s="9"/>
      <c r="F571" s="10"/>
      <c r="G571" s="9"/>
      <c r="H571" s="11"/>
      <c r="I571" s="9" t="s">
        <v>13</v>
      </c>
      <c r="J571" s="35"/>
    </row>
    <row r="572">
      <c r="A572" s="34" t="s">
        <v>204</v>
      </c>
      <c r="B572" s="11"/>
      <c r="C572" s="8"/>
      <c r="D572" s="8"/>
      <c r="E572" s="9"/>
      <c r="F572" s="10"/>
      <c r="G572" s="9"/>
      <c r="H572" s="11"/>
      <c r="I572" s="9" t="s">
        <v>13</v>
      </c>
      <c r="J572" s="35"/>
    </row>
    <row r="573">
      <c r="A573" s="34" t="s">
        <v>204</v>
      </c>
      <c r="B573" s="11"/>
      <c r="C573" s="8"/>
      <c r="D573" s="8"/>
      <c r="E573" s="9"/>
      <c r="F573" s="10"/>
      <c r="G573" s="9"/>
      <c r="H573" s="11"/>
      <c r="I573" s="9" t="s">
        <v>13</v>
      </c>
      <c r="J573" s="35"/>
    </row>
    <row r="574">
      <c r="A574" s="34" t="s">
        <v>204</v>
      </c>
      <c r="B574" s="11"/>
      <c r="C574" s="8"/>
      <c r="D574" s="8"/>
      <c r="E574" s="9"/>
      <c r="F574" s="10"/>
      <c r="G574" s="9"/>
      <c r="H574" s="11"/>
      <c r="I574" s="9" t="s">
        <v>13</v>
      </c>
      <c r="J574" s="35"/>
    </row>
    <row r="575">
      <c r="A575" s="34" t="s">
        <v>204</v>
      </c>
      <c r="B575" s="11"/>
      <c r="C575" s="8"/>
      <c r="D575" s="8"/>
      <c r="E575" s="9"/>
      <c r="F575" s="10"/>
      <c r="G575" s="9"/>
      <c r="H575" s="11"/>
      <c r="I575" s="9" t="s">
        <v>13</v>
      </c>
      <c r="J575" s="35"/>
    </row>
    <row r="576">
      <c r="A576" s="34" t="s">
        <v>204</v>
      </c>
      <c r="B576" s="11"/>
      <c r="C576" s="8"/>
      <c r="D576" s="8"/>
      <c r="E576" s="9"/>
      <c r="F576" s="10"/>
      <c r="G576" s="9"/>
      <c r="H576" s="11"/>
      <c r="I576" s="9" t="s">
        <v>13</v>
      </c>
      <c r="J576" s="35"/>
    </row>
    <row r="577">
      <c r="A577" s="34" t="s">
        <v>204</v>
      </c>
      <c r="B577" s="11"/>
      <c r="C577" s="8"/>
      <c r="D577" s="8"/>
      <c r="E577" s="9"/>
      <c r="F577" s="10"/>
      <c r="G577" s="9"/>
      <c r="H577" s="11"/>
      <c r="I577" s="9" t="s">
        <v>13</v>
      </c>
      <c r="J577" s="35"/>
    </row>
    <row r="578">
      <c r="A578" s="34" t="s">
        <v>204</v>
      </c>
      <c r="B578" s="11"/>
      <c r="C578" s="8"/>
      <c r="D578" s="8"/>
      <c r="E578" s="9"/>
      <c r="F578" s="10"/>
      <c r="G578" s="9"/>
      <c r="H578" s="11"/>
      <c r="I578" s="9" t="s">
        <v>13</v>
      </c>
      <c r="J578" s="35"/>
    </row>
    <row r="579">
      <c r="A579" s="34" t="s">
        <v>204</v>
      </c>
      <c r="B579" s="11"/>
      <c r="C579" s="8"/>
      <c r="D579" s="8"/>
      <c r="E579" s="9"/>
      <c r="F579" s="10"/>
      <c r="G579" s="9"/>
      <c r="H579" s="11"/>
      <c r="I579" s="9" t="s">
        <v>13</v>
      </c>
      <c r="J579" s="35"/>
    </row>
    <row r="580">
      <c r="A580" s="34" t="s">
        <v>204</v>
      </c>
      <c r="B580" s="11"/>
      <c r="C580" s="8"/>
      <c r="D580" s="8"/>
      <c r="E580" s="9"/>
      <c r="F580" s="10"/>
      <c r="G580" s="9"/>
      <c r="H580" s="11"/>
      <c r="I580" s="9" t="s">
        <v>13</v>
      </c>
      <c r="J580" s="35"/>
    </row>
    <row r="581">
      <c r="A581" s="34" t="s">
        <v>204</v>
      </c>
      <c r="B581" s="11"/>
      <c r="C581" s="8"/>
      <c r="D581" s="8"/>
      <c r="E581" s="9"/>
      <c r="F581" s="10"/>
      <c r="G581" s="9"/>
      <c r="H581" s="11"/>
      <c r="I581" s="9" t="s">
        <v>13</v>
      </c>
      <c r="J581" s="35"/>
    </row>
    <row r="582">
      <c r="A582" s="34" t="s">
        <v>204</v>
      </c>
      <c r="B582" s="11"/>
      <c r="C582" s="8"/>
      <c r="D582" s="8"/>
      <c r="E582" s="9"/>
      <c r="F582" s="10"/>
      <c r="G582" s="9"/>
      <c r="H582" s="11"/>
      <c r="I582" s="9" t="s">
        <v>13</v>
      </c>
      <c r="J582" s="35"/>
    </row>
    <row r="583">
      <c r="A583" s="34" t="s">
        <v>204</v>
      </c>
      <c r="B583" s="11"/>
      <c r="C583" s="8"/>
      <c r="D583" s="8"/>
      <c r="E583" s="9"/>
      <c r="F583" s="10"/>
      <c r="G583" s="9"/>
      <c r="H583" s="11"/>
      <c r="I583" s="9" t="s">
        <v>13</v>
      </c>
      <c r="J583" s="35"/>
    </row>
    <row r="584">
      <c r="A584" s="34" t="s">
        <v>204</v>
      </c>
      <c r="B584" s="11"/>
      <c r="C584" s="8"/>
      <c r="D584" s="8"/>
      <c r="E584" s="9"/>
      <c r="F584" s="10"/>
      <c r="G584" s="9"/>
      <c r="H584" s="11"/>
      <c r="I584" s="9" t="s">
        <v>13</v>
      </c>
      <c r="J584" s="35"/>
    </row>
    <row r="585">
      <c r="A585" s="34" t="s">
        <v>204</v>
      </c>
      <c r="B585" s="11"/>
      <c r="C585" s="8"/>
      <c r="D585" s="8"/>
      <c r="E585" s="9"/>
      <c r="F585" s="10"/>
      <c r="G585" s="9"/>
      <c r="H585" s="11"/>
      <c r="I585" s="9" t="s">
        <v>13</v>
      </c>
      <c r="J585" s="35"/>
    </row>
    <row r="586">
      <c r="A586" s="34" t="s">
        <v>204</v>
      </c>
      <c r="B586" s="11"/>
      <c r="C586" s="8"/>
      <c r="D586" s="8"/>
      <c r="E586" s="9"/>
      <c r="F586" s="10"/>
      <c r="G586" s="9"/>
      <c r="H586" s="11"/>
      <c r="I586" s="9" t="s">
        <v>13</v>
      </c>
      <c r="J586" s="35"/>
    </row>
    <row r="587">
      <c r="A587" s="34" t="s">
        <v>204</v>
      </c>
      <c r="B587" s="11"/>
      <c r="C587" s="8"/>
      <c r="D587" s="8"/>
      <c r="E587" s="9"/>
      <c r="F587" s="10"/>
      <c r="G587" s="9"/>
      <c r="H587" s="11"/>
      <c r="I587" s="9" t="s">
        <v>13</v>
      </c>
      <c r="J587" s="35"/>
    </row>
    <row r="588">
      <c r="A588" s="34" t="s">
        <v>204</v>
      </c>
      <c r="B588" s="11"/>
      <c r="C588" s="8"/>
      <c r="D588" s="8"/>
      <c r="E588" s="9"/>
      <c r="F588" s="10"/>
      <c r="G588" s="9"/>
      <c r="H588" s="11"/>
      <c r="I588" s="9" t="s">
        <v>13</v>
      </c>
      <c r="J588" s="35"/>
    </row>
    <row r="589">
      <c r="A589" s="34" t="s">
        <v>204</v>
      </c>
      <c r="B589" s="11"/>
      <c r="C589" s="8"/>
      <c r="D589" s="8"/>
      <c r="E589" s="9"/>
      <c r="F589" s="10"/>
      <c r="G589" s="9"/>
      <c r="H589" s="11"/>
      <c r="I589" s="9" t="s">
        <v>13</v>
      </c>
      <c r="J589" s="35"/>
    </row>
    <row r="590">
      <c r="A590" s="34" t="s">
        <v>204</v>
      </c>
      <c r="B590" s="11"/>
      <c r="C590" s="8"/>
      <c r="D590" s="8"/>
      <c r="E590" s="9"/>
      <c r="F590" s="10"/>
      <c r="G590" s="9"/>
      <c r="H590" s="11"/>
      <c r="I590" s="9" t="s">
        <v>13</v>
      </c>
      <c r="J590" s="35"/>
    </row>
    <row r="591">
      <c r="A591" s="34" t="s">
        <v>204</v>
      </c>
      <c r="B591" s="11"/>
      <c r="C591" s="8"/>
      <c r="D591" s="8"/>
      <c r="E591" s="9"/>
      <c r="F591" s="10"/>
      <c r="G591" s="9"/>
      <c r="H591" s="11"/>
      <c r="I591" s="9" t="s">
        <v>13</v>
      </c>
      <c r="J591" s="35"/>
    </row>
    <row r="592">
      <c r="A592" s="34" t="s">
        <v>204</v>
      </c>
      <c r="B592" s="11"/>
      <c r="C592" s="8"/>
      <c r="D592" s="8"/>
      <c r="E592" s="9"/>
      <c r="F592" s="10"/>
      <c r="G592" s="9"/>
      <c r="H592" s="11"/>
      <c r="I592" s="9" t="s">
        <v>13</v>
      </c>
      <c r="J592" s="35"/>
    </row>
    <row r="593">
      <c r="A593" s="34" t="s">
        <v>204</v>
      </c>
      <c r="B593" s="11"/>
      <c r="C593" s="8"/>
      <c r="D593" s="8"/>
      <c r="E593" s="9"/>
      <c r="F593" s="10"/>
      <c r="G593" s="9"/>
      <c r="H593" s="11"/>
      <c r="I593" s="9" t="s">
        <v>13</v>
      </c>
      <c r="J593" s="35"/>
    </row>
    <row r="594">
      <c r="A594" s="34" t="s">
        <v>204</v>
      </c>
      <c r="B594" s="11"/>
      <c r="C594" s="8"/>
      <c r="D594" s="8"/>
      <c r="E594" s="9"/>
      <c r="F594" s="10"/>
      <c r="G594" s="9"/>
      <c r="H594" s="11"/>
      <c r="I594" s="9" t="s">
        <v>13</v>
      </c>
      <c r="J594" s="35"/>
    </row>
    <row r="595">
      <c r="A595" s="34" t="s">
        <v>204</v>
      </c>
      <c r="B595" s="11"/>
      <c r="C595" s="8"/>
      <c r="D595" s="8"/>
      <c r="E595" s="9"/>
      <c r="F595" s="10"/>
      <c r="G595" s="9"/>
      <c r="H595" s="11"/>
      <c r="I595" s="9" t="s">
        <v>13</v>
      </c>
      <c r="J595" s="35"/>
    </row>
    <row r="596">
      <c r="A596" s="34" t="s">
        <v>204</v>
      </c>
      <c r="B596" s="11"/>
      <c r="C596" s="8"/>
      <c r="D596" s="8"/>
      <c r="E596" s="9"/>
      <c r="F596" s="10"/>
      <c r="G596" s="9"/>
      <c r="H596" s="11"/>
      <c r="I596" s="9" t="s">
        <v>13</v>
      </c>
      <c r="J596" s="35"/>
    </row>
    <row r="597">
      <c r="A597" s="34" t="s">
        <v>204</v>
      </c>
      <c r="B597" s="11"/>
      <c r="C597" s="8"/>
      <c r="D597" s="8"/>
      <c r="E597" s="9"/>
      <c r="F597" s="10"/>
      <c r="G597" s="9"/>
      <c r="H597" s="11"/>
      <c r="I597" s="9" t="s">
        <v>13</v>
      </c>
      <c r="J597" s="35"/>
    </row>
    <row r="598">
      <c r="A598" s="34" t="s">
        <v>204</v>
      </c>
      <c r="B598" s="11"/>
      <c r="C598" s="8"/>
      <c r="D598" s="8"/>
      <c r="E598" s="9"/>
      <c r="F598" s="10"/>
      <c r="G598" s="9"/>
      <c r="H598" s="11"/>
      <c r="I598" s="9" t="s">
        <v>13</v>
      </c>
      <c r="J598" s="35"/>
    </row>
    <row r="599">
      <c r="A599" s="34" t="s">
        <v>204</v>
      </c>
      <c r="B599" s="11"/>
      <c r="C599" s="8"/>
      <c r="D599" s="8"/>
      <c r="E599" s="9"/>
      <c r="F599" s="10"/>
      <c r="G599" s="9"/>
      <c r="H599" s="11"/>
      <c r="I599" s="9" t="s">
        <v>13</v>
      </c>
      <c r="J599" s="35"/>
    </row>
    <row r="600">
      <c r="A600" s="34" t="s">
        <v>204</v>
      </c>
      <c r="B600" s="11"/>
      <c r="C600" s="8"/>
      <c r="D600" s="8"/>
      <c r="E600" s="9"/>
      <c r="F600" s="10"/>
      <c r="G600" s="9"/>
      <c r="H600" s="11"/>
      <c r="I600" s="9" t="s">
        <v>13</v>
      </c>
      <c r="J600" s="35"/>
    </row>
    <row r="601">
      <c r="A601" s="34" t="s">
        <v>204</v>
      </c>
      <c r="B601" s="11"/>
      <c r="C601" s="8"/>
      <c r="D601" s="8"/>
      <c r="E601" s="9"/>
      <c r="F601" s="10"/>
      <c r="G601" s="9"/>
      <c r="H601" s="11"/>
      <c r="I601" s="9" t="s">
        <v>13</v>
      </c>
      <c r="J601" s="35"/>
    </row>
    <row r="602">
      <c r="A602" s="34" t="s">
        <v>204</v>
      </c>
      <c r="B602" s="11"/>
      <c r="C602" s="8"/>
      <c r="D602" s="8"/>
      <c r="E602" s="9"/>
      <c r="F602" s="10"/>
      <c r="G602" s="9"/>
      <c r="H602" s="11"/>
      <c r="I602" s="9" t="s">
        <v>13</v>
      </c>
      <c r="J602" s="35"/>
    </row>
    <row r="603">
      <c r="A603" s="34" t="s">
        <v>204</v>
      </c>
      <c r="B603" s="11"/>
      <c r="C603" s="8"/>
      <c r="D603" s="8"/>
      <c r="E603" s="9"/>
      <c r="F603" s="10"/>
      <c r="G603" s="9"/>
      <c r="H603" s="11"/>
      <c r="I603" s="9" t="s">
        <v>13</v>
      </c>
      <c r="J603" s="35"/>
    </row>
    <row r="604">
      <c r="A604" s="34" t="s">
        <v>204</v>
      </c>
      <c r="B604" s="11"/>
      <c r="C604" s="8"/>
      <c r="D604" s="8"/>
      <c r="E604" s="9"/>
      <c r="F604" s="10"/>
      <c r="G604" s="9"/>
      <c r="H604" s="11"/>
      <c r="I604" s="9" t="s">
        <v>13</v>
      </c>
      <c r="J604" s="35"/>
    </row>
    <row r="605">
      <c r="A605" s="34" t="s">
        <v>204</v>
      </c>
      <c r="B605" s="11"/>
      <c r="C605" s="8"/>
      <c r="D605" s="8"/>
      <c r="E605" s="9"/>
      <c r="F605" s="10"/>
      <c r="G605" s="9"/>
      <c r="H605" s="11"/>
      <c r="I605" s="9" t="s">
        <v>13</v>
      </c>
      <c r="J605" s="35"/>
    </row>
    <row r="606">
      <c r="A606" s="34" t="s">
        <v>204</v>
      </c>
      <c r="B606" s="11"/>
      <c r="C606" s="8"/>
      <c r="D606" s="8"/>
      <c r="E606" s="9"/>
      <c r="F606" s="10"/>
      <c r="G606" s="9"/>
      <c r="H606" s="11"/>
      <c r="I606" s="9" t="s">
        <v>13</v>
      </c>
      <c r="J606" s="35"/>
    </row>
    <row r="607">
      <c r="A607" s="34" t="s">
        <v>204</v>
      </c>
      <c r="B607" s="11"/>
      <c r="C607" s="8"/>
      <c r="D607" s="8"/>
      <c r="E607" s="9"/>
      <c r="F607" s="10"/>
      <c r="G607" s="9"/>
      <c r="H607" s="11"/>
      <c r="I607" s="9" t="s">
        <v>13</v>
      </c>
      <c r="J607" s="35"/>
    </row>
    <row r="608">
      <c r="A608" s="34" t="s">
        <v>204</v>
      </c>
      <c r="B608" s="11"/>
      <c r="C608" s="8"/>
      <c r="D608" s="8"/>
      <c r="E608" s="9"/>
      <c r="F608" s="10"/>
      <c r="G608" s="9"/>
      <c r="H608" s="11"/>
      <c r="I608" s="9" t="s">
        <v>13</v>
      </c>
      <c r="J608" s="35"/>
    </row>
    <row r="609">
      <c r="A609" s="34" t="s">
        <v>204</v>
      </c>
      <c r="B609" s="11"/>
      <c r="C609" s="8"/>
      <c r="D609" s="8"/>
      <c r="E609" s="9"/>
      <c r="F609" s="10"/>
      <c r="G609" s="9"/>
      <c r="H609" s="11"/>
      <c r="I609" s="9" t="s">
        <v>13</v>
      </c>
      <c r="J609" s="35"/>
    </row>
    <row r="610">
      <c r="A610" s="34" t="s">
        <v>204</v>
      </c>
      <c r="B610" s="11"/>
      <c r="C610" s="8"/>
      <c r="D610" s="8"/>
      <c r="E610" s="9"/>
      <c r="F610" s="10"/>
      <c r="G610" s="9"/>
      <c r="H610" s="11"/>
      <c r="I610" s="9" t="s">
        <v>13</v>
      </c>
      <c r="J610" s="35"/>
    </row>
    <row r="611">
      <c r="A611" s="34" t="s">
        <v>204</v>
      </c>
      <c r="B611" s="11"/>
      <c r="C611" s="8"/>
      <c r="D611" s="8"/>
      <c r="E611" s="9"/>
      <c r="F611" s="10"/>
      <c r="G611" s="9"/>
      <c r="H611" s="11"/>
      <c r="I611" s="9" t="s">
        <v>13</v>
      </c>
      <c r="J611" s="35"/>
    </row>
    <row r="612">
      <c r="A612" s="34" t="s">
        <v>204</v>
      </c>
      <c r="B612" s="11"/>
      <c r="C612" s="8"/>
      <c r="D612" s="8"/>
      <c r="E612" s="9"/>
      <c r="F612" s="10"/>
      <c r="G612" s="9"/>
      <c r="H612" s="11"/>
      <c r="I612" s="9" t="s">
        <v>13</v>
      </c>
      <c r="J612" s="35"/>
    </row>
    <row r="613">
      <c r="A613" s="34" t="s">
        <v>204</v>
      </c>
      <c r="B613" s="11"/>
      <c r="C613" s="8"/>
      <c r="D613" s="8"/>
      <c r="E613" s="9"/>
      <c r="F613" s="10"/>
      <c r="G613" s="9"/>
      <c r="H613" s="11"/>
      <c r="I613" s="9" t="s">
        <v>13</v>
      </c>
      <c r="J613" s="35"/>
    </row>
    <row r="614">
      <c r="A614" s="34" t="s">
        <v>204</v>
      </c>
      <c r="B614" s="11"/>
      <c r="C614" s="8"/>
      <c r="D614" s="8"/>
      <c r="E614" s="9"/>
      <c r="F614" s="10"/>
      <c r="G614" s="9"/>
      <c r="H614" s="11"/>
      <c r="I614" s="9" t="s">
        <v>13</v>
      </c>
      <c r="J614" s="35"/>
    </row>
    <row r="615">
      <c r="A615" s="34" t="s">
        <v>204</v>
      </c>
      <c r="B615" s="11"/>
      <c r="C615" s="8"/>
      <c r="D615" s="8"/>
      <c r="E615" s="9"/>
      <c r="F615" s="10"/>
      <c r="G615" s="9"/>
      <c r="H615" s="11"/>
      <c r="I615" s="9" t="s">
        <v>13</v>
      </c>
      <c r="J615" s="35"/>
    </row>
    <row r="616">
      <c r="A616" s="34" t="s">
        <v>204</v>
      </c>
      <c r="B616" s="11"/>
      <c r="C616" s="8"/>
      <c r="D616" s="8"/>
      <c r="E616" s="9"/>
      <c r="F616" s="10"/>
      <c r="G616" s="9"/>
      <c r="H616" s="11"/>
      <c r="I616" s="9" t="s">
        <v>13</v>
      </c>
      <c r="J616" s="35"/>
    </row>
    <row r="617">
      <c r="A617" s="34" t="s">
        <v>204</v>
      </c>
      <c r="B617" s="11"/>
      <c r="C617" s="8"/>
      <c r="D617" s="8"/>
      <c r="E617" s="9"/>
      <c r="F617" s="10"/>
      <c r="G617" s="9"/>
      <c r="H617" s="11"/>
      <c r="I617" s="9" t="s">
        <v>13</v>
      </c>
      <c r="J617" s="35"/>
    </row>
    <row r="618">
      <c r="A618" s="34" t="s">
        <v>204</v>
      </c>
      <c r="B618" s="11"/>
      <c r="C618" s="8"/>
      <c r="D618" s="8"/>
      <c r="E618" s="9"/>
      <c r="F618" s="10"/>
      <c r="G618" s="9"/>
      <c r="H618" s="11"/>
      <c r="I618" s="9" t="s">
        <v>13</v>
      </c>
      <c r="J618" s="35"/>
    </row>
    <row r="619">
      <c r="A619" s="34" t="s">
        <v>204</v>
      </c>
      <c r="B619" s="11"/>
      <c r="C619" s="8"/>
      <c r="D619" s="8"/>
      <c r="E619" s="9"/>
      <c r="F619" s="10"/>
      <c r="G619" s="9"/>
      <c r="H619" s="11"/>
      <c r="I619" s="9" t="s">
        <v>13</v>
      </c>
      <c r="J619" s="35"/>
    </row>
    <row r="620">
      <c r="A620" s="34" t="s">
        <v>204</v>
      </c>
      <c r="B620" s="11"/>
      <c r="C620" s="8"/>
      <c r="D620" s="8"/>
      <c r="E620" s="9"/>
      <c r="F620" s="10"/>
      <c r="G620" s="9"/>
      <c r="H620" s="11"/>
      <c r="I620" s="9" t="s">
        <v>13</v>
      </c>
      <c r="J620" s="35"/>
    </row>
    <row r="621">
      <c r="A621" s="34" t="s">
        <v>204</v>
      </c>
      <c r="B621" s="11"/>
      <c r="C621" s="8"/>
      <c r="D621" s="8"/>
      <c r="E621" s="9"/>
      <c r="F621" s="10"/>
      <c r="G621" s="9"/>
      <c r="H621" s="11"/>
      <c r="I621" s="9" t="s">
        <v>13</v>
      </c>
      <c r="J621" s="35"/>
    </row>
    <row r="622">
      <c r="A622" s="34" t="s">
        <v>204</v>
      </c>
      <c r="B622" s="11"/>
      <c r="C622" s="8"/>
      <c r="D622" s="8"/>
      <c r="E622" s="9"/>
      <c r="F622" s="10"/>
      <c r="G622" s="9"/>
      <c r="H622" s="11"/>
      <c r="I622" s="9" t="s">
        <v>13</v>
      </c>
      <c r="J622" s="35"/>
    </row>
    <row r="623">
      <c r="A623" s="34" t="s">
        <v>204</v>
      </c>
      <c r="B623" s="11"/>
      <c r="C623" s="8"/>
      <c r="D623" s="8"/>
      <c r="E623" s="9"/>
      <c r="F623" s="10"/>
      <c r="G623" s="9"/>
      <c r="H623" s="11"/>
      <c r="I623" s="9" t="s">
        <v>13</v>
      </c>
      <c r="J623" s="35"/>
    </row>
    <row r="624">
      <c r="A624" s="34" t="s">
        <v>204</v>
      </c>
      <c r="B624" s="11"/>
      <c r="C624" s="8"/>
      <c r="D624" s="8"/>
      <c r="E624" s="9"/>
      <c r="F624" s="10"/>
      <c r="G624" s="9"/>
      <c r="H624" s="11"/>
      <c r="I624" s="9" t="s">
        <v>13</v>
      </c>
      <c r="J624" s="35"/>
    </row>
    <row r="625">
      <c r="A625" s="34" t="s">
        <v>204</v>
      </c>
      <c r="B625" s="11"/>
      <c r="C625" s="8"/>
      <c r="D625" s="8"/>
      <c r="E625" s="9"/>
      <c r="F625" s="10"/>
      <c r="G625" s="9"/>
      <c r="H625" s="11"/>
      <c r="I625" s="9" t="s">
        <v>13</v>
      </c>
      <c r="J625" s="35"/>
    </row>
    <row r="626">
      <c r="A626" s="34" t="s">
        <v>204</v>
      </c>
      <c r="B626" s="11"/>
      <c r="C626" s="8"/>
      <c r="D626" s="8"/>
      <c r="E626" s="9"/>
      <c r="F626" s="10"/>
      <c r="G626" s="9"/>
      <c r="H626" s="11"/>
      <c r="I626" s="9" t="s">
        <v>13</v>
      </c>
      <c r="J626" s="35"/>
    </row>
    <row r="627">
      <c r="A627" s="34" t="s">
        <v>204</v>
      </c>
      <c r="B627" s="11"/>
      <c r="C627" s="8"/>
      <c r="D627" s="8"/>
      <c r="E627" s="9"/>
      <c r="F627" s="10"/>
      <c r="G627" s="9"/>
      <c r="H627" s="11"/>
      <c r="I627" s="9" t="s">
        <v>13</v>
      </c>
      <c r="J627" s="35"/>
    </row>
    <row r="628">
      <c r="A628" s="34" t="s">
        <v>204</v>
      </c>
      <c r="B628" s="11"/>
      <c r="C628" s="8"/>
      <c r="D628" s="8"/>
      <c r="E628" s="9"/>
      <c r="F628" s="10"/>
      <c r="G628" s="9"/>
      <c r="H628" s="11"/>
      <c r="I628" s="9" t="s">
        <v>13</v>
      </c>
      <c r="J628" s="35"/>
    </row>
    <row r="629">
      <c r="A629" s="34" t="s">
        <v>204</v>
      </c>
      <c r="B629" s="11"/>
      <c r="C629" s="8"/>
      <c r="D629" s="8"/>
      <c r="E629" s="9"/>
      <c r="F629" s="10"/>
      <c r="G629" s="9"/>
      <c r="H629" s="11"/>
      <c r="I629" s="9" t="s">
        <v>13</v>
      </c>
      <c r="J629" s="35"/>
    </row>
    <row r="630">
      <c r="A630" s="34" t="s">
        <v>204</v>
      </c>
      <c r="B630" s="11"/>
      <c r="C630" s="8"/>
      <c r="D630" s="8"/>
      <c r="E630" s="9"/>
      <c r="F630" s="10"/>
      <c r="G630" s="9"/>
      <c r="H630" s="11"/>
      <c r="I630" s="9" t="s">
        <v>13</v>
      </c>
      <c r="J630" s="35"/>
    </row>
    <row r="631">
      <c r="A631" s="34" t="s">
        <v>204</v>
      </c>
      <c r="B631" s="11"/>
      <c r="C631" s="8"/>
      <c r="D631" s="8"/>
      <c r="E631" s="9"/>
      <c r="F631" s="10"/>
      <c r="G631" s="9"/>
      <c r="H631" s="11"/>
      <c r="I631" s="9" t="s">
        <v>13</v>
      </c>
      <c r="J631" s="35"/>
    </row>
    <row r="632">
      <c r="A632" s="34" t="s">
        <v>204</v>
      </c>
      <c r="B632" s="11"/>
      <c r="C632" s="8"/>
      <c r="D632" s="8"/>
      <c r="E632" s="9"/>
      <c r="F632" s="10"/>
      <c r="G632" s="9"/>
      <c r="H632" s="11"/>
      <c r="I632" s="9" t="s">
        <v>13</v>
      </c>
      <c r="J632" s="35"/>
    </row>
    <row r="633">
      <c r="A633" s="34" t="s">
        <v>204</v>
      </c>
      <c r="B633" s="11"/>
      <c r="C633" s="8"/>
      <c r="D633" s="8"/>
      <c r="E633" s="9"/>
      <c r="F633" s="10"/>
      <c r="G633" s="9"/>
      <c r="H633" s="11"/>
      <c r="I633" s="9" t="s">
        <v>13</v>
      </c>
      <c r="J633" s="35"/>
    </row>
    <row r="634">
      <c r="A634" s="34" t="s">
        <v>204</v>
      </c>
      <c r="B634" s="11"/>
      <c r="C634" s="8"/>
      <c r="D634" s="8"/>
      <c r="E634" s="9"/>
      <c r="F634" s="10"/>
      <c r="G634" s="9"/>
      <c r="H634" s="11"/>
      <c r="I634" s="9" t="s">
        <v>13</v>
      </c>
      <c r="J634" s="35"/>
    </row>
    <row r="635">
      <c r="A635" s="34" t="s">
        <v>204</v>
      </c>
      <c r="B635" s="11"/>
      <c r="C635" s="8"/>
      <c r="D635" s="8"/>
      <c r="E635" s="9"/>
      <c r="F635" s="10"/>
      <c r="G635" s="9"/>
      <c r="H635" s="11"/>
      <c r="I635" s="9" t="s">
        <v>13</v>
      </c>
      <c r="J635" s="35"/>
    </row>
    <row r="636">
      <c r="A636" s="34" t="s">
        <v>204</v>
      </c>
      <c r="B636" s="11"/>
      <c r="C636" s="8"/>
      <c r="D636" s="8"/>
      <c r="E636" s="9"/>
      <c r="F636" s="10"/>
      <c r="G636" s="9"/>
      <c r="H636" s="11"/>
      <c r="I636" s="9" t="s">
        <v>13</v>
      </c>
      <c r="J636" s="35"/>
    </row>
    <row r="637">
      <c r="A637" s="34" t="s">
        <v>204</v>
      </c>
      <c r="B637" s="11"/>
      <c r="C637" s="8"/>
      <c r="D637" s="8"/>
      <c r="E637" s="9"/>
      <c r="F637" s="10"/>
      <c r="G637" s="9"/>
      <c r="H637" s="11"/>
      <c r="I637" s="9" t="s">
        <v>13</v>
      </c>
      <c r="J637" s="35"/>
    </row>
    <row r="638">
      <c r="A638" s="34" t="s">
        <v>204</v>
      </c>
      <c r="B638" s="11"/>
      <c r="C638" s="8"/>
      <c r="D638" s="8"/>
      <c r="E638" s="9"/>
      <c r="F638" s="10"/>
      <c r="G638" s="9"/>
      <c r="H638" s="11"/>
      <c r="I638" s="9" t="s">
        <v>13</v>
      </c>
      <c r="J638" s="35"/>
    </row>
    <row r="639">
      <c r="A639" s="34" t="s">
        <v>204</v>
      </c>
      <c r="B639" s="11"/>
      <c r="C639" s="8"/>
      <c r="D639" s="8"/>
      <c r="E639" s="9"/>
      <c r="F639" s="10"/>
      <c r="G639" s="9"/>
      <c r="H639" s="11"/>
      <c r="I639" s="9" t="s">
        <v>13</v>
      </c>
      <c r="J639" s="35"/>
    </row>
    <row r="640">
      <c r="A640" s="34" t="s">
        <v>204</v>
      </c>
      <c r="B640" s="11"/>
      <c r="C640" s="8"/>
      <c r="D640" s="8"/>
      <c r="E640" s="9"/>
      <c r="F640" s="10"/>
      <c r="G640" s="9"/>
      <c r="H640" s="11"/>
      <c r="I640" s="9" t="s">
        <v>13</v>
      </c>
      <c r="J640" s="35"/>
    </row>
    <row r="641">
      <c r="A641" s="34" t="s">
        <v>204</v>
      </c>
      <c r="B641" s="11"/>
      <c r="C641" s="8"/>
      <c r="D641" s="8"/>
      <c r="E641" s="9"/>
      <c r="F641" s="10"/>
      <c r="G641" s="9"/>
      <c r="H641" s="11"/>
      <c r="I641" s="9" t="s">
        <v>13</v>
      </c>
      <c r="J641" s="35"/>
    </row>
    <row r="642">
      <c r="A642" s="34" t="s">
        <v>204</v>
      </c>
      <c r="B642" s="11"/>
      <c r="C642" s="8"/>
      <c r="D642" s="8"/>
      <c r="E642" s="9"/>
      <c r="F642" s="10"/>
      <c r="G642" s="9"/>
      <c r="H642" s="11"/>
      <c r="I642" s="9" t="s">
        <v>13</v>
      </c>
      <c r="J642" s="35"/>
    </row>
    <row r="643">
      <c r="A643" s="34" t="s">
        <v>204</v>
      </c>
      <c r="B643" s="11"/>
      <c r="C643" s="8"/>
      <c r="D643" s="8"/>
      <c r="E643" s="9"/>
      <c r="F643" s="10"/>
      <c r="G643" s="9"/>
      <c r="H643" s="11"/>
      <c r="I643" s="9" t="s">
        <v>13</v>
      </c>
      <c r="J643" s="35"/>
    </row>
    <row r="644">
      <c r="A644" s="34" t="s">
        <v>204</v>
      </c>
      <c r="B644" s="11"/>
      <c r="C644" s="8"/>
      <c r="D644" s="8"/>
      <c r="E644" s="9"/>
      <c r="F644" s="10"/>
      <c r="G644" s="9"/>
      <c r="H644" s="11"/>
      <c r="I644" s="9" t="s">
        <v>13</v>
      </c>
      <c r="J644" s="35"/>
    </row>
    <row r="645">
      <c r="A645" s="34" t="s">
        <v>204</v>
      </c>
      <c r="B645" s="11"/>
      <c r="C645" s="8"/>
      <c r="D645" s="8"/>
      <c r="E645" s="9"/>
      <c r="F645" s="10"/>
      <c r="G645" s="9"/>
      <c r="H645" s="11"/>
      <c r="I645" s="9" t="s">
        <v>13</v>
      </c>
      <c r="J645" s="35"/>
    </row>
    <row r="646">
      <c r="A646" s="34" t="s">
        <v>204</v>
      </c>
      <c r="B646" s="11"/>
      <c r="C646" s="8"/>
      <c r="D646" s="8"/>
      <c r="E646" s="9"/>
      <c r="F646" s="10"/>
      <c r="G646" s="9"/>
      <c r="H646" s="11"/>
      <c r="I646" s="9" t="s">
        <v>13</v>
      </c>
      <c r="J646" s="35"/>
    </row>
    <row r="647">
      <c r="A647" s="34" t="s">
        <v>204</v>
      </c>
      <c r="B647" s="11"/>
      <c r="C647" s="8"/>
      <c r="D647" s="8"/>
      <c r="E647" s="9"/>
      <c r="F647" s="10"/>
      <c r="G647" s="9"/>
      <c r="H647" s="11"/>
      <c r="I647" s="9" t="s">
        <v>13</v>
      </c>
      <c r="J647" s="35"/>
    </row>
    <row r="648">
      <c r="A648" s="34" t="s">
        <v>204</v>
      </c>
      <c r="B648" s="11"/>
      <c r="C648" s="8"/>
      <c r="D648" s="8"/>
      <c r="E648" s="9"/>
      <c r="F648" s="10"/>
      <c r="G648" s="9"/>
      <c r="H648" s="11"/>
      <c r="I648" s="9" t="s">
        <v>13</v>
      </c>
      <c r="J648" s="35"/>
    </row>
    <row r="649">
      <c r="A649" s="34" t="s">
        <v>204</v>
      </c>
      <c r="B649" s="11"/>
      <c r="C649" s="8"/>
      <c r="D649" s="8"/>
      <c r="E649" s="9"/>
      <c r="F649" s="10"/>
      <c r="G649" s="9"/>
      <c r="H649" s="11"/>
      <c r="I649" s="9" t="s">
        <v>13</v>
      </c>
      <c r="J649" s="35"/>
    </row>
    <row r="650">
      <c r="A650" s="34" t="s">
        <v>204</v>
      </c>
      <c r="B650" s="11"/>
      <c r="C650" s="8"/>
      <c r="D650" s="8"/>
      <c r="E650" s="9"/>
      <c r="F650" s="10"/>
      <c r="G650" s="9"/>
      <c r="H650" s="11"/>
      <c r="I650" s="9" t="s">
        <v>13</v>
      </c>
      <c r="J650" s="35"/>
    </row>
    <row r="651">
      <c r="A651" s="34" t="s">
        <v>204</v>
      </c>
      <c r="B651" s="11"/>
      <c r="C651" s="8"/>
      <c r="D651" s="8"/>
      <c r="E651" s="9"/>
      <c r="F651" s="10"/>
      <c r="G651" s="9"/>
      <c r="H651" s="11"/>
      <c r="I651" s="9" t="s">
        <v>13</v>
      </c>
      <c r="J651" s="35"/>
    </row>
    <row r="652">
      <c r="A652" s="34" t="s">
        <v>204</v>
      </c>
      <c r="B652" s="11"/>
      <c r="C652" s="8"/>
      <c r="D652" s="8"/>
      <c r="E652" s="9"/>
      <c r="F652" s="10"/>
      <c r="G652" s="9"/>
      <c r="H652" s="11"/>
      <c r="I652" s="9" t="s">
        <v>13</v>
      </c>
      <c r="J652" s="35"/>
    </row>
    <row r="653">
      <c r="A653" s="34" t="s">
        <v>204</v>
      </c>
      <c r="B653" s="11"/>
      <c r="C653" s="8"/>
      <c r="D653" s="8"/>
      <c r="E653" s="9"/>
      <c r="F653" s="10"/>
      <c r="G653" s="9"/>
      <c r="H653" s="11"/>
      <c r="I653" s="9" t="s">
        <v>13</v>
      </c>
      <c r="J653" s="35"/>
    </row>
    <row r="654">
      <c r="A654" s="34" t="s">
        <v>204</v>
      </c>
      <c r="B654" s="11"/>
      <c r="C654" s="8"/>
      <c r="D654" s="8"/>
      <c r="E654" s="9"/>
      <c r="F654" s="10"/>
      <c r="G654" s="9"/>
      <c r="H654" s="11"/>
      <c r="I654" s="9" t="s">
        <v>13</v>
      </c>
      <c r="J654" s="35"/>
    </row>
    <row r="655">
      <c r="A655" s="34" t="s">
        <v>204</v>
      </c>
      <c r="B655" s="11"/>
      <c r="C655" s="8"/>
      <c r="D655" s="8"/>
      <c r="E655" s="9"/>
      <c r="F655" s="10"/>
      <c r="G655" s="9"/>
      <c r="H655" s="11"/>
      <c r="I655" s="9" t="s">
        <v>13</v>
      </c>
      <c r="J655" s="35"/>
    </row>
    <row r="656">
      <c r="A656" s="34" t="s">
        <v>204</v>
      </c>
      <c r="B656" s="11"/>
      <c r="C656" s="8"/>
      <c r="D656" s="8"/>
      <c r="E656" s="9"/>
      <c r="F656" s="10"/>
      <c r="G656" s="9"/>
      <c r="H656" s="11"/>
      <c r="I656" s="9" t="s">
        <v>13</v>
      </c>
      <c r="J656" s="35"/>
    </row>
    <row r="657">
      <c r="A657" s="34" t="s">
        <v>204</v>
      </c>
      <c r="B657" s="11"/>
      <c r="C657" s="8"/>
      <c r="D657" s="8"/>
      <c r="E657" s="9"/>
      <c r="F657" s="10"/>
      <c r="G657" s="9"/>
      <c r="H657" s="11"/>
      <c r="I657" s="9" t="s">
        <v>13</v>
      </c>
      <c r="J657" s="35"/>
    </row>
    <row r="658">
      <c r="A658" s="34" t="s">
        <v>204</v>
      </c>
      <c r="B658" s="11"/>
      <c r="C658" s="8"/>
      <c r="D658" s="8"/>
      <c r="E658" s="9"/>
      <c r="F658" s="10"/>
      <c r="G658" s="9"/>
      <c r="H658" s="11"/>
      <c r="I658" s="9" t="s">
        <v>13</v>
      </c>
      <c r="J658" s="35"/>
    </row>
    <row r="659">
      <c r="A659" s="34" t="s">
        <v>204</v>
      </c>
      <c r="B659" s="11"/>
      <c r="C659" s="8"/>
      <c r="D659" s="8"/>
      <c r="E659" s="9"/>
      <c r="F659" s="10"/>
      <c r="G659" s="9"/>
      <c r="H659" s="11"/>
      <c r="I659" s="9" t="s">
        <v>13</v>
      </c>
      <c r="J659" s="35"/>
    </row>
    <row r="660">
      <c r="A660" s="34" t="s">
        <v>204</v>
      </c>
      <c r="B660" s="11"/>
      <c r="C660" s="8"/>
      <c r="D660" s="8"/>
      <c r="E660" s="9"/>
      <c r="F660" s="10"/>
      <c r="G660" s="9"/>
      <c r="H660" s="11"/>
      <c r="I660" s="9" t="s">
        <v>13</v>
      </c>
      <c r="J660" s="35"/>
    </row>
    <row r="661">
      <c r="A661" s="34" t="s">
        <v>204</v>
      </c>
      <c r="B661" s="11"/>
      <c r="C661" s="8"/>
      <c r="D661" s="8"/>
      <c r="E661" s="9"/>
      <c r="F661" s="10"/>
      <c r="G661" s="9"/>
      <c r="H661" s="11"/>
      <c r="I661" s="9" t="s">
        <v>13</v>
      </c>
      <c r="J661" s="35"/>
    </row>
    <row r="662">
      <c r="A662" s="34" t="s">
        <v>204</v>
      </c>
      <c r="B662" s="11"/>
      <c r="C662" s="8"/>
      <c r="D662" s="8"/>
      <c r="E662" s="9"/>
      <c r="F662" s="10"/>
      <c r="G662" s="9"/>
      <c r="H662" s="11"/>
      <c r="I662" s="9" t="s">
        <v>13</v>
      </c>
      <c r="J662" s="35"/>
    </row>
    <row r="663">
      <c r="A663" s="34" t="s">
        <v>204</v>
      </c>
      <c r="B663" s="11"/>
      <c r="C663" s="8"/>
      <c r="D663" s="8"/>
      <c r="E663" s="9"/>
      <c r="F663" s="10"/>
      <c r="G663" s="9"/>
      <c r="H663" s="11"/>
      <c r="I663" s="9" t="s">
        <v>13</v>
      </c>
      <c r="J663" s="35"/>
    </row>
    <row r="664">
      <c r="A664" s="34" t="s">
        <v>204</v>
      </c>
      <c r="B664" s="11"/>
      <c r="C664" s="8"/>
      <c r="D664" s="8"/>
      <c r="E664" s="9"/>
      <c r="F664" s="10"/>
      <c r="G664" s="9"/>
      <c r="H664" s="11"/>
      <c r="I664" s="9" t="s">
        <v>13</v>
      </c>
      <c r="J664" s="35"/>
    </row>
    <row r="665">
      <c r="A665" s="34" t="s">
        <v>204</v>
      </c>
      <c r="B665" s="11"/>
      <c r="C665" s="8"/>
      <c r="D665" s="8"/>
      <c r="E665" s="9"/>
      <c r="F665" s="10"/>
      <c r="G665" s="9"/>
      <c r="H665" s="11"/>
      <c r="I665" s="9" t="s">
        <v>13</v>
      </c>
      <c r="J665" s="35"/>
    </row>
    <row r="666">
      <c r="A666" s="34" t="s">
        <v>204</v>
      </c>
      <c r="B666" s="11"/>
      <c r="C666" s="8"/>
      <c r="D666" s="8"/>
      <c r="E666" s="9"/>
      <c r="F666" s="10"/>
      <c r="G666" s="9"/>
      <c r="H666" s="11"/>
      <c r="I666" s="9" t="s">
        <v>13</v>
      </c>
      <c r="J666" s="35"/>
    </row>
    <row r="667">
      <c r="A667" s="34" t="s">
        <v>204</v>
      </c>
      <c r="B667" s="11"/>
      <c r="C667" s="8"/>
      <c r="D667" s="8"/>
      <c r="E667" s="9"/>
      <c r="F667" s="10"/>
      <c r="G667" s="9"/>
      <c r="H667" s="11"/>
      <c r="I667" s="9" t="s">
        <v>13</v>
      </c>
      <c r="J667" s="35"/>
    </row>
    <row r="668">
      <c r="A668" s="34" t="s">
        <v>204</v>
      </c>
      <c r="B668" s="11"/>
      <c r="C668" s="8"/>
      <c r="D668" s="8"/>
      <c r="E668" s="9"/>
      <c r="F668" s="10"/>
      <c r="G668" s="9"/>
      <c r="H668" s="11"/>
      <c r="I668" s="9" t="s">
        <v>13</v>
      </c>
      <c r="J668" s="35"/>
    </row>
    <row r="669">
      <c r="A669" s="34" t="s">
        <v>204</v>
      </c>
      <c r="B669" s="11"/>
      <c r="C669" s="8"/>
      <c r="D669" s="8"/>
      <c r="E669" s="9"/>
      <c r="F669" s="10"/>
      <c r="G669" s="9"/>
      <c r="H669" s="11"/>
      <c r="I669" s="9" t="s">
        <v>13</v>
      </c>
      <c r="J669" s="35"/>
    </row>
    <row r="670">
      <c r="A670" s="34" t="s">
        <v>204</v>
      </c>
      <c r="B670" s="11"/>
      <c r="C670" s="8"/>
      <c r="D670" s="8"/>
      <c r="E670" s="9"/>
      <c r="F670" s="10"/>
      <c r="G670" s="9"/>
      <c r="H670" s="11"/>
      <c r="I670" s="9" t="s">
        <v>13</v>
      </c>
      <c r="J670" s="35"/>
    </row>
    <row r="671">
      <c r="A671" s="34" t="s">
        <v>204</v>
      </c>
      <c r="B671" s="11"/>
      <c r="C671" s="8"/>
      <c r="D671" s="8"/>
      <c r="E671" s="9"/>
      <c r="F671" s="10"/>
      <c r="G671" s="9"/>
      <c r="H671" s="11"/>
      <c r="I671" s="9" t="s">
        <v>13</v>
      </c>
      <c r="J671" s="35"/>
    </row>
    <row r="672">
      <c r="A672" s="34" t="s">
        <v>204</v>
      </c>
      <c r="B672" s="11"/>
      <c r="C672" s="8"/>
      <c r="D672" s="8"/>
      <c r="E672" s="9"/>
      <c r="F672" s="10"/>
      <c r="G672" s="9"/>
      <c r="H672" s="11"/>
      <c r="I672" s="9" t="s">
        <v>13</v>
      </c>
      <c r="J672" s="35"/>
    </row>
    <row r="673">
      <c r="A673" s="34" t="s">
        <v>204</v>
      </c>
      <c r="B673" s="11"/>
      <c r="C673" s="8"/>
      <c r="D673" s="8"/>
      <c r="E673" s="9"/>
      <c r="F673" s="10"/>
      <c r="G673" s="9"/>
      <c r="H673" s="11"/>
      <c r="I673" s="9" t="s">
        <v>13</v>
      </c>
      <c r="J673" s="35"/>
    </row>
    <row r="674">
      <c r="A674" s="34" t="s">
        <v>204</v>
      </c>
      <c r="B674" s="11"/>
      <c r="C674" s="8"/>
      <c r="D674" s="8"/>
      <c r="E674" s="9"/>
      <c r="F674" s="10"/>
      <c r="G674" s="9"/>
      <c r="H674" s="11"/>
      <c r="I674" s="9" t="s">
        <v>13</v>
      </c>
      <c r="J674" s="35"/>
    </row>
    <row r="675">
      <c r="A675" s="34" t="s">
        <v>204</v>
      </c>
      <c r="B675" s="11"/>
      <c r="C675" s="8"/>
      <c r="D675" s="8"/>
      <c r="E675" s="9"/>
      <c r="F675" s="10"/>
      <c r="G675" s="9"/>
      <c r="H675" s="11"/>
      <c r="I675" s="9" t="s">
        <v>13</v>
      </c>
      <c r="J675" s="35"/>
    </row>
    <row r="676">
      <c r="A676" s="34" t="s">
        <v>204</v>
      </c>
      <c r="B676" s="11"/>
      <c r="C676" s="8"/>
      <c r="D676" s="8"/>
      <c r="E676" s="9"/>
      <c r="F676" s="10"/>
      <c r="G676" s="9"/>
      <c r="H676" s="11"/>
      <c r="I676" s="9" t="s">
        <v>13</v>
      </c>
      <c r="J676" s="35"/>
    </row>
    <row r="677">
      <c r="A677" s="34" t="s">
        <v>204</v>
      </c>
      <c r="B677" s="11"/>
      <c r="C677" s="8"/>
      <c r="D677" s="8"/>
      <c r="E677" s="9"/>
      <c r="F677" s="10"/>
      <c r="G677" s="9"/>
      <c r="H677" s="11"/>
      <c r="I677" s="9" t="s">
        <v>13</v>
      </c>
      <c r="J677" s="35"/>
    </row>
    <row r="678">
      <c r="A678" s="34" t="s">
        <v>204</v>
      </c>
      <c r="B678" s="11"/>
      <c r="C678" s="8"/>
      <c r="D678" s="8"/>
      <c r="E678" s="9"/>
      <c r="F678" s="10"/>
      <c r="G678" s="9"/>
      <c r="H678" s="11"/>
      <c r="I678" s="9" t="s">
        <v>13</v>
      </c>
      <c r="J678" s="35"/>
    </row>
    <row r="679">
      <c r="A679" s="34" t="s">
        <v>204</v>
      </c>
      <c r="B679" s="11"/>
      <c r="C679" s="8"/>
      <c r="D679" s="8"/>
      <c r="E679" s="9"/>
      <c r="F679" s="10"/>
      <c r="G679" s="9"/>
      <c r="H679" s="11"/>
      <c r="I679" s="9" t="s">
        <v>13</v>
      </c>
      <c r="J679" s="35"/>
    </row>
    <row r="680">
      <c r="A680" s="34" t="s">
        <v>204</v>
      </c>
      <c r="B680" s="11"/>
      <c r="C680" s="8"/>
      <c r="D680" s="8"/>
      <c r="E680" s="9"/>
      <c r="F680" s="10"/>
      <c r="G680" s="9"/>
      <c r="H680" s="11"/>
      <c r="I680" s="9" t="s">
        <v>13</v>
      </c>
      <c r="J680" s="35"/>
    </row>
    <row r="681">
      <c r="A681" s="34" t="s">
        <v>204</v>
      </c>
      <c r="B681" s="11"/>
      <c r="C681" s="8"/>
      <c r="D681" s="8"/>
      <c r="E681" s="9"/>
      <c r="F681" s="10"/>
      <c r="G681" s="9"/>
      <c r="H681" s="11"/>
      <c r="I681" s="9" t="s">
        <v>13</v>
      </c>
      <c r="J681" s="35"/>
    </row>
    <row r="682">
      <c r="A682" s="34" t="s">
        <v>204</v>
      </c>
      <c r="B682" s="11"/>
      <c r="C682" s="8"/>
      <c r="D682" s="8"/>
      <c r="E682" s="9"/>
      <c r="F682" s="10"/>
      <c r="G682" s="9"/>
      <c r="H682" s="11"/>
      <c r="I682" s="9" t="s">
        <v>13</v>
      </c>
      <c r="J682" s="35"/>
    </row>
    <row r="683">
      <c r="A683" s="34" t="s">
        <v>204</v>
      </c>
      <c r="B683" s="11"/>
      <c r="C683" s="8"/>
      <c r="D683" s="8"/>
      <c r="E683" s="9"/>
      <c r="F683" s="10"/>
      <c r="G683" s="9"/>
      <c r="H683" s="11"/>
      <c r="I683" s="9" t="s">
        <v>13</v>
      </c>
      <c r="J683" s="35"/>
    </row>
    <row r="684">
      <c r="A684" s="34" t="s">
        <v>204</v>
      </c>
      <c r="B684" s="11"/>
      <c r="C684" s="8"/>
      <c r="D684" s="8"/>
      <c r="E684" s="9"/>
      <c r="F684" s="10"/>
      <c r="G684" s="9"/>
      <c r="H684" s="11"/>
      <c r="I684" s="9" t="s">
        <v>13</v>
      </c>
      <c r="J684" s="35"/>
    </row>
    <row r="685">
      <c r="A685" s="34" t="s">
        <v>204</v>
      </c>
      <c r="B685" s="11"/>
      <c r="C685" s="8"/>
      <c r="D685" s="8"/>
      <c r="E685" s="9"/>
      <c r="F685" s="10"/>
      <c r="G685" s="9"/>
      <c r="H685" s="11"/>
      <c r="I685" s="9" t="s">
        <v>13</v>
      </c>
      <c r="J685" s="35"/>
    </row>
    <row r="686">
      <c r="A686" s="34" t="s">
        <v>204</v>
      </c>
      <c r="B686" s="11"/>
      <c r="C686" s="8"/>
      <c r="D686" s="8"/>
      <c r="E686" s="9"/>
      <c r="F686" s="10"/>
      <c r="G686" s="9"/>
      <c r="H686" s="11"/>
      <c r="I686" s="9" t="s">
        <v>13</v>
      </c>
      <c r="J686" s="35"/>
    </row>
    <row r="687">
      <c r="A687" s="34" t="s">
        <v>204</v>
      </c>
      <c r="B687" s="11"/>
      <c r="C687" s="8"/>
      <c r="D687" s="8"/>
      <c r="E687" s="9"/>
      <c r="F687" s="10"/>
      <c r="G687" s="9"/>
      <c r="H687" s="11"/>
      <c r="I687" s="9" t="s">
        <v>13</v>
      </c>
      <c r="J687" s="35"/>
    </row>
    <row r="688">
      <c r="A688" s="34" t="s">
        <v>204</v>
      </c>
      <c r="B688" s="11"/>
      <c r="C688" s="8"/>
      <c r="D688" s="8"/>
      <c r="E688" s="9"/>
      <c r="F688" s="10"/>
      <c r="G688" s="9"/>
      <c r="H688" s="11"/>
      <c r="I688" s="9" t="s">
        <v>13</v>
      </c>
      <c r="J688" s="35"/>
    </row>
    <row r="689">
      <c r="A689" s="34" t="s">
        <v>204</v>
      </c>
      <c r="B689" s="11"/>
      <c r="C689" s="8"/>
      <c r="D689" s="8"/>
      <c r="E689" s="9"/>
      <c r="F689" s="10"/>
      <c r="G689" s="9"/>
      <c r="H689" s="11"/>
      <c r="I689" s="9" t="s">
        <v>13</v>
      </c>
      <c r="J689" s="35"/>
    </row>
    <row r="690">
      <c r="A690" s="34" t="s">
        <v>204</v>
      </c>
      <c r="B690" s="11"/>
      <c r="C690" s="8"/>
      <c r="D690" s="8"/>
      <c r="E690" s="9"/>
      <c r="F690" s="10"/>
      <c r="G690" s="9"/>
      <c r="H690" s="11"/>
      <c r="I690" s="9" t="s">
        <v>13</v>
      </c>
      <c r="J690" s="35"/>
    </row>
    <row r="691">
      <c r="A691" s="34" t="s">
        <v>204</v>
      </c>
      <c r="B691" s="11"/>
      <c r="C691" s="8"/>
      <c r="D691" s="8"/>
      <c r="E691" s="9"/>
      <c r="F691" s="10"/>
      <c r="G691" s="9"/>
      <c r="H691" s="11"/>
      <c r="I691" s="9" t="s">
        <v>13</v>
      </c>
      <c r="J691" s="35"/>
    </row>
    <row r="692">
      <c r="A692" s="34" t="s">
        <v>204</v>
      </c>
      <c r="B692" s="11"/>
      <c r="C692" s="8"/>
      <c r="D692" s="8"/>
      <c r="E692" s="9"/>
      <c r="F692" s="10"/>
      <c r="G692" s="9"/>
      <c r="H692" s="11"/>
      <c r="I692" s="9" t="s">
        <v>13</v>
      </c>
      <c r="J692" s="35"/>
    </row>
    <row r="693">
      <c r="A693" s="34" t="s">
        <v>204</v>
      </c>
      <c r="B693" s="11"/>
      <c r="C693" s="8"/>
      <c r="D693" s="8"/>
      <c r="E693" s="9"/>
      <c r="F693" s="10"/>
      <c r="G693" s="9"/>
      <c r="H693" s="11"/>
      <c r="I693" s="9" t="s">
        <v>13</v>
      </c>
      <c r="J693" s="35"/>
    </row>
    <row r="694">
      <c r="A694" s="34" t="s">
        <v>204</v>
      </c>
      <c r="B694" s="11"/>
      <c r="C694" s="8"/>
      <c r="D694" s="8"/>
      <c r="E694" s="9"/>
      <c r="F694" s="10"/>
      <c r="G694" s="9"/>
      <c r="H694" s="11"/>
      <c r="I694" s="9" t="s">
        <v>13</v>
      </c>
      <c r="J694" s="35"/>
    </row>
    <row r="695">
      <c r="A695" s="34" t="s">
        <v>204</v>
      </c>
      <c r="B695" s="11"/>
      <c r="C695" s="8"/>
      <c r="D695" s="8"/>
      <c r="E695" s="9"/>
      <c r="F695" s="10"/>
      <c r="G695" s="9"/>
      <c r="H695" s="11"/>
      <c r="I695" s="9" t="s">
        <v>13</v>
      </c>
      <c r="J695" s="35"/>
    </row>
    <row r="696">
      <c r="A696" s="34" t="s">
        <v>204</v>
      </c>
      <c r="B696" s="11"/>
      <c r="C696" s="8"/>
      <c r="D696" s="8"/>
      <c r="E696" s="9"/>
      <c r="F696" s="10"/>
      <c r="G696" s="9"/>
      <c r="H696" s="11"/>
      <c r="I696" s="9" t="s">
        <v>13</v>
      </c>
      <c r="J696" s="35"/>
    </row>
    <row r="697">
      <c r="A697" s="34" t="s">
        <v>204</v>
      </c>
      <c r="B697" s="11"/>
      <c r="C697" s="8"/>
      <c r="D697" s="8"/>
      <c r="E697" s="9"/>
      <c r="F697" s="10"/>
      <c r="G697" s="9"/>
      <c r="H697" s="11"/>
      <c r="I697" s="9" t="s">
        <v>13</v>
      </c>
      <c r="J697" s="35"/>
    </row>
    <row r="698">
      <c r="A698" s="34" t="s">
        <v>204</v>
      </c>
      <c r="B698" s="11"/>
      <c r="C698" s="8"/>
      <c r="D698" s="8"/>
      <c r="E698" s="9"/>
      <c r="F698" s="10"/>
      <c r="G698" s="9"/>
      <c r="H698" s="11"/>
      <c r="I698" s="9" t="s">
        <v>13</v>
      </c>
      <c r="J698" s="35"/>
    </row>
    <row r="699">
      <c r="A699" s="34" t="s">
        <v>204</v>
      </c>
      <c r="B699" s="11"/>
      <c r="C699" s="8"/>
      <c r="D699" s="8"/>
      <c r="E699" s="9"/>
      <c r="F699" s="10"/>
      <c r="G699" s="9"/>
      <c r="H699" s="11"/>
      <c r="I699" s="9" t="s">
        <v>13</v>
      </c>
      <c r="J699" s="35"/>
    </row>
    <row r="700">
      <c r="A700" s="34" t="s">
        <v>204</v>
      </c>
      <c r="B700" s="11"/>
      <c r="C700" s="8"/>
      <c r="D700" s="8"/>
      <c r="E700" s="9"/>
      <c r="F700" s="10"/>
      <c r="G700" s="9"/>
      <c r="H700" s="11"/>
      <c r="I700" s="9" t="s">
        <v>13</v>
      </c>
      <c r="J700" s="35"/>
    </row>
    <row r="701">
      <c r="A701" s="34" t="s">
        <v>204</v>
      </c>
      <c r="B701" s="11"/>
      <c r="C701" s="8"/>
      <c r="D701" s="8"/>
      <c r="E701" s="9"/>
      <c r="F701" s="10"/>
      <c r="G701" s="9"/>
      <c r="H701" s="11"/>
      <c r="I701" s="9" t="s">
        <v>13</v>
      </c>
      <c r="J701" s="35"/>
    </row>
    <row r="702">
      <c r="A702" s="34" t="s">
        <v>204</v>
      </c>
      <c r="B702" s="11"/>
      <c r="C702" s="8"/>
      <c r="D702" s="8"/>
      <c r="E702" s="9"/>
      <c r="F702" s="10"/>
      <c r="G702" s="9"/>
      <c r="H702" s="11"/>
      <c r="I702" s="9" t="s">
        <v>13</v>
      </c>
      <c r="J702" s="35"/>
    </row>
    <row r="703">
      <c r="A703" s="34" t="s">
        <v>204</v>
      </c>
      <c r="B703" s="11"/>
      <c r="C703" s="8"/>
      <c r="D703" s="8"/>
      <c r="E703" s="9"/>
      <c r="F703" s="10"/>
      <c r="G703" s="9"/>
      <c r="H703" s="11"/>
      <c r="I703" s="9" t="s">
        <v>13</v>
      </c>
      <c r="J703" s="35"/>
    </row>
    <row r="704">
      <c r="A704" s="34" t="s">
        <v>204</v>
      </c>
      <c r="B704" s="11"/>
      <c r="C704" s="8"/>
      <c r="D704" s="8"/>
      <c r="E704" s="9"/>
      <c r="F704" s="10"/>
      <c r="G704" s="9"/>
      <c r="H704" s="11"/>
      <c r="I704" s="9" t="s">
        <v>13</v>
      </c>
      <c r="J704" s="35"/>
    </row>
    <row r="705">
      <c r="A705" s="34" t="s">
        <v>204</v>
      </c>
      <c r="B705" s="11"/>
      <c r="C705" s="8"/>
      <c r="D705" s="8"/>
      <c r="E705" s="9"/>
      <c r="F705" s="10"/>
      <c r="G705" s="9"/>
      <c r="H705" s="11"/>
      <c r="I705" s="9" t="s">
        <v>13</v>
      </c>
      <c r="J705" s="35"/>
    </row>
    <row r="706">
      <c r="A706" s="34" t="s">
        <v>204</v>
      </c>
      <c r="B706" s="11"/>
      <c r="C706" s="8"/>
      <c r="D706" s="8"/>
      <c r="E706" s="9"/>
      <c r="F706" s="10"/>
      <c r="G706" s="9"/>
      <c r="H706" s="11"/>
      <c r="I706" s="9" t="s">
        <v>13</v>
      </c>
      <c r="J706" s="35"/>
    </row>
    <row r="707">
      <c r="A707" s="34" t="s">
        <v>204</v>
      </c>
      <c r="B707" s="11"/>
      <c r="C707" s="8"/>
      <c r="D707" s="8"/>
      <c r="E707" s="9"/>
      <c r="F707" s="10"/>
      <c r="G707" s="9"/>
      <c r="H707" s="11"/>
      <c r="I707" s="9" t="s">
        <v>13</v>
      </c>
      <c r="J707" s="35"/>
    </row>
    <row r="708">
      <c r="A708" s="34" t="s">
        <v>204</v>
      </c>
      <c r="B708" s="11"/>
      <c r="C708" s="8"/>
      <c r="D708" s="8"/>
      <c r="E708" s="9"/>
      <c r="F708" s="10"/>
      <c r="G708" s="9"/>
      <c r="H708" s="11"/>
      <c r="I708" s="9" t="s">
        <v>13</v>
      </c>
      <c r="J708" s="35"/>
    </row>
    <row r="709">
      <c r="A709" s="34" t="s">
        <v>204</v>
      </c>
      <c r="B709" s="11"/>
      <c r="C709" s="8"/>
      <c r="D709" s="8"/>
      <c r="E709" s="9"/>
      <c r="F709" s="10"/>
      <c r="G709" s="9"/>
      <c r="H709" s="11"/>
      <c r="I709" s="9" t="s">
        <v>13</v>
      </c>
      <c r="J709" s="35"/>
    </row>
    <row r="710">
      <c r="A710" s="34" t="s">
        <v>204</v>
      </c>
      <c r="B710" s="11"/>
      <c r="C710" s="8"/>
      <c r="D710" s="8"/>
      <c r="E710" s="9"/>
      <c r="F710" s="10"/>
      <c r="G710" s="9"/>
      <c r="H710" s="11"/>
      <c r="I710" s="9" t="s">
        <v>13</v>
      </c>
      <c r="J710" s="35"/>
    </row>
    <row r="711">
      <c r="A711" s="34" t="s">
        <v>204</v>
      </c>
      <c r="B711" s="11"/>
      <c r="C711" s="8"/>
      <c r="D711" s="8"/>
      <c r="E711" s="9"/>
      <c r="F711" s="10"/>
      <c r="G711" s="9"/>
      <c r="H711" s="11"/>
      <c r="I711" s="9" t="s">
        <v>13</v>
      </c>
      <c r="J711" s="35"/>
    </row>
    <row r="712">
      <c r="A712" s="34" t="s">
        <v>204</v>
      </c>
      <c r="B712" s="11"/>
      <c r="C712" s="8"/>
      <c r="D712" s="8"/>
      <c r="E712" s="9"/>
      <c r="F712" s="10"/>
      <c r="G712" s="9"/>
      <c r="H712" s="11"/>
      <c r="I712" s="9" t="s">
        <v>13</v>
      </c>
      <c r="J712" s="35"/>
    </row>
    <row r="713">
      <c r="A713" s="34" t="s">
        <v>204</v>
      </c>
      <c r="B713" s="11"/>
      <c r="C713" s="8"/>
      <c r="D713" s="8"/>
      <c r="E713" s="9"/>
      <c r="F713" s="10"/>
      <c r="G713" s="9"/>
      <c r="H713" s="11"/>
      <c r="I713" s="9" t="s">
        <v>13</v>
      </c>
      <c r="J713" s="35"/>
    </row>
    <row r="714">
      <c r="A714" s="34" t="s">
        <v>204</v>
      </c>
      <c r="B714" s="11"/>
      <c r="C714" s="8"/>
      <c r="D714" s="8"/>
      <c r="E714" s="9"/>
      <c r="F714" s="10"/>
      <c r="G714" s="9"/>
      <c r="H714" s="11"/>
      <c r="I714" s="9" t="s">
        <v>13</v>
      </c>
      <c r="J714" s="35"/>
    </row>
    <row r="715">
      <c r="A715" s="34" t="s">
        <v>204</v>
      </c>
      <c r="B715" s="11"/>
      <c r="C715" s="8"/>
      <c r="D715" s="8"/>
      <c r="E715" s="9"/>
      <c r="F715" s="10"/>
      <c r="G715" s="9"/>
      <c r="H715" s="11"/>
      <c r="I715" s="9" t="s">
        <v>13</v>
      </c>
      <c r="J715" s="35"/>
    </row>
    <row r="716">
      <c r="A716" s="34" t="s">
        <v>204</v>
      </c>
      <c r="B716" s="11"/>
      <c r="C716" s="8"/>
      <c r="D716" s="8"/>
      <c r="E716" s="9"/>
      <c r="F716" s="10"/>
      <c r="G716" s="9"/>
      <c r="H716" s="11"/>
      <c r="I716" s="9" t="s">
        <v>13</v>
      </c>
      <c r="J716" s="35"/>
    </row>
    <row r="717">
      <c r="A717" s="34" t="s">
        <v>204</v>
      </c>
      <c r="B717" s="11"/>
      <c r="C717" s="8"/>
      <c r="D717" s="8"/>
      <c r="E717" s="9"/>
      <c r="F717" s="10"/>
      <c r="G717" s="9"/>
      <c r="H717" s="11"/>
      <c r="I717" s="9" t="s">
        <v>13</v>
      </c>
      <c r="J717" s="35"/>
    </row>
    <row r="718">
      <c r="A718" s="34" t="s">
        <v>204</v>
      </c>
      <c r="B718" s="11"/>
      <c r="C718" s="8"/>
      <c r="D718" s="8"/>
      <c r="E718" s="9"/>
      <c r="F718" s="10"/>
      <c r="G718" s="9"/>
      <c r="H718" s="11"/>
      <c r="I718" s="9" t="s">
        <v>13</v>
      </c>
      <c r="J718" s="35"/>
    </row>
    <row r="719">
      <c r="A719" s="34" t="s">
        <v>204</v>
      </c>
      <c r="B719" s="11"/>
      <c r="C719" s="8"/>
      <c r="D719" s="8"/>
      <c r="E719" s="9"/>
      <c r="F719" s="10"/>
      <c r="G719" s="9"/>
      <c r="H719" s="11"/>
      <c r="I719" s="9" t="s">
        <v>13</v>
      </c>
      <c r="J719" s="35"/>
    </row>
    <row r="720">
      <c r="A720" s="34" t="s">
        <v>204</v>
      </c>
      <c r="B720" s="11"/>
      <c r="C720" s="8"/>
      <c r="D720" s="8"/>
      <c r="E720" s="9"/>
      <c r="F720" s="10"/>
      <c r="G720" s="9"/>
      <c r="H720" s="11"/>
      <c r="I720" s="9" t="s">
        <v>13</v>
      </c>
      <c r="J720" s="35"/>
    </row>
    <row r="721">
      <c r="A721" s="34" t="s">
        <v>204</v>
      </c>
      <c r="B721" s="11"/>
      <c r="C721" s="8"/>
      <c r="D721" s="8"/>
      <c r="E721" s="9"/>
      <c r="F721" s="10"/>
      <c r="G721" s="9"/>
      <c r="H721" s="11"/>
      <c r="I721" s="9" t="s">
        <v>13</v>
      </c>
      <c r="J721" s="35"/>
    </row>
    <row r="722">
      <c r="A722" s="34" t="s">
        <v>204</v>
      </c>
      <c r="B722" s="11"/>
      <c r="C722" s="8"/>
      <c r="D722" s="8"/>
      <c r="E722" s="9"/>
      <c r="F722" s="10"/>
      <c r="G722" s="9"/>
      <c r="H722" s="11"/>
      <c r="I722" s="9" t="s">
        <v>13</v>
      </c>
      <c r="J722" s="35"/>
    </row>
    <row r="723">
      <c r="A723" s="34" t="s">
        <v>204</v>
      </c>
      <c r="B723" s="11"/>
      <c r="C723" s="8"/>
      <c r="D723" s="8"/>
      <c r="E723" s="9"/>
      <c r="F723" s="10"/>
      <c r="G723" s="9"/>
      <c r="H723" s="11"/>
      <c r="I723" s="9" t="s">
        <v>13</v>
      </c>
      <c r="J723" s="35"/>
    </row>
    <row r="724">
      <c r="A724" s="34" t="s">
        <v>204</v>
      </c>
      <c r="B724" s="11"/>
      <c r="C724" s="8"/>
      <c r="D724" s="8"/>
      <c r="E724" s="9"/>
      <c r="F724" s="10"/>
      <c r="G724" s="9"/>
      <c r="H724" s="11"/>
      <c r="I724" s="9" t="s">
        <v>13</v>
      </c>
      <c r="J724" s="35"/>
    </row>
    <row r="725">
      <c r="A725" s="34" t="s">
        <v>204</v>
      </c>
      <c r="B725" s="11"/>
      <c r="C725" s="8"/>
      <c r="D725" s="8"/>
      <c r="E725" s="9"/>
      <c r="F725" s="10"/>
      <c r="G725" s="9"/>
      <c r="H725" s="11"/>
      <c r="I725" s="9" t="s">
        <v>13</v>
      </c>
      <c r="J725" s="35"/>
    </row>
    <row r="726">
      <c r="A726" s="34" t="s">
        <v>204</v>
      </c>
      <c r="B726" s="11"/>
      <c r="C726" s="8"/>
      <c r="D726" s="8"/>
      <c r="E726" s="9"/>
      <c r="F726" s="10"/>
      <c r="G726" s="9"/>
      <c r="H726" s="11"/>
      <c r="I726" s="9" t="s">
        <v>13</v>
      </c>
      <c r="J726" s="35"/>
    </row>
    <row r="727">
      <c r="A727" s="34" t="s">
        <v>204</v>
      </c>
      <c r="B727" s="11"/>
      <c r="C727" s="8"/>
      <c r="D727" s="8"/>
      <c r="E727" s="9"/>
      <c r="F727" s="10"/>
      <c r="G727" s="9"/>
      <c r="H727" s="11"/>
      <c r="I727" s="9" t="s">
        <v>13</v>
      </c>
      <c r="J727" s="35"/>
    </row>
    <row r="728">
      <c r="A728" s="34" t="s">
        <v>204</v>
      </c>
      <c r="B728" s="11"/>
      <c r="C728" s="8"/>
      <c r="D728" s="8"/>
      <c r="E728" s="9"/>
      <c r="F728" s="10"/>
      <c r="G728" s="9"/>
      <c r="H728" s="11"/>
      <c r="I728" s="9" t="s">
        <v>13</v>
      </c>
      <c r="J728" s="35"/>
    </row>
    <row r="729">
      <c r="A729" s="34" t="s">
        <v>204</v>
      </c>
      <c r="B729" s="11"/>
      <c r="C729" s="8"/>
      <c r="D729" s="8"/>
      <c r="E729" s="9"/>
      <c r="F729" s="10"/>
      <c r="G729" s="9"/>
      <c r="H729" s="11"/>
      <c r="I729" s="9" t="s">
        <v>13</v>
      </c>
      <c r="J729" s="35"/>
    </row>
    <row r="730">
      <c r="A730" s="34" t="s">
        <v>204</v>
      </c>
      <c r="B730" s="11"/>
      <c r="C730" s="8"/>
      <c r="D730" s="8"/>
      <c r="E730" s="9"/>
      <c r="F730" s="10"/>
      <c r="G730" s="9"/>
      <c r="H730" s="11"/>
      <c r="I730" s="9" t="s">
        <v>13</v>
      </c>
      <c r="J730" s="35"/>
    </row>
    <row r="731">
      <c r="A731" s="34" t="s">
        <v>204</v>
      </c>
      <c r="B731" s="11"/>
      <c r="C731" s="8"/>
      <c r="D731" s="8"/>
      <c r="E731" s="9"/>
      <c r="F731" s="10"/>
      <c r="G731" s="9"/>
      <c r="H731" s="11"/>
      <c r="I731" s="9" t="s">
        <v>13</v>
      </c>
      <c r="J731" s="35"/>
    </row>
    <row r="732">
      <c r="A732" s="34" t="s">
        <v>204</v>
      </c>
      <c r="B732" s="11"/>
      <c r="C732" s="8"/>
      <c r="D732" s="8"/>
      <c r="E732" s="9"/>
      <c r="F732" s="10"/>
      <c r="G732" s="9"/>
      <c r="H732" s="11"/>
      <c r="I732" s="9" t="s">
        <v>13</v>
      </c>
      <c r="J732" s="35"/>
    </row>
    <row r="733">
      <c r="A733" s="34" t="s">
        <v>204</v>
      </c>
      <c r="B733" s="11"/>
      <c r="C733" s="8"/>
      <c r="D733" s="8"/>
      <c r="E733" s="9"/>
      <c r="F733" s="10"/>
      <c r="G733" s="9"/>
      <c r="H733" s="11"/>
      <c r="I733" s="9" t="s">
        <v>13</v>
      </c>
      <c r="J733" s="35"/>
    </row>
    <row r="734">
      <c r="A734" s="34" t="s">
        <v>204</v>
      </c>
      <c r="B734" s="11"/>
      <c r="C734" s="8"/>
      <c r="D734" s="8"/>
      <c r="E734" s="9"/>
      <c r="F734" s="10"/>
      <c r="G734" s="9"/>
      <c r="H734" s="11"/>
      <c r="I734" s="9" t="s">
        <v>13</v>
      </c>
      <c r="J734" s="35"/>
    </row>
    <row r="735">
      <c r="A735" s="34" t="s">
        <v>204</v>
      </c>
      <c r="B735" s="11"/>
      <c r="C735" s="8"/>
      <c r="D735" s="8"/>
      <c r="E735" s="9"/>
      <c r="F735" s="10"/>
      <c r="G735" s="9"/>
      <c r="H735" s="11"/>
      <c r="I735" s="9" t="s">
        <v>13</v>
      </c>
      <c r="J735" s="35"/>
    </row>
    <row r="736">
      <c r="A736" s="34" t="s">
        <v>204</v>
      </c>
      <c r="B736" s="11"/>
      <c r="C736" s="8"/>
      <c r="D736" s="8"/>
      <c r="E736" s="9"/>
      <c r="F736" s="10"/>
      <c r="G736" s="9"/>
      <c r="H736" s="11"/>
      <c r="I736" s="9" t="s">
        <v>13</v>
      </c>
      <c r="J736" s="35"/>
    </row>
    <row r="737">
      <c r="A737" s="34" t="s">
        <v>204</v>
      </c>
      <c r="B737" s="11"/>
      <c r="C737" s="8"/>
      <c r="D737" s="8"/>
      <c r="E737" s="9"/>
      <c r="F737" s="10"/>
      <c r="G737" s="9"/>
      <c r="H737" s="11"/>
      <c r="I737" s="9" t="s">
        <v>13</v>
      </c>
      <c r="J737" s="35"/>
    </row>
    <row r="738">
      <c r="A738" s="34" t="s">
        <v>204</v>
      </c>
      <c r="B738" s="11"/>
      <c r="C738" s="8"/>
      <c r="D738" s="8"/>
      <c r="E738" s="9"/>
      <c r="F738" s="10"/>
      <c r="G738" s="9"/>
      <c r="H738" s="11"/>
      <c r="I738" s="9" t="s">
        <v>13</v>
      </c>
      <c r="J738" s="35"/>
    </row>
    <row r="739">
      <c r="A739" s="34" t="s">
        <v>204</v>
      </c>
      <c r="B739" s="11"/>
      <c r="C739" s="8"/>
      <c r="D739" s="8"/>
      <c r="E739" s="9"/>
      <c r="F739" s="10"/>
      <c r="G739" s="9"/>
      <c r="H739" s="11"/>
      <c r="I739" s="9" t="s">
        <v>13</v>
      </c>
      <c r="J739" s="35"/>
    </row>
    <row r="740">
      <c r="A740" s="34" t="s">
        <v>204</v>
      </c>
      <c r="B740" s="11"/>
      <c r="C740" s="8"/>
      <c r="D740" s="8"/>
      <c r="E740" s="9"/>
      <c r="F740" s="10"/>
      <c r="G740" s="9"/>
      <c r="H740" s="11"/>
      <c r="I740" s="9" t="s">
        <v>13</v>
      </c>
      <c r="J740" s="35"/>
    </row>
    <row r="741">
      <c r="A741" s="34" t="s">
        <v>204</v>
      </c>
      <c r="B741" s="11"/>
      <c r="C741" s="8"/>
      <c r="D741" s="8"/>
      <c r="E741" s="9"/>
      <c r="F741" s="10"/>
      <c r="G741" s="9"/>
      <c r="H741" s="11"/>
      <c r="I741" s="9" t="s">
        <v>13</v>
      </c>
      <c r="J741" s="35"/>
    </row>
    <row r="742">
      <c r="A742" s="34" t="s">
        <v>204</v>
      </c>
      <c r="B742" s="11"/>
      <c r="C742" s="8"/>
      <c r="D742" s="8"/>
      <c r="E742" s="9"/>
      <c r="F742" s="10"/>
      <c r="G742" s="9"/>
      <c r="H742" s="11"/>
      <c r="I742" s="9" t="s">
        <v>13</v>
      </c>
      <c r="J742" s="35"/>
    </row>
    <row r="743">
      <c r="A743" s="34" t="s">
        <v>204</v>
      </c>
      <c r="B743" s="11"/>
      <c r="C743" s="8"/>
      <c r="D743" s="8"/>
      <c r="E743" s="9"/>
      <c r="F743" s="10"/>
      <c r="G743" s="9"/>
      <c r="H743" s="11"/>
      <c r="I743" s="9" t="s">
        <v>13</v>
      </c>
      <c r="J743" s="35"/>
    </row>
    <row r="744">
      <c r="A744" s="34" t="s">
        <v>204</v>
      </c>
      <c r="B744" s="11"/>
      <c r="C744" s="8"/>
      <c r="D744" s="8"/>
      <c r="E744" s="9"/>
      <c r="F744" s="10"/>
      <c r="G744" s="9"/>
      <c r="H744" s="11"/>
      <c r="I744" s="9" t="s">
        <v>13</v>
      </c>
      <c r="J744" s="35"/>
    </row>
    <row r="745">
      <c r="A745" s="34" t="s">
        <v>204</v>
      </c>
      <c r="B745" s="11"/>
      <c r="C745" s="8"/>
      <c r="D745" s="8"/>
      <c r="E745" s="9"/>
      <c r="F745" s="10"/>
      <c r="G745" s="9"/>
      <c r="H745" s="11"/>
      <c r="I745" s="9" t="s">
        <v>13</v>
      </c>
      <c r="J745" s="35"/>
    </row>
    <row r="746">
      <c r="A746" s="34" t="s">
        <v>204</v>
      </c>
      <c r="B746" s="11"/>
      <c r="C746" s="8"/>
      <c r="D746" s="8"/>
      <c r="E746" s="9"/>
      <c r="F746" s="10"/>
      <c r="G746" s="9"/>
      <c r="H746" s="11"/>
      <c r="I746" s="9" t="s">
        <v>13</v>
      </c>
      <c r="J746" s="35"/>
    </row>
    <row r="747">
      <c r="A747" s="34" t="s">
        <v>204</v>
      </c>
      <c r="B747" s="11"/>
      <c r="C747" s="8"/>
      <c r="D747" s="8"/>
      <c r="E747" s="9"/>
      <c r="F747" s="10"/>
      <c r="G747" s="9"/>
      <c r="H747" s="11"/>
      <c r="I747" s="9" t="s">
        <v>13</v>
      </c>
      <c r="J747" s="35"/>
    </row>
    <row r="748">
      <c r="A748" s="34" t="s">
        <v>204</v>
      </c>
      <c r="B748" s="11"/>
      <c r="C748" s="8"/>
      <c r="D748" s="8"/>
      <c r="E748" s="9"/>
      <c r="F748" s="10"/>
      <c r="G748" s="9"/>
      <c r="H748" s="11"/>
      <c r="I748" s="9" t="s">
        <v>13</v>
      </c>
      <c r="J748" s="35"/>
    </row>
    <row r="749">
      <c r="A749" s="34" t="s">
        <v>204</v>
      </c>
      <c r="B749" s="11"/>
      <c r="C749" s="8"/>
      <c r="D749" s="8"/>
      <c r="E749" s="9"/>
      <c r="F749" s="10"/>
      <c r="G749" s="9"/>
      <c r="H749" s="11"/>
      <c r="I749" s="9" t="s">
        <v>13</v>
      </c>
      <c r="J749" s="35"/>
    </row>
    <row r="750">
      <c r="A750" s="34" t="s">
        <v>204</v>
      </c>
      <c r="B750" s="11"/>
      <c r="C750" s="8"/>
      <c r="D750" s="8"/>
      <c r="E750" s="9"/>
      <c r="F750" s="10"/>
      <c r="G750" s="9"/>
      <c r="H750" s="11"/>
      <c r="I750" s="9" t="s">
        <v>13</v>
      </c>
      <c r="J750" s="35"/>
    </row>
    <row r="751">
      <c r="A751" s="34" t="s">
        <v>204</v>
      </c>
      <c r="B751" s="11"/>
      <c r="C751" s="8"/>
      <c r="D751" s="8"/>
      <c r="E751" s="9"/>
      <c r="F751" s="10"/>
      <c r="G751" s="9"/>
      <c r="H751" s="11"/>
      <c r="I751" s="9" t="s">
        <v>13</v>
      </c>
      <c r="J751" s="35"/>
    </row>
    <row r="752">
      <c r="A752" s="34" t="s">
        <v>204</v>
      </c>
      <c r="B752" s="11"/>
      <c r="C752" s="8"/>
      <c r="D752" s="8"/>
      <c r="E752" s="9"/>
      <c r="F752" s="10"/>
      <c r="G752" s="9"/>
      <c r="H752" s="11"/>
      <c r="I752" s="9" t="s">
        <v>13</v>
      </c>
      <c r="J752" s="35"/>
    </row>
    <row r="753">
      <c r="A753" s="34" t="s">
        <v>204</v>
      </c>
      <c r="B753" s="11"/>
      <c r="C753" s="8"/>
      <c r="D753" s="8"/>
      <c r="E753" s="9"/>
      <c r="F753" s="10"/>
      <c r="G753" s="9"/>
      <c r="H753" s="11"/>
      <c r="I753" s="9" t="s">
        <v>13</v>
      </c>
      <c r="J753" s="35"/>
    </row>
    <row r="754">
      <c r="A754" s="34" t="s">
        <v>204</v>
      </c>
      <c r="B754" s="11"/>
      <c r="C754" s="8"/>
      <c r="D754" s="8"/>
      <c r="E754" s="9"/>
      <c r="F754" s="10"/>
      <c r="G754" s="9"/>
      <c r="H754" s="11"/>
      <c r="I754" s="9" t="s">
        <v>13</v>
      </c>
      <c r="J754" s="35"/>
    </row>
    <row r="755">
      <c r="A755" s="34" t="s">
        <v>204</v>
      </c>
      <c r="B755" s="11"/>
      <c r="C755" s="8"/>
      <c r="D755" s="8"/>
      <c r="E755" s="9"/>
      <c r="F755" s="10"/>
      <c r="G755" s="9"/>
      <c r="H755" s="11"/>
      <c r="I755" s="9" t="s">
        <v>13</v>
      </c>
      <c r="J755" s="35"/>
    </row>
    <row r="756">
      <c r="A756" s="34" t="s">
        <v>204</v>
      </c>
      <c r="B756" s="11"/>
      <c r="C756" s="8"/>
      <c r="D756" s="8"/>
      <c r="E756" s="9"/>
      <c r="F756" s="10"/>
      <c r="G756" s="9"/>
      <c r="H756" s="11"/>
      <c r="I756" s="9" t="s">
        <v>13</v>
      </c>
      <c r="J756" s="35"/>
    </row>
    <row r="757">
      <c r="A757" s="34" t="s">
        <v>204</v>
      </c>
      <c r="B757" s="11"/>
      <c r="C757" s="8"/>
      <c r="D757" s="8"/>
      <c r="E757" s="9"/>
      <c r="F757" s="10"/>
      <c r="G757" s="9"/>
      <c r="H757" s="11"/>
      <c r="I757" s="9" t="s">
        <v>13</v>
      </c>
      <c r="J757" s="35"/>
    </row>
    <row r="758">
      <c r="A758" s="34" t="s">
        <v>204</v>
      </c>
      <c r="B758" s="11"/>
      <c r="C758" s="8"/>
      <c r="D758" s="8"/>
      <c r="E758" s="9"/>
      <c r="F758" s="10"/>
      <c r="G758" s="9"/>
      <c r="H758" s="11"/>
      <c r="I758" s="9" t="s">
        <v>13</v>
      </c>
      <c r="J758" s="35"/>
    </row>
    <row r="759">
      <c r="A759" s="34" t="s">
        <v>204</v>
      </c>
      <c r="B759" s="11"/>
      <c r="C759" s="8"/>
      <c r="D759" s="8"/>
      <c r="E759" s="9"/>
      <c r="F759" s="10"/>
      <c r="G759" s="9"/>
      <c r="H759" s="11"/>
      <c r="I759" s="9" t="s">
        <v>13</v>
      </c>
      <c r="J759" s="35"/>
    </row>
    <row r="760">
      <c r="A760" s="34" t="s">
        <v>204</v>
      </c>
      <c r="B760" s="11"/>
      <c r="C760" s="8"/>
      <c r="D760" s="8"/>
      <c r="E760" s="9"/>
      <c r="F760" s="10"/>
      <c r="G760" s="9"/>
      <c r="H760" s="11"/>
      <c r="I760" s="9" t="s">
        <v>13</v>
      </c>
      <c r="J760" s="35"/>
    </row>
    <row r="761">
      <c r="A761" s="34" t="s">
        <v>204</v>
      </c>
      <c r="B761" s="11"/>
      <c r="C761" s="8"/>
      <c r="D761" s="8"/>
      <c r="E761" s="9"/>
      <c r="F761" s="10"/>
      <c r="G761" s="9"/>
      <c r="H761" s="11"/>
      <c r="I761" s="9" t="s">
        <v>13</v>
      </c>
      <c r="J761" s="35"/>
    </row>
    <row r="762">
      <c r="A762" s="34" t="s">
        <v>204</v>
      </c>
      <c r="B762" s="11"/>
      <c r="C762" s="8"/>
      <c r="D762" s="8"/>
      <c r="E762" s="9"/>
      <c r="F762" s="10"/>
      <c r="G762" s="9"/>
      <c r="H762" s="11"/>
      <c r="I762" s="9" t="s">
        <v>13</v>
      </c>
      <c r="J762" s="35"/>
    </row>
    <row r="763">
      <c r="A763" s="34" t="s">
        <v>204</v>
      </c>
      <c r="B763" s="11"/>
      <c r="C763" s="8"/>
      <c r="D763" s="8"/>
      <c r="E763" s="9"/>
      <c r="F763" s="10"/>
      <c r="G763" s="9"/>
      <c r="H763" s="11"/>
      <c r="I763" s="9" t="s">
        <v>13</v>
      </c>
      <c r="J763" s="35"/>
    </row>
    <row r="764">
      <c r="A764" s="34" t="s">
        <v>204</v>
      </c>
      <c r="B764" s="11"/>
      <c r="C764" s="8"/>
      <c r="D764" s="8"/>
      <c r="E764" s="9"/>
      <c r="F764" s="10"/>
      <c r="G764" s="9"/>
      <c r="H764" s="11"/>
      <c r="I764" s="9" t="s">
        <v>13</v>
      </c>
      <c r="J764" s="35"/>
    </row>
    <row r="765">
      <c r="A765" s="34" t="s">
        <v>204</v>
      </c>
      <c r="B765" s="11"/>
      <c r="C765" s="8"/>
      <c r="D765" s="8"/>
      <c r="E765" s="9"/>
      <c r="F765" s="10"/>
      <c r="G765" s="9"/>
      <c r="H765" s="11"/>
      <c r="I765" s="9" t="s">
        <v>13</v>
      </c>
      <c r="J765" s="35"/>
    </row>
    <row r="766">
      <c r="A766" s="34" t="s">
        <v>204</v>
      </c>
      <c r="B766" s="11"/>
      <c r="C766" s="8"/>
      <c r="D766" s="8"/>
      <c r="E766" s="9"/>
      <c r="F766" s="10"/>
      <c r="G766" s="9"/>
      <c r="H766" s="11"/>
      <c r="I766" s="9" t="s">
        <v>13</v>
      </c>
      <c r="J766" s="35"/>
    </row>
    <row r="767">
      <c r="A767" s="34" t="s">
        <v>204</v>
      </c>
      <c r="B767" s="11"/>
      <c r="C767" s="8"/>
      <c r="D767" s="8"/>
      <c r="E767" s="9"/>
      <c r="F767" s="10"/>
      <c r="G767" s="9"/>
      <c r="H767" s="11"/>
      <c r="I767" s="9" t="s">
        <v>13</v>
      </c>
      <c r="J767" s="35"/>
    </row>
    <row r="768">
      <c r="A768" s="34" t="s">
        <v>204</v>
      </c>
      <c r="B768" s="11"/>
      <c r="C768" s="8"/>
      <c r="D768" s="8"/>
      <c r="E768" s="9"/>
      <c r="F768" s="10"/>
      <c r="G768" s="9"/>
      <c r="H768" s="11"/>
      <c r="I768" s="9" t="s">
        <v>13</v>
      </c>
      <c r="J768" s="35"/>
    </row>
    <row r="769">
      <c r="A769" s="34" t="s">
        <v>204</v>
      </c>
      <c r="B769" s="11"/>
      <c r="C769" s="8"/>
      <c r="D769" s="8"/>
      <c r="E769" s="9"/>
      <c r="F769" s="10"/>
      <c r="G769" s="9"/>
      <c r="H769" s="11"/>
      <c r="I769" s="9" t="s">
        <v>13</v>
      </c>
      <c r="J769" s="35"/>
    </row>
    <row r="770">
      <c r="A770" s="34" t="s">
        <v>204</v>
      </c>
      <c r="B770" s="11"/>
      <c r="C770" s="8"/>
      <c r="D770" s="8"/>
      <c r="E770" s="9"/>
      <c r="F770" s="10"/>
      <c r="G770" s="9"/>
      <c r="H770" s="11"/>
      <c r="I770" s="9" t="s">
        <v>13</v>
      </c>
      <c r="J770" s="35"/>
    </row>
    <row r="771">
      <c r="A771" s="34" t="s">
        <v>204</v>
      </c>
      <c r="B771" s="11"/>
      <c r="C771" s="8"/>
      <c r="D771" s="8"/>
      <c r="E771" s="9"/>
      <c r="F771" s="10"/>
      <c r="G771" s="9"/>
      <c r="H771" s="11"/>
      <c r="I771" s="9" t="s">
        <v>13</v>
      </c>
      <c r="J771" s="35"/>
    </row>
    <row r="772">
      <c r="A772" s="34" t="s">
        <v>204</v>
      </c>
      <c r="B772" s="11"/>
      <c r="C772" s="8"/>
      <c r="D772" s="8"/>
      <c r="E772" s="9"/>
      <c r="F772" s="10"/>
      <c r="G772" s="9"/>
      <c r="H772" s="11"/>
      <c r="I772" s="9" t="s">
        <v>13</v>
      </c>
      <c r="J772" s="35"/>
    </row>
    <row r="773">
      <c r="A773" s="34" t="s">
        <v>204</v>
      </c>
      <c r="B773" s="11"/>
      <c r="C773" s="8"/>
      <c r="D773" s="8"/>
      <c r="E773" s="9"/>
      <c r="F773" s="10"/>
      <c r="G773" s="9"/>
      <c r="H773" s="11"/>
      <c r="I773" s="9" t="s">
        <v>13</v>
      </c>
      <c r="J773" s="35"/>
    </row>
    <row r="774">
      <c r="A774" s="34" t="s">
        <v>204</v>
      </c>
      <c r="B774" s="11"/>
      <c r="C774" s="8"/>
      <c r="D774" s="8"/>
      <c r="E774" s="9"/>
      <c r="F774" s="10"/>
      <c r="G774" s="9"/>
      <c r="H774" s="11"/>
      <c r="I774" s="9" t="s">
        <v>13</v>
      </c>
      <c r="J774" s="35"/>
    </row>
    <row r="775">
      <c r="A775" s="34" t="s">
        <v>204</v>
      </c>
      <c r="B775" s="11"/>
      <c r="C775" s="8"/>
      <c r="D775" s="8"/>
      <c r="E775" s="9"/>
      <c r="F775" s="10"/>
      <c r="G775" s="9"/>
      <c r="H775" s="11"/>
      <c r="I775" s="9" t="s">
        <v>13</v>
      </c>
      <c r="J775" s="35"/>
    </row>
    <row r="776">
      <c r="A776" s="34" t="s">
        <v>204</v>
      </c>
      <c r="B776" s="11"/>
      <c r="C776" s="8"/>
      <c r="D776" s="8"/>
      <c r="E776" s="9"/>
      <c r="F776" s="10"/>
      <c r="G776" s="9"/>
      <c r="H776" s="11"/>
      <c r="I776" s="9" t="s">
        <v>13</v>
      </c>
      <c r="J776" s="35"/>
    </row>
    <row r="777">
      <c r="A777" s="34" t="s">
        <v>204</v>
      </c>
      <c r="B777" s="11"/>
      <c r="C777" s="8"/>
      <c r="D777" s="8"/>
      <c r="E777" s="9"/>
      <c r="F777" s="10"/>
      <c r="G777" s="9"/>
      <c r="H777" s="11"/>
      <c r="I777" s="9" t="s">
        <v>13</v>
      </c>
      <c r="J777" s="35"/>
    </row>
    <row r="778">
      <c r="A778" s="34" t="s">
        <v>204</v>
      </c>
      <c r="B778" s="11"/>
      <c r="C778" s="8"/>
      <c r="D778" s="8"/>
      <c r="E778" s="9"/>
      <c r="F778" s="10"/>
      <c r="G778" s="9"/>
      <c r="H778" s="11"/>
      <c r="I778" s="9" t="s">
        <v>13</v>
      </c>
      <c r="J778" s="35"/>
    </row>
    <row r="779">
      <c r="A779" s="34" t="s">
        <v>204</v>
      </c>
      <c r="B779" s="11"/>
      <c r="C779" s="8"/>
      <c r="D779" s="8"/>
      <c r="E779" s="9"/>
      <c r="F779" s="10"/>
      <c r="G779" s="9"/>
      <c r="H779" s="11"/>
      <c r="I779" s="9" t="s">
        <v>13</v>
      </c>
      <c r="J779" s="35"/>
    </row>
    <row r="780">
      <c r="A780" s="34" t="s">
        <v>204</v>
      </c>
      <c r="B780" s="11"/>
      <c r="C780" s="8"/>
      <c r="D780" s="8"/>
      <c r="E780" s="9"/>
      <c r="F780" s="10"/>
      <c r="G780" s="9"/>
      <c r="H780" s="11"/>
      <c r="I780" s="9" t="s">
        <v>13</v>
      </c>
      <c r="J780" s="35"/>
    </row>
    <row r="781">
      <c r="A781" s="34" t="s">
        <v>204</v>
      </c>
      <c r="B781" s="11"/>
      <c r="C781" s="8"/>
      <c r="D781" s="8"/>
      <c r="E781" s="9"/>
      <c r="F781" s="10"/>
      <c r="G781" s="9"/>
      <c r="H781" s="11"/>
      <c r="I781" s="9" t="s">
        <v>13</v>
      </c>
      <c r="J781" s="35"/>
    </row>
    <row r="782">
      <c r="A782" s="34" t="s">
        <v>204</v>
      </c>
      <c r="B782" s="11"/>
      <c r="C782" s="8"/>
      <c r="D782" s="8"/>
      <c r="E782" s="9"/>
      <c r="F782" s="10"/>
      <c r="G782" s="9"/>
      <c r="H782" s="11"/>
      <c r="I782" s="9" t="s">
        <v>13</v>
      </c>
      <c r="J782" s="35"/>
    </row>
    <row r="783">
      <c r="A783" s="34" t="s">
        <v>204</v>
      </c>
      <c r="B783" s="11"/>
      <c r="C783" s="8"/>
      <c r="D783" s="8"/>
      <c r="E783" s="9"/>
      <c r="F783" s="10"/>
      <c r="G783" s="9"/>
      <c r="H783" s="11"/>
      <c r="I783" s="9" t="s">
        <v>13</v>
      </c>
      <c r="J783" s="35"/>
    </row>
    <row r="784">
      <c r="A784" s="34" t="s">
        <v>204</v>
      </c>
      <c r="B784" s="11"/>
      <c r="C784" s="8"/>
      <c r="D784" s="8"/>
      <c r="E784" s="9"/>
      <c r="F784" s="10"/>
      <c r="G784" s="9"/>
      <c r="H784" s="11"/>
      <c r="I784" s="9" t="s">
        <v>13</v>
      </c>
      <c r="J784" s="35"/>
    </row>
    <row r="785">
      <c r="A785" s="34" t="s">
        <v>204</v>
      </c>
      <c r="B785" s="11"/>
      <c r="C785" s="8"/>
      <c r="D785" s="8"/>
      <c r="E785" s="9"/>
      <c r="F785" s="10"/>
      <c r="G785" s="9"/>
      <c r="H785" s="11"/>
      <c r="I785" s="9" t="s">
        <v>13</v>
      </c>
      <c r="J785" s="35"/>
    </row>
    <row r="786">
      <c r="A786" s="34" t="s">
        <v>204</v>
      </c>
      <c r="B786" s="11"/>
      <c r="C786" s="8"/>
      <c r="D786" s="8"/>
      <c r="E786" s="9"/>
      <c r="F786" s="10"/>
      <c r="G786" s="9"/>
      <c r="H786" s="11"/>
      <c r="I786" s="9" t="s">
        <v>13</v>
      </c>
      <c r="J786" s="35"/>
    </row>
    <row r="787">
      <c r="A787" s="34" t="s">
        <v>204</v>
      </c>
      <c r="B787" s="11"/>
      <c r="C787" s="8"/>
      <c r="D787" s="8"/>
      <c r="E787" s="9"/>
      <c r="F787" s="10"/>
      <c r="G787" s="9"/>
      <c r="H787" s="11"/>
      <c r="I787" s="9" t="s">
        <v>13</v>
      </c>
      <c r="J787" s="35"/>
    </row>
    <row r="788">
      <c r="A788" s="34" t="s">
        <v>204</v>
      </c>
      <c r="B788" s="11"/>
      <c r="C788" s="8"/>
      <c r="D788" s="8"/>
      <c r="E788" s="9"/>
      <c r="F788" s="10"/>
      <c r="G788" s="9"/>
      <c r="H788" s="11"/>
      <c r="I788" s="9" t="s">
        <v>13</v>
      </c>
      <c r="J788" s="35"/>
    </row>
    <row r="789">
      <c r="A789" s="34" t="s">
        <v>204</v>
      </c>
      <c r="B789" s="11"/>
      <c r="C789" s="8"/>
      <c r="D789" s="8"/>
      <c r="E789" s="9"/>
      <c r="F789" s="10"/>
      <c r="G789" s="9"/>
      <c r="H789" s="11"/>
      <c r="I789" s="9" t="s">
        <v>13</v>
      </c>
      <c r="J789" s="35"/>
    </row>
    <row r="790">
      <c r="A790" s="34" t="s">
        <v>204</v>
      </c>
      <c r="B790" s="11"/>
      <c r="C790" s="8"/>
      <c r="D790" s="8"/>
      <c r="E790" s="9"/>
      <c r="F790" s="10"/>
      <c r="G790" s="9"/>
      <c r="H790" s="11"/>
      <c r="I790" s="9" t="s">
        <v>13</v>
      </c>
      <c r="J790" s="35"/>
    </row>
    <row r="791">
      <c r="A791" s="34" t="s">
        <v>204</v>
      </c>
      <c r="B791" s="11"/>
      <c r="C791" s="8"/>
      <c r="D791" s="8"/>
      <c r="E791" s="9"/>
      <c r="F791" s="10"/>
      <c r="G791" s="9"/>
      <c r="H791" s="11"/>
      <c r="I791" s="9" t="s">
        <v>13</v>
      </c>
      <c r="J791" s="35"/>
    </row>
    <row r="792">
      <c r="A792" s="34" t="s">
        <v>204</v>
      </c>
      <c r="B792" s="11"/>
      <c r="C792" s="8"/>
      <c r="D792" s="8"/>
      <c r="E792" s="9"/>
      <c r="F792" s="10"/>
      <c r="G792" s="9"/>
      <c r="H792" s="11"/>
      <c r="I792" s="9" t="s">
        <v>13</v>
      </c>
      <c r="J792" s="35"/>
    </row>
    <row r="793">
      <c r="A793" s="34" t="s">
        <v>204</v>
      </c>
      <c r="B793" s="11"/>
      <c r="C793" s="8"/>
      <c r="D793" s="8"/>
      <c r="E793" s="9"/>
      <c r="F793" s="10"/>
      <c r="G793" s="9"/>
      <c r="H793" s="11"/>
      <c r="I793" s="9" t="s">
        <v>13</v>
      </c>
      <c r="J793" s="35"/>
    </row>
    <row r="794">
      <c r="A794" s="34" t="s">
        <v>204</v>
      </c>
      <c r="B794" s="11"/>
      <c r="C794" s="8"/>
      <c r="D794" s="8"/>
      <c r="E794" s="9"/>
      <c r="F794" s="10"/>
      <c r="G794" s="9"/>
      <c r="H794" s="11"/>
      <c r="I794" s="9" t="s">
        <v>13</v>
      </c>
      <c r="J794" s="35"/>
    </row>
    <row r="795">
      <c r="A795" s="34" t="s">
        <v>204</v>
      </c>
      <c r="B795" s="11"/>
      <c r="C795" s="8"/>
      <c r="D795" s="8"/>
      <c r="E795" s="9"/>
      <c r="F795" s="10"/>
      <c r="G795" s="9"/>
      <c r="H795" s="11"/>
      <c r="I795" s="9" t="s">
        <v>13</v>
      </c>
      <c r="J795" s="35"/>
    </row>
    <row r="796">
      <c r="A796" s="34" t="s">
        <v>204</v>
      </c>
      <c r="B796" s="11"/>
      <c r="C796" s="8"/>
      <c r="D796" s="8"/>
      <c r="E796" s="9"/>
      <c r="F796" s="10"/>
      <c r="G796" s="9"/>
      <c r="H796" s="11"/>
      <c r="I796" s="9" t="s">
        <v>13</v>
      </c>
      <c r="J796" s="35"/>
    </row>
    <row r="797">
      <c r="A797" s="34" t="s">
        <v>204</v>
      </c>
      <c r="B797" s="11"/>
      <c r="C797" s="8"/>
      <c r="D797" s="8"/>
      <c r="E797" s="9"/>
      <c r="F797" s="10"/>
      <c r="G797" s="9"/>
      <c r="H797" s="11"/>
      <c r="I797" s="9" t="s">
        <v>13</v>
      </c>
      <c r="J797" s="35"/>
    </row>
    <row r="798">
      <c r="A798" s="34" t="s">
        <v>204</v>
      </c>
      <c r="B798" s="11"/>
      <c r="C798" s="8"/>
      <c r="D798" s="8"/>
      <c r="E798" s="9"/>
      <c r="F798" s="10"/>
      <c r="G798" s="9"/>
      <c r="H798" s="11"/>
      <c r="I798" s="9" t="s">
        <v>13</v>
      </c>
      <c r="J798" s="35"/>
    </row>
    <row r="799">
      <c r="A799" s="34" t="s">
        <v>204</v>
      </c>
      <c r="B799" s="11"/>
      <c r="C799" s="8"/>
      <c r="D799" s="8"/>
      <c r="E799" s="9"/>
      <c r="F799" s="10"/>
      <c r="G799" s="9"/>
      <c r="H799" s="11"/>
      <c r="I799" s="9" t="s">
        <v>13</v>
      </c>
      <c r="J799" s="35"/>
    </row>
    <row r="800">
      <c r="A800" s="34" t="s">
        <v>204</v>
      </c>
      <c r="B800" s="11"/>
      <c r="C800" s="8"/>
      <c r="D800" s="8"/>
      <c r="E800" s="9"/>
      <c r="F800" s="10"/>
      <c r="G800" s="9"/>
      <c r="H800" s="11"/>
      <c r="I800" s="9" t="s">
        <v>13</v>
      </c>
      <c r="J800" s="35"/>
    </row>
    <row r="801">
      <c r="A801" s="34" t="s">
        <v>204</v>
      </c>
      <c r="B801" s="11"/>
      <c r="C801" s="8"/>
      <c r="D801" s="8"/>
      <c r="E801" s="9"/>
      <c r="F801" s="10"/>
      <c r="G801" s="9"/>
      <c r="H801" s="11"/>
      <c r="I801" s="9" t="s">
        <v>13</v>
      </c>
      <c r="J801" s="35"/>
    </row>
    <row r="802">
      <c r="A802" s="34" t="s">
        <v>204</v>
      </c>
      <c r="B802" s="11"/>
      <c r="C802" s="8"/>
      <c r="D802" s="8"/>
      <c r="E802" s="9"/>
      <c r="F802" s="10"/>
      <c r="G802" s="9"/>
      <c r="H802" s="11"/>
      <c r="I802" s="9" t="s">
        <v>13</v>
      </c>
      <c r="J802" s="35"/>
    </row>
    <row r="803">
      <c r="A803" s="34" t="s">
        <v>204</v>
      </c>
      <c r="B803" s="11"/>
      <c r="C803" s="8"/>
      <c r="D803" s="8"/>
      <c r="E803" s="9"/>
      <c r="F803" s="10"/>
      <c r="G803" s="9"/>
      <c r="H803" s="11"/>
      <c r="I803" s="9" t="s">
        <v>13</v>
      </c>
      <c r="J803" s="35"/>
    </row>
    <row r="804">
      <c r="A804" s="34" t="s">
        <v>204</v>
      </c>
      <c r="B804" s="11"/>
      <c r="C804" s="8"/>
      <c r="D804" s="8"/>
      <c r="E804" s="9"/>
      <c r="F804" s="10"/>
      <c r="G804" s="9"/>
      <c r="H804" s="11"/>
      <c r="I804" s="9" t="s">
        <v>13</v>
      </c>
      <c r="J804" s="35"/>
    </row>
    <row r="805">
      <c r="A805" s="34" t="s">
        <v>204</v>
      </c>
      <c r="B805" s="11"/>
      <c r="C805" s="8"/>
      <c r="D805" s="8"/>
      <c r="E805" s="9"/>
      <c r="F805" s="10"/>
      <c r="G805" s="9"/>
      <c r="H805" s="11"/>
      <c r="I805" s="9" t="s">
        <v>13</v>
      </c>
      <c r="J805" s="35"/>
    </row>
    <row r="806">
      <c r="A806" s="34" t="s">
        <v>204</v>
      </c>
      <c r="B806" s="11"/>
      <c r="C806" s="8"/>
      <c r="D806" s="8"/>
      <c r="E806" s="9"/>
      <c r="F806" s="10"/>
      <c r="G806" s="9"/>
      <c r="H806" s="11"/>
      <c r="I806" s="9" t="s">
        <v>13</v>
      </c>
      <c r="J806" s="35"/>
    </row>
    <row r="807">
      <c r="A807" s="34" t="s">
        <v>204</v>
      </c>
      <c r="B807" s="11"/>
      <c r="C807" s="8"/>
      <c r="D807" s="8"/>
      <c r="E807" s="9"/>
      <c r="F807" s="10"/>
      <c r="G807" s="9"/>
      <c r="H807" s="11"/>
      <c r="I807" s="9" t="s">
        <v>13</v>
      </c>
      <c r="J807" s="35"/>
    </row>
    <row r="808">
      <c r="A808" s="34" t="s">
        <v>204</v>
      </c>
      <c r="B808" s="11"/>
      <c r="C808" s="8"/>
      <c r="D808" s="8"/>
      <c r="E808" s="9"/>
      <c r="F808" s="10"/>
      <c r="G808" s="9"/>
      <c r="H808" s="11"/>
      <c r="I808" s="9" t="s">
        <v>13</v>
      </c>
      <c r="J808" s="35"/>
    </row>
    <row r="809">
      <c r="A809" s="34" t="s">
        <v>204</v>
      </c>
      <c r="B809" s="11"/>
      <c r="C809" s="8"/>
      <c r="D809" s="8"/>
      <c r="E809" s="9"/>
      <c r="F809" s="10"/>
      <c r="G809" s="9"/>
      <c r="H809" s="11"/>
      <c r="I809" s="9" t="s">
        <v>13</v>
      </c>
      <c r="J809" s="35"/>
    </row>
    <row r="810">
      <c r="A810" s="34" t="s">
        <v>204</v>
      </c>
      <c r="B810" s="11"/>
      <c r="C810" s="8"/>
      <c r="D810" s="8"/>
      <c r="E810" s="9"/>
      <c r="F810" s="10"/>
      <c r="G810" s="9"/>
      <c r="H810" s="11"/>
      <c r="I810" s="9" t="s">
        <v>13</v>
      </c>
      <c r="J810" s="35"/>
    </row>
    <row r="811">
      <c r="A811" s="34" t="s">
        <v>204</v>
      </c>
      <c r="B811" s="11"/>
      <c r="C811" s="8"/>
      <c r="D811" s="8"/>
      <c r="E811" s="9"/>
      <c r="F811" s="10"/>
      <c r="G811" s="9"/>
      <c r="H811" s="11"/>
      <c r="I811" s="9" t="s">
        <v>13</v>
      </c>
      <c r="J811" s="35"/>
    </row>
    <row r="812">
      <c r="A812" s="34" t="s">
        <v>204</v>
      </c>
      <c r="B812" s="11"/>
      <c r="C812" s="8"/>
      <c r="D812" s="8"/>
      <c r="E812" s="9"/>
      <c r="F812" s="10"/>
      <c r="G812" s="9"/>
      <c r="H812" s="11"/>
      <c r="I812" s="9" t="s">
        <v>13</v>
      </c>
      <c r="J812" s="35"/>
    </row>
    <row r="813">
      <c r="A813" s="34" t="s">
        <v>204</v>
      </c>
      <c r="B813" s="11"/>
      <c r="C813" s="8"/>
      <c r="D813" s="8"/>
      <c r="E813" s="9"/>
      <c r="F813" s="10"/>
      <c r="G813" s="9"/>
      <c r="H813" s="11"/>
      <c r="I813" s="9" t="s">
        <v>13</v>
      </c>
      <c r="J813" s="35"/>
    </row>
    <row r="814">
      <c r="A814" s="34" t="s">
        <v>204</v>
      </c>
      <c r="B814" s="11"/>
      <c r="C814" s="8"/>
      <c r="D814" s="8"/>
      <c r="E814" s="9"/>
      <c r="F814" s="10"/>
      <c r="G814" s="9"/>
      <c r="H814" s="11"/>
      <c r="I814" s="9" t="s">
        <v>13</v>
      </c>
      <c r="J814" s="35"/>
    </row>
    <row r="815">
      <c r="A815" s="34" t="s">
        <v>204</v>
      </c>
      <c r="B815" s="11"/>
      <c r="C815" s="8"/>
      <c r="D815" s="8"/>
      <c r="E815" s="9"/>
      <c r="F815" s="10"/>
      <c r="G815" s="9"/>
      <c r="H815" s="11"/>
      <c r="I815" s="9" t="s">
        <v>13</v>
      </c>
      <c r="J815" s="35"/>
    </row>
    <row r="816">
      <c r="A816" s="34" t="s">
        <v>204</v>
      </c>
      <c r="B816" s="11"/>
      <c r="C816" s="8"/>
      <c r="D816" s="8"/>
      <c r="E816" s="9"/>
      <c r="F816" s="10"/>
      <c r="G816" s="9"/>
      <c r="H816" s="11"/>
      <c r="I816" s="9" t="s">
        <v>13</v>
      </c>
      <c r="J816" s="35"/>
    </row>
    <row r="817">
      <c r="A817" s="34" t="s">
        <v>204</v>
      </c>
      <c r="B817" s="11"/>
      <c r="C817" s="8"/>
      <c r="D817" s="8"/>
      <c r="E817" s="9"/>
      <c r="F817" s="10"/>
      <c r="G817" s="9"/>
      <c r="H817" s="11"/>
      <c r="I817" s="9" t="s">
        <v>13</v>
      </c>
      <c r="J817" s="35"/>
    </row>
    <row r="818">
      <c r="A818" s="34" t="s">
        <v>204</v>
      </c>
      <c r="B818" s="11"/>
      <c r="C818" s="8"/>
      <c r="D818" s="8"/>
      <c r="E818" s="9"/>
      <c r="F818" s="10"/>
      <c r="G818" s="9"/>
      <c r="H818" s="11"/>
      <c r="I818" s="9" t="s">
        <v>13</v>
      </c>
      <c r="J818" s="35"/>
    </row>
    <row r="819">
      <c r="A819" s="34" t="s">
        <v>204</v>
      </c>
      <c r="B819" s="11"/>
      <c r="C819" s="8"/>
      <c r="D819" s="8"/>
      <c r="E819" s="9"/>
      <c r="F819" s="10"/>
      <c r="G819" s="9"/>
      <c r="H819" s="11"/>
      <c r="I819" s="9" t="s">
        <v>13</v>
      </c>
      <c r="J819" s="35"/>
    </row>
    <row r="820">
      <c r="A820" s="34" t="s">
        <v>204</v>
      </c>
      <c r="B820" s="11"/>
      <c r="C820" s="8"/>
      <c r="D820" s="8"/>
      <c r="E820" s="9"/>
      <c r="F820" s="10"/>
      <c r="G820" s="9"/>
      <c r="H820" s="11"/>
      <c r="I820" s="9" t="s">
        <v>13</v>
      </c>
      <c r="J820" s="35"/>
    </row>
    <row r="821">
      <c r="A821" s="34" t="s">
        <v>204</v>
      </c>
      <c r="B821" s="11"/>
      <c r="C821" s="8"/>
      <c r="D821" s="8"/>
      <c r="E821" s="9"/>
      <c r="F821" s="10"/>
      <c r="G821" s="9"/>
      <c r="H821" s="11"/>
      <c r="I821" s="9" t="s">
        <v>13</v>
      </c>
      <c r="J821" s="35"/>
    </row>
    <row r="822">
      <c r="A822" s="34" t="s">
        <v>204</v>
      </c>
      <c r="B822" s="11"/>
      <c r="C822" s="8"/>
      <c r="D822" s="8"/>
      <c r="E822" s="9"/>
      <c r="F822" s="10"/>
      <c r="G822" s="9"/>
      <c r="H822" s="11"/>
      <c r="I822" s="9" t="s">
        <v>13</v>
      </c>
      <c r="J822" s="35"/>
    </row>
    <row r="823">
      <c r="A823" s="34" t="s">
        <v>204</v>
      </c>
      <c r="B823" s="11"/>
      <c r="C823" s="8"/>
      <c r="D823" s="8"/>
      <c r="E823" s="9"/>
      <c r="F823" s="10"/>
      <c r="G823" s="9"/>
      <c r="H823" s="11"/>
      <c r="I823" s="9" t="s">
        <v>13</v>
      </c>
      <c r="J823" s="35"/>
    </row>
    <row r="824">
      <c r="A824" s="34" t="s">
        <v>204</v>
      </c>
      <c r="B824" s="11"/>
      <c r="C824" s="8"/>
      <c r="D824" s="8"/>
      <c r="E824" s="9"/>
      <c r="F824" s="10"/>
      <c r="G824" s="9"/>
      <c r="H824" s="11"/>
      <c r="I824" s="9" t="s">
        <v>13</v>
      </c>
      <c r="J824" s="35"/>
    </row>
    <row r="825">
      <c r="A825" s="34" t="s">
        <v>204</v>
      </c>
      <c r="B825" s="11"/>
      <c r="C825" s="8"/>
      <c r="D825" s="8"/>
      <c r="E825" s="9"/>
      <c r="F825" s="10"/>
      <c r="G825" s="9"/>
      <c r="H825" s="11"/>
      <c r="I825" s="9" t="s">
        <v>13</v>
      </c>
      <c r="J825" s="35"/>
    </row>
    <row r="826">
      <c r="A826" s="34" t="s">
        <v>204</v>
      </c>
      <c r="B826" s="11"/>
      <c r="C826" s="8"/>
      <c r="D826" s="8"/>
      <c r="E826" s="9"/>
      <c r="F826" s="10"/>
      <c r="G826" s="9"/>
      <c r="H826" s="11"/>
      <c r="I826" s="9" t="s">
        <v>13</v>
      </c>
      <c r="J826" s="35"/>
    </row>
    <row r="827">
      <c r="A827" s="34" t="s">
        <v>204</v>
      </c>
      <c r="B827" s="11"/>
      <c r="C827" s="8"/>
      <c r="D827" s="8"/>
      <c r="E827" s="9"/>
      <c r="F827" s="10"/>
      <c r="G827" s="9"/>
      <c r="H827" s="11"/>
      <c r="I827" s="9" t="s">
        <v>13</v>
      </c>
      <c r="J827" s="35"/>
    </row>
    <row r="828">
      <c r="A828" s="34" t="s">
        <v>204</v>
      </c>
      <c r="B828" s="11"/>
      <c r="C828" s="8"/>
      <c r="D828" s="8"/>
      <c r="E828" s="9"/>
      <c r="F828" s="10"/>
      <c r="G828" s="9"/>
      <c r="H828" s="11"/>
      <c r="I828" s="9" t="s">
        <v>13</v>
      </c>
      <c r="J828" s="35"/>
    </row>
    <row r="829">
      <c r="A829" s="34" t="s">
        <v>204</v>
      </c>
      <c r="B829" s="11"/>
      <c r="C829" s="8"/>
      <c r="D829" s="8"/>
      <c r="E829" s="9"/>
      <c r="F829" s="10"/>
      <c r="G829" s="9"/>
      <c r="H829" s="11"/>
      <c r="I829" s="9" t="s">
        <v>13</v>
      </c>
      <c r="J829" s="35"/>
    </row>
    <row r="830">
      <c r="A830" s="34" t="s">
        <v>204</v>
      </c>
      <c r="B830" s="11"/>
      <c r="C830" s="8"/>
      <c r="D830" s="8"/>
      <c r="E830" s="9"/>
      <c r="F830" s="10"/>
      <c r="G830" s="9"/>
      <c r="H830" s="11"/>
      <c r="I830" s="9" t="s">
        <v>13</v>
      </c>
      <c r="J830" s="35"/>
    </row>
    <row r="831">
      <c r="A831" s="34" t="s">
        <v>204</v>
      </c>
      <c r="B831" s="11"/>
      <c r="C831" s="8"/>
      <c r="D831" s="8"/>
      <c r="E831" s="9"/>
      <c r="F831" s="10"/>
      <c r="G831" s="9"/>
      <c r="H831" s="11"/>
      <c r="I831" s="9" t="s">
        <v>13</v>
      </c>
      <c r="J831" s="35"/>
    </row>
    <row r="832">
      <c r="A832" s="34" t="s">
        <v>204</v>
      </c>
      <c r="B832" s="11"/>
      <c r="C832" s="8"/>
      <c r="D832" s="8"/>
      <c r="E832" s="9"/>
      <c r="F832" s="10"/>
      <c r="G832" s="9"/>
      <c r="H832" s="11"/>
      <c r="I832" s="9" t="s">
        <v>13</v>
      </c>
      <c r="J832" s="35"/>
    </row>
    <row r="833">
      <c r="A833" s="34" t="s">
        <v>204</v>
      </c>
      <c r="B833" s="11"/>
      <c r="C833" s="8"/>
      <c r="D833" s="8"/>
      <c r="E833" s="9"/>
      <c r="F833" s="10"/>
      <c r="G833" s="9"/>
      <c r="H833" s="11"/>
      <c r="I833" s="9" t="s">
        <v>13</v>
      </c>
      <c r="J833" s="35"/>
    </row>
    <row r="834">
      <c r="A834" s="34" t="s">
        <v>204</v>
      </c>
      <c r="B834" s="11"/>
      <c r="C834" s="8"/>
      <c r="D834" s="8"/>
      <c r="E834" s="9"/>
      <c r="F834" s="10"/>
      <c r="G834" s="9"/>
      <c r="H834" s="11"/>
      <c r="I834" s="9" t="s">
        <v>13</v>
      </c>
      <c r="J834" s="35"/>
    </row>
    <row r="835">
      <c r="A835" s="34" t="s">
        <v>204</v>
      </c>
      <c r="B835" s="11"/>
      <c r="C835" s="8"/>
      <c r="D835" s="8"/>
      <c r="E835" s="9"/>
      <c r="F835" s="10"/>
      <c r="G835" s="9"/>
      <c r="H835" s="11"/>
      <c r="I835" s="9" t="s">
        <v>13</v>
      </c>
      <c r="J835" s="35"/>
    </row>
    <row r="836">
      <c r="A836" s="34" t="s">
        <v>204</v>
      </c>
      <c r="B836" s="11"/>
      <c r="C836" s="8"/>
      <c r="D836" s="8"/>
      <c r="E836" s="9"/>
      <c r="F836" s="10"/>
      <c r="G836" s="9"/>
      <c r="H836" s="11"/>
      <c r="I836" s="9" t="s">
        <v>13</v>
      </c>
      <c r="J836" s="35"/>
    </row>
    <row r="837">
      <c r="A837" s="34" t="s">
        <v>204</v>
      </c>
      <c r="B837" s="11"/>
      <c r="C837" s="8"/>
      <c r="D837" s="8"/>
      <c r="E837" s="9"/>
      <c r="F837" s="10"/>
      <c r="G837" s="9"/>
      <c r="H837" s="11"/>
      <c r="I837" s="9" t="s">
        <v>13</v>
      </c>
      <c r="J837" s="35"/>
    </row>
    <row r="838">
      <c r="A838" s="34" t="s">
        <v>204</v>
      </c>
      <c r="B838" s="11"/>
      <c r="C838" s="8"/>
      <c r="D838" s="8"/>
      <c r="E838" s="9"/>
      <c r="F838" s="10"/>
      <c r="G838" s="9"/>
      <c r="H838" s="11"/>
      <c r="I838" s="9" t="s">
        <v>13</v>
      </c>
      <c r="J838" s="35"/>
    </row>
    <row r="839">
      <c r="A839" s="34" t="s">
        <v>204</v>
      </c>
      <c r="B839" s="11"/>
      <c r="C839" s="8"/>
      <c r="D839" s="8"/>
      <c r="E839" s="9"/>
      <c r="F839" s="10"/>
      <c r="G839" s="9"/>
      <c r="H839" s="11"/>
      <c r="I839" s="9" t="s">
        <v>13</v>
      </c>
      <c r="J839" s="35"/>
    </row>
    <row r="840">
      <c r="A840" s="34" t="s">
        <v>204</v>
      </c>
      <c r="B840" s="11"/>
      <c r="C840" s="8"/>
      <c r="D840" s="8"/>
      <c r="E840" s="9"/>
      <c r="F840" s="10"/>
      <c r="G840" s="9"/>
      <c r="H840" s="11"/>
      <c r="I840" s="9" t="s">
        <v>13</v>
      </c>
      <c r="J840" s="35"/>
    </row>
    <row r="841">
      <c r="A841" s="34" t="s">
        <v>204</v>
      </c>
      <c r="B841" s="11"/>
      <c r="C841" s="8"/>
      <c r="D841" s="8"/>
      <c r="E841" s="9"/>
      <c r="F841" s="10"/>
      <c r="G841" s="9"/>
      <c r="H841" s="11"/>
      <c r="I841" s="9" t="s">
        <v>13</v>
      </c>
      <c r="J841" s="35"/>
    </row>
    <row r="842">
      <c r="A842" s="34" t="s">
        <v>204</v>
      </c>
      <c r="B842" s="11"/>
      <c r="C842" s="8"/>
      <c r="D842" s="8"/>
      <c r="E842" s="9"/>
      <c r="F842" s="10"/>
      <c r="G842" s="9"/>
      <c r="H842" s="11"/>
      <c r="I842" s="9" t="s">
        <v>13</v>
      </c>
      <c r="J842" s="35"/>
    </row>
    <row r="843">
      <c r="A843" s="34" t="s">
        <v>204</v>
      </c>
      <c r="B843" s="11"/>
      <c r="C843" s="8"/>
      <c r="D843" s="8"/>
      <c r="E843" s="9"/>
      <c r="F843" s="10"/>
      <c r="G843" s="9"/>
      <c r="H843" s="11"/>
      <c r="I843" s="9" t="s">
        <v>13</v>
      </c>
      <c r="J843" s="35"/>
    </row>
    <row r="844">
      <c r="A844" s="34" t="s">
        <v>204</v>
      </c>
      <c r="B844" s="11"/>
      <c r="C844" s="8"/>
      <c r="D844" s="8"/>
      <c r="E844" s="9"/>
      <c r="F844" s="10"/>
      <c r="G844" s="9"/>
      <c r="H844" s="11"/>
      <c r="I844" s="9" t="s">
        <v>13</v>
      </c>
      <c r="J844" s="35"/>
    </row>
    <row r="845">
      <c r="A845" s="34" t="s">
        <v>204</v>
      </c>
      <c r="B845" s="11"/>
      <c r="C845" s="8"/>
      <c r="D845" s="8"/>
      <c r="E845" s="9"/>
      <c r="F845" s="10"/>
      <c r="G845" s="9"/>
      <c r="H845" s="11"/>
      <c r="I845" s="9" t="s">
        <v>13</v>
      </c>
      <c r="J845" s="35"/>
    </row>
    <row r="846">
      <c r="A846" s="34" t="s">
        <v>204</v>
      </c>
      <c r="B846" s="11"/>
      <c r="C846" s="8"/>
      <c r="D846" s="8"/>
      <c r="E846" s="9"/>
      <c r="F846" s="10"/>
      <c r="G846" s="9"/>
      <c r="H846" s="11"/>
      <c r="I846" s="9" t="s">
        <v>13</v>
      </c>
      <c r="J846" s="35"/>
    </row>
    <row r="847">
      <c r="A847" s="34" t="s">
        <v>204</v>
      </c>
      <c r="B847" s="11"/>
      <c r="C847" s="8"/>
      <c r="D847" s="8"/>
      <c r="E847" s="9"/>
      <c r="F847" s="10"/>
      <c r="G847" s="9"/>
      <c r="H847" s="11"/>
      <c r="I847" s="9" t="s">
        <v>13</v>
      </c>
      <c r="J847" s="35"/>
    </row>
    <row r="848">
      <c r="A848" s="34" t="s">
        <v>204</v>
      </c>
      <c r="B848" s="11"/>
      <c r="C848" s="8"/>
      <c r="D848" s="8"/>
      <c r="E848" s="9"/>
      <c r="F848" s="10"/>
      <c r="G848" s="9"/>
      <c r="H848" s="11"/>
      <c r="I848" s="9" t="s">
        <v>13</v>
      </c>
      <c r="J848" s="35"/>
    </row>
    <row r="849">
      <c r="A849" s="34" t="s">
        <v>204</v>
      </c>
      <c r="B849" s="11"/>
      <c r="C849" s="8"/>
      <c r="D849" s="8"/>
      <c r="E849" s="9"/>
      <c r="F849" s="10"/>
      <c r="G849" s="9"/>
      <c r="H849" s="11"/>
      <c r="I849" s="9" t="s">
        <v>13</v>
      </c>
      <c r="J849" s="35"/>
    </row>
    <row r="850">
      <c r="A850" s="34" t="s">
        <v>204</v>
      </c>
      <c r="B850" s="11"/>
      <c r="C850" s="8"/>
      <c r="D850" s="8"/>
      <c r="E850" s="9"/>
      <c r="F850" s="10"/>
      <c r="G850" s="9"/>
      <c r="H850" s="11"/>
      <c r="I850" s="9" t="s">
        <v>13</v>
      </c>
      <c r="J850" s="35"/>
    </row>
    <row r="851">
      <c r="A851" s="34" t="s">
        <v>204</v>
      </c>
      <c r="B851" s="11"/>
      <c r="C851" s="8"/>
      <c r="D851" s="8"/>
      <c r="E851" s="9"/>
      <c r="F851" s="10"/>
      <c r="G851" s="9"/>
      <c r="H851" s="11"/>
      <c r="I851" s="9" t="s">
        <v>13</v>
      </c>
      <c r="J851" s="35"/>
    </row>
    <row r="852">
      <c r="A852" s="34" t="s">
        <v>204</v>
      </c>
      <c r="B852" s="11"/>
      <c r="C852" s="8"/>
      <c r="D852" s="8"/>
      <c r="E852" s="9"/>
      <c r="F852" s="10"/>
      <c r="G852" s="9"/>
      <c r="H852" s="11"/>
      <c r="I852" s="9" t="s">
        <v>13</v>
      </c>
      <c r="J852" s="35"/>
    </row>
    <row r="853">
      <c r="A853" s="34" t="s">
        <v>204</v>
      </c>
      <c r="B853" s="11"/>
      <c r="C853" s="8"/>
      <c r="D853" s="8"/>
      <c r="E853" s="9"/>
      <c r="F853" s="10"/>
      <c r="G853" s="9"/>
      <c r="H853" s="11"/>
      <c r="I853" s="9" t="s">
        <v>13</v>
      </c>
      <c r="J853" s="35"/>
    </row>
    <row r="854">
      <c r="A854" s="34" t="s">
        <v>204</v>
      </c>
      <c r="B854" s="11"/>
      <c r="C854" s="8"/>
      <c r="D854" s="8"/>
      <c r="E854" s="9"/>
      <c r="F854" s="10"/>
      <c r="G854" s="9"/>
      <c r="H854" s="11"/>
      <c r="I854" s="9" t="s">
        <v>13</v>
      </c>
      <c r="J854" s="35"/>
    </row>
    <row r="855">
      <c r="A855" s="34" t="s">
        <v>204</v>
      </c>
      <c r="B855" s="11"/>
      <c r="C855" s="8"/>
      <c r="D855" s="8"/>
      <c r="E855" s="9"/>
      <c r="F855" s="10"/>
      <c r="G855" s="9"/>
      <c r="H855" s="11"/>
      <c r="I855" s="9" t="s">
        <v>13</v>
      </c>
      <c r="J855" s="35"/>
    </row>
    <row r="856">
      <c r="A856" s="34" t="s">
        <v>204</v>
      </c>
      <c r="B856" s="11"/>
      <c r="C856" s="8"/>
      <c r="D856" s="8"/>
      <c r="E856" s="9"/>
      <c r="F856" s="10"/>
      <c r="G856" s="9"/>
      <c r="H856" s="11"/>
      <c r="I856" s="9" t="s">
        <v>13</v>
      </c>
      <c r="J856" s="35"/>
    </row>
    <row r="857">
      <c r="A857" s="34" t="s">
        <v>204</v>
      </c>
      <c r="B857" s="11"/>
      <c r="C857" s="8"/>
      <c r="D857" s="8"/>
      <c r="E857" s="9"/>
      <c r="F857" s="10"/>
      <c r="G857" s="9"/>
      <c r="H857" s="11"/>
      <c r="I857" s="9" t="s">
        <v>13</v>
      </c>
      <c r="J857" s="35"/>
    </row>
    <row r="858">
      <c r="A858" s="34" t="s">
        <v>204</v>
      </c>
      <c r="B858" s="11"/>
      <c r="C858" s="8"/>
      <c r="D858" s="8"/>
      <c r="E858" s="9"/>
      <c r="F858" s="10"/>
      <c r="G858" s="9"/>
      <c r="H858" s="11"/>
      <c r="I858" s="9" t="s">
        <v>13</v>
      </c>
      <c r="J858" s="35"/>
    </row>
    <row r="859">
      <c r="A859" s="34" t="s">
        <v>204</v>
      </c>
      <c r="B859" s="11"/>
      <c r="C859" s="8"/>
      <c r="D859" s="8"/>
      <c r="E859" s="9"/>
      <c r="F859" s="10"/>
      <c r="G859" s="9"/>
      <c r="H859" s="11"/>
      <c r="I859" s="9" t="s">
        <v>13</v>
      </c>
      <c r="J859" s="35"/>
    </row>
    <row r="860">
      <c r="A860" s="34" t="s">
        <v>204</v>
      </c>
      <c r="B860" s="11"/>
      <c r="C860" s="8"/>
      <c r="D860" s="8"/>
      <c r="E860" s="9"/>
      <c r="F860" s="10"/>
      <c r="G860" s="9"/>
      <c r="H860" s="11"/>
      <c r="I860" s="9" t="s">
        <v>13</v>
      </c>
      <c r="J860" s="35"/>
    </row>
    <row r="861">
      <c r="A861" s="34" t="s">
        <v>204</v>
      </c>
      <c r="B861" s="11"/>
      <c r="C861" s="8"/>
      <c r="D861" s="8"/>
      <c r="E861" s="9"/>
      <c r="F861" s="10"/>
      <c r="G861" s="9"/>
      <c r="H861" s="11"/>
      <c r="I861" s="9" t="s">
        <v>13</v>
      </c>
      <c r="J861" s="35"/>
    </row>
    <row r="862">
      <c r="A862" s="34" t="s">
        <v>204</v>
      </c>
      <c r="B862" s="11"/>
      <c r="C862" s="8"/>
      <c r="D862" s="8"/>
      <c r="E862" s="9"/>
      <c r="F862" s="10"/>
      <c r="G862" s="9"/>
      <c r="H862" s="11"/>
      <c r="I862" s="9" t="s">
        <v>13</v>
      </c>
      <c r="J862" s="35"/>
    </row>
    <row r="863">
      <c r="A863" s="34" t="s">
        <v>204</v>
      </c>
      <c r="B863" s="11"/>
      <c r="C863" s="8"/>
      <c r="D863" s="8"/>
      <c r="E863" s="9"/>
      <c r="F863" s="10"/>
      <c r="G863" s="9"/>
      <c r="H863" s="11"/>
      <c r="I863" s="9" t="s">
        <v>13</v>
      </c>
      <c r="J863" s="35"/>
    </row>
    <row r="864">
      <c r="A864" s="34" t="s">
        <v>204</v>
      </c>
      <c r="B864" s="11"/>
      <c r="C864" s="8"/>
      <c r="D864" s="8"/>
      <c r="E864" s="9"/>
      <c r="F864" s="10"/>
      <c r="G864" s="9"/>
      <c r="H864" s="11"/>
      <c r="I864" s="9" t="s">
        <v>13</v>
      </c>
      <c r="J864" s="35"/>
    </row>
    <row r="865">
      <c r="A865" s="34" t="s">
        <v>204</v>
      </c>
      <c r="B865" s="11"/>
      <c r="C865" s="8"/>
      <c r="D865" s="8"/>
      <c r="E865" s="9"/>
      <c r="F865" s="10"/>
      <c r="G865" s="9"/>
      <c r="H865" s="11"/>
      <c r="I865" s="9" t="s">
        <v>13</v>
      </c>
      <c r="J865" s="35"/>
    </row>
    <row r="866">
      <c r="A866" s="34" t="s">
        <v>204</v>
      </c>
      <c r="B866" s="11"/>
      <c r="C866" s="8"/>
      <c r="D866" s="8"/>
      <c r="E866" s="9"/>
      <c r="F866" s="10"/>
      <c r="G866" s="9"/>
      <c r="H866" s="11"/>
      <c r="I866" s="9" t="s">
        <v>13</v>
      </c>
      <c r="J866" s="35"/>
    </row>
    <row r="867">
      <c r="A867" s="34" t="s">
        <v>204</v>
      </c>
      <c r="B867" s="11"/>
      <c r="C867" s="8"/>
      <c r="D867" s="8"/>
      <c r="E867" s="9"/>
      <c r="F867" s="10"/>
      <c r="G867" s="9"/>
      <c r="H867" s="11"/>
      <c r="I867" s="9" t="s">
        <v>13</v>
      </c>
      <c r="J867" s="35"/>
    </row>
    <row r="868">
      <c r="A868" s="34" t="s">
        <v>204</v>
      </c>
      <c r="B868" s="11"/>
      <c r="C868" s="8"/>
      <c r="D868" s="8"/>
      <c r="E868" s="9"/>
      <c r="F868" s="10"/>
      <c r="G868" s="9"/>
      <c r="H868" s="11"/>
      <c r="I868" s="9" t="s">
        <v>13</v>
      </c>
      <c r="J868" s="35"/>
    </row>
    <row r="869">
      <c r="A869" s="34" t="s">
        <v>204</v>
      </c>
      <c r="B869" s="11"/>
      <c r="C869" s="8"/>
      <c r="D869" s="8"/>
      <c r="E869" s="9"/>
      <c r="F869" s="10"/>
      <c r="G869" s="9"/>
      <c r="H869" s="11"/>
      <c r="I869" s="9" t="s">
        <v>13</v>
      </c>
      <c r="J869" s="35"/>
    </row>
    <row r="870">
      <c r="A870" s="34" t="s">
        <v>204</v>
      </c>
      <c r="B870" s="11"/>
      <c r="C870" s="8"/>
      <c r="D870" s="8"/>
      <c r="E870" s="9"/>
      <c r="F870" s="10"/>
      <c r="G870" s="9"/>
      <c r="H870" s="11"/>
      <c r="I870" s="9" t="s">
        <v>13</v>
      </c>
      <c r="J870" s="35"/>
    </row>
    <row r="871">
      <c r="A871" s="34" t="s">
        <v>204</v>
      </c>
      <c r="B871" s="11"/>
      <c r="C871" s="8"/>
      <c r="D871" s="8"/>
      <c r="E871" s="9"/>
      <c r="F871" s="10"/>
      <c r="G871" s="9"/>
      <c r="H871" s="11"/>
      <c r="I871" s="9" t="s">
        <v>13</v>
      </c>
      <c r="J871" s="35"/>
    </row>
    <row r="872">
      <c r="A872" s="34" t="s">
        <v>204</v>
      </c>
      <c r="B872" s="11"/>
      <c r="C872" s="8"/>
      <c r="D872" s="8"/>
      <c r="E872" s="9"/>
      <c r="F872" s="10"/>
      <c r="G872" s="9"/>
      <c r="H872" s="11"/>
      <c r="I872" s="9" t="s">
        <v>13</v>
      </c>
      <c r="J872" s="35"/>
    </row>
    <row r="873">
      <c r="A873" s="34" t="s">
        <v>204</v>
      </c>
      <c r="B873" s="11"/>
      <c r="C873" s="8"/>
      <c r="D873" s="8"/>
      <c r="E873" s="9"/>
      <c r="F873" s="10"/>
      <c r="G873" s="9"/>
      <c r="H873" s="11"/>
      <c r="I873" s="9" t="s">
        <v>13</v>
      </c>
      <c r="J873" s="35"/>
    </row>
    <row r="874">
      <c r="A874" s="34" t="s">
        <v>204</v>
      </c>
      <c r="B874" s="11"/>
      <c r="C874" s="8"/>
      <c r="D874" s="8"/>
      <c r="E874" s="9"/>
      <c r="F874" s="10"/>
      <c r="G874" s="9"/>
      <c r="H874" s="11"/>
      <c r="I874" s="9" t="s">
        <v>13</v>
      </c>
      <c r="J874" s="35"/>
    </row>
    <row r="875">
      <c r="A875" s="34" t="s">
        <v>204</v>
      </c>
      <c r="B875" s="11"/>
      <c r="C875" s="8"/>
      <c r="D875" s="8"/>
      <c r="E875" s="9"/>
      <c r="F875" s="10"/>
      <c r="G875" s="9"/>
      <c r="H875" s="11"/>
      <c r="I875" s="9" t="s">
        <v>13</v>
      </c>
      <c r="J875" s="35"/>
    </row>
    <row r="876">
      <c r="A876" s="34" t="s">
        <v>204</v>
      </c>
      <c r="B876" s="11"/>
      <c r="C876" s="8"/>
      <c r="D876" s="8"/>
      <c r="E876" s="9"/>
      <c r="F876" s="10"/>
      <c r="G876" s="9"/>
      <c r="H876" s="11"/>
      <c r="I876" s="9" t="s">
        <v>13</v>
      </c>
      <c r="J876" s="35"/>
    </row>
    <row r="877">
      <c r="A877" s="34" t="s">
        <v>204</v>
      </c>
      <c r="B877" s="11"/>
      <c r="C877" s="8"/>
      <c r="D877" s="8"/>
      <c r="E877" s="9"/>
      <c r="F877" s="10"/>
      <c r="G877" s="9"/>
      <c r="H877" s="11"/>
      <c r="I877" s="9" t="s">
        <v>13</v>
      </c>
      <c r="J877" s="35"/>
    </row>
    <row r="878">
      <c r="A878" s="34" t="s">
        <v>204</v>
      </c>
      <c r="B878" s="11"/>
      <c r="C878" s="8"/>
      <c r="D878" s="8"/>
      <c r="E878" s="9"/>
      <c r="F878" s="10"/>
      <c r="G878" s="9"/>
      <c r="H878" s="11"/>
      <c r="I878" s="9" t="s">
        <v>13</v>
      </c>
      <c r="J878" s="35"/>
    </row>
    <row r="879">
      <c r="A879" s="34" t="s">
        <v>204</v>
      </c>
      <c r="B879" s="11"/>
      <c r="C879" s="8"/>
      <c r="D879" s="8"/>
      <c r="E879" s="9"/>
      <c r="F879" s="10"/>
      <c r="G879" s="9"/>
      <c r="H879" s="11"/>
      <c r="I879" s="9" t="s">
        <v>13</v>
      </c>
      <c r="J879" s="35"/>
    </row>
    <row r="880">
      <c r="A880" s="34" t="s">
        <v>204</v>
      </c>
      <c r="B880" s="11"/>
      <c r="C880" s="8"/>
      <c r="D880" s="8"/>
      <c r="E880" s="9"/>
      <c r="F880" s="10"/>
      <c r="G880" s="9"/>
      <c r="H880" s="11"/>
      <c r="I880" s="9" t="s">
        <v>13</v>
      </c>
      <c r="J880" s="35"/>
    </row>
    <row r="881">
      <c r="A881" s="34" t="s">
        <v>204</v>
      </c>
      <c r="B881" s="11"/>
      <c r="C881" s="8"/>
      <c r="D881" s="8"/>
      <c r="E881" s="9"/>
      <c r="F881" s="10"/>
      <c r="G881" s="9"/>
      <c r="H881" s="11"/>
      <c r="I881" s="9" t="s">
        <v>13</v>
      </c>
      <c r="J881" s="35"/>
    </row>
    <row r="882">
      <c r="A882" s="34" t="s">
        <v>204</v>
      </c>
      <c r="B882" s="11"/>
      <c r="C882" s="8"/>
      <c r="D882" s="8"/>
      <c r="E882" s="9"/>
      <c r="F882" s="10"/>
      <c r="G882" s="9"/>
      <c r="H882" s="11"/>
      <c r="I882" s="9" t="s">
        <v>13</v>
      </c>
      <c r="J882" s="35"/>
    </row>
    <row r="883">
      <c r="A883" s="34" t="s">
        <v>204</v>
      </c>
      <c r="B883" s="11"/>
      <c r="C883" s="8"/>
      <c r="D883" s="8"/>
      <c r="E883" s="9"/>
      <c r="F883" s="10"/>
      <c r="G883" s="9"/>
      <c r="H883" s="11"/>
      <c r="I883" s="9" t="s">
        <v>13</v>
      </c>
      <c r="J883" s="35"/>
    </row>
    <row r="884">
      <c r="A884" s="34" t="s">
        <v>204</v>
      </c>
      <c r="B884" s="11"/>
      <c r="C884" s="8"/>
      <c r="D884" s="8"/>
      <c r="E884" s="9"/>
      <c r="F884" s="10"/>
      <c r="G884" s="9"/>
      <c r="H884" s="11"/>
      <c r="I884" s="9" t="s">
        <v>13</v>
      </c>
      <c r="J884" s="35"/>
    </row>
    <row r="885">
      <c r="A885" s="34" t="s">
        <v>204</v>
      </c>
      <c r="B885" s="11"/>
      <c r="C885" s="8"/>
      <c r="D885" s="8"/>
      <c r="E885" s="9"/>
      <c r="F885" s="10"/>
      <c r="G885" s="9"/>
      <c r="H885" s="11"/>
      <c r="I885" s="9" t="s">
        <v>13</v>
      </c>
      <c r="J885" s="35"/>
    </row>
    <row r="886">
      <c r="A886" s="34" t="s">
        <v>204</v>
      </c>
      <c r="B886" s="11"/>
      <c r="C886" s="8"/>
      <c r="D886" s="8"/>
      <c r="E886" s="9"/>
      <c r="F886" s="10"/>
      <c r="G886" s="9"/>
      <c r="H886" s="11"/>
      <c r="I886" s="9" t="s">
        <v>13</v>
      </c>
      <c r="J886" s="35"/>
    </row>
    <row r="887">
      <c r="A887" s="34" t="s">
        <v>204</v>
      </c>
      <c r="B887" s="11"/>
      <c r="C887" s="8"/>
      <c r="D887" s="8"/>
      <c r="E887" s="9"/>
      <c r="F887" s="10"/>
      <c r="G887" s="9"/>
      <c r="H887" s="11"/>
      <c r="I887" s="9" t="s">
        <v>13</v>
      </c>
      <c r="J887" s="35"/>
    </row>
    <row r="888">
      <c r="A888" s="34" t="s">
        <v>204</v>
      </c>
      <c r="B888" s="11"/>
      <c r="C888" s="8"/>
      <c r="D888" s="8"/>
      <c r="E888" s="9"/>
      <c r="F888" s="10"/>
      <c r="G888" s="9"/>
      <c r="H888" s="11"/>
      <c r="I888" s="9" t="s">
        <v>13</v>
      </c>
      <c r="J888" s="35"/>
    </row>
    <row r="889">
      <c r="A889" s="34" t="s">
        <v>204</v>
      </c>
      <c r="B889" s="11"/>
      <c r="C889" s="8"/>
      <c r="D889" s="8"/>
      <c r="E889" s="9"/>
      <c r="F889" s="10"/>
      <c r="G889" s="9"/>
      <c r="H889" s="11"/>
      <c r="I889" s="9" t="s">
        <v>13</v>
      </c>
      <c r="J889" s="35"/>
    </row>
    <row r="890">
      <c r="A890" s="34" t="s">
        <v>204</v>
      </c>
      <c r="B890" s="11"/>
      <c r="C890" s="8"/>
      <c r="D890" s="8"/>
      <c r="E890" s="9"/>
      <c r="F890" s="10"/>
      <c r="G890" s="9"/>
      <c r="H890" s="11"/>
      <c r="I890" s="9" t="s">
        <v>13</v>
      </c>
      <c r="J890" s="35"/>
    </row>
    <row r="891">
      <c r="A891" s="34" t="s">
        <v>204</v>
      </c>
      <c r="B891" s="11"/>
      <c r="C891" s="8"/>
      <c r="D891" s="8"/>
      <c r="E891" s="9"/>
      <c r="F891" s="10"/>
      <c r="G891" s="9"/>
      <c r="H891" s="11"/>
      <c r="I891" s="9" t="s">
        <v>13</v>
      </c>
      <c r="J891" s="35"/>
    </row>
    <row r="892">
      <c r="A892" s="34" t="s">
        <v>204</v>
      </c>
      <c r="B892" s="11"/>
      <c r="C892" s="8"/>
      <c r="D892" s="8"/>
      <c r="E892" s="9"/>
      <c r="F892" s="10"/>
      <c r="G892" s="9"/>
      <c r="H892" s="11"/>
      <c r="I892" s="9" t="s">
        <v>13</v>
      </c>
      <c r="J892" s="35"/>
    </row>
    <row r="893">
      <c r="A893" s="34" t="s">
        <v>204</v>
      </c>
      <c r="B893" s="11"/>
      <c r="C893" s="8"/>
      <c r="D893" s="8"/>
      <c r="E893" s="9"/>
      <c r="F893" s="10"/>
      <c r="G893" s="9"/>
      <c r="H893" s="11"/>
      <c r="I893" s="9" t="s">
        <v>13</v>
      </c>
      <c r="J893" s="35"/>
    </row>
    <row r="894">
      <c r="A894" s="34" t="s">
        <v>204</v>
      </c>
      <c r="B894" s="11"/>
      <c r="C894" s="8"/>
      <c r="D894" s="8"/>
      <c r="E894" s="9"/>
      <c r="F894" s="10"/>
      <c r="G894" s="9"/>
      <c r="H894" s="11"/>
      <c r="I894" s="9" t="s">
        <v>13</v>
      </c>
      <c r="J894" s="35"/>
    </row>
    <row r="895">
      <c r="A895" s="34" t="s">
        <v>204</v>
      </c>
      <c r="B895" s="11"/>
      <c r="C895" s="8"/>
      <c r="D895" s="8"/>
      <c r="E895" s="9"/>
      <c r="F895" s="10"/>
      <c r="G895" s="9"/>
      <c r="H895" s="11"/>
      <c r="I895" s="9" t="s">
        <v>13</v>
      </c>
      <c r="J895" s="35"/>
    </row>
    <row r="896">
      <c r="A896" s="34" t="s">
        <v>204</v>
      </c>
      <c r="B896" s="11"/>
      <c r="C896" s="8"/>
      <c r="D896" s="8"/>
      <c r="E896" s="9"/>
      <c r="F896" s="10"/>
      <c r="G896" s="9"/>
      <c r="H896" s="11"/>
      <c r="I896" s="9" t="s">
        <v>13</v>
      </c>
      <c r="J896" s="35"/>
    </row>
    <row r="897">
      <c r="A897" s="34" t="s">
        <v>204</v>
      </c>
      <c r="B897" s="11"/>
      <c r="C897" s="8"/>
      <c r="D897" s="8"/>
      <c r="E897" s="9"/>
      <c r="F897" s="10"/>
      <c r="G897" s="9"/>
      <c r="H897" s="11"/>
      <c r="I897" s="9" t="s">
        <v>13</v>
      </c>
      <c r="J897" s="35"/>
    </row>
    <row r="898">
      <c r="A898" s="34" t="s">
        <v>204</v>
      </c>
      <c r="B898" s="11"/>
      <c r="C898" s="8"/>
      <c r="D898" s="8"/>
      <c r="E898" s="9"/>
      <c r="F898" s="10"/>
      <c r="G898" s="9"/>
      <c r="H898" s="11"/>
      <c r="I898" s="9" t="s">
        <v>13</v>
      </c>
      <c r="J898" s="35"/>
    </row>
    <row r="899">
      <c r="A899" s="34" t="s">
        <v>204</v>
      </c>
      <c r="B899" s="11"/>
      <c r="C899" s="8"/>
      <c r="D899" s="8"/>
      <c r="E899" s="9"/>
      <c r="F899" s="10"/>
      <c r="G899" s="9"/>
      <c r="H899" s="11"/>
      <c r="I899" s="9" t="s">
        <v>13</v>
      </c>
      <c r="J899" s="35"/>
    </row>
    <row r="900">
      <c r="A900" s="34" t="s">
        <v>204</v>
      </c>
      <c r="B900" s="11"/>
      <c r="C900" s="8"/>
      <c r="D900" s="8"/>
      <c r="E900" s="9"/>
      <c r="F900" s="10"/>
      <c r="G900" s="9"/>
      <c r="H900" s="11"/>
      <c r="I900" s="9" t="s">
        <v>13</v>
      </c>
      <c r="J900" s="35"/>
    </row>
    <row r="901">
      <c r="A901" s="34" t="s">
        <v>204</v>
      </c>
      <c r="B901" s="11"/>
      <c r="C901" s="8"/>
      <c r="D901" s="8"/>
      <c r="E901" s="9"/>
      <c r="F901" s="10"/>
      <c r="G901" s="9"/>
      <c r="H901" s="11"/>
      <c r="I901" s="9" t="s">
        <v>13</v>
      </c>
      <c r="J901" s="35"/>
    </row>
    <row r="902">
      <c r="A902" s="34" t="s">
        <v>204</v>
      </c>
      <c r="B902" s="11"/>
      <c r="C902" s="8"/>
      <c r="D902" s="8"/>
      <c r="E902" s="9"/>
      <c r="F902" s="10"/>
      <c r="G902" s="9"/>
      <c r="H902" s="11"/>
      <c r="I902" s="9" t="s">
        <v>13</v>
      </c>
      <c r="J902" s="35"/>
    </row>
    <row r="903">
      <c r="A903" s="34" t="s">
        <v>204</v>
      </c>
      <c r="B903" s="11"/>
      <c r="C903" s="8"/>
      <c r="D903" s="8"/>
      <c r="E903" s="9"/>
      <c r="F903" s="10"/>
      <c r="G903" s="9"/>
      <c r="H903" s="11"/>
      <c r="I903" s="9" t="s">
        <v>13</v>
      </c>
      <c r="J903" s="35"/>
    </row>
    <row r="904">
      <c r="A904" s="34" t="s">
        <v>204</v>
      </c>
      <c r="B904" s="11"/>
      <c r="C904" s="8"/>
      <c r="D904" s="8"/>
      <c r="E904" s="9"/>
      <c r="F904" s="10"/>
      <c r="G904" s="9"/>
      <c r="H904" s="11"/>
      <c r="I904" s="9" t="s">
        <v>13</v>
      </c>
      <c r="J904" s="35"/>
    </row>
    <row r="905">
      <c r="A905" s="34" t="s">
        <v>204</v>
      </c>
      <c r="B905" s="11"/>
      <c r="C905" s="8"/>
      <c r="D905" s="8"/>
      <c r="E905" s="9"/>
      <c r="F905" s="10"/>
      <c r="G905" s="9"/>
      <c r="H905" s="11"/>
      <c r="I905" s="9" t="s">
        <v>13</v>
      </c>
      <c r="J905" s="35"/>
    </row>
    <row r="906">
      <c r="A906" s="34" t="s">
        <v>204</v>
      </c>
      <c r="B906" s="11"/>
      <c r="C906" s="8"/>
      <c r="D906" s="8"/>
      <c r="E906" s="9"/>
      <c r="F906" s="10"/>
      <c r="G906" s="9"/>
      <c r="H906" s="11"/>
      <c r="I906" s="9" t="s">
        <v>13</v>
      </c>
      <c r="J906" s="35"/>
    </row>
    <row r="907">
      <c r="A907" s="34" t="s">
        <v>204</v>
      </c>
      <c r="B907" s="11"/>
      <c r="C907" s="8"/>
      <c r="D907" s="8"/>
      <c r="E907" s="9"/>
      <c r="F907" s="10"/>
      <c r="G907" s="9"/>
      <c r="H907" s="11"/>
      <c r="I907" s="9" t="s">
        <v>13</v>
      </c>
      <c r="J907" s="35"/>
    </row>
    <row r="908">
      <c r="A908" s="34" t="s">
        <v>204</v>
      </c>
      <c r="B908" s="11"/>
      <c r="C908" s="8"/>
      <c r="D908" s="8"/>
      <c r="E908" s="9"/>
      <c r="F908" s="10"/>
      <c r="G908" s="9"/>
      <c r="H908" s="11"/>
      <c r="I908" s="9" t="s">
        <v>13</v>
      </c>
      <c r="J908" s="35"/>
    </row>
    <row r="909">
      <c r="A909" s="34" t="s">
        <v>204</v>
      </c>
      <c r="B909" s="11"/>
      <c r="C909" s="8"/>
      <c r="D909" s="8"/>
      <c r="E909" s="9"/>
      <c r="F909" s="10"/>
      <c r="G909" s="9"/>
      <c r="H909" s="11"/>
      <c r="I909" s="9" t="s">
        <v>13</v>
      </c>
      <c r="J909" s="35"/>
    </row>
    <row r="910">
      <c r="A910" s="34" t="s">
        <v>204</v>
      </c>
      <c r="B910" s="11"/>
      <c r="C910" s="8"/>
      <c r="D910" s="8"/>
      <c r="E910" s="9"/>
      <c r="F910" s="10"/>
      <c r="G910" s="9"/>
      <c r="H910" s="11"/>
      <c r="I910" s="9" t="s">
        <v>13</v>
      </c>
      <c r="J910" s="35"/>
    </row>
    <row r="911">
      <c r="A911" s="34" t="s">
        <v>204</v>
      </c>
      <c r="B911" s="11"/>
      <c r="C911" s="8"/>
      <c r="D911" s="8"/>
      <c r="E911" s="9"/>
      <c r="F911" s="10"/>
      <c r="G911" s="9"/>
      <c r="H911" s="11"/>
      <c r="I911" s="9" t="s">
        <v>13</v>
      </c>
      <c r="J911" s="35"/>
    </row>
    <row r="912">
      <c r="A912" s="34" t="s">
        <v>204</v>
      </c>
      <c r="B912" s="11"/>
      <c r="C912" s="8"/>
      <c r="D912" s="8"/>
      <c r="E912" s="9"/>
      <c r="F912" s="10"/>
      <c r="G912" s="9"/>
      <c r="H912" s="11"/>
      <c r="I912" s="9" t="s">
        <v>13</v>
      </c>
      <c r="J912" s="35"/>
    </row>
    <row r="913">
      <c r="A913" s="34" t="s">
        <v>204</v>
      </c>
      <c r="B913" s="11"/>
      <c r="C913" s="8"/>
      <c r="D913" s="8"/>
      <c r="E913" s="9"/>
      <c r="F913" s="10"/>
      <c r="G913" s="9"/>
      <c r="H913" s="11"/>
      <c r="I913" s="9" t="s">
        <v>13</v>
      </c>
      <c r="J913" s="35"/>
    </row>
    <row r="914">
      <c r="A914" s="34" t="s">
        <v>204</v>
      </c>
      <c r="B914" s="11"/>
      <c r="C914" s="8"/>
      <c r="D914" s="8"/>
      <c r="E914" s="9"/>
      <c r="F914" s="10"/>
      <c r="G914" s="9"/>
      <c r="H914" s="11"/>
      <c r="I914" s="9" t="s">
        <v>13</v>
      </c>
      <c r="J914" s="35"/>
    </row>
    <row r="915">
      <c r="A915" s="34" t="s">
        <v>204</v>
      </c>
      <c r="B915" s="11"/>
      <c r="C915" s="8"/>
      <c r="D915" s="8"/>
      <c r="E915" s="9"/>
      <c r="F915" s="10"/>
      <c r="G915" s="9"/>
      <c r="H915" s="11"/>
      <c r="I915" s="9" t="s">
        <v>13</v>
      </c>
      <c r="J915" s="35"/>
    </row>
    <row r="916">
      <c r="A916" s="34" t="s">
        <v>204</v>
      </c>
      <c r="B916" s="11"/>
      <c r="C916" s="8"/>
      <c r="D916" s="8"/>
      <c r="E916" s="9"/>
      <c r="F916" s="10"/>
      <c r="G916" s="9"/>
      <c r="H916" s="11"/>
      <c r="I916" s="9" t="s">
        <v>13</v>
      </c>
      <c r="J916" s="35"/>
    </row>
    <row r="917">
      <c r="A917" s="34" t="s">
        <v>204</v>
      </c>
      <c r="B917" s="11"/>
      <c r="C917" s="8"/>
      <c r="D917" s="8"/>
      <c r="E917" s="9"/>
      <c r="F917" s="10"/>
      <c r="G917" s="9"/>
      <c r="H917" s="11"/>
      <c r="I917" s="9" t="s">
        <v>13</v>
      </c>
      <c r="J917" s="35"/>
    </row>
    <row r="918">
      <c r="A918" s="34" t="s">
        <v>204</v>
      </c>
      <c r="B918" s="11"/>
      <c r="C918" s="8"/>
      <c r="D918" s="8"/>
      <c r="E918" s="9"/>
      <c r="F918" s="10"/>
      <c r="G918" s="9"/>
      <c r="H918" s="11"/>
      <c r="I918" s="9" t="s">
        <v>13</v>
      </c>
      <c r="J918" s="35"/>
    </row>
    <row r="919">
      <c r="A919" s="34" t="s">
        <v>204</v>
      </c>
      <c r="B919" s="11"/>
      <c r="C919" s="8"/>
      <c r="D919" s="8"/>
      <c r="E919" s="9"/>
      <c r="F919" s="10"/>
      <c r="G919" s="9"/>
      <c r="H919" s="11"/>
      <c r="I919" s="9" t="s">
        <v>13</v>
      </c>
      <c r="J919" s="35"/>
    </row>
    <row r="920">
      <c r="A920" s="34" t="s">
        <v>204</v>
      </c>
      <c r="B920" s="11"/>
      <c r="C920" s="8"/>
      <c r="D920" s="8"/>
      <c r="E920" s="9"/>
      <c r="F920" s="10"/>
      <c r="G920" s="9"/>
      <c r="H920" s="11"/>
      <c r="I920" s="9" t="s">
        <v>13</v>
      </c>
      <c r="J920" s="35"/>
    </row>
    <row r="921">
      <c r="A921" s="34" t="s">
        <v>204</v>
      </c>
      <c r="B921" s="11"/>
      <c r="C921" s="8"/>
      <c r="D921" s="8"/>
      <c r="E921" s="9"/>
      <c r="F921" s="10"/>
      <c r="G921" s="9"/>
      <c r="H921" s="11"/>
      <c r="I921" s="9" t="s">
        <v>13</v>
      </c>
      <c r="J921" s="35"/>
    </row>
    <row r="922">
      <c r="A922" s="34" t="s">
        <v>204</v>
      </c>
      <c r="B922" s="11"/>
      <c r="C922" s="8"/>
      <c r="D922" s="8"/>
      <c r="E922" s="9"/>
      <c r="F922" s="10"/>
      <c r="G922" s="9"/>
      <c r="H922" s="11"/>
      <c r="I922" s="9" t="s">
        <v>13</v>
      </c>
      <c r="J922" s="35"/>
    </row>
    <row r="923">
      <c r="A923" s="34" t="s">
        <v>204</v>
      </c>
      <c r="B923" s="11"/>
      <c r="C923" s="8"/>
      <c r="D923" s="8"/>
      <c r="E923" s="9"/>
      <c r="F923" s="10"/>
      <c r="G923" s="9"/>
      <c r="H923" s="11"/>
      <c r="I923" s="9" t="s">
        <v>13</v>
      </c>
      <c r="J923" s="35"/>
    </row>
    <row r="924">
      <c r="A924" s="34" t="s">
        <v>204</v>
      </c>
      <c r="B924" s="11"/>
      <c r="C924" s="8"/>
      <c r="D924" s="8"/>
      <c r="E924" s="9"/>
      <c r="F924" s="10"/>
      <c r="G924" s="9"/>
      <c r="H924" s="11"/>
      <c r="I924" s="9" t="s">
        <v>13</v>
      </c>
      <c r="J924" s="35"/>
    </row>
    <row r="925">
      <c r="A925" s="34" t="s">
        <v>204</v>
      </c>
      <c r="B925" s="11"/>
      <c r="C925" s="8"/>
      <c r="D925" s="8"/>
      <c r="E925" s="9"/>
      <c r="F925" s="10"/>
      <c r="G925" s="9"/>
      <c r="H925" s="11"/>
      <c r="I925" s="9" t="s">
        <v>13</v>
      </c>
      <c r="J925" s="35"/>
    </row>
    <row r="926">
      <c r="A926" s="34" t="s">
        <v>204</v>
      </c>
      <c r="B926" s="11"/>
      <c r="C926" s="8"/>
      <c r="D926" s="8"/>
      <c r="E926" s="9"/>
      <c r="F926" s="10"/>
      <c r="G926" s="9"/>
      <c r="H926" s="11"/>
      <c r="I926" s="9" t="s">
        <v>13</v>
      </c>
      <c r="J926" s="35"/>
    </row>
    <row r="927">
      <c r="A927" s="34" t="s">
        <v>204</v>
      </c>
      <c r="B927" s="11"/>
      <c r="C927" s="8"/>
      <c r="D927" s="8"/>
      <c r="E927" s="9"/>
      <c r="F927" s="10"/>
      <c r="G927" s="9"/>
      <c r="H927" s="11"/>
      <c r="I927" s="9" t="s">
        <v>13</v>
      </c>
      <c r="J927" s="35"/>
    </row>
    <row r="928">
      <c r="A928" s="34" t="s">
        <v>204</v>
      </c>
      <c r="B928" s="11"/>
      <c r="C928" s="8"/>
      <c r="D928" s="8"/>
      <c r="E928" s="9"/>
      <c r="F928" s="10"/>
      <c r="G928" s="9"/>
      <c r="H928" s="11"/>
      <c r="I928" s="9" t="s">
        <v>13</v>
      </c>
      <c r="J928" s="35"/>
    </row>
    <row r="929">
      <c r="A929" s="34" t="s">
        <v>204</v>
      </c>
      <c r="B929" s="11"/>
      <c r="C929" s="8"/>
      <c r="D929" s="8"/>
      <c r="E929" s="9"/>
      <c r="F929" s="10"/>
      <c r="G929" s="9"/>
      <c r="H929" s="11"/>
      <c r="I929" s="9" t="s">
        <v>13</v>
      </c>
      <c r="J929" s="35"/>
    </row>
    <row r="930">
      <c r="A930" s="34" t="s">
        <v>204</v>
      </c>
      <c r="B930" s="11"/>
      <c r="C930" s="8"/>
      <c r="D930" s="8"/>
      <c r="E930" s="9"/>
      <c r="F930" s="10"/>
      <c r="G930" s="9"/>
      <c r="H930" s="11"/>
      <c r="I930" s="9" t="s">
        <v>13</v>
      </c>
      <c r="J930" s="35"/>
    </row>
    <row r="931">
      <c r="A931" s="34" t="s">
        <v>204</v>
      </c>
      <c r="B931" s="11"/>
      <c r="C931" s="8"/>
      <c r="D931" s="8"/>
      <c r="E931" s="9"/>
      <c r="F931" s="10"/>
      <c r="G931" s="9"/>
      <c r="H931" s="11"/>
      <c r="I931" s="9" t="s">
        <v>13</v>
      </c>
      <c r="J931" s="35"/>
    </row>
    <row r="932">
      <c r="A932" s="34" t="s">
        <v>204</v>
      </c>
      <c r="B932" s="11"/>
      <c r="C932" s="8"/>
      <c r="D932" s="8"/>
      <c r="E932" s="9"/>
      <c r="F932" s="10"/>
      <c r="G932" s="9"/>
      <c r="H932" s="11"/>
      <c r="I932" s="9" t="s">
        <v>13</v>
      </c>
      <c r="J932" s="35"/>
    </row>
    <row r="933">
      <c r="A933" s="34" t="s">
        <v>204</v>
      </c>
      <c r="B933" s="11"/>
      <c r="C933" s="8"/>
      <c r="D933" s="8"/>
      <c r="E933" s="9"/>
      <c r="F933" s="10"/>
      <c r="G933" s="9"/>
      <c r="H933" s="11"/>
      <c r="I933" s="9" t="s">
        <v>13</v>
      </c>
      <c r="J933" s="35"/>
    </row>
    <row r="934">
      <c r="A934" s="34" t="s">
        <v>204</v>
      </c>
      <c r="B934" s="11"/>
      <c r="C934" s="8"/>
      <c r="D934" s="8"/>
      <c r="E934" s="9"/>
      <c r="F934" s="10"/>
      <c r="G934" s="9"/>
      <c r="H934" s="11"/>
      <c r="I934" s="9" t="s">
        <v>13</v>
      </c>
      <c r="J934" s="35"/>
    </row>
    <row r="935">
      <c r="A935" s="34" t="s">
        <v>204</v>
      </c>
      <c r="B935" s="11"/>
      <c r="C935" s="8"/>
      <c r="D935" s="8"/>
      <c r="E935" s="9"/>
      <c r="F935" s="10"/>
      <c r="G935" s="9"/>
      <c r="H935" s="11"/>
      <c r="I935" s="9" t="s">
        <v>13</v>
      </c>
      <c r="J935" s="35"/>
    </row>
    <row r="936">
      <c r="A936" s="34" t="s">
        <v>204</v>
      </c>
      <c r="B936" s="11"/>
      <c r="C936" s="8"/>
      <c r="D936" s="8"/>
      <c r="E936" s="9"/>
      <c r="F936" s="10"/>
      <c r="G936" s="9"/>
      <c r="H936" s="11"/>
      <c r="I936" s="9" t="s">
        <v>13</v>
      </c>
      <c r="J936" s="35"/>
    </row>
    <row r="937">
      <c r="A937" s="34" t="s">
        <v>204</v>
      </c>
      <c r="B937" s="11"/>
      <c r="C937" s="8"/>
      <c r="D937" s="8"/>
      <c r="E937" s="9"/>
      <c r="F937" s="10"/>
      <c r="G937" s="9"/>
      <c r="H937" s="11"/>
      <c r="I937" s="9" t="s">
        <v>13</v>
      </c>
      <c r="J937" s="35"/>
    </row>
    <row r="938">
      <c r="A938" s="34" t="s">
        <v>204</v>
      </c>
      <c r="B938" s="11"/>
      <c r="C938" s="8"/>
      <c r="D938" s="8"/>
      <c r="E938" s="9"/>
      <c r="F938" s="10"/>
      <c r="G938" s="9"/>
      <c r="H938" s="11"/>
      <c r="I938" s="9" t="s">
        <v>13</v>
      </c>
      <c r="J938" s="35"/>
    </row>
    <row r="939">
      <c r="A939" s="34" t="s">
        <v>204</v>
      </c>
      <c r="B939" s="11"/>
      <c r="C939" s="8"/>
      <c r="D939" s="8"/>
      <c r="E939" s="9"/>
      <c r="F939" s="10"/>
      <c r="G939" s="9"/>
      <c r="H939" s="11"/>
      <c r="I939" s="9" t="s">
        <v>13</v>
      </c>
      <c r="J939" s="35"/>
    </row>
    <row r="940">
      <c r="A940" s="34" t="s">
        <v>204</v>
      </c>
      <c r="B940" s="11"/>
      <c r="C940" s="8"/>
      <c r="D940" s="8"/>
      <c r="E940" s="9"/>
      <c r="F940" s="10"/>
      <c r="G940" s="9"/>
      <c r="H940" s="11"/>
      <c r="I940" s="9" t="s">
        <v>13</v>
      </c>
      <c r="J940" s="35"/>
    </row>
    <row r="941">
      <c r="A941" s="34" t="s">
        <v>204</v>
      </c>
      <c r="B941" s="11"/>
      <c r="C941" s="8"/>
      <c r="D941" s="8"/>
      <c r="E941" s="9"/>
      <c r="F941" s="10"/>
      <c r="G941" s="9"/>
      <c r="H941" s="11"/>
      <c r="I941" s="9" t="s">
        <v>13</v>
      </c>
      <c r="J941" s="35"/>
    </row>
    <row r="942">
      <c r="A942" s="34" t="s">
        <v>204</v>
      </c>
      <c r="B942" s="11"/>
      <c r="C942" s="8"/>
      <c r="D942" s="8"/>
      <c r="E942" s="9"/>
      <c r="F942" s="10"/>
      <c r="G942" s="9"/>
      <c r="H942" s="11"/>
      <c r="I942" s="9" t="s">
        <v>13</v>
      </c>
      <c r="J942" s="35"/>
    </row>
    <row r="943">
      <c r="A943" s="34" t="s">
        <v>204</v>
      </c>
      <c r="B943" s="11"/>
      <c r="C943" s="8"/>
      <c r="D943" s="8"/>
      <c r="E943" s="9"/>
      <c r="F943" s="10"/>
      <c r="G943" s="9"/>
      <c r="H943" s="11"/>
      <c r="I943" s="9" t="s">
        <v>13</v>
      </c>
      <c r="J943" s="35"/>
    </row>
    <row r="944">
      <c r="A944" s="34" t="s">
        <v>204</v>
      </c>
      <c r="B944" s="11"/>
      <c r="C944" s="8"/>
      <c r="D944" s="8"/>
      <c r="E944" s="9"/>
      <c r="F944" s="10"/>
      <c r="G944" s="9"/>
      <c r="H944" s="11"/>
      <c r="I944" s="9" t="s">
        <v>13</v>
      </c>
      <c r="J944" s="35"/>
    </row>
    <row r="945">
      <c r="A945" s="34" t="s">
        <v>204</v>
      </c>
      <c r="B945" s="11"/>
      <c r="C945" s="8"/>
      <c r="D945" s="8"/>
      <c r="E945" s="9"/>
      <c r="F945" s="10"/>
      <c r="G945" s="9"/>
      <c r="H945" s="11"/>
      <c r="I945" s="9" t="s">
        <v>13</v>
      </c>
      <c r="J945" s="35"/>
    </row>
    <row r="946">
      <c r="A946" s="34" t="s">
        <v>204</v>
      </c>
      <c r="B946" s="11"/>
      <c r="C946" s="8"/>
      <c r="D946" s="8"/>
      <c r="E946" s="9"/>
      <c r="F946" s="10"/>
      <c r="G946" s="9"/>
      <c r="H946" s="11"/>
      <c r="I946" s="9" t="s">
        <v>13</v>
      </c>
      <c r="J946" s="35"/>
    </row>
    <row r="947">
      <c r="A947" s="34" t="s">
        <v>204</v>
      </c>
      <c r="B947" s="11"/>
      <c r="C947" s="8"/>
      <c r="D947" s="8"/>
      <c r="E947" s="9"/>
      <c r="F947" s="10"/>
      <c r="G947" s="9"/>
      <c r="H947" s="11"/>
      <c r="I947" s="9" t="s">
        <v>13</v>
      </c>
      <c r="J947" s="35"/>
    </row>
    <row r="948">
      <c r="A948" s="34" t="s">
        <v>204</v>
      </c>
      <c r="B948" s="11"/>
      <c r="C948" s="8"/>
      <c r="D948" s="8"/>
      <c r="E948" s="9"/>
      <c r="F948" s="10"/>
      <c r="G948" s="9"/>
      <c r="H948" s="11"/>
      <c r="I948" s="9" t="s">
        <v>13</v>
      </c>
      <c r="J948" s="35"/>
    </row>
    <row r="949">
      <c r="A949" s="34" t="s">
        <v>204</v>
      </c>
      <c r="B949" s="11"/>
      <c r="C949" s="8"/>
      <c r="D949" s="8"/>
      <c r="E949" s="9"/>
      <c r="F949" s="10"/>
      <c r="G949" s="9"/>
      <c r="H949" s="11"/>
      <c r="I949" s="9" t="s">
        <v>13</v>
      </c>
      <c r="J949" s="35"/>
    </row>
    <row r="950">
      <c r="A950" s="34" t="s">
        <v>204</v>
      </c>
      <c r="B950" s="11"/>
      <c r="C950" s="8"/>
      <c r="D950" s="8"/>
      <c r="E950" s="9"/>
      <c r="F950" s="10"/>
      <c r="G950" s="9"/>
      <c r="H950" s="11"/>
      <c r="I950" s="9" t="s">
        <v>13</v>
      </c>
      <c r="J950" s="35"/>
    </row>
    <row r="951">
      <c r="A951" s="34" t="s">
        <v>204</v>
      </c>
      <c r="B951" s="11"/>
      <c r="C951" s="8"/>
      <c r="D951" s="8"/>
      <c r="E951" s="9"/>
      <c r="F951" s="10"/>
      <c r="G951" s="9"/>
      <c r="H951" s="11"/>
      <c r="I951" s="9" t="s">
        <v>13</v>
      </c>
      <c r="J951" s="35"/>
    </row>
    <row r="952">
      <c r="A952" s="34" t="s">
        <v>204</v>
      </c>
      <c r="B952" s="11"/>
      <c r="C952" s="8"/>
      <c r="D952" s="8"/>
      <c r="E952" s="9"/>
      <c r="F952" s="10"/>
      <c r="G952" s="9"/>
      <c r="H952" s="11"/>
      <c r="I952" s="9" t="s">
        <v>13</v>
      </c>
      <c r="J952" s="35"/>
    </row>
    <row r="953">
      <c r="A953" s="34" t="s">
        <v>204</v>
      </c>
      <c r="B953" s="11"/>
      <c r="C953" s="8"/>
      <c r="D953" s="8"/>
      <c r="E953" s="9"/>
      <c r="F953" s="10"/>
      <c r="G953" s="9"/>
      <c r="H953" s="11"/>
      <c r="I953" s="9" t="s">
        <v>13</v>
      </c>
      <c r="J953" s="35"/>
    </row>
    <row r="954">
      <c r="A954" s="34" t="s">
        <v>204</v>
      </c>
      <c r="B954" s="11"/>
      <c r="C954" s="8"/>
      <c r="D954" s="8"/>
      <c r="E954" s="9"/>
      <c r="F954" s="10"/>
      <c r="G954" s="9"/>
      <c r="H954" s="11"/>
      <c r="I954" s="9" t="s">
        <v>13</v>
      </c>
      <c r="J954" s="35"/>
    </row>
    <row r="955">
      <c r="A955" s="34" t="s">
        <v>204</v>
      </c>
      <c r="B955" s="11"/>
      <c r="C955" s="8"/>
      <c r="D955" s="8"/>
      <c r="E955" s="9"/>
      <c r="F955" s="10"/>
      <c r="G955" s="9"/>
      <c r="H955" s="11"/>
      <c r="I955" s="9" t="s">
        <v>13</v>
      </c>
      <c r="J955" s="35"/>
    </row>
    <row r="956">
      <c r="A956" s="34" t="s">
        <v>204</v>
      </c>
      <c r="B956" s="11"/>
      <c r="C956" s="8"/>
      <c r="D956" s="8"/>
      <c r="E956" s="9"/>
      <c r="F956" s="10"/>
      <c r="G956" s="9"/>
      <c r="H956" s="11"/>
      <c r="I956" s="9" t="s">
        <v>13</v>
      </c>
      <c r="J956" s="35"/>
    </row>
    <row r="957">
      <c r="A957" s="34" t="s">
        <v>204</v>
      </c>
      <c r="B957" s="11"/>
      <c r="C957" s="8"/>
      <c r="D957" s="8"/>
      <c r="E957" s="9"/>
      <c r="F957" s="10"/>
      <c r="G957" s="9"/>
      <c r="H957" s="11"/>
      <c r="I957" s="9" t="s">
        <v>13</v>
      </c>
      <c r="J957" s="35"/>
    </row>
    <row r="958">
      <c r="A958" s="34" t="s">
        <v>204</v>
      </c>
      <c r="B958" s="11"/>
      <c r="C958" s="8"/>
      <c r="D958" s="8"/>
      <c r="E958" s="9"/>
      <c r="F958" s="10"/>
      <c r="G958" s="9"/>
      <c r="H958" s="11"/>
      <c r="I958" s="9" t="s">
        <v>13</v>
      </c>
      <c r="J958" s="35"/>
    </row>
    <row r="959">
      <c r="A959" s="34" t="s">
        <v>204</v>
      </c>
      <c r="B959" s="11"/>
      <c r="C959" s="8"/>
      <c r="D959" s="8"/>
      <c r="E959" s="9"/>
      <c r="F959" s="10"/>
      <c r="G959" s="9"/>
      <c r="H959" s="11"/>
      <c r="I959" s="9" t="s">
        <v>13</v>
      </c>
      <c r="J959" s="35"/>
    </row>
    <row r="960">
      <c r="A960" s="34" t="s">
        <v>204</v>
      </c>
      <c r="B960" s="11"/>
      <c r="C960" s="8"/>
      <c r="D960" s="8"/>
      <c r="E960" s="9"/>
      <c r="F960" s="10"/>
      <c r="G960" s="9"/>
      <c r="H960" s="11"/>
      <c r="I960" s="9" t="s">
        <v>13</v>
      </c>
      <c r="J960" s="35"/>
    </row>
    <row r="961">
      <c r="A961" s="34" t="s">
        <v>204</v>
      </c>
      <c r="B961" s="11"/>
      <c r="C961" s="8"/>
      <c r="D961" s="8"/>
      <c r="E961" s="9"/>
      <c r="F961" s="10"/>
      <c r="G961" s="9"/>
      <c r="H961" s="11"/>
      <c r="I961" s="9" t="s">
        <v>13</v>
      </c>
      <c r="J961" s="35"/>
    </row>
    <row r="962">
      <c r="A962" s="34" t="s">
        <v>204</v>
      </c>
      <c r="B962" s="11"/>
      <c r="C962" s="8"/>
      <c r="D962" s="8"/>
      <c r="E962" s="9"/>
      <c r="F962" s="10"/>
      <c r="G962" s="9"/>
      <c r="H962" s="11"/>
      <c r="I962" s="9" t="s">
        <v>13</v>
      </c>
      <c r="J962" s="35"/>
    </row>
    <row r="963">
      <c r="A963" s="34" t="s">
        <v>204</v>
      </c>
      <c r="B963" s="11"/>
      <c r="C963" s="8"/>
      <c r="D963" s="8"/>
      <c r="E963" s="9"/>
      <c r="F963" s="10"/>
      <c r="G963" s="9"/>
      <c r="H963" s="11"/>
      <c r="I963" s="9" t="s">
        <v>13</v>
      </c>
      <c r="J963" s="35"/>
    </row>
    <row r="964">
      <c r="A964" s="34" t="s">
        <v>204</v>
      </c>
      <c r="B964" s="11"/>
      <c r="C964" s="8"/>
      <c r="D964" s="8"/>
      <c r="E964" s="9"/>
      <c r="F964" s="10"/>
      <c r="G964" s="9"/>
      <c r="H964" s="11"/>
      <c r="I964" s="9" t="s">
        <v>13</v>
      </c>
      <c r="J964" s="35"/>
    </row>
    <row r="965">
      <c r="A965" s="34" t="s">
        <v>204</v>
      </c>
      <c r="B965" s="11"/>
      <c r="C965" s="8"/>
      <c r="D965" s="8"/>
      <c r="E965" s="9"/>
      <c r="F965" s="10"/>
      <c r="G965" s="9"/>
      <c r="H965" s="11"/>
      <c r="I965" s="9" t="s">
        <v>13</v>
      </c>
      <c r="J965" s="35"/>
    </row>
    <row r="966">
      <c r="A966" s="34" t="s">
        <v>204</v>
      </c>
      <c r="B966" s="11"/>
      <c r="C966" s="8"/>
      <c r="D966" s="8"/>
      <c r="E966" s="9"/>
      <c r="F966" s="10"/>
      <c r="G966" s="9"/>
      <c r="H966" s="11"/>
      <c r="I966" s="9" t="s">
        <v>13</v>
      </c>
      <c r="J966" s="35"/>
    </row>
    <row r="967">
      <c r="A967" s="34" t="s">
        <v>204</v>
      </c>
      <c r="B967" s="11"/>
      <c r="C967" s="8"/>
      <c r="D967" s="8"/>
      <c r="E967" s="9"/>
      <c r="F967" s="10"/>
      <c r="G967" s="9"/>
      <c r="H967" s="11"/>
      <c r="I967" s="9" t="s">
        <v>13</v>
      </c>
      <c r="J967" s="35"/>
    </row>
    <row r="968">
      <c r="A968" s="34" t="s">
        <v>204</v>
      </c>
      <c r="B968" s="11"/>
      <c r="C968" s="8"/>
      <c r="D968" s="8"/>
      <c r="E968" s="9"/>
      <c r="F968" s="10"/>
      <c r="G968" s="9"/>
      <c r="H968" s="11"/>
      <c r="I968" s="9" t="s">
        <v>13</v>
      </c>
      <c r="J968" s="35"/>
    </row>
    <row r="969">
      <c r="A969" s="34" t="s">
        <v>204</v>
      </c>
      <c r="B969" s="11"/>
      <c r="C969" s="8"/>
      <c r="D969" s="8"/>
      <c r="E969" s="9"/>
      <c r="F969" s="10"/>
      <c r="G969" s="9"/>
      <c r="H969" s="11"/>
      <c r="I969" s="9" t="s">
        <v>13</v>
      </c>
      <c r="J969" s="35"/>
    </row>
    <row r="970">
      <c r="A970" s="34" t="s">
        <v>204</v>
      </c>
      <c r="B970" s="11"/>
      <c r="C970" s="8"/>
      <c r="D970" s="8"/>
      <c r="E970" s="9"/>
      <c r="F970" s="10"/>
      <c r="G970" s="9"/>
      <c r="H970" s="11"/>
      <c r="I970" s="9" t="s">
        <v>13</v>
      </c>
      <c r="J970" s="35"/>
    </row>
    <row r="971">
      <c r="A971" s="34" t="s">
        <v>204</v>
      </c>
      <c r="B971" s="11"/>
      <c r="C971" s="8"/>
      <c r="D971" s="8"/>
      <c r="E971" s="9"/>
      <c r="F971" s="10"/>
      <c r="G971" s="9"/>
      <c r="H971" s="11"/>
      <c r="I971" s="9" t="s">
        <v>13</v>
      </c>
      <c r="J971" s="35"/>
    </row>
    <row r="972">
      <c r="A972" s="34" t="s">
        <v>204</v>
      </c>
      <c r="B972" s="11"/>
      <c r="C972" s="8"/>
      <c r="D972" s="8"/>
      <c r="E972" s="9"/>
      <c r="F972" s="10"/>
      <c r="G972" s="9"/>
      <c r="H972" s="11"/>
      <c r="I972" s="9" t="s">
        <v>13</v>
      </c>
      <c r="J972" s="35"/>
    </row>
    <row r="973">
      <c r="A973" s="34" t="s">
        <v>204</v>
      </c>
      <c r="B973" s="11"/>
      <c r="C973" s="8"/>
      <c r="D973" s="8"/>
      <c r="E973" s="9"/>
      <c r="F973" s="10"/>
      <c r="G973" s="9"/>
      <c r="H973" s="11"/>
      <c r="I973" s="9" t="s">
        <v>13</v>
      </c>
      <c r="J973" s="35"/>
    </row>
    <row r="974">
      <c r="A974" s="34" t="s">
        <v>204</v>
      </c>
      <c r="B974" s="11"/>
      <c r="C974" s="8"/>
      <c r="D974" s="8"/>
      <c r="E974" s="9"/>
      <c r="F974" s="10"/>
      <c r="G974" s="9"/>
      <c r="H974" s="11"/>
      <c r="I974" s="9" t="s">
        <v>13</v>
      </c>
      <c r="J974" s="35"/>
    </row>
    <row r="975">
      <c r="A975" s="34" t="s">
        <v>204</v>
      </c>
      <c r="B975" s="11"/>
      <c r="C975" s="8"/>
      <c r="D975" s="8"/>
      <c r="E975" s="9"/>
      <c r="F975" s="10"/>
      <c r="G975" s="9"/>
      <c r="H975" s="11"/>
      <c r="I975" s="9" t="s">
        <v>13</v>
      </c>
      <c r="J975" s="35"/>
    </row>
    <row r="976">
      <c r="A976" s="34" t="s">
        <v>204</v>
      </c>
      <c r="B976" s="11"/>
      <c r="C976" s="8"/>
      <c r="D976" s="8"/>
      <c r="E976" s="9"/>
      <c r="F976" s="10"/>
      <c r="G976" s="9"/>
      <c r="H976" s="11"/>
      <c r="I976" s="9" t="s">
        <v>13</v>
      </c>
      <c r="J976" s="35"/>
    </row>
    <row r="977">
      <c r="A977" s="34" t="s">
        <v>204</v>
      </c>
      <c r="B977" s="11"/>
      <c r="C977" s="8"/>
      <c r="D977" s="8"/>
      <c r="E977" s="9"/>
      <c r="F977" s="10"/>
      <c r="G977" s="9"/>
      <c r="H977" s="11"/>
      <c r="I977" s="9" t="s">
        <v>13</v>
      </c>
      <c r="J977" s="35"/>
    </row>
    <row r="978">
      <c r="A978" s="34" t="s">
        <v>204</v>
      </c>
      <c r="B978" s="11"/>
      <c r="C978" s="8"/>
      <c r="D978" s="8"/>
      <c r="E978" s="9"/>
      <c r="F978" s="10"/>
      <c r="G978" s="9"/>
      <c r="H978" s="11"/>
      <c r="I978" s="9" t="s">
        <v>13</v>
      </c>
      <c r="J978" s="35"/>
    </row>
    <row r="979">
      <c r="A979" s="34" t="s">
        <v>204</v>
      </c>
      <c r="B979" s="11"/>
      <c r="C979" s="8"/>
      <c r="D979" s="8"/>
      <c r="E979" s="9"/>
      <c r="F979" s="10"/>
      <c r="G979" s="9"/>
      <c r="H979" s="11"/>
      <c r="I979" s="9" t="s">
        <v>13</v>
      </c>
      <c r="J979" s="35"/>
    </row>
    <row r="980">
      <c r="A980" s="34" t="s">
        <v>204</v>
      </c>
      <c r="B980" s="11"/>
      <c r="C980" s="8"/>
      <c r="D980" s="8"/>
      <c r="E980" s="9"/>
      <c r="F980" s="10"/>
      <c r="G980" s="9"/>
      <c r="H980" s="11"/>
      <c r="I980" s="9" t="s">
        <v>13</v>
      </c>
      <c r="J980" s="35"/>
    </row>
    <row r="981">
      <c r="A981" s="34" t="s">
        <v>204</v>
      </c>
      <c r="B981" s="11"/>
      <c r="C981" s="8"/>
      <c r="D981" s="8"/>
      <c r="E981" s="9"/>
      <c r="F981" s="10"/>
      <c r="G981" s="9"/>
      <c r="H981" s="11"/>
      <c r="I981" s="9" t="s">
        <v>13</v>
      </c>
      <c r="J981" s="35"/>
    </row>
    <row r="982">
      <c r="A982" s="34" t="s">
        <v>204</v>
      </c>
      <c r="B982" s="11"/>
      <c r="C982" s="8"/>
      <c r="D982" s="8"/>
      <c r="E982" s="9"/>
      <c r="F982" s="10"/>
      <c r="G982" s="9"/>
      <c r="H982" s="11"/>
      <c r="I982" s="9" t="s">
        <v>13</v>
      </c>
      <c r="J982" s="35"/>
    </row>
    <row r="983">
      <c r="A983" s="34" t="s">
        <v>204</v>
      </c>
      <c r="B983" s="11"/>
      <c r="C983" s="8"/>
      <c r="D983" s="8"/>
      <c r="E983" s="9"/>
      <c r="F983" s="10"/>
      <c r="G983" s="9"/>
      <c r="H983" s="11"/>
      <c r="I983" s="9" t="s">
        <v>13</v>
      </c>
      <c r="J983" s="35"/>
    </row>
    <row r="984">
      <c r="A984" s="34" t="s">
        <v>204</v>
      </c>
      <c r="B984" s="11"/>
      <c r="C984" s="8"/>
      <c r="D984" s="8"/>
      <c r="E984" s="9"/>
      <c r="F984" s="10"/>
      <c r="G984" s="9"/>
      <c r="H984" s="11"/>
      <c r="I984" s="9" t="s">
        <v>13</v>
      </c>
      <c r="J984" s="35"/>
    </row>
    <row r="985">
      <c r="A985" s="34" t="s">
        <v>204</v>
      </c>
      <c r="B985" s="11"/>
      <c r="C985" s="8"/>
      <c r="D985" s="8"/>
      <c r="E985" s="9"/>
      <c r="F985" s="10"/>
      <c r="G985" s="9"/>
      <c r="H985" s="11"/>
      <c r="I985" s="9" t="s">
        <v>13</v>
      </c>
      <c r="J985" s="35"/>
    </row>
    <row r="986">
      <c r="A986" s="34" t="s">
        <v>204</v>
      </c>
      <c r="B986" s="11"/>
      <c r="C986" s="8"/>
      <c r="D986" s="8"/>
      <c r="E986" s="9"/>
      <c r="F986" s="10"/>
      <c r="G986" s="9"/>
      <c r="H986" s="11"/>
      <c r="I986" s="9" t="s">
        <v>13</v>
      </c>
      <c r="J986" s="35"/>
    </row>
    <row r="987">
      <c r="A987" s="34" t="s">
        <v>204</v>
      </c>
      <c r="B987" s="11"/>
      <c r="C987" s="8"/>
      <c r="D987" s="8"/>
      <c r="E987" s="9"/>
      <c r="F987" s="10"/>
      <c r="G987" s="9"/>
      <c r="H987" s="11"/>
      <c r="I987" s="9" t="s">
        <v>13</v>
      </c>
      <c r="J987" s="35"/>
    </row>
    <row r="988">
      <c r="A988" s="34" t="s">
        <v>204</v>
      </c>
      <c r="B988" s="11"/>
      <c r="C988" s="8"/>
      <c r="D988" s="8"/>
      <c r="E988" s="9"/>
      <c r="F988" s="10"/>
      <c r="G988" s="9"/>
      <c r="H988" s="11"/>
      <c r="I988" s="9" t="s">
        <v>13</v>
      </c>
      <c r="J988" s="35"/>
    </row>
    <row r="989">
      <c r="A989" s="34" t="s">
        <v>204</v>
      </c>
      <c r="B989" s="11"/>
      <c r="C989" s="8"/>
      <c r="D989" s="8"/>
      <c r="E989" s="9"/>
      <c r="F989" s="10"/>
      <c r="G989" s="9"/>
      <c r="H989" s="11"/>
      <c r="I989" s="9" t="s">
        <v>13</v>
      </c>
      <c r="J989" s="35"/>
    </row>
    <row r="990">
      <c r="A990" s="34" t="s">
        <v>204</v>
      </c>
      <c r="B990" s="11"/>
      <c r="C990" s="8"/>
      <c r="D990" s="8"/>
      <c r="E990" s="9"/>
      <c r="F990" s="10"/>
      <c r="G990" s="9"/>
      <c r="H990" s="11"/>
      <c r="I990" s="9" t="s">
        <v>13</v>
      </c>
      <c r="J990" s="35"/>
    </row>
    <row r="991">
      <c r="A991" s="34" t="s">
        <v>204</v>
      </c>
      <c r="B991" s="11"/>
      <c r="C991" s="8"/>
      <c r="D991" s="8"/>
      <c r="E991" s="9"/>
      <c r="F991" s="10"/>
      <c r="G991" s="9"/>
      <c r="H991" s="11"/>
      <c r="I991" s="9" t="s">
        <v>13</v>
      </c>
      <c r="J991" s="35"/>
    </row>
    <row r="992">
      <c r="A992" s="34" t="s">
        <v>204</v>
      </c>
      <c r="B992" s="11"/>
      <c r="C992" s="8"/>
      <c r="D992" s="8"/>
      <c r="E992" s="9"/>
      <c r="F992" s="10"/>
      <c r="G992" s="9"/>
      <c r="H992" s="11"/>
      <c r="I992" s="9" t="s">
        <v>13</v>
      </c>
      <c r="J992" s="35"/>
    </row>
    <row r="993">
      <c r="A993" s="34" t="s">
        <v>204</v>
      </c>
      <c r="B993" s="11"/>
      <c r="C993" s="8"/>
      <c r="D993" s="8"/>
      <c r="E993" s="9"/>
      <c r="F993" s="10"/>
      <c r="G993" s="9"/>
      <c r="H993" s="11"/>
      <c r="I993" s="9" t="s">
        <v>13</v>
      </c>
      <c r="J993" s="35"/>
    </row>
    <row r="994">
      <c r="A994" s="34" t="s">
        <v>204</v>
      </c>
      <c r="B994" s="11"/>
      <c r="C994" s="8"/>
      <c r="D994" s="8"/>
      <c r="E994" s="9"/>
      <c r="F994" s="10"/>
      <c r="G994" s="9"/>
      <c r="H994" s="11"/>
      <c r="I994" s="9" t="s">
        <v>13</v>
      </c>
      <c r="J994" s="35"/>
    </row>
    <row r="995">
      <c r="A995" s="34" t="s">
        <v>204</v>
      </c>
      <c r="B995" s="11"/>
      <c r="C995" s="8"/>
      <c r="D995" s="8"/>
      <c r="E995" s="9"/>
      <c r="F995" s="10"/>
      <c r="G995" s="9"/>
      <c r="H995" s="11"/>
      <c r="I995" s="9" t="s">
        <v>13</v>
      </c>
      <c r="J995" s="35"/>
    </row>
    <row r="996">
      <c r="A996" s="34" t="s">
        <v>204</v>
      </c>
      <c r="B996" s="11"/>
      <c r="C996" s="8"/>
      <c r="D996" s="8"/>
      <c r="E996" s="9"/>
      <c r="F996" s="10"/>
      <c r="G996" s="9"/>
      <c r="H996" s="11"/>
      <c r="I996" s="9" t="s">
        <v>13</v>
      </c>
      <c r="J996" s="35"/>
    </row>
    <row r="997">
      <c r="A997" s="34" t="s">
        <v>204</v>
      </c>
      <c r="B997" s="11"/>
      <c r="C997" s="8"/>
      <c r="D997" s="8"/>
      <c r="E997" s="9"/>
      <c r="F997" s="10"/>
      <c r="G997" s="9"/>
      <c r="H997" s="11"/>
      <c r="I997" s="9" t="s">
        <v>13</v>
      </c>
      <c r="J997" s="35"/>
    </row>
    <row r="998">
      <c r="A998" s="34" t="s">
        <v>204</v>
      </c>
      <c r="B998" s="11"/>
      <c r="C998" s="8"/>
      <c r="D998" s="8"/>
      <c r="E998" s="9"/>
      <c r="F998" s="10"/>
      <c r="G998" s="9"/>
      <c r="H998" s="11"/>
      <c r="I998" s="9" t="s">
        <v>13</v>
      </c>
      <c r="J998" s="35"/>
    </row>
    <row r="999">
      <c r="A999" s="34" t="s">
        <v>204</v>
      </c>
      <c r="B999" s="11"/>
      <c r="C999" s="8"/>
      <c r="D999" s="8"/>
      <c r="E999" s="9"/>
      <c r="F999" s="10"/>
      <c r="G999" s="9"/>
      <c r="H999" s="11"/>
      <c r="I999" s="9" t="s">
        <v>13</v>
      </c>
      <c r="J999" s="35"/>
    </row>
    <row r="1000">
      <c r="A1000" s="34" t="s">
        <v>204</v>
      </c>
      <c r="B1000" s="11"/>
      <c r="C1000" s="8"/>
      <c r="D1000" s="8"/>
      <c r="E1000" s="9"/>
      <c r="F1000" s="10"/>
      <c r="G1000" s="9"/>
      <c r="H1000" s="11"/>
      <c r="I1000" s="9" t="s">
        <v>13</v>
      </c>
      <c r="J1000" s="35"/>
    </row>
    <row r="1001">
      <c r="A1001" s="34" t="s">
        <v>204</v>
      </c>
      <c r="B1001" s="11"/>
      <c r="C1001" s="8"/>
      <c r="D1001" s="8"/>
      <c r="E1001" s="9"/>
      <c r="F1001" s="10"/>
      <c r="G1001" s="9"/>
      <c r="H1001" s="11"/>
      <c r="I1001" s="9" t="s">
        <v>13</v>
      </c>
      <c r="J1001" s="35"/>
    </row>
    <row r="1002">
      <c r="A1002" s="34" t="s">
        <v>204</v>
      </c>
      <c r="B1002" s="11"/>
      <c r="C1002" s="8"/>
      <c r="D1002" s="8"/>
      <c r="E1002" s="9"/>
      <c r="F1002" s="10"/>
      <c r="G1002" s="9"/>
      <c r="H1002" s="11"/>
      <c r="I1002" s="9" t="s">
        <v>13</v>
      </c>
      <c r="J1002" s="35"/>
    </row>
    <row r="1003">
      <c r="A1003" s="34" t="s">
        <v>204</v>
      </c>
      <c r="B1003" s="11"/>
      <c r="C1003" s="8"/>
      <c r="D1003" s="8"/>
      <c r="E1003" s="9"/>
      <c r="F1003" s="10"/>
      <c r="G1003" s="9"/>
      <c r="H1003" s="11"/>
      <c r="I1003" s="9" t="s">
        <v>13</v>
      </c>
      <c r="J1003" s="35"/>
    </row>
    <row r="1004">
      <c r="A1004" s="34" t="s">
        <v>204</v>
      </c>
      <c r="B1004" s="11"/>
      <c r="C1004" s="8"/>
      <c r="D1004" s="8"/>
      <c r="E1004" s="9"/>
      <c r="F1004" s="10"/>
      <c r="G1004" s="9"/>
      <c r="H1004" s="11"/>
      <c r="I1004" s="9" t="s">
        <v>13</v>
      </c>
      <c r="J1004" s="35"/>
    </row>
    <row r="1005">
      <c r="A1005" s="34" t="s">
        <v>204</v>
      </c>
      <c r="B1005" s="11"/>
      <c r="C1005" s="8"/>
      <c r="D1005" s="8"/>
      <c r="E1005" s="9"/>
      <c r="F1005" s="10"/>
      <c r="G1005" s="9"/>
      <c r="H1005" s="11"/>
      <c r="I1005" s="9" t="s">
        <v>13</v>
      </c>
      <c r="J1005" s="35"/>
    </row>
    <row r="1006">
      <c r="A1006" s="34" t="s">
        <v>204</v>
      </c>
      <c r="B1006" s="11"/>
      <c r="C1006" s="8"/>
      <c r="D1006" s="8"/>
      <c r="E1006" s="9"/>
      <c r="F1006" s="10"/>
      <c r="G1006" s="9"/>
      <c r="H1006" s="11"/>
      <c r="I1006" s="9" t="s">
        <v>13</v>
      </c>
      <c r="J1006" s="35"/>
    </row>
    <row r="1007">
      <c r="A1007" s="34" t="s">
        <v>204</v>
      </c>
      <c r="B1007" s="11"/>
      <c r="C1007" s="8"/>
      <c r="D1007" s="8"/>
      <c r="E1007" s="9"/>
      <c r="F1007" s="10"/>
      <c r="G1007" s="9"/>
      <c r="H1007" s="11"/>
      <c r="I1007" s="9" t="s">
        <v>13</v>
      </c>
      <c r="J1007" s="35"/>
    </row>
    <row r="1008">
      <c r="A1008" s="34" t="s">
        <v>204</v>
      </c>
      <c r="B1008" s="11"/>
      <c r="C1008" s="8"/>
      <c r="D1008" s="8"/>
      <c r="E1008" s="9"/>
      <c r="F1008" s="10"/>
      <c r="G1008" s="9"/>
      <c r="H1008" s="11"/>
      <c r="I1008" s="9" t="s">
        <v>13</v>
      </c>
      <c r="J1008" s="35"/>
    </row>
    <row r="1009">
      <c r="A1009" s="34" t="s">
        <v>204</v>
      </c>
      <c r="B1009" s="11"/>
      <c r="C1009" s="8"/>
      <c r="D1009" s="8"/>
      <c r="E1009" s="9"/>
      <c r="F1009" s="10"/>
      <c r="G1009" s="9"/>
      <c r="H1009" s="11"/>
      <c r="I1009" s="9" t="s">
        <v>13</v>
      </c>
      <c r="J1009" s="35"/>
    </row>
    <row r="1010">
      <c r="A1010" s="34" t="s">
        <v>204</v>
      </c>
      <c r="B1010" s="11"/>
      <c r="C1010" s="8"/>
      <c r="D1010" s="8"/>
      <c r="E1010" s="9"/>
      <c r="F1010" s="10"/>
      <c r="G1010" s="9"/>
      <c r="H1010" s="11"/>
      <c r="I1010" s="9" t="s">
        <v>13</v>
      </c>
      <c r="J1010" s="35"/>
    </row>
    <row r="1011">
      <c r="A1011" s="34" t="s">
        <v>204</v>
      </c>
      <c r="B1011" s="11"/>
      <c r="C1011" s="8"/>
      <c r="D1011" s="8"/>
      <c r="E1011" s="9"/>
      <c r="F1011" s="10"/>
      <c r="G1011" s="9"/>
      <c r="H1011" s="11"/>
      <c r="I1011" s="9" t="s">
        <v>13</v>
      </c>
      <c r="J1011" s="35"/>
    </row>
    <row r="1012">
      <c r="A1012" s="34" t="s">
        <v>204</v>
      </c>
      <c r="B1012" s="11"/>
      <c r="C1012" s="8"/>
      <c r="D1012" s="8"/>
      <c r="E1012" s="9"/>
      <c r="F1012" s="10"/>
      <c r="G1012" s="9"/>
      <c r="H1012" s="11"/>
      <c r="I1012" s="9" t="s">
        <v>13</v>
      </c>
      <c r="J1012" s="35"/>
    </row>
    <row r="1013">
      <c r="A1013" s="34" t="s">
        <v>204</v>
      </c>
      <c r="B1013" s="11"/>
      <c r="C1013" s="8"/>
      <c r="D1013" s="8"/>
      <c r="E1013" s="9"/>
      <c r="F1013" s="10"/>
      <c r="G1013" s="9"/>
      <c r="H1013" s="11"/>
      <c r="I1013" s="9" t="s">
        <v>13</v>
      </c>
      <c r="J1013" s="35"/>
    </row>
    <row r="1014">
      <c r="A1014" s="34" t="s">
        <v>204</v>
      </c>
      <c r="B1014" s="11"/>
      <c r="C1014" s="8"/>
      <c r="D1014" s="8"/>
      <c r="E1014" s="9"/>
      <c r="F1014" s="10"/>
      <c r="G1014" s="9"/>
      <c r="H1014" s="11"/>
      <c r="I1014" s="9" t="s">
        <v>13</v>
      </c>
      <c r="J1014" s="35"/>
    </row>
    <row r="1015">
      <c r="A1015" s="34" t="s">
        <v>204</v>
      </c>
      <c r="B1015" s="11"/>
      <c r="C1015" s="8"/>
      <c r="D1015" s="8"/>
      <c r="E1015" s="9"/>
      <c r="F1015" s="10"/>
      <c r="G1015" s="9"/>
      <c r="H1015" s="11"/>
      <c r="I1015" s="9" t="s">
        <v>13</v>
      </c>
      <c r="J1015" s="35"/>
    </row>
    <row r="1016">
      <c r="A1016" s="34" t="s">
        <v>204</v>
      </c>
      <c r="B1016" s="11"/>
      <c r="C1016" s="8"/>
      <c r="D1016" s="8"/>
      <c r="E1016" s="9"/>
      <c r="F1016" s="10"/>
      <c r="G1016" s="9"/>
      <c r="H1016" s="11"/>
      <c r="I1016" s="9" t="s">
        <v>13</v>
      </c>
      <c r="J1016" s="35"/>
    </row>
    <row r="1017">
      <c r="A1017" s="34" t="s">
        <v>204</v>
      </c>
      <c r="B1017" s="11"/>
      <c r="C1017" s="8"/>
      <c r="D1017" s="8"/>
      <c r="E1017" s="9"/>
      <c r="F1017" s="10"/>
      <c r="G1017" s="9"/>
      <c r="H1017" s="11"/>
      <c r="I1017" s="9" t="s">
        <v>13</v>
      </c>
      <c r="J1017" s="35"/>
    </row>
    <row r="1018">
      <c r="A1018" s="34" t="s">
        <v>204</v>
      </c>
      <c r="B1018" s="11"/>
      <c r="C1018" s="8"/>
      <c r="D1018" s="8"/>
      <c r="E1018" s="9"/>
      <c r="F1018" s="10"/>
      <c r="G1018" s="9"/>
      <c r="H1018" s="11"/>
      <c r="I1018" s="9" t="s">
        <v>13</v>
      </c>
      <c r="J1018" s="35"/>
    </row>
    <row r="1019">
      <c r="A1019" s="34" t="s">
        <v>204</v>
      </c>
      <c r="B1019" s="11"/>
      <c r="C1019" s="8"/>
      <c r="D1019" s="8"/>
      <c r="E1019" s="9"/>
      <c r="F1019" s="10"/>
      <c r="G1019" s="9"/>
      <c r="H1019" s="11"/>
      <c r="I1019" s="9" t="s">
        <v>13</v>
      </c>
      <c r="J1019" s="35"/>
    </row>
    <row r="1020">
      <c r="A1020" s="34" t="s">
        <v>204</v>
      </c>
      <c r="B1020" s="11"/>
      <c r="C1020" s="8"/>
      <c r="D1020" s="8"/>
      <c r="E1020" s="9"/>
      <c r="F1020" s="10"/>
      <c r="G1020" s="9"/>
      <c r="H1020" s="11"/>
      <c r="I1020" s="9" t="s">
        <v>13</v>
      </c>
      <c r="J1020" s="35"/>
    </row>
    <row r="1021">
      <c r="A1021" s="34" t="s">
        <v>204</v>
      </c>
      <c r="B1021" s="11"/>
      <c r="C1021" s="8"/>
      <c r="D1021" s="8"/>
      <c r="E1021" s="9"/>
      <c r="F1021" s="10"/>
      <c r="G1021" s="9"/>
      <c r="H1021" s="11"/>
      <c r="I1021" s="9" t="s">
        <v>13</v>
      </c>
      <c r="J1021" s="35"/>
    </row>
    <row r="1022">
      <c r="A1022" s="34" t="s">
        <v>204</v>
      </c>
      <c r="B1022" s="11"/>
      <c r="C1022" s="8"/>
      <c r="D1022" s="8"/>
      <c r="E1022" s="9"/>
      <c r="F1022" s="10"/>
      <c r="G1022" s="9"/>
      <c r="H1022" s="11"/>
      <c r="I1022" s="9" t="s">
        <v>13</v>
      </c>
      <c r="J1022" s="35"/>
    </row>
    <row r="1023">
      <c r="A1023" s="34" t="s">
        <v>204</v>
      </c>
      <c r="B1023" s="11"/>
      <c r="C1023" s="8"/>
      <c r="D1023" s="8"/>
      <c r="E1023" s="9"/>
      <c r="F1023" s="10"/>
      <c r="G1023" s="9"/>
      <c r="H1023" s="11"/>
      <c r="I1023" s="9" t="s">
        <v>13</v>
      </c>
      <c r="J1023" s="35"/>
    </row>
    <row r="1024">
      <c r="A1024" s="34" t="s">
        <v>204</v>
      </c>
      <c r="B1024" s="11"/>
      <c r="C1024" s="8"/>
      <c r="D1024" s="8"/>
      <c r="E1024" s="9"/>
      <c r="F1024" s="10"/>
      <c r="G1024" s="9"/>
      <c r="H1024" s="11"/>
      <c r="I1024" s="9" t="s">
        <v>13</v>
      </c>
      <c r="J1024" s="35"/>
    </row>
    <row r="1025">
      <c r="A1025" s="34" t="s">
        <v>204</v>
      </c>
      <c r="B1025" s="11"/>
      <c r="C1025" s="8"/>
      <c r="D1025" s="8"/>
      <c r="E1025" s="9"/>
      <c r="F1025" s="10"/>
      <c r="G1025" s="9"/>
      <c r="H1025" s="11"/>
      <c r="I1025" s="9" t="s">
        <v>13</v>
      </c>
      <c r="J1025" s="35"/>
    </row>
    <row r="1026">
      <c r="A1026" s="34" t="s">
        <v>204</v>
      </c>
      <c r="B1026" s="11"/>
      <c r="C1026" s="8"/>
      <c r="D1026" s="8"/>
      <c r="E1026" s="9"/>
      <c r="F1026" s="10"/>
      <c r="G1026" s="9"/>
      <c r="H1026" s="11"/>
      <c r="I1026" s="9" t="s">
        <v>13</v>
      </c>
      <c r="J1026" s="35"/>
    </row>
    <row r="1027">
      <c r="A1027" s="34" t="s">
        <v>204</v>
      </c>
      <c r="B1027" s="11"/>
      <c r="C1027" s="8"/>
      <c r="D1027" s="8"/>
      <c r="E1027" s="9"/>
      <c r="F1027" s="10"/>
      <c r="G1027" s="9"/>
      <c r="H1027" s="11"/>
      <c r="I1027" s="9" t="s">
        <v>13</v>
      </c>
      <c r="J1027" s="35"/>
    </row>
    <row r="1028">
      <c r="A1028" s="34" t="s">
        <v>204</v>
      </c>
      <c r="B1028" s="11"/>
      <c r="C1028" s="8"/>
      <c r="D1028" s="8"/>
      <c r="E1028" s="9"/>
      <c r="F1028" s="10"/>
      <c r="G1028" s="9"/>
      <c r="H1028" s="11"/>
      <c r="I1028" s="9" t="s">
        <v>13</v>
      </c>
      <c r="J1028" s="35"/>
    </row>
    <row r="1029">
      <c r="A1029" s="34" t="s">
        <v>204</v>
      </c>
      <c r="B1029" s="11"/>
      <c r="C1029" s="8"/>
      <c r="D1029" s="8"/>
      <c r="E1029" s="9"/>
      <c r="F1029" s="10"/>
      <c r="G1029" s="9"/>
      <c r="H1029" s="11"/>
      <c r="I1029" s="9" t="s">
        <v>13</v>
      </c>
      <c r="J1029" s="35"/>
    </row>
    <row r="1030">
      <c r="A1030" s="34" t="s">
        <v>204</v>
      </c>
      <c r="B1030" s="11"/>
      <c r="C1030" s="8"/>
      <c r="D1030" s="8"/>
      <c r="E1030" s="9"/>
      <c r="F1030" s="10"/>
      <c r="G1030" s="9"/>
      <c r="H1030" s="11"/>
      <c r="I1030" s="9" t="s">
        <v>13</v>
      </c>
      <c r="J1030" s="35"/>
    </row>
    <row r="1031">
      <c r="A1031" s="34" t="s">
        <v>204</v>
      </c>
      <c r="B1031" s="11"/>
      <c r="C1031" s="8"/>
      <c r="D1031" s="8"/>
      <c r="E1031" s="9"/>
      <c r="F1031" s="10"/>
      <c r="G1031" s="9"/>
      <c r="H1031" s="11"/>
      <c r="I1031" s="9" t="s">
        <v>13</v>
      </c>
      <c r="J1031" s="35"/>
    </row>
    <row r="1032">
      <c r="A1032" s="34" t="s">
        <v>204</v>
      </c>
      <c r="B1032" s="11"/>
      <c r="C1032" s="8"/>
      <c r="D1032" s="8"/>
      <c r="E1032" s="9"/>
      <c r="F1032" s="10"/>
      <c r="G1032" s="9"/>
      <c r="H1032" s="11"/>
      <c r="I1032" s="9" t="s">
        <v>13</v>
      </c>
      <c r="J1032" s="35"/>
    </row>
    <row r="1033">
      <c r="A1033" s="34" t="s">
        <v>204</v>
      </c>
      <c r="B1033" s="11"/>
      <c r="C1033" s="8"/>
      <c r="D1033" s="8"/>
      <c r="E1033" s="9"/>
      <c r="F1033" s="10"/>
      <c r="G1033" s="9"/>
      <c r="H1033" s="11"/>
      <c r="I1033" s="9" t="s">
        <v>13</v>
      </c>
      <c r="J1033" s="35"/>
    </row>
    <row r="1034">
      <c r="A1034" s="34" t="s">
        <v>204</v>
      </c>
      <c r="B1034" s="11"/>
      <c r="C1034" s="8"/>
      <c r="D1034" s="8"/>
      <c r="E1034" s="9"/>
      <c r="F1034" s="10"/>
      <c r="G1034" s="9"/>
      <c r="H1034" s="11"/>
      <c r="I1034" s="9" t="s">
        <v>13</v>
      </c>
      <c r="J1034" s="35"/>
    </row>
    <row r="1035">
      <c r="A1035" s="34" t="s">
        <v>204</v>
      </c>
      <c r="B1035" s="11"/>
      <c r="C1035" s="8"/>
      <c r="D1035" s="8"/>
      <c r="E1035" s="9"/>
      <c r="F1035" s="10"/>
      <c r="G1035" s="9"/>
      <c r="H1035" s="11"/>
      <c r="I1035" s="9" t="s">
        <v>13</v>
      </c>
      <c r="J1035" s="35"/>
    </row>
    <row r="1036">
      <c r="A1036" s="34" t="s">
        <v>204</v>
      </c>
      <c r="B1036" s="11"/>
      <c r="C1036" s="8"/>
      <c r="D1036" s="8"/>
      <c r="E1036" s="9"/>
      <c r="F1036" s="10"/>
      <c r="G1036" s="9"/>
      <c r="H1036" s="11"/>
      <c r="I1036" s="9" t="s">
        <v>13</v>
      </c>
      <c r="J1036" s="35"/>
    </row>
    <row r="1037">
      <c r="A1037" s="34" t="s">
        <v>204</v>
      </c>
      <c r="B1037" s="11"/>
      <c r="C1037" s="8"/>
      <c r="D1037" s="8"/>
      <c r="E1037" s="9"/>
      <c r="F1037" s="10"/>
      <c r="G1037" s="9"/>
      <c r="H1037" s="11"/>
      <c r="I1037" s="9" t="s">
        <v>13</v>
      </c>
      <c r="J1037" s="35"/>
    </row>
    <row r="1038">
      <c r="A1038" s="34" t="s">
        <v>204</v>
      </c>
      <c r="B1038" s="11"/>
      <c r="C1038" s="8"/>
      <c r="D1038" s="8"/>
      <c r="E1038" s="9"/>
      <c r="F1038" s="10"/>
      <c r="G1038" s="9"/>
      <c r="H1038" s="11"/>
      <c r="I1038" s="9" t="s">
        <v>13</v>
      </c>
      <c r="J1038" s="35"/>
    </row>
    <row r="1039">
      <c r="A1039" s="34" t="s">
        <v>204</v>
      </c>
      <c r="B1039" s="11"/>
      <c r="C1039" s="8"/>
      <c r="D1039" s="8"/>
      <c r="E1039" s="9"/>
      <c r="F1039" s="10"/>
      <c r="G1039" s="9"/>
      <c r="H1039" s="11"/>
      <c r="I1039" s="9" t="s">
        <v>13</v>
      </c>
      <c r="J1039" s="35"/>
    </row>
    <row r="1040">
      <c r="A1040" s="34" t="s">
        <v>204</v>
      </c>
      <c r="B1040" s="11"/>
      <c r="C1040" s="8"/>
      <c r="D1040" s="8"/>
      <c r="E1040" s="9"/>
      <c r="F1040" s="10"/>
      <c r="G1040" s="9"/>
      <c r="H1040" s="11"/>
      <c r="I1040" s="9" t="s">
        <v>13</v>
      </c>
      <c r="J1040" s="35"/>
    </row>
    <row r="1041">
      <c r="A1041" s="34" t="s">
        <v>204</v>
      </c>
      <c r="B1041" s="11"/>
      <c r="C1041" s="8"/>
      <c r="D1041" s="8"/>
      <c r="E1041" s="9"/>
      <c r="F1041" s="10"/>
      <c r="G1041" s="9"/>
      <c r="H1041" s="11"/>
      <c r="I1041" s="9" t="s">
        <v>13</v>
      </c>
      <c r="J1041" s="35"/>
    </row>
    <row r="1042">
      <c r="A1042" s="34" t="s">
        <v>204</v>
      </c>
      <c r="B1042" s="11"/>
      <c r="C1042" s="8"/>
      <c r="D1042" s="8"/>
      <c r="E1042" s="9"/>
      <c r="F1042" s="10"/>
      <c r="G1042" s="9"/>
      <c r="H1042" s="11"/>
      <c r="I1042" s="9" t="s">
        <v>13</v>
      </c>
      <c r="J1042" s="35"/>
    </row>
    <row r="1043">
      <c r="A1043" s="34" t="s">
        <v>204</v>
      </c>
      <c r="B1043" s="11"/>
      <c r="C1043" s="8"/>
      <c r="D1043" s="8"/>
      <c r="E1043" s="9"/>
      <c r="F1043" s="10"/>
      <c r="G1043" s="9"/>
      <c r="H1043" s="11"/>
      <c r="I1043" s="9" t="s">
        <v>13</v>
      </c>
      <c r="J1043" s="35"/>
    </row>
    <row r="1044">
      <c r="A1044" s="34" t="s">
        <v>204</v>
      </c>
      <c r="B1044" s="11"/>
      <c r="C1044" s="8"/>
      <c r="D1044" s="8"/>
      <c r="E1044" s="9"/>
      <c r="F1044" s="10"/>
      <c r="G1044" s="9"/>
      <c r="H1044" s="11"/>
      <c r="I1044" s="9" t="s">
        <v>13</v>
      </c>
      <c r="J1044" s="35"/>
    </row>
    <row r="1045">
      <c r="A1045" s="34" t="s">
        <v>204</v>
      </c>
      <c r="B1045" s="11"/>
      <c r="C1045" s="8"/>
      <c r="D1045" s="8"/>
      <c r="E1045" s="9"/>
      <c r="F1045" s="10"/>
      <c r="G1045" s="9"/>
      <c r="H1045" s="11"/>
      <c r="I1045" s="9" t="s">
        <v>13</v>
      </c>
      <c r="J1045" s="35"/>
    </row>
    <row r="1046">
      <c r="A1046" s="34" t="s">
        <v>204</v>
      </c>
      <c r="B1046" s="11"/>
      <c r="C1046" s="8"/>
      <c r="D1046" s="8"/>
      <c r="E1046" s="9"/>
      <c r="F1046" s="10"/>
      <c r="G1046" s="9"/>
      <c r="H1046" s="11"/>
      <c r="I1046" s="9" t="s">
        <v>13</v>
      </c>
      <c r="J1046" s="35"/>
    </row>
    <row r="1047">
      <c r="A1047" s="34" t="s">
        <v>204</v>
      </c>
      <c r="B1047" s="11"/>
      <c r="C1047" s="8"/>
      <c r="D1047" s="8"/>
      <c r="E1047" s="9"/>
      <c r="F1047" s="10"/>
      <c r="G1047" s="9"/>
      <c r="H1047" s="11"/>
      <c r="I1047" s="9" t="s">
        <v>13</v>
      </c>
      <c r="J1047" s="35"/>
    </row>
    <row r="1048">
      <c r="A1048" s="34" t="s">
        <v>204</v>
      </c>
      <c r="B1048" s="11"/>
      <c r="C1048" s="8"/>
      <c r="D1048" s="8"/>
      <c r="E1048" s="9"/>
      <c r="F1048" s="10"/>
      <c r="G1048" s="9"/>
      <c r="H1048" s="11"/>
      <c r="I1048" s="9" t="s">
        <v>13</v>
      </c>
      <c r="J1048" s="35"/>
    </row>
    <row r="1049">
      <c r="A1049" s="34" t="s">
        <v>204</v>
      </c>
      <c r="B1049" s="11"/>
      <c r="C1049" s="8"/>
      <c r="D1049" s="8"/>
      <c r="E1049" s="9"/>
      <c r="F1049" s="10"/>
      <c r="G1049" s="9"/>
      <c r="H1049" s="11"/>
      <c r="I1049" s="9" t="s">
        <v>13</v>
      </c>
      <c r="J1049" s="35"/>
    </row>
    <row r="1050">
      <c r="A1050" s="34" t="s">
        <v>204</v>
      </c>
      <c r="B1050" s="11"/>
      <c r="C1050" s="8"/>
      <c r="D1050" s="8"/>
      <c r="E1050" s="9"/>
      <c r="F1050" s="10"/>
      <c r="G1050" s="9"/>
      <c r="H1050" s="11"/>
      <c r="I1050" s="9" t="s">
        <v>13</v>
      </c>
      <c r="J1050" s="35"/>
    </row>
    <row r="1051">
      <c r="A1051" s="34" t="s">
        <v>204</v>
      </c>
      <c r="B1051" s="11"/>
      <c r="C1051" s="8"/>
      <c r="D1051" s="8"/>
      <c r="E1051" s="9"/>
      <c r="F1051" s="10"/>
      <c r="G1051" s="9"/>
      <c r="H1051" s="11"/>
      <c r="I1051" s="9" t="s">
        <v>13</v>
      </c>
      <c r="J1051" s="35"/>
    </row>
    <row r="1052">
      <c r="A1052" s="34" t="s">
        <v>204</v>
      </c>
      <c r="B1052" s="11"/>
      <c r="C1052" s="8"/>
      <c r="D1052" s="8"/>
      <c r="E1052" s="9"/>
      <c r="F1052" s="10"/>
      <c r="G1052" s="9"/>
      <c r="H1052" s="11"/>
      <c r="I1052" s="9" t="s">
        <v>13</v>
      </c>
      <c r="J1052" s="35"/>
    </row>
    <row r="1053">
      <c r="A1053" s="34" t="s">
        <v>204</v>
      </c>
      <c r="B1053" s="11"/>
      <c r="C1053" s="8"/>
      <c r="D1053" s="8"/>
      <c r="E1053" s="9"/>
      <c r="F1053" s="10"/>
      <c r="G1053" s="9"/>
      <c r="H1053" s="11"/>
      <c r="I1053" s="9" t="s">
        <v>13</v>
      </c>
      <c r="J1053" s="35"/>
    </row>
    <row r="1054">
      <c r="A1054" s="34" t="s">
        <v>204</v>
      </c>
      <c r="B1054" s="11"/>
      <c r="C1054" s="8"/>
      <c r="D1054" s="8"/>
      <c r="E1054" s="9"/>
      <c r="F1054" s="10"/>
      <c r="G1054" s="9"/>
      <c r="H1054" s="11"/>
      <c r="I1054" s="9" t="s">
        <v>13</v>
      </c>
      <c r="J1054" s="35"/>
    </row>
    <row r="1055">
      <c r="A1055" s="34" t="s">
        <v>204</v>
      </c>
      <c r="B1055" s="11"/>
      <c r="C1055" s="8"/>
      <c r="D1055" s="8"/>
      <c r="E1055" s="9"/>
      <c r="F1055" s="10"/>
      <c r="G1055" s="9"/>
      <c r="H1055" s="11"/>
      <c r="I1055" s="9" t="s">
        <v>13</v>
      </c>
      <c r="J1055" s="35"/>
    </row>
    <row r="1056">
      <c r="A1056" s="34" t="s">
        <v>204</v>
      </c>
      <c r="B1056" s="11"/>
      <c r="C1056" s="8"/>
      <c r="D1056" s="8"/>
      <c r="E1056" s="9"/>
      <c r="F1056" s="10"/>
      <c r="G1056" s="9"/>
      <c r="H1056" s="11"/>
      <c r="I1056" s="9" t="s">
        <v>13</v>
      </c>
      <c r="J1056" s="35"/>
    </row>
    <row r="1057">
      <c r="A1057" s="34" t="s">
        <v>204</v>
      </c>
      <c r="B1057" s="11"/>
      <c r="C1057" s="8"/>
      <c r="D1057" s="8"/>
      <c r="E1057" s="9"/>
      <c r="F1057" s="10"/>
      <c r="G1057" s="9"/>
      <c r="H1057" s="11"/>
      <c r="I1057" s="9" t="s">
        <v>13</v>
      </c>
      <c r="J1057" s="35"/>
    </row>
    <row r="1058">
      <c r="A1058" s="34" t="s">
        <v>204</v>
      </c>
      <c r="B1058" s="11"/>
      <c r="C1058" s="8"/>
      <c r="D1058" s="8"/>
      <c r="E1058" s="9"/>
      <c r="F1058" s="10"/>
      <c r="G1058" s="9"/>
      <c r="H1058" s="11"/>
      <c r="I1058" s="9" t="s">
        <v>13</v>
      </c>
      <c r="J1058" s="35"/>
    </row>
    <row r="1059">
      <c r="A1059" s="34" t="s">
        <v>204</v>
      </c>
      <c r="B1059" s="11"/>
      <c r="C1059" s="8"/>
      <c r="D1059" s="8"/>
      <c r="E1059" s="9"/>
      <c r="F1059" s="10"/>
      <c r="G1059" s="9"/>
      <c r="H1059" s="11"/>
      <c r="I1059" s="9" t="s">
        <v>13</v>
      </c>
      <c r="J1059" s="35"/>
    </row>
    <row r="1060">
      <c r="A1060" s="34" t="s">
        <v>204</v>
      </c>
      <c r="B1060" s="11"/>
      <c r="C1060" s="8"/>
      <c r="D1060" s="8"/>
      <c r="E1060" s="9"/>
      <c r="F1060" s="10"/>
      <c r="G1060" s="9"/>
      <c r="H1060" s="11"/>
      <c r="I1060" s="9" t="s">
        <v>13</v>
      </c>
      <c r="J1060" s="35"/>
    </row>
    <row r="1061">
      <c r="A1061" s="34" t="s">
        <v>204</v>
      </c>
      <c r="B1061" s="11"/>
      <c r="C1061" s="8"/>
      <c r="D1061" s="8"/>
      <c r="E1061" s="9"/>
      <c r="F1061" s="10"/>
      <c r="G1061" s="9"/>
      <c r="H1061" s="11"/>
      <c r="I1061" s="9" t="s">
        <v>13</v>
      </c>
      <c r="J1061" s="35"/>
    </row>
    <row r="1062">
      <c r="A1062" s="34" t="s">
        <v>204</v>
      </c>
      <c r="B1062" s="11"/>
      <c r="C1062" s="8"/>
      <c r="D1062" s="8"/>
      <c r="E1062" s="9"/>
      <c r="F1062" s="10"/>
      <c r="G1062" s="9"/>
      <c r="H1062" s="11"/>
      <c r="I1062" s="9" t="s">
        <v>13</v>
      </c>
      <c r="J1062" s="35"/>
    </row>
    <row r="1063">
      <c r="A1063" s="34" t="s">
        <v>204</v>
      </c>
      <c r="B1063" s="11"/>
      <c r="C1063" s="8"/>
      <c r="D1063" s="8"/>
      <c r="E1063" s="9"/>
      <c r="F1063" s="10"/>
      <c r="G1063" s="9"/>
      <c r="H1063" s="11"/>
      <c r="I1063" s="9" t="s">
        <v>13</v>
      </c>
      <c r="J1063" s="35"/>
    </row>
    <row r="1064">
      <c r="A1064" s="34" t="s">
        <v>204</v>
      </c>
      <c r="B1064" s="11"/>
      <c r="C1064" s="8"/>
      <c r="D1064" s="8"/>
      <c r="E1064" s="9"/>
      <c r="F1064" s="10"/>
      <c r="G1064" s="9"/>
      <c r="H1064" s="11"/>
      <c r="I1064" s="9" t="s">
        <v>13</v>
      </c>
      <c r="J1064" s="35"/>
    </row>
    <row r="1065">
      <c r="A1065" s="34" t="s">
        <v>204</v>
      </c>
      <c r="B1065" s="11"/>
      <c r="C1065" s="8"/>
      <c r="D1065" s="8"/>
      <c r="E1065" s="9"/>
      <c r="F1065" s="10"/>
      <c r="G1065" s="9"/>
      <c r="H1065" s="11"/>
      <c r="I1065" s="9" t="s">
        <v>13</v>
      </c>
      <c r="J1065" s="35"/>
    </row>
    <row r="1066">
      <c r="A1066" s="34" t="s">
        <v>204</v>
      </c>
      <c r="B1066" s="11"/>
      <c r="C1066" s="8"/>
      <c r="D1066" s="8"/>
      <c r="E1066" s="9"/>
      <c r="F1066" s="10"/>
      <c r="G1066" s="9"/>
      <c r="H1066" s="11"/>
      <c r="I1066" s="9" t="s">
        <v>13</v>
      </c>
      <c r="J1066" s="35"/>
    </row>
    <row r="1067">
      <c r="A1067" s="34" t="s">
        <v>204</v>
      </c>
      <c r="B1067" s="11"/>
      <c r="C1067" s="8"/>
      <c r="D1067" s="8"/>
      <c r="E1067" s="9"/>
      <c r="F1067" s="10"/>
      <c r="G1067" s="9"/>
      <c r="H1067" s="11"/>
      <c r="I1067" s="9" t="s">
        <v>13</v>
      </c>
      <c r="J1067" s="35"/>
    </row>
    <row r="1068">
      <c r="A1068" s="34" t="s">
        <v>204</v>
      </c>
      <c r="B1068" s="11"/>
      <c r="C1068" s="8"/>
      <c r="D1068" s="8"/>
      <c r="E1068" s="9"/>
      <c r="F1068" s="10"/>
      <c r="G1068" s="9"/>
      <c r="H1068" s="11"/>
      <c r="I1068" s="9" t="s">
        <v>13</v>
      </c>
      <c r="J1068" s="35"/>
    </row>
    <row r="1069">
      <c r="A1069" s="34" t="s">
        <v>204</v>
      </c>
      <c r="B1069" s="11"/>
      <c r="C1069" s="8"/>
      <c r="D1069" s="8"/>
      <c r="E1069" s="9"/>
      <c r="F1069" s="10"/>
      <c r="G1069" s="9"/>
      <c r="H1069" s="11"/>
      <c r="I1069" s="9" t="s">
        <v>13</v>
      </c>
      <c r="J1069" s="35"/>
    </row>
    <row r="1070">
      <c r="A1070" s="34" t="s">
        <v>204</v>
      </c>
      <c r="B1070" s="11"/>
      <c r="C1070" s="8"/>
      <c r="D1070" s="8"/>
      <c r="E1070" s="9"/>
      <c r="F1070" s="10"/>
      <c r="G1070" s="9"/>
      <c r="H1070" s="11"/>
      <c r="I1070" s="9" t="s">
        <v>13</v>
      </c>
      <c r="J1070" s="35"/>
    </row>
    <row r="1071">
      <c r="A1071" s="34" t="s">
        <v>204</v>
      </c>
      <c r="B1071" s="11"/>
      <c r="C1071" s="8"/>
      <c r="D1071" s="8"/>
      <c r="E1071" s="9"/>
      <c r="F1071" s="10"/>
      <c r="G1071" s="9"/>
      <c r="H1071" s="11"/>
      <c r="I1071" s="9" t="s">
        <v>13</v>
      </c>
      <c r="J1071" s="35"/>
    </row>
    <row r="1072">
      <c r="A1072" s="34" t="s">
        <v>204</v>
      </c>
      <c r="B1072" s="11"/>
      <c r="C1072" s="8"/>
      <c r="D1072" s="8"/>
      <c r="E1072" s="9"/>
      <c r="F1072" s="10"/>
      <c r="G1072" s="9"/>
      <c r="H1072" s="11"/>
      <c r="I1072" s="9" t="s">
        <v>13</v>
      </c>
      <c r="J1072" s="35"/>
    </row>
    <row r="1073">
      <c r="A1073" s="34" t="s">
        <v>204</v>
      </c>
      <c r="B1073" s="11"/>
      <c r="C1073" s="8"/>
      <c r="D1073" s="8"/>
      <c r="E1073" s="9"/>
      <c r="F1073" s="10"/>
      <c r="G1073" s="9"/>
      <c r="H1073" s="11"/>
      <c r="I1073" s="9" t="s">
        <v>13</v>
      </c>
      <c r="J1073" s="35"/>
    </row>
    <row r="1074">
      <c r="A1074" s="34" t="s">
        <v>204</v>
      </c>
      <c r="B1074" s="11"/>
      <c r="C1074" s="8"/>
      <c r="D1074" s="8"/>
      <c r="E1074" s="9"/>
      <c r="F1074" s="10"/>
      <c r="G1074" s="9"/>
      <c r="H1074" s="11"/>
      <c r="I1074" s="9" t="s">
        <v>13</v>
      </c>
      <c r="J1074" s="35"/>
    </row>
    <row r="1075">
      <c r="A1075" s="34" t="s">
        <v>204</v>
      </c>
      <c r="B1075" s="11"/>
      <c r="C1075" s="8"/>
      <c r="D1075" s="8"/>
      <c r="E1075" s="9"/>
      <c r="F1075" s="10"/>
      <c r="G1075" s="9"/>
      <c r="H1075" s="11"/>
      <c r="I1075" s="9" t="s">
        <v>13</v>
      </c>
      <c r="J1075" s="35"/>
    </row>
    <row r="1076">
      <c r="A1076" s="34" t="s">
        <v>204</v>
      </c>
      <c r="B1076" s="11"/>
      <c r="C1076" s="8"/>
      <c r="D1076" s="8"/>
      <c r="E1076" s="9"/>
      <c r="F1076" s="10"/>
      <c r="G1076" s="9"/>
      <c r="H1076" s="11"/>
      <c r="I1076" s="9" t="s">
        <v>13</v>
      </c>
      <c r="J1076" s="35"/>
    </row>
    <row r="1077">
      <c r="A1077" s="34" t="s">
        <v>204</v>
      </c>
      <c r="B1077" s="11"/>
      <c r="C1077" s="8"/>
      <c r="D1077" s="8"/>
      <c r="E1077" s="9"/>
      <c r="F1077" s="10"/>
      <c r="G1077" s="9"/>
      <c r="H1077" s="11"/>
      <c r="I1077" s="9" t="s">
        <v>13</v>
      </c>
      <c r="J1077" s="35"/>
    </row>
    <row r="1078">
      <c r="A1078" s="34" t="s">
        <v>204</v>
      </c>
      <c r="B1078" s="11"/>
      <c r="C1078" s="8"/>
      <c r="D1078" s="8"/>
      <c r="E1078" s="9"/>
      <c r="F1078" s="10"/>
      <c r="G1078" s="9"/>
      <c r="H1078" s="11"/>
      <c r="I1078" s="9" t="s">
        <v>13</v>
      </c>
      <c r="J1078" s="35"/>
    </row>
    <row r="1079">
      <c r="A1079" s="34" t="s">
        <v>204</v>
      </c>
      <c r="B1079" s="11"/>
      <c r="C1079" s="8"/>
      <c r="D1079" s="8"/>
      <c r="E1079" s="9"/>
      <c r="F1079" s="10"/>
      <c r="G1079" s="9"/>
      <c r="H1079" s="11"/>
      <c r="I1079" s="9" t="s">
        <v>13</v>
      </c>
      <c r="J1079" s="35"/>
    </row>
    <row r="1080">
      <c r="A1080" s="34" t="s">
        <v>204</v>
      </c>
      <c r="B1080" s="11"/>
      <c r="C1080" s="8"/>
      <c r="D1080" s="8"/>
      <c r="E1080" s="9"/>
      <c r="F1080" s="10"/>
      <c r="G1080" s="9"/>
      <c r="H1080" s="11"/>
      <c r="I1080" s="9" t="s">
        <v>13</v>
      </c>
      <c r="J1080" s="35"/>
    </row>
    <row r="1081">
      <c r="A1081" s="34" t="s">
        <v>204</v>
      </c>
      <c r="B1081" s="11"/>
      <c r="C1081" s="8"/>
      <c r="D1081" s="8"/>
      <c r="E1081" s="9"/>
      <c r="F1081" s="10"/>
      <c r="G1081" s="9"/>
      <c r="H1081" s="11"/>
      <c r="I1081" s="9" t="s">
        <v>13</v>
      </c>
      <c r="J1081" s="35"/>
    </row>
    <row r="1082">
      <c r="A1082" s="34" t="s">
        <v>204</v>
      </c>
      <c r="B1082" s="11"/>
      <c r="C1082" s="8"/>
      <c r="D1082" s="8"/>
      <c r="E1082" s="9"/>
      <c r="F1082" s="10"/>
      <c r="G1082" s="9"/>
      <c r="H1082" s="11"/>
      <c r="I1082" s="9" t="s">
        <v>13</v>
      </c>
      <c r="J1082" s="35"/>
    </row>
    <row r="1083">
      <c r="A1083" s="34" t="s">
        <v>204</v>
      </c>
      <c r="B1083" s="11"/>
      <c r="C1083" s="8"/>
      <c r="D1083" s="8"/>
      <c r="E1083" s="9"/>
      <c r="F1083" s="10"/>
      <c r="G1083" s="9"/>
      <c r="H1083" s="11"/>
      <c r="I1083" s="9" t="s">
        <v>13</v>
      </c>
      <c r="J1083" s="35"/>
    </row>
    <row r="1084">
      <c r="A1084" s="34" t="s">
        <v>204</v>
      </c>
      <c r="B1084" s="11"/>
      <c r="C1084" s="8"/>
      <c r="D1084" s="8"/>
      <c r="E1084" s="9"/>
      <c r="F1084" s="10"/>
      <c r="G1084" s="9"/>
      <c r="H1084" s="11"/>
      <c r="I1084" s="9" t="s">
        <v>13</v>
      </c>
      <c r="J1084" s="35"/>
    </row>
    <row r="1085">
      <c r="A1085" s="34" t="s">
        <v>204</v>
      </c>
      <c r="B1085" s="11"/>
      <c r="C1085" s="8"/>
      <c r="D1085" s="8"/>
      <c r="E1085" s="9"/>
      <c r="F1085" s="10"/>
      <c r="G1085" s="9"/>
      <c r="H1085" s="11"/>
      <c r="I1085" s="9" t="s">
        <v>13</v>
      </c>
      <c r="J1085" s="35"/>
    </row>
    <row r="1086">
      <c r="A1086" s="34" t="s">
        <v>204</v>
      </c>
      <c r="B1086" s="11"/>
      <c r="C1086" s="8"/>
      <c r="D1086" s="8"/>
      <c r="E1086" s="9"/>
      <c r="F1086" s="10"/>
      <c r="G1086" s="9"/>
      <c r="H1086" s="11"/>
      <c r="I1086" s="9" t="s">
        <v>13</v>
      </c>
      <c r="J1086" s="35"/>
    </row>
    <row r="1087">
      <c r="A1087" s="34" t="s">
        <v>204</v>
      </c>
      <c r="B1087" s="11"/>
      <c r="C1087" s="8"/>
      <c r="D1087" s="8"/>
      <c r="E1087" s="9"/>
      <c r="F1087" s="10"/>
      <c r="G1087" s="9"/>
      <c r="H1087" s="11"/>
      <c r="I1087" s="9" t="s">
        <v>13</v>
      </c>
      <c r="J1087" s="35"/>
    </row>
    <row r="1088">
      <c r="A1088" s="34" t="s">
        <v>204</v>
      </c>
      <c r="B1088" s="11"/>
      <c r="C1088" s="8"/>
      <c r="D1088" s="8"/>
      <c r="E1088" s="9"/>
      <c r="F1088" s="10"/>
      <c r="G1088" s="9"/>
      <c r="H1088" s="11"/>
      <c r="I1088" s="9" t="s">
        <v>13</v>
      </c>
      <c r="J1088" s="35"/>
    </row>
    <row r="1089">
      <c r="A1089" s="34" t="s">
        <v>204</v>
      </c>
      <c r="B1089" s="11"/>
      <c r="C1089" s="8"/>
      <c r="D1089" s="8"/>
      <c r="E1089" s="9"/>
      <c r="F1089" s="10"/>
      <c r="G1089" s="9"/>
      <c r="H1089" s="11"/>
      <c r="I1089" s="9" t="s">
        <v>13</v>
      </c>
      <c r="J1089" s="35"/>
    </row>
    <row r="1090">
      <c r="A1090" s="34" t="s">
        <v>204</v>
      </c>
      <c r="B1090" s="11"/>
      <c r="C1090" s="8"/>
      <c r="D1090" s="8"/>
      <c r="E1090" s="9"/>
      <c r="F1090" s="10"/>
      <c r="G1090" s="9"/>
      <c r="H1090" s="11"/>
      <c r="I1090" s="9" t="s">
        <v>13</v>
      </c>
      <c r="J1090" s="35"/>
    </row>
    <row r="1091">
      <c r="A1091" s="34" t="s">
        <v>204</v>
      </c>
      <c r="B1091" s="11"/>
      <c r="C1091" s="8"/>
      <c r="D1091" s="8"/>
      <c r="E1091" s="9"/>
      <c r="F1091" s="10"/>
      <c r="G1091" s="9"/>
      <c r="H1091" s="11"/>
      <c r="I1091" s="9" t="s">
        <v>13</v>
      </c>
      <c r="J1091" s="35"/>
    </row>
    <row r="1092">
      <c r="A1092" s="34" t="s">
        <v>204</v>
      </c>
      <c r="B1092" s="11"/>
      <c r="C1092" s="8"/>
      <c r="D1092" s="8"/>
      <c r="E1092" s="9"/>
      <c r="F1092" s="10"/>
      <c r="G1092" s="9"/>
      <c r="H1092" s="11"/>
      <c r="I1092" s="9" t="s">
        <v>13</v>
      </c>
      <c r="J1092" s="35"/>
    </row>
    <row r="1093">
      <c r="A1093" s="34" t="s">
        <v>204</v>
      </c>
      <c r="B1093" s="11"/>
      <c r="C1093" s="8"/>
      <c r="D1093" s="8"/>
      <c r="E1093" s="9"/>
      <c r="F1093" s="10"/>
      <c r="G1093" s="9"/>
      <c r="H1093" s="11"/>
      <c r="I1093" s="9" t="s">
        <v>13</v>
      </c>
      <c r="J1093" s="35"/>
    </row>
    <row r="1094">
      <c r="A1094" s="34" t="s">
        <v>204</v>
      </c>
      <c r="B1094" s="11"/>
      <c r="C1094" s="8"/>
      <c r="D1094" s="8"/>
      <c r="E1094" s="9"/>
      <c r="F1094" s="10"/>
      <c r="G1094" s="9"/>
      <c r="H1094" s="11"/>
      <c r="I1094" s="9" t="s">
        <v>13</v>
      </c>
      <c r="J1094" s="35"/>
    </row>
    <row r="1095">
      <c r="A1095" s="34" t="s">
        <v>204</v>
      </c>
      <c r="B1095" s="11"/>
      <c r="C1095" s="8"/>
      <c r="D1095" s="8"/>
      <c r="E1095" s="9"/>
      <c r="F1095" s="10"/>
      <c r="G1095" s="9"/>
      <c r="H1095" s="11"/>
      <c r="I1095" s="9" t="s">
        <v>13</v>
      </c>
      <c r="J1095" s="35"/>
    </row>
    <row r="1096">
      <c r="A1096" s="34" t="s">
        <v>204</v>
      </c>
      <c r="B1096" s="11"/>
      <c r="C1096" s="8"/>
      <c r="D1096" s="8"/>
      <c r="E1096" s="9"/>
      <c r="F1096" s="10"/>
      <c r="G1096" s="9"/>
      <c r="H1096" s="11"/>
      <c r="I1096" s="9" t="s">
        <v>13</v>
      </c>
      <c r="J1096" s="35"/>
    </row>
    <row r="1097">
      <c r="A1097" s="34" t="s">
        <v>204</v>
      </c>
      <c r="B1097" s="11"/>
      <c r="C1097" s="8"/>
      <c r="D1097" s="8"/>
      <c r="E1097" s="9"/>
      <c r="F1097" s="10"/>
      <c r="G1097" s="9"/>
      <c r="H1097" s="11"/>
      <c r="I1097" s="9" t="s">
        <v>13</v>
      </c>
      <c r="J1097" s="35"/>
    </row>
    <row r="1098">
      <c r="A1098" s="34" t="s">
        <v>204</v>
      </c>
      <c r="B1098" s="11"/>
      <c r="C1098" s="8"/>
      <c r="D1098" s="8"/>
      <c r="E1098" s="9"/>
      <c r="F1098" s="10"/>
      <c r="G1098" s="9"/>
      <c r="H1098" s="11"/>
      <c r="I1098" s="9" t="s">
        <v>13</v>
      </c>
      <c r="J1098" s="35"/>
    </row>
    <row r="1099">
      <c r="A1099" s="34" t="s">
        <v>204</v>
      </c>
      <c r="B1099" s="11"/>
      <c r="C1099" s="8"/>
      <c r="D1099" s="8"/>
      <c r="E1099" s="9"/>
      <c r="F1099" s="10"/>
      <c r="G1099" s="9"/>
      <c r="H1099" s="11"/>
      <c r="I1099" s="9" t="s">
        <v>13</v>
      </c>
      <c r="J1099" s="35"/>
    </row>
    <row r="1100">
      <c r="A1100" s="34" t="s">
        <v>204</v>
      </c>
      <c r="B1100" s="11"/>
      <c r="C1100" s="8"/>
      <c r="D1100" s="8"/>
      <c r="E1100" s="9"/>
      <c r="F1100" s="10"/>
      <c r="G1100" s="9"/>
      <c r="H1100" s="11"/>
      <c r="I1100" s="9" t="s">
        <v>13</v>
      </c>
      <c r="J1100" s="35"/>
    </row>
    <row r="1101">
      <c r="A1101" s="34" t="s">
        <v>204</v>
      </c>
      <c r="B1101" s="11"/>
      <c r="C1101" s="8"/>
      <c r="D1101" s="8"/>
      <c r="E1101" s="9"/>
      <c r="F1101" s="10"/>
      <c r="G1101" s="9"/>
      <c r="H1101" s="11"/>
      <c r="I1101" s="9" t="s">
        <v>13</v>
      </c>
      <c r="J1101" s="35"/>
    </row>
    <row r="1102">
      <c r="A1102" s="34" t="s">
        <v>204</v>
      </c>
      <c r="B1102" s="11"/>
      <c r="C1102" s="8"/>
      <c r="D1102" s="8"/>
      <c r="E1102" s="9"/>
      <c r="F1102" s="10"/>
      <c r="G1102" s="9"/>
      <c r="H1102" s="11"/>
      <c r="I1102" s="9" t="s">
        <v>13</v>
      </c>
      <c r="J1102" s="35"/>
    </row>
    <row r="1103">
      <c r="A1103" s="34" t="s">
        <v>204</v>
      </c>
      <c r="B1103" s="11"/>
      <c r="C1103" s="8"/>
      <c r="D1103" s="8"/>
      <c r="E1103" s="9"/>
      <c r="F1103" s="10"/>
      <c r="G1103" s="9"/>
      <c r="H1103" s="11"/>
      <c r="I1103" s="9" t="s">
        <v>13</v>
      </c>
      <c r="J1103" s="35"/>
    </row>
    <row r="1104">
      <c r="A1104" s="34" t="s">
        <v>204</v>
      </c>
      <c r="B1104" s="11"/>
      <c r="C1104" s="8"/>
      <c r="D1104" s="8"/>
      <c r="E1104" s="9"/>
      <c r="F1104" s="10"/>
      <c r="G1104" s="9"/>
      <c r="H1104" s="11"/>
      <c r="I1104" s="9" t="s">
        <v>13</v>
      </c>
      <c r="J1104" s="35"/>
    </row>
    <row r="1105">
      <c r="A1105" s="34" t="s">
        <v>204</v>
      </c>
      <c r="B1105" s="11"/>
      <c r="C1105" s="8"/>
      <c r="D1105" s="8"/>
      <c r="E1105" s="9"/>
      <c r="F1105" s="10"/>
      <c r="G1105" s="9"/>
      <c r="H1105" s="11"/>
      <c r="I1105" s="9" t="s">
        <v>13</v>
      </c>
      <c r="J1105" s="35"/>
    </row>
    <row r="1106">
      <c r="A1106" s="34" t="s">
        <v>204</v>
      </c>
      <c r="B1106" s="11"/>
      <c r="C1106" s="8"/>
      <c r="D1106" s="8"/>
      <c r="E1106" s="9"/>
      <c r="F1106" s="10"/>
      <c r="G1106" s="9"/>
      <c r="H1106" s="11"/>
      <c r="I1106" s="9" t="s">
        <v>13</v>
      </c>
      <c r="J1106" s="35"/>
    </row>
    <row r="1107">
      <c r="A1107" s="34" t="s">
        <v>204</v>
      </c>
      <c r="B1107" s="11"/>
      <c r="C1107" s="8"/>
      <c r="D1107" s="8"/>
      <c r="E1107" s="9"/>
      <c r="F1107" s="10"/>
      <c r="G1107" s="9"/>
      <c r="H1107" s="11"/>
      <c r="I1107" s="9" t="s">
        <v>13</v>
      </c>
      <c r="J1107" s="35"/>
    </row>
    <row r="1108">
      <c r="A1108" s="34" t="s">
        <v>204</v>
      </c>
      <c r="B1108" s="11"/>
      <c r="C1108" s="8"/>
      <c r="D1108" s="8"/>
      <c r="E1108" s="9"/>
      <c r="F1108" s="10"/>
      <c r="G1108" s="9"/>
      <c r="H1108" s="11"/>
      <c r="I1108" s="9" t="s">
        <v>13</v>
      </c>
      <c r="J1108" s="35"/>
    </row>
    <row r="1109">
      <c r="A1109" s="34" t="s">
        <v>204</v>
      </c>
      <c r="B1109" s="11"/>
      <c r="C1109" s="8"/>
      <c r="D1109" s="8"/>
      <c r="E1109" s="9"/>
      <c r="F1109" s="10"/>
      <c r="G1109" s="9"/>
      <c r="H1109" s="11"/>
      <c r="I1109" s="9" t="s">
        <v>13</v>
      </c>
      <c r="J1109" s="35"/>
    </row>
    <row r="1110">
      <c r="A1110" s="34" t="s">
        <v>204</v>
      </c>
      <c r="B1110" s="11"/>
      <c r="C1110" s="8"/>
      <c r="D1110" s="8"/>
      <c r="E1110" s="9"/>
      <c r="F1110" s="10"/>
      <c r="G1110" s="9"/>
      <c r="H1110" s="11"/>
      <c r="I1110" s="9" t="s">
        <v>13</v>
      </c>
      <c r="J1110" s="35"/>
    </row>
    <row r="1111">
      <c r="A1111" s="34" t="s">
        <v>204</v>
      </c>
      <c r="B1111" s="11"/>
      <c r="C1111" s="8"/>
      <c r="D1111" s="8"/>
      <c r="E1111" s="9"/>
      <c r="F1111" s="10"/>
      <c r="G1111" s="9"/>
      <c r="H1111" s="11"/>
      <c r="I1111" s="9" t="s">
        <v>13</v>
      </c>
      <c r="J1111" s="35"/>
    </row>
    <row r="1112">
      <c r="A1112" s="34" t="s">
        <v>204</v>
      </c>
      <c r="B1112" s="11"/>
      <c r="C1112" s="8"/>
      <c r="D1112" s="8"/>
      <c r="E1112" s="9"/>
      <c r="F1112" s="10"/>
      <c r="G1112" s="9"/>
      <c r="H1112" s="11"/>
      <c r="I1112" s="9" t="s">
        <v>13</v>
      </c>
      <c r="J1112" s="35"/>
    </row>
    <row r="1113">
      <c r="A1113" s="34" t="s">
        <v>204</v>
      </c>
      <c r="B1113" s="11"/>
      <c r="C1113" s="8"/>
      <c r="D1113" s="8"/>
      <c r="E1113" s="9"/>
      <c r="F1113" s="10"/>
      <c r="G1113" s="9"/>
      <c r="H1113" s="11"/>
      <c r="I1113" s="9" t="s">
        <v>13</v>
      </c>
      <c r="J1113" s="35"/>
    </row>
    <row r="1114">
      <c r="A1114" s="34" t="s">
        <v>204</v>
      </c>
      <c r="B1114" s="11"/>
      <c r="C1114" s="8"/>
      <c r="D1114" s="8"/>
      <c r="E1114" s="9"/>
      <c r="F1114" s="10"/>
      <c r="G1114" s="9"/>
      <c r="H1114" s="11"/>
      <c r="I1114" s="9" t="s">
        <v>13</v>
      </c>
      <c r="J1114" s="35"/>
    </row>
    <row r="1115">
      <c r="A1115" s="34" t="s">
        <v>204</v>
      </c>
      <c r="B1115" s="11"/>
      <c r="C1115" s="8"/>
      <c r="D1115" s="8"/>
      <c r="E1115" s="9"/>
      <c r="F1115" s="10"/>
      <c r="G1115" s="9"/>
      <c r="H1115" s="11"/>
      <c r="I1115" s="9" t="s">
        <v>13</v>
      </c>
      <c r="J1115" s="35"/>
    </row>
    <row r="1116">
      <c r="A1116" s="34" t="s">
        <v>204</v>
      </c>
      <c r="B1116" s="11"/>
      <c r="C1116" s="8"/>
      <c r="D1116" s="8"/>
      <c r="E1116" s="9"/>
      <c r="F1116" s="10"/>
      <c r="G1116" s="9"/>
      <c r="H1116" s="11"/>
      <c r="I1116" s="9" t="s">
        <v>13</v>
      </c>
      <c r="J1116" s="35"/>
    </row>
    <row r="1117">
      <c r="A1117" s="34" t="s">
        <v>204</v>
      </c>
      <c r="B1117" s="11"/>
      <c r="C1117" s="8"/>
      <c r="D1117" s="8"/>
      <c r="E1117" s="9"/>
      <c r="F1117" s="10"/>
      <c r="G1117" s="9"/>
      <c r="H1117" s="11"/>
      <c r="I1117" s="9" t="s">
        <v>13</v>
      </c>
      <c r="J1117" s="35"/>
    </row>
    <row r="1118">
      <c r="A1118" s="34" t="s">
        <v>204</v>
      </c>
      <c r="B1118" s="11"/>
      <c r="C1118" s="8"/>
      <c r="D1118" s="8"/>
      <c r="E1118" s="9"/>
      <c r="F1118" s="10"/>
      <c r="G1118" s="9"/>
      <c r="H1118" s="11"/>
      <c r="I1118" s="9" t="s">
        <v>13</v>
      </c>
      <c r="J1118" s="35"/>
    </row>
    <row r="1119">
      <c r="A1119" s="34" t="s">
        <v>204</v>
      </c>
      <c r="B1119" s="11"/>
      <c r="C1119" s="8"/>
      <c r="D1119" s="8"/>
      <c r="E1119" s="9"/>
      <c r="F1119" s="10"/>
      <c r="G1119" s="9"/>
      <c r="H1119" s="11"/>
      <c r="I1119" s="9" t="s">
        <v>13</v>
      </c>
      <c r="J1119" s="35"/>
    </row>
    <row r="1120">
      <c r="A1120" s="34" t="s">
        <v>204</v>
      </c>
      <c r="B1120" s="11"/>
      <c r="C1120" s="8"/>
      <c r="D1120" s="8"/>
      <c r="E1120" s="9"/>
      <c r="F1120" s="10"/>
      <c r="G1120" s="9"/>
      <c r="H1120" s="11"/>
      <c r="I1120" s="9" t="s">
        <v>13</v>
      </c>
      <c r="J1120" s="35"/>
    </row>
    <row r="1121">
      <c r="A1121" s="34" t="s">
        <v>204</v>
      </c>
      <c r="B1121" s="11"/>
      <c r="C1121" s="8"/>
      <c r="D1121" s="8"/>
      <c r="E1121" s="9"/>
      <c r="F1121" s="10"/>
      <c r="G1121" s="9"/>
      <c r="H1121" s="11"/>
      <c r="I1121" s="9" t="s">
        <v>13</v>
      </c>
      <c r="J1121" s="35"/>
    </row>
    <row r="1122">
      <c r="A1122" s="34" t="s">
        <v>204</v>
      </c>
      <c r="B1122" s="11"/>
      <c r="C1122" s="8"/>
      <c r="D1122" s="8"/>
      <c r="E1122" s="9"/>
      <c r="F1122" s="10"/>
      <c r="G1122" s="9"/>
      <c r="H1122" s="11"/>
      <c r="I1122" s="9" t="s">
        <v>13</v>
      </c>
      <c r="J1122" s="35"/>
    </row>
    <row r="1123">
      <c r="A1123" s="34" t="s">
        <v>204</v>
      </c>
      <c r="B1123" s="11"/>
      <c r="C1123" s="8"/>
      <c r="D1123" s="8"/>
      <c r="E1123" s="9"/>
      <c r="F1123" s="10"/>
      <c r="G1123" s="9"/>
      <c r="H1123" s="11"/>
      <c r="I1123" s="9" t="s">
        <v>13</v>
      </c>
      <c r="J1123" s="35"/>
    </row>
    <row r="1124">
      <c r="A1124" s="34" t="s">
        <v>204</v>
      </c>
      <c r="B1124" s="11"/>
      <c r="C1124" s="8"/>
      <c r="D1124" s="8"/>
      <c r="E1124" s="9"/>
      <c r="F1124" s="10"/>
      <c r="G1124" s="9"/>
      <c r="H1124" s="11"/>
      <c r="I1124" s="9" t="s">
        <v>13</v>
      </c>
      <c r="J1124" s="35"/>
    </row>
    <row r="1125">
      <c r="A1125" s="34" t="s">
        <v>204</v>
      </c>
      <c r="B1125" s="11"/>
      <c r="C1125" s="8"/>
      <c r="D1125" s="8"/>
      <c r="E1125" s="9"/>
      <c r="F1125" s="10"/>
      <c r="G1125" s="9"/>
      <c r="H1125" s="11"/>
      <c r="I1125" s="9" t="s">
        <v>13</v>
      </c>
      <c r="J1125" s="35"/>
    </row>
    <row r="1126">
      <c r="A1126" s="34" t="s">
        <v>204</v>
      </c>
      <c r="B1126" s="11"/>
      <c r="C1126" s="8"/>
      <c r="D1126" s="8"/>
      <c r="E1126" s="9"/>
      <c r="F1126" s="10"/>
      <c r="G1126" s="9"/>
      <c r="H1126" s="11"/>
      <c r="I1126" s="9" t="s">
        <v>13</v>
      </c>
      <c r="J1126" s="35"/>
    </row>
    <row r="1127">
      <c r="A1127" s="34" t="s">
        <v>204</v>
      </c>
      <c r="B1127" s="11"/>
      <c r="C1127" s="8"/>
      <c r="D1127" s="8"/>
      <c r="E1127" s="9"/>
      <c r="F1127" s="10"/>
      <c r="G1127" s="9"/>
      <c r="H1127" s="11"/>
      <c r="I1127" s="9" t="s">
        <v>13</v>
      </c>
      <c r="J1127" s="35"/>
    </row>
    <row r="1128">
      <c r="A1128" s="34" t="s">
        <v>204</v>
      </c>
      <c r="B1128" s="11"/>
      <c r="C1128" s="8"/>
      <c r="D1128" s="8"/>
      <c r="E1128" s="9"/>
      <c r="F1128" s="10"/>
      <c r="G1128" s="9"/>
      <c r="H1128" s="11"/>
      <c r="I1128" s="9" t="s">
        <v>13</v>
      </c>
      <c r="J1128" s="35"/>
    </row>
    <row r="1129">
      <c r="A1129" s="34" t="s">
        <v>204</v>
      </c>
      <c r="B1129" s="11"/>
      <c r="C1129" s="8"/>
      <c r="D1129" s="8"/>
      <c r="E1129" s="9"/>
      <c r="F1129" s="10"/>
      <c r="G1129" s="9"/>
      <c r="H1129" s="11"/>
      <c r="I1129" s="9" t="s">
        <v>13</v>
      </c>
      <c r="J1129" s="35"/>
    </row>
    <row r="1130">
      <c r="A1130" s="34" t="s">
        <v>204</v>
      </c>
      <c r="B1130" s="11"/>
      <c r="C1130" s="8"/>
      <c r="D1130" s="8"/>
      <c r="E1130" s="9"/>
      <c r="F1130" s="10"/>
      <c r="G1130" s="9"/>
      <c r="H1130" s="11"/>
      <c r="I1130" s="9" t="s">
        <v>13</v>
      </c>
      <c r="J1130" s="35"/>
    </row>
    <row r="1131">
      <c r="A1131" s="34" t="s">
        <v>204</v>
      </c>
      <c r="B1131" s="11"/>
      <c r="C1131" s="8"/>
      <c r="D1131" s="8"/>
      <c r="E1131" s="9"/>
      <c r="F1131" s="10"/>
      <c r="G1131" s="9"/>
      <c r="H1131" s="11"/>
      <c r="I1131" s="9" t="s">
        <v>13</v>
      </c>
      <c r="J1131" s="35"/>
    </row>
    <row r="1132">
      <c r="A1132" s="34" t="s">
        <v>204</v>
      </c>
      <c r="B1132" s="11"/>
      <c r="C1132" s="8"/>
      <c r="D1132" s="8"/>
      <c r="E1132" s="9"/>
      <c r="F1132" s="10"/>
      <c r="G1132" s="9"/>
      <c r="H1132" s="11"/>
      <c r="I1132" s="9" t="s">
        <v>13</v>
      </c>
      <c r="J1132" s="35"/>
    </row>
    <row r="1133">
      <c r="A1133" s="34" t="s">
        <v>204</v>
      </c>
      <c r="B1133" s="11"/>
      <c r="C1133" s="8"/>
      <c r="D1133" s="8"/>
      <c r="E1133" s="9"/>
      <c r="F1133" s="10"/>
      <c r="G1133" s="9"/>
      <c r="H1133" s="11"/>
      <c r="I1133" s="9" t="s">
        <v>13</v>
      </c>
      <c r="J1133" s="35"/>
    </row>
    <row r="1134">
      <c r="A1134" s="34" t="s">
        <v>204</v>
      </c>
      <c r="B1134" s="11"/>
      <c r="C1134" s="8"/>
      <c r="D1134" s="8"/>
      <c r="E1134" s="9"/>
      <c r="F1134" s="10"/>
      <c r="G1134" s="9"/>
      <c r="H1134" s="11"/>
      <c r="I1134" s="9" t="s">
        <v>13</v>
      </c>
      <c r="J1134" s="35"/>
    </row>
    <row r="1135">
      <c r="A1135" s="34" t="s">
        <v>204</v>
      </c>
      <c r="B1135" s="11"/>
      <c r="C1135" s="8"/>
      <c r="D1135" s="8"/>
      <c r="E1135" s="9"/>
      <c r="F1135" s="10"/>
      <c r="G1135" s="9"/>
      <c r="H1135" s="11"/>
      <c r="I1135" s="9" t="s">
        <v>13</v>
      </c>
      <c r="J1135" s="35"/>
    </row>
    <row r="1136">
      <c r="A1136" s="34" t="s">
        <v>204</v>
      </c>
      <c r="B1136" s="11"/>
      <c r="C1136" s="8"/>
      <c r="D1136" s="8"/>
      <c r="E1136" s="9"/>
      <c r="F1136" s="10"/>
      <c r="G1136" s="9"/>
      <c r="H1136" s="11"/>
      <c r="I1136" s="9" t="s">
        <v>13</v>
      </c>
      <c r="J1136" s="35"/>
    </row>
    <row r="1137">
      <c r="A1137" s="34" t="s">
        <v>204</v>
      </c>
      <c r="B1137" s="11"/>
      <c r="C1137" s="8"/>
      <c r="D1137" s="8"/>
      <c r="E1137" s="9"/>
      <c r="F1137" s="10"/>
      <c r="G1137" s="9"/>
      <c r="H1137" s="11"/>
      <c r="I1137" s="9" t="s">
        <v>13</v>
      </c>
      <c r="J1137" s="35"/>
    </row>
    <row r="1138">
      <c r="A1138" s="34" t="s">
        <v>204</v>
      </c>
      <c r="B1138" s="11"/>
      <c r="C1138" s="8"/>
      <c r="D1138" s="8"/>
      <c r="E1138" s="9"/>
      <c r="F1138" s="10"/>
      <c r="G1138" s="9"/>
      <c r="H1138" s="11"/>
      <c r="I1138" s="9" t="s">
        <v>13</v>
      </c>
      <c r="J1138" s="35"/>
    </row>
    <row r="1139">
      <c r="A1139" s="34" t="s">
        <v>204</v>
      </c>
      <c r="B1139" s="11"/>
      <c r="C1139" s="8"/>
      <c r="D1139" s="8"/>
      <c r="E1139" s="9"/>
      <c r="F1139" s="10"/>
      <c r="G1139" s="9"/>
      <c r="H1139" s="11"/>
      <c r="I1139" s="9" t="s">
        <v>13</v>
      </c>
      <c r="J1139" s="35"/>
    </row>
  </sheetData>
  <mergeCells count="1">
    <mergeCell ref="A1:J1"/>
  </mergeCells>
  <conditionalFormatting sqref="G3:G1139">
    <cfRule type="cellIs" dxfId="8" priority="1" operator="equal">
      <formula>"Mairie"</formula>
    </cfRule>
  </conditionalFormatting>
  <conditionalFormatting sqref="A1:J1139">
    <cfRule type="containsText" dxfId="0" priority="2" operator="containsText" text="FAB A FAIRE">
      <formula>NOT(ISERROR(SEARCH(("FAB A FAIRE"),(A1))))</formula>
    </cfRule>
  </conditionalFormatting>
  <conditionalFormatting sqref="B3:H1139">
    <cfRule type="expression" dxfId="1" priority="3">
      <formula>$G3="Stand-by"</formula>
    </cfRule>
  </conditionalFormatting>
  <conditionalFormatting sqref="G2:G1139">
    <cfRule type="cellIs" dxfId="2" priority="4" operator="equal">
      <formula>"A faire"</formula>
    </cfRule>
  </conditionalFormatting>
  <conditionalFormatting sqref="G2:G1139">
    <cfRule type="cellIs" dxfId="3" priority="5" operator="equal">
      <formula>"En cours"</formula>
    </cfRule>
  </conditionalFormatting>
  <conditionalFormatting sqref="B3:H1139">
    <cfRule type="expression" dxfId="4" priority="6">
      <formula>$G3="Sur T.L."</formula>
    </cfRule>
  </conditionalFormatting>
  <conditionalFormatting sqref="G2:G1139">
    <cfRule type="cellIs" dxfId="5" priority="7" operator="equal">
      <formula>"Attente R."</formula>
    </cfRule>
  </conditionalFormatting>
  <conditionalFormatting sqref="F2:F1139">
    <cfRule type="timePeriod" dxfId="11" priority="8" timePeriod="today"/>
  </conditionalFormatting>
  <conditionalFormatting sqref="F2:F1139">
    <cfRule type="expression" dxfId="7" priority="9">
      <formula>AND(ISNUMBER(F2),TRUNC(F2)&lt;TODAY())</formula>
    </cfRule>
  </conditionalFormatting>
  <conditionalFormatting sqref="H2:H1139">
    <cfRule type="containsText" dxfId="9" priority="10" operator="containsText" text="REPRISE DOSSIER CAROLE">
      <formula>NOT(ISERROR(SEARCH(("REPRISE DOSSIER CAROLE"),(H2))))</formula>
    </cfRule>
  </conditionalFormatting>
  <dataValidations>
    <dataValidation type="list" allowBlank="1" sqref="G3:G1139">
      <formula1>"-,A faire,En cours,Attente R.,Stand-by,Sur T.L.,Mairie"</formula1>
    </dataValidation>
    <dataValidation type="list" allowBlank="1" sqref="E3:E138">
      <formula1>"-,M,A,S,L,F"</formula1>
    </dataValidation>
    <dataValidation type="list" allowBlank="1" sqref="E139:E1139">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205</v>
      </c>
    </row>
    <row r="2">
      <c r="A2" s="37"/>
      <c r="B2" s="38" t="s">
        <v>1</v>
      </c>
      <c r="C2" s="39" t="s">
        <v>2</v>
      </c>
      <c r="D2" s="39" t="s">
        <v>3</v>
      </c>
      <c r="E2" s="40" t="s">
        <v>4</v>
      </c>
      <c r="F2" s="39" t="s">
        <v>5</v>
      </c>
      <c r="G2" s="40" t="s">
        <v>6</v>
      </c>
      <c r="H2" s="40" t="s">
        <v>7</v>
      </c>
      <c r="I2" s="40" t="s">
        <v>8</v>
      </c>
      <c r="J2" s="41"/>
    </row>
    <row r="3">
      <c r="A3" s="42" t="s">
        <v>206</v>
      </c>
      <c r="B3" s="43" t="s">
        <v>207</v>
      </c>
      <c r="C3" s="8">
        <v>45573.47095581019</v>
      </c>
      <c r="D3" s="8"/>
      <c r="E3" s="9"/>
      <c r="F3" s="10"/>
      <c r="G3" s="9" t="s">
        <v>18</v>
      </c>
      <c r="H3" s="7"/>
      <c r="I3" s="9" t="s">
        <v>13</v>
      </c>
      <c r="J3" s="44"/>
    </row>
    <row r="4">
      <c r="A4" s="42" t="s">
        <v>206</v>
      </c>
      <c r="B4" s="43" t="s">
        <v>208</v>
      </c>
      <c r="C4" s="8">
        <v>45636.72040145833</v>
      </c>
      <c r="D4" s="8"/>
      <c r="E4" s="9"/>
      <c r="F4" s="10"/>
      <c r="G4" s="9" t="s">
        <v>18</v>
      </c>
      <c r="H4" s="11"/>
      <c r="I4" s="9" t="s">
        <v>13</v>
      </c>
      <c r="J4" s="44"/>
    </row>
    <row r="5">
      <c r="A5" s="42" t="s">
        <v>206</v>
      </c>
      <c r="B5" s="43" t="s">
        <v>209</v>
      </c>
      <c r="C5" s="8">
        <v>45637.62683679398</v>
      </c>
      <c r="D5" s="8"/>
      <c r="E5" s="9"/>
      <c r="F5" s="10"/>
      <c r="G5" s="9" t="s">
        <v>15</v>
      </c>
      <c r="H5" s="7" t="s">
        <v>210</v>
      </c>
      <c r="I5" s="9" t="s">
        <v>13</v>
      </c>
      <c r="J5" s="44"/>
    </row>
    <row r="6">
      <c r="A6" s="42" t="s">
        <v>206</v>
      </c>
      <c r="B6" s="45" t="s">
        <v>211</v>
      </c>
      <c r="C6" s="8">
        <v>45639.48830167824</v>
      </c>
      <c r="D6" s="8"/>
      <c r="E6" s="9"/>
      <c r="F6" s="10"/>
      <c r="G6" s="9" t="s">
        <v>15</v>
      </c>
      <c r="H6" s="7" t="s">
        <v>212</v>
      </c>
      <c r="I6" s="9" t="s">
        <v>13</v>
      </c>
      <c r="J6" s="44"/>
    </row>
    <row r="7">
      <c r="A7" s="42" t="s">
        <v>206</v>
      </c>
      <c r="B7" s="43" t="s">
        <v>213</v>
      </c>
      <c r="C7" s="8">
        <v>45526.719572291666</v>
      </c>
      <c r="D7" s="8"/>
      <c r="E7" s="9" t="s">
        <v>206</v>
      </c>
      <c r="F7" s="10"/>
      <c r="G7" s="9" t="s">
        <v>15</v>
      </c>
      <c r="H7" s="7" t="s">
        <v>214</v>
      </c>
      <c r="I7" s="9" t="s">
        <v>13</v>
      </c>
      <c r="J7" s="44"/>
    </row>
    <row r="8">
      <c r="A8" s="42" t="s">
        <v>206</v>
      </c>
      <c r="B8" s="45" t="s">
        <v>215</v>
      </c>
      <c r="C8" s="8">
        <v>45637.57624219907</v>
      </c>
      <c r="D8" s="8"/>
      <c r="E8" s="9" t="s">
        <v>216</v>
      </c>
      <c r="F8" s="10"/>
      <c r="G8" s="9" t="s">
        <v>15</v>
      </c>
      <c r="H8" s="7" t="s">
        <v>217</v>
      </c>
      <c r="I8" s="9" t="s">
        <v>13</v>
      </c>
      <c r="J8" s="44"/>
    </row>
    <row r="9">
      <c r="A9" s="42" t="s">
        <v>206</v>
      </c>
      <c r="B9" s="46" t="s">
        <v>218</v>
      </c>
      <c r="C9" s="8">
        <v>45643.43498611111</v>
      </c>
      <c r="D9" s="8"/>
      <c r="E9" s="9" t="s">
        <v>216</v>
      </c>
      <c r="F9" s="10"/>
      <c r="G9" s="9" t="s">
        <v>21</v>
      </c>
      <c r="H9" s="11"/>
      <c r="I9" s="9" t="s">
        <v>13</v>
      </c>
      <c r="J9" s="44"/>
    </row>
    <row r="10">
      <c r="A10" s="42" t="s">
        <v>206</v>
      </c>
      <c r="B10" s="43" t="s">
        <v>219</v>
      </c>
      <c r="C10" s="8">
        <v>45636.58015329861</v>
      </c>
      <c r="D10" s="8"/>
      <c r="E10" s="9"/>
      <c r="F10" s="10"/>
      <c r="G10" s="9" t="s">
        <v>220</v>
      </c>
      <c r="H10" s="7" t="s">
        <v>221</v>
      </c>
      <c r="I10" s="9" t="s">
        <v>13</v>
      </c>
      <c r="J10" s="44"/>
    </row>
    <row r="11">
      <c r="A11" s="42" t="s">
        <v>206</v>
      </c>
      <c r="B11" s="45" t="s">
        <v>222</v>
      </c>
      <c r="C11" s="8">
        <v>45637.57632231481</v>
      </c>
      <c r="D11" s="8"/>
      <c r="E11" s="9"/>
      <c r="F11" s="10"/>
      <c r="G11" s="9" t="s">
        <v>220</v>
      </c>
      <c r="H11" s="7" t="s">
        <v>223</v>
      </c>
      <c r="I11" s="9" t="s">
        <v>13</v>
      </c>
      <c r="J11" s="44"/>
    </row>
    <row r="12">
      <c r="A12" s="42" t="s">
        <v>206</v>
      </c>
      <c r="B12" s="45" t="s">
        <v>224</v>
      </c>
      <c r="C12" s="8">
        <v>45637.57751623842</v>
      </c>
      <c r="D12" s="8"/>
      <c r="E12" s="9"/>
      <c r="F12" s="10"/>
      <c r="G12" s="9" t="s">
        <v>220</v>
      </c>
      <c r="H12" s="7" t="s">
        <v>225</v>
      </c>
      <c r="I12" s="9" t="s">
        <v>13</v>
      </c>
      <c r="J12" s="44"/>
    </row>
    <row r="13">
      <c r="A13" s="42" t="s">
        <v>206</v>
      </c>
      <c r="B13" s="45" t="s">
        <v>226</v>
      </c>
      <c r="C13" s="8">
        <v>45637.57621673611</v>
      </c>
      <c r="D13" s="8"/>
      <c r="E13" s="9" t="s">
        <v>216</v>
      </c>
      <c r="F13" s="10"/>
      <c r="G13" s="9" t="s">
        <v>21</v>
      </c>
      <c r="H13" s="7" t="s">
        <v>227</v>
      </c>
      <c r="I13" s="9" t="s">
        <v>13</v>
      </c>
      <c r="J13" s="44"/>
    </row>
    <row r="14">
      <c r="A14" s="42" t="s">
        <v>206</v>
      </c>
      <c r="B14" s="45" t="s">
        <v>228</v>
      </c>
      <c r="C14" s="8">
        <v>45600.637098125</v>
      </c>
      <c r="D14" s="8"/>
      <c r="E14" s="9" t="s">
        <v>216</v>
      </c>
      <c r="F14" s="10"/>
      <c r="G14" s="9" t="s">
        <v>21</v>
      </c>
      <c r="H14" s="11"/>
      <c r="I14" s="9" t="s">
        <v>13</v>
      </c>
      <c r="J14" s="44"/>
    </row>
    <row r="15">
      <c r="A15" s="42" t="s">
        <v>206</v>
      </c>
      <c r="B15" s="43" t="s">
        <v>229</v>
      </c>
      <c r="C15" s="8">
        <v>45481.674320798615</v>
      </c>
      <c r="D15" s="8"/>
      <c r="E15" s="9" t="s">
        <v>216</v>
      </c>
      <c r="F15" s="10"/>
      <c r="G15" s="9" t="s">
        <v>89</v>
      </c>
      <c r="H15" s="7" t="s">
        <v>230</v>
      </c>
      <c r="I15" s="9" t="s">
        <v>13</v>
      </c>
      <c r="J15" s="44"/>
    </row>
    <row r="16">
      <c r="A16" s="42" t="s">
        <v>206</v>
      </c>
      <c r="B16" s="47"/>
      <c r="C16" s="8"/>
      <c r="D16" s="8"/>
      <c r="E16" s="9"/>
      <c r="F16" s="10"/>
      <c r="G16" s="9"/>
      <c r="H16" s="11"/>
      <c r="I16" s="9" t="s">
        <v>13</v>
      </c>
      <c r="J16" s="44"/>
    </row>
    <row r="17">
      <c r="A17" s="42" t="s">
        <v>206</v>
      </c>
      <c r="B17" s="47"/>
      <c r="C17" s="8"/>
      <c r="D17" s="8"/>
      <c r="E17" s="9"/>
      <c r="F17" s="10"/>
      <c r="G17" s="9"/>
      <c r="H17" s="11"/>
      <c r="I17" s="9" t="s">
        <v>13</v>
      </c>
      <c r="J17" s="44"/>
    </row>
    <row r="18">
      <c r="A18" s="42" t="s">
        <v>206</v>
      </c>
      <c r="B18" s="47"/>
      <c r="C18" s="8"/>
      <c r="D18" s="8"/>
      <c r="E18" s="9"/>
      <c r="F18" s="10"/>
      <c r="G18" s="9"/>
      <c r="H18" s="11"/>
      <c r="I18" s="9" t="s">
        <v>13</v>
      </c>
      <c r="J18" s="44"/>
    </row>
    <row r="19">
      <c r="A19" s="42" t="s">
        <v>206</v>
      </c>
      <c r="B19" s="43" t="s">
        <v>231</v>
      </c>
      <c r="C19" s="8"/>
      <c r="D19" s="8"/>
      <c r="E19" s="9"/>
      <c r="F19" s="10"/>
      <c r="G19" s="9"/>
      <c r="H19" s="7" t="s">
        <v>232</v>
      </c>
      <c r="I19" s="9" t="s">
        <v>13</v>
      </c>
      <c r="J19" s="44"/>
    </row>
    <row r="20">
      <c r="A20" s="42" t="s">
        <v>206</v>
      </c>
      <c r="B20" s="43" t="s">
        <v>233</v>
      </c>
      <c r="C20" s="8"/>
      <c r="D20" s="8"/>
      <c r="E20" s="9"/>
      <c r="F20" s="10"/>
      <c r="G20" s="9"/>
      <c r="H20" s="7" t="s">
        <v>234</v>
      </c>
      <c r="I20" s="9" t="s">
        <v>13</v>
      </c>
      <c r="J20" s="44"/>
    </row>
    <row r="21">
      <c r="A21" s="42" t="s">
        <v>206</v>
      </c>
      <c r="B21" s="47"/>
      <c r="C21" s="8"/>
      <c r="D21" s="8"/>
      <c r="E21" s="9"/>
      <c r="F21" s="10"/>
      <c r="G21" s="9"/>
      <c r="H21" s="11"/>
      <c r="I21" s="9" t="s">
        <v>13</v>
      </c>
      <c r="J21" s="44"/>
    </row>
    <row r="22">
      <c r="A22" s="42" t="s">
        <v>206</v>
      </c>
      <c r="B22" s="47"/>
      <c r="C22" s="8"/>
      <c r="D22" s="8"/>
      <c r="E22" s="9"/>
      <c r="F22" s="10"/>
      <c r="G22" s="9"/>
      <c r="H22" s="11"/>
      <c r="I22" s="9" t="s">
        <v>13</v>
      </c>
      <c r="J22" s="44"/>
    </row>
    <row r="23">
      <c r="A23" s="42" t="s">
        <v>206</v>
      </c>
      <c r="B23" s="47"/>
      <c r="C23" s="8"/>
      <c r="D23" s="8"/>
      <c r="E23" s="9"/>
      <c r="F23" s="10"/>
      <c r="G23" s="9"/>
      <c r="H23" s="11"/>
      <c r="I23" s="9" t="s">
        <v>13</v>
      </c>
      <c r="J23" s="44"/>
    </row>
    <row r="24">
      <c r="A24" s="42" t="s">
        <v>206</v>
      </c>
      <c r="B24" s="47"/>
      <c r="C24" s="8"/>
      <c r="D24" s="8"/>
      <c r="E24" s="9"/>
      <c r="F24" s="10"/>
      <c r="G24" s="9"/>
      <c r="H24" s="11"/>
      <c r="I24" s="9" t="s">
        <v>13</v>
      </c>
      <c r="J24" s="44"/>
    </row>
    <row r="25">
      <c r="A25" s="42" t="s">
        <v>206</v>
      </c>
      <c r="B25" s="47"/>
      <c r="C25" s="8"/>
      <c r="D25" s="8"/>
      <c r="E25" s="9"/>
      <c r="F25" s="10"/>
      <c r="G25" s="9"/>
      <c r="H25" s="11"/>
      <c r="I25" s="9" t="s">
        <v>13</v>
      </c>
      <c r="J25" s="44"/>
    </row>
    <row r="26">
      <c r="A26" s="42" t="s">
        <v>206</v>
      </c>
      <c r="B26" s="47"/>
      <c r="C26" s="8"/>
      <c r="D26" s="8"/>
      <c r="E26" s="9"/>
      <c r="F26" s="10"/>
      <c r="G26" s="9"/>
      <c r="H26" s="11"/>
      <c r="I26" s="9" t="s">
        <v>13</v>
      </c>
      <c r="J26" s="44"/>
    </row>
    <row r="27">
      <c r="A27" s="42" t="s">
        <v>206</v>
      </c>
      <c r="B27" s="47"/>
      <c r="C27" s="8"/>
      <c r="D27" s="8"/>
      <c r="E27" s="9"/>
      <c r="F27" s="10"/>
      <c r="G27" s="9"/>
      <c r="H27" s="11"/>
      <c r="I27" s="9" t="s">
        <v>13</v>
      </c>
      <c r="J27" s="44"/>
    </row>
    <row r="28">
      <c r="A28" s="42" t="s">
        <v>206</v>
      </c>
      <c r="B28" s="47"/>
      <c r="C28" s="8"/>
      <c r="D28" s="8"/>
      <c r="E28" s="9"/>
      <c r="F28" s="10"/>
      <c r="G28" s="9"/>
      <c r="H28" s="11"/>
      <c r="I28" s="9" t="s">
        <v>13</v>
      </c>
      <c r="J28" s="44"/>
    </row>
    <row r="29">
      <c r="A29" s="42" t="s">
        <v>206</v>
      </c>
      <c r="B29" s="47"/>
      <c r="C29" s="8"/>
      <c r="D29" s="8"/>
      <c r="E29" s="9"/>
      <c r="F29" s="10"/>
      <c r="G29" s="9"/>
      <c r="H29" s="11"/>
      <c r="I29" s="9" t="s">
        <v>13</v>
      </c>
      <c r="J29" s="44"/>
    </row>
    <row r="30">
      <c r="A30" s="42" t="s">
        <v>206</v>
      </c>
      <c r="B30" s="47"/>
      <c r="C30" s="8"/>
      <c r="D30" s="8"/>
      <c r="E30" s="9"/>
      <c r="F30" s="10"/>
      <c r="G30" s="9"/>
      <c r="H30" s="11"/>
      <c r="I30" s="9" t="s">
        <v>13</v>
      </c>
      <c r="J30" s="44"/>
    </row>
    <row r="31">
      <c r="A31" s="42" t="s">
        <v>206</v>
      </c>
      <c r="B31" s="47"/>
      <c r="C31" s="8"/>
      <c r="D31" s="8"/>
      <c r="E31" s="9"/>
      <c r="F31" s="10"/>
      <c r="G31" s="9"/>
      <c r="H31" s="11"/>
      <c r="I31" s="9" t="s">
        <v>13</v>
      </c>
      <c r="J31" s="44"/>
    </row>
    <row r="32">
      <c r="A32" s="42" t="s">
        <v>206</v>
      </c>
      <c r="B32" s="47"/>
      <c r="C32" s="8"/>
      <c r="D32" s="8"/>
      <c r="E32" s="9"/>
      <c r="F32" s="10"/>
      <c r="G32" s="9"/>
      <c r="H32" s="11"/>
      <c r="I32" s="9" t="s">
        <v>13</v>
      </c>
      <c r="J32" s="44"/>
    </row>
    <row r="33">
      <c r="A33" s="42" t="s">
        <v>206</v>
      </c>
      <c r="B33" s="47"/>
      <c r="C33" s="8"/>
      <c r="D33" s="8"/>
      <c r="E33" s="9"/>
      <c r="F33" s="10"/>
      <c r="G33" s="9"/>
      <c r="H33" s="11"/>
      <c r="I33" s="9" t="s">
        <v>13</v>
      </c>
      <c r="J33" s="44"/>
    </row>
    <row r="34">
      <c r="A34" s="42" t="s">
        <v>206</v>
      </c>
      <c r="B34" s="47"/>
      <c r="C34" s="8"/>
      <c r="D34" s="8"/>
      <c r="E34" s="9"/>
      <c r="F34" s="10"/>
      <c r="G34" s="9"/>
      <c r="H34" s="11"/>
      <c r="I34" s="9" t="s">
        <v>13</v>
      </c>
      <c r="J34" s="44"/>
    </row>
    <row r="35">
      <c r="A35" s="42" t="s">
        <v>206</v>
      </c>
      <c r="B35" s="47"/>
      <c r="C35" s="8"/>
      <c r="D35" s="8"/>
      <c r="E35" s="9"/>
      <c r="F35" s="10"/>
      <c r="G35" s="9"/>
      <c r="H35" s="11"/>
      <c r="I35" s="9" t="s">
        <v>13</v>
      </c>
      <c r="J35" s="44"/>
    </row>
    <row r="36">
      <c r="A36" s="42" t="s">
        <v>206</v>
      </c>
      <c r="B36" s="47"/>
      <c r="C36" s="8"/>
      <c r="D36" s="8"/>
      <c r="E36" s="9"/>
      <c r="F36" s="10"/>
      <c r="G36" s="9"/>
      <c r="H36" s="11"/>
      <c r="I36" s="9" t="s">
        <v>13</v>
      </c>
      <c r="J36" s="44"/>
    </row>
    <row r="37">
      <c r="A37" s="42" t="s">
        <v>206</v>
      </c>
      <c r="B37" s="47"/>
      <c r="C37" s="8"/>
      <c r="D37" s="8"/>
      <c r="E37" s="9"/>
      <c r="F37" s="10"/>
      <c r="G37" s="9"/>
      <c r="H37" s="11"/>
      <c r="I37" s="9" t="s">
        <v>13</v>
      </c>
      <c r="J37" s="44"/>
    </row>
    <row r="38">
      <c r="A38" s="42" t="s">
        <v>206</v>
      </c>
      <c r="B38" s="47"/>
      <c r="C38" s="8"/>
      <c r="D38" s="8"/>
      <c r="E38" s="9"/>
      <c r="F38" s="10"/>
      <c r="G38" s="9"/>
      <c r="H38" s="11"/>
      <c r="I38" s="9" t="s">
        <v>13</v>
      </c>
      <c r="J38" s="44"/>
    </row>
    <row r="39">
      <c r="A39" s="42" t="s">
        <v>206</v>
      </c>
      <c r="B39" s="47"/>
      <c r="C39" s="8"/>
      <c r="D39" s="8"/>
      <c r="E39" s="9"/>
      <c r="F39" s="10"/>
      <c r="G39" s="9"/>
      <c r="H39" s="11"/>
      <c r="I39" s="9" t="s">
        <v>13</v>
      </c>
      <c r="J39" s="44"/>
    </row>
    <row r="40">
      <c r="A40" s="42" t="s">
        <v>206</v>
      </c>
      <c r="B40" s="47"/>
      <c r="C40" s="8"/>
      <c r="D40" s="8"/>
      <c r="E40" s="9"/>
      <c r="F40" s="10"/>
      <c r="G40" s="9"/>
      <c r="H40" s="11"/>
      <c r="I40" s="9" t="s">
        <v>13</v>
      </c>
      <c r="J40" s="44"/>
    </row>
    <row r="41">
      <c r="A41" s="42" t="s">
        <v>206</v>
      </c>
      <c r="B41" s="47"/>
      <c r="C41" s="8"/>
      <c r="D41" s="8"/>
      <c r="E41" s="9"/>
      <c r="F41" s="10"/>
      <c r="G41" s="9"/>
      <c r="H41" s="11"/>
      <c r="I41" s="9" t="s">
        <v>13</v>
      </c>
      <c r="J41" s="44"/>
    </row>
    <row r="42">
      <c r="A42" s="42" t="s">
        <v>206</v>
      </c>
      <c r="B42" s="47"/>
      <c r="C42" s="8"/>
      <c r="D42" s="8"/>
      <c r="E42" s="9"/>
      <c r="F42" s="10"/>
      <c r="G42" s="9"/>
      <c r="H42" s="11"/>
      <c r="I42" s="9" t="s">
        <v>13</v>
      </c>
      <c r="J42" s="44"/>
    </row>
    <row r="43">
      <c r="A43" s="42" t="s">
        <v>206</v>
      </c>
      <c r="B43" s="47"/>
      <c r="C43" s="8"/>
      <c r="D43" s="8"/>
      <c r="E43" s="9"/>
      <c r="F43" s="10"/>
      <c r="G43" s="9"/>
      <c r="H43" s="11"/>
      <c r="I43" s="9" t="s">
        <v>13</v>
      </c>
      <c r="J43" s="44"/>
    </row>
    <row r="44">
      <c r="A44" s="42" t="s">
        <v>206</v>
      </c>
      <c r="B44" s="47"/>
      <c r="C44" s="8"/>
      <c r="D44" s="8"/>
      <c r="E44" s="9"/>
      <c r="F44" s="10"/>
      <c r="G44" s="9"/>
      <c r="H44" s="11"/>
      <c r="I44" s="9" t="s">
        <v>13</v>
      </c>
      <c r="J44" s="44"/>
    </row>
    <row r="45">
      <c r="A45" s="42" t="s">
        <v>206</v>
      </c>
      <c r="B45" s="47"/>
      <c r="C45" s="8"/>
      <c r="D45" s="8"/>
      <c r="E45" s="9"/>
      <c r="F45" s="10"/>
      <c r="G45" s="9"/>
      <c r="H45" s="11"/>
      <c r="I45" s="9" t="s">
        <v>13</v>
      </c>
      <c r="J45" s="44"/>
    </row>
    <row r="46">
      <c r="A46" s="42" t="s">
        <v>206</v>
      </c>
      <c r="B46" s="47"/>
      <c r="C46" s="8"/>
      <c r="D46" s="8"/>
      <c r="E46" s="9"/>
      <c r="F46" s="10"/>
      <c r="G46" s="9"/>
      <c r="H46" s="11"/>
      <c r="I46" s="9" t="s">
        <v>13</v>
      </c>
      <c r="J46" s="44"/>
    </row>
    <row r="47">
      <c r="A47" s="42" t="s">
        <v>206</v>
      </c>
      <c r="B47" s="47"/>
      <c r="C47" s="8"/>
      <c r="D47" s="8"/>
      <c r="E47" s="9"/>
      <c r="F47" s="10"/>
      <c r="G47" s="9"/>
      <c r="H47" s="11"/>
      <c r="I47" s="9" t="s">
        <v>13</v>
      </c>
      <c r="J47" s="44"/>
    </row>
    <row r="48">
      <c r="A48" s="42" t="s">
        <v>206</v>
      </c>
      <c r="B48" s="47"/>
      <c r="C48" s="8"/>
      <c r="D48" s="8"/>
      <c r="E48" s="9"/>
      <c r="F48" s="10"/>
      <c r="G48" s="9"/>
      <c r="H48" s="11"/>
      <c r="I48" s="9" t="s">
        <v>13</v>
      </c>
      <c r="J48" s="44"/>
    </row>
    <row r="49">
      <c r="A49" s="42" t="s">
        <v>206</v>
      </c>
      <c r="B49" s="47"/>
      <c r="C49" s="8"/>
      <c r="D49" s="8"/>
      <c r="E49" s="9"/>
      <c r="F49" s="10"/>
      <c r="G49" s="9"/>
      <c r="H49" s="11"/>
      <c r="I49" s="9" t="s">
        <v>13</v>
      </c>
      <c r="J49" s="44"/>
    </row>
    <row r="50">
      <c r="A50" s="42" t="s">
        <v>206</v>
      </c>
      <c r="B50" s="47"/>
      <c r="C50" s="8"/>
      <c r="D50" s="8"/>
      <c r="E50" s="9"/>
      <c r="F50" s="10"/>
      <c r="G50" s="9"/>
      <c r="H50" s="11"/>
      <c r="I50" s="9" t="s">
        <v>13</v>
      </c>
      <c r="J50" s="44"/>
    </row>
    <row r="51">
      <c r="A51" s="42" t="s">
        <v>206</v>
      </c>
      <c r="B51" s="47"/>
      <c r="C51" s="8"/>
      <c r="D51" s="8"/>
      <c r="E51" s="9"/>
      <c r="F51" s="10"/>
      <c r="G51" s="9"/>
      <c r="H51" s="11"/>
      <c r="I51" s="9" t="s">
        <v>13</v>
      </c>
      <c r="J51" s="44"/>
    </row>
    <row r="52">
      <c r="A52" s="42" t="s">
        <v>206</v>
      </c>
      <c r="B52" s="47"/>
      <c r="C52" s="8"/>
      <c r="D52" s="8"/>
      <c r="E52" s="9"/>
      <c r="F52" s="10"/>
      <c r="G52" s="9"/>
      <c r="H52" s="11"/>
      <c r="I52" s="9" t="s">
        <v>13</v>
      </c>
      <c r="J52" s="44"/>
    </row>
    <row r="53">
      <c r="A53" s="42" t="s">
        <v>206</v>
      </c>
      <c r="B53" s="47"/>
      <c r="C53" s="8"/>
      <c r="D53" s="8"/>
      <c r="E53" s="9"/>
      <c r="F53" s="10"/>
      <c r="G53" s="9"/>
      <c r="H53" s="11"/>
      <c r="I53" s="9" t="s">
        <v>13</v>
      </c>
      <c r="J53" s="44"/>
    </row>
    <row r="54">
      <c r="A54" s="42" t="s">
        <v>206</v>
      </c>
      <c r="B54" s="47"/>
      <c r="C54" s="8"/>
      <c r="D54" s="8"/>
      <c r="E54" s="9"/>
      <c r="F54" s="10"/>
      <c r="G54" s="9"/>
      <c r="H54" s="11"/>
      <c r="I54" s="9" t="s">
        <v>13</v>
      </c>
      <c r="J54" s="44"/>
    </row>
    <row r="55">
      <c r="A55" s="42" t="s">
        <v>206</v>
      </c>
      <c r="B55" s="47"/>
      <c r="C55" s="8"/>
      <c r="D55" s="8"/>
      <c r="E55" s="9"/>
      <c r="F55" s="10"/>
      <c r="G55" s="9"/>
      <c r="H55" s="11"/>
      <c r="I55" s="9" t="s">
        <v>13</v>
      </c>
      <c r="J55" s="44"/>
    </row>
    <row r="56">
      <c r="A56" s="42" t="s">
        <v>206</v>
      </c>
      <c r="B56" s="47"/>
      <c r="C56" s="8"/>
      <c r="D56" s="8"/>
      <c r="E56" s="9"/>
      <c r="F56" s="10"/>
      <c r="G56" s="9"/>
      <c r="H56" s="11"/>
      <c r="I56" s="9" t="s">
        <v>13</v>
      </c>
      <c r="J56" s="44"/>
    </row>
    <row r="57">
      <c r="A57" s="42" t="s">
        <v>206</v>
      </c>
      <c r="B57" s="47"/>
      <c r="C57" s="8"/>
      <c r="D57" s="8"/>
      <c r="E57" s="9"/>
      <c r="F57" s="10"/>
      <c r="G57" s="9"/>
      <c r="H57" s="11"/>
      <c r="I57" s="9" t="s">
        <v>13</v>
      </c>
      <c r="J57" s="44"/>
    </row>
    <row r="58">
      <c r="A58" s="42" t="s">
        <v>206</v>
      </c>
      <c r="B58" s="47"/>
      <c r="C58" s="8"/>
      <c r="D58" s="8"/>
      <c r="E58" s="9"/>
      <c r="F58" s="10"/>
      <c r="G58" s="9"/>
      <c r="H58" s="11"/>
      <c r="I58" s="9" t="s">
        <v>13</v>
      </c>
      <c r="J58" s="44"/>
    </row>
    <row r="59">
      <c r="A59" s="42" t="s">
        <v>206</v>
      </c>
      <c r="B59" s="47"/>
      <c r="C59" s="8"/>
      <c r="D59" s="8"/>
      <c r="E59" s="9"/>
      <c r="F59" s="10"/>
      <c r="G59" s="9"/>
      <c r="H59" s="11"/>
      <c r="I59" s="9" t="s">
        <v>13</v>
      </c>
      <c r="J59" s="44"/>
    </row>
    <row r="60">
      <c r="A60" s="42" t="s">
        <v>206</v>
      </c>
      <c r="B60" s="47"/>
      <c r="C60" s="8"/>
      <c r="D60" s="8"/>
      <c r="E60" s="9"/>
      <c r="F60" s="10"/>
      <c r="G60" s="9"/>
      <c r="H60" s="11"/>
      <c r="I60" s="9" t="s">
        <v>13</v>
      </c>
      <c r="J60" s="44"/>
    </row>
    <row r="61">
      <c r="A61" s="42" t="s">
        <v>206</v>
      </c>
      <c r="B61" s="47"/>
      <c r="C61" s="8"/>
      <c r="D61" s="8"/>
      <c r="E61" s="9"/>
      <c r="F61" s="10"/>
      <c r="G61" s="9"/>
      <c r="H61" s="11"/>
      <c r="I61" s="9" t="s">
        <v>13</v>
      </c>
      <c r="J61" s="44"/>
    </row>
    <row r="62">
      <c r="A62" s="42" t="s">
        <v>206</v>
      </c>
      <c r="B62" s="47"/>
      <c r="C62" s="8"/>
      <c r="D62" s="8"/>
      <c r="E62" s="9"/>
      <c r="F62" s="10"/>
      <c r="G62" s="9"/>
      <c r="H62" s="11"/>
      <c r="I62" s="9" t="s">
        <v>13</v>
      </c>
      <c r="J62" s="44"/>
    </row>
    <row r="63">
      <c r="A63" s="42" t="s">
        <v>206</v>
      </c>
      <c r="B63" s="47"/>
      <c r="C63" s="8"/>
      <c r="D63" s="8"/>
      <c r="E63" s="9"/>
      <c r="F63" s="10"/>
      <c r="G63" s="9"/>
      <c r="H63" s="11"/>
      <c r="I63" s="9" t="s">
        <v>13</v>
      </c>
      <c r="J63" s="44"/>
    </row>
    <row r="64">
      <c r="A64" s="42" t="s">
        <v>206</v>
      </c>
      <c r="B64" s="47"/>
      <c r="C64" s="8"/>
      <c r="D64" s="8"/>
      <c r="E64" s="9"/>
      <c r="F64" s="10"/>
      <c r="G64" s="9"/>
      <c r="H64" s="11"/>
      <c r="I64" s="9" t="s">
        <v>13</v>
      </c>
      <c r="J64" s="44"/>
    </row>
    <row r="65">
      <c r="A65" s="42" t="s">
        <v>206</v>
      </c>
      <c r="B65" s="47"/>
      <c r="C65" s="8"/>
      <c r="D65" s="8"/>
      <c r="E65" s="9"/>
      <c r="F65" s="10"/>
      <c r="G65" s="9"/>
      <c r="H65" s="11"/>
      <c r="I65" s="9" t="s">
        <v>13</v>
      </c>
      <c r="J65" s="44"/>
    </row>
    <row r="66">
      <c r="A66" s="42" t="s">
        <v>206</v>
      </c>
      <c r="B66" s="47"/>
      <c r="C66" s="8"/>
      <c r="D66" s="8"/>
      <c r="E66" s="9"/>
      <c r="F66" s="10"/>
      <c r="G66" s="9"/>
      <c r="H66" s="11"/>
      <c r="I66" s="9" t="s">
        <v>13</v>
      </c>
      <c r="J66" s="44"/>
    </row>
    <row r="67">
      <c r="A67" s="42" t="s">
        <v>206</v>
      </c>
      <c r="B67" s="47"/>
      <c r="C67" s="8"/>
      <c r="D67" s="8"/>
      <c r="E67" s="9"/>
      <c r="F67" s="10"/>
      <c r="G67" s="9"/>
      <c r="H67" s="11"/>
      <c r="I67" s="9" t="s">
        <v>13</v>
      </c>
      <c r="J67" s="44"/>
    </row>
    <row r="68">
      <c r="A68" s="42" t="s">
        <v>206</v>
      </c>
      <c r="B68" s="47"/>
      <c r="C68" s="8"/>
      <c r="D68" s="8"/>
      <c r="E68" s="9"/>
      <c r="F68" s="10"/>
      <c r="G68" s="9"/>
      <c r="H68" s="11"/>
      <c r="I68" s="9" t="s">
        <v>13</v>
      </c>
      <c r="J68" s="44"/>
    </row>
    <row r="69">
      <c r="A69" s="42" t="s">
        <v>206</v>
      </c>
      <c r="B69" s="47"/>
      <c r="C69" s="8"/>
      <c r="D69" s="8"/>
      <c r="E69" s="9"/>
      <c r="F69" s="10"/>
      <c r="G69" s="9"/>
      <c r="H69" s="11"/>
      <c r="I69" s="9" t="s">
        <v>13</v>
      </c>
      <c r="J69" s="44"/>
    </row>
    <row r="70">
      <c r="A70" s="42" t="s">
        <v>206</v>
      </c>
      <c r="B70" s="47"/>
      <c r="C70" s="8"/>
      <c r="D70" s="8"/>
      <c r="E70" s="9"/>
      <c r="F70" s="10"/>
      <c r="G70" s="9"/>
      <c r="H70" s="11"/>
      <c r="I70" s="9" t="s">
        <v>13</v>
      </c>
      <c r="J70" s="44"/>
    </row>
    <row r="71">
      <c r="A71" s="42" t="s">
        <v>206</v>
      </c>
      <c r="B71" s="47"/>
      <c r="C71" s="8"/>
      <c r="D71" s="8"/>
      <c r="E71" s="9"/>
      <c r="F71" s="10"/>
      <c r="G71" s="9"/>
      <c r="H71" s="11"/>
      <c r="I71" s="9" t="s">
        <v>13</v>
      </c>
      <c r="J71" s="44"/>
    </row>
    <row r="72">
      <c r="A72" s="42" t="s">
        <v>206</v>
      </c>
      <c r="B72" s="47"/>
      <c r="C72" s="8"/>
      <c r="D72" s="8"/>
      <c r="E72" s="9"/>
      <c r="F72" s="10"/>
      <c r="G72" s="9"/>
      <c r="H72" s="11"/>
      <c r="I72" s="9" t="s">
        <v>13</v>
      </c>
      <c r="J72" s="44"/>
    </row>
    <row r="73">
      <c r="A73" s="42" t="s">
        <v>206</v>
      </c>
      <c r="B73" s="47"/>
      <c r="C73" s="8"/>
      <c r="D73" s="8"/>
      <c r="E73" s="9"/>
      <c r="F73" s="10"/>
      <c r="G73" s="9"/>
      <c r="H73" s="11"/>
      <c r="I73" s="9" t="s">
        <v>13</v>
      </c>
      <c r="J73" s="44"/>
    </row>
    <row r="74">
      <c r="A74" s="42" t="s">
        <v>206</v>
      </c>
      <c r="B74" s="47"/>
      <c r="C74" s="8"/>
      <c r="D74" s="8"/>
      <c r="E74" s="9"/>
      <c r="F74" s="10"/>
      <c r="G74" s="9"/>
      <c r="H74" s="11"/>
      <c r="I74" s="9" t="s">
        <v>13</v>
      </c>
      <c r="J74" s="44"/>
    </row>
    <row r="75">
      <c r="A75" s="42" t="s">
        <v>206</v>
      </c>
      <c r="B75" s="47"/>
      <c r="C75" s="8"/>
      <c r="D75" s="8"/>
      <c r="E75" s="9"/>
      <c r="F75" s="10"/>
      <c r="G75" s="9"/>
      <c r="H75" s="11"/>
      <c r="I75" s="9" t="s">
        <v>13</v>
      </c>
      <c r="J75" s="44"/>
    </row>
    <row r="76">
      <c r="A76" s="42" t="s">
        <v>206</v>
      </c>
      <c r="B76" s="47"/>
      <c r="C76" s="8"/>
      <c r="D76" s="8"/>
      <c r="E76" s="9"/>
      <c r="F76" s="10"/>
      <c r="G76" s="9"/>
      <c r="H76" s="11"/>
      <c r="I76" s="9" t="s">
        <v>13</v>
      </c>
      <c r="J76" s="44"/>
    </row>
    <row r="77">
      <c r="A77" s="42" t="s">
        <v>206</v>
      </c>
      <c r="B77" s="47"/>
      <c r="C77" s="8"/>
      <c r="D77" s="8"/>
      <c r="E77" s="9"/>
      <c r="F77" s="10"/>
      <c r="G77" s="9"/>
      <c r="H77" s="11"/>
      <c r="I77" s="9" t="s">
        <v>13</v>
      </c>
      <c r="J77" s="44"/>
    </row>
    <row r="78">
      <c r="A78" s="42" t="s">
        <v>206</v>
      </c>
      <c r="B78" s="47"/>
      <c r="C78" s="8"/>
      <c r="D78" s="8"/>
      <c r="E78" s="9"/>
      <c r="F78" s="10"/>
      <c r="G78" s="9"/>
      <c r="H78" s="11"/>
      <c r="I78" s="9" t="s">
        <v>13</v>
      </c>
      <c r="J78" s="44"/>
    </row>
    <row r="79">
      <c r="A79" s="42" t="s">
        <v>206</v>
      </c>
      <c r="B79" s="47"/>
      <c r="C79" s="8"/>
      <c r="D79" s="8"/>
      <c r="E79" s="9"/>
      <c r="F79" s="10"/>
      <c r="G79" s="9"/>
      <c r="H79" s="11"/>
      <c r="I79" s="9" t="s">
        <v>13</v>
      </c>
      <c r="J79" s="44"/>
    </row>
    <row r="80">
      <c r="A80" s="42" t="s">
        <v>206</v>
      </c>
      <c r="B80" s="47"/>
      <c r="C80" s="8"/>
      <c r="D80" s="8"/>
      <c r="E80" s="9"/>
      <c r="F80" s="10"/>
      <c r="G80" s="9"/>
      <c r="H80" s="11"/>
      <c r="I80" s="9" t="s">
        <v>13</v>
      </c>
      <c r="J80" s="44"/>
    </row>
    <row r="81">
      <c r="A81" s="42" t="s">
        <v>206</v>
      </c>
      <c r="B81" s="47"/>
      <c r="C81" s="8"/>
      <c r="D81" s="8"/>
      <c r="E81" s="9"/>
      <c r="F81" s="10"/>
      <c r="G81" s="9"/>
      <c r="H81" s="11"/>
      <c r="I81" s="9" t="s">
        <v>13</v>
      </c>
      <c r="J81" s="44"/>
    </row>
    <row r="82">
      <c r="A82" s="42" t="s">
        <v>206</v>
      </c>
      <c r="B82" s="47"/>
      <c r="C82" s="8"/>
      <c r="D82" s="8"/>
      <c r="E82" s="9"/>
      <c r="F82" s="10"/>
      <c r="G82" s="9"/>
      <c r="H82" s="11"/>
      <c r="I82" s="9" t="s">
        <v>13</v>
      </c>
      <c r="J82" s="44"/>
    </row>
    <row r="83">
      <c r="A83" s="42" t="s">
        <v>206</v>
      </c>
      <c r="B83" s="47"/>
      <c r="C83" s="8"/>
      <c r="D83" s="8"/>
      <c r="E83" s="9"/>
      <c r="F83" s="10"/>
      <c r="G83" s="9"/>
      <c r="H83" s="11"/>
      <c r="I83" s="9" t="s">
        <v>13</v>
      </c>
      <c r="J83" s="44"/>
    </row>
    <row r="84">
      <c r="A84" s="42" t="s">
        <v>206</v>
      </c>
      <c r="B84" s="47"/>
      <c r="C84" s="8"/>
      <c r="D84" s="8"/>
      <c r="E84" s="9"/>
      <c r="F84" s="10"/>
      <c r="G84" s="9"/>
      <c r="H84" s="11"/>
      <c r="I84" s="9" t="s">
        <v>13</v>
      </c>
      <c r="J84" s="44"/>
    </row>
    <row r="85">
      <c r="A85" s="42" t="s">
        <v>206</v>
      </c>
      <c r="B85" s="47"/>
      <c r="C85" s="8"/>
      <c r="D85" s="8"/>
      <c r="E85" s="9"/>
      <c r="F85" s="10"/>
      <c r="G85" s="9"/>
      <c r="H85" s="11"/>
      <c r="I85" s="9" t="s">
        <v>13</v>
      </c>
      <c r="J85" s="44"/>
    </row>
    <row r="86">
      <c r="A86" s="42" t="s">
        <v>206</v>
      </c>
      <c r="B86" s="47"/>
      <c r="C86" s="8"/>
      <c r="D86" s="8"/>
      <c r="E86" s="9"/>
      <c r="F86" s="10"/>
      <c r="G86" s="9"/>
      <c r="H86" s="11"/>
      <c r="I86" s="9" t="s">
        <v>13</v>
      </c>
      <c r="J86" s="44"/>
    </row>
    <row r="87">
      <c r="A87" s="42" t="s">
        <v>206</v>
      </c>
      <c r="B87" s="47"/>
      <c r="C87" s="8"/>
      <c r="D87" s="8"/>
      <c r="E87" s="9"/>
      <c r="F87" s="10"/>
      <c r="G87" s="9"/>
      <c r="H87" s="11"/>
      <c r="I87" s="9" t="s">
        <v>13</v>
      </c>
      <c r="J87" s="44"/>
    </row>
    <row r="88">
      <c r="A88" s="42" t="s">
        <v>206</v>
      </c>
      <c r="B88" s="47"/>
      <c r="C88" s="8"/>
      <c r="D88" s="8"/>
      <c r="E88" s="9"/>
      <c r="F88" s="10"/>
      <c r="G88" s="9"/>
      <c r="H88" s="11"/>
      <c r="I88" s="9" t="s">
        <v>13</v>
      </c>
      <c r="J88" s="44"/>
    </row>
    <row r="89">
      <c r="A89" s="42" t="s">
        <v>206</v>
      </c>
      <c r="B89" s="47"/>
      <c r="C89" s="8"/>
      <c r="D89" s="8"/>
      <c r="E89" s="9"/>
      <c r="F89" s="10"/>
      <c r="G89" s="9"/>
      <c r="H89" s="11"/>
      <c r="I89" s="9" t="s">
        <v>13</v>
      </c>
      <c r="J89" s="44"/>
    </row>
    <row r="90">
      <c r="A90" s="42" t="s">
        <v>206</v>
      </c>
      <c r="B90" s="47"/>
      <c r="C90" s="8"/>
      <c r="D90" s="8"/>
      <c r="E90" s="9"/>
      <c r="F90" s="10"/>
      <c r="G90" s="9"/>
      <c r="H90" s="11"/>
      <c r="I90" s="9" t="s">
        <v>13</v>
      </c>
      <c r="J90" s="44"/>
    </row>
    <row r="91">
      <c r="A91" s="42" t="s">
        <v>206</v>
      </c>
      <c r="B91" s="47"/>
      <c r="C91" s="8"/>
      <c r="D91" s="8"/>
      <c r="E91" s="9"/>
      <c r="F91" s="10"/>
      <c r="G91" s="9"/>
      <c r="H91" s="11"/>
      <c r="I91" s="9" t="s">
        <v>13</v>
      </c>
      <c r="J91" s="44"/>
    </row>
    <row r="92">
      <c r="A92" s="42" t="s">
        <v>206</v>
      </c>
      <c r="B92" s="47"/>
      <c r="C92" s="8"/>
      <c r="D92" s="8"/>
      <c r="E92" s="9"/>
      <c r="F92" s="10"/>
      <c r="G92" s="9"/>
      <c r="H92" s="11"/>
      <c r="I92" s="9" t="s">
        <v>13</v>
      </c>
      <c r="J92" s="44"/>
    </row>
    <row r="93">
      <c r="A93" s="42" t="s">
        <v>206</v>
      </c>
      <c r="B93" s="47"/>
      <c r="C93" s="8"/>
      <c r="D93" s="8"/>
      <c r="E93" s="9"/>
      <c r="F93" s="10"/>
      <c r="G93" s="9"/>
      <c r="H93" s="11"/>
      <c r="I93" s="9" t="s">
        <v>13</v>
      </c>
      <c r="J93" s="44"/>
    </row>
    <row r="94">
      <c r="A94" s="42" t="s">
        <v>206</v>
      </c>
      <c r="B94" s="47"/>
      <c r="C94" s="8"/>
      <c r="D94" s="8"/>
      <c r="E94" s="9"/>
      <c r="F94" s="10"/>
      <c r="G94" s="9"/>
      <c r="H94" s="11"/>
      <c r="I94" s="9" t="s">
        <v>13</v>
      </c>
      <c r="J94" s="44"/>
    </row>
    <row r="95">
      <c r="A95" s="42" t="s">
        <v>206</v>
      </c>
      <c r="B95" s="47"/>
      <c r="C95" s="8"/>
      <c r="D95" s="8"/>
      <c r="E95" s="9"/>
      <c r="F95" s="10"/>
      <c r="G95" s="9"/>
      <c r="H95" s="11"/>
      <c r="I95" s="9" t="s">
        <v>13</v>
      </c>
      <c r="J95" s="44"/>
    </row>
    <row r="96">
      <c r="A96" s="42" t="s">
        <v>206</v>
      </c>
      <c r="B96" s="47"/>
      <c r="C96" s="8"/>
      <c r="D96" s="8"/>
      <c r="E96" s="9"/>
      <c r="F96" s="10"/>
      <c r="G96" s="9"/>
      <c r="H96" s="11"/>
      <c r="I96" s="9" t="s">
        <v>13</v>
      </c>
      <c r="J96" s="44"/>
    </row>
    <row r="97">
      <c r="A97" s="42" t="s">
        <v>206</v>
      </c>
      <c r="B97" s="47"/>
      <c r="C97" s="8"/>
      <c r="D97" s="8"/>
      <c r="E97" s="9"/>
      <c r="F97" s="10"/>
      <c r="G97" s="9"/>
      <c r="H97" s="11"/>
      <c r="I97" s="9" t="s">
        <v>13</v>
      </c>
      <c r="J97" s="44"/>
    </row>
    <row r="98">
      <c r="A98" s="42" t="s">
        <v>206</v>
      </c>
      <c r="B98" s="47"/>
      <c r="C98" s="8"/>
      <c r="D98" s="8"/>
      <c r="E98" s="9"/>
      <c r="F98" s="10"/>
      <c r="G98" s="9"/>
      <c r="H98" s="11"/>
      <c r="I98" s="9" t="s">
        <v>13</v>
      </c>
      <c r="J98" s="44"/>
    </row>
    <row r="99">
      <c r="A99" s="42" t="s">
        <v>206</v>
      </c>
      <c r="B99" s="47"/>
      <c r="C99" s="8"/>
      <c r="D99" s="8"/>
      <c r="E99" s="9"/>
      <c r="F99" s="10"/>
      <c r="G99" s="9"/>
      <c r="H99" s="11"/>
      <c r="I99" s="9" t="s">
        <v>13</v>
      </c>
      <c r="J99" s="44"/>
    </row>
    <row r="100">
      <c r="A100" s="42" t="s">
        <v>206</v>
      </c>
      <c r="B100" s="47"/>
      <c r="C100" s="8"/>
      <c r="D100" s="8"/>
      <c r="E100" s="9"/>
      <c r="F100" s="10"/>
      <c r="G100" s="9"/>
      <c r="H100" s="11"/>
      <c r="I100" s="9" t="s">
        <v>13</v>
      </c>
      <c r="J100" s="44"/>
    </row>
    <row r="101">
      <c r="A101" s="42" t="s">
        <v>206</v>
      </c>
      <c r="B101" s="47"/>
      <c r="C101" s="8"/>
      <c r="D101" s="8"/>
      <c r="E101" s="9"/>
      <c r="F101" s="10"/>
      <c r="G101" s="9"/>
      <c r="H101" s="11"/>
      <c r="I101" s="9" t="s">
        <v>13</v>
      </c>
      <c r="J101" s="44"/>
    </row>
    <row r="102">
      <c r="A102" s="42" t="s">
        <v>206</v>
      </c>
      <c r="B102" s="47"/>
      <c r="C102" s="8"/>
      <c r="D102" s="8"/>
      <c r="E102" s="9"/>
      <c r="F102" s="10"/>
      <c r="G102" s="9"/>
      <c r="H102" s="11"/>
      <c r="I102" s="9" t="s">
        <v>13</v>
      </c>
      <c r="J102" s="44"/>
    </row>
    <row r="103">
      <c r="A103" s="42" t="s">
        <v>206</v>
      </c>
      <c r="B103" s="47"/>
      <c r="C103" s="8"/>
      <c r="D103" s="8"/>
      <c r="E103" s="9"/>
      <c r="F103" s="10"/>
      <c r="G103" s="9"/>
      <c r="H103" s="11"/>
      <c r="I103" s="9" t="s">
        <v>13</v>
      </c>
      <c r="J103" s="44"/>
    </row>
    <row r="104">
      <c r="A104" s="42" t="s">
        <v>206</v>
      </c>
      <c r="B104" s="47"/>
      <c r="C104" s="8"/>
      <c r="D104" s="8"/>
      <c r="E104" s="9"/>
      <c r="F104" s="10"/>
      <c r="G104" s="9"/>
      <c r="H104" s="11"/>
      <c r="I104" s="9" t="s">
        <v>13</v>
      </c>
      <c r="J104" s="44"/>
    </row>
    <row r="105">
      <c r="A105" s="42" t="s">
        <v>206</v>
      </c>
      <c r="B105" s="47"/>
      <c r="C105" s="8"/>
      <c r="D105" s="8"/>
      <c r="E105" s="9"/>
      <c r="F105" s="10"/>
      <c r="G105" s="9"/>
      <c r="H105" s="11"/>
      <c r="I105" s="9" t="s">
        <v>13</v>
      </c>
      <c r="J105" s="44"/>
    </row>
    <row r="106">
      <c r="A106" s="42" t="s">
        <v>206</v>
      </c>
      <c r="B106" s="47"/>
      <c r="C106" s="8"/>
      <c r="D106" s="8"/>
      <c r="E106" s="9"/>
      <c r="F106" s="10"/>
      <c r="G106" s="9"/>
      <c r="H106" s="11"/>
      <c r="I106" s="9" t="s">
        <v>13</v>
      </c>
      <c r="J106" s="44"/>
    </row>
    <row r="107">
      <c r="A107" s="42" t="s">
        <v>206</v>
      </c>
      <c r="B107" s="47"/>
      <c r="C107" s="8"/>
      <c r="D107" s="8"/>
      <c r="E107" s="9"/>
      <c r="F107" s="10"/>
      <c r="G107" s="9"/>
      <c r="H107" s="11"/>
      <c r="I107" s="9" t="s">
        <v>13</v>
      </c>
      <c r="J107" s="44"/>
    </row>
    <row r="108">
      <c r="A108" s="42" t="s">
        <v>206</v>
      </c>
      <c r="B108" s="47"/>
      <c r="C108" s="8"/>
      <c r="D108" s="8"/>
      <c r="E108" s="9"/>
      <c r="F108" s="10"/>
      <c r="G108" s="9"/>
      <c r="H108" s="11"/>
      <c r="I108" s="9" t="s">
        <v>13</v>
      </c>
      <c r="J108" s="44"/>
    </row>
    <row r="109">
      <c r="A109" s="42" t="s">
        <v>206</v>
      </c>
      <c r="B109" s="47"/>
      <c r="C109" s="8"/>
      <c r="D109" s="8"/>
      <c r="E109" s="9"/>
      <c r="F109" s="10"/>
      <c r="G109" s="9"/>
      <c r="H109" s="11"/>
      <c r="I109" s="9" t="s">
        <v>13</v>
      </c>
      <c r="J109" s="44"/>
    </row>
    <row r="110">
      <c r="A110" s="42" t="s">
        <v>206</v>
      </c>
      <c r="B110" s="47"/>
      <c r="C110" s="8"/>
      <c r="D110" s="8"/>
      <c r="E110" s="9"/>
      <c r="F110" s="10"/>
      <c r="G110" s="9"/>
      <c r="H110" s="11"/>
      <c r="I110" s="9" t="s">
        <v>13</v>
      </c>
      <c r="J110" s="44"/>
    </row>
    <row r="111">
      <c r="A111" s="42" t="s">
        <v>206</v>
      </c>
      <c r="B111" s="47"/>
      <c r="C111" s="8"/>
      <c r="D111" s="8"/>
      <c r="E111" s="9"/>
      <c r="F111" s="10"/>
      <c r="G111" s="9"/>
      <c r="H111" s="11"/>
      <c r="I111" s="9" t="s">
        <v>13</v>
      </c>
      <c r="J111" s="44"/>
    </row>
    <row r="112">
      <c r="A112" s="42" t="s">
        <v>206</v>
      </c>
      <c r="B112" s="47"/>
      <c r="C112" s="8"/>
      <c r="D112" s="8"/>
      <c r="E112" s="9"/>
      <c r="F112" s="10"/>
      <c r="G112" s="9"/>
      <c r="H112" s="11"/>
      <c r="I112" s="9" t="s">
        <v>13</v>
      </c>
      <c r="J112" s="44"/>
    </row>
    <row r="113">
      <c r="A113" s="42" t="s">
        <v>206</v>
      </c>
      <c r="B113" s="47"/>
      <c r="C113" s="8"/>
      <c r="D113" s="8"/>
      <c r="E113" s="9"/>
      <c r="F113" s="10"/>
      <c r="G113" s="9"/>
      <c r="H113" s="11"/>
      <c r="I113" s="9" t="s">
        <v>13</v>
      </c>
      <c r="J113" s="44"/>
    </row>
    <row r="114">
      <c r="A114" s="42" t="s">
        <v>206</v>
      </c>
      <c r="B114" s="47"/>
      <c r="C114" s="8"/>
      <c r="D114" s="8"/>
      <c r="E114" s="9"/>
      <c r="F114" s="10"/>
      <c r="G114" s="9"/>
      <c r="H114" s="11"/>
      <c r="I114" s="9" t="s">
        <v>13</v>
      </c>
      <c r="J114" s="44"/>
    </row>
    <row r="115">
      <c r="A115" s="42" t="s">
        <v>206</v>
      </c>
      <c r="B115" s="47"/>
      <c r="C115" s="8"/>
      <c r="D115" s="8"/>
      <c r="E115" s="9"/>
      <c r="F115" s="10"/>
      <c r="G115" s="9"/>
      <c r="H115" s="11"/>
      <c r="I115" s="9" t="s">
        <v>13</v>
      </c>
      <c r="J115" s="44"/>
    </row>
    <row r="116">
      <c r="A116" s="42" t="s">
        <v>206</v>
      </c>
      <c r="B116" s="47"/>
      <c r="C116" s="8"/>
      <c r="D116" s="8"/>
      <c r="E116" s="9"/>
      <c r="F116" s="10"/>
      <c r="G116" s="9"/>
      <c r="H116" s="11"/>
      <c r="I116" s="9" t="s">
        <v>13</v>
      </c>
      <c r="J116" s="44"/>
    </row>
    <row r="117">
      <c r="A117" s="42" t="s">
        <v>206</v>
      </c>
      <c r="B117" s="47"/>
      <c r="C117" s="8"/>
      <c r="D117" s="8"/>
      <c r="E117" s="9"/>
      <c r="F117" s="10"/>
      <c r="G117" s="9"/>
      <c r="H117" s="11"/>
      <c r="I117" s="9" t="s">
        <v>13</v>
      </c>
      <c r="J117" s="44"/>
    </row>
    <row r="118">
      <c r="A118" s="42" t="s">
        <v>206</v>
      </c>
      <c r="B118" s="47"/>
      <c r="C118" s="8"/>
      <c r="D118" s="8"/>
      <c r="E118" s="9"/>
      <c r="F118" s="10"/>
      <c r="G118" s="9"/>
      <c r="H118" s="11"/>
      <c r="I118" s="9" t="s">
        <v>13</v>
      </c>
      <c r="J118" s="44"/>
    </row>
    <row r="119">
      <c r="A119" s="42" t="s">
        <v>206</v>
      </c>
      <c r="B119" s="47"/>
      <c r="C119" s="8"/>
      <c r="D119" s="8"/>
      <c r="E119" s="9"/>
      <c r="F119" s="10"/>
      <c r="G119" s="9"/>
      <c r="H119" s="11"/>
      <c r="I119" s="9" t="s">
        <v>13</v>
      </c>
      <c r="J119" s="44"/>
    </row>
    <row r="120">
      <c r="A120" s="42" t="s">
        <v>206</v>
      </c>
      <c r="B120" s="47"/>
      <c r="C120" s="8"/>
      <c r="D120" s="8"/>
      <c r="E120" s="9"/>
      <c r="F120" s="10"/>
      <c r="G120" s="9"/>
      <c r="H120" s="11"/>
      <c r="I120" s="9" t="s">
        <v>13</v>
      </c>
      <c r="J120" s="44"/>
    </row>
    <row r="121">
      <c r="A121" s="42" t="s">
        <v>206</v>
      </c>
      <c r="B121" s="47"/>
      <c r="C121" s="8"/>
      <c r="D121" s="8"/>
      <c r="E121" s="9"/>
      <c r="F121" s="10"/>
      <c r="G121" s="9"/>
      <c r="H121" s="11"/>
      <c r="I121" s="9" t="s">
        <v>13</v>
      </c>
      <c r="J121" s="44"/>
    </row>
    <row r="122">
      <c r="A122" s="42" t="s">
        <v>206</v>
      </c>
      <c r="B122" s="47"/>
      <c r="C122" s="8"/>
      <c r="D122" s="8"/>
      <c r="E122" s="9"/>
      <c r="F122" s="10"/>
      <c r="G122" s="9"/>
      <c r="H122" s="11"/>
      <c r="I122" s="9" t="s">
        <v>13</v>
      </c>
      <c r="J122" s="44"/>
    </row>
    <row r="123">
      <c r="A123" s="42" t="s">
        <v>206</v>
      </c>
      <c r="B123" s="47"/>
      <c r="C123" s="8"/>
      <c r="D123" s="8"/>
      <c r="E123" s="9"/>
      <c r="F123" s="10"/>
      <c r="G123" s="9"/>
      <c r="H123" s="11"/>
      <c r="I123" s="9" t="s">
        <v>13</v>
      </c>
      <c r="J123" s="44"/>
    </row>
    <row r="124">
      <c r="A124" s="42" t="s">
        <v>206</v>
      </c>
      <c r="B124" s="47"/>
      <c r="C124" s="8"/>
      <c r="D124" s="8"/>
      <c r="E124" s="9"/>
      <c r="F124" s="10"/>
      <c r="G124" s="9"/>
      <c r="H124" s="11"/>
      <c r="I124" s="9" t="s">
        <v>13</v>
      </c>
      <c r="J124" s="44"/>
    </row>
    <row r="125">
      <c r="A125" s="42" t="s">
        <v>206</v>
      </c>
      <c r="B125" s="47"/>
      <c r="C125" s="8"/>
      <c r="D125" s="8"/>
      <c r="E125" s="9"/>
      <c r="F125" s="10"/>
      <c r="G125" s="9"/>
      <c r="H125" s="11"/>
      <c r="I125" s="9" t="s">
        <v>13</v>
      </c>
      <c r="J125" s="44"/>
    </row>
    <row r="126">
      <c r="A126" s="42" t="s">
        <v>206</v>
      </c>
      <c r="B126" s="47"/>
      <c r="C126" s="8"/>
      <c r="D126" s="8"/>
      <c r="E126" s="9"/>
      <c r="F126" s="10"/>
      <c r="G126" s="9"/>
      <c r="H126" s="11"/>
      <c r="I126" s="9" t="s">
        <v>13</v>
      </c>
      <c r="J126" s="44"/>
    </row>
    <row r="127">
      <c r="A127" s="42" t="s">
        <v>206</v>
      </c>
      <c r="B127" s="47"/>
      <c r="C127" s="8"/>
      <c r="D127" s="8"/>
      <c r="E127" s="9"/>
      <c r="F127" s="10"/>
      <c r="G127" s="9"/>
      <c r="H127" s="11"/>
      <c r="I127" s="9" t="s">
        <v>13</v>
      </c>
      <c r="J127" s="44"/>
    </row>
    <row r="128">
      <c r="A128" s="42" t="s">
        <v>206</v>
      </c>
      <c r="B128" s="47"/>
      <c r="C128" s="8"/>
      <c r="D128" s="8"/>
      <c r="E128" s="9"/>
      <c r="F128" s="10"/>
      <c r="G128" s="9"/>
      <c r="H128" s="11"/>
      <c r="I128" s="9" t="s">
        <v>13</v>
      </c>
      <c r="J128" s="44"/>
    </row>
    <row r="129">
      <c r="A129" s="42" t="s">
        <v>206</v>
      </c>
      <c r="B129" s="47"/>
      <c r="C129" s="8"/>
      <c r="D129" s="8"/>
      <c r="E129" s="9"/>
      <c r="F129" s="10"/>
      <c r="G129" s="9"/>
      <c r="H129" s="11"/>
      <c r="I129" s="9" t="s">
        <v>13</v>
      </c>
      <c r="J129" s="44"/>
    </row>
    <row r="130">
      <c r="A130" s="42" t="s">
        <v>206</v>
      </c>
      <c r="B130" s="47"/>
      <c r="C130" s="8"/>
      <c r="D130" s="8"/>
      <c r="E130" s="9"/>
      <c r="F130" s="10"/>
      <c r="G130" s="9"/>
      <c r="H130" s="11"/>
      <c r="I130" s="9" t="s">
        <v>13</v>
      </c>
      <c r="J130" s="44"/>
    </row>
    <row r="131">
      <c r="A131" s="42" t="s">
        <v>206</v>
      </c>
      <c r="B131" s="47"/>
      <c r="C131" s="8"/>
      <c r="D131" s="8"/>
      <c r="E131" s="9"/>
      <c r="F131" s="10"/>
      <c r="G131" s="9"/>
      <c r="H131" s="11"/>
      <c r="I131" s="9" t="s">
        <v>13</v>
      </c>
      <c r="J131" s="44"/>
    </row>
    <row r="132">
      <c r="A132" s="42" t="s">
        <v>206</v>
      </c>
      <c r="B132" s="47"/>
      <c r="C132" s="8"/>
      <c r="D132" s="8"/>
      <c r="E132" s="9"/>
      <c r="F132" s="10"/>
      <c r="G132" s="9"/>
      <c r="H132" s="11"/>
      <c r="I132" s="9" t="s">
        <v>13</v>
      </c>
      <c r="J132" s="44"/>
    </row>
    <row r="133">
      <c r="A133" s="42" t="s">
        <v>206</v>
      </c>
      <c r="B133" s="47"/>
      <c r="C133" s="8"/>
      <c r="D133" s="8"/>
      <c r="E133" s="9"/>
      <c r="F133" s="10"/>
      <c r="G133" s="9"/>
      <c r="H133" s="11"/>
      <c r="I133" s="9" t="s">
        <v>13</v>
      </c>
      <c r="J133" s="44"/>
    </row>
    <row r="134">
      <c r="A134" s="42" t="s">
        <v>206</v>
      </c>
      <c r="B134" s="47"/>
      <c r="C134" s="8"/>
      <c r="D134" s="8"/>
      <c r="E134" s="9"/>
      <c r="F134" s="10"/>
      <c r="G134" s="9"/>
      <c r="H134" s="11"/>
      <c r="I134" s="9" t="s">
        <v>13</v>
      </c>
      <c r="J134" s="44"/>
    </row>
    <row r="135">
      <c r="A135" s="42" t="s">
        <v>206</v>
      </c>
      <c r="B135" s="47"/>
      <c r="C135" s="8"/>
      <c r="D135" s="8"/>
      <c r="E135" s="9"/>
      <c r="F135" s="10"/>
      <c r="G135" s="9"/>
      <c r="H135" s="11"/>
      <c r="I135" s="9" t="s">
        <v>13</v>
      </c>
      <c r="J135" s="44"/>
    </row>
    <row r="136">
      <c r="A136" s="42" t="s">
        <v>206</v>
      </c>
      <c r="B136" s="47"/>
      <c r="C136" s="8"/>
      <c r="D136" s="8"/>
      <c r="E136" s="9"/>
      <c r="F136" s="10"/>
      <c r="G136" s="9"/>
      <c r="H136" s="11"/>
      <c r="I136" s="9" t="s">
        <v>13</v>
      </c>
      <c r="J136" s="44"/>
    </row>
    <row r="137">
      <c r="A137" s="42" t="s">
        <v>206</v>
      </c>
      <c r="B137" s="47"/>
      <c r="C137" s="8"/>
      <c r="D137" s="8"/>
      <c r="E137" s="9"/>
      <c r="F137" s="10"/>
      <c r="G137" s="9"/>
      <c r="H137" s="11"/>
      <c r="I137" s="9" t="s">
        <v>13</v>
      </c>
      <c r="J137" s="44"/>
    </row>
    <row r="138">
      <c r="A138" s="42" t="s">
        <v>206</v>
      </c>
      <c r="B138" s="47"/>
      <c r="C138" s="8"/>
      <c r="D138" s="8"/>
      <c r="E138" s="9"/>
      <c r="F138" s="10"/>
      <c r="G138" s="9"/>
      <c r="H138" s="11"/>
      <c r="I138" s="9" t="s">
        <v>13</v>
      </c>
      <c r="J138" s="44"/>
    </row>
    <row r="139">
      <c r="A139" s="42" t="s">
        <v>206</v>
      </c>
      <c r="B139" s="47"/>
      <c r="C139" s="8"/>
      <c r="D139" s="8"/>
      <c r="E139" s="9"/>
      <c r="F139" s="10"/>
      <c r="G139" s="9"/>
      <c r="H139" s="11"/>
      <c r="I139" s="9" t="s">
        <v>13</v>
      </c>
      <c r="J139" s="44"/>
    </row>
    <row r="140">
      <c r="A140" s="42" t="s">
        <v>206</v>
      </c>
      <c r="B140" s="47"/>
      <c r="C140" s="8"/>
      <c r="D140" s="8"/>
      <c r="E140" s="9"/>
      <c r="F140" s="10"/>
      <c r="G140" s="9"/>
      <c r="H140" s="11"/>
      <c r="I140" s="9" t="s">
        <v>13</v>
      </c>
      <c r="J140" s="44"/>
    </row>
    <row r="141">
      <c r="A141" s="42" t="s">
        <v>206</v>
      </c>
      <c r="B141" s="47"/>
      <c r="C141" s="8"/>
      <c r="D141" s="8"/>
      <c r="E141" s="9"/>
      <c r="F141" s="10"/>
      <c r="G141" s="9"/>
      <c r="H141" s="11"/>
      <c r="I141" s="9" t="s">
        <v>13</v>
      </c>
      <c r="J141" s="44"/>
    </row>
    <row r="142">
      <c r="A142" s="42" t="s">
        <v>206</v>
      </c>
      <c r="B142" s="47"/>
      <c r="C142" s="8"/>
      <c r="D142" s="8"/>
      <c r="E142" s="9"/>
      <c r="F142" s="10"/>
      <c r="G142" s="9"/>
      <c r="H142" s="11"/>
      <c r="I142" s="9" t="s">
        <v>13</v>
      </c>
      <c r="J142" s="44"/>
    </row>
    <row r="143">
      <c r="A143" s="42" t="s">
        <v>206</v>
      </c>
      <c r="B143" s="47"/>
      <c r="C143" s="8"/>
      <c r="D143" s="8"/>
      <c r="E143" s="9"/>
      <c r="F143" s="10"/>
      <c r="G143" s="9"/>
      <c r="H143" s="11"/>
      <c r="I143" s="9" t="s">
        <v>13</v>
      </c>
      <c r="J143" s="44"/>
    </row>
    <row r="144">
      <c r="A144" s="42" t="s">
        <v>206</v>
      </c>
      <c r="B144" s="47"/>
      <c r="C144" s="8"/>
      <c r="D144" s="8"/>
      <c r="E144" s="9"/>
      <c r="F144" s="10"/>
      <c r="G144" s="9"/>
      <c r="H144" s="11"/>
      <c r="I144" s="9" t="s">
        <v>13</v>
      </c>
      <c r="J144" s="44"/>
    </row>
    <row r="145">
      <c r="A145" s="42" t="s">
        <v>206</v>
      </c>
      <c r="B145" s="47"/>
      <c r="C145" s="8"/>
      <c r="D145" s="8"/>
      <c r="E145" s="9"/>
      <c r="F145" s="10"/>
      <c r="G145" s="9"/>
      <c r="H145" s="11"/>
      <c r="I145" s="9" t="s">
        <v>13</v>
      </c>
      <c r="J145" s="44"/>
    </row>
    <row r="146">
      <c r="A146" s="42" t="s">
        <v>206</v>
      </c>
      <c r="B146" s="47"/>
      <c r="C146" s="8"/>
      <c r="D146" s="8"/>
      <c r="E146" s="9"/>
      <c r="F146" s="10"/>
      <c r="G146" s="9"/>
      <c r="H146" s="11"/>
      <c r="I146" s="9" t="s">
        <v>13</v>
      </c>
      <c r="J146" s="44"/>
    </row>
    <row r="147">
      <c r="A147" s="42" t="s">
        <v>206</v>
      </c>
      <c r="B147" s="47"/>
      <c r="C147" s="8"/>
      <c r="D147" s="8"/>
      <c r="E147" s="9"/>
      <c r="F147" s="10"/>
      <c r="G147" s="9"/>
      <c r="H147" s="11"/>
      <c r="I147" s="9" t="s">
        <v>13</v>
      </c>
      <c r="J147" s="44"/>
    </row>
    <row r="148">
      <c r="A148" s="42" t="s">
        <v>206</v>
      </c>
      <c r="B148" s="47"/>
      <c r="C148" s="8"/>
      <c r="D148" s="8"/>
      <c r="E148" s="9"/>
      <c r="F148" s="10"/>
      <c r="G148" s="9"/>
      <c r="H148" s="11"/>
      <c r="I148" s="9" t="s">
        <v>13</v>
      </c>
      <c r="J148" s="44"/>
    </row>
    <row r="149">
      <c r="A149" s="42" t="s">
        <v>206</v>
      </c>
      <c r="B149" s="47"/>
      <c r="C149" s="8"/>
      <c r="D149" s="8"/>
      <c r="E149" s="9"/>
      <c r="F149" s="10"/>
      <c r="G149" s="9"/>
      <c r="H149" s="11"/>
      <c r="I149" s="9" t="s">
        <v>13</v>
      </c>
      <c r="J149" s="44"/>
    </row>
    <row r="150">
      <c r="A150" s="42" t="s">
        <v>206</v>
      </c>
      <c r="B150" s="47"/>
      <c r="C150" s="8"/>
      <c r="D150" s="8"/>
      <c r="E150" s="9"/>
      <c r="F150" s="10"/>
      <c r="G150" s="9"/>
      <c r="H150" s="11"/>
      <c r="I150" s="9" t="s">
        <v>13</v>
      </c>
      <c r="J150" s="44"/>
    </row>
    <row r="151">
      <c r="A151" s="42" t="s">
        <v>206</v>
      </c>
      <c r="B151" s="47"/>
      <c r="C151" s="8"/>
      <c r="D151" s="8"/>
      <c r="E151" s="9"/>
      <c r="F151" s="10"/>
      <c r="G151" s="9"/>
      <c r="H151" s="11"/>
      <c r="I151" s="9" t="s">
        <v>13</v>
      </c>
      <c r="J151" s="44"/>
    </row>
    <row r="152">
      <c r="A152" s="42" t="s">
        <v>206</v>
      </c>
      <c r="B152" s="47"/>
      <c r="C152" s="8"/>
      <c r="D152" s="8"/>
      <c r="E152" s="9"/>
      <c r="F152" s="10"/>
      <c r="G152" s="9"/>
      <c r="H152" s="11"/>
      <c r="I152" s="9" t="s">
        <v>13</v>
      </c>
      <c r="J152" s="44"/>
    </row>
    <row r="153">
      <c r="A153" s="42" t="s">
        <v>206</v>
      </c>
      <c r="B153" s="47"/>
      <c r="C153" s="8"/>
      <c r="D153" s="8"/>
      <c r="E153" s="9"/>
      <c r="F153" s="10"/>
      <c r="G153" s="9"/>
      <c r="H153" s="11"/>
      <c r="I153" s="9" t="s">
        <v>13</v>
      </c>
      <c r="J153" s="44"/>
    </row>
    <row r="154">
      <c r="A154" s="42" t="s">
        <v>206</v>
      </c>
      <c r="B154" s="47"/>
      <c r="C154" s="8"/>
      <c r="D154" s="8"/>
      <c r="E154" s="9"/>
      <c r="F154" s="10"/>
      <c r="G154" s="9"/>
      <c r="H154" s="11"/>
      <c r="I154" s="9" t="s">
        <v>13</v>
      </c>
      <c r="J154" s="44"/>
    </row>
    <row r="155">
      <c r="A155" s="42" t="s">
        <v>206</v>
      </c>
      <c r="B155" s="47"/>
      <c r="C155" s="8"/>
      <c r="D155" s="8"/>
      <c r="E155" s="9"/>
      <c r="F155" s="10"/>
      <c r="G155" s="9"/>
      <c r="H155" s="11"/>
      <c r="I155" s="9" t="s">
        <v>13</v>
      </c>
      <c r="J155" s="44"/>
    </row>
    <row r="156">
      <c r="A156" s="42" t="s">
        <v>206</v>
      </c>
      <c r="B156" s="47"/>
      <c r="C156" s="8"/>
      <c r="D156" s="8"/>
      <c r="E156" s="9"/>
      <c r="F156" s="10"/>
      <c r="G156" s="9"/>
      <c r="H156" s="11"/>
      <c r="I156" s="9" t="s">
        <v>13</v>
      </c>
      <c r="J156" s="44"/>
    </row>
    <row r="157">
      <c r="A157" s="42" t="s">
        <v>206</v>
      </c>
      <c r="B157" s="47"/>
      <c r="C157" s="8"/>
      <c r="D157" s="8"/>
      <c r="E157" s="9"/>
      <c r="F157" s="10"/>
      <c r="G157" s="9"/>
      <c r="H157" s="11"/>
      <c r="I157" s="9" t="s">
        <v>13</v>
      </c>
      <c r="J157" s="44"/>
    </row>
    <row r="158">
      <c r="A158" s="42" t="s">
        <v>206</v>
      </c>
      <c r="B158" s="47"/>
      <c r="C158" s="8"/>
      <c r="D158" s="8"/>
      <c r="E158" s="9"/>
      <c r="F158" s="10"/>
      <c r="G158" s="9"/>
      <c r="H158" s="11"/>
      <c r="I158" s="9" t="s">
        <v>13</v>
      </c>
      <c r="J158" s="44"/>
    </row>
    <row r="159">
      <c r="A159" s="42" t="s">
        <v>206</v>
      </c>
      <c r="B159" s="47"/>
      <c r="C159" s="8"/>
      <c r="D159" s="8"/>
      <c r="E159" s="9"/>
      <c r="F159" s="10"/>
      <c r="G159" s="9"/>
      <c r="H159" s="11"/>
      <c r="I159" s="9" t="s">
        <v>13</v>
      </c>
      <c r="J159" s="44"/>
    </row>
    <row r="160">
      <c r="A160" s="42" t="s">
        <v>206</v>
      </c>
      <c r="B160" s="47"/>
      <c r="C160" s="8"/>
      <c r="D160" s="8"/>
      <c r="E160" s="9"/>
      <c r="F160" s="10"/>
      <c r="G160" s="9"/>
      <c r="H160" s="11"/>
      <c r="I160" s="9" t="s">
        <v>13</v>
      </c>
      <c r="J160" s="44"/>
    </row>
    <row r="161">
      <c r="A161" s="42" t="s">
        <v>206</v>
      </c>
      <c r="B161" s="47"/>
      <c r="C161" s="8"/>
      <c r="D161" s="8"/>
      <c r="E161" s="9"/>
      <c r="F161" s="10"/>
      <c r="G161" s="9"/>
      <c r="H161" s="11"/>
      <c r="I161" s="9" t="s">
        <v>13</v>
      </c>
      <c r="J161" s="44"/>
    </row>
    <row r="162">
      <c r="A162" s="42" t="s">
        <v>206</v>
      </c>
      <c r="B162" s="47"/>
      <c r="C162" s="8"/>
      <c r="D162" s="8"/>
      <c r="E162" s="9"/>
      <c r="F162" s="10"/>
      <c r="G162" s="9"/>
      <c r="H162" s="11"/>
      <c r="I162" s="9" t="s">
        <v>13</v>
      </c>
      <c r="J162" s="44"/>
    </row>
    <row r="163">
      <c r="A163" s="42" t="s">
        <v>206</v>
      </c>
      <c r="B163" s="47"/>
      <c r="C163" s="8"/>
      <c r="D163" s="8"/>
      <c r="E163" s="9"/>
      <c r="F163" s="10"/>
      <c r="G163" s="9"/>
      <c r="H163" s="11"/>
      <c r="I163" s="9" t="s">
        <v>13</v>
      </c>
      <c r="J163" s="44"/>
    </row>
    <row r="164">
      <c r="A164" s="42" t="s">
        <v>206</v>
      </c>
      <c r="B164" s="47"/>
      <c r="C164" s="8"/>
      <c r="D164" s="8"/>
      <c r="E164" s="9"/>
      <c r="F164" s="10"/>
      <c r="G164" s="9"/>
      <c r="H164" s="11"/>
      <c r="I164" s="9" t="s">
        <v>13</v>
      </c>
      <c r="J164" s="44"/>
    </row>
    <row r="165">
      <c r="A165" s="42" t="s">
        <v>206</v>
      </c>
      <c r="B165" s="47"/>
      <c r="C165" s="8"/>
      <c r="D165" s="8"/>
      <c r="E165" s="9"/>
      <c r="F165" s="10"/>
      <c r="G165" s="9"/>
      <c r="H165" s="11"/>
      <c r="I165" s="9" t="s">
        <v>13</v>
      </c>
      <c r="J165" s="44"/>
    </row>
    <row r="166">
      <c r="A166" s="42" t="s">
        <v>206</v>
      </c>
      <c r="B166" s="47"/>
      <c r="C166" s="8"/>
      <c r="D166" s="8"/>
      <c r="E166" s="9"/>
      <c r="F166" s="10"/>
      <c r="G166" s="9"/>
      <c r="H166" s="11"/>
      <c r="I166" s="9" t="s">
        <v>13</v>
      </c>
      <c r="J166" s="44"/>
    </row>
    <row r="167">
      <c r="A167" s="42" t="s">
        <v>206</v>
      </c>
      <c r="B167" s="47"/>
      <c r="C167" s="8"/>
      <c r="D167" s="8"/>
      <c r="E167" s="9"/>
      <c r="F167" s="10"/>
      <c r="G167" s="9"/>
      <c r="H167" s="11"/>
      <c r="I167" s="9" t="s">
        <v>13</v>
      </c>
      <c r="J167" s="44"/>
    </row>
    <row r="168">
      <c r="A168" s="42" t="s">
        <v>206</v>
      </c>
      <c r="B168" s="47"/>
      <c r="C168" s="8"/>
      <c r="D168" s="8"/>
      <c r="E168" s="9"/>
      <c r="F168" s="10"/>
      <c r="G168" s="9"/>
      <c r="H168" s="11"/>
      <c r="I168" s="9" t="s">
        <v>13</v>
      </c>
      <c r="J168" s="44"/>
    </row>
    <row r="169">
      <c r="A169" s="42" t="s">
        <v>206</v>
      </c>
      <c r="B169" s="47"/>
      <c r="C169" s="8"/>
      <c r="D169" s="8"/>
      <c r="E169" s="9"/>
      <c r="F169" s="10"/>
      <c r="G169" s="9"/>
      <c r="H169" s="11"/>
      <c r="I169" s="9" t="s">
        <v>13</v>
      </c>
      <c r="J169" s="44"/>
    </row>
    <row r="170">
      <c r="A170" s="42" t="s">
        <v>206</v>
      </c>
      <c r="B170" s="47"/>
      <c r="C170" s="8"/>
      <c r="D170" s="8"/>
      <c r="E170" s="9"/>
      <c r="F170" s="10"/>
      <c r="G170" s="9"/>
      <c r="H170" s="11"/>
      <c r="I170" s="9" t="s">
        <v>13</v>
      </c>
      <c r="J170" s="44"/>
    </row>
    <row r="171">
      <c r="A171" s="42" t="s">
        <v>206</v>
      </c>
      <c r="B171" s="47"/>
      <c r="C171" s="8"/>
      <c r="D171" s="8"/>
      <c r="E171" s="9"/>
      <c r="F171" s="10"/>
      <c r="G171" s="9"/>
      <c r="H171" s="11"/>
      <c r="I171" s="9" t="s">
        <v>13</v>
      </c>
      <c r="J171" s="44"/>
    </row>
    <row r="172">
      <c r="A172" s="42" t="s">
        <v>206</v>
      </c>
      <c r="B172" s="47"/>
      <c r="C172" s="8"/>
      <c r="D172" s="8"/>
      <c r="E172" s="9"/>
      <c r="F172" s="10"/>
      <c r="G172" s="9"/>
      <c r="H172" s="11"/>
      <c r="I172" s="9" t="s">
        <v>13</v>
      </c>
      <c r="J172" s="44"/>
    </row>
    <row r="173">
      <c r="A173" s="42" t="s">
        <v>206</v>
      </c>
      <c r="B173" s="47"/>
      <c r="C173" s="8"/>
      <c r="D173" s="8"/>
      <c r="E173" s="9"/>
      <c r="F173" s="10"/>
      <c r="G173" s="9"/>
      <c r="H173" s="11"/>
      <c r="I173" s="9" t="s">
        <v>13</v>
      </c>
      <c r="J173" s="44"/>
    </row>
    <row r="174">
      <c r="A174" s="42" t="s">
        <v>206</v>
      </c>
      <c r="B174" s="47"/>
      <c r="C174" s="8"/>
      <c r="D174" s="8"/>
      <c r="E174" s="9"/>
      <c r="F174" s="10"/>
      <c r="G174" s="9"/>
      <c r="H174" s="11"/>
      <c r="I174" s="9" t="s">
        <v>13</v>
      </c>
      <c r="J174" s="44"/>
    </row>
    <row r="175">
      <c r="A175" s="42" t="s">
        <v>206</v>
      </c>
      <c r="B175" s="47"/>
      <c r="C175" s="8"/>
      <c r="D175" s="8"/>
      <c r="E175" s="9"/>
      <c r="F175" s="10"/>
      <c r="G175" s="9"/>
      <c r="H175" s="11"/>
      <c r="I175" s="9" t="s">
        <v>13</v>
      </c>
      <c r="J175" s="44"/>
    </row>
    <row r="176">
      <c r="A176" s="42" t="s">
        <v>206</v>
      </c>
      <c r="B176" s="47"/>
      <c r="C176" s="8"/>
      <c r="D176" s="8"/>
      <c r="E176" s="9"/>
      <c r="F176" s="10"/>
      <c r="G176" s="9"/>
      <c r="H176" s="11"/>
      <c r="I176" s="9" t="s">
        <v>13</v>
      </c>
      <c r="J176" s="44"/>
    </row>
    <row r="177">
      <c r="A177" s="42" t="s">
        <v>206</v>
      </c>
      <c r="B177" s="47"/>
      <c r="C177" s="8"/>
      <c r="D177" s="8"/>
      <c r="E177" s="9"/>
      <c r="F177" s="10"/>
      <c r="G177" s="9"/>
      <c r="H177" s="11"/>
      <c r="I177" s="9" t="s">
        <v>13</v>
      </c>
      <c r="J177" s="44"/>
    </row>
    <row r="178">
      <c r="A178" s="42" t="s">
        <v>206</v>
      </c>
      <c r="B178" s="47"/>
      <c r="C178" s="8"/>
      <c r="D178" s="8"/>
      <c r="E178" s="9"/>
      <c r="F178" s="10"/>
      <c r="G178" s="9"/>
      <c r="H178" s="11"/>
      <c r="I178" s="9" t="s">
        <v>13</v>
      </c>
      <c r="J178" s="44"/>
    </row>
    <row r="179">
      <c r="A179" s="42" t="s">
        <v>206</v>
      </c>
      <c r="B179" s="47"/>
      <c r="C179" s="8"/>
      <c r="D179" s="8"/>
      <c r="E179" s="9"/>
      <c r="F179" s="10"/>
      <c r="G179" s="9"/>
      <c r="H179" s="11"/>
      <c r="I179" s="9" t="s">
        <v>13</v>
      </c>
      <c r="J179" s="44"/>
    </row>
    <row r="180">
      <c r="A180" s="42" t="s">
        <v>206</v>
      </c>
      <c r="B180" s="47"/>
      <c r="C180" s="8"/>
      <c r="D180" s="8"/>
      <c r="E180" s="9"/>
      <c r="F180" s="10"/>
      <c r="G180" s="9"/>
      <c r="H180" s="11"/>
      <c r="I180" s="9" t="s">
        <v>13</v>
      </c>
      <c r="J180" s="44"/>
    </row>
    <row r="181">
      <c r="A181" s="42" t="s">
        <v>206</v>
      </c>
      <c r="B181" s="47"/>
      <c r="C181" s="8"/>
      <c r="D181" s="8"/>
      <c r="E181" s="9"/>
      <c r="F181" s="10"/>
      <c r="G181" s="9"/>
      <c r="H181" s="11"/>
      <c r="I181" s="9" t="s">
        <v>13</v>
      </c>
      <c r="J181" s="44"/>
    </row>
    <row r="182">
      <c r="A182" s="42" t="s">
        <v>206</v>
      </c>
      <c r="B182" s="47"/>
      <c r="C182" s="8"/>
      <c r="D182" s="8"/>
      <c r="E182" s="9"/>
      <c r="F182" s="10"/>
      <c r="G182" s="9"/>
      <c r="H182" s="11"/>
      <c r="I182" s="9" t="s">
        <v>13</v>
      </c>
      <c r="J182" s="44"/>
    </row>
    <row r="183">
      <c r="A183" s="42" t="s">
        <v>206</v>
      </c>
      <c r="B183" s="47"/>
      <c r="C183" s="8"/>
      <c r="D183" s="8"/>
      <c r="E183" s="9"/>
      <c r="F183" s="10"/>
      <c r="G183" s="9"/>
      <c r="H183" s="11"/>
      <c r="I183" s="9" t="s">
        <v>13</v>
      </c>
      <c r="J183" s="44"/>
    </row>
    <row r="184">
      <c r="A184" s="42" t="s">
        <v>206</v>
      </c>
      <c r="B184" s="47"/>
      <c r="C184" s="8"/>
      <c r="D184" s="8"/>
      <c r="E184" s="9"/>
      <c r="F184" s="10"/>
      <c r="G184" s="9"/>
      <c r="H184" s="11"/>
      <c r="I184" s="9" t="s">
        <v>13</v>
      </c>
      <c r="J184" s="44"/>
    </row>
    <row r="185">
      <c r="A185" s="42" t="s">
        <v>206</v>
      </c>
      <c r="B185" s="47"/>
      <c r="C185" s="8"/>
      <c r="D185" s="8"/>
      <c r="E185" s="9"/>
      <c r="F185" s="10"/>
      <c r="G185" s="9"/>
      <c r="H185" s="11"/>
      <c r="I185" s="9" t="s">
        <v>13</v>
      </c>
      <c r="J185" s="44"/>
    </row>
    <row r="186">
      <c r="A186" s="42" t="s">
        <v>206</v>
      </c>
      <c r="B186" s="47"/>
      <c r="C186" s="8"/>
      <c r="D186" s="8"/>
      <c r="E186" s="9"/>
      <c r="F186" s="10"/>
      <c r="G186" s="9"/>
      <c r="H186" s="11"/>
      <c r="I186" s="9" t="s">
        <v>13</v>
      </c>
      <c r="J186" s="44"/>
    </row>
    <row r="187">
      <c r="A187" s="42" t="s">
        <v>206</v>
      </c>
      <c r="B187" s="47"/>
      <c r="C187" s="8"/>
      <c r="D187" s="8"/>
      <c r="E187" s="9"/>
      <c r="F187" s="10"/>
      <c r="G187" s="9"/>
      <c r="H187" s="11"/>
      <c r="I187" s="9" t="s">
        <v>13</v>
      </c>
      <c r="J187" s="44"/>
    </row>
    <row r="188">
      <c r="A188" s="42" t="s">
        <v>206</v>
      </c>
      <c r="B188" s="47"/>
      <c r="C188" s="8"/>
      <c r="D188" s="8"/>
      <c r="E188" s="9"/>
      <c r="F188" s="10"/>
      <c r="G188" s="9"/>
      <c r="H188" s="11"/>
      <c r="I188" s="9" t="s">
        <v>13</v>
      </c>
      <c r="J188" s="44"/>
    </row>
    <row r="189">
      <c r="A189" s="42" t="s">
        <v>206</v>
      </c>
      <c r="B189" s="47"/>
      <c r="C189" s="8"/>
      <c r="D189" s="8"/>
      <c r="E189" s="9"/>
      <c r="F189" s="10"/>
      <c r="G189" s="9"/>
      <c r="H189" s="11"/>
      <c r="I189" s="9" t="s">
        <v>13</v>
      </c>
      <c r="J189" s="44"/>
    </row>
    <row r="190">
      <c r="A190" s="42" t="s">
        <v>206</v>
      </c>
      <c r="B190" s="47"/>
      <c r="C190" s="8"/>
      <c r="D190" s="8"/>
      <c r="E190" s="9"/>
      <c r="F190" s="10"/>
      <c r="G190" s="9"/>
      <c r="H190" s="11"/>
      <c r="I190" s="9" t="s">
        <v>13</v>
      </c>
      <c r="J190" s="44"/>
    </row>
    <row r="191">
      <c r="A191" s="42" t="s">
        <v>206</v>
      </c>
      <c r="B191" s="47"/>
      <c r="C191" s="8"/>
      <c r="D191" s="8"/>
      <c r="E191" s="9"/>
      <c r="F191" s="10"/>
      <c r="G191" s="9"/>
      <c r="H191" s="11"/>
      <c r="I191" s="9" t="s">
        <v>13</v>
      </c>
      <c r="J191" s="44"/>
    </row>
    <row r="192">
      <c r="A192" s="42" t="s">
        <v>206</v>
      </c>
      <c r="B192" s="47"/>
      <c r="C192" s="8"/>
      <c r="D192" s="8"/>
      <c r="E192" s="9"/>
      <c r="F192" s="10"/>
      <c r="G192" s="9"/>
      <c r="H192" s="11"/>
      <c r="I192" s="9" t="s">
        <v>13</v>
      </c>
      <c r="J192" s="44"/>
    </row>
    <row r="193">
      <c r="A193" s="42" t="s">
        <v>206</v>
      </c>
      <c r="B193" s="47"/>
      <c r="C193" s="8"/>
      <c r="D193" s="8"/>
      <c r="E193" s="9"/>
      <c r="F193" s="10"/>
      <c r="G193" s="9"/>
      <c r="H193" s="11"/>
      <c r="I193" s="9" t="s">
        <v>13</v>
      </c>
      <c r="J193" s="44"/>
    </row>
    <row r="194">
      <c r="A194" s="42" t="s">
        <v>206</v>
      </c>
      <c r="B194" s="47"/>
      <c r="C194" s="8"/>
      <c r="D194" s="8"/>
      <c r="E194" s="9"/>
      <c r="F194" s="10"/>
      <c r="G194" s="9"/>
      <c r="H194" s="11"/>
      <c r="I194" s="9" t="s">
        <v>13</v>
      </c>
      <c r="J194" s="44"/>
    </row>
    <row r="195">
      <c r="A195" s="42" t="s">
        <v>206</v>
      </c>
      <c r="B195" s="47"/>
      <c r="C195" s="8"/>
      <c r="D195" s="8"/>
      <c r="E195" s="9"/>
      <c r="F195" s="10"/>
      <c r="G195" s="9"/>
      <c r="H195" s="11"/>
      <c r="I195" s="9" t="s">
        <v>13</v>
      </c>
      <c r="J195" s="44"/>
    </row>
    <row r="196">
      <c r="A196" s="42" t="s">
        <v>206</v>
      </c>
      <c r="B196" s="47"/>
      <c r="C196" s="8"/>
      <c r="D196" s="8"/>
      <c r="E196" s="9"/>
      <c r="F196" s="10"/>
      <c r="G196" s="9"/>
      <c r="H196" s="11"/>
      <c r="I196" s="9" t="s">
        <v>13</v>
      </c>
      <c r="J196" s="44"/>
    </row>
    <row r="197">
      <c r="A197" s="42" t="s">
        <v>206</v>
      </c>
      <c r="B197" s="47"/>
      <c r="C197" s="8"/>
      <c r="D197" s="8"/>
      <c r="E197" s="9"/>
      <c r="F197" s="10"/>
      <c r="G197" s="9"/>
      <c r="H197" s="11"/>
      <c r="I197" s="9" t="s">
        <v>13</v>
      </c>
      <c r="J197" s="44"/>
    </row>
    <row r="198">
      <c r="A198" s="42" t="s">
        <v>206</v>
      </c>
      <c r="B198" s="47"/>
      <c r="C198" s="8"/>
      <c r="D198" s="8"/>
      <c r="E198" s="9"/>
      <c r="F198" s="10"/>
      <c r="G198" s="9"/>
      <c r="H198" s="11"/>
      <c r="I198" s="9" t="s">
        <v>13</v>
      </c>
      <c r="J198" s="44"/>
    </row>
    <row r="199">
      <c r="A199" s="42" t="s">
        <v>206</v>
      </c>
      <c r="B199" s="47"/>
      <c r="C199" s="8"/>
      <c r="D199" s="8"/>
      <c r="E199" s="9"/>
      <c r="F199" s="10"/>
      <c r="G199" s="9"/>
      <c r="H199" s="11"/>
      <c r="I199" s="9" t="s">
        <v>13</v>
      </c>
      <c r="J199" s="44"/>
    </row>
    <row r="200">
      <c r="A200" s="42" t="s">
        <v>206</v>
      </c>
      <c r="B200" s="47"/>
      <c r="C200" s="8"/>
      <c r="D200" s="8"/>
      <c r="E200" s="9"/>
      <c r="F200" s="10"/>
      <c r="G200" s="9"/>
      <c r="H200" s="11"/>
      <c r="I200" s="9" t="s">
        <v>13</v>
      </c>
      <c r="J200" s="44"/>
    </row>
    <row r="201">
      <c r="A201" s="42" t="s">
        <v>206</v>
      </c>
      <c r="B201" s="47"/>
      <c r="C201" s="8"/>
      <c r="D201" s="8"/>
      <c r="E201" s="9"/>
      <c r="F201" s="10"/>
      <c r="G201" s="9"/>
      <c r="H201" s="11"/>
      <c r="I201" s="9" t="s">
        <v>13</v>
      </c>
      <c r="J201" s="44"/>
    </row>
    <row r="202">
      <c r="A202" s="42" t="s">
        <v>206</v>
      </c>
      <c r="B202" s="47"/>
      <c r="C202" s="8"/>
      <c r="D202" s="8"/>
      <c r="E202" s="9"/>
      <c r="F202" s="10"/>
      <c r="G202" s="9"/>
      <c r="H202" s="11"/>
      <c r="I202" s="9" t="s">
        <v>13</v>
      </c>
      <c r="J202" s="44"/>
    </row>
    <row r="203">
      <c r="A203" s="42" t="s">
        <v>206</v>
      </c>
      <c r="B203" s="47"/>
      <c r="C203" s="8"/>
      <c r="D203" s="8"/>
      <c r="E203" s="9"/>
      <c r="F203" s="10"/>
      <c r="G203" s="9"/>
      <c r="H203" s="11"/>
      <c r="I203" s="9" t="s">
        <v>13</v>
      </c>
      <c r="J203" s="44"/>
    </row>
    <row r="204">
      <c r="A204" s="42" t="s">
        <v>206</v>
      </c>
      <c r="B204" s="47"/>
      <c r="C204" s="8"/>
      <c r="D204" s="8"/>
      <c r="E204" s="9"/>
      <c r="F204" s="10"/>
      <c r="G204" s="9"/>
      <c r="H204" s="11"/>
      <c r="I204" s="9" t="s">
        <v>13</v>
      </c>
      <c r="J204" s="44"/>
    </row>
    <row r="205">
      <c r="A205" s="42" t="s">
        <v>206</v>
      </c>
      <c r="B205" s="47"/>
      <c r="C205" s="8"/>
      <c r="D205" s="8"/>
      <c r="E205" s="9"/>
      <c r="F205" s="10"/>
      <c r="G205" s="9"/>
      <c r="H205" s="11"/>
      <c r="I205" s="9" t="s">
        <v>13</v>
      </c>
      <c r="J205" s="44"/>
    </row>
    <row r="206">
      <c r="A206" s="42" t="s">
        <v>206</v>
      </c>
      <c r="B206" s="47"/>
      <c r="C206" s="8"/>
      <c r="D206" s="8"/>
      <c r="E206" s="9"/>
      <c r="F206" s="10"/>
      <c r="G206" s="9"/>
      <c r="H206" s="11"/>
      <c r="I206" s="9" t="s">
        <v>13</v>
      </c>
      <c r="J206" s="44"/>
    </row>
    <row r="207">
      <c r="A207" s="42" t="s">
        <v>206</v>
      </c>
      <c r="B207" s="47"/>
      <c r="C207" s="8"/>
      <c r="D207" s="8"/>
      <c r="E207" s="9"/>
      <c r="F207" s="10"/>
      <c r="G207" s="9"/>
      <c r="H207" s="11"/>
      <c r="I207" s="9" t="s">
        <v>13</v>
      </c>
      <c r="J207" s="44"/>
    </row>
    <row r="208">
      <c r="A208" s="42" t="s">
        <v>206</v>
      </c>
      <c r="B208" s="47"/>
      <c r="C208" s="8"/>
      <c r="D208" s="8"/>
      <c r="E208" s="9"/>
      <c r="F208" s="10"/>
      <c r="G208" s="9"/>
      <c r="H208" s="11"/>
      <c r="I208" s="9" t="s">
        <v>13</v>
      </c>
      <c r="J208" s="44"/>
    </row>
    <row r="209">
      <c r="A209" s="42" t="s">
        <v>206</v>
      </c>
      <c r="B209" s="47"/>
      <c r="C209" s="8"/>
      <c r="D209" s="8"/>
      <c r="E209" s="9"/>
      <c r="F209" s="10"/>
      <c r="G209" s="9"/>
      <c r="H209" s="11"/>
      <c r="I209" s="9" t="s">
        <v>13</v>
      </c>
      <c r="J209" s="44"/>
    </row>
    <row r="210">
      <c r="A210" s="42" t="s">
        <v>206</v>
      </c>
      <c r="B210" s="47"/>
      <c r="C210" s="8"/>
      <c r="D210" s="8"/>
      <c r="E210" s="9"/>
      <c r="F210" s="10"/>
      <c r="G210" s="9"/>
      <c r="H210" s="11"/>
      <c r="I210" s="9" t="s">
        <v>13</v>
      </c>
      <c r="J210" s="44"/>
    </row>
    <row r="211">
      <c r="A211" s="42" t="s">
        <v>206</v>
      </c>
      <c r="B211" s="47"/>
      <c r="C211" s="8"/>
      <c r="D211" s="8"/>
      <c r="E211" s="9"/>
      <c r="F211" s="10"/>
      <c r="G211" s="9"/>
      <c r="H211" s="11"/>
      <c r="I211" s="9" t="s">
        <v>13</v>
      </c>
      <c r="J211" s="44"/>
    </row>
    <row r="212">
      <c r="A212" s="42" t="s">
        <v>206</v>
      </c>
      <c r="B212" s="47"/>
      <c r="C212" s="8"/>
      <c r="D212" s="8"/>
      <c r="E212" s="9"/>
      <c r="F212" s="10"/>
      <c r="G212" s="9"/>
      <c r="H212" s="11"/>
      <c r="I212" s="9" t="s">
        <v>13</v>
      </c>
      <c r="J212" s="44"/>
    </row>
    <row r="213">
      <c r="A213" s="42" t="s">
        <v>206</v>
      </c>
      <c r="B213" s="47"/>
      <c r="C213" s="8"/>
      <c r="D213" s="8"/>
      <c r="E213" s="9"/>
      <c r="F213" s="10"/>
      <c r="G213" s="9"/>
      <c r="H213" s="11"/>
      <c r="I213" s="9" t="s">
        <v>13</v>
      </c>
      <c r="J213" s="44"/>
    </row>
    <row r="214">
      <c r="A214" s="42" t="s">
        <v>206</v>
      </c>
      <c r="B214" s="47"/>
      <c r="C214" s="8"/>
      <c r="D214" s="8"/>
      <c r="E214" s="9"/>
      <c r="F214" s="10"/>
      <c r="G214" s="9"/>
      <c r="H214" s="11"/>
      <c r="I214" s="9" t="s">
        <v>13</v>
      </c>
      <c r="J214" s="44"/>
    </row>
    <row r="215">
      <c r="A215" s="42" t="s">
        <v>206</v>
      </c>
      <c r="B215" s="47"/>
      <c r="C215" s="8"/>
      <c r="D215" s="8"/>
      <c r="E215" s="9"/>
      <c r="F215" s="10"/>
      <c r="G215" s="9"/>
      <c r="H215" s="11"/>
      <c r="I215" s="9" t="s">
        <v>13</v>
      </c>
      <c r="J215" s="44"/>
    </row>
    <row r="216">
      <c r="A216" s="42" t="s">
        <v>206</v>
      </c>
      <c r="B216" s="47"/>
      <c r="C216" s="8"/>
      <c r="D216" s="8"/>
      <c r="E216" s="9"/>
      <c r="F216" s="10"/>
      <c r="G216" s="9"/>
      <c r="H216" s="11"/>
      <c r="I216" s="9" t="s">
        <v>13</v>
      </c>
      <c r="J216" s="44"/>
    </row>
    <row r="217">
      <c r="A217" s="42" t="s">
        <v>206</v>
      </c>
      <c r="B217" s="47"/>
      <c r="C217" s="8"/>
      <c r="D217" s="8"/>
      <c r="E217" s="9"/>
      <c r="F217" s="10"/>
      <c r="G217" s="9"/>
      <c r="H217" s="11"/>
      <c r="I217" s="9" t="s">
        <v>13</v>
      </c>
      <c r="J217" s="44"/>
    </row>
    <row r="218">
      <c r="A218" s="42" t="s">
        <v>206</v>
      </c>
      <c r="B218" s="47"/>
      <c r="C218" s="8"/>
      <c r="D218" s="8"/>
      <c r="E218" s="9"/>
      <c r="F218" s="10"/>
      <c r="G218" s="9"/>
      <c r="H218" s="11"/>
      <c r="I218" s="9" t="s">
        <v>13</v>
      </c>
      <c r="J218" s="44"/>
    </row>
    <row r="219">
      <c r="A219" s="42" t="s">
        <v>206</v>
      </c>
      <c r="B219" s="47"/>
      <c r="C219" s="8"/>
      <c r="D219" s="8"/>
      <c r="E219" s="9"/>
      <c r="F219" s="10"/>
      <c r="G219" s="9"/>
      <c r="H219" s="11"/>
      <c r="I219" s="9" t="s">
        <v>13</v>
      </c>
      <c r="J219" s="44"/>
    </row>
    <row r="220">
      <c r="A220" s="42" t="s">
        <v>206</v>
      </c>
      <c r="B220" s="47"/>
      <c r="C220" s="8"/>
      <c r="D220" s="8"/>
      <c r="E220" s="9"/>
      <c r="F220" s="10"/>
      <c r="G220" s="9"/>
      <c r="H220" s="11"/>
      <c r="I220" s="9" t="s">
        <v>13</v>
      </c>
      <c r="J220" s="44"/>
    </row>
    <row r="221">
      <c r="A221" s="42" t="s">
        <v>206</v>
      </c>
      <c r="B221" s="47"/>
      <c r="C221" s="8"/>
      <c r="D221" s="8"/>
      <c r="E221" s="9"/>
      <c r="F221" s="10"/>
      <c r="G221" s="9"/>
      <c r="H221" s="11"/>
      <c r="I221" s="9" t="s">
        <v>13</v>
      </c>
      <c r="J221" s="44"/>
    </row>
    <row r="222">
      <c r="A222" s="42" t="s">
        <v>206</v>
      </c>
      <c r="B222" s="47"/>
      <c r="C222" s="8"/>
      <c r="D222" s="8"/>
      <c r="E222" s="9"/>
      <c r="F222" s="10"/>
      <c r="G222" s="9"/>
      <c r="H222" s="11"/>
      <c r="I222" s="9" t="s">
        <v>13</v>
      </c>
      <c r="J222" s="44"/>
    </row>
    <row r="223">
      <c r="A223" s="42" t="s">
        <v>206</v>
      </c>
      <c r="B223" s="47"/>
      <c r="C223" s="8"/>
      <c r="D223" s="8"/>
      <c r="E223" s="9"/>
      <c r="F223" s="10"/>
      <c r="G223" s="9"/>
      <c r="H223" s="11"/>
      <c r="I223" s="9" t="s">
        <v>13</v>
      </c>
      <c r="J223" s="44"/>
    </row>
    <row r="224">
      <c r="A224" s="42" t="s">
        <v>206</v>
      </c>
      <c r="B224" s="47"/>
      <c r="C224" s="8"/>
      <c r="D224" s="8"/>
      <c r="E224" s="9"/>
      <c r="F224" s="10"/>
      <c r="G224" s="9"/>
      <c r="H224" s="11"/>
      <c r="I224" s="9" t="s">
        <v>13</v>
      </c>
      <c r="J224" s="44"/>
    </row>
    <row r="225">
      <c r="A225" s="42" t="s">
        <v>206</v>
      </c>
      <c r="B225" s="47"/>
      <c r="C225" s="8"/>
      <c r="D225" s="8"/>
      <c r="E225" s="9"/>
      <c r="F225" s="10"/>
      <c r="G225" s="9"/>
      <c r="H225" s="11"/>
      <c r="I225" s="9" t="s">
        <v>13</v>
      </c>
      <c r="J225" s="44"/>
    </row>
    <row r="226">
      <c r="A226" s="42" t="s">
        <v>206</v>
      </c>
      <c r="B226" s="47"/>
      <c r="C226" s="8"/>
      <c r="D226" s="8"/>
      <c r="E226" s="9"/>
      <c r="F226" s="10"/>
      <c r="G226" s="9"/>
      <c r="H226" s="11"/>
      <c r="I226" s="9" t="s">
        <v>13</v>
      </c>
      <c r="J226" s="44"/>
    </row>
    <row r="227">
      <c r="A227" s="42" t="s">
        <v>206</v>
      </c>
      <c r="B227" s="47"/>
      <c r="C227" s="8"/>
      <c r="D227" s="8"/>
      <c r="E227" s="9"/>
      <c r="F227" s="10"/>
      <c r="G227" s="9"/>
      <c r="H227" s="11"/>
      <c r="I227" s="9" t="s">
        <v>13</v>
      </c>
      <c r="J227" s="44"/>
    </row>
    <row r="228">
      <c r="A228" s="42" t="s">
        <v>206</v>
      </c>
      <c r="B228" s="47"/>
      <c r="C228" s="8"/>
      <c r="D228" s="8"/>
      <c r="E228" s="9"/>
      <c r="F228" s="10"/>
      <c r="G228" s="9"/>
      <c r="H228" s="11"/>
      <c r="I228" s="9" t="s">
        <v>13</v>
      </c>
      <c r="J228" s="44"/>
    </row>
    <row r="229">
      <c r="A229" s="42" t="s">
        <v>206</v>
      </c>
      <c r="B229" s="47"/>
      <c r="C229" s="8"/>
      <c r="D229" s="8"/>
      <c r="E229" s="9"/>
      <c r="F229" s="10"/>
      <c r="G229" s="9"/>
      <c r="H229" s="11"/>
      <c r="I229" s="9" t="s">
        <v>13</v>
      </c>
      <c r="J229" s="44"/>
    </row>
    <row r="230">
      <c r="A230" s="42" t="s">
        <v>206</v>
      </c>
      <c r="B230" s="47"/>
      <c r="C230" s="8"/>
      <c r="D230" s="8"/>
      <c r="E230" s="9"/>
      <c r="F230" s="10"/>
      <c r="G230" s="9"/>
      <c r="H230" s="11"/>
      <c r="I230" s="9" t="s">
        <v>13</v>
      </c>
      <c r="J230" s="44"/>
    </row>
    <row r="231">
      <c r="A231" s="42" t="s">
        <v>206</v>
      </c>
      <c r="B231" s="47"/>
      <c r="C231" s="8"/>
      <c r="D231" s="8"/>
      <c r="E231" s="9"/>
      <c r="F231" s="10"/>
      <c r="G231" s="9"/>
      <c r="H231" s="11"/>
      <c r="I231" s="9" t="s">
        <v>13</v>
      </c>
      <c r="J231" s="44"/>
    </row>
    <row r="232">
      <c r="A232" s="42" t="s">
        <v>206</v>
      </c>
      <c r="B232" s="47"/>
      <c r="C232" s="8"/>
      <c r="D232" s="8"/>
      <c r="E232" s="9"/>
      <c r="F232" s="10"/>
      <c r="G232" s="9"/>
      <c r="H232" s="11"/>
      <c r="I232" s="9" t="s">
        <v>13</v>
      </c>
      <c r="J232" s="44"/>
    </row>
    <row r="233">
      <c r="A233" s="42" t="s">
        <v>206</v>
      </c>
      <c r="B233" s="47"/>
      <c r="C233" s="8"/>
      <c r="D233" s="8"/>
      <c r="E233" s="9"/>
      <c r="F233" s="10"/>
      <c r="G233" s="9"/>
      <c r="H233" s="11"/>
      <c r="I233" s="9" t="s">
        <v>13</v>
      </c>
      <c r="J233" s="44"/>
    </row>
    <row r="234">
      <c r="A234" s="42" t="s">
        <v>206</v>
      </c>
      <c r="B234" s="47"/>
      <c r="C234" s="8"/>
      <c r="D234" s="8"/>
      <c r="E234" s="9"/>
      <c r="F234" s="10"/>
      <c r="G234" s="9"/>
      <c r="H234" s="11"/>
      <c r="I234" s="9" t="s">
        <v>13</v>
      </c>
      <c r="J234" s="44"/>
    </row>
    <row r="235">
      <c r="A235" s="42" t="s">
        <v>206</v>
      </c>
      <c r="B235" s="47"/>
      <c r="C235" s="8"/>
      <c r="D235" s="8"/>
      <c r="E235" s="9"/>
      <c r="F235" s="10"/>
      <c r="G235" s="9"/>
      <c r="H235" s="11"/>
      <c r="I235" s="9" t="s">
        <v>13</v>
      </c>
      <c r="J235" s="44"/>
    </row>
    <row r="236">
      <c r="A236" s="42" t="s">
        <v>206</v>
      </c>
      <c r="B236" s="47"/>
      <c r="C236" s="8"/>
      <c r="D236" s="8"/>
      <c r="E236" s="9"/>
      <c r="F236" s="10"/>
      <c r="G236" s="9"/>
      <c r="H236" s="11"/>
      <c r="I236" s="9" t="s">
        <v>13</v>
      </c>
      <c r="J236" s="44"/>
    </row>
    <row r="237">
      <c r="A237" s="42" t="s">
        <v>206</v>
      </c>
      <c r="B237" s="47"/>
      <c r="C237" s="8"/>
      <c r="D237" s="8"/>
      <c r="E237" s="9"/>
      <c r="F237" s="10"/>
      <c r="G237" s="9"/>
      <c r="H237" s="11"/>
      <c r="I237" s="9" t="s">
        <v>13</v>
      </c>
      <c r="J237" s="44"/>
    </row>
    <row r="238">
      <c r="A238" s="42" t="s">
        <v>206</v>
      </c>
      <c r="B238" s="47"/>
      <c r="C238" s="8"/>
      <c r="D238" s="8"/>
      <c r="E238" s="9"/>
      <c r="F238" s="10"/>
      <c r="G238" s="9"/>
      <c r="H238" s="11"/>
      <c r="I238" s="9" t="s">
        <v>13</v>
      </c>
      <c r="J238" s="44"/>
    </row>
    <row r="239">
      <c r="A239" s="42" t="s">
        <v>206</v>
      </c>
      <c r="B239" s="47"/>
      <c r="C239" s="8"/>
      <c r="D239" s="8"/>
      <c r="E239" s="9"/>
      <c r="F239" s="10"/>
      <c r="G239" s="9"/>
      <c r="H239" s="11"/>
      <c r="I239" s="9" t="s">
        <v>13</v>
      </c>
      <c r="J239" s="44"/>
    </row>
    <row r="240">
      <c r="A240" s="42" t="s">
        <v>206</v>
      </c>
      <c r="B240" s="47"/>
      <c r="C240" s="8"/>
      <c r="D240" s="8"/>
      <c r="E240" s="9"/>
      <c r="F240" s="10"/>
      <c r="G240" s="9"/>
      <c r="H240" s="11"/>
      <c r="I240" s="9" t="s">
        <v>13</v>
      </c>
      <c r="J240" s="44"/>
    </row>
    <row r="241">
      <c r="A241" s="42" t="s">
        <v>206</v>
      </c>
      <c r="B241" s="47"/>
      <c r="C241" s="8"/>
      <c r="D241" s="8"/>
      <c r="E241" s="9"/>
      <c r="F241" s="10"/>
      <c r="G241" s="9"/>
      <c r="H241" s="11"/>
      <c r="I241" s="9" t="s">
        <v>13</v>
      </c>
      <c r="J241" s="44"/>
    </row>
    <row r="242">
      <c r="A242" s="42" t="s">
        <v>206</v>
      </c>
      <c r="B242" s="47"/>
      <c r="C242" s="8"/>
      <c r="D242" s="8"/>
      <c r="E242" s="9"/>
      <c r="F242" s="10"/>
      <c r="G242" s="9"/>
      <c r="H242" s="11"/>
      <c r="I242" s="9" t="s">
        <v>13</v>
      </c>
      <c r="J242" s="44"/>
    </row>
    <row r="243">
      <c r="A243" s="42" t="s">
        <v>206</v>
      </c>
      <c r="B243" s="47"/>
      <c r="C243" s="8"/>
      <c r="D243" s="8"/>
      <c r="E243" s="9"/>
      <c r="F243" s="10"/>
      <c r="G243" s="9"/>
      <c r="H243" s="11"/>
      <c r="I243" s="9" t="s">
        <v>13</v>
      </c>
      <c r="J243" s="44"/>
    </row>
    <row r="244">
      <c r="A244" s="42" t="s">
        <v>206</v>
      </c>
      <c r="B244" s="47"/>
      <c r="C244" s="8"/>
      <c r="D244" s="8"/>
      <c r="E244" s="9"/>
      <c r="F244" s="10"/>
      <c r="G244" s="9"/>
      <c r="H244" s="11"/>
      <c r="I244" s="9" t="s">
        <v>13</v>
      </c>
      <c r="J244" s="44"/>
    </row>
    <row r="245">
      <c r="A245" s="42" t="s">
        <v>206</v>
      </c>
      <c r="B245" s="47"/>
      <c r="C245" s="8"/>
      <c r="D245" s="8"/>
      <c r="E245" s="9"/>
      <c r="F245" s="10"/>
      <c r="G245" s="9"/>
      <c r="H245" s="11"/>
      <c r="I245" s="9" t="s">
        <v>13</v>
      </c>
      <c r="J245" s="44"/>
    </row>
    <row r="246">
      <c r="A246" s="42" t="s">
        <v>206</v>
      </c>
      <c r="B246" s="47"/>
      <c r="C246" s="8"/>
      <c r="D246" s="8"/>
      <c r="E246" s="9"/>
      <c r="F246" s="10"/>
      <c r="G246" s="9"/>
      <c r="H246" s="11"/>
      <c r="I246" s="9" t="s">
        <v>13</v>
      </c>
      <c r="J246" s="44"/>
    </row>
    <row r="247">
      <c r="A247" s="42" t="s">
        <v>206</v>
      </c>
      <c r="B247" s="47"/>
      <c r="C247" s="8"/>
      <c r="D247" s="8"/>
      <c r="E247" s="9"/>
      <c r="F247" s="10"/>
      <c r="G247" s="9"/>
      <c r="H247" s="11"/>
      <c r="I247" s="9" t="s">
        <v>13</v>
      </c>
      <c r="J247" s="44"/>
    </row>
    <row r="248">
      <c r="A248" s="42" t="s">
        <v>206</v>
      </c>
      <c r="B248" s="47"/>
      <c r="C248" s="8"/>
      <c r="D248" s="8"/>
      <c r="E248" s="9"/>
      <c r="F248" s="10"/>
      <c r="G248" s="9"/>
      <c r="H248" s="11"/>
      <c r="I248" s="9" t="s">
        <v>13</v>
      </c>
      <c r="J248" s="44"/>
    </row>
    <row r="249">
      <c r="A249" s="42" t="s">
        <v>206</v>
      </c>
      <c r="B249" s="47"/>
      <c r="C249" s="8"/>
      <c r="D249" s="8"/>
      <c r="E249" s="9"/>
      <c r="F249" s="10"/>
      <c r="G249" s="9"/>
      <c r="H249" s="11"/>
      <c r="I249" s="9" t="s">
        <v>13</v>
      </c>
      <c r="J249" s="44"/>
    </row>
    <row r="250">
      <c r="A250" s="42" t="s">
        <v>206</v>
      </c>
      <c r="B250" s="47"/>
      <c r="C250" s="8"/>
      <c r="D250" s="8"/>
      <c r="E250" s="9"/>
      <c r="F250" s="10"/>
      <c r="G250" s="9"/>
      <c r="H250" s="11"/>
      <c r="I250" s="9" t="s">
        <v>13</v>
      </c>
      <c r="J250" s="44"/>
    </row>
    <row r="251">
      <c r="A251" s="42" t="s">
        <v>206</v>
      </c>
      <c r="B251" s="47"/>
      <c r="C251" s="8"/>
      <c r="D251" s="8"/>
      <c r="E251" s="9"/>
      <c r="F251" s="10"/>
      <c r="G251" s="9"/>
      <c r="H251" s="11"/>
      <c r="I251" s="9" t="s">
        <v>13</v>
      </c>
      <c r="J251" s="44"/>
    </row>
    <row r="252">
      <c r="A252" s="42" t="s">
        <v>206</v>
      </c>
      <c r="B252" s="47"/>
      <c r="C252" s="8"/>
      <c r="D252" s="8"/>
      <c r="E252" s="9"/>
      <c r="F252" s="10"/>
      <c r="G252" s="9"/>
      <c r="H252" s="11"/>
      <c r="I252" s="9" t="s">
        <v>13</v>
      </c>
      <c r="J252" s="44"/>
    </row>
    <row r="253">
      <c r="A253" s="42" t="s">
        <v>206</v>
      </c>
      <c r="B253" s="47"/>
      <c r="C253" s="8"/>
      <c r="D253" s="8"/>
      <c r="E253" s="9"/>
      <c r="F253" s="10"/>
      <c r="G253" s="9"/>
      <c r="H253" s="11"/>
      <c r="I253" s="9" t="s">
        <v>13</v>
      </c>
      <c r="J253" s="44"/>
    </row>
    <row r="254">
      <c r="A254" s="42" t="s">
        <v>206</v>
      </c>
      <c r="B254" s="47"/>
      <c r="C254" s="8"/>
      <c r="D254" s="8"/>
      <c r="E254" s="9"/>
      <c r="F254" s="10"/>
      <c r="G254" s="9"/>
      <c r="H254" s="11"/>
      <c r="I254" s="9" t="s">
        <v>13</v>
      </c>
      <c r="J254" s="44"/>
    </row>
    <row r="255">
      <c r="A255" s="42" t="s">
        <v>206</v>
      </c>
      <c r="B255" s="47"/>
      <c r="C255" s="8"/>
      <c r="D255" s="8"/>
      <c r="E255" s="9"/>
      <c r="F255" s="10"/>
      <c r="G255" s="9"/>
      <c r="H255" s="11"/>
      <c r="I255" s="9" t="s">
        <v>13</v>
      </c>
      <c r="J255" s="44"/>
    </row>
    <row r="256">
      <c r="A256" s="42" t="s">
        <v>206</v>
      </c>
      <c r="B256" s="47"/>
      <c r="C256" s="8"/>
      <c r="D256" s="8"/>
      <c r="E256" s="9"/>
      <c r="F256" s="10"/>
      <c r="G256" s="9"/>
      <c r="H256" s="11"/>
      <c r="I256" s="9" t="s">
        <v>13</v>
      </c>
      <c r="J256" s="44"/>
    </row>
    <row r="257">
      <c r="A257" s="42" t="s">
        <v>206</v>
      </c>
      <c r="B257" s="47"/>
      <c r="C257" s="8"/>
      <c r="D257" s="8"/>
      <c r="E257" s="9"/>
      <c r="F257" s="10"/>
      <c r="G257" s="9"/>
      <c r="H257" s="11"/>
      <c r="I257" s="9" t="s">
        <v>13</v>
      </c>
      <c r="J257" s="44"/>
    </row>
    <row r="258">
      <c r="A258" s="42" t="s">
        <v>206</v>
      </c>
      <c r="B258" s="47"/>
      <c r="C258" s="8"/>
      <c r="D258" s="8"/>
      <c r="E258" s="9"/>
      <c r="F258" s="10"/>
      <c r="G258" s="9"/>
      <c r="H258" s="11"/>
      <c r="I258" s="9" t="s">
        <v>13</v>
      </c>
      <c r="J258" s="44"/>
    </row>
    <row r="259">
      <c r="A259" s="42" t="s">
        <v>206</v>
      </c>
      <c r="B259" s="47"/>
      <c r="C259" s="8"/>
      <c r="D259" s="8"/>
      <c r="E259" s="9"/>
      <c r="F259" s="10"/>
      <c r="G259" s="9"/>
      <c r="H259" s="11"/>
      <c r="I259" s="9" t="s">
        <v>13</v>
      </c>
      <c r="J259" s="44"/>
    </row>
    <row r="260">
      <c r="A260" s="42" t="s">
        <v>206</v>
      </c>
      <c r="B260" s="47"/>
      <c r="C260" s="8"/>
      <c r="D260" s="8"/>
      <c r="E260" s="9"/>
      <c r="F260" s="10"/>
      <c r="G260" s="9"/>
      <c r="H260" s="11"/>
      <c r="I260" s="9" t="s">
        <v>13</v>
      </c>
      <c r="J260" s="44"/>
    </row>
    <row r="261">
      <c r="A261" s="42" t="s">
        <v>206</v>
      </c>
      <c r="B261" s="47"/>
      <c r="C261" s="8"/>
      <c r="D261" s="8"/>
      <c r="E261" s="9"/>
      <c r="F261" s="10"/>
      <c r="G261" s="9"/>
      <c r="H261" s="11"/>
      <c r="I261" s="9" t="s">
        <v>13</v>
      </c>
      <c r="J261" s="44"/>
    </row>
    <row r="262">
      <c r="A262" s="42" t="s">
        <v>206</v>
      </c>
      <c r="B262" s="47"/>
      <c r="C262" s="8"/>
      <c r="D262" s="8"/>
      <c r="E262" s="9"/>
      <c r="F262" s="10"/>
      <c r="G262" s="9"/>
      <c r="H262" s="11"/>
      <c r="I262" s="9" t="s">
        <v>13</v>
      </c>
      <c r="J262" s="44"/>
    </row>
    <row r="263">
      <c r="A263" s="42" t="s">
        <v>206</v>
      </c>
      <c r="B263" s="47"/>
      <c r="C263" s="8"/>
      <c r="D263" s="8"/>
      <c r="E263" s="9"/>
      <c r="F263" s="10"/>
      <c r="G263" s="9"/>
      <c r="H263" s="11"/>
      <c r="I263" s="9" t="s">
        <v>13</v>
      </c>
      <c r="J263" s="44"/>
    </row>
    <row r="264">
      <c r="A264" s="42" t="s">
        <v>206</v>
      </c>
      <c r="B264" s="47"/>
      <c r="C264" s="8"/>
      <c r="D264" s="8"/>
      <c r="E264" s="9"/>
      <c r="F264" s="10"/>
      <c r="G264" s="9"/>
      <c r="H264" s="11"/>
      <c r="I264" s="9" t="s">
        <v>13</v>
      </c>
      <c r="J264" s="44"/>
    </row>
    <row r="265">
      <c r="A265" s="42" t="s">
        <v>206</v>
      </c>
      <c r="B265" s="47"/>
      <c r="C265" s="8"/>
      <c r="D265" s="8"/>
      <c r="E265" s="9"/>
      <c r="F265" s="10"/>
      <c r="G265" s="9"/>
      <c r="H265" s="11"/>
      <c r="I265" s="9" t="s">
        <v>13</v>
      </c>
      <c r="J265" s="44"/>
    </row>
    <row r="266">
      <c r="A266" s="42" t="s">
        <v>206</v>
      </c>
      <c r="B266" s="47"/>
      <c r="C266" s="8"/>
      <c r="D266" s="8"/>
      <c r="E266" s="9"/>
      <c r="F266" s="10"/>
      <c r="G266" s="9"/>
      <c r="H266" s="11"/>
      <c r="I266" s="9" t="s">
        <v>13</v>
      </c>
      <c r="J266" s="44"/>
    </row>
    <row r="267">
      <c r="A267" s="42" t="s">
        <v>206</v>
      </c>
      <c r="B267" s="47"/>
      <c r="C267" s="8"/>
      <c r="D267" s="8"/>
      <c r="E267" s="9"/>
      <c r="F267" s="10"/>
      <c r="G267" s="9"/>
      <c r="H267" s="11"/>
      <c r="I267" s="9" t="s">
        <v>13</v>
      </c>
      <c r="J267" s="44"/>
    </row>
    <row r="268">
      <c r="A268" s="42" t="s">
        <v>206</v>
      </c>
      <c r="B268" s="47"/>
      <c r="C268" s="8"/>
      <c r="D268" s="8"/>
      <c r="E268" s="9"/>
      <c r="F268" s="10"/>
      <c r="G268" s="9"/>
      <c r="H268" s="11"/>
      <c r="I268" s="9" t="s">
        <v>13</v>
      </c>
      <c r="J268" s="44"/>
    </row>
    <row r="269">
      <c r="A269" s="42" t="s">
        <v>206</v>
      </c>
      <c r="B269" s="47"/>
      <c r="C269" s="8"/>
      <c r="D269" s="8"/>
      <c r="E269" s="9"/>
      <c r="F269" s="10"/>
      <c r="G269" s="9"/>
      <c r="H269" s="11"/>
      <c r="I269" s="9" t="s">
        <v>13</v>
      </c>
      <c r="J269" s="44"/>
    </row>
    <row r="270">
      <c r="A270" s="42" t="s">
        <v>206</v>
      </c>
      <c r="B270" s="47"/>
      <c r="C270" s="8"/>
      <c r="D270" s="8"/>
      <c r="E270" s="9"/>
      <c r="F270" s="10"/>
      <c r="G270" s="9"/>
      <c r="H270" s="11"/>
      <c r="I270" s="9" t="s">
        <v>13</v>
      </c>
      <c r="J270" s="44"/>
    </row>
    <row r="271">
      <c r="A271" s="42" t="s">
        <v>206</v>
      </c>
      <c r="B271" s="47"/>
      <c r="C271" s="8"/>
      <c r="D271" s="8"/>
      <c r="E271" s="9"/>
      <c r="F271" s="10"/>
      <c r="G271" s="9"/>
      <c r="H271" s="11"/>
      <c r="I271" s="9" t="s">
        <v>13</v>
      </c>
      <c r="J271" s="44"/>
    </row>
    <row r="272">
      <c r="A272" s="42" t="s">
        <v>206</v>
      </c>
      <c r="B272" s="47"/>
      <c r="C272" s="8"/>
      <c r="D272" s="8"/>
      <c r="E272" s="9"/>
      <c r="F272" s="10"/>
      <c r="G272" s="9"/>
      <c r="H272" s="11"/>
      <c r="I272" s="9" t="s">
        <v>13</v>
      </c>
      <c r="J272" s="44"/>
    </row>
    <row r="273">
      <c r="A273" s="42" t="s">
        <v>206</v>
      </c>
      <c r="B273" s="47"/>
      <c r="C273" s="8"/>
      <c r="D273" s="8"/>
      <c r="E273" s="9"/>
      <c r="F273" s="10"/>
      <c r="G273" s="9"/>
      <c r="H273" s="11"/>
      <c r="I273" s="9" t="s">
        <v>13</v>
      </c>
      <c r="J273" s="44"/>
    </row>
    <row r="274">
      <c r="A274" s="42" t="s">
        <v>206</v>
      </c>
      <c r="B274" s="47"/>
      <c r="C274" s="8"/>
      <c r="D274" s="8"/>
      <c r="E274" s="9"/>
      <c r="F274" s="10"/>
      <c r="G274" s="9"/>
      <c r="H274" s="11"/>
      <c r="I274" s="9" t="s">
        <v>13</v>
      </c>
      <c r="J274" s="44"/>
    </row>
    <row r="275">
      <c r="A275" s="42" t="s">
        <v>206</v>
      </c>
      <c r="B275" s="47"/>
      <c r="C275" s="8"/>
      <c r="D275" s="8"/>
      <c r="E275" s="9"/>
      <c r="F275" s="10"/>
      <c r="G275" s="9"/>
      <c r="H275" s="11"/>
      <c r="I275" s="9" t="s">
        <v>13</v>
      </c>
      <c r="J275" s="44"/>
    </row>
    <row r="276">
      <c r="A276" s="42" t="s">
        <v>206</v>
      </c>
      <c r="B276" s="47"/>
      <c r="C276" s="8"/>
      <c r="D276" s="8"/>
      <c r="E276" s="9"/>
      <c r="F276" s="10"/>
      <c r="G276" s="9"/>
      <c r="H276" s="11"/>
      <c r="I276" s="9" t="s">
        <v>13</v>
      </c>
      <c r="J276" s="44"/>
    </row>
    <row r="277">
      <c r="A277" s="42" t="s">
        <v>206</v>
      </c>
      <c r="B277" s="47"/>
      <c r="C277" s="8"/>
      <c r="D277" s="8"/>
      <c r="E277" s="9"/>
      <c r="F277" s="10"/>
      <c r="G277" s="9"/>
      <c r="H277" s="11"/>
      <c r="I277" s="9" t="s">
        <v>13</v>
      </c>
      <c r="J277" s="44"/>
    </row>
    <row r="278">
      <c r="A278" s="42" t="s">
        <v>206</v>
      </c>
      <c r="B278" s="47"/>
      <c r="C278" s="8"/>
      <c r="D278" s="8"/>
      <c r="E278" s="9"/>
      <c r="F278" s="10"/>
      <c r="G278" s="9"/>
      <c r="H278" s="11"/>
      <c r="I278" s="9" t="s">
        <v>13</v>
      </c>
      <c r="J278" s="44"/>
    </row>
    <row r="279">
      <c r="A279" s="42" t="s">
        <v>206</v>
      </c>
      <c r="B279" s="47"/>
      <c r="C279" s="8"/>
      <c r="D279" s="8"/>
      <c r="E279" s="9"/>
      <c r="F279" s="10"/>
      <c r="G279" s="9"/>
      <c r="H279" s="11"/>
      <c r="I279" s="9" t="s">
        <v>13</v>
      </c>
      <c r="J279" s="44"/>
    </row>
    <row r="280">
      <c r="A280" s="42" t="s">
        <v>206</v>
      </c>
      <c r="B280" s="47"/>
      <c r="C280" s="8"/>
      <c r="D280" s="8"/>
      <c r="E280" s="9"/>
      <c r="F280" s="10"/>
      <c r="G280" s="9"/>
      <c r="H280" s="11"/>
      <c r="I280" s="9" t="s">
        <v>13</v>
      </c>
      <c r="J280" s="44"/>
    </row>
    <row r="281">
      <c r="A281" s="42" t="s">
        <v>206</v>
      </c>
      <c r="B281" s="47"/>
      <c r="C281" s="8"/>
      <c r="D281" s="8"/>
      <c r="E281" s="9"/>
      <c r="F281" s="10"/>
      <c r="G281" s="9"/>
      <c r="H281" s="11"/>
      <c r="I281" s="9" t="s">
        <v>13</v>
      </c>
      <c r="J281" s="44"/>
    </row>
    <row r="282">
      <c r="A282" s="42" t="s">
        <v>206</v>
      </c>
      <c r="B282" s="47"/>
      <c r="C282" s="8"/>
      <c r="D282" s="8"/>
      <c r="E282" s="9"/>
      <c r="F282" s="10"/>
      <c r="G282" s="9"/>
      <c r="H282" s="11"/>
      <c r="I282" s="9" t="s">
        <v>13</v>
      </c>
      <c r="J282" s="44"/>
    </row>
    <row r="283">
      <c r="A283" s="42" t="s">
        <v>206</v>
      </c>
      <c r="B283" s="47"/>
      <c r="C283" s="8"/>
      <c r="D283" s="8"/>
      <c r="E283" s="9"/>
      <c r="F283" s="10"/>
      <c r="G283" s="9"/>
      <c r="H283" s="11"/>
      <c r="I283" s="9" t="s">
        <v>13</v>
      </c>
      <c r="J283" s="44"/>
    </row>
    <row r="284">
      <c r="A284" s="42" t="s">
        <v>206</v>
      </c>
      <c r="B284" s="47"/>
      <c r="C284" s="8"/>
      <c r="D284" s="8"/>
      <c r="E284" s="9"/>
      <c r="F284" s="10"/>
      <c r="G284" s="9"/>
      <c r="H284" s="11"/>
      <c r="I284" s="9" t="s">
        <v>13</v>
      </c>
      <c r="J284" s="44"/>
    </row>
    <row r="285">
      <c r="A285" s="42" t="s">
        <v>206</v>
      </c>
      <c r="B285" s="47"/>
      <c r="C285" s="8"/>
      <c r="D285" s="8"/>
      <c r="E285" s="9"/>
      <c r="F285" s="10"/>
      <c r="G285" s="9"/>
      <c r="H285" s="11"/>
      <c r="I285" s="9" t="s">
        <v>13</v>
      </c>
      <c r="J285" s="44"/>
    </row>
    <row r="286">
      <c r="A286" s="42" t="s">
        <v>206</v>
      </c>
      <c r="B286" s="47"/>
      <c r="C286" s="8"/>
      <c r="D286" s="8"/>
      <c r="E286" s="9"/>
      <c r="F286" s="10"/>
      <c r="G286" s="9"/>
      <c r="H286" s="11"/>
      <c r="I286" s="9" t="s">
        <v>13</v>
      </c>
      <c r="J286" s="44"/>
    </row>
    <row r="287">
      <c r="A287" s="42" t="s">
        <v>206</v>
      </c>
      <c r="B287" s="47"/>
      <c r="C287" s="8"/>
      <c r="D287" s="8"/>
      <c r="E287" s="9"/>
      <c r="F287" s="10"/>
      <c r="G287" s="9"/>
      <c r="H287" s="11"/>
      <c r="I287" s="9" t="s">
        <v>13</v>
      </c>
      <c r="J287" s="44"/>
    </row>
    <row r="288">
      <c r="A288" s="42" t="s">
        <v>206</v>
      </c>
      <c r="B288" s="47"/>
      <c r="C288" s="8"/>
      <c r="D288" s="8"/>
      <c r="E288" s="9"/>
      <c r="F288" s="10"/>
      <c r="G288" s="9"/>
      <c r="H288" s="11"/>
      <c r="I288" s="9" t="s">
        <v>13</v>
      </c>
      <c r="J288" s="44"/>
    </row>
    <row r="289">
      <c r="A289" s="42" t="s">
        <v>206</v>
      </c>
      <c r="B289" s="47"/>
      <c r="C289" s="8"/>
      <c r="D289" s="8"/>
      <c r="E289" s="9"/>
      <c r="F289" s="10"/>
      <c r="G289" s="9"/>
      <c r="H289" s="11"/>
      <c r="I289" s="9" t="s">
        <v>13</v>
      </c>
      <c r="J289" s="44"/>
    </row>
    <row r="290">
      <c r="A290" s="42" t="s">
        <v>206</v>
      </c>
      <c r="B290" s="47"/>
      <c r="C290" s="8"/>
      <c r="D290" s="8"/>
      <c r="E290" s="9"/>
      <c r="F290" s="10"/>
      <c r="G290" s="9"/>
      <c r="H290" s="11"/>
      <c r="I290" s="9" t="s">
        <v>13</v>
      </c>
      <c r="J290" s="44"/>
    </row>
    <row r="291">
      <c r="A291" s="42" t="s">
        <v>206</v>
      </c>
      <c r="B291" s="47"/>
      <c r="C291" s="8"/>
      <c r="D291" s="8"/>
      <c r="E291" s="9"/>
      <c r="F291" s="10"/>
      <c r="G291" s="9"/>
      <c r="H291" s="11"/>
      <c r="I291" s="9" t="s">
        <v>13</v>
      </c>
      <c r="J291" s="44"/>
    </row>
    <row r="292">
      <c r="A292" s="42" t="s">
        <v>206</v>
      </c>
      <c r="B292" s="47"/>
      <c r="C292" s="8"/>
      <c r="D292" s="8"/>
      <c r="E292" s="9"/>
      <c r="F292" s="10"/>
      <c r="G292" s="9"/>
      <c r="H292" s="11"/>
      <c r="I292" s="9" t="s">
        <v>13</v>
      </c>
      <c r="J292" s="44"/>
    </row>
    <row r="293">
      <c r="A293" s="42" t="s">
        <v>206</v>
      </c>
      <c r="B293" s="47"/>
      <c r="C293" s="8"/>
      <c r="D293" s="8"/>
      <c r="E293" s="9"/>
      <c r="F293" s="10"/>
      <c r="G293" s="9"/>
      <c r="H293" s="11"/>
      <c r="I293" s="9" t="s">
        <v>13</v>
      </c>
      <c r="J293" s="44"/>
    </row>
    <row r="294">
      <c r="A294" s="42" t="s">
        <v>206</v>
      </c>
      <c r="B294" s="47"/>
      <c r="C294" s="8"/>
      <c r="D294" s="8"/>
      <c r="E294" s="9"/>
      <c r="F294" s="10"/>
      <c r="G294" s="9"/>
      <c r="H294" s="11"/>
      <c r="I294" s="9" t="s">
        <v>13</v>
      </c>
      <c r="J294" s="44"/>
    </row>
    <row r="295">
      <c r="A295" s="42" t="s">
        <v>206</v>
      </c>
      <c r="B295" s="47"/>
      <c r="C295" s="8"/>
      <c r="D295" s="8"/>
      <c r="E295" s="9"/>
      <c r="F295" s="10"/>
      <c r="G295" s="9"/>
      <c r="H295" s="11"/>
      <c r="I295" s="9" t="s">
        <v>13</v>
      </c>
      <c r="J295" s="44"/>
    </row>
    <row r="296">
      <c r="A296" s="42" t="s">
        <v>206</v>
      </c>
      <c r="B296" s="47"/>
      <c r="C296" s="8"/>
      <c r="D296" s="8"/>
      <c r="E296" s="9"/>
      <c r="F296" s="10"/>
      <c r="G296" s="9"/>
      <c r="H296" s="11"/>
      <c r="I296" s="9" t="s">
        <v>13</v>
      </c>
      <c r="J296" s="44"/>
    </row>
    <row r="297">
      <c r="A297" s="42" t="s">
        <v>206</v>
      </c>
      <c r="B297" s="47"/>
      <c r="C297" s="8"/>
      <c r="D297" s="8"/>
      <c r="E297" s="9"/>
      <c r="F297" s="10"/>
      <c r="G297" s="9"/>
      <c r="H297" s="11"/>
      <c r="I297" s="9" t="s">
        <v>13</v>
      </c>
      <c r="J297" s="44"/>
    </row>
    <row r="298">
      <c r="A298" s="42" t="s">
        <v>206</v>
      </c>
      <c r="B298" s="47"/>
      <c r="C298" s="8"/>
      <c r="D298" s="8"/>
      <c r="E298" s="9"/>
      <c r="F298" s="10"/>
      <c r="G298" s="9"/>
      <c r="H298" s="11"/>
      <c r="I298" s="9" t="s">
        <v>13</v>
      </c>
      <c r="J298" s="44"/>
    </row>
    <row r="299">
      <c r="A299" s="42" t="s">
        <v>206</v>
      </c>
      <c r="B299" s="47"/>
      <c r="C299" s="8"/>
      <c r="D299" s="8"/>
      <c r="E299" s="9"/>
      <c r="F299" s="10"/>
      <c r="G299" s="9"/>
      <c r="H299" s="11"/>
      <c r="I299" s="9" t="s">
        <v>13</v>
      </c>
      <c r="J299" s="44"/>
    </row>
    <row r="300">
      <c r="A300" s="42" t="s">
        <v>206</v>
      </c>
      <c r="B300" s="47"/>
      <c r="C300" s="8"/>
      <c r="D300" s="8"/>
      <c r="E300" s="9"/>
      <c r="F300" s="10"/>
      <c r="G300" s="9"/>
      <c r="H300" s="11"/>
      <c r="I300" s="9" t="s">
        <v>13</v>
      </c>
      <c r="J300" s="44"/>
    </row>
    <row r="301">
      <c r="A301" s="42" t="s">
        <v>206</v>
      </c>
      <c r="B301" s="47"/>
      <c r="C301" s="8"/>
      <c r="D301" s="8"/>
      <c r="E301" s="9"/>
      <c r="F301" s="10"/>
      <c r="G301" s="9"/>
      <c r="H301" s="11"/>
      <c r="I301" s="9" t="s">
        <v>13</v>
      </c>
      <c r="J301" s="44"/>
    </row>
    <row r="302">
      <c r="A302" s="42" t="s">
        <v>206</v>
      </c>
      <c r="B302" s="47"/>
      <c r="C302" s="8"/>
      <c r="D302" s="8"/>
      <c r="E302" s="9"/>
      <c r="F302" s="10"/>
      <c r="G302" s="9"/>
      <c r="H302" s="11"/>
      <c r="I302" s="9" t="s">
        <v>13</v>
      </c>
      <c r="J302" s="44"/>
    </row>
    <row r="303">
      <c r="A303" s="42" t="s">
        <v>206</v>
      </c>
      <c r="B303" s="47"/>
      <c r="C303" s="8"/>
      <c r="D303" s="8"/>
      <c r="E303" s="9"/>
      <c r="F303" s="10"/>
      <c r="G303" s="9"/>
      <c r="H303" s="11"/>
      <c r="I303" s="9" t="s">
        <v>13</v>
      </c>
      <c r="J303" s="44"/>
    </row>
    <row r="304">
      <c r="A304" s="42" t="s">
        <v>206</v>
      </c>
      <c r="B304" s="47"/>
      <c r="C304" s="8"/>
      <c r="D304" s="8"/>
      <c r="E304" s="9"/>
      <c r="F304" s="10"/>
      <c r="G304" s="9"/>
      <c r="H304" s="11"/>
      <c r="I304" s="9" t="s">
        <v>13</v>
      </c>
      <c r="J304" s="44"/>
    </row>
    <row r="305">
      <c r="A305" s="42" t="s">
        <v>206</v>
      </c>
      <c r="B305" s="47"/>
      <c r="C305" s="8"/>
      <c r="D305" s="8"/>
      <c r="E305" s="9"/>
      <c r="F305" s="10"/>
      <c r="G305" s="9"/>
      <c r="H305" s="11"/>
      <c r="I305" s="9" t="s">
        <v>13</v>
      </c>
      <c r="J305" s="44"/>
    </row>
    <row r="306">
      <c r="A306" s="42" t="s">
        <v>206</v>
      </c>
      <c r="B306" s="47"/>
      <c r="C306" s="8"/>
      <c r="D306" s="8"/>
      <c r="E306" s="9"/>
      <c r="F306" s="10"/>
      <c r="G306" s="9"/>
      <c r="H306" s="11"/>
      <c r="I306" s="9" t="s">
        <v>13</v>
      </c>
      <c r="J306" s="44"/>
    </row>
    <row r="307">
      <c r="A307" s="42" t="s">
        <v>206</v>
      </c>
      <c r="B307" s="47"/>
      <c r="C307" s="8"/>
      <c r="D307" s="8"/>
      <c r="E307" s="9"/>
      <c r="F307" s="10"/>
      <c r="G307" s="9"/>
      <c r="H307" s="11"/>
      <c r="I307" s="9" t="s">
        <v>13</v>
      </c>
      <c r="J307" s="44"/>
    </row>
    <row r="308">
      <c r="A308" s="42" t="s">
        <v>206</v>
      </c>
      <c r="B308" s="47"/>
      <c r="C308" s="8"/>
      <c r="D308" s="8"/>
      <c r="E308" s="9"/>
      <c r="F308" s="10"/>
      <c r="G308" s="9"/>
      <c r="H308" s="11"/>
      <c r="I308" s="9" t="s">
        <v>13</v>
      </c>
      <c r="J308" s="44"/>
    </row>
    <row r="309">
      <c r="A309" s="42" t="s">
        <v>206</v>
      </c>
      <c r="B309" s="47"/>
      <c r="C309" s="8"/>
      <c r="D309" s="8"/>
      <c r="E309" s="9"/>
      <c r="F309" s="10"/>
      <c r="G309" s="9"/>
      <c r="H309" s="11"/>
      <c r="I309" s="9" t="s">
        <v>13</v>
      </c>
      <c r="J309" s="44"/>
    </row>
    <row r="310">
      <c r="A310" s="42" t="s">
        <v>206</v>
      </c>
      <c r="B310" s="47"/>
      <c r="C310" s="8"/>
      <c r="D310" s="8"/>
      <c r="E310" s="9"/>
      <c r="F310" s="10"/>
      <c r="G310" s="9"/>
      <c r="H310" s="11"/>
      <c r="I310" s="9" t="s">
        <v>13</v>
      </c>
      <c r="J310" s="44"/>
    </row>
    <row r="311">
      <c r="A311" s="42" t="s">
        <v>206</v>
      </c>
      <c r="B311" s="47"/>
      <c r="C311" s="8"/>
      <c r="D311" s="8"/>
      <c r="E311" s="9"/>
      <c r="F311" s="10"/>
      <c r="G311" s="9"/>
      <c r="H311" s="11"/>
      <c r="I311" s="9" t="s">
        <v>13</v>
      </c>
      <c r="J311" s="44"/>
    </row>
    <row r="312">
      <c r="A312" s="42" t="s">
        <v>206</v>
      </c>
      <c r="B312" s="47"/>
      <c r="C312" s="8"/>
      <c r="D312" s="8"/>
      <c r="E312" s="9"/>
      <c r="F312" s="10"/>
      <c r="G312" s="9"/>
      <c r="H312" s="11"/>
      <c r="I312" s="9" t="s">
        <v>13</v>
      </c>
      <c r="J312" s="44"/>
    </row>
    <row r="313">
      <c r="A313" s="42" t="s">
        <v>206</v>
      </c>
      <c r="B313" s="47"/>
      <c r="C313" s="8"/>
      <c r="D313" s="8"/>
      <c r="E313" s="9"/>
      <c r="F313" s="10"/>
      <c r="G313" s="9"/>
      <c r="H313" s="11"/>
      <c r="I313" s="9" t="s">
        <v>13</v>
      </c>
      <c r="J313" s="44"/>
    </row>
    <row r="314">
      <c r="A314" s="42" t="s">
        <v>206</v>
      </c>
      <c r="B314" s="47"/>
      <c r="C314" s="8"/>
      <c r="D314" s="8"/>
      <c r="E314" s="9"/>
      <c r="F314" s="10"/>
      <c r="G314" s="9"/>
      <c r="H314" s="11"/>
      <c r="I314" s="9" t="s">
        <v>13</v>
      </c>
      <c r="J314" s="44"/>
    </row>
    <row r="315">
      <c r="A315" s="42" t="s">
        <v>206</v>
      </c>
      <c r="B315" s="47"/>
      <c r="C315" s="8"/>
      <c r="D315" s="8"/>
      <c r="E315" s="9"/>
      <c r="F315" s="10"/>
      <c r="G315" s="9"/>
      <c r="H315" s="11"/>
      <c r="I315" s="9" t="s">
        <v>13</v>
      </c>
      <c r="J315" s="44"/>
    </row>
    <row r="316">
      <c r="A316" s="42" t="s">
        <v>206</v>
      </c>
      <c r="B316" s="47"/>
      <c r="C316" s="8"/>
      <c r="D316" s="8"/>
      <c r="E316" s="9"/>
      <c r="F316" s="10"/>
      <c r="G316" s="9"/>
      <c r="H316" s="11"/>
      <c r="I316" s="9" t="s">
        <v>13</v>
      </c>
      <c r="J316" s="44"/>
    </row>
    <row r="317">
      <c r="A317" s="42" t="s">
        <v>206</v>
      </c>
      <c r="B317" s="47"/>
      <c r="C317" s="8"/>
      <c r="D317" s="8"/>
      <c r="E317" s="9"/>
      <c r="F317" s="10"/>
      <c r="G317" s="9"/>
      <c r="H317" s="11"/>
      <c r="I317" s="9" t="s">
        <v>13</v>
      </c>
      <c r="J317" s="44"/>
    </row>
    <row r="318">
      <c r="A318" s="42" t="s">
        <v>206</v>
      </c>
      <c r="B318" s="47"/>
      <c r="C318" s="8"/>
      <c r="D318" s="8"/>
      <c r="E318" s="9"/>
      <c r="F318" s="10"/>
      <c r="G318" s="9"/>
      <c r="H318" s="11"/>
      <c r="I318" s="9" t="s">
        <v>13</v>
      </c>
      <c r="J318" s="44"/>
    </row>
    <row r="319">
      <c r="A319" s="42" t="s">
        <v>206</v>
      </c>
      <c r="B319" s="47"/>
      <c r="C319" s="8"/>
      <c r="D319" s="8"/>
      <c r="E319" s="9"/>
      <c r="F319" s="10"/>
      <c r="G319" s="9"/>
      <c r="H319" s="11"/>
      <c r="I319" s="9" t="s">
        <v>13</v>
      </c>
      <c r="J319" s="44"/>
    </row>
    <row r="320">
      <c r="A320" s="42" t="s">
        <v>206</v>
      </c>
      <c r="B320" s="47"/>
      <c r="C320" s="8"/>
      <c r="D320" s="8"/>
      <c r="E320" s="9"/>
      <c r="F320" s="10"/>
      <c r="G320" s="9"/>
      <c r="H320" s="11"/>
      <c r="I320" s="9" t="s">
        <v>13</v>
      </c>
      <c r="J320" s="44"/>
    </row>
    <row r="321">
      <c r="A321" s="42" t="s">
        <v>206</v>
      </c>
      <c r="B321" s="47"/>
      <c r="C321" s="8"/>
      <c r="D321" s="8"/>
      <c r="E321" s="9"/>
      <c r="F321" s="10"/>
      <c r="G321" s="9"/>
      <c r="H321" s="11"/>
      <c r="I321" s="9" t="s">
        <v>13</v>
      </c>
      <c r="J321" s="44"/>
    </row>
    <row r="322">
      <c r="A322" s="42" t="s">
        <v>206</v>
      </c>
      <c r="B322" s="47"/>
      <c r="C322" s="8"/>
      <c r="D322" s="8"/>
      <c r="E322" s="9"/>
      <c r="F322" s="10"/>
      <c r="G322" s="9"/>
      <c r="H322" s="11"/>
      <c r="I322" s="9" t="s">
        <v>13</v>
      </c>
      <c r="J322" s="44"/>
    </row>
    <row r="323">
      <c r="A323" s="42" t="s">
        <v>206</v>
      </c>
      <c r="B323" s="47"/>
      <c r="C323" s="8"/>
      <c r="D323" s="8"/>
      <c r="E323" s="9"/>
      <c r="F323" s="10"/>
      <c r="G323" s="9"/>
      <c r="H323" s="11"/>
      <c r="I323" s="9" t="s">
        <v>13</v>
      </c>
      <c r="J323" s="44"/>
    </row>
    <row r="324">
      <c r="A324" s="42" t="s">
        <v>206</v>
      </c>
      <c r="B324" s="47"/>
      <c r="C324" s="8"/>
      <c r="D324" s="8"/>
      <c r="E324" s="9"/>
      <c r="F324" s="10"/>
      <c r="G324" s="9"/>
      <c r="H324" s="11"/>
      <c r="I324" s="9" t="s">
        <v>13</v>
      </c>
      <c r="J324" s="44"/>
    </row>
    <row r="325">
      <c r="A325" s="42" t="s">
        <v>206</v>
      </c>
      <c r="B325" s="47"/>
      <c r="C325" s="8"/>
      <c r="D325" s="8"/>
      <c r="E325" s="9"/>
      <c r="F325" s="10"/>
      <c r="G325" s="9"/>
      <c r="H325" s="11"/>
      <c r="I325" s="9" t="s">
        <v>13</v>
      </c>
      <c r="J325" s="44"/>
    </row>
    <row r="326">
      <c r="A326" s="42" t="s">
        <v>206</v>
      </c>
      <c r="B326" s="47"/>
      <c r="C326" s="8"/>
      <c r="D326" s="8"/>
      <c r="E326" s="9"/>
      <c r="F326" s="10"/>
      <c r="G326" s="9"/>
      <c r="H326" s="11"/>
      <c r="I326" s="9" t="s">
        <v>13</v>
      </c>
      <c r="J326" s="44"/>
    </row>
    <row r="327">
      <c r="A327" s="42" t="s">
        <v>206</v>
      </c>
      <c r="B327" s="47"/>
      <c r="C327" s="8"/>
      <c r="D327" s="8"/>
      <c r="E327" s="9"/>
      <c r="F327" s="10"/>
      <c r="G327" s="9"/>
      <c r="H327" s="11"/>
      <c r="I327" s="9" t="s">
        <v>13</v>
      </c>
      <c r="J327" s="44"/>
    </row>
    <row r="328">
      <c r="A328" s="42" t="s">
        <v>206</v>
      </c>
      <c r="B328" s="47"/>
      <c r="C328" s="8"/>
      <c r="D328" s="8"/>
      <c r="E328" s="9"/>
      <c r="F328" s="10"/>
      <c r="G328" s="9"/>
      <c r="H328" s="11"/>
      <c r="I328" s="9" t="s">
        <v>13</v>
      </c>
      <c r="J328" s="44"/>
    </row>
    <row r="329">
      <c r="A329" s="42" t="s">
        <v>206</v>
      </c>
      <c r="B329" s="47"/>
      <c r="C329" s="8"/>
      <c r="D329" s="8"/>
      <c r="E329" s="9"/>
      <c r="F329" s="10"/>
      <c r="G329" s="9"/>
      <c r="H329" s="11"/>
      <c r="I329" s="9" t="s">
        <v>13</v>
      </c>
      <c r="J329" s="44"/>
    </row>
    <row r="330">
      <c r="A330" s="42" t="s">
        <v>206</v>
      </c>
      <c r="B330" s="47"/>
      <c r="C330" s="8"/>
      <c r="D330" s="8"/>
      <c r="E330" s="9"/>
      <c r="F330" s="10"/>
      <c r="G330" s="9"/>
      <c r="H330" s="11"/>
      <c r="I330" s="9" t="s">
        <v>13</v>
      </c>
      <c r="J330" s="44"/>
    </row>
    <row r="331">
      <c r="A331" s="42" t="s">
        <v>206</v>
      </c>
      <c r="B331" s="47"/>
      <c r="C331" s="8"/>
      <c r="D331" s="8"/>
      <c r="E331" s="9"/>
      <c r="F331" s="10"/>
      <c r="G331" s="9"/>
      <c r="H331" s="11"/>
      <c r="I331" s="9" t="s">
        <v>13</v>
      </c>
      <c r="J331" s="44"/>
    </row>
    <row r="332">
      <c r="A332" s="42" t="s">
        <v>206</v>
      </c>
      <c r="B332" s="47"/>
      <c r="C332" s="8"/>
      <c r="D332" s="8"/>
      <c r="E332" s="9"/>
      <c r="F332" s="10"/>
      <c r="G332" s="9"/>
      <c r="H332" s="11"/>
      <c r="I332" s="9" t="s">
        <v>13</v>
      </c>
      <c r="J332" s="44"/>
    </row>
    <row r="333">
      <c r="A333" s="42" t="s">
        <v>206</v>
      </c>
      <c r="B333" s="47"/>
      <c r="C333" s="8"/>
      <c r="D333" s="8"/>
      <c r="E333" s="9"/>
      <c r="F333" s="10"/>
      <c r="G333" s="9"/>
      <c r="H333" s="11"/>
      <c r="I333" s="9" t="s">
        <v>13</v>
      </c>
      <c r="J333" s="44"/>
    </row>
    <row r="334">
      <c r="A334" s="42" t="s">
        <v>206</v>
      </c>
      <c r="B334" s="47"/>
      <c r="C334" s="8"/>
      <c r="D334" s="8"/>
      <c r="E334" s="9"/>
      <c r="F334" s="10"/>
      <c r="G334" s="9"/>
      <c r="H334" s="11"/>
      <c r="I334" s="9" t="s">
        <v>13</v>
      </c>
      <c r="J334" s="44"/>
    </row>
    <row r="335">
      <c r="A335" s="42" t="s">
        <v>206</v>
      </c>
      <c r="B335" s="47"/>
      <c r="C335" s="8"/>
      <c r="D335" s="8"/>
      <c r="E335" s="9"/>
      <c r="F335" s="10"/>
      <c r="G335" s="9"/>
      <c r="H335" s="11"/>
      <c r="I335" s="9" t="s">
        <v>13</v>
      </c>
      <c r="J335" s="44"/>
    </row>
    <row r="336">
      <c r="A336" s="42" t="s">
        <v>206</v>
      </c>
      <c r="B336" s="47"/>
      <c r="C336" s="8"/>
      <c r="D336" s="8"/>
      <c r="E336" s="9"/>
      <c r="F336" s="10"/>
      <c r="G336" s="9"/>
      <c r="H336" s="11"/>
      <c r="I336" s="9" t="s">
        <v>13</v>
      </c>
      <c r="J336" s="44"/>
    </row>
    <row r="337">
      <c r="A337" s="42" t="s">
        <v>206</v>
      </c>
      <c r="B337" s="47"/>
      <c r="C337" s="8"/>
      <c r="D337" s="8"/>
      <c r="E337" s="9"/>
      <c r="F337" s="10"/>
      <c r="G337" s="9"/>
      <c r="H337" s="11"/>
      <c r="I337" s="9" t="s">
        <v>13</v>
      </c>
      <c r="J337" s="44"/>
    </row>
    <row r="338">
      <c r="A338" s="42" t="s">
        <v>206</v>
      </c>
      <c r="B338" s="47"/>
      <c r="C338" s="8"/>
      <c r="D338" s="8"/>
      <c r="E338" s="9"/>
      <c r="F338" s="10"/>
      <c r="G338" s="9"/>
      <c r="H338" s="11"/>
      <c r="I338" s="9" t="s">
        <v>13</v>
      </c>
      <c r="J338" s="44"/>
    </row>
    <row r="339">
      <c r="A339" s="42" t="s">
        <v>206</v>
      </c>
      <c r="B339" s="47"/>
      <c r="C339" s="8"/>
      <c r="D339" s="8"/>
      <c r="E339" s="9"/>
      <c r="F339" s="10"/>
      <c r="G339" s="9"/>
      <c r="H339" s="11"/>
      <c r="I339" s="9" t="s">
        <v>13</v>
      </c>
      <c r="J339" s="44"/>
    </row>
    <row r="340">
      <c r="A340" s="42" t="s">
        <v>206</v>
      </c>
      <c r="B340" s="47"/>
      <c r="C340" s="8"/>
      <c r="D340" s="8"/>
      <c r="E340" s="9"/>
      <c r="F340" s="10"/>
      <c r="G340" s="9"/>
      <c r="H340" s="11"/>
      <c r="I340" s="9" t="s">
        <v>13</v>
      </c>
      <c r="J340" s="44"/>
    </row>
    <row r="341">
      <c r="A341" s="42" t="s">
        <v>206</v>
      </c>
      <c r="B341" s="47"/>
      <c r="C341" s="8"/>
      <c r="D341" s="8"/>
      <c r="E341" s="9"/>
      <c r="F341" s="10"/>
      <c r="G341" s="9"/>
      <c r="H341" s="11"/>
      <c r="I341" s="9" t="s">
        <v>13</v>
      </c>
      <c r="J341" s="44"/>
    </row>
    <row r="342">
      <c r="A342" s="42" t="s">
        <v>206</v>
      </c>
      <c r="B342" s="47"/>
      <c r="C342" s="8"/>
      <c r="D342" s="8"/>
      <c r="E342" s="9"/>
      <c r="F342" s="10"/>
      <c r="G342" s="9"/>
      <c r="H342" s="11"/>
      <c r="I342" s="9" t="s">
        <v>13</v>
      </c>
      <c r="J342" s="44"/>
    </row>
    <row r="343">
      <c r="A343" s="42" t="s">
        <v>206</v>
      </c>
      <c r="B343" s="47"/>
      <c r="C343" s="8"/>
      <c r="D343" s="8"/>
      <c r="E343" s="9"/>
      <c r="F343" s="10"/>
      <c r="G343" s="9"/>
      <c r="H343" s="11"/>
      <c r="I343" s="9" t="s">
        <v>13</v>
      </c>
      <c r="J343" s="44"/>
    </row>
    <row r="344">
      <c r="A344" s="42" t="s">
        <v>206</v>
      </c>
      <c r="B344" s="47"/>
      <c r="C344" s="8"/>
      <c r="D344" s="8"/>
      <c r="E344" s="9"/>
      <c r="F344" s="10"/>
      <c r="G344" s="9"/>
      <c r="H344" s="11"/>
      <c r="I344" s="9" t="s">
        <v>13</v>
      </c>
      <c r="J344" s="44"/>
    </row>
    <row r="345">
      <c r="A345" s="42" t="s">
        <v>206</v>
      </c>
      <c r="B345" s="47"/>
      <c r="C345" s="8"/>
      <c r="D345" s="8"/>
      <c r="E345" s="9"/>
      <c r="F345" s="10"/>
      <c r="G345" s="9"/>
      <c r="H345" s="11"/>
      <c r="I345" s="9" t="s">
        <v>13</v>
      </c>
      <c r="J345" s="44"/>
    </row>
    <row r="346">
      <c r="A346" s="42" t="s">
        <v>206</v>
      </c>
      <c r="B346" s="47"/>
      <c r="C346" s="8"/>
      <c r="D346" s="8"/>
      <c r="E346" s="9"/>
      <c r="F346" s="10"/>
      <c r="G346" s="9"/>
      <c r="H346" s="11"/>
      <c r="I346" s="9" t="s">
        <v>13</v>
      </c>
      <c r="J346" s="44"/>
    </row>
    <row r="347">
      <c r="A347" s="42" t="s">
        <v>206</v>
      </c>
      <c r="B347" s="47"/>
      <c r="C347" s="8"/>
      <c r="D347" s="8"/>
      <c r="E347" s="9"/>
      <c r="F347" s="10"/>
      <c r="G347" s="9"/>
      <c r="H347" s="11"/>
      <c r="I347" s="9" t="s">
        <v>13</v>
      </c>
      <c r="J347" s="44"/>
    </row>
    <row r="348">
      <c r="A348" s="42" t="s">
        <v>206</v>
      </c>
      <c r="B348" s="47"/>
      <c r="C348" s="8"/>
      <c r="D348" s="8"/>
      <c r="E348" s="9"/>
      <c r="F348" s="10"/>
      <c r="G348" s="9"/>
      <c r="H348" s="11"/>
      <c r="I348" s="9" t="s">
        <v>13</v>
      </c>
      <c r="J348" s="44"/>
    </row>
    <row r="349">
      <c r="A349" s="42" t="s">
        <v>206</v>
      </c>
      <c r="B349" s="47"/>
      <c r="C349" s="8"/>
      <c r="D349" s="8"/>
      <c r="E349" s="9"/>
      <c r="F349" s="10"/>
      <c r="G349" s="9"/>
      <c r="H349" s="11"/>
      <c r="I349" s="9" t="s">
        <v>13</v>
      </c>
      <c r="J349" s="44"/>
    </row>
    <row r="350">
      <c r="A350" s="42" t="s">
        <v>206</v>
      </c>
      <c r="B350" s="47"/>
      <c r="C350" s="8"/>
      <c r="D350" s="8"/>
      <c r="E350" s="9"/>
      <c r="F350" s="10"/>
      <c r="G350" s="9"/>
      <c r="H350" s="11"/>
      <c r="I350" s="9" t="s">
        <v>13</v>
      </c>
      <c r="J350" s="44"/>
    </row>
    <row r="351">
      <c r="A351" s="42" t="s">
        <v>206</v>
      </c>
      <c r="B351" s="47"/>
      <c r="C351" s="8"/>
      <c r="D351" s="8"/>
      <c r="E351" s="9"/>
      <c r="F351" s="10"/>
      <c r="G351" s="9"/>
      <c r="H351" s="11"/>
      <c r="I351" s="9" t="s">
        <v>13</v>
      </c>
      <c r="J351" s="44"/>
    </row>
    <row r="352">
      <c r="A352" s="42" t="s">
        <v>206</v>
      </c>
      <c r="B352" s="47"/>
      <c r="C352" s="8"/>
      <c r="D352" s="8"/>
      <c r="E352" s="9"/>
      <c r="F352" s="10"/>
      <c r="G352" s="9"/>
      <c r="H352" s="11"/>
      <c r="I352" s="9" t="s">
        <v>13</v>
      </c>
      <c r="J352" s="44"/>
    </row>
    <row r="353">
      <c r="A353" s="42" t="s">
        <v>206</v>
      </c>
      <c r="B353" s="47"/>
      <c r="C353" s="8"/>
      <c r="D353" s="8"/>
      <c r="E353" s="9"/>
      <c r="F353" s="10"/>
      <c r="G353" s="9"/>
      <c r="H353" s="11"/>
      <c r="I353" s="9" t="s">
        <v>13</v>
      </c>
      <c r="J353" s="44"/>
    </row>
    <row r="354">
      <c r="A354" s="42" t="s">
        <v>206</v>
      </c>
      <c r="B354" s="47"/>
      <c r="C354" s="8"/>
      <c r="D354" s="8"/>
      <c r="E354" s="9"/>
      <c r="F354" s="10"/>
      <c r="G354" s="9"/>
      <c r="H354" s="11"/>
      <c r="I354" s="9" t="s">
        <v>13</v>
      </c>
      <c r="J354" s="44"/>
    </row>
    <row r="355">
      <c r="A355" s="42" t="s">
        <v>206</v>
      </c>
      <c r="B355" s="47"/>
      <c r="C355" s="8"/>
      <c r="D355" s="8"/>
      <c r="E355" s="9"/>
      <c r="F355" s="10"/>
      <c r="G355" s="9"/>
      <c r="H355" s="11"/>
      <c r="I355" s="9" t="s">
        <v>13</v>
      </c>
      <c r="J355" s="44"/>
    </row>
    <row r="356">
      <c r="A356" s="42" t="s">
        <v>206</v>
      </c>
      <c r="B356" s="47"/>
      <c r="C356" s="8"/>
      <c r="D356" s="8"/>
      <c r="E356" s="9"/>
      <c r="F356" s="10"/>
      <c r="G356" s="9"/>
      <c r="H356" s="11"/>
      <c r="I356" s="9" t="s">
        <v>13</v>
      </c>
      <c r="J356" s="44"/>
    </row>
    <row r="357">
      <c r="A357" s="42" t="s">
        <v>206</v>
      </c>
      <c r="B357" s="47"/>
      <c r="C357" s="8"/>
      <c r="D357" s="8"/>
      <c r="E357" s="9"/>
      <c r="F357" s="10"/>
      <c r="G357" s="9"/>
      <c r="H357" s="11"/>
      <c r="I357" s="9" t="s">
        <v>13</v>
      </c>
      <c r="J357" s="44"/>
    </row>
    <row r="358">
      <c r="A358" s="42" t="s">
        <v>206</v>
      </c>
      <c r="B358" s="47"/>
      <c r="C358" s="8"/>
      <c r="D358" s="8"/>
      <c r="E358" s="9"/>
      <c r="F358" s="10"/>
      <c r="G358" s="9"/>
      <c r="H358" s="11"/>
      <c r="I358" s="9" t="s">
        <v>13</v>
      </c>
      <c r="J358" s="44"/>
    </row>
    <row r="359">
      <c r="A359" s="42" t="s">
        <v>206</v>
      </c>
      <c r="B359" s="47"/>
      <c r="C359" s="8"/>
      <c r="D359" s="8"/>
      <c r="E359" s="9"/>
      <c r="F359" s="10"/>
      <c r="G359" s="9"/>
      <c r="H359" s="11"/>
      <c r="I359" s="9" t="s">
        <v>13</v>
      </c>
      <c r="J359" s="44"/>
    </row>
    <row r="360">
      <c r="A360" s="42" t="s">
        <v>206</v>
      </c>
      <c r="B360" s="47"/>
      <c r="C360" s="8"/>
      <c r="D360" s="8"/>
      <c r="E360" s="9"/>
      <c r="F360" s="10"/>
      <c r="G360" s="9"/>
      <c r="H360" s="11"/>
      <c r="I360" s="9" t="s">
        <v>13</v>
      </c>
      <c r="J360" s="44"/>
    </row>
    <row r="361">
      <c r="A361" s="42" t="s">
        <v>206</v>
      </c>
      <c r="B361" s="47"/>
      <c r="C361" s="8"/>
      <c r="D361" s="8"/>
      <c r="E361" s="9"/>
      <c r="F361" s="10"/>
      <c r="G361" s="9"/>
      <c r="H361" s="11"/>
      <c r="I361" s="9" t="s">
        <v>13</v>
      </c>
      <c r="J361" s="44"/>
    </row>
    <row r="362">
      <c r="A362" s="42" t="s">
        <v>206</v>
      </c>
      <c r="B362" s="47"/>
      <c r="C362" s="8"/>
      <c r="D362" s="8"/>
      <c r="E362" s="9"/>
      <c r="F362" s="10"/>
      <c r="G362" s="9"/>
      <c r="H362" s="11"/>
      <c r="I362" s="9" t="s">
        <v>13</v>
      </c>
      <c r="J362" s="44"/>
    </row>
    <row r="363">
      <c r="A363" s="42" t="s">
        <v>206</v>
      </c>
      <c r="B363" s="47"/>
      <c r="C363" s="8"/>
      <c r="D363" s="8"/>
      <c r="E363" s="9"/>
      <c r="F363" s="10"/>
      <c r="G363" s="9"/>
      <c r="H363" s="11"/>
      <c r="I363" s="9" t="s">
        <v>13</v>
      </c>
      <c r="J363" s="44"/>
    </row>
    <row r="364">
      <c r="A364" s="42" t="s">
        <v>206</v>
      </c>
      <c r="B364" s="47"/>
      <c r="C364" s="8"/>
      <c r="D364" s="8"/>
      <c r="E364" s="9"/>
      <c r="F364" s="10"/>
      <c r="G364" s="9"/>
      <c r="H364" s="11"/>
      <c r="I364" s="9" t="s">
        <v>13</v>
      </c>
      <c r="J364" s="44"/>
    </row>
    <row r="365">
      <c r="A365" s="42" t="s">
        <v>206</v>
      </c>
      <c r="B365" s="47"/>
      <c r="C365" s="8"/>
      <c r="D365" s="8"/>
      <c r="E365" s="9"/>
      <c r="F365" s="10"/>
      <c r="G365" s="9"/>
      <c r="H365" s="11"/>
      <c r="I365" s="9" t="s">
        <v>13</v>
      </c>
      <c r="J365" s="44"/>
    </row>
    <row r="366">
      <c r="A366" s="42" t="s">
        <v>206</v>
      </c>
      <c r="B366" s="47"/>
      <c r="C366" s="8"/>
      <c r="D366" s="8"/>
      <c r="E366" s="9"/>
      <c r="F366" s="10"/>
      <c r="G366" s="9"/>
      <c r="H366" s="11"/>
      <c r="I366" s="9" t="s">
        <v>13</v>
      </c>
      <c r="J366" s="44"/>
    </row>
    <row r="367">
      <c r="A367" s="42" t="s">
        <v>206</v>
      </c>
      <c r="B367" s="47"/>
      <c r="C367" s="8"/>
      <c r="D367" s="8"/>
      <c r="E367" s="9"/>
      <c r="F367" s="10"/>
      <c r="G367" s="9"/>
      <c r="H367" s="11"/>
      <c r="I367" s="9" t="s">
        <v>13</v>
      </c>
      <c r="J367" s="44"/>
    </row>
    <row r="368">
      <c r="A368" s="42" t="s">
        <v>206</v>
      </c>
      <c r="B368" s="47"/>
      <c r="C368" s="8"/>
      <c r="D368" s="8"/>
      <c r="E368" s="9"/>
      <c r="F368" s="10"/>
      <c r="G368" s="9"/>
      <c r="H368" s="11"/>
      <c r="I368" s="9" t="s">
        <v>13</v>
      </c>
      <c r="J368" s="44"/>
    </row>
    <row r="369">
      <c r="A369" s="42" t="s">
        <v>206</v>
      </c>
      <c r="B369" s="47"/>
      <c r="C369" s="8"/>
      <c r="D369" s="8"/>
      <c r="E369" s="9"/>
      <c r="F369" s="10"/>
      <c r="G369" s="9"/>
      <c r="H369" s="11"/>
      <c r="I369" s="9" t="s">
        <v>13</v>
      </c>
      <c r="J369" s="44"/>
    </row>
    <row r="370">
      <c r="A370" s="42" t="s">
        <v>206</v>
      </c>
      <c r="B370" s="47"/>
      <c r="C370" s="8"/>
      <c r="D370" s="8"/>
      <c r="E370" s="9"/>
      <c r="F370" s="10"/>
      <c r="G370" s="9"/>
      <c r="H370" s="11"/>
      <c r="I370" s="9" t="s">
        <v>13</v>
      </c>
      <c r="J370" s="44"/>
    </row>
    <row r="371">
      <c r="A371" s="42" t="s">
        <v>206</v>
      </c>
      <c r="B371" s="47"/>
      <c r="C371" s="8"/>
      <c r="D371" s="8"/>
      <c r="E371" s="9"/>
      <c r="F371" s="10"/>
      <c r="G371" s="9"/>
      <c r="H371" s="11"/>
      <c r="I371" s="9" t="s">
        <v>13</v>
      </c>
      <c r="J371" s="44"/>
    </row>
    <row r="372">
      <c r="A372" s="42" t="s">
        <v>206</v>
      </c>
      <c r="B372" s="47"/>
      <c r="C372" s="8"/>
      <c r="D372" s="8"/>
      <c r="E372" s="9"/>
      <c r="F372" s="10"/>
      <c r="G372" s="9"/>
      <c r="H372" s="11"/>
      <c r="I372" s="9" t="s">
        <v>13</v>
      </c>
      <c r="J372" s="44"/>
    </row>
    <row r="373">
      <c r="A373" s="42" t="s">
        <v>206</v>
      </c>
      <c r="B373" s="47"/>
      <c r="C373" s="8"/>
      <c r="D373" s="8"/>
      <c r="E373" s="9"/>
      <c r="F373" s="10"/>
      <c r="G373" s="9"/>
      <c r="H373" s="11"/>
      <c r="I373" s="9" t="s">
        <v>13</v>
      </c>
      <c r="J373" s="44"/>
    </row>
    <row r="374">
      <c r="A374" s="42" t="s">
        <v>206</v>
      </c>
      <c r="B374" s="47"/>
      <c r="C374" s="8"/>
      <c r="D374" s="8"/>
      <c r="E374" s="9"/>
      <c r="F374" s="10"/>
      <c r="G374" s="9"/>
      <c r="H374" s="11"/>
      <c r="I374" s="9" t="s">
        <v>13</v>
      </c>
      <c r="J374" s="44"/>
    </row>
    <row r="375">
      <c r="A375" s="42" t="s">
        <v>206</v>
      </c>
      <c r="B375" s="47"/>
      <c r="C375" s="8"/>
      <c r="D375" s="8"/>
      <c r="E375" s="9"/>
      <c r="F375" s="10"/>
      <c r="G375" s="9"/>
      <c r="H375" s="11"/>
      <c r="I375" s="9" t="s">
        <v>13</v>
      </c>
      <c r="J375" s="44"/>
    </row>
    <row r="376">
      <c r="A376" s="42" t="s">
        <v>206</v>
      </c>
      <c r="B376" s="47"/>
      <c r="C376" s="8"/>
      <c r="D376" s="8"/>
      <c r="E376" s="9"/>
      <c r="F376" s="10"/>
      <c r="G376" s="9"/>
      <c r="H376" s="11"/>
      <c r="I376" s="9" t="s">
        <v>13</v>
      </c>
      <c r="J376" s="44"/>
    </row>
    <row r="377">
      <c r="A377" s="42" t="s">
        <v>206</v>
      </c>
      <c r="B377" s="47"/>
      <c r="C377" s="8"/>
      <c r="D377" s="8"/>
      <c r="E377" s="9"/>
      <c r="F377" s="10"/>
      <c r="G377" s="9"/>
      <c r="H377" s="11"/>
      <c r="I377" s="9" t="s">
        <v>13</v>
      </c>
      <c r="J377" s="44"/>
    </row>
    <row r="378">
      <c r="A378" s="42" t="s">
        <v>206</v>
      </c>
      <c r="B378" s="47"/>
      <c r="C378" s="8"/>
      <c r="D378" s="8"/>
      <c r="E378" s="9"/>
      <c r="F378" s="10"/>
      <c r="G378" s="9"/>
      <c r="H378" s="11"/>
      <c r="I378" s="9" t="s">
        <v>13</v>
      </c>
      <c r="J378" s="44"/>
    </row>
    <row r="379">
      <c r="A379" s="42" t="s">
        <v>206</v>
      </c>
      <c r="B379" s="47"/>
      <c r="C379" s="8"/>
      <c r="D379" s="8"/>
      <c r="E379" s="9"/>
      <c r="F379" s="10"/>
      <c r="G379" s="9"/>
      <c r="H379" s="11"/>
      <c r="I379" s="9" t="s">
        <v>13</v>
      </c>
      <c r="J379" s="44"/>
    </row>
    <row r="380">
      <c r="A380" s="42" t="s">
        <v>206</v>
      </c>
      <c r="B380" s="47"/>
      <c r="C380" s="8"/>
      <c r="D380" s="8"/>
      <c r="E380" s="9"/>
      <c r="F380" s="10"/>
      <c r="G380" s="9"/>
      <c r="H380" s="11"/>
      <c r="I380" s="9" t="s">
        <v>13</v>
      </c>
      <c r="J380" s="44"/>
    </row>
    <row r="381">
      <c r="A381" s="42" t="s">
        <v>206</v>
      </c>
      <c r="B381" s="47"/>
      <c r="C381" s="8"/>
      <c r="D381" s="8"/>
      <c r="E381" s="9"/>
      <c r="F381" s="10"/>
      <c r="G381" s="9"/>
      <c r="H381" s="11"/>
      <c r="I381" s="9" t="s">
        <v>13</v>
      </c>
      <c r="J381" s="44"/>
    </row>
    <row r="382">
      <c r="A382" s="42" t="s">
        <v>206</v>
      </c>
      <c r="B382" s="47"/>
      <c r="C382" s="8"/>
      <c r="D382" s="8"/>
      <c r="E382" s="9"/>
      <c r="F382" s="10"/>
      <c r="G382" s="9"/>
      <c r="H382" s="11"/>
      <c r="I382" s="9" t="s">
        <v>13</v>
      </c>
      <c r="J382" s="44"/>
    </row>
    <row r="383">
      <c r="A383" s="42" t="s">
        <v>206</v>
      </c>
      <c r="B383" s="47"/>
      <c r="C383" s="8"/>
      <c r="D383" s="8"/>
      <c r="E383" s="9"/>
      <c r="F383" s="10"/>
      <c r="G383" s="9"/>
      <c r="H383" s="11"/>
      <c r="I383" s="9" t="s">
        <v>13</v>
      </c>
      <c r="J383" s="44"/>
    </row>
    <row r="384">
      <c r="A384" s="42" t="s">
        <v>206</v>
      </c>
      <c r="B384" s="47"/>
      <c r="C384" s="8"/>
      <c r="D384" s="8"/>
      <c r="E384" s="9"/>
      <c r="F384" s="10"/>
      <c r="G384" s="9"/>
      <c r="H384" s="11"/>
      <c r="I384" s="9" t="s">
        <v>13</v>
      </c>
      <c r="J384" s="44"/>
    </row>
    <row r="385">
      <c r="A385" s="42" t="s">
        <v>206</v>
      </c>
      <c r="B385" s="47"/>
      <c r="C385" s="8"/>
      <c r="D385" s="8"/>
      <c r="E385" s="9"/>
      <c r="F385" s="10"/>
      <c r="G385" s="9"/>
      <c r="H385" s="11"/>
      <c r="I385" s="9" t="s">
        <v>13</v>
      </c>
      <c r="J385" s="44"/>
    </row>
    <row r="386">
      <c r="A386" s="42" t="s">
        <v>206</v>
      </c>
      <c r="B386" s="47"/>
      <c r="C386" s="8"/>
      <c r="D386" s="8"/>
      <c r="E386" s="9"/>
      <c r="F386" s="10"/>
      <c r="G386" s="9"/>
      <c r="H386" s="11"/>
      <c r="I386" s="9" t="s">
        <v>13</v>
      </c>
      <c r="J386" s="44"/>
    </row>
    <row r="387">
      <c r="A387" s="42" t="s">
        <v>206</v>
      </c>
      <c r="B387" s="47"/>
      <c r="C387" s="8"/>
      <c r="D387" s="8"/>
      <c r="E387" s="9"/>
      <c r="F387" s="10"/>
      <c r="G387" s="9"/>
      <c r="H387" s="11"/>
      <c r="I387" s="9" t="s">
        <v>13</v>
      </c>
      <c r="J387" s="44"/>
    </row>
    <row r="388">
      <c r="A388" s="42" t="s">
        <v>206</v>
      </c>
      <c r="B388" s="47"/>
      <c r="C388" s="8"/>
      <c r="D388" s="8"/>
      <c r="E388" s="9"/>
      <c r="F388" s="10"/>
      <c r="G388" s="9"/>
      <c r="H388" s="11"/>
      <c r="I388" s="9" t="s">
        <v>13</v>
      </c>
      <c r="J388" s="44"/>
    </row>
    <row r="389">
      <c r="A389" s="42" t="s">
        <v>206</v>
      </c>
      <c r="B389" s="47"/>
      <c r="C389" s="8"/>
      <c r="D389" s="8"/>
      <c r="E389" s="9"/>
      <c r="F389" s="10"/>
      <c r="G389" s="9"/>
      <c r="H389" s="11"/>
      <c r="I389" s="9" t="s">
        <v>13</v>
      </c>
      <c r="J389" s="44"/>
    </row>
    <row r="390">
      <c r="A390" s="42" t="s">
        <v>206</v>
      </c>
      <c r="B390" s="47"/>
      <c r="C390" s="8"/>
      <c r="D390" s="8"/>
      <c r="E390" s="9"/>
      <c r="F390" s="10"/>
      <c r="G390" s="9"/>
      <c r="H390" s="11"/>
      <c r="I390" s="9" t="s">
        <v>13</v>
      </c>
      <c r="J390" s="44"/>
    </row>
    <row r="391">
      <c r="A391" s="42" t="s">
        <v>206</v>
      </c>
      <c r="B391" s="47"/>
      <c r="C391" s="8"/>
      <c r="D391" s="8"/>
      <c r="E391" s="9"/>
      <c r="F391" s="10"/>
      <c r="G391" s="9"/>
      <c r="H391" s="11"/>
      <c r="I391" s="9" t="s">
        <v>13</v>
      </c>
      <c r="J391" s="44"/>
    </row>
    <row r="392">
      <c r="A392" s="42" t="s">
        <v>206</v>
      </c>
      <c r="B392" s="47"/>
      <c r="C392" s="8"/>
      <c r="D392" s="8"/>
      <c r="E392" s="9"/>
      <c r="F392" s="10"/>
      <c r="G392" s="9"/>
      <c r="H392" s="11"/>
      <c r="I392" s="9" t="s">
        <v>13</v>
      </c>
      <c r="J392" s="44"/>
    </row>
    <row r="393">
      <c r="A393" s="42" t="s">
        <v>206</v>
      </c>
      <c r="B393" s="47"/>
      <c r="C393" s="8"/>
      <c r="D393" s="8"/>
      <c r="E393" s="9"/>
      <c r="F393" s="10"/>
      <c r="G393" s="9"/>
      <c r="H393" s="11"/>
      <c r="I393" s="9" t="s">
        <v>13</v>
      </c>
      <c r="J393" s="44"/>
    </row>
    <row r="394">
      <c r="A394" s="42" t="s">
        <v>206</v>
      </c>
      <c r="B394" s="47"/>
      <c r="C394" s="8"/>
      <c r="D394" s="8"/>
      <c r="E394" s="9"/>
      <c r="F394" s="10"/>
      <c r="G394" s="9"/>
      <c r="H394" s="11"/>
      <c r="I394" s="9" t="s">
        <v>13</v>
      </c>
      <c r="J394" s="44"/>
    </row>
    <row r="395">
      <c r="A395" s="42" t="s">
        <v>206</v>
      </c>
      <c r="B395" s="47"/>
      <c r="C395" s="8"/>
      <c r="D395" s="8"/>
      <c r="E395" s="9"/>
      <c r="F395" s="10"/>
      <c r="G395" s="9"/>
      <c r="H395" s="11"/>
      <c r="I395" s="9" t="s">
        <v>13</v>
      </c>
      <c r="J395" s="44"/>
    </row>
    <row r="396">
      <c r="A396" s="42" t="s">
        <v>206</v>
      </c>
      <c r="B396" s="47"/>
      <c r="C396" s="8"/>
      <c r="D396" s="8"/>
      <c r="E396" s="9"/>
      <c r="F396" s="10"/>
      <c r="G396" s="9"/>
      <c r="H396" s="11"/>
      <c r="I396" s="9" t="s">
        <v>13</v>
      </c>
      <c r="J396" s="44"/>
    </row>
    <row r="397">
      <c r="A397" s="42" t="s">
        <v>206</v>
      </c>
      <c r="B397" s="47"/>
      <c r="C397" s="8"/>
      <c r="D397" s="8"/>
      <c r="E397" s="9"/>
      <c r="F397" s="10"/>
      <c r="G397" s="9"/>
      <c r="H397" s="11"/>
      <c r="I397" s="9" t="s">
        <v>13</v>
      </c>
      <c r="J397" s="44"/>
    </row>
    <row r="398">
      <c r="A398" s="42" t="s">
        <v>206</v>
      </c>
      <c r="B398" s="47"/>
      <c r="C398" s="8"/>
      <c r="D398" s="8"/>
      <c r="E398" s="9"/>
      <c r="F398" s="10"/>
      <c r="G398" s="9"/>
      <c r="H398" s="11"/>
      <c r="I398" s="9" t="s">
        <v>13</v>
      </c>
      <c r="J398" s="44"/>
    </row>
    <row r="399">
      <c r="A399" s="42" t="s">
        <v>206</v>
      </c>
      <c r="B399" s="47"/>
      <c r="C399" s="8"/>
      <c r="D399" s="8"/>
      <c r="E399" s="9"/>
      <c r="F399" s="10"/>
      <c r="G399" s="9"/>
      <c r="H399" s="11"/>
      <c r="I399" s="9" t="s">
        <v>13</v>
      </c>
      <c r="J399" s="44"/>
    </row>
    <row r="400">
      <c r="A400" s="42" t="s">
        <v>206</v>
      </c>
      <c r="B400" s="47"/>
      <c r="C400" s="8"/>
      <c r="D400" s="8"/>
      <c r="E400" s="9"/>
      <c r="F400" s="10"/>
      <c r="G400" s="9"/>
      <c r="H400" s="11"/>
      <c r="I400" s="9" t="s">
        <v>13</v>
      </c>
      <c r="J400" s="44"/>
    </row>
    <row r="401">
      <c r="A401" s="42" t="s">
        <v>206</v>
      </c>
      <c r="B401" s="47"/>
      <c r="C401" s="8"/>
      <c r="D401" s="8"/>
      <c r="E401" s="9"/>
      <c r="F401" s="10"/>
      <c r="G401" s="9"/>
      <c r="H401" s="11"/>
      <c r="I401" s="9" t="s">
        <v>13</v>
      </c>
      <c r="J401" s="44"/>
    </row>
    <row r="402">
      <c r="A402" s="42" t="s">
        <v>206</v>
      </c>
      <c r="B402" s="47"/>
      <c r="C402" s="8"/>
      <c r="D402" s="8"/>
      <c r="E402" s="9"/>
      <c r="F402" s="10"/>
      <c r="G402" s="9"/>
      <c r="H402" s="11"/>
      <c r="I402" s="9" t="s">
        <v>13</v>
      </c>
      <c r="J402" s="44"/>
    </row>
    <row r="403">
      <c r="A403" s="42" t="s">
        <v>206</v>
      </c>
      <c r="B403" s="47"/>
      <c r="C403" s="8"/>
      <c r="D403" s="8"/>
      <c r="E403" s="9"/>
      <c r="F403" s="10"/>
      <c r="G403" s="9"/>
      <c r="H403" s="11"/>
      <c r="I403" s="9" t="s">
        <v>13</v>
      </c>
      <c r="J403" s="44"/>
    </row>
    <row r="404">
      <c r="A404" s="42" t="s">
        <v>206</v>
      </c>
      <c r="B404" s="47"/>
      <c r="C404" s="8"/>
      <c r="D404" s="8"/>
      <c r="E404" s="9"/>
      <c r="F404" s="10"/>
      <c r="G404" s="9"/>
      <c r="H404" s="11"/>
      <c r="I404" s="9" t="s">
        <v>13</v>
      </c>
      <c r="J404" s="44"/>
    </row>
    <row r="405">
      <c r="A405" s="42" t="s">
        <v>206</v>
      </c>
      <c r="B405" s="47"/>
      <c r="C405" s="8"/>
      <c r="D405" s="8"/>
      <c r="E405" s="9"/>
      <c r="F405" s="10"/>
      <c r="G405" s="9"/>
      <c r="H405" s="11"/>
      <c r="I405" s="9" t="s">
        <v>13</v>
      </c>
      <c r="J405" s="44"/>
    </row>
    <row r="406">
      <c r="A406" s="42" t="s">
        <v>206</v>
      </c>
      <c r="B406" s="47"/>
      <c r="C406" s="8"/>
      <c r="D406" s="8"/>
      <c r="E406" s="9"/>
      <c r="F406" s="10"/>
      <c r="G406" s="9"/>
      <c r="H406" s="11"/>
      <c r="I406" s="9" t="s">
        <v>13</v>
      </c>
      <c r="J406" s="44"/>
    </row>
    <row r="407">
      <c r="A407" s="42" t="s">
        <v>206</v>
      </c>
      <c r="B407" s="47"/>
      <c r="C407" s="8"/>
      <c r="D407" s="8"/>
      <c r="E407" s="9"/>
      <c r="F407" s="10"/>
      <c r="G407" s="9"/>
      <c r="H407" s="11"/>
      <c r="I407" s="9" t="s">
        <v>13</v>
      </c>
      <c r="J407" s="44"/>
    </row>
    <row r="408">
      <c r="A408" s="42" t="s">
        <v>206</v>
      </c>
      <c r="B408" s="47"/>
      <c r="C408" s="8"/>
      <c r="D408" s="8"/>
      <c r="E408" s="9"/>
      <c r="F408" s="10"/>
      <c r="G408" s="9"/>
      <c r="H408" s="11"/>
      <c r="I408" s="9" t="s">
        <v>13</v>
      </c>
      <c r="J408" s="44"/>
    </row>
    <row r="409">
      <c r="A409" s="42" t="s">
        <v>206</v>
      </c>
      <c r="B409" s="47"/>
      <c r="C409" s="8"/>
      <c r="D409" s="8"/>
      <c r="E409" s="9"/>
      <c r="F409" s="10"/>
      <c r="G409" s="9"/>
      <c r="H409" s="11"/>
      <c r="I409" s="9" t="s">
        <v>13</v>
      </c>
      <c r="J409" s="44"/>
    </row>
    <row r="410">
      <c r="A410" s="42" t="s">
        <v>206</v>
      </c>
      <c r="B410" s="47"/>
      <c r="C410" s="8"/>
      <c r="D410" s="8"/>
      <c r="E410" s="9"/>
      <c r="F410" s="10"/>
      <c r="G410" s="9"/>
      <c r="H410" s="11"/>
      <c r="I410" s="9" t="s">
        <v>13</v>
      </c>
      <c r="J410" s="44"/>
    </row>
    <row r="411">
      <c r="A411" s="42" t="s">
        <v>206</v>
      </c>
      <c r="B411" s="47"/>
      <c r="C411" s="8"/>
      <c r="D411" s="8"/>
      <c r="E411" s="9"/>
      <c r="F411" s="10"/>
      <c r="G411" s="9"/>
      <c r="H411" s="11"/>
      <c r="I411" s="9" t="s">
        <v>13</v>
      </c>
      <c r="J411" s="44"/>
    </row>
    <row r="412">
      <c r="A412" s="42" t="s">
        <v>206</v>
      </c>
      <c r="B412" s="47"/>
      <c r="C412" s="8"/>
      <c r="D412" s="8"/>
      <c r="E412" s="9"/>
      <c r="F412" s="10"/>
      <c r="G412" s="9"/>
      <c r="H412" s="11"/>
      <c r="I412" s="9" t="s">
        <v>13</v>
      </c>
      <c r="J412" s="44"/>
    </row>
    <row r="413">
      <c r="A413" s="42" t="s">
        <v>206</v>
      </c>
      <c r="B413" s="47"/>
      <c r="C413" s="8"/>
      <c r="D413" s="8"/>
      <c r="E413" s="9"/>
      <c r="F413" s="10"/>
      <c r="G413" s="9"/>
      <c r="H413" s="11"/>
      <c r="I413" s="9" t="s">
        <v>13</v>
      </c>
      <c r="J413" s="44"/>
    </row>
    <row r="414">
      <c r="A414" s="42" t="s">
        <v>206</v>
      </c>
      <c r="B414" s="47"/>
      <c r="C414" s="8"/>
      <c r="D414" s="8"/>
      <c r="E414" s="9"/>
      <c r="F414" s="10"/>
      <c r="G414" s="9"/>
      <c r="H414" s="11"/>
      <c r="I414" s="9" t="s">
        <v>13</v>
      </c>
      <c r="J414" s="44"/>
    </row>
    <row r="415">
      <c r="A415" s="42" t="s">
        <v>206</v>
      </c>
      <c r="B415" s="47"/>
      <c r="C415" s="8"/>
      <c r="D415" s="8"/>
      <c r="E415" s="9"/>
      <c r="F415" s="10"/>
      <c r="G415" s="9"/>
      <c r="H415" s="11"/>
      <c r="I415" s="9" t="s">
        <v>13</v>
      </c>
      <c r="J415" s="44"/>
    </row>
    <row r="416">
      <c r="A416" s="42" t="s">
        <v>206</v>
      </c>
      <c r="B416" s="47"/>
      <c r="C416" s="8"/>
      <c r="D416" s="8"/>
      <c r="E416" s="9"/>
      <c r="F416" s="10"/>
      <c r="G416" s="9"/>
      <c r="H416" s="11"/>
      <c r="I416" s="9" t="s">
        <v>13</v>
      </c>
      <c r="J416" s="44"/>
    </row>
    <row r="417">
      <c r="A417" s="42" t="s">
        <v>206</v>
      </c>
      <c r="B417" s="47"/>
      <c r="C417" s="8"/>
      <c r="D417" s="8"/>
      <c r="E417" s="9"/>
      <c r="F417" s="10"/>
      <c r="G417" s="9"/>
      <c r="H417" s="11"/>
      <c r="I417" s="9" t="s">
        <v>13</v>
      </c>
      <c r="J417" s="44"/>
    </row>
    <row r="418">
      <c r="A418" s="42" t="s">
        <v>206</v>
      </c>
      <c r="B418" s="47"/>
      <c r="C418" s="8"/>
      <c r="D418" s="8"/>
      <c r="E418" s="9"/>
      <c r="F418" s="10"/>
      <c r="G418" s="9"/>
      <c r="H418" s="11"/>
      <c r="I418" s="9" t="s">
        <v>13</v>
      </c>
      <c r="J418" s="44"/>
    </row>
    <row r="419">
      <c r="A419" s="42" t="s">
        <v>206</v>
      </c>
      <c r="B419" s="47"/>
      <c r="C419" s="8"/>
      <c r="D419" s="8"/>
      <c r="E419" s="9"/>
      <c r="F419" s="10"/>
      <c r="G419" s="9"/>
      <c r="H419" s="11"/>
      <c r="I419" s="9" t="s">
        <v>13</v>
      </c>
      <c r="J419" s="44"/>
    </row>
    <row r="420">
      <c r="A420" s="42" t="s">
        <v>206</v>
      </c>
      <c r="B420" s="47"/>
      <c r="C420" s="8"/>
      <c r="D420" s="8"/>
      <c r="E420" s="9"/>
      <c r="F420" s="10"/>
      <c r="G420" s="9"/>
      <c r="H420" s="11"/>
      <c r="I420" s="9" t="s">
        <v>13</v>
      </c>
      <c r="J420" s="44"/>
    </row>
    <row r="421">
      <c r="A421" s="42" t="s">
        <v>206</v>
      </c>
      <c r="B421" s="47"/>
      <c r="C421" s="8"/>
      <c r="D421" s="8"/>
      <c r="E421" s="9"/>
      <c r="F421" s="10"/>
      <c r="G421" s="9"/>
      <c r="H421" s="11"/>
      <c r="I421" s="9" t="s">
        <v>13</v>
      </c>
      <c r="J421" s="44"/>
    </row>
    <row r="422">
      <c r="A422" s="42" t="s">
        <v>206</v>
      </c>
      <c r="B422" s="47"/>
      <c r="C422" s="8"/>
      <c r="D422" s="8"/>
      <c r="E422" s="9"/>
      <c r="F422" s="10"/>
      <c r="G422" s="9"/>
      <c r="H422" s="11"/>
      <c r="I422" s="9" t="s">
        <v>13</v>
      </c>
      <c r="J422" s="44"/>
    </row>
    <row r="423">
      <c r="A423" s="42" t="s">
        <v>206</v>
      </c>
      <c r="B423" s="47"/>
      <c r="C423" s="8"/>
      <c r="D423" s="8"/>
      <c r="E423" s="9"/>
      <c r="F423" s="10"/>
      <c r="G423" s="9"/>
      <c r="H423" s="11"/>
      <c r="I423" s="9" t="s">
        <v>13</v>
      </c>
      <c r="J423" s="44"/>
    </row>
    <row r="424">
      <c r="A424" s="42" t="s">
        <v>206</v>
      </c>
      <c r="B424" s="47"/>
      <c r="C424" s="8"/>
      <c r="D424" s="8"/>
      <c r="E424" s="9"/>
      <c r="F424" s="10"/>
      <c r="G424" s="9"/>
      <c r="H424" s="11"/>
      <c r="I424" s="9" t="s">
        <v>13</v>
      </c>
      <c r="J424" s="44"/>
    </row>
    <row r="425">
      <c r="A425" s="42" t="s">
        <v>206</v>
      </c>
      <c r="B425" s="47"/>
      <c r="C425" s="8"/>
      <c r="D425" s="8"/>
      <c r="E425" s="9"/>
      <c r="F425" s="10"/>
      <c r="G425" s="9"/>
      <c r="H425" s="11"/>
      <c r="I425" s="9" t="s">
        <v>13</v>
      </c>
      <c r="J425" s="44"/>
    </row>
    <row r="426">
      <c r="A426" s="42" t="s">
        <v>206</v>
      </c>
      <c r="B426" s="47"/>
      <c r="C426" s="8"/>
      <c r="D426" s="8"/>
      <c r="E426" s="9"/>
      <c r="F426" s="10"/>
      <c r="G426" s="9"/>
      <c r="H426" s="11"/>
      <c r="I426" s="9" t="s">
        <v>13</v>
      </c>
      <c r="J426" s="44"/>
    </row>
    <row r="427">
      <c r="A427" s="42" t="s">
        <v>206</v>
      </c>
      <c r="B427" s="47"/>
      <c r="C427" s="8"/>
      <c r="D427" s="8"/>
      <c r="E427" s="9"/>
      <c r="F427" s="10"/>
      <c r="G427" s="9"/>
      <c r="H427" s="11"/>
      <c r="I427" s="9" t="s">
        <v>13</v>
      </c>
      <c r="J427" s="44"/>
    </row>
    <row r="428">
      <c r="A428" s="42" t="s">
        <v>206</v>
      </c>
      <c r="B428" s="47"/>
      <c r="C428" s="8"/>
      <c r="D428" s="8"/>
      <c r="E428" s="9"/>
      <c r="F428" s="10"/>
      <c r="G428" s="9"/>
      <c r="H428" s="11"/>
      <c r="I428" s="9" t="s">
        <v>13</v>
      </c>
      <c r="J428" s="44"/>
    </row>
    <row r="429">
      <c r="A429" s="42" t="s">
        <v>206</v>
      </c>
      <c r="B429" s="47"/>
      <c r="C429" s="8"/>
      <c r="D429" s="8"/>
      <c r="E429" s="9"/>
      <c r="F429" s="10"/>
      <c r="G429" s="9"/>
      <c r="H429" s="11"/>
      <c r="I429" s="9" t="s">
        <v>13</v>
      </c>
      <c r="J429" s="44"/>
    </row>
    <row r="430">
      <c r="A430" s="42" t="s">
        <v>206</v>
      </c>
      <c r="B430" s="47"/>
      <c r="C430" s="8"/>
      <c r="D430" s="8"/>
      <c r="E430" s="9"/>
      <c r="F430" s="10"/>
      <c r="G430" s="9"/>
      <c r="H430" s="11"/>
      <c r="I430" s="9" t="s">
        <v>13</v>
      </c>
      <c r="J430" s="44"/>
    </row>
    <row r="431">
      <c r="A431" s="42" t="s">
        <v>206</v>
      </c>
      <c r="B431" s="47"/>
      <c r="C431" s="8"/>
      <c r="D431" s="8"/>
      <c r="E431" s="9"/>
      <c r="F431" s="10"/>
      <c r="G431" s="9"/>
      <c r="H431" s="11"/>
      <c r="I431" s="9" t="s">
        <v>13</v>
      </c>
      <c r="J431" s="44"/>
    </row>
    <row r="432">
      <c r="A432" s="42" t="s">
        <v>206</v>
      </c>
      <c r="B432" s="47"/>
      <c r="C432" s="8"/>
      <c r="D432" s="8"/>
      <c r="E432" s="9"/>
      <c r="F432" s="10"/>
      <c r="G432" s="9"/>
      <c r="H432" s="11"/>
      <c r="I432" s="9" t="s">
        <v>13</v>
      </c>
      <c r="J432" s="44"/>
    </row>
    <row r="433">
      <c r="A433" s="42" t="s">
        <v>206</v>
      </c>
      <c r="B433" s="47"/>
      <c r="C433" s="8"/>
      <c r="D433" s="8"/>
      <c r="E433" s="9"/>
      <c r="F433" s="10"/>
      <c r="G433" s="9"/>
      <c r="H433" s="11"/>
      <c r="I433" s="9" t="s">
        <v>13</v>
      </c>
      <c r="J433" s="44"/>
    </row>
    <row r="434">
      <c r="A434" s="42" t="s">
        <v>206</v>
      </c>
      <c r="B434" s="47"/>
      <c r="C434" s="8"/>
      <c r="D434" s="8"/>
      <c r="E434" s="9"/>
      <c r="F434" s="10"/>
      <c r="G434" s="9"/>
      <c r="H434" s="11"/>
      <c r="I434" s="9" t="s">
        <v>13</v>
      </c>
      <c r="J434" s="44"/>
    </row>
    <row r="435">
      <c r="A435" s="42" t="s">
        <v>206</v>
      </c>
      <c r="B435" s="47"/>
      <c r="C435" s="8"/>
      <c r="D435" s="8"/>
      <c r="E435" s="9"/>
      <c r="F435" s="10"/>
      <c r="G435" s="9"/>
      <c r="H435" s="11"/>
      <c r="I435" s="9" t="s">
        <v>13</v>
      </c>
      <c r="J435" s="44"/>
    </row>
    <row r="436">
      <c r="A436" s="42" t="s">
        <v>206</v>
      </c>
      <c r="B436" s="47"/>
      <c r="C436" s="8"/>
      <c r="D436" s="8"/>
      <c r="E436" s="9"/>
      <c r="F436" s="10"/>
      <c r="G436" s="9"/>
      <c r="H436" s="11"/>
      <c r="I436" s="9" t="s">
        <v>13</v>
      </c>
      <c r="J436" s="44"/>
    </row>
    <row r="437">
      <c r="A437" s="42" t="s">
        <v>206</v>
      </c>
      <c r="B437" s="47"/>
      <c r="C437" s="8"/>
      <c r="D437" s="8"/>
      <c r="E437" s="9"/>
      <c r="F437" s="10"/>
      <c r="G437" s="9"/>
      <c r="H437" s="11"/>
      <c r="I437" s="9" t="s">
        <v>13</v>
      </c>
      <c r="J437" s="44"/>
    </row>
    <row r="438">
      <c r="A438" s="42" t="s">
        <v>206</v>
      </c>
      <c r="B438" s="47"/>
      <c r="C438" s="8"/>
      <c r="D438" s="8"/>
      <c r="E438" s="9"/>
      <c r="F438" s="10"/>
      <c r="G438" s="9"/>
      <c r="H438" s="11"/>
      <c r="I438" s="9" t="s">
        <v>13</v>
      </c>
      <c r="J438" s="44"/>
    </row>
    <row r="439">
      <c r="A439" s="42" t="s">
        <v>206</v>
      </c>
      <c r="B439" s="47"/>
      <c r="C439" s="8"/>
      <c r="D439" s="8"/>
      <c r="E439" s="9"/>
      <c r="F439" s="10"/>
      <c r="G439" s="9"/>
      <c r="H439" s="11"/>
      <c r="I439" s="9" t="s">
        <v>13</v>
      </c>
      <c r="J439" s="44"/>
    </row>
    <row r="440">
      <c r="A440" s="42" t="s">
        <v>206</v>
      </c>
      <c r="B440" s="47"/>
      <c r="C440" s="8"/>
      <c r="D440" s="8"/>
      <c r="E440" s="9"/>
      <c r="F440" s="10"/>
      <c r="G440" s="9"/>
      <c r="H440" s="11"/>
      <c r="I440" s="9" t="s">
        <v>13</v>
      </c>
      <c r="J440" s="44"/>
    </row>
    <row r="441">
      <c r="A441" s="42" t="s">
        <v>206</v>
      </c>
      <c r="B441" s="47"/>
      <c r="C441" s="8"/>
      <c r="D441" s="8"/>
      <c r="E441" s="9"/>
      <c r="F441" s="10"/>
      <c r="G441" s="9"/>
      <c r="H441" s="11"/>
      <c r="I441" s="9" t="s">
        <v>13</v>
      </c>
      <c r="J441" s="44"/>
    </row>
    <row r="442">
      <c r="A442" s="42" t="s">
        <v>206</v>
      </c>
      <c r="B442" s="47"/>
      <c r="C442" s="8"/>
      <c r="D442" s="8"/>
      <c r="E442" s="9"/>
      <c r="F442" s="10"/>
      <c r="G442" s="9"/>
      <c r="H442" s="11"/>
      <c r="I442" s="9" t="s">
        <v>13</v>
      </c>
      <c r="J442" s="44"/>
    </row>
    <row r="443">
      <c r="A443" s="42" t="s">
        <v>206</v>
      </c>
      <c r="B443" s="47"/>
      <c r="C443" s="8"/>
      <c r="D443" s="8"/>
      <c r="E443" s="9"/>
      <c r="F443" s="10"/>
      <c r="G443" s="9"/>
      <c r="H443" s="11"/>
      <c r="I443" s="9" t="s">
        <v>13</v>
      </c>
      <c r="J443" s="44"/>
    </row>
    <row r="444">
      <c r="A444" s="42" t="s">
        <v>206</v>
      </c>
      <c r="B444" s="47"/>
      <c r="C444" s="8"/>
      <c r="D444" s="8"/>
      <c r="E444" s="9"/>
      <c r="F444" s="10"/>
      <c r="G444" s="9"/>
      <c r="H444" s="11"/>
      <c r="I444" s="9" t="s">
        <v>13</v>
      </c>
      <c r="J444" s="44"/>
    </row>
    <row r="445">
      <c r="A445" s="42" t="s">
        <v>206</v>
      </c>
      <c r="B445" s="47"/>
      <c r="C445" s="8"/>
      <c r="D445" s="8"/>
      <c r="E445" s="9"/>
      <c r="F445" s="10"/>
      <c r="G445" s="9"/>
      <c r="H445" s="11"/>
      <c r="I445" s="9" t="s">
        <v>13</v>
      </c>
      <c r="J445" s="44"/>
    </row>
    <row r="446">
      <c r="A446" s="42" t="s">
        <v>206</v>
      </c>
      <c r="B446" s="47"/>
      <c r="C446" s="8"/>
      <c r="D446" s="8"/>
      <c r="E446" s="9"/>
      <c r="F446" s="10"/>
      <c r="G446" s="9"/>
      <c r="H446" s="11"/>
      <c r="I446" s="9" t="s">
        <v>13</v>
      </c>
      <c r="J446" s="44"/>
    </row>
    <row r="447">
      <c r="A447" s="42" t="s">
        <v>206</v>
      </c>
      <c r="B447" s="47"/>
      <c r="C447" s="8"/>
      <c r="D447" s="8"/>
      <c r="E447" s="9"/>
      <c r="F447" s="10"/>
      <c r="G447" s="9"/>
      <c r="H447" s="11"/>
      <c r="I447" s="9" t="s">
        <v>13</v>
      </c>
      <c r="J447" s="44"/>
    </row>
    <row r="448">
      <c r="A448" s="42" t="s">
        <v>206</v>
      </c>
      <c r="B448" s="47"/>
      <c r="C448" s="8"/>
      <c r="D448" s="8"/>
      <c r="E448" s="9"/>
      <c r="F448" s="10"/>
      <c r="G448" s="9"/>
      <c r="H448" s="11"/>
      <c r="I448" s="9" t="s">
        <v>13</v>
      </c>
      <c r="J448" s="44"/>
    </row>
    <row r="449">
      <c r="A449" s="42" t="s">
        <v>206</v>
      </c>
      <c r="B449" s="47"/>
      <c r="C449" s="8"/>
      <c r="D449" s="8"/>
      <c r="E449" s="9"/>
      <c r="F449" s="10"/>
      <c r="G449" s="9"/>
      <c r="H449" s="11"/>
      <c r="I449" s="9" t="s">
        <v>13</v>
      </c>
      <c r="J449" s="44"/>
    </row>
    <row r="450">
      <c r="A450" s="42" t="s">
        <v>206</v>
      </c>
      <c r="B450" s="47"/>
      <c r="C450" s="8"/>
      <c r="D450" s="8"/>
      <c r="E450" s="9"/>
      <c r="F450" s="10"/>
      <c r="G450" s="9"/>
      <c r="H450" s="11"/>
      <c r="I450" s="9" t="s">
        <v>13</v>
      </c>
      <c r="J450" s="44"/>
    </row>
    <row r="451">
      <c r="A451" s="42" t="s">
        <v>206</v>
      </c>
      <c r="B451" s="47"/>
      <c r="C451" s="8"/>
      <c r="D451" s="8"/>
      <c r="E451" s="9"/>
      <c r="F451" s="10"/>
      <c r="G451" s="9"/>
      <c r="H451" s="11"/>
      <c r="I451" s="9" t="s">
        <v>13</v>
      </c>
      <c r="J451" s="44"/>
    </row>
    <row r="452">
      <c r="A452" s="42" t="s">
        <v>206</v>
      </c>
      <c r="B452" s="47"/>
      <c r="C452" s="8"/>
      <c r="D452" s="8"/>
      <c r="E452" s="9"/>
      <c r="F452" s="10"/>
      <c r="G452" s="9"/>
      <c r="H452" s="11"/>
      <c r="I452" s="9" t="s">
        <v>13</v>
      </c>
      <c r="J452" s="44"/>
    </row>
    <row r="453">
      <c r="A453" s="42" t="s">
        <v>206</v>
      </c>
      <c r="B453" s="47"/>
      <c r="C453" s="8"/>
      <c r="D453" s="8"/>
      <c r="E453" s="9"/>
      <c r="F453" s="10"/>
      <c r="G453" s="9"/>
      <c r="H453" s="11"/>
      <c r="I453" s="9" t="s">
        <v>13</v>
      </c>
      <c r="J453" s="44"/>
    </row>
    <row r="454">
      <c r="A454" s="42" t="s">
        <v>206</v>
      </c>
      <c r="B454" s="47"/>
      <c r="C454" s="8"/>
      <c r="D454" s="8"/>
      <c r="E454" s="9"/>
      <c r="F454" s="10"/>
      <c r="G454" s="9"/>
      <c r="H454" s="11"/>
      <c r="I454" s="9" t="s">
        <v>13</v>
      </c>
      <c r="J454" s="44"/>
    </row>
    <row r="455">
      <c r="A455" s="42" t="s">
        <v>206</v>
      </c>
      <c r="B455" s="47"/>
      <c r="C455" s="8"/>
      <c r="D455" s="8"/>
      <c r="E455" s="9"/>
      <c r="F455" s="10"/>
      <c r="G455" s="9"/>
      <c r="H455" s="11"/>
      <c r="I455" s="9" t="s">
        <v>13</v>
      </c>
      <c r="J455" s="44"/>
    </row>
    <row r="456">
      <c r="A456" s="42" t="s">
        <v>206</v>
      </c>
      <c r="B456" s="47"/>
      <c r="C456" s="8"/>
      <c r="D456" s="8"/>
      <c r="E456" s="9"/>
      <c r="F456" s="10"/>
      <c r="G456" s="9"/>
      <c r="H456" s="11"/>
      <c r="I456" s="9" t="s">
        <v>13</v>
      </c>
      <c r="J456" s="44"/>
    </row>
    <row r="457">
      <c r="A457" s="42" t="s">
        <v>206</v>
      </c>
      <c r="B457" s="47"/>
      <c r="C457" s="8"/>
      <c r="D457" s="8"/>
      <c r="E457" s="9"/>
      <c r="F457" s="10"/>
      <c r="G457" s="9"/>
      <c r="H457" s="11"/>
      <c r="I457" s="9" t="s">
        <v>13</v>
      </c>
      <c r="J457" s="44"/>
    </row>
    <row r="458">
      <c r="A458" s="42" t="s">
        <v>206</v>
      </c>
      <c r="B458" s="47"/>
      <c r="C458" s="8"/>
      <c r="D458" s="8"/>
      <c r="E458" s="9"/>
      <c r="F458" s="10"/>
      <c r="G458" s="9"/>
      <c r="H458" s="11"/>
      <c r="I458" s="9" t="s">
        <v>13</v>
      </c>
      <c r="J458" s="44"/>
    </row>
    <row r="459">
      <c r="A459" s="42" t="s">
        <v>206</v>
      </c>
      <c r="B459" s="47"/>
      <c r="C459" s="8"/>
      <c r="D459" s="8"/>
      <c r="E459" s="9"/>
      <c r="F459" s="10"/>
      <c r="G459" s="9"/>
      <c r="H459" s="11"/>
      <c r="I459" s="9" t="s">
        <v>13</v>
      </c>
      <c r="J459" s="44"/>
    </row>
    <row r="460">
      <c r="A460" s="42" t="s">
        <v>206</v>
      </c>
      <c r="B460" s="47"/>
      <c r="C460" s="8"/>
      <c r="D460" s="8"/>
      <c r="E460" s="9"/>
      <c r="F460" s="10"/>
      <c r="G460" s="9"/>
      <c r="H460" s="11"/>
      <c r="I460" s="9" t="s">
        <v>13</v>
      </c>
      <c r="J460" s="44"/>
    </row>
    <row r="461">
      <c r="A461" s="42" t="s">
        <v>206</v>
      </c>
      <c r="B461" s="47"/>
      <c r="C461" s="8"/>
      <c r="D461" s="8"/>
      <c r="E461" s="9"/>
      <c r="F461" s="10"/>
      <c r="G461" s="9"/>
      <c r="H461" s="11"/>
      <c r="I461" s="9" t="s">
        <v>13</v>
      </c>
      <c r="J461" s="44"/>
    </row>
    <row r="462">
      <c r="A462" s="42" t="s">
        <v>206</v>
      </c>
      <c r="B462" s="47"/>
      <c r="C462" s="8"/>
      <c r="D462" s="8"/>
      <c r="E462" s="9"/>
      <c r="F462" s="10"/>
      <c r="G462" s="9"/>
      <c r="H462" s="11"/>
      <c r="I462" s="9" t="s">
        <v>13</v>
      </c>
      <c r="J462" s="44"/>
    </row>
    <row r="463">
      <c r="A463" s="42" t="s">
        <v>206</v>
      </c>
      <c r="B463" s="47"/>
      <c r="C463" s="8"/>
      <c r="D463" s="8"/>
      <c r="E463" s="9"/>
      <c r="F463" s="10"/>
      <c r="G463" s="9"/>
      <c r="H463" s="11"/>
      <c r="I463" s="9" t="s">
        <v>13</v>
      </c>
      <c r="J463" s="44"/>
    </row>
    <row r="464">
      <c r="A464" s="42" t="s">
        <v>206</v>
      </c>
      <c r="B464" s="47"/>
      <c r="C464" s="8"/>
      <c r="D464" s="8"/>
      <c r="E464" s="9"/>
      <c r="F464" s="10"/>
      <c r="G464" s="9"/>
      <c r="H464" s="11"/>
      <c r="I464" s="9" t="s">
        <v>13</v>
      </c>
      <c r="J464" s="44"/>
    </row>
    <row r="465">
      <c r="A465" s="42" t="s">
        <v>206</v>
      </c>
      <c r="B465" s="47"/>
      <c r="C465" s="8"/>
      <c r="D465" s="8"/>
      <c r="E465" s="9"/>
      <c r="F465" s="10"/>
      <c r="G465" s="9"/>
      <c r="H465" s="11"/>
      <c r="I465" s="9" t="s">
        <v>13</v>
      </c>
      <c r="J465" s="44"/>
    </row>
    <row r="466">
      <c r="A466" s="42" t="s">
        <v>206</v>
      </c>
      <c r="B466" s="47"/>
      <c r="C466" s="8"/>
      <c r="D466" s="8"/>
      <c r="E466" s="9"/>
      <c r="F466" s="10"/>
      <c r="G466" s="9"/>
      <c r="H466" s="11"/>
      <c r="I466" s="9" t="s">
        <v>13</v>
      </c>
      <c r="J466" s="44"/>
    </row>
    <row r="467">
      <c r="A467" s="42" t="s">
        <v>206</v>
      </c>
      <c r="B467" s="47"/>
      <c r="C467" s="8"/>
      <c r="D467" s="8"/>
      <c r="E467" s="9"/>
      <c r="F467" s="10"/>
      <c r="G467" s="9"/>
      <c r="H467" s="11"/>
      <c r="I467" s="9" t="s">
        <v>13</v>
      </c>
      <c r="J467" s="44"/>
    </row>
    <row r="468">
      <c r="A468" s="42" t="s">
        <v>206</v>
      </c>
      <c r="B468" s="47"/>
      <c r="C468" s="8"/>
      <c r="D468" s="8"/>
      <c r="E468" s="9"/>
      <c r="F468" s="10"/>
      <c r="G468" s="9"/>
      <c r="H468" s="11"/>
      <c r="I468" s="9" t="s">
        <v>13</v>
      </c>
      <c r="J468" s="44"/>
    </row>
    <row r="469">
      <c r="A469" s="42" t="s">
        <v>206</v>
      </c>
      <c r="B469" s="47"/>
      <c r="C469" s="8"/>
      <c r="D469" s="8"/>
      <c r="E469" s="9"/>
      <c r="F469" s="10"/>
      <c r="G469" s="9"/>
      <c r="H469" s="11"/>
      <c r="I469" s="9" t="s">
        <v>13</v>
      </c>
      <c r="J469" s="44"/>
    </row>
    <row r="470">
      <c r="A470" s="42" t="s">
        <v>206</v>
      </c>
      <c r="B470" s="47"/>
      <c r="C470" s="8"/>
      <c r="D470" s="8"/>
      <c r="E470" s="9"/>
      <c r="F470" s="10"/>
      <c r="G470" s="9"/>
      <c r="H470" s="11"/>
      <c r="I470" s="9" t="s">
        <v>13</v>
      </c>
      <c r="J470" s="44"/>
    </row>
    <row r="471">
      <c r="A471" s="42" t="s">
        <v>206</v>
      </c>
      <c r="B471" s="47"/>
      <c r="C471" s="8"/>
      <c r="D471" s="8"/>
      <c r="E471" s="9"/>
      <c r="F471" s="10"/>
      <c r="G471" s="9"/>
      <c r="H471" s="11"/>
      <c r="I471" s="9" t="s">
        <v>13</v>
      </c>
      <c r="J471" s="44"/>
    </row>
    <row r="472">
      <c r="A472" s="42" t="s">
        <v>206</v>
      </c>
      <c r="B472" s="47"/>
      <c r="C472" s="8"/>
      <c r="D472" s="8"/>
      <c r="E472" s="9"/>
      <c r="F472" s="10"/>
      <c r="G472" s="9"/>
      <c r="H472" s="11"/>
      <c r="I472" s="9" t="s">
        <v>13</v>
      </c>
      <c r="J472" s="44"/>
    </row>
    <row r="473">
      <c r="A473" s="42" t="s">
        <v>206</v>
      </c>
      <c r="B473" s="47"/>
      <c r="C473" s="8"/>
      <c r="D473" s="8"/>
      <c r="E473" s="9"/>
      <c r="F473" s="10"/>
      <c r="G473" s="9"/>
      <c r="H473" s="11"/>
      <c r="I473" s="9" t="s">
        <v>13</v>
      </c>
      <c r="J473" s="44"/>
    </row>
    <row r="474">
      <c r="A474" s="42" t="s">
        <v>206</v>
      </c>
      <c r="B474" s="47"/>
      <c r="C474" s="8"/>
      <c r="D474" s="8"/>
      <c r="E474" s="9"/>
      <c r="F474" s="10"/>
      <c r="G474" s="9"/>
      <c r="H474" s="11"/>
      <c r="I474" s="9" t="s">
        <v>13</v>
      </c>
      <c r="J474" s="44"/>
    </row>
    <row r="475">
      <c r="A475" s="42" t="s">
        <v>206</v>
      </c>
      <c r="B475" s="47"/>
      <c r="C475" s="8"/>
      <c r="D475" s="8"/>
      <c r="E475" s="9"/>
      <c r="F475" s="10"/>
      <c r="G475" s="9"/>
      <c r="H475" s="11"/>
      <c r="I475" s="9" t="s">
        <v>13</v>
      </c>
      <c r="J475" s="44"/>
    </row>
    <row r="476">
      <c r="A476" s="42" t="s">
        <v>206</v>
      </c>
      <c r="B476" s="47"/>
      <c r="C476" s="8"/>
      <c r="D476" s="8"/>
      <c r="E476" s="9"/>
      <c r="F476" s="10"/>
      <c r="G476" s="9"/>
      <c r="H476" s="11"/>
      <c r="I476" s="9" t="s">
        <v>13</v>
      </c>
      <c r="J476" s="44"/>
    </row>
    <row r="477">
      <c r="A477" s="42" t="s">
        <v>206</v>
      </c>
      <c r="B477" s="47"/>
      <c r="C477" s="8"/>
      <c r="D477" s="8"/>
      <c r="E477" s="9"/>
      <c r="F477" s="10"/>
      <c r="G477" s="9"/>
      <c r="H477" s="11"/>
      <c r="I477" s="9" t="s">
        <v>13</v>
      </c>
      <c r="J477" s="44"/>
    </row>
    <row r="478">
      <c r="A478" s="42" t="s">
        <v>206</v>
      </c>
      <c r="B478" s="47"/>
      <c r="C478" s="8"/>
      <c r="D478" s="8"/>
      <c r="E478" s="9"/>
      <c r="F478" s="10"/>
      <c r="G478" s="9"/>
      <c r="H478" s="11"/>
      <c r="I478" s="9" t="s">
        <v>13</v>
      </c>
      <c r="J478" s="44"/>
    </row>
    <row r="479">
      <c r="A479" s="42" t="s">
        <v>206</v>
      </c>
      <c r="B479" s="47"/>
      <c r="C479" s="8"/>
      <c r="D479" s="8"/>
      <c r="E479" s="9"/>
      <c r="F479" s="10"/>
      <c r="G479" s="9"/>
      <c r="H479" s="11"/>
      <c r="I479" s="9" t="s">
        <v>13</v>
      </c>
      <c r="J479" s="44"/>
    </row>
    <row r="480">
      <c r="A480" s="42" t="s">
        <v>206</v>
      </c>
      <c r="B480" s="47"/>
      <c r="C480" s="8"/>
      <c r="D480" s="8"/>
      <c r="E480" s="9"/>
      <c r="F480" s="10"/>
      <c r="G480" s="9"/>
      <c r="H480" s="11"/>
      <c r="I480" s="9" t="s">
        <v>13</v>
      </c>
      <c r="J480" s="44"/>
    </row>
    <row r="481">
      <c r="A481" s="42" t="s">
        <v>206</v>
      </c>
      <c r="B481" s="47"/>
      <c r="C481" s="8"/>
      <c r="D481" s="8"/>
      <c r="E481" s="9"/>
      <c r="F481" s="10"/>
      <c r="G481" s="9"/>
      <c r="H481" s="11"/>
      <c r="I481" s="9" t="s">
        <v>13</v>
      </c>
      <c r="J481" s="44"/>
    </row>
    <row r="482">
      <c r="A482" s="42" t="s">
        <v>206</v>
      </c>
      <c r="B482" s="47"/>
      <c r="C482" s="8"/>
      <c r="D482" s="8"/>
      <c r="E482" s="9"/>
      <c r="F482" s="10"/>
      <c r="G482" s="9"/>
      <c r="H482" s="11"/>
      <c r="I482" s="9" t="s">
        <v>13</v>
      </c>
      <c r="J482" s="44"/>
    </row>
    <row r="483">
      <c r="A483" s="42" t="s">
        <v>206</v>
      </c>
      <c r="B483" s="47"/>
      <c r="C483" s="8"/>
      <c r="D483" s="8"/>
      <c r="E483" s="9"/>
      <c r="F483" s="10"/>
      <c r="G483" s="9"/>
      <c r="H483" s="11"/>
      <c r="I483" s="9" t="s">
        <v>13</v>
      </c>
      <c r="J483" s="44"/>
    </row>
    <row r="484">
      <c r="A484" s="42" t="s">
        <v>206</v>
      </c>
      <c r="B484" s="47"/>
      <c r="C484" s="8"/>
      <c r="D484" s="8"/>
      <c r="E484" s="9"/>
      <c r="F484" s="10"/>
      <c r="G484" s="9"/>
      <c r="H484" s="11"/>
      <c r="I484" s="9" t="s">
        <v>13</v>
      </c>
      <c r="J484" s="44"/>
    </row>
    <row r="485">
      <c r="A485" s="42" t="s">
        <v>206</v>
      </c>
      <c r="B485" s="47"/>
      <c r="C485" s="8"/>
      <c r="D485" s="8"/>
      <c r="E485" s="9"/>
      <c r="F485" s="10"/>
      <c r="G485" s="9"/>
      <c r="H485" s="11"/>
      <c r="I485" s="9" t="s">
        <v>13</v>
      </c>
      <c r="J485" s="44"/>
    </row>
    <row r="486">
      <c r="A486" s="42" t="s">
        <v>206</v>
      </c>
      <c r="B486" s="47"/>
      <c r="C486" s="8"/>
      <c r="D486" s="8"/>
      <c r="E486" s="9"/>
      <c r="F486" s="10"/>
      <c r="G486" s="9"/>
      <c r="H486" s="11"/>
      <c r="I486" s="9" t="s">
        <v>13</v>
      </c>
      <c r="J486" s="44"/>
    </row>
    <row r="487">
      <c r="A487" s="42" t="s">
        <v>206</v>
      </c>
      <c r="B487" s="47"/>
      <c r="C487" s="8"/>
      <c r="D487" s="8"/>
      <c r="E487" s="9"/>
      <c r="F487" s="10"/>
      <c r="G487" s="9"/>
      <c r="H487" s="11"/>
      <c r="I487" s="9" t="s">
        <v>13</v>
      </c>
      <c r="J487" s="44"/>
    </row>
    <row r="488">
      <c r="A488" s="42" t="s">
        <v>206</v>
      </c>
      <c r="B488" s="47"/>
      <c r="C488" s="8"/>
      <c r="D488" s="8"/>
      <c r="E488" s="9"/>
      <c r="F488" s="10"/>
      <c r="G488" s="9"/>
      <c r="H488" s="11"/>
      <c r="I488" s="9" t="s">
        <v>13</v>
      </c>
      <c r="J488" s="44"/>
    </row>
    <row r="489">
      <c r="A489" s="42" t="s">
        <v>206</v>
      </c>
      <c r="B489" s="47"/>
      <c r="C489" s="8"/>
      <c r="D489" s="8"/>
      <c r="E489" s="9"/>
      <c r="F489" s="10"/>
      <c r="G489" s="9"/>
      <c r="H489" s="11"/>
      <c r="I489" s="9" t="s">
        <v>13</v>
      </c>
      <c r="J489" s="44"/>
    </row>
    <row r="490">
      <c r="A490" s="42" t="s">
        <v>206</v>
      </c>
      <c r="B490" s="47"/>
      <c r="C490" s="8"/>
      <c r="D490" s="8"/>
      <c r="E490" s="9"/>
      <c r="F490" s="10"/>
      <c r="G490" s="9"/>
      <c r="H490" s="11"/>
      <c r="I490" s="9" t="s">
        <v>13</v>
      </c>
      <c r="J490" s="44"/>
    </row>
    <row r="491">
      <c r="A491" s="42" t="s">
        <v>206</v>
      </c>
      <c r="B491" s="47"/>
      <c r="C491" s="8"/>
      <c r="D491" s="8"/>
      <c r="E491" s="9"/>
      <c r="F491" s="10"/>
      <c r="G491" s="9"/>
      <c r="H491" s="11"/>
      <c r="I491" s="9" t="s">
        <v>13</v>
      </c>
      <c r="J491" s="44"/>
    </row>
    <row r="492">
      <c r="A492" s="42" t="s">
        <v>206</v>
      </c>
      <c r="B492" s="47"/>
      <c r="C492" s="8"/>
      <c r="D492" s="8"/>
      <c r="E492" s="9"/>
      <c r="F492" s="10"/>
      <c r="G492" s="9"/>
      <c r="H492" s="11"/>
      <c r="I492" s="9" t="s">
        <v>13</v>
      </c>
      <c r="J492" s="44"/>
    </row>
    <row r="493">
      <c r="A493" s="42" t="s">
        <v>206</v>
      </c>
      <c r="B493" s="47"/>
      <c r="C493" s="8"/>
      <c r="D493" s="8"/>
      <c r="E493" s="9"/>
      <c r="F493" s="10"/>
      <c r="G493" s="9"/>
      <c r="H493" s="11"/>
      <c r="I493" s="9" t="s">
        <v>13</v>
      </c>
      <c r="J493" s="44"/>
    </row>
    <row r="494">
      <c r="A494" s="42" t="s">
        <v>206</v>
      </c>
      <c r="B494" s="47"/>
      <c r="C494" s="8"/>
      <c r="D494" s="8"/>
      <c r="E494" s="9"/>
      <c r="F494" s="10"/>
      <c r="G494" s="9"/>
      <c r="H494" s="11"/>
      <c r="I494" s="9" t="s">
        <v>13</v>
      </c>
      <c r="J494" s="44"/>
    </row>
    <row r="495">
      <c r="A495" s="42" t="s">
        <v>206</v>
      </c>
      <c r="B495" s="47"/>
      <c r="C495" s="8"/>
      <c r="D495" s="8"/>
      <c r="E495" s="9"/>
      <c r="F495" s="10"/>
      <c r="G495" s="9"/>
      <c r="H495" s="11"/>
      <c r="I495" s="9" t="s">
        <v>13</v>
      </c>
      <c r="J495" s="44"/>
    </row>
    <row r="496">
      <c r="A496" s="42" t="s">
        <v>206</v>
      </c>
      <c r="B496" s="47"/>
      <c r="C496" s="8"/>
      <c r="D496" s="8"/>
      <c r="E496" s="9"/>
      <c r="F496" s="10"/>
      <c r="G496" s="9"/>
      <c r="H496" s="11"/>
      <c r="I496" s="9" t="s">
        <v>13</v>
      </c>
      <c r="J496" s="44"/>
    </row>
    <row r="497">
      <c r="A497" s="42" t="s">
        <v>206</v>
      </c>
      <c r="B497" s="47"/>
      <c r="C497" s="8"/>
      <c r="D497" s="8"/>
      <c r="E497" s="9"/>
      <c r="F497" s="10"/>
      <c r="G497" s="9"/>
      <c r="H497" s="11"/>
      <c r="I497" s="9" t="s">
        <v>13</v>
      </c>
      <c r="J497" s="44"/>
    </row>
    <row r="498">
      <c r="A498" s="42" t="s">
        <v>206</v>
      </c>
      <c r="B498" s="47"/>
      <c r="C498" s="8"/>
      <c r="D498" s="8"/>
      <c r="E498" s="9"/>
      <c r="F498" s="10"/>
      <c r="G498" s="9"/>
      <c r="H498" s="11"/>
      <c r="I498" s="9" t="s">
        <v>13</v>
      </c>
      <c r="J498" s="44"/>
    </row>
    <row r="499">
      <c r="A499" s="42" t="s">
        <v>206</v>
      </c>
      <c r="B499" s="47"/>
      <c r="C499" s="8"/>
      <c r="D499" s="8"/>
      <c r="E499" s="9"/>
      <c r="F499" s="10"/>
      <c r="G499" s="9"/>
      <c r="H499" s="11"/>
      <c r="I499" s="9" t="s">
        <v>13</v>
      </c>
      <c r="J499" s="44"/>
    </row>
    <row r="500">
      <c r="A500" s="42" t="s">
        <v>206</v>
      </c>
      <c r="B500" s="47"/>
      <c r="C500" s="8"/>
      <c r="D500" s="8"/>
      <c r="E500" s="9"/>
      <c r="F500" s="10"/>
      <c r="G500" s="9"/>
      <c r="H500" s="11"/>
      <c r="I500" s="9" t="s">
        <v>13</v>
      </c>
      <c r="J500" s="44"/>
    </row>
    <row r="501">
      <c r="A501" s="42" t="s">
        <v>206</v>
      </c>
      <c r="B501" s="47"/>
      <c r="C501" s="8"/>
      <c r="D501" s="8"/>
      <c r="E501" s="9"/>
      <c r="F501" s="10"/>
      <c r="G501" s="9"/>
      <c r="H501" s="11"/>
      <c r="I501" s="9" t="s">
        <v>13</v>
      </c>
      <c r="J501" s="44"/>
    </row>
    <row r="502">
      <c r="A502" s="42" t="s">
        <v>206</v>
      </c>
      <c r="B502" s="47"/>
      <c r="C502" s="8"/>
      <c r="D502" s="8"/>
      <c r="E502" s="9"/>
      <c r="F502" s="10"/>
      <c r="G502" s="9"/>
      <c r="H502" s="11"/>
      <c r="I502" s="9" t="s">
        <v>13</v>
      </c>
      <c r="J502" s="44"/>
    </row>
    <row r="503">
      <c r="A503" s="42" t="s">
        <v>206</v>
      </c>
      <c r="B503" s="47"/>
      <c r="C503" s="8"/>
      <c r="D503" s="8"/>
      <c r="E503" s="9"/>
      <c r="F503" s="10"/>
      <c r="G503" s="9"/>
      <c r="H503" s="11"/>
      <c r="I503" s="9" t="s">
        <v>13</v>
      </c>
      <c r="J503" s="44"/>
    </row>
    <row r="504">
      <c r="A504" s="42" t="s">
        <v>206</v>
      </c>
      <c r="B504" s="47"/>
      <c r="C504" s="8"/>
      <c r="D504" s="8"/>
      <c r="E504" s="9"/>
      <c r="F504" s="10"/>
      <c r="G504" s="9"/>
      <c r="H504" s="11"/>
      <c r="I504" s="9" t="s">
        <v>13</v>
      </c>
      <c r="J504" s="44"/>
    </row>
    <row r="505">
      <c r="A505" s="42" t="s">
        <v>206</v>
      </c>
      <c r="B505" s="47"/>
      <c r="C505" s="8"/>
      <c r="D505" s="8"/>
      <c r="E505" s="9"/>
      <c r="F505" s="10"/>
      <c r="G505" s="9"/>
      <c r="H505" s="11"/>
      <c r="I505" s="9" t="s">
        <v>13</v>
      </c>
      <c r="J505" s="44"/>
    </row>
    <row r="506">
      <c r="A506" s="42" t="s">
        <v>206</v>
      </c>
      <c r="B506" s="47"/>
      <c r="C506" s="8"/>
      <c r="D506" s="8"/>
      <c r="E506" s="9"/>
      <c r="F506" s="10"/>
      <c r="G506" s="9"/>
      <c r="H506" s="11"/>
      <c r="I506" s="9" t="s">
        <v>13</v>
      </c>
      <c r="J506" s="44"/>
    </row>
    <row r="507">
      <c r="A507" s="42" t="s">
        <v>206</v>
      </c>
      <c r="B507" s="47"/>
      <c r="C507" s="8"/>
      <c r="D507" s="8"/>
      <c r="E507" s="9"/>
      <c r="F507" s="10"/>
      <c r="G507" s="9"/>
      <c r="H507" s="11"/>
      <c r="I507" s="9" t="s">
        <v>13</v>
      </c>
      <c r="J507" s="44"/>
    </row>
    <row r="508">
      <c r="A508" s="42" t="s">
        <v>206</v>
      </c>
      <c r="B508" s="47"/>
      <c r="C508" s="8"/>
      <c r="D508" s="8"/>
      <c r="E508" s="9"/>
      <c r="F508" s="10"/>
      <c r="G508" s="9"/>
      <c r="H508" s="11"/>
      <c r="I508" s="9" t="s">
        <v>13</v>
      </c>
      <c r="J508" s="44"/>
    </row>
    <row r="509">
      <c r="A509" s="42" t="s">
        <v>206</v>
      </c>
      <c r="B509" s="47"/>
      <c r="C509" s="8"/>
      <c r="D509" s="8"/>
      <c r="E509" s="9"/>
      <c r="F509" s="10"/>
      <c r="G509" s="9"/>
      <c r="H509" s="11"/>
      <c r="I509" s="9" t="s">
        <v>13</v>
      </c>
      <c r="J509" s="44"/>
    </row>
    <row r="510">
      <c r="A510" s="42" t="s">
        <v>206</v>
      </c>
      <c r="B510" s="47"/>
      <c r="C510" s="8"/>
      <c r="D510" s="8"/>
      <c r="E510" s="9"/>
      <c r="F510" s="10"/>
      <c r="G510" s="9"/>
      <c r="H510" s="11"/>
      <c r="I510" s="9" t="s">
        <v>13</v>
      </c>
      <c r="J510" s="44"/>
    </row>
    <row r="511">
      <c r="A511" s="42" t="s">
        <v>206</v>
      </c>
      <c r="B511" s="47"/>
      <c r="C511" s="8"/>
      <c r="D511" s="8"/>
      <c r="E511" s="9"/>
      <c r="F511" s="10"/>
      <c r="G511" s="9"/>
      <c r="H511" s="11"/>
      <c r="I511" s="9" t="s">
        <v>13</v>
      </c>
      <c r="J511" s="44"/>
    </row>
    <row r="512">
      <c r="A512" s="42" t="s">
        <v>206</v>
      </c>
      <c r="B512" s="47"/>
      <c r="C512" s="8"/>
      <c r="D512" s="8"/>
      <c r="E512" s="9"/>
      <c r="F512" s="10"/>
      <c r="G512" s="9"/>
      <c r="H512" s="11"/>
      <c r="I512" s="9" t="s">
        <v>13</v>
      </c>
      <c r="J512" s="44"/>
    </row>
    <row r="513">
      <c r="A513" s="42" t="s">
        <v>206</v>
      </c>
      <c r="B513" s="47"/>
      <c r="C513" s="8"/>
      <c r="D513" s="8"/>
      <c r="E513" s="9"/>
      <c r="F513" s="10"/>
      <c r="G513" s="9"/>
      <c r="H513" s="11"/>
      <c r="I513" s="9" t="s">
        <v>13</v>
      </c>
      <c r="J513" s="44"/>
    </row>
    <row r="514">
      <c r="A514" s="42" t="s">
        <v>206</v>
      </c>
      <c r="B514" s="47"/>
      <c r="C514" s="8"/>
      <c r="D514" s="8"/>
      <c r="E514" s="9"/>
      <c r="F514" s="10"/>
      <c r="G514" s="9"/>
      <c r="H514" s="11"/>
      <c r="I514" s="9" t="s">
        <v>13</v>
      </c>
      <c r="J514" s="44"/>
    </row>
    <row r="515">
      <c r="A515" s="42" t="s">
        <v>206</v>
      </c>
      <c r="B515" s="47"/>
      <c r="C515" s="8"/>
      <c r="D515" s="8"/>
      <c r="E515" s="9"/>
      <c r="F515" s="10"/>
      <c r="G515" s="9"/>
      <c r="H515" s="11"/>
      <c r="I515" s="9" t="s">
        <v>13</v>
      </c>
      <c r="J515" s="44"/>
    </row>
    <row r="516">
      <c r="A516" s="42" t="s">
        <v>206</v>
      </c>
      <c r="B516" s="47"/>
      <c r="C516" s="8"/>
      <c r="D516" s="8"/>
      <c r="E516" s="9"/>
      <c r="F516" s="10"/>
      <c r="G516" s="9"/>
      <c r="H516" s="11"/>
      <c r="I516" s="9" t="s">
        <v>13</v>
      </c>
      <c r="J516" s="44"/>
    </row>
    <row r="517">
      <c r="A517" s="42" t="s">
        <v>206</v>
      </c>
      <c r="B517" s="47"/>
      <c r="C517" s="8"/>
      <c r="D517" s="8"/>
      <c r="E517" s="9"/>
      <c r="F517" s="10"/>
      <c r="G517" s="9"/>
      <c r="H517" s="11"/>
      <c r="I517" s="9" t="s">
        <v>13</v>
      </c>
      <c r="J517" s="44"/>
    </row>
    <row r="518">
      <c r="A518" s="42" t="s">
        <v>206</v>
      </c>
      <c r="B518" s="47"/>
      <c r="C518" s="8"/>
      <c r="D518" s="8"/>
      <c r="E518" s="9"/>
      <c r="F518" s="10"/>
      <c r="G518" s="9"/>
      <c r="H518" s="11"/>
      <c r="I518" s="9" t="s">
        <v>13</v>
      </c>
      <c r="J518" s="44"/>
    </row>
    <row r="519">
      <c r="A519" s="42" t="s">
        <v>206</v>
      </c>
      <c r="B519" s="47"/>
      <c r="C519" s="8"/>
      <c r="D519" s="8"/>
      <c r="E519" s="9"/>
      <c r="F519" s="10"/>
      <c r="G519" s="9"/>
      <c r="H519" s="11"/>
      <c r="I519" s="9" t="s">
        <v>13</v>
      </c>
      <c r="J519" s="44"/>
    </row>
    <row r="520">
      <c r="A520" s="42" t="s">
        <v>206</v>
      </c>
      <c r="B520" s="47"/>
      <c r="C520" s="8"/>
      <c r="D520" s="8"/>
      <c r="E520" s="9"/>
      <c r="F520" s="10"/>
      <c r="G520" s="9"/>
      <c r="H520" s="11"/>
      <c r="I520" s="9" t="s">
        <v>13</v>
      </c>
      <c r="J520" s="44"/>
    </row>
    <row r="521">
      <c r="A521" s="42" t="s">
        <v>206</v>
      </c>
      <c r="B521" s="47"/>
      <c r="C521" s="8"/>
      <c r="D521" s="8"/>
      <c r="E521" s="9"/>
      <c r="F521" s="10"/>
      <c r="G521" s="9"/>
      <c r="H521" s="11"/>
      <c r="I521" s="9" t="s">
        <v>13</v>
      </c>
      <c r="J521" s="44"/>
    </row>
    <row r="522">
      <c r="A522" s="42" t="s">
        <v>206</v>
      </c>
      <c r="B522" s="47"/>
      <c r="C522" s="8"/>
      <c r="D522" s="8"/>
      <c r="E522" s="9"/>
      <c r="F522" s="10"/>
      <c r="G522" s="9"/>
      <c r="H522" s="11"/>
      <c r="I522" s="9" t="s">
        <v>13</v>
      </c>
      <c r="J522" s="44"/>
    </row>
    <row r="523">
      <c r="A523" s="42" t="s">
        <v>206</v>
      </c>
      <c r="B523" s="47"/>
      <c r="C523" s="8"/>
      <c r="D523" s="8"/>
      <c r="E523" s="9"/>
      <c r="F523" s="10"/>
      <c r="G523" s="9"/>
      <c r="H523" s="11"/>
      <c r="I523" s="9" t="s">
        <v>13</v>
      </c>
      <c r="J523" s="44"/>
    </row>
    <row r="524">
      <c r="A524" s="42" t="s">
        <v>206</v>
      </c>
      <c r="B524" s="47"/>
      <c r="C524" s="8"/>
      <c r="D524" s="8"/>
      <c r="E524" s="9"/>
      <c r="F524" s="10"/>
      <c r="G524" s="9"/>
      <c r="H524" s="11"/>
      <c r="I524" s="9" t="s">
        <v>13</v>
      </c>
      <c r="J524" s="44"/>
    </row>
    <row r="525">
      <c r="A525" s="42" t="s">
        <v>206</v>
      </c>
      <c r="B525" s="47"/>
      <c r="C525" s="8"/>
      <c r="D525" s="8"/>
      <c r="E525" s="9"/>
      <c r="F525" s="10"/>
      <c r="G525" s="9"/>
      <c r="H525" s="11"/>
      <c r="I525" s="9" t="s">
        <v>13</v>
      </c>
      <c r="J525" s="44"/>
    </row>
    <row r="526">
      <c r="A526" s="42" t="s">
        <v>206</v>
      </c>
      <c r="B526" s="47"/>
      <c r="C526" s="8"/>
      <c r="D526" s="8"/>
      <c r="E526" s="9"/>
      <c r="F526" s="10"/>
      <c r="G526" s="9"/>
      <c r="H526" s="11"/>
      <c r="I526" s="9" t="s">
        <v>13</v>
      </c>
      <c r="J526" s="44"/>
    </row>
    <row r="527">
      <c r="A527" s="42" t="s">
        <v>206</v>
      </c>
      <c r="B527" s="47"/>
      <c r="C527" s="8"/>
      <c r="D527" s="8"/>
      <c r="E527" s="9"/>
      <c r="F527" s="10"/>
      <c r="G527" s="9"/>
      <c r="H527" s="11"/>
      <c r="I527" s="9" t="s">
        <v>13</v>
      </c>
      <c r="J527" s="44"/>
    </row>
    <row r="528">
      <c r="A528" s="42" t="s">
        <v>206</v>
      </c>
      <c r="B528" s="47"/>
      <c r="C528" s="8"/>
      <c r="D528" s="8"/>
      <c r="E528" s="9"/>
      <c r="F528" s="10"/>
      <c r="G528" s="9"/>
      <c r="H528" s="11"/>
      <c r="I528" s="9" t="s">
        <v>13</v>
      </c>
      <c r="J528" s="44"/>
    </row>
    <row r="529">
      <c r="A529" s="42" t="s">
        <v>206</v>
      </c>
      <c r="B529" s="47"/>
      <c r="C529" s="8"/>
      <c r="D529" s="8"/>
      <c r="E529" s="9"/>
      <c r="F529" s="10"/>
      <c r="G529" s="9"/>
      <c r="H529" s="11"/>
      <c r="I529" s="9" t="s">
        <v>13</v>
      </c>
      <c r="J529" s="44"/>
    </row>
    <row r="530">
      <c r="A530" s="42" t="s">
        <v>206</v>
      </c>
      <c r="B530" s="47"/>
      <c r="C530" s="8"/>
      <c r="D530" s="8"/>
      <c r="E530" s="9"/>
      <c r="F530" s="10"/>
      <c r="G530" s="9"/>
      <c r="H530" s="11"/>
      <c r="I530" s="9" t="s">
        <v>13</v>
      </c>
      <c r="J530" s="44"/>
    </row>
    <row r="531">
      <c r="A531" s="42" t="s">
        <v>206</v>
      </c>
      <c r="B531" s="47"/>
      <c r="C531" s="8"/>
      <c r="D531" s="8"/>
      <c r="E531" s="9"/>
      <c r="F531" s="10"/>
      <c r="G531" s="9"/>
      <c r="H531" s="11"/>
      <c r="I531" s="9" t="s">
        <v>13</v>
      </c>
      <c r="J531" s="44"/>
    </row>
    <row r="532">
      <c r="A532" s="42" t="s">
        <v>206</v>
      </c>
      <c r="B532" s="47"/>
      <c r="C532" s="8"/>
      <c r="D532" s="8"/>
      <c r="E532" s="9"/>
      <c r="F532" s="10"/>
      <c r="G532" s="9"/>
      <c r="H532" s="11"/>
      <c r="I532" s="9" t="s">
        <v>13</v>
      </c>
      <c r="J532" s="44"/>
    </row>
    <row r="533">
      <c r="A533" s="42" t="s">
        <v>206</v>
      </c>
      <c r="B533" s="47"/>
      <c r="C533" s="8"/>
      <c r="D533" s="8"/>
      <c r="E533" s="9"/>
      <c r="F533" s="10"/>
      <c r="G533" s="9"/>
      <c r="H533" s="11"/>
      <c r="I533" s="9" t="s">
        <v>13</v>
      </c>
      <c r="J533" s="44"/>
    </row>
    <row r="534">
      <c r="A534" s="42" t="s">
        <v>206</v>
      </c>
      <c r="B534" s="47"/>
      <c r="C534" s="8"/>
      <c r="D534" s="8"/>
      <c r="E534" s="9"/>
      <c r="F534" s="10"/>
      <c r="G534" s="9"/>
      <c r="H534" s="11"/>
      <c r="I534" s="9" t="s">
        <v>13</v>
      </c>
      <c r="J534" s="44"/>
    </row>
    <row r="535">
      <c r="A535" s="42" t="s">
        <v>206</v>
      </c>
      <c r="B535" s="47"/>
      <c r="C535" s="8"/>
      <c r="D535" s="8"/>
      <c r="E535" s="9"/>
      <c r="F535" s="10"/>
      <c r="G535" s="9"/>
      <c r="H535" s="11"/>
      <c r="I535" s="9" t="s">
        <v>13</v>
      </c>
      <c r="J535" s="44"/>
    </row>
    <row r="536">
      <c r="A536" s="42" t="s">
        <v>206</v>
      </c>
      <c r="B536" s="47"/>
      <c r="C536" s="8"/>
      <c r="D536" s="8"/>
      <c r="E536" s="9"/>
      <c r="F536" s="10"/>
      <c r="G536" s="9"/>
      <c r="H536" s="11"/>
      <c r="I536" s="9" t="s">
        <v>13</v>
      </c>
      <c r="J536" s="44"/>
    </row>
    <row r="537">
      <c r="A537" s="42" t="s">
        <v>206</v>
      </c>
      <c r="B537" s="47"/>
      <c r="C537" s="8"/>
      <c r="D537" s="8"/>
      <c r="E537" s="9"/>
      <c r="F537" s="10"/>
      <c r="G537" s="9"/>
      <c r="H537" s="11"/>
      <c r="I537" s="9" t="s">
        <v>13</v>
      </c>
      <c r="J537" s="44"/>
    </row>
    <row r="538">
      <c r="A538" s="42" t="s">
        <v>206</v>
      </c>
      <c r="B538" s="47"/>
      <c r="C538" s="8"/>
      <c r="D538" s="8"/>
      <c r="E538" s="9"/>
      <c r="F538" s="10"/>
      <c r="G538" s="9"/>
      <c r="H538" s="11"/>
      <c r="I538" s="9" t="s">
        <v>13</v>
      </c>
      <c r="J538" s="44"/>
    </row>
    <row r="539">
      <c r="A539" s="42" t="s">
        <v>206</v>
      </c>
      <c r="B539" s="47"/>
      <c r="C539" s="8"/>
      <c r="D539" s="8"/>
      <c r="E539" s="9"/>
      <c r="F539" s="10"/>
      <c r="G539" s="9"/>
      <c r="H539" s="11"/>
      <c r="I539" s="9" t="s">
        <v>13</v>
      </c>
      <c r="J539" s="44"/>
    </row>
    <row r="540">
      <c r="A540" s="42" t="s">
        <v>206</v>
      </c>
      <c r="B540" s="47"/>
      <c r="C540" s="8"/>
      <c r="D540" s="8"/>
      <c r="E540" s="9"/>
      <c r="F540" s="10"/>
      <c r="G540" s="9"/>
      <c r="H540" s="11"/>
      <c r="I540" s="9" t="s">
        <v>13</v>
      </c>
      <c r="J540" s="44"/>
    </row>
    <row r="541">
      <c r="A541" s="42" t="s">
        <v>206</v>
      </c>
      <c r="B541" s="47"/>
      <c r="C541" s="8"/>
      <c r="D541" s="8"/>
      <c r="E541" s="9"/>
      <c r="F541" s="10"/>
      <c r="G541" s="9"/>
      <c r="H541" s="11"/>
      <c r="I541" s="9" t="s">
        <v>13</v>
      </c>
      <c r="J541" s="44"/>
    </row>
    <row r="542">
      <c r="A542" s="42" t="s">
        <v>206</v>
      </c>
      <c r="B542" s="47"/>
      <c r="C542" s="8"/>
      <c r="D542" s="8"/>
      <c r="E542" s="9"/>
      <c r="F542" s="10"/>
      <c r="G542" s="9"/>
      <c r="H542" s="11"/>
      <c r="I542" s="9" t="s">
        <v>13</v>
      </c>
      <c r="J542" s="44"/>
    </row>
    <row r="543">
      <c r="A543" s="42" t="s">
        <v>206</v>
      </c>
      <c r="B543" s="47"/>
      <c r="C543" s="8"/>
      <c r="D543" s="8"/>
      <c r="E543" s="9"/>
      <c r="F543" s="10"/>
      <c r="G543" s="9"/>
      <c r="H543" s="11"/>
      <c r="I543" s="9" t="s">
        <v>13</v>
      </c>
      <c r="J543" s="44"/>
    </row>
    <row r="544">
      <c r="A544" s="42" t="s">
        <v>206</v>
      </c>
      <c r="B544" s="47"/>
      <c r="C544" s="8"/>
      <c r="D544" s="8"/>
      <c r="E544" s="9"/>
      <c r="F544" s="10"/>
      <c r="G544" s="9"/>
      <c r="H544" s="11"/>
      <c r="I544" s="9" t="s">
        <v>13</v>
      </c>
      <c r="J544" s="44"/>
    </row>
    <row r="545">
      <c r="A545" s="42" t="s">
        <v>206</v>
      </c>
      <c r="B545" s="47"/>
      <c r="C545" s="8"/>
      <c r="D545" s="8"/>
      <c r="E545" s="9"/>
      <c r="F545" s="10"/>
      <c r="G545" s="9"/>
      <c r="H545" s="11"/>
      <c r="I545" s="9" t="s">
        <v>13</v>
      </c>
      <c r="J545" s="44"/>
    </row>
    <row r="546">
      <c r="A546" s="42" t="s">
        <v>206</v>
      </c>
      <c r="B546" s="47"/>
      <c r="C546" s="8"/>
      <c r="D546" s="8"/>
      <c r="E546" s="9"/>
      <c r="F546" s="10"/>
      <c r="G546" s="9"/>
      <c r="H546" s="11"/>
      <c r="I546" s="9" t="s">
        <v>13</v>
      </c>
      <c r="J546" s="44"/>
    </row>
    <row r="547">
      <c r="A547" s="42" t="s">
        <v>206</v>
      </c>
      <c r="B547" s="47"/>
      <c r="C547" s="8"/>
      <c r="D547" s="8"/>
      <c r="E547" s="9"/>
      <c r="F547" s="10"/>
      <c r="G547" s="9"/>
      <c r="H547" s="11"/>
      <c r="I547" s="9" t="s">
        <v>13</v>
      </c>
      <c r="J547" s="44"/>
    </row>
    <row r="548">
      <c r="A548" s="42" t="s">
        <v>206</v>
      </c>
      <c r="B548" s="47"/>
      <c r="C548" s="8"/>
      <c r="D548" s="8"/>
      <c r="E548" s="9"/>
      <c r="F548" s="10"/>
      <c r="G548" s="9"/>
      <c r="H548" s="11"/>
      <c r="I548" s="9" t="s">
        <v>13</v>
      </c>
      <c r="J548" s="44"/>
    </row>
    <row r="549">
      <c r="A549" s="42" t="s">
        <v>206</v>
      </c>
      <c r="B549" s="47"/>
      <c r="C549" s="8"/>
      <c r="D549" s="8"/>
      <c r="E549" s="9"/>
      <c r="F549" s="10"/>
      <c r="G549" s="9"/>
      <c r="H549" s="11"/>
      <c r="I549" s="9" t="s">
        <v>13</v>
      </c>
      <c r="J549" s="44"/>
    </row>
    <row r="550">
      <c r="A550" s="42" t="s">
        <v>206</v>
      </c>
      <c r="B550" s="47"/>
      <c r="C550" s="8"/>
      <c r="D550" s="8"/>
      <c r="E550" s="9"/>
      <c r="F550" s="10"/>
      <c r="G550" s="9"/>
      <c r="H550" s="11"/>
      <c r="I550" s="9" t="s">
        <v>13</v>
      </c>
      <c r="J550" s="44"/>
    </row>
    <row r="551">
      <c r="A551" s="42" t="s">
        <v>206</v>
      </c>
      <c r="B551" s="47"/>
      <c r="C551" s="8"/>
      <c r="D551" s="8"/>
      <c r="E551" s="9"/>
      <c r="F551" s="10"/>
      <c r="G551" s="9"/>
      <c r="H551" s="11"/>
      <c r="I551" s="9" t="s">
        <v>13</v>
      </c>
      <c r="J551" s="44"/>
    </row>
    <row r="552">
      <c r="A552" s="42" t="s">
        <v>206</v>
      </c>
      <c r="B552" s="47"/>
      <c r="C552" s="8"/>
      <c r="D552" s="8"/>
      <c r="E552" s="9"/>
      <c r="F552" s="10"/>
      <c r="G552" s="9"/>
      <c r="H552" s="11"/>
      <c r="I552" s="9" t="s">
        <v>13</v>
      </c>
      <c r="J552" s="44"/>
    </row>
    <row r="553">
      <c r="A553" s="42" t="s">
        <v>206</v>
      </c>
      <c r="B553" s="47"/>
      <c r="C553" s="8"/>
      <c r="D553" s="8"/>
      <c r="E553" s="9"/>
      <c r="F553" s="10"/>
      <c r="G553" s="9"/>
      <c r="H553" s="11"/>
      <c r="I553" s="9" t="s">
        <v>13</v>
      </c>
      <c r="J553" s="44"/>
    </row>
    <row r="554">
      <c r="A554" s="42" t="s">
        <v>206</v>
      </c>
      <c r="B554" s="47"/>
      <c r="C554" s="8"/>
      <c r="D554" s="8"/>
      <c r="E554" s="9"/>
      <c r="F554" s="10"/>
      <c r="G554" s="9"/>
      <c r="H554" s="11"/>
      <c r="I554" s="9" t="s">
        <v>13</v>
      </c>
      <c r="J554" s="44"/>
    </row>
    <row r="555">
      <c r="A555" s="42" t="s">
        <v>206</v>
      </c>
      <c r="B555" s="47"/>
      <c r="C555" s="8"/>
      <c r="D555" s="8"/>
      <c r="E555" s="9"/>
      <c r="F555" s="10"/>
      <c r="G555" s="9"/>
      <c r="H555" s="11"/>
      <c r="I555" s="9" t="s">
        <v>13</v>
      </c>
      <c r="J555" s="44"/>
    </row>
    <row r="556">
      <c r="A556" s="42" t="s">
        <v>206</v>
      </c>
      <c r="B556" s="47"/>
      <c r="C556" s="8"/>
      <c r="D556" s="8"/>
      <c r="E556" s="9"/>
      <c r="F556" s="10"/>
      <c r="G556" s="9"/>
      <c r="H556" s="11"/>
      <c r="I556" s="9" t="s">
        <v>13</v>
      </c>
      <c r="J556" s="44"/>
    </row>
    <row r="557">
      <c r="A557" s="42" t="s">
        <v>206</v>
      </c>
      <c r="B557" s="47"/>
      <c r="C557" s="8"/>
      <c r="D557" s="8"/>
      <c r="E557" s="9"/>
      <c r="F557" s="10"/>
      <c r="G557" s="9"/>
      <c r="H557" s="11"/>
      <c r="I557" s="9" t="s">
        <v>13</v>
      </c>
      <c r="J557" s="44"/>
    </row>
    <row r="558">
      <c r="A558" s="42" t="s">
        <v>206</v>
      </c>
      <c r="B558" s="47"/>
      <c r="C558" s="8"/>
      <c r="D558" s="8"/>
      <c r="E558" s="9"/>
      <c r="F558" s="10"/>
      <c r="G558" s="9"/>
      <c r="H558" s="11"/>
      <c r="I558" s="9" t="s">
        <v>13</v>
      </c>
      <c r="J558" s="44"/>
    </row>
    <row r="559">
      <c r="A559" s="42" t="s">
        <v>206</v>
      </c>
      <c r="B559" s="47"/>
      <c r="C559" s="8"/>
      <c r="D559" s="8"/>
      <c r="E559" s="9"/>
      <c r="F559" s="10"/>
      <c r="G559" s="9"/>
      <c r="H559" s="11"/>
      <c r="I559" s="9" t="s">
        <v>13</v>
      </c>
      <c r="J559" s="44"/>
    </row>
    <row r="560">
      <c r="A560" s="42" t="s">
        <v>206</v>
      </c>
      <c r="B560" s="47"/>
      <c r="C560" s="8"/>
      <c r="D560" s="8"/>
      <c r="E560" s="9"/>
      <c r="F560" s="10"/>
      <c r="G560" s="9"/>
      <c r="H560" s="11"/>
      <c r="I560" s="9" t="s">
        <v>13</v>
      </c>
      <c r="J560" s="44"/>
    </row>
    <row r="561">
      <c r="A561" s="42" t="s">
        <v>206</v>
      </c>
      <c r="B561" s="47"/>
      <c r="C561" s="8"/>
      <c r="D561" s="8"/>
      <c r="E561" s="9"/>
      <c r="F561" s="10"/>
      <c r="G561" s="9"/>
      <c r="H561" s="11"/>
      <c r="I561" s="9" t="s">
        <v>13</v>
      </c>
      <c r="J561" s="44"/>
    </row>
    <row r="562">
      <c r="A562" s="42" t="s">
        <v>206</v>
      </c>
      <c r="B562" s="47"/>
      <c r="C562" s="8"/>
      <c r="D562" s="8"/>
      <c r="E562" s="9"/>
      <c r="F562" s="10"/>
      <c r="G562" s="9"/>
      <c r="H562" s="11"/>
      <c r="I562" s="9" t="s">
        <v>13</v>
      </c>
      <c r="J562" s="44"/>
    </row>
    <row r="563">
      <c r="A563" s="42" t="s">
        <v>206</v>
      </c>
      <c r="B563" s="47"/>
      <c r="C563" s="8"/>
      <c r="D563" s="8"/>
      <c r="E563" s="9"/>
      <c r="F563" s="10"/>
      <c r="G563" s="9"/>
      <c r="H563" s="11"/>
      <c r="I563" s="9" t="s">
        <v>13</v>
      </c>
      <c r="J563" s="44"/>
    </row>
    <row r="564">
      <c r="A564" s="42" t="s">
        <v>206</v>
      </c>
      <c r="B564" s="47"/>
      <c r="C564" s="8"/>
      <c r="D564" s="8"/>
      <c r="E564" s="9"/>
      <c r="F564" s="10"/>
      <c r="G564" s="9"/>
      <c r="H564" s="11"/>
      <c r="I564" s="9" t="s">
        <v>13</v>
      </c>
      <c r="J564" s="44"/>
    </row>
    <row r="565">
      <c r="A565" s="42" t="s">
        <v>206</v>
      </c>
      <c r="B565" s="47"/>
      <c r="C565" s="8"/>
      <c r="D565" s="8"/>
      <c r="E565" s="9"/>
      <c r="F565" s="10"/>
      <c r="G565" s="9"/>
      <c r="H565" s="11"/>
      <c r="I565" s="9" t="s">
        <v>13</v>
      </c>
      <c r="J565" s="44"/>
    </row>
    <row r="566">
      <c r="A566" s="42" t="s">
        <v>206</v>
      </c>
      <c r="B566" s="47"/>
      <c r="C566" s="8"/>
      <c r="D566" s="8"/>
      <c r="E566" s="9"/>
      <c r="F566" s="10"/>
      <c r="G566" s="9"/>
      <c r="H566" s="11"/>
      <c r="I566" s="9" t="s">
        <v>13</v>
      </c>
      <c r="J566" s="44"/>
    </row>
    <row r="567">
      <c r="A567" s="42" t="s">
        <v>206</v>
      </c>
      <c r="B567" s="47"/>
      <c r="C567" s="8"/>
      <c r="D567" s="8"/>
      <c r="E567" s="9"/>
      <c r="F567" s="10"/>
      <c r="G567" s="9"/>
      <c r="H567" s="11"/>
      <c r="I567" s="9" t="s">
        <v>13</v>
      </c>
      <c r="J567" s="44"/>
    </row>
    <row r="568">
      <c r="A568" s="42" t="s">
        <v>206</v>
      </c>
      <c r="B568" s="47"/>
      <c r="C568" s="8"/>
      <c r="D568" s="8"/>
      <c r="E568" s="9"/>
      <c r="F568" s="10"/>
      <c r="G568" s="9"/>
      <c r="H568" s="11"/>
      <c r="I568" s="9" t="s">
        <v>13</v>
      </c>
      <c r="J568" s="44"/>
    </row>
    <row r="569">
      <c r="A569" s="42" t="s">
        <v>206</v>
      </c>
      <c r="B569" s="47"/>
      <c r="C569" s="8"/>
      <c r="D569" s="8"/>
      <c r="E569" s="9"/>
      <c r="F569" s="10"/>
      <c r="G569" s="9"/>
      <c r="H569" s="11"/>
      <c r="I569" s="9" t="s">
        <v>13</v>
      </c>
      <c r="J569" s="44"/>
    </row>
    <row r="570">
      <c r="A570" s="42" t="s">
        <v>206</v>
      </c>
      <c r="B570" s="47"/>
      <c r="C570" s="8"/>
      <c r="D570" s="8"/>
      <c r="E570" s="9"/>
      <c r="F570" s="10"/>
      <c r="G570" s="9"/>
      <c r="H570" s="11"/>
      <c r="I570" s="9" t="s">
        <v>13</v>
      </c>
      <c r="J570" s="44"/>
    </row>
    <row r="571">
      <c r="A571" s="42" t="s">
        <v>206</v>
      </c>
      <c r="B571" s="47"/>
      <c r="C571" s="8"/>
      <c r="D571" s="8"/>
      <c r="E571" s="9"/>
      <c r="F571" s="10"/>
      <c r="G571" s="9"/>
      <c r="H571" s="11"/>
      <c r="I571" s="9" t="s">
        <v>13</v>
      </c>
      <c r="J571" s="44"/>
    </row>
    <row r="572">
      <c r="A572" s="42" t="s">
        <v>206</v>
      </c>
      <c r="B572" s="47"/>
      <c r="C572" s="8"/>
      <c r="D572" s="8"/>
      <c r="E572" s="9"/>
      <c r="F572" s="10"/>
      <c r="G572" s="9"/>
      <c r="H572" s="11"/>
      <c r="I572" s="9" t="s">
        <v>13</v>
      </c>
      <c r="J572" s="44"/>
    </row>
    <row r="573">
      <c r="A573" s="42" t="s">
        <v>206</v>
      </c>
      <c r="B573" s="47"/>
      <c r="C573" s="8"/>
      <c r="D573" s="8"/>
      <c r="E573" s="9"/>
      <c r="F573" s="10"/>
      <c r="G573" s="9"/>
      <c r="H573" s="11"/>
      <c r="I573" s="9" t="s">
        <v>13</v>
      </c>
      <c r="J573" s="44"/>
    </row>
    <row r="574">
      <c r="A574" s="42" t="s">
        <v>206</v>
      </c>
      <c r="B574" s="47"/>
      <c r="C574" s="8"/>
      <c r="D574" s="8"/>
      <c r="E574" s="9"/>
      <c r="F574" s="10"/>
      <c r="G574" s="9"/>
      <c r="H574" s="11"/>
      <c r="I574" s="9" t="s">
        <v>13</v>
      </c>
      <c r="J574" s="44"/>
    </row>
    <row r="575">
      <c r="A575" s="42" t="s">
        <v>206</v>
      </c>
      <c r="B575" s="47"/>
      <c r="C575" s="8"/>
      <c r="D575" s="8"/>
      <c r="E575" s="9"/>
      <c r="F575" s="10"/>
      <c r="G575" s="9"/>
      <c r="H575" s="11"/>
      <c r="I575" s="9" t="s">
        <v>13</v>
      </c>
      <c r="J575" s="44"/>
    </row>
    <row r="576">
      <c r="A576" s="42" t="s">
        <v>206</v>
      </c>
      <c r="B576" s="47"/>
      <c r="C576" s="8"/>
      <c r="D576" s="8"/>
      <c r="E576" s="9"/>
      <c r="F576" s="10"/>
      <c r="G576" s="9"/>
      <c r="H576" s="11"/>
      <c r="I576" s="9" t="s">
        <v>13</v>
      </c>
      <c r="J576" s="44"/>
    </row>
    <row r="577">
      <c r="A577" s="42" t="s">
        <v>206</v>
      </c>
      <c r="B577" s="47"/>
      <c r="C577" s="8"/>
      <c r="D577" s="8"/>
      <c r="E577" s="9"/>
      <c r="F577" s="10"/>
      <c r="G577" s="9"/>
      <c r="H577" s="11"/>
      <c r="I577" s="9" t="s">
        <v>13</v>
      </c>
      <c r="J577" s="44"/>
    </row>
    <row r="578">
      <c r="A578" s="42" t="s">
        <v>206</v>
      </c>
      <c r="B578" s="47"/>
      <c r="C578" s="8"/>
      <c r="D578" s="8"/>
      <c r="E578" s="9"/>
      <c r="F578" s="10"/>
      <c r="G578" s="9"/>
      <c r="H578" s="11"/>
      <c r="I578" s="9" t="s">
        <v>13</v>
      </c>
      <c r="J578" s="44"/>
    </row>
    <row r="579">
      <c r="A579" s="42" t="s">
        <v>206</v>
      </c>
      <c r="B579" s="47"/>
      <c r="C579" s="8"/>
      <c r="D579" s="8"/>
      <c r="E579" s="9"/>
      <c r="F579" s="10"/>
      <c r="G579" s="9"/>
      <c r="H579" s="11"/>
      <c r="I579" s="9" t="s">
        <v>13</v>
      </c>
      <c r="J579" s="44"/>
    </row>
    <row r="580">
      <c r="A580" s="42" t="s">
        <v>206</v>
      </c>
      <c r="B580" s="47"/>
      <c r="C580" s="8"/>
      <c r="D580" s="8"/>
      <c r="E580" s="9"/>
      <c r="F580" s="10"/>
      <c r="G580" s="9"/>
      <c r="H580" s="11"/>
      <c r="I580" s="9" t="s">
        <v>13</v>
      </c>
      <c r="J580" s="44"/>
    </row>
    <row r="581">
      <c r="A581" s="42" t="s">
        <v>206</v>
      </c>
      <c r="B581" s="47"/>
      <c r="C581" s="8"/>
      <c r="D581" s="8"/>
      <c r="E581" s="9"/>
      <c r="F581" s="10"/>
      <c r="G581" s="9"/>
      <c r="H581" s="11"/>
      <c r="I581" s="9" t="s">
        <v>13</v>
      </c>
      <c r="J581" s="44"/>
    </row>
    <row r="582">
      <c r="A582" s="42" t="s">
        <v>206</v>
      </c>
      <c r="B582" s="47"/>
      <c r="C582" s="8"/>
      <c r="D582" s="8"/>
      <c r="E582" s="9"/>
      <c r="F582" s="10"/>
      <c r="G582" s="9"/>
      <c r="H582" s="11"/>
      <c r="I582" s="9" t="s">
        <v>13</v>
      </c>
      <c r="J582" s="44"/>
    </row>
    <row r="583">
      <c r="A583" s="42" t="s">
        <v>206</v>
      </c>
      <c r="B583" s="47"/>
      <c r="C583" s="8"/>
      <c r="D583" s="8"/>
      <c r="E583" s="9"/>
      <c r="F583" s="10"/>
      <c r="G583" s="9"/>
      <c r="H583" s="11"/>
      <c r="I583" s="9" t="s">
        <v>13</v>
      </c>
      <c r="J583" s="44"/>
    </row>
    <row r="584">
      <c r="A584" s="42" t="s">
        <v>206</v>
      </c>
      <c r="B584" s="47"/>
      <c r="C584" s="8"/>
      <c r="D584" s="8"/>
      <c r="E584" s="9"/>
      <c r="F584" s="10"/>
      <c r="G584" s="9"/>
      <c r="H584" s="11"/>
      <c r="I584" s="9" t="s">
        <v>13</v>
      </c>
      <c r="J584" s="44"/>
    </row>
    <row r="585">
      <c r="A585" s="42" t="s">
        <v>206</v>
      </c>
      <c r="B585" s="47"/>
      <c r="C585" s="8"/>
      <c r="D585" s="8"/>
      <c r="E585" s="9"/>
      <c r="F585" s="10"/>
      <c r="G585" s="9"/>
      <c r="H585" s="11"/>
      <c r="I585" s="9" t="s">
        <v>13</v>
      </c>
      <c r="J585" s="44"/>
    </row>
    <row r="586">
      <c r="A586" s="42" t="s">
        <v>206</v>
      </c>
      <c r="B586" s="47"/>
      <c r="C586" s="8"/>
      <c r="D586" s="8"/>
      <c r="E586" s="9"/>
      <c r="F586" s="10"/>
      <c r="G586" s="9"/>
      <c r="H586" s="11"/>
      <c r="I586" s="9" t="s">
        <v>13</v>
      </c>
      <c r="J586" s="44"/>
    </row>
    <row r="587">
      <c r="A587" s="42" t="s">
        <v>206</v>
      </c>
      <c r="B587" s="47"/>
      <c r="C587" s="8"/>
      <c r="D587" s="8"/>
      <c r="E587" s="9"/>
      <c r="F587" s="10"/>
      <c r="G587" s="9"/>
      <c r="H587" s="11"/>
      <c r="I587" s="9" t="s">
        <v>13</v>
      </c>
      <c r="J587" s="44"/>
    </row>
    <row r="588">
      <c r="A588" s="42" t="s">
        <v>206</v>
      </c>
      <c r="B588" s="47"/>
      <c r="C588" s="8"/>
      <c r="D588" s="8"/>
      <c r="E588" s="9"/>
      <c r="F588" s="10"/>
      <c r="G588" s="9"/>
      <c r="H588" s="11"/>
      <c r="I588" s="9" t="s">
        <v>13</v>
      </c>
      <c r="J588" s="44"/>
    </row>
    <row r="589">
      <c r="A589" s="42" t="s">
        <v>206</v>
      </c>
      <c r="B589" s="47"/>
      <c r="C589" s="8"/>
      <c r="D589" s="8"/>
      <c r="E589" s="9"/>
      <c r="F589" s="10"/>
      <c r="G589" s="9"/>
      <c r="H589" s="11"/>
      <c r="I589" s="9" t="s">
        <v>13</v>
      </c>
      <c r="J589" s="44"/>
    </row>
    <row r="590">
      <c r="A590" s="42" t="s">
        <v>206</v>
      </c>
      <c r="B590" s="47"/>
      <c r="C590" s="8"/>
      <c r="D590" s="8"/>
      <c r="E590" s="9"/>
      <c r="F590" s="10"/>
      <c r="G590" s="9"/>
      <c r="H590" s="11"/>
      <c r="I590" s="9" t="s">
        <v>13</v>
      </c>
      <c r="J590" s="44"/>
    </row>
    <row r="591">
      <c r="A591" s="42" t="s">
        <v>206</v>
      </c>
      <c r="B591" s="47"/>
      <c r="C591" s="8"/>
      <c r="D591" s="8"/>
      <c r="E591" s="9"/>
      <c r="F591" s="10"/>
      <c r="G591" s="9"/>
      <c r="H591" s="11"/>
      <c r="I591" s="9" t="s">
        <v>13</v>
      </c>
      <c r="J591" s="44"/>
    </row>
    <row r="592">
      <c r="A592" s="42" t="s">
        <v>206</v>
      </c>
      <c r="B592" s="47"/>
      <c r="C592" s="8"/>
      <c r="D592" s="8"/>
      <c r="E592" s="9"/>
      <c r="F592" s="10"/>
      <c r="G592" s="9"/>
      <c r="H592" s="11"/>
      <c r="I592" s="9" t="s">
        <v>13</v>
      </c>
      <c r="J592" s="44"/>
    </row>
    <row r="593">
      <c r="A593" s="42" t="s">
        <v>206</v>
      </c>
      <c r="B593" s="47"/>
      <c r="C593" s="8"/>
      <c r="D593" s="8"/>
      <c r="E593" s="9"/>
      <c r="F593" s="10"/>
      <c r="G593" s="9"/>
      <c r="H593" s="11"/>
      <c r="I593" s="9" t="s">
        <v>13</v>
      </c>
      <c r="J593" s="44"/>
    </row>
    <row r="594">
      <c r="A594" s="42" t="s">
        <v>206</v>
      </c>
      <c r="B594" s="47"/>
      <c r="C594" s="8"/>
      <c r="D594" s="8"/>
      <c r="E594" s="9"/>
      <c r="F594" s="10"/>
      <c r="G594" s="9"/>
      <c r="H594" s="11"/>
      <c r="I594" s="9" t="s">
        <v>13</v>
      </c>
      <c r="J594" s="44"/>
    </row>
    <row r="595">
      <c r="A595" s="42" t="s">
        <v>206</v>
      </c>
      <c r="B595" s="47"/>
      <c r="C595" s="8"/>
      <c r="D595" s="8"/>
      <c r="E595" s="9"/>
      <c r="F595" s="10"/>
      <c r="G595" s="9"/>
      <c r="H595" s="11"/>
      <c r="I595" s="9" t="s">
        <v>13</v>
      </c>
      <c r="J595" s="44"/>
    </row>
    <row r="596">
      <c r="A596" s="42" t="s">
        <v>206</v>
      </c>
      <c r="B596" s="47"/>
      <c r="C596" s="8"/>
      <c r="D596" s="8"/>
      <c r="E596" s="9"/>
      <c r="F596" s="10"/>
      <c r="G596" s="9"/>
      <c r="H596" s="11"/>
      <c r="I596" s="9" t="s">
        <v>13</v>
      </c>
      <c r="J596" s="44"/>
    </row>
    <row r="597">
      <c r="A597" s="42" t="s">
        <v>206</v>
      </c>
      <c r="B597" s="47"/>
      <c r="C597" s="8"/>
      <c r="D597" s="8"/>
      <c r="E597" s="9"/>
      <c r="F597" s="10"/>
      <c r="G597" s="9"/>
      <c r="H597" s="11"/>
      <c r="I597" s="9" t="s">
        <v>13</v>
      </c>
      <c r="J597" s="44"/>
    </row>
    <row r="598">
      <c r="A598" s="42" t="s">
        <v>206</v>
      </c>
      <c r="B598" s="47"/>
      <c r="C598" s="8"/>
      <c r="D598" s="8"/>
      <c r="E598" s="9"/>
      <c r="F598" s="10"/>
      <c r="G598" s="9"/>
      <c r="H598" s="11"/>
      <c r="I598" s="9" t="s">
        <v>13</v>
      </c>
      <c r="J598" s="44"/>
    </row>
    <row r="599">
      <c r="A599" s="42" t="s">
        <v>206</v>
      </c>
      <c r="B599" s="47"/>
      <c r="C599" s="8"/>
      <c r="D599" s="8"/>
      <c r="E599" s="9"/>
      <c r="F599" s="10"/>
      <c r="G599" s="9"/>
      <c r="H599" s="11"/>
      <c r="I599" s="9" t="s">
        <v>13</v>
      </c>
      <c r="J599" s="44"/>
    </row>
    <row r="600">
      <c r="A600" s="42" t="s">
        <v>206</v>
      </c>
      <c r="B600" s="47"/>
      <c r="C600" s="8"/>
      <c r="D600" s="8"/>
      <c r="E600" s="9"/>
      <c r="F600" s="10"/>
      <c r="G600" s="9"/>
      <c r="H600" s="11"/>
      <c r="I600" s="9" t="s">
        <v>13</v>
      </c>
      <c r="J600" s="44"/>
    </row>
    <row r="601">
      <c r="A601" s="42" t="s">
        <v>206</v>
      </c>
      <c r="B601" s="47"/>
      <c r="C601" s="8"/>
      <c r="D601" s="8"/>
      <c r="E601" s="9"/>
      <c r="F601" s="10"/>
      <c r="G601" s="9"/>
      <c r="H601" s="11"/>
      <c r="I601" s="9" t="s">
        <v>13</v>
      </c>
      <c r="J601" s="44"/>
    </row>
    <row r="602">
      <c r="A602" s="42" t="s">
        <v>206</v>
      </c>
      <c r="B602" s="47"/>
      <c r="C602" s="8"/>
      <c r="D602" s="8"/>
      <c r="E602" s="9"/>
      <c r="F602" s="10"/>
      <c r="G602" s="9"/>
      <c r="H602" s="11"/>
      <c r="I602" s="9" t="s">
        <v>13</v>
      </c>
      <c r="J602" s="44"/>
    </row>
    <row r="603">
      <c r="A603" s="42" t="s">
        <v>206</v>
      </c>
      <c r="B603" s="47"/>
      <c r="C603" s="8"/>
      <c r="D603" s="8"/>
      <c r="E603" s="9"/>
      <c r="F603" s="10"/>
      <c r="G603" s="9"/>
      <c r="H603" s="11"/>
      <c r="I603" s="9" t="s">
        <v>13</v>
      </c>
      <c r="J603" s="44"/>
    </row>
    <row r="604">
      <c r="A604" s="42" t="s">
        <v>206</v>
      </c>
      <c r="B604" s="47"/>
      <c r="C604" s="8"/>
      <c r="D604" s="8"/>
      <c r="E604" s="9"/>
      <c r="F604" s="10"/>
      <c r="G604" s="9"/>
      <c r="H604" s="11"/>
      <c r="I604" s="9" t="s">
        <v>13</v>
      </c>
      <c r="J604" s="44"/>
    </row>
    <row r="605">
      <c r="A605" s="42" t="s">
        <v>206</v>
      </c>
      <c r="B605" s="47"/>
      <c r="C605" s="8"/>
      <c r="D605" s="8"/>
      <c r="E605" s="9"/>
      <c r="F605" s="10"/>
      <c r="G605" s="9"/>
      <c r="H605" s="11"/>
      <c r="I605" s="9" t="s">
        <v>13</v>
      </c>
      <c r="J605" s="44"/>
    </row>
    <row r="606">
      <c r="A606" s="42" t="s">
        <v>206</v>
      </c>
      <c r="B606" s="47"/>
      <c r="C606" s="8"/>
      <c r="D606" s="8"/>
      <c r="E606" s="9"/>
      <c r="F606" s="10"/>
      <c r="G606" s="9"/>
      <c r="H606" s="11"/>
      <c r="I606" s="9" t="s">
        <v>13</v>
      </c>
      <c r="J606" s="44"/>
    </row>
    <row r="607">
      <c r="A607" s="42" t="s">
        <v>206</v>
      </c>
      <c r="B607" s="47"/>
      <c r="C607" s="8"/>
      <c r="D607" s="8"/>
      <c r="E607" s="9"/>
      <c r="F607" s="10"/>
      <c r="G607" s="9"/>
      <c r="H607" s="11"/>
      <c r="I607" s="9" t="s">
        <v>13</v>
      </c>
      <c r="J607" s="44"/>
    </row>
    <row r="608">
      <c r="A608" s="42" t="s">
        <v>206</v>
      </c>
      <c r="B608" s="47"/>
      <c r="C608" s="8"/>
      <c r="D608" s="8"/>
      <c r="E608" s="9"/>
      <c r="F608" s="10"/>
      <c r="G608" s="9"/>
      <c r="H608" s="11"/>
      <c r="I608" s="9" t="s">
        <v>13</v>
      </c>
      <c r="J608" s="44"/>
    </row>
    <row r="609">
      <c r="A609" s="42" t="s">
        <v>206</v>
      </c>
      <c r="B609" s="47"/>
      <c r="C609" s="8"/>
      <c r="D609" s="8"/>
      <c r="E609" s="9"/>
      <c r="F609" s="10"/>
      <c r="G609" s="9"/>
      <c r="H609" s="11"/>
      <c r="I609" s="9" t="s">
        <v>13</v>
      </c>
      <c r="J609" s="44"/>
    </row>
    <row r="610">
      <c r="A610" s="42" t="s">
        <v>206</v>
      </c>
      <c r="B610" s="47"/>
      <c r="C610" s="8"/>
      <c r="D610" s="8"/>
      <c r="E610" s="9"/>
      <c r="F610" s="10"/>
      <c r="G610" s="9"/>
      <c r="H610" s="11"/>
      <c r="I610" s="9" t="s">
        <v>13</v>
      </c>
      <c r="J610" s="44"/>
    </row>
    <row r="611">
      <c r="A611" s="42" t="s">
        <v>206</v>
      </c>
      <c r="B611" s="47"/>
      <c r="C611" s="8"/>
      <c r="D611" s="8"/>
      <c r="E611" s="9"/>
      <c r="F611" s="10"/>
      <c r="G611" s="9"/>
      <c r="H611" s="11"/>
      <c r="I611" s="9" t="s">
        <v>13</v>
      </c>
      <c r="J611" s="44"/>
    </row>
    <row r="612">
      <c r="A612" s="42" t="s">
        <v>206</v>
      </c>
      <c r="B612" s="47"/>
      <c r="C612" s="8"/>
      <c r="D612" s="8"/>
      <c r="E612" s="9"/>
      <c r="F612" s="10"/>
      <c r="G612" s="9"/>
      <c r="H612" s="11"/>
      <c r="I612" s="9" t="s">
        <v>13</v>
      </c>
      <c r="J612" s="44"/>
    </row>
    <row r="613">
      <c r="A613" s="42" t="s">
        <v>206</v>
      </c>
      <c r="B613" s="47"/>
      <c r="C613" s="8"/>
      <c r="D613" s="8"/>
      <c r="E613" s="9"/>
      <c r="F613" s="10"/>
      <c r="G613" s="9"/>
      <c r="H613" s="11"/>
      <c r="I613" s="9" t="s">
        <v>13</v>
      </c>
      <c r="J613" s="44"/>
    </row>
    <row r="614">
      <c r="A614" s="42" t="s">
        <v>206</v>
      </c>
      <c r="B614" s="47"/>
      <c r="C614" s="8"/>
      <c r="D614" s="8"/>
      <c r="E614" s="9"/>
      <c r="F614" s="10"/>
      <c r="G614" s="9"/>
      <c r="H614" s="11"/>
      <c r="I614" s="9" t="s">
        <v>13</v>
      </c>
      <c r="J614" s="44"/>
    </row>
    <row r="615">
      <c r="A615" s="42" t="s">
        <v>206</v>
      </c>
      <c r="B615" s="47"/>
      <c r="C615" s="8"/>
      <c r="D615" s="8"/>
      <c r="E615" s="9"/>
      <c r="F615" s="10"/>
      <c r="G615" s="9"/>
      <c r="H615" s="11"/>
      <c r="I615" s="9" t="s">
        <v>13</v>
      </c>
      <c r="J615" s="44"/>
    </row>
    <row r="616">
      <c r="A616" s="42" t="s">
        <v>206</v>
      </c>
      <c r="B616" s="47"/>
      <c r="C616" s="8"/>
      <c r="D616" s="8"/>
      <c r="E616" s="9"/>
      <c r="F616" s="10"/>
      <c r="G616" s="9"/>
      <c r="H616" s="11"/>
      <c r="I616" s="9" t="s">
        <v>13</v>
      </c>
      <c r="J616" s="44"/>
    </row>
    <row r="617">
      <c r="A617" s="42" t="s">
        <v>206</v>
      </c>
      <c r="B617" s="47"/>
      <c r="C617" s="8"/>
      <c r="D617" s="8"/>
      <c r="E617" s="9"/>
      <c r="F617" s="10"/>
      <c r="G617" s="9"/>
      <c r="H617" s="11"/>
      <c r="I617" s="9" t="s">
        <v>13</v>
      </c>
      <c r="J617" s="44"/>
    </row>
    <row r="618">
      <c r="A618" s="42" t="s">
        <v>206</v>
      </c>
      <c r="B618" s="47"/>
      <c r="C618" s="8"/>
      <c r="D618" s="8"/>
      <c r="E618" s="9"/>
      <c r="F618" s="10"/>
      <c r="G618" s="9"/>
      <c r="H618" s="11"/>
      <c r="I618" s="9" t="s">
        <v>13</v>
      </c>
      <c r="J618" s="44"/>
    </row>
    <row r="619">
      <c r="A619" s="42" t="s">
        <v>206</v>
      </c>
      <c r="B619" s="47"/>
      <c r="C619" s="8"/>
      <c r="D619" s="8"/>
      <c r="E619" s="9"/>
      <c r="F619" s="10"/>
      <c r="G619" s="9"/>
      <c r="H619" s="11"/>
      <c r="I619" s="9" t="s">
        <v>13</v>
      </c>
      <c r="J619" s="44"/>
    </row>
    <row r="620">
      <c r="A620" s="42" t="s">
        <v>206</v>
      </c>
      <c r="B620" s="47"/>
      <c r="C620" s="8"/>
      <c r="D620" s="8"/>
      <c r="E620" s="9"/>
      <c r="F620" s="10"/>
      <c r="G620" s="9"/>
      <c r="H620" s="11"/>
      <c r="I620" s="9" t="s">
        <v>13</v>
      </c>
      <c r="J620" s="44"/>
    </row>
    <row r="621">
      <c r="A621" s="42" t="s">
        <v>206</v>
      </c>
      <c r="B621" s="47"/>
      <c r="C621" s="8"/>
      <c r="D621" s="8"/>
      <c r="E621" s="9"/>
      <c r="F621" s="10"/>
      <c r="G621" s="9"/>
      <c r="H621" s="11"/>
      <c r="I621" s="9" t="s">
        <v>13</v>
      </c>
      <c r="J621" s="44"/>
    </row>
    <row r="622">
      <c r="A622" s="42" t="s">
        <v>206</v>
      </c>
      <c r="B622" s="47"/>
      <c r="C622" s="8"/>
      <c r="D622" s="8"/>
      <c r="E622" s="9"/>
      <c r="F622" s="10"/>
      <c r="G622" s="9"/>
      <c r="H622" s="11"/>
      <c r="I622" s="9" t="s">
        <v>13</v>
      </c>
      <c r="J622" s="44"/>
    </row>
    <row r="623">
      <c r="A623" s="42" t="s">
        <v>206</v>
      </c>
      <c r="B623" s="47"/>
      <c r="C623" s="8"/>
      <c r="D623" s="8"/>
      <c r="E623" s="9"/>
      <c r="F623" s="10"/>
      <c r="G623" s="9"/>
      <c r="H623" s="11"/>
      <c r="I623" s="9" t="s">
        <v>13</v>
      </c>
      <c r="J623" s="44"/>
    </row>
    <row r="624">
      <c r="A624" s="42" t="s">
        <v>206</v>
      </c>
      <c r="B624" s="47"/>
      <c r="C624" s="8"/>
      <c r="D624" s="8"/>
      <c r="E624" s="9"/>
      <c r="F624" s="10"/>
      <c r="G624" s="9"/>
      <c r="H624" s="11"/>
      <c r="I624" s="9" t="s">
        <v>13</v>
      </c>
      <c r="J624" s="44"/>
    </row>
    <row r="625">
      <c r="A625" s="42" t="s">
        <v>206</v>
      </c>
      <c r="B625" s="47"/>
      <c r="C625" s="8"/>
      <c r="D625" s="8"/>
      <c r="E625" s="9"/>
      <c r="F625" s="10"/>
      <c r="G625" s="9"/>
      <c r="H625" s="11"/>
      <c r="I625" s="9" t="s">
        <v>13</v>
      </c>
      <c r="J625" s="44"/>
    </row>
    <row r="626">
      <c r="A626" s="42" t="s">
        <v>206</v>
      </c>
      <c r="B626" s="47"/>
      <c r="C626" s="8"/>
      <c r="D626" s="8"/>
      <c r="E626" s="9"/>
      <c r="F626" s="10"/>
      <c r="G626" s="9"/>
      <c r="H626" s="11"/>
      <c r="I626" s="9" t="s">
        <v>13</v>
      </c>
      <c r="J626" s="44"/>
    </row>
    <row r="627">
      <c r="A627" s="42" t="s">
        <v>206</v>
      </c>
      <c r="B627" s="47"/>
      <c r="C627" s="8"/>
      <c r="D627" s="8"/>
      <c r="E627" s="9"/>
      <c r="F627" s="10"/>
      <c r="G627" s="9"/>
      <c r="H627" s="11"/>
      <c r="I627" s="9" t="s">
        <v>13</v>
      </c>
      <c r="J627" s="44"/>
    </row>
    <row r="628">
      <c r="A628" s="42" t="s">
        <v>206</v>
      </c>
      <c r="B628" s="47"/>
      <c r="C628" s="8"/>
      <c r="D628" s="8"/>
      <c r="E628" s="9"/>
      <c r="F628" s="10"/>
      <c r="G628" s="9"/>
      <c r="H628" s="11"/>
      <c r="I628" s="9" t="s">
        <v>13</v>
      </c>
      <c r="J628" s="44"/>
    </row>
    <row r="629">
      <c r="A629" s="42" t="s">
        <v>206</v>
      </c>
      <c r="B629" s="47"/>
      <c r="C629" s="8"/>
      <c r="D629" s="8"/>
      <c r="E629" s="9"/>
      <c r="F629" s="10"/>
      <c r="G629" s="9"/>
      <c r="H629" s="11"/>
      <c r="I629" s="9" t="s">
        <v>13</v>
      </c>
      <c r="J629" s="44"/>
    </row>
    <row r="630">
      <c r="A630" s="42" t="s">
        <v>206</v>
      </c>
      <c r="B630" s="47"/>
      <c r="C630" s="8"/>
      <c r="D630" s="8"/>
      <c r="E630" s="9"/>
      <c r="F630" s="10"/>
      <c r="G630" s="9"/>
      <c r="H630" s="11"/>
      <c r="I630" s="9" t="s">
        <v>13</v>
      </c>
      <c r="J630" s="44"/>
    </row>
    <row r="631">
      <c r="A631" s="42" t="s">
        <v>206</v>
      </c>
      <c r="B631" s="47"/>
      <c r="C631" s="8"/>
      <c r="D631" s="8"/>
      <c r="E631" s="9"/>
      <c r="F631" s="10"/>
      <c r="G631" s="9"/>
      <c r="H631" s="11"/>
      <c r="I631" s="9" t="s">
        <v>13</v>
      </c>
      <c r="J631" s="44"/>
    </row>
    <row r="632">
      <c r="A632" s="42" t="s">
        <v>206</v>
      </c>
      <c r="B632" s="47"/>
      <c r="C632" s="8"/>
      <c r="D632" s="8"/>
      <c r="E632" s="9"/>
      <c r="F632" s="10"/>
      <c r="G632" s="9"/>
      <c r="H632" s="11"/>
      <c r="I632" s="9" t="s">
        <v>13</v>
      </c>
      <c r="J632" s="44"/>
    </row>
    <row r="633">
      <c r="A633" s="42" t="s">
        <v>206</v>
      </c>
      <c r="B633" s="47"/>
      <c r="C633" s="8"/>
      <c r="D633" s="8"/>
      <c r="E633" s="9"/>
      <c r="F633" s="10"/>
      <c r="G633" s="9"/>
      <c r="H633" s="11"/>
      <c r="I633" s="9" t="s">
        <v>13</v>
      </c>
      <c r="J633" s="44"/>
    </row>
    <row r="634">
      <c r="A634" s="42" t="s">
        <v>206</v>
      </c>
      <c r="B634" s="47"/>
      <c r="C634" s="8"/>
      <c r="D634" s="8"/>
      <c r="E634" s="9"/>
      <c r="F634" s="10"/>
      <c r="G634" s="9"/>
      <c r="H634" s="11"/>
      <c r="I634" s="9" t="s">
        <v>13</v>
      </c>
      <c r="J634" s="44"/>
    </row>
    <row r="635">
      <c r="A635" s="42" t="s">
        <v>206</v>
      </c>
      <c r="B635" s="47"/>
      <c r="C635" s="8"/>
      <c r="D635" s="8"/>
      <c r="E635" s="9"/>
      <c r="F635" s="10"/>
      <c r="G635" s="9"/>
      <c r="H635" s="11"/>
      <c r="I635" s="9" t="s">
        <v>13</v>
      </c>
      <c r="J635" s="44"/>
    </row>
    <row r="636">
      <c r="A636" s="42" t="s">
        <v>206</v>
      </c>
      <c r="B636" s="47"/>
      <c r="C636" s="8"/>
      <c r="D636" s="8"/>
      <c r="E636" s="9"/>
      <c r="F636" s="10"/>
      <c r="G636" s="9"/>
      <c r="H636" s="11"/>
      <c r="I636" s="9" t="s">
        <v>13</v>
      </c>
      <c r="J636" s="44"/>
    </row>
    <row r="637">
      <c r="A637" s="42" t="s">
        <v>206</v>
      </c>
      <c r="B637" s="47"/>
      <c r="C637" s="8"/>
      <c r="D637" s="8"/>
      <c r="E637" s="9"/>
      <c r="F637" s="10"/>
      <c r="G637" s="9"/>
      <c r="H637" s="11"/>
      <c r="I637" s="9" t="s">
        <v>13</v>
      </c>
      <c r="J637" s="44"/>
    </row>
    <row r="638">
      <c r="A638" s="42" t="s">
        <v>206</v>
      </c>
      <c r="B638" s="47"/>
      <c r="C638" s="8"/>
      <c r="D638" s="8"/>
      <c r="E638" s="9"/>
      <c r="F638" s="10"/>
      <c r="G638" s="9"/>
      <c r="H638" s="11"/>
      <c r="I638" s="9" t="s">
        <v>13</v>
      </c>
      <c r="J638" s="44"/>
    </row>
    <row r="639">
      <c r="A639" s="42" t="s">
        <v>206</v>
      </c>
      <c r="B639" s="47"/>
      <c r="C639" s="8"/>
      <c r="D639" s="8"/>
      <c r="E639" s="9"/>
      <c r="F639" s="10"/>
      <c r="G639" s="9"/>
      <c r="H639" s="11"/>
      <c r="I639" s="9" t="s">
        <v>13</v>
      </c>
      <c r="J639" s="44"/>
    </row>
    <row r="640">
      <c r="A640" s="42" t="s">
        <v>206</v>
      </c>
      <c r="B640" s="47"/>
      <c r="C640" s="8"/>
      <c r="D640" s="8"/>
      <c r="E640" s="9"/>
      <c r="F640" s="10"/>
      <c r="G640" s="9"/>
      <c r="H640" s="11"/>
      <c r="I640" s="9" t="s">
        <v>13</v>
      </c>
      <c r="J640" s="44"/>
    </row>
    <row r="641">
      <c r="A641" s="42" t="s">
        <v>206</v>
      </c>
      <c r="B641" s="47"/>
      <c r="C641" s="8"/>
      <c r="D641" s="8"/>
      <c r="E641" s="9"/>
      <c r="F641" s="10"/>
      <c r="G641" s="9"/>
      <c r="H641" s="11"/>
      <c r="I641" s="9" t="s">
        <v>13</v>
      </c>
      <c r="J641" s="44"/>
    </row>
    <row r="642">
      <c r="A642" s="42" t="s">
        <v>206</v>
      </c>
      <c r="B642" s="47"/>
      <c r="C642" s="8"/>
      <c r="D642" s="8"/>
      <c r="E642" s="9"/>
      <c r="F642" s="10"/>
      <c r="G642" s="9"/>
      <c r="H642" s="11"/>
      <c r="I642" s="9" t="s">
        <v>13</v>
      </c>
      <c r="J642" s="44"/>
    </row>
    <row r="643">
      <c r="A643" s="42" t="s">
        <v>206</v>
      </c>
      <c r="B643" s="47"/>
      <c r="C643" s="8"/>
      <c r="D643" s="8"/>
      <c r="E643" s="9"/>
      <c r="F643" s="10"/>
      <c r="G643" s="9"/>
      <c r="H643" s="11"/>
      <c r="I643" s="9" t="s">
        <v>13</v>
      </c>
      <c r="J643" s="44"/>
    </row>
    <row r="644">
      <c r="A644" s="42" t="s">
        <v>206</v>
      </c>
      <c r="B644" s="47"/>
      <c r="C644" s="8"/>
      <c r="D644" s="8"/>
      <c r="E644" s="9"/>
      <c r="F644" s="10"/>
      <c r="G644" s="9"/>
      <c r="H644" s="11"/>
      <c r="I644" s="9" t="s">
        <v>13</v>
      </c>
      <c r="J644" s="44"/>
    </row>
    <row r="645">
      <c r="A645" s="42" t="s">
        <v>206</v>
      </c>
      <c r="B645" s="47"/>
      <c r="C645" s="8"/>
      <c r="D645" s="8"/>
      <c r="E645" s="9"/>
      <c r="F645" s="10"/>
      <c r="G645" s="9"/>
      <c r="H645" s="11"/>
      <c r="I645" s="9" t="s">
        <v>13</v>
      </c>
      <c r="J645" s="44"/>
    </row>
    <row r="646">
      <c r="A646" s="42" t="s">
        <v>206</v>
      </c>
      <c r="B646" s="47"/>
      <c r="C646" s="8"/>
      <c r="D646" s="8"/>
      <c r="E646" s="9"/>
      <c r="F646" s="10"/>
      <c r="G646" s="9"/>
      <c r="H646" s="11"/>
      <c r="I646" s="9" t="s">
        <v>13</v>
      </c>
      <c r="J646" s="44"/>
    </row>
    <row r="647">
      <c r="A647" s="42" t="s">
        <v>206</v>
      </c>
      <c r="B647" s="47"/>
      <c r="C647" s="8"/>
      <c r="D647" s="8"/>
      <c r="E647" s="9"/>
      <c r="F647" s="10"/>
      <c r="G647" s="9"/>
      <c r="H647" s="11"/>
      <c r="I647" s="9" t="s">
        <v>13</v>
      </c>
      <c r="J647" s="44"/>
    </row>
    <row r="648">
      <c r="A648" s="42" t="s">
        <v>206</v>
      </c>
      <c r="B648" s="47"/>
      <c r="C648" s="8"/>
      <c r="D648" s="8"/>
      <c r="E648" s="9"/>
      <c r="F648" s="10"/>
      <c r="G648" s="9"/>
      <c r="H648" s="11"/>
      <c r="I648" s="9" t="s">
        <v>13</v>
      </c>
      <c r="J648" s="44"/>
    </row>
    <row r="649">
      <c r="A649" s="42" t="s">
        <v>206</v>
      </c>
      <c r="B649" s="47"/>
      <c r="C649" s="8"/>
      <c r="D649" s="8"/>
      <c r="E649" s="9"/>
      <c r="F649" s="10"/>
      <c r="G649" s="9"/>
      <c r="H649" s="11"/>
      <c r="I649" s="9" t="s">
        <v>13</v>
      </c>
      <c r="J649" s="44"/>
    </row>
    <row r="650">
      <c r="A650" s="42" t="s">
        <v>206</v>
      </c>
      <c r="B650" s="47"/>
      <c r="C650" s="8"/>
      <c r="D650" s="8"/>
      <c r="E650" s="9"/>
      <c r="F650" s="10"/>
      <c r="G650" s="9"/>
      <c r="H650" s="11"/>
      <c r="I650" s="9" t="s">
        <v>13</v>
      </c>
      <c r="J650" s="44"/>
    </row>
    <row r="651">
      <c r="A651" s="42" t="s">
        <v>206</v>
      </c>
      <c r="B651" s="47"/>
      <c r="C651" s="8"/>
      <c r="D651" s="8"/>
      <c r="E651" s="9"/>
      <c r="F651" s="10"/>
      <c r="G651" s="9"/>
      <c r="H651" s="11"/>
      <c r="I651" s="9" t="s">
        <v>13</v>
      </c>
      <c r="J651" s="44"/>
    </row>
    <row r="652">
      <c r="A652" s="42" t="s">
        <v>206</v>
      </c>
      <c r="B652" s="47"/>
      <c r="C652" s="8"/>
      <c r="D652" s="8"/>
      <c r="E652" s="9"/>
      <c r="F652" s="10"/>
      <c r="G652" s="9"/>
      <c r="H652" s="11"/>
      <c r="I652" s="9" t="s">
        <v>13</v>
      </c>
      <c r="J652" s="44"/>
    </row>
    <row r="653">
      <c r="A653" s="42" t="s">
        <v>206</v>
      </c>
      <c r="B653" s="47"/>
      <c r="C653" s="8"/>
      <c r="D653" s="8"/>
      <c r="E653" s="9"/>
      <c r="F653" s="10"/>
      <c r="G653" s="9"/>
      <c r="H653" s="11"/>
      <c r="I653" s="9" t="s">
        <v>13</v>
      </c>
      <c r="J653" s="44"/>
    </row>
    <row r="654">
      <c r="A654" s="42" t="s">
        <v>206</v>
      </c>
      <c r="B654" s="47"/>
      <c r="C654" s="8"/>
      <c r="D654" s="8"/>
      <c r="E654" s="9"/>
      <c r="F654" s="10"/>
      <c r="G654" s="9"/>
      <c r="H654" s="11"/>
      <c r="I654" s="9" t="s">
        <v>13</v>
      </c>
      <c r="J654" s="44"/>
    </row>
    <row r="655">
      <c r="A655" s="42" t="s">
        <v>206</v>
      </c>
      <c r="B655" s="47"/>
      <c r="C655" s="8"/>
      <c r="D655" s="8"/>
      <c r="E655" s="9"/>
      <c r="F655" s="10"/>
      <c r="G655" s="9"/>
      <c r="H655" s="11"/>
      <c r="I655" s="9" t="s">
        <v>13</v>
      </c>
      <c r="J655" s="44"/>
    </row>
    <row r="656">
      <c r="A656" s="42" t="s">
        <v>206</v>
      </c>
      <c r="B656" s="47"/>
      <c r="C656" s="8"/>
      <c r="D656" s="8"/>
      <c r="E656" s="9"/>
      <c r="F656" s="10"/>
      <c r="G656" s="9"/>
      <c r="H656" s="11"/>
      <c r="I656" s="9" t="s">
        <v>13</v>
      </c>
      <c r="J656" s="44"/>
    </row>
    <row r="657">
      <c r="A657" s="42" t="s">
        <v>206</v>
      </c>
      <c r="B657" s="47"/>
      <c r="C657" s="8"/>
      <c r="D657" s="8"/>
      <c r="E657" s="9"/>
      <c r="F657" s="10"/>
      <c r="G657" s="9"/>
      <c r="H657" s="11"/>
      <c r="I657" s="9" t="s">
        <v>13</v>
      </c>
      <c r="J657" s="44"/>
    </row>
    <row r="658">
      <c r="A658" s="42" t="s">
        <v>206</v>
      </c>
      <c r="B658" s="47"/>
      <c r="C658" s="8"/>
      <c r="D658" s="8"/>
      <c r="E658" s="9"/>
      <c r="F658" s="10"/>
      <c r="G658" s="9"/>
      <c r="H658" s="11"/>
      <c r="I658" s="9" t="s">
        <v>13</v>
      </c>
      <c r="J658" s="44"/>
    </row>
    <row r="659">
      <c r="A659" s="42" t="s">
        <v>206</v>
      </c>
      <c r="B659" s="47"/>
      <c r="C659" s="8"/>
      <c r="D659" s="8"/>
      <c r="E659" s="9"/>
      <c r="F659" s="10"/>
      <c r="G659" s="9"/>
      <c r="H659" s="11"/>
      <c r="I659" s="9" t="s">
        <v>13</v>
      </c>
      <c r="J659" s="44"/>
    </row>
    <row r="660">
      <c r="A660" s="42" t="s">
        <v>206</v>
      </c>
      <c r="B660" s="47"/>
      <c r="C660" s="8"/>
      <c r="D660" s="8"/>
      <c r="E660" s="9"/>
      <c r="F660" s="10"/>
      <c r="G660" s="9"/>
      <c r="H660" s="11"/>
      <c r="I660" s="9" t="s">
        <v>13</v>
      </c>
      <c r="J660" s="44"/>
    </row>
    <row r="661">
      <c r="A661" s="42" t="s">
        <v>206</v>
      </c>
      <c r="B661" s="47"/>
      <c r="C661" s="8"/>
      <c r="D661" s="8"/>
      <c r="E661" s="9"/>
      <c r="F661" s="10"/>
      <c r="G661" s="9"/>
      <c r="H661" s="11"/>
      <c r="I661" s="9" t="s">
        <v>13</v>
      </c>
      <c r="J661" s="44"/>
    </row>
    <row r="662">
      <c r="A662" s="42" t="s">
        <v>206</v>
      </c>
      <c r="B662" s="47"/>
      <c r="C662" s="8"/>
      <c r="D662" s="8"/>
      <c r="E662" s="9"/>
      <c r="F662" s="10"/>
      <c r="G662" s="9"/>
      <c r="H662" s="11"/>
      <c r="I662" s="9" t="s">
        <v>13</v>
      </c>
      <c r="J662" s="44"/>
    </row>
    <row r="663">
      <c r="A663" s="42" t="s">
        <v>206</v>
      </c>
      <c r="B663" s="47"/>
      <c r="C663" s="8"/>
      <c r="D663" s="8"/>
      <c r="E663" s="9"/>
      <c r="F663" s="10"/>
      <c r="G663" s="9"/>
      <c r="H663" s="11"/>
      <c r="I663" s="9" t="s">
        <v>13</v>
      </c>
      <c r="J663" s="44"/>
    </row>
    <row r="664">
      <c r="A664" s="42" t="s">
        <v>206</v>
      </c>
      <c r="B664" s="47"/>
      <c r="C664" s="8"/>
      <c r="D664" s="8"/>
      <c r="E664" s="9"/>
      <c r="F664" s="10"/>
      <c r="G664" s="9"/>
      <c r="H664" s="11"/>
      <c r="I664" s="9" t="s">
        <v>13</v>
      </c>
      <c r="J664" s="44"/>
    </row>
    <row r="665">
      <c r="A665" s="42" t="s">
        <v>206</v>
      </c>
      <c r="B665" s="47"/>
      <c r="C665" s="8"/>
      <c r="D665" s="8"/>
      <c r="E665" s="9"/>
      <c r="F665" s="10"/>
      <c r="G665" s="9"/>
      <c r="H665" s="11"/>
      <c r="I665" s="9" t="s">
        <v>13</v>
      </c>
      <c r="J665" s="44"/>
    </row>
    <row r="666">
      <c r="A666" s="42" t="s">
        <v>206</v>
      </c>
      <c r="B666" s="47"/>
      <c r="C666" s="8"/>
      <c r="D666" s="8"/>
      <c r="E666" s="9"/>
      <c r="F666" s="10"/>
      <c r="G666" s="9"/>
      <c r="H666" s="11"/>
      <c r="I666" s="9" t="s">
        <v>13</v>
      </c>
      <c r="J666" s="44"/>
    </row>
    <row r="667">
      <c r="A667" s="42" t="s">
        <v>206</v>
      </c>
      <c r="B667" s="47"/>
      <c r="C667" s="8"/>
      <c r="D667" s="8"/>
      <c r="E667" s="9"/>
      <c r="F667" s="10"/>
      <c r="G667" s="9"/>
      <c r="H667" s="11"/>
      <c r="I667" s="9" t="s">
        <v>13</v>
      </c>
      <c r="J667" s="44"/>
    </row>
    <row r="668">
      <c r="A668" s="42" t="s">
        <v>206</v>
      </c>
      <c r="B668" s="47"/>
      <c r="C668" s="8"/>
      <c r="D668" s="8"/>
      <c r="E668" s="9"/>
      <c r="F668" s="10"/>
      <c r="G668" s="9"/>
      <c r="H668" s="11"/>
      <c r="I668" s="9" t="s">
        <v>13</v>
      </c>
      <c r="J668" s="44"/>
    </row>
    <row r="669">
      <c r="A669" s="42" t="s">
        <v>206</v>
      </c>
      <c r="B669" s="47"/>
      <c r="C669" s="8"/>
      <c r="D669" s="8"/>
      <c r="E669" s="9"/>
      <c r="F669" s="10"/>
      <c r="G669" s="9"/>
      <c r="H669" s="11"/>
      <c r="I669" s="9" t="s">
        <v>13</v>
      </c>
      <c r="J669" s="44"/>
    </row>
    <row r="670">
      <c r="A670" s="42" t="s">
        <v>206</v>
      </c>
      <c r="B670" s="47"/>
      <c r="C670" s="8"/>
      <c r="D670" s="8"/>
      <c r="E670" s="9"/>
      <c r="F670" s="10"/>
      <c r="G670" s="9"/>
      <c r="H670" s="11"/>
      <c r="I670" s="9" t="s">
        <v>13</v>
      </c>
      <c r="J670" s="44"/>
    </row>
    <row r="671">
      <c r="A671" s="42" t="s">
        <v>206</v>
      </c>
      <c r="B671" s="47"/>
      <c r="C671" s="8"/>
      <c r="D671" s="8"/>
      <c r="E671" s="9"/>
      <c r="F671" s="10"/>
      <c r="G671" s="9"/>
      <c r="H671" s="11"/>
      <c r="I671" s="9" t="s">
        <v>13</v>
      </c>
      <c r="J671" s="44"/>
    </row>
    <row r="672">
      <c r="A672" s="42" t="s">
        <v>206</v>
      </c>
      <c r="B672" s="47"/>
      <c r="C672" s="8"/>
      <c r="D672" s="8"/>
      <c r="E672" s="9"/>
      <c r="F672" s="10"/>
      <c r="G672" s="9"/>
      <c r="H672" s="11"/>
      <c r="I672" s="9" t="s">
        <v>13</v>
      </c>
      <c r="J672" s="44"/>
    </row>
    <row r="673">
      <c r="A673" s="42" t="s">
        <v>206</v>
      </c>
      <c r="B673" s="47"/>
      <c r="C673" s="8"/>
      <c r="D673" s="8"/>
      <c r="E673" s="9"/>
      <c r="F673" s="10"/>
      <c r="G673" s="9"/>
      <c r="H673" s="11"/>
      <c r="I673" s="9" t="s">
        <v>13</v>
      </c>
      <c r="J673" s="44"/>
    </row>
    <row r="674">
      <c r="A674" s="42" t="s">
        <v>206</v>
      </c>
      <c r="B674" s="47"/>
      <c r="C674" s="8"/>
      <c r="D674" s="8"/>
      <c r="E674" s="9"/>
      <c r="F674" s="10"/>
      <c r="G674" s="9"/>
      <c r="H674" s="11"/>
      <c r="I674" s="9" t="s">
        <v>13</v>
      </c>
      <c r="J674" s="44"/>
    </row>
    <row r="675">
      <c r="A675" s="42" t="s">
        <v>206</v>
      </c>
      <c r="B675" s="47"/>
      <c r="C675" s="8"/>
      <c r="D675" s="8"/>
      <c r="E675" s="9"/>
      <c r="F675" s="10"/>
      <c r="G675" s="9"/>
      <c r="H675" s="11"/>
      <c r="I675" s="9" t="s">
        <v>13</v>
      </c>
      <c r="J675" s="44"/>
    </row>
    <row r="676">
      <c r="A676" s="42" t="s">
        <v>206</v>
      </c>
      <c r="B676" s="47"/>
      <c r="C676" s="8"/>
      <c r="D676" s="8"/>
      <c r="E676" s="9"/>
      <c r="F676" s="10"/>
      <c r="G676" s="9"/>
      <c r="H676" s="11"/>
      <c r="I676" s="9" t="s">
        <v>13</v>
      </c>
      <c r="J676" s="44"/>
    </row>
    <row r="677">
      <c r="A677" s="42" t="s">
        <v>206</v>
      </c>
      <c r="B677" s="47"/>
      <c r="C677" s="8"/>
      <c r="D677" s="8"/>
      <c r="E677" s="9"/>
      <c r="F677" s="10"/>
      <c r="G677" s="9"/>
      <c r="H677" s="11"/>
      <c r="I677" s="9" t="s">
        <v>13</v>
      </c>
      <c r="J677" s="44"/>
    </row>
    <row r="678">
      <c r="A678" s="42" t="s">
        <v>206</v>
      </c>
      <c r="B678" s="47"/>
      <c r="C678" s="8"/>
      <c r="D678" s="8"/>
      <c r="E678" s="9"/>
      <c r="F678" s="10"/>
      <c r="G678" s="9"/>
      <c r="H678" s="11"/>
      <c r="I678" s="9" t="s">
        <v>13</v>
      </c>
      <c r="J678" s="44"/>
    </row>
    <row r="679">
      <c r="A679" s="42" t="s">
        <v>206</v>
      </c>
      <c r="B679" s="47"/>
      <c r="C679" s="8"/>
      <c r="D679" s="8"/>
      <c r="E679" s="9"/>
      <c r="F679" s="10"/>
      <c r="G679" s="9"/>
      <c r="H679" s="11"/>
      <c r="I679" s="9" t="s">
        <v>13</v>
      </c>
      <c r="J679" s="44"/>
    </row>
    <row r="680">
      <c r="A680" s="42" t="s">
        <v>206</v>
      </c>
      <c r="B680" s="47"/>
      <c r="C680" s="8"/>
      <c r="D680" s="8"/>
      <c r="E680" s="9"/>
      <c r="F680" s="10"/>
      <c r="G680" s="9"/>
      <c r="H680" s="11"/>
      <c r="I680" s="9" t="s">
        <v>13</v>
      </c>
      <c r="J680" s="44"/>
    </row>
    <row r="681">
      <c r="A681" s="42" t="s">
        <v>206</v>
      </c>
      <c r="B681" s="47"/>
      <c r="C681" s="8"/>
      <c r="D681" s="8"/>
      <c r="E681" s="9"/>
      <c r="F681" s="10"/>
      <c r="G681" s="9"/>
      <c r="H681" s="11"/>
      <c r="I681" s="9" t="s">
        <v>13</v>
      </c>
      <c r="J681" s="44"/>
    </row>
    <row r="682">
      <c r="A682" s="42" t="s">
        <v>206</v>
      </c>
      <c r="B682" s="47"/>
      <c r="C682" s="8"/>
      <c r="D682" s="8"/>
      <c r="E682" s="9"/>
      <c r="F682" s="10"/>
      <c r="G682" s="9"/>
      <c r="H682" s="11"/>
      <c r="I682" s="9" t="s">
        <v>13</v>
      </c>
      <c r="J682" s="44"/>
    </row>
    <row r="683">
      <c r="A683" s="42" t="s">
        <v>206</v>
      </c>
      <c r="B683" s="47"/>
      <c r="C683" s="8"/>
      <c r="D683" s="8"/>
      <c r="E683" s="9"/>
      <c r="F683" s="10"/>
      <c r="G683" s="9"/>
      <c r="H683" s="11"/>
      <c r="I683" s="9" t="s">
        <v>13</v>
      </c>
      <c r="J683" s="44"/>
    </row>
    <row r="684">
      <c r="A684" s="42" t="s">
        <v>206</v>
      </c>
      <c r="B684" s="47"/>
      <c r="C684" s="8"/>
      <c r="D684" s="8"/>
      <c r="E684" s="9"/>
      <c r="F684" s="10"/>
      <c r="G684" s="9"/>
      <c r="H684" s="11"/>
      <c r="I684" s="9" t="s">
        <v>13</v>
      </c>
      <c r="J684" s="44"/>
    </row>
    <row r="685">
      <c r="A685" s="42" t="s">
        <v>206</v>
      </c>
      <c r="B685" s="47"/>
      <c r="C685" s="8"/>
      <c r="D685" s="8"/>
      <c r="E685" s="9"/>
      <c r="F685" s="10"/>
      <c r="G685" s="9"/>
      <c r="H685" s="11"/>
      <c r="I685" s="9" t="s">
        <v>13</v>
      </c>
      <c r="J685" s="44"/>
    </row>
    <row r="686">
      <c r="A686" s="42" t="s">
        <v>206</v>
      </c>
      <c r="B686" s="47"/>
      <c r="C686" s="8"/>
      <c r="D686" s="8"/>
      <c r="E686" s="9"/>
      <c r="F686" s="10"/>
      <c r="G686" s="9"/>
      <c r="H686" s="11"/>
      <c r="I686" s="9" t="s">
        <v>13</v>
      </c>
      <c r="J686" s="44"/>
    </row>
    <row r="687">
      <c r="A687" s="42" t="s">
        <v>206</v>
      </c>
      <c r="B687" s="47"/>
      <c r="C687" s="8"/>
      <c r="D687" s="8"/>
      <c r="E687" s="9"/>
      <c r="F687" s="10"/>
      <c r="G687" s="9"/>
      <c r="H687" s="11"/>
      <c r="I687" s="9" t="s">
        <v>13</v>
      </c>
      <c r="J687" s="44"/>
    </row>
    <row r="688">
      <c r="A688" s="42" t="s">
        <v>206</v>
      </c>
      <c r="B688" s="47"/>
      <c r="C688" s="8"/>
      <c r="D688" s="8"/>
      <c r="E688" s="9"/>
      <c r="F688" s="10"/>
      <c r="G688" s="9"/>
      <c r="H688" s="11"/>
      <c r="I688" s="9" t="s">
        <v>13</v>
      </c>
      <c r="J688" s="44"/>
    </row>
    <row r="689">
      <c r="A689" s="42" t="s">
        <v>206</v>
      </c>
      <c r="B689" s="47"/>
      <c r="C689" s="8"/>
      <c r="D689" s="8"/>
      <c r="E689" s="9"/>
      <c r="F689" s="10"/>
      <c r="G689" s="9"/>
      <c r="H689" s="11"/>
      <c r="I689" s="9" t="s">
        <v>13</v>
      </c>
      <c r="J689" s="44"/>
    </row>
    <row r="690">
      <c r="A690" s="42" t="s">
        <v>206</v>
      </c>
      <c r="B690" s="47"/>
      <c r="C690" s="8"/>
      <c r="D690" s="8"/>
      <c r="E690" s="9"/>
      <c r="F690" s="10"/>
      <c r="G690" s="9"/>
      <c r="H690" s="11"/>
      <c r="I690" s="9" t="s">
        <v>13</v>
      </c>
      <c r="J690" s="44"/>
    </row>
    <row r="691">
      <c r="A691" s="42" t="s">
        <v>206</v>
      </c>
      <c r="B691" s="47"/>
      <c r="C691" s="8"/>
      <c r="D691" s="8"/>
      <c r="E691" s="9"/>
      <c r="F691" s="10"/>
      <c r="G691" s="9"/>
      <c r="H691" s="11"/>
      <c r="I691" s="9" t="s">
        <v>13</v>
      </c>
      <c r="J691" s="44"/>
    </row>
    <row r="692">
      <c r="A692" s="42" t="s">
        <v>206</v>
      </c>
      <c r="B692" s="47"/>
      <c r="C692" s="8"/>
      <c r="D692" s="8"/>
      <c r="E692" s="9"/>
      <c r="F692" s="10"/>
      <c r="G692" s="9"/>
      <c r="H692" s="11"/>
      <c r="I692" s="9" t="s">
        <v>13</v>
      </c>
      <c r="J692" s="44"/>
    </row>
    <row r="693">
      <c r="A693" s="42" t="s">
        <v>206</v>
      </c>
      <c r="B693" s="47"/>
      <c r="C693" s="8"/>
      <c r="D693" s="8"/>
      <c r="E693" s="9"/>
      <c r="F693" s="10"/>
      <c r="G693" s="9"/>
      <c r="H693" s="11"/>
      <c r="I693" s="9" t="s">
        <v>13</v>
      </c>
      <c r="J693" s="44"/>
    </row>
    <row r="694">
      <c r="A694" s="42" t="s">
        <v>206</v>
      </c>
      <c r="B694" s="47"/>
      <c r="C694" s="8"/>
      <c r="D694" s="8"/>
      <c r="E694" s="9"/>
      <c r="F694" s="10"/>
      <c r="G694" s="9"/>
      <c r="H694" s="11"/>
      <c r="I694" s="9" t="s">
        <v>13</v>
      </c>
      <c r="J694" s="44"/>
    </row>
    <row r="695">
      <c r="A695" s="42" t="s">
        <v>206</v>
      </c>
      <c r="B695" s="47"/>
      <c r="C695" s="8"/>
      <c r="D695" s="8"/>
      <c r="E695" s="9"/>
      <c r="F695" s="10"/>
      <c r="G695" s="9"/>
      <c r="H695" s="11"/>
      <c r="I695" s="9" t="s">
        <v>13</v>
      </c>
      <c r="J695" s="44"/>
    </row>
    <row r="696">
      <c r="A696" s="42" t="s">
        <v>206</v>
      </c>
      <c r="B696" s="47"/>
      <c r="C696" s="8"/>
      <c r="D696" s="8"/>
      <c r="E696" s="9"/>
      <c r="F696" s="10"/>
      <c r="G696" s="9"/>
      <c r="H696" s="11"/>
      <c r="I696" s="9" t="s">
        <v>13</v>
      </c>
      <c r="J696" s="44"/>
    </row>
    <row r="697">
      <c r="A697" s="42" t="s">
        <v>206</v>
      </c>
      <c r="B697" s="47"/>
      <c r="C697" s="8"/>
      <c r="D697" s="8"/>
      <c r="E697" s="9"/>
      <c r="F697" s="10"/>
      <c r="G697" s="9"/>
      <c r="H697" s="11"/>
      <c r="I697" s="9" t="s">
        <v>13</v>
      </c>
      <c r="J697" s="44"/>
    </row>
    <row r="698">
      <c r="A698" s="42" t="s">
        <v>206</v>
      </c>
      <c r="B698" s="47"/>
      <c r="C698" s="8"/>
      <c r="D698" s="8"/>
      <c r="E698" s="9"/>
      <c r="F698" s="10"/>
      <c r="G698" s="9"/>
      <c r="H698" s="11"/>
      <c r="I698" s="9" t="s">
        <v>13</v>
      </c>
      <c r="J698" s="44"/>
    </row>
    <row r="699">
      <c r="A699" s="42" t="s">
        <v>206</v>
      </c>
      <c r="B699" s="47"/>
      <c r="C699" s="8"/>
      <c r="D699" s="8"/>
      <c r="E699" s="9"/>
      <c r="F699" s="10"/>
      <c r="G699" s="9"/>
      <c r="H699" s="11"/>
      <c r="I699" s="9" t="s">
        <v>13</v>
      </c>
      <c r="J699" s="44"/>
    </row>
    <row r="700">
      <c r="A700" s="42" t="s">
        <v>206</v>
      </c>
      <c r="B700" s="47"/>
      <c r="C700" s="8"/>
      <c r="D700" s="8"/>
      <c r="E700" s="9"/>
      <c r="F700" s="10"/>
      <c r="G700" s="9"/>
      <c r="H700" s="11"/>
      <c r="I700" s="9" t="s">
        <v>13</v>
      </c>
      <c r="J700" s="44"/>
    </row>
    <row r="701">
      <c r="A701" s="42" t="s">
        <v>206</v>
      </c>
      <c r="B701" s="47"/>
      <c r="C701" s="8"/>
      <c r="D701" s="8"/>
      <c r="E701" s="9"/>
      <c r="F701" s="10"/>
      <c r="G701" s="9"/>
      <c r="H701" s="11"/>
      <c r="I701" s="9" t="s">
        <v>13</v>
      </c>
      <c r="J701" s="44"/>
    </row>
    <row r="702">
      <c r="A702" s="42" t="s">
        <v>206</v>
      </c>
      <c r="B702" s="47"/>
      <c r="C702" s="8"/>
      <c r="D702" s="8"/>
      <c r="E702" s="9"/>
      <c r="F702" s="10"/>
      <c r="G702" s="9"/>
      <c r="H702" s="11"/>
      <c r="I702" s="9" t="s">
        <v>13</v>
      </c>
      <c r="J702" s="44"/>
    </row>
    <row r="703">
      <c r="A703" s="42" t="s">
        <v>206</v>
      </c>
      <c r="B703" s="47"/>
      <c r="C703" s="8"/>
      <c r="D703" s="8"/>
      <c r="E703" s="9"/>
      <c r="F703" s="10"/>
      <c r="G703" s="9"/>
      <c r="H703" s="11"/>
      <c r="I703" s="9" t="s">
        <v>13</v>
      </c>
      <c r="J703" s="44"/>
    </row>
    <row r="704">
      <c r="A704" s="42" t="s">
        <v>206</v>
      </c>
      <c r="B704" s="47"/>
      <c r="C704" s="8"/>
      <c r="D704" s="8"/>
      <c r="E704" s="9"/>
      <c r="F704" s="10"/>
      <c r="G704" s="9"/>
      <c r="H704" s="11"/>
      <c r="I704" s="9" t="s">
        <v>13</v>
      </c>
      <c r="J704" s="44"/>
    </row>
    <row r="705">
      <c r="A705" s="42" t="s">
        <v>206</v>
      </c>
      <c r="B705" s="47"/>
      <c r="C705" s="8"/>
      <c r="D705" s="8"/>
      <c r="E705" s="9"/>
      <c r="F705" s="10"/>
      <c r="G705" s="9"/>
      <c r="H705" s="11"/>
      <c r="I705" s="9" t="s">
        <v>13</v>
      </c>
      <c r="J705" s="44"/>
    </row>
    <row r="706">
      <c r="A706" s="42" t="s">
        <v>206</v>
      </c>
      <c r="B706" s="47"/>
      <c r="C706" s="8"/>
      <c r="D706" s="8"/>
      <c r="E706" s="9"/>
      <c r="F706" s="10"/>
      <c r="G706" s="9"/>
      <c r="H706" s="11"/>
      <c r="I706" s="9" t="s">
        <v>13</v>
      </c>
      <c r="J706" s="44"/>
    </row>
    <row r="707">
      <c r="A707" s="42" t="s">
        <v>206</v>
      </c>
      <c r="B707" s="47"/>
      <c r="C707" s="8"/>
      <c r="D707" s="8"/>
      <c r="E707" s="9"/>
      <c r="F707" s="10"/>
      <c r="G707" s="9"/>
      <c r="H707" s="11"/>
      <c r="I707" s="9" t="s">
        <v>13</v>
      </c>
      <c r="J707" s="44"/>
    </row>
    <row r="708">
      <c r="A708" s="42" t="s">
        <v>206</v>
      </c>
      <c r="B708" s="47"/>
      <c r="C708" s="8"/>
      <c r="D708" s="8"/>
      <c r="E708" s="9"/>
      <c r="F708" s="10"/>
      <c r="G708" s="9"/>
      <c r="H708" s="11"/>
      <c r="I708" s="9" t="s">
        <v>13</v>
      </c>
      <c r="J708" s="44"/>
    </row>
    <row r="709">
      <c r="A709" s="42" t="s">
        <v>206</v>
      </c>
      <c r="B709" s="47"/>
      <c r="C709" s="8"/>
      <c r="D709" s="8"/>
      <c r="E709" s="9"/>
      <c r="F709" s="10"/>
      <c r="G709" s="9"/>
      <c r="H709" s="11"/>
      <c r="I709" s="9" t="s">
        <v>13</v>
      </c>
      <c r="J709" s="44"/>
    </row>
    <row r="710">
      <c r="A710" s="42" t="s">
        <v>206</v>
      </c>
      <c r="B710" s="47"/>
      <c r="C710" s="8"/>
      <c r="D710" s="8"/>
      <c r="E710" s="9"/>
      <c r="F710" s="10"/>
      <c r="G710" s="9"/>
      <c r="H710" s="11"/>
      <c r="I710" s="9" t="s">
        <v>13</v>
      </c>
      <c r="J710" s="44"/>
    </row>
    <row r="711">
      <c r="A711" s="42" t="s">
        <v>206</v>
      </c>
      <c r="B711" s="47"/>
      <c r="C711" s="8"/>
      <c r="D711" s="8"/>
      <c r="E711" s="9"/>
      <c r="F711" s="10"/>
      <c r="G711" s="9"/>
      <c r="H711" s="11"/>
      <c r="I711" s="9" t="s">
        <v>13</v>
      </c>
      <c r="J711" s="44"/>
    </row>
    <row r="712">
      <c r="A712" s="42" t="s">
        <v>206</v>
      </c>
      <c r="B712" s="47"/>
      <c r="C712" s="8"/>
      <c r="D712" s="8"/>
      <c r="E712" s="9"/>
      <c r="F712" s="10"/>
      <c r="G712" s="9"/>
      <c r="H712" s="11"/>
      <c r="I712" s="9" t="s">
        <v>13</v>
      </c>
      <c r="J712" s="44"/>
    </row>
    <row r="713">
      <c r="A713" s="42" t="s">
        <v>206</v>
      </c>
      <c r="B713" s="47"/>
      <c r="C713" s="8"/>
      <c r="D713" s="8"/>
      <c r="E713" s="9"/>
      <c r="F713" s="10"/>
      <c r="G713" s="9"/>
      <c r="H713" s="11"/>
      <c r="I713" s="9" t="s">
        <v>13</v>
      </c>
      <c r="J713" s="44"/>
    </row>
    <row r="714">
      <c r="A714" s="42" t="s">
        <v>206</v>
      </c>
      <c r="B714" s="47"/>
      <c r="C714" s="8"/>
      <c r="D714" s="8"/>
      <c r="E714" s="9"/>
      <c r="F714" s="10"/>
      <c r="G714" s="9"/>
      <c r="H714" s="11"/>
      <c r="I714" s="9" t="s">
        <v>13</v>
      </c>
      <c r="J714" s="44"/>
    </row>
    <row r="715">
      <c r="A715" s="42" t="s">
        <v>206</v>
      </c>
      <c r="B715" s="47"/>
      <c r="C715" s="8"/>
      <c r="D715" s="8"/>
      <c r="E715" s="9"/>
      <c r="F715" s="10"/>
      <c r="G715" s="9"/>
      <c r="H715" s="11"/>
      <c r="I715" s="9" t="s">
        <v>13</v>
      </c>
      <c r="J715" s="44"/>
    </row>
    <row r="716">
      <c r="A716" s="42" t="s">
        <v>206</v>
      </c>
      <c r="B716" s="47"/>
      <c r="C716" s="8"/>
      <c r="D716" s="8"/>
      <c r="E716" s="9"/>
      <c r="F716" s="10"/>
      <c r="G716" s="9"/>
      <c r="H716" s="11"/>
      <c r="I716" s="9" t="s">
        <v>13</v>
      </c>
      <c r="J716" s="44"/>
    </row>
    <row r="717">
      <c r="A717" s="42" t="s">
        <v>206</v>
      </c>
      <c r="B717" s="47"/>
      <c r="C717" s="8"/>
      <c r="D717" s="8"/>
      <c r="E717" s="9"/>
      <c r="F717" s="10"/>
      <c r="G717" s="9"/>
      <c r="H717" s="11"/>
      <c r="I717" s="9" t="s">
        <v>13</v>
      </c>
      <c r="J717" s="44"/>
    </row>
    <row r="718">
      <c r="A718" s="42" t="s">
        <v>206</v>
      </c>
      <c r="B718" s="47"/>
      <c r="C718" s="8"/>
      <c r="D718" s="8"/>
      <c r="E718" s="9"/>
      <c r="F718" s="10"/>
      <c r="G718" s="9"/>
      <c r="H718" s="11"/>
      <c r="I718" s="9" t="s">
        <v>13</v>
      </c>
      <c r="J718" s="44"/>
    </row>
    <row r="719">
      <c r="A719" s="42" t="s">
        <v>206</v>
      </c>
      <c r="B719" s="47"/>
      <c r="C719" s="8"/>
      <c r="D719" s="8"/>
      <c r="E719" s="9"/>
      <c r="F719" s="10"/>
      <c r="G719" s="9"/>
      <c r="H719" s="11"/>
      <c r="I719" s="9" t="s">
        <v>13</v>
      </c>
      <c r="J719" s="44"/>
    </row>
    <row r="720">
      <c r="A720" s="42" t="s">
        <v>206</v>
      </c>
      <c r="B720" s="47"/>
      <c r="C720" s="8"/>
      <c r="D720" s="8"/>
      <c r="E720" s="9"/>
      <c r="F720" s="10"/>
      <c r="G720" s="9"/>
      <c r="H720" s="11"/>
      <c r="I720" s="9" t="s">
        <v>13</v>
      </c>
      <c r="J720" s="44"/>
    </row>
    <row r="721">
      <c r="A721" s="42" t="s">
        <v>206</v>
      </c>
      <c r="B721" s="47"/>
      <c r="C721" s="8"/>
      <c r="D721" s="8"/>
      <c r="E721" s="9"/>
      <c r="F721" s="10"/>
      <c r="G721" s="9"/>
      <c r="H721" s="11"/>
      <c r="I721" s="9" t="s">
        <v>13</v>
      </c>
      <c r="J721" s="44"/>
    </row>
    <row r="722">
      <c r="A722" s="42" t="s">
        <v>206</v>
      </c>
      <c r="B722" s="47"/>
      <c r="C722" s="8"/>
      <c r="D722" s="8"/>
      <c r="E722" s="9"/>
      <c r="F722" s="10"/>
      <c r="G722" s="9"/>
      <c r="H722" s="11"/>
      <c r="I722" s="9" t="s">
        <v>13</v>
      </c>
      <c r="J722" s="44"/>
    </row>
    <row r="723">
      <c r="A723" s="42" t="s">
        <v>206</v>
      </c>
      <c r="B723" s="47"/>
      <c r="C723" s="8"/>
      <c r="D723" s="8"/>
      <c r="E723" s="9"/>
      <c r="F723" s="10"/>
      <c r="G723" s="9"/>
      <c r="H723" s="11"/>
      <c r="I723" s="9" t="s">
        <v>13</v>
      </c>
      <c r="J723" s="44"/>
    </row>
    <row r="724">
      <c r="A724" s="42" t="s">
        <v>206</v>
      </c>
      <c r="B724" s="47"/>
      <c r="C724" s="8"/>
      <c r="D724" s="8"/>
      <c r="E724" s="9"/>
      <c r="F724" s="10"/>
      <c r="G724" s="9"/>
      <c r="H724" s="11"/>
      <c r="I724" s="9" t="s">
        <v>13</v>
      </c>
      <c r="J724" s="44"/>
    </row>
    <row r="725">
      <c r="A725" s="42" t="s">
        <v>206</v>
      </c>
      <c r="B725" s="47"/>
      <c r="C725" s="8"/>
      <c r="D725" s="8"/>
      <c r="E725" s="9"/>
      <c r="F725" s="10"/>
      <c r="G725" s="9"/>
      <c r="H725" s="11"/>
      <c r="I725" s="9" t="s">
        <v>13</v>
      </c>
      <c r="J725" s="44"/>
    </row>
    <row r="726">
      <c r="A726" s="42" t="s">
        <v>206</v>
      </c>
      <c r="B726" s="47"/>
      <c r="C726" s="8"/>
      <c r="D726" s="8"/>
      <c r="E726" s="9"/>
      <c r="F726" s="10"/>
      <c r="G726" s="9"/>
      <c r="H726" s="11"/>
      <c r="I726" s="9" t="s">
        <v>13</v>
      </c>
      <c r="J726" s="44"/>
    </row>
    <row r="727">
      <c r="A727" s="42" t="s">
        <v>206</v>
      </c>
      <c r="B727" s="47"/>
      <c r="C727" s="8"/>
      <c r="D727" s="8"/>
      <c r="E727" s="9"/>
      <c r="F727" s="10"/>
      <c r="G727" s="9"/>
      <c r="H727" s="11"/>
      <c r="I727" s="9" t="s">
        <v>13</v>
      </c>
      <c r="J727" s="44"/>
    </row>
    <row r="728">
      <c r="A728" s="42" t="s">
        <v>206</v>
      </c>
      <c r="B728" s="47"/>
      <c r="C728" s="8"/>
      <c r="D728" s="8"/>
      <c r="E728" s="9"/>
      <c r="F728" s="10"/>
      <c r="G728" s="9"/>
      <c r="H728" s="11"/>
      <c r="I728" s="9" t="s">
        <v>13</v>
      </c>
      <c r="J728" s="44"/>
    </row>
    <row r="729">
      <c r="A729" s="42" t="s">
        <v>206</v>
      </c>
      <c r="B729" s="47"/>
      <c r="C729" s="8"/>
      <c r="D729" s="8"/>
      <c r="E729" s="9"/>
      <c r="F729" s="10"/>
      <c r="G729" s="9"/>
      <c r="H729" s="11"/>
      <c r="I729" s="9" t="s">
        <v>13</v>
      </c>
      <c r="J729" s="44"/>
    </row>
    <row r="730">
      <c r="A730" s="42" t="s">
        <v>206</v>
      </c>
      <c r="B730" s="47"/>
      <c r="C730" s="8"/>
      <c r="D730" s="8"/>
      <c r="E730" s="9"/>
      <c r="F730" s="10"/>
      <c r="G730" s="9"/>
      <c r="H730" s="11"/>
      <c r="I730" s="9" t="s">
        <v>13</v>
      </c>
      <c r="J730" s="44"/>
    </row>
    <row r="731">
      <c r="A731" s="42" t="s">
        <v>206</v>
      </c>
      <c r="B731" s="47"/>
      <c r="C731" s="8"/>
      <c r="D731" s="8"/>
      <c r="E731" s="9"/>
      <c r="F731" s="10"/>
      <c r="G731" s="9"/>
      <c r="H731" s="11"/>
      <c r="I731" s="9" t="s">
        <v>13</v>
      </c>
      <c r="J731" s="44"/>
    </row>
    <row r="732">
      <c r="A732" s="42" t="s">
        <v>206</v>
      </c>
      <c r="B732" s="47"/>
      <c r="C732" s="8"/>
      <c r="D732" s="8"/>
      <c r="E732" s="9"/>
      <c r="F732" s="10"/>
      <c r="G732" s="9"/>
      <c r="H732" s="11"/>
      <c r="I732" s="9" t="s">
        <v>13</v>
      </c>
      <c r="J732" s="44"/>
    </row>
    <row r="733">
      <c r="A733" s="42" t="s">
        <v>206</v>
      </c>
      <c r="B733" s="47"/>
      <c r="C733" s="8"/>
      <c r="D733" s="8"/>
      <c r="E733" s="9"/>
      <c r="F733" s="10"/>
      <c r="G733" s="9"/>
      <c r="H733" s="11"/>
      <c r="I733" s="9" t="s">
        <v>13</v>
      </c>
      <c r="J733" s="44"/>
    </row>
    <row r="734">
      <c r="A734" s="42" t="s">
        <v>206</v>
      </c>
      <c r="B734" s="47"/>
      <c r="C734" s="8"/>
      <c r="D734" s="8"/>
      <c r="E734" s="9"/>
      <c r="F734" s="10"/>
      <c r="G734" s="9"/>
      <c r="H734" s="11"/>
      <c r="I734" s="9" t="s">
        <v>13</v>
      </c>
      <c r="J734" s="44"/>
    </row>
    <row r="735">
      <c r="A735" s="42" t="s">
        <v>206</v>
      </c>
      <c r="B735" s="47"/>
      <c r="C735" s="8"/>
      <c r="D735" s="8"/>
      <c r="E735" s="9"/>
      <c r="F735" s="10"/>
      <c r="G735" s="9"/>
      <c r="H735" s="11"/>
      <c r="I735" s="9" t="s">
        <v>13</v>
      </c>
      <c r="J735" s="44"/>
    </row>
    <row r="736">
      <c r="A736" s="42" t="s">
        <v>206</v>
      </c>
      <c r="B736" s="47"/>
      <c r="C736" s="8"/>
      <c r="D736" s="8"/>
      <c r="E736" s="9"/>
      <c r="F736" s="10"/>
      <c r="G736" s="9"/>
      <c r="H736" s="11"/>
      <c r="I736" s="9" t="s">
        <v>13</v>
      </c>
      <c r="J736" s="44"/>
    </row>
    <row r="737">
      <c r="A737" s="42" t="s">
        <v>206</v>
      </c>
      <c r="B737" s="47"/>
      <c r="C737" s="8"/>
      <c r="D737" s="8"/>
      <c r="E737" s="9"/>
      <c r="F737" s="10"/>
      <c r="G737" s="9"/>
      <c r="H737" s="11"/>
      <c r="I737" s="9" t="s">
        <v>13</v>
      </c>
      <c r="J737" s="44"/>
    </row>
    <row r="738">
      <c r="A738" s="42" t="s">
        <v>206</v>
      </c>
      <c r="B738" s="47"/>
      <c r="C738" s="8"/>
      <c r="D738" s="8"/>
      <c r="E738" s="9"/>
      <c r="F738" s="10"/>
      <c r="G738" s="9"/>
      <c r="H738" s="11"/>
      <c r="I738" s="9" t="s">
        <v>13</v>
      </c>
      <c r="J738" s="44"/>
    </row>
    <row r="739">
      <c r="A739" s="42" t="s">
        <v>206</v>
      </c>
      <c r="B739" s="47"/>
      <c r="C739" s="8"/>
      <c r="D739" s="8"/>
      <c r="E739" s="9"/>
      <c r="F739" s="10"/>
      <c r="G739" s="9"/>
      <c r="H739" s="11"/>
      <c r="I739" s="9" t="s">
        <v>13</v>
      </c>
      <c r="J739" s="44"/>
    </row>
    <row r="740">
      <c r="A740" s="42" t="s">
        <v>206</v>
      </c>
      <c r="B740" s="47"/>
      <c r="C740" s="8"/>
      <c r="D740" s="8"/>
      <c r="E740" s="9"/>
      <c r="F740" s="10"/>
      <c r="G740" s="9"/>
      <c r="H740" s="11"/>
      <c r="I740" s="9" t="s">
        <v>13</v>
      </c>
      <c r="J740" s="44"/>
    </row>
    <row r="741">
      <c r="A741" s="42" t="s">
        <v>206</v>
      </c>
      <c r="B741" s="47"/>
      <c r="C741" s="8"/>
      <c r="D741" s="8"/>
      <c r="E741" s="9"/>
      <c r="F741" s="10"/>
      <c r="G741" s="9"/>
      <c r="H741" s="11"/>
      <c r="I741" s="9" t="s">
        <v>13</v>
      </c>
      <c r="J741" s="44"/>
    </row>
    <row r="742">
      <c r="A742" s="42" t="s">
        <v>206</v>
      </c>
      <c r="B742" s="47"/>
      <c r="C742" s="8"/>
      <c r="D742" s="8"/>
      <c r="E742" s="9"/>
      <c r="F742" s="10"/>
      <c r="G742" s="9"/>
      <c r="H742" s="11"/>
      <c r="I742" s="9" t="s">
        <v>13</v>
      </c>
      <c r="J742" s="44"/>
    </row>
    <row r="743">
      <c r="A743" s="42" t="s">
        <v>206</v>
      </c>
      <c r="B743" s="47"/>
      <c r="C743" s="8"/>
      <c r="D743" s="8"/>
      <c r="E743" s="9"/>
      <c r="F743" s="10"/>
      <c r="G743" s="9"/>
      <c r="H743" s="11"/>
      <c r="I743" s="9" t="s">
        <v>13</v>
      </c>
      <c r="J743" s="44"/>
    </row>
    <row r="744">
      <c r="A744" s="42" t="s">
        <v>206</v>
      </c>
      <c r="B744" s="47"/>
      <c r="C744" s="8"/>
      <c r="D744" s="8"/>
      <c r="E744" s="9"/>
      <c r="F744" s="10"/>
      <c r="G744" s="9"/>
      <c r="H744" s="11"/>
      <c r="I744" s="9" t="s">
        <v>13</v>
      </c>
      <c r="J744" s="44"/>
    </row>
    <row r="745">
      <c r="A745" s="42" t="s">
        <v>206</v>
      </c>
      <c r="B745" s="47"/>
      <c r="C745" s="8"/>
      <c r="D745" s="8"/>
      <c r="E745" s="9"/>
      <c r="F745" s="10"/>
      <c r="G745" s="9"/>
      <c r="H745" s="11"/>
      <c r="I745" s="9" t="s">
        <v>13</v>
      </c>
      <c r="J745" s="44"/>
    </row>
    <row r="746">
      <c r="A746" s="42" t="s">
        <v>206</v>
      </c>
      <c r="B746" s="47"/>
      <c r="C746" s="8"/>
      <c r="D746" s="8"/>
      <c r="E746" s="9"/>
      <c r="F746" s="10"/>
      <c r="G746" s="9"/>
      <c r="H746" s="11"/>
      <c r="I746" s="9" t="s">
        <v>13</v>
      </c>
      <c r="J746" s="44"/>
    </row>
    <row r="747">
      <c r="A747" s="42" t="s">
        <v>206</v>
      </c>
      <c r="B747" s="47"/>
      <c r="C747" s="8"/>
      <c r="D747" s="8"/>
      <c r="E747" s="9"/>
      <c r="F747" s="10"/>
      <c r="G747" s="9"/>
      <c r="H747" s="11"/>
      <c r="I747" s="9" t="s">
        <v>13</v>
      </c>
      <c r="J747" s="44"/>
    </row>
    <row r="748">
      <c r="A748" s="42" t="s">
        <v>206</v>
      </c>
      <c r="B748" s="47"/>
      <c r="C748" s="8"/>
      <c r="D748" s="8"/>
      <c r="E748" s="9"/>
      <c r="F748" s="10"/>
      <c r="G748" s="9"/>
      <c r="H748" s="11"/>
      <c r="I748" s="9" t="s">
        <v>13</v>
      </c>
      <c r="J748" s="44"/>
    </row>
    <row r="749">
      <c r="A749" s="42" t="s">
        <v>206</v>
      </c>
      <c r="B749" s="47"/>
      <c r="C749" s="8"/>
      <c r="D749" s="8"/>
      <c r="E749" s="9"/>
      <c r="F749" s="10"/>
      <c r="G749" s="9"/>
      <c r="H749" s="11"/>
      <c r="I749" s="9" t="s">
        <v>13</v>
      </c>
      <c r="J749" s="44"/>
    </row>
    <row r="750">
      <c r="A750" s="42" t="s">
        <v>206</v>
      </c>
      <c r="B750" s="47"/>
      <c r="C750" s="8"/>
      <c r="D750" s="8"/>
      <c r="E750" s="9"/>
      <c r="F750" s="10"/>
      <c r="G750" s="9"/>
      <c r="H750" s="11"/>
      <c r="I750" s="9" t="s">
        <v>13</v>
      </c>
      <c r="J750" s="44"/>
    </row>
    <row r="751">
      <c r="A751" s="42" t="s">
        <v>206</v>
      </c>
      <c r="B751" s="47"/>
      <c r="C751" s="8"/>
      <c r="D751" s="8"/>
      <c r="E751" s="9"/>
      <c r="F751" s="10"/>
      <c r="G751" s="9"/>
      <c r="H751" s="11"/>
      <c r="I751" s="9" t="s">
        <v>13</v>
      </c>
      <c r="J751" s="44"/>
    </row>
    <row r="752">
      <c r="A752" s="42" t="s">
        <v>206</v>
      </c>
      <c r="B752" s="47"/>
      <c r="C752" s="8"/>
      <c r="D752" s="8"/>
      <c r="E752" s="9"/>
      <c r="F752" s="10"/>
      <c r="G752" s="9"/>
      <c r="H752" s="11"/>
      <c r="I752" s="9" t="s">
        <v>13</v>
      </c>
      <c r="J752" s="44"/>
    </row>
    <row r="753">
      <c r="A753" s="42" t="s">
        <v>206</v>
      </c>
      <c r="B753" s="47"/>
      <c r="C753" s="8"/>
      <c r="D753" s="8"/>
      <c r="E753" s="9"/>
      <c r="F753" s="10"/>
      <c r="G753" s="9"/>
      <c r="H753" s="11"/>
      <c r="I753" s="9" t="s">
        <v>13</v>
      </c>
      <c r="J753" s="44"/>
    </row>
    <row r="754">
      <c r="A754" s="42" t="s">
        <v>206</v>
      </c>
      <c r="B754" s="47"/>
      <c r="C754" s="8"/>
      <c r="D754" s="8"/>
      <c r="E754" s="9"/>
      <c r="F754" s="10"/>
      <c r="G754" s="9"/>
      <c r="H754" s="11"/>
      <c r="I754" s="9" t="s">
        <v>13</v>
      </c>
      <c r="J754" s="44"/>
    </row>
    <row r="755">
      <c r="A755" s="42" t="s">
        <v>206</v>
      </c>
      <c r="B755" s="47"/>
      <c r="C755" s="8"/>
      <c r="D755" s="8"/>
      <c r="E755" s="9"/>
      <c r="F755" s="10"/>
      <c r="G755" s="9"/>
      <c r="H755" s="11"/>
      <c r="I755" s="9" t="s">
        <v>13</v>
      </c>
      <c r="J755" s="44"/>
    </row>
    <row r="756">
      <c r="A756" s="42" t="s">
        <v>206</v>
      </c>
      <c r="B756" s="47"/>
      <c r="C756" s="8"/>
      <c r="D756" s="8"/>
      <c r="E756" s="9"/>
      <c r="F756" s="10"/>
      <c r="G756" s="9"/>
      <c r="H756" s="11"/>
      <c r="I756" s="9" t="s">
        <v>13</v>
      </c>
      <c r="J756" s="44"/>
    </row>
  </sheetData>
  <mergeCells count="1">
    <mergeCell ref="A1:J1"/>
  </mergeCells>
  <conditionalFormatting sqref="A1:J756">
    <cfRule type="containsText" dxfId="0" priority="1" operator="containsText" text="FAB A FAIRE">
      <formula>NOT(ISERROR(SEARCH(("FAB A FAIRE"),(A1))))</formula>
    </cfRule>
  </conditionalFormatting>
  <conditionalFormatting sqref="B3:H756">
    <cfRule type="expression" dxfId="1" priority="2">
      <formula>$G3="Stand-by"</formula>
    </cfRule>
  </conditionalFormatting>
  <conditionalFormatting sqref="G2:G756">
    <cfRule type="cellIs" dxfId="2" priority="3" operator="equal">
      <formula>"A faire"</formula>
    </cfRule>
  </conditionalFormatting>
  <conditionalFormatting sqref="G2:G756">
    <cfRule type="cellIs" dxfId="3" priority="4" operator="equal">
      <formula>"En cours"</formula>
    </cfRule>
  </conditionalFormatting>
  <conditionalFormatting sqref="B3:H756">
    <cfRule type="expression" dxfId="4" priority="5">
      <formula>$G3="Sur T.L."</formula>
    </cfRule>
  </conditionalFormatting>
  <conditionalFormatting sqref="G2:G756">
    <cfRule type="cellIs" dxfId="5" priority="6" operator="equal">
      <formula>"Attente R."</formula>
    </cfRule>
  </conditionalFormatting>
  <conditionalFormatting sqref="F2:F756">
    <cfRule type="timePeriod" dxfId="6" priority="7" timePeriod="today"/>
  </conditionalFormatting>
  <conditionalFormatting sqref="F2:F756">
    <cfRule type="expression" dxfId="7" priority="8">
      <formula>AND(ISNUMBER(F2),TRUNC(F2)&lt;TODAY())</formula>
    </cfRule>
  </conditionalFormatting>
  <conditionalFormatting sqref="G2:G756">
    <cfRule type="cellIs" dxfId="8" priority="9" operator="equal">
      <formula>"Mairie"</formula>
    </cfRule>
  </conditionalFormatting>
  <conditionalFormatting sqref="H2:H756">
    <cfRule type="containsText" dxfId="9" priority="10" operator="containsText" text="REPRISE DOSSIER CAROLE">
      <formula>NOT(ISERROR(SEARCH(("REPRISE DOSSIER CAROLE"),(H2))))</formula>
    </cfRule>
  </conditionalFormatting>
  <dataValidations>
    <dataValidation type="list" allowBlank="1" sqref="G3:G756">
      <formula1>"-,A faire,En cours,Attente R.,Stand-by,Sur T.L.,Mairie"</formula1>
    </dataValidation>
    <dataValidation type="list" allowBlank="1" sqref="E3:E756">
      <formula1>"-,M,A,S"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C7E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5.63"/>
    <col customWidth="1" min="3" max="3" width="8.25"/>
    <col customWidth="1" min="4" max="4" width="9.63"/>
    <col customWidth="1" min="5" max="5" width="7.38"/>
    <col customWidth="1" min="6" max="6" width="5.88"/>
    <col customWidth="1" min="7" max="7" width="11.75"/>
    <col customWidth="1" min="8" max="8" width="110.75"/>
    <col customWidth="1" min="9" max="9" width="9.88"/>
    <col customWidth="1" min="10" max="14" width="4.13"/>
  </cols>
  <sheetData>
    <row r="1" ht="24.0" customHeight="1">
      <c r="A1" s="48" t="s">
        <v>235</v>
      </c>
      <c r="K1" s="48"/>
      <c r="L1" s="48"/>
      <c r="M1" s="48"/>
      <c r="N1" s="48"/>
    </row>
    <row r="2">
      <c r="A2" s="49"/>
      <c r="B2" s="50" t="s">
        <v>1</v>
      </c>
      <c r="C2" s="51" t="s">
        <v>2</v>
      </c>
      <c r="D2" s="51" t="s">
        <v>3</v>
      </c>
      <c r="E2" s="52" t="s">
        <v>4</v>
      </c>
      <c r="F2" s="51" t="s">
        <v>5</v>
      </c>
      <c r="G2" s="52" t="s">
        <v>6</v>
      </c>
      <c r="H2" s="52" t="s">
        <v>7</v>
      </c>
      <c r="I2" s="52" t="s">
        <v>8</v>
      </c>
      <c r="J2" s="53"/>
      <c r="K2" s="53"/>
      <c r="L2" s="53"/>
      <c r="M2" s="53"/>
      <c r="N2" s="53"/>
    </row>
    <row r="3">
      <c r="A3" s="54" t="s">
        <v>236</v>
      </c>
      <c r="B3" s="7" t="s">
        <v>237</v>
      </c>
      <c r="C3" s="8">
        <v>45985.60063940972</v>
      </c>
      <c r="D3" s="8"/>
      <c r="E3" s="9"/>
      <c r="F3" s="10"/>
      <c r="G3" s="9" t="s">
        <v>18</v>
      </c>
      <c r="H3" s="7" t="s">
        <v>238</v>
      </c>
      <c r="I3" s="9" t="s">
        <v>13</v>
      </c>
      <c r="J3" s="55"/>
      <c r="K3" s="55"/>
      <c r="L3" s="55"/>
      <c r="M3" s="55"/>
      <c r="N3" s="55"/>
    </row>
    <row r="4">
      <c r="A4" s="54" t="s">
        <v>236</v>
      </c>
      <c r="B4" s="22" t="s">
        <v>239</v>
      </c>
      <c r="C4" s="56">
        <v>45985.61210557871</v>
      </c>
      <c r="D4" s="56"/>
      <c r="E4" s="57"/>
      <c r="F4" s="58"/>
      <c r="G4" s="57" t="s">
        <v>18</v>
      </c>
      <c r="H4" s="59" t="s">
        <v>240</v>
      </c>
      <c r="I4" s="57"/>
      <c r="J4" s="55"/>
      <c r="K4" s="55"/>
      <c r="L4" s="55"/>
      <c r="M4" s="55"/>
      <c r="N4" s="55"/>
    </row>
    <row r="5">
      <c r="A5" s="54" t="s">
        <v>236</v>
      </c>
      <c r="B5" s="7" t="s">
        <v>241</v>
      </c>
      <c r="C5" s="8">
        <v>45999.51755012732</v>
      </c>
      <c r="D5" s="8"/>
      <c r="E5" s="9"/>
      <c r="F5" s="10"/>
      <c r="G5" s="9" t="s">
        <v>18</v>
      </c>
      <c r="H5" s="60" t="s">
        <v>242</v>
      </c>
      <c r="I5" s="9" t="s">
        <v>13</v>
      </c>
      <c r="J5" s="55"/>
      <c r="K5" s="55"/>
      <c r="L5" s="55"/>
      <c r="M5" s="55"/>
      <c r="N5" s="55"/>
    </row>
    <row r="6">
      <c r="A6" s="54" t="s">
        <v>236</v>
      </c>
      <c r="B6" s="7" t="s">
        <v>243</v>
      </c>
      <c r="C6" s="8">
        <v>45999.51813813657</v>
      </c>
      <c r="D6" s="8"/>
      <c r="E6" s="9"/>
      <c r="F6" s="10"/>
      <c r="G6" s="9" t="s">
        <v>18</v>
      </c>
      <c r="H6" s="60" t="s">
        <v>244</v>
      </c>
      <c r="I6" s="9" t="s">
        <v>13</v>
      </c>
      <c r="J6" s="55"/>
      <c r="K6" s="55"/>
      <c r="L6" s="55"/>
      <c r="M6" s="55"/>
      <c r="N6" s="55"/>
    </row>
    <row r="7">
      <c r="A7" s="54" t="s">
        <v>236</v>
      </c>
      <c r="B7" s="61" t="s">
        <v>245</v>
      </c>
      <c r="C7" s="8">
        <v>45701.42950277778</v>
      </c>
      <c r="D7" s="8">
        <f t="shared" ref="D7:D9" si="1">IFERROR(_xlfn.WORKDAY.INTL(C7, 2),"-")</f>
        <v>45705</v>
      </c>
      <c r="E7" s="9" t="s">
        <v>11</v>
      </c>
      <c r="F7" s="10"/>
      <c r="G7" s="9" t="s">
        <v>246</v>
      </c>
      <c r="H7" s="7" t="s">
        <v>247</v>
      </c>
      <c r="I7" s="9" t="s">
        <v>13</v>
      </c>
      <c r="J7" s="55"/>
      <c r="K7" s="55"/>
      <c r="L7" s="55"/>
      <c r="M7" s="55"/>
      <c r="N7" s="55"/>
    </row>
    <row r="8">
      <c r="A8" s="54" t="s">
        <v>236</v>
      </c>
      <c r="B8" s="61" t="s">
        <v>248</v>
      </c>
      <c r="C8" s="8">
        <v>45701.425100520835</v>
      </c>
      <c r="D8" s="8">
        <f t="shared" si="1"/>
        <v>45705</v>
      </c>
      <c r="E8" s="9" t="s">
        <v>11</v>
      </c>
      <c r="F8" s="10"/>
      <c r="G8" s="9" t="s">
        <v>246</v>
      </c>
      <c r="H8" s="7" t="s">
        <v>249</v>
      </c>
      <c r="I8" s="9" t="s">
        <v>13</v>
      </c>
      <c r="J8" s="55"/>
      <c r="K8" s="55"/>
      <c r="L8" s="55"/>
      <c r="M8" s="55"/>
      <c r="N8" s="55"/>
    </row>
    <row r="9">
      <c r="A9" s="54" t="s">
        <v>236</v>
      </c>
      <c r="B9" s="62" t="s">
        <v>250</v>
      </c>
      <c r="C9" s="8">
        <v>45540.50930019676</v>
      </c>
      <c r="D9" s="8">
        <f t="shared" si="1"/>
        <v>45544</v>
      </c>
      <c r="E9" s="9" t="s">
        <v>11</v>
      </c>
      <c r="F9" s="10"/>
      <c r="G9" s="9" t="s">
        <v>246</v>
      </c>
      <c r="H9" s="62" t="s">
        <v>251</v>
      </c>
      <c r="I9" s="9" t="s">
        <v>13</v>
      </c>
      <c r="J9" s="55"/>
      <c r="K9" s="55"/>
      <c r="L9" s="55"/>
      <c r="M9" s="55"/>
      <c r="N9" s="55"/>
    </row>
    <row r="10">
      <c r="A10" s="54" t="s">
        <v>236</v>
      </c>
      <c r="B10" s="7" t="s">
        <v>252</v>
      </c>
      <c r="C10" s="8">
        <v>45811.36207217592</v>
      </c>
      <c r="D10" s="8"/>
      <c r="E10" s="9"/>
      <c r="F10" s="10"/>
      <c r="G10" s="9" t="s">
        <v>246</v>
      </c>
      <c r="H10" s="7" t="s">
        <v>253</v>
      </c>
      <c r="I10" s="9" t="s">
        <v>13</v>
      </c>
      <c r="J10" s="55"/>
      <c r="K10" s="55"/>
      <c r="L10" s="55"/>
      <c r="M10" s="55"/>
      <c r="N10" s="55"/>
    </row>
    <row r="11">
      <c r="A11" s="54" t="s">
        <v>236</v>
      </c>
      <c r="B11" s="7" t="s">
        <v>254</v>
      </c>
      <c r="C11" s="8">
        <v>45754.38417447917</v>
      </c>
      <c r="D11" s="8"/>
      <c r="E11" s="9"/>
      <c r="F11" s="10"/>
      <c r="G11" s="9" t="s">
        <v>246</v>
      </c>
      <c r="H11" s="7" t="s">
        <v>255</v>
      </c>
      <c r="I11" s="9" t="s">
        <v>13</v>
      </c>
      <c r="J11" s="55"/>
      <c r="K11" s="55"/>
      <c r="L11" s="55"/>
      <c r="M11" s="55"/>
      <c r="N11" s="55"/>
    </row>
    <row r="12">
      <c r="A12" s="54" t="s">
        <v>236</v>
      </c>
      <c r="B12" s="7" t="s">
        <v>256</v>
      </c>
      <c r="C12" s="8"/>
      <c r="D12" s="8"/>
      <c r="E12" s="9"/>
      <c r="F12" s="10"/>
      <c r="G12" s="9" t="s">
        <v>246</v>
      </c>
      <c r="H12" s="60" t="s">
        <v>257</v>
      </c>
      <c r="I12" s="9" t="s">
        <v>13</v>
      </c>
      <c r="J12" s="55"/>
      <c r="K12" s="55"/>
      <c r="L12" s="55"/>
      <c r="M12" s="55"/>
      <c r="N12" s="55"/>
    </row>
    <row r="13" ht="84.0" customHeight="1">
      <c r="A13" s="54" t="s">
        <v>236</v>
      </c>
      <c r="B13" s="7" t="s">
        <v>258</v>
      </c>
      <c r="C13" s="8">
        <v>45985.60475506945</v>
      </c>
      <c r="D13" s="8"/>
      <c r="E13" s="9"/>
      <c r="F13" s="10"/>
      <c r="G13" s="9" t="s">
        <v>246</v>
      </c>
      <c r="H13" s="7" t="s">
        <v>259</v>
      </c>
      <c r="I13" s="9" t="s">
        <v>13</v>
      </c>
      <c r="J13" s="55"/>
      <c r="K13" s="55"/>
      <c r="L13" s="55"/>
      <c r="M13" s="55"/>
      <c r="N13" s="55"/>
    </row>
    <row r="14">
      <c r="A14" s="54" t="s">
        <v>236</v>
      </c>
      <c r="B14" s="7" t="s">
        <v>260</v>
      </c>
      <c r="C14" s="8">
        <v>45985.646309398144</v>
      </c>
      <c r="D14" s="8"/>
      <c r="E14" s="9"/>
      <c r="F14" s="10"/>
      <c r="G14" s="9" t="s">
        <v>246</v>
      </c>
      <c r="H14" s="7" t="s">
        <v>261</v>
      </c>
      <c r="I14" s="9" t="s">
        <v>13</v>
      </c>
      <c r="J14" s="55"/>
      <c r="K14" s="55"/>
      <c r="L14" s="55"/>
      <c r="M14" s="55"/>
      <c r="N14" s="55"/>
    </row>
    <row r="15">
      <c r="A15" s="54" t="s">
        <v>236</v>
      </c>
      <c r="B15" s="7" t="s">
        <v>262</v>
      </c>
      <c r="C15" s="8">
        <v>45561.694835393515</v>
      </c>
      <c r="D15" s="8">
        <f>IFERROR(_xlfn.WORKDAY.INTL(C15, 2),"-")</f>
        <v>45565</v>
      </c>
      <c r="E15" s="9" t="s">
        <v>11</v>
      </c>
      <c r="F15" s="10"/>
      <c r="G15" s="9" t="s">
        <v>15</v>
      </c>
      <c r="H15" s="7" t="s">
        <v>263</v>
      </c>
      <c r="I15" s="9" t="s">
        <v>13</v>
      </c>
      <c r="J15" s="55"/>
      <c r="K15" s="55"/>
      <c r="L15" s="55"/>
      <c r="M15" s="55"/>
      <c r="N15" s="55"/>
    </row>
    <row r="16">
      <c r="A16" s="54" t="s">
        <v>236</v>
      </c>
      <c r="B16" s="7" t="s">
        <v>264</v>
      </c>
      <c r="C16" s="8">
        <v>45985.5944730787</v>
      </c>
      <c r="D16" s="8"/>
      <c r="E16" s="9"/>
      <c r="F16" s="10"/>
      <c r="G16" s="9" t="s">
        <v>15</v>
      </c>
      <c r="H16" s="60" t="s">
        <v>265</v>
      </c>
      <c r="I16" s="9" t="s">
        <v>13</v>
      </c>
      <c r="J16" s="55"/>
      <c r="K16" s="55"/>
      <c r="L16" s="55"/>
      <c r="M16" s="55"/>
      <c r="N16" s="55"/>
    </row>
    <row r="17">
      <c r="A17" s="54" t="s">
        <v>236</v>
      </c>
      <c r="B17" s="61" t="s">
        <v>266</v>
      </c>
      <c r="C17" s="8">
        <v>45831.47439858796</v>
      </c>
      <c r="D17" s="8"/>
      <c r="E17" s="9"/>
      <c r="F17" s="10"/>
      <c r="G17" s="9" t="s">
        <v>15</v>
      </c>
      <c r="H17" s="24" t="s">
        <v>267</v>
      </c>
      <c r="I17" s="9" t="s">
        <v>13</v>
      </c>
      <c r="J17" s="55"/>
      <c r="K17" s="55"/>
      <c r="L17" s="55"/>
      <c r="M17" s="55"/>
      <c r="N17" s="55"/>
    </row>
    <row r="18">
      <c r="A18" s="54" t="s">
        <v>236</v>
      </c>
      <c r="B18" s="7" t="s">
        <v>268</v>
      </c>
      <c r="C18" s="8">
        <v>45540.51349356482</v>
      </c>
      <c r="D18" s="8">
        <f t="shared" ref="D18:D28" si="2">IFERROR(_xlfn.WORKDAY.INTL(C18, 2),"-")</f>
        <v>45544</v>
      </c>
      <c r="E18" s="9" t="s">
        <v>11</v>
      </c>
      <c r="F18" s="10"/>
      <c r="G18" s="9" t="s">
        <v>15</v>
      </c>
      <c r="H18" s="7" t="s">
        <v>269</v>
      </c>
      <c r="I18" s="9" t="s">
        <v>13</v>
      </c>
      <c r="J18" s="55"/>
      <c r="K18" s="55"/>
      <c r="L18" s="55"/>
      <c r="M18" s="55"/>
      <c r="N18" s="55"/>
    </row>
    <row r="19">
      <c r="A19" s="54" t="s">
        <v>236</v>
      </c>
      <c r="B19" s="7" t="s">
        <v>270</v>
      </c>
      <c r="C19" s="8">
        <v>45540.50930019676</v>
      </c>
      <c r="D19" s="8">
        <f t="shared" si="2"/>
        <v>45544</v>
      </c>
      <c r="E19" s="9" t="s">
        <v>11</v>
      </c>
      <c r="F19" s="10"/>
      <c r="G19" s="9" t="s">
        <v>15</v>
      </c>
      <c r="H19" s="7" t="s">
        <v>271</v>
      </c>
      <c r="I19" s="9" t="s">
        <v>13</v>
      </c>
      <c r="J19" s="55"/>
      <c r="K19" s="55"/>
      <c r="L19" s="55"/>
      <c r="M19" s="55"/>
      <c r="N19" s="55"/>
    </row>
    <row r="20">
      <c r="A20" s="54" t="s">
        <v>236</v>
      </c>
      <c r="B20" s="7" t="s">
        <v>272</v>
      </c>
      <c r="C20" s="8">
        <v>45540.51349356482</v>
      </c>
      <c r="D20" s="8">
        <f t="shared" si="2"/>
        <v>45544</v>
      </c>
      <c r="E20" s="9" t="s">
        <v>11</v>
      </c>
      <c r="F20" s="10"/>
      <c r="G20" s="9" t="s">
        <v>15</v>
      </c>
      <c r="H20" s="7" t="s">
        <v>273</v>
      </c>
      <c r="I20" s="9" t="s">
        <v>13</v>
      </c>
      <c r="J20" s="55"/>
      <c r="K20" s="55"/>
      <c r="L20" s="55"/>
      <c r="M20" s="55"/>
      <c r="N20" s="55"/>
    </row>
    <row r="21">
      <c r="A21" s="54" t="s">
        <v>236</v>
      </c>
      <c r="B21" s="7" t="s">
        <v>274</v>
      </c>
      <c r="C21" s="8">
        <v>45540.51349356482</v>
      </c>
      <c r="D21" s="8">
        <f t="shared" si="2"/>
        <v>45544</v>
      </c>
      <c r="E21" s="9" t="s">
        <v>11</v>
      </c>
      <c r="F21" s="10"/>
      <c r="G21" s="9" t="s">
        <v>15</v>
      </c>
      <c r="H21" s="7" t="s">
        <v>275</v>
      </c>
      <c r="I21" s="9" t="s">
        <v>13</v>
      </c>
      <c r="J21" s="55"/>
      <c r="K21" s="55"/>
      <c r="L21" s="55"/>
      <c r="M21" s="55"/>
      <c r="N21" s="55"/>
    </row>
    <row r="22">
      <c r="A22" s="54" t="s">
        <v>236</v>
      </c>
      <c r="B22" s="7" t="s">
        <v>276</v>
      </c>
      <c r="C22" s="8">
        <v>45540.50930019676</v>
      </c>
      <c r="D22" s="8">
        <f t="shared" si="2"/>
        <v>45544</v>
      </c>
      <c r="E22" s="9" t="s">
        <v>11</v>
      </c>
      <c r="F22" s="10"/>
      <c r="G22" s="9" t="s">
        <v>15</v>
      </c>
      <c r="H22" s="7" t="s">
        <v>277</v>
      </c>
      <c r="I22" s="9" t="s">
        <v>13</v>
      </c>
      <c r="J22" s="55"/>
      <c r="K22" s="55"/>
      <c r="L22" s="55"/>
      <c r="M22" s="55"/>
      <c r="N22" s="55"/>
    </row>
    <row r="23">
      <c r="A23" s="54" t="s">
        <v>236</v>
      </c>
      <c r="B23" s="7" t="s">
        <v>278</v>
      </c>
      <c r="C23" s="8">
        <v>45554.6312159375</v>
      </c>
      <c r="D23" s="8">
        <f t="shared" si="2"/>
        <v>45558</v>
      </c>
      <c r="E23" s="9" t="s">
        <v>11</v>
      </c>
      <c r="F23" s="10"/>
      <c r="G23" s="9" t="s">
        <v>15</v>
      </c>
      <c r="H23" s="7" t="s">
        <v>279</v>
      </c>
      <c r="I23" s="9" t="s">
        <v>13</v>
      </c>
      <c r="J23" s="63" t="s">
        <v>280</v>
      </c>
      <c r="K23" s="63"/>
      <c r="L23" s="63"/>
      <c r="M23" s="63"/>
      <c r="N23" s="63"/>
    </row>
    <row r="24">
      <c r="A24" s="54" t="s">
        <v>236</v>
      </c>
      <c r="B24" s="7" t="s">
        <v>281</v>
      </c>
      <c r="C24" s="8">
        <v>45554.50717700231</v>
      </c>
      <c r="D24" s="8">
        <f t="shared" si="2"/>
        <v>45558</v>
      </c>
      <c r="E24" s="9" t="s">
        <v>11</v>
      </c>
      <c r="F24" s="10"/>
      <c r="G24" s="9" t="s">
        <v>15</v>
      </c>
      <c r="H24" s="7" t="s">
        <v>282</v>
      </c>
      <c r="I24" s="9" t="s">
        <v>13</v>
      </c>
      <c r="J24" s="55"/>
      <c r="K24" s="55"/>
      <c r="L24" s="55"/>
      <c r="M24" s="55"/>
      <c r="N24" s="55"/>
    </row>
    <row r="25">
      <c r="A25" s="54" t="s">
        <v>236</v>
      </c>
      <c r="B25" s="7" t="s">
        <v>283</v>
      </c>
      <c r="C25" s="8">
        <v>45554.50721456019</v>
      </c>
      <c r="D25" s="8">
        <f t="shared" si="2"/>
        <v>45558</v>
      </c>
      <c r="E25" s="9" t="s">
        <v>11</v>
      </c>
      <c r="F25" s="10"/>
      <c r="G25" s="9" t="s">
        <v>15</v>
      </c>
      <c r="H25" s="7" t="s">
        <v>284</v>
      </c>
      <c r="I25" s="9" t="s">
        <v>13</v>
      </c>
      <c r="J25" s="55"/>
      <c r="K25" s="55"/>
      <c r="L25" s="55"/>
      <c r="M25" s="55"/>
      <c r="N25" s="55"/>
    </row>
    <row r="26">
      <c r="A26" s="54" t="s">
        <v>236</v>
      </c>
      <c r="B26" s="7" t="s">
        <v>285</v>
      </c>
      <c r="C26" s="8">
        <v>45540.51349356482</v>
      </c>
      <c r="D26" s="8">
        <f t="shared" si="2"/>
        <v>45544</v>
      </c>
      <c r="E26" s="9" t="s">
        <v>11</v>
      </c>
      <c r="F26" s="10"/>
      <c r="G26" s="9" t="s">
        <v>15</v>
      </c>
      <c r="H26" s="7" t="s">
        <v>286</v>
      </c>
      <c r="I26" s="9" t="s">
        <v>13</v>
      </c>
      <c r="J26" s="55"/>
      <c r="K26" s="55"/>
      <c r="L26" s="55"/>
      <c r="M26" s="55"/>
      <c r="N26" s="55"/>
    </row>
    <row r="27">
      <c r="A27" s="54" t="s">
        <v>236</v>
      </c>
      <c r="B27" s="24" t="s">
        <v>287</v>
      </c>
      <c r="C27" s="8">
        <v>45540.51007266204</v>
      </c>
      <c r="D27" s="8">
        <f t="shared" si="2"/>
        <v>45544</v>
      </c>
      <c r="E27" s="9" t="s">
        <v>11</v>
      </c>
      <c r="F27" s="10"/>
      <c r="G27" s="9" t="s">
        <v>15</v>
      </c>
      <c r="H27" s="7" t="s">
        <v>288</v>
      </c>
      <c r="I27" s="9" t="s">
        <v>13</v>
      </c>
      <c r="J27" s="55"/>
      <c r="K27" s="55"/>
      <c r="L27" s="55"/>
      <c r="M27" s="55"/>
      <c r="N27" s="55"/>
    </row>
    <row r="28">
      <c r="A28" s="54" t="s">
        <v>236</v>
      </c>
      <c r="B28" s="7" t="s">
        <v>289</v>
      </c>
      <c r="C28" s="8">
        <v>45540.50930019676</v>
      </c>
      <c r="D28" s="8">
        <f t="shared" si="2"/>
        <v>45544</v>
      </c>
      <c r="E28" s="9" t="s">
        <v>11</v>
      </c>
      <c r="F28" s="10"/>
      <c r="G28" s="9" t="s">
        <v>15</v>
      </c>
      <c r="H28" s="7" t="s">
        <v>290</v>
      </c>
      <c r="I28" s="9" t="s">
        <v>13</v>
      </c>
      <c r="J28" s="55"/>
      <c r="K28" s="55"/>
      <c r="L28" s="55"/>
      <c r="M28" s="55"/>
      <c r="N28" s="55"/>
    </row>
    <row r="29">
      <c r="A29" s="54" t="s">
        <v>236</v>
      </c>
      <c r="B29" s="22" t="s">
        <v>291</v>
      </c>
      <c r="C29" s="56">
        <v>45540.0</v>
      </c>
      <c r="D29" s="56">
        <v>45574.0</v>
      </c>
      <c r="E29" s="57" t="s">
        <v>11</v>
      </c>
      <c r="F29" s="56"/>
      <c r="G29" s="64" t="s">
        <v>15</v>
      </c>
      <c r="H29" s="22" t="s">
        <v>292</v>
      </c>
      <c r="I29" s="65"/>
      <c r="J29" s="55"/>
      <c r="K29" s="55"/>
      <c r="L29" s="55"/>
      <c r="M29" s="55"/>
      <c r="N29" s="55"/>
    </row>
    <row r="30">
      <c r="A30" s="54" t="s">
        <v>236</v>
      </c>
      <c r="B30" s="7" t="s">
        <v>293</v>
      </c>
      <c r="C30" s="8">
        <v>45985.59845045139</v>
      </c>
      <c r="D30" s="8"/>
      <c r="E30" s="9"/>
      <c r="F30" s="10"/>
      <c r="G30" s="9" t="s">
        <v>15</v>
      </c>
      <c r="H30" s="7" t="s">
        <v>294</v>
      </c>
      <c r="I30" s="9" t="s">
        <v>13</v>
      </c>
      <c r="J30" s="55"/>
      <c r="K30" s="55"/>
      <c r="L30" s="55"/>
      <c r="M30" s="55"/>
      <c r="N30" s="55"/>
    </row>
    <row r="31">
      <c r="A31" s="54" t="s">
        <v>236</v>
      </c>
      <c r="B31" s="22" t="s">
        <v>295</v>
      </c>
      <c r="C31" s="56">
        <v>45985.64936268519</v>
      </c>
      <c r="D31" s="56"/>
      <c r="E31" s="57" t="s">
        <v>94</v>
      </c>
      <c r="F31" s="58"/>
      <c r="G31" s="57" t="s">
        <v>15</v>
      </c>
      <c r="H31" s="66" t="s">
        <v>296</v>
      </c>
      <c r="I31" s="57"/>
      <c r="J31" s="55"/>
      <c r="K31" s="55"/>
      <c r="L31" s="55"/>
      <c r="M31" s="55"/>
      <c r="N31" s="55"/>
    </row>
    <row r="32">
      <c r="A32" s="54" t="s">
        <v>236</v>
      </c>
      <c r="B32" s="22" t="s">
        <v>297</v>
      </c>
      <c r="C32" s="56">
        <v>45985.649395879635</v>
      </c>
      <c r="D32" s="56">
        <f t="shared" ref="D32:D33" si="3">IFERROR(_xlfn.WORKDAY.INTL(C32, 2),"-")</f>
        <v>45987</v>
      </c>
      <c r="E32" s="57" t="s">
        <v>88</v>
      </c>
      <c r="F32" s="58"/>
      <c r="G32" s="57" t="s">
        <v>15</v>
      </c>
      <c r="H32" s="22" t="s">
        <v>298</v>
      </c>
      <c r="I32" s="57" t="s">
        <v>13</v>
      </c>
      <c r="J32" s="55"/>
      <c r="K32" s="55"/>
      <c r="L32" s="55"/>
      <c r="M32" s="55"/>
      <c r="N32" s="55"/>
    </row>
    <row r="33">
      <c r="A33" s="54" t="s">
        <v>236</v>
      </c>
      <c r="B33" s="22" t="s">
        <v>299</v>
      </c>
      <c r="C33" s="56">
        <v>45978.4062087037</v>
      </c>
      <c r="D33" s="56">
        <f t="shared" si="3"/>
        <v>45980</v>
      </c>
      <c r="E33" s="57" t="s">
        <v>88</v>
      </c>
      <c r="F33" s="58"/>
      <c r="G33" s="57" t="s">
        <v>15</v>
      </c>
      <c r="H33" s="22" t="s">
        <v>300</v>
      </c>
      <c r="I33" s="57" t="s">
        <v>13</v>
      </c>
      <c r="J33" s="55"/>
      <c r="K33" s="55"/>
      <c r="L33" s="55"/>
      <c r="M33" s="55"/>
      <c r="N33" s="55"/>
    </row>
    <row r="34">
      <c r="A34" s="54" t="s">
        <v>236</v>
      </c>
      <c r="B34" s="7" t="s">
        <v>301</v>
      </c>
      <c r="C34" s="8">
        <v>45985.60940350694</v>
      </c>
      <c r="D34" s="8"/>
      <c r="E34" s="9"/>
      <c r="F34" s="10"/>
      <c r="G34" s="9" t="s">
        <v>15</v>
      </c>
      <c r="H34" s="7" t="s">
        <v>302</v>
      </c>
      <c r="I34" s="9" t="s">
        <v>13</v>
      </c>
      <c r="J34" s="55"/>
      <c r="K34" s="55"/>
      <c r="L34" s="55"/>
      <c r="M34" s="55"/>
      <c r="N34" s="55"/>
    </row>
    <row r="35">
      <c r="A35" s="54" t="s">
        <v>236</v>
      </c>
      <c r="B35" s="7" t="s">
        <v>303</v>
      </c>
      <c r="C35" s="8">
        <v>45999.51695452546</v>
      </c>
      <c r="D35" s="8"/>
      <c r="E35" s="9"/>
      <c r="F35" s="10"/>
      <c r="G35" s="9" t="s">
        <v>15</v>
      </c>
      <c r="H35" s="7" t="s">
        <v>304</v>
      </c>
      <c r="I35" s="9" t="s">
        <v>13</v>
      </c>
      <c r="J35" s="55"/>
      <c r="K35" s="55"/>
      <c r="L35" s="55"/>
      <c r="M35" s="55"/>
      <c r="N35" s="55"/>
    </row>
    <row r="36">
      <c r="A36" s="54" t="s">
        <v>236</v>
      </c>
      <c r="B36" s="67" t="s">
        <v>305</v>
      </c>
      <c r="C36" s="8">
        <v>45943.39266540509</v>
      </c>
      <c r="D36" s="8"/>
      <c r="E36" s="9"/>
      <c r="F36" s="10"/>
      <c r="G36" s="9" t="s">
        <v>21</v>
      </c>
      <c r="H36" s="7" t="s">
        <v>306</v>
      </c>
      <c r="I36" s="9" t="s">
        <v>13</v>
      </c>
      <c r="J36" s="55"/>
      <c r="K36" s="55"/>
      <c r="L36" s="55"/>
      <c r="M36" s="55"/>
      <c r="N36" s="55"/>
    </row>
    <row r="37">
      <c r="A37" s="54" t="s">
        <v>236</v>
      </c>
      <c r="B37" s="61" t="s">
        <v>307</v>
      </c>
      <c r="C37" s="8">
        <v>45701.44340474537</v>
      </c>
      <c r="D37" s="8">
        <f>IFERROR(_xlfn.WORKDAY.INTL(C37, 2),"-")</f>
        <v>45705</v>
      </c>
      <c r="E37" s="9" t="s">
        <v>11</v>
      </c>
      <c r="F37" s="10"/>
      <c r="G37" s="9" t="s">
        <v>21</v>
      </c>
      <c r="H37" s="62" t="s">
        <v>308</v>
      </c>
      <c r="I37" s="9" t="s">
        <v>13</v>
      </c>
      <c r="J37" s="55"/>
      <c r="K37" s="55"/>
      <c r="L37" s="55"/>
      <c r="M37" s="55"/>
      <c r="N37" s="55"/>
    </row>
    <row r="38">
      <c r="A38" s="54" t="s">
        <v>236</v>
      </c>
      <c r="B38" s="22" t="s">
        <v>309</v>
      </c>
      <c r="C38" s="56">
        <v>45985.64575619213</v>
      </c>
      <c r="D38" s="56"/>
      <c r="E38" s="57"/>
      <c r="F38" s="56"/>
      <c r="G38" s="57" t="s">
        <v>21</v>
      </c>
      <c r="H38" s="22" t="s">
        <v>310</v>
      </c>
      <c r="I38" s="57" t="s">
        <v>13</v>
      </c>
      <c r="J38" s="55"/>
      <c r="K38" s="55"/>
      <c r="L38" s="55"/>
      <c r="M38" s="55"/>
      <c r="N38" s="55"/>
    </row>
    <row r="39">
      <c r="A39" s="54" t="s">
        <v>236</v>
      </c>
      <c r="B39" s="7" t="s">
        <v>311</v>
      </c>
      <c r="C39" s="8">
        <v>45939.408788333334</v>
      </c>
      <c r="D39" s="8"/>
      <c r="E39" s="9"/>
      <c r="F39" s="10"/>
      <c r="G39" s="9" t="s">
        <v>89</v>
      </c>
      <c r="H39" s="60" t="s">
        <v>312</v>
      </c>
      <c r="I39" s="9" t="s">
        <v>13</v>
      </c>
      <c r="J39" s="55"/>
      <c r="K39" s="55"/>
      <c r="L39" s="55"/>
      <c r="M39" s="55"/>
      <c r="N39" s="55"/>
    </row>
    <row r="40">
      <c r="A40" s="54" t="s">
        <v>236</v>
      </c>
      <c r="B40" s="7" t="s">
        <v>313</v>
      </c>
      <c r="C40" s="8">
        <v>45831.447223634255</v>
      </c>
      <c r="D40" s="8"/>
      <c r="E40" s="9"/>
      <c r="F40" s="10"/>
      <c r="G40" s="9" t="s">
        <v>89</v>
      </c>
      <c r="H40" s="7" t="s">
        <v>314</v>
      </c>
      <c r="I40" s="9" t="s">
        <v>13</v>
      </c>
      <c r="J40" s="55"/>
      <c r="K40" s="55"/>
      <c r="L40" s="55"/>
      <c r="M40" s="55"/>
      <c r="N40" s="55"/>
    </row>
    <row r="41">
      <c r="A41" s="54" t="s">
        <v>236</v>
      </c>
      <c r="B41" s="7" t="s">
        <v>315</v>
      </c>
      <c r="C41" s="8">
        <v>45856.47738846065</v>
      </c>
      <c r="D41" s="8"/>
      <c r="E41" s="9"/>
      <c r="F41" s="10"/>
      <c r="G41" s="9" t="s">
        <v>89</v>
      </c>
      <c r="H41" s="7" t="s">
        <v>316</v>
      </c>
      <c r="I41" s="9" t="s">
        <v>13</v>
      </c>
      <c r="J41" s="55"/>
      <c r="K41" s="55"/>
      <c r="L41" s="55"/>
      <c r="M41" s="55"/>
      <c r="N41" s="55"/>
    </row>
    <row r="42">
      <c r="A42" s="54" t="s">
        <v>236</v>
      </c>
      <c r="B42" s="7" t="s">
        <v>317</v>
      </c>
      <c r="C42" s="8">
        <v>45754.37827857639</v>
      </c>
      <c r="D42" s="8"/>
      <c r="E42" s="9"/>
      <c r="F42" s="10"/>
      <c r="G42" s="9" t="s">
        <v>89</v>
      </c>
      <c r="H42" s="7" t="s">
        <v>318</v>
      </c>
      <c r="I42" s="9" t="s">
        <v>13</v>
      </c>
      <c r="J42" s="55"/>
      <c r="K42" s="55"/>
      <c r="L42" s="55"/>
      <c r="M42" s="55"/>
      <c r="N42" s="55"/>
    </row>
    <row r="43" ht="49.5" customHeight="1">
      <c r="A43" s="54" t="s">
        <v>236</v>
      </c>
      <c r="B43" s="7" t="s">
        <v>319</v>
      </c>
      <c r="C43" s="8">
        <v>45754.37836475694</v>
      </c>
      <c r="D43" s="8"/>
      <c r="E43" s="9"/>
      <c r="F43" s="10"/>
      <c r="G43" s="9" t="s">
        <v>89</v>
      </c>
      <c r="H43" s="7" t="s">
        <v>320</v>
      </c>
      <c r="I43" s="9" t="s">
        <v>13</v>
      </c>
      <c r="J43" s="55"/>
      <c r="K43" s="55"/>
      <c r="L43" s="55"/>
      <c r="M43" s="55"/>
      <c r="N43" s="55"/>
    </row>
    <row r="44">
      <c r="A44" s="54" t="s">
        <v>236</v>
      </c>
      <c r="B44" s="7" t="s">
        <v>321</v>
      </c>
      <c r="C44" s="8">
        <v>45754.37795753472</v>
      </c>
      <c r="D44" s="8"/>
      <c r="E44" s="9"/>
      <c r="F44" s="10"/>
      <c r="G44" s="9" t="s">
        <v>89</v>
      </c>
      <c r="H44" s="7" t="s">
        <v>322</v>
      </c>
      <c r="I44" s="9" t="s">
        <v>13</v>
      </c>
      <c r="J44" s="55"/>
      <c r="K44" s="55"/>
      <c r="L44" s="55"/>
      <c r="M44" s="55"/>
      <c r="N44" s="55"/>
    </row>
    <row r="45">
      <c r="A45" s="54" t="s">
        <v>236</v>
      </c>
      <c r="B45" s="7" t="s">
        <v>323</v>
      </c>
      <c r="C45" s="8">
        <v>45985.60098540509</v>
      </c>
      <c r="D45" s="8"/>
      <c r="E45" s="9"/>
      <c r="F45" s="10"/>
      <c r="G45" s="9" t="s">
        <v>89</v>
      </c>
      <c r="H45" s="7" t="s">
        <v>324</v>
      </c>
      <c r="I45" s="9" t="s">
        <v>13</v>
      </c>
      <c r="J45" s="55"/>
      <c r="K45" s="55"/>
      <c r="L45" s="55"/>
      <c r="M45" s="55"/>
      <c r="N45" s="55"/>
    </row>
    <row r="46">
      <c r="A46" s="54" t="s">
        <v>236</v>
      </c>
      <c r="B46" s="7" t="s">
        <v>325</v>
      </c>
      <c r="C46" s="8">
        <v>45985.61132575231</v>
      </c>
      <c r="D46" s="8"/>
      <c r="E46" s="9"/>
      <c r="F46" s="10"/>
      <c r="G46" s="9" t="s">
        <v>89</v>
      </c>
      <c r="H46" s="7" t="s">
        <v>326</v>
      </c>
      <c r="I46" s="9" t="s">
        <v>13</v>
      </c>
      <c r="J46" s="55"/>
      <c r="K46" s="55"/>
      <c r="L46" s="55"/>
      <c r="M46" s="55"/>
      <c r="N46" s="55"/>
    </row>
    <row r="47">
      <c r="A47" s="54" t="s">
        <v>236</v>
      </c>
      <c r="B47" s="7" t="s">
        <v>327</v>
      </c>
      <c r="C47" s="8">
        <v>45985.6446028125</v>
      </c>
      <c r="D47" s="8"/>
      <c r="E47" s="9"/>
      <c r="F47" s="10"/>
      <c r="G47" s="9" t="s">
        <v>89</v>
      </c>
      <c r="H47" s="7" t="s">
        <v>328</v>
      </c>
      <c r="I47" s="9" t="s">
        <v>13</v>
      </c>
      <c r="J47" s="55"/>
      <c r="K47" s="55"/>
      <c r="L47" s="55"/>
      <c r="M47" s="55"/>
      <c r="N47" s="55"/>
    </row>
    <row r="48">
      <c r="A48" s="54" t="s">
        <v>236</v>
      </c>
      <c r="B48" s="11"/>
      <c r="C48" s="8"/>
      <c r="D48" s="8"/>
      <c r="E48" s="9"/>
      <c r="F48" s="10"/>
      <c r="G48" s="9"/>
      <c r="H48" s="68"/>
      <c r="I48" s="9" t="s">
        <v>13</v>
      </c>
      <c r="J48" s="55"/>
      <c r="K48" s="55"/>
      <c r="L48" s="55"/>
      <c r="M48" s="55"/>
      <c r="N48" s="55"/>
    </row>
    <row r="49">
      <c r="A49" s="54" t="s">
        <v>236</v>
      </c>
      <c r="B49" s="11"/>
      <c r="C49" s="8"/>
      <c r="D49" s="8"/>
      <c r="E49" s="9"/>
      <c r="F49" s="10"/>
      <c r="G49" s="9"/>
      <c r="H49" s="11"/>
      <c r="I49" s="9" t="s">
        <v>13</v>
      </c>
      <c r="J49" s="55"/>
      <c r="K49" s="55"/>
      <c r="L49" s="55"/>
      <c r="M49" s="55"/>
      <c r="N49" s="55"/>
    </row>
    <row r="50">
      <c r="A50" s="54" t="s">
        <v>236</v>
      </c>
      <c r="B50" s="11"/>
      <c r="C50" s="8"/>
      <c r="D50" s="8"/>
      <c r="E50" s="9"/>
      <c r="F50" s="10"/>
      <c r="G50" s="9"/>
      <c r="H50" s="11"/>
      <c r="I50" s="9" t="s">
        <v>13</v>
      </c>
      <c r="J50" s="55"/>
      <c r="K50" s="55"/>
      <c r="L50" s="55"/>
      <c r="M50" s="55"/>
      <c r="N50" s="55"/>
    </row>
    <row r="51">
      <c r="A51" s="54" t="s">
        <v>236</v>
      </c>
      <c r="B51" s="11"/>
      <c r="C51" s="8"/>
      <c r="D51" s="8"/>
      <c r="E51" s="9"/>
      <c r="F51" s="10"/>
      <c r="G51" s="9"/>
      <c r="H51" s="11"/>
      <c r="I51" s="9" t="s">
        <v>13</v>
      </c>
      <c r="J51" s="55"/>
      <c r="K51" s="55"/>
      <c r="L51" s="55"/>
      <c r="M51" s="55"/>
      <c r="N51" s="55"/>
    </row>
    <row r="52">
      <c r="A52" s="54" t="s">
        <v>236</v>
      </c>
      <c r="B52" s="11"/>
      <c r="C52" s="8"/>
      <c r="D52" s="8"/>
      <c r="E52" s="9"/>
      <c r="F52" s="10"/>
      <c r="G52" s="9"/>
      <c r="H52" s="11"/>
      <c r="I52" s="9" t="s">
        <v>13</v>
      </c>
      <c r="J52" s="55"/>
      <c r="K52" s="55"/>
      <c r="L52" s="55"/>
      <c r="M52" s="55"/>
      <c r="N52" s="55"/>
    </row>
    <row r="53">
      <c r="A53" s="54" t="s">
        <v>236</v>
      </c>
      <c r="B53" s="11"/>
      <c r="C53" s="8"/>
      <c r="D53" s="8"/>
      <c r="E53" s="9"/>
      <c r="F53" s="10"/>
      <c r="G53" s="9"/>
      <c r="H53" s="11"/>
      <c r="I53" s="9" t="s">
        <v>13</v>
      </c>
      <c r="J53" s="55"/>
      <c r="K53" s="55"/>
      <c r="L53" s="55"/>
      <c r="M53" s="55"/>
      <c r="N53" s="55"/>
    </row>
    <row r="54">
      <c r="A54" s="54" t="s">
        <v>236</v>
      </c>
      <c r="B54" s="11"/>
      <c r="C54" s="8"/>
      <c r="D54" s="8"/>
      <c r="E54" s="9"/>
      <c r="F54" s="10"/>
      <c r="G54" s="9"/>
      <c r="H54" s="11"/>
      <c r="I54" s="9" t="s">
        <v>13</v>
      </c>
      <c r="J54" s="55"/>
      <c r="K54" s="55"/>
      <c r="L54" s="55"/>
      <c r="M54" s="55"/>
      <c r="N54" s="55"/>
    </row>
    <row r="55">
      <c r="A55" s="54" t="s">
        <v>236</v>
      </c>
      <c r="B55" s="11"/>
      <c r="C55" s="8"/>
      <c r="D55" s="8"/>
      <c r="E55" s="9"/>
      <c r="F55" s="10"/>
      <c r="G55" s="9"/>
      <c r="H55" s="11"/>
      <c r="I55" s="9" t="s">
        <v>13</v>
      </c>
      <c r="J55" s="55"/>
      <c r="K55" s="55"/>
      <c r="L55" s="55"/>
      <c r="M55" s="55"/>
      <c r="N55" s="55"/>
    </row>
    <row r="56">
      <c r="A56" s="54" t="s">
        <v>236</v>
      </c>
      <c r="B56" s="11"/>
      <c r="C56" s="8"/>
      <c r="D56" s="8"/>
      <c r="E56" s="9"/>
      <c r="F56" s="10"/>
      <c r="G56" s="9"/>
      <c r="H56" s="11"/>
      <c r="I56" s="9" t="s">
        <v>13</v>
      </c>
      <c r="J56" s="55"/>
      <c r="K56" s="55"/>
      <c r="L56" s="55"/>
      <c r="M56" s="55"/>
      <c r="N56" s="55"/>
    </row>
    <row r="57">
      <c r="A57" s="54" t="s">
        <v>236</v>
      </c>
      <c r="B57" s="11"/>
      <c r="C57" s="8"/>
      <c r="D57" s="8"/>
      <c r="E57" s="9"/>
      <c r="F57" s="10"/>
      <c r="G57" s="9"/>
      <c r="H57" s="11"/>
      <c r="I57" s="9" t="s">
        <v>13</v>
      </c>
      <c r="J57" s="55"/>
      <c r="K57" s="55"/>
      <c r="L57" s="55"/>
      <c r="M57" s="55"/>
      <c r="N57" s="55"/>
    </row>
    <row r="58">
      <c r="A58" s="54" t="s">
        <v>236</v>
      </c>
      <c r="B58" s="11"/>
      <c r="C58" s="8"/>
      <c r="D58" s="8"/>
      <c r="E58" s="9"/>
      <c r="F58" s="10"/>
      <c r="G58" s="9"/>
      <c r="H58" s="11"/>
      <c r="I58" s="9" t="s">
        <v>13</v>
      </c>
      <c r="J58" s="55"/>
      <c r="K58" s="55"/>
      <c r="L58" s="55"/>
      <c r="M58" s="55"/>
      <c r="N58" s="55"/>
    </row>
    <row r="59">
      <c r="A59" s="54" t="s">
        <v>236</v>
      </c>
      <c r="B59" s="11"/>
      <c r="C59" s="8"/>
      <c r="D59" s="8"/>
      <c r="E59" s="9"/>
      <c r="F59" s="10"/>
      <c r="G59" s="9"/>
      <c r="H59" s="11"/>
      <c r="I59" s="9" t="s">
        <v>13</v>
      </c>
      <c r="J59" s="55"/>
      <c r="K59" s="55"/>
      <c r="L59" s="55"/>
      <c r="M59" s="55"/>
      <c r="N59" s="55"/>
    </row>
    <row r="60">
      <c r="A60" s="54" t="s">
        <v>236</v>
      </c>
      <c r="B60" s="11"/>
      <c r="C60" s="8"/>
      <c r="D60" s="8"/>
      <c r="E60" s="9"/>
      <c r="F60" s="10"/>
      <c r="G60" s="9"/>
      <c r="H60" s="11"/>
      <c r="I60" s="9" t="s">
        <v>13</v>
      </c>
      <c r="J60" s="55"/>
      <c r="K60" s="55"/>
      <c r="L60" s="55"/>
      <c r="M60" s="55"/>
      <c r="N60" s="55"/>
    </row>
    <row r="61">
      <c r="A61" s="54" t="s">
        <v>236</v>
      </c>
      <c r="B61" s="11"/>
      <c r="C61" s="8"/>
      <c r="D61" s="8"/>
      <c r="E61" s="9"/>
      <c r="F61" s="10"/>
      <c r="G61" s="9"/>
      <c r="H61" s="11"/>
      <c r="I61" s="9" t="s">
        <v>13</v>
      </c>
      <c r="J61" s="55"/>
      <c r="K61" s="55"/>
      <c r="L61" s="55"/>
      <c r="M61" s="55"/>
      <c r="N61" s="55"/>
    </row>
    <row r="62">
      <c r="A62" s="54" t="s">
        <v>236</v>
      </c>
      <c r="B62" s="11"/>
      <c r="C62" s="8"/>
      <c r="D62" s="8"/>
      <c r="E62" s="9"/>
      <c r="F62" s="10"/>
      <c r="G62" s="9"/>
      <c r="H62" s="11"/>
      <c r="I62" s="9" t="s">
        <v>13</v>
      </c>
      <c r="J62" s="55"/>
      <c r="K62" s="55"/>
      <c r="L62" s="55"/>
      <c r="M62" s="55"/>
      <c r="N62" s="55"/>
    </row>
    <row r="63">
      <c r="A63" s="54" t="s">
        <v>236</v>
      </c>
      <c r="B63" s="11"/>
      <c r="C63" s="8"/>
      <c r="D63" s="8"/>
      <c r="E63" s="9"/>
      <c r="F63" s="10"/>
      <c r="G63" s="9"/>
      <c r="H63" s="11"/>
      <c r="I63" s="9" t="s">
        <v>13</v>
      </c>
      <c r="J63" s="55"/>
      <c r="K63" s="55"/>
      <c r="L63" s="55"/>
      <c r="M63" s="55"/>
      <c r="N63" s="55"/>
    </row>
    <row r="64">
      <c r="A64" s="54" t="s">
        <v>236</v>
      </c>
      <c r="B64" s="11"/>
      <c r="C64" s="8"/>
      <c r="D64" s="8"/>
      <c r="E64" s="9"/>
      <c r="F64" s="10"/>
      <c r="G64" s="9"/>
      <c r="H64" s="11"/>
      <c r="I64" s="9" t="s">
        <v>13</v>
      </c>
      <c r="J64" s="55"/>
      <c r="K64" s="55"/>
      <c r="L64" s="55"/>
      <c r="M64" s="55"/>
      <c r="N64" s="55"/>
    </row>
    <row r="65">
      <c r="A65" s="54" t="s">
        <v>236</v>
      </c>
      <c r="B65" s="11"/>
      <c r="C65" s="8"/>
      <c r="D65" s="8"/>
      <c r="E65" s="9"/>
      <c r="F65" s="10"/>
      <c r="G65" s="9"/>
      <c r="H65" s="11"/>
      <c r="I65" s="9" t="s">
        <v>13</v>
      </c>
      <c r="J65" s="55"/>
      <c r="K65" s="55"/>
      <c r="L65" s="55"/>
      <c r="M65" s="55"/>
      <c r="N65" s="55"/>
    </row>
    <row r="66">
      <c r="A66" s="54" t="s">
        <v>236</v>
      </c>
      <c r="B66" s="11"/>
      <c r="C66" s="8"/>
      <c r="D66" s="8"/>
      <c r="E66" s="9"/>
      <c r="F66" s="10"/>
      <c r="G66" s="9"/>
      <c r="H66" s="11"/>
      <c r="I66" s="9" t="s">
        <v>13</v>
      </c>
      <c r="J66" s="55"/>
      <c r="K66" s="55"/>
      <c r="L66" s="55"/>
      <c r="M66" s="55"/>
      <c r="N66" s="55"/>
    </row>
    <row r="67">
      <c r="A67" s="54" t="s">
        <v>236</v>
      </c>
      <c r="B67" s="11"/>
      <c r="C67" s="8"/>
      <c r="D67" s="8"/>
      <c r="E67" s="9"/>
      <c r="F67" s="10"/>
      <c r="G67" s="9"/>
      <c r="H67" s="11"/>
      <c r="I67" s="9" t="s">
        <v>13</v>
      </c>
      <c r="J67" s="55"/>
      <c r="K67" s="55"/>
      <c r="L67" s="55"/>
      <c r="M67" s="55"/>
      <c r="N67" s="55"/>
    </row>
    <row r="68">
      <c r="A68" s="54" t="s">
        <v>236</v>
      </c>
      <c r="B68" s="11"/>
      <c r="C68" s="8"/>
      <c r="D68" s="8"/>
      <c r="E68" s="9"/>
      <c r="F68" s="10"/>
      <c r="G68" s="9"/>
      <c r="H68" s="11"/>
      <c r="I68" s="9" t="s">
        <v>13</v>
      </c>
      <c r="J68" s="55"/>
      <c r="K68" s="55"/>
      <c r="L68" s="55"/>
      <c r="M68" s="55"/>
      <c r="N68" s="55"/>
    </row>
    <row r="69">
      <c r="A69" s="54" t="s">
        <v>236</v>
      </c>
      <c r="B69" s="11"/>
      <c r="C69" s="8"/>
      <c r="D69" s="8"/>
      <c r="E69" s="9"/>
      <c r="F69" s="10"/>
      <c r="G69" s="9"/>
      <c r="H69" s="11"/>
      <c r="I69" s="9" t="s">
        <v>13</v>
      </c>
      <c r="J69" s="55"/>
      <c r="K69" s="55"/>
      <c r="L69" s="55"/>
      <c r="M69" s="55"/>
      <c r="N69" s="55"/>
    </row>
    <row r="70">
      <c r="A70" s="54" t="s">
        <v>236</v>
      </c>
      <c r="B70" s="11"/>
      <c r="C70" s="8"/>
      <c r="D70" s="8"/>
      <c r="E70" s="9"/>
      <c r="F70" s="10"/>
      <c r="G70" s="9"/>
      <c r="H70" s="11"/>
      <c r="I70" s="9" t="s">
        <v>13</v>
      </c>
      <c r="J70" s="55"/>
      <c r="K70" s="55"/>
      <c r="L70" s="55"/>
      <c r="M70" s="55"/>
      <c r="N70" s="55"/>
    </row>
    <row r="71">
      <c r="A71" s="54" t="s">
        <v>236</v>
      </c>
      <c r="B71" s="11"/>
      <c r="C71" s="8"/>
      <c r="D71" s="8"/>
      <c r="E71" s="9"/>
      <c r="F71" s="10"/>
      <c r="G71" s="9"/>
      <c r="H71" s="11"/>
      <c r="I71" s="9" t="s">
        <v>13</v>
      </c>
      <c r="J71" s="55"/>
      <c r="K71" s="55"/>
      <c r="L71" s="55"/>
      <c r="M71" s="55"/>
      <c r="N71" s="55"/>
    </row>
    <row r="72">
      <c r="A72" s="54" t="s">
        <v>236</v>
      </c>
      <c r="B72" s="11"/>
      <c r="C72" s="8"/>
      <c r="D72" s="8"/>
      <c r="E72" s="9"/>
      <c r="F72" s="10"/>
      <c r="G72" s="9"/>
      <c r="H72" s="11"/>
      <c r="I72" s="9" t="s">
        <v>13</v>
      </c>
      <c r="J72" s="55"/>
      <c r="K72" s="55"/>
      <c r="L72" s="55"/>
      <c r="M72" s="55"/>
      <c r="N72" s="55"/>
    </row>
    <row r="73">
      <c r="A73" s="54" t="s">
        <v>236</v>
      </c>
      <c r="B73" s="11"/>
      <c r="C73" s="8"/>
      <c r="D73" s="8"/>
      <c r="E73" s="9"/>
      <c r="F73" s="10"/>
      <c r="G73" s="9"/>
      <c r="H73" s="11"/>
      <c r="I73" s="9" t="s">
        <v>13</v>
      </c>
      <c r="J73" s="55"/>
      <c r="K73" s="55"/>
      <c r="L73" s="55"/>
      <c r="M73" s="55"/>
      <c r="N73" s="55"/>
    </row>
    <row r="74">
      <c r="A74" s="54" t="s">
        <v>236</v>
      </c>
      <c r="B74" s="11"/>
      <c r="C74" s="8"/>
      <c r="D74" s="8"/>
      <c r="E74" s="9"/>
      <c r="F74" s="10"/>
      <c r="G74" s="9"/>
      <c r="H74" s="11"/>
      <c r="I74" s="9" t="s">
        <v>13</v>
      </c>
      <c r="J74" s="55"/>
      <c r="K74" s="55"/>
      <c r="L74" s="55"/>
      <c r="M74" s="55"/>
      <c r="N74" s="55"/>
    </row>
    <row r="75">
      <c r="A75" s="54" t="s">
        <v>236</v>
      </c>
      <c r="B75" s="11"/>
      <c r="C75" s="8"/>
      <c r="D75" s="8"/>
      <c r="E75" s="9"/>
      <c r="F75" s="10"/>
      <c r="G75" s="9"/>
      <c r="H75" s="11"/>
      <c r="I75" s="9" t="s">
        <v>13</v>
      </c>
      <c r="J75" s="55"/>
      <c r="K75" s="55"/>
      <c r="L75" s="55"/>
      <c r="M75" s="55"/>
      <c r="N75" s="55"/>
    </row>
    <row r="76">
      <c r="A76" s="54" t="s">
        <v>236</v>
      </c>
      <c r="B76" s="11"/>
      <c r="C76" s="8"/>
      <c r="D76" s="8"/>
      <c r="E76" s="9"/>
      <c r="F76" s="10"/>
      <c r="G76" s="9"/>
      <c r="H76" s="11"/>
      <c r="I76" s="9" t="s">
        <v>13</v>
      </c>
      <c r="J76" s="55"/>
      <c r="K76" s="55"/>
      <c r="L76" s="55"/>
      <c r="M76" s="55"/>
      <c r="N76" s="55"/>
    </row>
    <row r="77">
      <c r="A77" s="54" t="s">
        <v>236</v>
      </c>
      <c r="B77" s="11"/>
      <c r="C77" s="8"/>
      <c r="D77" s="8"/>
      <c r="E77" s="9"/>
      <c r="F77" s="10"/>
      <c r="G77" s="9"/>
      <c r="H77" s="11"/>
      <c r="I77" s="9" t="s">
        <v>13</v>
      </c>
      <c r="J77" s="55"/>
      <c r="K77" s="55"/>
      <c r="L77" s="55"/>
      <c r="M77" s="55"/>
      <c r="N77" s="55"/>
    </row>
    <row r="78">
      <c r="A78" s="54" t="s">
        <v>236</v>
      </c>
      <c r="B78" s="11"/>
      <c r="C78" s="8"/>
      <c r="D78" s="8"/>
      <c r="E78" s="9"/>
      <c r="F78" s="10"/>
      <c r="G78" s="9"/>
      <c r="H78" s="11"/>
      <c r="I78" s="9" t="s">
        <v>13</v>
      </c>
      <c r="J78" s="55"/>
      <c r="K78" s="55"/>
      <c r="L78" s="55"/>
      <c r="M78" s="55"/>
      <c r="N78" s="55"/>
    </row>
    <row r="79">
      <c r="A79" s="54" t="s">
        <v>236</v>
      </c>
      <c r="B79" s="11"/>
      <c r="C79" s="8"/>
      <c r="D79" s="8"/>
      <c r="E79" s="9"/>
      <c r="F79" s="10"/>
      <c r="G79" s="9"/>
      <c r="H79" s="11"/>
      <c r="I79" s="9" t="s">
        <v>13</v>
      </c>
      <c r="J79" s="55"/>
      <c r="K79" s="55"/>
      <c r="L79" s="55"/>
      <c r="M79" s="55"/>
      <c r="N79" s="55"/>
    </row>
    <row r="80">
      <c r="A80" s="54" t="s">
        <v>236</v>
      </c>
      <c r="B80" s="11"/>
      <c r="C80" s="8"/>
      <c r="D80" s="8"/>
      <c r="E80" s="9"/>
      <c r="F80" s="10"/>
      <c r="G80" s="9"/>
      <c r="H80" s="11"/>
      <c r="I80" s="9" t="s">
        <v>13</v>
      </c>
      <c r="J80" s="55"/>
      <c r="K80" s="55"/>
      <c r="L80" s="55"/>
      <c r="M80" s="55"/>
      <c r="N80" s="55"/>
    </row>
    <row r="81">
      <c r="A81" s="54" t="s">
        <v>236</v>
      </c>
      <c r="B81" s="11"/>
      <c r="C81" s="8"/>
      <c r="D81" s="8"/>
      <c r="E81" s="9"/>
      <c r="F81" s="10"/>
      <c r="G81" s="9"/>
      <c r="H81" s="11"/>
      <c r="I81" s="9" t="s">
        <v>13</v>
      </c>
      <c r="J81" s="55"/>
      <c r="K81" s="55"/>
      <c r="L81" s="55"/>
      <c r="M81" s="55"/>
      <c r="N81" s="55"/>
    </row>
    <row r="82">
      <c r="A82" s="54" t="s">
        <v>236</v>
      </c>
      <c r="B82" s="11"/>
      <c r="C82" s="8"/>
      <c r="D82" s="8"/>
      <c r="E82" s="9"/>
      <c r="F82" s="10"/>
      <c r="G82" s="9"/>
      <c r="H82" s="11"/>
      <c r="I82" s="9" t="s">
        <v>13</v>
      </c>
      <c r="J82" s="55"/>
      <c r="K82" s="55"/>
      <c r="L82" s="55"/>
      <c r="M82" s="55"/>
      <c r="N82" s="55"/>
    </row>
    <row r="83">
      <c r="A83" s="54" t="s">
        <v>236</v>
      </c>
      <c r="B83" s="11"/>
      <c r="C83" s="8"/>
      <c r="D83" s="8"/>
      <c r="E83" s="9"/>
      <c r="F83" s="10"/>
      <c r="G83" s="9"/>
      <c r="H83" s="11"/>
      <c r="I83" s="9" t="s">
        <v>13</v>
      </c>
      <c r="J83" s="55"/>
      <c r="K83" s="55"/>
      <c r="L83" s="55"/>
      <c r="M83" s="55"/>
      <c r="N83" s="55"/>
    </row>
    <row r="84">
      <c r="A84" s="54" t="s">
        <v>236</v>
      </c>
      <c r="B84" s="11"/>
      <c r="C84" s="8"/>
      <c r="D84" s="8"/>
      <c r="E84" s="9"/>
      <c r="F84" s="10"/>
      <c r="G84" s="9"/>
      <c r="H84" s="11"/>
      <c r="I84" s="9" t="s">
        <v>13</v>
      </c>
      <c r="J84" s="55"/>
      <c r="K84" s="55"/>
      <c r="L84" s="55"/>
      <c r="M84" s="55"/>
      <c r="N84" s="55"/>
    </row>
    <row r="85">
      <c r="A85" s="54" t="s">
        <v>236</v>
      </c>
      <c r="B85" s="11"/>
      <c r="C85" s="8"/>
      <c r="D85" s="8"/>
      <c r="E85" s="9"/>
      <c r="F85" s="10"/>
      <c r="G85" s="9"/>
      <c r="H85" s="11"/>
      <c r="I85" s="9" t="s">
        <v>13</v>
      </c>
      <c r="J85" s="55"/>
      <c r="K85" s="55"/>
      <c r="L85" s="55"/>
      <c r="M85" s="55"/>
      <c r="N85" s="55"/>
    </row>
    <row r="86">
      <c r="A86" s="54" t="s">
        <v>236</v>
      </c>
      <c r="B86" s="11"/>
      <c r="C86" s="8"/>
      <c r="D86" s="8"/>
      <c r="E86" s="9"/>
      <c r="F86" s="10"/>
      <c r="G86" s="9"/>
      <c r="H86" s="11"/>
      <c r="I86" s="9" t="s">
        <v>13</v>
      </c>
      <c r="J86" s="55"/>
      <c r="K86" s="55"/>
      <c r="L86" s="55"/>
      <c r="M86" s="55"/>
      <c r="N86" s="55"/>
    </row>
    <row r="87">
      <c r="A87" s="54" t="s">
        <v>236</v>
      </c>
      <c r="B87" s="11"/>
      <c r="C87" s="8"/>
      <c r="D87" s="8"/>
      <c r="E87" s="9"/>
      <c r="F87" s="10"/>
      <c r="G87" s="9"/>
      <c r="H87" s="11"/>
      <c r="I87" s="9" t="s">
        <v>13</v>
      </c>
      <c r="J87" s="55"/>
      <c r="K87" s="55"/>
      <c r="L87" s="55"/>
      <c r="M87" s="55"/>
      <c r="N87" s="55"/>
    </row>
    <row r="88">
      <c r="A88" s="54" t="s">
        <v>236</v>
      </c>
      <c r="B88" s="11"/>
      <c r="C88" s="8"/>
      <c r="D88" s="8"/>
      <c r="E88" s="9"/>
      <c r="F88" s="10"/>
      <c r="G88" s="9"/>
      <c r="H88" s="11"/>
      <c r="I88" s="9" t="s">
        <v>13</v>
      </c>
      <c r="J88" s="55"/>
      <c r="K88" s="55"/>
      <c r="L88" s="55"/>
      <c r="M88" s="55"/>
      <c r="N88" s="55"/>
    </row>
    <row r="89">
      <c r="A89" s="54" t="s">
        <v>236</v>
      </c>
      <c r="B89" s="11"/>
      <c r="C89" s="8"/>
      <c r="D89" s="8"/>
      <c r="E89" s="9"/>
      <c r="F89" s="10"/>
      <c r="G89" s="9"/>
      <c r="H89" s="11"/>
      <c r="I89" s="9" t="s">
        <v>13</v>
      </c>
      <c r="J89" s="55"/>
      <c r="K89" s="55"/>
      <c r="L89" s="55"/>
      <c r="M89" s="55"/>
      <c r="N89" s="55"/>
    </row>
    <row r="90">
      <c r="A90" s="54" t="s">
        <v>236</v>
      </c>
      <c r="B90" s="11"/>
      <c r="C90" s="8"/>
      <c r="D90" s="8"/>
      <c r="E90" s="9"/>
      <c r="F90" s="10"/>
      <c r="G90" s="9"/>
      <c r="H90" s="11"/>
      <c r="I90" s="9" t="s">
        <v>13</v>
      </c>
      <c r="J90" s="55"/>
      <c r="K90" s="55"/>
      <c r="L90" s="55"/>
      <c r="M90" s="55"/>
      <c r="N90" s="55"/>
    </row>
    <row r="91">
      <c r="A91" s="54" t="s">
        <v>236</v>
      </c>
      <c r="B91" s="11"/>
      <c r="C91" s="8"/>
      <c r="D91" s="8"/>
      <c r="E91" s="9"/>
      <c r="F91" s="10"/>
      <c r="G91" s="9"/>
      <c r="H91" s="11"/>
      <c r="I91" s="9" t="s">
        <v>13</v>
      </c>
      <c r="J91" s="55"/>
      <c r="K91" s="55"/>
      <c r="L91" s="55"/>
      <c r="M91" s="55"/>
      <c r="N91" s="55"/>
    </row>
    <row r="92">
      <c r="A92" s="54" t="s">
        <v>236</v>
      </c>
      <c r="B92" s="11"/>
      <c r="C92" s="8"/>
      <c r="D92" s="8"/>
      <c r="E92" s="9"/>
      <c r="F92" s="10"/>
      <c r="G92" s="9"/>
      <c r="H92" s="11"/>
      <c r="I92" s="9" t="s">
        <v>13</v>
      </c>
      <c r="J92" s="55"/>
      <c r="K92" s="55"/>
      <c r="L92" s="55"/>
      <c r="M92" s="55"/>
      <c r="N92" s="55"/>
    </row>
    <row r="93">
      <c r="A93" s="54" t="s">
        <v>236</v>
      </c>
      <c r="B93" s="11"/>
      <c r="C93" s="8"/>
      <c r="D93" s="8"/>
      <c r="E93" s="9"/>
      <c r="F93" s="10"/>
      <c r="G93" s="9"/>
      <c r="H93" s="11"/>
      <c r="I93" s="9" t="s">
        <v>13</v>
      </c>
      <c r="J93" s="55"/>
      <c r="K93" s="55"/>
      <c r="L93" s="55"/>
      <c r="M93" s="55"/>
      <c r="N93" s="55"/>
    </row>
    <row r="94">
      <c r="A94" s="54" t="s">
        <v>236</v>
      </c>
      <c r="B94" s="11"/>
      <c r="C94" s="8"/>
      <c r="D94" s="8"/>
      <c r="E94" s="9"/>
      <c r="F94" s="10"/>
      <c r="G94" s="9"/>
      <c r="H94" s="11"/>
      <c r="I94" s="9" t="s">
        <v>13</v>
      </c>
      <c r="J94" s="55"/>
      <c r="K94" s="55"/>
      <c r="L94" s="55"/>
      <c r="M94" s="55"/>
      <c r="N94" s="55"/>
    </row>
    <row r="95">
      <c r="A95" s="54" t="s">
        <v>236</v>
      </c>
      <c r="B95" s="11"/>
      <c r="C95" s="8"/>
      <c r="D95" s="8"/>
      <c r="E95" s="9"/>
      <c r="F95" s="10"/>
      <c r="G95" s="9"/>
      <c r="H95" s="11"/>
      <c r="I95" s="9" t="s">
        <v>13</v>
      </c>
      <c r="J95" s="55"/>
      <c r="K95" s="55"/>
      <c r="L95" s="55"/>
      <c r="M95" s="55"/>
      <c r="N95" s="55"/>
    </row>
    <row r="96">
      <c r="A96" s="54" t="s">
        <v>236</v>
      </c>
      <c r="B96" s="11"/>
      <c r="C96" s="8"/>
      <c r="D96" s="8"/>
      <c r="E96" s="9"/>
      <c r="F96" s="10"/>
      <c r="G96" s="9"/>
      <c r="H96" s="11"/>
      <c r="I96" s="9" t="s">
        <v>13</v>
      </c>
      <c r="J96" s="55"/>
      <c r="K96" s="55"/>
      <c r="L96" s="55"/>
      <c r="M96" s="55"/>
      <c r="N96" s="55"/>
    </row>
    <row r="97">
      <c r="A97" s="54" t="s">
        <v>236</v>
      </c>
      <c r="B97" s="11"/>
      <c r="C97" s="8"/>
      <c r="D97" s="8"/>
      <c r="E97" s="9"/>
      <c r="F97" s="10"/>
      <c r="G97" s="9"/>
      <c r="H97" s="11"/>
      <c r="I97" s="9" t="s">
        <v>13</v>
      </c>
      <c r="J97" s="55"/>
      <c r="K97" s="55"/>
      <c r="L97" s="55"/>
      <c r="M97" s="55"/>
      <c r="N97" s="55"/>
    </row>
    <row r="98">
      <c r="A98" s="54" t="s">
        <v>236</v>
      </c>
      <c r="B98" s="11"/>
      <c r="C98" s="8"/>
      <c r="D98" s="8"/>
      <c r="E98" s="9"/>
      <c r="F98" s="10"/>
      <c r="G98" s="9"/>
      <c r="H98" s="11"/>
      <c r="I98" s="9" t="s">
        <v>13</v>
      </c>
      <c r="J98" s="55"/>
      <c r="K98" s="55"/>
      <c r="L98" s="55"/>
      <c r="M98" s="55"/>
      <c r="N98" s="55"/>
    </row>
    <row r="99">
      <c r="A99" s="54" t="s">
        <v>236</v>
      </c>
      <c r="B99" s="11"/>
      <c r="C99" s="8"/>
      <c r="D99" s="8"/>
      <c r="E99" s="9"/>
      <c r="F99" s="10"/>
      <c r="G99" s="9"/>
      <c r="H99" s="11"/>
      <c r="I99" s="9" t="s">
        <v>13</v>
      </c>
      <c r="J99" s="55"/>
      <c r="K99" s="55"/>
      <c r="L99" s="55"/>
      <c r="M99" s="55"/>
      <c r="N99" s="55"/>
    </row>
    <row r="100">
      <c r="A100" s="54" t="s">
        <v>236</v>
      </c>
      <c r="B100" s="11"/>
      <c r="C100" s="8"/>
      <c r="D100" s="8"/>
      <c r="E100" s="9"/>
      <c r="F100" s="10"/>
      <c r="G100" s="9"/>
      <c r="H100" s="11"/>
      <c r="I100" s="9" t="s">
        <v>13</v>
      </c>
      <c r="J100" s="55"/>
      <c r="K100" s="55"/>
      <c r="L100" s="55"/>
      <c r="M100" s="55"/>
      <c r="N100" s="55"/>
    </row>
    <row r="101">
      <c r="A101" s="54" t="s">
        <v>236</v>
      </c>
      <c r="B101" s="11"/>
      <c r="C101" s="8"/>
      <c r="D101" s="8"/>
      <c r="E101" s="9"/>
      <c r="F101" s="10"/>
      <c r="G101" s="9"/>
      <c r="H101" s="11"/>
      <c r="I101" s="9" t="s">
        <v>13</v>
      </c>
      <c r="J101" s="55"/>
      <c r="K101" s="55"/>
      <c r="L101" s="55"/>
      <c r="M101" s="55"/>
      <c r="N101" s="55"/>
    </row>
    <row r="102">
      <c r="A102" s="54" t="s">
        <v>236</v>
      </c>
      <c r="B102" s="11"/>
      <c r="C102" s="8"/>
      <c r="D102" s="8"/>
      <c r="E102" s="9"/>
      <c r="F102" s="10"/>
      <c r="G102" s="9"/>
      <c r="H102" s="11"/>
      <c r="I102" s="9" t="s">
        <v>13</v>
      </c>
      <c r="J102" s="55"/>
      <c r="K102" s="55"/>
      <c r="L102" s="55"/>
      <c r="M102" s="55"/>
      <c r="N102" s="55"/>
    </row>
    <row r="103">
      <c r="A103" s="54" t="s">
        <v>236</v>
      </c>
      <c r="B103" s="11"/>
      <c r="C103" s="8"/>
      <c r="D103" s="8"/>
      <c r="E103" s="9"/>
      <c r="F103" s="10"/>
      <c r="G103" s="9"/>
      <c r="H103" s="11"/>
      <c r="I103" s="9" t="s">
        <v>13</v>
      </c>
      <c r="J103" s="55"/>
      <c r="K103" s="55"/>
      <c r="L103" s="55"/>
      <c r="M103" s="55"/>
      <c r="N103" s="55"/>
    </row>
    <row r="104">
      <c r="A104" s="54" t="s">
        <v>236</v>
      </c>
      <c r="B104" s="11"/>
      <c r="C104" s="8"/>
      <c r="D104" s="8"/>
      <c r="E104" s="9"/>
      <c r="F104" s="10"/>
      <c r="G104" s="9"/>
      <c r="H104" s="11"/>
      <c r="I104" s="9" t="s">
        <v>13</v>
      </c>
      <c r="J104" s="55"/>
      <c r="K104" s="55"/>
      <c r="L104" s="55"/>
      <c r="M104" s="55"/>
      <c r="N104" s="55"/>
    </row>
    <row r="105">
      <c r="A105" s="54" t="s">
        <v>236</v>
      </c>
      <c r="B105" s="11"/>
      <c r="C105" s="8"/>
      <c r="D105" s="8"/>
      <c r="E105" s="9"/>
      <c r="F105" s="10"/>
      <c r="G105" s="9"/>
      <c r="H105" s="11"/>
      <c r="I105" s="9" t="s">
        <v>13</v>
      </c>
      <c r="J105" s="55"/>
      <c r="K105" s="55"/>
      <c r="L105" s="55"/>
      <c r="M105" s="55"/>
      <c r="N105" s="55"/>
    </row>
    <row r="106">
      <c r="A106" s="54" t="s">
        <v>236</v>
      </c>
      <c r="B106" s="11"/>
      <c r="C106" s="8"/>
      <c r="D106" s="8"/>
      <c r="E106" s="9"/>
      <c r="F106" s="10"/>
      <c r="G106" s="9"/>
      <c r="H106" s="11"/>
      <c r="I106" s="9" t="s">
        <v>13</v>
      </c>
      <c r="J106" s="55"/>
      <c r="K106" s="55"/>
      <c r="L106" s="55"/>
      <c r="M106" s="55"/>
      <c r="N106" s="55"/>
    </row>
    <row r="107">
      <c r="A107" s="54" t="s">
        <v>236</v>
      </c>
      <c r="B107" s="11"/>
      <c r="C107" s="8"/>
      <c r="D107" s="8"/>
      <c r="E107" s="9"/>
      <c r="F107" s="10"/>
      <c r="G107" s="9"/>
      <c r="H107" s="11"/>
      <c r="I107" s="9" t="s">
        <v>13</v>
      </c>
      <c r="J107" s="55"/>
      <c r="K107" s="55"/>
      <c r="L107" s="55"/>
      <c r="M107" s="55"/>
      <c r="N107" s="55"/>
    </row>
    <row r="108">
      <c r="A108" s="54" t="s">
        <v>236</v>
      </c>
      <c r="B108" s="11"/>
      <c r="C108" s="8"/>
      <c r="D108" s="8"/>
      <c r="E108" s="9"/>
      <c r="F108" s="10"/>
      <c r="G108" s="9"/>
      <c r="H108" s="11"/>
      <c r="I108" s="9" t="s">
        <v>13</v>
      </c>
      <c r="J108" s="55"/>
      <c r="K108" s="55"/>
      <c r="L108" s="55"/>
      <c r="M108" s="55"/>
      <c r="N108" s="55"/>
    </row>
    <row r="109">
      <c r="A109" s="54" t="s">
        <v>236</v>
      </c>
      <c r="B109" s="11"/>
      <c r="C109" s="8"/>
      <c r="D109" s="8"/>
      <c r="E109" s="9"/>
      <c r="F109" s="10"/>
      <c r="G109" s="9"/>
      <c r="H109" s="11"/>
      <c r="I109" s="9" t="s">
        <v>13</v>
      </c>
      <c r="J109" s="55"/>
      <c r="K109" s="55"/>
      <c r="L109" s="55"/>
      <c r="M109" s="55"/>
      <c r="N109" s="55"/>
    </row>
    <row r="110">
      <c r="A110" s="54" t="s">
        <v>236</v>
      </c>
      <c r="B110" s="11"/>
      <c r="C110" s="8"/>
      <c r="D110" s="8"/>
      <c r="E110" s="9"/>
      <c r="F110" s="10"/>
      <c r="G110" s="9"/>
      <c r="H110" s="11"/>
      <c r="I110" s="9" t="s">
        <v>13</v>
      </c>
      <c r="J110" s="55"/>
      <c r="K110" s="55"/>
      <c r="L110" s="55"/>
      <c r="M110" s="55"/>
      <c r="N110" s="55"/>
    </row>
    <row r="111">
      <c r="A111" s="54" t="s">
        <v>236</v>
      </c>
      <c r="B111" s="11"/>
      <c r="C111" s="8"/>
      <c r="D111" s="8"/>
      <c r="E111" s="9"/>
      <c r="F111" s="10"/>
      <c r="G111" s="9"/>
      <c r="H111" s="11"/>
      <c r="I111" s="9" t="s">
        <v>13</v>
      </c>
      <c r="J111" s="55"/>
      <c r="K111" s="55"/>
      <c r="L111" s="55"/>
      <c r="M111" s="55"/>
      <c r="N111" s="55"/>
    </row>
    <row r="112">
      <c r="A112" s="54" t="s">
        <v>236</v>
      </c>
      <c r="B112" s="11"/>
      <c r="C112" s="8"/>
      <c r="D112" s="8"/>
      <c r="E112" s="9"/>
      <c r="F112" s="10"/>
      <c r="G112" s="9"/>
      <c r="H112" s="11"/>
      <c r="I112" s="9" t="s">
        <v>13</v>
      </c>
      <c r="J112" s="55"/>
      <c r="K112" s="55"/>
      <c r="L112" s="55"/>
      <c r="M112" s="55"/>
      <c r="N112" s="55"/>
    </row>
    <row r="113">
      <c r="A113" s="54" t="s">
        <v>236</v>
      </c>
      <c r="B113" s="11"/>
      <c r="C113" s="8"/>
      <c r="D113" s="8"/>
      <c r="E113" s="9"/>
      <c r="F113" s="10"/>
      <c r="G113" s="9"/>
      <c r="H113" s="11"/>
      <c r="I113" s="9" t="s">
        <v>13</v>
      </c>
      <c r="J113" s="55"/>
      <c r="K113" s="55"/>
      <c r="L113" s="55"/>
      <c r="M113" s="55"/>
      <c r="N113" s="55"/>
    </row>
    <row r="114">
      <c r="A114" s="54" t="s">
        <v>236</v>
      </c>
      <c r="B114" s="11"/>
      <c r="C114" s="8"/>
      <c r="D114" s="8"/>
      <c r="E114" s="9"/>
      <c r="F114" s="10"/>
      <c r="G114" s="9"/>
      <c r="H114" s="11"/>
      <c r="I114" s="9" t="s">
        <v>13</v>
      </c>
      <c r="J114" s="55"/>
      <c r="K114" s="55"/>
      <c r="L114" s="55"/>
      <c r="M114" s="55"/>
      <c r="N114" s="55"/>
    </row>
    <row r="115">
      <c r="A115" s="54" t="s">
        <v>236</v>
      </c>
      <c r="B115" s="11"/>
      <c r="C115" s="8"/>
      <c r="D115" s="8"/>
      <c r="E115" s="9"/>
      <c r="F115" s="10"/>
      <c r="G115" s="9"/>
      <c r="H115" s="11"/>
      <c r="I115" s="9" t="s">
        <v>13</v>
      </c>
      <c r="J115" s="55"/>
      <c r="K115" s="55"/>
      <c r="L115" s="55"/>
      <c r="M115" s="55"/>
      <c r="N115" s="55"/>
    </row>
    <row r="116">
      <c r="A116" s="54" t="s">
        <v>236</v>
      </c>
      <c r="B116" s="11"/>
      <c r="C116" s="8"/>
      <c r="D116" s="8"/>
      <c r="E116" s="9"/>
      <c r="F116" s="10"/>
      <c r="G116" s="9"/>
      <c r="H116" s="11"/>
      <c r="I116" s="9" t="s">
        <v>13</v>
      </c>
      <c r="J116" s="55"/>
      <c r="K116" s="55"/>
      <c r="L116" s="55"/>
      <c r="M116" s="55"/>
      <c r="N116" s="55"/>
    </row>
    <row r="117">
      <c r="A117" s="54" t="s">
        <v>236</v>
      </c>
      <c r="B117" s="11"/>
      <c r="C117" s="8"/>
      <c r="D117" s="8"/>
      <c r="E117" s="9"/>
      <c r="F117" s="10"/>
      <c r="G117" s="9"/>
      <c r="H117" s="11"/>
      <c r="I117" s="9" t="s">
        <v>13</v>
      </c>
      <c r="J117" s="55"/>
      <c r="K117" s="55"/>
      <c r="L117" s="55"/>
      <c r="M117" s="55"/>
      <c r="N117" s="55"/>
    </row>
    <row r="118">
      <c r="A118" s="54" t="s">
        <v>236</v>
      </c>
      <c r="B118" s="11"/>
      <c r="C118" s="8"/>
      <c r="D118" s="8"/>
      <c r="E118" s="9"/>
      <c r="F118" s="10"/>
      <c r="G118" s="9"/>
      <c r="H118" s="11"/>
      <c r="I118" s="9" t="s">
        <v>13</v>
      </c>
      <c r="J118" s="55"/>
      <c r="K118" s="55"/>
      <c r="L118" s="55"/>
      <c r="M118" s="55"/>
      <c r="N118" s="55"/>
    </row>
    <row r="119">
      <c r="A119" s="54" t="s">
        <v>236</v>
      </c>
      <c r="B119" s="11"/>
      <c r="C119" s="8"/>
      <c r="D119" s="8"/>
      <c r="E119" s="9"/>
      <c r="F119" s="10"/>
      <c r="G119" s="9"/>
      <c r="H119" s="11"/>
      <c r="I119" s="9" t="s">
        <v>13</v>
      </c>
      <c r="J119" s="55"/>
      <c r="K119" s="55"/>
      <c r="L119" s="55"/>
      <c r="M119" s="55"/>
      <c r="N119" s="55"/>
    </row>
    <row r="120">
      <c r="A120" s="54" t="s">
        <v>236</v>
      </c>
      <c r="B120" s="11"/>
      <c r="C120" s="8"/>
      <c r="D120" s="8"/>
      <c r="E120" s="9"/>
      <c r="F120" s="10"/>
      <c r="G120" s="9"/>
      <c r="H120" s="11"/>
      <c r="I120" s="9" t="s">
        <v>13</v>
      </c>
      <c r="J120" s="55"/>
      <c r="K120" s="55"/>
      <c r="L120" s="55"/>
      <c r="M120" s="55"/>
      <c r="N120" s="55"/>
    </row>
    <row r="121">
      <c r="A121" s="54" t="s">
        <v>236</v>
      </c>
      <c r="B121" s="11"/>
      <c r="C121" s="8"/>
      <c r="D121" s="8"/>
      <c r="E121" s="9"/>
      <c r="F121" s="10"/>
      <c r="G121" s="9"/>
      <c r="H121" s="11"/>
      <c r="I121" s="9" t="s">
        <v>13</v>
      </c>
      <c r="J121" s="55"/>
      <c r="K121" s="55"/>
      <c r="L121" s="55"/>
      <c r="M121" s="55"/>
      <c r="N121" s="55"/>
    </row>
    <row r="122">
      <c r="A122" s="54" t="s">
        <v>236</v>
      </c>
      <c r="B122" s="11"/>
      <c r="C122" s="8"/>
      <c r="D122" s="8"/>
      <c r="E122" s="9"/>
      <c r="F122" s="10"/>
      <c r="G122" s="9"/>
      <c r="H122" s="11"/>
      <c r="I122" s="9" t="s">
        <v>13</v>
      </c>
      <c r="J122" s="55"/>
      <c r="K122" s="55"/>
      <c r="L122" s="55"/>
      <c r="M122" s="55"/>
      <c r="N122" s="55"/>
    </row>
    <row r="123">
      <c r="A123" s="54" t="s">
        <v>236</v>
      </c>
      <c r="B123" s="11"/>
      <c r="C123" s="8"/>
      <c r="D123" s="8"/>
      <c r="E123" s="9"/>
      <c r="F123" s="10"/>
      <c r="G123" s="9"/>
      <c r="H123" s="11"/>
      <c r="I123" s="9" t="s">
        <v>13</v>
      </c>
      <c r="J123" s="55"/>
      <c r="K123" s="55"/>
      <c r="L123" s="55"/>
      <c r="M123" s="55"/>
      <c r="N123" s="55"/>
    </row>
    <row r="124">
      <c r="A124" s="54" t="s">
        <v>236</v>
      </c>
      <c r="B124" s="11"/>
      <c r="C124" s="8"/>
      <c r="D124" s="8"/>
      <c r="E124" s="9"/>
      <c r="F124" s="10"/>
      <c r="G124" s="9"/>
      <c r="H124" s="11"/>
      <c r="I124" s="9" t="s">
        <v>13</v>
      </c>
      <c r="J124" s="55"/>
      <c r="K124" s="55"/>
      <c r="L124" s="55"/>
      <c r="M124" s="55"/>
      <c r="N124" s="55"/>
    </row>
    <row r="125">
      <c r="A125" s="54" t="s">
        <v>236</v>
      </c>
      <c r="B125" s="11"/>
      <c r="C125" s="8"/>
      <c r="D125" s="8"/>
      <c r="E125" s="9"/>
      <c r="F125" s="10"/>
      <c r="G125" s="9"/>
      <c r="H125" s="11"/>
      <c r="I125" s="9" t="s">
        <v>13</v>
      </c>
      <c r="J125" s="55"/>
      <c r="K125" s="55"/>
      <c r="L125" s="55"/>
      <c r="M125" s="55"/>
      <c r="N125" s="55"/>
    </row>
    <row r="126">
      <c r="A126" s="54" t="s">
        <v>236</v>
      </c>
      <c r="B126" s="11"/>
      <c r="C126" s="8"/>
      <c r="D126" s="8"/>
      <c r="E126" s="9"/>
      <c r="F126" s="10"/>
      <c r="G126" s="9"/>
      <c r="H126" s="11"/>
      <c r="I126" s="9" t="s">
        <v>13</v>
      </c>
      <c r="J126" s="55"/>
      <c r="K126" s="55"/>
      <c r="L126" s="55"/>
      <c r="M126" s="55"/>
      <c r="N126" s="55"/>
    </row>
    <row r="127">
      <c r="A127" s="54" t="s">
        <v>236</v>
      </c>
      <c r="B127" s="11"/>
      <c r="C127" s="8"/>
      <c r="D127" s="8"/>
      <c r="E127" s="9"/>
      <c r="F127" s="10"/>
      <c r="G127" s="9"/>
      <c r="H127" s="11"/>
      <c r="I127" s="9" t="s">
        <v>13</v>
      </c>
      <c r="J127" s="55"/>
      <c r="K127" s="55"/>
      <c r="L127" s="55"/>
      <c r="M127" s="55"/>
      <c r="N127" s="55"/>
    </row>
    <row r="128">
      <c r="A128" s="54" t="s">
        <v>236</v>
      </c>
      <c r="B128" s="11"/>
      <c r="C128" s="8"/>
      <c r="D128" s="8"/>
      <c r="E128" s="9"/>
      <c r="F128" s="10"/>
      <c r="G128" s="9"/>
      <c r="H128" s="11"/>
      <c r="I128" s="9" t="s">
        <v>13</v>
      </c>
      <c r="J128" s="55"/>
      <c r="K128" s="55"/>
      <c r="L128" s="55"/>
      <c r="M128" s="55"/>
      <c r="N128" s="55"/>
    </row>
    <row r="129">
      <c r="A129" s="54" t="s">
        <v>236</v>
      </c>
      <c r="B129" s="11"/>
      <c r="C129" s="8"/>
      <c r="D129" s="8"/>
      <c r="E129" s="9"/>
      <c r="F129" s="10"/>
      <c r="G129" s="9"/>
      <c r="H129" s="11"/>
      <c r="I129" s="9" t="s">
        <v>13</v>
      </c>
      <c r="J129" s="55"/>
      <c r="K129" s="55"/>
      <c r="L129" s="55"/>
      <c r="M129" s="55"/>
      <c r="N129" s="55"/>
    </row>
    <row r="130">
      <c r="A130" s="54" t="s">
        <v>236</v>
      </c>
      <c r="B130" s="11"/>
      <c r="C130" s="8"/>
      <c r="D130" s="8"/>
      <c r="E130" s="9"/>
      <c r="F130" s="10"/>
      <c r="G130" s="9"/>
      <c r="H130" s="11"/>
      <c r="I130" s="9" t="s">
        <v>13</v>
      </c>
      <c r="J130" s="55"/>
      <c r="K130" s="55"/>
      <c r="L130" s="55"/>
      <c r="M130" s="55"/>
      <c r="N130" s="55"/>
    </row>
    <row r="131">
      <c r="A131" s="54" t="s">
        <v>236</v>
      </c>
      <c r="B131" s="11"/>
      <c r="C131" s="8"/>
      <c r="D131" s="8"/>
      <c r="E131" s="9"/>
      <c r="F131" s="10"/>
      <c r="G131" s="9"/>
      <c r="H131" s="11"/>
      <c r="I131" s="9" t="s">
        <v>13</v>
      </c>
      <c r="J131" s="55"/>
      <c r="K131" s="55"/>
      <c r="L131" s="55"/>
      <c r="M131" s="55"/>
      <c r="N131" s="55"/>
    </row>
    <row r="132">
      <c r="A132" s="54" t="s">
        <v>236</v>
      </c>
      <c r="B132" s="11"/>
      <c r="C132" s="8"/>
      <c r="D132" s="8"/>
      <c r="E132" s="9"/>
      <c r="F132" s="10"/>
      <c r="G132" s="9"/>
      <c r="H132" s="11"/>
      <c r="I132" s="9" t="s">
        <v>13</v>
      </c>
      <c r="J132" s="55"/>
      <c r="K132" s="55"/>
      <c r="L132" s="55"/>
      <c r="M132" s="55"/>
      <c r="N132" s="55"/>
    </row>
    <row r="133">
      <c r="A133" s="54" t="s">
        <v>236</v>
      </c>
      <c r="B133" s="11"/>
      <c r="C133" s="8"/>
      <c r="D133" s="8"/>
      <c r="E133" s="9"/>
      <c r="F133" s="10"/>
      <c r="G133" s="9"/>
      <c r="H133" s="11"/>
      <c r="I133" s="9" t="s">
        <v>13</v>
      </c>
      <c r="J133" s="55"/>
      <c r="K133" s="55"/>
      <c r="L133" s="55"/>
      <c r="M133" s="55"/>
      <c r="N133" s="55"/>
    </row>
    <row r="134">
      <c r="A134" s="54" t="s">
        <v>236</v>
      </c>
      <c r="B134" s="11"/>
      <c r="C134" s="8"/>
      <c r="D134" s="8"/>
      <c r="E134" s="9"/>
      <c r="F134" s="10"/>
      <c r="G134" s="9"/>
      <c r="H134" s="11"/>
      <c r="I134" s="9" t="s">
        <v>13</v>
      </c>
      <c r="J134" s="55"/>
      <c r="K134" s="55"/>
      <c r="L134" s="55"/>
      <c r="M134" s="55"/>
      <c r="N134" s="55"/>
    </row>
    <row r="135">
      <c r="A135" s="54" t="s">
        <v>236</v>
      </c>
      <c r="B135" s="11"/>
      <c r="C135" s="8"/>
      <c r="D135" s="8"/>
      <c r="E135" s="9"/>
      <c r="F135" s="10"/>
      <c r="G135" s="9"/>
      <c r="H135" s="11"/>
      <c r="I135" s="9" t="s">
        <v>13</v>
      </c>
      <c r="J135" s="55"/>
      <c r="K135" s="55"/>
      <c r="L135" s="55"/>
      <c r="M135" s="55"/>
      <c r="N135" s="55"/>
    </row>
    <row r="136">
      <c r="A136" s="54" t="s">
        <v>236</v>
      </c>
      <c r="B136" s="11"/>
      <c r="C136" s="8"/>
      <c r="D136" s="8"/>
      <c r="E136" s="9"/>
      <c r="F136" s="10"/>
      <c r="G136" s="9"/>
      <c r="H136" s="11"/>
      <c r="I136" s="9" t="s">
        <v>13</v>
      </c>
      <c r="J136" s="55"/>
      <c r="K136" s="55"/>
      <c r="L136" s="55"/>
      <c r="M136" s="55"/>
      <c r="N136" s="55"/>
    </row>
    <row r="137">
      <c r="A137" s="54" t="s">
        <v>236</v>
      </c>
      <c r="B137" s="11"/>
      <c r="C137" s="8"/>
      <c r="D137" s="8"/>
      <c r="E137" s="9"/>
      <c r="F137" s="10"/>
      <c r="G137" s="9"/>
      <c r="H137" s="11"/>
      <c r="I137" s="9" t="s">
        <v>13</v>
      </c>
      <c r="J137" s="55"/>
      <c r="K137" s="55"/>
      <c r="L137" s="55"/>
      <c r="M137" s="55"/>
      <c r="N137" s="55"/>
    </row>
    <row r="138">
      <c r="A138" s="54" t="s">
        <v>236</v>
      </c>
      <c r="B138" s="11"/>
      <c r="C138" s="8"/>
      <c r="D138" s="8"/>
      <c r="E138" s="9"/>
      <c r="F138" s="10"/>
      <c r="G138" s="9"/>
      <c r="H138" s="11"/>
      <c r="I138" s="9" t="s">
        <v>13</v>
      </c>
      <c r="J138" s="55"/>
      <c r="K138" s="55"/>
      <c r="L138" s="55"/>
      <c r="M138" s="55"/>
      <c r="N138" s="55"/>
    </row>
    <row r="139">
      <c r="A139" s="54" t="s">
        <v>236</v>
      </c>
      <c r="B139" s="11"/>
      <c r="C139" s="8"/>
      <c r="D139" s="8"/>
      <c r="E139" s="9"/>
      <c r="F139" s="10"/>
      <c r="G139" s="9"/>
      <c r="H139" s="11"/>
      <c r="I139" s="9" t="s">
        <v>13</v>
      </c>
      <c r="J139" s="55"/>
      <c r="K139" s="55"/>
      <c r="L139" s="55"/>
      <c r="M139" s="55"/>
      <c r="N139" s="55"/>
    </row>
    <row r="140">
      <c r="A140" s="54" t="s">
        <v>236</v>
      </c>
      <c r="B140" s="11"/>
      <c r="C140" s="8"/>
      <c r="D140" s="8"/>
      <c r="E140" s="9"/>
      <c r="F140" s="10"/>
      <c r="G140" s="9"/>
      <c r="H140" s="11"/>
      <c r="I140" s="9" t="s">
        <v>13</v>
      </c>
      <c r="J140" s="55"/>
      <c r="K140" s="55"/>
      <c r="L140" s="55"/>
      <c r="M140" s="55"/>
      <c r="N140" s="55"/>
    </row>
    <row r="141">
      <c r="A141" s="54" t="s">
        <v>236</v>
      </c>
      <c r="B141" s="11"/>
      <c r="C141" s="8"/>
      <c r="D141" s="8"/>
      <c r="E141" s="9"/>
      <c r="F141" s="10"/>
      <c r="G141" s="9"/>
      <c r="H141" s="11"/>
      <c r="I141" s="9" t="s">
        <v>13</v>
      </c>
      <c r="J141" s="55"/>
      <c r="K141" s="55"/>
      <c r="L141" s="55"/>
      <c r="M141" s="55"/>
      <c r="N141" s="55"/>
    </row>
    <row r="142">
      <c r="A142" s="54" t="s">
        <v>236</v>
      </c>
      <c r="B142" s="11"/>
      <c r="C142" s="8"/>
      <c r="D142" s="8"/>
      <c r="E142" s="9"/>
      <c r="F142" s="10"/>
      <c r="G142" s="9"/>
      <c r="H142" s="11"/>
      <c r="I142" s="9" t="s">
        <v>13</v>
      </c>
      <c r="J142" s="55"/>
      <c r="K142" s="55"/>
      <c r="L142" s="55"/>
      <c r="M142" s="55"/>
      <c r="N142" s="55"/>
    </row>
    <row r="143">
      <c r="A143" s="54" t="s">
        <v>236</v>
      </c>
      <c r="B143" s="11"/>
      <c r="C143" s="8"/>
      <c r="D143" s="8"/>
      <c r="E143" s="9"/>
      <c r="F143" s="10"/>
      <c r="G143" s="9"/>
      <c r="H143" s="11"/>
      <c r="I143" s="9" t="s">
        <v>13</v>
      </c>
      <c r="J143" s="55"/>
      <c r="K143" s="55"/>
      <c r="L143" s="55"/>
      <c r="M143" s="55"/>
      <c r="N143" s="55"/>
    </row>
    <row r="144">
      <c r="A144" s="54" t="s">
        <v>236</v>
      </c>
      <c r="B144" s="11"/>
      <c r="C144" s="8"/>
      <c r="D144" s="8"/>
      <c r="E144" s="9"/>
      <c r="F144" s="10"/>
      <c r="G144" s="9"/>
      <c r="H144" s="11"/>
      <c r="I144" s="9" t="s">
        <v>13</v>
      </c>
      <c r="J144" s="55"/>
      <c r="K144" s="55"/>
      <c r="L144" s="55"/>
      <c r="M144" s="55"/>
      <c r="N144" s="55"/>
    </row>
    <row r="145">
      <c r="A145" s="54" t="s">
        <v>236</v>
      </c>
      <c r="B145" s="11"/>
      <c r="C145" s="8"/>
      <c r="D145" s="8"/>
      <c r="E145" s="9"/>
      <c r="F145" s="10"/>
      <c r="G145" s="9"/>
      <c r="H145" s="11"/>
      <c r="I145" s="9" t="s">
        <v>13</v>
      </c>
      <c r="J145" s="55"/>
      <c r="K145" s="55"/>
      <c r="L145" s="55"/>
      <c r="M145" s="55"/>
      <c r="N145" s="55"/>
    </row>
    <row r="146">
      <c r="A146" s="54" t="s">
        <v>236</v>
      </c>
      <c r="B146" s="11"/>
      <c r="C146" s="8"/>
      <c r="D146" s="8"/>
      <c r="E146" s="9"/>
      <c r="F146" s="10"/>
      <c r="G146" s="9"/>
      <c r="H146" s="11"/>
      <c r="I146" s="9" t="s">
        <v>13</v>
      </c>
      <c r="J146" s="55"/>
      <c r="K146" s="55"/>
      <c r="L146" s="55"/>
      <c r="M146" s="55"/>
      <c r="N146" s="55"/>
    </row>
    <row r="147">
      <c r="A147" s="54" t="s">
        <v>236</v>
      </c>
      <c r="B147" s="11"/>
      <c r="C147" s="8"/>
      <c r="D147" s="8"/>
      <c r="E147" s="9"/>
      <c r="F147" s="10"/>
      <c r="G147" s="9"/>
      <c r="H147" s="11"/>
      <c r="I147" s="9" t="s">
        <v>13</v>
      </c>
      <c r="J147" s="55"/>
      <c r="K147" s="55"/>
      <c r="L147" s="55"/>
      <c r="M147" s="55"/>
      <c r="N147" s="55"/>
    </row>
    <row r="148">
      <c r="A148" s="54" t="s">
        <v>236</v>
      </c>
      <c r="B148" s="11"/>
      <c r="C148" s="8"/>
      <c r="D148" s="8"/>
      <c r="E148" s="9"/>
      <c r="F148" s="10"/>
      <c r="G148" s="9"/>
      <c r="H148" s="11"/>
      <c r="I148" s="9" t="s">
        <v>13</v>
      </c>
      <c r="J148" s="55"/>
      <c r="K148" s="55"/>
      <c r="L148" s="55"/>
      <c r="M148" s="55"/>
      <c r="N148" s="55"/>
    </row>
    <row r="149">
      <c r="A149" s="54" t="s">
        <v>236</v>
      </c>
      <c r="B149" s="11"/>
      <c r="C149" s="8"/>
      <c r="D149" s="8"/>
      <c r="E149" s="9"/>
      <c r="F149" s="10"/>
      <c r="G149" s="9"/>
      <c r="H149" s="11"/>
      <c r="I149" s="9" t="s">
        <v>13</v>
      </c>
      <c r="J149" s="55"/>
      <c r="K149" s="55"/>
      <c r="L149" s="55"/>
      <c r="M149" s="55"/>
      <c r="N149" s="55"/>
    </row>
    <row r="150">
      <c r="A150" s="54" t="s">
        <v>236</v>
      </c>
      <c r="B150" s="11"/>
      <c r="C150" s="8"/>
      <c r="D150" s="8"/>
      <c r="E150" s="9"/>
      <c r="F150" s="10"/>
      <c r="G150" s="9"/>
      <c r="H150" s="11"/>
      <c r="I150" s="9" t="s">
        <v>13</v>
      </c>
      <c r="J150" s="55"/>
      <c r="K150" s="55"/>
      <c r="L150" s="55"/>
      <c r="M150" s="55"/>
      <c r="N150" s="55"/>
    </row>
    <row r="151">
      <c r="A151" s="54" t="s">
        <v>236</v>
      </c>
      <c r="B151" s="11"/>
      <c r="C151" s="8"/>
      <c r="D151" s="8"/>
      <c r="E151" s="9"/>
      <c r="F151" s="10"/>
      <c r="G151" s="9"/>
      <c r="H151" s="11"/>
      <c r="I151" s="9" t="s">
        <v>13</v>
      </c>
      <c r="J151" s="55"/>
      <c r="K151" s="55"/>
      <c r="L151" s="55"/>
      <c r="M151" s="55"/>
      <c r="N151" s="55"/>
    </row>
    <row r="152">
      <c r="A152" s="54" t="s">
        <v>236</v>
      </c>
      <c r="B152" s="11"/>
      <c r="C152" s="8"/>
      <c r="D152" s="8"/>
      <c r="E152" s="9"/>
      <c r="F152" s="10"/>
      <c r="G152" s="9"/>
      <c r="H152" s="11"/>
      <c r="I152" s="9" t="s">
        <v>13</v>
      </c>
      <c r="J152" s="55"/>
      <c r="K152" s="55"/>
      <c r="L152" s="55"/>
      <c r="M152" s="55"/>
      <c r="N152" s="55"/>
    </row>
    <row r="153">
      <c r="A153" s="54" t="s">
        <v>236</v>
      </c>
      <c r="B153" s="11"/>
      <c r="C153" s="8"/>
      <c r="D153" s="8"/>
      <c r="E153" s="9"/>
      <c r="F153" s="10"/>
      <c r="G153" s="9"/>
      <c r="H153" s="11"/>
      <c r="I153" s="9" t="s">
        <v>13</v>
      </c>
      <c r="J153" s="55"/>
      <c r="K153" s="55"/>
      <c r="L153" s="55"/>
      <c r="M153" s="55"/>
      <c r="N153" s="55"/>
    </row>
    <row r="154">
      <c r="A154" s="54" t="s">
        <v>236</v>
      </c>
      <c r="B154" s="11"/>
      <c r="C154" s="8"/>
      <c r="D154" s="8"/>
      <c r="E154" s="9"/>
      <c r="F154" s="10"/>
      <c r="G154" s="9"/>
      <c r="H154" s="11"/>
      <c r="I154" s="9" t="s">
        <v>13</v>
      </c>
      <c r="J154" s="55"/>
      <c r="K154" s="55"/>
      <c r="L154" s="55"/>
      <c r="M154" s="55"/>
      <c r="N154" s="55"/>
    </row>
    <row r="155">
      <c r="A155" s="54" t="s">
        <v>236</v>
      </c>
      <c r="B155" s="11"/>
      <c r="C155" s="8"/>
      <c r="D155" s="8"/>
      <c r="E155" s="9"/>
      <c r="F155" s="10"/>
      <c r="G155" s="9"/>
      <c r="H155" s="11"/>
      <c r="I155" s="9" t="s">
        <v>13</v>
      </c>
      <c r="J155" s="55"/>
      <c r="K155" s="55"/>
      <c r="L155" s="55"/>
      <c r="M155" s="55"/>
      <c r="N155" s="55"/>
    </row>
    <row r="156">
      <c r="A156" s="54" t="s">
        <v>236</v>
      </c>
      <c r="B156" s="11"/>
      <c r="C156" s="8"/>
      <c r="D156" s="8"/>
      <c r="E156" s="9"/>
      <c r="F156" s="10"/>
      <c r="G156" s="9"/>
      <c r="H156" s="11"/>
      <c r="I156" s="9" t="s">
        <v>13</v>
      </c>
      <c r="J156" s="55"/>
      <c r="K156" s="55"/>
      <c r="L156" s="55"/>
      <c r="M156" s="55"/>
      <c r="N156" s="55"/>
    </row>
    <row r="157">
      <c r="A157" s="54" t="s">
        <v>236</v>
      </c>
      <c r="B157" s="11"/>
      <c r="C157" s="8"/>
      <c r="D157" s="8"/>
      <c r="E157" s="9"/>
      <c r="F157" s="10"/>
      <c r="G157" s="9"/>
      <c r="H157" s="11"/>
      <c r="I157" s="9" t="s">
        <v>13</v>
      </c>
      <c r="J157" s="55"/>
      <c r="K157" s="55"/>
      <c r="L157" s="55"/>
      <c r="M157" s="55"/>
      <c r="N157" s="55"/>
    </row>
    <row r="158">
      <c r="A158" s="54" t="s">
        <v>236</v>
      </c>
      <c r="B158" s="11"/>
      <c r="C158" s="8"/>
      <c r="D158" s="8"/>
      <c r="E158" s="9"/>
      <c r="F158" s="10"/>
      <c r="G158" s="9"/>
      <c r="H158" s="11"/>
      <c r="I158" s="9" t="s">
        <v>13</v>
      </c>
      <c r="J158" s="55"/>
      <c r="K158" s="55"/>
      <c r="L158" s="55"/>
      <c r="M158" s="55"/>
      <c r="N158" s="55"/>
    </row>
    <row r="159">
      <c r="A159" s="54" t="s">
        <v>236</v>
      </c>
      <c r="B159" s="11"/>
      <c r="C159" s="8"/>
      <c r="D159" s="8"/>
      <c r="E159" s="9"/>
      <c r="F159" s="10"/>
      <c r="G159" s="9"/>
      <c r="H159" s="11"/>
      <c r="I159" s="9" t="s">
        <v>13</v>
      </c>
      <c r="J159" s="55"/>
      <c r="K159" s="55"/>
      <c r="L159" s="55"/>
      <c r="M159" s="55"/>
      <c r="N159" s="55"/>
    </row>
    <row r="160">
      <c r="A160" s="54" t="s">
        <v>236</v>
      </c>
      <c r="B160" s="11"/>
      <c r="C160" s="8"/>
      <c r="D160" s="8"/>
      <c r="E160" s="9"/>
      <c r="F160" s="10"/>
      <c r="G160" s="9"/>
      <c r="H160" s="11"/>
      <c r="I160" s="9" t="s">
        <v>13</v>
      </c>
      <c r="J160" s="55"/>
      <c r="K160" s="55"/>
      <c r="L160" s="55"/>
      <c r="M160" s="55"/>
      <c r="N160" s="55"/>
    </row>
    <row r="161">
      <c r="A161" s="54" t="s">
        <v>236</v>
      </c>
      <c r="B161" s="11"/>
      <c r="C161" s="8"/>
      <c r="D161" s="8"/>
      <c r="E161" s="9"/>
      <c r="F161" s="10"/>
      <c r="G161" s="9"/>
      <c r="H161" s="11"/>
      <c r="I161" s="9" t="s">
        <v>13</v>
      </c>
      <c r="J161" s="55"/>
      <c r="K161" s="55"/>
      <c r="L161" s="55"/>
      <c r="M161" s="55"/>
      <c r="N161" s="55"/>
    </row>
    <row r="162">
      <c r="A162" s="54" t="s">
        <v>236</v>
      </c>
      <c r="B162" s="11"/>
      <c r="C162" s="8"/>
      <c r="D162" s="8"/>
      <c r="E162" s="9"/>
      <c r="F162" s="10"/>
      <c r="G162" s="9"/>
      <c r="H162" s="11"/>
      <c r="I162" s="9" t="s">
        <v>13</v>
      </c>
      <c r="J162" s="55"/>
      <c r="K162" s="55"/>
      <c r="L162" s="55"/>
      <c r="M162" s="55"/>
      <c r="N162" s="55"/>
    </row>
    <row r="163">
      <c r="A163" s="54" t="s">
        <v>236</v>
      </c>
      <c r="B163" s="11"/>
      <c r="C163" s="8"/>
      <c r="D163" s="8"/>
      <c r="E163" s="9"/>
      <c r="F163" s="10"/>
      <c r="G163" s="9"/>
      <c r="H163" s="11"/>
      <c r="I163" s="9" t="s">
        <v>13</v>
      </c>
      <c r="J163" s="55"/>
      <c r="K163" s="55"/>
      <c r="L163" s="55"/>
      <c r="M163" s="55"/>
      <c r="N163" s="55"/>
    </row>
    <row r="164">
      <c r="A164" s="54" t="s">
        <v>236</v>
      </c>
      <c r="B164" s="11"/>
      <c r="C164" s="8"/>
      <c r="D164" s="8"/>
      <c r="E164" s="9"/>
      <c r="F164" s="10"/>
      <c r="G164" s="9"/>
      <c r="H164" s="11"/>
      <c r="I164" s="9" t="s">
        <v>13</v>
      </c>
      <c r="J164" s="55"/>
      <c r="K164" s="55"/>
      <c r="L164" s="55"/>
      <c r="M164" s="55"/>
      <c r="N164" s="55"/>
    </row>
    <row r="165">
      <c r="A165" s="54" t="s">
        <v>236</v>
      </c>
      <c r="B165" s="11"/>
      <c r="C165" s="8"/>
      <c r="D165" s="8"/>
      <c r="E165" s="9"/>
      <c r="F165" s="10"/>
      <c r="G165" s="9"/>
      <c r="H165" s="11"/>
      <c r="I165" s="9" t="s">
        <v>13</v>
      </c>
      <c r="J165" s="55"/>
      <c r="K165" s="55"/>
      <c r="L165" s="55"/>
      <c r="M165" s="55"/>
      <c r="N165" s="55"/>
    </row>
    <row r="166">
      <c r="A166" s="54" t="s">
        <v>236</v>
      </c>
      <c r="B166" s="11"/>
      <c r="C166" s="8"/>
      <c r="D166" s="8"/>
      <c r="E166" s="9"/>
      <c r="F166" s="10"/>
      <c r="G166" s="9"/>
      <c r="H166" s="11"/>
      <c r="I166" s="9" t="s">
        <v>13</v>
      </c>
      <c r="J166" s="55"/>
      <c r="K166" s="55"/>
      <c r="L166" s="55"/>
      <c r="M166" s="55"/>
      <c r="N166" s="55"/>
    </row>
    <row r="167">
      <c r="A167" s="54" t="s">
        <v>236</v>
      </c>
      <c r="B167" s="11"/>
      <c r="C167" s="8"/>
      <c r="D167" s="8"/>
      <c r="E167" s="9"/>
      <c r="F167" s="10"/>
      <c r="G167" s="9"/>
      <c r="H167" s="11"/>
      <c r="I167" s="9" t="s">
        <v>13</v>
      </c>
      <c r="J167" s="55"/>
      <c r="K167" s="55"/>
      <c r="L167" s="55"/>
      <c r="M167" s="55"/>
      <c r="N167" s="55"/>
    </row>
    <row r="168">
      <c r="A168" s="54" t="s">
        <v>236</v>
      </c>
      <c r="B168" s="11"/>
      <c r="C168" s="8"/>
      <c r="D168" s="8"/>
      <c r="E168" s="9"/>
      <c r="F168" s="10"/>
      <c r="G168" s="9"/>
      <c r="H168" s="11"/>
      <c r="I168" s="9" t="s">
        <v>13</v>
      </c>
      <c r="J168" s="55"/>
      <c r="K168" s="55"/>
      <c r="L168" s="55"/>
      <c r="M168" s="55"/>
      <c r="N168" s="55"/>
    </row>
    <row r="169">
      <c r="A169" s="54" t="s">
        <v>236</v>
      </c>
      <c r="B169" s="11"/>
      <c r="C169" s="8"/>
      <c r="D169" s="8"/>
      <c r="E169" s="9"/>
      <c r="F169" s="10"/>
      <c r="G169" s="9"/>
      <c r="H169" s="11"/>
      <c r="I169" s="9" t="s">
        <v>13</v>
      </c>
      <c r="J169" s="55"/>
      <c r="K169" s="55"/>
      <c r="L169" s="55"/>
      <c r="M169" s="55"/>
      <c r="N169" s="55"/>
    </row>
    <row r="170">
      <c r="A170" s="54" t="s">
        <v>236</v>
      </c>
      <c r="B170" s="11"/>
      <c r="C170" s="8"/>
      <c r="D170" s="8"/>
      <c r="E170" s="9"/>
      <c r="F170" s="10"/>
      <c r="G170" s="9"/>
      <c r="H170" s="11"/>
      <c r="I170" s="9" t="s">
        <v>13</v>
      </c>
      <c r="J170" s="55"/>
      <c r="K170" s="55"/>
      <c r="L170" s="55"/>
      <c r="M170" s="55"/>
      <c r="N170" s="55"/>
    </row>
    <row r="171">
      <c r="A171" s="54" t="s">
        <v>236</v>
      </c>
      <c r="B171" s="11"/>
      <c r="C171" s="8"/>
      <c r="D171" s="8"/>
      <c r="E171" s="9"/>
      <c r="F171" s="10"/>
      <c r="G171" s="9"/>
      <c r="H171" s="11"/>
      <c r="I171" s="9" t="s">
        <v>13</v>
      </c>
      <c r="J171" s="55"/>
      <c r="K171" s="55"/>
      <c r="L171" s="55"/>
      <c r="M171" s="55"/>
      <c r="N171" s="55"/>
    </row>
    <row r="172">
      <c r="A172" s="54" t="s">
        <v>236</v>
      </c>
      <c r="B172" s="11"/>
      <c r="C172" s="8"/>
      <c r="D172" s="8"/>
      <c r="E172" s="9"/>
      <c r="F172" s="10"/>
      <c r="G172" s="9"/>
      <c r="H172" s="11"/>
      <c r="I172" s="9" t="s">
        <v>13</v>
      </c>
      <c r="J172" s="55"/>
      <c r="K172" s="55"/>
      <c r="L172" s="55"/>
      <c r="M172" s="55"/>
      <c r="N172" s="55"/>
    </row>
    <row r="173">
      <c r="A173" s="54" t="s">
        <v>236</v>
      </c>
      <c r="B173" s="11"/>
      <c r="C173" s="8"/>
      <c r="D173" s="8"/>
      <c r="E173" s="9"/>
      <c r="F173" s="10"/>
      <c r="G173" s="9"/>
      <c r="H173" s="11"/>
      <c r="I173" s="9" t="s">
        <v>13</v>
      </c>
      <c r="J173" s="55"/>
      <c r="K173" s="55"/>
      <c r="L173" s="55"/>
      <c r="M173" s="55"/>
      <c r="N173" s="55"/>
    </row>
    <row r="174">
      <c r="A174" s="54" t="s">
        <v>236</v>
      </c>
      <c r="B174" s="11"/>
      <c r="C174" s="8"/>
      <c r="D174" s="8"/>
      <c r="E174" s="9"/>
      <c r="F174" s="10"/>
      <c r="G174" s="9"/>
      <c r="H174" s="11"/>
      <c r="I174" s="9" t="s">
        <v>13</v>
      </c>
      <c r="J174" s="55"/>
      <c r="K174" s="55"/>
      <c r="L174" s="55"/>
      <c r="M174" s="55"/>
      <c r="N174" s="55"/>
    </row>
    <row r="175">
      <c r="A175" s="54" t="s">
        <v>236</v>
      </c>
      <c r="B175" s="11"/>
      <c r="C175" s="8"/>
      <c r="D175" s="8"/>
      <c r="E175" s="9"/>
      <c r="F175" s="10"/>
      <c r="G175" s="9"/>
      <c r="H175" s="11"/>
      <c r="I175" s="9" t="s">
        <v>13</v>
      </c>
      <c r="J175" s="55"/>
      <c r="K175" s="55"/>
      <c r="L175" s="55"/>
      <c r="M175" s="55"/>
      <c r="N175" s="55"/>
    </row>
    <row r="176">
      <c r="A176" s="54" t="s">
        <v>236</v>
      </c>
      <c r="B176" s="11"/>
      <c r="C176" s="8"/>
      <c r="D176" s="8"/>
      <c r="E176" s="9"/>
      <c r="F176" s="10"/>
      <c r="G176" s="9"/>
      <c r="H176" s="11"/>
      <c r="I176" s="9" t="s">
        <v>13</v>
      </c>
      <c r="J176" s="55"/>
      <c r="K176" s="55"/>
      <c r="L176" s="55"/>
      <c r="M176" s="55"/>
      <c r="N176" s="55"/>
    </row>
    <row r="177">
      <c r="A177" s="54" t="s">
        <v>236</v>
      </c>
      <c r="B177" s="11"/>
      <c r="C177" s="8"/>
      <c r="D177" s="8"/>
      <c r="E177" s="9"/>
      <c r="F177" s="10"/>
      <c r="G177" s="9"/>
      <c r="H177" s="11"/>
      <c r="I177" s="9" t="s">
        <v>13</v>
      </c>
      <c r="J177" s="55"/>
      <c r="K177" s="55"/>
      <c r="L177" s="55"/>
      <c r="M177" s="55"/>
      <c r="N177" s="55"/>
    </row>
    <row r="178">
      <c r="A178" s="54" t="s">
        <v>236</v>
      </c>
      <c r="B178" s="11"/>
      <c r="C178" s="8"/>
      <c r="D178" s="8"/>
      <c r="E178" s="9"/>
      <c r="F178" s="10"/>
      <c r="G178" s="9"/>
      <c r="H178" s="11"/>
      <c r="I178" s="9" t="s">
        <v>13</v>
      </c>
      <c r="J178" s="55"/>
      <c r="K178" s="55"/>
      <c r="L178" s="55"/>
      <c r="M178" s="55"/>
      <c r="N178" s="55"/>
    </row>
    <row r="179">
      <c r="A179" s="54" t="s">
        <v>236</v>
      </c>
      <c r="B179" s="11"/>
      <c r="C179" s="8"/>
      <c r="D179" s="8"/>
      <c r="E179" s="9"/>
      <c r="F179" s="10"/>
      <c r="G179" s="9"/>
      <c r="H179" s="11"/>
      <c r="I179" s="9" t="s">
        <v>13</v>
      </c>
      <c r="J179" s="55"/>
      <c r="K179" s="55"/>
      <c r="L179" s="55"/>
      <c r="M179" s="55"/>
      <c r="N179" s="55"/>
    </row>
    <row r="180">
      <c r="A180" s="54" t="s">
        <v>236</v>
      </c>
      <c r="B180" s="11"/>
      <c r="C180" s="8"/>
      <c r="D180" s="8"/>
      <c r="E180" s="9"/>
      <c r="F180" s="10"/>
      <c r="G180" s="9"/>
      <c r="H180" s="11"/>
      <c r="I180" s="9" t="s">
        <v>13</v>
      </c>
      <c r="J180" s="55"/>
      <c r="K180" s="55"/>
      <c r="L180" s="55"/>
      <c r="M180" s="55"/>
      <c r="N180" s="55"/>
    </row>
    <row r="181">
      <c r="A181" s="54" t="s">
        <v>236</v>
      </c>
      <c r="B181" s="11"/>
      <c r="C181" s="8"/>
      <c r="D181" s="8"/>
      <c r="E181" s="9"/>
      <c r="F181" s="10"/>
      <c r="G181" s="9"/>
      <c r="H181" s="11"/>
      <c r="I181" s="9" t="s">
        <v>13</v>
      </c>
      <c r="J181" s="55"/>
      <c r="K181" s="55"/>
      <c r="L181" s="55"/>
      <c r="M181" s="55"/>
      <c r="N181" s="55"/>
    </row>
    <row r="182">
      <c r="A182" s="54" t="s">
        <v>236</v>
      </c>
      <c r="B182" s="11"/>
      <c r="C182" s="8"/>
      <c r="D182" s="8"/>
      <c r="E182" s="9"/>
      <c r="F182" s="10"/>
      <c r="G182" s="9"/>
      <c r="H182" s="11"/>
      <c r="I182" s="9" t="s">
        <v>13</v>
      </c>
      <c r="J182" s="55"/>
      <c r="K182" s="55"/>
      <c r="L182" s="55"/>
      <c r="M182" s="55"/>
      <c r="N182" s="55"/>
    </row>
    <row r="183">
      <c r="A183" s="54" t="s">
        <v>236</v>
      </c>
      <c r="B183" s="11"/>
      <c r="C183" s="8"/>
      <c r="D183" s="8"/>
      <c r="E183" s="9"/>
      <c r="F183" s="10"/>
      <c r="G183" s="9"/>
      <c r="H183" s="11"/>
      <c r="I183" s="9" t="s">
        <v>13</v>
      </c>
      <c r="J183" s="55"/>
      <c r="K183" s="55"/>
      <c r="L183" s="55"/>
      <c r="M183" s="55"/>
      <c r="N183" s="55"/>
    </row>
    <row r="184">
      <c r="A184" s="54" t="s">
        <v>236</v>
      </c>
      <c r="B184" s="11"/>
      <c r="C184" s="8"/>
      <c r="D184" s="8"/>
      <c r="E184" s="9"/>
      <c r="F184" s="10"/>
      <c r="G184" s="9"/>
      <c r="H184" s="11"/>
      <c r="I184" s="9" t="s">
        <v>13</v>
      </c>
      <c r="J184" s="55"/>
      <c r="K184" s="55"/>
      <c r="L184" s="55"/>
      <c r="M184" s="55"/>
      <c r="N184" s="55"/>
    </row>
    <row r="185">
      <c r="A185" s="54" t="s">
        <v>236</v>
      </c>
      <c r="B185" s="11"/>
      <c r="C185" s="8"/>
      <c r="D185" s="8"/>
      <c r="E185" s="9"/>
      <c r="F185" s="10"/>
      <c r="G185" s="9"/>
      <c r="H185" s="11"/>
      <c r="I185" s="9" t="s">
        <v>13</v>
      </c>
      <c r="J185" s="55"/>
      <c r="K185" s="55"/>
      <c r="L185" s="55"/>
      <c r="M185" s="55"/>
      <c r="N185" s="55"/>
    </row>
    <row r="186">
      <c r="A186" s="54" t="s">
        <v>236</v>
      </c>
      <c r="B186" s="11"/>
      <c r="C186" s="8"/>
      <c r="D186" s="8"/>
      <c r="E186" s="9"/>
      <c r="F186" s="10"/>
      <c r="G186" s="9"/>
      <c r="H186" s="11"/>
      <c r="I186" s="9" t="s">
        <v>13</v>
      </c>
      <c r="J186" s="55"/>
      <c r="K186" s="55"/>
      <c r="L186" s="55"/>
      <c r="M186" s="55"/>
      <c r="N186" s="55"/>
    </row>
    <row r="187">
      <c r="A187" s="54" t="s">
        <v>236</v>
      </c>
      <c r="B187" s="11"/>
      <c r="C187" s="8"/>
      <c r="D187" s="8"/>
      <c r="E187" s="9"/>
      <c r="F187" s="10"/>
      <c r="G187" s="9"/>
      <c r="H187" s="11"/>
      <c r="I187" s="9" t="s">
        <v>13</v>
      </c>
      <c r="J187" s="55"/>
      <c r="K187" s="55"/>
      <c r="L187" s="55"/>
      <c r="M187" s="55"/>
      <c r="N187" s="55"/>
    </row>
    <row r="188">
      <c r="A188" s="54" t="s">
        <v>236</v>
      </c>
      <c r="B188" s="11"/>
      <c r="C188" s="8"/>
      <c r="D188" s="8"/>
      <c r="E188" s="9"/>
      <c r="F188" s="10"/>
      <c r="G188" s="9"/>
      <c r="H188" s="11"/>
      <c r="I188" s="9" t="s">
        <v>13</v>
      </c>
      <c r="J188" s="55"/>
      <c r="K188" s="55"/>
      <c r="L188" s="55"/>
      <c r="M188" s="55"/>
      <c r="N188" s="55"/>
    </row>
    <row r="189">
      <c r="A189" s="54" t="s">
        <v>236</v>
      </c>
      <c r="B189" s="11"/>
      <c r="C189" s="8"/>
      <c r="D189" s="8"/>
      <c r="E189" s="9"/>
      <c r="F189" s="10"/>
      <c r="G189" s="9"/>
      <c r="H189" s="11"/>
      <c r="I189" s="9" t="s">
        <v>13</v>
      </c>
      <c r="J189" s="55"/>
      <c r="K189" s="55"/>
      <c r="L189" s="55"/>
      <c r="M189" s="55"/>
      <c r="N189" s="55"/>
    </row>
    <row r="190">
      <c r="A190" s="54" t="s">
        <v>236</v>
      </c>
      <c r="B190" s="11"/>
      <c r="C190" s="8"/>
      <c r="D190" s="8"/>
      <c r="E190" s="9"/>
      <c r="F190" s="10"/>
      <c r="G190" s="9"/>
      <c r="H190" s="11"/>
      <c r="I190" s="9" t="s">
        <v>13</v>
      </c>
      <c r="J190" s="55"/>
      <c r="K190" s="55"/>
      <c r="L190" s="55"/>
      <c r="M190" s="55"/>
      <c r="N190" s="55"/>
    </row>
    <row r="191">
      <c r="A191" s="54" t="s">
        <v>236</v>
      </c>
      <c r="B191" s="11"/>
      <c r="C191" s="8"/>
      <c r="D191" s="8"/>
      <c r="E191" s="9"/>
      <c r="F191" s="10"/>
      <c r="G191" s="9"/>
      <c r="H191" s="11"/>
      <c r="I191" s="9" t="s">
        <v>13</v>
      </c>
      <c r="J191" s="55"/>
      <c r="K191" s="55"/>
      <c r="L191" s="55"/>
      <c r="M191" s="55"/>
      <c r="N191" s="55"/>
    </row>
    <row r="192">
      <c r="A192" s="54" t="s">
        <v>236</v>
      </c>
      <c r="B192" s="11"/>
      <c r="C192" s="8"/>
      <c r="D192" s="8"/>
      <c r="E192" s="9"/>
      <c r="F192" s="10"/>
      <c r="G192" s="9"/>
      <c r="H192" s="11"/>
      <c r="I192" s="9" t="s">
        <v>13</v>
      </c>
      <c r="J192" s="55"/>
      <c r="K192" s="55"/>
      <c r="L192" s="55"/>
      <c r="M192" s="55"/>
      <c r="N192" s="55"/>
    </row>
    <row r="193">
      <c r="A193" s="54" t="s">
        <v>236</v>
      </c>
      <c r="B193" s="11"/>
      <c r="C193" s="8"/>
      <c r="D193" s="8"/>
      <c r="E193" s="9"/>
      <c r="F193" s="10"/>
      <c r="G193" s="9"/>
      <c r="H193" s="11"/>
      <c r="I193" s="9" t="s">
        <v>13</v>
      </c>
      <c r="J193" s="55"/>
      <c r="K193" s="55"/>
      <c r="L193" s="55"/>
      <c r="M193" s="55"/>
      <c r="N193" s="55"/>
    </row>
    <row r="194">
      <c r="A194" s="54" t="s">
        <v>236</v>
      </c>
      <c r="B194" s="11"/>
      <c r="C194" s="8"/>
      <c r="D194" s="8"/>
      <c r="E194" s="9"/>
      <c r="F194" s="10"/>
      <c r="G194" s="9"/>
      <c r="H194" s="11"/>
      <c r="I194" s="9" t="s">
        <v>13</v>
      </c>
      <c r="J194" s="55"/>
      <c r="K194" s="55"/>
      <c r="L194" s="55"/>
      <c r="M194" s="55"/>
      <c r="N194" s="55"/>
    </row>
    <row r="195">
      <c r="A195" s="54" t="s">
        <v>236</v>
      </c>
      <c r="B195" s="11"/>
      <c r="C195" s="8"/>
      <c r="D195" s="8"/>
      <c r="E195" s="9"/>
      <c r="F195" s="10"/>
      <c r="G195" s="9"/>
      <c r="H195" s="11"/>
      <c r="I195" s="9" t="s">
        <v>13</v>
      </c>
      <c r="J195" s="55"/>
      <c r="K195" s="55"/>
      <c r="L195" s="55"/>
      <c r="M195" s="55"/>
      <c r="N195" s="55"/>
    </row>
    <row r="196">
      <c r="A196" s="54" t="s">
        <v>236</v>
      </c>
      <c r="B196" s="11"/>
      <c r="C196" s="8"/>
      <c r="D196" s="8"/>
      <c r="E196" s="9"/>
      <c r="F196" s="10"/>
      <c r="G196" s="9"/>
      <c r="H196" s="11"/>
      <c r="I196" s="9" t="s">
        <v>13</v>
      </c>
      <c r="J196" s="55"/>
      <c r="K196" s="55"/>
      <c r="L196" s="55"/>
      <c r="M196" s="55"/>
      <c r="N196" s="55"/>
    </row>
    <row r="197">
      <c r="A197" s="54" t="s">
        <v>236</v>
      </c>
      <c r="B197" s="11"/>
      <c r="C197" s="8"/>
      <c r="D197" s="8"/>
      <c r="E197" s="9"/>
      <c r="F197" s="10"/>
      <c r="G197" s="9"/>
      <c r="H197" s="11"/>
      <c r="I197" s="9" t="s">
        <v>13</v>
      </c>
      <c r="J197" s="55"/>
      <c r="K197" s="55"/>
      <c r="L197" s="55"/>
      <c r="M197" s="55"/>
      <c r="N197" s="55"/>
    </row>
    <row r="198">
      <c r="A198" s="54" t="s">
        <v>236</v>
      </c>
      <c r="B198" s="11"/>
      <c r="C198" s="8"/>
      <c r="D198" s="8"/>
      <c r="E198" s="9"/>
      <c r="F198" s="10"/>
      <c r="G198" s="9"/>
      <c r="H198" s="11"/>
      <c r="I198" s="9" t="s">
        <v>13</v>
      </c>
      <c r="J198" s="55"/>
      <c r="K198" s="55"/>
      <c r="L198" s="55"/>
      <c r="M198" s="55"/>
      <c r="N198" s="55"/>
    </row>
    <row r="199">
      <c r="A199" s="54" t="s">
        <v>236</v>
      </c>
      <c r="B199" s="11"/>
      <c r="C199" s="8"/>
      <c r="D199" s="8"/>
      <c r="E199" s="9"/>
      <c r="F199" s="10"/>
      <c r="G199" s="9"/>
      <c r="H199" s="11"/>
      <c r="I199" s="9" t="s">
        <v>13</v>
      </c>
      <c r="J199" s="55"/>
      <c r="K199" s="55"/>
      <c r="L199" s="55"/>
      <c r="M199" s="55"/>
      <c r="N199" s="55"/>
    </row>
    <row r="200">
      <c r="A200" s="54" t="s">
        <v>236</v>
      </c>
      <c r="B200" s="11"/>
      <c r="C200" s="8"/>
      <c r="D200" s="8"/>
      <c r="E200" s="9"/>
      <c r="F200" s="10"/>
      <c r="G200" s="9"/>
      <c r="H200" s="11"/>
      <c r="I200" s="9" t="s">
        <v>13</v>
      </c>
      <c r="J200" s="55"/>
      <c r="K200" s="55"/>
      <c r="L200" s="55"/>
      <c r="M200" s="55"/>
      <c r="N200" s="55"/>
    </row>
    <row r="201">
      <c r="A201" s="54" t="s">
        <v>236</v>
      </c>
      <c r="B201" s="11"/>
      <c r="C201" s="8"/>
      <c r="D201" s="8"/>
      <c r="E201" s="9"/>
      <c r="F201" s="10"/>
      <c r="G201" s="9"/>
      <c r="H201" s="11"/>
      <c r="I201" s="9" t="s">
        <v>13</v>
      </c>
      <c r="J201" s="55"/>
      <c r="K201" s="55"/>
      <c r="L201" s="55"/>
      <c r="M201" s="55"/>
      <c r="N201" s="55"/>
    </row>
    <row r="202">
      <c r="A202" s="54" t="s">
        <v>236</v>
      </c>
      <c r="B202" s="11"/>
      <c r="C202" s="8"/>
      <c r="D202" s="8"/>
      <c r="E202" s="9"/>
      <c r="F202" s="10"/>
      <c r="G202" s="9"/>
      <c r="H202" s="11"/>
      <c r="I202" s="9" t="s">
        <v>13</v>
      </c>
      <c r="J202" s="55"/>
      <c r="K202" s="55"/>
      <c r="L202" s="55"/>
      <c r="M202" s="55"/>
      <c r="N202" s="55"/>
    </row>
    <row r="203">
      <c r="A203" s="54" t="s">
        <v>236</v>
      </c>
      <c r="B203" s="11"/>
      <c r="C203" s="8"/>
      <c r="D203" s="8"/>
      <c r="E203" s="9"/>
      <c r="F203" s="10"/>
      <c r="G203" s="9"/>
      <c r="H203" s="11"/>
      <c r="I203" s="9" t="s">
        <v>13</v>
      </c>
      <c r="J203" s="55"/>
      <c r="K203" s="55"/>
      <c r="L203" s="55"/>
      <c r="M203" s="55"/>
      <c r="N203" s="55"/>
    </row>
    <row r="204">
      <c r="A204" s="54" t="s">
        <v>236</v>
      </c>
      <c r="B204" s="11"/>
      <c r="C204" s="8"/>
      <c r="D204" s="8"/>
      <c r="E204" s="9"/>
      <c r="F204" s="10"/>
      <c r="G204" s="9"/>
      <c r="H204" s="11"/>
      <c r="I204" s="9" t="s">
        <v>13</v>
      </c>
      <c r="J204" s="55"/>
      <c r="K204" s="55"/>
      <c r="L204" s="55"/>
      <c r="M204" s="55"/>
      <c r="N204" s="55"/>
    </row>
    <row r="205">
      <c r="A205" s="54" t="s">
        <v>236</v>
      </c>
      <c r="B205" s="11"/>
      <c r="C205" s="8"/>
      <c r="D205" s="8"/>
      <c r="E205" s="9"/>
      <c r="F205" s="10"/>
      <c r="G205" s="9"/>
      <c r="H205" s="11"/>
      <c r="I205" s="9" t="s">
        <v>13</v>
      </c>
      <c r="J205" s="55"/>
      <c r="K205" s="55"/>
      <c r="L205" s="55"/>
      <c r="M205" s="55"/>
      <c r="N205" s="55"/>
    </row>
    <row r="206">
      <c r="A206" s="54" t="s">
        <v>236</v>
      </c>
      <c r="B206" s="11"/>
      <c r="C206" s="8"/>
      <c r="D206" s="8"/>
      <c r="E206" s="9"/>
      <c r="F206" s="10"/>
      <c r="G206" s="9"/>
      <c r="H206" s="11"/>
      <c r="I206" s="9" t="s">
        <v>13</v>
      </c>
      <c r="J206" s="55"/>
      <c r="K206" s="55"/>
      <c r="L206" s="55"/>
      <c r="M206" s="55"/>
      <c r="N206" s="55"/>
    </row>
    <row r="207">
      <c r="A207" s="54" t="s">
        <v>236</v>
      </c>
      <c r="B207" s="11"/>
      <c r="C207" s="8"/>
      <c r="D207" s="8"/>
      <c r="E207" s="9"/>
      <c r="F207" s="10"/>
      <c r="G207" s="9"/>
      <c r="H207" s="11"/>
      <c r="I207" s="9" t="s">
        <v>13</v>
      </c>
      <c r="J207" s="55"/>
      <c r="K207" s="55"/>
      <c r="L207" s="55"/>
      <c r="M207" s="55"/>
      <c r="N207" s="55"/>
    </row>
    <row r="208">
      <c r="A208" s="54" t="s">
        <v>236</v>
      </c>
      <c r="B208" s="11"/>
      <c r="C208" s="8"/>
      <c r="D208" s="8"/>
      <c r="E208" s="9"/>
      <c r="F208" s="10"/>
      <c r="G208" s="9"/>
      <c r="H208" s="11"/>
      <c r="I208" s="9" t="s">
        <v>13</v>
      </c>
      <c r="J208" s="55"/>
      <c r="K208" s="55"/>
      <c r="L208" s="55"/>
      <c r="M208" s="55"/>
      <c r="N208" s="55"/>
    </row>
    <row r="209">
      <c r="A209" s="54" t="s">
        <v>236</v>
      </c>
      <c r="B209" s="11"/>
      <c r="C209" s="8"/>
      <c r="D209" s="8"/>
      <c r="E209" s="9"/>
      <c r="F209" s="10"/>
      <c r="G209" s="9"/>
      <c r="H209" s="11"/>
      <c r="I209" s="9" t="s">
        <v>13</v>
      </c>
      <c r="J209" s="55"/>
      <c r="K209" s="55"/>
      <c r="L209" s="55"/>
      <c r="M209" s="55"/>
      <c r="N209" s="55"/>
    </row>
    <row r="210">
      <c r="A210" s="54" t="s">
        <v>236</v>
      </c>
      <c r="B210" s="11"/>
      <c r="C210" s="8"/>
      <c r="D210" s="8"/>
      <c r="E210" s="9"/>
      <c r="F210" s="10"/>
      <c r="G210" s="9"/>
      <c r="H210" s="11"/>
      <c r="I210" s="9" t="s">
        <v>13</v>
      </c>
      <c r="J210" s="55"/>
      <c r="K210" s="55"/>
      <c r="L210" s="55"/>
      <c r="M210" s="55"/>
      <c r="N210" s="55"/>
    </row>
    <row r="211">
      <c r="A211" s="54" t="s">
        <v>236</v>
      </c>
      <c r="B211" s="11"/>
      <c r="C211" s="8"/>
      <c r="D211" s="8"/>
      <c r="E211" s="9"/>
      <c r="F211" s="10"/>
      <c r="G211" s="9"/>
      <c r="H211" s="11"/>
      <c r="I211" s="9" t="s">
        <v>13</v>
      </c>
      <c r="J211" s="55"/>
      <c r="K211" s="55"/>
      <c r="L211" s="55"/>
      <c r="M211" s="55"/>
      <c r="N211" s="55"/>
    </row>
    <row r="212">
      <c r="A212" s="54" t="s">
        <v>236</v>
      </c>
      <c r="B212" s="11"/>
      <c r="C212" s="8"/>
      <c r="D212" s="8"/>
      <c r="E212" s="9"/>
      <c r="F212" s="10"/>
      <c r="G212" s="9"/>
      <c r="H212" s="11"/>
      <c r="I212" s="9" t="s">
        <v>13</v>
      </c>
      <c r="J212" s="55"/>
      <c r="K212" s="55"/>
      <c r="L212" s="55"/>
      <c r="M212" s="55"/>
      <c r="N212" s="55"/>
    </row>
    <row r="213">
      <c r="A213" s="54" t="s">
        <v>236</v>
      </c>
      <c r="B213" s="11"/>
      <c r="C213" s="8"/>
      <c r="D213" s="8"/>
      <c r="E213" s="9"/>
      <c r="F213" s="10"/>
      <c r="G213" s="9"/>
      <c r="H213" s="11"/>
      <c r="I213" s="9" t="s">
        <v>13</v>
      </c>
      <c r="J213" s="55"/>
      <c r="K213" s="55"/>
      <c r="L213" s="55"/>
      <c r="M213" s="55"/>
      <c r="N213" s="55"/>
    </row>
    <row r="214">
      <c r="A214" s="54" t="s">
        <v>236</v>
      </c>
      <c r="B214" s="11"/>
      <c r="C214" s="8"/>
      <c r="D214" s="8"/>
      <c r="E214" s="9"/>
      <c r="F214" s="10"/>
      <c r="G214" s="9"/>
      <c r="H214" s="11"/>
      <c r="I214" s="9" t="s">
        <v>13</v>
      </c>
      <c r="J214" s="55"/>
      <c r="K214" s="55"/>
      <c r="L214" s="55"/>
      <c r="M214" s="55"/>
      <c r="N214" s="55"/>
    </row>
    <row r="215">
      <c r="A215" s="54" t="s">
        <v>236</v>
      </c>
      <c r="B215" s="11"/>
      <c r="C215" s="8"/>
      <c r="D215" s="8"/>
      <c r="E215" s="9"/>
      <c r="F215" s="10"/>
      <c r="G215" s="9"/>
      <c r="H215" s="11"/>
      <c r="I215" s="9" t="s">
        <v>13</v>
      </c>
      <c r="J215" s="55"/>
      <c r="K215" s="55"/>
      <c r="L215" s="55"/>
      <c r="M215" s="55"/>
      <c r="N215" s="55"/>
    </row>
    <row r="216">
      <c r="A216" s="54" t="s">
        <v>236</v>
      </c>
      <c r="B216" s="11"/>
      <c r="C216" s="8"/>
      <c r="D216" s="8"/>
      <c r="E216" s="9"/>
      <c r="F216" s="10"/>
      <c r="G216" s="9"/>
      <c r="H216" s="11"/>
      <c r="I216" s="9" t="s">
        <v>13</v>
      </c>
      <c r="J216" s="55"/>
      <c r="K216" s="55"/>
      <c r="L216" s="55"/>
      <c r="M216" s="55"/>
      <c r="N216" s="55"/>
    </row>
    <row r="217">
      <c r="A217" s="54" t="s">
        <v>236</v>
      </c>
      <c r="B217" s="11"/>
      <c r="C217" s="8"/>
      <c r="D217" s="8"/>
      <c r="E217" s="9"/>
      <c r="F217" s="10"/>
      <c r="G217" s="9"/>
      <c r="H217" s="11"/>
      <c r="I217" s="9" t="s">
        <v>13</v>
      </c>
      <c r="J217" s="55"/>
      <c r="K217" s="55"/>
      <c r="L217" s="55"/>
      <c r="M217" s="55"/>
      <c r="N217" s="55"/>
    </row>
    <row r="218">
      <c r="A218" s="54" t="s">
        <v>236</v>
      </c>
      <c r="B218" s="11"/>
      <c r="C218" s="8"/>
      <c r="D218" s="8"/>
      <c r="E218" s="9"/>
      <c r="F218" s="10"/>
      <c r="G218" s="9"/>
      <c r="H218" s="11"/>
      <c r="I218" s="9" t="s">
        <v>13</v>
      </c>
      <c r="J218" s="55"/>
      <c r="K218" s="55"/>
      <c r="L218" s="55"/>
      <c r="M218" s="55"/>
      <c r="N218" s="55"/>
    </row>
    <row r="219">
      <c r="A219" s="54" t="s">
        <v>236</v>
      </c>
      <c r="B219" s="11"/>
      <c r="C219" s="8"/>
      <c r="D219" s="8"/>
      <c r="E219" s="9"/>
      <c r="F219" s="10"/>
      <c r="G219" s="9"/>
      <c r="H219" s="11"/>
      <c r="I219" s="9" t="s">
        <v>13</v>
      </c>
      <c r="J219" s="55"/>
      <c r="K219" s="55"/>
      <c r="L219" s="55"/>
      <c r="M219" s="55"/>
      <c r="N219" s="55"/>
    </row>
    <row r="220">
      <c r="A220" s="54" t="s">
        <v>236</v>
      </c>
      <c r="B220" s="11"/>
      <c r="C220" s="8"/>
      <c r="D220" s="8"/>
      <c r="E220" s="9"/>
      <c r="F220" s="10"/>
      <c r="G220" s="9"/>
      <c r="H220" s="11"/>
      <c r="I220" s="9" t="s">
        <v>13</v>
      </c>
      <c r="J220" s="55"/>
      <c r="K220" s="55"/>
      <c r="L220" s="55"/>
      <c r="M220" s="55"/>
      <c r="N220" s="55"/>
    </row>
    <row r="221">
      <c r="A221" s="54" t="s">
        <v>236</v>
      </c>
      <c r="B221" s="11"/>
      <c r="C221" s="8"/>
      <c r="D221" s="8"/>
      <c r="E221" s="9"/>
      <c r="F221" s="10"/>
      <c r="G221" s="9"/>
      <c r="H221" s="11"/>
      <c r="I221" s="9" t="s">
        <v>13</v>
      </c>
      <c r="J221" s="55"/>
      <c r="K221" s="55"/>
      <c r="L221" s="55"/>
      <c r="M221" s="55"/>
      <c r="N221" s="55"/>
    </row>
    <row r="222">
      <c r="A222" s="54" t="s">
        <v>236</v>
      </c>
      <c r="B222" s="11"/>
      <c r="C222" s="8"/>
      <c r="D222" s="8"/>
      <c r="E222" s="9"/>
      <c r="F222" s="10"/>
      <c r="G222" s="9"/>
      <c r="H222" s="11"/>
      <c r="I222" s="9" t="s">
        <v>13</v>
      </c>
      <c r="J222" s="55"/>
      <c r="K222" s="55"/>
      <c r="L222" s="55"/>
      <c r="M222" s="55"/>
      <c r="N222" s="55"/>
    </row>
    <row r="223">
      <c r="A223" s="54" t="s">
        <v>236</v>
      </c>
      <c r="B223" s="11"/>
      <c r="C223" s="8"/>
      <c r="D223" s="8"/>
      <c r="E223" s="9"/>
      <c r="F223" s="10"/>
      <c r="G223" s="9"/>
      <c r="H223" s="11"/>
      <c r="I223" s="9" t="s">
        <v>13</v>
      </c>
      <c r="J223" s="55"/>
      <c r="K223" s="55"/>
      <c r="L223" s="55"/>
      <c r="M223" s="55"/>
      <c r="N223" s="55"/>
    </row>
    <row r="224">
      <c r="A224" s="54" t="s">
        <v>236</v>
      </c>
      <c r="B224" s="11"/>
      <c r="C224" s="8"/>
      <c r="D224" s="8"/>
      <c r="E224" s="9"/>
      <c r="F224" s="10"/>
      <c r="G224" s="9"/>
      <c r="H224" s="11"/>
      <c r="I224" s="9" t="s">
        <v>13</v>
      </c>
      <c r="J224" s="55"/>
      <c r="K224" s="55"/>
      <c r="L224" s="55"/>
      <c r="M224" s="55"/>
      <c r="N224" s="55"/>
    </row>
    <row r="225">
      <c r="A225" s="54" t="s">
        <v>236</v>
      </c>
      <c r="B225" s="11"/>
      <c r="C225" s="8"/>
      <c r="D225" s="8"/>
      <c r="E225" s="9"/>
      <c r="F225" s="10"/>
      <c r="G225" s="9"/>
      <c r="H225" s="11"/>
      <c r="I225" s="9" t="s">
        <v>13</v>
      </c>
      <c r="J225" s="55"/>
      <c r="K225" s="55"/>
      <c r="L225" s="55"/>
      <c r="M225" s="55"/>
      <c r="N225" s="55"/>
    </row>
    <row r="226">
      <c r="A226" s="54" t="s">
        <v>236</v>
      </c>
      <c r="B226" s="11"/>
      <c r="C226" s="8"/>
      <c r="D226" s="8"/>
      <c r="E226" s="9"/>
      <c r="F226" s="10"/>
      <c r="G226" s="9"/>
      <c r="H226" s="11"/>
      <c r="I226" s="9" t="s">
        <v>13</v>
      </c>
      <c r="J226" s="55"/>
      <c r="K226" s="55"/>
      <c r="L226" s="55"/>
      <c r="M226" s="55"/>
      <c r="N226" s="55"/>
    </row>
    <row r="227">
      <c r="A227" s="54" t="s">
        <v>236</v>
      </c>
      <c r="B227" s="11"/>
      <c r="C227" s="8"/>
      <c r="D227" s="8"/>
      <c r="E227" s="9"/>
      <c r="F227" s="10"/>
      <c r="G227" s="9"/>
      <c r="H227" s="11"/>
      <c r="I227" s="9" t="s">
        <v>13</v>
      </c>
      <c r="J227" s="55"/>
      <c r="K227" s="55"/>
      <c r="L227" s="55"/>
      <c r="M227" s="55"/>
      <c r="N227" s="55"/>
    </row>
    <row r="228">
      <c r="A228" s="54" t="s">
        <v>236</v>
      </c>
      <c r="B228" s="11"/>
      <c r="C228" s="8"/>
      <c r="D228" s="8"/>
      <c r="E228" s="9"/>
      <c r="F228" s="10"/>
      <c r="G228" s="9"/>
      <c r="H228" s="11"/>
      <c r="I228" s="9" t="s">
        <v>13</v>
      </c>
      <c r="J228" s="55"/>
      <c r="K228" s="55"/>
      <c r="L228" s="55"/>
      <c r="M228" s="55"/>
      <c r="N228" s="55"/>
    </row>
    <row r="229">
      <c r="A229" s="54" t="s">
        <v>236</v>
      </c>
      <c r="B229" s="11"/>
      <c r="C229" s="8"/>
      <c r="D229" s="8"/>
      <c r="E229" s="9"/>
      <c r="F229" s="10"/>
      <c r="G229" s="9"/>
      <c r="H229" s="11"/>
      <c r="I229" s="9" t="s">
        <v>13</v>
      </c>
      <c r="J229" s="55"/>
      <c r="K229" s="55"/>
      <c r="L229" s="55"/>
      <c r="M229" s="55"/>
      <c r="N229" s="55"/>
    </row>
    <row r="230">
      <c r="A230" s="54" t="s">
        <v>236</v>
      </c>
      <c r="B230" s="11"/>
      <c r="C230" s="8"/>
      <c r="D230" s="8"/>
      <c r="E230" s="9"/>
      <c r="F230" s="10"/>
      <c r="G230" s="9"/>
      <c r="H230" s="11"/>
      <c r="I230" s="9" t="s">
        <v>13</v>
      </c>
      <c r="J230" s="55"/>
      <c r="K230" s="55"/>
      <c r="L230" s="55"/>
      <c r="M230" s="55"/>
      <c r="N230" s="55"/>
    </row>
    <row r="231">
      <c r="A231" s="54" t="s">
        <v>236</v>
      </c>
      <c r="B231" s="11"/>
      <c r="C231" s="8"/>
      <c r="D231" s="8"/>
      <c r="E231" s="9"/>
      <c r="F231" s="10"/>
      <c r="G231" s="9"/>
      <c r="H231" s="11"/>
      <c r="I231" s="9" t="s">
        <v>13</v>
      </c>
      <c r="J231" s="55"/>
      <c r="K231" s="55"/>
      <c r="L231" s="55"/>
      <c r="M231" s="55"/>
      <c r="N231" s="55"/>
    </row>
    <row r="232">
      <c r="A232" s="54" t="s">
        <v>236</v>
      </c>
      <c r="B232" s="11"/>
      <c r="C232" s="8"/>
      <c r="D232" s="8"/>
      <c r="E232" s="9"/>
      <c r="F232" s="10"/>
      <c r="G232" s="9"/>
      <c r="H232" s="11"/>
      <c r="I232" s="9" t="s">
        <v>13</v>
      </c>
      <c r="J232" s="55"/>
      <c r="K232" s="55"/>
      <c r="L232" s="55"/>
      <c r="M232" s="55"/>
      <c r="N232" s="55"/>
    </row>
    <row r="233">
      <c r="A233" s="54" t="s">
        <v>236</v>
      </c>
      <c r="B233" s="11"/>
      <c r="C233" s="8"/>
      <c r="D233" s="8"/>
      <c r="E233" s="9"/>
      <c r="F233" s="10"/>
      <c r="G233" s="9"/>
      <c r="H233" s="11"/>
      <c r="I233" s="9" t="s">
        <v>13</v>
      </c>
      <c r="J233" s="55"/>
      <c r="K233" s="55"/>
      <c r="L233" s="55"/>
      <c r="M233" s="55"/>
      <c r="N233" s="55"/>
    </row>
    <row r="234">
      <c r="A234" s="54" t="s">
        <v>236</v>
      </c>
      <c r="B234" s="11"/>
      <c r="C234" s="8"/>
      <c r="D234" s="8"/>
      <c r="E234" s="9"/>
      <c r="F234" s="10"/>
      <c r="G234" s="9"/>
      <c r="H234" s="11"/>
      <c r="I234" s="9" t="s">
        <v>13</v>
      </c>
      <c r="J234" s="55"/>
      <c r="K234" s="55"/>
      <c r="L234" s="55"/>
      <c r="M234" s="55"/>
      <c r="N234" s="55"/>
    </row>
    <row r="235">
      <c r="A235" s="54" t="s">
        <v>236</v>
      </c>
      <c r="B235" s="11"/>
      <c r="C235" s="8"/>
      <c r="D235" s="8"/>
      <c r="E235" s="9"/>
      <c r="F235" s="10"/>
      <c r="G235" s="9"/>
      <c r="H235" s="11"/>
      <c r="I235" s="9" t="s">
        <v>13</v>
      </c>
      <c r="J235" s="55"/>
      <c r="K235" s="55"/>
      <c r="L235" s="55"/>
      <c r="M235" s="55"/>
      <c r="N235" s="55"/>
    </row>
    <row r="236">
      <c r="A236" s="54" t="s">
        <v>236</v>
      </c>
      <c r="B236" s="11"/>
      <c r="C236" s="8"/>
      <c r="D236" s="8"/>
      <c r="E236" s="9"/>
      <c r="F236" s="10"/>
      <c r="G236" s="9"/>
      <c r="H236" s="11"/>
      <c r="I236" s="9" t="s">
        <v>13</v>
      </c>
      <c r="J236" s="55"/>
      <c r="K236" s="55"/>
      <c r="L236" s="55"/>
      <c r="M236" s="55"/>
      <c r="N236" s="55"/>
    </row>
    <row r="237">
      <c r="A237" s="54" t="s">
        <v>236</v>
      </c>
      <c r="B237" s="11"/>
      <c r="C237" s="8"/>
      <c r="D237" s="8"/>
      <c r="E237" s="9"/>
      <c r="F237" s="10"/>
      <c r="G237" s="9"/>
      <c r="H237" s="11"/>
      <c r="I237" s="9" t="s">
        <v>13</v>
      </c>
      <c r="J237" s="55"/>
      <c r="K237" s="55"/>
      <c r="L237" s="55"/>
      <c r="M237" s="55"/>
      <c r="N237" s="55"/>
    </row>
    <row r="238">
      <c r="A238" s="54" t="s">
        <v>236</v>
      </c>
      <c r="B238" s="11"/>
      <c r="C238" s="8"/>
      <c r="D238" s="8"/>
      <c r="E238" s="9"/>
      <c r="F238" s="10"/>
      <c r="G238" s="9"/>
      <c r="H238" s="11"/>
      <c r="I238" s="9" t="s">
        <v>13</v>
      </c>
      <c r="J238" s="55"/>
      <c r="K238" s="55"/>
      <c r="L238" s="55"/>
      <c r="M238" s="55"/>
      <c r="N238" s="55"/>
    </row>
    <row r="239">
      <c r="A239" s="54" t="s">
        <v>236</v>
      </c>
      <c r="B239" s="11"/>
      <c r="C239" s="8"/>
      <c r="D239" s="8"/>
      <c r="E239" s="9"/>
      <c r="F239" s="10"/>
      <c r="G239" s="9"/>
      <c r="H239" s="11"/>
      <c r="I239" s="9" t="s">
        <v>13</v>
      </c>
      <c r="J239" s="55"/>
      <c r="K239" s="55"/>
      <c r="L239" s="55"/>
      <c r="M239" s="55"/>
      <c r="N239" s="55"/>
    </row>
    <row r="240">
      <c r="A240" s="54" t="s">
        <v>236</v>
      </c>
      <c r="B240" s="11"/>
      <c r="C240" s="8"/>
      <c r="D240" s="8"/>
      <c r="E240" s="9"/>
      <c r="F240" s="10"/>
      <c r="G240" s="9"/>
      <c r="H240" s="11"/>
      <c r="I240" s="9" t="s">
        <v>13</v>
      </c>
      <c r="J240" s="55"/>
      <c r="K240" s="55"/>
      <c r="L240" s="55"/>
      <c r="M240" s="55"/>
      <c r="N240" s="55"/>
    </row>
    <row r="241">
      <c r="A241" s="54" t="s">
        <v>236</v>
      </c>
      <c r="B241" s="11"/>
      <c r="C241" s="8"/>
      <c r="D241" s="8"/>
      <c r="E241" s="9"/>
      <c r="F241" s="10"/>
      <c r="G241" s="9"/>
      <c r="H241" s="11"/>
      <c r="I241" s="9" t="s">
        <v>13</v>
      </c>
      <c r="J241" s="55"/>
      <c r="K241" s="55"/>
      <c r="L241" s="55"/>
      <c r="M241" s="55"/>
      <c r="N241" s="55"/>
    </row>
    <row r="242">
      <c r="A242" s="54" t="s">
        <v>236</v>
      </c>
      <c r="B242" s="11"/>
      <c r="C242" s="8"/>
      <c r="D242" s="8"/>
      <c r="E242" s="9"/>
      <c r="F242" s="10"/>
      <c r="G242" s="9"/>
      <c r="H242" s="11"/>
      <c r="I242" s="9" t="s">
        <v>13</v>
      </c>
      <c r="J242" s="55"/>
      <c r="K242" s="55"/>
      <c r="L242" s="55"/>
      <c r="M242" s="55"/>
      <c r="N242" s="55"/>
    </row>
    <row r="243">
      <c r="A243" s="54" t="s">
        <v>236</v>
      </c>
      <c r="B243" s="11"/>
      <c r="C243" s="8"/>
      <c r="D243" s="8"/>
      <c r="E243" s="9"/>
      <c r="F243" s="10"/>
      <c r="G243" s="9"/>
      <c r="H243" s="11"/>
      <c r="I243" s="9" t="s">
        <v>13</v>
      </c>
      <c r="J243" s="55"/>
      <c r="K243" s="55"/>
      <c r="L243" s="55"/>
      <c r="M243" s="55"/>
      <c r="N243" s="55"/>
    </row>
    <row r="244">
      <c r="A244" s="54" t="s">
        <v>236</v>
      </c>
      <c r="B244" s="11"/>
      <c r="C244" s="8"/>
      <c r="D244" s="8"/>
      <c r="E244" s="9"/>
      <c r="F244" s="10"/>
      <c r="G244" s="9"/>
      <c r="H244" s="11"/>
      <c r="I244" s="9" t="s">
        <v>13</v>
      </c>
      <c r="J244" s="55"/>
      <c r="K244" s="55"/>
      <c r="L244" s="55"/>
      <c r="M244" s="55"/>
      <c r="N244" s="55"/>
    </row>
    <row r="245">
      <c r="A245" s="54" t="s">
        <v>236</v>
      </c>
      <c r="B245" s="11"/>
      <c r="C245" s="8"/>
      <c r="D245" s="8"/>
      <c r="E245" s="9"/>
      <c r="F245" s="10"/>
      <c r="G245" s="9"/>
      <c r="H245" s="11"/>
      <c r="I245" s="9" t="s">
        <v>13</v>
      </c>
      <c r="J245" s="55"/>
      <c r="K245" s="55"/>
      <c r="L245" s="55"/>
      <c r="M245" s="55"/>
      <c r="N245" s="55"/>
    </row>
    <row r="246">
      <c r="A246" s="54" t="s">
        <v>236</v>
      </c>
      <c r="B246" s="11"/>
      <c r="C246" s="8"/>
      <c r="D246" s="8"/>
      <c r="E246" s="9"/>
      <c r="F246" s="10"/>
      <c r="G246" s="9"/>
      <c r="H246" s="11"/>
      <c r="I246" s="9" t="s">
        <v>13</v>
      </c>
      <c r="J246" s="55"/>
      <c r="K246" s="55"/>
      <c r="L246" s="55"/>
      <c r="M246" s="55"/>
      <c r="N246" s="55"/>
    </row>
    <row r="247">
      <c r="A247" s="54" t="s">
        <v>236</v>
      </c>
      <c r="B247" s="11"/>
      <c r="C247" s="8"/>
      <c r="D247" s="8"/>
      <c r="E247" s="9"/>
      <c r="F247" s="10"/>
      <c r="G247" s="9"/>
      <c r="H247" s="11"/>
      <c r="I247" s="9" t="s">
        <v>13</v>
      </c>
      <c r="J247" s="55"/>
      <c r="K247" s="55"/>
      <c r="L247" s="55"/>
      <c r="M247" s="55"/>
      <c r="N247" s="55"/>
    </row>
    <row r="248">
      <c r="A248" s="54" t="s">
        <v>236</v>
      </c>
      <c r="B248" s="11"/>
      <c r="C248" s="8"/>
      <c r="D248" s="8"/>
      <c r="E248" s="9"/>
      <c r="F248" s="10"/>
      <c r="G248" s="9"/>
      <c r="H248" s="11"/>
      <c r="I248" s="9" t="s">
        <v>13</v>
      </c>
      <c r="J248" s="55"/>
      <c r="K248" s="55"/>
      <c r="L248" s="55"/>
      <c r="M248" s="55"/>
      <c r="N248" s="55"/>
    </row>
    <row r="249">
      <c r="A249" s="54" t="s">
        <v>236</v>
      </c>
      <c r="B249" s="11"/>
      <c r="C249" s="8"/>
      <c r="D249" s="8"/>
      <c r="E249" s="9"/>
      <c r="F249" s="10"/>
      <c r="G249" s="9"/>
      <c r="H249" s="11"/>
      <c r="I249" s="9" t="s">
        <v>13</v>
      </c>
      <c r="J249" s="55"/>
      <c r="K249" s="55"/>
      <c r="L249" s="55"/>
      <c r="M249" s="55"/>
      <c r="N249" s="55"/>
    </row>
    <row r="250">
      <c r="A250" s="54" t="s">
        <v>236</v>
      </c>
      <c r="B250" s="11"/>
      <c r="C250" s="8"/>
      <c r="D250" s="8"/>
      <c r="E250" s="9"/>
      <c r="F250" s="10"/>
      <c r="G250" s="9"/>
      <c r="H250" s="11"/>
      <c r="I250" s="9" t="s">
        <v>13</v>
      </c>
      <c r="J250" s="55"/>
      <c r="K250" s="55"/>
      <c r="L250" s="55"/>
      <c r="M250" s="55"/>
      <c r="N250" s="55"/>
    </row>
    <row r="251">
      <c r="A251" s="54" t="s">
        <v>236</v>
      </c>
      <c r="B251" s="11"/>
      <c r="C251" s="8"/>
      <c r="D251" s="8"/>
      <c r="E251" s="9"/>
      <c r="F251" s="10"/>
      <c r="G251" s="9"/>
      <c r="H251" s="11"/>
      <c r="I251" s="9" t="s">
        <v>13</v>
      </c>
      <c r="J251" s="55"/>
      <c r="K251" s="55"/>
      <c r="L251" s="55"/>
      <c r="M251" s="55"/>
      <c r="N251" s="55"/>
    </row>
    <row r="252">
      <c r="A252" s="54" t="s">
        <v>236</v>
      </c>
      <c r="B252" s="11"/>
      <c r="C252" s="8"/>
      <c r="D252" s="8"/>
      <c r="E252" s="9"/>
      <c r="F252" s="10"/>
      <c r="G252" s="9"/>
      <c r="H252" s="11"/>
      <c r="I252" s="9" t="s">
        <v>13</v>
      </c>
      <c r="J252" s="55"/>
      <c r="K252" s="55"/>
      <c r="L252" s="55"/>
      <c r="M252" s="55"/>
      <c r="N252" s="55"/>
    </row>
    <row r="253">
      <c r="A253" s="54" t="s">
        <v>236</v>
      </c>
      <c r="B253" s="11"/>
      <c r="C253" s="8"/>
      <c r="D253" s="8"/>
      <c r="E253" s="9"/>
      <c r="F253" s="10"/>
      <c r="G253" s="9"/>
      <c r="H253" s="11"/>
      <c r="I253" s="9" t="s">
        <v>13</v>
      </c>
      <c r="J253" s="55"/>
      <c r="K253" s="55"/>
      <c r="L253" s="55"/>
      <c r="M253" s="55"/>
      <c r="N253" s="55"/>
    </row>
    <row r="254">
      <c r="A254" s="54" t="s">
        <v>236</v>
      </c>
      <c r="B254" s="11"/>
      <c r="C254" s="8"/>
      <c r="D254" s="8"/>
      <c r="E254" s="9"/>
      <c r="F254" s="10"/>
      <c r="G254" s="9"/>
      <c r="H254" s="11"/>
      <c r="I254" s="9" t="s">
        <v>13</v>
      </c>
      <c r="J254" s="55"/>
      <c r="K254" s="55"/>
      <c r="L254" s="55"/>
      <c r="M254" s="55"/>
      <c r="N254" s="55"/>
    </row>
    <row r="255">
      <c r="A255" s="54" t="s">
        <v>236</v>
      </c>
      <c r="B255" s="11"/>
      <c r="C255" s="8"/>
      <c r="D255" s="8"/>
      <c r="E255" s="9"/>
      <c r="F255" s="10"/>
      <c r="G255" s="9"/>
      <c r="H255" s="11"/>
      <c r="I255" s="9" t="s">
        <v>13</v>
      </c>
      <c r="J255" s="55"/>
      <c r="K255" s="55"/>
      <c r="L255" s="55"/>
      <c r="M255" s="55"/>
      <c r="N255" s="55"/>
    </row>
    <row r="256">
      <c r="A256" s="54" t="s">
        <v>236</v>
      </c>
      <c r="B256" s="11"/>
      <c r="C256" s="8"/>
      <c r="D256" s="8"/>
      <c r="E256" s="9"/>
      <c r="F256" s="10"/>
      <c r="G256" s="9"/>
      <c r="H256" s="11"/>
      <c r="I256" s="9" t="s">
        <v>13</v>
      </c>
      <c r="J256" s="55"/>
      <c r="K256" s="55"/>
      <c r="L256" s="55"/>
      <c r="M256" s="55"/>
      <c r="N256" s="55"/>
    </row>
    <row r="257">
      <c r="A257" s="54" t="s">
        <v>236</v>
      </c>
      <c r="B257" s="11"/>
      <c r="C257" s="8"/>
      <c r="D257" s="8"/>
      <c r="E257" s="9"/>
      <c r="F257" s="10"/>
      <c r="G257" s="9"/>
      <c r="H257" s="11"/>
      <c r="I257" s="9" t="s">
        <v>13</v>
      </c>
      <c r="J257" s="55"/>
      <c r="K257" s="55"/>
      <c r="L257" s="55"/>
      <c r="M257" s="55"/>
      <c r="N257" s="55"/>
    </row>
    <row r="258">
      <c r="A258" s="54" t="s">
        <v>236</v>
      </c>
      <c r="B258" s="11"/>
      <c r="C258" s="8"/>
      <c r="D258" s="8"/>
      <c r="E258" s="9"/>
      <c r="F258" s="10"/>
      <c r="G258" s="9"/>
      <c r="H258" s="11"/>
      <c r="I258" s="9" t="s">
        <v>13</v>
      </c>
      <c r="J258" s="55"/>
      <c r="K258" s="55"/>
      <c r="L258" s="55"/>
      <c r="M258" s="55"/>
      <c r="N258" s="55"/>
    </row>
    <row r="259">
      <c r="A259" s="54" t="s">
        <v>236</v>
      </c>
      <c r="B259" s="11"/>
      <c r="C259" s="8"/>
      <c r="D259" s="8"/>
      <c r="E259" s="9"/>
      <c r="F259" s="10"/>
      <c r="G259" s="9"/>
      <c r="H259" s="11"/>
      <c r="I259" s="9" t="s">
        <v>13</v>
      </c>
      <c r="J259" s="55"/>
      <c r="K259" s="55"/>
      <c r="L259" s="55"/>
      <c r="M259" s="55"/>
      <c r="N259" s="55"/>
    </row>
    <row r="260">
      <c r="A260" s="54" t="s">
        <v>236</v>
      </c>
      <c r="B260" s="11"/>
      <c r="C260" s="8"/>
      <c r="D260" s="8"/>
      <c r="E260" s="9"/>
      <c r="F260" s="10"/>
      <c r="G260" s="9"/>
      <c r="H260" s="11"/>
      <c r="I260" s="9" t="s">
        <v>13</v>
      </c>
      <c r="J260" s="55"/>
      <c r="K260" s="55"/>
      <c r="L260" s="55"/>
      <c r="M260" s="55"/>
      <c r="N260" s="55"/>
    </row>
    <row r="261">
      <c r="A261" s="54" t="s">
        <v>236</v>
      </c>
      <c r="B261" s="11"/>
      <c r="C261" s="8"/>
      <c r="D261" s="8"/>
      <c r="E261" s="9"/>
      <c r="F261" s="10"/>
      <c r="G261" s="9"/>
      <c r="H261" s="11"/>
      <c r="I261" s="9" t="s">
        <v>13</v>
      </c>
      <c r="J261" s="55"/>
      <c r="K261" s="55"/>
      <c r="L261" s="55"/>
      <c r="M261" s="55"/>
      <c r="N261" s="55"/>
    </row>
    <row r="262">
      <c r="A262" s="54" t="s">
        <v>236</v>
      </c>
      <c r="B262" s="11"/>
      <c r="C262" s="8"/>
      <c r="D262" s="8"/>
      <c r="E262" s="9"/>
      <c r="F262" s="10"/>
      <c r="G262" s="9"/>
      <c r="H262" s="11"/>
      <c r="I262" s="9" t="s">
        <v>13</v>
      </c>
      <c r="J262" s="55"/>
      <c r="K262" s="55"/>
      <c r="L262" s="55"/>
      <c r="M262" s="55"/>
      <c r="N262" s="55"/>
    </row>
    <row r="263">
      <c r="A263" s="54" t="s">
        <v>236</v>
      </c>
      <c r="B263" s="11"/>
      <c r="C263" s="8"/>
      <c r="D263" s="8"/>
      <c r="E263" s="9"/>
      <c r="F263" s="10"/>
      <c r="G263" s="9"/>
      <c r="H263" s="11"/>
      <c r="I263" s="9" t="s">
        <v>13</v>
      </c>
      <c r="J263" s="55"/>
      <c r="K263" s="55"/>
      <c r="L263" s="55"/>
      <c r="M263" s="55"/>
      <c r="N263" s="55"/>
    </row>
    <row r="264">
      <c r="A264" s="54" t="s">
        <v>236</v>
      </c>
      <c r="B264" s="11"/>
      <c r="C264" s="8"/>
      <c r="D264" s="8"/>
      <c r="E264" s="9"/>
      <c r="F264" s="10"/>
      <c r="G264" s="9"/>
      <c r="H264" s="11"/>
      <c r="I264" s="9" t="s">
        <v>13</v>
      </c>
      <c r="J264" s="55"/>
      <c r="K264" s="55"/>
      <c r="L264" s="55"/>
      <c r="M264" s="55"/>
      <c r="N264" s="55"/>
    </row>
    <row r="265">
      <c r="A265" s="54" t="s">
        <v>236</v>
      </c>
      <c r="B265" s="11"/>
      <c r="C265" s="8"/>
      <c r="D265" s="8"/>
      <c r="E265" s="9"/>
      <c r="F265" s="10"/>
      <c r="G265" s="9"/>
      <c r="H265" s="11"/>
      <c r="I265" s="9" t="s">
        <v>13</v>
      </c>
      <c r="J265" s="55"/>
      <c r="K265" s="55"/>
      <c r="L265" s="55"/>
      <c r="M265" s="55"/>
      <c r="N265" s="55"/>
    </row>
    <row r="266">
      <c r="A266" s="54" t="s">
        <v>236</v>
      </c>
      <c r="B266" s="11"/>
      <c r="C266" s="8"/>
      <c r="D266" s="8"/>
      <c r="E266" s="9"/>
      <c r="F266" s="10"/>
      <c r="G266" s="9"/>
      <c r="H266" s="11"/>
      <c r="I266" s="9" t="s">
        <v>13</v>
      </c>
      <c r="J266" s="55"/>
      <c r="K266" s="55"/>
      <c r="L266" s="55"/>
      <c r="M266" s="55"/>
      <c r="N266" s="55"/>
    </row>
    <row r="267">
      <c r="A267" s="54" t="s">
        <v>236</v>
      </c>
      <c r="B267" s="11"/>
      <c r="C267" s="8"/>
      <c r="D267" s="8"/>
      <c r="E267" s="9"/>
      <c r="F267" s="10"/>
      <c r="G267" s="9"/>
      <c r="H267" s="11"/>
      <c r="I267" s="9" t="s">
        <v>13</v>
      </c>
      <c r="J267" s="55"/>
      <c r="K267" s="55"/>
      <c r="L267" s="55"/>
      <c r="M267" s="55"/>
      <c r="N267" s="55"/>
    </row>
    <row r="268">
      <c r="A268" s="54" t="s">
        <v>236</v>
      </c>
      <c r="B268" s="11"/>
      <c r="C268" s="8"/>
      <c r="D268" s="8"/>
      <c r="E268" s="9"/>
      <c r="F268" s="10"/>
      <c r="G268" s="9"/>
      <c r="H268" s="11"/>
      <c r="I268" s="9" t="s">
        <v>13</v>
      </c>
      <c r="J268" s="55"/>
      <c r="K268" s="55"/>
      <c r="L268" s="55"/>
      <c r="M268" s="55"/>
      <c r="N268" s="55"/>
    </row>
    <row r="269">
      <c r="A269" s="54" t="s">
        <v>236</v>
      </c>
      <c r="B269" s="11"/>
      <c r="C269" s="8"/>
      <c r="D269" s="8"/>
      <c r="E269" s="9"/>
      <c r="F269" s="10"/>
      <c r="G269" s="9"/>
      <c r="H269" s="11"/>
      <c r="I269" s="9" t="s">
        <v>13</v>
      </c>
      <c r="J269" s="55"/>
      <c r="K269" s="55"/>
      <c r="L269" s="55"/>
      <c r="M269" s="55"/>
      <c r="N269" s="55"/>
    </row>
    <row r="270">
      <c r="A270" s="54" t="s">
        <v>236</v>
      </c>
      <c r="B270" s="11"/>
      <c r="C270" s="8"/>
      <c r="D270" s="8"/>
      <c r="E270" s="9"/>
      <c r="F270" s="10"/>
      <c r="G270" s="9"/>
      <c r="H270" s="11"/>
      <c r="I270" s="9" t="s">
        <v>13</v>
      </c>
      <c r="J270" s="55"/>
      <c r="K270" s="55"/>
      <c r="L270" s="55"/>
      <c r="M270" s="55"/>
      <c r="N270" s="55"/>
    </row>
    <row r="271">
      <c r="A271" s="54" t="s">
        <v>236</v>
      </c>
      <c r="B271" s="11"/>
      <c r="C271" s="8"/>
      <c r="D271" s="8"/>
      <c r="E271" s="9"/>
      <c r="F271" s="10"/>
      <c r="G271" s="9"/>
      <c r="H271" s="11"/>
      <c r="I271" s="9" t="s">
        <v>13</v>
      </c>
      <c r="J271" s="55"/>
      <c r="K271" s="55"/>
      <c r="L271" s="55"/>
      <c r="M271" s="55"/>
      <c r="N271" s="55"/>
    </row>
    <row r="272">
      <c r="A272" s="54" t="s">
        <v>236</v>
      </c>
      <c r="B272" s="11"/>
      <c r="C272" s="8"/>
      <c r="D272" s="8"/>
      <c r="E272" s="9"/>
      <c r="F272" s="10"/>
      <c r="G272" s="9"/>
      <c r="H272" s="11"/>
      <c r="I272" s="9" t="s">
        <v>13</v>
      </c>
      <c r="J272" s="55"/>
      <c r="K272" s="55"/>
      <c r="L272" s="55"/>
      <c r="M272" s="55"/>
      <c r="N272" s="55"/>
    </row>
    <row r="273">
      <c r="A273" s="54" t="s">
        <v>236</v>
      </c>
      <c r="B273" s="11"/>
      <c r="C273" s="8"/>
      <c r="D273" s="8"/>
      <c r="E273" s="9"/>
      <c r="F273" s="10"/>
      <c r="G273" s="9"/>
      <c r="H273" s="11"/>
      <c r="I273" s="9" t="s">
        <v>13</v>
      </c>
      <c r="J273" s="55"/>
      <c r="K273" s="55"/>
      <c r="L273" s="55"/>
      <c r="M273" s="55"/>
      <c r="N273" s="55"/>
    </row>
    <row r="274">
      <c r="A274" s="54" t="s">
        <v>236</v>
      </c>
      <c r="B274" s="11"/>
      <c r="C274" s="8"/>
      <c r="D274" s="8"/>
      <c r="E274" s="9"/>
      <c r="F274" s="10"/>
      <c r="G274" s="9"/>
      <c r="H274" s="11"/>
      <c r="I274" s="9" t="s">
        <v>13</v>
      </c>
      <c r="J274" s="55"/>
      <c r="K274" s="55"/>
      <c r="L274" s="55"/>
      <c r="M274" s="55"/>
      <c r="N274" s="55"/>
    </row>
    <row r="275">
      <c r="A275" s="54" t="s">
        <v>236</v>
      </c>
      <c r="B275" s="11"/>
      <c r="C275" s="8"/>
      <c r="D275" s="8"/>
      <c r="E275" s="9"/>
      <c r="F275" s="10"/>
      <c r="G275" s="9"/>
      <c r="H275" s="11"/>
      <c r="I275" s="9" t="s">
        <v>13</v>
      </c>
      <c r="J275" s="55"/>
      <c r="K275" s="55"/>
      <c r="L275" s="55"/>
      <c r="M275" s="55"/>
      <c r="N275" s="55"/>
    </row>
    <row r="276">
      <c r="A276" s="54" t="s">
        <v>236</v>
      </c>
      <c r="B276" s="11"/>
      <c r="C276" s="8"/>
      <c r="D276" s="8"/>
      <c r="E276" s="9"/>
      <c r="F276" s="10"/>
      <c r="G276" s="9"/>
      <c r="H276" s="11"/>
      <c r="I276" s="9" t="s">
        <v>13</v>
      </c>
      <c r="J276" s="55"/>
      <c r="K276" s="55"/>
      <c r="L276" s="55"/>
      <c r="M276" s="55"/>
      <c r="N276" s="55"/>
    </row>
    <row r="277">
      <c r="A277" s="54" t="s">
        <v>236</v>
      </c>
      <c r="B277" s="11"/>
      <c r="C277" s="8"/>
      <c r="D277" s="8"/>
      <c r="E277" s="9"/>
      <c r="F277" s="10"/>
      <c r="G277" s="9"/>
      <c r="H277" s="11"/>
      <c r="I277" s="9" t="s">
        <v>13</v>
      </c>
      <c r="J277" s="55"/>
      <c r="K277" s="55"/>
      <c r="L277" s="55"/>
      <c r="M277" s="55"/>
      <c r="N277" s="55"/>
    </row>
    <row r="278">
      <c r="A278" s="54" t="s">
        <v>236</v>
      </c>
      <c r="B278" s="11"/>
      <c r="C278" s="8"/>
      <c r="D278" s="8"/>
      <c r="E278" s="9"/>
      <c r="F278" s="10"/>
      <c r="G278" s="9"/>
      <c r="H278" s="11"/>
      <c r="I278" s="9" t="s">
        <v>13</v>
      </c>
      <c r="J278" s="55"/>
      <c r="K278" s="55"/>
      <c r="L278" s="55"/>
      <c r="M278" s="55"/>
      <c r="N278" s="55"/>
    </row>
    <row r="279">
      <c r="A279" s="54" t="s">
        <v>236</v>
      </c>
      <c r="B279" s="11"/>
      <c r="C279" s="8"/>
      <c r="D279" s="8"/>
      <c r="E279" s="9"/>
      <c r="F279" s="10"/>
      <c r="G279" s="9"/>
      <c r="H279" s="11"/>
      <c r="I279" s="9" t="s">
        <v>13</v>
      </c>
      <c r="J279" s="55"/>
      <c r="K279" s="55"/>
      <c r="L279" s="55"/>
      <c r="M279" s="55"/>
      <c r="N279" s="55"/>
    </row>
    <row r="280">
      <c r="A280" s="54" t="s">
        <v>236</v>
      </c>
      <c r="B280" s="11"/>
      <c r="C280" s="8"/>
      <c r="D280" s="8"/>
      <c r="E280" s="9"/>
      <c r="F280" s="10"/>
      <c r="G280" s="9"/>
      <c r="H280" s="11"/>
      <c r="I280" s="9" t="s">
        <v>13</v>
      </c>
      <c r="J280" s="55"/>
      <c r="K280" s="55"/>
      <c r="L280" s="55"/>
      <c r="M280" s="55"/>
      <c r="N280" s="55"/>
    </row>
    <row r="281">
      <c r="A281" s="54" t="s">
        <v>236</v>
      </c>
      <c r="B281" s="11"/>
      <c r="C281" s="8"/>
      <c r="D281" s="8"/>
      <c r="E281" s="9"/>
      <c r="F281" s="10"/>
      <c r="G281" s="9"/>
      <c r="H281" s="11"/>
      <c r="I281" s="9" t="s">
        <v>13</v>
      </c>
      <c r="J281" s="55"/>
      <c r="K281" s="55"/>
      <c r="L281" s="55"/>
      <c r="M281" s="55"/>
      <c r="N281" s="55"/>
    </row>
    <row r="282">
      <c r="A282" s="54" t="s">
        <v>236</v>
      </c>
      <c r="B282" s="11"/>
      <c r="C282" s="8"/>
      <c r="D282" s="8"/>
      <c r="E282" s="9"/>
      <c r="F282" s="10"/>
      <c r="G282" s="9"/>
      <c r="H282" s="11"/>
      <c r="I282" s="9" t="s">
        <v>13</v>
      </c>
      <c r="J282" s="55"/>
      <c r="K282" s="55"/>
      <c r="L282" s="55"/>
      <c r="M282" s="55"/>
      <c r="N282" s="55"/>
    </row>
    <row r="283">
      <c r="A283" s="54" t="s">
        <v>236</v>
      </c>
      <c r="B283" s="11"/>
      <c r="C283" s="8"/>
      <c r="D283" s="8"/>
      <c r="E283" s="9"/>
      <c r="F283" s="10"/>
      <c r="G283" s="9"/>
      <c r="H283" s="11"/>
      <c r="I283" s="9" t="s">
        <v>13</v>
      </c>
      <c r="J283" s="55"/>
      <c r="K283" s="55"/>
      <c r="L283" s="55"/>
      <c r="M283" s="55"/>
      <c r="N283" s="55"/>
    </row>
    <row r="284">
      <c r="A284" s="54" t="s">
        <v>236</v>
      </c>
      <c r="B284" s="11"/>
      <c r="C284" s="8"/>
      <c r="D284" s="8"/>
      <c r="E284" s="9"/>
      <c r="F284" s="10"/>
      <c r="G284" s="9"/>
      <c r="H284" s="11"/>
      <c r="I284" s="9" t="s">
        <v>13</v>
      </c>
      <c r="J284" s="55"/>
      <c r="K284" s="55"/>
      <c r="L284" s="55"/>
      <c r="M284" s="55"/>
      <c r="N284" s="55"/>
    </row>
    <row r="285">
      <c r="A285" s="54" t="s">
        <v>236</v>
      </c>
      <c r="B285" s="11"/>
      <c r="C285" s="8"/>
      <c r="D285" s="8"/>
      <c r="E285" s="9"/>
      <c r="F285" s="10"/>
      <c r="G285" s="9"/>
      <c r="H285" s="11"/>
      <c r="I285" s="9" t="s">
        <v>13</v>
      </c>
      <c r="J285" s="55"/>
      <c r="K285" s="55"/>
      <c r="L285" s="55"/>
      <c r="M285" s="55"/>
      <c r="N285" s="55"/>
    </row>
    <row r="286">
      <c r="A286" s="54" t="s">
        <v>236</v>
      </c>
      <c r="B286" s="11"/>
      <c r="C286" s="8"/>
      <c r="D286" s="8"/>
      <c r="E286" s="9"/>
      <c r="F286" s="10"/>
      <c r="G286" s="9"/>
      <c r="H286" s="11"/>
      <c r="I286" s="9" t="s">
        <v>13</v>
      </c>
      <c r="J286" s="55"/>
      <c r="K286" s="55"/>
      <c r="L286" s="55"/>
      <c r="M286" s="55"/>
      <c r="N286" s="55"/>
    </row>
    <row r="287">
      <c r="A287" s="54" t="s">
        <v>236</v>
      </c>
      <c r="B287" s="11"/>
      <c r="C287" s="8"/>
      <c r="D287" s="8"/>
      <c r="E287" s="9"/>
      <c r="F287" s="10"/>
      <c r="G287" s="9"/>
      <c r="H287" s="11"/>
      <c r="I287" s="9" t="s">
        <v>13</v>
      </c>
      <c r="J287" s="55"/>
      <c r="K287" s="55"/>
      <c r="L287" s="55"/>
      <c r="M287" s="55"/>
      <c r="N287" s="55"/>
    </row>
    <row r="288">
      <c r="A288" s="54" t="s">
        <v>236</v>
      </c>
      <c r="B288" s="11"/>
      <c r="C288" s="8"/>
      <c r="D288" s="8"/>
      <c r="E288" s="9"/>
      <c r="F288" s="10"/>
      <c r="G288" s="9"/>
      <c r="H288" s="11"/>
      <c r="I288" s="9" t="s">
        <v>13</v>
      </c>
      <c r="J288" s="55"/>
      <c r="K288" s="55"/>
      <c r="L288" s="55"/>
      <c r="M288" s="55"/>
      <c r="N288" s="55"/>
    </row>
    <row r="289">
      <c r="A289" s="54" t="s">
        <v>236</v>
      </c>
      <c r="B289" s="11"/>
      <c r="C289" s="8"/>
      <c r="D289" s="8"/>
      <c r="E289" s="9"/>
      <c r="F289" s="10"/>
      <c r="G289" s="9"/>
      <c r="H289" s="11"/>
      <c r="I289" s="9" t="s">
        <v>13</v>
      </c>
      <c r="J289" s="55"/>
      <c r="K289" s="55"/>
      <c r="L289" s="55"/>
      <c r="M289" s="55"/>
      <c r="N289" s="55"/>
    </row>
    <row r="290">
      <c r="A290" s="54" t="s">
        <v>236</v>
      </c>
      <c r="B290" s="11"/>
      <c r="C290" s="8"/>
      <c r="D290" s="8"/>
      <c r="E290" s="9"/>
      <c r="F290" s="10"/>
      <c r="G290" s="9"/>
      <c r="H290" s="11"/>
      <c r="I290" s="9" t="s">
        <v>13</v>
      </c>
      <c r="J290" s="55"/>
      <c r="K290" s="55"/>
      <c r="L290" s="55"/>
      <c r="M290" s="55"/>
      <c r="N290" s="55"/>
    </row>
    <row r="291">
      <c r="A291" s="54" t="s">
        <v>236</v>
      </c>
      <c r="B291" s="11"/>
      <c r="C291" s="8"/>
      <c r="D291" s="8"/>
      <c r="E291" s="9"/>
      <c r="F291" s="10"/>
      <c r="G291" s="9"/>
      <c r="H291" s="11"/>
      <c r="I291" s="9" t="s">
        <v>13</v>
      </c>
      <c r="J291" s="55"/>
      <c r="K291" s="55"/>
      <c r="L291" s="55"/>
      <c r="M291" s="55"/>
      <c r="N291" s="55"/>
    </row>
    <row r="292">
      <c r="A292" s="54" t="s">
        <v>236</v>
      </c>
      <c r="B292" s="11"/>
      <c r="C292" s="8"/>
      <c r="D292" s="8"/>
      <c r="E292" s="9"/>
      <c r="F292" s="10"/>
      <c r="G292" s="9"/>
      <c r="H292" s="11"/>
      <c r="I292" s="9" t="s">
        <v>13</v>
      </c>
      <c r="J292" s="55"/>
      <c r="K292" s="55"/>
      <c r="L292" s="55"/>
      <c r="M292" s="55"/>
      <c r="N292" s="55"/>
    </row>
    <row r="293">
      <c r="A293" s="54" t="s">
        <v>236</v>
      </c>
      <c r="B293" s="11"/>
      <c r="C293" s="8"/>
      <c r="D293" s="8"/>
      <c r="E293" s="9"/>
      <c r="F293" s="10"/>
      <c r="G293" s="9"/>
      <c r="H293" s="11"/>
      <c r="I293" s="9" t="s">
        <v>13</v>
      </c>
      <c r="J293" s="55"/>
      <c r="K293" s="55"/>
      <c r="L293" s="55"/>
      <c r="M293" s="55"/>
      <c r="N293" s="55"/>
    </row>
    <row r="294">
      <c r="A294" s="54" t="s">
        <v>236</v>
      </c>
      <c r="B294" s="11"/>
      <c r="C294" s="8"/>
      <c r="D294" s="8"/>
      <c r="E294" s="9"/>
      <c r="F294" s="10"/>
      <c r="G294" s="9"/>
      <c r="H294" s="11"/>
      <c r="I294" s="9" t="s">
        <v>13</v>
      </c>
      <c r="J294" s="55"/>
      <c r="K294" s="55"/>
      <c r="L294" s="55"/>
      <c r="M294" s="55"/>
      <c r="N294" s="55"/>
    </row>
    <row r="295">
      <c r="A295" s="54" t="s">
        <v>236</v>
      </c>
      <c r="B295" s="11"/>
      <c r="C295" s="8"/>
      <c r="D295" s="8"/>
      <c r="E295" s="9"/>
      <c r="F295" s="10"/>
      <c r="G295" s="9"/>
      <c r="H295" s="11"/>
      <c r="I295" s="9" t="s">
        <v>13</v>
      </c>
      <c r="J295" s="55"/>
      <c r="K295" s="55"/>
      <c r="L295" s="55"/>
      <c r="M295" s="55"/>
      <c r="N295" s="55"/>
    </row>
    <row r="296">
      <c r="A296" s="54" t="s">
        <v>236</v>
      </c>
      <c r="B296" s="11"/>
      <c r="C296" s="8"/>
      <c r="D296" s="8"/>
      <c r="E296" s="9"/>
      <c r="F296" s="10"/>
      <c r="G296" s="9"/>
      <c r="H296" s="11"/>
      <c r="I296" s="9" t="s">
        <v>13</v>
      </c>
      <c r="J296" s="55"/>
      <c r="K296" s="55"/>
      <c r="L296" s="55"/>
      <c r="M296" s="55"/>
      <c r="N296" s="55"/>
    </row>
    <row r="297">
      <c r="A297" s="54" t="s">
        <v>236</v>
      </c>
      <c r="B297" s="11"/>
      <c r="C297" s="8"/>
      <c r="D297" s="8"/>
      <c r="E297" s="9"/>
      <c r="F297" s="10"/>
      <c r="G297" s="9"/>
      <c r="H297" s="11"/>
      <c r="I297" s="9" t="s">
        <v>13</v>
      </c>
      <c r="J297" s="55"/>
      <c r="K297" s="55"/>
      <c r="L297" s="55"/>
      <c r="M297" s="55"/>
      <c r="N297" s="55"/>
    </row>
    <row r="298">
      <c r="A298" s="54" t="s">
        <v>236</v>
      </c>
      <c r="B298" s="11"/>
      <c r="C298" s="8"/>
      <c r="D298" s="8"/>
      <c r="E298" s="9"/>
      <c r="F298" s="10"/>
      <c r="G298" s="9"/>
      <c r="H298" s="11"/>
      <c r="I298" s="9" t="s">
        <v>13</v>
      </c>
      <c r="J298" s="55"/>
      <c r="K298" s="55"/>
      <c r="L298" s="55"/>
      <c r="M298" s="55"/>
      <c r="N298" s="55"/>
    </row>
    <row r="299">
      <c r="A299" s="54" t="s">
        <v>236</v>
      </c>
      <c r="B299" s="11"/>
      <c r="C299" s="8"/>
      <c r="D299" s="8"/>
      <c r="E299" s="9"/>
      <c r="F299" s="10"/>
      <c r="G299" s="9"/>
      <c r="H299" s="11"/>
      <c r="I299" s="9" t="s">
        <v>13</v>
      </c>
      <c r="J299" s="55"/>
      <c r="K299" s="55"/>
      <c r="L299" s="55"/>
      <c r="M299" s="55"/>
      <c r="N299" s="55"/>
    </row>
    <row r="300">
      <c r="A300" s="54" t="s">
        <v>236</v>
      </c>
      <c r="B300" s="11"/>
      <c r="C300" s="8"/>
      <c r="D300" s="8"/>
      <c r="E300" s="9"/>
      <c r="F300" s="10"/>
      <c r="G300" s="9"/>
      <c r="H300" s="11"/>
      <c r="I300" s="9" t="s">
        <v>13</v>
      </c>
      <c r="J300" s="55"/>
      <c r="K300" s="55"/>
      <c r="L300" s="55"/>
      <c r="M300" s="55"/>
      <c r="N300" s="55"/>
    </row>
    <row r="301">
      <c r="A301" s="54" t="s">
        <v>236</v>
      </c>
      <c r="B301" s="11"/>
      <c r="C301" s="8"/>
      <c r="D301" s="8"/>
      <c r="E301" s="9"/>
      <c r="F301" s="10"/>
      <c r="G301" s="9"/>
      <c r="H301" s="11"/>
      <c r="I301" s="9" t="s">
        <v>13</v>
      </c>
      <c r="J301" s="55"/>
      <c r="K301" s="55"/>
      <c r="L301" s="55"/>
      <c r="M301" s="55"/>
      <c r="N301" s="55"/>
    </row>
    <row r="302">
      <c r="A302" s="54" t="s">
        <v>236</v>
      </c>
      <c r="B302" s="11"/>
      <c r="C302" s="8"/>
      <c r="D302" s="8"/>
      <c r="E302" s="9"/>
      <c r="F302" s="10"/>
      <c r="G302" s="9"/>
      <c r="H302" s="11"/>
      <c r="I302" s="9" t="s">
        <v>13</v>
      </c>
      <c r="J302" s="55"/>
      <c r="K302" s="55"/>
      <c r="L302" s="55"/>
      <c r="M302" s="55"/>
      <c r="N302" s="55"/>
    </row>
    <row r="303">
      <c r="A303" s="54" t="s">
        <v>236</v>
      </c>
      <c r="B303" s="11"/>
      <c r="C303" s="8"/>
      <c r="D303" s="8"/>
      <c r="E303" s="9"/>
      <c r="F303" s="10"/>
      <c r="G303" s="9"/>
      <c r="H303" s="11"/>
      <c r="I303" s="9" t="s">
        <v>13</v>
      </c>
      <c r="J303" s="55"/>
      <c r="K303" s="55"/>
      <c r="L303" s="55"/>
      <c r="M303" s="55"/>
      <c r="N303" s="55"/>
    </row>
    <row r="304">
      <c r="A304" s="54" t="s">
        <v>236</v>
      </c>
      <c r="B304" s="11"/>
      <c r="C304" s="8"/>
      <c r="D304" s="8"/>
      <c r="E304" s="9"/>
      <c r="F304" s="10"/>
      <c r="G304" s="9"/>
      <c r="H304" s="11"/>
      <c r="I304" s="9" t="s">
        <v>13</v>
      </c>
      <c r="J304" s="55"/>
      <c r="K304" s="55"/>
      <c r="L304" s="55"/>
      <c r="M304" s="55"/>
      <c r="N304" s="55"/>
    </row>
    <row r="305">
      <c r="A305" s="54" t="s">
        <v>236</v>
      </c>
      <c r="B305" s="11"/>
      <c r="C305" s="8"/>
      <c r="D305" s="8"/>
      <c r="E305" s="9"/>
      <c r="F305" s="10"/>
      <c r="G305" s="9"/>
      <c r="H305" s="11"/>
      <c r="I305" s="9" t="s">
        <v>13</v>
      </c>
      <c r="J305" s="55"/>
      <c r="K305" s="55"/>
      <c r="L305" s="55"/>
      <c r="M305" s="55"/>
      <c r="N305" s="55"/>
    </row>
    <row r="306">
      <c r="A306" s="54" t="s">
        <v>236</v>
      </c>
      <c r="B306" s="11"/>
      <c r="C306" s="8"/>
      <c r="D306" s="8"/>
      <c r="E306" s="9"/>
      <c r="F306" s="10"/>
      <c r="G306" s="9"/>
      <c r="H306" s="11"/>
      <c r="I306" s="9" t="s">
        <v>13</v>
      </c>
      <c r="J306" s="55"/>
      <c r="K306" s="55"/>
      <c r="L306" s="55"/>
      <c r="M306" s="55"/>
      <c r="N306" s="55"/>
    </row>
    <row r="307">
      <c r="A307" s="54" t="s">
        <v>236</v>
      </c>
      <c r="B307" s="11"/>
      <c r="C307" s="8"/>
      <c r="D307" s="8"/>
      <c r="E307" s="9"/>
      <c r="F307" s="10"/>
      <c r="G307" s="9"/>
      <c r="H307" s="11"/>
      <c r="I307" s="9" t="s">
        <v>13</v>
      </c>
      <c r="J307" s="55"/>
      <c r="K307" s="55"/>
      <c r="L307" s="55"/>
      <c r="M307" s="55"/>
      <c r="N307" s="55"/>
    </row>
    <row r="308">
      <c r="A308" s="54" t="s">
        <v>236</v>
      </c>
      <c r="B308" s="11"/>
      <c r="C308" s="8"/>
      <c r="D308" s="8"/>
      <c r="E308" s="9"/>
      <c r="F308" s="10"/>
      <c r="G308" s="9"/>
      <c r="H308" s="11"/>
      <c r="I308" s="9" t="s">
        <v>13</v>
      </c>
      <c r="J308" s="55"/>
      <c r="K308" s="55"/>
      <c r="L308" s="55"/>
      <c r="M308" s="55"/>
      <c r="N308" s="55"/>
    </row>
    <row r="309">
      <c r="A309" s="54" t="s">
        <v>236</v>
      </c>
      <c r="B309" s="11"/>
      <c r="C309" s="8"/>
      <c r="D309" s="8"/>
      <c r="E309" s="9"/>
      <c r="F309" s="10"/>
      <c r="G309" s="9"/>
      <c r="H309" s="11"/>
      <c r="I309" s="9" t="s">
        <v>13</v>
      </c>
      <c r="J309" s="55"/>
      <c r="K309" s="55"/>
      <c r="L309" s="55"/>
      <c r="M309" s="55"/>
      <c r="N309" s="55"/>
    </row>
    <row r="310">
      <c r="A310" s="54" t="s">
        <v>236</v>
      </c>
      <c r="B310" s="11"/>
      <c r="C310" s="8"/>
      <c r="D310" s="8"/>
      <c r="E310" s="9"/>
      <c r="F310" s="10"/>
      <c r="G310" s="9"/>
      <c r="H310" s="11"/>
      <c r="I310" s="9" t="s">
        <v>13</v>
      </c>
      <c r="J310" s="55"/>
      <c r="K310" s="55"/>
      <c r="L310" s="55"/>
      <c r="M310" s="55"/>
      <c r="N310" s="55"/>
    </row>
    <row r="311">
      <c r="A311" s="54" t="s">
        <v>236</v>
      </c>
      <c r="B311" s="11"/>
      <c r="C311" s="8"/>
      <c r="D311" s="8"/>
      <c r="E311" s="9"/>
      <c r="F311" s="10"/>
      <c r="G311" s="9"/>
      <c r="H311" s="11"/>
      <c r="I311" s="9" t="s">
        <v>13</v>
      </c>
      <c r="J311" s="55"/>
      <c r="K311" s="55"/>
      <c r="L311" s="55"/>
      <c r="M311" s="55"/>
      <c r="N311" s="55"/>
    </row>
    <row r="312">
      <c r="A312" s="54" t="s">
        <v>236</v>
      </c>
      <c r="B312" s="11"/>
      <c r="C312" s="8"/>
      <c r="D312" s="8"/>
      <c r="E312" s="9"/>
      <c r="F312" s="10"/>
      <c r="G312" s="9"/>
      <c r="H312" s="11"/>
      <c r="I312" s="9" t="s">
        <v>13</v>
      </c>
      <c r="J312" s="55"/>
      <c r="K312" s="55"/>
      <c r="L312" s="55"/>
      <c r="M312" s="55"/>
      <c r="N312" s="55"/>
    </row>
    <row r="313">
      <c r="A313" s="54" t="s">
        <v>236</v>
      </c>
      <c r="B313" s="11"/>
      <c r="C313" s="8"/>
      <c r="D313" s="8"/>
      <c r="E313" s="9"/>
      <c r="F313" s="10"/>
      <c r="G313" s="9"/>
      <c r="H313" s="11"/>
      <c r="I313" s="9" t="s">
        <v>13</v>
      </c>
      <c r="J313" s="55"/>
      <c r="K313" s="55"/>
      <c r="L313" s="55"/>
      <c r="M313" s="55"/>
      <c r="N313" s="55"/>
    </row>
    <row r="314">
      <c r="A314" s="54" t="s">
        <v>236</v>
      </c>
      <c r="B314" s="11"/>
      <c r="C314" s="8"/>
      <c r="D314" s="8"/>
      <c r="E314" s="9"/>
      <c r="F314" s="10"/>
      <c r="G314" s="9"/>
      <c r="H314" s="11"/>
      <c r="I314" s="9" t="s">
        <v>13</v>
      </c>
      <c r="J314" s="55"/>
      <c r="K314" s="55"/>
      <c r="L314" s="55"/>
      <c r="M314" s="55"/>
      <c r="N314" s="55"/>
    </row>
    <row r="315">
      <c r="A315" s="54" t="s">
        <v>236</v>
      </c>
      <c r="B315" s="11"/>
      <c r="C315" s="8"/>
      <c r="D315" s="8"/>
      <c r="E315" s="9"/>
      <c r="F315" s="10"/>
      <c r="G315" s="9"/>
      <c r="H315" s="11"/>
      <c r="I315" s="9" t="s">
        <v>13</v>
      </c>
      <c r="J315" s="55"/>
      <c r="K315" s="55"/>
      <c r="L315" s="55"/>
      <c r="M315" s="55"/>
      <c r="N315" s="55"/>
    </row>
    <row r="316">
      <c r="A316" s="54" t="s">
        <v>236</v>
      </c>
      <c r="B316" s="11"/>
      <c r="C316" s="8"/>
      <c r="D316" s="8"/>
      <c r="E316" s="9"/>
      <c r="F316" s="10"/>
      <c r="G316" s="9"/>
      <c r="H316" s="11"/>
      <c r="I316" s="9" t="s">
        <v>13</v>
      </c>
      <c r="J316" s="55"/>
      <c r="K316" s="55"/>
      <c r="L316" s="55"/>
      <c r="M316" s="55"/>
      <c r="N316" s="55"/>
    </row>
    <row r="317">
      <c r="A317" s="54" t="s">
        <v>236</v>
      </c>
      <c r="B317" s="11"/>
      <c r="C317" s="8"/>
      <c r="D317" s="8"/>
      <c r="E317" s="9"/>
      <c r="F317" s="10"/>
      <c r="G317" s="9"/>
      <c r="H317" s="11"/>
      <c r="I317" s="9" t="s">
        <v>13</v>
      </c>
      <c r="J317" s="55"/>
      <c r="K317" s="55"/>
      <c r="L317" s="55"/>
      <c r="M317" s="55"/>
      <c r="N317" s="55"/>
    </row>
    <row r="318">
      <c r="A318" s="54" t="s">
        <v>236</v>
      </c>
      <c r="B318" s="11"/>
      <c r="C318" s="8"/>
      <c r="D318" s="8"/>
      <c r="E318" s="9"/>
      <c r="F318" s="10"/>
      <c r="G318" s="9"/>
      <c r="H318" s="11"/>
      <c r="I318" s="9" t="s">
        <v>13</v>
      </c>
      <c r="J318" s="55"/>
      <c r="K318" s="55"/>
      <c r="L318" s="55"/>
      <c r="M318" s="55"/>
      <c r="N318" s="55"/>
    </row>
    <row r="319">
      <c r="A319" s="54" t="s">
        <v>236</v>
      </c>
      <c r="B319" s="11"/>
      <c r="C319" s="8"/>
      <c r="D319" s="8"/>
      <c r="E319" s="9"/>
      <c r="F319" s="10"/>
      <c r="G319" s="9"/>
      <c r="H319" s="11"/>
      <c r="I319" s="9" t="s">
        <v>13</v>
      </c>
      <c r="J319" s="55"/>
      <c r="K319" s="55"/>
      <c r="L319" s="55"/>
      <c r="M319" s="55"/>
      <c r="N319" s="55"/>
    </row>
    <row r="320">
      <c r="A320" s="54" t="s">
        <v>236</v>
      </c>
      <c r="B320" s="11"/>
      <c r="C320" s="8"/>
      <c r="D320" s="8"/>
      <c r="E320" s="9"/>
      <c r="F320" s="10"/>
      <c r="G320" s="9"/>
      <c r="H320" s="11"/>
      <c r="I320" s="9" t="s">
        <v>13</v>
      </c>
      <c r="J320" s="55"/>
      <c r="K320" s="55"/>
      <c r="L320" s="55"/>
      <c r="M320" s="55"/>
      <c r="N320" s="55"/>
    </row>
    <row r="321">
      <c r="A321" s="54" t="s">
        <v>236</v>
      </c>
      <c r="B321" s="11"/>
      <c r="C321" s="8"/>
      <c r="D321" s="8"/>
      <c r="E321" s="9"/>
      <c r="F321" s="10"/>
      <c r="G321" s="9"/>
      <c r="H321" s="11"/>
      <c r="I321" s="9" t="s">
        <v>13</v>
      </c>
      <c r="J321" s="55"/>
      <c r="K321" s="55"/>
      <c r="L321" s="55"/>
      <c r="M321" s="55"/>
      <c r="N321" s="55"/>
    </row>
    <row r="322">
      <c r="A322" s="54" t="s">
        <v>236</v>
      </c>
      <c r="B322" s="11"/>
      <c r="C322" s="8"/>
      <c r="D322" s="8"/>
      <c r="E322" s="9"/>
      <c r="F322" s="10"/>
      <c r="G322" s="9"/>
      <c r="H322" s="11"/>
      <c r="I322" s="9" t="s">
        <v>13</v>
      </c>
      <c r="J322" s="55"/>
      <c r="K322" s="55"/>
      <c r="L322" s="55"/>
      <c r="M322" s="55"/>
      <c r="N322" s="55"/>
    </row>
    <row r="323">
      <c r="A323" s="54" t="s">
        <v>236</v>
      </c>
      <c r="B323" s="11"/>
      <c r="C323" s="8"/>
      <c r="D323" s="8"/>
      <c r="E323" s="9"/>
      <c r="F323" s="10"/>
      <c r="G323" s="9"/>
      <c r="H323" s="11"/>
      <c r="I323" s="9" t="s">
        <v>13</v>
      </c>
      <c r="J323" s="55"/>
      <c r="K323" s="55"/>
      <c r="L323" s="55"/>
      <c r="M323" s="55"/>
      <c r="N323" s="55"/>
    </row>
    <row r="324">
      <c r="A324" s="54" t="s">
        <v>236</v>
      </c>
      <c r="B324" s="11"/>
      <c r="C324" s="8"/>
      <c r="D324" s="8"/>
      <c r="E324" s="9"/>
      <c r="F324" s="10"/>
      <c r="G324" s="9"/>
      <c r="H324" s="11"/>
      <c r="I324" s="9" t="s">
        <v>13</v>
      </c>
      <c r="J324" s="55"/>
      <c r="K324" s="55"/>
      <c r="L324" s="55"/>
      <c r="M324" s="55"/>
      <c r="N324" s="55"/>
    </row>
    <row r="325">
      <c r="A325" s="54" t="s">
        <v>236</v>
      </c>
      <c r="B325" s="11"/>
      <c r="C325" s="8"/>
      <c r="D325" s="8"/>
      <c r="E325" s="9"/>
      <c r="F325" s="10"/>
      <c r="G325" s="9"/>
      <c r="H325" s="11"/>
      <c r="I325" s="9" t="s">
        <v>13</v>
      </c>
      <c r="J325" s="55"/>
      <c r="K325" s="55"/>
      <c r="L325" s="55"/>
      <c r="M325" s="55"/>
      <c r="N325" s="55"/>
    </row>
    <row r="326">
      <c r="A326" s="54" t="s">
        <v>236</v>
      </c>
      <c r="B326" s="11"/>
      <c r="C326" s="8"/>
      <c r="D326" s="8"/>
      <c r="E326" s="9"/>
      <c r="F326" s="10"/>
      <c r="G326" s="9"/>
      <c r="H326" s="11"/>
      <c r="I326" s="9" t="s">
        <v>13</v>
      </c>
      <c r="J326" s="55"/>
      <c r="K326" s="55"/>
      <c r="L326" s="55"/>
      <c r="M326" s="55"/>
      <c r="N326" s="55"/>
    </row>
    <row r="327">
      <c r="A327" s="54" t="s">
        <v>236</v>
      </c>
      <c r="B327" s="11"/>
      <c r="C327" s="8"/>
      <c r="D327" s="8"/>
      <c r="E327" s="9"/>
      <c r="F327" s="10"/>
      <c r="G327" s="9"/>
      <c r="H327" s="11"/>
      <c r="I327" s="9" t="s">
        <v>13</v>
      </c>
      <c r="J327" s="55"/>
      <c r="K327" s="55"/>
      <c r="L327" s="55"/>
      <c r="M327" s="55"/>
      <c r="N327" s="55"/>
    </row>
    <row r="328">
      <c r="A328" s="54" t="s">
        <v>236</v>
      </c>
      <c r="B328" s="11"/>
      <c r="C328" s="8"/>
      <c r="D328" s="8"/>
      <c r="E328" s="9"/>
      <c r="F328" s="10"/>
      <c r="G328" s="9"/>
      <c r="H328" s="11"/>
      <c r="I328" s="9" t="s">
        <v>13</v>
      </c>
      <c r="J328" s="55"/>
      <c r="K328" s="55"/>
      <c r="L328" s="55"/>
      <c r="M328" s="55"/>
      <c r="N328" s="55"/>
    </row>
    <row r="329">
      <c r="A329" s="54" t="s">
        <v>236</v>
      </c>
      <c r="B329" s="11"/>
      <c r="C329" s="8"/>
      <c r="D329" s="8"/>
      <c r="E329" s="9"/>
      <c r="F329" s="10"/>
      <c r="G329" s="9"/>
      <c r="H329" s="11"/>
      <c r="I329" s="9" t="s">
        <v>13</v>
      </c>
      <c r="J329" s="55"/>
      <c r="K329" s="55"/>
      <c r="L329" s="55"/>
      <c r="M329" s="55"/>
      <c r="N329" s="55"/>
    </row>
    <row r="330">
      <c r="A330" s="54" t="s">
        <v>236</v>
      </c>
      <c r="B330" s="11"/>
      <c r="C330" s="8"/>
      <c r="D330" s="8"/>
      <c r="E330" s="9"/>
      <c r="F330" s="10"/>
      <c r="G330" s="9"/>
      <c r="H330" s="11"/>
      <c r="I330" s="9" t="s">
        <v>13</v>
      </c>
      <c r="J330" s="55"/>
      <c r="K330" s="55"/>
      <c r="L330" s="55"/>
      <c r="M330" s="55"/>
      <c r="N330" s="55"/>
    </row>
    <row r="331">
      <c r="A331" s="54" t="s">
        <v>236</v>
      </c>
      <c r="B331" s="11"/>
      <c r="C331" s="8"/>
      <c r="D331" s="8"/>
      <c r="E331" s="9"/>
      <c r="F331" s="10"/>
      <c r="G331" s="9"/>
      <c r="H331" s="11"/>
      <c r="I331" s="9" t="s">
        <v>13</v>
      </c>
      <c r="J331" s="55"/>
      <c r="K331" s="55"/>
      <c r="L331" s="55"/>
      <c r="M331" s="55"/>
      <c r="N331" s="55"/>
    </row>
    <row r="332">
      <c r="A332" s="54" t="s">
        <v>236</v>
      </c>
      <c r="B332" s="11"/>
      <c r="C332" s="8"/>
      <c r="D332" s="8"/>
      <c r="E332" s="9"/>
      <c r="F332" s="10"/>
      <c r="G332" s="9"/>
      <c r="H332" s="11"/>
      <c r="I332" s="9" t="s">
        <v>13</v>
      </c>
      <c r="J332" s="55"/>
      <c r="K332" s="55"/>
      <c r="L332" s="55"/>
      <c r="M332" s="55"/>
      <c r="N332" s="55"/>
    </row>
    <row r="333">
      <c r="A333" s="54" t="s">
        <v>236</v>
      </c>
      <c r="B333" s="11"/>
      <c r="C333" s="8"/>
      <c r="D333" s="8"/>
      <c r="E333" s="9"/>
      <c r="F333" s="10"/>
      <c r="G333" s="9"/>
      <c r="H333" s="11"/>
      <c r="I333" s="9" t="s">
        <v>13</v>
      </c>
      <c r="J333" s="55"/>
      <c r="K333" s="55"/>
      <c r="L333" s="55"/>
      <c r="M333" s="55"/>
      <c r="N333" s="55"/>
    </row>
    <row r="334">
      <c r="A334" s="54" t="s">
        <v>236</v>
      </c>
      <c r="B334" s="11"/>
      <c r="C334" s="8"/>
      <c r="D334" s="8"/>
      <c r="E334" s="9"/>
      <c r="F334" s="10"/>
      <c r="G334" s="9"/>
      <c r="H334" s="11"/>
      <c r="I334" s="9" t="s">
        <v>13</v>
      </c>
      <c r="J334" s="55"/>
      <c r="K334" s="55"/>
      <c r="L334" s="55"/>
      <c r="M334" s="55"/>
      <c r="N334" s="55"/>
    </row>
    <row r="335">
      <c r="A335" s="54" t="s">
        <v>236</v>
      </c>
      <c r="B335" s="11"/>
      <c r="C335" s="8"/>
      <c r="D335" s="8"/>
      <c r="E335" s="9"/>
      <c r="F335" s="10"/>
      <c r="G335" s="9"/>
      <c r="H335" s="11"/>
      <c r="I335" s="9" t="s">
        <v>13</v>
      </c>
      <c r="J335" s="55"/>
      <c r="K335" s="55"/>
      <c r="L335" s="55"/>
      <c r="M335" s="55"/>
      <c r="N335" s="55"/>
    </row>
    <row r="336">
      <c r="A336" s="54" t="s">
        <v>236</v>
      </c>
      <c r="B336" s="11"/>
      <c r="C336" s="8"/>
      <c r="D336" s="8"/>
      <c r="E336" s="9"/>
      <c r="F336" s="10"/>
      <c r="G336" s="9"/>
      <c r="H336" s="11"/>
      <c r="I336" s="9" t="s">
        <v>13</v>
      </c>
      <c r="J336" s="55"/>
      <c r="K336" s="55"/>
      <c r="L336" s="55"/>
      <c r="M336" s="55"/>
      <c r="N336" s="55"/>
    </row>
    <row r="337">
      <c r="A337" s="54" t="s">
        <v>236</v>
      </c>
      <c r="B337" s="11"/>
      <c r="C337" s="8"/>
      <c r="D337" s="8"/>
      <c r="E337" s="9"/>
      <c r="F337" s="10"/>
      <c r="G337" s="9"/>
      <c r="H337" s="11"/>
      <c r="I337" s="9" t="s">
        <v>13</v>
      </c>
      <c r="J337" s="55"/>
      <c r="K337" s="55"/>
      <c r="L337" s="55"/>
      <c r="M337" s="55"/>
      <c r="N337" s="55"/>
    </row>
    <row r="338">
      <c r="A338" s="54" t="s">
        <v>236</v>
      </c>
      <c r="B338" s="11"/>
      <c r="C338" s="8"/>
      <c r="D338" s="8"/>
      <c r="E338" s="9"/>
      <c r="F338" s="10"/>
      <c r="G338" s="9"/>
      <c r="H338" s="11"/>
      <c r="I338" s="9" t="s">
        <v>13</v>
      </c>
      <c r="J338" s="55"/>
      <c r="K338" s="55"/>
      <c r="L338" s="55"/>
      <c r="M338" s="55"/>
      <c r="N338" s="55"/>
    </row>
    <row r="339">
      <c r="A339" s="54" t="s">
        <v>236</v>
      </c>
      <c r="B339" s="11"/>
      <c r="C339" s="8"/>
      <c r="D339" s="8"/>
      <c r="E339" s="9"/>
      <c r="F339" s="10"/>
      <c r="G339" s="9"/>
      <c r="H339" s="11"/>
      <c r="I339" s="9" t="s">
        <v>13</v>
      </c>
      <c r="J339" s="55"/>
      <c r="K339" s="55"/>
      <c r="L339" s="55"/>
      <c r="M339" s="55"/>
      <c r="N339" s="55"/>
    </row>
    <row r="340">
      <c r="A340" s="54" t="s">
        <v>236</v>
      </c>
      <c r="B340" s="11"/>
      <c r="C340" s="8"/>
      <c r="D340" s="8"/>
      <c r="E340" s="9"/>
      <c r="F340" s="10"/>
      <c r="G340" s="9"/>
      <c r="H340" s="11"/>
      <c r="I340" s="9" t="s">
        <v>13</v>
      </c>
      <c r="J340" s="55"/>
      <c r="K340" s="55"/>
      <c r="L340" s="55"/>
      <c r="M340" s="55"/>
      <c r="N340" s="55"/>
    </row>
    <row r="341">
      <c r="A341" s="54" t="s">
        <v>236</v>
      </c>
      <c r="B341" s="11"/>
      <c r="C341" s="8"/>
      <c r="D341" s="8"/>
      <c r="E341" s="9"/>
      <c r="F341" s="10"/>
      <c r="G341" s="9"/>
      <c r="H341" s="11"/>
      <c r="I341" s="9" t="s">
        <v>13</v>
      </c>
      <c r="J341" s="55"/>
      <c r="K341" s="55"/>
      <c r="L341" s="55"/>
      <c r="M341" s="55"/>
      <c r="N341" s="55"/>
    </row>
    <row r="342">
      <c r="A342" s="54" t="s">
        <v>236</v>
      </c>
      <c r="B342" s="11"/>
      <c r="C342" s="8"/>
      <c r="D342" s="8"/>
      <c r="E342" s="9"/>
      <c r="F342" s="10"/>
      <c r="G342" s="9"/>
      <c r="H342" s="11"/>
      <c r="I342" s="9" t="s">
        <v>13</v>
      </c>
      <c r="J342" s="55"/>
      <c r="K342" s="55"/>
      <c r="L342" s="55"/>
      <c r="M342" s="55"/>
      <c r="N342" s="55"/>
    </row>
    <row r="343">
      <c r="A343" s="54" t="s">
        <v>236</v>
      </c>
      <c r="B343" s="11"/>
      <c r="C343" s="8"/>
      <c r="D343" s="8"/>
      <c r="E343" s="9"/>
      <c r="F343" s="10"/>
      <c r="G343" s="9"/>
      <c r="H343" s="11"/>
      <c r="I343" s="9" t="s">
        <v>13</v>
      </c>
      <c r="J343" s="55"/>
      <c r="K343" s="55"/>
      <c r="L343" s="55"/>
      <c r="M343" s="55"/>
      <c r="N343" s="55"/>
    </row>
    <row r="344">
      <c r="A344" s="54" t="s">
        <v>236</v>
      </c>
      <c r="B344" s="11"/>
      <c r="C344" s="8"/>
      <c r="D344" s="8"/>
      <c r="E344" s="9"/>
      <c r="F344" s="10"/>
      <c r="G344" s="9"/>
      <c r="H344" s="11"/>
      <c r="I344" s="9" t="s">
        <v>13</v>
      </c>
      <c r="J344" s="55"/>
      <c r="K344" s="55"/>
      <c r="L344" s="55"/>
      <c r="M344" s="55"/>
      <c r="N344" s="55"/>
    </row>
    <row r="345">
      <c r="A345" s="54" t="s">
        <v>236</v>
      </c>
      <c r="B345" s="11"/>
      <c r="C345" s="8"/>
      <c r="D345" s="8"/>
      <c r="E345" s="9"/>
      <c r="F345" s="10"/>
      <c r="G345" s="9"/>
      <c r="H345" s="11"/>
      <c r="I345" s="9" t="s">
        <v>13</v>
      </c>
      <c r="J345" s="55"/>
      <c r="K345" s="55"/>
      <c r="L345" s="55"/>
      <c r="M345" s="55"/>
      <c r="N345" s="55"/>
    </row>
    <row r="346">
      <c r="A346" s="54" t="s">
        <v>236</v>
      </c>
      <c r="B346" s="11"/>
      <c r="C346" s="8"/>
      <c r="D346" s="8"/>
      <c r="E346" s="9"/>
      <c r="F346" s="10"/>
      <c r="G346" s="9"/>
      <c r="H346" s="11"/>
      <c r="I346" s="9" t="s">
        <v>13</v>
      </c>
      <c r="J346" s="55"/>
      <c r="K346" s="55"/>
      <c r="L346" s="55"/>
      <c r="M346" s="55"/>
      <c r="N346" s="55"/>
    </row>
    <row r="347">
      <c r="A347" s="54" t="s">
        <v>236</v>
      </c>
      <c r="B347" s="11"/>
      <c r="C347" s="8"/>
      <c r="D347" s="8"/>
      <c r="E347" s="9"/>
      <c r="F347" s="10"/>
      <c r="G347" s="9"/>
      <c r="H347" s="11"/>
      <c r="I347" s="9" t="s">
        <v>13</v>
      </c>
      <c r="J347" s="55"/>
      <c r="K347" s="55"/>
      <c r="L347" s="55"/>
      <c r="M347" s="55"/>
      <c r="N347" s="55"/>
    </row>
    <row r="348">
      <c r="A348" s="54" t="s">
        <v>236</v>
      </c>
      <c r="B348" s="11"/>
      <c r="C348" s="8"/>
      <c r="D348" s="8"/>
      <c r="E348" s="9"/>
      <c r="F348" s="10"/>
      <c r="G348" s="9"/>
      <c r="H348" s="11"/>
      <c r="I348" s="9" t="s">
        <v>13</v>
      </c>
      <c r="J348" s="55"/>
      <c r="K348" s="55"/>
      <c r="L348" s="55"/>
      <c r="M348" s="55"/>
      <c r="N348" s="55"/>
    </row>
    <row r="349">
      <c r="A349" s="54" t="s">
        <v>236</v>
      </c>
      <c r="B349" s="11"/>
      <c r="C349" s="8"/>
      <c r="D349" s="8"/>
      <c r="E349" s="9"/>
      <c r="F349" s="10"/>
      <c r="G349" s="9"/>
      <c r="H349" s="11"/>
      <c r="I349" s="9" t="s">
        <v>13</v>
      </c>
      <c r="J349" s="55"/>
      <c r="K349" s="55"/>
      <c r="L349" s="55"/>
      <c r="M349" s="55"/>
      <c r="N349" s="55"/>
    </row>
    <row r="350">
      <c r="A350" s="54" t="s">
        <v>236</v>
      </c>
      <c r="B350" s="11"/>
      <c r="C350" s="8"/>
      <c r="D350" s="8"/>
      <c r="E350" s="9"/>
      <c r="F350" s="10"/>
      <c r="G350" s="9"/>
      <c r="H350" s="11"/>
      <c r="I350" s="9" t="s">
        <v>13</v>
      </c>
      <c r="J350" s="55"/>
      <c r="K350" s="55"/>
      <c r="L350" s="55"/>
      <c r="M350" s="55"/>
      <c r="N350" s="55"/>
    </row>
    <row r="351">
      <c r="A351" s="54" t="s">
        <v>236</v>
      </c>
      <c r="B351" s="11"/>
      <c r="C351" s="8"/>
      <c r="D351" s="8"/>
      <c r="E351" s="9"/>
      <c r="F351" s="10"/>
      <c r="G351" s="9"/>
      <c r="H351" s="11"/>
      <c r="I351" s="9" t="s">
        <v>13</v>
      </c>
      <c r="J351" s="55"/>
      <c r="K351" s="55"/>
      <c r="L351" s="55"/>
      <c r="M351" s="55"/>
      <c r="N351" s="55"/>
    </row>
    <row r="352">
      <c r="A352" s="54" t="s">
        <v>236</v>
      </c>
      <c r="B352" s="11"/>
      <c r="C352" s="8"/>
      <c r="D352" s="8"/>
      <c r="E352" s="9"/>
      <c r="F352" s="10"/>
      <c r="G352" s="9"/>
      <c r="H352" s="11"/>
      <c r="I352" s="9" t="s">
        <v>13</v>
      </c>
      <c r="J352" s="55"/>
      <c r="K352" s="55"/>
      <c r="L352" s="55"/>
      <c r="M352" s="55"/>
      <c r="N352" s="55"/>
    </row>
    <row r="353">
      <c r="A353" s="54" t="s">
        <v>236</v>
      </c>
      <c r="B353" s="11"/>
      <c r="C353" s="8"/>
      <c r="D353" s="8"/>
      <c r="E353" s="9"/>
      <c r="F353" s="10"/>
      <c r="G353" s="9"/>
      <c r="H353" s="11"/>
      <c r="I353" s="9" t="s">
        <v>13</v>
      </c>
      <c r="J353" s="55"/>
      <c r="K353" s="55"/>
      <c r="L353" s="55"/>
      <c r="M353" s="55"/>
      <c r="N353" s="55"/>
    </row>
    <row r="354">
      <c r="A354" s="54" t="s">
        <v>236</v>
      </c>
      <c r="B354" s="11"/>
      <c r="C354" s="8"/>
      <c r="D354" s="8"/>
      <c r="E354" s="9"/>
      <c r="F354" s="10"/>
      <c r="G354" s="9"/>
      <c r="H354" s="11"/>
      <c r="I354" s="9" t="s">
        <v>13</v>
      </c>
      <c r="J354" s="55"/>
      <c r="K354" s="55"/>
      <c r="L354" s="55"/>
      <c r="M354" s="55"/>
      <c r="N354" s="55"/>
    </row>
    <row r="355">
      <c r="A355" s="54" t="s">
        <v>236</v>
      </c>
      <c r="B355" s="11"/>
      <c r="C355" s="8"/>
      <c r="D355" s="8"/>
      <c r="E355" s="9"/>
      <c r="F355" s="10"/>
      <c r="G355" s="9"/>
      <c r="H355" s="11"/>
      <c r="I355" s="9" t="s">
        <v>13</v>
      </c>
      <c r="J355" s="55"/>
      <c r="K355" s="55"/>
      <c r="L355" s="55"/>
      <c r="M355" s="55"/>
      <c r="N355" s="55"/>
    </row>
    <row r="356">
      <c r="A356" s="54" t="s">
        <v>236</v>
      </c>
      <c r="B356" s="11"/>
      <c r="C356" s="8"/>
      <c r="D356" s="8"/>
      <c r="E356" s="9"/>
      <c r="F356" s="10"/>
      <c r="G356" s="9"/>
      <c r="H356" s="11"/>
      <c r="I356" s="9" t="s">
        <v>13</v>
      </c>
      <c r="J356" s="55"/>
      <c r="K356" s="55"/>
      <c r="L356" s="55"/>
      <c r="M356" s="55"/>
      <c r="N356" s="55"/>
    </row>
    <row r="357">
      <c r="A357" s="54" t="s">
        <v>236</v>
      </c>
      <c r="B357" s="11"/>
      <c r="C357" s="8"/>
      <c r="D357" s="8"/>
      <c r="E357" s="9"/>
      <c r="F357" s="10"/>
      <c r="G357" s="9"/>
      <c r="H357" s="11"/>
      <c r="I357" s="9" t="s">
        <v>13</v>
      </c>
      <c r="J357" s="55"/>
      <c r="K357" s="55"/>
      <c r="L357" s="55"/>
      <c r="M357" s="55"/>
      <c r="N357" s="55"/>
    </row>
    <row r="358">
      <c r="A358" s="54" t="s">
        <v>236</v>
      </c>
      <c r="B358" s="11"/>
      <c r="C358" s="8"/>
      <c r="D358" s="8"/>
      <c r="E358" s="9"/>
      <c r="F358" s="10"/>
      <c r="G358" s="9"/>
      <c r="H358" s="11"/>
      <c r="I358" s="9" t="s">
        <v>13</v>
      </c>
      <c r="J358" s="55"/>
      <c r="K358" s="55"/>
      <c r="L358" s="55"/>
      <c r="M358" s="55"/>
      <c r="N358" s="55"/>
    </row>
    <row r="359">
      <c r="A359" s="54" t="s">
        <v>236</v>
      </c>
      <c r="B359" s="11"/>
      <c r="C359" s="8"/>
      <c r="D359" s="8"/>
      <c r="E359" s="9"/>
      <c r="F359" s="10"/>
      <c r="G359" s="9"/>
      <c r="H359" s="11"/>
      <c r="I359" s="9" t="s">
        <v>13</v>
      </c>
      <c r="J359" s="55"/>
      <c r="K359" s="55"/>
      <c r="L359" s="55"/>
      <c r="M359" s="55"/>
      <c r="N359" s="55"/>
    </row>
    <row r="360">
      <c r="A360" s="54" t="s">
        <v>236</v>
      </c>
      <c r="B360" s="11"/>
      <c r="C360" s="8"/>
      <c r="D360" s="8"/>
      <c r="E360" s="9"/>
      <c r="F360" s="10"/>
      <c r="G360" s="9"/>
      <c r="H360" s="11"/>
      <c r="I360" s="9" t="s">
        <v>13</v>
      </c>
      <c r="J360" s="55"/>
      <c r="K360" s="55"/>
      <c r="L360" s="55"/>
      <c r="M360" s="55"/>
      <c r="N360" s="55"/>
    </row>
    <row r="361">
      <c r="A361" s="54" t="s">
        <v>236</v>
      </c>
      <c r="B361" s="11"/>
      <c r="C361" s="8"/>
      <c r="D361" s="8"/>
      <c r="E361" s="9"/>
      <c r="F361" s="10"/>
      <c r="G361" s="9"/>
      <c r="H361" s="11"/>
      <c r="I361" s="9" t="s">
        <v>13</v>
      </c>
      <c r="J361" s="55"/>
      <c r="K361" s="55"/>
      <c r="L361" s="55"/>
      <c r="M361" s="55"/>
      <c r="N361" s="55"/>
    </row>
    <row r="362">
      <c r="A362" s="54" t="s">
        <v>236</v>
      </c>
      <c r="B362" s="11"/>
      <c r="C362" s="8"/>
      <c r="D362" s="8"/>
      <c r="E362" s="9"/>
      <c r="F362" s="10"/>
      <c r="G362" s="9"/>
      <c r="H362" s="11"/>
      <c r="I362" s="9" t="s">
        <v>13</v>
      </c>
      <c r="J362" s="55"/>
      <c r="K362" s="55"/>
      <c r="L362" s="55"/>
      <c r="M362" s="55"/>
      <c r="N362" s="55"/>
    </row>
    <row r="363">
      <c r="A363" s="54" t="s">
        <v>236</v>
      </c>
      <c r="B363" s="11"/>
      <c r="C363" s="8"/>
      <c r="D363" s="8"/>
      <c r="E363" s="9"/>
      <c r="F363" s="10"/>
      <c r="G363" s="9"/>
      <c r="H363" s="11"/>
      <c r="I363" s="9" t="s">
        <v>13</v>
      </c>
      <c r="J363" s="55"/>
      <c r="K363" s="55"/>
      <c r="L363" s="55"/>
      <c r="M363" s="55"/>
      <c r="N363" s="55"/>
    </row>
    <row r="364">
      <c r="A364" s="54" t="s">
        <v>236</v>
      </c>
      <c r="B364" s="11"/>
      <c r="C364" s="8"/>
      <c r="D364" s="8"/>
      <c r="E364" s="9"/>
      <c r="F364" s="10"/>
      <c r="G364" s="9"/>
      <c r="H364" s="11"/>
      <c r="I364" s="9" t="s">
        <v>13</v>
      </c>
      <c r="J364" s="55"/>
      <c r="K364" s="55"/>
      <c r="L364" s="55"/>
      <c r="M364" s="55"/>
      <c r="N364" s="55"/>
    </row>
    <row r="365">
      <c r="A365" s="54" t="s">
        <v>236</v>
      </c>
      <c r="B365" s="11"/>
      <c r="C365" s="8"/>
      <c r="D365" s="8"/>
      <c r="E365" s="9"/>
      <c r="F365" s="10"/>
      <c r="G365" s="9"/>
      <c r="H365" s="11"/>
      <c r="I365" s="9" t="s">
        <v>13</v>
      </c>
      <c r="J365" s="55"/>
      <c r="K365" s="55"/>
      <c r="L365" s="55"/>
      <c r="M365" s="55"/>
      <c r="N365" s="55"/>
    </row>
    <row r="366">
      <c r="A366" s="54" t="s">
        <v>236</v>
      </c>
      <c r="B366" s="11"/>
      <c r="C366" s="8"/>
      <c r="D366" s="8"/>
      <c r="E366" s="9"/>
      <c r="F366" s="10"/>
      <c r="G366" s="9"/>
      <c r="H366" s="11"/>
      <c r="I366" s="9" t="s">
        <v>13</v>
      </c>
      <c r="J366" s="55"/>
      <c r="K366" s="55"/>
      <c r="L366" s="55"/>
      <c r="M366" s="55"/>
      <c r="N366" s="55"/>
    </row>
    <row r="367">
      <c r="A367" s="54" t="s">
        <v>236</v>
      </c>
      <c r="B367" s="11"/>
      <c r="C367" s="8"/>
      <c r="D367" s="8"/>
      <c r="E367" s="9"/>
      <c r="F367" s="10"/>
      <c r="G367" s="9"/>
      <c r="H367" s="11"/>
      <c r="I367" s="9" t="s">
        <v>13</v>
      </c>
      <c r="J367" s="55"/>
      <c r="K367" s="55"/>
      <c r="L367" s="55"/>
      <c r="M367" s="55"/>
      <c r="N367" s="55"/>
    </row>
    <row r="368">
      <c r="A368" s="54" t="s">
        <v>236</v>
      </c>
      <c r="B368" s="11"/>
      <c r="C368" s="8"/>
      <c r="D368" s="8"/>
      <c r="E368" s="9"/>
      <c r="F368" s="10"/>
      <c r="G368" s="9"/>
      <c r="H368" s="11"/>
      <c r="I368" s="9" t="s">
        <v>13</v>
      </c>
      <c r="J368" s="55"/>
      <c r="K368" s="55"/>
      <c r="L368" s="55"/>
      <c r="M368" s="55"/>
      <c r="N368" s="55"/>
    </row>
    <row r="369">
      <c r="A369" s="54" t="s">
        <v>236</v>
      </c>
      <c r="B369" s="11"/>
      <c r="C369" s="8"/>
      <c r="D369" s="8"/>
      <c r="E369" s="9"/>
      <c r="F369" s="10"/>
      <c r="G369" s="9"/>
      <c r="H369" s="11"/>
      <c r="I369" s="9" t="s">
        <v>13</v>
      </c>
      <c r="J369" s="55"/>
      <c r="K369" s="55"/>
      <c r="L369" s="55"/>
      <c r="M369" s="55"/>
      <c r="N369" s="55"/>
    </row>
    <row r="370">
      <c r="A370" s="54" t="s">
        <v>236</v>
      </c>
      <c r="B370" s="11"/>
      <c r="C370" s="8"/>
      <c r="D370" s="8"/>
      <c r="E370" s="9"/>
      <c r="F370" s="10"/>
      <c r="G370" s="9"/>
      <c r="H370" s="11"/>
      <c r="I370" s="9" t="s">
        <v>13</v>
      </c>
      <c r="J370" s="55"/>
      <c r="K370" s="55"/>
      <c r="L370" s="55"/>
      <c r="M370" s="55"/>
      <c r="N370" s="55"/>
    </row>
    <row r="371">
      <c r="A371" s="54" t="s">
        <v>236</v>
      </c>
      <c r="B371" s="11"/>
      <c r="C371" s="8"/>
      <c r="D371" s="8"/>
      <c r="E371" s="9"/>
      <c r="F371" s="10"/>
      <c r="G371" s="9"/>
      <c r="H371" s="11"/>
      <c r="I371" s="9" t="s">
        <v>13</v>
      </c>
      <c r="J371" s="55"/>
      <c r="K371" s="55"/>
      <c r="L371" s="55"/>
      <c r="M371" s="55"/>
      <c r="N371" s="55"/>
    </row>
    <row r="372">
      <c r="A372" s="54" t="s">
        <v>236</v>
      </c>
      <c r="B372" s="11"/>
      <c r="C372" s="8"/>
      <c r="D372" s="8"/>
      <c r="E372" s="9"/>
      <c r="F372" s="10"/>
      <c r="G372" s="9"/>
      <c r="H372" s="11"/>
      <c r="I372" s="9" t="s">
        <v>13</v>
      </c>
      <c r="J372" s="55"/>
      <c r="K372" s="55"/>
      <c r="L372" s="55"/>
      <c r="M372" s="55"/>
      <c r="N372" s="55"/>
    </row>
    <row r="373">
      <c r="A373" s="54" t="s">
        <v>236</v>
      </c>
      <c r="B373" s="11"/>
      <c r="C373" s="8"/>
      <c r="D373" s="8"/>
      <c r="E373" s="9"/>
      <c r="F373" s="10"/>
      <c r="G373" s="9"/>
      <c r="H373" s="11"/>
      <c r="I373" s="9" t="s">
        <v>13</v>
      </c>
      <c r="J373" s="55"/>
      <c r="K373" s="55"/>
      <c r="L373" s="55"/>
      <c r="M373" s="55"/>
      <c r="N373" s="55"/>
    </row>
    <row r="374">
      <c r="A374" s="54" t="s">
        <v>236</v>
      </c>
      <c r="B374" s="11"/>
      <c r="C374" s="8"/>
      <c r="D374" s="8"/>
      <c r="E374" s="9"/>
      <c r="F374" s="10"/>
      <c r="G374" s="9"/>
      <c r="H374" s="11"/>
      <c r="I374" s="9" t="s">
        <v>13</v>
      </c>
      <c r="J374" s="55"/>
      <c r="K374" s="55"/>
      <c r="L374" s="55"/>
      <c r="M374" s="55"/>
      <c r="N374" s="55"/>
    </row>
    <row r="375">
      <c r="A375" s="54" t="s">
        <v>236</v>
      </c>
      <c r="B375" s="11"/>
      <c r="C375" s="8"/>
      <c r="D375" s="8"/>
      <c r="E375" s="9"/>
      <c r="F375" s="10"/>
      <c r="G375" s="9"/>
      <c r="H375" s="11"/>
      <c r="I375" s="9" t="s">
        <v>13</v>
      </c>
      <c r="J375" s="55"/>
      <c r="K375" s="55"/>
      <c r="L375" s="55"/>
      <c r="M375" s="55"/>
      <c r="N375" s="55"/>
    </row>
    <row r="376">
      <c r="A376" s="54" t="s">
        <v>236</v>
      </c>
      <c r="B376" s="11"/>
      <c r="C376" s="8"/>
      <c r="D376" s="8"/>
      <c r="E376" s="9"/>
      <c r="F376" s="10"/>
      <c r="G376" s="9"/>
      <c r="H376" s="11"/>
      <c r="I376" s="9" t="s">
        <v>13</v>
      </c>
      <c r="J376" s="55"/>
      <c r="K376" s="55"/>
      <c r="L376" s="55"/>
      <c r="M376" s="55"/>
      <c r="N376" s="55"/>
    </row>
    <row r="377">
      <c r="A377" s="54" t="s">
        <v>236</v>
      </c>
      <c r="B377" s="11"/>
      <c r="C377" s="8"/>
      <c r="D377" s="8"/>
      <c r="E377" s="9"/>
      <c r="F377" s="10"/>
      <c r="G377" s="9"/>
      <c r="H377" s="11"/>
      <c r="I377" s="9" t="s">
        <v>13</v>
      </c>
      <c r="J377" s="55"/>
      <c r="K377" s="55"/>
      <c r="L377" s="55"/>
      <c r="M377" s="55"/>
      <c r="N377" s="55"/>
    </row>
    <row r="378">
      <c r="A378" s="54" t="s">
        <v>236</v>
      </c>
      <c r="B378" s="11"/>
      <c r="C378" s="8"/>
      <c r="D378" s="8"/>
      <c r="E378" s="9"/>
      <c r="F378" s="10"/>
      <c r="G378" s="9"/>
      <c r="H378" s="11"/>
      <c r="I378" s="9" t="s">
        <v>13</v>
      </c>
      <c r="J378" s="55"/>
      <c r="K378" s="55"/>
      <c r="L378" s="55"/>
      <c r="M378" s="55"/>
      <c r="N378" s="55"/>
    </row>
    <row r="379">
      <c r="A379" s="54" t="s">
        <v>236</v>
      </c>
      <c r="B379" s="11"/>
      <c r="C379" s="8"/>
      <c r="D379" s="8"/>
      <c r="E379" s="9"/>
      <c r="F379" s="10"/>
      <c r="G379" s="9"/>
      <c r="H379" s="11"/>
      <c r="I379" s="9" t="s">
        <v>13</v>
      </c>
      <c r="J379" s="55"/>
      <c r="K379" s="55"/>
      <c r="L379" s="55"/>
      <c r="M379" s="55"/>
      <c r="N379" s="55"/>
    </row>
    <row r="380">
      <c r="A380" s="54" t="s">
        <v>236</v>
      </c>
      <c r="B380" s="11"/>
      <c r="C380" s="8"/>
      <c r="D380" s="8"/>
      <c r="E380" s="9"/>
      <c r="F380" s="10"/>
      <c r="G380" s="9"/>
      <c r="H380" s="11"/>
      <c r="I380" s="9" t="s">
        <v>13</v>
      </c>
      <c r="J380" s="55"/>
      <c r="K380" s="55"/>
      <c r="L380" s="55"/>
      <c r="M380" s="55"/>
      <c r="N380" s="55"/>
    </row>
    <row r="381">
      <c r="A381" s="54" t="s">
        <v>236</v>
      </c>
      <c r="B381" s="11"/>
      <c r="C381" s="8"/>
      <c r="D381" s="8"/>
      <c r="E381" s="9"/>
      <c r="F381" s="10"/>
      <c r="G381" s="9"/>
      <c r="H381" s="11"/>
      <c r="I381" s="9" t="s">
        <v>13</v>
      </c>
      <c r="J381" s="55"/>
      <c r="K381" s="55"/>
      <c r="L381" s="55"/>
      <c r="M381" s="55"/>
      <c r="N381" s="55"/>
    </row>
    <row r="382">
      <c r="A382" s="54" t="s">
        <v>236</v>
      </c>
      <c r="B382" s="11"/>
      <c r="C382" s="8"/>
      <c r="D382" s="8"/>
      <c r="E382" s="9"/>
      <c r="F382" s="10"/>
      <c r="G382" s="9"/>
      <c r="H382" s="11"/>
      <c r="I382" s="9" t="s">
        <v>13</v>
      </c>
      <c r="J382" s="55"/>
      <c r="K382" s="55"/>
      <c r="L382" s="55"/>
      <c r="M382" s="55"/>
      <c r="N382" s="55"/>
    </row>
    <row r="383">
      <c r="A383" s="54" t="s">
        <v>236</v>
      </c>
      <c r="B383" s="11"/>
      <c r="C383" s="8"/>
      <c r="D383" s="8"/>
      <c r="E383" s="9"/>
      <c r="F383" s="10"/>
      <c r="G383" s="9"/>
      <c r="H383" s="11"/>
      <c r="I383" s="9" t="s">
        <v>13</v>
      </c>
      <c r="J383" s="55"/>
      <c r="K383" s="55"/>
      <c r="L383" s="55"/>
      <c r="M383" s="55"/>
      <c r="N383" s="55"/>
    </row>
    <row r="384">
      <c r="A384" s="54" t="s">
        <v>236</v>
      </c>
      <c r="B384" s="11"/>
      <c r="C384" s="8"/>
      <c r="D384" s="8"/>
      <c r="E384" s="9"/>
      <c r="F384" s="10"/>
      <c r="G384" s="9"/>
      <c r="H384" s="11"/>
      <c r="I384" s="9" t="s">
        <v>13</v>
      </c>
      <c r="J384" s="55"/>
      <c r="K384" s="55"/>
      <c r="L384" s="55"/>
      <c r="M384" s="55"/>
      <c r="N384" s="55"/>
    </row>
    <row r="385">
      <c r="A385" s="54" t="s">
        <v>236</v>
      </c>
      <c r="B385" s="11"/>
      <c r="C385" s="8"/>
      <c r="D385" s="8"/>
      <c r="E385" s="9"/>
      <c r="F385" s="10"/>
      <c r="G385" s="9"/>
      <c r="H385" s="11"/>
      <c r="I385" s="9" t="s">
        <v>13</v>
      </c>
      <c r="J385" s="55"/>
      <c r="K385" s="55"/>
      <c r="L385" s="55"/>
      <c r="M385" s="55"/>
      <c r="N385" s="55"/>
    </row>
    <row r="386">
      <c r="A386" s="54" t="s">
        <v>236</v>
      </c>
      <c r="B386" s="11"/>
      <c r="C386" s="8"/>
      <c r="D386" s="8"/>
      <c r="E386" s="9"/>
      <c r="F386" s="10"/>
      <c r="G386" s="9"/>
      <c r="H386" s="11"/>
      <c r="I386" s="9" t="s">
        <v>13</v>
      </c>
      <c r="J386" s="55"/>
      <c r="K386" s="55"/>
      <c r="L386" s="55"/>
      <c r="M386" s="55"/>
      <c r="N386" s="55"/>
    </row>
    <row r="387">
      <c r="A387" s="54" t="s">
        <v>236</v>
      </c>
      <c r="B387" s="11"/>
      <c r="C387" s="8"/>
      <c r="D387" s="8"/>
      <c r="E387" s="9"/>
      <c r="F387" s="10"/>
      <c r="G387" s="9"/>
      <c r="H387" s="11"/>
      <c r="I387" s="9" t="s">
        <v>13</v>
      </c>
      <c r="J387" s="55"/>
      <c r="K387" s="55"/>
      <c r="L387" s="55"/>
      <c r="M387" s="55"/>
      <c r="N387" s="55"/>
    </row>
    <row r="388">
      <c r="A388" s="54" t="s">
        <v>236</v>
      </c>
      <c r="B388" s="11"/>
      <c r="C388" s="8"/>
      <c r="D388" s="8"/>
      <c r="E388" s="9"/>
      <c r="F388" s="10"/>
      <c r="G388" s="9"/>
      <c r="H388" s="11"/>
      <c r="I388" s="9" t="s">
        <v>13</v>
      </c>
      <c r="J388" s="55"/>
      <c r="K388" s="55"/>
      <c r="L388" s="55"/>
      <c r="M388" s="55"/>
      <c r="N388" s="55"/>
    </row>
    <row r="389">
      <c r="A389" s="54" t="s">
        <v>236</v>
      </c>
      <c r="B389" s="11"/>
      <c r="C389" s="8"/>
      <c r="D389" s="8"/>
      <c r="E389" s="9"/>
      <c r="F389" s="10"/>
      <c r="G389" s="9"/>
      <c r="H389" s="11"/>
      <c r="I389" s="9" t="s">
        <v>13</v>
      </c>
      <c r="J389" s="55"/>
      <c r="K389" s="55"/>
      <c r="L389" s="55"/>
      <c r="M389" s="55"/>
      <c r="N389" s="55"/>
    </row>
    <row r="390">
      <c r="A390" s="54" t="s">
        <v>236</v>
      </c>
      <c r="B390" s="11"/>
      <c r="C390" s="8"/>
      <c r="D390" s="8"/>
      <c r="E390" s="9"/>
      <c r="F390" s="10"/>
      <c r="G390" s="9"/>
      <c r="H390" s="11"/>
      <c r="I390" s="9" t="s">
        <v>13</v>
      </c>
      <c r="J390" s="55"/>
      <c r="K390" s="55"/>
      <c r="L390" s="55"/>
      <c r="M390" s="55"/>
      <c r="N390" s="55"/>
    </row>
    <row r="391">
      <c r="A391" s="54" t="s">
        <v>236</v>
      </c>
      <c r="B391" s="11"/>
      <c r="C391" s="8"/>
      <c r="D391" s="8"/>
      <c r="E391" s="9"/>
      <c r="F391" s="10"/>
      <c r="G391" s="9"/>
      <c r="H391" s="11"/>
      <c r="I391" s="9" t="s">
        <v>13</v>
      </c>
      <c r="J391" s="55"/>
      <c r="K391" s="55"/>
      <c r="L391" s="55"/>
      <c r="M391" s="55"/>
      <c r="N391" s="55"/>
    </row>
    <row r="392">
      <c r="A392" s="54" t="s">
        <v>236</v>
      </c>
      <c r="B392" s="11"/>
      <c r="C392" s="8"/>
      <c r="D392" s="8"/>
      <c r="E392" s="9"/>
      <c r="F392" s="10"/>
      <c r="G392" s="9"/>
      <c r="H392" s="11"/>
      <c r="I392" s="9" t="s">
        <v>13</v>
      </c>
      <c r="J392" s="55"/>
      <c r="K392" s="55"/>
      <c r="L392" s="55"/>
      <c r="M392" s="55"/>
      <c r="N392" s="55"/>
    </row>
    <row r="393">
      <c r="A393" s="54" t="s">
        <v>236</v>
      </c>
      <c r="B393" s="11"/>
      <c r="C393" s="8"/>
      <c r="D393" s="8"/>
      <c r="E393" s="9"/>
      <c r="F393" s="10"/>
      <c r="G393" s="9"/>
      <c r="H393" s="11"/>
      <c r="I393" s="9" t="s">
        <v>13</v>
      </c>
      <c r="J393" s="55"/>
      <c r="K393" s="55"/>
      <c r="L393" s="55"/>
      <c r="M393" s="55"/>
      <c r="N393" s="55"/>
    </row>
    <row r="394">
      <c r="A394" s="54" t="s">
        <v>236</v>
      </c>
      <c r="B394" s="11"/>
      <c r="C394" s="8"/>
      <c r="D394" s="8"/>
      <c r="E394" s="9"/>
      <c r="F394" s="10"/>
      <c r="G394" s="9"/>
      <c r="H394" s="11"/>
      <c r="I394" s="9" t="s">
        <v>13</v>
      </c>
      <c r="J394" s="55"/>
      <c r="K394" s="55"/>
      <c r="L394" s="55"/>
      <c r="M394" s="55"/>
      <c r="N394" s="55"/>
    </row>
    <row r="395">
      <c r="A395" s="54" t="s">
        <v>236</v>
      </c>
      <c r="B395" s="11"/>
      <c r="C395" s="8"/>
      <c r="D395" s="8"/>
      <c r="E395" s="9"/>
      <c r="F395" s="10"/>
      <c r="G395" s="9"/>
      <c r="H395" s="11"/>
      <c r="I395" s="9" t="s">
        <v>13</v>
      </c>
      <c r="J395" s="55"/>
      <c r="K395" s="55"/>
      <c r="L395" s="55"/>
      <c r="M395" s="55"/>
      <c r="N395" s="55"/>
    </row>
    <row r="396">
      <c r="A396" s="54" t="s">
        <v>236</v>
      </c>
      <c r="B396" s="11"/>
      <c r="C396" s="8"/>
      <c r="D396" s="8"/>
      <c r="E396" s="9"/>
      <c r="F396" s="10"/>
      <c r="G396" s="9"/>
      <c r="H396" s="11"/>
      <c r="I396" s="9" t="s">
        <v>13</v>
      </c>
      <c r="J396" s="55"/>
      <c r="K396" s="55"/>
      <c r="L396" s="55"/>
      <c r="M396" s="55"/>
      <c r="N396" s="55"/>
    </row>
    <row r="397">
      <c r="A397" s="54" t="s">
        <v>236</v>
      </c>
      <c r="B397" s="11"/>
      <c r="C397" s="8"/>
      <c r="D397" s="8"/>
      <c r="E397" s="9"/>
      <c r="F397" s="10"/>
      <c r="G397" s="9"/>
      <c r="H397" s="11"/>
      <c r="I397" s="9" t="s">
        <v>13</v>
      </c>
      <c r="J397" s="55"/>
      <c r="K397" s="55"/>
      <c r="L397" s="55"/>
      <c r="M397" s="55"/>
      <c r="N397" s="55"/>
    </row>
    <row r="398">
      <c r="A398" s="54" t="s">
        <v>236</v>
      </c>
      <c r="B398" s="11"/>
      <c r="C398" s="8"/>
      <c r="D398" s="8"/>
      <c r="E398" s="9"/>
      <c r="F398" s="10"/>
      <c r="G398" s="9"/>
      <c r="H398" s="11"/>
      <c r="I398" s="9" t="s">
        <v>13</v>
      </c>
      <c r="J398" s="55"/>
      <c r="K398" s="55"/>
      <c r="L398" s="55"/>
      <c r="M398" s="55"/>
      <c r="N398" s="55"/>
    </row>
    <row r="399">
      <c r="A399" s="54" t="s">
        <v>236</v>
      </c>
      <c r="B399" s="11"/>
      <c r="C399" s="8"/>
      <c r="D399" s="8"/>
      <c r="E399" s="9"/>
      <c r="F399" s="10"/>
      <c r="G399" s="9"/>
      <c r="H399" s="11"/>
      <c r="I399" s="9" t="s">
        <v>13</v>
      </c>
      <c r="J399" s="55"/>
      <c r="K399" s="55"/>
      <c r="L399" s="55"/>
      <c r="M399" s="55"/>
      <c r="N399" s="55"/>
    </row>
    <row r="400">
      <c r="A400" s="54" t="s">
        <v>236</v>
      </c>
      <c r="B400" s="11"/>
      <c r="C400" s="8"/>
      <c r="D400" s="8"/>
      <c r="E400" s="9"/>
      <c r="F400" s="10"/>
      <c r="G400" s="9"/>
      <c r="H400" s="11"/>
      <c r="I400" s="9" t="s">
        <v>13</v>
      </c>
      <c r="J400" s="55"/>
      <c r="K400" s="55"/>
      <c r="L400" s="55"/>
      <c r="M400" s="55"/>
      <c r="N400" s="55"/>
    </row>
    <row r="401">
      <c r="A401" s="54" t="s">
        <v>236</v>
      </c>
      <c r="B401" s="11"/>
      <c r="C401" s="8"/>
      <c r="D401" s="8"/>
      <c r="E401" s="9"/>
      <c r="F401" s="10"/>
      <c r="G401" s="9"/>
      <c r="H401" s="11"/>
      <c r="I401" s="9" t="s">
        <v>13</v>
      </c>
      <c r="J401" s="55"/>
      <c r="K401" s="55"/>
      <c r="L401" s="55"/>
      <c r="M401" s="55"/>
      <c r="N401" s="55"/>
    </row>
    <row r="402">
      <c r="A402" s="54" t="s">
        <v>236</v>
      </c>
      <c r="B402" s="11"/>
      <c r="C402" s="8"/>
      <c r="D402" s="8"/>
      <c r="E402" s="9"/>
      <c r="F402" s="10"/>
      <c r="G402" s="9"/>
      <c r="H402" s="11"/>
      <c r="I402" s="9" t="s">
        <v>13</v>
      </c>
      <c r="J402" s="55"/>
      <c r="K402" s="55"/>
      <c r="L402" s="55"/>
      <c r="M402" s="55"/>
      <c r="N402" s="55"/>
    </row>
    <row r="403">
      <c r="A403" s="54" t="s">
        <v>236</v>
      </c>
      <c r="B403" s="11"/>
      <c r="C403" s="8"/>
      <c r="D403" s="8"/>
      <c r="E403" s="9"/>
      <c r="F403" s="10"/>
      <c r="G403" s="9"/>
      <c r="H403" s="11"/>
      <c r="I403" s="9" t="s">
        <v>13</v>
      </c>
      <c r="J403" s="55"/>
      <c r="K403" s="55"/>
      <c r="L403" s="55"/>
      <c r="M403" s="55"/>
      <c r="N403" s="55"/>
    </row>
    <row r="404">
      <c r="A404" s="54" t="s">
        <v>236</v>
      </c>
      <c r="B404" s="11"/>
      <c r="C404" s="8"/>
      <c r="D404" s="8"/>
      <c r="E404" s="9"/>
      <c r="F404" s="10"/>
      <c r="G404" s="9"/>
      <c r="H404" s="11"/>
      <c r="I404" s="9" t="s">
        <v>13</v>
      </c>
      <c r="J404" s="55"/>
      <c r="K404" s="55"/>
      <c r="L404" s="55"/>
      <c r="M404" s="55"/>
      <c r="N404" s="55"/>
    </row>
    <row r="405">
      <c r="A405" s="54" t="s">
        <v>236</v>
      </c>
      <c r="B405" s="11"/>
      <c r="C405" s="8"/>
      <c r="D405" s="8"/>
      <c r="E405" s="9"/>
      <c r="F405" s="10"/>
      <c r="G405" s="9"/>
      <c r="H405" s="11"/>
      <c r="I405" s="9" t="s">
        <v>13</v>
      </c>
      <c r="J405" s="55"/>
      <c r="K405" s="55"/>
      <c r="L405" s="55"/>
      <c r="M405" s="55"/>
      <c r="N405" s="55"/>
    </row>
    <row r="406">
      <c r="A406" s="54" t="s">
        <v>236</v>
      </c>
      <c r="B406" s="11"/>
      <c r="C406" s="8"/>
      <c r="D406" s="8"/>
      <c r="E406" s="9"/>
      <c r="F406" s="10"/>
      <c r="G406" s="9"/>
      <c r="H406" s="11"/>
      <c r="I406" s="9" t="s">
        <v>13</v>
      </c>
      <c r="J406" s="55"/>
      <c r="K406" s="55"/>
      <c r="L406" s="55"/>
      <c r="M406" s="55"/>
      <c r="N406" s="55"/>
    </row>
    <row r="407">
      <c r="A407" s="54" t="s">
        <v>236</v>
      </c>
      <c r="B407" s="11"/>
      <c r="C407" s="8"/>
      <c r="D407" s="8"/>
      <c r="E407" s="9"/>
      <c r="F407" s="10"/>
      <c r="G407" s="9"/>
      <c r="H407" s="11"/>
      <c r="I407" s="9" t="s">
        <v>13</v>
      </c>
      <c r="J407" s="55"/>
      <c r="K407" s="55"/>
      <c r="L407" s="55"/>
      <c r="M407" s="55"/>
      <c r="N407" s="55"/>
    </row>
    <row r="408">
      <c r="A408" s="54" t="s">
        <v>236</v>
      </c>
      <c r="B408" s="11"/>
      <c r="C408" s="8"/>
      <c r="D408" s="8"/>
      <c r="E408" s="9"/>
      <c r="F408" s="10"/>
      <c r="G408" s="9"/>
      <c r="H408" s="11"/>
      <c r="I408" s="9" t="s">
        <v>13</v>
      </c>
      <c r="J408" s="55"/>
      <c r="K408" s="55"/>
      <c r="L408" s="55"/>
      <c r="M408" s="55"/>
      <c r="N408" s="55"/>
    </row>
    <row r="409">
      <c r="A409" s="54" t="s">
        <v>236</v>
      </c>
      <c r="B409" s="11"/>
      <c r="C409" s="8"/>
      <c r="D409" s="8"/>
      <c r="E409" s="9"/>
      <c r="F409" s="10"/>
      <c r="G409" s="9"/>
      <c r="H409" s="11"/>
      <c r="I409" s="9" t="s">
        <v>13</v>
      </c>
      <c r="J409" s="55"/>
      <c r="K409" s="55"/>
      <c r="L409" s="55"/>
      <c r="M409" s="55"/>
      <c r="N409" s="55"/>
    </row>
    <row r="410">
      <c r="A410" s="54" t="s">
        <v>236</v>
      </c>
      <c r="B410" s="11"/>
      <c r="C410" s="8"/>
      <c r="D410" s="8"/>
      <c r="E410" s="9"/>
      <c r="F410" s="10"/>
      <c r="G410" s="9"/>
      <c r="H410" s="11"/>
      <c r="I410" s="9" t="s">
        <v>13</v>
      </c>
      <c r="J410" s="55"/>
      <c r="K410" s="55"/>
      <c r="L410" s="55"/>
      <c r="M410" s="55"/>
      <c r="N410" s="55"/>
    </row>
    <row r="411">
      <c r="A411" s="54" t="s">
        <v>236</v>
      </c>
      <c r="B411" s="11"/>
      <c r="C411" s="8"/>
      <c r="D411" s="8"/>
      <c r="E411" s="9"/>
      <c r="F411" s="10"/>
      <c r="G411" s="9"/>
      <c r="H411" s="11"/>
      <c r="I411" s="9" t="s">
        <v>13</v>
      </c>
      <c r="J411" s="55"/>
      <c r="K411" s="55"/>
      <c r="L411" s="55"/>
      <c r="M411" s="55"/>
      <c r="N411" s="55"/>
    </row>
    <row r="412">
      <c r="A412" s="54" t="s">
        <v>236</v>
      </c>
      <c r="B412" s="11"/>
      <c r="C412" s="8"/>
      <c r="D412" s="8"/>
      <c r="E412" s="9"/>
      <c r="F412" s="10"/>
      <c r="G412" s="9"/>
      <c r="H412" s="11"/>
      <c r="I412" s="9" t="s">
        <v>13</v>
      </c>
      <c r="J412" s="55"/>
      <c r="K412" s="55"/>
      <c r="L412" s="55"/>
      <c r="M412" s="55"/>
      <c r="N412" s="55"/>
    </row>
    <row r="413">
      <c r="A413" s="54" t="s">
        <v>236</v>
      </c>
      <c r="B413" s="11"/>
      <c r="C413" s="8"/>
      <c r="D413" s="8"/>
      <c r="E413" s="9"/>
      <c r="F413" s="10"/>
      <c r="G413" s="9"/>
      <c r="H413" s="11"/>
      <c r="I413" s="9" t="s">
        <v>13</v>
      </c>
      <c r="J413" s="55"/>
      <c r="K413" s="55"/>
      <c r="L413" s="55"/>
      <c r="M413" s="55"/>
      <c r="N413" s="55"/>
    </row>
    <row r="414">
      <c r="A414" s="54" t="s">
        <v>236</v>
      </c>
      <c r="B414" s="11"/>
      <c r="C414" s="8"/>
      <c r="D414" s="8"/>
      <c r="E414" s="9"/>
      <c r="F414" s="10"/>
      <c r="G414" s="9"/>
      <c r="H414" s="11"/>
      <c r="I414" s="9" t="s">
        <v>13</v>
      </c>
      <c r="J414" s="55"/>
      <c r="K414" s="55"/>
      <c r="L414" s="55"/>
      <c r="M414" s="55"/>
      <c r="N414" s="55"/>
    </row>
    <row r="415">
      <c r="A415" s="54" t="s">
        <v>236</v>
      </c>
      <c r="B415" s="11"/>
      <c r="C415" s="8"/>
      <c r="D415" s="8"/>
      <c r="E415" s="9"/>
      <c r="F415" s="10"/>
      <c r="G415" s="9"/>
      <c r="H415" s="11"/>
      <c r="I415" s="9" t="s">
        <v>13</v>
      </c>
      <c r="J415" s="55"/>
      <c r="K415" s="55"/>
      <c r="L415" s="55"/>
      <c r="M415" s="55"/>
      <c r="N415" s="55"/>
    </row>
    <row r="416">
      <c r="A416" s="54" t="s">
        <v>236</v>
      </c>
      <c r="B416" s="11"/>
      <c r="C416" s="8"/>
      <c r="D416" s="8"/>
      <c r="E416" s="9"/>
      <c r="F416" s="10"/>
      <c r="G416" s="9"/>
      <c r="H416" s="11"/>
      <c r="I416" s="9" t="s">
        <v>13</v>
      </c>
      <c r="J416" s="55"/>
      <c r="K416" s="55"/>
      <c r="L416" s="55"/>
      <c r="M416" s="55"/>
      <c r="N416" s="55"/>
    </row>
    <row r="417">
      <c r="A417" s="54" t="s">
        <v>236</v>
      </c>
      <c r="B417" s="11"/>
      <c r="C417" s="8"/>
      <c r="D417" s="8"/>
      <c r="E417" s="9"/>
      <c r="F417" s="10"/>
      <c r="G417" s="9"/>
      <c r="H417" s="11"/>
      <c r="I417" s="9" t="s">
        <v>13</v>
      </c>
      <c r="J417" s="55"/>
      <c r="K417" s="55"/>
      <c r="L417" s="55"/>
      <c r="M417" s="55"/>
      <c r="N417" s="55"/>
    </row>
    <row r="418">
      <c r="A418" s="54" t="s">
        <v>236</v>
      </c>
      <c r="B418" s="11"/>
      <c r="C418" s="8"/>
      <c r="D418" s="8"/>
      <c r="E418" s="9"/>
      <c r="F418" s="10"/>
      <c r="G418" s="9"/>
      <c r="H418" s="11"/>
      <c r="I418" s="9" t="s">
        <v>13</v>
      </c>
      <c r="J418" s="55"/>
      <c r="K418" s="55"/>
      <c r="L418" s="55"/>
      <c r="M418" s="55"/>
      <c r="N418" s="55"/>
    </row>
    <row r="419">
      <c r="A419" s="54" t="s">
        <v>236</v>
      </c>
      <c r="B419" s="11"/>
      <c r="C419" s="8"/>
      <c r="D419" s="8"/>
      <c r="E419" s="9"/>
      <c r="F419" s="10"/>
      <c r="G419" s="9"/>
      <c r="H419" s="11"/>
      <c r="I419" s="9" t="s">
        <v>13</v>
      </c>
      <c r="J419" s="55"/>
      <c r="K419" s="55"/>
      <c r="L419" s="55"/>
      <c r="M419" s="55"/>
      <c r="N419" s="55"/>
    </row>
    <row r="420">
      <c r="A420" s="54" t="s">
        <v>236</v>
      </c>
      <c r="B420" s="11"/>
      <c r="C420" s="8"/>
      <c r="D420" s="8"/>
      <c r="E420" s="9"/>
      <c r="F420" s="10"/>
      <c r="G420" s="9"/>
      <c r="H420" s="11"/>
      <c r="I420" s="9" t="s">
        <v>13</v>
      </c>
      <c r="J420" s="55"/>
      <c r="K420" s="55"/>
      <c r="L420" s="55"/>
      <c r="M420" s="55"/>
      <c r="N420" s="55"/>
    </row>
    <row r="421">
      <c r="A421" s="54" t="s">
        <v>236</v>
      </c>
      <c r="B421" s="11"/>
      <c r="C421" s="8"/>
      <c r="D421" s="8"/>
      <c r="E421" s="9"/>
      <c r="F421" s="10"/>
      <c r="G421" s="9"/>
      <c r="H421" s="11"/>
      <c r="I421" s="9" t="s">
        <v>13</v>
      </c>
      <c r="J421" s="55"/>
      <c r="K421" s="55"/>
      <c r="L421" s="55"/>
      <c r="M421" s="55"/>
      <c r="N421" s="55"/>
    </row>
    <row r="422">
      <c r="A422" s="54" t="s">
        <v>236</v>
      </c>
      <c r="B422" s="11"/>
      <c r="C422" s="8"/>
      <c r="D422" s="8"/>
      <c r="E422" s="9"/>
      <c r="F422" s="10"/>
      <c r="G422" s="9"/>
      <c r="H422" s="11"/>
      <c r="I422" s="9" t="s">
        <v>13</v>
      </c>
      <c r="J422" s="55"/>
      <c r="K422" s="55"/>
      <c r="L422" s="55"/>
      <c r="M422" s="55"/>
      <c r="N422" s="55"/>
    </row>
    <row r="423">
      <c r="A423" s="54" t="s">
        <v>236</v>
      </c>
      <c r="B423" s="11"/>
      <c r="C423" s="8"/>
      <c r="D423" s="8"/>
      <c r="E423" s="9"/>
      <c r="F423" s="10"/>
      <c r="G423" s="9"/>
      <c r="H423" s="11"/>
      <c r="I423" s="9" t="s">
        <v>13</v>
      </c>
      <c r="J423" s="55"/>
      <c r="K423" s="55"/>
      <c r="L423" s="55"/>
      <c r="M423" s="55"/>
      <c r="N423" s="55"/>
    </row>
    <row r="424">
      <c r="A424" s="54" t="s">
        <v>236</v>
      </c>
      <c r="B424" s="11"/>
      <c r="C424" s="8"/>
      <c r="D424" s="8"/>
      <c r="E424" s="9"/>
      <c r="F424" s="10"/>
      <c r="G424" s="9"/>
      <c r="H424" s="11"/>
      <c r="I424" s="9" t="s">
        <v>13</v>
      </c>
      <c r="J424" s="55"/>
      <c r="K424" s="55"/>
      <c r="L424" s="55"/>
      <c r="M424" s="55"/>
      <c r="N424" s="55"/>
    </row>
    <row r="425">
      <c r="A425" s="54" t="s">
        <v>236</v>
      </c>
      <c r="B425" s="11"/>
      <c r="C425" s="8"/>
      <c r="D425" s="8"/>
      <c r="E425" s="9"/>
      <c r="F425" s="10"/>
      <c r="G425" s="9"/>
      <c r="H425" s="11"/>
      <c r="I425" s="9" t="s">
        <v>13</v>
      </c>
      <c r="J425" s="55"/>
      <c r="K425" s="55"/>
      <c r="L425" s="55"/>
      <c r="M425" s="55"/>
      <c r="N425" s="55"/>
    </row>
    <row r="426">
      <c r="A426" s="54" t="s">
        <v>236</v>
      </c>
      <c r="B426" s="11"/>
      <c r="C426" s="8"/>
      <c r="D426" s="8"/>
      <c r="E426" s="9"/>
      <c r="F426" s="10"/>
      <c r="G426" s="9"/>
      <c r="H426" s="11"/>
      <c r="I426" s="9" t="s">
        <v>13</v>
      </c>
      <c r="J426" s="55"/>
      <c r="K426" s="55"/>
      <c r="L426" s="55"/>
      <c r="M426" s="55"/>
      <c r="N426" s="55"/>
    </row>
    <row r="427">
      <c r="A427" s="54" t="s">
        <v>236</v>
      </c>
      <c r="B427" s="11"/>
      <c r="C427" s="8"/>
      <c r="D427" s="8"/>
      <c r="E427" s="9"/>
      <c r="F427" s="10"/>
      <c r="G427" s="9"/>
      <c r="H427" s="11"/>
      <c r="I427" s="9" t="s">
        <v>13</v>
      </c>
      <c r="J427" s="55"/>
      <c r="K427" s="55"/>
      <c r="L427" s="55"/>
      <c r="M427" s="55"/>
      <c r="N427" s="55"/>
    </row>
    <row r="428">
      <c r="A428" s="54" t="s">
        <v>236</v>
      </c>
      <c r="B428" s="11"/>
      <c r="C428" s="8"/>
      <c r="D428" s="8"/>
      <c r="E428" s="9"/>
      <c r="F428" s="10"/>
      <c r="G428" s="9"/>
      <c r="H428" s="11"/>
      <c r="I428" s="9" t="s">
        <v>13</v>
      </c>
      <c r="J428" s="55"/>
      <c r="K428" s="55"/>
      <c r="L428" s="55"/>
      <c r="M428" s="55"/>
      <c r="N428" s="55"/>
    </row>
    <row r="429">
      <c r="A429" s="54" t="s">
        <v>236</v>
      </c>
      <c r="B429" s="11"/>
      <c r="C429" s="8"/>
      <c r="D429" s="8"/>
      <c r="E429" s="9"/>
      <c r="F429" s="10"/>
      <c r="G429" s="9"/>
      <c r="H429" s="11"/>
      <c r="I429" s="9" t="s">
        <v>13</v>
      </c>
      <c r="J429" s="55"/>
      <c r="K429" s="55"/>
      <c r="L429" s="55"/>
      <c r="M429" s="55"/>
      <c r="N429" s="55"/>
    </row>
    <row r="430">
      <c r="A430" s="54" t="s">
        <v>236</v>
      </c>
      <c r="B430" s="11"/>
      <c r="C430" s="8"/>
      <c r="D430" s="8"/>
      <c r="E430" s="9"/>
      <c r="F430" s="10"/>
      <c r="G430" s="9"/>
      <c r="H430" s="11"/>
      <c r="I430" s="9" t="s">
        <v>13</v>
      </c>
      <c r="J430" s="55"/>
      <c r="K430" s="55"/>
      <c r="L430" s="55"/>
      <c r="M430" s="55"/>
      <c r="N430" s="55"/>
    </row>
    <row r="431">
      <c r="A431" s="54" t="s">
        <v>236</v>
      </c>
      <c r="B431" s="11"/>
      <c r="C431" s="8"/>
      <c r="D431" s="8"/>
      <c r="E431" s="9"/>
      <c r="F431" s="10"/>
      <c r="G431" s="9"/>
      <c r="H431" s="11"/>
      <c r="I431" s="9" t="s">
        <v>13</v>
      </c>
      <c r="J431" s="55"/>
      <c r="K431" s="55"/>
      <c r="L431" s="55"/>
      <c r="M431" s="55"/>
      <c r="N431" s="55"/>
    </row>
    <row r="432">
      <c r="A432" s="54" t="s">
        <v>236</v>
      </c>
      <c r="B432" s="11"/>
      <c r="C432" s="8"/>
      <c r="D432" s="8"/>
      <c r="E432" s="9"/>
      <c r="F432" s="10"/>
      <c r="G432" s="9"/>
      <c r="H432" s="11"/>
      <c r="I432" s="9" t="s">
        <v>13</v>
      </c>
      <c r="J432" s="55"/>
      <c r="K432" s="55"/>
      <c r="L432" s="55"/>
      <c r="M432" s="55"/>
      <c r="N432" s="55"/>
    </row>
    <row r="433">
      <c r="A433" s="54" t="s">
        <v>236</v>
      </c>
      <c r="B433" s="11"/>
      <c r="C433" s="8"/>
      <c r="D433" s="8"/>
      <c r="E433" s="9"/>
      <c r="F433" s="10"/>
      <c r="G433" s="9"/>
      <c r="H433" s="11"/>
      <c r="I433" s="9" t="s">
        <v>13</v>
      </c>
      <c r="J433" s="55"/>
      <c r="K433" s="55"/>
      <c r="L433" s="55"/>
      <c r="M433" s="55"/>
      <c r="N433" s="55"/>
    </row>
    <row r="434">
      <c r="A434" s="54" t="s">
        <v>236</v>
      </c>
      <c r="B434" s="11"/>
      <c r="C434" s="8"/>
      <c r="D434" s="8"/>
      <c r="E434" s="9"/>
      <c r="F434" s="10"/>
      <c r="G434" s="9"/>
      <c r="H434" s="11"/>
      <c r="I434" s="9" t="s">
        <v>13</v>
      </c>
      <c r="J434" s="55"/>
      <c r="K434" s="55"/>
      <c r="L434" s="55"/>
      <c r="M434" s="55"/>
      <c r="N434" s="55"/>
    </row>
    <row r="435">
      <c r="A435" s="54" t="s">
        <v>236</v>
      </c>
      <c r="B435" s="11"/>
      <c r="C435" s="8"/>
      <c r="D435" s="8"/>
      <c r="E435" s="9"/>
      <c r="F435" s="10"/>
      <c r="G435" s="9"/>
      <c r="H435" s="11"/>
      <c r="I435" s="9" t="s">
        <v>13</v>
      </c>
      <c r="J435" s="55"/>
      <c r="K435" s="55"/>
      <c r="L435" s="55"/>
      <c r="M435" s="55"/>
      <c r="N435" s="55"/>
    </row>
    <row r="436">
      <c r="A436" s="54" t="s">
        <v>236</v>
      </c>
      <c r="B436" s="11"/>
      <c r="C436" s="8"/>
      <c r="D436" s="8"/>
      <c r="E436" s="9"/>
      <c r="F436" s="10"/>
      <c r="G436" s="9"/>
      <c r="H436" s="11"/>
      <c r="I436" s="9" t="s">
        <v>13</v>
      </c>
      <c r="J436" s="55"/>
      <c r="K436" s="55"/>
      <c r="L436" s="55"/>
      <c r="M436" s="55"/>
      <c r="N436" s="55"/>
    </row>
    <row r="437">
      <c r="A437" s="54" t="s">
        <v>236</v>
      </c>
      <c r="B437" s="11"/>
      <c r="C437" s="8"/>
      <c r="D437" s="8"/>
      <c r="E437" s="9"/>
      <c r="F437" s="10"/>
      <c r="G437" s="9"/>
      <c r="H437" s="11"/>
      <c r="I437" s="9" t="s">
        <v>13</v>
      </c>
      <c r="J437" s="55"/>
      <c r="K437" s="55"/>
      <c r="L437" s="55"/>
      <c r="M437" s="55"/>
      <c r="N437" s="55"/>
    </row>
    <row r="438">
      <c r="A438" s="54" t="s">
        <v>236</v>
      </c>
      <c r="B438" s="11"/>
      <c r="C438" s="8"/>
      <c r="D438" s="8"/>
      <c r="E438" s="9"/>
      <c r="F438" s="10"/>
      <c r="G438" s="9"/>
      <c r="H438" s="11"/>
      <c r="I438" s="9" t="s">
        <v>13</v>
      </c>
      <c r="J438" s="55"/>
      <c r="K438" s="55"/>
      <c r="L438" s="55"/>
      <c r="M438" s="55"/>
      <c r="N438" s="55"/>
    </row>
    <row r="439">
      <c r="A439" s="54" t="s">
        <v>236</v>
      </c>
      <c r="B439" s="11"/>
      <c r="C439" s="8"/>
      <c r="D439" s="8"/>
      <c r="E439" s="9"/>
      <c r="F439" s="10"/>
      <c r="G439" s="9"/>
      <c r="H439" s="11"/>
      <c r="I439" s="9" t="s">
        <v>13</v>
      </c>
      <c r="J439" s="55"/>
      <c r="K439" s="55"/>
      <c r="L439" s="55"/>
      <c r="M439" s="55"/>
      <c r="N439" s="55"/>
    </row>
    <row r="440">
      <c r="A440" s="54" t="s">
        <v>236</v>
      </c>
      <c r="B440" s="11"/>
      <c r="C440" s="8"/>
      <c r="D440" s="8"/>
      <c r="E440" s="9"/>
      <c r="F440" s="10"/>
      <c r="G440" s="9"/>
      <c r="H440" s="11"/>
      <c r="I440" s="9" t="s">
        <v>13</v>
      </c>
      <c r="J440" s="55"/>
      <c r="K440" s="55"/>
      <c r="L440" s="55"/>
      <c r="M440" s="55"/>
      <c r="N440" s="55"/>
    </row>
    <row r="441">
      <c r="A441" s="54" t="s">
        <v>236</v>
      </c>
      <c r="B441" s="11"/>
      <c r="C441" s="8"/>
      <c r="D441" s="8"/>
      <c r="E441" s="9"/>
      <c r="F441" s="10"/>
      <c r="G441" s="9"/>
      <c r="H441" s="11"/>
      <c r="I441" s="9" t="s">
        <v>13</v>
      </c>
      <c r="J441" s="55"/>
      <c r="K441" s="55"/>
      <c r="L441" s="55"/>
      <c r="M441" s="55"/>
      <c r="N441" s="55"/>
    </row>
    <row r="442">
      <c r="A442" s="54" t="s">
        <v>236</v>
      </c>
      <c r="B442" s="11"/>
      <c r="C442" s="8"/>
      <c r="D442" s="8"/>
      <c r="E442" s="9"/>
      <c r="F442" s="10"/>
      <c r="G442" s="9"/>
      <c r="H442" s="11"/>
      <c r="I442" s="9" t="s">
        <v>13</v>
      </c>
      <c r="J442" s="55"/>
      <c r="K442" s="55"/>
      <c r="L442" s="55"/>
      <c r="M442" s="55"/>
      <c r="N442" s="55"/>
    </row>
    <row r="443">
      <c r="A443" s="54" t="s">
        <v>236</v>
      </c>
      <c r="B443" s="11"/>
      <c r="C443" s="8"/>
      <c r="D443" s="8"/>
      <c r="E443" s="9"/>
      <c r="F443" s="10"/>
      <c r="G443" s="9"/>
      <c r="H443" s="11"/>
      <c r="I443" s="9" t="s">
        <v>13</v>
      </c>
      <c r="J443" s="55"/>
      <c r="K443" s="55"/>
      <c r="L443" s="55"/>
      <c r="M443" s="55"/>
      <c r="N443" s="55"/>
    </row>
    <row r="444">
      <c r="A444" s="54" t="s">
        <v>236</v>
      </c>
      <c r="B444" s="11"/>
      <c r="C444" s="8"/>
      <c r="D444" s="8"/>
      <c r="E444" s="9"/>
      <c r="F444" s="10"/>
      <c r="G444" s="9"/>
      <c r="H444" s="11"/>
      <c r="I444" s="9" t="s">
        <v>13</v>
      </c>
      <c r="J444" s="55"/>
      <c r="K444" s="55"/>
      <c r="L444" s="55"/>
      <c r="M444" s="55"/>
      <c r="N444" s="55"/>
    </row>
    <row r="445">
      <c r="A445" s="54" t="s">
        <v>236</v>
      </c>
      <c r="B445" s="11"/>
      <c r="C445" s="8"/>
      <c r="D445" s="8"/>
      <c r="E445" s="9"/>
      <c r="F445" s="10"/>
      <c r="G445" s="9"/>
      <c r="H445" s="11"/>
      <c r="I445" s="9" t="s">
        <v>13</v>
      </c>
      <c r="J445" s="55"/>
      <c r="K445" s="55"/>
      <c r="L445" s="55"/>
      <c r="M445" s="55"/>
      <c r="N445" s="55"/>
    </row>
    <row r="446">
      <c r="A446" s="54" t="s">
        <v>236</v>
      </c>
      <c r="B446" s="11"/>
      <c r="C446" s="8"/>
      <c r="D446" s="8"/>
      <c r="E446" s="9"/>
      <c r="F446" s="10"/>
      <c r="G446" s="9"/>
      <c r="H446" s="11"/>
      <c r="I446" s="9" t="s">
        <v>13</v>
      </c>
      <c r="J446" s="55"/>
      <c r="K446" s="55"/>
      <c r="L446" s="55"/>
      <c r="M446" s="55"/>
      <c r="N446" s="55"/>
    </row>
    <row r="447">
      <c r="A447" s="54" t="s">
        <v>236</v>
      </c>
      <c r="B447" s="11"/>
      <c r="C447" s="8"/>
      <c r="D447" s="8"/>
      <c r="E447" s="9"/>
      <c r="F447" s="10"/>
      <c r="G447" s="9"/>
      <c r="H447" s="11"/>
      <c r="I447" s="9" t="s">
        <v>13</v>
      </c>
      <c r="J447" s="55"/>
      <c r="K447" s="55"/>
      <c r="L447" s="55"/>
      <c r="M447" s="55"/>
      <c r="N447" s="55"/>
    </row>
    <row r="448">
      <c r="A448" s="54" t="s">
        <v>236</v>
      </c>
      <c r="B448" s="11"/>
      <c r="C448" s="8"/>
      <c r="D448" s="8"/>
      <c r="E448" s="9"/>
      <c r="F448" s="10"/>
      <c r="G448" s="9"/>
      <c r="H448" s="11"/>
      <c r="I448" s="9" t="s">
        <v>13</v>
      </c>
      <c r="J448" s="55"/>
      <c r="K448" s="55"/>
      <c r="L448" s="55"/>
      <c r="M448" s="55"/>
      <c r="N448" s="55"/>
    </row>
    <row r="449">
      <c r="A449" s="54" t="s">
        <v>236</v>
      </c>
      <c r="B449" s="11"/>
      <c r="C449" s="8"/>
      <c r="D449" s="8"/>
      <c r="E449" s="9"/>
      <c r="F449" s="10"/>
      <c r="G449" s="9"/>
      <c r="H449" s="11"/>
      <c r="I449" s="9" t="s">
        <v>13</v>
      </c>
      <c r="J449" s="55"/>
      <c r="K449" s="55"/>
      <c r="L449" s="55"/>
      <c r="M449" s="55"/>
      <c r="N449" s="55"/>
    </row>
    <row r="450">
      <c r="A450" s="54" t="s">
        <v>236</v>
      </c>
      <c r="B450" s="11"/>
      <c r="C450" s="8"/>
      <c r="D450" s="8"/>
      <c r="E450" s="9"/>
      <c r="F450" s="10"/>
      <c r="G450" s="9"/>
      <c r="H450" s="11"/>
      <c r="I450" s="9" t="s">
        <v>13</v>
      </c>
      <c r="J450" s="55"/>
      <c r="K450" s="55"/>
      <c r="L450" s="55"/>
      <c r="M450" s="55"/>
      <c r="N450" s="55"/>
    </row>
    <row r="451">
      <c r="A451" s="54" t="s">
        <v>236</v>
      </c>
      <c r="B451" s="11"/>
      <c r="C451" s="8"/>
      <c r="D451" s="8"/>
      <c r="E451" s="9"/>
      <c r="F451" s="10"/>
      <c r="G451" s="9"/>
      <c r="H451" s="11"/>
      <c r="I451" s="9" t="s">
        <v>13</v>
      </c>
      <c r="J451" s="55"/>
      <c r="K451" s="55"/>
      <c r="L451" s="55"/>
      <c r="M451" s="55"/>
      <c r="N451" s="55"/>
    </row>
    <row r="452">
      <c r="A452" s="54" t="s">
        <v>236</v>
      </c>
      <c r="B452" s="11"/>
      <c r="C452" s="8"/>
      <c r="D452" s="8"/>
      <c r="E452" s="9"/>
      <c r="F452" s="10"/>
      <c r="G452" s="9"/>
      <c r="H452" s="11"/>
      <c r="I452" s="9" t="s">
        <v>13</v>
      </c>
      <c r="J452" s="55"/>
      <c r="K452" s="55"/>
      <c r="L452" s="55"/>
      <c r="M452" s="55"/>
      <c r="N452" s="55"/>
    </row>
    <row r="453">
      <c r="A453" s="54" t="s">
        <v>236</v>
      </c>
      <c r="B453" s="11"/>
      <c r="C453" s="8"/>
      <c r="D453" s="8"/>
      <c r="E453" s="9"/>
      <c r="F453" s="10"/>
      <c r="G453" s="9"/>
      <c r="H453" s="11"/>
      <c r="I453" s="9" t="s">
        <v>13</v>
      </c>
      <c r="J453" s="55"/>
      <c r="K453" s="55"/>
      <c r="L453" s="55"/>
      <c r="M453" s="55"/>
      <c r="N453" s="55"/>
    </row>
    <row r="454">
      <c r="A454" s="54" t="s">
        <v>236</v>
      </c>
      <c r="B454" s="11"/>
      <c r="C454" s="8"/>
      <c r="D454" s="8"/>
      <c r="E454" s="9"/>
      <c r="F454" s="10"/>
      <c r="G454" s="9"/>
      <c r="H454" s="11"/>
      <c r="I454" s="9" t="s">
        <v>13</v>
      </c>
      <c r="J454" s="55"/>
      <c r="K454" s="55"/>
      <c r="L454" s="55"/>
      <c r="M454" s="55"/>
      <c r="N454" s="55"/>
    </row>
    <row r="455">
      <c r="A455" s="54" t="s">
        <v>236</v>
      </c>
      <c r="B455" s="11"/>
      <c r="C455" s="8"/>
      <c r="D455" s="8"/>
      <c r="E455" s="9"/>
      <c r="F455" s="10"/>
      <c r="G455" s="9"/>
      <c r="H455" s="11"/>
      <c r="I455" s="9" t="s">
        <v>13</v>
      </c>
      <c r="J455" s="55"/>
      <c r="K455" s="55"/>
      <c r="L455" s="55"/>
      <c r="M455" s="55"/>
      <c r="N455" s="55"/>
    </row>
    <row r="456">
      <c r="A456" s="54" t="s">
        <v>236</v>
      </c>
      <c r="B456" s="11"/>
      <c r="C456" s="8"/>
      <c r="D456" s="8"/>
      <c r="E456" s="9"/>
      <c r="F456" s="10"/>
      <c r="G456" s="9"/>
      <c r="H456" s="11"/>
      <c r="I456" s="9" t="s">
        <v>13</v>
      </c>
      <c r="J456" s="55"/>
      <c r="K456" s="55"/>
      <c r="L456" s="55"/>
      <c r="M456" s="55"/>
      <c r="N456" s="55"/>
    </row>
    <row r="457">
      <c r="A457" s="54" t="s">
        <v>236</v>
      </c>
      <c r="B457" s="11"/>
      <c r="C457" s="8"/>
      <c r="D457" s="8"/>
      <c r="E457" s="9"/>
      <c r="F457" s="10"/>
      <c r="G457" s="9"/>
      <c r="H457" s="11"/>
      <c r="I457" s="9" t="s">
        <v>13</v>
      </c>
      <c r="J457" s="55"/>
      <c r="K457" s="55"/>
      <c r="L457" s="55"/>
      <c r="M457" s="55"/>
      <c r="N457" s="55"/>
    </row>
    <row r="458">
      <c r="A458" s="54" t="s">
        <v>236</v>
      </c>
      <c r="B458" s="11"/>
      <c r="C458" s="8"/>
      <c r="D458" s="8"/>
      <c r="E458" s="9"/>
      <c r="F458" s="10"/>
      <c r="G458" s="9"/>
      <c r="H458" s="11"/>
      <c r="I458" s="9" t="s">
        <v>13</v>
      </c>
      <c r="J458" s="55"/>
      <c r="K458" s="55"/>
      <c r="L458" s="55"/>
      <c r="M458" s="55"/>
      <c r="N458" s="55"/>
    </row>
    <row r="459">
      <c r="A459" s="54" t="s">
        <v>236</v>
      </c>
      <c r="B459" s="11"/>
      <c r="C459" s="8"/>
      <c r="D459" s="8"/>
      <c r="E459" s="9"/>
      <c r="F459" s="10"/>
      <c r="G459" s="9"/>
      <c r="H459" s="11"/>
      <c r="I459" s="9" t="s">
        <v>13</v>
      </c>
      <c r="J459" s="55"/>
      <c r="K459" s="55"/>
      <c r="L459" s="55"/>
      <c r="M459" s="55"/>
      <c r="N459" s="55"/>
    </row>
    <row r="460">
      <c r="A460" s="54" t="s">
        <v>236</v>
      </c>
      <c r="B460" s="11"/>
      <c r="C460" s="8"/>
      <c r="D460" s="8"/>
      <c r="E460" s="9"/>
      <c r="F460" s="10"/>
      <c r="G460" s="9"/>
      <c r="H460" s="11"/>
      <c r="I460" s="9" t="s">
        <v>13</v>
      </c>
      <c r="J460" s="55"/>
      <c r="K460" s="55"/>
      <c r="L460" s="55"/>
      <c r="M460" s="55"/>
      <c r="N460" s="55"/>
    </row>
    <row r="461">
      <c r="A461" s="54" t="s">
        <v>236</v>
      </c>
      <c r="B461" s="11"/>
      <c r="C461" s="8"/>
      <c r="D461" s="8"/>
      <c r="E461" s="9"/>
      <c r="F461" s="10"/>
      <c r="G461" s="9"/>
      <c r="H461" s="11"/>
      <c r="I461" s="9" t="s">
        <v>13</v>
      </c>
      <c r="J461" s="55"/>
      <c r="K461" s="55"/>
      <c r="L461" s="55"/>
      <c r="M461" s="55"/>
      <c r="N461" s="55"/>
    </row>
    <row r="462">
      <c r="A462" s="54" t="s">
        <v>236</v>
      </c>
      <c r="B462" s="11"/>
      <c r="C462" s="8"/>
      <c r="D462" s="8"/>
      <c r="E462" s="9"/>
      <c r="F462" s="10"/>
      <c r="G462" s="9"/>
      <c r="H462" s="11"/>
      <c r="I462" s="9" t="s">
        <v>13</v>
      </c>
      <c r="J462" s="55"/>
      <c r="K462" s="55"/>
      <c r="L462" s="55"/>
      <c r="M462" s="55"/>
      <c r="N462" s="55"/>
    </row>
    <row r="463">
      <c r="A463" s="54" t="s">
        <v>236</v>
      </c>
      <c r="B463" s="11"/>
      <c r="C463" s="8"/>
      <c r="D463" s="8"/>
      <c r="E463" s="9"/>
      <c r="F463" s="10"/>
      <c r="G463" s="9"/>
      <c r="H463" s="11"/>
      <c r="I463" s="9" t="s">
        <v>13</v>
      </c>
      <c r="J463" s="55"/>
      <c r="K463" s="55"/>
      <c r="L463" s="55"/>
      <c r="M463" s="55"/>
      <c r="N463" s="55"/>
    </row>
    <row r="464">
      <c r="A464" s="54" t="s">
        <v>236</v>
      </c>
      <c r="B464" s="11"/>
      <c r="C464" s="8"/>
      <c r="D464" s="8"/>
      <c r="E464" s="9"/>
      <c r="F464" s="10"/>
      <c r="G464" s="9"/>
      <c r="H464" s="11"/>
      <c r="I464" s="9" t="s">
        <v>13</v>
      </c>
      <c r="J464" s="55"/>
      <c r="K464" s="55"/>
      <c r="L464" s="55"/>
      <c r="M464" s="55"/>
      <c r="N464" s="55"/>
    </row>
    <row r="465">
      <c r="A465" s="54" t="s">
        <v>236</v>
      </c>
      <c r="B465" s="11"/>
      <c r="C465" s="8"/>
      <c r="D465" s="8"/>
      <c r="E465" s="9"/>
      <c r="F465" s="10"/>
      <c r="G465" s="9"/>
      <c r="H465" s="11"/>
      <c r="I465" s="9" t="s">
        <v>13</v>
      </c>
      <c r="J465" s="55"/>
      <c r="K465" s="55"/>
      <c r="L465" s="55"/>
      <c r="M465" s="55"/>
      <c r="N465" s="55"/>
    </row>
    <row r="466">
      <c r="A466" s="54" t="s">
        <v>236</v>
      </c>
      <c r="B466" s="11"/>
      <c r="C466" s="8"/>
      <c r="D466" s="8"/>
      <c r="E466" s="9"/>
      <c r="F466" s="10"/>
      <c r="G466" s="9"/>
      <c r="H466" s="11"/>
      <c r="I466" s="9" t="s">
        <v>13</v>
      </c>
      <c r="J466" s="55"/>
      <c r="K466" s="55"/>
      <c r="L466" s="55"/>
      <c r="M466" s="55"/>
      <c r="N466" s="55"/>
    </row>
    <row r="467">
      <c r="A467" s="54" t="s">
        <v>236</v>
      </c>
      <c r="B467" s="11"/>
      <c r="C467" s="8"/>
      <c r="D467" s="8"/>
      <c r="E467" s="9"/>
      <c r="F467" s="10"/>
      <c r="G467" s="9"/>
      <c r="H467" s="11"/>
      <c r="I467" s="9" t="s">
        <v>13</v>
      </c>
      <c r="J467" s="55"/>
      <c r="K467" s="55"/>
      <c r="L467" s="55"/>
      <c r="M467" s="55"/>
      <c r="N467" s="55"/>
    </row>
    <row r="468">
      <c r="A468" s="54" t="s">
        <v>236</v>
      </c>
      <c r="B468" s="11"/>
      <c r="C468" s="8"/>
      <c r="D468" s="8"/>
      <c r="E468" s="9"/>
      <c r="F468" s="10"/>
      <c r="G468" s="9"/>
      <c r="H468" s="11"/>
      <c r="I468" s="9" t="s">
        <v>13</v>
      </c>
      <c r="J468" s="55"/>
      <c r="K468" s="55"/>
      <c r="L468" s="55"/>
      <c r="M468" s="55"/>
      <c r="N468" s="55"/>
    </row>
    <row r="469">
      <c r="A469" s="54" t="s">
        <v>236</v>
      </c>
      <c r="B469" s="11"/>
      <c r="C469" s="8"/>
      <c r="D469" s="8"/>
      <c r="E469" s="9"/>
      <c r="F469" s="10"/>
      <c r="G469" s="9"/>
      <c r="H469" s="11"/>
      <c r="I469" s="9" t="s">
        <v>13</v>
      </c>
      <c r="J469" s="55"/>
      <c r="K469" s="55"/>
      <c r="L469" s="55"/>
      <c r="M469" s="55"/>
      <c r="N469" s="55"/>
    </row>
    <row r="470">
      <c r="A470" s="54" t="s">
        <v>236</v>
      </c>
      <c r="B470" s="11"/>
      <c r="C470" s="8"/>
      <c r="D470" s="8"/>
      <c r="E470" s="9"/>
      <c r="F470" s="10"/>
      <c r="G470" s="9"/>
      <c r="H470" s="11"/>
      <c r="I470" s="9" t="s">
        <v>13</v>
      </c>
      <c r="J470" s="55"/>
      <c r="K470" s="55"/>
      <c r="L470" s="55"/>
      <c r="M470" s="55"/>
      <c r="N470" s="55"/>
    </row>
    <row r="471">
      <c r="A471" s="54" t="s">
        <v>236</v>
      </c>
      <c r="B471" s="11"/>
      <c r="C471" s="8"/>
      <c r="D471" s="8"/>
      <c r="E471" s="9"/>
      <c r="F471" s="10"/>
      <c r="G471" s="9"/>
      <c r="H471" s="11"/>
      <c r="I471" s="9" t="s">
        <v>13</v>
      </c>
      <c r="J471" s="55"/>
      <c r="K471" s="55"/>
      <c r="L471" s="55"/>
      <c r="M471" s="55"/>
      <c r="N471" s="55"/>
    </row>
    <row r="472">
      <c r="A472" s="54" t="s">
        <v>236</v>
      </c>
      <c r="B472" s="11"/>
      <c r="C472" s="8"/>
      <c r="D472" s="8"/>
      <c r="E472" s="9"/>
      <c r="F472" s="10"/>
      <c r="G472" s="9"/>
      <c r="H472" s="11"/>
      <c r="I472" s="9" t="s">
        <v>13</v>
      </c>
      <c r="J472" s="55"/>
      <c r="K472" s="55"/>
      <c r="L472" s="55"/>
      <c r="M472" s="55"/>
      <c r="N472" s="55"/>
    </row>
    <row r="473">
      <c r="A473" s="54" t="s">
        <v>236</v>
      </c>
      <c r="B473" s="11"/>
      <c r="C473" s="8"/>
      <c r="D473" s="8"/>
      <c r="E473" s="9"/>
      <c r="F473" s="10"/>
      <c r="G473" s="9"/>
      <c r="H473" s="11"/>
      <c r="I473" s="9" t="s">
        <v>13</v>
      </c>
      <c r="J473" s="55"/>
      <c r="K473" s="55"/>
      <c r="L473" s="55"/>
      <c r="M473" s="55"/>
      <c r="N473" s="55"/>
    </row>
    <row r="474">
      <c r="A474" s="54" t="s">
        <v>236</v>
      </c>
      <c r="B474" s="11"/>
      <c r="C474" s="8"/>
      <c r="D474" s="8"/>
      <c r="E474" s="9"/>
      <c r="F474" s="10"/>
      <c r="G474" s="9"/>
      <c r="H474" s="11"/>
      <c r="I474" s="9" t="s">
        <v>13</v>
      </c>
      <c r="J474" s="55"/>
      <c r="K474" s="55"/>
      <c r="L474" s="55"/>
      <c r="M474" s="55"/>
      <c r="N474" s="55"/>
    </row>
    <row r="475">
      <c r="A475" s="54" t="s">
        <v>236</v>
      </c>
      <c r="B475" s="11"/>
      <c r="C475" s="8"/>
      <c r="D475" s="8"/>
      <c r="E475" s="9"/>
      <c r="F475" s="10"/>
      <c r="G475" s="9"/>
      <c r="H475" s="11"/>
      <c r="I475" s="9" t="s">
        <v>13</v>
      </c>
      <c r="J475" s="55"/>
      <c r="K475" s="55"/>
      <c r="L475" s="55"/>
      <c r="M475" s="55"/>
      <c r="N475" s="55"/>
    </row>
    <row r="476">
      <c r="A476" s="54" t="s">
        <v>236</v>
      </c>
      <c r="B476" s="11"/>
      <c r="C476" s="8"/>
      <c r="D476" s="8"/>
      <c r="E476" s="9"/>
      <c r="F476" s="10"/>
      <c r="G476" s="9"/>
      <c r="H476" s="11"/>
      <c r="I476" s="9" t="s">
        <v>13</v>
      </c>
      <c r="J476" s="55"/>
      <c r="K476" s="55"/>
      <c r="L476" s="55"/>
      <c r="M476" s="55"/>
      <c r="N476" s="55"/>
    </row>
    <row r="477">
      <c r="A477" s="54" t="s">
        <v>236</v>
      </c>
      <c r="B477" s="11"/>
      <c r="C477" s="8"/>
      <c r="D477" s="8"/>
      <c r="E477" s="9"/>
      <c r="F477" s="10"/>
      <c r="G477" s="9"/>
      <c r="H477" s="11"/>
      <c r="I477" s="9" t="s">
        <v>13</v>
      </c>
      <c r="J477" s="55"/>
      <c r="K477" s="55"/>
      <c r="L477" s="55"/>
      <c r="M477" s="55"/>
      <c r="N477" s="55"/>
    </row>
    <row r="478">
      <c r="A478" s="54" t="s">
        <v>236</v>
      </c>
      <c r="B478" s="11"/>
      <c r="C478" s="8"/>
      <c r="D478" s="8"/>
      <c r="E478" s="9"/>
      <c r="F478" s="10"/>
      <c r="G478" s="9"/>
      <c r="H478" s="11"/>
      <c r="I478" s="9" t="s">
        <v>13</v>
      </c>
      <c r="J478" s="55"/>
      <c r="K478" s="55"/>
      <c r="L478" s="55"/>
      <c r="M478" s="55"/>
      <c r="N478" s="55"/>
    </row>
    <row r="479">
      <c r="A479" s="54" t="s">
        <v>236</v>
      </c>
      <c r="B479" s="11"/>
      <c r="C479" s="8"/>
      <c r="D479" s="8"/>
      <c r="E479" s="9"/>
      <c r="F479" s="10"/>
      <c r="G479" s="9"/>
      <c r="H479" s="11"/>
      <c r="I479" s="9" t="s">
        <v>13</v>
      </c>
      <c r="J479" s="55"/>
      <c r="K479" s="55"/>
      <c r="L479" s="55"/>
      <c r="M479" s="55"/>
      <c r="N479" s="55"/>
    </row>
    <row r="480">
      <c r="A480" s="54" t="s">
        <v>236</v>
      </c>
      <c r="B480" s="11"/>
      <c r="C480" s="8"/>
      <c r="D480" s="8"/>
      <c r="E480" s="9"/>
      <c r="F480" s="10"/>
      <c r="G480" s="9"/>
      <c r="H480" s="11"/>
      <c r="I480" s="9" t="s">
        <v>13</v>
      </c>
      <c r="J480" s="55"/>
      <c r="K480" s="55"/>
      <c r="L480" s="55"/>
      <c r="M480" s="55"/>
      <c r="N480" s="55"/>
    </row>
    <row r="481">
      <c r="A481" s="54" t="s">
        <v>236</v>
      </c>
      <c r="B481" s="11"/>
      <c r="C481" s="8"/>
      <c r="D481" s="8"/>
      <c r="E481" s="9"/>
      <c r="F481" s="10"/>
      <c r="G481" s="9"/>
      <c r="H481" s="11"/>
      <c r="I481" s="9" t="s">
        <v>13</v>
      </c>
      <c r="J481" s="55"/>
      <c r="K481" s="55"/>
      <c r="L481" s="55"/>
      <c r="M481" s="55"/>
      <c r="N481" s="55"/>
    </row>
    <row r="482">
      <c r="A482" s="54" t="s">
        <v>236</v>
      </c>
      <c r="B482" s="11"/>
      <c r="C482" s="8"/>
      <c r="D482" s="8"/>
      <c r="E482" s="9"/>
      <c r="F482" s="10"/>
      <c r="G482" s="9"/>
      <c r="H482" s="11"/>
      <c r="I482" s="9" t="s">
        <v>13</v>
      </c>
      <c r="J482" s="55"/>
      <c r="K482" s="55"/>
      <c r="L482" s="55"/>
      <c r="M482" s="55"/>
      <c r="N482" s="55"/>
    </row>
    <row r="483">
      <c r="A483" s="54" t="s">
        <v>236</v>
      </c>
      <c r="B483" s="11"/>
      <c r="C483" s="8"/>
      <c r="D483" s="8"/>
      <c r="E483" s="9"/>
      <c r="F483" s="10"/>
      <c r="G483" s="9"/>
      <c r="H483" s="11"/>
      <c r="I483" s="9" t="s">
        <v>13</v>
      </c>
      <c r="J483" s="55"/>
      <c r="K483" s="55"/>
      <c r="L483" s="55"/>
      <c r="M483" s="55"/>
      <c r="N483" s="55"/>
    </row>
    <row r="484">
      <c r="A484" s="54" t="s">
        <v>236</v>
      </c>
      <c r="B484" s="11"/>
      <c r="C484" s="8"/>
      <c r="D484" s="8"/>
      <c r="E484" s="9"/>
      <c r="F484" s="10"/>
      <c r="G484" s="9"/>
      <c r="H484" s="11"/>
      <c r="I484" s="9" t="s">
        <v>13</v>
      </c>
      <c r="J484" s="55"/>
      <c r="K484" s="55"/>
      <c r="L484" s="55"/>
      <c r="M484" s="55"/>
      <c r="N484" s="55"/>
    </row>
    <row r="485">
      <c r="A485" s="54" t="s">
        <v>236</v>
      </c>
      <c r="B485" s="11"/>
      <c r="C485" s="8"/>
      <c r="D485" s="8"/>
      <c r="E485" s="9"/>
      <c r="F485" s="10"/>
      <c r="G485" s="9"/>
      <c r="H485" s="11"/>
      <c r="I485" s="9" t="s">
        <v>13</v>
      </c>
      <c r="J485" s="55"/>
      <c r="K485" s="55"/>
      <c r="L485" s="55"/>
      <c r="M485" s="55"/>
      <c r="N485" s="55"/>
    </row>
    <row r="486">
      <c r="A486" s="54" t="s">
        <v>236</v>
      </c>
      <c r="B486" s="11"/>
      <c r="C486" s="8"/>
      <c r="D486" s="8"/>
      <c r="E486" s="9"/>
      <c r="F486" s="10"/>
      <c r="G486" s="9"/>
      <c r="H486" s="11"/>
      <c r="I486" s="9" t="s">
        <v>13</v>
      </c>
      <c r="J486" s="55"/>
      <c r="K486" s="55"/>
      <c r="L486" s="55"/>
      <c r="M486" s="55"/>
      <c r="N486" s="55"/>
    </row>
    <row r="487">
      <c r="A487" s="54" t="s">
        <v>236</v>
      </c>
      <c r="B487" s="11"/>
      <c r="C487" s="8"/>
      <c r="D487" s="8"/>
      <c r="E487" s="9"/>
      <c r="F487" s="10"/>
      <c r="G487" s="9"/>
      <c r="H487" s="11"/>
      <c r="I487" s="9" t="s">
        <v>13</v>
      </c>
      <c r="J487" s="55"/>
      <c r="K487" s="55"/>
      <c r="L487" s="55"/>
      <c r="M487" s="55"/>
      <c r="N487" s="55"/>
    </row>
    <row r="488">
      <c r="A488" s="54" t="s">
        <v>236</v>
      </c>
      <c r="B488" s="11"/>
      <c r="C488" s="8"/>
      <c r="D488" s="8"/>
      <c r="E488" s="9"/>
      <c r="F488" s="10"/>
      <c r="G488" s="9"/>
      <c r="H488" s="11"/>
      <c r="I488" s="9" t="s">
        <v>13</v>
      </c>
      <c r="J488" s="55"/>
      <c r="K488" s="55"/>
      <c r="L488" s="55"/>
      <c r="M488" s="55"/>
      <c r="N488" s="55"/>
    </row>
    <row r="489">
      <c r="A489" s="54" t="s">
        <v>236</v>
      </c>
      <c r="B489" s="11"/>
      <c r="C489" s="8"/>
      <c r="D489" s="8"/>
      <c r="E489" s="9"/>
      <c r="F489" s="10"/>
      <c r="G489" s="9"/>
      <c r="H489" s="11"/>
      <c r="I489" s="9" t="s">
        <v>13</v>
      </c>
      <c r="J489" s="55"/>
      <c r="K489" s="55"/>
      <c r="L489" s="55"/>
      <c r="M489" s="55"/>
      <c r="N489" s="55"/>
    </row>
    <row r="490">
      <c r="A490" s="54" t="s">
        <v>236</v>
      </c>
      <c r="B490" s="11"/>
      <c r="C490" s="8"/>
      <c r="D490" s="8"/>
      <c r="E490" s="9"/>
      <c r="F490" s="10"/>
      <c r="G490" s="9"/>
      <c r="H490" s="11"/>
      <c r="I490" s="9" t="s">
        <v>13</v>
      </c>
      <c r="J490" s="55"/>
      <c r="K490" s="55"/>
      <c r="L490" s="55"/>
      <c r="M490" s="55"/>
      <c r="N490" s="55"/>
    </row>
    <row r="491">
      <c r="A491" s="54" t="s">
        <v>236</v>
      </c>
      <c r="B491" s="11"/>
      <c r="C491" s="8"/>
      <c r="D491" s="8"/>
      <c r="E491" s="9"/>
      <c r="F491" s="10"/>
      <c r="G491" s="9"/>
      <c r="H491" s="11"/>
      <c r="I491" s="9" t="s">
        <v>13</v>
      </c>
      <c r="J491" s="55"/>
      <c r="K491" s="55"/>
      <c r="L491" s="55"/>
      <c r="M491" s="55"/>
      <c r="N491" s="55"/>
    </row>
    <row r="492">
      <c r="A492" s="54" t="s">
        <v>236</v>
      </c>
      <c r="B492" s="11"/>
      <c r="C492" s="8"/>
      <c r="D492" s="8"/>
      <c r="E492" s="9"/>
      <c r="F492" s="10"/>
      <c r="G492" s="9"/>
      <c r="H492" s="11"/>
      <c r="I492" s="9" t="s">
        <v>13</v>
      </c>
      <c r="J492" s="55"/>
      <c r="K492" s="55"/>
      <c r="L492" s="55"/>
      <c r="M492" s="55"/>
      <c r="N492" s="55"/>
    </row>
    <row r="493">
      <c r="A493" s="54" t="s">
        <v>236</v>
      </c>
      <c r="B493" s="11"/>
      <c r="C493" s="8"/>
      <c r="D493" s="8"/>
      <c r="E493" s="9"/>
      <c r="F493" s="10"/>
      <c r="G493" s="9"/>
      <c r="H493" s="11"/>
      <c r="I493" s="9" t="s">
        <v>13</v>
      </c>
      <c r="J493" s="55"/>
      <c r="K493" s="55"/>
      <c r="L493" s="55"/>
      <c r="M493" s="55"/>
      <c r="N493" s="55"/>
    </row>
    <row r="494">
      <c r="A494" s="54" t="s">
        <v>236</v>
      </c>
      <c r="B494" s="11"/>
      <c r="C494" s="8"/>
      <c r="D494" s="8"/>
      <c r="E494" s="9"/>
      <c r="F494" s="10"/>
      <c r="G494" s="9"/>
      <c r="H494" s="11"/>
      <c r="I494" s="9" t="s">
        <v>13</v>
      </c>
      <c r="J494" s="55"/>
      <c r="K494" s="55"/>
      <c r="L494" s="55"/>
      <c r="M494" s="55"/>
      <c r="N494" s="55"/>
    </row>
    <row r="495">
      <c r="A495" s="54" t="s">
        <v>236</v>
      </c>
      <c r="B495" s="11"/>
      <c r="C495" s="8"/>
      <c r="D495" s="8"/>
      <c r="E495" s="9"/>
      <c r="F495" s="10"/>
      <c r="G495" s="9"/>
      <c r="H495" s="11"/>
      <c r="I495" s="9" t="s">
        <v>13</v>
      </c>
      <c r="J495" s="55"/>
      <c r="K495" s="55"/>
      <c r="L495" s="55"/>
      <c r="M495" s="55"/>
      <c r="N495" s="55"/>
    </row>
    <row r="496">
      <c r="A496" s="54" t="s">
        <v>236</v>
      </c>
      <c r="B496" s="11"/>
      <c r="C496" s="8"/>
      <c r="D496" s="8"/>
      <c r="E496" s="9"/>
      <c r="F496" s="10"/>
      <c r="G496" s="9"/>
      <c r="H496" s="11"/>
      <c r="I496" s="9" t="s">
        <v>13</v>
      </c>
      <c r="J496" s="55"/>
      <c r="K496" s="55"/>
      <c r="L496" s="55"/>
      <c r="M496" s="55"/>
      <c r="N496" s="55"/>
    </row>
    <row r="497">
      <c r="A497" s="54" t="s">
        <v>236</v>
      </c>
      <c r="B497" s="11"/>
      <c r="C497" s="8"/>
      <c r="D497" s="8"/>
      <c r="E497" s="9"/>
      <c r="F497" s="10"/>
      <c r="G497" s="9"/>
      <c r="H497" s="11"/>
      <c r="I497" s="9" t="s">
        <v>13</v>
      </c>
      <c r="J497" s="55"/>
      <c r="K497" s="55"/>
      <c r="L497" s="55"/>
      <c r="M497" s="55"/>
      <c r="N497" s="55"/>
    </row>
    <row r="498">
      <c r="A498" s="54" t="s">
        <v>236</v>
      </c>
      <c r="B498" s="11"/>
      <c r="C498" s="8"/>
      <c r="D498" s="8"/>
      <c r="E498" s="9"/>
      <c r="F498" s="10"/>
      <c r="G498" s="9"/>
      <c r="H498" s="11"/>
      <c r="I498" s="9" t="s">
        <v>13</v>
      </c>
      <c r="J498" s="55"/>
      <c r="K498" s="55"/>
      <c r="L498" s="55"/>
      <c r="M498" s="55"/>
      <c r="N498" s="55"/>
    </row>
    <row r="499">
      <c r="A499" s="54" t="s">
        <v>236</v>
      </c>
      <c r="B499" s="11"/>
      <c r="C499" s="8"/>
      <c r="D499" s="8"/>
      <c r="E499" s="9"/>
      <c r="F499" s="10"/>
      <c r="G499" s="9"/>
      <c r="H499" s="11"/>
      <c r="I499" s="9" t="s">
        <v>13</v>
      </c>
      <c r="J499" s="55"/>
      <c r="K499" s="55"/>
      <c r="L499" s="55"/>
      <c r="M499" s="55"/>
      <c r="N499" s="55"/>
    </row>
    <row r="500">
      <c r="A500" s="54" t="s">
        <v>236</v>
      </c>
      <c r="B500" s="11"/>
      <c r="C500" s="8"/>
      <c r="D500" s="8"/>
      <c r="E500" s="9"/>
      <c r="F500" s="10"/>
      <c r="G500" s="9"/>
      <c r="H500" s="11"/>
      <c r="I500" s="9" t="s">
        <v>13</v>
      </c>
      <c r="J500" s="55"/>
      <c r="K500" s="55"/>
      <c r="L500" s="55"/>
      <c r="M500" s="55"/>
      <c r="N500" s="55"/>
    </row>
    <row r="501">
      <c r="A501" s="54" t="s">
        <v>236</v>
      </c>
      <c r="B501" s="11"/>
      <c r="C501" s="8"/>
      <c r="D501" s="8"/>
      <c r="E501" s="9"/>
      <c r="F501" s="10"/>
      <c r="G501" s="9"/>
      <c r="H501" s="11"/>
      <c r="I501" s="9" t="s">
        <v>13</v>
      </c>
      <c r="J501" s="55"/>
      <c r="K501" s="55"/>
      <c r="L501" s="55"/>
      <c r="M501" s="55"/>
      <c r="N501" s="55"/>
    </row>
    <row r="502">
      <c r="A502" s="54" t="s">
        <v>236</v>
      </c>
      <c r="B502" s="11"/>
      <c r="C502" s="8"/>
      <c r="D502" s="8"/>
      <c r="E502" s="9"/>
      <c r="F502" s="10"/>
      <c r="G502" s="9"/>
      <c r="H502" s="11"/>
      <c r="I502" s="9" t="s">
        <v>13</v>
      </c>
      <c r="J502" s="55"/>
      <c r="K502" s="55"/>
      <c r="L502" s="55"/>
      <c r="M502" s="55"/>
      <c r="N502" s="55"/>
    </row>
    <row r="503">
      <c r="A503" s="54" t="s">
        <v>236</v>
      </c>
      <c r="B503" s="11"/>
      <c r="C503" s="8"/>
      <c r="D503" s="8"/>
      <c r="E503" s="9"/>
      <c r="F503" s="10"/>
      <c r="G503" s="9"/>
      <c r="H503" s="11"/>
      <c r="I503" s="9" t="s">
        <v>13</v>
      </c>
      <c r="J503" s="55"/>
      <c r="K503" s="55"/>
      <c r="L503" s="55"/>
      <c r="M503" s="55"/>
      <c r="N503" s="55"/>
    </row>
    <row r="504">
      <c r="A504" s="54" t="s">
        <v>236</v>
      </c>
      <c r="B504" s="11"/>
      <c r="C504" s="8"/>
      <c r="D504" s="8"/>
      <c r="E504" s="9"/>
      <c r="F504" s="10"/>
      <c r="G504" s="9"/>
      <c r="H504" s="11"/>
      <c r="I504" s="9" t="s">
        <v>13</v>
      </c>
      <c r="J504" s="55"/>
      <c r="K504" s="55"/>
      <c r="L504" s="55"/>
      <c r="M504" s="55"/>
      <c r="N504" s="55"/>
    </row>
    <row r="505">
      <c r="A505" s="54" t="s">
        <v>236</v>
      </c>
      <c r="B505" s="11"/>
      <c r="C505" s="8"/>
      <c r="D505" s="8"/>
      <c r="E505" s="9"/>
      <c r="F505" s="10"/>
      <c r="G505" s="9"/>
      <c r="H505" s="11"/>
      <c r="I505" s="9" t="s">
        <v>13</v>
      </c>
      <c r="J505" s="55"/>
      <c r="K505" s="55"/>
      <c r="L505" s="55"/>
      <c r="M505" s="55"/>
      <c r="N505" s="55"/>
    </row>
    <row r="506">
      <c r="A506" s="54" t="s">
        <v>236</v>
      </c>
      <c r="B506" s="11"/>
      <c r="C506" s="8"/>
      <c r="D506" s="8"/>
      <c r="E506" s="9"/>
      <c r="F506" s="10"/>
      <c r="G506" s="9"/>
      <c r="H506" s="11"/>
      <c r="I506" s="9" t="s">
        <v>13</v>
      </c>
      <c r="J506" s="55"/>
      <c r="K506" s="55"/>
      <c r="L506" s="55"/>
      <c r="M506" s="55"/>
      <c r="N506" s="55"/>
    </row>
    <row r="507">
      <c r="A507" s="54" t="s">
        <v>236</v>
      </c>
      <c r="B507" s="11"/>
      <c r="C507" s="8"/>
      <c r="D507" s="8"/>
      <c r="E507" s="9"/>
      <c r="F507" s="10"/>
      <c r="G507" s="9"/>
      <c r="H507" s="11"/>
      <c r="I507" s="9" t="s">
        <v>13</v>
      </c>
      <c r="J507" s="55"/>
      <c r="K507" s="55"/>
      <c r="L507" s="55"/>
      <c r="M507" s="55"/>
      <c r="N507" s="55"/>
    </row>
    <row r="508">
      <c r="A508" s="54" t="s">
        <v>236</v>
      </c>
      <c r="B508" s="11"/>
      <c r="C508" s="8"/>
      <c r="D508" s="8"/>
      <c r="E508" s="9"/>
      <c r="F508" s="10"/>
      <c r="G508" s="9"/>
      <c r="H508" s="11"/>
      <c r="I508" s="9" t="s">
        <v>13</v>
      </c>
      <c r="J508" s="55"/>
      <c r="K508" s="55"/>
      <c r="L508" s="55"/>
      <c r="M508" s="55"/>
      <c r="N508" s="55"/>
    </row>
    <row r="509">
      <c r="A509" s="54" t="s">
        <v>236</v>
      </c>
      <c r="B509" s="11"/>
      <c r="C509" s="8"/>
      <c r="D509" s="8"/>
      <c r="E509" s="9"/>
      <c r="F509" s="10"/>
      <c r="G509" s="9"/>
      <c r="H509" s="11"/>
      <c r="I509" s="9" t="s">
        <v>13</v>
      </c>
      <c r="J509" s="55"/>
      <c r="K509" s="55"/>
      <c r="L509" s="55"/>
      <c r="M509" s="55"/>
      <c r="N509" s="55"/>
    </row>
    <row r="510">
      <c r="A510" s="54" t="s">
        <v>236</v>
      </c>
      <c r="B510" s="11"/>
      <c r="C510" s="8"/>
      <c r="D510" s="8"/>
      <c r="E510" s="9"/>
      <c r="F510" s="10"/>
      <c r="G510" s="9"/>
      <c r="H510" s="11"/>
      <c r="I510" s="9" t="s">
        <v>13</v>
      </c>
      <c r="J510" s="55"/>
      <c r="K510" s="55"/>
      <c r="L510" s="55"/>
      <c r="M510" s="55"/>
      <c r="N510" s="55"/>
    </row>
    <row r="511">
      <c r="A511" s="54" t="s">
        <v>236</v>
      </c>
      <c r="B511" s="11"/>
      <c r="C511" s="8"/>
      <c r="D511" s="8"/>
      <c r="E511" s="9"/>
      <c r="F511" s="10"/>
      <c r="G511" s="9"/>
      <c r="H511" s="11"/>
      <c r="I511" s="9" t="s">
        <v>13</v>
      </c>
      <c r="J511" s="55"/>
      <c r="K511" s="55"/>
      <c r="L511" s="55"/>
      <c r="M511" s="55"/>
      <c r="N511" s="55"/>
    </row>
    <row r="512">
      <c r="A512" s="54" t="s">
        <v>236</v>
      </c>
      <c r="B512" s="11"/>
      <c r="C512" s="8"/>
      <c r="D512" s="8"/>
      <c r="E512" s="9"/>
      <c r="F512" s="10"/>
      <c r="G512" s="9"/>
      <c r="H512" s="11"/>
      <c r="I512" s="9" t="s">
        <v>13</v>
      </c>
      <c r="J512" s="55"/>
      <c r="K512" s="55"/>
      <c r="L512" s="55"/>
      <c r="M512" s="55"/>
      <c r="N512" s="55"/>
    </row>
    <row r="513">
      <c r="A513" s="54" t="s">
        <v>236</v>
      </c>
      <c r="B513" s="11"/>
      <c r="C513" s="8"/>
      <c r="D513" s="8"/>
      <c r="E513" s="9"/>
      <c r="F513" s="10"/>
      <c r="G513" s="9"/>
      <c r="H513" s="11"/>
      <c r="I513" s="9" t="s">
        <v>13</v>
      </c>
      <c r="J513" s="55"/>
      <c r="K513" s="55"/>
      <c r="L513" s="55"/>
      <c r="M513" s="55"/>
      <c r="N513" s="55"/>
    </row>
    <row r="514">
      <c r="A514" s="54" t="s">
        <v>236</v>
      </c>
      <c r="B514" s="11"/>
      <c r="C514" s="8"/>
      <c r="D514" s="8"/>
      <c r="E514" s="9"/>
      <c r="F514" s="10"/>
      <c r="G514" s="9"/>
      <c r="H514" s="11"/>
      <c r="I514" s="9" t="s">
        <v>13</v>
      </c>
      <c r="J514" s="55"/>
      <c r="K514" s="55"/>
      <c r="L514" s="55"/>
      <c r="M514" s="55"/>
      <c r="N514" s="55"/>
    </row>
    <row r="515">
      <c r="A515" s="54" t="s">
        <v>236</v>
      </c>
      <c r="B515" s="11"/>
      <c r="C515" s="8"/>
      <c r="D515" s="8"/>
      <c r="E515" s="9"/>
      <c r="F515" s="10"/>
      <c r="G515" s="9"/>
      <c r="H515" s="11"/>
      <c r="I515" s="9" t="s">
        <v>13</v>
      </c>
      <c r="J515" s="55"/>
      <c r="K515" s="55"/>
      <c r="L515" s="55"/>
      <c r="M515" s="55"/>
      <c r="N515" s="55"/>
    </row>
    <row r="516">
      <c r="A516" s="54" t="s">
        <v>236</v>
      </c>
      <c r="B516" s="11"/>
      <c r="C516" s="8"/>
      <c r="D516" s="8"/>
      <c r="E516" s="9"/>
      <c r="F516" s="10"/>
      <c r="G516" s="9"/>
      <c r="H516" s="11"/>
      <c r="I516" s="9" t="s">
        <v>13</v>
      </c>
      <c r="J516" s="55"/>
      <c r="K516" s="55"/>
      <c r="L516" s="55"/>
      <c r="M516" s="55"/>
      <c r="N516" s="55"/>
    </row>
    <row r="517">
      <c r="A517" s="54" t="s">
        <v>236</v>
      </c>
      <c r="B517" s="11"/>
      <c r="C517" s="8"/>
      <c r="D517" s="8"/>
      <c r="E517" s="9"/>
      <c r="F517" s="10"/>
      <c r="G517" s="9"/>
      <c r="H517" s="11"/>
      <c r="I517" s="9" t="s">
        <v>13</v>
      </c>
      <c r="J517" s="55"/>
      <c r="K517" s="55"/>
      <c r="L517" s="55"/>
      <c r="M517" s="55"/>
      <c r="N517" s="55"/>
    </row>
    <row r="518">
      <c r="A518" s="54" t="s">
        <v>236</v>
      </c>
      <c r="B518" s="11"/>
      <c r="C518" s="8"/>
      <c r="D518" s="8"/>
      <c r="E518" s="9"/>
      <c r="F518" s="10"/>
      <c r="G518" s="9"/>
      <c r="H518" s="11"/>
      <c r="I518" s="9" t="s">
        <v>13</v>
      </c>
      <c r="J518" s="55"/>
      <c r="K518" s="55"/>
      <c r="L518" s="55"/>
      <c r="M518" s="55"/>
      <c r="N518" s="55"/>
    </row>
    <row r="519">
      <c r="A519" s="54" t="s">
        <v>236</v>
      </c>
      <c r="B519" s="11"/>
      <c r="C519" s="8"/>
      <c r="D519" s="8"/>
      <c r="E519" s="9"/>
      <c r="F519" s="10"/>
      <c r="G519" s="9"/>
      <c r="H519" s="11"/>
      <c r="I519" s="9" t="s">
        <v>13</v>
      </c>
      <c r="J519" s="55"/>
      <c r="K519" s="55"/>
      <c r="L519" s="55"/>
      <c r="M519" s="55"/>
      <c r="N519" s="55"/>
    </row>
    <row r="520">
      <c r="A520" s="54" t="s">
        <v>236</v>
      </c>
      <c r="B520" s="11"/>
      <c r="C520" s="8"/>
      <c r="D520" s="8"/>
      <c r="E520" s="9"/>
      <c r="F520" s="10"/>
      <c r="G520" s="9"/>
      <c r="H520" s="11"/>
      <c r="I520" s="9" t="s">
        <v>13</v>
      </c>
      <c r="J520" s="55"/>
      <c r="K520" s="55"/>
      <c r="L520" s="55"/>
      <c r="M520" s="55"/>
      <c r="N520" s="55"/>
    </row>
    <row r="521">
      <c r="A521" s="54" t="s">
        <v>236</v>
      </c>
      <c r="B521" s="11"/>
      <c r="C521" s="8"/>
      <c r="D521" s="8"/>
      <c r="E521" s="9"/>
      <c r="F521" s="10"/>
      <c r="G521" s="9"/>
      <c r="H521" s="11"/>
      <c r="I521" s="9" t="s">
        <v>13</v>
      </c>
      <c r="J521" s="55"/>
      <c r="K521" s="55"/>
      <c r="L521" s="55"/>
      <c r="M521" s="55"/>
      <c r="N521" s="55"/>
    </row>
    <row r="522">
      <c r="A522" s="54" t="s">
        <v>236</v>
      </c>
      <c r="B522" s="11"/>
      <c r="C522" s="8"/>
      <c r="D522" s="8"/>
      <c r="E522" s="9"/>
      <c r="F522" s="10"/>
      <c r="G522" s="9"/>
      <c r="H522" s="11"/>
      <c r="I522" s="9" t="s">
        <v>13</v>
      </c>
      <c r="J522" s="55"/>
      <c r="K522" s="55"/>
      <c r="L522" s="55"/>
      <c r="M522" s="55"/>
      <c r="N522" s="55"/>
    </row>
    <row r="523">
      <c r="A523" s="54" t="s">
        <v>236</v>
      </c>
      <c r="B523" s="11"/>
      <c r="C523" s="8"/>
      <c r="D523" s="8"/>
      <c r="E523" s="9"/>
      <c r="F523" s="10"/>
      <c r="G523" s="9"/>
      <c r="H523" s="11"/>
      <c r="I523" s="9" t="s">
        <v>13</v>
      </c>
      <c r="J523" s="55"/>
      <c r="K523" s="55"/>
      <c r="L523" s="55"/>
      <c r="M523" s="55"/>
      <c r="N523" s="55"/>
    </row>
    <row r="524">
      <c r="A524" s="54" t="s">
        <v>236</v>
      </c>
      <c r="B524" s="11"/>
      <c r="C524" s="8"/>
      <c r="D524" s="8"/>
      <c r="E524" s="9"/>
      <c r="F524" s="10"/>
      <c r="G524" s="9"/>
      <c r="H524" s="11"/>
      <c r="I524" s="9" t="s">
        <v>13</v>
      </c>
      <c r="J524" s="55"/>
      <c r="K524" s="55"/>
      <c r="L524" s="55"/>
      <c r="M524" s="55"/>
      <c r="N524" s="55"/>
    </row>
    <row r="525">
      <c r="A525" s="54" t="s">
        <v>236</v>
      </c>
      <c r="B525" s="11"/>
      <c r="C525" s="8"/>
      <c r="D525" s="8"/>
      <c r="E525" s="9"/>
      <c r="F525" s="10"/>
      <c r="G525" s="9"/>
      <c r="H525" s="11"/>
      <c r="I525" s="9" t="s">
        <v>13</v>
      </c>
      <c r="J525" s="55"/>
      <c r="K525" s="55"/>
      <c r="L525" s="55"/>
      <c r="M525" s="55"/>
      <c r="N525" s="55"/>
    </row>
    <row r="526">
      <c r="A526" s="54" t="s">
        <v>236</v>
      </c>
      <c r="B526" s="11"/>
      <c r="C526" s="8"/>
      <c r="D526" s="8"/>
      <c r="E526" s="9"/>
      <c r="F526" s="10"/>
      <c r="G526" s="9"/>
      <c r="H526" s="11"/>
      <c r="I526" s="9" t="s">
        <v>13</v>
      </c>
      <c r="J526" s="55"/>
      <c r="K526" s="55"/>
      <c r="L526" s="55"/>
      <c r="M526" s="55"/>
      <c r="N526" s="55"/>
    </row>
    <row r="527">
      <c r="A527" s="54" t="s">
        <v>236</v>
      </c>
      <c r="B527" s="11"/>
      <c r="C527" s="8"/>
      <c r="D527" s="8"/>
      <c r="E527" s="9"/>
      <c r="F527" s="10"/>
      <c r="G527" s="9"/>
      <c r="H527" s="11"/>
      <c r="I527" s="9" t="s">
        <v>13</v>
      </c>
      <c r="J527" s="55"/>
      <c r="K527" s="55"/>
      <c r="L527" s="55"/>
      <c r="M527" s="55"/>
      <c r="N527" s="55"/>
    </row>
    <row r="528">
      <c r="A528" s="54" t="s">
        <v>236</v>
      </c>
      <c r="B528" s="11"/>
      <c r="C528" s="8"/>
      <c r="D528" s="8"/>
      <c r="E528" s="9"/>
      <c r="F528" s="10"/>
      <c r="G528" s="9"/>
      <c r="H528" s="11"/>
      <c r="I528" s="9" t="s">
        <v>13</v>
      </c>
      <c r="J528" s="55"/>
      <c r="K528" s="55"/>
      <c r="L528" s="55"/>
      <c r="M528" s="55"/>
      <c r="N528" s="55"/>
    </row>
    <row r="529">
      <c r="A529" s="54" t="s">
        <v>236</v>
      </c>
      <c r="B529" s="11"/>
      <c r="C529" s="8"/>
      <c r="D529" s="8"/>
      <c r="E529" s="9"/>
      <c r="F529" s="10"/>
      <c r="G529" s="9"/>
      <c r="H529" s="11"/>
      <c r="I529" s="9" t="s">
        <v>13</v>
      </c>
      <c r="J529" s="55"/>
      <c r="K529" s="55"/>
      <c r="L529" s="55"/>
      <c r="M529" s="55"/>
      <c r="N529" s="55"/>
    </row>
    <row r="530">
      <c r="A530" s="54" t="s">
        <v>236</v>
      </c>
      <c r="B530" s="11"/>
      <c r="C530" s="8"/>
      <c r="D530" s="8"/>
      <c r="E530" s="9"/>
      <c r="F530" s="10"/>
      <c r="G530" s="9"/>
      <c r="H530" s="11"/>
      <c r="I530" s="9" t="s">
        <v>13</v>
      </c>
      <c r="J530" s="55"/>
      <c r="K530" s="55"/>
      <c r="L530" s="55"/>
      <c r="M530" s="55"/>
      <c r="N530" s="55"/>
    </row>
    <row r="531">
      <c r="A531" s="54" t="s">
        <v>236</v>
      </c>
      <c r="B531" s="11"/>
      <c r="C531" s="8"/>
      <c r="D531" s="8"/>
      <c r="E531" s="9"/>
      <c r="F531" s="10"/>
      <c r="G531" s="9"/>
      <c r="H531" s="11"/>
      <c r="I531" s="9" t="s">
        <v>13</v>
      </c>
      <c r="J531" s="55"/>
      <c r="K531" s="55"/>
      <c r="L531" s="55"/>
      <c r="M531" s="55"/>
      <c r="N531" s="55"/>
    </row>
    <row r="532">
      <c r="A532" s="54" t="s">
        <v>236</v>
      </c>
      <c r="B532" s="11"/>
      <c r="C532" s="8"/>
      <c r="D532" s="8"/>
      <c r="E532" s="9"/>
      <c r="F532" s="10"/>
      <c r="G532" s="9"/>
      <c r="H532" s="11"/>
      <c r="I532" s="9" t="s">
        <v>13</v>
      </c>
      <c r="J532" s="55"/>
      <c r="K532" s="55"/>
      <c r="L532" s="55"/>
      <c r="M532" s="55"/>
      <c r="N532" s="55"/>
    </row>
    <row r="533">
      <c r="A533" s="54" t="s">
        <v>236</v>
      </c>
      <c r="B533" s="11"/>
      <c r="C533" s="8"/>
      <c r="D533" s="8"/>
      <c r="E533" s="9"/>
      <c r="F533" s="10"/>
      <c r="G533" s="9"/>
      <c r="H533" s="11"/>
      <c r="I533" s="9" t="s">
        <v>13</v>
      </c>
      <c r="J533" s="55"/>
      <c r="K533" s="55"/>
      <c r="L533" s="55"/>
      <c r="M533" s="55"/>
      <c r="N533" s="55"/>
    </row>
    <row r="534">
      <c r="A534" s="54" t="s">
        <v>236</v>
      </c>
      <c r="B534" s="11"/>
      <c r="C534" s="8"/>
      <c r="D534" s="8"/>
      <c r="E534" s="9"/>
      <c r="F534" s="10"/>
      <c r="G534" s="9"/>
      <c r="H534" s="11"/>
      <c r="I534" s="9" t="s">
        <v>13</v>
      </c>
      <c r="J534" s="55"/>
      <c r="K534" s="55"/>
      <c r="L534" s="55"/>
      <c r="M534" s="55"/>
      <c r="N534" s="55"/>
    </row>
    <row r="535">
      <c r="A535" s="54" t="s">
        <v>236</v>
      </c>
      <c r="B535" s="11"/>
      <c r="C535" s="8"/>
      <c r="D535" s="8"/>
      <c r="E535" s="9"/>
      <c r="F535" s="10"/>
      <c r="G535" s="9"/>
      <c r="H535" s="11"/>
      <c r="I535" s="9" t="s">
        <v>13</v>
      </c>
      <c r="J535" s="55"/>
      <c r="K535" s="55"/>
      <c r="L535" s="55"/>
      <c r="M535" s="55"/>
      <c r="N535" s="55"/>
    </row>
    <row r="536">
      <c r="A536" s="54" t="s">
        <v>236</v>
      </c>
      <c r="B536" s="11"/>
      <c r="C536" s="8"/>
      <c r="D536" s="8"/>
      <c r="E536" s="9"/>
      <c r="F536" s="10"/>
      <c r="G536" s="9"/>
      <c r="H536" s="11"/>
      <c r="I536" s="9" t="s">
        <v>13</v>
      </c>
      <c r="J536" s="55"/>
      <c r="K536" s="55"/>
      <c r="L536" s="55"/>
      <c r="M536" s="55"/>
      <c r="N536" s="55"/>
    </row>
    <row r="537">
      <c r="A537" s="54" t="s">
        <v>236</v>
      </c>
      <c r="B537" s="11"/>
      <c r="C537" s="8"/>
      <c r="D537" s="8"/>
      <c r="E537" s="9"/>
      <c r="F537" s="10"/>
      <c r="G537" s="9"/>
      <c r="H537" s="11"/>
      <c r="I537" s="9" t="s">
        <v>13</v>
      </c>
      <c r="J537" s="55"/>
      <c r="K537" s="55"/>
      <c r="L537" s="55"/>
      <c r="M537" s="55"/>
      <c r="N537" s="55"/>
    </row>
    <row r="538">
      <c r="A538" s="54" t="s">
        <v>236</v>
      </c>
      <c r="B538" s="11"/>
      <c r="C538" s="8"/>
      <c r="D538" s="8"/>
      <c r="E538" s="9"/>
      <c r="F538" s="10"/>
      <c r="G538" s="9"/>
      <c r="H538" s="11"/>
      <c r="I538" s="9" t="s">
        <v>13</v>
      </c>
      <c r="J538" s="55"/>
      <c r="K538" s="55"/>
      <c r="L538" s="55"/>
      <c r="M538" s="55"/>
      <c r="N538" s="55"/>
    </row>
    <row r="539">
      <c r="A539" s="54" t="s">
        <v>236</v>
      </c>
      <c r="B539" s="11"/>
      <c r="C539" s="8"/>
      <c r="D539" s="8"/>
      <c r="E539" s="9"/>
      <c r="F539" s="10"/>
      <c r="G539" s="9"/>
      <c r="H539" s="11"/>
      <c r="I539" s="9" t="s">
        <v>13</v>
      </c>
      <c r="J539" s="55"/>
      <c r="K539" s="55"/>
      <c r="L539" s="55"/>
      <c r="M539" s="55"/>
      <c r="N539" s="55"/>
    </row>
    <row r="540">
      <c r="A540" s="54" t="s">
        <v>236</v>
      </c>
      <c r="B540" s="11"/>
      <c r="C540" s="8"/>
      <c r="D540" s="8"/>
      <c r="E540" s="9"/>
      <c r="F540" s="10"/>
      <c r="G540" s="9"/>
      <c r="H540" s="11"/>
      <c r="I540" s="9" t="s">
        <v>13</v>
      </c>
      <c r="J540" s="55"/>
      <c r="K540" s="55"/>
      <c r="L540" s="55"/>
      <c r="M540" s="55"/>
      <c r="N540" s="55"/>
    </row>
    <row r="541">
      <c r="A541" s="54" t="s">
        <v>236</v>
      </c>
      <c r="B541" s="11"/>
      <c r="C541" s="8"/>
      <c r="D541" s="8"/>
      <c r="E541" s="9"/>
      <c r="F541" s="10"/>
      <c r="G541" s="9"/>
      <c r="H541" s="11"/>
      <c r="I541" s="9" t="s">
        <v>13</v>
      </c>
      <c r="J541" s="55"/>
      <c r="K541" s="55"/>
      <c r="L541" s="55"/>
      <c r="M541" s="55"/>
      <c r="N541" s="55"/>
    </row>
    <row r="542">
      <c r="A542" s="54" t="s">
        <v>236</v>
      </c>
      <c r="B542" s="11"/>
      <c r="C542" s="8"/>
      <c r="D542" s="8"/>
      <c r="E542" s="9"/>
      <c r="F542" s="10"/>
      <c r="G542" s="9"/>
      <c r="H542" s="11"/>
      <c r="I542" s="9" t="s">
        <v>13</v>
      </c>
      <c r="J542" s="55"/>
      <c r="K542" s="55"/>
      <c r="L542" s="55"/>
      <c r="M542" s="55"/>
      <c r="N542" s="55"/>
    </row>
    <row r="543">
      <c r="A543" s="54" t="s">
        <v>236</v>
      </c>
      <c r="B543" s="11"/>
      <c r="C543" s="8"/>
      <c r="D543" s="8"/>
      <c r="E543" s="9"/>
      <c r="F543" s="10"/>
      <c r="G543" s="9"/>
      <c r="H543" s="11"/>
      <c r="I543" s="9" t="s">
        <v>13</v>
      </c>
      <c r="J543" s="55"/>
      <c r="K543" s="55"/>
      <c r="L543" s="55"/>
      <c r="M543" s="55"/>
      <c r="N543" s="55"/>
    </row>
    <row r="544">
      <c r="A544" s="54" t="s">
        <v>236</v>
      </c>
      <c r="B544" s="11"/>
      <c r="C544" s="8"/>
      <c r="D544" s="8"/>
      <c r="E544" s="9"/>
      <c r="F544" s="10"/>
      <c r="G544" s="9"/>
      <c r="H544" s="11"/>
      <c r="I544" s="9" t="s">
        <v>13</v>
      </c>
      <c r="J544" s="55"/>
      <c r="K544" s="55"/>
      <c r="L544" s="55"/>
      <c r="M544" s="55"/>
      <c r="N544" s="55"/>
    </row>
    <row r="545">
      <c r="A545" s="54" t="s">
        <v>236</v>
      </c>
      <c r="B545" s="11"/>
      <c r="C545" s="8"/>
      <c r="D545" s="8"/>
      <c r="E545" s="9"/>
      <c r="F545" s="10"/>
      <c r="G545" s="9"/>
      <c r="H545" s="11"/>
      <c r="I545" s="9" t="s">
        <v>13</v>
      </c>
      <c r="J545" s="55"/>
      <c r="K545" s="55"/>
      <c r="L545" s="55"/>
      <c r="M545" s="55"/>
      <c r="N545" s="55"/>
    </row>
    <row r="546">
      <c r="A546" s="54" t="s">
        <v>236</v>
      </c>
      <c r="B546" s="11"/>
      <c r="C546" s="8"/>
      <c r="D546" s="8"/>
      <c r="E546" s="9"/>
      <c r="F546" s="10"/>
      <c r="G546" s="9"/>
      <c r="H546" s="11"/>
      <c r="I546" s="9" t="s">
        <v>13</v>
      </c>
      <c r="J546" s="55"/>
      <c r="K546" s="55"/>
      <c r="L546" s="55"/>
      <c r="M546" s="55"/>
      <c r="N546" s="55"/>
    </row>
    <row r="547">
      <c r="A547" s="54" t="s">
        <v>236</v>
      </c>
      <c r="B547" s="11"/>
      <c r="C547" s="8"/>
      <c r="D547" s="8"/>
      <c r="E547" s="9"/>
      <c r="F547" s="10"/>
      <c r="G547" s="9"/>
      <c r="H547" s="11"/>
      <c r="I547" s="9" t="s">
        <v>13</v>
      </c>
      <c r="J547" s="55"/>
      <c r="K547" s="55"/>
      <c r="L547" s="55"/>
      <c r="M547" s="55"/>
      <c r="N547" s="55"/>
    </row>
    <row r="548">
      <c r="A548" s="54" t="s">
        <v>236</v>
      </c>
      <c r="B548" s="11"/>
      <c r="C548" s="8"/>
      <c r="D548" s="8"/>
      <c r="E548" s="9"/>
      <c r="F548" s="10"/>
      <c r="G548" s="9"/>
      <c r="H548" s="11"/>
      <c r="I548" s="9" t="s">
        <v>13</v>
      </c>
      <c r="J548" s="55"/>
      <c r="K548" s="55"/>
      <c r="L548" s="55"/>
      <c r="M548" s="55"/>
      <c r="N548" s="55"/>
    </row>
    <row r="549">
      <c r="A549" s="54" t="s">
        <v>236</v>
      </c>
      <c r="B549" s="11"/>
      <c r="C549" s="8"/>
      <c r="D549" s="8"/>
      <c r="E549" s="9"/>
      <c r="F549" s="10"/>
      <c r="G549" s="9"/>
      <c r="H549" s="11"/>
      <c r="I549" s="9" t="s">
        <v>13</v>
      </c>
      <c r="J549" s="55"/>
      <c r="K549" s="55"/>
      <c r="L549" s="55"/>
      <c r="M549" s="55"/>
      <c r="N549" s="55"/>
    </row>
    <row r="550">
      <c r="A550" s="54" t="s">
        <v>236</v>
      </c>
      <c r="B550" s="11"/>
      <c r="C550" s="8"/>
      <c r="D550" s="8"/>
      <c r="E550" s="9"/>
      <c r="F550" s="10"/>
      <c r="G550" s="9"/>
      <c r="H550" s="11"/>
      <c r="I550" s="9" t="s">
        <v>13</v>
      </c>
      <c r="J550" s="55"/>
      <c r="K550" s="55"/>
      <c r="L550" s="55"/>
      <c r="M550" s="55"/>
      <c r="N550" s="55"/>
    </row>
    <row r="551">
      <c r="A551" s="54" t="s">
        <v>236</v>
      </c>
      <c r="B551" s="11"/>
      <c r="C551" s="8"/>
      <c r="D551" s="8"/>
      <c r="E551" s="9"/>
      <c r="F551" s="10"/>
      <c r="G551" s="9"/>
      <c r="H551" s="11"/>
      <c r="I551" s="9" t="s">
        <v>13</v>
      </c>
      <c r="J551" s="55"/>
      <c r="K551" s="55"/>
      <c r="L551" s="55"/>
      <c r="M551" s="55"/>
      <c r="N551" s="55"/>
    </row>
    <row r="552">
      <c r="A552" s="54" t="s">
        <v>236</v>
      </c>
      <c r="B552" s="11"/>
      <c r="C552" s="8"/>
      <c r="D552" s="8"/>
      <c r="E552" s="9"/>
      <c r="F552" s="10"/>
      <c r="G552" s="9"/>
      <c r="H552" s="11"/>
      <c r="I552" s="9" t="s">
        <v>13</v>
      </c>
      <c r="J552" s="55"/>
      <c r="K552" s="55"/>
      <c r="L552" s="55"/>
      <c r="M552" s="55"/>
      <c r="N552" s="55"/>
    </row>
    <row r="553">
      <c r="A553" s="54" t="s">
        <v>236</v>
      </c>
      <c r="B553" s="11"/>
      <c r="C553" s="8"/>
      <c r="D553" s="8"/>
      <c r="E553" s="9"/>
      <c r="F553" s="10"/>
      <c r="G553" s="9"/>
      <c r="H553" s="11"/>
      <c r="I553" s="9" t="s">
        <v>13</v>
      </c>
      <c r="J553" s="55"/>
      <c r="K553" s="55"/>
      <c r="L553" s="55"/>
      <c r="M553" s="55"/>
      <c r="N553" s="55"/>
    </row>
    <row r="554">
      <c r="A554" s="54" t="s">
        <v>236</v>
      </c>
      <c r="B554" s="11"/>
      <c r="C554" s="8"/>
      <c r="D554" s="8"/>
      <c r="E554" s="9"/>
      <c r="F554" s="10"/>
      <c r="G554" s="9"/>
      <c r="H554" s="11"/>
      <c r="I554" s="9" t="s">
        <v>13</v>
      </c>
      <c r="J554" s="55"/>
      <c r="K554" s="55"/>
      <c r="L554" s="55"/>
      <c r="M554" s="55"/>
      <c r="N554" s="55"/>
    </row>
    <row r="555">
      <c r="A555" s="54" t="s">
        <v>236</v>
      </c>
      <c r="B555" s="11"/>
      <c r="C555" s="8"/>
      <c r="D555" s="8"/>
      <c r="E555" s="9"/>
      <c r="F555" s="10"/>
      <c r="G555" s="9"/>
      <c r="H555" s="11"/>
      <c r="I555" s="9" t="s">
        <v>13</v>
      </c>
      <c r="J555" s="55"/>
      <c r="K555" s="55"/>
      <c r="L555" s="55"/>
      <c r="M555" s="55"/>
      <c r="N555" s="55"/>
    </row>
    <row r="556">
      <c r="A556" s="54" t="s">
        <v>236</v>
      </c>
      <c r="B556" s="11"/>
      <c r="C556" s="8"/>
      <c r="D556" s="8"/>
      <c r="E556" s="9"/>
      <c r="F556" s="10"/>
      <c r="G556" s="9"/>
      <c r="H556" s="11"/>
      <c r="I556" s="9" t="s">
        <v>13</v>
      </c>
      <c r="J556" s="55"/>
      <c r="K556" s="55"/>
      <c r="L556" s="55"/>
      <c r="M556" s="55"/>
      <c r="N556" s="55"/>
    </row>
    <row r="557">
      <c r="A557" s="54" t="s">
        <v>236</v>
      </c>
      <c r="B557" s="11"/>
      <c r="C557" s="8"/>
      <c r="D557" s="8"/>
      <c r="E557" s="9"/>
      <c r="F557" s="10"/>
      <c r="G557" s="9"/>
      <c r="H557" s="11"/>
      <c r="I557" s="9" t="s">
        <v>13</v>
      </c>
      <c r="J557" s="55"/>
      <c r="K557" s="55"/>
      <c r="L557" s="55"/>
      <c r="M557" s="55"/>
      <c r="N557" s="55"/>
    </row>
    <row r="558">
      <c r="A558" s="54" t="s">
        <v>236</v>
      </c>
      <c r="B558" s="11"/>
      <c r="C558" s="8"/>
      <c r="D558" s="8"/>
      <c r="E558" s="9"/>
      <c r="F558" s="10"/>
      <c r="G558" s="9"/>
      <c r="H558" s="11"/>
      <c r="I558" s="9" t="s">
        <v>13</v>
      </c>
      <c r="J558" s="55"/>
      <c r="K558" s="55"/>
      <c r="L558" s="55"/>
      <c r="M558" s="55"/>
      <c r="N558" s="55"/>
    </row>
    <row r="559">
      <c r="A559" s="54" t="s">
        <v>236</v>
      </c>
      <c r="B559" s="11"/>
      <c r="C559" s="8"/>
      <c r="D559" s="8"/>
      <c r="E559" s="9"/>
      <c r="F559" s="10"/>
      <c r="G559" s="9"/>
      <c r="H559" s="11"/>
      <c r="I559" s="9" t="s">
        <v>13</v>
      </c>
      <c r="J559" s="55"/>
      <c r="K559" s="55"/>
      <c r="L559" s="55"/>
      <c r="M559" s="55"/>
      <c r="N559" s="55"/>
    </row>
    <row r="560">
      <c r="A560" s="54" t="s">
        <v>236</v>
      </c>
      <c r="B560" s="11"/>
      <c r="C560" s="8"/>
      <c r="D560" s="8"/>
      <c r="E560" s="9"/>
      <c r="F560" s="10"/>
      <c r="G560" s="9"/>
      <c r="H560" s="11"/>
      <c r="I560" s="9" t="s">
        <v>13</v>
      </c>
      <c r="J560" s="55"/>
      <c r="K560" s="55"/>
      <c r="L560" s="55"/>
      <c r="M560" s="55"/>
      <c r="N560" s="55"/>
    </row>
    <row r="561">
      <c r="A561" s="54" t="s">
        <v>236</v>
      </c>
      <c r="B561" s="11"/>
      <c r="C561" s="8"/>
      <c r="D561" s="8"/>
      <c r="E561" s="9"/>
      <c r="F561" s="10"/>
      <c r="G561" s="9"/>
      <c r="H561" s="11"/>
      <c r="I561" s="9" t="s">
        <v>13</v>
      </c>
      <c r="J561" s="55"/>
      <c r="K561" s="55"/>
      <c r="L561" s="55"/>
      <c r="M561" s="55"/>
      <c r="N561" s="55"/>
    </row>
    <row r="562">
      <c r="A562" s="54" t="s">
        <v>236</v>
      </c>
      <c r="B562" s="11"/>
      <c r="C562" s="8"/>
      <c r="D562" s="8"/>
      <c r="E562" s="9"/>
      <c r="F562" s="10"/>
      <c r="G562" s="9"/>
      <c r="H562" s="11"/>
      <c r="I562" s="9" t="s">
        <v>13</v>
      </c>
      <c r="J562" s="55"/>
      <c r="K562" s="55"/>
      <c r="L562" s="55"/>
      <c r="M562" s="55"/>
      <c r="N562" s="55"/>
    </row>
    <row r="563">
      <c r="A563" s="54" t="s">
        <v>236</v>
      </c>
      <c r="B563" s="11"/>
      <c r="C563" s="8"/>
      <c r="D563" s="8"/>
      <c r="E563" s="9"/>
      <c r="F563" s="10"/>
      <c r="G563" s="9"/>
      <c r="H563" s="11"/>
      <c r="I563" s="9" t="s">
        <v>13</v>
      </c>
      <c r="J563" s="55"/>
      <c r="K563" s="55"/>
      <c r="L563" s="55"/>
      <c r="M563" s="55"/>
      <c r="N563" s="55"/>
    </row>
    <row r="564">
      <c r="A564" s="54" t="s">
        <v>236</v>
      </c>
      <c r="B564" s="11"/>
      <c r="C564" s="8"/>
      <c r="D564" s="8"/>
      <c r="E564" s="9"/>
      <c r="F564" s="10"/>
      <c r="G564" s="9"/>
      <c r="H564" s="11"/>
      <c r="I564" s="9" t="s">
        <v>13</v>
      </c>
      <c r="J564" s="55"/>
      <c r="K564" s="55"/>
      <c r="L564" s="55"/>
      <c r="M564" s="55"/>
      <c r="N564" s="55"/>
    </row>
    <row r="565">
      <c r="A565" s="54" t="s">
        <v>236</v>
      </c>
      <c r="B565" s="11"/>
      <c r="C565" s="8"/>
      <c r="D565" s="8"/>
      <c r="E565" s="9"/>
      <c r="F565" s="10"/>
      <c r="G565" s="9"/>
      <c r="H565" s="11"/>
      <c r="I565" s="9" t="s">
        <v>13</v>
      </c>
      <c r="J565" s="55"/>
      <c r="K565" s="55"/>
      <c r="L565" s="55"/>
      <c r="M565" s="55"/>
      <c r="N565" s="55"/>
    </row>
    <row r="566">
      <c r="A566" s="54" t="s">
        <v>236</v>
      </c>
      <c r="B566" s="11"/>
      <c r="C566" s="8"/>
      <c r="D566" s="8"/>
      <c r="E566" s="9"/>
      <c r="F566" s="10"/>
      <c r="G566" s="9"/>
      <c r="H566" s="11"/>
      <c r="I566" s="9" t="s">
        <v>13</v>
      </c>
      <c r="J566" s="55"/>
      <c r="K566" s="55"/>
      <c r="L566" s="55"/>
      <c r="M566" s="55"/>
      <c r="N566" s="55"/>
    </row>
    <row r="567">
      <c r="A567" s="54" t="s">
        <v>236</v>
      </c>
      <c r="B567" s="11"/>
      <c r="C567" s="8"/>
      <c r="D567" s="8"/>
      <c r="E567" s="9"/>
      <c r="F567" s="10"/>
      <c r="G567" s="9"/>
      <c r="H567" s="11"/>
      <c r="I567" s="9" t="s">
        <v>13</v>
      </c>
      <c r="J567" s="55"/>
      <c r="K567" s="55"/>
      <c r="L567" s="55"/>
      <c r="M567" s="55"/>
      <c r="N567" s="55"/>
    </row>
    <row r="568">
      <c r="A568" s="54" t="s">
        <v>236</v>
      </c>
      <c r="B568" s="11"/>
      <c r="C568" s="8"/>
      <c r="D568" s="8"/>
      <c r="E568" s="9"/>
      <c r="F568" s="10"/>
      <c r="G568" s="9"/>
      <c r="H568" s="11"/>
      <c r="I568" s="9" t="s">
        <v>13</v>
      </c>
      <c r="J568" s="55"/>
      <c r="K568" s="55"/>
      <c r="L568" s="55"/>
      <c r="M568" s="55"/>
      <c r="N568" s="55"/>
    </row>
    <row r="569">
      <c r="A569" s="54" t="s">
        <v>236</v>
      </c>
      <c r="B569" s="11"/>
      <c r="C569" s="8"/>
      <c r="D569" s="8"/>
      <c r="E569" s="9"/>
      <c r="F569" s="10"/>
      <c r="G569" s="9"/>
      <c r="H569" s="11"/>
      <c r="I569" s="9" t="s">
        <v>13</v>
      </c>
      <c r="J569" s="55"/>
      <c r="K569" s="55"/>
      <c r="L569" s="55"/>
      <c r="M569" s="55"/>
      <c r="N569" s="55"/>
    </row>
    <row r="570">
      <c r="A570" s="54" t="s">
        <v>236</v>
      </c>
      <c r="B570" s="11"/>
      <c r="C570" s="8"/>
      <c r="D570" s="8"/>
      <c r="E570" s="9"/>
      <c r="F570" s="10"/>
      <c r="G570" s="9"/>
      <c r="H570" s="11"/>
      <c r="I570" s="9" t="s">
        <v>13</v>
      </c>
      <c r="J570" s="55"/>
      <c r="K570" s="55"/>
      <c r="L570" s="55"/>
      <c r="M570" s="55"/>
      <c r="N570" s="55"/>
    </row>
    <row r="571">
      <c r="A571" s="54" t="s">
        <v>236</v>
      </c>
      <c r="B571" s="11"/>
      <c r="C571" s="8"/>
      <c r="D571" s="8"/>
      <c r="E571" s="9"/>
      <c r="F571" s="10"/>
      <c r="G571" s="9"/>
      <c r="H571" s="11"/>
      <c r="I571" s="9" t="s">
        <v>13</v>
      </c>
      <c r="J571" s="55"/>
      <c r="K571" s="55"/>
      <c r="L571" s="55"/>
      <c r="M571" s="55"/>
      <c r="N571" s="55"/>
    </row>
    <row r="572">
      <c r="A572" s="54" t="s">
        <v>236</v>
      </c>
      <c r="B572" s="11"/>
      <c r="C572" s="8"/>
      <c r="D572" s="8"/>
      <c r="E572" s="9"/>
      <c r="F572" s="10"/>
      <c r="G572" s="9"/>
      <c r="H572" s="11"/>
      <c r="I572" s="9" t="s">
        <v>13</v>
      </c>
      <c r="J572" s="55"/>
      <c r="K572" s="55"/>
      <c r="L572" s="55"/>
      <c r="M572" s="55"/>
      <c r="N572" s="55"/>
    </row>
    <row r="573">
      <c r="A573" s="54" t="s">
        <v>236</v>
      </c>
      <c r="B573" s="11"/>
      <c r="C573" s="8"/>
      <c r="D573" s="8"/>
      <c r="E573" s="9"/>
      <c r="F573" s="10"/>
      <c r="G573" s="9"/>
      <c r="H573" s="11"/>
      <c r="I573" s="9" t="s">
        <v>13</v>
      </c>
      <c r="J573" s="55"/>
      <c r="K573" s="55"/>
      <c r="L573" s="55"/>
      <c r="M573" s="55"/>
      <c r="N573" s="55"/>
    </row>
    <row r="574">
      <c r="A574" s="54" t="s">
        <v>236</v>
      </c>
      <c r="B574" s="11"/>
      <c r="C574" s="8"/>
      <c r="D574" s="8"/>
      <c r="E574" s="9"/>
      <c r="F574" s="10"/>
      <c r="G574" s="9"/>
      <c r="H574" s="11"/>
      <c r="I574" s="9" t="s">
        <v>13</v>
      </c>
      <c r="J574" s="55"/>
      <c r="K574" s="55"/>
      <c r="L574" s="55"/>
      <c r="M574" s="55"/>
      <c r="N574" s="55"/>
    </row>
    <row r="575">
      <c r="A575" s="54" t="s">
        <v>236</v>
      </c>
      <c r="B575" s="11"/>
      <c r="C575" s="8"/>
      <c r="D575" s="8"/>
      <c r="E575" s="9"/>
      <c r="F575" s="10"/>
      <c r="G575" s="9"/>
      <c r="H575" s="11"/>
      <c r="I575" s="9" t="s">
        <v>13</v>
      </c>
      <c r="J575" s="55"/>
      <c r="K575" s="55"/>
      <c r="L575" s="55"/>
      <c r="M575" s="55"/>
      <c r="N575" s="55"/>
    </row>
    <row r="576">
      <c r="A576" s="54" t="s">
        <v>236</v>
      </c>
      <c r="B576" s="11"/>
      <c r="C576" s="8"/>
      <c r="D576" s="8"/>
      <c r="E576" s="9"/>
      <c r="F576" s="10"/>
      <c r="G576" s="9"/>
      <c r="H576" s="11"/>
      <c r="I576" s="9" t="s">
        <v>13</v>
      </c>
      <c r="J576" s="55"/>
      <c r="K576" s="55"/>
      <c r="L576" s="55"/>
      <c r="M576" s="55"/>
      <c r="N576" s="55"/>
    </row>
    <row r="577">
      <c r="A577" s="54" t="s">
        <v>236</v>
      </c>
      <c r="B577" s="11"/>
      <c r="C577" s="8"/>
      <c r="D577" s="8"/>
      <c r="E577" s="9"/>
      <c r="F577" s="10"/>
      <c r="G577" s="9"/>
      <c r="H577" s="11"/>
      <c r="I577" s="9" t="s">
        <v>13</v>
      </c>
      <c r="J577" s="55"/>
      <c r="K577" s="55"/>
      <c r="L577" s="55"/>
      <c r="M577" s="55"/>
      <c r="N577" s="55"/>
    </row>
    <row r="578">
      <c r="A578" s="54" t="s">
        <v>236</v>
      </c>
      <c r="B578" s="11"/>
      <c r="C578" s="8"/>
      <c r="D578" s="8"/>
      <c r="E578" s="9"/>
      <c r="F578" s="10"/>
      <c r="G578" s="9"/>
      <c r="H578" s="11"/>
      <c r="I578" s="9" t="s">
        <v>13</v>
      </c>
      <c r="J578" s="55"/>
      <c r="K578" s="55"/>
      <c r="L578" s="55"/>
      <c r="M578" s="55"/>
      <c r="N578" s="55"/>
    </row>
    <row r="579">
      <c r="A579" s="54" t="s">
        <v>236</v>
      </c>
      <c r="B579" s="11"/>
      <c r="C579" s="8"/>
      <c r="D579" s="8"/>
      <c r="E579" s="9"/>
      <c r="F579" s="10"/>
      <c r="G579" s="9"/>
      <c r="H579" s="11"/>
      <c r="I579" s="9" t="s">
        <v>13</v>
      </c>
      <c r="J579" s="55"/>
      <c r="K579" s="55"/>
      <c r="L579" s="55"/>
      <c r="M579" s="55"/>
      <c r="N579" s="55"/>
    </row>
    <row r="580">
      <c r="A580" s="54" t="s">
        <v>236</v>
      </c>
      <c r="B580" s="11"/>
      <c r="C580" s="8"/>
      <c r="D580" s="8"/>
      <c r="E580" s="9"/>
      <c r="F580" s="10"/>
      <c r="G580" s="9"/>
      <c r="H580" s="11"/>
      <c r="I580" s="9" t="s">
        <v>13</v>
      </c>
      <c r="J580" s="55"/>
      <c r="K580" s="55"/>
      <c r="L580" s="55"/>
      <c r="M580" s="55"/>
      <c r="N580" s="55"/>
    </row>
    <row r="581">
      <c r="A581" s="54" t="s">
        <v>236</v>
      </c>
      <c r="B581" s="11"/>
      <c r="C581" s="8"/>
      <c r="D581" s="8"/>
      <c r="E581" s="9"/>
      <c r="F581" s="10"/>
      <c r="G581" s="9"/>
      <c r="H581" s="11"/>
      <c r="I581" s="9" t="s">
        <v>13</v>
      </c>
      <c r="J581" s="55"/>
      <c r="K581" s="55"/>
      <c r="L581" s="55"/>
      <c r="M581" s="55"/>
      <c r="N581" s="55"/>
    </row>
    <row r="582">
      <c r="A582" s="54" t="s">
        <v>236</v>
      </c>
      <c r="B582" s="11"/>
      <c r="C582" s="8"/>
      <c r="D582" s="8"/>
      <c r="E582" s="9"/>
      <c r="F582" s="10"/>
      <c r="G582" s="9"/>
      <c r="H582" s="11"/>
      <c r="I582" s="9" t="s">
        <v>13</v>
      </c>
      <c r="J582" s="55"/>
      <c r="K582" s="55"/>
      <c r="L582" s="55"/>
      <c r="M582" s="55"/>
      <c r="N582" s="55"/>
    </row>
    <row r="583">
      <c r="A583" s="54" t="s">
        <v>236</v>
      </c>
      <c r="B583" s="11"/>
      <c r="C583" s="8"/>
      <c r="D583" s="8"/>
      <c r="E583" s="9"/>
      <c r="F583" s="10"/>
      <c r="G583" s="9"/>
      <c r="H583" s="11"/>
      <c r="I583" s="9" t="s">
        <v>13</v>
      </c>
      <c r="J583" s="55"/>
      <c r="K583" s="55"/>
      <c r="L583" s="55"/>
      <c r="M583" s="55"/>
      <c r="N583" s="55"/>
    </row>
    <row r="584">
      <c r="A584" s="54" t="s">
        <v>236</v>
      </c>
      <c r="B584" s="11"/>
      <c r="C584" s="8"/>
      <c r="D584" s="8"/>
      <c r="E584" s="9"/>
      <c r="F584" s="10"/>
      <c r="G584" s="9"/>
      <c r="H584" s="11"/>
      <c r="I584" s="9" t="s">
        <v>13</v>
      </c>
      <c r="J584" s="55"/>
      <c r="K584" s="55"/>
      <c r="L584" s="55"/>
      <c r="M584" s="55"/>
      <c r="N584" s="55"/>
    </row>
    <row r="585">
      <c r="A585" s="54" t="s">
        <v>236</v>
      </c>
      <c r="B585" s="11"/>
      <c r="C585" s="8"/>
      <c r="D585" s="8"/>
      <c r="E585" s="9"/>
      <c r="F585" s="10"/>
      <c r="G585" s="9"/>
      <c r="H585" s="11"/>
      <c r="I585" s="9" t="s">
        <v>13</v>
      </c>
      <c r="J585" s="55"/>
      <c r="K585" s="55"/>
      <c r="L585" s="55"/>
      <c r="M585" s="55"/>
      <c r="N585" s="55"/>
    </row>
    <row r="586">
      <c r="A586" s="54" t="s">
        <v>236</v>
      </c>
      <c r="B586" s="11"/>
      <c r="C586" s="8"/>
      <c r="D586" s="8"/>
      <c r="E586" s="9"/>
      <c r="F586" s="10"/>
      <c r="G586" s="9"/>
      <c r="H586" s="11"/>
      <c r="I586" s="9" t="s">
        <v>13</v>
      </c>
      <c r="J586" s="55"/>
      <c r="K586" s="55"/>
      <c r="L586" s="55"/>
      <c r="M586" s="55"/>
      <c r="N586" s="55"/>
    </row>
    <row r="587">
      <c r="A587" s="54" t="s">
        <v>236</v>
      </c>
      <c r="B587" s="11"/>
      <c r="C587" s="8"/>
      <c r="D587" s="8"/>
      <c r="E587" s="9"/>
      <c r="F587" s="10"/>
      <c r="G587" s="9"/>
      <c r="H587" s="11"/>
      <c r="I587" s="9" t="s">
        <v>13</v>
      </c>
      <c r="J587" s="55"/>
      <c r="K587" s="55"/>
      <c r="L587" s="55"/>
      <c r="M587" s="55"/>
      <c r="N587" s="55"/>
    </row>
    <row r="588">
      <c r="A588" s="54" t="s">
        <v>236</v>
      </c>
      <c r="B588" s="11"/>
      <c r="C588" s="8"/>
      <c r="D588" s="8"/>
      <c r="E588" s="9"/>
      <c r="F588" s="10"/>
      <c r="G588" s="9"/>
      <c r="H588" s="11"/>
      <c r="I588" s="9" t="s">
        <v>13</v>
      </c>
      <c r="J588" s="55"/>
      <c r="K588" s="55"/>
      <c r="L588" s="55"/>
      <c r="M588" s="55"/>
      <c r="N588" s="55"/>
    </row>
    <row r="589">
      <c r="A589" s="54" t="s">
        <v>236</v>
      </c>
      <c r="B589" s="11"/>
      <c r="C589" s="8"/>
      <c r="D589" s="8"/>
      <c r="E589" s="9"/>
      <c r="F589" s="10"/>
      <c r="G589" s="9"/>
      <c r="H589" s="11"/>
      <c r="I589" s="9" t="s">
        <v>13</v>
      </c>
      <c r="J589" s="55"/>
      <c r="K589" s="55"/>
      <c r="L589" s="55"/>
      <c r="M589" s="55"/>
      <c r="N589" s="55"/>
    </row>
    <row r="590">
      <c r="A590" s="54" t="s">
        <v>236</v>
      </c>
      <c r="B590" s="11"/>
      <c r="C590" s="8"/>
      <c r="D590" s="8"/>
      <c r="E590" s="9"/>
      <c r="F590" s="10"/>
      <c r="G590" s="9"/>
      <c r="H590" s="11"/>
      <c r="I590" s="9" t="s">
        <v>13</v>
      </c>
      <c r="J590" s="55"/>
      <c r="K590" s="55"/>
      <c r="L590" s="55"/>
      <c r="M590" s="55"/>
      <c r="N590" s="55"/>
    </row>
    <row r="591">
      <c r="A591" s="54" t="s">
        <v>236</v>
      </c>
      <c r="B591" s="11"/>
      <c r="C591" s="8"/>
      <c r="D591" s="8"/>
      <c r="E591" s="9"/>
      <c r="F591" s="10"/>
      <c r="G591" s="9"/>
      <c r="H591" s="11"/>
      <c r="I591" s="9" t="s">
        <v>13</v>
      </c>
      <c r="J591" s="55"/>
      <c r="K591" s="55"/>
      <c r="L591" s="55"/>
      <c r="M591" s="55"/>
      <c r="N591" s="55"/>
    </row>
    <row r="592">
      <c r="A592" s="54" t="s">
        <v>236</v>
      </c>
      <c r="B592" s="11"/>
      <c r="C592" s="8"/>
      <c r="D592" s="8"/>
      <c r="E592" s="9"/>
      <c r="F592" s="10"/>
      <c r="G592" s="9"/>
      <c r="H592" s="11"/>
      <c r="I592" s="9" t="s">
        <v>13</v>
      </c>
      <c r="J592" s="55"/>
      <c r="K592" s="55"/>
      <c r="L592" s="55"/>
      <c r="M592" s="55"/>
      <c r="N592" s="55"/>
    </row>
    <row r="593">
      <c r="A593" s="54" t="s">
        <v>236</v>
      </c>
      <c r="B593" s="11"/>
      <c r="C593" s="8"/>
      <c r="D593" s="8"/>
      <c r="E593" s="9"/>
      <c r="F593" s="10"/>
      <c r="G593" s="9"/>
      <c r="H593" s="11"/>
      <c r="I593" s="9" t="s">
        <v>13</v>
      </c>
      <c r="J593" s="55"/>
      <c r="K593" s="55"/>
      <c r="L593" s="55"/>
      <c r="M593" s="55"/>
      <c r="N593" s="55"/>
    </row>
    <row r="594">
      <c r="A594" s="54" t="s">
        <v>236</v>
      </c>
      <c r="B594" s="11"/>
      <c r="C594" s="8"/>
      <c r="D594" s="8"/>
      <c r="E594" s="9"/>
      <c r="F594" s="10"/>
      <c r="G594" s="9"/>
      <c r="H594" s="11"/>
      <c r="I594" s="9" t="s">
        <v>13</v>
      </c>
      <c r="J594" s="55"/>
      <c r="K594" s="55"/>
      <c r="L594" s="55"/>
      <c r="M594" s="55"/>
      <c r="N594" s="55"/>
    </row>
    <row r="595">
      <c r="A595" s="54" t="s">
        <v>236</v>
      </c>
      <c r="B595" s="11"/>
      <c r="C595" s="8"/>
      <c r="D595" s="8"/>
      <c r="E595" s="9"/>
      <c r="F595" s="10"/>
      <c r="G595" s="9"/>
      <c r="H595" s="11"/>
      <c r="I595" s="9" t="s">
        <v>13</v>
      </c>
      <c r="J595" s="55"/>
      <c r="K595" s="55"/>
      <c r="L595" s="55"/>
      <c r="M595" s="55"/>
      <c r="N595" s="55"/>
    </row>
    <row r="596">
      <c r="A596" s="54" t="s">
        <v>236</v>
      </c>
      <c r="B596" s="11"/>
      <c r="C596" s="8"/>
      <c r="D596" s="8"/>
      <c r="E596" s="9"/>
      <c r="F596" s="10"/>
      <c r="G596" s="9"/>
      <c r="H596" s="11"/>
      <c r="I596" s="9" t="s">
        <v>13</v>
      </c>
      <c r="J596" s="55"/>
      <c r="K596" s="55"/>
      <c r="L596" s="55"/>
      <c r="M596" s="55"/>
      <c r="N596" s="55"/>
    </row>
    <row r="597">
      <c r="A597" s="54" t="s">
        <v>236</v>
      </c>
      <c r="B597" s="11"/>
      <c r="C597" s="8"/>
      <c r="D597" s="8"/>
      <c r="E597" s="9"/>
      <c r="F597" s="10"/>
      <c r="G597" s="9"/>
      <c r="H597" s="11"/>
      <c r="I597" s="9" t="s">
        <v>13</v>
      </c>
      <c r="J597" s="55"/>
      <c r="K597" s="55"/>
      <c r="L597" s="55"/>
      <c r="M597" s="55"/>
      <c r="N597" s="55"/>
    </row>
    <row r="598">
      <c r="A598" s="54" t="s">
        <v>236</v>
      </c>
      <c r="B598" s="11"/>
      <c r="C598" s="8"/>
      <c r="D598" s="8"/>
      <c r="E598" s="9"/>
      <c r="F598" s="10"/>
      <c r="G598" s="9"/>
      <c r="H598" s="11"/>
      <c r="I598" s="9" t="s">
        <v>13</v>
      </c>
      <c r="J598" s="55"/>
      <c r="K598" s="55"/>
      <c r="L598" s="55"/>
      <c r="M598" s="55"/>
      <c r="N598" s="55"/>
    </row>
    <row r="599">
      <c r="A599" s="54" t="s">
        <v>236</v>
      </c>
      <c r="B599" s="11"/>
      <c r="C599" s="8"/>
      <c r="D599" s="8"/>
      <c r="E599" s="9"/>
      <c r="F599" s="10"/>
      <c r="G599" s="9"/>
      <c r="H599" s="11"/>
      <c r="I599" s="9" t="s">
        <v>13</v>
      </c>
      <c r="J599" s="55"/>
      <c r="K599" s="55"/>
      <c r="L599" s="55"/>
      <c r="M599" s="55"/>
      <c r="N599" s="55"/>
    </row>
    <row r="600">
      <c r="A600" s="54" t="s">
        <v>236</v>
      </c>
      <c r="B600" s="11"/>
      <c r="C600" s="8"/>
      <c r="D600" s="8"/>
      <c r="E600" s="9"/>
      <c r="F600" s="10"/>
      <c r="G600" s="9"/>
      <c r="H600" s="11"/>
      <c r="I600" s="9" t="s">
        <v>13</v>
      </c>
      <c r="J600" s="55"/>
      <c r="K600" s="55"/>
      <c r="L600" s="55"/>
      <c r="M600" s="55"/>
      <c r="N600" s="55"/>
    </row>
    <row r="601">
      <c r="A601" s="54" t="s">
        <v>236</v>
      </c>
      <c r="B601" s="11"/>
      <c r="C601" s="8"/>
      <c r="D601" s="8"/>
      <c r="E601" s="9"/>
      <c r="F601" s="10"/>
      <c r="G601" s="9"/>
      <c r="H601" s="11"/>
      <c r="I601" s="9" t="s">
        <v>13</v>
      </c>
      <c r="J601" s="55"/>
      <c r="K601" s="55"/>
      <c r="L601" s="55"/>
      <c r="M601" s="55"/>
      <c r="N601" s="55"/>
    </row>
    <row r="602">
      <c r="A602" s="54" t="s">
        <v>236</v>
      </c>
      <c r="B602" s="11"/>
      <c r="C602" s="8"/>
      <c r="D602" s="8"/>
      <c r="E602" s="9"/>
      <c r="F602" s="10"/>
      <c r="G602" s="9"/>
      <c r="H602" s="11"/>
      <c r="I602" s="9" t="s">
        <v>13</v>
      </c>
      <c r="J602" s="55"/>
      <c r="K602" s="55"/>
      <c r="L602" s="55"/>
      <c r="M602" s="55"/>
      <c r="N602" s="55"/>
    </row>
    <row r="603">
      <c r="A603" s="54" t="s">
        <v>236</v>
      </c>
      <c r="B603" s="11"/>
      <c r="C603" s="8"/>
      <c r="D603" s="8"/>
      <c r="E603" s="9"/>
      <c r="F603" s="10"/>
      <c r="G603" s="9"/>
      <c r="H603" s="11"/>
      <c r="I603" s="9" t="s">
        <v>13</v>
      </c>
      <c r="J603" s="55"/>
      <c r="K603" s="55"/>
      <c r="L603" s="55"/>
      <c r="M603" s="55"/>
      <c r="N603" s="55"/>
    </row>
    <row r="604">
      <c r="A604" s="54" t="s">
        <v>236</v>
      </c>
      <c r="B604" s="11"/>
      <c r="C604" s="8"/>
      <c r="D604" s="8"/>
      <c r="E604" s="9"/>
      <c r="F604" s="10"/>
      <c r="G604" s="9"/>
      <c r="H604" s="11"/>
      <c r="I604" s="9" t="s">
        <v>13</v>
      </c>
      <c r="J604" s="55"/>
      <c r="K604" s="55"/>
      <c r="L604" s="55"/>
      <c r="M604" s="55"/>
      <c r="N604" s="55"/>
    </row>
    <row r="605">
      <c r="A605" s="54" t="s">
        <v>236</v>
      </c>
      <c r="B605" s="11"/>
      <c r="C605" s="8"/>
      <c r="D605" s="8"/>
      <c r="E605" s="9"/>
      <c r="F605" s="10"/>
      <c r="G605" s="9"/>
      <c r="H605" s="11"/>
      <c r="I605" s="9" t="s">
        <v>13</v>
      </c>
      <c r="J605" s="55"/>
      <c r="K605" s="55"/>
      <c r="L605" s="55"/>
      <c r="M605" s="55"/>
      <c r="N605" s="55"/>
    </row>
    <row r="606">
      <c r="A606" s="54" t="s">
        <v>236</v>
      </c>
      <c r="B606" s="11"/>
      <c r="C606" s="8"/>
      <c r="D606" s="8"/>
      <c r="E606" s="9"/>
      <c r="F606" s="10"/>
      <c r="G606" s="9"/>
      <c r="H606" s="11"/>
      <c r="I606" s="9" t="s">
        <v>13</v>
      </c>
      <c r="J606" s="55"/>
      <c r="K606" s="55"/>
      <c r="L606" s="55"/>
      <c r="M606" s="55"/>
      <c r="N606" s="55"/>
    </row>
    <row r="607">
      <c r="A607" s="54" t="s">
        <v>236</v>
      </c>
      <c r="B607" s="11"/>
      <c r="C607" s="8"/>
      <c r="D607" s="8"/>
      <c r="E607" s="9"/>
      <c r="F607" s="10"/>
      <c r="G607" s="9"/>
      <c r="H607" s="11"/>
      <c r="I607" s="9" t="s">
        <v>13</v>
      </c>
      <c r="J607" s="55"/>
      <c r="K607" s="55"/>
      <c r="L607" s="55"/>
      <c r="M607" s="55"/>
      <c r="N607" s="55"/>
    </row>
    <row r="608">
      <c r="A608" s="54" t="s">
        <v>236</v>
      </c>
      <c r="B608" s="11"/>
      <c r="C608" s="8"/>
      <c r="D608" s="8"/>
      <c r="E608" s="9"/>
      <c r="F608" s="10"/>
      <c r="G608" s="9"/>
      <c r="H608" s="11"/>
      <c r="I608" s="9" t="s">
        <v>13</v>
      </c>
      <c r="J608" s="55"/>
      <c r="K608" s="55"/>
      <c r="L608" s="55"/>
      <c r="M608" s="55"/>
      <c r="N608" s="55"/>
    </row>
    <row r="609">
      <c r="A609" s="54" t="s">
        <v>236</v>
      </c>
      <c r="B609" s="11"/>
      <c r="C609" s="8"/>
      <c r="D609" s="8"/>
      <c r="E609" s="9"/>
      <c r="F609" s="10"/>
      <c r="G609" s="9"/>
      <c r="H609" s="11"/>
      <c r="I609" s="9" t="s">
        <v>13</v>
      </c>
      <c r="J609" s="55"/>
      <c r="K609" s="55"/>
      <c r="L609" s="55"/>
      <c r="M609" s="55"/>
      <c r="N609" s="55"/>
    </row>
    <row r="610">
      <c r="A610" s="54" t="s">
        <v>236</v>
      </c>
      <c r="B610" s="11"/>
      <c r="C610" s="8"/>
      <c r="D610" s="8"/>
      <c r="E610" s="9"/>
      <c r="F610" s="10"/>
      <c r="G610" s="9"/>
      <c r="H610" s="11"/>
      <c r="I610" s="9" t="s">
        <v>13</v>
      </c>
      <c r="J610" s="55"/>
      <c r="K610" s="55"/>
      <c r="L610" s="55"/>
      <c r="M610" s="55"/>
      <c r="N610" s="55"/>
    </row>
    <row r="611">
      <c r="A611" s="54" t="s">
        <v>236</v>
      </c>
      <c r="B611" s="11"/>
      <c r="C611" s="8"/>
      <c r="D611" s="8"/>
      <c r="E611" s="9"/>
      <c r="F611" s="10"/>
      <c r="G611" s="9"/>
      <c r="H611" s="11"/>
      <c r="I611" s="9" t="s">
        <v>13</v>
      </c>
      <c r="J611" s="55"/>
      <c r="K611" s="55"/>
      <c r="L611" s="55"/>
      <c r="M611" s="55"/>
      <c r="N611" s="55"/>
    </row>
    <row r="612">
      <c r="A612" s="54" t="s">
        <v>236</v>
      </c>
      <c r="B612" s="11"/>
      <c r="C612" s="8"/>
      <c r="D612" s="8"/>
      <c r="E612" s="9"/>
      <c r="F612" s="10"/>
      <c r="G612" s="9"/>
      <c r="H612" s="11"/>
      <c r="I612" s="9" t="s">
        <v>13</v>
      </c>
      <c r="J612" s="55"/>
      <c r="K612" s="55"/>
      <c r="L612" s="55"/>
      <c r="M612" s="55"/>
      <c r="N612" s="55"/>
    </row>
    <row r="613">
      <c r="A613" s="54" t="s">
        <v>236</v>
      </c>
      <c r="B613" s="11"/>
      <c r="C613" s="8"/>
      <c r="D613" s="8"/>
      <c r="E613" s="9"/>
      <c r="F613" s="10"/>
      <c r="G613" s="9"/>
      <c r="H613" s="11"/>
      <c r="I613" s="9" t="s">
        <v>13</v>
      </c>
      <c r="J613" s="55"/>
      <c r="K613" s="55"/>
      <c r="L613" s="55"/>
      <c r="M613" s="55"/>
      <c r="N613" s="55"/>
    </row>
    <row r="614">
      <c r="A614" s="54" t="s">
        <v>236</v>
      </c>
      <c r="B614" s="11"/>
      <c r="C614" s="8"/>
      <c r="D614" s="8"/>
      <c r="E614" s="9"/>
      <c r="F614" s="10"/>
      <c r="G614" s="9"/>
      <c r="H614" s="11"/>
      <c r="I614" s="9" t="s">
        <v>13</v>
      </c>
      <c r="J614" s="55"/>
      <c r="K614" s="55"/>
      <c r="L614" s="55"/>
      <c r="M614" s="55"/>
      <c r="N614" s="55"/>
    </row>
    <row r="615">
      <c r="A615" s="54" t="s">
        <v>236</v>
      </c>
      <c r="B615" s="11"/>
      <c r="C615" s="8"/>
      <c r="D615" s="8"/>
      <c r="E615" s="9"/>
      <c r="F615" s="10"/>
      <c r="G615" s="9"/>
      <c r="H615" s="11"/>
      <c r="I615" s="9" t="s">
        <v>13</v>
      </c>
      <c r="J615" s="55"/>
      <c r="K615" s="55"/>
      <c r="L615" s="55"/>
      <c r="M615" s="55"/>
      <c r="N615" s="55"/>
    </row>
    <row r="616">
      <c r="A616" s="54" t="s">
        <v>236</v>
      </c>
      <c r="B616" s="11"/>
      <c r="C616" s="8"/>
      <c r="D616" s="8"/>
      <c r="E616" s="9"/>
      <c r="F616" s="10"/>
      <c r="G616" s="9"/>
      <c r="H616" s="11"/>
      <c r="I616" s="9" t="s">
        <v>13</v>
      </c>
      <c r="J616" s="55"/>
      <c r="K616" s="55"/>
      <c r="L616" s="55"/>
      <c r="M616" s="55"/>
      <c r="N616" s="55"/>
    </row>
    <row r="617">
      <c r="A617" s="54" t="s">
        <v>236</v>
      </c>
      <c r="B617" s="11"/>
      <c r="C617" s="8"/>
      <c r="D617" s="8"/>
      <c r="E617" s="9"/>
      <c r="F617" s="10"/>
      <c r="G617" s="9"/>
      <c r="H617" s="11"/>
      <c r="I617" s="9" t="s">
        <v>13</v>
      </c>
      <c r="J617" s="55"/>
      <c r="K617" s="55"/>
      <c r="L617" s="55"/>
      <c r="M617" s="55"/>
      <c r="N617" s="55"/>
    </row>
    <row r="618">
      <c r="A618" s="54" t="s">
        <v>236</v>
      </c>
      <c r="B618" s="11"/>
      <c r="C618" s="8"/>
      <c r="D618" s="8"/>
      <c r="E618" s="9"/>
      <c r="F618" s="10"/>
      <c r="G618" s="9"/>
      <c r="H618" s="11"/>
      <c r="I618" s="9" t="s">
        <v>13</v>
      </c>
      <c r="J618" s="55"/>
      <c r="K618" s="55"/>
      <c r="L618" s="55"/>
      <c r="M618" s="55"/>
      <c r="N618" s="55"/>
    </row>
    <row r="619">
      <c r="A619" s="54" t="s">
        <v>236</v>
      </c>
      <c r="B619" s="11"/>
      <c r="C619" s="8"/>
      <c r="D619" s="8"/>
      <c r="E619" s="9"/>
      <c r="F619" s="10"/>
      <c r="G619" s="9"/>
      <c r="H619" s="11"/>
      <c r="I619" s="9" t="s">
        <v>13</v>
      </c>
      <c r="J619" s="55"/>
      <c r="K619" s="55"/>
      <c r="L619" s="55"/>
      <c r="M619" s="55"/>
      <c r="N619" s="55"/>
    </row>
    <row r="620">
      <c r="A620" s="54" t="s">
        <v>236</v>
      </c>
      <c r="B620" s="11"/>
      <c r="C620" s="8"/>
      <c r="D620" s="8"/>
      <c r="E620" s="9"/>
      <c r="F620" s="10"/>
      <c r="G620" s="9"/>
      <c r="H620" s="11"/>
      <c r="I620" s="9" t="s">
        <v>13</v>
      </c>
      <c r="J620" s="55"/>
      <c r="K620" s="55"/>
      <c r="L620" s="55"/>
      <c r="M620" s="55"/>
      <c r="N620" s="55"/>
    </row>
    <row r="621">
      <c r="A621" s="54" t="s">
        <v>236</v>
      </c>
      <c r="B621" s="11"/>
      <c r="C621" s="8"/>
      <c r="D621" s="8"/>
      <c r="E621" s="9"/>
      <c r="F621" s="10"/>
      <c r="G621" s="9"/>
      <c r="H621" s="11"/>
      <c r="I621" s="9" t="s">
        <v>13</v>
      </c>
      <c r="J621" s="55"/>
      <c r="K621" s="55"/>
      <c r="L621" s="55"/>
      <c r="M621" s="55"/>
      <c r="N621" s="55"/>
    </row>
    <row r="622">
      <c r="A622" s="54" t="s">
        <v>236</v>
      </c>
      <c r="B622" s="11"/>
      <c r="C622" s="8"/>
      <c r="D622" s="8"/>
      <c r="E622" s="9"/>
      <c r="F622" s="10"/>
      <c r="G622" s="9"/>
      <c r="H622" s="11"/>
      <c r="I622" s="9" t="s">
        <v>13</v>
      </c>
      <c r="J622" s="55"/>
      <c r="K622" s="55"/>
      <c r="L622" s="55"/>
      <c r="M622" s="55"/>
      <c r="N622" s="55"/>
    </row>
    <row r="623">
      <c r="A623" s="54" t="s">
        <v>236</v>
      </c>
      <c r="B623" s="11"/>
      <c r="C623" s="8"/>
      <c r="D623" s="8"/>
      <c r="E623" s="9"/>
      <c r="F623" s="10"/>
      <c r="G623" s="9"/>
      <c r="H623" s="11"/>
      <c r="I623" s="9" t="s">
        <v>13</v>
      </c>
      <c r="J623" s="55"/>
      <c r="K623" s="55"/>
      <c r="L623" s="55"/>
      <c r="M623" s="55"/>
      <c r="N623" s="55"/>
    </row>
    <row r="624">
      <c r="A624" s="54" t="s">
        <v>236</v>
      </c>
      <c r="B624" s="11"/>
      <c r="C624" s="8"/>
      <c r="D624" s="8"/>
      <c r="E624" s="9"/>
      <c r="F624" s="10"/>
      <c r="G624" s="9"/>
      <c r="H624" s="11"/>
      <c r="I624" s="9" t="s">
        <v>13</v>
      </c>
      <c r="J624" s="55"/>
      <c r="K624" s="55"/>
      <c r="L624" s="55"/>
      <c r="M624" s="55"/>
      <c r="N624" s="55"/>
    </row>
    <row r="625">
      <c r="A625" s="54" t="s">
        <v>236</v>
      </c>
      <c r="B625" s="11"/>
      <c r="C625" s="8"/>
      <c r="D625" s="8"/>
      <c r="E625" s="9"/>
      <c r="F625" s="10"/>
      <c r="G625" s="9"/>
      <c r="H625" s="11"/>
      <c r="I625" s="9" t="s">
        <v>13</v>
      </c>
      <c r="J625" s="55"/>
      <c r="K625" s="55"/>
      <c r="L625" s="55"/>
      <c r="M625" s="55"/>
      <c r="N625" s="55"/>
    </row>
    <row r="626">
      <c r="A626" s="54" t="s">
        <v>236</v>
      </c>
      <c r="B626" s="11"/>
      <c r="C626" s="8"/>
      <c r="D626" s="8"/>
      <c r="E626" s="9"/>
      <c r="F626" s="10"/>
      <c r="G626" s="9"/>
      <c r="H626" s="11"/>
      <c r="I626" s="9" t="s">
        <v>13</v>
      </c>
      <c r="J626" s="55"/>
      <c r="K626" s="55"/>
      <c r="L626" s="55"/>
      <c r="M626" s="55"/>
      <c r="N626" s="55"/>
    </row>
    <row r="627">
      <c r="A627" s="54" t="s">
        <v>236</v>
      </c>
      <c r="B627" s="11"/>
      <c r="C627" s="8"/>
      <c r="D627" s="8"/>
      <c r="E627" s="9"/>
      <c r="F627" s="10"/>
      <c r="G627" s="9"/>
      <c r="H627" s="11"/>
      <c r="I627" s="9" t="s">
        <v>13</v>
      </c>
      <c r="J627" s="55"/>
      <c r="K627" s="55"/>
      <c r="L627" s="55"/>
      <c r="M627" s="55"/>
      <c r="N627" s="55"/>
    </row>
    <row r="628">
      <c r="A628" s="54" t="s">
        <v>236</v>
      </c>
      <c r="B628" s="11"/>
      <c r="C628" s="8"/>
      <c r="D628" s="8"/>
      <c r="E628" s="9"/>
      <c r="F628" s="10"/>
      <c r="G628" s="9"/>
      <c r="H628" s="11"/>
      <c r="I628" s="9" t="s">
        <v>13</v>
      </c>
      <c r="J628" s="55"/>
      <c r="K628" s="55"/>
      <c r="L628" s="55"/>
      <c r="M628" s="55"/>
      <c r="N628" s="55"/>
    </row>
    <row r="629">
      <c r="A629" s="54" t="s">
        <v>236</v>
      </c>
      <c r="B629" s="11"/>
      <c r="C629" s="8"/>
      <c r="D629" s="8"/>
      <c r="E629" s="9"/>
      <c r="F629" s="10"/>
      <c r="G629" s="9"/>
      <c r="H629" s="11"/>
      <c r="I629" s="9" t="s">
        <v>13</v>
      </c>
      <c r="J629" s="55"/>
      <c r="K629" s="55"/>
      <c r="L629" s="55"/>
      <c r="M629" s="55"/>
      <c r="N629" s="55"/>
    </row>
    <row r="630">
      <c r="A630" s="54" t="s">
        <v>236</v>
      </c>
      <c r="B630" s="11"/>
      <c r="C630" s="8"/>
      <c r="D630" s="8"/>
      <c r="E630" s="9"/>
      <c r="F630" s="10"/>
      <c r="G630" s="9"/>
      <c r="H630" s="11"/>
      <c r="I630" s="9" t="s">
        <v>13</v>
      </c>
      <c r="J630" s="55"/>
      <c r="K630" s="55"/>
      <c r="L630" s="55"/>
      <c r="M630" s="55"/>
      <c r="N630" s="55"/>
    </row>
    <row r="631">
      <c r="A631" s="54" t="s">
        <v>236</v>
      </c>
      <c r="B631" s="11"/>
      <c r="C631" s="8"/>
      <c r="D631" s="8"/>
      <c r="E631" s="9"/>
      <c r="F631" s="10"/>
      <c r="G631" s="9"/>
      <c r="H631" s="11"/>
      <c r="I631" s="9" t="s">
        <v>13</v>
      </c>
      <c r="J631" s="55"/>
      <c r="K631" s="55"/>
      <c r="L631" s="55"/>
      <c r="M631" s="55"/>
      <c r="N631" s="55"/>
    </row>
    <row r="632">
      <c r="A632" s="54" t="s">
        <v>236</v>
      </c>
      <c r="B632" s="11"/>
      <c r="C632" s="8"/>
      <c r="D632" s="8"/>
      <c r="E632" s="9"/>
      <c r="F632" s="10"/>
      <c r="G632" s="9"/>
      <c r="H632" s="11"/>
      <c r="I632" s="9" t="s">
        <v>13</v>
      </c>
      <c r="J632" s="55"/>
      <c r="K632" s="55"/>
      <c r="L632" s="55"/>
      <c r="M632" s="55"/>
      <c r="N632" s="55"/>
    </row>
    <row r="633">
      <c r="A633" s="54" t="s">
        <v>236</v>
      </c>
      <c r="B633" s="11"/>
      <c r="C633" s="8"/>
      <c r="D633" s="8"/>
      <c r="E633" s="9"/>
      <c r="F633" s="10"/>
      <c r="G633" s="9"/>
      <c r="H633" s="11"/>
      <c r="I633" s="9" t="s">
        <v>13</v>
      </c>
      <c r="J633" s="55"/>
      <c r="K633" s="55"/>
      <c r="L633" s="55"/>
      <c r="M633" s="55"/>
      <c r="N633" s="55"/>
    </row>
    <row r="634">
      <c r="A634" s="54" t="s">
        <v>236</v>
      </c>
      <c r="B634" s="11"/>
      <c r="C634" s="8"/>
      <c r="D634" s="8"/>
      <c r="E634" s="9"/>
      <c r="F634" s="10"/>
      <c r="G634" s="9"/>
      <c r="H634" s="11"/>
      <c r="I634" s="9" t="s">
        <v>13</v>
      </c>
      <c r="J634" s="55"/>
      <c r="K634" s="55"/>
      <c r="L634" s="55"/>
      <c r="M634" s="55"/>
      <c r="N634" s="55"/>
    </row>
    <row r="635">
      <c r="A635" s="54" t="s">
        <v>236</v>
      </c>
      <c r="B635" s="11"/>
      <c r="C635" s="8"/>
      <c r="D635" s="8"/>
      <c r="E635" s="9"/>
      <c r="F635" s="10"/>
      <c r="G635" s="9"/>
      <c r="H635" s="11"/>
      <c r="I635" s="9" t="s">
        <v>13</v>
      </c>
      <c r="J635" s="55"/>
      <c r="K635" s="55"/>
      <c r="L635" s="55"/>
      <c r="M635" s="55"/>
      <c r="N635" s="55"/>
    </row>
    <row r="636">
      <c r="A636" s="54" t="s">
        <v>236</v>
      </c>
      <c r="B636" s="11"/>
      <c r="C636" s="8"/>
      <c r="D636" s="8"/>
      <c r="E636" s="9"/>
      <c r="F636" s="10"/>
      <c r="G636" s="9"/>
      <c r="H636" s="11"/>
      <c r="I636" s="9" t="s">
        <v>13</v>
      </c>
      <c r="J636" s="55"/>
      <c r="K636" s="55"/>
      <c r="L636" s="55"/>
      <c r="M636" s="55"/>
      <c r="N636" s="55"/>
    </row>
    <row r="637">
      <c r="A637" s="54" t="s">
        <v>236</v>
      </c>
      <c r="B637" s="11"/>
      <c r="C637" s="8"/>
      <c r="D637" s="8"/>
      <c r="E637" s="9"/>
      <c r="F637" s="10"/>
      <c r="G637" s="9"/>
      <c r="H637" s="11"/>
      <c r="I637" s="9" t="s">
        <v>13</v>
      </c>
      <c r="J637" s="55"/>
      <c r="K637" s="55"/>
      <c r="L637" s="55"/>
      <c r="M637" s="55"/>
      <c r="N637" s="55"/>
    </row>
    <row r="638">
      <c r="A638" s="54" t="s">
        <v>236</v>
      </c>
      <c r="B638" s="11"/>
      <c r="C638" s="8"/>
      <c r="D638" s="8"/>
      <c r="E638" s="9"/>
      <c r="F638" s="10"/>
      <c r="G638" s="9"/>
      <c r="H638" s="11"/>
      <c r="I638" s="9" t="s">
        <v>13</v>
      </c>
      <c r="J638" s="55"/>
      <c r="K638" s="55"/>
      <c r="L638" s="55"/>
      <c r="M638" s="55"/>
      <c r="N638" s="55"/>
    </row>
    <row r="639">
      <c r="A639" s="54" t="s">
        <v>236</v>
      </c>
      <c r="B639" s="11"/>
      <c r="C639" s="8"/>
      <c r="D639" s="8"/>
      <c r="E639" s="9"/>
      <c r="F639" s="10"/>
      <c r="G639" s="9"/>
      <c r="H639" s="11"/>
      <c r="I639" s="9" t="s">
        <v>13</v>
      </c>
      <c r="J639" s="55"/>
      <c r="K639" s="55"/>
      <c r="L639" s="55"/>
      <c r="M639" s="55"/>
      <c r="N639" s="55"/>
    </row>
    <row r="640">
      <c r="A640" s="54" t="s">
        <v>236</v>
      </c>
      <c r="B640" s="11"/>
      <c r="C640" s="8"/>
      <c r="D640" s="8"/>
      <c r="E640" s="9"/>
      <c r="F640" s="10"/>
      <c r="G640" s="9"/>
      <c r="H640" s="11"/>
      <c r="I640" s="9" t="s">
        <v>13</v>
      </c>
      <c r="J640" s="55"/>
      <c r="K640" s="55"/>
      <c r="L640" s="55"/>
      <c r="M640" s="55"/>
      <c r="N640" s="55"/>
    </row>
    <row r="641">
      <c r="A641" s="54" t="s">
        <v>236</v>
      </c>
      <c r="B641" s="11"/>
      <c r="C641" s="8"/>
      <c r="D641" s="8"/>
      <c r="E641" s="9"/>
      <c r="F641" s="10"/>
      <c r="G641" s="9"/>
      <c r="H641" s="11"/>
      <c r="I641" s="9" t="s">
        <v>13</v>
      </c>
      <c r="J641" s="55"/>
      <c r="K641" s="55"/>
      <c r="L641" s="55"/>
      <c r="M641" s="55"/>
      <c r="N641" s="55"/>
    </row>
    <row r="642">
      <c r="A642" s="54" t="s">
        <v>236</v>
      </c>
      <c r="B642" s="11"/>
      <c r="C642" s="8"/>
      <c r="D642" s="8"/>
      <c r="E642" s="9"/>
      <c r="F642" s="10"/>
      <c r="G642" s="9"/>
      <c r="H642" s="11"/>
      <c r="I642" s="9" t="s">
        <v>13</v>
      </c>
      <c r="J642" s="55"/>
      <c r="K642" s="55"/>
      <c r="L642" s="55"/>
      <c r="M642" s="55"/>
      <c r="N642" s="55"/>
    </row>
    <row r="643">
      <c r="A643" s="54" t="s">
        <v>236</v>
      </c>
      <c r="B643" s="11"/>
      <c r="C643" s="8"/>
      <c r="D643" s="8"/>
      <c r="E643" s="9"/>
      <c r="F643" s="10"/>
      <c r="G643" s="9"/>
      <c r="H643" s="11"/>
      <c r="I643" s="9" t="s">
        <v>13</v>
      </c>
      <c r="J643" s="55"/>
      <c r="K643" s="55"/>
      <c r="L643" s="55"/>
      <c r="M643" s="55"/>
      <c r="N643" s="55"/>
    </row>
    <row r="644">
      <c r="A644" s="54" t="s">
        <v>236</v>
      </c>
      <c r="B644" s="11"/>
      <c r="C644" s="8"/>
      <c r="D644" s="8"/>
      <c r="E644" s="9"/>
      <c r="F644" s="10"/>
      <c r="G644" s="9"/>
      <c r="H644" s="11"/>
      <c r="I644" s="9" t="s">
        <v>13</v>
      </c>
      <c r="J644" s="55"/>
      <c r="K644" s="55"/>
      <c r="L644" s="55"/>
      <c r="M644" s="55"/>
      <c r="N644" s="55"/>
    </row>
    <row r="645">
      <c r="A645" s="54" t="s">
        <v>236</v>
      </c>
      <c r="B645" s="11"/>
      <c r="C645" s="8"/>
      <c r="D645" s="8"/>
      <c r="E645" s="9"/>
      <c r="F645" s="10"/>
      <c r="G645" s="9"/>
      <c r="H645" s="11"/>
      <c r="I645" s="9" t="s">
        <v>13</v>
      </c>
      <c r="J645" s="55"/>
      <c r="K645" s="55"/>
      <c r="L645" s="55"/>
      <c r="M645" s="55"/>
      <c r="N645" s="55"/>
    </row>
    <row r="646">
      <c r="A646" s="54" t="s">
        <v>236</v>
      </c>
      <c r="B646" s="11"/>
      <c r="C646" s="8"/>
      <c r="D646" s="8"/>
      <c r="E646" s="9"/>
      <c r="F646" s="10"/>
      <c r="G646" s="9"/>
      <c r="H646" s="11"/>
      <c r="I646" s="9" t="s">
        <v>13</v>
      </c>
      <c r="J646" s="55"/>
      <c r="K646" s="55"/>
      <c r="L646" s="55"/>
      <c r="M646" s="55"/>
      <c r="N646" s="55"/>
    </row>
    <row r="647">
      <c r="A647" s="54" t="s">
        <v>236</v>
      </c>
      <c r="B647" s="11"/>
      <c r="C647" s="8"/>
      <c r="D647" s="8"/>
      <c r="E647" s="9"/>
      <c r="F647" s="10"/>
      <c r="G647" s="9"/>
      <c r="H647" s="11"/>
      <c r="I647" s="9" t="s">
        <v>13</v>
      </c>
      <c r="J647" s="55"/>
      <c r="K647" s="55"/>
      <c r="L647" s="55"/>
      <c r="M647" s="55"/>
      <c r="N647" s="55"/>
    </row>
    <row r="648">
      <c r="A648" s="54" t="s">
        <v>236</v>
      </c>
      <c r="B648" s="11"/>
      <c r="C648" s="8"/>
      <c r="D648" s="8"/>
      <c r="E648" s="9"/>
      <c r="F648" s="10"/>
      <c r="G648" s="9"/>
      <c r="H648" s="11"/>
      <c r="I648" s="9" t="s">
        <v>13</v>
      </c>
      <c r="J648" s="55"/>
      <c r="K648" s="55"/>
      <c r="L648" s="55"/>
      <c r="M648" s="55"/>
      <c r="N648" s="55"/>
    </row>
    <row r="649">
      <c r="A649" s="54" t="s">
        <v>236</v>
      </c>
      <c r="B649" s="11"/>
      <c r="C649" s="8"/>
      <c r="D649" s="8"/>
      <c r="E649" s="9"/>
      <c r="F649" s="10"/>
      <c r="G649" s="9"/>
      <c r="H649" s="11"/>
      <c r="I649" s="9" t="s">
        <v>13</v>
      </c>
      <c r="J649" s="55"/>
      <c r="K649" s="55"/>
      <c r="L649" s="55"/>
      <c r="M649" s="55"/>
      <c r="N649" s="55"/>
    </row>
    <row r="650">
      <c r="A650" s="54" t="s">
        <v>236</v>
      </c>
      <c r="B650" s="11"/>
      <c r="C650" s="8"/>
      <c r="D650" s="8"/>
      <c r="E650" s="9"/>
      <c r="F650" s="10"/>
      <c r="G650" s="9"/>
      <c r="H650" s="11"/>
      <c r="I650" s="9" t="s">
        <v>13</v>
      </c>
      <c r="J650" s="55"/>
      <c r="K650" s="55"/>
      <c r="L650" s="55"/>
      <c r="M650" s="55"/>
      <c r="N650" s="55"/>
    </row>
    <row r="651">
      <c r="A651" s="54" t="s">
        <v>236</v>
      </c>
      <c r="B651" s="11"/>
      <c r="C651" s="8"/>
      <c r="D651" s="8"/>
      <c r="E651" s="9"/>
      <c r="F651" s="10"/>
      <c r="G651" s="9"/>
      <c r="H651" s="11"/>
      <c r="I651" s="9" t="s">
        <v>13</v>
      </c>
      <c r="J651" s="55"/>
      <c r="K651" s="55"/>
      <c r="L651" s="55"/>
      <c r="M651" s="55"/>
      <c r="N651" s="55"/>
    </row>
    <row r="652">
      <c r="A652" s="54" t="s">
        <v>236</v>
      </c>
      <c r="B652" s="11"/>
      <c r="C652" s="8"/>
      <c r="D652" s="8"/>
      <c r="E652" s="9"/>
      <c r="F652" s="10"/>
      <c r="G652" s="9"/>
      <c r="H652" s="11"/>
      <c r="I652" s="9" t="s">
        <v>13</v>
      </c>
      <c r="J652" s="55"/>
      <c r="K652" s="55"/>
      <c r="L652" s="55"/>
      <c r="M652" s="55"/>
      <c r="N652" s="55"/>
    </row>
    <row r="653">
      <c r="A653" s="54" t="s">
        <v>236</v>
      </c>
      <c r="B653" s="11"/>
      <c r="C653" s="8"/>
      <c r="D653" s="8"/>
      <c r="E653" s="9"/>
      <c r="F653" s="10"/>
      <c r="G653" s="9"/>
      <c r="H653" s="11"/>
      <c r="I653" s="9" t="s">
        <v>13</v>
      </c>
      <c r="J653" s="55"/>
      <c r="K653" s="55"/>
      <c r="L653" s="55"/>
      <c r="M653" s="55"/>
      <c r="N653" s="55"/>
    </row>
    <row r="654">
      <c r="A654" s="54" t="s">
        <v>236</v>
      </c>
      <c r="B654" s="11"/>
      <c r="C654" s="8"/>
      <c r="D654" s="8"/>
      <c r="E654" s="9"/>
      <c r="F654" s="10"/>
      <c r="G654" s="9"/>
      <c r="H654" s="11"/>
      <c r="I654" s="9" t="s">
        <v>13</v>
      </c>
      <c r="J654" s="55"/>
      <c r="K654" s="55"/>
      <c r="L654" s="55"/>
      <c r="M654" s="55"/>
      <c r="N654" s="55"/>
    </row>
    <row r="655">
      <c r="A655" s="54" t="s">
        <v>236</v>
      </c>
      <c r="B655" s="11"/>
      <c r="C655" s="8"/>
      <c r="D655" s="8"/>
      <c r="E655" s="9"/>
      <c r="F655" s="10"/>
      <c r="G655" s="9"/>
      <c r="H655" s="11"/>
      <c r="I655" s="9" t="s">
        <v>13</v>
      </c>
      <c r="J655" s="55"/>
      <c r="K655" s="55"/>
      <c r="L655" s="55"/>
      <c r="M655" s="55"/>
      <c r="N655" s="55"/>
    </row>
    <row r="656">
      <c r="A656" s="54" t="s">
        <v>236</v>
      </c>
      <c r="B656" s="11"/>
      <c r="C656" s="8"/>
      <c r="D656" s="8"/>
      <c r="E656" s="9"/>
      <c r="F656" s="10"/>
      <c r="G656" s="9"/>
      <c r="H656" s="11"/>
      <c r="I656" s="9" t="s">
        <v>13</v>
      </c>
      <c r="J656" s="55"/>
      <c r="K656" s="55"/>
      <c r="L656" s="55"/>
      <c r="M656" s="55"/>
      <c r="N656" s="55"/>
    </row>
    <row r="657">
      <c r="A657" s="54" t="s">
        <v>236</v>
      </c>
      <c r="B657" s="11"/>
      <c r="C657" s="8"/>
      <c r="D657" s="8"/>
      <c r="E657" s="9"/>
      <c r="F657" s="10"/>
      <c r="G657" s="9"/>
      <c r="H657" s="11"/>
      <c r="I657" s="9" t="s">
        <v>13</v>
      </c>
      <c r="J657" s="55"/>
      <c r="K657" s="55"/>
      <c r="L657" s="55"/>
      <c r="M657" s="55"/>
      <c r="N657" s="55"/>
    </row>
    <row r="658">
      <c r="A658" s="54" t="s">
        <v>236</v>
      </c>
      <c r="B658" s="11"/>
      <c r="C658" s="8"/>
      <c r="D658" s="8"/>
      <c r="E658" s="9"/>
      <c r="F658" s="10"/>
      <c r="G658" s="9"/>
      <c r="H658" s="11"/>
      <c r="I658" s="9" t="s">
        <v>13</v>
      </c>
      <c r="J658" s="55"/>
      <c r="K658" s="55"/>
      <c r="L658" s="55"/>
      <c r="M658" s="55"/>
      <c r="N658" s="55"/>
    </row>
    <row r="659">
      <c r="A659" s="54" t="s">
        <v>236</v>
      </c>
      <c r="B659" s="11"/>
      <c r="C659" s="8"/>
      <c r="D659" s="8"/>
      <c r="E659" s="9"/>
      <c r="F659" s="10"/>
      <c r="G659" s="9"/>
      <c r="H659" s="11"/>
      <c r="I659" s="9" t="s">
        <v>13</v>
      </c>
      <c r="J659" s="55"/>
      <c r="K659" s="55"/>
      <c r="L659" s="55"/>
      <c r="M659" s="55"/>
      <c r="N659" s="55"/>
    </row>
    <row r="660">
      <c r="A660" s="54" t="s">
        <v>236</v>
      </c>
      <c r="B660" s="11"/>
      <c r="C660" s="8"/>
      <c r="D660" s="8"/>
      <c r="E660" s="9"/>
      <c r="F660" s="10"/>
      <c r="G660" s="9"/>
      <c r="H660" s="11"/>
      <c r="I660" s="9" t="s">
        <v>13</v>
      </c>
      <c r="J660" s="55"/>
      <c r="K660" s="55"/>
      <c r="L660" s="55"/>
      <c r="M660" s="55"/>
      <c r="N660" s="55"/>
    </row>
    <row r="661">
      <c r="A661" s="54" t="s">
        <v>236</v>
      </c>
      <c r="B661" s="11"/>
      <c r="C661" s="8"/>
      <c r="D661" s="8"/>
      <c r="E661" s="9"/>
      <c r="F661" s="10"/>
      <c r="G661" s="9"/>
      <c r="H661" s="11"/>
      <c r="I661" s="9" t="s">
        <v>13</v>
      </c>
      <c r="J661" s="55"/>
      <c r="K661" s="55"/>
      <c r="L661" s="55"/>
      <c r="M661" s="55"/>
      <c r="N661" s="55"/>
    </row>
    <row r="662">
      <c r="A662" s="54" t="s">
        <v>236</v>
      </c>
      <c r="B662" s="11"/>
      <c r="C662" s="8"/>
      <c r="D662" s="8"/>
      <c r="E662" s="9"/>
      <c r="F662" s="10"/>
      <c r="G662" s="9"/>
      <c r="H662" s="11"/>
      <c r="I662" s="9" t="s">
        <v>13</v>
      </c>
      <c r="J662" s="55"/>
      <c r="K662" s="55"/>
      <c r="L662" s="55"/>
      <c r="M662" s="55"/>
      <c r="N662" s="55"/>
    </row>
    <row r="663">
      <c r="A663" s="54" t="s">
        <v>236</v>
      </c>
      <c r="B663" s="11"/>
      <c r="C663" s="8"/>
      <c r="D663" s="8"/>
      <c r="E663" s="9"/>
      <c r="F663" s="10"/>
      <c r="G663" s="9"/>
      <c r="H663" s="11"/>
      <c r="I663" s="9" t="s">
        <v>13</v>
      </c>
      <c r="J663" s="55"/>
      <c r="K663" s="55"/>
      <c r="L663" s="55"/>
      <c r="M663" s="55"/>
      <c r="N663" s="55"/>
    </row>
    <row r="664">
      <c r="A664" s="54" t="s">
        <v>236</v>
      </c>
      <c r="B664" s="11"/>
      <c r="C664" s="8"/>
      <c r="D664" s="8"/>
      <c r="E664" s="9"/>
      <c r="F664" s="10"/>
      <c r="G664" s="9"/>
      <c r="H664" s="11"/>
      <c r="I664" s="9" t="s">
        <v>13</v>
      </c>
      <c r="J664" s="55"/>
      <c r="K664" s="55"/>
      <c r="L664" s="55"/>
      <c r="M664" s="55"/>
      <c r="N664" s="55"/>
    </row>
    <row r="665">
      <c r="A665" s="54" t="s">
        <v>236</v>
      </c>
      <c r="B665" s="11"/>
      <c r="C665" s="8"/>
      <c r="D665" s="8"/>
      <c r="E665" s="9"/>
      <c r="F665" s="10"/>
      <c r="G665" s="9"/>
      <c r="H665" s="11"/>
      <c r="I665" s="9" t="s">
        <v>13</v>
      </c>
      <c r="J665" s="55"/>
      <c r="K665" s="55"/>
      <c r="L665" s="55"/>
      <c r="M665" s="55"/>
      <c r="N665" s="55"/>
    </row>
    <row r="666">
      <c r="A666" s="54" t="s">
        <v>236</v>
      </c>
      <c r="B666" s="11"/>
      <c r="C666" s="8"/>
      <c r="D666" s="8"/>
      <c r="E666" s="9"/>
      <c r="F666" s="10"/>
      <c r="G666" s="9"/>
      <c r="H666" s="11"/>
      <c r="I666" s="9" t="s">
        <v>13</v>
      </c>
      <c r="J666" s="55"/>
      <c r="K666" s="55"/>
      <c r="L666" s="55"/>
      <c r="M666" s="55"/>
      <c r="N666" s="55"/>
    </row>
    <row r="667">
      <c r="A667" s="54" t="s">
        <v>236</v>
      </c>
      <c r="B667" s="11"/>
      <c r="C667" s="8"/>
      <c r="D667" s="8"/>
      <c r="E667" s="9"/>
      <c r="F667" s="10"/>
      <c r="G667" s="9"/>
      <c r="H667" s="11"/>
      <c r="I667" s="9" t="s">
        <v>13</v>
      </c>
      <c r="J667" s="55"/>
      <c r="K667" s="55"/>
      <c r="L667" s="55"/>
      <c r="M667" s="55"/>
      <c r="N667" s="55"/>
    </row>
    <row r="668">
      <c r="A668" s="54" t="s">
        <v>236</v>
      </c>
      <c r="B668" s="11"/>
      <c r="C668" s="8"/>
      <c r="D668" s="8"/>
      <c r="E668" s="9"/>
      <c r="F668" s="10"/>
      <c r="G668" s="9"/>
      <c r="H668" s="11"/>
      <c r="I668" s="9" t="s">
        <v>13</v>
      </c>
      <c r="J668" s="55"/>
      <c r="K668" s="55"/>
      <c r="L668" s="55"/>
      <c r="M668" s="55"/>
      <c r="N668" s="55"/>
    </row>
    <row r="669">
      <c r="A669" s="54" t="s">
        <v>236</v>
      </c>
      <c r="B669" s="11"/>
      <c r="C669" s="8"/>
      <c r="D669" s="8"/>
      <c r="E669" s="9"/>
      <c r="F669" s="10"/>
      <c r="G669" s="9"/>
      <c r="H669" s="11"/>
      <c r="I669" s="9" t="s">
        <v>13</v>
      </c>
      <c r="J669" s="55"/>
      <c r="K669" s="55"/>
      <c r="L669" s="55"/>
      <c r="M669" s="55"/>
      <c r="N669" s="55"/>
    </row>
    <row r="670">
      <c r="A670" s="54" t="s">
        <v>236</v>
      </c>
      <c r="B670" s="11"/>
      <c r="C670" s="8"/>
      <c r="D670" s="8"/>
      <c r="E670" s="9"/>
      <c r="F670" s="10"/>
      <c r="G670" s="9"/>
      <c r="H670" s="11"/>
      <c r="I670" s="9" t="s">
        <v>13</v>
      </c>
      <c r="J670" s="55"/>
      <c r="K670" s="55"/>
      <c r="L670" s="55"/>
      <c r="M670" s="55"/>
      <c r="N670" s="55"/>
    </row>
    <row r="671">
      <c r="A671" s="54" t="s">
        <v>236</v>
      </c>
      <c r="B671" s="11"/>
      <c r="C671" s="8"/>
      <c r="D671" s="8"/>
      <c r="E671" s="9"/>
      <c r="F671" s="10"/>
      <c r="G671" s="9"/>
      <c r="H671" s="11"/>
      <c r="I671" s="9" t="s">
        <v>13</v>
      </c>
      <c r="J671" s="55"/>
      <c r="K671" s="55"/>
      <c r="L671" s="55"/>
      <c r="M671" s="55"/>
      <c r="N671" s="55"/>
    </row>
    <row r="672">
      <c r="A672" s="54" t="s">
        <v>236</v>
      </c>
      <c r="B672" s="11"/>
      <c r="C672" s="8"/>
      <c r="D672" s="8"/>
      <c r="E672" s="9"/>
      <c r="F672" s="10"/>
      <c r="G672" s="9"/>
      <c r="H672" s="11"/>
      <c r="I672" s="9" t="s">
        <v>13</v>
      </c>
      <c r="J672" s="55"/>
      <c r="K672" s="55"/>
      <c r="L672" s="55"/>
      <c r="M672" s="55"/>
      <c r="N672" s="55"/>
    </row>
    <row r="673">
      <c r="A673" s="54" t="s">
        <v>236</v>
      </c>
      <c r="B673" s="11"/>
      <c r="C673" s="8"/>
      <c r="D673" s="8"/>
      <c r="E673" s="9"/>
      <c r="F673" s="10"/>
      <c r="G673" s="9"/>
      <c r="H673" s="11"/>
      <c r="I673" s="9" t="s">
        <v>13</v>
      </c>
      <c r="J673" s="55"/>
      <c r="K673" s="55"/>
      <c r="L673" s="55"/>
      <c r="M673" s="55"/>
      <c r="N673" s="55"/>
    </row>
    <row r="674">
      <c r="A674" s="54" t="s">
        <v>236</v>
      </c>
      <c r="B674" s="11"/>
      <c r="C674" s="8"/>
      <c r="D674" s="8"/>
      <c r="E674" s="9"/>
      <c r="F674" s="10"/>
      <c r="G674" s="9"/>
      <c r="H674" s="11"/>
      <c r="I674" s="9" t="s">
        <v>13</v>
      </c>
      <c r="J674" s="55"/>
      <c r="K674" s="55"/>
      <c r="L674" s="55"/>
      <c r="M674" s="55"/>
      <c r="N674" s="55"/>
    </row>
    <row r="675">
      <c r="A675" s="54" t="s">
        <v>236</v>
      </c>
      <c r="B675" s="11"/>
      <c r="C675" s="8"/>
      <c r="D675" s="8"/>
      <c r="E675" s="9"/>
      <c r="F675" s="10"/>
      <c r="G675" s="9"/>
      <c r="H675" s="11"/>
      <c r="I675" s="9" t="s">
        <v>13</v>
      </c>
      <c r="J675" s="55"/>
      <c r="K675" s="55"/>
      <c r="L675" s="55"/>
      <c r="M675" s="55"/>
      <c r="N675" s="55"/>
    </row>
    <row r="676">
      <c r="A676" s="54" t="s">
        <v>236</v>
      </c>
      <c r="B676" s="11"/>
      <c r="C676" s="8"/>
      <c r="D676" s="8"/>
      <c r="E676" s="9"/>
      <c r="F676" s="10"/>
      <c r="G676" s="9"/>
      <c r="H676" s="11"/>
      <c r="I676" s="9" t="s">
        <v>13</v>
      </c>
      <c r="J676" s="55"/>
      <c r="K676" s="55"/>
      <c r="L676" s="55"/>
      <c r="M676" s="55"/>
      <c r="N676" s="55"/>
    </row>
    <row r="677">
      <c r="A677" s="54" t="s">
        <v>236</v>
      </c>
      <c r="B677" s="11"/>
      <c r="C677" s="8"/>
      <c r="D677" s="8"/>
      <c r="E677" s="9"/>
      <c r="F677" s="10"/>
      <c r="G677" s="9"/>
      <c r="H677" s="11"/>
      <c r="I677" s="9" t="s">
        <v>13</v>
      </c>
      <c r="J677" s="55"/>
      <c r="K677" s="55"/>
      <c r="L677" s="55"/>
      <c r="M677" s="55"/>
      <c r="N677" s="55"/>
    </row>
    <row r="678">
      <c r="A678" s="54" t="s">
        <v>236</v>
      </c>
      <c r="B678" s="11"/>
      <c r="C678" s="8"/>
      <c r="D678" s="8"/>
      <c r="E678" s="9"/>
      <c r="F678" s="10"/>
      <c r="G678" s="9"/>
      <c r="H678" s="11"/>
      <c r="I678" s="9" t="s">
        <v>13</v>
      </c>
      <c r="J678" s="55"/>
      <c r="K678" s="55"/>
      <c r="L678" s="55"/>
      <c r="M678" s="55"/>
      <c r="N678" s="55"/>
    </row>
    <row r="679">
      <c r="A679" s="54" t="s">
        <v>236</v>
      </c>
      <c r="B679" s="11"/>
      <c r="C679" s="8"/>
      <c r="D679" s="8"/>
      <c r="E679" s="9"/>
      <c r="F679" s="10"/>
      <c r="G679" s="9"/>
      <c r="H679" s="11"/>
      <c r="I679" s="9" t="s">
        <v>13</v>
      </c>
      <c r="J679" s="55"/>
      <c r="K679" s="55"/>
      <c r="L679" s="55"/>
      <c r="M679" s="55"/>
      <c r="N679" s="55"/>
    </row>
    <row r="680">
      <c r="A680" s="54" t="s">
        <v>236</v>
      </c>
      <c r="B680" s="11"/>
      <c r="C680" s="8"/>
      <c r="D680" s="8"/>
      <c r="E680" s="9"/>
      <c r="F680" s="10"/>
      <c r="G680" s="9"/>
      <c r="H680" s="11"/>
      <c r="I680" s="9" t="s">
        <v>13</v>
      </c>
      <c r="J680" s="55"/>
      <c r="K680" s="55"/>
      <c r="L680" s="55"/>
      <c r="M680" s="55"/>
      <c r="N680" s="55"/>
    </row>
    <row r="681">
      <c r="A681" s="54" t="s">
        <v>236</v>
      </c>
      <c r="B681" s="11"/>
      <c r="C681" s="8"/>
      <c r="D681" s="8"/>
      <c r="E681" s="9"/>
      <c r="F681" s="10"/>
      <c r="G681" s="9"/>
      <c r="H681" s="11"/>
      <c r="I681" s="9" t="s">
        <v>13</v>
      </c>
      <c r="J681" s="55"/>
      <c r="K681" s="55"/>
      <c r="L681" s="55"/>
      <c r="M681" s="55"/>
      <c r="N681" s="55"/>
    </row>
    <row r="682">
      <c r="A682" s="54" t="s">
        <v>236</v>
      </c>
      <c r="B682" s="11"/>
      <c r="C682" s="8"/>
      <c r="D682" s="8"/>
      <c r="E682" s="9"/>
      <c r="F682" s="10"/>
      <c r="G682" s="9"/>
      <c r="H682" s="11"/>
      <c r="I682" s="9" t="s">
        <v>13</v>
      </c>
      <c r="J682" s="55"/>
      <c r="K682" s="55"/>
      <c r="L682" s="55"/>
      <c r="M682" s="55"/>
      <c r="N682" s="55"/>
    </row>
    <row r="683">
      <c r="A683" s="54" t="s">
        <v>236</v>
      </c>
      <c r="B683" s="11"/>
      <c r="C683" s="8"/>
      <c r="D683" s="8"/>
      <c r="E683" s="9"/>
      <c r="F683" s="10"/>
      <c r="G683" s="9"/>
      <c r="H683" s="11"/>
      <c r="I683" s="9" t="s">
        <v>13</v>
      </c>
      <c r="J683" s="55"/>
      <c r="K683" s="55"/>
      <c r="L683" s="55"/>
      <c r="M683" s="55"/>
      <c r="N683" s="55"/>
    </row>
    <row r="684">
      <c r="A684" s="54" t="s">
        <v>236</v>
      </c>
      <c r="B684" s="11"/>
      <c r="C684" s="8"/>
      <c r="D684" s="8"/>
      <c r="E684" s="9"/>
      <c r="F684" s="10"/>
      <c r="G684" s="9"/>
      <c r="H684" s="11"/>
      <c r="I684" s="9" t="s">
        <v>13</v>
      </c>
      <c r="J684" s="55"/>
      <c r="K684" s="55"/>
      <c r="L684" s="55"/>
      <c r="M684" s="55"/>
      <c r="N684" s="55"/>
    </row>
    <row r="685">
      <c r="A685" s="54" t="s">
        <v>236</v>
      </c>
      <c r="B685" s="11"/>
      <c r="C685" s="8"/>
      <c r="D685" s="8"/>
      <c r="E685" s="9"/>
      <c r="F685" s="10"/>
      <c r="G685" s="9"/>
      <c r="H685" s="11"/>
      <c r="I685" s="9" t="s">
        <v>13</v>
      </c>
      <c r="J685" s="55"/>
      <c r="K685" s="55"/>
      <c r="L685" s="55"/>
      <c r="M685" s="55"/>
      <c r="N685" s="55"/>
    </row>
    <row r="686">
      <c r="A686" s="54" t="s">
        <v>236</v>
      </c>
      <c r="B686" s="11"/>
      <c r="C686" s="8"/>
      <c r="D686" s="8"/>
      <c r="E686" s="9"/>
      <c r="F686" s="10"/>
      <c r="G686" s="9"/>
      <c r="H686" s="11"/>
      <c r="I686" s="9" t="s">
        <v>13</v>
      </c>
      <c r="J686" s="55"/>
      <c r="K686" s="55"/>
      <c r="L686" s="55"/>
      <c r="M686" s="55"/>
      <c r="N686" s="55"/>
    </row>
    <row r="687">
      <c r="A687" s="54" t="s">
        <v>236</v>
      </c>
      <c r="B687" s="11"/>
      <c r="C687" s="8"/>
      <c r="D687" s="8"/>
      <c r="E687" s="9"/>
      <c r="F687" s="10"/>
      <c r="G687" s="9"/>
      <c r="H687" s="11"/>
      <c r="I687" s="9" t="s">
        <v>13</v>
      </c>
      <c r="J687" s="55"/>
      <c r="K687" s="55"/>
      <c r="L687" s="55"/>
      <c r="M687" s="55"/>
      <c r="N687" s="55"/>
    </row>
    <row r="688">
      <c r="A688" s="54" t="s">
        <v>236</v>
      </c>
      <c r="B688" s="11"/>
      <c r="C688" s="8"/>
      <c r="D688" s="8"/>
      <c r="E688" s="9"/>
      <c r="F688" s="10"/>
      <c r="G688" s="9"/>
      <c r="H688" s="11"/>
      <c r="I688" s="9" t="s">
        <v>13</v>
      </c>
      <c r="J688" s="55"/>
      <c r="K688" s="55"/>
      <c r="L688" s="55"/>
      <c r="M688" s="55"/>
      <c r="N688" s="55"/>
    </row>
    <row r="689">
      <c r="A689" s="54" t="s">
        <v>236</v>
      </c>
      <c r="B689" s="11"/>
      <c r="C689" s="8"/>
      <c r="D689" s="8"/>
      <c r="E689" s="9"/>
      <c r="F689" s="10"/>
      <c r="G689" s="9"/>
      <c r="H689" s="11"/>
      <c r="I689" s="9" t="s">
        <v>13</v>
      </c>
      <c r="J689" s="55"/>
      <c r="K689" s="55"/>
      <c r="L689" s="55"/>
      <c r="M689" s="55"/>
      <c r="N689" s="55"/>
    </row>
    <row r="690">
      <c r="A690" s="54" t="s">
        <v>236</v>
      </c>
      <c r="B690" s="11"/>
      <c r="C690" s="8"/>
      <c r="D690" s="8"/>
      <c r="E690" s="9"/>
      <c r="F690" s="10"/>
      <c r="G690" s="9"/>
      <c r="H690" s="11"/>
      <c r="I690" s="9" t="s">
        <v>13</v>
      </c>
      <c r="J690" s="55"/>
      <c r="K690" s="55"/>
      <c r="L690" s="55"/>
      <c r="M690" s="55"/>
      <c r="N690" s="55"/>
    </row>
    <row r="691">
      <c r="A691" s="54" t="s">
        <v>236</v>
      </c>
      <c r="B691" s="11"/>
      <c r="C691" s="8"/>
      <c r="D691" s="8"/>
      <c r="E691" s="9"/>
      <c r="F691" s="10"/>
      <c r="G691" s="9"/>
      <c r="H691" s="11"/>
      <c r="I691" s="9" t="s">
        <v>13</v>
      </c>
      <c r="J691" s="55"/>
      <c r="K691" s="55"/>
      <c r="L691" s="55"/>
      <c r="M691" s="55"/>
      <c r="N691" s="55"/>
    </row>
    <row r="692">
      <c r="A692" s="54" t="s">
        <v>236</v>
      </c>
      <c r="B692" s="11"/>
      <c r="C692" s="8"/>
      <c r="D692" s="8"/>
      <c r="E692" s="9"/>
      <c r="F692" s="10"/>
      <c r="G692" s="9"/>
      <c r="H692" s="11"/>
      <c r="I692" s="9" t="s">
        <v>13</v>
      </c>
      <c r="J692" s="55"/>
      <c r="K692" s="55"/>
      <c r="L692" s="55"/>
      <c r="M692" s="55"/>
      <c r="N692" s="55"/>
    </row>
    <row r="693">
      <c r="A693" s="54" t="s">
        <v>236</v>
      </c>
      <c r="B693" s="11"/>
      <c r="C693" s="8"/>
      <c r="D693" s="8"/>
      <c r="E693" s="9"/>
      <c r="F693" s="10"/>
      <c r="G693" s="9"/>
      <c r="H693" s="11"/>
      <c r="I693" s="9" t="s">
        <v>13</v>
      </c>
      <c r="J693" s="55"/>
      <c r="K693" s="55"/>
      <c r="L693" s="55"/>
      <c r="M693" s="55"/>
      <c r="N693" s="55"/>
    </row>
    <row r="694">
      <c r="A694" s="54" t="s">
        <v>236</v>
      </c>
      <c r="B694" s="11"/>
      <c r="C694" s="8"/>
      <c r="D694" s="8"/>
      <c r="E694" s="9"/>
      <c r="F694" s="10"/>
      <c r="G694" s="9"/>
      <c r="H694" s="11"/>
      <c r="I694" s="9" t="s">
        <v>13</v>
      </c>
      <c r="J694" s="55"/>
      <c r="K694" s="55"/>
      <c r="L694" s="55"/>
      <c r="M694" s="55"/>
      <c r="N694" s="55"/>
    </row>
    <row r="695">
      <c r="A695" s="54" t="s">
        <v>236</v>
      </c>
      <c r="B695" s="11"/>
      <c r="C695" s="8"/>
      <c r="D695" s="8"/>
      <c r="E695" s="9"/>
      <c r="F695" s="10"/>
      <c r="G695" s="9"/>
      <c r="H695" s="11"/>
      <c r="I695" s="9" t="s">
        <v>13</v>
      </c>
      <c r="J695" s="55"/>
      <c r="K695" s="55"/>
      <c r="L695" s="55"/>
      <c r="M695" s="55"/>
      <c r="N695" s="55"/>
    </row>
    <row r="696">
      <c r="A696" s="54" t="s">
        <v>236</v>
      </c>
      <c r="B696" s="11"/>
      <c r="C696" s="8"/>
      <c r="D696" s="8"/>
      <c r="E696" s="9"/>
      <c r="F696" s="10"/>
      <c r="G696" s="9"/>
      <c r="H696" s="11"/>
      <c r="I696" s="9" t="s">
        <v>13</v>
      </c>
      <c r="J696" s="55"/>
      <c r="K696" s="55"/>
      <c r="L696" s="55"/>
      <c r="M696" s="55"/>
      <c r="N696" s="55"/>
    </row>
    <row r="697">
      <c r="A697" s="54" t="s">
        <v>236</v>
      </c>
      <c r="B697" s="11"/>
      <c r="C697" s="8"/>
      <c r="D697" s="8"/>
      <c r="E697" s="9"/>
      <c r="F697" s="10"/>
      <c r="G697" s="9"/>
      <c r="H697" s="11"/>
      <c r="I697" s="9" t="s">
        <v>13</v>
      </c>
      <c r="J697" s="55"/>
      <c r="K697" s="55"/>
      <c r="L697" s="55"/>
      <c r="M697" s="55"/>
      <c r="N697" s="55"/>
    </row>
    <row r="698">
      <c r="A698" s="54" t="s">
        <v>236</v>
      </c>
      <c r="B698" s="11"/>
      <c r="C698" s="8"/>
      <c r="D698" s="8"/>
      <c r="E698" s="9"/>
      <c r="F698" s="10"/>
      <c r="G698" s="9"/>
      <c r="H698" s="11"/>
      <c r="I698" s="9" t="s">
        <v>13</v>
      </c>
      <c r="J698" s="55"/>
      <c r="K698" s="55"/>
      <c r="L698" s="55"/>
      <c r="M698" s="55"/>
      <c r="N698" s="55"/>
    </row>
    <row r="699">
      <c r="A699" s="54" t="s">
        <v>236</v>
      </c>
      <c r="B699" s="11"/>
      <c r="C699" s="8"/>
      <c r="D699" s="8"/>
      <c r="E699" s="9"/>
      <c r="F699" s="10"/>
      <c r="G699" s="9"/>
      <c r="H699" s="11"/>
      <c r="I699" s="9" t="s">
        <v>13</v>
      </c>
      <c r="J699" s="55"/>
      <c r="K699" s="55"/>
      <c r="L699" s="55"/>
      <c r="M699" s="55"/>
      <c r="N699" s="55"/>
    </row>
    <row r="700">
      <c r="A700" s="54" t="s">
        <v>236</v>
      </c>
      <c r="B700" s="11"/>
      <c r="C700" s="8"/>
      <c r="D700" s="8"/>
      <c r="E700" s="9"/>
      <c r="F700" s="10"/>
      <c r="G700" s="9"/>
      <c r="H700" s="11"/>
      <c r="I700" s="9" t="s">
        <v>13</v>
      </c>
      <c r="J700" s="55"/>
      <c r="K700" s="55"/>
      <c r="L700" s="55"/>
      <c r="M700" s="55"/>
      <c r="N700" s="55"/>
    </row>
    <row r="701">
      <c r="A701" s="54" t="s">
        <v>236</v>
      </c>
      <c r="B701" s="11"/>
      <c r="C701" s="8"/>
      <c r="D701" s="8"/>
      <c r="E701" s="9"/>
      <c r="F701" s="10"/>
      <c r="G701" s="9"/>
      <c r="H701" s="11"/>
      <c r="I701" s="9" t="s">
        <v>13</v>
      </c>
      <c r="J701" s="55"/>
      <c r="K701" s="55"/>
      <c r="L701" s="55"/>
      <c r="M701" s="55"/>
      <c r="N701" s="55"/>
    </row>
    <row r="702">
      <c r="A702" s="54" t="s">
        <v>236</v>
      </c>
      <c r="B702" s="11"/>
      <c r="C702" s="8"/>
      <c r="D702" s="8"/>
      <c r="E702" s="9"/>
      <c r="F702" s="10"/>
      <c r="G702" s="9"/>
      <c r="H702" s="11"/>
      <c r="I702" s="9" t="s">
        <v>13</v>
      </c>
      <c r="J702" s="55"/>
      <c r="K702" s="55"/>
      <c r="L702" s="55"/>
      <c r="M702" s="55"/>
      <c r="N702" s="55"/>
    </row>
    <row r="703">
      <c r="A703" s="54" t="s">
        <v>236</v>
      </c>
      <c r="B703" s="11"/>
      <c r="C703" s="8"/>
      <c r="D703" s="8"/>
      <c r="E703" s="9"/>
      <c r="F703" s="10"/>
      <c r="G703" s="9"/>
      <c r="H703" s="11"/>
      <c r="I703" s="9" t="s">
        <v>13</v>
      </c>
      <c r="J703" s="55"/>
      <c r="K703" s="55"/>
      <c r="L703" s="55"/>
      <c r="M703" s="55"/>
      <c r="N703" s="55"/>
    </row>
    <row r="704">
      <c r="A704" s="54" t="s">
        <v>236</v>
      </c>
      <c r="B704" s="11"/>
      <c r="C704" s="8"/>
      <c r="D704" s="8"/>
      <c r="E704" s="9"/>
      <c r="F704" s="10"/>
      <c r="G704" s="9"/>
      <c r="H704" s="11"/>
      <c r="I704" s="9" t="s">
        <v>13</v>
      </c>
      <c r="J704" s="55"/>
      <c r="K704" s="55"/>
      <c r="L704" s="55"/>
      <c r="M704" s="55"/>
      <c r="N704" s="55"/>
    </row>
    <row r="705">
      <c r="A705" s="54" t="s">
        <v>236</v>
      </c>
      <c r="B705" s="11"/>
      <c r="C705" s="8"/>
      <c r="D705" s="8"/>
      <c r="E705" s="9"/>
      <c r="F705" s="10"/>
      <c r="G705" s="9"/>
      <c r="H705" s="11"/>
      <c r="I705" s="9" t="s">
        <v>13</v>
      </c>
      <c r="J705" s="55"/>
      <c r="K705" s="55"/>
      <c r="L705" s="55"/>
      <c r="M705" s="55"/>
      <c r="N705" s="55"/>
    </row>
    <row r="706">
      <c r="A706" s="54" t="s">
        <v>236</v>
      </c>
      <c r="B706" s="11"/>
      <c r="C706" s="8"/>
      <c r="D706" s="8"/>
      <c r="E706" s="9"/>
      <c r="F706" s="10"/>
      <c r="G706" s="9"/>
      <c r="H706" s="11"/>
      <c r="I706" s="9" t="s">
        <v>13</v>
      </c>
      <c r="J706" s="55"/>
      <c r="K706" s="55"/>
      <c r="L706" s="55"/>
      <c r="M706" s="55"/>
      <c r="N706" s="55"/>
    </row>
    <row r="707">
      <c r="A707" s="54" t="s">
        <v>236</v>
      </c>
      <c r="B707" s="11"/>
      <c r="C707" s="8"/>
      <c r="D707" s="8"/>
      <c r="E707" s="9"/>
      <c r="F707" s="10"/>
      <c r="G707" s="9"/>
      <c r="H707" s="11"/>
      <c r="I707" s="9" t="s">
        <v>13</v>
      </c>
      <c r="J707" s="55"/>
      <c r="K707" s="55"/>
      <c r="L707" s="55"/>
      <c r="M707" s="55"/>
      <c r="N707" s="55"/>
    </row>
    <row r="708">
      <c r="A708" s="54" t="s">
        <v>236</v>
      </c>
      <c r="B708" s="11"/>
      <c r="C708" s="8"/>
      <c r="D708" s="8"/>
      <c r="E708" s="9"/>
      <c r="F708" s="10"/>
      <c r="G708" s="9"/>
      <c r="H708" s="11"/>
      <c r="I708" s="9" t="s">
        <v>13</v>
      </c>
      <c r="J708" s="55"/>
      <c r="K708" s="55"/>
      <c r="L708" s="55"/>
      <c r="M708" s="55"/>
      <c r="N708" s="55"/>
    </row>
    <row r="709">
      <c r="A709" s="54" t="s">
        <v>236</v>
      </c>
      <c r="B709" s="11"/>
      <c r="C709" s="8"/>
      <c r="D709" s="8"/>
      <c r="E709" s="9"/>
      <c r="F709" s="10"/>
      <c r="G709" s="9"/>
      <c r="H709" s="11"/>
      <c r="I709" s="9" t="s">
        <v>13</v>
      </c>
      <c r="J709" s="55"/>
      <c r="K709" s="55"/>
      <c r="L709" s="55"/>
      <c r="M709" s="55"/>
      <c r="N709" s="55"/>
    </row>
    <row r="710">
      <c r="A710" s="54" t="s">
        <v>236</v>
      </c>
      <c r="B710" s="11"/>
      <c r="C710" s="8"/>
      <c r="D710" s="8"/>
      <c r="E710" s="9"/>
      <c r="F710" s="10"/>
      <c r="G710" s="9"/>
      <c r="H710" s="11"/>
      <c r="I710" s="9" t="s">
        <v>13</v>
      </c>
      <c r="J710" s="55"/>
      <c r="K710" s="55"/>
      <c r="L710" s="55"/>
      <c r="M710" s="55"/>
      <c r="N710" s="55"/>
    </row>
    <row r="711">
      <c r="A711" s="54" t="s">
        <v>236</v>
      </c>
      <c r="B711" s="11"/>
      <c r="C711" s="8"/>
      <c r="D711" s="8"/>
      <c r="E711" s="9"/>
      <c r="F711" s="10"/>
      <c r="G711" s="9"/>
      <c r="H711" s="11"/>
      <c r="I711" s="9" t="s">
        <v>13</v>
      </c>
      <c r="J711" s="55"/>
      <c r="K711" s="55"/>
      <c r="L711" s="55"/>
      <c r="M711" s="55"/>
      <c r="N711" s="55"/>
    </row>
    <row r="712">
      <c r="A712" s="54" t="s">
        <v>236</v>
      </c>
      <c r="B712" s="11"/>
      <c r="C712" s="8"/>
      <c r="D712" s="8"/>
      <c r="E712" s="9"/>
      <c r="F712" s="10"/>
      <c r="G712" s="9"/>
      <c r="H712" s="11"/>
      <c r="I712" s="9" t="s">
        <v>13</v>
      </c>
      <c r="J712" s="55"/>
      <c r="K712" s="55"/>
      <c r="L712" s="55"/>
      <c r="M712" s="55"/>
      <c r="N712" s="55"/>
    </row>
    <row r="713">
      <c r="A713" s="54" t="s">
        <v>236</v>
      </c>
      <c r="B713" s="11"/>
      <c r="C713" s="8"/>
      <c r="D713" s="8"/>
      <c r="E713" s="9"/>
      <c r="F713" s="10"/>
      <c r="G713" s="9"/>
      <c r="H713" s="11"/>
      <c r="I713" s="9" t="s">
        <v>13</v>
      </c>
      <c r="J713" s="55"/>
      <c r="K713" s="55"/>
      <c r="L713" s="55"/>
      <c r="M713" s="55"/>
      <c r="N713" s="55"/>
    </row>
    <row r="714">
      <c r="A714" s="54" t="s">
        <v>236</v>
      </c>
      <c r="B714" s="11"/>
      <c r="C714" s="8"/>
      <c r="D714" s="8"/>
      <c r="E714" s="9"/>
      <c r="F714" s="10"/>
      <c r="G714" s="9"/>
      <c r="H714" s="11"/>
      <c r="I714" s="9" t="s">
        <v>13</v>
      </c>
      <c r="J714" s="55"/>
      <c r="K714" s="55"/>
      <c r="L714" s="55"/>
      <c r="M714" s="55"/>
      <c r="N714" s="55"/>
    </row>
    <row r="715">
      <c r="A715" s="54" t="s">
        <v>236</v>
      </c>
      <c r="B715" s="11"/>
      <c r="C715" s="8"/>
      <c r="D715" s="8"/>
      <c r="E715" s="9"/>
      <c r="F715" s="10"/>
      <c r="G715" s="9"/>
      <c r="H715" s="11"/>
      <c r="I715" s="9" t="s">
        <v>13</v>
      </c>
      <c r="J715" s="55"/>
      <c r="K715" s="55"/>
      <c r="L715" s="55"/>
      <c r="M715" s="55"/>
      <c r="N715" s="55"/>
    </row>
    <row r="716">
      <c r="A716" s="54" t="s">
        <v>236</v>
      </c>
      <c r="B716" s="11"/>
      <c r="C716" s="8"/>
      <c r="D716" s="8"/>
      <c r="E716" s="9"/>
      <c r="F716" s="10"/>
      <c r="G716" s="9"/>
      <c r="H716" s="11"/>
      <c r="I716" s="9" t="s">
        <v>13</v>
      </c>
      <c r="J716" s="55"/>
      <c r="K716" s="55"/>
      <c r="L716" s="55"/>
      <c r="M716" s="55"/>
      <c r="N716" s="55"/>
    </row>
    <row r="717">
      <c r="A717" s="54" t="s">
        <v>236</v>
      </c>
      <c r="B717" s="11"/>
      <c r="C717" s="8"/>
      <c r="D717" s="8"/>
      <c r="E717" s="9"/>
      <c r="F717" s="10"/>
      <c r="G717" s="9"/>
      <c r="H717" s="11"/>
      <c r="I717" s="9" t="s">
        <v>13</v>
      </c>
      <c r="J717" s="55"/>
      <c r="K717" s="55"/>
      <c r="L717" s="55"/>
      <c r="M717" s="55"/>
      <c r="N717" s="55"/>
    </row>
    <row r="718">
      <c r="A718" s="54" t="s">
        <v>236</v>
      </c>
      <c r="B718" s="11"/>
      <c r="C718" s="8"/>
      <c r="D718" s="8"/>
      <c r="E718" s="9"/>
      <c r="F718" s="10"/>
      <c r="G718" s="9"/>
      <c r="H718" s="11"/>
      <c r="I718" s="9" t="s">
        <v>13</v>
      </c>
      <c r="J718" s="55"/>
      <c r="K718" s="55"/>
      <c r="L718" s="55"/>
      <c r="M718" s="55"/>
      <c r="N718" s="55"/>
    </row>
    <row r="719">
      <c r="A719" s="54" t="s">
        <v>236</v>
      </c>
      <c r="B719" s="11"/>
      <c r="C719" s="8"/>
      <c r="D719" s="8"/>
      <c r="E719" s="9"/>
      <c r="F719" s="10"/>
      <c r="G719" s="9"/>
      <c r="H719" s="11"/>
      <c r="I719" s="9" t="s">
        <v>13</v>
      </c>
      <c r="J719" s="55"/>
      <c r="K719" s="55"/>
      <c r="L719" s="55"/>
      <c r="M719" s="55"/>
      <c r="N719" s="55"/>
    </row>
    <row r="720">
      <c r="A720" s="54" t="s">
        <v>236</v>
      </c>
      <c r="B720" s="11"/>
      <c r="C720" s="8"/>
      <c r="D720" s="8"/>
      <c r="E720" s="9"/>
      <c r="F720" s="10"/>
      <c r="G720" s="9"/>
      <c r="H720" s="11"/>
      <c r="I720" s="9" t="s">
        <v>13</v>
      </c>
      <c r="J720" s="55"/>
      <c r="K720" s="55"/>
      <c r="L720" s="55"/>
      <c r="M720" s="55"/>
      <c r="N720" s="55"/>
    </row>
    <row r="721">
      <c r="A721" s="54" t="s">
        <v>236</v>
      </c>
      <c r="B721" s="11"/>
      <c r="C721" s="8"/>
      <c r="D721" s="8"/>
      <c r="E721" s="9"/>
      <c r="F721" s="10"/>
      <c r="G721" s="9"/>
      <c r="H721" s="11"/>
      <c r="I721" s="9" t="s">
        <v>13</v>
      </c>
      <c r="J721" s="55"/>
      <c r="K721" s="55"/>
      <c r="L721" s="55"/>
      <c r="M721" s="55"/>
      <c r="N721" s="55"/>
    </row>
    <row r="722">
      <c r="A722" s="54" t="s">
        <v>236</v>
      </c>
      <c r="B722" s="11"/>
      <c r="C722" s="8"/>
      <c r="D722" s="8"/>
      <c r="E722" s="9"/>
      <c r="F722" s="10"/>
      <c r="G722" s="9"/>
      <c r="H722" s="11"/>
      <c r="I722" s="9" t="s">
        <v>13</v>
      </c>
      <c r="J722" s="55"/>
      <c r="K722" s="55"/>
      <c r="L722" s="55"/>
      <c r="M722" s="55"/>
      <c r="N722" s="55"/>
    </row>
    <row r="723">
      <c r="A723" s="54" t="s">
        <v>236</v>
      </c>
      <c r="B723" s="11"/>
      <c r="C723" s="8"/>
      <c r="D723" s="8"/>
      <c r="E723" s="9"/>
      <c r="F723" s="10"/>
      <c r="G723" s="9"/>
      <c r="H723" s="11"/>
      <c r="I723" s="9" t="s">
        <v>13</v>
      </c>
      <c r="J723" s="55"/>
      <c r="K723" s="55"/>
      <c r="L723" s="55"/>
      <c r="M723" s="55"/>
      <c r="N723" s="55"/>
    </row>
    <row r="724">
      <c r="A724" s="54" t="s">
        <v>236</v>
      </c>
      <c r="B724" s="11"/>
      <c r="C724" s="8"/>
      <c r="D724" s="8"/>
      <c r="E724" s="9"/>
      <c r="F724" s="10"/>
      <c r="G724" s="9"/>
      <c r="H724" s="11"/>
      <c r="I724" s="9" t="s">
        <v>13</v>
      </c>
      <c r="J724" s="55"/>
      <c r="K724" s="55"/>
      <c r="L724" s="55"/>
      <c r="M724" s="55"/>
      <c r="N724" s="55"/>
    </row>
    <row r="725">
      <c r="A725" s="54" t="s">
        <v>236</v>
      </c>
      <c r="B725" s="11"/>
      <c r="C725" s="8"/>
      <c r="D725" s="8"/>
      <c r="E725" s="9"/>
      <c r="F725" s="10"/>
      <c r="G725" s="9"/>
      <c r="H725" s="11"/>
      <c r="I725" s="9" t="s">
        <v>13</v>
      </c>
      <c r="J725" s="55"/>
      <c r="K725" s="55"/>
      <c r="L725" s="55"/>
      <c r="M725" s="55"/>
      <c r="N725" s="55"/>
    </row>
    <row r="726">
      <c r="A726" s="54" t="s">
        <v>236</v>
      </c>
      <c r="B726" s="11"/>
      <c r="C726" s="8"/>
      <c r="D726" s="8"/>
      <c r="E726" s="9"/>
      <c r="F726" s="10"/>
      <c r="G726" s="9"/>
      <c r="H726" s="11"/>
      <c r="I726" s="9" t="s">
        <v>13</v>
      </c>
      <c r="J726" s="55"/>
      <c r="K726" s="55"/>
      <c r="L726" s="55"/>
      <c r="M726" s="55"/>
      <c r="N726" s="55"/>
    </row>
    <row r="727">
      <c r="A727" s="54" t="s">
        <v>236</v>
      </c>
      <c r="B727" s="11"/>
      <c r="C727" s="8"/>
      <c r="D727" s="8"/>
      <c r="E727" s="9"/>
      <c r="F727" s="10"/>
      <c r="G727" s="9"/>
      <c r="H727" s="11"/>
      <c r="I727" s="9" t="s">
        <v>13</v>
      </c>
      <c r="J727" s="55"/>
      <c r="K727" s="55"/>
      <c r="L727" s="55"/>
      <c r="M727" s="55"/>
      <c r="N727" s="55"/>
    </row>
    <row r="728">
      <c r="A728" s="54" t="s">
        <v>236</v>
      </c>
      <c r="B728" s="11"/>
      <c r="C728" s="8"/>
      <c r="D728" s="8"/>
      <c r="E728" s="9"/>
      <c r="F728" s="10"/>
      <c r="G728" s="9"/>
      <c r="H728" s="11"/>
      <c r="I728" s="9" t="s">
        <v>13</v>
      </c>
      <c r="J728" s="55"/>
      <c r="K728" s="55"/>
      <c r="L728" s="55"/>
      <c r="M728" s="55"/>
      <c r="N728" s="55"/>
    </row>
    <row r="729">
      <c r="A729" s="54" t="s">
        <v>236</v>
      </c>
      <c r="B729" s="11"/>
      <c r="C729" s="8"/>
      <c r="D729" s="8"/>
      <c r="E729" s="9"/>
      <c r="F729" s="10"/>
      <c r="G729" s="9"/>
      <c r="H729" s="11"/>
      <c r="I729" s="9" t="s">
        <v>13</v>
      </c>
      <c r="J729" s="55"/>
      <c r="K729" s="55"/>
      <c r="L729" s="55"/>
      <c r="M729" s="55"/>
      <c r="N729" s="55"/>
    </row>
    <row r="730">
      <c r="A730" s="54" t="s">
        <v>236</v>
      </c>
      <c r="B730" s="11"/>
      <c r="C730" s="8"/>
      <c r="D730" s="8"/>
      <c r="E730" s="9"/>
      <c r="F730" s="10"/>
      <c r="G730" s="9"/>
      <c r="H730" s="11"/>
      <c r="I730" s="9" t="s">
        <v>13</v>
      </c>
      <c r="J730" s="55"/>
      <c r="K730" s="55"/>
      <c r="L730" s="55"/>
      <c r="M730" s="55"/>
      <c r="N730" s="55"/>
    </row>
    <row r="731">
      <c r="A731" s="54" t="s">
        <v>236</v>
      </c>
      <c r="B731" s="11"/>
      <c r="C731" s="8"/>
      <c r="D731" s="8"/>
      <c r="E731" s="9"/>
      <c r="F731" s="10"/>
      <c r="G731" s="9"/>
      <c r="H731" s="11"/>
      <c r="I731" s="9" t="s">
        <v>13</v>
      </c>
      <c r="J731" s="55"/>
      <c r="K731" s="55"/>
      <c r="L731" s="55"/>
      <c r="M731" s="55"/>
      <c r="N731" s="55"/>
    </row>
    <row r="732">
      <c r="A732" s="54" t="s">
        <v>236</v>
      </c>
      <c r="B732" s="11"/>
      <c r="C732" s="8"/>
      <c r="D732" s="8"/>
      <c r="E732" s="9"/>
      <c r="F732" s="10"/>
      <c r="G732" s="9"/>
      <c r="H732" s="11"/>
      <c r="I732" s="9" t="s">
        <v>13</v>
      </c>
      <c r="J732" s="55"/>
      <c r="K732" s="55"/>
      <c r="L732" s="55"/>
      <c r="M732" s="55"/>
      <c r="N732" s="55"/>
    </row>
    <row r="733">
      <c r="A733" s="54" t="s">
        <v>236</v>
      </c>
      <c r="B733" s="11"/>
      <c r="C733" s="8"/>
      <c r="D733" s="8"/>
      <c r="E733" s="9"/>
      <c r="F733" s="10"/>
      <c r="G733" s="9"/>
      <c r="H733" s="11"/>
      <c r="I733" s="9" t="s">
        <v>13</v>
      </c>
      <c r="J733" s="55"/>
      <c r="K733" s="55"/>
      <c r="L733" s="55"/>
      <c r="M733" s="55"/>
      <c r="N733" s="55"/>
    </row>
    <row r="734">
      <c r="A734" s="54" t="s">
        <v>236</v>
      </c>
      <c r="B734" s="11"/>
      <c r="C734" s="8"/>
      <c r="D734" s="8"/>
      <c r="E734" s="9"/>
      <c r="F734" s="10"/>
      <c r="G734" s="9"/>
      <c r="H734" s="11"/>
      <c r="I734" s="9" t="s">
        <v>13</v>
      </c>
      <c r="J734" s="55"/>
      <c r="K734" s="55"/>
      <c r="L734" s="55"/>
      <c r="M734" s="55"/>
      <c r="N734" s="55"/>
    </row>
    <row r="735">
      <c r="A735" s="54" t="s">
        <v>236</v>
      </c>
      <c r="B735" s="11"/>
      <c r="C735" s="8"/>
      <c r="D735" s="8"/>
      <c r="E735" s="9"/>
      <c r="F735" s="10"/>
      <c r="G735" s="9"/>
      <c r="H735" s="11"/>
      <c r="I735" s="9" t="s">
        <v>13</v>
      </c>
      <c r="J735" s="55"/>
      <c r="K735" s="55"/>
      <c r="L735" s="55"/>
      <c r="M735" s="55"/>
      <c r="N735" s="55"/>
    </row>
    <row r="736">
      <c r="A736" s="54" t="s">
        <v>236</v>
      </c>
      <c r="B736" s="11"/>
      <c r="C736" s="8"/>
      <c r="D736" s="8"/>
      <c r="E736" s="9"/>
      <c r="F736" s="10"/>
      <c r="G736" s="9"/>
      <c r="H736" s="11"/>
      <c r="I736" s="9" t="s">
        <v>13</v>
      </c>
      <c r="J736" s="55"/>
      <c r="K736" s="55"/>
      <c r="L736" s="55"/>
      <c r="M736" s="55"/>
      <c r="N736" s="55"/>
    </row>
    <row r="737">
      <c r="A737" s="54" t="s">
        <v>236</v>
      </c>
      <c r="B737" s="11"/>
      <c r="C737" s="8"/>
      <c r="D737" s="8"/>
      <c r="E737" s="9"/>
      <c r="F737" s="10"/>
      <c r="G737" s="9"/>
      <c r="H737" s="11"/>
      <c r="I737" s="9" t="s">
        <v>13</v>
      </c>
      <c r="J737" s="55"/>
      <c r="K737" s="55"/>
      <c r="L737" s="55"/>
      <c r="M737" s="55"/>
      <c r="N737" s="55"/>
    </row>
    <row r="738">
      <c r="A738" s="54" t="s">
        <v>236</v>
      </c>
      <c r="B738" s="11"/>
      <c r="C738" s="8"/>
      <c r="D738" s="8"/>
      <c r="E738" s="9"/>
      <c r="F738" s="10"/>
      <c r="G738" s="9"/>
      <c r="H738" s="11"/>
      <c r="I738" s="9" t="s">
        <v>13</v>
      </c>
      <c r="J738" s="55"/>
      <c r="K738" s="55"/>
      <c r="L738" s="55"/>
      <c r="M738" s="55"/>
      <c r="N738" s="55"/>
    </row>
    <row r="739">
      <c r="A739" s="54" t="s">
        <v>236</v>
      </c>
      <c r="B739" s="11"/>
      <c r="C739" s="8"/>
      <c r="D739" s="8"/>
      <c r="E739" s="9"/>
      <c r="F739" s="10"/>
      <c r="G739" s="9"/>
      <c r="H739" s="11"/>
      <c r="I739" s="9" t="s">
        <v>13</v>
      </c>
      <c r="J739" s="55"/>
      <c r="K739" s="55"/>
      <c r="L739" s="55"/>
      <c r="M739" s="55"/>
      <c r="N739" s="55"/>
    </row>
    <row r="740">
      <c r="A740" s="54" t="s">
        <v>236</v>
      </c>
      <c r="B740" s="11"/>
      <c r="C740" s="8"/>
      <c r="D740" s="8"/>
      <c r="E740" s="9"/>
      <c r="F740" s="10"/>
      <c r="G740" s="9"/>
      <c r="H740" s="11"/>
      <c r="I740" s="9" t="s">
        <v>13</v>
      </c>
      <c r="J740" s="55"/>
      <c r="K740" s="55"/>
      <c r="L740" s="55"/>
      <c r="M740" s="55"/>
      <c r="N740" s="55"/>
    </row>
    <row r="741">
      <c r="A741" s="54" t="s">
        <v>236</v>
      </c>
      <c r="B741" s="11"/>
      <c r="C741" s="8"/>
      <c r="D741" s="8"/>
      <c r="E741" s="9"/>
      <c r="F741" s="10"/>
      <c r="G741" s="9"/>
      <c r="H741" s="11"/>
      <c r="I741" s="9" t="s">
        <v>13</v>
      </c>
      <c r="J741" s="55"/>
      <c r="K741" s="55"/>
      <c r="L741" s="55"/>
      <c r="M741" s="55"/>
      <c r="N741" s="55"/>
    </row>
    <row r="742">
      <c r="A742" s="54" t="s">
        <v>236</v>
      </c>
      <c r="B742" s="11"/>
      <c r="C742" s="8"/>
      <c r="D742" s="8"/>
      <c r="E742" s="9"/>
      <c r="F742" s="10"/>
      <c r="G742" s="9"/>
      <c r="H742" s="11"/>
      <c r="I742" s="9" t="s">
        <v>13</v>
      </c>
      <c r="J742" s="55"/>
      <c r="K742" s="55"/>
      <c r="L742" s="55"/>
      <c r="M742" s="55"/>
      <c r="N742" s="55"/>
    </row>
    <row r="743">
      <c r="A743" s="54" t="s">
        <v>236</v>
      </c>
      <c r="B743" s="11"/>
      <c r="C743" s="8"/>
      <c r="D743" s="8"/>
      <c r="E743" s="9"/>
      <c r="F743" s="10"/>
      <c r="G743" s="9"/>
      <c r="H743" s="11"/>
      <c r="I743" s="9" t="s">
        <v>13</v>
      </c>
      <c r="J743" s="55"/>
      <c r="K743" s="55"/>
      <c r="L743" s="55"/>
      <c r="M743" s="55"/>
      <c r="N743" s="55"/>
    </row>
    <row r="744">
      <c r="A744" s="54" t="s">
        <v>236</v>
      </c>
      <c r="B744" s="11"/>
      <c r="C744" s="8"/>
      <c r="D744" s="8"/>
      <c r="E744" s="9"/>
      <c r="F744" s="10"/>
      <c r="G744" s="9"/>
      <c r="H744" s="11"/>
      <c r="I744" s="9" t="s">
        <v>13</v>
      </c>
      <c r="J744" s="55"/>
      <c r="K744" s="55"/>
      <c r="L744" s="55"/>
      <c r="M744" s="55"/>
      <c r="N744" s="55"/>
    </row>
    <row r="745">
      <c r="A745" s="54" t="s">
        <v>236</v>
      </c>
      <c r="B745" s="11"/>
      <c r="C745" s="8"/>
      <c r="D745" s="8"/>
      <c r="E745" s="9"/>
      <c r="F745" s="10"/>
      <c r="G745" s="9"/>
      <c r="H745" s="11"/>
      <c r="I745" s="9" t="s">
        <v>13</v>
      </c>
      <c r="J745" s="55"/>
      <c r="K745" s="55"/>
      <c r="L745" s="55"/>
      <c r="M745" s="55"/>
      <c r="N745" s="55"/>
    </row>
    <row r="746">
      <c r="A746" s="54" t="s">
        <v>236</v>
      </c>
      <c r="B746" s="11"/>
      <c r="C746" s="8"/>
      <c r="D746" s="8"/>
      <c r="E746" s="9"/>
      <c r="F746" s="10"/>
      <c r="G746" s="9"/>
      <c r="H746" s="11"/>
      <c r="I746" s="9" t="s">
        <v>13</v>
      </c>
      <c r="J746" s="55"/>
      <c r="K746" s="55"/>
      <c r="L746" s="55"/>
      <c r="M746" s="55"/>
      <c r="N746" s="55"/>
    </row>
    <row r="747">
      <c r="A747" s="54" t="s">
        <v>236</v>
      </c>
      <c r="B747" s="11"/>
      <c r="C747" s="8"/>
      <c r="D747" s="8"/>
      <c r="E747" s="9"/>
      <c r="F747" s="10"/>
      <c r="G747" s="9"/>
      <c r="H747" s="11"/>
      <c r="I747" s="9" t="s">
        <v>13</v>
      </c>
      <c r="J747" s="55"/>
      <c r="K747" s="55"/>
      <c r="L747" s="55"/>
      <c r="M747" s="55"/>
      <c r="N747" s="55"/>
    </row>
    <row r="748">
      <c r="A748" s="54" t="s">
        <v>236</v>
      </c>
      <c r="B748" s="11"/>
      <c r="C748" s="8"/>
      <c r="D748" s="8"/>
      <c r="E748" s="9"/>
      <c r="F748" s="10"/>
      <c r="G748" s="9"/>
      <c r="H748" s="11"/>
      <c r="I748" s="9" t="s">
        <v>13</v>
      </c>
      <c r="J748" s="55"/>
      <c r="K748" s="55"/>
      <c r="L748" s="55"/>
      <c r="M748" s="55"/>
      <c r="N748" s="55"/>
    </row>
    <row r="749">
      <c r="A749" s="54" t="s">
        <v>236</v>
      </c>
      <c r="B749" s="11"/>
      <c r="C749" s="8"/>
      <c r="D749" s="8"/>
      <c r="E749" s="9"/>
      <c r="F749" s="10"/>
      <c r="G749" s="9"/>
      <c r="H749" s="11"/>
      <c r="I749" s="9" t="s">
        <v>13</v>
      </c>
      <c r="J749" s="55"/>
      <c r="K749" s="55"/>
      <c r="L749" s="55"/>
      <c r="M749" s="55"/>
      <c r="N749" s="55"/>
    </row>
    <row r="750">
      <c r="A750" s="54" t="s">
        <v>236</v>
      </c>
      <c r="B750" s="11"/>
      <c r="C750" s="8"/>
      <c r="D750" s="8"/>
      <c r="E750" s="9"/>
      <c r="F750" s="10"/>
      <c r="G750" s="9"/>
      <c r="H750" s="11"/>
      <c r="I750" s="9" t="s">
        <v>13</v>
      </c>
      <c r="J750" s="55"/>
      <c r="K750" s="55"/>
      <c r="L750" s="55"/>
      <c r="M750" s="55"/>
      <c r="N750" s="55"/>
    </row>
    <row r="751">
      <c r="A751" s="54" t="s">
        <v>236</v>
      </c>
      <c r="B751" s="11"/>
      <c r="C751" s="8"/>
      <c r="D751" s="8"/>
      <c r="E751" s="9"/>
      <c r="F751" s="10"/>
      <c r="G751" s="9"/>
      <c r="H751" s="11"/>
      <c r="I751" s="9" t="s">
        <v>13</v>
      </c>
      <c r="J751" s="55"/>
      <c r="K751" s="55"/>
      <c r="L751" s="55"/>
      <c r="M751" s="55"/>
      <c r="N751" s="55"/>
    </row>
    <row r="752">
      <c r="A752" s="54" t="s">
        <v>236</v>
      </c>
      <c r="B752" s="11"/>
      <c r="C752" s="8"/>
      <c r="D752" s="8"/>
      <c r="E752" s="9"/>
      <c r="F752" s="10"/>
      <c r="G752" s="9"/>
      <c r="H752" s="11"/>
      <c r="I752" s="9" t="s">
        <v>13</v>
      </c>
      <c r="J752" s="55"/>
      <c r="K752" s="55"/>
      <c r="L752" s="55"/>
      <c r="M752" s="55"/>
      <c r="N752" s="55"/>
    </row>
    <row r="753">
      <c r="A753" s="54" t="s">
        <v>236</v>
      </c>
      <c r="B753" s="11"/>
      <c r="C753" s="8"/>
      <c r="D753" s="8"/>
      <c r="E753" s="9"/>
      <c r="F753" s="10"/>
      <c r="G753" s="9"/>
      <c r="H753" s="11"/>
      <c r="I753" s="9" t="s">
        <v>13</v>
      </c>
      <c r="J753" s="55"/>
      <c r="K753" s="55"/>
      <c r="L753" s="55"/>
      <c r="M753" s="55"/>
      <c r="N753" s="55"/>
    </row>
    <row r="754">
      <c r="A754" s="54" t="s">
        <v>236</v>
      </c>
      <c r="B754" s="11"/>
      <c r="C754" s="8"/>
      <c r="D754" s="8"/>
      <c r="E754" s="9"/>
      <c r="F754" s="10"/>
      <c r="G754" s="9"/>
      <c r="H754" s="11"/>
      <c r="I754" s="9" t="s">
        <v>13</v>
      </c>
      <c r="J754" s="55"/>
      <c r="K754" s="55"/>
      <c r="L754" s="55"/>
      <c r="M754" s="55"/>
      <c r="N754" s="55"/>
    </row>
    <row r="755">
      <c r="A755" s="54" t="s">
        <v>236</v>
      </c>
      <c r="B755" s="11"/>
      <c r="C755" s="8"/>
      <c r="D755" s="8"/>
      <c r="E755" s="9"/>
      <c r="F755" s="10"/>
      <c r="G755" s="9"/>
      <c r="H755" s="11"/>
      <c r="I755" s="9" t="s">
        <v>13</v>
      </c>
      <c r="J755" s="55"/>
      <c r="K755" s="55"/>
      <c r="L755" s="55"/>
      <c r="M755" s="55"/>
      <c r="N755" s="55"/>
    </row>
    <row r="756">
      <c r="A756" s="54" t="s">
        <v>236</v>
      </c>
      <c r="B756" s="11"/>
      <c r="C756" s="8"/>
      <c r="D756" s="8"/>
      <c r="E756" s="9"/>
      <c r="F756" s="10"/>
      <c r="G756" s="9"/>
      <c r="H756" s="11"/>
      <c r="I756" s="9" t="s">
        <v>13</v>
      </c>
      <c r="J756" s="55"/>
      <c r="K756" s="55"/>
      <c r="L756" s="55"/>
      <c r="M756" s="55"/>
      <c r="N756" s="55"/>
    </row>
    <row r="757">
      <c r="A757" s="54" t="s">
        <v>236</v>
      </c>
      <c r="B757" s="11"/>
      <c r="C757" s="8"/>
      <c r="D757" s="8"/>
      <c r="E757" s="9"/>
      <c r="F757" s="10"/>
      <c r="G757" s="9"/>
      <c r="H757" s="11"/>
      <c r="I757" s="9" t="s">
        <v>13</v>
      </c>
      <c r="J757" s="55"/>
      <c r="K757" s="55"/>
      <c r="L757" s="55"/>
      <c r="M757" s="55"/>
      <c r="N757" s="55"/>
    </row>
    <row r="758">
      <c r="A758" s="54" t="s">
        <v>236</v>
      </c>
      <c r="B758" s="11"/>
      <c r="C758" s="8"/>
      <c r="D758" s="8"/>
      <c r="E758" s="9"/>
      <c r="F758" s="10"/>
      <c r="G758" s="9"/>
      <c r="H758" s="11"/>
      <c r="I758" s="9" t="s">
        <v>13</v>
      </c>
      <c r="J758" s="55"/>
      <c r="K758" s="55"/>
      <c r="L758" s="55"/>
      <c r="M758" s="55"/>
      <c r="N758" s="55"/>
    </row>
    <row r="759">
      <c r="A759" s="54" t="s">
        <v>236</v>
      </c>
      <c r="B759" s="11"/>
      <c r="C759" s="8"/>
      <c r="D759" s="8"/>
      <c r="E759" s="9"/>
      <c r="F759" s="10"/>
      <c r="G759" s="9"/>
      <c r="H759" s="11"/>
      <c r="I759" s="9" t="s">
        <v>13</v>
      </c>
      <c r="J759" s="55"/>
      <c r="K759" s="55"/>
      <c r="L759" s="55"/>
      <c r="M759" s="55"/>
      <c r="N759" s="55"/>
    </row>
    <row r="760">
      <c r="A760" s="54" t="s">
        <v>236</v>
      </c>
      <c r="B760" s="11"/>
      <c r="C760" s="8"/>
      <c r="D760" s="8"/>
      <c r="E760" s="9"/>
      <c r="F760" s="10"/>
      <c r="G760" s="9"/>
      <c r="H760" s="11"/>
      <c r="I760" s="9" t="s">
        <v>13</v>
      </c>
      <c r="J760" s="55"/>
      <c r="K760" s="55"/>
      <c r="L760" s="55"/>
      <c r="M760" s="55"/>
      <c r="N760" s="55"/>
    </row>
    <row r="761">
      <c r="A761" s="54" t="s">
        <v>236</v>
      </c>
      <c r="B761" s="11"/>
      <c r="C761" s="8"/>
      <c r="D761" s="8"/>
      <c r="E761" s="9"/>
      <c r="F761" s="10"/>
      <c r="G761" s="9"/>
      <c r="H761" s="11"/>
      <c r="I761" s="9" t="s">
        <v>13</v>
      </c>
      <c r="J761" s="55"/>
      <c r="K761" s="55"/>
      <c r="L761" s="55"/>
      <c r="M761" s="55"/>
      <c r="N761" s="55"/>
    </row>
    <row r="762">
      <c r="A762" s="54" t="s">
        <v>236</v>
      </c>
      <c r="B762" s="11"/>
      <c r="C762" s="8"/>
      <c r="D762" s="8"/>
      <c r="E762" s="9"/>
      <c r="F762" s="10"/>
      <c r="G762" s="9"/>
      <c r="H762" s="11"/>
      <c r="I762" s="9" t="s">
        <v>13</v>
      </c>
      <c r="J762" s="55"/>
      <c r="K762" s="55"/>
      <c r="L762" s="55"/>
      <c r="M762" s="55"/>
      <c r="N762" s="55"/>
    </row>
    <row r="763">
      <c r="A763" s="54" t="s">
        <v>236</v>
      </c>
      <c r="B763" s="11"/>
      <c r="C763" s="8"/>
      <c r="D763" s="8"/>
      <c r="E763" s="9"/>
      <c r="F763" s="10"/>
      <c r="G763" s="9"/>
      <c r="H763" s="11"/>
      <c r="I763" s="9" t="s">
        <v>13</v>
      </c>
      <c r="J763" s="55"/>
      <c r="K763" s="55"/>
      <c r="L763" s="55"/>
      <c r="M763" s="55"/>
      <c r="N763" s="55"/>
    </row>
    <row r="764">
      <c r="A764" s="54" t="s">
        <v>236</v>
      </c>
      <c r="B764" s="11"/>
      <c r="C764" s="8"/>
      <c r="D764" s="8"/>
      <c r="E764" s="9"/>
      <c r="F764" s="10"/>
      <c r="G764" s="9"/>
      <c r="H764" s="11"/>
      <c r="I764" s="9" t="s">
        <v>13</v>
      </c>
      <c r="J764" s="55"/>
      <c r="K764" s="55"/>
      <c r="L764" s="55"/>
      <c r="M764" s="55"/>
      <c r="N764" s="55"/>
    </row>
    <row r="765">
      <c r="A765" s="54" t="s">
        <v>236</v>
      </c>
      <c r="B765" s="11"/>
      <c r="C765" s="8"/>
      <c r="D765" s="8"/>
      <c r="E765" s="9"/>
      <c r="F765" s="10"/>
      <c r="G765" s="9"/>
      <c r="H765" s="11"/>
      <c r="I765" s="9" t="s">
        <v>13</v>
      </c>
      <c r="J765" s="55"/>
      <c r="K765" s="55"/>
      <c r="L765" s="55"/>
      <c r="M765" s="55"/>
      <c r="N765" s="55"/>
    </row>
    <row r="766">
      <c r="A766" s="54" t="s">
        <v>236</v>
      </c>
      <c r="B766" s="11"/>
      <c r="C766" s="8"/>
      <c r="D766" s="8"/>
      <c r="E766" s="9"/>
      <c r="F766" s="10"/>
      <c r="G766" s="9"/>
      <c r="H766" s="11"/>
      <c r="I766" s="9" t="s">
        <v>13</v>
      </c>
      <c r="J766" s="55"/>
      <c r="K766" s="55"/>
      <c r="L766" s="55"/>
      <c r="M766" s="55"/>
      <c r="N766" s="55"/>
    </row>
    <row r="767">
      <c r="A767" s="54" t="s">
        <v>236</v>
      </c>
      <c r="B767" s="11"/>
      <c r="C767" s="8"/>
      <c r="D767" s="8"/>
      <c r="E767" s="9"/>
      <c r="F767" s="10"/>
      <c r="G767" s="9"/>
      <c r="H767" s="11"/>
      <c r="I767" s="9" t="s">
        <v>13</v>
      </c>
      <c r="J767" s="55"/>
      <c r="K767" s="55"/>
      <c r="L767" s="55"/>
      <c r="M767" s="55"/>
      <c r="N767" s="55"/>
    </row>
    <row r="768">
      <c r="A768" s="54" t="s">
        <v>236</v>
      </c>
      <c r="B768" s="11"/>
      <c r="C768" s="8"/>
      <c r="D768" s="8"/>
      <c r="E768" s="9"/>
      <c r="F768" s="10"/>
      <c r="G768" s="9"/>
      <c r="H768" s="11"/>
      <c r="I768" s="9" t="s">
        <v>13</v>
      </c>
      <c r="J768" s="55"/>
      <c r="K768" s="55"/>
      <c r="L768" s="55"/>
      <c r="M768" s="55"/>
      <c r="N768" s="55"/>
    </row>
    <row r="769">
      <c r="A769" s="54" t="s">
        <v>236</v>
      </c>
      <c r="B769" s="11"/>
      <c r="C769" s="8"/>
      <c r="D769" s="8"/>
      <c r="E769" s="9"/>
      <c r="F769" s="10"/>
      <c r="G769" s="9"/>
      <c r="H769" s="11"/>
      <c r="I769" s="9" t="s">
        <v>13</v>
      </c>
      <c r="J769" s="55"/>
      <c r="K769" s="55"/>
      <c r="L769" s="55"/>
      <c r="M769" s="55"/>
      <c r="N769" s="55"/>
    </row>
    <row r="770">
      <c r="A770" s="54" t="s">
        <v>236</v>
      </c>
      <c r="B770" s="11"/>
      <c r="C770" s="8"/>
      <c r="D770" s="8"/>
      <c r="E770" s="9"/>
      <c r="F770" s="10"/>
      <c r="G770" s="9"/>
      <c r="H770" s="11"/>
      <c r="I770" s="9" t="s">
        <v>13</v>
      </c>
      <c r="J770" s="55"/>
      <c r="K770" s="55"/>
      <c r="L770" s="55"/>
      <c r="M770" s="55"/>
      <c r="N770" s="55"/>
    </row>
    <row r="771">
      <c r="A771" s="54" t="s">
        <v>236</v>
      </c>
      <c r="B771" s="11"/>
      <c r="C771" s="8"/>
      <c r="D771" s="8"/>
      <c r="E771" s="9"/>
      <c r="F771" s="10"/>
      <c r="G771" s="9"/>
      <c r="H771" s="11"/>
      <c r="I771" s="9" t="s">
        <v>13</v>
      </c>
      <c r="J771" s="55"/>
      <c r="K771" s="55"/>
      <c r="L771" s="55"/>
      <c r="M771" s="55"/>
      <c r="N771" s="55"/>
    </row>
    <row r="772">
      <c r="A772" s="54" t="s">
        <v>236</v>
      </c>
      <c r="B772" s="11"/>
      <c r="C772" s="8"/>
      <c r="D772" s="8"/>
      <c r="E772" s="9"/>
      <c r="F772" s="10"/>
      <c r="G772" s="9"/>
      <c r="H772" s="11"/>
      <c r="I772" s="9" t="s">
        <v>13</v>
      </c>
      <c r="J772" s="55"/>
      <c r="K772" s="55"/>
      <c r="L772" s="55"/>
      <c r="M772" s="55"/>
      <c r="N772" s="55"/>
    </row>
    <row r="773">
      <c r="A773" s="54" t="s">
        <v>236</v>
      </c>
      <c r="B773" s="11"/>
      <c r="C773" s="8"/>
      <c r="D773" s="8"/>
      <c r="E773" s="9"/>
      <c r="F773" s="10"/>
      <c r="G773" s="9"/>
      <c r="H773" s="11"/>
      <c r="I773" s="9" t="s">
        <v>13</v>
      </c>
      <c r="J773" s="55"/>
      <c r="K773" s="55"/>
      <c r="L773" s="55"/>
      <c r="M773" s="55"/>
      <c r="N773" s="55"/>
    </row>
    <row r="774">
      <c r="A774" s="54" t="s">
        <v>236</v>
      </c>
      <c r="B774" s="11"/>
      <c r="C774" s="8"/>
      <c r="D774" s="8"/>
      <c r="E774" s="9"/>
      <c r="F774" s="10"/>
      <c r="G774" s="9"/>
      <c r="H774" s="11"/>
      <c r="I774" s="9" t="s">
        <v>13</v>
      </c>
      <c r="J774" s="55"/>
      <c r="K774" s="55"/>
      <c r="L774" s="55"/>
      <c r="M774" s="55"/>
      <c r="N774" s="55"/>
    </row>
    <row r="775">
      <c r="A775" s="54" t="s">
        <v>236</v>
      </c>
      <c r="B775" s="11"/>
      <c r="C775" s="8"/>
      <c r="D775" s="8"/>
      <c r="E775" s="9"/>
      <c r="F775" s="10"/>
      <c r="G775" s="9"/>
      <c r="H775" s="11"/>
      <c r="I775" s="9" t="s">
        <v>13</v>
      </c>
      <c r="J775" s="55"/>
      <c r="K775" s="55"/>
      <c r="L775" s="55"/>
      <c r="M775" s="55"/>
      <c r="N775" s="55"/>
    </row>
    <row r="776">
      <c r="A776" s="54" t="s">
        <v>236</v>
      </c>
      <c r="B776" s="11"/>
      <c r="C776" s="8"/>
      <c r="D776" s="8"/>
      <c r="E776" s="9"/>
      <c r="F776" s="10"/>
      <c r="G776" s="9"/>
      <c r="H776" s="11"/>
      <c r="I776" s="9" t="s">
        <v>13</v>
      </c>
      <c r="J776" s="55"/>
      <c r="K776" s="55"/>
      <c r="L776" s="55"/>
      <c r="M776" s="55"/>
      <c r="N776" s="55"/>
    </row>
    <row r="777">
      <c r="A777" s="54" t="s">
        <v>236</v>
      </c>
      <c r="B777" s="11"/>
      <c r="C777" s="8"/>
      <c r="D777" s="8"/>
      <c r="E777" s="9"/>
      <c r="F777" s="10"/>
      <c r="G777" s="9"/>
      <c r="H777" s="11"/>
      <c r="I777" s="9" t="s">
        <v>13</v>
      </c>
      <c r="J777" s="55"/>
      <c r="K777" s="55"/>
      <c r="L777" s="55"/>
      <c r="M777" s="55"/>
      <c r="N777" s="55"/>
    </row>
    <row r="778">
      <c r="A778" s="54" t="s">
        <v>236</v>
      </c>
      <c r="B778" s="11"/>
      <c r="C778" s="8"/>
      <c r="D778" s="8"/>
      <c r="E778" s="9"/>
      <c r="F778" s="10"/>
      <c r="G778" s="9"/>
      <c r="H778" s="11"/>
      <c r="I778" s="9" t="s">
        <v>13</v>
      </c>
      <c r="J778" s="55"/>
      <c r="K778" s="55"/>
      <c r="L778" s="55"/>
      <c r="M778" s="55"/>
      <c r="N778" s="55"/>
    </row>
    <row r="779">
      <c r="A779" s="54" t="s">
        <v>236</v>
      </c>
      <c r="B779" s="11"/>
      <c r="C779" s="8"/>
      <c r="D779" s="8"/>
      <c r="E779" s="9"/>
      <c r="F779" s="10"/>
      <c r="G779" s="9"/>
      <c r="H779" s="11"/>
      <c r="I779" s="9" t="s">
        <v>13</v>
      </c>
      <c r="J779" s="55"/>
      <c r="K779" s="55"/>
      <c r="L779" s="55"/>
      <c r="M779" s="55"/>
      <c r="N779" s="55"/>
    </row>
    <row r="780">
      <c r="A780" s="54" t="s">
        <v>236</v>
      </c>
      <c r="B780" s="11"/>
      <c r="C780" s="8"/>
      <c r="D780" s="8"/>
      <c r="E780" s="9"/>
      <c r="F780" s="10"/>
      <c r="G780" s="9"/>
      <c r="H780" s="11"/>
      <c r="I780" s="9" t="s">
        <v>13</v>
      </c>
      <c r="J780" s="55"/>
      <c r="K780" s="55"/>
      <c r="L780" s="55"/>
      <c r="M780" s="55"/>
      <c r="N780" s="55"/>
    </row>
    <row r="781">
      <c r="A781" s="54" t="s">
        <v>236</v>
      </c>
      <c r="B781" s="11"/>
      <c r="C781" s="8"/>
      <c r="D781" s="8"/>
      <c r="E781" s="9"/>
      <c r="F781" s="10"/>
      <c r="G781" s="9"/>
      <c r="H781" s="11"/>
      <c r="I781" s="9" t="s">
        <v>13</v>
      </c>
      <c r="J781" s="55"/>
      <c r="K781" s="55"/>
      <c r="L781" s="55"/>
      <c r="M781" s="55"/>
      <c r="N781" s="55"/>
    </row>
    <row r="782">
      <c r="A782" s="54" t="s">
        <v>236</v>
      </c>
      <c r="B782" s="11"/>
      <c r="C782" s="8"/>
      <c r="D782" s="8"/>
      <c r="E782" s="9"/>
      <c r="F782" s="10"/>
      <c r="G782" s="9"/>
      <c r="H782" s="11"/>
      <c r="I782" s="9" t="s">
        <v>13</v>
      </c>
      <c r="J782" s="55"/>
      <c r="K782" s="55"/>
      <c r="L782" s="55"/>
      <c r="M782" s="55"/>
      <c r="N782" s="55"/>
    </row>
    <row r="783">
      <c r="A783" s="54" t="s">
        <v>236</v>
      </c>
      <c r="B783" s="11"/>
      <c r="C783" s="8"/>
      <c r="D783" s="8"/>
      <c r="E783" s="9"/>
      <c r="F783" s="10"/>
      <c r="G783" s="9"/>
      <c r="H783" s="11"/>
      <c r="I783" s="9" t="s">
        <v>13</v>
      </c>
      <c r="J783" s="55"/>
      <c r="K783" s="55"/>
      <c r="L783" s="55"/>
      <c r="M783" s="55"/>
      <c r="N783" s="55"/>
    </row>
    <row r="784">
      <c r="A784" s="54" t="s">
        <v>236</v>
      </c>
      <c r="B784" s="11"/>
      <c r="C784" s="8"/>
      <c r="D784" s="8"/>
      <c r="E784" s="9"/>
      <c r="F784" s="10"/>
      <c r="G784" s="9"/>
      <c r="H784" s="11"/>
      <c r="I784" s="9" t="s">
        <v>13</v>
      </c>
      <c r="J784" s="55"/>
      <c r="K784" s="55"/>
      <c r="L784" s="55"/>
      <c r="M784" s="55"/>
      <c r="N784" s="55"/>
    </row>
    <row r="785">
      <c r="A785" s="54" t="s">
        <v>236</v>
      </c>
      <c r="B785" s="11"/>
      <c r="C785" s="8"/>
      <c r="D785" s="8"/>
      <c r="E785" s="9"/>
      <c r="F785" s="10"/>
      <c r="G785" s="9"/>
      <c r="H785" s="11"/>
      <c r="I785" s="9" t="s">
        <v>13</v>
      </c>
      <c r="J785" s="55"/>
      <c r="K785" s="55"/>
      <c r="L785" s="55"/>
      <c r="M785" s="55"/>
      <c r="N785" s="55"/>
    </row>
    <row r="786">
      <c r="A786" s="54" t="s">
        <v>236</v>
      </c>
      <c r="B786" s="11"/>
      <c r="C786" s="8"/>
      <c r="D786" s="8"/>
      <c r="E786" s="9"/>
      <c r="F786" s="10"/>
      <c r="G786" s="9"/>
      <c r="H786" s="11"/>
      <c r="I786" s="9" t="s">
        <v>13</v>
      </c>
      <c r="J786" s="55"/>
      <c r="K786" s="55"/>
      <c r="L786" s="55"/>
      <c r="M786" s="55"/>
      <c r="N786" s="55"/>
    </row>
    <row r="787">
      <c r="A787" s="54" t="s">
        <v>236</v>
      </c>
      <c r="B787" s="11"/>
      <c r="C787" s="8"/>
      <c r="D787" s="8"/>
      <c r="E787" s="9"/>
      <c r="F787" s="10"/>
      <c r="G787" s="9"/>
      <c r="H787" s="11"/>
      <c r="I787" s="9" t="s">
        <v>13</v>
      </c>
      <c r="J787" s="55"/>
      <c r="K787" s="55"/>
      <c r="L787" s="55"/>
      <c r="M787" s="55"/>
      <c r="N787" s="55"/>
    </row>
    <row r="788">
      <c r="A788" s="54" t="s">
        <v>236</v>
      </c>
      <c r="B788" s="11"/>
      <c r="C788" s="8"/>
      <c r="D788" s="8"/>
      <c r="E788" s="9"/>
      <c r="F788" s="10"/>
      <c r="G788" s="9"/>
      <c r="H788" s="11"/>
      <c r="I788" s="9" t="s">
        <v>13</v>
      </c>
      <c r="J788" s="55"/>
      <c r="K788" s="55"/>
      <c r="L788" s="55"/>
      <c r="M788" s="55"/>
      <c r="N788" s="55"/>
    </row>
    <row r="789">
      <c r="A789" s="54" t="s">
        <v>236</v>
      </c>
      <c r="B789" s="11"/>
      <c r="C789" s="8"/>
      <c r="D789" s="8"/>
      <c r="E789" s="9"/>
      <c r="F789" s="10"/>
      <c r="G789" s="9"/>
      <c r="H789" s="11"/>
      <c r="I789" s="9" t="s">
        <v>13</v>
      </c>
      <c r="J789" s="55"/>
      <c r="K789" s="55"/>
      <c r="L789" s="55"/>
      <c r="M789" s="55"/>
      <c r="N789" s="55"/>
    </row>
    <row r="790">
      <c r="A790" s="54" t="s">
        <v>236</v>
      </c>
      <c r="B790" s="11"/>
      <c r="C790" s="8"/>
      <c r="D790" s="8"/>
      <c r="E790" s="9"/>
      <c r="F790" s="10"/>
      <c r="G790" s="9"/>
      <c r="H790" s="11"/>
      <c r="I790" s="9" t="s">
        <v>13</v>
      </c>
      <c r="J790" s="55"/>
      <c r="K790" s="55"/>
      <c r="L790" s="55"/>
      <c r="M790" s="55"/>
      <c r="N790" s="55"/>
    </row>
    <row r="791">
      <c r="A791" s="54" t="s">
        <v>236</v>
      </c>
      <c r="B791" s="11"/>
      <c r="C791" s="8"/>
      <c r="D791" s="8"/>
      <c r="E791" s="9"/>
      <c r="F791" s="10"/>
      <c r="G791" s="9"/>
      <c r="H791" s="11"/>
      <c r="I791" s="9" t="s">
        <v>13</v>
      </c>
      <c r="J791" s="55"/>
      <c r="K791" s="55"/>
      <c r="L791" s="55"/>
      <c r="M791" s="55"/>
      <c r="N791" s="55"/>
    </row>
    <row r="792">
      <c r="A792" s="54" t="s">
        <v>236</v>
      </c>
      <c r="B792" s="11"/>
      <c r="C792" s="8"/>
      <c r="D792" s="8"/>
      <c r="E792" s="9"/>
      <c r="F792" s="10"/>
      <c r="G792" s="9"/>
      <c r="H792" s="11"/>
      <c r="I792" s="9" t="s">
        <v>13</v>
      </c>
      <c r="J792" s="55"/>
      <c r="K792" s="55"/>
      <c r="L792" s="55"/>
      <c r="M792" s="55"/>
      <c r="N792" s="55"/>
    </row>
    <row r="793">
      <c r="A793" s="54" t="s">
        <v>236</v>
      </c>
      <c r="B793" s="11"/>
      <c r="C793" s="8"/>
      <c r="D793" s="8"/>
      <c r="E793" s="9"/>
      <c r="F793" s="10"/>
      <c r="G793" s="9"/>
      <c r="H793" s="11"/>
      <c r="I793" s="9" t="s">
        <v>13</v>
      </c>
      <c r="J793" s="55"/>
      <c r="K793" s="55"/>
      <c r="L793" s="55"/>
      <c r="M793" s="55"/>
      <c r="N793" s="55"/>
    </row>
    <row r="794">
      <c r="A794" s="54" t="s">
        <v>236</v>
      </c>
      <c r="B794" s="11"/>
      <c r="C794" s="8"/>
      <c r="D794" s="8"/>
      <c r="E794" s="9"/>
      <c r="F794" s="10"/>
      <c r="G794" s="9"/>
      <c r="H794" s="11"/>
      <c r="I794" s="9" t="s">
        <v>13</v>
      </c>
      <c r="J794" s="55"/>
      <c r="K794" s="55"/>
      <c r="L794" s="55"/>
      <c r="M794" s="55"/>
      <c r="N794" s="55"/>
    </row>
    <row r="795">
      <c r="A795" s="54" t="s">
        <v>236</v>
      </c>
      <c r="B795" s="11"/>
      <c r="C795" s="8"/>
      <c r="D795" s="8"/>
      <c r="E795" s="9"/>
      <c r="F795" s="10"/>
      <c r="G795" s="9"/>
      <c r="H795" s="11"/>
      <c r="I795" s="9" t="s">
        <v>13</v>
      </c>
      <c r="J795" s="55"/>
      <c r="K795" s="55"/>
      <c r="L795" s="55"/>
      <c r="M795" s="55"/>
      <c r="N795" s="55"/>
    </row>
    <row r="796">
      <c r="A796" s="54" t="s">
        <v>236</v>
      </c>
      <c r="B796" s="11"/>
      <c r="C796" s="8"/>
      <c r="D796" s="8"/>
      <c r="E796" s="9"/>
      <c r="F796" s="10"/>
      <c r="G796" s="9"/>
      <c r="H796" s="11"/>
      <c r="I796" s="9" t="s">
        <v>13</v>
      </c>
      <c r="J796" s="55"/>
      <c r="K796" s="55"/>
      <c r="L796" s="55"/>
      <c r="M796" s="55"/>
      <c r="N796" s="55"/>
    </row>
    <row r="797">
      <c r="A797" s="54" t="s">
        <v>236</v>
      </c>
      <c r="B797" s="11"/>
      <c r="C797" s="8"/>
      <c r="D797" s="8"/>
      <c r="E797" s="9"/>
      <c r="F797" s="10"/>
      <c r="G797" s="9"/>
      <c r="H797" s="11"/>
      <c r="I797" s="9" t="s">
        <v>13</v>
      </c>
      <c r="J797" s="55"/>
      <c r="K797" s="55"/>
      <c r="L797" s="55"/>
      <c r="M797" s="55"/>
      <c r="N797" s="55"/>
    </row>
    <row r="798">
      <c r="A798" s="54" t="s">
        <v>236</v>
      </c>
      <c r="B798" s="11"/>
      <c r="C798" s="8"/>
      <c r="D798" s="8"/>
      <c r="E798" s="9"/>
      <c r="F798" s="10"/>
      <c r="G798" s="9"/>
      <c r="H798" s="11"/>
      <c r="I798" s="9" t="s">
        <v>13</v>
      </c>
      <c r="J798" s="55"/>
      <c r="K798" s="55"/>
      <c r="L798" s="55"/>
      <c r="M798" s="55"/>
      <c r="N798" s="55"/>
    </row>
    <row r="799">
      <c r="A799" s="54" t="s">
        <v>236</v>
      </c>
      <c r="B799" s="11"/>
      <c r="C799" s="8"/>
      <c r="D799" s="8"/>
      <c r="E799" s="9"/>
      <c r="F799" s="10"/>
      <c r="G799" s="9"/>
      <c r="H799" s="11"/>
      <c r="I799" s="9" t="s">
        <v>13</v>
      </c>
      <c r="J799" s="55"/>
      <c r="K799" s="55"/>
      <c r="L799" s="55"/>
      <c r="M799" s="55"/>
      <c r="N799" s="55"/>
    </row>
    <row r="800">
      <c r="A800" s="54" t="s">
        <v>236</v>
      </c>
      <c r="B800" s="11"/>
      <c r="C800" s="8"/>
      <c r="D800" s="8"/>
      <c r="E800" s="9"/>
      <c r="F800" s="10"/>
      <c r="G800" s="9"/>
      <c r="H800" s="11"/>
      <c r="I800" s="9" t="s">
        <v>13</v>
      </c>
      <c r="J800" s="55"/>
      <c r="K800" s="55"/>
      <c r="L800" s="55"/>
      <c r="M800" s="55"/>
      <c r="N800" s="55"/>
    </row>
    <row r="801">
      <c r="A801" s="54" t="s">
        <v>236</v>
      </c>
      <c r="B801" s="11"/>
      <c r="C801" s="8"/>
      <c r="D801" s="8"/>
      <c r="E801" s="9"/>
      <c r="F801" s="10"/>
      <c r="G801" s="9"/>
      <c r="H801" s="11"/>
      <c r="I801" s="9" t="s">
        <v>13</v>
      </c>
      <c r="J801" s="55"/>
      <c r="K801" s="55"/>
      <c r="L801" s="55"/>
      <c r="M801" s="55"/>
      <c r="N801" s="55"/>
    </row>
    <row r="802">
      <c r="A802" s="54" t="s">
        <v>236</v>
      </c>
      <c r="B802" s="11"/>
      <c r="C802" s="8"/>
      <c r="D802" s="8"/>
      <c r="E802" s="9"/>
      <c r="F802" s="10"/>
      <c r="G802" s="9"/>
      <c r="H802" s="11"/>
      <c r="I802" s="9" t="s">
        <v>13</v>
      </c>
      <c r="J802" s="55"/>
      <c r="K802" s="55"/>
      <c r="L802" s="55"/>
      <c r="M802" s="55"/>
      <c r="N802" s="55"/>
    </row>
    <row r="803">
      <c r="A803" s="54" t="s">
        <v>236</v>
      </c>
      <c r="B803" s="11"/>
      <c r="C803" s="8"/>
      <c r="D803" s="8"/>
      <c r="E803" s="9"/>
      <c r="F803" s="10"/>
      <c r="G803" s="9"/>
      <c r="H803" s="11"/>
      <c r="I803" s="9" t="s">
        <v>13</v>
      </c>
      <c r="J803" s="55"/>
      <c r="K803" s="55"/>
      <c r="L803" s="55"/>
      <c r="M803" s="55"/>
      <c r="N803" s="55"/>
    </row>
    <row r="804">
      <c r="A804" s="54" t="s">
        <v>236</v>
      </c>
      <c r="B804" s="11"/>
      <c r="C804" s="8"/>
      <c r="D804" s="8"/>
      <c r="E804" s="9"/>
      <c r="F804" s="10"/>
      <c r="G804" s="9"/>
      <c r="H804" s="11"/>
      <c r="I804" s="9" t="s">
        <v>13</v>
      </c>
      <c r="J804" s="55"/>
      <c r="K804" s="55"/>
      <c r="L804" s="55"/>
      <c r="M804" s="55"/>
      <c r="N804" s="55"/>
    </row>
    <row r="805">
      <c r="A805" s="54" t="s">
        <v>236</v>
      </c>
      <c r="B805" s="11"/>
      <c r="C805" s="8"/>
      <c r="D805" s="8"/>
      <c r="E805" s="9"/>
      <c r="F805" s="10"/>
      <c r="G805" s="9"/>
      <c r="H805" s="11"/>
      <c r="I805" s="9" t="s">
        <v>13</v>
      </c>
      <c r="J805" s="55"/>
      <c r="K805" s="55"/>
      <c r="L805" s="55"/>
      <c r="M805" s="55"/>
      <c r="N805" s="55"/>
    </row>
    <row r="806">
      <c r="A806" s="54" t="s">
        <v>236</v>
      </c>
      <c r="B806" s="11"/>
      <c r="C806" s="8"/>
      <c r="D806" s="8"/>
      <c r="E806" s="9"/>
      <c r="F806" s="10"/>
      <c r="G806" s="9"/>
      <c r="H806" s="11"/>
      <c r="I806" s="9" t="s">
        <v>13</v>
      </c>
      <c r="J806" s="55"/>
      <c r="K806" s="55"/>
      <c r="L806" s="55"/>
      <c r="M806" s="55"/>
      <c r="N806" s="55"/>
    </row>
    <row r="807">
      <c r="A807" s="54" t="s">
        <v>236</v>
      </c>
      <c r="B807" s="11"/>
      <c r="C807" s="8"/>
      <c r="D807" s="8"/>
      <c r="E807" s="9"/>
      <c r="F807" s="10"/>
      <c r="G807" s="9"/>
      <c r="H807" s="11"/>
      <c r="I807" s="9" t="s">
        <v>13</v>
      </c>
      <c r="J807" s="55"/>
      <c r="K807" s="55"/>
      <c r="L807" s="55"/>
      <c r="M807" s="55"/>
      <c r="N807" s="55"/>
    </row>
    <row r="808">
      <c r="A808" s="54" t="s">
        <v>236</v>
      </c>
      <c r="B808" s="11"/>
      <c r="C808" s="8"/>
      <c r="D808" s="8"/>
      <c r="E808" s="9"/>
      <c r="F808" s="10"/>
      <c r="G808" s="9"/>
      <c r="H808" s="11"/>
      <c r="I808" s="9" t="s">
        <v>13</v>
      </c>
      <c r="J808" s="55"/>
      <c r="K808" s="55"/>
      <c r="L808" s="55"/>
      <c r="M808" s="55"/>
      <c r="N808" s="55"/>
    </row>
    <row r="809">
      <c r="A809" s="54" t="s">
        <v>236</v>
      </c>
      <c r="B809" s="11"/>
      <c r="C809" s="8"/>
      <c r="D809" s="8"/>
      <c r="E809" s="9"/>
      <c r="F809" s="10"/>
      <c r="G809" s="9"/>
      <c r="H809" s="11"/>
      <c r="I809" s="9" t="s">
        <v>13</v>
      </c>
      <c r="J809" s="55"/>
      <c r="K809" s="55"/>
      <c r="L809" s="55"/>
      <c r="M809" s="55"/>
      <c r="N809" s="55"/>
    </row>
    <row r="810">
      <c r="A810" s="54" t="s">
        <v>236</v>
      </c>
      <c r="B810" s="11"/>
      <c r="C810" s="8"/>
      <c r="D810" s="8"/>
      <c r="E810" s="9"/>
      <c r="F810" s="10"/>
      <c r="G810" s="9"/>
      <c r="H810" s="11"/>
      <c r="I810" s="9" t="s">
        <v>13</v>
      </c>
      <c r="J810" s="55"/>
      <c r="K810" s="55"/>
      <c r="L810" s="55"/>
      <c r="M810" s="55"/>
      <c r="N810" s="55"/>
    </row>
    <row r="811">
      <c r="A811" s="54" t="s">
        <v>236</v>
      </c>
      <c r="B811" s="11"/>
      <c r="C811" s="8"/>
      <c r="D811" s="8"/>
      <c r="E811" s="9"/>
      <c r="F811" s="10"/>
      <c r="G811" s="9"/>
      <c r="H811" s="11"/>
      <c r="I811" s="9" t="s">
        <v>13</v>
      </c>
      <c r="J811" s="55"/>
      <c r="K811" s="55"/>
      <c r="L811" s="55"/>
      <c r="M811" s="55"/>
      <c r="N811" s="55"/>
    </row>
    <row r="812">
      <c r="A812" s="54" t="s">
        <v>236</v>
      </c>
      <c r="B812" s="11"/>
      <c r="C812" s="8"/>
      <c r="D812" s="8"/>
      <c r="E812" s="9"/>
      <c r="F812" s="10"/>
      <c r="G812" s="9"/>
      <c r="H812" s="11"/>
      <c r="I812" s="9" t="s">
        <v>13</v>
      </c>
      <c r="J812" s="55"/>
      <c r="K812" s="55"/>
      <c r="L812" s="55"/>
      <c r="M812" s="55"/>
      <c r="N812" s="55"/>
    </row>
    <row r="813">
      <c r="A813" s="54" t="s">
        <v>236</v>
      </c>
      <c r="B813" s="11"/>
      <c r="C813" s="8"/>
      <c r="D813" s="8"/>
      <c r="E813" s="9"/>
      <c r="F813" s="10"/>
      <c r="G813" s="9"/>
      <c r="H813" s="11"/>
      <c r="I813" s="9" t="s">
        <v>13</v>
      </c>
      <c r="J813" s="55"/>
      <c r="K813" s="55"/>
      <c r="L813" s="55"/>
      <c r="M813" s="55"/>
      <c r="N813" s="55"/>
    </row>
    <row r="814">
      <c r="A814" s="54" t="s">
        <v>236</v>
      </c>
      <c r="B814" s="11"/>
      <c r="C814" s="8"/>
      <c r="D814" s="8"/>
      <c r="E814" s="9"/>
      <c r="F814" s="10"/>
      <c r="G814" s="9"/>
      <c r="H814" s="11"/>
      <c r="I814" s="9" t="s">
        <v>13</v>
      </c>
      <c r="J814" s="55"/>
      <c r="K814" s="55"/>
      <c r="L814" s="55"/>
      <c r="M814" s="55"/>
      <c r="N814" s="55"/>
    </row>
    <row r="815">
      <c r="A815" s="54" t="s">
        <v>236</v>
      </c>
      <c r="B815" s="11"/>
      <c r="C815" s="8"/>
      <c r="D815" s="8"/>
      <c r="E815" s="9"/>
      <c r="F815" s="10"/>
      <c r="G815" s="9"/>
      <c r="H815" s="11"/>
      <c r="I815" s="9" t="s">
        <v>13</v>
      </c>
      <c r="J815" s="55"/>
      <c r="K815" s="55"/>
      <c r="L815" s="55"/>
      <c r="M815" s="55"/>
      <c r="N815" s="55"/>
    </row>
    <row r="816">
      <c r="A816" s="54" t="s">
        <v>236</v>
      </c>
      <c r="B816" s="11"/>
      <c r="C816" s="8"/>
      <c r="D816" s="8"/>
      <c r="E816" s="9"/>
      <c r="F816" s="10"/>
      <c r="G816" s="9"/>
      <c r="H816" s="11"/>
      <c r="I816" s="9" t="s">
        <v>13</v>
      </c>
      <c r="J816" s="55"/>
      <c r="K816" s="55"/>
      <c r="L816" s="55"/>
      <c r="M816" s="55"/>
      <c r="N816" s="55"/>
    </row>
    <row r="817">
      <c r="A817" s="54" t="s">
        <v>236</v>
      </c>
      <c r="B817" s="11"/>
      <c r="C817" s="8"/>
      <c r="D817" s="8"/>
      <c r="E817" s="9"/>
      <c r="F817" s="10"/>
      <c r="G817" s="9"/>
      <c r="H817" s="11"/>
      <c r="I817" s="9" t="s">
        <v>13</v>
      </c>
      <c r="J817" s="55"/>
      <c r="K817" s="55"/>
      <c r="L817" s="55"/>
      <c r="M817" s="55"/>
      <c r="N817" s="55"/>
    </row>
    <row r="818">
      <c r="A818" s="54" t="s">
        <v>236</v>
      </c>
      <c r="B818" s="11"/>
      <c r="C818" s="8"/>
      <c r="D818" s="8"/>
      <c r="E818" s="9"/>
      <c r="F818" s="10"/>
      <c r="G818" s="9"/>
      <c r="H818" s="11"/>
      <c r="I818" s="9" t="s">
        <v>13</v>
      </c>
      <c r="J818" s="55"/>
      <c r="K818" s="55"/>
      <c r="L818" s="55"/>
      <c r="M818" s="55"/>
      <c r="N818" s="55"/>
    </row>
  </sheetData>
  <mergeCells count="1">
    <mergeCell ref="A1:J1"/>
  </mergeCells>
  <conditionalFormatting sqref="H42:H44">
    <cfRule type="containsText" dxfId="10" priority="1" operator="containsText" text="URGENT">
      <formula>NOT(ISERROR(SEARCH(("URGENT"),(H42))))</formula>
    </cfRule>
  </conditionalFormatting>
  <conditionalFormatting sqref="A1:N818">
    <cfRule type="containsText" dxfId="0" priority="2" operator="containsText" text="FAB A FAIRE">
      <formula>NOT(ISERROR(SEARCH(("FAB A FAIRE"),(A1))))</formula>
    </cfRule>
  </conditionalFormatting>
  <conditionalFormatting sqref="B3:H818">
    <cfRule type="expression" dxfId="1" priority="3">
      <formula>$G3="Stand-by"</formula>
    </cfRule>
  </conditionalFormatting>
  <conditionalFormatting sqref="G2:G818">
    <cfRule type="cellIs" dxfId="2" priority="4" operator="equal">
      <formula>"A faire"</formula>
    </cfRule>
  </conditionalFormatting>
  <conditionalFormatting sqref="G2:G818">
    <cfRule type="cellIs" dxfId="3" priority="5" operator="equal">
      <formula>"En cours"</formula>
    </cfRule>
  </conditionalFormatting>
  <conditionalFormatting sqref="B3:H818">
    <cfRule type="expression" dxfId="4" priority="6">
      <formula>$G3="Sur T.L."</formula>
    </cfRule>
  </conditionalFormatting>
  <conditionalFormatting sqref="G2:G818">
    <cfRule type="cellIs" dxfId="5" priority="7" operator="equal">
      <formula>"Attente R."</formula>
    </cfRule>
  </conditionalFormatting>
  <conditionalFormatting sqref="F2:F818">
    <cfRule type="timePeriod" dxfId="6" priority="8" timePeriod="today"/>
  </conditionalFormatting>
  <conditionalFormatting sqref="F2:F818">
    <cfRule type="expression" dxfId="7" priority="9">
      <formula>AND(ISNUMBER(F2),TRUNC(F2)&lt;TODAY())</formula>
    </cfRule>
  </conditionalFormatting>
  <conditionalFormatting sqref="G2:G818">
    <cfRule type="cellIs" dxfId="8" priority="10" operator="equal">
      <formula>"Mairie"</formula>
    </cfRule>
  </conditionalFormatting>
  <conditionalFormatting sqref="H2:H818">
    <cfRule type="containsText" dxfId="9" priority="11" operator="containsText" text="REPRISE DOSSIER CAROLE">
      <formula>NOT(ISERROR(SEARCH(("REPRISE DOSSIER CAROLE"),(H2))))</formula>
    </cfRule>
  </conditionalFormatting>
  <dataValidations>
    <dataValidation type="list" allowBlank="1" sqref="G3 G5:G30 G34:G37 G39:G818">
      <formula1>"-,A faire,En cours,Attente R.,Stand-by,Sur T.L.,Mairie,À relancer"</formula1>
    </dataValidation>
    <dataValidation type="list" allowBlank="1" sqref="E7:E8 E37">
      <formula1>"-,M,A,S,L,F"</formula1>
    </dataValidation>
    <dataValidation type="list" allowBlank="1" sqref="E3 E5:E6 E10:E14 E16:E17 E30 E34:E36 E39:E818">
      <formula1>"-,M,A"</formula1>
    </dataValidation>
    <dataValidation type="list" allowBlank="1" sqref="G4 G31:G33 G38">
      <formula1>"-,A faire,En cours,Attente R.,Stand-by,Sur T.L.,Mairie,Attente retour ST,Bloqué,FAB à faire,REFAB"</formula1>
    </dataValidation>
    <dataValidation type="list" allowBlank="1" sqref="E4 E9 E15 E18:E29 E31:E33 E38">
      <formula1>"-,M,A,D,F,Mag,E,S"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3.13"/>
    <col customWidth="1" min="3" max="3" width="9.38"/>
    <col customWidth="1" min="4" max="4" width="12.13"/>
    <col customWidth="1" min="5" max="5" width="6.88"/>
    <col customWidth="1" min="6" max="6" width="6.38"/>
    <col customWidth="1" min="7" max="7" width="11.88"/>
    <col customWidth="1" min="8" max="8" width="101.38"/>
    <col customWidth="1" min="9" max="9" width="11.63"/>
    <col customWidth="1" min="10" max="10" width="2.63"/>
  </cols>
  <sheetData>
    <row r="1" ht="24.0" customHeight="1">
      <c r="A1" s="36" t="s">
        <v>329</v>
      </c>
    </row>
    <row r="2">
      <c r="A2" s="37"/>
      <c r="B2" s="69" t="s">
        <v>1</v>
      </c>
      <c r="C2" s="39" t="s">
        <v>2</v>
      </c>
      <c r="D2" s="39" t="s">
        <v>3</v>
      </c>
      <c r="E2" s="40" t="s">
        <v>4</v>
      </c>
      <c r="F2" s="39" t="s">
        <v>5</v>
      </c>
      <c r="G2" s="40" t="s">
        <v>6</v>
      </c>
      <c r="H2" s="40" t="s">
        <v>7</v>
      </c>
      <c r="I2" s="40" t="s">
        <v>8</v>
      </c>
      <c r="J2" s="41"/>
    </row>
    <row r="3">
      <c r="A3" s="42" t="s">
        <v>330</v>
      </c>
      <c r="B3" s="7"/>
      <c r="C3" s="8"/>
      <c r="D3" s="8"/>
      <c r="E3" s="9"/>
      <c r="F3" s="10"/>
      <c r="G3" s="9"/>
      <c r="H3" s="7"/>
      <c r="I3" s="9"/>
      <c r="J3" s="44"/>
    </row>
    <row r="4">
      <c r="A4" s="42" t="s">
        <v>330</v>
      </c>
      <c r="B4" s="11"/>
      <c r="C4" s="8" t="s">
        <v>11</v>
      </c>
      <c r="D4" s="8" t="str">
        <f>IFERROR(_xlfn.WORKDAY.INTL(C4, 2),"-")</f>
        <v>-</v>
      </c>
      <c r="E4" s="9" t="s">
        <v>11</v>
      </c>
      <c r="F4" s="10"/>
      <c r="G4" s="9"/>
      <c r="H4" s="11"/>
      <c r="I4" s="9" t="s">
        <v>13</v>
      </c>
      <c r="J4" s="44"/>
    </row>
    <row r="5" ht="30.75" customHeight="1">
      <c r="A5" s="42" t="s">
        <v>330</v>
      </c>
      <c r="B5" s="7"/>
      <c r="C5" s="8"/>
      <c r="D5" s="8"/>
      <c r="E5" s="9" t="s">
        <v>11</v>
      </c>
      <c r="F5" s="10"/>
      <c r="G5" s="9"/>
      <c r="H5" s="11"/>
      <c r="I5" s="9" t="s">
        <v>13</v>
      </c>
      <c r="J5" s="44"/>
    </row>
    <row r="6">
      <c r="A6" s="42" t="s">
        <v>330</v>
      </c>
      <c r="B6" s="11"/>
      <c r="C6" s="8"/>
      <c r="D6" s="8"/>
      <c r="E6" s="9" t="s">
        <v>11</v>
      </c>
      <c r="F6" s="10"/>
      <c r="G6" s="9"/>
      <c r="H6" s="11"/>
      <c r="I6" s="9" t="s">
        <v>13</v>
      </c>
      <c r="J6" s="44"/>
    </row>
    <row r="7">
      <c r="A7" s="42" t="s">
        <v>330</v>
      </c>
      <c r="B7" s="11"/>
      <c r="C7" s="8"/>
      <c r="D7" s="8"/>
      <c r="E7" s="9" t="s">
        <v>11</v>
      </c>
      <c r="F7" s="10"/>
      <c r="G7" s="9"/>
      <c r="H7" s="13"/>
      <c r="I7" s="9" t="s">
        <v>13</v>
      </c>
      <c r="J7" s="44"/>
    </row>
    <row r="8">
      <c r="A8" s="42" t="s">
        <v>330</v>
      </c>
      <c r="B8" s="11"/>
      <c r="C8" s="8" t="s">
        <v>11</v>
      </c>
      <c r="D8" s="8" t="str">
        <f t="shared" ref="D8:D88" si="1">IFERROR(_xlfn.WORKDAY.INTL(C8, 2),"-")</f>
        <v>-</v>
      </c>
      <c r="E8" s="9" t="s">
        <v>11</v>
      </c>
      <c r="F8" s="10"/>
      <c r="G8" s="9"/>
      <c r="H8" s="11"/>
      <c r="I8" s="9" t="s">
        <v>13</v>
      </c>
      <c r="J8" s="44"/>
    </row>
    <row r="9">
      <c r="A9" s="42" t="s">
        <v>330</v>
      </c>
      <c r="B9" s="11"/>
      <c r="C9" s="8" t="s">
        <v>11</v>
      </c>
      <c r="D9" s="8" t="str">
        <f t="shared" si="1"/>
        <v>-</v>
      </c>
      <c r="E9" s="9" t="s">
        <v>11</v>
      </c>
      <c r="F9" s="10"/>
      <c r="G9" s="9"/>
      <c r="H9" s="11"/>
      <c r="I9" s="9" t="s">
        <v>13</v>
      </c>
      <c r="J9" s="44"/>
    </row>
    <row r="10">
      <c r="A10" s="42" t="s">
        <v>330</v>
      </c>
      <c r="B10" s="11"/>
      <c r="C10" s="8" t="s">
        <v>11</v>
      </c>
      <c r="D10" s="8" t="str">
        <f t="shared" si="1"/>
        <v>-</v>
      </c>
      <c r="E10" s="9" t="s">
        <v>11</v>
      </c>
      <c r="F10" s="10"/>
      <c r="G10" s="9"/>
      <c r="H10" s="11"/>
      <c r="I10" s="9" t="s">
        <v>13</v>
      </c>
      <c r="J10" s="44"/>
    </row>
    <row r="11">
      <c r="A11" s="42" t="s">
        <v>330</v>
      </c>
      <c r="B11" s="11"/>
      <c r="C11" s="8" t="s">
        <v>11</v>
      </c>
      <c r="D11" s="8" t="str">
        <f t="shared" si="1"/>
        <v>-</v>
      </c>
      <c r="E11" s="9" t="s">
        <v>11</v>
      </c>
      <c r="F11" s="10"/>
      <c r="G11" s="9"/>
      <c r="H11" s="11"/>
      <c r="I11" s="9" t="s">
        <v>13</v>
      </c>
      <c r="J11" s="44"/>
    </row>
    <row r="12">
      <c r="A12" s="42" t="s">
        <v>330</v>
      </c>
      <c r="B12" s="11"/>
      <c r="C12" s="8" t="s">
        <v>11</v>
      </c>
      <c r="D12" s="8" t="str">
        <f t="shared" si="1"/>
        <v>-</v>
      </c>
      <c r="E12" s="9" t="s">
        <v>11</v>
      </c>
      <c r="F12" s="10"/>
      <c r="G12" s="9"/>
      <c r="H12" s="11"/>
      <c r="I12" s="9" t="s">
        <v>13</v>
      </c>
      <c r="J12" s="44"/>
    </row>
    <row r="13">
      <c r="A13" s="42" t="s">
        <v>330</v>
      </c>
      <c r="B13" s="11"/>
      <c r="C13" s="8" t="s">
        <v>11</v>
      </c>
      <c r="D13" s="8" t="str">
        <f t="shared" si="1"/>
        <v>-</v>
      </c>
      <c r="E13" s="9" t="s">
        <v>11</v>
      </c>
      <c r="F13" s="10"/>
      <c r="G13" s="9"/>
      <c r="H13" s="11"/>
      <c r="I13" s="9" t="s">
        <v>13</v>
      </c>
      <c r="J13" s="44"/>
    </row>
    <row r="14">
      <c r="A14" s="42" t="s">
        <v>330</v>
      </c>
      <c r="B14" s="11"/>
      <c r="C14" s="8" t="s">
        <v>11</v>
      </c>
      <c r="D14" s="8" t="str">
        <f t="shared" si="1"/>
        <v>-</v>
      </c>
      <c r="E14" s="9" t="s">
        <v>11</v>
      </c>
      <c r="F14" s="10"/>
      <c r="G14" s="9"/>
      <c r="H14" s="11"/>
      <c r="I14" s="9" t="s">
        <v>13</v>
      </c>
      <c r="J14" s="44"/>
    </row>
    <row r="15">
      <c r="A15" s="42" t="s">
        <v>330</v>
      </c>
      <c r="B15" s="11"/>
      <c r="C15" s="8" t="s">
        <v>11</v>
      </c>
      <c r="D15" s="8" t="str">
        <f t="shared" si="1"/>
        <v>-</v>
      </c>
      <c r="E15" s="9" t="s">
        <v>11</v>
      </c>
      <c r="F15" s="10"/>
      <c r="G15" s="9"/>
      <c r="H15" s="11"/>
      <c r="I15" s="9" t="s">
        <v>13</v>
      </c>
      <c r="J15" s="44"/>
    </row>
    <row r="16">
      <c r="A16" s="42" t="s">
        <v>330</v>
      </c>
      <c r="B16" s="11"/>
      <c r="C16" s="8" t="s">
        <v>11</v>
      </c>
      <c r="D16" s="8" t="str">
        <f t="shared" si="1"/>
        <v>-</v>
      </c>
      <c r="E16" s="9" t="s">
        <v>11</v>
      </c>
      <c r="F16" s="10"/>
      <c r="G16" s="9"/>
      <c r="H16" s="11"/>
      <c r="I16" s="9" t="s">
        <v>13</v>
      </c>
      <c r="J16" s="44"/>
    </row>
    <row r="17">
      <c r="A17" s="42" t="s">
        <v>330</v>
      </c>
      <c r="B17" s="11"/>
      <c r="C17" s="8" t="s">
        <v>11</v>
      </c>
      <c r="D17" s="8" t="str">
        <f t="shared" si="1"/>
        <v>-</v>
      </c>
      <c r="E17" s="9" t="s">
        <v>11</v>
      </c>
      <c r="F17" s="10"/>
      <c r="G17" s="9"/>
      <c r="H17" s="11"/>
      <c r="I17" s="9" t="s">
        <v>13</v>
      </c>
      <c r="J17" s="44"/>
    </row>
    <row r="18">
      <c r="A18" s="42" t="s">
        <v>330</v>
      </c>
      <c r="B18" s="11"/>
      <c r="C18" s="8" t="s">
        <v>11</v>
      </c>
      <c r="D18" s="8" t="str">
        <f t="shared" si="1"/>
        <v>-</v>
      </c>
      <c r="E18" s="9" t="s">
        <v>11</v>
      </c>
      <c r="F18" s="10"/>
      <c r="G18" s="9"/>
      <c r="H18" s="11"/>
      <c r="I18" s="9" t="s">
        <v>13</v>
      </c>
      <c r="J18" s="44"/>
    </row>
    <row r="19">
      <c r="A19" s="42" t="s">
        <v>330</v>
      </c>
      <c r="B19" s="11"/>
      <c r="C19" s="8" t="s">
        <v>11</v>
      </c>
      <c r="D19" s="8" t="str">
        <f t="shared" si="1"/>
        <v>-</v>
      </c>
      <c r="E19" s="9" t="s">
        <v>11</v>
      </c>
      <c r="F19" s="10"/>
      <c r="G19" s="9"/>
      <c r="H19" s="11"/>
      <c r="I19" s="9" t="s">
        <v>13</v>
      </c>
      <c r="J19" s="44"/>
    </row>
    <row r="20">
      <c r="A20" s="42" t="s">
        <v>330</v>
      </c>
      <c r="B20" s="11"/>
      <c r="C20" s="8" t="s">
        <v>11</v>
      </c>
      <c r="D20" s="8" t="str">
        <f t="shared" si="1"/>
        <v>-</v>
      </c>
      <c r="E20" s="9" t="s">
        <v>11</v>
      </c>
      <c r="F20" s="10"/>
      <c r="G20" s="9"/>
      <c r="H20" s="11"/>
      <c r="I20" s="9" t="s">
        <v>13</v>
      </c>
      <c r="J20" s="44"/>
    </row>
    <row r="21">
      <c r="A21" s="42" t="s">
        <v>330</v>
      </c>
      <c r="B21" s="11"/>
      <c r="C21" s="8" t="s">
        <v>11</v>
      </c>
      <c r="D21" s="8" t="str">
        <f t="shared" si="1"/>
        <v>-</v>
      </c>
      <c r="E21" s="9" t="s">
        <v>11</v>
      </c>
      <c r="F21" s="10"/>
      <c r="G21" s="9"/>
      <c r="H21" s="11"/>
      <c r="I21" s="9" t="s">
        <v>13</v>
      </c>
      <c r="J21" s="44"/>
    </row>
    <row r="22">
      <c r="A22" s="42" t="s">
        <v>330</v>
      </c>
      <c r="B22" s="11"/>
      <c r="C22" s="8" t="s">
        <v>11</v>
      </c>
      <c r="D22" s="8" t="str">
        <f t="shared" si="1"/>
        <v>-</v>
      </c>
      <c r="E22" s="9" t="s">
        <v>11</v>
      </c>
      <c r="F22" s="10"/>
      <c r="G22" s="9"/>
      <c r="H22" s="11"/>
      <c r="I22" s="9" t="s">
        <v>13</v>
      </c>
      <c r="J22" s="44"/>
    </row>
    <row r="23">
      <c r="A23" s="42" t="s">
        <v>330</v>
      </c>
      <c r="B23" s="11"/>
      <c r="C23" s="8" t="s">
        <v>11</v>
      </c>
      <c r="D23" s="8" t="str">
        <f t="shared" si="1"/>
        <v>-</v>
      </c>
      <c r="E23" s="9" t="s">
        <v>11</v>
      </c>
      <c r="F23" s="10"/>
      <c r="G23" s="9"/>
      <c r="H23" s="11"/>
      <c r="I23" s="9" t="s">
        <v>13</v>
      </c>
      <c r="J23" s="44"/>
    </row>
    <row r="24">
      <c r="A24" s="42" t="s">
        <v>330</v>
      </c>
      <c r="B24" s="11"/>
      <c r="C24" s="8" t="s">
        <v>11</v>
      </c>
      <c r="D24" s="8" t="str">
        <f t="shared" si="1"/>
        <v>-</v>
      </c>
      <c r="E24" s="9" t="s">
        <v>11</v>
      </c>
      <c r="F24" s="10"/>
      <c r="G24" s="9"/>
      <c r="H24" s="11"/>
      <c r="I24" s="9" t="s">
        <v>13</v>
      </c>
      <c r="J24" s="44"/>
    </row>
    <row r="25">
      <c r="A25" s="42" t="s">
        <v>330</v>
      </c>
      <c r="B25" s="11"/>
      <c r="C25" s="8" t="s">
        <v>11</v>
      </c>
      <c r="D25" s="8" t="str">
        <f t="shared" si="1"/>
        <v>-</v>
      </c>
      <c r="E25" s="9" t="s">
        <v>11</v>
      </c>
      <c r="F25" s="10"/>
      <c r="G25" s="9"/>
      <c r="H25" s="11"/>
      <c r="I25" s="9" t="s">
        <v>13</v>
      </c>
      <c r="J25" s="44"/>
    </row>
    <row r="26">
      <c r="A26" s="42" t="s">
        <v>330</v>
      </c>
      <c r="B26" s="11"/>
      <c r="C26" s="8" t="s">
        <v>11</v>
      </c>
      <c r="D26" s="8" t="str">
        <f t="shared" si="1"/>
        <v>-</v>
      </c>
      <c r="E26" s="9" t="s">
        <v>11</v>
      </c>
      <c r="F26" s="10"/>
      <c r="G26" s="9"/>
      <c r="H26" s="11"/>
      <c r="I26" s="9" t="s">
        <v>13</v>
      </c>
      <c r="J26" s="44"/>
    </row>
    <row r="27">
      <c r="A27" s="42" t="s">
        <v>330</v>
      </c>
      <c r="B27" s="11"/>
      <c r="C27" s="8" t="s">
        <v>11</v>
      </c>
      <c r="D27" s="8" t="str">
        <f t="shared" si="1"/>
        <v>-</v>
      </c>
      <c r="E27" s="9" t="s">
        <v>11</v>
      </c>
      <c r="F27" s="10"/>
      <c r="G27" s="9"/>
      <c r="H27" s="11"/>
      <c r="I27" s="9" t="s">
        <v>13</v>
      </c>
      <c r="J27" s="44"/>
    </row>
    <row r="28">
      <c r="A28" s="42" t="s">
        <v>330</v>
      </c>
      <c r="B28" s="11"/>
      <c r="C28" s="8" t="s">
        <v>11</v>
      </c>
      <c r="D28" s="8" t="str">
        <f t="shared" si="1"/>
        <v>-</v>
      </c>
      <c r="E28" s="9" t="s">
        <v>11</v>
      </c>
      <c r="F28" s="10"/>
      <c r="G28" s="9"/>
      <c r="H28" s="11"/>
      <c r="I28" s="9" t="s">
        <v>13</v>
      </c>
      <c r="J28" s="44"/>
    </row>
    <row r="29">
      <c r="A29" s="42" t="s">
        <v>330</v>
      </c>
      <c r="B29" s="11"/>
      <c r="C29" s="8" t="s">
        <v>11</v>
      </c>
      <c r="D29" s="8" t="str">
        <f t="shared" si="1"/>
        <v>-</v>
      </c>
      <c r="E29" s="9" t="s">
        <v>11</v>
      </c>
      <c r="F29" s="10"/>
      <c r="G29" s="9"/>
      <c r="H29" s="11"/>
      <c r="I29" s="9" t="s">
        <v>13</v>
      </c>
      <c r="J29" s="44"/>
    </row>
    <row r="30">
      <c r="A30" s="42" t="s">
        <v>330</v>
      </c>
      <c r="B30" s="11"/>
      <c r="C30" s="8" t="s">
        <v>11</v>
      </c>
      <c r="D30" s="8" t="str">
        <f t="shared" si="1"/>
        <v>-</v>
      </c>
      <c r="E30" s="9" t="s">
        <v>11</v>
      </c>
      <c r="F30" s="10"/>
      <c r="G30" s="9"/>
      <c r="H30" s="11"/>
      <c r="I30" s="9" t="s">
        <v>13</v>
      </c>
      <c r="J30" s="44"/>
    </row>
    <row r="31">
      <c r="A31" s="42" t="s">
        <v>330</v>
      </c>
      <c r="B31" s="11"/>
      <c r="C31" s="8" t="s">
        <v>11</v>
      </c>
      <c r="D31" s="8" t="str">
        <f t="shared" si="1"/>
        <v>-</v>
      </c>
      <c r="E31" s="9" t="s">
        <v>11</v>
      </c>
      <c r="F31" s="10"/>
      <c r="G31" s="9"/>
      <c r="H31" s="11"/>
      <c r="I31" s="9" t="s">
        <v>13</v>
      </c>
      <c r="J31" s="44"/>
    </row>
    <row r="32">
      <c r="A32" s="42" t="s">
        <v>330</v>
      </c>
      <c r="B32" s="11"/>
      <c r="C32" s="8" t="s">
        <v>11</v>
      </c>
      <c r="D32" s="8" t="str">
        <f t="shared" si="1"/>
        <v>-</v>
      </c>
      <c r="E32" s="9" t="s">
        <v>11</v>
      </c>
      <c r="F32" s="10"/>
      <c r="G32" s="9"/>
      <c r="H32" s="11"/>
      <c r="I32" s="9" t="s">
        <v>13</v>
      </c>
      <c r="J32" s="44"/>
    </row>
    <row r="33">
      <c r="A33" s="42" t="s">
        <v>330</v>
      </c>
      <c r="B33" s="11"/>
      <c r="C33" s="8" t="s">
        <v>11</v>
      </c>
      <c r="D33" s="8" t="str">
        <f t="shared" si="1"/>
        <v>-</v>
      </c>
      <c r="E33" s="9" t="s">
        <v>11</v>
      </c>
      <c r="F33" s="10"/>
      <c r="G33" s="9"/>
      <c r="H33" s="11"/>
      <c r="I33" s="9" t="s">
        <v>13</v>
      </c>
      <c r="J33" s="44"/>
    </row>
    <row r="34">
      <c r="A34" s="42" t="s">
        <v>330</v>
      </c>
      <c r="B34" s="11"/>
      <c r="C34" s="8" t="s">
        <v>11</v>
      </c>
      <c r="D34" s="8" t="str">
        <f t="shared" si="1"/>
        <v>-</v>
      </c>
      <c r="E34" s="9" t="s">
        <v>11</v>
      </c>
      <c r="F34" s="10"/>
      <c r="G34" s="9"/>
      <c r="H34" s="11"/>
      <c r="I34" s="9" t="s">
        <v>13</v>
      </c>
      <c r="J34" s="44"/>
    </row>
    <row r="35">
      <c r="A35" s="42" t="s">
        <v>330</v>
      </c>
      <c r="B35" s="11"/>
      <c r="C35" s="8" t="s">
        <v>11</v>
      </c>
      <c r="D35" s="8" t="str">
        <f t="shared" si="1"/>
        <v>-</v>
      </c>
      <c r="E35" s="9" t="s">
        <v>11</v>
      </c>
      <c r="F35" s="10"/>
      <c r="G35" s="9"/>
      <c r="H35" s="11"/>
      <c r="I35" s="9" t="s">
        <v>13</v>
      </c>
      <c r="J35" s="44"/>
    </row>
    <row r="36">
      <c r="A36" s="42" t="s">
        <v>330</v>
      </c>
      <c r="B36" s="11"/>
      <c r="C36" s="8" t="s">
        <v>11</v>
      </c>
      <c r="D36" s="8" t="str">
        <f t="shared" si="1"/>
        <v>-</v>
      </c>
      <c r="E36" s="9" t="s">
        <v>11</v>
      </c>
      <c r="F36" s="10"/>
      <c r="G36" s="9"/>
      <c r="H36" s="11"/>
      <c r="I36" s="9" t="s">
        <v>13</v>
      </c>
      <c r="J36" s="44"/>
    </row>
    <row r="37">
      <c r="A37" s="42" t="s">
        <v>330</v>
      </c>
      <c r="B37" s="11"/>
      <c r="C37" s="8" t="s">
        <v>11</v>
      </c>
      <c r="D37" s="8" t="str">
        <f t="shared" si="1"/>
        <v>-</v>
      </c>
      <c r="E37" s="9" t="s">
        <v>11</v>
      </c>
      <c r="F37" s="10"/>
      <c r="G37" s="9"/>
      <c r="H37" s="11"/>
      <c r="I37" s="9" t="s">
        <v>13</v>
      </c>
      <c r="J37" s="44"/>
    </row>
    <row r="38">
      <c r="A38" s="42" t="s">
        <v>330</v>
      </c>
      <c r="B38" s="11"/>
      <c r="C38" s="8" t="s">
        <v>11</v>
      </c>
      <c r="D38" s="8" t="str">
        <f t="shared" si="1"/>
        <v>-</v>
      </c>
      <c r="E38" s="9" t="s">
        <v>11</v>
      </c>
      <c r="F38" s="10"/>
      <c r="G38" s="9"/>
      <c r="H38" s="11"/>
      <c r="I38" s="9" t="s">
        <v>13</v>
      </c>
      <c r="J38" s="44"/>
    </row>
    <row r="39">
      <c r="A39" s="42" t="s">
        <v>330</v>
      </c>
      <c r="B39" s="11"/>
      <c r="C39" s="8" t="s">
        <v>11</v>
      </c>
      <c r="D39" s="8" t="str">
        <f t="shared" si="1"/>
        <v>-</v>
      </c>
      <c r="E39" s="9" t="s">
        <v>11</v>
      </c>
      <c r="F39" s="10"/>
      <c r="G39" s="9"/>
      <c r="H39" s="11"/>
      <c r="I39" s="9" t="s">
        <v>13</v>
      </c>
      <c r="J39" s="44"/>
    </row>
    <row r="40">
      <c r="A40" s="42" t="s">
        <v>330</v>
      </c>
      <c r="B40" s="11"/>
      <c r="C40" s="8" t="s">
        <v>11</v>
      </c>
      <c r="D40" s="8" t="str">
        <f t="shared" si="1"/>
        <v>-</v>
      </c>
      <c r="E40" s="9" t="s">
        <v>11</v>
      </c>
      <c r="F40" s="10"/>
      <c r="G40" s="9"/>
      <c r="H40" s="11"/>
      <c r="I40" s="9" t="s">
        <v>13</v>
      </c>
      <c r="J40" s="44"/>
    </row>
    <row r="41">
      <c r="A41" s="42" t="s">
        <v>330</v>
      </c>
      <c r="B41" s="11"/>
      <c r="C41" s="8" t="s">
        <v>11</v>
      </c>
      <c r="D41" s="8" t="str">
        <f t="shared" si="1"/>
        <v>-</v>
      </c>
      <c r="E41" s="9" t="s">
        <v>11</v>
      </c>
      <c r="F41" s="10"/>
      <c r="G41" s="9"/>
      <c r="H41" s="11"/>
      <c r="I41" s="9" t="s">
        <v>13</v>
      </c>
      <c r="J41" s="44"/>
    </row>
    <row r="42">
      <c r="A42" s="42" t="s">
        <v>330</v>
      </c>
      <c r="B42" s="11"/>
      <c r="C42" s="8" t="s">
        <v>11</v>
      </c>
      <c r="D42" s="8" t="str">
        <f t="shared" si="1"/>
        <v>-</v>
      </c>
      <c r="E42" s="9" t="s">
        <v>11</v>
      </c>
      <c r="F42" s="10"/>
      <c r="G42" s="9"/>
      <c r="H42" s="11"/>
      <c r="I42" s="9" t="s">
        <v>13</v>
      </c>
      <c r="J42" s="44"/>
    </row>
    <row r="43">
      <c r="A43" s="42" t="s">
        <v>330</v>
      </c>
      <c r="B43" s="11"/>
      <c r="C43" s="8" t="s">
        <v>11</v>
      </c>
      <c r="D43" s="8" t="str">
        <f t="shared" si="1"/>
        <v>-</v>
      </c>
      <c r="E43" s="9" t="s">
        <v>11</v>
      </c>
      <c r="F43" s="10"/>
      <c r="G43" s="9"/>
      <c r="H43" s="11"/>
      <c r="I43" s="9" t="s">
        <v>13</v>
      </c>
      <c r="J43" s="44"/>
    </row>
    <row r="44">
      <c r="A44" s="42" t="s">
        <v>330</v>
      </c>
      <c r="B44" s="11"/>
      <c r="C44" s="8" t="s">
        <v>11</v>
      </c>
      <c r="D44" s="8" t="str">
        <f t="shared" si="1"/>
        <v>-</v>
      </c>
      <c r="E44" s="9" t="s">
        <v>11</v>
      </c>
      <c r="F44" s="10"/>
      <c r="G44" s="9"/>
      <c r="H44" s="11"/>
      <c r="I44" s="9" t="s">
        <v>13</v>
      </c>
      <c r="J44" s="44"/>
    </row>
    <row r="45">
      <c r="A45" s="42" t="s">
        <v>330</v>
      </c>
      <c r="B45" s="11"/>
      <c r="C45" s="8" t="s">
        <v>11</v>
      </c>
      <c r="D45" s="8" t="str">
        <f t="shared" si="1"/>
        <v>-</v>
      </c>
      <c r="E45" s="9" t="s">
        <v>11</v>
      </c>
      <c r="F45" s="10"/>
      <c r="G45" s="9"/>
      <c r="H45" s="11"/>
      <c r="I45" s="9" t="s">
        <v>13</v>
      </c>
      <c r="J45" s="44"/>
    </row>
    <row r="46">
      <c r="A46" s="42" t="s">
        <v>330</v>
      </c>
      <c r="B46" s="11"/>
      <c r="C46" s="8" t="s">
        <v>11</v>
      </c>
      <c r="D46" s="8" t="str">
        <f t="shared" si="1"/>
        <v>-</v>
      </c>
      <c r="E46" s="9" t="s">
        <v>11</v>
      </c>
      <c r="F46" s="10"/>
      <c r="G46" s="9"/>
      <c r="H46" s="11"/>
      <c r="I46" s="9" t="s">
        <v>13</v>
      </c>
      <c r="J46" s="44"/>
    </row>
    <row r="47">
      <c r="A47" s="42" t="s">
        <v>330</v>
      </c>
      <c r="B47" s="11"/>
      <c r="C47" s="8" t="s">
        <v>11</v>
      </c>
      <c r="D47" s="8" t="str">
        <f t="shared" si="1"/>
        <v>-</v>
      </c>
      <c r="E47" s="9" t="s">
        <v>11</v>
      </c>
      <c r="F47" s="10"/>
      <c r="G47" s="9"/>
      <c r="H47" s="11"/>
      <c r="I47" s="9" t="s">
        <v>13</v>
      </c>
      <c r="J47" s="44"/>
    </row>
    <row r="48">
      <c r="A48" s="42" t="s">
        <v>330</v>
      </c>
      <c r="B48" s="11"/>
      <c r="C48" s="8" t="s">
        <v>11</v>
      </c>
      <c r="D48" s="8" t="str">
        <f t="shared" si="1"/>
        <v>-</v>
      </c>
      <c r="E48" s="9" t="s">
        <v>11</v>
      </c>
      <c r="F48" s="10"/>
      <c r="G48" s="9"/>
      <c r="H48" s="11"/>
      <c r="I48" s="9" t="s">
        <v>13</v>
      </c>
      <c r="J48" s="44"/>
    </row>
    <row r="49">
      <c r="A49" s="42" t="s">
        <v>330</v>
      </c>
      <c r="B49" s="11"/>
      <c r="C49" s="8" t="s">
        <v>11</v>
      </c>
      <c r="D49" s="8" t="str">
        <f t="shared" si="1"/>
        <v>-</v>
      </c>
      <c r="E49" s="9" t="s">
        <v>11</v>
      </c>
      <c r="F49" s="10"/>
      <c r="G49" s="9"/>
      <c r="H49" s="11"/>
      <c r="I49" s="9" t="s">
        <v>13</v>
      </c>
      <c r="J49" s="44"/>
    </row>
    <row r="50">
      <c r="A50" s="42" t="s">
        <v>330</v>
      </c>
      <c r="B50" s="11"/>
      <c r="C50" s="8" t="s">
        <v>11</v>
      </c>
      <c r="D50" s="8" t="str">
        <f t="shared" si="1"/>
        <v>-</v>
      </c>
      <c r="E50" s="9" t="s">
        <v>11</v>
      </c>
      <c r="F50" s="10"/>
      <c r="G50" s="9"/>
      <c r="H50" s="11"/>
      <c r="I50" s="9" t="s">
        <v>13</v>
      </c>
      <c r="J50" s="44"/>
    </row>
    <row r="51">
      <c r="A51" s="42" t="s">
        <v>330</v>
      </c>
      <c r="B51" s="11"/>
      <c r="C51" s="8" t="s">
        <v>11</v>
      </c>
      <c r="D51" s="8" t="str">
        <f t="shared" si="1"/>
        <v>-</v>
      </c>
      <c r="E51" s="9" t="s">
        <v>11</v>
      </c>
      <c r="F51" s="10"/>
      <c r="G51" s="9"/>
      <c r="H51" s="11"/>
      <c r="I51" s="9" t="s">
        <v>13</v>
      </c>
      <c r="J51" s="44"/>
    </row>
    <row r="52">
      <c r="A52" s="42" t="s">
        <v>330</v>
      </c>
      <c r="B52" s="11"/>
      <c r="C52" s="8" t="s">
        <v>11</v>
      </c>
      <c r="D52" s="8" t="str">
        <f t="shared" si="1"/>
        <v>-</v>
      </c>
      <c r="E52" s="9" t="s">
        <v>11</v>
      </c>
      <c r="F52" s="10"/>
      <c r="G52" s="9"/>
      <c r="H52" s="11"/>
      <c r="I52" s="9" t="s">
        <v>13</v>
      </c>
      <c r="J52" s="44"/>
    </row>
    <row r="53">
      <c r="A53" s="42" t="s">
        <v>330</v>
      </c>
      <c r="B53" s="11"/>
      <c r="C53" s="8" t="s">
        <v>11</v>
      </c>
      <c r="D53" s="8" t="str">
        <f t="shared" si="1"/>
        <v>-</v>
      </c>
      <c r="E53" s="9" t="s">
        <v>11</v>
      </c>
      <c r="F53" s="10"/>
      <c r="G53" s="9"/>
      <c r="H53" s="11"/>
      <c r="I53" s="9" t="s">
        <v>13</v>
      </c>
      <c r="J53" s="44"/>
    </row>
    <row r="54">
      <c r="A54" s="42" t="s">
        <v>330</v>
      </c>
      <c r="B54" s="11"/>
      <c r="C54" s="8" t="s">
        <v>11</v>
      </c>
      <c r="D54" s="8" t="str">
        <f t="shared" si="1"/>
        <v>-</v>
      </c>
      <c r="E54" s="9" t="s">
        <v>11</v>
      </c>
      <c r="F54" s="10"/>
      <c r="G54" s="9"/>
      <c r="H54" s="11"/>
      <c r="I54" s="9" t="s">
        <v>13</v>
      </c>
      <c r="J54" s="44"/>
    </row>
    <row r="55">
      <c r="A55" s="42" t="s">
        <v>330</v>
      </c>
      <c r="B55" s="11"/>
      <c r="C55" s="8" t="s">
        <v>11</v>
      </c>
      <c r="D55" s="8" t="str">
        <f t="shared" si="1"/>
        <v>-</v>
      </c>
      <c r="E55" s="9" t="s">
        <v>11</v>
      </c>
      <c r="F55" s="10"/>
      <c r="G55" s="9"/>
      <c r="H55" s="11"/>
      <c r="I55" s="9" t="s">
        <v>13</v>
      </c>
      <c r="J55" s="44"/>
    </row>
    <row r="56">
      <c r="A56" s="42" t="s">
        <v>330</v>
      </c>
      <c r="B56" s="11"/>
      <c r="C56" s="8" t="s">
        <v>11</v>
      </c>
      <c r="D56" s="8" t="str">
        <f t="shared" si="1"/>
        <v>-</v>
      </c>
      <c r="E56" s="9" t="s">
        <v>11</v>
      </c>
      <c r="F56" s="10"/>
      <c r="G56" s="9"/>
      <c r="H56" s="11"/>
      <c r="I56" s="9" t="s">
        <v>13</v>
      </c>
      <c r="J56" s="44"/>
    </row>
    <row r="57">
      <c r="A57" s="42" t="s">
        <v>330</v>
      </c>
      <c r="B57" s="11"/>
      <c r="C57" s="8" t="s">
        <v>11</v>
      </c>
      <c r="D57" s="8" t="str">
        <f t="shared" si="1"/>
        <v>-</v>
      </c>
      <c r="E57" s="9" t="s">
        <v>11</v>
      </c>
      <c r="F57" s="10"/>
      <c r="G57" s="9"/>
      <c r="H57" s="11"/>
      <c r="I57" s="9" t="s">
        <v>13</v>
      </c>
      <c r="J57" s="44"/>
    </row>
    <row r="58">
      <c r="A58" s="42" t="s">
        <v>330</v>
      </c>
      <c r="B58" s="11"/>
      <c r="C58" s="8" t="s">
        <v>11</v>
      </c>
      <c r="D58" s="8" t="str">
        <f t="shared" si="1"/>
        <v>-</v>
      </c>
      <c r="E58" s="9" t="s">
        <v>11</v>
      </c>
      <c r="F58" s="10"/>
      <c r="G58" s="9"/>
      <c r="H58" s="11"/>
      <c r="I58" s="9" t="s">
        <v>13</v>
      </c>
      <c r="J58" s="44"/>
    </row>
    <row r="59">
      <c r="A59" s="42" t="s">
        <v>330</v>
      </c>
      <c r="B59" s="11"/>
      <c r="C59" s="8" t="s">
        <v>11</v>
      </c>
      <c r="D59" s="8" t="str">
        <f t="shared" si="1"/>
        <v>-</v>
      </c>
      <c r="E59" s="9" t="s">
        <v>11</v>
      </c>
      <c r="F59" s="10"/>
      <c r="G59" s="9"/>
      <c r="H59" s="11"/>
      <c r="I59" s="9" t="s">
        <v>13</v>
      </c>
      <c r="J59" s="44"/>
    </row>
    <row r="60">
      <c r="A60" s="42" t="s">
        <v>330</v>
      </c>
      <c r="B60" s="11"/>
      <c r="C60" s="8" t="s">
        <v>11</v>
      </c>
      <c r="D60" s="8" t="str">
        <f t="shared" si="1"/>
        <v>-</v>
      </c>
      <c r="E60" s="9" t="s">
        <v>11</v>
      </c>
      <c r="F60" s="10"/>
      <c r="G60" s="9"/>
      <c r="H60" s="11"/>
      <c r="I60" s="9" t="s">
        <v>13</v>
      </c>
      <c r="J60" s="44"/>
    </row>
    <row r="61">
      <c r="A61" s="42" t="s">
        <v>330</v>
      </c>
      <c r="B61" s="11"/>
      <c r="C61" s="8" t="s">
        <v>11</v>
      </c>
      <c r="D61" s="8" t="str">
        <f t="shared" si="1"/>
        <v>-</v>
      </c>
      <c r="E61" s="9" t="s">
        <v>11</v>
      </c>
      <c r="F61" s="10"/>
      <c r="G61" s="9"/>
      <c r="H61" s="11"/>
      <c r="I61" s="9" t="s">
        <v>13</v>
      </c>
      <c r="J61" s="44"/>
    </row>
    <row r="62">
      <c r="A62" s="42" t="s">
        <v>330</v>
      </c>
      <c r="B62" s="11"/>
      <c r="C62" s="8" t="s">
        <v>11</v>
      </c>
      <c r="D62" s="8" t="str">
        <f t="shared" si="1"/>
        <v>-</v>
      </c>
      <c r="E62" s="9" t="s">
        <v>11</v>
      </c>
      <c r="F62" s="10"/>
      <c r="G62" s="9"/>
      <c r="H62" s="11"/>
      <c r="I62" s="9" t="s">
        <v>13</v>
      </c>
      <c r="J62" s="44"/>
    </row>
    <row r="63">
      <c r="A63" s="42" t="s">
        <v>330</v>
      </c>
      <c r="B63" s="11"/>
      <c r="C63" s="8" t="s">
        <v>11</v>
      </c>
      <c r="D63" s="8" t="str">
        <f t="shared" si="1"/>
        <v>-</v>
      </c>
      <c r="E63" s="9" t="s">
        <v>11</v>
      </c>
      <c r="F63" s="10"/>
      <c r="G63" s="9"/>
      <c r="H63" s="11"/>
      <c r="I63" s="9" t="s">
        <v>13</v>
      </c>
      <c r="J63" s="44"/>
    </row>
    <row r="64">
      <c r="A64" s="42" t="s">
        <v>330</v>
      </c>
      <c r="B64" s="11"/>
      <c r="C64" s="8" t="s">
        <v>11</v>
      </c>
      <c r="D64" s="8" t="str">
        <f t="shared" si="1"/>
        <v>-</v>
      </c>
      <c r="E64" s="9" t="s">
        <v>11</v>
      </c>
      <c r="F64" s="10"/>
      <c r="G64" s="9"/>
      <c r="H64" s="11"/>
      <c r="I64" s="9" t="s">
        <v>13</v>
      </c>
      <c r="J64" s="44"/>
    </row>
    <row r="65">
      <c r="A65" s="42" t="s">
        <v>330</v>
      </c>
      <c r="B65" s="11"/>
      <c r="C65" s="8" t="s">
        <v>11</v>
      </c>
      <c r="D65" s="8" t="str">
        <f t="shared" si="1"/>
        <v>-</v>
      </c>
      <c r="E65" s="9" t="s">
        <v>11</v>
      </c>
      <c r="F65" s="10"/>
      <c r="G65" s="9"/>
      <c r="H65" s="11"/>
      <c r="I65" s="9" t="s">
        <v>13</v>
      </c>
      <c r="J65" s="44"/>
    </row>
    <row r="66">
      <c r="A66" s="42" t="s">
        <v>330</v>
      </c>
      <c r="B66" s="11"/>
      <c r="C66" s="8" t="s">
        <v>11</v>
      </c>
      <c r="D66" s="8" t="str">
        <f t="shared" si="1"/>
        <v>-</v>
      </c>
      <c r="E66" s="9" t="s">
        <v>11</v>
      </c>
      <c r="F66" s="10"/>
      <c r="G66" s="9"/>
      <c r="H66" s="11"/>
      <c r="I66" s="9" t="s">
        <v>13</v>
      </c>
      <c r="J66" s="44"/>
    </row>
    <row r="67">
      <c r="A67" s="42" t="s">
        <v>330</v>
      </c>
      <c r="B67" s="11"/>
      <c r="C67" s="8" t="s">
        <v>11</v>
      </c>
      <c r="D67" s="8" t="str">
        <f t="shared" si="1"/>
        <v>-</v>
      </c>
      <c r="E67" s="9" t="s">
        <v>11</v>
      </c>
      <c r="F67" s="10"/>
      <c r="G67" s="9"/>
      <c r="H67" s="11"/>
      <c r="I67" s="9" t="s">
        <v>13</v>
      </c>
      <c r="J67" s="44"/>
    </row>
    <row r="68">
      <c r="A68" s="42" t="s">
        <v>330</v>
      </c>
      <c r="B68" s="11"/>
      <c r="C68" s="8" t="s">
        <v>11</v>
      </c>
      <c r="D68" s="8" t="str">
        <f t="shared" si="1"/>
        <v>-</v>
      </c>
      <c r="E68" s="9" t="s">
        <v>11</v>
      </c>
      <c r="F68" s="10"/>
      <c r="G68" s="9"/>
      <c r="H68" s="11"/>
      <c r="I68" s="9" t="s">
        <v>13</v>
      </c>
      <c r="J68" s="44"/>
    </row>
    <row r="69">
      <c r="A69" s="42" t="s">
        <v>330</v>
      </c>
      <c r="B69" s="11"/>
      <c r="C69" s="8" t="s">
        <v>11</v>
      </c>
      <c r="D69" s="8" t="str">
        <f t="shared" si="1"/>
        <v>-</v>
      </c>
      <c r="E69" s="9" t="s">
        <v>11</v>
      </c>
      <c r="F69" s="10"/>
      <c r="G69" s="9"/>
      <c r="H69" s="11"/>
      <c r="I69" s="9" t="s">
        <v>13</v>
      </c>
      <c r="J69" s="44"/>
    </row>
    <row r="70">
      <c r="A70" s="42" t="s">
        <v>330</v>
      </c>
      <c r="B70" s="11"/>
      <c r="C70" s="8" t="s">
        <v>11</v>
      </c>
      <c r="D70" s="8" t="str">
        <f t="shared" si="1"/>
        <v>-</v>
      </c>
      <c r="E70" s="9" t="s">
        <v>11</v>
      </c>
      <c r="F70" s="10"/>
      <c r="G70" s="9"/>
      <c r="H70" s="11"/>
      <c r="I70" s="9" t="s">
        <v>13</v>
      </c>
      <c r="J70" s="44"/>
    </row>
    <row r="71">
      <c r="A71" s="42" t="s">
        <v>330</v>
      </c>
      <c r="B71" s="11"/>
      <c r="C71" s="8" t="s">
        <v>11</v>
      </c>
      <c r="D71" s="8" t="str">
        <f t="shared" si="1"/>
        <v>-</v>
      </c>
      <c r="E71" s="9" t="s">
        <v>11</v>
      </c>
      <c r="F71" s="10"/>
      <c r="G71" s="9"/>
      <c r="H71" s="11"/>
      <c r="I71" s="9" t="s">
        <v>13</v>
      </c>
      <c r="J71" s="44"/>
    </row>
    <row r="72">
      <c r="A72" s="42" t="s">
        <v>330</v>
      </c>
      <c r="B72" s="11"/>
      <c r="C72" s="8" t="s">
        <v>11</v>
      </c>
      <c r="D72" s="8" t="str">
        <f t="shared" si="1"/>
        <v>-</v>
      </c>
      <c r="E72" s="9" t="s">
        <v>11</v>
      </c>
      <c r="F72" s="10"/>
      <c r="G72" s="9"/>
      <c r="H72" s="11"/>
      <c r="I72" s="9" t="s">
        <v>13</v>
      </c>
      <c r="J72" s="44"/>
    </row>
    <row r="73">
      <c r="A73" s="42" t="s">
        <v>330</v>
      </c>
      <c r="B73" s="11"/>
      <c r="C73" s="8" t="s">
        <v>11</v>
      </c>
      <c r="D73" s="8" t="str">
        <f t="shared" si="1"/>
        <v>-</v>
      </c>
      <c r="E73" s="9" t="s">
        <v>11</v>
      </c>
      <c r="F73" s="10"/>
      <c r="G73" s="9"/>
      <c r="H73" s="11"/>
      <c r="I73" s="9" t="s">
        <v>13</v>
      </c>
      <c r="J73" s="44"/>
    </row>
    <row r="74">
      <c r="A74" s="42" t="s">
        <v>330</v>
      </c>
      <c r="B74" s="11"/>
      <c r="C74" s="8" t="s">
        <v>11</v>
      </c>
      <c r="D74" s="8" t="str">
        <f t="shared" si="1"/>
        <v>-</v>
      </c>
      <c r="E74" s="9" t="s">
        <v>11</v>
      </c>
      <c r="F74" s="10"/>
      <c r="G74" s="9"/>
      <c r="H74" s="11"/>
      <c r="I74" s="9" t="s">
        <v>13</v>
      </c>
      <c r="J74" s="44"/>
    </row>
    <row r="75">
      <c r="A75" s="42" t="s">
        <v>330</v>
      </c>
      <c r="B75" s="11"/>
      <c r="C75" s="8" t="s">
        <v>11</v>
      </c>
      <c r="D75" s="8" t="str">
        <f t="shared" si="1"/>
        <v>-</v>
      </c>
      <c r="E75" s="9" t="s">
        <v>11</v>
      </c>
      <c r="F75" s="10"/>
      <c r="G75" s="9"/>
      <c r="H75" s="11"/>
      <c r="I75" s="9" t="s">
        <v>13</v>
      </c>
      <c r="J75" s="44"/>
    </row>
    <row r="76">
      <c r="A76" s="42" t="s">
        <v>330</v>
      </c>
      <c r="B76" s="11"/>
      <c r="C76" s="8" t="s">
        <v>11</v>
      </c>
      <c r="D76" s="8" t="str">
        <f t="shared" si="1"/>
        <v>-</v>
      </c>
      <c r="E76" s="9" t="s">
        <v>11</v>
      </c>
      <c r="F76" s="10"/>
      <c r="G76" s="9"/>
      <c r="H76" s="11"/>
      <c r="I76" s="9" t="s">
        <v>13</v>
      </c>
      <c r="J76" s="44"/>
    </row>
    <row r="77">
      <c r="A77" s="42" t="s">
        <v>330</v>
      </c>
      <c r="B77" s="11"/>
      <c r="C77" s="8" t="s">
        <v>11</v>
      </c>
      <c r="D77" s="8" t="str">
        <f t="shared" si="1"/>
        <v>-</v>
      </c>
      <c r="E77" s="9" t="s">
        <v>11</v>
      </c>
      <c r="F77" s="10"/>
      <c r="G77" s="9"/>
      <c r="H77" s="11"/>
      <c r="I77" s="9" t="s">
        <v>13</v>
      </c>
      <c r="J77" s="44"/>
    </row>
    <row r="78">
      <c r="A78" s="42" t="s">
        <v>330</v>
      </c>
      <c r="B78" s="11"/>
      <c r="C78" s="8" t="s">
        <v>11</v>
      </c>
      <c r="D78" s="8" t="str">
        <f t="shared" si="1"/>
        <v>-</v>
      </c>
      <c r="E78" s="9" t="s">
        <v>11</v>
      </c>
      <c r="F78" s="10"/>
      <c r="G78" s="9"/>
      <c r="H78" s="11"/>
      <c r="I78" s="9" t="s">
        <v>13</v>
      </c>
      <c r="J78" s="44"/>
    </row>
    <row r="79">
      <c r="A79" s="42" t="s">
        <v>330</v>
      </c>
      <c r="B79" s="11"/>
      <c r="C79" s="8" t="s">
        <v>11</v>
      </c>
      <c r="D79" s="8" t="str">
        <f t="shared" si="1"/>
        <v>-</v>
      </c>
      <c r="E79" s="9" t="s">
        <v>11</v>
      </c>
      <c r="F79" s="10"/>
      <c r="G79" s="9"/>
      <c r="H79" s="11"/>
      <c r="I79" s="9" t="s">
        <v>13</v>
      </c>
      <c r="J79" s="44"/>
    </row>
    <row r="80">
      <c r="A80" s="42" t="s">
        <v>330</v>
      </c>
      <c r="B80" s="11"/>
      <c r="C80" s="8" t="s">
        <v>11</v>
      </c>
      <c r="D80" s="8" t="str">
        <f t="shared" si="1"/>
        <v>-</v>
      </c>
      <c r="E80" s="9" t="s">
        <v>11</v>
      </c>
      <c r="F80" s="10"/>
      <c r="G80" s="9"/>
      <c r="H80" s="11"/>
      <c r="I80" s="9" t="s">
        <v>13</v>
      </c>
      <c r="J80" s="44"/>
    </row>
    <row r="81">
      <c r="A81" s="42" t="s">
        <v>330</v>
      </c>
      <c r="B81" s="11"/>
      <c r="C81" s="8" t="s">
        <v>11</v>
      </c>
      <c r="D81" s="8" t="str">
        <f t="shared" si="1"/>
        <v>-</v>
      </c>
      <c r="E81" s="9" t="s">
        <v>11</v>
      </c>
      <c r="F81" s="10"/>
      <c r="G81" s="9"/>
      <c r="H81" s="11"/>
      <c r="I81" s="9" t="s">
        <v>13</v>
      </c>
      <c r="J81" s="44"/>
    </row>
    <row r="82">
      <c r="A82" s="42" t="s">
        <v>330</v>
      </c>
      <c r="B82" s="11"/>
      <c r="C82" s="8" t="s">
        <v>11</v>
      </c>
      <c r="D82" s="8" t="str">
        <f t="shared" si="1"/>
        <v>-</v>
      </c>
      <c r="E82" s="9" t="s">
        <v>11</v>
      </c>
      <c r="F82" s="10"/>
      <c r="G82" s="9"/>
      <c r="H82" s="11"/>
      <c r="I82" s="9" t="s">
        <v>13</v>
      </c>
      <c r="J82" s="44"/>
    </row>
    <row r="83">
      <c r="A83" s="42" t="s">
        <v>330</v>
      </c>
      <c r="B83" s="11"/>
      <c r="C83" s="8" t="s">
        <v>11</v>
      </c>
      <c r="D83" s="8" t="str">
        <f t="shared" si="1"/>
        <v>-</v>
      </c>
      <c r="E83" s="9" t="s">
        <v>11</v>
      </c>
      <c r="F83" s="10"/>
      <c r="G83" s="9"/>
      <c r="H83" s="11"/>
      <c r="I83" s="9" t="s">
        <v>13</v>
      </c>
      <c r="J83" s="44"/>
    </row>
    <row r="84">
      <c r="A84" s="42" t="s">
        <v>330</v>
      </c>
      <c r="B84" s="11"/>
      <c r="C84" s="8" t="s">
        <v>11</v>
      </c>
      <c r="D84" s="8" t="str">
        <f t="shared" si="1"/>
        <v>-</v>
      </c>
      <c r="E84" s="9" t="s">
        <v>11</v>
      </c>
      <c r="F84" s="10"/>
      <c r="G84" s="9"/>
      <c r="H84" s="11"/>
      <c r="I84" s="9" t="s">
        <v>13</v>
      </c>
      <c r="J84" s="44"/>
    </row>
    <row r="85">
      <c r="A85" s="42" t="s">
        <v>330</v>
      </c>
      <c r="B85" s="11"/>
      <c r="C85" s="8" t="s">
        <v>11</v>
      </c>
      <c r="D85" s="8" t="str">
        <f t="shared" si="1"/>
        <v>-</v>
      </c>
      <c r="E85" s="9" t="s">
        <v>11</v>
      </c>
      <c r="F85" s="10"/>
      <c r="G85" s="9"/>
      <c r="H85" s="11"/>
      <c r="I85" s="9" t="s">
        <v>13</v>
      </c>
      <c r="J85" s="44"/>
    </row>
    <row r="86">
      <c r="A86" s="42" t="s">
        <v>330</v>
      </c>
      <c r="B86" s="11"/>
      <c r="C86" s="8" t="s">
        <v>11</v>
      </c>
      <c r="D86" s="8" t="str">
        <f t="shared" si="1"/>
        <v>-</v>
      </c>
      <c r="E86" s="9" t="s">
        <v>11</v>
      </c>
      <c r="F86" s="10"/>
      <c r="G86" s="9"/>
      <c r="H86" s="11"/>
      <c r="I86" s="9" t="s">
        <v>13</v>
      </c>
      <c r="J86" s="44"/>
    </row>
    <row r="87">
      <c r="A87" s="42" t="s">
        <v>330</v>
      </c>
      <c r="B87" s="11"/>
      <c r="C87" s="8" t="s">
        <v>11</v>
      </c>
      <c r="D87" s="8" t="str">
        <f t="shared" si="1"/>
        <v>-</v>
      </c>
      <c r="E87" s="9" t="s">
        <v>11</v>
      </c>
      <c r="F87" s="10"/>
      <c r="G87" s="9"/>
      <c r="H87" s="11"/>
      <c r="I87" s="9" t="s">
        <v>13</v>
      </c>
      <c r="J87" s="44"/>
    </row>
    <row r="88">
      <c r="A88" s="42" t="s">
        <v>330</v>
      </c>
      <c r="B88" s="11"/>
      <c r="C88" s="8" t="s">
        <v>11</v>
      </c>
      <c r="D88" s="8" t="str">
        <f t="shared" si="1"/>
        <v>-</v>
      </c>
      <c r="E88" s="9" t="s">
        <v>11</v>
      </c>
      <c r="F88" s="10"/>
      <c r="G88" s="9"/>
      <c r="H88" s="11"/>
      <c r="I88" s="9" t="s">
        <v>13</v>
      </c>
      <c r="J88" s="44"/>
    </row>
    <row r="89">
      <c r="A89" s="42" t="s">
        <v>330</v>
      </c>
      <c r="B89" s="11"/>
      <c r="C89" s="8"/>
      <c r="D89" s="8"/>
      <c r="E89" s="9"/>
      <c r="F89" s="10"/>
      <c r="G89" s="9"/>
      <c r="H89" s="11"/>
      <c r="I89" s="9"/>
      <c r="J89" s="44"/>
    </row>
    <row r="90">
      <c r="A90" s="42" t="s">
        <v>330</v>
      </c>
      <c r="B90" s="11"/>
      <c r="C90" s="8"/>
      <c r="D90" s="8"/>
      <c r="E90" s="9"/>
      <c r="F90" s="10"/>
      <c r="G90" s="9"/>
      <c r="H90" s="11"/>
      <c r="I90" s="9" t="s">
        <v>13</v>
      </c>
      <c r="J90" s="44"/>
    </row>
    <row r="91">
      <c r="A91" s="42" t="s">
        <v>330</v>
      </c>
      <c r="B91" s="11"/>
      <c r="C91" s="8"/>
      <c r="D91" s="8"/>
      <c r="E91" s="9"/>
      <c r="F91" s="10"/>
      <c r="G91" s="9"/>
      <c r="H91" s="11"/>
      <c r="I91" s="9" t="s">
        <v>13</v>
      </c>
      <c r="J91" s="44"/>
    </row>
    <row r="92">
      <c r="A92" s="42" t="s">
        <v>330</v>
      </c>
      <c r="B92" s="11"/>
      <c r="C92" s="8"/>
      <c r="D92" s="8"/>
      <c r="E92" s="9"/>
      <c r="F92" s="10"/>
      <c r="G92" s="9"/>
      <c r="H92" s="11"/>
      <c r="I92" s="9" t="s">
        <v>13</v>
      </c>
      <c r="J92" s="44"/>
    </row>
    <row r="93">
      <c r="A93" s="42" t="s">
        <v>330</v>
      </c>
      <c r="B93" s="11"/>
      <c r="C93" s="8"/>
      <c r="D93" s="8"/>
      <c r="E93" s="9"/>
      <c r="F93" s="10"/>
      <c r="G93" s="9"/>
      <c r="H93" s="11"/>
      <c r="I93" s="9" t="s">
        <v>13</v>
      </c>
      <c r="J93" s="44"/>
    </row>
    <row r="94">
      <c r="A94" s="42" t="s">
        <v>330</v>
      </c>
      <c r="B94" s="11"/>
      <c r="C94" s="8"/>
      <c r="D94" s="8"/>
      <c r="E94" s="9"/>
      <c r="F94" s="10"/>
      <c r="G94" s="9"/>
      <c r="H94" s="11"/>
      <c r="I94" s="9" t="s">
        <v>13</v>
      </c>
      <c r="J94" s="44"/>
    </row>
    <row r="95">
      <c r="A95" s="42" t="s">
        <v>330</v>
      </c>
      <c r="B95" s="11"/>
      <c r="C95" s="8"/>
      <c r="D95" s="8"/>
      <c r="E95" s="9"/>
      <c r="F95" s="10"/>
      <c r="G95" s="9"/>
      <c r="H95" s="11"/>
      <c r="I95" s="9" t="s">
        <v>13</v>
      </c>
      <c r="J95" s="44"/>
    </row>
    <row r="96">
      <c r="A96" s="42" t="s">
        <v>330</v>
      </c>
      <c r="B96" s="11"/>
      <c r="C96" s="8"/>
      <c r="D96" s="8"/>
      <c r="E96" s="9"/>
      <c r="F96" s="10"/>
      <c r="G96" s="9"/>
      <c r="H96" s="11"/>
      <c r="I96" s="9" t="s">
        <v>13</v>
      </c>
      <c r="J96" s="44"/>
    </row>
    <row r="97">
      <c r="A97" s="42" t="s">
        <v>330</v>
      </c>
      <c r="B97" s="11"/>
      <c r="C97" s="8"/>
      <c r="D97" s="8"/>
      <c r="E97" s="9"/>
      <c r="F97" s="10"/>
      <c r="G97" s="9"/>
      <c r="H97" s="11"/>
      <c r="I97" s="9" t="s">
        <v>13</v>
      </c>
      <c r="J97" s="44"/>
    </row>
    <row r="98">
      <c r="A98" s="42" t="s">
        <v>330</v>
      </c>
      <c r="B98" s="11"/>
      <c r="C98" s="8"/>
      <c r="D98" s="8"/>
      <c r="E98" s="9"/>
      <c r="F98" s="10"/>
      <c r="G98" s="9"/>
      <c r="H98" s="11"/>
      <c r="I98" s="9" t="s">
        <v>13</v>
      </c>
      <c r="J98" s="44"/>
    </row>
    <row r="99">
      <c r="A99" s="42" t="s">
        <v>330</v>
      </c>
      <c r="B99" s="11"/>
      <c r="C99" s="8"/>
      <c r="D99" s="8"/>
      <c r="E99" s="9"/>
      <c r="F99" s="10"/>
      <c r="G99" s="9"/>
      <c r="H99" s="11"/>
      <c r="I99" s="9" t="s">
        <v>13</v>
      </c>
      <c r="J99" s="44"/>
    </row>
    <row r="100">
      <c r="A100" s="42" t="s">
        <v>330</v>
      </c>
      <c r="B100" s="11"/>
      <c r="C100" s="8"/>
      <c r="D100" s="8"/>
      <c r="E100" s="9"/>
      <c r="F100" s="10"/>
      <c r="G100" s="9"/>
      <c r="H100" s="11"/>
      <c r="I100" s="9" t="s">
        <v>13</v>
      </c>
      <c r="J100" s="44"/>
    </row>
    <row r="101">
      <c r="A101" s="42" t="s">
        <v>330</v>
      </c>
      <c r="B101" s="11"/>
      <c r="C101" s="8"/>
      <c r="D101" s="8"/>
      <c r="E101" s="9"/>
      <c r="F101" s="10"/>
      <c r="G101" s="9"/>
      <c r="H101" s="11"/>
      <c r="I101" s="9" t="s">
        <v>13</v>
      </c>
      <c r="J101" s="44"/>
    </row>
    <row r="102">
      <c r="A102" s="42" t="s">
        <v>330</v>
      </c>
      <c r="B102" s="11"/>
      <c r="C102" s="8"/>
      <c r="D102" s="8"/>
      <c r="E102" s="9"/>
      <c r="F102" s="10"/>
      <c r="G102" s="9"/>
      <c r="H102" s="11"/>
      <c r="I102" s="9" t="s">
        <v>13</v>
      </c>
      <c r="J102" s="44"/>
    </row>
    <row r="103">
      <c r="A103" s="42" t="s">
        <v>330</v>
      </c>
      <c r="B103" s="11"/>
      <c r="C103" s="8"/>
      <c r="D103" s="8"/>
      <c r="E103" s="9"/>
      <c r="F103" s="10"/>
      <c r="G103" s="9"/>
      <c r="H103" s="11"/>
      <c r="I103" s="9" t="s">
        <v>13</v>
      </c>
      <c r="J103" s="44"/>
    </row>
    <row r="104">
      <c r="A104" s="42" t="s">
        <v>330</v>
      </c>
      <c r="B104" s="11"/>
      <c r="C104" s="8"/>
      <c r="D104" s="8"/>
      <c r="E104" s="9"/>
      <c r="F104" s="10"/>
      <c r="G104" s="9"/>
      <c r="H104" s="11"/>
      <c r="I104" s="9" t="s">
        <v>13</v>
      </c>
      <c r="J104" s="44"/>
    </row>
    <row r="105">
      <c r="A105" s="42" t="s">
        <v>330</v>
      </c>
      <c r="B105" s="11"/>
      <c r="C105" s="8"/>
      <c r="D105" s="8"/>
      <c r="E105" s="9"/>
      <c r="F105" s="10"/>
      <c r="G105" s="9"/>
      <c r="H105" s="11"/>
      <c r="I105" s="9" t="s">
        <v>13</v>
      </c>
      <c r="J105" s="44"/>
    </row>
    <row r="106">
      <c r="A106" s="42" t="s">
        <v>330</v>
      </c>
      <c r="B106" s="11"/>
      <c r="C106" s="8"/>
      <c r="D106" s="8"/>
      <c r="E106" s="9"/>
      <c r="F106" s="10"/>
      <c r="G106" s="9"/>
      <c r="H106" s="11"/>
      <c r="I106" s="9" t="s">
        <v>13</v>
      </c>
      <c r="J106" s="44"/>
    </row>
    <row r="107">
      <c r="A107" s="42" t="s">
        <v>330</v>
      </c>
      <c r="B107" s="11"/>
      <c r="C107" s="8"/>
      <c r="D107" s="8"/>
      <c r="E107" s="9"/>
      <c r="F107" s="10"/>
      <c r="G107" s="9"/>
      <c r="H107" s="11"/>
      <c r="I107" s="9" t="s">
        <v>13</v>
      </c>
      <c r="J107" s="44"/>
    </row>
    <row r="108">
      <c r="A108" s="42" t="s">
        <v>330</v>
      </c>
      <c r="B108" s="11"/>
      <c r="C108" s="8"/>
      <c r="D108" s="8"/>
      <c r="E108" s="9"/>
      <c r="F108" s="10"/>
      <c r="G108" s="9"/>
      <c r="H108" s="11"/>
      <c r="I108" s="9" t="s">
        <v>13</v>
      </c>
      <c r="J108" s="44"/>
    </row>
    <row r="109">
      <c r="A109" s="42" t="s">
        <v>330</v>
      </c>
      <c r="B109" s="11"/>
      <c r="C109" s="8"/>
      <c r="D109" s="8"/>
      <c r="E109" s="9"/>
      <c r="F109" s="10"/>
      <c r="G109" s="9"/>
      <c r="H109" s="11"/>
      <c r="I109" s="9" t="s">
        <v>13</v>
      </c>
      <c r="J109" s="44"/>
    </row>
    <row r="110">
      <c r="A110" s="42" t="s">
        <v>330</v>
      </c>
      <c r="B110" s="11"/>
      <c r="C110" s="8"/>
      <c r="D110" s="8"/>
      <c r="E110" s="9"/>
      <c r="F110" s="10"/>
      <c r="G110" s="9"/>
      <c r="H110" s="11"/>
      <c r="I110" s="9" t="s">
        <v>13</v>
      </c>
      <c r="J110" s="44"/>
    </row>
    <row r="111">
      <c r="A111" s="42" t="s">
        <v>330</v>
      </c>
      <c r="B111" s="11"/>
      <c r="C111" s="8"/>
      <c r="D111" s="8"/>
      <c r="E111" s="9"/>
      <c r="F111" s="10"/>
      <c r="G111" s="9"/>
      <c r="H111" s="11"/>
      <c r="I111" s="9" t="s">
        <v>13</v>
      </c>
      <c r="J111" s="44"/>
    </row>
    <row r="112">
      <c r="A112" s="42" t="s">
        <v>330</v>
      </c>
      <c r="B112" s="11"/>
      <c r="C112" s="8"/>
      <c r="D112" s="8"/>
      <c r="E112" s="9"/>
      <c r="F112" s="10"/>
      <c r="G112" s="9"/>
      <c r="H112" s="11"/>
      <c r="I112" s="9" t="s">
        <v>13</v>
      </c>
      <c r="J112" s="44"/>
    </row>
    <row r="113">
      <c r="A113" s="42" t="s">
        <v>330</v>
      </c>
      <c r="B113" s="11"/>
      <c r="C113" s="8"/>
      <c r="D113" s="8"/>
      <c r="E113" s="9"/>
      <c r="F113" s="10"/>
      <c r="G113" s="9"/>
      <c r="H113" s="11"/>
      <c r="I113" s="9" t="s">
        <v>13</v>
      </c>
      <c r="J113" s="44"/>
    </row>
    <row r="114">
      <c r="A114" s="42" t="s">
        <v>330</v>
      </c>
      <c r="B114" s="11"/>
      <c r="C114" s="8"/>
      <c r="D114" s="8"/>
      <c r="E114" s="9"/>
      <c r="F114" s="10"/>
      <c r="G114" s="9"/>
      <c r="H114" s="11"/>
      <c r="I114" s="9" t="s">
        <v>13</v>
      </c>
      <c r="J114" s="44"/>
    </row>
    <row r="115">
      <c r="A115" s="42" t="s">
        <v>330</v>
      </c>
      <c r="B115" s="11"/>
      <c r="C115" s="8"/>
      <c r="D115" s="8"/>
      <c r="E115" s="9"/>
      <c r="F115" s="10"/>
      <c r="G115" s="9"/>
      <c r="H115" s="11"/>
      <c r="I115" s="9" t="s">
        <v>13</v>
      </c>
      <c r="J115" s="44"/>
    </row>
    <row r="116">
      <c r="A116" s="42" t="s">
        <v>330</v>
      </c>
      <c r="B116" s="11"/>
      <c r="C116" s="8"/>
      <c r="D116" s="8"/>
      <c r="E116" s="9"/>
      <c r="F116" s="10"/>
      <c r="G116" s="9"/>
      <c r="H116" s="11"/>
      <c r="I116" s="9" t="s">
        <v>13</v>
      </c>
      <c r="J116" s="44"/>
    </row>
    <row r="117">
      <c r="A117" s="42" t="s">
        <v>330</v>
      </c>
      <c r="B117" s="11"/>
      <c r="C117" s="8"/>
      <c r="D117" s="8"/>
      <c r="E117" s="9"/>
      <c r="F117" s="10"/>
      <c r="G117" s="9"/>
      <c r="H117" s="11"/>
      <c r="I117" s="9" t="s">
        <v>13</v>
      </c>
      <c r="J117" s="44"/>
    </row>
    <row r="118">
      <c r="A118" s="42" t="s">
        <v>330</v>
      </c>
      <c r="B118" s="11"/>
      <c r="C118" s="8"/>
      <c r="D118" s="8"/>
      <c r="E118" s="9"/>
      <c r="F118" s="10"/>
      <c r="G118" s="9"/>
      <c r="H118" s="11"/>
      <c r="I118" s="9" t="s">
        <v>13</v>
      </c>
      <c r="J118" s="44"/>
    </row>
    <row r="119">
      <c r="A119" s="42" t="s">
        <v>330</v>
      </c>
      <c r="B119" s="11"/>
      <c r="C119" s="8"/>
      <c r="D119" s="8"/>
      <c r="E119" s="9"/>
      <c r="F119" s="10"/>
      <c r="G119" s="9"/>
      <c r="H119" s="11"/>
      <c r="I119" s="9" t="s">
        <v>13</v>
      </c>
      <c r="J119" s="44"/>
    </row>
    <row r="120">
      <c r="A120" s="42" t="s">
        <v>330</v>
      </c>
      <c r="B120" s="11"/>
      <c r="C120" s="8"/>
      <c r="D120" s="8"/>
      <c r="E120" s="9"/>
      <c r="F120" s="10"/>
      <c r="G120" s="9"/>
      <c r="H120" s="11"/>
      <c r="I120" s="9" t="s">
        <v>13</v>
      </c>
      <c r="J120" s="44"/>
    </row>
    <row r="121">
      <c r="A121" s="42" t="s">
        <v>330</v>
      </c>
      <c r="B121" s="11"/>
      <c r="C121" s="8"/>
      <c r="D121" s="8"/>
      <c r="E121" s="9"/>
      <c r="F121" s="10"/>
      <c r="G121" s="9"/>
      <c r="H121" s="11"/>
      <c r="I121" s="9" t="s">
        <v>13</v>
      </c>
      <c r="J121" s="44"/>
    </row>
    <row r="122">
      <c r="A122" s="42" t="s">
        <v>330</v>
      </c>
      <c r="B122" s="11"/>
      <c r="C122" s="8"/>
      <c r="D122" s="8"/>
      <c r="E122" s="9"/>
      <c r="F122" s="10"/>
      <c r="G122" s="9"/>
      <c r="H122" s="11"/>
      <c r="I122" s="9" t="s">
        <v>13</v>
      </c>
      <c r="J122" s="44"/>
    </row>
    <row r="123">
      <c r="A123" s="42" t="s">
        <v>330</v>
      </c>
      <c r="B123" s="11"/>
      <c r="C123" s="8"/>
      <c r="D123" s="8"/>
      <c r="E123" s="9"/>
      <c r="F123" s="10"/>
      <c r="G123" s="9"/>
      <c r="H123" s="11"/>
      <c r="I123" s="9" t="s">
        <v>13</v>
      </c>
      <c r="J123" s="44"/>
    </row>
    <row r="124">
      <c r="A124" s="42" t="s">
        <v>330</v>
      </c>
      <c r="B124" s="11"/>
      <c r="C124" s="8"/>
      <c r="D124" s="8"/>
      <c r="E124" s="9"/>
      <c r="F124" s="10"/>
      <c r="G124" s="9"/>
      <c r="H124" s="11"/>
      <c r="I124" s="9" t="s">
        <v>13</v>
      </c>
      <c r="J124" s="44"/>
    </row>
    <row r="125">
      <c r="A125" s="42" t="s">
        <v>330</v>
      </c>
      <c r="B125" s="11"/>
      <c r="C125" s="8"/>
      <c r="D125" s="8"/>
      <c r="E125" s="9"/>
      <c r="F125" s="10"/>
      <c r="G125" s="9"/>
      <c r="H125" s="11"/>
      <c r="I125" s="9" t="s">
        <v>13</v>
      </c>
      <c r="J125" s="44"/>
    </row>
    <row r="126">
      <c r="A126" s="42" t="s">
        <v>330</v>
      </c>
      <c r="B126" s="11"/>
      <c r="C126" s="8"/>
      <c r="D126" s="8"/>
      <c r="E126" s="9"/>
      <c r="F126" s="10"/>
      <c r="G126" s="9"/>
      <c r="H126" s="11"/>
      <c r="I126" s="9" t="s">
        <v>13</v>
      </c>
      <c r="J126" s="44"/>
    </row>
    <row r="127">
      <c r="A127" s="42" t="s">
        <v>330</v>
      </c>
      <c r="B127" s="11"/>
      <c r="C127" s="8"/>
      <c r="D127" s="8"/>
      <c r="E127" s="9"/>
      <c r="F127" s="10"/>
      <c r="G127" s="9"/>
      <c r="H127" s="11"/>
      <c r="I127" s="9" t="s">
        <v>13</v>
      </c>
      <c r="J127" s="44"/>
    </row>
    <row r="128">
      <c r="A128" s="42" t="s">
        <v>330</v>
      </c>
      <c r="B128" s="11"/>
      <c r="C128" s="8"/>
      <c r="D128" s="8"/>
      <c r="E128" s="9"/>
      <c r="F128" s="10"/>
      <c r="G128" s="9"/>
      <c r="H128" s="11"/>
      <c r="I128" s="9" t="s">
        <v>13</v>
      </c>
      <c r="J128" s="44"/>
    </row>
    <row r="129">
      <c r="A129" s="42" t="s">
        <v>330</v>
      </c>
      <c r="B129" s="11"/>
      <c r="C129" s="8"/>
      <c r="D129" s="8"/>
      <c r="E129" s="9"/>
      <c r="F129" s="10"/>
      <c r="G129" s="9"/>
      <c r="H129" s="11"/>
      <c r="I129" s="9" t="s">
        <v>13</v>
      </c>
      <c r="J129" s="44"/>
    </row>
    <row r="130">
      <c r="A130" s="42" t="s">
        <v>330</v>
      </c>
      <c r="B130" s="11"/>
      <c r="C130" s="8"/>
      <c r="D130" s="8"/>
      <c r="E130" s="9"/>
      <c r="F130" s="10"/>
      <c r="G130" s="9"/>
      <c r="H130" s="11"/>
      <c r="I130" s="9" t="s">
        <v>13</v>
      </c>
      <c r="J130" s="44"/>
    </row>
    <row r="131">
      <c r="A131" s="42" t="s">
        <v>330</v>
      </c>
      <c r="B131" s="11"/>
      <c r="C131" s="8"/>
      <c r="D131" s="8"/>
      <c r="E131" s="9"/>
      <c r="F131" s="10"/>
      <c r="G131" s="9"/>
      <c r="H131" s="11"/>
      <c r="I131" s="9" t="s">
        <v>13</v>
      </c>
      <c r="J131" s="44"/>
    </row>
    <row r="132">
      <c r="A132" s="42" t="s">
        <v>330</v>
      </c>
      <c r="B132" s="11"/>
      <c r="C132" s="8"/>
      <c r="D132" s="8"/>
      <c r="E132" s="9"/>
      <c r="F132" s="10"/>
      <c r="G132" s="9"/>
      <c r="H132" s="11"/>
      <c r="I132" s="9" t="s">
        <v>13</v>
      </c>
      <c r="J132" s="44"/>
    </row>
    <row r="133">
      <c r="A133" s="42" t="s">
        <v>330</v>
      </c>
      <c r="B133" s="11"/>
      <c r="C133" s="8"/>
      <c r="D133" s="8"/>
      <c r="E133" s="9"/>
      <c r="F133" s="10"/>
      <c r="G133" s="9"/>
      <c r="H133" s="11"/>
      <c r="I133" s="9" t="s">
        <v>13</v>
      </c>
      <c r="J133" s="44"/>
    </row>
    <row r="134">
      <c r="A134" s="42" t="s">
        <v>330</v>
      </c>
      <c r="B134" s="11"/>
      <c r="C134" s="8"/>
      <c r="D134" s="8"/>
      <c r="E134" s="9"/>
      <c r="F134" s="10"/>
      <c r="G134" s="9"/>
      <c r="H134" s="11"/>
      <c r="I134" s="9" t="s">
        <v>13</v>
      </c>
      <c r="J134" s="44"/>
    </row>
    <row r="135">
      <c r="A135" s="42" t="s">
        <v>330</v>
      </c>
      <c r="B135" s="11"/>
      <c r="C135" s="8"/>
      <c r="D135" s="8"/>
      <c r="E135" s="9"/>
      <c r="F135" s="10"/>
      <c r="G135" s="9"/>
      <c r="H135" s="11"/>
      <c r="I135" s="9" t="s">
        <v>13</v>
      </c>
      <c r="J135" s="44"/>
    </row>
    <row r="136">
      <c r="A136" s="42" t="s">
        <v>330</v>
      </c>
      <c r="B136" s="11"/>
      <c r="C136" s="8"/>
      <c r="D136" s="8"/>
      <c r="E136" s="9"/>
      <c r="F136" s="10"/>
      <c r="G136" s="9"/>
      <c r="H136" s="11"/>
      <c r="I136" s="9" t="s">
        <v>13</v>
      </c>
      <c r="J136" s="44"/>
    </row>
    <row r="137">
      <c r="A137" s="42" t="s">
        <v>330</v>
      </c>
      <c r="B137" s="11"/>
      <c r="C137" s="8"/>
      <c r="D137" s="8"/>
      <c r="E137" s="9"/>
      <c r="F137" s="10"/>
      <c r="G137" s="9"/>
      <c r="H137" s="11"/>
      <c r="I137" s="9" t="s">
        <v>13</v>
      </c>
      <c r="J137" s="44"/>
    </row>
    <row r="138">
      <c r="A138" s="42" t="s">
        <v>330</v>
      </c>
      <c r="B138" s="11"/>
      <c r="C138" s="8"/>
      <c r="D138" s="8"/>
      <c r="E138" s="9"/>
      <c r="F138" s="10"/>
      <c r="G138" s="9"/>
      <c r="H138" s="11"/>
      <c r="I138" s="9" t="s">
        <v>13</v>
      </c>
      <c r="J138" s="44"/>
    </row>
    <row r="139">
      <c r="A139" s="42" t="s">
        <v>330</v>
      </c>
      <c r="B139" s="11"/>
      <c r="C139" s="8"/>
      <c r="D139" s="8"/>
      <c r="E139" s="9"/>
      <c r="F139" s="10"/>
      <c r="G139" s="9"/>
      <c r="H139" s="11"/>
      <c r="I139" s="9" t="s">
        <v>13</v>
      </c>
      <c r="J139" s="44"/>
    </row>
    <row r="140">
      <c r="A140" s="42" t="s">
        <v>330</v>
      </c>
      <c r="B140" s="11"/>
      <c r="C140" s="8"/>
      <c r="D140" s="8"/>
      <c r="E140" s="9"/>
      <c r="F140" s="10"/>
      <c r="G140" s="9"/>
      <c r="H140" s="11"/>
      <c r="I140" s="9" t="s">
        <v>13</v>
      </c>
      <c r="J140" s="44"/>
    </row>
    <row r="141">
      <c r="A141" s="42" t="s">
        <v>330</v>
      </c>
      <c r="B141" s="11"/>
      <c r="C141" s="8"/>
      <c r="D141" s="8"/>
      <c r="E141" s="9"/>
      <c r="F141" s="10"/>
      <c r="G141" s="9"/>
      <c r="H141" s="11"/>
      <c r="I141" s="9" t="s">
        <v>13</v>
      </c>
      <c r="J141" s="44"/>
    </row>
    <row r="142">
      <c r="A142" s="42" t="s">
        <v>330</v>
      </c>
      <c r="B142" s="11"/>
      <c r="C142" s="8"/>
      <c r="D142" s="8"/>
      <c r="E142" s="9"/>
      <c r="F142" s="10"/>
      <c r="G142" s="9"/>
      <c r="H142" s="11"/>
      <c r="I142" s="9" t="s">
        <v>13</v>
      </c>
      <c r="J142" s="44"/>
    </row>
    <row r="143">
      <c r="A143" s="42" t="s">
        <v>330</v>
      </c>
      <c r="B143" s="11"/>
      <c r="C143" s="8"/>
      <c r="D143" s="8"/>
      <c r="E143" s="9"/>
      <c r="F143" s="10"/>
      <c r="G143" s="9"/>
      <c r="H143" s="11"/>
      <c r="I143" s="9" t="s">
        <v>13</v>
      </c>
      <c r="J143" s="44"/>
    </row>
    <row r="144">
      <c r="A144" s="42" t="s">
        <v>330</v>
      </c>
      <c r="B144" s="11"/>
      <c r="C144" s="8"/>
      <c r="D144" s="8"/>
      <c r="E144" s="9"/>
      <c r="F144" s="10"/>
      <c r="G144" s="9"/>
      <c r="H144" s="11"/>
      <c r="I144" s="9" t="s">
        <v>13</v>
      </c>
      <c r="J144" s="44"/>
    </row>
    <row r="145">
      <c r="A145" s="42" t="s">
        <v>330</v>
      </c>
      <c r="B145" s="11"/>
      <c r="C145" s="8"/>
      <c r="D145" s="8"/>
      <c r="E145" s="9"/>
      <c r="F145" s="10"/>
      <c r="G145" s="9"/>
      <c r="H145" s="11"/>
      <c r="I145" s="9" t="s">
        <v>13</v>
      </c>
      <c r="J145" s="44"/>
    </row>
    <row r="146">
      <c r="A146" s="42" t="s">
        <v>330</v>
      </c>
      <c r="B146" s="11"/>
      <c r="C146" s="8"/>
      <c r="D146" s="8"/>
      <c r="E146" s="9"/>
      <c r="F146" s="10"/>
      <c r="G146" s="9"/>
      <c r="H146" s="11"/>
      <c r="I146" s="9" t="s">
        <v>13</v>
      </c>
      <c r="J146" s="44"/>
    </row>
    <row r="147">
      <c r="A147" s="42" t="s">
        <v>330</v>
      </c>
      <c r="B147" s="11"/>
      <c r="C147" s="8"/>
      <c r="D147" s="8"/>
      <c r="E147" s="9"/>
      <c r="F147" s="10"/>
      <c r="G147" s="9"/>
      <c r="H147" s="11"/>
      <c r="I147" s="9" t="s">
        <v>13</v>
      </c>
      <c r="J147" s="44"/>
    </row>
    <row r="148">
      <c r="A148" s="42" t="s">
        <v>330</v>
      </c>
      <c r="B148" s="11"/>
      <c r="C148" s="8"/>
      <c r="D148" s="8"/>
      <c r="E148" s="9"/>
      <c r="F148" s="10"/>
      <c r="G148" s="9"/>
      <c r="H148" s="11"/>
      <c r="I148" s="9" t="s">
        <v>13</v>
      </c>
      <c r="J148" s="44"/>
    </row>
    <row r="149">
      <c r="A149" s="42" t="s">
        <v>330</v>
      </c>
      <c r="B149" s="11"/>
      <c r="C149" s="8"/>
      <c r="D149" s="8"/>
      <c r="E149" s="9"/>
      <c r="F149" s="10"/>
      <c r="G149" s="9"/>
      <c r="H149" s="11"/>
      <c r="I149" s="9" t="s">
        <v>13</v>
      </c>
      <c r="J149" s="44"/>
    </row>
    <row r="150">
      <c r="A150" s="42" t="s">
        <v>330</v>
      </c>
      <c r="B150" s="11"/>
      <c r="C150" s="8"/>
      <c r="D150" s="8"/>
      <c r="E150" s="9"/>
      <c r="F150" s="10"/>
      <c r="G150" s="9"/>
      <c r="H150" s="11"/>
      <c r="I150" s="9" t="s">
        <v>13</v>
      </c>
      <c r="J150" s="44"/>
    </row>
    <row r="151">
      <c r="A151" s="42" t="s">
        <v>330</v>
      </c>
      <c r="B151" s="11"/>
      <c r="C151" s="8"/>
      <c r="D151" s="8"/>
      <c r="E151" s="9"/>
      <c r="F151" s="10"/>
      <c r="G151" s="9"/>
      <c r="H151" s="11"/>
      <c r="I151" s="9" t="s">
        <v>13</v>
      </c>
      <c r="J151" s="44"/>
    </row>
    <row r="152">
      <c r="A152" s="42" t="s">
        <v>330</v>
      </c>
      <c r="B152" s="11"/>
      <c r="C152" s="8"/>
      <c r="D152" s="8"/>
      <c r="E152" s="9"/>
      <c r="F152" s="10"/>
      <c r="G152" s="9"/>
      <c r="H152" s="11"/>
      <c r="I152" s="9" t="s">
        <v>13</v>
      </c>
      <c r="J152" s="44"/>
    </row>
    <row r="153">
      <c r="A153" s="42" t="s">
        <v>330</v>
      </c>
      <c r="B153" s="11"/>
      <c r="C153" s="8"/>
      <c r="D153" s="8"/>
      <c r="E153" s="9"/>
      <c r="F153" s="10"/>
      <c r="G153" s="9"/>
      <c r="H153" s="11"/>
      <c r="I153" s="9" t="s">
        <v>13</v>
      </c>
      <c r="J153" s="44"/>
    </row>
    <row r="154">
      <c r="A154" s="42" t="s">
        <v>330</v>
      </c>
      <c r="B154" s="11"/>
      <c r="C154" s="8"/>
      <c r="D154" s="8"/>
      <c r="E154" s="9"/>
      <c r="F154" s="10"/>
      <c r="G154" s="9"/>
      <c r="H154" s="11"/>
      <c r="I154" s="9" t="s">
        <v>13</v>
      </c>
      <c r="J154" s="44"/>
    </row>
    <row r="155">
      <c r="A155" s="42" t="s">
        <v>330</v>
      </c>
      <c r="B155" s="11"/>
      <c r="C155" s="8"/>
      <c r="D155" s="8"/>
      <c r="E155" s="9"/>
      <c r="F155" s="10"/>
      <c r="G155" s="9"/>
      <c r="H155" s="11"/>
      <c r="I155" s="9" t="s">
        <v>13</v>
      </c>
      <c r="J155" s="44"/>
    </row>
    <row r="156">
      <c r="A156" s="42" t="s">
        <v>330</v>
      </c>
      <c r="B156" s="11"/>
      <c r="C156" s="8"/>
      <c r="D156" s="8"/>
      <c r="E156" s="9"/>
      <c r="F156" s="10"/>
      <c r="G156" s="9"/>
      <c r="H156" s="11"/>
      <c r="I156" s="9" t="s">
        <v>13</v>
      </c>
      <c r="J156" s="44"/>
    </row>
    <row r="157">
      <c r="A157" s="42" t="s">
        <v>330</v>
      </c>
      <c r="B157" s="11"/>
      <c r="C157" s="8"/>
      <c r="D157" s="8"/>
      <c r="E157" s="9"/>
      <c r="F157" s="10"/>
      <c r="G157" s="9"/>
      <c r="H157" s="11"/>
      <c r="I157" s="9" t="s">
        <v>13</v>
      </c>
      <c r="J157" s="44"/>
    </row>
    <row r="158">
      <c r="A158" s="42" t="s">
        <v>330</v>
      </c>
      <c r="B158" s="11"/>
      <c r="C158" s="8"/>
      <c r="D158" s="8"/>
      <c r="E158" s="9"/>
      <c r="F158" s="10"/>
      <c r="G158" s="9"/>
      <c r="H158" s="11"/>
      <c r="I158" s="9" t="s">
        <v>13</v>
      </c>
      <c r="J158" s="44"/>
    </row>
    <row r="159">
      <c r="A159" s="42" t="s">
        <v>330</v>
      </c>
      <c r="B159" s="11"/>
      <c r="C159" s="8"/>
      <c r="D159" s="8"/>
      <c r="E159" s="9"/>
      <c r="F159" s="10"/>
      <c r="G159" s="9"/>
      <c r="H159" s="11"/>
      <c r="I159" s="9" t="s">
        <v>13</v>
      </c>
      <c r="J159" s="44"/>
    </row>
    <row r="160">
      <c r="A160" s="42" t="s">
        <v>330</v>
      </c>
      <c r="B160" s="11"/>
      <c r="C160" s="8"/>
      <c r="D160" s="8"/>
      <c r="E160" s="9"/>
      <c r="F160" s="10"/>
      <c r="G160" s="9"/>
      <c r="H160" s="11"/>
      <c r="I160" s="9" t="s">
        <v>13</v>
      </c>
      <c r="J160" s="44"/>
    </row>
    <row r="161">
      <c r="A161" s="42" t="s">
        <v>330</v>
      </c>
      <c r="B161" s="11"/>
      <c r="C161" s="8"/>
      <c r="D161" s="8"/>
      <c r="E161" s="9"/>
      <c r="F161" s="10"/>
      <c r="G161" s="9"/>
      <c r="H161" s="11"/>
      <c r="I161" s="9" t="s">
        <v>13</v>
      </c>
      <c r="J161" s="44"/>
    </row>
    <row r="162">
      <c r="A162" s="42" t="s">
        <v>330</v>
      </c>
      <c r="B162" s="11"/>
      <c r="C162" s="8"/>
      <c r="D162" s="8"/>
      <c r="E162" s="9"/>
      <c r="F162" s="10"/>
      <c r="G162" s="9"/>
      <c r="H162" s="11"/>
      <c r="I162" s="9" t="s">
        <v>13</v>
      </c>
      <c r="J162" s="44"/>
    </row>
    <row r="163">
      <c r="A163" s="42" t="s">
        <v>330</v>
      </c>
      <c r="B163" s="11"/>
      <c r="C163" s="8"/>
      <c r="D163" s="8"/>
      <c r="E163" s="9"/>
      <c r="F163" s="10"/>
      <c r="G163" s="9"/>
      <c r="H163" s="11"/>
      <c r="I163" s="9" t="s">
        <v>13</v>
      </c>
      <c r="J163" s="44"/>
    </row>
    <row r="164">
      <c r="A164" s="42" t="s">
        <v>330</v>
      </c>
      <c r="B164" s="11"/>
      <c r="C164" s="8"/>
      <c r="D164" s="8"/>
      <c r="E164" s="9"/>
      <c r="F164" s="10"/>
      <c r="G164" s="9"/>
      <c r="H164" s="11"/>
      <c r="I164" s="9" t="s">
        <v>13</v>
      </c>
      <c r="J164" s="44"/>
    </row>
    <row r="165">
      <c r="A165" s="42" t="s">
        <v>330</v>
      </c>
      <c r="B165" s="11"/>
      <c r="C165" s="8"/>
      <c r="D165" s="8"/>
      <c r="E165" s="9"/>
      <c r="F165" s="10"/>
      <c r="G165" s="9"/>
      <c r="H165" s="11"/>
      <c r="I165" s="9" t="s">
        <v>13</v>
      </c>
      <c r="J165" s="44"/>
    </row>
    <row r="166">
      <c r="A166" s="42" t="s">
        <v>330</v>
      </c>
      <c r="B166" s="11"/>
      <c r="C166" s="8"/>
      <c r="D166" s="8"/>
      <c r="E166" s="9"/>
      <c r="F166" s="10"/>
      <c r="G166" s="9"/>
      <c r="H166" s="11"/>
      <c r="I166" s="9" t="s">
        <v>13</v>
      </c>
      <c r="J166" s="44"/>
    </row>
    <row r="167">
      <c r="A167" s="42" t="s">
        <v>330</v>
      </c>
      <c r="B167" s="11"/>
      <c r="C167" s="8"/>
      <c r="D167" s="8"/>
      <c r="E167" s="9"/>
      <c r="F167" s="10"/>
      <c r="G167" s="9"/>
      <c r="H167" s="11"/>
      <c r="I167" s="9" t="s">
        <v>13</v>
      </c>
      <c r="J167" s="44"/>
    </row>
    <row r="168">
      <c r="A168" s="42" t="s">
        <v>330</v>
      </c>
      <c r="B168" s="11"/>
      <c r="C168" s="8"/>
      <c r="D168" s="8"/>
      <c r="E168" s="9"/>
      <c r="F168" s="10"/>
      <c r="G168" s="9"/>
      <c r="H168" s="11"/>
      <c r="I168" s="9" t="s">
        <v>13</v>
      </c>
      <c r="J168" s="44"/>
    </row>
    <row r="169">
      <c r="A169" s="42" t="s">
        <v>330</v>
      </c>
      <c r="B169" s="11"/>
      <c r="C169" s="8"/>
      <c r="D169" s="8"/>
      <c r="E169" s="9"/>
      <c r="F169" s="10"/>
      <c r="G169" s="9"/>
      <c r="H169" s="11"/>
      <c r="I169" s="9" t="s">
        <v>13</v>
      </c>
      <c r="J169" s="44"/>
    </row>
    <row r="170">
      <c r="A170" s="42" t="s">
        <v>330</v>
      </c>
      <c r="B170" s="11"/>
      <c r="C170" s="8"/>
      <c r="D170" s="8"/>
      <c r="E170" s="9"/>
      <c r="F170" s="10"/>
      <c r="G170" s="9"/>
      <c r="H170" s="11"/>
      <c r="I170" s="9" t="s">
        <v>13</v>
      </c>
      <c r="J170" s="44"/>
    </row>
    <row r="171">
      <c r="A171" s="42" t="s">
        <v>330</v>
      </c>
      <c r="B171" s="11"/>
      <c r="C171" s="8"/>
      <c r="D171" s="8"/>
      <c r="E171" s="9"/>
      <c r="F171" s="10"/>
      <c r="G171" s="9"/>
      <c r="H171" s="11"/>
      <c r="I171" s="9" t="s">
        <v>13</v>
      </c>
      <c r="J171" s="44"/>
    </row>
    <row r="172">
      <c r="A172" s="42" t="s">
        <v>330</v>
      </c>
      <c r="B172" s="11"/>
      <c r="C172" s="8"/>
      <c r="D172" s="8"/>
      <c r="E172" s="9"/>
      <c r="F172" s="10"/>
      <c r="G172" s="9"/>
      <c r="H172" s="11"/>
      <c r="I172" s="9" t="s">
        <v>13</v>
      </c>
      <c r="J172" s="44"/>
    </row>
    <row r="173">
      <c r="A173" s="42" t="s">
        <v>330</v>
      </c>
      <c r="B173" s="11"/>
      <c r="C173" s="8"/>
      <c r="D173" s="8"/>
      <c r="E173" s="9"/>
      <c r="F173" s="10"/>
      <c r="G173" s="9"/>
      <c r="H173" s="11"/>
      <c r="I173" s="9" t="s">
        <v>13</v>
      </c>
      <c r="J173" s="44"/>
    </row>
    <row r="174">
      <c r="A174" s="42" t="s">
        <v>330</v>
      </c>
      <c r="B174" s="11"/>
      <c r="C174" s="8"/>
      <c r="D174" s="8"/>
      <c r="E174" s="9"/>
      <c r="F174" s="10"/>
      <c r="G174" s="9"/>
      <c r="H174" s="11"/>
      <c r="I174" s="9" t="s">
        <v>13</v>
      </c>
      <c r="J174" s="44"/>
    </row>
    <row r="175">
      <c r="A175" s="42" t="s">
        <v>330</v>
      </c>
      <c r="B175" s="11"/>
      <c r="C175" s="8"/>
      <c r="D175" s="8"/>
      <c r="E175" s="9"/>
      <c r="F175" s="10"/>
      <c r="G175" s="9"/>
      <c r="H175" s="11"/>
      <c r="I175" s="9" t="s">
        <v>13</v>
      </c>
      <c r="J175" s="44"/>
    </row>
    <row r="176">
      <c r="A176" s="42" t="s">
        <v>330</v>
      </c>
      <c r="B176" s="11"/>
      <c r="C176" s="8"/>
      <c r="D176" s="8"/>
      <c r="E176" s="9"/>
      <c r="F176" s="10"/>
      <c r="G176" s="9"/>
      <c r="H176" s="11"/>
      <c r="I176" s="9" t="s">
        <v>13</v>
      </c>
      <c r="J176" s="44"/>
    </row>
    <row r="177">
      <c r="A177" s="42" t="s">
        <v>330</v>
      </c>
      <c r="B177" s="11"/>
      <c r="C177" s="8"/>
      <c r="D177" s="8"/>
      <c r="E177" s="9"/>
      <c r="F177" s="10"/>
      <c r="G177" s="9"/>
      <c r="H177" s="11"/>
      <c r="I177" s="9" t="s">
        <v>13</v>
      </c>
      <c r="J177" s="44"/>
    </row>
    <row r="178">
      <c r="A178" s="42" t="s">
        <v>330</v>
      </c>
      <c r="B178" s="11"/>
      <c r="C178" s="8"/>
      <c r="D178" s="8"/>
      <c r="E178" s="9"/>
      <c r="F178" s="10"/>
      <c r="G178" s="9"/>
      <c r="H178" s="11"/>
      <c r="I178" s="9" t="s">
        <v>13</v>
      </c>
      <c r="J178" s="44"/>
    </row>
    <row r="179">
      <c r="A179" s="42" t="s">
        <v>330</v>
      </c>
      <c r="B179" s="11"/>
      <c r="C179" s="8"/>
      <c r="D179" s="8"/>
      <c r="E179" s="9"/>
      <c r="F179" s="10"/>
      <c r="G179" s="9"/>
      <c r="H179" s="11"/>
      <c r="I179" s="9" t="s">
        <v>13</v>
      </c>
      <c r="J179" s="44"/>
    </row>
    <row r="180">
      <c r="A180" s="42" t="s">
        <v>330</v>
      </c>
      <c r="B180" s="11"/>
      <c r="C180" s="8"/>
      <c r="D180" s="8"/>
      <c r="E180" s="9"/>
      <c r="F180" s="10"/>
      <c r="G180" s="9"/>
      <c r="H180" s="11"/>
      <c r="I180" s="9" t="s">
        <v>13</v>
      </c>
      <c r="J180" s="44"/>
    </row>
    <row r="181">
      <c r="A181" s="42" t="s">
        <v>330</v>
      </c>
      <c r="B181" s="11"/>
      <c r="C181" s="8"/>
      <c r="D181" s="8"/>
      <c r="E181" s="9"/>
      <c r="F181" s="10"/>
      <c r="G181" s="9"/>
      <c r="H181" s="11"/>
      <c r="I181" s="9" t="s">
        <v>13</v>
      </c>
      <c r="J181" s="44"/>
    </row>
    <row r="182">
      <c r="A182" s="42" t="s">
        <v>330</v>
      </c>
      <c r="B182" s="11"/>
      <c r="C182" s="8"/>
      <c r="D182" s="8"/>
      <c r="E182" s="9"/>
      <c r="F182" s="10"/>
      <c r="G182" s="9"/>
      <c r="H182" s="11"/>
      <c r="I182" s="9" t="s">
        <v>13</v>
      </c>
      <c r="J182" s="44"/>
    </row>
    <row r="183">
      <c r="A183" s="42" t="s">
        <v>330</v>
      </c>
      <c r="B183" s="11"/>
      <c r="C183" s="8"/>
      <c r="D183" s="8"/>
      <c r="E183" s="9"/>
      <c r="F183" s="10"/>
      <c r="G183" s="9"/>
      <c r="H183" s="11"/>
      <c r="I183" s="9" t="s">
        <v>13</v>
      </c>
      <c r="J183" s="44"/>
    </row>
    <row r="184">
      <c r="A184" s="42" t="s">
        <v>330</v>
      </c>
      <c r="B184" s="11"/>
      <c r="C184" s="8"/>
      <c r="D184" s="8"/>
      <c r="E184" s="9"/>
      <c r="F184" s="10"/>
      <c r="G184" s="9"/>
      <c r="H184" s="11"/>
      <c r="I184" s="9" t="s">
        <v>13</v>
      </c>
      <c r="J184" s="44"/>
    </row>
    <row r="185">
      <c r="A185" s="42" t="s">
        <v>330</v>
      </c>
      <c r="B185" s="11"/>
      <c r="C185" s="8"/>
      <c r="D185" s="8"/>
      <c r="E185" s="9"/>
      <c r="F185" s="10"/>
      <c r="G185" s="9"/>
      <c r="H185" s="11"/>
      <c r="I185" s="9" t="s">
        <v>13</v>
      </c>
      <c r="J185" s="44"/>
    </row>
    <row r="186">
      <c r="A186" s="42" t="s">
        <v>330</v>
      </c>
      <c r="B186" s="11"/>
      <c r="C186" s="8"/>
      <c r="D186" s="8"/>
      <c r="E186" s="9"/>
      <c r="F186" s="10"/>
      <c r="G186" s="9"/>
      <c r="H186" s="11"/>
      <c r="I186" s="9" t="s">
        <v>13</v>
      </c>
      <c r="J186" s="44"/>
    </row>
    <row r="187">
      <c r="A187" s="42" t="s">
        <v>330</v>
      </c>
      <c r="B187" s="11"/>
      <c r="C187" s="8"/>
      <c r="D187" s="8"/>
      <c r="E187" s="9"/>
      <c r="F187" s="10"/>
      <c r="G187" s="9"/>
      <c r="H187" s="11"/>
      <c r="I187" s="9" t="s">
        <v>13</v>
      </c>
      <c r="J187" s="44"/>
    </row>
    <row r="188">
      <c r="A188" s="42" t="s">
        <v>330</v>
      </c>
      <c r="B188" s="11"/>
      <c r="C188" s="8"/>
      <c r="D188" s="8"/>
      <c r="E188" s="9"/>
      <c r="F188" s="10"/>
      <c r="G188" s="9"/>
      <c r="H188" s="11"/>
      <c r="I188" s="9" t="s">
        <v>13</v>
      </c>
      <c r="J188" s="44"/>
    </row>
    <row r="189">
      <c r="A189" s="42" t="s">
        <v>330</v>
      </c>
      <c r="B189" s="11"/>
      <c r="C189" s="8"/>
      <c r="D189" s="8"/>
      <c r="E189" s="9"/>
      <c r="F189" s="10"/>
      <c r="G189" s="9"/>
      <c r="H189" s="11"/>
      <c r="I189" s="9" t="s">
        <v>13</v>
      </c>
      <c r="J189" s="44"/>
    </row>
    <row r="190">
      <c r="A190" s="42" t="s">
        <v>330</v>
      </c>
      <c r="B190" s="11"/>
      <c r="C190" s="8"/>
      <c r="D190" s="8"/>
      <c r="E190" s="9"/>
      <c r="F190" s="10"/>
      <c r="G190" s="9"/>
      <c r="H190" s="11"/>
      <c r="I190" s="9" t="s">
        <v>13</v>
      </c>
      <c r="J190" s="44"/>
    </row>
    <row r="191">
      <c r="A191" s="42" t="s">
        <v>330</v>
      </c>
      <c r="B191" s="11"/>
      <c r="C191" s="8"/>
      <c r="D191" s="8"/>
      <c r="E191" s="9"/>
      <c r="F191" s="10"/>
      <c r="G191" s="9"/>
      <c r="H191" s="11"/>
      <c r="I191" s="9" t="s">
        <v>13</v>
      </c>
      <c r="J191" s="44"/>
    </row>
    <row r="192">
      <c r="A192" s="42" t="s">
        <v>330</v>
      </c>
      <c r="B192" s="11"/>
      <c r="C192" s="8"/>
      <c r="D192" s="8"/>
      <c r="E192" s="9"/>
      <c r="F192" s="10"/>
      <c r="G192" s="9"/>
      <c r="H192" s="11"/>
      <c r="I192" s="9" t="s">
        <v>13</v>
      </c>
      <c r="J192" s="44"/>
    </row>
    <row r="193">
      <c r="A193" s="42" t="s">
        <v>330</v>
      </c>
      <c r="B193" s="11"/>
      <c r="C193" s="8"/>
      <c r="D193" s="8"/>
      <c r="E193" s="9"/>
      <c r="F193" s="10"/>
      <c r="G193" s="9"/>
      <c r="H193" s="11"/>
      <c r="I193" s="9" t="s">
        <v>13</v>
      </c>
      <c r="J193" s="44"/>
    </row>
    <row r="194">
      <c r="A194" s="42" t="s">
        <v>330</v>
      </c>
      <c r="B194" s="11"/>
      <c r="C194" s="8"/>
      <c r="D194" s="8"/>
      <c r="E194" s="9"/>
      <c r="F194" s="10"/>
      <c r="G194" s="9"/>
      <c r="H194" s="11"/>
      <c r="I194" s="9" t="s">
        <v>13</v>
      </c>
      <c r="J194" s="44"/>
    </row>
    <row r="195">
      <c r="A195" s="42" t="s">
        <v>330</v>
      </c>
      <c r="B195" s="11"/>
      <c r="C195" s="8"/>
      <c r="D195" s="8"/>
      <c r="E195" s="9"/>
      <c r="F195" s="10"/>
      <c r="G195" s="9"/>
      <c r="H195" s="11"/>
      <c r="I195" s="9" t="s">
        <v>13</v>
      </c>
      <c r="J195" s="44"/>
    </row>
    <row r="196">
      <c r="A196" s="42" t="s">
        <v>330</v>
      </c>
      <c r="B196" s="11"/>
      <c r="C196" s="8"/>
      <c r="D196" s="8"/>
      <c r="E196" s="9"/>
      <c r="F196" s="10"/>
      <c r="G196" s="9"/>
      <c r="H196" s="11"/>
      <c r="I196" s="9" t="s">
        <v>13</v>
      </c>
      <c r="J196" s="44"/>
    </row>
    <row r="197">
      <c r="A197" s="42" t="s">
        <v>330</v>
      </c>
      <c r="B197" s="11"/>
      <c r="C197" s="8"/>
      <c r="D197" s="8"/>
      <c r="E197" s="9"/>
      <c r="F197" s="10"/>
      <c r="G197" s="9"/>
      <c r="H197" s="11"/>
      <c r="I197" s="9" t="s">
        <v>13</v>
      </c>
      <c r="J197" s="44"/>
    </row>
    <row r="198">
      <c r="A198" s="42" t="s">
        <v>330</v>
      </c>
      <c r="B198" s="11"/>
      <c r="C198" s="8"/>
      <c r="D198" s="8"/>
      <c r="E198" s="9"/>
      <c r="F198" s="10"/>
      <c r="G198" s="9"/>
      <c r="H198" s="11"/>
      <c r="I198" s="9" t="s">
        <v>13</v>
      </c>
      <c r="J198" s="44"/>
    </row>
    <row r="199">
      <c r="A199" s="42" t="s">
        <v>330</v>
      </c>
      <c r="B199" s="11"/>
      <c r="C199" s="8"/>
      <c r="D199" s="8"/>
      <c r="E199" s="9"/>
      <c r="F199" s="10"/>
      <c r="G199" s="9"/>
      <c r="H199" s="11"/>
      <c r="I199" s="9" t="s">
        <v>13</v>
      </c>
      <c r="J199" s="44"/>
    </row>
    <row r="200">
      <c r="A200" s="42" t="s">
        <v>330</v>
      </c>
      <c r="B200" s="11"/>
      <c r="C200" s="8"/>
      <c r="D200" s="8"/>
      <c r="E200" s="9"/>
      <c r="F200" s="10"/>
      <c r="G200" s="9"/>
      <c r="H200" s="11"/>
      <c r="I200" s="9" t="s">
        <v>13</v>
      </c>
      <c r="J200" s="44"/>
    </row>
    <row r="201">
      <c r="A201" s="42" t="s">
        <v>330</v>
      </c>
      <c r="B201" s="11"/>
      <c r="C201" s="8"/>
      <c r="D201" s="8"/>
      <c r="E201" s="9"/>
      <c r="F201" s="10"/>
      <c r="G201" s="9"/>
      <c r="H201" s="11"/>
      <c r="I201" s="9" t="s">
        <v>13</v>
      </c>
      <c r="J201" s="44"/>
    </row>
    <row r="202">
      <c r="A202" s="42" t="s">
        <v>330</v>
      </c>
      <c r="B202" s="11"/>
      <c r="C202" s="8"/>
      <c r="D202" s="8"/>
      <c r="E202" s="9"/>
      <c r="F202" s="10"/>
      <c r="G202" s="9"/>
      <c r="H202" s="11"/>
      <c r="I202" s="9" t="s">
        <v>13</v>
      </c>
      <c r="J202" s="44"/>
    </row>
    <row r="203">
      <c r="A203" s="42" t="s">
        <v>330</v>
      </c>
      <c r="B203" s="11"/>
      <c r="C203" s="8"/>
      <c r="D203" s="8"/>
      <c r="E203" s="9"/>
      <c r="F203" s="10"/>
      <c r="G203" s="9"/>
      <c r="H203" s="11"/>
      <c r="I203" s="9" t="s">
        <v>13</v>
      </c>
      <c r="J203" s="44"/>
    </row>
    <row r="204">
      <c r="A204" s="42" t="s">
        <v>330</v>
      </c>
      <c r="B204" s="11"/>
      <c r="C204" s="8"/>
      <c r="D204" s="8"/>
      <c r="E204" s="9"/>
      <c r="F204" s="10"/>
      <c r="G204" s="9"/>
      <c r="H204" s="11"/>
      <c r="I204" s="9" t="s">
        <v>13</v>
      </c>
      <c r="J204" s="44"/>
    </row>
    <row r="205">
      <c r="A205" s="42" t="s">
        <v>330</v>
      </c>
      <c r="B205" s="11"/>
      <c r="C205" s="8"/>
      <c r="D205" s="8"/>
      <c r="E205" s="9"/>
      <c r="F205" s="10"/>
      <c r="G205" s="9"/>
      <c r="H205" s="11"/>
      <c r="I205" s="9" t="s">
        <v>13</v>
      </c>
      <c r="J205" s="44"/>
    </row>
    <row r="206">
      <c r="A206" s="42" t="s">
        <v>330</v>
      </c>
      <c r="B206" s="11"/>
      <c r="C206" s="8"/>
      <c r="D206" s="8"/>
      <c r="E206" s="9"/>
      <c r="F206" s="10"/>
      <c r="G206" s="9"/>
      <c r="H206" s="11"/>
      <c r="I206" s="9" t="s">
        <v>13</v>
      </c>
      <c r="J206" s="44"/>
    </row>
    <row r="207">
      <c r="A207" s="42" t="s">
        <v>330</v>
      </c>
      <c r="B207" s="11"/>
      <c r="C207" s="8"/>
      <c r="D207" s="8"/>
      <c r="E207" s="9"/>
      <c r="F207" s="10"/>
      <c r="G207" s="9"/>
      <c r="H207" s="11"/>
      <c r="I207" s="9" t="s">
        <v>13</v>
      </c>
      <c r="J207" s="44"/>
    </row>
    <row r="208">
      <c r="A208" s="42" t="s">
        <v>330</v>
      </c>
      <c r="B208" s="11"/>
      <c r="C208" s="8"/>
      <c r="D208" s="8"/>
      <c r="E208" s="9"/>
      <c r="F208" s="10"/>
      <c r="G208" s="9"/>
      <c r="H208" s="11"/>
      <c r="I208" s="9" t="s">
        <v>13</v>
      </c>
      <c r="J208" s="44"/>
    </row>
    <row r="209">
      <c r="A209" s="42" t="s">
        <v>330</v>
      </c>
      <c r="B209" s="11"/>
      <c r="C209" s="8"/>
      <c r="D209" s="8"/>
      <c r="E209" s="9"/>
      <c r="F209" s="10"/>
      <c r="G209" s="9"/>
      <c r="H209" s="11"/>
      <c r="I209" s="9" t="s">
        <v>13</v>
      </c>
      <c r="J209" s="44"/>
    </row>
    <row r="210">
      <c r="A210" s="42" t="s">
        <v>330</v>
      </c>
      <c r="B210" s="11"/>
      <c r="C210" s="8"/>
      <c r="D210" s="8"/>
      <c r="E210" s="9"/>
      <c r="F210" s="10"/>
      <c r="G210" s="9"/>
      <c r="H210" s="11"/>
      <c r="I210" s="9" t="s">
        <v>13</v>
      </c>
      <c r="J210" s="44"/>
    </row>
    <row r="211">
      <c r="A211" s="42" t="s">
        <v>330</v>
      </c>
      <c r="B211" s="11"/>
      <c r="C211" s="8"/>
      <c r="D211" s="8"/>
      <c r="E211" s="9"/>
      <c r="F211" s="10"/>
      <c r="G211" s="9"/>
      <c r="H211" s="11"/>
      <c r="I211" s="9" t="s">
        <v>13</v>
      </c>
      <c r="J211" s="44"/>
    </row>
    <row r="212">
      <c r="A212" s="42" t="s">
        <v>330</v>
      </c>
      <c r="B212" s="11"/>
      <c r="C212" s="8"/>
      <c r="D212" s="8"/>
      <c r="E212" s="9"/>
      <c r="F212" s="10"/>
      <c r="G212" s="9"/>
      <c r="H212" s="11"/>
      <c r="I212" s="9" t="s">
        <v>13</v>
      </c>
      <c r="J212" s="44"/>
    </row>
    <row r="213">
      <c r="A213" s="42" t="s">
        <v>330</v>
      </c>
      <c r="B213" s="11"/>
      <c r="C213" s="8"/>
      <c r="D213" s="8"/>
      <c r="E213" s="9"/>
      <c r="F213" s="10"/>
      <c r="G213" s="9"/>
      <c r="H213" s="11"/>
      <c r="I213" s="9" t="s">
        <v>13</v>
      </c>
      <c r="J213" s="44"/>
    </row>
    <row r="214">
      <c r="A214" s="42" t="s">
        <v>330</v>
      </c>
      <c r="B214" s="11"/>
      <c r="C214" s="8"/>
      <c r="D214" s="8"/>
      <c r="E214" s="9"/>
      <c r="F214" s="10"/>
      <c r="G214" s="9"/>
      <c r="H214" s="11"/>
      <c r="I214" s="9" t="s">
        <v>13</v>
      </c>
      <c r="J214" s="44"/>
    </row>
    <row r="215">
      <c r="A215" s="42" t="s">
        <v>330</v>
      </c>
      <c r="B215" s="11"/>
      <c r="C215" s="8"/>
      <c r="D215" s="8"/>
      <c r="E215" s="9"/>
      <c r="F215" s="10"/>
      <c r="G215" s="9"/>
      <c r="H215" s="11"/>
      <c r="I215" s="9" t="s">
        <v>13</v>
      </c>
      <c r="J215" s="44"/>
    </row>
    <row r="216">
      <c r="A216" s="42" t="s">
        <v>330</v>
      </c>
      <c r="B216" s="11"/>
      <c r="C216" s="8"/>
      <c r="D216" s="8"/>
      <c r="E216" s="9"/>
      <c r="F216" s="10"/>
      <c r="G216" s="9"/>
      <c r="H216" s="11"/>
      <c r="I216" s="9" t="s">
        <v>13</v>
      </c>
      <c r="J216" s="44"/>
    </row>
    <row r="217">
      <c r="A217" s="42" t="s">
        <v>330</v>
      </c>
      <c r="B217" s="11"/>
      <c r="C217" s="8"/>
      <c r="D217" s="8"/>
      <c r="E217" s="9"/>
      <c r="F217" s="10"/>
      <c r="G217" s="9"/>
      <c r="H217" s="11"/>
      <c r="I217" s="9" t="s">
        <v>13</v>
      </c>
      <c r="J217" s="44"/>
    </row>
    <row r="218">
      <c r="A218" s="42" t="s">
        <v>330</v>
      </c>
      <c r="B218" s="11"/>
      <c r="C218" s="8"/>
      <c r="D218" s="8"/>
      <c r="E218" s="9"/>
      <c r="F218" s="10"/>
      <c r="G218" s="9"/>
      <c r="H218" s="11"/>
      <c r="I218" s="9" t="s">
        <v>13</v>
      </c>
      <c r="J218" s="44"/>
    </row>
    <row r="219">
      <c r="A219" s="42" t="s">
        <v>330</v>
      </c>
      <c r="B219" s="11"/>
      <c r="C219" s="8"/>
      <c r="D219" s="8"/>
      <c r="E219" s="9"/>
      <c r="F219" s="10"/>
      <c r="G219" s="9"/>
      <c r="H219" s="11"/>
      <c r="I219" s="9" t="s">
        <v>13</v>
      </c>
      <c r="J219" s="44"/>
    </row>
    <row r="220">
      <c r="A220" s="42" t="s">
        <v>330</v>
      </c>
      <c r="B220" s="11"/>
      <c r="C220" s="8"/>
      <c r="D220" s="8"/>
      <c r="E220" s="9"/>
      <c r="F220" s="10"/>
      <c r="G220" s="9"/>
      <c r="H220" s="11"/>
      <c r="I220" s="9" t="s">
        <v>13</v>
      </c>
      <c r="J220" s="44"/>
    </row>
    <row r="221">
      <c r="A221" s="42" t="s">
        <v>330</v>
      </c>
      <c r="B221" s="11"/>
      <c r="C221" s="8"/>
      <c r="D221" s="8"/>
      <c r="E221" s="9"/>
      <c r="F221" s="10"/>
      <c r="G221" s="9"/>
      <c r="H221" s="11"/>
      <c r="I221" s="9" t="s">
        <v>13</v>
      </c>
      <c r="J221" s="44"/>
    </row>
    <row r="222">
      <c r="A222" s="42" t="s">
        <v>330</v>
      </c>
      <c r="B222" s="11"/>
      <c r="C222" s="8"/>
      <c r="D222" s="8"/>
      <c r="E222" s="9"/>
      <c r="F222" s="10"/>
      <c r="G222" s="9"/>
      <c r="H222" s="11"/>
      <c r="I222" s="9" t="s">
        <v>13</v>
      </c>
      <c r="J222" s="44"/>
    </row>
    <row r="223">
      <c r="A223" s="42" t="s">
        <v>330</v>
      </c>
      <c r="B223" s="11"/>
      <c r="C223" s="8"/>
      <c r="D223" s="8"/>
      <c r="E223" s="9"/>
      <c r="F223" s="10"/>
      <c r="G223" s="9"/>
      <c r="H223" s="11"/>
      <c r="I223" s="9" t="s">
        <v>13</v>
      </c>
      <c r="J223" s="44"/>
    </row>
    <row r="224">
      <c r="A224" s="42" t="s">
        <v>330</v>
      </c>
      <c r="B224" s="11"/>
      <c r="C224" s="8"/>
      <c r="D224" s="8"/>
      <c r="E224" s="9"/>
      <c r="F224" s="10"/>
      <c r="G224" s="9"/>
      <c r="H224" s="11"/>
      <c r="I224" s="9" t="s">
        <v>13</v>
      </c>
      <c r="J224" s="44"/>
    </row>
    <row r="225">
      <c r="A225" s="42" t="s">
        <v>330</v>
      </c>
      <c r="B225" s="11"/>
      <c r="C225" s="8"/>
      <c r="D225" s="8"/>
      <c r="E225" s="9"/>
      <c r="F225" s="10"/>
      <c r="G225" s="9"/>
      <c r="H225" s="11"/>
      <c r="I225" s="9" t="s">
        <v>13</v>
      </c>
      <c r="J225" s="44"/>
    </row>
    <row r="226">
      <c r="A226" s="42" t="s">
        <v>330</v>
      </c>
      <c r="B226" s="11"/>
      <c r="C226" s="8"/>
      <c r="D226" s="8"/>
      <c r="E226" s="9"/>
      <c r="F226" s="10"/>
      <c r="G226" s="9"/>
      <c r="H226" s="11"/>
      <c r="I226" s="9" t="s">
        <v>13</v>
      </c>
      <c r="J226" s="44"/>
    </row>
    <row r="227">
      <c r="A227" s="42" t="s">
        <v>330</v>
      </c>
      <c r="B227" s="11"/>
      <c r="C227" s="8"/>
      <c r="D227" s="8"/>
      <c r="E227" s="9"/>
      <c r="F227" s="10"/>
      <c r="G227" s="9"/>
      <c r="H227" s="11"/>
      <c r="I227" s="9" t="s">
        <v>13</v>
      </c>
      <c r="J227" s="44"/>
    </row>
    <row r="228">
      <c r="A228" s="42" t="s">
        <v>330</v>
      </c>
      <c r="B228" s="11"/>
      <c r="C228" s="8"/>
      <c r="D228" s="8"/>
      <c r="E228" s="9"/>
      <c r="F228" s="10"/>
      <c r="G228" s="9"/>
      <c r="H228" s="11"/>
      <c r="I228" s="9" t="s">
        <v>13</v>
      </c>
      <c r="J228" s="44"/>
    </row>
    <row r="229">
      <c r="A229" s="42" t="s">
        <v>330</v>
      </c>
      <c r="B229" s="11"/>
      <c r="C229" s="8"/>
      <c r="D229" s="8"/>
      <c r="E229" s="9"/>
      <c r="F229" s="10"/>
      <c r="G229" s="9"/>
      <c r="H229" s="11"/>
      <c r="I229" s="9" t="s">
        <v>13</v>
      </c>
      <c r="J229" s="44"/>
    </row>
    <row r="230">
      <c r="A230" s="42" t="s">
        <v>330</v>
      </c>
      <c r="B230" s="11"/>
      <c r="C230" s="8"/>
      <c r="D230" s="8"/>
      <c r="E230" s="9"/>
      <c r="F230" s="10"/>
      <c r="G230" s="9"/>
      <c r="H230" s="11"/>
      <c r="I230" s="9" t="s">
        <v>13</v>
      </c>
      <c r="J230" s="44"/>
    </row>
    <row r="231">
      <c r="A231" s="42" t="s">
        <v>330</v>
      </c>
      <c r="B231" s="11"/>
      <c r="C231" s="8"/>
      <c r="D231" s="8"/>
      <c r="E231" s="9"/>
      <c r="F231" s="10"/>
      <c r="G231" s="9"/>
      <c r="H231" s="11"/>
      <c r="I231" s="9" t="s">
        <v>13</v>
      </c>
      <c r="J231" s="44"/>
    </row>
    <row r="232">
      <c r="A232" s="42" t="s">
        <v>330</v>
      </c>
      <c r="B232" s="11"/>
      <c r="C232" s="8"/>
      <c r="D232" s="8"/>
      <c r="E232" s="9"/>
      <c r="F232" s="10"/>
      <c r="G232" s="9"/>
      <c r="H232" s="11"/>
      <c r="I232" s="9" t="s">
        <v>13</v>
      </c>
      <c r="J232" s="44"/>
    </row>
    <row r="233">
      <c r="A233" s="42" t="s">
        <v>330</v>
      </c>
      <c r="B233" s="11"/>
      <c r="C233" s="8"/>
      <c r="D233" s="8"/>
      <c r="E233" s="9"/>
      <c r="F233" s="10"/>
      <c r="G233" s="9"/>
      <c r="H233" s="11"/>
      <c r="I233" s="9" t="s">
        <v>13</v>
      </c>
      <c r="J233" s="44"/>
    </row>
    <row r="234">
      <c r="A234" s="42" t="s">
        <v>330</v>
      </c>
      <c r="B234" s="11"/>
      <c r="C234" s="8"/>
      <c r="D234" s="8"/>
      <c r="E234" s="9"/>
      <c r="F234" s="10"/>
      <c r="G234" s="9"/>
      <c r="H234" s="11"/>
      <c r="I234" s="9" t="s">
        <v>13</v>
      </c>
      <c r="J234" s="44"/>
    </row>
    <row r="235">
      <c r="A235" s="42" t="s">
        <v>330</v>
      </c>
      <c r="B235" s="11"/>
      <c r="C235" s="8"/>
      <c r="D235" s="8"/>
      <c r="E235" s="9"/>
      <c r="F235" s="10"/>
      <c r="G235" s="9"/>
      <c r="H235" s="11"/>
      <c r="I235" s="9" t="s">
        <v>13</v>
      </c>
      <c r="J235" s="44"/>
    </row>
    <row r="236">
      <c r="A236" s="42" t="s">
        <v>330</v>
      </c>
      <c r="B236" s="11"/>
      <c r="C236" s="8"/>
      <c r="D236" s="8"/>
      <c r="E236" s="9"/>
      <c r="F236" s="10"/>
      <c r="G236" s="9"/>
      <c r="H236" s="11"/>
      <c r="I236" s="9" t="s">
        <v>13</v>
      </c>
      <c r="J236" s="44"/>
    </row>
    <row r="237">
      <c r="A237" s="42" t="s">
        <v>330</v>
      </c>
      <c r="B237" s="11"/>
      <c r="C237" s="8"/>
      <c r="D237" s="8"/>
      <c r="E237" s="9"/>
      <c r="F237" s="10"/>
      <c r="G237" s="9"/>
      <c r="H237" s="11"/>
      <c r="I237" s="9" t="s">
        <v>13</v>
      </c>
      <c r="J237" s="44"/>
    </row>
    <row r="238">
      <c r="A238" s="42" t="s">
        <v>330</v>
      </c>
      <c r="B238" s="11"/>
      <c r="C238" s="8"/>
      <c r="D238" s="8"/>
      <c r="E238" s="9"/>
      <c r="F238" s="10"/>
      <c r="G238" s="9"/>
      <c r="H238" s="11"/>
      <c r="I238" s="9" t="s">
        <v>13</v>
      </c>
      <c r="J238" s="44"/>
    </row>
    <row r="239">
      <c r="A239" s="42" t="s">
        <v>330</v>
      </c>
      <c r="B239" s="11"/>
      <c r="C239" s="8"/>
      <c r="D239" s="8"/>
      <c r="E239" s="9"/>
      <c r="F239" s="10"/>
      <c r="G239" s="9"/>
      <c r="H239" s="11"/>
      <c r="I239" s="9" t="s">
        <v>13</v>
      </c>
      <c r="J239" s="44"/>
    </row>
    <row r="240">
      <c r="A240" s="42" t="s">
        <v>330</v>
      </c>
      <c r="B240" s="11"/>
      <c r="C240" s="8"/>
      <c r="D240" s="8"/>
      <c r="E240" s="9"/>
      <c r="F240" s="10"/>
      <c r="G240" s="9"/>
      <c r="H240" s="11"/>
      <c r="I240" s="9" t="s">
        <v>13</v>
      </c>
      <c r="J240" s="44"/>
    </row>
    <row r="241">
      <c r="A241" s="42" t="s">
        <v>330</v>
      </c>
      <c r="B241" s="11"/>
      <c r="C241" s="8"/>
      <c r="D241" s="8"/>
      <c r="E241" s="9"/>
      <c r="F241" s="10"/>
      <c r="G241" s="9"/>
      <c r="H241" s="11"/>
      <c r="I241" s="9" t="s">
        <v>13</v>
      </c>
      <c r="J241" s="44"/>
    </row>
    <row r="242">
      <c r="A242" s="42" t="s">
        <v>330</v>
      </c>
      <c r="B242" s="11"/>
      <c r="C242" s="8"/>
      <c r="D242" s="8"/>
      <c r="E242" s="9"/>
      <c r="F242" s="10"/>
      <c r="G242" s="9"/>
      <c r="H242" s="11"/>
      <c r="I242" s="9" t="s">
        <v>13</v>
      </c>
      <c r="J242" s="44"/>
    </row>
    <row r="243">
      <c r="A243" s="42" t="s">
        <v>330</v>
      </c>
      <c r="B243" s="11"/>
      <c r="C243" s="8"/>
      <c r="D243" s="8"/>
      <c r="E243" s="9"/>
      <c r="F243" s="10"/>
      <c r="G243" s="9"/>
      <c r="H243" s="11"/>
      <c r="I243" s="9" t="s">
        <v>13</v>
      </c>
      <c r="J243" s="44"/>
    </row>
    <row r="244">
      <c r="A244" s="42" t="s">
        <v>330</v>
      </c>
      <c r="B244" s="11"/>
      <c r="C244" s="8"/>
      <c r="D244" s="8"/>
      <c r="E244" s="9"/>
      <c r="F244" s="10"/>
      <c r="G244" s="9"/>
      <c r="H244" s="11"/>
      <c r="I244" s="9" t="s">
        <v>13</v>
      </c>
      <c r="J244" s="44"/>
    </row>
    <row r="245">
      <c r="A245" s="42" t="s">
        <v>330</v>
      </c>
      <c r="B245" s="11"/>
      <c r="C245" s="8"/>
      <c r="D245" s="8"/>
      <c r="E245" s="9"/>
      <c r="F245" s="10"/>
      <c r="G245" s="9"/>
      <c r="H245" s="11"/>
      <c r="I245" s="9" t="s">
        <v>13</v>
      </c>
      <c r="J245" s="44"/>
    </row>
    <row r="246">
      <c r="A246" s="42" t="s">
        <v>330</v>
      </c>
      <c r="B246" s="11"/>
      <c r="C246" s="8"/>
      <c r="D246" s="8"/>
      <c r="E246" s="9"/>
      <c r="F246" s="10"/>
      <c r="G246" s="9"/>
      <c r="H246" s="11"/>
      <c r="I246" s="9" t="s">
        <v>13</v>
      </c>
      <c r="J246" s="44"/>
    </row>
    <row r="247">
      <c r="A247" s="42" t="s">
        <v>330</v>
      </c>
      <c r="B247" s="11"/>
      <c r="C247" s="8"/>
      <c r="D247" s="8"/>
      <c r="E247" s="9"/>
      <c r="F247" s="10"/>
      <c r="G247" s="9"/>
      <c r="H247" s="11"/>
      <c r="I247" s="9" t="s">
        <v>13</v>
      </c>
      <c r="J247" s="44"/>
    </row>
    <row r="248">
      <c r="A248" s="42" t="s">
        <v>330</v>
      </c>
      <c r="B248" s="11"/>
      <c r="C248" s="8"/>
      <c r="D248" s="8"/>
      <c r="E248" s="9"/>
      <c r="F248" s="10"/>
      <c r="G248" s="9"/>
      <c r="H248" s="11"/>
      <c r="I248" s="9" t="s">
        <v>13</v>
      </c>
      <c r="J248" s="44"/>
    </row>
    <row r="249">
      <c r="A249" s="42" t="s">
        <v>330</v>
      </c>
      <c r="B249" s="11"/>
      <c r="C249" s="8"/>
      <c r="D249" s="8"/>
      <c r="E249" s="9"/>
      <c r="F249" s="10"/>
      <c r="G249" s="9"/>
      <c r="H249" s="11"/>
      <c r="I249" s="9" t="s">
        <v>13</v>
      </c>
      <c r="J249" s="44"/>
    </row>
    <row r="250">
      <c r="A250" s="42" t="s">
        <v>330</v>
      </c>
      <c r="B250" s="11"/>
      <c r="C250" s="8"/>
      <c r="D250" s="8"/>
      <c r="E250" s="9"/>
      <c r="F250" s="10"/>
      <c r="G250" s="9"/>
      <c r="H250" s="11"/>
      <c r="I250" s="9" t="s">
        <v>13</v>
      </c>
      <c r="J250" s="44"/>
    </row>
    <row r="251">
      <c r="A251" s="42" t="s">
        <v>330</v>
      </c>
      <c r="B251" s="11"/>
      <c r="C251" s="8"/>
      <c r="D251" s="8"/>
      <c r="E251" s="9"/>
      <c r="F251" s="10"/>
      <c r="G251" s="9"/>
      <c r="H251" s="11"/>
      <c r="I251" s="9" t="s">
        <v>13</v>
      </c>
      <c r="J251" s="44"/>
    </row>
    <row r="252">
      <c r="A252" s="42" t="s">
        <v>330</v>
      </c>
      <c r="B252" s="11"/>
      <c r="C252" s="8"/>
      <c r="D252" s="8"/>
      <c r="E252" s="9"/>
      <c r="F252" s="10"/>
      <c r="G252" s="9"/>
      <c r="H252" s="11"/>
      <c r="I252" s="9" t="s">
        <v>13</v>
      </c>
      <c r="J252" s="44"/>
    </row>
    <row r="253">
      <c r="A253" s="42" t="s">
        <v>330</v>
      </c>
      <c r="B253" s="11"/>
      <c r="C253" s="8"/>
      <c r="D253" s="8"/>
      <c r="E253" s="9"/>
      <c r="F253" s="10"/>
      <c r="G253" s="9"/>
      <c r="H253" s="11"/>
      <c r="I253" s="9" t="s">
        <v>13</v>
      </c>
      <c r="J253" s="44"/>
    </row>
    <row r="254">
      <c r="A254" s="42" t="s">
        <v>330</v>
      </c>
      <c r="B254" s="11"/>
      <c r="C254" s="8"/>
      <c r="D254" s="8"/>
      <c r="E254" s="9"/>
      <c r="F254" s="10"/>
      <c r="G254" s="9"/>
      <c r="H254" s="11"/>
      <c r="I254" s="9" t="s">
        <v>13</v>
      </c>
      <c r="J254" s="44"/>
    </row>
    <row r="255">
      <c r="A255" s="42" t="s">
        <v>330</v>
      </c>
      <c r="B255" s="11"/>
      <c r="C255" s="8"/>
      <c r="D255" s="8"/>
      <c r="E255" s="9"/>
      <c r="F255" s="10"/>
      <c r="G255" s="9"/>
      <c r="H255" s="11"/>
      <c r="I255" s="9" t="s">
        <v>13</v>
      </c>
      <c r="J255" s="44"/>
    </row>
    <row r="256">
      <c r="A256" s="42" t="s">
        <v>330</v>
      </c>
      <c r="B256" s="11"/>
      <c r="C256" s="8"/>
      <c r="D256" s="8"/>
      <c r="E256" s="9"/>
      <c r="F256" s="10"/>
      <c r="G256" s="9"/>
      <c r="H256" s="11"/>
      <c r="I256" s="9" t="s">
        <v>13</v>
      </c>
      <c r="J256" s="44"/>
    </row>
    <row r="257">
      <c r="A257" s="42" t="s">
        <v>330</v>
      </c>
      <c r="B257" s="11"/>
      <c r="C257" s="8"/>
      <c r="D257" s="8"/>
      <c r="E257" s="9"/>
      <c r="F257" s="10"/>
      <c r="G257" s="9"/>
      <c r="H257" s="11"/>
      <c r="I257" s="9" t="s">
        <v>13</v>
      </c>
      <c r="J257" s="44"/>
    </row>
    <row r="258">
      <c r="A258" s="42" t="s">
        <v>330</v>
      </c>
      <c r="B258" s="11"/>
      <c r="C258" s="8"/>
      <c r="D258" s="8"/>
      <c r="E258" s="9"/>
      <c r="F258" s="10"/>
      <c r="G258" s="9"/>
      <c r="H258" s="11"/>
      <c r="I258" s="9" t="s">
        <v>13</v>
      </c>
      <c r="J258" s="44"/>
    </row>
    <row r="259">
      <c r="A259" s="42" t="s">
        <v>330</v>
      </c>
      <c r="B259" s="11"/>
      <c r="C259" s="8"/>
      <c r="D259" s="8"/>
      <c r="E259" s="9"/>
      <c r="F259" s="10"/>
      <c r="G259" s="9"/>
      <c r="H259" s="11"/>
      <c r="I259" s="9" t="s">
        <v>13</v>
      </c>
      <c r="J259" s="44"/>
    </row>
    <row r="260">
      <c r="A260" s="42" t="s">
        <v>330</v>
      </c>
      <c r="B260" s="11"/>
      <c r="C260" s="8"/>
      <c r="D260" s="8"/>
      <c r="E260" s="9"/>
      <c r="F260" s="10"/>
      <c r="G260" s="9"/>
      <c r="H260" s="11"/>
      <c r="I260" s="9" t="s">
        <v>13</v>
      </c>
      <c r="J260" s="44"/>
    </row>
    <row r="261">
      <c r="A261" s="42" t="s">
        <v>330</v>
      </c>
      <c r="B261" s="11"/>
      <c r="C261" s="8"/>
      <c r="D261" s="8"/>
      <c r="E261" s="9"/>
      <c r="F261" s="10"/>
      <c r="G261" s="9"/>
      <c r="H261" s="11"/>
      <c r="I261" s="9" t="s">
        <v>13</v>
      </c>
      <c r="J261" s="44"/>
    </row>
    <row r="262">
      <c r="A262" s="42" t="s">
        <v>330</v>
      </c>
      <c r="B262" s="11"/>
      <c r="C262" s="8"/>
      <c r="D262" s="8"/>
      <c r="E262" s="9"/>
      <c r="F262" s="10"/>
      <c r="G262" s="9"/>
      <c r="H262" s="11"/>
      <c r="I262" s="9" t="s">
        <v>13</v>
      </c>
      <c r="J262" s="44"/>
    </row>
    <row r="263">
      <c r="A263" s="42" t="s">
        <v>330</v>
      </c>
      <c r="B263" s="11"/>
      <c r="C263" s="8"/>
      <c r="D263" s="8"/>
      <c r="E263" s="9"/>
      <c r="F263" s="10"/>
      <c r="G263" s="9"/>
      <c r="H263" s="11"/>
      <c r="I263" s="9" t="s">
        <v>13</v>
      </c>
      <c r="J263" s="44"/>
    </row>
    <row r="264">
      <c r="A264" s="42" t="s">
        <v>330</v>
      </c>
      <c r="B264" s="11"/>
      <c r="C264" s="8"/>
      <c r="D264" s="8"/>
      <c r="E264" s="9"/>
      <c r="F264" s="10"/>
      <c r="G264" s="9"/>
      <c r="H264" s="11"/>
      <c r="I264" s="9" t="s">
        <v>13</v>
      </c>
      <c r="J264" s="44"/>
    </row>
    <row r="265">
      <c r="A265" s="42" t="s">
        <v>330</v>
      </c>
      <c r="B265" s="11"/>
      <c r="C265" s="8"/>
      <c r="D265" s="8"/>
      <c r="E265" s="9"/>
      <c r="F265" s="10"/>
      <c r="G265" s="9"/>
      <c r="H265" s="11"/>
      <c r="I265" s="9" t="s">
        <v>13</v>
      </c>
      <c r="J265" s="44"/>
    </row>
    <row r="266">
      <c r="A266" s="42" t="s">
        <v>330</v>
      </c>
      <c r="B266" s="11"/>
      <c r="C266" s="8"/>
      <c r="D266" s="8"/>
      <c r="E266" s="9"/>
      <c r="F266" s="10"/>
      <c r="G266" s="9"/>
      <c r="H266" s="11"/>
      <c r="I266" s="9" t="s">
        <v>13</v>
      </c>
      <c r="J266" s="44"/>
    </row>
    <row r="267">
      <c r="A267" s="42" t="s">
        <v>330</v>
      </c>
      <c r="B267" s="11"/>
      <c r="C267" s="8"/>
      <c r="D267" s="8"/>
      <c r="E267" s="9"/>
      <c r="F267" s="10"/>
      <c r="G267" s="9"/>
      <c r="H267" s="11"/>
      <c r="I267" s="9" t="s">
        <v>13</v>
      </c>
      <c r="J267" s="44"/>
    </row>
    <row r="268">
      <c r="A268" s="42" t="s">
        <v>330</v>
      </c>
      <c r="B268" s="11"/>
      <c r="C268" s="8"/>
      <c r="D268" s="8"/>
      <c r="E268" s="9"/>
      <c r="F268" s="10"/>
      <c r="G268" s="9"/>
      <c r="H268" s="11"/>
      <c r="I268" s="9" t="s">
        <v>13</v>
      </c>
      <c r="J268" s="44"/>
    </row>
    <row r="269">
      <c r="A269" s="42" t="s">
        <v>330</v>
      </c>
      <c r="B269" s="11"/>
      <c r="C269" s="8"/>
      <c r="D269" s="8"/>
      <c r="E269" s="9"/>
      <c r="F269" s="10"/>
      <c r="G269" s="9"/>
      <c r="H269" s="11"/>
      <c r="I269" s="9" t="s">
        <v>13</v>
      </c>
      <c r="J269" s="44"/>
    </row>
    <row r="270">
      <c r="A270" s="42" t="s">
        <v>330</v>
      </c>
      <c r="B270" s="11"/>
      <c r="C270" s="8"/>
      <c r="D270" s="8"/>
      <c r="E270" s="9"/>
      <c r="F270" s="10"/>
      <c r="G270" s="9"/>
      <c r="H270" s="11"/>
      <c r="I270" s="9" t="s">
        <v>13</v>
      </c>
      <c r="J270" s="44"/>
    </row>
    <row r="271">
      <c r="A271" s="42" t="s">
        <v>330</v>
      </c>
      <c r="B271" s="11"/>
      <c r="C271" s="8"/>
      <c r="D271" s="8"/>
      <c r="E271" s="9"/>
      <c r="F271" s="10"/>
      <c r="G271" s="9"/>
      <c r="H271" s="11"/>
      <c r="I271" s="9" t="s">
        <v>13</v>
      </c>
      <c r="J271" s="44"/>
    </row>
    <row r="272">
      <c r="A272" s="42" t="s">
        <v>330</v>
      </c>
      <c r="B272" s="11"/>
      <c r="C272" s="8"/>
      <c r="D272" s="8"/>
      <c r="E272" s="9"/>
      <c r="F272" s="10"/>
      <c r="G272" s="9"/>
      <c r="H272" s="11"/>
      <c r="I272" s="9" t="s">
        <v>13</v>
      </c>
      <c r="J272" s="44"/>
    </row>
    <row r="273">
      <c r="A273" s="42" t="s">
        <v>330</v>
      </c>
      <c r="B273" s="11"/>
      <c r="C273" s="8"/>
      <c r="D273" s="8"/>
      <c r="E273" s="9"/>
      <c r="F273" s="10"/>
      <c r="G273" s="9"/>
      <c r="H273" s="11"/>
      <c r="I273" s="9" t="s">
        <v>13</v>
      </c>
      <c r="J273" s="44"/>
    </row>
    <row r="274">
      <c r="A274" s="42" t="s">
        <v>330</v>
      </c>
      <c r="B274" s="11"/>
      <c r="C274" s="8"/>
      <c r="D274" s="8"/>
      <c r="E274" s="9"/>
      <c r="F274" s="10"/>
      <c r="G274" s="9"/>
      <c r="H274" s="11"/>
      <c r="I274" s="9" t="s">
        <v>13</v>
      </c>
      <c r="J274" s="44"/>
    </row>
    <row r="275">
      <c r="A275" s="42" t="s">
        <v>330</v>
      </c>
      <c r="B275" s="11"/>
      <c r="C275" s="8"/>
      <c r="D275" s="8"/>
      <c r="E275" s="9"/>
      <c r="F275" s="10"/>
      <c r="G275" s="9"/>
      <c r="H275" s="11"/>
      <c r="I275" s="9" t="s">
        <v>13</v>
      </c>
      <c r="J275" s="44"/>
    </row>
    <row r="276">
      <c r="A276" s="42" t="s">
        <v>330</v>
      </c>
      <c r="B276" s="11"/>
      <c r="C276" s="8"/>
      <c r="D276" s="8"/>
      <c r="E276" s="9"/>
      <c r="F276" s="10"/>
      <c r="G276" s="9"/>
      <c r="H276" s="11"/>
      <c r="I276" s="9" t="s">
        <v>13</v>
      </c>
      <c r="J276" s="44"/>
    </row>
    <row r="277">
      <c r="A277" s="42" t="s">
        <v>330</v>
      </c>
      <c r="B277" s="11"/>
      <c r="C277" s="8"/>
      <c r="D277" s="8"/>
      <c r="E277" s="9"/>
      <c r="F277" s="10"/>
      <c r="G277" s="9"/>
      <c r="H277" s="11"/>
      <c r="I277" s="9" t="s">
        <v>13</v>
      </c>
      <c r="J277" s="44"/>
    </row>
    <row r="278">
      <c r="A278" s="42" t="s">
        <v>330</v>
      </c>
      <c r="B278" s="11"/>
      <c r="C278" s="8"/>
      <c r="D278" s="8"/>
      <c r="E278" s="9"/>
      <c r="F278" s="10"/>
      <c r="G278" s="9"/>
      <c r="H278" s="11"/>
      <c r="I278" s="9" t="s">
        <v>13</v>
      </c>
      <c r="J278" s="44"/>
    </row>
    <row r="279">
      <c r="A279" s="42" t="s">
        <v>330</v>
      </c>
      <c r="B279" s="11"/>
      <c r="C279" s="8"/>
      <c r="D279" s="8"/>
      <c r="E279" s="9"/>
      <c r="F279" s="10"/>
      <c r="G279" s="9"/>
      <c r="H279" s="11"/>
      <c r="I279" s="9" t="s">
        <v>13</v>
      </c>
      <c r="J279" s="44"/>
    </row>
    <row r="280">
      <c r="A280" s="42" t="s">
        <v>330</v>
      </c>
      <c r="B280" s="11"/>
      <c r="C280" s="8"/>
      <c r="D280" s="8"/>
      <c r="E280" s="9"/>
      <c r="F280" s="10"/>
      <c r="G280" s="9"/>
      <c r="H280" s="11"/>
      <c r="I280" s="9" t="s">
        <v>13</v>
      </c>
      <c r="J280" s="44"/>
    </row>
    <row r="281">
      <c r="A281" s="42" t="s">
        <v>330</v>
      </c>
      <c r="B281" s="11"/>
      <c r="C281" s="8"/>
      <c r="D281" s="8"/>
      <c r="E281" s="9"/>
      <c r="F281" s="10"/>
      <c r="G281" s="9"/>
      <c r="H281" s="11"/>
      <c r="I281" s="9" t="s">
        <v>13</v>
      </c>
      <c r="J281" s="44"/>
    </row>
    <row r="282">
      <c r="A282" s="42" t="s">
        <v>330</v>
      </c>
      <c r="B282" s="11"/>
      <c r="C282" s="8"/>
      <c r="D282" s="8"/>
      <c r="E282" s="9"/>
      <c r="F282" s="10"/>
      <c r="G282" s="9"/>
      <c r="H282" s="11"/>
      <c r="I282" s="9" t="s">
        <v>13</v>
      </c>
      <c r="J282" s="44"/>
    </row>
    <row r="283">
      <c r="A283" s="42" t="s">
        <v>330</v>
      </c>
      <c r="B283" s="11"/>
      <c r="C283" s="8"/>
      <c r="D283" s="8"/>
      <c r="E283" s="9"/>
      <c r="F283" s="10"/>
      <c r="G283" s="9"/>
      <c r="H283" s="11"/>
      <c r="I283" s="9" t="s">
        <v>13</v>
      </c>
      <c r="J283" s="44"/>
    </row>
    <row r="284">
      <c r="A284" s="42" t="s">
        <v>330</v>
      </c>
      <c r="B284" s="11"/>
      <c r="C284" s="8"/>
      <c r="D284" s="8"/>
      <c r="E284" s="9"/>
      <c r="F284" s="10"/>
      <c r="G284" s="9"/>
      <c r="H284" s="11"/>
      <c r="I284" s="9" t="s">
        <v>13</v>
      </c>
      <c r="J284" s="44"/>
    </row>
    <row r="285">
      <c r="A285" s="42" t="s">
        <v>330</v>
      </c>
      <c r="B285" s="11"/>
      <c r="C285" s="8"/>
      <c r="D285" s="8"/>
      <c r="E285" s="9"/>
      <c r="F285" s="10"/>
      <c r="G285" s="9"/>
      <c r="H285" s="11"/>
      <c r="I285" s="9" t="s">
        <v>13</v>
      </c>
      <c r="J285" s="44"/>
    </row>
    <row r="286">
      <c r="A286" s="42" t="s">
        <v>330</v>
      </c>
      <c r="B286" s="11"/>
      <c r="C286" s="8"/>
      <c r="D286" s="8"/>
      <c r="E286" s="9"/>
      <c r="F286" s="10"/>
      <c r="G286" s="9"/>
      <c r="H286" s="11"/>
      <c r="I286" s="9" t="s">
        <v>13</v>
      </c>
      <c r="J286" s="44"/>
    </row>
    <row r="287">
      <c r="A287" s="42" t="s">
        <v>330</v>
      </c>
      <c r="B287" s="11"/>
      <c r="C287" s="8"/>
      <c r="D287" s="8"/>
      <c r="E287" s="9"/>
      <c r="F287" s="10"/>
      <c r="G287" s="9"/>
      <c r="H287" s="11"/>
      <c r="I287" s="9" t="s">
        <v>13</v>
      </c>
      <c r="J287" s="44"/>
    </row>
    <row r="288">
      <c r="A288" s="42" t="s">
        <v>330</v>
      </c>
      <c r="B288" s="11"/>
      <c r="C288" s="8"/>
      <c r="D288" s="8"/>
      <c r="E288" s="9"/>
      <c r="F288" s="10"/>
      <c r="G288" s="9"/>
      <c r="H288" s="11"/>
      <c r="I288" s="9" t="s">
        <v>13</v>
      </c>
      <c r="J288" s="44"/>
    </row>
    <row r="289">
      <c r="A289" s="42" t="s">
        <v>330</v>
      </c>
      <c r="B289" s="11"/>
      <c r="C289" s="8"/>
      <c r="D289" s="8"/>
      <c r="E289" s="9"/>
      <c r="F289" s="10"/>
      <c r="G289" s="9"/>
      <c r="H289" s="11"/>
      <c r="I289" s="9" t="s">
        <v>13</v>
      </c>
      <c r="J289" s="44"/>
    </row>
    <row r="290">
      <c r="A290" s="42" t="s">
        <v>330</v>
      </c>
      <c r="B290" s="11"/>
      <c r="C290" s="8"/>
      <c r="D290" s="8"/>
      <c r="E290" s="9"/>
      <c r="F290" s="10"/>
      <c r="G290" s="9"/>
      <c r="H290" s="11"/>
      <c r="I290" s="9" t="s">
        <v>13</v>
      </c>
      <c r="J290" s="44"/>
    </row>
    <row r="291">
      <c r="A291" s="42" t="s">
        <v>330</v>
      </c>
      <c r="B291" s="11"/>
      <c r="C291" s="8"/>
      <c r="D291" s="8"/>
      <c r="E291" s="9"/>
      <c r="F291" s="10"/>
      <c r="G291" s="9"/>
      <c r="H291" s="11"/>
      <c r="I291" s="9" t="s">
        <v>13</v>
      </c>
      <c r="J291" s="44"/>
    </row>
    <row r="292">
      <c r="A292" s="42" t="s">
        <v>330</v>
      </c>
      <c r="B292" s="11"/>
      <c r="C292" s="8"/>
      <c r="D292" s="8"/>
      <c r="E292" s="9"/>
      <c r="F292" s="10"/>
      <c r="G292" s="9"/>
      <c r="H292" s="11"/>
      <c r="I292" s="9" t="s">
        <v>13</v>
      </c>
      <c r="J292" s="44"/>
    </row>
    <row r="293">
      <c r="A293" s="42" t="s">
        <v>330</v>
      </c>
      <c r="B293" s="11"/>
      <c r="C293" s="8"/>
      <c r="D293" s="8"/>
      <c r="E293" s="9"/>
      <c r="F293" s="10"/>
      <c r="G293" s="9"/>
      <c r="H293" s="11"/>
      <c r="I293" s="9" t="s">
        <v>13</v>
      </c>
      <c r="J293" s="44"/>
    </row>
    <row r="294">
      <c r="A294" s="42" t="s">
        <v>330</v>
      </c>
      <c r="B294" s="11"/>
      <c r="C294" s="8"/>
      <c r="D294" s="8"/>
      <c r="E294" s="9"/>
      <c r="F294" s="10"/>
      <c r="G294" s="9"/>
      <c r="H294" s="11"/>
      <c r="I294" s="9" t="s">
        <v>13</v>
      </c>
      <c r="J294" s="44"/>
    </row>
    <row r="295">
      <c r="A295" s="42" t="s">
        <v>330</v>
      </c>
      <c r="B295" s="11"/>
      <c r="C295" s="8"/>
      <c r="D295" s="8"/>
      <c r="E295" s="9"/>
      <c r="F295" s="10"/>
      <c r="G295" s="9"/>
      <c r="H295" s="11"/>
      <c r="I295" s="9" t="s">
        <v>13</v>
      </c>
      <c r="J295" s="44"/>
    </row>
    <row r="296">
      <c r="A296" s="42" t="s">
        <v>330</v>
      </c>
      <c r="B296" s="11"/>
      <c r="C296" s="8"/>
      <c r="D296" s="8"/>
      <c r="E296" s="9"/>
      <c r="F296" s="10"/>
      <c r="G296" s="9"/>
      <c r="H296" s="11"/>
      <c r="I296" s="9" t="s">
        <v>13</v>
      </c>
      <c r="J296" s="44"/>
    </row>
    <row r="297">
      <c r="A297" s="42" t="s">
        <v>330</v>
      </c>
      <c r="B297" s="11"/>
      <c r="C297" s="8"/>
      <c r="D297" s="8"/>
      <c r="E297" s="9"/>
      <c r="F297" s="10"/>
      <c r="G297" s="9"/>
      <c r="H297" s="11"/>
      <c r="I297" s="9" t="s">
        <v>13</v>
      </c>
      <c r="J297" s="44"/>
    </row>
    <row r="298">
      <c r="A298" s="42" t="s">
        <v>330</v>
      </c>
      <c r="B298" s="11"/>
      <c r="C298" s="8"/>
      <c r="D298" s="8"/>
      <c r="E298" s="9"/>
      <c r="F298" s="10"/>
      <c r="G298" s="9"/>
      <c r="H298" s="11"/>
      <c r="I298" s="9" t="s">
        <v>13</v>
      </c>
      <c r="J298" s="44"/>
    </row>
    <row r="299">
      <c r="A299" s="42" t="s">
        <v>330</v>
      </c>
      <c r="B299" s="11"/>
      <c r="C299" s="8"/>
      <c r="D299" s="8"/>
      <c r="E299" s="9"/>
      <c r="F299" s="10"/>
      <c r="G299" s="9"/>
      <c r="H299" s="11"/>
      <c r="I299" s="9" t="s">
        <v>13</v>
      </c>
      <c r="J299" s="44"/>
    </row>
    <row r="300">
      <c r="A300" s="42" t="s">
        <v>330</v>
      </c>
      <c r="B300" s="11"/>
      <c r="C300" s="8"/>
      <c r="D300" s="8"/>
      <c r="E300" s="9"/>
      <c r="F300" s="10"/>
      <c r="G300" s="9"/>
      <c r="H300" s="11"/>
      <c r="I300" s="9" t="s">
        <v>13</v>
      </c>
      <c r="J300" s="44"/>
    </row>
    <row r="301">
      <c r="A301" s="42" t="s">
        <v>330</v>
      </c>
      <c r="B301" s="11"/>
      <c r="C301" s="8"/>
      <c r="D301" s="8"/>
      <c r="E301" s="9"/>
      <c r="F301" s="10"/>
      <c r="G301" s="9"/>
      <c r="H301" s="11"/>
      <c r="I301" s="9" t="s">
        <v>13</v>
      </c>
      <c r="J301" s="44"/>
    </row>
    <row r="302">
      <c r="A302" s="42" t="s">
        <v>330</v>
      </c>
      <c r="B302" s="11"/>
      <c r="C302" s="8"/>
      <c r="D302" s="8"/>
      <c r="E302" s="9"/>
      <c r="F302" s="10"/>
      <c r="G302" s="9"/>
      <c r="H302" s="11"/>
      <c r="I302" s="9" t="s">
        <v>13</v>
      </c>
      <c r="J302" s="44"/>
    </row>
    <row r="303">
      <c r="A303" s="42" t="s">
        <v>330</v>
      </c>
      <c r="B303" s="11"/>
      <c r="C303" s="8"/>
      <c r="D303" s="8"/>
      <c r="E303" s="9"/>
      <c r="F303" s="10"/>
      <c r="G303" s="9"/>
      <c r="H303" s="11"/>
      <c r="I303" s="9" t="s">
        <v>13</v>
      </c>
      <c r="J303" s="44"/>
    </row>
    <row r="304">
      <c r="A304" s="42" t="s">
        <v>330</v>
      </c>
      <c r="B304" s="11"/>
      <c r="C304" s="8"/>
      <c r="D304" s="8"/>
      <c r="E304" s="9"/>
      <c r="F304" s="10"/>
      <c r="G304" s="9"/>
      <c r="H304" s="11"/>
      <c r="I304" s="9" t="s">
        <v>13</v>
      </c>
      <c r="J304" s="44"/>
    </row>
    <row r="305">
      <c r="A305" s="42" t="s">
        <v>330</v>
      </c>
      <c r="B305" s="11"/>
      <c r="C305" s="8"/>
      <c r="D305" s="8"/>
      <c r="E305" s="9"/>
      <c r="F305" s="10"/>
      <c r="G305" s="9"/>
      <c r="H305" s="11"/>
      <c r="I305" s="9" t="s">
        <v>13</v>
      </c>
      <c r="J305" s="44"/>
    </row>
    <row r="306">
      <c r="A306" s="42" t="s">
        <v>330</v>
      </c>
      <c r="B306" s="11"/>
      <c r="C306" s="8"/>
      <c r="D306" s="8"/>
      <c r="E306" s="9"/>
      <c r="F306" s="10"/>
      <c r="G306" s="9"/>
      <c r="H306" s="11"/>
      <c r="I306" s="9" t="s">
        <v>13</v>
      </c>
      <c r="J306" s="44"/>
    </row>
    <row r="307">
      <c r="A307" s="42" t="s">
        <v>330</v>
      </c>
      <c r="B307" s="11"/>
      <c r="C307" s="8"/>
      <c r="D307" s="8"/>
      <c r="E307" s="9"/>
      <c r="F307" s="10"/>
      <c r="G307" s="9"/>
      <c r="H307" s="11"/>
      <c r="I307" s="9" t="s">
        <v>13</v>
      </c>
      <c r="J307" s="44"/>
    </row>
    <row r="308">
      <c r="A308" s="42" t="s">
        <v>330</v>
      </c>
      <c r="B308" s="11"/>
      <c r="C308" s="8"/>
      <c r="D308" s="8"/>
      <c r="E308" s="9"/>
      <c r="F308" s="10"/>
      <c r="G308" s="9"/>
      <c r="H308" s="11"/>
      <c r="I308" s="9" t="s">
        <v>13</v>
      </c>
      <c r="J308" s="44"/>
    </row>
    <row r="309">
      <c r="A309" s="42" t="s">
        <v>330</v>
      </c>
      <c r="B309" s="11"/>
      <c r="C309" s="8"/>
      <c r="D309" s="8"/>
      <c r="E309" s="9"/>
      <c r="F309" s="10"/>
      <c r="G309" s="9"/>
      <c r="H309" s="11"/>
      <c r="I309" s="9" t="s">
        <v>13</v>
      </c>
      <c r="J309" s="44"/>
    </row>
    <row r="310">
      <c r="A310" s="42" t="s">
        <v>330</v>
      </c>
      <c r="B310" s="11"/>
      <c r="C310" s="8"/>
      <c r="D310" s="8"/>
      <c r="E310" s="9"/>
      <c r="F310" s="10"/>
      <c r="G310" s="9"/>
      <c r="H310" s="11"/>
      <c r="I310" s="9" t="s">
        <v>13</v>
      </c>
      <c r="J310" s="44"/>
    </row>
    <row r="311">
      <c r="A311" s="42" t="s">
        <v>330</v>
      </c>
      <c r="B311" s="11"/>
      <c r="C311" s="8"/>
      <c r="D311" s="8"/>
      <c r="E311" s="9"/>
      <c r="F311" s="10"/>
      <c r="G311" s="9"/>
      <c r="H311" s="11"/>
      <c r="I311" s="9" t="s">
        <v>13</v>
      </c>
      <c r="J311" s="44"/>
    </row>
    <row r="312">
      <c r="A312" s="42" t="s">
        <v>330</v>
      </c>
      <c r="B312" s="11"/>
      <c r="C312" s="8"/>
      <c r="D312" s="8"/>
      <c r="E312" s="9"/>
      <c r="F312" s="10"/>
      <c r="G312" s="9"/>
      <c r="H312" s="11"/>
      <c r="I312" s="9" t="s">
        <v>13</v>
      </c>
      <c r="J312" s="44"/>
    </row>
    <row r="313">
      <c r="A313" s="42" t="s">
        <v>330</v>
      </c>
      <c r="B313" s="11"/>
      <c r="C313" s="8"/>
      <c r="D313" s="8"/>
      <c r="E313" s="9"/>
      <c r="F313" s="10"/>
      <c r="G313" s="9"/>
      <c r="H313" s="11"/>
      <c r="I313" s="9" t="s">
        <v>13</v>
      </c>
      <c r="J313" s="44"/>
    </row>
    <row r="314">
      <c r="A314" s="42" t="s">
        <v>330</v>
      </c>
      <c r="B314" s="11"/>
      <c r="C314" s="8"/>
      <c r="D314" s="8"/>
      <c r="E314" s="9"/>
      <c r="F314" s="10"/>
      <c r="G314" s="9"/>
      <c r="H314" s="11"/>
      <c r="I314" s="9" t="s">
        <v>13</v>
      </c>
      <c r="J314" s="44"/>
    </row>
    <row r="315">
      <c r="A315" s="42" t="s">
        <v>330</v>
      </c>
      <c r="B315" s="11"/>
      <c r="C315" s="8"/>
      <c r="D315" s="8"/>
      <c r="E315" s="9"/>
      <c r="F315" s="10"/>
      <c r="G315" s="9"/>
      <c r="H315" s="11"/>
      <c r="I315" s="9" t="s">
        <v>13</v>
      </c>
      <c r="J315" s="44"/>
    </row>
    <row r="316">
      <c r="A316" s="42" t="s">
        <v>330</v>
      </c>
      <c r="B316" s="11"/>
      <c r="C316" s="8"/>
      <c r="D316" s="8"/>
      <c r="E316" s="9"/>
      <c r="F316" s="10"/>
      <c r="G316" s="9"/>
      <c r="H316" s="11"/>
      <c r="I316" s="9" t="s">
        <v>13</v>
      </c>
      <c r="J316" s="44"/>
    </row>
    <row r="317">
      <c r="A317" s="42" t="s">
        <v>330</v>
      </c>
      <c r="B317" s="11"/>
      <c r="C317" s="8"/>
      <c r="D317" s="8"/>
      <c r="E317" s="9"/>
      <c r="F317" s="10"/>
      <c r="G317" s="9"/>
      <c r="H317" s="11"/>
      <c r="I317" s="9" t="s">
        <v>13</v>
      </c>
      <c r="J317" s="44"/>
    </row>
    <row r="318">
      <c r="A318" s="42" t="s">
        <v>330</v>
      </c>
      <c r="B318" s="11"/>
      <c r="C318" s="8"/>
      <c r="D318" s="8"/>
      <c r="E318" s="9"/>
      <c r="F318" s="10"/>
      <c r="G318" s="9"/>
      <c r="H318" s="11"/>
      <c r="I318" s="9" t="s">
        <v>13</v>
      </c>
      <c r="J318" s="44"/>
    </row>
    <row r="319">
      <c r="A319" s="42" t="s">
        <v>330</v>
      </c>
      <c r="B319" s="11"/>
      <c r="C319" s="8"/>
      <c r="D319" s="8"/>
      <c r="E319" s="9"/>
      <c r="F319" s="10"/>
      <c r="G319" s="9"/>
      <c r="H319" s="11"/>
      <c r="I319" s="9" t="s">
        <v>13</v>
      </c>
      <c r="J319" s="44"/>
    </row>
    <row r="320">
      <c r="A320" s="42" t="s">
        <v>330</v>
      </c>
      <c r="B320" s="11"/>
      <c r="C320" s="8"/>
      <c r="D320" s="8"/>
      <c r="E320" s="9"/>
      <c r="F320" s="10"/>
      <c r="G320" s="9"/>
      <c r="H320" s="11"/>
      <c r="I320" s="9" t="s">
        <v>13</v>
      </c>
      <c r="J320" s="44"/>
    </row>
    <row r="321">
      <c r="A321" s="42" t="s">
        <v>330</v>
      </c>
      <c r="B321" s="11"/>
      <c r="C321" s="8"/>
      <c r="D321" s="8"/>
      <c r="E321" s="9"/>
      <c r="F321" s="10"/>
      <c r="G321" s="9"/>
      <c r="H321" s="11"/>
      <c r="I321" s="9" t="s">
        <v>13</v>
      </c>
      <c r="J321" s="44"/>
    </row>
    <row r="322">
      <c r="A322" s="42" t="s">
        <v>330</v>
      </c>
      <c r="B322" s="11"/>
      <c r="C322" s="8"/>
      <c r="D322" s="8"/>
      <c r="E322" s="9"/>
      <c r="F322" s="10"/>
      <c r="G322" s="9"/>
      <c r="H322" s="11"/>
      <c r="I322" s="9" t="s">
        <v>13</v>
      </c>
      <c r="J322" s="44"/>
    </row>
    <row r="323">
      <c r="A323" s="42" t="s">
        <v>330</v>
      </c>
      <c r="B323" s="11"/>
      <c r="C323" s="8"/>
      <c r="D323" s="8"/>
      <c r="E323" s="9"/>
      <c r="F323" s="10"/>
      <c r="G323" s="9"/>
      <c r="H323" s="11"/>
      <c r="I323" s="9" t="s">
        <v>13</v>
      </c>
      <c r="J323" s="44"/>
    </row>
    <row r="324">
      <c r="A324" s="42" t="s">
        <v>330</v>
      </c>
      <c r="B324" s="11"/>
      <c r="C324" s="8"/>
      <c r="D324" s="8"/>
      <c r="E324" s="9"/>
      <c r="F324" s="10"/>
      <c r="G324" s="9"/>
      <c r="H324" s="11"/>
      <c r="I324" s="9" t="s">
        <v>13</v>
      </c>
      <c r="J324" s="44"/>
    </row>
    <row r="325">
      <c r="A325" s="42" t="s">
        <v>330</v>
      </c>
      <c r="B325" s="11"/>
      <c r="C325" s="8"/>
      <c r="D325" s="8"/>
      <c r="E325" s="9"/>
      <c r="F325" s="10"/>
      <c r="G325" s="9"/>
      <c r="H325" s="11"/>
      <c r="I325" s="9" t="s">
        <v>13</v>
      </c>
      <c r="J325" s="44"/>
    </row>
    <row r="326">
      <c r="A326" s="42" t="s">
        <v>330</v>
      </c>
      <c r="B326" s="11"/>
      <c r="C326" s="8"/>
      <c r="D326" s="8"/>
      <c r="E326" s="9"/>
      <c r="F326" s="10"/>
      <c r="G326" s="9"/>
      <c r="H326" s="11"/>
      <c r="I326" s="9" t="s">
        <v>13</v>
      </c>
      <c r="J326" s="44"/>
    </row>
    <row r="327">
      <c r="A327" s="42" t="s">
        <v>330</v>
      </c>
      <c r="B327" s="11"/>
      <c r="C327" s="8"/>
      <c r="D327" s="8"/>
      <c r="E327" s="9"/>
      <c r="F327" s="10"/>
      <c r="G327" s="9"/>
      <c r="H327" s="11"/>
      <c r="I327" s="9" t="s">
        <v>13</v>
      </c>
      <c r="J327" s="44"/>
    </row>
    <row r="328">
      <c r="A328" s="42" t="s">
        <v>330</v>
      </c>
      <c r="B328" s="11"/>
      <c r="C328" s="8"/>
      <c r="D328" s="8"/>
      <c r="E328" s="9"/>
      <c r="F328" s="10"/>
      <c r="G328" s="9"/>
      <c r="H328" s="11"/>
      <c r="I328" s="9" t="s">
        <v>13</v>
      </c>
      <c r="J328" s="44"/>
    </row>
    <row r="329">
      <c r="A329" s="42" t="s">
        <v>330</v>
      </c>
      <c r="B329" s="11"/>
      <c r="C329" s="8"/>
      <c r="D329" s="8"/>
      <c r="E329" s="9"/>
      <c r="F329" s="10"/>
      <c r="G329" s="9"/>
      <c r="H329" s="11"/>
      <c r="I329" s="9" t="s">
        <v>13</v>
      </c>
      <c r="J329" s="44"/>
    </row>
    <row r="330">
      <c r="A330" s="42" t="s">
        <v>330</v>
      </c>
      <c r="B330" s="11"/>
      <c r="C330" s="8"/>
      <c r="D330" s="8"/>
      <c r="E330" s="9"/>
      <c r="F330" s="10"/>
      <c r="G330" s="9"/>
      <c r="H330" s="11"/>
      <c r="I330" s="9" t="s">
        <v>13</v>
      </c>
      <c r="J330" s="44"/>
    </row>
    <row r="331">
      <c r="A331" s="42" t="s">
        <v>330</v>
      </c>
      <c r="B331" s="11"/>
      <c r="C331" s="8"/>
      <c r="D331" s="8"/>
      <c r="E331" s="9"/>
      <c r="F331" s="10"/>
      <c r="G331" s="9"/>
      <c r="H331" s="11"/>
      <c r="I331" s="9" t="s">
        <v>13</v>
      </c>
      <c r="J331" s="44"/>
    </row>
    <row r="332">
      <c r="A332" s="42" t="s">
        <v>330</v>
      </c>
      <c r="B332" s="11"/>
      <c r="C332" s="8"/>
      <c r="D332" s="8"/>
      <c r="E332" s="9"/>
      <c r="F332" s="10"/>
      <c r="G332" s="9"/>
      <c r="H332" s="11"/>
      <c r="I332" s="9" t="s">
        <v>13</v>
      </c>
      <c r="J332" s="44"/>
    </row>
    <row r="333">
      <c r="A333" s="42" t="s">
        <v>330</v>
      </c>
      <c r="B333" s="11"/>
      <c r="C333" s="8"/>
      <c r="D333" s="8"/>
      <c r="E333" s="9"/>
      <c r="F333" s="10"/>
      <c r="G333" s="9"/>
      <c r="H333" s="11"/>
      <c r="I333" s="9" t="s">
        <v>13</v>
      </c>
      <c r="J333" s="44"/>
    </row>
    <row r="334">
      <c r="A334" s="42" t="s">
        <v>330</v>
      </c>
      <c r="B334" s="11"/>
      <c r="C334" s="8"/>
      <c r="D334" s="8"/>
      <c r="E334" s="9"/>
      <c r="F334" s="10"/>
      <c r="G334" s="9"/>
      <c r="H334" s="11"/>
      <c r="I334" s="9" t="s">
        <v>13</v>
      </c>
      <c r="J334" s="44"/>
    </row>
    <row r="335">
      <c r="A335" s="42" t="s">
        <v>330</v>
      </c>
      <c r="B335" s="11"/>
      <c r="C335" s="8"/>
      <c r="D335" s="8"/>
      <c r="E335" s="9"/>
      <c r="F335" s="10"/>
      <c r="G335" s="9"/>
      <c r="H335" s="11"/>
      <c r="I335" s="9" t="s">
        <v>13</v>
      </c>
      <c r="J335" s="44"/>
    </row>
    <row r="336">
      <c r="A336" s="42" t="s">
        <v>330</v>
      </c>
      <c r="B336" s="11"/>
      <c r="C336" s="8"/>
      <c r="D336" s="8"/>
      <c r="E336" s="9"/>
      <c r="F336" s="10"/>
      <c r="G336" s="9"/>
      <c r="H336" s="11"/>
      <c r="I336" s="9" t="s">
        <v>13</v>
      </c>
      <c r="J336" s="44"/>
    </row>
    <row r="337">
      <c r="A337" s="42" t="s">
        <v>330</v>
      </c>
      <c r="B337" s="11"/>
      <c r="C337" s="8"/>
      <c r="D337" s="8"/>
      <c r="E337" s="9"/>
      <c r="F337" s="10"/>
      <c r="G337" s="9"/>
      <c r="H337" s="11"/>
      <c r="I337" s="9" t="s">
        <v>13</v>
      </c>
      <c r="J337" s="44"/>
    </row>
    <row r="338">
      <c r="A338" s="42" t="s">
        <v>330</v>
      </c>
      <c r="B338" s="11"/>
      <c r="C338" s="8"/>
      <c r="D338" s="8"/>
      <c r="E338" s="9"/>
      <c r="F338" s="10"/>
      <c r="G338" s="9"/>
      <c r="H338" s="11"/>
      <c r="I338" s="9" t="s">
        <v>13</v>
      </c>
      <c r="J338" s="44"/>
    </row>
    <row r="339">
      <c r="A339" s="42" t="s">
        <v>330</v>
      </c>
      <c r="B339" s="11"/>
      <c r="C339" s="8"/>
      <c r="D339" s="8"/>
      <c r="E339" s="9"/>
      <c r="F339" s="10"/>
      <c r="G339" s="9"/>
      <c r="H339" s="11"/>
      <c r="I339" s="9" t="s">
        <v>13</v>
      </c>
      <c r="J339" s="44"/>
    </row>
    <row r="340">
      <c r="A340" s="42" t="s">
        <v>330</v>
      </c>
      <c r="B340" s="11"/>
      <c r="C340" s="8"/>
      <c r="D340" s="8"/>
      <c r="E340" s="9"/>
      <c r="F340" s="10"/>
      <c r="G340" s="9"/>
      <c r="H340" s="11"/>
      <c r="I340" s="9" t="s">
        <v>13</v>
      </c>
      <c r="J340" s="44"/>
    </row>
    <row r="341">
      <c r="A341" s="42" t="s">
        <v>330</v>
      </c>
      <c r="B341" s="11"/>
      <c r="C341" s="8"/>
      <c r="D341" s="8"/>
      <c r="E341" s="9"/>
      <c r="F341" s="10"/>
      <c r="G341" s="9"/>
      <c r="H341" s="11"/>
      <c r="I341" s="9" t="s">
        <v>13</v>
      </c>
      <c r="J341" s="44"/>
    </row>
    <row r="342">
      <c r="A342" s="42" t="s">
        <v>330</v>
      </c>
      <c r="B342" s="11"/>
      <c r="C342" s="8"/>
      <c r="D342" s="8"/>
      <c r="E342" s="9"/>
      <c r="F342" s="10"/>
      <c r="G342" s="9"/>
      <c r="H342" s="11"/>
      <c r="I342" s="9" t="s">
        <v>13</v>
      </c>
      <c r="J342" s="44"/>
    </row>
    <row r="343">
      <c r="A343" s="42" t="s">
        <v>330</v>
      </c>
      <c r="B343" s="11"/>
      <c r="C343" s="8"/>
      <c r="D343" s="8"/>
      <c r="E343" s="9"/>
      <c r="F343" s="10"/>
      <c r="G343" s="9"/>
      <c r="H343" s="11"/>
      <c r="I343" s="9" t="s">
        <v>13</v>
      </c>
      <c r="J343" s="44"/>
    </row>
    <row r="344">
      <c r="A344" s="42" t="s">
        <v>330</v>
      </c>
      <c r="B344" s="11"/>
      <c r="C344" s="8"/>
      <c r="D344" s="8"/>
      <c r="E344" s="9"/>
      <c r="F344" s="10"/>
      <c r="G344" s="9"/>
      <c r="H344" s="11"/>
      <c r="I344" s="9" t="s">
        <v>13</v>
      </c>
      <c r="J344" s="44"/>
    </row>
    <row r="345">
      <c r="A345" s="42" t="s">
        <v>330</v>
      </c>
      <c r="B345" s="11"/>
      <c r="C345" s="8"/>
      <c r="D345" s="8"/>
      <c r="E345" s="9"/>
      <c r="F345" s="10"/>
      <c r="G345" s="9"/>
      <c r="H345" s="11"/>
      <c r="I345" s="9" t="s">
        <v>13</v>
      </c>
      <c r="J345" s="44"/>
    </row>
    <row r="346">
      <c r="A346" s="42" t="s">
        <v>330</v>
      </c>
      <c r="B346" s="11"/>
      <c r="C346" s="8"/>
      <c r="D346" s="8"/>
      <c r="E346" s="9"/>
      <c r="F346" s="10"/>
      <c r="G346" s="9"/>
      <c r="H346" s="11"/>
      <c r="I346" s="9" t="s">
        <v>13</v>
      </c>
      <c r="J346" s="44"/>
    </row>
    <row r="347">
      <c r="A347" s="42" t="s">
        <v>330</v>
      </c>
      <c r="B347" s="11"/>
      <c r="C347" s="8"/>
      <c r="D347" s="8"/>
      <c r="E347" s="9"/>
      <c r="F347" s="10"/>
      <c r="G347" s="9"/>
      <c r="H347" s="11"/>
      <c r="I347" s="9" t="s">
        <v>13</v>
      </c>
      <c r="J347" s="44"/>
    </row>
    <row r="348">
      <c r="A348" s="42" t="s">
        <v>330</v>
      </c>
      <c r="B348" s="11"/>
      <c r="C348" s="8"/>
      <c r="D348" s="8"/>
      <c r="E348" s="9"/>
      <c r="F348" s="10"/>
      <c r="G348" s="9"/>
      <c r="H348" s="11"/>
      <c r="I348" s="9" t="s">
        <v>13</v>
      </c>
      <c r="J348" s="44"/>
    </row>
    <row r="349">
      <c r="A349" s="42" t="s">
        <v>330</v>
      </c>
      <c r="B349" s="11"/>
      <c r="C349" s="8"/>
      <c r="D349" s="8"/>
      <c r="E349" s="9"/>
      <c r="F349" s="10"/>
      <c r="G349" s="9"/>
      <c r="H349" s="11"/>
      <c r="I349" s="9" t="s">
        <v>13</v>
      </c>
      <c r="J349" s="44"/>
    </row>
    <row r="350">
      <c r="A350" s="42" t="s">
        <v>330</v>
      </c>
      <c r="B350" s="11"/>
      <c r="C350" s="8"/>
      <c r="D350" s="8"/>
      <c r="E350" s="9"/>
      <c r="F350" s="10"/>
      <c r="G350" s="9"/>
      <c r="H350" s="11"/>
      <c r="I350" s="9" t="s">
        <v>13</v>
      </c>
      <c r="J350" s="44"/>
    </row>
    <row r="351">
      <c r="A351" s="42" t="s">
        <v>330</v>
      </c>
      <c r="B351" s="11"/>
      <c r="C351" s="8"/>
      <c r="D351" s="8"/>
      <c r="E351" s="9"/>
      <c r="F351" s="10"/>
      <c r="G351" s="9"/>
      <c r="H351" s="11"/>
      <c r="I351" s="9" t="s">
        <v>13</v>
      </c>
      <c r="J351" s="44"/>
    </row>
    <row r="352">
      <c r="A352" s="42" t="s">
        <v>330</v>
      </c>
      <c r="B352" s="11"/>
      <c r="C352" s="8"/>
      <c r="D352" s="8"/>
      <c r="E352" s="9"/>
      <c r="F352" s="10"/>
      <c r="G352" s="9"/>
      <c r="H352" s="11"/>
      <c r="I352" s="9" t="s">
        <v>13</v>
      </c>
      <c r="J352" s="44"/>
    </row>
    <row r="353">
      <c r="A353" s="42" t="s">
        <v>330</v>
      </c>
      <c r="B353" s="11"/>
      <c r="C353" s="8"/>
      <c r="D353" s="8"/>
      <c r="E353" s="9"/>
      <c r="F353" s="10"/>
      <c r="G353" s="9"/>
      <c r="H353" s="11"/>
      <c r="I353" s="9" t="s">
        <v>13</v>
      </c>
      <c r="J353" s="44"/>
    </row>
    <row r="354">
      <c r="A354" s="42" t="s">
        <v>330</v>
      </c>
      <c r="B354" s="11"/>
      <c r="C354" s="8"/>
      <c r="D354" s="8"/>
      <c r="E354" s="9"/>
      <c r="F354" s="10"/>
      <c r="G354" s="9"/>
      <c r="H354" s="11"/>
      <c r="I354" s="9" t="s">
        <v>13</v>
      </c>
      <c r="J354" s="44"/>
    </row>
    <row r="355">
      <c r="A355" s="42" t="s">
        <v>330</v>
      </c>
      <c r="B355" s="11"/>
      <c r="C355" s="8"/>
      <c r="D355" s="8"/>
      <c r="E355" s="9"/>
      <c r="F355" s="10"/>
      <c r="G355" s="9"/>
      <c r="H355" s="11"/>
      <c r="I355" s="9" t="s">
        <v>13</v>
      </c>
      <c r="J355" s="44"/>
    </row>
    <row r="356">
      <c r="A356" s="42" t="s">
        <v>330</v>
      </c>
      <c r="B356" s="11"/>
      <c r="C356" s="8"/>
      <c r="D356" s="8"/>
      <c r="E356" s="9"/>
      <c r="F356" s="10"/>
      <c r="G356" s="9"/>
      <c r="H356" s="11"/>
      <c r="I356" s="9" t="s">
        <v>13</v>
      </c>
      <c r="J356" s="44"/>
    </row>
    <row r="357">
      <c r="A357" s="42" t="s">
        <v>330</v>
      </c>
      <c r="B357" s="11"/>
      <c r="C357" s="8"/>
      <c r="D357" s="8"/>
      <c r="E357" s="9"/>
      <c r="F357" s="10"/>
      <c r="G357" s="9"/>
      <c r="H357" s="11"/>
      <c r="I357" s="9" t="s">
        <v>13</v>
      </c>
      <c r="J357" s="44"/>
    </row>
    <row r="358">
      <c r="A358" s="42" t="s">
        <v>330</v>
      </c>
      <c r="B358" s="11"/>
      <c r="C358" s="8"/>
      <c r="D358" s="8"/>
      <c r="E358" s="9"/>
      <c r="F358" s="10"/>
      <c r="G358" s="9"/>
      <c r="H358" s="11"/>
      <c r="I358" s="9" t="s">
        <v>13</v>
      </c>
      <c r="J358" s="44"/>
    </row>
    <row r="359">
      <c r="A359" s="42" t="s">
        <v>330</v>
      </c>
      <c r="B359" s="11"/>
      <c r="C359" s="8"/>
      <c r="D359" s="8"/>
      <c r="E359" s="9"/>
      <c r="F359" s="10"/>
      <c r="G359" s="9"/>
      <c r="H359" s="11"/>
      <c r="I359" s="9" t="s">
        <v>13</v>
      </c>
      <c r="J359" s="44"/>
    </row>
    <row r="360">
      <c r="A360" s="42" t="s">
        <v>330</v>
      </c>
      <c r="B360" s="11"/>
      <c r="C360" s="8"/>
      <c r="D360" s="8"/>
      <c r="E360" s="9"/>
      <c r="F360" s="10"/>
      <c r="G360" s="9"/>
      <c r="H360" s="11"/>
      <c r="I360" s="9" t="s">
        <v>13</v>
      </c>
      <c r="J360" s="44"/>
    </row>
    <row r="361">
      <c r="A361" s="42" t="s">
        <v>330</v>
      </c>
      <c r="B361" s="11"/>
      <c r="C361" s="8"/>
      <c r="D361" s="8"/>
      <c r="E361" s="9"/>
      <c r="F361" s="10"/>
      <c r="G361" s="9"/>
      <c r="H361" s="11"/>
      <c r="I361" s="9" t="s">
        <v>13</v>
      </c>
      <c r="J361" s="44"/>
    </row>
    <row r="362">
      <c r="A362" s="42" t="s">
        <v>330</v>
      </c>
      <c r="B362" s="11"/>
      <c r="C362" s="8"/>
      <c r="D362" s="8"/>
      <c r="E362" s="9"/>
      <c r="F362" s="10"/>
      <c r="G362" s="9"/>
      <c r="H362" s="11"/>
      <c r="I362" s="9" t="s">
        <v>13</v>
      </c>
      <c r="J362" s="44"/>
    </row>
    <row r="363">
      <c r="A363" s="42" t="s">
        <v>330</v>
      </c>
      <c r="B363" s="11"/>
      <c r="C363" s="8"/>
      <c r="D363" s="8"/>
      <c r="E363" s="9"/>
      <c r="F363" s="10"/>
      <c r="G363" s="9"/>
      <c r="H363" s="11"/>
      <c r="I363" s="9" t="s">
        <v>13</v>
      </c>
      <c r="J363" s="44"/>
    </row>
    <row r="364">
      <c r="A364" s="42" t="s">
        <v>330</v>
      </c>
      <c r="B364" s="11"/>
      <c r="C364" s="8"/>
      <c r="D364" s="8"/>
      <c r="E364" s="9"/>
      <c r="F364" s="10"/>
      <c r="G364" s="9"/>
      <c r="H364" s="11"/>
      <c r="I364" s="9" t="s">
        <v>13</v>
      </c>
      <c r="J364" s="44"/>
    </row>
    <row r="365">
      <c r="A365" s="42" t="s">
        <v>330</v>
      </c>
      <c r="B365" s="11"/>
      <c r="C365" s="8"/>
      <c r="D365" s="8"/>
      <c r="E365" s="9"/>
      <c r="F365" s="10"/>
      <c r="G365" s="9"/>
      <c r="H365" s="11"/>
      <c r="I365" s="9" t="s">
        <v>13</v>
      </c>
      <c r="J365" s="44"/>
    </row>
    <row r="366">
      <c r="A366" s="42" t="s">
        <v>330</v>
      </c>
      <c r="B366" s="11"/>
      <c r="C366" s="8"/>
      <c r="D366" s="8"/>
      <c r="E366" s="9"/>
      <c r="F366" s="10"/>
      <c r="G366" s="9"/>
      <c r="H366" s="11"/>
      <c r="I366" s="9" t="s">
        <v>13</v>
      </c>
      <c r="J366" s="44"/>
    </row>
    <row r="367">
      <c r="A367" s="42" t="s">
        <v>330</v>
      </c>
      <c r="B367" s="11"/>
      <c r="C367" s="8"/>
      <c r="D367" s="8"/>
      <c r="E367" s="9"/>
      <c r="F367" s="10"/>
      <c r="G367" s="9"/>
      <c r="H367" s="11"/>
      <c r="I367" s="9" t="s">
        <v>13</v>
      </c>
      <c r="J367" s="44"/>
    </row>
    <row r="368">
      <c r="A368" s="42" t="s">
        <v>330</v>
      </c>
      <c r="B368" s="11"/>
      <c r="C368" s="8"/>
      <c r="D368" s="8"/>
      <c r="E368" s="9"/>
      <c r="F368" s="10"/>
      <c r="G368" s="9"/>
      <c r="H368" s="11"/>
      <c r="I368" s="9" t="s">
        <v>13</v>
      </c>
      <c r="J368" s="44"/>
    </row>
    <row r="369">
      <c r="A369" s="42" t="s">
        <v>330</v>
      </c>
      <c r="B369" s="11"/>
      <c r="C369" s="8"/>
      <c r="D369" s="8"/>
      <c r="E369" s="9"/>
      <c r="F369" s="10"/>
      <c r="G369" s="9"/>
      <c r="H369" s="11"/>
      <c r="I369" s="9" t="s">
        <v>13</v>
      </c>
      <c r="J369" s="44"/>
    </row>
    <row r="370">
      <c r="A370" s="42" t="s">
        <v>330</v>
      </c>
      <c r="B370" s="11"/>
      <c r="C370" s="8"/>
      <c r="D370" s="8"/>
      <c r="E370" s="9"/>
      <c r="F370" s="10"/>
      <c r="G370" s="9"/>
      <c r="H370" s="11"/>
      <c r="I370" s="9" t="s">
        <v>13</v>
      </c>
      <c r="J370" s="44"/>
    </row>
    <row r="371">
      <c r="A371" s="42" t="s">
        <v>330</v>
      </c>
      <c r="B371" s="11"/>
      <c r="C371" s="8"/>
      <c r="D371" s="8"/>
      <c r="E371" s="9"/>
      <c r="F371" s="10"/>
      <c r="G371" s="9"/>
      <c r="H371" s="11"/>
      <c r="I371" s="9" t="s">
        <v>13</v>
      </c>
      <c r="J371" s="44"/>
    </row>
    <row r="372">
      <c r="A372" s="42" t="s">
        <v>330</v>
      </c>
      <c r="B372" s="11"/>
      <c r="C372" s="8"/>
      <c r="D372" s="8"/>
      <c r="E372" s="9"/>
      <c r="F372" s="10"/>
      <c r="G372" s="9"/>
      <c r="H372" s="11"/>
      <c r="I372" s="9" t="s">
        <v>13</v>
      </c>
      <c r="J372" s="44"/>
    </row>
    <row r="373">
      <c r="A373" s="42" t="s">
        <v>330</v>
      </c>
      <c r="B373" s="11"/>
      <c r="C373" s="8"/>
      <c r="D373" s="8"/>
      <c r="E373" s="9"/>
      <c r="F373" s="10"/>
      <c r="G373" s="9"/>
      <c r="H373" s="11"/>
      <c r="I373" s="9" t="s">
        <v>13</v>
      </c>
      <c r="J373" s="44"/>
    </row>
    <row r="374">
      <c r="A374" s="42" t="s">
        <v>330</v>
      </c>
      <c r="B374" s="11"/>
      <c r="C374" s="8"/>
      <c r="D374" s="8"/>
      <c r="E374" s="9"/>
      <c r="F374" s="10"/>
      <c r="G374" s="9"/>
      <c r="H374" s="11"/>
      <c r="I374" s="9" t="s">
        <v>13</v>
      </c>
      <c r="J374" s="44"/>
    </row>
    <row r="375">
      <c r="A375" s="42" t="s">
        <v>330</v>
      </c>
      <c r="B375" s="11"/>
      <c r="C375" s="8"/>
      <c r="D375" s="8"/>
      <c r="E375" s="9"/>
      <c r="F375" s="10"/>
      <c r="G375" s="9"/>
      <c r="H375" s="11"/>
      <c r="I375" s="9" t="s">
        <v>13</v>
      </c>
      <c r="J375" s="44"/>
    </row>
    <row r="376">
      <c r="A376" s="42" t="s">
        <v>330</v>
      </c>
      <c r="B376" s="11"/>
      <c r="C376" s="8"/>
      <c r="D376" s="8"/>
      <c r="E376" s="9"/>
      <c r="F376" s="10"/>
      <c r="G376" s="9"/>
      <c r="H376" s="11"/>
      <c r="I376" s="9" t="s">
        <v>13</v>
      </c>
      <c r="J376" s="44"/>
    </row>
    <row r="377">
      <c r="A377" s="42" t="s">
        <v>330</v>
      </c>
      <c r="B377" s="11"/>
      <c r="C377" s="8"/>
      <c r="D377" s="8"/>
      <c r="E377" s="9"/>
      <c r="F377" s="10"/>
      <c r="G377" s="9"/>
      <c r="H377" s="11"/>
      <c r="I377" s="9" t="s">
        <v>13</v>
      </c>
      <c r="J377" s="44"/>
    </row>
    <row r="378">
      <c r="A378" s="42" t="s">
        <v>330</v>
      </c>
      <c r="B378" s="11"/>
      <c r="C378" s="8"/>
      <c r="D378" s="8"/>
      <c r="E378" s="9"/>
      <c r="F378" s="10"/>
      <c r="G378" s="9"/>
      <c r="H378" s="11"/>
      <c r="I378" s="9" t="s">
        <v>13</v>
      </c>
      <c r="J378" s="44"/>
    </row>
    <row r="379">
      <c r="A379" s="42" t="s">
        <v>330</v>
      </c>
      <c r="B379" s="11"/>
      <c r="C379" s="8"/>
      <c r="D379" s="8"/>
      <c r="E379" s="9"/>
      <c r="F379" s="10"/>
      <c r="G379" s="9"/>
      <c r="H379" s="11"/>
      <c r="I379" s="9" t="s">
        <v>13</v>
      </c>
      <c r="J379" s="44"/>
    </row>
    <row r="380">
      <c r="A380" s="42" t="s">
        <v>330</v>
      </c>
      <c r="B380" s="11"/>
      <c r="C380" s="8"/>
      <c r="D380" s="8"/>
      <c r="E380" s="9"/>
      <c r="F380" s="10"/>
      <c r="G380" s="9"/>
      <c r="H380" s="11"/>
      <c r="I380" s="9" t="s">
        <v>13</v>
      </c>
      <c r="J380" s="44"/>
    </row>
    <row r="381">
      <c r="A381" s="42" t="s">
        <v>330</v>
      </c>
      <c r="B381" s="11"/>
      <c r="C381" s="8"/>
      <c r="D381" s="8"/>
      <c r="E381" s="9"/>
      <c r="F381" s="10"/>
      <c r="G381" s="9"/>
      <c r="H381" s="11"/>
      <c r="I381" s="9" t="s">
        <v>13</v>
      </c>
      <c r="J381" s="44"/>
    </row>
    <row r="382">
      <c r="A382" s="42" t="s">
        <v>330</v>
      </c>
      <c r="B382" s="11"/>
      <c r="C382" s="8"/>
      <c r="D382" s="8"/>
      <c r="E382" s="9"/>
      <c r="F382" s="10"/>
      <c r="G382" s="9"/>
      <c r="H382" s="11"/>
      <c r="I382" s="9" t="s">
        <v>13</v>
      </c>
      <c r="J382" s="44"/>
    </row>
    <row r="383">
      <c r="A383" s="42" t="s">
        <v>330</v>
      </c>
      <c r="B383" s="11"/>
      <c r="C383" s="8"/>
      <c r="D383" s="8"/>
      <c r="E383" s="9"/>
      <c r="F383" s="10"/>
      <c r="G383" s="9"/>
      <c r="H383" s="11"/>
      <c r="I383" s="9" t="s">
        <v>13</v>
      </c>
      <c r="J383" s="44"/>
    </row>
    <row r="384">
      <c r="A384" s="42" t="s">
        <v>330</v>
      </c>
      <c r="B384" s="11"/>
      <c r="C384" s="8"/>
      <c r="D384" s="8"/>
      <c r="E384" s="9"/>
      <c r="F384" s="10"/>
      <c r="G384" s="9"/>
      <c r="H384" s="11"/>
      <c r="I384" s="9" t="s">
        <v>13</v>
      </c>
      <c r="J384" s="44"/>
    </row>
    <row r="385">
      <c r="A385" s="42" t="s">
        <v>330</v>
      </c>
      <c r="B385" s="11"/>
      <c r="C385" s="8"/>
      <c r="D385" s="8"/>
      <c r="E385" s="9"/>
      <c r="F385" s="10"/>
      <c r="G385" s="9"/>
      <c r="H385" s="11"/>
      <c r="I385" s="9" t="s">
        <v>13</v>
      </c>
      <c r="J385" s="44"/>
    </row>
    <row r="386">
      <c r="A386" s="42" t="s">
        <v>330</v>
      </c>
      <c r="B386" s="11"/>
      <c r="C386" s="8"/>
      <c r="D386" s="8"/>
      <c r="E386" s="9"/>
      <c r="F386" s="10"/>
      <c r="G386" s="9"/>
      <c r="H386" s="11"/>
      <c r="I386" s="9" t="s">
        <v>13</v>
      </c>
      <c r="J386" s="44"/>
    </row>
    <row r="387">
      <c r="A387" s="42" t="s">
        <v>330</v>
      </c>
      <c r="B387" s="11"/>
      <c r="C387" s="8"/>
      <c r="D387" s="8"/>
      <c r="E387" s="9"/>
      <c r="F387" s="10"/>
      <c r="G387" s="9"/>
      <c r="H387" s="11"/>
      <c r="I387" s="9" t="s">
        <v>13</v>
      </c>
      <c r="J387" s="44"/>
    </row>
    <row r="388">
      <c r="A388" s="42" t="s">
        <v>330</v>
      </c>
      <c r="B388" s="11"/>
      <c r="C388" s="8"/>
      <c r="D388" s="8"/>
      <c r="E388" s="9"/>
      <c r="F388" s="10"/>
      <c r="G388" s="9"/>
      <c r="H388" s="11"/>
      <c r="I388" s="9" t="s">
        <v>13</v>
      </c>
      <c r="J388" s="44"/>
    </row>
    <row r="389">
      <c r="A389" s="42" t="s">
        <v>330</v>
      </c>
      <c r="B389" s="11"/>
      <c r="C389" s="8"/>
      <c r="D389" s="8"/>
      <c r="E389" s="9"/>
      <c r="F389" s="10"/>
      <c r="G389" s="9"/>
      <c r="H389" s="11"/>
      <c r="I389" s="9" t="s">
        <v>13</v>
      </c>
      <c r="J389" s="44"/>
    </row>
    <row r="390">
      <c r="A390" s="42" t="s">
        <v>330</v>
      </c>
      <c r="B390" s="11"/>
      <c r="C390" s="8"/>
      <c r="D390" s="8"/>
      <c r="E390" s="9"/>
      <c r="F390" s="10"/>
      <c r="G390" s="9"/>
      <c r="H390" s="11"/>
      <c r="I390" s="9" t="s">
        <v>13</v>
      </c>
      <c r="J390" s="44"/>
    </row>
    <row r="391">
      <c r="A391" s="42" t="s">
        <v>330</v>
      </c>
      <c r="B391" s="11"/>
      <c r="C391" s="8"/>
      <c r="D391" s="8"/>
      <c r="E391" s="9"/>
      <c r="F391" s="10"/>
      <c r="G391" s="9"/>
      <c r="H391" s="11"/>
      <c r="I391" s="9" t="s">
        <v>13</v>
      </c>
      <c r="J391" s="44"/>
    </row>
    <row r="392">
      <c r="A392" s="42" t="s">
        <v>330</v>
      </c>
      <c r="B392" s="11"/>
      <c r="C392" s="8"/>
      <c r="D392" s="8"/>
      <c r="E392" s="9"/>
      <c r="F392" s="10"/>
      <c r="G392" s="9"/>
      <c r="H392" s="11"/>
      <c r="I392" s="9" t="s">
        <v>13</v>
      </c>
      <c r="J392" s="44"/>
    </row>
    <row r="393">
      <c r="A393" s="42" t="s">
        <v>330</v>
      </c>
      <c r="B393" s="11"/>
      <c r="C393" s="8"/>
      <c r="D393" s="8"/>
      <c r="E393" s="9"/>
      <c r="F393" s="10"/>
      <c r="G393" s="9"/>
      <c r="H393" s="11"/>
      <c r="I393" s="9" t="s">
        <v>13</v>
      </c>
      <c r="J393" s="44"/>
    </row>
    <row r="394">
      <c r="A394" s="42" t="s">
        <v>330</v>
      </c>
      <c r="B394" s="11"/>
      <c r="C394" s="8"/>
      <c r="D394" s="8"/>
      <c r="E394" s="9"/>
      <c r="F394" s="10"/>
      <c r="G394" s="9"/>
      <c r="H394" s="11"/>
      <c r="I394" s="9" t="s">
        <v>13</v>
      </c>
      <c r="J394" s="44"/>
    </row>
    <row r="395">
      <c r="A395" s="42" t="s">
        <v>330</v>
      </c>
      <c r="B395" s="11"/>
      <c r="C395" s="8"/>
      <c r="D395" s="8"/>
      <c r="E395" s="9"/>
      <c r="F395" s="10"/>
      <c r="G395" s="9"/>
      <c r="H395" s="11"/>
      <c r="I395" s="9" t="s">
        <v>13</v>
      </c>
      <c r="J395" s="44"/>
    </row>
    <row r="396">
      <c r="A396" s="42" t="s">
        <v>330</v>
      </c>
      <c r="B396" s="11"/>
      <c r="C396" s="8"/>
      <c r="D396" s="8"/>
      <c r="E396" s="9"/>
      <c r="F396" s="10"/>
      <c r="G396" s="9"/>
      <c r="H396" s="11"/>
      <c r="I396" s="9" t="s">
        <v>13</v>
      </c>
      <c r="J396" s="44"/>
    </row>
    <row r="397">
      <c r="A397" s="42" t="s">
        <v>330</v>
      </c>
      <c r="B397" s="11"/>
      <c r="C397" s="8"/>
      <c r="D397" s="8"/>
      <c r="E397" s="9"/>
      <c r="F397" s="10"/>
      <c r="G397" s="9"/>
      <c r="H397" s="11"/>
      <c r="I397" s="9" t="s">
        <v>13</v>
      </c>
      <c r="J397" s="44"/>
    </row>
    <row r="398">
      <c r="A398" s="42" t="s">
        <v>330</v>
      </c>
      <c r="B398" s="11"/>
      <c r="C398" s="8"/>
      <c r="D398" s="8"/>
      <c r="E398" s="9"/>
      <c r="F398" s="10"/>
      <c r="G398" s="9"/>
      <c r="H398" s="11"/>
      <c r="I398" s="9" t="s">
        <v>13</v>
      </c>
      <c r="J398" s="44"/>
    </row>
    <row r="399">
      <c r="A399" s="42" t="s">
        <v>330</v>
      </c>
      <c r="B399" s="11"/>
      <c r="C399" s="8"/>
      <c r="D399" s="8"/>
      <c r="E399" s="9"/>
      <c r="F399" s="10"/>
      <c r="G399" s="9"/>
      <c r="H399" s="11"/>
      <c r="I399" s="9" t="s">
        <v>13</v>
      </c>
      <c r="J399" s="44"/>
    </row>
    <row r="400">
      <c r="A400" s="42" t="s">
        <v>330</v>
      </c>
      <c r="B400" s="11"/>
      <c r="C400" s="8"/>
      <c r="D400" s="8"/>
      <c r="E400" s="9"/>
      <c r="F400" s="10"/>
      <c r="G400" s="9"/>
      <c r="H400" s="11"/>
      <c r="I400" s="9" t="s">
        <v>13</v>
      </c>
      <c r="J400" s="44"/>
    </row>
    <row r="401">
      <c r="A401" s="42" t="s">
        <v>330</v>
      </c>
      <c r="B401" s="11"/>
      <c r="C401" s="8"/>
      <c r="D401" s="8"/>
      <c r="E401" s="9"/>
      <c r="F401" s="10"/>
      <c r="G401" s="9"/>
      <c r="H401" s="11"/>
      <c r="I401" s="9" t="s">
        <v>13</v>
      </c>
      <c r="J401" s="44"/>
    </row>
    <row r="402">
      <c r="A402" s="42" t="s">
        <v>330</v>
      </c>
      <c r="B402" s="11"/>
      <c r="C402" s="8"/>
      <c r="D402" s="8"/>
      <c r="E402" s="9"/>
      <c r="F402" s="10"/>
      <c r="G402" s="9"/>
      <c r="H402" s="11"/>
      <c r="I402" s="9" t="s">
        <v>13</v>
      </c>
      <c r="J402" s="44"/>
    </row>
    <row r="403">
      <c r="A403" s="42" t="s">
        <v>330</v>
      </c>
      <c r="B403" s="11"/>
      <c r="C403" s="8"/>
      <c r="D403" s="8"/>
      <c r="E403" s="9"/>
      <c r="F403" s="10"/>
      <c r="G403" s="9"/>
      <c r="H403" s="11"/>
      <c r="I403" s="9" t="s">
        <v>13</v>
      </c>
      <c r="J403" s="44"/>
    </row>
    <row r="404">
      <c r="A404" s="42" t="s">
        <v>330</v>
      </c>
      <c r="B404" s="11"/>
      <c r="C404" s="8"/>
      <c r="D404" s="8"/>
      <c r="E404" s="9"/>
      <c r="F404" s="10"/>
      <c r="G404" s="9"/>
      <c r="H404" s="11"/>
      <c r="I404" s="9" t="s">
        <v>13</v>
      </c>
      <c r="J404" s="44"/>
    </row>
    <row r="405">
      <c r="A405" s="42" t="s">
        <v>330</v>
      </c>
      <c r="B405" s="11"/>
      <c r="C405" s="8"/>
      <c r="D405" s="8"/>
      <c r="E405" s="9"/>
      <c r="F405" s="10"/>
      <c r="G405" s="9"/>
      <c r="H405" s="11"/>
      <c r="I405" s="9" t="s">
        <v>13</v>
      </c>
      <c r="J405" s="44"/>
    </row>
    <row r="406">
      <c r="A406" s="42" t="s">
        <v>330</v>
      </c>
      <c r="B406" s="11"/>
      <c r="C406" s="8"/>
      <c r="D406" s="8"/>
      <c r="E406" s="9"/>
      <c r="F406" s="10"/>
      <c r="G406" s="9"/>
      <c r="H406" s="11"/>
      <c r="I406" s="9" t="s">
        <v>13</v>
      </c>
      <c r="J406" s="44"/>
    </row>
    <row r="407">
      <c r="A407" s="42" t="s">
        <v>330</v>
      </c>
      <c r="B407" s="11"/>
      <c r="C407" s="8"/>
      <c r="D407" s="8"/>
      <c r="E407" s="9"/>
      <c r="F407" s="10"/>
      <c r="G407" s="9"/>
      <c r="H407" s="11"/>
      <c r="I407" s="9" t="s">
        <v>13</v>
      </c>
      <c r="J407" s="44"/>
    </row>
    <row r="408">
      <c r="A408" s="42" t="s">
        <v>330</v>
      </c>
      <c r="B408" s="11"/>
      <c r="C408" s="8"/>
      <c r="D408" s="8"/>
      <c r="E408" s="9"/>
      <c r="F408" s="10"/>
      <c r="G408" s="9"/>
      <c r="H408" s="11"/>
      <c r="I408" s="9" t="s">
        <v>13</v>
      </c>
      <c r="J408" s="44"/>
    </row>
    <row r="409">
      <c r="A409" s="42" t="s">
        <v>330</v>
      </c>
      <c r="B409" s="11"/>
      <c r="C409" s="8"/>
      <c r="D409" s="8"/>
      <c r="E409" s="9"/>
      <c r="F409" s="10"/>
      <c r="G409" s="9"/>
      <c r="H409" s="11"/>
      <c r="I409" s="9" t="s">
        <v>13</v>
      </c>
      <c r="J409" s="44"/>
    </row>
    <row r="410">
      <c r="A410" s="42" t="s">
        <v>330</v>
      </c>
      <c r="B410" s="11"/>
      <c r="C410" s="8"/>
      <c r="D410" s="8"/>
      <c r="E410" s="9"/>
      <c r="F410" s="10"/>
      <c r="G410" s="9"/>
      <c r="H410" s="11"/>
      <c r="I410" s="9" t="s">
        <v>13</v>
      </c>
      <c r="J410" s="44"/>
    </row>
    <row r="411">
      <c r="A411" s="42" t="s">
        <v>330</v>
      </c>
      <c r="B411" s="11"/>
      <c r="C411" s="8"/>
      <c r="D411" s="8"/>
      <c r="E411" s="9"/>
      <c r="F411" s="10"/>
      <c r="G411" s="9"/>
      <c r="H411" s="11"/>
      <c r="I411" s="9" t="s">
        <v>13</v>
      </c>
      <c r="J411" s="44"/>
    </row>
    <row r="412">
      <c r="A412" s="42" t="s">
        <v>330</v>
      </c>
      <c r="B412" s="11"/>
      <c r="C412" s="8"/>
      <c r="D412" s="8"/>
      <c r="E412" s="9"/>
      <c r="F412" s="10"/>
      <c r="G412" s="9"/>
      <c r="H412" s="11"/>
      <c r="I412" s="9" t="s">
        <v>13</v>
      </c>
      <c r="J412" s="44"/>
    </row>
    <row r="413">
      <c r="A413" s="42" t="s">
        <v>330</v>
      </c>
      <c r="B413" s="11"/>
      <c r="C413" s="8"/>
      <c r="D413" s="8"/>
      <c r="E413" s="9"/>
      <c r="F413" s="10"/>
      <c r="G413" s="9"/>
      <c r="H413" s="11"/>
      <c r="I413" s="9" t="s">
        <v>13</v>
      </c>
      <c r="J413" s="44"/>
    </row>
    <row r="414">
      <c r="A414" s="42" t="s">
        <v>330</v>
      </c>
      <c r="B414" s="11"/>
      <c r="C414" s="8"/>
      <c r="D414" s="8"/>
      <c r="E414" s="9"/>
      <c r="F414" s="10"/>
      <c r="G414" s="9"/>
      <c r="H414" s="11"/>
      <c r="I414" s="9" t="s">
        <v>13</v>
      </c>
      <c r="J414" s="44"/>
    </row>
    <row r="415">
      <c r="A415" s="42" t="s">
        <v>330</v>
      </c>
      <c r="B415" s="11"/>
      <c r="C415" s="8"/>
      <c r="D415" s="8"/>
      <c r="E415" s="9"/>
      <c r="F415" s="10"/>
      <c r="G415" s="9"/>
      <c r="H415" s="11"/>
      <c r="I415" s="9" t="s">
        <v>13</v>
      </c>
      <c r="J415" s="44"/>
    </row>
    <row r="416">
      <c r="A416" s="42" t="s">
        <v>330</v>
      </c>
      <c r="B416" s="11"/>
      <c r="C416" s="8"/>
      <c r="D416" s="8"/>
      <c r="E416" s="9"/>
      <c r="F416" s="10"/>
      <c r="G416" s="9"/>
      <c r="H416" s="11"/>
      <c r="I416" s="9" t="s">
        <v>13</v>
      </c>
      <c r="J416" s="44"/>
    </row>
    <row r="417">
      <c r="A417" s="42" t="s">
        <v>330</v>
      </c>
      <c r="B417" s="11"/>
      <c r="C417" s="8"/>
      <c r="D417" s="8"/>
      <c r="E417" s="9"/>
      <c r="F417" s="10"/>
      <c r="G417" s="9"/>
      <c r="H417" s="11"/>
      <c r="I417" s="9" t="s">
        <v>13</v>
      </c>
      <c r="J417" s="44"/>
    </row>
    <row r="418">
      <c r="A418" s="42" t="s">
        <v>330</v>
      </c>
      <c r="B418" s="11"/>
      <c r="C418" s="8"/>
      <c r="D418" s="8"/>
      <c r="E418" s="9"/>
      <c r="F418" s="10"/>
      <c r="G418" s="9"/>
      <c r="H418" s="11"/>
      <c r="I418" s="9" t="s">
        <v>13</v>
      </c>
      <c r="J418" s="44"/>
    </row>
    <row r="419">
      <c r="A419" s="42" t="s">
        <v>330</v>
      </c>
      <c r="B419" s="11"/>
      <c r="C419" s="8"/>
      <c r="D419" s="8"/>
      <c r="E419" s="9"/>
      <c r="F419" s="10"/>
      <c r="G419" s="9"/>
      <c r="H419" s="11"/>
      <c r="I419" s="9" t="s">
        <v>13</v>
      </c>
      <c r="J419" s="44"/>
    </row>
    <row r="420">
      <c r="A420" s="42" t="s">
        <v>330</v>
      </c>
      <c r="B420" s="11"/>
      <c r="C420" s="8"/>
      <c r="D420" s="8"/>
      <c r="E420" s="9"/>
      <c r="F420" s="10"/>
      <c r="G420" s="9"/>
      <c r="H420" s="11"/>
      <c r="I420" s="9" t="s">
        <v>13</v>
      </c>
      <c r="J420" s="44"/>
    </row>
    <row r="421">
      <c r="A421" s="42" t="s">
        <v>330</v>
      </c>
      <c r="B421" s="11"/>
      <c r="C421" s="8"/>
      <c r="D421" s="8"/>
      <c r="E421" s="9"/>
      <c r="F421" s="10"/>
      <c r="G421" s="9"/>
      <c r="H421" s="11"/>
      <c r="I421" s="9" t="s">
        <v>13</v>
      </c>
      <c r="J421" s="44"/>
    </row>
    <row r="422">
      <c r="A422" s="42" t="s">
        <v>330</v>
      </c>
      <c r="B422" s="11"/>
      <c r="C422" s="8"/>
      <c r="D422" s="8"/>
      <c r="E422" s="9"/>
      <c r="F422" s="10"/>
      <c r="G422" s="9"/>
      <c r="H422" s="11"/>
      <c r="I422" s="9" t="s">
        <v>13</v>
      </c>
      <c r="J422" s="44"/>
    </row>
    <row r="423">
      <c r="A423" s="42" t="s">
        <v>330</v>
      </c>
      <c r="B423" s="11"/>
      <c r="C423" s="8"/>
      <c r="D423" s="8"/>
      <c r="E423" s="9"/>
      <c r="F423" s="10"/>
      <c r="G423" s="9"/>
      <c r="H423" s="11"/>
      <c r="I423" s="9" t="s">
        <v>13</v>
      </c>
      <c r="J423" s="44"/>
    </row>
    <row r="424">
      <c r="A424" s="42" t="s">
        <v>330</v>
      </c>
      <c r="B424" s="11"/>
      <c r="C424" s="8"/>
      <c r="D424" s="8"/>
      <c r="E424" s="9"/>
      <c r="F424" s="10"/>
      <c r="G424" s="9"/>
      <c r="H424" s="11"/>
      <c r="I424" s="9" t="s">
        <v>13</v>
      </c>
      <c r="J424" s="44"/>
    </row>
    <row r="425">
      <c r="A425" s="42" t="s">
        <v>330</v>
      </c>
      <c r="B425" s="11"/>
      <c r="C425" s="8"/>
      <c r="D425" s="8"/>
      <c r="E425" s="9"/>
      <c r="F425" s="10"/>
      <c r="G425" s="9"/>
      <c r="H425" s="11"/>
      <c r="I425" s="9" t="s">
        <v>13</v>
      </c>
      <c r="J425" s="44"/>
    </row>
    <row r="426">
      <c r="A426" s="42" t="s">
        <v>330</v>
      </c>
      <c r="B426" s="11"/>
      <c r="C426" s="8"/>
      <c r="D426" s="8"/>
      <c r="E426" s="9"/>
      <c r="F426" s="10"/>
      <c r="G426" s="9"/>
      <c r="H426" s="11"/>
      <c r="I426" s="9" t="s">
        <v>13</v>
      </c>
      <c r="J426" s="44"/>
    </row>
    <row r="427">
      <c r="A427" s="42" t="s">
        <v>330</v>
      </c>
      <c r="B427" s="11"/>
      <c r="C427" s="8"/>
      <c r="D427" s="8"/>
      <c r="E427" s="9"/>
      <c r="F427" s="10"/>
      <c r="G427" s="9"/>
      <c r="H427" s="11"/>
      <c r="I427" s="9" t="s">
        <v>13</v>
      </c>
      <c r="J427" s="44"/>
    </row>
    <row r="428">
      <c r="A428" s="42" t="s">
        <v>330</v>
      </c>
      <c r="B428" s="11"/>
      <c r="C428" s="8"/>
      <c r="D428" s="8"/>
      <c r="E428" s="9"/>
      <c r="F428" s="10"/>
      <c r="G428" s="9"/>
      <c r="H428" s="11"/>
      <c r="I428" s="9" t="s">
        <v>13</v>
      </c>
      <c r="J428" s="44"/>
    </row>
    <row r="429">
      <c r="A429" s="42" t="s">
        <v>330</v>
      </c>
      <c r="B429" s="11"/>
      <c r="C429" s="8"/>
      <c r="D429" s="8"/>
      <c r="E429" s="9"/>
      <c r="F429" s="10"/>
      <c r="G429" s="9"/>
      <c r="H429" s="11"/>
      <c r="I429" s="9" t="s">
        <v>13</v>
      </c>
      <c r="J429" s="44"/>
    </row>
    <row r="430">
      <c r="A430" s="42" t="s">
        <v>330</v>
      </c>
      <c r="B430" s="11"/>
      <c r="C430" s="8"/>
      <c r="D430" s="8"/>
      <c r="E430" s="9"/>
      <c r="F430" s="10"/>
      <c r="G430" s="9"/>
      <c r="H430" s="11"/>
      <c r="I430" s="9" t="s">
        <v>13</v>
      </c>
      <c r="J430" s="44"/>
    </row>
    <row r="431">
      <c r="A431" s="42" t="s">
        <v>330</v>
      </c>
      <c r="B431" s="11"/>
      <c r="C431" s="8"/>
      <c r="D431" s="8"/>
      <c r="E431" s="9"/>
      <c r="F431" s="10"/>
      <c r="G431" s="9"/>
      <c r="H431" s="11"/>
      <c r="I431" s="9" t="s">
        <v>13</v>
      </c>
      <c r="J431" s="44"/>
    </row>
    <row r="432">
      <c r="A432" s="42" t="s">
        <v>330</v>
      </c>
      <c r="B432" s="11"/>
      <c r="C432" s="8"/>
      <c r="D432" s="8"/>
      <c r="E432" s="9"/>
      <c r="F432" s="10"/>
      <c r="G432" s="9"/>
      <c r="H432" s="11"/>
      <c r="I432" s="9" t="s">
        <v>13</v>
      </c>
      <c r="J432" s="44"/>
    </row>
    <row r="433">
      <c r="A433" s="42" t="s">
        <v>330</v>
      </c>
      <c r="B433" s="11"/>
      <c r="C433" s="8"/>
      <c r="D433" s="8"/>
      <c r="E433" s="9"/>
      <c r="F433" s="10"/>
      <c r="G433" s="9"/>
      <c r="H433" s="11"/>
      <c r="I433" s="9" t="s">
        <v>13</v>
      </c>
      <c r="J433" s="44"/>
    </row>
    <row r="434">
      <c r="A434" s="42" t="s">
        <v>330</v>
      </c>
      <c r="B434" s="11"/>
      <c r="C434" s="8"/>
      <c r="D434" s="8"/>
      <c r="E434" s="9"/>
      <c r="F434" s="10"/>
      <c r="G434" s="9"/>
      <c r="H434" s="11"/>
      <c r="I434" s="9" t="s">
        <v>13</v>
      </c>
      <c r="J434" s="44"/>
    </row>
    <row r="435">
      <c r="A435" s="42" t="s">
        <v>330</v>
      </c>
      <c r="B435" s="11"/>
      <c r="C435" s="8"/>
      <c r="D435" s="8"/>
      <c r="E435" s="9"/>
      <c r="F435" s="10"/>
      <c r="G435" s="9"/>
      <c r="H435" s="11"/>
      <c r="I435" s="9" t="s">
        <v>13</v>
      </c>
      <c r="J435" s="44"/>
    </row>
    <row r="436">
      <c r="A436" s="42" t="s">
        <v>330</v>
      </c>
      <c r="B436" s="11"/>
      <c r="C436" s="8"/>
      <c r="D436" s="8"/>
      <c r="E436" s="9"/>
      <c r="F436" s="10"/>
      <c r="G436" s="9"/>
      <c r="H436" s="11"/>
      <c r="I436" s="9" t="s">
        <v>13</v>
      </c>
      <c r="J436" s="44"/>
    </row>
    <row r="437">
      <c r="A437" s="42" t="s">
        <v>330</v>
      </c>
      <c r="B437" s="11"/>
      <c r="C437" s="8"/>
      <c r="D437" s="8"/>
      <c r="E437" s="9"/>
      <c r="F437" s="10"/>
      <c r="G437" s="9"/>
      <c r="H437" s="11"/>
      <c r="I437" s="9" t="s">
        <v>13</v>
      </c>
      <c r="J437" s="44"/>
    </row>
    <row r="438">
      <c r="A438" s="42" t="s">
        <v>330</v>
      </c>
      <c r="B438" s="11"/>
      <c r="C438" s="8"/>
      <c r="D438" s="8"/>
      <c r="E438" s="9"/>
      <c r="F438" s="10"/>
      <c r="G438" s="9"/>
      <c r="H438" s="11"/>
      <c r="I438" s="9" t="s">
        <v>13</v>
      </c>
      <c r="J438" s="44"/>
    </row>
    <row r="439">
      <c r="A439" s="42" t="s">
        <v>330</v>
      </c>
      <c r="B439" s="11"/>
      <c r="C439" s="8"/>
      <c r="D439" s="8"/>
      <c r="E439" s="9"/>
      <c r="F439" s="10"/>
      <c r="G439" s="9"/>
      <c r="H439" s="11"/>
      <c r="I439" s="9" t="s">
        <v>13</v>
      </c>
      <c r="J439" s="44"/>
    </row>
    <row r="440">
      <c r="A440" s="42" t="s">
        <v>330</v>
      </c>
      <c r="B440" s="11"/>
      <c r="C440" s="8"/>
      <c r="D440" s="8"/>
      <c r="E440" s="9"/>
      <c r="F440" s="10"/>
      <c r="G440" s="9"/>
      <c r="H440" s="11"/>
      <c r="I440" s="9" t="s">
        <v>13</v>
      </c>
      <c r="J440" s="44"/>
    </row>
    <row r="441">
      <c r="A441" s="42" t="s">
        <v>330</v>
      </c>
      <c r="B441" s="11"/>
      <c r="C441" s="8"/>
      <c r="D441" s="8"/>
      <c r="E441" s="9"/>
      <c r="F441" s="10"/>
      <c r="G441" s="9"/>
      <c r="H441" s="11"/>
      <c r="I441" s="9" t="s">
        <v>13</v>
      </c>
      <c r="J441" s="44"/>
    </row>
    <row r="442">
      <c r="A442" s="42" t="s">
        <v>330</v>
      </c>
      <c r="B442" s="11"/>
      <c r="C442" s="8"/>
      <c r="D442" s="8"/>
      <c r="E442" s="9"/>
      <c r="F442" s="10"/>
      <c r="G442" s="9"/>
      <c r="H442" s="11"/>
      <c r="I442" s="9" t="s">
        <v>13</v>
      </c>
      <c r="J442" s="44"/>
    </row>
    <row r="443">
      <c r="A443" s="42" t="s">
        <v>330</v>
      </c>
      <c r="B443" s="11"/>
      <c r="C443" s="8"/>
      <c r="D443" s="8"/>
      <c r="E443" s="9"/>
      <c r="F443" s="10"/>
      <c r="G443" s="9"/>
      <c r="H443" s="11"/>
      <c r="I443" s="9" t="s">
        <v>13</v>
      </c>
      <c r="J443" s="44"/>
    </row>
    <row r="444">
      <c r="A444" s="42" t="s">
        <v>330</v>
      </c>
      <c r="B444" s="11"/>
      <c r="C444" s="8"/>
      <c r="D444" s="8"/>
      <c r="E444" s="9"/>
      <c r="F444" s="10"/>
      <c r="G444" s="9"/>
      <c r="H444" s="11"/>
      <c r="I444" s="9" t="s">
        <v>13</v>
      </c>
      <c r="J444" s="44"/>
    </row>
    <row r="445">
      <c r="A445" s="42" t="s">
        <v>330</v>
      </c>
      <c r="B445" s="11"/>
      <c r="C445" s="8"/>
      <c r="D445" s="8"/>
      <c r="E445" s="9"/>
      <c r="F445" s="10"/>
      <c r="G445" s="9"/>
      <c r="H445" s="11"/>
      <c r="I445" s="9" t="s">
        <v>13</v>
      </c>
      <c r="J445" s="44"/>
    </row>
    <row r="446">
      <c r="A446" s="42" t="s">
        <v>330</v>
      </c>
      <c r="B446" s="11"/>
      <c r="C446" s="8"/>
      <c r="D446" s="8"/>
      <c r="E446" s="9"/>
      <c r="F446" s="10"/>
      <c r="G446" s="9"/>
      <c r="H446" s="11"/>
      <c r="I446" s="9" t="s">
        <v>13</v>
      </c>
      <c r="J446" s="44"/>
    </row>
    <row r="447">
      <c r="A447" s="42" t="s">
        <v>330</v>
      </c>
      <c r="B447" s="11"/>
      <c r="C447" s="8"/>
      <c r="D447" s="8"/>
      <c r="E447" s="9"/>
      <c r="F447" s="10"/>
      <c r="G447" s="9"/>
      <c r="H447" s="11"/>
      <c r="I447" s="9" t="s">
        <v>13</v>
      </c>
      <c r="J447" s="44"/>
    </row>
    <row r="448">
      <c r="A448" s="42" t="s">
        <v>330</v>
      </c>
      <c r="B448" s="11"/>
      <c r="C448" s="8"/>
      <c r="D448" s="8"/>
      <c r="E448" s="9"/>
      <c r="F448" s="10"/>
      <c r="G448" s="9"/>
      <c r="H448" s="11"/>
      <c r="I448" s="9" t="s">
        <v>13</v>
      </c>
      <c r="J448" s="44"/>
    </row>
    <row r="449">
      <c r="A449" s="42" t="s">
        <v>330</v>
      </c>
      <c r="B449" s="11"/>
      <c r="C449" s="8"/>
      <c r="D449" s="8"/>
      <c r="E449" s="9"/>
      <c r="F449" s="10"/>
      <c r="G449" s="9"/>
      <c r="H449" s="11"/>
      <c r="I449" s="9" t="s">
        <v>13</v>
      </c>
      <c r="J449" s="44"/>
    </row>
    <row r="450">
      <c r="A450" s="42" t="s">
        <v>330</v>
      </c>
      <c r="B450" s="11"/>
      <c r="C450" s="8"/>
      <c r="D450" s="8"/>
      <c r="E450" s="9"/>
      <c r="F450" s="10"/>
      <c r="G450" s="9"/>
      <c r="H450" s="11"/>
      <c r="I450" s="9" t="s">
        <v>13</v>
      </c>
      <c r="J450" s="44"/>
    </row>
    <row r="451">
      <c r="A451" s="42" t="s">
        <v>330</v>
      </c>
      <c r="B451" s="11"/>
      <c r="C451" s="8"/>
      <c r="D451" s="8"/>
      <c r="E451" s="9"/>
      <c r="F451" s="10"/>
      <c r="G451" s="9"/>
      <c r="H451" s="11"/>
      <c r="I451" s="9" t="s">
        <v>13</v>
      </c>
      <c r="J451" s="44"/>
    </row>
    <row r="452">
      <c r="A452" s="42" t="s">
        <v>330</v>
      </c>
      <c r="B452" s="11"/>
      <c r="C452" s="8"/>
      <c r="D452" s="8"/>
      <c r="E452" s="9"/>
      <c r="F452" s="10"/>
      <c r="G452" s="9"/>
      <c r="H452" s="11"/>
      <c r="I452" s="9" t="s">
        <v>13</v>
      </c>
      <c r="J452" s="44"/>
    </row>
    <row r="453">
      <c r="A453" s="42" t="s">
        <v>330</v>
      </c>
      <c r="B453" s="11"/>
      <c r="C453" s="8"/>
      <c r="D453" s="8"/>
      <c r="E453" s="9"/>
      <c r="F453" s="10"/>
      <c r="G453" s="9"/>
      <c r="H453" s="11"/>
      <c r="I453" s="9" t="s">
        <v>13</v>
      </c>
      <c r="J453" s="44"/>
    </row>
    <row r="454">
      <c r="A454" s="42" t="s">
        <v>330</v>
      </c>
      <c r="B454" s="11"/>
      <c r="C454" s="8"/>
      <c r="D454" s="8"/>
      <c r="E454" s="9"/>
      <c r="F454" s="10"/>
      <c r="G454" s="9"/>
      <c r="H454" s="11"/>
      <c r="I454" s="9" t="s">
        <v>13</v>
      </c>
      <c r="J454" s="44"/>
    </row>
    <row r="455">
      <c r="A455" s="42" t="s">
        <v>330</v>
      </c>
      <c r="B455" s="11"/>
      <c r="C455" s="8"/>
      <c r="D455" s="8"/>
      <c r="E455" s="9"/>
      <c r="F455" s="10"/>
      <c r="G455" s="9"/>
      <c r="H455" s="11"/>
      <c r="I455" s="9" t="s">
        <v>13</v>
      </c>
      <c r="J455" s="44"/>
    </row>
    <row r="456">
      <c r="A456" s="42" t="s">
        <v>330</v>
      </c>
      <c r="B456" s="11"/>
      <c r="C456" s="8"/>
      <c r="D456" s="8"/>
      <c r="E456" s="9"/>
      <c r="F456" s="10"/>
      <c r="G456" s="9"/>
      <c r="H456" s="11"/>
      <c r="I456" s="9" t="s">
        <v>13</v>
      </c>
      <c r="J456" s="44"/>
    </row>
    <row r="457">
      <c r="A457" s="42" t="s">
        <v>330</v>
      </c>
      <c r="B457" s="11"/>
      <c r="C457" s="8"/>
      <c r="D457" s="8"/>
      <c r="E457" s="9"/>
      <c r="F457" s="10"/>
      <c r="G457" s="9"/>
      <c r="H457" s="11"/>
      <c r="I457" s="9" t="s">
        <v>13</v>
      </c>
      <c r="J457" s="44"/>
    </row>
    <row r="458">
      <c r="A458" s="42" t="s">
        <v>330</v>
      </c>
      <c r="B458" s="11"/>
      <c r="C458" s="8"/>
      <c r="D458" s="8"/>
      <c r="E458" s="9"/>
      <c r="F458" s="10"/>
      <c r="G458" s="9"/>
      <c r="H458" s="11"/>
      <c r="I458" s="9" t="s">
        <v>13</v>
      </c>
      <c r="J458" s="44"/>
    </row>
    <row r="459">
      <c r="A459" s="42" t="s">
        <v>330</v>
      </c>
      <c r="B459" s="11"/>
      <c r="C459" s="8"/>
      <c r="D459" s="8"/>
      <c r="E459" s="9"/>
      <c r="F459" s="10"/>
      <c r="G459" s="9"/>
      <c r="H459" s="11"/>
      <c r="I459" s="9" t="s">
        <v>13</v>
      </c>
      <c r="J459" s="44"/>
    </row>
    <row r="460">
      <c r="A460" s="42" t="s">
        <v>330</v>
      </c>
      <c r="B460" s="11"/>
      <c r="C460" s="8"/>
      <c r="D460" s="8"/>
      <c r="E460" s="9"/>
      <c r="F460" s="10"/>
      <c r="G460" s="9"/>
      <c r="H460" s="11"/>
      <c r="I460" s="9" t="s">
        <v>13</v>
      </c>
      <c r="J460" s="44"/>
    </row>
    <row r="461">
      <c r="A461" s="42" t="s">
        <v>330</v>
      </c>
      <c r="B461" s="11"/>
      <c r="C461" s="8"/>
      <c r="D461" s="8"/>
      <c r="E461" s="9"/>
      <c r="F461" s="10"/>
      <c r="G461" s="9"/>
      <c r="H461" s="11"/>
      <c r="I461" s="9" t="s">
        <v>13</v>
      </c>
      <c r="J461" s="44"/>
    </row>
    <row r="462">
      <c r="A462" s="42" t="s">
        <v>330</v>
      </c>
      <c r="B462" s="11"/>
      <c r="C462" s="8"/>
      <c r="D462" s="8"/>
      <c r="E462" s="9"/>
      <c r="F462" s="10"/>
      <c r="G462" s="9"/>
      <c r="H462" s="11"/>
      <c r="I462" s="9" t="s">
        <v>13</v>
      </c>
      <c r="J462" s="44"/>
    </row>
    <row r="463">
      <c r="A463" s="42" t="s">
        <v>330</v>
      </c>
      <c r="B463" s="11"/>
      <c r="C463" s="8"/>
      <c r="D463" s="8"/>
      <c r="E463" s="9"/>
      <c r="F463" s="10"/>
      <c r="G463" s="9"/>
      <c r="H463" s="11"/>
      <c r="I463" s="9" t="s">
        <v>13</v>
      </c>
      <c r="J463" s="44"/>
    </row>
    <row r="464">
      <c r="A464" s="42" t="s">
        <v>330</v>
      </c>
      <c r="B464" s="11"/>
      <c r="C464" s="8"/>
      <c r="D464" s="8"/>
      <c r="E464" s="9"/>
      <c r="F464" s="10"/>
      <c r="G464" s="9"/>
      <c r="H464" s="11"/>
      <c r="I464" s="9" t="s">
        <v>13</v>
      </c>
      <c r="J464" s="44"/>
    </row>
    <row r="465">
      <c r="A465" s="42" t="s">
        <v>330</v>
      </c>
      <c r="B465" s="11"/>
      <c r="C465" s="8"/>
      <c r="D465" s="8"/>
      <c r="E465" s="9"/>
      <c r="F465" s="10"/>
      <c r="G465" s="9"/>
      <c r="H465" s="11"/>
      <c r="I465" s="9" t="s">
        <v>13</v>
      </c>
      <c r="J465" s="44"/>
    </row>
    <row r="466">
      <c r="A466" s="42" t="s">
        <v>330</v>
      </c>
      <c r="B466" s="11"/>
      <c r="C466" s="8"/>
      <c r="D466" s="8"/>
      <c r="E466" s="9"/>
      <c r="F466" s="10"/>
      <c r="G466" s="9"/>
      <c r="H466" s="11"/>
      <c r="I466" s="9" t="s">
        <v>13</v>
      </c>
      <c r="J466" s="44"/>
    </row>
    <row r="467">
      <c r="A467" s="42" t="s">
        <v>330</v>
      </c>
      <c r="B467" s="11"/>
      <c r="C467" s="8"/>
      <c r="D467" s="8"/>
      <c r="E467" s="9"/>
      <c r="F467" s="10"/>
      <c r="G467" s="9"/>
      <c r="H467" s="11"/>
      <c r="I467" s="9" t="s">
        <v>13</v>
      </c>
      <c r="J467" s="44"/>
    </row>
    <row r="468">
      <c r="A468" s="42" t="s">
        <v>330</v>
      </c>
      <c r="B468" s="11"/>
      <c r="C468" s="8"/>
      <c r="D468" s="8"/>
      <c r="E468" s="9"/>
      <c r="F468" s="10"/>
      <c r="G468" s="9"/>
      <c r="H468" s="11"/>
      <c r="I468" s="9" t="s">
        <v>13</v>
      </c>
      <c r="J468" s="44"/>
    </row>
    <row r="469">
      <c r="A469" s="42" t="s">
        <v>330</v>
      </c>
      <c r="B469" s="11"/>
      <c r="C469" s="8"/>
      <c r="D469" s="8"/>
      <c r="E469" s="9"/>
      <c r="F469" s="10"/>
      <c r="G469" s="9"/>
      <c r="H469" s="11"/>
      <c r="I469" s="9" t="s">
        <v>13</v>
      </c>
      <c r="J469" s="44"/>
    </row>
    <row r="470">
      <c r="A470" s="42" t="s">
        <v>330</v>
      </c>
      <c r="B470" s="11"/>
      <c r="C470" s="8"/>
      <c r="D470" s="8"/>
      <c r="E470" s="9"/>
      <c r="F470" s="10"/>
      <c r="G470" s="9"/>
      <c r="H470" s="11"/>
      <c r="I470" s="9" t="s">
        <v>13</v>
      </c>
      <c r="J470" s="44"/>
    </row>
    <row r="471">
      <c r="A471" s="42" t="s">
        <v>330</v>
      </c>
      <c r="B471" s="11"/>
      <c r="C471" s="8"/>
      <c r="D471" s="8"/>
      <c r="E471" s="9"/>
      <c r="F471" s="10"/>
      <c r="G471" s="9"/>
      <c r="H471" s="11"/>
      <c r="I471" s="9" t="s">
        <v>13</v>
      </c>
      <c r="J471" s="44"/>
    </row>
    <row r="472">
      <c r="A472" s="42" t="s">
        <v>330</v>
      </c>
      <c r="B472" s="11"/>
      <c r="C472" s="8"/>
      <c r="D472" s="8"/>
      <c r="E472" s="9"/>
      <c r="F472" s="10"/>
      <c r="G472" s="9"/>
      <c r="H472" s="11"/>
      <c r="I472" s="9" t="s">
        <v>13</v>
      </c>
      <c r="J472" s="44"/>
    </row>
    <row r="473">
      <c r="A473" s="42" t="s">
        <v>330</v>
      </c>
      <c r="B473" s="11"/>
      <c r="C473" s="8"/>
      <c r="D473" s="8"/>
      <c r="E473" s="9"/>
      <c r="F473" s="10"/>
      <c r="G473" s="9"/>
      <c r="H473" s="11"/>
      <c r="I473" s="9" t="s">
        <v>13</v>
      </c>
      <c r="J473" s="44"/>
    </row>
    <row r="474">
      <c r="A474" s="42" t="s">
        <v>330</v>
      </c>
      <c r="B474" s="11"/>
      <c r="C474" s="8"/>
      <c r="D474" s="8"/>
      <c r="E474" s="9"/>
      <c r="F474" s="10"/>
      <c r="G474" s="9"/>
      <c r="H474" s="11"/>
      <c r="I474" s="9" t="s">
        <v>13</v>
      </c>
      <c r="J474" s="44"/>
    </row>
    <row r="475">
      <c r="A475" s="42" t="s">
        <v>330</v>
      </c>
      <c r="B475" s="11"/>
      <c r="C475" s="8"/>
      <c r="D475" s="8"/>
      <c r="E475" s="9"/>
      <c r="F475" s="10"/>
      <c r="G475" s="9"/>
      <c r="H475" s="11"/>
      <c r="I475" s="9" t="s">
        <v>13</v>
      </c>
      <c r="J475" s="44"/>
    </row>
    <row r="476">
      <c r="A476" s="42" t="s">
        <v>330</v>
      </c>
      <c r="B476" s="11"/>
      <c r="C476" s="8"/>
      <c r="D476" s="8"/>
      <c r="E476" s="9"/>
      <c r="F476" s="10"/>
      <c r="G476" s="9"/>
      <c r="H476" s="11"/>
      <c r="I476" s="9" t="s">
        <v>13</v>
      </c>
      <c r="J476" s="44"/>
    </row>
    <row r="477">
      <c r="A477" s="42" t="s">
        <v>330</v>
      </c>
      <c r="B477" s="11"/>
      <c r="C477" s="8"/>
      <c r="D477" s="8"/>
      <c r="E477" s="9"/>
      <c r="F477" s="10"/>
      <c r="G477" s="9"/>
      <c r="H477" s="11"/>
      <c r="I477" s="9" t="s">
        <v>13</v>
      </c>
      <c r="J477" s="44"/>
    </row>
    <row r="478">
      <c r="A478" s="42" t="s">
        <v>330</v>
      </c>
      <c r="B478" s="11"/>
      <c r="C478" s="8"/>
      <c r="D478" s="8"/>
      <c r="E478" s="9"/>
      <c r="F478" s="10"/>
      <c r="G478" s="9"/>
      <c r="H478" s="11"/>
      <c r="I478" s="9" t="s">
        <v>13</v>
      </c>
      <c r="J478" s="44"/>
    </row>
    <row r="479">
      <c r="A479" s="42" t="s">
        <v>330</v>
      </c>
      <c r="B479" s="11"/>
      <c r="C479" s="8"/>
      <c r="D479" s="8"/>
      <c r="E479" s="9"/>
      <c r="F479" s="10"/>
      <c r="G479" s="9"/>
      <c r="H479" s="11"/>
      <c r="I479" s="9" t="s">
        <v>13</v>
      </c>
      <c r="J479" s="44"/>
    </row>
    <row r="480">
      <c r="A480" s="42" t="s">
        <v>330</v>
      </c>
      <c r="B480" s="11"/>
      <c r="C480" s="8"/>
      <c r="D480" s="8"/>
      <c r="E480" s="9"/>
      <c r="F480" s="10"/>
      <c r="G480" s="9"/>
      <c r="H480" s="11"/>
      <c r="I480" s="9" t="s">
        <v>13</v>
      </c>
      <c r="J480" s="44"/>
    </row>
    <row r="481">
      <c r="A481" s="42" t="s">
        <v>330</v>
      </c>
      <c r="B481" s="11"/>
      <c r="C481" s="8"/>
      <c r="D481" s="8"/>
      <c r="E481" s="9"/>
      <c r="F481" s="10"/>
      <c r="G481" s="9"/>
      <c r="H481" s="11"/>
      <c r="I481" s="9" t="s">
        <v>13</v>
      </c>
      <c r="J481" s="44"/>
    </row>
    <row r="482">
      <c r="A482" s="42" t="s">
        <v>330</v>
      </c>
      <c r="B482" s="11"/>
      <c r="C482" s="8"/>
      <c r="D482" s="8"/>
      <c r="E482" s="9"/>
      <c r="F482" s="10"/>
      <c r="G482" s="9"/>
      <c r="H482" s="11"/>
      <c r="I482" s="9" t="s">
        <v>13</v>
      </c>
      <c r="J482" s="44"/>
    </row>
    <row r="483">
      <c r="A483" s="42" t="s">
        <v>330</v>
      </c>
      <c r="B483" s="11"/>
      <c r="C483" s="8"/>
      <c r="D483" s="8"/>
      <c r="E483" s="9"/>
      <c r="F483" s="10"/>
      <c r="G483" s="9"/>
      <c r="H483" s="11"/>
      <c r="I483" s="9" t="s">
        <v>13</v>
      </c>
      <c r="J483" s="44"/>
    </row>
    <row r="484">
      <c r="A484" s="42" t="s">
        <v>330</v>
      </c>
      <c r="B484" s="11"/>
      <c r="C484" s="8"/>
      <c r="D484" s="8"/>
      <c r="E484" s="9"/>
      <c r="F484" s="10"/>
      <c r="G484" s="9"/>
      <c r="H484" s="11"/>
      <c r="I484" s="9" t="s">
        <v>13</v>
      </c>
      <c r="J484" s="44"/>
    </row>
    <row r="485">
      <c r="A485" s="42" t="s">
        <v>330</v>
      </c>
      <c r="B485" s="11"/>
      <c r="C485" s="8"/>
      <c r="D485" s="8"/>
      <c r="E485" s="9"/>
      <c r="F485" s="10"/>
      <c r="G485" s="9"/>
      <c r="H485" s="11"/>
      <c r="I485" s="9" t="s">
        <v>13</v>
      </c>
      <c r="J485" s="44"/>
    </row>
    <row r="486">
      <c r="A486" s="42" t="s">
        <v>330</v>
      </c>
      <c r="B486" s="11"/>
      <c r="C486" s="8"/>
      <c r="D486" s="8"/>
      <c r="E486" s="9"/>
      <c r="F486" s="10"/>
      <c r="G486" s="9"/>
      <c r="H486" s="11"/>
      <c r="I486" s="9" t="s">
        <v>13</v>
      </c>
      <c r="J486" s="44"/>
    </row>
    <row r="487">
      <c r="A487" s="42" t="s">
        <v>330</v>
      </c>
      <c r="B487" s="11"/>
      <c r="C487" s="8"/>
      <c r="D487" s="8"/>
      <c r="E487" s="9"/>
      <c r="F487" s="10"/>
      <c r="G487" s="9"/>
      <c r="H487" s="11"/>
      <c r="I487" s="9" t="s">
        <v>13</v>
      </c>
      <c r="J487" s="44"/>
    </row>
    <row r="488">
      <c r="A488" s="42" t="s">
        <v>330</v>
      </c>
      <c r="B488" s="11"/>
      <c r="C488" s="8"/>
      <c r="D488" s="8"/>
      <c r="E488" s="9"/>
      <c r="F488" s="10"/>
      <c r="G488" s="9"/>
      <c r="H488" s="11"/>
      <c r="I488" s="9" t="s">
        <v>13</v>
      </c>
      <c r="J488" s="44"/>
    </row>
    <row r="489">
      <c r="A489" s="42" t="s">
        <v>330</v>
      </c>
      <c r="B489" s="11"/>
      <c r="C489" s="8"/>
      <c r="D489" s="8"/>
      <c r="E489" s="9"/>
      <c r="F489" s="10"/>
      <c r="G489" s="9"/>
      <c r="H489" s="11"/>
      <c r="I489" s="9" t="s">
        <v>13</v>
      </c>
      <c r="J489" s="44"/>
    </row>
    <row r="490">
      <c r="A490" s="42" t="s">
        <v>330</v>
      </c>
      <c r="B490" s="11"/>
      <c r="C490" s="8"/>
      <c r="D490" s="8"/>
      <c r="E490" s="9"/>
      <c r="F490" s="10"/>
      <c r="G490" s="9"/>
      <c r="H490" s="11"/>
      <c r="I490" s="9" t="s">
        <v>13</v>
      </c>
      <c r="J490" s="44"/>
    </row>
    <row r="491">
      <c r="A491" s="42" t="s">
        <v>330</v>
      </c>
      <c r="B491" s="11"/>
      <c r="C491" s="8"/>
      <c r="D491" s="8"/>
      <c r="E491" s="9"/>
      <c r="F491" s="10"/>
      <c r="G491" s="9"/>
      <c r="H491" s="11"/>
      <c r="I491" s="9" t="s">
        <v>13</v>
      </c>
      <c r="J491" s="44"/>
    </row>
    <row r="492">
      <c r="A492" s="42" t="s">
        <v>330</v>
      </c>
      <c r="B492" s="11"/>
      <c r="C492" s="8"/>
      <c r="D492" s="8"/>
      <c r="E492" s="9"/>
      <c r="F492" s="10"/>
      <c r="G492" s="9"/>
      <c r="H492" s="11"/>
      <c r="I492" s="9" t="s">
        <v>13</v>
      </c>
      <c r="J492" s="44"/>
    </row>
    <row r="493">
      <c r="A493" s="42" t="s">
        <v>330</v>
      </c>
      <c r="B493" s="11"/>
      <c r="C493" s="8"/>
      <c r="D493" s="8"/>
      <c r="E493" s="9"/>
      <c r="F493" s="10"/>
      <c r="G493" s="9"/>
      <c r="H493" s="11"/>
      <c r="I493" s="9" t="s">
        <v>13</v>
      </c>
      <c r="J493" s="44"/>
    </row>
    <row r="494">
      <c r="A494" s="42" t="s">
        <v>330</v>
      </c>
      <c r="B494" s="11"/>
      <c r="C494" s="8"/>
      <c r="D494" s="8"/>
      <c r="E494" s="9"/>
      <c r="F494" s="10"/>
      <c r="G494" s="9"/>
      <c r="H494" s="11"/>
      <c r="I494" s="9" t="s">
        <v>13</v>
      </c>
      <c r="J494" s="44"/>
    </row>
    <row r="495">
      <c r="A495" s="42" t="s">
        <v>330</v>
      </c>
      <c r="B495" s="11"/>
      <c r="C495" s="8"/>
      <c r="D495" s="8"/>
      <c r="E495" s="9"/>
      <c r="F495" s="10"/>
      <c r="G495" s="9"/>
      <c r="H495" s="11"/>
      <c r="I495" s="9" t="s">
        <v>13</v>
      </c>
      <c r="J495" s="44"/>
    </row>
    <row r="496">
      <c r="A496" s="42" t="s">
        <v>330</v>
      </c>
      <c r="B496" s="11"/>
      <c r="C496" s="8"/>
      <c r="D496" s="8"/>
      <c r="E496" s="9"/>
      <c r="F496" s="10"/>
      <c r="G496" s="9"/>
      <c r="H496" s="11"/>
      <c r="I496" s="9" t="s">
        <v>13</v>
      </c>
      <c r="J496" s="44"/>
    </row>
    <row r="497">
      <c r="A497" s="42" t="s">
        <v>330</v>
      </c>
      <c r="B497" s="11"/>
      <c r="C497" s="8"/>
      <c r="D497" s="8"/>
      <c r="E497" s="9"/>
      <c r="F497" s="10"/>
      <c r="G497" s="9"/>
      <c r="H497" s="11"/>
      <c r="I497" s="9" t="s">
        <v>13</v>
      </c>
      <c r="J497" s="44"/>
    </row>
    <row r="498">
      <c r="A498" s="42" t="s">
        <v>330</v>
      </c>
      <c r="B498" s="11"/>
      <c r="C498" s="8"/>
      <c r="D498" s="8"/>
      <c r="E498" s="9"/>
      <c r="F498" s="10"/>
      <c r="G498" s="9"/>
      <c r="H498" s="11"/>
      <c r="I498" s="9" t="s">
        <v>13</v>
      </c>
      <c r="J498" s="44"/>
    </row>
    <row r="499">
      <c r="A499" s="42" t="s">
        <v>330</v>
      </c>
      <c r="B499" s="11"/>
      <c r="C499" s="8"/>
      <c r="D499" s="8"/>
      <c r="E499" s="9"/>
      <c r="F499" s="10"/>
      <c r="G499" s="9"/>
      <c r="H499" s="11"/>
      <c r="I499" s="9" t="s">
        <v>13</v>
      </c>
      <c r="J499" s="44"/>
    </row>
    <row r="500">
      <c r="A500" s="42" t="s">
        <v>330</v>
      </c>
      <c r="B500" s="11"/>
      <c r="C500" s="8"/>
      <c r="D500" s="8"/>
      <c r="E500" s="9"/>
      <c r="F500" s="10"/>
      <c r="G500" s="9"/>
      <c r="H500" s="11"/>
      <c r="I500" s="9" t="s">
        <v>13</v>
      </c>
      <c r="J500" s="44"/>
    </row>
    <row r="501">
      <c r="A501" s="42" t="s">
        <v>330</v>
      </c>
      <c r="B501" s="11"/>
      <c r="C501" s="8"/>
      <c r="D501" s="8"/>
      <c r="E501" s="9"/>
      <c r="F501" s="10"/>
      <c r="G501" s="9"/>
      <c r="H501" s="11"/>
      <c r="I501" s="9" t="s">
        <v>13</v>
      </c>
      <c r="J501" s="44"/>
    </row>
    <row r="502">
      <c r="A502" s="42" t="s">
        <v>330</v>
      </c>
      <c r="B502" s="11"/>
      <c r="C502" s="8"/>
      <c r="D502" s="8"/>
      <c r="E502" s="9"/>
      <c r="F502" s="10"/>
      <c r="G502" s="9"/>
      <c r="H502" s="11"/>
      <c r="I502" s="9" t="s">
        <v>13</v>
      </c>
      <c r="J502" s="44"/>
    </row>
    <row r="503">
      <c r="A503" s="42" t="s">
        <v>330</v>
      </c>
      <c r="B503" s="11"/>
      <c r="C503" s="8"/>
      <c r="D503" s="8"/>
      <c r="E503" s="9"/>
      <c r="F503" s="10"/>
      <c r="G503" s="9"/>
      <c r="H503" s="11"/>
      <c r="I503" s="9" t="s">
        <v>13</v>
      </c>
      <c r="J503" s="44"/>
    </row>
    <row r="504">
      <c r="A504" s="42" t="s">
        <v>330</v>
      </c>
      <c r="B504" s="11"/>
      <c r="C504" s="8"/>
      <c r="D504" s="8"/>
      <c r="E504" s="9"/>
      <c r="F504" s="10"/>
      <c r="G504" s="9"/>
      <c r="H504" s="11"/>
      <c r="I504" s="9" t="s">
        <v>13</v>
      </c>
      <c r="J504" s="44"/>
    </row>
    <row r="505">
      <c r="A505" s="42" t="s">
        <v>330</v>
      </c>
      <c r="B505" s="11"/>
      <c r="C505" s="8"/>
      <c r="D505" s="8"/>
      <c r="E505" s="9"/>
      <c r="F505" s="10"/>
      <c r="G505" s="9"/>
      <c r="H505" s="11"/>
      <c r="I505" s="9" t="s">
        <v>13</v>
      </c>
      <c r="J505" s="44"/>
    </row>
    <row r="506">
      <c r="A506" s="42" t="s">
        <v>330</v>
      </c>
      <c r="B506" s="11"/>
      <c r="C506" s="8"/>
      <c r="D506" s="8"/>
      <c r="E506" s="9"/>
      <c r="F506" s="10"/>
      <c r="G506" s="9"/>
      <c r="H506" s="11"/>
      <c r="I506" s="9" t="s">
        <v>13</v>
      </c>
      <c r="J506" s="44"/>
    </row>
    <row r="507">
      <c r="A507" s="42" t="s">
        <v>330</v>
      </c>
      <c r="B507" s="11"/>
      <c r="C507" s="8"/>
      <c r="D507" s="8"/>
      <c r="E507" s="9"/>
      <c r="F507" s="10"/>
      <c r="G507" s="9"/>
      <c r="H507" s="11"/>
      <c r="I507" s="9" t="s">
        <v>13</v>
      </c>
      <c r="J507" s="44"/>
    </row>
    <row r="508">
      <c r="A508" s="42" t="s">
        <v>330</v>
      </c>
      <c r="B508" s="11"/>
      <c r="C508" s="8"/>
      <c r="D508" s="8"/>
      <c r="E508" s="9"/>
      <c r="F508" s="10"/>
      <c r="G508" s="9"/>
      <c r="H508" s="11"/>
      <c r="I508" s="9" t="s">
        <v>13</v>
      </c>
      <c r="J508" s="44"/>
    </row>
    <row r="509">
      <c r="A509" s="42" t="s">
        <v>330</v>
      </c>
      <c r="B509" s="11"/>
      <c r="C509" s="8"/>
      <c r="D509" s="8"/>
      <c r="E509" s="9"/>
      <c r="F509" s="10"/>
      <c r="G509" s="9"/>
      <c r="H509" s="11"/>
      <c r="I509" s="9" t="s">
        <v>13</v>
      </c>
      <c r="J509" s="44"/>
    </row>
    <row r="510">
      <c r="A510" s="42" t="s">
        <v>330</v>
      </c>
      <c r="B510" s="11"/>
      <c r="C510" s="8"/>
      <c r="D510" s="8"/>
      <c r="E510" s="9"/>
      <c r="F510" s="10"/>
      <c r="G510" s="9"/>
      <c r="H510" s="11"/>
      <c r="I510" s="9" t="s">
        <v>13</v>
      </c>
      <c r="J510" s="44"/>
    </row>
    <row r="511">
      <c r="A511" s="42" t="s">
        <v>330</v>
      </c>
      <c r="B511" s="11"/>
      <c r="C511" s="8"/>
      <c r="D511" s="8"/>
      <c r="E511" s="9"/>
      <c r="F511" s="10"/>
      <c r="G511" s="9"/>
      <c r="H511" s="11"/>
      <c r="I511" s="9" t="s">
        <v>13</v>
      </c>
      <c r="J511" s="44"/>
    </row>
    <row r="512">
      <c r="A512" s="42" t="s">
        <v>330</v>
      </c>
      <c r="B512" s="11"/>
      <c r="C512" s="8"/>
      <c r="D512" s="8"/>
      <c r="E512" s="9"/>
      <c r="F512" s="10"/>
      <c r="G512" s="9"/>
      <c r="H512" s="11"/>
      <c r="I512" s="9" t="s">
        <v>13</v>
      </c>
      <c r="J512" s="44"/>
    </row>
    <row r="513">
      <c r="A513" s="42" t="s">
        <v>330</v>
      </c>
      <c r="B513" s="11"/>
      <c r="C513" s="8"/>
      <c r="D513" s="8"/>
      <c r="E513" s="9"/>
      <c r="F513" s="10"/>
      <c r="G513" s="9"/>
      <c r="H513" s="11"/>
      <c r="I513" s="9" t="s">
        <v>13</v>
      </c>
      <c r="J513" s="44"/>
    </row>
    <row r="514">
      <c r="A514" s="42" t="s">
        <v>330</v>
      </c>
      <c r="B514" s="11"/>
      <c r="C514" s="8"/>
      <c r="D514" s="8"/>
      <c r="E514" s="9"/>
      <c r="F514" s="10"/>
      <c r="G514" s="9"/>
      <c r="H514" s="11"/>
      <c r="I514" s="9" t="s">
        <v>13</v>
      </c>
      <c r="J514" s="44"/>
    </row>
    <row r="515">
      <c r="A515" s="42" t="s">
        <v>330</v>
      </c>
      <c r="B515" s="11"/>
      <c r="C515" s="8"/>
      <c r="D515" s="8"/>
      <c r="E515" s="9"/>
      <c r="F515" s="10"/>
      <c r="G515" s="9"/>
      <c r="H515" s="11"/>
      <c r="I515" s="9" t="s">
        <v>13</v>
      </c>
      <c r="J515" s="44"/>
    </row>
    <row r="516">
      <c r="A516" s="42" t="s">
        <v>330</v>
      </c>
      <c r="B516" s="11"/>
      <c r="C516" s="8"/>
      <c r="D516" s="8"/>
      <c r="E516" s="9"/>
      <c r="F516" s="10"/>
      <c r="G516" s="9"/>
      <c r="H516" s="11"/>
      <c r="I516" s="9" t="s">
        <v>13</v>
      </c>
      <c r="J516" s="44"/>
    </row>
    <row r="517">
      <c r="A517" s="42" t="s">
        <v>330</v>
      </c>
      <c r="B517" s="11"/>
      <c r="C517" s="8"/>
      <c r="D517" s="8"/>
      <c r="E517" s="9"/>
      <c r="F517" s="10"/>
      <c r="G517" s="9"/>
      <c r="H517" s="11"/>
      <c r="I517" s="9" t="s">
        <v>13</v>
      </c>
      <c r="J517" s="44"/>
    </row>
    <row r="518">
      <c r="A518" s="42" t="s">
        <v>330</v>
      </c>
      <c r="B518" s="11"/>
      <c r="C518" s="8"/>
      <c r="D518" s="8"/>
      <c r="E518" s="9"/>
      <c r="F518" s="10"/>
      <c r="G518" s="9"/>
      <c r="H518" s="11"/>
      <c r="I518" s="9" t="s">
        <v>13</v>
      </c>
      <c r="J518" s="44"/>
    </row>
    <row r="519">
      <c r="A519" s="42" t="s">
        <v>330</v>
      </c>
      <c r="B519" s="11"/>
      <c r="C519" s="8"/>
      <c r="D519" s="8"/>
      <c r="E519" s="9"/>
      <c r="F519" s="10"/>
      <c r="G519" s="9"/>
      <c r="H519" s="11"/>
      <c r="I519" s="9" t="s">
        <v>13</v>
      </c>
      <c r="J519" s="44"/>
    </row>
    <row r="520">
      <c r="A520" s="42" t="s">
        <v>330</v>
      </c>
      <c r="B520" s="11"/>
      <c r="C520" s="8"/>
      <c r="D520" s="8"/>
      <c r="E520" s="9"/>
      <c r="F520" s="10"/>
      <c r="G520" s="9"/>
      <c r="H520" s="11"/>
      <c r="I520" s="9" t="s">
        <v>13</v>
      </c>
      <c r="J520" s="44"/>
    </row>
    <row r="521">
      <c r="A521" s="42" t="s">
        <v>330</v>
      </c>
      <c r="B521" s="11"/>
      <c r="C521" s="8"/>
      <c r="D521" s="8"/>
      <c r="E521" s="9"/>
      <c r="F521" s="10"/>
      <c r="G521" s="9"/>
      <c r="H521" s="11"/>
      <c r="I521" s="9" t="s">
        <v>13</v>
      </c>
      <c r="J521" s="44"/>
    </row>
    <row r="522">
      <c r="A522" s="42" t="s">
        <v>330</v>
      </c>
      <c r="B522" s="11"/>
      <c r="C522" s="8"/>
      <c r="D522" s="8"/>
      <c r="E522" s="9"/>
      <c r="F522" s="10"/>
      <c r="G522" s="9"/>
      <c r="H522" s="11"/>
      <c r="I522" s="9" t="s">
        <v>13</v>
      </c>
      <c r="J522" s="44"/>
    </row>
    <row r="523">
      <c r="A523" s="42" t="s">
        <v>330</v>
      </c>
      <c r="B523" s="11"/>
      <c r="C523" s="8"/>
      <c r="D523" s="8"/>
      <c r="E523" s="9"/>
      <c r="F523" s="10"/>
      <c r="G523" s="9"/>
      <c r="H523" s="11"/>
      <c r="I523" s="9" t="s">
        <v>13</v>
      </c>
      <c r="J523" s="44"/>
    </row>
    <row r="524">
      <c r="A524" s="42" t="s">
        <v>330</v>
      </c>
      <c r="B524" s="11"/>
      <c r="C524" s="8"/>
      <c r="D524" s="8"/>
      <c r="E524" s="9"/>
      <c r="F524" s="10"/>
      <c r="G524" s="9"/>
      <c r="H524" s="11"/>
      <c r="I524" s="9" t="s">
        <v>13</v>
      </c>
      <c r="J524" s="44"/>
    </row>
    <row r="525">
      <c r="A525" s="42" t="s">
        <v>330</v>
      </c>
      <c r="B525" s="11"/>
      <c r="C525" s="8"/>
      <c r="D525" s="8"/>
      <c r="E525" s="9"/>
      <c r="F525" s="10"/>
      <c r="G525" s="9"/>
      <c r="H525" s="11"/>
      <c r="I525" s="9" t="s">
        <v>13</v>
      </c>
      <c r="J525" s="44"/>
    </row>
    <row r="526">
      <c r="A526" s="42" t="s">
        <v>330</v>
      </c>
      <c r="B526" s="11"/>
      <c r="C526" s="8"/>
      <c r="D526" s="8"/>
      <c r="E526" s="9"/>
      <c r="F526" s="10"/>
      <c r="G526" s="9"/>
      <c r="H526" s="11"/>
      <c r="I526" s="9" t="s">
        <v>13</v>
      </c>
      <c r="J526" s="44"/>
    </row>
    <row r="527">
      <c r="A527" s="42" t="s">
        <v>330</v>
      </c>
      <c r="B527" s="11"/>
      <c r="C527" s="8"/>
      <c r="D527" s="8"/>
      <c r="E527" s="9"/>
      <c r="F527" s="10"/>
      <c r="G527" s="9"/>
      <c r="H527" s="11"/>
      <c r="I527" s="9" t="s">
        <v>13</v>
      </c>
      <c r="J527" s="44"/>
    </row>
    <row r="528">
      <c r="A528" s="42" t="s">
        <v>330</v>
      </c>
      <c r="B528" s="11"/>
      <c r="C528" s="8"/>
      <c r="D528" s="8"/>
      <c r="E528" s="9"/>
      <c r="F528" s="10"/>
      <c r="G528" s="9"/>
      <c r="H528" s="11"/>
      <c r="I528" s="9" t="s">
        <v>13</v>
      </c>
      <c r="J528" s="44"/>
    </row>
    <row r="529">
      <c r="A529" s="42" t="s">
        <v>330</v>
      </c>
      <c r="B529" s="11"/>
      <c r="C529" s="8"/>
      <c r="D529" s="8"/>
      <c r="E529" s="9"/>
      <c r="F529" s="10"/>
      <c r="G529" s="9"/>
      <c r="H529" s="11"/>
      <c r="I529" s="9" t="s">
        <v>13</v>
      </c>
      <c r="J529" s="44"/>
    </row>
    <row r="530">
      <c r="A530" s="42" t="s">
        <v>330</v>
      </c>
      <c r="B530" s="11"/>
      <c r="C530" s="8"/>
      <c r="D530" s="8"/>
      <c r="E530" s="9"/>
      <c r="F530" s="10"/>
      <c r="G530" s="9"/>
      <c r="H530" s="11"/>
      <c r="I530" s="9" t="s">
        <v>13</v>
      </c>
      <c r="J530" s="44"/>
    </row>
    <row r="531">
      <c r="A531" s="42" t="s">
        <v>330</v>
      </c>
      <c r="B531" s="11"/>
      <c r="C531" s="8"/>
      <c r="D531" s="8"/>
      <c r="E531" s="9"/>
      <c r="F531" s="10"/>
      <c r="G531" s="9"/>
      <c r="H531" s="11"/>
      <c r="I531" s="9" t="s">
        <v>13</v>
      </c>
      <c r="J531" s="44"/>
    </row>
    <row r="532">
      <c r="A532" s="42" t="s">
        <v>330</v>
      </c>
      <c r="B532" s="11"/>
      <c r="C532" s="8"/>
      <c r="D532" s="8"/>
      <c r="E532" s="9"/>
      <c r="F532" s="10"/>
      <c r="G532" s="9"/>
      <c r="H532" s="11"/>
      <c r="I532" s="9" t="s">
        <v>13</v>
      </c>
      <c r="J532" s="44"/>
    </row>
    <row r="533">
      <c r="A533" s="42" t="s">
        <v>330</v>
      </c>
      <c r="B533" s="11"/>
      <c r="C533" s="8"/>
      <c r="D533" s="8"/>
      <c r="E533" s="9"/>
      <c r="F533" s="10"/>
      <c r="G533" s="9"/>
      <c r="H533" s="11"/>
      <c r="I533" s="9" t="s">
        <v>13</v>
      </c>
      <c r="J533" s="44"/>
    </row>
    <row r="534">
      <c r="A534" s="42" t="s">
        <v>330</v>
      </c>
      <c r="B534" s="11"/>
      <c r="C534" s="8"/>
      <c r="D534" s="8"/>
      <c r="E534" s="9"/>
      <c r="F534" s="10"/>
      <c r="G534" s="9"/>
      <c r="H534" s="11"/>
      <c r="I534" s="9" t="s">
        <v>13</v>
      </c>
      <c r="J534" s="44"/>
    </row>
    <row r="535">
      <c r="A535" s="42" t="s">
        <v>330</v>
      </c>
      <c r="B535" s="11"/>
      <c r="C535" s="8"/>
      <c r="D535" s="8"/>
      <c r="E535" s="9"/>
      <c r="F535" s="10"/>
      <c r="G535" s="9"/>
      <c r="H535" s="11"/>
      <c r="I535" s="9" t="s">
        <v>13</v>
      </c>
      <c r="J535" s="44"/>
    </row>
    <row r="536">
      <c r="A536" s="42" t="s">
        <v>330</v>
      </c>
      <c r="B536" s="11"/>
      <c r="C536" s="8"/>
      <c r="D536" s="8"/>
      <c r="E536" s="9"/>
      <c r="F536" s="10"/>
      <c r="G536" s="9"/>
      <c r="H536" s="11"/>
      <c r="I536" s="9" t="s">
        <v>13</v>
      </c>
      <c r="J536" s="44"/>
    </row>
    <row r="537">
      <c r="A537" s="42" t="s">
        <v>330</v>
      </c>
      <c r="B537" s="11"/>
      <c r="C537" s="8"/>
      <c r="D537" s="8"/>
      <c r="E537" s="9"/>
      <c r="F537" s="10"/>
      <c r="G537" s="9"/>
      <c r="H537" s="11"/>
      <c r="I537" s="9" t="s">
        <v>13</v>
      </c>
      <c r="J537" s="44"/>
    </row>
    <row r="538">
      <c r="A538" s="42" t="s">
        <v>330</v>
      </c>
      <c r="B538" s="11"/>
      <c r="C538" s="8"/>
      <c r="D538" s="8"/>
      <c r="E538" s="9"/>
      <c r="F538" s="10"/>
      <c r="G538" s="9"/>
      <c r="H538" s="11"/>
      <c r="I538" s="9" t="s">
        <v>13</v>
      </c>
      <c r="J538" s="44"/>
    </row>
    <row r="539">
      <c r="A539" s="42" t="s">
        <v>330</v>
      </c>
      <c r="B539" s="11"/>
      <c r="C539" s="8"/>
      <c r="D539" s="8"/>
      <c r="E539" s="9"/>
      <c r="F539" s="10"/>
      <c r="G539" s="9"/>
      <c r="H539" s="11"/>
      <c r="I539" s="9" t="s">
        <v>13</v>
      </c>
      <c r="J539" s="44"/>
    </row>
    <row r="540">
      <c r="A540" s="42" t="s">
        <v>330</v>
      </c>
      <c r="B540" s="11"/>
      <c r="C540" s="8"/>
      <c r="D540" s="8"/>
      <c r="E540" s="9"/>
      <c r="F540" s="10"/>
      <c r="G540" s="9"/>
      <c r="H540" s="11"/>
      <c r="I540" s="9" t="s">
        <v>13</v>
      </c>
      <c r="J540" s="44"/>
    </row>
    <row r="541">
      <c r="A541" s="42" t="s">
        <v>330</v>
      </c>
      <c r="B541" s="11"/>
      <c r="C541" s="8"/>
      <c r="D541" s="8"/>
      <c r="E541" s="9"/>
      <c r="F541" s="10"/>
      <c r="G541" s="9"/>
      <c r="H541" s="11"/>
      <c r="I541" s="9" t="s">
        <v>13</v>
      </c>
      <c r="J541" s="44"/>
    </row>
    <row r="542">
      <c r="A542" s="42" t="s">
        <v>330</v>
      </c>
      <c r="B542" s="11"/>
      <c r="C542" s="8"/>
      <c r="D542" s="8"/>
      <c r="E542" s="9"/>
      <c r="F542" s="10"/>
      <c r="G542" s="9"/>
      <c r="H542" s="11"/>
      <c r="I542" s="9" t="s">
        <v>13</v>
      </c>
      <c r="J542" s="44"/>
    </row>
    <row r="543">
      <c r="A543" s="42" t="s">
        <v>330</v>
      </c>
      <c r="B543" s="11"/>
      <c r="C543" s="8"/>
      <c r="D543" s="8"/>
      <c r="E543" s="9"/>
      <c r="F543" s="10"/>
      <c r="G543" s="9"/>
      <c r="H543" s="11"/>
      <c r="I543" s="9" t="s">
        <v>13</v>
      </c>
      <c r="J543" s="44"/>
    </row>
    <row r="544">
      <c r="A544" s="42" t="s">
        <v>330</v>
      </c>
      <c r="B544" s="11"/>
      <c r="C544" s="8"/>
      <c r="D544" s="8"/>
      <c r="E544" s="9"/>
      <c r="F544" s="10"/>
      <c r="G544" s="9"/>
      <c r="H544" s="11"/>
      <c r="I544" s="9" t="s">
        <v>13</v>
      </c>
      <c r="J544" s="44"/>
    </row>
    <row r="545">
      <c r="A545" s="42" t="s">
        <v>330</v>
      </c>
      <c r="B545" s="11"/>
      <c r="C545" s="8"/>
      <c r="D545" s="8"/>
      <c r="E545" s="9"/>
      <c r="F545" s="10"/>
      <c r="G545" s="9"/>
      <c r="H545" s="11"/>
      <c r="I545" s="9" t="s">
        <v>13</v>
      </c>
      <c r="J545" s="44"/>
    </row>
    <row r="546">
      <c r="A546" s="42" t="s">
        <v>330</v>
      </c>
      <c r="B546" s="11"/>
      <c r="C546" s="8"/>
      <c r="D546" s="8"/>
      <c r="E546" s="9"/>
      <c r="F546" s="10"/>
      <c r="G546" s="9"/>
      <c r="H546" s="11"/>
      <c r="I546" s="9" t="s">
        <v>13</v>
      </c>
      <c r="J546" s="44"/>
    </row>
    <row r="547">
      <c r="A547" s="42" t="s">
        <v>330</v>
      </c>
      <c r="B547" s="11"/>
      <c r="C547" s="8"/>
      <c r="D547" s="8"/>
      <c r="E547" s="9"/>
      <c r="F547" s="10"/>
      <c r="G547" s="9"/>
      <c r="H547" s="11"/>
      <c r="I547" s="9" t="s">
        <v>13</v>
      </c>
      <c r="J547" s="44"/>
    </row>
    <row r="548">
      <c r="A548" s="42" t="s">
        <v>330</v>
      </c>
      <c r="B548" s="11"/>
      <c r="C548" s="8"/>
      <c r="D548" s="8"/>
      <c r="E548" s="9"/>
      <c r="F548" s="10"/>
      <c r="G548" s="9"/>
      <c r="H548" s="11"/>
      <c r="I548" s="9" t="s">
        <v>13</v>
      </c>
      <c r="J548" s="44"/>
    </row>
    <row r="549">
      <c r="A549" s="42" t="s">
        <v>330</v>
      </c>
      <c r="B549" s="11"/>
      <c r="C549" s="8"/>
      <c r="D549" s="8"/>
      <c r="E549" s="9"/>
      <c r="F549" s="10"/>
      <c r="G549" s="9"/>
      <c r="H549" s="11"/>
      <c r="I549" s="9" t="s">
        <v>13</v>
      </c>
      <c r="J549" s="44"/>
    </row>
    <row r="550">
      <c r="A550" s="42" t="s">
        <v>330</v>
      </c>
      <c r="B550" s="11"/>
      <c r="C550" s="8"/>
      <c r="D550" s="8"/>
      <c r="E550" s="9"/>
      <c r="F550" s="10"/>
      <c r="G550" s="9"/>
      <c r="H550" s="11"/>
      <c r="I550" s="9" t="s">
        <v>13</v>
      </c>
      <c r="J550" s="44"/>
    </row>
    <row r="551">
      <c r="A551" s="42" t="s">
        <v>330</v>
      </c>
      <c r="B551" s="11"/>
      <c r="C551" s="8"/>
      <c r="D551" s="8"/>
      <c r="E551" s="9"/>
      <c r="F551" s="10"/>
      <c r="G551" s="9"/>
      <c r="H551" s="11"/>
      <c r="I551" s="9" t="s">
        <v>13</v>
      </c>
      <c r="J551" s="44"/>
    </row>
    <row r="552">
      <c r="A552" s="42" t="s">
        <v>330</v>
      </c>
      <c r="B552" s="11"/>
      <c r="C552" s="8"/>
      <c r="D552" s="8"/>
      <c r="E552" s="9"/>
      <c r="F552" s="10"/>
      <c r="G552" s="9"/>
      <c r="H552" s="11"/>
      <c r="I552" s="9" t="s">
        <v>13</v>
      </c>
      <c r="J552" s="44"/>
    </row>
    <row r="553">
      <c r="A553" s="42" t="s">
        <v>330</v>
      </c>
      <c r="B553" s="11"/>
      <c r="C553" s="8"/>
      <c r="D553" s="8"/>
      <c r="E553" s="9"/>
      <c r="F553" s="10"/>
      <c r="G553" s="9"/>
      <c r="H553" s="11"/>
      <c r="I553" s="9" t="s">
        <v>13</v>
      </c>
      <c r="J553" s="44"/>
    </row>
    <row r="554">
      <c r="A554" s="42" t="s">
        <v>330</v>
      </c>
      <c r="B554" s="11"/>
      <c r="C554" s="8"/>
      <c r="D554" s="8"/>
      <c r="E554" s="9"/>
      <c r="F554" s="10"/>
      <c r="G554" s="9"/>
      <c r="H554" s="11"/>
      <c r="I554" s="9" t="s">
        <v>13</v>
      </c>
      <c r="J554" s="44"/>
    </row>
    <row r="555">
      <c r="A555" s="42" t="s">
        <v>330</v>
      </c>
      <c r="B555" s="11"/>
      <c r="C555" s="8"/>
      <c r="D555" s="8"/>
      <c r="E555" s="9"/>
      <c r="F555" s="10"/>
      <c r="G555" s="9"/>
      <c r="H555" s="11"/>
      <c r="I555" s="9" t="s">
        <v>13</v>
      </c>
      <c r="J555" s="44"/>
    </row>
    <row r="556">
      <c r="A556" s="42" t="s">
        <v>330</v>
      </c>
      <c r="B556" s="11"/>
      <c r="C556" s="8"/>
      <c r="D556" s="8"/>
      <c r="E556" s="9"/>
      <c r="F556" s="10"/>
      <c r="G556" s="9"/>
      <c r="H556" s="11"/>
      <c r="I556" s="9" t="s">
        <v>13</v>
      </c>
      <c r="J556" s="44"/>
    </row>
    <row r="557">
      <c r="A557" s="42" t="s">
        <v>330</v>
      </c>
      <c r="B557" s="11"/>
      <c r="C557" s="8"/>
      <c r="D557" s="8"/>
      <c r="E557" s="9"/>
      <c r="F557" s="10"/>
      <c r="G557" s="9"/>
      <c r="H557" s="11"/>
      <c r="I557" s="9" t="s">
        <v>13</v>
      </c>
      <c r="J557" s="44"/>
    </row>
    <row r="558">
      <c r="A558" s="42" t="s">
        <v>330</v>
      </c>
      <c r="B558" s="11"/>
      <c r="C558" s="8"/>
      <c r="D558" s="8"/>
      <c r="E558" s="9"/>
      <c r="F558" s="10"/>
      <c r="G558" s="9"/>
      <c r="H558" s="11"/>
      <c r="I558" s="9" t="s">
        <v>13</v>
      </c>
      <c r="J558" s="44"/>
    </row>
    <row r="559">
      <c r="A559" s="42" t="s">
        <v>330</v>
      </c>
      <c r="B559" s="11"/>
      <c r="C559" s="8"/>
      <c r="D559" s="8"/>
      <c r="E559" s="9"/>
      <c r="F559" s="10"/>
      <c r="G559" s="9"/>
      <c r="H559" s="11"/>
      <c r="I559" s="9" t="s">
        <v>13</v>
      </c>
      <c r="J559" s="44"/>
    </row>
    <row r="560">
      <c r="A560" s="42" t="s">
        <v>330</v>
      </c>
      <c r="B560" s="11"/>
      <c r="C560" s="8"/>
      <c r="D560" s="8"/>
      <c r="E560" s="9"/>
      <c r="F560" s="10"/>
      <c r="G560" s="9"/>
      <c r="H560" s="11"/>
      <c r="I560" s="9" t="s">
        <v>13</v>
      </c>
      <c r="J560" s="44"/>
    </row>
    <row r="561">
      <c r="A561" s="42" t="s">
        <v>330</v>
      </c>
      <c r="B561" s="11"/>
      <c r="C561" s="8"/>
      <c r="D561" s="8"/>
      <c r="E561" s="9"/>
      <c r="F561" s="10"/>
      <c r="G561" s="9"/>
      <c r="H561" s="11"/>
      <c r="I561" s="9" t="s">
        <v>13</v>
      </c>
      <c r="J561" s="44"/>
    </row>
    <row r="562">
      <c r="A562" s="42" t="s">
        <v>330</v>
      </c>
      <c r="B562" s="11"/>
      <c r="C562" s="8"/>
      <c r="D562" s="8"/>
      <c r="E562" s="9"/>
      <c r="F562" s="10"/>
      <c r="G562" s="9"/>
      <c r="H562" s="11"/>
      <c r="I562" s="9" t="s">
        <v>13</v>
      </c>
      <c r="J562" s="44"/>
    </row>
    <row r="563">
      <c r="A563" s="42" t="s">
        <v>330</v>
      </c>
      <c r="B563" s="11"/>
      <c r="C563" s="8"/>
      <c r="D563" s="8"/>
      <c r="E563" s="9"/>
      <c r="F563" s="10"/>
      <c r="G563" s="9"/>
      <c r="H563" s="11"/>
      <c r="I563" s="9" t="s">
        <v>13</v>
      </c>
      <c r="J563" s="44"/>
    </row>
    <row r="564">
      <c r="A564" s="42" t="s">
        <v>330</v>
      </c>
      <c r="B564" s="11"/>
      <c r="C564" s="8"/>
      <c r="D564" s="8"/>
      <c r="E564" s="9"/>
      <c r="F564" s="10"/>
      <c r="G564" s="9"/>
      <c r="H564" s="11"/>
      <c r="I564" s="9" t="s">
        <v>13</v>
      </c>
      <c r="J564" s="44"/>
    </row>
    <row r="565">
      <c r="A565" s="42" t="s">
        <v>330</v>
      </c>
      <c r="B565" s="11"/>
      <c r="C565" s="8"/>
      <c r="D565" s="8"/>
      <c r="E565" s="9"/>
      <c r="F565" s="10"/>
      <c r="G565" s="9"/>
      <c r="H565" s="11"/>
      <c r="I565" s="9" t="s">
        <v>13</v>
      </c>
      <c r="J565" s="44"/>
    </row>
    <row r="566">
      <c r="A566" s="42" t="s">
        <v>330</v>
      </c>
      <c r="B566" s="11"/>
      <c r="C566" s="8"/>
      <c r="D566" s="8"/>
      <c r="E566" s="9"/>
      <c r="F566" s="10"/>
      <c r="G566" s="9"/>
      <c r="H566" s="11"/>
      <c r="I566" s="9" t="s">
        <v>13</v>
      </c>
      <c r="J566" s="44"/>
    </row>
    <row r="567">
      <c r="A567" s="42" t="s">
        <v>330</v>
      </c>
      <c r="B567" s="11"/>
      <c r="C567" s="8"/>
      <c r="D567" s="8"/>
      <c r="E567" s="9"/>
      <c r="F567" s="10"/>
      <c r="G567" s="9"/>
      <c r="H567" s="11"/>
      <c r="I567" s="9" t="s">
        <v>13</v>
      </c>
      <c r="J567" s="44"/>
    </row>
    <row r="568">
      <c r="A568" s="42" t="s">
        <v>330</v>
      </c>
      <c r="B568" s="11"/>
      <c r="C568" s="8"/>
      <c r="D568" s="8"/>
      <c r="E568" s="9"/>
      <c r="F568" s="10"/>
      <c r="G568" s="9"/>
      <c r="H568" s="11"/>
      <c r="I568" s="9" t="s">
        <v>13</v>
      </c>
      <c r="J568" s="44"/>
    </row>
    <row r="569">
      <c r="A569" s="42" t="s">
        <v>330</v>
      </c>
      <c r="B569" s="11"/>
      <c r="C569" s="8"/>
      <c r="D569" s="8"/>
      <c r="E569" s="9"/>
      <c r="F569" s="10"/>
      <c r="G569" s="9"/>
      <c r="H569" s="11"/>
      <c r="I569" s="9" t="s">
        <v>13</v>
      </c>
      <c r="J569" s="44"/>
    </row>
    <row r="570">
      <c r="A570" s="42" t="s">
        <v>330</v>
      </c>
      <c r="B570" s="11"/>
      <c r="C570" s="8"/>
      <c r="D570" s="8"/>
      <c r="E570" s="9"/>
      <c r="F570" s="10"/>
      <c r="G570" s="9"/>
      <c r="H570" s="11"/>
      <c r="I570" s="9" t="s">
        <v>13</v>
      </c>
      <c r="J570" s="44"/>
    </row>
    <row r="571">
      <c r="A571" s="42" t="s">
        <v>330</v>
      </c>
      <c r="B571" s="11"/>
      <c r="C571" s="8"/>
      <c r="D571" s="8"/>
      <c r="E571" s="9"/>
      <c r="F571" s="10"/>
      <c r="G571" s="9"/>
      <c r="H571" s="11"/>
      <c r="I571" s="9" t="s">
        <v>13</v>
      </c>
      <c r="J571" s="44"/>
    </row>
    <row r="572">
      <c r="A572" s="42" t="s">
        <v>330</v>
      </c>
      <c r="B572" s="11"/>
      <c r="C572" s="8"/>
      <c r="D572" s="8"/>
      <c r="E572" s="9"/>
      <c r="F572" s="10"/>
      <c r="G572" s="9"/>
      <c r="H572" s="11"/>
      <c r="I572" s="9" t="s">
        <v>13</v>
      </c>
      <c r="J572" s="44"/>
    </row>
    <row r="573">
      <c r="A573" s="42" t="s">
        <v>330</v>
      </c>
      <c r="B573" s="11"/>
      <c r="C573" s="8"/>
      <c r="D573" s="8"/>
      <c r="E573" s="9"/>
      <c r="F573" s="10"/>
      <c r="G573" s="9"/>
      <c r="H573" s="11"/>
      <c r="I573" s="9" t="s">
        <v>13</v>
      </c>
      <c r="J573" s="44"/>
    </row>
    <row r="574">
      <c r="A574" s="42" t="s">
        <v>330</v>
      </c>
      <c r="B574" s="11"/>
      <c r="C574" s="8"/>
      <c r="D574" s="8"/>
      <c r="E574" s="9"/>
      <c r="F574" s="10"/>
      <c r="G574" s="9"/>
      <c r="H574" s="11"/>
      <c r="I574" s="9" t="s">
        <v>13</v>
      </c>
      <c r="J574" s="44"/>
    </row>
    <row r="575">
      <c r="A575" s="42" t="s">
        <v>330</v>
      </c>
      <c r="B575" s="11"/>
      <c r="C575" s="8"/>
      <c r="D575" s="8"/>
      <c r="E575" s="9"/>
      <c r="F575" s="10"/>
      <c r="G575" s="9"/>
      <c r="H575" s="11"/>
      <c r="I575" s="9" t="s">
        <v>13</v>
      </c>
      <c r="J575" s="44"/>
    </row>
    <row r="576">
      <c r="A576" s="42" t="s">
        <v>330</v>
      </c>
      <c r="B576" s="11"/>
      <c r="C576" s="8"/>
      <c r="D576" s="8"/>
      <c r="E576" s="9"/>
      <c r="F576" s="10"/>
      <c r="G576" s="9"/>
      <c r="H576" s="11"/>
      <c r="I576" s="9" t="s">
        <v>13</v>
      </c>
      <c r="J576" s="44"/>
    </row>
    <row r="577">
      <c r="A577" s="42" t="s">
        <v>330</v>
      </c>
      <c r="B577" s="11"/>
      <c r="C577" s="8"/>
      <c r="D577" s="8"/>
      <c r="E577" s="9"/>
      <c r="F577" s="10"/>
      <c r="G577" s="9"/>
      <c r="H577" s="11"/>
      <c r="I577" s="9" t="s">
        <v>13</v>
      </c>
      <c r="J577" s="44"/>
    </row>
    <row r="578">
      <c r="A578" s="42" t="s">
        <v>330</v>
      </c>
      <c r="B578" s="11"/>
      <c r="C578" s="8"/>
      <c r="D578" s="8"/>
      <c r="E578" s="9"/>
      <c r="F578" s="10"/>
      <c r="G578" s="9"/>
      <c r="H578" s="11"/>
      <c r="I578" s="9" t="s">
        <v>13</v>
      </c>
      <c r="J578" s="44"/>
    </row>
    <row r="579">
      <c r="A579" s="42" t="s">
        <v>330</v>
      </c>
      <c r="B579" s="11"/>
      <c r="C579" s="8"/>
      <c r="D579" s="8"/>
      <c r="E579" s="9"/>
      <c r="F579" s="10"/>
      <c r="G579" s="9"/>
      <c r="H579" s="11"/>
      <c r="I579" s="9" t="s">
        <v>13</v>
      </c>
      <c r="J579" s="44"/>
    </row>
    <row r="580">
      <c r="A580" s="42" t="s">
        <v>330</v>
      </c>
      <c r="B580" s="11"/>
      <c r="C580" s="8"/>
      <c r="D580" s="8"/>
      <c r="E580" s="9"/>
      <c r="F580" s="10"/>
      <c r="G580" s="9"/>
      <c r="H580" s="11"/>
      <c r="I580" s="9" t="s">
        <v>13</v>
      </c>
      <c r="J580" s="44"/>
    </row>
    <row r="581">
      <c r="A581" s="42" t="s">
        <v>330</v>
      </c>
      <c r="B581" s="11"/>
      <c r="C581" s="8"/>
      <c r="D581" s="8"/>
      <c r="E581" s="9"/>
      <c r="F581" s="10"/>
      <c r="G581" s="9"/>
      <c r="H581" s="11"/>
      <c r="I581" s="9" t="s">
        <v>13</v>
      </c>
      <c r="J581" s="44"/>
    </row>
    <row r="582">
      <c r="A582" s="42" t="s">
        <v>330</v>
      </c>
      <c r="B582" s="11"/>
      <c r="C582" s="8"/>
      <c r="D582" s="8"/>
      <c r="E582" s="9"/>
      <c r="F582" s="10"/>
      <c r="G582" s="9"/>
      <c r="H582" s="11"/>
      <c r="I582" s="9" t="s">
        <v>13</v>
      </c>
      <c r="J582" s="44"/>
    </row>
    <row r="583">
      <c r="A583" s="42" t="s">
        <v>330</v>
      </c>
      <c r="B583" s="11"/>
      <c r="C583" s="8"/>
      <c r="D583" s="8"/>
      <c r="E583" s="9"/>
      <c r="F583" s="10"/>
      <c r="G583" s="9"/>
      <c r="H583" s="11"/>
      <c r="I583" s="9" t="s">
        <v>13</v>
      </c>
      <c r="J583" s="44"/>
    </row>
    <row r="584">
      <c r="A584" s="42" t="s">
        <v>330</v>
      </c>
      <c r="B584" s="11"/>
      <c r="C584" s="8"/>
      <c r="D584" s="8"/>
      <c r="E584" s="9"/>
      <c r="F584" s="10"/>
      <c r="G584" s="9"/>
      <c r="H584" s="11"/>
      <c r="I584" s="9" t="s">
        <v>13</v>
      </c>
      <c r="J584" s="44"/>
    </row>
    <row r="585">
      <c r="A585" s="42" t="s">
        <v>330</v>
      </c>
      <c r="B585" s="11"/>
      <c r="C585" s="8"/>
      <c r="D585" s="8"/>
      <c r="E585" s="9"/>
      <c r="F585" s="10"/>
      <c r="G585" s="9"/>
      <c r="H585" s="11"/>
      <c r="I585" s="9" t="s">
        <v>13</v>
      </c>
      <c r="J585" s="44"/>
    </row>
    <row r="586">
      <c r="A586" s="42" t="s">
        <v>330</v>
      </c>
      <c r="B586" s="11"/>
      <c r="C586" s="8"/>
      <c r="D586" s="8"/>
      <c r="E586" s="9"/>
      <c r="F586" s="10"/>
      <c r="G586" s="9"/>
      <c r="H586" s="11"/>
      <c r="I586" s="9" t="s">
        <v>13</v>
      </c>
      <c r="J586" s="44"/>
    </row>
    <row r="587">
      <c r="A587" s="42" t="s">
        <v>330</v>
      </c>
      <c r="B587" s="11"/>
      <c r="C587" s="8"/>
      <c r="D587" s="8"/>
      <c r="E587" s="9"/>
      <c r="F587" s="10"/>
      <c r="G587" s="9"/>
      <c r="H587" s="11"/>
      <c r="I587" s="9" t="s">
        <v>13</v>
      </c>
      <c r="J587" s="44"/>
    </row>
    <row r="588">
      <c r="A588" s="42" t="s">
        <v>330</v>
      </c>
      <c r="B588" s="11"/>
      <c r="C588" s="8"/>
      <c r="D588" s="8"/>
      <c r="E588" s="9"/>
      <c r="F588" s="10"/>
      <c r="G588" s="9"/>
      <c r="H588" s="11"/>
      <c r="I588" s="9" t="s">
        <v>13</v>
      </c>
      <c r="J588" s="44"/>
    </row>
    <row r="589">
      <c r="A589" s="42" t="s">
        <v>330</v>
      </c>
      <c r="B589" s="11"/>
      <c r="C589" s="8"/>
      <c r="D589" s="8"/>
      <c r="E589" s="9"/>
      <c r="F589" s="10"/>
      <c r="G589" s="9"/>
      <c r="H589" s="11"/>
      <c r="I589" s="9" t="s">
        <v>13</v>
      </c>
      <c r="J589" s="44"/>
    </row>
    <row r="590">
      <c r="A590" s="42" t="s">
        <v>330</v>
      </c>
      <c r="B590" s="11"/>
      <c r="C590" s="8"/>
      <c r="D590" s="8"/>
      <c r="E590" s="9"/>
      <c r="F590" s="10"/>
      <c r="G590" s="9"/>
      <c r="H590" s="11"/>
      <c r="I590" s="9" t="s">
        <v>13</v>
      </c>
      <c r="J590" s="44"/>
    </row>
    <row r="591">
      <c r="A591" s="42" t="s">
        <v>330</v>
      </c>
      <c r="B591" s="11"/>
      <c r="C591" s="8"/>
      <c r="D591" s="8"/>
      <c r="E591" s="9"/>
      <c r="F591" s="10"/>
      <c r="G591" s="9"/>
      <c r="H591" s="11"/>
      <c r="I591" s="9" t="s">
        <v>13</v>
      </c>
      <c r="J591" s="44"/>
    </row>
    <row r="592">
      <c r="A592" s="42" t="s">
        <v>330</v>
      </c>
      <c r="B592" s="11"/>
      <c r="C592" s="8"/>
      <c r="D592" s="8"/>
      <c r="E592" s="9"/>
      <c r="F592" s="10"/>
      <c r="G592" s="9"/>
      <c r="H592" s="11"/>
      <c r="I592" s="9" t="s">
        <v>13</v>
      </c>
      <c r="J592" s="44"/>
    </row>
    <row r="593">
      <c r="A593" s="42" t="s">
        <v>330</v>
      </c>
      <c r="B593" s="11"/>
      <c r="C593" s="8"/>
      <c r="D593" s="8"/>
      <c r="E593" s="9"/>
      <c r="F593" s="10"/>
      <c r="G593" s="9"/>
      <c r="H593" s="11"/>
      <c r="I593" s="9" t="s">
        <v>13</v>
      </c>
      <c r="J593" s="44"/>
    </row>
    <row r="594">
      <c r="A594" s="42" t="s">
        <v>330</v>
      </c>
      <c r="B594" s="11"/>
      <c r="C594" s="8"/>
      <c r="D594" s="8"/>
      <c r="E594" s="9"/>
      <c r="F594" s="10"/>
      <c r="G594" s="9"/>
      <c r="H594" s="11"/>
      <c r="I594" s="9" t="s">
        <v>13</v>
      </c>
      <c r="J594" s="44"/>
    </row>
    <row r="595">
      <c r="A595" s="42" t="s">
        <v>330</v>
      </c>
      <c r="B595" s="11"/>
      <c r="C595" s="8"/>
      <c r="D595" s="8"/>
      <c r="E595" s="9"/>
      <c r="F595" s="10"/>
      <c r="G595" s="9"/>
      <c r="H595" s="11"/>
      <c r="I595" s="9" t="s">
        <v>13</v>
      </c>
      <c r="J595" s="44"/>
    </row>
    <row r="596">
      <c r="A596" s="42" t="s">
        <v>330</v>
      </c>
      <c r="B596" s="11"/>
      <c r="C596" s="8"/>
      <c r="D596" s="8"/>
      <c r="E596" s="9"/>
      <c r="F596" s="10"/>
      <c r="G596" s="9"/>
      <c r="H596" s="11"/>
      <c r="I596" s="9" t="s">
        <v>13</v>
      </c>
      <c r="J596" s="44"/>
    </row>
    <row r="597">
      <c r="A597" s="42" t="s">
        <v>330</v>
      </c>
      <c r="B597" s="11"/>
      <c r="C597" s="8"/>
      <c r="D597" s="8"/>
      <c r="E597" s="9"/>
      <c r="F597" s="10"/>
      <c r="G597" s="9"/>
      <c r="H597" s="11"/>
      <c r="I597" s="9" t="s">
        <v>13</v>
      </c>
      <c r="J597" s="44"/>
    </row>
    <row r="598">
      <c r="A598" s="42" t="s">
        <v>330</v>
      </c>
      <c r="B598" s="11"/>
      <c r="C598" s="8"/>
      <c r="D598" s="8"/>
      <c r="E598" s="9"/>
      <c r="F598" s="10"/>
      <c r="G598" s="9"/>
      <c r="H598" s="11"/>
      <c r="I598" s="9" t="s">
        <v>13</v>
      </c>
      <c r="J598" s="44"/>
    </row>
    <row r="599">
      <c r="A599" s="42" t="s">
        <v>330</v>
      </c>
      <c r="B599" s="11"/>
      <c r="C599" s="8"/>
      <c r="D599" s="8"/>
      <c r="E599" s="9"/>
      <c r="F599" s="10"/>
      <c r="G599" s="9"/>
      <c r="H599" s="11"/>
      <c r="I599" s="9" t="s">
        <v>13</v>
      </c>
      <c r="J599" s="44"/>
    </row>
    <row r="600">
      <c r="A600" s="42" t="s">
        <v>330</v>
      </c>
      <c r="B600" s="11"/>
      <c r="C600" s="8"/>
      <c r="D600" s="8"/>
      <c r="E600" s="9"/>
      <c r="F600" s="10"/>
      <c r="G600" s="9"/>
      <c r="H600" s="11"/>
      <c r="I600" s="9" t="s">
        <v>13</v>
      </c>
      <c r="J600" s="44"/>
    </row>
    <row r="601">
      <c r="A601" s="42" t="s">
        <v>330</v>
      </c>
      <c r="B601" s="11"/>
      <c r="C601" s="8"/>
      <c r="D601" s="8"/>
      <c r="E601" s="9"/>
      <c r="F601" s="10"/>
      <c r="G601" s="9"/>
      <c r="H601" s="11"/>
      <c r="I601" s="9" t="s">
        <v>13</v>
      </c>
      <c r="J601" s="44"/>
    </row>
    <row r="602">
      <c r="A602" s="42" t="s">
        <v>330</v>
      </c>
      <c r="B602" s="11"/>
      <c r="C602" s="8"/>
      <c r="D602" s="8"/>
      <c r="E602" s="9"/>
      <c r="F602" s="10"/>
      <c r="G602" s="9"/>
      <c r="H602" s="11"/>
      <c r="I602" s="9" t="s">
        <v>13</v>
      </c>
      <c r="J602" s="44"/>
    </row>
    <row r="603">
      <c r="A603" s="42" t="s">
        <v>330</v>
      </c>
      <c r="B603" s="11"/>
      <c r="C603" s="8"/>
      <c r="D603" s="8"/>
      <c r="E603" s="9"/>
      <c r="F603" s="10"/>
      <c r="G603" s="9"/>
      <c r="H603" s="11"/>
      <c r="I603" s="9" t="s">
        <v>13</v>
      </c>
      <c r="J603" s="44"/>
    </row>
    <row r="604">
      <c r="A604" s="42" t="s">
        <v>330</v>
      </c>
      <c r="B604" s="11"/>
      <c r="C604" s="8"/>
      <c r="D604" s="8"/>
      <c r="E604" s="9"/>
      <c r="F604" s="10"/>
      <c r="G604" s="9"/>
      <c r="H604" s="11"/>
      <c r="I604" s="9" t="s">
        <v>13</v>
      </c>
      <c r="J604" s="44"/>
    </row>
    <row r="605">
      <c r="A605" s="42" t="s">
        <v>330</v>
      </c>
      <c r="B605" s="11"/>
      <c r="C605" s="8"/>
      <c r="D605" s="8"/>
      <c r="E605" s="9"/>
      <c r="F605" s="10"/>
      <c r="G605" s="9"/>
      <c r="H605" s="11"/>
      <c r="I605" s="9" t="s">
        <v>13</v>
      </c>
      <c r="J605" s="44"/>
    </row>
    <row r="606">
      <c r="A606" s="42" t="s">
        <v>330</v>
      </c>
      <c r="B606" s="11"/>
      <c r="C606" s="8"/>
      <c r="D606" s="8"/>
      <c r="E606" s="9"/>
      <c r="F606" s="10"/>
      <c r="G606" s="9"/>
      <c r="H606" s="11"/>
      <c r="I606" s="9" t="s">
        <v>13</v>
      </c>
      <c r="J606" s="44"/>
    </row>
    <row r="607">
      <c r="A607" s="42" t="s">
        <v>330</v>
      </c>
      <c r="B607" s="11"/>
      <c r="C607" s="8"/>
      <c r="D607" s="8"/>
      <c r="E607" s="9"/>
      <c r="F607" s="10"/>
      <c r="G607" s="9"/>
      <c r="H607" s="11"/>
      <c r="I607" s="9" t="s">
        <v>13</v>
      </c>
      <c r="J607" s="44"/>
    </row>
    <row r="608">
      <c r="A608" s="42" t="s">
        <v>330</v>
      </c>
      <c r="B608" s="11"/>
      <c r="C608" s="8"/>
      <c r="D608" s="8"/>
      <c r="E608" s="9"/>
      <c r="F608" s="10"/>
      <c r="G608" s="9"/>
      <c r="H608" s="11"/>
      <c r="I608" s="9" t="s">
        <v>13</v>
      </c>
      <c r="J608" s="44"/>
    </row>
    <row r="609">
      <c r="A609" s="42" t="s">
        <v>330</v>
      </c>
      <c r="B609" s="11"/>
      <c r="C609" s="8"/>
      <c r="D609" s="8"/>
      <c r="E609" s="9"/>
      <c r="F609" s="10"/>
      <c r="G609" s="9"/>
      <c r="H609" s="11"/>
      <c r="I609" s="9" t="s">
        <v>13</v>
      </c>
      <c r="J609" s="44"/>
    </row>
    <row r="610">
      <c r="A610" s="42" t="s">
        <v>330</v>
      </c>
      <c r="B610" s="11"/>
      <c r="C610" s="8"/>
      <c r="D610" s="8"/>
      <c r="E610" s="9"/>
      <c r="F610" s="10"/>
      <c r="G610" s="9"/>
      <c r="H610" s="11"/>
      <c r="I610" s="9" t="s">
        <v>13</v>
      </c>
      <c r="J610" s="44"/>
    </row>
    <row r="611">
      <c r="A611" s="42" t="s">
        <v>330</v>
      </c>
      <c r="B611" s="11"/>
      <c r="C611" s="8"/>
      <c r="D611" s="8"/>
      <c r="E611" s="9"/>
      <c r="F611" s="10"/>
      <c r="G611" s="9"/>
      <c r="H611" s="11"/>
      <c r="I611" s="9" t="s">
        <v>13</v>
      </c>
      <c r="J611" s="44"/>
    </row>
    <row r="612">
      <c r="A612" s="42" t="s">
        <v>330</v>
      </c>
      <c r="B612" s="11"/>
      <c r="C612" s="8"/>
      <c r="D612" s="8"/>
      <c r="E612" s="9"/>
      <c r="F612" s="10"/>
      <c r="G612" s="9"/>
      <c r="H612" s="11"/>
      <c r="I612" s="9" t="s">
        <v>13</v>
      </c>
      <c r="J612" s="44"/>
    </row>
    <row r="613">
      <c r="A613" s="42" t="s">
        <v>330</v>
      </c>
      <c r="B613" s="11"/>
      <c r="C613" s="8"/>
      <c r="D613" s="8"/>
      <c r="E613" s="9"/>
      <c r="F613" s="10"/>
      <c r="G613" s="9"/>
      <c r="H613" s="11"/>
      <c r="I613" s="9" t="s">
        <v>13</v>
      </c>
      <c r="J613" s="44"/>
    </row>
    <row r="614">
      <c r="A614" s="42" t="s">
        <v>330</v>
      </c>
      <c r="B614" s="11"/>
      <c r="C614" s="8"/>
      <c r="D614" s="8"/>
      <c r="E614" s="9"/>
      <c r="F614" s="10"/>
      <c r="G614" s="9"/>
      <c r="H614" s="11"/>
      <c r="I614" s="9" t="s">
        <v>13</v>
      </c>
      <c r="J614" s="44"/>
    </row>
    <row r="615">
      <c r="A615" s="42" t="s">
        <v>330</v>
      </c>
      <c r="B615" s="11"/>
      <c r="C615" s="8"/>
      <c r="D615" s="8"/>
      <c r="E615" s="9"/>
      <c r="F615" s="10"/>
      <c r="G615" s="9"/>
      <c r="H615" s="11"/>
      <c r="I615" s="9" t="s">
        <v>13</v>
      </c>
      <c r="J615" s="44"/>
    </row>
    <row r="616">
      <c r="A616" s="42" t="s">
        <v>330</v>
      </c>
      <c r="B616" s="11"/>
      <c r="C616" s="8"/>
      <c r="D616" s="8"/>
      <c r="E616" s="9"/>
      <c r="F616" s="10"/>
      <c r="G616" s="9"/>
      <c r="H616" s="11"/>
      <c r="I616" s="9" t="s">
        <v>13</v>
      </c>
      <c r="J616" s="44"/>
    </row>
    <row r="617">
      <c r="A617" s="42" t="s">
        <v>330</v>
      </c>
      <c r="B617" s="11"/>
      <c r="C617" s="8"/>
      <c r="D617" s="8"/>
      <c r="E617" s="9"/>
      <c r="F617" s="10"/>
      <c r="G617" s="9"/>
      <c r="H617" s="11"/>
      <c r="I617" s="9" t="s">
        <v>13</v>
      </c>
      <c r="J617" s="44"/>
    </row>
    <row r="618">
      <c r="A618" s="42" t="s">
        <v>330</v>
      </c>
      <c r="B618" s="11"/>
      <c r="C618" s="8"/>
      <c r="D618" s="8"/>
      <c r="E618" s="9"/>
      <c r="F618" s="10"/>
      <c r="G618" s="9"/>
      <c r="H618" s="11"/>
      <c r="I618" s="9" t="s">
        <v>13</v>
      </c>
      <c r="J618" s="44"/>
    </row>
    <row r="619">
      <c r="A619" s="42" t="s">
        <v>330</v>
      </c>
      <c r="B619" s="11"/>
      <c r="C619" s="8"/>
      <c r="D619" s="8"/>
      <c r="E619" s="9"/>
      <c r="F619" s="10"/>
      <c r="G619" s="9"/>
      <c r="H619" s="11"/>
      <c r="I619" s="9" t="s">
        <v>13</v>
      </c>
      <c r="J619" s="44"/>
    </row>
    <row r="620">
      <c r="A620" s="42" t="s">
        <v>330</v>
      </c>
      <c r="B620" s="11"/>
      <c r="C620" s="8"/>
      <c r="D620" s="8"/>
      <c r="E620" s="9"/>
      <c r="F620" s="10"/>
      <c r="G620" s="9"/>
      <c r="H620" s="11"/>
      <c r="I620" s="9" t="s">
        <v>13</v>
      </c>
      <c r="J620" s="44"/>
    </row>
    <row r="621">
      <c r="A621" s="42" t="s">
        <v>330</v>
      </c>
      <c r="B621" s="11"/>
      <c r="C621" s="8"/>
      <c r="D621" s="8"/>
      <c r="E621" s="9"/>
      <c r="F621" s="10"/>
      <c r="G621" s="9"/>
      <c r="H621" s="11"/>
      <c r="I621" s="9" t="s">
        <v>13</v>
      </c>
      <c r="J621" s="44"/>
    </row>
    <row r="622">
      <c r="A622" s="42" t="s">
        <v>330</v>
      </c>
      <c r="B622" s="11"/>
      <c r="C622" s="8"/>
      <c r="D622" s="8"/>
      <c r="E622" s="9"/>
      <c r="F622" s="10"/>
      <c r="G622" s="9"/>
      <c r="H622" s="11"/>
      <c r="I622" s="9" t="s">
        <v>13</v>
      </c>
      <c r="J622" s="44"/>
    </row>
    <row r="623">
      <c r="A623" s="42" t="s">
        <v>330</v>
      </c>
      <c r="B623" s="11"/>
      <c r="C623" s="8"/>
      <c r="D623" s="8"/>
      <c r="E623" s="9"/>
      <c r="F623" s="10"/>
      <c r="G623" s="9"/>
      <c r="H623" s="11"/>
      <c r="I623" s="9" t="s">
        <v>13</v>
      </c>
      <c r="J623" s="44"/>
    </row>
    <row r="624">
      <c r="A624" s="42" t="s">
        <v>330</v>
      </c>
      <c r="B624" s="11"/>
      <c r="C624" s="8"/>
      <c r="D624" s="8"/>
      <c r="E624" s="9"/>
      <c r="F624" s="10"/>
      <c r="G624" s="9"/>
      <c r="H624" s="11"/>
      <c r="I624" s="9" t="s">
        <v>13</v>
      </c>
      <c r="J624" s="44"/>
    </row>
    <row r="625">
      <c r="A625" s="42" t="s">
        <v>330</v>
      </c>
      <c r="B625" s="11"/>
      <c r="C625" s="8"/>
      <c r="D625" s="8"/>
      <c r="E625" s="9"/>
      <c r="F625" s="10"/>
      <c r="G625" s="9"/>
      <c r="H625" s="11"/>
      <c r="I625" s="9" t="s">
        <v>13</v>
      </c>
      <c r="J625" s="44"/>
    </row>
    <row r="626">
      <c r="A626" s="42" t="s">
        <v>330</v>
      </c>
      <c r="B626" s="11"/>
      <c r="C626" s="8"/>
      <c r="D626" s="8"/>
      <c r="E626" s="9"/>
      <c r="F626" s="10"/>
      <c r="G626" s="9"/>
      <c r="H626" s="11"/>
      <c r="I626" s="9" t="s">
        <v>13</v>
      </c>
      <c r="J626" s="44"/>
    </row>
    <row r="627">
      <c r="A627" s="42" t="s">
        <v>330</v>
      </c>
      <c r="B627" s="11"/>
      <c r="C627" s="8"/>
      <c r="D627" s="8"/>
      <c r="E627" s="9"/>
      <c r="F627" s="10"/>
      <c r="G627" s="9"/>
      <c r="H627" s="11"/>
      <c r="I627" s="9" t="s">
        <v>13</v>
      </c>
      <c r="J627" s="44"/>
    </row>
    <row r="628">
      <c r="A628" s="42" t="s">
        <v>330</v>
      </c>
      <c r="B628" s="11"/>
      <c r="C628" s="8"/>
      <c r="D628" s="8"/>
      <c r="E628" s="9"/>
      <c r="F628" s="10"/>
      <c r="G628" s="9"/>
      <c r="H628" s="11"/>
      <c r="I628" s="9" t="s">
        <v>13</v>
      </c>
      <c r="J628" s="44"/>
    </row>
    <row r="629">
      <c r="A629" s="42" t="s">
        <v>330</v>
      </c>
      <c r="B629" s="11"/>
      <c r="C629" s="8"/>
      <c r="D629" s="8"/>
      <c r="E629" s="9"/>
      <c r="F629" s="10"/>
      <c r="G629" s="9"/>
      <c r="H629" s="11"/>
      <c r="I629" s="9" t="s">
        <v>13</v>
      </c>
      <c r="J629" s="44"/>
    </row>
    <row r="630">
      <c r="A630" s="42" t="s">
        <v>330</v>
      </c>
      <c r="B630" s="11"/>
      <c r="C630" s="8"/>
      <c r="D630" s="8"/>
      <c r="E630" s="9"/>
      <c r="F630" s="10"/>
      <c r="G630" s="9"/>
      <c r="H630" s="11"/>
      <c r="I630" s="9" t="s">
        <v>13</v>
      </c>
      <c r="J630" s="44"/>
    </row>
    <row r="631">
      <c r="A631" s="42" t="s">
        <v>330</v>
      </c>
      <c r="B631" s="11"/>
      <c r="C631" s="8"/>
      <c r="D631" s="8"/>
      <c r="E631" s="9"/>
      <c r="F631" s="10"/>
      <c r="G631" s="9"/>
      <c r="H631" s="11"/>
      <c r="I631" s="9" t="s">
        <v>13</v>
      </c>
      <c r="J631" s="44"/>
    </row>
    <row r="632">
      <c r="A632" s="42" t="s">
        <v>330</v>
      </c>
      <c r="B632" s="11"/>
      <c r="C632" s="8"/>
      <c r="D632" s="8"/>
      <c r="E632" s="9"/>
      <c r="F632" s="10"/>
      <c r="G632" s="9"/>
      <c r="H632" s="11"/>
      <c r="I632" s="9" t="s">
        <v>13</v>
      </c>
      <c r="J632" s="44"/>
    </row>
    <row r="633">
      <c r="A633" s="42" t="s">
        <v>330</v>
      </c>
      <c r="B633" s="11"/>
      <c r="C633" s="8"/>
      <c r="D633" s="8"/>
      <c r="E633" s="9"/>
      <c r="F633" s="10"/>
      <c r="G633" s="9"/>
      <c r="H633" s="11"/>
      <c r="I633" s="9" t="s">
        <v>13</v>
      </c>
      <c r="J633" s="44"/>
    </row>
    <row r="634">
      <c r="A634" s="42" t="s">
        <v>330</v>
      </c>
      <c r="B634" s="11"/>
      <c r="C634" s="8"/>
      <c r="D634" s="8"/>
      <c r="E634" s="9"/>
      <c r="F634" s="10"/>
      <c r="G634" s="9"/>
      <c r="H634" s="11"/>
      <c r="I634" s="9" t="s">
        <v>13</v>
      </c>
      <c r="J634" s="44"/>
    </row>
    <row r="635">
      <c r="A635" s="42" t="s">
        <v>330</v>
      </c>
      <c r="B635" s="11"/>
      <c r="C635" s="8"/>
      <c r="D635" s="8"/>
      <c r="E635" s="9"/>
      <c r="F635" s="10"/>
      <c r="G635" s="9"/>
      <c r="H635" s="11"/>
      <c r="I635" s="9" t="s">
        <v>13</v>
      </c>
      <c r="J635" s="44"/>
    </row>
    <row r="636">
      <c r="A636" s="42" t="s">
        <v>330</v>
      </c>
      <c r="B636" s="11"/>
      <c r="C636" s="8"/>
      <c r="D636" s="8"/>
      <c r="E636" s="9"/>
      <c r="F636" s="10"/>
      <c r="G636" s="9"/>
      <c r="H636" s="11"/>
      <c r="I636" s="9" t="s">
        <v>13</v>
      </c>
      <c r="J636" s="44"/>
    </row>
    <row r="637">
      <c r="A637" s="42" t="s">
        <v>330</v>
      </c>
      <c r="B637" s="11"/>
      <c r="C637" s="8"/>
      <c r="D637" s="8"/>
      <c r="E637" s="9"/>
      <c r="F637" s="10"/>
      <c r="G637" s="9"/>
      <c r="H637" s="11"/>
      <c r="I637" s="9" t="s">
        <v>13</v>
      </c>
      <c r="J637" s="44"/>
    </row>
    <row r="638">
      <c r="A638" s="42" t="s">
        <v>330</v>
      </c>
      <c r="B638" s="11"/>
      <c r="C638" s="8"/>
      <c r="D638" s="8"/>
      <c r="E638" s="9"/>
      <c r="F638" s="10"/>
      <c r="G638" s="9"/>
      <c r="H638" s="11"/>
      <c r="I638" s="9" t="s">
        <v>13</v>
      </c>
      <c r="J638" s="44"/>
    </row>
    <row r="639">
      <c r="A639" s="42" t="s">
        <v>330</v>
      </c>
      <c r="B639" s="11"/>
      <c r="C639" s="8"/>
      <c r="D639" s="8"/>
      <c r="E639" s="9"/>
      <c r="F639" s="10"/>
      <c r="G639" s="9"/>
      <c r="H639" s="11"/>
      <c r="I639" s="9" t="s">
        <v>13</v>
      </c>
      <c r="J639" s="44"/>
    </row>
    <row r="640">
      <c r="A640" s="42" t="s">
        <v>330</v>
      </c>
      <c r="B640" s="11"/>
      <c r="C640" s="8"/>
      <c r="D640" s="8"/>
      <c r="E640" s="9"/>
      <c r="F640" s="10"/>
      <c r="G640" s="9"/>
      <c r="H640" s="11"/>
      <c r="I640" s="9" t="s">
        <v>13</v>
      </c>
      <c r="J640" s="44"/>
    </row>
    <row r="641">
      <c r="A641" s="42" t="s">
        <v>330</v>
      </c>
      <c r="B641" s="11"/>
      <c r="C641" s="8"/>
      <c r="D641" s="8"/>
      <c r="E641" s="9"/>
      <c r="F641" s="10"/>
      <c r="G641" s="9"/>
      <c r="H641" s="11"/>
      <c r="I641" s="9" t="s">
        <v>13</v>
      </c>
      <c r="J641" s="44"/>
    </row>
    <row r="642">
      <c r="A642" s="42" t="s">
        <v>330</v>
      </c>
      <c r="B642" s="11"/>
      <c r="C642" s="8"/>
      <c r="D642" s="8"/>
      <c r="E642" s="9"/>
      <c r="F642" s="10"/>
      <c r="G642" s="9"/>
      <c r="H642" s="11"/>
      <c r="I642" s="9" t="s">
        <v>13</v>
      </c>
      <c r="J642" s="44"/>
    </row>
    <row r="643">
      <c r="A643" s="42" t="s">
        <v>330</v>
      </c>
      <c r="B643" s="11"/>
      <c r="C643" s="8"/>
      <c r="D643" s="8"/>
      <c r="E643" s="9"/>
      <c r="F643" s="10"/>
      <c r="G643" s="9"/>
      <c r="H643" s="11"/>
      <c r="I643" s="9" t="s">
        <v>13</v>
      </c>
      <c r="J643" s="44"/>
    </row>
    <row r="644">
      <c r="A644" s="42" t="s">
        <v>330</v>
      </c>
      <c r="B644" s="11"/>
      <c r="C644" s="8"/>
      <c r="D644" s="8"/>
      <c r="E644" s="9"/>
      <c r="F644" s="10"/>
      <c r="G644" s="9"/>
      <c r="H644" s="11"/>
      <c r="I644" s="9" t="s">
        <v>13</v>
      </c>
      <c r="J644" s="44"/>
    </row>
    <row r="645">
      <c r="A645" s="42" t="s">
        <v>330</v>
      </c>
      <c r="B645" s="11"/>
      <c r="C645" s="8"/>
      <c r="D645" s="8"/>
      <c r="E645" s="9"/>
      <c r="F645" s="10"/>
      <c r="G645" s="9"/>
      <c r="H645" s="11"/>
      <c r="I645" s="9" t="s">
        <v>13</v>
      </c>
      <c r="J645" s="44"/>
    </row>
    <row r="646">
      <c r="A646" s="42" t="s">
        <v>330</v>
      </c>
      <c r="B646" s="11"/>
      <c r="C646" s="8"/>
      <c r="D646" s="8"/>
      <c r="E646" s="9"/>
      <c r="F646" s="10"/>
      <c r="G646" s="9"/>
      <c r="H646" s="11"/>
      <c r="I646" s="9" t="s">
        <v>13</v>
      </c>
      <c r="J646" s="44"/>
    </row>
    <row r="647">
      <c r="A647" s="42" t="s">
        <v>330</v>
      </c>
      <c r="B647" s="11"/>
      <c r="C647" s="8"/>
      <c r="D647" s="8"/>
      <c r="E647" s="9"/>
      <c r="F647" s="10"/>
      <c r="G647" s="9"/>
      <c r="H647" s="11"/>
      <c r="I647" s="9" t="s">
        <v>13</v>
      </c>
      <c r="J647" s="44"/>
    </row>
    <row r="648">
      <c r="A648" s="42" t="s">
        <v>330</v>
      </c>
      <c r="B648" s="11"/>
      <c r="C648" s="8"/>
      <c r="D648" s="8"/>
      <c r="E648" s="9"/>
      <c r="F648" s="10"/>
      <c r="G648" s="9"/>
      <c r="H648" s="11"/>
      <c r="I648" s="9" t="s">
        <v>13</v>
      </c>
      <c r="J648" s="44"/>
    </row>
    <row r="649">
      <c r="A649" s="42" t="s">
        <v>330</v>
      </c>
      <c r="B649" s="11"/>
      <c r="C649" s="8"/>
      <c r="D649" s="8"/>
      <c r="E649" s="9"/>
      <c r="F649" s="10"/>
      <c r="G649" s="9"/>
      <c r="H649" s="11"/>
      <c r="I649" s="9" t="s">
        <v>13</v>
      </c>
      <c r="J649" s="44"/>
    </row>
    <row r="650">
      <c r="A650" s="42" t="s">
        <v>330</v>
      </c>
      <c r="B650" s="11"/>
      <c r="C650" s="8"/>
      <c r="D650" s="8"/>
      <c r="E650" s="9"/>
      <c r="F650" s="10"/>
      <c r="G650" s="9"/>
      <c r="H650" s="11"/>
      <c r="I650" s="9" t="s">
        <v>13</v>
      </c>
      <c r="J650" s="44"/>
    </row>
    <row r="651">
      <c r="A651" s="42" t="s">
        <v>330</v>
      </c>
      <c r="B651" s="11"/>
      <c r="C651" s="8"/>
      <c r="D651" s="8"/>
      <c r="E651" s="9"/>
      <c r="F651" s="10"/>
      <c r="G651" s="9"/>
      <c r="H651" s="11"/>
      <c r="I651" s="9" t="s">
        <v>13</v>
      </c>
      <c r="J651" s="44"/>
    </row>
    <row r="652">
      <c r="A652" s="42" t="s">
        <v>330</v>
      </c>
      <c r="B652" s="11"/>
      <c r="C652" s="8"/>
      <c r="D652" s="8"/>
      <c r="E652" s="9"/>
      <c r="F652" s="10"/>
      <c r="G652" s="9"/>
      <c r="H652" s="11"/>
      <c r="I652" s="9" t="s">
        <v>13</v>
      </c>
      <c r="J652" s="44"/>
    </row>
    <row r="653">
      <c r="A653" s="42" t="s">
        <v>330</v>
      </c>
      <c r="B653" s="11"/>
      <c r="C653" s="8"/>
      <c r="D653" s="8"/>
      <c r="E653" s="9"/>
      <c r="F653" s="10"/>
      <c r="G653" s="9"/>
      <c r="H653" s="11"/>
      <c r="I653" s="9" t="s">
        <v>13</v>
      </c>
      <c r="J653" s="44"/>
    </row>
    <row r="654">
      <c r="A654" s="42" t="s">
        <v>330</v>
      </c>
      <c r="B654" s="11"/>
      <c r="C654" s="8"/>
      <c r="D654" s="8"/>
      <c r="E654" s="9"/>
      <c r="F654" s="10"/>
      <c r="G654" s="9"/>
      <c r="H654" s="11"/>
      <c r="I654" s="9" t="s">
        <v>13</v>
      </c>
      <c r="J654" s="44"/>
    </row>
    <row r="655">
      <c r="A655" s="42" t="s">
        <v>330</v>
      </c>
      <c r="B655" s="11"/>
      <c r="C655" s="8"/>
      <c r="D655" s="8"/>
      <c r="E655" s="9"/>
      <c r="F655" s="10"/>
      <c r="G655" s="9"/>
      <c r="H655" s="11"/>
      <c r="I655" s="9" t="s">
        <v>13</v>
      </c>
      <c r="J655" s="44"/>
    </row>
    <row r="656">
      <c r="A656" s="42" t="s">
        <v>330</v>
      </c>
      <c r="B656" s="11"/>
      <c r="C656" s="8"/>
      <c r="D656" s="8"/>
      <c r="E656" s="9"/>
      <c r="F656" s="10"/>
      <c r="G656" s="9"/>
      <c r="H656" s="11"/>
      <c r="I656" s="9" t="s">
        <v>13</v>
      </c>
      <c r="J656" s="44"/>
    </row>
    <row r="657">
      <c r="A657" s="42" t="s">
        <v>330</v>
      </c>
      <c r="B657" s="11"/>
      <c r="C657" s="8"/>
      <c r="D657" s="8"/>
      <c r="E657" s="9"/>
      <c r="F657" s="10"/>
      <c r="G657" s="9"/>
      <c r="H657" s="11"/>
      <c r="I657" s="9" t="s">
        <v>13</v>
      </c>
      <c r="J657" s="44"/>
    </row>
    <row r="658">
      <c r="A658" s="42" t="s">
        <v>330</v>
      </c>
      <c r="B658" s="11"/>
      <c r="C658" s="8"/>
      <c r="D658" s="8"/>
      <c r="E658" s="9"/>
      <c r="F658" s="10"/>
      <c r="G658" s="9"/>
      <c r="H658" s="11"/>
      <c r="I658" s="9" t="s">
        <v>13</v>
      </c>
      <c r="J658" s="44"/>
    </row>
    <row r="659">
      <c r="A659" s="42" t="s">
        <v>330</v>
      </c>
      <c r="B659" s="11"/>
      <c r="C659" s="8"/>
      <c r="D659" s="8"/>
      <c r="E659" s="9"/>
      <c r="F659" s="10"/>
      <c r="G659" s="9"/>
      <c r="H659" s="11"/>
      <c r="I659" s="9" t="s">
        <v>13</v>
      </c>
      <c r="J659" s="44"/>
    </row>
    <row r="660">
      <c r="A660" s="42" t="s">
        <v>330</v>
      </c>
      <c r="B660" s="11"/>
      <c r="C660" s="8"/>
      <c r="D660" s="8"/>
      <c r="E660" s="9"/>
      <c r="F660" s="10"/>
      <c r="G660" s="9"/>
      <c r="H660" s="11"/>
      <c r="I660" s="9" t="s">
        <v>13</v>
      </c>
      <c r="J660" s="44"/>
    </row>
    <row r="661">
      <c r="A661" s="42" t="s">
        <v>330</v>
      </c>
      <c r="B661" s="11"/>
      <c r="C661" s="8"/>
      <c r="D661" s="8"/>
      <c r="E661" s="9"/>
      <c r="F661" s="10"/>
      <c r="G661" s="9"/>
      <c r="H661" s="11"/>
      <c r="I661" s="9" t="s">
        <v>13</v>
      </c>
      <c r="J661" s="44"/>
    </row>
    <row r="662">
      <c r="A662" s="42" t="s">
        <v>330</v>
      </c>
      <c r="B662" s="11"/>
      <c r="C662" s="8"/>
      <c r="D662" s="8"/>
      <c r="E662" s="9"/>
      <c r="F662" s="10"/>
      <c r="G662" s="9"/>
      <c r="H662" s="11"/>
      <c r="I662" s="9" t="s">
        <v>13</v>
      </c>
      <c r="J662" s="44"/>
    </row>
    <row r="663">
      <c r="A663" s="42" t="s">
        <v>330</v>
      </c>
      <c r="B663" s="11"/>
      <c r="C663" s="8"/>
      <c r="D663" s="8"/>
      <c r="E663" s="9"/>
      <c r="F663" s="10"/>
      <c r="G663" s="9"/>
      <c r="H663" s="11"/>
      <c r="I663" s="9" t="s">
        <v>13</v>
      </c>
      <c r="J663" s="44"/>
    </row>
    <row r="664">
      <c r="A664" s="42" t="s">
        <v>330</v>
      </c>
      <c r="B664" s="11"/>
      <c r="C664" s="8"/>
      <c r="D664" s="8"/>
      <c r="E664" s="9"/>
      <c r="F664" s="10"/>
      <c r="G664" s="9"/>
      <c r="H664" s="11"/>
      <c r="I664" s="9" t="s">
        <v>13</v>
      </c>
      <c r="J664" s="44"/>
    </row>
    <row r="665">
      <c r="A665" s="42" t="s">
        <v>330</v>
      </c>
      <c r="B665" s="11"/>
      <c r="C665" s="8"/>
      <c r="D665" s="8"/>
      <c r="E665" s="9"/>
      <c r="F665" s="10"/>
      <c r="G665" s="9"/>
      <c r="H665" s="11"/>
      <c r="I665" s="9" t="s">
        <v>13</v>
      </c>
      <c r="J665" s="44"/>
    </row>
    <row r="666">
      <c r="A666" s="42" t="s">
        <v>330</v>
      </c>
      <c r="B666" s="11"/>
      <c r="C666" s="8"/>
      <c r="D666" s="8"/>
      <c r="E666" s="9"/>
      <c r="F666" s="10"/>
      <c r="G666" s="9"/>
      <c r="H666" s="11"/>
      <c r="I666" s="9" t="s">
        <v>13</v>
      </c>
      <c r="J666" s="44"/>
    </row>
    <row r="667">
      <c r="A667" s="42" t="s">
        <v>330</v>
      </c>
      <c r="B667" s="11"/>
      <c r="C667" s="8"/>
      <c r="D667" s="8"/>
      <c r="E667" s="9"/>
      <c r="F667" s="10"/>
      <c r="G667" s="9"/>
      <c r="H667" s="11"/>
      <c r="I667" s="9" t="s">
        <v>13</v>
      </c>
      <c r="J667" s="44"/>
    </row>
    <row r="668">
      <c r="A668" s="42" t="s">
        <v>330</v>
      </c>
      <c r="B668" s="11"/>
      <c r="C668" s="8"/>
      <c r="D668" s="8"/>
      <c r="E668" s="9"/>
      <c r="F668" s="10"/>
      <c r="G668" s="9"/>
      <c r="H668" s="11"/>
      <c r="I668" s="9" t="s">
        <v>13</v>
      </c>
      <c r="J668" s="44"/>
    </row>
    <row r="669">
      <c r="A669" s="42" t="s">
        <v>330</v>
      </c>
      <c r="B669" s="11"/>
      <c r="C669" s="8"/>
      <c r="D669" s="8"/>
      <c r="E669" s="9"/>
      <c r="F669" s="10"/>
      <c r="G669" s="9"/>
      <c r="H669" s="11"/>
      <c r="I669" s="9" t="s">
        <v>13</v>
      </c>
      <c r="J669" s="44"/>
    </row>
    <row r="670">
      <c r="A670" s="42" t="s">
        <v>330</v>
      </c>
      <c r="B670" s="11"/>
      <c r="C670" s="8"/>
      <c r="D670" s="8"/>
      <c r="E670" s="9"/>
      <c r="F670" s="10"/>
      <c r="G670" s="9"/>
      <c r="H670" s="11"/>
      <c r="I670" s="9" t="s">
        <v>13</v>
      </c>
      <c r="J670" s="44"/>
    </row>
    <row r="671">
      <c r="A671" s="42" t="s">
        <v>330</v>
      </c>
      <c r="B671" s="11"/>
      <c r="C671" s="8"/>
      <c r="D671" s="8"/>
      <c r="E671" s="9"/>
      <c r="F671" s="10"/>
      <c r="G671" s="9"/>
      <c r="H671" s="11"/>
      <c r="I671" s="9" t="s">
        <v>13</v>
      </c>
      <c r="J671" s="44"/>
    </row>
    <row r="672">
      <c r="A672" s="42" t="s">
        <v>330</v>
      </c>
      <c r="B672" s="11"/>
      <c r="C672" s="8"/>
      <c r="D672" s="8"/>
      <c r="E672" s="9"/>
      <c r="F672" s="10"/>
      <c r="G672" s="9"/>
      <c r="H672" s="11"/>
      <c r="I672" s="9" t="s">
        <v>13</v>
      </c>
      <c r="J672" s="44"/>
    </row>
    <row r="673">
      <c r="A673" s="42" t="s">
        <v>330</v>
      </c>
      <c r="B673" s="11"/>
      <c r="C673" s="8"/>
      <c r="D673" s="8"/>
      <c r="E673" s="9"/>
      <c r="F673" s="10"/>
      <c r="G673" s="9"/>
      <c r="H673" s="11"/>
      <c r="I673" s="9" t="s">
        <v>13</v>
      </c>
      <c r="J673" s="44"/>
    </row>
    <row r="674">
      <c r="A674" s="42" t="s">
        <v>330</v>
      </c>
      <c r="B674" s="11"/>
      <c r="C674" s="8"/>
      <c r="D674" s="8"/>
      <c r="E674" s="9"/>
      <c r="F674" s="10"/>
      <c r="G674" s="9"/>
      <c r="H674" s="11"/>
      <c r="I674" s="9" t="s">
        <v>13</v>
      </c>
      <c r="J674" s="44"/>
    </row>
    <row r="675">
      <c r="A675" s="42" t="s">
        <v>330</v>
      </c>
      <c r="B675" s="11"/>
      <c r="C675" s="8"/>
      <c r="D675" s="8"/>
      <c r="E675" s="9"/>
      <c r="F675" s="10"/>
      <c r="G675" s="9"/>
      <c r="H675" s="11"/>
      <c r="I675" s="9" t="s">
        <v>13</v>
      </c>
      <c r="J675" s="44"/>
    </row>
    <row r="676">
      <c r="A676" s="42" t="s">
        <v>330</v>
      </c>
      <c r="B676" s="11"/>
      <c r="C676" s="8"/>
      <c r="D676" s="8"/>
      <c r="E676" s="9"/>
      <c r="F676" s="10"/>
      <c r="G676" s="9"/>
      <c r="H676" s="11"/>
      <c r="I676" s="9" t="s">
        <v>13</v>
      </c>
      <c r="J676" s="44"/>
    </row>
    <row r="677">
      <c r="A677" s="42" t="s">
        <v>330</v>
      </c>
      <c r="B677" s="11"/>
      <c r="C677" s="8"/>
      <c r="D677" s="8"/>
      <c r="E677" s="9"/>
      <c r="F677" s="10"/>
      <c r="G677" s="9"/>
      <c r="H677" s="11"/>
      <c r="I677" s="9" t="s">
        <v>13</v>
      </c>
      <c r="J677" s="44"/>
    </row>
    <row r="678">
      <c r="A678" s="42" t="s">
        <v>330</v>
      </c>
      <c r="B678" s="11"/>
      <c r="C678" s="8"/>
      <c r="D678" s="8"/>
      <c r="E678" s="9"/>
      <c r="F678" s="10"/>
      <c r="G678" s="9"/>
      <c r="H678" s="11"/>
      <c r="I678" s="9" t="s">
        <v>13</v>
      </c>
      <c r="J678" s="44"/>
    </row>
    <row r="679">
      <c r="A679" s="42" t="s">
        <v>330</v>
      </c>
      <c r="B679" s="11"/>
      <c r="C679" s="8"/>
      <c r="D679" s="8"/>
      <c r="E679" s="9"/>
      <c r="F679" s="10"/>
      <c r="G679" s="9"/>
      <c r="H679" s="11"/>
      <c r="I679" s="9" t="s">
        <v>13</v>
      </c>
      <c r="J679" s="44"/>
    </row>
    <row r="680">
      <c r="A680" s="42" t="s">
        <v>330</v>
      </c>
      <c r="B680" s="11"/>
      <c r="C680" s="8"/>
      <c r="D680" s="8"/>
      <c r="E680" s="9"/>
      <c r="F680" s="10"/>
      <c r="G680" s="9"/>
      <c r="H680" s="11"/>
      <c r="I680" s="9" t="s">
        <v>13</v>
      </c>
      <c r="J680" s="44"/>
    </row>
    <row r="681">
      <c r="A681" s="42" t="s">
        <v>330</v>
      </c>
      <c r="B681" s="11"/>
      <c r="C681" s="8"/>
      <c r="D681" s="8"/>
      <c r="E681" s="9"/>
      <c r="F681" s="10"/>
      <c r="G681" s="9"/>
      <c r="H681" s="11"/>
      <c r="I681" s="9" t="s">
        <v>13</v>
      </c>
      <c r="J681" s="44"/>
    </row>
    <row r="682">
      <c r="A682" s="42" t="s">
        <v>330</v>
      </c>
      <c r="B682" s="11"/>
      <c r="C682" s="8"/>
      <c r="D682" s="8"/>
      <c r="E682" s="9"/>
      <c r="F682" s="10"/>
      <c r="G682" s="9"/>
      <c r="H682" s="11"/>
      <c r="I682" s="9" t="s">
        <v>13</v>
      </c>
      <c r="J682" s="44"/>
    </row>
    <row r="683">
      <c r="A683" s="42" t="s">
        <v>330</v>
      </c>
      <c r="B683" s="11"/>
      <c r="C683" s="8"/>
      <c r="D683" s="8"/>
      <c r="E683" s="9"/>
      <c r="F683" s="10"/>
      <c r="G683" s="9"/>
      <c r="H683" s="11"/>
      <c r="I683" s="9" t="s">
        <v>13</v>
      </c>
      <c r="J683" s="44"/>
    </row>
    <row r="684">
      <c r="A684" s="42" t="s">
        <v>330</v>
      </c>
      <c r="B684" s="11"/>
      <c r="C684" s="8"/>
      <c r="D684" s="8"/>
      <c r="E684" s="9"/>
      <c r="F684" s="10"/>
      <c r="G684" s="9"/>
      <c r="H684" s="11"/>
      <c r="I684" s="9" t="s">
        <v>13</v>
      </c>
      <c r="J684" s="44"/>
    </row>
    <row r="685">
      <c r="A685" s="42" t="s">
        <v>330</v>
      </c>
      <c r="B685" s="11"/>
      <c r="C685" s="8"/>
      <c r="D685" s="8"/>
      <c r="E685" s="9"/>
      <c r="F685" s="10"/>
      <c r="G685" s="9"/>
      <c r="H685" s="11"/>
      <c r="I685" s="9" t="s">
        <v>13</v>
      </c>
      <c r="J685" s="44"/>
    </row>
    <row r="686">
      <c r="A686" s="42" t="s">
        <v>330</v>
      </c>
      <c r="B686" s="11"/>
      <c r="C686" s="8"/>
      <c r="D686" s="8"/>
      <c r="E686" s="9"/>
      <c r="F686" s="10"/>
      <c r="G686" s="9"/>
      <c r="H686" s="11"/>
      <c r="I686" s="9" t="s">
        <v>13</v>
      </c>
      <c r="J686" s="44"/>
    </row>
    <row r="687">
      <c r="A687" s="42" t="s">
        <v>330</v>
      </c>
      <c r="B687" s="11"/>
      <c r="C687" s="8"/>
      <c r="D687" s="8"/>
      <c r="E687" s="9"/>
      <c r="F687" s="10"/>
      <c r="G687" s="9"/>
      <c r="H687" s="11"/>
      <c r="I687" s="9" t="s">
        <v>13</v>
      </c>
      <c r="J687" s="44"/>
    </row>
    <row r="688">
      <c r="A688" s="42" t="s">
        <v>330</v>
      </c>
      <c r="B688" s="11"/>
      <c r="C688" s="8"/>
      <c r="D688" s="8"/>
      <c r="E688" s="9"/>
      <c r="F688" s="10"/>
      <c r="G688" s="9"/>
      <c r="H688" s="11"/>
      <c r="I688" s="9" t="s">
        <v>13</v>
      </c>
      <c r="J688" s="44"/>
    </row>
    <row r="689">
      <c r="A689" s="42" t="s">
        <v>330</v>
      </c>
      <c r="B689" s="11"/>
      <c r="C689" s="8"/>
      <c r="D689" s="8"/>
      <c r="E689" s="9"/>
      <c r="F689" s="10"/>
      <c r="G689" s="9"/>
      <c r="H689" s="11"/>
      <c r="I689" s="9" t="s">
        <v>13</v>
      </c>
      <c r="J689" s="44"/>
    </row>
    <row r="690">
      <c r="A690" s="42" t="s">
        <v>330</v>
      </c>
      <c r="B690" s="11"/>
      <c r="C690" s="8"/>
      <c r="D690" s="8"/>
      <c r="E690" s="9"/>
      <c r="F690" s="10"/>
      <c r="G690" s="9"/>
      <c r="H690" s="11"/>
      <c r="I690" s="9" t="s">
        <v>13</v>
      </c>
      <c r="J690" s="44"/>
    </row>
    <row r="691">
      <c r="A691" s="42" t="s">
        <v>330</v>
      </c>
      <c r="B691" s="11"/>
      <c r="C691" s="8"/>
      <c r="D691" s="8"/>
      <c r="E691" s="9"/>
      <c r="F691" s="10"/>
      <c r="G691" s="9"/>
      <c r="H691" s="11"/>
      <c r="I691" s="9" t="s">
        <v>13</v>
      </c>
      <c r="J691" s="44"/>
    </row>
    <row r="692">
      <c r="A692" s="42" t="s">
        <v>330</v>
      </c>
      <c r="B692" s="11"/>
      <c r="C692" s="8"/>
      <c r="D692" s="8"/>
      <c r="E692" s="9"/>
      <c r="F692" s="10"/>
      <c r="G692" s="9"/>
      <c r="H692" s="11"/>
      <c r="I692" s="9" t="s">
        <v>13</v>
      </c>
      <c r="J692" s="44"/>
    </row>
    <row r="693">
      <c r="A693" s="42" t="s">
        <v>330</v>
      </c>
      <c r="B693" s="11"/>
      <c r="C693" s="8"/>
      <c r="D693" s="8"/>
      <c r="E693" s="9"/>
      <c r="F693" s="10"/>
      <c r="G693" s="9"/>
      <c r="H693" s="11"/>
      <c r="I693" s="9" t="s">
        <v>13</v>
      </c>
      <c r="J693" s="44"/>
    </row>
    <row r="694">
      <c r="A694" s="42" t="s">
        <v>330</v>
      </c>
      <c r="B694" s="11"/>
      <c r="C694" s="8"/>
      <c r="D694" s="8"/>
      <c r="E694" s="9"/>
      <c r="F694" s="10"/>
      <c r="G694" s="9"/>
      <c r="H694" s="11"/>
      <c r="I694" s="9" t="s">
        <v>13</v>
      </c>
      <c r="J694" s="44"/>
    </row>
    <row r="695">
      <c r="A695" s="42" t="s">
        <v>330</v>
      </c>
      <c r="B695" s="11"/>
      <c r="C695" s="8"/>
      <c r="D695" s="8"/>
      <c r="E695" s="9"/>
      <c r="F695" s="10"/>
      <c r="G695" s="9"/>
      <c r="H695" s="11"/>
      <c r="I695" s="9" t="s">
        <v>13</v>
      </c>
      <c r="J695" s="44"/>
    </row>
    <row r="696">
      <c r="A696" s="42" t="s">
        <v>330</v>
      </c>
      <c r="B696" s="11"/>
      <c r="C696" s="8"/>
      <c r="D696" s="8"/>
      <c r="E696" s="9"/>
      <c r="F696" s="10"/>
      <c r="G696" s="9"/>
      <c r="H696" s="11"/>
      <c r="I696" s="9" t="s">
        <v>13</v>
      </c>
      <c r="J696" s="44"/>
    </row>
    <row r="697">
      <c r="A697" s="42" t="s">
        <v>330</v>
      </c>
      <c r="B697" s="11"/>
      <c r="C697" s="8"/>
      <c r="D697" s="8"/>
      <c r="E697" s="9"/>
      <c r="F697" s="10"/>
      <c r="G697" s="9"/>
      <c r="H697" s="11"/>
      <c r="I697" s="9" t="s">
        <v>13</v>
      </c>
      <c r="J697" s="44"/>
    </row>
    <row r="698">
      <c r="A698" s="42" t="s">
        <v>330</v>
      </c>
      <c r="B698" s="11"/>
      <c r="C698" s="8"/>
      <c r="D698" s="8"/>
      <c r="E698" s="9"/>
      <c r="F698" s="10"/>
      <c r="G698" s="9"/>
      <c r="H698" s="11"/>
      <c r="I698" s="9" t="s">
        <v>13</v>
      </c>
      <c r="J698" s="44"/>
    </row>
    <row r="699">
      <c r="A699" s="42" t="s">
        <v>330</v>
      </c>
      <c r="B699" s="11"/>
      <c r="C699" s="8"/>
      <c r="D699" s="8"/>
      <c r="E699" s="9"/>
      <c r="F699" s="10"/>
      <c r="G699" s="9"/>
      <c r="H699" s="11"/>
      <c r="I699" s="9" t="s">
        <v>13</v>
      </c>
      <c r="J699" s="44"/>
    </row>
    <row r="700">
      <c r="A700" s="42" t="s">
        <v>330</v>
      </c>
      <c r="B700" s="11"/>
      <c r="C700" s="8"/>
      <c r="D700" s="8"/>
      <c r="E700" s="9"/>
      <c r="F700" s="10"/>
      <c r="G700" s="9"/>
      <c r="H700" s="11"/>
      <c r="I700" s="9" t="s">
        <v>13</v>
      </c>
      <c r="J700" s="44"/>
    </row>
    <row r="701">
      <c r="A701" s="42" t="s">
        <v>330</v>
      </c>
      <c r="B701" s="11"/>
      <c r="C701" s="8"/>
      <c r="D701" s="8"/>
      <c r="E701" s="9"/>
      <c r="F701" s="10"/>
      <c r="G701" s="9"/>
      <c r="H701" s="11"/>
      <c r="I701" s="9" t="s">
        <v>13</v>
      </c>
      <c r="J701" s="44"/>
    </row>
    <row r="702">
      <c r="A702" s="42" t="s">
        <v>330</v>
      </c>
      <c r="B702" s="11"/>
      <c r="C702" s="8"/>
      <c r="D702" s="8"/>
      <c r="E702" s="9"/>
      <c r="F702" s="10"/>
      <c r="G702" s="9"/>
      <c r="H702" s="11"/>
      <c r="I702" s="9" t="s">
        <v>13</v>
      </c>
      <c r="J702" s="44"/>
    </row>
    <row r="703">
      <c r="A703" s="42" t="s">
        <v>330</v>
      </c>
      <c r="B703" s="11"/>
      <c r="C703" s="8"/>
      <c r="D703" s="8"/>
      <c r="E703" s="9"/>
      <c r="F703" s="10"/>
      <c r="G703" s="9"/>
      <c r="H703" s="11"/>
      <c r="I703" s="9" t="s">
        <v>13</v>
      </c>
      <c r="J703" s="44"/>
    </row>
    <row r="704">
      <c r="A704" s="42" t="s">
        <v>330</v>
      </c>
      <c r="B704" s="11"/>
      <c r="C704" s="8"/>
      <c r="D704" s="8"/>
      <c r="E704" s="9"/>
      <c r="F704" s="10"/>
      <c r="G704" s="9"/>
      <c r="H704" s="11"/>
      <c r="I704" s="9" t="s">
        <v>13</v>
      </c>
      <c r="J704" s="44"/>
    </row>
    <row r="705">
      <c r="A705" s="42" t="s">
        <v>330</v>
      </c>
      <c r="B705" s="11"/>
      <c r="C705" s="8"/>
      <c r="D705" s="8"/>
      <c r="E705" s="9"/>
      <c r="F705" s="10"/>
      <c r="G705" s="9"/>
      <c r="H705" s="11"/>
      <c r="I705" s="9" t="s">
        <v>13</v>
      </c>
      <c r="J705" s="44"/>
    </row>
    <row r="706">
      <c r="A706" s="42" t="s">
        <v>330</v>
      </c>
      <c r="B706" s="11"/>
      <c r="C706" s="8"/>
      <c r="D706" s="8"/>
      <c r="E706" s="9"/>
      <c r="F706" s="10"/>
      <c r="G706" s="9"/>
      <c r="H706" s="11"/>
      <c r="I706" s="9" t="s">
        <v>13</v>
      </c>
      <c r="J706" s="44"/>
    </row>
    <row r="707">
      <c r="A707" s="42" t="s">
        <v>330</v>
      </c>
      <c r="B707" s="11"/>
      <c r="C707" s="8"/>
      <c r="D707" s="8"/>
      <c r="E707" s="9"/>
      <c r="F707" s="10"/>
      <c r="G707" s="9"/>
      <c r="H707" s="11"/>
      <c r="I707" s="9" t="s">
        <v>13</v>
      </c>
      <c r="J707" s="44"/>
    </row>
    <row r="708">
      <c r="A708" s="42" t="s">
        <v>330</v>
      </c>
      <c r="B708" s="11"/>
      <c r="C708" s="8"/>
      <c r="D708" s="8"/>
      <c r="E708" s="9"/>
      <c r="F708" s="10"/>
      <c r="G708" s="9"/>
      <c r="H708" s="11"/>
      <c r="I708" s="9" t="s">
        <v>13</v>
      </c>
      <c r="J708" s="44"/>
    </row>
    <row r="709">
      <c r="A709" s="42" t="s">
        <v>330</v>
      </c>
      <c r="B709" s="11"/>
      <c r="C709" s="8"/>
      <c r="D709" s="8"/>
      <c r="E709" s="9"/>
      <c r="F709" s="10"/>
      <c r="G709" s="9"/>
      <c r="H709" s="11"/>
      <c r="I709" s="9" t="s">
        <v>13</v>
      </c>
      <c r="J709" s="44"/>
    </row>
    <row r="710">
      <c r="A710" s="42" t="s">
        <v>330</v>
      </c>
      <c r="B710" s="11"/>
      <c r="C710" s="8"/>
      <c r="D710" s="8"/>
      <c r="E710" s="9"/>
      <c r="F710" s="10"/>
      <c r="G710" s="9"/>
      <c r="H710" s="11"/>
      <c r="I710" s="9" t="s">
        <v>13</v>
      </c>
      <c r="J710" s="44"/>
    </row>
    <row r="711">
      <c r="A711" s="42" t="s">
        <v>330</v>
      </c>
      <c r="B711" s="11"/>
      <c r="C711" s="8"/>
      <c r="D711" s="8"/>
      <c r="E711" s="9"/>
      <c r="F711" s="10"/>
      <c r="G711" s="9"/>
      <c r="H711" s="11"/>
      <c r="I711" s="9" t="s">
        <v>13</v>
      </c>
      <c r="J711" s="44"/>
    </row>
    <row r="712">
      <c r="A712" s="42" t="s">
        <v>330</v>
      </c>
      <c r="B712" s="11"/>
      <c r="C712" s="8"/>
      <c r="D712" s="8"/>
      <c r="E712" s="9"/>
      <c r="F712" s="10"/>
      <c r="G712" s="9"/>
      <c r="H712" s="11"/>
      <c r="I712" s="9" t="s">
        <v>13</v>
      </c>
      <c r="J712" s="44"/>
    </row>
    <row r="713">
      <c r="A713" s="42" t="s">
        <v>330</v>
      </c>
      <c r="B713" s="11"/>
      <c r="C713" s="8"/>
      <c r="D713" s="8"/>
      <c r="E713" s="9"/>
      <c r="F713" s="10"/>
      <c r="G713" s="9"/>
      <c r="H713" s="11"/>
      <c r="I713" s="9" t="s">
        <v>13</v>
      </c>
      <c r="J713" s="44"/>
    </row>
    <row r="714">
      <c r="A714" s="42" t="s">
        <v>330</v>
      </c>
      <c r="B714" s="11"/>
      <c r="C714" s="8"/>
      <c r="D714" s="8"/>
      <c r="E714" s="9"/>
      <c r="F714" s="10"/>
      <c r="G714" s="9"/>
      <c r="H714" s="11"/>
      <c r="I714" s="9" t="s">
        <v>13</v>
      </c>
      <c r="J714" s="44"/>
    </row>
    <row r="715">
      <c r="A715" s="42" t="s">
        <v>330</v>
      </c>
      <c r="B715" s="11"/>
      <c r="C715" s="8"/>
      <c r="D715" s="8"/>
      <c r="E715" s="9"/>
      <c r="F715" s="10"/>
      <c r="G715" s="9"/>
      <c r="H715" s="11"/>
      <c r="I715" s="9" t="s">
        <v>13</v>
      </c>
      <c r="J715" s="44"/>
    </row>
    <row r="716">
      <c r="A716" s="42" t="s">
        <v>330</v>
      </c>
      <c r="B716" s="11"/>
      <c r="C716" s="8"/>
      <c r="D716" s="8"/>
      <c r="E716" s="9"/>
      <c r="F716" s="10"/>
      <c r="G716" s="9"/>
      <c r="H716" s="11"/>
      <c r="I716" s="9" t="s">
        <v>13</v>
      </c>
      <c r="J716" s="44"/>
    </row>
    <row r="717">
      <c r="A717" s="42" t="s">
        <v>330</v>
      </c>
      <c r="B717" s="11"/>
      <c r="C717" s="8"/>
      <c r="D717" s="8"/>
      <c r="E717" s="9"/>
      <c r="F717" s="10"/>
      <c r="G717" s="9"/>
      <c r="H717" s="11"/>
      <c r="I717" s="9" t="s">
        <v>13</v>
      </c>
      <c r="J717" s="44"/>
    </row>
    <row r="718">
      <c r="A718" s="42" t="s">
        <v>330</v>
      </c>
      <c r="B718" s="11"/>
      <c r="C718" s="8"/>
      <c r="D718" s="8"/>
      <c r="E718" s="9"/>
      <c r="F718" s="10"/>
      <c r="G718" s="9"/>
      <c r="H718" s="11"/>
      <c r="I718" s="9" t="s">
        <v>13</v>
      </c>
      <c r="J718" s="44"/>
    </row>
    <row r="719">
      <c r="A719" s="42" t="s">
        <v>330</v>
      </c>
      <c r="B719" s="11"/>
      <c r="C719" s="8"/>
      <c r="D719" s="8"/>
      <c r="E719" s="9"/>
      <c r="F719" s="10"/>
      <c r="G719" s="9"/>
      <c r="H719" s="11"/>
      <c r="I719" s="9" t="s">
        <v>13</v>
      </c>
      <c r="J719" s="44"/>
    </row>
    <row r="720">
      <c r="A720" s="42" t="s">
        <v>330</v>
      </c>
      <c r="B720" s="11"/>
      <c r="C720" s="8"/>
      <c r="D720" s="8"/>
      <c r="E720" s="9"/>
      <c r="F720" s="10"/>
      <c r="G720" s="9"/>
      <c r="H720" s="11"/>
      <c r="I720" s="9" t="s">
        <v>13</v>
      </c>
      <c r="J720" s="44"/>
    </row>
    <row r="721">
      <c r="A721" s="42" t="s">
        <v>330</v>
      </c>
      <c r="B721" s="11"/>
      <c r="C721" s="8"/>
      <c r="D721" s="8"/>
      <c r="E721" s="9"/>
      <c r="F721" s="10"/>
      <c r="G721" s="9"/>
      <c r="H721" s="11"/>
      <c r="I721" s="9" t="s">
        <v>13</v>
      </c>
      <c r="J721" s="44"/>
    </row>
    <row r="722">
      <c r="A722" s="42" t="s">
        <v>330</v>
      </c>
      <c r="B722" s="11"/>
      <c r="C722" s="8"/>
      <c r="D722" s="8"/>
      <c r="E722" s="9"/>
      <c r="F722" s="10"/>
      <c r="G722" s="9"/>
      <c r="H722" s="11"/>
      <c r="I722" s="9" t="s">
        <v>13</v>
      </c>
      <c r="J722" s="44"/>
    </row>
    <row r="723">
      <c r="A723" s="42" t="s">
        <v>330</v>
      </c>
      <c r="B723" s="11"/>
      <c r="C723" s="8"/>
      <c r="D723" s="8"/>
      <c r="E723" s="9"/>
      <c r="F723" s="10"/>
      <c r="G723" s="9"/>
      <c r="H723" s="11"/>
      <c r="I723" s="9" t="s">
        <v>13</v>
      </c>
      <c r="J723" s="44"/>
    </row>
    <row r="724">
      <c r="A724" s="42" t="s">
        <v>330</v>
      </c>
      <c r="B724" s="11"/>
      <c r="C724" s="8"/>
      <c r="D724" s="8"/>
      <c r="E724" s="9"/>
      <c r="F724" s="10"/>
      <c r="G724" s="9"/>
      <c r="H724" s="11"/>
      <c r="I724" s="9" t="s">
        <v>13</v>
      </c>
      <c r="J724" s="44"/>
    </row>
    <row r="725">
      <c r="A725" s="42" t="s">
        <v>330</v>
      </c>
      <c r="B725" s="11"/>
      <c r="C725" s="8"/>
      <c r="D725" s="8"/>
      <c r="E725" s="9"/>
      <c r="F725" s="10"/>
      <c r="G725" s="9"/>
      <c r="H725" s="11"/>
      <c r="I725" s="9" t="s">
        <v>13</v>
      </c>
      <c r="J725" s="44"/>
    </row>
    <row r="726">
      <c r="A726" s="42" t="s">
        <v>330</v>
      </c>
      <c r="B726" s="11"/>
      <c r="C726" s="8"/>
      <c r="D726" s="8"/>
      <c r="E726" s="9"/>
      <c r="F726" s="10"/>
      <c r="G726" s="9"/>
      <c r="H726" s="11"/>
      <c r="I726" s="9" t="s">
        <v>13</v>
      </c>
      <c r="J726" s="44"/>
    </row>
    <row r="727">
      <c r="A727" s="42" t="s">
        <v>330</v>
      </c>
      <c r="B727" s="11"/>
      <c r="C727" s="8"/>
      <c r="D727" s="8"/>
      <c r="E727" s="9"/>
      <c r="F727" s="10"/>
      <c r="G727" s="9"/>
      <c r="H727" s="11"/>
      <c r="I727" s="9" t="s">
        <v>13</v>
      </c>
      <c r="J727" s="44"/>
    </row>
    <row r="728">
      <c r="A728" s="42" t="s">
        <v>330</v>
      </c>
      <c r="B728" s="11"/>
      <c r="C728" s="8"/>
      <c r="D728" s="8"/>
      <c r="E728" s="9"/>
      <c r="F728" s="10"/>
      <c r="G728" s="9"/>
      <c r="H728" s="11"/>
      <c r="I728" s="9" t="s">
        <v>13</v>
      </c>
      <c r="J728" s="44"/>
    </row>
    <row r="729">
      <c r="A729" s="42" t="s">
        <v>330</v>
      </c>
      <c r="B729" s="11"/>
      <c r="C729" s="8"/>
      <c r="D729" s="8"/>
      <c r="E729" s="9"/>
      <c r="F729" s="10"/>
      <c r="G729" s="9"/>
      <c r="H729" s="11"/>
      <c r="I729" s="9" t="s">
        <v>13</v>
      </c>
      <c r="J729" s="44"/>
    </row>
    <row r="730">
      <c r="A730" s="42" t="s">
        <v>330</v>
      </c>
      <c r="B730" s="11"/>
      <c r="C730" s="8"/>
      <c r="D730" s="8"/>
      <c r="E730" s="9"/>
      <c r="F730" s="10"/>
      <c r="G730" s="9"/>
      <c r="H730" s="11"/>
      <c r="I730" s="9" t="s">
        <v>13</v>
      </c>
      <c r="J730" s="44"/>
    </row>
    <row r="731">
      <c r="A731" s="42" t="s">
        <v>330</v>
      </c>
      <c r="B731" s="11"/>
      <c r="C731" s="8"/>
      <c r="D731" s="8"/>
      <c r="E731" s="9"/>
      <c r="F731" s="10"/>
      <c r="G731" s="9"/>
      <c r="H731" s="11"/>
      <c r="I731" s="9" t="s">
        <v>13</v>
      </c>
      <c r="J731" s="44"/>
    </row>
    <row r="732">
      <c r="A732" s="42" t="s">
        <v>330</v>
      </c>
      <c r="B732" s="11"/>
      <c r="C732" s="8"/>
      <c r="D732" s="8"/>
      <c r="E732" s="9"/>
      <c r="F732" s="10"/>
      <c r="G732" s="9"/>
      <c r="H732" s="11"/>
      <c r="I732" s="9" t="s">
        <v>13</v>
      </c>
      <c r="J732" s="44"/>
    </row>
    <row r="733">
      <c r="A733" s="42" t="s">
        <v>330</v>
      </c>
      <c r="B733" s="11"/>
      <c r="C733" s="8"/>
      <c r="D733" s="8"/>
      <c r="E733" s="9"/>
      <c r="F733" s="10"/>
      <c r="G733" s="9"/>
      <c r="H733" s="11"/>
      <c r="I733" s="9" t="s">
        <v>13</v>
      </c>
      <c r="J733" s="44"/>
    </row>
    <row r="734">
      <c r="A734" s="42" t="s">
        <v>330</v>
      </c>
      <c r="B734" s="11"/>
      <c r="C734" s="8"/>
      <c r="D734" s="8"/>
      <c r="E734" s="9"/>
      <c r="F734" s="10"/>
      <c r="G734" s="9"/>
      <c r="H734" s="11"/>
      <c r="I734" s="9" t="s">
        <v>13</v>
      </c>
      <c r="J734" s="44"/>
    </row>
    <row r="735">
      <c r="A735" s="42" t="s">
        <v>330</v>
      </c>
      <c r="B735" s="11"/>
      <c r="C735" s="8"/>
      <c r="D735" s="8"/>
      <c r="E735" s="9"/>
      <c r="F735" s="10"/>
      <c r="G735" s="9"/>
      <c r="H735" s="11"/>
      <c r="I735" s="9" t="s">
        <v>13</v>
      </c>
      <c r="J735" s="44"/>
    </row>
    <row r="736">
      <c r="A736" s="42" t="s">
        <v>330</v>
      </c>
      <c r="B736" s="11"/>
      <c r="C736" s="8"/>
      <c r="D736" s="8"/>
      <c r="E736" s="9"/>
      <c r="F736" s="10"/>
      <c r="G736" s="9"/>
      <c r="H736" s="11"/>
      <c r="I736" s="9" t="s">
        <v>13</v>
      </c>
      <c r="J736" s="44"/>
    </row>
    <row r="737">
      <c r="A737" s="42" t="s">
        <v>330</v>
      </c>
      <c r="B737" s="11"/>
      <c r="C737" s="8"/>
      <c r="D737" s="8"/>
      <c r="E737" s="9"/>
      <c r="F737" s="10"/>
      <c r="G737" s="9"/>
      <c r="H737" s="11"/>
      <c r="I737" s="9" t="s">
        <v>13</v>
      </c>
      <c r="J737" s="44"/>
    </row>
    <row r="738">
      <c r="A738" s="42" t="s">
        <v>330</v>
      </c>
      <c r="B738" s="11"/>
      <c r="C738" s="8"/>
      <c r="D738" s="8"/>
      <c r="E738" s="9"/>
      <c r="F738" s="10"/>
      <c r="G738" s="9"/>
      <c r="H738" s="11"/>
      <c r="I738" s="9" t="s">
        <v>13</v>
      </c>
      <c r="J738" s="44"/>
    </row>
    <row r="739">
      <c r="A739" s="42" t="s">
        <v>330</v>
      </c>
      <c r="B739" s="11"/>
      <c r="C739" s="8"/>
      <c r="D739" s="8"/>
      <c r="E739" s="9"/>
      <c r="F739" s="10"/>
      <c r="G739" s="9"/>
      <c r="H739" s="11"/>
      <c r="I739" s="9" t="s">
        <v>13</v>
      </c>
      <c r="J739" s="44"/>
    </row>
    <row r="740">
      <c r="A740" s="42" t="s">
        <v>330</v>
      </c>
      <c r="B740" s="11"/>
      <c r="C740" s="8"/>
      <c r="D740" s="8"/>
      <c r="E740" s="9"/>
      <c r="F740" s="10"/>
      <c r="G740" s="9"/>
      <c r="H740" s="11"/>
      <c r="I740" s="9" t="s">
        <v>13</v>
      </c>
      <c r="J740" s="44"/>
    </row>
    <row r="741">
      <c r="A741" s="42" t="s">
        <v>330</v>
      </c>
      <c r="B741" s="11"/>
      <c r="C741" s="8"/>
      <c r="D741" s="8"/>
      <c r="E741" s="9"/>
      <c r="F741" s="10"/>
      <c r="G741" s="9"/>
      <c r="H741" s="11"/>
      <c r="I741" s="9" t="s">
        <v>13</v>
      </c>
      <c r="J741" s="44"/>
    </row>
    <row r="742">
      <c r="A742" s="42" t="s">
        <v>330</v>
      </c>
      <c r="B742" s="11"/>
      <c r="C742" s="8"/>
      <c r="D742" s="8"/>
      <c r="E742" s="9"/>
      <c r="F742" s="10"/>
      <c r="G742" s="9"/>
      <c r="H742" s="11"/>
      <c r="I742" s="9" t="s">
        <v>13</v>
      </c>
      <c r="J742" s="44"/>
    </row>
    <row r="743">
      <c r="A743" s="42" t="s">
        <v>330</v>
      </c>
      <c r="B743" s="11"/>
      <c r="C743" s="8"/>
      <c r="D743" s="8"/>
      <c r="E743" s="9"/>
      <c r="F743" s="10"/>
      <c r="G743" s="9"/>
      <c r="H743" s="11"/>
      <c r="I743" s="9" t="s">
        <v>13</v>
      </c>
      <c r="J743" s="44"/>
    </row>
    <row r="744">
      <c r="A744" s="42" t="s">
        <v>330</v>
      </c>
      <c r="B744" s="11"/>
      <c r="C744" s="8"/>
      <c r="D744" s="8"/>
      <c r="E744" s="9"/>
      <c r="F744" s="10"/>
      <c r="G744" s="9"/>
      <c r="H744" s="11"/>
      <c r="I744" s="9" t="s">
        <v>13</v>
      </c>
      <c r="J744" s="44"/>
    </row>
    <row r="745">
      <c r="A745" s="42" t="s">
        <v>330</v>
      </c>
      <c r="B745" s="11"/>
      <c r="C745" s="8"/>
      <c r="D745" s="8"/>
      <c r="E745" s="9"/>
      <c r="F745" s="10"/>
      <c r="G745" s="9"/>
      <c r="H745" s="11"/>
      <c r="I745" s="9" t="s">
        <v>13</v>
      </c>
      <c r="J745" s="44"/>
    </row>
    <row r="746">
      <c r="A746" s="42" t="s">
        <v>330</v>
      </c>
      <c r="B746" s="11"/>
      <c r="C746" s="8"/>
      <c r="D746" s="8"/>
      <c r="E746" s="9"/>
      <c r="F746" s="10"/>
      <c r="G746" s="9"/>
      <c r="H746" s="11"/>
      <c r="I746" s="9" t="s">
        <v>13</v>
      </c>
      <c r="J746" s="44"/>
    </row>
    <row r="747">
      <c r="A747" s="42" t="s">
        <v>330</v>
      </c>
      <c r="B747" s="11"/>
      <c r="C747" s="8"/>
      <c r="D747" s="8"/>
      <c r="E747" s="9"/>
      <c r="F747" s="10"/>
      <c r="G747" s="9"/>
      <c r="H747" s="11"/>
      <c r="I747" s="9" t="s">
        <v>13</v>
      </c>
      <c r="J747" s="44"/>
    </row>
    <row r="748">
      <c r="A748" s="42" t="s">
        <v>330</v>
      </c>
      <c r="B748" s="11"/>
      <c r="C748" s="8"/>
      <c r="D748" s="8"/>
      <c r="E748" s="9"/>
      <c r="F748" s="10"/>
      <c r="G748" s="9"/>
      <c r="H748" s="11"/>
      <c r="I748" s="9" t="s">
        <v>13</v>
      </c>
      <c r="J748" s="44"/>
    </row>
    <row r="749">
      <c r="A749" s="42" t="s">
        <v>330</v>
      </c>
      <c r="B749" s="11"/>
      <c r="C749" s="8"/>
      <c r="D749" s="8"/>
      <c r="E749" s="9"/>
      <c r="F749" s="10"/>
      <c r="G749" s="9"/>
      <c r="H749" s="11"/>
      <c r="I749" s="9" t="s">
        <v>13</v>
      </c>
      <c r="J749" s="44"/>
    </row>
    <row r="750">
      <c r="A750" s="42" t="s">
        <v>330</v>
      </c>
      <c r="B750" s="11"/>
      <c r="C750" s="8"/>
      <c r="D750" s="8"/>
      <c r="E750" s="9"/>
      <c r="F750" s="10"/>
      <c r="G750" s="9"/>
      <c r="H750" s="11"/>
      <c r="I750" s="9" t="s">
        <v>13</v>
      </c>
      <c r="J750" s="44"/>
    </row>
    <row r="751">
      <c r="A751" s="42" t="s">
        <v>330</v>
      </c>
      <c r="B751" s="11"/>
      <c r="C751" s="8"/>
      <c r="D751" s="8"/>
      <c r="E751" s="9"/>
      <c r="F751" s="10"/>
      <c r="G751" s="9"/>
      <c r="H751" s="11"/>
      <c r="I751" s="9" t="s">
        <v>13</v>
      </c>
      <c r="J751" s="44"/>
    </row>
    <row r="752">
      <c r="A752" s="42" t="s">
        <v>330</v>
      </c>
      <c r="B752" s="11"/>
      <c r="C752" s="8"/>
      <c r="D752" s="8"/>
      <c r="E752" s="9"/>
      <c r="F752" s="10"/>
      <c r="G752" s="9"/>
      <c r="H752" s="11"/>
      <c r="I752" s="9" t="s">
        <v>13</v>
      </c>
      <c r="J752" s="44"/>
    </row>
    <row r="753">
      <c r="A753" s="42" t="s">
        <v>330</v>
      </c>
      <c r="B753" s="11"/>
      <c r="C753" s="8"/>
      <c r="D753" s="8"/>
      <c r="E753" s="9"/>
      <c r="F753" s="10"/>
      <c r="G753" s="9"/>
      <c r="H753" s="11"/>
      <c r="I753" s="9" t="s">
        <v>13</v>
      </c>
      <c r="J753" s="44"/>
    </row>
    <row r="754">
      <c r="A754" s="42" t="s">
        <v>330</v>
      </c>
      <c r="B754" s="11"/>
      <c r="C754" s="8"/>
      <c r="D754" s="8"/>
      <c r="E754" s="9"/>
      <c r="F754" s="10"/>
      <c r="G754" s="9"/>
      <c r="H754" s="11"/>
      <c r="I754" s="9" t="s">
        <v>13</v>
      </c>
      <c r="J754" s="44"/>
    </row>
    <row r="755">
      <c r="A755" s="42" t="s">
        <v>330</v>
      </c>
      <c r="B755" s="11"/>
      <c r="C755" s="8"/>
      <c r="D755" s="8"/>
      <c r="E755" s="9"/>
      <c r="F755" s="10"/>
      <c r="G755" s="9"/>
      <c r="H755" s="11"/>
      <c r="I755" s="9" t="s">
        <v>13</v>
      </c>
      <c r="J755" s="44"/>
    </row>
    <row r="756">
      <c r="A756" s="42" t="s">
        <v>330</v>
      </c>
      <c r="B756" s="11"/>
      <c r="C756" s="8"/>
      <c r="D756" s="8"/>
      <c r="E756" s="9"/>
      <c r="F756" s="10"/>
      <c r="G756" s="9"/>
      <c r="H756" s="11"/>
      <c r="I756" s="9" t="s">
        <v>13</v>
      </c>
      <c r="J756" s="44"/>
    </row>
    <row r="757">
      <c r="A757" s="42" t="s">
        <v>330</v>
      </c>
      <c r="B757" s="11"/>
      <c r="C757" s="8"/>
      <c r="D757" s="8"/>
      <c r="E757" s="9"/>
      <c r="F757" s="10"/>
      <c r="G757" s="9"/>
      <c r="H757" s="11"/>
      <c r="I757" s="9" t="s">
        <v>13</v>
      </c>
      <c r="J757" s="44"/>
    </row>
    <row r="758">
      <c r="A758" s="42" t="s">
        <v>330</v>
      </c>
      <c r="B758" s="11"/>
      <c r="C758" s="8"/>
      <c r="D758" s="8"/>
      <c r="E758" s="9"/>
      <c r="F758" s="10"/>
      <c r="G758" s="9"/>
      <c r="H758" s="11"/>
      <c r="I758" s="9" t="s">
        <v>13</v>
      </c>
      <c r="J758" s="44"/>
    </row>
    <row r="759">
      <c r="A759" s="42" t="s">
        <v>330</v>
      </c>
      <c r="B759" s="11"/>
      <c r="C759" s="8"/>
      <c r="D759" s="8"/>
      <c r="E759" s="9"/>
      <c r="F759" s="10"/>
      <c r="G759" s="9"/>
      <c r="H759" s="11"/>
      <c r="I759" s="9" t="s">
        <v>13</v>
      </c>
      <c r="J759" s="44"/>
    </row>
    <row r="760">
      <c r="A760" s="42" t="s">
        <v>330</v>
      </c>
      <c r="B760" s="11"/>
      <c r="C760" s="8"/>
      <c r="D760" s="8"/>
      <c r="E760" s="9"/>
      <c r="F760" s="10"/>
      <c r="G760" s="9"/>
      <c r="H760" s="11"/>
      <c r="I760" s="9" t="s">
        <v>13</v>
      </c>
      <c r="J760" s="44"/>
    </row>
    <row r="761">
      <c r="A761" s="42" t="s">
        <v>330</v>
      </c>
      <c r="B761" s="11"/>
      <c r="C761" s="8"/>
      <c r="D761" s="8"/>
      <c r="E761" s="9"/>
      <c r="F761" s="10"/>
      <c r="G761" s="9"/>
      <c r="H761" s="11"/>
      <c r="I761" s="9" t="s">
        <v>13</v>
      </c>
      <c r="J761" s="44"/>
    </row>
    <row r="762">
      <c r="A762" s="42" t="s">
        <v>330</v>
      </c>
      <c r="B762" s="11"/>
      <c r="C762" s="8"/>
      <c r="D762" s="8"/>
      <c r="E762" s="9"/>
      <c r="F762" s="10"/>
      <c r="G762" s="9"/>
      <c r="H762" s="11"/>
      <c r="I762" s="9" t="s">
        <v>13</v>
      </c>
      <c r="J762" s="44"/>
    </row>
    <row r="763">
      <c r="A763" s="42" t="s">
        <v>330</v>
      </c>
      <c r="B763" s="11"/>
      <c r="C763" s="8"/>
      <c r="D763" s="8"/>
      <c r="E763" s="9"/>
      <c r="F763" s="10"/>
      <c r="G763" s="9"/>
      <c r="H763" s="11"/>
      <c r="I763" s="9" t="s">
        <v>13</v>
      </c>
      <c r="J763" s="44"/>
    </row>
    <row r="764">
      <c r="A764" s="42" t="s">
        <v>330</v>
      </c>
      <c r="B764" s="11"/>
      <c r="C764" s="8"/>
      <c r="D764" s="8"/>
      <c r="E764" s="9"/>
      <c r="F764" s="10"/>
      <c r="G764" s="9"/>
      <c r="H764" s="11"/>
      <c r="I764" s="9" t="s">
        <v>13</v>
      </c>
      <c r="J764" s="44"/>
    </row>
    <row r="765">
      <c r="A765" s="42" t="s">
        <v>330</v>
      </c>
      <c r="B765" s="11"/>
      <c r="C765" s="8"/>
      <c r="D765" s="8"/>
      <c r="E765" s="9"/>
      <c r="F765" s="10"/>
      <c r="G765" s="9"/>
      <c r="H765" s="11"/>
      <c r="I765" s="9" t="s">
        <v>13</v>
      </c>
      <c r="J765" s="44"/>
    </row>
    <row r="766">
      <c r="A766" s="42" t="s">
        <v>330</v>
      </c>
      <c r="B766" s="11"/>
      <c r="C766" s="8"/>
      <c r="D766" s="8"/>
      <c r="E766" s="9"/>
      <c r="F766" s="10"/>
      <c r="G766" s="9"/>
      <c r="H766" s="11"/>
      <c r="I766" s="9" t="s">
        <v>13</v>
      </c>
      <c r="J766" s="44"/>
    </row>
    <row r="767">
      <c r="A767" s="42" t="s">
        <v>330</v>
      </c>
      <c r="B767" s="11"/>
      <c r="C767" s="8"/>
      <c r="D767" s="8"/>
      <c r="E767" s="9"/>
      <c r="F767" s="10"/>
      <c r="G767" s="9"/>
      <c r="H767" s="11"/>
      <c r="I767" s="9" t="s">
        <v>13</v>
      </c>
      <c r="J767" s="44"/>
    </row>
    <row r="768">
      <c r="A768" s="42" t="s">
        <v>330</v>
      </c>
      <c r="B768" s="11"/>
      <c r="C768" s="8"/>
      <c r="D768" s="8"/>
      <c r="E768" s="9"/>
      <c r="F768" s="10"/>
      <c r="G768" s="9"/>
      <c r="H768" s="11"/>
      <c r="I768" s="9" t="s">
        <v>13</v>
      </c>
      <c r="J768" s="44"/>
    </row>
    <row r="769">
      <c r="A769" s="42" t="s">
        <v>330</v>
      </c>
      <c r="B769" s="11"/>
      <c r="C769" s="8"/>
      <c r="D769" s="8"/>
      <c r="E769" s="9"/>
      <c r="F769" s="10"/>
      <c r="G769" s="9"/>
      <c r="H769" s="11"/>
      <c r="I769" s="9" t="s">
        <v>13</v>
      </c>
      <c r="J769" s="44"/>
    </row>
    <row r="770">
      <c r="A770" s="42" t="s">
        <v>330</v>
      </c>
      <c r="B770" s="11"/>
      <c r="C770" s="8"/>
      <c r="D770" s="8"/>
      <c r="E770" s="9"/>
      <c r="F770" s="10"/>
      <c r="G770" s="9"/>
      <c r="H770" s="11"/>
      <c r="I770" s="9" t="s">
        <v>13</v>
      </c>
      <c r="J770" s="44"/>
    </row>
    <row r="771">
      <c r="A771" s="42" t="s">
        <v>330</v>
      </c>
      <c r="B771" s="11"/>
      <c r="C771" s="8"/>
      <c r="D771" s="8"/>
      <c r="E771" s="9"/>
      <c r="F771" s="10"/>
      <c r="G771" s="9"/>
      <c r="H771" s="11"/>
      <c r="I771" s="9" t="s">
        <v>13</v>
      </c>
      <c r="J771" s="44"/>
    </row>
    <row r="772">
      <c r="A772" s="42" t="s">
        <v>330</v>
      </c>
      <c r="B772" s="11"/>
      <c r="C772" s="8"/>
      <c r="D772" s="8"/>
      <c r="E772" s="9"/>
      <c r="F772" s="10"/>
      <c r="G772" s="9"/>
      <c r="H772" s="11"/>
      <c r="I772" s="9" t="s">
        <v>13</v>
      </c>
      <c r="J772" s="44"/>
    </row>
    <row r="773">
      <c r="A773" s="42" t="s">
        <v>330</v>
      </c>
      <c r="B773" s="11"/>
      <c r="C773" s="8"/>
      <c r="D773" s="8"/>
      <c r="E773" s="9"/>
      <c r="F773" s="10"/>
      <c r="G773" s="9"/>
      <c r="H773" s="11"/>
      <c r="I773" s="9" t="s">
        <v>13</v>
      </c>
      <c r="J773" s="44"/>
    </row>
    <row r="774">
      <c r="A774" s="42" t="s">
        <v>330</v>
      </c>
      <c r="B774" s="11"/>
      <c r="C774" s="8"/>
      <c r="D774" s="8"/>
      <c r="E774" s="9"/>
      <c r="F774" s="10"/>
      <c r="G774" s="9"/>
      <c r="H774" s="11"/>
      <c r="I774" s="9" t="s">
        <v>13</v>
      </c>
      <c r="J774" s="44"/>
    </row>
    <row r="775">
      <c r="A775" s="42" t="s">
        <v>330</v>
      </c>
      <c r="B775" s="11"/>
      <c r="C775" s="8"/>
      <c r="D775" s="8"/>
      <c r="E775" s="9"/>
      <c r="F775" s="10"/>
      <c r="G775" s="9"/>
      <c r="H775" s="11"/>
      <c r="I775" s="9" t="s">
        <v>13</v>
      </c>
      <c r="J775" s="44"/>
    </row>
    <row r="776">
      <c r="A776" s="42" t="s">
        <v>330</v>
      </c>
      <c r="B776" s="11"/>
      <c r="C776" s="8"/>
      <c r="D776" s="8"/>
      <c r="E776" s="9"/>
      <c r="F776" s="10"/>
      <c r="G776" s="9"/>
      <c r="H776" s="11"/>
      <c r="I776" s="9" t="s">
        <v>13</v>
      </c>
      <c r="J776" s="44"/>
    </row>
    <row r="777">
      <c r="A777" s="42" t="s">
        <v>330</v>
      </c>
      <c r="B777" s="11"/>
      <c r="C777" s="8"/>
      <c r="D777" s="8"/>
      <c r="E777" s="9"/>
      <c r="F777" s="10"/>
      <c r="G777" s="9"/>
      <c r="H777" s="11"/>
      <c r="I777" s="9" t="s">
        <v>13</v>
      </c>
      <c r="J777" s="44"/>
    </row>
    <row r="778">
      <c r="A778" s="42" t="s">
        <v>330</v>
      </c>
      <c r="B778" s="11"/>
      <c r="C778" s="8"/>
      <c r="D778" s="8"/>
      <c r="E778" s="9"/>
      <c r="F778" s="10"/>
      <c r="G778" s="9"/>
      <c r="H778" s="11"/>
      <c r="I778" s="9" t="s">
        <v>13</v>
      </c>
      <c r="J778" s="44"/>
    </row>
    <row r="779">
      <c r="A779" s="42" t="s">
        <v>330</v>
      </c>
      <c r="B779" s="11"/>
      <c r="C779" s="8"/>
      <c r="D779" s="8"/>
      <c r="E779" s="9"/>
      <c r="F779" s="10"/>
      <c r="G779" s="9"/>
      <c r="H779" s="11"/>
      <c r="I779" s="9" t="s">
        <v>13</v>
      </c>
      <c r="J779" s="44"/>
    </row>
    <row r="780">
      <c r="A780" s="42" t="s">
        <v>330</v>
      </c>
      <c r="B780" s="11"/>
      <c r="C780" s="8"/>
      <c r="D780" s="8"/>
      <c r="E780" s="9"/>
      <c r="F780" s="10"/>
      <c r="G780" s="9"/>
      <c r="H780" s="11"/>
      <c r="I780" s="9" t="s">
        <v>13</v>
      </c>
      <c r="J780" s="44"/>
    </row>
    <row r="781">
      <c r="A781" s="42" t="s">
        <v>330</v>
      </c>
      <c r="B781" s="11"/>
      <c r="C781" s="8"/>
      <c r="D781" s="8"/>
      <c r="E781" s="9"/>
      <c r="F781" s="10"/>
      <c r="G781" s="9"/>
      <c r="H781" s="11"/>
      <c r="I781" s="9" t="s">
        <v>13</v>
      </c>
      <c r="J781" s="44"/>
    </row>
    <row r="782">
      <c r="A782" s="42" t="s">
        <v>330</v>
      </c>
      <c r="B782" s="11"/>
      <c r="C782" s="8"/>
      <c r="D782" s="8"/>
      <c r="E782" s="9"/>
      <c r="F782" s="10"/>
      <c r="G782" s="9"/>
      <c r="H782" s="11"/>
      <c r="I782" s="9" t="s">
        <v>13</v>
      </c>
      <c r="J782" s="44"/>
    </row>
    <row r="783">
      <c r="A783" s="42" t="s">
        <v>330</v>
      </c>
      <c r="B783" s="11"/>
      <c r="C783" s="8"/>
      <c r="D783" s="8"/>
      <c r="E783" s="9"/>
      <c r="F783" s="10"/>
      <c r="G783" s="9"/>
      <c r="H783" s="11"/>
      <c r="I783" s="9" t="s">
        <v>13</v>
      </c>
      <c r="J783" s="44"/>
    </row>
    <row r="784">
      <c r="A784" s="42" t="s">
        <v>330</v>
      </c>
      <c r="B784" s="11"/>
      <c r="C784" s="8"/>
      <c r="D784" s="8"/>
      <c r="E784" s="9"/>
      <c r="F784" s="10"/>
      <c r="G784" s="9"/>
      <c r="H784" s="11"/>
      <c r="I784" s="9" t="s">
        <v>13</v>
      </c>
      <c r="J784" s="44"/>
    </row>
    <row r="785">
      <c r="A785" s="42" t="s">
        <v>330</v>
      </c>
      <c r="B785" s="11"/>
      <c r="C785" s="8"/>
      <c r="D785" s="8"/>
      <c r="E785" s="9"/>
      <c r="F785" s="10"/>
      <c r="G785" s="9"/>
      <c r="H785" s="11"/>
      <c r="I785" s="9" t="s">
        <v>13</v>
      </c>
      <c r="J785" s="44"/>
    </row>
    <row r="786">
      <c r="A786" s="42" t="s">
        <v>330</v>
      </c>
      <c r="B786" s="11"/>
      <c r="C786" s="8"/>
      <c r="D786" s="8"/>
      <c r="E786" s="9"/>
      <c r="F786" s="10"/>
      <c r="G786" s="9"/>
      <c r="H786" s="11"/>
      <c r="I786" s="9" t="s">
        <v>13</v>
      </c>
      <c r="J786" s="44"/>
    </row>
    <row r="787">
      <c r="A787" s="42" t="s">
        <v>330</v>
      </c>
      <c r="B787" s="11"/>
      <c r="C787" s="8"/>
      <c r="D787" s="8"/>
      <c r="E787" s="9"/>
      <c r="F787" s="10"/>
      <c r="G787" s="9"/>
      <c r="H787" s="11"/>
      <c r="I787" s="9" t="s">
        <v>13</v>
      </c>
      <c r="J787" s="44"/>
    </row>
    <row r="788">
      <c r="A788" s="42" t="s">
        <v>330</v>
      </c>
      <c r="B788" s="11"/>
      <c r="C788" s="8"/>
      <c r="D788" s="8"/>
      <c r="E788" s="9"/>
      <c r="F788" s="10"/>
      <c r="G788" s="9"/>
      <c r="H788" s="11"/>
      <c r="I788" s="9" t="s">
        <v>13</v>
      </c>
      <c r="J788" s="44"/>
    </row>
    <row r="789">
      <c r="A789" s="42" t="s">
        <v>330</v>
      </c>
      <c r="B789" s="11"/>
      <c r="C789" s="8"/>
      <c r="D789" s="8"/>
      <c r="E789" s="9"/>
      <c r="F789" s="10"/>
      <c r="G789" s="9"/>
      <c r="H789" s="11"/>
      <c r="I789" s="9" t="s">
        <v>13</v>
      </c>
      <c r="J789" s="44"/>
    </row>
    <row r="790">
      <c r="A790" s="42" t="s">
        <v>330</v>
      </c>
      <c r="B790" s="11"/>
      <c r="C790" s="8"/>
      <c r="D790" s="8"/>
      <c r="E790" s="9"/>
      <c r="F790" s="10"/>
      <c r="G790" s="9"/>
      <c r="H790" s="11"/>
      <c r="I790" s="9" t="s">
        <v>13</v>
      </c>
      <c r="J790" s="44"/>
    </row>
    <row r="791">
      <c r="A791" s="42" t="s">
        <v>330</v>
      </c>
      <c r="B791" s="11"/>
      <c r="C791" s="8"/>
      <c r="D791" s="8"/>
      <c r="E791" s="9"/>
      <c r="F791" s="10"/>
      <c r="G791" s="9"/>
      <c r="H791" s="11"/>
      <c r="I791" s="9" t="s">
        <v>13</v>
      </c>
      <c r="J791" s="44"/>
    </row>
    <row r="792">
      <c r="A792" s="42" t="s">
        <v>330</v>
      </c>
      <c r="B792" s="11"/>
      <c r="C792" s="8"/>
      <c r="D792" s="8"/>
      <c r="E792" s="9"/>
      <c r="F792" s="10"/>
      <c r="G792" s="9"/>
      <c r="H792" s="11"/>
      <c r="I792" s="9" t="s">
        <v>13</v>
      </c>
      <c r="J792" s="44"/>
    </row>
    <row r="793">
      <c r="A793" s="42" t="s">
        <v>330</v>
      </c>
      <c r="B793" s="11"/>
      <c r="C793" s="8"/>
      <c r="D793" s="8"/>
      <c r="E793" s="9"/>
      <c r="F793" s="10"/>
      <c r="G793" s="9"/>
      <c r="H793" s="11"/>
      <c r="I793" s="9" t="s">
        <v>13</v>
      </c>
      <c r="J793" s="44"/>
    </row>
    <row r="794">
      <c r="A794" s="42" t="s">
        <v>330</v>
      </c>
      <c r="B794" s="11"/>
      <c r="C794" s="8"/>
      <c r="D794" s="8"/>
      <c r="E794" s="9"/>
      <c r="F794" s="10"/>
      <c r="G794" s="9"/>
      <c r="H794" s="11"/>
      <c r="I794" s="9" t="s">
        <v>13</v>
      </c>
      <c r="J794" s="44"/>
    </row>
    <row r="795">
      <c r="A795" s="42" t="s">
        <v>330</v>
      </c>
      <c r="B795" s="11"/>
      <c r="C795" s="8"/>
      <c r="D795" s="8"/>
      <c r="E795" s="9"/>
      <c r="F795" s="10"/>
      <c r="G795" s="9"/>
      <c r="H795" s="11"/>
      <c r="I795" s="9" t="s">
        <v>13</v>
      </c>
      <c r="J795" s="44"/>
    </row>
    <row r="796">
      <c r="A796" s="42" t="s">
        <v>330</v>
      </c>
      <c r="B796" s="11"/>
      <c r="C796" s="8"/>
      <c r="D796" s="8"/>
      <c r="E796" s="9"/>
      <c r="F796" s="10"/>
      <c r="G796" s="9"/>
      <c r="H796" s="11"/>
      <c r="I796" s="9" t="s">
        <v>13</v>
      </c>
      <c r="J796" s="44"/>
    </row>
    <row r="797">
      <c r="A797" s="42" t="s">
        <v>330</v>
      </c>
      <c r="B797" s="11"/>
      <c r="C797" s="8"/>
      <c r="D797" s="8"/>
      <c r="E797" s="9"/>
      <c r="F797" s="10"/>
      <c r="G797" s="9"/>
      <c r="H797" s="11"/>
      <c r="I797" s="9" t="s">
        <v>13</v>
      </c>
      <c r="J797" s="44"/>
    </row>
    <row r="798">
      <c r="A798" s="42" t="s">
        <v>330</v>
      </c>
      <c r="B798" s="11"/>
      <c r="C798" s="8"/>
      <c r="D798" s="8"/>
      <c r="E798" s="9"/>
      <c r="F798" s="10"/>
      <c r="G798" s="9"/>
      <c r="H798" s="11"/>
      <c r="I798" s="9" t="s">
        <v>13</v>
      </c>
      <c r="J798" s="44"/>
    </row>
    <row r="799">
      <c r="A799" s="42" t="s">
        <v>330</v>
      </c>
      <c r="B799" s="11"/>
      <c r="C799" s="8"/>
      <c r="D799" s="8"/>
      <c r="E799" s="9"/>
      <c r="F799" s="10"/>
      <c r="G799" s="9"/>
      <c r="H799" s="11"/>
      <c r="I799" s="9" t="s">
        <v>13</v>
      </c>
      <c r="J799" s="44"/>
    </row>
    <row r="800">
      <c r="A800" s="42" t="s">
        <v>330</v>
      </c>
      <c r="B800" s="11"/>
      <c r="C800" s="8"/>
      <c r="D800" s="8"/>
      <c r="E800" s="9"/>
      <c r="F800" s="10"/>
      <c r="G800" s="9"/>
      <c r="H800" s="11"/>
      <c r="I800" s="9" t="s">
        <v>13</v>
      </c>
      <c r="J800" s="44"/>
    </row>
    <row r="801">
      <c r="A801" s="42" t="s">
        <v>330</v>
      </c>
      <c r="B801" s="11"/>
      <c r="C801" s="8"/>
      <c r="D801" s="8"/>
      <c r="E801" s="9"/>
      <c r="F801" s="10"/>
      <c r="G801" s="9"/>
      <c r="H801" s="11"/>
      <c r="I801" s="9" t="s">
        <v>13</v>
      </c>
      <c r="J801" s="44"/>
    </row>
    <row r="802">
      <c r="A802" s="42" t="s">
        <v>330</v>
      </c>
      <c r="B802" s="11"/>
      <c r="C802" s="8"/>
      <c r="D802" s="8"/>
      <c r="E802" s="9"/>
      <c r="F802" s="10"/>
      <c r="G802" s="9"/>
      <c r="H802" s="11"/>
      <c r="I802" s="9" t="s">
        <v>13</v>
      </c>
      <c r="J802" s="44"/>
    </row>
    <row r="803">
      <c r="A803" s="42" t="s">
        <v>330</v>
      </c>
      <c r="B803" s="11"/>
      <c r="C803" s="8"/>
      <c r="D803" s="8"/>
      <c r="E803" s="9"/>
      <c r="F803" s="10"/>
      <c r="G803" s="9"/>
      <c r="H803" s="11"/>
      <c r="I803" s="9" t="s">
        <v>13</v>
      </c>
      <c r="J803" s="44"/>
    </row>
    <row r="804">
      <c r="A804" s="42" t="s">
        <v>330</v>
      </c>
      <c r="B804" s="11"/>
      <c r="C804" s="8"/>
      <c r="D804" s="8"/>
      <c r="E804" s="9"/>
      <c r="F804" s="10"/>
      <c r="G804" s="9"/>
      <c r="H804" s="11"/>
      <c r="I804" s="9" t="s">
        <v>13</v>
      </c>
      <c r="J804" s="44"/>
    </row>
    <row r="805">
      <c r="A805" s="42" t="s">
        <v>330</v>
      </c>
      <c r="B805" s="11"/>
      <c r="C805" s="8"/>
      <c r="D805" s="8"/>
      <c r="E805" s="9"/>
      <c r="F805" s="10"/>
      <c r="G805" s="9"/>
      <c r="H805" s="11"/>
      <c r="I805" s="9" t="s">
        <v>13</v>
      </c>
      <c r="J805" s="44"/>
    </row>
    <row r="806">
      <c r="A806" s="42" t="s">
        <v>330</v>
      </c>
      <c r="B806" s="11"/>
      <c r="C806" s="8"/>
      <c r="D806" s="8"/>
      <c r="E806" s="9"/>
      <c r="F806" s="10"/>
      <c r="G806" s="9"/>
      <c r="H806" s="11"/>
      <c r="I806" s="9" t="s">
        <v>13</v>
      </c>
      <c r="J806" s="44"/>
    </row>
    <row r="807">
      <c r="A807" s="42" t="s">
        <v>330</v>
      </c>
      <c r="B807" s="11"/>
      <c r="C807" s="8"/>
      <c r="D807" s="8"/>
      <c r="E807" s="9"/>
      <c r="F807" s="10"/>
      <c r="G807" s="9"/>
      <c r="H807" s="11"/>
      <c r="I807" s="9" t="s">
        <v>13</v>
      </c>
      <c r="J807" s="44"/>
    </row>
    <row r="808">
      <c r="A808" s="42" t="s">
        <v>330</v>
      </c>
      <c r="B808" s="11"/>
      <c r="C808" s="8"/>
      <c r="D808" s="8"/>
      <c r="E808" s="9"/>
      <c r="F808" s="10"/>
      <c r="G808" s="9"/>
      <c r="H808" s="11"/>
      <c r="I808" s="9" t="s">
        <v>13</v>
      </c>
      <c r="J808" s="44"/>
    </row>
    <row r="809">
      <c r="A809" s="42" t="s">
        <v>330</v>
      </c>
      <c r="B809" s="11"/>
      <c r="C809" s="8"/>
      <c r="D809" s="8"/>
      <c r="E809" s="9"/>
      <c r="F809" s="10"/>
      <c r="G809" s="9"/>
      <c r="H809" s="11"/>
      <c r="I809" s="9" t="s">
        <v>13</v>
      </c>
      <c r="J809" s="44"/>
    </row>
    <row r="810">
      <c r="A810" s="42" t="s">
        <v>330</v>
      </c>
      <c r="B810" s="11"/>
      <c r="C810" s="8"/>
      <c r="D810" s="8"/>
      <c r="E810" s="9"/>
      <c r="F810" s="10"/>
      <c r="G810" s="9"/>
      <c r="H810" s="11"/>
      <c r="I810" s="9" t="s">
        <v>13</v>
      </c>
      <c r="J810" s="44"/>
    </row>
    <row r="811">
      <c r="A811" s="42" t="s">
        <v>330</v>
      </c>
      <c r="B811" s="11"/>
      <c r="C811" s="8"/>
      <c r="D811" s="8"/>
      <c r="E811" s="9"/>
      <c r="F811" s="10"/>
      <c r="G811" s="9"/>
      <c r="H811" s="11"/>
      <c r="I811" s="9" t="s">
        <v>13</v>
      </c>
      <c r="J811" s="44"/>
    </row>
    <row r="812">
      <c r="A812" s="42" t="s">
        <v>330</v>
      </c>
      <c r="B812" s="11"/>
      <c r="C812" s="8"/>
      <c r="D812" s="8"/>
      <c r="E812" s="9"/>
      <c r="F812" s="10"/>
      <c r="G812" s="9"/>
      <c r="H812" s="11"/>
      <c r="I812" s="9" t="s">
        <v>13</v>
      </c>
      <c r="J812" s="44"/>
    </row>
    <row r="813">
      <c r="A813" s="42" t="s">
        <v>330</v>
      </c>
      <c r="B813" s="11"/>
      <c r="C813" s="8"/>
      <c r="D813" s="8"/>
      <c r="E813" s="9"/>
      <c r="F813" s="10"/>
      <c r="G813" s="9"/>
      <c r="H813" s="11"/>
      <c r="I813" s="9" t="s">
        <v>13</v>
      </c>
      <c r="J813" s="44"/>
    </row>
    <row r="814">
      <c r="A814" s="42" t="s">
        <v>330</v>
      </c>
      <c r="B814" s="11"/>
      <c r="C814" s="8"/>
      <c r="D814" s="8"/>
      <c r="E814" s="9"/>
      <c r="F814" s="10"/>
      <c r="G814" s="9"/>
      <c r="H814" s="11"/>
      <c r="I814" s="9" t="s">
        <v>13</v>
      </c>
      <c r="J814" s="44"/>
    </row>
    <row r="815">
      <c r="A815" s="42" t="s">
        <v>330</v>
      </c>
      <c r="B815" s="11"/>
      <c r="C815" s="8"/>
      <c r="D815" s="8"/>
      <c r="E815" s="9"/>
      <c r="F815" s="10"/>
      <c r="G815" s="9"/>
      <c r="H815" s="11"/>
      <c r="I815" s="9" t="s">
        <v>13</v>
      </c>
      <c r="J815" s="44"/>
    </row>
    <row r="816">
      <c r="A816" s="42" t="s">
        <v>330</v>
      </c>
      <c r="B816" s="11"/>
      <c r="C816" s="8"/>
      <c r="D816" s="8"/>
      <c r="E816" s="9"/>
      <c r="F816" s="10"/>
      <c r="G816" s="9"/>
      <c r="H816" s="11"/>
      <c r="I816" s="9" t="s">
        <v>13</v>
      </c>
      <c r="J816" s="44"/>
    </row>
    <row r="817">
      <c r="A817" s="42" t="s">
        <v>330</v>
      </c>
      <c r="B817" s="11"/>
      <c r="C817" s="8"/>
      <c r="D817" s="8"/>
      <c r="E817" s="9"/>
      <c r="F817" s="10"/>
      <c r="G817" s="9"/>
      <c r="H817" s="11"/>
      <c r="I817" s="9" t="s">
        <v>13</v>
      </c>
      <c r="J817" s="44"/>
    </row>
    <row r="818">
      <c r="A818" s="42" t="s">
        <v>330</v>
      </c>
      <c r="B818" s="11"/>
      <c r="C818" s="8"/>
      <c r="D818" s="8"/>
      <c r="E818" s="9"/>
      <c r="F818" s="10"/>
      <c r="G818" s="9"/>
      <c r="H818" s="11"/>
      <c r="I818" s="9" t="s">
        <v>13</v>
      </c>
      <c r="J818" s="44"/>
    </row>
    <row r="819">
      <c r="A819" s="42" t="s">
        <v>330</v>
      </c>
      <c r="B819" s="11"/>
      <c r="C819" s="8"/>
      <c r="D819" s="8"/>
      <c r="E819" s="9"/>
      <c r="F819" s="10"/>
      <c r="G819" s="9"/>
      <c r="H819" s="11"/>
      <c r="I819" s="9" t="s">
        <v>13</v>
      </c>
      <c r="J819" s="44"/>
    </row>
    <row r="820">
      <c r="A820" s="42" t="s">
        <v>330</v>
      </c>
      <c r="B820" s="11"/>
      <c r="C820" s="8"/>
      <c r="D820" s="8"/>
      <c r="E820" s="9"/>
      <c r="F820" s="10"/>
      <c r="G820" s="9"/>
      <c r="H820" s="11"/>
      <c r="I820" s="9" t="s">
        <v>13</v>
      </c>
      <c r="J820" s="44"/>
    </row>
    <row r="821">
      <c r="A821" s="42" t="s">
        <v>330</v>
      </c>
      <c r="B821" s="11"/>
      <c r="C821" s="8"/>
      <c r="D821" s="8"/>
      <c r="E821" s="9"/>
      <c r="F821" s="10"/>
      <c r="G821" s="9"/>
      <c r="H821" s="11"/>
      <c r="I821" s="9" t="s">
        <v>13</v>
      </c>
      <c r="J821" s="44"/>
    </row>
    <row r="822">
      <c r="A822" s="42" t="s">
        <v>330</v>
      </c>
      <c r="B822" s="11"/>
      <c r="C822" s="8"/>
      <c r="D822" s="8"/>
      <c r="E822" s="9"/>
      <c r="F822" s="10"/>
      <c r="G822" s="9"/>
      <c r="H822" s="11"/>
      <c r="I822" s="9" t="s">
        <v>13</v>
      </c>
      <c r="J822" s="44"/>
    </row>
    <row r="823">
      <c r="A823" s="42" t="s">
        <v>330</v>
      </c>
      <c r="B823" s="11"/>
      <c r="C823" s="8"/>
      <c r="D823" s="8"/>
      <c r="E823" s="9"/>
      <c r="F823" s="10"/>
      <c r="G823" s="9"/>
      <c r="H823" s="11"/>
      <c r="I823" s="9" t="s">
        <v>13</v>
      </c>
      <c r="J823" s="44"/>
    </row>
    <row r="824">
      <c r="A824" s="42" t="s">
        <v>330</v>
      </c>
      <c r="B824" s="11"/>
      <c r="C824" s="8"/>
      <c r="D824" s="8"/>
      <c r="E824" s="9"/>
      <c r="F824" s="10"/>
      <c r="G824" s="9"/>
      <c r="H824" s="11"/>
      <c r="I824" s="9" t="s">
        <v>13</v>
      </c>
      <c r="J824" s="44"/>
    </row>
    <row r="825">
      <c r="A825" s="42" t="s">
        <v>330</v>
      </c>
      <c r="B825" s="11"/>
      <c r="C825" s="8"/>
      <c r="D825" s="8"/>
      <c r="E825" s="9"/>
      <c r="F825" s="10"/>
      <c r="G825" s="9"/>
      <c r="H825" s="11"/>
      <c r="I825" s="9" t="s">
        <v>13</v>
      </c>
      <c r="J825" s="44"/>
    </row>
    <row r="826">
      <c r="A826" s="42" t="s">
        <v>330</v>
      </c>
      <c r="B826" s="11"/>
      <c r="C826" s="8"/>
      <c r="D826" s="8"/>
      <c r="E826" s="9"/>
      <c r="F826" s="10"/>
      <c r="G826" s="9"/>
      <c r="H826" s="11"/>
      <c r="I826" s="9" t="s">
        <v>13</v>
      </c>
      <c r="J826" s="44"/>
    </row>
    <row r="827">
      <c r="A827" s="42" t="s">
        <v>330</v>
      </c>
      <c r="B827" s="11"/>
      <c r="C827" s="8"/>
      <c r="D827" s="8"/>
      <c r="E827" s="9"/>
      <c r="F827" s="10"/>
      <c r="G827" s="9"/>
      <c r="H827" s="11"/>
      <c r="I827" s="9" t="s">
        <v>13</v>
      </c>
      <c r="J827" s="44"/>
    </row>
    <row r="828">
      <c r="A828" s="42" t="s">
        <v>330</v>
      </c>
      <c r="B828" s="11"/>
      <c r="C828" s="8"/>
      <c r="D828" s="8"/>
      <c r="E828" s="9"/>
      <c r="F828" s="10"/>
      <c r="G828" s="9"/>
      <c r="H828" s="11"/>
      <c r="I828" s="9" t="s">
        <v>13</v>
      </c>
      <c r="J828" s="44"/>
    </row>
    <row r="829">
      <c r="A829" s="42" t="s">
        <v>330</v>
      </c>
      <c r="B829" s="11"/>
      <c r="C829" s="8"/>
      <c r="D829" s="8"/>
      <c r="E829" s="9"/>
      <c r="F829" s="10"/>
      <c r="G829" s="9"/>
      <c r="H829" s="11"/>
      <c r="I829" s="9" t="s">
        <v>13</v>
      </c>
      <c r="J829" s="44"/>
    </row>
    <row r="830">
      <c r="A830" s="42" t="s">
        <v>330</v>
      </c>
      <c r="B830" s="11"/>
      <c r="C830" s="8"/>
      <c r="D830" s="8"/>
      <c r="E830" s="9"/>
      <c r="F830" s="10"/>
      <c r="G830" s="9"/>
      <c r="H830" s="11"/>
      <c r="I830" s="9" t="s">
        <v>13</v>
      </c>
      <c r="J830" s="44"/>
    </row>
    <row r="831">
      <c r="A831" s="42" t="s">
        <v>330</v>
      </c>
      <c r="B831" s="11"/>
      <c r="C831" s="8"/>
      <c r="D831" s="8"/>
      <c r="E831" s="9"/>
      <c r="F831" s="10"/>
      <c r="G831" s="9"/>
      <c r="H831" s="11"/>
      <c r="I831" s="9" t="s">
        <v>13</v>
      </c>
      <c r="J831" s="44"/>
    </row>
    <row r="832">
      <c r="A832" s="42" t="s">
        <v>330</v>
      </c>
      <c r="B832" s="11"/>
      <c r="C832" s="8"/>
      <c r="D832" s="8"/>
      <c r="E832" s="9"/>
      <c r="F832" s="10"/>
      <c r="G832" s="9"/>
      <c r="H832" s="11"/>
      <c r="I832" s="9" t="s">
        <v>13</v>
      </c>
      <c r="J832" s="44"/>
    </row>
    <row r="833">
      <c r="A833" s="42" t="s">
        <v>330</v>
      </c>
      <c r="B833" s="11"/>
      <c r="C833" s="8"/>
      <c r="D833" s="8"/>
      <c r="E833" s="9"/>
      <c r="F833" s="10"/>
      <c r="G833" s="9"/>
      <c r="H833" s="11"/>
      <c r="I833" s="9" t="s">
        <v>13</v>
      </c>
      <c r="J833" s="44"/>
    </row>
    <row r="834">
      <c r="A834" s="42" t="s">
        <v>330</v>
      </c>
      <c r="B834" s="11"/>
      <c r="C834" s="8"/>
      <c r="D834" s="8"/>
      <c r="E834" s="9"/>
      <c r="F834" s="10"/>
      <c r="G834" s="9"/>
      <c r="H834" s="11"/>
      <c r="I834" s="9" t="s">
        <v>13</v>
      </c>
      <c r="J834" s="44"/>
    </row>
    <row r="835">
      <c r="A835" s="42" t="s">
        <v>330</v>
      </c>
      <c r="B835" s="11"/>
      <c r="C835" s="8"/>
      <c r="D835" s="8"/>
      <c r="E835" s="9"/>
      <c r="F835" s="10"/>
      <c r="G835" s="9"/>
      <c r="H835" s="11"/>
      <c r="I835" s="9" t="s">
        <v>13</v>
      </c>
      <c r="J835" s="44"/>
    </row>
    <row r="836">
      <c r="A836" s="42" t="s">
        <v>330</v>
      </c>
      <c r="B836" s="11"/>
      <c r="C836" s="8"/>
      <c r="D836" s="8"/>
      <c r="E836" s="9"/>
      <c r="F836" s="10"/>
      <c r="G836" s="9"/>
      <c r="H836" s="11"/>
      <c r="I836" s="9" t="s">
        <v>13</v>
      </c>
      <c r="J836" s="44"/>
    </row>
    <row r="837">
      <c r="A837" s="42" t="s">
        <v>330</v>
      </c>
      <c r="B837" s="11"/>
      <c r="C837" s="8"/>
      <c r="D837" s="8"/>
      <c r="E837" s="9"/>
      <c r="F837" s="10"/>
      <c r="G837" s="9"/>
      <c r="H837" s="11"/>
      <c r="I837" s="9" t="s">
        <v>13</v>
      </c>
      <c r="J837" s="44"/>
    </row>
    <row r="838">
      <c r="A838" s="42" t="s">
        <v>330</v>
      </c>
      <c r="B838" s="11"/>
      <c r="C838" s="8"/>
      <c r="D838" s="8"/>
      <c r="E838" s="9"/>
      <c r="F838" s="10"/>
      <c r="G838" s="9"/>
      <c r="H838" s="11"/>
      <c r="I838" s="9" t="s">
        <v>13</v>
      </c>
      <c r="J838" s="44"/>
    </row>
    <row r="839">
      <c r="A839" s="42" t="s">
        <v>330</v>
      </c>
      <c r="B839" s="11"/>
      <c r="C839" s="8"/>
      <c r="D839" s="8"/>
      <c r="E839" s="9"/>
      <c r="F839" s="10"/>
      <c r="G839" s="9"/>
      <c r="H839" s="11"/>
      <c r="I839" s="9" t="s">
        <v>13</v>
      </c>
      <c r="J839" s="44"/>
    </row>
    <row r="840">
      <c r="A840" s="42" t="s">
        <v>330</v>
      </c>
      <c r="B840" s="11"/>
      <c r="C840" s="8"/>
      <c r="D840" s="8"/>
      <c r="E840" s="9"/>
      <c r="F840" s="10"/>
      <c r="G840" s="9"/>
      <c r="H840" s="11"/>
      <c r="I840" s="9" t="s">
        <v>13</v>
      </c>
      <c r="J840" s="44"/>
    </row>
    <row r="841">
      <c r="A841" s="42" t="s">
        <v>330</v>
      </c>
      <c r="B841" s="11"/>
      <c r="C841" s="8"/>
      <c r="D841" s="8"/>
      <c r="E841" s="9"/>
      <c r="F841" s="10"/>
      <c r="G841" s="9"/>
      <c r="H841" s="11"/>
      <c r="I841" s="9" t="s">
        <v>13</v>
      </c>
      <c r="J841" s="44"/>
    </row>
    <row r="842">
      <c r="A842" s="42" t="s">
        <v>330</v>
      </c>
      <c r="B842" s="11"/>
      <c r="C842" s="8"/>
      <c r="D842" s="8"/>
      <c r="E842" s="9"/>
      <c r="F842" s="10"/>
      <c r="G842" s="9"/>
      <c r="H842" s="11"/>
      <c r="I842" s="9" t="s">
        <v>13</v>
      </c>
      <c r="J842" s="44"/>
    </row>
    <row r="843">
      <c r="A843" s="42" t="s">
        <v>330</v>
      </c>
      <c r="B843" s="11"/>
      <c r="C843" s="8"/>
      <c r="D843" s="8"/>
      <c r="E843" s="9"/>
      <c r="F843" s="10"/>
      <c r="G843" s="9"/>
      <c r="H843" s="11"/>
      <c r="I843" s="9" t="s">
        <v>13</v>
      </c>
      <c r="J843" s="44"/>
    </row>
    <row r="844">
      <c r="A844" s="42" t="s">
        <v>330</v>
      </c>
      <c r="B844" s="11"/>
      <c r="C844" s="8"/>
      <c r="D844" s="8"/>
      <c r="E844" s="9"/>
      <c r="F844" s="10"/>
      <c r="G844" s="9"/>
      <c r="H844" s="11"/>
      <c r="I844" s="9" t="s">
        <v>13</v>
      </c>
      <c r="J844" s="44"/>
    </row>
    <row r="845">
      <c r="A845" s="42" t="s">
        <v>330</v>
      </c>
      <c r="B845" s="11"/>
      <c r="C845" s="8"/>
      <c r="D845" s="8"/>
      <c r="E845" s="9"/>
      <c r="F845" s="10"/>
      <c r="G845" s="9"/>
      <c r="H845" s="11"/>
      <c r="I845" s="9" t="s">
        <v>13</v>
      </c>
      <c r="J845" s="44"/>
    </row>
    <row r="846">
      <c r="A846" s="42" t="s">
        <v>330</v>
      </c>
      <c r="B846" s="11"/>
      <c r="C846" s="8"/>
      <c r="D846" s="8"/>
      <c r="E846" s="9"/>
      <c r="F846" s="10"/>
      <c r="G846" s="9"/>
      <c r="H846" s="11"/>
      <c r="I846" s="9" t="s">
        <v>13</v>
      </c>
      <c r="J846" s="44"/>
    </row>
    <row r="847">
      <c r="A847" s="42" t="s">
        <v>330</v>
      </c>
      <c r="B847" s="11"/>
      <c r="C847" s="8"/>
      <c r="D847" s="8"/>
      <c r="E847" s="9"/>
      <c r="F847" s="10"/>
      <c r="G847" s="9"/>
      <c r="H847" s="11"/>
      <c r="I847" s="9" t="s">
        <v>13</v>
      </c>
      <c r="J847" s="44"/>
    </row>
    <row r="848">
      <c r="A848" s="42" t="s">
        <v>330</v>
      </c>
      <c r="B848" s="11"/>
      <c r="C848" s="8"/>
      <c r="D848" s="8"/>
      <c r="E848" s="9"/>
      <c r="F848" s="10"/>
      <c r="G848" s="9"/>
      <c r="H848" s="11"/>
      <c r="I848" s="9" t="s">
        <v>13</v>
      </c>
      <c r="J848" s="44"/>
    </row>
    <row r="849">
      <c r="A849" s="42" t="s">
        <v>330</v>
      </c>
      <c r="B849" s="11"/>
      <c r="C849" s="8"/>
      <c r="D849" s="8"/>
      <c r="E849" s="9"/>
      <c r="F849" s="10"/>
      <c r="G849" s="9"/>
      <c r="H849" s="11"/>
      <c r="I849" s="9" t="s">
        <v>13</v>
      </c>
      <c r="J849" s="44"/>
    </row>
    <row r="850">
      <c r="A850" s="42" t="s">
        <v>330</v>
      </c>
      <c r="B850" s="11"/>
      <c r="C850" s="8"/>
      <c r="D850" s="8"/>
      <c r="E850" s="9"/>
      <c r="F850" s="10"/>
      <c r="G850" s="9"/>
      <c r="H850" s="11"/>
      <c r="I850" s="9" t="s">
        <v>13</v>
      </c>
      <c r="J850" s="44"/>
    </row>
    <row r="851">
      <c r="A851" s="42" t="s">
        <v>330</v>
      </c>
      <c r="B851" s="11"/>
      <c r="C851" s="8"/>
      <c r="D851" s="8"/>
      <c r="E851" s="9"/>
      <c r="F851" s="10"/>
      <c r="G851" s="9"/>
      <c r="H851" s="11"/>
      <c r="I851" s="9" t="s">
        <v>13</v>
      </c>
      <c r="J851" s="44"/>
    </row>
    <row r="852">
      <c r="A852" s="42" t="s">
        <v>330</v>
      </c>
      <c r="B852" s="11"/>
      <c r="C852" s="8"/>
      <c r="D852" s="8"/>
      <c r="E852" s="9"/>
      <c r="F852" s="10"/>
      <c r="G852" s="9"/>
      <c r="H852" s="11"/>
      <c r="I852" s="9" t="s">
        <v>13</v>
      </c>
      <c r="J852" s="44"/>
    </row>
    <row r="853">
      <c r="A853" s="42" t="s">
        <v>330</v>
      </c>
      <c r="B853" s="11"/>
      <c r="C853" s="8"/>
      <c r="D853" s="8"/>
      <c r="E853" s="9"/>
      <c r="F853" s="10"/>
      <c r="G853" s="9"/>
      <c r="H853" s="11"/>
      <c r="I853" s="9" t="s">
        <v>13</v>
      </c>
      <c r="J853" s="44"/>
    </row>
    <row r="854">
      <c r="A854" s="42" t="s">
        <v>330</v>
      </c>
      <c r="B854" s="11"/>
      <c r="C854" s="8"/>
      <c r="D854" s="8"/>
      <c r="E854" s="9"/>
      <c r="F854" s="10"/>
      <c r="G854" s="9"/>
      <c r="H854" s="11"/>
      <c r="I854" s="9" t="s">
        <v>13</v>
      </c>
      <c r="J854" s="44"/>
    </row>
    <row r="855">
      <c r="A855" s="42" t="s">
        <v>330</v>
      </c>
      <c r="B855" s="11"/>
      <c r="C855" s="8"/>
      <c r="D855" s="8"/>
      <c r="E855" s="9"/>
      <c r="F855" s="10"/>
      <c r="G855" s="9"/>
      <c r="H855" s="11"/>
      <c r="I855" s="9" t="s">
        <v>13</v>
      </c>
      <c r="J855" s="44"/>
    </row>
    <row r="856">
      <c r="A856" s="42" t="s">
        <v>330</v>
      </c>
      <c r="B856" s="11"/>
      <c r="C856" s="8"/>
      <c r="D856" s="8"/>
      <c r="E856" s="9"/>
      <c r="F856" s="10"/>
      <c r="G856" s="9"/>
      <c r="H856" s="11"/>
      <c r="I856" s="9" t="s">
        <v>13</v>
      </c>
      <c r="J856" s="44"/>
    </row>
    <row r="857">
      <c r="A857" s="42" t="s">
        <v>330</v>
      </c>
      <c r="B857" s="11"/>
      <c r="C857" s="8"/>
      <c r="D857" s="8"/>
      <c r="E857" s="9"/>
      <c r="F857" s="10"/>
      <c r="G857" s="9"/>
      <c r="H857" s="11"/>
      <c r="I857" s="9" t="s">
        <v>13</v>
      </c>
      <c r="J857" s="44"/>
    </row>
    <row r="858">
      <c r="A858" s="42" t="s">
        <v>330</v>
      </c>
      <c r="B858" s="11"/>
      <c r="C858" s="8"/>
      <c r="D858" s="8"/>
      <c r="E858" s="9"/>
      <c r="F858" s="10"/>
      <c r="G858" s="9"/>
      <c r="H858" s="11"/>
      <c r="I858" s="9" t="s">
        <v>13</v>
      </c>
      <c r="J858" s="44"/>
    </row>
    <row r="859">
      <c r="A859" s="42" t="s">
        <v>330</v>
      </c>
      <c r="B859" s="11"/>
      <c r="C859" s="8"/>
      <c r="D859" s="8"/>
      <c r="E859" s="9"/>
      <c r="F859" s="10"/>
      <c r="G859" s="9"/>
      <c r="H859" s="11"/>
      <c r="I859" s="9" t="s">
        <v>13</v>
      </c>
      <c r="J859" s="44"/>
    </row>
    <row r="860">
      <c r="A860" s="42" t="s">
        <v>330</v>
      </c>
      <c r="B860" s="11"/>
      <c r="C860" s="8"/>
      <c r="D860" s="8"/>
      <c r="E860" s="9"/>
      <c r="F860" s="10"/>
      <c r="G860" s="9"/>
      <c r="H860" s="11"/>
      <c r="I860" s="9" t="s">
        <v>13</v>
      </c>
      <c r="J860" s="44"/>
    </row>
    <row r="861">
      <c r="A861" s="42" t="s">
        <v>330</v>
      </c>
      <c r="B861" s="11"/>
      <c r="C861" s="8"/>
      <c r="D861" s="8"/>
      <c r="E861" s="9"/>
      <c r="F861" s="10"/>
      <c r="G861" s="9"/>
      <c r="H861" s="11"/>
      <c r="I861" s="9" t="s">
        <v>13</v>
      </c>
      <c r="J861" s="44"/>
    </row>
    <row r="862">
      <c r="A862" s="42" t="s">
        <v>330</v>
      </c>
      <c r="B862" s="11"/>
      <c r="C862" s="8"/>
      <c r="D862" s="8"/>
      <c r="E862" s="9"/>
      <c r="F862" s="10"/>
      <c r="G862" s="9"/>
      <c r="H862" s="11"/>
      <c r="I862" s="9" t="s">
        <v>13</v>
      </c>
      <c r="J862" s="44"/>
    </row>
    <row r="863">
      <c r="A863" s="42" t="s">
        <v>330</v>
      </c>
      <c r="B863" s="11"/>
      <c r="C863" s="8"/>
      <c r="D863" s="8"/>
      <c r="E863" s="9"/>
      <c r="F863" s="10"/>
      <c r="G863" s="9"/>
      <c r="H863" s="11"/>
      <c r="I863" s="9" t="s">
        <v>13</v>
      </c>
      <c r="J863" s="44"/>
    </row>
    <row r="864">
      <c r="A864" s="42" t="s">
        <v>330</v>
      </c>
      <c r="B864" s="11"/>
      <c r="C864" s="8"/>
      <c r="D864" s="8"/>
      <c r="E864" s="9"/>
      <c r="F864" s="10"/>
      <c r="G864" s="9"/>
      <c r="H864" s="11"/>
      <c r="I864" s="9" t="s">
        <v>13</v>
      </c>
      <c r="J864" s="44"/>
    </row>
    <row r="865">
      <c r="A865" s="42" t="s">
        <v>330</v>
      </c>
      <c r="B865" s="11"/>
      <c r="C865" s="8"/>
      <c r="D865" s="8"/>
      <c r="E865" s="9"/>
      <c r="F865" s="10"/>
      <c r="G865" s="9"/>
      <c r="H865" s="11"/>
      <c r="I865" s="9" t="s">
        <v>13</v>
      </c>
      <c r="J865" s="44"/>
    </row>
    <row r="866">
      <c r="A866" s="42" t="s">
        <v>330</v>
      </c>
      <c r="B866" s="11"/>
      <c r="C866" s="8"/>
      <c r="D866" s="8"/>
      <c r="E866" s="9"/>
      <c r="F866" s="10"/>
      <c r="G866" s="9"/>
      <c r="H866" s="11"/>
      <c r="I866" s="9" t="s">
        <v>13</v>
      </c>
      <c r="J866" s="44"/>
    </row>
    <row r="867">
      <c r="A867" s="42" t="s">
        <v>330</v>
      </c>
      <c r="B867" s="11"/>
      <c r="C867" s="8"/>
      <c r="D867" s="8"/>
      <c r="E867" s="9"/>
      <c r="F867" s="10"/>
      <c r="G867" s="9"/>
      <c r="H867" s="11"/>
      <c r="I867" s="9" t="s">
        <v>13</v>
      </c>
      <c r="J867" s="44"/>
    </row>
    <row r="868">
      <c r="A868" s="42" t="s">
        <v>330</v>
      </c>
      <c r="B868" s="11"/>
      <c r="C868" s="8"/>
      <c r="D868" s="8"/>
      <c r="E868" s="9"/>
      <c r="F868" s="10"/>
      <c r="G868" s="9"/>
      <c r="H868" s="11"/>
      <c r="I868" s="9" t="s">
        <v>13</v>
      </c>
      <c r="J868" s="44"/>
    </row>
    <row r="869">
      <c r="A869" s="42" t="s">
        <v>330</v>
      </c>
      <c r="B869" s="11"/>
      <c r="C869" s="8"/>
      <c r="D869" s="8"/>
      <c r="E869" s="9"/>
      <c r="F869" s="10"/>
      <c r="G869" s="9"/>
      <c r="H869" s="11"/>
      <c r="I869" s="9" t="s">
        <v>13</v>
      </c>
      <c r="J869" s="44"/>
    </row>
    <row r="870">
      <c r="A870" s="42" t="s">
        <v>330</v>
      </c>
      <c r="B870" s="11"/>
      <c r="C870" s="8"/>
      <c r="D870" s="8"/>
      <c r="E870" s="9"/>
      <c r="F870" s="10"/>
      <c r="G870" s="9"/>
      <c r="H870" s="11"/>
      <c r="I870" s="9" t="s">
        <v>13</v>
      </c>
      <c r="J870" s="44"/>
    </row>
    <row r="871">
      <c r="A871" s="42" t="s">
        <v>330</v>
      </c>
      <c r="B871" s="11"/>
      <c r="C871" s="8"/>
      <c r="D871" s="8"/>
      <c r="E871" s="9"/>
      <c r="F871" s="10"/>
      <c r="G871" s="9"/>
      <c r="H871" s="11"/>
      <c r="I871" s="9" t="s">
        <v>13</v>
      </c>
      <c r="J871" s="44"/>
    </row>
    <row r="872">
      <c r="A872" s="42" t="s">
        <v>330</v>
      </c>
      <c r="B872" s="11"/>
      <c r="C872" s="8"/>
      <c r="D872" s="8"/>
      <c r="E872" s="9"/>
      <c r="F872" s="10"/>
      <c r="G872" s="9"/>
      <c r="H872" s="11"/>
      <c r="I872" s="9" t="s">
        <v>13</v>
      </c>
      <c r="J872" s="44"/>
    </row>
    <row r="873">
      <c r="A873" s="42" t="s">
        <v>330</v>
      </c>
      <c r="B873" s="11"/>
      <c r="C873" s="8"/>
      <c r="D873" s="8"/>
      <c r="E873" s="9"/>
      <c r="F873" s="10"/>
      <c r="G873" s="9"/>
      <c r="H873" s="11"/>
      <c r="I873" s="9" t="s">
        <v>13</v>
      </c>
      <c r="J873" s="44"/>
    </row>
    <row r="874">
      <c r="A874" s="42" t="s">
        <v>330</v>
      </c>
      <c r="B874" s="11"/>
      <c r="C874" s="8"/>
      <c r="D874" s="8"/>
      <c r="E874" s="9"/>
      <c r="F874" s="10"/>
      <c r="G874" s="9"/>
      <c r="H874" s="11"/>
      <c r="I874" s="9" t="s">
        <v>13</v>
      </c>
      <c r="J874" s="44"/>
    </row>
    <row r="875">
      <c r="A875" s="42" t="s">
        <v>330</v>
      </c>
      <c r="B875" s="11"/>
      <c r="C875" s="8"/>
      <c r="D875" s="8"/>
      <c r="E875" s="9"/>
      <c r="F875" s="10"/>
      <c r="G875" s="9"/>
      <c r="H875" s="11"/>
      <c r="I875" s="9" t="s">
        <v>13</v>
      </c>
      <c r="J875" s="44"/>
    </row>
    <row r="876">
      <c r="A876" s="42" t="s">
        <v>330</v>
      </c>
      <c r="B876" s="11"/>
      <c r="C876" s="8"/>
      <c r="D876" s="8"/>
      <c r="E876" s="9"/>
      <c r="F876" s="10"/>
      <c r="G876" s="9"/>
      <c r="H876" s="11"/>
      <c r="I876" s="9" t="s">
        <v>13</v>
      </c>
      <c r="J876" s="44"/>
    </row>
    <row r="877">
      <c r="A877" s="42" t="s">
        <v>330</v>
      </c>
      <c r="B877" s="11"/>
      <c r="C877" s="8"/>
      <c r="D877" s="8"/>
      <c r="E877" s="9"/>
      <c r="F877" s="10"/>
      <c r="G877" s="9"/>
      <c r="H877" s="11"/>
      <c r="I877" s="9" t="s">
        <v>13</v>
      </c>
      <c r="J877" s="44"/>
    </row>
    <row r="878">
      <c r="A878" s="42" t="s">
        <v>330</v>
      </c>
      <c r="B878" s="11"/>
      <c r="C878" s="8"/>
      <c r="D878" s="8"/>
      <c r="E878" s="9"/>
      <c r="F878" s="10"/>
      <c r="G878" s="9"/>
      <c r="H878" s="11"/>
      <c r="I878" s="9" t="s">
        <v>13</v>
      </c>
      <c r="J878" s="44"/>
    </row>
    <row r="879">
      <c r="A879" s="42" t="s">
        <v>330</v>
      </c>
      <c r="B879" s="11"/>
      <c r="C879" s="8"/>
      <c r="D879" s="8"/>
      <c r="E879" s="9"/>
      <c r="F879" s="10"/>
      <c r="G879" s="9"/>
      <c r="H879" s="11"/>
      <c r="I879" s="9" t="s">
        <v>13</v>
      </c>
      <c r="J879" s="44"/>
    </row>
    <row r="880">
      <c r="A880" s="42" t="s">
        <v>330</v>
      </c>
      <c r="B880" s="11"/>
      <c r="C880" s="8"/>
      <c r="D880" s="8"/>
      <c r="E880" s="9"/>
      <c r="F880" s="10"/>
      <c r="G880" s="9"/>
      <c r="H880" s="11"/>
      <c r="I880" s="9" t="s">
        <v>13</v>
      </c>
      <c r="J880" s="44"/>
    </row>
    <row r="881">
      <c r="A881" s="42" t="s">
        <v>330</v>
      </c>
      <c r="B881" s="11"/>
      <c r="C881" s="8"/>
      <c r="D881" s="8"/>
      <c r="E881" s="9"/>
      <c r="F881" s="10"/>
      <c r="G881" s="9"/>
      <c r="H881" s="11"/>
      <c r="I881" s="9" t="s">
        <v>13</v>
      </c>
      <c r="J881" s="44"/>
    </row>
    <row r="882">
      <c r="A882" s="42" t="s">
        <v>330</v>
      </c>
      <c r="B882" s="11"/>
      <c r="C882" s="8"/>
      <c r="D882" s="8"/>
      <c r="E882" s="9"/>
      <c r="F882" s="10"/>
      <c r="G882" s="9"/>
      <c r="H882" s="11"/>
      <c r="I882" s="9" t="s">
        <v>13</v>
      </c>
      <c r="J882" s="44"/>
    </row>
    <row r="883">
      <c r="A883" s="42" t="s">
        <v>330</v>
      </c>
      <c r="B883" s="11"/>
      <c r="C883" s="8"/>
      <c r="D883" s="8"/>
      <c r="E883" s="9"/>
      <c r="F883" s="10"/>
      <c r="G883" s="9"/>
      <c r="H883" s="11"/>
      <c r="I883" s="9" t="s">
        <v>13</v>
      </c>
      <c r="J883" s="44"/>
    </row>
    <row r="884">
      <c r="A884" s="42" t="s">
        <v>330</v>
      </c>
      <c r="B884" s="11"/>
      <c r="C884" s="8"/>
      <c r="D884" s="8"/>
      <c r="E884" s="9"/>
      <c r="F884" s="10"/>
      <c r="G884" s="9"/>
      <c r="H884" s="11"/>
      <c r="I884" s="9" t="s">
        <v>13</v>
      </c>
      <c r="J884" s="44"/>
    </row>
    <row r="885">
      <c r="A885" s="42" t="s">
        <v>330</v>
      </c>
      <c r="B885" s="11"/>
      <c r="C885" s="8"/>
      <c r="D885" s="8"/>
      <c r="E885" s="9"/>
      <c r="F885" s="10"/>
      <c r="G885" s="9"/>
      <c r="H885" s="11"/>
      <c r="I885" s="9" t="s">
        <v>13</v>
      </c>
      <c r="J885" s="44"/>
    </row>
    <row r="886">
      <c r="A886" s="42" t="s">
        <v>330</v>
      </c>
      <c r="B886" s="11"/>
      <c r="C886" s="8"/>
      <c r="D886" s="8"/>
      <c r="E886" s="9"/>
      <c r="F886" s="10"/>
      <c r="G886" s="9"/>
      <c r="H886" s="11"/>
      <c r="I886" s="9" t="s">
        <v>13</v>
      </c>
      <c r="J886" s="44"/>
    </row>
    <row r="887">
      <c r="A887" s="42" t="s">
        <v>330</v>
      </c>
      <c r="B887" s="11"/>
      <c r="C887" s="8"/>
      <c r="D887" s="8"/>
      <c r="E887" s="9"/>
      <c r="F887" s="10"/>
      <c r="G887" s="9"/>
      <c r="H887" s="11"/>
      <c r="I887" s="9" t="s">
        <v>13</v>
      </c>
      <c r="J887" s="44"/>
    </row>
    <row r="888">
      <c r="A888" s="42" t="s">
        <v>330</v>
      </c>
      <c r="B888" s="11"/>
      <c r="C888" s="8"/>
      <c r="D888" s="8"/>
      <c r="E888" s="9"/>
      <c r="F888" s="10"/>
      <c r="G888" s="9"/>
      <c r="H888" s="11"/>
      <c r="I888" s="9" t="s">
        <v>13</v>
      </c>
      <c r="J888" s="44"/>
    </row>
    <row r="889">
      <c r="A889" s="42" t="s">
        <v>330</v>
      </c>
      <c r="B889" s="11"/>
      <c r="C889" s="8"/>
      <c r="D889" s="8"/>
      <c r="E889" s="9"/>
      <c r="F889" s="10"/>
      <c r="G889" s="9"/>
      <c r="H889" s="11"/>
      <c r="I889" s="9" t="s">
        <v>13</v>
      </c>
      <c r="J889" s="44"/>
    </row>
    <row r="890">
      <c r="A890" s="42" t="s">
        <v>330</v>
      </c>
      <c r="B890" s="11"/>
      <c r="C890" s="8"/>
      <c r="D890" s="8"/>
      <c r="E890" s="9"/>
      <c r="F890" s="10"/>
      <c r="G890" s="9"/>
      <c r="H890" s="11"/>
      <c r="I890" s="9" t="s">
        <v>13</v>
      </c>
      <c r="J890" s="44"/>
    </row>
    <row r="891">
      <c r="A891" s="42" t="s">
        <v>330</v>
      </c>
      <c r="B891" s="11"/>
      <c r="C891" s="8"/>
      <c r="D891" s="8"/>
      <c r="E891" s="9"/>
      <c r="F891" s="10"/>
      <c r="G891" s="9"/>
      <c r="H891" s="11"/>
      <c r="I891" s="9" t="s">
        <v>13</v>
      </c>
      <c r="J891" s="44"/>
    </row>
    <row r="892">
      <c r="A892" s="42" t="s">
        <v>330</v>
      </c>
      <c r="B892" s="11"/>
      <c r="C892" s="8"/>
      <c r="D892" s="8"/>
      <c r="E892" s="9"/>
      <c r="F892" s="10"/>
      <c r="G892" s="9"/>
      <c r="H892" s="11"/>
      <c r="I892" s="9" t="s">
        <v>13</v>
      </c>
      <c r="J892" s="44"/>
    </row>
    <row r="893">
      <c r="A893" s="42" t="s">
        <v>330</v>
      </c>
      <c r="B893" s="11"/>
      <c r="C893" s="8"/>
      <c r="D893" s="8"/>
      <c r="E893" s="9"/>
      <c r="F893" s="10"/>
      <c r="G893" s="9"/>
      <c r="H893" s="11"/>
      <c r="I893" s="9" t="s">
        <v>13</v>
      </c>
      <c r="J893" s="44"/>
    </row>
    <row r="894">
      <c r="A894" s="42" t="s">
        <v>330</v>
      </c>
      <c r="B894" s="11"/>
      <c r="C894" s="8"/>
      <c r="D894" s="8"/>
      <c r="E894" s="9"/>
      <c r="F894" s="10"/>
      <c r="G894" s="9"/>
      <c r="H894" s="11"/>
      <c r="I894" s="9" t="s">
        <v>13</v>
      </c>
      <c r="J894" s="44"/>
    </row>
    <row r="895">
      <c r="A895" s="42" t="s">
        <v>330</v>
      </c>
      <c r="B895" s="11"/>
      <c r="C895" s="8"/>
      <c r="D895" s="8"/>
      <c r="E895" s="9"/>
      <c r="F895" s="10"/>
      <c r="G895" s="9"/>
      <c r="H895" s="11"/>
      <c r="I895" s="9" t="s">
        <v>13</v>
      </c>
      <c r="J895" s="44"/>
    </row>
    <row r="896">
      <c r="A896" s="42" t="s">
        <v>330</v>
      </c>
      <c r="B896" s="11"/>
      <c r="C896" s="8"/>
      <c r="D896" s="8"/>
      <c r="E896" s="9"/>
      <c r="F896" s="10"/>
      <c r="G896" s="9"/>
      <c r="H896" s="11"/>
      <c r="I896" s="9" t="s">
        <v>13</v>
      </c>
      <c r="J896" s="44"/>
    </row>
    <row r="897">
      <c r="A897" s="42" t="s">
        <v>330</v>
      </c>
      <c r="B897" s="11"/>
      <c r="C897" s="8"/>
      <c r="D897" s="8"/>
      <c r="E897" s="9"/>
      <c r="F897" s="10"/>
      <c r="G897" s="9"/>
      <c r="H897" s="11"/>
      <c r="I897" s="9" t="s">
        <v>13</v>
      </c>
      <c r="J897" s="44"/>
    </row>
    <row r="898">
      <c r="A898" s="42" t="s">
        <v>330</v>
      </c>
      <c r="B898" s="11"/>
      <c r="C898" s="8"/>
      <c r="D898" s="8"/>
      <c r="E898" s="9"/>
      <c r="F898" s="10"/>
      <c r="G898" s="9"/>
      <c r="H898" s="11"/>
      <c r="I898" s="9" t="s">
        <v>13</v>
      </c>
      <c r="J898" s="44"/>
    </row>
    <row r="899">
      <c r="A899" s="42" t="s">
        <v>330</v>
      </c>
      <c r="B899" s="11"/>
      <c r="C899" s="8"/>
      <c r="D899" s="8"/>
      <c r="E899" s="9"/>
      <c r="F899" s="10"/>
      <c r="G899" s="9"/>
      <c r="H899" s="11"/>
      <c r="I899" s="9" t="s">
        <v>13</v>
      </c>
      <c r="J899" s="44"/>
    </row>
    <row r="900">
      <c r="A900" s="42" t="s">
        <v>330</v>
      </c>
      <c r="B900" s="11"/>
      <c r="C900" s="8"/>
      <c r="D900" s="8"/>
      <c r="E900" s="9"/>
      <c r="F900" s="10"/>
      <c r="G900" s="9"/>
      <c r="H900" s="11"/>
      <c r="I900" s="9" t="s">
        <v>13</v>
      </c>
      <c r="J900" s="44"/>
    </row>
    <row r="901">
      <c r="A901" s="42" t="s">
        <v>330</v>
      </c>
      <c r="B901" s="11"/>
      <c r="C901" s="8"/>
      <c r="D901" s="8"/>
      <c r="E901" s="9"/>
      <c r="F901" s="10"/>
      <c r="G901" s="9"/>
      <c r="H901" s="11"/>
      <c r="I901" s="9" t="s">
        <v>13</v>
      </c>
      <c r="J901" s="44"/>
    </row>
    <row r="902">
      <c r="A902" s="42" t="s">
        <v>330</v>
      </c>
      <c r="B902" s="11"/>
      <c r="C902" s="8"/>
      <c r="D902" s="8"/>
      <c r="E902" s="9"/>
      <c r="F902" s="10"/>
      <c r="G902" s="9"/>
      <c r="H902" s="11"/>
      <c r="I902" s="9" t="s">
        <v>13</v>
      </c>
      <c r="J902" s="44"/>
    </row>
    <row r="903">
      <c r="A903" s="42" t="s">
        <v>330</v>
      </c>
      <c r="B903" s="11"/>
      <c r="C903" s="8"/>
      <c r="D903" s="8"/>
      <c r="E903" s="9"/>
      <c r="F903" s="10"/>
      <c r="G903" s="9"/>
      <c r="H903" s="11"/>
      <c r="I903" s="9" t="s">
        <v>13</v>
      </c>
      <c r="J903" s="44"/>
    </row>
    <row r="904">
      <c r="A904" s="42" t="s">
        <v>330</v>
      </c>
      <c r="B904" s="11"/>
      <c r="C904" s="8"/>
      <c r="D904" s="8"/>
      <c r="E904" s="9"/>
      <c r="F904" s="10"/>
      <c r="G904" s="9"/>
      <c r="H904" s="11"/>
      <c r="I904" s="9" t="s">
        <v>13</v>
      </c>
      <c r="J904" s="44"/>
    </row>
    <row r="905">
      <c r="A905" s="42" t="s">
        <v>330</v>
      </c>
      <c r="B905" s="11"/>
      <c r="C905" s="8"/>
      <c r="D905" s="8"/>
      <c r="E905" s="9"/>
      <c r="F905" s="10"/>
      <c r="G905" s="9"/>
      <c r="H905" s="11"/>
      <c r="I905" s="9" t="s">
        <v>13</v>
      </c>
      <c r="J905" s="44"/>
    </row>
    <row r="906">
      <c r="A906" s="42" t="s">
        <v>330</v>
      </c>
      <c r="B906" s="11"/>
      <c r="C906" s="8"/>
      <c r="D906" s="8"/>
      <c r="E906" s="9"/>
      <c r="F906" s="10"/>
      <c r="G906" s="9"/>
      <c r="H906" s="11"/>
      <c r="I906" s="9" t="s">
        <v>13</v>
      </c>
      <c r="J906" s="44"/>
    </row>
    <row r="907">
      <c r="A907" s="42" t="s">
        <v>330</v>
      </c>
      <c r="B907" s="11"/>
      <c r="C907" s="8"/>
      <c r="D907" s="8"/>
      <c r="E907" s="9"/>
      <c r="F907" s="10"/>
      <c r="G907" s="9"/>
      <c r="H907" s="11"/>
      <c r="I907" s="9" t="s">
        <v>13</v>
      </c>
      <c r="J907" s="44"/>
    </row>
    <row r="908">
      <c r="A908" s="42" t="s">
        <v>330</v>
      </c>
      <c r="B908" s="11"/>
      <c r="C908" s="8"/>
      <c r="D908" s="8"/>
      <c r="E908" s="9"/>
      <c r="F908" s="10"/>
      <c r="G908" s="9"/>
      <c r="H908" s="11"/>
      <c r="I908" s="9" t="s">
        <v>13</v>
      </c>
      <c r="J908" s="44"/>
    </row>
    <row r="909">
      <c r="A909" s="42" t="s">
        <v>330</v>
      </c>
      <c r="B909" s="11"/>
      <c r="C909" s="8"/>
      <c r="D909" s="8"/>
      <c r="E909" s="9"/>
      <c r="F909" s="10"/>
      <c r="G909" s="9"/>
      <c r="H909" s="11"/>
      <c r="I909" s="9" t="s">
        <v>13</v>
      </c>
      <c r="J909" s="44"/>
    </row>
    <row r="910">
      <c r="A910" s="42" t="s">
        <v>330</v>
      </c>
      <c r="B910" s="11"/>
      <c r="C910" s="8"/>
      <c r="D910" s="8"/>
      <c r="E910" s="9"/>
      <c r="F910" s="10"/>
      <c r="G910" s="9"/>
      <c r="H910" s="11"/>
      <c r="I910" s="9" t="s">
        <v>13</v>
      </c>
      <c r="J910" s="44"/>
    </row>
    <row r="911">
      <c r="A911" s="42" t="s">
        <v>330</v>
      </c>
      <c r="B911" s="11"/>
      <c r="C911" s="8"/>
      <c r="D911" s="8"/>
      <c r="E911" s="9"/>
      <c r="F911" s="10"/>
      <c r="G911" s="9"/>
      <c r="H911" s="11"/>
      <c r="I911" s="9" t="s">
        <v>13</v>
      </c>
      <c r="J911" s="44"/>
    </row>
    <row r="912">
      <c r="A912" s="42" t="s">
        <v>330</v>
      </c>
      <c r="B912" s="11"/>
      <c r="C912" s="8"/>
      <c r="D912" s="8"/>
      <c r="E912" s="9"/>
      <c r="F912" s="10"/>
      <c r="G912" s="9"/>
      <c r="H912" s="11"/>
      <c r="I912" s="9" t="s">
        <v>13</v>
      </c>
      <c r="J912" s="44"/>
    </row>
    <row r="913">
      <c r="A913" s="42" t="s">
        <v>330</v>
      </c>
      <c r="B913" s="11"/>
      <c r="C913" s="8"/>
      <c r="D913" s="8"/>
      <c r="E913" s="9"/>
      <c r="F913" s="10"/>
      <c r="G913" s="9"/>
      <c r="H913" s="11"/>
      <c r="I913" s="9" t="s">
        <v>13</v>
      </c>
      <c r="J913" s="44"/>
    </row>
    <row r="914">
      <c r="A914" s="42" t="s">
        <v>330</v>
      </c>
      <c r="B914" s="11"/>
      <c r="C914" s="8"/>
      <c r="D914" s="8"/>
      <c r="E914" s="9"/>
      <c r="F914" s="10"/>
      <c r="G914" s="9"/>
      <c r="H914" s="11"/>
      <c r="I914" s="9" t="s">
        <v>13</v>
      </c>
      <c r="J914" s="44"/>
    </row>
    <row r="915">
      <c r="A915" s="42" t="s">
        <v>330</v>
      </c>
      <c r="B915" s="11"/>
      <c r="C915" s="8"/>
      <c r="D915" s="8"/>
      <c r="E915" s="9"/>
      <c r="F915" s="10"/>
      <c r="G915" s="9"/>
      <c r="H915" s="11"/>
      <c r="I915" s="9" t="s">
        <v>13</v>
      </c>
      <c r="J915" s="44"/>
    </row>
    <row r="916">
      <c r="A916" s="42" t="s">
        <v>330</v>
      </c>
      <c r="B916" s="11"/>
      <c r="C916" s="8"/>
      <c r="D916" s="8"/>
      <c r="E916" s="9"/>
      <c r="F916" s="10"/>
      <c r="G916" s="9"/>
      <c r="H916" s="11"/>
      <c r="I916" s="9" t="s">
        <v>13</v>
      </c>
      <c r="J916" s="44"/>
    </row>
    <row r="917">
      <c r="A917" s="42" t="s">
        <v>330</v>
      </c>
      <c r="B917" s="11"/>
      <c r="C917" s="8"/>
      <c r="D917" s="8"/>
      <c r="E917" s="9"/>
      <c r="F917" s="10"/>
      <c r="G917" s="9"/>
      <c r="H917" s="11"/>
      <c r="I917" s="9" t="s">
        <v>13</v>
      </c>
      <c r="J917" s="44"/>
    </row>
    <row r="918">
      <c r="A918" s="42" t="s">
        <v>330</v>
      </c>
      <c r="B918" s="11"/>
      <c r="C918" s="8"/>
      <c r="D918" s="8"/>
      <c r="E918" s="9"/>
      <c r="F918" s="10"/>
      <c r="G918" s="9"/>
      <c r="H918" s="11"/>
      <c r="I918" s="9" t="s">
        <v>13</v>
      </c>
      <c r="J918" s="44"/>
    </row>
    <row r="919">
      <c r="A919" s="42" t="s">
        <v>330</v>
      </c>
      <c r="B919" s="11"/>
      <c r="C919" s="8"/>
      <c r="D919" s="8"/>
      <c r="E919" s="9"/>
      <c r="F919" s="10"/>
      <c r="G919" s="9"/>
      <c r="H919" s="11"/>
      <c r="I919" s="9" t="s">
        <v>13</v>
      </c>
      <c r="J919" s="44"/>
    </row>
    <row r="920">
      <c r="A920" s="42" t="s">
        <v>330</v>
      </c>
      <c r="B920" s="11"/>
      <c r="C920" s="8"/>
      <c r="D920" s="8"/>
      <c r="E920" s="9"/>
      <c r="F920" s="10"/>
      <c r="G920" s="9"/>
      <c r="H920" s="11"/>
      <c r="I920" s="9" t="s">
        <v>13</v>
      </c>
      <c r="J920" s="44"/>
    </row>
    <row r="921">
      <c r="A921" s="42" t="s">
        <v>330</v>
      </c>
      <c r="B921" s="11"/>
      <c r="C921" s="8"/>
      <c r="D921" s="8"/>
      <c r="E921" s="9"/>
      <c r="F921" s="10"/>
      <c r="G921" s="9"/>
      <c r="H921" s="11"/>
      <c r="I921" s="9" t="s">
        <v>13</v>
      </c>
      <c r="J921" s="44"/>
    </row>
    <row r="922">
      <c r="A922" s="42" t="s">
        <v>330</v>
      </c>
      <c r="B922" s="11"/>
      <c r="C922" s="8"/>
      <c r="D922" s="8"/>
      <c r="E922" s="9"/>
      <c r="F922" s="10"/>
      <c r="G922" s="9"/>
      <c r="H922" s="11"/>
      <c r="I922" s="9" t="s">
        <v>13</v>
      </c>
      <c r="J922" s="44"/>
    </row>
    <row r="923">
      <c r="A923" s="42" t="s">
        <v>330</v>
      </c>
      <c r="B923" s="11"/>
      <c r="C923" s="8"/>
      <c r="D923" s="8"/>
      <c r="E923" s="9"/>
      <c r="F923" s="10"/>
      <c r="G923" s="9"/>
      <c r="H923" s="11"/>
      <c r="I923" s="9" t="s">
        <v>13</v>
      </c>
      <c r="J923" s="44"/>
    </row>
    <row r="924">
      <c r="A924" s="42" t="s">
        <v>330</v>
      </c>
      <c r="B924" s="11"/>
      <c r="C924" s="8"/>
      <c r="D924" s="8"/>
      <c r="E924" s="9"/>
      <c r="F924" s="10"/>
      <c r="G924" s="9"/>
      <c r="H924" s="11"/>
      <c r="I924" s="9" t="s">
        <v>13</v>
      </c>
      <c r="J924" s="44"/>
    </row>
    <row r="925">
      <c r="A925" s="42" t="s">
        <v>330</v>
      </c>
      <c r="B925" s="11"/>
      <c r="C925" s="8"/>
      <c r="D925" s="8"/>
      <c r="E925" s="9"/>
      <c r="F925" s="10"/>
      <c r="G925" s="9"/>
      <c r="H925" s="11"/>
      <c r="I925" s="9" t="s">
        <v>13</v>
      </c>
      <c r="J925" s="44"/>
    </row>
    <row r="926">
      <c r="A926" s="42" t="s">
        <v>330</v>
      </c>
      <c r="B926" s="11"/>
      <c r="C926" s="8"/>
      <c r="D926" s="8"/>
      <c r="E926" s="9"/>
      <c r="F926" s="10"/>
      <c r="G926" s="9"/>
      <c r="H926" s="11"/>
      <c r="I926" s="9" t="s">
        <v>13</v>
      </c>
      <c r="J926" s="44"/>
    </row>
    <row r="927">
      <c r="A927" s="42" t="s">
        <v>330</v>
      </c>
      <c r="B927" s="11"/>
      <c r="C927" s="8"/>
      <c r="D927" s="8"/>
      <c r="E927" s="9"/>
      <c r="F927" s="10"/>
      <c r="G927" s="9"/>
      <c r="H927" s="11"/>
      <c r="I927" s="9" t="s">
        <v>13</v>
      </c>
      <c r="J927" s="44"/>
    </row>
    <row r="928">
      <c r="A928" s="42" t="s">
        <v>330</v>
      </c>
      <c r="B928" s="11"/>
      <c r="C928" s="8"/>
      <c r="D928" s="8"/>
      <c r="E928" s="9"/>
      <c r="F928" s="10"/>
      <c r="G928" s="9"/>
      <c r="H928" s="11"/>
      <c r="I928" s="9" t="s">
        <v>13</v>
      </c>
      <c r="J928" s="44"/>
    </row>
    <row r="929">
      <c r="A929" s="42" t="s">
        <v>330</v>
      </c>
      <c r="B929" s="11"/>
      <c r="C929" s="8"/>
      <c r="D929" s="8"/>
      <c r="E929" s="9"/>
      <c r="F929" s="10"/>
      <c r="G929" s="9"/>
      <c r="H929" s="11"/>
      <c r="I929" s="9" t="s">
        <v>13</v>
      </c>
      <c r="J929" s="44"/>
    </row>
    <row r="930">
      <c r="A930" s="42" t="s">
        <v>330</v>
      </c>
      <c r="B930" s="11"/>
      <c r="C930" s="8"/>
      <c r="D930" s="8"/>
      <c r="E930" s="9"/>
      <c r="F930" s="10"/>
      <c r="G930" s="9"/>
      <c r="H930" s="11"/>
      <c r="I930" s="9" t="s">
        <v>13</v>
      </c>
      <c r="J930" s="44"/>
    </row>
    <row r="931">
      <c r="A931" s="42" t="s">
        <v>330</v>
      </c>
      <c r="B931" s="11"/>
      <c r="C931" s="8"/>
      <c r="D931" s="8"/>
      <c r="E931" s="9"/>
      <c r="F931" s="10"/>
      <c r="G931" s="9"/>
      <c r="H931" s="11"/>
      <c r="I931" s="9" t="s">
        <v>13</v>
      </c>
      <c r="J931" s="44"/>
    </row>
    <row r="932">
      <c r="A932" s="42" t="s">
        <v>330</v>
      </c>
      <c r="B932" s="11"/>
      <c r="C932" s="8"/>
      <c r="D932" s="8"/>
      <c r="E932" s="9"/>
      <c r="F932" s="10"/>
      <c r="G932" s="9"/>
      <c r="H932" s="11"/>
      <c r="I932" s="9" t="s">
        <v>13</v>
      </c>
      <c r="J932" s="44"/>
    </row>
    <row r="933">
      <c r="A933" s="42" t="s">
        <v>330</v>
      </c>
      <c r="B933" s="11"/>
      <c r="C933" s="8"/>
      <c r="D933" s="8"/>
      <c r="E933" s="9"/>
      <c r="F933" s="10"/>
      <c r="G933" s="9"/>
      <c r="H933" s="11"/>
      <c r="I933" s="9" t="s">
        <v>13</v>
      </c>
      <c r="J933" s="44"/>
    </row>
    <row r="934">
      <c r="A934" s="42" t="s">
        <v>330</v>
      </c>
      <c r="B934" s="11"/>
      <c r="C934" s="8"/>
      <c r="D934" s="8"/>
      <c r="E934" s="9"/>
      <c r="F934" s="10"/>
      <c r="G934" s="9"/>
      <c r="H934" s="11"/>
      <c r="I934" s="9" t="s">
        <v>13</v>
      </c>
      <c r="J934" s="44"/>
    </row>
    <row r="935">
      <c r="A935" s="42" t="s">
        <v>330</v>
      </c>
      <c r="B935" s="11"/>
      <c r="C935" s="8"/>
      <c r="D935" s="8"/>
      <c r="E935" s="9"/>
      <c r="F935" s="10"/>
      <c r="G935" s="9"/>
      <c r="H935" s="11"/>
      <c r="I935" s="9" t="s">
        <v>13</v>
      </c>
      <c r="J935" s="44"/>
    </row>
    <row r="936">
      <c r="A936" s="42" t="s">
        <v>330</v>
      </c>
      <c r="B936" s="11"/>
      <c r="C936" s="8"/>
      <c r="D936" s="8"/>
      <c r="E936" s="9"/>
      <c r="F936" s="10"/>
      <c r="G936" s="9"/>
      <c r="H936" s="11"/>
      <c r="I936" s="9" t="s">
        <v>13</v>
      </c>
      <c r="J936" s="44"/>
    </row>
    <row r="937">
      <c r="A937" s="42" t="s">
        <v>330</v>
      </c>
      <c r="B937" s="11"/>
      <c r="C937" s="8"/>
      <c r="D937" s="8"/>
      <c r="E937" s="9"/>
      <c r="F937" s="10"/>
      <c r="G937" s="9"/>
      <c r="H937" s="11"/>
      <c r="I937" s="9" t="s">
        <v>13</v>
      </c>
      <c r="J937" s="44"/>
    </row>
    <row r="938">
      <c r="A938" s="42" t="s">
        <v>330</v>
      </c>
      <c r="B938" s="11"/>
      <c r="C938" s="8"/>
      <c r="D938" s="8"/>
      <c r="E938" s="9"/>
      <c r="F938" s="10"/>
      <c r="G938" s="9"/>
      <c r="H938" s="11"/>
      <c r="I938" s="9" t="s">
        <v>13</v>
      </c>
      <c r="J938" s="44"/>
    </row>
    <row r="939">
      <c r="A939" s="42" t="s">
        <v>330</v>
      </c>
      <c r="B939" s="11"/>
      <c r="C939" s="8"/>
      <c r="D939" s="8"/>
      <c r="E939" s="9"/>
      <c r="F939" s="10"/>
      <c r="G939" s="9"/>
      <c r="H939" s="11"/>
      <c r="I939" s="9" t="s">
        <v>13</v>
      </c>
      <c r="J939" s="44"/>
    </row>
    <row r="940">
      <c r="A940" s="42" t="s">
        <v>330</v>
      </c>
      <c r="B940" s="11"/>
      <c r="C940" s="8"/>
      <c r="D940" s="8"/>
      <c r="E940" s="9"/>
      <c r="F940" s="10"/>
      <c r="G940" s="9"/>
      <c r="H940" s="11"/>
      <c r="I940" s="9" t="s">
        <v>13</v>
      </c>
      <c r="J940" s="44"/>
    </row>
    <row r="941">
      <c r="A941" s="42" t="s">
        <v>330</v>
      </c>
      <c r="B941" s="11"/>
      <c r="C941" s="8"/>
      <c r="D941" s="8"/>
      <c r="E941" s="9"/>
      <c r="F941" s="10"/>
      <c r="G941" s="9"/>
      <c r="H941" s="11"/>
      <c r="I941" s="9" t="s">
        <v>13</v>
      </c>
      <c r="J941" s="44"/>
    </row>
    <row r="942">
      <c r="A942" s="42" t="s">
        <v>330</v>
      </c>
      <c r="B942" s="11"/>
      <c r="C942" s="8"/>
      <c r="D942" s="8"/>
      <c r="E942" s="9"/>
      <c r="F942" s="10"/>
      <c r="G942" s="9"/>
      <c r="H942" s="11"/>
      <c r="I942" s="9" t="s">
        <v>13</v>
      </c>
      <c r="J942" s="44"/>
    </row>
    <row r="943">
      <c r="A943" s="42" t="s">
        <v>330</v>
      </c>
      <c r="B943" s="11"/>
      <c r="C943" s="8"/>
      <c r="D943" s="8"/>
      <c r="E943" s="9"/>
      <c r="F943" s="10"/>
      <c r="G943" s="9"/>
      <c r="H943" s="11"/>
      <c r="I943" s="9" t="s">
        <v>13</v>
      </c>
      <c r="J943" s="44"/>
    </row>
    <row r="944">
      <c r="A944" s="42" t="s">
        <v>330</v>
      </c>
      <c r="B944" s="11"/>
      <c r="C944" s="8"/>
      <c r="D944" s="8"/>
      <c r="E944" s="9"/>
      <c r="F944" s="10"/>
      <c r="G944" s="9"/>
      <c r="H944" s="11"/>
      <c r="I944" s="9" t="s">
        <v>13</v>
      </c>
      <c r="J944" s="44"/>
    </row>
    <row r="945">
      <c r="A945" s="42" t="s">
        <v>330</v>
      </c>
      <c r="B945" s="11"/>
      <c r="C945" s="8"/>
      <c r="D945" s="8"/>
      <c r="E945" s="9"/>
      <c r="F945" s="10"/>
      <c r="G945" s="9"/>
      <c r="H945" s="11"/>
      <c r="I945" s="9" t="s">
        <v>13</v>
      </c>
      <c r="J945" s="44"/>
    </row>
    <row r="946">
      <c r="A946" s="42" t="s">
        <v>330</v>
      </c>
      <c r="B946" s="11"/>
      <c r="C946" s="8"/>
      <c r="D946" s="8"/>
      <c r="E946" s="9"/>
      <c r="F946" s="10"/>
      <c r="G946" s="9"/>
      <c r="H946" s="11"/>
      <c r="I946" s="9" t="s">
        <v>13</v>
      </c>
      <c r="J946" s="44"/>
    </row>
    <row r="947">
      <c r="A947" s="42" t="s">
        <v>330</v>
      </c>
      <c r="B947" s="11"/>
      <c r="C947" s="8"/>
      <c r="D947" s="8"/>
      <c r="E947" s="9"/>
      <c r="F947" s="10"/>
      <c r="G947" s="9"/>
      <c r="H947" s="11"/>
      <c r="I947" s="9" t="s">
        <v>13</v>
      </c>
      <c r="J947" s="44"/>
    </row>
    <row r="948">
      <c r="A948" s="42" t="s">
        <v>330</v>
      </c>
      <c r="B948" s="11"/>
      <c r="C948" s="8"/>
      <c r="D948" s="8"/>
      <c r="E948" s="9"/>
      <c r="F948" s="10"/>
      <c r="G948" s="9"/>
      <c r="H948" s="11"/>
      <c r="I948" s="9" t="s">
        <v>13</v>
      </c>
      <c r="J948" s="44"/>
    </row>
    <row r="949">
      <c r="A949" s="42" t="s">
        <v>330</v>
      </c>
      <c r="B949" s="11"/>
      <c r="C949" s="8"/>
      <c r="D949" s="8"/>
      <c r="E949" s="9"/>
      <c r="F949" s="10"/>
      <c r="G949" s="9"/>
      <c r="H949" s="11"/>
      <c r="I949" s="9" t="s">
        <v>13</v>
      </c>
      <c r="J949" s="44"/>
    </row>
    <row r="950">
      <c r="A950" s="42" t="s">
        <v>330</v>
      </c>
      <c r="B950" s="11"/>
      <c r="C950" s="8"/>
      <c r="D950" s="8"/>
      <c r="E950" s="9"/>
      <c r="F950" s="10"/>
      <c r="G950" s="9"/>
      <c r="H950" s="11"/>
      <c r="I950" s="9" t="s">
        <v>13</v>
      </c>
      <c r="J950" s="44"/>
    </row>
    <row r="951">
      <c r="A951" s="42" t="s">
        <v>330</v>
      </c>
      <c r="B951" s="11"/>
      <c r="C951" s="8"/>
      <c r="D951" s="8"/>
      <c r="E951" s="9"/>
      <c r="F951" s="10"/>
      <c r="G951" s="9"/>
      <c r="H951" s="11"/>
      <c r="I951" s="9" t="s">
        <v>13</v>
      </c>
      <c r="J951" s="44"/>
    </row>
    <row r="952">
      <c r="A952" s="42" t="s">
        <v>330</v>
      </c>
      <c r="B952" s="11"/>
      <c r="C952" s="8"/>
      <c r="D952" s="8"/>
      <c r="E952" s="9"/>
      <c r="F952" s="10"/>
      <c r="G952" s="9"/>
      <c r="H952" s="11"/>
      <c r="I952" s="9" t="s">
        <v>13</v>
      </c>
      <c r="J952" s="44"/>
    </row>
    <row r="953">
      <c r="A953" s="42" t="s">
        <v>330</v>
      </c>
      <c r="B953" s="11"/>
      <c r="C953" s="8"/>
      <c r="D953" s="8"/>
      <c r="E953" s="9"/>
      <c r="F953" s="10"/>
      <c r="G953" s="9"/>
      <c r="H953" s="11"/>
      <c r="I953" s="9" t="s">
        <v>13</v>
      </c>
      <c r="J953" s="44"/>
    </row>
    <row r="954">
      <c r="A954" s="42" t="s">
        <v>330</v>
      </c>
      <c r="B954" s="11"/>
      <c r="C954" s="8"/>
      <c r="D954" s="8"/>
      <c r="E954" s="9"/>
      <c r="F954" s="10"/>
      <c r="G954" s="9"/>
      <c r="H954" s="11"/>
      <c r="I954" s="9" t="s">
        <v>13</v>
      </c>
      <c r="J954" s="44"/>
    </row>
    <row r="955">
      <c r="A955" s="42" t="s">
        <v>330</v>
      </c>
      <c r="B955" s="11"/>
      <c r="C955" s="8"/>
      <c r="D955" s="8"/>
      <c r="E955" s="9"/>
      <c r="F955" s="10"/>
      <c r="G955" s="9"/>
      <c r="H955" s="11"/>
      <c r="I955" s="9" t="s">
        <v>13</v>
      </c>
      <c r="J955" s="44"/>
    </row>
    <row r="956">
      <c r="A956" s="42" t="s">
        <v>330</v>
      </c>
      <c r="B956" s="11"/>
      <c r="C956" s="8"/>
      <c r="D956" s="8"/>
      <c r="E956" s="9"/>
      <c r="F956" s="10"/>
      <c r="G956" s="9"/>
      <c r="H956" s="11"/>
      <c r="I956" s="9" t="s">
        <v>13</v>
      </c>
      <c r="J956" s="44"/>
    </row>
    <row r="957">
      <c r="A957" s="42" t="s">
        <v>330</v>
      </c>
      <c r="B957" s="11"/>
      <c r="C957" s="8"/>
      <c r="D957" s="8"/>
      <c r="E957" s="9"/>
      <c r="F957" s="10"/>
      <c r="G957" s="9"/>
      <c r="H957" s="11"/>
      <c r="I957" s="9" t="s">
        <v>13</v>
      </c>
      <c r="J957" s="44"/>
    </row>
    <row r="958">
      <c r="A958" s="42" t="s">
        <v>330</v>
      </c>
      <c r="B958" s="11"/>
      <c r="C958" s="8"/>
      <c r="D958" s="8"/>
      <c r="E958" s="9"/>
      <c r="F958" s="10"/>
      <c r="G958" s="9"/>
      <c r="H958" s="11"/>
      <c r="I958" s="9" t="s">
        <v>13</v>
      </c>
      <c r="J958" s="44"/>
    </row>
    <row r="959">
      <c r="A959" s="42" t="s">
        <v>330</v>
      </c>
      <c r="B959" s="11"/>
      <c r="C959" s="8"/>
      <c r="D959" s="8"/>
      <c r="E959" s="9"/>
      <c r="F959" s="10"/>
      <c r="G959" s="9"/>
      <c r="H959" s="11"/>
      <c r="I959" s="9" t="s">
        <v>13</v>
      </c>
      <c r="J959" s="44"/>
    </row>
    <row r="960">
      <c r="A960" s="42" t="s">
        <v>330</v>
      </c>
      <c r="B960" s="11"/>
      <c r="C960" s="8"/>
      <c r="D960" s="8"/>
      <c r="E960" s="9"/>
      <c r="F960" s="10"/>
      <c r="G960" s="9"/>
      <c r="H960" s="11"/>
      <c r="I960" s="9" t="s">
        <v>13</v>
      </c>
      <c r="J960" s="44"/>
    </row>
    <row r="961">
      <c r="A961" s="42" t="s">
        <v>330</v>
      </c>
      <c r="B961" s="11"/>
      <c r="C961" s="8"/>
      <c r="D961" s="8"/>
      <c r="E961" s="9"/>
      <c r="F961" s="10"/>
      <c r="G961" s="9"/>
      <c r="H961" s="11"/>
      <c r="I961" s="9" t="s">
        <v>13</v>
      </c>
      <c r="J961" s="44"/>
    </row>
    <row r="962">
      <c r="A962" s="42" t="s">
        <v>330</v>
      </c>
      <c r="B962" s="11"/>
      <c r="C962" s="8"/>
      <c r="D962" s="8"/>
      <c r="E962" s="9"/>
      <c r="F962" s="10"/>
      <c r="G962" s="9"/>
      <c r="H962" s="11"/>
      <c r="I962" s="9" t="s">
        <v>13</v>
      </c>
      <c r="J962" s="44"/>
    </row>
    <row r="963">
      <c r="A963" s="42" t="s">
        <v>330</v>
      </c>
      <c r="B963" s="11"/>
      <c r="C963" s="8"/>
      <c r="D963" s="8"/>
      <c r="E963" s="9"/>
      <c r="F963" s="10"/>
      <c r="G963" s="9"/>
      <c r="H963" s="11"/>
      <c r="I963" s="9" t="s">
        <v>13</v>
      </c>
      <c r="J963" s="44"/>
    </row>
    <row r="964">
      <c r="A964" s="42" t="s">
        <v>330</v>
      </c>
      <c r="B964" s="11"/>
      <c r="C964" s="8"/>
      <c r="D964" s="8"/>
      <c r="E964" s="9"/>
      <c r="F964" s="10"/>
      <c r="G964" s="9"/>
      <c r="H964" s="11"/>
      <c r="I964" s="9" t="s">
        <v>13</v>
      </c>
      <c r="J964" s="44"/>
    </row>
    <row r="965">
      <c r="A965" s="42" t="s">
        <v>330</v>
      </c>
      <c r="B965" s="11"/>
      <c r="C965" s="8"/>
      <c r="D965" s="8"/>
      <c r="E965" s="9"/>
      <c r="F965" s="10"/>
      <c r="G965" s="9"/>
      <c r="H965" s="11"/>
      <c r="I965" s="9" t="s">
        <v>13</v>
      </c>
      <c r="J965" s="44"/>
    </row>
    <row r="966">
      <c r="A966" s="42" t="s">
        <v>330</v>
      </c>
      <c r="B966" s="11"/>
      <c r="C966" s="8"/>
      <c r="D966" s="8"/>
      <c r="E966" s="9"/>
      <c r="F966" s="10"/>
      <c r="G966" s="9"/>
      <c r="H966" s="11"/>
      <c r="I966" s="9" t="s">
        <v>13</v>
      </c>
      <c r="J966" s="44"/>
    </row>
    <row r="967">
      <c r="A967" s="42" t="s">
        <v>330</v>
      </c>
      <c r="B967" s="11"/>
      <c r="C967" s="8"/>
      <c r="D967" s="8"/>
      <c r="E967" s="9"/>
      <c r="F967" s="10"/>
      <c r="G967" s="9"/>
      <c r="H967" s="11"/>
      <c r="I967" s="9" t="s">
        <v>13</v>
      </c>
      <c r="J967" s="44"/>
    </row>
    <row r="968">
      <c r="A968" s="42" t="s">
        <v>330</v>
      </c>
      <c r="B968" s="11"/>
      <c r="C968" s="8"/>
      <c r="D968" s="8"/>
      <c r="E968" s="9"/>
      <c r="F968" s="10"/>
      <c r="G968" s="9"/>
      <c r="H968" s="11"/>
      <c r="I968" s="9" t="s">
        <v>13</v>
      </c>
      <c r="J968" s="44"/>
    </row>
    <row r="969">
      <c r="A969" s="42" t="s">
        <v>330</v>
      </c>
      <c r="B969" s="11"/>
      <c r="C969" s="8"/>
      <c r="D969" s="8"/>
      <c r="E969" s="9"/>
      <c r="F969" s="10"/>
      <c r="G969" s="9"/>
      <c r="H969" s="11"/>
      <c r="I969" s="9" t="s">
        <v>13</v>
      </c>
      <c r="J969" s="44"/>
    </row>
    <row r="970">
      <c r="A970" s="42" t="s">
        <v>330</v>
      </c>
      <c r="B970" s="11"/>
      <c r="C970" s="8"/>
      <c r="D970" s="8"/>
      <c r="E970" s="9"/>
      <c r="F970" s="10"/>
      <c r="G970" s="9"/>
      <c r="H970" s="11"/>
      <c r="I970" s="9" t="s">
        <v>13</v>
      </c>
      <c r="J970" s="44"/>
    </row>
    <row r="971">
      <c r="A971" s="42" t="s">
        <v>330</v>
      </c>
      <c r="B971" s="11"/>
      <c r="C971" s="8"/>
      <c r="D971" s="8"/>
      <c r="E971" s="9"/>
      <c r="F971" s="10"/>
      <c r="G971" s="9"/>
      <c r="H971" s="11"/>
      <c r="I971" s="9" t="s">
        <v>13</v>
      </c>
      <c r="J971" s="44"/>
    </row>
    <row r="972">
      <c r="A972" s="42" t="s">
        <v>330</v>
      </c>
      <c r="B972" s="11"/>
      <c r="C972" s="8"/>
      <c r="D972" s="8"/>
      <c r="E972" s="9"/>
      <c r="F972" s="10"/>
      <c r="G972" s="9"/>
      <c r="H972" s="11"/>
      <c r="I972" s="9" t="s">
        <v>13</v>
      </c>
      <c r="J972" s="44"/>
    </row>
    <row r="973">
      <c r="A973" s="42" t="s">
        <v>330</v>
      </c>
      <c r="B973" s="11"/>
      <c r="C973" s="8"/>
      <c r="D973" s="8"/>
      <c r="E973" s="9"/>
      <c r="F973" s="10"/>
      <c r="G973" s="9"/>
      <c r="H973" s="11"/>
      <c r="I973" s="9" t="s">
        <v>13</v>
      </c>
      <c r="J973" s="44"/>
    </row>
    <row r="974">
      <c r="A974" s="42" t="s">
        <v>330</v>
      </c>
      <c r="B974" s="11"/>
      <c r="C974" s="8"/>
      <c r="D974" s="8"/>
      <c r="E974" s="9"/>
      <c r="F974" s="10"/>
      <c r="G974" s="9"/>
      <c r="H974" s="11"/>
      <c r="I974" s="9" t="s">
        <v>13</v>
      </c>
      <c r="J974" s="44"/>
    </row>
    <row r="975">
      <c r="A975" s="42" t="s">
        <v>330</v>
      </c>
      <c r="B975" s="11"/>
      <c r="C975" s="8"/>
      <c r="D975" s="8"/>
      <c r="E975" s="9"/>
      <c r="F975" s="10"/>
      <c r="G975" s="9"/>
      <c r="H975" s="11"/>
      <c r="I975" s="9" t="s">
        <v>13</v>
      </c>
      <c r="J975" s="44"/>
    </row>
    <row r="976">
      <c r="A976" s="42" t="s">
        <v>330</v>
      </c>
      <c r="B976" s="11"/>
      <c r="C976" s="8"/>
      <c r="D976" s="8"/>
      <c r="E976" s="9"/>
      <c r="F976" s="10"/>
      <c r="G976" s="9"/>
      <c r="H976" s="11"/>
      <c r="I976" s="9" t="s">
        <v>13</v>
      </c>
      <c r="J976" s="44"/>
    </row>
    <row r="977">
      <c r="A977" s="42" t="s">
        <v>330</v>
      </c>
      <c r="B977" s="11"/>
      <c r="C977" s="8"/>
      <c r="D977" s="8"/>
      <c r="E977" s="9"/>
      <c r="F977" s="10"/>
      <c r="G977" s="9"/>
      <c r="H977" s="11"/>
      <c r="I977" s="9" t="s">
        <v>13</v>
      </c>
      <c r="J977" s="44"/>
    </row>
    <row r="978">
      <c r="A978" s="42" t="s">
        <v>330</v>
      </c>
      <c r="B978" s="11"/>
      <c r="C978" s="8"/>
      <c r="D978" s="8"/>
      <c r="E978" s="9"/>
      <c r="F978" s="10"/>
      <c r="G978" s="9"/>
      <c r="H978" s="11"/>
      <c r="I978" s="9" t="s">
        <v>13</v>
      </c>
      <c r="J978" s="44"/>
    </row>
    <row r="979">
      <c r="A979" s="42" t="s">
        <v>330</v>
      </c>
      <c r="B979" s="11"/>
      <c r="C979" s="8"/>
      <c r="D979" s="8"/>
      <c r="E979" s="9"/>
      <c r="F979" s="10"/>
      <c r="G979" s="9"/>
      <c r="H979" s="11"/>
      <c r="I979" s="9" t="s">
        <v>13</v>
      </c>
      <c r="J979" s="44"/>
    </row>
    <row r="980">
      <c r="A980" s="42" t="s">
        <v>330</v>
      </c>
      <c r="B980" s="11"/>
      <c r="C980" s="8"/>
      <c r="D980" s="8"/>
      <c r="E980" s="9"/>
      <c r="F980" s="10"/>
      <c r="G980" s="9"/>
      <c r="H980" s="11"/>
      <c r="I980" s="9" t="s">
        <v>13</v>
      </c>
      <c r="J980" s="44"/>
    </row>
    <row r="981">
      <c r="A981" s="42" t="s">
        <v>330</v>
      </c>
      <c r="B981" s="11"/>
      <c r="C981" s="8"/>
      <c r="D981" s="8"/>
      <c r="E981" s="9"/>
      <c r="F981" s="10"/>
      <c r="G981" s="9"/>
      <c r="H981" s="11"/>
      <c r="I981" s="9" t="s">
        <v>13</v>
      </c>
      <c r="J981" s="44"/>
    </row>
    <row r="982">
      <c r="A982" s="42" t="s">
        <v>330</v>
      </c>
      <c r="B982" s="11"/>
      <c r="C982" s="8"/>
      <c r="D982" s="8"/>
      <c r="E982" s="9"/>
      <c r="F982" s="10"/>
      <c r="G982" s="9"/>
      <c r="H982" s="11"/>
      <c r="I982" s="9" t="s">
        <v>13</v>
      </c>
      <c r="J982" s="44"/>
    </row>
    <row r="983">
      <c r="A983" s="42" t="s">
        <v>330</v>
      </c>
      <c r="B983" s="11"/>
      <c r="C983" s="8"/>
      <c r="D983" s="8"/>
      <c r="E983" s="9"/>
      <c r="F983" s="10"/>
      <c r="G983" s="9"/>
      <c r="H983" s="11"/>
      <c r="I983" s="9" t="s">
        <v>13</v>
      </c>
      <c r="J983" s="44"/>
    </row>
    <row r="984">
      <c r="A984" s="42" t="s">
        <v>330</v>
      </c>
      <c r="B984" s="11"/>
      <c r="C984" s="8"/>
      <c r="D984" s="8"/>
      <c r="E984" s="9"/>
      <c r="F984" s="10"/>
      <c r="G984" s="9"/>
      <c r="H984" s="11"/>
      <c r="I984" s="9" t="s">
        <v>13</v>
      </c>
      <c r="J984" s="44"/>
    </row>
    <row r="985">
      <c r="A985" s="42" t="s">
        <v>330</v>
      </c>
      <c r="B985" s="11"/>
      <c r="C985" s="8"/>
      <c r="D985" s="8"/>
      <c r="E985" s="9"/>
      <c r="F985" s="10"/>
      <c r="G985" s="9"/>
      <c r="H985" s="11"/>
      <c r="I985" s="9" t="s">
        <v>13</v>
      </c>
      <c r="J985" s="44"/>
    </row>
    <row r="986">
      <c r="A986" s="42" t="s">
        <v>330</v>
      </c>
      <c r="B986" s="11"/>
      <c r="C986" s="8"/>
      <c r="D986" s="8"/>
      <c r="E986" s="9"/>
      <c r="F986" s="10"/>
      <c r="G986" s="9"/>
      <c r="H986" s="11"/>
      <c r="I986" s="9" t="s">
        <v>13</v>
      </c>
      <c r="J986" s="44"/>
    </row>
    <row r="987">
      <c r="A987" s="42" t="s">
        <v>330</v>
      </c>
      <c r="B987" s="11"/>
      <c r="C987" s="8"/>
      <c r="D987" s="8"/>
      <c r="E987" s="9"/>
      <c r="F987" s="10"/>
      <c r="G987" s="9"/>
      <c r="H987" s="11"/>
      <c r="I987" s="9" t="s">
        <v>13</v>
      </c>
      <c r="J987" s="44"/>
    </row>
    <row r="988">
      <c r="A988" s="42" t="s">
        <v>330</v>
      </c>
      <c r="B988" s="11"/>
      <c r="C988" s="8"/>
      <c r="D988" s="8"/>
      <c r="E988" s="9"/>
      <c r="F988" s="10"/>
      <c r="G988" s="9"/>
      <c r="H988" s="11"/>
      <c r="I988" s="9" t="s">
        <v>13</v>
      </c>
      <c r="J988" s="44"/>
    </row>
    <row r="989">
      <c r="A989" s="42" t="s">
        <v>330</v>
      </c>
      <c r="B989" s="11"/>
      <c r="C989" s="8"/>
      <c r="D989" s="8"/>
      <c r="E989" s="9"/>
      <c r="F989" s="10"/>
      <c r="G989" s="9"/>
      <c r="H989" s="11"/>
      <c r="I989" s="9" t="s">
        <v>13</v>
      </c>
      <c r="J989" s="44"/>
    </row>
    <row r="990">
      <c r="A990" s="42" t="s">
        <v>330</v>
      </c>
      <c r="B990" s="11"/>
      <c r="C990" s="8"/>
      <c r="D990" s="8"/>
      <c r="E990" s="9"/>
      <c r="F990" s="10"/>
      <c r="G990" s="9"/>
      <c r="H990" s="11"/>
      <c r="I990" s="9" t="s">
        <v>13</v>
      </c>
      <c r="J990" s="44"/>
    </row>
    <row r="991">
      <c r="A991" s="42" t="s">
        <v>330</v>
      </c>
      <c r="B991" s="11"/>
      <c r="C991" s="8"/>
      <c r="D991" s="8"/>
      <c r="E991" s="9"/>
      <c r="F991" s="10"/>
      <c r="G991" s="9"/>
      <c r="H991" s="11"/>
      <c r="I991" s="9" t="s">
        <v>13</v>
      </c>
      <c r="J991" s="44"/>
    </row>
    <row r="992">
      <c r="A992" s="42" t="s">
        <v>330</v>
      </c>
      <c r="B992" s="11"/>
      <c r="C992" s="8"/>
      <c r="D992" s="8"/>
      <c r="E992" s="9"/>
      <c r="F992" s="10"/>
      <c r="G992" s="9"/>
      <c r="H992" s="11"/>
      <c r="I992" s="9" t="s">
        <v>13</v>
      </c>
      <c r="J992" s="44"/>
    </row>
    <row r="993">
      <c r="A993" s="42" t="s">
        <v>330</v>
      </c>
      <c r="B993" s="11"/>
      <c r="C993" s="8"/>
      <c r="D993" s="8"/>
      <c r="E993" s="9"/>
      <c r="F993" s="10"/>
      <c r="G993" s="9"/>
      <c r="H993" s="11"/>
      <c r="I993" s="9" t="s">
        <v>13</v>
      </c>
      <c r="J993" s="44"/>
    </row>
    <row r="994">
      <c r="A994" s="42" t="s">
        <v>330</v>
      </c>
      <c r="B994" s="11"/>
      <c r="C994" s="8"/>
      <c r="D994" s="8"/>
      <c r="E994" s="9"/>
      <c r="F994" s="10"/>
      <c r="G994" s="9"/>
      <c r="H994" s="11"/>
      <c r="I994" s="9" t="s">
        <v>13</v>
      </c>
      <c r="J994" s="44"/>
    </row>
    <row r="995">
      <c r="A995" s="42" t="s">
        <v>330</v>
      </c>
      <c r="B995" s="11"/>
      <c r="C995" s="8"/>
      <c r="D995" s="8"/>
      <c r="E995" s="9"/>
      <c r="F995" s="10"/>
      <c r="G995" s="9"/>
      <c r="H995" s="11"/>
      <c r="I995" s="9" t="s">
        <v>13</v>
      </c>
      <c r="J995" s="44"/>
    </row>
    <row r="996">
      <c r="A996" s="42" t="s">
        <v>330</v>
      </c>
      <c r="B996" s="11"/>
      <c r="C996" s="8"/>
      <c r="D996" s="8"/>
      <c r="E996" s="9"/>
      <c r="F996" s="10"/>
      <c r="G996" s="9"/>
      <c r="H996" s="11"/>
      <c r="I996" s="9" t="s">
        <v>13</v>
      </c>
      <c r="J996" s="44"/>
    </row>
    <row r="997">
      <c r="A997" s="42" t="s">
        <v>330</v>
      </c>
      <c r="B997" s="11"/>
      <c r="C997" s="8"/>
      <c r="D997" s="8"/>
      <c r="E997" s="9"/>
      <c r="F997" s="10"/>
      <c r="G997" s="9"/>
      <c r="H997" s="11"/>
      <c r="I997" s="9" t="s">
        <v>13</v>
      </c>
      <c r="J997" s="44"/>
    </row>
    <row r="998">
      <c r="A998" s="42" t="s">
        <v>330</v>
      </c>
      <c r="B998" s="11"/>
      <c r="C998" s="8"/>
      <c r="D998" s="8"/>
      <c r="E998" s="9"/>
      <c r="F998" s="10"/>
      <c r="G998" s="9"/>
      <c r="H998" s="11"/>
      <c r="I998" s="9" t="s">
        <v>13</v>
      </c>
      <c r="J998" s="44"/>
    </row>
    <row r="999">
      <c r="A999" s="42" t="s">
        <v>330</v>
      </c>
      <c r="B999" s="11"/>
      <c r="C999" s="8"/>
      <c r="D999" s="8"/>
      <c r="E999" s="9"/>
      <c r="F999" s="10"/>
      <c r="G999" s="9"/>
      <c r="H999" s="11"/>
      <c r="I999" s="9" t="s">
        <v>13</v>
      </c>
      <c r="J999" s="44"/>
    </row>
    <row r="1000">
      <c r="A1000" s="42" t="s">
        <v>330</v>
      </c>
      <c r="B1000" s="11"/>
      <c r="C1000" s="8"/>
      <c r="D1000" s="8"/>
      <c r="E1000" s="9"/>
      <c r="F1000" s="10"/>
      <c r="G1000" s="9"/>
      <c r="H1000" s="11"/>
      <c r="I1000" s="9" t="s">
        <v>13</v>
      </c>
      <c r="J1000" s="44"/>
    </row>
    <row r="1001">
      <c r="A1001" s="42" t="s">
        <v>330</v>
      </c>
      <c r="B1001" s="11"/>
      <c r="C1001" s="8"/>
      <c r="D1001" s="8"/>
      <c r="E1001" s="9"/>
      <c r="F1001" s="10"/>
      <c r="G1001" s="9"/>
      <c r="H1001" s="11"/>
      <c r="I1001" s="9" t="s">
        <v>13</v>
      </c>
      <c r="J1001" s="44"/>
    </row>
    <row r="1002">
      <c r="A1002" s="42" t="s">
        <v>330</v>
      </c>
      <c r="B1002" s="11"/>
      <c r="C1002" s="8"/>
      <c r="D1002" s="8"/>
      <c r="E1002" s="9"/>
      <c r="F1002" s="10"/>
      <c r="G1002" s="9"/>
      <c r="H1002" s="11"/>
      <c r="I1002" s="9" t="s">
        <v>13</v>
      </c>
      <c r="J1002" s="44"/>
    </row>
    <row r="1003">
      <c r="A1003" s="42" t="s">
        <v>330</v>
      </c>
      <c r="B1003" s="11"/>
      <c r="C1003" s="8"/>
      <c r="D1003" s="8"/>
      <c r="E1003" s="9"/>
      <c r="F1003" s="10"/>
      <c r="G1003" s="9"/>
      <c r="H1003" s="11"/>
      <c r="I1003" s="9" t="s">
        <v>13</v>
      </c>
      <c r="J1003" s="44"/>
    </row>
    <row r="1004">
      <c r="A1004" s="42" t="s">
        <v>330</v>
      </c>
      <c r="B1004" s="11"/>
      <c r="C1004" s="8"/>
      <c r="D1004" s="8"/>
      <c r="E1004" s="9"/>
      <c r="F1004" s="10"/>
      <c r="G1004" s="9"/>
      <c r="H1004" s="11"/>
      <c r="I1004" s="9" t="s">
        <v>13</v>
      </c>
      <c r="J1004" s="44"/>
    </row>
    <row r="1005">
      <c r="A1005" s="42" t="s">
        <v>330</v>
      </c>
      <c r="B1005" s="11"/>
      <c r="C1005" s="8"/>
      <c r="D1005" s="8"/>
      <c r="E1005" s="9"/>
      <c r="F1005" s="10"/>
      <c r="G1005" s="9"/>
      <c r="H1005" s="11"/>
      <c r="I1005" s="9" t="s">
        <v>13</v>
      </c>
      <c r="J1005" s="44"/>
    </row>
    <row r="1006">
      <c r="A1006" s="42" t="s">
        <v>330</v>
      </c>
      <c r="B1006" s="11"/>
      <c r="C1006" s="8"/>
      <c r="D1006" s="8"/>
      <c r="E1006" s="9"/>
      <c r="F1006" s="10"/>
      <c r="G1006" s="9"/>
      <c r="H1006" s="11"/>
      <c r="I1006" s="9" t="s">
        <v>13</v>
      </c>
      <c r="J1006" s="44"/>
    </row>
    <row r="1007">
      <c r="A1007" s="42" t="s">
        <v>330</v>
      </c>
      <c r="B1007" s="11"/>
      <c r="C1007" s="8"/>
      <c r="D1007" s="8"/>
      <c r="E1007" s="9"/>
      <c r="F1007" s="10"/>
      <c r="G1007" s="9"/>
      <c r="H1007" s="11"/>
      <c r="I1007" s="9" t="s">
        <v>13</v>
      </c>
      <c r="J1007" s="44"/>
    </row>
    <row r="1008">
      <c r="A1008" s="42" t="s">
        <v>330</v>
      </c>
      <c r="B1008" s="11"/>
      <c r="C1008" s="8"/>
      <c r="D1008" s="8"/>
      <c r="E1008" s="9"/>
      <c r="F1008" s="10"/>
      <c r="G1008" s="9"/>
      <c r="H1008" s="11"/>
      <c r="I1008" s="9" t="s">
        <v>13</v>
      </c>
      <c r="J1008" s="44"/>
    </row>
    <row r="1009">
      <c r="A1009" s="42" t="s">
        <v>330</v>
      </c>
      <c r="B1009" s="11"/>
      <c r="C1009" s="8"/>
      <c r="D1009" s="8"/>
      <c r="E1009" s="9"/>
      <c r="F1009" s="10"/>
      <c r="G1009" s="9"/>
      <c r="H1009" s="11"/>
      <c r="I1009" s="9" t="s">
        <v>13</v>
      </c>
      <c r="J1009" s="44"/>
    </row>
    <row r="1010">
      <c r="A1010" s="42" t="s">
        <v>330</v>
      </c>
      <c r="B1010" s="11"/>
      <c r="C1010" s="8"/>
      <c r="D1010" s="8"/>
      <c r="E1010" s="9"/>
      <c r="F1010" s="10"/>
      <c r="G1010" s="9"/>
      <c r="H1010" s="11"/>
      <c r="I1010" s="9" t="s">
        <v>13</v>
      </c>
      <c r="J1010" s="44"/>
    </row>
    <row r="1011">
      <c r="A1011" s="42" t="s">
        <v>330</v>
      </c>
      <c r="B1011" s="11"/>
      <c r="C1011" s="8"/>
      <c r="D1011" s="8"/>
      <c r="E1011" s="9"/>
      <c r="F1011" s="10"/>
      <c r="G1011" s="9"/>
      <c r="H1011" s="11"/>
      <c r="I1011" s="9" t="s">
        <v>13</v>
      </c>
      <c r="J1011" s="44"/>
    </row>
    <row r="1012">
      <c r="A1012" s="42" t="s">
        <v>330</v>
      </c>
      <c r="B1012" s="11"/>
      <c r="C1012" s="8"/>
      <c r="D1012" s="8"/>
      <c r="E1012" s="9"/>
      <c r="F1012" s="10"/>
      <c r="G1012" s="9"/>
      <c r="H1012" s="11"/>
      <c r="I1012" s="9" t="s">
        <v>13</v>
      </c>
      <c r="J1012" s="44"/>
    </row>
    <row r="1013">
      <c r="A1013" s="42" t="s">
        <v>330</v>
      </c>
      <c r="B1013" s="11"/>
      <c r="C1013" s="8"/>
      <c r="D1013" s="8"/>
      <c r="E1013" s="9"/>
      <c r="F1013" s="10"/>
      <c r="G1013" s="9"/>
      <c r="H1013" s="11"/>
      <c r="I1013" s="9" t="s">
        <v>13</v>
      </c>
      <c r="J1013" s="44"/>
    </row>
    <row r="1014">
      <c r="A1014" s="42" t="s">
        <v>330</v>
      </c>
      <c r="B1014" s="11"/>
      <c r="C1014" s="8"/>
      <c r="D1014" s="8"/>
      <c r="E1014" s="9"/>
      <c r="F1014" s="10"/>
      <c r="G1014" s="9"/>
      <c r="H1014" s="11"/>
      <c r="I1014" s="9" t="s">
        <v>13</v>
      </c>
      <c r="J1014" s="44"/>
    </row>
    <row r="1015">
      <c r="A1015" s="42" t="s">
        <v>330</v>
      </c>
      <c r="B1015" s="11"/>
      <c r="C1015" s="8"/>
      <c r="D1015" s="8"/>
      <c r="E1015" s="9"/>
      <c r="F1015" s="10"/>
      <c r="G1015" s="9"/>
      <c r="H1015" s="11"/>
      <c r="I1015" s="9" t="s">
        <v>13</v>
      </c>
      <c r="J1015" s="44"/>
    </row>
    <row r="1016">
      <c r="A1016" s="42" t="s">
        <v>330</v>
      </c>
      <c r="B1016" s="11"/>
      <c r="C1016" s="8"/>
      <c r="D1016" s="8"/>
      <c r="E1016" s="9"/>
      <c r="F1016" s="10"/>
      <c r="G1016" s="9"/>
      <c r="H1016" s="11"/>
      <c r="I1016" s="9" t="s">
        <v>13</v>
      </c>
      <c r="J1016" s="44"/>
    </row>
    <row r="1017">
      <c r="A1017" s="42" t="s">
        <v>330</v>
      </c>
      <c r="B1017" s="11"/>
      <c r="C1017" s="8"/>
      <c r="D1017" s="8"/>
      <c r="E1017" s="9"/>
      <c r="F1017" s="10"/>
      <c r="G1017" s="9"/>
      <c r="H1017" s="11"/>
      <c r="I1017" s="9" t="s">
        <v>13</v>
      </c>
      <c r="J1017" s="44"/>
    </row>
    <row r="1018">
      <c r="A1018" s="42" t="s">
        <v>330</v>
      </c>
      <c r="B1018" s="11"/>
      <c r="C1018" s="8"/>
      <c r="D1018" s="8"/>
      <c r="E1018" s="9"/>
      <c r="F1018" s="10"/>
      <c r="G1018" s="9"/>
      <c r="H1018" s="11"/>
      <c r="I1018" s="9" t="s">
        <v>13</v>
      </c>
      <c r="J1018" s="44"/>
    </row>
    <row r="1019">
      <c r="A1019" s="42" t="s">
        <v>330</v>
      </c>
      <c r="B1019" s="11"/>
      <c r="C1019" s="8"/>
      <c r="D1019" s="8"/>
      <c r="E1019" s="9"/>
      <c r="F1019" s="10"/>
      <c r="G1019" s="9"/>
      <c r="H1019" s="11"/>
      <c r="I1019" s="9" t="s">
        <v>13</v>
      </c>
      <c r="J1019" s="44"/>
    </row>
    <row r="1020">
      <c r="A1020" s="42" t="s">
        <v>330</v>
      </c>
      <c r="B1020" s="11"/>
      <c r="C1020" s="8"/>
      <c r="D1020" s="8"/>
      <c r="E1020" s="9"/>
      <c r="F1020" s="10"/>
      <c r="G1020" s="9"/>
      <c r="H1020" s="11"/>
      <c r="I1020" s="9" t="s">
        <v>13</v>
      </c>
      <c r="J1020" s="44"/>
    </row>
    <row r="1021">
      <c r="A1021" s="42" t="s">
        <v>330</v>
      </c>
      <c r="B1021" s="11"/>
      <c r="C1021" s="8"/>
      <c r="D1021" s="8"/>
      <c r="E1021" s="9"/>
      <c r="F1021" s="10"/>
      <c r="G1021" s="9"/>
      <c r="H1021" s="11"/>
      <c r="I1021" s="9" t="s">
        <v>13</v>
      </c>
      <c r="J1021" s="44"/>
    </row>
    <row r="1022">
      <c r="A1022" s="42" t="s">
        <v>330</v>
      </c>
      <c r="B1022" s="11"/>
      <c r="C1022" s="8"/>
      <c r="D1022" s="8"/>
      <c r="E1022" s="9"/>
      <c r="F1022" s="10"/>
      <c r="G1022" s="9"/>
      <c r="H1022" s="11"/>
      <c r="I1022" s="9" t="s">
        <v>13</v>
      </c>
      <c r="J1022" s="44"/>
    </row>
    <row r="1023">
      <c r="A1023" s="42" t="s">
        <v>330</v>
      </c>
      <c r="B1023" s="11"/>
      <c r="C1023" s="8"/>
      <c r="D1023" s="8"/>
      <c r="E1023" s="9"/>
      <c r="F1023" s="10"/>
      <c r="G1023" s="9"/>
      <c r="H1023" s="11"/>
      <c r="I1023" s="9" t="s">
        <v>13</v>
      </c>
      <c r="J1023" s="44"/>
    </row>
    <row r="1024">
      <c r="A1024" s="42" t="s">
        <v>330</v>
      </c>
      <c r="B1024" s="11"/>
      <c r="C1024" s="8"/>
      <c r="D1024" s="8"/>
      <c r="E1024" s="9"/>
      <c r="F1024" s="10"/>
      <c r="G1024" s="9"/>
      <c r="H1024" s="11"/>
      <c r="I1024" s="9" t="s">
        <v>13</v>
      </c>
      <c r="J1024" s="44"/>
    </row>
    <row r="1025">
      <c r="A1025" s="42" t="s">
        <v>330</v>
      </c>
      <c r="B1025" s="11"/>
      <c r="C1025" s="8"/>
      <c r="D1025" s="8"/>
      <c r="E1025" s="9"/>
      <c r="F1025" s="10"/>
      <c r="G1025" s="9"/>
      <c r="H1025" s="11"/>
      <c r="I1025" s="9" t="s">
        <v>13</v>
      </c>
      <c r="J1025" s="44"/>
    </row>
    <row r="1026">
      <c r="A1026" s="42" t="s">
        <v>330</v>
      </c>
      <c r="B1026" s="11"/>
      <c r="C1026" s="8"/>
      <c r="D1026" s="8"/>
      <c r="E1026" s="9"/>
      <c r="F1026" s="10"/>
      <c r="G1026" s="9"/>
      <c r="H1026" s="11"/>
      <c r="I1026" s="9" t="s">
        <v>13</v>
      </c>
      <c r="J1026" s="44"/>
    </row>
    <row r="1027">
      <c r="A1027" s="42" t="s">
        <v>330</v>
      </c>
      <c r="B1027" s="11"/>
      <c r="C1027" s="8"/>
      <c r="D1027" s="8"/>
      <c r="E1027" s="9"/>
      <c r="F1027" s="10"/>
      <c r="G1027" s="9"/>
      <c r="H1027" s="11"/>
      <c r="I1027" s="9" t="s">
        <v>13</v>
      </c>
      <c r="J1027" s="44"/>
    </row>
    <row r="1028">
      <c r="A1028" s="42" t="s">
        <v>330</v>
      </c>
      <c r="B1028" s="11"/>
      <c r="C1028" s="8"/>
      <c r="D1028" s="8"/>
      <c r="E1028" s="9"/>
      <c r="F1028" s="10"/>
      <c r="G1028" s="9"/>
      <c r="H1028" s="11"/>
      <c r="I1028" s="9" t="s">
        <v>13</v>
      </c>
      <c r="J1028" s="44"/>
    </row>
    <row r="1029">
      <c r="A1029" s="42" t="s">
        <v>330</v>
      </c>
      <c r="B1029" s="11"/>
      <c r="C1029" s="8"/>
      <c r="D1029" s="8"/>
      <c r="E1029" s="9"/>
      <c r="F1029" s="10"/>
      <c r="G1029" s="9"/>
      <c r="H1029" s="11"/>
      <c r="I1029" s="9" t="s">
        <v>13</v>
      </c>
      <c r="J1029" s="44"/>
    </row>
    <row r="1030">
      <c r="A1030" s="42" t="s">
        <v>330</v>
      </c>
      <c r="B1030" s="11"/>
      <c r="C1030" s="8"/>
      <c r="D1030" s="8"/>
      <c r="E1030" s="9"/>
      <c r="F1030" s="10"/>
      <c r="G1030" s="9"/>
      <c r="H1030" s="11"/>
      <c r="I1030" s="9" t="s">
        <v>13</v>
      </c>
      <c r="J1030" s="44"/>
    </row>
    <row r="1031">
      <c r="A1031" s="42" t="s">
        <v>330</v>
      </c>
      <c r="B1031" s="11"/>
      <c r="C1031" s="8"/>
      <c r="D1031" s="8"/>
      <c r="E1031" s="9"/>
      <c r="F1031" s="10"/>
      <c r="G1031" s="9"/>
      <c r="H1031" s="11"/>
      <c r="I1031" s="9" t="s">
        <v>13</v>
      </c>
      <c r="J1031" s="44"/>
    </row>
    <row r="1032">
      <c r="A1032" s="42" t="s">
        <v>330</v>
      </c>
      <c r="B1032" s="11"/>
      <c r="C1032" s="8"/>
      <c r="D1032" s="8"/>
      <c r="E1032" s="9"/>
      <c r="F1032" s="10"/>
      <c r="G1032" s="9"/>
      <c r="H1032" s="11"/>
      <c r="I1032" s="9" t="s">
        <v>13</v>
      </c>
      <c r="J1032" s="44"/>
    </row>
    <row r="1033">
      <c r="A1033" s="42" t="s">
        <v>330</v>
      </c>
      <c r="B1033" s="11"/>
      <c r="C1033" s="8"/>
      <c r="D1033" s="8"/>
      <c r="E1033" s="9"/>
      <c r="F1033" s="10"/>
      <c r="G1033" s="9"/>
      <c r="H1033" s="11"/>
      <c r="I1033" s="9" t="s">
        <v>13</v>
      </c>
      <c r="J1033" s="44"/>
    </row>
    <row r="1034">
      <c r="A1034" s="42" t="s">
        <v>330</v>
      </c>
      <c r="B1034" s="11"/>
      <c r="C1034" s="8"/>
      <c r="D1034" s="8"/>
      <c r="E1034" s="9"/>
      <c r="F1034" s="10"/>
      <c r="G1034" s="9"/>
      <c r="H1034" s="11"/>
      <c r="I1034" s="9" t="s">
        <v>13</v>
      </c>
      <c r="J1034" s="44"/>
    </row>
    <row r="1035">
      <c r="A1035" s="42" t="s">
        <v>330</v>
      </c>
      <c r="B1035" s="11"/>
      <c r="C1035" s="8"/>
      <c r="D1035" s="8"/>
      <c r="E1035" s="9"/>
      <c r="F1035" s="10"/>
      <c r="G1035" s="9"/>
      <c r="H1035" s="11"/>
      <c r="I1035" s="9" t="s">
        <v>13</v>
      </c>
      <c r="J1035" s="44"/>
    </row>
    <row r="1036">
      <c r="A1036" s="42" t="s">
        <v>330</v>
      </c>
      <c r="B1036" s="11"/>
      <c r="C1036" s="8"/>
      <c r="D1036" s="8"/>
      <c r="E1036" s="9"/>
      <c r="F1036" s="10"/>
      <c r="G1036" s="9"/>
      <c r="H1036" s="11"/>
      <c r="I1036" s="9" t="s">
        <v>13</v>
      </c>
      <c r="J1036" s="44"/>
    </row>
    <row r="1037">
      <c r="A1037" s="42" t="s">
        <v>330</v>
      </c>
      <c r="B1037" s="11"/>
      <c r="C1037" s="8"/>
      <c r="D1037" s="8"/>
      <c r="E1037" s="9"/>
      <c r="F1037" s="10"/>
      <c r="G1037" s="9"/>
      <c r="H1037" s="11"/>
      <c r="I1037" s="9" t="s">
        <v>13</v>
      </c>
      <c r="J1037" s="44"/>
    </row>
    <row r="1038">
      <c r="A1038" s="42" t="s">
        <v>330</v>
      </c>
      <c r="B1038" s="11"/>
      <c r="C1038" s="8"/>
      <c r="D1038" s="8"/>
      <c r="E1038" s="9"/>
      <c r="F1038" s="10"/>
      <c r="G1038" s="9"/>
      <c r="H1038" s="11"/>
      <c r="I1038" s="9" t="s">
        <v>13</v>
      </c>
      <c r="J1038" s="44"/>
    </row>
    <row r="1039">
      <c r="A1039" s="42" t="s">
        <v>330</v>
      </c>
      <c r="B1039" s="11"/>
      <c r="C1039" s="8"/>
      <c r="D1039" s="8"/>
      <c r="E1039" s="9"/>
      <c r="F1039" s="10"/>
      <c r="G1039" s="9"/>
      <c r="H1039" s="11"/>
      <c r="I1039" s="9" t="s">
        <v>13</v>
      </c>
      <c r="J1039" s="44"/>
    </row>
    <row r="1040">
      <c r="A1040" s="42" t="s">
        <v>330</v>
      </c>
      <c r="B1040" s="11"/>
      <c r="C1040" s="8"/>
      <c r="D1040" s="8"/>
      <c r="E1040" s="9"/>
      <c r="F1040" s="10"/>
      <c r="G1040" s="9"/>
      <c r="H1040" s="11"/>
      <c r="I1040" s="9" t="s">
        <v>13</v>
      </c>
      <c r="J1040" s="44"/>
    </row>
    <row r="1041">
      <c r="A1041" s="42" t="s">
        <v>330</v>
      </c>
      <c r="B1041" s="11"/>
      <c r="C1041" s="8"/>
      <c r="D1041" s="8"/>
      <c r="E1041" s="9"/>
      <c r="F1041" s="10"/>
      <c r="G1041" s="9"/>
      <c r="H1041" s="11"/>
      <c r="I1041" s="9" t="s">
        <v>13</v>
      </c>
      <c r="J1041" s="44"/>
    </row>
    <row r="1042">
      <c r="A1042" s="42" t="s">
        <v>330</v>
      </c>
      <c r="B1042" s="11"/>
      <c r="C1042" s="8"/>
      <c r="D1042" s="8"/>
      <c r="E1042" s="9"/>
      <c r="F1042" s="10"/>
      <c r="G1042" s="9"/>
      <c r="H1042" s="11"/>
      <c r="I1042" s="9" t="s">
        <v>13</v>
      </c>
      <c r="J1042" s="44"/>
    </row>
    <row r="1043">
      <c r="A1043" s="42" t="s">
        <v>330</v>
      </c>
      <c r="B1043" s="11"/>
      <c r="C1043" s="8"/>
      <c r="D1043" s="8"/>
      <c r="E1043" s="9"/>
      <c r="F1043" s="10"/>
      <c r="G1043" s="9"/>
      <c r="H1043" s="11"/>
      <c r="I1043" s="9" t="s">
        <v>13</v>
      </c>
      <c r="J1043" s="44"/>
    </row>
    <row r="1044">
      <c r="A1044" s="42" t="s">
        <v>330</v>
      </c>
      <c r="B1044" s="11"/>
      <c r="C1044" s="8"/>
      <c r="D1044" s="8"/>
      <c r="E1044" s="9"/>
      <c r="F1044" s="10"/>
      <c r="G1044" s="9"/>
      <c r="H1044" s="11"/>
      <c r="I1044" s="9" t="s">
        <v>13</v>
      </c>
      <c r="J1044" s="44"/>
    </row>
    <row r="1045">
      <c r="A1045" s="42" t="s">
        <v>330</v>
      </c>
      <c r="B1045" s="11"/>
      <c r="C1045" s="8"/>
      <c r="D1045" s="8"/>
      <c r="E1045" s="9"/>
      <c r="F1045" s="10"/>
      <c r="G1045" s="9"/>
      <c r="H1045" s="11"/>
      <c r="I1045" s="9" t="s">
        <v>13</v>
      </c>
      <c r="J1045" s="44"/>
    </row>
    <row r="1046">
      <c r="A1046" s="42" t="s">
        <v>330</v>
      </c>
      <c r="B1046" s="11"/>
      <c r="C1046" s="8"/>
      <c r="D1046" s="8"/>
      <c r="E1046" s="9"/>
      <c r="F1046" s="10"/>
      <c r="G1046" s="9"/>
      <c r="H1046" s="11"/>
      <c r="I1046" s="9" t="s">
        <v>13</v>
      </c>
      <c r="J1046" s="44"/>
    </row>
    <row r="1047">
      <c r="A1047" s="42" t="s">
        <v>330</v>
      </c>
      <c r="B1047" s="11"/>
      <c r="C1047" s="8"/>
      <c r="D1047" s="8"/>
      <c r="E1047" s="9"/>
      <c r="F1047" s="10"/>
      <c r="G1047" s="9"/>
      <c r="H1047" s="11"/>
      <c r="I1047" s="9" t="s">
        <v>13</v>
      </c>
      <c r="J1047" s="44"/>
    </row>
    <row r="1048">
      <c r="A1048" s="42" t="s">
        <v>330</v>
      </c>
      <c r="B1048" s="11"/>
      <c r="C1048" s="8"/>
      <c r="D1048" s="8"/>
      <c r="E1048" s="9"/>
      <c r="F1048" s="10"/>
      <c r="G1048" s="9"/>
      <c r="H1048" s="11"/>
      <c r="I1048" s="9" t="s">
        <v>13</v>
      </c>
      <c r="J1048" s="44"/>
    </row>
    <row r="1049">
      <c r="A1049" s="42" t="s">
        <v>330</v>
      </c>
      <c r="B1049" s="11"/>
      <c r="C1049" s="8"/>
      <c r="D1049" s="8"/>
      <c r="E1049" s="9"/>
      <c r="F1049" s="10"/>
      <c r="G1049" s="9"/>
      <c r="H1049" s="11"/>
      <c r="I1049" s="9" t="s">
        <v>13</v>
      </c>
      <c r="J1049" s="44"/>
    </row>
    <row r="1050">
      <c r="A1050" s="42" t="s">
        <v>330</v>
      </c>
      <c r="B1050" s="11"/>
      <c r="C1050" s="8"/>
      <c r="D1050" s="8"/>
      <c r="E1050" s="9"/>
      <c r="F1050" s="10"/>
      <c r="G1050" s="9"/>
      <c r="H1050" s="11"/>
      <c r="I1050" s="9" t="s">
        <v>13</v>
      </c>
      <c r="J1050" s="44"/>
    </row>
    <row r="1051">
      <c r="A1051" s="42" t="s">
        <v>330</v>
      </c>
      <c r="B1051" s="11"/>
      <c r="C1051" s="8"/>
      <c r="D1051" s="8"/>
      <c r="E1051" s="9"/>
      <c r="F1051" s="10"/>
      <c r="G1051" s="9"/>
      <c r="H1051" s="11"/>
      <c r="I1051" s="9" t="s">
        <v>13</v>
      </c>
      <c r="J1051" s="44"/>
    </row>
    <row r="1052">
      <c r="A1052" s="42" t="s">
        <v>330</v>
      </c>
      <c r="B1052" s="11"/>
      <c r="C1052" s="8"/>
      <c r="D1052" s="8"/>
      <c r="E1052" s="9"/>
      <c r="F1052" s="10"/>
      <c r="G1052" s="9"/>
      <c r="H1052" s="11"/>
      <c r="I1052" s="9" t="s">
        <v>13</v>
      </c>
      <c r="J1052" s="44"/>
    </row>
    <row r="1053">
      <c r="A1053" s="42" t="s">
        <v>330</v>
      </c>
      <c r="B1053" s="11"/>
      <c r="C1053" s="8"/>
      <c r="D1053" s="8"/>
      <c r="E1053" s="9"/>
      <c r="F1053" s="10"/>
      <c r="G1053" s="9"/>
      <c r="H1053" s="11"/>
      <c r="I1053" s="9" t="s">
        <v>13</v>
      </c>
      <c r="J1053" s="44"/>
    </row>
    <row r="1054">
      <c r="A1054" s="42" t="s">
        <v>330</v>
      </c>
      <c r="B1054" s="11"/>
      <c r="C1054" s="8"/>
      <c r="D1054" s="8"/>
      <c r="E1054" s="9"/>
      <c r="F1054" s="10"/>
      <c r="G1054" s="9"/>
      <c r="H1054" s="11"/>
      <c r="I1054" s="9" t="s">
        <v>13</v>
      </c>
      <c r="J1054" s="44"/>
    </row>
    <row r="1055">
      <c r="A1055" s="42" t="s">
        <v>330</v>
      </c>
      <c r="B1055" s="11"/>
      <c r="C1055" s="8"/>
      <c r="D1055" s="8"/>
      <c r="E1055" s="9"/>
      <c r="F1055" s="10"/>
      <c r="G1055" s="9"/>
      <c r="H1055" s="11"/>
      <c r="I1055" s="9" t="s">
        <v>13</v>
      </c>
      <c r="J1055" s="44"/>
    </row>
    <row r="1056">
      <c r="A1056" s="42" t="s">
        <v>330</v>
      </c>
      <c r="B1056" s="11"/>
      <c r="C1056" s="8"/>
      <c r="D1056" s="8"/>
      <c r="E1056" s="9"/>
      <c r="F1056" s="10"/>
      <c r="G1056" s="9"/>
      <c r="H1056" s="11"/>
      <c r="I1056" s="9" t="s">
        <v>13</v>
      </c>
      <c r="J1056" s="44"/>
    </row>
    <row r="1057">
      <c r="A1057" s="42" t="s">
        <v>330</v>
      </c>
      <c r="B1057" s="11"/>
      <c r="C1057" s="8"/>
      <c r="D1057" s="8"/>
      <c r="E1057" s="9"/>
      <c r="F1057" s="10"/>
      <c r="G1057" s="9"/>
      <c r="H1057" s="11"/>
      <c r="I1057" s="9" t="s">
        <v>13</v>
      </c>
      <c r="J1057" s="44"/>
    </row>
    <row r="1058">
      <c r="A1058" s="42" t="s">
        <v>330</v>
      </c>
      <c r="B1058" s="11"/>
      <c r="C1058" s="8"/>
      <c r="D1058" s="8"/>
      <c r="E1058" s="9"/>
      <c r="F1058" s="10"/>
      <c r="G1058" s="9"/>
      <c r="H1058" s="11"/>
      <c r="I1058" s="9" t="s">
        <v>13</v>
      </c>
      <c r="J1058" s="44"/>
    </row>
    <row r="1059">
      <c r="A1059" s="42" t="s">
        <v>330</v>
      </c>
      <c r="B1059" s="11"/>
      <c r="C1059" s="8"/>
      <c r="D1059" s="8"/>
      <c r="E1059" s="9"/>
      <c r="F1059" s="10"/>
      <c r="G1059" s="9"/>
      <c r="H1059" s="11"/>
      <c r="I1059" s="9" t="s">
        <v>13</v>
      </c>
      <c r="J1059" s="44"/>
    </row>
    <row r="1060">
      <c r="A1060" s="42" t="s">
        <v>330</v>
      </c>
      <c r="B1060" s="11"/>
      <c r="C1060" s="8"/>
      <c r="D1060" s="8"/>
      <c r="E1060" s="9"/>
      <c r="F1060" s="10"/>
      <c r="G1060" s="9"/>
      <c r="H1060" s="11"/>
      <c r="I1060" s="9" t="s">
        <v>13</v>
      </c>
      <c r="J1060" s="44"/>
    </row>
    <row r="1061">
      <c r="A1061" s="42" t="s">
        <v>330</v>
      </c>
      <c r="B1061" s="11"/>
      <c r="C1061" s="8"/>
      <c r="D1061" s="8"/>
      <c r="E1061" s="9"/>
      <c r="F1061" s="10"/>
      <c r="G1061" s="9"/>
      <c r="H1061" s="11"/>
      <c r="I1061" s="9" t="s">
        <v>13</v>
      </c>
      <c r="J1061" s="44"/>
    </row>
    <row r="1062">
      <c r="A1062" s="42" t="s">
        <v>330</v>
      </c>
      <c r="B1062" s="11"/>
      <c r="C1062" s="8"/>
      <c r="D1062" s="8"/>
      <c r="E1062" s="9"/>
      <c r="F1062" s="10"/>
      <c r="G1062" s="9"/>
      <c r="H1062" s="11"/>
      <c r="I1062" s="9" t="s">
        <v>13</v>
      </c>
      <c r="J1062" s="44"/>
    </row>
    <row r="1063">
      <c r="A1063" s="42" t="s">
        <v>330</v>
      </c>
      <c r="B1063" s="11"/>
      <c r="C1063" s="8"/>
      <c r="D1063" s="8"/>
      <c r="E1063" s="9"/>
      <c r="F1063" s="10"/>
      <c r="G1063" s="9"/>
      <c r="H1063" s="11"/>
      <c r="I1063" s="9" t="s">
        <v>13</v>
      </c>
      <c r="J1063" s="44"/>
    </row>
    <row r="1064">
      <c r="A1064" s="42" t="s">
        <v>330</v>
      </c>
      <c r="B1064" s="11"/>
      <c r="C1064" s="8"/>
      <c r="D1064" s="8"/>
      <c r="E1064" s="9"/>
      <c r="F1064" s="10"/>
      <c r="G1064" s="9"/>
      <c r="H1064" s="11"/>
      <c r="I1064" s="9" t="s">
        <v>13</v>
      </c>
      <c r="J1064" s="44"/>
    </row>
    <row r="1065">
      <c r="A1065" s="42" t="s">
        <v>330</v>
      </c>
      <c r="B1065" s="11"/>
      <c r="C1065" s="8"/>
      <c r="D1065" s="8"/>
      <c r="E1065" s="9"/>
      <c r="F1065" s="10"/>
      <c r="G1065" s="9"/>
      <c r="H1065" s="11"/>
      <c r="I1065" s="9" t="s">
        <v>13</v>
      </c>
      <c r="J1065" s="44"/>
    </row>
    <row r="1066">
      <c r="A1066" s="42" t="s">
        <v>330</v>
      </c>
      <c r="B1066" s="11"/>
      <c r="C1066" s="8"/>
      <c r="D1066" s="8"/>
      <c r="E1066" s="9"/>
      <c r="F1066" s="10"/>
      <c r="G1066" s="9"/>
      <c r="H1066" s="11"/>
      <c r="I1066" s="9" t="s">
        <v>13</v>
      </c>
      <c r="J1066" s="44"/>
    </row>
    <row r="1067">
      <c r="A1067" s="42" t="s">
        <v>330</v>
      </c>
      <c r="B1067" s="11"/>
      <c r="C1067" s="8"/>
      <c r="D1067" s="8"/>
      <c r="E1067" s="9"/>
      <c r="F1067" s="10"/>
      <c r="G1067" s="9"/>
      <c r="H1067" s="11"/>
      <c r="I1067" s="9" t="s">
        <v>13</v>
      </c>
      <c r="J1067" s="44"/>
    </row>
    <row r="1068">
      <c r="A1068" s="42" t="s">
        <v>330</v>
      </c>
      <c r="B1068" s="11"/>
      <c r="C1068" s="8"/>
      <c r="D1068" s="8"/>
      <c r="E1068" s="9"/>
      <c r="F1068" s="10"/>
      <c r="G1068" s="9"/>
      <c r="H1068" s="11"/>
      <c r="I1068" s="9" t="s">
        <v>13</v>
      </c>
      <c r="J1068" s="44"/>
    </row>
    <row r="1069">
      <c r="A1069" s="42" t="s">
        <v>330</v>
      </c>
      <c r="B1069" s="11"/>
      <c r="C1069" s="8"/>
      <c r="D1069" s="8"/>
      <c r="E1069" s="9"/>
      <c r="F1069" s="10"/>
      <c r="G1069" s="9"/>
      <c r="H1069" s="11"/>
      <c r="I1069" s="9" t="s">
        <v>13</v>
      </c>
      <c r="J1069" s="44"/>
    </row>
    <row r="1070">
      <c r="A1070" s="42" t="s">
        <v>330</v>
      </c>
      <c r="B1070" s="11"/>
      <c r="C1070" s="8"/>
      <c r="D1070" s="8"/>
      <c r="E1070" s="9"/>
      <c r="F1070" s="10"/>
      <c r="G1070" s="9"/>
      <c r="H1070" s="11"/>
      <c r="I1070" s="9" t="s">
        <v>13</v>
      </c>
      <c r="J1070" s="44"/>
    </row>
    <row r="1071">
      <c r="A1071" s="42" t="s">
        <v>330</v>
      </c>
      <c r="B1071" s="11"/>
      <c r="C1071" s="8"/>
      <c r="D1071" s="8"/>
      <c r="E1071" s="9"/>
      <c r="F1071" s="10"/>
      <c r="G1071" s="9"/>
      <c r="H1071" s="11"/>
      <c r="I1071" s="9" t="s">
        <v>13</v>
      </c>
      <c r="J1071" s="44"/>
    </row>
    <row r="1072">
      <c r="A1072" s="42" t="s">
        <v>330</v>
      </c>
      <c r="B1072" s="11"/>
      <c r="C1072" s="8"/>
      <c r="D1072" s="8"/>
      <c r="E1072" s="9"/>
      <c r="F1072" s="10"/>
      <c r="G1072" s="9"/>
      <c r="H1072" s="11"/>
      <c r="I1072" s="9" t="s">
        <v>13</v>
      </c>
      <c r="J1072" s="44"/>
    </row>
    <row r="1073">
      <c r="A1073" s="42" t="s">
        <v>330</v>
      </c>
      <c r="B1073" s="11"/>
      <c r="C1073" s="8"/>
      <c r="D1073" s="8"/>
      <c r="E1073" s="9"/>
      <c r="F1073" s="10"/>
      <c r="G1073" s="9"/>
      <c r="H1073" s="11"/>
      <c r="I1073" s="9" t="s">
        <v>13</v>
      </c>
      <c r="J1073" s="44"/>
    </row>
    <row r="1074">
      <c r="A1074" s="42" t="s">
        <v>330</v>
      </c>
      <c r="B1074" s="11"/>
      <c r="C1074" s="8"/>
      <c r="D1074" s="8"/>
      <c r="E1074" s="9"/>
      <c r="F1074" s="10"/>
      <c r="G1074" s="9"/>
      <c r="H1074" s="11"/>
      <c r="I1074" s="9" t="s">
        <v>13</v>
      </c>
      <c r="J1074" s="44"/>
    </row>
    <row r="1075">
      <c r="A1075" s="42" t="s">
        <v>330</v>
      </c>
      <c r="B1075" s="11"/>
      <c r="C1075" s="8"/>
      <c r="D1075" s="8"/>
      <c r="E1075" s="9"/>
      <c r="F1075" s="10"/>
      <c r="G1075" s="9"/>
      <c r="H1075" s="11"/>
      <c r="I1075" s="9" t="s">
        <v>13</v>
      </c>
      <c r="J1075" s="44"/>
    </row>
    <row r="1076">
      <c r="A1076" s="42" t="s">
        <v>330</v>
      </c>
      <c r="B1076" s="11"/>
      <c r="C1076" s="8"/>
      <c r="D1076" s="8"/>
      <c r="E1076" s="9"/>
      <c r="F1076" s="10"/>
      <c r="G1076" s="9"/>
      <c r="H1076" s="11"/>
      <c r="I1076" s="9" t="s">
        <v>13</v>
      </c>
      <c r="J1076" s="44"/>
    </row>
    <row r="1077">
      <c r="A1077" s="42" t="s">
        <v>330</v>
      </c>
      <c r="B1077" s="11"/>
      <c r="C1077" s="8"/>
      <c r="D1077" s="8"/>
      <c r="E1077" s="9"/>
      <c r="F1077" s="10"/>
      <c r="G1077" s="9"/>
      <c r="H1077" s="11"/>
      <c r="I1077" s="9" t="s">
        <v>13</v>
      </c>
      <c r="J1077" s="44"/>
    </row>
    <row r="1078">
      <c r="A1078" s="42" t="s">
        <v>330</v>
      </c>
      <c r="B1078" s="11"/>
      <c r="C1078" s="8"/>
      <c r="D1078" s="8"/>
      <c r="E1078" s="9"/>
      <c r="F1078" s="10"/>
      <c r="G1078" s="9"/>
      <c r="H1078" s="11"/>
      <c r="I1078" s="9" t="s">
        <v>13</v>
      </c>
      <c r="J1078" s="44"/>
    </row>
    <row r="1079">
      <c r="A1079" s="42" t="s">
        <v>330</v>
      </c>
      <c r="B1079" s="11"/>
      <c r="C1079" s="8"/>
      <c r="D1079" s="8"/>
      <c r="E1079" s="9"/>
      <c r="F1079" s="10"/>
      <c r="G1079" s="9"/>
      <c r="H1079" s="11"/>
      <c r="I1079" s="9" t="s">
        <v>13</v>
      </c>
      <c r="J1079" s="44"/>
    </row>
    <row r="1080">
      <c r="A1080" s="42" t="s">
        <v>330</v>
      </c>
      <c r="B1080" s="11"/>
      <c r="C1080" s="8"/>
      <c r="D1080" s="8"/>
      <c r="E1080" s="9"/>
      <c r="F1080" s="10"/>
      <c r="G1080" s="9"/>
      <c r="H1080" s="11"/>
      <c r="I1080" s="9" t="s">
        <v>13</v>
      </c>
      <c r="J1080" s="44"/>
    </row>
    <row r="1081">
      <c r="A1081" s="42" t="s">
        <v>330</v>
      </c>
      <c r="B1081" s="11"/>
      <c r="C1081" s="8"/>
      <c r="D1081" s="8"/>
      <c r="E1081" s="9"/>
      <c r="F1081" s="10"/>
      <c r="G1081" s="9"/>
      <c r="H1081" s="11"/>
      <c r="I1081" s="9" t="s">
        <v>13</v>
      </c>
      <c r="J1081" s="44"/>
    </row>
    <row r="1082">
      <c r="A1082" s="42" t="s">
        <v>330</v>
      </c>
      <c r="B1082" s="11"/>
      <c r="C1082" s="8"/>
      <c r="D1082" s="8"/>
      <c r="E1082" s="9"/>
      <c r="F1082" s="10"/>
      <c r="G1082" s="9"/>
      <c r="H1082" s="11"/>
      <c r="I1082" s="9" t="s">
        <v>13</v>
      </c>
      <c r="J1082" s="44"/>
    </row>
    <row r="1083">
      <c r="A1083" s="42" t="s">
        <v>330</v>
      </c>
      <c r="B1083" s="11"/>
      <c r="C1083" s="8"/>
      <c r="D1083" s="8"/>
      <c r="E1083" s="9"/>
      <c r="F1083" s="10"/>
      <c r="G1083" s="9"/>
      <c r="H1083" s="11"/>
      <c r="I1083" s="9" t="s">
        <v>13</v>
      </c>
      <c r="J1083" s="44"/>
    </row>
    <row r="1084">
      <c r="A1084" s="42" t="s">
        <v>330</v>
      </c>
      <c r="B1084" s="11"/>
      <c r="C1084" s="8"/>
      <c r="D1084" s="8"/>
      <c r="E1084" s="9"/>
      <c r="F1084" s="10"/>
      <c r="G1084" s="9"/>
      <c r="H1084" s="11"/>
      <c r="I1084" s="9" t="s">
        <v>13</v>
      </c>
      <c r="J1084" s="44"/>
    </row>
    <row r="1085">
      <c r="A1085" s="42" t="s">
        <v>330</v>
      </c>
      <c r="B1085" s="11"/>
      <c r="C1085" s="8"/>
      <c r="D1085" s="8"/>
      <c r="E1085" s="9"/>
      <c r="F1085" s="10"/>
      <c r="G1085" s="9"/>
      <c r="H1085" s="11"/>
      <c r="I1085" s="9" t="s">
        <v>13</v>
      </c>
      <c r="J1085" s="44"/>
    </row>
    <row r="1086">
      <c r="A1086" s="42" t="s">
        <v>330</v>
      </c>
      <c r="B1086" s="11"/>
      <c r="C1086" s="8"/>
      <c r="D1086" s="8"/>
      <c r="E1086" s="9"/>
      <c r="F1086" s="10"/>
      <c r="G1086" s="9"/>
      <c r="H1086" s="11"/>
      <c r="I1086" s="9" t="s">
        <v>13</v>
      </c>
      <c r="J1086" s="44"/>
    </row>
    <row r="1087">
      <c r="A1087" s="42" t="s">
        <v>330</v>
      </c>
      <c r="B1087" s="11"/>
      <c r="C1087" s="8"/>
      <c r="D1087" s="8"/>
      <c r="E1087" s="9"/>
      <c r="F1087" s="10"/>
      <c r="G1087" s="9"/>
      <c r="H1087" s="11"/>
      <c r="I1087" s="9" t="s">
        <v>13</v>
      </c>
      <c r="J1087" s="44"/>
    </row>
    <row r="1088">
      <c r="A1088" s="42" t="s">
        <v>330</v>
      </c>
      <c r="B1088" s="11"/>
      <c r="C1088" s="8"/>
      <c r="D1088" s="8"/>
      <c r="E1088" s="9"/>
      <c r="F1088" s="10"/>
      <c r="G1088" s="9"/>
      <c r="H1088" s="11"/>
      <c r="I1088" s="9" t="s">
        <v>13</v>
      </c>
      <c r="J1088" s="44"/>
    </row>
  </sheetData>
  <mergeCells count="1">
    <mergeCell ref="A1:J1"/>
  </mergeCells>
  <conditionalFormatting sqref="A1:J1088">
    <cfRule type="containsText" dxfId="0" priority="1" operator="containsText" text="FAB A FAIRE">
      <formula>NOT(ISERROR(SEARCH(("FAB A FAIRE"),(A1))))</formula>
    </cfRule>
  </conditionalFormatting>
  <conditionalFormatting sqref="B3:H1088">
    <cfRule type="expression" dxfId="1" priority="2">
      <formula>$G3="Stand-by"</formula>
    </cfRule>
  </conditionalFormatting>
  <conditionalFormatting sqref="G2:G1088">
    <cfRule type="cellIs" dxfId="2" priority="3" operator="equal">
      <formula>"A faire"</formula>
    </cfRule>
  </conditionalFormatting>
  <conditionalFormatting sqref="G2:G1088">
    <cfRule type="cellIs" dxfId="3" priority="4" operator="equal">
      <formula>"En cours"</formula>
    </cfRule>
  </conditionalFormatting>
  <conditionalFormatting sqref="B3:H1088">
    <cfRule type="expression" dxfId="4" priority="5">
      <formula>$G3="Sur T.L."</formula>
    </cfRule>
  </conditionalFormatting>
  <conditionalFormatting sqref="G2:G1088">
    <cfRule type="cellIs" dxfId="5" priority="6" operator="equal">
      <formula>"Attente R."</formula>
    </cfRule>
  </conditionalFormatting>
  <conditionalFormatting sqref="F2:F1088">
    <cfRule type="timePeriod" dxfId="6" priority="7" timePeriod="today"/>
  </conditionalFormatting>
  <conditionalFormatting sqref="F2:F1088">
    <cfRule type="expression" dxfId="7" priority="8">
      <formula>AND(ISNUMBER(F2),TRUNC(F2)&lt;TODAY())</formula>
    </cfRule>
  </conditionalFormatting>
  <conditionalFormatting sqref="G2:G1088">
    <cfRule type="cellIs" dxfId="8" priority="9" operator="equal">
      <formula>"Mairie"</formula>
    </cfRule>
  </conditionalFormatting>
  <conditionalFormatting sqref="H2:H1088">
    <cfRule type="containsText" dxfId="9" priority="10" operator="containsText" text="REPRISE DOSSIER CAROLE">
      <formula>NOT(ISERROR(SEARCH(("REPRISE DOSSIER CAROLE"),(H2))))</formula>
    </cfRule>
  </conditionalFormatting>
  <dataValidations>
    <dataValidation type="list" allowBlank="1" sqref="G3:G1088">
      <formula1>"-,A faire,En cours,Attente R.,Stand-by,Sur T.L.,Mairie"</formula1>
    </dataValidation>
    <dataValidation type="list" allowBlank="1" sqref="E89:E1088">
      <formula1>"-,M,A"</formula1>
    </dataValidation>
    <dataValidation type="list" allowBlank="1" sqref="E3:E88">
      <formula1>"-,M,A,D"</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C7E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1.88"/>
    <col customWidth="1" min="8" max="8" width="101.38"/>
    <col customWidth="1" min="9" max="9" width="11.63"/>
    <col customWidth="1" min="10" max="10" width="2.63"/>
  </cols>
  <sheetData>
    <row r="1" ht="24.0" customHeight="1">
      <c r="A1" s="48" t="s">
        <v>331</v>
      </c>
    </row>
    <row r="2">
      <c r="A2" s="70"/>
      <c r="B2" s="50" t="s">
        <v>1</v>
      </c>
      <c r="C2" s="51" t="s">
        <v>2</v>
      </c>
      <c r="D2" s="51" t="s">
        <v>3</v>
      </c>
      <c r="E2" s="52" t="s">
        <v>4</v>
      </c>
      <c r="F2" s="51" t="s">
        <v>5</v>
      </c>
      <c r="G2" s="52" t="s">
        <v>6</v>
      </c>
      <c r="H2" s="52" t="s">
        <v>7</v>
      </c>
      <c r="I2" s="52" t="s">
        <v>8</v>
      </c>
      <c r="J2" s="53"/>
    </row>
    <row r="3">
      <c r="A3" s="54"/>
      <c r="B3" s="7"/>
      <c r="C3" s="8"/>
      <c r="D3" s="8"/>
      <c r="E3" s="9"/>
      <c r="F3" s="9"/>
      <c r="G3" s="9"/>
      <c r="H3" s="7"/>
      <c r="I3" s="9"/>
      <c r="J3" s="55"/>
    </row>
    <row r="4">
      <c r="A4" s="54" t="s">
        <v>332</v>
      </c>
      <c r="B4" s="7"/>
      <c r="C4" s="8"/>
      <c r="D4" s="8"/>
      <c r="E4" s="9"/>
      <c r="F4" s="8"/>
      <c r="G4" s="9"/>
      <c r="H4" s="7"/>
      <c r="I4" s="9"/>
      <c r="J4" s="55"/>
    </row>
    <row r="5">
      <c r="A5" s="54" t="s">
        <v>332</v>
      </c>
      <c r="B5" s="7"/>
      <c r="C5" s="8"/>
      <c r="D5" s="8"/>
      <c r="E5" s="9"/>
      <c r="F5" s="8"/>
      <c r="G5" s="9"/>
      <c r="H5" s="7"/>
      <c r="I5" s="9"/>
      <c r="J5" s="55"/>
    </row>
    <row r="6">
      <c r="A6" s="54" t="s">
        <v>332</v>
      </c>
      <c r="B6" s="7"/>
      <c r="C6" s="8"/>
      <c r="D6" s="8"/>
      <c r="E6" s="9"/>
      <c r="F6" s="71"/>
      <c r="G6" s="9"/>
      <c r="H6" s="7"/>
      <c r="I6" s="9"/>
      <c r="J6" s="55"/>
    </row>
    <row r="7">
      <c r="A7" s="54" t="s">
        <v>332</v>
      </c>
      <c r="B7" s="7"/>
      <c r="C7" s="8"/>
      <c r="D7" s="8"/>
      <c r="E7" s="9"/>
      <c r="F7" s="8"/>
      <c r="G7" s="9"/>
      <c r="H7" s="7"/>
      <c r="I7" s="9"/>
      <c r="J7" s="55"/>
    </row>
    <row r="8">
      <c r="A8" s="54" t="s">
        <v>332</v>
      </c>
      <c r="B8" s="7"/>
      <c r="C8" s="8"/>
      <c r="D8" s="8"/>
      <c r="E8" s="9"/>
      <c r="F8" s="8"/>
      <c r="G8" s="9"/>
      <c r="H8" s="7"/>
      <c r="I8" s="9"/>
      <c r="J8" s="55"/>
    </row>
    <row r="9">
      <c r="A9" s="54" t="s">
        <v>332</v>
      </c>
      <c r="B9" s="7"/>
      <c r="C9" s="8"/>
      <c r="D9" s="8"/>
      <c r="E9" s="9"/>
      <c r="F9" s="8"/>
      <c r="G9" s="9"/>
      <c r="H9" s="7"/>
      <c r="I9" s="9"/>
      <c r="J9" s="55"/>
    </row>
    <row r="10">
      <c r="A10" s="54" t="s">
        <v>332</v>
      </c>
      <c r="B10" s="7"/>
      <c r="C10" s="8"/>
      <c r="D10" s="8"/>
      <c r="E10" s="9"/>
      <c r="F10" s="71"/>
      <c r="G10" s="9"/>
      <c r="H10" s="7"/>
      <c r="I10" s="9"/>
      <c r="J10" s="55"/>
    </row>
    <row r="11">
      <c r="A11" s="54" t="s">
        <v>332</v>
      </c>
      <c r="B11" s="7"/>
      <c r="C11" s="8"/>
      <c r="D11" s="8"/>
      <c r="E11" s="9"/>
      <c r="F11" s="9"/>
      <c r="G11" s="9"/>
      <c r="H11" s="7"/>
      <c r="I11" s="9"/>
      <c r="J11" s="55"/>
    </row>
    <row r="12">
      <c r="A12" s="54" t="s">
        <v>332</v>
      </c>
      <c r="B12" s="7"/>
      <c r="C12" s="8"/>
      <c r="D12" s="8"/>
      <c r="E12" s="9"/>
      <c r="F12" s="9"/>
      <c r="G12" s="9"/>
      <c r="H12" s="7"/>
      <c r="I12" s="9"/>
      <c r="J12" s="55"/>
    </row>
    <row r="13">
      <c r="A13" s="54" t="s">
        <v>332</v>
      </c>
      <c r="B13" s="7"/>
      <c r="C13" s="8"/>
      <c r="D13" s="8"/>
      <c r="E13" s="9"/>
      <c r="F13" s="71"/>
      <c r="G13" s="9"/>
      <c r="H13" s="7"/>
      <c r="I13" s="9"/>
      <c r="J13" s="55"/>
    </row>
    <row r="14">
      <c r="A14" s="54"/>
      <c r="B14" s="7"/>
      <c r="C14" s="8"/>
      <c r="D14" s="8"/>
      <c r="E14" s="9"/>
      <c r="F14" s="8"/>
      <c r="G14" s="9"/>
      <c r="H14" s="7"/>
      <c r="I14" s="9"/>
      <c r="J14" s="55"/>
    </row>
    <row r="15">
      <c r="A15" s="54" t="s">
        <v>332</v>
      </c>
      <c r="B15" s="11"/>
      <c r="C15" s="8" t="s">
        <v>11</v>
      </c>
      <c r="D15" s="8" t="str">
        <f t="shared" ref="D15:D370" si="1">IFERROR(_xlfn.WORKDAY.INTL(C15, 2),"-")</f>
        <v>-</v>
      </c>
      <c r="E15" s="9" t="s">
        <v>11</v>
      </c>
      <c r="F15" s="10"/>
      <c r="G15" s="9"/>
      <c r="H15" s="11"/>
      <c r="I15" s="9" t="s">
        <v>13</v>
      </c>
      <c r="J15" s="55"/>
    </row>
    <row r="16">
      <c r="A16" s="54" t="s">
        <v>332</v>
      </c>
      <c r="B16" s="11"/>
      <c r="C16" s="8" t="s">
        <v>11</v>
      </c>
      <c r="D16" s="8" t="str">
        <f t="shared" si="1"/>
        <v>-</v>
      </c>
      <c r="E16" s="9" t="s">
        <v>11</v>
      </c>
      <c r="F16" s="10"/>
      <c r="G16" s="9"/>
      <c r="H16" s="11"/>
      <c r="I16" s="9" t="s">
        <v>13</v>
      </c>
      <c r="J16" s="55"/>
    </row>
    <row r="17">
      <c r="A17" s="54" t="s">
        <v>332</v>
      </c>
      <c r="B17" s="11"/>
      <c r="C17" s="8" t="s">
        <v>11</v>
      </c>
      <c r="D17" s="8" t="str">
        <f t="shared" si="1"/>
        <v>-</v>
      </c>
      <c r="E17" s="9" t="s">
        <v>11</v>
      </c>
      <c r="F17" s="10"/>
      <c r="G17" s="9"/>
      <c r="H17" s="11"/>
      <c r="I17" s="9" t="s">
        <v>13</v>
      </c>
      <c r="J17" s="55"/>
    </row>
    <row r="18">
      <c r="A18" s="54" t="s">
        <v>332</v>
      </c>
      <c r="B18" s="11"/>
      <c r="C18" s="8" t="s">
        <v>11</v>
      </c>
      <c r="D18" s="8" t="str">
        <f t="shared" si="1"/>
        <v>-</v>
      </c>
      <c r="E18" s="9" t="s">
        <v>11</v>
      </c>
      <c r="F18" s="10"/>
      <c r="G18" s="9"/>
      <c r="H18" s="11"/>
      <c r="I18" s="9" t="s">
        <v>13</v>
      </c>
      <c r="J18" s="55"/>
    </row>
    <row r="19">
      <c r="A19" s="54" t="s">
        <v>332</v>
      </c>
      <c r="B19" s="11"/>
      <c r="C19" s="8" t="s">
        <v>11</v>
      </c>
      <c r="D19" s="8" t="str">
        <f t="shared" si="1"/>
        <v>-</v>
      </c>
      <c r="E19" s="9" t="s">
        <v>11</v>
      </c>
      <c r="F19" s="10"/>
      <c r="G19" s="9"/>
      <c r="H19" s="11"/>
      <c r="I19" s="9" t="s">
        <v>13</v>
      </c>
      <c r="J19" s="55"/>
    </row>
    <row r="20">
      <c r="A20" s="54" t="s">
        <v>332</v>
      </c>
      <c r="B20" s="11"/>
      <c r="C20" s="8" t="s">
        <v>11</v>
      </c>
      <c r="D20" s="8" t="str">
        <f t="shared" si="1"/>
        <v>-</v>
      </c>
      <c r="E20" s="9" t="s">
        <v>11</v>
      </c>
      <c r="F20" s="10"/>
      <c r="G20" s="9"/>
      <c r="H20" s="11"/>
      <c r="I20" s="9" t="s">
        <v>13</v>
      </c>
      <c r="J20" s="55"/>
    </row>
    <row r="21">
      <c r="A21" s="54" t="s">
        <v>332</v>
      </c>
      <c r="B21" s="11"/>
      <c r="C21" s="8" t="s">
        <v>11</v>
      </c>
      <c r="D21" s="8" t="str">
        <f t="shared" si="1"/>
        <v>-</v>
      </c>
      <c r="E21" s="9" t="s">
        <v>11</v>
      </c>
      <c r="F21" s="10"/>
      <c r="G21" s="9"/>
      <c r="H21" s="11"/>
      <c r="I21" s="9" t="s">
        <v>13</v>
      </c>
      <c r="J21" s="55"/>
    </row>
    <row r="22">
      <c r="A22" s="54" t="s">
        <v>332</v>
      </c>
      <c r="B22" s="11"/>
      <c r="C22" s="8" t="s">
        <v>11</v>
      </c>
      <c r="D22" s="8" t="str">
        <f t="shared" si="1"/>
        <v>-</v>
      </c>
      <c r="E22" s="9" t="s">
        <v>11</v>
      </c>
      <c r="F22" s="10"/>
      <c r="G22" s="9"/>
      <c r="H22" s="11"/>
      <c r="I22" s="9" t="s">
        <v>13</v>
      </c>
      <c r="J22" s="55"/>
    </row>
    <row r="23">
      <c r="A23" s="54" t="s">
        <v>332</v>
      </c>
      <c r="B23" s="11"/>
      <c r="C23" s="8" t="s">
        <v>11</v>
      </c>
      <c r="D23" s="8" t="str">
        <f t="shared" si="1"/>
        <v>-</v>
      </c>
      <c r="E23" s="9" t="s">
        <v>11</v>
      </c>
      <c r="F23" s="10"/>
      <c r="G23" s="9"/>
      <c r="H23" s="11"/>
      <c r="I23" s="9" t="s">
        <v>13</v>
      </c>
      <c r="J23" s="55"/>
    </row>
    <row r="24">
      <c r="A24" s="54" t="s">
        <v>332</v>
      </c>
      <c r="B24" s="11"/>
      <c r="C24" s="8" t="s">
        <v>11</v>
      </c>
      <c r="D24" s="8" t="str">
        <f t="shared" si="1"/>
        <v>-</v>
      </c>
      <c r="E24" s="9" t="s">
        <v>11</v>
      </c>
      <c r="F24" s="10"/>
      <c r="G24" s="9"/>
      <c r="H24" s="11"/>
      <c r="I24" s="9" t="s">
        <v>13</v>
      </c>
      <c r="J24" s="55"/>
    </row>
    <row r="25">
      <c r="A25" s="54" t="s">
        <v>332</v>
      </c>
      <c r="B25" s="11"/>
      <c r="C25" s="8" t="s">
        <v>11</v>
      </c>
      <c r="D25" s="8" t="str">
        <f t="shared" si="1"/>
        <v>-</v>
      </c>
      <c r="E25" s="9" t="s">
        <v>11</v>
      </c>
      <c r="F25" s="10"/>
      <c r="G25" s="9"/>
      <c r="H25" s="11"/>
      <c r="I25" s="9" t="s">
        <v>13</v>
      </c>
      <c r="J25" s="55"/>
    </row>
    <row r="26">
      <c r="A26" s="54" t="s">
        <v>332</v>
      </c>
      <c r="B26" s="11"/>
      <c r="C26" s="8" t="s">
        <v>11</v>
      </c>
      <c r="D26" s="8" t="str">
        <f t="shared" si="1"/>
        <v>-</v>
      </c>
      <c r="E26" s="9" t="s">
        <v>11</v>
      </c>
      <c r="F26" s="10"/>
      <c r="G26" s="9"/>
      <c r="H26" s="11"/>
      <c r="I26" s="9" t="s">
        <v>13</v>
      </c>
      <c r="J26" s="55"/>
    </row>
    <row r="27">
      <c r="A27" s="54" t="s">
        <v>332</v>
      </c>
      <c r="B27" s="11"/>
      <c r="C27" s="8" t="s">
        <v>11</v>
      </c>
      <c r="D27" s="8" t="str">
        <f t="shared" si="1"/>
        <v>-</v>
      </c>
      <c r="E27" s="9" t="s">
        <v>11</v>
      </c>
      <c r="F27" s="10"/>
      <c r="G27" s="9"/>
      <c r="H27" s="11"/>
      <c r="I27" s="9" t="s">
        <v>13</v>
      </c>
      <c r="J27" s="55"/>
    </row>
    <row r="28">
      <c r="A28" s="54" t="s">
        <v>332</v>
      </c>
      <c r="B28" s="11"/>
      <c r="C28" s="8" t="s">
        <v>11</v>
      </c>
      <c r="D28" s="8" t="str">
        <f t="shared" si="1"/>
        <v>-</v>
      </c>
      <c r="E28" s="9" t="s">
        <v>11</v>
      </c>
      <c r="F28" s="10"/>
      <c r="G28" s="9"/>
      <c r="H28" s="11"/>
      <c r="I28" s="9" t="s">
        <v>13</v>
      </c>
      <c r="J28" s="55"/>
    </row>
    <row r="29">
      <c r="A29" s="54" t="s">
        <v>332</v>
      </c>
      <c r="B29" s="11"/>
      <c r="C29" s="8" t="s">
        <v>11</v>
      </c>
      <c r="D29" s="8" t="str">
        <f t="shared" si="1"/>
        <v>-</v>
      </c>
      <c r="E29" s="9" t="s">
        <v>11</v>
      </c>
      <c r="F29" s="10"/>
      <c r="G29" s="9"/>
      <c r="H29" s="11"/>
      <c r="I29" s="9" t="s">
        <v>13</v>
      </c>
      <c r="J29" s="55"/>
    </row>
    <row r="30">
      <c r="A30" s="54" t="s">
        <v>332</v>
      </c>
      <c r="B30" s="11"/>
      <c r="C30" s="8" t="s">
        <v>11</v>
      </c>
      <c r="D30" s="8" t="str">
        <f t="shared" si="1"/>
        <v>-</v>
      </c>
      <c r="E30" s="9" t="s">
        <v>11</v>
      </c>
      <c r="F30" s="10"/>
      <c r="G30" s="9"/>
      <c r="H30" s="11"/>
      <c r="I30" s="9" t="s">
        <v>13</v>
      </c>
      <c r="J30" s="55"/>
    </row>
    <row r="31">
      <c r="A31" s="54" t="s">
        <v>332</v>
      </c>
      <c r="B31" s="11"/>
      <c r="C31" s="8" t="s">
        <v>11</v>
      </c>
      <c r="D31" s="8" t="str">
        <f t="shared" si="1"/>
        <v>-</v>
      </c>
      <c r="E31" s="9" t="s">
        <v>11</v>
      </c>
      <c r="F31" s="10"/>
      <c r="G31" s="9"/>
      <c r="H31" s="11"/>
      <c r="I31" s="9" t="s">
        <v>13</v>
      </c>
      <c r="J31" s="55"/>
    </row>
    <row r="32">
      <c r="A32" s="54" t="s">
        <v>332</v>
      </c>
      <c r="B32" s="11"/>
      <c r="C32" s="8" t="s">
        <v>11</v>
      </c>
      <c r="D32" s="8" t="str">
        <f t="shared" si="1"/>
        <v>-</v>
      </c>
      <c r="E32" s="9" t="s">
        <v>11</v>
      </c>
      <c r="F32" s="10"/>
      <c r="G32" s="9"/>
      <c r="H32" s="11"/>
      <c r="I32" s="9" t="s">
        <v>13</v>
      </c>
      <c r="J32" s="55"/>
    </row>
    <row r="33">
      <c r="A33" s="54" t="s">
        <v>332</v>
      </c>
      <c r="B33" s="11"/>
      <c r="C33" s="8" t="s">
        <v>11</v>
      </c>
      <c r="D33" s="8" t="str">
        <f t="shared" si="1"/>
        <v>-</v>
      </c>
      <c r="E33" s="9" t="s">
        <v>11</v>
      </c>
      <c r="F33" s="10"/>
      <c r="G33" s="9"/>
      <c r="H33" s="11"/>
      <c r="I33" s="9" t="s">
        <v>13</v>
      </c>
      <c r="J33" s="55"/>
    </row>
    <row r="34">
      <c r="A34" s="54" t="s">
        <v>332</v>
      </c>
      <c r="B34" s="11"/>
      <c r="C34" s="8" t="s">
        <v>11</v>
      </c>
      <c r="D34" s="8" t="str">
        <f t="shared" si="1"/>
        <v>-</v>
      </c>
      <c r="E34" s="9" t="s">
        <v>11</v>
      </c>
      <c r="F34" s="10"/>
      <c r="G34" s="9"/>
      <c r="H34" s="11"/>
      <c r="I34" s="9" t="s">
        <v>13</v>
      </c>
      <c r="J34" s="55"/>
    </row>
    <row r="35">
      <c r="A35" s="54" t="s">
        <v>332</v>
      </c>
      <c r="B35" s="11"/>
      <c r="C35" s="8" t="s">
        <v>11</v>
      </c>
      <c r="D35" s="8" t="str">
        <f t="shared" si="1"/>
        <v>-</v>
      </c>
      <c r="E35" s="9" t="s">
        <v>11</v>
      </c>
      <c r="F35" s="10"/>
      <c r="G35" s="9"/>
      <c r="H35" s="11"/>
      <c r="I35" s="9" t="s">
        <v>13</v>
      </c>
      <c r="J35" s="55"/>
    </row>
    <row r="36">
      <c r="A36" s="54" t="s">
        <v>332</v>
      </c>
      <c r="B36" s="11"/>
      <c r="C36" s="8" t="s">
        <v>11</v>
      </c>
      <c r="D36" s="8" t="str">
        <f t="shared" si="1"/>
        <v>-</v>
      </c>
      <c r="E36" s="9" t="s">
        <v>11</v>
      </c>
      <c r="F36" s="10"/>
      <c r="G36" s="9"/>
      <c r="H36" s="11"/>
      <c r="I36" s="9" t="s">
        <v>13</v>
      </c>
      <c r="J36" s="55"/>
    </row>
    <row r="37">
      <c r="A37" s="54" t="s">
        <v>332</v>
      </c>
      <c r="B37" s="11"/>
      <c r="C37" s="8" t="s">
        <v>11</v>
      </c>
      <c r="D37" s="8" t="str">
        <f t="shared" si="1"/>
        <v>-</v>
      </c>
      <c r="E37" s="9" t="s">
        <v>11</v>
      </c>
      <c r="F37" s="10"/>
      <c r="G37" s="9"/>
      <c r="H37" s="11"/>
      <c r="I37" s="9" t="s">
        <v>13</v>
      </c>
      <c r="J37" s="55"/>
    </row>
    <row r="38">
      <c r="A38" s="54" t="s">
        <v>332</v>
      </c>
      <c r="B38" s="11"/>
      <c r="C38" s="8" t="s">
        <v>11</v>
      </c>
      <c r="D38" s="8" t="str">
        <f t="shared" si="1"/>
        <v>-</v>
      </c>
      <c r="E38" s="9" t="s">
        <v>11</v>
      </c>
      <c r="F38" s="10"/>
      <c r="G38" s="9"/>
      <c r="H38" s="11"/>
      <c r="I38" s="9" t="s">
        <v>13</v>
      </c>
      <c r="J38" s="55"/>
    </row>
    <row r="39">
      <c r="A39" s="54" t="s">
        <v>332</v>
      </c>
      <c r="B39" s="11"/>
      <c r="C39" s="8" t="s">
        <v>11</v>
      </c>
      <c r="D39" s="8" t="str">
        <f t="shared" si="1"/>
        <v>-</v>
      </c>
      <c r="E39" s="9" t="s">
        <v>11</v>
      </c>
      <c r="F39" s="10"/>
      <c r="G39" s="9"/>
      <c r="H39" s="11"/>
      <c r="I39" s="9" t="s">
        <v>13</v>
      </c>
      <c r="J39" s="55"/>
    </row>
    <row r="40">
      <c r="A40" s="54" t="s">
        <v>332</v>
      </c>
      <c r="B40" s="11"/>
      <c r="C40" s="8" t="s">
        <v>11</v>
      </c>
      <c r="D40" s="8" t="str">
        <f t="shared" si="1"/>
        <v>-</v>
      </c>
      <c r="E40" s="9" t="s">
        <v>11</v>
      </c>
      <c r="F40" s="10"/>
      <c r="G40" s="9"/>
      <c r="H40" s="11"/>
      <c r="I40" s="9" t="s">
        <v>13</v>
      </c>
      <c r="J40" s="55"/>
    </row>
    <row r="41">
      <c r="A41" s="54" t="s">
        <v>332</v>
      </c>
      <c r="B41" s="11"/>
      <c r="C41" s="8" t="s">
        <v>11</v>
      </c>
      <c r="D41" s="8" t="str">
        <f t="shared" si="1"/>
        <v>-</v>
      </c>
      <c r="E41" s="9" t="s">
        <v>11</v>
      </c>
      <c r="F41" s="10"/>
      <c r="G41" s="9"/>
      <c r="H41" s="11"/>
      <c r="I41" s="9" t="s">
        <v>13</v>
      </c>
      <c r="J41" s="55"/>
    </row>
    <row r="42">
      <c r="A42" s="54" t="s">
        <v>332</v>
      </c>
      <c r="B42" s="11"/>
      <c r="C42" s="8" t="s">
        <v>11</v>
      </c>
      <c r="D42" s="8" t="str">
        <f t="shared" si="1"/>
        <v>-</v>
      </c>
      <c r="E42" s="9" t="s">
        <v>11</v>
      </c>
      <c r="F42" s="10"/>
      <c r="G42" s="9"/>
      <c r="H42" s="11"/>
      <c r="I42" s="9" t="s">
        <v>13</v>
      </c>
      <c r="J42" s="55"/>
    </row>
    <row r="43">
      <c r="A43" s="54" t="s">
        <v>332</v>
      </c>
      <c r="B43" s="11"/>
      <c r="C43" s="8" t="s">
        <v>11</v>
      </c>
      <c r="D43" s="8" t="str">
        <f t="shared" si="1"/>
        <v>-</v>
      </c>
      <c r="E43" s="9" t="s">
        <v>11</v>
      </c>
      <c r="F43" s="10"/>
      <c r="G43" s="9"/>
      <c r="H43" s="11"/>
      <c r="I43" s="9" t="s">
        <v>13</v>
      </c>
      <c r="J43" s="55"/>
    </row>
    <row r="44">
      <c r="A44" s="54" t="s">
        <v>332</v>
      </c>
      <c r="B44" s="11"/>
      <c r="C44" s="8" t="s">
        <v>11</v>
      </c>
      <c r="D44" s="8" t="str">
        <f t="shared" si="1"/>
        <v>-</v>
      </c>
      <c r="E44" s="9" t="s">
        <v>11</v>
      </c>
      <c r="F44" s="10"/>
      <c r="G44" s="9"/>
      <c r="H44" s="11"/>
      <c r="I44" s="9" t="s">
        <v>13</v>
      </c>
      <c r="J44" s="55"/>
    </row>
    <row r="45">
      <c r="A45" s="54" t="s">
        <v>332</v>
      </c>
      <c r="B45" s="11"/>
      <c r="C45" s="8" t="s">
        <v>11</v>
      </c>
      <c r="D45" s="8" t="str">
        <f t="shared" si="1"/>
        <v>-</v>
      </c>
      <c r="E45" s="9" t="s">
        <v>11</v>
      </c>
      <c r="F45" s="10"/>
      <c r="G45" s="9"/>
      <c r="H45" s="11"/>
      <c r="I45" s="9" t="s">
        <v>13</v>
      </c>
      <c r="J45" s="55"/>
    </row>
    <row r="46">
      <c r="A46" s="54" t="s">
        <v>332</v>
      </c>
      <c r="B46" s="11"/>
      <c r="C46" s="8" t="s">
        <v>11</v>
      </c>
      <c r="D46" s="8" t="str">
        <f t="shared" si="1"/>
        <v>-</v>
      </c>
      <c r="E46" s="9" t="s">
        <v>11</v>
      </c>
      <c r="F46" s="10"/>
      <c r="G46" s="9"/>
      <c r="H46" s="11"/>
      <c r="I46" s="9" t="s">
        <v>13</v>
      </c>
      <c r="J46" s="55"/>
    </row>
    <row r="47">
      <c r="A47" s="54" t="s">
        <v>332</v>
      </c>
      <c r="B47" s="11"/>
      <c r="C47" s="8" t="s">
        <v>11</v>
      </c>
      <c r="D47" s="8" t="str">
        <f t="shared" si="1"/>
        <v>-</v>
      </c>
      <c r="E47" s="9" t="s">
        <v>11</v>
      </c>
      <c r="F47" s="10"/>
      <c r="G47" s="9"/>
      <c r="H47" s="11"/>
      <c r="I47" s="9" t="s">
        <v>13</v>
      </c>
      <c r="J47" s="55"/>
    </row>
    <row r="48">
      <c r="A48" s="54" t="s">
        <v>332</v>
      </c>
      <c r="B48" s="11"/>
      <c r="C48" s="8" t="s">
        <v>11</v>
      </c>
      <c r="D48" s="8" t="str">
        <f t="shared" si="1"/>
        <v>-</v>
      </c>
      <c r="E48" s="9" t="s">
        <v>11</v>
      </c>
      <c r="F48" s="10"/>
      <c r="G48" s="9"/>
      <c r="H48" s="11"/>
      <c r="I48" s="9" t="s">
        <v>13</v>
      </c>
      <c r="J48" s="55"/>
    </row>
    <row r="49">
      <c r="A49" s="54" t="s">
        <v>332</v>
      </c>
      <c r="B49" s="11"/>
      <c r="C49" s="8" t="s">
        <v>11</v>
      </c>
      <c r="D49" s="8" t="str">
        <f t="shared" si="1"/>
        <v>-</v>
      </c>
      <c r="E49" s="9" t="s">
        <v>11</v>
      </c>
      <c r="F49" s="10"/>
      <c r="G49" s="9"/>
      <c r="H49" s="11"/>
      <c r="I49" s="9" t="s">
        <v>13</v>
      </c>
      <c r="J49" s="55"/>
    </row>
    <row r="50">
      <c r="A50" s="54" t="s">
        <v>332</v>
      </c>
      <c r="B50" s="11"/>
      <c r="C50" s="8" t="s">
        <v>11</v>
      </c>
      <c r="D50" s="8" t="str">
        <f t="shared" si="1"/>
        <v>-</v>
      </c>
      <c r="E50" s="9" t="s">
        <v>11</v>
      </c>
      <c r="F50" s="10"/>
      <c r="G50" s="9"/>
      <c r="H50" s="11"/>
      <c r="I50" s="9" t="s">
        <v>13</v>
      </c>
      <c r="J50" s="55"/>
    </row>
    <row r="51">
      <c r="A51" s="54" t="s">
        <v>332</v>
      </c>
      <c r="B51" s="11"/>
      <c r="C51" s="8" t="s">
        <v>11</v>
      </c>
      <c r="D51" s="8" t="str">
        <f t="shared" si="1"/>
        <v>-</v>
      </c>
      <c r="E51" s="9" t="s">
        <v>11</v>
      </c>
      <c r="F51" s="10"/>
      <c r="G51" s="9"/>
      <c r="H51" s="11"/>
      <c r="I51" s="9" t="s">
        <v>13</v>
      </c>
      <c r="J51" s="55"/>
    </row>
    <row r="52">
      <c r="A52" s="54" t="s">
        <v>332</v>
      </c>
      <c r="B52" s="11"/>
      <c r="C52" s="8" t="s">
        <v>11</v>
      </c>
      <c r="D52" s="8" t="str">
        <f t="shared" si="1"/>
        <v>-</v>
      </c>
      <c r="E52" s="9" t="s">
        <v>11</v>
      </c>
      <c r="F52" s="10"/>
      <c r="G52" s="9"/>
      <c r="H52" s="11"/>
      <c r="I52" s="9" t="s">
        <v>13</v>
      </c>
      <c r="J52" s="55"/>
    </row>
    <row r="53">
      <c r="A53" s="54" t="s">
        <v>332</v>
      </c>
      <c r="B53" s="11"/>
      <c r="C53" s="8" t="s">
        <v>11</v>
      </c>
      <c r="D53" s="8" t="str">
        <f t="shared" si="1"/>
        <v>-</v>
      </c>
      <c r="E53" s="9" t="s">
        <v>11</v>
      </c>
      <c r="F53" s="10"/>
      <c r="G53" s="9"/>
      <c r="H53" s="11"/>
      <c r="I53" s="9" t="s">
        <v>13</v>
      </c>
      <c r="J53" s="55"/>
    </row>
    <row r="54">
      <c r="A54" s="54" t="s">
        <v>332</v>
      </c>
      <c r="B54" s="11"/>
      <c r="C54" s="8" t="s">
        <v>11</v>
      </c>
      <c r="D54" s="8" t="str">
        <f t="shared" si="1"/>
        <v>-</v>
      </c>
      <c r="E54" s="9" t="s">
        <v>11</v>
      </c>
      <c r="F54" s="10"/>
      <c r="G54" s="9"/>
      <c r="H54" s="11"/>
      <c r="I54" s="9" t="s">
        <v>13</v>
      </c>
      <c r="J54" s="55"/>
    </row>
    <row r="55">
      <c r="A55" s="54" t="s">
        <v>332</v>
      </c>
      <c r="B55" s="11"/>
      <c r="C55" s="8" t="s">
        <v>11</v>
      </c>
      <c r="D55" s="8" t="str">
        <f t="shared" si="1"/>
        <v>-</v>
      </c>
      <c r="E55" s="9" t="s">
        <v>11</v>
      </c>
      <c r="F55" s="10"/>
      <c r="G55" s="9"/>
      <c r="H55" s="11"/>
      <c r="I55" s="9" t="s">
        <v>13</v>
      </c>
      <c r="J55" s="55"/>
    </row>
    <row r="56">
      <c r="A56" s="54" t="s">
        <v>332</v>
      </c>
      <c r="B56" s="11"/>
      <c r="C56" s="8" t="s">
        <v>11</v>
      </c>
      <c r="D56" s="8" t="str">
        <f t="shared" si="1"/>
        <v>-</v>
      </c>
      <c r="E56" s="9" t="s">
        <v>11</v>
      </c>
      <c r="F56" s="10"/>
      <c r="G56" s="9"/>
      <c r="H56" s="11"/>
      <c r="I56" s="9" t="s">
        <v>13</v>
      </c>
      <c r="J56" s="55"/>
    </row>
    <row r="57">
      <c r="A57" s="54" t="s">
        <v>332</v>
      </c>
      <c r="B57" s="11"/>
      <c r="C57" s="8" t="s">
        <v>11</v>
      </c>
      <c r="D57" s="8" t="str">
        <f t="shared" si="1"/>
        <v>-</v>
      </c>
      <c r="E57" s="9" t="s">
        <v>11</v>
      </c>
      <c r="F57" s="10"/>
      <c r="G57" s="9"/>
      <c r="H57" s="11"/>
      <c r="I57" s="9" t="s">
        <v>13</v>
      </c>
      <c r="J57" s="55"/>
    </row>
    <row r="58">
      <c r="A58" s="54" t="s">
        <v>332</v>
      </c>
      <c r="B58" s="11"/>
      <c r="C58" s="8" t="s">
        <v>11</v>
      </c>
      <c r="D58" s="8" t="str">
        <f t="shared" si="1"/>
        <v>-</v>
      </c>
      <c r="E58" s="9" t="s">
        <v>11</v>
      </c>
      <c r="F58" s="10"/>
      <c r="G58" s="9"/>
      <c r="H58" s="11"/>
      <c r="I58" s="9" t="s">
        <v>13</v>
      </c>
      <c r="J58" s="55"/>
    </row>
    <row r="59">
      <c r="A59" s="54" t="s">
        <v>332</v>
      </c>
      <c r="B59" s="11"/>
      <c r="C59" s="8" t="s">
        <v>11</v>
      </c>
      <c r="D59" s="8" t="str">
        <f t="shared" si="1"/>
        <v>-</v>
      </c>
      <c r="E59" s="9" t="s">
        <v>11</v>
      </c>
      <c r="F59" s="10"/>
      <c r="G59" s="9"/>
      <c r="H59" s="11"/>
      <c r="I59" s="9" t="s">
        <v>13</v>
      </c>
      <c r="J59" s="55"/>
    </row>
    <row r="60">
      <c r="A60" s="54" t="s">
        <v>332</v>
      </c>
      <c r="B60" s="11"/>
      <c r="C60" s="8" t="s">
        <v>11</v>
      </c>
      <c r="D60" s="8" t="str">
        <f t="shared" si="1"/>
        <v>-</v>
      </c>
      <c r="E60" s="9" t="s">
        <v>11</v>
      </c>
      <c r="F60" s="10"/>
      <c r="G60" s="9"/>
      <c r="H60" s="11"/>
      <c r="I60" s="9" t="s">
        <v>13</v>
      </c>
      <c r="J60" s="55"/>
    </row>
    <row r="61">
      <c r="A61" s="54" t="s">
        <v>332</v>
      </c>
      <c r="B61" s="11"/>
      <c r="C61" s="8" t="s">
        <v>11</v>
      </c>
      <c r="D61" s="8" t="str">
        <f t="shared" si="1"/>
        <v>-</v>
      </c>
      <c r="E61" s="9" t="s">
        <v>11</v>
      </c>
      <c r="F61" s="10"/>
      <c r="G61" s="9"/>
      <c r="H61" s="11"/>
      <c r="I61" s="9" t="s">
        <v>13</v>
      </c>
      <c r="J61" s="55"/>
    </row>
    <row r="62">
      <c r="A62" s="54" t="s">
        <v>332</v>
      </c>
      <c r="B62" s="11"/>
      <c r="C62" s="8" t="s">
        <v>11</v>
      </c>
      <c r="D62" s="8" t="str">
        <f t="shared" si="1"/>
        <v>-</v>
      </c>
      <c r="E62" s="9" t="s">
        <v>11</v>
      </c>
      <c r="F62" s="10"/>
      <c r="G62" s="9"/>
      <c r="H62" s="11"/>
      <c r="I62" s="9" t="s">
        <v>13</v>
      </c>
      <c r="J62" s="55"/>
    </row>
    <row r="63">
      <c r="A63" s="54" t="s">
        <v>332</v>
      </c>
      <c r="B63" s="11"/>
      <c r="C63" s="8" t="s">
        <v>11</v>
      </c>
      <c r="D63" s="8" t="str">
        <f t="shared" si="1"/>
        <v>-</v>
      </c>
      <c r="E63" s="9" t="s">
        <v>11</v>
      </c>
      <c r="F63" s="10"/>
      <c r="G63" s="9"/>
      <c r="H63" s="11"/>
      <c r="I63" s="9" t="s">
        <v>13</v>
      </c>
      <c r="J63" s="55"/>
    </row>
    <row r="64">
      <c r="A64" s="54" t="s">
        <v>332</v>
      </c>
      <c r="B64" s="11"/>
      <c r="C64" s="8" t="s">
        <v>11</v>
      </c>
      <c r="D64" s="8" t="str">
        <f t="shared" si="1"/>
        <v>-</v>
      </c>
      <c r="E64" s="9" t="s">
        <v>11</v>
      </c>
      <c r="F64" s="10"/>
      <c r="G64" s="9"/>
      <c r="H64" s="11"/>
      <c r="I64" s="9" t="s">
        <v>13</v>
      </c>
      <c r="J64" s="55"/>
    </row>
    <row r="65">
      <c r="A65" s="54" t="s">
        <v>332</v>
      </c>
      <c r="B65" s="11"/>
      <c r="C65" s="8" t="s">
        <v>11</v>
      </c>
      <c r="D65" s="8" t="str">
        <f t="shared" si="1"/>
        <v>-</v>
      </c>
      <c r="E65" s="9" t="s">
        <v>11</v>
      </c>
      <c r="F65" s="10"/>
      <c r="G65" s="9"/>
      <c r="H65" s="11"/>
      <c r="I65" s="9" t="s">
        <v>13</v>
      </c>
      <c r="J65" s="55"/>
    </row>
    <row r="66">
      <c r="A66" s="54" t="s">
        <v>332</v>
      </c>
      <c r="B66" s="11"/>
      <c r="C66" s="8" t="s">
        <v>11</v>
      </c>
      <c r="D66" s="8" t="str">
        <f t="shared" si="1"/>
        <v>-</v>
      </c>
      <c r="E66" s="9" t="s">
        <v>11</v>
      </c>
      <c r="F66" s="10"/>
      <c r="G66" s="9"/>
      <c r="H66" s="11"/>
      <c r="I66" s="9" t="s">
        <v>13</v>
      </c>
      <c r="J66" s="55"/>
    </row>
    <row r="67">
      <c r="A67" s="54" t="s">
        <v>332</v>
      </c>
      <c r="B67" s="11"/>
      <c r="C67" s="8" t="s">
        <v>11</v>
      </c>
      <c r="D67" s="8" t="str">
        <f t="shared" si="1"/>
        <v>-</v>
      </c>
      <c r="E67" s="9" t="s">
        <v>11</v>
      </c>
      <c r="F67" s="10"/>
      <c r="G67" s="9"/>
      <c r="H67" s="11"/>
      <c r="I67" s="9" t="s">
        <v>13</v>
      </c>
      <c r="J67" s="55"/>
    </row>
    <row r="68">
      <c r="A68" s="54" t="s">
        <v>332</v>
      </c>
      <c r="B68" s="11"/>
      <c r="C68" s="8" t="s">
        <v>11</v>
      </c>
      <c r="D68" s="8" t="str">
        <f t="shared" si="1"/>
        <v>-</v>
      </c>
      <c r="E68" s="9" t="s">
        <v>11</v>
      </c>
      <c r="F68" s="10"/>
      <c r="G68" s="9"/>
      <c r="H68" s="11"/>
      <c r="I68" s="9" t="s">
        <v>13</v>
      </c>
      <c r="J68" s="55"/>
    </row>
    <row r="69">
      <c r="A69" s="54" t="s">
        <v>332</v>
      </c>
      <c r="B69" s="11"/>
      <c r="C69" s="8" t="s">
        <v>11</v>
      </c>
      <c r="D69" s="8" t="str">
        <f t="shared" si="1"/>
        <v>-</v>
      </c>
      <c r="E69" s="9" t="s">
        <v>11</v>
      </c>
      <c r="F69" s="10"/>
      <c r="G69" s="9"/>
      <c r="H69" s="11"/>
      <c r="I69" s="9" t="s">
        <v>13</v>
      </c>
      <c r="J69" s="55"/>
    </row>
    <row r="70">
      <c r="A70" s="54" t="s">
        <v>332</v>
      </c>
      <c r="B70" s="11"/>
      <c r="C70" s="8" t="s">
        <v>11</v>
      </c>
      <c r="D70" s="8" t="str">
        <f t="shared" si="1"/>
        <v>-</v>
      </c>
      <c r="E70" s="9" t="s">
        <v>11</v>
      </c>
      <c r="F70" s="10"/>
      <c r="G70" s="9"/>
      <c r="H70" s="11"/>
      <c r="I70" s="9" t="s">
        <v>13</v>
      </c>
      <c r="J70" s="55"/>
    </row>
    <row r="71">
      <c r="A71" s="54" t="s">
        <v>332</v>
      </c>
      <c r="B71" s="11"/>
      <c r="C71" s="8" t="s">
        <v>11</v>
      </c>
      <c r="D71" s="8" t="str">
        <f t="shared" si="1"/>
        <v>-</v>
      </c>
      <c r="E71" s="9" t="s">
        <v>11</v>
      </c>
      <c r="F71" s="10"/>
      <c r="G71" s="9"/>
      <c r="H71" s="11"/>
      <c r="I71" s="9" t="s">
        <v>13</v>
      </c>
      <c r="J71" s="55"/>
    </row>
    <row r="72">
      <c r="A72" s="54" t="s">
        <v>332</v>
      </c>
      <c r="B72" s="11"/>
      <c r="C72" s="8" t="s">
        <v>11</v>
      </c>
      <c r="D72" s="8" t="str">
        <f t="shared" si="1"/>
        <v>-</v>
      </c>
      <c r="E72" s="9" t="s">
        <v>11</v>
      </c>
      <c r="F72" s="10"/>
      <c r="G72" s="9"/>
      <c r="H72" s="11"/>
      <c r="I72" s="9" t="s">
        <v>13</v>
      </c>
      <c r="J72" s="55"/>
    </row>
    <row r="73">
      <c r="A73" s="54" t="s">
        <v>332</v>
      </c>
      <c r="B73" s="11"/>
      <c r="C73" s="8" t="s">
        <v>11</v>
      </c>
      <c r="D73" s="8" t="str">
        <f t="shared" si="1"/>
        <v>-</v>
      </c>
      <c r="E73" s="9" t="s">
        <v>11</v>
      </c>
      <c r="F73" s="10"/>
      <c r="G73" s="9"/>
      <c r="H73" s="11"/>
      <c r="I73" s="9" t="s">
        <v>13</v>
      </c>
      <c r="J73" s="55"/>
    </row>
    <row r="74">
      <c r="A74" s="54" t="s">
        <v>332</v>
      </c>
      <c r="B74" s="11"/>
      <c r="C74" s="8" t="s">
        <v>11</v>
      </c>
      <c r="D74" s="8" t="str">
        <f t="shared" si="1"/>
        <v>-</v>
      </c>
      <c r="E74" s="9" t="s">
        <v>11</v>
      </c>
      <c r="F74" s="10"/>
      <c r="G74" s="9"/>
      <c r="H74" s="11"/>
      <c r="I74" s="9" t="s">
        <v>13</v>
      </c>
      <c r="J74" s="55"/>
    </row>
    <row r="75">
      <c r="A75" s="54" t="s">
        <v>332</v>
      </c>
      <c r="B75" s="11"/>
      <c r="C75" s="8" t="s">
        <v>11</v>
      </c>
      <c r="D75" s="8" t="str">
        <f t="shared" si="1"/>
        <v>-</v>
      </c>
      <c r="E75" s="9" t="s">
        <v>11</v>
      </c>
      <c r="F75" s="10"/>
      <c r="G75" s="9"/>
      <c r="H75" s="11"/>
      <c r="I75" s="9" t="s">
        <v>13</v>
      </c>
      <c r="J75" s="55"/>
    </row>
    <row r="76">
      <c r="A76" s="54" t="s">
        <v>332</v>
      </c>
      <c r="B76" s="11"/>
      <c r="C76" s="8" t="s">
        <v>11</v>
      </c>
      <c r="D76" s="8" t="str">
        <f t="shared" si="1"/>
        <v>-</v>
      </c>
      <c r="E76" s="9" t="s">
        <v>11</v>
      </c>
      <c r="F76" s="10"/>
      <c r="G76" s="9"/>
      <c r="H76" s="11"/>
      <c r="I76" s="9" t="s">
        <v>13</v>
      </c>
      <c r="J76" s="55"/>
    </row>
    <row r="77">
      <c r="A77" s="54" t="s">
        <v>332</v>
      </c>
      <c r="B77" s="11"/>
      <c r="C77" s="8" t="s">
        <v>11</v>
      </c>
      <c r="D77" s="8" t="str">
        <f t="shared" si="1"/>
        <v>-</v>
      </c>
      <c r="E77" s="9" t="s">
        <v>11</v>
      </c>
      <c r="F77" s="10"/>
      <c r="G77" s="9"/>
      <c r="H77" s="11"/>
      <c r="I77" s="9" t="s">
        <v>13</v>
      </c>
      <c r="J77" s="55"/>
    </row>
    <row r="78">
      <c r="A78" s="54" t="s">
        <v>332</v>
      </c>
      <c r="B78" s="11"/>
      <c r="C78" s="8" t="s">
        <v>11</v>
      </c>
      <c r="D78" s="8" t="str">
        <f t="shared" si="1"/>
        <v>-</v>
      </c>
      <c r="E78" s="9" t="s">
        <v>11</v>
      </c>
      <c r="F78" s="10"/>
      <c r="G78" s="9"/>
      <c r="H78" s="11"/>
      <c r="I78" s="9" t="s">
        <v>13</v>
      </c>
      <c r="J78" s="55"/>
    </row>
    <row r="79">
      <c r="A79" s="54" t="s">
        <v>332</v>
      </c>
      <c r="B79" s="11"/>
      <c r="C79" s="8" t="s">
        <v>11</v>
      </c>
      <c r="D79" s="8" t="str">
        <f t="shared" si="1"/>
        <v>-</v>
      </c>
      <c r="E79" s="9" t="s">
        <v>11</v>
      </c>
      <c r="F79" s="10"/>
      <c r="G79" s="9"/>
      <c r="H79" s="11"/>
      <c r="I79" s="9" t="s">
        <v>13</v>
      </c>
      <c r="J79" s="55"/>
    </row>
    <row r="80">
      <c r="A80" s="54" t="s">
        <v>332</v>
      </c>
      <c r="B80" s="11"/>
      <c r="C80" s="8" t="s">
        <v>11</v>
      </c>
      <c r="D80" s="8" t="str">
        <f t="shared" si="1"/>
        <v>-</v>
      </c>
      <c r="E80" s="9" t="s">
        <v>11</v>
      </c>
      <c r="F80" s="10"/>
      <c r="G80" s="9"/>
      <c r="H80" s="11"/>
      <c r="I80" s="9" t="s">
        <v>13</v>
      </c>
      <c r="J80" s="55"/>
    </row>
    <row r="81">
      <c r="A81" s="54" t="s">
        <v>332</v>
      </c>
      <c r="B81" s="11"/>
      <c r="C81" s="8" t="s">
        <v>11</v>
      </c>
      <c r="D81" s="8" t="str">
        <f t="shared" si="1"/>
        <v>-</v>
      </c>
      <c r="E81" s="9" t="s">
        <v>11</v>
      </c>
      <c r="F81" s="10"/>
      <c r="G81" s="9"/>
      <c r="H81" s="11"/>
      <c r="I81" s="9" t="s">
        <v>13</v>
      </c>
      <c r="J81" s="55"/>
    </row>
    <row r="82">
      <c r="A82" s="54" t="s">
        <v>332</v>
      </c>
      <c r="B82" s="11"/>
      <c r="C82" s="8" t="s">
        <v>11</v>
      </c>
      <c r="D82" s="8" t="str">
        <f t="shared" si="1"/>
        <v>-</v>
      </c>
      <c r="E82" s="9" t="s">
        <v>11</v>
      </c>
      <c r="F82" s="10"/>
      <c r="G82" s="9"/>
      <c r="H82" s="11"/>
      <c r="I82" s="9" t="s">
        <v>13</v>
      </c>
      <c r="J82" s="55"/>
    </row>
    <row r="83">
      <c r="A83" s="54" t="s">
        <v>332</v>
      </c>
      <c r="B83" s="11"/>
      <c r="C83" s="8" t="s">
        <v>11</v>
      </c>
      <c r="D83" s="8" t="str">
        <f t="shared" si="1"/>
        <v>-</v>
      </c>
      <c r="E83" s="9" t="s">
        <v>11</v>
      </c>
      <c r="F83" s="10"/>
      <c r="G83" s="9"/>
      <c r="H83" s="11"/>
      <c r="I83" s="9" t="s">
        <v>13</v>
      </c>
      <c r="J83" s="55"/>
    </row>
    <row r="84">
      <c r="A84" s="54" t="s">
        <v>332</v>
      </c>
      <c r="B84" s="11"/>
      <c r="C84" s="8" t="s">
        <v>11</v>
      </c>
      <c r="D84" s="8" t="str">
        <f t="shared" si="1"/>
        <v>-</v>
      </c>
      <c r="E84" s="9" t="s">
        <v>11</v>
      </c>
      <c r="F84" s="10"/>
      <c r="G84" s="9"/>
      <c r="H84" s="11"/>
      <c r="I84" s="9" t="s">
        <v>13</v>
      </c>
      <c r="J84" s="55"/>
    </row>
    <row r="85">
      <c r="A85" s="54" t="s">
        <v>332</v>
      </c>
      <c r="B85" s="11"/>
      <c r="C85" s="8" t="s">
        <v>11</v>
      </c>
      <c r="D85" s="8" t="str">
        <f t="shared" si="1"/>
        <v>-</v>
      </c>
      <c r="E85" s="9" t="s">
        <v>11</v>
      </c>
      <c r="F85" s="10"/>
      <c r="G85" s="9"/>
      <c r="H85" s="11"/>
      <c r="I85" s="9" t="s">
        <v>13</v>
      </c>
      <c r="J85" s="55"/>
    </row>
    <row r="86">
      <c r="A86" s="54" t="s">
        <v>332</v>
      </c>
      <c r="B86" s="11"/>
      <c r="C86" s="8" t="s">
        <v>11</v>
      </c>
      <c r="D86" s="8" t="str">
        <f t="shared" si="1"/>
        <v>-</v>
      </c>
      <c r="E86" s="9" t="s">
        <v>11</v>
      </c>
      <c r="F86" s="10"/>
      <c r="G86" s="9"/>
      <c r="H86" s="11"/>
      <c r="I86" s="9" t="s">
        <v>13</v>
      </c>
      <c r="J86" s="55"/>
    </row>
    <row r="87">
      <c r="A87" s="54" t="s">
        <v>332</v>
      </c>
      <c r="B87" s="11"/>
      <c r="C87" s="8" t="s">
        <v>11</v>
      </c>
      <c r="D87" s="8" t="str">
        <f t="shared" si="1"/>
        <v>-</v>
      </c>
      <c r="E87" s="9" t="s">
        <v>11</v>
      </c>
      <c r="F87" s="10"/>
      <c r="G87" s="9"/>
      <c r="H87" s="11"/>
      <c r="I87" s="9" t="s">
        <v>13</v>
      </c>
      <c r="J87" s="55"/>
    </row>
    <row r="88">
      <c r="A88" s="54" t="s">
        <v>332</v>
      </c>
      <c r="B88" s="11"/>
      <c r="C88" s="8" t="s">
        <v>11</v>
      </c>
      <c r="D88" s="8" t="str">
        <f t="shared" si="1"/>
        <v>-</v>
      </c>
      <c r="E88" s="9" t="s">
        <v>11</v>
      </c>
      <c r="F88" s="10"/>
      <c r="G88" s="9"/>
      <c r="H88" s="11"/>
      <c r="I88" s="9" t="s">
        <v>13</v>
      </c>
      <c r="J88" s="55"/>
    </row>
    <row r="89">
      <c r="A89" s="54" t="s">
        <v>332</v>
      </c>
      <c r="B89" s="11"/>
      <c r="C89" s="8" t="s">
        <v>11</v>
      </c>
      <c r="D89" s="8" t="str">
        <f t="shared" si="1"/>
        <v>-</v>
      </c>
      <c r="E89" s="9" t="s">
        <v>11</v>
      </c>
      <c r="F89" s="10"/>
      <c r="G89" s="9"/>
      <c r="H89" s="11"/>
      <c r="I89" s="9" t="s">
        <v>13</v>
      </c>
      <c r="J89" s="55"/>
    </row>
    <row r="90">
      <c r="A90" s="54" t="s">
        <v>332</v>
      </c>
      <c r="B90" s="11"/>
      <c r="C90" s="8" t="s">
        <v>11</v>
      </c>
      <c r="D90" s="8" t="str">
        <f t="shared" si="1"/>
        <v>-</v>
      </c>
      <c r="E90" s="9" t="s">
        <v>11</v>
      </c>
      <c r="F90" s="10"/>
      <c r="G90" s="9"/>
      <c r="H90" s="11"/>
      <c r="I90" s="9" t="s">
        <v>13</v>
      </c>
      <c r="J90" s="55"/>
    </row>
    <row r="91">
      <c r="A91" s="54" t="s">
        <v>332</v>
      </c>
      <c r="B91" s="11"/>
      <c r="C91" s="8" t="s">
        <v>11</v>
      </c>
      <c r="D91" s="8" t="str">
        <f t="shared" si="1"/>
        <v>-</v>
      </c>
      <c r="E91" s="9" t="s">
        <v>11</v>
      </c>
      <c r="F91" s="10"/>
      <c r="G91" s="9"/>
      <c r="H91" s="11"/>
      <c r="I91" s="9" t="s">
        <v>13</v>
      </c>
      <c r="J91" s="55"/>
    </row>
    <row r="92">
      <c r="A92" s="54" t="s">
        <v>332</v>
      </c>
      <c r="B92" s="11"/>
      <c r="C92" s="8" t="s">
        <v>11</v>
      </c>
      <c r="D92" s="8" t="str">
        <f t="shared" si="1"/>
        <v>-</v>
      </c>
      <c r="E92" s="9" t="s">
        <v>11</v>
      </c>
      <c r="F92" s="10"/>
      <c r="G92" s="9"/>
      <c r="H92" s="11"/>
      <c r="I92" s="9" t="s">
        <v>13</v>
      </c>
      <c r="J92" s="55"/>
    </row>
    <row r="93">
      <c r="A93" s="54" t="s">
        <v>332</v>
      </c>
      <c r="B93" s="11"/>
      <c r="C93" s="8" t="s">
        <v>11</v>
      </c>
      <c r="D93" s="8" t="str">
        <f t="shared" si="1"/>
        <v>-</v>
      </c>
      <c r="E93" s="9" t="s">
        <v>11</v>
      </c>
      <c r="F93" s="10"/>
      <c r="G93" s="9"/>
      <c r="H93" s="11"/>
      <c r="I93" s="9" t="s">
        <v>13</v>
      </c>
      <c r="J93" s="55"/>
    </row>
    <row r="94">
      <c r="A94" s="54" t="s">
        <v>332</v>
      </c>
      <c r="B94" s="11"/>
      <c r="C94" s="8" t="s">
        <v>11</v>
      </c>
      <c r="D94" s="8" t="str">
        <f t="shared" si="1"/>
        <v>-</v>
      </c>
      <c r="E94" s="9" t="s">
        <v>11</v>
      </c>
      <c r="F94" s="10"/>
      <c r="G94" s="9"/>
      <c r="H94" s="11"/>
      <c r="I94" s="9" t="s">
        <v>13</v>
      </c>
      <c r="J94" s="55"/>
    </row>
    <row r="95">
      <c r="A95" s="54" t="s">
        <v>332</v>
      </c>
      <c r="B95" s="11"/>
      <c r="C95" s="8" t="s">
        <v>11</v>
      </c>
      <c r="D95" s="8" t="str">
        <f t="shared" si="1"/>
        <v>-</v>
      </c>
      <c r="E95" s="9" t="s">
        <v>11</v>
      </c>
      <c r="F95" s="10"/>
      <c r="G95" s="9"/>
      <c r="H95" s="11"/>
      <c r="I95" s="9" t="s">
        <v>13</v>
      </c>
      <c r="J95" s="55"/>
    </row>
    <row r="96">
      <c r="A96" s="54" t="s">
        <v>332</v>
      </c>
      <c r="B96" s="11"/>
      <c r="C96" s="8" t="s">
        <v>11</v>
      </c>
      <c r="D96" s="8" t="str">
        <f t="shared" si="1"/>
        <v>-</v>
      </c>
      <c r="E96" s="9" t="s">
        <v>11</v>
      </c>
      <c r="F96" s="10"/>
      <c r="G96" s="9"/>
      <c r="H96" s="11"/>
      <c r="I96" s="9" t="s">
        <v>13</v>
      </c>
      <c r="J96" s="55"/>
    </row>
    <row r="97">
      <c r="A97" s="54" t="s">
        <v>332</v>
      </c>
      <c r="B97" s="11"/>
      <c r="C97" s="8" t="s">
        <v>11</v>
      </c>
      <c r="D97" s="8" t="str">
        <f t="shared" si="1"/>
        <v>-</v>
      </c>
      <c r="E97" s="9" t="s">
        <v>11</v>
      </c>
      <c r="F97" s="10"/>
      <c r="G97" s="9"/>
      <c r="H97" s="11"/>
      <c r="I97" s="9" t="s">
        <v>13</v>
      </c>
      <c r="J97" s="55"/>
    </row>
    <row r="98">
      <c r="A98" s="54" t="s">
        <v>332</v>
      </c>
      <c r="B98" s="11"/>
      <c r="C98" s="8" t="s">
        <v>11</v>
      </c>
      <c r="D98" s="8" t="str">
        <f t="shared" si="1"/>
        <v>-</v>
      </c>
      <c r="E98" s="9" t="s">
        <v>11</v>
      </c>
      <c r="F98" s="10"/>
      <c r="G98" s="9"/>
      <c r="H98" s="11"/>
      <c r="I98" s="9" t="s">
        <v>13</v>
      </c>
      <c r="J98" s="55"/>
    </row>
    <row r="99">
      <c r="A99" s="54" t="s">
        <v>332</v>
      </c>
      <c r="B99" s="11"/>
      <c r="C99" s="8" t="s">
        <v>11</v>
      </c>
      <c r="D99" s="8" t="str">
        <f t="shared" si="1"/>
        <v>-</v>
      </c>
      <c r="E99" s="9" t="s">
        <v>11</v>
      </c>
      <c r="F99" s="10"/>
      <c r="G99" s="9"/>
      <c r="H99" s="11"/>
      <c r="I99" s="9" t="s">
        <v>13</v>
      </c>
      <c r="J99" s="55"/>
    </row>
    <row r="100">
      <c r="A100" s="54" t="s">
        <v>332</v>
      </c>
      <c r="B100" s="11"/>
      <c r="C100" s="8" t="s">
        <v>11</v>
      </c>
      <c r="D100" s="8" t="str">
        <f t="shared" si="1"/>
        <v>-</v>
      </c>
      <c r="E100" s="9" t="s">
        <v>11</v>
      </c>
      <c r="F100" s="10"/>
      <c r="G100" s="9"/>
      <c r="H100" s="11"/>
      <c r="I100" s="9" t="s">
        <v>13</v>
      </c>
      <c r="J100" s="55"/>
    </row>
    <row r="101">
      <c r="A101" s="54" t="s">
        <v>332</v>
      </c>
      <c r="B101" s="11"/>
      <c r="C101" s="8" t="s">
        <v>11</v>
      </c>
      <c r="D101" s="8" t="str">
        <f t="shared" si="1"/>
        <v>-</v>
      </c>
      <c r="E101" s="9" t="s">
        <v>11</v>
      </c>
      <c r="F101" s="10"/>
      <c r="G101" s="9"/>
      <c r="H101" s="11"/>
      <c r="I101" s="9" t="s">
        <v>13</v>
      </c>
      <c r="J101" s="55"/>
    </row>
    <row r="102">
      <c r="A102" s="54" t="s">
        <v>332</v>
      </c>
      <c r="B102" s="11"/>
      <c r="C102" s="8" t="s">
        <v>11</v>
      </c>
      <c r="D102" s="8" t="str">
        <f t="shared" si="1"/>
        <v>-</v>
      </c>
      <c r="E102" s="9" t="s">
        <v>11</v>
      </c>
      <c r="F102" s="10"/>
      <c r="G102" s="9"/>
      <c r="H102" s="11"/>
      <c r="I102" s="9" t="s">
        <v>13</v>
      </c>
      <c r="J102" s="55"/>
    </row>
    <row r="103">
      <c r="A103" s="54" t="s">
        <v>332</v>
      </c>
      <c r="B103" s="11"/>
      <c r="C103" s="8" t="s">
        <v>11</v>
      </c>
      <c r="D103" s="8" t="str">
        <f t="shared" si="1"/>
        <v>-</v>
      </c>
      <c r="E103" s="9" t="s">
        <v>11</v>
      </c>
      <c r="F103" s="10"/>
      <c r="G103" s="9"/>
      <c r="H103" s="11"/>
      <c r="I103" s="9" t="s">
        <v>13</v>
      </c>
      <c r="J103" s="55"/>
    </row>
    <row r="104">
      <c r="A104" s="54" t="s">
        <v>332</v>
      </c>
      <c r="B104" s="11"/>
      <c r="C104" s="8" t="s">
        <v>11</v>
      </c>
      <c r="D104" s="8" t="str">
        <f t="shared" si="1"/>
        <v>-</v>
      </c>
      <c r="E104" s="9" t="s">
        <v>11</v>
      </c>
      <c r="F104" s="10"/>
      <c r="G104" s="9"/>
      <c r="H104" s="11"/>
      <c r="I104" s="9" t="s">
        <v>13</v>
      </c>
      <c r="J104" s="55"/>
    </row>
    <row r="105">
      <c r="A105" s="54" t="s">
        <v>332</v>
      </c>
      <c r="B105" s="11"/>
      <c r="C105" s="8" t="s">
        <v>11</v>
      </c>
      <c r="D105" s="8" t="str">
        <f t="shared" si="1"/>
        <v>-</v>
      </c>
      <c r="E105" s="9" t="s">
        <v>11</v>
      </c>
      <c r="F105" s="10"/>
      <c r="G105" s="9"/>
      <c r="H105" s="11"/>
      <c r="I105" s="9" t="s">
        <v>13</v>
      </c>
      <c r="J105" s="55"/>
    </row>
    <row r="106">
      <c r="A106" s="54" t="s">
        <v>332</v>
      </c>
      <c r="B106" s="11"/>
      <c r="C106" s="8" t="s">
        <v>11</v>
      </c>
      <c r="D106" s="8" t="str">
        <f t="shared" si="1"/>
        <v>-</v>
      </c>
      <c r="E106" s="9" t="s">
        <v>11</v>
      </c>
      <c r="F106" s="10"/>
      <c r="G106" s="9"/>
      <c r="H106" s="11"/>
      <c r="I106" s="9" t="s">
        <v>13</v>
      </c>
      <c r="J106" s="55"/>
    </row>
    <row r="107">
      <c r="A107" s="54" t="s">
        <v>332</v>
      </c>
      <c r="B107" s="11"/>
      <c r="C107" s="8" t="s">
        <v>11</v>
      </c>
      <c r="D107" s="8" t="str">
        <f t="shared" si="1"/>
        <v>-</v>
      </c>
      <c r="E107" s="9" t="s">
        <v>11</v>
      </c>
      <c r="F107" s="10"/>
      <c r="G107" s="9"/>
      <c r="H107" s="11"/>
      <c r="I107" s="9" t="s">
        <v>13</v>
      </c>
      <c r="J107" s="55"/>
    </row>
    <row r="108">
      <c r="A108" s="54" t="s">
        <v>332</v>
      </c>
      <c r="B108" s="11"/>
      <c r="C108" s="8" t="s">
        <v>11</v>
      </c>
      <c r="D108" s="8" t="str">
        <f t="shared" si="1"/>
        <v>-</v>
      </c>
      <c r="E108" s="9" t="s">
        <v>11</v>
      </c>
      <c r="F108" s="10"/>
      <c r="G108" s="9"/>
      <c r="H108" s="11"/>
      <c r="I108" s="9" t="s">
        <v>13</v>
      </c>
      <c r="J108" s="55"/>
    </row>
    <row r="109">
      <c r="A109" s="54" t="s">
        <v>332</v>
      </c>
      <c r="B109" s="11"/>
      <c r="C109" s="8" t="s">
        <v>11</v>
      </c>
      <c r="D109" s="8" t="str">
        <f t="shared" si="1"/>
        <v>-</v>
      </c>
      <c r="E109" s="9" t="s">
        <v>11</v>
      </c>
      <c r="F109" s="10"/>
      <c r="G109" s="9"/>
      <c r="H109" s="11"/>
      <c r="I109" s="9" t="s">
        <v>13</v>
      </c>
      <c r="J109" s="55"/>
    </row>
    <row r="110">
      <c r="A110" s="54" t="s">
        <v>332</v>
      </c>
      <c r="B110" s="11"/>
      <c r="C110" s="8" t="s">
        <v>11</v>
      </c>
      <c r="D110" s="8" t="str">
        <f t="shared" si="1"/>
        <v>-</v>
      </c>
      <c r="E110" s="9" t="s">
        <v>11</v>
      </c>
      <c r="F110" s="10"/>
      <c r="G110" s="9"/>
      <c r="H110" s="11"/>
      <c r="I110" s="9" t="s">
        <v>13</v>
      </c>
      <c r="J110" s="55"/>
    </row>
    <row r="111">
      <c r="A111" s="54" t="s">
        <v>332</v>
      </c>
      <c r="B111" s="11"/>
      <c r="C111" s="8" t="s">
        <v>11</v>
      </c>
      <c r="D111" s="8" t="str">
        <f t="shared" si="1"/>
        <v>-</v>
      </c>
      <c r="E111" s="9" t="s">
        <v>11</v>
      </c>
      <c r="F111" s="10"/>
      <c r="G111" s="9"/>
      <c r="H111" s="11"/>
      <c r="I111" s="9" t="s">
        <v>13</v>
      </c>
      <c r="J111" s="55"/>
    </row>
    <row r="112">
      <c r="A112" s="54" t="s">
        <v>332</v>
      </c>
      <c r="B112" s="11"/>
      <c r="C112" s="8" t="s">
        <v>11</v>
      </c>
      <c r="D112" s="8" t="str">
        <f t="shared" si="1"/>
        <v>-</v>
      </c>
      <c r="E112" s="9" t="s">
        <v>11</v>
      </c>
      <c r="F112" s="10"/>
      <c r="G112" s="9"/>
      <c r="H112" s="11"/>
      <c r="I112" s="9" t="s">
        <v>13</v>
      </c>
      <c r="J112" s="55"/>
    </row>
    <row r="113">
      <c r="A113" s="54" t="s">
        <v>332</v>
      </c>
      <c r="B113" s="11"/>
      <c r="C113" s="8" t="s">
        <v>11</v>
      </c>
      <c r="D113" s="8" t="str">
        <f t="shared" si="1"/>
        <v>-</v>
      </c>
      <c r="E113" s="9" t="s">
        <v>11</v>
      </c>
      <c r="F113" s="10"/>
      <c r="G113" s="9"/>
      <c r="H113" s="11"/>
      <c r="I113" s="9" t="s">
        <v>13</v>
      </c>
      <c r="J113" s="55"/>
    </row>
    <row r="114">
      <c r="A114" s="54" t="s">
        <v>332</v>
      </c>
      <c r="B114" s="11"/>
      <c r="C114" s="8" t="s">
        <v>11</v>
      </c>
      <c r="D114" s="8" t="str">
        <f t="shared" si="1"/>
        <v>-</v>
      </c>
      <c r="E114" s="9" t="s">
        <v>11</v>
      </c>
      <c r="F114" s="10"/>
      <c r="G114" s="9"/>
      <c r="H114" s="11"/>
      <c r="I114" s="9" t="s">
        <v>13</v>
      </c>
      <c r="J114" s="55"/>
    </row>
    <row r="115">
      <c r="A115" s="54" t="s">
        <v>332</v>
      </c>
      <c r="B115" s="11"/>
      <c r="C115" s="8" t="s">
        <v>11</v>
      </c>
      <c r="D115" s="8" t="str">
        <f t="shared" si="1"/>
        <v>-</v>
      </c>
      <c r="E115" s="9" t="s">
        <v>11</v>
      </c>
      <c r="F115" s="10"/>
      <c r="G115" s="9"/>
      <c r="H115" s="11"/>
      <c r="I115" s="9" t="s">
        <v>13</v>
      </c>
      <c r="J115" s="55"/>
    </row>
    <row r="116">
      <c r="A116" s="54" t="s">
        <v>332</v>
      </c>
      <c r="B116" s="11"/>
      <c r="C116" s="8" t="s">
        <v>11</v>
      </c>
      <c r="D116" s="8" t="str">
        <f t="shared" si="1"/>
        <v>-</v>
      </c>
      <c r="E116" s="9" t="s">
        <v>11</v>
      </c>
      <c r="F116" s="10"/>
      <c r="G116" s="9"/>
      <c r="H116" s="11"/>
      <c r="I116" s="9" t="s">
        <v>13</v>
      </c>
      <c r="J116" s="55"/>
    </row>
    <row r="117">
      <c r="A117" s="54" t="s">
        <v>332</v>
      </c>
      <c r="B117" s="11"/>
      <c r="C117" s="8" t="s">
        <v>11</v>
      </c>
      <c r="D117" s="8" t="str">
        <f t="shared" si="1"/>
        <v>-</v>
      </c>
      <c r="E117" s="9" t="s">
        <v>11</v>
      </c>
      <c r="F117" s="10"/>
      <c r="G117" s="9"/>
      <c r="H117" s="11"/>
      <c r="I117" s="9" t="s">
        <v>13</v>
      </c>
      <c r="J117" s="55"/>
    </row>
    <row r="118">
      <c r="A118" s="54" t="s">
        <v>332</v>
      </c>
      <c r="B118" s="11"/>
      <c r="C118" s="8" t="s">
        <v>11</v>
      </c>
      <c r="D118" s="8" t="str">
        <f t="shared" si="1"/>
        <v>-</v>
      </c>
      <c r="E118" s="9" t="s">
        <v>11</v>
      </c>
      <c r="F118" s="10"/>
      <c r="G118" s="9"/>
      <c r="H118" s="11"/>
      <c r="I118" s="9" t="s">
        <v>13</v>
      </c>
      <c r="J118" s="55"/>
    </row>
    <row r="119">
      <c r="A119" s="54" t="s">
        <v>332</v>
      </c>
      <c r="B119" s="11"/>
      <c r="C119" s="8" t="s">
        <v>11</v>
      </c>
      <c r="D119" s="8" t="str">
        <f t="shared" si="1"/>
        <v>-</v>
      </c>
      <c r="E119" s="9" t="s">
        <v>11</v>
      </c>
      <c r="F119" s="10"/>
      <c r="G119" s="9"/>
      <c r="H119" s="11"/>
      <c r="I119" s="9" t="s">
        <v>13</v>
      </c>
      <c r="J119" s="55"/>
    </row>
    <row r="120">
      <c r="A120" s="54" t="s">
        <v>332</v>
      </c>
      <c r="B120" s="11"/>
      <c r="C120" s="8" t="s">
        <v>11</v>
      </c>
      <c r="D120" s="8" t="str">
        <f t="shared" si="1"/>
        <v>-</v>
      </c>
      <c r="E120" s="9" t="s">
        <v>11</v>
      </c>
      <c r="F120" s="10"/>
      <c r="G120" s="9"/>
      <c r="H120" s="11"/>
      <c r="I120" s="9" t="s">
        <v>13</v>
      </c>
      <c r="J120" s="55"/>
    </row>
    <row r="121">
      <c r="A121" s="54" t="s">
        <v>332</v>
      </c>
      <c r="B121" s="11"/>
      <c r="C121" s="8" t="s">
        <v>11</v>
      </c>
      <c r="D121" s="8" t="str">
        <f t="shared" si="1"/>
        <v>-</v>
      </c>
      <c r="E121" s="9" t="s">
        <v>11</v>
      </c>
      <c r="F121" s="10"/>
      <c r="G121" s="9"/>
      <c r="H121" s="11"/>
      <c r="I121" s="9" t="s">
        <v>13</v>
      </c>
      <c r="J121" s="55"/>
    </row>
    <row r="122">
      <c r="A122" s="54" t="s">
        <v>332</v>
      </c>
      <c r="B122" s="11"/>
      <c r="C122" s="8" t="s">
        <v>11</v>
      </c>
      <c r="D122" s="8" t="str">
        <f t="shared" si="1"/>
        <v>-</v>
      </c>
      <c r="E122" s="9" t="s">
        <v>11</v>
      </c>
      <c r="F122" s="10"/>
      <c r="G122" s="9"/>
      <c r="H122" s="11"/>
      <c r="I122" s="9" t="s">
        <v>13</v>
      </c>
      <c r="J122" s="55"/>
    </row>
    <row r="123">
      <c r="A123" s="54" t="s">
        <v>332</v>
      </c>
      <c r="B123" s="11"/>
      <c r="C123" s="8" t="s">
        <v>11</v>
      </c>
      <c r="D123" s="8" t="str">
        <f t="shared" si="1"/>
        <v>-</v>
      </c>
      <c r="E123" s="9" t="s">
        <v>11</v>
      </c>
      <c r="F123" s="10"/>
      <c r="G123" s="9"/>
      <c r="H123" s="11"/>
      <c r="I123" s="9" t="s">
        <v>13</v>
      </c>
      <c r="J123" s="55"/>
    </row>
    <row r="124">
      <c r="A124" s="54" t="s">
        <v>332</v>
      </c>
      <c r="B124" s="11"/>
      <c r="C124" s="8" t="s">
        <v>11</v>
      </c>
      <c r="D124" s="8" t="str">
        <f t="shared" si="1"/>
        <v>-</v>
      </c>
      <c r="E124" s="9" t="s">
        <v>11</v>
      </c>
      <c r="F124" s="10"/>
      <c r="G124" s="9"/>
      <c r="H124" s="11"/>
      <c r="I124" s="9" t="s">
        <v>13</v>
      </c>
      <c r="J124" s="55"/>
    </row>
    <row r="125">
      <c r="A125" s="54" t="s">
        <v>332</v>
      </c>
      <c r="B125" s="11"/>
      <c r="C125" s="8" t="s">
        <v>11</v>
      </c>
      <c r="D125" s="8" t="str">
        <f t="shared" si="1"/>
        <v>-</v>
      </c>
      <c r="E125" s="9" t="s">
        <v>11</v>
      </c>
      <c r="F125" s="10"/>
      <c r="G125" s="9"/>
      <c r="H125" s="11"/>
      <c r="I125" s="9" t="s">
        <v>13</v>
      </c>
      <c r="J125" s="55"/>
    </row>
    <row r="126">
      <c r="A126" s="54" t="s">
        <v>332</v>
      </c>
      <c r="B126" s="11"/>
      <c r="C126" s="8" t="s">
        <v>11</v>
      </c>
      <c r="D126" s="8" t="str">
        <f t="shared" si="1"/>
        <v>-</v>
      </c>
      <c r="E126" s="9" t="s">
        <v>11</v>
      </c>
      <c r="F126" s="10"/>
      <c r="G126" s="9"/>
      <c r="H126" s="11"/>
      <c r="I126" s="9" t="s">
        <v>13</v>
      </c>
      <c r="J126" s="55"/>
    </row>
    <row r="127">
      <c r="A127" s="54" t="s">
        <v>332</v>
      </c>
      <c r="B127" s="11"/>
      <c r="C127" s="8" t="s">
        <v>11</v>
      </c>
      <c r="D127" s="8" t="str">
        <f t="shared" si="1"/>
        <v>-</v>
      </c>
      <c r="E127" s="9" t="s">
        <v>11</v>
      </c>
      <c r="F127" s="10"/>
      <c r="G127" s="9"/>
      <c r="H127" s="11"/>
      <c r="I127" s="9" t="s">
        <v>13</v>
      </c>
      <c r="J127" s="55"/>
    </row>
    <row r="128">
      <c r="A128" s="54" t="s">
        <v>332</v>
      </c>
      <c r="B128" s="11"/>
      <c r="C128" s="8" t="s">
        <v>11</v>
      </c>
      <c r="D128" s="8" t="str">
        <f t="shared" si="1"/>
        <v>-</v>
      </c>
      <c r="E128" s="9" t="s">
        <v>11</v>
      </c>
      <c r="F128" s="10"/>
      <c r="G128" s="9"/>
      <c r="H128" s="11"/>
      <c r="I128" s="9" t="s">
        <v>13</v>
      </c>
      <c r="J128" s="55"/>
    </row>
    <row r="129">
      <c r="A129" s="54" t="s">
        <v>332</v>
      </c>
      <c r="B129" s="11"/>
      <c r="C129" s="8" t="s">
        <v>11</v>
      </c>
      <c r="D129" s="8" t="str">
        <f t="shared" si="1"/>
        <v>-</v>
      </c>
      <c r="E129" s="9" t="s">
        <v>11</v>
      </c>
      <c r="F129" s="10"/>
      <c r="G129" s="9"/>
      <c r="H129" s="11"/>
      <c r="I129" s="9" t="s">
        <v>13</v>
      </c>
      <c r="J129" s="55"/>
    </row>
    <row r="130">
      <c r="A130" s="54" t="s">
        <v>332</v>
      </c>
      <c r="B130" s="11"/>
      <c r="C130" s="8" t="s">
        <v>11</v>
      </c>
      <c r="D130" s="8" t="str">
        <f t="shared" si="1"/>
        <v>-</v>
      </c>
      <c r="E130" s="9" t="s">
        <v>11</v>
      </c>
      <c r="F130" s="10"/>
      <c r="G130" s="9"/>
      <c r="H130" s="11"/>
      <c r="I130" s="9" t="s">
        <v>13</v>
      </c>
      <c r="J130" s="55"/>
    </row>
    <row r="131">
      <c r="A131" s="54" t="s">
        <v>332</v>
      </c>
      <c r="B131" s="11"/>
      <c r="C131" s="8" t="s">
        <v>11</v>
      </c>
      <c r="D131" s="8" t="str">
        <f t="shared" si="1"/>
        <v>-</v>
      </c>
      <c r="E131" s="9" t="s">
        <v>11</v>
      </c>
      <c r="F131" s="10"/>
      <c r="G131" s="9"/>
      <c r="H131" s="11"/>
      <c r="I131" s="9" t="s">
        <v>13</v>
      </c>
      <c r="J131" s="55"/>
    </row>
    <row r="132">
      <c r="A132" s="54" t="s">
        <v>332</v>
      </c>
      <c r="B132" s="11"/>
      <c r="C132" s="8" t="s">
        <v>11</v>
      </c>
      <c r="D132" s="8" t="str">
        <f t="shared" si="1"/>
        <v>-</v>
      </c>
      <c r="E132" s="9" t="s">
        <v>11</v>
      </c>
      <c r="F132" s="10"/>
      <c r="G132" s="9"/>
      <c r="H132" s="11"/>
      <c r="I132" s="9" t="s">
        <v>13</v>
      </c>
      <c r="J132" s="55"/>
    </row>
    <row r="133">
      <c r="A133" s="54" t="s">
        <v>332</v>
      </c>
      <c r="B133" s="11"/>
      <c r="C133" s="8" t="s">
        <v>11</v>
      </c>
      <c r="D133" s="8" t="str">
        <f t="shared" si="1"/>
        <v>-</v>
      </c>
      <c r="E133" s="9" t="s">
        <v>11</v>
      </c>
      <c r="F133" s="10"/>
      <c r="G133" s="9"/>
      <c r="H133" s="11"/>
      <c r="I133" s="9" t="s">
        <v>13</v>
      </c>
      <c r="J133" s="55"/>
    </row>
    <row r="134">
      <c r="A134" s="54" t="s">
        <v>332</v>
      </c>
      <c r="B134" s="11"/>
      <c r="C134" s="8" t="s">
        <v>11</v>
      </c>
      <c r="D134" s="8" t="str">
        <f t="shared" si="1"/>
        <v>-</v>
      </c>
      <c r="E134" s="9" t="s">
        <v>11</v>
      </c>
      <c r="F134" s="10"/>
      <c r="G134" s="9"/>
      <c r="H134" s="11"/>
      <c r="I134" s="9" t="s">
        <v>13</v>
      </c>
      <c r="J134" s="55"/>
    </row>
    <row r="135">
      <c r="A135" s="54" t="s">
        <v>332</v>
      </c>
      <c r="B135" s="11"/>
      <c r="C135" s="8" t="s">
        <v>11</v>
      </c>
      <c r="D135" s="8" t="str">
        <f t="shared" si="1"/>
        <v>-</v>
      </c>
      <c r="E135" s="9" t="s">
        <v>11</v>
      </c>
      <c r="F135" s="10"/>
      <c r="G135" s="9"/>
      <c r="H135" s="11"/>
      <c r="I135" s="9" t="s">
        <v>13</v>
      </c>
      <c r="J135" s="55"/>
    </row>
    <row r="136">
      <c r="A136" s="54" t="s">
        <v>332</v>
      </c>
      <c r="B136" s="11"/>
      <c r="C136" s="8" t="s">
        <v>11</v>
      </c>
      <c r="D136" s="8" t="str">
        <f t="shared" si="1"/>
        <v>-</v>
      </c>
      <c r="E136" s="9" t="s">
        <v>11</v>
      </c>
      <c r="F136" s="10"/>
      <c r="G136" s="9"/>
      <c r="H136" s="11"/>
      <c r="I136" s="9" t="s">
        <v>13</v>
      </c>
      <c r="J136" s="55"/>
    </row>
    <row r="137">
      <c r="A137" s="54" t="s">
        <v>332</v>
      </c>
      <c r="B137" s="11"/>
      <c r="C137" s="8" t="s">
        <v>11</v>
      </c>
      <c r="D137" s="8" t="str">
        <f t="shared" si="1"/>
        <v>-</v>
      </c>
      <c r="E137" s="9" t="s">
        <v>11</v>
      </c>
      <c r="F137" s="10"/>
      <c r="G137" s="9"/>
      <c r="H137" s="11"/>
      <c r="I137" s="9" t="s">
        <v>13</v>
      </c>
      <c r="J137" s="55"/>
    </row>
    <row r="138">
      <c r="A138" s="54" t="s">
        <v>332</v>
      </c>
      <c r="B138" s="11"/>
      <c r="C138" s="8" t="s">
        <v>11</v>
      </c>
      <c r="D138" s="8" t="str">
        <f t="shared" si="1"/>
        <v>-</v>
      </c>
      <c r="E138" s="9" t="s">
        <v>11</v>
      </c>
      <c r="F138" s="10"/>
      <c r="G138" s="9"/>
      <c r="H138" s="11"/>
      <c r="I138" s="9" t="s">
        <v>13</v>
      </c>
      <c r="J138" s="55"/>
    </row>
    <row r="139">
      <c r="A139" s="54" t="s">
        <v>332</v>
      </c>
      <c r="B139" s="11"/>
      <c r="C139" s="8" t="s">
        <v>11</v>
      </c>
      <c r="D139" s="8" t="str">
        <f t="shared" si="1"/>
        <v>-</v>
      </c>
      <c r="E139" s="9" t="s">
        <v>11</v>
      </c>
      <c r="F139" s="10"/>
      <c r="G139" s="9"/>
      <c r="H139" s="11"/>
      <c r="I139" s="9" t="s">
        <v>13</v>
      </c>
      <c r="J139" s="55"/>
    </row>
    <row r="140">
      <c r="A140" s="54" t="s">
        <v>332</v>
      </c>
      <c r="B140" s="11"/>
      <c r="C140" s="8" t="s">
        <v>11</v>
      </c>
      <c r="D140" s="8" t="str">
        <f t="shared" si="1"/>
        <v>-</v>
      </c>
      <c r="E140" s="9" t="s">
        <v>11</v>
      </c>
      <c r="F140" s="10"/>
      <c r="G140" s="9"/>
      <c r="H140" s="11"/>
      <c r="I140" s="9" t="s">
        <v>13</v>
      </c>
      <c r="J140" s="55"/>
    </row>
    <row r="141">
      <c r="A141" s="54" t="s">
        <v>332</v>
      </c>
      <c r="B141" s="11"/>
      <c r="C141" s="8" t="s">
        <v>11</v>
      </c>
      <c r="D141" s="8" t="str">
        <f t="shared" si="1"/>
        <v>-</v>
      </c>
      <c r="E141" s="9" t="s">
        <v>11</v>
      </c>
      <c r="F141" s="10"/>
      <c r="G141" s="9"/>
      <c r="H141" s="11"/>
      <c r="I141" s="9" t="s">
        <v>13</v>
      </c>
      <c r="J141" s="55"/>
    </row>
    <row r="142">
      <c r="A142" s="54" t="s">
        <v>332</v>
      </c>
      <c r="B142" s="11"/>
      <c r="C142" s="8" t="s">
        <v>11</v>
      </c>
      <c r="D142" s="8" t="str">
        <f t="shared" si="1"/>
        <v>-</v>
      </c>
      <c r="E142" s="9" t="s">
        <v>11</v>
      </c>
      <c r="F142" s="10"/>
      <c r="G142" s="9"/>
      <c r="H142" s="11"/>
      <c r="I142" s="9" t="s">
        <v>13</v>
      </c>
      <c r="J142" s="55"/>
    </row>
    <row r="143">
      <c r="A143" s="54" t="s">
        <v>332</v>
      </c>
      <c r="B143" s="11"/>
      <c r="C143" s="8" t="s">
        <v>11</v>
      </c>
      <c r="D143" s="8" t="str">
        <f t="shared" si="1"/>
        <v>-</v>
      </c>
      <c r="E143" s="9" t="s">
        <v>11</v>
      </c>
      <c r="F143" s="10"/>
      <c r="G143" s="9"/>
      <c r="H143" s="11"/>
      <c r="I143" s="9" t="s">
        <v>13</v>
      </c>
      <c r="J143" s="55"/>
    </row>
    <row r="144">
      <c r="A144" s="54" t="s">
        <v>332</v>
      </c>
      <c r="B144" s="11"/>
      <c r="C144" s="8" t="s">
        <v>11</v>
      </c>
      <c r="D144" s="8" t="str">
        <f t="shared" si="1"/>
        <v>-</v>
      </c>
      <c r="E144" s="9" t="s">
        <v>11</v>
      </c>
      <c r="F144" s="10"/>
      <c r="G144" s="9"/>
      <c r="H144" s="11"/>
      <c r="I144" s="9" t="s">
        <v>13</v>
      </c>
      <c r="J144" s="55"/>
    </row>
    <row r="145">
      <c r="A145" s="54" t="s">
        <v>332</v>
      </c>
      <c r="B145" s="11"/>
      <c r="C145" s="8" t="s">
        <v>11</v>
      </c>
      <c r="D145" s="8" t="str">
        <f t="shared" si="1"/>
        <v>-</v>
      </c>
      <c r="E145" s="9" t="s">
        <v>11</v>
      </c>
      <c r="F145" s="10"/>
      <c r="G145" s="9"/>
      <c r="H145" s="11"/>
      <c r="I145" s="9" t="s">
        <v>13</v>
      </c>
      <c r="J145" s="55"/>
    </row>
    <row r="146">
      <c r="A146" s="54" t="s">
        <v>332</v>
      </c>
      <c r="B146" s="11"/>
      <c r="C146" s="8" t="s">
        <v>11</v>
      </c>
      <c r="D146" s="8" t="str">
        <f t="shared" si="1"/>
        <v>-</v>
      </c>
      <c r="E146" s="9" t="s">
        <v>11</v>
      </c>
      <c r="F146" s="10"/>
      <c r="G146" s="9"/>
      <c r="H146" s="11"/>
      <c r="I146" s="9" t="s">
        <v>13</v>
      </c>
      <c r="J146" s="55"/>
    </row>
    <row r="147">
      <c r="A147" s="54" t="s">
        <v>332</v>
      </c>
      <c r="B147" s="11"/>
      <c r="C147" s="8" t="s">
        <v>11</v>
      </c>
      <c r="D147" s="8" t="str">
        <f t="shared" si="1"/>
        <v>-</v>
      </c>
      <c r="E147" s="9" t="s">
        <v>11</v>
      </c>
      <c r="F147" s="10"/>
      <c r="G147" s="9"/>
      <c r="H147" s="11"/>
      <c r="I147" s="9" t="s">
        <v>13</v>
      </c>
      <c r="J147" s="55"/>
    </row>
    <row r="148">
      <c r="A148" s="54" t="s">
        <v>332</v>
      </c>
      <c r="B148" s="11"/>
      <c r="C148" s="8" t="s">
        <v>11</v>
      </c>
      <c r="D148" s="8" t="str">
        <f t="shared" si="1"/>
        <v>-</v>
      </c>
      <c r="E148" s="9" t="s">
        <v>11</v>
      </c>
      <c r="F148" s="10"/>
      <c r="G148" s="9"/>
      <c r="H148" s="11"/>
      <c r="I148" s="9" t="s">
        <v>13</v>
      </c>
      <c r="J148" s="55"/>
    </row>
    <row r="149">
      <c r="A149" s="54" t="s">
        <v>332</v>
      </c>
      <c r="B149" s="11"/>
      <c r="C149" s="8" t="s">
        <v>11</v>
      </c>
      <c r="D149" s="8" t="str">
        <f t="shared" si="1"/>
        <v>-</v>
      </c>
      <c r="E149" s="9" t="s">
        <v>11</v>
      </c>
      <c r="F149" s="10"/>
      <c r="G149" s="9"/>
      <c r="H149" s="11"/>
      <c r="I149" s="9" t="s">
        <v>13</v>
      </c>
      <c r="J149" s="55"/>
    </row>
    <row r="150">
      <c r="A150" s="54" t="s">
        <v>332</v>
      </c>
      <c r="B150" s="11"/>
      <c r="C150" s="8" t="s">
        <v>11</v>
      </c>
      <c r="D150" s="8" t="str">
        <f t="shared" si="1"/>
        <v>-</v>
      </c>
      <c r="E150" s="9" t="s">
        <v>11</v>
      </c>
      <c r="F150" s="10"/>
      <c r="G150" s="9"/>
      <c r="H150" s="11"/>
      <c r="I150" s="9" t="s">
        <v>13</v>
      </c>
      <c r="J150" s="55"/>
    </row>
    <row r="151">
      <c r="A151" s="54" t="s">
        <v>332</v>
      </c>
      <c r="B151" s="11"/>
      <c r="C151" s="8" t="s">
        <v>11</v>
      </c>
      <c r="D151" s="8" t="str">
        <f t="shared" si="1"/>
        <v>-</v>
      </c>
      <c r="E151" s="9" t="s">
        <v>11</v>
      </c>
      <c r="F151" s="10"/>
      <c r="G151" s="9"/>
      <c r="H151" s="11"/>
      <c r="I151" s="9" t="s">
        <v>13</v>
      </c>
      <c r="J151" s="55"/>
    </row>
    <row r="152">
      <c r="A152" s="54" t="s">
        <v>332</v>
      </c>
      <c r="B152" s="11"/>
      <c r="C152" s="8" t="s">
        <v>11</v>
      </c>
      <c r="D152" s="8" t="str">
        <f t="shared" si="1"/>
        <v>-</v>
      </c>
      <c r="E152" s="9" t="s">
        <v>11</v>
      </c>
      <c r="F152" s="10"/>
      <c r="G152" s="9"/>
      <c r="H152" s="11"/>
      <c r="I152" s="9" t="s">
        <v>13</v>
      </c>
      <c r="J152" s="55"/>
    </row>
    <row r="153">
      <c r="A153" s="54" t="s">
        <v>332</v>
      </c>
      <c r="B153" s="11"/>
      <c r="C153" s="8" t="s">
        <v>11</v>
      </c>
      <c r="D153" s="8" t="str">
        <f t="shared" si="1"/>
        <v>-</v>
      </c>
      <c r="E153" s="9" t="s">
        <v>11</v>
      </c>
      <c r="F153" s="10"/>
      <c r="G153" s="9"/>
      <c r="H153" s="11"/>
      <c r="I153" s="9" t="s">
        <v>13</v>
      </c>
      <c r="J153" s="55"/>
    </row>
    <row r="154">
      <c r="A154" s="54" t="s">
        <v>332</v>
      </c>
      <c r="B154" s="11"/>
      <c r="C154" s="8" t="s">
        <v>11</v>
      </c>
      <c r="D154" s="8" t="str">
        <f t="shared" si="1"/>
        <v>-</v>
      </c>
      <c r="E154" s="9" t="s">
        <v>11</v>
      </c>
      <c r="F154" s="10"/>
      <c r="G154" s="9"/>
      <c r="H154" s="11"/>
      <c r="I154" s="9" t="s">
        <v>13</v>
      </c>
      <c r="J154" s="55"/>
    </row>
    <row r="155">
      <c r="A155" s="54" t="s">
        <v>332</v>
      </c>
      <c r="B155" s="11"/>
      <c r="C155" s="8" t="s">
        <v>11</v>
      </c>
      <c r="D155" s="8" t="str">
        <f t="shared" si="1"/>
        <v>-</v>
      </c>
      <c r="E155" s="9" t="s">
        <v>11</v>
      </c>
      <c r="F155" s="10"/>
      <c r="G155" s="9"/>
      <c r="H155" s="11"/>
      <c r="I155" s="9" t="s">
        <v>13</v>
      </c>
      <c r="J155" s="55"/>
    </row>
    <row r="156">
      <c r="A156" s="54" t="s">
        <v>332</v>
      </c>
      <c r="B156" s="11"/>
      <c r="C156" s="8" t="s">
        <v>11</v>
      </c>
      <c r="D156" s="8" t="str">
        <f t="shared" si="1"/>
        <v>-</v>
      </c>
      <c r="E156" s="9" t="s">
        <v>11</v>
      </c>
      <c r="F156" s="10"/>
      <c r="G156" s="9"/>
      <c r="H156" s="11"/>
      <c r="I156" s="9" t="s">
        <v>13</v>
      </c>
      <c r="J156" s="55"/>
    </row>
    <row r="157">
      <c r="A157" s="54" t="s">
        <v>332</v>
      </c>
      <c r="B157" s="11"/>
      <c r="C157" s="8" t="s">
        <v>11</v>
      </c>
      <c r="D157" s="8" t="str">
        <f t="shared" si="1"/>
        <v>-</v>
      </c>
      <c r="E157" s="9" t="s">
        <v>11</v>
      </c>
      <c r="F157" s="10"/>
      <c r="G157" s="9"/>
      <c r="H157" s="11"/>
      <c r="I157" s="9" t="s">
        <v>13</v>
      </c>
      <c r="J157" s="55"/>
    </row>
    <row r="158">
      <c r="A158" s="54" t="s">
        <v>332</v>
      </c>
      <c r="B158" s="11"/>
      <c r="C158" s="8" t="s">
        <v>11</v>
      </c>
      <c r="D158" s="8" t="str">
        <f t="shared" si="1"/>
        <v>-</v>
      </c>
      <c r="E158" s="9" t="s">
        <v>11</v>
      </c>
      <c r="F158" s="10"/>
      <c r="G158" s="9"/>
      <c r="H158" s="11"/>
      <c r="I158" s="9" t="s">
        <v>13</v>
      </c>
      <c r="J158" s="55"/>
    </row>
    <row r="159">
      <c r="A159" s="54" t="s">
        <v>332</v>
      </c>
      <c r="B159" s="11"/>
      <c r="C159" s="8" t="s">
        <v>11</v>
      </c>
      <c r="D159" s="8" t="str">
        <f t="shared" si="1"/>
        <v>-</v>
      </c>
      <c r="E159" s="9" t="s">
        <v>11</v>
      </c>
      <c r="F159" s="10"/>
      <c r="G159" s="9"/>
      <c r="H159" s="11"/>
      <c r="I159" s="9" t="s">
        <v>13</v>
      </c>
      <c r="J159" s="55"/>
    </row>
    <row r="160">
      <c r="A160" s="54" t="s">
        <v>332</v>
      </c>
      <c r="B160" s="11"/>
      <c r="C160" s="8" t="s">
        <v>11</v>
      </c>
      <c r="D160" s="8" t="str">
        <f t="shared" si="1"/>
        <v>-</v>
      </c>
      <c r="E160" s="9" t="s">
        <v>11</v>
      </c>
      <c r="F160" s="10"/>
      <c r="G160" s="9"/>
      <c r="H160" s="11"/>
      <c r="I160" s="9" t="s">
        <v>13</v>
      </c>
      <c r="J160" s="55"/>
    </row>
    <row r="161">
      <c r="A161" s="54" t="s">
        <v>332</v>
      </c>
      <c r="B161" s="11"/>
      <c r="C161" s="8" t="s">
        <v>11</v>
      </c>
      <c r="D161" s="8" t="str">
        <f t="shared" si="1"/>
        <v>-</v>
      </c>
      <c r="E161" s="9" t="s">
        <v>11</v>
      </c>
      <c r="F161" s="10"/>
      <c r="G161" s="9"/>
      <c r="H161" s="11"/>
      <c r="I161" s="9" t="s">
        <v>13</v>
      </c>
      <c r="J161" s="55"/>
    </row>
    <row r="162">
      <c r="A162" s="54" t="s">
        <v>332</v>
      </c>
      <c r="B162" s="11"/>
      <c r="C162" s="8" t="s">
        <v>11</v>
      </c>
      <c r="D162" s="8" t="str">
        <f t="shared" si="1"/>
        <v>-</v>
      </c>
      <c r="E162" s="9" t="s">
        <v>11</v>
      </c>
      <c r="F162" s="10"/>
      <c r="G162" s="9"/>
      <c r="H162" s="11"/>
      <c r="I162" s="9" t="s">
        <v>13</v>
      </c>
      <c r="J162" s="55"/>
    </row>
    <row r="163">
      <c r="A163" s="54" t="s">
        <v>332</v>
      </c>
      <c r="B163" s="11"/>
      <c r="C163" s="8" t="s">
        <v>11</v>
      </c>
      <c r="D163" s="8" t="str">
        <f t="shared" si="1"/>
        <v>-</v>
      </c>
      <c r="E163" s="9" t="s">
        <v>11</v>
      </c>
      <c r="F163" s="10"/>
      <c r="G163" s="9"/>
      <c r="H163" s="11"/>
      <c r="I163" s="9" t="s">
        <v>13</v>
      </c>
      <c r="J163" s="55"/>
    </row>
    <row r="164">
      <c r="A164" s="54" t="s">
        <v>332</v>
      </c>
      <c r="B164" s="11"/>
      <c r="C164" s="8" t="s">
        <v>11</v>
      </c>
      <c r="D164" s="8" t="str">
        <f t="shared" si="1"/>
        <v>-</v>
      </c>
      <c r="E164" s="9" t="s">
        <v>11</v>
      </c>
      <c r="F164" s="10"/>
      <c r="G164" s="9"/>
      <c r="H164" s="11"/>
      <c r="I164" s="9" t="s">
        <v>13</v>
      </c>
      <c r="J164" s="55"/>
    </row>
    <row r="165">
      <c r="A165" s="54" t="s">
        <v>332</v>
      </c>
      <c r="B165" s="11"/>
      <c r="C165" s="8" t="s">
        <v>11</v>
      </c>
      <c r="D165" s="8" t="str">
        <f t="shared" si="1"/>
        <v>-</v>
      </c>
      <c r="E165" s="9" t="s">
        <v>11</v>
      </c>
      <c r="F165" s="10"/>
      <c r="G165" s="9"/>
      <c r="H165" s="11"/>
      <c r="I165" s="9" t="s">
        <v>13</v>
      </c>
      <c r="J165" s="55"/>
    </row>
    <row r="166">
      <c r="A166" s="54" t="s">
        <v>332</v>
      </c>
      <c r="B166" s="11"/>
      <c r="C166" s="8" t="s">
        <v>11</v>
      </c>
      <c r="D166" s="8" t="str">
        <f t="shared" si="1"/>
        <v>-</v>
      </c>
      <c r="E166" s="9" t="s">
        <v>11</v>
      </c>
      <c r="F166" s="10"/>
      <c r="G166" s="9"/>
      <c r="H166" s="11"/>
      <c r="I166" s="9" t="s">
        <v>13</v>
      </c>
      <c r="J166" s="55"/>
    </row>
    <row r="167">
      <c r="A167" s="54" t="s">
        <v>332</v>
      </c>
      <c r="B167" s="11"/>
      <c r="C167" s="8" t="s">
        <v>11</v>
      </c>
      <c r="D167" s="8" t="str">
        <f t="shared" si="1"/>
        <v>-</v>
      </c>
      <c r="E167" s="9" t="s">
        <v>11</v>
      </c>
      <c r="F167" s="10"/>
      <c r="G167" s="9"/>
      <c r="H167" s="11"/>
      <c r="I167" s="9" t="s">
        <v>13</v>
      </c>
      <c r="J167" s="55"/>
    </row>
    <row r="168">
      <c r="A168" s="54" t="s">
        <v>332</v>
      </c>
      <c r="B168" s="11"/>
      <c r="C168" s="8" t="s">
        <v>11</v>
      </c>
      <c r="D168" s="8" t="str">
        <f t="shared" si="1"/>
        <v>-</v>
      </c>
      <c r="E168" s="9" t="s">
        <v>11</v>
      </c>
      <c r="F168" s="10"/>
      <c r="G168" s="9"/>
      <c r="H168" s="11"/>
      <c r="I168" s="9" t="s">
        <v>13</v>
      </c>
      <c r="J168" s="55"/>
    </row>
    <row r="169">
      <c r="A169" s="54" t="s">
        <v>332</v>
      </c>
      <c r="B169" s="11"/>
      <c r="C169" s="8" t="s">
        <v>11</v>
      </c>
      <c r="D169" s="8" t="str">
        <f t="shared" si="1"/>
        <v>-</v>
      </c>
      <c r="E169" s="9" t="s">
        <v>11</v>
      </c>
      <c r="F169" s="10"/>
      <c r="G169" s="9"/>
      <c r="H169" s="11"/>
      <c r="I169" s="9" t="s">
        <v>13</v>
      </c>
      <c r="J169" s="55"/>
    </row>
    <row r="170">
      <c r="A170" s="54" t="s">
        <v>332</v>
      </c>
      <c r="B170" s="11"/>
      <c r="C170" s="8" t="s">
        <v>11</v>
      </c>
      <c r="D170" s="8" t="str">
        <f t="shared" si="1"/>
        <v>-</v>
      </c>
      <c r="E170" s="9" t="s">
        <v>11</v>
      </c>
      <c r="F170" s="10"/>
      <c r="G170" s="9"/>
      <c r="H170" s="11"/>
      <c r="I170" s="9" t="s">
        <v>13</v>
      </c>
      <c r="J170" s="55"/>
    </row>
    <row r="171">
      <c r="A171" s="54" t="s">
        <v>332</v>
      </c>
      <c r="B171" s="11"/>
      <c r="C171" s="8" t="s">
        <v>11</v>
      </c>
      <c r="D171" s="8" t="str">
        <f t="shared" si="1"/>
        <v>-</v>
      </c>
      <c r="E171" s="9" t="s">
        <v>11</v>
      </c>
      <c r="F171" s="10"/>
      <c r="G171" s="9"/>
      <c r="H171" s="11"/>
      <c r="I171" s="9" t="s">
        <v>13</v>
      </c>
      <c r="J171" s="55"/>
    </row>
    <row r="172">
      <c r="A172" s="54" t="s">
        <v>332</v>
      </c>
      <c r="B172" s="11"/>
      <c r="C172" s="8" t="s">
        <v>11</v>
      </c>
      <c r="D172" s="8" t="str">
        <f t="shared" si="1"/>
        <v>-</v>
      </c>
      <c r="E172" s="9" t="s">
        <v>11</v>
      </c>
      <c r="F172" s="10"/>
      <c r="G172" s="9"/>
      <c r="H172" s="11"/>
      <c r="I172" s="9" t="s">
        <v>13</v>
      </c>
      <c r="J172" s="55"/>
    </row>
    <row r="173">
      <c r="A173" s="54" t="s">
        <v>332</v>
      </c>
      <c r="B173" s="11"/>
      <c r="C173" s="8" t="s">
        <v>11</v>
      </c>
      <c r="D173" s="8" t="str">
        <f t="shared" si="1"/>
        <v>-</v>
      </c>
      <c r="E173" s="9" t="s">
        <v>11</v>
      </c>
      <c r="F173" s="10"/>
      <c r="G173" s="9"/>
      <c r="H173" s="11"/>
      <c r="I173" s="9" t="s">
        <v>13</v>
      </c>
      <c r="J173" s="55"/>
    </row>
    <row r="174">
      <c r="A174" s="54" t="s">
        <v>332</v>
      </c>
      <c r="B174" s="11"/>
      <c r="C174" s="8" t="s">
        <v>11</v>
      </c>
      <c r="D174" s="8" t="str">
        <f t="shared" si="1"/>
        <v>-</v>
      </c>
      <c r="E174" s="9" t="s">
        <v>11</v>
      </c>
      <c r="F174" s="10"/>
      <c r="G174" s="9"/>
      <c r="H174" s="11"/>
      <c r="I174" s="9" t="s">
        <v>13</v>
      </c>
      <c r="J174" s="55"/>
    </row>
    <row r="175">
      <c r="A175" s="54" t="s">
        <v>332</v>
      </c>
      <c r="B175" s="11"/>
      <c r="C175" s="8" t="s">
        <v>11</v>
      </c>
      <c r="D175" s="8" t="str">
        <f t="shared" si="1"/>
        <v>-</v>
      </c>
      <c r="E175" s="9" t="s">
        <v>11</v>
      </c>
      <c r="F175" s="10"/>
      <c r="G175" s="9"/>
      <c r="H175" s="11"/>
      <c r="I175" s="9" t="s">
        <v>13</v>
      </c>
      <c r="J175" s="55"/>
    </row>
    <row r="176">
      <c r="A176" s="54" t="s">
        <v>332</v>
      </c>
      <c r="B176" s="11"/>
      <c r="C176" s="8" t="s">
        <v>11</v>
      </c>
      <c r="D176" s="8" t="str">
        <f t="shared" si="1"/>
        <v>-</v>
      </c>
      <c r="E176" s="9" t="s">
        <v>11</v>
      </c>
      <c r="F176" s="10"/>
      <c r="G176" s="9"/>
      <c r="H176" s="11"/>
      <c r="I176" s="9" t="s">
        <v>13</v>
      </c>
      <c r="J176" s="55"/>
    </row>
    <row r="177">
      <c r="A177" s="54" t="s">
        <v>332</v>
      </c>
      <c r="B177" s="11"/>
      <c r="C177" s="8" t="s">
        <v>11</v>
      </c>
      <c r="D177" s="8" t="str">
        <f t="shared" si="1"/>
        <v>-</v>
      </c>
      <c r="E177" s="9" t="s">
        <v>11</v>
      </c>
      <c r="F177" s="10"/>
      <c r="G177" s="9"/>
      <c r="H177" s="11"/>
      <c r="I177" s="9" t="s">
        <v>13</v>
      </c>
      <c r="J177" s="55"/>
    </row>
    <row r="178">
      <c r="A178" s="54" t="s">
        <v>332</v>
      </c>
      <c r="B178" s="11"/>
      <c r="C178" s="8" t="s">
        <v>11</v>
      </c>
      <c r="D178" s="8" t="str">
        <f t="shared" si="1"/>
        <v>-</v>
      </c>
      <c r="E178" s="9" t="s">
        <v>11</v>
      </c>
      <c r="F178" s="10"/>
      <c r="G178" s="9"/>
      <c r="H178" s="11"/>
      <c r="I178" s="9" t="s">
        <v>13</v>
      </c>
      <c r="J178" s="55"/>
    </row>
    <row r="179">
      <c r="A179" s="54" t="s">
        <v>332</v>
      </c>
      <c r="B179" s="11"/>
      <c r="C179" s="8" t="s">
        <v>11</v>
      </c>
      <c r="D179" s="8" t="str">
        <f t="shared" si="1"/>
        <v>-</v>
      </c>
      <c r="E179" s="9" t="s">
        <v>11</v>
      </c>
      <c r="F179" s="10"/>
      <c r="G179" s="9"/>
      <c r="H179" s="11"/>
      <c r="I179" s="9" t="s">
        <v>13</v>
      </c>
      <c r="J179" s="55"/>
    </row>
    <row r="180">
      <c r="A180" s="54" t="s">
        <v>332</v>
      </c>
      <c r="B180" s="11"/>
      <c r="C180" s="8" t="s">
        <v>11</v>
      </c>
      <c r="D180" s="8" t="str">
        <f t="shared" si="1"/>
        <v>-</v>
      </c>
      <c r="E180" s="9" t="s">
        <v>11</v>
      </c>
      <c r="F180" s="10"/>
      <c r="G180" s="9"/>
      <c r="H180" s="11"/>
      <c r="I180" s="9" t="s">
        <v>13</v>
      </c>
      <c r="J180" s="55"/>
    </row>
    <row r="181">
      <c r="A181" s="54" t="s">
        <v>332</v>
      </c>
      <c r="B181" s="11"/>
      <c r="C181" s="8" t="s">
        <v>11</v>
      </c>
      <c r="D181" s="8" t="str">
        <f t="shared" si="1"/>
        <v>-</v>
      </c>
      <c r="E181" s="9" t="s">
        <v>11</v>
      </c>
      <c r="F181" s="10"/>
      <c r="G181" s="9"/>
      <c r="H181" s="11"/>
      <c r="I181" s="9" t="s">
        <v>13</v>
      </c>
      <c r="J181" s="55"/>
    </row>
    <row r="182">
      <c r="A182" s="54" t="s">
        <v>332</v>
      </c>
      <c r="B182" s="11"/>
      <c r="C182" s="8" t="s">
        <v>11</v>
      </c>
      <c r="D182" s="8" t="str">
        <f t="shared" si="1"/>
        <v>-</v>
      </c>
      <c r="E182" s="9" t="s">
        <v>11</v>
      </c>
      <c r="F182" s="10"/>
      <c r="G182" s="9"/>
      <c r="H182" s="11"/>
      <c r="I182" s="9" t="s">
        <v>13</v>
      </c>
      <c r="J182" s="55"/>
    </row>
    <row r="183">
      <c r="A183" s="54" t="s">
        <v>332</v>
      </c>
      <c r="B183" s="11"/>
      <c r="C183" s="8" t="s">
        <v>11</v>
      </c>
      <c r="D183" s="8" t="str">
        <f t="shared" si="1"/>
        <v>-</v>
      </c>
      <c r="E183" s="9" t="s">
        <v>11</v>
      </c>
      <c r="F183" s="10"/>
      <c r="G183" s="9"/>
      <c r="H183" s="11"/>
      <c r="I183" s="9" t="s">
        <v>13</v>
      </c>
      <c r="J183" s="55"/>
    </row>
    <row r="184">
      <c r="A184" s="54" t="s">
        <v>332</v>
      </c>
      <c r="B184" s="11"/>
      <c r="C184" s="8" t="s">
        <v>11</v>
      </c>
      <c r="D184" s="8" t="str">
        <f t="shared" si="1"/>
        <v>-</v>
      </c>
      <c r="E184" s="9" t="s">
        <v>11</v>
      </c>
      <c r="F184" s="10"/>
      <c r="G184" s="9"/>
      <c r="H184" s="11"/>
      <c r="I184" s="9" t="s">
        <v>13</v>
      </c>
      <c r="J184" s="55"/>
    </row>
    <row r="185">
      <c r="A185" s="54" t="s">
        <v>332</v>
      </c>
      <c r="B185" s="11"/>
      <c r="C185" s="8" t="s">
        <v>11</v>
      </c>
      <c r="D185" s="8" t="str">
        <f t="shared" si="1"/>
        <v>-</v>
      </c>
      <c r="E185" s="9" t="s">
        <v>11</v>
      </c>
      <c r="F185" s="10"/>
      <c r="G185" s="9"/>
      <c r="H185" s="11"/>
      <c r="I185" s="9" t="s">
        <v>13</v>
      </c>
      <c r="J185" s="55"/>
    </row>
    <row r="186">
      <c r="A186" s="54" t="s">
        <v>332</v>
      </c>
      <c r="B186" s="11"/>
      <c r="C186" s="8" t="s">
        <v>11</v>
      </c>
      <c r="D186" s="8" t="str">
        <f t="shared" si="1"/>
        <v>-</v>
      </c>
      <c r="E186" s="9" t="s">
        <v>11</v>
      </c>
      <c r="F186" s="10"/>
      <c r="G186" s="9"/>
      <c r="H186" s="11"/>
      <c r="I186" s="9" t="s">
        <v>13</v>
      </c>
      <c r="J186" s="55"/>
    </row>
    <row r="187">
      <c r="A187" s="54" t="s">
        <v>332</v>
      </c>
      <c r="B187" s="11"/>
      <c r="C187" s="8" t="s">
        <v>11</v>
      </c>
      <c r="D187" s="8" t="str">
        <f t="shared" si="1"/>
        <v>-</v>
      </c>
      <c r="E187" s="9" t="s">
        <v>11</v>
      </c>
      <c r="F187" s="10"/>
      <c r="G187" s="9"/>
      <c r="H187" s="11"/>
      <c r="I187" s="9" t="s">
        <v>13</v>
      </c>
      <c r="J187" s="55"/>
    </row>
    <row r="188">
      <c r="A188" s="54" t="s">
        <v>332</v>
      </c>
      <c r="B188" s="11"/>
      <c r="C188" s="8" t="s">
        <v>11</v>
      </c>
      <c r="D188" s="8" t="str">
        <f t="shared" si="1"/>
        <v>-</v>
      </c>
      <c r="E188" s="9" t="s">
        <v>11</v>
      </c>
      <c r="F188" s="10"/>
      <c r="G188" s="9"/>
      <c r="H188" s="11"/>
      <c r="I188" s="9" t="s">
        <v>13</v>
      </c>
      <c r="J188" s="55"/>
    </row>
    <row r="189">
      <c r="A189" s="54" t="s">
        <v>332</v>
      </c>
      <c r="B189" s="11"/>
      <c r="C189" s="8" t="s">
        <v>11</v>
      </c>
      <c r="D189" s="8" t="str">
        <f t="shared" si="1"/>
        <v>-</v>
      </c>
      <c r="E189" s="9" t="s">
        <v>11</v>
      </c>
      <c r="F189" s="10"/>
      <c r="G189" s="9"/>
      <c r="H189" s="11"/>
      <c r="I189" s="9" t="s">
        <v>13</v>
      </c>
      <c r="J189" s="55"/>
    </row>
    <row r="190">
      <c r="A190" s="54" t="s">
        <v>332</v>
      </c>
      <c r="B190" s="11"/>
      <c r="C190" s="8" t="s">
        <v>11</v>
      </c>
      <c r="D190" s="8" t="str">
        <f t="shared" si="1"/>
        <v>-</v>
      </c>
      <c r="E190" s="9" t="s">
        <v>11</v>
      </c>
      <c r="F190" s="10"/>
      <c r="G190" s="9"/>
      <c r="H190" s="11"/>
      <c r="I190" s="9" t="s">
        <v>13</v>
      </c>
      <c r="J190" s="55"/>
    </row>
    <row r="191">
      <c r="A191" s="54" t="s">
        <v>332</v>
      </c>
      <c r="B191" s="11"/>
      <c r="C191" s="8" t="s">
        <v>11</v>
      </c>
      <c r="D191" s="8" t="str">
        <f t="shared" si="1"/>
        <v>-</v>
      </c>
      <c r="E191" s="9" t="s">
        <v>11</v>
      </c>
      <c r="F191" s="10"/>
      <c r="G191" s="9"/>
      <c r="H191" s="11"/>
      <c r="I191" s="9" t="s">
        <v>13</v>
      </c>
      <c r="J191" s="55"/>
    </row>
    <row r="192">
      <c r="A192" s="54" t="s">
        <v>332</v>
      </c>
      <c r="B192" s="11"/>
      <c r="C192" s="8" t="s">
        <v>11</v>
      </c>
      <c r="D192" s="8" t="str">
        <f t="shared" si="1"/>
        <v>-</v>
      </c>
      <c r="E192" s="9" t="s">
        <v>11</v>
      </c>
      <c r="F192" s="10"/>
      <c r="G192" s="9"/>
      <c r="H192" s="11"/>
      <c r="I192" s="9" t="s">
        <v>13</v>
      </c>
      <c r="J192" s="55"/>
    </row>
    <row r="193">
      <c r="A193" s="54" t="s">
        <v>332</v>
      </c>
      <c r="B193" s="11"/>
      <c r="C193" s="8" t="s">
        <v>11</v>
      </c>
      <c r="D193" s="8" t="str">
        <f t="shared" si="1"/>
        <v>-</v>
      </c>
      <c r="E193" s="9" t="s">
        <v>11</v>
      </c>
      <c r="F193" s="10"/>
      <c r="G193" s="9"/>
      <c r="H193" s="11"/>
      <c r="I193" s="9" t="s">
        <v>13</v>
      </c>
      <c r="J193" s="55"/>
    </row>
    <row r="194">
      <c r="A194" s="54" t="s">
        <v>332</v>
      </c>
      <c r="B194" s="11"/>
      <c r="C194" s="8" t="s">
        <v>11</v>
      </c>
      <c r="D194" s="8" t="str">
        <f t="shared" si="1"/>
        <v>-</v>
      </c>
      <c r="E194" s="9" t="s">
        <v>11</v>
      </c>
      <c r="F194" s="10"/>
      <c r="G194" s="9"/>
      <c r="H194" s="11"/>
      <c r="I194" s="9" t="s">
        <v>13</v>
      </c>
      <c r="J194" s="55"/>
    </row>
    <row r="195">
      <c r="A195" s="54" t="s">
        <v>332</v>
      </c>
      <c r="B195" s="11"/>
      <c r="C195" s="8" t="s">
        <v>11</v>
      </c>
      <c r="D195" s="8" t="str">
        <f t="shared" si="1"/>
        <v>-</v>
      </c>
      <c r="E195" s="9" t="s">
        <v>11</v>
      </c>
      <c r="F195" s="10"/>
      <c r="G195" s="9"/>
      <c r="H195" s="11"/>
      <c r="I195" s="9" t="s">
        <v>13</v>
      </c>
      <c r="J195" s="55"/>
    </row>
    <row r="196">
      <c r="A196" s="54" t="s">
        <v>332</v>
      </c>
      <c r="B196" s="11"/>
      <c r="C196" s="8" t="s">
        <v>11</v>
      </c>
      <c r="D196" s="8" t="str">
        <f t="shared" si="1"/>
        <v>-</v>
      </c>
      <c r="E196" s="9" t="s">
        <v>11</v>
      </c>
      <c r="F196" s="10"/>
      <c r="G196" s="9"/>
      <c r="H196" s="11"/>
      <c r="I196" s="9" t="s">
        <v>13</v>
      </c>
      <c r="J196" s="55"/>
    </row>
    <row r="197">
      <c r="A197" s="54" t="s">
        <v>332</v>
      </c>
      <c r="B197" s="11"/>
      <c r="C197" s="8" t="s">
        <v>11</v>
      </c>
      <c r="D197" s="8" t="str">
        <f t="shared" si="1"/>
        <v>-</v>
      </c>
      <c r="E197" s="9" t="s">
        <v>11</v>
      </c>
      <c r="F197" s="10"/>
      <c r="G197" s="9"/>
      <c r="H197" s="11"/>
      <c r="I197" s="9" t="s">
        <v>13</v>
      </c>
      <c r="J197" s="55"/>
    </row>
    <row r="198">
      <c r="A198" s="54" t="s">
        <v>332</v>
      </c>
      <c r="B198" s="11"/>
      <c r="C198" s="8" t="s">
        <v>11</v>
      </c>
      <c r="D198" s="8" t="str">
        <f t="shared" si="1"/>
        <v>-</v>
      </c>
      <c r="E198" s="9" t="s">
        <v>11</v>
      </c>
      <c r="F198" s="10"/>
      <c r="G198" s="9"/>
      <c r="H198" s="11"/>
      <c r="I198" s="9" t="s">
        <v>13</v>
      </c>
      <c r="J198" s="55"/>
    </row>
    <row r="199">
      <c r="A199" s="54" t="s">
        <v>332</v>
      </c>
      <c r="B199" s="11"/>
      <c r="C199" s="8" t="s">
        <v>11</v>
      </c>
      <c r="D199" s="8" t="str">
        <f t="shared" si="1"/>
        <v>-</v>
      </c>
      <c r="E199" s="9" t="s">
        <v>11</v>
      </c>
      <c r="F199" s="10"/>
      <c r="G199" s="9"/>
      <c r="H199" s="11"/>
      <c r="I199" s="9" t="s">
        <v>13</v>
      </c>
      <c r="J199" s="55"/>
    </row>
    <row r="200">
      <c r="A200" s="54" t="s">
        <v>332</v>
      </c>
      <c r="B200" s="11"/>
      <c r="C200" s="8" t="s">
        <v>11</v>
      </c>
      <c r="D200" s="8" t="str">
        <f t="shared" si="1"/>
        <v>-</v>
      </c>
      <c r="E200" s="9" t="s">
        <v>11</v>
      </c>
      <c r="F200" s="10"/>
      <c r="G200" s="9"/>
      <c r="H200" s="11"/>
      <c r="I200" s="9" t="s">
        <v>13</v>
      </c>
      <c r="J200" s="55"/>
    </row>
    <row r="201">
      <c r="A201" s="54" t="s">
        <v>332</v>
      </c>
      <c r="B201" s="11"/>
      <c r="C201" s="8" t="s">
        <v>11</v>
      </c>
      <c r="D201" s="8" t="str">
        <f t="shared" si="1"/>
        <v>-</v>
      </c>
      <c r="E201" s="9" t="s">
        <v>11</v>
      </c>
      <c r="F201" s="10"/>
      <c r="G201" s="9"/>
      <c r="H201" s="11"/>
      <c r="I201" s="9" t="s">
        <v>13</v>
      </c>
      <c r="J201" s="55"/>
    </row>
    <row r="202">
      <c r="A202" s="54" t="s">
        <v>332</v>
      </c>
      <c r="B202" s="11"/>
      <c r="C202" s="8" t="s">
        <v>11</v>
      </c>
      <c r="D202" s="8" t="str">
        <f t="shared" si="1"/>
        <v>-</v>
      </c>
      <c r="E202" s="9" t="s">
        <v>11</v>
      </c>
      <c r="F202" s="10"/>
      <c r="G202" s="9"/>
      <c r="H202" s="11"/>
      <c r="I202" s="9" t="s">
        <v>13</v>
      </c>
      <c r="J202" s="55"/>
    </row>
    <row r="203">
      <c r="A203" s="54" t="s">
        <v>332</v>
      </c>
      <c r="B203" s="11"/>
      <c r="C203" s="8" t="s">
        <v>11</v>
      </c>
      <c r="D203" s="8" t="str">
        <f t="shared" si="1"/>
        <v>-</v>
      </c>
      <c r="E203" s="9" t="s">
        <v>11</v>
      </c>
      <c r="F203" s="10"/>
      <c r="G203" s="9"/>
      <c r="H203" s="11"/>
      <c r="I203" s="9" t="s">
        <v>13</v>
      </c>
      <c r="J203" s="55"/>
    </row>
    <row r="204">
      <c r="A204" s="54" t="s">
        <v>332</v>
      </c>
      <c r="B204" s="11"/>
      <c r="C204" s="8" t="s">
        <v>11</v>
      </c>
      <c r="D204" s="8" t="str">
        <f t="shared" si="1"/>
        <v>-</v>
      </c>
      <c r="E204" s="9" t="s">
        <v>11</v>
      </c>
      <c r="F204" s="10"/>
      <c r="G204" s="9"/>
      <c r="H204" s="11"/>
      <c r="I204" s="9" t="s">
        <v>13</v>
      </c>
      <c r="J204" s="55"/>
    </row>
    <row r="205">
      <c r="A205" s="54" t="s">
        <v>332</v>
      </c>
      <c r="B205" s="11"/>
      <c r="C205" s="8" t="s">
        <v>11</v>
      </c>
      <c r="D205" s="8" t="str">
        <f t="shared" si="1"/>
        <v>-</v>
      </c>
      <c r="E205" s="9" t="s">
        <v>11</v>
      </c>
      <c r="F205" s="10"/>
      <c r="G205" s="9"/>
      <c r="H205" s="11"/>
      <c r="I205" s="9" t="s">
        <v>13</v>
      </c>
      <c r="J205" s="55"/>
    </row>
    <row r="206">
      <c r="A206" s="54" t="s">
        <v>332</v>
      </c>
      <c r="B206" s="11"/>
      <c r="C206" s="8" t="s">
        <v>11</v>
      </c>
      <c r="D206" s="8" t="str">
        <f t="shared" si="1"/>
        <v>-</v>
      </c>
      <c r="E206" s="9" t="s">
        <v>11</v>
      </c>
      <c r="F206" s="10"/>
      <c r="G206" s="9"/>
      <c r="H206" s="11"/>
      <c r="I206" s="9" t="s">
        <v>13</v>
      </c>
      <c r="J206" s="55"/>
    </row>
    <row r="207">
      <c r="A207" s="54" t="s">
        <v>332</v>
      </c>
      <c r="B207" s="11"/>
      <c r="C207" s="8" t="s">
        <v>11</v>
      </c>
      <c r="D207" s="8" t="str">
        <f t="shared" si="1"/>
        <v>-</v>
      </c>
      <c r="E207" s="9" t="s">
        <v>11</v>
      </c>
      <c r="F207" s="10"/>
      <c r="G207" s="9"/>
      <c r="H207" s="11"/>
      <c r="I207" s="9" t="s">
        <v>13</v>
      </c>
      <c r="J207" s="55"/>
    </row>
    <row r="208">
      <c r="A208" s="54" t="s">
        <v>332</v>
      </c>
      <c r="B208" s="11"/>
      <c r="C208" s="8" t="s">
        <v>11</v>
      </c>
      <c r="D208" s="8" t="str">
        <f t="shared" si="1"/>
        <v>-</v>
      </c>
      <c r="E208" s="9" t="s">
        <v>11</v>
      </c>
      <c r="F208" s="10"/>
      <c r="G208" s="9"/>
      <c r="H208" s="11"/>
      <c r="I208" s="9" t="s">
        <v>13</v>
      </c>
      <c r="J208" s="55"/>
    </row>
    <row r="209">
      <c r="A209" s="54" t="s">
        <v>332</v>
      </c>
      <c r="B209" s="11"/>
      <c r="C209" s="8" t="s">
        <v>11</v>
      </c>
      <c r="D209" s="8" t="str">
        <f t="shared" si="1"/>
        <v>-</v>
      </c>
      <c r="E209" s="9" t="s">
        <v>11</v>
      </c>
      <c r="F209" s="10"/>
      <c r="G209" s="9"/>
      <c r="H209" s="11"/>
      <c r="I209" s="9" t="s">
        <v>13</v>
      </c>
      <c r="J209" s="55"/>
    </row>
    <row r="210">
      <c r="A210" s="54" t="s">
        <v>332</v>
      </c>
      <c r="B210" s="11"/>
      <c r="C210" s="8" t="s">
        <v>11</v>
      </c>
      <c r="D210" s="8" t="str">
        <f t="shared" si="1"/>
        <v>-</v>
      </c>
      <c r="E210" s="9" t="s">
        <v>11</v>
      </c>
      <c r="F210" s="10"/>
      <c r="G210" s="9"/>
      <c r="H210" s="11"/>
      <c r="I210" s="9" t="s">
        <v>13</v>
      </c>
      <c r="J210" s="55"/>
    </row>
    <row r="211">
      <c r="A211" s="54" t="s">
        <v>332</v>
      </c>
      <c r="B211" s="11"/>
      <c r="C211" s="8" t="s">
        <v>11</v>
      </c>
      <c r="D211" s="8" t="str">
        <f t="shared" si="1"/>
        <v>-</v>
      </c>
      <c r="E211" s="9" t="s">
        <v>11</v>
      </c>
      <c r="F211" s="10"/>
      <c r="G211" s="9"/>
      <c r="H211" s="11"/>
      <c r="I211" s="9" t="s">
        <v>13</v>
      </c>
      <c r="J211" s="55"/>
    </row>
    <row r="212">
      <c r="A212" s="54" t="s">
        <v>332</v>
      </c>
      <c r="B212" s="11"/>
      <c r="C212" s="8" t="s">
        <v>11</v>
      </c>
      <c r="D212" s="8" t="str">
        <f t="shared" si="1"/>
        <v>-</v>
      </c>
      <c r="E212" s="9" t="s">
        <v>11</v>
      </c>
      <c r="F212" s="10"/>
      <c r="G212" s="9"/>
      <c r="H212" s="11"/>
      <c r="I212" s="9" t="s">
        <v>13</v>
      </c>
      <c r="J212" s="55"/>
    </row>
    <row r="213">
      <c r="A213" s="54" t="s">
        <v>332</v>
      </c>
      <c r="B213" s="11"/>
      <c r="C213" s="8" t="s">
        <v>11</v>
      </c>
      <c r="D213" s="8" t="str">
        <f t="shared" si="1"/>
        <v>-</v>
      </c>
      <c r="E213" s="9" t="s">
        <v>11</v>
      </c>
      <c r="F213" s="10"/>
      <c r="G213" s="9"/>
      <c r="H213" s="11"/>
      <c r="I213" s="9" t="s">
        <v>13</v>
      </c>
      <c r="J213" s="55"/>
    </row>
    <row r="214">
      <c r="A214" s="54" t="s">
        <v>332</v>
      </c>
      <c r="B214" s="11"/>
      <c r="C214" s="8" t="s">
        <v>11</v>
      </c>
      <c r="D214" s="8" t="str">
        <f t="shared" si="1"/>
        <v>-</v>
      </c>
      <c r="E214" s="9" t="s">
        <v>11</v>
      </c>
      <c r="F214" s="10"/>
      <c r="G214" s="9"/>
      <c r="H214" s="11"/>
      <c r="I214" s="9" t="s">
        <v>13</v>
      </c>
      <c r="J214" s="55"/>
    </row>
    <row r="215">
      <c r="A215" s="54" t="s">
        <v>332</v>
      </c>
      <c r="B215" s="11"/>
      <c r="C215" s="8" t="s">
        <v>11</v>
      </c>
      <c r="D215" s="8" t="str">
        <f t="shared" si="1"/>
        <v>-</v>
      </c>
      <c r="E215" s="9" t="s">
        <v>11</v>
      </c>
      <c r="F215" s="10"/>
      <c r="G215" s="9"/>
      <c r="H215" s="11"/>
      <c r="I215" s="9" t="s">
        <v>13</v>
      </c>
      <c r="J215" s="55"/>
    </row>
    <row r="216">
      <c r="A216" s="54" t="s">
        <v>332</v>
      </c>
      <c r="B216" s="11"/>
      <c r="C216" s="8" t="s">
        <v>11</v>
      </c>
      <c r="D216" s="8" t="str">
        <f t="shared" si="1"/>
        <v>-</v>
      </c>
      <c r="E216" s="9" t="s">
        <v>11</v>
      </c>
      <c r="F216" s="10"/>
      <c r="G216" s="9"/>
      <c r="H216" s="11"/>
      <c r="I216" s="9" t="s">
        <v>13</v>
      </c>
      <c r="J216" s="55"/>
    </row>
    <row r="217">
      <c r="A217" s="54" t="s">
        <v>332</v>
      </c>
      <c r="B217" s="11"/>
      <c r="C217" s="8" t="s">
        <v>11</v>
      </c>
      <c r="D217" s="8" t="str">
        <f t="shared" si="1"/>
        <v>-</v>
      </c>
      <c r="E217" s="9" t="s">
        <v>11</v>
      </c>
      <c r="F217" s="10"/>
      <c r="G217" s="9"/>
      <c r="H217" s="11"/>
      <c r="I217" s="9" t="s">
        <v>13</v>
      </c>
      <c r="J217" s="55"/>
    </row>
    <row r="218">
      <c r="A218" s="54" t="s">
        <v>332</v>
      </c>
      <c r="B218" s="11"/>
      <c r="C218" s="8" t="s">
        <v>11</v>
      </c>
      <c r="D218" s="8" t="str">
        <f t="shared" si="1"/>
        <v>-</v>
      </c>
      <c r="E218" s="9" t="s">
        <v>11</v>
      </c>
      <c r="F218" s="10"/>
      <c r="G218" s="9"/>
      <c r="H218" s="11"/>
      <c r="I218" s="9" t="s">
        <v>13</v>
      </c>
      <c r="J218" s="55"/>
    </row>
    <row r="219">
      <c r="A219" s="54" t="s">
        <v>332</v>
      </c>
      <c r="B219" s="11"/>
      <c r="C219" s="8" t="s">
        <v>11</v>
      </c>
      <c r="D219" s="8" t="str">
        <f t="shared" si="1"/>
        <v>-</v>
      </c>
      <c r="E219" s="9" t="s">
        <v>11</v>
      </c>
      <c r="F219" s="10"/>
      <c r="G219" s="9"/>
      <c r="H219" s="11"/>
      <c r="I219" s="9" t="s">
        <v>13</v>
      </c>
      <c r="J219" s="55"/>
    </row>
    <row r="220">
      <c r="A220" s="54" t="s">
        <v>332</v>
      </c>
      <c r="B220" s="11"/>
      <c r="C220" s="8" t="s">
        <v>11</v>
      </c>
      <c r="D220" s="8" t="str">
        <f t="shared" si="1"/>
        <v>-</v>
      </c>
      <c r="E220" s="9" t="s">
        <v>11</v>
      </c>
      <c r="F220" s="10"/>
      <c r="G220" s="9"/>
      <c r="H220" s="11"/>
      <c r="I220" s="9" t="s">
        <v>13</v>
      </c>
      <c r="J220" s="55"/>
    </row>
    <row r="221">
      <c r="A221" s="54" t="s">
        <v>332</v>
      </c>
      <c r="B221" s="11"/>
      <c r="C221" s="8" t="s">
        <v>11</v>
      </c>
      <c r="D221" s="8" t="str">
        <f t="shared" si="1"/>
        <v>-</v>
      </c>
      <c r="E221" s="9" t="s">
        <v>11</v>
      </c>
      <c r="F221" s="10"/>
      <c r="G221" s="9"/>
      <c r="H221" s="11"/>
      <c r="I221" s="9" t="s">
        <v>13</v>
      </c>
      <c r="J221" s="55"/>
    </row>
    <row r="222">
      <c r="A222" s="54" t="s">
        <v>332</v>
      </c>
      <c r="B222" s="11"/>
      <c r="C222" s="8" t="s">
        <v>11</v>
      </c>
      <c r="D222" s="8" t="str">
        <f t="shared" si="1"/>
        <v>-</v>
      </c>
      <c r="E222" s="9" t="s">
        <v>11</v>
      </c>
      <c r="F222" s="10"/>
      <c r="G222" s="9"/>
      <c r="H222" s="11"/>
      <c r="I222" s="9" t="s">
        <v>13</v>
      </c>
      <c r="J222" s="55"/>
    </row>
    <row r="223">
      <c r="A223" s="54" t="s">
        <v>332</v>
      </c>
      <c r="B223" s="11"/>
      <c r="C223" s="8" t="s">
        <v>11</v>
      </c>
      <c r="D223" s="8" t="str">
        <f t="shared" si="1"/>
        <v>-</v>
      </c>
      <c r="E223" s="9" t="s">
        <v>11</v>
      </c>
      <c r="F223" s="10"/>
      <c r="G223" s="9"/>
      <c r="H223" s="11"/>
      <c r="I223" s="9" t="s">
        <v>13</v>
      </c>
      <c r="J223" s="55"/>
    </row>
    <row r="224">
      <c r="A224" s="54" t="s">
        <v>332</v>
      </c>
      <c r="B224" s="11"/>
      <c r="C224" s="8" t="s">
        <v>11</v>
      </c>
      <c r="D224" s="8" t="str">
        <f t="shared" si="1"/>
        <v>-</v>
      </c>
      <c r="E224" s="9" t="s">
        <v>11</v>
      </c>
      <c r="F224" s="10"/>
      <c r="G224" s="9"/>
      <c r="H224" s="11"/>
      <c r="I224" s="9" t="s">
        <v>13</v>
      </c>
      <c r="J224" s="55"/>
    </row>
    <row r="225">
      <c r="A225" s="54" t="s">
        <v>332</v>
      </c>
      <c r="B225" s="11"/>
      <c r="C225" s="8" t="s">
        <v>11</v>
      </c>
      <c r="D225" s="8" t="str">
        <f t="shared" si="1"/>
        <v>-</v>
      </c>
      <c r="E225" s="9" t="s">
        <v>11</v>
      </c>
      <c r="F225" s="10"/>
      <c r="G225" s="9"/>
      <c r="H225" s="11"/>
      <c r="I225" s="9" t="s">
        <v>13</v>
      </c>
      <c r="J225" s="55"/>
    </row>
    <row r="226">
      <c r="A226" s="54" t="s">
        <v>332</v>
      </c>
      <c r="B226" s="11"/>
      <c r="C226" s="8" t="s">
        <v>11</v>
      </c>
      <c r="D226" s="8" t="str">
        <f t="shared" si="1"/>
        <v>-</v>
      </c>
      <c r="E226" s="9" t="s">
        <v>11</v>
      </c>
      <c r="F226" s="10"/>
      <c r="G226" s="9"/>
      <c r="H226" s="11"/>
      <c r="I226" s="9" t="s">
        <v>13</v>
      </c>
      <c r="J226" s="55"/>
    </row>
    <row r="227">
      <c r="A227" s="54" t="s">
        <v>332</v>
      </c>
      <c r="B227" s="11"/>
      <c r="C227" s="8" t="s">
        <v>11</v>
      </c>
      <c r="D227" s="8" t="str">
        <f t="shared" si="1"/>
        <v>-</v>
      </c>
      <c r="E227" s="9" t="s">
        <v>11</v>
      </c>
      <c r="F227" s="10"/>
      <c r="G227" s="9"/>
      <c r="H227" s="11"/>
      <c r="I227" s="9" t="s">
        <v>13</v>
      </c>
      <c r="J227" s="55"/>
    </row>
    <row r="228">
      <c r="A228" s="54" t="s">
        <v>332</v>
      </c>
      <c r="B228" s="11"/>
      <c r="C228" s="8" t="s">
        <v>11</v>
      </c>
      <c r="D228" s="8" t="str">
        <f t="shared" si="1"/>
        <v>-</v>
      </c>
      <c r="E228" s="9" t="s">
        <v>11</v>
      </c>
      <c r="F228" s="10"/>
      <c r="G228" s="9"/>
      <c r="H228" s="11"/>
      <c r="I228" s="9" t="s">
        <v>13</v>
      </c>
      <c r="J228" s="55"/>
    </row>
    <row r="229">
      <c r="A229" s="54" t="s">
        <v>332</v>
      </c>
      <c r="B229" s="11"/>
      <c r="C229" s="8" t="s">
        <v>11</v>
      </c>
      <c r="D229" s="8" t="str">
        <f t="shared" si="1"/>
        <v>-</v>
      </c>
      <c r="E229" s="9" t="s">
        <v>11</v>
      </c>
      <c r="F229" s="10"/>
      <c r="G229" s="9"/>
      <c r="H229" s="11"/>
      <c r="I229" s="9" t="s">
        <v>13</v>
      </c>
      <c r="J229" s="55"/>
    </row>
    <row r="230">
      <c r="A230" s="54" t="s">
        <v>332</v>
      </c>
      <c r="B230" s="11"/>
      <c r="C230" s="8" t="s">
        <v>11</v>
      </c>
      <c r="D230" s="8" t="str">
        <f t="shared" si="1"/>
        <v>-</v>
      </c>
      <c r="E230" s="9" t="s">
        <v>11</v>
      </c>
      <c r="F230" s="10"/>
      <c r="G230" s="9"/>
      <c r="H230" s="11"/>
      <c r="I230" s="9" t="s">
        <v>13</v>
      </c>
      <c r="J230" s="55"/>
    </row>
    <row r="231">
      <c r="A231" s="54" t="s">
        <v>332</v>
      </c>
      <c r="B231" s="11"/>
      <c r="C231" s="8" t="s">
        <v>11</v>
      </c>
      <c r="D231" s="8" t="str">
        <f t="shared" si="1"/>
        <v>-</v>
      </c>
      <c r="E231" s="9" t="s">
        <v>11</v>
      </c>
      <c r="F231" s="10"/>
      <c r="G231" s="9"/>
      <c r="H231" s="11"/>
      <c r="I231" s="9" t="s">
        <v>13</v>
      </c>
      <c r="J231" s="55"/>
    </row>
    <row r="232">
      <c r="A232" s="54" t="s">
        <v>332</v>
      </c>
      <c r="B232" s="11"/>
      <c r="C232" s="8" t="s">
        <v>11</v>
      </c>
      <c r="D232" s="8" t="str">
        <f t="shared" si="1"/>
        <v>-</v>
      </c>
      <c r="E232" s="9" t="s">
        <v>11</v>
      </c>
      <c r="F232" s="10"/>
      <c r="G232" s="9"/>
      <c r="H232" s="11"/>
      <c r="I232" s="9" t="s">
        <v>13</v>
      </c>
      <c r="J232" s="55"/>
    </row>
    <row r="233">
      <c r="A233" s="54" t="s">
        <v>332</v>
      </c>
      <c r="B233" s="11"/>
      <c r="C233" s="8" t="s">
        <v>11</v>
      </c>
      <c r="D233" s="8" t="str">
        <f t="shared" si="1"/>
        <v>-</v>
      </c>
      <c r="E233" s="9" t="s">
        <v>11</v>
      </c>
      <c r="F233" s="10"/>
      <c r="G233" s="9"/>
      <c r="H233" s="11"/>
      <c r="I233" s="9" t="s">
        <v>13</v>
      </c>
      <c r="J233" s="55"/>
    </row>
    <row r="234">
      <c r="A234" s="54" t="s">
        <v>332</v>
      </c>
      <c r="B234" s="11"/>
      <c r="C234" s="8" t="s">
        <v>11</v>
      </c>
      <c r="D234" s="8" t="str">
        <f t="shared" si="1"/>
        <v>-</v>
      </c>
      <c r="E234" s="9" t="s">
        <v>11</v>
      </c>
      <c r="F234" s="10"/>
      <c r="G234" s="9"/>
      <c r="H234" s="11"/>
      <c r="I234" s="9" t="s">
        <v>13</v>
      </c>
      <c r="J234" s="55"/>
    </row>
    <row r="235">
      <c r="A235" s="54" t="s">
        <v>332</v>
      </c>
      <c r="B235" s="11"/>
      <c r="C235" s="8" t="s">
        <v>11</v>
      </c>
      <c r="D235" s="8" t="str">
        <f t="shared" si="1"/>
        <v>-</v>
      </c>
      <c r="E235" s="9" t="s">
        <v>11</v>
      </c>
      <c r="F235" s="10"/>
      <c r="G235" s="9"/>
      <c r="H235" s="11"/>
      <c r="I235" s="9" t="s">
        <v>13</v>
      </c>
      <c r="J235" s="55"/>
    </row>
    <row r="236">
      <c r="A236" s="54" t="s">
        <v>332</v>
      </c>
      <c r="B236" s="11"/>
      <c r="C236" s="8" t="s">
        <v>11</v>
      </c>
      <c r="D236" s="8" t="str">
        <f t="shared" si="1"/>
        <v>-</v>
      </c>
      <c r="E236" s="9" t="s">
        <v>11</v>
      </c>
      <c r="F236" s="10"/>
      <c r="G236" s="9"/>
      <c r="H236" s="11"/>
      <c r="I236" s="9" t="s">
        <v>13</v>
      </c>
      <c r="J236" s="55"/>
    </row>
    <row r="237">
      <c r="A237" s="54" t="s">
        <v>332</v>
      </c>
      <c r="B237" s="11"/>
      <c r="C237" s="8" t="s">
        <v>11</v>
      </c>
      <c r="D237" s="8" t="str">
        <f t="shared" si="1"/>
        <v>-</v>
      </c>
      <c r="E237" s="9" t="s">
        <v>11</v>
      </c>
      <c r="F237" s="10"/>
      <c r="G237" s="9"/>
      <c r="H237" s="11"/>
      <c r="I237" s="9" t="s">
        <v>13</v>
      </c>
      <c r="J237" s="55"/>
    </row>
    <row r="238">
      <c r="A238" s="54" t="s">
        <v>332</v>
      </c>
      <c r="B238" s="11"/>
      <c r="C238" s="8" t="s">
        <v>11</v>
      </c>
      <c r="D238" s="8" t="str">
        <f t="shared" si="1"/>
        <v>-</v>
      </c>
      <c r="E238" s="9" t="s">
        <v>11</v>
      </c>
      <c r="F238" s="10"/>
      <c r="G238" s="9"/>
      <c r="H238" s="11"/>
      <c r="I238" s="9" t="s">
        <v>13</v>
      </c>
      <c r="J238" s="55"/>
    </row>
    <row r="239">
      <c r="A239" s="54" t="s">
        <v>332</v>
      </c>
      <c r="B239" s="11"/>
      <c r="C239" s="8" t="s">
        <v>11</v>
      </c>
      <c r="D239" s="8" t="str">
        <f t="shared" si="1"/>
        <v>-</v>
      </c>
      <c r="E239" s="9" t="s">
        <v>11</v>
      </c>
      <c r="F239" s="10"/>
      <c r="G239" s="9"/>
      <c r="H239" s="11"/>
      <c r="I239" s="9" t="s">
        <v>13</v>
      </c>
      <c r="J239" s="55"/>
    </row>
    <row r="240">
      <c r="A240" s="54" t="s">
        <v>332</v>
      </c>
      <c r="B240" s="11"/>
      <c r="C240" s="8" t="s">
        <v>11</v>
      </c>
      <c r="D240" s="8" t="str">
        <f t="shared" si="1"/>
        <v>-</v>
      </c>
      <c r="E240" s="9" t="s">
        <v>11</v>
      </c>
      <c r="F240" s="10"/>
      <c r="G240" s="9"/>
      <c r="H240" s="11"/>
      <c r="I240" s="9" t="s">
        <v>13</v>
      </c>
      <c r="J240" s="55"/>
    </row>
    <row r="241">
      <c r="A241" s="54" t="s">
        <v>332</v>
      </c>
      <c r="B241" s="11"/>
      <c r="C241" s="8" t="s">
        <v>11</v>
      </c>
      <c r="D241" s="8" t="str">
        <f t="shared" si="1"/>
        <v>-</v>
      </c>
      <c r="E241" s="9" t="s">
        <v>11</v>
      </c>
      <c r="F241" s="10"/>
      <c r="G241" s="9"/>
      <c r="H241" s="11"/>
      <c r="I241" s="9" t="s">
        <v>13</v>
      </c>
      <c r="J241" s="55"/>
    </row>
    <row r="242">
      <c r="A242" s="54" t="s">
        <v>332</v>
      </c>
      <c r="B242" s="11"/>
      <c r="C242" s="8" t="s">
        <v>11</v>
      </c>
      <c r="D242" s="8" t="str">
        <f t="shared" si="1"/>
        <v>-</v>
      </c>
      <c r="E242" s="9" t="s">
        <v>11</v>
      </c>
      <c r="F242" s="10"/>
      <c r="G242" s="9"/>
      <c r="H242" s="11"/>
      <c r="I242" s="9" t="s">
        <v>13</v>
      </c>
      <c r="J242" s="55"/>
    </row>
    <row r="243">
      <c r="A243" s="54" t="s">
        <v>332</v>
      </c>
      <c r="B243" s="11"/>
      <c r="C243" s="8" t="s">
        <v>11</v>
      </c>
      <c r="D243" s="8" t="str">
        <f t="shared" si="1"/>
        <v>-</v>
      </c>
      <c r="E243" s="9" t="s">
        <v>11</v>
      </c>
      <c r="F243" s="10"/>
      <c r="G243" s="9"/>
      <c r="H243" s="11"/>
      <c r="I243" s="9" t="s">
        <v>13</v>
      </c>
      <c r="J243" s="55"/>
    </row>
    <row r="244">
      <c r="A244" s="54" t="s">
        <v>332</v>
      </c>
      <c r="B244" s="11"/>
      <c r="C244" s="8" t="s">
        <v>11</v>
      </c>
      <c r="D244" s="8" t="str">
        <f t="shared" si="1"/>
        <v>-</v>
      </c>
      <c r="E244" s="9" t="s">
        <v>11</v>
      </c>
      <c r="F244" s="10"/>
      <c r="G244" s="9"/>
      <c r="H244" s="11"/>
      <c r="I244" s="9" t="s">
        <v>13</v>
      </c>
      <c r="J244" s="55"/>
    </row>
    <row r="245">
      <c r="A245" s="54" t="s">
        <v>332</v>
      </c>
      <c r="B245" s="11"/>
      <c r="C245" s="8" t="s">
        <v>11</v>
      </c>
      <c r="D245" s="8" t="str">
        <f t="shared" si="1"/>
        <v>-</v>
      </c>
      <c r="E245" s="9" t="s">
        <v>11</v>
      </c>
      <c r="F245" s="10"/>
      <c r="G245" s="9"/>
      <c r="H245" s="11"/>
      <c r="I245" s="9" t="s">
        <v>13</v>
      </c>
      <c r="J245" s="55"/>
    </row>
    <row r="246">
      <c r="A246" s="54" t="s">
        <v>332</v>
      </c>
      <c r="B246" s="11"/>
      <c r="C246" s="8" t="s">
        <v>11</v>
      </c>
      <c r="D246" s="8" t="str">
        <f t="shared" si="1"/>
        <v>-</v>
      </c>
      <c r="E246" s="9" t="s">
        <v>11</v>
      </c>
      <c r="F246" s="10"/>
      <c r="G246" s="9"/>
      <c r="H246" s="11"/>
      <c r="I246" s="9" t="s">
        <v>13</v>
      </c>
      <c r="J246" s="55"/>
    </row>
    <row r="247">
      <c r="A247" s="54" t="s">
        <v>332</v>
      </c>
      <c r="B247" s="11"/>
      <c r="C247" s="8" t="s">
        <v>11</v>
      </c>
      <c r="D247" s="8" t="str">
        <f t="shared" si="1"/>
        <v>-</v>
      </c>
      <c r="E247" s="9" t="s">
        <v>11</v>
      </c>
      <c r="F247" s="10"/>
      <c r="G247" s="9"/>
      <c r="H247" s="11"/>
      <c r="I247" s="9" t="s">
        <v>13</v>
      </c>
      <c r="J247" s="55"/>
    </row>
    <row r="248">
      <c r="A248" s="54" t="s">
        <v>332</v>
      </c>
      <c r="B248" s="11"/>
      <c r="C248" s="8" t="s">
        <v>11</v>
      </c>
      <c r="D248" s="8" t="str">
        <f t="shared" si="1"/>
        <v>-</v>
      </c>
      <c r="E248" s="9" t="s">
        <v>11</v>
      </c>
      <c r="F248" s="10"/>
      <c r="G248" s="9"/>
      <c r="H248" s="11"/>
      <c r="I248" s="9" t="s">
        <v>13</v>
      </c>
      <c r="J248" s="55"/>
    </row>
    <row r="249">
      <c r="A249" s="54" t="s">
        <v>332</v>
      </c>
      <c r="B249" s="11"/>
      <c r="C249" s="8" t="s">
        <v>11</v>
      </c>
      <c r="D249" s="8" t="str">
        <f t="shared" si="1"/>
        <v>-</v>
      </c>
      <c r="E249" s="9" t="s">
        <v>11</v>
      </c>
      <c r="F249" s="10"/>
      <c r="G249" s="9"/>
      <c r="H249" s="11"/>
      <c r="I249" s="9" t="s">
        <v>13</v>
      </c>
      <c r="J249" s="55"/>
    </row>
    <row r="250">
      <c r="A250" s="54" t="s">
        <v>332</v>
      </c>
      <c r="B250" s="11"/>
      <c r="C250" s="8" t="s">
        <v>11</v>
      </c>
      <c r="D250" s="8" t="str">
        <f t="shared" si="1"/>
        <v>-</v>
      </c>
      <c r="E250" s="9" t="s">
        <v>11</v>
      </c>
      <c r="F250" s="10"/>
      <c r="G250" s="9"/>
      <c r="H250" s="11"/>
      <c r="I250" s="9" t="s">
        <v>13</v>
      </c>
      <c r="J250" s="55"/>
    </row>
    <row r="251">
      <c r="A251" s="54" t="s">
        <v>332</v>
      </c>
      <c r="B251" s="11"/>
      <c r="C251" s="8" t="s">
        <v>11</v>
      </c>
      <c r="D251" s="8" t="str">
        <f t="shared" si="1"/>
        <v>-</v>
      </c>
      <c r="E251" s="9" t="s">
        <v>11</v>
      </c>
      <c r="F251" s="10"/>
      <c r="G251" s="9"/>
      <c r="H251" s="11"/>
      <c r="I251" s="9" t="s">
        <v>13</v>
      </c>
      <c r="J251" s="55"/>
    </row>
    <row r="252">
      <c r="A252" s="54" t="s">
        <v>332</v>
      </c>
      <c r="B252" s="11"/>
      <c r="C252" s="8" t="s">
        <v>11</v>
      </c>
      <c r="D252" s="8" t="str">
        <f t="shared" si="1"/>
        <v>-</v>
      </c>
      <c r="E252" s="9" t="s">
        <v>11</v>
      </c>
      <c r="F252" s="10"/>
      <c r="G252" s="9"/>
      <c r="H252" s="11"/>
      <c r="I252" s="9" t="s">
        <v>13</v>
      </c>
      <c r="J252" s="55"/>
    </row>
    <row r="253">
      <c r="A253" s="54" t="s">
        <v>332</v>
      </c>
      <c r="B253" s="11"/>
      <c r="C253" s="8" t="s">
        <v>11</v>
      </c>
      <c r="D253" s="8" t="str">
        <f t="shared" si="1"/>
        <v>-</v>
      </c>
      <c r="E253" s="9" t="s">
        <v>11</v>
      </c>
      <c r="F253" s="10"/>
      <c r="G253" s="9"/>
      <c r="H253" s="11"/>
      <c r="I253" s="9" t="s">
        <v>13</v>
      </c>
      <c r="J253" s="55"/>
    </row>
    <row r="254">
      <c r="A254" s="54" t="s">
        <v>332</v>
      </c>
      <c r="B254" s="11"/>
      <c r="C254" s="8" t="s">
        <v>11</v>
      </c>
      <c r="D254" s="8" t="str">
        <f t="shared" si="1"/>
        <v>-</v>
      </c>
      <c r="E254" s="9" t="s">
        <v>11</v>
      </c>
      <c r="F254" s="10"/>
      <c r="G254" s="9"/>
      <c r="H254" s="11"/>
      <c r="I254" s="9" t="s">
        <v>13</v>
      </c>
      <c r="J254" s="55"/>
    </row>
    <row r="255">
      <c r="A255" s="54" t="s">
        <v>332</v>
      </c>
      <c r="B255" s="11"/>
      <c r="C255" s="8" t="s">
        <v>11</v>
      </c>
      <c r="D255" s="8" t="str">
        <f t="shared" si="1"/>
        <v>-</v>
      </c>
      <c r="E255" s="9" t="s">
        <v>11</v>
      </c>
      <c r="F255" s="10"/>
      <c r="G255" s="9"/>
      <c r="H255" s="11"/>
      <c r="I255" s="9" t="s">
        <v>13</v>
      </c>
      <c r="J255" s="55"/>
    </row>
    <row r="256">
      <c r="A256" s="54" t="s">
        <v>332</v>
      </c>
      <c r="B256" s="11"/>
      <c r="C256" s="8" t="s">
        <v>11</v>
      </c>
      <c r="D256" s="8" t="str">
        <f t="shared" si="1"/>
        <v>-</v>
      </c>
      <c r="E256" s="9" t="s">
        <v>11</v>
      </c>
      <c r="F256" s="10"/>
      <c r="G256" s="9"/>
      <c r="H256" s="11"/>
      <c r="I256" s="9" t="s">
        <v>13</v>
      </c>
      <c r="J256" s="55"/>
    </row>
    <row r="257">
      <c r="A257" s="54" t="s">
        <v>332</v>
      </c>
      <c r="B257" s="11"/>
      <c r="C257" s="8" t="s">
        <v>11</v>
      </c>
      <c r="D257" s="8" t="str">
        <f t="shared" si="1"/>
        <v>-</v>
      </c>
      <c r="E257" s="9" t="s">
        <v>11</v>
      </c>
      <c r="F257" s="10"/>
      <c r="G257" s="9"/>
      <c r="H257" s="11"/>
      <c r="I257" s="9" t="s">
        <v>13</v>
      </c>
      <c r="J257" s="55"/>
    </row>
    <row r="258">
      <c r="A258" s="54" t="s">
        <v>332</v>
      </c>
      <c r="B258" s="11"/>
      <c r="C258" s="8" t="s">
        <v>11</v>
      </c>
      <c r="D258" s="8" t="str">
        <f t="shared" si="1"/>
        <v>-</v>
      </c>
      <c r="E258" s="9" t="s">
        <v>11</v>
      </c>
      <c r="F258" s="10"/>
      <c r="G258" s="9"/>
      <c r="H258" s="11"/>
      <c r="I258" s="9" t="s">
        <v>13</v>
      </c>
      <c r="J258" s="55"/>
    </row>
    <row r="259">
      <c r="A259" s="54" t="s">
        <v>332</v>
      </c>
      <c r="B259" s="11"/>
      <c r="C259" s="8" t="s">
        <v>11</v>
      </c>
      <c r="D259" s="8" t="str">
        <f t="shared" si="1"/>
        <v>-</v>
      </c>
      <c r="E259" s="9" t="s">
        <v>11</v>
      </c>
      <c r="F259" s="10"/>
      <c r="G259" s="9"/>
      <c r="H259" s="11"/>
      <c r="I259" s="9" t="s">
        <v>13</v>
      </c>
      <c r="J259" s="55"/>
    </row>
    <row r="260">
      <c r="A260" s="54" t="s">
        <v>332</v>
      </c>
      <c r="B260" s="11"/>
      <c r="C260" s="8" t="s">
        <v>11</v>
      </c>
      <c r="D260" s="8" t="str">
        <f t="shared" si="1"/>
        <v>-</v>
      </c>
      <c r="E260" s="9" t="s">
        <v>11</v>
      </c>
      <c r="F260" s="10"/>
      <c r="G260" s="9"/>
      <c r="H260" s="11"/>
      <c r="I260" s="9" t="s">
        <v>13</v>
      </c>
      <c r="J260" s="55"/>
    </row>
    <row r="261">
      <c r="A261" s="54" t="s">
        <v>332</v>
      </c>
      <c r="B261" s="11"/>
      <c r="C261" s="8" t="s">
        <v>11</v>
      </c>
      <c r="D261" s="8" t="str">
        <f t="shared" si="1"/>
        <v>-</v>
      </c>
      <c r="E261" s="9" t="s">
        <v>11</v>
      </c>
      <c r="F261" s="10"/>
      <c r="G261" s="9"/>
      <c r="H261" s="11"/>
      <c r="I261" s="9" t="s">
        <v>13</v>
      </c>
      <c r="J261" s="55"/>
    </row>
    <row r="262">
      <c r="A262" s="54" t="s">
        <v>332</v>
      </c>
      <c r="B262" s="11"/>
      <c r="C262" s="8" t="s">
        <v>11</v>
      </c>
      <c r="D262" s="8" t="str">
        <f t="shared" si="1"/>
        <v>-</v>
      </c>
      <c r="E262" s="9" t="s">
        <v>11</v>
      </c>
      <c r="F262" s="10"/>
      <c r="G262" s="9"/>
      <c r="H262" s="11"/>
      <c r="I262" s="9" t="s">
        <v>13</v>
      </c>
      <c r="J262" s="55"/>
    </row>
    <row r="263">
      <c r="A263" s="54" t="s">
        <v>332</v>
      </c>
      <c r="B263" s="11"/>
      <c r="C263" s="8" t="s">
        <v>11</v>
      </c>
      <c r="D263" s="8" t="str">
        <f t="shared" si="1"/>
        <v>-</v>
      </c>
      <c r="E263" s="9" t="s">
        <v>11</v>
      </c>
      <c r="F263" s="10"/>
      <c r="G263" s="9"/>
      <c r="H263" s="11"/>
      <c r="I263" s="9" t="s">
        <v>13</v>
      </c>
      <c r="J263" s="55"/>
    </row>
    <row r="264">
      <c r="A264" s="54" t="s">
        <v>332</v>
      </c>
      <c r="B264" s="11"/>
      <c r="C264" s="8" t="s">
        <v>11</v>
      </c>
      <c r="D264" s="8" t="str">
        <f t="shared" si="1"/>
        <v>-</v>
      </c>
      <c r="E264" s="9" t="s">
        <v>11</v>
      </c>
      <c r="F264" s="10"/>
      <c r="G264" s="9"/>
      <c r="H264" s="11"/>
      <c r="I264" s="9" t="s">
        <v>13</v>
      </c>
      <c r="J264" s="55"/>
    </row>
    <row r="265">
      <c r="A265" s="54" t="s">
        <v>332</v>
      </c>
      <c r="B265" s="11"/>
      <c r="C265" s="8" t="s">
        <v>11</v>
      </c>
      <c r="D265" s="8" t="str">
        <f t="shared" si="1"/>
        <v>-</v>
      </c>
      <c r="E265" s="9" t="s">
        <v>11</v>
      </c>
      <c r="F265" s="10"/>
      <c r="G265" s="9"/>
      <c r="H265" s="11"/>
      <c r="I265" s="9" t="s">
        <v>13</v>
      </c>
      <c r="J265" s="55"/>
    </row>
    <row r="266">
      <c r="A266" s="54" t="s">
        <v>332</v>
      </c>
      <c r="B266" s="11"/>
      <c r="C266" s="8" t="s">
        <v>11</v>
      </c>
      <c r="D266" s="8" t="str">
        <f t="shared" si="1"/>
        <v>-</v>
      </c>
      <c r="E266" s="9" t="s">
        <v>11</v>
      </c>
      <c r="F266" s="10"/>
      <c r="G266" s="9"/>
      <c r="H266" s="11"/>
      <c r="I266" s="9" t="s">
        <v>13</v>
      </c>
      <c r="J266" s="55"/>
    </row>
    <row r="267">
      <c r="A267" s="54" t="s">
        <v>332</v>
      </c>
      <c r="B267" s="11"/>
      <c r="C267" s="8" t="s">
        <v>11</v>
      </c>
      <c r="D267" s="8" t="str">
        <f t="shared" si="1"/>
        <v>-</v>
      </c>
      <c r="E267" s="9" t="s">
        <v>11</v>
      </c>
      <c r="F267" s="10"/>
      <c r="G267" s="9"/>
      <c r="H267" s="11"/>
      <c r="I267" s="9" t="s">
        <v>13</v>
      </c>
      <c r="J267" s="55"/>
    </row>
    <row r="268">
      <c r="A268" s="54" t="s">
        <v>332</v>
      </c>
      <c r="B268" s="11"/>
      <c r="C268" s="8" t="s">
        <v>11</v>
      </c>
      <c r="D268" s="8" t="str">
        <f t="shared" si="1"/>
        <v>-</v>
      </c>
      <c r="E268" s="9" t="s">
        <v>11</v>
      </c>
      <c r="F268" s="10"/>
      <c r="G268" s="9"/>
      <c r="H268" s="11"/>
      <c r="I268" s="9" t="s">
        <v>13</v>
      </c>
      <c r="J268" s="55"/>
    </row>
    <row r="269">
      <c r="A269" s="54" t="s">
        <v>332</v>
      </c>
      <c r="B269" s="11"/>
      <c r="C269" s="8" t="s">
        <v>11</v>
      </c>
      <c r="D269" s="8" t="str">
        <f t="shared" si="1"/>
        <v>-</v>
      </c>
      <c r="E269" s="9" t="s">
        <v>11</v>
      </c>
      <c r="F269" s="10"/>
      <c r="G269" s="9"/>
      <c r="H269" s="11"/>
      <c r="I269" s="9" t="s">
        <v>13</v>
      </c>
      <c r="J269" s="55"/>
    </row>
    <row r="270">
      <c r="A270" s="54" t="s">
        <v>332</v>
      </c>
      <c r="B270" s="11"/>
      <c r="C270" s="8" t="s">
        <v>11</v>
      </c>
      <c r="D270" s="8" t="str">
        <f t="shared" si="1"/>
        <v>-</v>
      </c>
      <c r="E270" s="9" t="s">
        <v>11</v>
      </c>
      <c r="F270" s="10"/>
      <c r="G270" s="9"/>
      <c r="H270" s="11"/>
      <c r="I270" s="9" t="s">
        <v>13</v>
      </c>
      <c r="J270" s="55"/>
    </row>
    <row r="271">
      <c r="A271" s="54" t="s">
        <v>332</v>
      </c>
      <c r="B271" s="11"/>
      <c r="C271" s="8" t="s">
        <v>11</v>
      </c>
      <c r="D271" s="8" t="str">
        <f t="shared" si="1"/>
        <v>-</v>
      </c>
      <c r="E271" s="9" t="s">
        <v>11</v>
      </c>
      <c r="F271" s="10"/>
      <c r="G271" s="9"/>
      <c r="H271" s="11"/>
      <c r="I271" s="9" t="s">
        <v>13</v>
      </c>
      <c r="J271" s="55"/>
    </row>
    <row r="272">
      <c r="A272" s="54" t="s">
        <v>332</v>
      </c>
      <c r="B272" s="11"/>
      <c r="C272" s="8" t="s">
        <v>11</v>
      </c>
      <c r="D272" s="8" t="str">
        <f t="shared" si="1"/>
        <v>-</v>
      </c>
      <c r="E272" s="9" t="s">
        <v>11</v>
      </c>
      <c r="F272" s="10"/>
      <c r="G272" s="9"/>
      <c r="H272" s="11"/>
      <c r="I272" s="9" t="s">
        <v>13</v>
      </c>
      <c r="J272" s="55"/>
    </row>
    <row r="273">
      <c r="A273" s="54" t="s">
        <v>332</v>
      </c>
      <c r="B273" s="11"/>
      <c r="C273" s="8" t="s">
        <v>11</v>
      </c>
      <c r="D273" s="8" t="str">
        <f t="shared" si="1"/>
        <v>-</v>
      </c>
      <c r="E273" s="9" t="s">
        <v>11</v>
      </c>
      <c r="F273" s="10"/>
      <c r="G273" s="9"/>
      <c r="H273" s="11"/>
      <c r="I273" s="9" t="s">
        <v>13</v>
      </c>
      <c r="J273" s="55"/>
    </row>
    <row r="274">
      <c r="A274" s="54" t="s">
        <v>332</v>
      </c>
      <c r="B274" s="11"/>
      <c r="C274" s="8" t="s">
        <v>11</v>
      </c>
      <c r="D274" s="8" t="str">
        <f t="shared" si="1"/>
        <v>-</v>
      </c>
      <c r="E274" s="9" t="s">
        <v>11</v>
      </c>
      <c r="F274" s="10"/>
      <c r="G274" s="9"/>
      <c r="H274" s="11"/>
      <c r="I274" s="9" t="s">
        <v>13</v>
      </c>
      <c r="J274" s="55"/>
    </row>
    <row r="275">
      <c r="A275" s="54" t="s">
        <v>332</v>
      </c>
      <c r="B275" s="11"/>
      <c r="C275" s="8" t="s">
        <v>11</v>
      </c>
      <c r="D275" s="8" t="str">
        <f t="shared" si="1"/>
        <v>-</v>
      </c>
      <c r="E275" s="9" t="s">
        <v>11</v>
      </c>
      <c r="F275" s="10"/>
      <c r="G275" s="9"/>
      <c r="H275" s="11"/>
      <c r="I275" s="9" t="s">
        <v>13</v>
      </c>
      <c r="J275" s="55"/>
    </row>
    <row r="276">
      <c r="A276" s="54" t="s">
        <v>332</v>
      </c>
      <c r="B276" s="11"/>
      <c r="C276" s="8" t="s">
        <v>11</v>
      </c>
      <c r="D276" s="8" t="str">
        <f t="shared" si="1"/>
        <v>-</v>
      </c>
      <c r="E276" s="9" t="s">
        <v>11</v>
      </c>
      <c r="F276" s="10"/>
      <c r="G276" s="9"/>
      <c r="H276" s="11"/>
      <c r="I276" s="9" t="s">
        <v>13</v>
      </c>
      <c r="J276" s="55"/>
    </row>
    <row r="277">
      <c r="A277" s="54" t="s">
        <v>332</v>
      </c>
      <c r="B277" s="11"/>
      <c r="C277" s="8" t="s">
        <v>11</v>
      </c>
      <c r="D277" s="8" t="str">
        <f t="shared" si="1"/>
        <v>-</v>
      </c>
      <c r="E277" s="9" t="s">
        <v>11</v>
      </c>
      <c r="F277" s="10"/>
      <c r="G277" s="9"/>
      <c r="H277" s="11"/>
      <c r="I277" s="9" t="s">
        <v>13</v>
      </c>
      <c r="J277" s="55"/>
    </row>
    <row r="278">
      <c r="A278" s="54" t="s">
        <v>332</v>
      </c>
      <c r="B278" s="11"/>
      <c r="C278" s="8" t="s">
        <v>11</v>
      </c>
      <c r="D278" s="8" t="str">
        <f t="shared" si="1"/>
        <v>-</v>
      </c>
      <c r="E278" s="9" t="s">
        <v>11</v>
      </c>
      <c r="F278" s="10"/>
      <c r="G278" s="9"/>
      <c r="H278" s="11"/>
      <c r="I278" s="9" t="s">
        <v>13</v>
      </c>
      <c r="J278" s="55"/>
    </row>
    <row r="279">
      <c r="A279" s="54" t="s">
        <v>332</v>
      </c>
      <c r="B279" s="11"/>
      <c r="C279" s="8" t="s">
        <v>11</v>
      </c>
      <c r="D279" s="8" t="str">
        <f t="shared" si="1"/>
        <v>-</v>
      </c>
      <c r="E279" s="9" t="s">
        <v>11</v>
      </c>
      <c r="F279" s="10"/>
      <c r="G279" s="9"/>
      <c r="H279" s="11"/>
      <c r="I279" s="9" t="s">
        <v>13</v>
      </c>
      <c r="J279" s="55"/>
    </row>
    <row r="280">
      <c r="A280" s="54" t="s">
        <v>332</v>
      </c>
      <c r="B280" s="11"/>
      <c r="C280" s="8" t="s">
        <v>11</v>
      </c>
      <c r="D280" s="8" t="str">
        <f t="shared" si="1"/>
        <v>-</v>
      </c>
      <c r="E280" s="9" t="s">
        <v>11</v>
      </c>
      <c r="F280" s="10"/>
      <c r="G280" s="9"/>
      <c r="H280" s="11"/>
      <c r="I280" s="9" t="s">
        <v>13</v>
      </c>
      <c r="J280" s="55"/>
    </row>
    <row r="281">
      <c r="A281" s="54" t="s">
        <v>332</v>
      </c>
      <c r="B281" s="11"/>
      <c r="C281" s="8" t="s">
        <v>11</v>
      </c>
      <c r="D281" s="8" t="str">
        <f t="shared" si="1"/>
        <v>-</v>
      </c>
      <c r="E281" s="9" t="s">
        <v>11</v>
      </c>
      <c r="F281" s="10"/>
      <c r="G281" s="9"/>
      <c r="H281" s="11"/>
      <c r="I281" s="9" t="s">
        <v>13</v>
      </c>
      <c r="J281" s="55"/>
    </row>
    <row r="282">
      <c r="A282" s="54" t="s">
        <v>332</v>
      </c>
      <c r="B282" s="11"/>
      <c r="C282" s="8" t="s">
        <v>11</v>
      </c>
      <c r="D282" s="8" t="str">
        <f t="shared" si="1"/>
        <v>-</v>
      </c>
      <c r="E282" s="9" t="s">
        <v>11</v>
      </c>
      <c r="F282" s="10"/>
      <c r="G282" s="9"/>
      <c r="H282" s="11"/>
      <c r="I282" s="9" t="s">
        <v>13</v>
      </c>
      <c r="J282" s="55"/>
    </row>
    <row r="283">
      <c r="A283" s="54" t="s">
        <v>332</v>
      </c>
      <c r="B283" s="11"/>
      <c r="C283" s="8" t="s">
        <v>11</v>
      </c>
      <c r="D283" s="8" t="str">
        <f t="shared" si="1"/>
        <v>-</v>
      </c>
      <c r="E283" s="9" t="s">
        <v>11</v>
      </c>
      <c r="F283" s="10"/>
      <c r="G283" s="9"/>
      <c r="H283" s="11"/>
      <c r="I283" s="9" t="s">
        <v>13</v>
      </c>
      <c r="J283" s="55"/>
    </row>
    <row r="284">
      <c r="A284" s="54" t="s">
        <v>332</v>
      </c>
      <c r="B284" s="11"/>
      <c r="C284" s="8" t="s">
        <v>11</v>
      </c>
      <c r="D284" s="8" t="str">
        <f t="shared" si="1"/>
        <v>-</v>
      </c>
      <c r="E284" s="9" t="s">
        <v>11</v>
      </c>
      <c r="F284" s="10"/>
      <c r="G284" s="9"/>
      <c r="H284" s="11"/>
      <c r="I284" s="9" t="s">
        <v>13</v>
      </c>
      <c r="J284" s="55"/>
    </row>
    <row r="285">
      <c r="A285" s="54" t="s">
        <v>332</v>
      </c>
      <c r="B285" s="11"/>
      <c r="C285" s="8" t="s">
        <v>11</v>
      </c>
      <c r="D285" s="8" t="str">
        <f t="shared" si="1"/>
        <v>-</v>
      </c>
      <c r="E285" s="9" t="s">
        <v>11</v>
      </c>
      <c r="F285" s="10"/>
      <c r="G285" s="9"/>
      <c r="H285" s="11"/>
      <c r="I285" s="9" t="s">
        <v>13</v>
      </c>
      <c r="J285" s="55"/>
    </row>
    <row r="286">
      <c r="A286" s="54" t="s">
        <v>332</v>
      </c>
      <c r="B286" s="11"/>
      <c r="C286" s="8" t="s">
        <v>11</v>
      </c>
      <c r="D286" s="8" t="str">
        <f t="shared" si="1"/>
        <v>-</v>
      </c>
      <c r="E286" s="9" t="s">
        <v>11</v>
      </c>
      <c r="F286" s="10"/>
      <c r="G286" s="9"/>
      <c r="H286" s="11"/>
      <c r="I286" s="9" t="s">
        <v>13</v>
      </c>
      <c r="J286" s="55"/>
    </row>
    <row r="287">
      <c r="A287" s="54" t="s">
        <v>332</v>
      </c>
      <c r="B287" s="11"/>
      <c r="C287" s="8" t="s">
        <v>11</v>
      </c>
      <c r="D287" s="8" t="str">
        <f t="shared" si="1"/>
        <v>-</v>
      </c>
      <c r="E287" s="9" t="s">
        <v>11</v>
      </c>
      <c r="F287" s="10"/>
      <c r="G287" s="9"/>
      <c r="H287" s="11"/>
      <c r="I287" s="9" t="s">
        <v>13</v>
      </c>
      <c r="J287" s="55"/>
    </row>
    <row r="288">
      <c r="A288" s="54" t="s">
        <v>332</v>
      </c>
      <c r="B288" s="11"/>
      <c r="C288" s="8" t="s">
        <v>11</v>
      </c>
      <c r="D288" s="8" t="str">
        <f t="shared" si="1"/>
        <v>-</v>
      </c>
      <c r="E288" s="9" t="s">
        <v>11</v>
      </c>
      <c r="F288" s="10"/>
      <c r="G288" s="9"/>
      <c r="H288" s="11"/>
      <c r="I288" s="9" t="s">
        <v>13</v>
      </c>
      <c r="J288" s="55"/>
    </row>
    <row r="289">
      <c r="A289" s="54" t="s">
        <v>332</v>
      </c>
      <c r="B289" s="11"/>
      <c r="C289" s="8" t="s">
        <v>11</v>
      </c>
      <c r="D289" s="8" t="str">
        <f t="shared" si="1"/>
        <v>-</v>
      </c>
      <c r="E289" s="9" t="s">
        <v>11</v>
      </c>
      <c r="F289" s="10"/>
      <c r="G289" s="9"/>
      <c r="H289" s="11"/>
      <c r="I289" s="9" t="s">
        <v>13</v>
      </c>
      <c r="J289" s="55"/>
    </row>
    <row r="290">
      <c r="A290" s="54" t="s">
        <v>332</v>
      </c>
      <c r="B290" s="11"/>
      <c r="C290" s="8" t="s">
        <v>11</v>
      </c>
      <c r="D290" s="8" t="str">
        <f t="shared" si="1"/>
        <v>-</v>
      </c>
      <c r="E290" s="9" t="s">
        <v>11</v>
      </c>
      <c r="F290" s="10"/>
      <c r="G290" s="9"/>
      <c r="H290" s="11"/>
      <c r="I290" s="9" t="s">
        <v>13</v>
      </c>
      <c r="J290" s="55"/>
    </row>
    <row r="291">
      <c r="A291" s="54" t="s">
        <v>332</v>
      </c>
      <c r="B291" s="11"/>
      <c r="C291" s="8" t="s">
        <v>11</v>
      </c>
      <c r="D291" s="8" t="str">
        <f t="shared" si="1"/>
        <v>-</v>
      </c>
      <c r="E291" s="9" t="s">
        <v>11</v>
      </c>
      <c r="F291" s="10"/>
      <c r="G291" s="9"/>
      <c r="H291" s="11"/>
      <c r="I291" s="9" t="s">
        <v>13</v>
      </c>
      <c r="J291" s="55"/>
    </row>
    <row r="292">
      <c r="A292" s="54" t="s">
        <v>332</v>
      </c>
      <c r="B292" s="11"/>
      <c r="C292" s="8" t="s">
        <v>11</v>
      </c>
      <c r="D292" s="8" t="str">
        <f t="shared" si="1"/>
        <v>-</v>
      </c>
      <c r="E292" s="9" t="s">
        <v>11</v>
      </c>
      <c r="F292" s="10"/>
      <c r="G292" s="9"/>
      <c r="H292" s="11"/>
      <c r="I292" s="9" t="s">
        <v>13</v>
      </c>
      <c r="J292" s="55"/>
    </row>
    <row r="293">
      <c r="A293" s="54" t="s">
        <v>332</v>
      </c>
      <c r="B293" s="11"/>
      <c r="C293" s="8" t="s">
        <v>11</v>
      </c>
      <c r="D293" s="8" t="str">
        <f t="shared" si="1"/>
        <v>-</v>
      </c>
      <c r="E293" s="9" t="s">
        <v>11</v>
      </c>
      <c r="F293" s="10"/>
      <c r="G293" s="9"/>
      <c r="H293" s="11"/>
      <c r="I293" s="9" t="s">
        <v>13</v>
      </c>
      <c r="J293" s="55"/>
    </row>
    <row r="294">
      <c r="A294" s="54" t="s">
        <v>332</v>
      </c>
      <c r="B294" s="11"/>
      <c r="C294" s="8" t="s">
        <v>11</v>
      </c>
      <c r="D294" s="8" t="str">
        <f t="shared" si="1"/>
        <v>-</v>
      </c>
      <c r="E294" s="9" t="s">
        <v>11</v>
      </c>
      <c r="F294" s="10"/>
      <c r="G294" s="9"/>
      <c r="H294" s="11"/>
      <c r="I294" s="9" t="s">
        <v>13</v>
      </c>
      <c r="J294" s="55"/>
    </row>
    <row r="295">
      <c r="A295" s="54" t="s">
        <v>332</v>
      </c>
      <c r="B295" s="11"/>
      <c r="C295" s="8" t="s">
        <v>11</v>
      </c>
      <c r="D295" s="8" t="str">
        <f t="shared" si="1"/>
        <v>-</v>
      </c>
      <c r="E295" s="9" t="s">
        <v>11</v>
      </c>
      <c r="F295" s="10"/>
      <c r="G295" s="9"/>
      <c r="H295" s="11"/>
      <c r="I295" s="9" t="s">
        <v>13</v>
      </c>
      <c r="J295" s="55"/>
    </row>
    <row r="296">
      <c r="A296" s="54" t="s">
        <v>332</v>
      </c>
      <c r="B296" s="11"/>
      <c r="C296" s="8" t="s">
        <v>11</v>
      </c>
      <c r="D296" s="8" t="str">
        <f t="shared" si="1"/>
        <v>-</v>
      </c>
      <c r="E296" s="9" t="s">
        <v>11</v>
      </c>
      <c r="F296" s="10"/>
      <c r="G296" s="9"/>
      <c r="H296" s="11"/>
      <c r="I296" s="9" t="s">
        <v>13</v>
      </c>
      <c r="J296" s="55"/>
    </row>
    <row r="297">
      <c r="A297" s="54" t="s">
        <v>332</v>
      </c>
      <c r="B297" s="11"/>
      <c r="C297" s="8" t="s">
        <v>11</v>
      </c>
      <c r="D297" s="8" t="str">
        <f t="shared" si="1"/>
        <v>-</v>
      </c>
      <c r="E297" s="9" t="s">
        <v>11</v>
      </c>
      <c r="F297" s="10"/>
      <c r="G297" s="9"/>
      <c r="H297" s="11"/>
      <c r="I297" s="9" t="s">
        <v>13</v>
      </c>
      <c r="J297" s="55"/>
    </row>
    <row r="298">
      <c r="A298" s="54" t="s">
        <v>332</v>
      </c>
      <c r="B298" s="11"/>
      <c r="C298" s="8" t="s">
        <v>11</v>
      </c>
      <c r="D298" s="8" t="str">
        <f t="shared" si="1"/>
        <v>-</v>
      </c>
      <c r="E298" s="9" t="s">
        <v>11</v>
      </c>
      <c r="F298" s="10"/>
      <c r="G298" s="9"/>
      <c r="H298" s="11"/>
      <c r="I298" s="9" t="s">
        <v>13</v>
      </c>
      <c r="J298" s="55"/>
    </row>
    <row r="299">
      <c r="A299" s="54" t="s">
        <v>332</v>
      </c>
      <c r="B299" s="11"/>
      <c r="C299" s="8" t="s">
        <v>11</v>
      </c>
      <c r="D299" s="8" t="str">
        <f t="shared" si="1"/>
        <v>-</v>
      </c>
      <c r="E299" s="9" t="s">
        <v>11</v>
      </c>
      <c r="F299" s="10"/>
      <c r="G299" s="9"/>
      <c r="H299" s="11"/>
      <c r="I299" s="9" t="s">
        <v>13</v>
      </c>
      <c r="J299" s="55"/>
    </row>
    <row r="300">
      <c r="A300" s="54" t="s">
        <v>332</v>
      </c>
      <c r="B300" s="11"/>
      <c r="C300" s="8" t="s">
        <v>11</v>
      </c>
      <c r="D300" s="8" t="str">
        <f t="shared" si="1"/>
        <v>-</v>
      </c>
      <c r="E300" s="9" t="s">
        <v>11</v>
      </c>
      <c r="F300" s="10"/>
      <c r="G300" s="9"/>
      <c r="H300" s="11"/>
      <c r="I300" s="9" t="s">
        <v>13</v>
      </c>
      <c r="J300" s="55"/>
    </row>
    <row r="301">
      <c r="A301" s="54" t="s">
        <v>332</v>
      </c>
      <c r="B301" s="11"/>
      <c r="C301" s="8" t="s">
        <v>11</v>
      </c>
      <c r="D301" s="8" t="str">
        <f t="shared" si="1"/>
        <v>-</v>
      </c>
      <c r="E301" s="9" t="s">
        <v>11</v>
      </c>
      <c r="F301" s="10"/>
      <c r="G301" s="9"/>
      <c r="H301" s="11"/>
      <c r="I301" s="9" t="s">
        <v>13</v>
      </c>
      <c r="J301" s="55"/>
    </row>
    <row r="302">
      <c r="A302" s="54" t="s">
        <v>332</v>
      </c>
      <c r="B302" s="11"/>
      <c r="C302" s="8" t="s">
        <v>11</v>
      </c>
      <c r="D302" s="8" t="str">
        <f t="shared" si="1"/>
        <v>-</v>
      </c>
      <c r="E302" s="9" t="s">
        <v>11</v>
      </c>
      <c r="F302" s="10"/>
      <c r="G302" s="9"/>
      <c r="H302" s="11"/>
      <c r="I302" s="9" t="s">
        <v>13</v>
      </c>
      <c r="J302" s="55"/>
    </row>
    <row r="303">
      <c r="A303" s="54" t="s">
        <v>332</v>
      </c>
      <c r="B303" s="11"/>
      <c r="C303" s="8" t="s">
        <v>11</v>
      </c>
      <c r="D303" s="8" t="str">
        <f t="shared" si="1"/>
        <v>-</v>
      </c>
      <c r="E303" s="9" t="s">
        <v>11</v>
      </c>
      <c r="F303" s="10"/>
      <c r="G303" s="9"/>
      <c r="H303" s="11"/>
      <c r="I303" s="9" t="s">
        <v>13</v>
      </c>
      <c r="J303" s="55"/>
    </row>
    <row r="304">
      <c r="A304" s="54" t="s">
        <v>332</v>
      </c>
      <c r="B304" s="11"/>
      <c r="C304" s="8" t="s">
        <v>11</v>
      </c>
      <c r="D304" s="8" t="str">
        <f t="shared" si="1"/>
        <v>-</v>
      </c>
      <c r="E304" s="9" t="s">
        <v>11</v>
      </c>
      <c r="F304" s="10"/>
      <c r="G304" s="9"/>
      <c r="H304" s="11"/>
      <c r="I304" s="9" t="s">
        <v>13</v>
      </c>
      <c r="J304" s="55"/>
    </row>
    <row r="305">
      <c r="A305" s="54" t="s">
        <v>332</v>
      </c>
      <c r="B305" s="11"/>
      <c r="C305" s="8" t="s">
        <v>11</v>
      </c>
      <c r="D305" s="8" t="str">
        <f t="shared" si="1"/>
        <v>-</v>
      </c>
      <c r="E305" s="9" t="s">
        <v>11</v>
      </c>
      <c r="F305" s="10"/>
      <c r="G305" s="9"/>
      <c r="H305" s="11"/>
      <c r="I305" s="9" t="s">
        <v>13</v>
      </c>
      <c r="J305" s="55"/>
    </row>
    <row r="306">
      <c r="A306" s="54" t="s">
        <v>332</v>
      </c>
      <c r="B306" s="11"/>
      <c r="C306" s="8" t="s">
        <v>11</v>
      </c>
      <c r="D306" s="8" t="str">
        <f t="shared" si="1"/>
        <v>-</v>
      </c>
      <c r="E306" s="9" t="s">
        <v>11</v>
      </c>
      <c r="F306" s="10"/>
      <c r="G306" s="9"/>
      <c r="H306" s="11"/>
      <c r="I306" s="9" t="s">
        <v>13</v>
      </c>
      <c r="J306" s="55"/>
    </row>
    <row r="307">
      <c r="A307" s="54" t="s">
        <v>332</v>
      </c>
      <c r="B307" s="11"/>
      <c r="C307" s="8" t="s">
        <v>11</v>
      </c>
      <c r="D307" s="8" t="str">
        <f t="shared" si="1"/>
        <v>-</v>
      </c>
      <c r="E307" s="9" t="s">
        <v>11</v>
      </c>
      <c r="F307" s="10"/>
      <c r="G307" s="9"/>
      <c r="H307" s="11"/>
      <c r="I307" s="9" t="s">
        <v>13</v>
      </c>
      <c r="J307" s="55"/>
    </row>
    <row r="308">
      <c r="A308" s="54" t="s">
        <v>332</v>
      </c>
      <c r="B308" s="11"/>
      <c r="C308" s="8" t="s">
        <v>11</v>
      </c>
      <c r="D308" s="8" t="str">
        <f t="shared" si="1"/>
        <v>-</v>
      </c>
      <c r="E308" s="9" t="s">
        <v>11</v>
      </c>
      <c r="F308" s="10"/>
      <c r="G308" s="9"/>
      <c r="H308" s="11"/>
      <c r="I308" s="9" t="s">
        <v>13</v>
      </c>
      <c r="J308" s="55"/>
    </row>
    <row r="309">
      <c r="A309" s="54" t="s">
        <v>332</v>
      </c>
      <c r="B309" s="11"/>
      <c r="C309" s="8" t="s">
        <v>11</v>
      </c>
      <c r="D309" s="8" t="str">
        <f t="shared" si="1"/>
        <v>-</v>
      </c>
      <c r="E309" s="9" t="s">
        <v>11</v>
      </c>
      <c r="F309" s="10"/>
      <c r="G309" s="9"/>
      <c r="H309" s="11"/>
      <c r="I309" s="9" t="s">
        <v>13</v>
      </c>
      <c r="J309" s="55"/>
    </row>
    <row r="310">
      <c r="A310" s="54" t="s">
        <v>332</v>
      </c>
      <c r="B310" s="11"/>
      <c r="C310" s="8" t="s">
        <v>11</v>
      </c>
      <c r="D310" s="8" t="str">
        <f t="shared" si="1"/>
        <v>-</v>
      </c>
      <c r="E310" s="9" t="s">
        <v>11</v>
      </c>
      <c r="F310" s="10"/>
      <c r="G310" s="9"/>
      <c r="H310" s="11"/>
      <c r="I310" s="9" t="s">
        <v>13</v>
      </c>
      <c r="J310" s="55"/>
    </row>
    <row r="311">
      <c r="A311" s="54" t="s">
        <v>332</v>
      </c>
      <c r="B311" s="11"/>
      <c r="C311" s="8" t="s">
        <v>11</v>
      </c>
      <c r="D311" s="8" t="str">
        <f t="shared" si="1"/>
        <v>-</v>
      </c>
      <c r="E311" s="9" t="s">
        <v>11</v>
      </c>
      <c r="F311" s="10"/>
      <c r="G311" s="9"/>
      <c r="H311" s="11"/>
      <c r="I311" s="9" t="s">
        <v>13</v>
      </c>
      <c r="J311" s="55"/>
    </row>
    <row r="312">
      <c r="A312" s="54" t="s">
        <v>332</v>
      </c>
      <c r="B312" s="11"/>
      <c r="C312" s="8" t="s">
        <v>11</v>
      </c>
      <c r="D312" s="8" t="str">
        <f t="shared" si="1"/>
        <v>-</v>
      </c>
      <c r="E312" s="9" t="s">
        <v>11</v>
      </c>
      <c r="F312" s="10"/>
      <c r="G312" s="9"/>
      <c r="H312" s="11"/>
      <c r="I312" s="9" t="s">
        <v>13</v>
      </c>
      <c r="J312" s="55"/>
    </row>
    <row r="313">
      <c r="A313" s="54" t="s">
        <v>332</v>
      </c>
      <c r="B313" s="11"/>
      <c r="C313" s="8" t="s">
        <v>11</v>
      </c>
      <c r="D313" s="8" t="str">
        <f t="shared" si="1"/>
        <v>-</v>
      </c>
      <c r="E313" s="9" t="s">
        <v>11</v>
      </c>
      <c r="F313" s="10"/>
      <c r="G313" s="9"/>
      <c r="H313" s="11"/>
      <c r="I313" s="9" t="s">
        <v>13</v>
      </c>
      <c r="J313" s="55"/>
    </row>
    <row r="314">
      <c r="A314" s="54" t="s">
        <v>332</v>
      </c>
      <c r="B314" s="11"/>
      <c r="C314" s="8" t="s">
        <v>11</v>
      </c>
      <c r="D314" s="8" t="str">
        <f t="shared" si="1"/>
        <v>-</v>
      </c>
      <c r="E314" s="9" t="s">
        <v>11</v>
      </c>
      <c r="F314" s="10"/>
      <c r="G314" s="9"/>
      <c r="H314" s="11"/>
      <c r="I314" s="9" t="s">
        <v>13</v>
      </c>
      <c r="J314" s="55"/>
    </row>
    <row r="315">
      <c r="A315" s="54" t="s">
        <v>332</v>
      </c>
      <c r="B315" s="11"/>
      <c r="C315" s="8" t="s">
        <v>11</v>
      </c>
      <c r="D315" s="8" t="str">
        <f t="shared" si="1"/>
        <v>-</v>
      </c>
      <c r="E315" s="9" t="s">
        <v>11</v>
      </c>
      <c r="F315" s="10"/>
      <c r="G315" s="9"/>
      <c r="H315" s="11"/>
      <c r="I315" s="9" t="s">
        <v>13</v>
      </c>
      <c r="J315" s="55"/>
    </row>
    <row r="316">
      <c r="A316" s="54" t="s">
        <v>332</v>
      </c>
      <c r="B316" s="11"/>
      <c r="C316" s="8" t="s">
        <v>11</v>
      </c>
      <c r="D316" s="8" t="str">
        <f t="shared" si="1"/>
        <v>-</v>
      </c>
      <c r="E316" s="9" t="s">
        <v>11</v>
      </c>
      <c r="F316" s="10"/>
      <c r="G316" s="9"/>
      <c r="H316" s="11"/>
      <c r="I316" s="9" t="s">
        <v>13</v>
      </c>
      <c r="J316" s="55"/>
    </row>
    <row r="317">
      <c r="A317" s="54" t="s">
        <v>332</v>
      </c>
      <c r="B317" s="11"/>
      <c r="C317" s="8" t="s">
        <v>11</v>
      </c>
      <c r="D317" s="8" t="str">
        <f t="shared" si="1"/>
        <v>-</v>
      </c>
      <c r="E317" s="9" t="s">
        <v>11</v>
      </c>
      <c r="F317" s="10"/>
      <c r="G317" s="9"/>
      <c r="H317" s="11"/>
      <c r="I317" s="9" t="s">
        <v>13</v>
      </c>
      <c r="J317" s="55"/>
    </row>
    <row r="318">
      <c r="A318" s="54" t="s">
        <v>332</v>
      </c>
      <c r="B318" s="11"/>
      <c r="C318" s="8" t="s">
        <v>11</v>
      </c>
      <c r="D318" s="8" t="str">
        <f t="shared" si="1"/>
        <v>-</v>
      </c>
      <c r="E318" s="9" t="s">
        <v>11</v>
      </c>
      <c r="F318" s="10"/>
      <c r="G318" s="9"/>
      <c r="H318" s="11"/>
      <c r="I318" s="9" t="s">
        <v>13</v>
      </c>
      <c r="J318" s="55"/>
    </row>
    <row r="319">
      <c r="A319" s="54" t="s">
        <v>332</v>
      </c>
      <c r="B319" s="11"/>
      <c r="C319" s="8" t="s">
        <v>11</v>
      </c>
      <c r="D319" s="8" t="str">
        <f t="shared" si="1"/>
        <v>-</v>
      </c>
      <c r="E319" s="9" t="s">
        <v>11</v>
      </c>
      <c r="F319" s="10"/>
      <c r="G319" s="9"/>
      <c r="H319" s="11"/>
      <c r="I319" s="9" t="s">
        <v>13</v>
      </c>
      <c r="J319" s="55"/>
    </row>
    <row r="320">
      <c r="A320" s="54" t="s">
        <v>332</v>
      </c>
      <c r="B320" s="11"/>
      <c r="C320" s="8" t="s">
        <v>11</v>
      </c>
      <c r="D320" s="8" t="str">
        <f t="shared" si="1"/>
        <v>-</v>
      </c>
      <c r="E320" s="9" t="s">
        <v>11</v>
      </c>
      <c r="F320" s="10"/>
      <c r="G320" s="9"/>
      <c r="H320" s="11"/>
      <c r="I320" s="9" t="s">
        <v>13</v>
      </c>
      <c r="J320" s="55"/>
    </row>
    <row r="321">
      <c r="A321" s="54" t="s">
        <v>332</v>
      </c>
      <c r="B321" s="11"/>
      <c r="C321" s="8" t="s">
        <v>11</v>
      </c>
      <c r="D321" s="8" t="str">
        <f t="shared" si="1"/>
        <v>-</v>
      </c>
      <c r="E321" s="9" t="s">
        <v>11</v>
      </c>
      <c r="F321" s="10"/>
      <c r="G321" s="9"/>
      <c r="H321" s="11"/>
      <c r="I321" s="9" t="s">
        <v>13</v>
      </c>
      <c r="J321" s="55"/>
    </row>
    <row r="322">
      <c r="A322" s="54" t="s">
        <v>332</v>
      </c>
      <c r="B322" s="11"/>
      <c r="C322" s="8" t="s">
        <v>11</v>
      </c>
      <c r="D322" s="8" t="str">
        <f t="shared" si="1"/>
        <v>-</v>
      </c>
      <c r="E322" s="9" t="s">
        <v>11</v>
      </c>
      <c r="F322" s="10"/>
      <c r="G322" s="9"/>
      <c r="H322" s="11"/>
      <c r="I322" s="9" t="s">
        <v>13</v>
      </c>
      <c r="J322" s="55"/>
    </row>
    <row r="323">
      <c r="A323" s="54" t="s">
        <v>332</v>
      </c>
      <c r="B323" s="11"/>
      <c r="C323" s="8" t="s">
        <v>11</v>
      </c>
      <c r="D323" s="8" t="str">
        <f t="shared" si="1"/>
        <v>-</v>
      </c>
      <c r="E323" s="9" t="s">
        <v>11</v>
      </c>
      <c r="F323" s="10"/>
      <c r="G323" s="9"/>
      <c r="H323" s="11"/>
      <c r="I323" s="9" t="s">
        <v>13</v>
      </c>
      <c r="J323" s="55"/>
    </row>
    <row r="324">
      <c r="A324" s="54" t="s">
        <v>332</v>
      </c>
      <c r="B324" s="11"/>
      <c r="C324" s="8" t="s">
        <v>11</v>
      </c>
      <c r="D324" s="8" t="str">
        <f t="shared" si="1"/>
        <v>-</v>
      </c>
      <c r="E324" s="9" t="s">
        <v>11</v>
      </c>
      <c r="F324" s="10"/>
      <c r="G324" s="9"/>
      <c r="H324" s="11"/>
      <c r="I324" s="9" t="s">
        <v>13</v>
      </c>
      <c r="J324" s="55"/>
    </row>
    <row r="325">
      <c r="A325" s="54" t="s">
        <v>332</v>
      </c>
      <c r="B325" s="11"/>
      <c r="C325" s="8" t="s">
        <v>11</v>
      </c>
      <c r="D325" s="8" t="str">
        <f t="shared" si="1"/>
        <v>-</v>
      </c>
      <c r="E325" s="9" t="s">
        <v>11</v>
      </c>
      <c r="F325" s="10"/>
      <c r="G325" s="9"/>
      <c r="H325" s="11"/>
      <c r="I325" s="9" t="s">
        <v>13</v>
      </c>
      <c r="J325" s="55"/>
    </row>
    <row r="326">
      <c r="A326" s="54" t="s">
        <v>332</v>
      </c>
      <c r="B326" s="11"/>
      <c r="C326" s="8" t="s">
        <v>11</v>
      </c>
      <c r="D326" s="8" t="str">
        <f t="shared" si="1"/>
        <v>-</v>
      </c>
      <c r="E326" s="9" t="s">
        <v>11</v>
      </c>
      <c r="F326" s="10"/>
      <c r="G326" s="9"/>
      <c r="H326" s="11"/>
      <c r="I326" s="9" t="s">
        <v>13</v>
      </c>
      <c r="J326" s="55"/>
    </row>
    <row r="327">
      <c r="A327" s="54" t="s">
        <v>332</v>
      </c>
      <c r="B327" s="11"/>
      <c r="C327" s="8" t="s">
        <v>11</v>
      </c>
      <c r="D327" s="8" t="str">
        <f t="shared" si="1"/>
        <v>-</v>
      </c>
      <c r="E327" s="9" t="s">
        <v>11</v>
      </c>
      <c r="F327" s="10"/>
      <c r="G327" s="9"/>
      <c r="H327" s="11"/>
      <c r="I327" s="9" t="s">
        <v>13</v>
      </c>
      <c r="J327" s="55"/>
    </row>
    <row r="328">
      <c r="A328" s="54" t="s">
        <v>332</v>
      </c>
      <c r="B328" s="11"/>
      <c r="C328" s="8" t="s">
        <v>11</v>
      </c>
      <c r="D328" s="8" t="str">
        <f t="shared" si="1"/>
        <v>-</v>
      </c>
      <c r="E328" s="9" t="s">
        <v>11</v>
      </c>
      <c r="F328" s="10"/>
      <c r="G328" s="9"/>
      <c r="H328" s="11"/>
      <c r="I328" s="9" t="s">
        <v>13</v>
      </c>
      <c r="J328" s="55"/>
    </row>
    <row r="329">
      <c r="A329" s="54" t="s">
        <v>332</v>
      </c>
      <c r="B329" s="11"/>
      <c r="C329" s="8" t="s">
        <v>11</v>
      </c>
      <c r="D329" s="8" t="str">
        <f t="shared" si="1"/>
        <v>-</v>
      </c>
      <c r="E329" s="9" t="s">
        <v>11</v>
      </c>
      <c r="F329" s="10"/>
      <c r="G329" s="9"/>
      <c r="H329" s="11"/>
      <c r="I329" s="9" t="s">
        <v>13</v>
      </c>
      <c r="J329" s="55"/>
    </row>
    <row r="330">
      <c r="A330" s="54" t="s">
        <v>332</v>
      </c>
      <c r="B330" s="11"/>
      <c r="C330" s="8" t="s">
        <v>11</v>
      </c>
      <c r="D330" s="8" t="str">
        <f t="shared" si="1"/>
        <v>-</v>
      </c>
      <c r="E330" s="9" t="s">
        <v>11</v>
      </c>
      <c r="F330" s="10"/>
      <c r="G330" s="9"/>
      <c r="H330" s="11"/>
      <c r="I330" s="9" t="s">
        <v>13</v>
      </c>
      <c r="J330" s="55"/>
    </row>
    <row r="331">
      <c r="A331" s="54" t="s">
        <v>332</v>
      </c>
      <c r="B331" s="11"/>
      <c r="C331" s="8" t="s">
        <v>11</v>
      </c>
      <c r="D331" s="8" t="str">
        <f t="shared" si="1"/>
        <v>-</v>
      </c>
      <c r="E331" s="9" t="s">
        <v>11</v>
      </c>
      <c r="F331" s="10"/>
      <c r="G331" s="9"/>
      <c r="H331" s="11"/>
      <c r="I331" s="9" t="s">
        <v>13</v>
      </c>
      <c r="J331" s="55"/>
    </row>
    <row r="332">
      <c r="A332" s="54" t="s">
        <v>332</v>
      </c>
      <c r="B332" s="11"/>
      <c r="C332" s="8" t="s">
        <v>11</v>
      </c>
      <c r="D332" s="8" t="str">
        <f t="shared" si="1"/>
        <v>-</v>
      </c>
      <c r="E332" s="9" t="s">
        <v>11</v>
      </c>
      <c r="F332" s="10"/>
      <c r="G332" s="9"/>
      <c r="H332" s="11"/>
      <c r="I332" s="9" t="s">
        <v>13</v>
      </c>
      <c r="J332" s="55"/>
    </row>
    <row r="333">
      <c r="A333" s="54" t="s">
        <v>332</v>
      </c>
      <c r="B333" s="11"/>
      <c r="C333" s="8" t="s">
        <v>11</v>
      </c>
      <c r="D333" s="8" t="str">
        <f t="shared" si="1"/>
        <v>-</v>
      </c>
      <c r="E333" s="9" t="s">
        <v>11</v>
      </c>
      <c r="F333" s="10"/>
      <c r="G333" s="9"/>
      <c r="H333" s="11"/>
      <c r="I333" s="9" t="s">
        <v>13</v>
      </c>
      <c r="J333" s="55"/>
    </row>
    <row r="334">
      <c r="A334" s="54" t="s">
        <v>332</v>
      </c>
      <c r="B334" s="11"/>
      <c r="C334" s="8" t="s">
        <v>11</v>
      </c>
      <c r="D334" s="8" t="str">
        <f t="shared" si="1"/>
        <v>-</v>
      </c>
      <c r="E334" s="9" t="s">
        <v>11</v>
      </c>
      <c r="F334" s="10"/>
      <c r="G334" s="9"/>
      <c r="H334" s="11"/>
      <c r="I334" s="9" t="s">
        <v>13</v>
      </c>
      <c r="J334" s="55"/>
    </row>
    <row r="335">
      <c r="A335" s="54" t="s">
        <v>332</v>
      </c>
      <c r="B335" s="11"/>
      <c r="C335" s="8" t="s">
        <v>11</v>
      </c>
      <c r="D335" s="8" t="str">
        <f t="shared" si="1"/>
        <v>-</v>
      </c>
      <c r="E335" s="9" t="s">
        <v>11</v>
      </c>
      <c r="F335" s="10"/>
      <c r="G335" s="9"/>
      <c r="H335" s="11"/>
      <c r="I335" s="9" t="s">
        <v>13</v>
      </c>
      <c r="J335" s="55"/>
    </row>
    <row r="336">
      <c r="A336" s="54" t="s">
        <v>332</v>
      </c>
      <c r="B336" s="11"/>
      <c r="C336" s="8" t="s">
        <v>11</v>
      </c>
      <c r="D336" s="8" t="str">
        <f t="shared" si="1"/>
        <v>-</v>
      </c>
      <c r="E336" s="9" t="s">
        <v>11</v>
      </c>
      <c r="F336" s="10"/>
      <c r="G336" s="9"/>
      <c r="H336" s="11"/>
      <c r="I336" s="9" t="s">
        <v>13</v>
      </c>
      <c r="J336" s="55"/>
    </row>
    <row r="337">
      <c r="A337" s="54" t="s">
        <v>332</v>
      </c>
      <c r="B337" s="11"/>
      <c r="C337" s="8" t="s">
        <v>11</v>
      </c>
      <c r="D337" s="8" t="str">
        <f t="shared" si="1"/>
        <v>-</v>
      </c>
      <c r="E337" s="9" t="s">
        <v>11</v>
      </c>
      <c r="F337" s="10"/>
      <c r="G337" s="9"/>
      <c r="H337" s="11"/>
      <c r="I337" s="9" t="s">
        <v>13</v>
      </c>
      <c r="J337" s="55"/>
    </row>
    <row r="338">
      <c r="A338" s="54" t="s">
        <v>332</v>
      </c>
      <c r="B338" s="11"/>
      <c r="C338" s="8" t="s">
        <v>11</v>
      </c>
      <c r="D338" s="8" t="str">
        <f t="shared" si="1"/>
        <v>-</v>
      </c>
      <c r="E338" s="9" t="s">
        <v>11</v>
      </c>
      <c r="F338" s="10"/>
      <c r="G338" s="9"/>
      <c r="H338" s="11"/>
      <c r="I338" s="9" t="s">
        <v>13</v>
      </c>
      <c r="J338" s="55"/>
    </row>
    <row r="339">
      <c r="A339" s="54" t="s">
        <v>332</v>
      </c>
      <c r="B339" s="11"/>
      <c r="C339" s="8" t="s">
        <v>11</v>
      </c>
      <c r="D339" s="8" t="str">
        <f t="shared" si="1"/>
        <v>-</v>
      </c>
      <c r="E339" s="9" t="s">
        <v>11</v>
      </c>
      <c r="F339" s="10"/>
      <c r="G339" s="9"/>
      <c r="H339" s="11"/>
      <c r="I339" s="9" t="s">
        <v>13</v>
      </c>
      <c r="J339" s="55"/>
    </row>
    <row r="340">
      <c r="A340" s="54" t="s">
        <v>332</v>
      </c>
      <c r="B340" s="11"/>
      <c r="C340" s="8" t="s">
        <v>11</v>
      </c>
      <c r="D340" s="8" t="str">
        <f t="shared" si="1"/>
        <v>-</v>
      </c>
      <c r="E340" s="9" t="s">
        <v>11</v>
      </c>
      <c r="F340" s="10"/>
      <c r="G340" s="9"/>
      <c r="H340" s="11"/>
      <c r="I340" s="9" t="s">
        <v>13</v>
      </c>
      <c r="J340" s="55"/>
    </row>
    <row r="341">
      <c r="A341" s="54" t="s">
        <v>332</v>
      </c>
      <c r="B341" s="11"/>
      <c r="C341" s="8" t="s">
        <v>11</v>
      </c>
      <c r="D341" s="8" t="str">
        <f t="shared" si="1"/>
        <v>-</v>
      </c>
      <c r="E341" s="9" t="s">
        <v>11</v>
      </c>
      <c r="F341" s="10"/>
      <c r="G341" s="9"/>
      <c r="H341" s="11"/>
      <c r="I341" s="9" t="s">
        <v>13</v>
      </c>
      <c r="J341" s="55"/>
    </row>
    <row r="342">
      <c r="A342" s="54" t="s">
        <v>332</v>
      </c>
      <c r="B342" s="11"/>
      <c r="C342" s="8" t="s">
        <v>11</v>
      </c>
      <c r="D342" s="8" t="str">
        <f t="shared" si="1"/>
        <v>-</v>
      </c>
      <c r="E342" s="9" t="s">
        <v>11</v>
      </c>
      <c r="F342" s="10"/>
      <c r="G342" s="9"/>
      <c r="H342" s="11"/>
      <c r="I342" s="9" t="s">
        <v>13</v>
      </c>
      <c r="J342" s="55"/>
    </row>
    <row r="343">
      <c r="A343" s="54" t="s">
        <v>332</v>
      </c>
      <c r="B343" s="11"/>
      <c r="C343" s="8" t="s">
        <v>11</v>
      </c>
      <c r="D343" s="8" t="str">
        <f t="shared" si="1"/>
        <v>-</v>
      </c>
      <c r="E343" s="9" t="s">
        <v>11</v>
      </c>
      <c r="F343" s="10"/>
      <c r="G343" s="9"/>
      <c r="H343" s="11"/>
      <c r="I343" s="9" t="s">
        <v>13</v>
      </c>
      <c r="J343" s="55"/>
    </row>
    <row r="344">
      <c r="A344" s="54" t="s">
        <v>332</v>
      </c>
      <c r="B344" s="11"/>
      <c r="C344" s="8" t="s">
        <v>11</v>
      </c>
      <c r="D344" s="8" t="str">
        <f t="shared" si="1"/>
        <v>-</v>
      </c>
      <c r="E344" s="9" t="s">
        <v>11</v>
      </c>
      <c r="F344" s="10"/>
      <c r="G344" s="9"/>
      <c r="H344" s="11"/>
      <c r="I344" s="9" t="s">
        <v>13</v>
      </c>
      <c r="J344" s="55"/>
    </row>
    <row r="345">
      <c r="A345" s="54" t="s">
        <v>332</v>
      </c>
      <c r="B345" s="11"/>
      <c r="C345" s="8" t="s">
        <v>11</v>
      </c>
      <c r="D345" s="8" t="str">
        <f t="shared" si="1"/>
        <v>-</v>
      </c>
      <c r="E345" s="9" t="s">
        <v>11</v>
      </c>
      <c r="F345" s="10"/>
      <c r="G345" s="9"/>
      <c r="H345" s="11"/>
      <c r="I345" s="9" t="s">
        <v>13</v>
      </c>
      <c r="J345" s="55"/>
    </row>
    <row r="346">
      <c r="A346" s="54" t="s">
        <v>332</v>
      </c>
      <c r="B346" s="11"/>
      <c r="C346" s="8" t="s">
        <v>11</v>
      </c>
      <c r="D346" s="8" t="str">
        <f t="shared" si="1"/>
        <v>-</v>
      </c>
      <c r="E346" s="9" t="s">
        <v>11</v>
      </c>
      <c r="F346" s="10"/>
      <c r="G346" s="9"/>
      <c r="H346" s="11"/>
      <c r="I346" s="9" t="s">
        <v>13</v>
      </c>
      <c r="J346" s="55"/>
    </row>
    <row r="347">
      <c r="A347" s="54" t="s">
        <v>332</v>
      </c>
      <c r="B347" s="11"/>
      <c r="C347" s="8" t="s">
        <v>11</v>
      </c>
      <c r="D347" s="8" t="str">
        <f t="shared" si="1"/>
        <v>-</v>
      </c>
      <c r="E347" s="9" t="s">
        <v>11</v>
      </c>
      <c r="F347" s="10"/>
      <c r="G347" s="9"/>
      <c r="H347" s="11"/>
      <c r="I347" s="9" t="s">
        <v>13</v>
      </c>
      <c r="J347" s="55"/>
    </row>
    <row r="348">
      <c r="A348" s="54" t="s">
        <v>332</v>
      </c>
      <c r="B348" s="11"/>
      <c r="C348" s="8" t="s">
        <v>11</v>
      </c>
      <c r="D348" s="8" t="str">
        <f t="shared" si="1"/>
        <v>-</v>
      </c>
      <c r="E348" s="9" t="s">
        <v>11</v>
      </c>
      <c r="F348" s="10"/>
      <c r="G348" s="9"/>
      <c r="H348" s="11"/>
      <c r="I348" s="9" t="s">
        <v>13</v>
      </c>
      <c r="J348" s="55"/>
    </row>
    <row r="349">
      <c r="A349" s="54" t="s">
        <v>332</v>
      </c>
      <c r="B349" s="11"/>
      <c r="C349" s="8" t="s">
        <v>11</v>
      </c>
      <c r="D349" s="8" t="str">
        <f t="shared" si="1"/>
        <v>-</v>
      </c>
      <c r="E349" s="9" t="s">
        <v>11</v>
      </c>
      <c r="F349" s="10"/>
      <c r="G349" s="9"/>
      <c r="H349" s="11"/>
      <c r="I349" s="9" t="s">
        <v>13</v>
      </c>
      <c r="J349" s="55"/>
    </row>
    <row r="350">
      <c r="A350" s="54" t="s">
        <v>332</v>
      </c>
      <c r="B350" s="11"/>
      <c r="C350" s="8" t="s">
        <v>11</v>
      </c>
      <c r="D350" s="8" t="str">
        <f t="shared" si="1"/>
        <v>-</v>
      </c>
      <c r="E350" s="9" t="s">
        <v>11</v>
      </c>
      <c r="F350" s="10"/>
      <c r="G350" s="9"/>
      <c r="H350" s="11"/>
      <c r="I350" s="9" t="s">
        <v>13</v>
      </c>
      <c r="J350" s="55"/>
    </row>
    <row r="351">
      <c r="A351" s="54" t="s">
        <v>332</v>
      </c>
      <c r="B351" s="11"/>
      <c r="C351" s="8" t="s">
        <v>11</v>
      </c>
      <c r="D351" s="8" t="str">
        <f t="shared" si="1"/>
        <v>-</v>
      </c>
      <c r="E351" s="9" t="s">
        <v>11</v>
      </c>
      <c r="F351" s="10"/>
      <c r="G351" s="9"/>
      <c r="H351" s="11"/>
      <c r="I351" s="9" t="s">
        <v>13</v>
      </c>
      <c r="J351" s="55"/>
    </row>
    <row r="352">
      <c r="A352" s="54" t="s">
        <v>332</v>
      </c>
      <c r="B352" s="11"/>
      <c r="C352" s="8" t="s">
        <v>11</v>
      </c>
      <c r="D352" s="8" t="str">
        <f t="shared" si="1"/>
        <v>-</v>
      </c>
      <c r="E352" s="9" t="s">
        <v>11</v>
      </c>
      <c r="F352" s="10"/>
      <c r="G352" s="9"/>
      <c r="H352" s="11"/>
      <c r="I352" s="9" t="s">
        <v>13</v>
      </c>
      <c r="J352" s="55"/>
    </row>
    <row r="353">
      <c r="A353" s="54" t="s">
        <v>332</v>
      </c>
      <c r="B353" s="11"/>
      <c r="C353" s="8" t="s">
        <v>11</v>
      </c>
      <c r="D353" s="8" t="str">
        <f t="shared" si="1"/>
        <v>-</v>
      </c>
      <c r="E353" s="9" t="s">
        <v>11</v>
      </c>
      <c r="F353" s="10"/>
      <c r="G353" s="9"/>
      <c r="H353" s="11"/>
      <c r="I353" s="9" t="s">
        <v>13</v>
      </c>
      <c r="J353" s="55"/>
    </row>
    <row r="354">
      <c r="A354" s="54" t="s">
        <v>332</v>
      </c>
      <c r="B354" s="11"/>
      <c r="C354" s="8" t="s">
        <v>11</v>
      </c>
      <c r="D354" s="8" t="str">
        <f t="shared" si="1"/>
        <v>-</v>
      </c>
      <c r="E354" s="9" t="s">
        <v>11</v>
      </c>
      <c r="F354" s="10"/>
      <c r="G354" s="9"/>
      <c r="H354" s="11"/>
      <c r="I354" s="9" t="s">
        <v>13</v>
      </c>
      <c r="J354" s="55"/>
    </row>
    <row r="355">
      <c r="A355" s="54" t="s">
        <v>332</v>
      </c>
      <c r="B355" s="11"/>
      <c r="C355" s="8" t="s">
        <v>11</v>
      </c>
      <c r="D355" s="8" t="str">
        <f t="shared" si="1"/>
        <v>-</v>
      </c>
      <c r="E355" s="9" t="s">
        <v>11</v>
      </c>
      <c r="F355" s="10"/>
      <c r="G355" s="9"/>
      <c r="H355" s="11"/>
      <c r="I355" s="9" t="s">
        <v>13</v>
      </c>
      <c r="J355" s="55"/>
    </row>
    <row r="356">
      <c r="A356" s="54" t="s">
        <v>332</v>
      </c>
      <c r="B356" s="11"/>
      <c r="C356" s="8" t="s">
        <v>11</v>
      </c>
      <c r="D356" s="8" t="str">
        <f t="shared" si="1"/>
        <v>-</v>
      </c>
      <c r="E356" s="9" t="s">
        <v>11</v>
      </c>
      <c r="F356" s="10"/>
      <c r="G356" s="9"/>
      <c r="H356" s="11"/>
      <c r="I356" s="9" t="s">
        <v>13</v>
      </c>
      <c r="J356" s="55"/>
    </row>
    <row r="357">
      <c r="A357" s="54" t="s">
        <v>332</v>
      </c>
      <c r="B357" s="11"/>
      <c r="C357" s="8" t="s">
        <v>11</v>
      </c>
      <c r="D357" s="8" t="str">
        <f t="shared" si="1"/>
        <v>-</v>
      </c>
      <c r="E357" s="9" t="s">
        <v>11</v>
      </c>
      <c r="F357" s="10"/>
      <c r="G357" s="9"/>
      <c r="H357" s="11"/>
      <c r="I357" s="9" t="s">
        <v>13</v>
      </c>
      <c r="J357" s="55"/>
    </row>
    <row r="358">
      <c r="A358" s="54" t="s">
        <v>332</v>
      </c>
      <c r="B358" s="11"/>
      <c r="C358" s="8" t="s">
        <v>11</v>
      </c>
      <c r="D358" s="8" t="str">
        <f t="shared" si="1"/>
        <v>-</v>
      </c>
      <c r="E358" s="9" t="s">
        <v>11</v>
      </c>
      <c r="F358" s="10"/>
      <c r="G358" s="9"/>
      <c r="H358" s="11"/>
      <c r="I358" s="9" t="s">
        <v>13</v>
      </c>
      <c r="J358" s="55"/>
    </row>
    <row r="359">
      <c r="A359" s="54" t="s">
        <v>332</v>
      </c>
      <c r="B359" s="11"/>
      <c r="C359" s="8" t="s">
        <v>11</v>
      </c>
      <c r="D359" s="8" t="str">
        <f t="shared" si="1"/>
        <v>-</v>
      </c>
      <c r="E359" s="9" t="s">
        <v>11</v>
      </c>
      <c r="F359" s="10"/>
      <c r="G359" s="9"/>
      <c r="H359" s="11"/>
      <c r="I359" s="9" t="s">
        <v>13</v>
      </c>
      <c r="J359" s="55"/>
    </row>
    <row r="360">
      <c r="A360" s="54" t="s">
        <v>332</v>
      </c>
      <c r="B360" s="11"/>
      <c r="C360" s="8" t="s">
        <v>11</v>
      </c>
      <c r="D360" s="8" t="str">
        <f t="shared" si="1"/>
        <v>-</v>
      </c>
      <c r="E360" s="9" t="s">
        <v>11</v>
      </c>
      <c r="F360" s="10"/>
      <c r="G360" s="9"/>
      <c r="H360" s="11"/>
      <c r="I360" s="9" t="s">
        <v>13</v>
      </c>
      <c r="J360" s="55"/>
    </row>
    <row r="361">
      <c r="A361" s="54" t="s">
        <v>332</v>
      </c>
      <c r="B361" s="11"/>
      <c r="C361" s="8" t="s">
        <v>11</v>
      </c>
      <c r="D361" s="8" t="str">
        <f t="shared" si="1"/>
        <v>-</v>
      </c>
      <c r="E361" s="9" t="s">
        <v>11</v>
      </c>
      <c r="F361" s="10"/>
      <c r="G361" s="9"/>
      <c r="H361" s="11"/>
      <c r="I361" s="9" t="s">
        <v>13</v>
      </c>
      <c r="J361" s="55"/>
    </row>
    <row r="362">
      <c r="A362" s="54" t="s">
        <v>332</v>
      </c>
      <c r="B362" s="11"/>
      <c r="C362" s="8" t="s">
        <v>11</v>
      </c>
      <c r="D362" s="8" t="str">
        <f t="shared" si="1"/>
        <v>-</v>
      </c>
      <c r="E362" s="9" t="s">
        <v>11</v>
      </c>
      <c r="F362" s="10"/>
      <c r="G362" s="9"/>
      <c r="H362" s="11"/>
      <c r="I362" s="9" t="s">
        <v>13</v>
      </c>
      <c r="J362" s="55"/>
    </row>
    <row r="363">
      <c r="A363" s="54" t="s">
        <v>332</v>
      </c>
      <c r="B363" s="11"/>
      <c r="C363" s="8" t="s">
        <v>11</v>
      </c>
      <c r="D363" s="8" t="str">
        <f t="shared" si="1"/>
        <v>-</v>
      </c>
      <c r="E363" s="9" t="s">
        <v>11</v>
      </c>
      <c r="F363" s="10"/>
      <c r="G363" s="9"/>
      <c r="H363" s="11"/>
      <c r="I363" s="9" t="s">
        <v>13</v>
      </c>
      <c r="J363" s="55"/>
    </row>
    <row r="364">
      <c r="A364" s="54" t="s">
        <v>332</v>
      </c>
      <c r="B364" s="11"/>
      <c r="C364" s="8" t="s">
        <v>11</v>
      </c>
      <c r="D364" s="8" t="str">
        <f t="shared" si="1"/>
        <v>-</v>
      </c>
      <c r="E364" s="9" t="s">
        <v>11</v>
      </c>
      <c r="F364" s="10"/>
      <c r="G364" s="9"/>
      <c r="H364" s="11"/>
      <c r="I364" s="9" t="s">
        <v>13</v>
      </c>
      <c r="J364" s="55"/>
    </row>
    <row r="365">
      <c r="A365" s="54" t="s">
        <v>332</v>
      </c>
      <c r="B365" s="11"/>
      <c r="C365" s="8" t="s">
        <v>11</v>
      </c>
      <c r="D365" s="8" t="str">
        <f t="shared" si="1"/>
        <v>-</v>
      </c>
      <c r="E365" s="9" t="s">
        <v>11</v>
      </c>
      <c r="F365" s="10"/>
      <c r="G365" s="9"/>
      <c r="H365" s="11"/>
      <c r="I365" s="9" t="s">
        <v>13</v>
      </c>
      <c r="J365" s="55"/>
    </row>
    <row r="366">
      <c r="A366" s="54" t="s">
        <v>332</v>
      </c>
      <c r="B366" s="11"/>
      <c r="C366" s="8" t="s">
        <v>11</v>
      </c>
      <c r="D366" s="8" t="str">
        <f t="shared" si="1"/>
        <v>-</v>
      </c>
      <c r="E366" s="9" t="s">
        <v>11</v>
      </c>
      <c r="F366" s="10"/>
      <c r="G366" s="9"/>
      <c r="H366" s="11"/>
      <c r="I366" s="9" t="s">
        <v>13</v>
      </c>
      <c r="J366" s="55"/>
    </row>
    <row r="367">
      <c r="A367" s="54" t="s">
        <v>332</v>
      </c>
      <c r="B367" s="11"/>
      <c r="C367" s="8" t="s">
        <v>11</v>
      </c>
      <c r="D367" s="8" t="str">
        <f t="shared" si="1"/>
        <v>-</v>
      </c>
      <c r="E367" s="9" t="s">
        <v>11</v>
      </c>
      <c r="F367" s="10"/>
      <c r="G367" s="9"/>
      <c r="H367" s="11"/>
      <c r="I367" s="9" t="s">
        <v>13</v>
      </c>
      <c r="J367" s="55"/>
    </row>
    <row r="368">
      <c r="A368" s="54" t="s">
        <v>332</v>
      </c>
      <c r="B368" s="11"/>
      <c r="C368" s="8" t="s">
        <v>11</v>
      </c>
      <c r="D368" s="8" t="str">
        <f t="shared" si="1"/>
        <v>-</v>
      </c>
      <c r="E368" s="9" t="s">
        <v>11</v>
      </c>
      <c r="F368" s="10"/>
      <c r="G368" s="9"/>
      <c r="H368" s="11"/>
      <c r="I368" s="9" t="s">
        <v>13</v>
      </c>
      <c r="J368" s="55"/>
    </row>
    <row r="369">
      <c r="A369" s="54" t="s">
        <v>332</v>
      </c>
      <c r="B369" s="11"/>
      <c r="C369" s="8" t="s">
        <v>11</v>
      </c>
      <c r="D369" s="8" t="str">
        <f t="shared" si="1"/>
        <v>-</v>
      </c>
      <c r="E369" s="9" t="s">
        <v>11</v>
      </c>
      <c r="F369" s="10"/>
      <c r="G369" s="9"/>
      <c r="H369" s="11"/>
      <c r="I369" s="9" t="s">
        <v>13</v>
      </c>
      <c r="J369" s="55"/>
    </row>
    <row r="370">
      <c r="A370" s="54" t="s">
        <v>332</v>
      </c>
      <c r="B370" s="11"/>
      <c r="C370" s="8" t="s">
        <v>11</v>
      </c>
      <c r="D370" s="8" t="str">
        <f t="shared" si="1"/>
        <v>-</v>
      </c>
      <c r="E370" s="9" t="s">
        <v>11</v>
      </c>
      <c r="F370" s="10"/>
      <c r="G370" s="9"/>
      <c r="H370" s="11"/>
      <c r="I370" s="9" t="s">
        <v>13</v>
      </c>
      <c r="J370" s="55"/>
    </row>
    <row r="371">
      <c r="A371" s="54" t="s">
        <v>332</v>
      </c>
      <c r="B371" s="11"/>
      <c r="C371" s="8"/>
      <c r="D371" s="8"/>
      <c r="E371" s="9"/>
      <c r="F371" s="10"/>
      <c r="G371" s="9"/>
      <c r="H371" s="11"/>
      <c r="I371" s="9"/>
      <c r="J371" s="55"/>
    </row>
  </sheetData>
  <mergeCells count="1">
    <mergeCell ref="A1:J1"/>
  </mergeCells>
  <conditionalFormatting sqref="A1:J371">
    <cfRule type="containsText" dxfId="0" priority="1" operator="containsText" text="FAB A FAIRE">
      <formula>NOT(ISERROR(SEARCH(("FAB A FAIRE"),(A1))))</formula>
    </cfRule>
  </conditionalFormatting>
  <conditionalFormatting sqref="B3:H371">
    <cfRule type="expression" dxfId="1" priority="2">
      <formula>$G3="Stand-by"</formula>
    </cfRule>
  </conditionalFormatting>
  <conditionalFormatting sqref="G2:G371">
    <cfRule type="cellIs" dxfId="2" priority="3" operator="equal">
      <formula>"A faire"</formula>
    </cfRule>
  </conditionalFormatting>
  <conditionalFormatting sqref="G2:G371">
    <cfRule type="cellIs" dxfId="3" priority="4" operator="equal">
      <formula>"En cours"</formula>
    </cfRule>
  </conditionalFormatting>
  <conditionalFormatting sqref="B3:H371">
    <cfRule type="expression" dxfId="4" priority="5">
      <formula>$G3="Sur T.L."</formula>
    </cfRule>
  </conditionalFormatting>
  <conditionalFormatting sqref="G2:G371">
    <cfRule type="cellIs" dxfId="5" priority="6" operator="equal">
      <formula>"Attente R."</formula>
    </cfRule>
  </conditionalFormatting>
  <conditionalFormatting sqref="F2:F371">
    <cfRule type="timePeriod" dxfId="6" priority="7" timePeriod="today"/>
  </conditionalFormatting>
  <conditionalFormatting sqref="F2:F371">
    <cfRule type="expression" dxfId="7" priority="8">
      <formula>AND(ISNUMBER(F2),TRUNC(F2)&lt;TODAY())</formula>
    </cfRule>
  </conditionalFormatting>
  <conditionalFormatting sqref="G2:G371">
    <cfRule type="cellIs" dxfId="8" priority="9" operator="equal">
      <formula>"Mairie"</formula>
    </cfRule>
  </conditionalFormatting>
  <conditionalFormatting sqref="H1:H371">
    <cfRule type="containsText" dxfId="9" priority="10" operator="containsText" text="REPRISE DOSSIER CAROLE">
      <formula>NOT(ISERROR(SEARCH(("REPRISE DOSSIER CAROLE"),(H1))))</formula>
    </cfRule>
  </conditionalFormatting>
  <dataValidations>
    <dataValidation type="list" allowBlank="1" sqref="G3:G371">
      <formula1>"-,A faire,En cours,Attente R.,Stand-by,Sur T.L.,Mairie"</formula1>
    </dataValidation>
    <dataValidation type="list" allowBlank="1" sqref="E11">
      <formula1>"-,M,A,S,L,My"</formula1>
    </dataValidation>
    <dataValidation type="list" allowBlank="1" sqref="E3:E10 E12:E370">
      <formula1>"-,M,A,S,L"</formula1>
    </dataValidation>
    <dataValidation type="list" allowBlank="1" sqref="E371">
      <formula1>"-,M,A"</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1" width="2.63"/>
  </cols>
  <sheetData>
    <row r="1" ht="24.0" customHeight="1">
      <c r="A1" s="72" t="s">
        <v>333</v>
      </c>
      <c r="K1" s="72"/>
    </row>
    <row r="2">
      <c r="A2" s="73"/>
      <c r="B2" s="74" t="s">
        <v>1</v>
      </c>
      <c r="C2" s="75" t="s">
        <v>2</v>
      </c>
      <c r="D2" s="75" t="s">
        <v>3</v>
      </c>
      <c r="E2" s="76" t="s">
        <v>4</v>
      </c>
      <c r="F2" s="75" t="s">
        <v>5</v>
      </c>
      <c r="G2" s="76" t="s">
        <v>6</v>
      </c>
      <c r="H2" s="76" t="s">
        <v>7</v>
      </c>
      <c r="I2" s="76" t="s">
        <v>8</v>
      </c>
      <c r="J2" s="77"/>
      <c r="K2" s="77"/>
    </row>
    <row r="3">
      <c r="A3" s="78" t="s">
        <v>334</v>
      </c>
      <c r="B3" s="43"/>
      <c r="C3" s="79"/>
      <c r="D3" s="80"/>
      <c r="E3" s="9"/>
      <c r="F3" s="10"/>
      <c r="G3" s="9"/>
      <c r="H3" s="7"/>
      <c r="I3" s="9"/>
      <c r="J3" s="81"/>
      <c r="K3" s="81"/>
    </row>
    <row r="4">
      <c r="A4" s="78" t="s">
        <v>334</v>
      </c>
      <c r="B4" s="43"/>
      <c r="C4" s="79"/>
      <c r="D4" s="80"/>
      <c r="E4" s="9"/>
      <c r="F4" s="10"/>
      <c r="G4" s="9"/>
      <c r="H4" s="7"/>
      <c r="I4" s="9"/>
      <c r="J4" s="81"/>
      <c r="K4" s="81"/>
    </row>
    <row r="5">
      <c r="A5" s="78" t="s">
        <v>334</v>
      </c>
      <c r="B5" s="43"/>
      <c r="C5" s="79"/>
      <c r="D5" s="80"/>
      <c r="E5" s="9"/>
      <c r="F5" s="10"/>
      <c r="G5" s="9"/>
      <c r="H5" s="7"/>
      <c r="I5" s="9"/>
      <c r="J5" s="81"/>
      <c r="K5" s="81"/>
    </row>
    <row r="6">
      <c r="A6" s="78" t="s">
        <v>334</v>
      </c>
      <c r="B6" s="43"/>
      <c r="C6" s="79"/>
      <c r="D6" s="80"/>
      <c r="E6" s="9"/>
      <c r="F6" s="10"/>
      <c r="G6" s="9"/>
      <c r="H6" s="7"/>
      <c r="I6" s="9"/>
      <c r="J6" s="81"/>
      <c r="K6" s="81"/>
    </row>
    <row r="7">
      <c r="A7" s="78" t="s">
        <v>334</v>
      </c>
      <c r="B7" s="43"/>
      <c r="C7" s="79"/>
      <c r="D7" s="80"/>
      <c r="E7" s="9"/>
      <c r="F7" s="10"/>
      <c r="G7" s="9"/>
      <c r="H7" s="7"/>
      <c r="I7" s="9"/>
      <c r="J7" s="81"/>
      <c r="K7" s="81"/>
    </row>
    <row r="8">
      <c r="A8" s="78" t="s">
        <v>334</v>
      </c>
      <c r="B8" s="43"/>
      <c r="C8" s="79"/>
      <c r="D8" s="80"/>
      <c r="E8" s="9"/>
      <c r="F8" s="10"/>
      <c r="G8" s="9"/>
      <c r="H8" s="7"/>
      <c r="I8" s="9"/>
      <c r="J8" s="81"/>
      <c r="K8" s="81"/>
    </row>
    <row r="9">
      <c r="A9" s="78" t="s">
        <v>334</v>
      </c>
      <c r="B9" s="43"/>
      <c r="C9" s="79"/>
      <c r="D9" s="80"/>
      <c r="E9" s="9"/>
      <c r="F9" s="10"/>
      <c r="G9" s="9"/>
      <c r="H9" s="7"/>
      <c r="I9" s="9"/>
      <c r="J9" s="81"/>
      <c r="K9" s="81"/>
    </row>
    <row r="10">
      <c r="A10" s="78" t="s">
        <v>334</v>
      </c>
      <c r="B10" s="43"/>
      <c r="C10" s="79"/>
      <c r="D10" s="80"/>
      <c r="E10" s="9"/>
      <c r="F10" s="10"/>
      <c r="G10" s="9"/>
      <c r="H10" s="7"/>
      <c r="I10" s="9"/>
      <c r="J10" s="81"/>
      <c r="K10" s="81"/>
    </row>
    <row r="11">
      <c r="A11" s="78" t="s">
        <v>334</v>
      </c>
      <c r="B11" s="43"/>
      <c r="C11" s="79"/>
      <c r="D11" s="80"/>
      <c r="E11" s="9"/>
      <c r="F11" s="10"/>
      <c r="G11" s="9"/>
      <c r="H11" s="7"/>
      <c r="I11" s="9"/>
      <c r="J11" s="81"/>
      <c r="K11" s="81"/>
    </row>
    <row r="12">
      <c r="A12" s="78" t="s">
        <v>334</v>
      </c>
      <c r="B12" s="43"/>
      <c r="C12" s="79"/>
      <c r="D12" s="80"/>
      <c r="E12" s="9"/>
      <c r="F12" s="10"/>
      <c r="G12" s="9"/>
      <c r="H12" s="7"/>
      <c r="I12" s="9"/>
      <c r="J12" s="81"/>
      <c r="K12" s="81"/>
    </row>
    <row r="13">
      <c r="A13" s="78" t="s">
        <v>334</v>
      </c>
      <c r="B13" s="43"/>
      <c r="C13" s="79"/>
      <c r="D13" s="80"/>
      <c r="E13" s="9"/>
      <c r="F13" s="10"/>
      <c r="G13" s="9"/>
      <c r="H13" s="7"/>
      <c r="I13" s="9"/>
      <c r="J13" s="81"/>
      <c r="K13" s="81"/>
    </row>
    <row r="14">
      <c r="A14" s="78" t="s">
        <v>334</v>
      </c>
      <c r="B14" s="43"/>
      <c r="C14" s="79"/>
      <c r="D14" s="80"/>
      <c r="E14" s="9"/>
      <c r="F14" s="10"/>
      <c r="G14" s="9"/>
      <c r="H14" s="7"/>
      <c r="I14" s="9"/>
      <c r="J14" s="81"/>
      <c r="K14" s="81"/>
    </row>
    <row r="15">
      <c r="A15" s="78" t="s">
        <v>334</v>
      </c>
      <c r="B15" s="43"/>
      <c r="C15" s="79"/>
      <c r="D15" s="80"/>
      <c r="E15" s="9"/>
      <c r="F15" s="10"/>
      <c r="G15" s="9"/>
      <c r="H15" s="7"/>
      <c r="I15" s="9"/>
      <c r="J15" s="81"/>
      <c r="K15" s="81"/>
    </row>
    <row r="16">
      <c r="A16" s="78" t="s">
        <v>334</v>
      </c>
      <c r="B16" s="43"/>
      <c r="C16" s="79"/>
      <c r="D16" s="80"/>
      <c r="E16" s="9"/>
      <c r="F16" s="10"/>
      <c r="G16" s="9"/>
      <c r="H16" s="7"/>
      <c r="I16" s="9"/>
      <c r="J16" s="81"/>
      <c r="K16" s="81"/>
    </row>
    <row r="17">
      <c r="A17" s="78" t="s">
        <v>334</v>
      </c>
      <c r="B17" s="47"/>
      <c r="C17" s="80" t="s">
        <v>11</v>
      </c>
      <c r="D17" s="80" t="str">
        <f t="shared" ref="D17:D558" si="1">IFERROR(_xlfn.WORKDAY.INTL(C17, 2),"-")</f>
        <v>-</v>
      </c>
      <c r="E17" s="9"/>
      <c r="F17" s="10"/>
      <c r="G17" s="9"/>
      <c r="H17" s="11"/>
      <c r="I17" s="9" t="s">
        <v>13</v>
      </c>
      <c r="J17" s="81"/>
      <c r="K17" s="81"/>
    </row>
    <row r="18">
      <c r="A18" s="78" t="s">
        <v>334</v>
      </c>
      <c r="B18" s="47"/>
      <c r="C18" s="80" t="s">
        <v>11</v>
      </c>
      <c r="D18" s="80" t="str">
        <f t="shared" si="1"/>
        <v>-</v>
      </c>
      <c r="E18" s="9"/>
      <c r="F18" s="10"/>
      <c r="G18" s="9"/>
      <c r="H18" s="11"/>
      <c r="I18" s="9" t="s">
        <v>13</v>
      </c>
      <c r="J18" s="81"/>
      <c r="K18" s="81"/>
    </row>
    <row r="19">
      <c r="A19" s="78" t="s">
        <v>334</v>
      </c>
      <c r="B19" s="47"/>
      <c r="C19" s="80" t="s">
        <v>11</v>
      </c>
      <c r="D19" s="80" t="str">
        <f t="shared" si="1"/>
        <v>-</v>
      </c>
      <c r="E19" s="9"/>
      <c r="F19" s="10"/>
      <c r="G19" s="9"/>
      <c r="H19" s="11"/>
      <c r="I19" s="9" t="s">
        <v>13</v>
      </c>
      <c r="J19" s="81"/>
      <c r="K19" s="81"/>
    </row>
    <row r="20">
      <c r="A20" s="78" t="s">
        <v>334</v>
      </c>
      <c r="B20" s="47"/>
      <c r="C20" s="80" t="s">
        <v>11</v>
      </c>
      <c r="D20" s="80" t="str">
        <f t="shared" si="1"/>
        <v>-</v>
      </c>
      <c r="E20" s="9"/>
      <c r="F20" s="10"/>
      <c r="G20" s="9"/>
      <c r="H20" s="11"/>
      <c r="I20" s="9" t="s">
        <v>13</v>
      </c>
      <c r="J20" s="81"/>
      <c r="K20" s="81"/>
    </row>
    <row r="21">
      <c r="A21" s="78" t="s">
        <v>334</v>
      </c>
      <c r="B21" s="47"/>
      <c r="C21" s="80" t="s">
        <v>11</v>
      </c>
      <c r="D21" s="80" t="str">
        <f t="shared" si="1"/>
        <v>-</v>
      </c>
      <c r="E21" s="9"/>
      <c r="F21" s="10"/>
      <c r="G21" s="9"/>
      <c r="H21" s="11"/>
      <c r="I21" s="9" t="s">
        <v>13</v>
      </c>
      <c r="J21" s="81"/>
      <c r="K21" s="81"/>
    </row>
    <row r="22">
      <c r="A22" s="78" t="s">
        <v>334</v>
      </c>
      <c r="B22" s="47"/>
      <c r="C22" s="80" t="s">
        <v>11</v>
      </c>
      <c r="D22" s="80" t="str">
        <f t="shared" si="1"/>
        <v>-</v>
      </c>
      <c r="E22" s="9"/>
      <c r="F22" s="10"/>
      <c r="G22" s="9"/>
      <c r="H22" s="11"/>
      <c r="I22" s="9" t="s">
        <v>13</v>
      </c>
      <c r="J22" s="81"/>
      <c r="K22" s="81"/>
    </row>
    <row r="23">
      <c r="A23" s="78" t="s">
        <v>334</v>
      </c>
      <c r="B23" s="47"/>
      <c r="C23" s="80" t="s">
        <v>11</v>
      </c>
      <c r="D23" s="80" t="str">
        <f t="shared" si="1"/>
        <v>-</v>
      </c>
      <c r="E23" s="9"/>
      <c r="F23" s="10"/>
      <c r="G23" s="9"/>
      <c r="H23" s="11"/>
      <c r="I23" s="9" t="s">
        <v>13</v>
      </c>
      <c r="J23" s="81"/>
      <c r="K23" s="81"/>
    </row>
    <row r="24">
      <c r="A24" s="78" t="s">
        <v>334</v>
      </c>
      <c r="B24" s="47"/>
      <c r="C24" s="80" t="s">
        <v>11</v>
      </c>
      <c r="D24" s="80" t="str">
        <f t="shared" si="1"/>
        <v>-</v>
      </c>
      <c r="E24" s="9"/>
      <c r="F24" s="10"/>
      <c r="G24" s="9"/>
      <c r="H24" s="11"/>
      <c r="I24" s="9" t="s">
        <v>13</v>
      </c>
      <c r="J24" s="81"/>
      <c r="K24" s="81"/>
    </row>
    <row r="25">
      <c r="A25" s="78" t="s">
        <v>334</v>
      </c>
      <c r="B25" s="47"/>
      <c r="C25" s="80" t="s">
        <v>11</v>
      </c>
      <c r="D25" s="80" t="str">
        <f t="shared" si="1"/>
        <v>-</v>
      </c>
      <c r="E25" s="9"/>
      <c r="F25" s="10"/>
      <c r="G25" s="9"/>
      <c r="H25" s="11"/>
      <c r="I25" s="9" t="s">
        <v>13</v>
      </c>
      <c r="J25" s="81"/>
      <c r="K25" s="81"/>
    </row>
    <row r="26">
      <c r="A26" s="78" t="s">
        <v>334</v>
      </c>
      <c r="B26" s="47"/>
      <c r="C26" s="80" t="s">
        <v>11</v>
      </c>
      <c r="D26" s="80" t="str">
        <f t="shared" si="1"/>
        <v>-</v>
      </c>
      <c r="E26" s="9"/>
      <c r="F26" s="10"/>
      <c r="G26" s="9"/>
      <c r="H26" s="11"/>
      <c r="I26" s="9" t="s">
        <v>13</v>
      </c>
      <c r="J26" s="81"/>
      <c r="K26" s="81"/>
    </row>
    <row r="27">
      <c r="A27" s="78" t="s">
        <v>334</v>
      </c>
      <c r="B27" s="47"/>
      <c r="C27" s="80" t="s">
        <v>11</v>
      </c>
      <c r="D27" s="80" t="str">
        <f t="shared" si="1"/>
        <v>-</v>
      </c>
      <c r="E27" s="9"/>
      <c r="F27" s="10"/>
      <c r="G27" s="9"/>
      <c r="H27" s="11"/>
      <c r="I27" s="9" t="s">
        <v>13</v>
      </c>
      <c r="J27" s="81"/>
      <c r="K27" s="81"/>
    </row>
    <row r="28">
      <c r="A28" s="78" t="s">
        <v>334</v>
      </c>
      <c r="B28" s="47"/>
      <c r="C28" s="80" t="s">
        <v>11</v>
      </c>
      <c r="D28" s="80" t="str">
        <f t="shared" si="1"/>
        <v>-</v>
      </c>
      <c r="E28" s="9"/>
      <c r="F28" s="10"/>
      <c r="G28" s="9"/>
      <c r="H28" s="11"/>
      <c r="I28" s="9" t="s">
        <v>13</v>
      </c>
      <c r="J28" s="81"/>
      <c r="K28" s="81"/>
    </row>
    <row r="29">
      <c r="A29" s="78" t="s">
        <v>334</v>
      </c>
      <c r="B29" s="47"/>
      <c r="C29" s="80" t="s">
        <v>11</v>
      </c>
      <c r="D29" s="80" t="str">
        <f t="shared" si="1"/>
        <v>-</v>
      </c>
      <c r="E29" s="9"/>
      <c r="F29" s="10"/>
      <c r="G29" s="9"/>
      <c r="H29" s="11"/>
      <c r="I29" s="9" t="s">
        <v>13</v>
      </c>
      <c r="J29" s="81"/>
      <c r="K29" s="81"/>
    </row>
    <row r="30">
      <c r="A30" s="78" t="s">
        <v>334</v>
      </c>
      <c r="B30" s="47"/>
      <c r="C30" s="80" t="s">
        <v>11</v>
      </c>
      <c r="D30" s="80" t="str">
        <f t="shared" si="1"/>
        <v>-</v>
      </c>
      <c r="E30" s="9"/>
      <c r="F30" s="10"/>
      <c r="G30" s="9"/>
      <c r="H30" s="11"/>
      <c r="I30" s="9" t="s">
        <v>13</v>
      </c>
      <c r="J30" s="81"/>
      <c r="K30" s="81"/>
    </row>
    <row r="31">
      <c r="A31" s="78" t="s">
        <v>334</v>
      </c>
      <c r="B31" s="47"/>
      <c r="C31" s="80" t="s">
        <v>11</v>
      </c>
      <c r="D31" s="80" t="str">
        <f t="shared" si="1"/>
        <v>-</v>
      </c>
      <c r="E31" s="9"/>
      <c r="F31" s="10"/>
      <c r="G31" s="9"/>
      <c r="H31" s="11"/>
      <c r="I31" s="9" t="s">
        <v>13</v>
      </c>
      <c r="J31" s="81"/>
      <c r="K31" s="81"/>
    </row>
    <row r="32">
      <c r="A32" s="78" t="s">
        <v>334</v>
      </c>
      <c r="B32" s="47"/>
      <c r="C32" s="80" t="s">
        <v>11</v>
      </c>
      <c r="D32" s="80" t="str">
        <f t="shared" si="1"/>
        <v>-</v>
      </c>
      <c r="E32" s="9"/>
      <c r="F32" s="10"/>
      <c r="G32" s="9"/>
      <c r="H32" s="11"/>
      <c r="I32" s="9" t="s">
        <v>13</v>
      </c>
      <c r="J32" s="81"/>
      <c r="K32" s="81"/>
    </row>
    <row r="33">
      <c r="A33" s="78" t="s">
        <v>334</v>
      </c>
      <c r="B33" s="47"/>
      <c r="C33" s="80" t="s">
        <v>11</v>
      </c>
      <c r="D33" s="80" t="str">
        <f t="shared" si="1"/>
        <v>-</v>
      </c>
      <c r="E33" s="9"/>
      <c r="F33" s="10"/>
      <c r="G33" s="9"/>
      <c r="H33" s="11"/>
      <c r="I33" s="9" t="s">
        <v>13</v>
      </c>
      <c r="J33" s="81"/>
      <c r="K33" s="81"/>
    </row>
    <row r="34">
      <c r="A34" s="78" t="s">
        <v>334</v>
      </c>
      <c r="B34" s="47"/>
      <c r="C34" s="80" t="s">
        <v>11</v>
      </c>
      <c r="D34" s="80" t="str">
        <f t="shared" si="1"/>
        <v>-</v>
      </c>
      <c r="E34" s="9"/>
      <c r="F34" s="10"/>
      <c r="G34" s="9"/>
      <c r="H34" s="11"/>
      <c r="I34" s="9" t="s">
        <v>13</v>
      </c>
      <c r="J34" s="81"/>
      <c r="K34" s="81"/>
    </row>
    <row r="35">
      <c r="A35" s="78" t="s">
        <v>334</v>
      </c>
      <c r="B35" s="47"/>
      <c r="C35" s="80" t="s">
        <v>11</v>
      </c>
      <c r="D35" s="80" t="str">
        <f t="shared" si="1"/>
        <v>-</v>
      </c>
      <c r="E35" s="9"/>
      <c r="F35" s="10"/>
      <c r="G35" s="9"/>
      <c r="H35" s="11"/>
      <c r="I35" s="9" t="s">
        <v>13</v>
      </c>
      <c r="J35" s="81"/>
      <c r="K35" s="81"/>
    </row>
    <row r="36">
      <c r="A36" s="78" t="s">
        <v>334</v>
      </c>
      <c r="B36" s="47"/>
      <c r="C36" s="80" t="s">
        <v>11</v>
      </c>
      <c r="D36" s="80" t="str">
        <f t="shared" si="1"/>
        <v>-</v>
      </c>
      <c r="E36" s="9"/>
      <c r="F36" s="10"/>
      <c r="G36" s="9"/>
      <c r="H36" s="11"/>
      <c r="I36" s="9" t="s">
        <v>13</v>
      </c>
      <c r="J36" s="81"/>
      <c r="K36" s="81"/>
    </row>
    <row r="37">
      <c r="A37" s="78" t="s">
        <v>334</v>
      </c>
      <c r="B37" s="47"/>
      <c r="C37" s="80" t="s">
        <v>11</v>
      </c>
      <c r="D37" s="80" t="str">
        <f t="shared" si="1"/>
        <v>-</v>
      </c>
      <c r="E37" s="9"/>
      <c r="F37" s="10"/>
      <c r="G37" s="9"/>
      <c r="H37" s="11"/>
      <c r="I37" s="9" t="s">
        <v>13</v>
      </c>
      <c r="J37" s="81"/>
      <c r="K37" s="81"/>
    </row>
    <row r="38">
      <c r="A38" s="78" t="s">
        <v>334</v>
      </c>
      <c r="B38" s="47"/>
      <c r="C38" s="80" t="s">
        <v>11</v>
      </c>
      <c r="D38" s="80" t="str">
        <f t="shared" si="1"/>
        <v>-</v>
      </c>
      <c r="E38" s="9"/>
      <c r="F38" s="10"/>
      <c r="G38" s="9"/>
      <c r="H38" s="11"/>
      <c r="I38" s="9" t="s">
        <v>13</v>
      </c>
      <c r="J38" s="81"/>
      <c r="K38" s="81"/>
    </row>
    <row r="39">
      <c r="A39" s="78" t="s">
        <v>334</v>
      </c>
      <c r="B39" s="47"/>
      <c r="C39" s="80" t="s">
        <v>11</v>
      </c>
      <c r="D39" s="80" t="str">
        <f t="shared" si="1"/>
        <v>-</v>
      </c>
      <c r="E39" s="9"/>
      <c r="F39" s="10"/>
      <c r="G39" s="9"/>
      <c r="H39" s="11"/>
      <c r="I39" s="9" t="s">
        <v>13</v>
      </c>
      <c r="J39" s="81"/>
      <c r="K39" s="81"/>
    </row>
    <row r="40">
      <c r="A40" s="78" t="s">
        <v>334</v>
      </c>
      <c r="B40" s="47"/>
      <c r="C40" s="80" t="s">
        <v>11</v>
      </c>
      <c r="D40" s="80" t="str">
        <f t="shared" si="1"/>
        <v>-</v>
      </c>
      <c r="E40" s="9"/>
      <c r="F40" s="10"/>
      <c r="G40" s="9"/>
      <c r="H40" s="11"/>
      <c r="I40" s="9" t="s">
        <v>13</v>
      </c>
      <c r="J40" s="81"/>
      <c r="K40" s="81"/>
    </row>
    <row r="41">
      <c r="A41" s="78" t="s">
        <v>334</v>
      </c>
      <c r="B41" s="47"/>
      <c r="C41" s="80" t="s">
        <v>11</v>
      </c>
      <c r="D41" s="80" t="str">
        <f t="shared" si="1"/>
        <v>-</v>
      </c>
      <c r="E41" s="9"/>
      <c r="F41" s="10"/>
      <c r="G41" s="9"/>
      <c r="H41" s="11"/>
      <c r="I41" s="9" t="s">
        <v>13</v>
      </c>
      <c r="J41" s="81"/>
      <c r="K41" s="81"/>
    </row>
    <row r="42">
      <c r="A42" s="78" t="s">
        <v>334</v>
      </c>
      <c r="B42" s="47"/>
      <c r="C42" s="80" t="s">
        <v>11</v>
      </c>
      <c r="D42" s="80" t="str">
        <f t="shared" si="1"/>
        <v>-</v>
      </c>
      <c r="E42" s="9"/>
      <c r="F42" s="10"/>
      <c r="G42" s="9"/>
      <c r="H42" s="11"/>
      <c r="I42" s="9" t="s">
        <v>13</v>
      </c>
      <c r="J42" s="81"/>
      <c r="K42" s="81"/>
    </row>
    <row r="43">
      <c r="A43" s="78" t="s">
        <v>334</v>
      </c>
      <c r="B43" s="47"/>
      <c r="C43" s="80" t="s">
        <v>11</v>
      </c>
      <c r="D43" s="80" t="str">
        <f t="shared" si="1"/>
        <v>-</v>
      </c>
      <c r="E43" s="9"/>
      <c r="F43" s="10"/>
      <c r="G43" s="9"/>
      <c r="H43" s="11"/>
      <c r="I43" s="9" t="s">
        <v>13</v>
      </c>
      <c r="J43" s="81"/>
      <c r="K43" s="81"/>
    </row>
    <row r="44">
      <c r="A44" s="78" t="s">
        <v>334</v>
      </c>
      <c r="B44" s="47"/>
      <c r="C44" s="80" t="s">
        <v>11</v>
      </c>
      <c r="D44" s="80" t="str">
        <f t="shared" si="1"/>
        <v>-</v>
      </c>
      <c r="E44" s="9"/>
      <c r="F44" s="10"/>
      <c r="G44" s="9"/>
      <c r="H44" s="11"/>
      <c r="I44" s="9" t="s">
        <v>13</v>
      </c>
      <c r="J44" s="81"/>
      <c r="K44" s="81"/>
    </row>
    <row r="45">
      <c r="A45" s="78" t="s">
        <v>334</v>
      </c>
      <c r="B45" s="47"/>
      <c r="C45" s="80" t="s">
        <v>11</v>
      </c>
      <c r="D45" s="80" t="str">
        <f t="shared" si="1"/>
        <v>-</v>
      </c>
      <c r="E45" s="9"/>
      <c r="F45" s="10"/>
      <c r="G45" s="9"/>
      <c r="H45" s="11"/>
      <c r="I45" s="9" t="s">
        <v>13</v>
      </c>
      <c r="J45" s="81"/>
      <c r="K45" s="81"/>
    </row>
    <row r="46">
      <c r="A46" s="78" t="s">
        <v>334</v>
      </c>
      <c r="B46" s="47"/>
      <c r="C46" s="80" t="s">
        <v>11</v>
      </c>
      <c r="D46" s="80" t="str">
        <f t="shared" si="1"/>
        <v>-</v>
      </c>
      <c r="E46" s="9"/>
      <c r="F46" s="10"/>
      <c r="G46" s="9"/>
      <c r="H46" s="11"/>
      <c r="I46" s="9" t="s">
        <v>13</v>
      </c>
      <c r="J46" s="81"/>
      <c r="K46" s="81"/>
    </row>
    <row r="47">
      <c r="A47" s="78" t="s">
        <v>334</v>
      </c>
      <c r="B47" s="47"/>
      <c r="C47" s="80" t="s">
        <v>11</v>
      </c>
      <c r="D47" s="80" t="str">
        <f t="shared" si="1"/>
        <v>-</v>
      </c>
      <c r="E47" s="9"/>
      <c r="F47" s="10"/>
      <c r="G47" s="9"/>
      <c r="H47" s="11"/>
      <c r="I47" s="9" t="s">
        <v>13</v>
      </c>
      <c r="J47" s="81"/>
      <c r="K47" s="81"/>
    </row>
    <row r="48">
      <c r="A48" s="78" t="s">
        <v>334</v>
      </c>
      <c r="B48" s="47"/>
      <c r="C48" s="80" t="s">
        <v>11</v>
      </c>
      <c r="D48" s="80" t="str">
        <f t="shared" si="1"/>
        <v>-</v>
      </c>
      <c r="E48" s="9"/>
      <c r="F48" s="10"/>
      <c r="G48" s="9"/>
      <c r="H48" s="11"/>
      <c r="I48" s="9" t="s">
        <v>13</v>
      </c>
      <c r="J48" s="81"/>
      <c r="K48" s="81"/>
    </row>
    <row r="49">
      <c r="A49" s="78" t="s">
        <v>334</v>
      </c>
      <c r="B49" s="47"/>
      <c r="C49" s="80" t="s">
        <v>11</v>
      </c>
      <c r="D49" s="80" t="str">
        <f t="shared" si="1"/>
        <v>-</v>
      </c>
      <c r="E49" s="9"/>
      <c r="F49" s="10"/>
      <c r="G49" s="9"/>
      <c r="H49" s="11"/>
      <c r="I49" s="9" t="s">
        <v>13</v>
      </c>
      <c r="J49" s="81"/>
      <c r="K49" s="81"/>
    </row>
    <row r="50">
      <c r="A50" s="78" t="s">
        <v>334</v>
      </c>
      <c r="B50" s="47"/>
      <c r="C50" s="80" t="s">
        <v>11</v>
      </c>
      <c r="D50" s="80" t="str">
        <f t="shared" si="1"/>
        <v>-</v>
      </c>
      <c r="E50" s="9"/>
      <c r="F50" s="10"/>
      <c r="G50" s="9"/>
      <c r="H50" s="11"/>
      <c r="I50" s="9" t="s">
        <v>13</v>
      </c>
      <c r="J50" s="81"/>
      <c r="K50" s="81"/>
    </row>
    <row r="51">
      <c r="A51" s="78" t="s">
        <v>334</v>
      </c>
      <c r="B51" s="47"/>
      <c r="C51" s="80" t="s">
        <v>11</v>
      </c>
      <c r="D51" s="80" t="str">
        <f t="shared" si="1"/>
        <v>-</v>
      </c>
      <c r="E51" s="9"/>
      <c r="F51" s="10"/>
      <c r="G51" s="9"/>
      <c r="H51" s="11"/>
      <c r="I51" s="9" t="s">
        <v>13</v>
      </c>
      <c r="J51" s="81"/>
      <c r="K51" s="81"/>
    </row>
    <row r="52">
      <c r="A52" s="78" t="s">
        <v>334</v>
      </c>
      <c r="B52" s="47"/>
      <c r="C52" s="80" t="s">
        <v>11</v>
      </c>
      <c r="D52" s="80" t="str">
        <f t="shared" si="1"/>
        <v>-</v>
      </c>
      <c r="E52" s="9"/>
      <c r="F52" s="10"/>
      <c r="G52" s="9"/>
      <c r="H52" s="11"/>
      <c r="I52" s="9" t="s">
        <v>13</v>
      </c>
      <c r="J52" s="81"/>
      <c r="K52" s="81"/>
    </row>
    <row r="53">
      <c r="A53" s="78" t="s">
        <v>334</v>
      </c>
      <c r="B53" s="47"/>
      <c r="C53" s="80" t="s">
        <v>11</v>
      </c>
      <c r="D53" s="80" t="str">
        <f t="shared" si="1"/>
        <v>-</v>
      </c>
      <c r="E53" s="9"/>
      <c r="F53" s="10"/>
      <c r="G53" s="9"/>
      <c r="H53" s="11"/>
      <c r="I53" s="9" t="s">
        <v>13</v>
      </c>
      <c r="J53" s="81"/>
      <c r="K53" s="81"/>
    </row>
    <row r="54">
      <c r="A54" s="78" t="s">
        <v>334</v>
      </c>
      <c r="B54" s="47"/>
      <c r="C54" s="80" t="s">
        <v>11</v>
      </c>
      <c r="D54" s="80" t="str">
        <f t="shared" si="1"/>
        <v>-</v>
      </c>
      <c r="E54" s="9"/>
      <c r="F54" s="10"/>
      <c r="G54" s="9"/>
      <c r="H54" s="11"/>
      <c r="I54" s="9" t="s">
        <v>13</v>
      </c>
      <c r="J54" s="81"/>
      <c r="K54" s="81"/>
    </row>
    <row r="55">
      <c r="A55" s="78" t="s">
        <v>334</v>
      </c>
      <c r="B55" s="47"/>
      <c r="C55" s="80" t="s">
        <v>11</v>
      </c>
      <c r="D55" s="80" t="str">
        <f t="shared" si="1"/>
        <v>-</v>
      </c>
      <c r="E55" s="9"/>
      <c r="F55" s="10"/>
      <c r="G55" s="9"/>
      <c r="H55" s="11"/>
      <c r="I55" s="9" t="s">
        <v>13</v>
      </c>
      <c r="J55" s="81"/>
      <c r="K55" s="81"/>
    </row>
    <row r="56">
      <c r="A56" s="78" t="s">
        <v>334</v>
      </c>
      <c r="B56" s="47"/>
      <c r="C56" s="80" t="s">
        <v>11</v>
      </c>
      <c r="D56" s="80" t="str">
        <f t="shared" si="1"/>
        <v>-</v>
      </c>
      <c r="E56" s="9"/>
      <c r="F56" s="10"/>
      <c r="G56" s="9"/>
      <c r="H56" s="11"/>
      <c r="I56" s="9" t="s">
        <v>13</v>
      </c>
      <c r="J56" s="81"/>
      <c r="K56" s="81"/>
    </row>
    <row r="57">
      <c r="A57" s="78" t="s">
        <v>334</v>
      </c>
      <c r="B57" s="47"/>
      <c r="C57" s="80" t="s">
        <v>11</v>
      </c>
      <c r="D57" s="80" t="str">
        <f t="shared" si="1"/>
        <v>-</v>
      </c>
      <c r="E57" s="9"/>
      <c r="F57" s="10"/>
      <c r="G57" s="9"/>
      <c r="H57" s="11"/>
      <c r="I57" s="9" t="s">
        <v>13</v>
      </c>
      <c r="J57" s="81"/>
      <c r="K57" s="81"/>
    </row>
    <row r="58">
      <c r="A58" s="78" t="s">
        <v>334</v>
      </c>
      <c r="B58" s="47"/>
      <c r="C58" s="80" t="s">
        <v>11</v>
      </c>
      <c r="D58" s="80" t="str">
        <f t="shared" si="1"/>
        <v>-</v>
      </c>
      <c r="E58" s="9"/>
      <c r="F58" s="10"/>
      <c r="G58" s="9"/>
      <c r="H58" s="11"/>
      <c r="I58" s="9" t="s">
        <v>13</v>
      </c>
      <c r="J58" s="81"/>
      <c r="K58" s="81"/>
    </row>
    <row r="59">
      <c r="A59" s="78" t="s">
        <v>334</v>
      </c>
      <c r="B59" s="47"/>
      <c r="C59" s="80" t="s">
        <v>11</v>
      </c>
      <c r="D59" s="80" t="str">
        <f t="shared" si="1"/>
        <v>-</v>
      </c>
      <c r="E59" s="9"/>
      <c r="F59" s="10"/>
      <c r="G59" s="9"/>
      <c r="H59" s="11"/>
      <c r="I59" s="9" t="s">
        <v>13</v>
      </c>
      <c r="J59" s="81"/>
      <c r="K59" s="81"/>
    </row>
    <row r="60">
      <c r="A60" s="78" t="s">
        <v>334</v>
      </c>
      <c r="B60" s="47"/>
      <c r="C60" s="80" t="s">
        <v>11</v>
      </c>
      <c r="D60" s="80" t="str">
        <f t="shared" si="1"/>
        <v>-</v>
      </c>
      <c r="E60" s="9"/>
      <c r="F60" s="10"/>
      <c r="G60" s="9"/>
      <c r="H60" s="11"/>
      <c r="I60" s="9" t="s">
        <v>13</v>
      </c>
      <c r="J60" s="81"/>
      <c r="K60" s="81"/>
    </row>
    <row r="61">
      <c r="A61" s="78" t="s">
        <v>334</v>
      </c>
      <c r="B61" s="47"/>
      <c r="C61" s="80" t="s">
        <v>11</v>
      </c>
      <c r="D61" s="80" t="str">
        <f t="shared" si="1"/>
        <v>-</v>
      </c>
      <c r="E61" s="9"/>
      <c r="F61" s="10"/>
      <c r="G61" s="9"/>
      <c r="H61" s="11"/>
      <c r="I61" s="9" t="s">
        <v>13</v>
      </c>
      <c r="J61" s="81"/>
      <c r="K61" s="81"/>
    </row>
    <row r="62">
      <c r="A62" s="78" t="s">
        <v>334</v>
      </c>
      <c r="B62" s="47"/>
      <c r="C62" s="80" t="s">
        <v>11</v>
      </c>
      <c r="D62" s="80" t="str">
        <f t="shared" si="1"/>
        <v>-</v>
      </c>
      <c r="E62" s="9"/>
      <c r="F62" s="10"/>
      <c r="G62" s="9"/>
      <c r="H62" s="11"/>
      <c r="I62" s="9" t="s">
        <v>13</v>
      </c>
      <c r="J62" s="81"/>
      <c r="K62" s="81"/>
    </row>
    <row r="63">
      <c r="A63" s="78" t="s">
        <v>334</v>
      </c>
      <c r="B63" s="47"/>
      <c r="C63" s="80" t="s">
        <v>11</v>
      </c>
      <c r="D63" s="80" t="str">
        <f t="shared" si="1"/>
        <v>-</v>
      </c>
      <c r="E63" s="9"/>
      <c r="F63" s="10"/>
      <c r="G63" s="9"/>
      <c r="H63" s="11"/>
      <c r="I63" s="9" t="s">
        <v>13</v>
      </c>
      <c r="J63" s="81"/>
      <c r="K63" s="81"/>
    </row>
    <row r="64">
      <c r="A64" s="78" t="s">
        <v>334</v>
      </c>
      <c r="B64" s="47"/>
      <c r="C64" s="80" t="s">
        <v>11</v>
      </c>
      <c r="D64" s="80" t="str">
        <f t="shared" si="1"/>
        <v>-</v>
      </c>
      <c r="E64" s="9"/>
      <c r="F64" s="10"/>
      <c r="G64" s="9"/>
      <c r="H64" s="11"/>
      <c r="I64" s="9" t="s">
        <v>13</v>
      </c>
      <c r="J64" s="81"/>
      <c r="K64" s="81"/>
    </row>
    <row r="65">
      <c r="A65" s="78" t="s">
        <v>334</v>
      </c>
      <c r="B65" s="47"/>
      <c r="C65" s="80" t="s">
        <v>11</v>
      </c>
      <c r="D65" s="80" t="str">
        <f t="shared" si="1"/>
        <v>-</v>
      </c>
      <c r="E65" s="9"/>
      <c r="F65" s="10"/>
      <c r="G65" s="9"/>
      <c r="H65" s="11"/>
      <c r="I65" s="9" t="s">
        <v>13</v>
      </c>
      <c r="J65" s="81"/>
      <c r="K65" s="81"/>
    </row>
    <row r="66">
      <c r="A66" s="78" t="s">
        <v>334</v>
      </c>
      <c r="B66" s="47"/>
      <c r="C66" s="80" t="s">
        <v>11</v>
      </c>
      <c r="D66" s="80" t="str">
        <f t="shared" si="1"/>
        <v>-</v>
      </c>
      <c r="E66" s="9"/>
      <c r="F66" s="10"/>
      <c r="G66" s="9"/>
      <c r="H66" s="11"/>
      <c r="I66" s="9" t="s">
        <v>13</v>
      </c>
      <c r="J66" s="81"/>
      <c r="K66" s="81"/>
    </row>
    <row r="67">
      <c r="A67" s="78" t="s">
        <v>334</v>
      </c>
      <c r="B67" s="47"/>
      <c r="C67" s="80" t="s">
        <v>11</v>
      </c>
      <c r="D67" s="80" t="str">
        <f t="shared" si="1"/>
        <v>-</v>
      </c>
      <c r="E67" s="9"/>
      <c r="F67" s="10"/>
      <c r="G67" s="9"/>
      <c r="H67" s="11"/>
      <c r="I67" s="9" t="s">
        <v>13</v>
      </c>
      <c r="J67" s="81"/>
      <c r="K67" s="81"/>
    </row>
    <row r="68">
      <c r="A68" s="78" t="s">
        <v>334</v>
      </c>
      <c r="B68" s="47"/>
      <c r="C68" s="80" t="s">
        <v>11</v>
      </c>
      <c r="D68" s="80" t="str">
        <f t="shared" si="1"/>
        <v>-</v>
      </c>
      <c r="E68" s="9"/>
      <c r="F68" s="10"/>
      <c r="G68" s="9"/>
      <c r="H68" s="11"/>
      <c r="I68" s="9" t="s">
        <v>13</v>
      </c>
      <c r="J68" s="81"/>
      <c r="K68" s="81"/>
    </row>
    <row r="69">
      <c r="A69" s="78" t="s">
        <v>334</v>
      </c>
      <c r="B69" s="47"/>
      <c r="C69" s="80" t="s">
        <v>11</v>
      </c>
      <c r="D69" s="80" t="str">
        <f t="shared" si="1"/>
        <v>-</v>
      </c>
      <c r="E69" s="9"/>
      <c r="F69" s="10"/>
      <c r="G69" s="9"/>
      <c r="H69" s="11"/>
      <c r="I69" s="9" t="s">
        <v>13</v>
      </c>
      <c r="J69" s="81"/>
      <c r="K69" s="81"/>
    </row>
    <row r="70">
      <c r="A70" s="78" t="s">
        <v>334</v>
      </c>
      <c r="B70" s="47"/>
      <c r="C70" s="80" t="s">
        <v>11</v>
      </c>
      <c r="D70" s="80" t="str">
        <f t="shared" si="1"/>
        <v>-</v>
      </c>
      <c r="E70" s="9"/>
      <c r="F70" s="10"/>
      <c r="G70" s="9"/>
      <c r="H70" s="11"/>
      <c r="I70" s="9" t="s">
        <v>13</v>
      </c>
      <c r="J70" s="81"/>
      <c r="K70" s="81"/>
    </row>
    <row r="71">
      <c r="A71" s="78" t="s">
        <v>334</v>
      </c>
      <c r="B71" s="47"/>
      <c r="C71" s="80" t="s">
        <v>11</v>
      </c>
      <c r="D71" s="80" t="str">
        <f t="shared" si="1"/>
        <v>-</v>
      </c>
      <c r="E71" s="9"/>
      <c r="F71" s="10"/>
      <c r="G71" s="9"/>
      <c r="H71" s="11"/>
      <c r="I71" s="9" t="s">
        <v>13</v>
      </c>
      <c r="J71" s="81"/>
      <c r="K71" s="81"/>
    </row>
    <row r="72">
      <c r="A72" s="78" t="s">
        <v>334</v>
      </c>
      <c r="B72" s="47"/>
      <c r="C72" s="80" t="s">
        <v>11</v>
      </c>
      <c r="D72" s="80" t="str">
        <f t="shared" si="1"/>
        <v>-</v>
      </c>
      <c r="E72" s="9"/>
      <c r="F72" s="10"/>
      <c r="G72" s="9"/>
      <c r="H72" s="11"/>
      <c r="I72" s="9" t="s">
        <v>13</v>
      </c>
      <c r="J72" s="81"/>
      <c r="K72" s="81"/>
    </row>
    <row r="73">
      <c r="A73" s="78" t="s">
        <v>334</v>
      </c>
      <c r="B73" s="47"/>
      <c r="C73" s="80" t="s">
        <v>11</v>
      </c>
      <c r="D73" s="80" t="str">
        <f t="shared" si="1"/>
        <v>-</v>
      </c>
      <c r="E73" s="9"/>
      <c r="F73" s="10"/>
      <c r="G73" s="9"/>
      <c r="H73" s="11"/>
      <c r="I73" s="9" t="s">
        <v>13</v>
      </c>
      <c r="J73" s="81"/>
      <c r="K73" s="81"/>
    </row>
    <row r="74">
      <c r="A74" s="78" t="s">
        <v>334</v>
      </c>
      <c r="B74" s="47"/>
      <c r="C74" s="80" t="s">
        <v>11</v>
      </c>
      <c r="D74" s="80" t="str">
        <f t="shared" si="1"/>
        <v>-</v>
      </c>
      <c r="E74" s="9"/>
      <c r="F74" s="10"/>
      <c r="G74" s="9"/>
      <c r="H74" s="11"/>
      <c r="I74" s="9" t="s">
        <v>13</v>
      </c>
      <c r="J74" s="81"/>
      <c r="K74" s="81"/>
    </row>
    <row r="75">
      <c r="A75" s="78" t="s">
        <v>334</v>
      </c>
      <c r="B75" s="47"/>
      <c r="C75" s="80" t="s">
        <v>11</v>
      </c>
      <c r="D75" s="80" t="str">
        <f t="shared" si="1"/>
        <v>-</v>
      </c>
      <c r="E75" s="9"/>
      <c r="F75" s="10"/>
      <c r="G75" s="9"/>
      <c r="H75" s="11"/>
      <c r="I75" s="9" t="s">
        <v>13</v>
      </c>
      <c r="J75" s="81"/>
      <c r="K75" s="81"/>
    </row>
    <row r="76">
      <c r="A76" s="78" t="s">
        <v>334</v>
      </c>
      <c r="B76" s="47"/>
      <c r="C76" s="80" t="s">
        <v>11</v>
      </c>
      <c r="D76" s="80" t="str">
        <f t="shared" si="1"/>
        <v>-</v>
      </c>
      <c r="E76" s="9"/>
      <c r="F76" s="10"/>
      <c r="G76" s="9"/>
      <c r="H76" s="11"/>
      <c r="I76" s="9" t="s">
        <v>13</v>
      </c>
      <c r="J76" s="81"/>
      <c r="K76" s="81"/>
    </row>
    <row r="77">
      <c r="A77" s="78" t="s">
        <v>334</v>
      </c>
      <c r="B77" s="47"/>
      <c r="C77" s="80" t="s">
        <v>11</v>
      </c>
      <c r="D77" s="80" t="str">
        <f t="shared" si="1"/>
        <v>-</v>
      </c>
      <c r="E77" s="9"/>
      <c r="F77" s="10"/>
      <c r="G77" s="9"/>
      <c r="H77" s="11"/>
      <c r="I77" s="9" t="s">
        <v>13</v>
      </c>
      <c r="J77" s="81"/>
      <c r="K77" s="81"/>
    </row>
    <row r="78">
      <c r="A78" s="78" t="s">
        <v>334</v>
      </c>
      <c r="B78" s="47"/>
      <c r="C78" s="80" t="s">
        <v>11</v>
      </c>
      <c r="D78" s="80" t="str">
        <f t="shared" si="1"/>
        <v>-</v>
      </c>
      <c r="E78" s="9"/>
      <c r="F78" s="10"/>
      <c r="G78" s="9"/>
      <c r="H78" s="11"/>
      <c r="I78" s="9" t="s">
        <v>13</v>
      </c>
      <c r="J78" s="81"/>
      <c r="K78" s="81"/>
    </row>
    <row r="79">
      <c r="A79" s="78" t="s">
        <v>334</v>
      </c>
      <c r="B79" s="47"/>
      <c r="C79" s="80" t="s">
        <v>11</v>
      </c>
      <c r="D79" s="80" t="str">
        <f t="shared" si="1"/>
        <v>-</v>
      </c>
      <c r="E79" s="9"/>
      <c r="F79" s="10"/>
      <c r="G79" s="9"/>
      <c r="H79" s="11"/>
      <c r="I79" s="9" t="s">
        <v>13</v>
      </c>
      <c r="J79" s="81"/>
      <c r="K79" s="81"/>
    </row>
    <row r="80">
      <c r="A80" s="78" t="s">
        <v>334</v>
      </c>
      <c r="B80" s="47"/>
      <c r="C80" s="80" t="s">
        <v>11</v>
      </c>
      <c r="D80" s="80" t="str">
        <f t="shared" si="1"/>
        <v>-</v>
      </c>
      <c r="E80" s="9"/>
      <c r="F80" s="10"/>
      <c r="G80" s="9"/>
      <c r="H80" s="11"/>
      <c r="I80" s="9" t="s">
        <v>13</v>
      </c>
      <c r="J80" s="81"/>
      <c r="K80" s="81"/>
    </row>
    <row r="81">
      <c r="A81" s="78" t="s">
        <v>334</v>
      </c>
      <c r="B81" s="47"/>
      <c r="C81" s="80" t="s">
        <v>11</v>
      </c>
      <c r="D81" s="80" t="str">
        <f t="shared" si="1"/>
        <v>-</v>
      </c>
      <c r="E81" s="9"/>
      <c r="F81" s="10"/>
      <c r="G81" s="9"/>
      <c r="H81" s="11"/>
      <c r="I81" s="9" t="s">
        <v>13</v>
      </c>
      <c r="J81" s="81"/>
      <c r="K81" s="81"/>
    </row>
    <row r="82">
      <c r="A82" s="78" t="s">
        <v>334</v>
      </c>
      <c r="B82" s="47"/>
      <c r="C82" s="80" t="s">
        <v>11</v>
      </c>
      <c r="D82" s="80" t="str">
        <f t="shared" si="1"/>
        <v>-</v>
      </c>
      <c r="E82" s="9"/>
      <c r="F82" s="10"/>
      <c r="G82" s="9"/>
      <c r="H82" s="11"/>
      <c r="I82" s="9" t="s">
        <v>13</v>
      </c>
      <c r="J82" s="81"/>
      <c r="K82" s="81"/>
    </row>
    <row r="83">
      <c r="A83" s="78" t="s">
        <v>334</v>
      </c>
      <c r="B83" s="47"/>
      <c r="C83" s="80" t="s">
        <v>11</v>
      </c>
      <c r="D83" s="80" t="str">
        <f t="shared" si="1"/>
        <v>-</v>
      </c>
      <c r="E83" s="9"/>
      <c r="F83" s="10"/>
      <c r="G83" s="9"/>
      <c r="H83" s="11"/>
      <c r="I83" s="9" t="s">
        <v>13</v>
      </c>
      <c r="J83" s="81"/>
      <c r="K83" s="81"/>
    </row>
    <row r="84">
      <c r="A84" s="78" t="s">
        <v>334</v>
      </c>
      <c r="B84" s="47"/>
      <c r="C84" s="80" t="s">
        <v>11</v>
      </c>
      <c r="D84" s="80" t="str">
        <f t="shared" si="1"/>
        <v>-</v>
      </c>
      <c r="E84" s="9"/>
      <c r="F84" s="10"/>
      <c r="G84" s="9"/>
      <c r="H84" s="11"/>
      <c r="I84" s="9" t="s">
        <v>13</v>
      </c>
      <c r="J84" s="81"/>
      <c r="K84" s="81"/>
    </row>
    <row r="85">
      <c r="A85" s="78" t="s">
        <v>334</v>
      </c>
      <c r="B85" s="47"/>
      <c r="C85" s="80" t="s">
        <v>11</v>
      </c>
      <c r="D85" s="80" t="str">
        <f t="shared" si="1"/>
        <v>-</v>
      </c>
      <c r="E85" s="9"/>
      <c r="F85" s="10"/>
      <c r="G85" s="9"/>
      <c r="H85" s="11"/>
      <c r="I85" s="9" t="s">
        <v>13</v>
      </c>
      <c r="J85" s="81"/>
      <c r="K85" s="81"/>
    </row>
    <row r="86">
      <c r="A86" s="78" t="s">
        <v>334</v>
      </c>
      <c r="B86" s="47"/>
      <c r="C86" s="80" t="s">
        <v>11</v>
      </c>
      <c r="D86" s="80" t="str">
        <f t="shared" si="1"/>
        <v>-</v>
      </c>
      <c r="E86" s="9"/>
      <c r="F86" s="10"/>
      <c r="G86" s="9"/>
      <c r="H86" s="11"/>
      <c r="I86" s="9" t="s">
        <v>13</v>
      </c>
      <c r="J86" s="81"/>
      <c r="K86" s="81"/>
    </row>
    <row r="87">
      <c r="A87" s="78" t="s">
        <v>334</v>
      </c>
      <c r="B87" s="47"/>
      <c r="C87" s="80" t="s">
        <v>11</v>
      </c>
      <c r="D87" s="80" t="str">
        <f t="shared" si="1"/>
        <v>-</v>
      </c>
      <c r="E87" s="9"/>
      <c r="F87" s="10"/>
      <c r="G87" s="9"/>
      <c r="H87" s="11"/>
      <c r="I87" s="9" t="s">
        <v>13</v>
      </c>
      <c r="J87" s="81"/>
      <c r="K87" s="81"/>
    </row>
    <row r="88">
      <c r="A88" s="78" t="s">
        <v>334</v>
      </c>
      <c r="B88" s="47"/>
      <c r="C88" s="80" t="s">
        <v>11</v>
      </c>
      <c r="D88" s="80" t="str">
        <f t="shared" si="1"/>
        <v>-</v>
      </c>
      <c r="E88" s="9"/>
      <c r="F88" s="10"/>
      <c r="G88" s="9"/>
      <c r="H88" s="11"/>
      <c r="I88" s="9" t="s">
        <v>13</v>
      </c>
      <c r="J88" s="81"/>
      <c r="K88" s="81"/>
    </row>
    <row r="89">
      <c r="A89" s="78" t="s">
        <v>334</v>
      </c>
      <c r="B89" s="47"/>
      <c r="C89" s="80" t="s">
        <v>11</v>
      </c>
      <c r="D89" s="80" t="str">
        <f t="shared" si="1"/>
        <v>-</v>
      </c>
      <c r="E89" s="9"/>
      <c r="F89" s="10"/>
      <c r="G89" s="9"/>
      <c r="H89" s="11"/>
      <c r="I89" s="9" t="s">
        <v>13</v>
      </c>
      <c r="J89" s="81"/>
      <c r="K89" s="81"/>
    </row>
    <row r="90">
      <c r="A90" s="78" t="s">
        <v>334</v>
      </c>
      <c r="B90" s="47"/>
      <c r="C90" s="80" t="s">
        <v>11</v>
      </c>
      <c r="D90" s="80" t="str">
        <f t="shared" si="1"/>
        <v>-</v>
      </c>
      <c r="E90" s="9"/>
      <c r="F90" s="10"/>
      <c r="G90" s="9"/>
      <c r="H90" s="11"/>
      <c r="I90" s="9" t="s">
        <v>13</v>
      </c>
      <c r="J90" s="81"/>
      <c r="K90" s="81"/>
    </row>
    <row r="91">
      <c r="A91" s="78" t="s">
        <v>334</v>
      </c>
      <c r="B91" s="47"/>
      <c r="C91" s="80" t="s">
        <v>11</v>
      </c>
      <c r="D91" s="80" t="str">
        <f t="shared" si="1"/>
        <v>-</v>
      </c>
      <c r="E91" s="9"/>
      <c r="F91" s="10"/>
      <c r="G91" s="9"/>
      <c r="H91" s="11"/>
      <c r="I91" s="9" t="s">
        <v>13</v>
      </c>
      <c r="J91" s="81"/>
      <c r="K91" s="81"/>
    </row>
    <row r="92">
      <c r="A92" s="78" t="s">
        <v>334</v>
      </c>
      <c r="B92" s="47"/>
      <c r="C92" s="80" t="s">
        <v>11</v>
      </c>
      <c r="D92" s="80" t="str">
        <f t="shared" si="1"/>
        <v>-</v>
      </c>
      <c r="E92" s="9"/>
      <c r="F92" s="10"/>
      <c r="G92" s="9"/>
      <c r="H92" s="11"/>
      <c r="I92" s="9" t="s">
        <v>13</v>
      </c>
      <c r="J92" s="81"/>
      <c r="K92" s="81"/>
    </row>
    <row r="93">
      <c r="A93" s="78" t="s">
        <v>334</v>
      </c>
      <c r="B93" s="47"/>
      <c r="C93" s="80" t="s">
        <v>11</v>
      </c>
      <c r="D93" s="80" t="str">
        <f t="shared" si="1"/>
        <v>-</v>
      </c>
      <c r="E93" s="9"/>
      <c r="F93" s="10"/>
      <c r="G93" s="9"/>
      <c r="H93" s="11"/>
      <c r="I93" s="9" t="s">
        <v>13</v>
      </c>
      <c r="J93" s="81"/>
      <c r="K93" s="81"/>
    </row>
    <row r="94">
      <c r="A94" s="78" t="s">
        <v>334</v>
      </c>
      <c r="B94" s="47"/>
      <c r="C94" s="80" t="s">
        <v>11</v>
      </c>
      <c r="D94" s="80" t="str">
        <f t="shared" si="1"/>
        <v>-</v>
      </c>
      <c r="E94" s="9"/>
      <c r="F94" s="10"/>
      <c r="G94" s="9"/>
      <c r="H94" s="11"/>
      <c r="I94" s="9" t="s">
        <v>13</v>
      </c>
      <c r="J94" s="81"/>
      <c r="K94" s="81"/>
    </row>
    <row r="95">
      <c r="A95" s="78" t="s">
        <v>334</v>
      </c>
      <c r="B95" s="47"/>
      <c r="C95" s="80" t="s">
        <v>11</v>
      </c>
      <c r="D95" s="80" t="str">
        <f t="shared" si="1"/>
        <v>-</v>
      </c>
      <c r="E95" s="9"/>
      <c r="F95" s="10"/>
      <c r="G95" s="9"/>
      <c r="H95" s="11"/>
      <c r="I95" s="9" t="s">
        <v>13</v>
      </c>
      <c r="J95" s="81"/>
      <c r="K95" s="81"/>
    </row>
    <row r="96">
      <c r="A96" s="78" t="s">
        <v>334</v>
      </c>
      <c r="B96" s="47"/>
      <c r="C96" s="80" t="s">
        <v>11</v>
      </c>
      <c r="D96" s="80" t="str">
        <f t="shared" si="1"/>
        <v>-</v>
      </c>
      <c r="E96" s="9"/>
      <c r="F96" s="10"/>
      <c r="G96" s="9"/>
      <c r="H96" s="11"/>
      <c r="I96" s="9" t="s">
        <v>13</v>
      </c>
      <c r="J96" s="81"/>
      <c r="K96" s="81"/>
    </row>
    <row r="97">
      <c r="A97" s="78" t="s">
        <v>334</v>
      </c>
      <c r="B97" s="47"/>
      <c r="C97" s="80" t="s">
        <v>11</v>
      </c>
      <c r="D97" s="80" t="str">
        <f t="shared" si="1"/>
        <v>-</v>
      </c>
      <c r="E97" s="9"/>
      <c r="F97" s="10"/>
      <c r="G97" s="9"/>
      <c r="H97" s="11"/>
      <c r="I97" s="9" t="s">
        <v>13</v>
      </c>
      <c r="J97" s="81"/>
      <c r="K97" s="81"/>
    </row>
    <row r="98">
      <c r="A98" s="78" t="s">
        <v>334</v>
      </c>
      <c r="B98" s="47"/>
      <c r="C98" s="80" t="s">
        <v>11</v>
      </c>
      <c r="D98" s="80" t="str">
        <f t="shared" si="1"/>
        <v>-</v>
      </c>
      <c r="E98" s="9"/>
      <c r="F98" s="10"/>
      <c r="G98" s="9"/>
      <c r="H98" s="11"/>
      <c r="I98" s="9" t="s">
        <v>13</v>
      </c>
      <c r="J98" s="81"/>
      <c r="K98" s="81"/>
    </row>
    <row r="99">
      <c r="A99" s="78" t="s">
        <v>334</v>
      </c>
      <c r="B99" s="47"/>
      <c r="C99" s="80" t="s">
        <v>11</v>
      </c>
      <c r="D99" s="80" t="str">
        <f t="shared" si="1"/>
        <v>-</v>
      </c>
      <c r="E99" s="9"/>
      <c r="F99" s="10"/>
      <c r="G99" s="9"/>
      <c r="H99" s="11"/>
      <c r="I99" s="9" t="s">
        <v>13</v>
      </c>
      <c r="J99" s="81"/>
      <c r="K99" s="81"/>
    </row>
    <row r="100">
      <c r="A100" s="78" t="s">
        <v>334</v>
      </c>
      <c r="B100" s="47"/>
      <c r="C100" s="80" t="s">
        <v>11</v>
      </c>
      <c r="D100" s="80" t="str">
        <f t="shared" si="1"/>
        <v>-</v>
      </c>
      <c r="E100" s="9"/>
      <c r="F100" s="10"/>
      <c r="G100" s="9"/>
      <c r="H100" s="11"/>
      <c r="I100" s="9" t="s">
        <v>13</v>
      </c>
      <c r="J100" s="81"/>
      <c r="K100" s="81"/>
    </row>
    <row r="101">
      <c r="A101" s="78" t="s">
        <v>334</v>
      </c>
      <c r="B101" s="47"/>
      <c r="C101" s="80" t="s">
        <v>11</v>
      </c>
      <c r="D101" s="80" t="str">
        <f t="shared" si="1"/>
        <v>-</v>
      </c>
      <c r="E101" s="9"/>
      <c r="F101" s="10"/>
      <c r="G101" s="9"/>
      <c r="H101" s="11"/>
      <c r="I101" s="9" t="s">
        <v>13</v>
      </c>
      <c r="J101" s="81"/>
      <c r="K101" s="81"/>
    </row>
    <row r="102">
      <c r="A102" s="78" t="s">
        <v>334</v>
      </c>
      <c r="B102" s="47"/>
      <c r="C102" s="80" t="s">
        <v>11</v>
      </c>
      <c r="D102" s="80" t="str">
        <f t="shared" si="1"/>
        <v>-</v>
      </c>
      <c r="E102" s="9"/>
      <c r="F102" s="10"/>
      <c r="G102" s="9"/>
      <c r="H102" s="11"/>
      <c r="I102" s="9" t="s">
        <v>13</v>
      </c>
      <c r="J102" s="81"/>
      <c r="K102" s="81"/>
    </row>
    <row r="103">
      <c r="A103" s="78" t="s">
        <v>334</v>
      </c>
      <c r="B103" s="47"/>
      <c r="C103" s="80" t="s">
        <v>11</v>
      </c>
      <c r="D103" s="80" t="str">
        <f t="shared" si="1"/>
        <v>-</v>
      </c>
      <c r="E103" s="9"/>
      <c r="F103" s="10"/>
      <c r="G103" s="9"/>
      <c r="H103" s="11"/>
      <c r="I103" s="9" t="s">
        <v>13</v>
      </c>
      <c r="J103" s="81"/>
      <c r="K103" s="81"/>
    </row>
    <row r="104">
      <c r="A104" s="78" t="s">
        <v>334</v>
      </c>
      <c r="B104" s="47"/>
      <c r="C104" s="80" t="s">
        <v>11</v>
      </c>
      <c r="D104" s="80" t="str">
        <f t="shared" si="1"/>
        <v>-</v>
      </c>
      <c r="E104" s="9"/>
      <c r="F104" s="10"/>
      <c r="G104" s="9"/>
      <c r="H104" s="11"/>
      <c r="I104" s="9" t="s">
        <v>13</v>
      </c>
      <c r="J104" s="81"/>
      <c r="K104" s="81"/>
    </row>
    <row r="105">
      <c r="A105" s="78" t="s">
        <v>334</v>
      </c>
      <c r="B105" s="47"/>
      <c r="C105" s="80" t="s">
        <v>11</v>
      </c>
      <c r="D105" s="80" t="str">
        <f t="shared" si="1"/>
        <v>-</v>
      </c>
      <c r="E105" s="9"/>
      <c r="F105" s="10"/>
      <c r="G105" s="9"/>
      <c r="H105" s="11"/>
      <c r="I105" s="9" t="s">
        <v>13</v>
      </c>
      <c r="J105" s="81"/>
      <c r="K105" s="81"/>
    </row>
    <row r="106">
      <c r="A106" s="78" t="s">
        <v>334</v>
      </c>
      <c r="B106" s="47"/>
      <c r="C106" s="80" t="s">
        <v>11</v>
      </c>
      <c r="D106" s="80" t="str">
        <f t="shared" si="1"/>
        <v>-</v>
      </c>
      <c r="E106" s="9"/>
      <c r="F106" s="10"/>
      <c r="G106" s="9"/>
      <c r="H106" s="11"/>
      <c r="I106" s="9" t="s">
        <v>13</v>
      </c>
      <c r="J106" s="81"/>
      <c r="K106" s="81"/>
    </row>
    <row r="107">
      <c r="A107" s="78" t="s">
        <v>334</v>
      </c>
      <c r="B107" s="47"/>
      <c r="C107" s="80" t="s">
        <v>11</v>
      </c>
      <c r="D107" s="80" t="str">
        <f t="shared" si="1"/>
        <v>-</v>
      </c>
      <c r="E107" s="9"/>
      <c r="F107" s="10"/>
      <c r="G107" s="9"/>
      <c r="H107" s="11"/>
      <c r="I107" s="9" t="s">
        <v>13</v>
      </c>
      <c r="J107" s="81"/>
      <c r="K107" s="81"/>
    </row>
    <row r="108">
      <c r="A108" s="78" t="s">
        <v>334</v>
      </c>
      <c r="B108" s="47"/>
      <c r="C108" s="80" t="s">
        <v>11</v>
      </c>
      <c r="D108" s="80" t="str">
        <f t="shared" si="1"/>
        <v>-</v>
      </c>
      <c r="E108" s="9"/>
      <c r="F108" s="10"/>
      <c r="G108" s="9"/>
      <c r="H108" s="11"/>
      <c r="I108" s="9" t="s">
        <v>13</v>
      </c>
      <c r="J108" s="81"/>
      <c r="K108" s="81"/>
    </row>
    <row r="109">
      <c r="A109" s="78" t="s">
        <v>334</v>
      </c>
      <c r="B109" s="47"/>
      <c r="C109" s="80" t="s">
        <v>11</v>
      </c>
      <c r="D109" s="80" t="str">
        <f t="shared" si="1"/>
        <v>-</v>
      </c>
      <c r="E109" s="9"/>
      <c r="F109" s="10"/>
      <c r="G109" s="9"/>
      <c r="H109" s="11"/>
      <c r="I109" s="9" t="s">
        <v>13</v>
      </c>
      <c r="J109" s="81"/>
      <c r="K109" s="81"/>
    </row>
    <row r="110">
      <c r="A110" s="78" t="s">
        <v>334</v>
      </c>
      <c r="B110" s="47"/>
      <c r="C110" s="80" t="s">
        <v>11</v>
      </c>
      <c r="D110" s="80" t="str">
        <f t="shared" si="1"/>
        <v>-</v>
      </c>
      <c r="E110" s="9"/>
      <c r="F110" s="10"/>
      <c r="G110" s="9"/>
      <c r="H110" s="11"/>
      <c r="I110" s="9" t="s">
        <v>13</v>
      </c>
      <c r="J110" s="81"/>
      <c r="K110" s="81"/>
    </row>
    <row r="111">
      <c r="A111" s="78" t="s">
        <v>334</v>
      </c>
      <c r="B111" s="47"/>
      <c r="C111" s="80" t="s">
        <v>11</v>
      </c>
      <c r="D111" s="80" t="str">
        <f t="shared" si="1"/>
        <v>-</v>
      </c>
      <c r="E111" s="9"/>
      <c r="F111" s="10"/>
      <c r="G111" s="9"/>
      <c r="H111" s="11"/>
      <c r="I111" s="9" t="s">
        <v>13</v>
      </c>
      <c r="J111" s="81"/>
      <c r="K111" s="81"/>
    </row>
    <row r="112">
      <c r="A112" s="78" t="s">
        <v>334</v>
      </c>
      <c r="B112" s="47"/>
      <c r="C112" s="80" t="s">
        <v>11</v>
      </c>
      <c r="D112" s="80" t="str">
        <f t="shared" si="1"/>
        <v>-</v>
      </c>
      <c r="E112" s="9"/>
      <c r="F112" s="10"/>
      <c r="G112" s="9"/>
      <c r="H112" s="11"/>
      <c r="I112" s="9" t="s">
        <v>13</v>
      </c>
      <c r="J112" s="81"/>
      <c r="K112" s="81"/>
    </row>
    <row r="113">
      <c r="A113" s="78" t="s">
        <v>334</v>
      </c>
      <c r="B113" s="47"/>
      <c r="C113" s="80" t="s">
        <v>11</v>
      </c>
      <c r="D113" s="80" t="str">
        <f t="shared" si="1"/>
        <v>-</v>
      </c>
      <c r="E113" s="9"/>
      <c r="F113" s="10"/>
      <c r="G113" s="9"/>
      <c r="H113" s="11"/>
      <c r="I113" s="9" t="s">
        <v>13</v>
      </c>
      <c r="J113" s="81"/>
      <c r="K113" s="81"/>
    </row>
    <row r="114">
      <c r="A114" s="78" t="s">
        <v>334</v>
      </c>
      <c r="B114" s="47"/>
      <c r="C114" s="80" t="s">
        <v>11</v>
      </c>
      <c r="D114" s="80" t="str">
        <f t="shared" si="1"/>
        <v>-</v>
      </c>
      <c r="E114" s="9"/>
      <c r="F114" s="10"/>
      <c r="G114" s="9"/>
      <c r="H114" s="11"/>
      <c r="I114" s="9" t="s">
        <v>13</v>
      </c>
      <c r="J114" s="81"/>
      <c r="K114" s="81"/>
    </row>
    <row r="115">
      <c r="A115" s="78" t="s">
        <v>334</v>
      </c>
      <c r="B115" s="47"/>
      <c r="C115" s="80" t="s">
        <v>11</v>
      </c>
      <c r="D115" s="80" t="str">
        <f t="shared" si="1"/>
        <v>-</v>
      </c>
      <c r="E115" s="9"/>
      <c r="F115" s="10"/>
      <c r="G115" s="9"/>
      <c r="H115" s="11"/>
      <c r="I115" s="9" t="s">
        <v>13</v>
      </c>
      <c r="J115" s="81"/>
      <c r="K115" s="81"/>
    </row>
    <row r="116">
      <c r="A116" s="78" t="s">
        <v>334</v>
      </c>
      <c r="B116" s="47"/>
      <c r="C116" s="80" t="s">
        <v>11</v>
      </c>
      <c r="D116" s="80" t="str">
        <f t="shared" si="1"/>
        <v>-</v>
      </c>
      <c r="E116" s="9"/>
      <c r="F116" s="10"/>
      <c r="G116" s="9"/>
      <c r="H116" s="11"/>
      <c r="I116" s="9" t="s">
        <v>13</v>
      </c>
      <c r="J116" s="81"/>
      <c r="K116" s="81"/>
    </row>
    <row r="117">
      <c r="A117" s="78" t="s">
        <v>334</v>
      </c>
      <c r="B117" s="47"/>
      <c r="C117" s="80" t="s">
        <v>11</v>
      </c>
      <c r="D117" s="80" t="str">
        <f t="shared" si="1"/>
        <v>-</v>
      </c>
      <c r="E117" s="9"/>
      <c r="F117" s="10"/>
      <c r="G117" s="9"/>
      <c r="H117" s="11"/>
      <c r="I117" s="9" t="s">
        <v>13</v>
      </c>
      <c r="J117" s="81"/>
      <c r="K117" s="81"/>
    </row>
    <row r="118">
      <c r="A118" s="78" t="s">
        <v>334</v>
      </c>
      <c r="B118" s="47"/>
      <c r="C118" s="80" t="s">
        <v>11</v>
      </c>
      <c r="D118" s="80" t="str">
        <f t="shared" si="1"/>
        <v>-</v>
      </c>
      <c r="E118" s="9"/>
      <c r="F118" s="10"/>
      <c r="G118" s="9"/>
      <c r="H118" s="11"/>
      <c r="I118" s="9" t="s">
        <v>13</v>
      </c>
      <c r="J118" s="81"/>
      <c r="K118" s="81"/>
    </row>
    <row r="119">
      <c r="A119" s="78" t="s">
        <v>334</v>
      </c>
      <c r="B119" s="47"/>
      <c r="C119" s="80" t="s">
        <v>11</v>
      </c>
      <c r="D119" s="80" t="str">
        <f t="shared" si="1"/>
        <v>-</v>
      </c>
      <c r="E119" s="9"/>
      <c r="F119" s="10"/>
      <c r="G119" s="9"/>
      <c r="H119" s="11"/>
      <c r="I119" s="9" t="s">
        <v>13</v>
      </c>
      <c r="J119" s="81"/>
      <c r="K119" s="81"/>
    </row>
    <row r="120">
      <c r="A120" s="78" t="s">
        <v>334</v>
      </c>
      <c r="B120" s="47"/>
      <c r="C120" s="80" t="s">
        <v>11</v>
      </c>
      <c r="D120" s="80" t="str">
        <f t="shared" si="1"/>
        <v>-</v>
      </c>
      <c r="E120" s="9"/>
      <c r="F120" s="10"/>
      <c r="G120" s="9"/>
      <c r="H120" s="11"/>
      <c r="I120" s="9" t="s">
        <v>13</v>
      </c>
      <c r="J120" s="81"/>
      <c r="K120" s="81"/>
    </row>
    <row r="121">
      <c r="A121" s="78" t="s">
        <v>334</v>
      </c>
      <c r="B121" s="47"/>
      <c r="C121" s="80" t="s">
        <v>11</v>
      </c>
      <c r="D121" s="80" t="str">
        <f t="shared" si="1"/>
        <v>-</v>
      </c>
      <c r="E121" s="9"/>
      <c r="F121" s="10"/>
      <c r="G121" s="9"/>
      <c r="H121" s="11"/>
      <c r="I121" s="9" t="s">
        <v>13</v>
      </c>
      <c r="J121" s="81"/>
      <c r="K121" s="81"/>
    </row>
    <row r="122">
      <c r="A122" s="78" t="s">
        <v>334</v>
      </c>
      <c r="B122" s="47"/>
      <c r="C122" s="80" t="s">
        <v>11</v>
      </c>
      <c r="D122" s="80" t="str">
        <f t="shared" si="1"/>
        <v>-</v>
      </c>
      <c r="E122" s="9"/>
      <c r="F122" s="10"/>
      <c r="G122" s="9"/>
      <c r="H122" s="11"/>
      <c r="I122" s="9" t="s">
        <v>13</v>
      </c>
      <c r="J122" s="81"/>
      <c r="K122" s="81"/>
    </row>
    <row r="123">
      <c r="A123" s="78" t="s">
        <v>334</v>
      </c>
      <c r="B123" s="47"/>
      <c r="C123" s="80" t="s">
        <v>11</v>
      </c>
      <c r="D123" s="80" t="str">
        <f t="shared" si="1"/>
        <v>-</v>
      </c>
      <c r="E123" s="9"/>
      <c r="F123" s="10"/>
      <c r="G123" s="9"/>
      <c r="H123" s="11"/>
      <c r="I123" s="9" t="s">
        <v>13</v>
      </c>
      <c r="J123" s="81"/>
      <c r="K123" s="81"/>
    </row>
    <row r="124">
      <c r="A124" s="78" t="s">
        <v>334</v>
      </c>
      <c r="B124" s="47"/>
      <c r="C124" s="80" t="s">
        <v>11</v>
      </c>
      <c r="D124" s="80" t="str">
        <f t="shared" si="1"/>
        <v>-</v>
      </c>
      <c r="E124" s="9"/>
      <c r="F124" s="10"/>
      <c r="G124" s="9"/>
      <c r="H124" s="11"/>
      <c r="I124" s="9" t="s">
        <v>13</v>
      </c>
      <c r="J124" s="81"/>
      <c r="K124" s="81"/>
    </row>
    <row r="125">
      <c r="A125" s="78" t="s">
        <v>334</v>
      </c>
      <c r="B125" s="47"/>
      <c r="C125" s="80" t="s">
        <v>11</v>
      </c>
      <c r="D125" s="80" t="str">
        <f t="shared" si="1"/>
        <v>-</v>
      </c>
      <c r="E125" s="9"/>
      <c r="F125" s="10"/>
      <c r="G125" s="9"/>
      <c r="H125" s="11"/>
      <c r="I125" s="9" t="s">
        <v>13</v>
      </c>
      <c r="J125" s="81"/>
      <c r="K125" s="81"/>
    </row>
    <row r="126">
      <c r="A126" s="78" t="s">
        <v>334</v>
      </c>
      <c r="B126" s="47"/>
      <c r="C126" s="80" t="s">
        <v>11</v>
      </c>
      <c r="D126" s="80" t="str">
        <f t="shared" si="1"/>
        <v>-</v>
      </c>
      <c r="E126" s="9"/>
      <c r="F126" s="10"/>
      <c r="G126" s="9"/>
      <c r="H126" s="11"/>
      <c r="I126" s="9" t="s">
        <v>13</v>
      </c>
      <c r="J126" s="81"/>
      <c r="K126" s="81"/>
    </row>
    <row r="127">
      <c r="A127" s="78" t="s">
        <v>334</v>
      </c>
      <c r="B127" s="47"/>
      <c r="C127" s="80" t="s">
        <v>11</v>
      </c>
      <c r="D127" s="80" t="str">
        <f t="shared" si="1"/>
        <v>-</v>
      </c>
      <c r="E127" s="9"/>
      <c r="F127" s="10"/>
      <c r="G127" s="9"/>
      <c r="H127" s="11"/>
      <c r="I127" s="9" t="s">
        <v>13</v>
      </c>
      <c r="J127" s="81"/>
      <c r="K127" s="81"/>
    </row>
    <row r="128">
      <c r="A128" s="78" t="s">
        <v>334</v>
      </c>
      <c r="B128" s="47"/>
      <c r="C128" s="80" t="s">
        <v>11</v>
      </c>
      <c r="D128" s="80" t="str">
        <f t="shared" si="1"/>
        <v>-</v>
      </c>
      <c r="E128" s="9"/>
      <c r="F128" s="10"/>
      <c r="G128" s="9"/>
      <c r="H128" s="11"/>
      <c r="I128" s="9" t="s">
        <v>13</v>
      </c>
      <c r="J128" s="81"/>
      <c r="K128" s="81"/>
    </row>
    <row r="129">
      <c r="A129" s="78" t="s">
        <v>334</v>
      </c>
      <c r="B129" s="47"/>
      <c r="C129" s="80" t="s">
        <v>11</v>
      </c>
      <c r="D129" s="80" t="str">
        <f t="shared" si="1"/>
        <v>-</v>
      </c>
      <c r="E129" s="9"/>
      <c r="F129" s="10"/>
      <c r="G129" s="9"/>
      <c r="H129" s="11"/>
      <c r="I129" s="9" t="s">
        <v>13</v>
      </c>
      <c r="J129" s="81"/>
      <c r="K129" s="81"/>
    </row>
    <row r="130">
      <c r="A130" s="78" t="s">
        <v>334</v>
      </c>
      <c r="B130" s="47"/>
      <c r="C130" s="80" t="s">
        <v>11</v>
      </c>
      <c r="D130" s="80" t="str">
        <f t="shared" si="1"/>
        <v>-</v>
      </c>
      <c r="E130" s="9"/>
      <c r="F130" s="10"/>
      <c r="G130" s="9"/>
      <c r="H130" s="11"/>
      <c r="I130" s="9" t="s">
        <v>13</v>
      </c>
      <c r="J130" s="81"/>
      <c r="K130" s="81"/>
    </row>
    <row r="131">
      <c r="A131" s="78" t="s">
        <v>334</v>
      </c>
      <c r="B131" s="47"/>
      <c r="C131" s="80" t="s">
        <v>11</v>
      </c>
      <c r="D131" s="80" t="str">
        <f t="shared" si="1"/>
        <v>-</v>
      </c>
      <c r="E131" s="9"/>
      <c r="F131" s="10"/>
      <c r="G131" s="9"/>
      <c r="H131" s="11"/>
      <c r="I131" s="9" t="s">
        <v>13</v>
      </c>
      <c r="J131" s="81"/>
      <c r="K131" s="81"/>
    </row>
    <row r="132">
      <c r="A132" s="78" t="s">
        <v>334</v>
      </c>
      <c r="B132" s="47"/>
      <c r="C132" s="80" t="s">
        <v>11</v>
      </c>
      <c r="D132" s="80" t="str">
        <f t="shared" si="1"/>
        <v>-</v>
      </c>
      <c r="E132" s="9"/>
      <c r="F132" s="10"/>
      <c r="G132" s="9"/>
      <c r="H132" s="11"/>
      <c r="I132" s="9" t="s">
        <v>13</v>
      </c>
      <c r="J132" s="81"/>
      <c r="K132" s="81"/>
    </row>
    <row r="133">
      <c r="A133" s="78" t="s">
        <v>334</v>
      </c>
      <c r="B133" s="47"/>
      <c r="C133" s="80" t="s">
        <v>11</v>
      </c>
      <c r="D133" s="80" t="str">
        <f t="shared" si="1"/>
        <v>-</v>
      </c>
      <c r="E133" s="9"/>
      <c r="F133" s="10"/>
      <c r="G133" s="9"/>
      <c r="H133" s="11"/>
      <c r="I133" s="9" t="s">
        <v>13</v>
      </c>
      <c r="J133" s="81"/>
      <c r="K133" s="81"/>
    </row>
    <row r="134">
      <c r="A134" s="78" t="s">
        <v>334</v>
      </c>
      <c r="B134" s="47"/>
      <c r="C134" s="80" t="s">
        <v>11</v>
      </c>
      <c r="D134" s="80" t="str">
        <f t="shared" si="1"/>
        <v>-</v>
      </c>
      <c r="E134" s="9"/>
      <c r="F134" s="10"/>
      <c r="G134" s="9"/>
      <c r="H134" s="11"/>
      <c r="I134" s="9" t="s">
        <v>13</v>
      </c>
      <c r="J134" s="81"/>
      <c r="K134" s="81"/>
    </row>
    <row r="135">
      <c r="A135" s="78" t="s">
        <v>334</v>
      </c>
      <c r="B135" s="47"/>
      <c r="C135" s="80" t="s">
        <v>11</v>
      </c>
      <c r="D135" s="80" t="str">
        <f t="shared" si="1"/>
        <v>-</v>
      </c>
      <c r="E135" s="9"/>
      <c r="F135" s="10"/>
      <c r="G135" s="9"/>
      <c r="H135" s="11"/>
      <c r="I135" s="9" t="s">
        <v>13</v>
      </c>
      <c r="J135" s="81"/>
      <c r="K135" s="81"/>
    </row>
    <row r="136">
      <c r="A136" s="78" t="s">
        <v>334</v>
      </c>
      <c r="B136" s="47"/>
      <c r="C136" s="80" t="s">
        <v>11</v>
      </c>
      <c r="D136" s="80" t="str">
        <f t="shared" si="1"/>
        <v>-</v>
      </c>
      <c r="E136" s="9"/>
      <c r="F136" s="10"/>
      <c r="G136" s="9"/>
      <c r="H136" s="11"/>
      <c r="I136" s="9" t="s">
        <v>13</v>
      </c>
      <c r="J136" s="81"/>
      <c r="K136" s="81"/>
    </row>
    <row r="137">
      <c r="A137" s="78" t="s">
        <v>334</v>
      </c>
      <c r="B137" s="47"/>
      <c r="C137" s="80" t="s">
        <v>11</v>
      </c>
      <c r="D137" s="80" t="str">
        <f t="shared" si="1"/>
        <v>-</v>
      </c>
      <c r="E137" s="9"/>
      <c r="F137" s="10"/>
      <c r="G137" s="9"/>
      <c r="H137" s="11"/>
      <c r="I137" s="9" t="s">
        <v>13</v>
      </c>
      <c r="J137" s="81"/>
      <c r="K137" s="81"/>
    </row>
    <row r="138">
      <c r="A138" s="78" t="s">
        <v>334</v>
      </c>
      <c r="B138" s="47"/>
      <c r="C138" s="80" t="s">
        <v>11</v>
      </c>
      <c r="D138" s="80" t="str">
        <f t="shared" si="1"/>
        <v>-</v>
      </c>
      <c r="E138" s="9"/>
      <c r="F138" s="10"/>
      <c r="G138" s="9"/>
      <c r="H138" s="11"/>
      <c r="I138" s="9" t="s">
        <v>13</v>
      </c>
      <c r="J138" s="81"/>
      <c r="K138" s="81"/>
    </row>
    <row r="139">
      <c r="A139" s="78" t="s">
        <v>334</v>
      </c>
      <c r="B139" s="47"/>
      <c r="C139" s="80" t="s">
        <v>11</v>
      </c>
      <c r="D139" s="80" t="str">
        <f t="shared" si="1"/>
        <v>-</v>
      </c>
      <c r="E139" s="9"/>
      <c r="F139" s="10"/>
      <c r="G139" s="9"/>
      <c r="H139" s="11"/>
      <c r="I139" s="9" t="s">
        <v>13</v>
      </c>
      <c r="J139" s="81"/>
      <c r="K139" s="81"/>
    </row>
    <row r="140">
      <c r="A140" s="78" t="s">
        <v>334</v>
      </c>
      <c r="B140" s="47"/>
      <c r="C140" s="80" t="s">
        <v>11</v>
      </c>
      <c r="D140" s="80" t="str">
        <f t="shared" si="1"/>
        <v>-</v>
      </c>
      <c r="E140" s="9"/>
      <c r="F140" s="10"/>
      <c r="G140" s="9"/>
      <c r="H140" s="11"/>
      <c r="I140" s="9" t="s">
        <v>13</v>
      </c>
      <c r="J140" s="81"/>
      <c r="K140" s="81"/>
    </row>
    <row r="141">
      <c r="A141" s="78" t="s">
        <v>334</v>
      </c>
      <c r="B141" s="47"/>
      <c r="C141" s="80" t="s">
        <v>11</v>
      </c>
      <c r="D141" s="80" t="str">
        <f t="shared" si="1"/>
        <v>-</v>
      </c>
      <c r="E141" s="9"/>
      <c r="F141" s="10"/>
      <c r="G141" s="9"/>
      <c r="H141" s="11"/>
      <c r="I141" s="9" t="s">
        <v>13</v>
      </c>
      <c r="J141" s="81"/>
      <c r="K141" s="81"/>
    </row>
    <row r="142">
      <c r="A142" s="78" t="s">
        <v>334</v>
      </c>
      <c r="B142" s="47"/>
      <c r="C142" s="80" t="s">
        <v>11</v>
      </c>
      <c r="D142" s="80" t="str">
        <f t="shared" si="1"/>
        <v>-</v>
      </c>
      <c r="E142" s="9"/>
      <c r="F142" s="10"/>
      <c r="G142" s="9"/>
      <c r="H142" s="11"/>
      <c r="I142" s="9" t="s">
        <v>13</v>
      </c>
      <c r="J142" s="81"/>
      <c r="K142" s="81"/>
    </row>
    <row r="143">
      <c r="A143" s="78" t="s">
        <v>334</v>
      </c>
      <c r="B143" s="47"/>
      <c r="C143" s="80" t="s">
        <v>11</v>
      </c>
      <c r="D143" s="80" t="str">
        <f t="shared" si="1"/>
        <v>-</v>
      </c>
      <c r="E143" s="9"/>
      <c r="F143" s="10"/>
      <c r="G143" s="9"/>
      <c r="H143" s="11"/>
      <c r="I143" s="9" t="s">
        <v>13</v>
      </c>
      <c r="J143" s="81"/>
      <c r="K143" s="81"/>
    </row>
    <row r="144">
      <c r="A144" s="78" t="s">
        <v>334</v>
      </c>
      <c r="B144" s="47"/>
      <c r="C144" s="80" t="s">
        <v>11</v>
      </c>
      <c r="D144" s="80" t="str">
        <f t="shared" si="1"/>
        <v>-</v>
      </c>
      <c r="E144" s="9"/>
      <c r="F144" s="10"/>
      <c r="G144" s="9"/>
      <c r="H144" s="11"/>
      <c r="I144" s="9" t="s">
        <v>13</v>
      </c>
      <c r="J144" s="81"/>
      <c r="K144" s="81"/>
    </row>
    <row r="145">
      <c r="A145" s="78" t="s">
        <v>334</v>
      </c>
      <c r="B145" s="47"/>
      <c r="C145" s="80" t="s">
        <v>11</v>
      </c>
      <c r="D145" s="80" t="str">
        <f t="shared" si="1"/>
        <v>-</v>
      </c>
      <c r="E145" s="9"/>
      <c r="F145" s="10"/>
      <c r="G145" s="9"/>
      <c r="H145" s="11"/>
      <c r="I145" s="9" t="s">
        <v>13</v>
      </c>
      <c r="J145" s="81"/>
      <c r="K145" s="81"/>
    </row>
    <row r="146">
      <c r="A146" s="78" t="s">
        <v>334</v>
      </c>
      <c r="B146" s="47"/>
      <c r="C146" s="80" t="s">
        <v>11</v>
      </c>
      <c r="D146" s="80" t="str">
        <f t="shared" si="1"/>
        <v>-</v>
      </c>
      <c r="E146" s="9"/>
      <c r="F146" s="10"/>
      <c r="G146" s="9"/>
      <c r="H146" s="11"/>
      <c r="I146" s="9" t="s">
        <v>13</v>
      </c>
      <c r="J146" s="81"/>
      <c r="K146" s="81"/>
    </row>
    <row r="147">
      <c r="A147" s="78" t="s">
        <v>334</v>
      </c>
      <c r="B147" s="47"/>
      <c r="C147" s="80" t="s">
        <v>11</v>
      </c>
      <c r="D147" s="80" t="str">
        <f t="shared" si="1"/>
        <v>-</v>
      </c>
      <c r="E147" s="9"/>
      <c r="F147" s="10"/>
      <c r="G147" s="9"/>
      <c r="H147" s="11"/>
      <c r="I147" s="9" t="s">
        <v>13</v>
      </c>
      <c r="J147" s="81"/>
      <c r="K147" s="81"/>
    </row>
    <row r="148">
      <c r="A148" s="78" t="s">
        <v>334</v>
      </c>
      <c r="B148" s="47"/>
      <c r="C148" s="80" t="s">
        <v>11</v>
      </c>
      <c r="D148" s="80" t="str">
        <f t="shared" si="1"/>
        <v>-</v>
      </c>
      <c r="E148" s="9"/>
      <c r="F148" s="10"/>
      <c r="G148" s="9"/>
      <c r="H148" s="11"/>
      <c r="I148" s="9" t="s">
        <v>13</v>
      </c>
      <c r="J148" s="81"/>
      <c r="K148" s="81"/>
    </row>
    <row r="149">
      <c r="A149" s="78" t="s">
        <v>334</v>
      </c>
      <c r="B149" s="47"/>
      <c r="C149" s="80" t="s">
        <v>11</v>
      </c>
      <c r="D149" s="80" t="str">
        <f t="shared" si="1"/>
        <v>-</v>
      </c>
      <c r="E149" s="9"/>
      <c r="F149" s="10"/>
      <c r="G149" s="9"/>
      <c r="H149" s="11"/>
      <c r="I149" s="9" t="s">
        <v>13</v>
      </c>
      <c r="J149" s="81"/>
      <c r="K149" s="81"/>
    </row>
    <row r="150">
      <c r="A150" s="78" t="s">
        <v>334</v>
      </c>
      <c r="B150" s="47"/>
      <c r="C150" s="80" t="s">
        <v>11</v>
      </c>
      <c r="D150" s="80" t="str">
        <f t="shared" si="1"/>
        <v>-</v>
      </c>
      <c r="E150" s="9"/>
      <c r="F150" s="10"/>
      <c r="G150" s="9"/>
      <c r="H150" s="11"/>
      <c r="I150" s="9" t="s">
        <v>13</v>
      </c>
      <c r="J150" s="81"/>
      <c r="K150" s="81"/>
    </row>
    <row r="151">
      <c r="A151" s="78" t="s">
        <v>334</v>
      </c>
      <c r="B151" s="47"/>
      <c r="C151" s="80" t="s">
        <v>11</v>
      </c>
      <c r="D151" s="80" t="str">
        <f t="shared" si="1"/>
        <v>-</v>
      </c>
      <c r="E151" s="9"/>
      <c r="F151" s="10"/>
      <c r="G151" s="9"/>
      <c r="H151" s="11"/>
      <c r="I151" s="9" t="s">
        <v>13</v>
      </c>
      <c r="J151" s="81"/>
      <c r="K151" s="81"/>
    </row>
    <row r="152">
      <c r="A152" s="78" t="s">
        <v>334</v>
      </c>
      <c r="B152" s="47"/>
      <c r="C152" s="80" t="s">
        <v>11</v>
      </c>
      <c r="D152" s="80" t="str">
        <f t="shared" si="1"/>
        <v>-</v>
      </c>
      <c r="E152" s="9"/>
      <c r="F152" s="10"/>
      <c r="G152" s="9"/>
      <c r="H152" s="11"/>
      <c r="I152" s="9" t="s">
        <v>13</v>
      </c>
      <c r="J152" s="81"/>
      <c r="K152" s="81"/>
    </row>
    <row r="153">
      <c r="A153" s="78" t="s">
        <v>334</v>
      </c>
      <c r="B153" s="47"/>
      <c r="C153" s="80" t="s">
        <v>11</v>
      </c>
      <c r="D153" s="80" t="str">
        <f t="shared" si="1"/>
        <v>-</v>
      </c>
      <c r="E153" s="9"/>
      <c r="F153" s="10"/>
      <c r="G153" s="9"/>
      <c r="H153" s="11"/>
      <c r="I153" s="9" t="s">
        <v>13</v>
      </c>
      <c r="J153" s="81"/>
      <c r="K153" s="81"/>
    </row>
    <row r="154">
      <c r="A154" s="78" t="s">
        <v>334</v>
      </c>
      <c r="B154" s="47"/>
      <c r="C154" s="80" t="s">
        <v>11</v>
      </c>
      <c r="D154" s="80" t="str">
        <f t="shared" si="1"/>
        <v>-</v>
      </c>
      <c r="E154" s="9"/>
      <c r="F154" s="10"/>
      <c r="G154" s="9"/>
      <c r="H154" s="11"/>
      <c r="I154" s="9" t="s">
        <v>13</v>
      </c>
      <c r="J154" s="81"/>
      <c r="K154" s="81"/>
    </row>
    <row r="155">
      <c r="A155" s="78" t="s">
        <v>334</v>
      </c>
      <c r="B155" s="47"/>
      <c r="C155" s="80" t="s">
        <v>11</v>
      </c>
      <c r="D155" s="80" t="str">
        <f t="shared" si="1"/>
        <v>-</v>
      </c>
      <c r="E155" s="9"/>
      <c r="F155" s="10"/>
      <c r="G155" s="9"/>
      <c r="H155" s="11"/>
      <c r="I155" s="9" t="s">
        <v>13</v>
      </c>
      <c r="J155" s="81"/>
      <c r="K155" s="81"/>
    </row>
    <row r="156">
      <c r="A156" s="78" t="s">
        <v>334</v>
      </c>
      <c r="B156" s="47"/>
      <c r="C156" s="80" t="s">
        <v>11</v>
      </c>
      <c r="D156" s="80" t="str">
        <f t="shared" si="1"/>
        <v>-</v>
      </c>
      <c r="E156" s="9"/>
      <c r="F156" s="10"/>
      <c r="G156" s="9"/>
      <c r="H156" s="11"/>
      <c r="I156" s="9" t="s">
        <v>13</v>
      </c>
      <c r="J156" s="81"/>
      <c r="K156" s="81"/>
    </row>
    <row r="157">
      <c r="A157" s="78" t="s">
        <v>334</v>
      </c>
      <c r="B157" s="47"/>
      <c r="C157" s="80" t="s">
        <v>11</v>
      </c>
      <c r="D157" s="80" t="str">
        <f t="shared" si="1"/>
        <v>-</v>
      </c>
      <c r="E157" s="9"/>
      <c r="F157" s="10"/>
      <c r="G157" s="9"/>
      <c r="H157" s="11"/>
      <c r="I157" s="9" t="s">
        <v>13</v>
      </c>
      <c r="J157" s="81"/>
      <c r="K157" s="81"/>
    </row>
    <row r="158">
      <c r="A158" s="78" t="s">
        <v>334</v>
      </c>
      <c r="B158" s="47"/>
      <c r="C158" s="80" t="s">
        <v>11</v>
      </c>
      <c r="D158" s="80" t="str">
        <f t="shared" si="1"/>
        <v>-</v>
      </c>
      <c r="E158" s="9"/>
      <c r="F158" s="10"/>
      <c r="G158" s="9"/>
      <c r="H158" s="11"/>
      <c r="I158" s="9" t="s">
        <v>13</v>
      </c>
      <c r="J158" s="81"/>
      <c r="K158" s="81"/>
    </row>
    <row r="159">
      <c r="A159" s="78" t="s">
        <v>334</v>
      </c>
      <c r="B159" s="47"/>
      <c r="C159" s="80" t="s">
        <v>11</v>
      </c>
      <c r="D159" s="80" t="str">
        <f t="shared" si="1"/>
        <v>-</v>
      </c>
      <c r="E159" s="9"/>
      <c r="F159" s="10"/>
      <c r="G159" s="9"/>
      <c r="H159" s="11"/>
      <c r="I159" s="9" t="s">
        <v>13</v>
      </c>
      <c r="J159" s="81"/>
      <c r="K159" s="81"/>
    </row>
    <row r="160">
      <c r="A160" s="78" t="s">
        <v>334</v>
      </c>
      <c r="B160" s="47"/>
      <c r="C160" s="80" t="s">
        <v>11</v>
      </c>
      <c r="D160" s="80" t="str">
        <f t="shared" si="1"/>
        <v>-</v>
      </c>
      <c r="E160" s="9"/>
      <c r="F160" s="10"/>
      <c r="G160" s="9"/>
      <c r="H160" s="11"/>
      <c r="I160" s="9" t="s">
        <v>13</v>
      </c>
      <c r="J160" s="81"/>
      <c r="K160" s="81"/>
    </row>
    <row r="161">
      <c r="A161" s="78" t="s">
        <v>334</v>
      </c>
      <c r="B161" s="47"/>
      <c r="C161" s="80" t="s">
        <v>11</v>
      </c>
      <c r="D161" s="80" t="str">
        <f t="shared" si="1"/>
        <v>-</v>
      </c>
      <c r="E161" s="9"/>
      <c r="F161" s="10"/>
      <c r="G161" s="9"/>
      <c r="H161" s="11"/>
      <c r="I161" s="9" t="s">
        <v>13</v>
      </c>
      <c r="J161" s="81"/>
      <c r="K161" s="81"/>
    </row>
    <row r="162">
      <c r="A162" s="78" t="s">
        <v>334</v>
      </c>
      <c r="B162" s="47"/>
      <c r="C162" s="80" t="s">
        <v>11</v>
      </c>
      <c r="D162" s="80" t="str">
        <f t="shared" si="1"/>
        <v>-</v>
      </c>
      <c r="E162" s="9"/>
      <c r="F162" s="10"/>
      <c r="G162" s="9"/>
      <c r="H162" s="11"/>
      <c r="I162" s="9" t="s">
        <v>13</v>
      </c>
      <c r="J162" s="81"/>
      <c r="K162" s="81"/>
    </row>
    <row r="163">
      <c r="A163" s="78" t="s">
        <v>334</v>
      </c>
      <c r="B163" s="47"/>
      <c r="C163" s="80" t="s">
        <v>11</v>
      </c>
      <c r="D163" s="80" t="str">
        <f t="shared" si="1"/>
        <v>-</v>
      </c>
      <c r="E163" s="9"/>
      <c r="F163" s="10"/>
      <c r="G163" s="9"/>
      <c r="H163" s="11"/>
      <c r="I163" s="9" t="s">
        <v>13</v>
      </c>
      <c r="J163" s="81"/>
      <c r="K163" s="81"/>
    </row>
    <row r="164">
      <c r="A164" s="78" t="s">
        <v>334</v>
      </c>
      <c r="B164" s="47"/>
      <c r="C164" s="80" t="s">
        <v>11</v>
      </c>
      <c r="D164" s="80" t="str">
        <f t="shared" si="1"/>
        <v>-</v>
      </c>
      <c r="E164" s="9"/>
      <c r="F164" s="10"/>
      <c r="G164" s="9"/>
      <c r="H164" s="11"/>
      <c r="I164" s="9" t="s">
        <v>13</v>
      </c>
      <c r="J164" s="81"/>
      <c r="K164" s="81"/>
    </row>
    <row r="165">
      <c r="A165" s="78" t="s">
        <v>334</v>
      </c>
      <c r="B165" s="47"/>
      <c r="C165" s="80" t="s">
        <v>11</v>
      </c>
      <c r="D165" s="80" t="str">
        <f t="shared" si="1"/>
        <v>-</v>
      </c>
      <c r="E165" s="9"/>
      <c r="F165" s="10"/>
      <c r="G165" s="9"/>
      <c r="H165" s="11"/>
      <c r="I165" s="9" t="s">
        <v>13</v>
      </c>
      <c r="J165" s="81"/>
      <c r="K165" s="81"/>
    </row>
    <row r="166">
      <c r="A166" s="78" t="s">
        <v>334</v>
      </c>
      <c r="B166" s="47"/>
      <c r="C166" s="80" t="s">
        <v>11</v>
      </c>
      <c r="D166" s="80" t="str">
        <f t="shared" si="1"/>
        <v>-</v>
      </c>
      <c r="E166" s="9"/>
      <c r="F166" s="10"/>
      <c r="G166" s="9"/>
      <c r="H166" s="11"/>
      <c r="I166" s="9" t="s">
        <v>13</v>
      </c>
      <c r="J166" s="81"/>
      <c r="K166" s="81"/>
    </row>
    <row r="167">
      <c r="A167" s="78" t="s">
        <v>334</v>
      </c>
      <c r="B167" s="47"/>
      <c r="C167" s="80" t="s">
        <v>11</v>
      </c>
      <c r="D167" s="80" t="str">
        <f t="shared" si="1"/>
        <v>-</v>
      </c>
      <c r="E167" s="9"/>
      <c r="F167" s="10"/>
      <c r="G167" s="9"/>
      <c r="H167" s="11"/>
      <c r="I167" s="9" t="s">
        <v>13</v>
      </c>
      <c r="J167" s="81"/>
      <c r="K167" s="81"/>
    </row>
    <row r="168">
      <c r="A168" s="78" t="s">
        <v>334</v>
      </c>
      <c r="B168" s="47"/>
      <c r="C168" s="80" t="s">
        <v>11</v>
      </c>
      <c r="D168" s="80" t="str">
        <f t="shared" si="1"/>
        <v>-</v>
      </c>
      <c r="E168" s="9"/>
      <c r="F168" s="10"/>
      <c r="G168" s="9"/>
      <c r="H168" s="11"/>
      <c r="I168" s="9" t="s">
        <v>13</v>
      </c>
      <c r="J168" s="81"/>
      <c r="K168" s="81"/>
    </row>
    <row r="169">
      <c r="A169" s="78" t="s">
        <v>334</v>
      </c>
      <c r="B169" s="47"/>
      <c r="C169" s="80" t="s">
        <v>11</v>
      </c>
      <c r="D169" s="80" t="str">
        <f t="shared" si="1"/>
        <v>-</v>
      </c>
      <c r="E169" s="9"/>
      <c r="F169" s="10"/>
      <c r="G169" s="9"/>
      <c r="H169" s="11"/>
      <c r="I169" s="9" t="s">
        <v>13</v>
      </c>
      <c r="J169" s="81"/>
      <c r="K169" s="81"/>
    </row>
    <row r="170">
      <c r="A170" s="78" t="s">
        <v>334</v>
      </c>
      <c r="B170" s="47"/>
      <c r="C170" s="80" t="s">
        <v>11</v>
      </c>
      <c r="D170" s="80" t="str">
        <f t="shared" si="1"/>
        <v>-</v>
      </c>
      <c r="E170" s="9"/>
      <c r="F170" s="10"/>
      <c r="G170" s="9"/>
      <c r="H170" s="11"/>
      <c r="I170" s="9" t="s">
        <v>13</v>
      </c>
      <c r="J170" s="81"/>
      <c r="K170" s="81"/>
    </row>
    <row r="171">
      <c r="A171" s="78" t="s">
        <v>334</v>
      </c>
      <c r="B171" s="47"/>
      <c r="C171" s="80" t="s">
        <v>11</v>
      </c>
      <c r="D171" s="80" t="str">
        <f t="shared" si="1"/>
        <v>-</v>
      </c>
      <c r="E171" s="9"/>
      <c r="F171" s="10"/>
      <c r="G171" s="9"/>
      <c r="H171" s="11"/>
      <c r="I171" s="9" t="s">
        <v>13</v>
      </c>
      <c r="J171" s="81"/>
      <c r="K171" s="81"/>
    </row>
    <row r="172">
      <c r="A172" s="78" t="s">
        <v>334</v>
      </c>
      <c r="B172" s="47"/>
      <c r="C172" s="80" t="s">
        <v>11</v>
      </c>
      <c r="D172" s="80" t="str">
        <f t="shared" si="1"/>
        <v>-</v>
      </c>
      <c r="E172" s="9"/>
      <c r="F172" s="10"/>
      <c r="G172" s="9"/>
      <c r="H172" s="11"/>
      <c r="I172" s="9" t="s">
        <v>13</v>
      </c>
      <c r="J172" s="81"/>
      <c r="K172" s="81"/>
    </row>
    <row r="173">
      <c r="A173" s="78" t="s">
        <v>334</v>
      </c>
      <c r="B173" s="47"/>
      <c r="C173" s="80" t="s">
        <v>11</v>
      </c>
      <c r="D173" s="80" t="str">
        <f t="shared" si="1"/>
        <v>-</v>
      </c>
      <c r="E173" s="9"/>
      <c r="F173" s="10"/>
      <c r="G173" s="9"/>
      <c r="H173" s="11"/>
      <c r="I173" s="9" t="s">
        <v>13</v>
      </c>
      <c r="J173" s="81"/>
      <c r="K173" s="81"/>
    </row>
    <row r="174">
      <c r="A174" s="78" t="s">
        <v>334</v>
      </c>
      <c r="B174" s="47"/>
      <c r="C174" s="80" t="s">
        <v>11</v>
      </c>
      <c r="D174" s="80" t="str">
        <f t="shared" si="1"/>
        <v>-</v>
      </c>
      <c r="E174" s="9"/>
      <c r="F174" s="10"/>
      <c r="G174" s="9"/>
      <c r="H174" s="11"/>
      <c r="I174" s="9" t="s">
        <v>13</v>
      </c>
      <c r="J174" s="81"/>
      <c r="K174" s="81"/>
    </row>
    <row r="175">
      <c r="A175" s="78" t="s">
        <v>334</v>
      </c>
      <c r="B175" s="47"/>
      <c r="C175" s="80" t="s">
        <v>11</v>
      </c>
      <c r="D175" s="80" t="str">
        <f t="shared" si="1"/>
        <v>-</v>
      </c>
      <c r="E175" s="9"/>
      <c r="F175" s="10"/>
      <c r="G175" s="9"/>
      <c r="H175" s="11"/>
      <c r="I175" s="9" t="s">
        <v>13</v>
      </c>
      <c r="J175" s="81"/>
      <c r="K175" s="81"/>
    </row>
    <row r="176">
      <c r="A176" s="78" t="s">
        <v>334</v>
      </c>
      <c r="B176" s="47"/>
      <c r="C176" s="80" t="s">
        <v>11</v>
      </c>
      <c r="D176" s="80" t="str">
        <f t="shared" si="1"/>
        <v>-</v>
      </c>
      <c r="E176" s="9"/>
      <c r="F176" s="10"/>
      <c r="G176" s="9"/>
      <c r="H176" s="11"/>
      <c r="I176" s="9" t="s">
        <v>13</v>
      </c>
      <c r="J176" s="81"/>
      <c r="K176" s="81"/>
    </row>
    <row r="177">
      <c r="A177" s="78" t="s">
        <v>334</v>
      </c>
      <c r="B177" s="47"/>
      <c r="C177" s="80" t="s">
        <v>11</v>
      </c>
      <c r="D177" s="80" t="str">
        <f t="shared" si="1"/>
        <v>-</v>
      </c>
      <c r="E177" s="9"/>
      <c r="F177" s="10"/>
      <c r="G177" s="9"/>
      <c r="H177" s="11"/>
      <c r="I177" s="9" t="s">
        <v>13</v>
      </c>
      <c r="J177" s="81"/>
      <c r="K177" s="81"/>
    </row>
    <row r="178">
      <c r="A178" s="78" t="s">
        <v>334</v>
      </c>
      <c r="B178" s="47"/>
      <c r="C178" s="80" t="s">
        <v>11</v>
      </c>
      <c r="D178" s="80" t="str">
        <f t="shared" si="1"/>
        <v>-</v>
      </c>
      <c r="E178" s="9"/>
      <c r="F178" s="10"/>
      <c r="G178" s="9"/>
      <c r="H178" s="11"/>
      <c r="I178" s="9" t="s">
        <v>13</v>
      </c>
      <c r="J178" s="81"/>
      <c r="K178" s="81"/>
    </row>
    <row r="179">
      <c r="A179" s="78" t="s">
        <v>334</v>
      </c>
      <c r="B179" s="47"/>
      <c r="C179" s="80" t="s">
        <v>11</v>
      </c>
      <c r="D179" s="80" t="str">
        <f t="shared" si="1"/>
        <v>-</v>
      </c>
      <c r="E179" s="9"/>
      <c r="F179" s="10"/>
      <c r="G179" s="9"/>
      <c r="H179" s="11"/>
      <c r="I179" s="9" t="s">
        <v>13</v>
      </c>
      <c r="J179" s="81"/>
      <c r="K179" s="81"/>
    </row>
    <row r="180">
      <c r="A180" s="78" t="s">
        <v>334</v>
      </c>
      <c r="B180" s="47"/>
      <c r="C180" s="80" t="s">
        <v>11</v>
      </c>
      <c r="D180" s="80" t="str">
        <f t="shared" si="1"/>
        <v>-</v>
      </c>
      <c r="E180" s="9"/>
      <c r="F180" s="10"/>
      <c r="G180" s="9"/>
      <c r="H180" s="11"/>
      <c r="I180" s="9" t="s">
        <v>13</v>
      </c>
      <c r="J180" s="81"/>
      <c r="K180" s="81"/>
    </row>
    <row r="181">
      <c r="A181" s="78" t="s">
        <v>334</v>
      </c>
      <c r="B181" s="47"/>
      <c r="C181" s="80" t="s">
        <v>11</v>
      </c>
      <c r="D181" s="80" t="str">
        <f t="shared" si="1"/>
        <v>-</v>
      </c>
      <c r="E181" s="9"/>
      <c r="F181" s="10"/>
      <c r="G181" s="9"/>
      <c r="H181" s="11"/>
      <c r="I181" s="9" t="s">
        <v>13</v>
      </c>
      <c r="J181" s="81"/>
      <c r="K181" s="81"/>
    </row>
    <row r="182">
      <c r="A182" s="78" t="s">
        <v>334</v>
      </c>
      <c r="B182" s="47"/>
      <c r="C182" s="80" t="s">
        <v>11</v>
      </c>
      <c r="D182" s="80" t="str">
        <f t="shared" si="1"/>
        <v>-</v>
      </c>
      <c r="E182" s="9"/>
      <c r="F182" s="10"/>
      <c r="G182" s="9"/>
      <c r="H182" s="11"/>
      <c r="I182" s="9" t="s">
        <v>13</v>
      </c>
      <c r="J182" s="81"/>
      <c r="K182" s="81"/>
    </row>
    <row r="183">
      <c r="A183" s="78" t="s">
        <v>334</v>
      </c>
      <c r="B183" s="47"/>
      <c r="C183" s="80" t="s">
        <v>11</v>
      </c>
      <c r="D183" s="80" t="str">
        <f t="shared" si="1"/>
        <v>-</v>
      </c>
      <c r="E183" s="9"/>
      <c r="F183" s="10"/>
      <c r="G183" s="9"/>
      <c r="H183" s="11"/>
      <c r="I183" s="9" t="s">
        <v>13</v>
      </c>
      <c r="J183" s="81"/>
      <c r="K183" s="81"/>
    </row>
    <row r="184">
      <c r="A184" s="78" t="s">
        <v>334</v>
      </c>
      <c r="B184" s="47"/>
      <c r="C184" s="80" t="s">
        <v>11</v>
      </c>
      <c r="D184" s="80" t="str">
        <f t="shared" si="1"/>
        <v>-</v>
      </c>
      <c r="E184" s="9"/>
      <c r="F184" s="10"/>
      <c r="G184" s="9"/>
      <c r="H184" s="11"/>
      <c r="I184" s="9" t="s">
        <v>13</v>
      </c>
      <c r="J184" s="81"/>
      <c r="K184" s="81"/>
    </row>
    <row r="185">
      <c r="A185" s="78" t="s">
        <v>334</v>
      </c>
      <c r="B185" s="47"/>
      <c r="C185" s="80" t="s">
        <v>11</v>
      </c>
      <c r="D185" s="80" t="str">
        <f t="shared" si="1"/>
        <v>-</v>
      </c>
      <c r="E185" s="9"/>
      <c r="F185" s="10"/>
      <c r="G185" s="9"/>
      <c r="H185" s="11"/>
      <c r="I185" s="9" t="s">
        <v>13</v>
      </c>
      <c r="J185" s="81"/>
      <c r="K185" s="81"/>
    </row>
    <row r="186">
      <c r="A186" s="78" t="s">
        <v>334</v>
      </c>
      <c r="B186" s="47"/>
      <c r="C186" s="80" t="s">
        <v>11</v>
      </c>
      <c r="D186" s="80" t="str">
        <f t="shared" si="1"/>
        <v>-</v>
      </c>
      <c r="E186" s="9"/>
      <c r="F186" s="10"/>
      <c r="G186" s="9"/>
      <c r="H186" s="11"/>
      <c r="I186" s="9" t="s">
        <v>13</v>
      </c>
      <c r="J186" s="81"/>
      <c r="K186" s="81"/>
    </row>
    <row r="187">
      <c r="A187" s="78" t="s">
        <v>334</v>
      </c>
      <c r="B187" s="47"/>
      <c r="C187" s="80" t="s">
        <v>11</v>
      </c>
      <c r="D187" s="80" t="str">
        <f t="shared" si="1"/>
        <v>-</v>
      </c>
      <c r="E187" s="9"/>
      <c r="F187" s="10"/>
      <c r="G187" s="9"/>
      <c r="H187" s="11"/>
      <c r="I187" s="9" t="s">
        <v>13</v>
      </c>
      <c r="J187" s="81"/>
      <c r="K187" s="81"/>
    </row>
    <row r="188">
      <c r="A188" s="78" t="s">
        <v>334</v>
      </c>
      <c r="B188" s="47"/>
      <c r="C188" s="80" t="s">
        <v>11</v>
      </c>
      <c r="D188" s="80" t="str">
        <f t="shared" si="1"/>
        <v>-</v>
      </c>
      <c r="E188" s="9"/>
      <c r="F188" s="10"/>
      <c r="G188" s="9"/>
      <c r="H188" s="11"/>
      <c r="I188" s="9" t="s">
        <v>13</v>
      </c>
      <c r="J188" s="81"/>
      <c r="K188" s="81"/>
    </row>
    <row r="189">
      <c r="A189" s="78" t="s">
        <v>334</v>
      </c>
      <c r="B189" s="47"/>
      <c r="C189" s="80" t="s">
        <v>11</v>
      </c>
      <c r="D189" s="80" t="str">
        <f t="shared" si="1"/>
        <v>-</v>
      </c>
      <c r="E189" s="9"/>
      <c r="F189" s="10"/>
      <c r="G189" s="9"/>
      <c r="H189" s="11"/>
      <c r="I189" s="9" t="s">
        <v>13</v>
      </c>
      <c r="J189" s="81"/>
      <c r="K189" s="81"/>
    </row>
    <row r="190">
      <c r="A190" s="78" t="s">
        <v>334</v>
      </c>
      <c r="B190" s="47"/>
      <c r="C190" s="80" t="s">
        <v>11</v>
      </c>
      <c r="D190" s="80" t="str">
        <f t="shared" si="1"/>
        <v>-</v>
      </c>
      <c r="E190" s="9"/>
      <c r="F190" s="10"/>
      <c r="G190" s="9"/>
      <c r="H190" s="11"/>
      <c r="I190" s="9" t="s">
        <v>13</v>
      </c>
      <c r="J190" s="81"/>
      <c r="K190" s="81"/>
    </row>
    <row r="191">
      <c r="A191" s="78" t="s">
        <v>334</v>
      </c>
      <c r="B191" s="47"/>
      <c r="C191" s="80" t="s">
        <v>11</v>
      </c>
      <c r="D191" s="80" t="str">
        <f t="shared" si="1"/>
        <v>-</v>
      </c>
      <c r="E191" s="9"/>
      <c r="F191" s="10"/>
      <c r="G191" s="9"/>
      <c r="H191" s="11"/>
      <c r="I191" s="9" t="s">
        <v>13</v>
      </c>
      <c r="J191" s="81"/>
      <c r="K191" s="81"/>
    </row>
    <row r="192">
      <c r="A192" s="78" t="s">
        <v>334</v>
      </c>
      <c r="B192" s="47"/>
      <c r="C192" s="80" t="s">
        <v>11</v>
      </c>
      <c r="D192" s="80" t="str">
        <f t="shared" si="1"/>
        <v>-</v>
      </c>
      <c r="E192" s="9"/>
      <c r="F192" s="10"/>
      <c r="G192" s="9"/>
      <c r="H192" s="11"/>
      <c r="I192" s="9" t="s">
        <v>13</v>
      </c>
      <c r="J192" s="81"/>
      <c r="K192" s="81"/>
    </row>
    <row r="193">
      <c r="A193" s="78" t="s">
        <v>334</v>
      </c>
      <c r="B193" s="47"/>
      <c r="C193" s="80" t="s">
        <v>11</v>
      </c>
      <c r="D193" s="80" t="str">
        <f t="shared" si="1"/>
        <v>-</v>
      </c>
      <c r="E193" s="9"/>
      <c r="F193" s="10"/>
      <c r="G193" s="9"/>
      <c r="H193" s="11"/>
      <c r="I193" s="9" t="s">
        <v>13</v>
      </c>
      <c r="J193" s="81"/>
      <c r="K193" s="81"/>
    </row>
    <row r="194">
      <c r="A194" s="78" t="s">
        <v>334</v>
      </c>
      <c r="B194" s="47"/>
      <c r="C194" s="80" t="s">
        <v>11</v>
      </c>
      <c r="D194" s="80" t="str">
        <f t="shared" si="1"/>
        <v>-</v>
      </c>
      <c r="E194" s="9"/>
      <c r="F194" s="10"/>
      <c r="G194" s="9"/>
      <c r="H194" s="11"/>
      <c r="I194" s="9" t="s">
        <v>13</v>
      </c>
      <c r="J194" s="81"/>
      <c r="K194" s="81"/>
    </row>
    <row r="195">
      <c r="A195" s="78" t="s">
        <v>334</v>
      </c>
      <c r="B195" s="47"/>
      <c r="C195" s="80" t="s">
        <v>11</v>
      </c>
      <c r="D195" s="80" t="str">
        <f t="shared" si="1"/>
        <v>-</v>
      </c>
      <c r="E195" s="9"/>
      <c r="F195" s="10"/>
      <c r="G195" s="9"/>
      <c r="H195" s="11"/>
      <c r="I195" s="9" t="s">
        <v>13</v>
      </c>
      <c r="J195" s="81"/>
      <c r="K195" s="81"/>
    </row>
    <row r="196">
      <c r="A196" s="78" t="s">
        <v>334</v>
      </c>
      <c r="B196" s="47"/>
      <c r="C196" s="80" t="s">
        <v>11</v>
      </c>
      <c r="D196" s="80" t="str">
        <f t="shared" si="1"/>
        <v>-</v>
      </c>
      <c r="E196" s="9"/>
      <c r="F196" s="10"/>
      <c r="G196" s="9"/>
      <c r="H196" s="11"/>
      <c r="I196" s="9" t="s">
        <v>13</v>
      </c>
      <c r="J196" s="81"/>
      <c r="K196" s="81"/>
    </row>
    <row r="197">
      <c r="A197" s="78" t="s">
        <v>334</v>
      </c>
      <c r="B197" s="47"/>
      <c r="C197" s="80" t="s">
        <v>11</v>
      </c>
      <c r="D197" s="80" t="str">
        <f t="shared" si="1"/>
        <v>-</v>
      </c>
      <c r="E197" s="9"/>
      <c r="F197" s="10"/>
      <c r="G197" s="9"/>
      <c r="H197" s="11"/>
      <c r="I197" s="9" t="s">
        <v>13</v>
      </c>
      <c r="J197" s="81"/>
      <c r="K197" s="81"/>
    </row>
    <row r="198">
      <c r="A198" s="78" t="s">
        <v>334</v>
      </c>
      <c r="B198" s="47"/>
      <c r="C198" s="80" t="s">
        <v>11</v>
      </c>
      <c r="D198" s="80" t="str">
        <f t="shared" si="1"/>
        <v>-</v>
      </c>
      <c r="E198" s="9"/>
      <c r="F198" s="10"/>
      <c r="G198" s="9"/>
      <c r="H198" s="11"/>
      <c r="I198" s="9" t="s">
        <v>13</v>
      </c>
      <c r="J198" s="81"/>
      <c r="K198" s="81"/>
    </row>
    <row r="199">
      <c r="A199" s="78" t="s">
        <v>334</v>
      </c>
      <c r="B199" s="47"/>
      <c r="C199" s="80" t="s">
        <v>11</v>
      </c>
      <c r="D199" s="80" t="str">
        <f t="shared" si="1"/>
        <v>-</v>
      </c>
      <c r="E199" s="9"/>
      <c r="F199" s="10"/>
      <c r="G199" s="9"/>
      <c r="H199" s="11"/>
      <c r="I199" s="9" t="s">
        <v>13</v>
      </c>
      <c r="J199" s="81"/>
      <c r="K199" s="81"/>
    </row>
    <row r="200">
      <c r="A200" s="78" t="s">
        <v>334</v>
      </c>
      <c r="B200" s="47"/>
      <c r="C200" s="80" t="s">
        <v>11</v>
      </c>
      <c r="D200" s="80" t="str">
        <f t="shared" si="1"/>
        <v>-</v>
      </c>
      <c r="E200" s="9"/>
      <c r="F200" s="10"/>
      <c r="G200" s="9"/>
      <c r="H200" s="11"/>
      <c r="I200" s="9" t="s">
        <v>13</v>
      </c>
      <c r="J200" s="81"/>
      <c r="K200" s="81"/>
    </row>
    <row r="201">
      <c r="A201" s="78" t="s">
        <v>334</v>
      </c>
      <c r="B201" s="47"/>
      <c r="C201" s="80" t="s">
        <v>11</v>
      </c>
      <c r="D201" s="80" t="str">
        <f t="shared" si="1"/>
        <v>-</v>
      </c>
      <c r="E201" s="9"/>
      <c r="F201" s="10"/>
      <c r="G201" s="9"/>
      <c r="H201" s="11"/>
      <c r="I201" s="9" t="s">
        <v>13</v>
      </c>
      <c r="J201" s="81"/>
      <c r="K201" s="81"/>
    </row>
    <row r="202">
      <c r="A202" s="78" t="s">
        <v>334</v>
      </c>
      <c r="B202" s="47"/>
      <c r="C202" s="80" t="s">
        <v>11</v>
      </c>
      <c r="D202" s="80" t="str">
        <f t="shared" si="1"/>
        <v>-</v>
      </c>
      <c r="E202" s="9"/>
      <c r="F202" s="10"/>
      <c r="G202" s="9"/>
      <c r="H202" s="11"/>
      <c r="I202" s="9" t="s">
        <v>13</v>
      </c>
      <c r="J202" s="81"/>
      <c r="K202" s="81"/>
    </row>
    <row r="203">
      <c r="A203" s="78" t="s">
        <v>334</v>
      </c>
      <c r="B203" s="47"/>
      <c r="C203" s="80" t="s">
        <v>11</v>
      </c>
      <c r="D203" s="80" t="str">
        <f t="shared" si="1"/>
        <v>-</v>
      </c>
      <c r="E203" s="9"/>
      <c r="F203" s="10"/>
      <c r="G203" s="9"/>
      <c r="H203" s="11"/>
      <c r="I203" s="9" t="s">
        <v>13</v>
      </c>
      <c r="J203" s="81"/>
      <c r="K203" s="81"/>
    </row>
    <row r="204">
      <c r="A204" s="78" t="s">
        <v>334</v>
      </c>
      <c r="B204" s="47"/>
      <c r="C204" s="80" t="s">
        <v>11</v>
      </c>
      <c r="D204" s="80" t="str">
        <f t="shared" si="1"/>
        <v>-</v>
      </c>
      <c r="E204" s="9"/>
      <c r="F204" s="10"/>
      <c r="G204" s="9"/>
      <c r="H204" s="11"/>
      <c r="I204" s="9" t="s">
        <v>13</v>
      </c>
      <c r="J204" s="81"/>
      <c r="K204" s="81"/>
    </row>
    <row r="205">
      <c r="A205" s="78" t="s">
        <v>334</v>
      </c>
      <c r="B205" s="47"/>
      <c r="C205" s="80" t="s">
        <v>11</v>
      </c>
      <c r="D205" s="80" t="str">
        <f t="shared" si="1"/>
        <v>-</v>
      </c>
      <c r="E205" s="9"/>
      <c r="F205" s="10"/>
      <c r="G205" s="9"/>
      <c r="H205" s="11"/>
      <c r="I205" s="9" t="s">
        <v>13</v>
      </c>
      <c r="J205" s="81"/>
      <c r="K205" s="81"/>
    </row>
    <row r="206">
      <c r="A206" s="78" t="s">
        <v>334</v>
      </c>
      <c r="B206" s="47"/>
      <c r="C206" s="80" t="s">
        <v>11</v>
      </c>
      <c r="D206" s="80" t="str">
        <f t="shared" si="1"/>
        <v>-</v>
      </c>
      <c r="E206" s="9"/>
      <c r="F206" s="10"/>
      <c r="G206" s="9"/>
      <c r="H206" s="11"/>
      <c r="I206" s="9" t="s">
        <v>13</v>
      </c>
      <c r="J206" s="81"/>
      <c r="K206" s="81"/>
    </row>
    <row r="207">
      <c r="A207" s="78" t="s">
        <v>334</v>
      </c>
      <c r="B207" s="47"/>
      <c r="C207" s="80" t="s">
        <v>11</v>
      </c>
      <c r="D207" s="80" t="str">
        <f t="shared" si="1"/>
        <v>-</v>
      </c>
      <c r="E207" s="9"/>
      <c r="F207" s="10"/>
      <c r="G207" s="9"/>
      <c r="H207" s="11"/>
      <c r="I207" s="9" t="s">
        <v>13</v>
      </c>
      <c r="J207" s="81"/>
      <c r="K207" s="81"/>
    </row>
    <row r="208">
      <c r="A208" s="78" t="s">
        <v>334</v>
      </c>
      <c r="B208" s="47"/>
      <c r="C208" s="80" t="s">
        <v>11</v>
      </c>
      <c r="D208" s="80" t="str">
        <f t="shared" si="1"/>
        <v>-</v>
      </c>
      <c r="E208" s="9"/>
      <c r="F208" s="10"/>
      <c r="G208" s="9"/>
      <c r="H208" s="11"/>
      <c r="I208" s="9" t="s">
        <v>13</v>
      </c>
      <c r="J208" s="81"/>
      <c r="K208" s="81"/>
    </row>
    <row r="209">
      <c r="A209" s="78" t="s">
        <v>334</v>
      </c>
      <c r="B209" s="47"/>
      <c r="C209" s="80" t="s">
        <v>11</v>
      </c>
      <c r="D209" s="80" t="str">
        <f t="shared" si="1"/>
        <v>-</v>
      </c>
      <c r="E209" s="9"/>
      <c r="F209" s="10"/>
      <c r="G209" s="9"/>
      <c r="H209" s="11"/>
      <c r="I209" s="9" t="s">
        <v>13</v>
      </c>
      <c r="J209" s="81"/>
      <c r="K209" s="81"/>
    </row>
    <row r="210">
      <c r="A210" s="78" t="s">
        <v>334</v>
      </c>
      <c r="B210" s="47"/>
      <c r="C210" s="80" t="s">
        <v>11</v>
      </c>
      <c r="D210" s="80" t="str">
        <f t="shared" si="1"/>
        <v>-</v>
      </c>
      <c r="E210" s="9"/>
      <c r="F210" s="10"/>
      <c r="G210" s="9"/>
      <c r="H210" s="11"/>
      <c r="I210" s="9" t="s">
        <v>13</v>
      </c>
      <c r="J210" s="81"/>
      <c r="K210" s="81"/>
    </row>
    <row r="211">
      <c r="A211" s="78" t="s">
        <v>334</v>
      </c>
      <c r="B211" s="47"/>
      <c r="C211" s="80" t="s">
        <v>11</v>
      </c>
      <c r="D211" s="80" t="str">
        <f t="shared" si="1"/>
        <v>-</v>
      </c>
      <c r="E211" s="9"/>
      <c r="F211" s="10"/>
      <c r="G211" s="9"/>
      <c r="H211" s="11"/>
      <c r="I211" s="9" t="s">
        <v>13</v>
      </c>
      <c r="J211" s="81"/>
      <c r="K211" s="81"/>
    </row>
    <row r="212">
      <c r="A212" s="78" t="s">
        <v>334</v>
      </c>
      <c r="B212" s="47"/>
      <c r="C212" s="80" t="s">
        <v>11</v>
      </c>
      <c r="D212" s="80" t="str">
        <f t="shared" si="1"/>
        <v>-</v>
      </c>
      <c r="E212" s="9"/>
      <c r="F212" s="10"/>
      <c r="G212" s="9"/>
      <c r="H212" s="11"/>
      <c r="I212" s="9" t="s">
        <v>13</v>
      </c>
      <c r="J212" s="81"/>
      <c r="K212" s="81"/>
    </row>
    <row r="213">
      <c r="A213" s="78" t="s">
        <v>334</v>
      </c>
      <c r="B213" s="47"/>
      <c r="C213" s="80" t="s">
        <v>11</v>
      </c>
      <c r="D213" s="80" t="str">
        <f t="shared" si="1"/>
        <v>-</v>
      </c>
      <c r="E213" s="9"/>
      <c r="F213" s="10"/>
      <c r="G213" s="9"/>
      <c r="H213" s="11"/>
      <c r="I213" s="9" t="s">
        <v>13</v>
      </c>
      <c r="J213" s="81"/>
      <c r="K213" s="81"/>
    </row>
    <row r="214">
      <c r="A214" s="78" t="s">
        <v>334</v>
      </c>
      <c r="B214" s="47"/>
      <c r="C214" s="80" t="s">
        <v>11</v>
      </c>
      <c r="D214" s="80" t="str">
        <f t="shared" si="1"/>
        <v>-</v>
      </c>
      <c r="E214" s="9"/>
      <c r="F214" s="10"/>
      <c r="G214" s="9"/>
      <c r="H214" s="11"/>
      <c r="I214" s="9" t="s">
        <v>13</v>
      </c>
      <c r="J214" s="81"/>
      <c r="K214" s="81"/>
    </row>
    <row r="215">
      <c r="A215" s="78" t="s">
        <v>334</v>
      </c>
      <c r="B215" s="47"/>
      <c r="C215" s="80" t="s">
        <v>11</v>
      </c>
      <c r="D215" s="80" t="str">
        <f t="shared" si="1"/>
        <v>-</v>
      </c>
      <c r="E215" s="9"/>
      <c r="F215" s="10"/>
      <c r="G215" s="9"/>
      <c r="H215" s="11"/>
      <c r="I215" s="9" t="s">
        <v>13</v>
      </c>
      <c r="J215" s="81"/>
      <c r="K215" s="81"/>
    </row>
    <row r="216">
      <c r="A216" s="78" t="s">
        <v>334</v>
      </c>
      <c r="B216" s="47"/>
      <c r="C216" s="80" t="s">
        <v>11</v>
      </c>
      <c r="D216" s="80" t="str">
        <f t="shared" si="1"/>
        <v>-</v>
      </c>
      <c r="E216" s="9"/>
      <c r="F216" s="10"/>
      <c r="G216" s="9"/>
      <c r="H216" s="11"/>
      <c r="I216" s="9" t="s">
        <v>13</v>
      </c>
      <c r="J216" s="81"/>
      <c r="K216" s="81"/>
    </row>
    <row r="217">
      <c r="A217" s="78" t="s">
        <v>334</v>
      </c>
      <c r="B217" s="47"/>
      <c r="C217" s="80" t="s">
        <v>11</v>
      </c>
      <c r="D217" s="80" t="str">
        <f t="shared" si="1"/>
        <v>-</v>
      </c>
      <c r="E217" s="9"/>
      <c r="F217" s="10"/>
      <c r="G217" s="9"/>
      <c r="H217" s="11"/>
      <c r="I217" s="9" t="s">
        <v>13</v>
      </c>
      <c r="J217" s="81"/>
      <c r="K217" s="81"/>
    </row>
    <row r="218">
      <c r="A218" s="78" t="s">
        <v>334</v>
      </c>
      <c r="B218" s="47"/>
      <c r="C218" s="80" t="s">
        <v>11</v>
      </c>
      <c r="D218" s="80" t="str">
        <f t="shared" si="1"/>
        <v>-</v>
      </c>
      <c r="E218" s="9"/>
      <c r="F218" s="10"/>
      <c r="G218" s="9"/>
      <c r="H218" s="11"/>
      <c r="I218" s="9" t="s">
        <v>13</v>
      </c>
      <c r="J218" s="81"/>
      <c r="K218" s="81"/>
    </row>
    <row r="219">
      <c r="A219" s="78" t="s">
        <v>334</v>
      </c>
      <c r="B219" s="47"/>
      <c r="C219" s="80" t="s">
        <v>11</v>
      </c>
      <c r="D219" s="80" t="str">
        <f t="shared" si="1"/>
        <v>-</v>
      </c>
      <c r="E219" s="9"/>
      <c r="F219" s="10"/>
      <c r="G219" s="9"/>
      <c r="H219" s="11"/>
      <c r="I219" s="9" t="s">
        <v>13</v>
      </c>
      <c r="J219" s="81"/>
      <c r="K219" s="81"/>
    </row>
    <row r="220">
      <c r="A220" s="78" t="s">
        <v>334</v>
      </c>
      <c r="B220" s="47"/>
      <c r="C220" s="80" t="s">
        <v>11</v>
      </c>
      <c r="D220" s="80" t="str">
        <f t="shared" si="1"/>
        <v>-</v>
      </c>
      <c r="E220" s="9"/>
      <c r="F220" s="10"/>
      <c r="G220" s="9"/>
      <c r="H220" s="11"/>
      <c r="I220" s="9" t="s">
        <v>13</v>
      </c>
      <c r="J220" s="81"/>
      <c r="K220" s="81"/>
    </row>
    <row r="221">
      <c r="A221" s="78" t="s">
        <v>334</v>
      </c>
      <c r="B221" s="47"/>
      <c r="C221" s="80" t="s">
        <v>11</v>
      </c>
      <c r="D221" s="80" t="str">
        <f t="shared" si="1"/>
        <v>-</v>
      </c>
      <c r="E221" s="9"/>
      <c r="F221" s="10"/>
      <c r="G221" s="9"/>
      <c r="H221" s="11"/>
      <c r="I221" s="9" t="s">
        <v>13</v>
      </c>
      <c r="J221" s="81"/>
      <c r="K221" s="81"/>
    </row>
    <row r="222">
      <c r="A222" s="78" t="s">
        <v>334</v>
      </c>
      <c r="B222" s="47"/>
      <c r="C222" s="80" t="s">
        <v>11</v>
      </c>
      <c r="D222" s="80" t="str">
        <f t="shared" si="1"/>
        <v>-</v>
      </c>
      <c r="E222" s="9"/>
      <c r="F222" s="10"/>
      <c r="G222" s="9"/>
      <c r="H222" s="11"/>
      <c r="I222" s="9" t="s">
        <v>13</v>
      </c>
      <c r="J222" s="81"/>
      <c r="K222" s="81"/>
    </row>
    <row r="223">
      <c r="A223" s="78" t="s">
        <v>334</v>
      </c>
      <c r="B223" s="47"/>
      <c r="C223" s="80" t="s">
        <v>11</v>
      </c>
      <c r="D223" s="80" t="str">
        <f t="shared" si="1"/>
        <v>-</v>
      </c>
      <c r="E223" s="9"/>
      <c r="F223" s="10"/>
      <c r="G223" s="9"/>
      <c r="H223" s="11"/>
      <c r="I223" s="9" t="s">
        <v>13</v>
      </c>
      <c r="J223" s="81"/>
      <c r="K223" s="81"/>
    </row>
    <row r="224">
      <c r="A224" s="78" t="s">
        <v>334</v>
      </c>
      <c r="B224" s="47"/>
      <c r="C224" s="80" t="s">
        <v>11</v>
      </c>
      <c r="D224" s="80" t="str">
        <f t="shared" si="1"/>
        <v>-</v>
      </c>
      <c r="E224" s="9"/>
      <c r="F224" s="10"/>
      <c r="G224" s="9"/>
      <c r="H224" s="11"/>
      <c r="I224" s="9" t="s">
        <v>13</v>
      </c>
      <c r="J224" s="81"/>
      <c r="K224" s="81"/>
    </row>
    <row r="225">
      <c r="A225" s="78" t="s">
        <v>334</v>
      </c>
      <c r="B225" s="47"/>
      <c r="C225" s="80" t="s">
        <v>11</v>
      </c>
      <c r="D225" s="80" t="str">
        <f t="shared" si="1"/>
        <v>-</v>
      </c>
      <c r="E225" s="9"/>
      <c r="F225" s="10"/>
      <c r="G225" s="9"/>
      <c r="H225" s="11"/>
      <c r="I225" s="9" t="s">
        <v>13</v>
      </c>
      <c r="J225" s="81"/>
      <c r="K225" s="81"/>
    </row>
    <row r="226">
      <c r="A226" s="78" t="s">
        <v>334</v>
      </c>
      <c r="B226" s="47"/>
      <c r="C226" s="80" t="s">
        <v>11</v>
      </c>
      <c r="D226" s="80" t="str">
        <f t="shared" si="1"/>
        <v>-</v>
      </c>
      <c r="E226" s="9"/>
      <c r="F226" s="10"/>
      <c r="G226" s="9"/>
      <c r="H226" s="11"/>
      <c r="I226" s="9" t="s">
        <v>13</v>
      </c>
      <c r="J226" s="81"/>
      <c r="K226" s="81"/>
    </row>
    <row r="227">
      <c r="A227" s="78" t="s">
        <v>334</v>
      </c>
      <c r="B227" s="47"/>
      <c r="C227" s="80" t="s">
        <v>11</v>
      </c>
      <c r="D227" s="80" t="str">
        <f t="shared" si="1"/>
        <v>-</v>
      </c>
      <c r="E227" s="9"/>
      <c r="F227" s="10"/>
      <c r="G227" s="9"/>
      <c r="H227" s="11"/>
      <c r="I227" s="9" t="s">
        <v>13</v>
      </c>
      <c r="J227" s="81"/>
      <c r="K227" s="81"/>
    </row>
    <row r="228">
      <c r="A228" s="78" t="s">
        <v>334</v>
      </c>
      <c r="B228" s="47"/>
      <c r="C228" s="80" t="s">
        <v>11</v>
      </c>
      <c r="D228" s="80" t="str">
        <f t="shared" si="1"/>
        <v>-</v>
      </c>
      <c r="E228" s="9"/>
      <c r="F228" s="10"/>
      <c r="G228" s="9"/>
      <c r="H228" s="11"/>
      <c r="I228" s="9" t="s">
        <v>13</v>
      </c>
      <c r="J228" s="81"/>
      <c r="K228" s="81"/>
    </row>
    <row r="229">
      <c r="A229" s="78" t="s">
        <v>334</v>
      </c>
      <c r="B229" s="47"/>
      <c r="C229" s="80" t="s">
        <v>11</v>
      </c>
      <c r="D229" s="80" t="str">
        <f t="shared" si="1"/>
        <v>-</v>
      </c>
      <c r="E229" s="9"/>
      <c r="F229" s="10"/>
      <c r="G229" s="9"/>
      <c r="H229" s="11"/>
      <c r="I229" s="9" t="s">
        <v>13</v>
      </c>
      <c r="J229" s="81"/>
      <c r="K229" s="81"/>
    </row>
    <row r="230">
      <c r="A230" s="78" t="s">
        <v>334</v>
      </c>
      <c r="B230" s="47"/>
      <c r="C230" s="80" t="s">
        <v>11</v>
      </c>
      <c r="D230" s="80" t="str">
        <f t="shared" si="1"/>
        <v>-</v>
      </c>
      <c r="E230" s="9"/>
      <c r="F230" s="10"/>
      <c r="G230" s="9"/>
      <c r="H230" s="11"/>
      <c r="I230" s="9" t="s">
        <v>13</v>
      </c>
      <c r="J230" s="81"/>
      <c r="K230" s="81"/>
    </row>
    <row r="231">
      <c r="A231" s="78" t="s">
        <v>334</v>
      </c>
      <c r="B231" s="47"/>
      <c r="C231" s="80" t="s">
        <v>11</v>
      </c>
      <c r="D231" s="80" t="str">
        <f t="shared" si="1"/>
        <v>-</v>
      </c>
      <c r="E231" s="9"/>
      <c r="F231" s="10"/>
      <c r="G231" s="9"/>
      <c r="H231" s="11"/>
      <c r="I231" s="9" t="s">
        <v>13</v>
      </c>
      <c r="J231" s="81"/>
      <c r="K231" s="81"/>
    </row>
    <row r="232">
      <c r="A232" s="78" t="s">
        <v>334</v>
      </c>
      <c r="B232" s="47"/>
      <c r="C232" s="80" t="s">
        <v>11</v>
      </c>
      <c r="D232" s="80" t="str">
        <f t="shared" si="1"/>
        <v>-</v>
      </c>
      <c r="E232" s="9"/>
      <c r="F232" s="10"/>
      <c r="G232" s="9"/>
      <c r="H232" s="11"/>
      <c r="I232" s="9" t="s">
        <v>13</v>
      </c>
      <c r="J232" s="81"/>
      <c r="K232" s="81"/>
    </row>
    <row r="233">
      <c r="A233" s="78" t="s">
        <v>334</v>
      </c>
      <c r="B233" s="47"/>
      <c r="C233" s="80" t="s">
        <v>11</v>
      </c>
      <c r="D233" s="80" t="str">
        <f t="shared" si="1"/>
        <v>-</v>
      </c>
      <c r="E233" s="9"/>
      <c r="F233" s="10"/>
      <c r="G233" s="9"/>
      <c r="H233" s="11"/>
      <c r="I233" s="9" t="s">
        <v>13</v>
      </c>
      <c r="J233" s="81"/>
      <c r="K233" s="81"/>
    </row>
    <row r="234">
      <c r="A234" s="78" t="s">
        <v>334</v>
      </c>
      <c r="B234" s="47"/>
      <c r="C234" s="80" t="s">
        <v>11</v>
      </c>
      <c r="D234" s="80" t="str">
        <f t="shared" si="1"/>
        <v>-</v>
      </c>
      <c r="E234" s="9"/>
      <c r="F234" s="10"/>
      <c r="G234" s="9"/>
      <c r="H234" s="11"/>
      <c r="I234" s="9" t="s">
        <v>13</v>
      </c>
      <c r="J234" s="81"/>
      <c r="K234" s="81"/>
    </row>
    <row r="235">
      <c r="A235" s="78" t="s">
        <v>334</v>
      </c>
      <c r="B235" s="47"/>
      <c r="C235" s="80" t="s">
        <v>11</v>
      </c>
      <c r="D235" s="80" t="str">
        <f t="shared" si="1"/>
        <v>-</v>
      </c>
      <c r="E235" s="9"/>
      <c r="F235" s="10"/>
      <c r="G235" s="9"/>
      <c r="H235" s="11"/>
      <c r="I235" s="9" t="s">
        <v>13</v>
      </c>
      <c r="J235" s="81"/>
      <c r="K235" s="81"/>
    </row>
    <row r="236">
      <c r="A236" s="78" t="s">
        <v>334</v>
      </c>
      <c r="B236" s="47"/>
      <c r="C236" s="80" t="s">
        <v>11</v>
      </c>
      <c r="D236" s="80" t="str">
        <f t="shared" si="1"/>
        <v>-</v>
      </c>
      <c r="E236" s="9"/>
      <c r="F236" s="10"/>
      <c r="G236" s="9"/>
      <c r="H236" s="11"/>
      <c r="I236" s="9" t="s">
        <v>13</v>
      </c>
      <c r="J236" s="81"/>
      <c r="K236" s="81"/>
    </row>
    <row r="237">
      <c r="A237" s="78" t="s">
        <v>334</v>
      </c>
      <c r="B237" s="47"/>
      <c r="C237" s="80" t="s">
        <v>11</v>
      </c>
      <c r="D237" s="80" t="str">
        <f t="shared" si="1"/>
        <v>-</v>
      </c>
      <c r="E237" s="9"/>
      <c r="F237" s="10"/>
      <c r="G237" s="9"/>
      <c r="H237" s="11"/>
      <c r="I237" s="9" t="s">
        <v>13</v>
      </c>
      <c r="J237" s="81"/>
      <c r="K237" s="81"/>
    </row>
    <row r="238">
      <c r="A238" s="78" t="s">
        <v>334</v>
      </c>
      <c r="B238" s="47"/>
      <c r="C238" s="80" t="s">
        <v>11</v>
      </c>
      <c r="D238" s="80" t="str">
        <f t="shared" si="1"/>
        <v>-</v>
      </c>
      <c r="E238" s="9"/>
      <c r="F238" s="10"/>
      <c r="G238" s="9"/>
      <c r="H238" s="11"/>
      <c r="I238" s="9" t="s">
        <v>13</v>
      </c>
      <c r="J238" s="81"/>
      <c r="K238" s="81"/>
    </row>
    <row r="239">
      <c r="A239" s="78" t="s">
        <v>334</v>
      </c>
      <c r="B239" s="47"/>
      <c r="C239" s="80" t="s">
        <v>11</v>
      </c>
      <c r="D239" s="80" t="str">
        <f t="shared" si="1"/>
        <v>-</v>
      </c>
      <c r="E239" s="9"/>
      <c r="F239" s="10"/>
      <c r="G239" s="9"/>
      <c r="H239" s="11"/>
      <c r="I239" s="9" t="s">
        <v>13</v>
      </c>
      <c r="J239" s="81"/>
      <c r="K239" s="81"/>
    </row>
    <row r="240">
      <c r="A240" s="78" t="s">
        <v>334</v>
      </c>
      <c r="B240" s="47"/>
      <c r="C240" s="80" t="s">
        <v>11</v>
      </c>
      <c r="D240" s="80" t="str">
        <f t="shared" si="1"/>
        <v>-</v>
      </c>
      <c r="E240" s="9"/>
      <c r="F240" s="10"/>
      <c r="G240" s="9"/>
      <c r="H240" s="11"/>
      <c r="I240" s="9" t="s">
        <v>13</v>
      </c>
      <c r="J240" s="81"/>
      <c r="K240" s="81"/>
    </row>
    <row r="241">
      <c r="A241" s="78" t="s">
        <v>334</v>
      </c>
      <c r="B241" s="47"/>
      <c r="C241" s="80" t="s">
        <v>11</v>
      </c>
      <c r="D241" s="80" t="str">
        <f t="shared" si="1"/>
        <v>-</v>
      </c>
      <c r="E241" s="9"/>
      <c r="F241" s="10"/>
      <c r="G241" s="9"/>
      <c r="H241" s="11"/>
      <c r="I241" s="9" t="s">
        <v>13</v>
      </c>
      <c r="J241" s="81"/>
      <c r="K241" s="81"/>
    </row>
    <row r="242">
      <c r="A242" s="78" t="s">
        <v>334</v>
      </c>
      <c r="B242" s="47"/>
      <c r="C242" s="80" t="s">
        <v>11</v>
      </c>
      <c r="D242" s="80" t="str">
        <f t="shared" si="1"/>
        <v>-</v>
      </c>
      <c r="E242" s="9"/>
      <c r="F242" s="10"/>
      <c r="G242" s="9"/>
      <c r="H242" s="11"/>
      <c r="I242" s="9" t="s">
        <v>13</v>
      </c>
      <c r="J242" s="81"/>
      <c r="K242" s="81"/>
    </row>
    <row r="243">
      <c r="A243" s="78" t="s">
        <v>334</v>
      </c>
      <c r="B243" s="47"/>
      <c r="C243" s="80" t="s">
        <v>11</v>
      </c>
      <c r="D243" s="80" t="str">
        <f t="shared" si="1"/>
        <v>-</v>
      </c>
      <c r="E243" s="9"/>
      <c r="F243" s="10"/>
      <c r="G243" s="9"/>
      <c r="H243" s="11"/>
      <c r="I243" s="9" t="s">
        <v>13</v>
      </c>
      <c r="J243" s="81"/>
      <c r="K243" s="81"/>
    </row>
    <row r="244">
      <c r="A244" s="78" t="s">
        <v>334</v>
      </c>
      <c r="B244" s="47"/>
      <c r="C244" s="80" t="s">
        <v>11</v>
      </c>
      <c r="D244" s="80" t="str">
        <f t="shared" si="1"/>
        <v>-</v>
      </c>
      <c r="E244" s="9"/>
      <c r="F244" s="10"/>
      <c r="G244" s="9"/>
      <c r="H244" s="11"/>
      <c r="I244" s="9" t="s">
        <v>13</v>
      </c>
      <c r="J244" s="81"/>
      <c r="K244" s="81"/>
    </row>
    <row r="245">
      <c r="A245" s="78" t="s">
        <v>334</v>
      </c>
      <c r="B245" s="47"/>
      <c r="C245" s="80" t="s">
        <v>11</v>
      </c>
      <c r="D245" s="80" t="str">
        <f t="shared" si="1"/>
        <v>-</v>
      </c>
      <c r="E245" s="9"/>
      <c r="F245" s="10"/>
      <c r="G245" s="9"/>
      <c r="H245" s="11"/>
      <c r="I245" s="9" t="s">
        <v>13</v>
      </c>
      <c r="J245" s="81"/>
      <c r="K245" s="81"/>
    </row>
    <row r="246">
      <c r="A246" s="78" t="s">
        <v>334</v>
      </c>
      <c r="B246" s="47"/>
      <c r="C246" s="80" t="s">
        <v>11</v>
      </c>
      <c r="D246" s="80" t="str">
        <f t="shared" si="1"/>
        <v>-</v>
      </c>
      <c r="E246" s="9"/>
      <c r="F246" s="10"/>
      <c r="G246" s="9"/>
      <c r="H246" s="11"/>
      <c r="I246" s="9" t="s">
        <v>13</v>
      </c>
      <c r="J246" s="81"/>
      <c r="K246" s="81"/>
    </row>
    <row r="247">
      <c r="A247" s="78" t="s">
        <v>334</v>
      </c>
      <c r="B247" s="47"/>
      <c r="C247" s="80" t="s">
        <v>11</v>
      </c>
      <c r="D247" s="80" t="str">
        <f t="shared" si="1"/>
        <v>-</v>
      </c>
      <c r="E247" s="9"/>
      <c r="F247" s="10"/>
      <c r="G247" s="9"/>
      <c r="H247" s="11"/>
      <c r="I247" s="9" t="s">
        <v>13</v>
      </c>
      <c r="J247" s="81"/>
      <c r="K247" s="81"/>
    </row>
    <row r="248">
      <c r="A248" s="78" t="s">
        <v>334</v>
      </c>
      <c r="B248" s="47"/>
      <c r="C248" s="80" t="s">
        <v>11</v>
      </c>
      <c r="D248" s="80" t="str">
        <f t="shared" si="1"/>
        <v>-</v>
      </c>
      <c r="E248" s="9"/>
      <c r="F248" s="10"/>
      <c r="G248" s="9"/>
      <c r="H248" s="11"/>
      <c r="I248" s="9" t="s">
        <v>13</v>
      </c>
      <c r="J248" s="81"/>
      <c r="K248" s="81"/>
    </row>
    <row r="249">
      <c r="A249" s="78" t="s">
        <v>334</v>
      </c>
      <c r="B249" s="47"/>
      <c r="C249" s="80" t="s">
        <v>11</v>
      </c>
      <c r="D249" s="80" t="str">
        <f t="shared" si="1"/>
        <v>-</v>
      </c>
      <c r="E249" s="9"/>
      <c r="F249" s="10"/>
      <c r="G249" s="9"/>
      <c r="H249" s="11"/>
      <c r="I249" s="9" t="s">
        <v>13</v>
      </c>
      <c r="J249" s="81"/>
      <c r="K249" s="81"/>
    </row>
    <row r="250">
      <c r="A250" s="78" t="s">
        <v>334</v>
      </c>
      <c r="B250" s="47"/>
      <c r="C250" s="80" t="s">
        <v>11</v>
      </c>
      <c r="D250" s="80" t="str">
        <f t="shared" si="1"/>
        <v>-</v>
      </c>
      <c r="E250" s="9"/>
      <c r="F250" s="10"/>
      <c r="G250" s="9"/>
      <c r="H250" s="11"/>
      <c r="I250" s="9" t="s">
        <v>13</v>
      </c>
      <c r="J250" s="81"/>
      <c r="K250" s="81"/>
    </row>
    <row r="251">
      <c r="A251" s="78" t="s">
        <v>334</v>
      </c>
      <c r="B251" s="47"/>
      <c r="C251" s="80" t="s">
        <v>11</v>
      </c>
      <c r="D251" s="80" t="str">
        <f t="shared" si="1"/>
        <v>-</v>
      </c>
      <c r="E251" s="9"/>
      <c r="F251" s="10"/>
      <c r="G251" s="9"/>
      <c r="H251" s="11"/>
      <c r="I251" s="9" t="s">
        <v>13</v>
      </c>
      <c r="J251" s="81"/>
      <c r="K251" s="81"/>
    </row>
    <row r="252">
      <c r="A252" s="78" t="s">
        <v>334</v>
      </c>
      <c r="B252" s="47"/>
      <c r="C252" s="80" t="s">
        <v>11</v>
      </c>
      <c r="D252" s="80" t="str">
        <f t="shared" si="1"/>
        <v>-</v>
      </c>
      <c r="E252" s="9"/>
      <c r="F252" s="10"/>
      <c r="G252" s="9"/>
      <c r="H252" s="11"/>
      <c r="I252" s="9" t="s">
        <v>13</v>
      </c>
      <c r="J252" s="81"/>
      <c r="K252" s="81"/>
    </row>
    <row r="253">
      <c r="A253" s="78" t="s">
        <v>334</v>
      </c>
      <c r="B253" s="47"/>
      <c r="C253" s="80" t="s">
        <v>11</v>
      </c>
      <c r="D253" s="80" t="str">
        <f t="shared" si="1"/>
        <v>-</v>
      </c>
      <c r="E253" s="9"/>
      <c r="F253" s="10"/>
      <c r="G253" s="9"/>
      <c r="H253" s="11"/>
      <c r="I253" s="9" t="s">
        <v>13</v>
      </c>
      <c r="J253" s="81"/>
      <c r="K253" s="81"/>
    </row>
    <row r="254">
      <c r="A254" s="78" t="s">
        <v>334</v>
      </c>
      <c r="B254" s="47"/>
      <c r="C254" s="80" t="s">
        <v>11</v>
      </c>
      <c r="D254" s="80" t="str">
        <f t="shared" si="1"/>
        <v>-</v>
      </c>
      <c r="E254" s="9"/>
      <c r="F254" s="10"/>
      <c r="G254" s="9"/>
      <c r="H254" s="11"/>
      <c r="I254" s="9" t="s">
        <v>13</v>
      </c>
      <c r="J254" s="81"/>
      <c r="K254" s="81"/>
    </row>
    <row r="255">
      <c r="A255" s="78" t="s">
        <v>334</v>
      </c>
      <c r="B255" s="47"/>
      <c r="C255" s="80" t="s">
        <v>11</v>
      </c>
      <c r="D255" s="80" t="str">
        <f t="shared" si="1"/>
        <v>-</v>
      </c>
      <c r="E255" s="9"/>
      <c r="F255" s="10"/>
      <c r="G255" s="9"/>
      <c r="H255" s="11"/>
      <c r="I255" s="9" t="s">
        <v>13</v>
      </c>
      <c r="J255" s="81"/>
      <c r="K255" s="81"/>
    </row>
    <row r="256">
      <c r="A256" s="78" t="s">
        <v>334</v>
      </c>
      <c r="B256" s="47"/>
      <c r="C256" s="80" t="s">
        <v>11</v>
      </c>
      <c r="D256" s="80" t="str">
        <f t="shared" si="1"/>
        <v>-</v>
      </c>
      <c r="E256" s="9"/>
      <c r="F256" s="10"/>
      <c r="G256" s="9"/>
      <c r="H256" s="11"/>
      <c r="I256" s="9" t="s">
        <v>13</v>
      </c>
      <c r="J256" s="81"/>
      <c r="K256" s="81"/>
    </row>
    <row r="257">
      <c r="A257" s="78" t="s">
        <v>334</v>
      </c>
      <c r="B257" s="47"/>
      <c r="C257" s="80" t="s">
        <v>11</v>
      </c>
      <c r="D257" s="80" t="str">
        <f t="shared" si="1"/>
        <v>-</v>
      </c>
      <c r="E257" s="9"/>
      <c r="F257" s="10"/>
      <c r="G257" s="9"/>
      <c r="H257" s="11"/>
      <c r="I257" s="9" t="s">
        <v>13</v>
      </c>
      <c r="J257" s="81"/>
      <c r="K257" s="81"/>
    </row>
    <row r="258">
      <c r="A258" s="78" t="s">
        <v>334</v>
      </c>
      <c r="B258" s="47"/>
      <c r="C258" s="80" t="s">
        <v>11</v>
      </c>
      <c r="D258" s="80" t="str">
        <f t="shared" si="1"/>
        <v>-</v>
      </c>
      <c r="E258" s="9"/>
      <c r="F258" s="10"/>
      <c r="G258" s="9"/>
      <c r="H258" s="11"/>
      <c r="I258" s="9" t="s">
        <v>13</v>
      </c>
      <c r="J258" s="81"/>
      <c r="K258" s="81"/>
    </row>
    <row r="259">
      <c r="A259" s="78" t="s">
        <v>334</v>
      </c>
      <c r="B259" s="47"/>
      <c r="C259" s="80" t="s">
        <v>11</v>
      </c>
      <c r="D259" s="80" t="str">
        <f t="shared" si="1"/>
        <v>-</v>
      </c>
      <c r="E259" s="9"/>
      <c r="F259" s="10"/>
      <c r="G259" s="9"/>
      <c r="H259" s="11"/>
      <c r="I259" s="9" t="s">
        <v>13</v>
      </c>
      <c r="J259" s="81"/>
      <c r="K259" s="81"/>
    </row>
    <row r="260">
      <c r="A260" s="78" t="s">
        <v>334</v>
      </c>
      <c r="B260" s="47"/>
      <c r="C260" s="80" t="s">
        <v>11</v>
      </c>
      <c r="D260" s="80" t="str">
        <f t="shared" si="1"/>
        <v>-</v>
      </c>
      <c r="E260" s="9"/>
      <c r="F260" s="10"/>
      <c r="G260" s="9"/>
      <c r="H260" s="11"/>
      <c r="I260" s="9" t="s">
        <v>13</v>
      </c>
      <c r="J260" s="81"/>
      <c r="K260" s="81"/>
    </row>
    <row r="261">
      <c r="A261" s="78" t="s">
        <v>334</v>
      </c>
      <c r="B261" s="47"/>
      <c r="C261" s="80" t="s">
        <v>11</v>
      </c>
      <c r="D261" s="80" t="str">
        <f t="shared" si="1"/>
        <v>-</v>
      </c>
      <c r="E261" s="9"/>
      <c r="F261" s="10"/>
      <c r="G261" s="9"/>
      <c r="H261" s="11"/>
      <c r="I261" s="9" t="s">
        <v>13</v>
      </c>
      <c r="J261" s="81"/>
      <c r="K261" s="81"/>
    </row>
    <row r="262">
      <c r="A262" s="78" t="s">
        <v>334</v>
      </c>
      <c r="B262" s="47"/>
      <c r="C262" s="80" t="s">
        <v>11</v>
      </c>
      <c r="D262" s="80" t="str">
        <f t="shared" si="1"/>
        <v>-</v>
      </c>
      <c r="E262" s="9"/>
      <c r="F262" s="10"/>
      <c r="G262" s="9"/>
      <c r="H262" s="11"/>
      <c r="I262" s="9" t="s">
        <v>13</v>
      </c>
      <c r="J262" s="81"/>
      <c r="K262" s="81"/>
    </row>
    <row r="263">
      <c r="A263" s="78" t="s">
        <v>334</v>
      </c>
      <c r="B263" s="47"/>
      <c r="C263" s="80" t="s">
        <v>11</v>
      </c>
      <c r="D263" s="80" t="str">
        <f t="shared" si="1"/>
        <v>-</v>
      </c>
      <c r="E263" s="9"/>
      <c r="F263" s="10"/>
      <c r="G263" s="9"/>
      <c r="H263" s="11"/>
      <c r="I263" s="9" t="s">
        <v>13</v>
      </c>
      <c r="J263" s="81"/>
      <c r="K263" s="81"/>
    </row>
    <row r="264">
      <c r="A264" s="78" t="s">
        <v>334</v>
      </c>
      <c r="B264" s="47"/>
      <c r="C264" s="80" t="s">
        <v>11</v>
      </c>
      <c r="D264" s="80" t="str">
        <f t="shared" si="1"/>
        <v>-</v>
      </c>
      <c r="E264" s="9"/>
      <c r="F264" s="10"/>
      <c r="G264" s="9"/>
      <c r="H264" s="11"/>
      <c r="I264" s="9" t="s">
        <v>13</v>
      </c>
      <c r="J264" s="81"/>
      <c r="K264" s="81"/>
    </row>
    <row r="265">
      <c r="A265" s="78" t="s">
        <v>334</v>
      </c>
      <c r="B265" s="47"/>
      <c r="C265" s="80" t="s">
        <v>11</v>
      </c>
      <c r="D265" s="80" t="str">
        <f t="shared" si="1"/>
        <v>-</v>
      </c>
      <c r="E265" s="9"/>
      <c r="F265" s="10"/>
      <c r="G265" s="9"/>
      <c r="H265" s="11"/>
      <c r="I265" s="9" t="s">
        <v>13</v>
      </c>
      <c r="J265" s="81"/>
      <c r="K265" s="81"/>
    </row>
    <row r="266">
      <c r="A266" s="78" t="s">
        <v>334</v>
      </c>
      <c r="B266" s="47"/>
      <c r="C266" s="80" t="s">
        <v>11</v>
      </c>
      <c r="D266" s="80" t="str">
        <f t="shared" si="1"/>
        <v>-</v>
      </c>
      <c r="E266" s="9"/>
      <c r="F266" s="10"/>
      <c r="G266" s="9"/>
      <c r="H266" s="11"/>
      <c r="I266" s="9" t="s">
        <v>13</v>
      </c>
      <c r="J266" s="81"/>
      <c r="K266" s="81"/>
    </row>
    <row r="267">
      <c r="A267" s="78" t="s">
        <v>334</v>
      </c>
      <c r="B267" s="47"/>
      <c r="C267" s="80" t="s">
        <v>11</v>
      </c>
      <c r="D267" s="80" t="str">
        <f t="shared" si="1"/>
        <v>-</v>
      </c>
      <c r="E267" s="9"/>
      <c r="F267" s="10"/>
      <c r="G267" s="9"/>
      <c r="H267" s="11"/>
      <c r="I267" s="9" t="s">
        <v>13</v>
      </c>
      <c r="J267" s="81"/>
      <c r="K267" s="81"/>
    </row>
    <row r="268">
      <c r="A268" s="78" t="s">
        <v>334</v>
      </c>
      <c r="B268" s="47"/>
      <c r="C268" s="80" t="s">
        <v>11</v>
      </c>
      <c r="D268" s="80" t="str">
        <f t="shared" si="1"/>
        <v>-</v>
      </c>
      <c r="E268" s="9"/>
      <c r="F268" s="10"/>
      <c r="G268" s="9"/>
      <c r="H268" s="11"/>
      <c r="I268" s="9" t="s">
        <v>13</v>
      </c>
      <c r="J268" s="81"/>
      <c r="K268" s="81"/>
    </row>
    <row r="269">
      <c r="A269" s="78" t="s">
        <v>334</v>
      </c>
      <c r="B269" s="47"/>
      <c r="C269" s="80" t="s">
        <v>11</v>
      </c>
      <c r="D269" s="80" t="str">
        <f t="shared" si="1"/>
        <v>-</v>
      </c>
      <c r="E269" s="9"/>
      <c r="F269" s="10"/>
      <c r="G269" s="9"/>
      <c r="H269" s="11"/>
      <c r="I269" s="9" t="s">
        <v>13</v>
      </c>
      <c r="J269" s="81"/>
      <c r="K269" s="81"/>
    </row>
    <row r="270">
      <c r="A270" s="78" t="s">
        <v>334</v>
      </c>
      <c r="B270" s="47"/>
      <c r="C270" s="80" t="s">
        <v>11</v>
      </c>
      <c r="D270" s="80" t="str">
        <f t="shared" si="1"/>
        <v>-</v>
      </c>
      <c r="E270" s="9"/>
      <c r="F270" s="10"/>
      <c r="G270" s="9"/>
      <c r="H270" s="11"/>
      <c r="I270" s="9" t="s">
        <v>13</v>
      </c>
      <c r="J270" s="81"/>
      <c r="K270" s="81"/>
    </row>
    <row r="271">
      <c r="A271" s="78" t="s">
        <v>334</v>
      </c>
      <c r="B271" s="47"/>
      <c r="C271" s="80" t="s">
        <v>11</v>
      </c>
      <c r="D271" s="80" t="str">
        <f t="shared" si="1"/>
        <v>-</v>
      </c>
      <c r="E271" s="9"/>
      <c r="F271" s="10"/>
      <c r="G271" s="9"/>
      <c r="H271" s="11"/>
      <c r="I271" s="9" t="s">
        <v>13</v>
      </c>
      <c r="J271" s="81"/>
      <c r="K271" s="81"/>
    </row>
    <row r="272">
      <c r="A272" s="78" t="s">
        <v>334</v>
      </c>
      <c r="B272" s="47"/>
      <c r="C272" s="80" t="s">
        <v>11</v>
      </c>
      <c r="D272" s="80" t="str">
        <f t="shared" si="1"/>
        <v>-</v>
      </c>
      <c r="E272" s="9"/>
      <c r="F272" s="10"/>
      <c r="G272" s="9"/>
      <c r="H272" s="11"/>
      <c r="I272" s="9" t="s">
        <v>13</v>
      </c>
      <c r="J272" s="81"/>
      <c r="K272" s="81"/>
    </row>
    <row r="273">
      <c r="A273" s="78" t="s">
        <v>334</v>
      </c>
      <c r="B273" s="47"/>
      <c r="C273" s="80" t="s">
        <v>11</v>
      </c>
      <c r="D273" s="80" t="str">
        <f t="shared" si="1"/>
        <v>-</v>
      </c>
      <c r="E273" s="9"/>
      <c r="F273" s="10"/>
      <c r="G273" s="9"/>
      <c r="H273" s="11"/>
      <c r="I273" s="9" t="s">
        <v>13</v>
      </c>
      <c r="J273" s="81"/>
      <c r="K273" s="81"/>
    </row>
    <row r="274">
      <c r="A274" s="78" t="s">
        <v>334</v>
      </c>
      <c r="B274" s="47"/>
      <c r="C274" s="80" t="s">
        <v>11</v>
      </c>
      <c r="D274" s="80" t="str">
        <f t="shared" si="1"/>
        <v>-</v>
      </c>
      <c r="E274" s="9"/>
      <c r="F274" s="10"/>
      <c r="G274" s="9"/>
      <c r="H274" s="11"/>
      <c r="I274" s="9" t="s">
        <v>13</v>
      </c>
      <c r="J274" s="81"/>
      <c r="K274" s="81"/>
    </row>
    <row r="275">
      <c r="A275" s="78" t="s">
        <v>334</v>
      </c>
      <c r="B275" s="47"/>
      <c r="C275" s="80" t="s">
        <v>11</v>
      </c>
      <c r="D275" s="80" t="str">
        <f t="shared" si="1"/>
        <v>-</v>
      </c>
      <c r="E275" s="9"/>
      <c r="F275" s="10"/>
      <c r="G275" s="9"/>
      <c r="H275" s="11"/>
      <c r="I275" s="9" t="s">
        <v>13</v>
      </c>
      <c r="J275" s="81"/>
      <c r="K275" s="81"/>
    </row>
    <row r="276">
      <c r="A276" s="78" t="s">
        <v>334</v>
      </c>
      <c r="B276" s="47"/>
      <c r="C276" s="80" t="s">
        <v>11</v>
      </c>
      <c r="D276" s="80" t="str">
        <f t="shared" si="1"/>
        <v>-</v>
      </c>
      <c r="E276" s="9"/>
      <c r="F276" s="10"/>
      <c r="G276" s="9"/>
      <c r="H276" s="11"/>
      <c r="I276" s="9" t="s">
        <v>13</v>
      </c>
      <c r="J276" s="81"/>
      <c r="K276" s="81"/>
    </row>
    <row r="277">
      <c r="A277" s="78" t="s">
        <v>334</v>
      </c>
      <c r="B277" s="47"/>
      <c r="C277" s="80" t="s">
        <v>11</v>
      </c>
      <c r="D277" s="80" t="str">
        <f t="shared" si="1"/>
        <v>-</v>
      </c>
      <c r="E277" s="9"/>
      <c r="F277" s="10"/>
      <c r="G277" s="9"/>
      <c r="H277" s="11"/>
      <c r="I277" s="9" t="s">
        <v>13</v>
      </c>
      <c r="J277" s="81"/>
      <c r="K277" s="81"/>
    </row>
    <row r="278">
      <c r="A278" s="78" t="s">
        <v>334</v>
      </c>
      <c r="B278" s="47"/>
      <c r="C278" s="80" t="s">
        <v>11</v>
      </c>
      <c r="D278" s="80" t="str">
        <f t="shared" si="1"/>
        <v>-</v>
      </c>
      <c r="E278" s="9"/>
      <c r="F278" s="10"/>
      <c r="G278" s="9"/>
      <c r="H278" s="11"/>
      <c r="I278" s="9" t="s">
        <v>13</v>
      </c>
      <c r="J278" s="81"/>
      <c r="K278" s="81"/>
    </row>
    <row r="279">
      <c r="A279" s="78" t="s">
        <v>334</v>
      </c>
      <c r="B279" s="47"/>
      <c r="C279" s="80" t="s">
        <v>11</v>
      </c>
      <c r="D279" s="80" t="str">
        <f t="shared" si="1"/>
        <v>-</v>
      </c>
      <c r="E279" s="9"/>
      <c r="F279" s="10"/>
      <c r="G279" s="9"/>
      <c r="H279" s="11"/>
      <c r="I279" s="9" t="s">
        <v>13</v>
      </c>
      <c r="J279" s="81"/>
      <c r="K279" s="81"/>
    </row>
    <row r="280">
      <c r="A280" s="78" t="s">
        <v>334</v>
      </c>
      <c r="B280" s="47"/>
      <c r="C280" s="80" t="s">
        <v>11</v>
      </c>
      <c r="D280" s="80" t="str">
        <f t="shared" si="1"/>
        <v>-</v>
      </c>
      <c r="E280" s="9"/>
      <c r="F280" s="10"/>
      <c r="G280" s="9"/>
      <c r="H280" s="11"/>
      <c r="I280" s="9" t="s">
        <v>13</v>
      </c>
      <c r="J280" s="81"/>
      <c r="K280" s="81"/>
    </row>
    <row r="281">
      <c r="A281" s="78" t="s">
        <v>334</v>
      </c>
      <c r="B281" s="47"/>
      <c r="C281" s="80" t="s">
        <v>11</v>
      </c>
      <c r="D281" s="80" t="str">
        <f t="shared" si="1"/>
        <v>-</v>
      </c>
      <c r="E281" s="9"/>
      <c r="F281" s="10"/>
      <c r="G281" s="9"/>
      <c r="H281" s="11"/>
      <c r="I281" s="9" t="s">
        <v>13</v>
      </c>
      <c r="J281" s="81"/>
      <c r="K281" s="81"/>
    </row>
    <row r="282">
      <c r="A282" s="78" t="s">
        <v>334</v>
      </c>
      <c r="B282" s="47"/>
      <c r="C282" s="80" t="s">
        <v>11</v>
      </c>
      <c r="D282" s="80" t="str">
        <f t="shared" si="1"/>
        <v>-</v>
      </c>
      <c r="E282" s="9"/>
      <c r="F282" s="10"/>
      <c r="G282" s="9"/>
      <c r="H282" s="11"/>
      <c r="I282" s="9" t="s">
        <v>13</v>
      </c>
      <c r="J282" s="81"/>
      <c r="K282" s="81"/>
    </row>
    <row r="283">
      <c r="A283" s="78" t="s">
        <v>334</v>
      </c>
      <c r="B283" s="47"/>
      <c r="C283" s="80" t="s">
        <v>11</v>
      </c>
      <c r="D283" s="80" t="str">
        <f t="shared" si="1"/>
        <v>-</v>
      </c>
      <c r="E283" s="9"/>
      <c r="F283" s="10"/>
      <c r="G283" s="9"/>
      <c r="H283" s="11"/>
      <c r="I283" s="9" t="s">
        <v>13</v>
      </c>
      <c r="J283" s="81"/>
      <c r="K283" s="81"/>
    </row>
    <row r="284">
      <c r="A284" s="78" t="s">
        <v>334</v>
      </c>
      <c r="B284" s="47"/>
      <c r="C284" s="80" t="s">
        <v>11</v>
      </c>
      <c r="D284" s="80" t="str">
        <f t="shared" si="1"/>
        <v>-</v>
      </c>
      <c r="E284" s="9"/>
      <c r="F284" s="10"/>
      <c r="G284" s="9"/>
      <c r="H284" s="11"/>
      <c r="I284" s="9" t="s">
        <v>13</v>
      </c>
      <c r="J284" s="81"/>
      <c r="K284" s="81"/>
    </row>
    <row r="285">
      <c r="A285" s="78" t="s">
        <v>334</v>
      </c>
      <c r="B285" s="47"/>
      <c r="C285" s="80" t="s">
        <v>11</v>
      </c>
      <c r="D285" s="80" t="str">
        <f t="shared" si="1"/>
        <v>-</v>
      </c>
      <c r="E285" s="9"/>
      <c r="F285" s="10"/>
      <c r="G285" s="9"/>
      <c r="H285" s="11"/>
      <c r="I285" s="9" t="s">
        <v>13</v>
      </c>
      <c r="J285" s="81"/>
      <c r="K285" s="81"/>
    </row>
    <row r="286">
      <c r="A286" s="78" t="s">
        <v>334</v>
      </c>
      <c r="B286" s="47"/>
      <c r="C286" s="80" t="s">
        <v>11</v>
      </c>
      <c r="D286" s="80" t="str">
        <f t="shared" si="1"/>
        <v>-</v>
      </c>
      <c r="E286" s="9"/>
      <c r="F286" s="10"/>
      <c r="G286" s="9"/>
      <c r="H286" s="11"/>
      <c r="I286" s="9" t="s">
        <v>13</v>
      </c>
      <c r="J286" s="81"/>
      <c r="K286" s="81"/>
    </row>
    <row r="287">
      <c r="A287" s="78" t="s">
        <v>334</v>
      </c>
      <c r="B287" s="47"/>
      <c r="C287" s="80" t="s">
        <v>11</v>
      </c>
      <c r="D287" s="80" t="str">
        <f t="shared" si="1"/>
        <v>-</v>
      </c>
      <c r="E287" s="9"/>
      <c r="F287" s="10"/>
      <c r="G287" s="9"/>
      <c r="H287" s="11"/>
      <c r="I287" s="9" t="s">
        <v>13</v>
      </c>
      <c r="J287" s="81"/>
      <c r="K287" s="81"/>
    </row>
    <row r="288">
      <c r="A288" s="78" t="s">
        <v>334</v>
      </c>
      <c r="B288" s="47"/>
      <c r="C288" s="80" t="s">
        <v>11</v>
      </c>
      <c r="D288" s="80" t="str">
        <f t="shared" si="1"/>
        <v>-</v>
      </c>
      <c r="E288" s="9"/>
      <c r="F288" s="10"/>
      <c r="G288" s="9"/>
      <c r="H288" s="11"/>
      <c r="I288" s="9" t="s">
        <v>13</v>
      </c>
      <c r="J288" s="81"/>
      <c r="K288" s="81"/>
    </row>
    <row r="289">
      <c r="A289" s="78" t="s">
        <v>334</v>
      </c>
      <c r="B289" s="47"/>
      <c r="C289" s="80" t="s">
        <v>11</v>
      </c>
      <c r="D289" s="80" t="str">
        <f t="shared" si="1"/>
        <v>-</v>
      </c>
      <c r="E289" s="9"/>
      <c r="F289" s="10"/>
      <c r="G289" s="9"/>
      <c r="H289" s="11"/>
      <c r="I289" s="9" t="s">
        <v>13</v>
      </c>
      <c r="J289" s="81"/>
      <c r="K289" s="81"/>
    </row>
    <row r="290">
      <c r="A290" s="78" t="s">
        <v>334</v>
      </c>
      <c r="B290" s="47"/>
      <c r="C290" s="80" t="s">
        <v>11</v>
      </c>
      <c r="D290" s="80" t="str">
        <f t="shared" si="1"/>
        <v>-</v>
      </c>
      <c r="E290" s="9"/>
      <c r="F290" s="10"/>
      <c r="G290" s="9"/>
      <c r="H290" s="11"/>
      <c r="I290" s="9" t="s">
        <v>13</v>
      </c>
      <c r="J290" s="81"/>
      <c r="K290" s="81"/>
    </row>
    <row r="291">
      <c r="A291" s="78" t="s">
        <v>334</v>
      </c>
      <c r="B291" s="47"/>
      <c r="C291" s="80" t="s">
        <v>11</v>
      </c>
      <c r="D291" s="80" t="str">
        <f t="shared" si="1"/>
        <v>-</v>
      </c>
      <c r="E291" s="9"/>
      <c r="F291" s="10"/>
      <c r="G291" s="9"/>
      <c r="H291" s="11"/>
      <c r="I291" s="9" t="s">
        <v>13</v>
      </c>
      <c r="J291" s="81"/>
      <c r="K291" s="81"/>
    </row>
    <row r="292">
      <c r="A292" s="78" t="s">
        <v>334</v>
      </c>
      <c r="B292" s="47"/>
      <c r="C292" s="80" t="s">
        <v>11</v>
      </c>
      <c r="D292" s="80" t="str">
        <f t="shared" si="1"/>
        <v>-</v>
      </c>
      <c r="E292" s="9"/>
      <c r="F292" s="10"/>
      <c r="G292" s="9"/>
      <c r="H292" s="11"/>
      <c r="I292" s="9" t="s">
        <v>13</v>
      </c>
      <c r="J292" s="81"/>
      <c r="K292" s="81"/>
    </row>
    <row r="293">
      <c r="A293" s="78" t="s">
        <v>334</v>
      </c>
      <c r="B293" s="47"/>
      <c r="C293" s="80" t="s">
        <v>11</v>
      </c>
      <c r="D293" s="80" t="str">
        <f t="shared" si="1"/>
        <v>-</v>
      </c>
      <c r="E293" s="9"/>
      <c r="F293" s="10"/>
      <c r="G293" s="9"/>
      <c r="H293" s="11"/>
      <c r="I293" s="9" t="s">
        <v>13</v>
      </c>
      <c r="J293" s="81"/>
      <c r="K293" s="81"/>
    </row>
    <row r="294">
      <c r="A294" s="78" t="s">
        <v>334</v>
      </c>
      <c r="B294" s="47"/>
      <c r="C294" s="80" t="s">
        <v>11</v>
      </c>
      <c r="D294" s="80" t="str">
        <f t="shared" si="1"/>
        <v>-</v>
      </c>
      <c r="E294" s="9"/>
      <c r="F294" s="10"/>
      <c r="G294" s="9"/>
      <c r="H294" s="11"/>
      <c r="I294" s="9" t="s">
        <v>13</v>
      </c>
      <c r="J294" s="81"/>
      <c r="K294" s="81"/>
    </row>
    <row r="295">
      <c r="A295" s="78" t="s">
        <v>334</v>
      </c>
      <c r="B295" s="47"/>
      <c r="C295" s="80" t="s">
        <v>11</v>
      </c>
      <c r="D295" s="80" t="str">
        <f t="shared" si="1"/>
        <v>-</v>
      </c>
      <c r="E295" s="9"/>
      <c r="F295" s="10"/>
      <c r="G295" s="9"/>
      <c r="H295" s="11"/>
      <c r="I295" s="9" t="s">
        <v>13</v>
      </c>
      <c r="J295" s="81"/>
      <c r="K295" s="81"/>
    </row>
    <row r="296">
      <c r="A296" s="78" t="s">
        <v>334</v>
      </c>
      <c r="B296" s="47"/>
      <c r="C296" s="80" t="s">
        <v>11</v>
      </c>
      <c r="D296" s="80" t="str">
        <f t="shared" si="1"/>
        <v>-</v>
      </c>
      <c r="E296" s="9"/>
      <c r="F296" s="10"/>
      <c r="G296" s="9"/>
      <c r="H296" s="11"/>
      <c r="I296" s="9" t="s">
        <v>13</v>
      </c>
      <c r="J296" s="81"/>
      <c r="K296" s="81"/>
    </row>
    <row r="297">
      <c r="A297" s="78" t="s">
        <v>334</v>
      </c>
      <c r="B297" s="47"/>
      <c r="C297" s="80" t="s">
        <v>11</v>
      </c>
      <c r="D297" s="80" t="str">
        <f t="shared" si="1"/>
        <v>-</v>
      </c>
      <c r="E297" s="9"/>
      <c r="F297" s="10"/>
      <c r="G297" s="9"/>
      <c r="H297" s="11"/>
      <c r="I297" s="9" t="s">
        <v>13</v>
      </c>
      <c r="J297" s="81"/>
      <c r="K297" s="81"/>
    </row>
    <row r="298">
      <c r="A298" s="78" t="s">
        <v>334</v>
      </c>
      <c r="B298" s="47"/>
      <c r="C298" s="80" t="s">
        <v>11</v>
      </c>
      <c r="D298" s="80" t="str">
        <f t="shared" si="1"/>
        <v>-</v>
      </c>
      <c r="E298" s="9"/>
      <c r="F298" s="10"/>
      <c r="G298" s="9"/>
      <c r="H298" s="11"/>
      <c r="I298" s="9" t="s">
        <v>13</v>
      </c>
      <c r="J298" s="81"/>
      <c r="K298" s="81"/>
    </row>
    <row r="299">
      <c r="A299" s="78" t="s">
        <v>334</v>
      </c>
      <c r="B299" s="47"/>
      <c r="C299" s="80" t="s">
        <v>11</v>
      </c>
      <c r="D299" s="80" t="str">
        <f t="shared" si="1"/>
        <v>-</v>
      </c>
      <c r="E299" s="9"/>
      <c r="F299" s="10"/>
      <c r="G299" s="9"/>
      <c r="H299" s="11"/>
      <c r="I299" s="9" t="s">
        <v>13</v>
      </c>
      <c r="J299" s="81"/>
      <c r="K299" s="81"/>
    </row>
    <row r="300">
      <c r="A300" s="78" t="s">
        <v>334</v>
      </c>
      <c r="B300" s="47"/>
      <c r="C300" s="80" t="s">
        <v>11</v>
      </c>
      <c r="D300" s="80" t="str">
        <f t="shared" si="1"/>
        <v>-</v>
      </c>
      <c r="E300" s="9"/>
      <c r="F300" s="10"/>
      <c r="G300" s="9"/>
      <c r="H300" s="11"/>
      <c r="I300" s="9" t="s">
        <v>13</v>
      </c>
      <c r="J300" s="81"/>
      <c r="K300" s="81"/>
    </row>
    <row r="301">
      <c r="A301" s="78" t="s">
        <v>334</v>
      </c>
      <c r="B301" s="47"/>
      <c r="C301" s="80" t="s">
        <v>11</v>
      </c>
      <c r="D301" s="80" t="str">
        <f t="shared" si="1"/>
        <v>-</v>
      </c>
      <c r="E301" s="9"/>
      <c r="F301" s="10"/>
      <c r="G301" s="9"/>
      <c r="H301" s="11"/>
      <c r="I301" s="9" t="s">
        <v>13</v>
      </c>
      <c r="J301" s="81"/>
      <c r="K301" s="81"/>
    </row>
    <row r="302">
      <c r="A302" s="78" t="s">
        <v>334</v>
      </c>
      <c r="B302" s="47"/>
      <c r="C302" s="80" t="s">
        <v>11</v>
      </c>
      <c r="D302" s="80" t="str">
        <f t="shared" si="1"/>
        <v>-</v>
      </c>
      <c r="E302" s="9"/>
      <c r="F302" s="10"/>
      <c r="G302" s="9"/>
      <c r="H302" s="11"/>
      <c r="I302" s="9" t="s">
        <v>13</v>
      </c>
      <c r="J302" s="81"/>
      <c r="K302" s="81"/>
    </row>
    <row r="303">
      <c r="A303" s="78" t="s">
        <v>334</v>
      </c>
      <c r="B303" s="47"/>
      <c r="C303" s="80" t="s">
        <v>11</v>
      </c>
      <c r="D303" s="80" t="str">
        <f t="shared" si="1"/>
        <v>-</v>
      </c>
      <c r="E303" s="9"/>
      <c r="F303" s="10"/>
      <c r="G303" s="9"/>
      <c r="H303" s="11"/>
      <c r="I303" s="9" t="s">
        <v>13</v>
      </c>
      <c r="J303" s="81"/>
      <c r="K303" s="81"/>
    </row>
    <row r="304">
      <c r="A304" s="78" t="s">
        <v>334</v>
      </c>
      <c r="B304" s="47"/>
      <c r="C304" s="80" t="s">
        <v>11</v>
      </c>
      <c r="D304" s="80" t="str">
        <f t="shared" si="1"/>
        <v>-</v>
      </c>
      <c r="E304" s="9"/>
      <c r="F304" s="10"/>
      <c r="G304" s="9"/>
      <c r="H304" s="11"/>
      <c r="I304" s="9" t="s">
        <v>13</v>
      </c>
      <c r="J304" s="81"/>
      <c r="K304" s="81"/>
    </row>
    <row r="305">
      <c r="A305" s="78" t="s">
        <v>334</v>
      </c>
      <c r="B305" s="47"/>
      <c r="C305" s="80" t="s">
        <v>11</v>
      </c>
      <c r="D305" s="80" t="str">
        <f t="shared" si="1"/>
        <v>-</v>
      </c>
      <c r="E305" s="9"/>
      <c r="F305" s="10"/>
      <c r="G305" s="9"/>
      <c r="H305" s="11"/>
      <c r="I305" s="9" t="s">
        <v>13</v>
      </c>
      <c r="J305" s="81"/>
      <c r="K305" s="81"/>
    </row>
    <row r="306">
      <c r="A306" s="78" t="s">
        <v>334</v>
      </c>
      <c r="B306" s="47"/>
      <c r="C306" s="80" t="s">
        <v>11</v>
      </c>
      <c r="D306" s="80" t="str">
        <f t="shared" si="1"/>
        <v>-</v>
      </c>
      <c r="E306" s="9"/>
      <c r="F306" s="10"/>
      <c r="G306" s="9"/>
      <c r="H306" s="11"/>
      <c r="I306" s="9" t="s">
        <v>13</v>
      </c>
      <c r="J306" s="81"/>
      <c r="K306" s="81"/>
    </row>
    <row r="307">
      <c r="A307" s="78" t="s">
        <v>334</v>
      </c>
      <c r="B307" s="47"/>
      <c r="C307" s="80" t="s">
        <v>11</v>
      </c>
      <c r="D307" s="80" t="str">
        <f t="shared" si="1"/>
        <v>-</v>
      </c>
      <c r="E307" s="9"/>
      <c r="F307" s="10"/>
      <c r="G307" s="9"/>
      <c r="H307" s="11"/>
      <c r="I307" s="9" t="s">
        <v>13</v>
      </c>
      <c r="J307" s="81"/>
      <c r="K307" s="81"/>
    </row>
    <row r="308">
      <c r="A308" s="78" t="s">
        <v>334</v>
      </c>
      <c r="B308" s="47"/>
      <c r="C308" s="80" t="s">
        <v>11</v>
      </c>
      <c r="D308" s="80" t="str">
        <f t="shared" si="1"/>
        <v>-</v>
      </c>
      <c r="E308" s="9"/>
      <c r="F308" s="10"/>
      <c r="G308" s="9"/>
      <c r="H308" s="11"/>
      <c r="I308" s="9" t="s">
        <v>13</v>
      </c>
      <c r="J308" s="81"/>
      <c r="K308" s="81"/>
    </row>
    <row r="309">
      <c r="A309" s="78" t="s">
        <v>334</v>
      </c>
      <c r="B309" s="47"/>
      <c r="C309" s="80" t="s">
        <v>11</v>
      </c>
      <c r="D309" s="80" t="str">
        <f t="shared" si="1"/>
        <v>-</v>
      </c>
      <c r="E309" s="9"/>
      <c r="F309" s="10"/>
      <c r="G309" s="9"/>
      <c r="H309" s="11"/>
      <c r="I309" s="9" t="s">
        <v>13</v>
      </c>
      <c r="J309" s="81"/>
      <c r="K309" s="81"/>
    </row>
    <row r="310">
      <c r="A310" s="78" t="s">
        <v>334</v>
      </c>
      <c r="B310" s="47"/>
      <c r="C310" s="80" t="s">
        <v>11</v>
      </c>
      <c r="D310" s="80" t="str">
        <f t="shared" si="1"/>
        <v>-</v>
      </c>
      <c r="E310" s="9"/>
      <c r="F310" s="10"/>
      <c r="G310" s="9"/>
      <c r="H310" s="11"/>
      <c r="I310" s="9" t="s">
        <v>13</v>
      </c>
      <c r="J310" s="81"/>
      <c r="K310" s="81"/>
    </row>
    <row r="311">
      <c r="A311" s="78" t="s">
        <v>334</v>
      </c>
      <c r="B311" s="47"/>
      <c r="C311" s="80" t="s">
        <v>11</v>
      </c>
      <c r="D311" s="80" t="str">
        <f t="shared" si="1"/>
        <v>-</v>
      </c>
      <c r="E311" s="9"/>
      <c r="F311" s="10"/>
      <c r="G311" s="9"/>
      <c r="H311" s="11"/>
      <c r="I311" s="9" t="s">
        <v>13</v>
      </c>
      <c r="J311" s="81"/>
      <c r="K311" s="81"/>
    </row>
    <row r="312">
      <c r="A312" s="78" t="s">
        <v>334</v>
      </c>
      <c r="B312" s="47"/>
      <c r="C312" s="80" t="s">
        <v>11</v>
      </c>
      <c r="D312" s="80" t="str">
        <f t="shared" si="1"/>
        <v>-</v>
      </c>
      <c r="E312" s="9"/>
      <c r="F312" s="10"/>
      <c r="G312" s="9"/>
      <c r="H312" s="11"/>
      <c r="I312" s="9" t="s">
        <v>13</v>
      </c>
      <c r="J312" s="81"/>
      <c r="K312" s="81"/>
    </row>
    <row r="313">
      <c r="A313" s="78" t="s">
        <v>334</v>
      </c>
      <c r="B313" s="47"/>
      <c r="C313" s="80" t="s">
        <v>11</v>
      </c>
      <c r="D313" s="80" t="str">
        <f t="shared" si="1"/>
        <v>-</v>
      </c>
      <c r="E313" s="9"/>
      <c r="F313" s="10"/>
      <c r="G313" s="9"/>
      <c r="H313" s="11"/>
      <c r="I313" s="9" t="s">
        <v>13</v>
      </c>
      <c r="J313" s="81"/>
      <c r="K313" s="81"/>
    </row>
    <row r="314">
      <c r="A314" s="78" t="s">
        <v>334</v>
      </c>
      <c r="B314" s="47"/>
      <c r="C314" s="80" t="s">
        <v>11</v>
      </c>
      <c r="D314" s="80" t="str">
        <f t="shared" si="1"/>
        <v>-</v>
      </c>
      <c r="E314" s="9"/>
      <c r="F314" s="10"/>
      <c r="G314" s="9"/>
      <c r="H314" s="11"/>
      <c r="I314" s="9" t="s">
        <v>13</v>
      </c>
      <c r="J314" s="81"/>
      <c r="K314" s="81"/>
    </row>
    <row r="315">
      <c r="A315" s="78" t="s">
        <v>334</v>
      </c>
      <c r="B315" s="47"/>
      <c r="C315" s="80" t="s">
        <v>11</v>
      </c>
      <c r="D315" s="80" t="str">
        <f t="shared" si="1"/>
        <v>-</v>
      </c>
      <c r="E315" s="9"/>
      <c r="F315" s="10"/>
      <c r="G315" s="9"/>
      <c r="H315" s="11"/>
      <c r="I315" s="9" t="s">
        <v>13</v>
      </c>
      <c r="J315" s="81"/>
      <c r="K315" s="81"/>
    </row>
    <row r="316">
      <c r="A316" s="78" t="s">
        <v>334</v>
      </c>
      <c r="B316" s="47"/>
      <c r="C316" s="80" t="s">
        <v>11</v>
      </c>
      <c r="D316" s="80" t="str">
        <f t="shared" si="1"/>
        <v>-</v>
      </c>
      <c r="E316" s="9"/>
      <c r="F316" s="10"/>
      <c r="G316" s="9"/>
      <c r="H316" s="11"/>
      <c r="I316" s="9" t="s">
        <v>13</v>
      </c>
      <c r="J316" s="81"/>
      <c r="K316" s="81"/>
    </row>
    <row r="317">
      <c r="A317" s="78" t="s">
        <v>334</v>
      </c>
      <c r="B317" s="47"/>
      <c r="C317" s="80" t="s">
        <v>11</v>
      </c>
      <c r="D317" s="80" t="str">
        <f t="shared" si="1"/>
        <v>-</v>
      </c>
      <c r="E317" s="9"/>
      <c r="F317" s="10"/>
      <c r="G317" s="9"/>
      <c r="H317" s="11"/>
      <c r="I317" s="9" t="s">
        <v>13</v>
      </c>
      <c r="J317" s="81"/>
      <c r="K317" s="81"/>
    </row>
    <row r="318">
      <c r="A318" s="78" t="s">
        <v>334</v>
      </c>
      <c r="B318" s="47"/>
      <c r="C318" s="80" t="s">
        <v>11</v>
      </c>
      <c r="D318" s="80" t="str">
        <f t="shared" si="1"/>
        <v>-</v>
      </c>
      <c r="E318" s="9"/>
      <c r="F318" s="10"/>
      <c r="G318" s="9"/>
      <c r="H318" s="11"/>
      <c r="I318" s="9" t="s">
        <v>13</v>
      </c>
      <c r="J318" s="81"/>
      <c r="K318" s="81"/>
    </row>
    <row r="319">
      <c r="A319" s="78" t="s">
        <v>334</v>
      </c>
      <c r="B319" s="47"/>
      <c r="C319" s="80" t="s">
        <v>11</v>
      </c>
      <c r="D319" s="80" t="str">
        <f t="shared" si="1"/>
        <v>-</v>
      </c>
      <c r="E319" s="9"/>
      <c r="F319" s="10"/>
      <c r="G319" s="9"/>
      <c r="H319" s="11"/>
      <c r="I319" s="9" t="s">
        <v>13</v>
      </c>
      <c r="J319" s="81"/>
      <c r="K319" s="81"/>
    </row>
    <row r="320">
      <c r="A320" s="78" t="s">
        <v>334</v>
      </c>
      <c r="B320" s="47"/>
      <c r="C320" s="80" t="s">
        <v>11</v>
      </c>
      <c r="D320" s="80" t="str">
        <f t="shared" si="1"/>
        <v>-</v>
      </c>
      <c r="E320" s="9"/>
      <c r="F320" s="10"/>
      <c r="G320" s="9"/>
      <c r="H320" s="11"/>
      <c r="I320" s="9" t="s">
        <v>13</v>
      </c>
      <c r="J320" s="81"/>
      <c r="K320" s="81"/>
    </row>
    <row r="321">
      <c r="A321" s="78" t="s">
        <v>334</v>
      </c>
      <c r="B321" s="47"/>
      <c r="C321" s="80" t="s">
        <v>11</v>
      </c>
      <c r="D321" s="80" t="str">
        <f t="shared" si="1"/>
        <v>-</v>
      </c>
      <c r="E321" s="9"/>
      <c r="F321" s="10"/>
      <c r="G321" s="9"/>
      <c r="H321" s="11"/>
      <c r="I321" s="9" t="s">
        <v>13</v>
      </c>
      <c r="J321" s="81"/>
      <c r="K321" s="81"/>
    </row>
    <row r="322">
      <c r="A322" s="78" t="s">
        <v>334</v>
      </c>
      <c r="B322" s="47"/>
      <c r="C322" s="80" t="s">
        <v>11</v>
      </c>
      <c r="D322" s="80" t="str">
        <f t="shared" si="1"/>
        <v>-</v>
      </c>
      <c r="E322" s="9"/>
      <c r="F322" s="10"/>
      <c r="G322" s="9"/>
      <c r="H322" s="11"/>
      <c r="I322" s="9" t="s">
        <v>13</v>
      </c>
      <c r="J322" s="81"/>
      <c r="K322" s="81"/>
    </row>
    <row r="323">
      <c r="A323" s="78" t="s">
        <v>334</v>
      </c>
      <c r="B323" s="47"/>
      <c r="C323" s="80" t="s">
        <v>11</v>
      </c>
      <c r="D323" s="80" t="str">
        <f t="shared" si="1"/>
        <v>-</v>
      </c>
      <c r="E323" s="9"/>
      <c r="F323" s="10"/>
      <c r="G323" s="9"/>
      <c r="H323" s="11"/>
      <c r="I323" s="9" t="s">
        <v>13</v>
      </c>
      <c r="J323" s="81"/>
      <c r="K323" s="81"/>
    </row>
    <row r="324">
      <c r="A324" s="78" t="s">
        <v>334</v>
      </c>
      <c r="B324" s="47"/>
      <c r="C324" s="80" t="s">
        <v>11</v>
      </c>
      <c r="D324" s="80" t="str">
        <f t="shared" si="1"/>
        <v>-</v>
      </c>
      <c r="E324" s="9"/>
      <c r="F324" s="10"/>
      <c r="G324" s="9"/>
      <c r="H324" s="11"/>
      <c r="I324" s="9" t="s">
        <v>13</v>
      </c>
      <c r="J324" s="81"/>
      <c r="K324" s="81"/>
    </row>
    <row r="325">
      <c r="A325" s="78" t="s">
        <v>334</v>
      </c>
      <c r="B325" s="47"/>
      <c r="C325" s="80" t="s">
        <v>11</v>
      </c>
      <c r="D325" s="80" t="str">
        <f t="shared" si="1"/>
        <v>-</v>
      </c>
      <c r="E325" s="9"/>
      <c r="F325" s="10"/>
      <c r="G325" s="9"/>
      <c r="H325" s="11"/>
      <c r="I325" s="9" t="s">
        <v>13</v>
      </c>
      <c r="J325" s="81"/>
      <c r="K325" s="81"/>
    </row>
    <row r="326">
      <c r="A326" s="78" t="s">
        <v>334</v>
      </c>
      <c r="B326" s="47"/>
      <c r="C326" s="80" t="s">
        <v>11</v>
      </c>
      <c r="D326" s="80" t="str">
        <f t="shared" si="1"/>
        <v>-</v>
      </c>
      <c r="E326" s="9"/>
      <c r="F326" s="10"/>
      <c r="G326" s="9"/>
      <c r="H326" s="11"/>
      <c r="I326" s="9" t="s">
        <v>13</v>
      </c>
      <c r="J326" s="81"/>
      <c r="K326" s="81"/>
    </row>
    <row r="327">
      <c r="A327" s="78" t="s">
        <v>334</v>
      </c>
      <c r="B327" s="47"/>
      <c r="C327" s="80" t="s">
        <v>11</v>
      </c>
      <c r="D327" s="80" t="str">
        <f t="shared" si="1"/>
        <v>-</v>
      </c>
      <c r="E327" s="9"/>
      <c r="F327" s="10"/>
      <c r="G327" s="9"/>
      <c r="H327" s="11"/>
      <c r="I327" s="9" t="s">
        <v>13</v>
      </c>
      <c r="J327" s="81"/>
      <c r="K327" s="81"/>
    </row>
    <row r="328">
      <c r="A328" s="78" t="s">
        <v>334</v>
      </c>
      <c r="B328" s="47"/>
      <c r="C328" s="80" t="s">
        <v>11</v>
      </c>
      <c r="D328" s="80" t="str">
        <f t="shared" si="1"/>
        <v>-</v>
      </c>
      <c r="E328" s="9"/>
      <c r="F328" s="10"/>
      <c r="G328" s="9"/>
      <c r="H328" s="11"/>
      <c r="I328" s="9" t="s">
        <v>13</v>
      </c>
      <c r="J328" s="81"/>
      <c r="K328" s="81"/>
    </row>
    <row r="329">
      <c r="A329" s="78" t="s">
        <v>334</v>
      </c>
      <c r="B329" s="47"/>
      <c r="C329" s="80" t="s">
        <v>11</v>
      </c>
      <c r="D329" s="80" t="str">
        <f t="shared" si="1"/>
        <v>-</v>
      </c>
      <c r="E329" s="9"/>
      <c r="F329" s="10"/>
      <c r="G329" s="9"/>
      <c r="H329" s="11"/>
      <c r="I329" s="9" t="s">
        <v>13</v>
      </c>
      <c r="J329" s="81"/>
      <c r="K329" s="81"/>
    </row>
    <row r="330">
      <c r="A330" s="78" t="s">
        <v>334</v>
      </c>
      <c r="B330" s="47"/>
      <c r="C330" s="80" t="s">
        <v>11</v>
      </c>
      <c r="D330" s="80" t="str">
        <f t="shared" si="1"/>
        <v>-</v>
      </c>
      <c r="E330" s="9"/>
      <c r="F330" s="10"/>
      <c r="G330" s="9"/>
      <c r="H330" s="11"/>
      <c r="I330" s="9" t="s">
        <v>13</v>
      </c>
      <c r="J330" s="81"/>
      <c r="K330" s="81"/>
    </row>
    <row r="331">
      <c r="A331" s="78" t="s">
        <v>334</v>
      </c>
      <c r="B331" s="47"/>
      <c r="C331" s="80" t="s">
        <v>11</v>
      </c>
      <c r="D331" s="80" t="str">
        <f t="shared" si="1"/>
        <v>-</v>
      </c>
      <c r="E331" s="9"/>
      <c r="F331" s="10"/>
      <c r="G331" s="9"/>
      <c r="H331" s="11"/>
      <c r="I331" s="9" t="s">
        <v>13</v>
      </c>
      <c r="J331" s="81"/>
      <c r="K331" s="81"/>
    </row>
    <row r="332">
      <c r="A332" s="78" t="s">
        <v>334</v>
      </c>
      <c r="B332" s="47"/>
      <c r="C332" s="80" t="s">
        <v>11</v>
      </c>
      <c r="D332" s="80" t="str">
        <f t="shared" si="1"/>
        <v>-</v>
      </c>
      <c r="E332" s="9"/>
      <c r="F332" s="10"/>
      <c r="G332" s="9"/>
      <c r="H332" s="11"/>
      <c r="I332" s="9" t="s">
        <v>13</v>
      </c>
      <c r="J332" s="81"/>
      <c r="K332" s="81"/>
    </row>
    <row r="333">
      <c r="A333" s="78" t="s">
        <v>334</v>
      </c>
      <c r="B333" s="47"/>
      <c r="C333" s="80" t="s">
        <v>11</v>
      </c>
      <c r="D333" s="80" t="str">
        <f t="shared" si="1"/>
        <v>-</v>
      </c>
      <c r="E333" s="9"/>
      <c r="F333" s="10"/>
      <c r="G333" s="9"/>
      <c r="H333" s="11"/>
      <c r="I333" s="9" t="s">
        <v>13</v>
      </c>
      <c r="J333" s="81"/>
      <c r="K333" s="81"/>
    </row>
    <row r="334">
      <c r="A334" s="78" t="s">
        <v>334</v>
      </c>
      <c r="B334" s="47"/>
      <c r="C334" s="80" t="s">
        <v>11</v>
      </c>
      <c r="D334" s="80" t="str">
        <f t="shared" si="1"/>
        <v>-</v>
      </c>
      <c r="E334" s="9"/>
      <c r="F334" s="10"/>
      <c r="G334" s="9"/>
      <c r="H334" s="11"/>
      <c r="I334" s="9" t="s">
        <v>13</v>
      </c>
      <c r="J334" s="81"/>
      <c r="K334" s="81"/>
    </row>
    <row r="335">
      <c r="A335" s="78" t="s">
        <v>334</v>
      </c>
      <c r="B335" s="47"/>
      <c r="C335" s="80" t="s">
        <v>11</v>
      </c>
      <c r="D335" s="80" t="str">
        <f t="shared" si="1"/>
        <v>-</v>
      </c>
      <c r="E335" s="9"/>
      <c r="F335" s="10"/>
      <c r="G335" s="9"/>
      <c r="H335" s="11"/>
      <c r="I335" s="9" t="s">
        <v>13</v>
      </c>
      <c r="J335" s="81"/>
      <c r="K335" s="81"/>
    </row>
    <row r="336">
      <c r="A336" s="78" t="s">
        <v>334</v>
      </c>
      <c r="B336" s="47"/>
      <c r="C336" s="80" t="s">
        <v>11</v>
      </c>
      <c r="D336" s="80" t="str">
        <f t="shared" si="1"/>
        <v>-</v>
      </c>
      <c r="E336" s="9"/>
      <c r="F336" s="10"/>
      <c r="G336" s="9"/>
      <c r="H336" s="11"/>
      <c r="I336" s="9" t="s">
        <v>13</v>
      </c>
      <c r="J336" s="81"/>
      <c r="K336" s="81"/>
    </row>
    <row r="337">
      <c r="A337" s="78" t="s">
        <v>334</v>
      </c>
      <c r="B337" s="47"/>
      <c r="C337" s="80" t="s">
        <v>11</v>
      </c>
      <c r="D337" s="80" t="str">
        <f t="shared" si="1"/>
        <v>-</v>
      </c>
      <c r="E337" s="9"/>
      <c r="F337" s="10"/>
      <c r="G337" s="9"/>
      <c r="H337" s="11"/>
      <c r="I337" s="9" t="s">
        <v>13</v>
      </c>
      <c r="J337" s="81"/>
      <c r="K337" s="81"/>
    </row>
    <row r="338">
      <c r="A338" s="78" t="s">
        <v>334</v>
      </c>
      <c r="B338" s="47"/>
      <c r="C338" s="80" t="s">
        <v>11</v>
      </c>
      <c r="D338" s="80" t="str">
        <f t="shared" si="1"/>
        <v>-</v>
      </c>
      <c r="E338" s="9"/>
      <c r="F338" s="10"/>
      <c r="G338" s="9"/>
      <c r="H338" s="11"/>
      <c r="I338" s="9" t="s">
        <v>13</v>
      </c>
      <c r="J338" s="81"/>
      <c r="K338" s="81"/>
    </row>
    <row r="339">
      <c r="A339" s="78" t="s">
        <v>334</v>
      </c>
      <c r="B339" s="47"/>
      <c r="C339" s="80" t="s">
        <v>11</v>
      </c>
      <c r="D339" s="80" t="str">
        <f t="shared" si="1"/>
        <v>-</v>
      </c>
      <c r="E339" s="9"/>
      <c r="F339" s="10"/>
      <c r="G339" s="9"/>
      <c r="H339" s="11"/>
      <c r="I339" s="9" t="s">
        <v>13</v>
      </c>
      <c r="J339" s="81"/>
      <c r="K339" s="81"/>
    </row>
    <row r="340">
      <c r="A340" s="78" t="s">
        <v>334</v>
      </c>
      <c r="B340" s="47"/>
      <c r="C340" s="80" t="s">
        <v>11</v>
      </c>
      <c r="D340" s="80" t="str">
        <f t="shared" si="1"/>
        <v>-</v>
      </c>
      <c r="E340" s="9"/>
      <c r="F340" s="10"/>
      <c r="G340" s="9"/>
      <c r="H340" s="11"/>
      <c r="I340" s="9" t="s">
        <v>13</v>
      </c>
      <c r="J340" s="81"/>
      <c r="K340" s="81"/>
    </row>
    <row r="341">
      <c r="A341" s="78" t="s">
        <v>334</v>
      </c>
      <c r="B341" s="47"/>
      <c r="C341" s="80" t="s">
        <v>11</v>
      </c>
      <c r="D341" s="80" t="str">
        <f t="shared" si="1"/>
        <v>-</v>
      </c>
      <c r="E341" s="9"/>
      <c r="F341" s="10"/>
      <c r="G341" s="9"/>
      <c r="H341" s="11"/>
      <c r="I341" s="9" t="s">
        <v>13</v>
      </c>
      <c r="J341" s="81"/>
      <c r="K341" s="81"/>
    </row>
    <row r="342">
      <c r="A342" s="78" t="s">
        <v>334</v>
      </c>
      <c r="B342" s="47"/>
      <c r="C342" s="80" t="s">
        <v>11</v>
      </c>
      <c r="D342" s="80" t="str">
        <f t="shared" si="1"/>
        <v>-</v>
      </c>
      <c r="E342" s="9"/>
      <c r="F342" s="10"/>
      <c r="G342" s="9"/>
      <c r="H342" s="11"/>
      <c r="I342" s="9" t="s">
        <v>13</v>
      </c>
      <c r="J342" s="81"/>
      <c r="K342" s="81"/>
    </row>
    <row r="343">
      <c r="A343" s="78" t="s">
        <v>334</v>
      </c>
      <c r="B343" s="47"/>
      <c r="C343" s="80" t="s">
        <v>11</v>
      </c>
      <c r="D343" s="80" t="str">
        <f t="shared" si="1"/>
        <v>-</v>
      </c>
      <c r="E343" s="9"/>
      <c r="F343" s="10"/>
      <c r="G343" s="9"/>
      <c r="H343" s="11"/>
      <c r="I343" s="9" t="s">
        <v>13</v>
      </c>
      <c r="J343" s="81"/>
      <c r="K343" s="81"/>
    </row>
    <row r="344">
      <c r="A344" s="78" t="s">
        <v>334</v>
      </c>
      <c r="B344" s="47"/>
      <c r="C344" s="80" t="s">
        <v>11</v>
      </c>
      <c r="D344" s="80" t="str">
        <f t="shared" si="1"/>
        <v>-</v>
      </c>
      <c r="E344" s="9"/>
      <c r="F344" s="10"/>
      <c r="G344" s="9"/>
      <c r="H344" s="11"/>
      <c r="I344" s="9" t="s">
        <v>13</v>
      </c>
      <c r="J344" s="81"/>
      <c r="K344" s="81"/>
    </row>
    <row r="345">
      <c r="A345" s="78" t="s">
        <v>334</v>
      </c>
      <c r="B345" s="47"/>
      <c r="C345" s="80" t="s">
        <v>11</v>
      </c>
      <c r="D345" s="80" t="str">
        <f t="shared" si="1"/>
        <v>-</v>
      </c>
      <c r="E345" s="9"/>
      <c r="F345" s="10"/>
      <c r="G345" s="9"/>
      <c r="H345" s="11"/>
      <c r="I345" s="9" t="s">
        <v>13</v>
      </c>
      <c r="J345" s="81"/>
      <c r="K345" s="81"/>
    </row>
    <row r="346">
      <c r="A346" s="78" t="s">
        <v>334</v>
      </c>
      <c r="B346" s="47"/>
      <c r="C346" s="80" t="s">
        <v>11</v>
      </c>
      <c r="D346" s="80" t="str">
        <f t="shared" si="1"/>
        <v>-</v>
      </c>
      <c r="E346" s="9"/>
      <c r="F346" s="10"/>
      <c r="G346" s="9"/>
      <c r="H346" s="11"/>
      <c r="I346" s="9" t="s">
        <v>13</v>
      </c>
      <c r="J346" s="81"/>
      <c r="K346" s="81"/>
    </row>
    <row r="347">
      <c r="A347" s="78" t="s">
        <v>334</v>
      </c>
      <c r="B347" s="47"/>
      <c r="C347" s="80" t="s">
        <v>11</v>
      </c>
      <c r="D347" s="80" t="str">
        <f t="shared" si="1"/>
        <v>-</v>
      </c>
      <c r="E347" s="9"/>
      <c r="F347" s="10"/>
      <c r="G347" s="9"/>
      <c r="H347" s="11"/>
      <c r="I347" s="9" t="s">
        <v>13</v>
      </c>
      <c r="J347" s="81"/>
      <c r="K347" s="81"/>
    </row>
    <row r="348">
      <c r="A348" s="78" t="s">
        <v>334</v>
      </c>
      <c r="B348" s="47"/>
      <c r="C348" s="80" t="s">
        <v>11</v>
      </c>
      <c r="D348" s="80" t="str">
        <f t="shared" si="1"/>
        <v>-</v>
      </c>
      <c r="E348" s="9"/>
      <c r="F348" s="10"/>
      <c r="G348" s="9"/>
      <c r="H348" s="11"/>
      <c r="I348" s="9" t="s">
        <v>13</v>
      </c>
      <c r="J348" s="81"/>
      <c r="K348" s="81"/>
    </row>
    <row r="349">
      <c r="A349" s="78" t="s">
        <v>334</v>
      </c>
      <c r="B349" s="47"/>
      <c r="C349" s="80" t="s">
        <v>11</v>
      </c>
      <c r="D349" s="80" t="str">
        <f t="shared" si="1"/>
        <v>-</v>
      </c>
      <c r="E349" s="9"/>
      <c r="F349" s="10"/>
      <c r="G349" s="9"/>
      <c r="H349" s="11"/>
      <c r="I349" s="9" t="s">
        <v>13</v>
      </c>
      <c r="J349" s="81"/>
      <c r="K349" s="81"/>
    </row>
    <row r="350">
      <c r="A350" s="78" t="s">
        <v>334</v>
      </c>
      <c r="B350" s="47"/>
      <c r="C350" s="80" t="s">
        <v>11</v>
      </c>
      <c r="D350" s="80" t="str">
        <f t="shared" si="1"/>
        <v>-</v>
      </c>
      <c r="E350" s="9"/>
      <c r="F350" s="10"/>
      <c r="G350" s="9"/>
      <c r="H350" s="11"/>
      <c r="I350" s="9" t="s">
        <v>13</v>
      </c>
      <c r="J350" s="81"/>
      <c r="K350" s="81"/>
    </row>
    <row r="351">
      <c r="A351" s="78" t="s">
        <v>334</v>
      </c>
      <c r="B351" s="47"/>
      <c r="C351" s="80" t="s">
        <v>11</v>
      </c>
      <c r="D351" s="80" t="str">
        <f t="shared" si="1"/>
        <v>-</v>
      </c>
      <c r="E351" s="9"/>
      <c r="F351" s="10"/>
      <c r="G351" s="9"/>
      <c r="H351" s="11"/>
      <c r="I351" s="9" t="s">
        <v>13</v>
      </c>
      <c r="J351" s="81"/>
      <c r="K351" s="81"/>
    </row>
    <row r="352">
      <c r="A352" s="78" t="s">
        <v>334</v>
      </c>
      <c r="B352" s="47"/>
      <c r="C352" s="80" t="s">
        <v>11</v>
      </c>
      <c r="D352" s="80" t="str">
        <f t="shared" si="1"/>
        <v>-</v>
      </c>
      <c r="E352" s="9"/>
      <c r="F352" s="10"/>
      <c r="G352" s="9"/>
      <c r="H352" s="11"/>
      <c r="I352" s="9" t="s">
        <v>13</v>
      </c>
      <c r="J352" s="81"/>
      <c r="K352" s="81"/>
    </row>
    <row r="353">
      <c r="A353" s="78" t="s">
        <v>334</v>
      </c>
      <c r="B353" s="47"/>
      <c r="C353" s="80" t="s">
        <v>11</v>
      </c>
      <c r="D353" s="80" t="str">
        <f t="shared" si="1"/>
        <v>-</v>
      </c>
      <c r="E353" s="9"/>
      <c r="F353" s="10"/>
      <c r="G353" s="9"/>
      <c r="H353" s="11"/>
      <c r="I353" s="9" t="s">
        <v>13</v>
      </c>
      <c r="J353" s="81"/>
      <c r="K353" s="81"/>
    </row>
    <row r="354">
      <c r="A354" s="78" t="s">
        <v>334</v>
      </c>
      <c r="B354" s="47"/>
      <c r="C354" s="80" t="s">
        <v>11</v>
      </c>
      <c r="D354" s="80" t="str">
        <f t="shared" si="1"/>
        <v>-</v>
      </c>
      <c r="E354" s="9"/>
      <c r="F354" s="10"/>
      <c r="G354" s="9"/>
      <c r="H354" s="11"/>
      <c r="I354" s="9" t="s">
        <v>13</v>
      </c>
      <c r="J354" s="81"/>
      <c r="K354" s="81"/>
    </row>
    <row r="355">
      <c r="A355" s="78" t="s">
        <v>334</v>
      </c>
      <c r="B355" s="47"/>
      <c r="C355" s="80" t="s">
        <v>11</v>
      </c>
      <c r="D355" s="80" t="str">
        <f t="shared" si="1"/>
        <v>-</v>
      </c>
      <c r="E355" s="9"/>
      <c r="F355" s="10"/>
      <c r="G355" s="9"/>
      <c r="H355" s="11"/>
      <c r="I355" s="9" t="s">
        <v>13</v>
      </c>
      <c r="J355" s="81"/>
      <c r="K355" s="81"/>
    </row>
    <row r="356">
      <c r="A356" s="78" t="s">
        <v>334</v>
      </c>
      <c r="B356" s="47"/>
      <c r="C356" s="80" t="s">
        <v>11</v>
      </c>
      <c r="D356" s="80" t="str">
        <f t="shared" si="1"/>
        <v>-</v>
      </c>
      <c r="E356" s="9"/>
      <c r="F356" s="10"/>
      <c r="G356" s="9"/>
      <c r="H356" s="11"/>
      <c r="I356" s="9" t="s">
        <v>13</v>
      </c>
      <c r="J356" s="81"/>
      <c r="K356" s="81"/>
    </row>
    <row r="357">
      <c r="A357" s="78" t="s">
        <v>334</v>
      </c>
      <c r="B357" s="47"/>
      <c r="C357" s="80" t="s">
        <v>11</v>
      </c>
      <c r="D357" s="80" t="str">
        <f t="shared" si="1"/>
        <v>-</v>
      </c>
      <c r="E357" s="9"/>
      <c r="F357" s="10"/>
      <c r="G357" s="9"/>
      <c r="H357" s="11"/>
      <c r="I357" s="9" t="s">
        <v>13</v>
      </c>
      <c r="J357" s="81"/>
      <c r="K357" s="81"/>
    </row>
    <row r="358">
      <c r="A358" s="78" t="s">
        <v>334</v>
      </c>
      <c r="B358" s="47"/>
      <c r="C358" s="80" t="s">
        <v>11</v>
      </c>
      <c r="D358" s="80" t="str">
        <f t="shared" si="1"/>
        <v>-</v>
      </c>
      <c r="E358" s="9"/>
      <c r="F358" s="10"/>
      <c r="G358" s="9"/>
      <c r="H358" s="11"/>
      <c r="I358" s="9" t="s">
        <v>13</v>
      </c>
      <c r="J358" s="81"/>
      <c r="K358" s="81"/>
    </row>
    <row r="359">
      <c r="A359" s="78" t="s">
        <v>334</v>
      </c>
      <c r="B359" s="47"/>
      <c r="C359" s="80" t="s">
        <v>11</v>
      </c>
      <c r="D359" s="80" t="str">
        <f t="shared" si="1"/>
        <v>-</v>
      </c>
      <c r="E359" s="9"/>
      <c r="F359" s="10"/>
      <c r="G359" s="9"/>
      <c r="H359" s="11"/>
      <c r="I359" s="9" t="s">
        <v>13</v>
      </c>
      <c r="J359" s="81"/>
      <c r="K359" s="81"/>
    </row>
    <row r="360">
      <c r="A360" s="78" t="s">
        <v>334</v>
      </c>
      <c r="B360" s="47"/>
      <c r="C360" s="80" t="s">
        <v>11</v>
      </c>
      <c r="D360" s="80" t="str">
        <f t="shared" si="1"/>
        <v>-</v>
      </c>
      <c r="E360" s="9"/>
      <c r="F360" s="10"/>
      <c r="G360" s="9"/>
      <c r="H360" s="11"/>
      <c r="I360" s="9" t="s">
        <v>13</v>
      </c>
      <c r="J360" s="81"/>
      <c r="K360" s="81"/>
    </row>
    <row r="361">
      <c r="A361" s="78" t="s">
        <v>334</v>
      </c>
      <c r="B361" s="47"/>
      <c r="C361" s="80" t="s">
        <v>11</v>
      </c>
      <c r="D361" s="80" t="str">
        <f t="shared" si="1"/>
        <v>-</v>
      </c>
      <c r="E361" s="9"/>
      <c r="F361" s="10"/>
      <c r="G361" s="9"/>
      <c r="H361" s="11"/>
      <c r="I361" s="9" t="s">
        <v>13</v>
      </c>
      <c r="J361" s="81"/>
      <c r="K361" s="81"/>
    </row>
    <row r="362">
      <c r="A362" s="78" t="s">
        <v>334</v>
      </c>
      <c r="B362" s="47"/>
      <c r="C362" s="80" t="s">
        <v>11</v>
      </c>
      <c r="D362" s="80" t="str">
        <f t="shared" si="1"/>
        <v>-</v>
      </c>
      <c r="E362" s="9"/>
      <c r="F362" s="10"/>
      <c r="G362" s="9"/>
      <c r="H362" s="11"/>
      <c r="I362" s="9" t="s">
        <v>13</v>
      </c>
      <c r="J362" s="81"/>
      <c r="K362" s="81"/>
    </row>
    <row r="363">
      <c r="A363" s="78" t="s">
        <v>334</v>
      </c>
      <c r="B363" s="47"/>
      <c r="C363" s="80" t="s">
        <v>11</v>
      </c>
      <c r="D363" s="80" t="str">
        <f t="shared" si="1"/>
        <v>-</v>
      </c>
      <c r="E363" s="9"/>
      <c r="F363" s="10"/>
      <c r="G363" s="9"/>
      <c r="H363" s="11"/>
      <c r="I363" s="9" t="s">
        <v>13</v>
      </c>
      <c r="J363" s="81"/>
      <c r="K363" s="81"/>
    </row>
    <row r="364">
      <c r="A364" s="78" t="s">
        <v>334</v>
      </c>
      <c r="B364" s="47"/>
      <c r="C364" s="80" t="s">
        <v>11</v>
      </c>
      <c r="D364" s="80" t="str">
        <f t="shared" si="1"/>
        <v>-</v>
      </c>
      <c r="E364" s="9"/>
      <c r="F364" s="10"/>
      <c r="G364" s="9"/>
      <c r="H364" s="11"/>
      <c r="I364" s="9" t="s">
        <v>13</v>
      </c>
      <c r="J364" s="81"/>
      <c r="K364" s="81"/>
    </row>
    <row r="365">
      <c r="A365" s="78" t="s">
        <v>334</v>
      </c>
      <c r="B365" s="47"/>
      <c r="C365" s="80" t="s">
        <v>11</v>
      </c>
      <c r="D365" s="80" t="str">
        <f t="shared" si="1"/>
        <v>-</v>
      </c>
      <c r="E365" s="9"/>
      <c r="F365" s="10"/>
      <c r="G365" s="9"/>
      <c r="H365" s="11"/>
      <c r="I365" s="9" t="s">
        <v>13</v>
      </c>
      <c r="J365" s="81"/>
      <c r="K365" s="81"/>
    </row>
    <row r="366">
      <c r="A366" s="78" t="s">
        <v>334</v>
      </c>
      <c r="B366" s="47"/>
      <c r="C366" s="80" t="s">
        <v>11</v>
      </c>
      <c r="D366" s="80" t="str">
        <f t="shared" si="1"/>
        <v>-</v>
      </c>
      <c r="E366" s="9"/>
      <c r="F366" s="10"/>
      <c r="G366" s="9"/>
      <c r="H366" s="11"/>
      <c r="I366" s="9" t="s">
        <v>13</v>
      </c>
      <c r="J366" s="81"/>
      <c r="K366" s="81"/>
    </row>
    <row r="367">
      <c r="A367" s="78" t="s">
        <v>334</v>
      </c>
      <c r="B367" s="47"/>
      <c r="C367" s="80" t="s">
        <v>11</v>
      </c>
      <c r="D367" s="80" t="str">
        <f t="shared" si="1"/>
        <v>-</v>
      </c>
      <c r="E367" s="9"/>
      <c r="F367" s="10"/>
      <c r="G367" s="9"/>
      <c r="H367" s="11"/>
      <c r="I367" s="9" t="s">
        <v>13</v>
      </c>
      <c r="J367" s="81"/>
      <c r="K367" s="81"/>
    </row>
    <row r="368">
      <c r="A368" s="78" t="s">
        <v>334</v>
      </c>
      <c r="B368" s="47"/>
      <c r="C368" s="80" t="s">
        <v>11</v>
      </c>
      <c r="D368" s="80" t="str">
        <f t="shared" si="1"/>
        <v>-</v>
      </c>
      <c r="E368" s="9"/>
      <c r="F368" s="10"/>
      <c r="G368" s="9"/>
      <c r="H368" s="11"/>
      <c r="I368" s="9" t="s">
        <v>13</v>
      </c>
      <c r="J368" s="81"/>
      <c r="K368" s="81"/>
    </row>
    <row r="369">
      <c r="A369" s="78" t="s">
        <v>334</v>
      </c>
      <c r="B369" s="47"/>
      <c r="C369" s="80" t="s">
        <v>11</v>
      </c>
      <c r="D369" s="80" t="str">
        <f t="shared" si="1"/>
        <v>-</v>
      </c>
      <c r="E369" s="9"/>
      <c r="F369" s="10"/>
      <c r="G369" s="9"/>
      <c r="H369" s="11"/>
      <c r="I369" s="9" t="s">
        <v>13</v>
      </c>
      <c r="J369" s="81"/>
      <c r="K369" s="81"/>
    </row>
    <row r="370">
      <c r="A370" s="78" t="s">
        <v>334</v>
      </c>
      <c r="B370" s="47"/>
      <c r="C370" s="80" t="s">
        <v>11</v>
      </c>
      <c r="D370" s="80" t="str">
        <f t="shared" si="1"/>
        <v>-</v>
      </c>
      <c r="E370" s="9"/>
      <c r="F370" s="10"/>
      <c r="G370" s="9"/>
      <c r="H370" s="11"/>
      <c r="I370" s="9" t="s">
        <v>13</v>
      </c>
      <c r="J370" s="81"/>
      <c r="K370" s="81"/>
    </row>
    <row r="371">
      <c r="A371" s="78" t="s">
        <v>334</v>
      </c>
      <c r="B371" s="47"/>
      <c r="C371" s="80" t="s">
        <v>11</v>
      </c>
      <c r="D371" s="80" t="str">
        <f t="shared" si="1"/>
        <v>-</v>
      </c>
      <c r="E371" s="9"/>
      <c r="F371" s="10"/>
      <c r="G371" s="9"/>
      <c r="H371" s="11"/>
      <c r="I371" s="9" t="s">
        <v>13</v>
      </c>
      <c r="J371" s="81"/>
      <c r="K371" s="81"/>
    </row>
    <row r="372">
      <c r="A372" s="78" t="s">
        <v>334</v>
      </c>
      <c r="B372" s="47"/>
      <c r="C372" s="80" t="s">
        <v>11</v>
      </c>
      <c r="D372" s="80" t="str">
        <f t="shared" si="1"/>
        <v>-</v>
      </c>
      <c r="E372" s="9"/>
      <c r="F372" s="10"/>
      <c r="G372" s="9"/>
      <c r="H372" s="11"/>
      <c r="I372" s="9" t="s">
        <v>13</v>
      </c>
      <c r="J372" s="81"/>
      <c r="K372" s="81"/>
    </row>
    <row r="373">
      <c r="A373" s="78" t="s">
        <v>334</v>
      </c>
      <c r="B373" s="47"/>
      <c r="C373" s="80" t="s">
        <v>11</v>
      </c>
      <c r="D373" s="80" t="str">
        <f t="shared" si="1"/>
        <v>-</v>
      </c>
      <c r="E373" s="9"/>
      <c r="F373" s="10"/>
      <c r="G373" s="9"/>
      <c r="H373" s="11"/>
      <c r="I373" s="9" t="s">
        <v>13</v>
      </c>
      <c r="J373" s="81"/>
      <c r="K373" s="81"/>
    </row>
    <row r="374">
      <c r="A374" s="78" t="s">
        <v>334</v>
      </c>
      <c r="B374" s="47"/>
      <c r="C374" s="80" t="s">
        <v>11</v>
      </c>
      <c r="D374" s="80" t="str">
        <f t="shared" si="1"/>
        <v>-</v>
      </c>
      <c r="E374" s="9"/>
      <c r="F374" s="10"/>
      <c r="G374" s="9"/>
      <c r="H374" s="11"/>
      <c r="I374" s="9" t="s">
        <v>13</v>
      </c>
      <c r="J374" s="81"/>
      <c r="K374" s="81"/>
    </row>
    <row r="375">
      <c r="A375" s="78" t="s">
        <v>334</v>
      </c>
      <c r="B375" s="47"/>
      <c r="C375" s="80" t="s">
        <v>11</v>
      </c>
      <c r="D375" s="80" t="str">
        <f t="shared" si="1"/>
        <v>-</v>
      </c>
      <c r="E375" s="9"/>
      <c r="F375" s="10"/>
      <c r="G375" s="9"/>
      <c r="H375" s="11"/>
      <c r="I375" s="9" t="s">
        <v>13</v>
      </c>
      <c r="J375" s="81"/>
      <c r="K375" s="81"/>
    </row>
    <row r="376">
      <c r="A376" s="78" t="s">
        <v>334</v>
      </c>
      <c r="B376" s="47"/>
      <c r="C376" s="80" t="s">
        <v>11</v>
      </c>
      <c r="D376" s="80" t="str">
        <f t="shared" si="1"/>
        <v>-</v>
      </c>
      <c r="E376" s="9"/>
      <c r="F376" s="10"/>
      <c r="G376" s="9"/>
      <c r="H376" s="11"/>
      <c r="I376" s="9" t="s">
        <v>13</v>
      </c>
      <c r="J376" s="81"/>
      <c r="K376" s="81"/>
    </row>
    <row r="377">
      <c r="A377" s="78" t="s">
        <v>334</v>
      </c>
      <c r="B377" s="47"/>
      <c r="C377" s="80" t="s">
        <v>11</v>
      </c>
      <c r="D377" s="80" t="str">
        <f t="shared" si="1"/>
        <v>-</v>
      </c>
      <c r="E377" s="9"/>
      <c r="F377" s="10"/>
      <c r="G377" s="9"/>
      <c r="H377" s="11"/>
      <c r="I377" s="9" t="s">
        <v>13</v>
      </c>
      <c r="J377" s="81"/>
      <c r="K377" s="81"/>
    </row>
    <row r="378">
      <c r="A378" s="78" t="s">
        <v>334</v>
      </c>
      <c r="B378" s="47"/>
      <c r="C378" s="80" t="s">
        <v>11</v>
      </c>
      <c r="D378" s="80" t="str">
        <f t="shared" si="1"/>
        <v>-</v>
      </c>
      <c r="E378" s="9"/>
      <c r="F378" s="10"/>
      <c r="G378" s="9"/>
      <c r="H378" s="11"/>
      <c r="I378" s="9" t="s">
        <v>13</v>
      </c>
      <c r="J378" s="81"/>
      <c r="K378" s="81"/>
    </row>
    <row r="379">
      <c r="A379" s="78" t="s">
        <v>334</v>
      </c>
      <c r="B379" s="47"/>
      <c r="C379" s="80" t="s">
        <v>11</v>
      </c>
      <c r="D379" s="80" t="str">
        <f t="shared" si="1"/>
        <v>-</v>
      </c>
      <c r="E379" s="9"/>
      <c r="F379" s="10"/>
      <c r="G379" s="9"/>
      <c r="H379" s="11"/>
      <c r="I379" s="9" t="s">
        <v>13</v>
      </c>
      <c r="J379" s="81"/>
      <c r="K379" s="81"/>
    </row>
    <row r="380">
      <c r="A380" s="78" t="s">
        <v>334</v>
      </c>
      <c r="B380" s="47"/>
      <c r="C380" s="80" t="s">
        <v>11</v>
      </c>
      <c r="D380" s="80" t="str">
        <f t="shared" si="1"/>
        <v>-</v>
      </c>
      <c r="E380" s="9"/>
      <c r="F380" s="10"/>
      <c r="G380" s="9"/>
      <c r="H380" s="11"/>
      <c r="I380" s="9" t="s">
        <v>13</v>
      </c>
      <c r="J380" s="81"/>
      <c r="K380" s="81"/>
    </row>
    <row r="381">
      <c r="A381" s="78" t="s">
        <v>334</v>
      </c>
      <c r="B381" s="47"/>
      <c r="C381" s="80" t="s">
        <v>11</v>
      </c>
      <c r="D381" s="80" t="str">
        <f t="shared" si="1"/>
        <v>-</v>
      </c>
      <c r="E381" s="9"/>
      <c r="F381" s="10"/>
      <c r="G381" s="9"/>
      <c r="H381" s="11"/>
      <c r="I381" s="9" t="s">
        <v>13</v>
      </c>
      <c r="J381" s="81"/>
      <c r="K381" s="81"/>
    </row>
    <row r="382">
      <c r="A382" s="78" t="s">
        <v>334</v>
      </c>
      <c r="B382" s="47"/>
      <c r="C382" s="80" t="s">
        <v>11</v>
      </c>
      <c r="D382" s="80" t="str">
        <f t="shared" si="1"/>
        <v>-</v>
      </c>
      <c r="E382" s="9"/>
      <c r="F382" s="10"/>
      <c r="G382" s="9"/>
      <c r="H382" s="11"/>
      <c r="I382" s="9" t="s">
        <v>13</v>
      </c>
      <c r="J382" s="81"/>
      <c r="K382" s="81"/>
    </row>
    <row r="383">
      <c r="A383" s="78" t="s">
        <v>334</v>
      </c>
      <c r="B383" s="47"/>
      <c r="C383" s="80" t="s">
        <v>11</v>
      </c>
      <c r="D383" s="80" t="str">
        <f t="shared" si="1"/>
        <v>-</v>
      </c>
      <c r="E383" s="9"/>
      <c r="F383" s="10"/>
      <c r="G383" s="9"/>
      <c r="H383" s="11"/>
      <c r="I383" s="9" t="s">
        <v>13</v>
      </c>
      <c r="J383" s="81"/>
      <c r="K383" s="81"/>
    </row>
    <row r="384">
      <c r="A384" s="78" t="s">
        <v>334</v>
      </c>
      <c r="B384" s="47"/>
      <c r="C384" s="80" t="s">
        <v>11</v>
      </c>
      <c r="D384" s="80" t="str">
        <f t="shared" si="1"/>
        <v>-</v>
      </c>
      <c r="E384" s="9"/>
      <c r="F384" s="10"/>
      <c r="G384" s="9"/>
      <c r="H384" s="11"/>
      <c r="I384" s="9" t="s">
        <v>13</v>
      </c>
      <c r="J384" s="81"/>
      <c r="K384" s="81"/>
    </row>
    <row r="385">
      <c r="A385" s="78" t="s">
        <v>334</v>
      </c>
      <c r="B385" s="47"/>
      <c r="C385" s="80" t="s">
        <v>11</v>
      </c>
      <c r="D385" s="80" t="str">
        <f t="shared" si="1"/>
        <v>-</v>
      </c>
      <c r="E385" s="9"/>
      <c r="F385" s="10"/>
      <c r="G385" s="9"/>
      <c r="H385" s="11"/>
      <c r="I385" s="9" t="s">
        <v>13</v>
      </c>
      <c r="J385" s="81"/>
      <c r="K385" s="81"/>
    </row>
    <row r="386">
      <c r="A386" s="78" t="s">
        <v>334</v>
      </c>
      <c r="B386" s="47"/>
      <c r="C386" s="80" t="s">
        <v>11</v>
      </c>
      <c r="D386" s="80" t="str">
        <f t="shared" si="1"/>
        <v>-</v>
      </c>
      <c r="E386" s="9"/>
      <c r="F386" s="10"/>
      <c r="G386" s="9"/>
      <c r="H386" s="11"/>
      <c r="I386" s="9" t="s">
        <v>13</v>
      </c>
      <c r="J386" s="81"/>
      <c r="K386" s="81"/>
    </row>
    <row r="387">
      <c r="A387" s="78" t="s">
        <v>334</v>
      </c>
      <c r="B387" s="47"/>
      <c r="C387" s="80" t="s">
        <v>11</v>
      </c>
      <c r="D387" s="80" t="str">
        <f t="shared" si="1"/>
        <v>-</v>
      </c>
      <c r="E387" s="9"/>
      <c r="F387" s="10"/>
      <c r="G387" s="9"/>
      <c r="H387" s="11"/>
      <c r="I387" s="9" t="s">
        <v>13</v>
      </c>
      <c r="J387" s="81"/>
      <c r="K387" s="81"/>
    </row>
    <row r="388">
      <c r="A388" s="78" t="s">
        <v>334</v>
      </c>
      <c r="B388" s="47"/>
      <c r="C388" s="80" t="s">
        <v>11</v>
      </c>
      <c r="D388" s="80" t="str">
        <f t="shared" si="1"/>
        <v>-</v>
      </c>
      <c r="E388" s="9"/>
      <c r="F388" s="10"/>
      <c r="G388" s="9"/>
      <c r="H388" s="11"/>
      <c r="I388" s="9" t="s">
        <v>13</v>
      </c>
      <c r="J388" s="81"/>
      <c r="K388" s="81"/>
    </row>
    <row r="389">
      <c r="A389" s="78" t="s">
        <v>334</v>
      </c>
      <c r="B389" s="47"/>
      <c r="C389" s="80" t="s">
        <v>11</v>
      </c>
      <c r="D389" s="80" t="str">
        <f t="shared" si="1"/>
        <v>-</v>
      </c>
      <c r="E389" s="9"/>
      <c r="F389" s="10"/>
      <c r="G389" s="9"/>
      <c r="H389" s="11"/>
      <c r="I389" s="9" t="s">
        <v>13</v>
      </c>
      <c r="J389" s="81"/>
      <c r="K389" s="81"/>
    </row>
    <row r="390">
      <c r="A390" s="78" t="s">
        <v>334</v>
      </c>
      <c r="B390" s="47"/>
      <c r="C390" s="80" t="s">
        <v>11</v>
      </c>
      <c r="D390" s="80" t="str">
        <f t="shared" si="1"/>
        <v>-</v>
      </c>
      <c r="E390" s="9"/>
      <c r="F390" s="10"/>
      <c r="G390" s="9"/>
      <c r="H390" s="11"/>
      <c r="I390" s="9" t="s">
        <v>13</v>
      </c>
      <c r="J390" s="81"/>
      <c r="K390" s="81"/>
    </row>
    <row r="391">
      <c r="A391" s="78" t="s">
        <v>334</v>
      </c>
      <c r="B391" s="47"/>
      <c r="C391" s="80" t="s">
        <v>11</v>
      </c>
      <c r="D391" s="80" t="str">
        <f t="shared" si="1"/>
        <v>-</v>
      </c>
      <c r="E391" s="9"/>
      <c r="F391" s="10"/>
      <c r="G391" s="9"/>
      <c r="H391" s="11"/>
      <c r="I391" s="9" t="s">
        <v>13</v>
      </c>
      <c r="J391" s="81"/>
      <c r="K391" s="81"/>
    </row>
    <row r="392">
      <c r="A392" s="78" t="s">
        <v>334</v>
      </c>
      <c r="B392" s="47"/>
      <c r="C392" s="80" t="s">
        <v>11</v>
      </c>
      <c r="D392" s="80" t="str">
        <f t="shared" si="1"/>
        <v>-</v>
      </c>
      <c r="E392" s="9"/>
      <c r="F392" s="10"/>
      <c r="G392" s="9"/>
      <c r="H392" s="11"/>
      <c r="I392" s="9" t="s">
        <v>13</v>
      </c>
      <c r="J392" s="81"/>
      <c r="K392" s="81"/>
    </row>
    <row r="393">
      <c r="A393" s="78" t="s">
        <v>334</v>
      </c>
      <c r="B393" s="47"/>
      <c r="C393" s="80" t="s">
        <v>11</v>
      </c>
      <c r="D393" s="80" t="str">
        <f t="shared" si="1"/>
        <v>-</v>
      </c>
      <c r="E393" s="9"/>
      <c r="F393" s="10"/>
      <c r="G393" s="9"/>
      <c r="H393" s="11"/>
      <c r="I393" s="9" t="s">
        <v>13</v>
      </c>
      <c r="J393" s="81"/>
      <c r="K393" s="81"/>
    </row>
    <row r="394">
      <c r="A394" s="78" t="s">
        <v>334</v>
      </c>
      <c r="B394" s="47"/>
      <c r="C394" s="80" t="s">
        <v>11</v>
      </c>
      <c r="D394" s="80" t="str">
        <f t="shared" si="1"/>
        <v>-</v>
      </c>
      <c r="E394" s="9"/>
      <c r="F394" s="10"/>
      <c r="G394" s="9"/>
      <c r="H394" s="11"/>
      <c r="I394" s="9" t="s">
        <v>13</v>
      </c>
      <c r="J394" s="81"/>
      <c r="K394" s="81"/>
    </row>
    <row r="395">
      <c r="A395" s="78" t="s">
        <v>334</v>
      </c>
      <c r="B395" s="47"/>
      <c r="C395" s="80" t="s">
        <v>11</v>
      </c>
      <c r="D395" s="80" t="str">
        <f t="shared" si="1"/>
        <v>-</v>
      </c>
      <c r="E395" s="9"/>
      <c r="F395" s="10"/>
      <c r="G395" s="9"/>
      <c r="H395" s="11"/>
      <c r="I395" s="9" t="s">
        <v>13</v>
      </c>
      <c r="J395" s="81"/>
      <c r="K395" s="81"/>
    </row>
    <row r="396">
      <c r="A396" s="78" t="s">
        <v>334</v>
      </c>
      <c r="B396" s="47"/>
      <c r="C396" s="80" t="s">
        <v>11</v>
      </c>
      <c r="D396" s="80" t="str">
        <f t="shared" si="1"/>
        <v>-</v>
      </c>
      <c r="E396" s="9"/>
      <c r="F396" s="10"/>
      <c r="G396" s="9"/>
      <c r="H396" s="11"/>
      <c r="I396" s="9" t="s">
        <v>13</v>
      </c>
      <c r="J396" s="81"/>
      <c r="K396" s="81"/>
    </row>
    <row r="397">
      <c r="A397" s="78" t="s">
        <v>334</v>
      </c>
      <c r="B397" s="47"/>
      <c r="C397" s="80" t="s">
        <v>11</v>
      </c>
      <c r="D397" s="80" t="str">
        <f t="shared" si="1"/>
        <v>-</v>
      </c>
      <c r="E397" s="9"/>
      <c r="F397" s="10"/>
      <c r="G397" s="9"/>
      <c r="H397" s="11"/>
      <c r="I397" s="9" t="s">
        <v>13</v>
      </c>
      <c r="J397" s="81"/>
      <c r="K397" s="81"/>
    </row>
    <row r="398">
      <c r="A398" s="78" t="s">
        <v>334</v>
      </c>
      <c r="B398" s="47"/>
      <c r="C398" s="80" t="s">
        <v>11</v>
      </c>
      <c r="D398" s="80" t="str">
        <f t="shared" si="1"/>
        <v>-</v>
      </c>
      <c r="E398" s="9"/>
      <c r="F398" s="10"/>
      <c r="G398" s="9"/>
      <c r="H398" s="11"/>
      <c r="I398" s="9" t="s">
        <v>13</v>
      </c>
      <c r="J398" s="81"/>
      <c r="K398" s="81"/>
    </row>
    <row r="399">
      <c r="A399" s="78" t="s">
        <v>334</v>
      </c>
      <c r="B399" s="47"/>
      <c r="C399" s="80" t="s">
        <v>11</v>
      </c>
      <c r="D399" s="80" t="str">
        <f t="shared" si="1"/>
        <v>-</v>
      </c>
      <c r="E399" s="9"/>
      <c r="F399" s="10"/>
      <c r="G399" s="9"/>
      <c r="H399" s="11"/>
      <c r="I399" s="9" t="s">
        <v>13</v>
      </c>
      <c r="J399" s="81"/>
      <c r="K399" s="81"/>
    </row>
    <row r="400">
      <c r="A400" s="78" t="s">
        <v>334</v>
      </c>
      <c r="B400" s="47"/>
      <c r="C400" s="80" t="s">
        <v>11</v>
      </c>
      <c r="D400" s="80" t="str">
        <f t="shared" si="1"/>
        <v>-</v>
      </c>
      <c r="E400" s="9"/>
      <c r="F400" s="10"/>
      <c r="G400" s="9"/>
      <c r="H400" s="11"/>
      <c r="I400" s="9" t="s">
        <v>13</v>
      </c>
      <c r="J400" s="81"/>
      <c r="K400" s="81"/>
    </row>
    <row r="401">
      <c r="A401" s="78" t="s">
        <v>334</v>
      </c>
      <c r="B401" s="47"/>
      <c r="C401" s="80" t="s">
        <v>11</v>
      </c>
      <c r="D401" s="80" t="str">
        <f t="shared" si="1"/>
        <v>-</v>
      </c>
      <c r="E401" s="9"/>
      <c r="F401" s="10"/>
      <c r="G401" s="9"/>
      <c r="H401" s="11"/>
      <c r="I401" s="9" t="s">
        <v>13</v>
      </c>
      <c r="J401" s="81"/>
      <c r="K401" s="81"/>
    </row>
    <row r="402">
      <c r="A402" s="78" t="s">
        <v>334</v>
      </c>
      <c r="B402" s="47"/>
      <c r="C402" s="80" t="s">
        <v>11</v>
      </c>
      <c r="D402" s="80" t="str">
        <f t="shared" si="1"/>
        <v>-</v>
      </c>
      <c r="E402" s="9"/>
      <c r="F402" s="10"/>
      <c r="G402" s="9"/>
      <c r="H402" s="11"/>
      <c r="I402" s="9" t="s">
        <v>13</v>
      </c>
      <c r="J402" s="81"/>
      <c r="K402" s="81"/>
    </row>
    <row r="403">
      <c r="A403" s="78" t="s">
        <v>334</v>
      </c>
      <c r="B403" s="47"/>
      <c r="C403" s="80" t="s">
        <v>11</v>
      </c>
      <c r="D403" s="80" t="str">
        <f t="shared" si="1"/>
        <v>-</v>
      </c>
      <c r="E403" s="9"/>
      <c r="F403" s="10"/>
      <c r="G403" s="9"/>
      <c r="H403" s="11"/>
      <c r="I403" s="9" t="s">
        <v>13</v>
      </c>
      <c r="J403" s="81"/>
      <c r="K403" s="81"/>
    </row>
    <row r="404">
      <c r="A404" s="78" t="s">
        <v>334</v>
      </c>
      <c r="B404" s="47"/>
      <c r="C404" s="80" t="s">
        <v>11</v>
      </c>
      <c r="D404" s="80" t="str">
        <f t="shared" si="1"/>
        <v>-</v>
      </c>
      <c r="E404" s="9"/>
      <c r="F404" s="10"/>
      <c r="G404" s="9"/>
      <c r="H404" s="11"/>
      <c r="I404" s="9" t="s">
        <v>13</v>
      </c>
      <c r="J404" s="81"/>
      <c r="K404" s="81"/>
    </row>
    <row r="405">
      <c r="A405" s="78" t="s">
        <v>334</v>
      </c>
      <c r="B405" s="47"/>
      <c r="C405" s="80" t="s">
        <v>11</v>
      </c>
      <c r="D405" s="80" t="str">
        <f t="shared" si="1"/>
        <v>-</v>
      </c>
      <c r="E405" s="9"/>
      <c r="F405" s="10"/>
      <c r="G405" s="9"/>
      <c r="H405" s="11"/>
      <c r="I405" s="9" t="s">
        <v>13</v>
      </c>
      <c r="J405" s="81"/>
      <c r="K405" s="81"/>
    </row>
    <row r="406">
      <c r="A406" s="78" t="s">
        <v>334</v>
      </c>
      <c r="B406" s="47"/>
      <c r="C406" s="80" t="s">
        <v>11</v>
      </c>
      <c r="D406" s="80" t="str">
        <f t="shared" si="1"/>
        <v>-</v>
      </c>
      <c r="E406" s="9"/>
      <c r="F406" s="10"/>
      <c r="G406" s="9"/>
      <c r="H406" s="11"/>
      <c r="I406" s="9" t="s">
        <v>13</v>
      </c>
      <c r="J406" s="81"/>
      <c r="K406" s="81"/>
    </row>
    <row r="407">
      <c r="A407" s="78" t="s">
        <v>334</v>
      </c>
      <c r="B407" s="47"/>
      <c r="C407" s="80" t="s">
        <v>11</v>
      </c>
      <c r="D407" s="80" t="str">
        <f t="shared" si="1"/>
        <v>-</v>
      </c>
      <c r="E407" s="9"/>
      <c r="F407" s="10"/>
      <c r="G407" s="9"/>
      <c r="H407" s="11"/>
      <c r="I407" s="9" t="s">
        <v>13</v>
      </c>
      <c r="J407" s="81"/>
      <c r="K407" s="81"/>
    </row>
    <row r="408">
      <c r="A408" s="78" t="s">
        <v>334</v>
      </c>
      <c r="B408" s="47"/>
      <c r="C408" s="80" t="s">
        <v>11</v>
      </c>
      <c r="D408" s="80" t="str">
        <f t="shared" si="1"/>
        <v>-</v>
      </c>
      <c r="E408" s="9"/>
      <c r="F408" s="10"/>
      <c r="G408" s="9"/>
      <c r="H408" s="11"/>
      <c r="I408" s="9" t="s">
        <v>13</v>
      </c>
      <c r="J408" s="81"/>
      <c r="K408" s="81"/>
    </row>
    <row r="409">
      <c r="A409" s="78" t="s">
        <v>334</v>
      </c>
      <c r="B409" s="47"/>
      <c r="C409" s="80" t="s">
        <v>11</v>
      </c>
      <c r="D409" s="80" t="str">
        <f t="shared" si="1"/>
        <v>-</v>
      </c>
      <c r="E409" s="9"/>
      <c r="F409" s="10"/>
      <c r="G409" s="9"/>
      <c r="H409" s="11"/>
      <c r="I409" s="9" t="s">
        <v>13</v>
      </c>
      <c r="J409" s="81"/>
      <c r="K409" s="81"/>
    </row>
    <row r="410">
      <c r="A410" s="78" t="s">
        <v>334</v>
      </c>
      <c r="B410" s="47"/>
      <c r="C410" s="80" t="s">
        <v>11</v>
      </c>
      <c r="D410" s="80" t="str">
        <f t="shared" si="1"/>
        <v>-</v>
      </c>
      <c r="E410" s="9"/>
      <c r="F410" s="10"/>
      <c r="G410" s="9"/>
      <c r="H410" s="11"/>
      <c r="I410" s="9" t="s">
        <v>13</v>
      </c>
      <c r="J410" s="81"/>
      <c r="K410" s="81"/>
    </row>
    <row r="411">
      <c r="A411" s="78" t="s">
        <v>334</v>
      </c>
      <c r="B411" s="47"/>
      <c r="C411" s="80" t="s">
        <v>11</v>
      </c>
      <c r="D411" s="80" t="str">
        <f t="shared" si="1"/>
        <v>-</v>
      </c>
      <c r="E411" s="9"/>
      <c r="F411" s="10"/>
      <c r="G411" s="9"/>
      <c r="H411" s="11"/>
      <c r="I411" s="9" t="s">
        <v>13</v>
      </c>
      <c r="J411" s="81"/>
      <c r="K411" s="81"/>
    </row>
    <row r="412">
      <c r="A412" s="78" t="s">
        <v>334</v>
      </c>
      <c r="B412" s="47"/>
      <c r="C412" s="80" t="s">
        <v>11</v>
      </c>
      <c r="D412" s="80" t="str">
        <f t="shared" si="1"/>
        <v>-</v>
      </c>
      <c r="E412" s="9"/>
      <c r="F412" s="10"/>
      <c r="G412" s="9"/>
      <c r="H412" s="11"/>
      <c r="I412" s="9" t="s">
        <v>13</v>
      </c>
      <c r="J412" s="81"/>
      <c r="K412" s="81"/>
    </row>
    <row r="413">
      <c r="A413" s="78" t="s">
        <v>334</v>
      </c>
      <c r="B413" s="47"/>
      <c r="C413" s="80" t="s">
        <v>11</v>
      </c>
      <c r="D413" s="80" t="str">
        <f t="shared" si="1"/>
        <v>-</v>
      </c>
      <c r="E413" s="9"/>
      <c r="F413" s="10"/>
      <c r="G413" s="9"/>
      <c r="H413" s="11"/>
      <c r="I413" s="9" t="s">
        <v>13</v>
      </c>
      <c r="J413" s="81"/>
      <c r="K413" s="81"/>
    </row>
    <row r="414">
      <c r="A414" s="78" t="s">
        <v>334</v>
      </c>
      <c r="B414" s="47"/>
      <c r="C414" s="80" t="s">
        <v>11</v>
      </c>
      <c r="D414" s="80" t="str">
        <f t="shared" si="1"/>
        <v>-</v>
      </c>
      <c r="E414" s="9"/>
      <c r="F414" s="10"/>
      <c r="G414" s="9"/>
      <c r="H414" s="11"/>
      <c r="I414" s="9" t="s">
        <v>13</v>
      </c>
      <c r="J414" s="81"/>
      <c r="K414" s="81"/>
    </row>
    <row r="415">
      <c r="A415" s="78" t="s">
        <v>334</v>
      </c>
      <c r="B415" s="47"/>
      <c r="C415" s="80" t="s">
        <v>11</v>
      </c>
      <c r="D415" s="80" t="str">
        <f t="shared" si="1"/>
        <v>-</v>
      </c>
      <c r="E415" s="9"/>
      <c r="F415" s="10"/>
      <c r="G415" s="9"/>
      <c r="H415" s="11"/>
      <c r="I415" s="9" t="s">
        <v>13</v>
      </c>
      <c r="J415" s="81"/>
      <c r="K415" s="81"/>
    </row>
    <row r="416">
      <c r="A416" s="78" t="s">
        <v>334</v>
      </c>
      <c r="B416" s="47"/>
      <c r="C416" s="80" t="s">
        <v>11</v>
      </c>
      <c r="D416" s="80" t="str">
        <f t="shared" si="1"/>
        <v>-</v>
      </c>
      <c r="E416" s="9"/>
      <c r="F416" s="10"/>
      <c r="G416" s="9"/>
      <c r="H416" s="11"/>
      <c r="I416" s="9" t="s">
        <v>13</v>
      </c>
      <c r="J416" s="81"/>
      <c r="K416" s="81"/>
    </row>
    <row r="417">
      <c r="A417" s="78" t="s">
        <v>334</v>
      </c>
      <c r="B417" s="47"/>
      <c r="C417" s="80" t="s">
        <v>11</v>
      </c>
      <c r="D417" s="80" t="str">
        <f t="shared" si="1"/>
        <v>-</v>
      </c>
      <c r="E417" s="9"/>
      <c r="F417" s="10"/>
      <c r="G417" s="9"/>
      <c r="H417" s="11"/>
      <c r="I417" s="9" t="s">
        <v>13</v>
      </c>
      <c r="J417" s="81"/>
      <c r="K417" s="81"/>
    </row>
    <row r="418">
      <c r="A418" s="78" t="s">
        <v>334</v>
      </c>
      <c r="B418" s="47"/>
      <c r="C418" s="80" t="s">
        <v>11</v>
      </c>
      <c r="D418" s="80" t="str">
        <f t="shared" si="1"/>
        <v>-</v>
      </c>
      <c r="E418" s="9"/>
      <c r="F418" s="10"/>
      <c r="G418" s="9"/>
      <c r="H418" s="11"/>
      <c r="I418" s="9" t="s">
        <v>13</v>
      </c>
      <c r="J418" s="81"/>
      <c r="K418" s="81"/>
    </row>
    <row r="419">
      <c r="A419" s="78" t="s">
        <v>334</v>
      </c>
      <c r="B419" s="47"/>
      <c r="C419" s="80" t="s">
        <v>11</v>
      </c>
      <c r="D419" s="80" t="str">
        <f t="shared" si="1"/>
        <v>-</v>
      </c>
      <c r="E419" s="9"/>
      <c r="F419" s="10"/>
      <c r="G419" s="9"/>
      <c r="H419" s="11"/>
      <c r="I419" s="9" t="s">
        <v>13</v>
      </c>
      <c r="J419" s="81"/>
      <c r="K419" s="81"/>
    </row>
    <row r="420">
      <c r="A420" s="78" t="s">
        <v>334</v>
      </c>
      <c r="B420" s="47"/>
      <c r="C420" s="80" t="s">
        <v>11</v>
      </c>
      <c r="D420" s="80" t="str">
        <f t="shared" si="1"/>
        <v>-</v>
      </c>
      <c r="E420" s="9"/>
      <c r="F420" s="10"/>
      <c r="G420" s="9"/>
      <c r="H420" s="11"/>
      <c r="I420" s="9" t="s">
        <v>13</v>
      </c>
      <c r="J420" s="81"/>
      <c r="K420" s="81"/>
    </row>
    <row r="421">
      <c r="A421" s="78" t="s">
        <v>334</v>
      </c>
      <c r="B421" s="47"/>
      <c r="C421" s="80" t="s">
        <v>11</v>
      </c>
      <c r="D421" s="80" t="str">
        <f t="shared" si="1"/>
        <v>-</v>
      </c>
      <c r="E421" s="9"/>
      <c r="F421" s="10"/>
      <c r="G421" s="9"/>
      <c r="H421" s="11"/>
      <c r="I421" s="9" t="s">
        <v>13</v>
      </c>
      <c r="J421" s="81"/>
      <c r="K421" s="81"/>
    </row>
    <row r="422">
      <c r="A422" s="78" t="s">
        <v>334</v>
      </c>
      <c r="B422" s="47"/>
      <c r="C422" s="80" t="s">
        <v>11</v>
      </c>
      <c r="D422" s="80" t="str">
        <f t="shared" si="1"/>
        <v>-</v>
      </c>
      <c r="E422" s="9"/>
      <c r="F422" s="10"/>
      <c r="G422" s="9"/>
      <c r="H422" s="11"/>
      <c r="I422" s="9" t="s">
        <v>13</v>
      </c>
      <c r="J422" s="81"/>
      <c r="K422" s="81"/>
    </row>
    <row r="423">
      <c r="A423" s="78" t="s">
        <v>334</v>
      </c>
      <c r="B423" s="47"/>
      <c r="C423" s="80" t="s">
        <v>11</v>
      </c>
      <c r="D423" s="80" t="str">
        <f t="shared" si="1"/>
        <v>-</v>
      </c>
      <c r="E423" s="9"/>
      <c r="F423" s="10"/>
      <c r="G423" s="9"/>
      <c r="H423" s="11"/>
      <c r="I423" s="9" t="s">
        <v>13</v>
      </c>
      <c r="J423" s="81"/>
      <c r="K423" s="81"/>
    </row>
    <row r="424">
      <c r="A424" s="78" t="s">
        <v>334</v>
      </c>
      <c r="B424" s="47"/>
      <c r="C424" s="80" t="s">
        <v>11</v>
      </c>
      <c r="D424" s="80" t="str">
        <f t="shared" si="1"/>
        <v>-</v>
      </c>
      <c r="E424" s="9"/>
      <c r="F424" s="10"/>
      <c r="G424" s="9"/>
      <c r="H424" s="11"/>
      <c r="I424" s="9" t="s">
        <v>13</v>
      </c>
      <c r="J424" s="81"/>
      <c r="K424" s="81"/>
    </row>
    <row r="425">
      <c r="A425" s="78" t="s">
        <v>334</v>
      </c>
      <c r="B425" s="47"/>
      <c r="C425" s="80" t="s">
        <v>11</v>
      </c>
      <c r="D425" s="80" t="str">
        <f t="shared" si="1"/>
        <v>-</v>
      </c>
      <c r="E425" s="9"/>
      <c r="F425" s="10"/>
      <c r="G425" s="9"/>
      <c r="H425" s="11"/>
      <c r="I425" s="9" t="s">
        <v>13</v>
      </c>
      <c r="J425" s="81"/>
      <c r="K425" s="81"/>
    </row>
    <row r="426">
      <c r="A426" s="78" t="s">
        <v>334</v>
      </c>
      <c r="B426" s="47"/>
      <c r="C426" s="80" t="s">
        <v>11</v>
      </c>
      <c r="D426" s="80" t="str">
        <f t="shared" si="1"/>
        <v>-</v>
      </c>
      <c r="E426" s="9"/>
      <c r="F426" s="10"/>
      <c r="G426" s="9"/>
      <c r="H426" s="11"/>
      <c r="I426" s="9" t="s">
        <v>13</v>
      </c>
      <c r="J426" s="81"/>
      <c r="K426" s="81"/>
    </row>
    <row r="427">
      <c r="A427" s="78" t="s">
        <v>334</v>
      </c>
      <c r="B427" s="47"/>
      <c r="C427" s="80" t="s">
        <v>11</v>
      </c>
      <c r="D427" s="80" t="str">
        <f t="shared" si="1"/>
        <v>-</v>
      </c>
      <c r="E427" s="9"/>
      <c r="F427" s="10"/>
      <c r="G427" s="9"/>
      <c r="H427" s="11"/>
      <c r="I427" s="9" t="s">
        <v>13</v>
      </c>
      <c r="J427" s="81"/>
      <c r="K427" s="81"/>
    </row>
    <row r="428">
      <c r="A428" s="78" t="s">
        <v>334</v>
      </c>
      <c r="B428" s="47"/>
      <c r="C428" s="80" t="s">
        <v>11</v>
      </c>
      <c r="D428" s="80" t="str">
        <f t="shared" si="1"/>
        <v>-</v>
      </c>
      <c r="E428" s="9"/>
      <c r="F428" s="10"/>
      <c r="G428" s="9"/>
      <c r="H428" s="11"/>
      <c r="I428" s="9" t="s">
        <v>13</v>
      </c>
      <c r="J428" s="81"/>
      <c r="K428" s="81"/>
    </row>
    <row r="429">
      <c r="A429" s="78" t="s">
        <v>334</v>
      </c>
      <c r="B429" s="47"/>
      <c r="C429" s="80" t="s">
        <v>11</v>
      </c>
      <c r="D429" s="80" t="str">
        <f t="shared" si="1"/>
        <v>-</v>
      </c>
      <c r="E429" s="9"/>
      <c r="F429" s="10"/>
      <c r="G429" s="9"/>
      <c r="H429" s="11"/>
      <c r="I429" s="9" t="s">
        <v>13</v>
      </c>
      <c r="J429" s="81"/>
      <c r="K429" s="81"/>
    </row>
    <row r="430">
      <c r="A430" s="78" t="s">
        <v>334</v>
      </c>
      <c r="B430" s="47"/>
      <c r="C430" s="80" t="s">
        <v>11</v>
      </c>
      <c r="D430" s="80" t="str">
        <f t="shared" si="1"/>
        <v>-</v>
      </c>
      <c r="E430" s="9"/>
      <c r="F430" s="10"/>
      <c r="G430" s="9"/>
      <c r="H430" s="11"/>
      <c r="I430" s="9" t="s">
        <v>13</v>
      </c>
      <c r="J430" s="81"/>
      <c r="K430" s="81"/>
    </row>
    <row r="431">
      <c r="A431" s="78" t="s">
        <v>334</v>
      </c>
      <c r="B431" s="47"/>
      <c r="C431" s="80" t="s">
        <v>11</v>
      </c>
      <c r="D431" s="80" t="str">
        <f t="shared" si="1"/>
        <v>-</v>
      </c>
      <c r="E431" s="9"/>
      <c r="F431" s="10"/>
      <c r="G431" s="9"/>
      <c r="H431" s="11"/>
      <c r="I431" s="9" t="s">
        <v>13</v>
      </c>
      <c r="J431" s="81"/>
      <c r="K431" s="81"/>
    </row>
    <row r="432">
      <c r="A432" s="78" t="s">
        <v>334</v>
      </c>
      <c r="B432" s="47"/>
      <c r="C432" s="80" t="s">
        <v>11</v>
      </c>
      <c r="D432" s="80" t="str">
        <f t="shared" si="1"/>
        <v>-</v>
      </c>
      <c r="E432" s="9"/>
      <c r="F432" s="10"/>
      <c r="G432" s="9"/>
      <c r="H432" s="11"/>
      <c r="I432" s="9" t="s">
        <v>13</v>
      </c>
      <c r="J432" s="81"/>
      <c r="K432" s="81"/>
    </row>
    <row r="433">
      <c r="A433" s="78" t="s">
        <v>334</v>
      </c>
      <c r="B433" s="47"/>
      <c r="C433" s="80" t="s">
        <v>11</v>
      </c>
      <c r="D433" s="80" t="str">
        <f t="shared" si="1"/>
        <v>-</v>
      </c>
      <c r="E433" s="9"/>
      <c r="F433" s="10"/>
      <c r="G433" s="9"/>
      <c r="H433" s="11"/>
      <c r="I433" s="9" t="s">
        <v>13</v>
      </c>
      <c r="J433" s="81"/>
      <c r="K433" s="81"/>
    </row>
    <row r="434">
      <c r="A434" s="78" t="s">
        <v>334</v>
      </c>
      <c r="B434" s="47"/>
      <c r="C434" s="80" t="s">
        <v>11</v>
      </c>
      <c r="D434" s="80" t="str">
        <f t="shared" si="1"/>
        <v>-</v>
      </c>
      <c r="E434" s="9"/>
      <c r="F434" s="10"/>
      <c r="G434" s="9"/>
      <c r="H434" s="11"/>
      <c r="I434" s="9" t="s">
        <v>13</v>
      </c>
      <c r="J434" s="81"/>
      <c r="K434" s="81"/>
    </row>
    <row r="435">
      <c r="A435" s="78" t="s">
        <v>334</v>
      </c>
      <c r="B435" s="47"/>
      <c r="C435" s="80" t="s">
        <v>11</v>
      </c>
      <c r="D435" s="80" t="str">
        <f t="shared" si="1"/>
        <v>-</v>
      </c>
      <c r="E435" s="9"/>
      <c r="F435" s="10"/>
      <c r="G435" s="9"/>
      <c r="H435" s="11"/>
      <c r="I435" s="9" t="s">
        <v>13</v>
      </c>
      <c r="J435" s="81"/>
      <c r="K435" s="81"/>
    </row>
    <row r="436">
      <c r="A436" s="78" t="s">
        <v>334</v>
      </c>
      <c r="B436" s="47"/>
      <c r="C436" s="80" t="s">
        <v>11</v>
      </c>
      <c r="D436" s="80" t="str">
        <f t="shared" si="1"/>
        <v>-</v>
      </c>
      <c r="E436" s="9"/>
      <c r="F436" s="10"/>
      <c r="G436" s="9"/>
      <c r="H436" s="11"/>
      <c r="I436" s="9" t="s">
        <v>13</v>
      </c>
      <c r="J436" s="81"/>
      <c r="K436" s="81"/>
    </row>
    <row r="437">
      <c r="A437" s="78" t="s">
        <v>334</v>
      </c>
      <c r="B437" s="47"/>
      <c r="C437" s="80" t="s">
        <v>11</v>
      </c>
      <c r="D437" s="80" t="str">
        <f t="shared" si="1"/>
        <v>-</v>
      </c>
      <c r="E437" s="9"/>
      <c r="F437" s="10"/>
      <c r="G437" s="9"/>
      <c r="H437" s="11"/>
      <c r="I437" s="9" t="s">
        <v>13</v>
      </c>
      <c r="J437" s="81"/>
      <c r="K437" s="81"/>
    </row>
    <row r="438">
      <c r="A438" s="78" t="s">
        <v>334</v>
      </c>
      <c r="B438" s="47"/>
      <c r="C438" s="80" t="s">
        <v>11</v>
      </c>
      <c r="D438" s="80" t="str">
        <f t="shared" si="1"/>
        <v>-</v>
      </c>
      <c r="E438" s="9"/>
      <c r="F438" s="10"/>
      <c r="G438" s="9"/>
      <c r="H438" s="11"/>
      <c r="I438" s="9" t="s">
        <v>13</v>
      </c>
      <c r="J438" s="81"/>
      <c r="K438" s="81"/>
    </row>
    <row r="439">
      <c r="A439" s="78" t="s">
        <v>334</v>
      </c>
      <c r="B439" s="47"/>
      <c r="C439" s="80" t="s">
        <v>11</v>
      </c>
      <c r="D439" s="80" t="str">
        <f t="shared" si="1"/>
        <v>-</v>
      </c>
      <c r="E439" s="9"/>
      <c r="F439" s="10"/>
      <c r="G439" s="9"/>
      <c r="H439" s="11"/>
      <c r="I439" s="9" t="s">
        <v>13</v>
      </c>
      <c r="J439" s="81"/>
      <c r="K439" s="81"/>
    </row>
    <row r="440">
      <c r="A440" s="78" t="s">
        <v>334</v>
      </c>
      <c r="B440" s="47"/>
      <c r="C440" s="80" t="s">
        <v>11</v>
      </c>
      <c r="D440" s="80" t="str">
        <f t="shared" si="1"/>
        <v>-</v>
      </c>
      <c r="E440" s="9"/>
      <c r="F440" s="10"/>
      <c r="G440" s="9"/>
      <c r="H440" s="11"/>
      <c r="I440" s="9" t="s">
        <v>13</v>
      </c>
      <c r="J440" s="81"/>
      <c r="K440" s="81"/>
    </row>
    <row r="441">
      <c r="A441" s="78" t="s">
        <v>334</v>
      </c>
      <c r="B441" s="47"/>
      <c r="C441" s="80" t="s">
        <v>11</v>
      </c>
      <c r="D441" s="80" t="str">
        <f t="shared" si="1"/>
        <v>-</v>
      </c>
      <c r="E441" s="9"/>
      <c r="F441" s="10"/>
      <c r="G441" s="9"/>
      <c r="H441" s="11"/>
      <c r="I441" s="9" t="s">
        <v>13</v>
      </c>
      <c r="J441" s="81"/>
      <c r="K441" s="81"/>
    </row>
    <row r="442">
      <c r="A442" s="78" t="s">
        <v>334</v>
      </c>
      <c r="B442" s="47"/>
      <c r="C442" s="80" t="s">
        <v>11</v>
      </c>
      <c r="D442" s="80" t="str">
        <f t="shared" si="1"/>
        <v>-</v>
      </c>
      <c r="E442" s="9"/>
      <c r="F442" s="10"/>
      <c r="G442" s="9"/>
      <c r="H442" s="11"/>
      <c r="I442" s="9" t="s">
        <v>13</v>
      </c>
      <c r="J442" s="81"/>
      <c r="K442" s="81"/>
    </row>
    <row r="443">
      <c r="A443" s="78" t="s">
        <v>334</v>
      </c>
      <c r="B443" s="47"/>
      <c r="C443" s="80" t="s">
        <v>11</v>
      </c>
      <c r="D443" s="80" t="str">
        <f t="shared" si="1"/>
        <v>-</v>
      </c>
      <c r="E443" s="9"/>
      <c r="F443" s="10"/>
      <c r="G443" s="9"/>
      <c r="H443" s="11"/>
      <c r="I443" s="9" t="s">
        <v>13</v>
      </c>
      <c r="J443" s="81"/>
      <c r="K443" s="81"/>
    </row>
    <row r="444">
      <c r="A444" s="78" t="s">
        <v>334</v>
      </c>
      <c r="B444" s="47"/>
      <c r="C444" s="80" t="s">
        <v>11</v>
      </c>
      <c r="D444" s="80" t="str">
        <f t="shared" si="1"/>
        <v>-</v>
      </c>
      <c r="E444" s="9"/>
      <c r="F444" s="10"/>
      <c r="G444" s="9"/>
      <c r="H444" s="11"/>
      <c r="I444" s="9" t="s">
        <v>13</v>
      </c>
      <c r="J444" s="81"/>
      <c r="K444" s="81"/>
    </row>
    <row r="445">
      <c r="A445" s="78" t="s">
        <v>334</v>
      </c>
      <c r="B445" s="47"/>
      <c r="C445" s="80" t="s">
        <v>11</v>
      </c>
      <c r="D445" s="80" t="str">
        <f t="shared" si="1"/>
        <v>-</v>
      </c>
      <c r="E445" s="9"/>
      <c r="F445" s="10"/>
      <c r="G445" s="9"/>
      <c r="H445" s="11"/>
      <c r="I445" s="9" t="s">
        <v>13</v>
      </c>
      <c r="J445" s="81"/>
      <c r="K445" s="81"/>
    </row>
    <row r="446">
      <c r="A446" s="78" t="s">
        <v>334</v>
      </c>
      <c r="B446" s="47"/>
      <c r="C446" s="80" t="s">
        <v>11</v>
      </c>
      <c r="D446" s="80" t="str">
        <f t="shared" si="1"/>
        <v>-</v>
      </c>
      <c r="E446" s="9"/>
      <c r="F446" s="10"/>
      <c r="G446" s="9"/>
      <c r="H446" s="11"/>
      <c r="I446" s="9" t="s">
        <v>13</v>
      </c>
      <c r="J446" s="81"/>
      <c r="K446" s="81"/>
    </row>
    <row r="447">
      <c r="A447" s="78" t="s">
        <v>334</v>
      </c>
      <c r="B447" s="47"/>
      <c r="C447" s="80" t="s">
        <v>11</v>
      </c>
      <c r="D447" s="80" t="str">
        <f t="shared" si="1"/>
        <v>-</v>
      </c>
      <c r="E447" s="9"/>
      <c r="F447" s="10"/>
      <c r="G447" s="9"/>
      <c r="H447" s="11"/>
      <c r="I447" s="9" t="s">
        <v>13</v>
      </c>
      <c r="J447" s="81"/>
      <c r="K447" s="81"/>
    </row>
    <row r="448">
      <c r="A448" s="78" t="s">
        <v>334</v>
      </c>
      <c r="B448" s="47"/>
      <c r="C448" s="80" t="s">
        <v>11</v>
      </c>
      <c r="D448" s="80" t="str">
        <f t="shared" si="1"/>
        <v>-</v>
      </c>
      <c r="E448" s="9"/>
      <c r="F448" s="10"/>
      <c r="G448" s="9"/>
      <c r="H448" s="11"/>
      <c r="I448" s="9" t="s">
        <v>13</v>
      </c>
      <c r="J448" s="81"/>
      <c r="K448" s="81"/>
    </row>
    <row r="449">
      <c r="A449" s="78" t="s">
        <v>334</v>
      </c>
      <c r="B449" s="47"/>
      <c r="C449" s="80" t="s">
        <v>11</v>
      </c>
      <c r="D449" s="80" t="str">
        <f t="shared" si="1"/>
        <v>-</v>
      </c>
      <c r="E449" s="9"/>
      <c r="F449" s="10"/>
      <c r="G449" s="9"/>
      <c r="H449" s="11"/>
      <c r="I449" s="9" t="s">
        <v>13</v>
      </c>
      <c r="J449" s="81"/>
      <c r="K449" s="81"/>
    </row>
    <row r="450">
      <c r="A450" s="78" t="s">
        <v>334</v>
      </c>
      <c r="B450" s="47"/>
      <c r="C450" s="80" t="s">
        <v>11</v>
      </c>
      <c r="D450" s="80" t="str">
        <f t="shared" si="1"/>
        <v>-</v>
      </c>
      <c r="E450" s="9"/>
      <c r="F450" s="10"/>
      <c r="G450" s="9"/>
      <c r="H450" s="11"/>
      <c r="I450" s="9" t="s">
        <v>13</v>
      </c>
      <c r="J450" s="81"/>
      <c r="K450" s="81"/>
    </row>
    <row r="451">
      <c r="A451" s="78" t="s">
        <v>334</v>
      </c>
      <c r="B451" s="47"/>
      <c r="C451" s="80" t="s">
        <v>11</v>
      </c>
      <c r="D451" s="80" t="str">
        <f t="shared" si="1"/>
        <v>-</v>
      </c>
      <c r="E451" s="9"/>
      <c r="F451" s="10"/>
      <c r="G451" s="9"/>
      <c r="H451" s="11"/>
      <c r="I451" s="9" t="s">
        <v>13</v>
      </c>
      <c r="J451" s="81"/>
      <c r="K451" s="81"/>
    </row>
    <row r="452">
      <c r="A452" s="78" t="s">
        <v>334</v>
      </c>
      <c r="B452" s="47"/>
      <c r="C452" s="80" t="s">
        <v>11</v>
      </c>
      <c r="D452" s="80" t="str">
        <f t="shared" si="1"/>
        <v>-</v>
      </c>
      <c r="E452" s="9"/>
      <c r="F452" s="10"/>
      <c r="G452" s="9"/>
      <c r="H452" s="11"/>
      <c r="I452" s="9" t="s">
        <v>13</v>
      </c>
      <c r="J452" s="81"/>
      <c r="K452" s="81"/>
    </row>
    <row r="453">
      <c r="A453" s="78" t="s">
        <v>334</v>
      </c>
      <c r="B453" s="47"/>
      <c r="C453" s="80" t="s">
        <v>11</v>
      </c>
      <c r="D453" s="80" t="str">
        <f t="shared" si="1"/>
        <v>-</v>
      </c>
      <c r="E453" s="9"/>
      <c r="F453" s="10"/>
      <c r="G453" s="9"/>
      <c r="H453" s="11"/>
      <c r="I453" s="9" t="s">
        <v>13</v>
      </c>
      <c r="J453" s="81"/>
      <c r="K453" s="81"/>
    </row>
    <row r="454">
      <c r="A454" s="78" t="s">
        <v>334</v>
      </c>
      <c r="B454" s="47"/>
      <c r="C454" s="80" t="s">
        <v>11</v>
      </c>
      <c r="D454" s="80" t="str">
        <f t="shared" si="1"/>
        <v>-</v>
      </c>
      <c r="E454" s="9"/>
      <c r="F454" s="10"/>
      <c r="G454" s="9"/>
      <c r="H454" s="11"/>
      <c r="I454" s="9" t="s">
        <v>13</v>
      </c>
      <c r="J454" s="81"/>
      <c r="K454" s="81"/>
    </row>
    <row r="455">
      <c r="A455" s="78" t="s">
        <v>334</v>
      </c>
      <c r="B455" s="47"/>
      <c r="C455" s="80" t="s">
        <v>11</v>
      </c>
      <c r="D455" s="80" t="str">
        <f t="shared" si="1"/>
        <v>-</v>
      </c>
      <c r="E455" s="9"/>
      <c r="F455" s="10"/>
      <c r="G455" s="9"/>
      <c r="H455" s="11"/>
      <c r="I455" s="9" t="s">
        <v>13</v>
      </c>
      <c r="J455" s="81"/>
      <c r="K455" s="81"/>
    </row>
    <row r="456">
      <c r="A456" s="78" t="s">
        <v>334</v>
      </c>
      <c r="B456" s="47"/>
      <c r="C456" s="80" t="s">
        <v>11</v>
      </c>
      <c r="D456" s="80" t="str">
        <f t="shared" si="1"/>
        <v>-</v>
      </c>
      <c r="E456" s="9"/>
      <c r="F456" s="10"/>
      <c r="G456" s="9"/>
      <c r="H456" s="11"/>
      <c r="I456" s="9" t="s">
        <v>13</v>
      </c>
      <c r="J456" s="81"/>
      <c r="K456" s="81"/>
    </row>
    <row r="457">
      <c r="A457" s="78" t="s">
        <v>334</v>
      </c>
      <c r="B457" s="47"/>
      <c r="C457" s="80" t="s">
        <v>11</v>
      </c>
      <c r="D457" s="80" t="str">
        <f t="shared" si="1"/>
        <v>-</v>
      </c>
      <c r="E457" s="9"/>
      <c r="F457" s="10"/>
      <c r="G457" s="9"/>
      <c r="H457" s="11"/>
      <c r="I457" s="9" t="s">
        <v>13</v>
      </c>
      <c r="J457" s="81"/>
      <c r="K457" s="81"/>
    </row>
    <row r="458">
      <c r="A458" s="78" t="s">
        <v>334</v>
      </c>
      <c r="B458" s="47"/>
      <c r="C458" s="80" t="s">
        <v>11</v>
      </c>
      <c r="D458" s="80" t="str">
        <f t="shared" si="1"/>
        <v>-</v>
      </c>
      <c r="E458" s="9"/>
      <c r="F458" s="10"/>
      <c r="G458" s="9"/>
      <c r="H458" s="11"/>
      <c r="I458" s="9" t="s">
        <v>13</v>
      </c>
      <c r="J458" s="81"/>
      <c r="K458" s="81"/>
    </row>
    <row r="459">
      <c r="A459" s="78" t="s">
        <v>334</v>
      </c>
      <c r="B459" s="47"/>
      <c r="C459" s="80" t="s">
        <v>11</v>
      </c>
      <c r="D459" s="80" t="str">
        <f t="shared" si="1"/>
        <v>-</v>
      </c>
      <c r="E459" s="9"/>
      <c r="F459" s="10"/>
      <c r="G459" s="9"/>
      <c r="H459" s="11"/>
      <c r="I459" s="9" t="s">
        <v>13</v>
      </c>
      <c r="J459" s="81"/>
      <c r="K459" s="81"/>
    </row>
    <row r="460">
      <c r="A460" s="78" t="s">
        <v>334</v>
      </c>
      <c r="B460" s="47"/>
      <c r="C460" s="80" t="s">
        <v>11</v>
      </c>
      <c r="D460" s="80" t="str">
        <f t="shared" si="1"/>
        <v>-</v>
      </c>
      <c r="E460" s="9"/>
      <c r="F460" s="10"/>
      <c r="G460" s="9"/>
      <c r="H460" s="11"/>
      <c r="I460" s="9" t="s">
        <v>13</v>
      </c>
      <c r="J460" s="81"/>
      <c r="K460" s="81"/>
    </row>
    <row r="461">
      <c r="A461" s="78" t="s">
        <v>334</v>
      </c>
      <c r="B461" s="47"/>
      <c r="C461" s="80" t="s">
        <v>11</v>
      </c>
      <c r="D461" s="80" t="str">
        <f t="shared" si="1"/>
        <v>-</v>
      </c>
      <c r="E461" s="9"/>
      <c r="F461" s="10"/>
      <c r="G461" s="9"/>
      <c r="H461" s="11"/>
      <c r="I461" s="9" t="s">
        <v>13</v>
      </c>
      <c r="J461" s="81"/>
      <c r="K461" s="81"/>
    </row>
    <row r="462">
      <c r="A462" s="78" t="s">
        <v>334</v>
      </c>
      <c r="B462" s="47"/>
      <c r="C462" s="80" t="s">
        <v>11</v>
      </c>
      <c r="D462" s="80" t="str">
        <f t="shared" si="1"/>
        <v>-</v>
      </c>
      <c r="E462" s="9"/>
      <c r="F462" s="10"/>
      <c r="G462" s="9"/>
      <c r="H462" s="11"/>
      <c r="I462" s="9" t="s">
        <v>13</v>
      </c>
      <c r="J462" s="81"/>
      <c r="K462" s="81"/>
    </row>
    <row r="463">
      <c r="A463" s="78" t="s">
        <v>334</v>
      </c>
      <c r="B463" s="47"/>
      <c r="C463" s="80" t="s">
        <v>11</v>
      </c>
      <c r="D463" s="80" t="str">
        <f t="shared" si="1"/>
        <v>-</v>
      </c>
      <c r="E463" s="9"/>
      <c r="F463" s="10"/>
      <c r="G463" s="9"/>
      <c r="H463" s="11"/>
      <c r="I463" s="9" t="s">
        <v>13</v>
      </c>
      <c r="J463" s="81"/>
      <c r="K463" s="81"/>
    </row>
    <row r="464">
      <c r="A464" s="78" t="s">
        <v>334</v>
      </c>
      <c r="B464" s="47"/>
      <c r="C464" s="80" t="s">
        <v>11</v>
      </c>
      <c r="D464" s="80" t="str">
        <f t="shared" si="1"/>
        <v>-</v>
      </c>
      <c r="E464" s="9"/>
      <c r="F464" s="10"/>
      <c r="G464" s="9"/>
      <c r="H464" s="11"/>
      <c r="I464" s="9" t="s">
        <v>13</v>
      </c>
      <c r="J464" s="81"/>
      <c r="K464" s="81"/>
    </row>
    <row r="465">
      <c r="A465" s="78" t="s">
        <v>334</v>
      </c>
      <c r="B465" s="47"/>
      <c r="C465" s="80" t="s">
        <v>11</v>
      </c>
      <c r="D465" s="80" t="str">
        <f t="shared" si="1"/>
        <v>-</v>
      </c>
      <c r="E465" s="9"/>
      <c r="F465" s="10"/>
      <c r="G465" s="9"/>
      <c r="H465" s="11"/>
      <c r="I465" s="9" t="s">
        <v>13</v>
      </c>
      <c r="J465" s="81"/>
      <c r="K465" s="81"/>
    </row>
    <row r="466">
      <c r="A466" s="78" t="s">
        <v>334</v>
      </c>
      <c r="B466" s="47"/>
      <c r="C466" s="80" t="s">
        <v>11</v>
      </c>
      <c r="D466" s="80" t="str">
        <f t="shared" si="1"/>
        <v>-</v>
      </c>
      <c r="E466" s="9"/>
      <c r="F466" s="10"/>
      <c r="G466" s="9"/>
      <c r="H466" s="11"/>
      <c r="I466" s="9" t="s">
        <v>13</v>
      </c>
      <c r="J466" s="81"/>
      <c r="K466" s="81"/>
    </row>
    <row r="467">
      <c r="A467" s="78" t="s">
        <v>334</v>
      </c>
      <c r="B467" s="47"/>
      <c r="C467" s="80" t="s">
        <v>11</v>
      </c>
      <c r="D467" s="80" t="str">
        <f t="shared" si="1"/>
        <v>-</v>
      </c>
      <c r="E467" s="9"/>
      <c r="F467" s="10"/>
      <c r="G467" s="9"/>
      <c r="H467" s="11"/>
      <c r="I467" s="9" t="s">
        <v>13</v>
      </c>
      <c r="J467" s="81"/>
      <c r="K467" s="81"/>
    </row>
    <row r="468">
      <c r="A468" s="78" t="s">
        <v>334</v>
      </c>
      <c r="B468" s="47"/>
      <c r="C468" s="80" t="s">
        <v>11</v>
      </c>
      <c r="D468" s="80" t="str">
        <f t="shared" si="1"/>
        <v>-</v>
      </c>
      <c r="E468" s="9"/>
      <c r="F468" s="10"/>
      <c r="G468" s="9"/>
      <c r="H468" s="11"/>
      <c r="I468" s="9" t="s">
        <v>13</v>
      </c>
      <c r="J468" s="81"/>
      <c r="K468" s="81"/>
    </row>
    <row r="469">
      <c r="A469" s="78" t="s">
        <v>334</v>
      </c>
      <c r="B469" s="47"/>
      <c r="C469" s="80" t="s">
        <v>11</v>
      </c>
      <c r="D469" s="80" t="str">
        <f t="shared" si="1"/>
        <v>-</v>
      </c>
      <c r="E469" s="9"/>
      <c r="F469" s="10"/>
      <c r="G469" s="9"/>
      <c r="H469" s="11"/>
      <c r="I469" s="9" t="s">
        <v>13</v>
      </c>
      <c r="J469" s="81"/>
      <c r="K469" s="81"/>
    </row>
    <row r="470">
      <c r="A470" s="78" t="s">
        <v>334</v>
      </c>
      <c r="B470" s="47"/>
      <c r="C470" s="80" t="s">
        <v>11</v>
      </c>
      <c r="D470" s="80" t="str">
        <f t="shared" si="1"/>
        <v>-</v>
      </c>
      <c r="E470" s="9"/>
      <c r="F470" s="10"/>
      <c r="G470" s="9"/>
      <c r="H470" s="11"/>
      <c r="I470" s="9" t="s">
        <v>13</v>
      </c>
      <c r="J470" s="81"/>
      <c r="K470" s="81"/>
    </row>
    <row r="471">
      <c r="A471" s="78" t="s">
        <v>334</v>
      </c>
      <c r="B471" s="47"/>
      <c r="C471" s="80" t="s">
        <v>11</v>
      </c>
      <c r="D471" s="80" t="str">
        <f t="shared" si="1"/>
        <v>-</v>
      </c>
      <c r="E471" s="9"/>
      <c r="F471" s="10"/>
      <c r="G471" s="9"/>
      <c r="H471" s="11"/>
      <c r="I471" s="9" t="s">
        <v>13</v>
      </c>
      <c r="J471" s="81"/>
      <c r="K471" s="81"/>
    </row>
    <row r="472">
      <c r="A472" s="78" t="s">
        <v>334</v>
      </c>
      <c r="B472" s="47"/>
      <c r="C472" s="80" t="s">
        <v>11</v>
      </c>
      <c r="D472" s="80" t="str">
        <f t="shared" si="1"/>
        <v>-</v>
      </c>
      <c r="E472" s="9"/>
      <c r="F472" s="10"/>
      <c r="G472" s="9"/>
      <c r="H472" s="11"/>
      <c r="I472" s="9" t="s">
        <v>13</v>
      </c>
      <c r="J472" s="81"/>
      <c r="K472" s="81"/>
    </row>
    <row r="473">
      <c r="A473" s="78" t="s">
        <v>334</v>
      </c>
      <c r="B473" s="47"/>
      <c r="C473" s="80" t="s">
        <v>11</v>
      </c>
      <c r="D473" s="80" t="str">
        <f t="shared" si="1"/>
        <v>-</v>
      </c>
      <c r="E473" s="9"/>
      <c r="F473" s="10"/>
      <c r="G473" s="9"/>
      <c r="H473" s="11"/>
      <c r="I473" s="9" t="s">
        <v>13</v>
      </c>
      <c r="J473" s="81"/>
      <c r="K473" s="81"/>
    </row>
    <row r="474">
      <c r="A474" s="78" t="s">
        <v>334</v>
      </c>
      <c r="B474" s="47"/>
      <c r="C474" s="80" t="s">
        <v>11</v>
      </c>
      <c r="D474" s="80" t="str">
        <f t="shared" si="1"/>
        <v>-</v>
      </c>
      <c r="E474" s="9"/>
      <c r="F474" s="10"/>
      <c r="G474" s="9"/>
      <c r="H474" s="11"/>
      <c r="I474" s="9" t="s">
        <v>13</v>
      </c>
      <c r="J474" s="81"/>
      <c r="K474" s="81"/>
    </row>
    <row r="475">
      <c r="A475" s="78" t="s">
        <v>334</v>
      </c>
      <c r="B475" s="47"/>
      <c r="C475" s="80" t="s">
        <v>11</v>
      </c>
      <c r="D475" s="80" t="str">
        <f t="shared" si="1"/>
        <v>-</v>
      </c>
      <c r="E475" s="9"/>
      <c r="F475" s="10"/>
      <c r="G475" s="9"/>
      <c r="H475" s="11"/>
      <c r="I475" s="9" t="s">
        <v>13</v>
      </c>
      <c r="J475" s="81"/>
      <c r="K475" s="81"/>
    </row>
    <row r="476">
      <c r="A476" s="78" t="s">
        <v>334</v>
      </c>
      <c r="B476" s="47"/>
      <c r="C476" s="80" t="s">
        <v>11</v>
      </c>
      <c r="D476" s="80" t="str">
        <f t="shared" si="1"/>
        <v>-</v>
      </c>
      <c r="E476" s="9"/>
      <c r="F476" s="10"/>
      <c r="G476" s="9"/>
      <c r="H476" s="11"/>
      <c r="I476" s="9" t="s">
        <v>13</v>
      </c>
      <c r="J476" s="81"/>
      <c r="K476" s="81"/>
    </row>
    <row r="477">
      <c r="A477" s="78" t="s">
        <v>334</v>
      </c>
      <c r="B477" s="47"/>
      <c r="C477" s="80" t="s">
        <v>11</v>
      </c>
      <c r="D477" s="80" t="str">
        <f t="shared" si="1"/>
        <v>-</v>
      </c>
      <c r="E477" s="9"/>
      <c r="F477" s="10"/>
      <c r="G477" s="9"/>
      <c r="H477" s="11"/>
      <c r="I477" s="9" t="s">
        <v>13</v>
      </c>
      <c r="J477" s="81"/>
      <c r="K477" s="81"/>
    </row>
    <row r="478">
      <c r="A478" s="78" t="s">
        <v>334</v>
      </c>
      <c r="B478" s="47"/>
      <c r="C478" s="80" t="s">
        <v>11</v>
      </c>
      <c r="D478" s="80" t="str">
        <f t="shared" si="1"/>
        <v>-</v>
      </c>
      <c r="E478" s="9"/>
      <c r="F478" s="10"/>
      <c r="G478" s="9"/>
      <c r="H478" s="11"/>
      <c r="I478" s="9" t="s">
        <v>13</v>
      </c>
      <c r="J478" s="81"/>
      <c r="K478" s="81"/>
    </row>
    <row r="479">
      <c r="A479" s="78" t="s">
        <v>334</v>
      </c>
      <c r="B479" s="47"/>
      <c r="C479" s="80" t="s">
        <v>11</v>
      </c>
      <c r="D479" s="80" t="str">
        <f t="shared" si="1"/>
        <v>-</v>
      </c>
      <c r="E479" s="9"/>
      <c r="F479" s="10"/>
      <c r="G479" s="9"/>
      <c r="H479" s="11"/>
      <c r="I479" s="9" t="s">
        <v>13</v>
      </c>
      <c r="J479" s="81"/>
      <c r="K479" s="81"/>
    </row>
    <row r="480">
      <c r="A480" s="78" t="s">
        <v>334</v>
      </c>
      <c r="B480" s="47"/>
      <c r="C480" s="80" t="s">
        <v>11</v>
      </c>
      <c r="D480" s="80" t="str">
        <f t="shared" si="1"/>
        <v>-</v>
      </c>
      <c r="E480" s="9"/>
      <c r="F480" s="10"/>
      <c r="G480" s="9"/>
      <c r="H480" s="11"/>
      <c r="I480" s="9" t="s">
        <v>13</v>
      </c>
      <c r="J480" s="81"/>
      <c r="K480" s="81"/>
    </row>
    <row r="481">
      <c r="A481" s="78" t="s">
        <v>334</v>
      </c>
      <c r="B481" s="47"/>
      <c r="C481" s="80" t="s">
        <v>11</v>
      </c>
      <c r="D481" s="80" t="str">
        <f t="shared" si="1"/>
        <v>-</v>
      </c>
      <c r="E481" s="9"/>
      <c r="F481" s="10"/>
      <c r="G481" s="9"/>
      <c r="H481" s="11"/>
      <c r="I481" s="9" t="s">
        <v>13</v>
      </c>
      <c r="J481" s="81"/>
      <c r="K481" s="81"/>
    </row>
    <row r="482">
      <c r="A482" s="78" t="s">
        <v>334</v>
      </c>
      <c r="B482" s="47"/>
      <c r="C482" s="80" t="s">
        <v>11</v>
      </c>
      <c r="D482" s="80" t="str">
        <f t="shared" si="1"/>
        <v>-</v>
      </c>
      <c r="E482" s="9"/>
      <c r="F482" s="10"/>
      <c r="G482" s="9"/>
      <c r="H482" s="11"/>
      <c r="I482" s="9" t="s">
        <v>13</v>
      </c>
      <c r="J482" s="81"/>
      <c r="K482" s="81"/>
    </row>
    <row r="483">
      <c r="A483" s="78" t="s">
        <v>334</v>
      </c>
      <c r="B483" s="47"/>
      <c r="C483" s="80" t="s">
        <v>11</v>
      </c>
      <c r="D483" s="80" t="str">
        <f t="shared" si="1"/>
        <v>-</v>
      </c>
      <c r="E483" s="9"/>
      <c r="F483" s="10"/>
      <c r="G483" s="9"/>
      <c r="H483" s="11"/>
      <c r="I483" s="9" t="s">
        <v>13</v>
      </c>
      <c r="J483" s="81"/>
      <c r="K483" s="81"/>
    </row>
    <row r="484">
      <c r="A484" s="78" t="s">
        <v>334</v>
      </c>
      <c r="B484" s="47"/>
      <c r="C484" s="80" t="s">
        <v>11</v>
      </c>
      <c r="D484" s="80" t="str">
        <f t="shared" si="1"/>
        <v>-</v>
      </c>
      <c r="E484" s="9"/>
      <c r="F484" s="10"/>
      <c r="G484" s="9"/>
      <c r="H484" s="11"/>
      <c r="I484" s="9" t="s">
        <v>13</v>
      </c>
      <c r="J484" s="81"/>
      <c r="K484" s="81"/>
    </row>
    <row r="485">
      <c r="A485" s="78" t="s">
        <v>334</v>
      </c>
      <c r="B485" s="47"/>
      <c r="C485" s="80" t="s">
        <v>11</v>
      </c>
      <c r="D485" s="80" t="str">
        <f t="shared" si="1"/>
        <v>-</v>
      </c>
      <c r="E485" s="9"/>
      <c r="F485" s="10"/>
      <c r="G485" s="9"/>
      <c r="H485" s="11"/>
      <c r="I485" s="9" t="s">
        <v>13</v>
      </c>
      <c r="J485" s="81"/>
      <c r="K485" s="81"/>
    </row>
    <row r="486">
      <c r="A486" s="78" t="s">
        <v>334</v>
      </c>
      <c r="B486" s="47"/>
      <c r="C486" s="80" t="s">
        <v>11</v>
      </c>
      <c r="D486" s="80" t="str">
        <f t="shared" si="1"/>
        <v>-</v>
      </c>
      <c r="E486" s="9"/>
      <c r="F486" s="10"/>
      <c r="G486" s="9"/>
      <c r="H486" s="11"/>
      <c r="I486" s="9" t="s">
        <v>13</v>
      </c>
      <c r="J486" s="81"/>
      <c r="K486" s="81"/>
    </row>
    <row r="487">
      <c r="A487" s="78" t="s">
        <v>334</v>
      </c>
      <c r="B487" s="47"/>
      <c r="C487" s="80" t="s">
        <v>11</v>
      </c>
      <c r="D487" s="80" t="str">
        <f t="shared" si="1"/>
        <v>-</v>
      </c>
      <c r="E487" s="9"/>
      <c r="F487" s="10"/>
      <c r="G487" s="9"/>
      <c r="H487" s="11"/>
      <c r="I487" s="9" t="s">
        <v>13</v>
      </c>
      <c r="J487" s="81"/>
      <c r="K487" s="81"/>
    </row>
    <row r="488">
      <c r="A488" s="78" t="s">
        <v>334</v>
      </c>
      <c r="B488" s="47"/>
      <c r="C488" s="80" t="s">
        <v>11</v>
      </c>
      <c r="D488" s="80" t="str">
        <f t="shared" si="1"/>
        <v>-</v>
      </c>
      <c r="E488" s="9"/>
      <c r="F488" s="10"/>
      <c r="G488" s="9"/>
      <c r="H488" s="11"/>
      <c r="I488" s="9" t="s">
        <v>13</v>
      </c>
      <c r="J488" s="81"/>
      <c r="K488" s="81"/>
    </row>
    <row r="489">
      <c r="A489" s="78" t="s">
        <v>334</v>
      </c>
      <c r="B489" s="47"/>
      <c r="C489" s="80" t="s">
        <v>11</v>
      </c>
      <c r="D489" s="80" t="str">
        <f t="shared" si="1"/>
        <v>-</v>
      </c>
      <c r="E489" s="9"/>
      <c r="F489" s="10"/>
      <c r="G489" s="9"/>
      <c r="H489" s="11"/>
      <c r="I489" s="9" t="s">
        <v>13</v>
      </c>
      <c r="J489" s="81"/>
      <c r="K489" s="81"/>
    </row>
    <row r="490">
      <c r="A490" s="78" t="s">
        <v>334</v>
      </c>
      <c r="B490" s="47"/>
      <c r="C490" s="80" t="s">
        <v>11</v>
      </c>
      <c r="D490" s="80" t="str">
        <f t="shared" si="1"/>
        <v>-</v>
      </c>
      <c r="E490" s="9"/>
      <c r="F490" s="10"/>
      <c r="G490" s="9"/>
      <c r="H490" s="11"/>
      <c r="I490" s="9" t="s">
        <v>13</v>
      </c>
      <c r="J490" s="81"/>
      <c r="K490" s="81"/>
    </row>
    <row r="491">
      <c r="A491" s="78" t="s">
        <v>334</v>
      </c>
      <c r="B491" s="47"/>
      <c r="C491" s="80" t="s">
        <v>11</v>
      </c>
      <c r="D491" s="80" t="str">
        <f t="shared" si="1"/>
        <v>-</v>
      </c>
      <c r="E491" s="9"/>
      <c r="F491" s="10"/>
      <c r="G491" s="9"/>
      <c r="H491" s="11"/>
      <c r="I491" s="9" t="s">
        <v>13</v>
      </c>
      <c r="J491" s="81"/>
      <c r="K491" s="81"/>
    </row>
    <row r="492">
      <c r="A492" s="78" t="s">
        <v>334</v>
      </c>
      <c r="B492" s="47"/>
      <c r="C492" s="80" t="s">
        <v>11</v>
      </c>
      <c r="D492" s="80" t="str">
        <f t="shared" si="1"/>
        <v>-</v>
      </c>
      <c r="E492" s="9"/>
      <c r="F492" s="10"/>
      <c r="G492" s="9"/>
      <c r="H492" s="11"/>
      <c r="I492" s="9" t="s">
        <v>13</v>
      </c>
      <c r="J492" s="81"/>
      <c r="K492" s="81"/>
    </row>
    <row r="493">
      <c r="A493" s="78" t="s">
        <v>334</v>
      </c>
      <c r="B493" s="47"/>
      <c r="C493" s="80" t="s">
        <v>11</v>
      </c>
      <c r="D493" s="80" t="str">
        <f t="shared" si="1"/>
        <v>-</v>
      </c>
      <c r="E493" s="9"/>
      <c r="F493" s="10"/>
      <c r="G493" s="9"/>
      <c r="H493" s="11"/>
      <c r="I493" s="9" t="s">
        <v>13</v>
      </c>
      <c r="J493" s="81"/>
      <c r="K493" s="81"/>
    </row>
    <row r="494">
      <c r="A494" s="78" t="s">
        <v>334</v>
      </c>
      <c r="B494" s="47"/>
      <c r="C494" s="80" t="s">
        <v>11</v>
      </c>
      <c r="D494" s="80" t="str">
        <f t="shared" si="1"/>
        <v>-</v>
      </c>
      <c r="E494" s="9"/>
      <c r="F494" s="10"/>
      <c r="G494" s="9"/>
      <c r="H494" s="11"/>
      <c r="I494" s="9" t="s">
        <v>13</v>
      </c>
      <c r="J494" s="81"/>
      <c r="K494" s="81"/>
    </row>
    <row r="495">
      <c r="A495" s="78" t="s">
        <v>334</v>
      </c>
      <c r="B495" s="47"/>
      <c r="C495" s="80" t="s">
        <v>11</v>
      </c>
      <c r="D495" s="80" t="str">
        <f t="shared" si="1"/>
        <v>-</v>
      </c>
      <c r="E495" s="9"/>
      <c r="F495" s="10"/>
      <c r="G495" s="9"/>
      <c r="H495" s="11"/>
      <c r="I495" s="9" t="s">
        <v>13</v>
      </c>
      <c r="J495" s="81"/>
      <c r="K495" s="81"/>
    </row>
    <row r="496">
      <c r="A496" s="78" t="s">
        <v>334</v>
      </c>
      <c r="B496" s="47"/>
      <c r="C496" s="80" t="s">
        <v>11</v>
      </c>
      <c r="D496" s="80" t="str">
        <f t="shared" si="1"/>
        <v>-</v>
      </c>
      <c r="E496" s="9"/>
      <c r="F496" s="10"/>
      <c r="G496" s="9"/>
      <c r="H496" s="11"/>
      <c r="I496" s="9" t="s">
        <v>13</v>
      </c>
      <c r="J496" s="81"/>
      <c r="K496" s="81"/>
    </row>
    <row r="497">
      <c r="A497" s="78" t="s">
        <v>334</v>
      </c>
      <c r="B497" s="47"/>
      <c r="C497" s="80" t="s">
        <v>11</v>
      </c>
      <c r="D497" s="80" t="str">
        <f t="shared" si="1"/>
        <v>-</v>
      </c>
      <c r="E497" s="9"/>
      <c r="F497" s="10"/>
      <c r="G497" s="9"/>
      <c r="H497" s="11"/>
      <c r="I497" s="9" t="s">
        <v>13</v>
      </c>
      <c r="J497" s="81"/>
      <c r="K497" s="81"/>
    </row>
    <row r="498">
      <c r="A498" s="78" t="s">
        <v>334</v>
      </c>
      <c r="B498" s="47"/>
      <c r="C498" s="80" t="s">
        <v>11</v>
      </c>
      <c r="D498" s="80" t="str">
        <f t="shared" si="1"/>
        <v>-</v>
      </c>
      <c r="E498" s="9"/>
      <c r="F498" s="10"/>
      <c r="G498" s="9"/>
      <c r="H498" s="11"/>
      <c r="I498" s="9" t="s">
        <v>13</v>
      </c>
      <c r="J498" s="81"/>
      <c r="K498" s="81"/>
    </row>
    <row r="499">
      <c r="A499" s="78" t="s">
        <v>334</v>
      </c>
      <c r="B499" s="47"/>
      <c r="C499" s="80" t="s">
        <v>11</v>
      </c>
      <c r="D499" s="80" t="str">
        <f t="shared" si="1"/>
        <v>-</v>
      </c>
      <c r="E499" s="9"/>
      <c r="F499" s="10"/>
      <c r="G499" s="9"/>
      <c r="H499" s="11"/>
      <c r="I499" s="9" t="s">
        <v>13</v>
      </c>
      <c r="J499" s="81"/>
      <c r="K499" s="81"/>
    </row>
    <row r="500">
      <c r="A500" s="78" t="s">
        <v>334</v>
      </c>
      <c r="B500" s="47"/>
      <c r="C500" s="80" t="s">
        <v>11</v>
      </c>
      <c r="D500" s="80" t="str">
        <f t="shared" si="1"/>
        <v>-</v>
      </c>
      <c r="E500" s="9"/>
      <c r="F500" s="10"/>
      <c r="G500" s="9"/>
      <c r="H500" s="11"/>
      <c r="I500" s="9" t="s">
        <v>13</v>
      </c>
      <c r="J500" s="81"/>
      <c r="K500" s="81"/>
    </row>
    <row r="501">
      <c r="A501" s="78" t="s">
        <v>334</v>
      </c>
      <c r="B501" s="47"/>
      <c r="C501" s="80" t="s">
        <v>11</v>
      </c>
      <c r="D501" s="80" t="str">
        <f t="shared" si="1"/>
        <v>-</v>
      </c>
      <c r="E501" s="9"/>
      <c r="F501" s="10"/>
      <c r="G501" s="9"/>
      <c r="H501" s="11"/>
      <c r="I501" s="9" t="s">
        <v>13</v>
      </c>
      <c r="J501" s="81"/>
      <c r="K501" s="81"/>
    </row>
    <row r="502">
      <c r="A502" s="78" t="s">
        <v>334</v>
      </c>
      <c r="B502" s="47"/>
      <c r="C502" s="80" t="s">
        <v>11</v>
      </c>
      <c r="D502" s="80" t="str">
        <f t="shared" si="1"/>
        <v>-</v>
      </c>
      <c r="E502" s="9"/>
      <c r="F502" s="10"/>
      <c r="G502" s="9"/>
      <c r="H502" s="11"/>
      <c r="I502" s="9" t="s">
        <v>13</v>
      </c>
      <c r="J502" s="81"/>
      <c r="K502" s="81"/>
    </row>
    <row r="503">
      <c r="A503" s="78" t="s">
        <v>334</v>
      </c>
      <c r="B503" s="47"/>
      <c r="C503" s="80" t="s">
        <v>11</v>
      </c>
      <c r="D503" s="80" t="str">
        <f t="shared" si="1"/>
        <v>-</v>
      </c>
      <c r="E503" s="9"/>
      <c r="F503" s="10"/>
      <c r="G503" s="9"/>
      <c r="H503" s="11"/>
      <c r="I503" s="9" t="s">
        <v>13</v>
      </c>
      <c r="J503" s="81"/>
      <c r="K503" s="81"/>
    </row>
    <row r="504">
      <c r="A504" s="78" t="s">
        <v>334</v>
      </c>
      <c r="B504" s="47"/>
      <c r="C504" s="80" t="s">
        <v>11</v>
      </c>
      <c r="D504" s="80" t="str">
        <f t="shared" si="1"/>
        <v>-</v>
      </c>
      <c r="E504" s="9"/>
      <c r="F504" s="10"/>
      <c r="G504" s="9"/>
      <c r="H504" s="11"/>
      <c r="I504" s="9" t="s">
        <v>13</v>
      </c>
      <c r="J504" s="81"/>
      <c r="K504" s="81"/>
    </row>
    <row r="505">
      <c r="A505" s="78" t="s">
        <v>334</v>
      </c>
      <c r="B505" s="47"/>
      <c r="C505" s="80" t="s">
        <v>11</v>
      </c>
      <c r="D505" s="80" t="str">
        <f t="shared" si="1"/>
        <v>-</v>
      </c>
      <c r="E505" s="9"/>
      <c r="F505" s="10"/>
      <c r="G505" s="9"/>
      <c r="H505" s="11"/>
      <c r="I505" s="9" t="s">
        <v>13</v>
      </c>
      <c r="J505" s="81"/>
      <c r="K505" s="81"/>
    </row>
    <row r="506">
      <c r="A506" s="78" t="s">
        <v>334</v>
      </c>
      <c r="B506" s="47"/>
      <c r="C506" s="80" t="s">
        <v>11</v>
      </c>
      <c r="D506" s="80" t="str">
        <f t="shared" si="1"/>
        <v>-</v>
      </c>
      <c r="E506" s="9"/>
      <c r="F506" s="10"/>
      <c r="G506" s="9"/>
      <c r="H506" s="11"/>
      <c r="I506" s="9" t="s">
        <v>13</v>
      </c>
      <c r="J506" s="81"/>
      <c r="K506" s="81"/>
    </row>
    <row r="507">
      <c r="A507" s="78" t="s">
        <v>334</v>
      </c>
      <c r="B507" s="47"/>
      <c r="C507" s="80" t="s">
        <v>11</v>
      </c>
      <c r="D507" s="80" t="str">
        <f t="shared" si="1"/>
        <v>-</v>
      </c>
      <c r="E507" s="9"/>
      <c r="F507" s="10"/>
      <c r="G507" s="9"/>
      <c r="H507" s="11"/>
      <c r="I507" s="9" t="s">
        <v>13</v>
      </c>
      <c r="J507" s="81"/>
      <c r="K507" s="81"/>
    </row>
    <row r="508">
      <c r="A508" s="78" t="s">
        <v>334</v>
      </c>
      <c r="B508" s="47"/>
      <c r="C508" s="80" t="s">
        <v>11</v>
      </c>
      <c r="D508" s="80" t="str">
        <f t="shared" si="1"/>
        <v>-</v>
      </c>
      <c r="E508" s="9"/>
      <c r="F508" s="10"/>
      <c r="G508" s="9"/>
      <c r="H508" s="11"/>
      <c r="I508" s="9" t="s">
        <v>13</v>
      </c>
      <c r="J508" s="81"/>
      <c r="K508" s="81"/>
    </row>
    <row r="509">
      <c r="A509" s="78" t="s">
        <v>334</v>
      </c>
      <c r="B509" s="47"/>
      <c r="C509" s="80" t="s">
        <v>11</v>
      </c>
      <c r="D509" s="80" t="str">
        <f t="shared" si="1"/>
        <v>-</v>
      </c>
      <c r="E509" s="9"/>
      <c r="F509" s="10"/>
      <c r="G509" s="9"/>
      <c r="H509" s="11"/>
      <c r="I509" s="9" t="s">
        <v>13</v>
      </c>
      <c r="J509" s="81"/>
      <c r="K509" s="81"/>
    </row>
    <row r="510">
      <c r="A510" s="78" t="s">
        <v>334</v>
      </c>
      <c r="B510" s="47"/>
      <c r="C510" s="80" t="s">
        <v>11</v>
      </c>
      <c r="D510" s="80" t="str">
        <f t="shared" si="1"/>
        <v>-</v>
      </c>
      <c r="E510" s="9"/>
      <c r="F510" s="10"/>
      <c r="G510" s="9"/>
      <c r="H510" s="11"/>
      <c r="I510" s="9" t="s">
        <v>13</v>
      </c>
      <c r="J510" s="81"/>
      <c r="K510" s="81"/>
    </row>
    <row r="511">
      <c r="A511" s="78" t="s">
        <v>334</v>
      </c>
      <c r="B511" s="47"/>
      <c r="C511" s="80" t="s">
        <v>11</v>
      </c>
      <c r="D511" s="80" t="str">
        <f t="shared" si="1"/>
        <v>-</v>
      </c>
      <c r="E511" s="9"/>
      <c r="F511" s="10"/>
      <c r="G511" s="9"/>
      <c r="H511" s="11"/>
      <c r="I511" s="9" t="s">
        <v>13</v>
      </c>
      <c r="J511" s="81"/>
      <c r="K511" s="81"/>
    </row>
    <row r="512">
      <c r="A512" s="78" t="s">
        <v>334</v>
      </c>
      <c r="B512" s="47"/>
      <c r="C512" s="80" t="s">
        <v>11</v>
      </c>
      <c r="D512" s="80" t="str">
        <f t="shared" si="1"/>
        <v>-</v>
      </c>
      <c r="E512" s="9"/>
      <c r="F512" s="10"/>
      <c r="G512" s="9"/>
      <c r="H512" s="11"/>
      <c r="I512" s="9" t="s">
        <v>13</v>
      </c>
      <c r="J512" s="81"/>
      <c r="K512" s="81"/>
    </row>
    <row r="513">
      <c r="A513" s="78" t="s">
        <v>334</v>
      </c>
      <c r="B513" s="47"/>
      <c r="C513" s="80" t="s">
        <v>11</v>
      </c>
      <c r="D513" s="80" t="str">
        <f t="shared" si="1"/>
        <v>-</v>
      </c>
      <c r="E513" s="9"/>
      <c r="F513" s="10"/>
      <c r="G513" s="9"/>
      <c r="H513" s="11"/>
      <c r="I513" s="9" t="s">
        <v>13</v>
      </c>
      <c r="J513" s="81"/>
      <c r="K513" s="81"/>
    </row>
    <row r="514">
      <c r="A514" s="78" t="s">
        <v>334</v>
      </c>
      <c r="B514" s="47"/>
      <c r="C514" s="80" t="s">
        <v>11</v>
      </c>
      <c r="D514" s="80" t="str">
        <f t="shared" si="1"/>
        <v>-</v>
      </c>
      <c r="E514" s="9"/>
      <c r="F514" s="10"/>
      <c r="G514" s="9"/>
      <c r="H514" s="11"/>
      <c r="I514" s="9" t="s">
        <v>13</v>
      </c>
      <c r="J514" s="81"/>
      <c r="K514" s="81"/>
    </row>
    <row r="515">
      <c r="A515" s="78" t="s">
        <v>334</v>
      </c>
      <c r="B515" s="47"/>
      <c r="C515" s="80" t="s">
        <v>11</v>
      </c>
      <c r="D515" s="80" t="str">
        <f t="shared" si="1"/>
        <v>-</v>
      </c>
      <c r="E515" s="9"/>
      <c r="F515" s="10"/>
      <c r="G515" s="9"/>
      <c r="H515" s="11"/>
      <c r="I515" s="9" t="s">
        <v>13</v>
      </c>
      <c r="J515" s="81"/>
      <c r="K515" s="81"/>
    </row>
    <row r="516">
      <c r="A516" s="78" t="s">
        <v>334</v>
      </c>
      <c r="B516" s="47"/>
      <c r="C516" s="80" t="s">
        <v>11</v>
      </c>
      <c r="D516" s="80" t="str">
        <f t="shared" si="1"/>
        <v>-</v>
      </c>
      <c r="E516" s="9"/>
      <c r="F516" s="10"/>
      <c r="G516" s="9"/>
      <c r="H516" s="11"/>
      <c r="I516" s="9" t="s">
        <v>13</v>
      </c>
      <c r="J516" s="81"/>
      <c r="K516" s="81"/>
    </row>
    <row r="517">
      <c r="A517" s="78" t="s">
        <v>334</v>
      </c>
      <c r="B517" s="47"/>
      <c r="C517" s="80" t="s">
        <v>11</v>
      </c>
      <c r="D517" s="80" t="str">
        <f t="shared" si="1"/>
        <v>-</v>
      </c>
      <c r="E517" s="9"/>
      <c r="F517" s="10"/>
      <c r="G517" s="9"/>
      <c r="H517" s="11"/>
      <c r="I517" s="9" t="s">
        <v>13</v>
      </c>
      <c r="J517" s="81"/>
      <c r="K517" s="81"/>
    </row>
    <row r="518">
      <c r="A518" s="78" t="s">
        <v>334</v>
      </c>
      <c r="B518" s="47"/>
      <c r="C518" s="80" t="s">
        <v>11</v>
      </c>
      <c r="D518" s="80" t="str">
        <f t="shared" si="1"/>
        <v>-</v>
      </c>
      <c r="E518" s="9"/>
      <c r="F518" s="10"/>
      <c r="G518" s="9"/>
      <c r="H518" s="11"/>
      <c r="I518" s="9" t="s">
        <v>13</v>
      </c>
      <c r="J518" s="81"/>
      <c r="K518" s="81"/>
    </row>
    <row r="519">
      <c r="A519" s="78" t="s">
        <v>334</v>
      </c>
      <c r="B519" s="47"/>
      <c r="C519" s="80" t="s">
        <v>11</v>
      </c>
      <c r="D519" s="80" t="str">
        <f t="shared" si="1"/>
        <v>-</v>
      </c>
      <c r="E519" s="9"/>
      <c r="F519" s="10"/>
      <c r="G519" s="9"/>
      <c r="H519" s="11"/>
      <c r="I519" s="9" t="s">
        <v>13</v>
      </c>
      <c r="J519" s="81"/>
      <c r="K519" s="81"/>
    </row>
    <row r="520">
      <c r="A520" s="78" t="s">
        <v>334</v>
      </c>
      <c r="B520" s="47"/>
      <c r="C520" s="80" t="s">
        <v>11</v>
      </c>
      <c r="D520" s="80" t="str">
        <f t="shared" si="1"/>
        <v>-</v>
      </c>
      <c r="E520" s="9"/>
      <c r="F520" s="10"/>
      <c r="G520" s="9"/>
      <c r="H520" s="11"/>
      <c r="I520" s="9" t="s">
        <v>13</v>
      </c>
      <c r="J520" s="81"/>
      <c r="K520" s="81"/>
    </row>
    <row r="521">
      <c r="A521" s="78" t="s">
        <v>334</v>
      </c>
      <c r="B521" s="47"/>
      <c r="C521" s="80" t="s">
        <v>11</v>
      </c>
      <c r="D521" s="80" t="str">
        <f t="shared" si="1"/>
        <v>-</v>
      </c>
      <c r="E521" s="9"/>
      <c r="F521" s="10"/>
      <c r="G521" s="9"/>
      <c r="H521" s="11"/>
      <c r="I521" s="9" t="s">
        <v>13</v>
      </c>
      <c r="J521" s="81"/>
      <c r="K521" s="81"/>
    </row>
    <row r="522">
      <c r="A522" s="78" t="s">
        <v>334</v>
      </c>
      <c r="B522" s="47"/>
      <c r="C522" s="80" t="s">
        <v>11</v>
      </c>
      <c r="D522" s="80" t="str">
        <f t="shared" si="1"/>
        <v>-</v>
      </c>
      <c r="E522" s="9"/>
      <c r="F522" s="10"/>
      <c r="G522" s="9"/>
      <c r="H522" s="11"/>
      <c r="I522" s="9" t="s">
        <v>13</v>
      </c>
      <c r="J522" s="81"/>
      <c r="K522" s="81"/>
    </row>
    <row r="523">
      <c r="A523" s="78" t="s">
        <v>334</v>
      </c>
      <c r="B523" s="47"/>
      <c r="C523" s="80" t="s">
        <v>11</v>
      </c>
      <c r="D523" s="80" t="str">
        <f t="shared" si="1"/>
        <v>-</v>
      </c>
      <c r="E523" s="9"/>
      <c r="F523" s="10"/>
      <c r="G523" s="9"/>
      <c r="H523" s="11"/>
      <c r="I523" s="9" t="s">
        <v>13</v>
      </c>
      <c r="J523" s="81"/>
      <c r="K523" s="81"/>
    </row>
    <row r="524">
      <c r="A524" s="78" t="s">
        <v>334</v>
      </c>
      <c r="B524" s="47"/>
      <c r="C524" s="80" t="s">
        <v>11</v>
      </c>
      <c r="D524" s="80" t="str">
        <f t="shared" si="1"/>
        <v>-</v>
      </c>
      <c r="E524" s="9"/>
      <c r="F524" s="10"/>
      <c r="G524" s="9"/>
      <c r="H524" s="11"/>
      <c r="I524" s="9" t="s">
        <v>13</v>
      </c>
      <c r="J524" s="81"/>
      <c r="K524" s="81"/>
    </row>
    <row r="525">
      <c r="A525" s="78" t="s">
        <v>334</v>
      </c>
      <c r="B525" s="47"/>
      <c r="C525" s="80" t="s">
        <v>11</v>
      </c>
      <c r="D525" s="80" t="str">
        <f t="shared" si="1"/>
        <v>-</v>
      </c>
      <c r="E525" s="9"/>
      <c r="F525" s="10"/>
      <c r="G525" s="9"/>
      <c r="H525" s="11"/>
      <c r="I525" s="9" t="s">
        <v>13</v>
      </c>
      <c r="J525" s="81"/>
      <c r="K525" s="81"/>
    </row>
    <row r="526">
      <c r="A526" s="78" t="s">
        <v>334</v>
      </c>
      <c r="B526" s="47"/>
      <c r="C526" s="80" t="s">
        <v>11</v>
      </c>
      <c r="D526" s="80" t="str">
        <f t="shared" si="1"/>
        <v>-</v>
      </c>
      <c r="E526" s="9"/>
      <c r="F526" s="10"/>
      <c r="G526" s="9"/>
      <c r="H526" s="11"/>
      <c r="I526" s="9" t="s">
        <v>13</v>
      </c>
      <c r="J526" s="81"/>
      <c r="K526" s="81"/>
    </row>
    <row r="527">
      <c r="A527" s="78" t="s">
        <v>334</v>
      </c>
      <c r="B527" s="47"/>
      <c r="C527" s="80" t="s">
        <v>11</v>
      </c>
      <c r="D527" s="80" t="str">
        <f t="shared" si="1"/>
        <v>-</v>
      </c>
      <c r="E527" s="9"/>
      <c r="F527" s="10"/>
      <c r="G527" s="9"/>
      <c r="H527" s="11"/>
      <c r="I527" s="9" t="s">
        <v>13</v>
      </c>
      <c r="J527" s="81"/>
      <c r="K527" s="81"/>
    </row>
    <row r="528">
      <c r="A528" s="78" t="s">
        <v>334</v>
      </c>
      <c r="B528" s="47"/>
      <c r="C528" s="80" t="s">
        <v>11</v>
      </c>
      <c r="D528" s="80" t="str">
        <f t="shared" si="1"/>
        <v>-</v>
      </c>
      <c r="E528" s="9"/>
      <c r="F528" s="10"/>
      <c r="G528" s="9"/>
      <c r="H528" s="11"/>
      <c r="I528" s="9" t="s">
        <v>13</v>
      </c>
      <c r="J528" s="81"/>
      <c r="K528" s="81"/>
    </row>
    <row r="529">
      <c r="A529" s="78" t="s">
        <v>334</v>
      </c>
      <c r="B529" s="47"/>
      <c r="C529" s="80" t="s">
        <v>11</v>
      </c>
      <c r="D529" s="80" t="str">
        <f t="shared" si="1"/>
        <v>-</v>
      </c>
      <c r="E529" s="9"/>
      <c r="F529" s="10"/>
      <c r="G529" s="9"/>
      <c r="H529" s="11"/>
      <c r="I529" s="9" t="s">
        <v>13</v>
      </c>
      <c r="J529" s="81"/>
      <c r="K529" s="81"/>
    </row>
    <row r="530">
      <c r="A530" s="78" t="s">
        <v>334</v>
      </c>
      <c r="B530" s="47"/>
      <c r="C530" s="80" t="s">
        <v>11</v>
      </c>
      <c r="D530" s="80" t="str">
        <f t="shared" si="1"/>
        <v>-</v>
      </c>
      <c r="E530" s="9"/>
      <c r="F530" s="10"/>
      <c r="G530" s="9"/>
      <c r="H530" s="11"/>
      <c r="I530" s="9" t="s">
        <v>13</v>
      </c>
      <c r="J530" s="81"/>
      <c r="K530" s="81"/>
    </row>
    <row r="531">
      <c r="A531" s="78" t="s">
        <v>334</v>
      </c>
      <c r="B531" s="47"/>
      <c r="C531" s="80" t="s">
        <v>11</v>
      </c>
      <c r="D531" s="80" t="str">
        <f t="shared" si="1"/>
        <v>-</v>
      </c>
      <c r="E531" s="9"/>
      <c r="F531" s="10"/>
      <c r="G531" s="9"/>
      <c r="H531" s="11"/>
      <c r="I531" s="9" t="s">
        <v>13</v>
      </c>
      <c r="J531" s="81"/>
      <c r="K531" s="81"/>
    </row>
    <row r="532">
      <c r="A532" s="78" t="s">
        <v>334</v>
      </c>
      <c r="B532" s="47"/>
      <c r="C532" s="80" t="s">
        <v>11</v>
      </c>
      <c r="D532" s="80" t="str">
        <f t="shared" si="1"/>
        <v>-</v>
      </c>
      <c r="E532" s="9"/>
      <c r="F532" s="10"/>
      <c r="G532" s="9"/>
      <c r="H532" s="11"/>
      <c r="I532" s="9" t="s">
        <v>13</v>
      </c>
      <c r="J532" s="81"/>
      <c r="K532" s="81"/>
    </row>
    <row r="533">
      <c r="A533" s="78" t="s">
        <v>334</v>
      </c>
      <c r="B533" s="47"/>
      <c r="C533" s="80" t="s">
        <v>11</v>
      </c>
      <c r="D533" s="80" t="str">
        <f t="shared" si="1"/>
        <v>-</v>
      </c>
      <c r="E533" s="9"/>
      <c r="F533" s="10"/>
      <c r="G533" s="9"/>
      <c r="H533" s="11"/>
      <c r="I533" s="9" t="s">
        <v>13</v>
      </c>
      <c r="J533" s="81"/>
      <c r="K533" s="81"/>
    </row>
    <row r="534">
      <c r="A534" s="78" t="s">
        <v>334</v>
      </c>
      <c r="B534" s="47"/>
      <c r="C534" s="80" t="s">
        <v>11</v>
      </c>
      <c r="D534" s="80" t="str">
        <f t="shared" si="1"/>
        <v>-</v>
      </c>
      <c r="E534" s="9"/>
      <c r="F534" s="10"/>
      <c r="G534" s="9"/>
      <c r="H534" s="11"/>
      <c r="I534" s="9" t="s">
        <v>13</v>
      </c>
      <c r="J534" s="81"/>
      <c r="K534" s="81"/>
    </row>
    <row r="535">
      <c r="A535" s="78" t="s">
        <v>334</v>
      </c>
      <c r="B535" s="47"/>
      <c r="C535" s="80" t="s">
        <v>11</v>
      </c>
      <c r="D535" s="80" t="str">
        <f t="shared" si="1"/>
        <v>-</v>
      </c>
      <c r="E535" s="9"/>
      <c r="F535" s="10"/>
      <c r="G535" s="9"/>
      <c r="H535" s="11"/>
      <c r="I535" s="9" t="s">
        <v>13</v>
      </c>
      <c r="J535" s="81"/>
      <c r="K535" s="81"/>
    </row>
    <row r="536">
      <c r="A536" s="78" t="s">
        <v>334</v>
      </c>
      <c r="B536" s="47"/>
      <c r="C536" s="80" t="s">
        <v>11</v>
      </c>
      <c r="D536" s="80" t="str">
        <f t="shared" si="1"/>
        <v>-</v>
      </c>
      <c r="E536" s="9"/>
      <c r="F536" s="10"/>
      <c r="G536" s="9"/>
      <c r="H536" s="11"/>
      <c r="I536" s="9" t="s">
        <v>13</v>
      </c>
      <c r="J536" s="81"/>
      <c r="K536" s="81"/>
    </row>
    <row r="537">
      <c r="A537" s="78" t="s">
        <v>334</v>
      </c>
      <c r="B537" s="47"/>
      <c r="C537" s="80" t="s">
        <v>11</v>
      </c>
      <c r="D537" s="80" t="str">
        <f t="shared" si="1"/>
        <v>-</v>
      </c>
      <c r="E537" s="9"/>
      <c r="F537" s="10"/>
      <c r="G537" s="9"/>
      <c r="H537" s="11"/>
      <c r="I537" s="9" t="s">
        <v>13</v>
      </c>
      <c r="J537" s="81"/>
      <c r="K537" s="81"/>
    </row>
    <row r="538">
      <c r="A538" s="78" t="s">
        <v>334</v>
      </c>
      <c r="B538" s="47"/>
      <c r="C538" s="80" t="s">
        <v>11</v>
      </c>
      <c r="D538" s="80" t="str">
        <f t="shared" si="1"/>
        <v>-</v>
      </c>
      <c r="E538" s="9"/>
      <c r="F538" s="10"/>
      <c r="G538" s="9"/>
      <c r="H538" s="11"/>
      <c r="I538" s="9" t="s">
        <v>13</v>
      </c>
      <c r="J538" s="81"/>
      <c r="K538" s="81"/>
    </row>
    <row r="539">
      <c r="A539" s="78" t="s">
        <v>334</v>
      </c>
      <c r="B539" s="47"/>
      <c r="C539" s="80" t="s">
        <v>11</v>
      </c>
      <c r="D539" s="80" t="str">
        <f t="shared" si="1"/>
        <v>-</v>
      </c>
      <c r="E539" s="9"/>
      <c r="F539" s="10"/>
      <c r="G539" s="9"/>
      <c r="H539" s="11"/>
      <c r="I539" s="9" t="s">
        <v>13</v>
      </c>
      <c r="J539" s="81"/>
      <c r="K539" s="81"/>
    </row>
    <row r="540">
      <c r="A540" s="78" t="s">
        <v>334</v>
      </c>
      <c r="B540" s="47"/>
      <c r="C540" s="80" t="s">
        <v>11</v>
      </c>
      <c r="D540" s="80" t="str">
        <f t="shared" si="1"/>
        <v>-</v>
      </c>
      <c r="E540" s="9"/>
      <c r="F540" s="10"/>
      <c r="G540" s="9"/>
      <c r="H540" s="11"/>
      <c r="I540" s="9" t="s">
        <v>13</v>
      </c>
      <c r="J540" s="81"/>
      <c r="K540" s="81"/>
    </row>
    <row r="541">
      <c r="A541" s="78" t="s">
        <v>334</v>
      </c>
      <c r="B541" s="47"/>
      <c r="C541" s="80" t="s">
        <v>11</v>
      </c>
      <c r="D541" s="80" t="str">
        <f t="shared" si="1"/>
        <v>-</v>
      </c>
      <c r="E541" s="9"/>
      <c r="F541" s="10"/>
      <c r="G541" s="9"/>
      <c r="H541" s="11"/>
      <c r="I541" s="9" t="s">
        <v>13</v>
      </c>
      <c r="J541" s="81"/>
      <c r="K541" s="81"/>
    </row>
    <row r="542">
      <c r="A542" s="78" t="s">
        <v>334</v>
      </c>
      <c r="B542" s="47"/>
      <c r="C542" s="80" t="s">
        <v>11</v>
      </c>
      <c r="D542" s="80" t="str">
        <f t="shared" si="1"/>
        <v>-</v>
      </c>
      <c r="E542" s="9"/>
      <c r="F542" s="10"/>
      <c r="G542" s="9"/>
      <c r="H542" s="11"/>
      <c r="I542" s="9" t="s">
        <v>13</v>
      </c>
      <c r="J542" s="81"/>
      <c r="K542" s="81"/>
    </row>
    <row r="543">
      <c r="A543" s="78" t="s">
        <v>334</v>
      </c>
      <c r="B543" s="47"/>
      <c r="C543" s="80" t="s">
        <v>11</v>
      </c>
      <c r="D543" s="80" t="str">
        <f t="shared" si="1"/>
        <v>-</v>
      </c>
      <c r="E543" s="9"/>
      <c r="F543" s="10"/>
      <c r="G543" s="9"/>
      <c r="H543" s="11"/>
      <c r="I543" s="9" t="s">
        <v>13</v>
      </c>
      <c r="J543" s="81"/>
      <c r="K543" s="81"/>
    </row>
    <row r="544">
      <c r="A544" s="78" t="s">
        <v>334</v>
      </c>
      <c r="B544" s="47"/>
      <c r="C544" s="80" t="s">
        <v>11</v>
      </c>
      <c r="D544" s="80" t="str">
        <f t="shared" si="1"/>
        <v>-</v>
      </c>
      <c r="E544" s="9"/>
      <c r="F544" s="10"/>
      <c r="G544" s="9"/>
      <c r="H544" s="11"/>
      <c r="I544" s="9" t="s">
        <v>13</v>
      </c>
      <c r="J544" s="81"/>
      <c r="K544" s="81"/>
    </row>
    <row r="545">
      <c r="A545" s="78" t="s">
        <v>334</v>
      </c>
      <c r="B545" s="47"/>
      <c r="C545" s="80" t="s">
        <v>11</v>
      </c>
      <c r="D545" s="80" t="str">
        <f t="shared" si="1"/>
        <v>-</v>
      </c>
      <c r="E545" s="9"/>
      <c r="F545" s="10"/>
      <c r="G545" s="9"/>
      <c r="H545" s="11"/>
      <c r="I545" s="9" t="s">
        <v>13</v>
      </c>
      <c r="J545" s="81"/>
      <c r="K545" s="81"/>
    </row>
    <row r="546">
      <c r="A546" s="78" t="s">
        <v>334</v>
      </c>
      <c r="B546" s="47"/>
      <c r="C546" s="80" t="s">
        <v>11</v>
      </c>
      <c r="D546" s="80" t="str">
        <f t="shared" si="1"/>
        <v>-</v>
      </c>
      <c r="E546" s="9"/>
      <c r="F546" s="10"/>
      <c r="G546" s="9"/>
      <c r="H546" s="11"/>
      <c r="I546" s="9" t="s">
        <v>13</v>
      </c>
      <c r="J546" s="81"/>
      <c r="K546" s="81"/>
    </row>
    <row r="547">
      <c r="A547" s="78" t="s">
        <v>334</v>
      </c>
      <c r="B547" s="47"/>
      <c r="C547" s="80" t="s">
        <v>11</v>
      </c>
      <c r="D547" s="80" t="str">
        <f t="shared" si="1"/>
        <v>-</v>
      </c>
      <c r="E547" s="9"/>
      <c r="F547" s="10"/>
      <c r="G547" s="9"/>
      <c r="H547" s="11"/>
      <c r="I547" s="9" t="s">
        <v>13</v>
      </c>
      <c r="J547" s="81"/>
      <c r="K547" s="81"/>
    </row>
    <row r="548">
      <c r="A548" s="78" t="s">
        <v>334</v>
      </c>
      <c r="B548" s="47"/>
      <c r="C548" s="80" t="s">
        <v>11</v>
      </c>
      <c r="D548" s="80" t="str">
        <f t="shared" si="1"/>
        <v>-</v>
      </c>
      <c r="E548" s="9"/>
      <c r="F548" s="10"/>
      <c r="G548" s="9"/>
      <c r="H548" s="11"/>
      <c r="I548" s="9" t="s">
        <v>13</v>
      </c>
      <c r="J548" s="81"/>
      <c r="K548" s="81"/>
    </row>
    <row r="549">
      <c r="A549" s="78" t="s">
        <v>334</v>
      </c>
      <c r="B549" s="47"/>
      <c r="C549" s="80" t="s">
        <v>11</v>
      </c>
      <c r="D549" s="80" t="str">
        <f t="shared" si="1"/>
        <v>-</v>
      </c>
      <c r="E549" s="9"/>
      <c r="F549" s="10"/>
      <c r="G549" s="9"/>
      <c r="H549" s="11"/>
      <c r="I549" s="9" t="s">
        <v>13</v>
      </c>
      <c r="J549" s="81"/>
      <c r="K549" s="81"/>
    </row>
    <row r="550">
      <c r="A550" s="78" t="s">
        <v>334</v>
      </c>
      <c r="B550" s="47"/>
      <c r="C550" s="80" t="s">
        <v>11</v>
      </c>
      <c r="D550" s="80" t="str">
        <f t="shared" si="1"/>
        <v>-</v>
      </c>
      <c r="E550" s="9"/>
      <c r="F550" s="10"/>
      <c r="G550" s="9"/>
      <c r="H550" s="11"/>
      <c r="I550" s="9" t="s">
        <v>13</v>
      </c>
      <c r="J550" s="81"/>
      <c r="K550" s="81"/>
    </row>
    <row r="551">
      <c r="A551" s="78" t="s">
        <v>334</v>
      </c>
      <c r="B551" s="47"/>
      <c r="C551" s="80" t="s">
        <v>11</v>
      </c>
      <c r="D551" s="80" t="str">
        <f t="shared" si="1"/>
        <v>-</v>
      </c>
      <c r="E551" s="9"/>
      <c r="F551" s="10"/>
      <c r="G551" s="9"/>
      <c r="H551" s="11"/>
      <c r="I551" s="9" t="s">
        <v>13</v>
      </c>
      <c r="J551" s="81"/>
      <c r="K551" s="81"/>
    </row>
    <row r="552">
      <c r="A552" s="78" t="s">
        <v>334</v>
      </c>
      <c r="B552" s="47"/>
      <c r="C552" s="80" t="s">
        <v>11</v>
      </c>
      <c r="D552" s="80" t="str">
        <f t="shared" si="1"/>
        <v>-</v>
      </c>
      <c r="E552" s="9"/>
      <c r="F552" s="10"/>
      <c r="G552" s="9"/>
      <c r="H552" s="11"/>
      <c r="I552" s="9" t="s">
        <v>13</v>
      </c>
      <c r="J552" s="81"/>
      <c r="K552" s="81"/>
    </row>
    <row r="553">
      <c r="A553" s="78" t="s">
        <v>334</v>
      </c>
      <c r="B553" s="47"/>
      <c r="C553" s="80" t="s">
        <v>11</v>
      </c>
      <c r="D553" s="80" t="str">
        <f t="shared" si="1"/>
        <v>-</v>
      </c>
      <c r="E553" s="9"/>
      <c r="F553" s="10"/>
      <c r="G553" s="9"/>
      <c r="H553" s="11"/>
      <c r="I553" s="9" t="s">
        <v>13</v>
      </c>
      <c r="J553" s="81"/>
      <c r="K553" s="81"/>
    </row>
    <row r="554">
      <c r="A554" s="78" t="s">
        <v>334</v>
      </c>
      <c r="B554" s="47"/>
      <c r="C554" s="80" t="s">
        <v>11</v>
      </c>
      <c r="D554" s="80" t="str">
        <f t="shared" si="1"/>
        <v>-</v>
      </c>
      <c r="E554" s="9"/>
      <c r="F554" s="10"/>
      <c r="G554" s="9"/>
      <c r="H554" s="11"/>
      <c r="I554" s="9" t="s">
        <v>13</v>
      </c>
      <c r="J554" s="81"/>
      <c r="K554" s="81"/>
    </row>
    <row r="555">
      <c r="A555" s="78" t="s">
        <v>334</v>
      </c>
      <c r="B555" s="47"/>
      <c r="C555" s="80" t="s">
        <v>11</v>
      </c>
      <c r="D555" s="80" t="str">
        <f t="shared" si="1"/>
        <v>-</v>
      </c>
      <c r="E555" s="9"/>
      <c r="F555" s="10"/>
      <c r="G555" s="9"/>
      <c r="H555" s="11"/>
      <c r="I555" s="9" t="s">
        <v>13</v>
      </c>
      <c r="J555" s="81"/>
      <c r="K555" s="81"/>
    </row>
    <row r="556">
      <c r="A556" s="78" t="s">
        <v>334</v>
      </c>
      <c r="B556" s="47"/>
      <c r="C556" s="80" t="s">
        <v>11</v>
      </c>
      <c r="D556" s="80" t="str">
        <f t="shared" si="1"/>
        <v>-</v>
      </c>
      <c r="E556" s="9"/>
      <c r="F556" s="10"/>
      <c r="G556" s="9"/>
      <c r="H556" s="11"/>
      <c r="I556" s="9" t="s">
        <v>13</v>
      </c>
      <c r="J556" s="81"/>
      <c r="K556" s="81"/>
    </row>
    <row r="557">
      <c r="A557" s="78" t="s">
        <v>334</v>
      </c>
      <c r="B557" s="47"/>
      <c r="C557" s="80" t="s">
        <v>11</v>
      </c>
      <c r="D557" s="80" t="str">
        <f t="shared" si="1"/>
        <v>-</v>
      </c>
      <c r="E557" s="9"/>
      <c r="F557" s="10"/>
      <c r="G557" s="9"/>
      <c r="H557" s="11"/>
      <c r="I557" s="9" t="s">
        <v>13</v>
      </c>
      <c r="J557" s="81"/>
      <c r="K557" s="81"/>
    </row>
    <row r="558">
      <c r="A558" s="78" t="s">
        <v>334</v>
      </c>
      <c r="B558" s="47"/>
      <c r="C558" s="80" t="s">
        <v>11</v>
      </c>
      <c r="D558" s="80" t="str">
        <f t="shared" si="1"/>
        <v>-</v>
      </c>
      <c r="E558" s="9"/>
      <c r="F558" s="10"/>
      <c r="G558" s="9"/>
      <c r="H558" s="11"/>
      <c r="I558" s="9" t="s">
        <v>13</v>
      </c>
      <c r="J558" s="81"/>
      <c r="K558" s="81"/>
    </row>
  </sheetData>
  <mergeCells count="1">
    <mergeCell ref="A1:J1"/>
  </mergeCells>
  <conditionalFormatting sqref="A1:K558">
    <cfRule type="containsText" dxfId="0" priority="1" operator="containsText" text="FAB A FAIRE">
      <formula>NOT(ISERROR(SEARCH(("FAB A FAIRE"),(A1))))</formula>
    </cfRule>
  </conditionalFormatting>
  <conditionalFormatting sqref="B3:H558">
    <cfRule type="expression" dxfId="1" priority="2">
      <formula>$G3="Stand-by"</formula>
    </cfRule>
  </conditionalFormatting>
  <conditionalFormatting sqref="G2:G558">
    <cfRule type="cellIs" dxfId="2" priority="3" operator="equal">
      <formula>"A faire"</formula>
    </cfRule>
  </conditionalFormatting>
  <conditionalFormatting sqref="G2:G558">
    <cfRule type="cellIs" dxfId="3" priority="4" operator="equal">
      <formula>"En cours"</formula>
    </cfRule>
  </conditionalFormatting>
  <conditionalFormatting sqref="B3:H558">
    <cfRule type="expression" dxfId="4" priority="5">
      <formula>$G3="Sur T.L."</formula>
    </cfRule>
  </conditionalFormatting>
  <conditionalFormatting sqref="G2:G558">
    <cfRule type="cellIs" dxfId="5" priority="6" operator="equal">
      <formula>"Attente R."</formula>
    </cfRule>
  </conditionalFormatting>
  <conditionalFormatting sqref="F2:F558">
    <cfRule type="timePeriod" dxfId="6" priority="7" timePeriod="today"/>
  </conditionalFormatting>
  <conditionalFormatting sqref="F2:F558">
    <cfRule type="expression" dxfId="7" priority="8">
      <formula>AND(ISNUMBER(F2),TRUNC(F2)&lt;TODAY())</formula>
    </cfRule>
  </conditionalFormatting>
  <conditionalFormatting sqref="G2:G558">
    <cfRule type="cellIs" dxfId="8" priority="9" operator="equal">
      <formula>"Mairie"</formula>
    </cfRule>
  </conditionalFormatting>
  <conditionalFormatting sqref="H2:H558">
    <cfRule type="containsText" dxfId="9" priority="10" operator="containsText" text="REPRISE DOSSIER CAROLE">
      <formula>NOT(ISERROR(SEARCH(("REPRISE DOSSIER CAROLE"),(H2))))</formula>
    </cfRule>
  </conditionalFormatting>
  <dataValidations>
    <dataValidation type="list" allowBlank="1" sqref="G3:G558">
      <formula1>"-,A faire,En cours,Attente R.,Stand-by,Sur T.L.,Mairie,! Urgent !,A Relancer"</formula1>
    </dataValidation>
    <dataValidation type="list" allowBlank="1" sqref="E3:E558">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5.63"/>
    <col customWidth="1" min="3" max="3" width="9.38"/>
    <col customWidth="1" min="4" max="4" width="12.13"/>
    <col customWidth="1" min="5" max="5" width="6.88"/>
    <col customWidth="1" min="6" max="6" width="8.63"/>
    <col customWidth="1" min="7" max="7" width="11.88"/>
    <col customWidth="1" min="8" max="8" width="89.88"/>
    <col customWidth="1" min="9" max="9" width="11.63"/>
    <col customWidth="1" min="10" max="10" width="2.63"/>
  </cols>
  <sheetData>
    <row r="1" ht="24.0" customHeight="1">
      <c r="A1" s="32" t="s">
        <v>335</v>
      </c>
      <c r="I1" s="82" t="s">
        <v>336</v>
      </c>
    </row>
    <row r="2">
      <c r="A2" s="83"/>
      <c r="B2" s="30" t="s">
        <v>1</v>
      </c>
      <c r="C2" s="31" t="s">
        <v>2</v>
      </c>
      <c r="D2" s="31" t="s">
        <v>3</v>
      </c>
      <c r="E2" s="32" t="s">
        <v>4</v>
      </c>
      <c r="F2" s="31" t="s">
        <v>5</v>
      </c>
      <c r="G2" s="32" t="s">
        <v>6</v>
      </c>
      <c r="H2" s="32" t="s">
        <v>7</v>
      </c>
      <c r="I2" s="32" t="s">
        <v>8</v>
      </c>
      <c r="J2" s="33"/>
    </row>
    <row r="3">
      <c r="A3" s="84" t="s">
        <v>337</v>
      </c>
      <c r="B3" s="7" t="s">
        <v>338</v>
      </c>
      <c r="C3" s="85">
        <v>46002.65637700231</v>
      </c>
      <c r="D3" s="85">
        <f t="shared" ref="D3:D911" si="1">IFERROR(_xlfn.WORKDAY.INTL(C3, 2),"-")</f>
        <v>46006</v>
      </c>
      <c r="E3" s="7" t="s">
        <v>11</v>
      </c>
      <c r="F3" s="86"/>
      <c r="G3" s="7" t="s">
        <v>15</v>
      </c>
      <c r="H3" s="7" t="s">
        <v>339</v>
      </c>
      <c r="I3" s="7" t="s">
        <v>13</v>
      </c>
      <c r="J3" s="33"/>
    </row>
    <row r="4">
      <c r="A4" s="84" t="s">
        <v>337</v>
      </c>
      <c r="B4" s="7" t="s">
        <v>340</v>
      </c>
      <c r="C4" s="85">
        <v>46002.703071909724</v>
      </c>
      <c r="D4" s="85">
        <f t="shared" si="1"/>
        <v>46006</v>
      </c>
      <c r="E4" s="7" t="s">
        <v>11</v>
      </c>
      <c r="F4" s="86"/>
      <c r="G4" s="7" t="s">
        <v>15</v>
      </c>
      <c r="H4" s="7" t="s">
        <v>341</v>
      </c>
      <c r="I4" s="7" t="s">
        <v>13</v>
      </c>
      <c r="J4" s="33"/>
    </row>
    <row r="5">
      <c r="A5" s="84" t="s">
        <v>337</v>
      </c>
      <c r="B5" s="7" t="s">
        <v>342</v>
      </c>
      <c r="C5" s="85">
        <v>46006.685886493055</v>
      </c>
      <c r="D5" s="85">
        <f t="shared" si="1"/>
        <v>46008</v>
      </c>
      <c r="E5" s="7" t="s">
        <v>11</v>
      </c>
      <c r="F5" s="86"/>
      <c r="G5" s="7" t="s">
        <v>220</v>
      </c>
      <c r="H5" s="7" t="s">
        <v>343</v>
      </c>
      <c r="I5" s="7" t="s">
        <v>13</v>
      </c>
      <c r="J5" s="33"/>
    </row>
    <row r="6">
      <c r="A6" s="84" t="s">
        <v>337</v>
      </c>
      <c r="B6" s="7" t="s">
        <v>344</v>
      </c>
      <c r="C6" s="85">
        <v>46006.686262083334</v>
      </c>
      <c r="D6" s="85">
        <f t="shared" si="1"/>
        <v>46008</v>
      </c>
      <c r="E6" s="7" t="s">
        <v>11</v>
      </c>
      <c r="F6" s="86"/>
      <c r="G6" s="7" t="s">
        <v>15</v>
      </c>
      <c r="H6" s="7" t="s">
        <v>345</v>
      </c>
      <c r="I6" s="7" t="s">
        <v>13</v>
      </c>
      <c r="J6" s="33"/>
    </row>
    <row r="7">
      <c r="A7" s="84" t="s">
        <v>337</v>
      </c>
      <c r="B7" s="7" t="s">
        <v>346</v>
      </c>
      <c r="C7" s="85">
        <v>46001.42104981482</v>
      </c>
      <c r="D7" s="85">
        <f t="shared" si="1"/>
        <v>46003</v>
      </c>
      <c r="E7" s="7" t="s">
        <v>11</v>
      </c>
      <c r="F7" s="86"/>
      <c r="G7" s="7" t="s">
        <v>220</v>
      </c>
      <c r="H7" s="7" t="s">
        <v>347</v>
      </c>
      <c r="I7" s="7" t="s">
        <v>13</v>
      </c>
      <c r="J7" s="33"/>
    </row>
    <row r="8">
      <c r="A8" s="84" t="s">
        <v>337</v>
      </c>
      <c r="B8" s="7" t="s">
        <v>348</v>
      </c>
      <c r="C8" s="85">
        <v>46007.67132671297</v>
      </c>
      <c r="D8" s="85">
        <f t="shared" si="1"/>
        <v>46009</v>
      </c>
      <c r="E8" s="7" t="s">
        <v>11</v>
      </c>
      <c r="F8" s="86"/>
      <c r="G8" s="7" t="s">
        <v>15</v>
      </c>
      <c r="H8" s="7" t="s">
        <v>349</v>
      </c>
      <c r="I8" s="7" t="s">
        <v>13</v>
      </c>
      <c r="J8" s="33"/>
    </row>
    <row r="9">
      <c r="A9" s="84" t="s">
        <v>337</v>
      </c>
      <c r="B9" s="11"/>
      <c r="C9" s="85" t="s">
        <v>11</v>
      </c>
      <c r="D9" s="85" t="str">
        <f t="shared" si="1"/>
        <v>-</v>
      </c>
      <c r="E9" s="7" t="s">
        <v>11</v>
      </c>
      <c r="F9" s="86"/>
      <c r="G9" s="7"/>
      <c r="H9" s="11"/>
      <c r="I9" s="7" t="s">
        <v>13</v>
      </c>
      <c r="J9" s="33"/>
    </row>
    <row r="10">
      <c r="A10" s="84" t="s">
        <v>337</v>
      </c>
      <c r="B10" s="11"/>
      <c r="C10" s="85" t="s">
        <v>11</v>
      </c>
      <c r="D10" s="85" t="str">
        <f t="shared" si="1"/>
        <v>-</v>
      </c>
      <c r="E10" s="7" t="s">
        <v>11</v>
      </c>
      <c r="F10" s="86"/>
      <c r="G10" s="7"/>
      <c r="H10" s="11"/>
      <c r="I10" s="7" t="s">
        <v>13</v>
      </c>
      <c r="J10" s="33"/>
    </row>
    <row r="11">
      <c r="A11" s="84" t="s">
        <v>337</v>
      </c>
      <c r="B11" s="11"/>
      <c r="C11" s="85" t="s">
        <v>11</v>
      </c>
      <c r="D11" s="85" t="str">
        <f t="shared" si="1"/>
        <v>-</v>
      </c>
      <c r="E11" s="7" t="s">
        <v>11</v>
      </c>
      <c r="F11" s="86"/>
      <c r="G11" s="7"/>
      <c r="H11" s="11"/>
      <c r="I11" s="7" t="s">
        <v>13</v>
      </c>
      <c r="J11" s="33"/>
    </row>
    <row r="12">
      <c r="A12" s="84" t="s">
        <v>337</v>
      </c>
      <c r="B12" s="11"/>
      <c r="C12" s="85" t="s">
        <v>11</v>
      </c>
      <c r="D12" s="85" t="str">
        <f t="shared" si="1"/>
        <v>-</v>
      </c>
      <c r="E12" s="7" t="s">
        <v>11</v>
      </c>
      <c r="F12" s="86"/>
      <c r="G12" s="7"/>
      <c r="H12" s="11"/>
      <c r="I12" s="7" t="s">
        <v>13</v>
      </c>
      <c r="J12" s="33"/>
    </row>
    <row r="13">
      <c r="A13" s="84" t="s">
        <v>337</v>
      </c>
      <c r="B13" s="11"/>
      <c r="C13" s="85" t="s">
        <v>11</v>
      </c>
      <c r="D13" s="85" t="str">
        <f t="shared" si="1"/>
        <v>-</v>
      </c>
      <c r="E13" s="7" t="s">
        <v>11</v>
      </c>
      <c r="F13" s="86"/>
      <c r="G13" s="7"/>
      <c r="H13" s="11"/>
      <c r="I13" s="7" t="s">
        <v>13</v>
      </c>
      <c r="J13" s="33"/>
    </row>
    <row r="14">
      <c r="A14" s="84" t="s">
        <v>337</v>
      </c>
      <c r="B14" s="11"/>
      <c r="C14" s="85" t="s">
        <v>11</v>
      </c>
      <c r="D14" s="85" t="str">
        <f t="shared" si="1"/>
        <v>-</v>
      </c>
      <c r="E14" s="7" t="s">
        <v>11</v>
      </c>
      <c r="F14" s="86"/>
      <c r="G14" s="7"/>
      <c r="H14" s="11"/>
      <c r="I14" s="7" t="s">
        <v>13</v>
      </c>
      <c r="J14" s="33"/>
    </row>
    <row r="15">
      <c r="A15" s="84" t="s">
        <v>337</v>
      </c>
      <c r="B15" s="11"/>
      <c r="C15" s="85" t="s">
        <v>11</v>
      </c>
      <c r="D15" s="85" t="str">
        <f t="shared" si="1"/>
        <v>-</v>
      </c>
      <c r="E15" s="7" t="s">
        <v>11</v>
      </c>
      <c r="F15" s="86"/>
      <c r="G15" s="7"/>
      <c r="H15" s="11"/>
      <c r="I15" s="7" t="s">
        <v>13</v>
      </c>
      <c r="J15" s="33"/>
    </row>
    <row r="16">
      <c r="A16" s="84" t="s">
        <v>337</v>
      </c>
      <c r="B16" s="11"/>
      <c r="C16" s="85" t="s">
        <v>11</v>
      </c>
      <c r="D16" s="85" t="str">
        <f t="shared" si="1"/>
        <v>-</v>
      </c>
      <c r="E16" s="7" t="s">
        <v>11</v>
      </c>
      <c r="F16" s="86"/>
      <c r="G16" s="7"/>
      <c r="H16" s="11"/>
      <c r="I16" s="7" t="s">
        <v>13</v>
      </c>
      <c r="J16" s="33"/>
    </row>
    <row r="17">
      <c r="A17" s="84" t="s">
        <v>337</v>
      </c>
      <c r="B17" s="11"/>
      <c r="C17" s="85" t="s">
        <v>11</v>
      </c>
      <c r="D17" s="85" t="str">
        <f t="shared" si="1"/>
        <v>-</v>
      </c>
      <c r="E17" s="7" t="s">
        <v>11</v>
      </c>
      <c r="F17" s="86"/>
      <c r="G17" s="7"/>
      <c r="H17" s="11"/>
      <c r="I17" s="7" t="s">
        <v>13</v>
      </c>
      <c r="J17" s="33"/>
    </row>
    <row r="18">
      <c r="A18" s="84" t="s">
        <v>337</v>
      </c>
      <c r="B18" s="11"/>
      <c r="C18" s="85" t="s">
        <v>11</v>
      </c>
      <c r="D18" s="85" t="str">
        <f t="shared" si="1"/>
        <v>-</v>
      </c>
      <c r="E18" s="7" t="s">
        <v>11</v>
      </c>
      <c r="F18" s="86"/>
      <c r="G18" s="7"/>
      <c r="H18" s="11"/>
      <c r="I18" s="7" t="s">
        <v>13</v>
      </c>
      <c r="J18" s="33"/>
    </row>
    <row r="19">
      <c r="A19" s="84" t="s">
        <v>337</v>
      </c>
      <c r="B19" s="11"/>
      <c r="C19" s="85" t="s">
        <v>11</v>
      </c>
      <c r="D19" s="85" t="str">
        <f t="shared" si="1"/>
        <v>-</v>
      </c>
      <c r="E19" s="7" t="s">
        <v>11</v>
      </c>
      <c r="F19" s="86"/>
      <c r="G19" s="7"/>
      <c r="H19" s="11"/>
      <c r="I19" s="7" t="s">
        <v>13</v>
      </c>
      <c r="J19" s="33"/>
    </row>
    <row r="20">
      <c r="A20" s="84" t="s">
        <v>337</v>
      </c>
      <c r="B20" s="11"/>
      <c r="C20" s="85" t="s">
        <v>11</v>
      </c>
      <c r="D20" s="85" t="str">
        <f t="shared" si="1"/>
        <v>-</v>
      </c>
      <c r="E20" s="7" t="s">
        <v>11</v>
      </c>
      <c r="F20" s="86"/>
      <c r="G20" s="7"/>
      <c r="H20" s="11"/>
      <c r="I20" s="7" t="s">
        <v>13</v>
      </c>
      <c r="J20" s="33"/>
    </row>
    <row r="21">
      <c r="A21" s="84" t="s">
        <v>337</v>
      </c>
      <c r="B21" s="11"/>
      <c r="C21" s="85" t="s">
        <v>11</v>
      </c>
      <c r="D21" s="85" t="str">
        <f t="shared" si="1"/>
        <v>-</v>
      </c>
      <c r="E21" s="7" t="s">
        <v>11</v>
      </c>
      <c r="F21" s="86"/>
      <c r="G21" s="7"/>
      <c r="H21" s="11"/>
      <c r="I21" s="7" t="s">
        <v>13</v>
      </c>
      <c r="J21" s="33"/>
    </row>
    <row r="22">
      <c r="A22" s="84" t="s">
        <v>337</v>
      </c>
      <c r="B22" s="11"/>
      <c r="C22" s="85" t="s">
        <v>11</v>
      </c>
      <c r="D22" s="85" t="str">
        <f t="shared" si="1"/>
        <v>-</v>
      </c>
      <c r="E22" s="7" t="s">
        <v>11</v>
      </c>
      <c r="F22" s="86"/>
      <c r="G22" s="7"/>
      <c r="H22" s="11"/>
      <c r="I22" s="7" t="s">
        <v>13</v>
      </c>
      <c r="J22" s="33"/>
    </row>
    <row r="23">
      <c r="A23" s="84" t="s">
        <v>337</v>
      </c>
      <c r="B23" s="11"/>
      <c r="C23" s="85" t="s">
        <v>11</v>
      </c>
      <c r="D23" s="85" t="str">
        <f t="shared" si="1"/>
        <v>-</v>
      </c>
      <c r="E23" s="7" t="s">
        <v>11</v>
      </c>
      <c r="F23" s="86"/>
      <c r="G23" s="7"/>
      <c r="H23" s="11"/>
      <c r="I23" s="7" t="s">
        <v>13</v>
      </c>
      <c r="J23" s="33"/>
    </row>
    <row r="24">
      <c r="A24" s="84" t="s">
        <v>337</v>
      </c>
      <c r="B24" s="11"/>
      <c r="C24" s="85" t="s">
        <v>11</v>
      </c>
      <c r="D24" s="85" t="str">
        <f t="shared" si="1"/>
        <v>-</v>
      </c>
      <c r="E24" s="7" t="s">
        <v>11</v>
      </c>
      <c r="F24" s="86"/>
      <c r="G24" s="7"/>
      <c r="H24" s="11"/>
      <c r="I24" s="7" t="s">
        <v>13</v>
      </c>
      <c r="J24" s="33"/>
    </row>
    <row r="25">
      <c r="A25" s="84" t="s">
        <v>337</v>
      </c>
      <c r="B25" s="11"/>
      <c r="C25" s="85" t="s">
        <v>11</v>
      </c>
      <c r="D25" s="85" t="str">
        <f t="shared" si="1"/>
        <v>-</v>
      </c>
      <c r="E25" s="7" t="s">
        <v>11</v>
      </c>
      <c r="F25" s="86"/>
      <c r="G25" s="7"/>
      <c r="H25" s="11"/>
      <c r="I25" s="7" t="s">
        <v>13</v>
      </c>
      <c r="J25" s="33"/>
    </row>
    <row r="26">
      <c r="A26" s="84" t="s">
        <v>337</v>
      </c>
      <c r="B26" s="11"/>
      <c r="C26" s="85" t="s">
        <v>11</v>
      </c>
      <c r="D26" s="85" t="str">
        <f t="shared" si="1"/>
        <v>-</v>
      </c>
      <c r="E26" s="7" t="s">
        <v>11</v>
      </c>
      <c r="F26" s="86"/>
      <c r="G26" s="7"/>
      <c r="H26" s="11"/>
      <c r="I26" s="7" t="s">
        <v>13</v>
      </c>
      <c r="J26" s="33"/>
    </row>
    <row r="27">
      <c r="A27" s="84" t="s">
        <v>337</v>
      </c>
      <c r="B27" s="11"/>
      <c r="C27" s="85" t="s">
        <v>11</v>
      </c>
      <c r="D27" s="85" t="str">
        <f t="shared" si="1"/>
        <v>-</v>
      </c>
      <c r="E27" s="7" t="s">
        <v>11</v>
      </c>
      <c r="F27" s="86"/>
      <c r="G27" s="7"/>
      <c r="H27" s="11"/>
      <c r="I27" s="7" t="s">
        <v>13</v>
      </c>
      <c r="J27" s="33"/>
    </row>
    <row r="28">
      <c r="A28" s="84" t="s">
        <v>337</v>
      </c>
      <c r="B28" s="11"/>
      <c r="C28" s="85" t="s">
        <v>11</v>
      </c>
      <c r="D28" s="85" t="str">
        <f t="shared" si="1"/>
        <v>-</v>
      </c>
      <c r="E28" s="7" t="s">
        <v>11</v>
      </c>
      <c r="F28" s="86"/>
      <c r="G28" s="7"/>
      <c r="H28" s="11"/>
      <c r="I28" s="7" t="s">
        <v>13</v>
      </c>
      <c r="J28" s="33"/>
    </row>
    <row r="29">
      <c r="A29" s="84" t="s">
        <v>337</v>
      </c>
      <c r="B29" s="11"/>
      <c r="C29" s="85" t="s">
        <v>11</v>
      </c>
      <c r="D29" s="85" t="str">
        <f t="shared" si="1"/>
        <v>-</v>
      </c>
      <c r="E29" s="7" t="s">
        <v>11</v>
      </c>
      <c r="F29" s="86"/>
      <c r="G29" s="7"/>
      <c r="H29" s="11"/>
      <c r="I29" s="7" t="s">
        <v>13</v>
      </c>
      <c r="J29" s="33"/>
    </row>
    <row r="30">
      <c r="A30" s="84" t="s">
        <v>337</v>
      </c>
      <c r="B30" s="11"/>
      <c r="C30" s="85" t="s">
        <v>11</v>
      </c>
      <c r="D30" s="85" t="str">
        <f t="shared" si="1"/>
        <v>-</v>
      </c>
      <c r="E30" s="7" t="s">
        <v>11</v>
      </c>
      <c r="F30" s="86"/>
      <c r="G30" s="7"/>
      <c r="H30" s="11"/>
      <c r="I30" s="7" t="s">
        <v>13</v>
      </c>
      <c r="J30" s="33"/>
    </row>
    <row r="31">
      <c r="A31" s="84" t="s">
        <v>337</v>
      </c>
      <c r="B31" s="11"/>
      <c r="C31" s="85" t="s">
        <v>11</v>
      </c>
      <c r="D31" s="85" t="str">
        <f t="shared" si="1"/>
        <v>-</v>
      </c>
      <c r="E31" s="7" t="s">
        <v>11</v>
      </c>
      <c r="F31" s="86"/>
      <c r="G31" s="7"/>
      <c r="H31" s="11"/>
      <c r="I31" s="7" t="s">
        <v>13</v>
      </c>
      <c r="J31" s="33"/>
    </row>
    <row r="32">
      <c r="A32" s="84" t="s">
        <v>337</v>
      </c>
      <c r="B32" s="11"/>
      <c r="C32" s="85" t="s">
        <v>11</v>
      </c>
      <c r="D32" s="85" t="str">
        <f t="shared" si="1"/>
        <v>-</v>
      </c>
      <c r="E32" s="7" t="s">
        <v>11</v>
      </c>
      <c r="F32" s="86"/>
      <c r="G32" s="7"/>
      <c r="H32" s="11"/>
      <c r="I32" s="7" t="s">
        <v>13</v>
      </c>
      <c r="J32" s="33"/>
    </row>
    <row r="33">
      <c r="A33" s="84" t="s">
        <v>337</v>
      </c>
      <c r="B33" s="11"/>
      <c r="C33" s="85" t="s">
        <v>11</v>
      </c>
      <c r="D33" s="85" t="str">
        <f t="shared" si="1"/>
        <v>-</v>
      </c>
      <c r="E33" s="7" t="s">
        <v>11</v>
      </c>
      <c r="F33" s="86"/>
      <c r="G33" s="7"/>
      <c r="H33" s="11"/>
      <c r="I33" s="7" t="s">
        <v>13</v>
      </c>
      <c r="J33" s="33"/>
    </row>
    <row r="34">
      <c r="A34" s="84" t="s">
        <v>337</v>
      </c>
      <c r="B34" s="11"/>
      <c r="C34" s="85" t="s">
        <v>11</v>
      </c>
      <c r="D34" s="85" t="str">
        <f t="shared" si="1"/>
        <v>-</v>
      </c>
      <c r="E34" s="7" t="s">
        <v>11</v>
      </c>
      <c r="F34" s="86"/>
      <c r="G34" s="7"/>
      <c r="H34" s="11"/>
      <c r="I34" s="7" t="s">
        <v>13</v>
      </c>
      <c r="J34" s="33"/>
    </row>
    <row r="35">
      <c r="A35" s="84" t="s">
        <v>337</v>
      </c>
      <c r="B35" s="11"/>
      <c r="C35" s="85" t="s">
        <v>11</v>
      </c>
      <c r="D35" s="85" t="str">
        <f t="shared" si="1"/>
        <v>-</v>
      </c>
      <c r="E35" s="7" t="s">
        <v>11</v>
      </c>
      <c r="F35" s="86"/>
      <c r="G35" s="7"/>
      <c r="H35" s="11"/>
      <c r="I35" s="7" t="s">
        <v>13</v>
      </c>
      <c r="J35" s="33"/>
    </row>
    <row r="36">
      <c r="A36" s="84" t="s">
        <v>337</v>
      </c>
      <c r="B36" s="11"/>
      <c r="C36" s="85" t="s">
        <v>11</v>
      </c>
      <c r="D36" s="85" t="str">
        <f t="shared" si="1"/>
        <v>-</v>
      </c>
      <c r="E36" s="7" t="s">
        <v>11</v>
      </c>
      <c r="F36" s="86"/>
      <c r="G36" s="7"/>
      <c r="H36" s="11"/>
      <c r="I36" s="7" t="s">
        <v>13</v>
      </c>
      <c r="J36" s="33"/>
    </row>
    <row r="37">
      <c r="A37" s="84" t="s">
        <v>337</v>
      </c>
      <c r="B37" s="11"/>
      <c r="C37" s="85" t="s">
        <v>11</v>
      </c>
      <c r="D37" s="85" t="str">
        <f t="shared" si="1"/>
        <v>-</v>
      </c>
      <c r="E37" s="7" t="s">
        <v>11</v>
      </c>
      <c r="F37" s="86"/>
      <c r="G37" s="7"/>
      <c r="H37" s="11"/>
      <c r="I37" s="7" t="s">
        <v>13</v>
      </c>
      <c r="J37" s="33"/>
    </row>
    <row r="38">
      <c r="A38" s="84" t="s">
        <v>337</v>
      </c>
      <c r="B38" s="11"/>
      <c r="C38" s="85" t="s">
        <v>11</v>
      </c>
      <c r="D38" s="85" t="str">
        <f t="shared" si="1"/>
        <v>-</v>
      </c>
      <c r="E38" s="7" t="s">
        <v>11</v>
      </c>
      <c r="F38" s="86"/>
      <c r="G38" s="7"/>
      <c r="H38" s="11"/>
      <c r="I38" s="7" t="s">
        <v>13</v>
      </c>
      <c r="J38" s="33"/>
    </row>
    <row r="39">
      <c r="A39" s="84" t="s">
        <v>337</v>
      </c>
      <c r="B39" s="11"/>
      <c r="C39" s="85" t="s">
        <v>11</v>
      </c>
      <c r="D39" s="85" t="str">
        <f t="shared" si="1"/>
        <v>-</v>
      </c>
      <c r="E39" s="7" t="s">
        <v>11</v>
      </c>
      <c r="F39" s="86"/>
      <c r="G39" s="7"/>
      <c r="H39" s="11"/>
      <c r="I39" s="7" t="s">
        <v>13</v>
      </c>
      <c r="J39" s="33"/>
    </row>
    <row r="40">
      <c r="A40" s="84" t="s">
        <v>337</v>
      </c>
      <c r="B40" s="11"/>
      <c r="C40" s="85" t="s">
        <v>11</v>
      </c>
      <c r="D40" s="85" t="str">
        <f t="shared" si="1"/>
        <v>-</v>
      </c>
      <c r="E40" s="7" t="s">
        <v>11</v>
      </c>
      <c r="F40" s="86"/>
      <c r="G40" s="7"/>
      <c r="H40" s="11"/>
      <c r="I40" s="7" t="s">
        <v>13</v>
      </c>
      <c r="J40" s="33"/>
    </row>
    <row r="41">
      <c r="A41" s="84" t="s">
        <v>337</v>
      </c>
      <c r="B41" s="11"/>
      <c r="C41" s="85" t="s">
        <v>11</v>
      </c>
      <c r="D41" s="85" t="str">
        <f t="shared" si="1"/>
        <v>-</v>
      </c>
      <c r="E41" s="7" t="s">
        <v>11</v>
      </c>
      <c r="F41" s="86"/>
      <c r="G41" s="7"/>
      <c r="H41" s="11"/>
      <c r="I41" s="7" t="s">
        <v>13</v>
      </c>
      <c r="J41" s="33"/>
    </row>
    <row r="42">
      <c r="A42" s="84" t="s">
        <v>337</v>
      </c>
      <c r="B42" s="11"/>
      <c r="C42" s="85" t="s">
        <v>11</v>
      </c>
      <c r="D42" s="85" t="str">
        <f t="shared" si="1"/>
        <v>-</v>
      </c>
      <c r="E42" s="7" t="s">
        <v>11</v>
      </c>
      <c r="F42" s="86"/>
      <c r="G42" s="7"/>
      <c r="H42" s="11"/>
      <c r="I42" s="7" t="s">
        <v>13</v>
      </c>
      <c r="J42" s="33"/>
    </row>
    <row r="43">
      <c r="A43" s="84" t="s">
        <v>337</v>
      </c>
      <c r="B43" s="11"/>
      <c r="C43" s="85" t="s">
        <v>11</v>
      </c>
      <c r="D43" s="85" t="str">
        <f t="shared" si="1"/>
        <v>-</v>
      </c>
      <c r="E43" s="7" t="s">
        <v>11</v>
      </c>
      <c r="F43" s="86"/>
      <c r="G43" s="7"/>
      <c r="H43" s="11"/>
      <c r="I43" s="7" t="s">
        <v>13</v>
      </c>
      <c r="J43" s="33"/>
    </row>
    <row r="44">
      <c r="A44" s="84" t="s">
        <v>337</v>
      </c>
      <c r="B44" s="11"/>
      <c r="C44" s="85" t="s">
        <v>11</v>
      </c>
      <c r="D44" s="85" t="str">
        <f t="shared" si="1"/>
        <v>-</v>
      </c>
      <c r="E44" s="7" t="s">
        <v>11</v>
      </c>
      <c r="F44" s="86"/>
      <c r="G44" s="7"/>
      <c r="H44" s="11"/>
      <c r="I44" s="7" t="s">
        <v>13</v>
      </c>
      <c r="J44" s="33"/>
    </row>
    <row r="45">
      <c r="A45" s="84" t="s">
        <v>337</v>
      </c>
      <c r="B45" s="11"/>
      <c r="C45" s="85" t="s">
        <v>11</v>
      </c>
      <c r="D45" s="85" t="str">
        <f t="shared" si="1"/>
        <v>-</v>
      </c>
      <c r="E45" s="7" t="s">
        <v>11</v>
      </c>
      <c r="F45" s="86"/>
      <c r="G45" s="7"/>
      <c r="H45" s="11"/>
      <c r="I45" s="7" t="s">
        <v>13</v>
      </c>
      <c r="J45" s="33"/>
    </row>
    <row r="46">
      <c r="A46" s="84" t="s">
        <v>337</v>
      </c>
      <c r="B46" s="11"/>
      <c r="C46" s="85" t="s">
        <v>11</v>
      </c>
      <c r="D46" s="85" t="str">
        <f t="shared" si="1"/>
        <v>-</v>
      </c>
      <c r="E46" s="7" t="s">
        <v>11</v>
      </c>
      <c r="F46" s="86"/>
      <c r="G46" s="7"/>
      <c r="H46" s="11"/>
      <c r="I46" s="7" t="s">
        <v>13</v>
      </c>
      <c r="J46" s="33"/>
    </row>
    <row r="47">
      <c r="A47" s="84" t="s">
        <v>337</v>
      </c>
      <c r="B47" s="11"/>
      <c r="C47" s="85" t="s">
        <v>11</v>
      </c>
      <c r="D47" s="85" t="str">
        <f t="shared" si="1"/>
        <v>-</v>
      </c>
      <c r="E47" s="7" t="s">
        <v>11</v>
      </c>
      <c r="F47" s="86"/>
      <c r="G47" s="7"/>
      <c r="H47" s="11"/>
      <c r="I47" s="7" t="s">
        <v>13</v>
      </c>
      <c r="J47" s="33"/>
    </row>
    <row r="48">
      <c r="A48" s="84" t="s">
        <v>337</v>
      </c>
      <c r="B48" s="11"/>
      <c r="C48" s="85" t="s">
        <v>11</v>
      </c>
      <c r="D48" s="85" t="str">
        <f t="shared" si="1"/>
        <v>-</v>
      </c>
      <c r="E48" s="7" t="s">
        <v>11</v>
      </c>
      <c r="F48" s="86"/>
      <c r="G48" s="7"/>
      <c r="H48" s="11"/>
      <c r="I48" s="7" t="s">
        <v>13</v>
      </c>
      <c r="J48" s="33"/>
    </row>
    <row r="49">
      <c r="A49" s="84" t="s">
        <v>337</v>
      </c>
      <c r="B49" s="11"/>
      <c r="C49" s="85" t="s">
        <v>11</v>
      </c>
      <c r="D49" s="85" t="str">
        <f t="shared" si="1"/>
        <v>-</v>
      </c>
      <c r="E49" s="7" t="s">
        <v>11</v>
      </c>
      <c r="F49" s="86"/>
      <c r="G49" s="7"/>
      <c r="H49" s="11"/>
      <c r="I49" s="7" t="s">
        <v>13</v>
      </c>
      <c r="J49" s="33"/>
    </row>
    <row r="50">
      <c r="A50" s="84" t="s">
        <v>337</v>
      </c>
      <c r="B50" s="11"/>
      <c r="C50" s="85" t="s">
        <v>11</v>
      </c>
      <c r="D50" s="85" t="str">
        <f t="shared" si="1"/>
        <v>-</v>
      </c>
      <c r="E50" s="7" t="s">
        <v>11</v>
      </c>
      <c r="F50" s="86"/>
      <c r="G50" s="7"/>
      <c r="H50" s="11"/>
      <c r="I50" s="7" t="s">
        <v>13</v>
      </c>
      <c r="J50" s="33"/>
    </row>
    <row r="51">
      <c r="A51" s="84" t="s">
        <v>337</v>
      </c>
      <c r="B51" s="11"/>
      <c r="C51" s="85" t="s">
        <v>11</v>
      </c>
      <c r="D51" s="85" t="str">
        <f t="shared" si="1"/>
        <v>-</v>
      </c>
      <c r="E51" s="7" t="s">
        <v>11</v>
      </c>
      <c r="F51" s="86"/>
      <c r="G51" s="7"/>
      <c r="H51" s="11"/>
      <c r="I51" s="7" t="s">
        <v>13</v>
      </c>
      <c r="J51" s="33"/>
    </row>
    <row r="52">
      <c r="A52" s="84" t="s">
        <v>337</v>
      </c>
      <c r="B52" s="11"/>
      <c r="C52" s="85" t="s">
        <v>11</v>
      </c>
      <c r="D52" s="85" t="str">
        <f t="shared" si="1"/>
        <v>-</v>
      </c>
      <c r="E52" s="7" t="s">
        <v>11</v>
      </c>
      <c r="F52" s="86"/>
      <c r="G52" s="7"/>
      <c r="H52" s="11"/>
      <c r="I52" s="7" t="s">
        <v>13</v>
      </c>
      <c r="J52" s="33"/>
    </row>
    <row r="53">
      <c r="A53" s="84" t="s">
        <v>337</v>
      </c>
      <c r="B53" s="11"/>
      <c r="C53" s="85" t="s">
        <v>11</v>
      </c>
      <c r="D53" s="85" t="str">
        <f t="shared" si="1"/>
        <v>-</v>
      </c>
      <c r="E53" s="7" t="s">
        <v>11</v>
      </c>
      <c r="F53" s="86"/>
      <c r="G53" s="7"/>
      <c r="H53" s="11"/>
      <c r="I53" s="7" t="s">
        <v>13</v>
      </c>
      <c r="J53" s="33"/>
    </row>
    <row r="54">
      <c r="A54" s="84" t="s">
        <v>337</v>
      </c>
      <c r="B54" s="11"/>
      <c r="C54" s="85" t="s">
        <v>11</v>
      </c>
      <c r="D54" s="85" t="str">
        <f t="shared" si="1"/>
        <v>-</v>
      </c>
      <c r="E54" s="7" t="s">
        <v>11</v>
      </c>
      <c r="F54" s="86"/>
      <c r="G54" s="7"/>
      <c r="H54" s="11"/>
      <c r="I54" s="7" t="s">
        <v>13</v>
      </c>
      <c r="J54" s="33"/>
    </row>
    <row r="55">
      <c r="A55" s="84" t="s">
        <v>337</v>
      </c>
      <c r="B55" s="11"/>
      <c r="C55" s="85" t="s">
        <v>11</v>
      </c>
      <c r="D55" s="85" t="str">
        <f t="shared" si="1"/>
        <v>-</v>
      </c>
      <c r="E55" s="7" t="s">
        <v>11</v>
      </c>
      <c r="F55" s="86"/>
      <c r="G55" s="7"/>
      <c r="H55" s="11"/>
      <c r="I55" s="7" t="s">
        <v>13</v>
      </c>
      <c r="J55" s="33"/>
    </row>
    <row r="56">
      <c r="A56" s="84" t="s">
        <v>337</v>
      </c>
      <c r="B56" s="11"/>
      <c r="C56" s="85" t="s">
        <v>11</v>
      </c>
      <c r="D56" s="85" t="str">
        <f t="shared" si="1"/>
        <v>-</v>
      </c>
      <c r="E56" s="7" t="s">
        <v>11</v>
      </c>
      <c r="F56" s="86"/>
      <c r="G56" s="7"/>
      <c r="H56" s="11"/>
      <c r="I56" s="7" t="s">
        <v>13</v>
      </c>
      <c r="J56" s="33"/>
    </row>
    <row r="57">
      <c r="A57" s="84" t="s">
        <v>337</v>
      </c>
      <c r="B57" s="11"/>
      <c r="C57" s="85" t="s">
        <v>11</v>
      </c>
      <c r="D57" s="85" t="str">
        <f t="shared" si="1"/>
        <v>-</v>
      </c>
      <c r="E57" s="7" t="s">
        <v>11</v>
      </c>
      <c r="F57" s="86"/>
      <c r="G57" s="7"/>
      <c r="H57" s="11"/>
      <c r="I57" s="7" t="s">
        <v>13</v>
      </c>
      <c r="J57" s="33"/>
    </row>
    <row r="58">
      <c r="A58" s="84" t="s">
        <v>337</v>
      </c>
      <c r="B58" s="11"/>
      <c r="C58" s="85" t="s">
        <v>11</v>
      </c>
      <c r="D58" s="85" t="str">
        <f t="shared" si="1"/>
        <v>-</v>
      </c>
      <c r="E58" s="7" t="s">
        <v>11</v>
      </c>
      <c r="F58" s="86"/>
      <c r="G58" s="7"/>
      <c r="H58" s="11"/>
      <c r="I58" s="7" t="s">
        <v>13</v>
      </c>
      <c r="J58" s="33"/>
    </row>
    <row r="59">
      <c r="A59" s="84" t="s">
        <v>337</v>
      </c>
      <c r="B59" s="11"/>
      <c r="C59" s="85" t="s">
        <v>11</v>
      </c>
      <c r="D59" s="85" t="str">
        <f t="shared" si="1"/>
        <v>-</v>
      </c>
      <c r="E59" s="7" t="s">
        <v>11</v>
      </c>
      <c r="F59" s="86"/>
      <c r="G59" s="7"/>
      <c r="H59" s="11"/>
      <c r="I59" s="7" t="s">
        <v>13</v>
      </c>
      <c r="J59" s="33"/>
    </row>
    <row r="60">
      <c r="A60" s="84" t="s">
        <v>337</v>
      </c>
      <c r="B60" s="11"/>
      <c r="C60" s="85" t="s">
        <v>11</v>
      </c>
      <c r="D60" s="85" t="str">
        <f t="shared" si="1"/>
        <v>-</v>
      </c>
      <c r="E60" s="7" t="s">
        <v>11</v>
      </c>
      <c r="F60" s="86"/>
      <c r="G60" s="7"/>
      <c r="H60" s="11"/>
      <c r="I60" s="7" t="s">
        <v>13</v>
      </c>
      <c r="J60" s="33"/>
    </row>
    <row r="61">
      <c r="A61" s="84" t="s">
        <v>337</v>
      </c>
      <c r="B61" s="11"/>
      <c r="C61" s="85" t="s">
        <v>11</v>
      </c>
      <c r="D61" s="85" t="str">
        <f t="shared" si="1"/>
        <v>-</v>
      </c>
      <c r="E61" s="7" t="s">
        <v>11</v>
      </c>
      <c r="F61" s="86"/>
      <c r="G61" s="7"/>
      <c r="H61" s="11"/>
      <c r="I61" s="7" t="s">
        <v>13</v>
      </c>
      <c r="J61" s="33"/>
    </row>
    <row r="62">
      <c r="A62" s="84" t="s">
        <v>337</v>
      </c>
      <c r="B62" s="11"/>
      <c r="C62" s="85" t="s">
        <v>11</v>
      </c>
      <c r="D62" s="85" t="str">
        <f t="shared" si="1"/>
        <v>-</v>
      </c>
      <c r="E62" s="7" t="s">
        <v>11</v>
      </c>
      <c r="F62" s="86"/>
      <c r="G62" s="7"/>
      <c r="H62" s="11"/>
      <c r="I62" s="7" t="s">
        <v>13</v>
      </c>
      <c r="J62" s="33"/>
    </row>
    <row r="63">
      <c r="A63" s="84" t="s">
        <v>337</v>
      </c>
      <c r="B63" s="11"/>
      <c r="C63" s="85" t="s">
        <v>11</v>
      </c>
      <c r="D63" s="85" t="str">
        <f t="shared" si="1"/>
        <v>-</v>
      </c>
      <c r="E63" s="7" t="s">
        <v>11</v>
      </c>
      <c r="F63" s="86"/>
      <c r="G63" s="7"/>
      <c r="H63" s="11"/>
      <c r="I63" s="7" t="s">
        <v>13</v>
      </c>
      <c r="J63" s="33"/>
    </row>
    <row r="64">
      <c r="A64" s="84" t="s">
        <v>337</v>
      </c>
      <c r="B64" s="11"/>
      <c r="C64" s="85" t="s">
        <v>11</v>
      </c>
      <c r="D64" s="85" t="str">
        <f t="shared" si="1"/>
        <v>-</v>
      </c>
      <c r="E64" s="7" t="s">
        <v>11</v>
      </c>
      <c r="F64" s="86"/>
      <c r="G64" s="7"/>
      <c r="H64" s="11"/>
      <c r="I64" s="7" t="s">
        <v>13</v>
      </c>
      <c r="J64" s="33"/>
    </row>
    <row r="65">
      <c r="A65" s="84" t="s">
        <v>337</v>
      </c>
      <c r="B65" s="11"/>
      <c r="C65" s="85" t="s">
        <v>11</v>
      </c>
      <c r="D65" s="85" t="str">
        <f t="shared" si="1"/>
        <v>-</v>
      </c>
      <c r="E65" s="7" t="s">
        <v>11</v>
      </c>
      <c r="F65" s="86"/>
      <c r="G65" s="7"/>
      <c r="H65" s="11"/>
      <c r="I65" s="7" t="s">
        <v>13</v>
      </c>
      <c r="J65" s="33"/>
    </row>
    <row r="66">
      <c r="A66" s="84" t="s">
        <v>337</v>
      </c>
      <c r="B66" s="11"/>
      <c r="C66" s="85" t="s">
        <v>11</v>
      </c>
      <c r="D66" s="85" t="str">
        <f t="shared" si="1"/>
        <v>-</v>
      </c>
      <c r="E66" s="7" t="s">
        <v>11</v>
      </c>
      <c r="F66" s="86"/>
      <c r="G66" s="7"/>
      <c r="H66" s="11"/>
      <c r="I66" s="7" t="s">
        <v>13</v>
      </c>
      <c r="J66" s="33"/>
    </row>
    <row r="67">
      <c r="A67" s="84" t="s">
        <v>337</v>
      </c>
      <c r="B67" s="11"/>
      <c r="C67" s="85" t="s">
        <v>11</v>
      </c>
      <c r="D67" s="85" t="str">
        <f t="shared" si="1"/>
        <v>-</v>
      </c>
      <c r="E67" s="7" t="s">
        <v>11</v>
      </c>
      <c r="F67" s="86"/>
      <c r="G67" s="7"/>
      <c r="H67" s="11"/>
      <c r="I67" s="7" t="s">
        <v>13</v>
      </c>
      <c r="J67" s="33"/>
    </row>
    <row r="68">
      <c r="A68" s="84" t="s">
        <v>337</v>
      </c>
      <c r="B68" s="11"/>
      <c r="C68" s="85" t="s">
        <v>11</v>
      </c>
      <c r="D68" s="85" t="str">
        <f t="shared" si="1"/>
        <v>-</v>
      </c>
      <c r="E68" s="7" t="s">
        <v>11</v>
      </c>
      <c r="F68" s="86"/>
      <c r="G68" s="7"/>
      <c r="H68" s="11"/>
      <c r="I68" s="7" t="s">
        <v>13</v>
      </c>
      <c r="J68" s="33"/>
    </row>
    <row r="69">
      <c r="A69" s="84" t="s">
        <v>337</v>
      </c>
      <c r="B69" s="11"/>
      <c r="C69" s="85" t="s">
        <v>11</v>
      </c>
      <c r="D69" s="85" t="str">
        <f t="shared" si="1"/>
        <v>-</v>
      </c>
      <c r="E69" s="7" t="s">
        <v>11</v>
      </c>
      <c r="F69" s="86"/>
      <c r="G69" s="7"/>
      <c r="H69" s="11"/>
      <c r="I69" s="7" t="s">
        <v>13</v>
      </c>
      <c r="J69" s="33"/>
    </row>
    <row r="70">
      <c r="A70" s="84" t="s">
        <v>337</v>
      </c>
      <c r="B70" s="11"/>
      <c r="C70" s="85" t="s">
        <v>11</v>
      </c>
      <c r="D70" s="85" t="str">
        <f t="shared" si="1"/>
        <v>-</v>
      </c>
      <c r="E70" s="7" t="s">
        <v>11</v>
      </c>
      <c r="F70" s="86"/>
      <c r="G70" s="7"/>
      <c r="H70" s="11"/>
      <c r="I70" s="7" t="s">
        <v>13</v>
      </c>
      <c r="J70" s="33"/>
    </row>
    <row r="71">
      <c r="A71" s="84" t="s">
        <v>337</v>
      </c>
      <c r="B71" s="11"/>
      <c r="C71" s="85" t="s">
        <v>11</v>
      </c>
      <c r="D71" s="85" t="str">
        <f t="shared" si="1"/>
        <v>-</v>
      </c>
      <c r="E71" s="7" t="s">
        <v>11</v>
      </c>
      <c r="F71" s="86"/>
      <c r="G71" s="7"/>
      <c r="H71" s="11"/>
      <c r="I71" s="7" t="s">
        <v>13</v>
      </c>
      <c r="J71" s="33"/>
    </row>
    <row r="72">
      <c r="A72" s="84" t="s">
        <v>337</v>
      </c>
      <c r="B72" s="11"/>
      <c r="C72" s="85" t="s">
        <v>11</v>
      </c>
      <c r="D72" s="85" t="str">
        <f t="shared" si="1"/>
        <v>-</v>
      </c>
      <c r="E72" s="7" t="s">
        <v>11</v>
      </c>
      <c r="F72" s="86"/>
      <c r="G72" s="7"/>
      <c r="H72" s="11"/>
      <c r="I72" s="7" t="s">
        <v>13</v>
      </c>
      <c r="J72" s="33"/>
    </row>
    <row r="73">
      <c r="A73" s="84" t="s">
        <v>337</v>
      </c>
      <c r="B73" s="11"/>
      <c r="C73" s="85" t="s">
        <v>11</v>
      </c>
      <c r="D73" s="85" t="str">
        <f t="shared" si="1"/>
        <v>-</v>
      </c>
      <c r="E73" s="7" t="s">
        <v>11</v>
      </c>
      <c r="F73" s="86"/>
      <c r="G73" s="7"/>
      <c r="H73" s="11"/>
      <c r="I73" s="7" t="s">
        <v>13</v>
      </c>
      <c r="J73" s="33"/>
    </row>
    <row r="74">
      <c r="A74" s="84" t="s">
        <v>337</v>
      </c>
      <c r="B74" s="11"/>
      <c r="C74" s="85" t="s">
        <v>11</v>
      </c>
      <c r="D74" s="85" t="str">
        <f t="shared" si="1"/>
        <v>-</v>
      </c>
      <c r="E74" s="7" t="s">
        <v>11</v>
      </c>
      <c r="F74" s="86"/>
      <c r="G74" s="7"/>
      <c r="H74" s="11"/>
      <c r="I74" s="7" t="s">
        <v>13</v>
      </c>
      <c r="J74" s="33"/>
    </row>
    <row r="75">
      <c r="A75" s="84" t="s">
        <v>337</v>
      </c>
      <c r="B75" s="11"/>
      <c r="C75" s="85" t="s">
        <v>11</v>
      </c>
      <c r="D75" s="85" t="str">
        <f t="shared" si="1"/>
        <v>-</v>
      </c>
      <c r="E75" s="7" t="s">
        <v>11</v>
      </c>
      <c r="F75" s="86"/>
      <c r="G75" s="7"/>
      <c r="H75" s="11"/>
      <c r="I75" s="7" t="s">
        <v>13</v>
      </c>
      <c r="J75" s="33"/>
    </row>
    <row r="76">
      <c r="A76" s="84" t="s">
        <v>337</v>
      </c>
      <c r="B76" s="11"/>
      <c r="C76" s="85" t="s">
        <v>11</v>
      </c>
      <c r="D76" s="85" t="str">
        <f t="shared" si="1"/>
        <v>-</v>
      </c>
      <c r="E76" s="7" t="s">
        <v>11</v>
      </c>
      <c r="F76" s="86"/>
      <c r="G76" s="7"/>
      <c r="H76" s="11"/>
      <c r="I76" s="7" t="s">
        <v>13</v>
      </c>
      <c r="J76" s="33"/>
    </row>
    <row r="77">
      <c r="A77" s="84" t="s">
        <v>337</v>
      </c>
      <c r="B77" s="11"/>
      <c r="C77" s="85" t="s">
        <v>11</v>
      </c>
      <c r="D77" s="85" t="str">
        <f t="shared" si="1"/>
        <v>-</v>
      </c>
      <c r="E77" s="7" t="s">
        <v>11</v>
      </c>
      <c r="F77" s="86"/>
      <c r="G77" s="7"/>
      <c r="H77" s="11"/>
      <c r="I77" s="7" t="s">
        <v>13</v>
      </c>
      <c r="J77" s="33"/>
    </row>
    <row r="78">
      <c r="A78" s="84" t="s">
        <v>337</v>
      </c>
      <c r="B78" s="11"/>
      <c r="C78" s="85" t="s">
        <v>11</v>
      </c>
      <c r="D78" s="85" t="str">
        <f t="shared" si="1"/>
        <v>-</v>
      </c>
      <c r="E78" s="7" t="s">
        <v>11</v>
      </c>
      <c r="F78" s="86"/>
      <c r="G78" s="7"/>
      <c r="H78" s="11"/>
      <c r="I78" s="7" t="s">
        <v>13</v>
      </c>
      <c r="J78" s="33"/>
    </row>
    <row r="79">
      <c r="A79" s="84" t="s">
        <v>337</v>
      </c>
      <c r="B79" s="11"/>
      <c r="C79" s="85" t="s">
        <v>11</v>
      </c>
      <c r="D79" s="85" t="str">
        <f t="shared" si="1"/>
        <v>-</v>
      </c>
      <c r="E79" s="7" t="s">
        <v>11</v>
      </c>
      <c r="F79" s="86"/>
      <c r="G79" s="7"/>
      <c r="H79" s="11"/>
      <c r="I79" s="7" t="s">
        <v>13</v>
      </c>
      <c r="J79" s="33"/>
    </row>
    <row r="80">
      <c r="A80" s="84" t="s">
        <v>337</v>
      </c>
      <c r="B80" s="11"/>
      <c r="C80" s="85" t="s">
        <v>11</v>
      </c>
      <c r="D80" s="85" t="str">
        <f t="shared" si="1"/>
        <v>-</v>
      </c>
      <c r="E80" s="7" t="s">
        <v>11</v>
      </c>
      <c r="F80" s="86"/>
      <c r="G80" s="7"/>
      <c r="H80" s="11"/>
      <c r="I80" s="7" t="s">
        <v>13</v>
      </c>
      <c r="J80" s="33"/>
    </row>
    <row r="81">
      <c r="A81" s="84" t="s">
        <v>337</v>
      </c>
      <c r="B81" s="11"/>
      <c r="C81" s="85" t="s">
        <v>11</v>
      </c>
      <c r="D81" s="85" t="str">
        <f t="shared" si="1"/>
        <v>-</v>
      </c>
      <c r="E81" s="7" t="s">
        <v>11</v>
      </c>
      <c r="F81" s="86"/>
      <c r="G81" s="7"/>
      <c r="H81" s="11"/>
      <c r="I81" s="7" t="s">
        <v>13</v>
      </c>
      <c r="J81" s="33"/>
    </row>
    <row r="82">
      <c r="A82" s="84" t="s">
        <v>337</v>
      </c>
      <c r="B82" s="11"/>
      <c r="C82" s="85" t="s">
        <v>11</v>
      </c>
      <c r="D82" s="85" t="str">
        <f t="shared" si="1"/>
        <v>-</v>
      </c>
      <c r="E82" s="7" t="s">
        <v>11</v>
      </c>
      <c r="F82" s="86"/>
      <c r="G82" s="7"/>
      <c r="H82" s="11"/>
      <c r="I82" s="7" t="s">
        <v>13</v>
      </c>
      <c r="J82" s="33"/>
    </row>
    <row r="83">
      <c r="A83" s="84" t="s">
        <v>337</v>
      </c>
      <c r="B83" s="11"/>
      <c r="C83" s="85" t="s">
        <v>11</v>
      </c>
      <c r="D83" s="85" t="str">
        <f t="shared" si="1"/>
        <v>-</v>
      </c>
      <c r="E83" s="7" t="s">
        <v>11</v>
      </c>
      <c r="F83" s="86"/>
      <c r="G83" s="7"/>
      <c r="H83" s="11"/>
      <c r="I83" s="7" t="s">
        <v>13</v>
      </c>
      <c r="J83" s="33"/>
    </row>
    <row r="84">
      <c r="A84" s="84" t="s">
        <v>337</v>
      </c>
      <c r="B84" s="11"/>
      <c r="C84" s="85" t="s">
        <v>11</v>
      </c>
      <c r="D84" s="85" t="str">
        <f t="shared" si="1"/>
        <v>-</v>
      </c>
      <c r="E84" s="7" t="s">
        <v>11</v>
      </c>
      <c r="F84" s="86"/>
      <c r="G84" s="7"/>
      <c r="H84" s="11"/>
      <c r="I84" s="7" t="s">
        <v>13</v>
      </c>
      <c r="J84" s="33"/>
    </row>
    <row r="85">
      <c r="A85" s="84" t="s">
        <v>337</v>
      </c>
      <c r="B85" s="11"/>
      <c r="C85" s="85" t="s">
        <v>11</v>
      </c>
      <c r="D85" s="85" t="str">
        <f t="shared" si="1"/>
        <v>-</v>
      </c>
      <c r="E85" s="7" t="s">
        <v>11</v>
      </c>
      <c r="F85" s="86"/>
      <c r="G85" s="7"/>
      <c r="H85" s="11"/>
      <c r="I85" s="7" t="s">
        <v>13</v>
      </c>
      <c r="J85" s="33"/>
    </row>
    <row r="86">
      <c r="A86" s="84" t="s">
        <v>337</v>
      </c>
      <c r="B86" s="11"/>
      <c r="C86" s="85" t="s">
        <v>11</v>
      </c>
      <c r="D86" s="85" t="str">
        <f t="shared" si="1"/>
        <v>-</v>
      </c>
      <c r="E86" s="7" t="s">
        <v>11</v>
      </c>
      <c r="F86" s="86"/>
      <c r="G86" s="7"/>
      <c r="H86" s="11"/>
      <c r="I86" s="7" t="s">
        <v>13</v>
      </c>
      <c r="J86" s="33"/>
    </row>
    <row r="87">
      <c r="A87" s="84" t="s">
        <v>337</v>
      </c>
      <c r="B87" s="11"/>
      <c r="C87" s="85" t="s">
        <v>11</v>
      </c>
      <c r="D87" s="85" t="str">
        <f t="shared" si="1"/>
        <v>-</v>
      </c>
      <c r="E87" s="7" t="s">
        <v>11</v>
      </c>
      <c r="F87" s="86"/>
      <c r="G87" s="7"/>
      <c r="H87" s="11"/>
      <c r="I87" s="7" t="s">
        <v>13</v>
      </c>
      <c r="J87" s="33"/>
    </row>
    <row r="88">
      <c r="A88" s="84" t="s">
        <v>337</v>
      </c>
      <c r="B88" s="11"/>
      <c r="C88" s="85" t="s">
        <v>11</v>
      </c>
      <c r="D88" s="85" t="str">
        <f t="shared" si="1"/>
        <v>-</v>
      </c>
      <c r="E88" s="7" t="s">
        <v>11</v>
      </c>
      <c r="F88" s="86"/>
      <c r="G88" s="7"/>
      <c r="H88" s="11"/>
      <c r="I88" s="7" t="s">
        <v>13</v>
      </c>
      <c r="J88" s="33"/>
    </row>
    <row r="89">
      <c r="A89" s="84" t="s">
        <v>337</v>
      </c>
      <c r="B89" s="11"/>
      <c r="C89" s="85" t="s">
        <v>11</v>
      </c>
      <c r="D89" s="85" t="str">
        <f t="shared" si="1"/>
        <v>-</v>
      </c>
      <c r="E89" s="7" t="s">
        <v>11</v>
      </c>
      <c r="F89" s="86"/>
      <c r="G89" s="7"/>
      <c r="H89" s="11"/>
      <c r="I89" s="7" t="s">
        <v>13</v>
      </c>
      <c r="J89" s="33"/>
    </row>
    <row r="90">
      <c r="A90" s="84" t="s">
        <v>337</v>
      </c>
      <c r="B90" s="11"/>
      <c r="C90" s="85" t="s">
        <v>11</v>
      </c>
      <c r="D90" s="85" t="str">
        <f t="shared" si="1"/>
        <v>-</v>
      </c>
      <c r="E90" s="7" t="s">
        <v>11</v>
      </c>
      <c r="F90" s="86"/>
      <c r="G90" s="7"/>
      <c r="H90" s="11"/>
      <c r="I90" s="7" t="s">
        <v>13</v>
      </c>
      <c r="J90" s="33"/>
    </row>
    <row r="91">
      <c r="A91" s="84" t="s">
        <v>337</v>
      </c>
      <c r="B91" s="11"/>
      <c r="C91" s="85" t="s">
        <v>11</v>
      </c>
      <c r="D91" s="85" t="str">
        <f t="shared" si="1"/>
        <v>-</v>
      </c>
      <c r="E91" s="7" t="s">
        <v>11</v>
      </c>
      <c r="F91" s="86"/>
      <c r="G91" s="7"/>
      <c r="H91" s="11"/>
      <c r="I91" s="7" t="s">
        <v>13</v>
      </c>
      <c r="J91" s="33"/>
    </row>
    <row r="92">
      <c r="A92" s="84" t="s">
        <v>337</v>
      </c>
      <c r="B92" s="11"/>
      <c r="C92" s="85" t="s">
        <v>11</v>
      </c>
      <c r="D92" s="85" t="str">
        <f t="shared" si="1"/>
        <v>-</v>
      </c>
      <c r="E92" s="7" t="s">
        <v>11</v>
      </c>
      <c r="F92" s="86"/>
      <c r="G92" s="7"/>
      <c r="H92" s="11"/>
      <c r="I92" s="7" t="s">
        <v>13</v>
      </c>
      <c r="J92" s="33"/>
    </row>
    <row r="93">
      <c r="A93" s="84" t="s">
        <v>337</v>
      </c>
      <c r="B93" s="11"/>
      <c r="C93" s="85" t="s">
        <v>11</v>
      </c>
      <c r="D93" s="85" t="str">
        <f t="shared" si="1"/>
        <v>-</v>
      </c>
      <c r="E93" s="7" t="s">
        <v>11</v>
      </c>
      <c r="F93" s="86"/>
      <c r="G93" s="7"/>
      <c r="H93" s="11"/>
      <c r="I93" s="7" t="s">
        <v>13</v>
      </c>
      <c r="J93" s="33"/>
    </row>
    <row r="94">
      <c r="A94" s="84" t="s">
        <v>337</v>
      </c>
      <c r="B94" s="11"/>
      <c r="C94" s="85" t="s">
        <v>11</v>
      </c>
      <c r="D94" s="85" t="str">
        <f t="shared" si="1"/>
        <v>-</v>
      </c>
      <c r="E94" s="7" t="s">
        <v>11</v>
      </c>
      <c r="F94" s="86"/>
      <c r="G94" s="7"/>
      <c r="H94" s="11"/>
      <c r="I94" s="7" t="s">
        <v>13</v>
      </c>
      <c r="J94" s="33"/>
    </row>
    <row r="95">
      <c r="A95" s="84" t="s">
        <v>337</v>
      </c>
      <c r="B95" s="11"/>
      <c r="C95" s="85" t="s">
        <v>11</v>
      </c>
      <c r="D95" s="85" t="str">
        <f t="shared" si="1"/>
        <v>-</v>
      </c>
      <c r="E95" s="7" t="s">
        <v>11</v>
      </c>
      <c r="F95" s="86"/>
      <c r="G95" s="7"/>
      <c r="H95" s="11"/>
      <c r="I95" s="7" t="s">
        <v>13</v>
      </c>
      <c r="J95" s="33"/>
    </row>
    <row r="96">
      <c r="A96" s="84" t="s">
        <v>337</v>
      </c>
      <c r="B96" s="11"/>
      <c r="C96" s="85" t="s">
        <v>11</v>
      </c>
      <c r="D96" s="85" t="str">
        <f t="shared" si="1"/>
        <v>-</v>
      </c>
      <c r="E96" s="7" t="s">
        <v>11</v>
      </c>
      <c r="F96" s="86"/>
      <c r="G96" s="7"/>
      <c r="H96" s="11"/>
      <c r="I96" s="7" t="s">
        <v>13</v>
      </c>
      <c r="J96" s="33"/>
    </row>
    <row r="97">
      <c r="A97" s="84" t="s">
        <v>337</v>
      </c>
      <c r="B97" s="11"/>
      <c r="C97" s="85" t="s">
        <v>11</v>
      </c>
      <c r="D97" s="85" t="str">
        <f t="shared" si="1"/>
        <v>-</v>
      </c>
      <c r="E97" s="7" t="s">
        <v>11</v>
      </c>
      <c r="F97" s="86"/>
      <c r="G97" s="7"/>
      <c r="H97" s="11"/>
      <c r="I97" s="7" t="s">
        <v>13</v>
      </c>
      <c r="J97" s="33"/>
    </row>
    <row r="98">
      <c r="A98" s="84" t="s">
        <v>337</v>
      </c>
      <c r="B98" s="11"/>
      <c r="C98" s="85" t="s">
        <v>11</v>
      </c>
      <c r="D98" s="85" t="str">
        <f t="shared" si="1"/>
        <v>-</v>
      </c>
      <c r="E98" s="7" t="s">
        <v>11</v>
      </c>
      <c r="F98" s="86"/>
      <c r="G98" s="7"/>
      <c r="H98" s="11"/>
      <c r="I98" s="7" t="s">
        <v>13</v>
      </c>
      <c r="J98" s="33"/>
    </row>
    <row r="99">
      <c r="A99" s="84" t="s">
        <v>337</v>
      </c>
      <c r="B99" s="11"/>
      <c r="C99" s="85" t="s">
        <v>11</v>
      </c>
      <c r="D99" s="85" t="str">
        <f t="shared" si="1"/>
        <v>-</v>
      </c>
      <c r="E99" s="7" t="s">
        <v>11</v>
      </c>
      <c r="F99" s="86"/>
      <c r="G99" s="7"/>
      <c r="H99" s="11"/>
      <c r="I99" s="7" t="s">
        <v>13</v>
      </c>
      <c r="J99" s="33"/>
    </row>
    <row r="100">
      <c r="A100" s="84" t="s">
        <v>337</v>
      </c>
      <c r="B100" s="11"/>
      <c r="C100" s="85" t="s">
        <v>11</v>
      </c>
      <c r="D100" s="85" t="str">
        <f t="shared" si="1"/>
        <v>-</v>
      </c>
      <c r="E100" s="7" t="s">
        <v>11</v>
      </c>
      <c r="F100" s="86"/>
      <c r="G100" s="7"/>
      <c r="H100" s="11"/>
      <c r="I100" s="7" t="s">
        <v>13</v>
      </c>
      <c r="J100" s="33"/>
    </row>
    <row r="101">
      <c r="A101" s="84" t="s">
        <v>337</v>
      </c>
      <c r="B101" s="11"/>
      <c r="C101" s="85" t="s">
        <v>11</v>
      </c>
      <c r="D101" s="85" t="str">
        <f t="shared" si="1"/>
        <v>-</v>
      </c>
      <c r="E101" s="7" t="s">
        <v>11</v>
      </c>
      <c r="F101" s="86"/>
      <c r="G101" s="7"/>
      <c r="H101" s="11"/>
      <c r="I101" s="7" t="s">
        <v>13</v>
      </c>
      <c r="J101" s="33"/>
    </row>
    <row r="102">
      <c r="A102" s="84" t="s">
        <v>337</v>
      </c>
      <c r="B102" s="11"/>
      <c r="C102" s="85" t="s">
        <v>11</v>
      </c>
      <c r="D102" s="85" t="str">
        <f t="shared" si="1"/>
        <v>-</v>
      </c>
      <c r="E102" s="7" t="s">
        <v>11</v>
      </c>
      <c r="F102" s="86"/>
      <c r="G102" s="7"/>
      <c r="H102" s="11"/>
      <c r="I102" s="7" t="s">
        <v>13</v>
      </c>
      <c r="J102" s="33"/>
    </row>
    <row r="103">
      <c r="A103" s="84" t="s">
        <v>337</v>
      </c>
      <c r="B103" s="11"/>
      <c r="C103" s="85" t="s">
        <v>11</v>
      </c>
      <c r="D103" s="85" t="str">
        <f t="shared" si="1"/>
        <v>-</v>
      </c>
      <c r="E103" s="7" t="s">
        <v>11</v>
      </c>
      <c r="F103" s="86"/>
      <c r="G103" s="7"/>
      <c r="H103" s="11"/>
      <c r="I103" s="7" t="s">
        <v>13</v>
      </c>
      <c r="J103" s="33"/>
    </row>
    <row r="104">
      <c r="A104" s="84" t="s">
        <v>337</v>
      </c>
      <c r="B104" s="11"/>
      <c r="C104" s="85" t="s">
        <v>11</v>
      </c>
      <c r="D104" s="85" t="str">
        <f t="shared" si="1"/>
        <v>-</v>
      </c>
      <c r="E104" s="7" t="s">
        <v>11</v>
      </c>
      <c r="F104" s="86"/>
      <c r="G104" s="7"/>
      <c r="H104" s="11"/>
      <c r="I104" s="7" t="s">
        <v>13</v>
      </c>
      <c r="J104" s="33"/>
    </row>
    <row r="105">
      <c r="A105" s="84" t="s">
        <v>337</v>
      </c>
      <c r="B105" s="11"/>
      <c r="C105" s="85" t="s">
        <v>11</v>
      </c>
      <c r="D105" s="85" t="str">
        <f t="shared" si="1"/>
        <v>-</v>
      </c>
      <c r="E105" s="7" t="s">
        <v>11</v>
      </c>
      <c r="F105" s="86"/>
      <c r="G105" s="7"/>
      <c r="H105" s="11"/>
      <c r="I105" s="7" t="s">
        <v>13</v>
      </c>
      <c r="J105" s="33"/>
    </row>
    <row r="106">
      <c r="A106" s="84" t="s">
        <v>337</v>
      </c>
      <c r="B106" s="11"/>
      <c r="C106" s="85" t="s">
        <v>11</v>
      </c>
      <c r="D106" s="85" t="str">
        <f t="shared" si="1"/>
        <v>-</v>
      </c>
      <c r="E106" s="7" t="s">
        <v>11</v>
      </c>
      <c r="F106" s="86"/>
      <c r="G106" s="7"/>
      <c r="H106" s="11"/>
      <c r="I106" s="7" t="s">
        <v>13</v>
      </c>
      <c r="J106" s="33"/>
    </row>
    <row r="107">
      <c r="A107" s="84" t="s">
        <v>337</v>
      </c>
      <c r="B107" s="11"/>
      <c r="C107" s="85" t="s">
        <v>11</v>
      </c>
      <c r="D107" s="85" t="str">
        <f t="shared" si="1"/>
        <v>-</v>
      </c>
      <c r="E107" s="7" t="s">
        <v>11</v>
      </c>
      <c r="F107" s="86"/>
      <c r="G107" s="7"/>
      <c r="H107" s="11"/>
      <c r="I107" s="7" t="s">
        <v>13</v>
      </c>
      <c r="J107" s="33"/>
    </row>
    <row r="108">
      <c r="A108" s="84" t="s">
        <v>337</v>
      </c>
      <c r="B108" s="11"/>
      <c r="C108" s="85" t="s">
        <v>11</v>
      </c>
      <c r="D108" s="85" t="str">
        <f t="shared" si="1"/>
        <v>-</v>
      </c>
      <c r="E108" s="7" t="s">
        <v>11</v>
      </c>
      <c r="F108" s="86"/>
      <c r="G108" s="7"/>
      <c r="H108" s="11"/>
      <c r="I108" s="7" t="s">
        <v>13</v>
      </c>
      <c r="J108" s="33"/>
    </row>
    <row r="109">
      <c r="A109" s="84" t="s">
        <v>337</v>
      </c>
      <c r="B109" s="11"/>
      <c r="C109" s="85" t="s">
        <v>11</v>
      </c>
      <c r="D109" s="85" t="str">
        <f t="shared" si="1"/>
        <v>-</v>
      </c>
      <c r="E109" s="7" t="s">
        <v>11</v>
      </c>
      <c r="F109" s="86"/>
      <c r="G109" s="7"/>
      <c r="H109" s="11"/>
      <c r="I109" s="7" t="s">
        <v>13</v>
      </c>
      <c r="J109" s="33"/>
    </row>
    <row r="110">
      <c r="A110" s="84" t="s">
        <v>337</v>
      </c>
      <c r="B110" s="11"/>
      <c r="C110" s="85" t="s">
        <v>11</v>
      </c>
      <c r="D110" s="85" t="str">
        <f t="shared" si="1"/>
        <v>-</v>
      </c>
      <c r="E110" s="7" t="s">
        <v>11</v>
      </c>
      <c r="F110" s="86"/>
      <c r="G110" s="7"/>
      <c r="H110" s="11"/>
      <c r="I110" s="7" t="s">
        <v>13</v>
      </c>
      <c r="J110" s="33"/>
    </row>
    <row r="111">
      <c r="A111" s="84" t="s">
        <v>337</v>
      </c>
      <c r="B111" s="11"/>
      <c r="C111" s="85" t="s">
        <v>11</v>
      </c>
      <c r="D111" s="85" t="str">
        <f t="shared" si="1"/>
        <v>-</v>
      </c>
      <c r="E111" s="7" t="s">
        <v>11</v>
      </c>
      <c r="F111" s="86"/>
      <c r="G111" s="7"/>
      <c r="H111" s="11"/>
      <c r="I111" s="7" t="s">
        <v>13</v>
      </c>
      <c r="J111" s="33"/>
    </row>
    <row r="112">
      <c r="A112" s="84" t="s">
        <v>337</v>
      </c>
      <c r="B112" s="11"/>
      <c r="C112" s="85" t="s">
        <v>11</v>
      </c>
      <c r="D112" s="85" t="str">
        <f t="shared" si="1"/>
        <v>-</v>
      </c>
      <c r="E112" s="7" t="s">
        <v>11</v>
      </c>
      <c r="F112" s="86"/>
      <c r="G112" s="7"/>
      <c r="H112" s="11"/>
      <c r="I112" s="7" t="s">
        <v>13</v>
      </c>
      <c r="J112" s="33"/>
    </row>
    <row r="113">
      <c r="A113" s="84" t="s">
        <v>337</v>
      </c>
      <c r="B113" s="11"/>
      <c r="C113" s="85" t="s">
        <v>11</v>
      </c>
      <c r="D113" s="85" t="str">
        <f t="shared" si="1"/>
        <v>-</v>
      </c>
      <c r="E113" s="7" t="s">
        <v>11</v>
      </c>
      <c r="F113" s="86"/>
      <c r="G113" s="7"/>
      <c r="H113" s="11"/>
      <c r="I113" s="7" t="s">
        <v>13</v>
      </c>
      <c r="J113" s="33"/>
    </row>
    <row r="114">
      <c r="A114" s="84" t="s">
        <v>337</v>
      </c>
      <c r="B114" s="11"/>
      <c r="C114" s="85" t="s">
        <v>11</v>
      </c>
      <c r="D114" s="85" t="str">
        <f t="shared" si="1"/>
        <v>-</v>
      </c>
      <c r="E114" s="7" t="s">
        <v>11</v>
      </c>
      <c r="F114" s="86"/>
      <c r="G114" s="7"/>
      <c r="H114" s="11"/>
      <c r="I114" s="7" t="s">
        <v>13</v>
      </c>
      <c r="J114" s="33"/>
    </row>
    <row r="115">
      <c r="A115" s="84" t="s">
        <v>337</v>
      </c>
      <c r="B115" s="11"/>
      <c r="C115" s="85" t="s">
        <v>11</v>
      </c>
      <c r="D115" s="85" t="str">
        <f t="shared" si="1"/>
        <v>-</v>
      </c>
      <c r="E115" s="7" t="s">
        <v>11</v>
      </c>
      <c r="F115" s="86"/>
      <c r="G115" s="7"/>
      <c r="H115" s="11"/>
      <c r="I115" s="7" t="s">
        <v>13</v>
      </c>
      <c r="J115" s="33"/>
    </row>
    <row r="116">
      <c r="A116" s="84" t="s">
        <v>337</v>
      </c>
      <c r="B116" s="11"/>
      <c r="C116" s="85" t="s">
        <v>11</v>
      </c>
      <c r="D116" s="85" t="str">
        <f t="shared" si="1"/>
        <v>-</v>
      </c>
      <c r="E116" s="7" t="s">
        <v>11</v>
      </c>
      <c r="F116" s="86"/>
      <c r="G116" s="7"/>
      <c r="H116" s="11"/>
      <c r="I116" s="7" t="s">
        <v>13</v>
      </c>
      <c r="J116" s="33"/>
    </row>
    <row r="117">
      <c r="A117" s="84" t="s">
        <v>337</v>
      </c>
      <c r="B117" s="11"/>
      <c r="C117" s="85" t="s">
        <v>11</v>
      </c>
      <c r="D117" s="85" t="str">
        <f t="shared" si="1"/>
        <v>-</v>
      </c>
      <c r="E117" s="7" t="s">
        <v>11</v>
      </c>
      <c r="F117" s="86"/>
      <c r="G117" s="7"/>
      <c r="H117" s="11"/>
      <c r="I117" s="7" t="s">
        <v>13</v>
      </c>
      <c r="J117" s="33"/>
    </row>
    <row r="118">
      <c r="A118" s="84" t="s">
        <v>337</v>
      </c>
      <c r="B118" s="11"/>
      <c r="C118" s="85" t="s">
        <v>11</v>
      </c>
      <c r="D118" s="85" t="str">
        <f t="shared" si="1"/>
        <v>-</v>
      </c>
      <c r="E118" s="7" t="s">
        <v>11</v>
      </c>
      <c r="F118" s="86"/>
      <c r="G118" s="7"/>
      <c r="H118" s="11"/>
      <c r="I118" s="7" t="s">
        <v>13</v>
      </c>
      <c r="J118" s="33"/>
    </row>
    <row r="119">
      <c r="A119" s="84" t="s">
        <v>337</v>
      </c>
      <c r="B119" s="11"/>
      <c r="C119" s="85" t="s">
        <v>11</v>
      </c>
      <c r="D119" s="85" t="str">
        <f t="shared" si="1"/>
        <v>-</v>
      </c>
      <c r="E119" s="7" t="s">
        <v>11</v>
      </c>
      <c r="F119" s="86"/>
      <c r="G119" s="7"/>
      <c r="H119" s="11"/>
      <c r="I119" s="7" t="s">
        <v>13</v>
      </c>
      <c r="J119" s="33"/>
    </row>
    <row r="120">
      <c r="A120" s="84" t="s">
        <v>337</v>
      </c>
      <c r="B120" s="11"/>
      <c r="C120" s="85" t="s">
        <v>11</v>
      </c>
      <c r="D120" s="85" t="str">
        <f t="shared" si="1"/>
        <v>-</v>
      </c>
      <c r="E120" s="7" t="s">
        <v>11</v>
      </c>
      <c r="F120" s="86"/>
      <c r="G120" s="7"/>
      <c r="H120" s="11"/>
      <c r="I120" s="7" t="s">
        <v>13</v>
      </c>
      <c r="J120" s="33"/>
    </row>
    <row r="121">
      <c r="A121" s="84" t="s">
        <v>337</v>
      </c>
      <c r="B121" s="11"/>
      <c r="C121" s="85" t="s">
        <v>11</v>
      </c>
      <c r="D121" s="85" t="str">
        <f t="shared" si="1"/>
        <v>-</v>
      </c>
      <c r="E121" s="7" t="s">
        <v>11</v>
      </c>
      <c r="F121" s="86"/>
      <c r="G121" s="7"/>
      <c r="H121" s="11"/>
      <c r="I121" s="7" t="s">
        <v>13</v>
      </c>
      <c r="J121" s="33"/>
    </row>
    <row r="122">
      <c r="A122" s="84" t="s">
        <v>337</v>
      </c>
      <c r="B122" s="11"/>
      <c r="C122" s="85" t="s">
        <v>11</v>
      </c>
      <c r="D122" s="85" t="str">
        <f t="shared" si="1"/>
        <v>-</v>
      </c>
      <c r="E122" s="7" t="s">
        <v>11</v>
      </c>
      <c r="F122" s="86"/>
      <c r="G122" s="7"/>
      <c r="H122" s="11"/>
      <c r="I122" s="7" t="s">
        <v>13</v>
      </c>
      <c r="J122" s="33"/>
    </row>
    <row r="123">
      <c r="A123" s="84" t="s">
        <v>337</v>
      </c>
      <c r="B123" s="11"/>
      <c r="C123" s="85" t="s">
        <v>11</v>
      </c>
      <c r="D123" s="85" t="str">
        <f t="shared" si="1"/>
        <v>-</v>
      </c>
      <c r="E123" s="7" t="s">
        <v>11</v>
      </c>
      <c r="F123" s="86"/>
      <c r="G123" s="7"/>
      <c r="H123" s="11"/>
      <c r="I123" s="7" t="s">
        <v>13</v>
      </c>
      <c r="J123" s="33"/>
    </row>
    <row r="124">
      <c r="A124" s="84" t="s">
        <v>337</v>
      </c>
      <c r="B124" s="11"/>
      <c r="C124" s="85" t="s">
        <v>11</v>
      </c>
      <c r="D124" s="85" t="str">
        <f t="shared" si="1"/>
        <v>-</v>
      </c>
      <c r="E124" s="7" t="s">
        <v>11</v>
      </c>
      <c r="F124" s="86"/>
      <c r="G124" s="7"/>
      <c r="H124" s="11"/>
      <c r="I124" s="7" t="s">
        <v>13</v>
      </c>
      <c r="J124" s="33"/>
    </row>
    <row r="125">
      <c r="A125" s="84" t="s">
        <v>337</v>
      </c>
      <c r="B125" s="11"/>
      <c r="C125" s="85" t="s">
        <v>11</v>
      </c>
      <c r="D125" s="85" t="str">
        <f t="shared" si="1"/>
        <v>-</v>
      </c>
      <c r="E125" s="7" t="s">
        <v>11</v>
      </c>
      <c r="F125" s="86"/>
      <c r="G125" s="7"/>
      <c r="H125" s="11"/>
      <c r="I125" s="7" t="s">
        <v>13</v>
      </c>
      <c r="J125" s="33"/>
    </row>
    <row r="126">
      <c r="A126" s="84" t="s">
        <v>337</v>
      </c>
      <c r="B126" s="11"/>
      <c r="C126" s="85" t="s">
        <v>11</v>
      </c>
      <c r="D126" s="85" t="str">
        <f t="shared" si="1"/>
        <v>-</v>
      </c>
      <c r="E126" s="7" t="s">
        <v>11</v>
      </c>
      <c r="F126" s="86"/>
      <c r="G126" s="7"/>
      <c r="H126" s="11"/>
      <c r="I126" s="7" t="s">
        <v>13</v>
      </c>
      <c r="J126" s="33"/>
    </row>
    <row r="127">
      <c r="A127" s="84" t="s">
        <v>337</v>
      </c>
      <c r="B127" s="11"/>
      <c r="C127" s="85" t="s">
        <v>11</v>
      </c>
      <c r="D127" s="85" t="str">
        <f t="shared" si="1"/>
        <v>-</v>
      </c>
      <c r="E127" s="7" t="s">
        <v>11</v>
      </c>
      <c r="F127" s="86"/>
      <c r="G127" s="7"/>
      <c r="H127" s="11"/>
      <c r="I127" s="7" t="s">
        <v>13</v>
      </c>
      <c r="J127" s="33"/>
    </row>
    <row r="128">
      <c r="A128" s="84" t="s">
        <v>337</v>
      </c>
      <c r="B128" s="11"/>
      <c r="C128" s="85" t="s">
        <v>11</v>
      </c>
      <c r="D128" s="85" t="str">
        <f t="shared" si="1"/>
        <v>-</v>
      </c>
      <c r="E128" s="7" t="s">
        <v>11</v>
      </c>
      <c r="F128" s="86"/>
      <c r="G128" s="7"/>
      <c r="H128" s="11"/>
      <c r="I128" s="7" t="s">
        <v>13</v>
      </c>
      <c r="J128" s="33"/>
    </row>
    <row r="129">
      <c r="A129" s="84" t="s">
        <v>337</v>
      </c>
      <c r="B129" s="11"/>
      <c r="C129" s="85" t="s">
        <v>11</v>
      </c>
      <c r="D129" s="85" t="str">
        <f t="shared" si="1"/>
        <v>-</v>
      </c>
      <c r="E129" s="7" t="s">
        <v>11</v>
      </c>
      <c r="F129" s="86"/>
      <c r="G129" s="7"/>
      <c r="H129" s="11"/>
      <c r="I129" s="7" t="s">
        <v>13</v>
      </c>
      <c r="J129" s="33"/>
    </row>
    <row r="130">
      <c r="A130" s="84" t="s">
        <v>337</v>
      </c>
      <c r="B130" s="11"/>
      <c r="C130" s="85" t="s">
        <v>11</v>
      </c>
      <c r="D130" s="85" t="str">
        <f t="shared" si="1"/>
        <v>-</v>
      </c>
      <c r="E130" s="7" t="s">
        <v>11</v>
      </c>
      <c r="F130" s="86"/>
      <c r="G130" s="7"/>
      <c r="H130" s="11"/>
      <c r="I130" s="7" t="s">
        <v>13</v>
      </c>
      <c r="J130" s="33"/>
    </row>
    <row r="131">
      <c r="A131" s="84" t="s">
        <v>337</v>
      </c>
      <c r="B131" s="11"/>
      <c r="C131" s="85" t="s">
        <v>11</v>
      </c>
      <c r="D131" s="85" t="str">
        <f t="shared" si="1"/>
        <v>-</v>
      </c>
      <c r="E131" s="7" t="s">
        <v>11</v>
      </c>
      <c r="F131" s="86"/>
      <c r="G131" s="7"/>
      <c r="H131" s="11"/>
      <c r="I131" s="7" t="s">
        <v>13</v>
      </c>
      <c r="J131" s="33"/>
    </row>
    <row r="132">
      <c r="A132" s="84" t="s">
        <v>337</v>
      </c>
      <c r="B132" s="11"/>
      <c r="C132" s="85" t="s">
        <v>11</v>
      </c>
      <c r="D132" s="85" t="str">
        <f t="shared" si="1"/>
        <v>-</v>
      </c>
      <c r="E132" s="7" t="s">
        <v>11</v>
      </c>
      <c r="F132" s="86"/>
      <c r="G132" s="7"/>
      <c r="H132" s="11"/>
      <c r="I132" s="7" t="s">
        <v>13</v>
      </c>
      <c r="J132" s="33"/>
    </row>
    <row r="133">
      <c r="A133" s="84" t="s">
        <v>337</v>
      </c>
      <c r="B133" s="11"/>
      <c r="C133" s="85" t="s">
        <v>11</v>
      </c>
      <c r="D133" s="85" t="str">
        <f t="shared" si="1"/>
        <v>-</v>
      </c>
      <c r="E133" s="7" t="s">
        <v>11</v>
      </c>
      <c r="F133" s="86"/>
      <c r="G133" s="7"/>
      <c r="H133" s="11"/>
      <c r="I133" s="7" t="s">
        <v>13</v>
      </c>
      <c r="J133" s="33"/>
    </row>
    <row r="134">
      <c r="A134" s="84" t="s">
        <v>337</v>
      </c>
      <c r="B134" s="11"/>
      <c r="C134" s="85" t="s">
        <v>11</v>
      </c>
      <c r="D134" s="85" t="str">
        <f t="shared" si="1"/>
        <v>-</v>
      </c>
      <c r="E134" s="7" t="s">
        <v>11</v>
      </c>
      <c r="F134" s="86"/>
      <c r="G134" s="7"/>
      <c r="H134" s="11"/>
      <c r="I134" s="7" t="s">
        <v>13</v>
      </c>
      <c r="J134" s="33"/>
    </row>
    <row r="135">
      <c r="A135" s="84" t="s">
        <v>337</v>
      </c>
      <c r="B135" s="11"/>
      <c r="C135" s="85" t="s">
        <v>11</v>
      </c>
      <c r="D135" s="85" t="str">
        <f t="shared" si="1"/>
        <v>-</v>
      </c>
      <c r="E135" s="7" t="s">
        <v>11</v>
      </c>
      <c r="F135" s="86"/>
      <c r="G135" s="7"/>
      <c r="H135" s="11"/>
      <c r="I135" s="7" t="s">
        <v>13</v>
      </c>
      <c r="J135" s="33"/>
    </row>
    <row r="136">
      <c r="A136" s="84" t="s">
        <v>337</v>
      </c>
      <c r="B136" s="11"/>
      <c r="C136" s="85" t="s">
        <v>11</v>
      </c>
      <c r="D136" s="85" t="str">
        <f t="shared" si="1"/>
        <v>-</v>
      </c>
      <c r="E136" s="7" t="s">
        <v>11</v>
      </c>
      <c r="F136" s="86"/>
      <c r="G136" s="7"/>
      <c r="H136" s="11"/>
      <c r="I136" s="7" t="s">
        <v>13</v>
      </c>
      <c r="J136" s="33"/>
    </row>
    <row r="137">
      <c r="A137" s="84" t="s">
        <v>337</v>
      </c>
      <c r="B137" s="11"/>
      <c r="C137" s="85" t="s">
        <v>11</v>
      </c>
      <c r="D137" s="85" t="str">
        <f t="shared" si="1"/>
        <v>-</v>
      </c>
      <c r="E137" s="7" t="s">
        <v>11</v>
      </c>
      <c r="F137" s="86"/>
      <c r="G137" s="7"/>
      <c r="H137" s="11"/>
      <c r="I137" s="7" t="s">
        <v>13</v>
      </c>
      <c r="J137" s="33"/>
    </row>
    <row r="138">
      <c r="A138" s="84" t="s">
        <v>337</v>
      </c>
      <c r="B138" s="11"/>
      <c r="C138" s="85" t="s">
        <v>11</v>
      </c>
      <c r="D138" s="85" t="str">
        <f t="shared" si="1"/>
        <v>-</v>
      </c>
      <c r="E138" s="7" t="s">
        <v>11</v>
      </c>
      <c r="F138" s="86"/>
      <c r="G138" s="7"/>
      <c r="H138" s="11"/>
      <c r="I138" s="7" t="s">
        <v>13</v>
      </c>
      <c r="J138" s="33"/>
    </row>
    <row r="139">
      <c r="A139" s="84" t="s">
        <v>337</v>
      </c>
      <c r="B139" s="11"/>
      <c r="C139" s="85" t="s">
        <v>11</v>
      </c>
      <c r="D139" s="85" t="str">
        <f t="shared" si="1"/>
        <v>-</v>
      </c>
      <c r="E139" s="7" t="s">
        <v>11</v>
      </c>
      <c r="F139" s="86"/>
      <c r="G139" s="7"/>
      <c r="H139" s="11"/>
      <c r="I139" s="7" t="s">
        <v>13</v>
      </c>
      <c r="J139" s="33"/>
    </row>
    <row r="140">
      <c r="A140" s="84" t="s">
        <v>337</v>
      </c>
      <c r="B140" s="11"/>
      <c r="C140" s="85" t="s">
        <v>11</v>
      </c>
      <c r="D140" s="85" t="str">
        <f t="shared" si="1"/>
        <v>-</v>
      </c>
      <c r="E140" s="7" t="s">
        <v>11</v>
      </c>
      <c r="F140" s="86"/>
      <c r="G140" s="7"/>
      <c r="H140" s="11"/>
      <c r="I140" s="7" t="s">
        <v>13</v>
      </c>
      <c r="J140" s="33"/>
    </row>
    <row r="141">
      <c r="A141" s="84" t="s">
        <v>337</v>
      </c>
      <c r="B141" s="11"/>
      <c r="C141" s="85" t="s">
        <v>11</v>
      </c>
      <c r="D141" s="85" t="str">
        <f t="shared" si="1"/>
        <v>-</v>
      </c>
      <c r="E141" s="7" t="s">
        <v>11</v>
      </c>
      <c r="F141" s="86"/>
      <c r="G141" s="7"/>
      <c r="H141" s="11"/>
      <c r="I141" s="7" t="s">
        <v>13</v>
      </c>
      <c r="J141" s="33"/>
    </row>
    <row r="142">
      <c r="A142" s="84" t="s">
        <v>337</v>
      </c>
      <c r="B142" s="11"/>
      <c r="C142" s="85" t="s">
        <v>11</v>
      </c>
      <c r="D142" s="85" t="str">
        <f t="shared" si="1"/>
        <v>-</v>
      </c>
      <c r="E142" s="7" t="s">
        <v>11</v>
      </c>
      <c r="F142" s="86"/>
      <c r="G142" s="7"/>
      <c r="H142" s="11"/>
      <c r="I142" s="7" t="s">
        <v>13</v>
      </c>
      <c r="J142" s="33"/>
    </row>
    <row r="143">
      <c r="A143" s="84" t="s">
        <v>337</v>
      </c>
      <c r="B143" s="11"/>
      <c r="C143" s="85" t="s">
        <v>11</v>
      </c>
      <c r="D143" s="85" t="str">
        <f t="shared" si="1"/>
        <v>-</v>
      </c>
      <c r="E143" s="7" t="s">
        <v>11</v>
      </c>
      <c r="F143" s="86"/>
      <c r="G143" s="7"/>
      <c r="H143" s="11"/>
      <c r="I143" s="7" t="s">
        <v>13</v>
      </c>
      <c r="J143" s="33"/>
    </row>
    <row r="144">
      <c r="A144" s="84" t="s">
        <v>337</v>
      </c>
      <c r="B144" s="11"/>
      <c r="C144" s="85" t="s">
        <v>11</v>
      </c>
      <c r="D144" s="85" t="str">
        <f t="shared" si="1"/>
        <v>-</v>
      </c>
      <c r="E144" s="7" t="s">
        <v>11</v>
      </c>
      <c r="F144" s="86"/>
      <c r="G144" s="7"/>
      <c r="H144" s="11"/>
      <c r="I144" s="7" t="s">
        <v>13</v>
      </c>
      <c r="J144" s="33"/>
    </row>
    <row r="145">
      <c r="A145" s="84" t="s">
        <v>337</v>
      </c>
      <c r="B145" s="11"/>
      <c r="C145" s="85" t="s">
        <v>11</v>
      </c>
      <c r="D145" s="85" t="str">
        <f t="shared" si="1"/>
        <v>-</v>
      </c>
      <c r="E145" s="7" t="s">
        <v>11</v>
      </c>
      <c r="F145" s="86"/>
      <c r="G145" s="7"/>
      <c r="H145" s="11"/>
      <c r="I145" s="7" t="s">
        <v>13</v>
      </c>
      <c r="J145" s="33"/>
    </row>
    <row r="146">
      <c r="A146" s="84" t="s">
        <v>337</v>
      </c>
      <c r="B146" s="11"/>
      <c r="C146" s="85" t="s">
        <v>11</v>
      </c>
      <c r="D146" s="85" t="str">
        <f t="shared" si="1"/>
        <v>-</v>
      </c>
      <c r="E146" s="7" t="s">
        <v>11</v>
      </c>
      <c r="F146" s="86"/>
      <c r="G146" s="7"/>
      <c r="H146" s="11"/>
      <c r="I146" s="7" t="s">
        <v>13</v>
      </c>
      <c r="J146" s="33"/>
    </row>
    <row r="147">
      <c r="A147" s="84" t="s">
        <v>337</v>
      </c>
      <c r="B147" s="11"/>
      <c r="C147" s="85" t="s">
        <v>11</v>
      </c>
      <c r="D147" s="85" t="str">
        <f t="shared" si="1"/>
        <v>-</v>
      </c>
      <c r="E147" s="7" t="s">
        <v>11</v>
      </c>
      <c r="F147" s="86"/>
      <c r="G147" s="7"/>
      <c r="H147" s="11"/>
      <c r="I147" s="7" t="s">
        <v>13</v>
      </c>
      <c r="J147" s="33"/>
    </row>
    <row r="148">
      <c r="A148" s="84" t="s">
        <v>337</v>
      </c>
      <c r="B148" s="11"/>
      <c r="C148" s="85" t="s">
        <v>11</v>
      </c>
      <c r="D148" s="85" t="str">
        <f t="shared" si="1"/>
        <v>-</v>
      </c>
      <c r="E148" s="7" t="s">
        <v>11</v>
      </c>
      <c r="F148" s="86"/>
      <c r="G148" s="7"/>
      <c r="H148" s="11"/>
      <c r="I148" s="7" t="s">
        <v>13</v>
      </c>
      <c r="J148" s="33"/>
    </row>
    <row r="149">
      <c r="A149" s="84" t="s">
        <v>337</v>
      </c>
      <c r="B149" s="11"/>
      <c r="C149" s="85" t="s">
        <v>11</v>
      </c>
      <c r="D149" s="85" t="str">
        <f t="shared" si="1"/>
        <v>-</v>
      </c>
      <c r="E149" s="7" t="s">
        <v>11</v>
      </c>
      <c r="F149" s="86"/>
      <c r="G149" s="7"/>
      <c r="H149" s="11"/>
      <c r="I149" s="7" t="s">
        <v>13</v>
      </c>
      <c r="J149" s="33"/>
    </row>
    <row r="150">
      <c r="A150" s="84" t="s">
        <v>337</v>
      </c>
      <c r="B150" s="11"/>
      <c r="C150" s="85" t="s">
        <v>11</v>
      </c>
      <c r="D150" s="85" t="str">
        <f t="shared" si="1"/>
        <v>-</v>
      </c>
      <c r="E150" s="7" t="s">
        <v>11</v>
      </c>
      <c r="F150" s="86"/>
      <c r="G150" s="7"/>
      <c r="H150" s="11"/>
      <c r="I150" s="7" t="s">
        <v>13</v>
      </c>
      <c r="J150" s="33"/>
    </row>
    <row r="151">
      <c r="A151" s="84" t="s">
        <v>337</v>
      </c>
      <c r="B151" s="11"/>
      <c r="C151" s="85" t="s">
        <v>11</v>
      </c>
      <c r="D151" s="85" t="str">
        <f t="shared" si="1"/>
        <v>-</v>
      </c>
      <c r="E151" s="7" t="s">
        <v>11</v>
      </c>
      <c r="F151" s="86"/>
      <c r="G151" s="7"/>
      <c r="H151" s="11"/>
      <c r="I151" s="7" t="s">
        <v>13</v>
      </c>
      <c r="J151" s="33"/>
    </row>
    <row r="152">
      <c r="A152" s="84" t="s">
        <v>337</v>
      </c>
      <c r="B152" s="11"/>
      <c r="C152" s="85" t="s">
        <v>11</v>
      </c>
      <c r="D152" s="85" t="str">
        <f t="shared" si="1"/>
        <v>-</v>
      </c>
      <c r="E152" s="7" t="s">
        <v>11</v>
      </c>
      <c r="F152" s="86"/>
      <c r="G152" s="7"/>
      <c r="H152" s="11"/>
      <c r="I152" s="7" t="s">
        <v>13</v>
      </c>
      <c r="J152" s="33"/>
    </row>
    <row r="153">
      <c r="A153" s="84" t="s">
        <v>337</v>
      </c>
      <c r="B153" s="11"/>
      <c r="C153" s="85" t="s">
        <v>11</v>
      </c>
      <c r="D153" s="85" t="str">
        <f t="shared" si="1"/>
        <v>-</v>
      </c>
      <c r="E153" s="7" t="s">
        <v>11</v>
      </c>
      <c r="F153" s="86"/>
      <c r="G153" s="7"/>
      <c r="H153" s="11"/>
      <c r="I153" s="7" t="s">
        <v>13</v>
      </c>
      <c r="J153" s="33"/>
    </row>
    <row r="154">
      <c r="A154" s="84" t="s">
        <v>337</v>
      </c>
      <c r="B154" s="11"/>
      <c r="C154" s="85" t="s">
        <v>11</v>
      </c>
      <c r="D154" s="85" t="str">
        <f t="shared" si="1"/>
        <v>-</v>
      </c>
      <c r="E154" s="7" t="s">
        <v>11</v>
      </c>
      <c r="F154" s="86"/>
      <c r="G154" s="7"/>
      <c r="H154" s="11"/>
      <c r="I154" s="7" t="s">
        <v>13</v>
      </c>
      <c r="J154" s="33"/>
    </row>
    <row r="155">
      <c r="A155" s="84" t="s">
        <v>337</v>
      </c>
      <c r="B155" s="11"/>
      <c r="C155" s="85" t="s">
        <v>11</v>
      </c>
      <c r="D155" s="85" t="str">
        <f t="shared" si="1"/>
        <v>-</v>
      </c>
      <c r="E155" s="7" t="s">
        <v>11</v>
      </c>
      <c r="F155" s="86"/>
      <c r="G155" s="7"/>
      <c r="H155" s="11"/>
      <c r="I155" s="7" t="s">
        <v>13</v>
      </c>
      <c r="J155" s="33"/>
    </row>
    <row r="156">
      <c r="A156" s="84" t="s">
        <v>337</v>
      </c>
      <c r="B156" s="11"/>
      <c r="C156" s="85" t="s">
        <v>11</v>
      </c>
      <c r="D156" s="85" t="str">
        <f t="shared" si="1"/>
        <v>-</v>
      </c>
      <c r="E156" s="7" t="s">
        <v>11</v>
      </c>
      <c r="F156" s="86"/>
      <c r="G156" s="7"/>
      <c r="H156" s="11"/>
      <c r="I156" s="7" t="s">
        <v>13</v>
      </c>
      <c r="J156" s="33"/>
    </row>
    <row r="157">
      <c r="A157" s="84" t="s">
        <v>337</v>
      </c>
      <c r="B157" s="11"/>
      <c r="C157" s="85" t="s">
        <v>11</v>
      </c>
      <c r="D157" s="85" t="str">
        <f t="shared" si="1"/>
        <v>-</v>
      </c>
      <c r="E157" s="7" t="s">
        <v>11</v>
      </c>
      <c r="F157" s="86"/>
      <c r="G157" s="7"/>
      <c r="H157" s="11"/>
      <c r="I157" s="7" t="s">
        <v>13</v>
      </c>
      <c r="J157" s="33"/>
    </row>
    <row r="158">
      <c r="A158" s="84" t="s">
        <v>337</v>
      </c>
      <c r="B158" s="11"/>
      <c r="C158" s="85" t="s">
        <v>11</v>
      </c>
      <c r="D158" s="85" t="str">
        <f t="shared" si="1"/>
        <v>-</v>
      </c>
      <c r="E158" s="7" t="s">
        <v>11</v>
      </c>
      <c r="F158" s="86"/>
      <c r="G158" s="7"/>
      <c r="H158" s="11"/>
      <c r="I158" s="7" t="s">
        <v>13</v>
      </c>
      <c r="J158" s="33"/>
    </row>
    <row r="159">
      <c r="A159" s="84" t="s">
        <v>337</v>
      </c>
      <c r="B159" s="11"/>
      <c r="C159" s="85" t="s">
        <v>11</v>
      </c>
      <c r="D159" s="85" t="str">
        <f t="shared" si="1"/>
        <v>-</v>
      </c>
      <c r="E159" s="7" t="s">
        <v>11</v>
      </c>
      <c r="F159" s="86"/>
      <c r="G159" s="7"/>
      <c r="H159" s="11"/>
      <c r="I159" s="7" t="s">
        <v>13</v>
      </c>
      <c r="J159" s="33"/>
    </row>
    <row r="160">
      <c r="A160" s="84" t="s">
        <v>337</v>
      </c>
      <c r="B160" s="11"/>
      <c r="C160" s="85" t="s">
        <v>11</v>
      </c>
      <c r="D160" s="85" t="str">
        <f t="shared" si="1"/>
        <v>-</v>
      </c>
      <c r="E160" s="7" t="s">
        <v>11</v>
      </c>
      <c r="F160" s="86"/>
      <c r="G160" s="7"/>
      <c r="H160" s="11"/>
      <c r="I160" s="7" t="s">
        <v>13</v>
      </c>
      <c r="J160" s="33"/>
    </row>
    <row r="161">
      <c r="A161" s="84" t="s">
        <v>337</v>
      </c>
      <c r="B161" s="11"/>
      <c r="C161" s="85" t="s">
        <v>11</v>
      </c>
      <c r="D161" s="85" t="str">
        <f t="shared" si="1"/>
        <v>-</v>
      </c>
      <c r="E161" s="7" t="s">
        <v>11</v>
      </c>
      <c r="F161" s="86"/>
      <c r="G161" s="7"/>
      <c r="H161" s="11"/>
      <c r="I161" s="7" t="s">
        <v>13</v>
      </c>
      <c r="J161" s="33"/>
    </row>
    <row r="162">
      <c r="A162" s="84" t="s">
        <v>337</v>
      </c>
      <c r="B162" s="11"/>
      <c r="C162" s="85" t="s">
        <v>11</v>
      </c>
      <c r="D162" s="85" t="str">
        <f t="shared" si="1"/>
        <v>-</v>
      </c>
      <c r="E162" s="7" t="s">
        <v>11</v>
      </c>
      <c r="F162" s="86"/>
      <c r="G162" s="7"/>
      <c r="H162" s="11"/>
      <c r="I162" s="7" t="s">
        <v>13</v>
      </c>
      <c r="J162" s="33"/>
    </row>
    <row r="163">
      <c r="A163" s="84" t="s">
        <v>337</v>
      </c>
      <c r="B163" s="11"/>
      <c r="C163" s="85" t="s">
        <v>11</v>
      </c>
      <c r="D163" s="85" t="str">
        <f t="shared" si="1"/>
        <v>-</v>
      </c>
      <c r="E163" s="7" t="s">
        <v>11</v>
      </c>
      <c r="F163" s="86"/>
      <c r="G163" s="7"/>
      <c r="H163" s="11"/>
      <c r="I163" s="7" t="s">
        <v>13</v>
      </c>
      <c r="J163" s="33"/>
    </row>
    <row r="164">
      <c r="A164" s="84" t="s">
        <v>337</v>
      </c>
      <c r="B164" s="11"/>
      <c r="C164" s="85" t="s">
        <v>11</v>
      </c>
      <c r="D164" s="85" t="str">
        <f t="shared" si="1"/>
        <v>-</v>
      </c>
      <c r="E164" s="7" t="s">
        <v>11</v>
      </c>
      <c r="F164" s="86"/>
      <c r="G164" s="7"/>
      <c r="H164" s="11"/>
      <c r="I164" s="7" t="s">
        <v>13</v>
      </c>
      <c r="J164" s="33"/>
    </row>
    <row r="165">
      <c r="A165" s="84" t="s">
        <v>337</v>
      </c>
      <c r="B165" s="11"/>
      <c r="C165" s="85" t="s">
        <v>11</v>
      </c>
      <c r="D165" s="85" t="str">
        <f t="shared" si="1"/>
        <v>-</v>
      </c>
      <c r="E165" s="7" t="s">
        <v>11</v>
      </c>
      <c r="F165" s="86"/>
      <c r="G165" s="7"/>
      <c r="H165" s="11"/>
      <c r="I165" s="7" t="s">
        <v>13</v>
      </c>
      <c r="J165" s="33"/>
    </row>
    <row r="166">
      <c r="A166" s="84" t="s">
        <v>337</v>
      </c>
      <c r="B166" s="11"/>
      <c r="C166" s="85" t="s">
        <v>11</v>
      </c>
      <c r="D166" s="85" t="str">
        <f t="shared" si="1"/>
        <v>-</v>
      </c>
      <c r="E166" s="7" t="s">
        <v>11</v>
      </c>
      <c r="F166" s="86"/>
      <c r="G166" s="7"/>
      <c r="H166" s="11"/>
      <c r="I166" s="7" t="s">
        <v>13</v>
      </c>
      <c r="J166" s="33"/>
    </row>
    <row r="167">
      <c r="A167" s="84" t="s">
        <v>337</v>
      </c>
      <c r="B167" s="11"/>
      <c r="C167" s="85" t="s">
        <v>11</v>
      </c>
      <c r="D167" s="85" t="str">
        <f t="shared" si="1"/>
        <v>-</v>
      </c>
      <c r="E167" s="7" t="s">
        <v>11</v>
      </c>
      <c r="F167" s="86"/>
      <c r="G167" s="7"/>
      <c r="H167" s="11"/>
      <c r="I167" s="7" t="s">
        <v>13</v>
      </c>
      <c r="J167" s="33"/>
    </row>
    <row r="168">
      <c r="A168" s="84" t="s">
        <v>337</v>
      </c>
      <c r="B168" s="11"/>
      <c r="C168" s="85" t="s">
        <v>11</v>
      </c>
      <c r="D168" s="85" t="str">
        <f t="shared" si="1"/>
        <v>-</v>
      </c>
      <c r="E168" s="7" t="s">
        <v>11</v>
      </c>
      <c r="F168" s="86"/>
      <c r="G168" s="7"/>
      <c r="H168" s="11"/>
      <c r="I168" s="7" t="s">
        <v>13</v>
      </c>
      <c r="J168" s="33"/>
    </row>
    <row r="169">
      <c r="A169" s="84" t="s">
        <v>337</v>
      </c>
      <c r="B169" s="11"/>
      <c r="C169" s="85" t="s">
        <v>11</v>
      </c>
      <c r="D169" s="85" t="str">
        <f t="shared" si="1"/>
        <v>-</v>
      </c>
      <c r="E169" s="7" t="s">
        <v>11</v>
      </c>
      <c r="F169" s="86"/>
      <c r="G169" s="7"/>
      <c r="H169" s="11"/>
      <c r="I169" s="7" t="s">
        <v>13</v>
      </c>
      <c r="J169" s="33"/>
    </row>
    <row r="170">
      <c r="A170" s="84" t="s">
        <v>337</v>
      </c>
      <c r="B170" s="11"/>
      <c r="C170" s="85" t="s">
        <v>11</v>
      </c>
      <c r="D170" s="85" t="str">
        <f t="shared" si="1"/>
        <v>-</v>
      </c>
      <c r="E170" s="7" t="s">
        <v>11</v>
      </c>
      <c r="F170" s="86"/>
      <c r="G170" s="7"/>
      <c r="H170" s="11"/>
      <c r="I170" s="7" t="s">
        <v>13</v>
      </c>
      <c r="J170" s="33"/>
    </row>
    <row r="171">
      <c r="A171" s="84" t="s">
        <v>337</v>
      </c>
      <c r="B171" s="11"/>
      <c r="C171" s="85" t="s">
        <v>11</v>
      </c>
      <c r="D171" s="85" t="str">
        <f t="shared" si="1"/>
        <v>-</v>
      </c>
      <c r="E171" s="7" t="s">
        <v>11</v>
      </c>
      <c r="F171" s="86"/>
      <c r="G171" s="7"/>
      <c r="H171" s="11"/>
      <c r="I171" s="7" t="s">
        <v>13</v>
      </c>
      <c r="J171" s="33"/>
    </row>
    <row r="172">
      <c r="A172" s="84" t="s">
        <v>337</v>
      </c>
      <c r="B172" s="11"/>
      <c r="C172" s="85" t="s">
        <v>11</v>
      </c>
      <c r="D172" s="85" t="str">
        <f t="shared" si="1"/>
        <v>-</v>
      </c>
      <c r="E172" s="7" t="s">
        <v>11</v>
      </c>
      <c r="F172" s="86"/>
      <c r="G172" s="7"/>
      <c r="H172" s="11"/>
      <c r="I172" s="7" t="s">
        <v>13</v>
      </c>
      <c r="J172" s="33"/>
    </row>
    <row r="173">
      <c r="A173" s="84" t="s">
        <v>337</v>
      </c>
      <c r="B173" s="11"/>
      <c r="C173" s="85" t="s">
        <v>11</v>
      </c>
      <c r="D173" s="85" t="str">
        <f t="shared" si="1"/>
        <v>-</v>
      </c>
      <c r="E173" s="7" t="s">
        <v>11</v>
      </c>
      <c r="F173" s="86"/>
      <c r="G173" s="7"/>
      <c r="H173" s="11"/>
      <c r="I173" s="7" t="s">
        <v>13</v>
      </c>
      <c r="J173" s="33"/>
    </row>
    <row r="174">
      <c r="A174" s="84" t="s">
        <v>337</v>
      </c>
      <c r="B174" s="11"/>
      <c r="C174" s="85" t="s">
        <v>11</v>
      </c>
      <c r="D174" s="85" t="str">
        <f t="shared" si="1"/>
        <v>-</v>
      </c>
      <c r="E174" s="7" t="s">
        <v>11</v>
      </c>
      <c r="F174" s="86"/>
      <c r="G174" s="7"/>
      <c r="H174" s="11"/>
      <c r="I174" s="7" t="s">
        <v>13</v>
      </c>
      <c r="J174" s="33"/>
    </row>
    <row r="175">
      <c r="A175" s="84" t="s">
        <v>337</v>
      </c>
      <c r="B175" s="11"/>
      <c r="C175" s="85" t="s">
        <v>11</v>
      </c>
      <c r="D175" s="85" t="str">
        <f t="shared" si="1"/>
        <v>-</v>
      </c>
      <c r="E175" s="7" t="s">
        <v>11</v>
      </c>
      <c r="F175" s="86"/>
      <c r="G175" s="7"/>
      <c r="H175" s="11"/>
      <c r="I175" s="7" t="s">
        <v>13</v>
      </c>
      <c r="J175" s="33"/>
    </row>
    <row r="176">
      <c r="A176" s="84" t="s">
        <v>337</v>
      </c>
      <c r="B176" s="11"/>
      <c r="C176" s="85" t="s">
        <v>11</v>
      </c>
      <c r="D176" s="85" t="str">
        <f t="shared" si="1"/>
        <v>-</v>
      </c>
      <c r="E176" s="7" t="s">
        <v>11</v>
      </c>
      <c r="F176" s="86"/>
      <c r="G176" s="7"/>
      <c r="H176" s="11"/>
      <c r="I176" s="7" t="s">
        <v>13</v>
      </c>
      <c r="J176" s="33"/>
    </row>
    <row r="177">
      <c r="A177" s="84" t="s">
        <v>337</v>
      </c>
      <c r="B177" s="11"/>
      <c r="C177" s="85" t="s">
        <v>11</v>
      </c>
      <c r="D177" s="85" t="str">
        <f t="shared" si="1"/>
        <v>-</v>
      </c>
      <c r="E177" s="7" t="s">
        <v>11</v>
      </c>
      <c r="F177" s="86"/>
      <c r="G177" s="7"/>
      <c r="H177" s="11"/>
      <c r="I177" s="7" t="s">
        <v>13</v>
      </c>
      <c r="J177" s="33"/>
    </row>
    <row r="178">
      <c r="A178" s="84" t="s">
        <v>337</v>
      </c>
      <c r="B178" s="11"/>
      <c r="C178" s="85" t="s">
        <v>11</v>
      </c>
      <c r="D178" s="85" t="str">
        <f t="shared" si="1"/>
        <v>-</v>
      </c>
      <c r="E178" s="7" t="s">
        <v>11</v>
      </c>
      <c r="F178" s="86"/>
      <c r="G178" s="7"/>
      <c r="H178" s="11"/>
      <c r="I178" s="7" t="s">
        <v>13</v>
      </c>
      <c r="J178" s="33"/>
    </row>
    <row r="179">
      <c r="A179" s="84" t="s">
        <v>337</v>
      </c>
      <c r="B179" s="11"/>
      <c r="C179" s="85" t="s">
        <v>11</v>
      </c>
      <c r="D179" s="85" t="str">
        <f t="shared" si="1"/>
        <v>-</v>
      </c>
      <c r="E179" s="7" t="s">
        <v>11</v>
      </c>
      <c r="F179" s="86"/>
      <c r="G179" s="7"/>
      <c r="H179" s="11"/>
      <c r="I179" s="7" t="s">
        <v>13</v>
      </c>
      <c r="J179" s="33"/>
    </row>
    <row r="180">
      <c r="A180" s="84" t="s">
        <v>337</v>
      </c>
      <c r="B180" s="11"/>
      <c r="C180" s="85" t="s">
        <v>11</v>
      </c>
      <c r="D180" s="85" t="str">
        <f t="shared" si="1"/>
        <v>-</v>
      </c>
      <c r="E180" s="7" t="s">
        <v>11</v>
      </c>
      <c r="F180" s="86"/>
      <c r="G180" s="7"/>
      <c r="H180" s="11"/>
      <c r="I180" s="7" t="s">
        <v>13</v>
      </c>
      <c r="J180" s="33"/>
    </row>
    <row r="181">
      <c r="A181" s="84" t="s">
        <v>337</v>
      </c>
      <c r="B181" s="11"/>
      <c r="C181" s="85" t="s">
        <v>11</v>
      </c>
      <c r="D181" s="85" t="str">
        <f t="shared" si="1"/>
        <v>-</v>
      </c>
      <c r="E181" s="7" t="s">
        <v>11</v>
      </c>
      <c r="F181" s="86"/>
      <c r="G181" s="7"/>
      <c r="H181" s="11"/>
      <c r="I181" s="7" t="s">
        <v>13</v>
      </c>
      <c r="J181" s="33"/>
    </row>
    <row r="182">
      <c r="A182" s="84" t="s">
        <v>337</v>
      </c>
      <c r="B182" s="11"/>
      <c r="C182" s="85" t="s">
        <v>11</v>
      </c>
      <c r="D182" s="85" t="str">
        <f t="shared" si="1"/>
        <v>-</v>
      </c>
      <c r="E182" s="7" t="s">
        <v>11</v>
      </c>
      <c r="F182" s="86"/>
      <c r="G182" s="7"/>
      <c r="H182" s="11"/>
      <c r="I182" s="7" t="s">
        <v>13</v>
      </c>
      <c r="J182" s="33"/>
    </row>
    <row r="183">
      <c r="A183" s="84" t="s">
        <v>337</v>
      </c>
      <c r="B183" s="11"/>
      <c r="C183" s="85" t="s">
        <v>11</v>
      </c>
      <c r="D183" s="85" t="str">
        <f t="shared" si="1"/>
        <v>-</v>
      </c>
      <c r="E183" s="7" t="s">
        <v>11</v>
      </c>
      <c r="F183" s="86"/>
      <c r="G183" s="7"/>
      <c r="H183" s="11"/>
      <c r="I183" s="7" t="s">
        <v>13</v>
      </c>
      <c r="J183" s="33"/>
    </row>
    <row r="184">
      <c r="A184" s="84" t="s">
        <v>337</v>
      </c>
      <c r="B184" s="11"/>
      <c r="C184" s="85" t="s">
        <v>11</v>
      </c>
      <c r="D184" s="85" t="str">
        <f t="shared" si="1"/>
        <v>-</v>
      </c>
      <c r="E184" s="7" t="s">
        <v>11</v>
      </c>
      <c r="F184" s="86"/>
      <c r="G184" s="7"/>
      <c r="H184" s="11"/>
      <c r="I184" s="7" t="s">
        <v>13</v>
      </c>
      <c r="J184" s="33"/>
    </row>
    <row r="185">
      <c r="A185" s="84" t="s">
        <v>337</v>
      </c>
      <c r="B185" s="11"/>
      <c r="C185" s="85" t="s">
        <v>11</v>
      </c>
      <c r="D185" s="85" t="str">
        <f t="shared" si="1"/>
        <v>-</v>
      </c>
      <c r="E185" s="7" t="s">
        <v>11</v>
      </c>
      <c r="F185" s="86"/>
      <c r="G185" s="7"/>
      <c r="H185" s="11"/>
      <c r="I185" s="7" t="s">
        <v>13</v>
      </c>
      <c r="J185" s="33"/>
    </row>
    <row r="186">
      <c r="A186" s="84" t="s">
        <v>337</v>
      </c>
      <c r="B186" s="11"/>
      <c r="C186" s="85" t="s">
        <v>11</v>
      </c>
      <c r="D186" s="85" t="str">
        <f t="shared" si="1"/>
        <v>-</v>
      </c>
      <c r="E186" s="7" t="s">
        <v>11</v>
      </c>
      <c r="F186" s="86"/>
      <c r="G186" s="7"/>
      <c r="H186" s="11"/>
      <c r="I186" s="7" t="s">
        <v>13</v>
      </c>
      <c r="J186" s="33"/>
    </row>
    <row r="187">
      <c r="A187" s="84" t="s">
        <v>337</v>
      </c>
      <c r="B187" s="11"/>
      <c r="C187" s="85" t="s">
        <v>11</v>
      </c>
      <c r="D187" s="85" t="str">
        <f t="shared" si="1"/>
        <v>-</v>
      </c>
      <c r="E187" s="7" t="s">
        <v>11</v>
      </c>
      <c r="F187" s="86"/>
      <c r="G187" s="7"/>
      <c r="H187" s="11"/>
      <c r="I187" s="7" t="s">
        <v>13</v>
      </c>
      <c r="J187" s="33"/>
    </row>
    <row r="188">
      <c r="A188" s="84" t="s">
        <v>337</v>
      </c>
      <c r="B188" s="11"/>
      <c r="C188" s="85" t="s">
        <v>11</v>
      </c>
      <c r="D188" s="85" t="str">
        <f t="shared" si="1"/>
        <v>-</v>
      </c>
      <c r="E188" s="7" t="s">
        <v>11</v>
      </c>
      <c r="F188" s="86"/>
      <c r="G188" s="7"/>
      <c r="H188" s="11"/>
      <c r="I188" s="7" t="s">
        <v>13</v>
      </c>
      <c r="J188" s="33"/>
    </row>
    <row r="189">
      <c r="A189" s="84" t="s">
        <v>337</v>
      </c>
      <c r="B189" s="11"/>
      <c r="C189" s="85" t="s">
        <v>11</v>
      </c>
      <c r="D189" s="85" t="str">
        <f t="shared" si="1"/>
        <v>-</v>
      </c>
      <c r="E189" s="7" t="s">
        <v>11</v>
      </c>
      <c r="F189" s="86"/>
      <c r="G189" s="7"/>
      <c r="H189" s="11"/>
      <c r="I189" s="7" t="s">
        <v>13</v>
      </c>
      <c r="J189" s="33"/>
    </row>
    <row r="190">
      <c r="A190" s="84" t="s">
        <v>337</v>
      </c>
      <c r="B190" s="11"/>
      <c r="C190" s="85" t="s">
        <v>11</v>
      </c>
      <c r="D190" s="85" t="str">
        <f t="shared" si="1"/>
        <v>-</v>
      </c>
      <c r="E190" s="7" t="s">
        <v>11</v>
      </c>
      <c r="F190" s="86"/>
      <c r="G190" s="7"/>
      <c r="H190" s="11"/>
      <c r="I190" s="7" t="s">
        <v>13</v>
      </c>
      <c r="J190" s="33"/>
    </row>
    <row r="191">
      <c r="A191" s="84" t="s">
        <v>337</v>
      </c>
      <c r="B191" s="11"/>
      <c r="C191" s="85" t="s">
        <v>11</v>
      </c>
      <c r="D191" s="85" t="str">
        <f t="shared" si="1"/>
        <v>-</v>
      </c>
      <c r="E191" s="7" t="s">
        <v>11</v>
      </c>
      <c r="F191" s="86"/>
      <c r="G191" s="7"/>
      <c r="H191" s="11"/>
      <c r="I191" s="7" t="s">
        <v>13</v>
      </c>
      <c r="J191" s="33"/>
    </row>
    <row r="192">
      <c r="A192" s="84" t="s">
        <v>337</v>
      </c>
      <c r="B192" s="11"/>
      <c r="C192" s="85" t="s">
        <v>11</v>
      </c>
      <c r="D192" s="85" t="str">
        <f t="shared" si="1"/>
        <v>-</v>
      </c>
      <c r="E192" s="7" t="s">
        <v>11</v>
      </c>
      <c r="F192" s="86"/>
      <c r="G192" s="7"/>
      <c r="H192" s="11"/>
      <c r="I192" s="7" t="s">
        <v>13</v>
      </c>
      <c r="J192" s="33"/>
    </row>
    <row r="193">
      <c r="A193" s="84" t="s">
        <v>337</v>
      </c>
      <c r="B193" s="11"/>
      <c r="C193" s="85" t="s">
        <v>11</v>
      </c>
      <c r="D193" s="85" t="str">
        <f t="shared" si="1"/>
        <v>-</v>
      </c>
      <c r="E193" s="7" t="s">
        <v>11</v>
      </c>
      <c r="F193" s="86"/>
      <c r="G193" s="7"/>
      <c r="H193" s="11"/>
      <c r="I193" s="7" t="s">
        <v>13</v>
      </c>
      <c r="J193" s="33"/>
    </row>
    <row r="194">
      <c r="A194" s="84" t="s">
        <v>337</v>
      </c>
      <c r="B194" s="11"/>
      <c r="C194" s="85" t="s">
        <v>11</v>
      </c>
      <c r="D194" s="85" t="str">
        <f t="shared" si="1"/>
        <v>-</v>
      </c>
      <c r="E194" s="7" t="s">
        <v>11</v>
      </c>
      <c r="F194" s="86"/>
      <c r="G194" s="7"/>
      <c r="H194" s="11"/>
      <c r="I194" s="7" t="s">
        <v>13</v>
      </c>
      <c r="J194" s="33"/>
    </row>
    <row r="195">
      <c r="A195" s="84" t="s">
        <v>337</v>
      </c>
      <c r="B195" s="11"/>
      <c r="C195" s="85" t="s">
        <v>11</v>
      </c>
      <c r="D195" s="85" t="str">
        <f t="shared" si="1"/>
        <v>-</v>
      </c>
      <c r="E195" s="7" t="s">
        <v>11</v>
      </c>
      <c r="F195" s="86"/>
      <c r="G195" s="7"/>
      <c r="H195" s="11"/>
      <c r="I195" s="7" t="s">
        <v>13</v>
      </c>
      <c r="J195" s="33"/>
    </row>
    <row r="196">
      <c r="A196" s="84" t="s">
        <v>337</v>
      </c>
      <c r="B196" s="11"/>
      <c r="C196" s="85" t="s">
        <v>11</v>
      </c>
      <c r="D196" s="85" t="str">
        <f t="shared" si="1"/>
        <v>-</v>
      </c>
      <c r="E196" s="7" t="s">
        <v>11</v>
      </c>
      <c r="F196" s="86"/>
      <c r="G196" s="7"/>
      <c r="H196" s="11"/>
      <c r="I196" s="7" t="s">
        <v>13</v>
      </c>
      <c r="J196" s="33"/>
    </row>
    <row r="197">
      <c r="A197" s="84" t="s">
        <v>337</v>
      </c>
      <c r="B197" s="11"/>
      <c r="C197" s="85" t="s">
        <v>11</v>
      </c>
      <c r="D197" s="85" t="str">
        <f t="shared" si="1"/>
        <v>-</v>
      </c>
      <c r="E197" s="7" t="s">
        <v>11</v>
      </c>
      <c r="F197" s="86"/>
      <c r="G197" s="7"/>
      <c r="H197" s="11"/>
      <c r="I197" s="7" t="s">
        <v>13</v>
      </c>
      <c r="J197" s="33"/>
    </row>
    <row r="198">
      <c r="A198" s="84" t="s">
        <v>337</v>
      </c>
      <c r="B198" s="11"/>
      <c r="C198" s="85" t="s">
        <v>11</v>
      </c>
      <c r="D198" s="85" t="str">
        <f t="shared" si="1"/>
        <v>-</v>
      </c>
      <c r="E198" s="7" t="s">
        <v>11</v>
      </c>
      <c r="F198" s="86"/>
      <c r="G198" s="7"/>
      <c r="H198" s="11"/>
      <c r="I198" s="7" t="s">
        <v>13</v>
      </c>
      <c r="J198" s="33"/>
    </row>
    <row r="199">
      <c r="A199" s="84" t="s">
        <v>337</v>
      </c>
      <c r="B199" s="11"/>
      <c r="C199" s="85" t="s">
        <v>11</v>
      </c>
      <c r="D199" s="85" t="str">
        <f t="shared" si="1"/>
        <v>-</v>
      </c>
      <c r="E199" s="7" t="s">
        <v>11</v>
      </c>
      <c r="F199" s="86"/>
      <c r="G199" s="7"/>
      <c r="H199" s="11"/>
      <c r="I199" s="7" t="s">
        <v>13</v>
      </c>
      <c r="J199" s="33"/>
    </row>
    <row r="200">
      <c r="A200" s="84" t="s">
        <v>337</v>
      </c>
      <c r="B200" s="11"/>
      <c r="C200" s="85" t="s">
        <v>11</v>
      </c>
      <c r="D200" s="85" t="str">
        <f t="shared" si="1"/>
        <v>-</v>
      </c>
      <c r="E200" s="7" t="s">
        <v>11</v>
      </c>
      <c r="F200" s="86"/>
      <c r="G200" s="7"/>
      <c r="H200" s="11"/>
      <c r="I200" s="7" t="s">
        <v>13</v>
      </c>
      <c r="J200" s="33"/>
    </row>
    <row r="201">
      <c r="A201" s="84" t="s">
        <v>337</v>
      </c>
      <c r="B201" s="11"/>
      <c r="C201" s="85" t="s">
        <v>11</v>
      </c>
      <c r="D201" s="85" t="str">
        <f t="shared" si="1"/>
        <v>-</v>
      </c>
      <c r="E201" s="7" t="s">
        <v>11</v>
      </c>
      <c r="F201" s="86"/>
      <c r="G201" s="7"/>
      <c r="H201" s="11"/>
      <c r="I201" s="7" t="s">
        <v>13</v>
      </c>
      <c r="J201" s="33"/>
    </row>
    <row r="202">
      <c r="A202" s="84" t="s">
        <v>337</v>
      </c>
      <c r="B202" s="11"/>
      <c r="C202" s="85" t="s">
        <v>11</v>
      </c>
      <c r="D202" s="85" t="str">
        <f t="shared" si="1"/>
        <v>-</v>
      </c>
      <c r="E202" s="7" t="s">
        <v>11</v>
      </c>
      <c r="F202" s="86"/>
      <c r="G202" s="7"/>
      <c r="H202" s="11"/>
      <c r="I202" s="7" t="s">
        <v>13</v>
      </c>
      <c r="J202" s="33"/>
    </row>
    <row r="203">
      <c r="A203" s="84" t="s">
        <v>337</v>
      </c>
      <c r="B203" s="11"/>
      <c r="C203" s="85" t="s">
        <v>11</v>
      </c>
      <c r="D203" s="85" t="str">
        <f t="shared" si="1"/>
        <v>-</v>
      </c>
      <c r="E203" s="7" t="s">
        <v>11</v>
      </c>
      <c r="F203" s="86"/>
      <c r="G203" s="7"/>
      <c r="H203" s="11"/>
      <c r="I203" s="7" t="s">
        <v>13</v>
      </c>
      <c r="J203" s="33"/>
    </row>
    <row r="204">
      <c r="A204" s="84" t="s">
        <v>337</v>
      </c>
      <c r="B204" s="11"/>
      <c r="C204" s="85" t="s">
        <v>11</v>
      </c>
      <c r="D204" s="85" t="str">
        <f t="shared" si="1"/>
        <v>-</v>
      </c>
      <c r="E204" s="7" t="s">
        <v>11</v>
      </c>
      <c r="F204" s="86"/>
      <c r="G204" s="7"/>
      <c r="H204" s="11"/>
      <c r="I204" s="7" t="s">
        <v>13</v>
      </c>
      <c r="J204" s="33"/>
    </row>
    <row r="205">
      <c r="A205" s="84" t="s">
        <v>337</v>
      </c>
      <c r="B205" s="11"/>
      <c r="C205" s="85" t="s">
        <v>11</v>
      </c>
      <c r="D205" s="85" t="str">
        <f t="shared" si="1"/>
        <v>-</v>
      </c>
      <c r="E205" s="7" t="s">
        <v>11</v>
      </c>
      <c r="F205" s="86"/>
      <c r="G205" s="7"/>
      <c r="H205" s="11"/>
      <c r="I205" s="7" t="s">
        <v>13</v>
      </c>
      <c r="J205" s="33"/>
    </row>
    <row r="206">
      <c r="A206" s="84" t="s">
        <v>337</v>
      </c>
      <c r="B206" s="11"/>
      <c r="C206" s="85" t="s">
        <v>11</v>
      </c>
      <c r="D206" s="85" t="str">
        <f t="shared" si="1"/>
        <v>-</v>
      </c>
      <c r="E206" s="7" t="s">
        <v>11</v>
      </c>
      <c r="F206" s="86"/>
      <c r="G206" s="7"/>
      <c r="H206" s="11"/>
      <c r="I206" s="7" t="s">
        <v>13</v>
      </c>
      <c r="J206" s="33"/>
    </row>
    <row r="207">
      <c r="A207" s="84" t="s">
        <v>337</v>
      </c>
      <c r="B207" s="11"/>
      <c r="C207" s="85" t="s">
        <v>11</v>
      </c>
      <c r="D207" s="85" t="str">
        <f t="shared" si="1"/>
        <v>-</v>
      </c>
      <c r="E207" s="7" t="s">
        <v>11</v>
      </c>
      <c r="F207" s="86"/>
      <c r="G207" s="7"/>
      <c r="H207" s="11"/>
      <c r="I207" s="7" t="s">
        <v>13</v>
      </c>
      <c r="J207" s="33"/>
    </row>
    <row r="208">
      <c r="A208" s="84" t="s">
        <v>337</v>
      </c>
      <c r="B208" s="11"/>
      <c r="C208" s="85" t="s">
        <v>11</v>
      </c>
      <c r="D208" s="85" t="str">
        <f t="shared" si="1"/>
        <v>-</v>
      </c>
      <c r="E208" s="7" t="s">
        <v>11</v>
      </c>
      <c r="F208" s="86"/>
      <c r="G208" s="7"/>
      <c r="H208" s="11"/>
      <c r="I208" s="7" t="s">
        <v>13</v>
      </c>
      <c r="J208" s="33"/>
    </row>
    <row r="209">
      <c r="A209" s="84" t="s">
        <v>337</v>
      </c>
      <c r="B209" s="11"/>
      <c r="C209" s="85" t="s">
        <v>11</v>
      </c>
      <c r="D209" s="85" t="str">
        <f t="shared" si="1"/>
        <v>-</v>
      </c>
      <c r="E209" s="7" t="s">
        <v>11</v>
      </c>
      <c r="F209" s="86"/>
      <c r="G209" s="7"/>
      <c r="H209" s="11"/>
      <c r="I209" s="7" t="s">
        <v>13</v>
      </c>
      <c r="J209" s="33"/>
    </row>
    <row r="210">
      <c r="A210" s="84" t="s">
        <v>337</v>
      </c>
      <c r="B210" s="11"/>
      <c r="C210" s="85" t="s">
        <v>11</v>
      </c>
      <c r="D210" s="85" t="str">
        <f t="shared" si="1"/>
        <v>-</v>
      </c>
      <c r="E210" s="7" t="s">
        <v>11</v>
      </c>
      <c r="F210" s="86"/>
      <c r="G210" s="7"/>
      <c r="H210" s="11"/>
      <c r="I210" s="7" t="s">
        <v>13</v>
      </c>
      <c r="J210" s="33"/>
    </row>
    <row r="211">
      <c r="A211" s="84" t="s">
        <v>337</v>
      </c>
      <c r="B211" s="11"/>
      <c r="C211" s="85" t="s">
        <v>11</v>
      </c>
      <c r="D211" s="85" t="str">
        <f t="shared" si="1"/>
        <v>-</v>
      </c>
      <c r="E211" s="7" t="s">
        <v>11</v>
      </c>
      <c r="F211" s="86"/>
      <c r="G211" s="7"/>
      <c r="H211" s="11"/>
      <c r="I211" s="7" t="s">
        <v>13</v>
      </c>
      <c r="J211" s="33"/>
    </row>
    <row r="212">
      <c r="A212" s="84" t="s">
        <v>337</v>
      </c>
      <c r="B212" s="11"/>
      <c r="C212" s="85" t="s">
        <v>11</v>
      </c>
      <c r="D212" s="85" t="str">
        <f t="shared" si="1"/>
        <v>-</v>
      </c>
      <c r="E212" s="7" t="s">
        <v>11</v>
      </c>
      <c r="F212" s="86"/>
      <c r="G212" s="7"/>
      <c r="H212" s="11"/>
      <c r="I212" s="7" t="s">
        <v>13</v>
      </c>
      <c r="J212" s="33"/>
    </row>
    <row r="213">
      <c r="A213" s="84" t="s">
        <v>337</v>
      </c>
      <c r="B213" s="11"/>
      <c r="C213" s="85" t="s">
        <v>11</v>
      </c>
      <c r="D213" s="85" t="str">
        <f t="shared" si="1"/>
        <v>-</v>
      </c>
      <c r="E213" s="7" t="s">
        <v>11</v>
      </c>
      <c r="F213" s="86"/>
      <c r="G213" s="7"/>
      <c r="H213" s="11"/>
      <c r="I213" s="7" t="s">
        <v>13</v>
      </c>
      <c r="J213" s="33"/>
    </row>
    <row r="214">
      <c r="A214" s="84" t="s">
        <v>337</v>
      </c>
      <c r="B214" s="11"/>
      <c r="C214" s="85" t="s">
        <v>11</v>
      </c>
      <c r="D214" s="85" t="str">
        <f t="shared" si="1"/>
        <v>-</v>
      </c>
      <c r="E214" s="7" t="s">
        <v>11</v>
      </c>
      <c r="F214" s="86"/>
      <c r="G214" s="7"/>
      <c r="H214" s="11"/>
      <c r="I214" s="7" t="s">
        <v>13</v>
      </c>
      <c r="J214" s="33"/>
    </row>
    <row r="215">
      <c r="A215" s="84" t="s">
        <v>337</v>
      </c>
      <c r="B215" s="11"/>
      <c r="C215" s="85" t="s">
        <v>11</v>
      </c>
      <c r="D215" s="85" t="str">
        <f t="shared" si="1"/>
        <v>-</v>
      </c>
      <c r="E215" s="7" t="s">
        <v>11</v>
      </c>
      <c r="F215" s="86"/>
      <c r="G215" s="7"/>
      <c r="H215" s="11"/>
      <c r="I215" s="7" t="s">
        <v>13</v>
      </c>
      <c r="J215" s="33"/>
    </row>
    <row r="216">
      <c r="A216" s="84" t="s">
        <v>337</v>
      </c>
      <c r="B216" s="11"/>
      <c r="C216" s="85" t="s">
        <v>11</v>
      </c>
      <c r="D216" s="85" t="str">
        <f t="shared" si="1"/>
        <v>-</v>
      </c>
      <c r="E216" s="7" t="s">
        <v>11</v>
      </c>
      <c r="F216" s="86"/>
      <c r="G216" s="7"/>
      <c r="H216" s="11"/>
      <c r="I216" s="7" t="s">
        <v>13</v>
      </c>
      <c r="J216" s="33"/>
    </row>
    <row r="217">
      <c r="A217" s="84" t="s">
        <v>337</v>
      </c>
      <c r="B217" s="11"/>
      <c r="C217" s="85" t="s">
        <v>11</v>
      </c>
      <c r="D217" s="85" t="str">
        <f t="shared" si="1"/>
        <v>-</v>
      </c>
      <c r="E217" s="7" t="s">
        <v>11</v>
      </c>
      <c r="F217" s="86"/>
      <c r="G217" s="7"/>
      <c r="H217" s="11"/>
      <c r="I217" s="7" t="s">
        <v>13</v>
      </c>
      <c r="J217" s="33"/>
    </row>
    <row r="218">
      <c r="A218" s="84" t="s">
        <v>337</v>
      </c>
      <c r="B218" s="11"/>
      <c r="C218" s="85" t="s">
        <v>11</v>
      </c>
      <c r="D218" s="85" t="str">
        <f t="shared" si="1"/>
        <v>-</v>
      </c>
      <c r="E218" s="7" t="s">
        <v>11</v>
      </c>
      <c r="F218" s="86"/>
      <c r="G218" s="7"/>
      <c r="H218" s="11"/>
      <c r="I218" s="7" t="s">
        <v>13</v>
      </c>
      <c r="J218" s="33"/>
    </row>
    <row r="219">
      <c r="A219" s="84" t="s">
        <v>337</v>
      </c>
      <c r="B219" s="11"/>
      <c r="C219" s="85" t="s">
        <v>11</v>
      </c>
      <c r="D219" s="85" t="str">
        <f t="shared" si="1"/>
        <v>-</v>
      </c>
      <c r="E219" s="7" t="s">
        <v>11</v>
      </c>
      <c r="F219" s="86"/>
      <c r="G219" s="7"/>
      <c r="H219" s="11"/>
      <c r="I219" s="7" t="s">
        <v>13</v>
      </c>
      <c r="J219" s="33"/>
    </row>
    <row r="220">
      <c r="A220" s="84" t="s">
        <v>337</v>
      </c>
      <c r="B220" s="11"/>
      <c r="C220" s="85" t="s">
        <v>11</v>
      </c>
      <c r="D220" s="85" t="str">
        <f t="shared" si="1"/>
        <v>-</v>
      </c>
      <c r="E220" s="7" t="s">
        <v>11</v>
      </c>
      <c r="F220" s="86"/>
      <c r="G220" s="7"/>
      <c r="H220" s="11"/>
      <c r="I220" s="7" t="s">
        <v>13</v>
      </c>
      <c r="J220" s="33"/>
    </row>
    <row r="221">
      <c r="A221" s="84" t="s">
        <v>337</v>
      </c>
      <c r="B221" s="11"/>
      <c r="C221" s="85" t="s">
        <v>11</v>
      </c>
      <c r="D221" s="85" t="str">
        <f t="shared" si="1"/>
        <v>-</v>
      </c>
      <c r="E221" s="7" t="s">
        <v>11</v>
      </c>
      <c r="F221" s="86"/>
      <c r="G221" s="7"/>
      <c r="H221" s="11"/>
      <c r="I221" s="7" t="s">
        <v>13</v>
      </c>
      <c r="J221" s="33"/>
    </row>
    <row r="222">
      <c r="A222" s="84" t="s">
        <v>337</v>
      </c>
      <c r="B222" s="11"/>
      <c r="C222" s="85" t="s">
        <v>11</v>
      </c>
      <c r="D222" s="85" t="str">
        <f t="shared" si="1"/>
        <v>-</v>
      </c>
      <c r="E222" s="7" t="s">
        <v>11</v>
      </c>
      <c r="F222" s="86"/>
      <c r="G222" s="7"/>
      <c r="H222" s="11"/>
      <c r="I222" s="7" t="s">
        <v>13</v>
      </c>
      <c r="J222" s="33"/>
    </row>
    <row r="223">
      <c r="A223" s="84" t="s">
        <v>337</v>
      </c>
      <c r="B223" s="11"/>
      <c r="C223" s="85" t="s">
        <v>11</v>
      </c>
      <c r="D223" s="85" t="str">
        <f t="shared" si="1"/>
        <v>-</v>
      </c>
      <c r="E223" s="7" t="s">
        <v>11</v>
      </c>
      <c r="F223" s="86"/>
      <c r="G223" s="7"/>
      <c r="H223" s="11"/>
      <c r="I223" s="7" t="s">
        <v>13</v>
      </c>
      <c r="J223" s="33"/>
    </row>
    <row r="224">
      <c r="A224" s="84" t="s">
        <v>337</v>
      </c>
      <c r="B224" s="11"/>
      <c r="C224" s="85" t="s">
        <v>11</v>
      </c>
      <c r="D224" s="85" t="str">
        <f t="shared" si="1"/>
        <v>-</v>
      </c>
      <c r="E224" s="7" t="s">
        <v>11</v>
      </c>
      <c r="F224" s="86"/>
      <c r="G224" s="7"/>
      <c r="H224" s="11"/>
      <c r="I224" s="7" t="s">
        <v>13</v>
      </c>
      <c r="J224" s="33"/>
    </row>
    <row r="225">
      <c r="A225" s="84" t="s">
        <v>337</v>
      </c>
      <c r="B225" s="11"/>
      <c r="C225" s="85" t="s">
        <v>11</v>
      </c>
      <c r="D225" s="85" t="str">
        <f t="shared" si="1"/>
        <v>-</v>
      </c>
      <c r="E225" s="7" t="s">
        <v>11</v>
      </c>
      <c r="F225" s="86"/>
      <c r="G225" s="7"/>
      <c r="H225" s="11"/>
      <c r="I225" s="7" t="s">
        <v>13</v>
      </c>
      <c r="J225" s="33"/>
    </row>
    <row r="226">
      <c r="A226" s="84" t="s">
        <v>337</v>
      </c>
      <c r="B226" s="11"/>
      <c r="C226" s="85" t="s">
        <v>11</v>
      </c>
      <c r="D226" s="85" t="str">
        <f t="shared" si="1"/>
        <v>-</v>
      </c>
      <c r="E226" s="7" t="s">
        <v>11</v>
      </c>
      <c r="F226" s="86"/>
      <c r="G226" s="7"/>
      <c r="H226" s="11"/>
      <c r="I226" s="7" t="s">
        <v>13</v>
      </c>
      <c r="J226" s="33"/>
    </row>
    <row r="227">
      <c r="A227" s="84" t="s">
        <v>337</v>
      </c>
      <c r="B227" s="11"/>
      <c r="C227" s="85" t="s">
        <v>11</v>
      </c>
      <c r="D227" s="85" t="str">
        <f t="shared" si="1"/>
        <v>-</v>
      </c>
      <c r="E227" s="7" t="s">
        <v>11</v>
      </c>
      <c r="F227" s="86"/>
      <c r="G227" s="7"/>
      <c r="H227" s="11"/>
      <c r="I227" s="7" t="s">
        <v>13</v>
      </c>
      <c r="J227" s="33"/>
    </row>
    <row r="228">
      <c r="A228" s="84" t="s">
        <v>337</v>
      </c>
      <c r="B228" s="11"/>
      <c r="C228" s="85" t="s">
        <v>11</v>
      </c>
      <c r="D228" s="85" t="str">
        <f t="shared" si="1"/>
        <v>-</v>
      </c>
      <c r="E228" s="7" t="s">
        <v>11</v>
      </c>
      <c r="F228" s="86"/>
      <c r="G228" s="7"/>
      <c r="H228" s="11"/>
      <c r="I228" s="7" t="s">
        <v>13</v>
      </c>
      <c r="J228" s="33"/>
    </row>
    <row r="229">
      <c r="A229" s="84" t="s">
        <v>337</v>
      </c>
      <c r="B229" s="11"/>
      <c r="C229" s="85" t="s">
        <v>11</v>
      </c>
      <c r="D229" s="85" t="str">
        <f t="shared" si="1"/>
        <v>-</v>
      </c>
      <c r="E229" s="7" t="s">
        <v>11</v>
      </c>
      <c r="F229" s="86"/>
      <c r="G229" s="7"/>
      <c r="H229" s="11"/>
      <c r="I229" s="7" t="s">
        <v>13</v>
      </c>
      <c r="J229" s="33"/>
    </row>
    <row r="230">
      <c r="A230" s="84" t="s">
        <v>337</v>
      </c>
      <c r="B230" s="11"/>
      <c r="C230" s="85" t="s">
        <v>11</v>
      </c>
      <c r="D230" s="85" t="str">
        <f t="shared" si="1"/>
        <v>-</v>
      </c>
      <c r="E230" s="7" t="s">
        <v>11</v>
      </c>
      <c r="F230" s="86"/>
      <c r="G230" s="7"/>
      <c r="H230" s="11"/>
      <c r="I230" s="7" t="s">
        <v>13</v>
      </c>
      <c r="J230" s="33"/>
    </row>
    <row r="231">
      <c r="A231" s="84" t="s">
        <v>337</v>
      </c>
      <c r="B231" s="11"/>
      <c r="C231" s="85" t="s">
        <v>11</v>
      </c>
      <c r="D231" s="85" t="str">
        <f t="shared" si="1"/>
        <v>-</v>
      </c>
      <c r="E231" s="7" t="s">
        <v>11</v>
      </c>
      <c r="F231" s="86"/>
      <c r="G231" s="7"/>
      <c r="H231" s="11"/>
      <c r="I231" s="7" t="s">
        <v>13</v>
      </c>
      <c r="J231" s="33"/>
    </row>
    <row r="232">
      <c r="A232" s="84" t="s">
        <v>337</v>
      </c>
      <c r="B232" s="11"/>
      <c r="C232" s="85" t="s">
        <v>11</v>
      </c>
      <c r="D232" s="85" t="str">
        <f t="shared" si="1"/>
        <v>-</v>
      </c>
      <c r="E232" s="7" t="s">
        <v>11</v>
      </c>
      <c r="F232" s="86"/>
      <c r="G232" s="7"/>
      <c r="H232" s="11"/>
      <c r="I232" s="7" t="s">
        <v>13</v>
      </c>
      <c r="J232" s="33"/>
    </row>
    <row r="233">
      <c r="A233" s="84" t="s">
        <v>337</v>
      </c>
      <c r="B233" s="11"/>
      <c r="C233" s="85" t="s">
        <v>11</v>
      </c>
      <c r="D233" s="85" t="str">
        <f t="shared" si="1"/>
        <v>-</v>
      </c>
      <c r="E233" s="7" t="s">
        <v>11</v>
      </c>
      <c r="F233" s="86"/>
      <c r="G233" s="7"/>
      <c r="H233" s="11"/>
      <c r="I233" s="7" t="s">
        <v>13</v>
      </c>
      <c r="J233" s="33"/>
    </row>
    <row r="234">
      <c r="A234" s="84" t="s">
        <v>337</v>
      </c>
      <c r="B234" s="11"/>
      <c r="C234" s="85" t="s">
        <v>11</v>
      </c>
      <c r="D234" s="85" t="str">
        <f t="shared" si="1"/>
        <v>-</v>
      </c>
      <c r="E234" s="7" t="s">
        <v>11</v>
      </c>
      <c r="F234" s="86"/>
      <c r="G234" s="7"/>
      <c r="H234" s="11"/>
      <c r="I234" s="7" t="s">
        <v>13</v>
      </c>
      <c r="J234" s="33"/>
    </row>
    <row r="235">
      <c r="A235" s="84" t="s">
        <v>337</v>
      </c>
      <c r="B235" s="11"/>
      <c r="C235" s="85" t="s">
        <v>11</v>
      </c>
      <c r="D235" s="85" t="str">
        <f t="shared" si="1"/>
        <v>-</v>
      </c>
      <c r="E235" s="7" t="s">
        <v>11</v>
      </c>
      <c r="F235" s="86"/>
      <c r="G235" s="7"/>
      <c r="H235" s="11"/>
      <c r="I235" s="7" t="s">
        <v>13</v>
      </c>
      <c r="J235" s="33"/>
    </row>
    <row r="236">
      <c r="A236" s="84" t="s">
        <v>337</v>
      </c>
      <c r="B236" s="11"/>
      <c r="C236" s="85" t="s">
        <v>11</v>
      </c>
      <c r="D236" s="85" t="str">
        <f t="shared" si="1"/>
        <v>-</v>
      </c>
      <c r="E236" s="7" t="s">
        <v>11</v>
      </c>
      <c r="F236" s="86"/>
      <c r="G236" s="7"/>
      <c r="H236" s="11"/>
      <c r="I236" s="7" t="s">
        <v>13</v>
      </c>
      <c r="J236" s="33"/>
    </row>
    <row r="237">
      <c r="A237" s="84" t="s">
        <v>337</v>
      </c>
      <c r="B237" s="11"/>
      <c r="C237" s="85" t="s">
        <v>11</v>
      </c>
      <c r="D237" s="85" t="str">
        <f t="shared" si="1"/>
        <v>-</v>
      </c>
      <c r="E237" s="7" t="s">
        <v>11</v>
      </c>
      <c r="F237" s="86"/>
      <c r="G237" s="7"/>
      <c r="H237" s="11"/>
      <c r="I237" s="7" t="s">
        <v>13</v>
      </c>
      <c r="J237" s="33"/>
    </row>
    <row r="238">
      <c r="A238" s="84" t="s">
        <v>337</v>
      </c>
      <c r="B238" s="11"/>
      <c r="C238" s="85" t="s">
        <v>11</v>
      </c>
      <c r="D238" s="85" t="str">
        <f t="shared" si="1"/>
        <v>-</v>
      </c>
      <c r="E238" s="7" t="s">
        <v>11</v>
      </c>
      <c r="F238" s="86"/>
      <c r="G238" s="7"/>
      <c r="H238" s="11"/>
      <c r="I238" s="7" t="s">
        <v>13</v>
      </c>
      <c r="J238" s="33"/>
    </row>
    <row r="239">
      <c r="A239" s="84" t="s">
        <v>337</v>
      </c>
      <c r="B239" s="11"/>
      <c r="C239" s="85" t="s">
        <v>11</v>
      </c>
      <c r="D239" s="85" t="str">
        <f t="shared" si="1"/>
        <v>-</v>
      </c>
      <c r="E239" s="7" t="s">
        <v>11</v>
      </c>
      <c r="F239" s="86"/>
      <c r="G239" s="7"/>
      <c r="H239" s="11"/>
      <c r="I239" s="7" t="s">
        <v>13</v>
      </c>
      <c r="J239" s="33"/>
    </row>
    <row r="240">
      <c r="A240" s="84" t="s">
        <v>337</v>
      </c>
      <c r="B240" s="11"/>
      <c r="C240" s="85" t="s">
        <v>11</v>
      </c>
      <c r="D240" s="85" t="str">
        <f t="shared" si="1"/>
        <v>-</v>
      </c>
      <c r="E240" s="7" t="s">
        <v>11</v>
      </c>
      <c r="F240" s="86"/>
      <c r="G240" s="7"/>
      <c r="H240" s="11"/>
      <c r="I240" s="7" t="s">
        <v>13</v>
      </c>
      <c r="J240" s="33"/>
    </row>
    <row r="241">
      <c r="A241" s="84" t="s">
        <v>337</v>
      </c>
      <c r="B241" s="11"/>
      <c r="C241" s="85" t="s">
        <v>11</v>
      </c>
      <c r="D241" s="85" t="str">
        <f t="shared" si="1"/>
        <v>-</v>
      </c>
      <c r="E241" s="7" t="s">
        <v>11</v>
      </c>
      <c r="F241" s="86"/>
      <c r="G241" s="7"/>
      <c r="H241" s="11"/>
      <c r="I241" s="7" t="s">
        <v>13</v>
      </c>
      <c r="J241" s="33"/>
    </row>
    <row r="242">
      <c r="A242" s="84" t="s">
        <v>337</v>
      </c>
      <c r="B242" s="11"/>
      <c r="C242" s="85" t="s">
        <v>11</v>
      </c>
      <c r="D242" s="85" t="str">
        <f t="shared" si="1"/>
        <v>-</v>
      </c>
      <c r="E242" s="7" t="s">
        <v>11</v>
      </c>
      <c r="F242" s="86"/>
      <c r="G242" s="7"/>
      <c r="H242" s="11"/>
      <c r="I242" s="7" t="s">
        <v>13</v>
      </c>
      <c r="J242" s="33"/>
    </row>
    <row r="243">
      <c r="A243" s="84" t="s">
        <v>337</v>
      </c>
      <c r="B243" s="11"/>
      <c r="C243" s="85" t="s">
        <v>11</v>
      </c>
      <c r="D243" s="85" t="str">
        <f t="shared" si="1"/>
        <v>-</v>
      </c>
      <c r="E243" s="7" t="s">
        <v>11</v>
      </c>
      <c r="F243" s="86"/>
      <c r="G243" s="7"/>
      <c r="H243" s="11"/>
      <c r="I243" s="7" t="s">
        <v>13</v>
      </c>
      <c r="J243" s="33"/>
    </row>
    <row r="244">
      <c r="A244" s="84" t="s">
        <v>337</v>
      </c>
      <c r="B244" s="11"/>
      <c r="C244" s="85" t="s">
        <v>11</v>
      </c>
      <c r="D244" s="85" t="str">
        <f t="shared" si="1"/>
        <v>-</v>
      </c>
      <c r="E244" s="7" t="s">
        <v>11</v>
      </c>
      <c r="F244" s="86"/>
      <c r="G244" s="7"/>
      <c r="H244" s="11"/>
      <c r="I244" s="7" t="s">
        <v>13</v>
      </c>
      <c r="J244" s="33"/>
    </row>
    <row r="245">
      <c r="A245" s="84" t="s">
        <v>337</v>
      </c>
      <c r="B245" s="11"/>
      <c r="C245" s="85" t="s">
        <v>11</v>
      </c>
      <c r="D245" s="85" t="str">
        <f t="shared" si="1"/>
        <v>-</v>
      </c>
      <c r="E245" s="7" t="s">
        <v>11</v>
      </c>
      <c r="F245" s="86"/>
      <c r="G245" s="7"/>
      <c r="H245" s="11"/>
      <c r="I245" s="7" t="s">
        <v>13</v>
      </c>
      <c r="J245" s="33"/>
    </row>
    <row r="246">
      <c r="A246" s="84" t="s">
        <v>337</v>
      </c>
      <c r="B246" s="11"/>
      <c r="C246" s="85" t="s">
        <v>11</v>
      </c>
      <c r="D246" s="85" t="str">
        <f t="shared" si="1"/>
        <v>-</v>
      </c>
      <c r="E246" s="7" t="s">
        <v>11</v>
      </c>
      <c r="F246" s="86"/>
      <c r="G246" s="7"/>
      <c r="H246" s="11"/>
      <c r="I246" s="7" t="s">
        <v>13</v>
      </c>
      <c r="J246" s="33"/>
    </row>
    <row r="247">
      <c r="A247" s="84" t="s">
        <v>337</v>
      </c>
      <c r="B247" s="11"/>
      <c r="C247" s="85" t="s">
        <v>11</v>
      </c>
      <c r="D247" s="85" t="str">
        <f t="shared" si="1"/>
        <v>-</v>
      </c>
      <c r="E247" s="7" t="s">
        <v>11</v>
      </c>
      <c r="F247" s="86"/>
      <c r="G247" s="7"/>
      <c r="H247" s="11"/>
      <c r="I247" s="7" t="s">
        <v>13</v>
      </c>
      <c r="J247" s="33"/>
    </row>
    <row r="248">
      <c r="A248" s="84" t="s">
        <v>337</v>
      </c>
      <c r="B248" s="11"/>
      <c r="C248" s="85" t="s">
        <v>11</v>
      </c>
      <c r="D248" s="85" t="str">
        <f t="shared" si="1"/>
        <v>-</v>
      </c>
      <c r="E248" s="7" t="s">
        <v>11</v>
      </c>
      <c r="F248" s="86"/>
      <c r="G248" s="7"/>
      <c r="H248" s="11"/>
      <c r="I248" s="7" t="s">
        <v>13</v>
      </c>
      <c r="J248" s="33"/>
    </row>
    <row r="249">
      <c r="A249" s="84" t="s">
        <v>337</v>
      </c>
      <c r="B249" s="11"/>
      <c r="C249" s="85" t="s">
        <v>11</v>
      </c>
      <c r="D249" s="85" t="str">
        <f t="shared" si="1"/>
        <v>-</v>
      </c>
      <c r="E249" s="7" t="s">
        <v>11</v>
      </c>
      <c r="F249" s="86"/>
      <c r="G249" s="7"/>
      <c r="H249" s="11"/>
      <c r="I249" s="7" t="s">
        <v>13</v>
      </c>
      <c r="J249" s="33"/>
    </row>
    <row r="250">
      <c r="A250" s="84" t="s">
        <v>337</v>
      </c>
      <c r="B250" s="11"/>
      <c r="C250" s="85" t="s">
        <v>11</v>
      </c>
      <c r="D250" s="85" t="str">
        <f t="shared" si="1"/>
        <v>-</v>
      </c>
      <c r="E250" s="7" t="s">
        <v>11</v>
      </c>
      <c r="F250" s="86"/>
      <c r="G250" s="7"/>
      <c r="H250" s="11"/>
      <c r="I250" s="7" t="s">
        <v>13</v>
      </c>
      <c r="J250" s="33"/>
    </row>
    <row r="251">
      <c r="A251" s="84" t="s">
        <v>337</v>
      </c>
      <c r="B251" s="11"/>
      <c r="C251" s="85" t="s">
        <v>11</v>
      </c>
      <c r="D251" s="85" t="str">
        <f t="shared" si="1"/>
        <v>-</v>
      </c>
      <c r="E251" s="7" t="s">
        <v>11</v>
      </c>
      <c r="F251" s="86"/>
      <c r="G251" s="7"/>
      <c r="H251" s="11"/>
      <c r="I251" s="7" t="s">
        <v>13</v>
      </c>
      <c r="J251" s="33"/>
    </row>
    <row r="252">
      <c r="A252" s="84" t="s">
        <v>337</v>
      </c>
      <c r="B252" s="11"/>
      <c r="C252" s="85" t="s">
        <v>11</v>
      </c>
      <c r="D252" s="85" t="str">
        <f t="shared" si="1"/>
        <v>-</v>
      </c>
      <c r="E252" s="7" t="s">
        <v>11</v>
      </c>
      <c r="F252" s="86"/>
      <c r="G252" s="7"/>
      <c r="H252" s="11"/>
      <c r="I252" s="7" t="s">
        <v>13</v>
      </c>
      <c r="J252" s="33"/>
    </row>
    <row r="253">
      <c r="A253" s="84" t="s">
        <v>337</v>
      </c>
      <c r="B253" s="11"/>
      <c r="C253" s="85" t="s">
        <v>11</v>
      </c>
      <c r="D253" s="85" t="str">
        <f t="shared" si="1"/>
        <v>-</v>
      </c>
      <c r="E253" s="7" t="s">
        <v>11</v>
      </c>
      <c r="F253" s="86"/>
      <c r="G253" s="7"/>
      <c r="H253" s="11"/>
      <c r="I253" s="7" t="s">
        <v>13</v>
      </c>
      <c r="J253" s="33"/>
    </row>
    <row r="254">
      <c r="A254" s="84" t="s">
        <v>337</v>
      </c>
      <c r="B254" s="11"/>
      <c r="C254" s="85" t="s">
        <v>11</v>
      </c>
      <c r="D254" s="85" t="str">
        <f t="shared" si="1"/>
        <v>-</v>
      </c>
      <c r="E254" s="7" t="s">
        <v>11</v>
      </c>
      <c r="F254" s="86"/>
      <c r="G254" s="7"/>
      <c r="H254" s="11"/>
      <c r="I254" s="7" t="s">
        <v>13</v>
      </c>
      <c r="J254" s="33"/>
    </row>
    <row r="255">
      <c r="A255" s="84" t="s">
        <v>337</v>
      </c>
      <c r="B255" s="11"/>
      <c r="C255" s="85" t="s">
        <v>11</v>
      </c>
      <c r="D255" s="85" t="str">
        <f t="shared" si="1"/>
        <v>-</v>
      </c>
      <c r="E255" s="7" t="s">
        <v>11</v>
      </c>
      <c r="F255" s="86"/>
      <c r="G255" s="7"/>
      <c r="H255" s="11"/>
      <c r="I255" s="7" t="s">
        <v>13</v>
      </c>
      <c r="J255" s="33"/>
    </row>
    <row r="256">
      <c r="A256" s="84" t="s">
        <v>337</v>
      </c>
      <c r="B256" s="11"/>
      <c r="C256" s="85" t="s">
        <v>11</v>
      </c>
      <c r="D256" s="85" t="str">
        <f t="shared" si="1"/>
        <v>-</v>
      </c>
      <c r="E256" s="7" t="s">
        <v>11</v>
      </c>
      <c r="F256" s="86"/>
      <c r="G256" s="7"/>
      <c r="H256" s="11"/>
      <c r="I256" s="7" t="s">
        <v>13</v>
      </c>
      <c r="J256" s="33"/>
    </row>
    <row r="257">
      <c r="A257" s="84" t="s">
        <v>337</v>
      </c>
      <c r="B257" s="11"/>
      <c r="C257" s="85" t="s">
        <v>11</v>
      </c>
      <c r="D257" s="85" t="str">
        <f t="shared" si="1"/>
        <v>-</v>
      </c>
      <c r="E257" s="7" t="s">
        <v>11</v>
      </c>
      <c r="F257" s="86"/>
      <c r="G257" s="7"/>
      <c r="H257" s="11"/>
      <c r="I257" s="7" t="s">
        <v>13</v>
      </c>
      <c r="J257" s="33"/>
    </row>
    <row r="258">
      <c r="A258" s="84" t="s">
        <v>337</v>
      </c>
      <c r="B258" s="11"/>
      <c r="C258" s="85" t="s">
        <v>11</v>
      </c>
      <c r="D258" s="85" t="str">
        <f t="shared" si="1"/>
        <v>-</v>
      </c>
      <c r="E258" s="7" t="s">
        <v>11</v>
      </c>
      <c r="F258" s="86"/>
      <c r="G258" s="7"/>
      <c r="H258" s="11"/>
      <c r="I258" s="7" t="s">
        <v>13</v>
      </c>
      <c r="J258" s="33"/>
    </row>
    <row r="259">
      <c r="A259" s="84" t="s">
        <v>337</v>
      </c>
      <c r="B259" s="11"/>
      <c r="C259" s="85" t="s">
        <v>11</v>
      </c>
      <c r="D259" s="85" t="str">
        <f t="shared" si="1"/>
        <v>-</v>
      </c>
      <c r="E259" s="7" t="s">
        <v>11</v>
      </c>
      <c r="F259" s="86"/>
      <c r="G259" s="7"/>
      <c r="H259" s="11"/>
      <c r="I259" s="7" t="s">
        <v>13</v>
      </c>
      <c r="J259" s="33"/>
    </row>
    <row r="260">
      <c r="A260" s="84" t="s">
        <v>337</v>
      </c>
      <c r="B260" s="11"/>
      <c r="C260" s="85" t="s">
        <v>11</v>
      </c>
      <c r="D260" s="85" t="str">
        <f t="shared" si="1"/>
        <v>-</v>
      </c>
      <c r="E260" s="7" t="s">
        <v>11</v>
      </c>
      <c r="F260" s="86"/>
      <c r="G260" s="7"/>
      <c r="H260" s="11"/>
      <c r="I260" s="7" t="s">
        <v>13</v>
      </c>
      <c r="J260" s="33"/>
    </row>
    <row r="261">
      <c r="A261" s="84" t="s">
        <v>337</v>
      </c>
      <c r="B261" s="11"/>
      <c r="C261" s="85" t="s">
        <v>11</v>
      </c>
      <c r="D261" s="85" t="str">
        <f t="shared" si="1"/>
        <v>-</v>
      </c>
      <c r="E261" s="7" t="s">
        <v>11</v>
      </c>
      <c r="F261" s="86"/>
      <c r="G261" s="7"/>
      <c r="H261" s="11"/>
      <c r="I261" s="7" t="s">
        <v>13</v>
      </c>
      <c r="J261" s="33"/>
    </row>
    <row r="262">
      <c r="A262" s="84" t="s">
        <v>337</v>
      </c>
      <c r="B262" s="11"/>
      <c r="C262" s="85" t="s">
        <v>11</v>
      </c>
      <c r="D262" s="85" t="str">
        <f t="shared" si="1"/>
        <v>-</v>
      </c>
      <c r="E262" s="7" t="s">
        <v>11</v>
      </c>
      <c r="F262" s="86"/>
      <c r="G262" s="7"/>
      <c r="H262" s="11"/>
      <c r="I262" s="7" t="s">
        <v>13</v>
      </c>
      <c r="J262" s="33"/>
    </row>
    <row r="263">
      <c r="A263" s="84" t="s">
        <v>337</v>
      </c>
      <c r="B263" s="11"/>
      <c r="C263" s="85" t="s">
        <v>11</v>
      </c>
      <c r="D263" s="85" t="str">
        <f t="shared" si="1"/>
        <v>-</v>
      </c>
      <c r="E263" s="7" t="s">
        <v>11</v>
      </c>
      <c r="F263" s="86"/>
      <c r="G263" s="7"/>
      <c r="H263" s="11"/>
      <c r="I263" s="7" t="s">
        <v>13</v>
      </c>
      <c r="J263" s="33"/>
    </row>
    <row r="264">
      <c r="A264" s="84" t="s">
        <v>337</v>
      </c>
      <c r="B264" s="11"/>
      <c r="C264" s="85" t="s">
        <v>11</v>
      </c>
      <c r="D264" s="85" t="str">
        <f t="shared" si="1"/>
        <v>-</v>
      </c>
      <c r="E264" s="7" t="s">
        <v>11</v>
      </c>
      <c r="F264" s="86"/>
      <c r="G264" s="7"/>
      <c r="H264" s="11"/>
      <c r="I264" s="7" t="s">
        <v>13</v>
      </c>
      <c r="J264" s="33"/>
    </row>
    <row r="265">
      <c r="A265" s="84" t="s">
        <v>337</v>
      </c>
      <c r="B265" s="11"/>
      <c r="C265" s="85" t="s">
        <v>11</v>
      </c>
      <c r="D265" s="85" t="str">
        <f t="shared" si="1"/>
        <v>-</v>
      </c>
      <c r="E265" s="7" t="s">
        <v>11</v>
      </c>
      <c r="F265" s="86"/>
      <c r="G265" s="7"/>
      <c r="H265" s="11"/>
      <c r="I265" s="7" t="s">
        <v>13</v>
      </c>
      <c r="J265" s="33"/>
    </row>
    <row r="266">
      <c r="A266" s="84" t="s">
        <v>337</v>
      </c>
      <c r="B266" s="11"/>
      <c r="C266" s="85" t="s">
        <v>11</v>
      </c>
      <c r="D266" s="85" t="str">
        <f t="shared" si="1"/>
        <v>-</v>
      </c>
      <c r="E266" s="7" t="s">
        <v>11</v>
      </c>
      <c r="F266" s="86"/>
      <c r="G266" s="7"/>
      <c r="H266" s="11"/>
      <c r="I266" s="7" t="s">
        <v>13</v>
      </c>
      <c r="J266" s="33"/>
    </row>
    <row r="267">
      <c r="A267" s="84" t="s">
        <v>337</v>
      </c>
      <c r="B267" s="11"/>
      <c r="C267" s="85" t="s">
        <v>11</v>
      </c>
      <c r="D267" s="85" t="str">
        <f t="shared" si="1"/>
        <v>-</v>
      </c>
      <c r="E267" s="7" t="s">
        <v>11</v>
      </c>
      <c r="F267" s="86"/>
      <c r="G267" s="7"/>
      <c r="H267" s="11"/>
      <c r="I267" s="7" t="s">
        <v>13</v>
      </c>
      <c r="J267" s="33"/>
    </row>
    <row r="268">
      <c r="A268" s="84" t="s">
        <v>337</v>
      </c>
      <c r="B268" s="11"/>
      <c r="C268" s="85" t="s">
        <v>11</v>
      </c>
      <c r="D268" s="85" t="str">
        <f t="shared" si="1"/>
        <v>-</v>
      </c>
      <c r="E268" s="7" t="s">
        <v>11</v>
      </c>
      <c r="F268" s="86"/>
      <c r="G268" s="7"/>
      <c r="H268" s="11"/>
      <c r="I268" s="7" t="s">
        <v>13</v>
      </c>
      <c r="J268" s="33"/>
    </row>
    <row r="269">
      <c r="A269" s="84" t="s">
        <v>337</v>
      </c>
      <c r="B269" s="11"/>
      <c r="C269" s="85" t="s">
        <v>11</v>
      </c>
      <c r="D269" s="85" t="str">
        <f t="shared" si="1"/>
        <v>-</v>
      </c>
      <c r="E269" s="7" t="s">
        <v>11</v>
      </c>
      <c r="F269" s="86"/>
      <c r="G269" s="7"/>
      <c r="H269" s="11"/>
      <c r="I269" s="7" t="s">
        <v>13</v>
      </c>
      <c r="J269" s="33"/>
    </row>
    <row r="270">
      <c r="A270" s="84" t="s">
        <v>337</v>
      </c>
      <c r="B270" s="11"/>
      <c r="C270" s="85" t="s">
        <v>11</v>
      </c>
      <c r="D270" s="85" t="str">
        <f t="shared" si="1"/>
        <v>-</v>
      </c>
      <c r="E270" s="7" t="s">
        <v>11</v>
      </c>
      <c r="F270" s="86"/>
      <c r="G270" s="7"/>
      <c r="H270" s="11"/>
      <c r="I270" s="7" t="s">
        <v>13</v>
      </c>
      <c r="J270" s="33"/>
    </row>
    <row r="271">
      <c r="A271" s="84" t="s">
        <v>337</v>
      </c>
      <c r="B271" s="11"/>
      <c r="C271" s="85" t="s">
        <v>11</v>
      </c>
      <c r="D271" s="85" t="str">
        <f t="shared" si="1"/>
        <v>-</v>
      </c>
      <c r="E271" s="7" t="s">
        <v>11</v>
      </c>
      <c r="F271" s="86"/>
      <c r="G271" s="7"/>
      <c r="H271" s="11"/>
      <c r="I271" s="7" t="s">
        <v>13</v>
      </c>
      <c r="J271" s="33"/>
    </row>
    <row r="272">
      <c r="A272" s="84" t="s">
        <v>337</v>
      </c>
      <c r="B272" s="11"/>
      <c r="C272" s="85" t="s">
        <v>11</v>
      </c>
      <c r="D272" s="85" t="str">
        <f t="shared" si="1"/>
        <v>-</v>
      </c>
      <c r="E272" s="7" t="s">
        <v>11</v>
      </c>
      <c r="F272" s="86"/>
      <c r="G272" s="7"/>
      <c r="H272" s="11"/>
      <c r="I272" s="7" t="s">
        <v>13</v>
      </c>
      <c r="J272" s="33"/>
    </row>
    <row r="273">
      <c r="A273" s="84" t="s">
        <v>337</v>
      </c>
      <c r="B273" s="11"/>
      <c r="C273" s="85" t="s">
        <v>11</v>
      </c>
      <c r="D273" s="85" t="str">
        <f t="shared" si="1"/>
        <v>-</v>
      </c>
      <c r="E273" s="7" t="s">
        <v>11</v>
      </c>
      <c r="F273" s="86"/>
      <c r="G273" s="7"/>
      <c r="H273" s="11"/>
      <c r="I273" s="7" t="s">
        <v>13</v>
      </c>
      <c r="J273" s="33"/>
    </row>
    <row r="274">
      <c r="A274" s="84" t="s">
        <v>337</v>
      </c>
      <c r="B274" s="11"/>
      <c r="C274" s="85" t="s">
        <v>11</v>
      </c>
      <c r="D274" s="85" t="str">
        <f t="shared" si="1"/>
        <v>-</v>
      </c>
      <c r="E274" s="7" t="s">
        <v>11</v>
      </c>
      <c r="F274" s="86"/>
      <c r="G274" s="7"/>
      <c r="H274" s="11"/>
      <c r="I274" s="7" t="s">
        <v>13</v>
      </c>
      <c r="J274" s="33"/>
    </row>
    <row r="275">
      <c r="A275" s="84" t="s">
        <v>337</v>
      </c>
      <c r="B275" s="11"/>
      <c r="C275" s="85" t="s">
        <v>11</v>
      </c>
      <c r="D275" s="85" t="str">
        <f t="shared" si="1"/>
        <v>-</v>
      </c>
      <c r="E275" s="7" t="s">
        <v>11</v>
      </c>
      <c r="F275" s="86"/>
      <c r="G275" s="7"/>
      <c r="H275" s="11"/>
      <c r="I275" s="7" t="s">
        <v>13</v>
      </c>
      <c r="J275" s="33"/>
    </row>
    <row r="276">
      <c r="A276" s="84" t="s">
        <v>337</v>
      </c>
      <c r="B276" s="11"/>
      <c r="C276" s="85" t="s">
        <v>11</v>
      </c>
      <c r="D276" s="85" t="str">
        <f t="shared" si="1"/>
        <v>-</v>
      </c>
      <c r="E276" s="7" t="s">
        <v>11</v>
      </c>
      <c r="F276" s="86"/>
      <c r="G276" s="7"/>
      <c r="H276" s="11"/>
      <c r="I276" s="7" t="s">
        <v>13</v>
      </c>
      <c r="J276" s="33"/>
    </row>
    <row r="277">
      <c r="A277" s="84" t="s">
        <v>337</v>
      </c>
      <c r="B277" s="11"/>
      <c r="C277" s="85" t="s">
        <v>11</v>
      </c>
      <c r="D277" s="85" t="str">
        <f t="shared" si="1"/>
        <v>-</v>
      </c>
      <c r="E277" s="7" t="s">
        <v>11</v>
      </c>
      <c r="F277" s="86"/>
      <c r="G277" s="7"/>
      <c r="H277" s="11"/>
      <c r="I277" s="7" t="s">
        <v>13</v>
      </c>
      <c r="J277" s="33"/>
    </row>
    <row r="278">
      <c r="A278" s="84" t="s">
        <v>337</v>
      </c>
      <c r="B278" s="11"/>
      <c r="C278" s="85" t="s">
        <v>11</v>
      </c>
      <c r="D278" s="85" t="str">
        <f t="shared" si="1"/>
        <v>-</v>
      </c>
      <c r="E278" s="7" t="s">
        <v>11</v>
      </c>
      <c r="F278" s="86"/>
      <c r="G278" s="7"/>
      <c r="H278" s="11"/>
      <c r="I278" s="7" t="s">
        <v>13</v>
      </c>
      <c r="J278" s="33"/>
    </row>
    <row r="279">
      <c r="A279" s="84" t="s">
        <v>337</v>
      </c>
      <c r="B279" s="11"/>
      <c r="C279" s="85" t="s">
        <v>11</v>
      </c>
      <c r="D279" s="85" t="str">
        <f t="shared" si="1"/>
        <v>-</v>
      </c>
      <c r="E279" s="7" t="s">
        <v>11</v>
      </c>
      <c r="F279" s="86"/>
      <c r="G279" s="7"/>
      <c r="H279" s="11"/>
      <c r="I279" s="7" t="s">
        <v>13</v>
      </c>
      <c r="J279" s="33"/>
    </row>
    <row r="280">
      <c r="A280" s="84" t="s">
        <v>337</v>
      </c>
      <c r="B280" s="11"/>
      <c r="C280" s="85" t="s">
        <v>11</v>
      </c>
      <c r="D280" s="85" t="str">
        <f t="shared" si="1"/>
        <v>-</v>
      </c>
      <c r="E280" s="7" t="s">
        <v>11</v>
      </c>
      <c r="F280" s="86"/>
      <c r="G280" s="7"/>
      <c r="H280" s="11"/>
      <c r="I280" s="7" t="s">
        <v>13</v>
      </c>
      <c r="J280" s="33"/>
    </row>
    <row r="281">
      <c r="A281" s="84" t="s">
        <v>337</v>
      </c>
      <c r="B281" s="11"/>
      <c r="C281" s="85" t="s">
        <v>11</v>
      </c>
      <c r="D281" s="85" t="str">
        <f t="shared" si="1"/>
        <v>-</v>
      </c>
      <c r="E281" s="7" t="s">
        <v>11</v>
      </c>
      <c r="F281" s="86"/>
      <c r="G281" s="7"/>
      <c r="H281" s="11"/>
      <c r="I281" s="7" t="s">
        <v>13</v>
      </c>
      <c r="J281" s="33"/>
    </row>
    <row r="282">
      <c r="A282" s="84" t="s">
        <v>337</v>
      </c>
      <c r="B282" s="11"/>
      <c r="C282" s="85" t="s">
        <v>11</v>
      </c>
      <c r="D282" s="85" t="str">
        <f t="shared" si="1"/>
        <v>-</v>
      </c>
      <c r="E282" s="7" t="s">
        <v>11</v>
      </c>
      <c r="F282" s="86"/>
      <c r="G282" s="7"/>
      <c r="H282" s="11"/>
      <c r="I282" s="7" t="s">
        <v>13</v>
      </c>
      <c r="J282" s="33"/>
    </row>
    <row r="283">
      <c r="A283" s="84" t="s">
        <v>337</v>
      </c>
      <c r="B283" s="11"/>
      <c r="C283" s="85" t="s">
        <v>11</v>
      </c>
      <c r="D283" s="85" t="str">
        <f t="shared" si="1"/>
        <v>-</v>
      </c>
      <c r="E283" s="7" t="s">
        <v>11</v>
      </c>
      <c r="F283" s="86"/>
      <c r="G283" s="7"/>
      <c r="H283" s="11"/>
      <c r="I283" s="7" t="s">
        <v>13</v>
      </c>
      <c r="J283" s="33"/>
    </row>
    <row r="284">
      <c r="A284" s="84" t="s">
        <v>337</v>
      </c>
      <c r="B284" s="11"/>
      <c r="C284" s="85" t="s">
        <v>11</v>
      </c>
      <c r="D284" s="85" t="str">
        <f t="shared" si="1"/>
        <v>-</v>
      </c>
      <c r="E284" s="7" t="s">
        <v>11</v>
      </c>
      <c r="F284" s="86"/>
      <c r="G284" s="7"/>
      <c r="H284" s="11"/>
      <c r="I284" s="7" t="s">
        <v>13</v>
      </c>
      <c r="J284" s="33"/>
    </row>
    <row r="285">
      <c r="A285" s="84" t="s">
        <v>337</v>
      </c>
      <c r="B285" s="11"/>
      <c r="C285" s="85" t="s">
        <v>11</v>
      </c>
      <c r="D285" s="85" t="str">
        <f t="shared" si="1"/>
        <v>-</v>
      </c>
      <c r="E285" s="7" t="s">
        <v>11</v>
      </c>
      <c r="F285" s="86"/>
      <c r="G285" s="7"/>
      <c r="H285" s="11"/>
      <c r="I285" s="7" t="s">
        <v>13</v>
      </c>
      <c r="J285" s="33"/>
    </row>
    <row r="286">
      <c r="A286" s="84" t="s">
        <v>337</v>
      </c>
      <c r="B286" s="11"/>
      <c r="C286" s="85" t="s">
        <v>11</v>
      </c>
      <c r="D286" s="85" t="str">
        <f t="shared" si="1"/>
        <v>-</v>
      </c>
      <c r="E286" s="7" t="s">
        <v>11</v>
      </c>
      <c r="F286" s="86"/>
      <c r="G286" s="7"/>
      <c r="H286" s="11"/>
      <c r="I286" s="7" t="s">
        <v>13</v>
      </c>
      <c r="J286" s="33"/>
    </row>
    <row r="287">
      <c r="A287" s="84" t="s">
        <v>337</v>
      </c>
      <c r="B287" s="11"/>
      <c r="C287" s="85" t="s">
        <v>11</v>
      </c>
      <c r="D287" s="85" t="str">
        <f t="shared" si="1"/>
        <v>-</v>
      </c>
      <c r="E287" s="7" t="s">
        <v>11</v>
      </c>
      <c r="F287" s="86"/>
      <c r="G287" s="7"/>
      <c r="H287" s="11"/>
      <c r="I287" s="7" t="s">
        <v>13</v>
      </c>
      <c r="J287" s="33"/>
    </row>
    <row r="288">
      <c r="A288" s="84" t="s">
        <v>337</v>
      </c>
      <c r="B288" s="11"/>
      <c r="C288" s="85" t="s">
        <v>11</v>
      </c>
      <c r="D288" s="85" t="str">
        <f t="shared" si="1"/>
        <v>-</v>
      </c>
      <c r="E288" s="7" t="s">
        <v>11</v>
      </c>
      <c r="F288" s="86"/>
      <c r="G288" s="7"/>
      <c r="H288" s="11"/>
      <c r="I288" s="7" t="s">
        <v>13</v>
      </c>
      <c r="J288" s="33"/>
    </row>
    <row r="289">
      <c r="A289" s="84" t="s">
        <v>337</v>
      </c>
      <c r="B289" s="11"/>
      <c r="C289" s="85" t="s">
        <v>11</v>
      </c>
      <c r="D289" s="85" t="str">
        <f t="shared" si="1"/>
        <v>-</v>
      </c>
      <c r="E289" s="7" t="s">
        <v>11</v>
      </c>
      <c r="F289" s="86"/>
      <c r="G289" s="7"/>
      <c r="H289" s="11"/>
      <c r="I289" s="7" t="s">
        <v>13</v>
      </c>
      <c r="J289" s="33"/>
    </row>
    <row r="290">
      <c r="A290" s="84" t="s">
        <v>337</v>
      </c>
      <c r="B290" s="11"/>
      <c r="C290" s="85" t="s">
        <v>11</v>
      </c>
      <c r="D290" s="85" t="str">
        <f t="shared" si="1"/>
        <v>-</v>
      </c>
      <c r="E290" s="7" t="s">
        <v>11</v>
      </c>
      <c r="F290" s="86"/>
      <c r="G290" s="7"/>
      <c r="H290" s="11"/>
      <c r="I290" s="7" t="s">
        <v>13</v>
      </c>
      <c r="J290" s="33"/>
    </row>
    <row r="291">
      <c r="A291" s="84" t="s">
        <v>337</v>
      </c>
      <c r="B291" s="11"/>
      <c r="C291" s="85" t="s">
        <v>11</v>
      </c>
      <c r="D291" s="85" t="str">
        <f t="shared" si="1"/>
        <v>-</v>
      </c>
      <c r="E291" s="7" t="s">
        <v>11</v>
      </c>
      <c r="F291" s="86"/>
      <c r="G291" s="7"/>
      <c r="H291" s="11"/>
      <c r="I291" s="7" t="s">
        <v>13</v>
      </c>
      <c r="J291" s="33"/>
    </row>
    <row r="292">
      <c r="A292" s="84" t="s">
        <v>337</v>
      </c>
      <c r="B292" s="11"/>
      <c r="C292" s="85" t="s">
        <v>11</v>
      </c>
      <c r="D292" s="85" t="str">
        <f t="shared" si="1"/>
        <v>-</v>
      </c>
      <c r="E292" s="7" t="s">
        <v>11</v>
      </c>
      <c r="F292" s="86"/>
      <c r="G292" s="7"/>
      <c r="H292" s="11"/>
      <c r="I292" s="7" t="s">
        <v>13</v>
      </c>
      <c r="J292" s="33"/>
    </row>
    <row r="293">
      <c r="A293" s="84" t="s">
        <v>337</v>
      </c>
      <c r="B293" s="11"/>
      <c r="C293" s="85" t="s">
        <v>11</v>
      </c>
      <c r="D293" s="85" t="str">
        <f t="shared" si="1"/>
        <v>-</v>
      </c>
      <c r="E293" s="7" t="s">
        <v>11</v>
      </c>
      <c r="F293" s="86"/>
      <c r="G293" s="7"/>
      <c r="H293" s="11"/>
      <c r="I293" s="7" t="s">
        <v>13</v>
      </c>
      <c r="J293" s="33"/>
    </row>
    <row r="294">
      <c r="A294" s="84" t="s">
        <v>337</v>
      </c>
      <c r="B294" s="11"/>
      <c r="C294" s="85" t="s">
        <v>11</v>
      </c>
      <c r="D294" s="85" t="str">
        <f t="shared" si="1"/>
        <v>-</v>
      </c>
      <c r="E294" s="7" t="s">
        <v>11</v>
      </c>
      <c r="F294" s="86"/>
      <c r="G294" s="7"/>
      <c r="H294" s="11"/>
      <c r="I294" s="7" t="s">
        <v>13</v>
      </c>
      <c r="J294" s="33"/>
    </row>
    <row r="295">
      <c r="A295" s="84" t="s">
        <v>337</v>
      </c>
      <c r="B295" s="11"/>
      <c r="C295" s="85" t="s">
        <v>11</v>
      </c>
      <c r="D295" s="85" t="str">
        <f t="shared" si="1"/>
        <v>-</v>
      </c>
      <c r="E295" s="7" t="s">
        <v>11</v>
      </c>
      <c r="F295" s="86"/>
      <c r="G295" s="7"/>
      <c r="H295" s="11"/>
      <c r="I295" s="7" t="s">
        <v>13</v>
      </c>
      <c r="J295" s="33"/>
    </row>
    <row r="296">
      <c r="A296" s="84" t="s">
        <v>337</v>
      </c>
      <c r="B296" s="11"/>
      <c r="C296" s="85" t="s">
        <v>11</v>
      </c>
      <c r="D296" s="85" t="str">
        <f t="shared" si="1"/>
        <v>-</v>
      </c>
      <c r="E296" s="7" t="s">
        <v>11</v>
      </c>
      <c r="F296" s="86"/>
      <c r="G296" s="7"/>
      <c r="H296" s="11"/>
      <c r="I296" s="7" t="s">
        <v>13</v>
      </c>
      <c r="J296" s="33"/>
    </row>
    <row r="297">
      <c r="A297" s="84" t="s">
        <v>337</v>
      </c>
      <c r="B297" s="11"/>
      <c r="C297" s="85" t="s">
        <v>11</v>
      </c>
      <c r="D297" s="85" t="str">
        <f t="shared" si="1"/>
        <v>-</v>
      </c>
      <c r="E297" s="7" t="s">
        <v>11</v>
      </c>
      <c r="F297" s="86"/>
      <c r="G297" s="7"/>
      <c r="H297" s="11"/>
      <c r="I297" s="7" t="s">
        <v>13</v>
      </c>
      <c r="J297" s="33"/>
    </row>
    <row r="298">
      <c r="A298" s="84" t="s">
        <v>337</v>
      </c>
      <c r="B298" s="11"/>
      <c r="C298" s="85" t="s">
        <v>11</v>
      </c>
      <c r="D298" s="85" t="str">
        <f t="shared" si="1"/>
        <v>-</v>
      </c>
      <c r="E298" s="7" t="s">
        <v>11</v>
      </c>
      <c r="F298" s="86"/>
      <c r="G298" s="7"/>
      <c r="H298" s="11"/>
      <c r="I298" s="7" t="s">
        <v>13</v>
      </c>
      <c r="J298" s="33"/>
    </row>
    <row r="299">
      <c r="A299" s="84" t="s">
        <v>337</v>
      </c>
      <c r="B299" s="11"/>
      <c r="C299" s="85" t="s">
        <v>11</v>
      </c>
      <c r="D299" s="85" t="str">
        <f t="shared" si="1"/>
        <v>-</v>
      </c>
      <c r="E299" s="7" t="s">
        <v>11</v>
      </c>
      <c r="F299" s="86"/>
      <c r="G299" s="7"/>
      <c r="H299" s="11"/>
      <c r="I299" s="7" t="s">
        <v>13</v>
      </c>
      <c r="J299" s="33"/>
    </row>
    <row r="300">
      <c r="A300" s="84" t="s">
        <v>337</v>
      </c>
      <c r="B300" s="11"/>
      <c r="C300" s="85" t="s">
        <v>11</v>
      </c>
      <c r="D300" s="85" t="str">
        <f t="shared" si="1"/>
        <v>-</v>
      </c>
      <c r="E300" s="7" t="s">
        <v>11</v>
      </c>
      <c r="F300" s="86"/>
      <c r="G300" s="7"/>
      <c r="H300" s="11"/>
      <c r="I300" s="7" t="s">
        <v>13</v>
      </c>
      <c r="J300" s="33"/>
    </row>
    <row r="301">
      <c r="A301" s="84" t="s">
        <v>337</v>
      </c>
      <c r="B301" s="11"/>
      <c r="C301" s="85" t="s">
        <v>11</v>
      </c>
      <c r="D301" s="85" t="str">
        <f t="shared" si="1"/>
        <v>-</v>
      </c>
      <c r="E301" s="7" t="s">
        <v>11</v>
      </c>
      <c r="F301" s="86"/>
      <c r="G301" s="7"/>
      <c r="H301" s="11"/>
      <c r="I301" s="7" t="s">
        <v>13</v>
      </c>
      <c r="J301" s="33"/>
    </row>
    <row r="302">
      <c r="A302" s="84" t="s">
        <v>337</v>
      </c>
      <c r="B302" s="11"/>
      <c r="C302" s="85" t="s">
        <v>11</v>
      </c>
      <c r="D302" s="85" t="str">
        <f t="shared" si="1"/>
        <v>-</v>
      </c>
      <c r="E302" s="7" t="s">
        <v>11</v>
      </c>
      <c r="F302" s="86"/>
      <c r="G302" s="7"/>
      <c r="H302" s="11"/>
      <c r="I302" s="7" t="s">
        <v>13</v>
      </c>
      <c r="J302" s="33"/>
    </row>
    <row r="303">
      <c r="A303" s="84" t="s">
        <v>337</v>
      </c>
      <c r="B303" s="11"/>
      <c r="C303" s="85" t="s">
        <v>11</v>
      </c>
      <c r="D303" s="85" t="str">
        <f t="shared" si="1"/>
        <v>-</v>
      </c>
      <c r="E303" s="7" t="s">
        <v>11</v>
      </c>
      <c r="F303" s="86"/>
      <c r="G303" s="7"/>
      <c r="H303" s="11"/>
      <c r="I303" s="7" t="s">
        <v>13</v>
      </c>
      <c r="J303" s="33"/>
    </row>
    <row r="304">
      <c r="A304" s="84" t="s">
        <v>337</v>
      </c>
      <c r="B304" s="11"/>
      <c r="C304" s="85" t="s">
        <v>11</v>
      </c>
      <c r="D304" s="85" t="str">
        <f t="shared" si="1"/>
        <v>-</v>
      </c>
      <c r="E304" s="7" t="s">
        <v>11</v>
      </c>
      <c r="F304" s="86"/>
      <c r="G304" s="7"/>
      <c r="H304" s="11"/>
      <c r="I304" s="7" t="s">
        <v>13</v>
      </c>
      <c r="J304" s="33"/>
    </row>
    <row r="305">
      <c r="A305" s="84" t="s">
        <v>337</v>
      </c>
      <c r="B305" s="11"/>
      <c r="C305" s="85" t="s">
        <v>11</v>
      </c>
      <c r="D305" s="85" t="str">
        <f t="shared" si="1"/>
        <v>-</v>
      </c>
      <c r="E305" s="7" t="s">
        <v>11</v>
      </c>
      <c r="F305" s="86"/>
      <c r="G305" s="7"/>
      <c r="H305" s="11"/>
      <c r="I305" s="7" t="s">
        <v>13</v>
      </c>
      <c r="J305" s="33"/>
    </row>
    <row r="306">
      <c r="A306" s="84" t="s">
        <v>337</v>
      </c>
      <c r="B306" s="11"/>
      <c r="C306" s="85" t="s">
        <v>11</v>
      </c>
      <c r="D306" s="85" t="str">
        <f t="shared" si="1"/>
        <v>-</v>
      </c>
      <c r="E306" s="7" t="s">
        <v>11</v>
      </c>
      <c r="F306" s="86"/>
      <c r="G306" s="7"/>
      <c r="H306" s="11"/>
      <c r="I306" s="7" t="s">
        <v>13</v>
      </c>
      <c r="J306" s="33"/>
    </row>
    <row r="307">
      <c r="A307" s="84" t="s">
        <v>337</v>
      </c>
      <c r="B307" s="11"/>
      <c r="C307" s="85" t="s">
        <v>11</v>
      </c>
      <c r="D307" s="85" t="str">
        <f t="shared" si="1"/>
        <v>-</v>
      </c>
      <c r="E307" s="7" t="s">
        <v>11</v>
      </c>
      <c r="F307" s="86"/>
      <c r="G307" s="7"/>
      <c r="H307" s="11"/>
      <c r="I307" s="7" t="s">
        <v>13</v>
      </c>
      <c r="J307" s="33"/>
    </row>
    <row r="308">
      <c r="A308" s="84" t="s">
        <v>337</v>
      </c>
      <c r="B308" s="11"/>
      <c r="C308" s="85" t="s">
        <v>11</v>
      </c>
      <c r="D308" s="85" t="str">
        <f t="shared" si="1"/>
        <v>-</v>
      </c>
      <c r="E308" s="7" t="s">
        <v>11</v>
      </c>
      <c r="F308" s="86"/>
      <c r="G308" s="7"/>
      <c r="H308" s="11"/>
      <c r="I308" s="7" t="s">
        <v>13</v>
      </c>
      <c r="J308" s="33"/>
    </row>
    <row r="309">
      <c r="A309" s="84" t="s">
        <v>337</v>
      </c>
      <c r="B309" s="11"/>
      <c r="C309" s="85" t="s">
        <v>11</v>
      </c>
      <c r="D309" s="85" t="str">
        <f t="shared" si="1"/>
        <v>-</v>
      </c>
      <c r="E309" s="7" t="s">
        <v>11</v>
      </c>
      <c r="F309" s="86"/>
      <c r="G309" s="7"/>
      <c r="H309" s="11"/>
      <c r="I309" s="7" t="s">
        <v>13</v>
      </c>
      <c r="J309" s="33"/>
    </row>
    <row r="310">
      <c r="A310" s="84" t="s">
        <v>337</v>
      </c>
      <c r="B310" s="11"/>
      <c r="C310" s="85" t="s">
        <v>11</v>
      </c>
      <c r="D310" s="85" t="str">
        <f t="shared" si="1"/>
        <v>-</v>
      </c>
      <c r="E310" s="7" t="s">
        <v>11</v>
      </c>
      <c r="F310" s="86"/>
      <c r="G310" s="7"/>
      <c r="H310" s="11"/>
      <c r="I310" s="7" t="s">
        <v>13</v>
      </c>
      <c r="J310" s="33"/>
    </row>
    <row r="311">
      <c r="A311" s="84" t="s">
        <v>337</v>
      </c>
      <c r="B311" s="11"/>
      <c r="C311" s="85" t="s">
        <v>11</v>
      </c>
      <c r="D311" s="85" t="str">
        <f t="shared" si="1"/>
        <v>-</v>
      </c>
      <c r="E311" s="7" t="s">
        <v>11</v>
      </c>
      <c r="F311" s="86"/>
      <c r="G311" s="7"/>
      <c r="H311" s="11"/>
      <c r="I311" s="7" t="s">
        <v>13</v>
      </c>
      <c r="J311" s="33"/>
    </row>
    <row r="312">
      <c r="A312" s="84" t="s">
        <v>337</v>
      </c>
      <c r="B312" s="11"/>
      <c r="C312" s="85" t="s">
        <v>11</v>
      </c>
      <c r="D312" s="85" t="str">
        <f t="shared" si="1"/>
        <v>-</v>
      </c>
      <c r="E312" s="7" t="s">
        <v>11</v>
      </c>
      <c r="F312" s="86"/>
      <c r="G312" s="7"/>
      <c r="H312" s="11"/>
      <c r="I312" s="7" t="s">
        <v>13</v>
      </c>
      <c r="J312" s="33"/>
    </row>
    <row r="313">
      <c r="A313" s="84" t="s">
        <v>337</v>
      </c>
      <c r="B313" s="11"/>
      <c r="C313" s="85" t="s">
        <v>11</v>
      </c>
      <c r="D313" s="85" t="str">
        <f t="shared" si="1"/>
        <v>-</v>
      </c>
      <c r="E313" s="7" t="s">
        <v>11</v>
      </c>
      <c r="F313" s="86"/>
      <c r="G313" s="7"/>
      <c r="H313" s="11"/>
      <c r="I313" s="7" t="s">
        <v>13</v>
      </c>
      <c r="J313" s="33"/>
    </row>
    <row r="314">
      <c r="A314" s="84" t="s">
        <v>337</v>
      </c>
      <c r="B314" s="11"/>
      <c r="C314" s="85" t="s">
        <v>11</v>
      </c>
      <c r="D314" s="85" t="str">
        <f t="shared" si="1"/>
        <v>-</v>
      </c>
      <c r="E314" s="7" t="s">
        <v>11</v>
      </c>
      <c r="F314" s="86"/>
      <c r="G314" s="7"/>
      <c r="H314" s="11"/>
      <c r="I314" s="7" t="s">
        <v>13</v>
      </c>
      <c r="J314" s="33"/>
    </row>
    <row r="315">
      <c r="A315" s="84" t="s">
        <v>337</v>
      </c>
      <c r="B315" s="11"/>
      <c r="C315" s="85" t="s">
        <v>11</v>
      </c>
      <c r="D315" s="85" t="str">
        <f t="shared" si="1"/>
        <v>-</v>
      </c>
      <c r="E315" s="7" t="s">
        <v>11</v>
      </c>
      <c r="F315" s="86"/>
      <c r="G315" s="7"/>
      <c r="H315" s="11"/>
      <c r="I315" s="7" t="s">
        <v>13</v>
      </c>
      <c r="J315" s="33"/>
    </row>
    <row r="316">
      <c r="A316" s="84" t="s">
        <v>337</v>
      </c>
      <c r="B316" s="11"/>
      <c r="C316" s="85" t="s">
        <v>11</v>
      </c>
      <c r="D316" s="85" t="str">
        <f t="shared" si="1"/>
        <v>-</v>
      </c>
      <c r="E316" s="7" t="s">
        <v>11</v>
      </c>
      <c r="F316" s="86"/>
      <c r="G316" s="7"/>
      <c r="H316" s="11"/>
      <c r="I316" s="7" t="s">
        <v>13</v>
      </c>
      <c r="J316" s="33"/>
    </row>
    <row r="317">
      <c r="A317" s="84" t="s">
        <v>337</v>
      </c>
      <c r="B317" s="11"/>
      <c r="C317" s="85" t="s">
        <v>11</v>
      </c>
      <c r="D317" s="85" t="str">
        <f t="shared" si="1"/>
        <v>-</v>
      </c>
      <c r="E317" s="7" t="s">
        <v>11</v>
      </c>
      <c r="F317" s="86"/>
      <c r="G317" s="7"/>
      <c r="H317" s="11"/>
      <c r="I317" s="7" t="s">
        <v>13</v>
      </c>
      <c r="J317" s="33"/>
    </row>
    <row r="318">
      <c r="A318" s="84" t="s">
        <v>337</v>
      </c>
      <c r="B318" s="11"/>
      <c r="C318" s="85" t="s">
        <v>11</v>
      </c>
      <c r="D318" s="85" t="str">
        <f t="shared" si="1"/>
        <v>-</v>
      </c>
      <c r="E318" s="7" t="s">
        <v>11</v>
      </c>
      <c r="F318" s="86"/>
      <c r="G318" s="7"/>
      <c r="H318" s="11"/>
      <c r="I318" s="7" t="s">
        <v>13</v>
      </c>
      <c r="J318" s="33"/>
    </row>
    <row r="319">
      <c r="A319" s="84" t="s">
        <v>337</v>
      </c>
      <c r="B319" s="11"/>
      <c r="C319" s="85" t="s">
        <v>11</v>
      </c>
      <c r="D319" s="85" t="str">
        <f t="shared" si="1"/>
        <v>-</v>
      </c>
      <c r="E319" s="7" t="s">
        <v>11</v>
      </c>
      <c r="F319" s="86"/>
      <c r="G319" s="7"/>
      <c r="H319" s="11"/>
      <c r="I319" s="7" t="s">
        <v>13</v>
      </c>
      <c r="J319" s="33"/>
    </row>
    <row r="320">
      <c r="A320" s="84" t="s">
        <v>337</v>
      </c>
      <c r="B320" s="11"/>
      <c r="C320" s="85" t="s">
        <v>11</v>
      </c>
      <c r="D320" s="85" t="str">
        <f t="shared" si="1"/>
        <v>-</v>
      </c>
      <c r="E320" s="7" t="s">
        <v>11</v>
      </c>
      <c r="F320" s="86"/>
      <c r="G320" s="7"/>
      <c r="H320" s="11"/>
      <c r="I320" s="7" t="s">
        <v>13</v>
      </c>
      <c r="J320" s="33"/>
    </row>
    <row r="321">
      <c r="A321" s="84" t="s">
        <v>337</v>
      </c>
      <c r="B321" s="11"/>
      <c r="C321" s="85" t="s">
        <v>11</v>
      </c>
      <c r="D321" s="85" t="str">
        <f t="shared" si="1"/>
        <v>-</v>
      </c>
      <c r="E321" s="7" t="s">
        <v>11</v>
      </c>
      <c r="F321" s="86"/>
      <c r="G321" s="7"/>
      <c r="H321" s="11"/>
      <c r="I321" s="7" t="s">
        <v>13</v>
      </c>
      <c r="J321" s="33"/>
    </row>
    <row r="322">
      <c r="A322" s="84" t="s">
        <v>337</v>
      </c>
      <c r="B322" s="11"/>
      <c r="C322" s="85" t="s">
        <v>11</v>
      </c>
      <c r="D322" s="85" t="str">
        <f t="shared" si="1"/>
        <v>-</v>
      </c>
      <c r="E322" s="7" t="s">
        <v>11</v>
      </c>
      <c r="F322" s="86"/>
      <c r="G322" s="7"/>
      <c r="H322" s="11"/>
      <c r="I322" s="7" t="s">
        <v>13</v>
      </c>
      <c r="J322" s="33"/>
    </row>
    <row r="323">
      <c r="A323" s="84" t="s">
        <v>337</v>
      </c>
      <c r="B323" s="11"/>
      <c r="C323" s="85" t="s">
        <v>11</v>
      </c>
      <c r="D323" s="85" t="str">
        <f t="shared" si="1"/>
        <v>-</v>
      </c>
      <c r="E323" s="7" t="s">
        <v>11</v>
      </c>
      <c r="F323" s="86"/>
      <c r="G323" s="7"/>
      <c r="H323" s="11"/>
      <c r="I323" s="7" t="s">
        <v>13</v>
      </c>
      <c r="J323" s="33"/>
    </row>
    <row r="324">
      <c r="A324" s="84" t="s">
        <v>337</v>
      </c>
      <c r="B324" s="11"/>
      <c r="C324" s="85" t="s">
        <v>11</v>
      </c>
      <c r="D324" s="85" t="str">
        <f t="shared" si="1"/>
        <v>-</v>
      </c>
      <c r="E324" s="7" t="s">
        <v>11</v>
      </c>
      <c r="F324" s="86"/>
      <c r="G324" s="7"/>
      <c r="H324" s="11"/>
      <c r="I324" s="7" t="s">
        <v>13</v>
      </c>
      <c r="J324" s="33"/>
    </row>
    <row r="325">
      <c r="A325" s="84" t="s">
        <v>337</v>
      </c>
      <c r="B325" s="11"/>
      <c r="C325" s="85" t="s">
        <v>11</v>
      </c>
      <c r="D325" s="85" t="str">
        <f t="shared" si="1"/>
        <v>-</v>
      </c>
      <c r="E325" s="7" t="s">
        <v>11</v>
      </c>
      <c r="F325" s="86"/>
      <c r="G325" s="7"/>
      <c r="H325" s="11"/>
      <c r="I325" s="7" t="s">
        <v>13</v>
      </c>
      <c r="J325" s="33"/>
    </row>
    <row r="326">
      <c r="A326" s="84" t="s">
        <v>337</v>
      </c>
      <c r="B326" s="11"/>
      <c r="C326" s="85" t="s">
        <v>11</v>
      </c>
      <c r="D326" s="85" t="str">
        <f t="shared" si="1"/>
        <v>-</v>
      </c>
      <c r="E326" s="7" t="s">
        <v>11</v>
      </c>
      <c r="F326" s="86"/>
      <c r="G326" s="7"/>
      <c r="H326" s="11"/>
      <c r="I326" s="7" t="s">
        <v>13</v>
      </c>
      <c r="J326" s="33"/>
    </row>
    <row r="327">
      <c r="A327" s="84" t="s">
        <v>337</v>
      </c>
      <c r="B327" s="11"/>
      <c r="C327" s="85" t="s">
        <v>11</v>
      </c>
      <c r="D327" s="85" t="str">
        <f t="shared" si="1"/>
        <v>-</v>
      </c>
      <c r="E327" s="7" t="s">
        <v>11</v>
      </c>
      <c r="F327" s="86"/>
      <c r="G327" s="7"/>
      <c r="H327" s="11"/>
      <c r="I327" s="7" t="s">
        <v>13</v>
      </c>
      <c r="J327" s="33"/>
    </row>
    <row r="328">
      <c r="A328" s="84" t="s">
        <v>337</v>
      </c>
      <c r="B328" s="11"/>
      <c r="C328" s="85" t="s">
        <v>11</v>
      </c>
      <c r="D328" s="85" t="str">
        <f t="shared" si="1"/>
        <v>-</v>
      </c>
      <c r="E328" s="7" t="s">
        <v>11</v>
      </c>
      <c r="F328" s="86"/>
      <c r="G328" s="7"/>
      <c r="H328" s="11"/>
      <c r="I328" s="7" t="s">
        <v>13</v>
      </c>
      <c r="J328" s="33"/>
    </row>
    <row r="329">
      <c r="A329" s="84" t="s">
        <v>337</v>
      </c>
      <c r="B329" s="11"/>
      <c r="C329" s="85" t="s">
        <v>11</v>
      </c>
      <c r="D329" s="85" t="str">
        <f t="shared" si="1"/>
        <v>-</v>
      </c>
      <c r="E329" s="7" t="s">
        <v>11</v>
      </c>
      <c r="F329" s="86"/>
      <c r="G329" s="7"/>
      <c r="H329" s="11"/>
      <c r="I329" s="7" t="s">
        <v>13</v>
      </c>
      <c r="J329" s="33"/>
    </row>
    <row r="330">
      <c r="A330" s="84" t="s">
        <v>337</v>
      </c>
      <c r="B330" s="11"/>
      <c r="C330" s="85" t="s">
        <v>11</v>
      </c>
      <c r="D330" s="85" t="str">
        <f t="shared" si="1"/>
        <v>-</v>
      </c>
      <c r="E330" s="7" t="s">
        <v>11</v>
      </c>
      <c r="F330" s="86"/>
      <c r="G330" s="7"/>
      <c r="H330" s="11"/>
      <c r="I330" s="7" t="s">
        <v>13</v>
      </c>
      <c r="J330" s="33"/>
    </row>
    <row r="331">
      <c r="A331" s="84" t="s">
        <v>337</v>
      </c>
      <c r="B331" s="11"/>
      <c r="C331" s="85" t="s">
        <v>11</v>
      </c>
      <c r="D331" s="85" t="str">
        <f t="shared" si="1"/>
        <v>-</v>
      </c>
      <c r="E331" s="7" t="s">
        <v>11</v>
      </c>
      <c r="F331" s="86"/>
      <c r="G331" s="7"/>
      <c r="H331" s="11"/>
      <c r="I331" s="7" t="s">
        <v>13</v>
      </c>
      <c r="J331" s="33"/>
    </row>
    <row r="332">
      <c r="A332" s="84" t="s">
        <v>337</v>
      </c>
      <c r="B332" s="11"/>
      <c r="C332" s="85" t="s">
        <v>11</v>
      </c>
      <c r="D332" s="85" t="str">
        <f t="shared" si="1"/>
        <v>-</v>
      </c>
      <c r="E332" s="7" t="s">
        <v>11</v>
      </c>
      <c r="F332" s="86"/>
      <c r="G332" s="7"/>
      <c r="H332" s="11"/>
      <c r="I332" s="7" t="s">
        <v>13</v>
      </c>
      <c r="J332" s="33"/>
    </row>
    <row r="333">
      <c r="A333" s="84" t="s">
        <v>337</v>
      </c>
      <c r="B333" s="11"/>
      <c r="C333" s="85" t="s">
        <v>11</v>
      </c>
      <c r="D333" s="85" t="str">
        <f t="shared" si="1"/>
        <v>-</v>
      </c>
      <c r="E333" s="7" t="s">
        <v>11</v>
      </c>
      <c r="F333" s="86"/>
      <c r="G333" s="7"/>
      <c r="H333" s="11"/>
      <c r="I333" s="7" t="s">
        <v>13</v>
      </c>
      <c r="J333" s="33"/>
    </row>
    <row r="334">
      <c r="A334" s="84" t="s">
        <v>337</v>
      </c>
      <c r="B334" s="11"/>
      <c r="C334" s="85" t="s">
        <v>11</v>
      </c>
      <c r="D334" s="85" t="str">
        <f t="shared" si="1"/>
        <v>-</v>
      </c>
      <c r="E334" s="7" t="s">
        <v>11</v>
      </c>
      <c r="F334" s="86"/>
      <c r="G334" s="7"/>
      <c r="H334" s="11"/>
      <c r="I334" s="7" t="s">
        <v>13</v>
      </c>
      <c r="J334" s="33"/>
    </row>
    <row r="335">
      <c r="A335" s="84" t="s">
        <v>337</v>
      </c>
      <c r="B335" s="11"/>
      <c r="C335" s="85" t="s">
        <v>11</v>
      </c>
      <c r="D335" s="85" t="str">
        <f t="shared" si="1"/>
        <v>-</v>
      </c>
      <c r="E335" s="7" t="s">
        <v>11</v>
      </c>
      <c r="F335" s="86"/>
      <c r="G335" s="7"/>
      <c r="H335" s="11"/>
      <c r="I335" s="7" t="s">
        <v>13</v>
      </c>
      <c r="J335" s="33"/>
    </row>
    <row r="336">
      <c r="A336" s="84" t="s">
        <v>337</v>
      </c>
      <c r="B336" s="11"/>
      <c r="C336" s="85" t="s">
        <v>11</v>
      </c>
      <c r="D336" s="85" t="str">
        <f t="shared" si="1"/>
        <v>-</v>
      </c>
      <c r="E336" s="7" t="s">
        <v>11</v>
      </c>
      <c r="F336" s="86"/>
      <c r="G336" s="7"/>
      <c r="H336" s="11"/>
      <c r="I336" s="7" t="s">
        <v>13</v>
      </c>
      <c r="J336" s="33"/>
    </row>
    <row r="337">
      <c r="A337" s="84" t="s">
        <v>337</v>
      </c>
      <c r="B337" s="11"/>
      <c r="C337" s="85" t="s">
        <v>11</v>
      </c>
      <c r="D337" s="85" t="str">
        <f t="shared" si="1"/>
        <v>-</v>
      </c>
      <c r="E337" s="7" t="s">
        <v>11</v>
      </c>
      <c r="F337" s="86"/>
      <c r="G337" s="7"/>
      <c r="H337" s="11"/>
      <c r="I337" s="7" t="s">
        <v>13</v>
      </c>
      <c r="J337" s="33"/>
    </row>
    <row r="338">
      <c r="A338" s="84" t="s">
        <v>337</v>
      </c>
      <c r="B338" s="11"/>
      <c r="C338" s="85" t="s">
        <v>11</v>
      </c>
      <c r="D338" s="85" t="str">
        <f t="shared" si="1"/>
        <v>-</v>
      </c>
      <c r="E338" s="7" t="s">
        <v>11</v>
      </c>
      <c r="F338" s="86"/>
      <c r="G338" s="7"/>
      <c r="H338" s="11"/>
      <c r="I338" s="7" t="s">
        <v>13</v>
      </c>
      <c r="J338" s="33"/>
    </row>
    <row r="339">
      <c r="A339" s="84" t="s">
        <v>337</v>
      </c>
      <c r="B339" s="11"/>
      <c r="C339" s="85" t="s">
        <v>11</v>
      </c>
      <c r="D339" s="85" t="str">
        <f t="shared" si="1"/>
        <v>-</v>
      </c>
      <c r="E339" s="7" t="s">
        <v>11</v>
      </c>
      <c r="F339" s="86"/>
      <c r="G339" s="7"/>
      <c r="H339" s="11"/>
      <c r="I339" s="7" t="s">
        <v>13</v>
      </c>
      <c r="J339" s="33"/>
    </row>
    <row r="340">
      <c r="A340" s="84" t="s">
        <v>337</v>
      </c>
      <c r="B340" s="11"/>
      <c r="C340" s="85" t="s">
        <v>11</v>
      </c>
      <c r="D340" s="85" t="str">
        <f t="shared" si="1"/>
        <v>-</v>
      </c>
      <c r="E340" s="7" t="s">
        <v>11</v>
      </c>
      <c r="F340" s="86"/>
      <c r="G340" s="7"/>
      <c r="H340" s="11"/>
      <c r="I340" s="7" t="s">
        <v>13</v>
      </c>
      <c r="J340" s="33"/>
    </row>
    <row r="341">
      <c r="A341" s="84" t="s">
        <v>337</v>
      </c>
      <c r="B341" s="11"/>
      <c r="C341" s="85" t="s">
        <v>11</v>
      </c>
      <c r="D341" s="85" t="str">
        <f t="shared" si="1"/>
        <v>-</v>
      </c>
      <c r="E341" s="7" t="s">
        <v>11</v>
      </c>
      <c r="F341" s="86"/>
      <c r="G341" s="7"/>
      <c r="H341" s="11"/>
      <c r="I341" s="7" t="s">
        <v>13</v>
      </c>
      <c r="J341" s="33"/>
    </row>
    <row r="342">
      <c r="A342" s="84" t="s">
        <v>337</v>
      </c>
      <c r="B342" s="11"/>
      <c r="C342" s="85" t="s">
        <v>11</v>
      </c>
      <c r="D342" s="85" t="str">
        <f t="shared" si="1"/>
        <v>-</v>
      </c>
      <c r="E342" s="7" t="s">
        <v>11</v>
      </c>
      <c r="F342" s="86"/>
      <c r="G342" s="7"/>
      <c r="H342" s="11"/>
      <c r="I342" s="7" t="s">
        <v>13</v>
      </c>
      <c r="J342" s="33"/>
    </row>
    <row r="343">
      <c r="A343" s="84" t="s">
        <v>337</v>
      </c>
      <c r="B343" s="11"/>
      <c r="C343" s="85" t="s">
        <v>11</v>
      </c>
      <c r="D343" s="85" t="str">
        <f t="shared" si="1"/>
        <v>-</v>
      </c>
      <c r="E343" s="7" t="s">
        <v>11</v>
      </c>
      <c r="F343" s="86"/>
      <c r="G343" s="7"/>
      <c r="H343" s="11"/>
      <c r="I343" s="7" t="s">
        <v>13</v>
      </c>
      <c r="J343" s="33"/>
    </row>
    <row r="344">
      <c r="A344" s="84" t="s">
        <v>337</v>
      </c>
      <c r="B344" s="11"/>
      <c r="C344" s="85" t="s">
        <v>11</v>
      </c>
      <c r="D344" s="85" t="str">
        <f t="shared" si="1"/>
        <v>-</v>
      </c>
      <c r="E344" s="7" t="s">
        <v>11</v>
      </c>
      <c r="F344" s="86"/>
      <c r="G344" s="7"/>
      <c r="H344" s="11"/>
      <c r="I344" s="7" t="s">
        <v>13</v>
      </c>
      <c r="J344" s="33"/>
    </row>
    <row r="345">
      <c r="A345" s="84" t="s">
        <v>337</v>
      </c>
      <c r="B345" s="11"/>
      <c r="C345" s="85" t="s">
        <v>11</v>
      </c>
      <c r="D345" s="85" t="str">
        <f t="shared" si="1"/>
        <v>-</v>
      </c>
      <c r="E345" s="7" t="s">
        <v>11</v>
      </c>
      <c r="F345" s="86"/>
      <c r="G345" s="7"/>
      <c r="H345" s="11"/>
      <c r="I345" s="7" t="s">
        <v>13</v>
      </c>
      <c r="J345" s="33"/>
    </row>
    <row r="346">
      <c r="A346" s="84" t="s">
        <v>337</v>
      </c>
      <c r="B346" s="11"/>
      <c r="C346" s="85" t="s">
        <v>11</v>
      </c>
      <c r="D346" s="85" t="str">
        <f t="shared" si="1"/>
        <v>-</v>
      </c>
      <c r="E346" s="7" t="s">
        <v>11</v>
      </c>
      <c r="F346" s="86"/>
      <c r="G346" s="7"/>
      <c r="H346" s="11"/>
      <c r="I346" s="7" t="s">
        <v>13</v>
      </c>
      <c r="J346" s="33"/>
    </row>
    <row r="347">
      <c r="A347" s="84" t="s">
        <v>337</v>
      </c>
      <c r="B347" s="11"/>
      <c r="C347" s="85" t="s">
        <v>11</v>
      </c>
      <c r="D347" s="85" t="str">
        <f t="shared" si="1"/>
        <v>-</v>
      </c>
      <c r="E347" s="7" t="s">
        <v>11</v>
      </c>
      <c r="F347" s="86"/>
      <c r="G347" s="7"/>
      <c r="H347" s="11"/>
      <c r="I347" s="7" t="s">
        <v>13</v>
      </c>
      <c r="J347" s="33"/>
    </row>
    <row r="348">
      <c r="A348" s="84" t="s">
        <v>337</v>
      </c>
      <c r="B348" s="11"/>
      <c r="C348" s="85" t="s">
        <v>11</v>
      </c>
      <c r="D348" s="85" t="str">
        <f t="shared" si="1"/>
        <v>-</v>
      </c>
      <c r="E348" s="7" t="s">
        <v>11</v>
      </c>
      <c r="F348" s="86"/>
      <c r="G348" s="7"/>
      <c r="H348" s="11"/>
      <c r="I348" s="7" t="s">
        <v>13</v>
      </c>
      <c r="J348" s="33"/>
    </row>
    <row r="349">
      <c r="A349" s="84" t="s">
        <v>337</v>
      </c>
      <c r="B349" s="11"/>
      <c r="C349" s="85" t="s">
        <v>11</v>
      </c>
      <c r="D349" s="85" t="str">
        <f t="shared" si="1"/>
        <v>-</v>
      </c>
      <c r="E349" s="7" t="s">
        <v>11</v>
      </c>
      <c r="F349" s="86"/>
      <c r="G349" s="7"/>
      <c r="H349" s="11"/>
      <c r="I349" s="7" t="s">
        <v>13</v>
      </c>
      <c r="J349" s="33"/>
    </row>
    <row r="350">
      <c r="A350" s="84" t="s">
        <v>337</v>
      </c>
      <c r="B350" s="11"/>
      <c r="C350" s="85" t="s">
        <v>11</v>
      </c>
      <c r="D350" s="85" t="str">
        <f t="shared" si="1"/>
        <v>-</v>
      </c>
      <c r="E350" s="7" t="s">
        <v>11</v>
      </c>
      <c r="F350" s="86"/>
      <c r="G350" s="7"/>
      <c r="H350" s="11"/>
      <c r="I350" s="7" t="s">
        <v>13</v>
      </c>
      <c r="J350" s="33"/>
    </row>
    <row r="351">
      <c r="A351" s="84" t="s">
        <v>337</v>
      </c>
      <c r="B351" s="11"/>
      <c r="C351" s="85" t="s">
        <v>11</v>
      </c>
      <c r="D351" s="85" t="str">
        <f t="shared" si="1"/>
        <v>-</v>
      </c>
      <c r="E351" s="7" t="s">
        <v>11</v>
      </c>
      <c r="F351" s="86"/>
      <c r="G351" s="7"/>
      <c r="H351" s="11"/>
      <c r="I351" s="7" t="s">
        <v>13</v>
      </c>
      <c r="J351" s="33"/>
    </row>
    <row r="352">
      <c r="A352" s="84" t="s">
        <v>337</v>
      </c>
      <c r="B352" s="11"/>
      <c r="C352" s="85" t="s">
        <v>11</v>
      </c>
      <c r="D352" s="85" t="str">
        <f t="shared" si="1"/>
        <v>-</v>
      </c>
      <c r="E352" s="7" t="s">
        <v>11</v>
      </c>
      <c r="F352" s="86"/>
      <c r="G352" s="7"/>
      <c r="H352" s="11"/>
      <c r="I352" s="7" t="s">
        <v>13</v>
      </c>
      <c r="J352" s="33"/>
    </row>
    <row r="353">
      <c r="A353" s="84" t="s">
        <v>337</v>
      </c>
      <c r="B353" s="11"/>
      <c r="C353" s="85" t="s">
        <v>11</v>
      </c>
      <c r="D353" s="85" t="str">
        <f t="shared" si="1"/>
        <v>-</v>
      </c>
      <c r="E353" s="7" t="s">
        <v>11</v>
      </c>
      <c r="F353" s="86"/>
      <c r="G353" s="7"/>
      <c r="H353" s="11"/>
      <c r="I353" s="7" t="s">
        <v>13</v>
      </c>
      <c r="J353" s="33"/>
    </row>
    <row r="354">
      <c r="A354" s="84" t="s">
        <v>337</v>
      </c>
      <c r="B354" s="11"/>
      <c r="C354" s="85" t="s">
        <v>11</v>
      </c>
      <c r="D354" s="85" t="str">
        <f t="shared" si="1"/>
        <v>-</v>
      </c>
      <c r="E354" s="7" t="s">
        <v>11</v>
      </c>
      <c r="F354" s="86"/>
      <c r="G354" s="7"/>
      <c r="H354" s="11"/>
      <c r="I354" s="7" t="s">
        <v>13</v>
      </c>
      <c r="J354" s="33"/>
    </row>
    <row r="355">
      <c r="A355" s="84" t="s">
        <v>337</v>
      </c>
      <c r="B355" s="11"/>
      <c r="C355" s="85" t="s">
        <v>11</v>
      </c>
      <c r="D355" s="85" t="str">
        <f t="shared" si="1"/>
        <v>-</v>
      </c>
      <c r="E355" s="7" t="s">
        <v>11</v>
      </c>
      <c r="F355" s="86"/>
      <c r="G355" s="7"/>
      <c r="H355" s="11"/>
      <c r="I355" s="7" t="s">
        <v>13</v>
      </c>
      <c r="J355" s="33"/>
    </row>
    <row r="356">
      <c r="A356" s="84" t="s">
        <v>337</v>
      </c>
      <c r="B356" s="11"/>
      <c r="C356" s="85" t="s">
        <v>11</v>
      </c>
      <c r="D356" s="85" t="str">
        <f t="shared" si="1"/>
        <v>-</v>
      </c>
      <c r="E356" s="7" t="s">
        <v>11</v>
      </c>
      <c r="F356" s="86"/>
      <c r="G356" s="7"/>
      <c r="H356" s="11"/>
      <c r="I356" s="7" t="s">
        <v>13</v>
      </c>
      <c r="J356" s="33"/>
    </row>
    <row r="357">
      <c r="A357" s="84" t="s">
        <v>337</v>
      </c>
      <c r="B357" s="11"/>
      <c r="C357" s="85" t="s">
        <v>11</v>
      </c>
      <c r="D357" s="85" t="str">
        <f t="shared" si="1"/>
        <v>-</v>
      </c>
      <c r="E357" s="7" t="s">
        <v>11</v>
      </c>
      <c r="F357" s="86"/>
      <c r="G357" s="7"/>
      <c r="H357" s="11"/>
      <c r="I357" s="7" t="s">
        <v>13</v>
      </c>
      <c r="J357" s="33"/>
    </row>
    <row r="358">
      <c r="A358" s="84" t="s">
        <v>337</v>
      </c>
      <c r="B358" s="11"/>
      <c r="C358" s="85" t="s">
        <v>11</v>
      </c>
      <c r="D358" s="85" t="str">
        <f t="shared" si="1"/>
        <v>-</v>
      </c>
      <c r="E358" s="7" t="s">
        <v>11</v>
      </c>
      <c r="F358" s="86"/>
      <c r="G358" s="7"/>
      <c r="H358" s="11"/>
      <c r="I358" s="7" t="s">
        <v>13</v>
      </c>
      <c r="J358" s="33"/>
    </row>
    <row r="359">
      <c r="A359" s="84" t="s">
        <v>337</v>
      </c>
      <c r="B359" s="11"/>
      <c r="C359" s="85" t="s">
        <v>11</v>
      </c>
      <c r="D359" s="85" t="str">
        <f t="shared" si="1"/>
        <v>-</v>
      </c>
      <c r="E359" s="7" t="s">
        <v>11</v>
      </c>
      <c r="F359" s="86"/>
      <c r="G359" s="7"/>
      <c r="H359" s="11"/>
      <c r="I359" s="7" t="s">
        <v>13</v>
      </c>
      <c r="J359" s="33"/>
    </row>
    <row r="360">
      <c r="A360" s="84" t="s">
        <v>337</v>
      </c>
      <c r="B360" s="11"/>
      <c r="C360" s="85" t="s">
        <v>11</v>
      </c>
      <c r="D360" s="85" t="str">
        <f t="shared" si="1"/>
        <v>-</v>
      </c>
      <c r="E360" s="7" t="s">
        <v>11</v>
      </c>
      <c r="F360" s="86"/>
      <c r="G360" s="7"/>
      <c r="H360" s="11"/>
      <c r="I360" s="7" t="s">
        <v>13</v>
      </c>
      <c r="J360" s="33"/>
    </row>
    <row r="361">
      <c r="A361" s="84" t="s">
        <v>337</v>
      </c>
      <c r="B361" s="11"/>
      <c r="C361" s="85" t="s">
        <v>11</v>
      </c>
      <c r="D361" s="85" t="str">
        <f t="shared" si="1"/>
        <v>-</v>
      </c>
      <c r="E361" s="7" t="s">
        <v>11</v>
      </c>
      <c r="F361" s="86"/>
      <c r="G361" s="7"/>
      <c r="H361" s="11"/>
      <c r="I361" s="7" t="s">
        <v>13</v>
      </c>
      <c r="J361" s="33"/>
    </row>
    <row r="362">
      <c r="A362" s="84" t="s">
        <v>337</v>
      </c>
      <c r="B362" s="11"/>
      <c r="C362" s="85" t="s">
        <v>11</v>
      </c>
      <c r="D362" s="85" t="str">
        <f t="shared" si="1"/>
        <v>-</v>
      </c>
      <c r="E362" s="7" t="s">
        <v>11</v>
      </c>
      <c r="F362" s="86"/>
      <c r="G362" s="7"/>
      <c r="H362" s="11"/>
      <c r="I362" s="7" t="s">
        <v>13</v>
      </c>
      <c r="J362" s="33"/>
    </row>
    <row r="363">
      <c r="A363" s="84" t="s">
        <v>337</v>
      </c>
      <c r="B363" s="11"/>
      <c r="C363" s="85" t="s">
        <v>11</v>
      </c>
      <c r="D363" s="85" t="str">
        <f t="shared" si="1"/>
        <v>-</v>
      </c>
      <c r="E363" s="7" t="s">
        <v>11</v>
      </c>
      <c r="F363" s="86"/>
      <c r="G363" s="7"/>
      <c r="H363" s="11"/>
      <c r="I363" s="7" t="s">
        <v>13</v>
      </c>
      <c r="J363" s="33"/>
    </row>
    <row r="364">
      <c r="A364" s="84" t="s">
        <v>337</v>
      </c>
      <c r="B364" s="11"/>
      <c r="C364" s="85" t="s">
        <v>11</v>
      </c>
      <c r="D364" s="85" t="str">
        <f t="shared" si="1"/>
        <v>-</v>
      </c>
      <c r="E364" s="7" t="s">
        <v>11</v>
      </c>
      <c r="F364" s="86"/>
      <c r="G364" s="7"/>
      <c r="H364" s="11"/>
      <c r="I364" s="7" t="s">
        <v>13</v>
      </c>
      <c r="J364" s="33"/>
    </row>
    <row r="365">
      <c r="A365" s="84" t="s">
        <v>337</v>
      </c>
      <c r="B365" s="11"/>
      <c r="C365" s="85" t="s">
        <v>11</v>
      </c>
      <c r="D365" s="85" t="str">
        <f t="shared" si="1"/>
        <v>-</v>
      </c>
      <c r="E365" s="7" t="s">
        <v>11</v>
      </c>
      <c r="F365" s="86"/>
      <c r="G365" s="7"/>
      <c r="H365" s="11"/>
      <c r="I365" s="7" t="s">
        <v>13</v>
      </c>
      <c r="J365" s="33"/>
    </row>
    <row r="366">
      <c r="A366" s="84" t="s">
        <v>337</v>
      </c>
      <c r="B366" s="11"/>
      <c r="C366" s="85" t="s">
        <v>11</v>
      </c>
      <c r="D366" s="85" t="str">
        <f t="shared" si="1"/>
        <v>-</v>
      </c>
      <c r="E366" s="7" t="s">
        <v>11</v>
      </c>
      <c r="F366" s="86"/>
      <c r="G366" s="7"/>
      <c r="H366" s="11"/>
      <c r="I366" s="7" t="s">
        <v>13</v>
      </c>
      <c r="J366" s="33"/>
    </row>
    <row r="367">
      <c r="A367" s="84" t="s">
        <v>337</v>
      </c>
      <c r="B367" s="11"/>
      <c r="C367" s="85" t="s">
        <v>11</v>
      </c>
      <c r="D367" s="85" t="str">
        <f t="shared" si="1"/>
        <v>-</v>
      </c>
      <c r="E367" s="7" t="s">
        <v>11</v>
      </c>
      <c r="F367" s="86"/>
      <c r="G367" s="7"/>
      <c r="H367" s="11"/>
      <c r="I367" s="7" t="s">
        <v>13</v>
      </c>
      <c r="J367" s="33"/>
    </row>
    <row r="368">
      <c r="A368" s="84" t="s">
        <v>337</v>
      </c>
      <c r="B368" s="11"/>
      <c r="C368" s="85" t="s">
        <v>11</v>
      </c>
      <c r="D368" s="85" t="str">
        <f t="shared" si="1"/>
        <v>-</v>
      </c>
      <c r="E368" s="7" t="s">
        <v>11</v>
      </c>
      <c r="F368" s="86"/>
      <c r="G368" s="7"/>
      <c r="H368" s="11"/>
      <c r="I368" s="7" t="s">
        <v>13</v>
      </c>
      <c r="J368" s="33"/>
    </row>
    <row r="369">
      <c r="A369" s="84" t="s">
        <v>337</v>
      </c>
      <c r="B369" s="11"/>
      <c r="C369" s="85" t="s">
        <v>11</v>
      </c>
      <c r="D369" s="85" t="str">
        <f t="shared" si="1"/>
        <v>-</v>
      </c>
      <c r="E369" s="7" t="s">
        <v>11</v>
      </c>
      <c r="F369" s="86"/>
      <c r="G369" s="7"/>
      <c r="H369" s="11"/>
      <c r="I369" s="7" t="s">
        <v>13</v>
      </c>
      <c r="J369" s="33"/>
    </row>
    <row r="370">
      <c r="A370" s="84" t="s">
        <v>337</v>
      </c>
      <c r="B370" s="11"/>
      <c r="C370" s="85" t="s">
        <v>11</v>
      </c>
      <c r="D370" s="85" t="str">
        <f t="shared" si="1"/>
        <v>-</v>
      </c>
      <c r="E370" s="7" t="s">
        <v>11</v>
      </c>
      <c r="F370" s="86"/>
      <c r="G370" s="7"/>
      <c r="H370" s="11"/>
      <c r="I370" s="7" t="s">
        <v>13</v>
      </c>
      <c r="J370" s="33"/>
    </row>
    <row r="371">
      <c r="A371" s="84" t="s">
        <v>337</v>
      </c>
      <c r="B371" s="11"/>
      <c r="C371" s="85" t="s">
        <v>11</v>
      </c>
      <c r="D371" s="85" t="str">
        <f t="shared" si="1"/>
        <v>-</v>
      </c>
      <c r="E371" s="7" t="s">
        <v>11</v>
      </c>
      <c r="F371" s="86"/>
      <c r="G371" s="7"/>
      <c r="H371" s="11"/>
      <c r="I371" s="7" t="s">
        <v>13</v>
      </c>
      <c r="J371" s="33"/>
    </row>
    <row r="372">
      <c r="A372" s="84" t="s">
        <v>337</v>
      </c>
      <c r="B372" s="11"/>
      <c r="C372" s="85" t="s">
        <v>11</v>
      </c>
      <c r="D372" s="85" t="str">
        <f t="shared" si="1"/>
        <v>-</v>
      </c>
      <c r="E372" s="7" t="s">
        <v>11</v>
      </c>
      <c r="F372" s="86"/>
      <c r="G372" s="7"/>
      <c r="H372" s="11"/>
      <c r="I372" s="7" t="s">
        <v>13</v>
      </c>
      <c r="J372" s="33"/>
    </row>
    <row r="373">
      <c r="A373" s="84" t="s">
        <v>337</v>
      </c>
      <c r="B373" s="11"/>
      <c r="C373" s="85" t="s">
        <v>11</v>
      </c>
      <c r="D373" s="85" t="str">
        <f t="shared" si="1"/>
        <v>-</v>
      </c>
      <c r="E373" s="7" t="s">
        <v>11</v>
      </c>
      <c r="F373" s="86"/>
      <c r="G373" s="7"/>
      <c r="H373" s="11"/>
      <c r="I373" s="7" t="s">
        <v>13</v>
      </c>
      <c r="J373" s="33"/>
    </row>
    <row r="374">
      <c r="A374" s="84" t="s">
        <v>337</v>
      </c>
      <c r="B374" s="11"/>
      <c r="C374" s="85" t="s">
        <v>11</v>
      </c>
      <c r="D374" s="85" t="str">
        <f t="shared" si="1"/>
        <v>-</v>
      </c>
      <c r="E374" s="7" t="s">
        <v>11</v>
      </c>
      <c r="F374" s="86"/>
      <c r="G374" s="7"/>
      <c r="H374" s="11"/>
      <c r="I374" s="7" t="s">
        <v>13</v>
      </c>
      <c r="J374" s="33"/>
    </row>
    <row r="375">
      <c r="A375" s="84" t="s">
        <v>337</v>
      </c>
      <c r="B375" s="11"/>
      <c r="C375" s="85" t="s">
        <v>11</v>
      </c>
      <c r="D375" s="85" t="str">
        <f t="shared" si="1"/>
        <v>-</v>
      </c>
      <c r="E375" s="7" t="s">
        <v>11</v>
      </c>
      <c r="F375" s="86"/>
      <c r="G375" s="7"/>
      <c r="H375" s="11"/>
      <c r="I375" s="7" t="s">
        <v>13</v>
      </c>
      <c r="J375" s="33"/>
    </row>
    <row r="376">
      <c r="A376" s="84" t="s">
        <v>337</v>
      </c>
      <c r="B376" s="11"/>
      <c r="C376" s="85" t="s">
        <v>11</v>
      </c>
      <c r="D376" s="85" t="str">
        <f t="shared" si="1"/>
        <v>-</v>
      </c>
      <c r="E376" s="7" t="s">
        <v>11</v>
      </c>
      <c r="F376" s="86"/>
      <c r="G376" s="7"/>
      <c r="H376" s="11"/>
      <c r="I376" s="7" t="s">
        <v>13</v>
      </c>
      <c r="J376" s="33"/>
    </row>
    <row r="377">
      <c r="A377" s="84" t="s">
        <v>337</v>
      </c>
      <c r="B377" s="11"/>
      <c r="C377" s="85" t="s">
        <v>11</v>
      </c>
      <c r="D377" s="85" t="str">
        <f t="shared" si="1"/>
        <v>-</v>
      </c>
      <c r="E377" s="7" t="s">
        <v>11</v>
      </c>
      <c r="F377" s="86"/>
      <c r="G377" s="7"/>
      <c r="H377" s="11"/>
      <c r="I377" s="7" t="s">
        <v>13</v>
      </c>
      <c r="J377" s="33"/>
    </row>
    <row r="378">
      <c r="A378" s="84" t="s">
        <v>337</v>
      </c>
      <c r="B378" s="11"/>
      <c r="C378" s="85" t="s">
        <v>11</v>
      </c>
      <c r="D378" s="85" t="str">
        <f t="shared" si="1"/>
        <v>-</v>
      </c>
      <c r="E378" s="7" t="s">
        <v>11</v>
      </c>
      <c r="F378" s="86"/>
      <c r="G378" s="7"/>
      <c r="H378" s="11"/>
      <c r="I378" s="7" t="s">
        <v>13</v>
      </c>
      <c r="J378" s="33"/>
    </row>
    <row r="379">
      <c r="A379" s="84" t="s">
        <v>337</v>
      </c>
      <c r="B379" s="11"/>
      <c r="C379" s="85" t="s">
        <v>11</v>
      </c>
      <c r="D379" s="85" t="str">
        <f t="shared" si="1"/>
        <v>-</v>
      </c>
      <c r="E379" s="7" t="s">
        <v>11</v>
      </c>
      <c r="F379" s="86"/>
      <c r="G379" s="7"/>
      <c r="H379" s="11"/>
      <c r="I379" s="7" t="s">
        <v>13</v>
      </c>
      <c r="J379" s="33"/>
    </row>
    <row r="380">
      <c r="A380" s="84" t="s">
        <v>337</v>
      </c>
      <c r="B380" s="11"/>
      <c r="C380" s="85" t="s">
        <v>11</v>
      </c>
      <c r="D380" s="85" t="str">
        <f t="shared" si="1"/>
        <v>-</v>
      </c>
      <c r="E380" s="7" t="s">
        <v>11</v>
      </c>
      <c r="F380" s="86"/>
      <c r="G380" s="7"/>
      <c r="H380" s="11"/>
      <c r="I380" s="7" t="s">
        <v>13</v>
      </c>
      <c r="J380" s="33"/>
    </row>
    <row r="381">
      <c r="A381" s="84" t="s">
        <v>337</v>
      </c>
      <c r="B381" s="11"/>
      <c r="C381" s="85" t="s">
        <v>11</v>
      </c>
      <c r="D381" s="85" t="str">
        <f t="shared" si="1"/>
        <v>-</v>
      </c>
      <c r="E381" s="7" t="s">
        <v>11</v>
      </c>
      <c r="F381" s="86"/>
      <c r="G381" s="7"/>
      <c r="H381" s="11"/>
      <c r="I381" s="7" t="s">
        <v>13</v>
      </c>
      <c r="J381" s="33"/>
    </row>
    <row r="382">
      <c r="A382" s="84" t="s">
        <v>337</v>
      </c>
      <c r="B382" s="11"/>
      <c r="C382" s="85" t="s">
        <v>11</v>
      </c>
      <c r="D382" s="85" t="str">
        <f t="shared" si="1"/>
        <v>-</v>
      </c>
      <c r="E382" s="7" t="s">
        <v>11</v>
      </c>
      <c r="F382" s="86"/>
      <c r="G382" s="7"/>
      <c r="H382" s="11"/>
      <c r="I382" s="7" t="s">
        <v>13</v>
      </c>
      <c r="J382" s="33"/>
    </row>
    <row r="383">
      <c r="A383" s="84" t="s">
        <v>337</v>
      </c>
      <c r="B383" s="11"/>
      <c r="C383" s="85" t="s">
        <v>11</v>
      </c>
      <c r="D383" s="85" t="str">
        <f t="shared" si="1"/>
        <v>-</v>
      </c>
      <c r="E383" s="7" t="s">
        <v>11</v>
      </c>
      <c r="F383" s="86"/>
      <c r="G383" s="7"/>
      <c r="H383" s="11"/>
      <c r="I383" s="7" t="s">
        <v>13</v>
      </c>
      <c r="J383" s="33"/>
    </row>
    <row r="384">
      <c r="A384" s="84" t="s">
        <v>337</v>
      </c>
      <c r="B384" s="11"/>
      <c r="C384" s="85" t="s">
        <v>11</v>
      </c>
      <c r="D384" s="85" t="str">
        <f t="shared" si="1"/>
        <v>-</v>
      </c>
      <c r="E384" s="7" t="s">
        <v>11</v>
      </c>
      <c r="F384" s="86"/>
      <c r="G384" s="7"/>
      <c r="H384" s="11"/>
      <c r="I384" s="7" t="s">
        <v>13</v>
      </c>
      <c r="J384" s="33"/>
    </row>
    <row r="385">
      <c r="A385" s="84" t="s">
        <v>337</v>
      </c>
      <c r="B385" s="11"/>
      <c r="C385" s="85" t="s">
        <v>11</v>
      </c>
      <c r="D385" s="85" t="str">
        <f t="shared" si="1"/>
        <v>-</v>
      </c>
      <c r="E385" s="7" t="s">
        <v>11</v>
      </c>
      <c r="F385" s="86"/>
      <c r="G385" s="7"/>
      <c r="H385" s="11"/>
      <c r="I385" s="7" t="s">
        <v>13</v>
      </c>
      <c r="J385" s="33"/>
    </row>
    <row r="386">
      <c r="A386" s="84" t="s">
        <v>337</v>
      </c>
      <c r="B386" s="11"/>
      <c r="C386" s="85" t="s">
        <v>11</v>
      </c>
      <c r="D386" s="85" t="str">
        <f t="shared" si="1"/>
        <v>-</v>
      </c>
      <c r="E386" s="7" t="s">
        <v>11</v>
      </c>
      <c r="F386" s="86"/>
      <c r="G386" s="7"/>
      <c r="H386" s="11"/>
      <c r="I386" s="7" t="s">
        <v>13</v>
      </c>
      <c r="J386" s="33"/>
    </row>
    <row r="387">
      <c r="A387" s="84" t="s">
        <v>337</v>
      </c>
      <c r="B387" s="11"/>
      <c r="C387" s="85" t="s">
        <v>11</v>
      </c>
      <c r="D387" s="85" t="str">
        <f t="shared" si="1"/>
        <v>-</v>
      </c>
      <c r="E387" s="7" t="s">
        <v>11</v>
      </c>
      <c r="F387" s="86"/>
      <c r="G387" s="7"/>
      <c r="H387" s="11"/>
      <c r="I387" s="7" t="s">
        <v>13</v>
      </c>
      <c r="J387" s="33"/>
    </row>
    <row r="388">
      <c r="A388" s="84" t="s">
        <v>337</v>
      </c>
      <c r="B388" s="11"/>
      <c r="C388" s="85" t="s">
        <v>11</v>
      </c>
      <c r="D388" s="85" t="str">
        <f t="shared" si="1"/>
        <v>-</v>
      </c>
      <c r="E388" s="7" t="s">
        <v>11</v>
      </c>
      <c r="F388" s="86"/>
      <c r="G388" s="7"/>
      <c r="H388" s="11"/>
      <c r="I388" s="7" t="s">
        <v>13</v>
      </c>
      <c r="J388" s="33"/>
    </row>
    <row r="389">
      <c r="A389" s="84" t="s">
        <v>337</v>
      </c>
      <c r="B389" s="11"/>
      <c r="C389" s="85" t="s">
        <v>11</v>
      </c>
      <c r="D389" s="85" t="str">
        <f t="shared" si="1"/>
        <v>-</v>
      </c>
      <c r="E389" s="7" t="s">
        <v>11</v>
      </c>
      <c r="F389" s="86"/>
      <c r="G389" s="7"/>
      <c r="H389" s="11"/>
      <c r="I389" s="7" t="s">
        <v>13</v>
      </c>
      <c r="J389" s="33"/>
    </row>
    <row r="390">
      <c r="A390" s="84" t="s">
        <v>337</v>
      </c>
      <c r="B390" s="11"/>
      <c r="C390" s="85" t="s">
        <v>11</v>
      </c>
      <c r="D390" s="85" t="str">
        <f t="shared" si="1"/>
        <v>-</v>
      </c>
      <c r="E390" s="7" t="s">
        <v>11</v>
      </c>
      <c r="F390" s="86"/>
      <c r="G390" s="7"/>
      <c r="H390" s="11"/>
      <c r="I390" s="7" t="s">
        <v>13</v>
      </c>
      <c r="J390" s="33"/>
    </row>
    <row r="391">
      <c r="A391" s="84" t="s">
        <v>337</v>
      </c>
      <c r="B391" s="11"/>
      <c r="C391" s="85" t="s">
        <v>11</v>
      </c>
      <c r="D391" s="85" t="str">
        <f t="shared" si="1"/>
        <v>-</v>
      </c>
      <c r="E391" s="7" t="s">
        <v>11</v>
      </c>
      <c r="F391" s="86"/>
      <c r="G391" s="7"/>
      <c r="H391" s="11"/>
      <c r="I391" s="7" t="s">
        <v>13</v>
      </c>
      <c r="J391" s="33"/>
    </row>
    <row r="392">
      <c r="A392" s="84" t="s">
        <v>337</v>
      </c>
      <c r="B392" s="11"/>
      <c r="C392" s="85" t="s">
        <v>11</v>
      </c>
      <c r="D392" s="85" t="str">
        <f t="shared" si="1"/>
        <v>-</v>
      </c>
      <c r="E392" s="7" t="s">
        <v>11</v>
      </c>
      <c r="F392" s="86"/>
      <c r="G392" s="7"/>
      <c r="H392" s="11"/>
      <c r="I392" s="7" t="s">
        <v>13</v>
      </c>
      <c r="J392" s="33"/>
    </row>
    <row r="393">
      <c r="A393" s="84" t="s">
        <v>337</v>
      </c>
      <c r="B393" s="11"/>
      <c r="C393" s="85" t="s">
        <v>11</v>
      </c>
      <c r="D393" s="85" t="str">
        <f t="shared" si="1"/>
        <v>-</v>
      </c>
      <c r="E393" s="7" t="s">
        <v>11</v>
      </c>
      <c r="F393" s="86"/>
      <c r="G393" s="7"/>
      <c r="H393" s="11"/>
      <c r="I393" s="7" t="s">
        <v>13</v>
      </c>
      <c r="J393" s="33"/>
    </row>
    <row r="394">
      <c r="A394" s="84" t="s">
        <v>337</v>
      </c>
      <c r="B394" s="11"/>
      <c r="C394" s="85" t="s">
        <v>11</v>
      </c>
      <c r="D394" s="85" t="str">
        <f t="shared" si="1"/>
        <v>-</v>
      </c>
      <c r="E394" s="7" t="s">
        <v>11</v>
      </c>
      <c r="F394" s="86"/>
      <c r="G394" s="7"/>
      <c r="H394" s="11"/>
      <c r="I394" s="7" t="s">
        <v>13</v>
      </c>
      <c r="J394" s="33"/>
    </row>
    <row r="395">
      <c r="A395" s="84" t="s">
        <v>337</v>
      </c>
      <c r="B395" s="11"/>
      <c r="C395" s="85" t="s">
        <v>11</v>
      </c>
      <c r="D395" s="85" t="str">
        <f t="shared" si="1"/>
        <v>-</v>
      </c>
      <c r="E395" s="7" t="s">
        <v>11</v>
      </c>
      <c r="F395" s="86"/>
      <c r="G395" s="7"/>
      <c r="H395" s="11"/>
      <c r="I395" s="7" t="s">
        <v>13</v>
      </c>
      <c r="J395" s="33"/>
    </row>
    <row r="396">
      <c r="A396" s="84" t="s">
        <v>337</v>
      </c>
      <c r="B396" s="11"/>
      <c r="C396" s="85" t="s">
        <v>11</v>
      </c>
      <c r="D396" s="85" t="str">
        <f t="shared" si="1"/>
        <v>-</v>
      </c>
      <c r="E396" s="7" t="s">
        <v>11</v>
      </c>
      <c r="F396" s="86"/>
      <c r="G396" s="7"/>
      <c r="H396" s="11"/>
      <c r="I396" s="7" t="s">
        <v>13</v>
      </c>
      <c r="J396" s="33"/>
    </row>
    <row r="397">
      <c r="A397" s="84" t="s">
        <v>337</v>
      </c>
      <c r="B397" s="11"/>
      <c r="C397" s="85" t="s">
        <v>11</v>
      </c>
      <c r="D397" s="85" t="str">
        <f t="shared" si="1"/>
        <v>-</v>
      </c>
      <c r="E397" s="7" t="s">
        <v>11</v>
      </c>
      <c r="F397" s="86"/>
      <c r="G397" s="7"/>
      <c r="H397" s="11"/>
      <c r="I397" s="7" t="s">
        <v>13</v>
      </c>
      <c r="J397" s="33"/>
    </row>
    <row r="398">
      <c r="A398" s="84" t="s">
        <v>337</v>
      </c>
      <c r="B398" s="11"/>
      <c r="C398" s="85" t="s">
        <v>11</v>
      </c>
      <c r="D398" s="85" t="str">
        <f t="shared" si="1"/>
        <v>-</v>
      </c>
      <c r="E398" s="7" t="s">
        <v>11</v>
      </c>
      <c r="F398" s="86"/>
      <c r="G398" s="7"/>
      <c r="H398" s="11"/>
      <c r="I398" s="7" t="s">
        <v>13</v>
      </c>
      <c r="J398" s="33"/>
    </row>
    <row r="399">
      <c r="A399" s="84" t="s">
        <v>337</v>
      </c>
      <c r="B399" s="11"/>
      <c r="C399" s="85" t="s">
        <v>11</v>
      </c>
      <c r="D399" s="85" t="str">
        <f t="shared" si="1"/>
        <v>-</v>
      </c>
      <c r="E399" s="7" t="s">
        <v>11</v>
      </c>
      <c r="F399" s="86"/>
      <c r="G399" s="7"/>
      <c r="H399" s="11"/>
      <c r="I399" s="7" t="s">
        <v>13</v>
      </c>
      <c r="J399" s="33"/>
    </row>
    <row r="400">
      <c r="A400" s="84" t="s">
        <v>337</v>
      </c>
      <c r="B400" s="11"/>
      <c r="C400" s="85" t="s">
        <v>11</v>
      </c>
      <c r="D400" s="85" t="str">
        <f t="shared" si="1"/>
        <v>-</v>
      </c>
      <c r="E400" s="7" t="s">
        <v>11</v>
      </c>
      <c r="F400" s="86"/>
      <c r="G400" s="7"/>
      <c r="H400" s="11"/>
      <c r="I400" s="7" t="s">
        <v>13</v>
      </c>
      <c r="J400" s="33"/>
    </row>
    <row r="401">
      <c r="A401" s="84" t="s">
        <v>337</v>
      </c>
      <c r="B401" s="11"/>
      <c r="C401" s="85" t="s">
        <v>11</v>
      </c>
      <c r="D401" s="85" t="str">
        <f t="shared" si="1"/>
        <v>-</v>
      </c>
      <c r="E401" s="7" t="s">
        <v>11</v>
      </c>
      <c r="F401" s="86"/>
      <c r="G401" s="7"/>
      <c r="H401" s="11"/>
      <c r="I401" s="7" t="s">
        <v>13</v>
      </c>
      <c r="J401" s="33"/>
    </row>
    <row r="402">
      <c r="A402" s="84" t="s">
        <v>337</v>
      </c>
      <c r="B402" s="11"/>
      <c r="C402" s="85" t="s">
        <v>11</v>
      </c>
      <c r="D402" s="85" t="str">
        <f t="shared" si="1"/>
        <v>-</v>
      </c>
      <c r="E402" s="7" t="s">
        <v>11</v>
      </c>
      <c r="F402" s="86"/>
      <c r="G402" s="7"/>
      <c r="H402" s="11"/>
      <c r="I402" s="7" t="s">
        <v>13</v>
      </c>
      <c r="J402" s="33"/>
    </row>
    <row r="403">
      <c r="A403" s="84" t="s">
        <v>337</v>
      </c>
      <c r="B403" s="11"/>
      <c r="C403" s="85" t="s">
        <v>11</v>
      </c>
      <c r="D403" s="85" t="str">
        <f t="shared" si="1"/>
        <v>-</v>
      </c>
      <c r="E403" s="7" t="s">
        <v>11</v>
      </c>
      <c r="F403" s="86"/>
      <c r="G403" s="7"/>
      <c r="H403" s="11"/>
      <c r="I403" s="7" t="s">
        <v>13</v>
      </c>
      <c r="J403" s="33"/>
    </row>
    <row r="404">
      <c r="A404" s="84" t="s">
        <v>337</v>
      </c>
      <c r="B404" s="11"/>
      <c r="C404" s="85" t="s">
        <v>11</v>
      </c>
      <c r="D404" s="85" t="str">
        <f t="shared" si="1"/>
        <v>-</v>
      </c>
      <c r="E404" s="7" t="s">
        <v>11</v>
      </c>
      <c r="F404" s="86"/>
      <c r="G404" s="7"/>
      <c r="H404" s="11"/>
      <c r="I404" s="7" t="s">
        <v>13</v>
      </c>
      <c r="J404" s="33"/>
    </row>
    <row r="405">
      <c r="A405" s="84" t="s">
        <v>337</v>
      </c>
      <c r="B405" s="11"/>
      <c r="C405" s="85" t="s">
        <v>11</v>
      </c>
      <c r="D405" s="85" t="str">
        <f t="shared" si="1"/>
        <v>-</v>
      </c>
      <c r="E405" s="7" t="s">
        <v>11</v>
      </c>
      <c r="F405" s="86"/>
      <c r="G405" s="7"/>
      <c r="H405" s="11"/>
      <c r="I405" s="7" t="s">
        <v>13</v>
      </c>
      <c r="J405" s="33"/>
    </row>
    <row r="406">
      <c r="A406" s="84" t="s">
        <v>337</v>
      </c>
      <c r="B406" s="11"/>
      <c r="C406" s="85" t="s">
        <v>11</v>
      </c>
      <c r="D406" s="85" t="str">
        <f t="shared" si="1"/>
        <v>-</v>
      </c>
      <c r="E406" s="7" t="s">
        <v>11</v>
      </c>
      <c r="F406" s="86"/>
      <c r="G406" s="7"/>
      <c r="H406" s="11"/>
      <c r="I406" s="7" t="s">
        <v>13</v>
      </c>
      <c r="J406" s="33"/>
    </row>
    <row r="407">
      <c r="A407" s="84" t="s">
        <v>337</v>
      </c>
      <c r="B407" s="11"/>
      <c r="C407" s="85" t="s">
        <v>11</v>
      </c>
      <c r="D407" s="85" t="str">
        <f t="shared" si="1"/>
        <v>-</v>
      </c>
      <c r="E407" s="7" t="s">
        <v>11</v>
      </c>
      <c r="F407" s="86"/>
      <c r="G407" s="7"/>
      <c r="H407" s="11"/>
      <c r="I407" s="7" t="s">
        <v>13</v>
      </c>
      <c r="J407" s="33"/>
    </row>
    <row r="408">
      <c r="A408" s="84" t="s">
        <v>337</v>
      </c>
      <c r="B408" s="11"/>
      <c r="C408" s="85" t="s">
        <v>11</v>
      </c>
      <c r="D408" s="85" t="str">
        <f t="shared" si="1"/>
        <v>-</v>
      </c>
      <c r="E408" s="7" t="s">
        <v>11</v>
      </c>
      <c r="F408" s="86"/>
      <c r="G408" s="7"/>
      <c r="H408" s="11"/>
      <c r="I408" s="7" t="s">
        <v>13</v>
      </c>
      <c r="J408" s="33"/>
    </row>
    <row r="409">
      <c r="A409" s="84" t="s">
        <v>337</v>
      </c>
      <c r="B409" s="11"/>
      <c r="C409" s="85" t="s">
        <v>11</v>
      </c>
      <c r="D409" s="85" t="str">
        <f t="shared" si="1"/>
        <v>-</v>
      </c>
      <c r="E409" s="7" t="s">
        <v>11</v>
      </c>
      <c r="F409" s="86"/>
      <c r="G409" s="7"/>
      <c r="H409" s="11"/>
      <c r="I409" s="7" t="s">
        <v>13</v>
      </c>
      <c r="J409" s="33"/>
    </row>
    <row r="410">
      <c r="A410" s="84" t="s">
        <v>337</v>
      </c>
      <c r="B410" s="11"/>
      <c r="C410" s="85" t="s">
        <v>11</v>
      </c>
      <c r="D410" s="85" t="str">
        <f t="shared" si="1"/>
        <v>-</v>
      </c>
      <c r="E410" s="7" t="s">
        <v>11</v>
      </c>
      <c r="F410" s="86"/>
      <c r="G410" s="7"/>
      <c r="H410" s="11"/>
      <c r="I410" s="7" t="s">
        <v>13</v>
      </c>
      <c r="J410" s="33"/>
    </row>
    <row r="411">
      <c r="A411" s="84" t="s">
        <v>337</v>
      </c>
      <c r="B411" s="11"/>
      <c r="C411" s="85" t="s">
        <v>11</v>
      </c>
      <c r="D411" s="85" t="str">
        <f t="shared" si="1"/>
        <v>-</v>
      </c>
      <c r="E411" s="7" t="s">
        <v>11</v>
      </c>
      <c r="F411" s="86"/>
      <c r="G411" s="7"/>
      <c r="H411" s="11"/>
      <c r="I411" s="7" t="s">
        <v>13</v>
      </c>
      <c r="J411" s="33"/>
    </row>
    <row r="412">
      <c r="A412" s="84" t="s">
        <v>337</v>
      </c>
      <c r="B412" s="11"/>
      <c r="C412" s="85" t="s">
        <v>11</v>
      </c>
      <c r="D412" s="85" t="str">
        <f t="shared" si="1"/>
        <v>-</v>
      </c>
      <c r="E412" s="7" t="s">
        <v>11</v>
      </c>
      <c r="F412" s="86"/>
      <c r="G412" s="7"/>
      <c r="H412" s="11"/>
      <c r="I412" s="7" t="s">
        <v>13</v>
      </c>
      <c r="J412" s="33"/>
    </row>
    <row r="413">
      <c r="A413" s="84" t="s">
        <v>337</v>
      </c>
      <c r="B413" s="11"/>
      <c r="C413" s="85" t="s">
        <v>11</v>
      </c>
      <c r="D413" s="85" t="str">
        <f t="shared" si="1"/>
        <v>-</v>
      </c>
      <c r="E413" s="7" t="s">
        <v>11</v>
      </c>
      <c r="F413" s="86"/>
      <c r="G413" s="7"/>
      <c r="H413" s="11"/>
      <c r="I413" s="7" t="s">
        <v>13</v>
      </c>
      <c r="J413" s="33"/>
    </row>
    <row r="414">
      <c r="A414" s="84" t="s">
        <v>337</v>
      </c>
      <c r="B414" s="11"/>
      <c r="C414" s="85" t="s">
        <v>11</v>
      </c>
      <c r="D414" s="85" t="str">
        <f t="shared" si="1"/>
        <v>-</v>
      </c>
      <c r="E414" s="7" t="s">
        <v>11</v>
      </c>
      <c r="F414" s="86"/>
      <c r="G414" s="7"/>
      <c r="H414" s="11"/>
      <c r="I414" s="7" t="s">
        <v>13</v>
      </c>
      <c r="J414" s="33"/>
    </row>
    <row r="415">
      <c r="A415" s="84" t="s">
        <v>337</v>
      </c>
      <c r="B415" s="11"/>
      <c r="C415" s="85" t="s">
        <v>11</v>
      </c>
      <c r="D415" s="85" t="str">
        <f t="shared" si="1"/>
        <v>-</v>
      </c>
      <c r="E415" s="7" t="s">
        <v>11</v>
      </c>
      <c r="F415" s="86"/>
      <c r="G415" s="7"/>
      <c r="H415" s="11"/>
      <c r="I415" s="7" t="s">
        <v>13</v>
      </c>
      <c r="J415" s="33"/>
    </row>
    <row r="416">
      <c r="A416" s="84" t="s">
        <v>337</v>
      </c>
      <c r="B416" s="11"/>
      <c r="C416" s="85" t="s">
        <v>11</v>
      </c>
      <c r="D416" s="85" t="str">
        <f t="shared" si="1"/>
        <v>-</v>
      </c>
      <c r="E416" s="7" t="s">
        <v>11</v>
      </c>
      <c r="F416" s="86"/>
      <c r="G416" s="7"/>
      <c r="H416" s="11"/>
      <c r="I416" s="7" t="s">
        <v>13</v>
      </c>
      <c r="J416" s="33"/>
    </row>
    <row r="417">
      <c r="A417" s="84" t="s">
        <v>337</v>
      </c>
      <c r="B417" s="11"/>
      <c r="C417" s="85" t="s">
        <v>11</v>
      </c>
      <c r="D417" s="85" t="str">
        <f t="shared" si="1"/>
        <v>-</v>
      </c>
      <c r="E417" s="7" t="s">
        <v>11</v>
      </c>
      <c r="F417" s="86"/>
      <c r="G417" s="7"/>
      <c r="H417" s="11"/>
      <c r="I417" s="7" t="s">
        <v>13</v>
      </c>
      <c r="J417" s="33"/>
    </row>
    <row r="418">
      <c r="A418" s="84" t="s">
        <v>337</v>
      </c>
      <c r="B418" s="11"/>
      <c r="C418" s="85" t="s">
        <v>11</v>
      </c>
      <c r="D418" s="85" t="str">
        <f t="shared" si="1"/>
        <v>-</v>
      </c>
      <c r="E418" s="7" t="s">
        <v>11</v>
      </c>
      <c r="F418" s="86"/>
      <c r="G418" s="7"/>
      <c r="H418" s="11"/>
      <c r="I418" s="7" t="s">
        <v>13</v>
      </c>
      <c r="J418" s="33"/>
    </row>
    <row r="419">
      <c r="A419" s="84" t="s">
        <v>337</v>
      </c>
      <c r="B419" s="11"/>
      <c r="C419" s="85" t="s">
        <v>11</v>
      </c>
      <c r="D419" s="85" t="str">
        <f t="shared" si="1"/>
        <v>-</v>
      </c>
      <c r="E419" s="7" t="s">
        <v>11</v>
      </c>
      <c r="F419" s="86"/>
      <c r="G419" s="7"/>
      <c r="H419" s="11"/>
      <c r="I419" s="7" t="s">
        <v>13</v>
      </c>
      <c r="J419" s="33"/>
    </row>
    <row r="420">
      <c r="A420" s="84" t="s">
        <v>337</v>
      </c>
      <c r="B420" s="11"/>
      <c r="C420" s="85" t="s">
        <v>11</v>
      </c>
      <c r="D420" s="85" t="str">
        <f t="shared" si="1"/>
        <v>-</v>
      </c>
      <c r="E420" s="7" t="s">
        <v>11</v>
      </c>
      <c r="F420" s="86"/>
      <c r="G420" s="7"/>
      <c r="H420" s="11"/>
      <c r="I420" s="7" t="s">
        <v>13</v>
      </c>
      <c r="J420" s="33"/>
    </row>
    <row r="421">
      <c r="A421" s="84" t="s">
        <v>337</v>
      </c>
      <c r="B421" s="11"/>
      <c r="C421" s="85" t="s">
        <v>11</v>
      </c>
      <c r="D421" s="85" t="str">
        <f t="shared" si="1"/>
        <v>-</v>
      </c>
      <c r="E421" s="7" t="s">
        <v>11</v>
      </c>
      <c r="F421" s="86"/>
      <c r="G421" s="7"/>
      <c r="H421" s="11"/>
      <c r="I421" s="7" t="s">
        <v>13</v>
      </c>
      <c r="J421" s="33"/>
    </row>
    <row r="422">
      <c r="A422" s="84" t="s">
        <v>337</v>
      </c>
      <c r="B422" s="11"/>
      <c r="C422" s="85" t="s">
        <v>11</v>
      </c>
      <c r="D422" s="85" t="str">
        <f t="shared" si="1"/>
        <v>-</v>
      </c>
      <c r="E422" s="7" t="s">
        <v>11</v>
      </c>
      <c r="F422" s="86"/>
      <c r="G422" s="7"/>
      <c r="H422" s="11"/>
      <c r="I422" s="7" t="s">
        <v>13</v>
      </c>
      <c r="J422" s="33"/>
    </row>
    <row r="423">
      <c r="A423" s="84" t="s">
        <v>337</v>
      </c>
      <c r="B423" s="11"/>
      <c r="C423" s="85" t="s">
        <v>11</v>
      </c>
      <c r="D423" s="85" t="str">
        <f t="shared" si="1"/>
        <v>-</v>
      </c>
      <c r="E423" s="7" t="s">
        <v>11</v>
      </c>
      <c r="F423" s="86"/>
      <c r="G423" s="7"/>
      <c r="H423" s="11"/>
      <c r="I423" s="7" t="s">
        <v>13</v>
      </c>
      <c r="J423" s="33"/>
    </row>
    <row r="424">
      <c r="A424" s="84" t="s">
        <v>337</v>
      </c>
      <c r="B424" s="11"/>
      <c r="C424" s="85" t="s">
        <v>11</v>
      </c>
      <c r="D424" s="85" t="str">
        <f t="shared" si="1"/>
        <v>-</v>
      </c>
      <c r="E424" s="7" t="s">
        <v>11</v>
      </c>
      <c r="F424" s="86"/>
      <c r="G424" s="7"/>
      <c r="H424" s="11"/>
      <c r="I424" s="7" t="s">
        <v>13</v>
      </c>
      <c r="J424" s="33"/>
    </row>
    <row r="425">
      <c r="A425" s="84" t="s">
        <v>337</v>
      </c>
      <c r="B425" s="11"/>
      <c r="C425" s="85" t="s">
        <v>11</v>
      </c>
      <c r="D425" s="85" t="str">
        <f t="shared" si="1"/>
        <v>-</v>
      </c>
      <c r="E425" s="7" t="s">
        <v>11</v>
      </c>
      <c r="F425" s="86"/>
      <c r="G425" s="7"/>
      <c r="H425" s="11"/>
      <c r="I425" s="7" t="s">
        <v>13</v>
      </c>
      <c r="J425" s="33"/>
    </row>
    <row r="426">
      <c r="A426" s="84" t="s">
        <v>337</v>
      </c>
      <c r="B426" s="11"/>
      <c r="C426" s="85" t="s">
        <v>11</v>
      </c>
      <c r="D426" s="85" t="str">
        <f t="shared" si="1"/>
        <v>-</v>
      </c>
      <c r="E426" s="7" t="s">
        <v>11</v>
      </c>
      <c r="F426" s="86"/>
      <c r="G426" s="7"/>
      <c r="H426" s="11"/>
      <c r="I426" s="7" t="s">
        <v>13</v>
      </c>
      <c r="J426" s="33"/>
    </row>
    <row r="427">
      <c r="A427" s="84" t="s">
        <v>337</v>
      </c>
      <c r="B427" s="11"/>
      <c r="C427" s="85" t="s">
        <v>11</v>
      </c>
      <c r="D427" s="85" t="str">
        <f t="shared" si="1"/>
        <v>-</v>
      </c>
      <c r="E427" s="7" t="s">
        <v>11</v>
      </c>
      <c r="F427" s="86"/>
      <c r="G427" s="7"/>
      <c r="H427" s="11"/>
      <c r="I427" s="7" t="s">
        <v>13</v>
      </c>
      <c r="J427" s="33"/>
    </row>
    <row r="428">
      <c r="A428" s="84" t="s">
        <v>337</v>
      </c>
      <c r="B428" s="11"/>
      <c r="C428" s="85" t="s">
        <v>11</v>
      </c>
      <c r="D428" s="85" t="str">
        <f t="shared" si="1"/>
        <v>-</v>
      </c>
      <c r="E428" s="7" t="s">
        <v>11</v>
      </c>
      <c r="F428" s="86"/>
      <c r="G428" s="7"/>
      <c r="H428" s="11"/>
      <c r="I428" s="7" t="s">
        <v>13</v>
      </c>
      <c r="J428" s="33"/>
    </row>
    <row r="429">
      <c r="A429" s="84" t="s">
        <v>337</v>
      </c>
      <c r="B429" s="11"/>
      <c r="C429" s="85" t="s">
        <v>11</v>
      </c>
      <c r="D429" s="85" t="str">
        <f t="shared" si="1"/>
        <v>-</v>
      </c>
      <c r="E429" s="7" t="s">
        <v>11</v>
      </c>
      <c r="F429" s="86"/>
      <c r="G429" s="7"/>
      <c r="H429" s="11"/>
      <c r="I429" s="7" t="s">
        <v>13</v>
      </c>
      <c r="J429" s="33"/>
    </row>
    <row r="430">
      <c r="A430" s="84" t="s">
        <v>337</v>
      </c>
      <c r="B430" s="11"/>
      <c r="C430" s="85" t="s">
        <v>11</v>
      </c>
      <c r="D430" s="85" t="str">
        <f t="shared" si="1"/>
        <v>-</v>
      </c>
      <c r="E430" s="7" t="s">
        <v>11</v>
      </c>
      <c r="F430" s="86"/>
      <c r="G430" s="7"/>
      <c r="H430" s="11"/>
      <c r="I430" s="7" t="s">
        <v>13</v>
      </c>
      <c r="J430" s="33"/>
    </row>
    <row r="431">
      <c r="A431" s="84" t="s">
        <v>337</v>
      </c>
      <c r="B431" s="11"/>
      <c r="C431" s="85" t="s">
        <v>11</v>
      </c>
      <c r="D431" s="85" t="str">
        <f t="shared" si="1"/>
        <v>-</v>
      </c>
      <c r="E431" s="7" t="s">
        <v>11</v>
      </c>
      <c r="F431" s="86"/>
      <c r="G431" s="7"/>
      <c r="H431" s="11"/>
      <c r="I431" s="7" t="s">
        <v>13</v>
      </c>
      <c r="J431" s="33"/>
    </row>
    <row r="432">
      <c r="A432" s="84" t="s">
        <v>337</v>
      </c>
      <c r="B432" s="11"/>
      <c r="C432" s="85" t="s">
        <v>11</v>
      </c>
      <c r="D432" s="85" t="str">
        <f t="shared" si="1"/>
        <v>-</v>
      </c>
      <c r="E432" s="7" t="s">
        <v>11</v>
      </c>
      <c r="F432" s="86"/>
      <c r="G432" s="7"/>
      <c r="H432" s="11"/>
      <c r="I432" s="7" t="s">
        <v>13</v>
      </c>
      <c r="J432" s="33"/>
    </row>
    <row r="433">
      <c r="A433" s="84" t="s">
        <v>337</v>
      </c>
      <c r="B433" s="11"/>
      <c r="C433" s="85" t="s">
        <v>11</v>
      </c>
      <c r="D433" s="85" t="str">
        <f t="shared" si="1"/>
        <v>-</v>
      </c>
      <c r="E433" s="7" t="s">
        <v>11</v>
      </c>
      <c r="F433" s="86"/>
      <c r="G433" s="7"/>
      <c r="H433" s="11"/>
      <c r="I433" s="7" t="s">
        <v>13</v>
      </c>
      <c r="J433" s="33"/>
    </row>
    <row r="434">
      <c r="A434" s="84" t="s">
        <v>337</v>
      </c>
      <c r="B434" s="11"/>
      <c r="C434" s="85" t="s">
        <v>11</v>
      </c>
      <c r="D434" s="85" t="str">
        <f t="shared" si="1"/>
        <v>-</v>
      </c>
      <c r="E434" s="7" t="s">
        <v>11</v>
      </c>
      <c r="F434" s="86"/>
      <c r="G434" s="7"/>
      <c r="H434" s="11"/>
      <c r="I434" s="7" t="s">
        <v>13</v>
      </c>
      <c r="J434" s="33"/>
    </row>
    <row r="435">
      <c r="A435" s="84" t="s">
        <v>337</v>
      </c>
      <c r="B435" s="11"/>
      <c r="C435" s="85" t="s">
        <v>11</v>
      </c>
      <c r="D435" s="85" t="str">
        <f t="shared" si="1"/>
        <v>-</v>
      </c>
      <c r="E435" s="7" t="s">
        <v>11</v>
      </c>
      <c r="F435" s="86"/>
      <c r="G435" s="7"/>
      <c r="H435" s="11"/>
      <c r="I435" s="7" t="s">
        <v>13</v>
      </c>
      <c r="J435" s="33"/>
    </row>
    <row r="436">
      <c r="A436" s="84" t="s">
        <v>337</v>
      </c>
      <c r="B436" s="11"/>
      <c r="C436" s="85" t="s">
        <v>11</v>
      </c>
      <c r="D436" s="85" t="str">
        <f t="shared" si="1"/>
        <v>-</v>
      </c>
      <c r="E436" s="7" t="s">
        <v>11</v>
      </c>
      <c r="F436" s="86"/>
      <c r="G436" s="7"/>
      <c r="H436" s="11"/>
      <c r="I436" s="7" t="s">
        <v>13</v>
      </c>
      <c r="J436" s="33"/>
    </row>
    <row r="437">
      <c r="A437" s="84" t="s">
        <v>337</v>
      </c>
      <c r="B437" s="11"/>
      <c r="C437" s="85" t="s">
        <v>11</v>
      </c>
      <c r="D437" s="85" t="str">
        <f t="shared" si="1"/>
        <v>-</v>
      </c>
      <c r="E437" s="7" t="s">
        <v>11</v>
      </c>
      <c r="F437" s="86"/>
      <c r="G437" s="7"/>
      <c r="H437" s="11"/>
      <c r="I437" s="7" t="s">
        <v>13</v>
      </c>
      <c r="J437" s="33"/>
    </row>
    <row r="438">
      <c r="A438" s="84" t="s">
        <v>337</v>
      </c>
      <c r="B438" s="11"/>
      <c r="C438" s="85" t="s">
        <v>11</v>
      </c>
      <c r="D438" s="85" t="str">
        <f t="shared" si="1"/>
        <v>-</v>
      </c>
      <c r="E438" s="7" t="s">
        <v>11</v>
      </c>
      <c r="F438" s="86"/>
      <c r="G438" s="7"/>
      <c r="H438" s="11"/>
      <c r="I438" s="7" t="s">
        <v>13</v>
      </c>
      <c r="J438" s="33"/>
    </row>
    <row r="439">
      <c r="A439" s="84" t="s">
        <v>337</v>
      </c>
      <c r="B439" s="11"/>
      <c r="C439" s="85" t="s">
        <v>11</v>
      </c>
      <c r="D439" s="85" t="str">
        <f t="shared" si="1"/>
        <v>-</v>
      </c>
      <c r="E439" s="7" t="s">
        <v>11</v>
      </c>
      <c r="F439" s="86"/>
      <c r="G439" s="7"/>
      <c r="H439" s="11"/>
      <c r="I439" s="7" t="s">
        <v>13</v>
      </c>
      <c r="J439" s="33"/>
    </row>
    <row r="440">
      <c r="A440" s="84" t="s">
        <v>337</v>
      </c>
      <c r="B440" s="11"/>
      <c r="C440" s="85" t="s">
        <v>11</v>
      </c>
      <c r="D440" s="85" t="str">
        <f t="shared" si="1"/>
        <v>-</v>
      </c>
      <c r="E440" s="7" t="s">
        <v>11</v>
      </c>
      <c r="F440" s="86"/>
      <c r="G440" s="7"/>
      <c r="H440" s="11"/>
      <c r="I440" s="7" t="s">
        <v>13</v>
      </c>
      <c r="J440" s="33"/>
    </row>
    <row r="441">
      <c r="A441" s="84" t="s">
        <v>337</v>
      </c>
      <c r="B441" s="11"/>
      <c r="C441" s="85" t="s">
        <v>11</v>
      </c>
      <c r="D441" s="85" t="str">
        <f t="shared" si="1"/>
        <v>-</v>
      </c>
      <c r="E441" s="7" t="s">
        <v>11</v>
      </c>
      <c r="F441" s="86"/>
      <c r="G441" s="7"/>
      <c r="H441" s="11"/>
      <c r="I441" s="7" t="s">
        <v>13</v>
      </c>
      <c r="J441" s="33"/>
    </row>
    <row r="442">
      <c r="A442" s="84" t="s">
        <v>337</v>
      </c>
      <c r="B442" s="11"/>
      <c r="C442" s="85" t="s">
        <v>11</v>
      </c>
      <c r="D442" s="85" t="str">
        <f t="shared" si="1"/>
        <v>-</v>
      </c>
      <c r="E442" s="7" t="s">
        <v>11</v>
      </c>
      <c r="F442" s="86"/>
      <c r="G442" s="7"/>
      <c r="H442" s="11"/>
      <c r="I442" s="7" t="s">
        <v>13</v>
      </c>
      <c r="J442" s="33"/>
    </row>
    <row r="443">
      <c r="A443" s="84" t="s">
        <v>337</v>
      </c>
      <c r="B443" s="11"/>
      <c r="C443" s="85" t="s">
        <v>11</v>
      </c>
      <c r="D443" s="85" t="str">
        <f t="shared" si="1"/>
        <v>-</v>
      </c>
      <c r="E443" s="7" t="s">
        <v>11</v>
      </c>
      <c r="F443" s="86"/>
      <c r="G443" s="7"/>
      <c r="H443" s="11"/>
      <c r="I443" s="7" t="s">
        <v>13</v>
      </c>
      <c r="J443" s="33"/>
    </row>
    <row r="444">
      <c r="A444" s="84" t="s">
        <v>337</v>
      </c>
      <c r="B444" s="11"/>
      <c r="C444" s="85" t="s">
        <v>11</v>
      </c>
      <c r="D444" s="85" t="str">
        <f t="shared" si="1"/>
        <v>-</v>
      </c>
      <c r="E444" s="7" t="s">
        <v>11</v>
      </c>
      <c r="F444" s="86"/>
      <c r="G444" s="7"/>
      <c r="H444" s="11"/>
      <c r="I444" s="7" t="s">
        <v>13</v>
      </c>
      <c r="J444" s="33"/>
    </row>
    <row r="445">
      <c r="A445" s="84" t="s">
        <v>337</v>
      </c>
      <c r="B445" s="11"/>
      <c r="C445" s="85" t="s">
        <v>11</v>
      </c>
      <c r="D445" s="85" t="str">
        <f t="shared" si="1"/>
        <v>-</v>
      </c>
      <c r="E445" s="7" t="s">
        <v>11</v>
      </c>
      <c r="F445" s="86"/>
      <c r="G445" s="7"/>
      <c r="H445" s="11"/>
      <c r="I445" s="7" t="s">
        <v>13</v>
      </c>
      <c r="J445" s="33"/>
    </row>
    <row r="446">
      <c r="A446" s="84" t="s">
        <v>337</v>
      </c>
      <c r="B446" s="11"/>
      <c r="C446" s="85" t="s">
        <v>11</v>
      </c>
      <c r="D446" s="85" t="str">
        <f t="shared" si="1"/>
        <v>-</v>
      </c>
      <c r="E446" s="7" t="s">
        <v>11</v>
      </c>
      <c r="F446" s="86"/>
      <c r="G446" s="7"/>
      <c r="H446" s="11"/>
      <c r="I446" s="7" t="s">
        <v>13</v>
      </c>
      <c r="J446" s="33"/>
    </row>
    <row r="447">
      <c r="A447" s="84" t="s">
        <v>337</v>
      </c>
      <c r="B447" s="11"/>
      <c r="C447" s="85" t="s">
        <v>11</v>
      </c>
      <c r="D447" s="85" t="str">
        <f t="shared" si="1"/>
        <v>-</v>
      </c>
      <c r="E447" s="7" t="s">
        <v>11</v>
      </c>
      <c r="F447" s="86"/>
      <c r="G447" s="7"/>
      <c r="H447" s="11"/>
      <c r="I447" s="7" t="s">
        <v>13</v>
      </c>
      <c r="J447" s="33"/>
    </row>
    <row r="448">
      <c r="A448" s="84" t="s">
        <v>337</v>
      </c>
      <c r="B448" s="11"/>
      <c r="C448" s="85" t="s">
        <v>11</v>
      </c>
      <c r="D448" s="85" t="str">
        <f t="shared" si="1"/>
        <v>-</v>
      </c>
      <c r="E448" s="7" t="s">
        <v>11</v>
      </c>
      <c r="F448" s="86"/>
      <c r="G448" s="7"/>
      <c r="H448" s="11"/>
      <c r="I448" s="7" t="s">
        <v>13</v>
      </c>
      <c r="J448" s="33"/>
    </row>
    <row r="449">
      <c r="A449" s="84" t="s">
        <v>337</v>
      </c>
      <c r="B449" s="11"/>
      <c r="C449" s="85" t="s">
        <v>11</v>
      </c>
      <c r="D449" s="85" t="str">
        <f t="shared" si="1"/>
        <v>-</v>
      </c>
      <c r="E449" s="7" t="s">
        <v>11</v>
      </c>
      <c r="F449" s="86"/>
      <c r="G449" s="7"/>
      <c r="H449" s="11"/>
      <c r="I449" s="7" t="s">
        <v>13</v>
      </c>
      <c r="J449" s="33"/>
    </row>
    <row r="450">
      <c r="A450" s="84" t="s">
        <v>337</v>
      </c>
      <c r="B450" s="11"/>
      <c r="C450" s="85" t="s">
        <v>11</v>
      </c>
      <c r="D450" s="85" t="str">
        <f t="shared" si="1"/>
        <v>-</v>
      </c>
      <c r="E450" s="7" t="s">
        <v>11</v>
      </c>
      <c r="F450" s="86"/>
      <c r="G450" s="7"/>
      <c r="H450" s="11"/>
      <c r="I450" s="7" t="s">
        <v>13</v>
      </c>
      <c r="J450" s="33"/>
    </row>
    <row r="451">
      <c r="A451" s="84" t="s">
        <v>337</v>
      </c>
      <c r="B451" s="11"/>
      <c r="C451" s="85" t="s">
        <v>11</v>
      </c>
      <c r="D451" s="85" t="str">
        <f t="shared" si="1"/>
        <v>-</v>
      </c>
      <c r="E451" s="7" t="s">
        <v>11</v>
      </c>
      <c r="F451" s="86"/>
      <c r="G451" s="7"/>
      <c r="H451" s="11"/>
      <c r="I451" s="7" t="s">
        <v>13</v>
      </c>
      <c r="J451" s="33"/>
    </row>
    <row r="452">
      <c r="A452" s="84" t="s">
        <v>337</v>
      </c>
      <c r="B452" s="11"/>
      <c r="C452" s="85" t="s">
        <v>11</v>
      </c>
      <c r="D452" s="85" t="str">
        <f t="shared" si="1"/>
        <v>-</v>
      </c>
      <c r="E452" s="7" t="s">
        <v>11</v>
      </c>
      <c r="F452" s="86"/>
      <c r="G452" s="7"/>
      <c r="H452" s="11"/>
      <c r="I452" s="7" t="s">
        <v>13</v>
      </c>
      <c r="J452" s="33"/>
    </row>
    <row r="453">
      <c r="A453" s="84" t="s">
        <v>337</v>
      </c>
      <c r="B453" s="11"/>
      <c r="C453" s="85" t="s">
        <v>11</v>
      </c>
      <c r="D453" s="85" t="str">
        <f t="shared" si="1"/>
        <v>-</v>
      </c>
      <c r="E453" s="7" t="s">
        <v>11</v>
      </c>
      <c r="F453" s="86"/>
      <c r="G453" s="7"/>
      <c r="H453" s="11"/>
      <c r="I453" s="7" t="s">
        <v>13</v>
      </c>
      <c r="J453" s="33"/>
    </row>
    <row r="454">
      <c r="A454" s="84" t="s">
        <v>337</v>
      </c>
      <c r="B454" s="11"/>
      <c r="C454" s="85" t="s">
        <v>11</v>
      </c>
      <c r="D454" s="85" t="str">
        <f t="shared" si="1"/>
        <v>-</v>
      </c>
      <c r="E454" s="7" t="s">
        <v>11</v>
      </c>
      <c r="F454" s="86"/>
      <c r="G454" s="7"/>
      <c r="H454" s="11"/>
      <c r="I454" s="7" t="s">
        <v>13</v>
      </c>
      <c r="J454" s="33"/>
    </row>
    <row r="455">
      <c r="A455" s="84" t="s">
        <v>337</v>
      </c>
      <c r="B455" s="11"/>
      <c r="C455" s="85" t="s">
        <v>11</v>
      </c>
      <c r="D455" s="85" t="str">
        <f t="shared" si="1"/>
        <v>-</v>
      </c>
      <c r="E455" s="7" t="s">
        <v>11</v>
      </c>
      <c r="F455" s="86"/>
      <c r="G455" s="7"/>
      <c r="H455" s="11"/>
      <c r="I455" s="7" t="s">
        <v>13</v>
      </c>
      <c r="J455" s="33"/>
    </row>
    <row r="456">
      <c r="A456" s="84" t="s">
        <v>337</v>
      </c>
      <c r="B456" s="11"/>
      <c r="C456" s="85" t="s">
        <v>11</v>
      </c>
      <c r="D456" s="85" t="str">
        <f t="shared" si="1"/>
        <v>-</v>
      </c>
      <c r="E456" s="7" t="s">
        <v>11</v>
      </c>
      <c r="F456" s="86"/>
      <c r="G456" s="7"/>
      <c r="H456" s="11"/>
      <c r="I456" s="7" t="s">
        <v>13</v>
      </c>
      <c r="J456" s="33"/>
    </row>
    <row r="457">
      <c r="A457" s="84" t="s">
        <v>337</v>
      </c>
      <c r="B457" s="11"/>
      <c r="C457" s="85" t="s">
        <v>11</v>
      </c>
      <c r="D457" s="85" t="str">
        <f t="shared" si="1"/>
        <v>-</v>
      </c>
      <c r="E457" s="7" t="s">
        <v>11</v>
      </c>
      <c r="F457" s="86"/>
      <c r="G457" s="7"/>
      <c r="H457" s="11"/>
      <c r="I457" s="7" t="s">
        <v>13</v>
      </c>
      <c r="J457" s="33"/>
    </row>
    <row r="458">
      <c r="A458" s="84" t="s">
        <v>337</v>
      </c>
      <c r="B458" s="11"/>
      <c r="C458" s="85" t="s">
        <v>11</v>
      </c>
      <c r="D458" s="85" t="str">
        <f t="shared" si="1"/>
        <v>-</v>
      </c>
      <c r="E458" s="7" t="s">
        <v>11</v>
      </c>
      <c r="F458" s="86"/>
      <c r="G458" s="7"/>
      <c r="H458" s="11"/>
      <c r="I458" s="7" t="s">
        <v>13</v>
      </c>
      <c r="J458" s="33"/>
    </row>
    <row r="459">
      <c r="A459" s="84" t="s">
        <v>337</v>
      </c>
      <c r="B459" s="11"/>
      <c r="C459" s="85" t="s">
        <v>11</v>
      </c>
      <c r="D459" s="85" t="str">
        <f t="shared" si="1"/>
        <v>-</v>
      </c>
      <c r="E459" s="7" t="s">
        <v>11</v>
      </c>
      <c r="F459" s="86"/>
      <c r="G459" s="7"/>
      <c r="H459" s="11"/>
      <c r="I459" s="7" t="s">
        <v>13</v>
      </c>
      <c r="J459" s="33"/>
    </row>
    <row r="460">
      <c r="A460" s="84" t="s">
        <v>337</v>
      </c>
      <c r="B460" s="11"/>
      <c r="C460" s="85" t="s">
        <v>11</v>
      </c>
      <c r="D460" s="85" t="str">
        <f t="shared" si="1"/>
        <v>-</v>
      </c>
      <c r="E460" s="7" t="s">
        <v>11</v>
      </c>
      <c r="F460" s="86"/>
      <c r="G460" s="7"/>
      <c r="H460" s="11"/>
      <c r="I460" s="7" t="s">
        <v>13</v>
      </c>
      <c r="J460" s="33"/>
    </row>
    <row r="461">
      <c r="A461" s="84" t="s">
        <v>337</v>
      </c>
      <c r="B461" s="11"/>
      <c r="C461" s="85" t="s">
        <v>11</v>
      </c>
      <c r="D461" s="85" t="str">
        <f t="shared" si="1"/>
        <v>-</v>
      </c>
      <c r="E461" s="7" t="s">
        <v>11</v>
      </c>
      <c r="F461" s="86"/>
      <c r="G461" s="7"/>
      <c r="H461" s="11"/>
      <c r="I461" s="7" t="s">
        <v>13</v>
      </c>
      <c r="J461" s="33"/>
    </row>
    <row r="462">
      <c r="A462" s="84" t="s">
        <v>337</v>
      </c>
      <c r="B462" s="11"/>
      <c r="C462" s="85" t="s">
        <v>11</v>
      </c>
      <c r="D462" s="85" t="str">
        <f t="shared" si="1"/>
        <v>-</v>
      </c>
      <c r="E462" s="7" t="s">
        <v>11</v>
      </c>
      <c r="F462" s="86"/>
      <c r="G462" s="7"/>
      <c r="H462" s="11"/>
      <c r="I462" s="7" t="s">
        <v>13</v>
      </c>
      <c r="J462" s="33"/>
    </row>
    <row r="463">
      <c r="A463" s="84" t="s">
        <v>337</v>
      </c>
      <c r="B463" s="11"/>
      <c r="C463" s="85" t="s">
        <v>11</v>
      </c>
      <c r="D463" s="85" t="str">
        <f t="shared" si="1"/>
        <v>-</v>
      </c>
      <c r="E463" s="7" t="s">
        <v>11</v>
      </c>
      <c r="F463" s="86"/>
      <c r="G463" s="7"/>
      <c r="H463" s="11"/>
      <c r="I463" s="7" t="s">
        <v>13</v>
      </c>
      <c r="J463" s="33"/>
    </row>
    <row r="464">
      <c r="A464" s="84" t="s">
        <v>337</v>
      </c>
      <c r="B464" s="11"/>
      <c r="C464" s="85" t="s">
        <v>11</v>
      </c>
      <c r="D464" s="85" t="str">
        <f t="shared" si="1"/>
        <v>-</v>
      </c>
      <c r="E464" s="7" t="s">
        <v>11</v>
      </c>
      <c r="F464" s="86"/>
      <c r="G464" s="7"/>
      <c r="H464" s="11"/>
      <c r="I464" s="7" t="s">
        <v>13</v>
      </c>
      <c r="J464" s="33"/>
    </row>
    <row r="465">
      <c r="A465" s="84" t="s">
        <v>337</v>
      </c>
      <c r="B465" s="11"/>
      <c r="C465" s="85" t="s">
        <v>11</v>
      </c>
      <c r="D465" s="85" t="str">
        <f t="shared" si="1"/>
        <v>-</v>
      </c>
      <c r="E465" s="7" t="s">
        <v>11</v>
      </c>
      <c r="F465" s="86"/>
      <c r="G465" s="7"/>
      <c r="H465" s="11"/>
      <c r="I465" s="7" t="s">
        <v>13</v>
      </c>
      <c r="J465" s="33"/>
    </row>
    <row r="466">
      <c r="A466" s="84" t="s">
        <v>337</v>
      </c>
      <c r="B466" s="11"/>
      <c r="C466" s="85" t="s">
        <v>11</v>
      </c>
      <c r="D466" s="85" t="str">
        <f t="shared" si="1"/>
        <v>-</v>
      </c>
      <c r="E466" s="7" t="s">
        <v>11</v>
      </c>
      <c r="F466" s="86"/>
      <c r="G466" s="7"/>
      <c r="H466" s="11"/>
      <c r="I466" s="7" t="s">
        <v>13</v>
      </c>
      <c r="J466" s="33"/>
    </row>
    <row r="467">
      <c r="A467" s="84" t="s">
        <v>337</v>
      </c>
      <c r="B467" s="11"/>
      <c r="C467" s="85" t="s">
        <v>11</v>
      </c>
      <c r="D467" s="85" t="str">
        <f t="shared" si="1"/>
        <v>-</v>
      </c>
      <c r="E467" s="7" t="s">
        <v>11</v>
      </c>
      <c r="F467" s="86"/>
      <c r="G467" s="7"/>
      <c r="H467" s="11"/>
      <c r="I467" s="7" t="s">
        <v>13</v>
      </c>
      <c r="J467" s="33"/>
    </row>
    <row r="468">
      <c r="A468" s="84" t="s">
        <v>337</v>
      </c>
      <c r="B468" s="11"/>
      <c r="C468" s="85" t="s">
        <v>11</v>
      </c>
      <c r="D468" s="85" t="str">
        <f t="shared" si="1"/>
        <v>-</v>
      </c>
      <c r="E468" s="7" t="s">
        <v>11</v>
      </c>
      <c r="F468" s="86"/>
      <c r="G468" s="7"/>
      <c r="H468" s="11"/>
      <c r="I468" s="7" t="s">
        <v>13</v>
      </c>
      <c r="J468" s="33"/>
    </row>
    <row r="469">
      <c r="A469" s="84" t="s">
        <v>337</v>
      </c>
      <c r="B469" s="11"/>
      <c r="C469" s="85" t="s">
        <v>11</v>
      </c>
      <c r="D469" s="85" t="str">
        <f t="shared" si="1"/>
        <v>-</v>
      </c>
      <c r="E469" s="7" t="s">
        <v>11</v>
      </c>
      <c r="F469" s="86"/>
      <c r="G469" s="7"/>
      <c r="H469" s="11"/>
      <c r="I469" s="7" t="s">
        <v>13</v>
      </c>
      <c r="J469" s="33"/>
    </row>
    <row r="470">
      <c r="A470" s="84" t="s">
        <v>337</v>
      </c>
      <c r="B470" s="11"/>
      <c r="C470" s="85" t="s">
        <v>11</v>
      </c>
      <c r="D470" s="85" t="str">
        <f t="shared" si="1"/>
        <v>-</v>
      </c>
      <c r="E470" s="7" t="s">
        <v>11</v>
      </c>
      <c r="F470" s="86"/>
      <c r="G470" s="7"/>
      <c r="H470" s="11"/>
      <c r="I470" s="7" t="s">
        <v>13</v>
      </c>
      <c r="J470" s="33"/>
    </row>
    <row r="471">
      <c r="A471" s="84" t="s">
        <v>337</v>
      </c>
      <c r="B471" s="11"/>
      <c r="C471" s="85" t="s">
        <v>11</v>
      </c>
      <c r="D471" s="85" t="str">
        <f t="shared" si="1"/>
        <v>-</v>
      </c>
      <c r="E471" s="7" t="s">
        <v>11</v>
      </c>
      <c r="F471" s="86"/>
      <c r="G471" s="7"/>
      <c r="H471" s="11"/>
      <c r="I471" s="7" t="s">
        <v>13</v>
      </c>
      <c r="J471" s="33"/>
    </row>
    <row r="472">
      <c r="A472" s="84" t="s">
        <v>337</v>
      </c>
      <c r="B472" s="11"/>
      <c r="C472" s="85" t="s">
        <v>11</v>
      </c>
      <c r="D472" s="85" t="str">
        <f t="shared" si="1"/>
        <v>-</v>
      </c>
      <c r="E472" s="7" t="s">
        <v>11</v>
      </c>
      <c r="F472" s="86"/>
      <c r="G472" s="7"/>
      <c r="H472" s="11"/>
      <c r="I472" s="7" t="s">
        <v>13</v>
      </c>
      <c r="J472" s="33"/>
    </row>
    <row r="473">
      <c r="A473" s="84" t="s">
        <v>337</v>
      </c>
      <c r="B473" s="11"/>
      <c r="C473" s="85" t="s">
        <v>11</v>
      </c>
      <c r="D473" s="85" t="str">
        <f t="shared" si="1"/>
        <v>-</v>
      </c>
      <c r="E473" s="7" t="s">
        <v>11</v>
      </c>
      <c r="F473" s="86"/>
      <c r="G473" s="7"/>
      <c r="H473" s="11"/>
      <c r="I473" s="7" t="s">
        <v>13</v>
      </c>
      <c r="J473" s="33"/>
    </row>
    <row r="474">
      <c r="A474" s="84" t="s">
        <v>337</v>
      </c>
      <c r="B474" s="11"/>
      <c r="C474" s="85" t="s">
        <v>11</v>
      </c>
      <c r="D474" s="85" t="str">
        <f t="shared" si="1"/>
        <v>-</v>
      </c>
      <c r="E474" s="7" t="s">
        <v>11</v>
      </c>
      <c r="F474" s="86"/>
      <c r="G474" s="7"/>
      <c r="H474" s="11"/>
      <c r="I474" s="7" t="s">
        <v>13</v>
      </c>
      <c r="J474" s="33"/>
    </row>
    <row r="475">
      <c r="A475" s="84" t="s">
        <v>337</v>
      </c>
      <c r="B475" s="11"/>
      <c r="C475" s="85" t="s">
        <v>11</v>
      </c>
      <c r="D475" s="85" t="str">
        <f t="shared" si="1"/>
        <v>-</v>
      </c>
      <c r="E475" s="7" t="s">
        <v>11</v>
      </c>
      <c r="F475" s="86"/>
      <c r="G475" s="7"/>
      <c r="H475" s="11"/>
      <c r="I475" s="7" t="s">
        <v>13</v>
      </c>
      <c r="J475" s="33"/>
    </row>
    <row r="476">
      <c r="A476" s="84" t="s">
        <v>337</v>
      </c>
      <c r="B476" s="11"/>
      <c r="C476" s="85" t="s">
        <v>11</v>
      </c>
      <c r="D476" s="85" t="str">
        <f t="shared" si="1"/>
        <v>-</v>
      </c>
      <c r="E476" s="7" t="s">
        <v>11</v>
      </c>
      <c r="F476" s="86"/>
      <c r="G476" s="7"/>
      <c r="H476" s="11"/>
      <c r="I476" s="7" t="s">
        <v>13</v>
      </c>
      <c r="J476" s="33"/>
    </row>
    <row r="477">
      <c r="A477" s="84" t="s">
        <v>337</v>
      </c>
      <c r="B477" s="11"/>
      <c r="C477" s="85" t="s">
        <v>11</v>
      </c>
      <c r="D477" s="85" t="str">
        <f t="shared" si="1"/>
        <v>-</v>
      </c>
      <c r="E477" s="7" t="s">
        <v>11</v>
      </c>
      <c r="F477" s="86"/>
      <c r="G477" s="7"/>
      <c r="H477" s="11"/>
      <c r="I477" s="7" t="s">
        <v>13</v>
      </c>
      <c r="J477" s="33"/>
    </row>
    <row r="478">
      <c r="A478" s="84" t="s">
        <v>337</v>
      </c>
      <c r="B478" s="11"/>
      <c r="C478" s="85" t="s">
        <v>11</v>
      </c>
      <c r="D478" s="85" t="str">
        <f t="shared" si="1"/>
        <v>-</v>
      </c>
      <c r="E478" s="7" t="s">
        <v>11</v>
      </c>
      <c r="F478" s="86"/>
      <c r="G478" s="7"/>
      <c r="H478" s="11"/>
      <c r="I478" s="7" t="s">
        <v>13</v>
      </c>
      <c r="J478" s="33"/>
    </row>
    <row r="479">
      <c r="A479" s="84" t="s">
        <v>337</v>
      </c>
      <c r="B479" s="11"/>
      <c r="C479" s="85" t="s">
        <v>11</v>
      </c>
      <c r="D479" s="85" t="str">
        <f t="shared" si="1"/>
        <v>-</v>
      </c>
      <c r="E479" s="7" t="s">
        <v>11</v>
      </c>
      <c r="F479" s="86"/>
      <c r="G479" s="7"/>
      <c r="H479" s="11"/>
      <c r="I479" s="7" t="s">
        <v>13</v>
      </c>
      <c r="J479" s="33"/>
    </row>
    <row r="480">
      <c r="A480" s="84" t="s">
        <v>337</v>
      </c>
      <c r="B480" s="11"/>
      <c r="C480" s="85" t="s">
        <v>11</v>
      </c>
      <c r="D480" s="85" t="str">
        <f t="shared" si="1"/>
        <v>-</v>
      </c>
      <c r="E480" s="7" t="s">
        <v>11</v>
      </c>
      <c r="F480" s="86"/>
      <c r="G480" s="7"/>
      <c r="H480" s="11"/>
      <c r="I480" s="7" t="s">
        <v>13</v>
      </c>
      <c r="J480" s="33"/>
    </row>
    <row r="481">
      <c r="A481" s="84" t="s">
        <v>337</v>
      </c>
      <c r="B481" s="11"/>
      <c r="C481" s="85" t="s">
        <v>11</v>
      </c>
      <c r="D481" s="85" t="str">
        <f t="shared" si="1"/>
        <v>-</v>
      </c>
      <c r="E481" s="7" t="s">
        <v>11</v>
      </c>
      <c r="F481" s="86"/>
      <c r="G481" s="7"/>
      <c r="H481" s="11"/>
      <c r="I481" s="7" t="s">
        <v>13</v>
      </c>
      <c r="J481" s="33"/>
    </row>
    <row r="482">
      <c r="A482" s="84" t="s">
        <v>337</v>
      </c>
      <c r="B482" s="11"/>
      <c r="C482" s="85" t="s">
        <v>11</v>
      </c>
      <c r="D482" s="85" t="str">
        <f t="shared" si="1"/>
        <v>-</v>
      </c>
      <c r="E482" s="7" t="s">
        <v>11</v>
      </c>
      <c r="F482" s="86"/>
      <c r="G482" s="7"/>
      <c r="H482" s="11"/>
      <c r="I482" s="7" t="s">
        <v>13</v>
      </c>
      <c r="J482" s="33"/>
    </row>
    <row r="483">
      <c r="A483" s="84" t="s">
        <v>337</v>
      </c>
      <c r="B483" s="11"/>
      <c r="C483" s="85" t="s">
        <v>11</v>
      </c>
      <c r="D483" s="85" t="str">
        <f t="shared" si="1"/>
        <v>-</v>
      </c>
      <c r="E483" s="7" t="s">
        <v>11</v>
      </c>
      <c r="F483" s="86"/>
      <c r="G483" s="7"/>
      <c r="H483" s="11"/>
      <c r="I483" s="7" t="s">
        <v>13</v>
      </c>
      <c r="J483" s="33"/>
    </row>
    <row r="484">
      <c r="A484" s="84" t="s">
        <v>337</v>
      </c>
      <c r="B484" s="11"/>
      <c r="C484" s="85" t="s">
        <v>11</v>
      </c>
      <c r="D484" s="85" t="str">
        <f t="shared" si="1"/>
        <v>-</v>
      </c>
      <c r="E484" s="7" t="s">
        <v>11</v>
      </c>
      <c r="F484" s="86"/>
      <c r="G484" s="7"/>
      <c r="H484" s="11"/>
      <c r="I484" s="7" t="s">
        <v>13</v>
      </c>
      <c r="J484" s="33"/>
    </row>
    <row r="485">
      <c r="A485" s="84" t="s">
        <v>337</v>
      </c>
      <c r="B485" s="11"/>
      <c r="C485" s="85" t="s">
        <v>11</v>
      </c>
      <c r="D485" s="85" t="str">
        <f t="shared" si="1"/>
        <v>-</v>
      </c>
      <c r="E485" s="7" t="s">
        <v>11</v>
      </c>
      <c r="F485" s="86"/>
      <c r="G485" s="7"/>
      <c r="H485" s="11"/>
      <c r="I485" s="7" t="s">
        <v>13</v>
      </c>
      <c r="J485" s="33"/>
    </row>
    <row r="486">
      <c r="A486" s="84" t="s">
        <v>337</v>
      </c>
      <c r="B486" s="11"/>
      <c r="C486" s="85" t="s">
        <v>11</v>
      </c>
      <c r="D486" s="85" t="str">
        <f t="shared" si="1"/>
        <v>-</v>
      </c>
      <c r="E486" s="7" t="s">
        <v>11</v>
      </c>
      <c r="F486" s="86"/>
      <c r="G486" s="7"/>
      <c r="H486" s="11"/>
      <c r="I486" s="7" t="s">
        <v>13</v>
      </c>
      <c r="J486" s="33"/>
    </row>
    <row r="487">
      <c r="A487" s="84" t="s">
        <v>337</v>
      </c>
      <c r="B487" s="11"/>
      <c r="C487" s="85" t="s">
        <v>11</v>
      </c>
      <c r="D487" s="85" t="str">
        <f t="shared" si="1"/>
        <v>-</v>
      </c>
      <c r="E487" s="7" t="s">
        <v>11</v>
      </c>
      <c r="F487" s="86"/>
      <c r="G487" s="7"/>
      <c r="H487" s="11"/>
      <c r="I487" s="7" t="s">
        <v>13</v>
      </c>
      <c r="J487" s="33"/>
    </row>
    <row r="488">
      <c r="A488" s="84" t="s">
        <v>337</v>
      </c>
      <c r="B488" s="11"/>
      <c r="C488" s="85" t="s">
        <v>11</v>
      </c>
      <c r="D488" s="85" t="str">
        <f t="shared" si="1"/>
        <v>-</v>
      </c>
      <c r="E488" s="7" t="s">
        <v>11</v>
      </c>
      <c r="F488" s="86"/>
      <c r="G488" s="7"/>
      <c r="H488" s="11"/>
      <c r="I488" s="7" t="s">
        <v>13</v>
      </c>
      <c r="J488" s="33"/>
    </row>
    <row r="489">
      <c r="A489" s="84" t="s">
        <v>337</v>
      </c>
      <c r="B489" s="11"/>
      <c r="C489" s="85" t="s">
        <v>11</v>
      </c>
      <c r="D489" s="85" t="str">
        <f t="shared" si="1"/>
        <v>-</v>
      </c>
      <c r="E489" s="7" t="s">
        <v>11</v>
      </c>
      <c r="F489" s="86"/>
      <c r="G489" s="7"/>
      <c r="H489" s="11"/>
      <c r="I489" s="7" t="s">
        <v>13</v>
      </c>
      <c r="J489" s="33"/>
    </row>
    <row r="490">
      <c r="A490" s="84" t="s">
        <v>337</v>
      </c>
      <c r="B490" s="11"/>
      <c r="C490" s="85" t="s">
        <v>11</v>
      </c>
      <c r="D490" s="85" t="str">
        <f t="shared" si="1"/>
        <v>-</v>
      </c>
      <c r="E490" s="7" t="s">
        <v>11</v>
      </c>
      <c r="F490" s="86"/>
      <c r="G490" s="7"/>
      <c r="H490" s="11"/>
      <c r="I490" s="7" t="s">
        <v>13</v>
      </c>
      <c r="J490" s="33"/>
    </row>
    <row r="491">
      <c r="A491" s="84" t="s">
        <v>337</v>
      </c>
      <c r="B491" s="11"/>
      <c r="C491" s="85" t="s">
        <v>11</v>
      </c>
      <c r="D491" s="85" t="str">
        <f t="shared" si="1"/>
        <v>-</v>
      </c>
      <c r="E491" s="7" t="s">
        <v>11</v>
      </c>
      <c r="F491" s="86"/>
      <c r="G491" s="7"/>
      <c r="H491" s="11"/>
      <c r="I491" s="7" t="s">
        <v>13</v>
      </c>
      <c r="J491" s="33"/>
    </row>
    <row r="492">
      <c r="A492" s="84" t="s">
        <v>337</v>
      </c>
      <c r="B492" s="11"/>
      <c r="C492" s="85" t="s">
        <v>11</v>
      </c>
      <c r="D492" s="85" t="str">
        <f t="shared" si="1"/>
        <v>-</v>
      </c>
      <c r="E492" s="7" t="s">
        <v>11</v>
      </c>
      <c r="F492" s="86"/>
      <c r="G492" s="7"/>
      <c r="H492" s="11"/>
      <c r="I492" s="7" t="s">
        <v>13</v>
      </c>
      <c r="J492" s="33"/>
    </row>
    <row r="493">
      <c r="A493" s="84" t="s">
        <v>337</v>
      </c>
      <c r="B493" s="11"/>
      <c r="C493" s="85" t="s">
        <v>11</v>
      </c>
      <c r="D493" s="85" t="str">
        <f t="shared" si="1"/>
        <v>-</v>
      </c>
      <c r="E493" s="7" t="s">
        <v>11</v>
      </c>
      <c r="F493" s="86"/>
      <c r="G493" s="7"/>
      <c r="H493" s="11"/>
      <c r="I493" s="7" t="s">
        <v>13</v>
      </c>
      <c r="J493" s="33"/>
    </row>
    <row r="494">
      <c r="A494" s="84" t="s">
        <v>337</v>
      </c>
      <c r="B494" s="11"/>
      <c r="C494" s="85" t="s">
        <v>11</v>
      </c>
      <c r="D494" s="85" t="str">
        <f t="shared" si="1"/>
        <v>-</v>
      </c>
      <c r="E494" s="7" t="s">
        <v>11</v>
      </c>
      <c r="F494" s="86"/>
      <c r="G494" s="7"/>
      <c r="H494" s="11"/>
      <c r="I494" s="7" t="s">
        <v>13</v>
      </c>
      <c r="J494" s="33"/>
    </row>
    <row r="495">
      <c r="A495" s="84" t="s">
        <v>337</v>
      </c>
      <c r="B495" s="11"/>
      <c r="C495" s="85" t="s">
        <v>11</v>
      </c>
      <c r="D495" s="85" t="str">
        <f t="shared" si="1"/>
        <v>-</v>
      </c>
      <c r="E495" s="7" t="s">
        <v>11</v>
      </c>
      <c r="F495" s="86"/>
      <c r="G495" s="7"/>
      <c r="H495" s="11"/>
      <c r="I495" s="7" t="s">
        <v>13</v>
      </c>
      <c r="J495" s="33"/>
    </row>
    <row r="496">
      <c r="A496" s="84" t="s">
        <v>337</v>
      </c>
      <c r="B496" s="11"/>
      <c r="C496" s="85" t="s">
        <v>11</v>
      </c>
      <c r="D496" s="85" t="str">
        <f t="shared" si="1"/>
        <v>-</v>
      </c>
      <c r="E496" s="7" t="s">
        <v>11</v>
      </c>
      <c r="F496" s="86"/>
      <c r="G496" s="7"/>
      <c r="H496" s="11"/>
      <c r="I496" s="7" t="s">
        <v>13</v>
      </c>
      <c r="J496" s="33"/>
    </row>
    <row r="497">
      <c r="A497" s="84" t="s">
        <v>337</v>
      </c>
      <c r="B497" s="11"/>
      <c r="C497" s="85" t="s">
        <v>11</v>
      </c>
      <c r="D497" s="85" t="str">
        <f t="shared" si="1"/>
        <v>-</v>
      </c>
      <c r="E497" s="7" t="s">
        <v>11</v>
      </c>
      <c r="F497" s="86"/>
      <c r="G497" s="7"/>
      <c r="H497" s="11"/>
      <c r="I497" s="7" t="s">
        <v>13</v>
      </c>
      <c r="J497" s="33"/>
    </row>
    <row r="498">
      <c r="A498" s="84" t="s">
        <v>337</v>
      </c>
      <c r="B498" s="11"/>
      <c r="C498" s="85" t="s">
        <v>11</v>
      </c>
      <c r="D498" s="85" t="str">
        <f t="shared" si="1"/>
        <v>-</v>
      </c>
      <c r="E498" s="7" t="s">
        <v>11</v>
      </c>
      <c r="F498" s="86"/>
      <c r="G498" s="7"/>
      <c r="H498" s="11"/>
      <c r="I498" s="7" t="s">
        <v>13</v>
      </c>
      <c r="J498" s="33"/>
    </row>
    <row r="499">
      <c r="A499" s="84" t="s">
        <v>337</v>
      </c>
      <c r="B499" s="11"/>
      <c r="C499" s="85" t="s">
        <v>11</v>
      </c>
      <c r="D499" s="85" t="str">
        <f t="shared" si="1"/>
        <v>-</v>
      </c>
      <c r="E499" s="7" t="s">
        <v>11</v>
      </c>
      <c r="F499" s="86"/>
      <c r="G499" s="7"/>
      <c r="H499" s="11"/>
      <c r="I499" s="7" t="s">
        <v>13</v>
      </c>
      <c r="J499" s="33"/>
    </row>
    <row r="500">
      <c r="A500" s="84" t="s">
        <v>337</v>
      </c>
      <c r="B500" s="11"/>
      <c r="C500" s="85" t="s">
        <v>11</v>
      </c>
      <c r="D500" s="85" t="str">
        <f t="shared" si="1"/>
        <v>-</v>
      </c>
      <c r="E500" s="7" t="s">
        <v>11</v>
      </c>
      <c r="F500" s="86"/>
      <c r="G500" s="7"/>
      <c r="H500" s="11"/>
      <c r="I500" s="7" t="s">
        <v>13</v>
      </c>
      <c r="J500" s="33"/>
    </row>
    <row r="501">
      <c r="A501" s="84" t="s">
        <v>337</v>
      </c>
      <c r="B501" s="11"/>
      <c r="C501" s="85" t="s">
        <v>11</v>
      </c>
      <c r="D501" s="85" t="str">
        <f t="shared" si="1"/>
        <v>-</v>
      </c>
      <c r="E501" s="7" t="s">
        <v>11</v>
      </c>
      <c r="F501" s="86"/>
      <c r="G501" s="7"/>
      <c r="H501" s="11"/>
      <c r="I501" s="7" t="s">
        <v>13</v>
      </c>
      <c r="J501" s="33"/>
    </row>
    <row r="502">
      <c r="A502" s="84" t="s">
        <v>337</v>
      </c>
      <c r="B502" s="11"/>
      <c r="C502" s="85" t="s">
        <v>11</v>
      </c>
      <c r="D502" s="85" t="str">
        <f t="shared" si="1"/>
        <v>-</v>
      </c>
      <c r="E502" s="7" t="s">
        <v>11</v>
      </c>
      <c r="F502" s="86"/>
      <c r="G502" s="7"/>
      <c r="H502" s="11"/>
      <c r="I502" s="7" t="s">
        <v>13</v>
      </c>
      <c r="J502" s="33"/>
    </row>
    <row r="503">
      <c r="A503" s="84" t="s">
        <v>337</v>
      </c>
      <c r="B503" s="11"/>
      <c r="C503" s="85" t="s">
        <v>11</v>
      </c>
      <c r="D503" s="85" t="str">
        <f t="shared" si="1"/>
        <v>-</v>
      </c>
      <c r="E503" s="7" t="s">
        <v>11</v>
      </c>
      <c r="F503" s="86"/>
      <c r="G503" s="7"/>
      <c r="H503" s="11"/>
      <c r="I503" s="7" t="s">
        <v>13</v>
      </c>
      <c r="J503" s="33"/>
    </row>
    <row r="504">
      <c r="A504" s="84" t="s">
        <v>337</v>
      </c>
      <c r="B504" s="11"/>
      <c r="C504" s="85" t="s">
        <v>11</v>
      </c>
      <c r="D504" s="85" t="str">
        <f t="shared" si="1"/>
        <v>-</v>
      </c>
      <c r="E504" s="7" t="s">
        <v>11</v>
      </c>
      <c r="F504" s="86"/>
      <c r="G504" s="7"/>
      <c r="H504" s="11"/>
      <c r="I504" s="7" t="s">
        <v>13</v>
      </c>
      <c r="J504" s="33"/>
    </row>
    <row r="505">
      <c r="A505" s="84" t="s">
        <v>337</v>
      </c>
      <c r="B505" s="11"/>
      <c r="C505" s="85" t="s">
        <v>11</v>
      </c>
      <c r="D505" s="85" t="str">
        <f t="shared" si="1"/>
        <v>-</v>
      </c>
      <c r="E505" s="7" t="s">
        <v>11</v>
      </c>
      <c r="F505" s="86"/>
      <c r="G505" s="7"/>
      <c r="H505" s="11"/>
      <c r="I505" s="7" t="s">
        <v>13</v>
      </c>
      <c r="J505" s="33"/>
    </row>
    <row r="506">
      <c r="A506" s="84" t="s">
        <v>337</v>
      </c>
      <c r="B506" s="11"/>
      <c r="C506" s="85" t="s">
        <v>11</v>
      </c>
      <c r="D506" s="85" t="str">
        <f t="shared" si="1"/>
        <v>-</v>
      </c>
      <c r="E506" s="7" t="s">
        <v>11</v>
      </c>
      <c r="F506" s="86"/>
      <c r="G506" s="7"/>
      <c r="H506" s="11"/>
      <c r="I506" s="7" t="s">
        <v>13</v>
      </c>
      <c r="J506" s="33"/>
    </row>
    <row r="507">
      <c r="A507" s="84" t="s">
        <v>337</v>
      </c>
      <c r="B507" s="11"/>
      <c r="C507" s="85" t="s">
        <v>11</v>
      </c>
      <c r="D507" s="85" t="str">
        <f t="shared" si="1"/>
        <v>-</v>
      </c>
      <c r="E507" s="7" t="s">
        <v>11</v>
      </c>
      <c r="F507" s="86"/>
      <c r="G507" s="7"/>
      <c r="H507" s="11"/>
      <c r="I507" s="7" t="s">
        <v>13</v>
      </c>
      <c r="J507" s="33"/>
    </row>
    <row r="508">
      <c r="A508" s="84" t="s">
        <v>337</v>
      </c>
      <c r="B508" s="11"/>
      <c r="C508" s="85" t="s">
        <v>11</v>
      </c>
      <c r="D508" s="85" t="str">
        <f t="shared" si="1"/>
        <v>-</v>
      </c>
      <c r="E508" s="7" t="s">
        <v>11</v>
      </c>
      <c r="F508" s="86"/>
      <c r="G508" s="7"/>
      <c r="H508" s="11"/>
      <c r="I508" s="7" t="s">
        <v>13</v>
      </c>
      <c r="J508" s="33"/>
    </row>
    <row r="509">
      <c r="A509" s="84" t="s">
        <v>337</v>
      </c>
      <c r="B509" s="11"/>
      <c r="C509" s="85" t="s">
        <v>11</v>
      </c>
      <c r="D509" s="85" t="str">
        <f t="shared" si="1"/>
        <v>-</v>
      </c>
      <c r="E509" s="7" t="s">
        <v>11</v>
      </c>
      <c r="F509" s="86"/>
      <c r="G509" s="7"/>
      <c r="H509" s="11"/>
      <c r="I509" s="7" t="s">
        <v>13</v>
      </c>
      <c r="J509" s="33"/>
    </row>
    <row r="510">
      <c r="A510" s="84" t="s">
        <v>337</v>
      </c>
      <c r="B510" s="11"/>
      <c r="C510" s="85" t="s">
        <v>11</v>
      </c>
      <c r="D510" s="85" t="str">
        <f t="shared" si="1"/>
        <v>-</v>
      </c>
      <c r="E510" s="7" t="s">
        <v>11</v>
      </c>
      <c r="F510" s="86"/>
      <c r="G510" s="7"/>
      <c r="H510" s="11"/>
      <c r="I510" s="7" t="s">
        <v>13</v>
      </c>
      <c r="J510" s="33"/>
    </row>
    <row r="511">
      <c r="A511" s="84" t="s">
        <v>337</v>
      </c>
      <c r="B511" s="11"/>
      <c r="C511" s="85" t="s">
        <v>11</v>
      </c>
      <c r="D511" s="85" t="str">
        <f t="shared" si="1"/>
        <v>-</v>
      </c>
      <c r="E511" s="7" t="s">
        <v>11</v>
      </c>
      <c r="F511" s="86"/>
      <c r="G511" s="7"/>
      <c r="H511" s="11"/>
      <c r="I511" s="7" t="s">
        <v>13</v>
      </c>
      <c r="J511" s="33"/>
    </row>
    <row r="512">
      <c r="A512" s="84" t="s">
        <v>337</v>
      </c>
      <c r="B512" s="11"/>
      <c r="C512" s="85" t="s">
        <v>11</v>
      </c>
      <c r="D512" s="85" t="str">
        <f t="shared" si="1"/>
        <v>-</v>
      </c>
      <c r="E512" s="7" t="s">
        <v>11</v>
      </c>
      <c r="F512" s="86"/>
      <c r="G512" s="7"/>
      <c r="H512" s="11"/>
      <c r="I512" s="7" t="s">
        <v>13</v>
      </c>
      <c r="J512" s="33"/>
    </row>
    <row r="513">
      <c r="A513" s="84" t="s">
        <v>337</v>
      </c>
      <c r="B513" s="11"/>
      <c r="C513" s="85" t="s">
        <v>11</v>
      </c>
      <c r="D513" s="85" t="str">
        <f t="shared" si="1"/>
        <v>-</v>
      </c>
      <c r="E513" s="7" t="s">
        <v>11</v>
      </c>
      <c r="F513" s="86"/>
      <c r="G513" s="7"/>
      <c r="H513" s="11"/>
      <c r="I513" s="7" t="s">
        <v>13</v>
      </c>
      <c r="J513" s="33"/>
    </row>
    <row r="514">
      <c r="A514" s="84" t="s">
        <v>337</v>
      </c>
      <c r="B514" s="11"/>
      <c r="C514" s="85" t="s">
        <v>11</v>
      </c>
      <c r="D514" s="85" t="str">
        <f t="shared" si="1"/>
        <v>-</v>
      </c>
      <c r="E514" s="7" t="s">
        <v>11</v>
      </c>
      <c r="F514" s="86"/>
      <c r="G514" s="7"/>
      <c r="H514" s="11"/>
      <c r="I514" s="7" t="s">
        <v>13</v>
      </c>
      <c r="J514" s="33"/>
    </row>
    <row r="515">
      <c r="A515" s="84" t="s">
        <v>337</v>
      </c>
      <c r="B515" s="11"/>
      <c r="C515" s="85" t="s">
        <v>11</v>
      </c>
      <c r="D515" s="85" t="str">
        <f t="shared" si="1"/>
        <v>-</v>
      </c>
      <c r="E515" s="7" t="s">
        <v>11</v>
      </c>
      <c r="F515" s="86"/>
      <c r="G515" s="7"/>
      <c r="H515" s="11"/>
      <c r="I515" s="7" t="s">
        <v>13</v>
      </c>
      <c r="J515" s="33"/>
    </row>
    <row r="516">
      <c r="A516" s="84" t="s">
        <v>337</v>
      </c>
      <c r="B516" s="11"/>
      <c r="C516" s="85" t="s">
        <v>11</v>
      </c>
      <c r="D516" s="85" t="str">
        <f t="shared" si="1"/>
        <v>-</v>
      </c>
      <c r="E516" s="7" t="s">
        <v>11</v>
      </c>
      <c r="F516" s="86"/>
      <c r="G516" s="7"/>
      <c r="H516" s="11"/>
      <c r="I516" s="7" t="s">
        <v>13</v>
      </c>
      <c r="J516" s="33"/>
    </row>
    <row r="517">
      <c r="A517" s="84" t="s">
        <v>337</v>
      </c>
      <c r="B517" s="11"/>
      <c r="C517" s="85" t="s">
        <v>11</v>
      </c>
      <c r="D517" s="85" t="str">
        <f t="shared" si="1"/>
        <v>-</v>
      </c>
      <c r="E517" s="7" t="s">
        <v>11</v>
      </c>
      <c r="F517" s="86"/>
      <c r="G517" s="7"/>
      <c r="H517" s="11"/>
      <c r="I517" s="7" t="s">
        <v>13</v>
      </c>
      <c r="J517" s="33"/>
    </row>
    <row r="518">
      <c r="A518" s="84" t="s">
        <v>337</v>
      </c>
      <c r="B518" s="11"/>
      <c r="C518" s="85" t="s">
        <v>11</v>
      </c>
      <c r="D518" s="85" t="str">
        <f t="shared" si="1"/>
        <v>-</v>
      </c>
      <c r="E518" s="7" t="s">
        <v>11</v>
      </c>
      <c r="F518" s="86"/>
      <c r="G518" s="7"/>
      <c r="H518" s="11"/>
      <c r="I518" s="7" t="s">
        <v>13</v>
      </c>
      <c r="J518" s="33"/>
    </row>
    <row r="519">
      <c r="A519" s="84" t="s">
        <v>337</v>
      </c>
      <c r="B519" s="11"/>
      <c r="C519" s="85" t="s">
        <v>11</v>
      </c>
      <c r="D519" s="85" t="str">
        <f t="shared" si="1"/>
        <v>-</v>
      </c>
      <c r="E519" s="7" t="s">
        <v>11</v>
      </c>
      <c r="F519" s="86"/>
      <c r="G519" s="7"/>
      <c r="H519" s="11"/>
      <c r="I519" s="7" t="s">
        <v>13</v>
      </c>
      <c r="J519" s="33"/>
    </row>
    <row r="520">
      <c r="A520" s="84" t="s">
        <v>337</v>
      </c>
      <c r="B520" s="11"/>
      <c r="C520" s="85" t="s">
        <v>11</v>
      </c>
      <c r="D520" s="85" t="str">
        <f t="shared" si="1"/>
        <v>-</v>
      </c>
      <c r="E520" s="7" t="s">
        <v>11</v>
      </c>
      <c r="F520" s="86"/>
      <c r="G520" s="7"/>
      <c r="H520" s="11"/>
      <c r="I520" s="7" t="s">
        <v>13</v>
      </c>
      <c r="J520" s="33"/>
    </row>
    <row r="521">
      <c r="A521" s="84" t="s">
        <v>337</v>
      </c>
      <c r="B521" s="11"/>
      <c r="C521" s="85" t="s">
        <v>11</v>
      </c>
      <c r="D521" s="85" t="str">
        <f t="shared" si="1"/>
        <v>-</v>
      </c>
      <c r="E521" s="7" t="s">
        <v>11</v>
      </c>
      <c r="F521" s="86"/>
      <c r="G521" s="7"/>
      <c r="H521" s="11"/>
      <c r="I521" s="7" t="s">
        <v>13</v>
      </c>
      <c r="J521" s="33"/>
    </row>
    <row r="522">
      <c r="A522" s="84" t="s">
        <v>337</v>
      </c>
      <c r="B522" s="11"/>
      <c r="C522" s="85" t="s">
        <v>11</v>
      </c>
      <c r="D522" s="85" t="str">
        <f t="shared" si="1"/>
        <v>-</v>
      </c>
      <c r="E522" s="7" t="s">
        <v>11</v>
      </c>
      <c r="F522" s="86"/>
      <c r="G522" s="7"/>
      <c r="H522" s="11"/>
      <c r="I522" s="7" t="s">
        <v>13</v>
      </c>
      <c r="J522" s="33"/>
    </row>
    <row r="523">
      <c r="A523" s="84" t="s">
        <v>337</v>
      </c>
      <c r="B523" s="11"/>
      <c r="C523" s="85" t="s">
        <v>11</v>
      </c>
      <c r="D523" s="85" t="str">
        <f t="shared" si="1"/>
        <v>-</v>
      </c>
      <c r="E523" s="7" t="s">
        <v>11</v>
      </c>
      <c r="F523" s="86"/>
      <c r="G523" s="7"/>
      <c r="H523" s="11"/>
      <c r="I523" s="7" t="s">
        <v>13</v>
      </c>
      <c r="J523" s="33"/>
    </row>
    <row r="524">
      <c r="A524" s="84" t="s">
        <v>337</v>
      </c>
      <c r="B524" s="11"/>
      <c r="C524" s="85" t="s">
        <v>11</v>
      </c>
      <c r="D524" s="85" t="str">
        <f t="shared" si="1"/>
        <v>-</v>
      </c>
      <c r="E524" s="7" t="s">
        <v>11</v>
      </c>
      <c r="F524" s="86"/>
      <c r="G524" s="7"/>
      <c r="H524" s="11"/>
      <c r="I524" s="7" t="s">
        <v>13</v>
      </c>
      <c r="J524" s="33"/>
    </row>
    <row r="525">
      <c r="A525" s="84" t="s">
        <v>337</v>
      </c>
      <c r="B525" s="11"/>
      <c r="C525" s="85" t="s">
        <v>11</v>
      </c>
      <c r="D525" s="85" t="str">
        <f t="shared" si="1"/>
        <v>-</v>
      </c>
      <c r="E525" s="7" t="s">
        <v>11</v>
      </c>
      <c r="F525" s="86"/>
      <c r="G525" s="7"/>
      <c r="H525" s="11"/>
      <c r="I525" s="7" t="s">
        <v>13</v>
      </c>
      <c r="J525" s="33"/>
    </row>
    <row r="526">
      <c r="A526" s="84" t="s">
        <v>337</v>
      </c>
      <c r="B526" s="11"/>
      <c r="C526" s="85" t="s">
        <v>11</v>
      </c>
      <c r="D526" s="85" t="str">
        <f t="shared" si="1"/>
        <v>-</v>
      </c>
      <c r="E526" s="7" t="s">
        <v>11</v>
      </c>
      <c r="F526" s="86"/>
      <c r="G526" s="7"/>
      <c r="H526" s="11"/>
      <c r="I526" s="7" t="s">
        <v>13</v>
      </c>
      <c r="J526" s="33"/>
    </row>
    <row r="527">
      <c r="A527" s="84" t="s">
        <v>337</v>
      </c>
      <c r="B527" s="11"/>
      <c r="C527" s="85" t="s">
        <v>11</v>
      </c>
      <c r="D527" s="85" t="str">
        <f t="shared" si="1"/>
        <v>-</v>
      </c>
      <c r="E527" s="7" t="s">
        <v>11</v>
      </c>
      <c r="F527" s="86"/>
      <c r="G527" s="7"/>
      <c r="H527" s="11"/>
      <c r="I527" s="7" t="s">
        <v>13</v>
      </c>
      <c r="J527" s="33"/>
    </row>
    <row r="528">
      <c r="A528" s="84" t="s">
        <v>337</v>
      </c>
      <c r="B528" s="11"/>
      <c r="C528" s="85" t="s">
        <v>11</v>
      </c>
      <c r="D528" s="85" t="str">
        <f t="shared" si="1"/>
        <v>-</v>
      </c>
      <c r="E528" s="7" t="s">
        <v>11</v>
      </c>
      <c r="F528" s="86"/>
      <c r="G528" s="7"/>
      <c r="H528" s="11"/>
      <c r="I528" s="7" t="s">
        <v>13</v>
      </c>
      <c r="J528" s="33"/>
    </row>
    <row r="529">
      <c r="A529" s="84" t="s">
        <v>337</v>
      </c>
      <c r="B529" s="11"/>
      <c r="C529" s="85" t="s">
        <v>11</v>
      </c>
      <c r="D529" s="85" t="str">
        <f t="shared" si="1"/>
        <v>-</v>
      </c>
      <c r="E529" s="7" t="s">
        <v>11</v>
      </c>
      <c r="F529" s="86"/>
      <c r="G529" s="7"/>
      <c r="H529" s="11"/>
      <c r="I529" s="7" t="s">
        <v>13</v>
      </c>
      <c r="J529" s="33"/>
    </row>
    <row r="530">
      <c r="A530" s="84" t="s">
        <v>337</v>
      </c>
      <c r="B530" s="11"/>
      <c r="C530" s="85" t="s">
        <v>11</v>
      </c>
      <c r="D530" s="85" t="str">
        <f t="shared" si="1"/>
        <v>-</v>
      </c>
      <c r="E530" s="7" t="s">
        <v>11</v>
      </c>
      <c r="F530" s="86"/>
      <c r="G530" s="7"/>
      <c r="H530" s="11"/>
      <c r="I530" s="7" t="s">
        <v>13</v>
      </c>
      <c r="J530" s="33"/>
    </row>
    <row r="531">
      <c r="A531" s="84" t="s">
        <v>337</v>
      </c>
      <c r="B531" s="11"/>
      <c r="C531" s="85" t="s">
        <v>11</v>
      </c>
      <c r="D531" s="85" t="str">
        <f t="shared" si="1"/>
        <v>-</v>
      </c>
      <c r="E531" s="7" t="s">
        <v>11</v>
      </c>
      <c r="F531" s="86"/>
      <c r="G531" s="7"/>
      <c r="H531" s="11"/>
      <c r="I531" s="7" t="s">
        <v>13</v>
      </c>
      <c r="J531" s="33"/>
    </row>
    <row r="532">
      <c r="A532" s="84" t="s">
        <v>337</v>
      </c>
      <c r="B532" s="11"/>
      <c r="C532" s="85" t="s">
        <v>11</v>
      </c>
      <c r="D532" s="85" t="str">
        <f t="shared" si="1"/>
        <v>-</v>
      </c>
      <c r="E532" s="7" t="s">
        <v>11</v>
      </c>
      <c r="F532" s="86"/>
      <c r="G532" s="7"/>
      <c r="H532" s="11"/>
      <c r="I532" s="7" t="s">
        <v>13</v>
      </c>
      <c r="J532" s="33"/>
    </row>
    <row r="533">
      <c r="A533" s="84" t="s">
        <v>337</v>
      </c>
      <c r="B533" s="11"/>
      <c r="C533" s="85" t="s">
        <v>11</v>
      </c>
      <c r="D533" s="85" t="str">
        <f t="shared" si="1"/>
        <v>-</v>
      </c>
      <c r="E533" s="7" t="s">
        <v>11</v>
      </c>
      <c r="F533" s="86"/>
      <c r="G533" s="7"/>
      <c r="H533" s="11"/>
      <c r="I533" s="7" t="s">
        <v>13</v>
      </c>
      <c r="J533" s="33"/>
    </row>
    <row r="534">
      <c r="A534" s="84" t="s">
        <v>337</v>
      </c>
      <c r="B534" s="11"/>
      <c r="C534" s="85" t="s">
        <v>11</v>
      </c>
      <c r="D534" s="85" t="str">
        <f t="shared" si="1"/>
        <v>-</v>
      </c>
      <c r="E534" s="7" t="s">
        <v>11</v>
      </c>
      <c r="F534" s="86"/>
      <c r="G534" s="7"/>
      <c r="H534" s="11"/>
      <c r="I534" s="7" t="s">
        <v>13</v>
      </c>
      <c r="J534" s="33"/>
    </row>
    <row r="535">
      <c r="A535" s="84" t="s">
        <v>337</v>
      </c>
      <c r="B535" s="11"/>
      <c r="C535" s="85" t="s">
        <v>11</v>
      </c>
      <c r="D535" s="85" t="str">
        <f t="shared" si="1"/>
        <v>-</v>
      </c>
      <c r="E535" s="7" t="s">
        <v>11</v>
      </c>
      <c r="F535" s="86"/>
      <c r="G535" s="7"/>
      <c r="H535" s="11"/>
      <c r="I535" s="7" t="s">
        <v>13</v>
      </c>
      <c r="J535" s="33"/>
    </row>
    <row r="536">
      <c r="A536" s="84" t="s">
        <v>337</v>
      </c>
      <c r="B536" s="11"/>
      <c r="C536" s="85" t="s">
        <v>11</v>
      </c>
      <c r="D536" s="85" t="str">
        <f t="shared" si="1"/>
        <v>-</v>
      </c>
      <c r="E536" s="7" t="s">
        <v>11</v>
      </c>
      <c r="F536" s="86"/>
      <c r="G536" s="7"/>
      <c r="H536" s="11"/>
      <c r="I536" s="7" t="s">
        <v>13</v>
      </c>
      <c r="J536" s="33"/>
    </row>
    <row r="537">
      <c r="A537" s="84" t="s">
        <v>337</v>
      </c>
      <c r="B537" s="11"/>
      <c r="C537" s="85" t="s">
        <v>11</v>
      </c>
      <c r="D537" s="85" t="str">
        <f t="shared" si="1"/>
        <v>-</v>
      </c>
      <c r="E537" s="7" t="s">
        <v>11</v>
      </c>
      <c r="F537" s="86"/>
      <c r="G537" s="7"/>
      <c r="H537" s="11"/>
      <c r="I537" s="7" t="s">
        <v>13</v>
      </c>
      <c r="J537" s="33"/>
    </row>
    <row r="538">
      <c r="A538" s="84" t="s">
        <v>337</v>
      </c>
      <c r="B538" s="11"/>
      <c r="C538" s="85" t="s">
        <v>11</v>
      </c>
      <c r="D538" s="85" t="str">
        <f t="shared" si="1"/>
        <v>-</v>
      </c>
      <c r="E538" s="7" t="s">
        <v>11</v>
      </c>
      <c r="F538" s="86"/>
      <c r="G538" s="7"/>
      <c r="H538" s="11"/>
      <c r="I538" s="7" t="s">
        <v>13</v>
      </c>
      <c r="J538" s="33"/>
    </row>
    <row r="539">
      <c r="A539" s="84" t="s">
        <v>337</v>
      </c>
      <c r="B539" s="11"/>
      <c r="C539" s="85" t="s">
        <v>11</v>
      </c>
      <c r="D539" s="85" t="str">
        <f t="shared" si="1"/>
        <v>-</v>
      </c>
      <c r="E539" s="7" t="s">
        <v>11</v>
      </c>
      <c r="F539" s="86"/>
      <c r="G539" s="7"/>
      <c r="H539" s="11"/>
      <c r="I539" s="7" t="s">
        <v>13</v>
      </c>
      <c r="J539" s="33"/>
    </row>
    <row r="540">
      <c r="A540" s="84" t="s">
        <v>337</v>
      </c>
      <c r="B540" s="11"/>
      <c r="C540" s="85" t="s">
        <v>11</v>
      </c>
      <c r="D540" s="85" t="str">
        <f t="shared" si="1"/>
        <v>-</v>
      </c>
      <c r="E540" s="7" t="s">
        <v>11</v>
      </c>
      <c r="F540" s="86"/>
      <c r="G540" s="7"/>
      <c r="H540" s="11"/>
      <c r="I540" s="7" t="s">
        <v>13</v>
      </c>
      <c r="J540" s="33"/>
    </row>
    <row r="541">
      <c r="A541" s="84" t="s">
        <v>337</v>
      </c>
      <c r="B541" s="11"/>
      <c r="C541" s="85" t="s">
        <v>11</v>
      </c>
      <c r="D541" s="85" t="str">
        <f t="shared" si="1"/>
        <v>-</v>
      </c>
      <c r="E541" s="7" t="s">
        <v>11</v>
      </c>
      <c r="F541" s="86"/>
      <c r="G541" s="7"/>
      <c r="H541" s="11"/>
      <c r="I541" s="7" t="s">
        <v>13</v>
      </c>
      <c r="J541" s="33"/>
    </row>
    <row r="542">
      <c r="A542" s="84" t="s">
        <v>337</v>
      </c>
      <c r="B542" s="11"/>
      <c r="C542" s="85" t="s">
        <v>11</v>
      </c>
      <c r="D542" s="85" t="str">
        <f t="shared" si="1"/>
        <v>-</v>
      </c>
      <c r="E542" s="7" t="s">
        <v>11</v>
      </c>
      <c r="F542" s="86"/>
      <c r="G542" s="7"/>
      <c r="H542" s="11"/>
      <c r="I542" s="7" t="s">
        <v>13</v>
      </c>
      <c r="J542" s="33"/>
    </row>
    <row r="543">
      <c r="A543" s="84" t="s">
        <v>337</v>
      </c>
      <c r="B543" s="11"/>
      <c r="C543" s="85" t="s">
        <v>11</v>
      </c>
      <c r="D543" s="85" t="str">
        <f t="shared" si="1"/>
        <v>-</v>
      </c>
      <c r="E543" s="7" t="s">
        <v>11</v>
      </c>
      <c r="F543" s="86"/>
      <c r="G543" s="7"/>
      <c r="H543" s="11"/>
      <c r="I543" s="7" t="s">
        <v>13</v>
      </c>
      <c r="J543" s="33"/>
    </row>
    <row r="544">
      <c r="A544" s="84" t="s">
        <v>337</v>
      </c>
      <c r="B544" s="11"/>
      <c r="C544" s="85" t="s">
        <v>11</v>
      </c>
      <c r="D544" s="85" t="str">
        <f t="shared" si="1"/>
        <v>-</v>
      </c>
      <c r="E544" s="7" t="s">
        <v>11</v>
      </c>
      <c r="F544" s="86"/>
      <c r="G544" s="7"/>
      <c r="H544" s="11"/>
      <c r="I544" s="7" t="s">
        <v>13</v>
      </c>
      <c r="J544" s="33"/>
    </row>
    <row r="545">
      <c r="A545" s="84" t="s">
        <v>337</v>
      </c>
      <c r="B545" s="11"/>
      <c r="C545" s="85" t="s">
        <v>11</v>
      </c>
      <c r="D545" s="85" t="str">
        <f t="shared" si="1"/>
        <v>-</v>
      </c>
      <c r="E545" s="7" t="s">
        <v>11</v>
      </c>
      <c r="F545" s="86"/>
      <c r="G545" s="7"/>
      <c r="H545" s="11"/>
      <c r="I545" s="7" t="s">
        <v>13</v>
      </c>
      <c r="J545" s="33"/>
    </row>
    <row r="546">
      <c r="A546" s="84" t="s">
        <v>337</v>
      </c>
      <c r="B546" s="11"/>
      <c r="C546" s="85" t="s">
        <v>11</v>
      </c>
      <c r="D546" s="85" t="str">
        <f t="shared" si="1"/>
        <v>-</v>
      </c>
      <c r="E546" s="7" t="s">
        <v>11</v>
      </c>
      <c r="F546" s="86"/>
      <c r="G546" s="7"/>
      <c r="H546" s="11"/>
      <c r="I546" s="7" t="s">
        <v>13</v>
      </c>
      <c r="J546" s="33"/>
    </row>
    <row r="547">
      <c r="A547" s="84" t="s">
        <v>337</v>
      </c>
      <c r="B547" s="11"/>
      <c r="C547" s="85" t="s">
        <v>11</v>
      </c>
      <c r="D547" s="85" t="str">
        <f t="shared" si="1"/>
        <v>-</v>
      </c>
      <c r="E547" s="7" t="s">
        <v>11</v>
      </c>
      <c r="F547" s="86"/>
      <c r="G547" s="7"/>
      <c r="H547" s="11"/>
      <c r="I547" s="7" t="s">
        <v>13</v>
      </c>
      <c r="J547" s="33"/>
    </row>
    <row r="548">
      <c r="A548" s="84" t="s">
        <v>337</v>
      </c>
      <c r="B548" s="11"/>
      <c r="C548" s="85" t="s">
        <v>11</v>
      </c>
      <c r="D548" s="85" t="str">
        <f t="shared" si="1"/>
        <v>-</v>
      </c>
      <c r="E548" s="7" t="s">
        <v>11</v>
      </c>
      <c r="F548" s="86"/>
      <c r="G548" s="7"/>
      <c r="H548" s="11"/>
      <c r="I548" s="7" t="s">
        <v>13</v>
      </c>
      <c r="J548" s="33"/>
    </row>
    <row r="549">
      <c r="A549" s="84" t="s">
        <v>337</v>
      </c>
      <c r="B549" s="11"/>
      <c r="C549" s="85" t="s">
        <v>11</v>
      </c>
      <c r="D549" s="85" t="str">
        <f t="shared" si="1"/>
        <v>-</v>
      </c>
      <c r="E549" s="7" t="s">
        <v>11</v>
      </c>
      <c r="F549" s="86"/>
      <c r="G549" s="7"/>
      <c r="H549" s="11"/>
      <c r="I549" s="7" t="s">
        <v>13</v>
      </c>
      <c r="J549" s="33"/>
    </row>
    <row r="550">
      <c r="A550" s="84" t="s">
        <v>337</v>
      </c>
      <c r="B550" s="11"/>
      <c r="C550" s="85" t="s">
        <v>11</v>
      </c>
      <c r="D550" s="85" t="str">
        <f t="shared" si="1"/>
        <v>-</v>
      </c>
      <c r="E550" s="7" t="s">
        <v>11</v>
      </c>
      <c r="F550" s="86"/>
      <c r="G550" s="7"/>
      <c r="H550" s="11"/>
      <c r="I550" s="7" t="s">
        <v>13</v>
      </c>
      <c r="J550" s="33"/>
    </row>
    <row r="551">
      <c r="A551" s="84" t="s">
        <v>337</v>
      </c>
      <c r="B551" s="11"/>
      <c r="C551" s="85" t="s">
        <v>11</v>
      </c>
      <c r="D551" s="85" t="str">
        <f t="shared" si="1"/>
        <v>-</v>
      </c>
      <c r="E551" s="7" t="s">
        <v>11</v>
      </c>
      <c r="F551" s="86"/>
      <c r="G551" s="7"/>
      <c r="H551" s="11"/>
      <c r="I551" s="7" t="s">
        <v>13</v>
      </c>
      <c r="J551" s="33"/>
    </row>
    <row r="552">
      <c r="A552" s="84" t="s">
        <v>337</v>
      </c>
      <c r="B552" s="11"/>
      <c r="C552" s="85" t="s">
        <v>11</v>
      </c>
      <c r="D552" s="85" t="str">
        <f t="shared" si="1"/>
        <v>-</v>
      </c>
      <c r="E552" s="7" t="s">
        <v>11</v>
      </c>
      <c r="F552" s="86"/>
      <c r="G552" s="7"/>
      <c r="H552" s="11"/>
      <c r="I552" s="7" t="s">
        <v>13</v>
      </c>
      <c r="J552" s="33"/>
    </row>
    <row r="553">
      <c r="A553" s="84" t="s">
        <v>337</v>
      </c>
      <c r="B553" s="11"/>
      <c r="C553" s="85" t="s">
        <v>11</v>
      </c>
      <c r="D553" s="85" t="str">
        <f t="shared" si="1"/>
        <v>-</v>
      </c>
      <c r="E553" s="7" t="s">
        <v>11</v>
      </c>
      <c r="F553" s="86"/>
      <c r="G553" s="7"/>
      <c r="H553" s="11"/>
      <c r="I553" s="7" t="s">
        <v>13</v>
      </c>
      <c r="J553" s="33"/>
    </row>
    <row r="554">
      <c r="A554" s="84" t="s">
        <v>337</v>
      </c>
      <c r="B554" s="11"/>
      <c r="C554" s="85" t="s">
        <v>11</v>
      </c>
      <c r="D554" s="85" t="str">
        <f t="shared" si="1"/>
        <v>-</v>
      </c>
      <c r="E554" s="7" t="s">
        <v>11</v>
      </c>
      <c r="F554" s="86"/>
      <c r="G554" s="7"/>
      <c r="H554" s="11"/>
      <c r="I554" s="7" t="s">
        <v>13</v>
      </c>
      <c r="J554" s="33"/>
    </row>
    <row r="555">
      <c r="A555" s="84" t="s">
        <v>337</v>
      </c>
      <c r="B555" s="11"/>
      <c r="C555" s="85" t="s">
        <v>11</v>
      </c>
      <c r="D555" s="85" t="str">
        <f t="shared" si="1"/>
        <v>-</v>
      </c>
      <c r="E555" s="7" t="s">
        <v>11</v>
      </c>
      <c r="F555" s="86"/>
      <c r="G555" s="7"/>
      <c r="H555" s="11"/>
      <c r="I555" s="7" t="s">
        <v>13</v>
      </c>
      <c r="J555" s="33"/>
    </row>
    <row r="556">
      <c r="A556" s="84" t="s">
        <v>337</v>
      </c>
      <c r="B556" s="11"/>
      <c r="C556" s="85" t="s">
        <v>11</v>
      </c>
      <c r="D556" s="85" t="str">
        <f t="shared" si="1"/>
        <v>-</v>
      </c>
      <c r="E556" s="7" t="s">
        <v>11</v>
      </c>
      <c r="F556" s="86"/>
      <c r="G556" s="7"/>
      <c r="H556" s="11"/>
      <c r="I556" s="7" t="s">
        <v>13</v>
      </c>
      <c r="J556" s="33"/>
    </row>
    <row r="557">
      <c r="A557" s="84" t="s">
        <v>337</v>
      </c>
      <c r="B557" s="11"/>
      <c r="C557" s="85" t="s">
        <v>11</v>
      </c>
      <c r="D557" s="85" t="str">
        <f t="shared" si="1"/>
        <v>-</v>
      </c>
      <c r="E557" s="7" t="s">
        <v>11</v>
      </c>
      <c r="F557" s="86"/>
      <c r="G557" s="7"/>
      <c r="H557" s="11"/>
      <c r="I557" s="7" t="s">
        <v>13</v>
      </c>
      <c r="J557" s="33"/>
    </row>
    <row r="558">
      <c r="A558" s="84" t="s">
        <v>337</v>
      </c>
      <c r="B558" s="11"/>
      <c r="C558" s="85" t="s">
        <v>11</v>
      </c>
      <c r="D558" s="85" t="str">
        <f t="shared" si="1"/>
        <v>-</v>
      </c>
      <c r="E558" s="7" t="s">
        <v>11</v>
      </c>
      <c r="F558" s="86"/>
      <c r="G558" s="7"/>
      <c r="H558" s="11"/>
      <c r="I558" s="7" t="s">
        <v>13</v>
      </c>
      <c r="J558" s="33"/>
    </row>
    <row r="559">
      <c r="A559" s="84" t="s">
        <v>337</v>
      </c>
      <c r="B559" s="11"/>
      <c r="C559" s="85" t="s">
        <v>11</v>
      </c>
      <c r="D559" s="85" t="str">
        <f t="shared" si="1"/>
        <v>-</v>
      </c>
      <c r="E559" s="7" t="s">
        <v>11</v>
      </c>
      <c r="F559" s="86"/>
      <c r="G559" s="7"/>
      <c r="H559" s="11"/>
      <c r="I559" s="7" t="s">
        <v>13</v>
      </c>
      <c r="J559" s="33"/>
    </row>
    <row r="560">
      <c r="A560" s="84" t="s">
        <v>337</v>
      </c>
      <c r="B560" s="11"/>
      <c r="C560" s="85" t="s">
        <v>11</v>
      </c>
      <c r="D560" s="85" t="str">
        <f t="shared" si="1"/>
        <v>-</v>
      </c>
      <c r="E560" s="7" t="s">
        <v>11</v>
      </c>
      <c r="F560" s="86"/>
      <c r="G560" s="7"/>
      <c r="H560" s="11"/>
      <c r="I560" s="7" t="s">
        <v>13</v>
      </c>
      <c r="J560" s="33"/>
    </row>
    <row r="561">
      <c r="A561" s="84" t="s">
        <v>337</v>
      </c>
      <c r="B561" s="11"/>
      <c r="C561" s="85" t="s">
        <v>11</v>
      </c>
      <c r="D561" s="85" t="str">
        <f t="shared" si="1"/>
        <v>-</v>
      </c>
      <c r="E561" s="7" t="s">
        <v>11</v>
      </c>
      <c r="F561" s="86"/>
      <c r="G561" s="7"/>
      <c r="H561" s="11"/>
      <c r="I561" s="7" t="s">
        <v>13</v>
      </c>
      <c r="J561" s="33"/>
    </row>
    <row r="562">
      <c r="A562" s="84" t="s">
        <v>337</v>
      </c>
      <c r="B562" s="11"/>
      <c r="C562" s="85" t="s">
        <v>11</v>
      </c>
      <c r="D562" s="85" t="str">
        <f t="shared" si="1"/>
        <v>-</v>
      </c>
      <c r="E562" s="7" t="s">
        <v>11</v>
      </c>
      <c r="F562" s="86"/>
      <c r="G562" s="7"/>
      <c r="H562" s="11"/>
      <c r="I562" s="7" t="s">
        <v>13</v>
      </c>
      <c r="J562" s="33"/>
    </row>
    <row r="563">
      <c r="A563" s="84" t="s">
        <v>337</v>
      </c>
      <c r="B563" s="11"/>
      <c r="C563" s="85" t="s">
        <v>11</v>
      </c>
      <c r="D563" s="85" t="str">
        <f t="shared" si="1"/>
        <v>-</v>
      </c>
      <c r="E563" s="7" t="s">
        <v>11</v>
      </c>
      <c r="F563" s="86"/>
      <c r="G563" s="7"/>
      <c r="H563" s="11"/>
      <c r="I563" s="7" t="s">
        <v>13</v>
      </c>
      <c r="J563" s="33"/>
    </row>
    <row r="564">
      <c r="A564" s="84" t="s">
        <v>337</v>
      </c>
      <c r="B564" s="11"/>
      <c r="C564" s="85" t="s">
        <v>11</v>
      </c>
      <c r="D564" s="85" t="str">
        <f t="shared" si="1"/>
        <v>-</v>
      </c>
      <c r="E564" s="7" t="s">
        <v>11</v>
      </c>
      <c r="F564" s="86"/>
      <c r="G564" s="7"/>
      <c r="H564" s="11"/>
      <c r="I564" s="7" t="s">
        <v>13</v>
      </c>
      <c r="J564" s="33"/>
    </row>
    <row r="565">
      <c r="A565" s="84" t="s">
        <v>337</v>
      </c>
      <c r="B565" s="11"/>
      <c r="C565" s="85" t="s">
        <v>11</v>
      </c>
      <c r="D565" s="85" t="str">
        <f t="shared" si="1"/>
        <v>-</v>
      </c>
      <c r="E565" s="7" t="s">
        <v>11</v>
      </c>
      <c r="F565" s="86"/>
      <c r="G565" s="7"/>
      <c r="H565" s="11"/>
      <c r="I565" s="7" t="s">
        <v>13</v>
      </c>
      <c r="J565" s="33"/>
    </row>
    <row r="566">
      <c r="A566" s="84" t="s">
        <v>337</v>
      </c>
      <c r="B566" s="11"/>
      <c r="C566" s="85" t="s">
        <v>11</v>
      </c>
      <c r="D566" s="85" t="str">
        <f t="shared" si="1"/>
        <v>-</v>
      </c>
      <c r="E566" s="7" t="s">
        <v>11</v>
      </c>
      <c r="F566" s="86"/>
      <c r="G566" s="7"/>
      <c r="H566" s="11"/>
      <c r="I566" s="7" t="s">
        <v>13</v>
      </c>
      <c r="J566" s="33"/>
    </row>
    <row r="567">
      <c r="A567" s="84" t="s">
        <v>337</v>
      </c>
      <c r="B567" s="11"/>
      <c r="C567" s="85" t="s">
        <v>11</v>
      </c>
      <c r="D567" s="85" t="str">
        <f t="shared" si="1"/>
        <v>-</v>
      </c>
      <c r="E567" s="7" t="s">
        <v>11</v>
      </c>
      <c r="F567" s="86"/>
      <c r="G567" s="7"/>
      <c r="H567" s="11"/>
      <c r="I567" s="7" t="s">
        <v>13</v>
      </c>
      <c r="J567" s="33"/>
    </row>
    <row r="568">
      <c r="A568" s="84" t="s">
        <v>337</v>
      </c>
      <c r="B568" s="11"/>
      <c r="C568" s="85" t="s">
        <v>11</v>
      </c>
      <c r="D568" s="85" t="str">
        <f t="shared" si="1"/>
        <v>-</v>
      </c>
      <c r="E568" s="7" t="s">
        <v>11</v>
      </c>
      <c r="F568" s="86"/>
      <c r="G568" s="7"/>
      <c r="H568" s="11"/>
      <c r="I568" s="7" t="s">
        <v>13</v>
      </c>
      <c r="J568" s="33"/>
    </row>
    <row r="569">
      <c r="A569" s="84" t="s">
        <v>337</v>
      </c>
      <c r="B569" s="11"/>
      <c r="C569" s="85" t="s">
        <v>11</v>
      </c>
      <c r="D569" s="85" t="str">
        <f t="shared" si="1"/>
        <v>-</v>
      </c>
      <c r="E569" s="7" t="s">
        <v>11</v>
      </c>
      <c r="F569" s="86"/>
      <c r="G569" s="7"/>
      <c r="H569" s="11"/>
      <c r="I569" s="7" t="s">
        <v>13</v>
      </c>
      <c r="J569" s="33"/>
    </row>
    <row r="570">
      <c r="A570" s="84" t="s">
        <v>337</v>
      </c>
      <c r="B570" s="11"/>
      <c r="C570" s="85" t="s">
        <v>11</v>
      </c>
      <c r="D570" s="85" t="str">
        <f t="shared" si="1"/>
        <v>-</v>
      </c>
      <c r="E570" s="7" t="s">
        <v>11</v>
      </c>
      <c r="F570" s="86"/>
      <c r="G570" s="7"/>
      <c r="H570" s="11"/>
      <c r="I570" s="7" t="s">
        <v>13</v>
      </c>
      <c r="J570" s="33"/>
    </row>
    <row r="571">
      <c r="A571" s="84" t="s">
        <v>337</v>
      </c>
      <c r="B571" s="11"/>
      <c r="C571" s="85" t="s">
        <v>11</v>
      </c>
      <c r="D571" s="85" t="str">
        <f t="shared" si="1"/>
        <v>-</v>
      </c>
      <c r="E571" s="7" t="s">
        <v>11</v>
      </c>
      <c r="F571" s="86"/>
      <c r="G571" s="7"/>
      <c r="H571" s="11"/>
      <c r="I571" s="7" t="s">
        <v>13</v>
      </c>
      <c r="J571" s="33"/>
    </row>
    <row r="572">
      <c r="A572" s="84" t="s">
        <v>337</v>
      </c>
      <c r="B572" s="11"/>
      <c r="C572" s="85" t="s">
        <v>11</v>
      </c>
      <c r="D572" s="85" t="str">
        <f t="shared" si="1"/>
        <v>-</v>
      </c>
      <c r="E572" s="7" t="s">
        <v>11</v>
      </c>
      <c r="F572" s="86"/>
      <c r="G572" s="7"/>
      <c r="H572" s="11"/>
      <c r="I572" s="7" t="s">
        <v>13</v>
      </c>
      <c r="J572" s="33"/>
    </row>
    <row r="573">
      <c r="A573" s="84" t="s">
        <v>337</v>
      </c>
      <c r="B573" s="11"/>
      <c r="C573" s="85" t="s">
        <v>11</v>
      </c>
      <c r="D573" s="85" t="str">
        <f t="shared" si="1"/>
        <v>-</v>
      </c>
      <c r="E573" s="7" t="s">
        <v>11</v>
      </c>
      <c r="F573" s="86"/>
      <c r="G573" s="7"/>
      <c r="H573" s="11"/>
      <c r="I573" s="7" t="s">
        <v>13</v>
      </c>
      <c r="J573" s="33"/>
    </row>
    <row r="574">
      <c r="A574" s="84" t="s">
        <v>337</v>
      </c>
      <c r="B574" s="11"/>
      <c r="C574" s="85" t="s">
        <v>11</v>
      </c>
      <c r="D574" s="85" t="str">
        <f t="shared" si="1"/>
        <v>-</v>
      </c>
      <c r="E574" s="7" t="s">
        <v>11</v>
      </c>
      <c r="F574" s="86"/>
      <c r="G574" s="7"/>
      <c r="H574" s="11"/>
      <c r="I574" s="7" t="s">
        <v>13</v>
      </c>
      <c r="J574" s="33"/>
    </row>
    <row r="575">
      <c r="A575" s="84" t="s">
        <v>337</v>
      </c>
      <c r="B575" s="11"/>
      <c r="C575" s="85" t="s">
        <v>11</v>
      </c>
      <c r="D575" s="85" t="str">
        <f t="shared" si="1"/>
        <v>-</v>
      </c>
      <c r="E575" s="7" t="s">
        <v>11</v>
      </c>
      <c r="F575" s="86"/>
      <c r="G575" s="7"/>
      <c r="H575" s="11"/>
      <c r="I575" s="7" t="s">
        <v>13</v>
      </c>
      <c r="J575" s="33"/>
    </row>
    <row r="576">
      <c r="A576" s="84" t="s">
        <v>337</v>
      </c>
      <c r="B576" s="11"/>
      <c r="C576" s="85" t="s">
        <v>11</v>
      </c>
      <c r="D576" s="85" t="str">
        <f t="shared" si="1"/>
        <v>-</v>
      </c>
      <c r="E576" s="7" t="s">
        <v>11</v>
      </c>
      <c r="F576" s="86"/>
      <c r="G576" s="7"/>
      <c r="H576" s="11"/>
      <c r="I576" s="7" t="s">
        <v>13</v>
      </c>
      <c r="J576" s="33"/>
    </row>
    <row r="577">
      <c r="A577" s="84" t="s">
        <v>337</v>
      </c>
      <c r="B577" s="11"/>
      <c r="C577" s="85" t="s">
        <v>11</v>
      </c>
      <c r="D577" s="85" t="str">
        <f t="shared" si="1"/>
        <v>-</v>
      </c>
      <c r="E577" s="7" t="s">
        <v>11</v>
      </c>
      <c r="F577" s="86"/>
      <c r="G577" s="7"/>
      <c r="H577" s="11"/>
      <c r="I577" s="7" t="s">
        <v>13</v>
      </c>
      <c r="J577" s="33"/>
    </row>
    <row r="578">
      <c r="A578" s="84" t="s">
        <v>337</v>
      </c>
      <c r="B578" s="11"/>
      <c r="C578" s="85" t="s">
        <v>11</v>
      </c>
      <c r="D578" s="85" t="str">
        <f t="shared" si="1"/>
        <v>-</v>
      </c>
      <c r="E578" s="7" t="s">
        <v>11</v>
      </c>
      <c r="F578" s="86"/>
      <c r="G578" s="7"/>
      <c r="H578" s="11"/>
      <c r="I578" s="7" t="s">
        <v>13</v>
      </c>
      <c r="J578" s="33"/>
    </row>
    <row r="579">
      <c r="A579" s="84" t="s">
        <v>337</v>
      </c>
      <c r="B579" s="11"/>
      <c r="C579" s="85" t="s">
        <v>11</v>
      </c>
      <c r="D579" s="85" t="str">
        <f t="shared" si="1"/>
        <v>-</v>
      </c>
      <c r="E579" s="7" t="s">
        <v>11</v>
      </c>
      <c r="F579" s="86"/>
      <c r="G579" s="7"/>
      <c r="H579" s="11"/>
      <c r="I579" s="7" t="s">
        <v>13</v>
      </c>
      <c r="J579" s="33"/>
    </row>
    <row r="580">
      <c r="A580" s="84" t="s">
        <v>337</v>
      </c>
      <c r="B580" s="11"/>
      <c r="C580" s="85" t="s">
        <v>11</v>
      </c>
      <c r="D580" s="85" t="str">
        <f t="shared" si="1"/>
        <v>-</v>
      </c>
      <c r="E580" s="7" t="s">
        <v>11</v>
      </c>
      <c r="F580" s="86"/>
      <c r="G580" s="7"/>
      <c r="H580" s="11"/>
      <c r="I580" s="7" t="s">
        <v>13</v>
      </c>
      <c r="J580" s="33"/>
    </row>
    <row r="581">
      <c r="A581" s="84" t="s">
        <v>337</v>
      </c>
      <c r="B581" s="11"/>
      <c r="C581" s="85" t="s">
        <v>11</v>
      </c>
      <c r="D581" s="85" t="str">
        <f t="shared" si="1"/>
        <v>-</v>
      </c>
      <c r="E581" s="7" t="s">
        <v>11</v>
      </c>
      <c r="F581" s="86"/>
      <c r="G581" s="7"/>
      <c r="H581" s="11"/>
      <c r="I581" s="7" t="s">
        <v>13</v>
      </c>
      <c r="J581" s="33"/>
    </row>
    <row r="582">
      <c r="A582" s="84" t="s">
        <v>337</v>
      </c>
      <c r="B582" s="11"/>
      <c r="C582" s="85" t="s">
        <v>11</v>
      </c>
      <c r="D582" s="85" t="str">
        <f t="shared" si="1"/>
        <v>-</v>
      </c>
      <c r="E582" s="7" t="s">
        <v>11</v>
      </c>
      <c r="F582" s="86"/>
      <c r="G582" s="7"/>
      <c r="H582" s="11"/>
      <c r="I582" s="7" t="s">
        <v>13</v>
      </c>
      <c r="J582" s="33"/>
    </row>
    <row r="583">
      <c r="A583" s="84" t="s">
        <v>337</v>
      </c>
      <c r="B583" s="11"/>
      <c r="C583" s="85" t="s">
        <v>11</v>
      </c>
      <c r="D583" s="85" t="str">
        <f t="shared" si="1"/>
        <v>-</v>
      </c>
      <c r="E583" s="7" t="s">
        <v>11</v>
      </c>
      <c r="F583" s="86"/>
      <c r="G583" s="7"/>
      <c r="H583" s="11"/>
      <c r="I583" s="7" t="s">
        <v>13</v>
      </c>
      <c r="J583" s="33"/>
    </row>
    <row r="584">
      <c r="A584" s="84" t="s">
        <v>337</v>
      </c>
      <c r="B584" s="11"/>
      <c r="C584" s="85" t="s">
        <v>11</v>
      </c>
      <c r="D584" s="85" t="str">
        <f t="shared" si="1"/>
        <v>-</v>
      </c>
      <c r="E584" s="7" t="s">
        <v>11</v>
      </c>
      <c r="F584" s="86"/>
      <c r="G584" s="7"/>
      <c r="H584" s="11"/>
      <c r="I584" s="7" t="s">
        <v>13</v>
      </c>
      <c r="J584" s="33"/>
    </row>
    <row r="585">
      <c r="A585" s="84" t="s">
        <v>337</v>
      </c>
      <c r="B585" s="11"/>
      <c r="C585" s="85" t="s">
        <v>11</v>
      </c>
      <c r="D585" s="85" t="str">
        <f t="shared" si="1"/>
        <v>-</v>
      </c>
      <c r="E585" s="7" t="s">
        <v>11</v>
      </c>
      <c r="F585" s="86"/>
      <c r="G585" s="7"/>
      <c r="H585" s="11"/>
      <c r="I585" s="7" t="s">
        <v>13</v>
      </c>
      <c r="J585" s="33"/>
    </row>
    <row r="586">
      <c r="A586" s="84" t="s">
        <v>337</v>
      </c>
      <c r="B586" s="11"/>
      <c r="C586" s="85" t="s">
        <v>11</v>
      </c>
      <c r="D586" s="85" t="str">
        <f t="shared" si="1"/>
        <v>-</v>
      </c>
      <c r="E586" s="7" t="s">
        <v>11</v>
      </c>
      <c r="F586" s="86"/>
      <c r="G586" s="7"/>
      <c r="H586" s="11"/>
      <c r="I586" s="7" t="s">
        <v>13</v>
      </c>
      <c r="J586" s="33"/>
    </row>
    <row r="587">
      <c r="A587" s="84" t="s">
        <v>337</v>
      </c>
      <c r="B587" s="11"/>
      <c r="C587" s="85" t="s">
        <v>11</v>
      </c>
      <c r="D587" s="85" t="str">
        <f t="shared" si="1"/>
        <v>-</v>
      </c>
      <c r="E587" s="7" t="s">
        <v>11</v>
      </c>
      <c r="F587" s="86"/>
      <c r="G587" s="7"/>
      <c r="H587" s="11"/>
      <c r="I587" s="7" t="s">
        <v>13</v>
      </c>
      <c r="J587" s="33"/>
    </row>
    <row r="588">
      <c r="A588" s="84" t="s">
        <v>337</v>
      </c>
      <c r="B588" s="11"/>
      <c r="C588" s="85" t="s">
        <v>11</v>
      </c>
      <c r="D588" s="85" t="str">
        <f t="shared" si="1"/>
        <v>-</v>
      </c>
      <c r="E588" s="7" t="s">
        <v>11</v>
      </c>
      <c r="F588" s="86"/>
      <c r="G588" s="7"/>
      <c r="H588" s="11"/>
      <c r="I588" s="7" t="s">
        <v>13</v>
      </c>
      <c r="J588" s="33"/>
    </row>
    <row r="589">
      <c r="A589" s="84" t="s">
        <v>337</v>
      </c>
      <c r="B589" s="11"/>
      <c r="C589" s="85" t="s">
        <v>11</v>
      </c>
      <c r="D589" s="85" t="str">
        <f t="shared" si="1"/>
        <v>-</v>
      </c>
      <c r="E589" s="7" t="s">
        <v>11</v>
      </c>
      <c r="F589" s="86"/>
      <c r="G589" s="7"/>
      <c r="H589" s="11"/>
      <c r="I589" s="7" t="s">
        <v>13</v>
      </c>
      <c r="J589" s="33"/>
    </row>
    <row r="590">
      <c r="A590" s="84" t="s">
        <v>337</v>
      </c>
      <c r="B590" s="11"/>
      <c r="C590" s="85" t="s">
        <v>11</v>
      </c>
      <c r="D590" s="85" t="str">
        <f t="shared" si="1"/>
        <v>-</v>
      </c>
      <c r="E590" s="7" t="s">
        <v>11</v>
      </c>
      <c r="F590" s="86"/>
      <c r="G590" s="7"/>
      <c r="H590" s="11"/>
      <c r="I590" s="7" t="s">
        <v>13</v>
      </c>
      <c r="J590" s="33"/>
    </row>
    <row r="591">
      <c r="A591" s="84" t="s">
        <v>337</v>
      </c>
      <c r="B591" s="11"/>
      <c r="C591" s="85" t="s">
        <v>11</v>
      </c>
      <c r="D591" s="85" t="str">
        <f t="shared" si="1"/>
        <v>-</v>
      </c>
      <c r="E591" s="7" t="s">
        <v>11</v>
      </c>
      <c r="F591" s="86"/>
      <c r="G591" s="7"/>
      <c r="H591" s="11"/>
      <c r="I591" s="7" t="s">
        <v>13</v>
      </c>
      <c r="J591" s="33"/>
    </row>
    <row r="592">
      <c r="A592" s="84" t="s">
        <v>337</v>
      </c>
      <c r="B592" s="11"/>
      <c r="C592" s="85" t="s">
        <v>11</v>
      </c>
      <c r="D592" s="85" t="str">
        <f t="shared" si="1"/>
        <v>-</v>
      </c>
      <c r="E592" s="7" t="s">
        <v>11</v>
      </c>
      <c r="F592" s="86"/>
      <c r="G592" s="7"/>
      <c r="H592" s="11"/>
      <c r="I592" s="7" t="s">
        <v>13</v>
      </c>
      <c r="J592" s="33"/>
    </row>
    <row r="593">
      <c r="A593" s="84" t="s">
        <v>337</v>
      </c>
      <c r="B593" s="11"/>
      <c r="C593" s="85" t="s">
        <v>11</v>
      </c>
      <c r="D593" s="85" t="str">
        <f t="shared" si="1"/>
        <v>-</v>
      </c>
      <c r="E593" s="7" t="s">
        <v>11</v>
      </c>
      <c r="F593" s="86"/>
      <c r="G593" s="7"/>
      <c r="H593" s="11"/>
      <c r="I593" s="7" t="s">
        <v>13</v>
      </c>
      <c r="J593" s="33"/>
    </row>
    <row r="594">
      <c r="A594" s="84" t="s">
        <v>337</v>
      </c>
      <c r="B594" s="11"/>
      <c r="C594" s="85" t="s">
        <v>11</v>
      </c>
      <c r="D594" s="85" t="str">
        <f t="shared" si="1"/>
        <v>-</v>
      </c>
      <c r="E594" s="7" t="s">
        <v>11</v>
      </c>
      <c r="F594" s="86"/>
      <c r="G594" s="7"/>
      <c r="H594" s="11"/>
      <c r="I594" s="7" t="s">
        <v>13</v>
      </c>
      <c r="J594" s="33"/>
    </row>
    <row r="595">
      <c r="A595" s="84" t="s">
        <v>337</v>
      </c>
      <c r="B595" s="11"/>
      <c r="C595" s="85" t="s">
        <v>11</v>
      </c>
      <c r="D595" s="85" t="str">
        <f t="shared" si="1"/>
        <v>-</v>
      </c>
      <c r="E595" s="7" t="s">
        <v>11</v>
      </c>
      <c r="F595" s="86"/>
      <c r="G595" s="7"/>
      <c r="H595" s="11"/>
      <c r="I595" s="7" t="s">
        <v>13</v>
      </c>
      <c r="J595" s="33"/>
    </row>
    <row r="596">
      <c r="A596" s="84" t="s">
        <v>337</v>
      </c>
      <c r="B596" s="11"/>
      <c r="C596" s="85" t="s">
        <v>11</v>
      </c>
      <c r="D596" s="85" t="str">
        <f t="shared" si="1"/>
        <v>-</v>
      </c>
      <c r="E596" s="7" t="s">
        <v>11</v>
      </c>
      <c r="F596" s="86"/>
      <c r="G596" s="7"/>
      <c r="H596" s="11"/>
      <c r="I596" s="7" t="s">
        <v>13</v>
      </c>
      <c r="J596" s="33"/>
    </row>
    <row r="597">
      <c r="A597" s="84" t="s">
        <v>337</v>
      </c>
      <c r="B597" s="11"/>
      <c r="C597" s="85" t="s">
        <v>11</v>
      </c>
      <c r="D597" s="85" t="str">
        <f t="shared" si="1"/>
        <v>-</v>
      </c>
      <c r="E597" s="7" t="s">
        <v>11</v>
      </c>
      <c r="F597" s="86"/>
      <c r="G597" s="7"/>
      <c r="H597" s="11"/>
      <c r="I597" s="7" t="s">
        <v>13</v>
      </c>
      <c r="J597" s="33"/>
    </row>
    <row r="598">
      <c r="A598" s="84" t="s">
        <v>337</v>
      </c>
      <c r="B598" s="11"/>
      <c r="C598" s="85" t="s">
        <v>11</v>
      </c>
      <c r="D598" s="85" t="str">
        <f t="shared" si="1"/>
        <v>-</v>
      </c>
      <c r="E598" s="7" t="s">
        <v>11</v>
      </c>
      <c r="F598" s="86"/>
      <c r="G598" s="7"/>
      <c r="H598" s="11"/>
      <c r="I598" s="7" t="s">
        <v>13</v>
      </c>
      <c r="J598" s="33"/>
    </row>
    <row r="599">
      <c r="A599" s="84" t="s">
        <v>337</v>
      </c>
      <c r="B599" s="11"/>
      <c r="C599" s="85" t="s">
        <v>11</v>
      </c>
      <c r="D599" s="85" t="str">
        <f t="shared" si="1"/>
        <v>-</v>
      </c>
      <c r="E599" s="7" t="s">
        <v>11</v>
      </c>
      <c r="F599" s="86"/>
      <c r="G599" s="7"/>
      <c r="H599" s="11"/>
      <c r="I599" s="7" t="s">
        <v>13</v>
      </c>
      <c r="J599" s="33"/>
    </row>
    <row r="600">
      <c r="A600" s="84" t="s">
        <v>337</v>
      </c>
      <c r="B600" s="11"/>
      <c r="C600" s="85" t="s">
        <v>11</v>
      </c>
      <c r="D600" s="85" t="str">
        <f t="shared" si="1"/>
        <v>-</v>
      </c>
      <c r="E600" s="7" t="s">
        <v>11</v>
      </c>
      <c r="F600" s="86"/>
      <c r="G600" s="7"/>
      <c r="H600" s="11"/>
      <c r="I600" s="7" t="s">
        <v>13</v>
      </c>
      <c r="J600" s="33"/>
    </row>
    <row r="601">
      <c r="A601" s="84" t="s">
        <v>337</v>
      </c>
      <c r="B601" s="11"/>
      <c r="C601" s="85" t="s">
        <v>11</v>
      </c>
      <c r="D601" s="85" t="str">
        <f t="shared" si="1"/>
        <v>-</v>
      </c>
      <c r="E601" s="7" t="s">
        <v>11</v>
      </c>
      <c r="F601" s="86"/>
      <c r="G601" s="7"/>
      <c r="H601" s="11"/>
      <c r="I601" s="7" t="s">
        <v>13</v>
      </c>
      <c r="J601" s="33"/>
    </row>
    <row r="602">
      <c r="A602" s="84" t="s">
        <v>337</v>
      </c>
      <c r="B602" s="11"/>
      <c r="C602" s="85" t="s">
        <v>11</v>
      </c>
      <c r="D602" s="85" t="str">
        <f t="shared" si="1"/>
        <v>-</v>
      </c>
      <c r="E602" s="7" t="s">
        <v>11</v>
      </c>
      <c r="F602" s="86"/>
      <c r="G602" s="7"/>
      <c r="H602" s="11"/>
      <c r="I602" s="7" t="s">
        <v>13</v>
      </c>
      <c r="J602" s="33"/>
    </row>
    <row r="603">
      <c r="A603" s="84" t="s">
        <v>337</v>
      </c>
      <c r="B603" s="11"/>
      <c r="C603" s="85" t="s">
        <v>11</v>
      </c>
      <c r="D603" s="85" t="str">
        <f t="shared" si="1"/>
        <v>-</v>
      </c>
      <c r="E603" s="7" t="s">
        <v>11</v>
      </c>
      <c r="F603" s="86"/>
      <c r="G603" s="7"/>
      <c r="H603" s="11"/>
      <c r="I603" s="7" t="s">
        <v>13</v>
      </c>
      <c r="J603" s="33"/>
    </row>
    <row r="604">
      <c r="A604" s="84" t="s">
        <v>337</v>
      </c>
      <c r="B604" s="11"/>
      <c r="C604" s="85" t="s">
        <v>11</v>
      </c>
      <c r="D604" s="85" t="str">
        <f t="shared" si="1"/>
        <v>-</v>
      </c>
      <c r="E604" s="7" t="s">
        <v>11</v>
      </c>
      <c r="F604" s="86"/>
      <c r="G604" s="7"/>
      <c r="H604" s="11"/>
      <c r="I604" s="7" t="s">
        <v>13</v>
      </c>
      <c r="J604" s="33"/>
    </row>
    <row r="605">
      <c r="A605" s="84" t="s">
        <v>337</v>
      </c>
      <c r="B605" s="11"/>
      <c r="C605" s="85" t="s">
        <v>11</v>
      </c>
      <c r="D605" s="85" t="str">
        <f t="shared" si="1"/>
        <v>-</v>
      </c>
      <c r="E605" s="7" t="s">
        <v>11</v>
      </c>
      <c r="F605" s="86"/>
      <c r="G605" s="7"/>
      <c r="H605" s="11"/>
      <c r="I605" s="7" t="s">
        <v>13</v>
      </c>
      <c r="J605" s="33"/>
    </row>
    <row r="606">
      <c r="A606" s="84" t="s">
        <v>337</v>
      </c>
      <c r="B606" s="11"/>
      <c r="C606" s="85" t="s">
        <v>11</v>
      </c>
      <c r="D606" s="85" t="str">
        <f t="shared" si="1"/>
        <v>-</v>
      </c>
      <c r="E606" s="7" t="s">
        <v>11</v>
      </c>
      <c r="F606" s="86"/>
      <c r="G606" s="7"/>
      <c r="H606" s="11"/>
      <c r="I606" s="7" t="s">
        <v>13</v>
      </c>
      <c r="J606" s="33"/>
    </row>
    <row r="607">
      <c r="A607" s="84" t="s">
        <v>337</v>
      </c>
      <c r="B607" s="11"/>
      <c r="C607" s="85" t="s">
        <v>11</v>
      </c>
      <c r="D607" s="85" t="str">
        <f t="shared" si="1"/>
        <v>-</v>
      </c>
      <c r="E607" s="7" t="s">
        <v>11</v>
      </c>
      <c r="F607" s="86"/>
      <c r="G607" s="7"/>
      <c r="H607" s="11"/>
      <c r="I607" s="7" t="s">
        <v>13</v>
      </c>
      <c r="J607" s="33"/>
    </row>
    <row r="608">
      <c r="A608" s="84" t="s">
        <v>337</v>
      </c>
      <c r="B608" s="11"/>
      <c r="C608" s="85" t="s">
        <v>11</v>
      </c>
      <c r="D608" s="85" t="str">
        <f t="shared" si="1"/>
        <v>-</v>
      </c>
      <c r="E608" s="7" t="s">
        <v>11</v>
      </c>
      <c r="F608" s="86"/>
      <c r="G608" s="7"/>
      <c r="H608" s="11"/>
      <c r="I608" s="7" t="s">
        <v>13</v>
      </c>
      <c r="J608" s="33"/>
    </row>
    <row r="609">
      <c r="A609" s="84" t="s">
        <v>337</v>
      </c>
      <c r="B609" s="11"/>
      <c r="C609" s="85" t="s">
        <v>11</v>
      </c>
      <c r="D609" s="85" t="str">
        <f t="shared" si="1"/>
        <v>-</v>
      </c>
      <c r="E609" s="7" t="s">
        <v>11</v>
      </c>
      <c r="F609" s="86"/>
      <c r="G609" s="7"/>
      <c r="H609" s="11"/>
      <c r="I609" s="7" t="s">
        <v>13</v>
      </c>
      <c r="J609" s="33"/>
    </row>
    <row r="610">
      <c r="A610" s="84" t="s">
        <v>337</v>
      </c>
      <c r="B610" s="11"/>
      <c r="C610" s="85" t="s">
        <v>11</v>
      </c>
      <c r="D610" s="85" t="str">
        <f t="shared" si="1"/>
        <v>-</v>
      </c>
      <c r="E610" s="7" t="s">
        <v>11</v>
      </c>
      <c r="F610" s="86"/>
      <c r="G610" s="7"/>
      <c r="H610" s="11"/>
      <c r="I610" s="7" t="s">
        <v>13</v>
      </c>
      <c r="J610" s="33"/>
    </row>
    <row r="611">
      <c r="A611" s="84" t="s">
        <v>337</v>
      </c>
      <c r="B611" s="11"/>
      <c r="C611" s="85" t="s">
        <v>11</v>
      </c>
      <c r="D611" s="85" t="str">
        <f t="shared" si="1"/>
        <v>-</v>
      </c>
      <c r="E611" s="7" t="s">
        <v>11</v>
      </c>
      <c r="F611" s="86"/>
      <c r="G611" s="7"/>
      <c r="H611" s="11"/>
      <c r="I611" s="7" t="s">
        <v>13</v>
      </c>
      <c r="J611" s="33"/>
    </row>
    <row r="612">
      <c r="A612" s="84" t="s">
        <v>337</v>
      </c>
      <c r="B612" s="11"/>
      <c r="C612" s="85" t="s">
        <v>11</v>
      </c>
      <c r="D612" s="85" t="str">
        <f t="shared" si="1"/>
        <v>-</v>
      </c>
      <c r="E612" s="7" t="s">
        <v>11</v>
      </c>
      <c r="F612" s="86"/>
      <c r="G612" s="7"/>
      <c r="H612" s="11"/>
      <c r="I612" s="7" t="s">
        <v>13</v>
      </c>
      <c r="J612" s="33"/>
    </row>
    <row r="613">
      <c r="A613" s="84" t="s">
        <v>337</v>
      </c>
      <c r="B613" s="11"/>
      <c r="C613" s="85" t="s">
        <v>11</v>
      </c>
      <c r="D613" s="85" t="str">
        <f t="shared" si="1"/>
        <v>-</v>
      </c>
      <c r="E613" s="7" t="s">
        <v>11</v>
      </c>
      <c r="F613" s="86"/>
      <c r="G613" s="7"/>
      <c r="H613" s="11"/>
      <c r="I613" s="7" t="s">
        <v>13</v>
      </c>
      <c r="J613" s="33"/>
    </row>
    <row r="614">
      <c r="A614" s="84" t="s">
        <v>337</v>
      </c>
      <c r="B614" s="11"/>
      <c r="C614" s="85" t="s">
        <v>11</v>
      </c>
      <c r="D614" s="85" t="str">
        <f t="shared" si="1"/>
        <v>-</v>
      </c>
      <c r="E614" s="7" t="s">
        <v>11</v>
      </c>
      <c r="F614" s="86"/>
      <c r="G614" s="7"/>
      <c r="H614" s="11"/>
      <c r="I614" s="7" t="s">
        <v>13</v>
      </c>
      <c r="J614" s="33"/>
    </row>
    <row r="615">
      <c r="A615" s="84" t="s">
        <v>337</v>
      </c>
      <c r="B615" s="11"/>
      <c r="C615" s="85" t="s">
        <v>11</v>
      </c>
      <c r="D615" s="85" t="str">
        <f t="shared" si="1"/>
        <v>-</v>
      </c>
      <c r="E615" s="7" t="s">
        <v>11</v>
      </c>
      <c r="F615" s="86"/>
      <c r="G615" s="7"/>
      <c r="H615" s="11"/>
      <c r="I615" s="7" t="s">
        <v>13</v>
      </c>
      <c r="J615" s="33"/>
    </row>
    <row r="616">
      <c r="A616" s="84" t="s">
        <v>337</v>
      </c>
      <c r="B616" s="11"/>
      <c r="C616" s="85" t="s">
        <v>11</v>
      </c>
      <c r="D616" s="85" t="str">
        <f t="shared" si="1"/>
        <v>-</v>
      </c>
      <c r="E616" s="7" t="s">
        <v>11</v>
      </c>
      <c r="F616" s="86"/>
      <c r="G616" s="7"/>
      <c r="H616" s="11"/>
      <c r="I616" s="7" t="s">
        <v>13</v>
      </c>
      <c r="J616" s="33"/>
    </row>
    <row r="617">
      <c r="A617" s="84" t="s">
        <v>337</v>
      </c>
      <c r="B617" s="11"/>
      <c r="C617" s="85" t="s">
        <v>11</v>
      </c>
      <c r="D617" s="85" t="str">
        <f t="shared" si="1"/>
        <v>-</v>
      </c>
      <c r="E617" s="7" t="s">
        <v>11</v>
      </c>
      <c r="F617" s="86"/>
      <c r="G617" s="7"/>
      <c r="H617" s="11"/>
      <c r="I617" s="7" t="s">
        <v>13</v>
      </c>
      <c r="J617" s="33"/>
    </row>
    <row r="618">
      <c r="A618" s="84" t="s">
        <v>337</v>
      </c>
      <c r="B618" s="11"/>
      <c r="C618" s="85" t="s">
        <v>11</v>
      </c>
      <c r="D618" s="85" t="str">
        <f t="shared" si="1"/>
        <v>-</v>
      </c>
      <c r="E618" s="7" t="s">
        <v>11</v>
      </c>
      <c r="F618" s="86"/>
      <c r="G618" s="7"/>
      <c r="H618" s="11"/>
      <c r="I618" s="7" t="s">
        <v>13</v>
      </c>
      <c r="J618" s="33"/>
    </row>
    <row r="619">
      <c r="A619" s="84" t="s">
        <v>337</v>
      </c>
      <c r="B619" s="11"/>
      <c r="C619" s="85" t="s">
        <v>11</v>
      </c>
      <c r="D619" s="85" t="str">
        <f t="shared" si="1"/>
        <v>-</v>
      </c>
      <c r="E619" s="7" t="s">
        <v>11</v>
      </c>
      <c r="F619" s="86"/>
      <c r="G619" s="7"/>
      <c r="H619" s="11"/>
      <c r="I619" s="7" t="s">
        <v>13</v>
      </c>
      <c r="J619" s="33"/>
    </row>
    <row r="620">
      <c r="A620" s="84" t="s">
        <v>337</v>
      </c>
      <c r="B620" s="11"/>
      <c r="C620" s="85" t="s">
        <v>11</v>
      </c>
      <c r="D620" s="85" t="str">
        <f t="shared" si="1"/>
        <v>-</v>
      </c>
      <c r="E620" s="7" t="s">
        <v>11</v>
      </c>
      <c r="F620" s="86"/>
      <c r="G620" s="7"/>
      <c r="H620" s="11"/>
      <c r="I620" s="7" t="s">
        <v>13</v>
      </c>
      <c r="J620" s="33"/>
    </row>
    <row r="621">
      <c r="A621" s="84" t="s">
        <v>337</v>
      </c>
      <c r="B621" s="11"/>
      <c r="C621" s="85" t="s">
        <v>11</v>
      </c>
      <c r="D621" s="85" t="str">
        <f t="shared" si="1"/>
        <v>-</v>
      </c>
      <c r="E621" s="7" t="s">
        <v>11</v>
      </c>
      <c r="F621" s="86"/>
      <c r="G621" s="7"/>
      <c r="H621" s="11"/>
      <c r="I621" s="7" t="s">
        <v>13</v>
      </c>
      <c r="J621" s="33"/>
    </row>
    <row r="622">
      <c r="A622" s="84" t="s">
        <v>337</v>
      </c>
      <c r="B622" s="11"/>
      <c r="C622" s="85" t="s">
        <v>11</v>
      </c>
      <c r="D622" s="85" t="str">
        <f t="shared" si="1"/>
        <v>-</v>
      </c>
      <c r="E622" s="7" t="s">
        <v>11</v>
      </c>
      <c r="F622" s="86"/>
      <c r="G622" s="7"/>
      <c r="H622" s="11"/>
      <c r="I622" s="7" t="s">
        <v>13</v>
      </c>
      <c r="J622" s="33"/>
    </row>
    <row r="623">
      <c r="A623" s="84" t="s">
        <v>337</v>
      </c>
      <c r="B623" s="11"/>
      <c r="C623" s="85" t="s">
        <v>11</v>
      </c>
      <c r="D623" s="85" t="str">
        <f t="shared" si="1"/>
        <v>-</v>
      </c>
      <c r="E623" s="7" t="s">
        <v>11</v>
      </c>
      <c r="F623" s="86"/>
      <c r="G623" s="7"/>
      <c r="H623" s="11"/>
      <c r="I623" s="7" t="s">
        <v>13</v>
      </c>
      <c r="J623" s="33"/>
    </row>
    <row r="624">
      <c r="A624" s="84" t="s">
        <v>337</v>
      </c>
      <c r="B624" s="11"/>
      <c r="C624" s="85" t="s">
        <v>11</v>
      </c>
      <c r="D624" s="85" t="str">
        <f t="shared" si="1"/>
        <v>-</v>
      </c>
      <c r="E624" s="7" t="s">
        <v>11</v>
      </c>
      <c r="F624" s="86"/>
      <c r="G624" s="7"/>
      <c r="H624" s="11"/>
      <c r="I624" s="7" t="s">
        <v>13</v>
      </c>
      <c r="J624" s="33"/>
    </row>
    <row r="625">
      <c r="A625" s="84" t="s">
        <v>337</v>
      </c>
      <c r="B625" s="11"/>
      <c r="C625" s="85" t="s">
        <v>11</v>
      </c>
      <c r="D625" s="85" t="str">
        <f t="shared" si="1"/>
        <v>-</v>
      </c>
      <c r="E625" s="7" t="s">
        <v>11</v>
      </c>
      <c r="F625" s="86"/>
      <c r="G625" s="7"/>
      <c r="H625" s="11"/>
      <c r="I625" s="7" t="s">
        <v>13</v>
      </c>
      <c r="J625" s="33"/>
    </row>
    <row r="626">
      <c r="A626" s="84" t="s">
        <v>337</v>
      </c>
      <c r="B626" s="11"/>
      <c r="C626" s="85" t="s">
        <v>11</v>
      </c>
      <c r="D626" s="85" t="str">
        <f t="shared" si="1"/>
        <v>-</v>
      </c>
      <c r="E626" s="7" t="s">
        <v>11</v>
      </c>
      <c r="F626" s="86"/>
      <c r="G626" s="7"/>
      <c r="H626" s="11"/>
      <c r="I626" s="7" t="s">
        <v>13</v>
      </c>
      <c r="J626" s="33"/>
    </row>
    <row r="627">
      <c r="A627" s="84" t="s">
        <v>337</v>
      </c>
      <c r="B627" s="11"/>
      <c r="C627" s="85" t="s">
        <v>11</v>
      </c>
      <c r="D627" s="85" t="str">
        <f t="shared" si="1"/>
        <v>-</v>
      </c>
      <c r="E627" s="7" t="s">
        <v>11</v>
      </c>
      <c r="F627" s="86"/>
      <c r="G627" s="7"/>
      <c r="H627" s="11"/>
      <c r="I627" s="7" t="s">
        <v>13</v>
      </c>
      <c r="J627" s="33"/>
    </row>
    <row r="628">
      <c r="A628" s="84" t="s">
        <v>337</v>
      </c>
      <c r="B628" s="11"/>
      <c r="C628" s="85" t="s">
        <v>11</v>
      </c>
      <c r="D628" s="85" t="str">
        <f t="shared" si="1"/>
        <v>-</v>
      </c>
      <c r="E628" s="7" t="s">
        <v>11</v>
      </c>
      <c r="F628" s="86"/>
      <c r="G628" s="7"/>
      <c r="H628" s="11"/>
      <c r="I628" s="7" t="s">
        <v>13</v>
      </c>
      <c r="J628" s="33"/>
    </row>
    <row r="629">
      <c r="A629" s="84" t="s">
        <v>337</v>
      </c>
      <c r="B629" s="11"/>
      <c r="C629" s="85" t="s">
        <v>11</v>
      </c>
      <c r="D629" s="85" t="str">
        <f t="shared" si="1"/>
        <v>-</v>
      </c>
      <c r="E629" s="7" t="s">
        <v>11</v>
      </c>
      <c r="F629" s="86"/>
      <c r="G629" s="7"/>
      <c r="H629" s="11"/>
      <c r="I629" s="7" t="s">
        <v>13</v>
      </c>
      <c r="J629" s="33"/>
    </row>
    <row r="630">
      <c r="A630" s="84" t="s">
        <v>337</v>
      </c>
      <c r="B630" s="11"/>
      <c r="C630" s="85" t="s">
        <v>11</v>
      </c>
      <c r="D630" s="85" t="str">
        <f t="shared" si="1"/>
        <v>-</v>
      </c>
      <c r="E630" s="7" t="s">
        <v>11</v>
      </c>
      <c r="F630" s="86"/>
      <c r="G630" s="7"/>
      <c r="H630" s="11"/>
      <c r="I630" s="7" t="s">
        <v>13</v>
      </c>
      <c r="J630" s="33"/>
    </row>
    <row r="631">
      <c r="A631" s="84" t="s">
        <v>337</v>
      </c>
      <c r="B631" s="11"/>
      <c r="C631" s="85" t="s">
        <v>11</v>
      </c>
      <c r="D631" s="85" t="str">
        <f t="shared" si="1"/>
        <v>-</v>
      </c>
      <c r="E631" s="7" t="s">
        <v>11</v>
      </c>
      <c r="F631" s="86"/>
      <c r="G631" s="7"/>
      <c r="H631" s="11"/>
      <c r="I631" s="7" t="s">
        <v>13</v>
      </c>
      <c r="J631" s="33"/>
    </row>
    <row r="632">
      <c r="A632" s="84" t="s">
        <v>337</v>
      </c>
      <c r="B632" s="11"/>
      <c r="C632" s="85" t="s">
        <v>11</v>
      </c>
      <c r="D632" s="85" t="str">
        <f t="shared" si="1"/>
        <v>-</v>
      </c>
      <c r="E632" s="7" t="s">
        <v>11</v>
      </c>
      <c r="F632" s="86"/>
      <c r="G632" s="7"/>
      <c r="H632" s="11"/>
      <c r="I632" s="7" t="s">
        <v>13</v>
      </c>
      <c r="J632" s="33"/>
    </row>
    <row r="633">
      <c r="A633" s="84" t="s">
        <v>337</v>
      </c>
      <c r="B633" s="11"/>
      <c r="C633" s="85" t="s">
        <v>11</v>
      </c>
      <c r="D633" s="85" t="str">
        <f t="shared" si="1"/>
        <v>-</v>
      </c>
      <c r="E633" s="7" t="s">
        <v>11</v>
      </c>
      <c r="F633" s="86"/>
      <c r="G633" s="7"/>
      <c r="H633" s="11"/>
      <c r="I633" s="7" t="s">
        <v>13</v>
      </c>
      <c r="J633" s="33"/>
    </row>
    <row r="634">
      <c r="A634" s="84" t="s">
        <v>337</v>
      </c>
      <c r="B634" s="11"/>
      <c r="C634" s="85" t="s">
        <v>11</v>
      </c>
      <c r="D634" s="85" t="str">
        <f t="shared" si="1"/>
        <v>-</v>
      </c>
      <c r="E634" s="7" t="s">
        <v>11</v>
      </c>
      <c r="F634" s="86"/>
      <c r="G634" s="7"/>
      <c r="H634" s="11"/>
      <c r="I634" s="7" t="s">
        <v>13</v>
      </c>
      <c r="J634" s="33"/>
    </row>
    <row r="635">
      <c r="A635" s="84" t="s">
        <v>337</v>
      </c>
      <c r="B635" s="11"/>
      <c r="C635" s="85" t="s">
        <v>11</v>
      </c>
      <c r="D635" s="85" t="str">
        <f t="shared" si="1"/>
        <v>-</v>
      </c>
      <c r="E635" s="7" t="s">
        <v>11</v>
      </c>
      <c r="F635" s="86"/>
      <c r="G635" s="7"/>
      <c r="H635" s="11"/>
      <c r="I635" s="7" t="s">
        <v>13</v>
      </c>
      <c r="J635" s="33"/>
    </row>
    <row r="636">
      <c r="A636" s="84" t="s">
        <v>337</v>
      </c>
      <c r="B636" s="11"/>
      <c r="C636" s="85" t="s">
        <v>11</v>
      </c>
      <c r="D636" s="85" t="str">
        <f t="shared" si="1"/>
        <v>-</v>
      </c>
      <c r="E636" s="7" t="s">
        <v>11</v>
      </c>
      <c r="F636" s="86"/>
      <c r="G636" s="7"/>
      <c r="H636" s="11"/>
      <c r="I636" s="7" t="s">
        <v>13</v>
      </c>
      <c r="J636" s="33"/>
    </row>
    <row r="637">
      <c r="A637" s="84" t="s">
        <v>337</v>
      </c>
      <c r="B637" s="11"/>
      <c r="C637" s="85" t="s">
        <v>11</v>
      </c>
      <c r="D637" s="85" t="str">
        <f t="shared" si="1"/>
        <v>-</v>
      </c>
      <c r="E637" s="7" t="s">
        <v>11</v>
      </c>
      <c r="F637" s="86"/>
      <c r="G637" s="7"/>
      <c r="H637" s="11"/>
      <c r="I637" s="7" t="s">
        <v>13</v>
      </c>
      <c r="J637" s="33"/>
    </row>
    <row r="638">
      <c r="A638" s="84" t="s">
        <v>337</v>
      </c>
      <c r="B638" s="11"/>
      <c r="C638" s="85" t="s">
        <v>11</v>
      </c>
      <c r="D638" s="85" t="str">
        <f t="shared" si="1"/>
        <v>-</v>
      </c>
      <c r="E638" s="7" t="s">
        <v>11</v>
      </c>
      <c r="F638" s="86"/>
      <c r="G638" s="7"/>
      <c r="H638" s="11"/>
      <c r="I638" s="7" t="s">
        <v>13</v>
      </c>
      <c r="J638" s="33"/>
    </row>
    <row r="639">
      <c r="A639" s="84" t="s">
        <v>337</v>
      </c>
      <c r="B639" s="11"/>
      <c r="C639" s="85" t="s">
        <v>11</v>
      </c>
      <c r="D639" s="85" t="str">
        <f t="shared" si="1"/>
        <v>-</v>
      </c>
      <c r="E639" s="7" t="s">
        <v>11</v>
      </c>
      <c r="F639" s="86"/>
      <c r="G639" s="7"/>
      <c r="H639" s="11"/>
      <c r="I639" s="7" t="s">
        <v>13</v>
      </c>
      <c r="J639" s="33"/>
    </row>
    <row r="640">
      <c r="A640" s="84" t="s">
        <v>337</v>
      </c>
      <c r="B640" s="11"/>
      <c r="C640" s="85" t="s">
        <v>11</v>
      </c>
      <c r="D640" s="85" t="str">
        <f t="shared" si="1"/>
        <v>-</v>
      </c>
      <c r="E640" s="7" t="s">
        <v>11</v>
      </c>
      <c r="F640" s="86"/>
      <c r="G640" s="7"/>
      <c r="H640" s="11"/>
      <c r="I640" s="7" t="s">
        <v>13</v>
      </c>
      <c r="J640" s="33"/>
    </row>
    <row r="641">
      <c r="A641" s="84" t="s">
        <v>337</v>
      </c>
      <c r="B641" s="11"/>
      <c r="C641" s="85" t="s">
        <v>11</v>
      </c>
      <c r="D641" s="85" t="str">
        <f t="shared" si="1"/>
        <v>-</v>
      </c>
      <c r="E641" s="7" t="s">
        <v>11</v>
      </c>
      <c r="F641" s="86"/>
      <c r="G641" s="7"/>
      <c r="H641" s="11"/>
      <c r="I641" s="7" t="s">
        <v>13</v>
      </c>
      <c r="J641" s="33"/>
    </row>
    <row r="642">
      <c r="A642" s="84" t="s">
        <v>337</v>
      </c>
      <c r="B642" s="11"/>
      <c r="C642" s="85" t="s">
        <v>11</v>
      </c>
      <c r="D642" s="85" t="str">
        <f t="shared" si="1"/>
        <v>-</v>
      </c>
      <c r="E642" s="7" t="s">
        <v>11</v>
      </c>
      <c r="F642" s="86"/>
      <c r="G642" s="7"/>
      <c r="H642" s="11"/>
      <c r="I642" s="7" t="s">
        <v>13</v>
      </c>
      <c r="J642" s="33"/>
    </row>
    <row r="643">
      <c r="A643" s="84" t="s">
        <v>337</v>
      </c>
      <c r="B643" s="11"/>
      <c r="C643" s="85" t="s">
        <v>11</v>
      </c>
      <c r="D643" s="85" t="str">
        <f t="shared" si="1"/>
        <v>-</v>
      </c>
      <c r="E643" s="7" t="s">
        <v>11</v>
      </c>
      <c r="F643" s="86"/>
      <c r="G643" s="7"/>
      <c r="H643" s="11"/>
      <c r="I643" s="7" t="s">
        <v>13</v>
      </c>
      <c r="J643" s="33"/>
    </row>
    <row r="644">
      <c r="A644" s="84" t="s">
        <v>337</v>
      </c>
      <c r="B644" s="11"/>
      <c r="C644" s="85" t="s">
        <v>11</v>
      </c>
      <c r="D644" s="85" t="str">
        <f t="shared" si="1"/>
        <v>-</v>
      </c>
      <c r="E644" s="7" t="s">
        <v>11</v>
      </c>
      <c r="F644" s="86"/>
      <c r="G644" s="7"/>
      <c r="H644" s="11"/>
      <c r="I644" s="7" t="s">
        <v>13</v>
      </c>
      <c r="J644" s="33"/>
    </row>
    <row r="645">
      <c r="A645" s="84" t="s">
        <v>337</v>
      </c>
      <c r="B645" s="11"/>
      <c r="C645" s="85" t="s">
        <v>11</v>
      </c>
      <c r="D645" s="85" t="str">
        <f t="shared" si="1"/>
        <v>-</v>
      </c>
      <c r="E645" s="7" t="s">
        <v>11</v>
      </c>
      <c r="F645" s="86"/>
      <c r="G645" s="7"/>
      <c r="H645" s="11"/>
      <c r="I645" s="7" t="s">
        <v>13</v>
      </c>
      <c r="J645" s="33"/>
    </row>
    <row r="646">
      <c r="A646" s="84" t="s">
        <v>337</v>
      </c>
      <c r="B646" s="11"/>
      <c r="C646" s="85" t="s">
        <v>11</v>
      </c>
      <c r="D646" s="85" t="str">
        <f t="shared" si="1"/>
        <v>-</v>
      </c>
      <c r="E646" s="7" t="s">
        <v>11</v>
      </c>
      <c r="F646" s="86"/>
      <c r="G646" s="7"/>
      <c r="H646" s="11"/>
      <c r="I646" s="7" t="s">
        <v>13</v>
      </c>
      <c r="J646" s="33"/>
    </row>
    <row r="647">
      <c r="A647" s="84" t="s">
        <v>337</v>
      </c>
      <c r="B647" s="11"/>
      <c r="C647" s="85" t="s">
        <v>11</v>
      </c>
      <c r="D647" s="85" t="str">
        <f t="shared" si="1"/>
        <v>-</v>
      </c>
      <c r="E647" s="7" t="s">
        <v>11</v>
      </c>
      <c r="F647" s="86"/>
      <c r="G647" s="7"/>
      <c r="H647" s="11"/>
      <c r="I647" s="7" t="s">
        <v>13</v>
      </c>
      <c r="J647" s="33"/>
    </row>
    <row r="648">
      <c r="A648" s="84" t="s">
        <v>337</v>
      </c>
      <c r="B648" s="11"/>
      <c r="C648" s="85" t="s">
        <v>11</v>
      </c>
      <c r="D648" s="85" t="str">
        <f t="shared" si="1"/>
        <v>-</v>
      </c>
      <c r="E648" s="7" t="s">
        <v>11</v>
      </c>
      <c r="F648" s="86"/>
      <c r="G648" s="7"/>
      <c r="H648" s="11"/>
      <c r="I648" s="7" t="s">
        <v>13</v>
      </c>
      <c r="J648" s="33"/>
    </row>
    <row r="649">
      <c r="A649" s="84" t="s">
        <v>337</v>
      </c>
      <c r="B649" s="11"/>
      <c r="C649" s="85" t="s">
        <v>11</v>
      </c>
      <c r="D649" s="85" t="str">
        <f t="shared" si="1"/>
        <v>-</v>
      </c>
      <c r="E649" s="7" t="s">
        <v>11</v>
      </c>
      <c r="F649" s="86"/>
      <c r="G649" s="7"/>
      <c r="H649" s="11"/>
      <c r="I649" s="7" t="s">
        <v>13</v>
      </c>
      <c r="J649" s="33"/>
    </row>
    <row r="650">
      <c r="A650" s="84" t="s">
        <v>337</v>
      </c>
      <c r="B650" s="11"/>
      <c r="C650" s="85" t="s">
        <v>11</v>
      </c>
      <c r="D650" s="85" t="str">
        <f t="shared" si="1"/>
        <v>-</v>
      </c>
      <c r="E650" s="7" t="s">
        <v>11</v>
      </c>
      <c r="F650" s="86"/>
      <c r="G650" s="7"/>
      <c r="H650" s="11"/>
      <c r="I650" s="7" t="s">
        <v>13</v>
      </c>
      <c r="J650" s="33"/>
    </row>
    <row r="651">
      <c r="A651" s="84" t="s">
        <v>337</v>
      </c>
      <c r="B651" s="11"/>
      <c r="C651" s="85" t="s">
        <v>11</v>
      </c>
      <c r="D651" s="85" t="str">
        <f t="shared" si="1"/>
        <v>-</v>
      </c>
      <c r="E651" s="7" t="s">
        <v>11</v>
      </c>
      <c r="F651" s="86"/>
      <c r="G651" s="7"/>
      <c r="H651" s="11"/>
      <c r="I651" s="7" t="s">
        <v>13</v>
      </c>
      <c r="J651" s="33"/>
    </row>
    <row r="652">
      <c r="A652" s="84" t="s">
        <v>337</v>
      </c>
      <c r="B652" s="11"/>
      <c r="C652" s="85" t="s">
        <v>11</v>
      </c>
      <c r="D652" s="85" t="str">
        <f t="shared" si="1"/>
        <v>-</v>
      </c>
      <c r="E652" s="7" t="s">
        <v>11</v>
      </c>
      <c r="F652" s="86"/>
      <c r="G652" s="7"/>
      <c r="H652" s="11"/>
      <c r="I652" s="7" t="s">
        <v>13</v>
      </c>
      <c r="J652" s="33"/>
    </row>
    <row r="653">
      <c r="A653" s="84" t="s">
        <v>337</v>
      </c>
      <c r="B653" s="11"/>
      <c r="C653" s="85" t="s">
        <v>11</v>
      </c>
      <c r="D653" s="85" t="str">
        <f t="shared" si="1"/>
        <v>-</v>
      </c>
      <c r="E653" s="7" t="s">
        <v>11</v>
      </c>
      <c r="F653" s="86"/>
      <c r="G653" s="7"/>
      <c r="H653" s="11"/>
      <c r="I653" s="7" t="s">
        <v>13</v>
      </c>
      <c r="J653" s="33"/>
    </row>
    <row r="654">
      <c r="A654" s="84" t="s">
        <v>337</v>
      </c>
      <c r="B654" s="11"/>
      <c r="C654" s="85" t="s">
        <v>11</v>
      </c>
      <c r="D654" s="85" t="str">
        <f t="shared" si="1"/>
        <v>-</v>
      </c>
      <c r="E654" s="7" t="s">
        <v>11</v>
      </c>
      <c r="F654" s="86"/>
      <c r="G654" s="7"/>
      <c r="H654" s="11"/>
      <c r="I654" s="7" t="s">
        <v>13</v>
      </c>
      <c r="J654" s="33"/>
    </row>
    <row r="655">
      <c r="A655" s="84" t="s">
        <v>337</v>
      </c>
      <c r="B655" s="11"/>
      <c r="C655" s="85" t="s">
        <v>11</v>
      </c>
      <c r="D655" s="85" t="str">
        <f t="shared" si="1"/>
        <v>-</v>
      </c>
      <c r="E655" s="7" t="s">
        <v>11</v>
      </c>
      <c r="F655" s="86"/>
      <c r="G655" s="7"/>
      <c r="H655" s="11"/>
      <c r="I655" s="7" t="s">
        <v>13</v>
      </c>
      <c r="J655" s="33"/>
    </row>
    <row r="656">
      <c r="A656" s="84" t="s">
        <v>337</v>
      </c>
      <c r="B656" s="11"/>
      <c r="C656" s="85" t="s">
        <v>11</v>
      </c>
      <c r="D656" s="85" t="str">
        <f t="shared" si="1"/>
        <v>-</v>
      </c>
      <c r="E656" s="7" t="s">
        <v>11</v>
      </c>
      <c r="F656" s="86"/>
      <c r="G656" s="7"/>
      <c r="H656" s="11"/>
      <c r="I656" s="7" t="s">
        <v>13</v>
      </c>
      <c r="J656" s="33"/>
    </row>
    <row r="657">
      <c r="A657" s="84" t="s">
        <v>337</v>
      </c>
      <c r="B657" s="11"/>
      <c r="C657" s="85" t="s">
        <v>11</v>
      </c>
      <c r="D657" s="85" t="str">
        <f t="shared" si="1"/>
        <v>-</v>
      </c>
      <c r="E657" s="7" t="s">
        <v>11</v>
      </c>
      <c r="F657" s="86"/>
      <c r="G657" s="7"/>
      <c r="H657" s="11"/>
      <c r="I657" s="7" t="s">
        <v>13</v>
      </c>
      <c r="J657" s="33"/>
    </row>
    <row r="658">
      <c r="A658" s="84" t="s">
        <v>337</v>
      </c>
      <c r="B658" s="11"/>
      <c r="C658" s="85" t="s">
        <v>11</v>
      </c>
      <c r="D658" s="85" t="str">
        <f t="shared" si="1"/>
        <v>-</v>
      </c>
      <c r="E658" s="7" t="s">
        <v>11</v>
      </c>
      <c r="F658" s="86"/>
      <c r="G658" s="7"/>
      <c r="H658" s="11"/>
      <c r="I658" s="7" t="s">
        <v>13</v>
      </c>
      <c r="J658" s="33"/>
    </row>
    <row r="659">
      <c r="A659" s="84" t="s">
        <v>337</v>
      </c>
      <c r="B659" s="11"/>
      <c r="C659" s="85" t="s">
        <v>11</v>
      </c>
      <c r="D659" s="85" t="str">
        <f t="shared" si="1"/>
        <v>-</v>
      </c>
      <c r="E659" s="7" t="s">
        <v>11</v>
      </c>
      <c r="F659" s="86"/>
      <c r="G659" s="7"/>
      <c r="H659" s="11"/>
      <c r="I659" s="7" t="s">
        <v>13</v>
      </c>
      <c r="J659" s="33"/>
    </row>
    <row r="660">
      <c r="A660" s="84" t="s">
        <v>337</v>
      </c>
      <c r="B660" s="11"/>
      <c r="C660" s="85" t="s">
        <v>11</v>
      </c>
      <c r="D660" s="85" t="str">
        <f t="shared" si="1"/>
        <v>-</v>
      </c>
      <c r="E660" s="7" t="s">
        <v>11</v>
      </c>
      <c r="F660" s="86"/>
      <c r="G660" s="7"/>
      <c r="H660" s="11"/>
      <c r="I660" s="7" t="s">
        <v>13</v>
      </c>
      <c r="J660" s="33"/>
    </row>
    <row r="661">
      <c r="A661" s="84" t="s">
        <v>337</v>
      </c>
      <c r="B661" s="11"/>
      <c r="C661" s="85" t="s">
        <v>11</v>
      </c>
      <c r="D661" s="85" t="str">
        <f t="shared" si="1"/>
        <v>-</v>
      </c>
      <c r="E661" s="7" t="s">
        <v>11</v>
      </c>
      <c r="F661" s="86"/>
      <c r="G661" s="7"/>
      <c r="H661" s="11"/>
      <c r="I661" s="7" t="s">
        <v>13</v>
      </c>
      <c r="J661" s="33"/>
    </row>
    <row r="662">
      <c r="A662" s="84" t="s">
        <v>337</v>
      </c>
      <c r="B662" s="11"/>
      <c r="C662" s="85" t="s">
        <v>11</v>
      </c>
      <c r="D662" s="85" t="str">
        <f t="shared" si="1"/>
        <v>-</v>
      </c>
      <c r="E662" s="7" t="s">
        <v>11</v>
      </c>
      <c r="F662" s="86"/>
      <c r="G662" s="7"/>
      <c r="H662" s="11"/>
      <c r="I662" s="7" t="s">
        <v>13</v>
      </c>
      <c r="J662" s="33"/>
    </row>
    <row r="663">
      <c r="A663" s="84" t="s">
        <v>337</v>
      </c>
      <c r="B663" s="11"/>
      <c r="C663" s="85" t="s">
        <v>11</v>
      </c>
      <c r="D663" s="85" t="str">
        <f t="shared" si="1"/>
        <v>-</v>
      </c>
      <c r="E663" s="7" t="s">
        <v>11</v>
      </c>
      <c r="F663" s="86"/>
      <c r="G663" s="7"/>
      <c r="H663" s="11"/>
      <c r="I663" s="7" t="s">
        <v>13</v>
      </c>
      <c r="J663" s="33"/>
    </row>
    <row r="664">
      <c r="A664" s="84" t="s">
        <v>337</v>
      </c>
      <c r="B664" s="11"/>
      <c r="C664" s="85" t="s">
        <v>11</v>
      </c>
      <c r="D664" s="85" t="str">
        <f t="shared" si="1"/>
        <v>-</v>
      </c>
      <c r="E664" s="7" t="s">
        <v>11</v>
      </c>
      <c r="F664" s="86"/>
      <c r="G664" s="7"/>
      <c r="H664" s="11"/>
      <c r="I664" s="7" t="s">
        <v>13</v>
      </c>
      <c r="J664" s="33"/>
    </row>
    <row r="665">
      <c r="A665" s="84" t="s">
        <v>337</v>
      </c>
      <c r="B665" s="11"/>
      <c r="C665" s="85" t="s">
        <v>11</v>
      </c>
      <c r="D665" s="85" t="str">
        <f t="shared" si="1"/>
        <v>-</v>
      </c>
      <c r="E665" s="7" t="s">
        <v>11</v>
      </c>
      <c r="F665" s="86"/>
      <c r="G665" s="7"/>
      <c r="H665" s="11"/>
      <c r="I665" s="7" t="s">
        <v>13</v>
      </c>
      <c r="J665" s="33"/>
    </row>
    <row r="666">
      <c r="A666" s="84" t="s">
        <v>337</v>
      </c>
      <c r="B666" s="11"/>
      <c r="C666" s="85" t="s">
        <v>11</v>
      </c>
      <c r="D666" s="85" t="str">
        <f t="shared" si="1"/>
        <v>-</v>
      </c>
      <c r="E666" s="7" t="s">
        <v>11</v>
      </c>
      <c r="F666" s="86"/>
      <c r="G666" s="7"/>
      <c r="H666" s="11"/>
      <c r="I666" s="7" t="s">
        <v>13</v>
      </c>
      <c r="J666" s="33"/>
    </row>
    <row r="667">
      <c r="A667" s="84" t="s">
        <v>337</v>
      </c>
      <c r="B667" s="11"/>
      <c r="C667" s="85" t="s">
        <v>11</v>
      </c>
      <c r="D667" s="85" t="str">
        <f t="shared" si="1"/>
        <v>-</v>
      </c>
      <c r="E667" s="7" t="s">
        <v>11</v>
      </c>
      <c r="F667" s="86"/>
      <c r="G667" s="7"/>
      <c r="H667" s="11"/>
      <c r="I667" s="7" t="s">
        <v>13</v>
      </c>
      <c r="J667" s="33"/>
    </row>
    <row r="668">
      <c r="A668" s="84" t="s">
        <v>337</v>
      </c>
      <c r="B668" s="11"/>
      <c r="C668" s="85" t="s">
        <v>11</v>
      </c>
      <c r="D668" s="85" t="str">
        <f t="shared" si="1"/>
        <v>-</v>
      </c>
      <c r="E668" s="7" t="s">
        <v>11</v>
      </c>
      <c r="F668" s="86"/>
      <c r="G668" s="7"/>
      <c r="H668" s="11"/>
      <c r="I668" s="7" t="s">
        <v>13</v>
      </c>
      <c r="J668" s="33"/>
    </row>
    <row r="669">
      <c r="A669" s="84" t="s">
        <v>337</v>
      </c>
      <c r="B669" s="11"/>
      <c r="C669" s="85" t="s">
        <v>11</v>
      </c>
      <c r="D669" s="85" t="str">
        <f t="shared" si="1"/>
        <v>-</v>
      </c>
      <c r="E669" s="7" t="s">
        <v>11</v>
      </c>
      <c r="F669" s="86"/>
      <c r="G669" s="7"/>
      <c r="H669" s="11"/>
      <c r="I669" s="7" t="s">
        <v>13</v>
      </c>
      <c r="J669" s="33"/>
    </row>
    <row r="670">
      <c r="A670" s="84" t="s">
        <v>337</v>
      </c>
      <c r="B670" s="11"/>
      <c r="C670" s="85" t="s">
        <v>11</v>
      </c>
      <c r="D670" s="85" t="str">
        <f t="shared" si="1"/>
        <v>-</v>
      </c>
      <c r="E670" s="7" t="s">
        <v>11</v>
      </c>
      <c r="F670" s="86"/>
      <c r="G670" s="7"/>
      <c r="H670" s="11"/>
      <c r="I670" s="7" t="s">
        <v>13</v>
      </c>
      <c r="J670" s="33"/>
    </row>
    <row r="671">
      <c r="A671" s="84" t="s">
        <v>337</v>
      </c>
      <c r="B671" s="11"/>
      <c r="C671" s="85" t="s">
        <v>11</v>
      </c>
      <c r="D671" s="85" t="str">
        <f t="shared" si="1"/>
        <v>-</v>
      </c>
      <c r="E671" s="7" t="s">
        <v>11</v>
      </c>
      <c r="F671" s="86"/>
      <c r="G671" s="7"/>
      <c r="H671" s="11"/>
      <c r="I671" s="7" t="s">
        <v>13</v>
      </c>
      <c r="J671" s="33"/>
    </row>
    <row r="672">
      <c r="A672" s="84" t="s">
        <v>337</v>
      </c>
      <c r="B672" s="11"/>
      <c r="C672" s="85" t="s">
        <v>11</v>
      </c>
      <c r="D672" s="85" t="str">
        <f t="shared" si="1"/>
        <v>-</v>
      </c>
      <c r="E672" s="7" t="s">
        <v>11</v>
      </c>
      <c r="F672" s="86"/>
      <c r="G672" s="7"/>
      <c r="H672" s="11"/>
      <c r="I672" s="7" t="s">
        <v>13</v>
      </c>
      <c r="J672" s="33"/>
    </row>
    <row r="673">
      <c r="A673" s="84" t="s">
        <v>337</v>
      </c>
      <c r="B673" s="11"/>
      <c r="C673" s="85" t="s">
        <v>11</v>
      </c>
      <c r="D673" s="85" t="str">
        <f t="shared" si="1"/>
        <v>-</v>
      </c>
      <c r="E673" s="7" t="s">
        <v>11</v>
      </c>
      <c r="F673" s="86"/>
      <c r="G673" s="7"/>
      <c r="H673" s="11"/>
      <c r="I673" s="7" t="s">
        <v>13</v>
      </c>
      <c r="J673" s="33"/>
    </row>
    <row r="674">
      <c r="A674" s="84" t="s">
        <v>337</v>
      </c>
      <c r="B674" s="11"/>
      <c r="C674" s="85" t="s">
        <v>11</v>
      </c>
      <c r="D674" s="85" t="str">
        <f t="shared" si="1"/>
        <v>-</v>
      </c>
      <c r="E674" s="7" t="s">
        <v>11</v>
      </c>
      <c r="F674" s="86"/>
      <c r="G674" s="7"/>
      <c r="H674" s="11"/>
      <c r="I674" s="7" t="s">
        <v>13</v>
      </c>
      <c r="J674" s="33"/>
    </row>
    <row r="675">
      <c r="A675" s="84" t="s">
        <v>337</v>
      </c>
      <c r="B675" s="11"/>
      <c r="C675" s="85" t="s">
        <v>11</v>
      </c>
      <c r="D675" s="85" t="str">
        <f t="shared" si="1"/>
        <v>-</v>
      </c>
      <c r="E675" s="7" t="s">
        <v>11</v>
      </c>
      <c r="F675" s="86"/>
      <c r="G675" s="7"/>
      <c r="H675" s="11"/>
      <c r="I675" s="7" t="s">
        <v>13</v>
      </c>
      <c r="J675" s="33"/>
    </row>
    <row r="676">
      <c r="A676" s="84" t="s">
        <v>337</v>
      </c>
      <c r="B676" s="11"/>
      <c r="C676" s="85" t="s">
        <v>11</v>
      </c>
      <c r="D676" s="85" t="str">
        <f t="shared" si="1"/>
        <v>-</v>
      </c>
      <c r="E676" s="7" t="s">
        <v>11</v>
      </c>
      <c r="F676" s="86"/>
      <c r="G676" s="7"/>
      <c r="H676" s="11"/>
      <c r="I676" s="7" t="s">
        <v>13</v>
      </c>
      <c r="J676" s="33"/>
    </row>
    <row r="677">
      <c r="A677" s="84" t="s">
        <v>337</v>
      </c>
      <c r="B677" s="11"/>
      <c r="C677" s="85" t="s">
        <v>11</v>
      </c>
      <c r="D677" s="85" t="str">
        <f t="shared" si="1"/>
        <v>-</v>
      </c>
      <c r="E677" s="7" t="s">
        <v>11</v>
      </c>
      <c r="F677" s="86"/>
      <c r="G677" s="7"/>
      <c r="H677" s="11"/>
      <c r="I677" s="7" t="s">
        <v>13</v>
      </c>
      <c r="J677" s="33"/>
    </row>
    <row r="678">
      <c r="A678" s="84" t="s">
        <v>337</v>
      </c>
      <c r="B678" s="11"/>
      <c r="C678" s="85" t="s">
        <v>11</v>
      </c>
      <c r="D678" s="85" t="str">
        <f t="shared" si="1"/>
        <v>-</v>
      </c>
      <c r="E678" s="7" t="s">
        <v>11</v>
      </c>
      <c r="F678" s="86"/>
      <c r="G678" s="7"/>
      <c r="H678" s="11"/>
      <c r="I678" s="7" t="s">
        <v>13</v>
      </c>
      <c r="J678" s="33"/>
    </row>
    <row r="679">
      <c r="A679" s="84" t="s">
        <v>337</v>
      </c>
      <c r="B679" s="11"/>
      <c r="C679" s="85" t="s">
        <v>11</v>
      </c>
      <c r="D679" s="85" t="str">
        <f t="shared" si="1"/>
        <v>-</v>
      </c>
      <c r="E679" s="7" t="s">
        <v>11</v>
      </c>
      <c r="F679" s="86"/>
      <c r="G679" s="7"/>
      <c r="H679" s="11"/>
      <c r="I679" s="7" t="s">
        <v>13</v>
      </c>
      <c r="J679" s="33"/>
    </row>
    <row r="680">
      <c r="A680" s="84" t="s">
        <v>337</v>
      </c>
      <c r="B680" s="11"/>
      <c r="C680" s="85" t="s">
        <v>11</v>
      </c>
      <c r="D680" s="85" t="str">
        <f t="shared" si="1"/>
        <v>-</v>
      </c>
      <c r="E680" s="7" t="s">
        <v>11</v>
      </c>
      <c r="F680" s="86"/>
      <c r="G680" s="7"/>
      <c r="H680" s="11"/>
      <c r="I680" s="7" t="s">
        <v>13</v>
      </c>
      <c r="J680" s="33"/>
    </row>
    <row r="681">
      <c r="A681" s="84" t="s">
        <v>337</v>
      </c>
      <c r="B681" s="11"/>
      <c r="C681" s="85" t="s">
        <v>11</v>
      </c>
      <c r="D681" s="85" t="str">
        <f t="shared" si="1"/>
        <v>-</v>
      </c>
      <c r="E681" s="7" t="s">
        <v>11</v>
      </c>
      <c r="F681" s="86"/>
      <c r="G681" s="7"/>
      <c r="H681" s="11"/>
      <c r="I681" s="7" t="s">
        <v>13</v>
      </c>
      <c r="J681" s="33"/>
    </row>
    <row r="682">
      <c r="A682" s="84" t="s">
        <v>337</v>
      </c>
      <c r="B682" s="11"/>
      <c r="C682" s="85" t="s">
        <v>11</v>
      </c>
      <c r="D682" s="85" t="str">
        <f t="shared" si="1"/>
        <v>-</v>
      </c>
      <c r="E682" s="7" t="s">
        <v>11</v>
      </c>
      <c r="F682" s="86"/>
      <c r="G682" s="7"/>
      <c r="H682" s="11"/>
      <c r="I682" s="7" t="s">
        <v>13</v>
      </c>
      <c r="J682" s="33"/>
    </row>
    <row r="683">
      <c r="A683" s="84" t="s">
        <v>337</v>
      </c>
      <c r="B683" s="11"/>
      <c r="C683" s="85" t="s">
        <v>11</v>
      </c>
      <c r="D683" s="85" t="str">
        <f t="shared" si="1"/>
        <v>-</v>
      </c>
      <c r="E683" s="7" t="s">
        <v>11</v>
      </c>
      <c r="F683" s="86"/>
      <c r="G683" s="7"/>
      <c r="H683" s="11"/>
      <c r="I683" s="7" t="s">
        <v>13</v>
      </c>
      <c r="J683" s="33"/>
    </row>
    <row r="684">
      <c r="A684" s="84" t="s">
        <v>337</v>
      </c>
      <c r="B684" s="11"/>
      <c r="C684" s="85" t="s">
        <v>11</v>
      </c>
      <c r="D684" s="85" t="str">
        <f t="shared" si="1"/>
        <v>-</v>
      </c>
      <c r="E684" s="7" t="s">
        <v>11</v>
      </c>
      <c r="F684" s="86"/>
      <c r="G684" s="7"/>
      <c r="H684" s="11"/>
      <c r="I684" s="7" t="s">
        <v>13</v>
      </c>
      <c r="J684" s="33"/>
    </row>
    <row r="685">
      <c r="A685" s="84" t="s">
        <v>337</v>
      </c>
      <c r="B685" s="11"/>
      <c r="C685" s="85" t="s">
        <v>11</v>
      </c>
      <c r="D685" s="85" t="str">
        <f t="shared" si="1"/>
        <v>-</v>
      </c>
      <c r="E685" s="7" t="s">
        <v>11</v>
      </c>
      <c r="F685" s="86"/>
      <c r="G685" s="7"/>
      <c r="H685" s="11"/>
      <c r="I685" s="7" t="s">
        <v>13</v>
      </c>
      <c r="J685" s="33"/>
    </row>
    <row r="686">
      <c r="A686" s="84" t="s">
        <v>337</v>
      </c>
      <c r="B686" s="11"/>
      <c r="C686" s="85" t="s">
        <v>11</v>
      </c>
      <c r="D686" s="85" t="str">
        <f t="shared" si="1"/>
        <v>-</v>
      </c>
      <c r="E686" s="7" t="s">
        <v>11</v>
      </c>
      <c r="F686" s="86"/>
      <c r="G686" s="7"/>
      <c r="H686" s="11"/>
      <c r="I686" s="7" t="s">
        <v>13</v>
      </c>
      <c r="J686" s="33"/>
    </row>
    <row r="687">
      <c r="A687" s="84" t="s">
        <v>337</v>
      </c>
      <c r="B687" s="11"/>
      <c r="C687" s="85" t="s">
        <v>11</v>
      </c>
      <c r="D687" s="85" t="str">
        <f t="shared" si="1"/>
        <v>-</v>
      </c>
      <c r="E687" s="7" t="s">
        <v>11</v>
      </c>
      <c r="F687" s="86"/>
      <c r="G687" s="7"/>
      <c r="H687" s="11"/>
      <c r="I687" s="7" t="s">
        <v>13</v>
      </c>
      <c r="J687" s="33"/>
    </row>
    <row r="688">
      <c r="A688" s="84" t="s">
        <v>337</v>
      </c>
      <c r="B688" s="11"/>
      <c r="C688" s="85" t="s">
        <v>11</v>
      </c>
      <c r="D688" s="85" t="str">
        <f t="shared" si="1"/>
        <v>-</v>
      </c>
      <c r="E688" s="7" t="s">
        <v>11</v>
      </c>
      <c r="F688" s="86"/>
      <c r="G688" s="7"/>
      <c r="H688" s="11"/>
      <c r="I688" s="7" t="s">
        <v>13</v>
      </c>
      <c r="J688" s="33"/>
    </row>
    <row r="689">
      <c r="A689" s="84" t="s">
        <v>337</v>
      </c>
      <c r="B689" s="11"/>
      <c r="C689" s="85" t="s">
        <v>11</v>
      </c>
      <c r="D689" s="85" t="str">
        <f t="shared" si="1"/>
        <v>-</v>
      </c>
      <c r="E689" s="7" t="s">
        <v>11</v>
      </c>
      <c r="F689" s="86"/>
      <c r="G689" s="7"/>
      <c r="H689" s="11"/>
      <c r="I689" s="7" t="s">
        <v>13</v>
      </c>
      <c r="J689" s="33"/>
    </row>
    <row r="690">
      <c r="A690" s="84" t="s">
        <v>337</v>
      </c>
      <c r="B690" s="11"/>
      <c r="C690" s="85" t="s">
        <v>11</v>
      </c>
      <c r="D690" s="85" t="str">
        <f t="shared" si="1"/>
        <v>-</v>
      </c>
      <c r="E690" s="7" t="s">
        <v>11</v>
      </c>
      <c r="F690" s="86"/>
      <c r="G690" s="7"/>
      <c r="H690" s="11"/>
      <c r="I690" s="7" t="s">
        <v>13</v>
      </c>
      <c r="J690" s="33"/>
    </row>
    <row r="691">
      <c r="A691" s="84" t="s">
        <v>337</v>
      </c>
      <c r="B691" s="11"/>
      <c r="C691" s="85" t="s">
        <v>11</v>
      </c>
      <c r="D691" s="85" t="str">
        <f t="shared" si="1"/>
        <v>-</v>
      </c>
      <c r="E691" s="7" t="s">
        <v>11</v>
      </c>
      <c r="F691" s="86"/>
      <c r="G691" s="7"/>
      <c r="H691" s="11"/>
      <c r="I691" s="7" t="s">
        <v>13</v>
      </c>
      <c r="J691" s="33"/>
    </row>
    <row r="692">
      <c r="A692" s="84" t="s">
        <v>337</v>
      </c>
      <c r="B692" s="11"/>
      <c r="C692" s="85" t="s">
        <v>11</v>
      </c>
      <c r="D692" s="85" t="str">
        <f t="shared" si="1"/>
        <v>-</v>
      </c>
      <c r="E692" s="7" t="s">
        <v>11</v>
      </c>
      <c r="F692" s="86"/>
      <c r="G692" s="7"/>
      <c r="H692" s="11"/>
      <c r="I692" s="7" t="s">
        <v>13</v>
      </c>
      <c r="J692" s="33"/>
    </row>
    <row r="693">
      <c r="A693" s="84" t="s">
        <v>337</v>
      </c>
      <c r="B693" s="11"/>
      <c r="C693" s="85" t="s">
        <v>11</v>
      </c>
      <c r="D693" s="85" t="str">
        <f t="shared" si="1"/>
        <v>-</v>
      </c>
      <c r="E693" s="7" t="s">
        <v>11</v>
      </c>
      <c r="F693" s="86"/>
      <c r="G693" s="7"/>
      <c r="H693" s="11"/>
      <c r="I693" s="7" t="s">
        <v>13</v>
      </c>
      <c r="J693" s="33"/>
    </row>
    <row r="694">
      <c r="A694" s="84" t="s">
        <v>337</v>
      </c>
      <c r="B694" s="11"/>
      <c r="C694" s="85" t="s">
        <v>11</v>
      </c>
      <c r="D694" s="85" t="str">
        <f t="shared" si="1"/>
        <v>-</v>
      </c>
      <c r="E694" s="7" t="s">
        <v>11</v>
      </c>
      <c r="F694" s="86"/>
      <c r="G694" s="7"/>
      <c r="H694" s="11"/>
      <c r="I694" s="7" t="s">
        <v>13</v>
      </c>
      <c r="J694" s="33"/>
    </row>
    <row r="695">
      <c r="A695" s="84" t="s">
        <v>337</v>
      </c>
      <c r="B695" s="11"/>
      <c r="C695" s="85" t="s">
        <v>11</v>
      </c>
      <c r="D695" s="85" t="str">
        <f t="shared" si="1"/>
        <v>-</v>
      </c>
      <c r="E695" s="7" t="s">
        <v>11</v>
      </c>
      <c r="F695" s="86"/>
      <c r="G695" s="7"/>
      <c r="H695" s="11"/>
      <c r="I695" s="7" t="s">
        <v>13</v>
      </c>
      <c r="J695" s="33"/>
    </row>
    <row r="696">
      <c r="A696" s="84" t="s">
        <v>337</v>
      </c>
      <c r="B696" s="11"/>
      <c r="C696" s="85" t="s">
        <v>11</v>
      </c>
      <c r="D696" s="85" t="str">
        <f t="shared" si="1"/>
        <v>-</v>
      </c>
      <c r="E696" s="7" t="s">
        <v>11</v>
      </c>
      <c r="F696" s="86"/>
      <c r="G696" s="7"/>
      <c r="H696" s="11"/>
      <c r="I696" s="7" t="s">
        <v>13</v>
      </c>
      <c r="J696" s="33"/>
    </row>
    <row r="697">
      <c r="A697" s="84" t="s">
        <v>337</v>
      </c>
      <c r="B697" s="11"/>
      <c r="C697" s="85" t="s">
        <v>11</v>
      </c>
      <c r="D697" s="85" t="str">
        <f t="shared" si="1"/>
        <v>-</v>
      </c>
      <c r="E697" s="7" t="s">
        <v>11</v>
      </c>
      <c r="F697" s="86"/>
      <c r="G697" s="7"/>
      <c r="H697" s="11"/>
      <c r="I697" s="7" t="s">
        <v>13</v>
      </c>
      <c r="J697" s="33"/>
    </row>
    <row r="698">
      <c r="A698" s="84" t="s">
        <v>337</v>
      </c>
      <c r="B698" s="11"/>
      <c r="C698" s="85" t="s">
        <v>11</v>
      </c>
      <c r="D698" s="85" t="str">
        <f t="shared" si="1"/>
        <v>-</v>
      </c>
      <c r="E698" s="7" t="s">
        <v>11</v>
      </c>
      <c r="F698" s="86"/>
      <c r="G698" s="7"/>
      <c r="H698" s="11"/>
      <c r="I698" s="7" t="s">
        <v>13</v>
      </c>
      <c r="J698" s="33"/>
    </row>
    <row r="699">
      <c r="A699" s="84" t="s">
        <v>337</v>
      </c>
      <c r="B699" s="11"/>
      <c r="C699" s="85" t="s">
        <v>11</v>
      </c>
      <c r="D699" s="85" t="str">
        <f t="shared" si="1"/>
        <v>-</v>
      </c>
      <c r="E699" s="7" t="s">
        <v>11</v>
      </c>
      <c r="F699" s="86"/>
      <c r="G699" s="7"/>
      <c r="H699" s="11"/>
      <c r="I699" s="7" t="s">
        <v>13</v>
      </c>
      <c r="J699" s="33"/>
    </row>
    <row r="700">
      <c r="A700" s="84" t="s">
        <v>337</v>
      </c>
      <c r="B700" s="11"/>
      <c r="C700" s="85" t="s">
        <v>11</v>
      </c>
      <c r="D700" s="85" t="str">
        <f t="shared" si="1"/>
        <v>-</v>
      </c>
      <c r="E700" s="7" t="s">
        <v>11</v>
      </c>
      <c r="F700" s="86"/>
      <c r="G700" s="7"/>
      <c r="H700" s="11"/>
      <c r="I700" s="7" t="s">
        <v>13</v>
      </c>
      <c r="J700" s="33"/>
    </row>
    <row r="701">
      <c r="A701" s="84" t="s">
        <v>337</v>
      </c>
      <c r="B701" s="11"/>
      <c r="C701" s="85" t="s">
        <v>11</v>
      </c>
      <c r="D701" s="85" t="str">
        <f t="shared" si="1"/>
        <v>-</v>
      </c>
      <c r="E701" s="7" t="s">
        <v>11</v>
      </c>
      <c r="F701" s="86"/>
      <c r="G701" s="7"/>
      <c r="H701" s="11"/>
      <c r="I701" s="7" t="s">
        <v>13</v>
      </c>
      <c r="J701" s="33"/>
    </row>
    <row r="702">
      <c r="A702" s="84" t="s">
        <v>337</v>
      </c>
      <c r="B702" s="11"/>
      <c r="C702" s="85" t="s">
        <v>11</v>
      </c>
      <c r="D702" s="85" t="str">
        <f t="shared" si="1"/>
        <v>-</v>
      </c>
      <c r="E702" s="7" t="s">
        <v>11</v>
      </c>
      <c r="F702" s="86"/>
      <c r="G702" s="7"/>
      <c r="H702" s="11"/>
      <c r="I702" s="7" t="s">
        <v>13</v>
      </c>
      <c r="J702" s="33"/>
    </row>
    <row r="703">
      <c r="A703" s="84" t="s">
        <v>337</v>
      </c>
      <c r="B703" s="11"/>
      <c r="C703" s="85" t="s">
        <v>11</v>
      </c>
      <c r="D703" s="85" t="str">
        <f t="shared" si="1"/>
        <v>-</v>
      </c>
      <c r="E703" s="7" t="s">
        <v>11</v>
      </c>
      <c r="F703" s="86"/>
      <c r="G703" s="7"/>
      <c r="H703" s="11"/>
      <c r="I703" s="7" t="s">
        <v>13</v>
      </c>
      <c r="J703" s="33"/>
    </row>
    <row r="704">
      <c r="A704" s="84" t="s">
        <v>337</v>
      </c>
      <c r="B704" s="11"/>
      <c r="C704" s="85" t="s">
        <v>11</v>
      </c>
      <c r="D704" s="85" t="str">
        <f t="shared" si="1"/>
        <v>-</v>
      </c>
      <c r="E704" s="7" t="s">
        <v>11</v>
      </c>
      <c r="F704" s="86"/>
      <c r="G704" s="7"/>
      <c r="H704" s="11"/>
      <c r="I704" s="7" t="s">
        <v>13</v>
      </c>
      <c r="J704" s="33"/>
    </row>
    <row r="705">
      <c r="A705" s="84" t="s">
        <v>337</v>
      </c>
      <c r="B705" s="11"/>
      <c r="C705" s="85" t="s">
        <v>11</v>
      </c>
      <c r="D705" s="85" t="str">
        <f t="shared" si="1"/>
        <v>-</v>
      </c>
      <c r="E705" s="7" t="s">
        <v>11</v>
      </c>
      <c r="F705" s="86"/>
      <c r="G705" s="7"/>
      <c r="H705" s="11"/>
      <c r="I705" s="7" t="s">
        <v>13</v>
      </c>
      <c r="J705" s="33"/>
    </row>
    <row r="706">
      <c r="A706" s="84" t="s">
        <v>337</v>
      </c>
      <c r="B706" s="11"/>
      <c r="C706" s="85" t="s">
        <v>11</v>
      </c>
      <c r="D706" s="85" t="str">
        <f t="shared" si="1"/>
        <v>-</v>
      </c>
      <c r="E706" s="7" t="s">
        <v>11</v>
      </c>
      <c r="F706" s="86"/>
      <c r="G706" s="7"/>
      <c r="H706" s="11"/>
      <c r="I706" s="7" t="s">
        <v>13</v>
      </c>
      <c r="J706" s="33"/>
    </row>
    <row r="707">
      <c r="A707" s="84" t="s">
        <v>337</v>
      </c>
      <c r="B707" s="11"/>
      <c r="C707" s="85" t="s">
        <v>11</v>
      </c>
      <c r="D707" s="85" t="str">
        <f t="shared" si="1"/>
        <v>-</v>
      </c>
      <c r="E707" s="7" t="s">
        <v>11</v>
      </c>
      <c r="F707" s="86"/>
      <c r="G707" s="7"/>
      <c r="H707" s="11"/>
      <c r="I707" s="7" t="s">
        <v>13</v>
      </c>
      <c r="J707" s="33"/>
    </row>
    <row r="708">
      <c r="A708" s="84" t="s">
        <v>337</v>
      </c>
      <c r="B708" s="11"/>
      <c r="C708" s="85" t="s">
        <v>11</v>
      </c>
      <c r="D708" s="85" t="str">
        <f t="shared" si="1"/>
        <v>-</v>
      </c>
      <c r="E708" s="7" t="s">
        <v>11</v>
      </c>
      <c r="F708" s="86"/>
      <c r="G708" s="7"/>
      <c r="H708" s="11"/>
      <c r="I708" s="7" t="s">
        <v>13</v>
      </c>
      <c r="J708" s="33"/>
    </row>
    <row r="709">
      <c r="A709" s="84" t="s">
        <v>337</v>
      </c>
      <c r="B709" s="11"/>
      <c r="C709" s="85" t="s">
        <v>11</v>
      </c>
      <c r="D709" s="85" t="str">
        <f t="shared" si="1"/>
        <v>-</v>
      </c>
      <c r="E709" s="7" t="s">
        <v>11</v>
      </c>
      <c r="F709" s="86"/>
      <c r="G709" s="7"/>
      <c r="H709" s="11"/>
      <c r="I709" s="7" t="s">
        <v>13</v>
      </c>
      <c r="J709" s="33"/>
    </row>
    <row r="710">
      <c r="A710" s="84" t="s">
        <v>337</v>
      </c>
      <c r="B710" s="11"/>
      <c r="C710" s="85" t="s">
        <v>11</v>
      </c>
      <c r="D710" s="85" t="str">
        <f t="shared" si="1"/>
        <v>-</v>
      </c>
      <c r="E710" s="7" t="s">
        <v>11</v>
      </c>
      <c r="F710" s="86"/>
      <c r="G710" s="7"/>
      <c r="H710" s="11"/>
      <c r="I710" s="7" t="s">
        <v>13</v>
      </c>
      <c r="J710" s="33"/>
    </row>
    <row r="711">
      <c r="A711" s="84" t="s">
        <v>337</v>
      </c>
      <c r="B711" s="11"/>
      <c r="C711" s="85" t="s">
        <v>11</v>
      </c>
      <c r="D711" s="85" t="str">
        <f t="shared" si="1"/>
        <v>-</v>
      </c>
      <c r="E711" s="7" t="s">
        <v>11</v>
      </c>
      <c r="F711" s="86"/>
      <c r="G711" s="7"/>
      <c r="H711" s="11"/>
      <c r="I711" s="7" t="s">
        <v>13</v>
      </c>
      <c r="J711" s="33"/>
    </row>
    <row r="712">
      <c r="A712" s="84" t="s">
        <v>337</v>
      </c>
      <c r="B712" s="11"/>
      <c r="C712" s="85" t="s">
        <v>11</v>
      </c>
      <c r="D712" s="85" t="str">
        <f t="shared" si="1"/>
        <v>-</v>
      </c>
      <c r="E712" s="7" t="s">
        <v>11</v>
      </c>
      <c r="F712" s="86"/>
      <c r="G712" s="7"/>
      <c r="H712" s="11"/>
      <c r="I712" s="7" t="s">
        <v>13</v>
      </c>
      <c r="J712" s="33"/>
    </row>
    <row r="713">
      <c r="A713" s="84" t="s">
        <v>337</v>
      </c>
      <c r="B713" s="11"/>
      <c r="C713" s="85" t="s">
        <v>11</v>
      </c>
      <c r="D713" s="85" t="str">
        <f t="shared" si="1"/>
        <v>-</v>
      </c>
      <c r="E713" s="7" t="s">
        <v>11</v>
      </c>
      <c r="F713" s="86"/>
      <c r="G713" s="7"/>
      <c r="H713" s="11"/>
      <c r="I713" s="7" t="s">
        <v>13</v>
      </c>
      <c r="J713" s="33"/>
    </row>
    <row r="714">
      <c r="A714" s="84" t="s">
        <v>337</v>
      </c>
      <c r="B714" s="11"/>
      <c r="C714" s="85" t="s">
        <v>11</v>
      </c>
      <c r="D714" s="85" t="str">
        <f t="shared" si="1"/>
        <v>-</v>
      </c>
      <c r="E714" s="7" t="s">
        <v>11</v>
      </c>
      <c r="F714" s="86"/>
      <c r="G714" s="7"/>
      <c r="H714" s="11"/>
      <c r="I714" s="7" t="s">
        <v>13</v>
      </c>
      <c r="J714" s="33"/>
    </row>
    <row r="715">
      <c r="A715" s="84" t="s">
        <v>337</v>
      </c>
      <c r="B715" s="11"/>
      <c r="C715" s="85" t="s">
        <v>11</v>
      </c>
      <c r="D715" s="85" t="str">
        <f t="shared" si="1"/>
        <v>-</v>
      </c>
      <c r="E715" s="7" t="s">
        <v>11</v>
      </c>
      <c r="F715" s="86"/>
      <c r="G715" s="7"/>
      <c r="H715" s="11"/>
      <c r="I715" s="7" t="s">
        <v>13</v>
      </c>
      <c r="J715" s="33"/>
    </row>
    <row r="716">
      <c r="A716" s="84" t="s">
        <v>337</v>
      </c>
      <c r="B716" s="11"/>
      <c r="C716" s="85" t="s">
        <v>11</v>
      </c>
      <c r="D716" s="85" t="str">
        <f t="shared" si="1"/>
        <v>-</v>
      </c>
      <c r="E716" s="7" t="s">
        <v>11</v>
      </c>
      <c r="F716" s="86"/>
      <c r="G716" s="7"/>
      <c r="H716" s="11"/>
      <c r="I716" s="7" t="s">
        <v>13</v>
      </c>
      <c r="J716" s="33"/>
    </row>
    <row r="717">
      <c r="A717" s="84" t="s">
        <v>337</v>
      </c>
      <c r="B717" s="11"/>
      <c r="C717" s="85" t="s">
        <v>11</v>
      </c>
      <c r="D717" s="85" t="str">
        <f t="shared" si="1"/>
        <v>-</v>
      </c>
      <c r="E717" s="7" t="s">
        <v>11</v>
      </c>
      <c r="F717" s="86"/>
      <c r="G717" s="7"/>
      <c r="H717" s="11"/>
      <c r="I717" s="7" t="s">
        <v>13</v>
      </c>
      <c r="J717" s="33"/>
    </row>
    <row r="718">
      <c r="A718" s="84" t="s">
        <v>337</v>
      </c>
      <c r="B718" s="11"/>
      <c r="C718" s="85" t="s">
        <v>11</v>
      </c>
      <c r="D718" s="85" t="str">
        <f t="shared" si="1"/>
        <v>-</v>
      </c>
      <c r="E718" s="7" t="s">
        <v>11</v>
      </c>
      <c r="F718" s="86"/>
      <c r="G718" s="7"/>
      <c r="H718" s="11"/>
      <c r="I718" s="7" t="s">
        <v>13</v>
      </c>
      <c r="J718" s="33"/>
    </row>
    <row r="719">
      <c r="A719" s="84" t="s">
        <v>337</v>
      </c>
      <c r="B719" s="11"/>
      <c r="C719" s="85" t="s">
        <v>11</v>
      </c>
      <c r="D719" s="85" t="str">
        <f t="shared" si="1"/>
        <v>-</v>
      </c>
      <c r="E719" s="7" t="s">
        <v>11</v>
      </c>
      <c r="F719" s="86"/>
      <c r="G719" s="7"/>
      <c r="H719" s="11"/>
      <c r="I719" s="7" t="s">
        <v>13</v>
      </c>
      <c r="J719" s="33"/>
    </row>
    <row r="720">
      <c r="A720" s="84" t="s">
        <v>337</v>
      </c>
      <c r="B720" s="11"/>
      <c r="C720" s="85" t="s">
        <v>11</v>
      </c>
      <c r="D720" s="85" t="str">
        <f t="shared" si="1"/>
        <v>-</v>
      </c>
      <c r="E720" s="7" t="s">
        <v>11</v>
      </c>
      <c r="F720" s="86"/>
      <c r="G720" s="7"/>
      <c r="H720" s="11"/>
      <c r="I720" s="7" t="s">
        <v>13</v>
      </c>
      <c r="J720" s="33"/>
    </row>
    <row r="721">
      <c r="A721" s="84" t="s">
        <v>337</v>
      </c>
      <c r="B721" s="11"/>
      <c r="C721" s="85" t="s">
        <v>11</v>
      </c>
      <c r="D721" s="85" t="str">
        <f t="shared" si="1"/>
        <v>-</v>
      </c>
      <c r="E721" s="7" t="s">
        <v>11</v>
      </c>
      <c r="F721" s="86"/>
      <c r="G721" s="7"/>
      <c r="H721" s="11"/>
      <c r="I721" s="7" t="s">
        <v>13</v>
      </c>
      <c r="J721" s="33"/>
    </row>
    <row r="722">
      <c r="A722" s="84" t="s">
        <v>337</v>
      </c>
      <c r="B722" s="11"/>
      <c r="C722" s="85" t="s">
        <v>11</v>
      </c>
      <c r="D722" s="85" t="str">
        <f t="shared" si="1"/>
        <v>-</v>
      </c>
      <c r="E722" s="7" t="s">
        <v>11</v>
      </c>
      <c r="F722" s="86"/>
      <c r="G722" s="7"/>
      <c r="H722" s="11"/>
      <c r="I722" s="7" t="s">
        <v>13</v>
      </c>
      <c r="J722" s="33"/>
    </row>
    <row r="723">
      <c r="A723" s="84" t="s">
        <v>337</v>
      </c>
      <c r="B723" s="11"/>
      <c r="C723" s="85" t="s">
        <v>11</v>
      </c>
      <c r="D723" s="85" t="str">
        <f t="shared" si="1"/>
        <v>-</v>
      </c>
      <c r="E723" s="7" t="s">
        <v>11</v>
      </c>
      <c r="F723" s="86"/>
      <c r="G723" s="7"/>
      <c r="H723" s="11"/>
      <c r="I723" s="7" t="s">
        <v>13</v>
      </c>
      <c r="J723" s="33"/>
    </row>
    <row r="724">
      <c r="A724" s="84" t="s">
        <v>337</v>
      </c>
      <c r="B724" s="11"/>
      <c r="C724" s="85" t="s">
        <v>11</v>
      </c>
      <c r="D724" s="85" t="str">
        <f t="shared" si="1"/>
        <v>-</v>
      </c>
      <c r="E724" s="7" t="s">
        <v>11</v>
      </c>
      <c r="F724" s="86"/>
      <c r="G724" s="7"/>
      <c r="H724" s="11"/>
      <c r="I724" s="7" t="s">
        <v>13</v>
      </c>
      <c r="J724" s="33"/>
    </row>
    <row r="725">
      <c r="A725" s="84" t="s">
        <v>337</v>
      </c>
      <c r="B725" s="11"/>
      <c r="C725" s="85" t="s">
        <v>11</v>
      </c>
      <c r="D725" s="85" t="str">
        <f t="shared" si="1"/>
        <v>-</v>
      </c>
      <c r="E725" s="7" t="s">
        <v>11</v>
      </c>
      <c r="F725" s="86"/>
      <c r="G725" s="7"/>
      <c r="H725" s="11"/>
      <c r="I725" s="7" t="s">
        <v>13</v>
      </c>
      <c r="J725" s="33"/>
    </row>
    <row r="726">
      <c r="A726" s="84" t="s">
        <v>337</v>
      </c>
      <c r="B726" s="11"/>
      <c r="C726" s="85" t="s">
        <v>11</v>
      </c>
      <c r="D726" s="85" t="str">
        <f t="shared" si="1"/>
        <v>-</v>
      </c>
      <c r="E726" s="7" t="s">
        <v>11</v>
      </c>
      <c r="F726" s="86"/>
      <c r="G726" s="7"/>
      <c r="H726" s="11"/>
      <c r="I726" s="7" t="s">
        <v>13</v>
      </c>
      <c r="J726" s="33"/>
    </row>
    <row r="727">
      <c r="A727" s="84" t="s">
        <v>337</v>
      </c>
      <c r="B727" s="11"/>
      <c r="C727" s="85" t="s">
        <v>11</v>
      </c>
      <c r="D727" s="85" t="str">
        <f t="shared" si="1"/>
        <v>-</v>
      </c>
      <c r="E727" s="7" t="s">
        <v>11</v>
      </c>
      <c r="F727" s="86"/>
      <c r="G727" s="7"/>
      <c r="H727" s="11"/>
      <c r="I727" s="7" t="s">
        <v>13</v>
      </c>
      <c r="J727" s="33"/>
    </row>
    <row r="728">
      <c r="A728" s="84" t="s">
        <v>337</v>
      </c>
      <c r="B728" s="11"/>
      <c r="C728" s="85" t="s">
        <v>11</v>
      </c>
      <c r="D728" s="85" t="str">
        <f t="shared" si="1"/>
        <v>-</v>
      </c>
      <c r="E728" s="7" t="s">
        <v>11</v>
      </c>
      <c r="F728" s="86"/>
      <c r="G728" s="7"/>
      <c r="H728" s="11"/>
      <c r="I728" s="7" t="s">
        <v>13</v>
      </c>
      <c r="J728" s="33"/>
    </row>
    <row r="729">
      <c r="A729" s="84" t="s">
        <v>337</v>
      </c>
      <c r="B729" s="11"/>
      <c r="C729" s="85" t="s">
        <v>11</v>
      </c>
      <c r="D729" s="85" t="str">
        <f t="shared" si="1"/>
        <v>-</v>
      </c>
      <c r="E729" s="7" t="s">
        <v>11</v>
      </c>
      <c r="F729" s="86"/>
      <c r="G729" s="7"/>
      <c r="H729" s="11"/>
      <c r="I729" s="7" t="s">
        <v>13</v>
      </c>
      <c r="J729" s="33"/>
    </row>
    <row r="730">
      <c r="A730" s="84" t="s">
        <v>337</v>
      </c>
      <c r="B730" s="11"/>
      <c r="C730" s="85" t="s">
        <v>11</v>
      </c>
      <c r="D730" s="85" t="str">
        <f t="shared" si="1"/>
        <v>-</v>
      </c>
      <c r="E730" s="7" t="s">
        <v>11</v>
      </c>
      <c r="F730" s="86"/>
      <c r="G730" s="7"/>
      <c r="H730" s="11"/>
      <c r="I730" s="7" t="s">
        <v>13</v>
      </c>
      <c r="J730" s="33"/>
    </row>
    <row r="731">
      <c r="A731" s="84" t="s">
        <v>337</v>
      </c>
      <c r="B731" s="11"/>
      <c r="C731" s="85" t="s">
        <v>11</v>
      </c>
      <c r="D731" s="85" t="str">
        <f t="shared" si="1"/>
        <v>-</v>
      </c>
      <c r="E731" s="7" t="s">
        <v>11</v>
      </c>
      <c r="F731" s="86"/>
      <c r="G731" s="7"/>
      <c r="H731" s="11"/>
      <c r="I731" s="7" t="s">
        <v>13</v>
      </c>
      <c r="J731" s="33"/>
    </row>
    <row r="732">
      <c r="A732" s="84" t="s">
        <v>337</v>
      </c>
      <c r="B732" s="11"/>
      <c r="C732" s="85" t="s">
        <v>11</v>
      </c>
      <c r="D732" s="85" t="str">
        <f t="shared" si="1"/>
        <v>-</v>
      </c>
      <c r="E732" s="7" t="s">
        <v>11</v>
      </c>
      <c r="F732" s="86"/>
      <c r="G732" s="7"/>
      <c r="H732" s="11"/>
      <c r="I732" s="7" t="s">
        <v>13</v>
      </c>
      <c r="J732" s="33"/>
    </row>
    <row r="733">
      <c r="A733" s="84" t="s">
        <v>337</v>
      </c>
      <c r="B733" s="11"/>
      <c r="C733" s="85" t="s">
        <v>11</v>
      </c>
      <c r="D733" s="85" t="str">
        <f t="shared" si="1"/>
        <v>-</v>
      </c>
      <c r="E733" s="7" t="s">
        <v>11</v>
      </c>
      <c r="F733" s="86"/>
      <c r="G733" s="7"/>
      <c r="H733" s="11"/>
      <c r="I733" s="7" t="s">
        <v>13</v>
      </c>
      <c r="J733" s="33"/>
    </row>
    <row r="734">
      <c r="A734" s="84" t="s">
        <v>337</v>
      </c>
      <c r="B734" s="11"/>
      <c r="C734" s="85" t="s">
        <v>11</v>
      </c>
      <c r="D734" s="85" t="str">
        <f t="shared" si="1"/>
        <v>-</v>
      </c>
      <c r="E734" s="7" t="s">
        <v>11</v>
      </c>
      <c r="F734" s="86"/>
      <c r="G734" s="7"/>
      <c r="H734" s="11"/>
      <c r="I734" s="7" t="s">
        <v>13</v>
      </c>
      <c r="J734" s="33"/>
    </row>
    <row r="735">
      <c r="A735" s="84" t="s">
        <v>337</v>
      </c>
      <c r="B735" s="11"/>
      <c r="C735" s="85" t="s">
        <v>11</v>
      </c>
      <c r="D735" s="85" t="str">
        <f t="shared" si="1"/>
        <v>-</v>
      </c>
      <c r="E735" s="7" t="s">
        <v>11</v>
      </c>
      <c r="F735" s="86"/>
      <c r="G735" s="7"/>
      <c r="H735" s="11"/>
      <c r="I735" s="7" t="s">
        <v>13</v>
      </c>
      <c r="J735" s="33"/>
    </row>
    <row r="736">
      <c r="A736" s="84" t="s">
        <v>337</v>
      </c>
      <c r="B736" s="11"/>
      <c r="C736" s="85" t="s">
        <v>11</v>
      </c>
      <c r="D736" s="85" t="str">
        <f t="shared" si="1"/>
        <v>-</v>
      </c>
      <c r="E736" s="7" t="s">
        <v>11</v>
      </c>
      <c r="F736" s="86"/>
      <c r="G736" s="7"/>
      <c r="H736" s="11"/>
      <c r="I736" s="7" t="s">
        <v>13</v>
      </c>
      <c r="J736" s="33"/>
    </row>
    <row r="737">
      <c r="A737" s="84" t="s">
        <v>337</v>
      </c>
      <c r="B737" s="11"/>
      <c r="C737" s="85" t="s">
        <v>11</v>
      </c>
      <c r="D737" s="85" t="str">
        <f t="shared" si="1"/>
        <v>-</v>
      </c>
      <c r="E737" s="7" t="s">
        <v>11</v>
      </c>
      <c r="F737" s="86"/>
      <c r="G737" s="7"/>
      <c r="H737" s="11"/>
      <c r="I737" s="7" t="s">
        <v>13</v>
      </c>
      <c r="J737" s="33"/>
    </row>
    <row r="738">
      <c r="A738" s="84" t="s">
        <v>337</v>
      </c>
      <c r="B738" s="11"/>
      <c r="C738" s="85" t="s">
        <v>11</v>
      </c>
      <c r="D738" s="85" t="str">
        <f t="shared" si="1"/>
        <v>-</v>
      </c>
      <c r="E738" s="7" t="s">
        <v>11</v>
      </c>
      <c r="F738" s="86"/>
      <c r="G738" s="7"/>
      <c r="H738" s="11"/>
      <c r="I738" s="7" t="s">
        <v>13</v>
      </c>
      <c r="J738" s="33"/>
    </row>
    <row r="739">
      <c r="A739" s="84" t="s">
        <v>337</v>
      </c>
      <c r="B739" s="11"/>
      <c r="C739" s="85" t="s">
        <v>11</v>
      </c>
      <c r="D739" s="85" t="str">
        <f t="shared" si="1"/>
        <v>-</v>
      </c>
      <c r="E739" s="7" t="s">
        <v>11</v>
      </c>
      <c r="F739" s="86"/>
      <c r="G739" s="7"/>
      <c r="H739" s="11"/>
      <c r="I739" s="7" t="s">
        <v>13</v>
      </c>
      <c r="J739" s="33"/>
    </row>
    <row r="740">
      <c r="A740" s="84" t="s">
        <v>337</v>
      </c>
      <c r="B740" s="11"/>
      <c r="C740" s="85" t="s">
        <v>11</v>
      </c>
      <c r="D740" s="85" t="str">
        <f t="shared" si="1"/>
        <v>-</v>
      </c>
      <c r="E740" s="7" t="s">
        <v>11</v>
      </c>
      <c r="F740" s="86"/>
      <c r="G740" s="7"/>
      <c r="H740" s="11"/>
      <c r="I740" s="7" t="s">
        <v>13</v>
      </c>
      <c r="J740" s="33"/>
    </row>
    <row r="741">
      <c r="A741" s="84" t="s">
        <v>337</v>
      </c>
      <c r="B741" s="11"/>
      <c r="C741" s="85" t="s">
        <v>11</v>
      </c>
      <c r="D741" s="85" t="str">
        <f t="shared" si="1"/>
        <v>-</v>
      </c>
      <c r="E741" s="7" t="s">
        <v>11</v>
      </c>
      <c r="F741" s="86"/>
      <c r="G741" s="7"/>
      <c r="H741" s="11"/>
      <c r="I741" s="7" t="s">
        <v>13</v>
      </c>
      <c r="J741" s="33"/>
    </row>
    <row r="742">
      <c r="A742" s="84" t="s">
        <v>337</v>
      </c>
      <c r="B742" s="11"/>
      <c r="C742" s="85" t="s">
        <v>11</v>
      </c>
      <c r="D742" s="85" t="str">
        <f t="shared" si="1"/>
        <v>-</v>
      </c>
      <c r="E742" s="7" t="s">
        <v>11</v>
      </c>
      <c r="F742" s="86"/>
      <c r="G742" s="7"/>
      <c r="H742" s="11"/>
      <c r="I742" s="7" t="s">
        <v>13</v>
      </c>
      <c r="J742" s="33"/>
    </row>
    <row r="743">
      <c r="A743" s="84" t="s">
        <v>337</v>
      </c>
      <c r="B743" s="11"/>
      <c r="C743" s="85" t="s">
        <v>11</v>
      </c>
      <c r="D743" s="85" t="str">
        <f t="shared" si="1"/>
        <v>-</v>
      </c>
      <c r="E743" s="7" t="s">
        <v>11</v>
      </c>
      <c r="F743" s="86"/>
      <c r="G743" s="7"/>
      <c r="H743" s="11"/>
      <c r="I743" s="7" t="s">
        <v>13</v>
      </c>
      <c r="J743" s="33"/>
    </row>
    <row r="744">
      <c r="A744" s="84" t="s">
        <v>337</v>
      </c>
      <c r="B744" s="11"/>
      <c r="C744" s="85" t="s">
        <v>11</v>
      </c>
      <c r="D744" s="85" t="str">
        <f t="shared" si="1"/>
        <v>-</v>
      </c>
      <c r="E744" s="7" t="s">
        <v>11</v>
      </c>
      <c r="F744" s="86"/>
      <c r="G744" s="7"/>
      <c r="H744" s="11"/>
      <c r="I744" s="7" t="s">
        <v>13</v>
      </c>
      <c r="J744" s="33"/>
    </row>
    <row r="745">
      <c r="A745" s="84" t="s">
        <v>337</v>
      </c>
      <c r="B745" s="11"/>
      <c r="C745" s="85" t="s">
        <v>11</v>
      </c>
      <c r="D745" s="85" t="str">
        <f t="shared" si="1"/>
        <v>-</v>
      </c>
      <c r="E745" s="7" t="s">
        <v>11</v>
      </c>
      <c r="F745" s="86"/>
      <c r="G745" s="7"/>
      <c r="H745" s="11"/>
      <c r="I745" s="7" t="s">
        <v>13</v>
      </c>
      <c r="J745" s="33"/>
    </row>
    <row r="746">
      <c r="A746" s="84" t="s">
        <v>337</v>
      </c>
      <c r="B746" s="11"/>
      <c r="C746" s="85" t="s">
        <v>11</v>
      </c>
      <c r="D746" s="85" t="str">
        <f t="shared" si="1"/>
        <v>-</v>
      </c>
      <c r="E746" s="7" t="s">
        <v>11</v>
      </c>
      <c r="F746" s="86"/>
      <c r="G746" s="7"/>
      <c r="H746" s="11"/>
      <c r="I746" s="7" t="s">
        <v>13</v>
      </c>
      <c r="J746" s="33"/>
    </row>
    <row r="747">
      <c r="A747" s="84" t="s">
        <v>337</v>
      </c>
      <c r="B747" s="11"/>
      <c r="C747" s="85" t="s">
        <v>11</v>
      </c>
      <c r="D747" s="85" t="str">
        <f t="shared" si="1"/>
        <v>-</v>
      </c>
      <c r="E747" s="7" t="s">
        <v>11</v>
      </c>
      <c r="F747" s="86"/>
      <c r="G747" s="7"/>
      <c r="H747" s="11"/>
      <c r="I747" s="7" t="s">
        <v>13</v>
      </c>
      <c r="J747" s="33"/>
    </row>
    <row r="748">
      <c r="A748" s="84" t="s">
        <v>337</v>
      </c>
      <c r="B748" s="11"/>
      <c r="C748" s="85" t="s">
        <v>11</v>
      </c>
      <c r="D748" s="85" t="str">
        <f t="shared" si="1"/>
        <v>-</v>
      </c>
      <c r="E748" s="7" t="s">
        <v>11</v>
      </c>
      <c r="F748" s="86"/>
      <c r="G748" s="7"/>
      <c r="H748" s="11"/>
      <c r="I748" s="7" t="s">
        <v>13</v>
      </c>
      <c r="J748" s="33"/>
    </row>
    <row r="749">
      <c r="A749" s="84" t="s">
        <v>337</v>
      </c>
      <c r="B749" s="11"/>
      <c r="C749" s="85" t="s">
        <v>11</v>
      </c>
      <c r="D749" s="85" t="str">
        <f t="shared" si="1"/>
        <v>-</v>
      </c>
      <c r="E749" s="7" t="s">
        <v>11</v>
      </c>
      <c r="F749" s="86"/>
      <c r="G749" s="7"/>
      <c r="H749" s="11"/>
      <c r="I749" s="7" t="s">
        <v>13</v>
      </c>
      <c r="J749" s="33"/>
    </row>
    <row r="750">
      <c r="A750" s="84" t="s">
        <v>337</v>
      </c>
      <c r="B750" s="11"/>
      <c r="C750" s="85" t="s">
        <v>11</v>
      </c>
      <c r="D750" s="85" t="str">
        <f t="shared" si="1"/>
        <v>-</v>
      </c>
      <c r="E750" s="7" t="s">
        <v>11</v>
      </c>
      <c r="F750" s="86"/>
      <c r="G750" s="7"/>
      <c r="H750" s="11"/>
      <c r="I750" s="7" t="s">
        <v>13</v>
      </c>
      <c r="J750" s="33"/>
    </row>
    <row r="751">
      <c r="A751" s="84" t="s">
        <v>337</v>
      </c>
      <c r="B751" s="11"/>
      <c r="C751" s="85" t="s">
        <v>11</v>
      </c>
      <c r="D751" s="85" t="str">
        <f t="shared" si="1"/>
        <v>-</v>
      </c>
      <c r="E751" s="7" t="s">
        <v>11</v>
      </c>
      <c r="F751" s="86"/>
      <c r="G751" s="7"/>
      <c r="H751" s="11"/>
      <c r="I751" s="7" t="s">
        <v>13</v>
      </c>
      <c r="J751" s="33"/>
    </row>
    <row r="752">
      <c r="A752" s="84" t="s">
        <v>337</v>
      </c>
      <c r="B752" s="11"/>
      <c r="C752" s="85" t="s">
        <v>11</v>
      </c>
      <c r="D752" s="85" t="str">
        <f t="shared" si="1"/>
        <v>-</v>
      </c>
      <c r="E752" s="7" t="s">
        <v>11</v>
      </c>
      <c r="F752" s="86"/>
      <c r="G752" s="7"/>
      <c r="H752" s="11"/>
      <c r="I752" s="7" t="s">
        <v>13</v>
      </c>
      <c r="J752" s="33"/>
    </row>
    <row r="753">
      <c r="A753" s="84" t="s">
        <v>337</v>
      </c>
      <c r="B753" s="11"/>
      <c r="C753" s="85" t="s">
        <v>11</v>
      </c>
      <c r="D753" s="85" t="str">
        <f t="shared" si="1"/>
        <v>-</v>
      </c>
      <c r="E753" s="7" t="s">
        <v>11</v>
      </c>
      <c r="F753" s="86"/>
      <c r="G753" s="7"/>
      <c r="H753" s="11"/>
      <c r="I753" s="7" t="s">
        <v>13</v>
      </c>
      <c r="J753" s="33"/>
    </row>
    <row r="754">
      <c r="A754" s="84" t="s">
        <v>337</v>
      </c>
      <c r="B754" s="11"/>
      <c r="C754" s="85" t="s">
        <v>11</v>
      </c>
      <c r="D754" s="85" t="str">
        <f t="shared" si="1"/>
        <v>-</v>
      </c>
      <c r="E754" s="7" t="s">
        <v>11</v>
      </c>
      <c r="F754" s="86"/>
      <c r="G754" s="7"/>
      <c r="H754" s="11"/>
      <c r="I754" s="7" t="s">
        <v>13</v>
      </c>
      <c r="J754" s="33"/>
    </row>
    <row r="755">
      <c r="A755" s="84" t="s">
        <v>337</v>
      </c>
      <c r="B755" s="11"/>
      <c r="C755" s="85" t="s">
        <v>11</v>
      </c>
      <c r="D755" s="85" t="str">
        <f t="shared" si="1"/>
        <v>-</v>
      </c>
      <c r="E755" s="7" t="s">
        <v>11</v>
      </c>
      <c r="F755" s="86"/>
      <c r="G755" s="7"/>
      <c r="H755" s="11"/>
      <c r="I755" s="7" t="s">
        <v>13</v>
      </c>
      <c r="J755" s="33"/>
    </row>
    <row r="756">
      <c r="A756" s="84" t="s">
        <v>337</v>
      </c>
      <c r="B756" s="11"/>
      <c r="C756" s="85" t="s">
        <v>11</v>
      </c>
      <c r="D756" s="85" t="str">
        <f t="shared" si="1"/>
        <v>-</v>
      </c>
      <c r="E756" s="7" t="s">
        <v>11</v>
      </c>
      <c r="F756" s="86"/>
      <c r="G756" s="7"/>
      <c r="H756" s="11"/>
      <c r="I756" s="7" t="s">
        <v>13</v>
      </c>
      <c r="J756" s="33"/>
    </row>
    <row r="757">
      <c r="A757" s="84" t="s">
        <v>337</v>
      </c>
      <c r="B757" s="11"/>
      <c r="C757" s="85" t="s">
        <v>11</v>
      </c>
      <c r="D757" s="85" t="str">
        <f t="shared" si="1"/>
        <v>-</v>
      </c>
      <c r="E757" s="7" t="s">
        <v>11</v>
      </c>
      <c r="F757" s="86"/>
      <c r="G757" s="7"/>
      <c r="H757" s="11"/>
      <c r="I757" s="7" t="s">
        <v>13</v>
      </c>
      <c r="J757" s="33"/>
    </row>
    <row r="758">
      <c r="A758" s="84" t="s">
        <v>337</v>
      </c>
      <c r="B758" s="11"/>
      <c r="C758" s="85" t="s">
        <v>11</v>
      </c>
      <c r="D758" s="85" t="str">
        <f t="shared" si="1"/>
        <v>-</v>
      </c>
      <c r="E758" s="7" t="s">
        <v>11</v>
      </c>
      <c r="F758" s="86"/>
      <c r="G758" s="7"/>
      <c r="H758" s="11"/>
      <c r="I758" s="7" t="s">
        <v>13</v>
      </c>
      <c r="J758" s="33"/>
    </row>
    <row r="759">
      <c r="A759" s="84" t="s">
        <v>337</v>
      </c>
      <c r="B759" s="11"/>
      <c r="C759" s="85" t="s">
        <v>11</v>
      </c>
      <c r="D759" s="85" t="str">
        <f t="shared" si="1"/>
        <v>-</v>
      </c>
      <c r="E759" s="7" t="s">
        <v>11</v>
      </c>
      <c r="F759" s="86"/>
      <c r="G759" s="7"/>
      <c r="H759" s="11"/>
      <c r="I759" s="7" t="s">
        <v>13</v>
      </c>
      <c r="J759" s="33"/>
    </row>
    <row r="760">
      <c r="A760" s="84" t="s">
        <v>337</v>
      </c>
      <c r="B760" s="11"/>
      <c r="C760" s="85" t="s">
        <v>11</v>
      </c>
      <c r="D760" s="85" t="str">
        <f t="shared" si="1"/>
        <v>-</v>
      </c>
      <c r="E760" s="7" t="s">
        <v>11</v>
      </c>
      <c r="F760" s="86"/>
      <c r="G760" s="7"/>
      <c r="H760" s="11"/>
      <c r="I760" s="7" t="s">
        <v>13</v>
      </c>
      <c r="J760" s="33"/>
    </row>
    <row r="761">
      <c r="A761" s="84" t="s">
        <v>337</v>
      </c>
      <c r="B761" s="11"/>
      <c r="C761" s="85" t="s">
        <v>11</v>
      </c>
      <c r="D761" s="85" t="str">
        <f t="shared" si="1"/>
        <v>-</v>
      </c>
      <c r="E761" s="7" t="s">
        <v>11</v>
      </c>
      <c r="F761" s="86"/>
      <c r="G761" s="7"/>
      <c r="H761" s="11"/>
      <c r="I761" s="7" t="s">
        <v>13</v>
      </c>
      <c r="J761" s="33"/>
    </row>
    <row r="762">
      <c r="A762" s="84" t="s">
        <v>337</v>
      </c>
      <c r="B762" s="11"/>
      <c r="C762" s="85" t="s">
        <v>11</v>
      </c>
      <c r="D762" s="85" t="str">
        <f t="shared" si="1"/>
        <v>-</v>
      </c>
      <c r="E762" s="7" t="s">
        <v>11</v>
      </c>
      <c r="F762" s="86"/>
      <c r="G762" s="7"/>
      <c r="H762" s="11"/>
      <c r="I762" s="7" t="s">
        <v>13</v>
      </c>
      <c r="J762" s="33"/>
    </row>
    <row r="763">
      <c r="A763" s="84" t="s">
        <v>337</v>
      </c>
      <c r="B763" s="11"/>
      <c r="C763" s="85" t="s">
        <v>11</v>
      </c>
      <c r="D763" s="85" t="str">
        <f t="shared" si="1"/>
        <v>-</v>
      </c>
      <c r="E763" s="7" t="s">
        <v>11</v>
      </c>
      <c r="F763" s="86"/>
      <c r="G763" s="7"/>
      <c r="H763" s="11"/>
      <c r="I763" s="7" t="s">
        <v>13</v>
      </c>
      <c r="J763" s="33"/>
    </row>
    <row r="764">
      <c r="A764" s="84" t="s">
        <v>337</v>
      </c>
      <c r="B764" s="11"/>
      <c r="C764" s="85" t="s">
        <v>11</v>
      </c>
      <c r="D764" s="85" t="str">
        <f t="shared" si="1"/>
        <v>-</v>
      </c>
      <c r="E764" s="7" t="s">
        <v>11</v>
      </c>
      <c r="F764" s="86"/>
      <c r="G764" s="7"/>
      <c r="H764" s="11"/>
      <c r="I764" s="7" t="s">
        <v>13</v>
      </c>
      <c r="J764" s="33"/>
    </row>
    <row r="765">
      <c r="A765" s="84" t="s">
        <v>337</v>
      </c>
      <c r="B765" s="11"/>
      <c r="C765" s="85" t="s">
        <v>11</v>
      </c>
      <c r="D765" s="85" t="str">
        <f t="shared" si="1"/>
        <v>-</v>
      </c>
      <c r="E765" s="7" t="s">
        <v>11</v>
      </c>
      <c r="F765" s="86"/>
      <c r="G765" s="7"/>
      <c r="H765" s="11"/>
      <c r="I765" s="7" t="s">
        <v>13</v>
      </c>
      <c r="J765" s="33"/>
    </row>
    <row r="766">
      <c r="A766" s="84" t="s">
        <v>337</v>
      </c>
      <c r="B766" s="11"/>
      <c r="C766" s="85" t="s">
        <v>11</v>
      </c>
      <c r="D766" s="85" t="str">
        <f t="shared" si="1"/>
        <v>-</v>
      </c>
      <c r="E766" s="7" t="s">
        <v>11</v>
      </c>
      <c r="F766" s="86"/>
      <c r="G766" s="7"/>
      <c r="H766" s="11"/>
      <c r="I766" s="7" t="s">
        <v>13</v>
      </c>
      <c r="J766" s="33"/>
    </row>
    <row r="767">
      <c r="A767" s="84" t="s">
        <v>337</v>
      </c>
      <c r="B767" s="11"/>
      <c r="C767" s="85" t="s">
        <v>11</v>
      </c>
      <c r="D767" s="85" t="str">
        <f t="shared" si="1"/>
        <v>-</v>
      </c>
      <c r="E767" s="7" t="s">
        <v>11</v>
      </c>
      <c r="F767" s="86"/>
      <c r="G767" s="7"/>
      <c r="H767" s="11"/>
      <c r="I767" s="7" t="s">
        <v>13</v>
      </c>
      <c r="J767" s="33"/>
    </row>
    <row r="768">
      <c r="A768" s="84" t="s">
        <v>337</v>
      </c>
      <c r="B768" s="11"/>
      <c r="C768" s="85" t="s">
        <v>11</v>
      </c>
      <c r="D768" s="85" t="str">
        <f t="shared" si="1"/>
        <v>-</v>
      </c>
      <c r="E768" s="7" t="s">
        <v>11</v>
      </c>
      <c r="F768" s="86"/>
      <c r="G768" s="7"/>
      <c r="H768" s="11"/>
      <c r="I768" s="7" t="s">
        <v>13</v>
      </c>
      <c r="J768" s="33"/>
    </row>
    <row r="769">
      <c r="A769" s="84" t="s">
        <v>337</v>
      </c>
      <c r="B769" s="11"/>
      <c r="C769" s="85" t="s">
        <v>11</v>
      </c>
      <c r="D769" s="85" t="str">
        <f t="shared" si="1"/>
        <v>-</v>
      </c>
      <c r="E769" s="7" t="s">
        <v>11</v>
      </c>
      <c r="F769" s="86"/>
      <c r="G769" s="7"/>
      <c r="H769" s="11"/>
      <c r="I769" s="7" t="s">
        <v>13</v>
      </c>
      <c r="J769" s="33"/>
    </row>
    <row r="770">
      <c r="A770" s="84" t="s">
        <v>337</v>
      </c>
      <c r="B770" s="11"/>
      <c r="C770" s="85" t="s">
        <v>11</v>
      </c>
      <c r="D770" s="85" t="str">
        <f t="shared" si="1"/>
        <v>-</v>
      </c>
      <c r="E770" s="7" t="s">
        <v>11</v>
      </c>
      <c r="F770" s="86"/>
      <c r="G770" s="7"/>
      <c r="H770" s="11"/>
      <c r="I770" s="7" t="s">
        <v>13</v>
      </c>
      <c r="J770" s="33"/>
    </row>
    <row r="771">
      <c r="A771" s="84" t="s">
        <v>337</v>
      </c>
      <c r="B771" s="11"/>
      <c r="C771" s="85" t="s">
        <v>11</v>
      </c>
      <c r="D771" s="85" t="str">
        <f t="shared" si="1"/>
        <v>-</v>
      </c>
      <c r="E771" s="7" t="s">
        <v>11</v>
      </c>
      <c r="F771" s="86"/>
      <c r="G771" s="7"/>
      <c r="H771" s="11"/>
      <c r="I771" s="7" t="s">
        <v>13</v>
      </c>
      <c r="J771" s="33"/>
    </row>
    <row r="772">
      <c r="A772" s="84" t="s">
        <v>337</v>
      </c>
      <c r="B772" s="11"/>
      <c r="C772" s="85" t="s">
        <v>11</v>
      </c>
      <c r="D772" s="85" t="str">
        <f t="shared" si="1"/>
        <v>-</v>
      </c>
      <c r="E772" s="7" t="s">
        <v>11</v>
      </c>
      <c r="F772" s="86"/>
      <c r="G772" s="7"/>
      <c r="H772" s="11"/>
      <c r="I772" s="7" t="s">
        <v>13</v>
      </c>
      <c r="J772" s="33"/>
    </row>
    <row r="773">
      <c r="A773" s="84" t="s">
        <v>337</v>
      </c>
      <c r="B773" s="11"/>
      <c r="C773" s="85" t="s">
        <v>11</v>
      </c>
      <c r="D773" s="85" t="str">
        <f t="shared" si="1"/>
        <v>-</v>
      </c>
      <c r="E773" s="7" t="s">
        <v>11</v>
      </c>
      <c r="F773" s="86"/>
      <c r="G773" s="7"/>
      <c r="H773" s="11"/>
      <c r="I773" s="7" t="s">
        <v>13</v>
      </c>
      <c r="J773" s="33"/>
    </row>
    <row r="774">
      <c r="A774" s="84" t="s">
        <v>337</v>
      </c>
      <c r="B774" s="11"/>
      <c r="C774" s="85" t="s">
        <v>11</v>
      </c>
      <c r="D774" s="85" t="str">
        <f t="shared" si="1"/>
        <v>-</v>
      </c>
      <c r="E774" s="7" t="s">
        <v>11</v>
      </c>
      <c r="F774" s="86"/>
      <c r="G774" s="7"/>
      <c r="H774" s="11"/>
      <c r="I774" s="7" t="s">
        <v>13</v>
      </c>
      <c r="J774" s="33"/>
    </row>
    <row r="775">
      <c r="A775" s="84" t="s">
        <v>337</v>
      </c>
      <c r="B775" s="11"/>
      <c r="C775" s="85" t="s">
        <v>11</v>
      </c>
      <c r="D775" s="85" t="str">
        <f t="shared" si="1"/>
        <v>-</v>
      </c>
      <c r="E775" s="7" t="s">
        <v>11</v>
      </c>
      <c r="F775" s="86"/>
      <c r="G775" s="7"/>
      <c r="H775" s="11"/>
      <c r="I775" s="7" t="s">
        <v>13</v>
      </c>
      <c r="J775" s="33"/>
    </row>
    <row r="776">
      <c r="A776" s="84" t="s">
        <v>337</v>
      </c>
      <c r="B776" s="11"/>
      <c r="C776" s="85" t="s">
        <v>11</v>
      </c>
      <c r="D776" s="85" t="str">
        <f t="shared" si="1"/>
        <v>-</v>
      </c>
      <c r="E776" s="7" t="s">
        <v>11</v>
      </c>
      <c r="F776" s="86"/>
      <c r="G776" s="7"/>
      <c r="H776" s="11"/>
      <c r="I776" s="7" t="s">
        <v>13</v>
      </c>
      <c r="J776" s="33"/>
    </row>
    <row r="777">
      <c r="A777" s="84" t="s">
        <v>337</v>
      </c>
      <c r="B777" s="11"/>
      <c r="C777" s="85" t="s">
        <v>11</v>
      </c>
      <c r="D777" s="85" t="str">
        <f t="shared" si="1"/>
        <v>-</v>
      </c>
      <c r="E777" s="7" t="s">
        <v>11</v>
      </c>
      <c r="F777" s="86"/>
      <c r="G777" s="7"/>
      <c r="H777" s="11"/>
      <c r="I777" s="7" t="s">
        <v>13</v>
      </c>
      <c r="J777" s="33"/>
    </row>
    <row r="778">
      <c r="A778" s="84" t="s">
        <v>337</v>
      </c>
      <c r="B778" s="11"/>
      <c r="C778" s="85" t="s">
        <v>11</v>
      </c>
      <c r="D778" s="85" t="str">
        <f t="shared" si="1"/>
        <v>-</v>
      </c>
      <c r="E778" s="7" t="s">
        <v>11</v>
      </c>
      <c r="F778" s="86"/>
      <c r="G778" s="7"/>
      <c r="H778" s="11"/>
      <c r="I778" s="7" t="s">
        <v>13</v>
      </c>
      <c r="J778" s="33"/>
    </row>
    <row r="779">
      <c r="A779" s="84" t="s">
        <v>337</v>
      </c>
      <c r="B779" s="11"/>
      <c r="C779" s="85" t="s">
        <v>11</v>
      </c>
      <c r="D779" s="85" t="str">
        <f t="shared" si="1"/>
        <v>-</v>
      </c>
      <c r="E779" s="7" t="s">
        <v>11</v>
      </c>
      <c r="F779" s="86"/>
      <c r="G779" s="7"/>
      <c r="H779" s="11"/>
      <c r="I779" s="7" t="s">
        <v>13</v>
      </c>
      <c r="J779" s="33"/>
    </row>
    <row r="780">
      <c r="A780" s="84" t="s">
        <v>337</v>
      </c>
      <c r="B780" s="11"/>
      <c r="C780" s="85" t="s">
        <v>11</v>
      </c>
      <c r="D780" s="85" t="str">
        <f t="shared" si="1"/>
        <v>-</v>
      </c>
      <c r="E780" s="7" t="s">
        <v>11</v>
      </c>
      <c r="F780" s="86"/>
      <c r="G780" s="7"/>
      <c r="H780" s="11"/>
      <c r="I780" s="7" t="s">
        <v>13</v>
      </c>
      <c r="J780" s="33"/>
    </row>
    <row r="781">
      <c r="A781" s="84" t="s">
        <v>337</v>
      </c>
      <c r="B781" s="11"/>
      <c r="C781" s="85" t="s">
        <v>11</v>
      </c>
      <c r="D781" s="85" t="str">
        <f t="shared" si="1"/>
        <v>-</v>
      </c>
      <c r="E781" s="7" t="s">
        <v>11</v>
      </c>
      <c r="F781" s="86"/>
      <c r="G781" s="7"/>
      <c r="H781" s="11"/>
      <c r="I781" s="7" t="s">
        <v>13</v>
      </c>
      <c r="J781" s="33"/>
    </row>
    <row r="782">
      <c r="A782" s="84" t="s">
        <v>337</v>
      </c>
      <c r="B782" s="11"/>
      <c r="C782" s="85" t="s">
        <v>11</v>
      </c>
      <c r="D782" s="85" t="str">
        <f t="shared" si="1"/>
        <v>-</v>
      </c>
      <c r="E782" s="7" t="s">
        <v>11</v>
      </c>
      <c r="F782" s="86"/>
      <c r="G782" s="7"/>
      <c r="H782" s="11"/>
      <c r="I782" s="7" t="s">
        <v>13</v>
      </c>
      <c r="J782" s="33"/>
    </row>
    <row r="783">
      <c r="A783" s="84" t="s">
        <v>337</v>
      </c>
      <c r="B783" s="11"/>
      <c r="C783" s="85" t="s">
        <v>11</v>
      </c>
      <c r="D783" s="85" t="str">
        <f t="shared" si="1"/>
        <v>-</v>
      </c>
      <c r="E783" s="7" t="s">
        <v>11</v>
      </c>
      <c r="F783" s="86"/>
      <c r="G783" s="7"/>
      <c r="H783" s="11"/>
      <c r="I783" s="7" t="s">
        <v>13</v>
      </c>
      <c r="J783" s="33"/>
    </row>
    <row r="784">
      <c r="A784" s="84" t="s">
        <v>337</v>
      </c>
      <c r="B784" s="11"/>
      <c r="C784" s="85" t="s">
        <v>11</v>
      </c>
      <c r="D784" s="85" t="str">
        <f t="shared" si="1"/>
        <v>-</v>
      </c>
      <c r="E784" s="7" t="s">
        <v>11</v>
      </c>
      <c r="F784" s="86"/>
      <c r="G784" s="7"/>
      <c r="H784" s="11"/>
      <c r="I784" s="7" t="s">
        <v>13</v>
      </c>
      <c r="J784" s="33"/>
    </row>
    <row r="785">
      <c r="A785" s="84" t="s">
        <v>337</v>
      </c>
      <c r="B785" s="11"/>
      <c r="C785" s="85" t="s">
        <v>11</v>
      </c>
      <c r="D785" s="85" t="str">
        <f t="shared" si="1"/>
        <v>-</v>
      </c>
      <c r="E785" s="7" t="s">
        <v>11</v>
      </c>
      <c r="F785" s="86"/>
      <c r="G785" s="7"/>
      <c r="H785" s="11"/>
      <c r="I785" s="7" t="s">
        <v>13</v>
      </c>
      <c r="J785" s="33"/>
    </row>
    <row r="786">
      <c r="A786" s="84" t="s">
        <v>337</v>
      </c>
      <c r="B786" s="11"/>
      <c r="C786" s="85" t="s">
        <v>11</v>
      </c>
      <c r="D786" s="85" t="str">
        <f t="shared" si="1"/>
        <v>-</v>
      </c>
      <c r="E786" s="7" t="s">
        <v>11</v>
      </c>
      <c r="F786" s="86"/>
      <c r="G786" s="7"/>
      <c r="H786" s="11"/>
      <c r="I786" s="7" t="s">
        <v>13</v>
      </c>
      <c r="J786" s="33"/>
    </row>
    <row r="787">
      <c r="A787" s="84" t="s">
        <v>337</v>
      </c>
      <c r="B787" s="11"/>
      <c r="C787" s="85" t="s">
        <v>11</v>
      </c>
      <c r="D787" s="85" t="str">
        <f t="shared" si="1"/>
        <v>-</v>
      </c>
      <c r="E787" s="7" t="s">
        <v>11</v>
      </c>
      <c r="F787" s="86"/>
      <c r="G787" s="7"/>
      <c r="H787" s="11"/>
      <c r="I787" s="7" t="s">
        <v>13</v>
      </c>
      <c r="J787" s="33"/>
    </row>
    <row r="788">
      <c r="A788" s="84" t="s">
        <v>337</v>
      </c>
      <c r="B788" s="11"/>
      <c r="C788" s="85" t="s">
        <v>11</v>
      </c>
      <c r="D788" s="85" t="str">
        <f t="shared" si="1"/>
        <v>-</v>
      </c>
      <c r="E788" s="7" t="s">
        <v>11</v>
      </c>
      <c r="F788" s="86"/>
      <c r="G788" s="7"/>
      <c r="H788" s="11"/>
      <c r="I788" s="7" t="s">
        <v>13</v>
      </c>
      <c r="J788" s="33"/>
    </row>
    <row r="789">
      <c r="A789" s="84" t="s">
        <v>337</v>
      </c>
      <c r="B789" s="11"/>
      <c r="C789" s="85" t="s">
        <v>11</v>
      </c>
      <c r="D789" s="85" t="str">
        <f t="shared" si="1"/>
        <v>-</v>
      </c>
      <c r="E789" s="7" t="s">
        <v>11</v>
      </c>
      <c r="F789" s="86"/>
      <c r="G789" s="7"/>
      <c r="H789" s="11"/>
      <c r="I789" s="7" t="s">
        <v>13</v>
      </c>
      <c r="J789" s="33"/>
    </row>
    <row r="790">
      <c r="A790" s="84" t="s">
        <v>337</v>
      </c>
      <c r="B790" s="11"/>
      <c r="C790" s="85" t="s">
        <v>11</v>
      </c>
      <c r="D790" s="85" t="str">
        <f t="shared" si="1"/>
        <v>-</v>
      </c>
      <c r="E790" s="7" t="s">
        <v>11</v>
      </c>
      <c r="F790" s="86"/>
      <c r="G790" s="7"/>
      <c r="H790" s="11"/>
      <c r="I790" s="7" t="s">
        <v>13</v>
      </c>
      <c r="J790" s="33"/>
    </row>
    <row r="791">
      <c r="A791" s="84" t="s">
        <v>337</v>
      </c>
      <c r="B791" s="11"/>
      <c r="C791" s="85" t="s">
        <v>11</v>
      </c>
      <c r="D791" s="85" t="str">
        <f t="shared" si="1"/>
        <v>-</v>
      </c>
      <c r="E791" s="7" t="s">
        <v>11</v>
      </c>
      <c r="F791" s="86"/>
      <c r="G791" s="7"/>
      <c r="H791" s="11"/>
      <c r="I791" s="7" t="s">
        <v>13</v>
      </c>
      <c r="J791" s="33"/>
    </row>
    <row r="792">
      <c r="A792" s="84" t="s">
        <v>337</v>
      </c>
      <c r="B792" s="11"/>
      <c r="C792" s="85" t="s">
        <v>11</v>
      </c>
      <c r="D792" s="85" t="str">
        <f t="shared" si="1"/>
        <v>-</v>
      </c>
      <c r="E792" s="7" t="s">
        <v>11</v>
      </c>
      <c r="F792" s="86"/>
      <c r="G792" s="7"/>
      <c r="H792" s="11"/>
      <c r="I792" s="7" t="s">
        <v>13</v>
      </c>
      <c r="J792" s="33"/>
    </row>
    <row r="793">
      <c r="A793" s="84" t="s">
        <v>337</v>
      </c>
      <c r="B793" s="11"/>
      <c r="C793" s="85" t="s">
        <v>11</v>
      </c>
      <c r="D793" s="85" t="str">
        <f t="shared" si="1"/>
        <v>-</v>
      </c>
      <c r="E793" s="7" t="s">
        <v>11</v>
      </c>
      <c r="F793" s="86"/>
      <c r="G793" s="7"/>
      <c r="H793" s="11"/>
      <c r="I793" s="7" t="s">
        <v>13</v>
      </c>
      <c r="J793" s="33"/>
    </row>
    <row r="794">
      <c r="A794" s="84" t="s">
        <v>337</v>
      </c>
      <c r="B794" s="11"/>
      <c r="C794" s="85" t="s">
        <v>11</v>
      </c>
      <c r="D794" s="85" t="str">
        <f t="shared" si="1"/>
        <v>-</v>
      </c>
      <c r="E794" s="7" t="s">
        <v>11</v>
      </c>
      <c r="F794" s="86"/>
      <c r="G794" s="7"/>
      <c r="H794" s="11"/>
      <c r="I794" s="7" t="s">
        <v>13</v>
      </c>
      <c r="J794" s="33"/>
    </row>
    <row r="795">
      <c r="A795" s="84" t="s">
        <v>337</v>
      </c>
      <c r="B795" s="11"/>
      <c r="C795" s="85" t="s">
        <v>11</v>
      </c>
      <c r="D795" s="85" t="str">
        <f t="shared" si="1"/>
        <v>-</v>
      </c>
      <c r="E795" s="7" t="s">
        <v>11</v>
      </c>
      <c r="F795" s="86"/>
      <c r="G795" s="7"/>
      <c r="H795" s="11"/>
      <c r="I795" s="7" t="s">
        <v>13</v>
      </c>
      <c r="J795" s="33"/>
    </row>
    <row r="796">
      <c r="A796" s="84" t="s">
        <v>337</v>
      </c>
      <c r="B796" s="11"/>
      <c r="C796" s="85" t="s">
        <v>11</v>
      </c>
      <c r="D796" s="85" t="str">
        <f t="shared" si="1"/>
        <v>-</v>
      </c>
      <c r="E796" s="7" t="s">
        <v>11</v>
      </c>
      <c r="F796" s="86"/>
      <c r="G796" s="7"/>
      <c r="H796" s="11"/>
      <c r="I796" s="7" t="s">
        <v>13</v>
      </c>
      <c r="J796" s="33"/>
    </row>
    <row r="797">
      <c r="A797" s="84" t="s">
        <v>337</v>
      </c>
      <c r="B797" s="11"/>
      <c r="C797" s="85" t="s">
        <v>11</v>
      </c>
      <c r="D797" s="85" t="str">
        <f t="shared" si="1"/>
        <v>-</v>
      </c>
      <c r="E797" s="7" t="s">
        <v>11</v>
      </c>
      <c r="F797" s="86"/>
      <c r="G797" s="7"/>
      <c r="H797" s="11"/>
      <c r="I797" s="7" t="s">
        <v>13</v>
      </c>
      <c r="J797" s="33"/>
    </row>
    <row r="798">
      <c r="A798" s="84" t="s">
        <v>337</v>
      </c>
      <c r="B798" s="11"/>
      <c r="C798" s="85" t="s">
        <v>11</v>
      </c>
      <c r="D798" s="85" t="str">
        <f t="shared" si="1"/>
        <v>-</v>
      </c>
      <c r="E798" s="7" t="s">
        <v>11</v>
      </c>
      <c r="F798" s="86"/>
      <c r="G798" s="7"/>
      <c r="H798" s="11"/>
      <c r="I798" s="7" t="s">
        <v>13</v>
      </c>
      <c r="J798" s="33"/>
    </row>
    <row r="799">
      <c r="A799" s="84" t="s">
        <v>337</v>
      </c>
      <c r="B799" s="11"/>
      <c r="C799" s="85" t="s">
        <v>11</v>
      </c>
      <c r="D799" s="85" t="str">
        <f t="shared" si="1"/>
        <v>-</v>
      </c>
      <c r="E799" s="7" t="s">
        <v>11</v>
      </c>
      <c r="F799" s="86"/>
      <c r="G799" s="7"/>
      <c r="H799" s="11"/>
      <c r="I799" s="7" t="s">
        <v>13</v>
      </c>
      <c r="J799" s="33"/>
    </row>
    <row r="800">
      <c r="A800" s="84" t="s">
        <v>337</v>
      </c>
      <c r="B800" s="11"/>
      <c r="C800" s="85" t="s">
        <v>11</v>
      </c>
      <c r="D800" s="85" t="str">
        <f t="shared" si="1"/>
        <v>-</v>
      </c>
      <c r="E800" s="7" t="s">
        <v>11</v>
      </c>
      <c r="F800" s="86"/>
      <c r="G800" s="7"/>
      <c r="H800" s="11"/>
      <c r="I800" s="7" t="s">
        <v>13</v>
      </c>
      <c r="J800" s="33"/>
    </row>
    <row r="801">
      <c r="A801" s="84" t="s">
        <v>337</v>
      </c>
      <c r="B801" s="11"/>
      <c r="C801" s="85" t="s">
        <v>11</v>
      </c>
      <c r="D801" s="85" t="str">
        <f t="shared" si="1"/>
        <v>-</v>
      </c>
      <c r="E801" s="7" t="s">
        <v>11</v>
      </c>
      <c r="F801" s="86"/>
      <c r="G801" s="7"/>
      <c r="H801" s="11"/>
      <c r="I801" s="7" t="s">
        <v>13</v>
      </c>
      <c r="J801" s="33"/>
    </row>
    <row r="802">
      <c r="A802" s="84" t="s">
        <v>337</v>
      </c>
      <c r="B802" s="11"/>
      <c r="C802" s="85" t="s">
        <v>11</v>
      </c>
      <c r="D802" s="85" t="str">
        <f t="shared" si="1"/>
        <v>-</v>
      </c>
      <c r="E802" s="7" t="s">
        <v>11</v>
      </c>
      <c r="F802" s="86"/>
      <c r="G802" s="7"/>
      <c r="H802" s="11"/>
      <c r="I802" s="7" t="s">
        <v>13</v>
      </c>
      <c r="J802" s="33"/>
    </row>
    <row r="803">
      <c r="A803" s="84" t="s">
        <v>337</v>
      </c>
      <c r="B803" s="11"/>
      <c r="C803" s="85" t="s">
        <v>11</v>
      </c>
      <c r="D803" s="85" t="str">
        <f t="shared" si="1"/>
        <v>-</v>
      </c>
      <c r="E803" s="7" t="s">
        <v>11</v>
      </c>
      <c r="F803" s="86"/>
      <c r="G803" s="7"/>
      <c r="H803" s="11"/>
      <c r="I803" s="7" t="s">
        <v>13</v>
      </c>
      <c r="J803" s="33"/>
    </row>
    <row r="804">
      <c r="A804" s="84" t="s">
        <v>337</v>
      </c>
      <c r="B804" s="11"/>
      <c r="C804" s="85" t="s">
        <v>11</v>
      </c>
      <c r="D804" s="85" t="str">
        <f t="shared" si="1"/>
        <v>-</v>
      </c>
      <c r="E804" s="7" t="s">
        <v>11</v>
      </c>
      <c r="F804" s="86"/>
      <c r="G804" s="7"/>
      <c r="H804" s="11"/>
      <c r="I804" s="7" t="s">
        <v>13</v>
      </c>
      <c r="J804" s="33"/>
    </row>
    <row r="805">
      <c r="A805" s="84" t="s">
        <v>337</v>
      </c>
      <c r="B805" s="11"/>
      <c r="C805" s="85" t="s">
        <v>11</v>
      </c>
      <c r="D805" s="85" t="str">
        <f t="shared" si="1"/>
        <v>-</v>
      </c>
      <c r="E805" s="7" t="s">
        <v>11</v>
      </c>
      <c r="F805" s="86"/>
      <c r="G805" s="7"/>
      <c r="H805" s="11"/>
      <c r="I805" s="7" t="s">
        <v>13</v>
      </c>
      <c r="J805" s="33"/>
    </row>
    <row r="806">
      <c r="A806" s="84" t="s">
        <v>337</v>
      </c>
      <c r="B806" s="11"/>
      <c r="C806" s="85" t="s">
        <v>11</v>
      </c>
      <c r="D806" s="85" t="str">
        <f t="shared" si="1"/>
        <v>-</v>
      </c>
      <c r="E806" s="7" t="s">
        <v>11</v>
      </c>
      <c r="F806" s="86"/>
      <c r="G806" s="7"/>
      <c r="H806" s="11"/>
      <c r="I806" s="7" t="s">
        <v>13</v>
      </c>
      <c r="J806" s="33"/>
    </row>
    <row r="807">
      <c r="A807" s="84" t="s">
        <v>337</v>
      </c>
      <c r="B807" s="11"/>
      <c r="C807" s="85" t="s">
        <v>11</v>
      </c>
      <c r="D807" s="85" t="str">
        <f t="shared" si="1"/>
        <v>-</v>
      </c>
      <c r="E807" s="7" t="s">
        <v>11</v>
      </c>
      <c r="F807" s="86"/>
      <c r="G807" s="7"/>
      <c r="H807" s="11"/>
      <c r="I807" s="7" t="s">
        <v>13</v>
      </c>
      <c r="J807" s="33"/>
    </row>
    <row r="808">
      <c r="A808" s="84" t="s">
        <v>337</v>
      </c>
      <c r="B808" s="11"/>
      <c r="C808" s="85" t="s">
        <v>11</v>
      </c>
      <c r="D808" s="85" t="str">
        <f t="shared" si="1"/>
        <v>-</v>
      </c>
      <c r="E808" s="7" t="s">
        <v>11</v>
      </c>
      <c r="F808" s="86"/>
      <c r="G808" s="7"/>
      <c r="H808" s="11"/>
      <c r="I808" s="7" t="s">
        <v>13</v>
      </c>
      <c r="J808" s="33"/>
    </row>
    <row r="809">
      <c r="A809" s="84" t="s">
        <v>337</v>
      </c>
      <c r="B809" s="11"/>
      <c r="C809" s="85" t="s">
        <v>11</v>
      </c>
      <c r="D809" s="85" t="str">
        <f t="shared" si="1"/>
        <v>-</v>
      </c>
      <c r="E809" s="7" t="s">
        <v>11</v>
      </c>
      <c r="F809" s="86"/>
      <c r="G809" s="7"/>
      <c r="H809" s="11"/>
      <c r="I809" s="7" t="s">
        <v>13</v>
      </c>
      <c r="J809" s="33"/>
    </row>
    <row r="810">
      <c r="A810" s="84" t="s">
        <v>337</v>
      </c>
      <c r="B810" s="11"/>
      <c r="C810" s="85" t="s">
        <v>11</v>
      </c>
      <c r="D810" s="85" t="str">
        <f t="shared" si="1"/>
        <v>-</v>
      </c>
      <c r="E810" s="7" t="s">
        <v>11</v>
      </c>
      <c r="F810" s="86"/>
      <c r="G810" s="7"/>
      <c r="H810" s="11"/>
      <c r="I810" s="7" t="s">
        <v>13</v>
      </c>
      <c r="J810" s="33"/>
    </row>
    <row r="811">
      <c r="A811" s="84" t="s">
        <v>337</v>
      </c>
      <c r="B811" s="11"/>
      <c r="C811" s="85" t="s">
        <v>11</v>
      </c>
      <c r="D811" s="85" t="str">
        <f t="shared" si="1"/>
        <v>-</v>
      </c>
      <c r="E811" s="7" t="s">
        <v>11</v>
      </c>
      <c r="F811" s="86"/>
      <c r="G811" s="7"/>
      <c r="H811" s="11"/>
      <c r="I811" s="7" t="s">
        <v>13</v>
      </c>
      <c r="J811" s="33"/>
    </row>
    <row r="812">
      <c r="A812" s="84" t="s">
        <v>337</v>
      </c>
      <c r="B812" s="11"/>
      <c r="C812" s="85" t="s">
        <v>11</v>
      </c>
      <c r="D812" s="85" t="str">
        <f t="shared" si="1"/>
        <v>-</v>
      </c>
      <c r="E812" s="7" t="s">
        <v>11</v>
      </c>
      <c r="F812" s="86"/>
      <c r="G812" s="7"/>
      <c r="H812" s="11"/>
      <c r="I812" s="7" t="s">
        <v>13</v>
      </c>
      <c r="J812" s="33"/>
    </row>
    <row r="813">
      <c r="A813" s="84" t="s">
        <v>337</v>
      </c>
      <c r="B813" s="11"/>
      <c r="C813" s="85" t="s">
        <v>11</v>
      </c>
      <c r="D813" s="85" t="str">
        <f t="shared" si="1"/>
        <v>-</v>
      </c>
      <c r="E813" s="7" t="s">
        <v>11</v>
      </c>
      <c r="F813" s="86"/>
      <c r="G813" s="7"/>
      <c r="H813" s="11"/>
      <c r="I813" s="7" t="s">
        <v>13</v>
      </c>
      <c r="J813" s="33"/>
    </row>
    <row r="814">
      <c r="A814" s="84" t="s">
        <v>337</v>
      </c>
      <c r="B814" s="11"/>
      <c r="C814" s="85" t="s">
        <v>11</v>
      </c>
      <c r="D814" s="85" t="str">
        <f t="shared" si="1"/>
        <v>-</v>
      </c>
      <c r="E814" s="7" t="s">
        <v>11</v>
      </c>
      <c r="F814" s="86"/>
      <c r="G814" s="7"/>
      <c r="H814" s="11"/>
      <c r="I814" s="7" t="s">
        <v>13</v>
      </c>
      <c r="J814" s="33"/>
    </row>
    <row r="815">
      <c r="A815" s="84" t="s">
        <v>337</v>
      </c>
      <c r="B815" s="11"/>
      <c r="C815" s="85" t="s">
        <v>11</v>
      </c>
      <c r="D815" s="85" t="str">
        <f t="shared" si="1"/>
        <v>-</v>
      </c>
      <c r="E815" s="7" t="s">
        <v>11</v>
      </c>
      <c r="F815" s="86"/>
      <c r="G815" s="7"/>
      <c r="H815" s="11"/>
      <c r="I815" s="7" t="s">
        <v>13</v>
      </c>
      <c r="J815" s="33"/>
    </row>
    <row r="816">
      <c r="A816" s="84" t="s">
        <v>337</v>
      </c>
      <c r="B816" s="11"/>
      <c r="C816" s="85" t="s">
        <v>11</v>
      </c>
      <c r="D816" s="85" t="str">
        <f t="shared" si="1"/>
        <v>-</v>
      </c>
      <c r="E816" s="7" t="s">
        <v>11</v>
      </c>
      <c r="F816" s="86"/>
      <c r="G816" s="7"/>
      <c r="H816" s="11"/>
      <c r="I816" s="7" t="s">
        <v>13</v>
      </c>
      <c r="J816" s="33"/>
    </row>
    <row r="817">
      <c r="A817" s="84" t="s">
        <v>337</v>
      </c>
      <c r="B817" s="11"/>
      <c r="C817" s="85" t="s">
        <v>11</v>
      </c>
      <c r="D817" s="85" t="str">
        <f t="shared" si="1"/>
        <v>-</v>
      </c>
      <c r="E817" s="7" t="s">
        <v>11</v>
      </c>
      <c r="F817" s="86"/>
      <c r="G817" s="7"/>
      <c r="H817" s="11"/>
      <c r="I817" s="7" t="s">
        <v>13</v>
      </c>
      <c r="J817" s="33"/>
    </row>
    <row r="818">
      <c r="A818" s="84" t="s">
        <v>337</v>
      </c>
      <c r="B818" s="11"/>
      <c r="C818" s="85" t="s">
        <v>11</v>
      </c>
      <c r="D818" s="85" t="str">
        <f t="shared" si="1"/>
        <v>-</v>
      </c>
      <c r="E818" s="7" t="s">
        <v>11</v>
      </c>
      <c r="F818" s="86"/>
      <c r="G818" s="7"/>
      <c r="H818" s="11"/>
      <c r="I818" s="7" t="s">
        <v>13</v>
      </c>
      <c r="J818" s="33"/>
    </row>
    <row r="819">
      <c r="A819" s="84" t="s">
        <v>337</v>
      </c>
      <c r="B819" s="11"/>
      <c r="C819" s="85" t="s">
        <v>11</v>
      </c>
      <c r="D819" s="85" t="str">
        <f t="shared" si="1"/>
        <v>-</v>
      </c>
      <c r="E819" s="7" t="s">
        <v>11</v>
      </c>
      <c r="F819" s="86"/>
      <c r="G819" s="7"/>
      <c r="H819" s="11"/>
      <c r="I819" s="7" t="s">
        <v>13</v>
      </c>
      <c r="J819" s="33"/>
    </row>
    <row r="820">
      <c r="A820" s="84" t="s">
        <v>337</v>
      </c>
      <c r="B820" s="11"/>
      <c r="C820" s="85" t="s">
        <v>11</v>
      </c>
      <c r="D820" s="85" t="str">
        <f t="shared" si="1"/>
        <v>-</v>
      </c>
      <c r="E820" s="7" t="s">
        <v>11</v>
      </c>
      <c r="F820" s="86"/>
      <c r="G820" s="7"/>
      <c r="H820" s="11"/>
      <c r="I820" s="7" t="s">
        <v>13</v>
      </c>
      <c r="J820" s="33"/>
    </row>
    <row r="821">
      <c r="A821" s="84" t="s">
        <v>337</v>
      </c>
      <c r="B821" s="11"/>
      <c r="C821" s="85" t="s">
        <v>11</v>
      </c>
      <c r="D821" s="85" t="str">
        <f t="shared" si="1"/>
        <v>-</v>
      </c>
      <c r="E821" s="7" t="s">
        <v>11</v>
      </c>
      <c r="F821" s="86"/>
      <c r="G821" s="7"/>
      <c r="H821" s="11"/>
      <c r="I821" s="7" t="s">
        <v>13</v>
      </c>
      <c r="J821" s="33"/>
    </row>
    <row r="822">
      <c r="A822" s="84" t="s">
        <v>337</v>
      </c>
      <c r="B822" s="11"/>
      <c r="C822" s="85" t="s">
        <v>11</v>
      </c>
      <c r="D822" s="85" t="str">
        <f t="shared" si="1"/>
        <v>-</v>
      </c>
      <c r="E822" s="7" t="s">
        <v>11</v>
      </c>
      <c r="F822" s="86"/>
      <c r="G822" s="7"/>
      <c r="H822" s="11"/>
      <c r="I822" s="7" t="s">
        <v>13</v>
      </c>
      <c r="J822" s="33"/>
    </row>
    <row r="823">
      <c r="A823" s="84" t="s">
        <v>337</v>
      </c>
      <c r="B823" s="11"/>
      <c r="C823" s="85" t="s">
        <v>11</v>
      </c>
      <c r="D823" s="85" t="str">
        <f t="shared" si="1"/>
        <v>-</v>
      </c>
      <c r="E823" s="7" t="s">
        <v>11</v>
      </c>
      <c r="F823" s="86"/>
      <c r="G823" s="7"/>
      <c r="H823" s="11"/>
      <c r="I823" s="7" t="s">
        <v>13</v>
      </c>
      <c r="J823" s="33"/>
    </row>
    <row r="824">
      <c r="A824" s="84" t="s">
        <v>337</v>
      </c>
      <c r="B824" s="11"/>
      <c r="C824" s="85" t="s">
        <v>11</v>
      </c>
      <c r="D824" s="85" t="str">
        <f t="shared" si="1"/>
        <v>-</v>
      </c>
      <c r="E824" s="7" t="s">
        <v>11</v>
      </c>
      <c r="F824" s="86"/>
      <c r="G824" s="7"/>
      <c r="H824" s="11"/>
      <c r="I824" s="7" t="s">
        <v>13</v>
      </c>
      <c r="J824" s="33"/>
    </row>
    <row r="825">
      <c r="A825" s="84" t="s">
        <v>337</v>
      </c>
      <c r="B825" s="11"/>
      <c r="C825" s="85" t="s">
        <v>11</v>
      </c>
      <c r="D825" s="85" t="str">
        <f t="shared" si="1"/>
        <v>-</v>
      </c>
      <c r="E825" s="7" t="s">
        <v>11</v>
      </c>
      <c r="F825" s="86"/>
      <c r="G825" s="7"/>
      <c r="H825" s="11"/>
      <c r="I825" s="7" t="s">
        <v>13</v>
      </c>
      <c r="J825" s="33"/>
    </row>
    <row r="826">
      <c r="A826" s="84" t="s">
        <v>337</v>
      </c>
      <c r="B826" s="11"/>
      <c r="C826" s="85" t="s">
        <v>11</v>
      </c>
      <c r="D826" s="85" t="str">
        <f t="shared" si="1"/>
        <v>-</v>
      </c>
      <c r="E826" s="7" t="s">
        <v>11</v>
      </c>
      <c r="F826" s="86"/>
      <c r="G826" s="7"/>
      <c r="H826" s="11"/>
      <c r="I826" s="7" t="s">
        <v>13</v>
      </c>
      <c r="J826" s="33"/>
    </row>
    <row r="827">
      <c r="A827" s="84" t="s">
        <v>337</v>
      </c>
      <c r="B827" s="11"/>
      <c r="C827" s="85" t="s">
        <v>11</v>
      </c>
      <c r="D827" s="85" t="str">
        <f t="shared" si="1"/>
        <v>-</v>
      </c>
      <c r="E827" s="7" t="s">
        <v>11</v>
      </c>
      <c r="F827" s="86"/>
      <c r="G827" s="7"/>
      <c r="H827" s="11"/>
      <c r="I827" s="7" t="s">
        <v>13</v>
      </c>
      <c r="J827" s="33"/>
    </row>
    <row r="828">
      <c r="A828" s="84" t="s">
        <v>337</v>
      </c>
      <c r="B828" s="11"/>
      <c r="C828" s="85" t="s">
        <v>11</v>
      </c>
      <c r="D828" s="85" t="str">
        <f t="shared" si="1"/>
        <v>-</v>
      </c>
      <c r="E828" s="7" t="s">
        <v>11</v>
      </c>
      <c r="F828" s="86"/>
      <c r="G828" s="7"/>
      <c r="H828" s="11"/>
      <c r="I828" s="7" t="s">
        <v>13</v>
      </c>
      <c r="J828" s="33"/>
    </row>
    <row r="829">
      <c r="A829" s="84" t="s">
        <v>337</v>
      </c>
      <c r="B829" s="11"/>
      <c r="C829" s="85" t="s">
        <v>11</v>
      </c>
      <c r="D829" s="85" t="str">
        <f t="shared" si="1"/>
        <v>-</v>
      </c>
      <c r="E829" s="7" t="s">
        <v>11</v>
      </c>
      <c r="F829" s="86"/>
      <c r="G829" s="7"/>
      <c r="H829" s="11"/>
      <c r="I829" s="7" t="s">
        <v>13</v>
      </c>
      <c r="J829" s="33"/>
    </row>
    <row r="830">
      <c r="A830" s="84" t="s">
        <v>337</v>
      </c>
      <c r="B830" s="11"/>
      <c r="C830" s="85" t="s">
        <v>11</v>
      </c>
      <c r="D830" s="85" t="str">
        <f t="shared" si="1"/>
        <v>-</v>
      </c>
      <c r="E830" s="7" t="s">
        <v>11</v>
      </c>
      <c r="F830" s="86"/>
      <c r="G830" s="7"/>
      <c r="H830" s="11"/>
      <c r="I830" s="7" t="s">
        <v>13</v>
      </c>
      <c r="J830" s="33"/>
    </row>
    <row r="831">
      <c r="A831" s="84" t="s">
        <v>337</v>
      </c>
      <c r="B831" s="11"/>
      <c r="C831" s="85" t="s">
        <v>11</v>
      </c>
      <c r="D831" s="85" t="str">
        <f t="shared" si="1"/>
        <v>-</v>
      </c>
      <c r="E831" s="7" t="s">
        <v>11</v>
      </c>
      <c r="F831" s="86"/>
      <c r="G831" s="7"/>
      <c r="H831" s="11"/>
      <c r="I831" s="7" t="s">
        <v>13</v>
      </c>
      <c r="J831" s="33"/>
    </row>
    <row r="832">
      <c r="A832" s="84" t="s">
        <v>337</v>
      </c>
      <c r="B832" s="11"/>
      <c r="C832" s="85" t="s">
        <v>11</v>
      </c>
      <c r="D832" s="85" t="str">
        <f t="shared" si="1"/>
        <v>-</v>
      </c>
      <c r="E832" s="7" t="s">
        <v>11</v>
      </c>
      <c r="F832" s="86"/>
      <c r="G832" s="7"/>
      <c r="H832" s="11"/>
      <c r="I832" s="7" t="s">
        <v>13</v>
      </c>
      <c r="J832" s="33"/>
    </row>
    <row r="833">
      <c r="A833" s="84" t="s">
        <v>337</v>
      </c>
      <c r="B833" s="11"/>
      <c r="C833" s="85" t="s">
        <v>11</v>
      </c>
      <c r="D833" s="85" t="str">
        <f t="shared" si="1"/>
        <v>-</v>
      </c>
      <c r="E833" s="7" t="s">
        <v>11</v>
      </c>
      <c r="F833" s="86"/>
      <c r="G833" s="7"/>
      <c r="H833" s="11"/>
      <c r="I833" s="7" t="s">
        <v>13</v>
      </c>
      <c r="J833" s="33"/>
    </row>
    <row r="834">
      <c r="A834" s="84" t="s">
        <v>337</v>
      </c>
      <c r="B834" s="11"/>
      <c r="C834" s="85" t="s">
        <v>11</v>
      </c>
      <c r="D834" s="85" t="str">
        <f t="shared" si="1"/>
        <v>-</v>
      </c>
      <c r="E834" s="7" t="s">
        <v>11</v>
      </c>
      <c r="F834" s="86"/>
      <c r="G834" s="7"/>
      <c r="H834" s="11"/>
      <c r="I834" s="7" t="s">
        <v>13</v>
      </c>
      <c r="J834" s="33"/>
    </row>
    <row r="835">
      <c r="A835" s="84" t="s">
        <v>337</v>
      </c>
      <c r="B835" s="11"/>
      <c r="C835" s="85" t="s">
        <v>11</v>
      </c>
      <c r="D835" s="85" t="str">
        <f t="shared" si="1"/>
        <v>-</v>
      </c>
      <c r="E835" s="7" t="s">
        <v>11</v>
      </c>
      <c r="F835" s="86"/>
      <c r="G835" s="7"/>
      <c r="H835" s="11"/>
      <c r="I835" s="7" t="s">
        <v>13</v>
      </c>
      <c r="J835" s="33"/>
    </row>
    <row r="836">
      <c r="A836" s="84" t="s">
        <v>337</v>
      </c>
      <c r="B836" s="11"/>
      <c r="C836" s="85" t="s">
        <v>11</v>
      </c>
      <c r="D836" s="85" t="str">
        <f t="shared" si="1"/>
        <v>-</v>
      </c>
      <c r="E836" s="7" t="s">
        <v>11</v>
      </c>
      <c r="F836" s="86"/>
      <c r="G836" s="7"/>
      <c r="H836" s="11"/>
      <c r="I836" s="7" t="s">
        <v>13</v>
      </c>
      <c r="J836" s="33"/>
    </row>
    <row r="837">
      <c r="A837" s="84" t="s">
        <v>337</v>
      </c>
      <c r="B837" s="11"/>
      <c r="C837" s="85" t="s">
        <v>11</v>
      </c>
      <c r="D837" s="85" t="str">
        <f t="shared" si="1"/>
        <v>-</v>
      </c>
      <c r="E837" s="7" t="s">
        <v>11</v>
      </c>
      <c r="F837" s="86"/>
      <c r="G837" s="7"/>
      <c r="H837" s="11"/>
      <c r="I837" s="7" t="s">
        <v>13</v>
      </c>
      <c r="J837" s="33"/>
    </row>
    <row r="838">
      <c r="A838" s="84" t="s">
        <v>337</v>
      </c>
      <c r="B838" s="11"/>
      <c r="C838" s="85" t="s">
        <v>11</v>
      </c>
      <c r="D838" s="85" t="str">
        <f t="shared" si="1"/>
        <v>-</v>
      </c>
      <c r="E838" s="7" t="s">
        <v>11</v>
      </c>
      <c r="F838" s="86"/>
      <c r="G838" s="7"/>
      <c r="H838" s="11"/>
      <c r="I838" s="7" t="s">
        <v>13</v>
      </c>
      <c r="J838" s="33"/>
    </row>
    <row r="839">
      <c r="A839" s="84" t="s">
        <v>337</v>
      </c>
      <c r="B839" s="11"/>
      <c r="C839" s="85" t="s">
        <v>11</v>
      </c>
      <c r="D839" s="85" t="str">
        <f t="shared" si="1"/>
        <v>-</v>
      </c>
      <c r="E839" s="7" t="s">
        <v>11</v>
      </c>
      <c r="F839" s="86"/>
      <c r="G839" s="7"/>
      <c r="H839" s="11"/>
      <c r="I839" s="7" t="s">
        <v>13</v>
      </c>
      <c r="J839" s="33"/>
    </row>
    <row r="840">
      <c r="A840" s="84" t="s">
        <v>337</v>
      </c>
      <c r="B840" s="11"/>
      <c r="C840" s="85" t="s">
        <v>11</v>
      </c>
      <c r="D840" s="85" t="str">
        <f t="shared" si="1"/>
        <v>-</v>
      </c>
      <c r="E840" s="7" t="s">
        <v>11</v>
      </c>
      <c r="F840" s="86"/>
      <c r="G840" s="7"/>
      <c r="H840" s="11"/>
      <c r="I840" s="7" t="s">
        <v>13</v>
      </c>
      <c r="J840" s="33"/>
    </row>
    <row r="841">
      <c r="A841" s="84" t="s">
        <v>337</v>
      </c>
      <c r="B841" s="11"/>
      <c r="C841" s="85" t="s">
        <v>11</v>
      </c>
      <c r="D841" s="85" t="str">
        <f t="shared" si="1"/>
        <v>-</v>
      </c>
      <c r="E841" s="7" t="s">
        <v>11</v>
      </c>
      <c r="F841" s="86"/>
      <c r="G841" s="7"/>
      <c r="H841" s="11"/>
      <c r="I841" s="7" t="s">
        <v>13</v>
      </c>
      <c r="J841" s="33"/>
    </row>
    <row r="842">
      <c r="A842" s="84" t="s">
        <v>337</v>
      </c>
      <c r="B842" s="11"/>
      <c r="C842" s="85" t="s">
        <v>11</v>
      </c>
      <c r="D842" s="85" t="str">
        <f t="shared" si="1"/>
        <v>-</v>
      </c>
      <c r="E842" s="7" t="s">
        <v>11</v>
      </c>
      <c r="F842" s="86"/>
      <c r="G842" s="7"/>
      <c r="H842" s="11"/>
      <c r="I842" s="7" t="s">
        <v>13</v>
      </c>
      <c r="J842" s="33"/>
    </row>
    <row r="843">
      <c r="A843" s="84" t="s">
        <v>337</v>
      </c>
      <c r="B843" s="11"/>
      <c r="C843" s="85" t="s">
        <v>11</v>
      </c>
      <c r="D843" s="85" t="str">
        <f t="shared" si="1"/>
        <v>-</v>
      </c>
      <c r="E843" s="7" t="s">
        <v>11</v>
      </c>
      <c r="F843" s="86"/>
      <c r="G843" s="7"/>
      <c r="H843" s="11"/>
      <c r="I843" s="7" t="s">
        <v>13</v>
      </c>
      <c r="J843" s="33"/>
    </row>
    <row r="844">
      <c r="A844" s="84" t="s">
        <v>337</v>
      </c>
      <c r="B844" s="11"/>
      <c r="C844" s="85" t="s">
        <v>11</v>
      </c>
      <c r="D844" s="85" t="str">
        <f t="shared" si="1"/>
        <v>-</v>
      </c>
      <c r="E844" s="7" t="s">
        <v>11</v>
      </c>
      <c r="F844" s="86"/>
      <c r="G844" s="7"/>
      <c r="H844" s="11"/>
      <c r="I844" s="7" t="s">
        <v>13</v>
      </c>
      <c r="J844" s="33"/>
    </row>
    <row r="845">
      <c r="A845" s="84" t="s">
        <v>337</v>
      </c>
      <c r="B845" s="11"/>
      <c r="C845" s="85" t="s">
        <v>11</v>
      </c>
      <c r="D845" s="85" t="str">
        <f t="shared" si="1"/>
        <v>-</v>
      </c>
      <c r="E845" s="7" t="s">
        <v>11</v>
      </c>
      <c r="F845" s="86"/>
      <c r="G845" s="7"/>
      <c r="H845" s="11"/>
      <c r="I845" s="7" t="s">
        <v>13</v>
      </c>
      <c r="J845" s="33"/>
    </row>
    <row r="846">
      <c r="A846" s="84" t="s">
        <v>337</v>
      </c>
      <c r="B846" s="11"/>
      <c r="C846" s="85" t="s">
        <v>11</v>
      </c>
      <c r="D846" s="85" t="str">
        <f t="shared" si="1"/>
        <v>-</v>
      </c>
      <c r="E846" s="7" t="s">
        <v>11</v>
      </c>
      <c r="F846" s="86"/>
      <c r="G846" s="7"/>
      <c r="H846" s="11"/>
      <c r="I846" s="7" t="s">
        <v>13</v>
      </c>
      <c r="J846" s="33"/>
    </row>
    <row r="847">
      <c r="A847" s="84" t="s">
        <v>337</v>
      </c>
      <c r="B847" s="11"/>
      <c r="C847" s="85" t="s">
        <v>11</v>
      </c>
      <c r="D847" s="85" t="str">
        <f t="shared" si="1"/>
        <v>-</v>
      </c>
      <c r="E847" s="7" t="s">
        <v>11</v>
      </c>
      <c r="F847" s="86"/>
      <c r="G847" s="7"/>
      <c r="H847" s="11"/>
      <c r="I847" s="7" t="s">
        <v>13</v>
      </c>
      <c r="J847" s="33"/>
    </row>
    <row r="848">
      <c r="A848" s="84" t="s">
        <v>337</v>
      </c>
      <c r="B848" s="11"/>
      <c r="C848" s="85" t="s">
        <v>11</v>
      </c>
      <c r="D848" s="85" t="str">
        <f t="shared" si="1"/>
        <v>-</v>
      </c>
      <c r="E848" s="7" t="s">
        <v>11</v>
      </c>
      <c r="F848" s="86"/>
      <c r="G848" s="7"/>
      <c r="H848" s="11"/>
      <c r="I848" s="7" t="s">
        <v>13</v>
      </c>
      <c r="J848" s="33"/>
    </row>
    <row r="849">
      <c r="A849" s="84" t="s">
        <v>337</v>
      </c>
      <c r="B849" s="11"/>
      <c r="C849" s="85" t="s">
        <v>11</v>
      </c>
      <c r="D849" s="85" t="str">
        <f t="shared" si="1"/>
        <v>-</v>
      </c>
      <c r="E849" s="7" t="s">
        <v>11</v>
      </c>
      <c r="F849" s="86"/>
      <c r="G849" s="7"/>
      <c r="H849" s="11"/>
      <c r="I849" s="7" t="s">
        <v>13</v>
      </c>
      <c r="J849" s="33"/>
    </row>
    <row r="850">
      <c r="A850" s="84" t="s">
        <v>337</v>
      </c>
      <c r="B850" s="11"/>
      <c r="C850" s="85" t="s">
        <v>11</v>
      </c>
      <c r="D850" s="85" t="str">
        <f t="shared" si="1"/>
        <v>-</v>
      </c>
      <c r="E850" s="7" t="s">
        <v>11</v>
      </c>
      <c r="F850" s="86"/>
      <c r="G850" s="7"/>
      <c r="H850" s="11"/>
      <c r="I850" s="7" t="s">
        <v>13</v>
      </c>
      <c r="J850" s="33"/>
    </row>
    <row r="851">
      <c r="A851" s="84" t="s">
        <v>337</v>
      </c>
      <c r="B851" s="11"/>
      <c r="C851" s="85" t="s">
        <v>11</v>
      </c>
      <c r="D851" s="85" t="str">
        <f t="shared" si="1"/>
        <v>-</v>
      </c>
      <c r="E851" s="7" t="s">
        <v>11</v>
      </c>
      <c r="F851" s="86"/>
      <c r="G851" s="7"/>
      <c r="H851" s="11"/>
      <c r="I851" s="7" t="s">
        <v>13</v>
      </c>
      <c r="J851" s="33"/>
    </row>
    <row r="852">
      <c r="A852" s="84" t="s">
        <v>337</v>
      </c>
      <c r="B852" s="11"/>
      <c r="C852" s="85" t="s">
        <v>11</v>
      </c>
      <c r="D852" s="85" t="str">
        <f t="shared" si="1"/>
        <v>-</v>
      </c>
      <c r="E852" s="7" t="s">
        <v>11</v>
      </c>
      <c r="F852" s="86"/>
      <c r="G852" s="7"/>
      <c r="H852" s="11"/>
      <c r="I852" s="7" t="s">
        <v>13</v>
      </c>
      <c r="J852" s="33"/>
    </row>
    <row r="853">
      <c r="A853" s="84" t="s">
        <v>337</v>
      </c>
      <c r="B853" s="11"/>
      <c r="C853" s="85" t="s">
        <v>11</v>
      </c>
      <c r="D853" s="85" t="str">
        <f t="shared" si="1"/>
        <v>-</v>
      </c>
      <c r="E853" s="7" t="s">
        <v>11</v>
      </c>
      <c r="F853" s="86"/>
      <c r="G853" s="7"/>
      <c r="H853" s="11"/>
      <c r="I853" s="7" t="s">
        <v>13</v>
      </c>
      <c r="J853" s="33"/>
    </row>
    <row r="854">
      <c r="A854" s="84" t="s">
        <v>337</v>
      </c>
      <c r="B854" s="11"/>
      <c r="C854" s="85" t="s">
        <v>11</v>
      </c>
      <c r="D854" s="85" t="str">
        <f t="shared" si="1"/>
        <v>-</v>
      </c>
      <c r="E854" s="7" t="s">
        <v>11</v>
      </c>
      <c r="F854" s="86"/>
      <c r="G854" s="7"/>
      <c r="H854" s="11"/>
      <c r="I854" s="7" t="s">
        <v>13</v>
      </c>
      <c r="J854" s="33"/>
    </row>
    <row r="855">
      <c r="A855" s="84" t="s">
        <v>337</v>
      </c>
      <c r="B855" s="11"/>
      <c r="C855" s="85" t="s">
        <v>11</v>
      </c>
      <c r="D855" s="85" t="str">
        <f t="shared" si="1"/>
        <v>-</v>
      </c>
      <c r="E855" s="7" t="s">
        <v>11</v>
      </c>
      <c r="F855" s="86"/>
      <c r="G855" s="7"/>
      <c r="H855" s="11"/>
      <c r="I855" s="7" t="s">
        <v>13</v>
      </c>
      <c r="J855" s="33"/>
    </row>
    <row r="856">
      <c r="A856" s="84" t="s">
        <v>337</v>
      </c>
      <c r="B856" s="11"/>
      <c r="C856" s="85" t="s">
        <v>11</v>
      </c>
      <c r="D856" s="85" t="str">
        <f t="shared" si="1"/>
        <v>-</v>
      </c>
      <c r="E856" s="7" t="s">
        <v>11</v>
      </c>
      <c r="F856" s="86"/>
      <c r="G856" s="7"/>
      <c r="H856" s="11"/>
      <c r="I856" s="7" t="s">
        <v>13</v>
      </c>
      <c r="J856" s="33"/>
    </row>
    <row r="857">
      <c r="A857" s="84" t="s">
        <v>337</v>
      </c>
      <c r="B857" s="11"/>
      <c r="C857" s="85" t="s">
        <v>11</v>
      </c>
      <c r="D857" s="85" t="str">
        <f t="shared" si="1"/>
        <v>-</v>
      </c>
      <c r="E857" s="7" t="s">
        <v>11</v>
      </c>
      <c r="F857" s="86"/>
      <c r="G857" s="7"/>
      <c r="H857" s="11"/>
      <c r="I857" s="7" t="s">
        <v>13</v>
      </c>
      <c r="J857" s="33"/>
    </row>
    <row r="858">
      <c r="A858" s="84" t="s">
        <v>337</v>
      </c>
      <c r="B858" s="11"/>
      <c r="C858" s="85" t="s">
        <v>11</v>
      </c>
      <c r="D858" s="85" t="str">
        <f t="shared" si="1"/>
        <v>-</v>
      </c>
      <c r="E858" s="7" t="s">
        <v>11</v>
      </c>
      <c r="F858" s="86"/>
      <c r="G858" s="7"/>
      <c r="H858" s="11"/>
      <c r="I858" s="7" t="s">
        <v>13</v>
      </c>
      <c r="J858" s="33"/>
    </row>
    <row r="859">
      <c r="A859" s="84" t="s">
        <v>337</v>
      </c>
      <c r="B859" s="11"/>
      <c r="C859" s="85" t="s">
        <v>11</v>
      </c>
      <c r="D859" s="85" t="str">
        <f t="shared" si="1"/>
        <v>-</v>
      </c>
      <c r="E859" s="7" t="s">
        <v>11</v>
      </c>
      <c r="F859" s="86"/>
      <c r="G859" s="7"/>
      <c r="H859" s="11"/>
      <c r="I859" s="7" t="s">
        <v>13</v>
      </c>
      <c r="J859" s="33"/>
    </row>
    <row r="860">
      <c r="A860" s="84" t="s">
        <v>337</v>
      </c>
      <c r="B860" s="11"/>
      <c r="C860" s="85" t="s">
        <v>11</v>
      </c>
      <c r="D860" s="85" t="str">
        <f t="shared" si="1"/>
        <v>-</v>
      </c>
      <c r="E860" s="7" t="s">
        <v>11</v>
      </c>
      <c r="F860" s="86"/>
      <c r="G860" s="7"/>
      <c r="H860" s="11"/>
      <c r="I860" s="7" t="s">
        <v>13</v>
      </c>
      <c r="J860" s="33"/>
    </row>
    <row r="861">
      <c r="A861" s="84" t="s">
        <v>337</v>
      </c>
      <c r="B861" s="11"/>
      <c r="C861" s="85" t="s">
        <v>11</v>
      </c>
      <c r="D861" s="85" t="str">
        <f t="shared" si="1"/>
        <v>-</v>
      </c>
      <c r="E861" s="7" t="s">
        <v>11</v>
      </c>
      <c r="F861" s="86"/>
      <c r="G861" s="7"/>
      <c r="H861" s="11"/>
      <c r="I861" s="7" t="s">
        <v>13</v>
      </c>
      <c r="J861" s="33"/>
    </row>
    <row r="862">
      <c r="A862" s="84" t="s">
        <v>337</v>
      </c>
      <c r="B862" s="11"/>
      <c r="C862" s="85" t="s">
        <v>11</v>
      </c>
      <c r="D862" s="85" t="str">
        <f t="shared" si="1"/>
        <v>-</v>
      </c>
      <c r="E862" s="7" t="s">
        <v>11</v>
      </c>
      <c r="F862" s="86"/>
      <c r="G862" s="7"/>
      <c r="H862" s="11"/>
      <c r="I862" s="7" t="s">
        <v>13</v>
      </c>
      <c r="J862" s="33"/>
    </row>
    <row r="863">
      <c r="A863" s="84" t="s">
        <v>337</v>
      </c>
      <c r="B863" s="11"/>
      <c r="C863" s="85" t="s">
        <v>11</v>
      </c>
      <c r="D863" s="85" t="str">
        <f t="shared" si="1"/>
        <v>-</v>
      </c>
      <c r="E863" s="7" t="s">
        <v>11</v>
      </c>
      <c r="F863" s="86"/>
      <c r="G863" s="7"/>
      <c r="H863" s="11"/>
      <c r="I863" s="7" t="s">
        <v>13</v>
      </c>
      <c r="J863" s="33"/>
    </row>
    <row r="864">
      <c r="A864" s="84" t="s">
        <v>337</v>
      </c>
      <c r="B864" s="11"/>
      <c r="C864" s="85" t="s">
        <v>11</v>
      </c>
      <c r="D864" s="85" t="str">
        <f t="shared" si="1"/>
        <v>-</v>
      </c>
      <c r="E864" s="7" t="s">
        <v>11</v>
      </c>
      <c r="F864" s="86"/>
      <c r="G864" s="7"/>
      <c r="H864" s="11"/>
      <c r="I864" s="7" t="s">
        <v>13</v>
      </c>
      <c r="J864" s="33"/>
    </row>
    <row r="865">
      <c r="A865" s="84" t="s">
        <v>337</v>
      </c>
      <c r="B865" s="11"/>
      <c r="C865" s="85" t="s">
        <v>11</v>
      </c>
      <c r="D865" s="85" t="str">
        <f t="shared" si="1"/>
        <v>-</v>
      </c>
      <c r="E865" s="7" t="s">
        <v>11</v>
      </c>
      <c r="F865" s="86"/>
      <c r="G865" s="7"/>
      <c r="H865" s="11"/>
      <c r="I865" s="7" t="s">
        <v>13</v>
      </c>
      <c r="J865" s="33"/>
    </row>
    <row r="866">
      <c r="A866" s="84" t="s">
        <v>337</v>
      </c>
      <c r="B866" s="11"/>
      <c r="C866" s="85" t="s">
        <v>11</v>
      </c>
      <c r="D866" s="85" t="str">
        <f t="shared" si="1"/>
        <v>-</v>
      </c>
      <c r="E866" s="7" t="s">
        <v>11</v>
      </c>
      <c r="F866" s="86"/>
      <c r="G866" s="7"/>
      <c r="H866" s="11"/>
      <c r="I866" s="7" t="s">
        <v>13</v>
      </c>
      <c r="J866" s="33"/>
    </row>
    <row r="867">
      <c r="A867" s="84" t="s">
        <v>337</v>
      </c>
      <c r="B867" s="11"/>
      <c r="C867" s="85" t="s">
        <v>11</v>
      </c>
      <c r="D867" s="85" t="str">
        <f t="shared" si="1"/>
        <v>-</v>
      </c>
      <c r="E867" s="7" t="s">
        <v>11</v>
      </c>
      <c r="F867" s="86"/>
      <c r="G867" s="7"/>
      <c r="H867" s="11"/>
      <c r="I867" s="7" t="s">
        <v>13</v>
      </c>
      <c r="J867" s="33"/>
    </row>
    <row r="868">
      <c r="A868" s="84" t="s">
        <v>337</v>
      </c>
      <c r="B868" s="11"/>
      <c r="C868" s="85" t="s">
        <v>11</v>
      </c>
      <c r="D868" s="85" t="str">
        <f t="shared" si="1"/>
        <v>-</v>
      </c>
      <c r="E868" s="7" t="s">
        <v>11</v>
      </c>
      <c r="F868" s="86"/>
      <c r="G868" s="7"/>
      <c r="H868" s="11"/>
      <c r="I868" s="7" t="s">
        <v>13</v>
      </c>
      <c r="J868" s="33"/>
    </row>
    <row r="869">
      <c r="A869" s="84" t="s">
        <v>337</v>
      </c>
      <c r="B869" s="11"/>
      <c r="C869" s="85" t="s">
        <v>11</v>
      </c>
      <c r="D869" s="85" t="str">
        <f t="shared" si="1"/>
        <v>-</v>
      </c>
      <c r="E869" s="7" t="s">
        <v>11</v>
      </c>
      <c r="F869" s="86"/>
      <c r="G869" s="7"/>
      <c r="H869" s="11"/>
      <c r="I869" s="7" t="s">
        <v>13</v>
      </c>
      <c r="J869" s="33"/>
    </row>
    <row r="870">
      <c r="A870" s="84" t="s">
        <v>337</v>
      </c>
      <c r="B870" s="11"/>
      <c r="C870" s="85" t="s">
        <v>11</v>
      </c>
      <c r="D870" s="85" t="str">
        <f t="shared" si="1"/>
        <v>-</v>
      </c>
      <c r="E870" s="7" t="s">
        <v>11</v>
      </c>
      <c r="F870" s="86"/>
      <c r="G870" s="7"/>
      <c r="H870" s="11"/>
      <c r="I870" s="7" t="s">
        <v>13</v>
      </c>
      <c r="J870" s="33"/>
    </row>
    <row r="871">
      <c r="A871" s="84" t="s">
        <v>337</v>
      </c>
      <c r="B871" s="11"/>
      <c r="C871" s="85" t="s">
        <v>11</v>
      </c>
      <c r="D871" s="85" t="str">
        <f t="shared" si="1"/>
        <v>-</v>
      </c>
      <c r="E871" s="7" t="s">
        <v>11</v>
      </c>
      <c r="F871" s="86"/>
      <c r="G871" s="7"/>
      <c r="H871" s="11"/>
      <c r="I871" s="7" t="s">
        <v>13</v>
      </c>
      <c r="J871" s="33"/>
    </row>
    <row r="872">
      <c r="A872" s="84" t="s">
        <v>337</v>
      </c>
      <c r="B872" s="11"/>
      <c r="C872" s="85" t="s">
        <v>11</v>
      </c>
      <c r="D872" s="85" t="str">
        <f t="shared" si="1"/>
        <v>-</v>
      </c>
      <c r="E872" s="7" t="s">
        <v>11</v>
      </c>
      <c r="F872" s="86"/>
      <c r="G872" s="7"/>
      <c r="H872" s="11"/>
      <c r="I872" s="7" t="s">
        <v>13</v>
      </c>
      <c r="J872" s="33"/>
    </row>
    <row r="873">
      <c r="A873" s="84" t="s">
        <v>337</v>
      </c>
      <c r="B873" s="11"/>
      <c r="C873" s="85" t="s">
        <v>11</v>
      </c>
      <c r="D873" s="85" t="str">
        <f t="shared" si="1"/>
        <v>-</v>
      </c>
      <c r="E873" s="7" t="s">
        <v>11</v>
      </c>
      <c r="F873" s="86"/>
      <c r="G873" s="7"/>
      <c r="H873" s="11"/>
      <c r="I873" s="7" t="s">
        <v>13</v>
      </c>
      <c r="J873" s="33"/>
    </row>
    <row r="874">
      <c r="A874" s="84" t="s">
        <v>337</v>
      </c>
      <c r="B874" s="11"/>
      <c r="C874" s="85" t="s">
        <v>11</v>
      </c>
      <c r="D874" s="85" t="str">
        <f t="shared" si="1"/>
        <v>-</v>
      </c>
      <c r="E874" s="7" t="s">
        <v>11</v>
      </c>
      <c r="F874" s="86"/>
      <c r="G874" s="7"/>
      <c r="H874" s="11"/>
      <c r="I874" s="7" t="s">
        <v>13</v>
      </c>
      <c r="J874" s="33"/>
    </row>
    <row r="875">
      <c r="A875" s="84" t="s">
        <v>337</v>
      </c>
      <c r="B875" s="11"/>
      <c r="C875" s="85" t="s">
        <v>11</v>
      </c>
      <c r="D875" s="85" t="str">
        <f t="shared" si="1"/>
        <v>-</v>
      </c>
      <c r="E875" s="7" t="s">
        <v>11</v>
      </c>
      <c r="F875" s="86"/>
      <c r="G875" s="7"/>
      <c r="H875" s="11"/>
      <c r="I875" s="7" t="s">
        <v>13</v>
      </c>
      <c r="J875" s="33"/>
    </row>
    <row r="876">
      <c r="A876" s="84" t="s">
        <v>337</v>
      </c>
      <c r="B876" s="11"/>
      <c r="C876" s="85" t="s">
        <v>11</v>
      </c>
      <c r="D876" s="85" t="str">
        <f t="shared" si="1"/>
        <v>-</v>
      </c>
      <c r="E876" s="7" t="s">
        <v>11</v>
      </c>
      <c r="F876" s="86"/>
      <c r="G876" s="7"/>
      <c r="H876" s="11"/>
      <c r="I876" s="7" t="s">
        <v>13</v>
      </c>
      <c r="J876" s="33"/>
    </row>
    <row r="877">
      <c r="A877" s="84" t="s">
        <v>337</v>
      </c>
      <c r="B877" s="11"/>
      <c r="C877" s="85" t="s">
        <v>11</v>
      </c>
      <c r="D877" s="85" t="str">
        <f t="shared" si="1"/>
        <v>-</v>
      </c>
      <c r="E877" s="7" t="s">
        <v>11</v>
      </c>
      <c r="F877" s="86"/>
      <c r="G877" s="7"/>
      <c r="H877" s="11"/>
      <c r="I877" s="7" t="s">
        <v>13</v>
      </c>
      <c r="J877" s="33"/>
    </row>
    <row r="878">
      <c r="A878" s="84" t="s">
        <v>337</v>
      </c>
      <c r="B878" s="11"/>
      <c r="C878" s="85" t="s">
        <v>11</v>
      </c>
      <c r="D878" s="85" t="str">
        <f t="shared" si="1"/>
        <v>-</v>
      </c>
      <c r="E878" s="7" t="s">
        <v>11</v>
      </c>
      <c r="F878" s="86"/>
      <c r="G878" s="7"/>
      <c r="H878" s="11"/>
      <c r="I878" s="7" t="s">
        <v>13</v>
      </c>
      <c r="J878" s="33"/>
    </row>
    <row r="879">
      <c r="A879" s="84" t="s">
        <v>337</v>
      </c>
      <c r="B879" s="11"/>
      <c r="C879" s="85" t="s">
        <v>11</v>
      </c>
      <c r="D879" s="85" t="str">
        <f t="shared" si="1"/>
        <v>-</v>
      </c>
      <c r="E879" s="7" t="s">
        <v>11</v>
      </c>
      <c r="F879" s="86"/>
      <c r="G879" s="7"/>
      <c r="H879" s="11"/>
      <c r="I879" s="7" t="s">
        <v>13</v>
      </c>
      <c r="J879" s="33"/>
    </row>
    <row r="880">
      <c r="A880" s="84" t="s">
        <v>337</v>
      </c>
      <c r="B880" s="11"/>
      <c r="C880" s="85" t="s">
        <v>11</v>
      </c>
      <c r="D880" s="85" t="str">
        <f t="shared" si="1"/>
        <v>-</v>
      </c>
      <c r="E880" s="7" t="s">
        <v>11</v>
      </c>
      <c r="F880" s="86"/>
      <c r="G880" s="7"/>
      <c r="H880" s="11"/>
      <c r="I880" s="7" t="s">
        <v>13</v>
      </c>
      <c r="J880" s="33"/>
    </row>
    <row r="881">
      <c r="A881" s="84" t="s">
        <v>337</v>
      </c>
      <c r="B881" s="11"/>
      <c r="C881" s="85" t="s">
        <v>11</v>
      </c>
      <c r="D881" s="85" t="str">
        <f t="shared" si="1"/>
        <v>-</v>
      </c>
      <c r="E881" s="7" t="s">
        <v>11</v>
      </c>
      <c r="F881" s="86"/>
      <c r="G881" s="7"/>
      <c r="H881" s="11"/>
      <c r="I881" s="7" t="s">
        <v>13</v>
      </c>
      <c r="J881" s="33"/>
    </row>
    <row r="882">
      <c r="A882" s="84" t="s">
        <v>337</v>
      </c>
      <c r="B882" s="11"/>
      <c r="C882" s="85" t="s">
        <v>11</v>
      </c>
      <c r="D882" s="85" t="str">
        <f t="shared" si="1"/>
        <v>-</v>
      </c>
      <c r="E882" s="7" t="s">
        <v>11</v>
      </c>
      <c r="F882" s="86"/>
      <c r="G882" s="7"/>
      <c r="H882" s="11"/>
      <c r="I882" s="7" t="s">
        <v>13</v>
      </c>
      <c r="J882" s="33"/>
    </row>
    <row r="883">
      <c r="A883" s="84" t="s">
        <v>337</v>
      </c>
      <c r="B883" s="11"/>
      <c r="C883" s="85" t="s">
        <v>11</v>
      </c>
      <c r="D883" s="85" t="str">
        <f t="shared" si="1"/>
        <v>-</v>
      </c>
      <c r="E883" s="7" t="s">
        <v>11</v>
      </c>
      <c r="F883" s="86"/>
      <c r="G883" s="7"/>
      <c r="H883" s="11"/>
      <c r="I883" s="7" t="s">
        <v>13</v>
      </c>
      <c r="J883" s="33"/>
    </row>
    <row r="884">
      <c r="A884" s="84" t="s">
        <v>337</v>
      </c>
      <c r="B884" s="11"/>
      <c r="C884" s="85" t="s">
        <v>11</v>
      </c>
      <c r="D884" s="85" t="str">
        <f t="shared" si="1"/>
        <v>-</v>
      </c>
      <c r="E884" s="7" t="s">
        <v>11</v>
      </c>
      <c r="F884" s="86"/>
      <c r="G884" s="7"/>
      <c r="H884" s="11"/>
      <c r="I884" s="7" t="s">
        <v>13</v>
      </c>
      <c r="J884" s="33"/>
    </row>
    <row r="885">
      <c r="A885" s="84" t="s">
        <v>337</v>
      </c>
      <c r="B885" s="11"/>
      <c r="C885" s="85" t="s">
        <v>11</v>
      </c>
      <c r="D885" s="85" t="str">
        <f t="shared" si="1"/>
        <v>-</v>
      </c>
      <c r="E885" s="7" t="s">
        <v>11</v>
      </c>
      <c r="F885" s="86"/>
      <c r="G885" s="7"/>
      <c r="H885" s="11"/>
      <c r="I885" s="7" t="s">
        <v>13</v>
      </c>
      <c r="J885" s="33"/>
    </row>
    <row r="886">
      <c r="A886" s="84" t="s">
        <v>337</v>
      </c>
      <c r="B886" s="11"/>
      <c r="C886" s="85" t="s">
        <v>11</v>
      </c>
      <c r="D886" s="85" t="str">
        <f t="shared" si="1"/>
        <v>-</v>
      </c>
      <c r="E886" s="7" t="s">
        <v>11</v>
      </c>
      <c r="F886" s="86"/>
      <c r="G886" s="7"/>
      <c r="H886" s="11"/>
      <c r="I886" s="7" t="s">
        <v>13</v>
      </c>
      <c r="J886" s="33"/>
    </row>
    <row r="887">
      <c r="A887" s="84" t="s">
        <v>337</v>
      </c>
      <c r="B887" s="11"/>
      <c r="C887" s="85" t="s">
        <v>11</v>
      </c>
      <c r="D887" s="85" t="str">
        <f t="shared" si="1"/>
        <v>-</v>
      </c>
      <c r="E887" s="7" t="s">
        <v>11</v>
      </c>
      <c r="F887" s="86"/>
      <c r="G887" s="7"/>
      <c r="H887" s="11"/>
      <c r="I887" s="7" t="s">
        <v>13</v>
      </c>
      <c r="J887" s="33"/>
    </row>
    <row r="888">
      <c r="A888" s="84" t="s">
        <v>337</v>
      </c>
      <c r="B888" s="11"/>
      <c r="C888" s="85" t="s">
        <v>11</v>
      </c>
      <c r="D888" s="85" t="str">
        <f t="shared" si="1"/>
        <v>-</v>
      </c>
      <c r="E888" s="7" t="s">
        <v>11</v>
      </c>
      <c r="F888" s="86"/>
      <c r="G888" s="7"/>
      <c r="H888" s="11"/>
      <c r="I888" s="7" t="s">
        <v>13</v>
      </c>
      <c r="J888" s="33"/>
    </row>
    <row r="889">
      <c r="A889" s="84" t="s">
        <v>337</v>
      </c>
      <c r="B889" s="11"/>
      <c r="C889" s="85" t="s">
        <v>11</v>
      </c>
      <c r="D889" s="85" t="str">
        <f t="shared" si="1"/>
        <v>-</v>
      </c>
      <c r="E889" s="7" t="s">
        <v>11</v>
      </c>
      <c r="F889" s="86"/>
      <c r="G889" s="7"/>
      <c r="H889" s="11"/>
      <c r="I889" s="7" t="s">
        <v>13</v>
      </c>
      <c r="J889" s="33"/>
    </row>
    <row r="890">
      <c r="A890" s="84" t="s">
        <v>337</v>
      </c>
      <c r="B890" s="11"/>
      <c r="C890" s="85" t="s">
        <v>11</v>
      </c>
      <c r="D890" s="85" t="str">
        <f t="shared" si="1"/>
        <v>-</v>
      </c>
      <c r="E890" s="7" t="s">
        <v>11</v>
      </c>
      <c r="F890" s="86"/>
      <c r="G890" s="7"/>
      <c r="H890" s="11"/>
      <c r="I890" s="7" t="s">
        <v>13</v>
      </c>
      <c r="J890" s="33"/>
    </row>
    <row r="891">
      <c r="A891" s="84" t="s">
        <v>337</v>
      </c>
      <c r="B891" s="11"/>
      <c r="C891" s="85" t="s">
        <v>11</v>
      </c>
      <c r="D891" s="85" t="str">
        <f t="shared" si="1"/>
        <v>-</v>
      </c>
      <c r="E891" s="7" t="s">
        <v>11</v>
      </c>
      <c r="F891" s="86"/>
      <c r="G891" s="7"/>
      <c r="H891" s="11"/>
      <c r="I891" s="7" t="s">
        <v>13</v>
      </c>
      <c r="J891" s="33"/>
    </row>
    <row r="892">
      <c r="A892" s="84" t="s">
        <v>337</v>
      </c>
      <c r="B892" s="11"/>
      <c r="C892" s="85" t="s">
        <v>11</v>
      </c>
      <c r="D892" s="85" t="str">
        <f t="shared" si="1"/>
        <v>-</v>
      </c>
      <c r="E892" s="7" t="s">
        <v>11</v>
      </c>
      <c r="F892" s="86"/>
      <c r="G892" s="7"/>
      <c r="H892" s="11"/>
      <c r="I892" s="7" t="s">
        <v>13</v>
      </c>
      <c r="J892" s="33"/>
    </row>
    <row r="893">
      <c r="A893" s="84" t="s">
        <v>337</v>
      </c>
      <c r="B893" s="11"/>
      <c r="C893" s="85" t="s">
        <v>11</v>
      </c>
      <c r="D893" s="85" t="str">
        <f t="shared" si="1"/>
        <v>-</v>
      </c>
      <c r="E893" s="7" t="s">
        <v>11</v>
      </c>
      <c r="F893" s="86"/>
      <c r="G893" s="7"/>
      <c r="H893" s="11"/>
      <c r="I893" s="7" t="s">
        <v>13</v>
      </c>
      <c r="J893" s="33"/>
    </row>
    <row r="894">
      <c r="A894" s="84" t="s">
        <v>337</v>
      </c>
      <c r="B894" s="11"/>
      <c r="C894" s="85" t="s">
        <v>11</v>
      </c>
      <c r="D894" s="85" t="str">
        <f t="shared" si="1"/>
        <v>-</v>
      </c>
      <c r="E894" s="7" t="s">
        <v>11</v>
      </c>
      <c r="F894" s="86"/>
      <c r="G894" s="7"/>
      <c r="H894" s="11"/>
      <c r="I894" s="7" t="s">
        <v>13</v>
      </c>
      <c r="J894" s="33"/>
    </row>
    <row r="895">
      <c r="A895" s="84" t="s">
        <v>337</v>
      </c>
      <c r="B895" s="11"/>
      <c r="C895" s="85" t="s">
        <v>11</v>
      </c>
      <c r="D895" s="85" t="str">
        <f t="shared" si="1"/>
        <v>-</v>
      </c>
      <c r="E895" s="7" t="s">
        <v>11</v>
      </c>
      <c r="F895" s="86"/>
      <c r="G895" s="7"/>
      <c r="H895" s="11"/>
      <c r="I895" s="7" t="s">
        <v>13</v>
      </c>
      <c r="J895" s="33"/>
    </row>
    <row r="896">
      <c r="A896" s="84" t="s">
        <v>337</v>
      </c>
      <c r="B896" s="11"/>
      <c r="C896" s="85" t="s">
        <v>11</v>
      </c>
      <c r="D896" s="85" t="str">
        <f t="shared" si="1"/>
        <v>-</v>
      </c>
      <c r="E896" s="7" t="s">
        <v>11</v>
      </c>
      <c r="F896" s="86"/>
      <c r="G896" s="7"/>
      <c r="H896" s="11"/>
      <c r="I896" s="7" t="s">
        <v>13</v>
      </c>
      <c r="J896" s="33"/>
    </row>
    <row r="897">
      <c r="A897" s="84" t="s">
        <v>337</v>
      </c>
      <c r="B897" s="11"/>
      <c r="C897" s="85" t="s">
        <v>11</v>
      </c>
      <c r="D897" s="85" t="str">
        <f t="shared" si="1"/>
        <v>-</v>
      </c>
      <c r="E897" s="7" t="s">
        <v>11</v>
      </c>
      <c r="F897" s="86"/>
      <c r="G897" s="7"/>
      <c r="H897" s="11"/>
      <c r="I897" s="7" t="s">
        <v>13</v>
      </c>
      <c r="J897" s="33"/>
    </row>
    <row r="898">
      <c r="A898" s="84" t="s">
        <v>337</v>
      </c>
      <c r="B898" s="11"/>
      <c r="C898" s="85" t="s">
        <v>11</v>
      </c>
      <c r="D898" s="85" t="str">
        <f t="shared" si="1"/>
        <v>-</v>
      </c>
      <c r="E898" s="7" t="s">
        <v>11</v>
      </c>
      <c r="F898" s="86"/>
      <c r="G898" s="7"/>
      <c r="H898" s="11"/>
      <c r="I898" s="7" t="s">
        <v>13</v>
      </c>
      <c r="J898" s="33"/>
    </row>
    <row r="899">
      <c r="A899" s="84" t="s">
        <v>337</v>
      </c>
      <c r="B899" s="11"/>
      <c r="C899" s="85" t="s">
        <v>11</v>
      </c>
      <c r="D899" s="85" t="str">
        <f t="shared" si="1"/>
        <v>-</v>
      </c>
      <c r="E899" s="7" t="s">
        <v>11</v>
      </c>
      <c r="F899" s="86"/>
      <c r="G899" s="7"/>
      <c r="H899" s="11"/>
      <c r="I899" s="7" t="s">
        <v>13</v>
      </c>
      <c r="J899" s="33"/>
    </row>
    <row r="900">
      <c r="A900" s="84" t="s">
        <v>337</v>
      </c>
      <c r="B900" s="11"/>
      <c r="C900" s="85" t="s">
        <v>11</v>
      </c>
      <c r="D900" s="85" t="str">
        <f t="shared" si="1"/>
        <v>-</v>
      </c>
      <c r="E900" s="7" t="s">
        <v>11</v>
      </c>
      <c r="F900" s="86"/>
      <c r="G900" s="7"/>
      <c r="H900" s="11"/>
      <c r="I900" s="7" t="s">
        <v>13</v>
      </c>
      <c r="J900" s="33"/>
    </row>
    <row r="901">
      <c r="A901" s="84" t="s">
        <v>337</v>
      </c>
      <c r="B901" s="11"/>
      <c r="C901" s="85" t="s">
        <v>11</v>
      </c>
      <c r="D901" s="85" t="str">
        <f t="shared" si="1"/>
        <v>-</v>
      </c>
      <c r="E901" s="7" t="s">
        <v>11</v>
      </c>
      <c r="F901" s="86"/>
      <c r="G901" s="7"/>
      <c r="H901" s="11"/>
      <c r="I901" s="7" t="s">
        <v>13</v>
      </c>
      <c r="J901" s="33"/>
    </row>
    <row r="902">
      <c r="A902" s="84" t="s">
        <v>337</v>
      </c>
      <c r="B902" s="11"/>
      <c r="C902" s="85" t="s">
        <v>11</v>
      </c>
      <c r="D902" s="85" t="str">
        <f t="shared" si="1"/>
        <v>-</v>
      </c>
      <c r="E902" s="7" t="s">
        <v>11</v>
      </c>
      <c r="F902" s="86"/>
      <c r="G902" s="7"/>
      <c r="H902" s="11"/>
      <c r="I902" s="7" t="s">
        <v>13</v>
      </c>
      <c r="J902" s="33"/>
    </row>
    <row r="903">
      <c r="A903" s="84" t="s">
        <v>337</v>
      </c>
      <c r="B903" s="11"/>
      <c r="C903" s="85" t="s">
        <v>11</v>
      </c>
      <c r="D903" s="85" t="str">
        <f t="shared" si="1"/>
        <v>-</v>
      </c>
      <c r="E903" s="7" t="s">
        <v>11</v>
      </c>
      <c r="F903" s="86"/>
      <c r="G903" s="7"/>
      <c r="H903" s="11"/>
      <c r="I903" s="7" t="s">
        <v>13</v>
      </c>
      <c r="J903" s="33"/>
    </row>
    <row r="904">
      <c r="A904" s="84" t="s">
        <v>337</v>
      </c>
      <c r="B904" s="11"/>
      <c r="C904" s="85" t="s">
        <v>11</v>
      </c>
      <c r="D904" s="85" t="str">
        <f t="shared" si="1"/>
        <v>-</v>
      </c>
      <c r="E904" s="7" t="s">
        <v>11</v>
      </c>
      <c r="F904" s="86"/>
      <c r="G904" s="7"/>
      <c r="H904" s="11"/>
      <c r="I904" s="7" t="s">
        <v>13</v>
      </c>
      <c r="J904" s="33"/>
    </row>
    <row r="905">
      <c r="A905" s="84" t="s">
        <v>337</v>
      </c>
      <c r="B905" s="11"/>
      <c r="C905" s="85" t="s">
        <v>11</v>
      </c>
      <c r="D905" s="85" t="str">
        <f t="shared" si="1"/>
        <v>-</v>
      </c>
      <c r="E905" s="7" t="s">
        <v>11</v>
      </c>
      <c r="F905" s="86"/>
      <c r="G905" s="7"/>
      <c r="H905" s="11"/>
      <c r="I905" s="7" t="s">
        <v>13</v>
      </c>
      <c r="J905" s="33"/>
    </row>
    <row r="906">
      <c r="A906" s="84" t="s">
        <v>337</v>
      </c>
      <c r="B906" s="11"/>
      <c r="C906" s="85" t="s">
        <v>11</v>
      </c>
      <c r="D906" s="85" t="str">
        <f t="shared" si="1"/>
        <v>-</v>
      </c>
      <c r="E906" s="7" t="s">
        <v>11</v>
      </c>
      <c r="F906" s="86"/>
      <c r="G906" s="7"/>
      <c r="H906" s="11"/>
      <c r="I906" s="7" t="s">
        <v>13</v>
      </c>
      <c r="J906" s="33"/>
    </row>
    <row r="907">
      <c r="A907" s="84" t="s">
        <v>337</v>
      </c>
      <c r="B907" s="11"/>
      <c r="C907" s="85" t="s">
        <v>11</v>
      </c>
      <c r="D907" s="85" t="str">
        <f t="shared" si="1"/>
        <v>-</v>
      </c>
      <c r="E907" s="7" t="s">
        <v>11</v>
      </c>
      <c r="F907" s="86"/>
      <c r="G907" s="7"/>
      <c r="H907" s="11"/>
      <c r="I907" s="7" t="s">
        <v>13</v>
      </c>
      <c r="J907" s="33"/>
    </row>
    <row r="908">
      <c r="A908" s="84" t="s">
        <v>337</v>
      </c>
      <c r="B908" s="11"/>
      <c r="C908" s="85" t="s">
        <v>11</v>
      </c>
      <c r="D908" s="85" t="str">
        <f t="shared" si="1"/>
        <v>-</v>
      </c>
      <c r="E908" s="7" t="s">
        <v>11</v>
      </c>
      <c r="F908" s="86"/>
      <c r="G908" s="7"/>
      <c r="H908" s="11"/>
      <c r="I908" s="7" t="s">
        <v>13</v>
      </c>
      <c r="J908" s="33"/>
    </row>
    <row r="909">
      <c r="A909" s="84" t="s">
        <v>337</v>
      </c>
      <c r="B909" s="11"/>
      <c r="C909" s="85" t="s">
        <v>11</v>
      </c>
      <c r="D909" s="85" t="str">
        <f t="shared" si="1"/>
        <v>-</v>
      </c>
      <c r="E909" s="7" t="s">
        <v>11</v>
      </c>
      <c r="F909" s="86"/>
      <c r="G909" s="7"/>
      <c r="H909" s="11"/>
      <c r="I909" s="7" t="s">
        <v>13</v>
      </c>
      <c r="J909" s="33"/>
    </row>
    <row r="910">
      <c r="A910" s="84" t="s">
        <v>337</v>
      </c>
      <c r="B910" s="11"/>
      <c r="C910" s="85" t="s">
        <v>11</v>
      </c>
      <c r="D910" s="85" t="str">
        <f t="shared" si="1"/>
        <v>-</v>
      </c>
      <c r="E910" s="7" t="s">
        <v>11</v>
      </c>
      <c r="F910" s="86"/>
      <c r="G910" s="7"/>
      <c r="H910" s="11"/>
      <c r="I910" s="7" t="s">
        <v>13</v>
      </c>
      <c r="J910" s="33"/>
    </row>
    <row r="911">
      <c r="A911" s="84" t="s">
        <v>337</v>
      </c>
      <c r="B911" s="11"/>
      <c r="C911" s="85" t="s">
        <v>11</v>
      </c>
      <c r="D911" s="85" t="str">
        <f t="shared" si="1"/>
        <v>-</v>
      </c>
      <c r="E911" s="7" t="s">
        <v>11</v>
      </c>
      <c r="F911" s="86"/>
      <c r="G911" s="7"/>
      <c r="H911" s="11"/>
      <c r="I911" s="7" t="s">
        <v>13</v>
      </c>
      <c r="J911" s="33"/>
    </row>
    <row r="912">
      <c r="A912" s="84" t="s">
        <v>337</v>
      </c>
      <c r="B912" s="11"/>
      <c r="C912" s="85"/>
      <c r="D912" s="85"/>
      <c r="E912" s="7"/>
      <c r="F912" s="86"/>
      <c r="G912" s="7"/>
      <c r="H912" s="11"/>
      <c r="I912" s="7"/>
      <c r="J912" s="33"/>
    </row>
  </sheetData>
  <mergeCells count="2">
    <mergeCell ref="A1:H1"/>
    <mergeCell ref="I1:J1"/>
  </mergeCells>
  <conditionalFormatting sqref="G3:G912">
    <cfRule type="cellIs" dxfId="8" priority="1" operator="equal">
      <formula>"Mairie"</formula>
    </cfRule>
  </conditionalFormatting>
  <conditionalFormatting sqref="G3:G912">
    <cfRule type="expression" dxfId="4" priority="2">
      <formula>$G3="Sur T.L."</formula>
    </cfRule>
  </conditionalFormatting>
  <conditionalFormatting sqref="G3:G912">
    <cfRule type="cellIs" dxfId="5" priority="3" operator="equal">
      <formula>"Attente R."</formula>
    </cfRule>
  </conditionalFormatting>
  <conditionalFormatting sqref="A1:J912">
    <cfRule type="containsText" dxfId="0" priority="4" operator="containsText" text="FAB A FAIRE">
      <formula>NOT(ISERROR(SEARCH(("FAB A FAIRE"),(A1))))</formula>
    </cfRule>
  </conditionalFormatting>
  <conditionalFormatting sqref="B3:H912">
    <cfRule type="expression" dxfId="1" priority="5">
      <formula>$G3="Stand-by"</formula>
    </cfRule>
  </conditionalFormatting>
  <conditionalFormatting sqref="G2:G912">
    <cfRule type="cellIs" dxfId="2" priority="6" operator="equal">
      <formula>"A faire"</formula>
    </cfRule>
  </conditionalFormatting>
  <conditionalFormatting sqref="G2:G912">
    <cfRule type="cellIs" dxfId="3" priority="7" operator="equal">
      <formula>"En cours"</formula>
    </cfRule>
  </conditionalFormatting>
  <dataValidations>
    <dataValidation type="list" allowBlank="1" sqref="G3:G912">
      <formula1>"-,A faire,En cours,Attente R.,Stand-by,Sur T.L.,Mairie,! Urgent !,A Relancer"</formula1>
    </dataValidation>
    <dataValidation type="list" allowBlank="1" sqref="E3:E912">
      <formula1>"-,M,An,Av"</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0"/>
    <col customWidth="1" min="2" max="2" width="43.38"/>
    <col customWidth="1" min="5" max="5" width="9.0"/>
    <col customWidth="1" min="6" max="6" width="6.25"/>
    <col customWidth="1" min="8" max="8" width="94.25"/>
    <col customWidth="1" min="9" max="9" width="18.88"/>
    <col customWidth="1" min="10" max="10" width="2.0"/>
  </cols>
  <sheetData>
    <row r="1">
      <c r="A1" s="87" t="s">
        <v>350</v>
      </c>
    </row>
    <row r="2">
      <c r="A2" s="88"/>
      <c r="B2" s="89"/>
      <c r="C2" s="90"/>
      <c r="D2" s="89"/>
      <c r="E2" s="89"/>
      <c r="F2" s="89"/>
      <c r="G2" s="89"/>
      <c r="H2" s="87"/>
      <c r="I2" s="89"/>
      <c r="J2" s="88"/>
    </row>
    <row r="3">
      <c r="A3" s="20" t="s">
        <v>98</v>
      </c>
      <c r="B3" s="9" t="s">
        <v>351</v>
      </c>
      <c r="C3" s="8">
        <v>46001.74126471065</v>
      </c>
      <c r="D3" s="8"/>
      <c r="E3" s="9"/>
      <c r="F3" s="10"/>
      <c r="G3" s="9" t="s">
        <v>15</v>
      </c>
      <c r="H3" s="23" t="s">
        <v>352</v>
      </c>
      <c r="I3" s="9" t="s">
        <v>353</v>
      </c>
      <c r="J3" s="88"/>
    </row>
    <row r="4">
      <c r="A4" s="20" t="s">
        <v>98</v>
      </c>
      <c r="B4" s="9" t="s">
        <v>354</v>
      </c>
      <c r="C4" s="8">
        <v>46002.60402056713</v>
      </c>
      <c r="D4" s="8"/>
      <c r="E4" s="9"/>
      <c r="F4" s="10"/>
      <c r="G4" s="9" t="s">
        <v>15</v>
      </c>
      <c r="H4" s="7" t="s">
        <v>355</v>
      </c>
      <c r="I4" s="9" t="s">
        <v>353</v>
      </c>
      <c r="J4" s="88"/>
    </row>
    <row r="5">
      <c r="A5" s="20" t="s">
        <v>98</v>
      </c>
      <c r="B5" s="9" t="s">
        <v>356</v>
      </c>
      <c r="C5" s="8">
        <v>45957.5075822338</v>
      </c>
      <c r="D5" s="8"/>
      <c r="E5" s="9"/>
      <c r="F5" s="10"/>
      <c r="G5" s="9" t="s">
        <v>15</v>
      </c>
      <c r="H5" s="7" t="s">
        <v>357</v>
      </c>
      <c r="I5" s="9" t="s">
        <v>353</v>
      </c>
      <c r="J5" s="88"/>
    </row>
    <row r="6">
      <c r="A6" s="6" t="s">
        <v>9</v>
      </c>
      <c r="B6" s="7" t="s">
        <v>358</v>
      </c>
      <c r="C6" s="8">
        <v>45978.35146229167</v>
      </c>
      <c r="D6" s="8">
        <f>IFERROR(_xlfn.WORKDAY.INTL(C6, 2),"-")</f>
        <v>45980</v>
      </c>
      <c r="E6" s="9" t="s">
        <v>11</v>
      </c>
      <c r="F6" s="10"/>
      <c r="G6" s="9" t="s">
        <v>15</v>
      </c>
      <c r="H6" s="7" t="s">
        <v>359</v>
      </c>
      <c r="I6" s="9" t="s">
        <v>353</v>
      </c>
      <c r="J6" s="88"/>
    </row>
    <row r="7">
      <c r="A7" s="20" t="s">
        <v>98</v>
      </c>
      <c r="B7" s="9" t="s">
        <v>360</v>
      </c>
      <c r="C7" s="91">
        <v>45988.728091157405</v>
      </c>
      <c r="D7" s="8"/>
      <c r="E7" s="9"/>
      <c r="F7" s="10"/>
      <c r="G7" s="9" t="s">
        <v>15</v>
      </c>
      <c r="H7" s="23" t="s">
        <v>361</v>
      </c>
      <c r="I7" s="9" t="s">
        <v>353</v>
      </c>
      <c r="J7" s="88"/>
    </row>
    <row r="8">
      <c r="A8" s="6" t="s">
        <v>9</v>
      </c>
      <c r="B8" s="7" t="s">
        <v>362</v>
      </c>
      <c r="C8" s="91">
        <v>46003.40603334491</v>
      </c>
      <c r="D8" s="8">
        <f t="shared" ref="D8:D15" si="1">IFERROR(_xlfn.WORKDAY.INTL(C8, 2),"-")</f>
        <v>46007</v>
      </c>
      <c r="E8" s="9" t="s">
        <v>11</v>
      </c>
      <c r="F8" s="10"/>
      <c r="G8" s="9" t="s">
        <v>15</v>
      </c>
      <c r="H8" s="7" t="s">
        <v>363</v>
      </c>
      <c r="I8" s="9" t="s">
        <v>353</v>
      </c>
      <c r="J8" s="88"/>
    </row>
    <row r="9">
      <c r="A9" s="6" t="s">
        <v>9</v>
      </c>
      <c r="B9" s="7" t="s">
        <v>364</v>
      </c>
      <c r="C9" s="91">
        <v>46008.36468568287</v>
      </c>
      <c r="D9" s="8">
        <f t="shared" si="1"/>
        <v>46010</v>
      </c>
      <c r="E9" s="9" t="s">
        <v>11</v>
      </c>
      <c r="F9" s="10"/>
      <c r="G9" s="9" t="s">
        <v>15</v>
      </c>
      <c r="H9" s="7" t="s">
        <v>365</v>
      </c>
      <c r="I9" s="9" t="s">
        <v>353</v>
      </c>
      <c r="J9" s="88"/>
    </row>
    <row r="10">
      <c r="A10" s="6" t="s">
        <v>9</v>
      </c>
      <c r="B10" s="7" t="s">
        <v>366</v>
      </c>
      <c r="C10" s="91">
        <v>46006.59092429398</v>
      </c>
      <c r="D10" s="8">
        <f t="shared" si="1"/>
        <v>46008</v>
      </c>
      <c r="E10" s="9" t="s">
        <v>11</v>
      </c>
      <c r="F10" s="10"/>
      <c r="G10" s="9" t="s">
        <v>15</v>
      </c>
      <c r="H10" s="7" t="s">
        <v>367</v>
      </c>
      <c r="I10" s="9" t="s">
        <v>353</v>
      </c>
      <c r="J10" s="88"/>
    </row>
    <row r="11">
      <c r="A11" s="6" t="s">
        <v>9</v>
      </c>
      <c r="B11" s="7" t="s">
        <v>368</v>
      </c>
      <c r="C11" s="91">
        <v>45985.52027201389</v>
      </c>
      <c r="D11" s="8">
        <f t="shared" si="1"/>
        <v>45987</v>
      </c>
      <c r="E11" s="9" t="s">
        <v>11</v>
      </c>
      <c r="F11" s="10"/>
      <c r="G11" s="9" t="s">
        <v>18</v>
      </c>
      <c r="H11" s="7" t="s">
        <v>369</v>
      </c>
      <c r="I11" s="9" t="s">
        <v>353</v>
      </c>
      <c r="J11" s="88"/>
    </row>
    <row r="12">
      <c r="A12" s="84" t="s">
        <v>337</v>
      </c>
      <c r="B12" s="7" t="s">
        <v>370</v>
      </c>
      <c r="C12" s="92">
        <v>46002.52380800926</v>
      </c>
      <c r="D12" s="85">
        <f t="shared" si="1"/>
        <v>46006</v>
      </c>
      <c r="E12" s="7" t="s">
        <v>11</v>
      </c>
      <c r="F12" s="86"/>
      <c r="G12" s="7" t="s">
        <v>220</v>
      </c>
      <c r="H12" s="7" t="s">
        <v>371</v>
      </c>
      <c r="I12" s="7" t="s">
        <v>353</v>
      </c>
      <c r="J12" s="88"/>
    </row>
    <row r="13">
      <c r="A13" s="6" t="s">
        <v>9</v>
      </c>
      <c r="B13" s="7" t="s">
        <v>372</v>
      </c>
      <c r="C13" s="91">
        <v>46006.66312424769</v>
      </c>
      <c r="D13" s="8">
        <f t="shared" si="1"/>
        <v>46008</v>
      </c>
      <c r="E13" s="9" t="s">
        <v>11</v>
      </c>
      <c r="F13" s="10"/>
      <c r="G13" s="9" t="s">
        <v>15</v>
      </c>
      <c r="H13" s="7" t="s">
        <v>363</v>
      </c>
      <c r="I13" s="9" t="s">
        <v>353</v>
      </c>
      <c r="J13" s="88"/>
    </row>
    <row r="14">
      <c r="A14" s="6" t="s">
        <v>9</v>
      </c>
      <c r="B14" s="7" t="s">
        <v>373</v>
      </c>
      <c r="C14" s="91">
        <v>46001.567136944446</v>
      </c>
      <c r="D14" s="8">
        <f t="shared" si="1"/>
        <v>46003</v>
      </c>
      <c r="E14" s="9" t="s">
        <v>11</v>
      </c>
      <c r="F14" s="10"/>
      <c r="G14" s="9" t="s">
        <v>15</v>
      </c>
      <c r="H14" s="7" t="s">
        <v>374</v>
      </c>
      <c r="I14" s="9" t="s">
        <v>353</v>
      </c>
      <c r="J14" s="88"/>
    </row>
    <row r="15">
      <c r="A15" s="6" t="s">
        <v>9</v>
      </c>
      <c r="B15" s="7" t="s">
        <v>375</v>
      </c>
      <c r="C15" s="91">
        <v>45919.46320150463</v>
      </c>
      <c r="D15" s="8">
        <f t="shared" si="1"/>
        <v>45923</v>
      </c>
      <c r="E15" s="9" t="s">
        <v>11</v>
      </c>
      <c r="F15" s="10"/>
      <c r="G15" s="9" t="s">
        <v>18</v>
      </c>
      <c r="H15" s="7" t="s">
        <v>376</v>
      </c>
      <c r="I15" s="9" t="s">
        <v>353</v>
      </c>
      <c r="J15" s="88"/>
    </row>
    <row r="16">
      <c r="A16" s="20" t="s">
        <v>98</v>
      </c>
      <c r="B16" s="9" t="s">
        <v>377</v>
      </c>
      <c r="C16" s="91">
        <v>46008.42165525463</v>
      </c>
      <c r="D16" s="8"/>
      <c r="E16" s="9"/>
      <c r="F16" s="10"/>
      <c r="G16" s="9" t="s">
        <v>15</v>
      </c>
      <c r="H16" s="7" t="s">
        <v>378</v>
      </c>
      <c r="I16" s="9" t="s">
        <v>353</v>
      </c>
      <c r="J16" s="88"/>
    </row>
    <row r="17">
      <c r="A17" s="6" t="s">
        <v>9</v>
      </c>
      <c r="B17" s="7" t="s">
        <v>379</v>
      </c>
      <c r="C17" s="91">
        <v>46008.43104847222</v>
      </c>
      <c r="D17" s="8">
        <f>IFERROR(_xlfn.WORKDAY.INTL(C17, 2),"-")</f>
        <v>46010</v>
      </c>
      <c r="E17" s="9" t="s">
        <v>11</v>
      </c>
      <c r="F17" s="10"/>
      <c r="G17" s="9" t="s">
        <v>15</v>
      </c>
      <c r="H17" s="7" t="s">
        <v>380</v>
      </c>
      <c r="I17" s="9" t="s">
        <v>353</v>
      </c>
      <c r="J17" s="88"/>
    </row>
    <row r="18">
      <c r="A18" s="54" t="s">
        <v>236</v>
      </c>
      <c r="B18" s="7" t="s">
        <v>381</v>
      </c>
      <c r="C18" s="91">
        <v>45999.518006122686</v>
      </c>
      <c r="D18" s="8"/>
      <c r="E18" s="9"/>
      <c r="F18" s="10"/>
      <c r="G18" s="9" t="s">
        <v>18</v>
      </c>
      <c r="H18" s="68" t="s">
        <v>382</v>
      </c>
      <c r="I18" s="9" t="s">
        <v>353</v>
      </c>
      <c r="J18" s="88"/>
    </row>
    <row r="19">
      <c r="A19" s="54" t="s">
        <v>236</v>
      </c>
      <c r="B19" s="7" t="s">
        <v>383</v>
      </c>
      <c r="C19" s="91">
        <v>45999.517839594904</v>
      </c>
      <c r="D19" s="8"/>
      <c r="E19" s="9"/>
      <c r="F19" s="10"/>
      <c r="G19" s="9" t="s">
        <v>18</v>
      </c>
      <c r="H19" s="68" t="s">
        <v>382</v>
      </c>
      <c r="I19" s="9" t="s">
        <v>353</v>
      </c>
      <c r="J19" s="88"/>
    </row>
    <row r="20">
      <c r="A20" s="54" t="s">
        <v>236</v>
      </c>
      <c r="B20" s="7" t="s">
        <v>384</v>
      </c>
      <c r="C20" s="91">
        <v>45999.51609295139</v>
      </c>
      <c r="D20" s="8"/>
      <c r="E20" s="9"/>
      <c r="F20" s="10"/>
      <c r="G20" s="9" t="s">
        <v>15</v>
      </c>
      <c r="H20" s="7" t="s">
        <v>385</v>
      </c>
      <c r="I20" s="9" t="s">
        <v>353</v>
      </c>
      <c r="J20" s="88"/>
    </row>
    <row r="21">
      <c r="A21" s="54" t="s">
        <v>236</v>
      </c>
      <c r="B21" s="7" t="s">
        <v>386</v>
      </c>
      <c r="C21" s="91">
        <v>45929.37004446759</v>
      </c>
      <c r="D21" s="8"/>
      <c r="E21" s="9"/>
      <c r="F21" s="10"/>
      <c r="G21" s="93" t="s">
        <v>21</v>
      </c>
      <c r="H21" s="60" t="s">
        <v>387</v>
      </c>
      <c r="I21" s="9" t="s">
        <v>353</v>
      </c>
      <c r="J21" s="88"/>
    </row>
    <row r="22">
      <c r="A22" s="54" t="s">
        <v>236</v>
      </c>
      <c r="B22" s="61" t="s">
        <v>388</v>
      </c>
      <c r="C22" s="91"/>
      <c r="D22" s="8"/>
      <c r="E22" s="9"/>
      <c r="F22" s="10"/>
      <c r="G22" s="9" t="s">
        <v>21</v>
      </c>
      <c r="H22" s="60" t="s">
        <v>389</v>
      </c>
      <c r="I22" s="9" t="s">
        <v>353</v>
      </c>
      <c r="J22" s="88"/>
    </row>
    <row r="23">
      <c r="A23" s="54" t="s">
        <v>236</v>
      </c>
      <c r="B23" s="7" t="s">
        <v>390</v>
      </c>
      <c r="C23" s="91">
        <v>45985.59553065972</v>
      </c>
      <c r="D23" s="8"/>
      <c r="E23" s="9"/>
      <c r="F23" s="10"/>
      <c r="G23" s="9" t="s">
        <v>15</v>
      </c>
      <c r="H23" s="7" t="s">
        <v>391</v>
      </c>
      <c r="I23" s="9" t="s">
        <v>353</v>
      </c>
      <c r="J23" s="88"/>
    </row>
    <row r="24">
      <c r="A24" s="54" t="s">
        <v>236</v>
      </c>
      <c r="B24" s="67" t="s">
        <v>392</v>
      </c>
      <c r="C24" s="91">
        <v>45779.45497162037</v>
      </c>
      <c r="D24" s="8"/>
      <c r="E24" s="9"/>
      <c r="F24" s="10"/>
      <c r="G24" s="9" t="s">
        <v>15</v>
      </c>
      <c r="H24" s="7" t="s">
        <v>393</v>
      </c>
      <c r="I24" s="9" t="s">
        <v>353</v>
      </c>
      <c r="J24" s="88"/>
    </row>
    <row r="25">
      <c r="A25" s="20" t="s">
        <v>98</v>
      </c>
      <c r="B25" s="9" t="s">
        <v>394</v>
      </c>
      <c r="C25" s="91">
        <v>46007.6259677662</v>
      </c>
      <c r="D25" s="8"/>
      <c r="E25" s="9"/>
      <c r="F25" s="10"/>
      <c r="G25" s="9" t="s">
        <v>15</v>
      </c>
      <c r="H25" s="7" t="s">
        <v>395</v>
      </c>
      <c r="I25" s="9" t="s">
        <v>353</v>
      </c>
      <c r="J25" s="88"/>
    </row>
    <row r="26">
      <c r="A26" s="20" t="s">
        <v>98</v>
      </c>
      <c r="B26" s="9" t="s">
        <v>396</v>
      </c>
      <c r="C26" s="91">
        <v>45936.43219457176</v>
      </c>
      <c r="D26" s="8"/>
      <c r="E26" s="9"/>
      <c r="F26" s="10"/>
      <c r="G26" s="9" t="s">
        <v>15</v>
      </c>
      <c r="H26" s="7" t="s">
        <v>397</v>
      </c>
      <c r="I26" s="9" t="s">
        <v>353</v>
      </c>
      <c r="J26" s="88"/>
    </row>
    <row r="27">
      <c r="A27" s="20" t="s">
        <v>98</v>
      </c>
      <c r="B27" s="9" t="s">
        <v>398</v>
      </c>
      <c r="C27" s="91">
        <v>46006.68340003472</v>
      </c>
      <c r="D27" s="8"/>
      <c r="E27" s="9"/>
      <c r="F27" s="10"/>
      <c r="G27" s="9" t="s">
        <v>15</v>
      </c>
      <c r="H27" s="7" t="s">
        <v>121</v>
      </c>
      <c r="I27" s="9" t="s">
        <v>353</v>
      </c>
      <c r="J27" s="88"/>
    </row>
    <row r="28">
      <c r="A28" s="20" t="s">
        <v>98</v>
      </c>
      <c r="B28" s="9" t="s">
        <v>399</v>
      </c>
      <c r="C28" s="91">
        <v>45943.38839061343</v>
      </c>
      <c r="D28" s="8"/>
      <c r="E28" s="9"/>
      <c r="F28" s="10"/>
      <c r="G28" s="9" t="s">
        <v>21</v>
      </c>
      <c r="H28" s="22" t="s">
        <v>400</v>
      </c>
      <c r="I28" s="9" t="s">
        <v>353</v>
      </c>
      <c r="J28" s="88"/>
    </row>
    <row r="29">
      <c r="A29" s="6" t="s">
        <v>9</v>
      </c>
      <c r="B29" s="7" t="s">
        <v>401</v>
      </c>
      <c r="C29" s="91">
        <v>45981.44695799769</v>
      </c>
      <c r="D29" s="8">
        <f>IFERROR(_xlfn.WORKDAY.INTL(C29, 2),"-")</f>
        <v>45985</v>
      </c>
      <c r="E29" s="9" t="s">
        <v>11</v>
      </c>
      <c r="F29" s="10"/>
      <c r="G29" s="9" t="s">
        <v>15</v>
      </c>
      <c r="H29" s="7" t="s">
        <v>402</v>
      </c>
      <c r="I29" s="9" t="s">
        <v>353</v>
      </c>
      <c r="J29" s="88"/>
    </row>
    <row r="30">
      <c r="A30" s="20" t="s">
        <v>98</v>
      </c>
      <c r="B30" s="9" t="s">
        <v>403</v>
      </c>
      <c r="C30" s="91">
        <v>46002.603819710646</v>
      </c>
      <c r="D30" s="8"/>
      <c r="E30" s="9"/>
      <c r="F30" s="10"/>
      <c r="G30" s="9" t="s">
        <v>15</v>
      </c>
      <c r="H30" s="7" t="s">
        <v>404</v>
      </c>
      <c r="I30" s="9" t="s">
        <v>353</v>
      </c>
      <c r="J30" s="88"/>
    </row>
    <row r="31">
      <c r="A31" s="20" t="s">
        <v>98</v>
      </c>
      <c r="B31" s="9" t="s">
        <v>405</v>
      </c>
      <c r="C31" s="91">
        <v>45988.72823552083</v>
      </c>
      <c r="D31" s="8"/>
      <c r="E31" s="9"/>
      <c r="F31" s="10"/>
      <c r="G31" s="9" t="s">
        <v>15</v>
      </c>
      <c r="H31" s="23" t="s">
        <v>406</v>
      </c>
      <c r="I31" s="9" t="s">
        <v>353</v>
      </c>
      <c r="J31" s="88"/>
    </row>
    <row r="32">
      <c r="A32" s="20" t="s">
        <v>98</v>
      </c>
      <c r="B32" s="9" t="s">
        <v>407</v>
      </c>
      <c r="C32" s="91">
        <v>45966.683410046295</v>
      </c>
      <c r="D32" s="8"/>
      <c r="E32" s="9"/>
      <c r="F32" s="10"/>
      <c r="G32" s="9" t="s">
        <v>15</v>
      </c>
      <c r="H32" s="7" t="s">
        <v>408</v>
      </c>
      <c r="I32" s="9" t="s">
        <v>353</v>
      </c>
      <c r="J32" s="88"/>
    </row>
    <row r="33">
      <c r="A33" s="6" t="s">
        <v>9</v>
      </c>
      <c r="B33" s="7" t="s">
        <v>409</v>
      </c>
      <c r="C33" s="91">
        <v>46001.36993489583</v>
      </c>
      <c r="D33" s="8">
        <f t="shared" ref="D33:D36" si="2">IFERROR(_xlfn.WORKDAY.INTL(C33, 2),"-")</f>
        <v>46003</v>
      </c>
      <c r="E33" s="9" t="s">
        <v>11</v>
      </c>
      <c r="F33" s="10"/>
      <c r="G33" s="9" t="s">
        <v>15</v>
      </c>
      <c r="H33" s="7" t="s">
        <v>410</v>
      </c>
      <c r="I33" s="9" t="s">
        <v>353</v>
      </c>
      <c r="J33" s="88"/>
    </row>
    <row r="34">
      <c r="A34" s="6" t="s">
        <v>9</v>
      </c>
      <c r="B34" s="7" t="s">
        <v>411</v>
      </c>
      <c r="C34" s="91">
        <v>46001.37006638889</v>
      </c>
      <c r="D34" s="8">
        <f t="shared" si="2"/>
        <v>46003</v>
      </c>
      <c r="E34" s="9" t="s">
        <v>11</v>
      </c>
      <c r="F34" s="10"/>
      <c r="G34" s="9" t="s">
        <v>15</v>
      </c>
      <c r="H34" s="7" t="s">
        <v>410</v>
      </c>
      <c r="I34" s="9" t="s">
        <v>353</v>
      </c>
      <c r="J34" s="88"/>
    </row>
    <row r="35">
      <c r="A35" s="6" t="s">
        <v>9</v>
      </c>
      <c r="B35" s="7" t="s">
        <v>412</v>
      </c>
      <c r="C35" s="91">
        <v>46001.56717650463</v>
      </c>
      <c r="D35" s="8">
        <f t="shared" si="2"/>
        <v>46003</v>
      </c>
      <c r="E35" s="9" t="s">
        <v>11</v>
      </c>
      <c r="F35" s="10"/>
      <c r="G35" s="9" t="s">
        <v>15</v>
      </c>
      <c r="H35" s="7" t="s">
        <v>410</v>
      </c>
      <c r="I35" s="9" t="s">
        <v>353</v>
      </c>
      <c r="J35" s="88"/>
    </row>
    <row r="36">
      <c r="A36" s="84" t="s">
        <v>337</v>
      </c>
      <c r="B36" s="7" t="s">
        <v>413</v>
      </c>
      <c r="C36" s="92">
        <v>46001.4152314699</v>
      </c>
      <c r="D36" s="85">
        <f t="shared" si="2"/>
        <v>46003</v>
      </c>
      <c r="E36" s="7" t="s">
        <v>11</v>
      </c>
      <c r="F36" s="85"/>
      <c r="G36" s="7" t="s">
        <v>11</v>
      </c>
      <c r="H36" s="7" t="s">
        <v>414</v>
      </c>
      <c r="I36" s="7" t="s">
        <v>353</v>
      </c>
      <c r="J36" s="88"/>
    </row>
    <row r="37">
      <c r="A37" s="20" t="s">
        <v>98</v>
      </c>
      <c r="B37" s="9" t="s">
        <v>415</v>
      </c>
      <c r="C37" s="91">
        <v>45981.83179581018</v>
      </c>
      <c r="D37" s="8"/>
      <c r="E37" s="9"/>
      <c r="F37" s="10"/>
      <c r="G37" s="9" t="s">
        <v>15</v>
      </c>
      <c r="H37" s="22" t="s">
        <v>416</v>
      </c>
      <c r="I37" s="9" t="s">
        <v>353</v>
      </c>
      <c r="J37" s="88"/>
    </row>
    <row r="38">
      <c r="A38" s="20" t="s">
        <v>98</v>
      </c>
      <c r="B38" s="9" t="s">
        <v>417</v>
      </c>
      <c r="C38" s="91">
        <v>46001.37899229166</v>
      </c>
      <c r="D38" s="8"/>
      <c r="E38" s="9"/>
      <c r="F38" s="10"/>
      <c r="G38" s="9" t="s">
        <v>15</v>
      </c>
      <c r="H38" s="7" t="s">
        <v>418</v>
      </c>
      <c r="I38" s="9" t="s">
        <v>353</v>
      </c>
      <c r="J38" s="88"/>
    </row>
    <row r="39">
      <c r="A39" s="6" t="s">
        <v>9</v>
      </c>
      <c r="B39" s="7" t="s">
        <v>419</v>
      </c>
      <c r="C39" s="91">
        <v>45995.643626261575</v>
      </c>
      <c r="D39" s="8">
        <f t="shared" ref="D39:D40" si="3">IFERROR(_xlfn.WORKDAY.INTL(C39, 2),"-")</f>
        <v>45999</v>
      </c>
      <c r="E39" s="9" t="s">
        <v>11</v>
      </c>
      <c r="F39" s="10"/>
      <c r="G39" s="9" t="s">
        <v>15</v>
      </c>
      <c r="H39" s="7" t="s">
        <v>420</v>
      </c>
      <c r="I39" s="9" t="s">
        <v>353</v>
      </c>
      <c r="J39" s="88"/>
    </row>
    <row r="40">
      <c r="A40" s="6" t="s">
        <v>9</v>
      </c>
      <c r="B40" s="7" t="s">
        <v>421</v>
      </c>
      <c r="C40" s="91">
        <v>46000.451073206015</v>
      </c>
      <c r="D40" s="8">
        <f t="shared" si="3"/>
        <v>46002</v>
      </c>
      <c r="E40" s="9" t="s">
        <v>11</v>
      </c>
      <c r="F40" s="10"/>
      <c r="G40" s="9" t="s">
        <v>15</v>
      </c>
      <c r="H40" s="7" t="s">
        <v>420</v>
      </c>
      <c r="I40" s="9" t="s">
        <v>353</v>
      </c>
      <c r="J40" s="88"/>
    </row>
    <row r="41">
      <c r="A41" s="20" t="s">
        <v>98</v>
      </c>
      <c r="B41" s="9" t="s">
        <v>422</v>
      </c>
      <c r="C41" s="91">
        <v>45995.640545057875</v>
      </c>
      <c r="D41" s="8"/>
      <c r="E41" s="9"/>
      <c r="F41" s="10"/>
      <c r="G41" s="9" t="s">
        <v>15</v>
      </c>
      <c r="H41" s="22" t="s">
        <v>423</v>
      </c>
      <c r="I41" s="9" t="s">
        <v>353</v>
      </c>
      <c r="J41" s="88"/>
    </row>
    <row r="42">
      <c r="A42" s="20" t="s">
        <v>98</v>
      </c>
      <c r="B42" s="9" t="s">
        <v>424</v>
      </c>
      <c r="C42" s="91">
        <v>45988.72773842592</v>
      </c>
      <c r="D42" s="8"/>
      <c r="E42" s="9"/>
      <c r="F42" s="10"/>
      <c r="G42" s="9" t="s">
        <v>15</v>
      </c>
      <c r="H42" s="94" t="s">
        <v>425</v>
      </c>
      <c r="I42" s="9" t="s">
        <v>353</v>
      </c>
      <c r="J42" s="88"/>
    </row>
    <row r="43">
      <c r="A43" s="20" t="s">
        <v>98</v>
      </c>
      <c r="B43" s="9" t="s">
        <v>426</v>
      </c>
      <c r="C43" s="91">
        <v>45995.561405381944</v>
      </c>
      <c r="D43" s="8"/>
      <c r="E43" s="9"/>
      <c r="F43" s="10"/>
      <c r="G43" s="9" t="s">
        <v>15</v>
      </c>
      <c r="H43" s="7" t="s">
        <v>427</v>
      </c>
      <c r="I43" s="9" t="s">
        <v>353</v>
      </c>
      <c r="J43" s="88"/>
    </row>
    <row r="44">
      <c r="A44" s="20" t="s">
        <v>98</v>
      </c>
      <c r="B44" s="9" t="s">
        <v>428</v>
      </c>
      <c r="C44" s="91">
        <v>45995.40074629629</v>
      </c>
      <c r="D44" s="8"/>
      <c r="E44" s="9"/>
      <c r="F44" s="10"/>
      <c r="G44" s="9" t="s">
        <v>15</v>
      </c>
      <c r="H44" s="7" t="s">
        <v>429</v>
      </c>
      <c r="I44" s="9" t="s">
        <v>353</v>
      </c>
      <c r="J44" s="88"/>
    </row>
    <row r="45">
      <c r="A45" s="20" t="s">
        <v>98</v>
      </c>
      <c r="B45" s="9" t="s">
        <v>430</v>
      </c>
      <c r="C45" s="91">
        <v>45995.40062350694</v>
      </c>
      <c r="D45" s="8"/>
      <c r="E45" s="9"/>
      <c r="F45" s="10"/>
      <c r="G45" s="9" t="s">
        <v>15</v>
      </c>
      <c r="H45" s="7" t="s">
        <v>431</v>
      </c>
      <c r="I45" s="9" t="s">
        <v>353</v>
      </c>
      <c r="J45" s="88"/>
    </row>
    <row r="46">
      <c r="A46" s="20" t="s">
        <v>98</v>
      </c>
      <c r="B46" s="9" t="s">
        <v>432</v>
      </c>
      <c r="C46" s="91">
        <v>45835.39420355324</v>
      </c>
      <c r="D46" s="8"/>
      <c r="E46" s="9"/>
      <c r="F46" s="10"/>
      <c r="G46" s="9" t="s">
        <v>15</v>
      </c>
      <c r="H46" s="22" t="s">
        <v>433</v>
      </c>
      <c r="I46" s="9" t="s">
        <v>353</v>
      </c>
      <c r="J46" s="88"/>
    </row>
    <row r="47">
      <c r="A47" s="20" t="s">
        <v>98</v>
      </c>
      <c r="B47" s="9" t="s">
        <v>434</v>
      </c>
      <c r="C47" s="91">
        <v>45999.363172812504</v>
      </c>
      <c r="D47" s="8"/>
      <c r="E47" s="9"/>
      <c r="F47" s="10"/>
      <c r="G47" s="9" t="s">
        <v>15</v>
      </c>
      <c r="H47" s="7" t="s">
        <v>435</v>
      </c>
      <c r="I47" s="9" t="s">
        <v>353</v>
      </c>
      <c r="J47" s="88"/>
    </row>
    <row r="48">
      <c r="A48" s="6" t="s">
        <v>9</v>
      </c>
      <c r="B48" s="7" t="s">
        <v>436</v>
      </c>
      <c r="C48" s="91">
        <v>46000.45112402778</v>
      </c>
      <c r="D48" s="8">
        <f>IFERROR(_xlfn.WORKDAY.INTL(C48, 2),"-")</f>
        <v>46002</v>
      </c>
      <c r="E48" s="9" t="s">
        <v>11</v>
      </c>
      <c r="F48" s="10"/>
      <c r="G48" s="9" t="s">
        <v>18</v>
      </c>
      <c r="H48" s="7" t="s">
        <v>437</v>
      </c>
      <c r="I48" s="9" t="s">
        <v>353</v>
      </c>
      <c r="J48" s="88"/>
    </row>
    <row r="49">
      <c r="A49" s="20" t="s">
        <v>98</v>
      </c>
      <c r="B49" s="9" t="s">
        <v>438</v>
      </c>
      <c r="C49" s="91">
        <v>45999.6168649537</v>
      </c>
      <c r="D49" s="8"/>
      <c r="E49" s="9"/>
      <c r="F49" s="10"/>
      <c r="G49" s="9" t="s">
        <v>15</v>
      </c>
      <c r="H49" s="7" t="s">
        <v>131</v>
      </c>
      <c r="I49" s="9" t="s">
        <v>353</v>
      </c>
      <c r="J49" s="88"/>
    </row>
    <row r="50">
      <c r="A50" s="20" t="s">
        <v>98</v>
      </c>
      <c r="B50" s="9" t="s">
        <v>439</v>
      </c>
      <c r="C50" s="91">
        <v>45999.36620611111</v>
      </c>
      <c r="D50" s="8"/>
      <c r="E50" s="9"/>
      <c r="F50" s="10"/>
      <c r="G50" s="9" t="s">
        <v>15</v>
      </c>
      <c r="H50" s="7" t="s">
        <v>131</v>
      </c>
      <c r="I50" s="9" t="s">
        <v>353</v>
      </c>
      <c r="J50" s="88"/>
    </row>
    <row r="51">
      <c r="A51" s="20" t="s">
        <v>98</v>
      </c>
      <c r="B51" s="9" t="s">
        <v>440</v>
      </c>
      <c r="C51" s="91">
        <v>45999.51600886574</v>
      </c>
      <c r="D51" s="8"/>
      <c r="E51" s="9"/>
      <c r="F51" s="10"/>
      <c r="G51" s="9" t="s">
        <v>15</v>
      </c>
      <c r="H51" s="7" t="s">
        <v>131</v>
      </c>
      <c r="I51" s="9" t="s">
        <v>353</v>
      </c>
      <c r="J51" s="88"/>
    </row>
    <row r="52">
      <c r="A52" s="6" t="s">
        <v>9</v>
      </c>
      <c r="B52" s="7" t="s">
        <v>441</v>
      </c>
      <c r="C52" s="91">
        <v>45910.51897700231</v>
      </c>
      <c r="D52" s="8">
        <f t="shared" ref="D52:D53" si="4">IFERROR(_xlfn.WORKDAY.INTL(C52, 2),"-")</f>
        <v>45912</v>
      </c>
      <c r="E52" s="9" t="s">
        <v>11</v>
      </c>
      <c r="F52" s="10"/>
      <c r="G52" s="9" t="s">
        <v>21</v>
      </c>
      <c r="H52" s="7" t="s">
        <v>442</v>
      </c>
      <c r="I52" s="9" t="s">
        <v>353</v>
      </c>
      <c r="J52" s="88"/>
    </row>
    <row r="53">
      <c r="A53" s="6" t="s">
        <v>9</v>
      </c>
      <c r="B53" s="7" t="s">
        <v>443</v>
      </c>
      <c r="C53" s="91">
        <v>45992.487815625005</v>
      </c>
      <c r="D53" s="8">
        <f t="shared" si="4"/>
        <v>45994</v>
      </c>
      <c r="E53" s="9" t="s">
        <v>11</v>
      </c>
      <c r="F53" s="10"/>
      <c r="G53" s="9" t="s">
        <v>15</v>
      </c>
      <c r="H53" s="7" t="s">
        <v>444</v>
      </c>
      <c r="I53" s="9" t="s">
        <v>353</v>
      </c>
      <c r="J53" s="88"/>
    </row>
    <row r="54">
      <c r="A54" s="54" t="s">
        <v>236</v>
      </c>
      <c r="B54" s="7" t="s">
        <v>445</v>
      </c>
      <c r="C54" s="91">
        <v>45999.51586494213</v>
      </c>
      <c r="D54" s="8"/>
      <c r="E54" s="9"/>
      <c r="F54" s="10"/>
      <c r="G54" s="9"/>
      <c r="H54" s="7" t="s">
        <v>446</v>
      </c>
      <c r="I54" s="9" t="s">
        <v>353</v>
      </c>
      <c r="J54" s="88"/>
    </row>
    <row r="55">
      <c r="A55" s="54" t="s">
        <v>236</v>
      </c>
      <c r="B55" s="7" t="s">
        <v>447</v>
      </c>
      <c r="C55" s="91">
        <v>45985.5949927662</v>
      </c>
      <c r="D55" s="8"/>
      <c r="E55" s="9"/>
      <c r="F55" s="10"/>
      <c r="G55" s="9" t="s">
        <v>18</v>
      </c>
      <c r="H55" s="68" t="s">
        <v>448</v>
      </c>
      <c r="I55" s="9" t="s">
        <v>353</v>
      </c>
      <c r="J55" s="88"/>
    </row>
    <row r="56">
      <c r="A56" s="20" t="s">
        <v>98</v>
      </c>
      <c r="B56" s="9" t="s">
        <v>449</v>
      </c>
      <c r="C56" s="91">
        <v>45999.36452563657</v>
      </c>
      <c r="D56" s="8"/>
      <c r="E56" s="9"/>
      <c r="F56" s="10"/>
      <c r="G56" s="9" t="s">
        <v>15</v>
      </c>
      <c r="H56" s="7" t="s">
        <v>131</v>
      </c>
      <c r="I56" s="9" t="s">
        <v>353</v>
      </c>
      <c r="J56" s="88"/>
    </row>
    <row r="57">
      <c r="A57" s="6" t="s">
        <v>9</v>
      </c>
      <c r="B57" s="7" t="s">
        <v>450</v>
      </c>
      <c r="C57" s="91">
        <v>45995.511407708334</v>
      </c>
      <c r="D57" s="8">
        <f t="shared" ref="D57:D58" si="5">IFERROR(_xlfn.WORKDAY.INTL(C57, 2),"-")</f>
        <v>45999</v>
      </c>
      <c r="E57" s="9" t="s">
        <v>11</v>
      </c>
      <c r="F57" s="10"/>
      <c r="G57" s="9" t="s">
        <v>15</v>
      </c>
      <c r="H57" s="7" t="s">
        <v>451</v>
      </c>
      <c r="I57" s="9" t="s">
        <v>353</v>
      </c>
      <c r="J57" s="88"/>
    </row>
    <row r="58">
      <c r="A58" s="6" t="s">
        <v>9</v>
      </c>
      <c r="B58" s="7" t="s">
        <v>452</v>
      </c>
      <c r="C58" s="91">
        <v>45995.51081453703</v>
      </c>
      <c r="D58" s="8">
        <f t="shared" si="5"/>
        <v>45999</v>
      </c>
      <c r="E58" s="9" t="s">
        <v>11</v>
      </c>
      <c r="F58" s="10"/>
      <c r="G58" s="9" t="s">
        <v>15</v>
      </c>
      <c r="H58" s="7" t="s">
        <v>453</v>
      </c>
      <c r="I58" s="9" t="s">
        <v>353</v>
      </c>
      <c r="J58" s="88"/>
    </row>
    <row r="59">
      <c r="A59" s="20" t="s">
        <v>98</v>
      </c>
      <c r="B59" s="9" t="s">
        <v>454</v>
      </c>
      <c r="C59" s="91">
        <v>45989.464362326384</v>
      </c>
      <c r="D59" s="8"/>
      <c r="E59" s="9"/>
      <c r="F59" s="10"/>
      <c r="G59" s="9" t="s">
        <v>18</v>
      </c>
      <c r="H59" s="22" t="s">
        <v>455</v>
      </c>
      <c r="I59" s="9" t="s">
        <v>353</v>
      </c>
      <c r="J59" s="88"/>
    </row>
    <row r="60">
      <c r="A60" s="6" t="s">
        <v>9</v>
      </c>
      <c r="B60" s="7" t="s">
        <v>456</v>
      </c>
      <c r="C60" s="91">
        <v>45995.51161804398</v>
      </c>
      <c r="D60" s="8">
        <f>IFERROR(_xlfn.WORKDAY.INTL(C60, 2),"-")</f>
        <v>45999</v>
      </c>
      <c r="E60" s="9" t="s">
        <v>11</v>
      </c>
      <c r="F60" s="10"/>
      <c r="G60" s="9" t="s">
        <v>15</v>
      </c>
      <c r="H60" s="7" t="s">
        <v>457</v>
      </c>
      <c r="I60" s="9" t="s">
        <v>353</v>
      </c>
      <c r="J60" s="88"/>
    </row>
    <row r="61">
      <c r="A61" s="54" t="s">
        <v>236</v>
      </c>
      <c r="B61" s="7" t="s">
        <v>458</v>
      </c>
      <c r="C61" s="91">
        <v>45985.606316307865</v>
      </c>
      <c r="D61" s="8"/>
      <c r="E61" s="9"/>
      <c r="F61" s="10"/>
      <c r="G61" s="9" t="s">
        <v>21</v>
      </c>
      <c r="H61" s="7" t="s">
        <v>459</v>
      </c>
      <c r="I61" s="9" t="s">
        <v>353</v>
      </c>
      <c r="J61" s="88"/>
    </row>
    <row r="62">
      <c r="A62" s="54" t="s">
        <v>236</v>
      </c>
      <c r="B62" s="7" t="s">
        <v>460</v>
      </c>
      <c r="C62" s="91">
        <v>45862.61995957176</v>
      </c>
      <c r="D62" s="8"/>
      <c r="E62" s="9"/>
      <c r="F62" s="10"/>
      <c r="G62" s="9" t="s">
        <v>21</v>
      </c>
      <c r="H62" s="7" t="s">
        <v>461</v>
      </c>
      <c r="I62" s="9" t="s">
        <v>353</v>
      </c>
      <c r="J62" s="88"/>
    </row>
    <row r="63">
      <c r="A63" s="54" t="s">
        <v>236</v>
      </c>
      <c r="B63" s="7" t="s">
        <v>462</v>
      </c>
      <c r="C63" s="91">
        <v>45985.60049865741</v>
      </c>
      <c r="D63" s="8"/>
      <c r="E63" s="9"/>
      <c r="F63" s="10"/>
      <c r="G63" s="9" t="s">
        <v>220</v>
      </c>
      <c r="H63" s="7" t="s">
        <v>463</v>
      </c>
      <c r="I63" s="9" t="s">
        <v>353</v>
      </c>
      <c r="J63" s="88"/>
    </row>
    <row r="64">
      <c r="A64" s="54" t="s">
        <v>236</v>
      </c>
      <c r="B64" s="7" t="s">
        <v>464</v>
      </c>
      <c r="C64" s="91">
        <v>45985.60759796297</v>
      </c>
      <c r="D64" s="8"/>
      <c r="E64" s="9"/>
      <c r="F64" s="10"/>
      <c r="G64" s="9" t="s">
        <v>18</v>
      </c>
      <c r="H64" s="7" t="s">
        <v>465</v>
      </c>
      <c r="I64" s="9" t="s">
        <v>353</v>
      </c>
      <c r="J64" s="88"/>
    </row>
    <row r="65">
      <c r="A65" s="54" t="s">
        <v>236</v>
      </c>
      <c r="B65" s="7" t="s">
        <v>466</v>
      </c>
      <c r="C65" s="91">
        <v>45939.40968211806</v>
      </c>
      <c r="D65" s="8"/>
      <c r="E65" s="9"/>
      <c r="F65" s="10"/>
      <c r="G65" s="9" t="s">
        <v>15</v>
      </c>
      <c r="H65" s="60" t="s">
        <v>467</v>
      </c>
      <c r="I65" s="9" t="s">
        <v>353</v>
      </c>
      <c r="J65" s="88"/>
    </row>
    <row r="66">
      <c r="A66" s="54" t="s">
        <v>236</v>
      </c>
      <c r="B66" s="61" t="s">
        <v>468</v>
      </c>
      <c r="C66" s="91">
        <v>45831.4739452662</v>
      </c>
      <c r="D66" s="8"/>
      <c r="E66" s="9"/>
      <c r="F66" s="10"/>
      <c r="G66" s="9" t="s">
        <v>15</v>
      </c>
      <c r="H66" s="7" t="s">
        <v>469</v>
      </c>
      <c r="I66" s="9" t="s">
        <v>353</v>
      </c>
      <c r="J66" s="88"/>
    </row>
    <row r="67">
      <c r="A67" s="54" t="s">
        <v>236</v>
      </c>
      <c r="B67" s="7" t="s">
        <v>470</v>
      </c>
      <c r="C67" s="91">
        <v>45950.66586101852</v>
      </c>
      <c r="D67" s="8"/>
      <c r="E67" s="9"/>
      <c r="F67" s="10"/>
      <c r="G67" s="9" t="s">
        <v>15</v>
      </c>
      <c r="H67" s="68" t="s">
        <v>471</v>
      </c>
      <c r="I67" s="9" t="s">
        <v>353</v>
      </c>
      <c r="J67" s="88"/>
    </row>
    <row r="68">
      <c r="A68" s="54" t="s">
        <v>236</v>
      </c>
      <c r="B68" s="7" t="s">
        <v>472</v>
      </c>
      <c r="C68" s="91">
        <v>45985.649719050925</v>
      </c>
      <c r="D68" s="8"/>
      <c r="E68" s="9"/>
      <c r="F68" s="10"/>
      <c r="G68" s="9" t="s">
        <v>18</v>
      </c>
      <c r="H68" s="68" t="s">
        <v>473</v>
      </c>
      <c r="I68" s="9" t="s">
        <v>353</v>
      </c>
      <c r="J68" s="88"/>
    </row>
    <row r="69">
      <c r="A69" s="54" t="s">
        <v>236</v>
      </c>
      <c r="B69" s="7" t="s">
        <v>474</v>
      </c>
      <c r="C69" s="91">
        <v>45985.59605741898</v>
      </c>
      <c r="D69" s="8"/>
      <c r="E69" s="9"/>
      <c r="F69" s="10"/>
      <c r="G69" s="9" t="s">
        <v>18</v>
      </c>
      <c r="H69" s="60" t="s">
        <v>382</v>
      </c>
      <c r="I69" s="9" t="s">
        <v>353</v>
      </c>
      <c r="J69" s="88"/>
    </row>
    <row r="70">
      <c r="A70" s="54" t="s">
        <v>236</v>
      </c>
      <c r="B70" s="95" t="s">
        <v>475</v>
      </c>
      <c r="C70" s="96">
        <v>45978.4070015162</v>
      </c>
      <c r="D70" s="97"/>
      <c r="E70" s="98" t="s">
        <v>88</v>
      </c>
      <c r="F70" s="97"/>
      <c r="G70" s="98" t="s">
        <v>18</v>
      </c>
      <c r="H70" s="99" t="s">
        <v>476</v>
      </c>
      <c r="I70" s="9" t="s">
        <v>353</v>
      </c>
      <c r="J70" s="88"/>
    </row>
    <row r="71">
      <c r="A71" s="6" t="s">
        <v>9</v>
      </c>
      <c r="B71" s="7" t="s">
        <v>477</v>
      </c>
      <c r="C71" s="91">
        <v>45995.51133822917</v>
      </c>
      <c r="D71" s="8">
        <f>IFERROR(_xlfn.WORKDAY.INTL(C71, 2),"-")</f>
        <v>45999</v>
      </c>
      <c r="E71" s="9" t="s">
        <v>11</v>
      </c>
      <c r="F71" s="10"/>
      <c r="G71" s="9" t="s">
        <v>15</v>
      </c>
      <c r="H71" s="7" t="s">
        <v>453</v>
      </c>
      <c r="I71" s="9" t="s">
        <v>353</v>
      </c>
      <c r="J71" s="88"/>
    </row>
    <row r="72">
      <c r="A72" s="20" t="s">
        <v>98</v>
      </c>
      <c r="B72" s="9" t="s">
        <v>478</v>
      </c>
      <c r="C72" s="91">
        <v>45978.62870453704</v>
      </c>
      <c r="D72" s="8"/>
      <c r="E72" s="9"/>
      <c r="F72" s="10"/>
      <c r="G72" s="9" t="s">
        <v>15</v>
      </c>
      <c r="H72" s="7" t="s">
        <v>479</v>
      </c>
      <c r="I72" s="9" t="s">
        <v>353</v>
      </c>
      <c r="J72" s="88"/>
    </row>
    <row r="73">
      <c r="A73" s="6" t="s">
        <v>9</v>
      </c>
      <c r="B73" s="7" t="s">
        <v>480</v>
      </c>
      <c r="C73" s="91">
        <v>45961.36084400463</v>
      </c>
      <c r="D73" s="8">
        <f t="shared" ref="D73:D74" si="6">IFERROR(_xlfn.WORKDAY.INTL(C73, 2),"-")</f>
        <v>45965</v>
      </c>
      <c r="E73" s="9" t="s">
        <v>11</v>
      </c>
      <c r="F73" s="10"/>
      <c r="G73" s="9" t="s">
        <v>15</v>
      </c>
      <c r="H73" s="7" t="s">
        <v>481</v>
      </c>
      <c r="I73" s="9" t="s">
        <v>353</v>
      </c>
      <c r="J73" s="88"/>
    </row>
    <row r="74">
      <c r="A74" s="6" t="s">
        <v>9</v>
      </c>
      <c r="B74" s="7" t="s">
        <v>482</v>
      </c>
      <c r="C74" s="91">
        <v>45992.48572081019</v>
      </c>
      <c r="D74" s="8">
        <f t="shared" si="6"/>
        <v>45994</v>
      </c>
      <c r="E74" s="9" t="s">
        <v>11</v>
      </c>
      <c r="F74" s="10"/>
      <c r="G74" s="9" t="s">
        <v>18</v>
      </c>
      <c r="H74" s="7" t="s">
        <v>437</v>
      </c>
      <c r="I74" s="9" t="s">
        <v>353</v>
      </c>
      <c r="J74" s="88"/>
    </row>
    <row r="75">
      <c r="A75" s="20" t="s">
        <v>98</v>
      </c>
      <c r="B75" s="9" t="s">
        <v>483</v>
      </c>
      <c r="C75" s="91">
        <v>45989.464415740746</v>
      </c>
      <c r="D75" s="8"/>
      <c r="E75" s="9"/>
      <c r="F75" s="10"/>
      <c r="G75" s="9" t="s">
        <v>15</v>
      </c>
      <c r="H75" s="22" t="s">
        <v>484</v>
      </c>
      <c r="I75" s="9" t="s">
        <v>353</v>
      </c>
      <c r="J75" s="88"/>
    </row>
    <row r="76">
      <c r="A76" s="20" t="s">
        <v>98</v>
      </c>
      <c r="B76" s="9" t="s">
        <v>485</v>
      </c>
      <c r="C76" s="91">
        <v>45989.464444108795</v>
      </c>
      <c r="D76" s="8"/>
      <c r="E76" s="9"/>
      <c r="F76" s="10"/>
      <c r="G76" s="9" t="s">
        <v>15</v>
      </c>
      <c r="H76" s="22" t="s">
        <v>484</v>
      </c>
      <c r="I76" s="9" t="s">
        <v>353</v>
      </c>
      <c r="J76" s="88"/>
    </row>
    <row r="77">
      <c r="A77" s="6" t="s">
        <v>9</v>
      </c>
      <c r="B77" s="7" t="s">
        <v>486</v>
      </c>
      <c r="C77" s="91">
        <v>45992.487693449075</v>
      </c>
      <c r="D77" s="8">
        <f>IFERROR(_xlfn.WORKDAY.INTL(C77, 2),"-")</f>
        <v>45994</v>
      </c>
      <c r="E77" s="9" t="s">
        <v>11</v>
      </c>
      <c r="F77" s="10"/>
      <c r="G77" s="9" t="s">
        <v>15</v>
      </c>
      <c r="H77" s="7" t="s">
        <v>487</v>
      </c>
      <c r="I77" s="9" t="s">
        <v>353</v>
      </c>
      <c r="J77" s="88"/>
    </row>
    <row r="78">
      <c r="A78" s="20" t="s">
        <v>98</v>
      </c>
      <c r="B78" s="9" t="s">
        <v>488</v>
      </c>
      <c r="C78" s="91">
        <v>45917.61336150463</v>
      </c>
      <c r="D78" s="8"/>
      <c r="E78" s="9"/>
      <c r="F78" s="10"/>
      <c r="G78" s="9" t="s">
        <v>15</v>
      </c>
      <c r="H78" s="7" t="s">
        <v>489</v>
      </c>
      <c r="I78" s="9" t="s">
        <v>353</v>
      </c>
      <c r="J78" s="88"/>
    </row>
    <row r="79">
      <c r="A79" s="20" t="s">
        <v>98</v>
      </c>
      <c r="B79" s="9" t="s">
        <v>490</v>
      </c>
      <c r="C79" s="91">
        <v>45960.618300428236</v>
      </c>
      <c r="D79" s="8"/>
      <c r="E79" s="9"/>
      <c r="F79" s="10"/>
      <c r="G79" s="9" t="s">
        <v>15</v>
      </c>
      <c r="H79" s="7" t="s">
        <v>491</v>
      </c>
      <c r="I79" s="9" t="s">
        <v>353</v>
      </c>
      <c r="J79" s="88"/>
    </row>
    <row r="80">
      <c r="A80" s="6" t="s">
        <v>9</v>
      </c>
      <c r="B80" s="7" t="s">
        <v>492</v>
      </c>
      <c r="C80" s="91">
        <v>45993.729281215274</v>
      </c>
      <c r="D80" s="8">
        <f>IFERROR(_xlfn.WORKDAY.INTL(C80, 2),"-")</f>
        <v>45995</v>
      </c>
      <c r="E80" s="9" t="s">
        <v>11</v>
      </c>
      <c r="F80" s="10"/>
      <c r="G80" s="9" t="s">
        <v>18</v>
      </c>
      <c r="H80" s="7" t="s">
        <v>493</v>
      </c>
      <c r="I80" s="9" t="s">
        <v>353</v>
      </c>
      <c r="J80" s="88"/>
    </row>
    <row r="81">
      <c r="A81" s="20" t="s">
        <v>98</v>
      </c>
      <c r="B81" s="9" t="s">
        <v>494</v>
      </c>
      <c r="C81" s="91">
        <v>45993.62638574074</v>
      </c>
      <c r="D81" s="8"/>
      <c r="E81" s="9"/>
      <c r="F81" s="10"/>
      <c r="G81" s="9" t="s">
        <v>15</v>
      </c>
      <c r="H81" s="7" t="s">
        <v>495</v>
      </c>
      <c r="I81" s="9" t="s">
        <v>353</v>
      </c>
      <c r="J81" s="88"/>
    </row>
    <row r="82">
      <c r="A82" s="6" t="s">
        <v>9</v>
      </c>
      <c r="B82" s="7" t="s">
        <v>496</v>
      </c>
      <c r="C82" s="91">
        <v>45985.5199321875</v>
      </c>
      <c r="D82" s="8">
        <f t="shared" ref="D82:D84" si="7">IFERROR(_xlfn.WORKDAY.INTL(C82, 2),"-")</f>
        <v>45987</v>
      </c>
      <c r="E82" s="9" t="s">
        <v>11</v>
      </c>
      <c r="F82" s="10"/>
      <c r="G82" s="9" t="s">
        <v>18</v>
      </c>
      <c r="H82" s="7" t="s">
        <v>497</v>
      </c>
      <c r="I82" s="9" t="s">
        <v>353</v>
      </c>
      <c r="J82" s="88"/>
    </row>
    <row r="83">
      <c r="A83" s="6" t="s">
        <v>9</v>
      </c>
      <c r="B83" s="7" t="s">
        <v>498</v>
      </c>
      <c r="C83" s="91">
        <v>45992.4879143287</v>
      </c>
      <c r="D83" s="8">
        <f t="shared" si="7"/>
        <v>45994</v>
      </c>
      <c r="E83" s="9" t="s">
        <v>11</v>
      </c>
      <c r="F83" s="10"/>
      <c r="G83" s="9" t="s">
        <v>18</v>
      </c>
      <c r="H83" s="7" t="s">
        <v>499</v>
      </c>
      <c r="I83" s="9" t="s">
        <v>353</v>
      </c>
      <c r="J83" s="88"/>
    </row>
    <row r="84">
      <c r="A84" s="6" t="s">
        <v>9</v>
      </c>
      <c r="B84" s="7" t="s">
        <v>500</v>
      </c>
      <c r="C84" s="91">
        <v>45992.48777359954</v>
      </c>
      <c r="D84" s="8">
        <f t="shared" si="7"/>
        <v>45994</v>
      </c>
      <c r="E84" s="9" t="s">
        <v>11</v>
      </c>
      <c r="F84" s="10"/>
      <c r="G84" s="9" t="s">
        <v>18</v>
      </c>
      <c r="H84" s="7" t="s">
        <v>499</v>
      </c>
      <c r="I84" s="9" t="s">
        <v>353</v>
      </c>
      <c r="J84" s="88"/>
    </row>
    <row r="85">
      <c r="A85" s="54" t="s">
        <v>236</v>
      </c>
      <c r="B85" s="7" t="s">
        <v>501</v>
      </c>
      <c r="C85" s="91">
        <v>45985.59963092592</v>
      </c>
      <c r="D85" s="8"/>
      <c r="E85" s="9"/>
      <c r="F85" s="10"/>
      <c r="G85" s="9" t="s">
        <v>89</v>
      </c>
      <c r="H85" s="7" t="s">
        <v>502</v>
      </c>
      <c r="I85" s="9" t="s">
        <v>353</v>
      </c>
      <c r="J85" s="88"/>
    </row>
    <row r="86">
      <c r="A86" s="54" t="s">
        <v>236</v>
      </c>
      <c r="B86" s="100" t="s">
        <v>503</v>
      </c>
      <c r="C86" s="91">
        <v>45617.413962025465</v>
      </c>
      <c r="D86" s="8">
        <f>IFERROR(_xlfn.WORKDAY.INTL(C86, 2),"-")</f>
        <v>45621</v>
      </c>
      <c r="E86" s="9" t="s">
        <v>11</v>
      </c>
      <c r="F86" s="10"/>
      <c r="G86" s="9" t="s">
        <v>89</v>
      </c>
      <c r="H86" s="7" t="s">
        <v>504</v>
      </c>
      <c r="I86" s="9" t="s">
        <v>353</v>
      </c>
      <c r="J86" s="88"/>
    </row>
    <row r="87">
      <c r="A87" s="54" t="s">
        <v>236</v>
      </c>
      <c r="B87" s="7" t="s">
        <v>505</v>
      </c>
      <c r="C87" s="91">
        <v>45901.65991320602</v>
      </c>
      <c r="D87" s="8"/>
      <c r="E87" s="9"/>
      <c r="F87" s="10"/>
      <c r="G87" s="9" t="s">
        <v>21</v>
      </c>
      <c r="H87" s="7" t="s">
        <v>506</v>
      </c>
      <c r="I87" s="9" t="s">
        <v>353</v>
      </c>
      <c r="J87" s="88"/>
    </row>
    <row r="88">
      <c r="A88" s="54" t="s">
        <v>236</v>
      </c>
      <c r="B88" s="61" t="s">
        <v>507</v>
      </c>
      <c r="C88" s="91">
        <v>45803.738617407405</v>
      </c>
      <c r="D88" s="8"/>
      <c r="E88" s="9"/>
      <c r="F88" s="10"/>
      <c r="G88" s="9" t="s">
        <v>21</v>
      </c>
      <c r="H88" s="7" t="s">
        <v>508</v>
      </c>
      <c r="I88" s="9" t="s">
        <v>353</v>
      </c>
      <c r="J88" s="88"/>
    </row>
    <row r="89">
      <c r="A89" s="54" t="s">
        <v>236</v>
      </c>
      <c r="B89" s="7" t="s">
        <v>509</v>
      </c>
      <c r="C89" s="91">
        <v>45985.649750428245</v>
      </c>
      <c r="D89" s="8"/>
      <c r="E89" s="9"/>
      <c r="F89" s="10"/>
      <c r="G89" s="9" t="s">
        <v>18</v>
      </c>
      <c r="H89" s="7" t="s">
        <v>510</v>
      </c>
      <c r="I89" s="9" t="s">
        <v>353</v>
      </c>
      <c r="J89" s="88"/>
    </row>
    <row r="90">
      <c r="A90" s="6" t="s">
        <v>9</v>
      </c>
      <c r="B90" s="7" t="s">
        <v>511</v>
      </c>
      <c r="C90" s="91">
        <v>45987.62383886574</v>
      </c>
      <c r="D90" s="8">
        <f>IFERROR(_xlfn.WORKDAY.INTL(C90, 2),"-")</f>
        <v>45989</v>
      </c>
      <c r="E90" s="9" t="s">
        <v>11</v>
      </c>
      <c r="F90" s="10"/>
      <c r="G90" s="9" t="s">
        <v>18</v>
      </c>
      <c r="H90" s="7" t="s">
        <v>512</v>
      </c>
      <c r="I90" s="9" t="s">
        <v>353</v>
      </c>
      <c r="J90" s="88"/>
    </row>
    <row r="91">
      <c r="A91" s="20" t="s">
        <v>98</v>
      </c>
      <c r="B91" s="9" t="s">
        <v>513</v>
      </c>
      <c r="C91" s="91">
        <v>45981.83126648148</v>
      </c>
      <c r="D91" s="8"/>
      <c r="E91" s="9"/>
      <c r="F91" s="10"/>
      <c r="G91" s="9" t="s">
        <v>15</v>
      </c>
      <c r="H91" s="7" t="s">
        <v>514</v>
      </c>
      <c r="I91" s="9" t="s">
        <v>353</v>
      </c>
      <c r="J91" s="88"/>
    </row>
    <row r="92">
      <c r="A92" s="6" t="s">
        <v>9</v>
      </c>
      <c r="B92" s="7" t="s">
        <v>515</v>
      </c>
      <c r="C92" s="91">
        <v>45981.42670502314</v>
      </c>
      <c r="D92" s="8">
        <f>IFERROR(_xlfn.WORKDAY.INTL(C92, 2),"-")</f>
        <v>45985</v>
      </c>
      <c r="E92" s="9" t="s">
        <v>11</v>
      </c>
      <c r="F92" s="10"/>
      <c r="G92" s="9" t="s">
        <v>18</v>
      </c>
      <c r="H92" s="7" t="s">
        <v>516</v>
      </c>
      <c r="I92" s="9" t="s">
        <v>353</v>
      </c>
      <c r="J92" s="88"/>
    </row>
    <row r="93">
      <c r="A93" s="20" t="s">
        <v>98</v>
      </c>
      <c r="B93" s="9" t="s">
        <v>517</v>
      </c>
      <c r="C93" s="91">
        <v>45981.83144861111</v>
      </c>
      <c r="D93" s="8"/>
      <c r="E93" s="9"/>
      <c r="F93" s="10"/>
      <c r="G93" s="9" t="s">
        <v>15</v>
      </c>
      <c r="H93" s="7" t="s">
        <v>518</v>
      </c>
      <c r="I93" s="9" t="s">
        <v>353</v>
      </c>
      <c r="J93" s="88"/>
    </row>
    <row r="94">
      <c r="A94" s="6" t="s">
        <v>9</v>
      </c>
      <c r="B94" s="7" t="s">
        <v>373</v>
      </c>
      <c r="C94" s="91">
        <v>45974.68549393519</v>
      </c>
      <c r="D94" s="8">
        <f>IFERROR(_xlfn.WORKDAY.INTL(C94, 2),"-")</f>
        <v>45978</v>
      </c>
      <c r="E94" s="9" t="s">
        <v>11</v>
      </c>
      <c r="F94" s="10"/>
      <c r="G94" s="9" t="s">
        <v>15</v>
      </c>
      <c r="H94" s="7" t="s">
        <v>519</v>
      </c>
      <c r="I94" s="9" t="s">
        <v>353</v>
      </c>
      <c r="J94" s="88"/>
    </row>
    <row r="95">
      <c r="A95" s="20" t="s">
        <v>98</v>
      </c>
      <c r="B95" s="9" t="s">
        <v>520</v>
      </c>
      <c r="C95" s="91">
        <v>45988.72784866898</v>
      </c>
      <c r="D95" s="8"/>
      <c r="E95" s="9"/>
      <c r="F95" s="10"/>
      <c r="G95" s="9" t="s">
        <v>15</v>
      </c>
      <c r="H95" s="7" t="s">
        <v>521</v>
      </c>
      <c r="I95" s="9" t="s">
        <v>353</v>
      </c>
      <c r="J95" s="88"/>
    </row>
    <row r="96">
      <c r="A96" s="6" t="s">
        <v>9</v>
      </c>
      <c r="B96" s="7" t="s">
        <v>522</v>
      </c>
      <c r="C96" s="91">
        <v>45985.519466342594</v>
      </c>
      <c r="D96" s="8">
        <f t="shared" ref="D96:D100" si="8">IFERROR(_xlfn.WORKDAY.INTL(C96, 2),"-")</f>
        <v>45987</v>
      </c>
      <c r="E96" s="9" t="s">
        <v>11</v>
      </c>
      <c r="F96" s="10"/>
      <c r="G96" s="9" t="s">
        <v>15</v>
      </c>
      <c r="H96" s="7" t="s">
        <v>523</v>
      </c>
      <c r="I96" s="9" t="s">
        <v>353</v>
      </c>
      <c r="J96" s="88"/>
    </row>
    <row r="97">
      <c r="A97" s="6" t="s">
        <v>9</v>
      </c>
      <c r="B97" s="7" t="s">
        <v>524</v>
      </c>
      <c r="C97" s="91">
        <v>45985.52041149305</v>
      </c>
      <c r="D97" s="8">
        <f t="shared" si="8"/>
        <v>45987</v>
      </c>
      <c r="E97" s="9" t="s">
        <v>11</v>
      </c>
      <c r="F97" s="10"/>
      <c r="G97" s="9" t="s">
        <v>15</v>
      </c>
      <c r="H97" s="7" t="s">
        <v>46</v>
      </c>
      <c r="I97" s="9" t="s">
        <v>353</v>
      </c>
      <c r="J97" s="88"/>
    </row>
    <row r="98">
      <c r="A98" s="6" t="s">
        <v>9</v>
      </c>
      <c r="B98" s="7" t="s">
        <v>525</v>
      </c>
      <c r="C98" s="91">
        <v>45985.5192405787</v>
      </c>
      <c r="D98" s="8">
        <f t="shared" si="8"/>
        <v>45987</v>
      </c>
      <c r="E98" s="9" t="s">
        <v>11</v>
      </c>
      <c r="F98" s="10"/>
      <c r="G98" s="9" t="s">
        <v>15</v>
      </c>
      <c r="H98" s="7" t="s">
        <v>526</v>
      </c>
      <c r="I98" s="9" t="s">
        <v>353</v>
      </c>
      <c r="J98" s="88"/>
    </row>
    <row r="99">
      <c r="A99" s="6" t="s">
        <v>9</v>
      </c>
      <c r="B99" s="7" t="s">
        <v>527</v>
      </c>
      <c r="C99" s="91">
        <v>45985.518977141204</v>
      </c>
      <c r="D99" s="8">
        <f t="shared" si="8"/>
        <v>45987</v>
      </c>
      <c r="E99" s="9" t="s">
        <v>11</v>
      </c>
      <c r="F99" s="10"/>
      <c r="G99" s="9" t="s">
        <v>15</v>
      </c>
      <c r="H99" s="7" t="s">
        <v>528</v>
      </c>
      <c r="I99" s="9" t="s">
        <v>353</v>
      </c>
      <c r="J99" s="88"/>
    </row>
    <row r="100">
      <c r="A100" s="6" t="s">
        <v>9</v>
      </c>
      <c r="B100" s="7" t="s">
        <v>529</v>
      </c>
      <c r="C100" s="91">
        <v>45985.518821273145</v>
      </c>
      <c r="D100" s="8">
        <f t="shared" si="8"/>
        <v>45987</v>
      </c>
      <c r="E100" s="9" t="s">
        <v>11</v>
      </c>
      <c r="F100" s="10"/>
      <c r="G100" s="9" t="s">
        <v>15</v>
      </c>
      <c r="H100" s="7" t="s">
        <v>528</v>
      </c>
      <c r="I100" s="9" t="s">
        <v>353</v>
      </c>
      <c r="J100" s="88"/>
    </row>
    <row r="101">
      <c r="A101" s="20" t="s">
        <v>98</v>
      </c>
      <c r="B101" s="9" t="s">
        <v>530</v>
      </c>
      <c r="C101" s="91">
        <v>45919.37837997686</v>
      </c>
      <c r="D101" s="8"/>
      <c r="E101" s="9"/>
      <c r="F101" s="10"/>
      <c r="G101" s="9" t="s">
        <v>15</v>
      </c>
      <c r="H101" s="22" t="s">
        <v>531</v>
      </c>
      <c r="I101" s="9" t="s">
        <v>353</v>
      </c>
      <c r="J101" s="88"/>
    </row>
    <row r="102">
      <c r="A102" s="6" t="s">
        <v>9</v>
      </c>
      <c r="B102" s="7" t="s">
        <v>532</v>
      </c>
      <c r="C102" s="91">
        <v>45985.519617303245</v>
      </c>
      <c r="D102" s="8">
        <f t="shared" ref="D102:D103" si="9">IFERROR(_xlfn.WORKDAY.INTL(C102, 2),"-")</f>
        <v>45987</v>
      </c>
      <c r="E102" s="9" t="s">
        <v>11</v>
      </c>
      <c r="F102" s="10"/>
      <c r="G102" s="9" t="s">
        <v>15</v>
      </c>
      <c r="H102" s="7" t="s">
        <v>497</v>
      </c>
      <c r="I102" s="9" t="s">
        <v>353</v>
      </c>
      <c r="J102" s="88"/>
    </row>
    <row r="103">
      <c r="A103" s="6" t="s">
        <v>9</v>
      </c>
      <c r="B103" s="7" t="s">
        <v>533</v>
      </c>
      <c r="C103" s="91">
        <v>45985.52409986111</v>
      </c>
      <c r="D103" s="8">
        <f t="shared" si="9"/>
        <v>45987</v>
      </c>
      <c r="E103" s="9" t="s">
        <v>11</v>
      </c>
      <c r="F103" s="10"/>
      <c r="G103" s="9" t="s">
        <v>15</v>
      </c>
      <c r="H103" s="7" t="s">
        <v>534</v>
      </c>
      <c r="I103" s="9" t="s">
        <v>353</v>
      </c>
      <c r="J103" s="88"/>
    </row>
    <row r="104">
      <c r="A104" s="20" t="s">
        <v>98</v>
      </c>
      <c r="B104" s="9" t="s">
        <v>535</v>
      </c>
      <c r="C104" s="91">
        <v>45986.7356408912</v>
      </c>
      <c r="D104" s="8"/>
      <c r="E104" s="9"/>
      <c r="F104" s="10"/>
      <c r="G104" s="9" t="s">
        <v>15</v>
      </c>
      <c r="H104" s="7" t="s">
        <v>536</v>
      </c>
      <c r="I104" s="9" t="s">
        <v>353</v>
      </c>
      <c r="J104" s="88"/>
    </row>
    <row r="105">
      <c r="A105" s="20" t="s">
        <v>98</v>
      </c>
      <c r="B105" s="9" t="s">
        <v>537</v>
      </c>
      <c r="C105" s="91">
        <v>45987.69253032407</v>
      </c>
      <c r="D105" s="8"/>
      <c r="E105" s="9"/>
      <c r="F105" s="10"/>
      <c r="G105" s="9" t="s">
        <v>15</v>
      </c>
      <c r="H105" s="7" t="s">
        <v>538</v>
      </c>
      <c r="I105" s="9" t="s">
        <v>353</v>
      </c>
      <c r="J105" s="88"/>
    </row>
    <row r="106">
      <c r="A106" s="20" t="s">
        <v>98</v>
      </c>
      <c r="B106" s="9" t="s">
        <v>539</v>
      </c>
      <c r="C106" s="91">
        <v>45987.73858358796</v>
      </c>
      <c r="D106" s="8"/>
      <c r="E106" s="9"/>
      <c r="F106" s="10"/>
      <c r="G106" s="9" t="s">
        <v>15</v>
      </c>
      <c r="H106" s="7" t="s">
        <v>538</v>
      </c>
      <c r="I106" s="9" t="s">
        <v>353</v>
      </c>
      <c r="J106" s="88"/>
    </row>
    <row r="107">
      <c r="A107" s="20" t="s">
        <v>98</v>
      </c>
      <c r="B107" s="9" t="s">
        <v>540</v>
      </c>
      <c r="C107" s="91">
        <v>45833.35170918981</v>
      </c>
      <c r="D107" s="8"/>
      <c r="E107" s="9"/>
      <c r="F107" s="10"/>
      <c r="G107" s="9" t="s">
        <v>15</v>
      </c>
      <c r="H107" s="23" t="s">
        <v>541</v>
      </c>
      <c r="I107" s="9" t="s">
        <v>353</v>
      </c>
      <c r="J107" s="88"/>
    </row>
    <row r="108">
      <c r="A108" s="20" t="s">
        <v>98</v>
      </c>
      <c r="B108" s="9" t="s">
        <v>542</v>
      </c>
      <c r="C108" s="91">
        <v>45987.74715783565</v>
      </c>
      <c r="D108" s="8"/>
      <c r="E108" s="9"/>
      <c r="F108" s="10"/>
      <c r="G108" s="9" t="s">
        <v>18</v>
      </c>
      <c r="H108" s="7" t="s">
        <v>543</v>
      </c>
      <c r="I108" s="9" t="s">
        <v>353</v>
      </c>
      <c r="J108" s="88"/>
    </row>
    <row r="109">
      <c r="A109" s="20" t="s">
        <v>98</v>
      </c>
      <c r="B109" s="9" t="s">
        <v>544</v>
      </c>
      <c r="C109" s="91">
        <v>45986.696356886576</v>
      </c>
      <c r="D109" s="8"/>
      <c r="E109" s="9"/>
      <c r="F109" s="10"/>
      <c r="G109" s="9" t="s">
        <v>15</v>
      </c>
      <c r="H109" s="7" t="s">
        <v>543</v>
      </c>
      <c r="I109" s="9" t="s">
        <v>353</v>
      </c>
      <c r="J109" s="88"/>
    </row>
    <row r="110">
      <c r="A110" s="20" t="s">
        <v>98</v>
      </c>
      <c r="B110" s="9" t="s">
        <v>545</v>
      </c>
      <c r="C110" s="91">
        <v>45978.63104788194</v>
      </c>
      <c r="D110" s="8"/>
      <c r="E110" s="9"/>
      <c r="F110" s="10"/>
      <c r="G110" s="9" t="s">
        <v>15</v>
      </c>
      <c r="H110" s="7" t="s">
        <v>546</v>
      </c>
      <c r="I110" s="9" t="s">
        <v>353</v>
      </c>
      <c r="J110" s="88"/>
    </row>
    <row r="111">
      <c r="A111" s="6" t="s">
        <v>9</v>
      </c>
      <c r="B111" s="7" t="s">
        <v>547</v>
      </c>
      <c r="C111" s="91">
        <v>45985.505299756944</v>
      </c>
      <c r="D111" s="8">
        <f t="shared" ref="D111:D112" si="10">IFERROR(_xlfn.WORKDAY.INTL(C111, 2),"-")</f>
        <v>45987</v>
      </c>
      <c r="E111" s="9" t="s">
        <v>11</v>
      </c>
      <c r="F111" s="10"/>
      <c r="G111" s="9" t="s">
        <v>18</v>
      </c>
      <c r="H111" s="7" t="s">
        <v>548</v>
      </c>
      <c r="I111" s="9" t="s">
        <v>353</v>
      </c>
      <c r="J111" s="88"/>
    </row>
    <row r="112">
      <c r="A112" s="6" t="s">
        <v>9</v>
      </c>
      <c r="B112" s="7" t="s">
        <v>549</v>
      </c>
      <c r="C112" s="91">
        <v>45987.37799930555</v>
      </c>
      <c r="D112" s="8">
        <f t="shared" si="10"/>
        <v>45989</v>
      </c>
      <c r="E112" s="9" t="s">
        <v>11</v>
      </c>
      <c r="F112" s="10"/>
      <c r="G112" s="9" t="s">
        <v>15</v>
      </c>
      <c r="H112" s="7" t="s">
        <v>437</v>
      </c>
      <c r="I112" s="9" t="s">
        <v>353</v>
      </c>
      <c r="J112" s="88"/>
    </row>
    <row r="113">
      <c r="A113" s="54" t="s">
        <v>236</v>
      </c>
      <c r="B113" s="22" t="s">
        <v>550</v>
      </c>
      <c r="C113" s="101">
        <v>45985.612079548606</v>
      </c>
      <c r="D113" s="56"/>
      <c r="E113" s="57"/>
      <c r="F113" s="58"/>
      <c r="G113" s="57" t="s">
        <v>220</v>
      </c>
      <c r="H113" s="66" t="s">
        <v>551</v>
      </c>
      <c r="I113" s="57" t="s">
        <v>353</v>
      </c>
      <c r="J113" s="88"/>
    </row>
    <row r="114">
      <c r="A114" s="54" t="s">
        <v>236</v>
      </c>
      <c r="B114" s="7" t="s">
        <v>552</v>
      </c>
      <c r="C114" s="91">
        <v>45985.5966546412</v>
      </c>
      <c r="D114" s="8"/>
      <c r="E114" s="9"/>
      <c r="F114" s="10"/>
      <c r="G114" s="9" t="s">
        <v>15</v>
      </c>
      <c r="H114" s="7" t="s">
        <v>553</v>
      </c>
      <c r="I114" s="9" t="s">
        <v>353</v>
      </c>
      <c r="J114" s="88"/>
    </row>
    <row r="115">
      <c r="A115" s="6" t="s">
        <v>9</v>
      </c>
      <c r="B115" s="7" t="s">
        <v>554</v>
      </c>
      <c r="C115" s="91">
        <v>45981.44687854167</v>
      </c>
      <c r="D115" s="8">
        <f t="shared" ref="D115:D116" si="11">IFERROR(_xlfn.WORKDAY.INTL(C115, 2),"-")</f>
        <v>45985</v>
      </c>
      <c r="E115" s="9" t="s">
        <v>11</v>
      </c>
      <c r="F115" s="10"/>
      <c r="G115" s="9" t="s">
        <v>15</v>
      </c>
      <c r="H115" s="7" t="s">
        <v>555</v>
      </c>
      <c r="I115" s="9" t="s">
        <v>353</v>
      </c>
      <c r="J115" s="88"/>
    </row>
    <row r="116">
      <c r="A116" s="6" t="s">
        <v>9</v>
      </c>
      <c r="B116" s="7" t="s">
        <v>556</v>
      </c>
      <c r="C116" s="91">
        <v>45985.52243993056</v>
      </c>
      <c r="D116" s="8">
        <f t="shared" si="11"/>
        <v>45987</v>
      </c>
      <c r="E116" s="9" t="s">
        <v>11</v>
      </c>
      <c r="F116" s="10"/>
      <c r="G116" s="9" t="s">
        <v>15</v>
      </c>
      <c r="H116" s="7" t="s">
        <v>557</v>
      </c>
      <c r="I116" s="9" t="s">
        <v>353</v>
      </c>
      <c r="J116" s="88"/>
    </row>
    <row r="117">
      <c r="A117" s="20" t="s">
        <v>98</v>
      </c>
      <c r="B117" s="9" t="s">
        <v>558</v>
      </c>
      <c r="C117" s="91">
        <v>45978.63364215278</v>
      </c>
      <c r="D117" s="8"/>
      <c r="E117" s="9"/>
      <c r="F117" s="10"/>
      <c r="G117" s="9" t="s">
        <v>15</v>
      </c>
      <c r="H117" s="7" t="s">
        <v>559</v>
      </c>
      <c r="I117" s="9" t="s">
        <v>353</v>
      </c>
      <c r="J117" s="88"/>
    </row>
    <row r="118">
      <c r="A118" s="6" t="s">
        <v>9</v>
      </c>
      <c r="B118" s="7" t="s">
        <v>560</v>
      </c>
      <c r="C118" s="91">
        <v>45985.51936439815</v>
      </c>
      <c r="D118" s="8">
        <f t="shared" ref="D118:D119" si="12">IFERROR(_xlfn.WORKDAY.INTL(C118, 2),"-")</f>
        <v>45987</v>
      </c>
      <c r="E118" s="9" t="s">
        <v>11</v>
      </c>
      <c r="F118" s="10"/>
      <c r="G118" s="9" t="s">
        <v>15</v>
      </c>
      <c r="H118" s="7" t="s">
        <v>561</v>
      </c>
      <c r="I118" s="9" t="s">
        <v>353</v>
      </c>
      <c r="J118" s="88"/>
    </row>
    <row r="119">
      <c r="A119" s="6" t="s">
        <v>9</v>
      </c>
      <c r="B119" s="7" t="s">
        <v>562</v>
      </c>
      <c r="C119" s="91">
        <v>45986.48212072917</v>
      </c>
      <c r="D119" s="8">
        <f t="shared" si="12"/>
        <v>45988</v>
      </c>
      <c r="E119" s="9" t="s">
        <v>11</v>
      </c>
      <c r="F119" s="10"/>
      <c r="G119" s="9" t="s">
        <v>18</v>
      </c>
      <c r="H119" s="7" t="s">
        <v>437</v>
      </c>
      <c r="I119" s="9" t="s">
        <v>353</v>
      </c>
      <c r="J119" s="88"/>
    </row>
    <row r="120">
      <c r="A120" s="20" t="s">
        <v>98</v>
      </c>
      <c r="B120" s="9" t="s">
        <v>542</v>
      </c>
      <c r="C120" s="91">
        <v>45968.38656459491</v>
      </c>
      <c r="D120" s="8"/>
      <c r="E120" s="9"/>
      <c r="F120" s="10"/>
      <c r="G120" s="9" t="s">
        <v>15</v>
      </c>
      <c r="H120" s="22" t="s">
        <v>563</v>
      </c>
      <c r="I120" s="9" t="s">
        <v>353</v>
      </c>
      <c r="J120" s="88"/>
    </row>
    <row r="121">
      <c r="A121" s="6" t="s">
        <v>9</v>
      </c>
      <c r="B121" s="7" t="s">
        <v>564</v>
      </c>
      <c r="C121" s="91">
        <v>45967.61894508102</v>
      </c>
      <c r="D121" s="8">
        <f>IFERROR(_xlfn.WORKDAY.INTL(C121, 2),"-")</f>
        <v>45971</v>
      </c>
      <c r="E121" s="9" t="s">
        <v>11</v>
      </c>
      <c r="F121" s="10"/>
      <c r="G121" s="9" t="s">
        <v>15</v>
      </c>
      <c r="H121" s="7" t="s">
        <v>565</v>
      </c>
      <c r="I121" s="9" t="s">
        <v>353</v>
      </c>
      <c r="J121" s="88"/>
    </row>
    <row r="122">
      <c r="A122" s="20" t="s">
        <v>98</v>
      </c>
      <c r="B122" s="9" t="s">
        <v>566</v>
      </c>
      <c r="C122" s="91">
        <v>45978.632247685186</v>
      </c>
      <c r="D122" s="8"/>
      <c r="E122" s="9"/>
      <c r="F122" s="10"/>
      <c r="G122" s="9" t="s">
        <v>15</v>
      </c>
      <c r="H122" s="7" t="s">
        <v>567</v>
      </c>
      <c r="I122" s="9" t="s">
        <v>353</v>
      </c>
      <c r="J122" s="88"/>
    </row>
    <row r="123">
      <c r="A123" s="54" t="s">
        <v>236</v>
      </c>
      <c r="B123" s="7" t="s">
        <v>568</v>
      </c>
      <c r="C123" s="91">
        <v>45985.64425769676</v>
      </c>
      <c r="D123" s="8"/>
      <c r="E123" s="9"/>
      <c r="F123" s="10"/>
      <c r="G123" s="9"/>
      <c r="H123" s="7" t="s">
        <v>569</v>
      </c>
      <c r="I123" s="9" t="s">
        <v>353</v>
      </c>
      <c r="J123" s="88"/>
    </row>
    <row r="124">
      <c r="A124" s="54" t="s">
        <v>236</v>
      </c>
      <c r="B124" s="7" t="s">
        <v>570</v>
      </c>
      <c r="C124" s="91">
        <v>45985.64348103009</v>
      </c>
      <c r="D124" s="8"/>
      <c r="E124" s="9"/>
      <c r="F124" s="10"/>
      <c r="G124" s="9"/>
      <c r="H124" s="7" t="s">
        <v>571</v>
      </c>
      <c r="I124" s="9" t="s">
        <v>353</v>
      </c>
      <c r="J124" s="88"/>
    </row>
    <row r="125">
      <c r="A125" s="54" t="s">
        <v>236</v>
      </c>
      <c r="B125" s="7" t="s">
        <v>572</v>
      </c>
      <c r="C125" s="91">
        <v>45985.64094863426</v>
      </c>
      <c r="D125" s="8"/>
      <c r="E125" s="9"/>
      <c r="F125" s="10"/>
      <c r="G125" s="9"/>
      <c r="H125" s="7" t="s">
        <v>573</v>
      </c>
      <c r="I125" s="9" t="s">
        <v>353</v>
      </c>
      <c r="J125" s="88"/>
    </row>
    <row r="126">
      <c r="A126" s="54" t="s">
        <v>236</v>
      </c>
      <c r="B126" s="7" t="s">
        <v>574</v>
      </c>
      <c r="C126" s="91">
        <v>45985.64007789352</v>
      </c>
      <c r="D126" s="8"/>
      <c r="E126" s="9"/>
      <c r="F126" s="10"/>
      <c r="G126" s="9"/>
      <c r="H126" s="7" t="s">
        <v>575</v>
      </c>
      <c r="I126" s="9" t="s">
        <v>353</v>
      </c>
      <c r="J126" s="88"/>
    </row>
    <row r="127">
      <c r="A127" s="54" t="s">
        <v>236</v>
      </c>
      <c r="B127" s="7" t="s">
        <v>576</v>
      </c>
      <c r="C127" s="91">
        <v>45947.45247135416</v>
      </c>
      <c r="D127" s="8"/>
      <c r="E127" s="9"/>
      <c r="F127" s="10"/>
      <c r="G127" s="9" t="s">
        <v>18</v>
      </c>
      <c r="H127" s="60" t="s">
        <v>577</v>
      </c>
      <c r="I127" s="9" t="s">
        <v>353</v>
      </c>
      <c r="J127" s="88"/>
    </row>
    <row r="128">
      <c r="A128" s="54" t="s">
        <v>236</v>
      </c>
      <c r="B128" s="7" t="s">
        <v>578</v>
      </c>
      <c r="C128" s="91">
        <v>45985.610668078705</v>
      </c>
      <c r="D128" s="8"/>
      <c r="E128" s="9"/>
      <c r="F128" s="10"/>
      <c r="G128" s="9"/>
      <c r="H128" s="7" t="s">
        <v>579</v>
      </c>
      <c r="I128" s="9" t="s">
        <v>353</v>
      </c>
      <c r="J128" s="88"/>
    </row>
    <row r="129">
      <c r="A129" s="54" t="s">
        <v>236</v>
      </c>
      <c r="B129" s="7" t="s">
        <v>580</v>
      </c>
      <c r="C129" s="91">
        <v>45985.61050292824</v>
      </c>
      <c r="D129" s="8"/>
      <c r="E129" s="9"/>
      <c r="F129" s="10"/>
      <c r="G129" s="9"/>
      <c r="H129" s="11"/>
      <c r="I129" s="9" t="s">
        <v>353</v>
      </c>
      <c r="J129" s="88"/>
    </row>
    <row r="130">
      <c r="A130" s="54" t="s">
        <v>236</v>
      </c>
      <c r="B130" s="7" t="s">
        <v>581</v>
      </c>
      <c r="C130" s="91">
        <v>45985.60899483797</v>
      </c>
      <c r="D130" s="8"/>
      <c r="E130" s="9"/>
      <c r="F130" s="10"/>
      <c r="G130" s="9"/>
      <c r="H130" s="7" t="s">
        <v>582</v>
      </c>
      <c r="I130" s="9" t="s">
        <v>353</v>
      </c>
      <c r="J130" s="88"/>
    </row>
    <row r="131">
      <c r="A131" s="6" t="s">
        <v>9</v>
      </c>
      <c r="B131" s="7" t="s">
        <v>583</v>
      </c>
      <c r="C131" s="91">
        <v>45985.5227450463</v>
      </c>
      <c r="D131" s="8">
        <f>IFERROR(_xlfn.WORKDAY.INTL(C131, 2),"-")</f>
        <v>45987</v>
      </c>
      <c r="E131" s="9" t="s">
        <v>11</v>
      </c>
      <c r="F131" s="10"/>
      <c r="G131" s="9" t="s">
        <v>18</v>
      </c>
      <c r="H131" s="7" t="s">
        <v>584</v>
      </c>
      <c r="I131" s="9" t="s">
        <v>353</v>
      </c>
      <c r="J131" s="88"/>
    </row>
    <row r="132">
      <c r="A132" s="54" t="s">
        <v>236</v>
      </c>
      <c r="B132" s="7" t="s">
        <v>585</v>
      </c>
      <c r="C132" s="91">
        <v>45985.60821553241</v>
      </c>
      <c r="D132" s="8"/>
      <c r="E132" s="9"/>
      <c r="F132" s="10"/>
      <c r="G132" s="9"/>
      <c r="H132" s="7" t="s">
        <v>586</v>
      </c>
      <c r="I132" s="9" t="s">
        <v>353</v>
      </c>
      <c r="J132" s="88"/>
    </row>
    <row r="133">
      <c r="A133" s="54" t="s">
        <v>236</v>
      </c>
      <c r="B133" s="7" t="s">
        <v>587</v>
      </c>
      <c r="C133" s="91">
        <v>45985.60730550926</v>
      </c>
      <c r="D133" s="8"/>
      <c r="E133" s="9"/>
      <c r="F133" s="10"/>
      <c r="G133" s="9"/>
      <c r="H133" s="7" t="s">
        <v>588</v>
      </c>
      <c r="I133" s="9" t="s">
        <v>353</v>
      </c>
      <c r="J133" s="88"/>
    </row>
    <row r="134">
      <c r="A134" s="54" t="s">
        <v>236</v>
      </c>
      <c r="B134" s="7" t="s">
        <v>589</v>
      </c>
      <c r="C134" s="91">
        <v>45985.60686034722</v>
      </c>
      <c r="D134" s="8"/>
      <c r="E134" s="9"/>
      <c r="F134" s="10"/>
      <c r="G134" s="9"/>
      <c r="H134" s="7" t="s">
        <v>590</v>
      </c>
      <c r="I134" s="9" t="s">
        <v>353</v>
      </c>
      <c r="J134" s="88"/>
    </row>
    <row r="135">
      <c r="A135" s="54" t="s">
        <v>236</v>
      </c>
      <c r="B135" s="11"/>
      <c r="C135" s="91"/>
      <c r="D135" s="8"/>
      <c r="E135" s="9"/>
      <c r="F135" s="10"/>
      <c r="G135" s="9"/>
      <c r="H135" s="11"/>
      <c r="I135" s="9" t="s">
        <v>353</v>
      </c>
      <c r="J135" s="88"/>
    </row>
    <row r="136">
      <c r="A136" s="54" t="s">
        <v>236</v>
      </c>
      <c r="B136" s="11"/>
      <c r="C136" s="91"/>
      <c r="D136" s="8"/>
      <c r="E136" s="9"/>
      <c r="F136" s="10"/>
      <c r="G136" s="9"/>
      <c r="H136" s="11"/>
      <c r="I136" s="9" t="s">
        <v>353</v>
      </c>
      <c r="J136" s="88"/>
    </row>
    <row r="137">
      <c r="A137" s="54" t="s">
        <v>236</v>
      </c>
      <c r="B137" s="7" t="s">
        <v>591</v>
      </c>
      <c r="C137" s="91">
        <v>45985.604261898145</v>
      </c>
      <c r="D137" s="8"/>
      <c r="E137" s="9"/>
      <c r="F137" s="10"/>
      <c r="G137" s="9"/>
      <c r="H137" s="7" t="s">
        <v>592</v>
      </c>
      <c r="I137" s="9" t="s">
        <v>353</v>
      </c>
      <c r="J137" s="88"/>
    </row>
    <row r="138">
      <c r="A138" s="54" t="s">
        <v>236</v>
      </c>
      <c r="B138" s="7" t="s">
        <v>593</v>
      </c>
      <c r="C138" s="91">
        <v>45985.603805844905</v>
      </c>
      <c r="D138" s="8"/>
      <c r="E138" s="9"/>
      <c r="F138" s="10"/>
      <c r="G138" s="9"/>
      <c r="H138" s="7" t="s">
        <v>594</v>
      </c>
      <c r="I138" s="9" t="s">
        <v>353</v>
      </c>
      <c r="J138" s="88"/>
    </row>
    <row r="139">
      <c r="A139" s="54" t="s">
        <v>236</v>
      </c>
      <c r="B139" s="7" t="s">
        <v>595</v>
      </c>
      <c r="C139" s="91">
        <v>45985.6031760301</v>
      </c>
      <c r="D139" s="8"/>
      <c r="E139" s="9"/>
      <c r="F139" s="10"/>
      <c r="G139" s="9"/>
      <c r="H139" s="7" t="s">
        <v>596</v>
      </c>
      <c r="I139" s="9" t="s">
        <v>353</v>
      </c>
      <c r="J139" s="88"/>
    </row>
    <row r="140">
      <c r="A140" s="54" t="s">
        <v>236</v>
      </c>
      <c r="B140" s="7" t="s">
        <v>597</v>
      </c>
      <c r="C140" s="91">
        <v>45985.60251712963</v>
      </c>
      <c r="D140" s="8"/>
      <c r="E140" s="9"/>
      <c r="F140" s="10"/>
      <c r="G140" s="9"/>
      <c r="H140" s="7" t="s">
        <v>598</v>
      </c>
      <c r="I140" s="9" t="s">
        <v>353</v>
      </c>
      <c r="J140" s="88"/>
    </row>
    <row r="141">
      <c r="A141" s="54" t="s">
        <v>236</v>
      </c>
      <c r="B141" s="7" t="s">
        <v>599</v>
      </c>
      <c r="C141" s="91">
        <v>45944.71509736111</v>
      </c>
      <c r="D141" s="8"/>
      <c r="E141" s="9"/>
      <c r="F141" s="10"/>
      <c r="G141" s="9" t="s">
        <v>18</v>
      </c>
      <c r="H141" s="68" t="s">
        <v>473</v>
      </c>
      <c r="I141" s="9" t="s">
        <v>353</v>
      </c>
      <c r="J141" s="88"/>
    </row>
    <row r="142">
      <c r="A142" s="54" t="s">
        <v>236</v>
      </c>
      <c r="B142" s="7" t="s">
        <v>600</v>
      </c>
      <c r="C142" s="91">
        <v>45950.665363078704</v>
      </c>
      <c r="D142" s="8"/>
      <c r="E142" s="9"/>
      <c r="F142" s="10"/>
      <c r="G142" s="9" t="s">
        <v>18</v>
      </c>
      <c r="H142" s="68" t="s">
        <v>473</v>
      </c>
      <c r="I142" s="9" t="s">
        <v>353</v>
      </c>
      <c r="J142" s="88"/>
    </row>
    <row r="143">
      <c r="A143" s="54" t="s">
        <v>236</v>
      </c>
      <c r="B143" s="7" t="s">
        <v>601</v>
      </c>
      <c r="C143" s="91">
        <v>45950.66462333333</v>
      </c>
      <c r="D143" s="8"/>
      <c r="E143" s="9"/>
      <c r="F143" s="10"/>
      <c r="G143" s="9" t="s">
        <v>18</v>
      </c>
      <c r="H143" s="60" t="s">
        <v>602</v>
      </c>
      <c r="I143" s="9" t="s">
        <v>353</v>
      </c>
      <c r="J143" s="88"/>
    </row>
    <row r="144">
      <c r="A144" s="54" t="s">
        <v>236</v>
      </c>
      <c r="B144" s="7" t="s">
        <v>603</v>
      </c>
      <c r="C144" s="91">
        <v>45944.71427010417</v>
      </c>
      <c r="D144" s="8"/>
      <c r="E144" s="9"/>
      <c r="F144" s="10"/>
      <c r="G144" s="9" t="s">
        <v>18</v>
      </c>
      <c r="H144" s="68" t="s">
        <v>473</v>
      </c>
      <c r="I144" s="9" t="s">
        <v>353</v>
      </c>
      <c r="J144" s="88"/>
    </row>
    <row r="145">
      <c r="A145" s="54" t="s">
        <v>236</v>
      </c>
      <c r="B145" s="7" t="s">
        <v>604</v>
      </c>
      <c r="C145" s="91">
        <v>45947.45217203704</v>
      </c>
      <c r="D145" s="8"/>
      <c r="E145" s="9"/>
      <c r="F145" s="10"/>
      <c r="G145" s="9" t="s">
        <v>18</v>
      </c>
      <c r="H145" s="68" t="s">
        <v>473</v>
      </c>
      <c r="I145" s="9" t="s">
        <v>353</v>
      </c>
      <c r="J145" s="88"/>
    </row>
    <row r="146">
      <c r="A146" s="54" t="s">
        <v>236</v>
      </c>
      <c r="B146" s="7" t="s">
        <v>605</v>
      </c>
      <c r="C146" s="91">
        <v>45947.4527934838</v>
      </c>
      <c r="D146" s="8"/>
      <c r="E146" s="9"/>
      <c r="F146" s="10"/>
      <c r="G146" s="9" t="s">
        <v>18</v>
      </c>
      <c r="H146" s="68" t="s">
        <v>473</v>
      </c>
      <c r="I146" s="9" t="s">
        <v>353</v>
      </c>
      <c r="J146" s="88"/>
    </row>
    <row r="147">
      <c r="A147" s="54" t="s">
        <v>236</v>
      </c>
      <c r="B147" s="7" t="s">
        <v>606</v>
      </c>
      <c r="C147" s="91">
        <v>45944.71521981481</v>
      </c>
      <c r="D147" s="8"/>
      <c r="E147" s="9"/>
      <c r="F147" s="10"/>
      <c r="G147" s="9" t="s">
        <v>18</v>
      </c>
      <c r="H147" s="60" t="s">
        <v>607</v>
      </c>
      <c r="I147" s="9" t="s">
        <v>353</v>
      </c>
      <c r="J147" s="88"/>
    </row>
    <row r="148">
      <c r="A148" s="54" t="s">
        <v>236</v>
      </c>
      <c r="B148" s="7" t="s">
        <v>608</v>
      </c>
      <c r="C148" s="91">
        <v>45985.60042045139</v>
      </c>
      <c r="D148" s="8"/>
      <c r="E148" s="9"/>
      <c r="F148" s="10"/>
      <c r="G148" s="9"/>
      <c r="H148" s="7" t="s">
        <v>609</v>
      </c>
      <c r="I148" s="9" t="s">
        <v>353</v>
      </c>
      <c r="J148" s="88"/>
    </row>
    <row r="149">
      <c r="A149" s="54" t="s">
        <v>236</v>
      </c>
      <c r="B149" s="7" t="s">
        <v>610</v>
      </c>
      <c r="C149" s="91">
        <v>45985.59999614583</v>
      </c>
      <c r="D149" s="8"/>
      <c r="E149" s="9"/>
      <c r="F149" s="10"/>
      <c r="G149" s="9"/>
      <c r="H149" s="7" t="s">
        <v>611</v>
      </c>
      <c r="I149" s="9" t="s">
        <v>353</v>
      </c>
      <c r="J149" s="88"/>
    </row>
    <row r="150">
      <c r="A150" s="54" t="s">
        <v>236</v>
      </c>
      <c r="B150" s="7" t="s">
        <v>612</v>
      </c>
      <c r="C150" s="91">
        <v>45985.59888454861</v>
      </c>
      <c r="D150" s="8"/>
      <c r="E150" s="9"/>
      <c r="F150" s="10"/>
      <c r="G150" s="9" t="s">
        <v>18</v>
      </c>
      <c r="H150" s="7" t="s">
        <v>613</v>
      </c>
      <c r="I150" s="9" t="s">
        <v>353</v>
      </c>
      <c r="J150" s="88"/>
    </row>
    <row r="151">
      <c r="A151" s="54" t="s">
        <v>236</v>
      </c>
      <c r="B151" s="7" t="s">
        <v>614</v>
      </c>
      <c r="C151" s="91">
        <v>45985.598005312495</v>
      </c>
      <c r="D151" s="8"/>
      <c r="E151" s="9"/>
      <c r="F151" s="10"/>
      <c r="G151" s="9"/>
      <c r="H151" s="7" t="s">
        <v>615</v>
      </c>
      <c r="I151" s="9" t="s">
        <v>353</v>
      </c>
      <c r="J151" s="88"/>
    </row>
    <row r="152">
      <c r="A152" s="54" t="s">
        <v>236</v>
      </c>
      <c r="B152" s="7" t="s">
        <v>616</v>
      </c>
      <c r="C152" s="91">
        <v>45985.5976234838</v>
      </c>
      <c r="D152" s="8"/>
      <c r="E152" s="9"/>
      <c r="F152" s="10"/>
      <c r="G152" s="9"/>
      <c r="H152" s="7" t="s">
        <v>617</v>
      </c>
      <c r="I152" s="9" t="s">
        <v>353</v>
      </c>
      <c r="J152" s="88"/>
    </row>
    <row r="153">
      <c r="A153" s="54" t="s">
        <v>236</v>
      </c>
      <c r="B153" s="7" t="s">
        <v>618</v>
      </c>
      <c r="C153" s="91">
        <v>45985.59656556713</v>
      </c>
      <c r="D153" s="8"/>
      <c r="E153" s="9"/>
      <c r="F153" s="10"/>
      <c r="G153" s="9" t="s">
        <v>11</v>
      </c>
      <c r="H153" s="7" t="s">
        <v>619</v>
      </c>
      <c r="I153" s="9" t="s">
        <v>353</v>
      </c>
      <c r="J153" s="88"/>
    </row>
    <row r="154">
      <c r="A154" s="102"/>
      <c r="B154" s="103" t="s">
        <v>620</v>
      </c>
      <c r="C154" s="91">
        <v>45540.51238390047</v>
      </c>
      <c r="D154" s="8">
        <f>IFERROR(_xlfn.WORKDAY.INTL(C154, 2),"-")</f>
        <v>45544</v>
      </c>
      <c r="E154" s="9" t="s">
        <v>88</v>
      </c>
      <c r="F154" s="10"/>
      <c r="G154" s="9" t="s">
        <v>15</v>
      </c>
      <c r="H154" s="7" t="s">
        <v>621</v>
      </c>
      <c r="I154" s="9" t="s">
        <v>353</v>
      </c>
      <c r="J154" s="88"/>
    </row>
    <row r="155">
      <c r="A155" s="102"/>
      <c r="B155" s="7" t="s">
        <v>622</v>
      </c>
      <c r="C155" s="91">
        <v>45978.60772616898</v>
      </c>
      <c r="D155" s="8"/>
      <c r="E155" s="9"/>
      <c r="F155" s="10"/>
      <c r="G155" s="9" t="s">
        <v>18</v>
      </c>
      <c r="H155" s="104" t="s">
        <v>623</v>
      </c>
      <c r="I155" s="9" t="s">
        <v>353</v>
      </c>
      <c r="J155" s="88"/>
    </row>
    <row r="156">
      <c r="A156" s="102" t="s">
        <v>624</v>
      </c>
      <c r="B156" s="103" t="s">
        <v>625</v>
      </c>
      <c r="C156" s="91">
        <v>45978.62148901621</v>
      </c>
      <c r="D156" s="8">
        <f t="shared" ref="D156:D158" si="13">IFERROR(_xlfn.WORKDAY.INTL(C156, 2),"-")</f>
        <v>45980</v>
      </c>
      <c r="E156" s="9" t="s">
        <v>88</v>
      </c>
      <c r="F156" s="10"/>
      <c r="G156" s="9" t="s">
        <v>11</v>
      </c>
      <c r="H156" s="7" t="s">
        <v>626</v>
      </c>
      <c r="I156" s="9" t="s">
        <v>353</v>
      </c>
      <c r="J156" s="88"/>
    </row>
    <row r="157">
      <c r="A157" s="6" t="s">
        <v>9</v>
      </c>
      <c r="B157" s="7" t="s">
        <v>627</v>
      </c>
      <c r="C157" s="91">
        <v>45973.366386863425</v>
      </c>
      <c r="D157" s="8">
        <f t="shared" si="13"/>
        <v>45975</v>
      </c>
      <c r="E157" s="9" t="s">
        <v>11</v>
      </c>
      <c r="F157" s="10"/>
      <c r="G157" s="9" t="s">
        <v>15</v>
      </c>
      <c r="H157" s="7" t="s">
        <v>628</v>
      </c>
      <c r="I157" s="9" t="s">
        <v>353</v>
      </c>
      <c r="J157" s="88"/>
    </row>
    <row r="158">
      <c r="A158" s="6" t="s">
        <v>9</v>
      </c>
      <c r="B158" s="7" t="s">
        <v>629</v>
      </c>
      <c r="C158" s="91">
        <v>45862.68172825231</v>
      </c>
      <c r="D158" s="8">
        <f t="shared" si="13"/>
        <v>45866</v>
      </c>
      <c r="E158" s="9" t="s">
        <v>11</v>
      </c>
      <c r="F158" s="10"/>
      <c r="G158" s="9" t="s">
        <v>18</v>
      </c>
      <c r="H158" s="7" t="s">
        <v>630</v>
      </c>
      <c r="I158" s="9" t="s">
        <v>353</v>
      </c>
      <c r="J158" s="88"/>
    </row>
    <row r="159">
      <c r="A159" s="20" t="s">
        <v>98</v>
      </c>
      <c r="B159" s="9" t="s">
        <v>631</v>
      </c>
      <c r="C159" s="91">
        <v>45975.467023310186</v>
      </c>
      <c r="D159" s="8"/>
      <c r="E159" s="9"/>
      <c r="F159" s="10"/>
      <c r="G159" s="9" t="s">
        <v>15</v>
      </c>
      <c r="H159" s="7" t="s">
        <v>632</v>
      </c>
      <c r="I159" s="9" t="s">
        <v>353</v>
      </c>
      <c r="J159" s="88"/>
    </row>
    <row r="160">
      <c r="A160" s="6" t="s">
        <v>9</v>
      </c>
      <c r="B160" s="7" t="s">
        <v>633</v>
      </c>
      <c r="C160" s="91">
        <v>45971.55943245371</v>
      </c>
      <c r="D160" s="8">
        <f t="shared" ref="D160:D162" si="14">IFERROR(_xlfn.WORKDAY.INTL(C160, 2),"-")</f>
        <v>45973</v>
      </c>
      <c r="E160" s="9" t="s">
        <v>11</v>
      </c>
      <c r="F160" s="10"/>
      <c r="G160" s="9" t="s">
        <v>15</v>
      </c>
      <c r="H160" s="7" t="s">
        <v>634</v>
      </c>
      <c r="I160" s="9" t="s">
        <v>353</v>
      </c>
      <c r="J160" s="88"/>
    </row>
    <row r="161">
      <c r="A161" s="6" t="s">
        <v>9</v>
      </c>
      <c r="B161" s="7" t="s">
        <v>635</v>
      </c>
      <c r="C161" s="91">
        <v>45985.47286758102</v>
      </c>
      <c r="D161" s="8">
        <f t="shared" si="14"/>
        <v>45987</v>
      </c>
      <c r="E161" s="9" t="s">
        <v>11</v>
      </c>
      <c r="F161" s="10"/>
      <c r="G161" s="9" t="s">
        <v>18</v>
      </c>
      <c r="H161" s="7" t="s">
        <v>636</v>
      </c>
      <c r="I161" s="9" t="s">
        <v>353</v>
      </c>
      <c r="J161" s="88"/>
    </row>
    <row r="162">
      <c r="A162" s="6" t="s">
        <v>9</v>
      </c>
      <c r="B162" s="7" t="s">
        <v>637</v>
      </c>
      <c r="C162" s="91">
        <v>45973.36703684028</v>
      </c>
      <c r="D162" s="8">
        <f t="shared" si="14"/>
        <v>45975</v>
      </c>
      <c r="E162" s="9" t="s">
        <v>11</v>
      </c>
      <c r="F162" s="10"/>
      <c r="G162" s="9" t="s">
        <v>15</v>
      </c>
      <c r="H162" s="7" t="s">
        <v>638</v>
      </c>
      <c r="I162" s="9" t="s">
        <v>353</v>
      </c>
      <c r="J162" s="88"/>
    </row>
    <row r="163">
      <c r="A163" s="20" t="s">
        <v>98</v>
      </c>
      <c r="B163" s="9" t="s">
        <v>639</v>
      </c>
      <c r="C163" s="91">
        <v>45975.467707986114</v>
      </c>
      <c r="D163" s="8"/>
      <c r="E163" s="9"/>
      <c r="F163" s="10"/>
      <c r="G163" s="9" t="s">
        <v>15</v>
      </c>
      <c r="H163" s="7" t="s">
        <v>640</v>
      </c>
      <c r="I163" s="9" t="s">
        <v>353</v>
      </c>
      <c r="J163" s="88"/>
    </row>
    <row r="164">
      <c r="A164" s="20" t="s">
        <v>98</v>
      </c>
      <c r="B164" s="9" t="s">
        <v>641</v>
      </c>
      <c r="C164" s="91">
        <v>45883.42218918982</v>
      </c>
      <c r="D164" s="8"/>
      <c r="E164" s="9"/>
      <c r="F164" s="10"/>
      <c r="G164" s="9" t="s">
        <v>15</v>
      </c>
      <c r="H164" s="7" t="s">
        <v>642</v>
      </c>
      <c r="I164" s="9" t="s">
        <v>353</v>
      </c>
      <c r="J164" s="88"/>
    </row>
    <row r="165">
      <c r="A165" s="20" t="s">
        <v>98</v>
      </c>
      <c r="B165" s="9" t="s">
        <v>643</v>
      </c>
      <c r="C165" s="91">
        <v>45975.46684260417</v>
      </c>
      <c r="D165" s="8"/>
      <c r="E165" s="9"/>
      <c r="F165" s="10"/>
      <c r="G165" s="9" t="s">
        <v>15</v>
      </c>
      <c r="H165" s="7" t="s">
        <v>644</v>
      </c>
      <c r="I165" s="9" t="s">
        <v>353</v>
      </c>
      <c r="J165" s="88"/>
    </row>
    <row r="166">
      <c r="A166" s="6" t="s">
        <v>9</v>
      </c>
      <c r="B166" s="7" t="s">
        <v>645</v>
      </c>
      <c r="C166" s="91">
        <v>45980.478332326384</v>
      </c>
      <c r="D166" s="8">
        <f>IFERROR(_xlfn.WORKDAY.INTL(C166, 2),"-")</f>
        <v>45982</v>
      </c>
      <c r="E166" s="9" t="s">
        <v>11</v>
      </c>
      <c r="F166" s="10"/>
      <c r="G166" s="9" t="s">
        <v>15</v>
      </c>
      <c r="H166" s="7" t="s">
        <v>646</v>
      </c>
      <c r="I166" s="9" t="s">
        <v>353</v>
      </c>
      <c r="J166" s="88"/>
    </row>
    <row r="167">
      <c r="A167" s="20" t="s">
        <v>98</v>
      </c>
      <c r="B167" s="9" t="s">
        <v>647</v>
      </c>
      <c r="C167" s="91">
        <v>45981.76464878472</v>
      </c>
      <c r="D167" s="8"/>
      <c r="E167" s="9"/>
      <c r="F167" s="10"/>
      <c r="G167" s="9" t="s">
        <v>15</v>
      </c>
      <c r="H167" s="7" t="s">
        <v>648</v>
      </c>
      <c r="I167" s="9" t="s">
        <v>353</v>
      </c>
      <c r="J167" s="88"/>
    </row>
    <row r="168">
      <c r="A168" s="20" t="s">
        <v>98</v>
      </c>
      <c r="B168" s="9" t="s">
        <v>649</v>
      </c>
      <c r="C168" s="91">
        <v>45979.81396484954</v>
      </c>
      <c r="D168" s="8"/>
      <c r="E168" s="9"/>
      <c r="F168" s="10"/>
      <c r="G168" s="9" t="s">
        <v>15</v>
      </c>
      <c r="H168" s="7" t="s">
        <v>650</v>
      </c>
      <c r="I168" s="9" t="s">
        <v>353</v>
      </c>
      <c r="J168" s="88"/>
    </row>
    <row r="169">
      <c r="A169" s="6" t="s">
        <v>9</v>
      </c>
      <c r="B169" s="7" t="s">
        <v>651</v>
      </c>
      <c r="C169" s="91">
        <v>45981.447189432874</v>
      </c>
      <c r="D169" s="8">
        <f>IFERROR(_xlfn.WORKDAY.INTL(C169, 2),"-")</f>
        <v>45985</v>
      </c>
      <c r="E169" s="9" t="s">
        <v>11</v>
      </c>
      <c r="F169" s="10"/>
      <c r="G169" s="9" t="s">
        <v>15</v>
      </c>
      <c r="H169" s="7" t="s">
        <v>652</v>
      </c>
      <c r="I169" s="9" t="s">
        <v>353</v>
      </c>
      <c r="J169" s="88"/>
    </row>
    <row r="170">
      <c r="A170" s="20" t="s">
        <v>98</v>
      </c>
      <c r="B170" s="9" t="s">
        <v>653</v>
      </c>
      <c r="C170" s="91">
        <v>45981.79619466435</v>
      </c>
      <c r="D170" s="8"/>
      <c r="E170" s="9"/>
      <c r="F170" s="10"/>
      <c r="G170" s="9" t="s">
        <v>15</v>
      </c>
      <c r="H170" s="7" t="s">
        <v>644</v>
      </c>
      <c r="I170" s="9" t="s">
        <v>353</v>
      </c>
      <c r="J170" s="88"/>
    </row>
    <row r="171">
      <c r="A171" s="20" t="s">
        <v>98</v>
      </c>
      <c r="B171" s="9" t="s">
        <v>654</v>
      </c>
      <c r="C171" s="91">
        <v>45981.79624403935</v>
      </c>
      <c r="D171" s="8"/>
      <c r="E171" s="9"/>
      <c r="F171" s="10"/>
      <c r="G171" s="9" t="s">
        <v>15</v>
      </c>
      <c r="H171" s="7" t="s">
        <v>644</v>
      </c>
      <c r="I171" s="9" t="s">
        <v>353</v>
      </c>
      <c r="J171" s="88"/>
    </row>
    <row r="172">
      <c r="A172" s="20" t="s">
        <v>98</v>
      </c>
      <c r="B172" s="9" t="s">
        <v>655</v>
      </c>
      <c r="C172" s="91">
        <v>45911.3765320949</v>
      </c>
      <c r="D172" s="8"/>
      <c r="E172" s="9"/>
      <c r="F172" s="10"/>
      <c r="G172" s="9" t="s">
        <v>18</v>
      </c>
      <c r="H172" s="22" t="s">
        <v>656</v>
      </c>
      <c r="I172" s="9" t="s">
        <v>353</v>
      </c>
      <c r="J172" s="88"/>
    </row>
    <row r="173">
      <c r="A173" s="6" t="s">
        <v>9</v>
      </c>
      <c r="B173" s="7" t="s">
        <v>657</v>
      </c>
      <c r="C173" s="91">
        <v>45973.36686929398</v>
      </c>
      <c r="D173" s="8">
        <f t="shared" ref="D173:D175" si="15">IFERROR(_xlfn.WORKDAY.INTL(C173, 2),"-")</f>
        <v>45975</v>
      </c>
      <c r="E173" s="9" t="s">
        <v>11</v>
      </c>
      <c r="F173" s="10"/>
      <c r="G173" s="9" t="s">
        <v>15</v>
      </c>
      <c r="H173" s="7" t="s">
        <v>658</v>
      </c>
      <c r="I173" s="9" t="s">
        <v>353</v>
      </c>
      <c r="J173" s="88"/>
    </row>
    <row r="174">
      <c r="A174" s="6" t="s">
        <v>9</v>
      </c>
      <c r="B174" s="7" t="s">
        <v>659</v>
      </c>
      <c r="C174" s="91">
        <v>45980.453100196755</v>
      </c>
      <c r="D174" s="8">
        <f t="shared" si="15"/>
        <v>45982</v>
      </c>
      <c r="E174" s="9" t="s">
        <v>11</v>
      </c>
      <c r="F174" s="10"/>
      <c r="G174" s="9" t="s">
        <v>15</v>
      </c>
      <c r="H174" s="7" t="s">
        <v>660</v>
      </c>
      <c r="I174" s="9" t="s">
        <v>353</v>
      </c>
      <c r="J174" s="88"/>
    </row>
    <row r="175">
      <c r="A175" s="6" t="s">
        <v>9</v>
      </c>
      <c r="B175" s="7" t="s">
        <v>661</v>
      </c>
      <c r="C175" s="91">
        <v>45979.427594270834</v>
      </c>
      <c r="D175" s="8">
        <f t="shared" si="15"/>
        <v>45981</v>
      </c>
      <c r="E175" s="9" t="s">
        <v>11</v>
      </c>
      <c r="F175" s="10"/>
      <c r="G175" s="9" t="s">
        <v>15</v>
      </c>
      <c r="H175" s="7" t="s">
        <v>660</v>
      </c>
      <c r="I175" s="9" t="s">
        <v>353</v>
      </c>
      <c r="J175" s="88"/>
    </row>
    <row r="176">
      <c r="A176" s="20" t="s">
        <v>98</v>
      </c>
      <c r="B176" s="9" t="s">
        <v>662</v>
      </c>
      <c r="C176" s="91">
        <v>45971.3892634838</v>
      </c>
      <c r="D176" s="8"/>
      <c r="E176" s="9"/>
      <c r="F176" s="10"/>
      <c r="G176" s="9" t="s">
        <v>15</v>
      </c>
      <c r="H176" s="7" t="s">
        <v>663</v>
      </c>
      <c r="I176" s="9" t="s">
        <v>353</v>
      </c>
      <c r="J176" s="88"/>
    </row>
    <row r="177">
      <c r="A177" s="20" t="s">
        <v>98</v>
      </c>
      <c r="B177" s="9" t="s">
        <v>664</v>
      </c>
      <c r="C177" s="91">
        <v>45911.37628253472</v>
      </c>
      <c r="D177" s="8"/>
      <c r="E177" s="9"/>
      <c r="F177" s="10"/>
      <c r="G177" s="9" t="s">
        <v>15</v>
      </c>
      <c r="H177" s="22" t="s">
        <v>665</v>
      </c>
      <c r="I177" s="9" t="s">
        <v>353</v>
      </c>
      <c r="J177" s="88"/>
    </row>
    <row r="178">
      <c r="A178" s="20" t="s">
        <v>98</v>
      </c>
      <c r="B178" s="9" t="s">
        <v>666</v>
      </c>
      <c r="C178" s="91">
        <v>45925.44137925926</v>
      </c>
      <c r="D178" s="8"/>
      <c r="E178" s="9"/>
      <c r="F178" s="10"/>
      <c r="G178" s="9" t="s">
        <v>15</v>
      </c>
      <c r="H178" s="7" t="s">
        <v>667</v>
      </c>
      <c r="I178" s="9" t="s">
        <v>353</v>
      </c>
      <c r="J178" s="88"/>
    </row>
    <row r="179">
      <c r="A179" s="6" t="s">
        <v>9</v>
      </c>
      <c r="B179" s="7" t="s">
        <v>668</v>
      </c>
      <c r="C179" s="91">
        <v>45952.36971392361</v>
      </c>
      <c r="D179" s="8">
        <f t="shared" ref="D179:D181" si="16">IFERROR(_xlfn.WORKDAY.INTL(C179, 2),"-")</f>
        <v>45954</v>
      </c>
      <c r="E179" s="9" t="s">
        <v>11</v>
      </c>
      <c r="F179" s="10"/>
      <c r="G179" s="9" t="s">
        <v>18</v>
      </c>
      <c r="H179" s="7" t="s">
        <v>669</v>
      </c>
      <c r="I179" s="9" t="s">
        <v>353</v>
      </c>
      <c r="J179" s="88"/>
    </row>
    <row r="180">
      <c r="A180" s="6" t="s">
        <v>9</v>
      </c>
      <c r="B180" s="7" t="s">
        <v>670</v>
      </c>
      <c r="C180" s="91">
        <v>45978.35173465278</v>
      </c>
      <c r="D180" s="8">
        <f t="shared" si="16"/>
        <v>45980</v>
      </c>
      <c r="E180" s="9" t="s">
        <v>11</v>
      </c>
      <c r="F180" s="10"/>
      <c r="G180" s="9" t="s">
        <v>15</v>
      </c>
      <c r="H180" s="7" t="s">
        <v>671</v>
      </c>
      <c r="I180" s="9" t="s">
        <v>353</v>
      </c>
      <c r="J180" s="88"/>
    </row>
    <row r="181">
      <c r="A181" s="6" t="s">
        <v>9</v>
      </c>
      <c r="B181" s="7" t="s">
        <v>672</v>
      </c>
      <c r="C181" s="91">
        <v>45980.424280625</v>
      </c>
      <c r="D181" s="8">
        <f t="shared" si="16"/>
        <v>45982</v>
      </c>
      <c r="E181" s="9" t="s">
        <v>11</v>
      </c>
      <c r="F181" s="10"/>
      <c r="G181" s="9" t="s">
        <v>18</v>
      </c>
      <c r="H181" s="7" t="s">
        <v>673</v>
      </c>
      <c r="I181" s="9" t="s">
        <v>353</v>
      </c>
      <c r="J181" s="88"/>
    </row>
    <row r="182">
      <c r="A182" s="20" t="s">
        <v>98</v>
      </c>
      <c r="B182" s="9" t="s">
        <v>674</v>
      </c>
      <c r="C182" s="91">
        <v>45974.660734930556</v>
      </c>
      <c r="D182" s="8"/>
      <c r="E182" s="9"/>
      <c r="F182" s="10"/>
      <c r="G182" s="9" t="s">
        <v>15</v>
      </c>
      <c r="H182" s="7" t="s">
        <v>675</v>
      </c>
      <c r="I182" s="9" t="s">
        <v>353</v>
      </c>
      <c r="J182" s="88"/>
    </row>
    <row r="183">
      <c r="A183" s="6" t="s">
        <v>9</v>
      </c>
      <c r="B183" s="7" t="s">
        <v>676</v>
      </c>
      <c r="C183" s="91">
        <v>45978.67717501157</v>
      </c>
      <c r="D183" s="8">
        <f>IFERROR(_xlfn.WORKDAY.INTL(C183, 2),"-")</f>
        <v>45980</v>
      </c>
      <c r="E183" s="9" t="s">
        <v>11</v>
      </c>
      <c r="F183" s="10"/>
      <c r="G183" s="9" t="s">
        <v>15</v>
      </c>
      <c r="H183" s="7" t="s">
        <v>677</v>
      </c>
      <c r="I183" s="9" t="s">
        <v>353</v>
      </c>
      <c r="J183" s="88"/>
    </row>
    <row r="184">
      <c r="A184" s="20" t="s">
        <v>98</v>
      </c>
      <c r="B184" s="9" t="s">
        <v>678</v>
      </c>
      <c r="C184" s="91">
        <v>45974.82186111111</v>
      </c>
      <c r="D184" s="8"/>
      <c r="E184" s="9"/>
      <c r="F184" s="10"/>
      <c r="G184" s="9" t="s">
        <v>15</v>
      </c>
      <c r="H184" s="7" t="s">
        <v>679</v>
      </c>
      <c r="I184" s="9" t="s">
        <v>353</v>
      </c>
      <c r="J184" s="88"/>
    </row>
    <row r="185">
      <c r="A185" s="20" t="s">
        <v>98</v>
      </c>
      <c r="B185" s="9" t="s">
        <v>680</v>
      </c>
      <c r="C185" s="91">
        <v>45946.656590185186</v>
      </c>
      <c r="D185" s="8"/>
      <c r="E185" s="9"/>
      <c r="F185" s="10"/>
      <c r="G185" s="9" t="s">
        <v>21</v>
      </c>
      <c r="H185" s="7" t="s">
        <v>681</v>
      </c>
      <c r="I185" s="9" t="s">
        <v>353</v>
      </c>
      <c r="J185" s="88"/>
    </row>
    <row r="186">
      <c r="A186" s="20" t="s">
        <v>98</v>
      </c>
      <c r="B186" s="93" t="s">
        <v>682</v>
      </c>
      <c r="C186" s="91">
        <v>45973.72317320602</v>
      </c>
      <c r="D186" s="8"/>
      <c r="E186" s="9"/>
      <c r="F186" s="10"/>
      <c r="G186" s="9" t="s">
        <v>15</v>
      </c>
      <c r="H186" s="7" t="s">
        <v>683</v>
      </c>
      <c r="I186" s="9" t="s">
        <v>353</v>
      </c>
      <c r="J186" s="88"/>
    </row>
    <row r="187">
      <c r="A187" s="6" t="s">
        <v>9</v>
      </c>
      <c r="B187" s="7" t="s">
        <v>684</v>
      </c>
      <c r="C187" s="91">
        <v>45978.35142204861</v>
      </c>
      <c r="D187" s="8">
        <f t="shared" ref="D187:D189" si="17">IFERROR(_xlfn.WORKDAY.INTL(C187, 2),"-")</f>
        <v>45980</v>
      </c>
      <c r="E187" s="9" t="s">
        <v>11</v>
      </c>
      <c r="F187" s="10"/>
      <c r="G187" s="9" t="s">
        <v>15</v>
      </c>
      <c r="H187" s="7" t="s">
        <v>50</v>
      </c>
      <c r="I187" s="9" t="s">
        <v>353</v>
      </c>
      <c r="J187" s="88"/>
    </row>
    <row r="188">
      <c r="A188" s="6" t="s">
        <v>9</v>
      </c>
      <c r="B188" s="7" t="s">
        <v>685</v>
      </c>
      <c r="C188" s="91">
        <v>45887.716003912035</v>
      </c>
      <c r="D188" s="8">
        <f t="shared" si="17"/>
        <v>45889</v>
      </c>
      <c r="E188" s="9" t="s">
        <v>11</v>
      </c>
      <c r="F188" s="10"/>
      <c r="G188" s="9" t="s">
        <v>15</v>
      </c>
      <c r="H188" s="7" t="s">
        <v>686</v>
      </c>
      <c r="I188" s="9" t="s">
        <v>353</v>
      </c>
      <c r="J188" s="88"/>
    </row>
    <row r="189">
      <c r="A189" s="6" t="s">
        <v>9</v>
      </c>
      <c r="B189" s="7" t="s">
        <v>687</v>
      </c>
      <c r="C189" s="91">
        <v>45978.690070613426</v>
      </c>
      <c r="D189" s="8">
        <f t="shared" si="17"/>
        <v>45980</v>
      </c>
      <c r="E189" s="9" t="s">
        <v>11</v>
      </c>
      <c r="F189" s="10"/>
      <c r="G189" s="9" t="s">
        <v>15</v>
      </c>
      <c r="H189" s="7" t="s">
        <v>688</v>
      </c>
      <c r="I189" s="9" t="s">
        <v>353</v>
      </c>
      <c r="J189" s="88"/>
    </row>
    <row r="190">
      <c r="A190" s="102"/>
      <c r="B190" s="7" t="s">
        <v>689</v>
      </c>
      <c r="C190" s="91">
        <v>45951.4656299537</v>
      </c>
      <c r="D190" s="8"/>
      <c r="E190" s="9"/>
      <c r="F190" s="10"/>
      <c r="G190" s="9" t="s">
        <v>11</v>
      </c>
      <c r="H190" s="105"/>
      <c r="I190" s="9" t="s">
        <v>353</v>
      </c>
      <c r="J190" s="88"/>
    </row>
    <row r="191">
      <c r="A191" s="102" t="s">
        <v>624</v>
      </c>
      <c r="B191" s="7" t="s">
        <v>690</v>
      </c>
      <c r="C191" s="91">
        <v>45888.44628859954</v>
      </c>
      <c r="D191" s="8"/>
      <c r="E191" s="9" t="s">
        <v>206</v>
      </c>
      <c r="F191" s="10"/>
      <c r="G191" s="9" t="s">
        <v>21</v>
      </c>
      <c r="H191" s="7" t="s">
        <v>691</v>
      </c>
      <c r="I191" s="9" t="s">
        <v>353</v>
      </c>
      <c r="J191" s="88"/>
    </row>
    <row r="192">
      <c r="A192" s="6" t="s">
        <v>9</v>
      </c>
      <c r="B192" s="7" t="s">
        <v>692</v>
      </c>
      <c r="C192" s="91">
        <v>45975.375061597224</v>
      </c>
      <c r="D192" s="8">
        <f t="shared" ref="D192:D193" si="18">IFERROR(_xlfn.WORKDAY.INTL(C192, 2),"-")</f>
        <v>45979</v>
      </c>
      <c r="E192" s="9" t="s">
        <v>11</v>
      </c>
      <c r="F192" s="10"/>
      <c r="G192" s="9" t="s">
        <v>18</v>
      </c>
      <c r="H192" s="7" t="s">
        <v>693</v>
      </c>
      <c r="I192" s="9" t="s">
        <v>353</v>
      </c>
      <c r="J192" s="88"/>
    </row>
    <row r="193">
      <c r="A193" s="6" t="s">
        <v>9</v>
      </c>
      <c r="B193" s="7" t="s">
        <v>694</v>
      </c>
      <c r="C193" s="91">
        <v>45966.670045335646</v>
      </c>
      <c r="D193" s="8">
        <f t="shared" si="18"/>
        <v>45968</v>
      </c>
      <c r="E193" s="9" t="s">
        <v>11</v>
      </c>
      <c r="F193" s="10"/>
      <c r="G193" s="9" t="s">
        <v>15</v>
      </c>
      <c r="H193" s="7" t="s">
        <v>695</v>
      </c>
      <c r="I193" s="9" t="s">
        <v>353</v>
      </c>
      <c r="J193" s="88"/>
    </row>
    <row r="194">
      <c r="A194" s="102"/>
      <c r="B194" s="7" t="s">
        <v>696</v>
      </c>
      <c r="C194" s="91">
        <v>45943.401365474536</v>
      </c>
      <c r="D194" s="8"/>
      <c r="E194" s="9"/>
      <c r="F194" s="10"/>
      <c r="G194" s="9" t="s">
        <v>15</v>
      </c>
      <c r="H194" s="104" t="s">
        <v>697</v>
      </c>
      <c r="I194" s="9" t="s">
        <v>353</v>
      </c>
      <c r="J194" s="88"/>
    </row>
    <row r="195">
      <c r="A195" s="6" t="s">
        <v>9</v>
      </c>
      <c r="B195" s="7" t="s">
        <v>698</v>
      </c>
      <c r="C195" s="91">
        <v>45974.67932228009</v>
      </c>
      <c r="D195" s="8">
        <f t="shared" ref="D195:D197" si="19">IFERROR(_xlfn.WORKDAY.INTL(C195, 2),"-")</f>
        <v>45978</v>
      </c>
      <c r="E195" s="9" t="s">
        <v>11</v>
      </c>
      <c r="F195" s="10"/>
      <c r="G195" s="9" t="s">
        <v>18</v>
      </c>
      <c r="H195" s="7" t="s">
        <v>565</v>
      </c>
      <c r="I195" s="9" t="s">
        <v>353</v>
      </c>
      <c r="J195" s="88"/>
    </row>
    <row r="196">
      <c r="A196" s="6" t="s">
        <v>9</v>
      </c>
      <c r="B196" s="7" t="s">
        <v>699</v>
      </c>
      <c r="C196" s="91">
        <v>45967.61900099537</v>
      </c>
      <c r="D196" s="8">
        <f t="shared" si="19"/>
        <v>45971</v>
      </c>
      <c r="E196" s="9" t="s">
        <v>11</v>
      </c>
      <c r="F196" s="10"/>
      <c r="G196" s="9" t="s">
        <v>18</v>
      </c>
      <c r="H196" s="7" t="s">
        <v>634</v>
      </c>
      <c r="I196" s="9" t="s">
        <v>353</v>
      </c>
      <c r="J196" s="88"/>
    </row>
    <row r="197">
      <c r="A197" s="6" t="s">
        <v>9</v>
      </c>
      <c r="B197" s="7" t="s">
        <v>549</v>
      </c>
      <c r="C197" s="91" t="s">
        <v>11</v>
      </c>
      <c r="D197" s="8" t="str">
        <f t="shared" si="19"/>
        <v>-</v>
      </c>
      <c r="E197" s="9" t="s">
        <v>11</v>
      </c>
      <c r="F197" s="10"/>
      <c r="G197" s="9" t="s">
        <v>18</v>
      </c>
      <c r="H197" s="7" t="s">
        <v>700</v>
      </c>
      <c r="I197" s="9" t="s">
        <v>353</v>
      </c>
      <c r="J197" s="88"/>
    </row>
    <row r="198">
      <c r="A198" s="20" t="s">
        <v>98</v>
      </c>
      <c r="B198" s="9" t="s">
        <v>701</v>
      </c>
      <c r="C198" s="91">
        <v>45911.37594474537</v>
      </c>
      <c r="D198" s="8"/>
      <c r="E198" s="9"/>
      <c r="F198" s="10"/>
      <c r="G198" s="9" t="s">
        <v>18</v>
      </c>
      <c r="H198" s="22" t="s">
        <v>702</v>
      </c>
      <c r="I198" s="9" t="s">
        <v>353</v>
      </c>
      <c r="J198" s="88"/>
    </row>
    <row r="199">
      <c r="A199" s="6" t="s">
        <v>9</v>
      </c>
      <c r="B199" s="7" t="s">
        <v>703</v>
      </c>
      <c r="C199" s="91">
        <v>45957.363546238426</v>
      </c>
      <c r="D199" s="8">
        <f t="shared" ref="D199:D202" si="20">IFERROR(_xlfn.WORKDAY.INTL(C199, 2),"-")</f>
        <v>45959</v>
      </c>
      <c r="E199" s="9" t="s">
        <v>11</v>
      </c>
      <c r="F199" s="10"/>
      <c r="G199" s="9" t="s">
        <v>15</v>
      </c>
      <c r="H199" s="7" t="s">
        <v>704</v>
      </c>
      <c r="I199" s="9" t="s">
        <v>353</v>
      </c>
      <c r="J199" s="88"/>
    </row>
    <row r="200">
      <c r="A200" s="6" t="s">
        <v>9</v>
      </c>
      <c r="B200" s="7" t="s">
        <v>705</v>
      </c>
      <c r="C200" s="91">
        <v>45911.665740462966</v>
      </c>
      <c r="D200" s="8">
        <f t="shared" si="20"/>
        <v>45915</v>
      </c>
      <c r="E200" s="9" t="s">
        <v>11</v>
      </c>
      <c r="F200" s="10"/>
      <c r="G200" s="9" t="s">
        <v>21</v>
      </c>
      <c r="H200" s="7" t="s">
        <v>706</v>
      </c>
      <c r="I200" s="9" t="s">
        <v>353</v>
      </c>
      <c r="J200" s="88"/>
    </row>
    <row r="201">
      <c r="A201" s="6" t="s">
        <v>9</v>
      </c>
      <c r="B201" s="7" t="s">
        <v>707</v>
      </c>
      <c r="C201" s="91">
        <v>45971.54892274305</v>
      </c>
      <c r="D201" s="8">
        <f t="shared" si="20"/>
        <v>45973</v>
      </c>
      <c r="E201" s="9" t="s">
        <v>11</v>
      </c>
      <c r="F201" s="10"/>
      <c r="G201" s="9" t="s">
        <v>15</v>
      </c>
      <c r="H201" s="7" t="s">
        <v>708</v>
      </c>
      <c r="I201" s="9" t="s">
        <v>353</v>
      </c>
      <c r="J201" s="88"/>
    </row>
    <row r="202">
      <c r="A202" s="6" t="s">
        <v>9</v>
      </c>
      <c r="B202" s="7" t="s">
        <v>709</v>
      </c>
      <c r="C202" s="91">
        <v>45961.364788506944</v>
      </c>
      <c r="D202" s="8">
        <f t="shared" si="20"/>
        <v>45965</v>
      </c>
      <c r="E202" s="9" t="s">
        <v>11</v>
      </c>
      <c r="F202" s="10"/>
      <c r="G202" s="9" t="s">
        <v>15</v>
      </c>
      <c r="H202" s="7" t="s">
        <v>710</v>
      </c>
      <c r="I202" s="9" t="s">
        <v>353</v>
      </c>
      <c r="J202" s="88"/>
    </row>
    <row r="203">
      <c r="A203" s="20" t="s">
        <v>98</v>
      </c>
      <c r="B203" s="9" t="s">
        <v>711</v>
      </c>
      <c r="C203" s="91">
        <v>45971.38953407407</v>
      </c>
      <c r="D203" s="8"/>
      <c r="E203" s="9"/>
      <c r="F203" s="10"/>
      <c r="G203" s="9" t="s">
        <v>15</v>
      </c>
      <c r="H203" s="7" t="s">
        <v>712</v>
      </c>
      <c r="I203" s="9" t="s">
        <v>353</v>
      </c>
      <c r="J203" s="88"/>
    </row>
    <row r="204">
      <c r="A204" s="6" t="s">
        <v>9</v>
      </c>
      <c r="B204" s="7" t="s">
        <v>713</v>
      </c>
      <c r="C204" s="91">
        <v>45961.36106795139</v>
      </c>
      <c r="D204" s="8">
        <f>IFERROR(_xlfn.WORKDAY.INTL(C204, 2),"-")</f>
        <v>45965</v>
      </c>
      <c r="E204" s="9" t="s">
        <v>11</v>
      </c>
      <c r="F204" s="10"/>
      <c r="G204" s="9" t="s">
        <v>18</v>
      </c>
      <c r="H204" s="7" t="s">
        <v>714</v>
      </c>
      <c r="I204" s="9" t="s">
        <v>353</v>
      </c>
      <c r="J204" s="88"/>
    </row>
    <row r="205">
      <c r="A205" s="20" t="s">
        <v>98</v>
      </c>
      <c r="B205" s="9" t="s">
        <v>715</v>
      </c>
      <c r="C205" s="91">
        <v>45839.35247278935</v>
      </c>
      <c r="D205" s="8"/>
      <c r="E205" s="9"/>
      <c r="F205" s="10"/>
      <c r="G205" s="9" t="s">
        <v>18</v>
      </c>
      <c r="H205" s="7" t="s">
        <v>716</v>
      </c>
      <c r="I205" s="9" t="s">
        <v>353</v>
      </c>
      <c r="J205" s="88"/>
    </row>
    <row r="206">
      <c r="A206" s="20" t="s">
        <v>98</v>
      </c>
      <c r="B206" s="9" t="s">
        <v>717</v>
      </c>
      <c r="C206" s="91">
        <v>45910.504376655095</v>
      </c>
      <c r="D206" s="8"/>
      <c r="E206" s="9"/>
      <c r="F206" s="10"/>
      <c r="G206" s="9" t="s">
        <v>18</v>
      </c>
      <c r="H206" s="22" t="s">
        <v>718</v>
      </c>
      <c r="I206" s="9" t="s">
        <v>353</v>
      </c>
      <c r="J206" s="88"/>
    </row>
    <row r="207">
      <c r="A207" s="20" t="s">
        <v>98</v>
      </c>
      <c r="B207" s="9" t="s">
        <v>719</v>
      </c>
      <c r="C207" s="91">
        <v>45973.73624009259</v>
      </c>
      <c r="D207" s="8"/>
      <c r="E207" s="9"/>
      <c r="F207" s="10"/>
      <c r="G207" s="9" t="s">
        <v>15</v>
      </c>
      <c r="H207" s="7" t="s">
        <v>712</v>
      </c>
      <c r="I207" s="9" t="s">
        <v>353</v>
      </c>
      <c r="J207" s="88"/>
    </row>
    <row r="208">
      <c r="A208" s="6" t="s">
        <v>9</v>
      </c>
      <c r="B208" s="7" t="s">
        <v>720</v>
      </c>
      <c r="C208" s="91">
        <v>45967.61882699074</v>
      </c>
      <c r="D208" s="8">
        <f t="shared" ref="D208:D211" si="21">IFERROR(_xlfn.WORKDAY.INTL(C208, 2),"-")</f>
        <v>45971</v>
      </c>
      <c r="E208" s="9" t="s">
        <v>11</v>
      </c>
      <c r="F208" s="10"/>
      <c r="G208" s="9" t="s">
        <v>15</v>
      </c>
      <c r="H208" s="7" t="s">
        <v>721</v>
      </c>
      <c r="I208" s="9" t="s">
        <v>353</v>
      </c>
      <c r="J208" s="88"/>
    </row>
    <row r="209">
      <c r="A209" s="6" t="s">
        <v>9</v>
      </c>
      <c r="B209" s="7" t="s">
        <v>722</v>
      </c>
      <c r="C209" s="91">
        <v>45971.3919712037</v>
      </c>
      <c r="D209" s="8">
        <f t="shared" si="21"/>
        <v>45973</v>
      </c>
      <c r="E209" s="9" t="s">
        <v>11</v>
      </c>
      <c r="F209" s="10"/>
      <c r="G209" s="9" t="s">
        <v>15</v>
      </c>
      <c r="H209" s="7" t="s">
        <v>723</v>
      </c>
      <c r="I209" s="9" t="s">
        <v>353</v>
      </c>
      <c r="J209" s="88"/>
    </row>
    <row r="210">
      <c r="A210" s="6" t="s">
        <v>9</v>
      </c>
      <c r="B210" s="7" t="s">
        <v>724</v>
      </c>
      <c r="C210" s="91">
        <v>45973.3664849537</v>
      </c>
      <c r="D210" s="8">
        <f t="shared" si="21"/>
        <v>45975</v>
      </c>
      <c r="E210" s="9" t="s">
        <v>11</v>
      </c>
      <c r="F210" s="10"/>
      <c r="G210" s="9" t="s">
        <v>15</v>
      </c>
      <c r="H210" s="7" t="s">
        <v>725</v>
      </c>
      <c r="I210" s="9" t="s">
        <v>353</v>
      </c>
      <c r="J210" s="88"/>
    </row>
    <row r="211">
      <c r="A211" s="6" t="s">
        <v>9</v>
      </c>
      <c r="B211" s="7" t="s">
        <v>726</v>
      </c>
      <c r="C211" s="91">
        <v>45973.36658935185</v>
      </c>
      <c r="D211" s="8">
        <f t="shared" si="21"/>
        <v>45975</v>
      </c>
      <c r="E211" s="9" t="s">
        <v>11</v>
      </c>
      <c r="F211" s="10"/>
      <c r="G211" s="9" t="s">
        <v>18</v>
      </c>
      <c r="H211" s="7" t="s">
        <v>594</v>
      </c>
      <c r="I211" s="9" t="s">
        <v>353</v>
      </c>
      <c r="J211" s="88"/>
    </row>
    <row r="212">
      <c r="A212" s="20" t="s">
        <v>98</v>
      </c>
      <c r="B212" s="9" t="s">
        <v>727</v>
      </c>
      <c r="C212" s="91">
        <v>45883.415132662034</v>
      </c>
      <c r="D212" s="8"/>
      <c r="E212" s="9"/>
      <c r="F212" s="10"/>
      <c r="G212" s="9" t="s">
        <v>15</v>
      </c>
      <c r="H212" s="7" t="s">
        <v>728</v>
      </c>
      <c r="I212" s="9" t="s">
        <v>353</v>
      </c>
      <c r="J212" s="88"/>
    </row>
    <row r="213">
      <c r="A213" s="20" t="s">
        <v>98</v>
      </c>
      <c r="B213" s="9" t="s">
        <v>729</v>
      </c>
      <c r="C213" s="91">
        <v>45944.38876621528</v>
      </c>
      <c r="D213" s="8"/>
      <c r="E213" s="9"/>
      <c r="F213" s="10"/>
      <c r="G213" s="9" t="s">
        <v>15</v>
      </c>
      <c r="H213" s="7" t="s">
        <v>730</v>
      </c>
      <c r="I213" s="9" t="s">
        <v>353</v>
      </c>
      <c r="J213" s="88"/>
    </row>
    <row r="214">
      <c r="A214" s="20" t="s">
        <v>98</v>
      </c>
      <c r="B214" s="9" t="s">
        <v>731</v>
      </c>
      <c r="C214" s="91">
        <v>45923.637611412036</v>
      </c>
      <c r="D214" s="8"/>
      <c r="E214" s="9"/>
      <c r="F214" s="10"/>
      <c r="G214" s="9" t="s">
        <v>15</v>
      </c>
      <c r="H214" s="22" t="s">
        <v>732</v>
      </c>
      <c r="I214" s="9" t="s">
        <v>353</v>
      </c>
      <c r="J214" s="88"/>
    </row>
    <row r="215">
      <c r="A215" s="6" t="s">
        <v>9</v>
      </c>
      <c r="B215" s="7" t="s">
        <v>522</v>
      </c>
      <c r="C215" s="91">
        <v>45971.39200309028</v>
      </c>
      <c r="D215" s="8">
        <f>IFERROR(_xlfn.WORKDAY.INTL(C215, 2),"-")</f>
        <v>45973</v>
      </c>
      <c r="E215" s="9" t="s">
        <v>11</v>
      </c>
      <c r="F215" s="10"/>
      <c r="G215" s="9" t="s">
        <v>18</v>
      </c>
      <c r="H215" s="7" t="s">
        <v>733</v>
      </c>
      <c r="I215" s="9" t="s">
        <v>353</v>
      </c>
      <c r="J215" s="88"/>
    </row>
    <row r="216">
      <c r="A216" s="20" t="s">
        <v>98</v>
      </c>
      <c r="B216" s="9" t="s">
        <v>734</v>
      </c>
      <c r="C216" s="91">
        <v>45944.38871840278</v>
      </c>
      <c r="D216" s="8"/>
      <c r="E216" s="9"/>
      <c r="F216" s="10"/>
      <c r="G216" s="9" t="s">
        <v>15</v>
      </c>
      <c r="H216" s="7" t="s">
        <v>730</v>
      </c>
      <c r="I216" s="9" t="s">
        <v>353</v>
      </c>
      <c r="J216" s="88"/>
    </row>
    <row r="217">
      <c r="A217" s="20" t="s">
        <v>98</v>
      </c>
      <c r="B217" s="9" t="s">
        <v>735</v>
      </c>
      <c r="C217" s="91">
        <v>45967.64863023148</v>
      </c>
      <c r="D217" s="8"/>
      <c r="E217" s="9"/>
      <c r="F217" s="10"/>
      <c r="G217" s="9" t="s">
        <v>15</v>
      </c>
      <c r="H217" s="7" t="s">
        <v>736</v>
      </c>
      <c r="I217" s="9" t="s">
        <v>353</v>
      </c>
      <c r="J217" s="88"/>
    </row>
    <row r="218">
      <c r="A218" s="6" t="s">
        <v>9</v>
      </c>
      <c r="B218" s="7" t="s">
        <v>737</v>
      </c>
      <c r="C218" s="91">
        <v>45960.67574855324</v>
      </c>
      <c r="D218" s="8">
        <f>IFERROR(_xlfn.WORKDAY.INTL(C218, 2),"-")</f>
        <v>45964</v>
      </c>
      <c r="E218" s="9" t="s">
        <v>11</v>
      </c>
      <c r="F218" s="10"/>
      <c r="G218" s="9" t="s">
        <v>15</v>
      </c>
      <c r="H218" s="7" t="s">
        <v>738</v>
      </c>
      <c r="I218" s="9" t="s">
        <v>353</v>
      </c>
      <c r="J218" s="88"/>
    </row>
    <row r="219">
      <c r="A219" s="20" t="s">
        <v>98</v>
      </c>
      <c r="B219" s="9" t="s">
        <v>739</v>
      </c>
      <c r="C219" s="91">
        <v>45967.71628851852</v>
      </c>
      <c r="D219" s="8"/>
      <c r="E219" s="9"/>
      <c r="F219" s="10"/>
      <c r="G219" s="9" t="s">
        <v>15</v>
      </c>
      <c r="H219" s="7" t="s">
        <v>740</v>
      </c>
      <c r="I219" s="9" t="s">
        <v>353</v>
      </c>
      <c r="J219" s="88"/>
    </row>
    <row r="220">
      <c r="A220" s="20" t="s">
        <v>98</v>
      </c>
      <c r="B220" s="9" t="s">
        <v>741</v>
      </c>
      <c r="C220" s="91">
        <v>45919.47468305555</v>
      </c>
      <c r="D220" s="8"/>
      <c r="E220" s="9"/>
      <c r="F220" s="10"/>
      <c r="G220" s="9" t="s">
        <v>15</v>
      </c>
      <c r="H220" s="7" t="s">
        <v>742</v>
      </c>
      <c r="I220" s="9" t="s">
        <v>353</v>
      </c>
      <c r="J220" s="88"/>
    </row>
    <row r="221">
      <c r="A221" s="20" t="s">
        <v>98</v>
      </c>
      <c r="B221" s="9" t="s">
        <v>743</v>
      </c>
      <c r="C221" s="91">
        <v>45944.38815728009</v>
      </c>
      <c r="D221" s="8"/>
      <c r="E221" s="9"/>
      <c r="F221" s="10"/>
      <c r="G221" s="9" t="s">
        <v>15</v>
      </c>
      <c r="H221" s="7" t="s">
        <v>744</v>
      </c>
      <c r="I221" s="9" t="s">
        <v>353</v>
      </c>
      <c r="J221" s="88"/>
    </row>
    <row r="222">
      <c r="A222" s="6" t="s">
        <v>9</v>
      </c>
      <c r="B222" s="7" t="s">
        <v>745</v>
      </c>
      <c r="C222" s="91">
        <v>45961.360978136574</v>
      </c>
      <c r="D222" s="8">
        <f t="shared" ref="D222:D225" si="22">IFERROR(_xlfn.WORKDAY.INTL(C222, 2),"-")</f>
        <v>45965</v>
      </c>
      <c r="E222" s="9" t="s">
        <v>11</v>
      </c>
      <c r="F222" s="10"/>
      <c r="G222" s="9" t="s">
        <v>15</v>
      </c>
      <c r="H222" s="7" t="s">
        <v>746</v>
      </c>
      <c r="I222" s="9" t="s">
        <v>353</v>
      </c>
      <c r="J222" s="88"/>
    </row>
    <row r="223">
      <c r="A223" s="6" t="s">
        <v>9</v>
      </c>
      <c r="B223" s="7" t="s">
        <v>747</v>
      </c>
      <c r="C223" s="91">
        <v>45960.67569824074</v>
      </c>
      <c r="D223" s="8">
        <f t="shared" si="22"/>
        <v>45964</v>
      </c>
      <c r="E223" s="9" t="s">
        <v>11</v>
      </c>
      <c r="F223" s="10"/>
      <c r="G223" s="9" t="s">
        <v>15</v>
      </c>
      <c r="H223" s="7" t="s">
        <v>748</v>
      </c>
      <c r="I223" s="9" t="s">
        <v>353</v>
      </c>
      <c r="J223" s="88"/>
    </row>
    <row r="224">
      <c r="A224" s="6" t="s">
        <v>9</v>
      </c>
      <c r="B224" s="7" t="s">
        <v>749</v>
      </c>
      <c r="C224" s="91">
        <v>45967.60267681713</v>
      </c>
      <c r="D224" s="8">
        <f t="shared" si="22"/>
        <v>45971</v>
      </c>
      <c r="E224" s="9" t="s">
        <v>11</v>
      </c>
      <c r="F224" s="10"/>
      <c r="G224" s="9" t="s">
        <v>18</v>
      </c>
      <c r="H224" s="7" t="s">
        <v>750</v>
      </c>
      <c r="I224" s="9" t="s">
        <v>353</v>
      </c>
      <c r="J224" s="88"/>
    </row>
    <row r="225">
      <c r="A225" s="6" t="s">
        <v>9</v>
      </c>
      <c r="B225" s="7" t="s">
        <v>751</v>
      </c>
      <c r="C225" s="91">
        <v>45967.595988877314</v>
      </c>
      <c r="D225" s="8">
        <f t="shared" si="22"/>
        <v>45971</v>
      </c>
      <c r="E225" s="9" t="s">
        <v>11</v>
      </c>
      <c r="F225" s="10"/>
      <c r="G225" s="9" t="s">
        <v>15</v>
      </c>
      <c r="H225" s="7" t="s">
        <v>750</v>
      </c>
      <c r="I225" s="9" t="s">
        <v>353</v>
      </c>
      <c r="J225" s="88"/>
    </row>
    <row r="226">
      <c r="A226" s="102"/>
      <c r="B226" s="7" t="s">
        <v>752</v>
      </c>
      <c r="C226" s="91">
        <v>45947.454936875</v>
      </c>
      <c r="D226" s="8"/>
      <c r="E226" s="9"/>
      <c r="F226" s="10"/>
      <c r="G226" s="9" t="s">
        <v>11</v>
      </c>
      <c r="H226" s="104" t="s">
        <v>753</v>
      </c>
      <c r="I226" s="9" t="s">
        <v>353</v>
      </c>
      <c r="J226" s="88"/>
    </row>
    <row r="227">
      <c r="A227" s="20" t="s">
        <v>98</v>
      </c>
      <c r="B227" s="9" t="s">
        <v>754</v>
      </c>
      <c r="C227" s="91">
        <v>45966.419809444444</v>
      </c>
      <c r="D227" s="8"/>
      <c r="E227" s="9"/>
      <c r="F227" s="10"/>
      <c r="G227" s="9" t="s">
        <v>15</v>
      </c>
      <c r="H227" s="7" t="s">
        <v>755</v>
      </c>
      <c r="I227" s="9" t="s">
        <v>353</v>
      </c>
      <c r="J227" s="88"/>
    </row>
    <row r="228">
      <c r="A228" s="102"/>
      <c r="B228" s="7" t="s">
        <v>756</v>
      </c>
      <c r="C228" s="91">
        <v>45951.46174280092</v>
      </c>
      <c r="E228" s="9"/>
      <c r="G228" s="9" t="s">
        <v>11</v>
      </c>
      <c r="H228" s="106" t="s">
        <v>757</v>
      </c>
      <c r="I228" s="9" t="s">
        <v>353</v>
      </c>
      <c r="J228" s="88"/>
    </row>
    <row r="229">
      <c r="A229" s="6" t="s">
        <v>9</v>
      </c>
      <c r="B229" s="7" t="s">
        <v>758</v>
      </c>
      <c r="C229" s="91">
        <v>45966.50350608796</v>
      </c>
      <c r="D229" s="8">
        <f>IFERROR(_xlfn.WORKDAY.INTL(C229, 2),"-")</f>
        <v>45968</v>
      </c>
      <c r="E229" s="9" t="s">
        <v>11</v>
      </c>
      <c r="F229" s="10"/>
      <c r="G229" s="9" t="s">
        <v>15</v>
      </c>
      <c r="H229" s="7" t="s">
        <v>759</v>
      </c>
      <c r="I229" s="9" t="s">
        <v>353</v>
      </c>
      <c r="J229" s="88"/>
    </row>
    <row r="230">
      <c r="A230" s="20" t="s">
        <v>98</v>
      </c>
      <c r="B230" s="9" t="s">
        <v>760</v>
      </c>
      <c r="C230" s="91">
        <v>45965.71942824074</v>
      </c>
      <c r="D230" s="8"/>
      <c r="E230" s="9"/>
      <c r="F230" s="10"/>
      <c r="G230" s="9" t="s">
        <v>15</v>
      </c>
      <c r="H230" s="7" t="s">
        <v>755</v>
      </c>
      <c r="I230" s="9" t="s">
        <v>353</v>
      </c>
      <c r="J230" s="88"/>
    </row>
    <row r="231">
      <c r="A231" s="6" t="s">
        <v>9</v>
      </c>
      <c r="B231" s="7" t="s">
        <v>761</v>
      </c>
      <c r="C231" s="91">
        <v>45954.37941069444</v>
      </c>
      <c r="D231" s="8">
        <f t="shared" ref="D231:D232" si="23">IFERROR(_xlfn.WORKDAY.INTL(C231, 2),"-")</f>
        <v>45958</v>
      </c>
      <c r="E231" s="9" t="s">
        <v>11</v>
      </c>
      <c r="F231" s="10"/>
      <c r="G231" s="9" t="s">
        <v>15</v>
      </c>
      <c r="H231" s="7" t="s">
        <v>762</v>
      </c>
      <c r="I231" s="9" t="s">
        <v>353</v>
      </c>
      <c r="J231" s="88"/>
    </row>
    <row r="232">
      <c r="A232" s="6" t="s">
        <v>9</v>
      </c>
      <c r="B232" s="7" t="s">
        <v>763</v>
      </c>
      <c r="C232" s="91">
        <v>45966.58275608796</v>
      </c>
      <c r="D232" s="8">
        <f t="shared" si="23"/>
        <v>45968</v>
      </c>
      <c r="E232" s="9" t="s">
        <v>11</v>
      </c>
      <c r="F232" s="10"/>
      <c r="G232" s="9" t="s">
        <v>15</v>
      </c>
      <c r="H232" s="7" t="s">
        <v>759</v>
      </c>
      <c r="I232" s="9" t="s">
        <v>353</v>
      </c>
      <c r="J232" s="88"/>
    </row>
    <row r="233">
      <c r="A233" s="20" t="s">
        <v>98</v>
      </c>
      <c r="B233" s="9" t="s">
        <v>764</v>
      </c>
      <c r="C233" s="91">
        <v>45958.73026033565</v>
      </c>
      <c r="D233" s="8"/>
      <c r="E233" s="9"/>
      <c r="F233" s="10"/>
      <c r="G233" s="9" t="s">
        <v>15</v>
      </c>
      <c r="H233" s="7" t="s">
        <v>765</v>
      </c>
      <c r="I233" s="9" t="s">
        <v>353</v>
      </c>
      <c r="J233" s="88"/>
    </row>
    <row r="234">
      <c r="A234" s="20" t="s">
        <v>98</v>
      </c>
      <c r="B234" s="9" t="s">
        <v>766</v>
      </c>
      <c r="C234" s="91">
        <v>45946.71213459491</v>
      </c>
      <c r="D234" s="8"/>
      <c r="E234" s="9"/>
      <c r="F234" s="10"/>
      <c r="G234" s="9" t="s">
        <v>15</v>
      </c>
      <c r="H234" s="7" t="s">
        <v>767</v>
      </c>
      <c r="I234" s="9" t="s">
        <v>353</v>
      </c>
      <c r="J234" s="88"/>
    </row>
    <row r="235">
      <c r="A235" s="6" t="s">
        <v>9</v>
      </c>
      <c r="B235" s="7" t="s">
        <v>768</v>
      </c>
      <c r="C235" s="91">
        <v>45959.649780555555</v>
      </c>
      <c r="D235" s="8">
        <f t="shared" ref="D235:D236" si="24">IFERROR(_xlfn.WORKDAY.INTL(C235, 2),"-")</f>
        <v>45961</v>
      </c>
      <c r="E235" s="9" t="s">
        <v>11</v>
      </c>
      <c r="F235" s="10"/>
      <c r="G235" s="9" t="s">
        <v>15</v>
      </c>
      <c r="H235" s="7" t="s">
        <v>769</v>
      </c>
      <c r="I235" s="9" t="s">
        <v>353</v>
      </c>
      <c r="J235" s="88"/>
    </row>
    <row r="236">
      <c r="A236" s="6" t="s">
        <v>9</v>
      </c>
      <c r="B236" s="7" t="s">
        <v>770</v>
      </c>
      <c r="C236" s="91">
        <v>45936.45235457176</v>
      </c>
      <c r="D236" s="8">
        <f t="shared" si="24"/>
        <v>45938</v>
      </c>
      <c r="E236" s="9" t="s">
        <v>11</v>
      </c>
      <c r="F236" s="10"/>
      <c r="G236" s="9" t="s">
        <v>15</v>
      </c>
      <c r="H236" s="7" t="s">
        <v>771</v>
      </c>
      <c r="I236" s="9" t="s">
        <v>353</v>
      </c>
      <c r="J236" s="88"/>
    </row>
    <row r="237">
      <c r="A237" s="102" t="s">
        <v>624</v>
      </c>
      <c r="B237" s="7" t="s">
        <v>772</v>
      </c>
      <c r="C237" s="91">
        <v>45951.46184670139</v>
      </c>
      <c r="D237" s="8"/>
      <c r="E237" s="9"/>
      <c r="F237" s="10"/>
      <c r="G237" s="9" t="s">
        <v>11</v>
      </c>
      <c r="H237" s="106" t="s">
        <v>773</v>
      </c>
      <c r="I237" s="9" t="s">
        <v>353</v>
      </c>
      <c r="J237" s="88"/>
    </row>
    <row r="238">
      <c r="A238" s="102"/>
      <c r="B238" s="7" t="s">
        <v>774</v>
      </c>
      <c r="C238" s="91">
        <v>45938.6735912963</v>
      </c>
      <c r="D238" s="8"/>
      <c r="E238" s="9"/>
      <c r="F238" s="10"/>
      <c r="G238" s="9" t="s">
        <v>11</v>
      </c>
      <c r="H238" s="104" t="s">
        <v>775</v>
      </c>
      <c r="I238" s="9" t="s">
        <v>353</v>
      </c>
      <c r="J238" s="88"/>
    </row>
    <row r="239">
      <c r="A239" s="20" t="s">
        <v>98</v>
      </c>
      <c r="B239" s="9" t="s">
        <v>776</v>
      </c>
      <c r="C239" s="91">
        <v>45959.39803466435</v>
      </c>
      <c r="D239" s="8"/>
      <c r="E239" s="9"/>
      <c r="F239" s="10"/>
      <c r="G239" s="9" t="s">
        <v>15</v>
      </c>
      <c r="H239" s="7" t="s">
        <v>777</v>
      </c>
      <c r="I239" s="9" t="s">
        <v>353</v>
      </c>
      <c r="J239" s="88"/>
    </row>
    <row r="240">
      <c r="A240" s="20" t="s">
        <v>98</v>
      </c>
      <c r="B240" s="9" t="s">
        <v>778</v>
      </c>
      <c r="C240" s="91">
        <v>45960.618392777775</v>
      </c>
      <c r="D240" s="8"/>
      <c r="E240" s="9"/>
      <c r="F240" s="10"/>
      <c r="G240" s="9" t="s">
        <v>15</v>
      </c>
      <c r="H240" s="7" t="s">
        <v>779</v>
      </c>
      <c r="I240" s="9" t="s">
        <v>353</v>
      </c>
      <c r="J240" s="88"/>
    </row>
    <row r="241">
      <c r="A241" s="6" t="s">
        <v>9</v>
      </c>
      <c r="B241" s="7" t="s">
        <v>780</v>
      </c>
      <c r="C241" s="91">
        <v>45961.36029123842</v>
      </c>
      <c r="D241" s="8">
        <f t="shared" ref="D241:D244" si="25">IFERROR(_xlfn.WORKDAY.INTL(C241, 2),"-")</f>
        <v>45965</v>
      </c>
      <c r="E241" s="9" t="s">
        <v>11</v>
      </c>
      <c r="F241" s="10"/>
      <c r="G241" s="9" t="s">
        <v>18</v>
      </c>
      <c r="H241" s="7" t="s">
        <v>437</v>
      </c>
      <c r="I241" s="9" t="s">
        <v>353</v>
      </c>
      <c r="J241" s="88"/>
    </row>
    <row r="242">
      <c r="A242" s="6" t="s">
        <v>9</v>
      </c>
      <c r="B242" s="7" t="s">
        <v>781</v>
      </c>
      <c r="C242" s="91">
        <v>45961.360153229165</v>
      </c>
      <c r="D242" s="8">
        <f t="shared" si="25"/>
        <v>45965</v>
      </c>
      <c r="E242" s="9" t="s">
        <v>11</v>
      </c>
      <c r="F242" s="10"/>
      <c r="G242" s="9" t="s">
        <v>18</v>
      </c>
      <c r="H242" s="7" t="s">
        <v>437</v>
      </c>
      <c r="I242" s="9" t="s">
        <v>353</v>
      </c>
      <c r="J242" s="88"/>
    </row>
    <row r="243">
      <c r="A243" s="6" t="s">
        <v>9</v>
      </c>
      <c r="B243" s="7" t="s">
        <v>782</v>
      </c>
      <c r="C243" s="91">
        <v>45961.36010259259</v>
      </c>
      <c r="D243" s="8">
        <f t="shared" si="25"/>
        <v>45965</v>
      </c>
      <c r="E243" s="9" t="s">
        <v>11</v>
      </c>
      <c r="F243" s="10"/>
      <c r="G243" s="9" t="s">
        <v>18</v>
      </c>
      <c r="H243" s="7" t="s">
        <v>437</v>
      </c>
      <c r="I243" s="9" t="s">
        <v>353</v>
      </c>
      <c r="J243" s="88"/>
    </row>
    <row r="244">
      <c r="A244" s="6" t="s">
        <v>9</v>
      </c>
      <c r="B244" s="7" t="s">
        <v>783</v>
      </c>
      <c r="C244" s="91">
        <v>45960.65701248843</v>
      </c>
      <c r="D244" s="8">
        <f t="shared" si="25"/>
        <v>45964</v>
      </c>
      <c r="E244" s="9" t="s">
        <v>11</v>
      </c>
      <c r="F244" s="10"/>
      <c r="G244" s="9" t="s">
        <v>12</v>
      </c>
      <c r="H244" s="7" t="s">
        <v>784</v>
      </c>
      <c r="I244" s="9" t="s">
        <v>353</v>
      </c>
      <c r="J244" s="88"/>
    </row>
    <row r="245">
      <c r="A245" s="20" t="s">
        <v>98</v>
      </c>
      <c r="B245" s="9" t="s">
        <v>785</v>
      </c>
      <c r="C245" s="91">
        <v>45959.71274079861</v>
      </c>
      <c r="D245" s="8"/>
      <c r="E245" s="9"/>
      <c r="F245" s="10"/>
      <c r="G245" s="9" t="s">
        <v>15</v>
      </c>
      <c r="H245" s="7" t="s">
        <v>786</v>
      </c>
      <c r="I245" s="9" t="s">
        <v>353</v>
      </c>
      <c r="J245" s="88"/>
    </row>
    <row r="246">
      <c r="A246" s="6" t="s">
        <v>9</v>
      </c>
      <c r="B246" s="7" t="s">
        <v>522</v>
      </c>
      <c r="C246" s="91">
        <v>45960.38922403935</v>
      </c>
      <c r="D246" s="8">
        <f>IFERROR(_xlfn.WORKDAY.INTL(C246, 2),"-")</f>
        <v>45964</v>
      </c>
      <c r="E246" s="9" t="s">
        <v>11</v>
      </c>
      <c r="F246" s="10"/>
      <c r="G246" s="9" t="s">
        <v>15</v>
      </c>
      <c r="H246" s="7" t="s">
        <v>787</v>
      </c>
      <c r="I246" s="9" t="s">
        <v>353</v>
      </c>
      <c r="J246" s="88"/>
    </row>
    <row r="247">
      <c r="A247" s="20" t="s">
        <v>98</v>
      </c>
      <c r="B247" s="9" t="s">
        <v>788</v>
      </c>
      <c r="C247" s="91">
        <v>45944.38704004629</v>
      </c>
      <c r="D247" s="8"/>
      <c r="E247" s="9"/>
      <c r="F247" s="10"/>
      <c r="G247" s="9" t="s">
        <v>15</v>
      </c>
      <c r="H247" s="7" t="s">
        <v>779</v>
      </c>
      <c r="I247" s="9" t="s">
        <v>353</v>
      </c>
      <c r="J247" s="88"/>
    </row>
    <row r="248">
      <c r="A248" s="6" t="s">
        <v>9</v>
      </c>
      <c r="B248" s="7" t="s">
        <v>789</v>
      </c>
      <c r="C248" s="91">
        <v>45954.44154310186</v>
      </c>
      <c r="D248" s="8">
        <f t="shared" ref="D248:D249" si="26">IFERROR(_xlfn.WORKDAY.INTL(C248, 2),"-")</f>
        <v>45958</v>
      </c>
      <c r="E248" s="9" t="s">
        <v>11</v>
      </c>
      <c r="F248" s="10"/>
      <c r="G248" s="9" t="s">
        <v>15</v>
      </c>
      <c r="H248" s="7" t="s">
        <v>790</v>
      </c>
      <c r="I248" s="9" t="s">
        <v>353</v>
      </c>
      <c r="J248" s="88"/>
    </row>
    <row r="249">
      <c r="A249" s="6" t="s">
        <v>9</v>
      </c>
      <c r="B249" s="7" t="s">
        <v>791</v>
      </c>
      <c r="C249" s="91">
        <v>45959.649848402776</v>
      </c>
      <c r="D249" s="8">
        <f t="shared" si="26"/>
        <v>45961</v>
      </c>
      <c r="E249" s="9" t="s">
        <v>11</v>
      </c>
      <c r="F249" s="10"/>
      <c r="G249" s="9" t="s">
        <v>15</v>
      </c>
      <c r="H249" s="7" t="s">
        <v>792</v>
      </c>
      <c r="I249" s="9" t="s">
        <v>353</v>
      </c>
      <c r="J249" s="88"/>
    </row>
    <row r="250">
      <c r="A250" s="20" t="s">
        <v>98</v>
      </c>
      <c r="B250" s="9" t="s">
        <v>793</v>
      </c>
      <c r="C250" s="91">
        <v>45950.38500371527</v>
      </c>
      <c r="D250" s="8"/>
      <c r="E250" s="9"/>
      <c r="F250" s="10"/>
      <c r="G250" s="9" t="s">
        <v>15</v>
      </c>
      <c r="H250" s="7" t="s">
        <v>794</v>
      </c>
      <c r="I250" s="9" t="s">
        <v>353</v>
      </c>
      <c r="J250" s="88"/>
    </row>
    <row r="251">
      <c r="A251" s="6" t="s">
        <v>9</v>
      </c>
      <c r="B251" s="7" t="s">
        <v>795</v>
      </c>
      <c r="C251" s="91" t="s">
        <v>11</v>
      </c>
      <c r="D251" s="8" t="str">
        <f t="shared" ref="D251:D256" si="27">IFERROR(_xlfn.WORKDAY.INTL(C251, 2),"-")</f>
        <v>-</v>
      </c>
      <c r="E251" s="9" t="s">
        <v>11</v>
      </c>
      <c r="F251" s="10"/>
      <c r="G251" s="9" t="s">
        <v>15</v>
      </c>
      <c r="H251" s="7" t="s">
        <v>784</v>
      </c>
      <c r="I251" s="9" t="s">
        <v>353</v>
      </c>
      <c r="J251" s="88"/>
    </row>
    <row r="252">
      <c r="A252" s="6" t="s">
        <v>9</v>
      </c>
      <c r="B252" s="7" t="s">
        <v>796</v>
      </c>
      <c r="C252" s="91">
        <v>45952.36905878472</v>
      </c>
      <c r="D252" s="8">
        <f t="shared" si="27"/>
        <v>45954</v>
      </c>
      <c r="E252" s="9" t="s">
        <v>11</v>
      </c>
      <c r="F252" s="10"/>
      <c r="G252" s="9" t="s">
        <v>18</v>
      </c>
      <c r="H252" s="7" t="s">
        <v>797</v>
      </c>
      <c r="I252" s="9" t="s">
        <v>353</v>
      </c>
      <c r="J252" s="88"/>
    </row>
    <row r="253">
      <c r="A253" s="6" t="s">
        <v>9</v>
      </c>
      <c r="B253" s="7" t="s">
        <v>798</v>
      </c>
      <c r="C253" s="91">
        <v>45916.59378091435</v>
      </c>
      <c r="D253" s="8">
        <f t="shared" si="27"/>
        <v>45918</v>
      </c>
      <c r="E253" s="9" t="s">
        <v>11</v>
      </c>
      <c r="F253" s="10"/>
      <c r="G253" s="9" t="s">
        <v>21</v>
      </c>
      <c r="H253" s="7" t="s">
        <v>799</v>
      </c>
      <c r="I253" s="9" t="s">
        <v>353</v>
      </c>
      <c r="J253" s="88"/>
    </row>
    <row r="254">
      <c r="A254" s="6" t="s">
        <v>9</v>
      </c>
      <c r="B254" s="7" t="s">
        <v>800</v>
      </c>
      <c r="C254" s="91">
        <v>45959.64817734953</v>
      </c>
      <c r="D254" s="8">
        <f t="shared" si="27"/>
        <v>45961</v>
      </c>
      <c r="E254" s="9" t="s">
        <v>11</v>
      </c>
      <c r="F254" s="10"/>
      <c r="G254" s="9" t="s">
        <v>15</v>
      </c>
      <c r="H254" s="7" t="s">
        <v>801</v>
      </c>
      <c r="I254" s="9" t="s">
        <v>353</v>
      </c>
      <c r="J254" s="88"/>
    </row>
    <row r="255">
      <c r="A255" s="6" t="s">
        <v>9</v>
      </c>
      <c r="B255" s="7" t="s">
        <v>802</v>
      </c>
      <c r="C255" s="91">
        <v>45957.363733935184</v>
      </c>
      <c r="D255" s="8">
        <f t="shared" si="27"/>
        <v>45959</v>
      </c>
      <c r="E255" s="9" t="s">
        <v>11</v>
      </c>
      <c r="F255" s="10"/>
      <c r="G255" s="9" t="s">
        <v>15</v>
      </c>
      <c r="H255" s="7" t="s">
        <v>803</v>
      </c>
      <c r="I255" s="9" t="s">
        <v>353</v>
      </c>
      <c r="J255" s="88"/>
    </row>
    <row r="256">
      <c r="A256" s="6" t="s">
        <v>9</v>
      </c>
      <c r="B256" s="7" t="s">
        <v>804</v>
      </c>
      <c r="C256" s="91">
        <v>45957.36341240741</v>
      </c>
      <c r="D256" s="8">
        <f t="shared" si="27"/>
        <v>45959</v>
      </c>
      <c r="E256" s="9" t="s">
        <v>11</v>
      </c>
      <c r="F256" s="10"/>
      <c r="G256" s="9" t="s">
        <v>15</v>
      </c>
      <c r="H256" s="7" t="s">
        <v>805</v>
      </c>
      <c r="I256" s="9" t="s">
        <v>353</v>
      </c>
      <c r="J256" s="88"/>
    </row>
    <row r="257">
      <c r="A257" s="20" t="s">
        <v>98</v>
      </c>
      <c r="B257" s="9" t="s">
        <v>806</v>
      </c>
      <c r="C257" s="91">
        <v>45958.73105826389</v>
      </c>
      <c r="D257" s="8"/>
      <c r="E257" s="9"/>
      <c r="F257" s="10"/>
      <c r="G257" s="9" t="s">
        <v>18</v>
      </c>
      <c r="H257" s="11"/>
      <c r="I257" s="9" t="s">
        <v>353</v>
      </c>
      <c r="J257" s="88"/>
    </row>
    <row r="258">
      <c r="A258" s="20" t="s">
        <v>98</v>
      </c>
      <c r="B258" s="9" t="s">
        <v>807</v>
      </c>
      <c r="C258" s="91">
        <v>45950.38488886574</v>
      </c>
      <c r="D258" s="8"/>
      <c r="E258" s="9"/>
      <c r="F258" s="10"/>
      <c r="G258" s="9" t="s">
        <v>15</v>
      </c>
      <c r="H258" s="7" t="s">
        <v>808</v>
      </c>
      <c r="I258" s="9" t="s">
        <v>353</v>
      </c>
      <c r="J258" s="88"/>
    </row>
    <row r="259">
      <c r="A259" s="102"/>
      <c r="B259" s="107" t="s">
        <v>809</v>
      </c>
      <c r="C259" s="91">
        <v>45943.40042747685</v>
      </c>
      <c r="D259" s="8"/>
      <c r="E259" s="9"/>
      <c r="F259" s="10"/>
      <c r="G259" s="9" t="s">
        <v>11</v>
      </c>
      <c r="H259" s="104" t="s">
        <v>810</v>
      </c>
      <c r="I259" s="9" t="s">
        <v>353</v>
      </c>
      <c r="J259" s="88"/>
    </row>
    <row r="260">
      <c r="A260" s="102"/>
      <c r="B260" s="107" t="s">
        <v>811</v>
      </c>
      <c r="C260" s="91">
        <v>45946.6190296412</v>
      </c>
      <c r="D260" s="8"/>
      <c r="E260" s="9"/>
      <c r="F260" s="10"/>
      <c r="G260" s="9" t="s">
        <v>11</v>
      </c>
      <c r="H260" s="108" t="s">
        <v>812</v>
      </c>
      <c r="I260" s="9" t="s">
        <v>353</v>
      </c>
      <c r="J260" s="88"/>
    </row>
    <row r="261">
      <c r="A261" s="102"/>
      <c r="B261" s="109" t="s">
        <v>813</v>
      </c>
      <c r="C261" s="91">
        <v>45943.40016346065</v>
      </c>
      <c r="D261" s="8"/>
      <c r="E261" s="9"/>
      <c r="F261" s="10"/>
      <c r="G261" s="9" t="s">
        <v>11</v>
      </c>
      <c r="H261" s="106" t="s">
        <v>814</v>
      </c>
      <c r="I261" s="9" t="s">
        <v>353</v>
      </c>
      <c r="J261" s="88"/>
    </row>
    <row r="262">
      <c r="A262" s="6" t="s">
        <v>9</v>
      </c>
      <c r="B262" s="7" t="s">
        <v>815</v>
      </c>
      <c r="C262" s="91">
        <v>45953.72598019676</v>
      </c>
      <c r="D262" s="8">
        <f>IFERROR(_xlfn.WORKDAY.INTL(C262, 2),"-")</f>
        <v>45957</v>
      </c>
      <c r="E262" s="9" t="s">
        <v>11</v>
      </c>
      <c r="F262" s="10"/>
      <c r="G262" s="9" t="s">
        <v>15</v>
      </c>
      <c r="H262" s="7" t="s">
        <v>816</v>
      </c>
      <c r="I262" s="9" t="s">
        <v>353</v>
      </c>
      <c r="J262" s="88"/>
    </row>
    <row r="263">
      <c r="A263" s="20" t="s">
        <v>98</v>
      </c>
      <c r="B263" s="9" t="s">
        <v>817</v>
      </c>
      <c r="C263" s="91">
        <v>45957.69848501157</v>
      </c>
      <c r="D263" s="8"/>
      <c r="E263" s="9"/>
      <c r="F263" s="10"/>
      <c r="G263" s="9" t="s">
        <v>15</v>
      </c>
      <c r="H263" s="7" t="s">
        <v>818</v>
      </c>
      <c r="I263" s="9" t="s">
        <v>353</v>
      </c>
      <c r="J263" s="88"/>
    </row>
    <row r="264">
      <c r="A264" s="6" t="s">
        <v>9</v>
      </c>
      <c r="B264" s="7" t="s">
        <v>819</v>
      </c>
      <c r="C264" s="91">
        <v>45957.36365876158</v>
      </c>
      <c r="D264" s="8">
        <f>IFERROR(_xlfn.WORKDAY.INTL(C264, 2),"-")</f>
        <v>45959</v>
      </c>
      <c r="E264" s="9" t="s">
        <v>11</v>
      </c>
      <c r="F264" s="10"/>
      <c r="G264" s="9" t="s">
        <v>15</v>
      </c>
      <c r="H264" s="7" t="s">
        <v>820</v>
      </c>
      <c r="I264" s="9" t="s">
        <v>353</v>
      </c>
      <c r="J264" s="88"/>
    </row>
    <row r="265">
      <c r="A265" s="20" t="s">
        <v>98</v>
      </c>
      <c r="B265" s="9" t="s">
        <v>821</v>
      </c>
      <c r="C265" s="91">
        <v>45910.39711164351</v>
      </c>
      <c r="D265" s="8"/>
      <c r="E265" s="9"/>
      <c r="F265" s="10"/>
      <c r="G265" s="9" t="s">
        <v>15</v>
      </c>
      <c r="H265" s="7" t="s">
        <v>822</v>
      </c>
      <c r="I265" s="9" t="s">
        <v>353</v>
      </c>
      <c r="J265" s="88"/>
    </row>
    <row r="266">
      <c r="A266" s="20" t="s">
        <v>98</v>
      </c>
      <c r="B266" s="9" t="s">
        <v>823</v>
      </c>
      <c r="C266" s="91">
        <v>45910.397091782404</v>
      </c>
      <c r="D266" s="8"/>
      <c r="E266" s="9"/>
      <c r="F266" s="10"/>
      <c r="G266" s="9" t="s">
        <v>15</v>
      </c>
      <c r="H266" s="23" t="s">
        <v>824</v>
      </c>
      <c r="I266" s="9" t="s">
        <v>353</v>
      </c>
      <c r="J266" s="88"/>
    </row>
    <row r="267">
      <c r="A267" s="6" t="s">
        <v>9</v>
      </c>
      <c r="B267" s="7" t="s">
        <v>825</v>
      </c>
      <c r="C267" s="91">
        <v>45917.71423246528</v>
      </c>
      <c r="D267" s="8">
        <f>IFERROR(_xlfn.WORKDAY.INTL(C267, 2),"-")</f>
        <v>45919</v>
      </c>
      <c r="E267" s="9" t="s">
        <v>11</v>
      </c>
      <c r="F267" s="10"/>
      <c r="G267" s="9" t="s">
        <v>18</v>
      </c>
      <c r="H267" s="7" t="s">
        <v>826</v>
      </c>
      <c r="I267" s="9" t="s">
        <v>353</v>
      </c>
      <c r="J267" s="88"/>
    </row>
    <row r="268">
      <c r="A268" s="110">
        <v>0.0</v>
      </c>
      <c r="B268" s="9" t="s">
        <v>827</v>
      </c>
      <c r="C268" s="91">
        <v>45910.39670738426</v>
      </c>
      <c r="D268" s="8"/>
      <c r="E268" s="9"/>
      <c r="F268" s="10"/>
      <c r="G268" s="9" t="s">
        <v>21</v>
      </c>
      <c r="H268" s="22" t="s">
        <v>828</v>
      </c>
      <c r="I268" s="9" t="s">
        <v>353</v>
      </c>
      <c r="J268" s="88"/>
    </row>
    <row r="269">
      <c r="A269" s="6" t="s">
        <v>9</v>
      </c>
      <c r="B269" s="7" t="s">
        <v>829</v>
      </c>
      <c r="C269" s="91">
        <v>45957.45986828704</v>
      </c>
      <c r="D269" s="8">
        <f>IFERROR(_xlfn.WORKDAY.INTL(C269, 2),"-")</f>
        <v>45959</v>
      </c>
      <c r="E269" s="9" t="s">
        <v>11</v>
      </c>
      <c r="F269" s="10"/>
      <c r="G269" s="9" t="s">
        <v>15</v>
      </c>
      <c r="H269" s="7" t="s">
        <v>830</v>
      </c>
      <c r="I269" s="9" t="s">
        <v>353</v>
      </c>
      <c r="J269" s="88"/>
    </row>
    <row r="270">
      <c r="A270" s="20" t="s">
        <v>98</v>
      </c>
      <c r="B270" s="9" t="s">
        <v>831</v>
      </c>
      <c r="C270" s="91">
        <v>45714.36782557871</v>
      </c>
      <c r="D270" s="8"/>
      <c r="E270" s="9"/>
      <c r="F270" s="10"/>
      <c r="G270" s="9" t="s">
        <v>21</v>
      </c>
      <c r="H270" s="22" t="s">
        <v>832</v>
      </c>
      <c r="I270" s="9" t="s">
        <v>353</v>
      </c>
      <c r="J270" s="88"/>
    </row>
    <row r="271">
      <c r="A271" s="20" t="s">
        <v>98</v>
      </c>
      <c r="B271" s="9" t="s">
        <v>833</v>
      </c>
      <c r="C271" s="91">
        <v>45944.387997094906</v>
      </c>
      <c r="D271" s="8"/>
      <c r="E271" s="9"/>
      <c r="F271" s="10"/>
      <c r="G271" s="9" t="s">
        <v>15</v>
      </c>
      <c r="H271" s="7" t="s">
        <v>818</v>
      </c>
      <c r="I271" s="9" t="s">
        <v>353</v>
      </c>
      <c r="J271" s="88"/>
    </row>
    <row r="272">
      <c r="A272" s="20" t="s">
        <v>98</v>
      </c>
      <c r="B272" s="9" t="s">
        <v>834</v>
      </c>
      <c r="C272" s="91">
        <v>45944.47138094908</v>
      </c>
      <c r="D272" s="8"/>
      <c r="E272" s="9"/>
      <c r="F272" s="10"/>
      <c r="G272" s="9" t="s">
        <v>15</v>
      </c>
      <c r="H272" s="7" t="s">
        <v>835</v>
      </c>
      <c r="I272" s="9" t="s">
        <v>353</v>
      </c>
      <c r="J272" s="88"/>
    </row>
    <row r="273">
      <c r="A273" s="20" t="s">
        <v>98</v>
      </c>
      <c r="B273" s="9" t="s">
        <v>836</v>
      </c>
      <c r="C273" s="91">
        <v>45954.4689787963</v>
      </c>
      <c r="D273" s="8"/>
      <c r="E273" s="9"/>
      <c r="F273" s="10"/>
      <c r="G273" s="9" t="s">
        <v>15</v>
      </c>
      <c r="H273" s="7" t="s">
        <v>837</v>
      </c>
      <c r="I273" s="9" t="s">
        <v>353</v>
      </c>
      <c r="J273" s="88"/>
    </row>
    <row r="274">
      <c r="A274" s="6" t="s">
        <v>9</v>
      </c>
      <c r="B274" s="7" t="s">
        <v>838</v>
      </c>
      <c r="C274" s="91">
        <v>45953.62340193287</v>
      </c>
      <c r="D274" s="8">
        <f>IFERROR(_xlfn.WORKDAY.INTL(C274, 2),"-")</f>
        <v>45957</v>
      </c>
      <c r="E274" s="9" t="s">
        <v>11</v>
      </c>
      <c r="F274" s="10"/>
      <c r="G274" s="9" t="s">
        <v>18</v>
      </c>
      <c r="H274" s="7" t="s">
        <v>839</v>
      </c>
      <c r="I274" s="9" t="s">
        <v>353</v>
      </c>
      <c r="J274" s="88"/>
    </row>
    <row r="275">
      <c r="A275" s="20" t="s">
        <v>98</v>
      </c>
      <c r="B275" s="9" t="s">
        <v>840</v>
      </c>
      <c r="C275" s="91">
        <v>45951.701304409726</v>
      </c>
      <c r="D275" s="8"/>
      <c r="E275" s="9"/>
      <c r="F275" s="10"/>
      <c r="G275" s="9" t="s">
        <v>15</v>
      </c>
      <c r="H275" s="7" t="s">
        <v>808</v>
      </c>
      <c r="I275" s="9" t="s">
        <v>353</v>
      </c>
      <c r="J275" s="88"/>
    </row>
    <row r="276">
      <c r="A276" s="6" t="s">
        <v>9</v>
      </c>
      <c r="B276" s="7" t="s">
        <v>841</v>
      </c>
      <c r="C276" s="91">
        <v>45952.5639409375</v>
      </c>
      <c r="D276" s="8">
        <f>IFERROR(_xlfn.WORKDAY.INTL(C276, 2),"-")</f>
        <v>45954</v>
      </c>
      <c r="E276" s="9" t="s">
        <v>11</v>
      </c>
      <c r="F276" s="10"/>
      <c r="G276" s="9" t="s">
        <v>18</v>
      </c>
      <c r="H276" s="7" t="s">
        <v>842</v>
      </c>
      <c r="I276" s="9" t="s">
        <v>353</v>
      </c>
      <c r="J276" s="88"/>
    </row>
    <row r="277">
      <c r="A277" s="20" t="s">
        <v>98</v>
      </c>
      <c r="B277" s="9" t="s">
        <v>843</v>
      </c>
      <c r="C277" s="91">
        <v>45944.38735880787</v>
      </c>
      <c r="D277" s="8"/>
      <c r="E277" s="9"/>
      <c r="F277" s="10"/>
      <c r="G277" s="9" t="s">
        <v>15</v>
      </c>
      <c r="H277" s="7" t="s">
        <v>844</v>
      </c>
      <c r="I277" s="9" t="s">
        <v>353</v>
      </c>
      <c r="J277" s="88"/>
    </row>
    <row r="278">
      <c r="A278" s="6" t="s">
        <v>9</v>
      </c>
      <c r="B278" s="7" t="s">
        <v>845</v>
      </c>
      <c r="C278" s="91">
        <v>45952.369498078704</v>
      </c>
      <c r="D278" s="8">
        <f>IFERROR(_xlfn.WORKDAY.INTL(C278, 2),"-")</f>
        <v>45954</v>
      </c>
      <c r="E278" s="9" t="s">
        <v>11</v>
      </c>
      <c r="F278" s="10"/>
      <c r="G278" s="9" t="s">
        <v>18</v>
      </c>
      <c r="H278" s="7" t="s">
        <v>437</v>
      </c>
      <c r="I278" s="9" t="s">
        <v>353</v>
      </c>
      <c r="J278" s="88"/>
    </row>
    <row r="279">
      <c r="A279" s="20" t="s">
        <v>98</v>
      </c>
      <c r="B279" s="9" t="s">
        <v>846</v>
      </c>
      <c r="C279" s="91">
        <v>45910.39511621528</v>
      </c>
      <c r="D279" s="8"/>
      <c r="E279" s="9"/>
      <c r="F279" s="10"/>
      <c r="G279" s="9" t="s">
        <v>18</v>
      </c>
      <c r="H279" s="7" t="s">
        <v>847</v>
      </c>
      <c r="I279" s="9" t="s">
        <v>353</v>
      </c>
      <c r="J279" s="88"/>
    </row>
    <row r="280">
      <c r="A280" s="20" t="s">
        <v>98</v>
      </c>
      <c r="B280" s="9" t="s">
        <v>848</v>
      </c>
      <c r="C280" s="91">
        <v>45762.43979237269</v>
      </c>
      <c r="D280" s="8"/>
      <c r="E280" s="9"/>
      <c r="F280" s="10"/>
      <c r="G280" s="9" t="s">
        <v>21</v>
      </c>
      <c r="H280" s="22" t="s">
        <v>849</v>
      </c>
      <c r="I280" s="9" t="s">
        <v>353</v>
      </c>
      <c r="J280" s="88"/>
    </row>
    <row r="281">
      <c r="A281" s="20" t="s">
        <v>98</v>
      </c>
      <c r="B281" s="9" t="s">
        <v>850</v>
      </c>
      <c r="C281" s="91">
        <v>45944.38900858797</v>
      </c>
      <c r="D281" s="8"/>
      <c r="E281" s="9"/>
      <c r="F281" s="10"/>
      <c r="G281" s="9" t="s">
        <v>18</v>
      </c>
      <c r="H281" s="7" t="s">
        <v>851</v>
      </c>
      <c r="I281" s="9" t="s">
        <v>353</v>
      </c>
      <c r="J281" s="88"/>
    </row>
    <row r="282">
      <c r="A282" s="102"/>
      <c r="B282" s="7" t="s">
        <v>852</v>
      </c>
      <c r="C282" s="91">
        <v>45951.468784780096</v>
      </c>
      <c r="D282" s="8"/>
      <c r="E282" s="9"/>
      <c r="F282" s="10"/>
      <c r="G282" s="9" t="s">
        <v>11</v>
      </c>
      <c r="H282" s="105" t="s">
        <v>853</v>
      </c>
      <c r="I282" s="9" t="s">
        <v>353</v>
      </c>
      <c r="J282" s="88"/>
    </row>
    <row r="283">
      <c r="A283" s="102"/>
      <c r="B283" s="107" t="s">
        <v>854</v>
      </c>
      <c r="C283" s="91">
        <v>45947.45422491898</v>
      </c>
      <c r="D283" s="8"/>
      <c r="E283" s="9"/>
      <c r="F283" s="10"/>
      <c r="G283" s="9" t="s">
        <v>11</v>
      </c>
      <c r="H283" s="104" t="s">
        <v>855</v>
      </c>
      <c r="I283" s="9" t="s">
        <v>353</v>
      </c>
      <c r="J283" s="88"/>
    </row>
    <row r="284">
      <c r="A284" s="102"/>
      <c r="B284" s="111" t="s">
        <v>856</v>
      </c>
      <c r="C284" s="91">
        <v>45951.46590481482</v>
      </c>
      <c r="D284" s="8"/>
      <c r="E284" s="9"/>
      <c r="F284" s="10"/>
      <c r="G284" s="9" t="s">
        <v>11</v>
      </c>
      <c r="H284" s="105" t="s">
        <v>853</v>
      </c>
      <c r="I284" s="9" t="s">
        <v>353</v>
      </c>
      <c r="J284" s="88"/>
    </row>
    <row r="285">
      <c r="A285" s="20" t="s">
        <v>98</v>
      </c>
      <c r="B285" s="9" t="s">
        <v>857</v>
      </c>
      <c r="C285" s="91">
        <v>45848.675157060185</v>
      </c>
      <c r="D285" s="8"/>
      <c r="E285" s="9"/>
      <c r="F285" s="10"/>
      <c r="G285" s="9" t="s">
        <v>15</v>
      </c>
      <c r="H285" s="7" t="s">
        <v>858</v>
      </c>
      <c r="I285" s="9" t="s">
        <v>353</v>
      </c>
      <c r="J285" s="88"/>
    </row>
    <row r="286">
      <c r="A286" s="6" t="s">
        <v>9</v>
      </c>
      <c r="B286" s="7" t="s">
        <v>859</v>
      </c>
      <c r="C286" s="91">
        <v>45939.69241550926</v>
      </c>
      <c r="D286" s="8">
        <f t="shared" ref="D286:D291" si="28">IFERROR(_xlfn.WORKDAY.INTL(C286, 2),"-")</f>
        <v>45943</v>
      </c>
      <c r="E286" s="9" t="s">
        <v>11</v>
      </c>
      <c r="F286" s="10"/>
      <c r="G286" s="9" t="s">
        <v>18</v>
      </c>
      <c r="H286" s="7" t="s">
        <v>860</v>
      </c>
      <c r="I286" s="9" t="s">
        <v>353</v>
      </c>
      <c r="J286" s="88"/>
    </row>
    <row r="287">
      <c r="A287" s="6" t="s">
        <v>9</v>
      </c>
      <c r="B287" s="7" t="s">
        <v>861</v>
      </c>
      <c r="C287" s="91">
        <v>45461.339944004634</v>
      </c>
      <c r="D287" s="8">
        <f t="shared" si="28"/>
        <v>45463</v>
      </c>
      <c r="E287" s="9" t="s">
        <v>11</v>
      </c>
      <c r="F287" s="8"/>
      <c r="G287" s="9" t="s">
        <v>89</v>
      </c>
      <c r="H287" s="7" t="s">
        <v>862</v>
      </c>
      <c r="I287" s="9" t="s">
        <v>353</v>
      </c>
      <c r="J287" s="88"/>
    </row>
    <row r="288">
      <c r="A288" s="6" t="s">
        <v>9</v>
      </c>
      <c r="B288" s="7" t="s">
        <v>863</v>
      </c>
      <c r="C288" s="91">
        <v>45478.43377050926</v>
      </c>
      <c r="D288" s="8">
        <f t="shared" si="28"/>
        <v>45482</v>
      </c>
      <c r="E288" s="9" t="s">
        <v>11</v>
      </c>
      <c r="F288" s="10"/>
      <c r="G288" s="9" t="s">
        <v>21</v>
      </c>
      <c r="H288" s="7" t="s">
        <v>864</v>
      </c>
      <c r="I288" s="9" t="s">
        <v>353</v>
      </c>
      <c r="J288" s="88"/>
    </row>
    <row r="289">
      <c r="A289" s="6" t="s">
        <v>9</v>
      </c>
      <c r="B289" s="7" t="s">
        <v>865</v>
      </c>
      <c r="C289" s="91">
        <v>45478.43075584491</v>
      </c>
      <c r="D289" s="8">
        <f t="shared" si="28"/>
        <v>45482</v>
      </c>
      <c r="E289" s="9" t="s">
        <v>11</v>
      </c>
      <c r="F289" s="10"/>
      <c r="G289" s="9" t="s">
        <v>15</v>
      </c>
      <c r="H289" s="7" t="s">
        <v>866</v>
      </c>
      <c r="I289" s="9" t="s">
        <v>353</v>
      </c>
      <c r="J289" s="88"/>
    </row>
    <row r="290">
      <c r="A290" s="6" t="s">
        <v>9</v>
      </c>
      <c r="B290" s="7" t="s">
        <v>867</v>
      </c>
      <c r="C290" s="91">
        <v>45461.34064671297</v>
      </c>
      <c r="D290" s="8">
        <f t="shared" si="28"/>
        <v>45463</v>
      </c>
      <c r="E290" s="9" t="s">
        <v>11</v>
      </c>
      <c r="F290" s="8"/>
      <c r="G290" s="9" t="s">
        <v>89</v>
      </c>
      <c r="H290" s="7" t="s">
        <v>868</v>
      </c>
      <c r="I290" s="9" t="s">
        <v>353</v>
      </c>
      <c r="J290" s="88"/>
    </row>
    <row r="291">
      <c r="A291" s="6" t="s">
        <v>9</v>
      </c>
      <c r="B291" s="7" t="s">
        <v>869</v>
      </c>
      <c r="C291" s="91">
        <v>45642.5119570949</v>
      </c>
      <c r="D291" s="8">
        <f t="shared" si="28"/>
        <v>45644</v>
      </c>
      <c r="E291" s="9" t="s">
        <v>11</v>
      </c>
      <c r="F291" s="8"/>
      <c r="G291" s="9" t="s">
        <v>89</v>
      </c>
      <c r="H291" s="7" t="s">
        <v>870</v>
      </c>
      <c r="I291" s="9" t="s">
        <v>353</v>
      </c>
      <c r="J291" s="88"/>
    </row>
    <row r="292">
      <c r="A292" s="102"/>
      <c r="B292" s="112" t="s">
        <v>871</v>
      </c>
      <c r="C292" s="91">
        <v>45947.45596959491</v>
      </c>
      <c r="E292" s="9"/>
      <c r="G292" s="9" t="s">
        <v>11</v>
      </c>
      <c r="H292" s="106" t="s">
        <v>872</v>
      </c>
      <c r="I292" s="9" t="s">
        <v>353</v>
      </c>
      <c r="J292" s="88"/>
    </row>
    <row r="293">
      <c r="A293" s="102"/>
      <c r="B293" s="107" t="s">
        <v>873</v>
      </c>
      <c r="C293" s="91">
        <v>45951.46288365741</v>
      </c>
      <c r="D293" s="8"/>
      <c r="E293" s="9"/>
      <c r="F293" s="10"/>
      <c r="G293" s="113" t="s">
        <v>11</v>
      </c>
      <c r="H293" s="104" t="s">
        <v>874</v>
      </c>
      <c r="I293" s="9" t="s">
        <v>353</v>
      </c>
      <c r="J293" s="88"/>
    </row>
    <row r="294">
      <c r="A294" s="102"/>
      <c r="B294" s="107" t="s">
        <v>875</v>
      </c>
      <c r="C294" s="91">
        <v>45938.67547030092</v>
      </c>
      <c r="D294" s="8"/>
      <c r="E294" s="9"/>
      <c r="F294" s="10"/>
      <c r="G294" s="113" t="s">
        <v>11</v>
      </c>
      <c r="H294" s="104" t="s">
        <v>876</v>
      </c>
      <c r="I294" s="9" t="s">
        <v>353</v>
      </c>
      <c r="J294" s="88"/>
    </row>
    <row r="295">
      <c r="A295" s="102" t="s">
        <v>624</v>
      </c>
      <c r="B295" s="7" t="s">
        <v>877</v>
      </c>
      <c r="C295" s="91">
        <v>45951.46191078704</v>
      </c>
      <c r="D295" s="8"/>
      <c r="E295" s="9"/>
      <c r="F295" s="10"/>
      <c r="G295" s="113" t="s">
        <v>11</v>
      </c>
      <c r="H295" s="105" t="s">
        <v>878</v>
      </c>
      <c r="I295" s="9" t="s">
        <v>353</v>
      </c>
      <c r="J295" s="88"/>
    </row>
    <row r="296">
      <c r="A296" s="20" t="s">
        <v>98</v>
      </c>
      <c r="B296" s="9" t="s">
        <v>879</v>
      </c>
      <c r="C296" s="91">
        <v>45951.36917788195</v>
      </c>
      <c r="D296" s="8"/>
      <c r="E296" s="9"/>
      <c r="F296" s="10"/>
      <c r="G296" s="9" t="s">
        <v>15</v>
      </c>
      <c r="H296" s="7" t="s">
        <v>880</v>
      </c>
      <c r="I296" s="9" t="s">
        <v>353</v>
      </c>
      <c r="J296" s="88"/>
    </row>
    <row r="297">
      <c r="A297" s="20" t="s">
        <v>98</v>
      </c>
      <c r="B297" s="9" t="s">
        <v>881</v>
      </c>
      <c r="C297" s="91">
        <v>45762.44038869213</v>
      </c>
      <c r="D297" s="8"/>
      <c r="E297" s="9"/>
      <c r="F297" s="10"/>
      <c r="G297" s="9" t="s">
        <v>21</v>
      </c>
      <c r="H297" s="25" t="s">
        <v>882</v>
      </c>
      <c r="I297" s="9" t="s">
        <v>353</v>
      </c>
      <c r="J297" s="88"/>
    </row>
    <row r="298">
      <c r="A298" s="20" t="s">
        <v>98</v>
      </c>
      <c r="B298" s="9" t="s">
        <v>883</v>
      </c>
      <c r="C298" s="91">
        <v>45846.53823130787</v>
      </c>
      <c r="D298" s="8"/>
      <c r="E298" s="9"/>
      <c r="F298" s="10"/>
      <c r="G298" s="9" t="s">
        <v>21</v>
      </c>
      <c r="H298" s="22" t="s">
        <v>884</v>
      </c>
      <c r="I298" s="9" t="s">
        <v>353</v>
      </c>
      <c r="J298" s="88"/>
    </row>
    <row r="299">
      <c r="A299" s="20" t="s">
        <v>98</v>
      </c>
      <c r="B299" s="9" t="s">
        <v>885</v>
      </c>
      <c r="C299" s="91">
        <v>45939.681786747686</v>
      </c>
      <c r="D299" s="8"/>
      <c r="E299" s="9"/>
      <c r="F299" s="10"/>
      <c r="G299" s="9" t="s">
        <v>18</v>
      </c>
      <c r="H299" s="7" t="s">
        <v>886</v>
      </c>
      <c r="I299" s="9" t="s">
        <v>353</v>
      </c>
      <c r="J299" s="88"/>
    </row>
    <row r="300">
      <c r="A300" s="102" t="s">
        <v>624</v>
      </c>
      <c r="B300" s="7" t="s">
        <v>887</v>
      </c>
      <c r="C300" s="91">
        <v>45944.72815638889</v>
      </c>
      <c r="D300" s="8"/>
      <c r="E300" s="9"/>
      <c r="F300" s="10"/>
      <c r="G300" s="9" t="s">
        <v>11</v>
      </c>
      <c r="H300" s="105" t="s">
        <v>888</v>
      </c>
      <c r="I300" s="9" t="s">
        <v>353</v>
      </c>
      <c r="J300" s="88"/>
    </row>
    <row r="301">
      <c r="A301" s="54" t="s">
        <v>236</v>
      </c>
      <c r="B301" s="7" t="s">
        <v>889</v>
      </c>
      <c r="C301" s="91">
        <v>45950.68285631944</v>
      </c>
      <c r="D301" s="8"/>
      <c r="E301" s="9"/>
      <c r="F301" s="10"/>
      <c r="G301" s="9"/>
      <c r="H301" s="7" t="s">
        <v>579</v>
      </c>
      <c r="I301" s="9" t="s">
        <v>353</v>
      </c>
      <c r="J301" s="88"/>
    </row>
    <row r="302">
      <c r="A302" s="54" t="s">
        <v>236</v>
      </c>
      <c r="B302" s="7" t="s">
        <v>890</v>
      </c>
      <c r="C302" s="91">
        <v>45939.41112967592</v>
      </c>
      <c r="D302" s="8"/>
      <c r="E302" s="9"/>
      <c r="F302" s="10"/>
      <c r="G302" s="9" t="s">
        <v>18</v>
      </c>
      <c r="H302" s="7" t="s">
        <v>891</v>
      </c>
      <c r="I302" s="9" t="s">
        <v>353</v>
      </c>
      <c r="J302" s="88"/>
    </row>
    <row r="303">
      <c r="A303" s="20" t="s">
        <v>98</v>
      </c>
      <c r="B303" s="9" t="s">
        <v>892</v>
      </c>
      <c r="C303" s="91">
        <v>45946.71186491898</v>
      </c>
      <c r="D303" s="8"/>
      <c r="E303" s="9"/>
      <c r="F303" s="10"/>
      <c r="G303" s="9" t="s">
        <v>15</v>
      </c>
      <c r="H303" s="7" t="s">
        <v>893</v>
      </c>
      <c r="I303" s="9" t="s">
        <v>353</v>
      </c>
      <c r="J303" s="88"/>
    </row>
    <row r="304">
      <c r="A304" s="20" t="s">
        <v>98</v>
      </c>
      <c r="B304" s="9" t="s">
        <v>894</v>
      </c>
      <c r="C304" s="91"/>
      <c r="D304" s="8"/>
      <c r="E304" s="9"/>
      <c r="F304" s="10"/>
      <c r="G304" s="9" t="s">
        <v>15</v>
      </c>
      <c r="H304" s="7" t="s">
        <v>893</v>
      </c>
      <c r="I304" s="9" t="s">
        <v>353</v>
      </c>
      <c r="J304" s="88"/>
    </row>
    <row r="305">
      <c r="A305" s="102"/>
      <c r="B305" s="7" t="s">
        <v>895</v>
      </c>
      <c r="C305" s="91">
        <v>45947.45630196759</v>
      </c>
      <c r="D305" s="8"/>
      <c r="E305" s="9"/>
      <c r="F305" s="10"/>
      <c r="G305" s="9" t="s">
        <v>11</v>
      </c>
      <c r="H305" s="105" t="s">
        <v>896</v>
      </c>
      <c r="I305" s="9" t="s">
        <v>353</v>
      </c>
      <c r="J305" s="88"/>
    </row>
    <row r="306">
      <c r="A306" s="54" t="s">
        <v>236</v>
      </c>
      <c r="B306" s="7" t="s">
        <v>897</v>
      </c>
      <c r="C306" s="91">
        <v>45940.467823032406</v>
      </c>
      <c r="D306" s="8"/>
      <c r="E306" s="9"/>
      <c r="F306" s="10"/>
      <c r="G306" s="9" t="s">
        <v>18</v>
      </c>
      <c r="H306" s="60" t="s">
        <v>898</v>
      </c>
      <c r="I306" s="9" t="s">
        <v>353</v>
      </c>
      <c r="J306" s="88"/>
    </row>
    <row r="307">
      <c r="A307" s="54" t="s">
        <v>236</v>
      </c>
      <c r="B307" s="7" t="s">
        <v>899</v>
      </c>
      <c r="C307" s="91">
        <v>45939.41180657408</v>
      </c>
      <c r="D307" s="8"/>
      <c r="E307" s="9"/>
      <c r="F307" s="10"/>
      <c r="G307" s="9" t="s">
        <v>15</v>
      </c>
      <c r="H307" s="7" t="s">
        <v>900</v>
      </c>
      <c r="I307" s="9" t="s">
        <v>353</v>
      </c>
      <c r="J307" s="88"/>
    </row>
    <row r="308">
      <c r="A308" s="88"/>
      <c r="B308" s="89"/>
      <c r="C308" s="90"/>
      <c r="D308" s="89"/>
      <c r="E308" s="89"/>
      <c r="F308" s="89"/>
      <c r="G308" s="89"/>
      <c r="H308" s="87"/>
      <c r="I308" s="89"/>
      <c r="J308" s="88"/>
    </row>
    <row r="309">
      <c r="A309" s="20" t="s">
        <v>98</v>
      </c>
      <c r="B309" s="9" t="s">
        <v>417</v>
      </c>
      <c r="C309" s="91"/>
      <c r="D309" s="8"/>
      <c r="E309" s="9"/>
      <c r="F309" s="10"/>
      <c r="G309" s="9" t="s">
        <v>15</v>
      </c>
      <c r="H309" s="7" t="s">
        <v>901</v>
      </c>
      <c r="I309" s="9" t="s">
        <v>353</v>
      </c>
      <c r="J309" s="88"/>
    </row>
    <row r="310">
      <c r="A310" s="102"/>
      <c r="B310" s="114" t="s">
        <v>902</v>
      </c>
      <c r="C310" s="91">
        <v>45944.727281238425</v>
      </c>
      <c r="D310" s="8"/>
      <c r="E310" s="9"/>
      <c r="F310" s="10"/>
      <c r="G310" s="9" t="s">
        <v>11</v>
      </c>
      <c r="H310" s="105" t="s">
        <v>903</v>
      </c>
      <c r="I310" s="9" t="s">
        <v>353</v>
      </c>
      <c r="J310" s="88"/>
    </row>
    <row r="311">
      <c r="A311" s="20" t="s">
        <v>98</v>
      </c>
      <c r="B311" s="9" t="s">
        <v>562</v>
      </c>
      <c r="C311" s="91">
        <v>45945.66040197917</v>
      </c>
      <c r="D311" s="8"/>
      <c r="E311" s="9"/>
      <c r="F311" s="10"/>
      <c r="G311" s="9" t="s">
        <v>15</v>
      </c>
      <c r="H311" s="7" t="s">
        <v>904</v>
      </c>
      <c r="I311" s="9" t="s">
        <v>353</v>
      </c>
      <c r="J311" s="88"/>
    </row>
    <row r="312">
      <c r="A312" s="102"/>
      <c r="B312" s="114" t="s">
        <v>905</v>
      </c>
      <c r="C312" s="91">
        <v>45943.401043969905</v>
      </c>
      <c r="D312" s="8"/>
      <c r="E312" s="9"/>
      <c r="F312" s="10"/>
      <c r="G312" s="9" t="s">
        <v>11</v>
      </c>
      <c r="H312" s="105" t="s">
        <v>906</v>
      </c>
      <c r="I312" s="9" t="s">
        <v>353</v>
      </c>
      <c r="J312" s="88"/>
    </row>
    <row r="313">
      <c r="A313" s="102"/>
      <c r="B313" s="114" t="s">
        <v>907</v>
      </c>
      <c r="C313" s="91"/>
      <c r="D313" s="8"/>
      <c r="E313" s="9"/>
      <c r="F313" s="10"/>
      <c r="G313" s="9" t="s">
        <v>11</v>
      </c>
      <c r="H313" s="105" t="s">
        <v>908</v>
      </c>
      <c r="I313" s="9" t="s">
        <v>353</v>
      </c>
      <c r="J313" s="88"/>
    </row>
    <row r="314">
      <c r="A314" s="54" t="s">
        <v>236</v>
      </c>
      <c r="B314" s="7" t="s">
        <v>909</v>
      </c>
      <c r="C314" s="91">
        <v>45939.43289733796</v>
      </c>
      <c r="D314" s="8"/>
      <c r="E314" s="9"/>
      <c r="F314" s="10"/>
      <c r="G314" s="9" t="s">
        <v>15</v>
      </c>
      <c r="H314" s="7" t="s">
        <v>910</v>
      </c>
      <c r="I314" s="9" t="s">
        <v>353</v>
      </c>
      <c r="J314" s="88"/>
    </row>
    <row r="315">
      <c r="A315" s="54" t="s">
        <v>236</v>
      </c>
      <c r="B315" s="7" t="s">
        <v>911</v>
      </c>
      <c r="C315" s="91">
        <v>45939.715495254626</v>
      </c>
      <c r="D315" s="8"/>
      <c r="E315" s="9"/>
      <c r="F315" s="10"/>
      <c r="G315" s="9" t="s">
        <v>18</v>
      </c>
      <c r="H315" s="60" t="s">
        <v>912</v>
      </c>
      <c r="I315" s="9" t="s">
        <v>353</v>
      </c>
      <c r="J315" s="88"/>
    </row>
    <row r="316">
      <c r="A316" s="20" t="s">
        <v>98</v>
      </c>
      <c r="B316" s="9" t="s">
        <v>913</v>
      </c>
      <c r="C316" s="91">
        <v>45930.37576163195</v>
      </c>
      <c r="D316" s="8"/>
      <c r="E316" s="9"/>
      <c r="F316" s="10"/>
      <c r="G316" s="9" t="s">
        <v>15</v>
      </c>
      <c r="H316" s="7" t="s">
        <v>914</v>
      </c>
      <c r="I316" s="9" t="s">
        <v>353</v>
      </c>
      <c r="J316" s="88"/>
    </row>
    <row r="317">
      <c r="A317" s="102" t="s">
        <v>624</v>
      </c>
      <c r="B317" s="115" t="s">
        <v>915</v>
      </c>
      <c r="C317" s="91">
        <v>45869.466674571755</v>
      </c>
      <c r="D317" s="8">
        <f>IFERROR(_xlfn.WORKDAY.INTL(C317, 2),"-")</f>
        <v>45873</v>
      </c>
      <c r="E317" s="9" t="s">
        <v>206</v>
      </c>
      <c r="F317" s="10"/>
      <c r="G317" s="9" t="s">
        <v>11</v>
      </c>
      <c r="H317" s="7" t="s">
        <v>916</v>
      </c>
      <c r="I317" s="9" t="s">
        <v>353</v>
      </c>
      <c r="J317" s="88"/>
    </row>
    <row r="318">
      <c r="A318" s="20" t="s">
        <v>98</v>
      </c>
      <c r="B318" s="9" t="s">
        <v>917</v>
      </c>
      <c r="C318" s="91">
        <v>45944.388851157404</v>
      </c>
      <c r="D318" s="8"/>
      <c r="E318" s="9"/>
      <c r="F318" s="10"/>
      <c r="G318" s="9" t="s">
        <v>15</v>
      </c>
      <c r="H318" s="7" t="s">
        <v>918</v>
      </c>
      <c r="I318" s="9" t="s">
        <v>353</v>
      </c>
      <c r="J318" s="88"/>
    </row>
    <row r="319">
      <c r="A319" s="102"/>
      <c r="B319" s="7" t="s">
        <v>919</v>
      </c>
      <c r="C319" s="91">
        <v>45943.3902744213</v>
      </c>
      <c r="D319" s="8"/>
      <c r="E319" s="9"/>
      <c r="F319" s="10"/>
      <c r="G319" s="9" t="s">
        <v>11</v>
      </c>
      <c r="H319" s="105" t="s">
        <v>920</v>
      </c>
      <c r="I319" s="9" t="s">
        <v>353</v>
      </c>
      <c r="J319" s="88"/>
    </row>
    <row r="320">
      <c r="A320" s="102"/>
      <c r="B320" s="7" t="s">
        <v>921</v>
      </c>
      <c r="C320" s="91">
        <v>45938.6748939699</v>
      </c>
      <c r="D320" s="8"/>
      <c r="E320" s="9"/>
      <c r="F320" s="10"/>
      <c r="G320" s="9" t="s">
        <v>11</v>
      </c>
      <c r="H320" s="105" t="s">
        <v>922</v>
      </c>
      <c r="I320" s="9" t="s">
        <v>353</v>
      </c>
      <c r="J320" s="88"/>
    </row>
    <row r="321">
      <c r="A321" s="102"/>
      <c r="B321" s="7" t="s">
        <v>923</v>
      </c>
      <c r="C321" s="91">
        <v>45905.46589914351</v>
      </c>
      <c r="D321" s="8"/>
      <c r="E321" s="9"/>
      <c r="F321" s="10"/>
      <c r="G321" s="9" t="s">
        <v>11</v>
      </c>
      <c r="H321" s="105" t="s">
        <v>924</v>
      </c>
      <c r="I321" s="9" t="s">
        <v>353</v>
      </c>
      <c r="J321" s="88"/>
    </row>
    <row r="322">
      <c r="A322" s="54" t="s">
        <v>236</v>
      </c>
      <c r="B322" s="7" t="s">
        <v>925</v>
      </c>
      <c r="C322" s="91">
        <v>45939.40926920139</v>
      </c>
      <c r="D322" s="8"/>
      <c r="E322" s="9"/>
      <c r="F322" s="10"/>
      <c r="G322" s="9" t="s">
        <v>15</v>
      </c>
      <c r="H322" s="116" t="s">
        <v>926</v>
      </c>
      <c r="I322" s="9" t="s">
        <v>353</v>
      </c>
      <c r="J322" s="88"/>
    </row>
    <row r="323">
      <c r="A323" s="54" t="s">
        <v>236</v>
      </c>
      <c r="B323" s="61" t="s">
        <v>927</v>
      </c>
      <c r="C323" s="91">
        <v>45701.425100520835</v>
      </c>
      <c r="D323" s="8">
        <f>IFERROR(_xlfn.WORKDAY.INTL(C323, 2),"-")</f>
        <v>45705</v>
      </c>
      <c r="E323" s="9" t="s">
        <v>11</v>
      </c>
      <c r="F323" s="10"/>
      <c r="G323" s="9" t="s">
        <v>18</v>
      </c>
      <c r="H323" s="7" t="s">
        <v>928</v>
      </c>
      <c r="I323" s="9" t="s">
        <v>353</v>
      </c>
      <c r="J323" s="88"/>
    </row>
    <row r="324">
      <c r="A324" s="20" t="s">
        <v>98</v>
      </c>
      <c r="B324" s="9" t="s">
        <v>929</v>
      </c>
      <c r="C324" s="91">
        <v>45944.38652305555</v>
      </c>
      <c r="D324" s="8"/>
      <c r="E324" s="9"/>
      <c r="F324" s="10"/>
      <c r="G324" s="9" t="s">
        <v>15</v>
      </c>
      <c r="H324" s="7" t="s">
        <v>918</v>
      </c>
      <c r="I324" s="9" t="s">
        <v>353</v>
      </c>
      <c r="J324" s="88"/>
    </row>
    <row r="325">
      <c r="A325" s="20" t="s">
        <v>98</v>
      </c>
      <c r="B325" s="9" t="s">
        <v>930</v>
      </c>
      <c r="C325" s="91">
        <v>45944.389148738424</v>
      </c>
      <c r="D325" s="8"/>
      <c r="E325" s="9"/>
      <c r="F325" s="10"/>
      <c r="G325" s="9" t="s">
        <v>15</v>
      </c>
      <c r="H325" s="7" t="s">
        <v>918</v>
      </c>
      <c r="I325" s="9" t="s">
        <v>353</v>
      </c>
      <c r="J325" s="88"/>
    </row>
    <row r="326">
      <c r="A326" s="54" t="s">
        <v>236</v>
      </c>
      <c r="B326" s="7" t="s">
        <v>931</v>
      </c>
      <c r="C326" s="91"/>
      <c r="D326" s="8"/>
      <c r="E326" s="9"/>
      <c r="F326" s="10"/>
      <c r="G326" s="9" t="s">
        <v>18</v>
      </c>
      <c r="H326" s="7" t="s">
        <v>932</v>
      </c>
      <c r="I326" s="9" t="s">
        <v>353</v>
      </c>
      <c r="J326" s="88"/>
    </row>
    <row r="327">
      <c r="A327" s="54" t="s">
        <v>236</v>
      </c>
      <c r="B327" s="7" t="s">
        <v>933</v>
      </c>
      <c r="C327" s="91">
        <v>45939.41042313658</v>
      </c>
      <c r="D327" s="8"/>
      <c r="E327" s="9"/>
      <c r="F327" s="10"/>
      <c r="G327" s="9" t="s">
        <v>18</v>
      </c>
      <c r="H327" s="60" t="s">
        <v>934</v>
      </c>
      <c r="I327" s="9" t="s">
        <v>353</v>
      </c>
      <c r="J327" s="88"/>
    </row>
    <row r="328">
      <c r="A328" s="20" t="s">
        <v>98</v>
      </c>
      <c r="B328" s="9" t="s">
        <v>935</v>
      </c>
      <c r="C328" s="91">
        <v>45937.54500616898</v>
      </c>
      <c r="D328" s="8"/>
      <c r="E328" s="9"/>
      <c r="F328" s="10"/>
      <c r="G328" s="9" t="s">
        <v>15</v>
      </c>
      <c r="H328" s="7" t="s">
        <v>936</v>
      </c>
      <c r="I328" s="9" t="s">
        <v>353</v>
      </c>
      <c r="J328" s="88"/>
    </row>
    <row r="329">
      <c r="A329" s="102"/>
      <c r="B329" s="7" t="s">
        <v>937</v>
      </c>
      <c r="C329" s="91">
        <v>45930.65113395834</v>
      </c>
      <c r="D329" s="8"/>
      <c r="E329" s="9"/>
      <c r="F329" s="10"/>
      <c r="G329" s="9" t="s">
        <v>11</v>
      </c>
      <c r="H329" s="105" t="s">
        <v>938</v>
      </c>
      <c r="I329" s="9" t="s">
        <v>353</v>
      </c>
      <c r="J329" s="88"/>
    </row>
    <row r="330">
      <c r="A330" s="20" t="s">
        <v>98</v>
      </c>
      <c r="B330" s="9" t="s">
        <v>939</v>
      </c>
      <c r="C330" s="91">
        <v>45943.38875524305</v>
      </c>
      <c r="D330" s="8"/>
      <c r="E330" s="9"/>
      <c r="F330" s="10"/>
      <c r="G330" s="9" t="s">
        <v>15</v>
      </c>
      <c r="H330" s="7" t="s">
        <v>936</v>
      </c>
      <c r="I330" s="9" t="s">
        <v>353</v>
      </c>
      <c r="J330" s="88"/>
    </row>
    <row r="331">
      <c r="A331" s="20" t="s">
        <v>98</v>
      </c>
      <c r="B331" s="9" t="s">
        <v>940</v>
      </c>
      <c r="C331" s="91">
        <v>45943.404727280096</v>
      </c>
      <c r="D331" s="8"/>
      <c r="E331" s="9"/>
      <c r="F331" s="10"/>
      <c r="G331" s="9" t="s">
        <v>15</v>
      </c>
      <c r="H331" s="7" t="s">
        <v>936</v>
      </c>
      <c r="I331" s="9" t="s">
        <v>353</v>
      </c>
      <c r="J331" s="88"/>
    </row>
    <row r="332">
      <c r="A332" s="20" t="s">
        <v>98</v>
      </c>
      <c r="B332" s="9" t="s">
        <v>941</v>
      </c>
      <c r="C332" s="91">
        <v>45943.38883033565</v>
      </c>
      <c r="D332" s="8"/>
      <c r="E332" s="9"/>
      <c r="F332" s="10"/>
      <c r="G332" s="9" t="s">
        <v>15</v>
      </c>
      <c r="H332" s="7" t="s">
        <v>936</v>
      </c>
      <c r="I332" s="9" t="s">
        <v>353</v>
      </c>
      <c r="J332" s="88"/>
    </row>
    <row r="333">
      <c r="A333" s="54" t="s">
        <v>236</v>
      </c>
      <c r="B333" s="7" t="s">
        <v>942</v>
      </c>
      <c r="C333" s="91">
        <v>45939.43494337963</v>
      </c>
      <c r="D333" s="8"/>
      <c r="E333" s="9"/>
      <c r="F333" s="10"/>
      <c r="G333" s="9" t="s">
        <v>15</v>
      </c>
      <c r="H333" s="60" t="s">
        <v>943</v>
      </c>
      <c r="I333" s="9" t="s">
        <v>353</v>
      </c>
      <c r="J333" s="88"/>
    </row>
    <row r="334">
      <c r="A334" s="54" t="s">
        <v>236</v>
      </c>
      <c r="B334" s="7" t="s">
        <v>944</v>
      </c>
      <c r="C334" s="91">
        <v>45939.412406840274</v>
      </c>
      <c r="D334" s="8"/>
      <c r="E334" s="9"/>
      <c r="F334" s="10"/>
      <c r="G334" s="9" t="s">
        <v>18</v>
      </c>
      <c r="H334" s="7" t="s">
        <v>945</v>
      </c>
      <c r="I334" s="9" t="s">
        <v>353</v>
      </c>
      <c r="J334" s="88"/>
    </row>
    <row r="335">
      <c r="A335" s="20" t="s">
        <v>98</v>
      </c>
      <c r="B335" s="9" t="s">
        <v>946</v>
      </c>
      <c r="C335" s="91">
        <v>45930.422675787035</v>
      </c>
      <c r="D335" s="8"/>
      <c r="E335" s="9"/>
      <c r="F335" s="10"/>
      <c r="G335" s="9" t="s">
        <v>15</v>
      </c>
      <c r="H335" s="7" t="s">
        <v>947</v>
      </c>
      <c r="I335" s="9" t="s">
        <v>353</v>
      </c>
      <c r="J335" s="88"/>
    </row>
    <row r="336">
      <c r="A336" s="6" t="s">
        <v>9</v>
      </c>
      <c r="B336" s="7" t="s">
        <v>948</v>
      </c>
      <c r="C336" s="91">
        <v>45939.59308716435</v>
      </c>
      <c r="D336" s="8">
        <f t="shared" ref="D336:D337" si="29">IFERROR(_xlfn.WORKDAY.INTL(C336, 2),"-")</f>
        <v>45943</v>
      </c>
      <c r="E336" s="9" t="s">
        <v>11</v>
      </c>
      <c r="F336" s="10"/>
      <c r="G336" s="9" t="s">
        <v>15</v>
      </c>
      <c r="H336" s="7" t="s">
        <v>949</v>
      </c>
      <c r="I336" s="9" t="s">
        <v>353</v>
      </c>
      <c r="J336" s="88"/>
    </row>
    <row r="337">
      <c r="A337" s="6" t="s">
        <v>9</v>
      </c>
      <c r="B337" s="7" t="s">
        <v>950</v>
      </c>
      <c r="C337" s="91">
        <v>45939.59830423611</v>
      </c>
      <c r="D337" s="8">
        <f t="shared" si="29"/>
        <v>45943</v>
      </c>
      <c r="E337" s="9" t="s">
        <v>11</v>
      </c>
      <c r="F337" s="10"/>
      <c r="G337" s="9" t="s">
        <v>15</v>
      </c>
      <c r="H337" s="7" t="s">
        <v>949</v>
      </c>
      <c r="I337" s="9" t="s">
        <v>353</v>
      </c>
      <c r="J337" s="88"/>
    </row>
    <row r="338">
      <c r="A338" s="102"/>
      <c r="B338" s="7" t="s">
        <v>951</v>
      </c>
      <c r="C338" s="91">
        <v>45922.48918131944</v>
      </c>
      <c r="D338" s="8"/>
      <c r="E338" s="9"/>
      <c r="F338" s="10"/>
      <c r="G338" s="9" t="s">
        <v>11</v>
      </c>
      <c r="H338" s="105" t="s">
        <v>952</v>
      </c>
      <c r="I338" s="9" t="s">
        <v>353</v>
      </c>
      <c r="J338" s="88"/>
    </row>
    <row r="339">
      <c r="A339" s="54" t="s">
        <v>236</v>
      </c>
      <c r="B339" s="7" t="s">
        <v>953</v>
      </c>
      <c r="C339" s="91">
        <v>45929.369320763886</v>
      </c>
      <c r="D339" s="8"/>
      <c r="E339" s="9"/>
      <c r="F339" s="10"/>
      <c r="G339" s="9" t="s">
        <v>15</v>
      </c>
      <c r="H339" s="60" t="s">
        <v>954</v>
      </c>
      <c r="I339" s="9" t="s">
        <v>353</v>
      </c>
      <c r="J339" s="88"/>
    </row>
    <row r="340">
      <c r="A340" s="6" t="s">
        <v>9</v>
      </c>
      <c r="B340" s="7" t="s">
        <v>955</v>
      </c>
      <c r="C340" s="91">
        <v>45873.56930905093</v>
      </c>
      <c r="D340" s="8">
        <f t="shared" ref="D340:D341" si="30">IFERROR(_xlfn.WORKDAY.INTL(C340, 2),"-")</f>
        <v>45875</v>
      </c>
      <c r="E340" s="9" t="s">
        <v>11</v>
      </c>
      <c r="F340" s="10"/>
      <c r="G340" s="9" t="s">
        <v>15</v>
      </c>
      <c r="H340" s="7" t="s">
        <v>956</v>
      </c>
      <c r="I340" s="9" t="s">
        <v>353</v>
      </c>
      <c r="J340" s="88"/>
    </row>
    <row r="341">
      <c r="A341" s="6" t="s">
        <v>9</v>
      </c>
      <c r="B341" s="7" t="s">
        <v>957</v>
      </c>
      <c r="C341" s="91">
        <v>45932.5031608912</v>
      </c>
      <c r="D341" s="8">
        <f t="shared" si="30"/>
        <v>45936</v>
      </c>
      <c r="E341" s="9" t="s">
        <v>11</v>
      </c>
      <c r="F341" s="10"/>
      <c r="G341" s="9" t="s">
        <v>15</v>
      </c>
      <c r="H341" s="7" t="s">
        <v>958</v>
      </c>
      <c r="I341" s="9" t="s">
        <v>353</v>
      </c>
      <c r="J341" s="88"/>
    </row>
    <row r="342">
      <c r="A342" s="20" t="s">
        <v>98</v>
      </c>
      <c r="B342" s="9" t="s">
        <v>959</v>
      </c>
      <c r="C342" s="91">
        <v>45911.375800277776</v>
      </c>
      <c r="D342" s="8"/>
      <c r="E342" s="9"/>
      <c r="F342" s="10"/>
      <c r="G342" s="9" t="s">
        <v>15</v>
      </c>
      <c r="H342" s="7" t="s">
        <v>960</v>
      </c>
      <c r="I342" s="9" t="s">
        <v>353</v>
      </c>
      <c r="J342" s="88"/>
    </row>
    <row r="343">
      <c r="A343" s="20" t="s">
        <v>98</v>
      </c>
      <c r="B343" s="9" t="s">
        <v>961</v>
      </c>
      <c r="C343" s="91">
        <v>45939.606118993055</v>
      </c>
      <c r="D343" s="8"/>
      <c r="E343" s="9"/>
      <c r="F343" s="10"/>
      <c r="G343" s="9" t="s">
        <v>18</v>
      </c>
      <c r="H343" s="7" t="s">
        <v>962</v>
      </c>
      <c r="I343" s="9" t="s">
        <v>353</v>
      </c>
      <c r="J343" s="88"/>
    </row>
    <row r="344">
      <c r="A344" s="6" t="s">
        <v>9</v>
      </c>
      <c r="B344" s="7" t="s">
        <v>963</v>
      </c>
      <c r="C344" s="91">
        <v>45862.66487172454</v>
      </c>
      <c r="D344" s="8">
        <f>IFERROR(_xlfn.WORKDAY.INTL(C344, 2),"-")</f>
        <v>45866</v>
      </c>
      <c r="E344" s="9" t="s">
        <v>11</v>
      </c>
      <c r="F344" s="10"/>
      <c r="G344" s="9" t="s">
        <v>21</v>
      </c>
      <c r="H344" s="7" t="s">
        <v>964</v>
      </c>
      <c r="I344" s="9" t="s">
        <v>353</v>
      </c>
      <c r="J344" s="88"/>
    </row>
    <row r="345">
      <c r="A345" s="20" t="s">
        <v>98</v>
      </c>
      <c r="B345" s="9" t="s">
        <v>965</v>
      </c>
      <c r="C345" s="91">
        <v>45883.42433515046</v>
      </c>
      <c r="D345" s="8"/>
      <c r="E345" s="9"/>
      <c r="F345" s="10"/>
      <c r="G345" s="9" t="s">
        <v>21</v>
      </c>
      <c r="H345" s="7" t="s">
        <v>966</v>
      </c>
      <c r="I345" s="9" t="s">
        <v>353</v>
      </c>
      <c r="J345" s="88"/>
    </row>
    <row r="346">
      <c r="A346" s="6" t="s">
        <v>9</v>
      </c>
      <c r="B346" s="7" t="s">
        <v>967</v>
      </c>
      <c r="C346" s="91">
        <v>45925.68981835648</v>
      </c>
      <c r="D346" s="8">
        <f t="shared" ref="D346:D348" si="31">IFERROR(_xlfn.WORKDAY.INTL(C346, 2),"-")</f>
        <v>45929</v>
      </c>
      <c r="E346" s="9" t="s">
        <v>11</v>
      </c>
      <c r="F346" s="10"/>
      <c r="G346" s="9" t="s">
        <v>15</v>
      </c>
      <c r="H346" s="7" t="s">
        <v>968</v>
      </c>
      <c r="I346" s="9" t="s">
        <v>353</v>
      </c>
      <c r="J346" s="88"/>
    </row>
    <row r="347">
      <c r="A347" s="6" t="s">
        <v>9</v>
      </c>
      <c r="B347" s="7" t="s">
        <v>969</v>
      </c>
      <c r="C347" s="91">
        <v>45876.47693957176</v>
      </c>
      <c r="D347" s="8">
        <f t="shared" si="31"/>
        <v>45880</v>
      </c>
      <c r="E347" s="9" t="s">
        <v>11</v>
      </c>
      <c r="F347" s="10"/>
      <c r="G347" s="9" t="s">
        <v>15</v>
      </c>
      <c r="H347" s="7" t="s">
        <v>970</v>
      </c>
      <c r="I347" s="9" t="s">
        <v>353</v>
      </c>
      <c r="J347" s="88"/>
    </row>
    <row r="348">
      <c r="A348" s="6" t="s">
        <v>9</v>
      </c>
      <c r="B348" s="7" t="s">
        <v>971</v>
      </c>
      <c r="C348" s="91">
        <v>45812.43247496527</v>
      </c>
      <c r="D348" s="8">
        <f t="shared" si="31"/>
        <v>45814</v>
      </c>
      <c r="E348" s="9" t="s">
        <v>11</v>
      </c>
      <c r="F348" s="10"/>
      <c r="G348" s="9" t="s">
        <v>15</v>
      </c>
      <c r="H348" s="7" t="s">
        <v>972</v>
      </c>
      <c r="I348" s="9" t="s">
        <v>353</v>
      </c>
      <c r="J348" s="88"/>
    </row>
    <row r="349">
      <c r="A349" s="20" t="s">
        <v>98</v>
      </c>
      <c r="B349" s="9" t="s">
        <v>973</v>
      </c>
      <c r="C349" s="91">
        <v>45931.35446859954</v>
      </c>
      <c r="D349" s="8"/>
      <c r="E349" s="9"/>
      <c r="F349" s="10"/>
      <c r="G349" s="9" t="s">
        <v>15</v>
      </c>
      <c r="H349" s="7" t="s">
        <v>974</v>
      </c>
      <c r="I349" s="9" t="s">
        <v>353</v>
      </c>
      <c r="J349" s="88"/>
    </row>
    <row r="350">
      <c r="A350" s="54" t="s">
        <v>236</v>
      </c>
      <c r="B350" s="7" t="s">
        <v>975</v>
      </c>
      <c r="C350" s="91">
        <v>45939.432157337964</v>
      </c>
      <c r="D350" s="8"/>
      <c r="E350" s="9"/>
      <c r="F350" s="10"/>
      <c r="G350" s="9"/>
      <c r="H350" s="7" t="s">
        <v>976</v>
      </c>
      <c r="I350" s="9" t="s">
        <v>353</v>
      </c>
      <c r="J350" s="88"/>
    </row>
    <row r="351">
      <c r="A351" s="54" t="s">
        <v>236</v>
      </c>
      <c r="B351" s="7" t="s">
        <v>977</v>
      </c>
      <c r="C351" s="91">
        <v>45939.43183523148</v>
      </c>
      <c r="D351" s="8"/>
      <c r="E351" s="9"/>
      <c r="F351" s="10"/>
      <c r="G351" s="9" t="s">
        <v>18</v>
      </c>
      <c r="H351" s="7" t="s">
        <v>978</v>
      </c>
      <c r="I351" s="9" t="s">
        <v>353</v>
      </c>
      <c r="J351" s="88"/>
    </row>
    <row r="352">
      <c r="A352" s="54" t="s">
        <v>236</v>
      </c>
      <c r="B352" s="7" t="s">
        <v>18</v>
      </c>
      <c r="C352" s="91">
        <v>45939.41069584491</v>
      </c>
      <c r="D352" s="8"/>
      <c r="E352" s="9"/>
      <c r="F352" s="10"/>
      <c r="G352" s="9" t="s">
        <v>220</v>
      </c>
      <c r="H352" s="7" t="s">
        <v>979</v>
      </c>
      <c r="I352" s="9" t="s">
        <v>353</v>
      </c>
      <c r="J352" s="88"/>
    </row>
    <row r="353">
      <c r="A353" s="54" t="s">
        <v>236</v>
      </c>
      <c r="B353" s="7" t="s">
        <v>980</v>
      </c>
      <c r="C353" s="91">
        <v>45929.37021238426</v>
      </c>
      <c r="D353" s="8"/>
      <c r="E353" s="9"/>
      <c r="F353" s="10"/>
      <c r="G353" s="9" t="s">
        <v>15</v>
      </c>
      <c r="H353" s="60" t="s">
        <v>981</v>
      </c>
      <c r="I353" s="9" t="s">
        <v>353</v>
      </c>
      <c r="J353" s="88"/>
    </row>
    <row r="354">
      <c r="A354" s="54" t="s">
        <v>236</v>
      </c>
      <c r="B354" s="7" t="s">
        <v>982</v>
      </c>
      <c r="C354" s="91">
        <v>45939.40536121528</v>
      </c>
      <c r="D354" s="8"/>
      <c r="E354" s="9"/>
      <c r="F354" s="10"/>
      <c r="G354" s="9" t="s">
        <v>18</v>
      </c>
      <c r="H354" s="60" t="s">
        <v>983</v>
      </c>
      <c r="I354" s="9" t="s">
        <v>353</v>
      </c>
      <c r="J354" s="88"/>
    </row>
    <row r="355">
      <c r="A355" s="54" t="s">
        <v>236</v>
      </c>
      <c r="B355" s="7" t="s">
        <v>984</v>
      </c>
      <c r="C355" s="91">
        <v>45939.40443026621</v>
      </c>
      <c r="D355" s="8"/>
      <c r="E355" s="9"/>
      <c r="F355" s="10"/>
      <c r="G355" s="9" t="s">
        <v>18</v>
      </c>
      <c r="H355" s="60" t="s">
        <v>985</v>
      </c>
      <c r="I355" s="9" t="s">
        <v>353</v>
      </c>
      <c r="J355" s="88"/>
    </row>
    <row r="356">
      <c r="A356" s="54" t="s">
        <v>236</v>
      </c>
      <c r="B356" s="7" t="s">
        <v>986</v>
      </c>
      <c r="C356" s="91">
        <v>45903.61984652778</v>
      </c>
      <c r="D356" s="8"/>
      <c r="E356" s="9"/>
      <c r="F356" s="10"/>
      <c r="G356" s="9" t="s">
        <v>15</v>
      </c>
      <c r="H356" s="7" t="s">
        <v>987</v>
      </c>
      <c r="I356" s="9" t="s">
        <v>353</v>
      </c>
      <c r="J356" s="88"/>
    </row>
    <row r="357">
      <c r="A357" s="54" t="s">
        <v>236</v>
      </c>
      <c r="B357" s="7" t="s">
        <v>988</v>
      </c>
      <c r="C357" s="91">
        <v>45903.61933108796</v>
      </c>
      <c r="D357" s="8"/>
      <c r="E357" s="9"/>
      <c r="F357" s="10"/>
      <c r="G357" s="9" t="s">
        <v>89</v>
      </c>
      <c r="H357" s="7" t="s">
        <v>989</v>
      </c>
      <c r="I357" s="9" t="s">
        <v>353</v>
      </c>
      <c r="J357" s="88"/>
    </row>
    <row r="358">
      <c r="A358" s="54" t="s">
        <v>236</v>
      </c>
      <c r="B358" s="7" t="s">
        <v>990</v>
      </c>
      <c r="C358" s="91">
        <v>45876.724968344904</v>
      </c>
      <c r="D358" s="8"/>
      <c r="E358" s="9"/>
      <c r="F358" s="10"/>
      <c r="G358" s="9" t="s">
        <v>15</v>
      </c>
      <c r="H358" s="7" t="s">
        <v>991</v>
      </c>
      <c r="I358" s="9" t="s">
        <v>353</v>
      </c>
      <c r="J358" s="88"/>
    </row>
    <row r="359">
      <c r="A359" s="54" t="s">
        <v>236</v>
      </c>
      <c r="B359" s="117" t="s">
        <v>992</v>
      </c>
      <c r="C359" s="91">
        <v>45817.52084729167</v>
      </c>
      <c r="D359" s="8"/>
      <c r="E359" s="9"/>
      <c r="F359" s="10"/>
      <c r="G359" s="9" t="s">
        <v>21</v>
      </c>
      <c r="H359" s="62" t="s">
        <v>993</v>
      </c>
      <c r="I359" s="9" t="s">
        <v>353</v>
      </c>
      <c r="J359" s="88"/>
    </row>
    <row r="360">
      <c r="A360" s="102"/>
      <c r="B360" s="7" t="s">
        <v>994</v>
      </c>
      <c r="C360" s="91">
        <v>45905.46573303241</v>
      </c>
      <c r="D360" s="8"/>
      <c r="E360" s="9"/>
      <c r="F360" s="10"/>
      <c r="G360" s="9" t="s">
        <v>11</v>
      </c>
      <c r="H360" s="105" t="s">
        <v>995</v>
      </c>
      <c r="I360" s="9" t="s">
        <v>353</v>
      </c>
      <c r="J360" s="88"/>
    </row>
    <row r="361">
      <c r="A361" s="102"/>
      <c r="B361" s="7" t="s">
        <v>996</v>
      </c>
      <c r="C361" s="91">
        <v>45931.49595287037</v>
      </c>
      <c r="D361" s="8"/>
      <c r="E361" s="9"/>
      <c r="F361" s="10"/>
      <c r="G361" s="9" t="s">
        <v>11</v>
      </c>
      <c r="H361" s="105" t="s">
        <v>997</v>
      </c>
      <c r="I361" s="9" t="s">
        <v>353</v>
      </c>
      <c r="J361" s="88"/>
    </row>
    <row r="362">
      <c r="A362" s="102"/>
      <c r="B362" s="7" t="s">
        <v>998</v>
      </c>
      <c r="C362" s="91">
        <v>45933.47953913195</v>
      </c>
      <c r="D362" s="8"/>
      <c r="E362" s="9"/>
      <c r="F362" s="10"/>
      <c r="G362" s="9" t="s">
        <v>11</v>
      </c>
      <c r="H362" s="104" t="s">
        <v>999</v>
      </c>
      <c r="I362" s="9" t="s">
        <v>353</v>
      </c>
      <c r="J362" s="88"/>
    </row>
    <row r="363">
      <c r="A363" s="20" t="s">
        <v>98</v>
      </c>
      <c r="B363" s="9" t="s">
        <v>1000</v>
      </c>
      <c r="C363" s="91">
        <v>45930.36107788194</v>
      </c>
      <c r="D363" s="8"/>
      <c r="E363" s="9"/>
      <c r="F363" s="10"/>
      <c r="G363" s="9" t="s">
        <v>15</v>
      </c>
      <c r="H363" s="7" t="s">
        <v>1001</v>
      </c>
      <c r="I363" s="9" t="s">
        <v>353</v>
      </c>
      <c r="J363" s="88"/>
    </row>
    <row r="364">
      <c r="A364" s="102"/>
      <c r="B364" s="7" t="s">
        <v>1002</v>
      </c>
      <c r="C364" s="91">
        <v>45937.496808090276</v>
      </c>
      <c r="D364" s="8"/>
      <c r="E364" s="9"/>
      <c r="F364" s="10"/>
      <c r="G364" s="9"/>
      <c r="H364" s="104" t="s">
        <v>1003</v>
      </c>
      <c r="I364" s="9" t="s">
        <v>353</v>
      </c>
      <c r="J364" s="88"/>
    </row>
    <row r="365">
      <c r="A365" s="102"/>
      <c r="B365" s="7" t="s">
        <v>1004</v>
      </c>
      <c r="C365" s="91">
        <v>45922.566268599534</v>
      </c>
      <c r="D365" s="8"/>
      <c r="E365" s="9"/>
      <c r="F365" s="10"/>
      <c r="G365" s="9" t="s">
        <v>11</v>
      </c>
      <c r="H365" s="105" t="s">
        <v>1005</v>
      </c>
      <c r="I365" s="9" t="s">
        <v>353</v>
      </c>
      <c r="J365" s="88"/>
    </row>
    <row r="366">
      <c r="A366" s="6" t="s">
        <v>9</v>
      </c>
      <c r="B366" s="7" t="s">
        <v>1006</v>
      </c>
      <c r="C366" s="91">
        <v>45936.64967046297</v>
      </c>
      <c r="D366" s="8">
        <f>IFERROR(_xlfn.WORKDAY.INTL(C366, 2),"-")</f>
        <v>45938</v>
      </c>
      <c r="E366" s="9" t="s">
        <v>11</v>
      </c>
      <c r="F366" s="10"/>
      <c r="G366" s="9" t="s">
        <v>18</v>
      </c>
      <c r="H366" s="7" t="s">
        <v>1007</v>
      </c>
      <c r="I366" s="9" t="s">
        <v>353</v>
      </c>
      <c r="J366" s="88"/>
    </row>
    <row r="367">
      <c r="A367" s="20" t="s">
        <v>98</v>
      </c>
      <c r="B367" s="9" t="s">
        <v>1008</v>
      </c>
      <c r="C367" s="91">
        <v>45936.60593675926</v>
      </c>
      <c r="D367" s="8"/>
      <c r="E367" s="9"/>
      <c r="F367" s="10"/>
      <c r="G367" s="9" t="s">
        <v>15</v>
      </c>
      <c r="H367" s="7" t="s">
        <v>1009</v>
      </c>
      <c r="I367" s="9" t="s">
        <v>353</v>
      </c>
      <c r="J367" s="88"/>
    </row>
    <row r="368">
      <c r="A368" s="20" t="s">
        <v>98</v>
      </c>
      <c r="B368" s="9" t="s">
        <v>1010</v>
      </c>
      <c r="C368" s="91">
        <v>45932.657215150466</v>
      </c>
      <c r="D368" s="8"/>
      <c r="E368" s="9"/>
      <c r="F368" s="10"/>
      <c r="G368" s="9" t="s">
        <v>15</v>
      </c>
      <c r="H368" s="7" t="s">
        <v>1011</v>
      </c>
      <c r="I368" s="9" t="s">
        <v>353</v>
      </c>
      <c r="J368" s="88"/>
    </row>
    <row r="369">
      <c r="A369" s="20" t="s">
        <v>98</v>
      </c>
      <c r="B369" s="9" t="s">
        <v>1012</v>
      </c>
      <c r="C369" s="91">
        <v>45932.65816752314</v>
      </c>
      <c r="D369" s="8"/>
      <c r="E369" s="9"/>
      <c r="F369" s="10"/>
      <c r="G369" s="9" t="s">
        <v>15</v>
      </c>
      <c r="H369" s="7" t="s">
        <v>1013</v>
      </c>
      <c r="I369" s="9" t="s">
        <v>353</v>
      </c>
      <c r="J369" s="88"/>
    </row>
    <row r="370">
      <c r="A370" s="20" t="s">
        <v>98</v>
      </c>
      <c r="B370" s="9" t="s">
        <v>1014</v>
      </c>
      <c r="C370" s="91">
        <v>45867.741508692125</v>
      </c>
      <c r="D370" s="8"/>
      <c r="E370" s="9"/>
      <c r="F370" s="10"/>
      <c r="G370" s="9" t="s">
        <v>15</v>
      </c>
      <c r="H370" s="22" t="s">
        <v>1015</v>
      </c>
      <c r="I370" s="9" t="s">
        <v>353</v>
      </c>
      <c r="J370" s="88"/>
    </row>
    <row r="371">
      <c r="A371" s="20" t="s">
        <v>98</v>
      </c>
      <c r="B371" s="9" t="s">
        <v>1016</v>
      </c>
      <c r="C371" s="91">
        <v>45720.47276215278</v>
      </c>
      <c r="D371" s="8"/>
      <c r="E371" s="9"/>
      <c r="F371" s="10"/>
      <c r="G371" s="9" t="s">
        <v>15</v>
      </c>
      <c r="H371" s="7" t="s">
        <v>1017</v>
      </c>
      <c r="I371" s="9" t="s">
        <v>353</v>
      </c>
      <c r="J371" s="88"/>
    </row>
    <row r="372">
      <c r="A372" s="20" t="s">
        <v>98</v>
      </c>
      <c r="B372" s="9" t="s">
        <v>1018</v>
      </c>
      <c r="C372" s="91">
        <v>45930.42209872685</v>
      </c>
      <c r="D372" s="8"/>
      <c r="E372" s="9"/>
      <c r="F372" s="10"/>
      <c r="G372" s="9" t="s">
        <v>15</v>
      </c>
      <c r="H372" s="7" t="s">
        <v>1019</v>
      </c>
      <c r="I372" s="9" t="s">
        <v>353</v>
      </c>
      <c r="J372" s="88"/>
    </row>
    <row r="373">
      <c r="A373" s="6" t="s">
        <v>9</v>
      </c>
      <c r="B373" s="7" t="s">
        <v>1020</v>
      </c>
      <c r="C373" s="91">
        <v>45931.64458892361</v>
      </c>
      <c r="D373" s="8">
        <f t="shared" ref="D373:D374" si="32">IFERROR(_xlfn.WORKDAY.INTL(C373, 2),"-")</f>
        <v>45933</v>
      </c>
      <c r="E373" s="9" t="s">
        <v>11</v>
      </c>
      <c r="F373" s="10"/>
      <c r="G373" s="9" t="s">
        <v>18</v>
      </c>
      <c r="H373" s="7" t="s">
        <v>1021</v>
      </c>
      <c r="I373" s="9" t="s">
        <v>353</v>
      </c>
      <c r="J373" s="88"/>
    </row>
    <row r="374">
      <c r="A374" s="6" t="s">
        <v>9</v>
      </c>
      <c r="B374" s="7" t="s">
        <v>1022</v>
      </c>
      <c r="C374" s="91">
        <v>45925.68988181713</v>
      </c>
      <c r="D374" s="8">
        <f t="shared" si="32"/>
        <v>45929</v>
      </c>
      <c r="E374" s="9" t="s">
        <v>11</v>
      </c>
      <c r="F374" s="10"/>
      <c r="G374" s="9" t="s">
        <v>18</v>
      </c>
      <c r="H374" s="7" t="s">
        <v>1023</v>
      </c>
      <c r="I374" s="9" t="s">
        <v>353</v>
      </c>
      <c r="J374" s="88"/>
    </row>
    <row r="375">
      <c r="A375" s="102"/>
      <c r="B375" s="7" t="s">
        <v>1024</v>
      </c>
      <c r="C375" s="91">
        <v>45904.48300565973</v>
      </c>
      <c r="D375" s="8"/>
      <c r="E375" s="9"/>
      <c r="F375" s="10"/>
      <c r="G375" s="9" t="s">
        <v>11</v>
      </c>
      <c r="H375" s="105" t="s">
        <v>1025</v>
      </c>
      <c r="I375" s="9" t="s">
        <v>353</v>
      </c>
      <c r="J375" s="88"/>
    </row>
    <row r="376">
      <c r="A376" s="6" t="s">
        <v>9</v>
      </c>
      <c r="B376" s="7" t="s">
        <v>1026</v>
      </c>
      <c r="C376" s="91">
        <v>45929.69796456018</v>
      </c>
      <c r="D376" s="8">
        <f>IFERROR(_xlfn.WORKDAY.INTL(C376, 2),"-")</f>
        <v>45931</v>
      </c>
      <c r="E376" s="9" t="s">
        <v>11</v>
      </c>
      <c r="F376" s="10"/>
      <c r="G376" s="9" t="s">
        <v>15</v>
      </c>
      <c r="H376" s="7" t="s">
        <v>1027</v>
      </c>
      <c r="I376" s="9" t="s">
        <v>353</v>
      </c>
      <c r="J376" s="88"/>
    </row>
    <row r="377">
      <c r="A377" s="20" t="s">
        <v>98</v>
      </c>
      <c r="B377" s="9" t="s">
        <v>1028</v>
      </c>
      <c r="C377" s="91">
        <v>45930.37547997685</v>
      </c>
      <c r="D377" s="8"/>
      <c r="E377" s="9"/>
      <c r="F377" s="10"/>
      <c r="G377" s="9" t="s">
        <v>15</v>
      </c>
      <c r="H377" s="7" t="s">
        <v>1029</v>
      </c>
      <c r="I377" s="9" t="s">
        <v>353</v>
      </c>
      <c r="J377" s="88"/>
    </row>
    <row r="378">
      <c r="A378" s="6" t="s">
        <v>9</v>
      </c>
      <c r="B378" s="7" t="s">
        <v>1030</v>
      </c>
      <c r="C378" s="91">
        <v>45887.493446747685</v>
      </c>
      <c r="D378" s="8">
        <f t="shared" ref="D378:D379" si="33">IFERROR(_xlfn.WORKDAY.INTL(C378, 2),"-")</f>
        <v>45889</v>
      </c>
      <c r="E378" s="9" t="s">
        <v>11</v>
      </c>
      <c r="F378" s="10"/>
      <c r="G378" s="9" t="s">
        <v>21</v>
      </c>
      <c r="H378" s="7" t="s">
        <v>1031</v>
      </c>
      <c r="I378" s="9" t="s">
        <v>353</v>
      </c>
      <c r="J378" s="88"/>
    </row>
    <row r="379">
      <c r="A379" s="6" t="s">
        <v>9</v>
      </c>
      <c r="B379" s="7" t="s">
        <v>1032</v>
      </c>
      <c r="C379" s="91">
        <v>45918.45630020833</v>
      </c>
      <c r="D379" s="8">
        <f t="shared" si="33"/>
        <v>45922</v>
      </c>
      <c r="E379" s="9" t="s">
        <v>11</v>
      </c>
      <c r="F379" s="10"/>
      <c r="G379" s="9" t="s">
        <v>15</v>
      </c>
      <c r="H379" s="7" t="s">
        <v>1033</v>
      </c>
      <c r="I379" s="9" t="s">
        <v>353</v>
      </c>
      <c r="J379" s="88"/>
    </row>
    <row r="380">
      <c r="A380" s="102"/>
      <c r="B380" s="7" t="s">
        <v>1034</v>
      </c>
      <c r="C380" s="91">
        <v>45923.60935424769</v>
      </c>
      <c r="D380" s="8"/>
      <c r="E380" s="9"/>
      <c r="F380" s="10"/>
      <c r="G380" s="9" t="s">
        <v>11</v>
      </c>
      <c r="H380" s="105" t="s">
        <v>1035</v>
      </c>
      <c r="I380" s="9" t="s">
        <v>353</v>
      </c>
      <c r="J380" s="88"/>
    </row>
    <row r="381">
      <c r="A381" s="20" t="s">
        <v>98</v>
      </c>
      <c r="B381" s="9" t="s">
        <v>807</v>
      </c>
      <c r="C381" s="91">
        <v>45910.39682025463</v>
      </c>
      <c r="D381" s="8"/>
      <c r="E381" s="9"/>
      <c r="F381" s="10"/>
      <c r="G381" s="9" t="s">
        <v>15</v>
      </c>
      <c r="H381" s="7" t="s">
        <v>1036</v>
      </c>
      <c r="I381" s="9" t="s">
        <v>353</v>
      </c>
      <c r="J381" s="88"/>
    </row>
    <row r="382">
      <c r="A382" s="102"/>
      <c r="B382" s="7" t="s">
        <v>1037</v>
      </c>
      <c r="C382" s="91">
        <v>45922.5671171412</v>
      </c>
      <c r="D382" s="8"/>
      <c r="E382" s="9"/>
      <c r="F382" s="10"/>
      <c r="G382" s="9" t="s">
        <v>11</v>
      </c>
      <c r="H382" s="105" t="s">
        <v>1038</v>
      </c>
      <c r="I382" s="9" t="s">
        <v>353</v>
      </c>
      <c r="J382" s="88"/>
    </row>
    <row r="383">
      <c r="A383" s="20" t="s">
        <v>98</v>
      </c>
      <c r="B383" s="9" t="s">
        <v>1039</v>
      </c>
      <c r="C383" s="91">
        <v>45923.502218587964</v>
      </c>
      <c r="D383" s="8"/>
      <c r="E383" s="9"/>
      <c r="F383" s="10"/>
      <c r="G383" s="9" t="s">
        <v>15</v>
      </c>
      <c r="H383" s="7" t="s">
        <v>1040</v>
      </c>
      <c r="I383" s="9" t="s">
        <v>353</v>
      </c>
      <c r="J383" s="88"/>
    </row>
    <row r="384">
      <c r="A384" s="6" t="s">
        <v>9</v>
      </c>
      <c r="B384" s="7" t="s">
        <v>522</v>
      </c>
      <c r="C384" s="91">
        <v>45929.62477663194</v>
      </c>
      <c r="D384" s="8">
        <f>IFERROR(_xlfn.WORKDAY.INTL(C384, 2),"-")</f>
        <v>45931</v>
      </c>
      <c r="E384" s="9" t="s">
        <v>11</v>
      </c>
      <c r="F384" s="10"/>
      <c r="G384" s="9" t="s">
        <v>15</v>
      </c>
      <c r="H384" s="7" t="s">
        <v>1041</v>
      </c>
      <c r="I384" s="9" t="s">
        <v>353</v>
      </c>
      <c r="J384" s="88"/>
    </row>
    <row r="385">
      <c r="A385" s="102"/>
      <c r="B385" s="7" t="s">
        <v>1042</v>
      </c>
      <c r="C385" s="91">
        <v>45922.48934693287</v>
      </c>
      <c r="D385" s="8"/>
      <c r="E385" s="9"/>
      <c r="F385" s="10"/>
      <c r="G385" s="9"/>
      <c r="H385" s="105" t="s">
        <v>1043</v>
      </c>
      <c r="I385" s="9" t="s">
        <v>353</v>
      </c>
      <c r="J385" s="88"/>
    </row>
    <row r="386">
      <c r="A386" s="6" t="s">
        <v>9</v>
      </c>
      <c r="B386" s="7" t="s">
        <v>1044</v>
      </c>
      <c r="C386" s="91" t="s">
        <v>11</v>
      </c>
      <c r="D386" s="8" t="str">
        <f t="shared" ref="D386:D387" si="34">IFERROR(_xlfn.WORKDAY.INTL(C386, 2),"-")</f>
        <v>-</v>
      </c>
      <c r="E386" s="9" t="s">
        <v>11</v>
      </c>
      <c r="F386" s="10"/>
      <c r="G386" s="9" t="s">
        <v>15</v>
      </c>
      <c r="H386" s="7" t="s">
        <v>1045</v>
      </c>
      <c r="I386" s="9" t="s">
        <v>353</v>
      </c>
      <c r="J386" s="88"/>
    </row>
    <row r="387">
      <c r="A387" s="6" t="s">
        <v>9</v>
      </c>
      <c r="B387" s="7" t="s">
        <v>1046</v>
      </c>
      <c r="C387" s="91">
        <v>45925.68993679398</v>
      </c>
      <c r="D387" s="8">
        <f t="shared" si="34"/>
        <v>45929</v>
      </c>
      <c r="E387" s="9" t="s">
        <v>11</v>
      </c>
      <c r="F387" s="10"/>
      <c r="G387" s="9" t="s">
        <v>15</v>
      </c>
      <c r="H387" s="7" t="s">
        <v>1047</v>
      </c>
      <c r="I387" s="9" t="s">
        <v>353</v>
      </c>
      <c r="J387" s="88"/>
    </row>
    <row r="388">
      <c r="A388" s="102"/>
      <c r="B388" s="67" t="s">
        <v>1048</v>
      </c>
      <c r="C388" s="91">
        <v>45903.64876804398</v>
      </c>
      <c r="D388" s="8"/>
      <c r="E388" s="9"/>
      <c r="F388" s="10"/>
      <c r="G388" s="9" t="s">
        <v>11</v>
      </c>
      <c r="H388" s="7" t="s">
        <v>1049</v>
      </c>
      <c r="I388" s="9" t="s">
        <v>353</v>
      </c>
      <c r="J388" s="88"/>
    </row>
    <row r="389">
      <c r="A389" s="54" t="s">
        <v>236</v>
      </c>
      <c r="B389" s="7" t="s">
        <v>1050</v>
      </c>
      <c r="C389" s="91">
        <v>45929.37103606481</v>
      </c>
      <c r="D389" s="8"/>
      <c r="E389" s="9"/>
      <c r="F389" s="10"/>
      <c r="G389" s="9" t="s">
        <v>11</v>
      </c>
      <c r="H389" s="7" t="s">
        <v>1051</v>
      </c>
      <c r="I389" s="9" t="s">
        <v>353</v>
      </c>
      <c r="J389" s="88"/>
    </row>
    <row r="390">
      <c r="A390" s="54"/>
      <c r="B390" s="100" t="s">
        <v>1052</v>
      </c>
      <c r="C390" s="91">
        <v>45594.672031064816</v>
      </c>
      <c r="D390" s="8"/>
      <c r="E390" s="9"/>
      <c r="F390" s="10"/>
      <c r="G390" s="9" t="s">
        <v>220</v>
      </c>
      <c r="H390" s="7" t="s">
        <v>1053</v>
      </c>
      <c r="I390" s="9" t="s">
        <v>353</v>
      </c>
      <c r="J390" s="88"/>
    </row>
    <row r="391">
      <c r="A391" s="6" t="s">
        <v>9</v>
      </c>
      <c r="B391" s="7" t="s">
        <v>1054</v>
      </c>
      <c r="C391" s="91">
        <v>45861.42516271991</v>
      </c>
      <c r="D391" s="9" t="s">
        <v>11</v>
      </c>
      <c r="E391" s="9" t="s">
        <v>11</v>
      </c>
      <c r="F391" s="8"/>
      <c r="G391" s="9" t="s">
        <v>18</v>
      </c>
      <c r="H391" s="7" t="s">
        <v>1055</v>
      </c>
      <c r="I391" s="9" t="s">
        <v>353</v>
      </c>
      <c r="J391" s="88"/>
    </row>
    <row r="392">
      <c r="A392" s="20" t="s">
        <v>98</v>
      </c>
      <c r="B392" s="9" t="s">
        <v>1056</v>
      </c>
      <c r="C392" s="91">
        <v>45925.67818991898</v>
      </c>
      <c r="D392" s="8"/>
      <c r="E392" s="9"/>
      <c r="F392" s="10"/>
      <c r="G392" s="9" t="s">
        <v>15</v>
      </c>
      <c r="H392" s="7" t="s">
        <v>1057</v>
      </c>
      <c r="I392" s="9" t="s">
        <v>353</v>
      </c>
      <c r="J392" s="88"/>
    </row>
    <row r="393">
      <c r="A393" s="6" t="s">
        <v>9</v>
      </c>
      <c r="B393" s="7" t="s">
        <v>1058</v>
      </c>
      <c r="C393" s="91">
        <v>45925.49457439815</v>
      </c>
      <c r="D393" s="8">
        <f>IFERROR(_xlfn.WORKDAY.INTL(C393, 2),"-")</f>
        <v>45929</v>
      </c>
      <c r="E393" s="9" t="s">
        <v>11</v>
      </c>
      <c r="F393" s="10"/>
      <c r="G393" s="9" t="s">
        <v>15</v>
      </c>
      <c r="H393" s="7" t="s">
        <v>1059</v>
      </c>
      <c r="I393" s="9" t="s">
        <v>353</v>
      </c>
      <c r="J393" s="88"/>
    </row>
    <row r="394">
      <c r="A394" s="20" t="s">
        <v>98</v>
      </c>
      <c r="B394" s="9" t="s">
        <v>1060</v>
      </c>
      <c r="C394" s="91">
        <v>45922.47583109954</v>
      </c>
      <c r="D394" s="8"/>
      <c r="E394" s="9"/>
      <c r="F394" s="10"/>
      <c r="G394" s="9" t="s">
        <v>15</v>
      </c>
      <c r="H394" s="7" t="s">
        <v>1061</v>
      </c>
      <c r="I394" s="9" t="s">
        <v>353</v>
      </c>
      <c r="J394" s="88"/>
    </row>
    <row r="395">
      <c r="A395" s="6" t="s">
        <v>9</v>
      </c>
      <c r="B395" s="7" t="s">
        <v>1062</v>
      </c>
      <c r="C395" s="91">
        <v>45915.70441694444</v>
      </c>
      <c r="D395" s="8">
        <f>IFERROR(_xlfn.WORKDAY.INTL(C395, 2),"-")</f>
        <v>45917</v>
      </c>
      <c r="E395" s="9" t="s">
        <v>11</v>
      </c>
      <c r="F395" s="10"/>
      <c r="G395" s="9" t="s">
        <v>18</v>
      </c>
      <c r="H395" s="7" t="s">
        <v>1063</v>
      </c>
      <c r="I395" s="9" t="s">
        <v>353</v>
      </c>
      <c r="J395" s="88"/>
    </row>
    <row r="396">
      <c r="A396" s="20" t="s">
        <v>98</v>
      </c>
      <c r="B396" s="9" t="s">
        <v>99</v>
      </c>
      <c r="C396" s="91">
        <v>45908.58501494213</v>
      </c>
      <c r="D396" s="8"/>
      <c r="E396" s="9"/>
      <c r="F396" s="10"/>
      <c r="G396" s="9" t="s">
        <v>15</v>
      </c>
      <c r="H396" s="7" t="s">
        <v>1064</v>
      </c>
      <c r="I396" s="9" t="s">
        <v>353</v>
      </c>
      <c r="J396" s="88"/>
    </row>
    <row r="397">
      <c r="A397" s="6" t="s">
        <v>9</v>
      </c>
      <c r="B397" s="7" t="s">
        <v>1065</v>
      </c>
      <c r="C397" s="91">
        <v>45923.57220501157</v>
      </c>
      <c r="D397" s="8">
        <f t="shared" ref="D397:D399" si="35">IFERROR(_xlfn.WORKDAY.INTL(C397, 2),"-")</f>
        <v>45925</v>
      </c>
      <c r="E397" s="9" t="s">
        <v>11</v>
      </c>
      <c r="F397" s="10"/>
      <c r="G397" s="9" t="s">
        <v>15</v>
      </c>
      <c r="H397" s="7" t="s">
        <v>1066</v>
      </c>
      <c r="I397" s="9" t="s">
        <v>353</v>
      </c>
      <c r="J397" s="88"/>
    </row>
    <row r="398">
      <c r="A398" s="6" t="s">
        <v>9</v>
      </c>
      <c r="B398" s="7" t="s">
        <v>1067</v>
      </c>
      <c r="C398" s="91">
        <v>45923.62798275463</v>
      </c>
      <c r="D398" s="8">
        <f t="shared" si="35"/>
        <v>45925</v>
      </c>
      <c r="E398" s="9" t="s">
        <v>11</v>
      </c>
      <c r="F398" s="10"/>
      <c r="G398" s="9" t="s">
        <v>15</v>
      </c>
      <c r="H398" s="7" t="s">
        <v>1066</v>
      </c>
      <c r="I398" s="9" t="s">
        <v>353</v>
      </c>
      <c r="J398" s="88"/>
    </row>
    <row r="399">
      <c r="A399" s="6" t="s">
        <v>9</v>
      </c>
      <c r="B399" s="7" t="s">
        <v>1068</v>
      </c>
      <c r="C399" s="91">
        <v>45923.57231564815</v>
      </c>
      <c r="D399" s="8">
        <f t="shared" si="35"/>
        <v>45925</v>
      </c>
      <c r="E399" s="9" t="s">
        <v>11</v>
      </c>
      <c r="F399" s="10"/>
      <c r="G399" s="9" t="s">
        <v>15</v>
      </c>
      <c r="H399" s="7" t="s">
        <v>1069</v>
      </c>
      <c r="I399" s="9" t="s">
        <v>353</v>
      </c>
      <c r="J399" s="88"/>
    </row>
    <row r="400">
      <c r="A400" s="20" t="s">
        <v>98</v>
      </c>
      <c r="B400" s="9" t="s">
        <v>1070</v>
      </c>
      <c r="C400" s="91">
        <v>45904.57219641204</v>
      </c>
      <c r="D400" s="8"/>
      <c r="E400" s="9"/>
      <c r="F400" s="10"/>
      <c r="G400" s="9" t="s">
        <v>15</v>
      </c>
      <c r="H400" s="7" t="s">
        <v>1071</v>
      </c>
      <c r="I400" s="9" t="s">
        <v>353</v>
      </c>
      <c r="J400" s="88"/>
    </row>
    <row r="401">
      <c r="A401" s="6" t="s">
        <v>9</v>
      </c>
      <c r="B401" s="7" t="s">
        <v>1072</v>
      </c>
      <c r="C401" s="91">
        <v>45923.6804092824</v>
      </c>
      <c r="D401" s="8">
        <f t="shared" ref="D401:D402" si="36">IFERROR(_xlfn.WORKDAY.INTL(C401, 2),"-")</f>
        <v>45925</v>
      </c>
      <c r="E401" s="9" t="s">
        <v>11</v>
      </c>
      <c r="F401" s="10"/>
      <c r="G401" s="9" t="s">
        <v>15</v>
      </c>
      <c r="H401" s="7" t="s">
        <v>1033</v>
      </c>
      <c r="I401" s="9" t="s">
        <v>353</v>
      </c>
      <c r="J401" s="88"/>
    </row>
    <row r="402">
      <c r="A402" s="6" t="s">
        <v>9</v>
      </c>
      <c r="B402" s="7" t="s">
        <v>1073</v>
      </c>
      <c r="C402" s="91">
        <v>45908.68639153935</v>
      </c>
      <c r="D402" s="8">
        <f t="shared" si="36"/>
        <v>45910</v>
      </c>
      <c r="E402" s="9" t="s">
        <v>11</v>
      </c>
      <c r="F402" s="10"/>
      <c r="G402" s="9" t="s">
        <v>15</v>
      </c>
      <c r="H402" s="7" t="s">
        <v>1074</v>
      </c>
      <c r="I402" s="9" t="s">
        <v>353</v>
      </c>
      <c r="J402" s="88"/>
    </row>
    <row r="403">
      <c r="A403" s="20" t="s">
        <v>98</v>
      </c>
      <c r="B403" s="9" t="s">
        <v>1075</v>
      </c>
      <c r="C403" s="91">
        <v>45919.47507376157</v>
      </c>
      <c r="D403" s="8"/>
      <c r="E403" s="9"/>
      <c r="F403" s="10"/>
      <c r="G403" s="9" t="s">
        <v>15</v>
      </c>
      <c r="H403" s="7" t="s">
        <v>1076</v>
      </c>
      <c r="I403" s="9" t="s">
        <v>353</v>
      </c>
      <c r="J403" s="88"/>
    </row>
    <row r="404">
      <c r="A404" s="20" t="s">
        <v>98</v>
      </c>
      <c r="B404" s="9" t="s">
        <v>1077</v>
      </c>
      <c r="C404" s="91">
        <v>45901.708993541666</v>
      </c>
      <c r="D404" s="8"/>
      <c r="E404" s="9"/>
      <c r="F404" s="10"/>
      <c r="G404" s="9" t="s">
        <v>15</v>
      </c>
      <c r="H404" s="22" t="s">
        <v>1078</v>
      </c>
      <c r="I404" s="9" t="s">
        <v>353</v>
      </c>
      <c r="J404" s="88"/>
    </row>
    <row r="405">
      <c r="A405" s="20" t="s">
        <v>98</v>
      </c>
      <c r="B405" s="9" t="s">
        <v>1079</v>
      </c>
      <c r="C405" s="91">
        <v>45911.74469460648</v>
      </c>
      <c r="D405" s="8"/>
      <c r="E405" s="9"/>
      <c r="F405" s="10"/>
      <c r="G405" s="9" t="s">
        <v>15</v>
      </c>
      <c r="H405" s="7" t="s">
        <v>1080</v>
      </c>
      <c r="I405" s="9" t="s">
        <v>353</v>
      </c>
      <c r="J405" s="88"/>
    </row>
    <row r="406">
      <c r="A406" s="20" t="s">
        <v>98</v>
      </c>
      <c r="B406" s="9" t="s">
        <v>1081</v>
      </c>
      <c r="C406" s="91">
        <v>45916.59354554398</v>
      </c>
      <c r="D406" s="8"/>
      <c r="E406" s="9"/>
      <c r="F406" s="10"/>
      <c r="G406" s="9" t="s">
        <v>15</v>
      </c>
      <c r="H406" s="7" t="s">
        <v>1080</v>
      </c>
      <c r="I406" s="9" t="s">
        <v>353</v>
      </c>
      <c r="J406" s="88"/>
    </row>
    <row r="407">
      <c r="A407" s="102"/>
      <c r="B407" s="7" t="s">
        <v>1082</v>
      </c>
      <c r="C407" s="91">
        <v>45922.56897540509</v>
      </c>
      <c r="D407" s="8"/>
      <c r="E407" s="9"/>
      <c r="F407" s="10"/>
      <c r="G407" s="9"/>
      <c r="H407" s="118">
        <v>45922.0</v>
      </c>
      <c r="I407" s="9" t="s">
        <v>353</v>
      </c>
      <c r="J407" s="88"/>
    </row>
    <row r="408">
      <c r="A408" s="6" t="s">
        <v>9</v>
      </c>
      <c r="B408" s="7" t="s">
        <v>1083</v>
      </c>
      <c r="C408" s="91">
        <v>45917.496282465276</v>
      </c>
      <c r="D408" s="8">
        <f t="shared" ref="D408:D410" si="37">IFERROR(_xlfn.WORKDAY.INTL(C408, 2),"-")</f>
        <v>45919</v>
      </c>
      <c r="E408" s="9" t="s">
        <v>11</v>
      </c>
      <c r="F408" s="10"/>
      <c r="G408" s="9" t="s">
        <v>15</v>
      </c>
      <c r="H408" s="7" t="s">
        <v>1084</v>
      </c>
      <c r="I408" s="9" t="s">
        <v>353</v>
      </c>
      <c r="J408" s="88"/>
    </row>
    <row r="409">
      <c r="A409" s="6" t="s">
        <v>9</v>
      </c>
      <c r="B409" s="7" t="s">
        <v>1085</v>
      </c>
      <c r="C409" s="91">
        <v>45888.60450178241</v>
      </c>
      <c r="D409" s="8">
        <f t="shared" si="37"/>
        <v>45890</v>
      </c>
      <c r="E409" s="9" t="s">
        <v>11</v>
      </c>
      <c r="F409" s="10"/>
      <c r="G409" s="9" t="s">
        <v>15</v>
      </c>
      <c r="H409" s="7" t="s">
        <v>1086</v>
      </c>
      <c r="I409" s="9" t="s">
        <v>353</v>
      </c>
      <c r="J409" s="88"/>
    </row>
    <row r="410">
      <c r="A410" s="6" t="s">
        <v>9</v>
      </c>
      <c r="B410" s="7" t="s">
        <v>1087</v>
      </c>
      <c r="C410" s="91">
        <v>45797.43659989584</v>
      </c>
      <c r="D410" s="8">
        <f t="shared" si="37"/>
        <v>45799</v>
      </c>
      <c r="E410" s="9" t="s">
        <v>11</v>
      </c>
      <c r="F410" s="10"/>
      <c r="G410" s="9" t="s">
        <v>18</v>
      </c>
      <c r="H410" s="7" t="s">
        <v>1088</v>
      </c>
      <c r="I410" s="9" t="s">
        <v>353</v>
      </c>
      <c r="J410" s="88"/>
    </row>
    <row r="411">
      <c r="A411" s="102"/>
      <c r="B411" s="7" t="s">
        <v>1089</v>
      </c>
      <c r="C411" s="91">
        <v>45922.56558181713</v>
      </c>
      <c r="D411" s="8"/>
      <c r="E411" s="9"/>
      <c r="F411" s="10"/>
      <c r="G411" s="9" t="s">
        <v>11</v>
      </c>
      <c r="H411" s="105" t="s">
        <v>1090</v>
      </c>
      <c r="I411" s="9" t="s">
        <v>353</v>
      </c>
      <c r="J411" s="88"/>
    </row>
    <row r="412">
      <c r="A412" s="6" t="s">
        <v>9</v>
      </c>
      <c r="B412" s="7" t="s">
        <v>651</v>
      </c>
      <c r="C412" s="91">
        <v>45919.462374282404</v>
      </c>
      <c r="D412" s="8">
        <f>IFERROR(_xlfn.WORKDAY.INTL(C412, 2),"-")</f>
        <v>45923</v>
      </c>
      <c r="E412" s="9" t="s">
        <v>11</v>
      </c>
      <c r="F412" s="10"/>
      <c r="G412" s="9" t="s">
        <v>18</v>
      </c>
      <c r="H412" s="7" t="s">
        <v>1091</v>
      </c>
      <c r="I412" s="9" t="s">
        <v>353</v>
      </c>
      <c r="J412" s="88"/>
    </row>
    <row r="413">
      <c r="A413" s="102"/>
      <c r="B413" s="7" t="s">
        <v>1092</v>
      </c>
      <c r="C413" s="91">
        <v>45905.465561226854</v>
      </c>
      <c r="D413" s="8"/>
      <c r="E413" s="9"/>
      <c r="F413" s="10"/>
      <c r="G413" s="9" t="s">
        <v>11</v>
      </c>
      <c r="H413" s="105" t="s">
        <v>1093</v>
      </c>
      <c r="I413" s="9" t="s">
        <v>353</v>
      </c>
      <c r="J413" s="88"/>
    </row>
    <row r="414">
      <c r="A414" s="102" t="s">
        <v>624</v>
      </c>
      <c r="B414" s="7" t="s">
        <v>1094</v>
      </c>
      <c r="C414" s="91">
        <v>45804.49862690972</v>
      </c>
      <c r="D414" s="8">
        <f t="shared" ref="D414:D416" si="38">IFERROR(_xlfn.WORKDAY.INTL(C414, 2),"-")</f>
        <v>45806</v>
      </c>
      <c r="E414" s="9" t="s">
        <v>206</v>
      </c>
      <c r="F414" s="10"/>
      <c r="G414" s="9" t="s">
        <v>11</v>
      </c>
      <c r="H414" s="7" t="s">
        <v>1095</v>
      </c>
      <c r="I414" s="9" t="s">
        <v>353</v>
      </c>
      <c r="J414" s="88"/>
    </row>
    <row r="415">
      <c r="A415" s="78" t="s">
        <v>334</v>
      </c>
      <c r="B415" s="43" t="s">
        <v>1096</v>
      </c>
      <c r="C415" s="119">
        <v>45917.64620681713</v>
      </c>
      <c r="D415" s="80">
        <f t="shared" si="38"/>
        <v>45919</v>
      </c>
      <c r="E415" s="9" t="s">
        <v>1097</v>
      </c>
      <c r="F415" s="10"/>
      <c r="G415" s="9" t="s">
        <v>15</v>
      </c>
      <c r="H415" s="7" t="s">
        <v>1098</v>
      </c>
      <c r="I415" s="9" t="s">
        <v>353</v>
      </c>
      <c r="J415" s="88"/>
    </row>
    <row r="416">
      <c r="A416" s="78" t="s">
        <v>334</v>
      </c>
      <c r="B416" s="43" t="s">
        <v>1099</v>
      </c>
      <c r="C416" s="119">
        <v>45918.0</v>
      </c>
      <c r="D416" s="80">
        <f t="shared" si="38"/>
        <v>45922</v>
      </c>
      <c r="E416" s="9" t="s">
        <v>1097</v>
      </c>
      <c r="F416" s="10"/>
      <c r="G416" s="9" t="s">
        <v>18</v>
      </c>
      <c r="H416" s="7" t="s">
        <v>1100</v>
      </c>
      <c r="I416" s="9" t="s">
        <v>353</v>
      </c>
      <c r="J416" s="88"/>
    </row>
    <row r="417">
      <c r="A417" s="54" t="s">
        <v>236</v>
      </c>
      <c r="B417" s="7" t="s">
        <v>1101</v>
      </c>
      <c r="C417" s="91">
        <v>45882.45459443287</v>
      </c>
      <c r="D417" s="8"/>
      <c r="E417" s="9"/>
      <c r="F417" s="10"/>
      <c r="G417" s="9" t="s">
        <v>15</v>
      </c>
      <c r="H417" s="7" t="s">
        <v>1102</v>
      </c>
      <c r="I417" s="9" t="s">
        <v>353</v>
      </c>
      <c r="J417" s="88"/>
    </row>
    <row r="418">
      <c r="A418" s="6" t="s">
        <v>9</v>
      </c>
      <c r="B418" s="7" t="s">
        <v>1103</v>
      </c>
      <c r="C418" s="91">
        <v>45918.456072974535</v>
      </c>
      <c r="D418" s="8">
        <f>IFERROR(_xlfn.WORKDAY.INTL(C418, 2),"-")</f>
        <v>45922</v>
      </c>
      <c r="E418" s="9" t="s">
        <v>11</v>
      </c>
      <c r="F418" s="10"/>
      <c r="G418" s="9" t="s">
        <v>15</v>
      </c>
      <c r="H418" s="7" t="s">
        <v>1104</v>
      </c>
      <c r="I418" s="9" t="s">
        <v>353</v>
      </c>
      <c r="J418" s="88"/>
    </row>
    <row r="419">
      <c r="A419" s="20" t="s">
        <v>98</v>
      </c>
      <c r="B419" s="9" t="s">
        <v>1105</v>
      </c>
      <c r="C419" s="91">
        <v>45860.8159227662</v>
      </c>
      <c r="D419" s="8"/>
      <c r="E419" s="9"/>
      <c r="F419" s="10"/>
      <c r="G419" s="9" t="s">
        <v>15</v>
      </c>
      <c r="H419" s="7" t="s">
        <v>1106</v>
      </c>
      <c r="I419" s="9" t="s">
        <v>353</v>
      </c>
      <c r="J419" s="88"/>
    </row>
    <row r="420">
      <c r="A420" s="6" t="s">
        <v>9</v>
      </c>
      <c r="B420" s="7" t="s">
        <v>1107</v>
      </c>
      <c r="C420" s="91">
        <v>45917.712645057865</v>
      </c>
      <c r="D420" s="8">
        <f>IFERROR(_xlfn.WORKDAY.INTL(C420, 2),"-")</f>
        <v>45919</v>
      </c>
      <c r="E420" s="9" t="s">
        <v>11</v>
      </c>
      <c r="F420" s="10"/>
      <c r="G420" s="9" t="s">
        <v>15</v>
      </c>
      <c r="H420" s="7" t="s">
        <v>1108</v>
      </c>
      <c r="I420" s="9" t="s">
        <v>353</v>
      </c>
      <c r="J420" s="88"/>
    </row>
    <row r="421">
      <c r="A421" s="20" t="s">
        <v>98</v>
      </c>
      <c r="B421" s="9" t="s">
        <v>1109</v>
      </c>
      <c r="C421" s="91">
        <v>45915.734444999995</v>
      </c>
      <c r="D421" s="8"/>
      <c r="E421" s="9"/>
      <c r="F421" s="10"/>
      <c r="G421" s="9" t="s">
        <v>15</v>
      </c>
      <c r="H421" s="7" t="s">
        <v>1110</v>
      </c>
      <c r="I421" s="9" t="s">
        <v>353</v>
      </c>
      <c r="J421" s="88"/>
    </row>
    <row r="422">
      <c r="A422" s="78" t="s">
        <v>334</v>
      </c>
      <c r="B422" s="43" t="s">
        <v>1111</v>
      </c>
      <c r="C422" s="119">
        <v>45901.57404798611</v>
      </c>
      <c r="D422" s="80">
        <f>IFERROR(_xlfn.WORKDAY.INTL(C422, 2),"-")</f>
        <v>45903</v>
      </c>
      <c r="E422" s="9" t="s">
        <v>1097</v>
      </c>
      <c r="F422" s="10"/>
      <c r="G422" s="9" t="s">
        <v>220</v>
      </c>
      <c r="H422" s="7" t="s">
        <v>1112</v>
      </c>
      <c r="I422" s="9" t="s">
        <v>353</v>
      </c>
      <c r="J422" s="88"/>
    </row>
    <row r="423">
      <c r="A423" s="20" t="s">
        <v>98</v>
      </c>
      <c r="B423" s="9" t="s">
        <v>1113</v>
      </c>
      <c r="C423" s="91">
        <v>45915.734064317134</v>
      </c>
      <c r="D423" s="8"/>
      <c r="E423" s="9"/>
      <c r="F423" s="10"/>
      <c r="G423" s="9" t="s">
        <v>15</v>
      </c>
      <c r="H423" s="7" t="s">
        <v>1080</v>
      </c>
      <c r="I423" s="9" t="s">
        <v>353</v>
      </c>
      <c r="J423" s="88"/>
    </row>
    <row r="424">
      <c r="A424" s="6" t="s">
        <v>9</v>
      </c>
      <c r="B424" s="7" t="s">
        <v>1114</v>
      </c>
      <c r="C424" s="91">
        <v>45915.73859645834</v>
      </c>
      <c r="D424" s="8">
        <f>IFERROR(_xlfn.WORKDAY.INTL(C424, 2),"-")</f>
        <v>45917</v>
      </c>
      <c r="E424" s="9" t="s">
        <v>11</v>
      </c>
      <c r="F424" s="10"/>
      <c r="G424" s="9" t="s">
        <v>18</v>
      </c>
      <c r="H424" s="7" t="s">
        <v>1115</v>
      </c>
      <c r="I424" s="9" t="s">
        <v>353</v>
      </c>
      <c r="J424" s="88"/>
    </row>
    <row r="425">
      <c r="A425" s="20" t="s">
        <v>98</v>
      </c>
      <c r="B425" s="9" t="s">
        <v>1116</v>
      </c>
      <c r="C425" s="91">
        <v>45911.74425894676</v>
      </c>
      <c r="D425" s="8"/>
      <c r="E425" s="9"/>
      <c r="F425" s="10"/>
      <c r="G425" s="9" t="s">
        <v>15</v>
      </c>
      <c r="H425" s="7" t="s">
        <v>1117</v>
      </c>
      <c r="I425" s="9" t="s">
        <v>353</v>
      </c>
      <c r="J425" s="88"/>
    </row>
    <row r="426">
      <c r="A426" s="20" t="s">
        <v>98</v>
      </c>
      <c r="B426" s="9" t="s">
        <v>1118</v>
      </c>
      <c r="C426" s="91">
        <v>45915.7339134375</v>
      </c>
      <c r="D426" s="8"/>
      <c r="E426" s="9"/>
      <c r="F426" s="10"/>
      <c r="G426" s="9" t="s">
        <v>15</v>
      </c>
      <c r="H426" s="7" t="s">
        <v>1119</v>
      </c>
      <c r="I426" s="9" t="s">
        <v>353</v>
      </c>
      <c r="J426" s="88"/>
    </row>
    <row r="427">
      <c r="A427" s="20" t="s">
        <v>98</v>
      </c>
      <c r="B427" s="9" t="s">
        <v>1120</v>
      </c>
      <c r="C427" s="91">
        <v>45915.47731045139</v>
      </c>
      <c r="D427" s="8"/>
      <c r="E427" s="9"/>
      <c r="F427" s="10"/>
      <c r="G427" s="9" t="s">
        <v>15</v>
      </c>
      <c r="H427" s="7" t="s">
        <v>1121</v>
      </c>
      <c r="I427" s="9" t="s">
        <v>353</v>
      </c>
      <c r="J427" s="88"/>
    </row>
    <row r="428">
      <c r="A428" s="78" t="s">
        <v>334</v>
      </c>
      <c r="B428" s="43" t="s">
        <v>1122</v>
      </c>
      <c r="C428" s="119">
        <v>45908.0</v>
      </c>
      <c r="D428" s="80">
        <f t="shared" ref="D428:D430" si="39">IFERROR(_xlfn.WORKDAY.INTL(C428, 2),"-")</f>
        <v>45910</v>
      </c>
      <c r="E428" s="9" t="s">
        <v>1123</v>
      </c>
      <c r="F428" s="10"/>
      <c r="G428" s="9" t="s">
        <v>220</v>
      </c>
      <c r="H428" s="7" t="s">
        <v>1124</v>
      </c>
      <c r="I428" s="9" t="s">
        <v>353</v>
      </c>
      <c r="J428" s="88"/>
    </row>
    <row r="429">
      <c r="A429" s="6" t="s">
        <v>9</v>
      </c>
      <c r="B429" s="7" t="s">
        <v>1125</v>
      </c>
      <c r="C429" s="91">
        <v>45915.707450347225</v>
      </c>
      <c r="D429" s="8">
        <f t="shared" si="39"/>
        <v>45917</v>
      </c>
      <c r="E429" s="9" t="s">
        <v>11</v>
      </c>
      <c r="F429" s="10"/>
      <c r="G429" s="9" t="s">
        <v>15</v>
      </c>
      <c r="H429" s="7" t="s">
        <v>1126</v>
      </c>
      <c r="I429" s="9" t="s">
        <v>353</v>
      </c>
      <c r="J429" s="88"/>
    </row>
    <row r="430">
      <c r="A430" s="78" t="s">
        <v>334</v>
      </c>
      <c r="B430" s="43" t="s">
        <v>1127</v>
      </c>
      <c r="C430" s="119">
        <v>45915.50547846065</v>
      </c>
      <c r="D430" s="80">
        <f t="shared" si="39"/>
        <v>45917</v>
      </c>
      <c r="E430" s="9" t="s">
        <v>1128</v>
      </c>
      <c r="F430" s="10"/>
      <c r="G430" s="9" t="s">
        <v>220</v>
      </c>
      <c r="H430" s="11"/>
      <c r="I430" s="9" t="s">
        <v>353</v>
      </c>
      <c r="J430" s="88"/>
    </row>
    <row r="431">
      <c r="A431" s="20" t="s">
        <v>98</v>
      </c>
      <c r="B431" s="9" t="s">
        <v>1129</v>
      </c>
      <c r="C431" s="91">
        <v>45915.60215803241</v>
      </c>
      <c r="D431" s="8"/>
      <c r="E431" s="9"/>
      <c r="F431" s="10"/>
      <c r="G431" s="9" t="s">
        <v>15</v>
      </c>
      <c r="H431" s="7" t="s">
        <v>1130</v>
      </c>
      <c r="I431" s="9" t="s">
        <v>353</v>
      </c>
      <c r="J431" s="88"/>
    </row>
    <row r="432">
      <c r="A432" s="102"/>
      <c r="B432" s="67" t="s">
        <v>1131</v>
      </c>
      <c r="C432" s="91"/>
      <c r="D432" s="8"/>
      <c r="E432" s="9"/>
      <c r="F432" s="10"/>
      <c r="G432" s="9" t="s">
        <v>11</v>
      </c>
      <c r="H432" s="105" t="s">
        <v>1132</v>
      </c>
      <c r="I432" s="9" t="s">
        <v>353</v>
      </c>
      <c r="J432" s="88"/>
    </row>
    <row r="433">
      <c r="A433" s="6" t="s">
        <v>9</v>
      </c>
      <c r="B433" s="7" t="s">
        <v>1133</v>
      </c>
      <c r="C433" s="91">
        <v>45915.43522438657</v>
      </c>
      <c r="D433" s="8">
        <f>IFERROR(_xlfn.WORKDAY.INTL(C433, 2),"-")</f>
        <v>45917</v>
      </c>
      <c r="E433" s="9" t="s">
        <v>11</v>
      </c>
      <c r="F433" s="10"/>
      <c r="G433" s="9" t="s">
        <v>15</v>
      </c>
      <c r="H433" s="7" t="s">
        <v>1134</v>
      </c>
      <c r="I433" s="9" t="s">
        <v>353</v>
      </c>
      <c r="J433" s="88"/>
    </row>
    <row r="434">
      <c r="A434" s="54" t="s">
        <v>236</v>
      </c>
      <c r="B434" s="7" t="s">
        <v>1135</v>
      </c>
      <c r="C434" s="91">
        <v>45901.62536371528</v>
      </c>
      <c r="D434" s="8"/>
      <c r="E434" s="9"/>
      <c r="F434" s="10"/>
      <c r="G434" s="9" t="s">
        <v>15</v>
      </c>
      <c r="H434" s="7" t="s">
        <v>1136</v>
      </c>
      <c r="I434" s="9" t="s">
        <v>353</v>
      </c>
      <c r="J434" s="88"/>
    </row>
    <row r="435">
      <c r="A435" s="20" t="s">
        <v>98</v>
      </c>
      <c r="B435" s="9" t="s">
        <v>1137</v>
      </c>
      <c r="C435" s="91">
        <v>45911.376059953705</v>
      </c>
      <c r="D435" s="8"/>
      <c r="E435" s="9"/>
      <c r="F435" s="10"/>
      <c r="G435" s="9" t="s">
        <v>15</v>
      </c>
      <c r="H435" s="7" t="s">
        <v>1138</v>
      </c>
      <c r="I435" s="9" t="s">
        <v>353</v>
      </c>
      <c r="J435" s="88"/>
    </row>
    <row r="436">
      <c r="A436" s="20" t="s">
        <v>98</v>
      </c>
      <c r="B436" s="9" t="s">
        <v>1139</v>
      </c>
      <c r="C436" s="91">
        <v>45912.375790844904</v>
      </c>
      <c r="D436" s="8"/>
      <c r="E436" s="9"/>
      <c r="F436" s="10"/>
      <c r="G436" s="9" t="s">
        <v>15</v>
      </c>
      <c r="H436" s="7" t="s">
        <v>1117</v>
      </c>
      <c r="I436" s="9" t="s">
        <v>353</v>
      </c>
      <c r="J436" s="88"/>
    </row>
    <row r="437">
      <c r="A437" s="102"/>
      <c r="B437" s="7" t="s">
        <v>1140</v>
      </c>
      <c r="C437" s="91">
        <v>45904.48131195601</v>
      </c>
      <c r="D437" s="8"/>
      <c r="E437" s="9"/>
      <c r="F437" s="10"/>
      <c r="G437" s="9" t="s">
        <v>11</v>
      </c>
      <c r="H437" s="105" t="s">
        <v>1141</v>
      </c>
      <c r="I437" s="9" t="s">
        <v>353</v>
      </c>
      <c r="J437" s="88"/>
    </row>
    <row r="438">
      <c r="A438" s="20" t="s">
        <v>98</v>
      </c>
      <c r="B438" s="9" t="s">
        <v>1142</v>
      </c>
      <c r="C438" s="91">
        <v>45908.356320439816</v>
      </c>
      <c r="D438" s="8"/>
      <c r="E438" s="9"/>
      <c r="F438" s="10"/>
      <c r="G438" s="9" t="s">
        <v>15</v>
      </c>
      <c r="H438" s="7" t="s">
        <v>1143</v>
      </c>
      <c r="I438" s="9" t="s">
        <v>353</v>
      </c>
      <c r="J438" s="88"/>
    </row>
    <row r="439">
      <c r="A439" s="20" t="s">
        <v>98</v>
      </c>
      <c r="B439" s="9" t="s">
        <v>1144</v>
      </c>
      <c r="C439" s="91">
        <v>45908.35627930556</v>
      </c>
      <c r="D439" s="8"/>
      <c r="E439" s="9"/>
      <c r="F439" s="10"/>
      <c r="G439" s="9" t="s">
        <v>15</v>
      </c>
      <c r="H439" s="7" t="s">
        <v>1145</v>
      </c>
      <c r="I439" s="9" t="s">
        <v>353</v>
      </c>
      <c r="J439" s="88"/>
    </row>
    <row r="440">
      <c r="A440" s="102"/>
      <c r="B440" s="67" t="s">
        <v>1146</v>
      </c>
      <c r="C440" s="91">
        <v>45904.482799432866</v>
      </c>
      <c r="D440" s="8"/>
      <c r="E440" s="9"/>
      <c r="F440" s="10"/>
      <c r="G440" s="9" t="s">
        <v>11</v>
      </c>
      <c r="H440" s="104" t="s">
        <v>1147</v>
      </c>
      <c r="I440" s="9" t="s">
        <v>353</v>
      </c>
      <c r="J440" s="88"/>
    </row>
    <row r="441">
      <c r="A441" s="102"/>
      <c r="B441" s="67" t="s">
        <v>1148</v>
      </c>
      <c r="C441" s="91">
        <v>45903.649384930555</v>
      </c>
      <c r="D441" s="8"/>
      <c r="E441" s="9"/>
      <c r="F441" s="10"/>
      <c r="G441" s="9" t="s">
        <v>11</v>
      </c>
      <c r="H441" s="105" t="s">
        <v>1149</v>
      </c>
      <c r="I441" s="9" t="s">
        <v>353</v>
      </c>
      <c r="J441" s="88"/>
    </row>
    <row r="442">
      <c r="A442" s="20" t="s">
        <v>98</v>
      </c>
      <c r="B442" s="9" t="s">
        <v>1150</v>
      </c>
      <c r="C442" s="91">
        <v>45911.376159120366</v>
      </c>
      <c r="D442" s="8"/>
      <c r="E442" s="9"/>
      <c r="F442" s="10"/>
      <c r="G442" s="9" t="s">
        <v>15</v>
      </c>
      <c r="H442" s="7" t="s">
        <v>1151</v>
      </c>
      <c r="I442" s="9" t="s">
        <v>353</v>
      </c>
      <c r="J442" s="88"/>
    </row>
    <row r="443">
      <c r="A443" s="20" t="s">
        <v>98</v>
      </c>
      <c r="B443" s="9" t="s">
        <v>1152</v>
      </c>
      <c r="C443" s="91">
        <v>45889.491867627316</v>
      </c>
      <c r="D443" s="8"/>
      <c r="E443" s="9"/>
      <c r="F443" s="10"/>
      <c r="G443" s="9" t="s">
        <v>15</v>
      </c>
      <c r="H443" s="23" t="s">
        <v>1153</v>
      </c>
      <c r="I443" s="9" t="s">
        <v>353</v>
      </c>
      <c r="J443" s="88"/>
    </row>
    <row r="444">
      <c r="A444" s="6" t="s">
        <v>9</v>
      </c>
      <c r="B444" s="7" t="s">
        <v>1154</v>
      </c>
      <c r="C444" s="91">
        <v>45908.68679927083</v>
      </c>
      <c r="D444" s="8">
        <f t="shared" ref="D444:D446" si="40">IFERROR(_xlfn.WORKDAY.INTL(C444, 2),"-")</f>
        <v>45910</v>
      </c>
      <c r="E444" s="9" t="s">
        <v>11</v>
      </c>
      <c r="F444" s="10"/>
      <c r="G444" s="9" t="s">
        <v>15</v>
      </c>
      <c r="H444" s="7" t="s">
        <v>1155</v>
      </c>
      <c r="I444" s="9" t="s">
        <v>353</v>
      </c>
      <c r="J444" s="88"/>
    </row>
    <row r="445">
      <c r="A445" s="6" t="s">
        <v>9</v>
      </c>
      <c r="B445" s="7" t="s">
        <v>1156</v>
      </c>
      <c r="C445" s="91">
        <v>45910.50810368056</v>
      </c>
      <c r="D445" s="8">
        <f t="shared" si="40"/>
        <v>45912</v>
      </c>
      <c r="E445" s="9" t="s">
        <v>11</v>
      </c>
      <c r="F445" s="10"/>
      <c r="G445" s="9" t="s">
        <v>18</v>
      </c>
      <c r="H445" s="7" t="s">
        <v>1157</v>
      </c>
      <c r="I445" s="9" t="s">
        <v>353</v>
      </c>
      <c r="J445" s="88"/>
    </row>
    <row r="446">
      <c r="A446" s="6" t="s">
        <v>9</v>
      </c>
      <c r="B446" s="7" t="s">
        <v>1158</v>
      </c>
      <c r="C446" s="91">
        <v>45909.616775</v>
      </c>
      <c r="D446" s="8">
        <f t="shared" si="40"/>
        <v>45911</v>
      </c>
      <c r="E446" s="9" t="s">
        <v>11</v>
      </c>
      <c r="F446" s="10"/>
      <c r="G446" s="9" t="s">
        <v>15</v>
      </c>
      <c r="H446" s="7" t="s">
        <v>1159</v>
      </c>
      <c r="I446" s="9" t="s">
        <v>353</v>
      </c>
      <c r="J446" s="88"/>
    </row>
    <row r="447">
      <c r="A447" s="20" t="s">
        <v>98</v>
      </c>
      <c r="B447" s="9" t="s">
        <v>1160</v>
      </c>
      <c r="C447" s="91">
        <v>45910.39748997685</v>
      </c>
      <c r="D447" s="8"/>
      <c r="E447" s="9"/>
      <c r="F447" s="10"/>
      <c r="G447" s="9" t="s">
        <v>15</v>
      </c>
      <c r="H447" s="7" t="s">
        <v>1161</v>
      </c>
      <c r="I447" s="9" t="s">
        <v>353</v>
      </c>
      <c r="J447" s="88"/>
    </row>
    <row r="448">
      <c r="A448" s="6" t="s">
        <v>9</v>
      </c>
      <c r="B448" s="7" t="s">
        <v>1162</v>
      </c>
      <c r="C448" s="91">
        <v>45910.638386817125</v>
      </c>
      <c r="D448" s="8">
        <f t="shared" ref="D448:D449" si="41">IFERROR(_xlfn.WORKDAY.INTL(C448, 2),"-")</f>
        <v>45912</v>
      </c>
      <c r="E448" s="9" t="s">
        <v>11</v>
      </c>
      <c r="F448" s="10"/>
      <c r="G448" s="9" t="s">
        <v>18</v>
      </c>
      <c r="H448" s="7" t="s">
        <v>1163</v>
      </c>
      <c r="I448" s="9" t="s">
        <v>353</v>
      </c>
      <c r="J448" s="88"/>
    </row>
    <row r="449">
      <c r="A449" s="6" t="s">
        <v>9</v>
      </c>
      <c r="B449" s="7" t="s">
        <v>1164</v>
      </c>
      <c r="C449" s="91">
        <v>45910.632995810185</v>
      </c>
      <c r="D449" s="8">
        <f t="shared" si="41"/>
        <v>45912</v>
      </c>
      <c r="E449" s="9" t="s">
        <v>11</v>
      </c>
      <c r="F449" s="10"/>
      <c r="G449" s="9" t="s">
        <v>18</v>
      </c>
      <c r="H449" s="7" t="s">
        <v>1165</v>
      </c>
      <c r="I449" s="9" t="s">
        <v>353</v>
      </c>
      <c r="J449" s="88"/>
    </row>
    <row r="450">
      <c r="A450" s="20" t="s">
        <v>98</v>
      </c>
      <c r="B450" s="9" t="s">
        <v>1166</v>
      </c>
      <c r="C450" s="91">
        <v>45908.35790097222</v>
      </c>
      <c r="D450" s="8"/>
      <c r="E450" s="9"/>
      <c r="F450" s="10"/>
      <c r="G450" s="9" t="s">
        <v>15</v>
      </c>
      <c r="H450" s="7"/>
      <c r="I450" s="9" t="s">
        <v>353</v>
      </c>
      <c r="J450" s="88"/>
    </row>
    <row r="451">
      <c r="A451" s="78" t="s">
        <v>334</v>
      </c>
      <c r="B451" s="43" t="s">
        <v>1167</v>
      </c>
      <c r="C451" s="119">
        <v>45880.693344155094</v>
      </c>
      <c r="D451" s="80">
        <f>IFERROR(_xlfn.WORKDAY.INTL(C451, 2),"-")</f>
        <v>45882</v>
      </c>
      <c r="E451" s="9" t="s">
        <v>1097</v>
      </c>
      <c r="F451" s="10"/>
      <c r="G451" s="9" t="s">
        <v>15</v>
      </c>
      <c r="H451" s="7" t="s">
        <v>1168</v>
      </c>
      <c r="I451" s="9" t="s">
        <v>353</v>
      </c>
      <c r="J451" s="88"/>
    </row>
    <row r="452">
      <c r="A452" s="20" t="s">
        <v>98</v>
      </c>
      <c r="B452" s="9" t="s">
        <v>1169</v>
      </c>
      <c r="C452" s="91">
        <v>45904.45043991898</v>
      </c>
      <c r="D452" s="8"/>
      <c r="E452" s="9"/>
      <c r="F452" s="10"/>
      <c r="G452" s="9" t="s">
        <v>15</v>
      </c>
      <c r="H452" s="7" t="s">
        <v>1170</v>
      </c>
      <c r="I452" s="9" t="s">
        <v>353</v>
      </c>
      <c r="J452" s="88"/>
    </row>
    <row r="453">
      <c r="A453" s="20" t="s">
        <v>98</v>
      </c>
      <c r="B453" s="9" t="s">
        <v>1171</v>
      </c>
      <c r="C453" s="91">
        <v>45832.74451900463</v>
      </c>
      <c r="D453" s="8"/>
      <c r="E453" s="9"/>
      <c r="F453" s="10"/>
      <c r="G453" s="9" t="s">
        <v>15</v>
      </c>
      <c r="H453" s="23" t="s">
        <v>1172</v>
      </c>
      <c r="I453" s="9" t="s">
        <v>353</v>
      </c>
      <c r="J453" s="88"/>
    </row>
    <row r="454">
      <c r="A454" s="54" t="s">
        <v>236</v>
      </c>
      <c r="B454" s="7" t="s">
        <v>1173</v>
      </c>
      <c r="C454" s="91">
        <v>45882.45267666667</v>
      </c>
      <c r="D454" s="8"/>
      <c r="E454" s="9"/>
      <c r="F454" s="10"/>
      <c r="G454" s="9" t="s">
        <v>15</v>
      </c>
      <c r="H454" s="7" t="s">
        <v>1174</v>
      </c>
      <c r="I454" s="9" t="s">
        <v>353</v>
      </c>
      <c r="J454" s="88"/>
    </row>
    <row r="455">
      <c r="A455" s="88"/>
      <c r="B455" s="89"/>
      <c r="C455" s="90"/>
      <c r="D455" s="89"/>
      <c r="E455" s="89"/>
      <c r="F455" s="89"/>
      <c r="G455" s="89"/>
      <c r="H455" s="87"/>
      <c r="I455" s="89"/>
      <c r="J455" s="88"/>
    </row>
    <row r="456">
      <c r="A456" s="20" t="s">
        <v>98</v>
      </c>
      <c r="B456" s="9" t="s">
        <v>631</v>
      </c>
      <c r="C456" s="91">
        <v>45896.36629039352</v>
      </c>
      <c r="D456" s="8"/>
      <c r="E456" s="9"/>
      <c r="F456" s="10"/>
      <c r="G456" s="9" t="s">
        <v>15</v>
      </c>
      <c r="H456" s="22" t="s">
        <v>1175</v>
      </c>
      <c r="I456" s="9" t="s">
        <v>353</v>
      </c>
      <c r="J456" s="88"/>
    </row>
    <row r="457">
      <c r="A457" s="78" t="s">
        <v>334</v>
      </c>
      <c r="B457" s="43" t="s">
        <v>1176</v>
      </c>
      <c r="C457" s="119">
        <v>45894.64499760416</v>
      </c>
      <c r="D457" s="80">
        <f>IFERROR(_xlfn.WORKDAY.INTL(C457, 2),"-")</f>
        <v>45896</v>
      </c>
      <c r="E457" s="9" t="s">
        <v>1097</v>
      </c>
      <c r="F457" s="10"/>
      <c r="G457" s="9" t="s">
        <v>220</v>
      </c>
      <c r="H457" s="7" t="s">
        <v>1177</v>
      </c>
      <c r="I457" s="9" t="s">
        <v>353</v>
      </c>
      <c r="J457" s="88"/>
    </row>
    <row r="458">
      <c r="A458" s="120" t="s">
        <v>236</v>
      </c>
      <c r="B458" s="67" t="s">
        <v>1178</v>
      </c>
      <c r="C458" s="121">
        <v>45882.45517962963</v>
      </c>
      <c r="D458" s="122"/>
      <c r="E458" s="123"/>
      <c r="F458" s="124"/>
      <c r="G458" s="123" t="s">
        <v>15</v>
      </c>
      <c r="H458" s="67" t="s">
        <v>1179</v>
      </c>
      <c r="I458" s="123" t="s">
        <v>353</v>
      </c>
      <c r="J458" s="88"/>
    </row>
    <row r="459">
      <c r="A459" s="54" t="s">
        <v>236</v>
      </c>
      <c r="B459" s="125" t="s">
        <v>1180</v>
      </c>
      <c r="C459" s="91">
        <v>45729.705910324075</v>
      </c>
      <c r="D459" s="8"/>
      <c r="E459" s="9"/>
      <c r="F459" s="10"/>
      <c r="G459" s="9" t="s">
        <v>21</v>
      </c>
      <c r="H459" s="7" t="s">
        <v>1181</v>
      </c>
      <c r="I459" s="9" t="s">
        <v>353</v>
      </c>
      <c r="J459" s="88"/>
    </row>
    <row r="460">
      <c r="A460" s="54" t="s">
        <v>236</v>
      </c>
      <c r="B460" s="61" t="s">
        <v>1182</v>
      </c>
      <c r="C460" s="91">
        <v>45831.43587074074</v>
      </c>
      <c r="D460" s="8"/>
      <c r="E460" s="9"/>
      <c r="F460" s="10"/>
      <c r="G460" s="9" t="s">
        <v>18</v>
      </c>
      <c r="H460" s="7" t="s">
        <v>1183</v>
      </c>
      <c r="I460" s="9" t="s">
        <v>353</v>
      </c>
      <c r="J460" s="88"/>
    </row>
    <row r="461">
      <c r="A461" s="6" t="s">
        <v>9</v>
      </c>
      <c r="B461" s="7" t="s">
        <v>1184</v>
      </c>
      <c r="C461" s="91">
        <v>45825.61313149305</v>
      </c>
      <c r="D461" s="8">
        <f t="shared" ref="D461:D462" si="42">IFERROR(_xlfn.WORKDAY.INTL(C461, 2),"-")</f>
        <v>45827</v>
      </c>
      <c r="E461" s="9" t="s">
        <v>11</v>
      </c>
      <c r="F461" s="10"/>
      <c r="G461" s="9" t="s">
        <v>15</v>
      </c>
      <c r="H461" s="7" t="s">
        <v>1185</v>
      </c>
      <c r="I461" s="9" t="s">
        <v>353</v>
      </c>
      <c r="J461" s="88"/>
    </row>
    <row r="462">
      <c r="A462" s="6" t="s">
        <v>9</v>
      </c>
      <c r="B462" s="7" t="s">
        <v>1186</v>
      </c>
      <c r="C462" s="91">
        <v>45854.44194981482</v>
      </c>
      <c r="D462" s="8">
        <f t="shared" si="42"/>
        <v>45856</v>
      </c>
      <c r="E462" s="9" t="s">
        <v>11</v>
      </c>
      <c r="F462" s="10"/>
      <c r="G462" s="9" t="s">
        <v>18</v>
      </c>
      <c r="H462" s="7" t="s">
        <v>1187</v>
      </c>
      <c r="I462" s="9" t="s">
        <v>353</v>
      </c>
      <c r="J462" s="88"/>
    </row>
    <row r="463">
      <c r="A463" s="20" t="s">
        <v>98</v>
      </c>
      <c r="B463" s="9" t="s">
        <v>1188</v>
      </c>
      <c r="C463" s="91">
        <v>45790.48401935185</v>
      </c>
      <c r="D463" s="8"/>
      <c r="E463" s="9"/>
      <c r="F463" s="10"/>
      <c r="G463" s="9" t="s">
        <v>21</v>
      </c>
      <c r="H463" s="22" t="s">
        <v>1189</v>
      </c>
      <c r="I463" s="9" t="s">
        <v>353</v>
      </c>
      <c r="J463" s="88"/>
    </row>
    <row r="464">
      <c r="A464" s="102"/>
      <c r="B464" s="67" t="s">
        <v>1190</v>
      </c>
      <c r="C464" s="91">
        <v>45904.48261125</v>
      </c>
      <c r="D464" s="8"/>
      <c r="E464" s="9"/>
      <c r="F464" s="10"/>
      <c r="G464" s="9" t="s">
        <v>11</v>
      </c>
      <c r="H464" s="105" t="s">
        <v>1191</v>
      </c>
      <c r="I464" s="9" t="s">
        <v>353</v>
      </c>
      <c r="J464" s="88"/>
    </row>
    <row r="465">
      <c r="A465" s="6" t="s">
        <v>9</v>
      </c>
      <c r="B465" s="7" t="s">
        <v>1192</v>
      </c>
      <c r="C465" s="91">
        <v>45904.51239037037</v>
      </c>
      <c r="D465" s="8">
        <f t="shared" ref="D465:D466" si="43">IFERROR(_xlfn.WORKDAY.INTL(C465, 2),"-")</f>
        <v>45908</v>
      </c>
      <c r="E465" s="9" t="s">
        <v>11</v>
      </c>
      <c r="F465" s="10"/>
      <c r="G465" s="9" t="s">
        <v>18</v>
      </c>
      <c r="H465" s="7" t="s">
        <v>1193</v>
      </c>
      <c r="I465" s="9" t="s">
        <v>353</v>
      </c>
      <c r="J465" s="88"/>
    </row>
    <row r="466">
      <c r="A466" s="6" t="s">
        <v>9</v>
      </c>
      <c r="B466" s="7" t="s">
        <v>1194</v>
      </c>
      <c r="C466" s="91">
        <v>45888.55856767361</v>
      </c>
      <c r="D466" s="8">
        <f t="shared" si="43"/>
        <v>45890</v>
      </c>
      <c r="E466" s="9" t="s">
        <v>11</v>
      </c>
      <c r="F466" s="10"/>
      <c r="G466" s="9" t="s">
        <v>18</v>
      </c>
      <c r="H466" s="7" t="s">
        <v>1195</v>
      </c>
      <c r="I466" s="9" t="s">
        <v>353</v>
      </c>
      <c r="J466" s="88"/>
    </row>
    <row r="467">
      <c r="A467" s="54" t="s">
        <v>236</v>
      </c>
      <c r="B467" s="7" t="s">
        <v>1196</v>
      </c>
      <c r="C467" s="91">
        <v>45882.45493825231</v>
      </c>
      <c r="D467" s="8"/>
      <c r="E467" s="9"/>
      <c r="F467" s="10"/>
      <c r="G467" s="9" t="s">
        <v>15</v>
      </c>
      <c r="H467" s="7" t="s">
        <v>1197</v>
      </c>
      <c r="I467" s="9" t="s">
        <v>353</v>
      </c>
      <c r="J467" s="88"/>
    </row>
    <row r="468">
      <c r="A468" s="6" t="s">
        <v>9</v>
      </c>
      <c r="B468" s="7" t="s">
        <v>1198</v>
      </c>
      <c r="C468" s="91">
        <v>45904.39395356481</v>
      </c>
      <c r="D468" s="8">
        <f t="shared" ref="D468:D469" si="44">IFERROR(_xlfn.WORKDAY.INTL(C468, 2),"-")</f>
        <v>45908</v>
      </c>
      <c r="E468" s="9" t="s">
        <v>11</v>
      </c>
      <c r="F468" s="10"/>
      <c r="G468" s="9" t="s">
        <v>18</v>
      </c>
      <c r="H468" s="7" t="s">
        <v>1199</v>
      </c>
      <c r="I468" s="9" t="s">
        <v>353</v>
      </c>
      <c r="J468" s="88"/>
    </row>
    <row r="469">
      <c r="A469" s="6" t="s">
        <v>9</v>
      </c>
      <c r="B469" s="7" t="s">
        <v>1200</v>
      </c>
      <c r="C469" s="91">
        <v>45904.38567228009</v>
      </c>
      <c r="D469" s="8">
        <f t="shared" si="44"/>
        <v>45908</v>
      </c>
      <c r="E469" s="9" t="s">
        <v>11</v>
      </c>
      <c r="F469" s="10"/>
      <c r="G469" s="9" t="s">
        <v>15</v>
      </c>
      <c r="H469" s="7" t="s">
        <v>1201</v>
      </c>
      <c r="I469" s="9" t="s">
        <v>353</v>
      </c>
      <c r="J469" s="88"/>
    </row>
    <row r="470">
      <c r="A470" s="102" t="s">
        <v>624</v>
      </c>
      <c r="B470" s="7" t="s">
        <v>1202</v>
      </c>
      <c r="C470" s="91">
        <v>45869.46446885417</v>
      </c>
      <c r="D470" s="8"/>
      <c r="E470" s="9" t="s">
        <v>206</v>
      </c>
      <c r="F470" s="8"/>
      <c r="G470" s="9" t="s">
        <v>11</v>
      </c>
      <c r="H470" s="7" t="s">
        <v>1203</v>
      </c>
      <c r="I470" s="9" t="s">
        <v>353</v>
      </c>
      <c r="J470" s="88"/>
    </row>
    <row r="471">
      <c r="A471" s="20" t="s">
        <v>98</v>
      </c>
      <c r="B471" s="9" t="s">
        <v>1204</v>
      </c>
      <c r="C471" s="91">
        <v>45902.6737593287</v>
      </c>
      <c r="D471" s="8"/>
      <c r="E471" s="9"/>
      <c r="F471" s="10"/>
      <c r="G471" s="9" t="s">
        <v>15</v>
      </c>
      <c r="H471" s="7" t="s">
        <v>1205</v>
      </c>
      <c r="I471" s="9" t="s">
        <v>353</v>
      </c>
      <c r="J471" s="88"/>
    </row>
    <row r="472">
      <c r="A472" s="6" t="s">
        <v>9</v>
      </c>
      <c r="B472" s="7" t="s">
        <v>1206</v>
      </c>
      <c r="C472" s="91">
        <v>45694.42454516204</v>
      </c>
      <c r="D472" s="8">
        <f t="shared" ref="D472:D475" si="45">IFERROR(_xlfn.WORKDAY.INTL(C472, 2),"-")</f>
        <v>45698</v>
      </c>
      <c r="E472" s="9" t="s">
        <v>11</v>
      </c>
      <c r="F472" s="10"/>
      <c r="G472" s="9" t="s">
        <v>21</v>
      </c>
      <c r="H472" s="7" t="s">
        <v>1207</v>
      </c>
      <c r="I472" s="9" t="s">
        <v>353</v>
      </c>
      <c r="J472" s="88"/>
    </row>
    <row r="473">
      <c r="A473" s="6" t="s">
        <v>9</v>
      </c>
      <c r="B473" s="7" t="s">
        <v>1208</v>
      </c>
      <c r="C473" s="91">
        <v>45720.58846748843</v>
      </c>
      <c r="D473" s="8">
        <f t="shared" si="45"/>
        <v>45722</v>
      </c>
      <c r="E473" s="9" t="s">
        <v>11</v>
      </c>
      <c r="F473" s="10"/>
      <c r="G473" s="9" t="s">
        <v>21</v>
      </c>
      <c r="H473" s="7" t="s">
        <v>1209</v>
      </c>
      <c r="I473" s="9" t="s">
        <v>353</v>
      </c>
      <c r="J473" s="88"/>
    </row>
    <row r="474">
      <c r="A474" s="6" t="s">
        <v>9</v>
      </c>
      <c r="B474" s="7" t="s">
        <v>845</v>
      </c>
      <c r="C474" s="91">
        <v>45775.44814325232</v>
      </c>
      <c r="D474" s="8">
        <f t="shared" si="45"/>
        <v>45777</v>
      </c>
      <c r="E474" s="9" t="s">
        <v>11</v>
      </c>
      <c r="F474" s="10"/>
      <c r="G474" s="9" t="s">
        <v>21</v>
      </c>
      <c r="H474" s="7" t="s">
        <v>1210</v>
      </c>
      <c r="I474" s="9" t="s">
        <v>353</v>
      </c>
      <c r="J474" s="88"/>
    </row>
    <row r="475">
      <c r="A475" s="6" t="s">
        <v>9</v>
      </c>
      <c r="B475" s="7" t="s">
        <v>1211</v>
      </c>
      <c r="C475" s="91">
        <v>45880.459510671295</v>
      </c>
      <c r="D475" s="8">
        <f t="shared" si="45"/>
        <v>45882</v>
      </c>
      <c r="E475" s="9" t="s">
        <v>11</v>
      </c>
      <c r="F475" s="10"/>
      <c r="G475" s="9" t="s">
        <v>15</v>
      </c>
      <c r="H475" s="7" t="s">
        <v>1212</v>
      </c>
      <c r="I475" s="9" t="s">
        <v>353</v>
      </c>
      <c r="J475" s="88"/>
    </row>
    <row r="476">
      <c r="A476" s="102" t="s">
        <v>624</v>
      </c>
      <c r="B476" s="7" t="s">
        <v>1213</v>
      </c>
      <c r="C476" s="91">
        <v>45873.72337541667</v>
      </c>
      <c r="D476" s="8"/>
      <c r="E476" s="9" t="s">
        <v>206</v>
      </c>
      <c r="F476" s="10"/>
      <c r="G476" s="9" t="s">
        <v>15</v>
      </c>
      <c r="H476" s="7" t="s">
        <v>1214</v>
      </c>
      <c r="I476" s="9" t="s">
        <v>353</v>
      </c>
      <c r="J476" s="88"/>
    </row>
    <row r="477">
      <c r="A477" s="20" t="s">
        <v>98</v>
      </c>
      <c r="B477" s="9" t="s">
        <v>1215</v>
      </c>
      <c r="C477" s="91">
        <v>45901.70877769676</v>
      </c>
      <c r="D477" s="8"/>
      <c r="E477" s="9"/>
      <c r="F477" s="10"/>
      <c r="G477" s="9" t="s">
        <v>15</v>
      </c>
      <c r="H477" s="7" t="s">
        <v>1205</v>
      </c>
      <c r="I477" s="9" t="s">
        <v>353</v>
      </c>
      <c r="J477" s="88"/>
    </row>
    <row r="478">
      <c r="A478" s="20" t="s">
        <v>98</v>
      </c>
      <c r="B478" s="9" t="s">
        <v>1216</v>
      </c>
      <c r="C478" s="91">
        <v>45860.81958700232</v>
      </c>
      <c r="D478" s="8"/>
      <c r="E478" s="9"/>
      <c r="F478" s="10"/>
      <c r="G478" s="9" t="s">
        <v>15</v>
      </c>
      <c r="H478" s="22" t="s">
        <v>1217</v>
      </c>
      <c r="I478" s="9" t="s">
        <v>353</v>
      </c>
      <c r="J478" s="88"/>
    </row>
    <row r="479">
      <c r="A479" s="20" t="s">
        <v>98</v>
      </c>
      <c r="B479" s="9" t="s">
        <v>1060</v>
      </c>
      <c r="C479" s="91">
        <v>45897.38364443287</v>
      </c>
      <c r="D479" s="8"/>
      <c r="E479" s="9"/>
      <c r="F479" s="10"/>
      <c r="G479" s="9" t="s">
        <v>15</v>
      </c>
      <c r="H479" s="7" t="s">
        <v>1218</v>
      </c>
      <c r="I479" s="9" t="s">
        <v>353</v>
      </c>
      <c r="J479" s="88"/>
    </row>
    <row r="480">
      <c r="A480" s="78" t="s">
        <v>334</v>
      </c>
      <c r="B480" s="43" t="s">
        <v>1219</v>
      </c>
      <c r="C480" s="119">
        <v>45896.496540127315</v>
      </c>
      <c r="D480" s="80">
        <f t="shared" ref="D480:D482" si="46">IFERROR(_xlfn.WORKDAY.INTL(C480, 2),"-")</f>
        <v>45898</v>
      </c>
      <c r="E480" s="9" t="s">
        <v>1123</v>
      </c>
      <c r="F480" s="10"/>
      <c r="G480" s="9" t="s">
        <v>18</v>
      </c>
      <c r="H480" s="7" t="s">
        <v>1220</v>
      </c>
      <c r="I480" s="9" t="s">
        <v>353</v>
      </c>
      <c r="J480" s="88"/>
    </row>
    <row r="481">
      <c r="A481" s="78" t="s">
        <v>334</v>
      </c>
      <c r="B481" s="43" t="s">
        <v>1221</v>
      </c>
      <c r="C481" s="119">
        <v>45902.655381689816</v>
      </c>
      <c r="D481" s="80">
        <f t="shared" si="46"/>
        <v>45904</v>
      </c>
      <c r="E481" s="9"/>
      <c r="F481" s="10"/>
      <c r="G481" s="9" t="s">
        <v>220</v>
      </c>
      <c r="H481" s="11"/>
      <c r="I481" s="9" t="s">
        <v>353</v>
      </c>
      <c r="J481" s="88"/>
    </row>
    <row r="482">
      <c r="A482" s="78" t="s">
        <v>334</v>
      </c>
      <c r="B482" s="43" t="s">
        <v>1222</v>
      </c>
      <c r="C482" s="119">
        <v>45854.722885995376</v>
      </c>
      <c r="D482" s="80">
        <f t="shared" si="46"/>
        <v>45856</v>
      </c>
      <c r="E482" s="9" t="s">
        <v>1128</v>
      </c>
      <c r="F482" s="10"/>
      <c r="G482" s="9" t="s">
        <v>18</v>
      </c>
      <c r="H482" s="11"/>
      <c r="I482" s="9" t="s">
        <v>353</v>
      </c>
      <c r="J482" s="88"/>
    </row>
    <row r="483">
      <c r="A483" s="54" t="s">
        <v>236</v>
      </c>
      <c r="B483" s="7" t="s">
        <v>1223</v>
      </c>
      <c r="C483" s="91">
        <v>45861.36317833333</v>
      </c>
      <c r="D483" s="8"/>
      <c r="E483" s="9"/>
      <c r="F483" s="10"/>
      <c r="G483" s="9" t="s">
        <v>15</v>
      </c>
      <c r="H483" s="7" t="s">
        <v>1224</v>
      </c>
      <c r="I483" s="9" t="s">
        <v>353</v>
      </c>
      <c r="J483" s="88"/>
    </row>
    <row r="484">
      <c r="A484" s="54" t="s">
        <v>236</v>
      </c>
      <c r="B484" s="7" t="s">
        <v>1225</v>
      </c>
      <c r="C484" s="91">
        <v>45902.71645466435</v>
      </c>
      <c r="D484" s="8"/>
      <c r="E484" s="9"/>
      <c r="F484" s="10"/>
      <c r="G484" s="9"/>
      <c r="H484" s="7" t="s">
        <v>1226</v>
      </c>
      <c r="I484" s="9" t="s">
        <v>353</v>
      </c>
      <c r="J484" s="88"/>
    </row>
    <row r="485">
      <c r="A485" s="54" t="s">
        <v>236</v>
      </c>
      <c r="B485" s="7" t="s">
        <v>1227</v>
      </c>
      <c r="C485" s="91">
        <v>45901.6594565625</v>
      </c>
      <c r="D485" s="8"/>
      <c r="E485" s="9"/>
      <c r="F485" s="10"/>
      <c r="G485" s="9" t="s">
        <v>15</v>
      </c>
      <c r="H485" s="7" t="s">
        <v>1228</v>
      </c>
      <c r="I485" s="9" t="s">
        <v>353</v>
      </c>
      <c r="J485" s="88"/>
    </row>
    <row r="486">
      <c r="A486" s="20" t="s">
        <v>98</v>
      </c>
      <c r="B486" s="9" t="s">
        <v>1229</v>
      </c>
      <c r="C486" s="91">
        <v>45790.48441134259</v>
      </c>
      <c r="D486" s="8"/>
      <c r="E486" s="9"/>
      <c r="F486" s="10"/>
      <c r="G486" s="9" t="s">
        <v>18</v>
      </c>
      <c r="H486" s="22" t="s">
        <v>1230</v>
      </c>
      <c r="I486" s="9" t="s">
        <v>353</v>
      </c>
      <c r="J486" s="88"/>
    </row>
    <row r="487">
      <c r="A487" s="54" t="s">
        <v>236</v>
      </c>
      <c r="B487" s="100" t="s">
        <v>1231</v>
      </c>
      <c r="C487" s="91">
        <v>45594.66957251157</v>
      </c>
      <c r="D487" s="8">
        <f t="shared" ref="D487:D490" si="47">IFERROR(_xlfn.WORKDAY.INTL(C487, 2),"-")</f>
        <v>45596</v>
      </c>
      <c r="E487" s="9" t="s">
        <v>11</v>
      </c>
      <c r="F487" s="10"/>
      <c r="G487" s="9" t="s">
        <v>220</v>
      </c>
      <c r="H487" s="7" t="s">
        <v>1232</v>
      </c>
      <c r="I487" s="9" t="s">
        <v>353</v>
      </c>
      <c r="J487" s="88"/>
    </row>
    <row r="488">
      <c r="A488" s="78" t="s">
        <v>334</v>
      </c>
      <c r="B488" s="43" t="s">
        <v>1233</v>
      </c>
      <c r="C488" s="119">
        <v>45883.693497824075</v>
      </c>
      <c r="D488" s="80">
        <f t="shared" si="47"/>
        <v>45887</v>
      </c>
      <c r="E488" s="9"/>
      <c r="F488" s="10"/>
      <c r="G488" s="9" t="s">
        <v>15</v>
      </c>
      <c r="H488" s="7" t="s">
        <v>1234</v>
      </c>
      <c r="I488" s="9" t="s">
        <v>353</v>
      </c>
      <c r="J488" s="88"/>
    </row>
    <row r="489">
      <c r="A489" s="6" t="s">
        <v>9</v>
      </c>
      <c r="B489" s="7" t="s">
        <v>1235</v>
      </c>
      <c r="C489" s="91">
        <v>45715.36793087963</v>
      </c>
      <c r="D489" s="8">
        <f t="shared" si="47"/>
        <v>45719</v>
      </c>
      <c r="E489" s="9" t="s">
        <v>11</v>
      </c>
      <c r="F489" s="10"/>
      <c r="G489" s="9" t="s">
        <v>15</v>
      </c>
      <c r="H489" s="7" t="s">
        <v>1236</v>
      </c>
      <c r="I489" s="9" t="s">
        <v>353</v>
      </c>
      <c r="J489" s="88"/>
    </row>
    <row r="490">
      <c r="A490" s="6" t="s">
        <v>9</v>
      </c>
      <c r="B490" s="7" t="s">
        <v>1237</v>
      </c>
      <c r="C490" s="91">
        <v>45461.340485451394</v>
      </c>
      <c r="D490" s="8">
        <f t="shared" si="47"/>
        <v>45463</v>
      </c>
      <c r="E490" s="9" t="s">
        <v>11</v>
      </c>
      <c r="F490" s="8"/>
      <c r="G490" s="9" t="s">
        <v>15</v>
      </c>
      <c r="H490" s="7" t="s">
        <v>1238</v>
      </c>
      <c r="I490" s="9" t="s">
        <v>353</v>
      </c>
      <c r="J490" s="88"/>
    </row>
    <row r="491">
      <c r="A491" s="54" t="s">
        <v>236</v>
      </c>
      <c r="B491" s="7" t="s">
        <v>1239</v>
      </c>
      <c r="C491" s="91">
        <v>45901.45640113426</v>
      </c>
      <c r="D491" s="8"/>
      <c r="E491" s="9"/>
      <c r="F491" s="10"/>
      <c r="G491" s="9"/>
      <c r="H491" s="7" t="s">
        <v>1240</v>
      </c>
      <c r="I491" s="9" t="s">
        <v>353</v>
      </c>
      <c r="J491" s="88"/>
    </row>
    <row r="492">
      <c r="A492" s="78" t="s">
        <v>334</v>
      </c>
      <c r="B492" s="43" t="s">
        <v>1241</v>
      </c>
      <c r="C492" s="119">
        <v>45896.38775572917</v>
      </c>
      <c r="D492" s="80">
        <f t="shared" ref="D492:D493" si="48">IFERROR(_xlfn.WORKDAY.INTL(C492, 2),"-")</f>
        <v>45898</v>
      </c>
      <c r="E492" s="9" t="s">
        <v>1097</v>
      </c>
      <c r="F492" s="10"/>
      <c r="G492" s="9" t="s">
        <v>15</v>
      </c>
      <c r="H492" s="7" t="s">
        <v>1242</v>
      </c>
      <c r="I492" s="9" t="s">
        <v>353</v>
      </c>
      <c r="J492" s="88"/>
    </row>
    <row r="493">
      <c r="A493" s="78" t="s">
        <v>334</v>
      </c>
      <c r="B493" s="43" t="s">
        <v>1243</v>
      </c>
      <c r="C493" s="119">
        <v>45896.49639530093</v>
      </c>
      <c r="D493" s="80">
        <f t="shared" si="48"/>
        <v>45898</v>
      </c>
      <c r="E493" s="9" t="s">
        <v>1123</v>
      </c>
      <c r="F493" s="10"/>
      <c r="G493" s="9" t="s">
        <v>15</v>
      </c>
      <c r="H493" s="7" t="s">
        <v>1244</v>
      </c>
      <c r="I493" s="9" t="s">
        <v>353</v>
      </c>
      <c r="J493" s="88"/>
    </row>
    <row r="494">
      <c r="A494" s="20" t="s">
        <v>98</v>
      </c>
      <c r="B494" s="9" t="s">
        <v>1245</v>
      </c>
      <c r="C494" s="91">
        <v>45897.41848486111</v>
      </c>
      <c r="D494" s="8"/>
      <c r="E494" s="9"/>
      <c r="F494" s="10"/>
      <c r="G494" s="9" t="s">
        <v>15</v>
      </c>
      <c r="H494" s="7" t="s">
        <v>1246</v>
      </c>
      <c r="I494" s="9" t="s">
        <v>353</v>
      </c>
      <c r="J494" s="88"/>
    </row>
    <row r="495">
      <c r="A495" s="78" t="s">
        <v>334</v>
      </c>
      <c r="B495" s="43" t="s">
        <v>1247</v>
      </c>
      <c r="C495" s="119">
        <v>45880.5922024537</v>
      </c>
      <c r="D495" s="80">
        <f t="shared" ref="D495:D496" si="49">IFERROR(_xlfn.WORKDAY.INTL(C495, 2),"-")</f>
        <v>45882</v>
      </c>
      <c r="E495" s="9" t="s">
        <v>1097</v>
      </c>
      <c r="F495" s="10"/>
      <c r="G495" s="9" t="s">
        <v>18</v>
      </c>
      <c r="H495" s="7" t="s">
        <v>1248</v>
      </c>
      <c r="I495" s="9" t="s">
        <v>353</v>
      </c>
      <c r="J495" s="88"/>
    </row>
    <row r="496">
      <c r="A496" s="78" t="s">
        <v>334</v>
      </c>
      <c r="B496" s="43" t="s">
        <v>1249</v>
      </c>
      <c r="C496" s="119">
        <v>45888.461030289356</v>
      </c>
      <c r="D496" s="80">
        <f t="shared" si="49"/>
        <v>45890</v>
      </c>
      <c r="E496" s="9" t="s">
        <v>1097</v>
      </c>
      <c r="F496" s="10"/>
      <c r="G496" s="9" t="s">
        <v>18</v>
      </c>
      <c r="H496" s="7" t="s">
        <v>1250</v>
      </c>
      <c r="I496" s="9" t="s">
        <v>353</v>
      </c>
      <c r="J496" s="88"/>
    </row>
    <row r="497">
      <c r="A497" s="20" t="s">
        <v>98</v>
      </c>
      <c r="B497" s="9" t="s">
        <v>1251</v>
      </c>
      <c r="C497" s="91">
        <v>45894.55965297454</v>
      </c>
      <c r="D497" s="8"/>
      <c r="E497" s="9"/>
      <c r="F497" s="10"/>
      <c r="G497" s="9" t="s">
        <v>15</v>
      </c>
      <c r="H497" s="7" t="s">
        <v>1252</v>
      </c>
      <c r="I497" s="9" t="s">
        <v>353</v>
      </c>
      <c r="J497" s="88"/>
    </row>
    <row r="498">
      <c r="A498" s="6" t="s">
        <v>9</v>
      </c>
      <c r="B498" s="7" t="s">
        <v>1253</v>
      </c>
      <c r="C498" s="91">
        <v>45896.54497207176</v>
      </c>
      <c r="D498" s="8">
        <f t="shared" ref="D498:D499" si="50">IFERROR(_xlfn.WORKDAY.INTL(C498, 2),"-")</f>
        <v>45898</v>
      </c>
      <c r="E498" s="9" t="s">
        <v>11</v>
      </c>
      <c r="F498" s="10"/>
      <c r="G498" s="9" t="s">
        <v>15</v>
      </c>
      <c r="H498" s="7" t="s">
        <v>1254</v>
      </c>
      <c r="I498" s="9" t="s">
        <v>353</v>
      </c>
      <c r="J498" s="88"/>
    </row>
    <row r="499">
      <c r="A499" s="6" t="s">
        <v>9</v>
      </c>
      <c r="B499" s="7" t="s">
        <v>1255</v>
      </c>
      <c r="C499" s="91">
        <v>45882.50169961806</v>
      </c>
      <c r="D499" s="8">
        <f t="shared" si="50"/>
        <v>45884</v>
      </c>
      <c r="E499" s="9" t="s">
        <v>11</v>
      </c>
      <c r="F499" s="10"/>
      <c r="G499" s="9" t="s">
        <v>15</v>
      </c>
      <c r="H499" s="7" t="s">
        <v>1256</v>
      </c>
      <c r="I499" s="9" t="s">
        <v>353</v>
      </c>
      <c r="J499" s="88"/>
    </row>
    <row r="500">
      <c r="A500" s="102" t="s">
        <v>624</v>
      </c>
      <c r="B500" s="111" t="s">
        <v>1257</v>
      </c>
      <c r="C500" s="91">
        <v>45869.464513831015</v>
      </c>
      <c r="D500" s="8"/>
      <c r="E500" s="9" t="s">
        <v>206</v>
      </c>
      <c r="F500" s="10"/>
      <c r="G500" s="9" t="s">
        <v>18</v>
      </c>
      <c r="H500" s="7" t="s">
        <v>1258</v>
      </c>
      <c r="I500" s="9" t="s">
        <v>353</v>
      </c>
      <c r="J500" s="88"/>
    </row>
    <row r="501">
      <c r="A501" s="20" t="s">
        <v>98</v>
      </c>
      <c r="B501" s="9" t="s">
        <v>1259</v>
      </c>
      <c r="C501" s="91">
        <v>45888.34694366898</v>
      </c>
      <c r="D501" s="8"/>
      <c r="E501" s="9"/>
      <c r="F501" s="10"/>
      <c r="G501" s="9" t="s">
        <v>15</v>
      </c>
      <c r="H501" s="7" t="s">
        <v>1260</v>
      </c>
      <c r="I501" s="9" t="s">
        <v>353</v>
      </c>
      <c r="J501" s="88"/>
    </row>
    <row r="502">
      <c r="A502" s="54" t="s">
        <v>236</v>
      </c>
      <c r="B502" s="7" t="s">
        <v>1261</v>
      </c>
      <c r="C502" s="91">
        <v>45876.72674453704</v>
      </c>
      <c r="D502" s="8"/>
      <c r="E502" s="9"/>
      <c r="F502" s="10"/>
      <c r="G502" s="9" t="s">
        <v>15</v>
      </c>
      <c r="H502" s="7" t="s">
        <v>1262</v>
      </c>
      <c r="I502" s="9" t="s">
        <v>353</v>
      </c>
      <c r="J502" s="88"/>
    </row>
    <row r="503">
      <c r="A503" s="54" t="s">
        <v>236</v>
      </c>
      <c r="B503" s="7" t="s">
        <v>1263</v>
      </c>
      <c r="C503" s="91">
        <v>45876.72492450231</v>
      </c>
      <c r="D503" s="8"/>
      <c r="E503" s="9"/>
      <c r="F503" s="10"/>
      <c r="G503" s="9" t="s">
        <v>15</v>
      </c>
      <c r="H503" s="7" t="s">
        <v>1264</v>
      </c>
      <c r="I503" s="9" t="s">
        <v>353</v>
      </c>
      <c r="J503" s="88"/>
    </row>
    <row r="504">
      <c r="A504" s="54" t="s">
        <v>236</v>
      </c>
      <c r="B504" s="7" t="s">
        <v>1265</v>
      </c>
      <c r="C504" s="91">
        <v>45882.45484356482</v>
      </c>
      <c r="D504" s="8"/>
      <c r="E504" s="9"/>
      <c r="F504" s="10"/>
      <c r="G504" s="9" t="s">
        <v>18</v>
      </c>
      <c r="H504" s="7" t="s">
        <v>1266</v>
      </c>
      <c r="I504" s="9" t="s">
        <v>353</v>
      </c>
      <c r="J504" s="88"/>
    </row>
    <row r="505">
      <c r="A505" s="78" t="s">
        <v>334</v>
      </c>
      <c r="B505" s="43" t="s">
        <v>1267</v>
      </c>
      <c r="C505" s="119">
        <v>45888.46059833333</v>
      </c>
      <c r="D505" s="80">
        <f t="shared" ref="D505:D508" si="51">IFERROR(_xlfn.WORKDAY.INTL(C505, 2),"-")</f>
        <v>45890</v>
      </c>
      <c r="E505" s="9" t="s">
        <v>1123</v>
      </c>
      <c r="F505" s="10"/>
      <c r="G505" s="9" t="s">
        <v>15</v>
      </c>
      <c r="H505" s="7" t="s">
        <v>1268</v>
      </c>
      <c r="I505" s="9" t="s">
        <v>353</v>
      </c>
      <c r="J505" s="88"/>
    </row>
    <row r="506">
      <c r="A506" s="78" t="s">
        <v>334</v>
      </c>
      <c r="B506" s="43" t="s">
        <v>1269</v>
      </c>
      <c r="C506" s="119">
        <v>45887.59731377315</v>
      </c>
      <c r="D506" s="80">
        <f t="shared" si="51"/>
        <v>45889</v>
      </c>
      <c r="E506" s="9"/>
      <c r="F506" s="10"/>
      <c r="G506" s="9" t="s">
        <v>18</v>
      </c>
      <c r="H506" s="7" t="s">
        <v>1270</v>
      </c>
      <c r="I506" s="9" t="s">
        <v>353</v>
      </c>
      <c r="J506" s="88"/>
    </row>
    <row r="507">
      <c r="A507" s="78" t="s">
        <v>334</v>
      </c>
      <c r="B507" s="43" t="s">
        <v>1271</v>
      </c>
      <c r="C507" s="119">
        <v>45887.476819999996</v>
      </c>
      <c r="D507" s="80">
        <f t="shared" si="51"/>
        <v>45889</v>
      </c>
      <c r="E507" s="9" t="s">
        <v>1123</v>
      </c>
      <c r="F507" s="10"/>
      <c r="G507" s="9" t="s">
        <v>18</v>
      </c>
      <c r="H507" s="7" t="s">
        <v>1272</v>
      </c>
      <c r="I507" s="9" t="s">
        <v>353</v>
      </c>
      <c r="J507" s="88"/>
    </row>
    <row r="508">
      <c r="A508" s="6" t="s">
        <v>9</v>
      </c>
      <c r="B508" s="7" t="s">
        <v>1273</v>
      </c>
      <c r="C508" s="91">
        <v>45895.41566806713</v>
      </c>
      <c r="D508" s="8">
        <f t="shared" si="51"/>
        <v>45897</v>
      </c>
      <c r="E508" s="9" t="s">
        <v>11</v>
      </c>
      <c r="F508" s="10"/>
      <c r="G508" s="9" t="s">
        <v>18</v>
      </c>
      <c r="H508" s="7" t="s">
        <v>1274</v>
      </c>
      <c r="I508" s="9" t="s">
        <v>353</v>
      </c>
      <c r="J508" s="88"/>
    </row>
    <row r="509">
      <c r="A509" s="20" t="s">
        <v>98</v>
      </c>
      <c r="B509" s="9" t="s">
        <v>1275</v>
      </c>
      <c r="C509" s="91">
        <v>45832.37497712963</v>
      </c>
      <c r="D509" s="8"/>
      <c r="E509" s="9"/>
      <c r="F509" s="10"/>
      <c r="G509" s="9" t="s">
        <v>18</v>
      </c>
      <c r="H509" s="22" t="s">
        <v>1276</v>
      </c>
      <c r="I509" s="9" t="s">
        <v>353</v>
      </c>
      <c r="J509" s="88"/>
    </row>
    <row r="510">
      <c r="A510" s="20" t="s">
        <v>98</v>
      </c>
      <c r="B510" s="9" t="s">
        <v>1277</v>
      </c>
      <c r="C510" s="91">
        <v>45889.49212851852</v>
      </c>
      <c r="D510" s="8"/>
      <c r="E510" s="9"/>
      <c r="F510" s="10"/>
      <c r="G510" s="9" t="s">
        <v>18</v>
      </c>
      <c r="H510" s="7" t="s">
        <v>1278</v>
      </c>
      <c r="I510" s="9" t="s">
        <v>353</v>
      </c>
      <c r="J510" s="88"/>
    </row>
    <row r="511">
      <c r="A511" s="20" t="s">
        <v>98</v>
      </c>
      <c r="B511" s="9" t="s">
        <v>1279</v>
      </c>
      <c r="C511" s="91">
        <v>45883.42141494213</v>
      </c>
      <c r="D511" s="8"/>
      <c r="E511" s="9"/>
      <c r="F511" s="10"/>
      <c r="G511" s="9" t="s">
        <v>18</v>
      </c>
      <c r="H511" s="7" t="s">
        <v>1280</v>
      </c>
      <c r="I511" s="9" t="s">
        <v>353</v>
      </c>
      <c r="J511" s="88"/>
    </row>
    <row r="512">
      <c r="A512" s="78" t="s">
        <v>334</v>
      </c>
      <c r="B512" s="43" t="s">
        <v>1281</v>
      </c>
      <c r="C512" s="119">
        <v>45887.47582815972</v>
      </c>
      <c r="D512" s="80">
        <f>IFERROR(_xlfn.WORKDAY.INTL(C512, 2),"-")</f>
        <v>45889</v>
      </c>
      <c r="E512" s="9" t="s">
        <v>1097</v>
      </c>
      <c r="F512" s="10"/>
      <c r="G512" s="9" t="s">
        <v>18</v>
      </c>
      <c r="H512" s="7" t="s">
        <v>1282</v>
      </c>
      <c r="I512" s="9" t="s">
        <v>353</v>
      </c>
      <c r="J512" s="88"/>
    </row>
    <row r="513">
      <c r="A513" s="20" t="s">
        <v>98</v>
      </c>
      <c r="B513" s="9" t="s">
        <v>1283</v>
      </c>
      <c r="C513" s="91">
        <v>45883.42079891203</v>
      </c>
      <c r="D513" s="8"/>
      <c r="E513" s="9"/>
      <c r="F513" s="10"/>
      <c r="G513" s="9" t="s">
        <v>15</v>
      </c>
      <c r="H513" s="7" t="s">
        <v>1280</v>
      </c>
      <c r="I513" s="9" t="s">
        <v>353</v>
      </c>
      <c r="J513" s="88"/>
    </row>
    <row r="514">
      <c r="A514" s="54" t="s">
        <v>236</v>
      </c>
      <c r="B514" s="100" t="s">
        <v>1284</v>
      </c>
      <c r="C514" s="91">
        <v>45594.66972810186</v>
      </c>
      <c r="D514" s="8">
        <f t="shared" ref="D514:D516" si="52">IFERROR(_xlfn.WORKDAY.INTL(C514, 2),"-")</f>
        <v>45596</v>
      </c>
      <c r="E514" s="9" t="s">
        <v>11</v>
      </c>
      <c r="F514" s="10"/>
      <c r="G514" s="9" t="s">
        <v>89</v>
      </c>
      <c r="H514" s="7" t="s">
        <v>1285</v>
      </c>
      <c r="I514" s="9" t="s">
        <v>353</v>
      </c>
      <c r="J514" s="88"/>
    </row>
    <row r="515">
      <c r="A515" s="54" t="s">
        <v>236</v>
      </c>
      <c r="B515" s="100" t="s">
        <v>1286</v>
      </c>
      <c r="C515" s="91">
        <v>45594.670241747684</v>
      </c>
      <c r="D515" s="8">
        <f t="shared" si="52"/>
        <v>45596</v>
      </c>
      <c r="E515" s="9" t="s">
        <v>11</v>
      </c>
      <c r="F515" s="10"/>
      <c r="G515" s="9" t="s">
        <v>89</v>
      </c>
      <c r="H515" s="7" t="s">
        <v>1287</v>
      </c>
      <c r="I515" s="9" t="s">
        <v>353</v>
      </c>
      <c r="J515" s="88"/>
    </row>
    <row r="516">
      <c r="A516" s="6" t="s">
        <v>9</v>
      </c>
      <c r="B516" s="7" t="s">
        <v>1288</v>
      </c>
      <c r="C516" s="91">
        <v>45889.45854395833</v>
      </c>
      <c r="D516" s="8">
        <f t="shared" si="52"/>
        <v>45891</v>
      </c>
      <c r="E516" s="9" t="s">
        <v>11</v>
      </c>
      <c r="F516" s="10"/>
      <c r="G516" s="9" t="s">
        <v>15</v>
      </c>
      <c r="H516" s="7" t="s">
        <v>1289</v>
      </c>
      <c r="I516" s="9" t="s">
        <v>353</v>
      </c>
      <c r="J516" s="88"/>
    </row>
    <row r="517">
      <c r="A517" s="20" t="s">
        <v>98</v>
      </c>
      <c r="B517" s="9" t="s">
        <v>1290</v>
      </c>
      <c r="C517" s="91">
        <v>45890.57756723379</v>
      </c>
      <c r="D517" s="8"/>
      <c r="E517" s="9"/>
      <c r="F517" s="10"/>
      <c r="G517" s="9" t="s">
        <v>15</v>
      </c>
      <c r="H517" s="7" t="s">
        <v>1291</v>
      </c>
      <c r="I517" s="9" t="s">
        <v>353</v>
      </c>
      <c r="J517" s="88"/>
    </row>
    <row r="518">
      <c r="A518" s="54" t="s">
        <v>236</v>
      </c>
      <c r="B518" s="7" t="s">
        <v>1292</v>
      </c>
      <c r="C518" s="91">
        <v>45854.621549247684</v>
      </c>
      <c r="D518" s="8"/>
      <c r="E518" s="9"/>
      <c r="F518" s="10"/>
      <c r="G518" s="9" t="s">
        <v>15</v>
      </c>
      <c r="H518" s="7" t="s">
        <v>1293</v>
      </c>
      <c r="I518" s="9" t="s">
        <v>353</v>
      </c>
      <c r="J518" s="88"/>
    </row>
    <row r="519">
      <c r="A519" s="20" t="s">
        <v>98</v>
      </c>
      <c r="B519" s="9" t="s">
        <v>1294</v>
      </c>
      <c r="C519" s="91">
        <v>45863.46689077547</v>
      </c>
      <c r="D519" s="8"/>
      <c r="E519" s="9"/>
      <c r="F519" s="10"/>
      <c r="G519" s="9" t="s">
        <v>15</v>
      </c>
      <c r="H519" s="7" t="s">
        <v>1295</v>
      </c>
      <c r="I519" s="9" t="s">
        <v>353</v>
      </c>
      <c r="J519" s="88"/>
    </row>
    <row r="520">
      <c r="A520" s="54" t="s">
        <v>236</v>
      </c>
      <c r="B520" s="7" t="s">
        <v>1296</v>
      </c>
      <c r="C520" s="91">
        <v>45887.71872293981</v>
      </c>
      <c r="D520" s="8"/>
      <c r="E520" s="9"/>
      <c r="F520" s="10"/>
      <c r="G520" s="9" t="s">
        <v>15</v>
      </c>
      <c r="H520" s="7" t="s">
        <v>1297</v>
      </c>
      <c r="I520" s="9" t="s">
        <v>353</v>
      </c>
      <c r="J520" s="88"/>
    </row>
    <row r="521">
      <c r="A521" s="20" t="s">
        <v>98</v>
      </c>
      <c r="B521" s="9" t="s">
        <v>1298</v>
      </c>
      <c r="C521" s="91">
        <v>45824.34500299768</v>
      </c>
      <c r="D521" s="8"/>
      <c r="E521" s="9"/>
      <c r="F521" s="10"/>
      <c r="G521" s="9" t="s">
        <v>21</v>
      </c>
      <c r="H521" s="7" t="s">
        <v>1299</v>
      </c>
      <c r="I521" s="9" t="s">
        <v>353</v>
      </c>
      <c r="J521" s="88"/>
    </row>
    <row r="522">
      <c r="A522" s="6" t="s">
        <v>9</v>
      </c>
      <c r="B522" s="7" t="s">
        <v>1300</v>
      </c>
      <c r="C522" s="91">
        <v>45363.581994004635</v>
      </c>
      <c r="D522" s="8">
        <f t="shared" ref="D522:D526" si="53">IFERROR(_xlfn.WORKDAY.INTL(C522, 2),"-")</f>
        <v>45365</v>
      </c>
      <c r="E522" s="9" t="s">
        <v>88</v>
      </c>
      <c r="F522" s="10"/>
      <c r="G522" s="9" t="s">
        <v>15</v>
      </c>
      <c r="H522" s="7" t="s">
        <v>1301</v>
      </c>
      <c r="I522" s="9" t="s">
        <v>353</v>
      </c>
      <c r="J522" s="88"/>
    </row>
    <row r="523">
      <c r="A523" s="6" t="s">
        <v>9</v>
      </c>
      <c r="B523" s="7" t="s">
        <v>1302</v>
      </c>
      <c r="C523" s="91">
        <v>45792.574432928246</v>
      </c>
      <c r="D523" s="8">
        <f t="shared" si="53"/>
        <v>45796</v>
      </c>
      <c r="E523" s="9" t="s">
        <v>11</v>
      </c>
      <c r="F523" s="10"/>
      <c r="G523" s="9" t="s">
        <v>15</v>
      </c>
      <c r="H523" s="7" t="s">
        <v>1303</v>
      </c>
      <c r="I523" s="9" t="s">
        <v>353</v>
      </c>
      <c r="J523" s="88"/>
    </row>
    <row r="524">
      <c r="A524" s="6" t="s">
        <v>9</v>
      </c>
      <c r="B524" s="7" t="s">
        <v>1304</v>
      </c>
      <c r="C524" s="91">
        <v>45742.483174594905</v>
      </c>
      <c r="D524" s="8">
        <f t="shared" si="53"/>
        <v>45744</v>
      </c>
      <c r="E524" s="9" t="s">
        <v>11</v>
      </c>
      <c r="F524" s="10"/>
      <c r="G524" s="9" t="s">
        <v>89</v>
      </c>
      <c r="H524" s="7" t="s">
        <v>1305</v>
      </c>
      <c r="I524" s="9" t="s">
        <v>353</v>
      </c>
      <c r="J524" s="88"/>
    </row>
    <row r="525">
      <c r="A525" s="78" t="s">
        <v>334</v>
      </c>
      <c r="B525" s="43" t="s">
        <v>1306</v>
      </c>
      <c r="C525" s="119">
        <v>45868.72645965278</v>
      </c>
      <c r="D525" s="80">
        <f t="shared" si="53"/>
        <v>45870</v>
      </c>
      <c r="E525" s="9" t="s">
        <v>1123</v>
      </c>
      <c r="F525" s="10"/>
      <c r="G525" s="9" t="s">
        <v>18</v>
      </c>
      <c r="H525" s="7" t="s">
        <v>1307</v>
      </c>
      <c r="I525" s="9" t="s">
        <v>353</v>
      </c>
      <c r="J525" s="88"/>
    </row>
    <row r="526">
      <c r="A526" s="78" t="s">
        <v>334</v>
      </c>
      <c r="B526" s="43" t="s">
        <v>1308</v>
      </c>
      <c r="C526" s="119">
        <v>45867.494515810184</v>
      </c>
      <c r="D526" s="80">
        <f t="shared" si="53"/>
        <v>45869</v>
      </c>
      <c r="E526" s="9" t="s">
        <v>1123</v>
      </c>
      <c r="F526" s="10"/>
      <c r="G526" s="9" t="s">
        <v>1309</v>
      </c>
      <c r="H526" s="7" t="s">
        <v>1310</v>
      </c>
      <c r="I526" s="9" t="s">
        <v>353</v>
      </c>
      <c r="J526" s="88"/>
    </row>
    <row r="527">
      <c r="A527" s="20" t="s">
        <v>98</v>
      </c>
      <c r="B527" s="9" t="s">
        <v>1311</v>
      </c>
      <c r="C527" s="91">
        <v>45883.73423159722</v>
      </c>
      <c r="D527" s="8"/>
      <c r="E527" s="9"/>
      <c r="F527" s="10"/>
      <c r="G527" s="9" t="s">
        <v>15</v>
      </c>
      <c r="H527" s="7" t="s">
        <v>1312</v>
      </c>
      <c r="I527" s="9" t="s">
        <v>353</v>
      </c>
      <c r="J527" s="88"/>
    </row>
    <row r="528">
      <c r="A528" s="6" t="s">
        <v>9</v>
      </c>
      <c r="B528" s="7" t="s">
        <v>1313</v>
      </c>
      <c r="C528" s="91">
        <v>45888.51433334491</v>
      </c>
      <c r="D528" s="8">
        <f>IFERROR(_xlfn.WORKDAY.INTL(C528, 2),"-")</f>
        <v>45890</v>
      </c>
      <c r="E528" s="9" t="s">
        <v>11</v>
      </c>
      <c r="F528" s="10"/>
      <c r="G528" s="9" t="s">
        <v>15</v>
      </c>
      <c r="H528" s="7" t="s">
        <v>1314</v>
      </c>
      <c r="I528" s="9" t="s">
        <v>353</v>
      </c>
      <c r="J528" s="88"/>
    </row>
    <row r="529">
      <c r="A529" s="102" t="s">
        <v>624</v>
      </c>
      <c r="B529" s="7" t="s">
        <v>1315</v>
      </c>
      <c r="C529" s="91">
        <v>45869.464905243054</v>
      </c>
      <c r="D529" s="8"/>
      <c r="E529" s="9" t="s">
        <v>206</v>
      </c>
      <c r="F529" s="10"/>
      <c r="G529" s="9" t="s">
        <v>15</v>
      </c>
      <c r="H529" s="7" t="s">
        <v>1316</v>
      </c>
      <c r="I529" s="9" t="s">
        <v>353</v>
      </c>
      <c r="J529" s="88"/>
    </row>
    <row r="530">
      <c r="A530" s="6" t="s">
        <v>9</v>
      </c>
      <c r="B530" s="7" t="s">
        <v>1315</v>
      </c>
      <c r="C530" s="91">
        <v>45888.43993548611</v>
      </c>
      <c r="D530" s="8">
        <f t="shared" ref="D530:D532" si="54">IFERROR(_xlfn.WORKDAY.INTL(C530, 2),"-")</f>
        <v>45890</v>
      </c>
      <c r="E530" s="9" t="s">
        <v>11</v>
      </c>
      <c r="F530" s="10"/>
      <c r="G530" s="9" t="s">
        <v>18</v>
      </c>
      <c r="H530" s="7" t="s">
        <v>1317</v>
      </c>
      <c r="I530" s="9" t="s">
        <v>353</v>
      </c>
      <c r="J530" s="88"/>
    </row>
    <row r="531">
      <c r="A531" s="6" t="s">
        <v>9</v>
      </c>
      <c r="B531" s="7" t="s">
        <v>1318</v>
      </c>
      <c r="C531" s="91">
        <v>45887.49206493056</v>
      </c>
      <c r="D531" s="8">
        <f t="shared" si="54"/>
        <v>45889</v>
      </c>
      <c r="E531" s="9" t="s">
        <v>11</v>
      </c>
      <c r="F531" s="10"/>
      <c r="G531" s="9" t="s">
        <v>15</v>
      </c>
      <c r="H531" s="7" t="s">
        <v>1319</v>
      </c>
      <c r="I531" s="9" t="s">
        <v>353</v>
      </c>
      <c r="J531" s="88"/>
    </row>
    <row r="532">
      <c r="A532" s="78" t="s">
        <v>334</v>
      </c>
      <c r="B532" s="43" t="s">
        <v>1320</v>
      </c>
      <c r="C532" s="119">
        <v>45880.594607418985</v>
      </c>
      <c r="D532" s="80">
        <f t="shared" si="54"/>
        <v>45882</v>
      </c>
      <c r="E532" s="9" t="s">
        <v>1123</v>
      </c>
      <c r="F532" s="10"/>
      <c r="G532" s="9" t="s">
        <v>15</v>
      </c>
      <c r="H532" s="7" t="s">
        <v>1321</v>
      </c>
      <c r="I532" s="9" t="s">
        <v>353</v>
      </c>
      <c r="J532" s="88"/>
    </row>
    <row r="533">
      <c r="A533" s="20" t="s">
        <v>98</v>
      </c>
      <c r="B533" s="9" t="s">
        <v>1322</v>
      </c>
      <c r="C533" s="91">
        <v>45883.39447359953</v>
      </c>
      <c r="D533" s="8"/>
      <c r="E533" s="9"/>
      <c r="F533" s="10"/>
      <c r="G533" s="9" t="s">
        <v>15</v>
      </c>
      <c r="H533" s="7" t="s">
        <v>1323</v>
      </c>
      <c r="I533" s="9" t="s">
        <v>353</v>
      </c>
      <c r="J533" s="88"/>
    </row>
    <row r="534">
      <c r="A534" s="6" t="s">
        <v>9</v>
      </c>
      <c r="B534" s="7" t="s">
        <v>1324</v>
      </c>
      <c r="C534" s="91">
        <v>45887.71603739583</v>
      </c>
      <c r="D534" s="8">
        <f t="shared" ref="D534:D535" si="55">IFERROR(_xlfn.WORKDAY.INTL(C534, 2),"-")</f>
        <v>45889</v>
      </c>
      <c r="E534" s="9" t="s">
        <v>11</v>
      </c>
      <c r="F534" s="10"/>
      <c r="G534" s="9" t="s">
        <v>18</v>
      </c>
      <c r="H534" s="7" t="s">
        <v>437</v>
      </c>
      <c r="I534" s="9" t="s">
        <v>353</v>
      </c>
      <c r="J534" s="88"/>
    </row>
    <row r="535">
      <c r="A535" s="78" t="s">
        <v>334</v>
      </c>
      <c r="B535" s="43" t="s">
        <v>1325</v>
      </c>
      <c r="C535" s="119">
        <v>45887.477211122685</v>
      </c>
      <c r="D535" s="80">
        <f t="shared" si="55"/>
        <v>45889</v>
      </c>
      <c r="E535" s="9"/>
      <c r="F535" s="10"/>
      <c r="G535" s="9" t="s">
        <v>18</v>
      </c>
      <c r="H535" s="11"/>
      <c r="I535" s="9" t="s">
        <v>353</v>
      </c>
      <c r="J535" s="88"/>
    </row>
    <row r="536">
      <c r="A536" s="20" t="s">
        <v>98</v>
      </c>
      <c r="B536" s="9" t="s">
        <v>1326</v>
      </c>
      <c r="C536" s="91">
        <v>45883.42344501158</v>
      </c>
      <c r="D536" s="8"/>
      <c r="E536" s="9"/>
      <c r="F536" s="10"/>
      <c r="G536" s="9" t="s">
        <v>15</v>
      </c>
      <c r="H536" s="7" t="s">
        <v>1323</v>
      </c>
      <c r="I536" s="9" t="s">
        <v>353</v>
      </c>
      <c r="J536" s="88"/>
    </row>
    <row r="537">
      <c r="A537" s="54" t="s">
        <v>236</v>
      </c>
      <c r="B537" s="7" t="s">
        <v>1327</v>
      </c>
      <c r="C537" s="91">
        <v>45876.72650217592</v>
      </c>
      <c r="D537" s="8"/>
      <c r="E537" s="9"/>
      <c r="F537" s="10"/>
      <c r="G537" s="9" t="s">
        <v>18</v>
      </c>
      <c r="H537" s="7" t="s">
        <v>1328</v>
      </c>
      <c r="I537" s="9" t="s">
        <v>353</v>
      </c>
      <c r="J537" s="88"/>
    </row>
    <row r="538">
      <c r="A538" s="54" t="s">
        <v>236</v>
      </c>
      <c r="B538" s="7" t="s">
        <v>1329</v>
      </c>
      <c r="C538" s="91">
        <v>45855.67375140046</v>
      </c>
      <c r="D538" s="8"/>
      <c r="E538" s="9"/>
      <c r="F538" s="10"/>
      <c r="G538" s="9" t="s">
        <v>21</v>
      </c>
      <c r="H538" s="7" t="s">
        <v>1330</v>
      </c>
      <c r="I538" s="9" t="s">
        <v>353</v>
      </c>
      <c r="J538" s="88"/>
    </row>
    <row r="539">
      <c r="A539" s="78" t="s">
        <v>334</v>
      </c>
      <c r="B539" s="43" t="s">
        <v>1331</v>
      </c>
      <c r="C539" s="119">
        <v>45869.50161222222</v>
      </c>
      <c r="D539" s="80">
        <f t="shared" ref="D539:D540" si="56">IFERROR(_xlfn.WORKDAY.INTL(C539, 2),"-")</f>
        <v>45873</v>
      </c>
      <c r="E539" s="9" t="s">
        <v>1128</v>
      </c>
      <c r="F539" s="10"/>
      <c r="G539" s="9" t="s">
        <v>15</v>
      </c>
      <c r="H539" s="7" t="s">
        <v>1332</v>
      </c>
      <c r="I539" s="9" t="s">
        <v>353</v>
      </c>
      <c r="J539" s="88"/>
    </row>
    <row r="540">
      <c r="A540" s="78" t="s">
        <v>334</v>
      </c>
      <c r="B540" s="43" t="s">
        <v>1333</v>
      </c>
      <c r="C540" s="119">
        <v>45880.59420739583</v>
      </c>
      <c r="D540" s="80">
        <f t="shared" si="56"/>
        <v>45882</v>
      </c>
      <c r="E540" s="9" t="s">
        <v>1123</v>
      </c>
      <c r="F540" s="10"/>
      <c r="G540" s="9" t="s">
        <v>18</v>
      </c>
      <c r="H540" s="7" t="s">
        <v>1334</v>
      </c>
      <c r="I540" s="9" t="s">
        <v>353</v>
      </c>
      <c r="J540" s="88"/>
    </row>
    <row r="541">
      <c r="A541" s="20" t="s">
        <v>98</v>
      </c>
      <c r="B541" s="9" t="s">
        <v>1335</v>
      </c>
      <c r="C541" s="91">
        <v>45883.42436662037</v>
      </c>
      <c r="D541" s="8"/>
      <c r="E541" s="9"/>
      <c r="F541" s="10"/>
      <c r="G541" s="9" t="s">
        <v>15</v>
      </c>
      <c r="H541" s="7" t="s">
        <v>1336</v>
      </c>
      <c r="I541" s="9" t="s">
        <v>353</v>
      </c>
      <c r="J541" s="88"/>
    </row>
    <row r="542">
      <c r="A542" s="78" t="s">
        <v>334</v>
      </c>
      <c r="B542" s="43" t="s">
        <v>1337</v>
      </c>
      <c r="C542" s="119">
        <v>45880.592881874996</v>
      </c>
      <c r="D542" s="80">
        <f>IFERROR(_xlfn.WORKDAY.INTL(C542, 2),"-")</f>
        <v>45882</v>
      </c>
      <c r="E542" s="9" t="s">
        <v>1097</v>
      </c>
      <c r="F542" s="10"/>
      <c r="G542" s="9" t="s">
        <v>18</v>
      </c>
      <c r="H542" s="7" t="s">
        <v>1338</v>
      </c>
      <c r="I542" s="9" t="s">
        <v>353</v>
      </c>
      <c r="J542" s="88"/>
    </row>
    <row r="543">
      <c r="A543" s="102" t="s">
        <v>624</v>
      </c>
      <c r="B543" s="7" t="s">
        <v>1339</v>
      </c>
      <c r="C543" s="91">
        <v>45873.7232941088</v>
      </c>
      <c r="D543" s="8"/>
      <c r="E543" s="9"/>
      <c r="F543" s="10"/>
      <c r="G543" s="9" t="s">
        <v>11</v>
      </c>
      <c r="H543" s="7" t="s">
        <v>1340</v>
      </c>
      <c r="I543" s="9" t="s">
        <v>353</v>
      </c>
      <c r="J543" s="88"/>
    </row>
    <row r="544">
      <c r="A544" s="6" t="s">
        <v>9</v>
      </c>
      <c r="B544" s="7" t="s">
        <v>1341</v>
      </c>
      <c r="C544" s="91">
        <v>45883.38691140046</v>
      </c>
      <c r="D544" s="8">
        <f>IFERROR(_xlfn.WORKDAY.INTL(C544, 2),"-")</f>
        <v>45887</v>
      </c>
      <c r="E544" s="9" t="s">
        <v>11</v>
      </c>
      <c r="F544" s="10"/>
      <c r="G544" s="9" t="s">
        <v>15</v>
      </c>
      <c r="H544" s="7" t="s">
        <v>1342</v>
      </c>
      <c r="I544" s="9" t="s">
        <v>353</v>
      </c>
      <c r="J544" s="88"/>
    </row>
    <row r="545">
      <c r="A545" s="20" t="s">
        <v>98</v>
      </c>
      <c r="B545" s="9" t="s">
        <v>1343</v>
      </c>
      <c r="C545" s="91">
        <v>45789.35705314815</v>
      </c>
      <c r="D545" s="8"/>
      <c r="E545" s="9"/>
      <c r="F545" s="10"/>
      <c r="G545" s="9" t="s">
        <v>18</v>
      </c>
      <c r="H545" s="22" t="s">
        <v>1344</v>
      </c>
      <c r="I545" s="9" t="s">
        <v>353</v>
      </c>
      <c r="J545" s="88"/>
    </row>
    <row r="546">
      <c r="A546" s="102" t="s">
        <v>624</v>
      </c>
      <c r="B546" s="7" t="s">
        <v>1345</v>
      </c>
      <c r="C546" s="91">
        <v>45873.723501319444</v>
      </c>
      <c r="D546" s="8"/>
      <c r="E546" s="9"/>
      <c r="F546" s="10"/>
      <c r="G546" s="9" t="s">
        <v>11</v>
      </c>
      <c r="H546" s="7" t="s">
        <v>1346</v>
      </c>
      <c r="I546" s="9" t="s">
        <v>353</v>
      </c>
      <c r="J546" s="88"/>
    </row>
    <row r="547">
      <c r="A547" s="102" t="s">
        <v>624</v>
      </c>
      <c r="B547" s="7" t="s">
        <v>1347</v>
      </c>
      <c r="C547" s="91">
        <v>45873.723596261574</v>
      </c>
      <c r="D547" s="8"/>
      <c r="E547" s="9"/>
      <c r="F547" s="8"/>
      <c r="G547" s="9" t="s">
        <v>11</v>
      </c>
      <c r="H547" s="7" t="s">
        <v>1348</v>
      </c>
      <c r="I547" s="9" t="s">
        <v>353</v>
      </c>
      <c r="J547" s="88"/>
    </row>
    <row r="548">
      <c r="A548" s="102" t="s">
        <v>624</v>
      </c>
      <c r="B548" s="67" t="s">
        <v>1146</v>
      </c>
      <c r="C548" s="91">
        <v>45841.71327997685</v>
      </c>
      <c r="D548" s="8">
        <f>IFERROR(_xlfn.WORKDAY.INTL(C548, 2),"-")</f>
        <v>45845</v>
      </c>
      <c r="E548" s="9" t="s">
        <v>11</v>
      </c>
      <c r="F548" s="8"/>
      <c r="G548" s="9" t="s">
        <v>11</v>
      </c>
      <c r="H548" s="7" t="s">
        <v>1349</v>
      </c>
      <c r="I548" s="9" t="s">
        <v>353</v>
      </c>
      <c r="J548" s="88"/>
    </row>
    <row r="549">
      <c r="A549" s="102" t="s">
        <v>624</v>
      </c>
      <c r="B549" s="7" t="s">
        <v>1350</v>
      </c>
      <c r="C549" s="91">
        <v>45873.72364596065</v>
      </c>
      <c r="D549" s="8"/>
      <c r="E549" s="9"/>
      <c r="F549" s="10"/>
      <c r="G549" s="9" t="s">
        <v>11</v>
      </c>
      <c r="H549" s="7" t="s">
        <v>1351</v>
      </c>
      <c r="I549" s="9" t="s">
        <v>353</v>
      </c>
      <c r="J549" s="88"/>
    </row>
    <row r="550">
      <c r="A550" s="102" t="s">
        <v>624</v>
      </c>
      <c r="B550" s="126" t="s">
        <v>1352</v>
      </c>
      <c r="C550" s="91">
        <v>45755.45168696759</v>
      </c>
      <c r="D550" s="8">
        <f t="shared" ref="D550:D552" si="57">IFERROR(_xlfn.WORKDAY.INTL(C550, 2),"-")</f>
        <v>45757</v>
      </c>
      <c r="E550" s="9" t="s">
        <v>88</v>
      </c>
      <c r="F550" s="10"/>
      <c r="G550" s="9" t="s">
        <v>11</v>
      </c>
      <c r="H550" s="7" t="s">
        <v>1353</v>
      </c>
      <c r="I550" s="9" t="s">
        <v>353</v>
      </c>
      <c r="J550" s="88"/>
    </row>
    <row r="551">
      <c r="A551" s="6" t="s">
        <v>9</v>
      </c>
      <c r="B551" s="7" t="s">
        <v>1103</v>
      </c>
      <c r="C551" s="91">
        <v>45881.71999107639</v>
      </c>
      <c r="D551" s="8">
        <f t="shared" si="57"/>
        <v>45883</v>
      </c>
      <c r="E551" s="9" t="s">
        <v>11</v>
      </c>
      <c r="F551" s="10"/>
      <c r="G551" s="9" t="s">
        <v>15</v>
      </c>
      <c r="H551" s="7" t="s">
        <v>1354</v>
      </c>
      <c r="I551" s="9" t="s">
        <v>353</v>
      </c>
      <c r="J551" s="88"/>
    </row>
    <row r="552">
      <c r="A552" s="6" t="s">
        <v>9</v>
      </c>
      <c r="B552" s="7" t="s">
        <v>1355</v>
      </c>
      <c r="C552" s="91">
        <v>45882.457148194444</v>
      </c>
      <c r="D552" s="8">
        <f t="shared" si="57"/>
        <v>45884</v>
      </c>
      <c r="E552" s="9" t="s">
        <v>11</v>
      </c>
      <c r="F552" s="10"/>
      <c r="G552" s="9" t="s">
        <v>15</v>
      </c>
      <c r="H552" s="7" t="s">
        <v>1356</v>
      </c>
      <c r="I552" s="9" t="s">
        <v>353</v>
      </c>
      <c r="J552" s="88"/>
    </row>
    <row r="553">
      <c r="A553" s="54" t="s">
        <v>236</v>
      </c>
      <c r="B553" s="7" t="s">
        <v>1357</v>
      </c>
      <c r="C553" s="91">
        <v>45803.73382603009</v>
      </c>
      <c r="D553" s="8"/>
      <c r="E553" s="9"/>
      <c r="F553" s="10"/>
      <c r="G553" s="9" t="s">
        <v>18</v>
      </c>
      <c r="H553" s="7" t="s">
        <v>1358</v>
      </c>
      <c r="I553" s="9" t="s">
        <v>353</v>
      </c>
      <c r="J553" s="88"/>
    </row>
    <row r="554">
      <c r="A554" s="54" t="s">
        <v>236</v>
      </c>
      <c r="B554" s="100" t="s">
        <v>1359</v>
      </c>
      <c r="C554" s="91">
        <v>45594.669634652775</v>
      </c>
      <c r="D554" s="8">
        <f>IFERROR(_xlfn.WORKDAY.INTL(C554, 2),"-")</f>
        <v>45596</v>
      </c>
      <c r="E554" s="9" t="s">
        <v>11</v>
      </c>
      <c r="F554" s="10"/>
      <c r="G554" s="9" t="s">
        <v>18</v>
      </c>
      <c r="H554" s="7" t="s">
        <v>1360</v>
      </c>
      <c r="I554" s="9" t="s">
        <v>353</v>
      </c>
      <c r="J554" s="88"/>
    </row>
    <row r="555">
      <c r="A555" s="54" t="s">
        <v>236</v>
      </c>
      <c r="B555" s="7" t="s">
        <v>1361</v>
      </c>
      <c r="C555" s="91">
        <v>45882.453307777774</v>
      </c>
      <c r="D555" s="8"/>
      <c r="E555" s="9"/>
      <c r="F555" s="10"/>
      <c r="G555" s="9" t="s">
        <v>18</v>
      </c>
      <c r="H555" s="7" t="s">
        <v>1362</v>
      </c>
      <c r="I555" s="9" t="s">
        <v>353</v>
      </c>
      <c r="J555" s="88"/>
    </row>
    <row r="556">
      <c r="A556" s="54" t="s">
        <v>236</v>
      </c>
      <c r="B556" s="100" t="s">
        <v>1363</v>
      </c>
      <c r="C556" s="91">
        <v>45594.669073240744</v>
      </c>
      <c r="D556" s="8">
        <f>IFERROR(_xlfn.WORKDAY.INTL(C556, 2),"-")</f>
        <v>45596</v>
      </c>
      <c r="E556" s="9" t="s">
        <v>11</v>
      </c>
      <c r="F556" s="10"/>
      <c r="G556" s="9" t="s">
        <v>18</v>
      </c>
      <c r="H556" s="7" t="s">
        <v>1364</v>
      </c>
      <c r="I556" s="9" t="s">
        <v>353</v>
      </c>
      <c r="J556" s="88"/>
    </row>
    <row r="557">
      <c r="A557" s="54" t="s">
        <v>236</v>
      </c>
      <c r="B557" s="7" t="s">
        <v>1365</v>
      </c>
      <c r="C557" s="91">
        <v>45876.72635628472</v>
      </c>
      <c r="D557" s="8"/>
      <c r="E557" s="9"/>
      <c r="F557" s="10"/>
      <c r="G557" s="9" t="s">
        <v>18</v>
      </c>
      <c r="H557" s="7" t="s">
        <v>1366</v>
      </c>
      <c r="I557" s="9" t="s">
        <v>353</v>
      </c>
      <c r="J557" s="88"/>
    </row>
    <row r="558">
      <c r="A558" s="78" t="s">
        <v>334</v>
      </c>
      <c r="B558" s="43" t="s">
        <v>1367</v>
      </c>
      <c r="C558" s="119">
        <v>45880.59163707176</v>
      </c>
      <c r="D558" s="80">
        <f t="shared" ref="D558:D568" si="58">IFERROR(_xlfn.WORKDAY.INTL(C558, 2),"-")</f>
        <v>45882</v>
      </c>
      <c r="E558" s="9" t="s">
        <v>1128</v>
      </c>
      <c r="F558" s="10"/>
      <c r="G558" s="9" t="s">
        <v>18</v>
      </c>
      <c r="H558" s="11"/>
      <c r="I558" s="9" t="s">
        <v>353</v>
      </c>
      <c r="J558" s="88"/>
    </row>
    <row r="559">
      <c r="A559" s="78" t="s">
        <v>334</v>
      </c>
      <c r="B559" s="43" t="s">
        <v>1368</v>
      </c>
      <c r="C559" s="119">
        <v>45880.59152268519</v>
      </c>
      <c r="D559" s="80">
        <f t="shared" si="58"/>
        <v>45882</v>
      </c>
      <c r="E559" s="9" t="s">
        <v>1128</v>
      </c>
      <c r="F559" s="10"/>
      <c r="G559" s="9" t="s">
        <v>18</v>
      </c>
      <c r="H559" s="11"/>
      <c r="I559" s="9" t="s">
        <v>353</v>
      </c>
      <c r="J559" s="88"/>
    </row>
    <row r="560">
      <c r="A560" s="6" t="s">
        <v>9</v>
      </c>
      <c r="B560" s="7" t="s">
        <v>1369</v>
      </c>
      <c r="C560" s="91">
        <v>45881.51415956019</v>
      </c>
      <c r="D560" s="8">
        <f t="shared" si="58"/>
        <v>45883</v>
      </c>
      <c r="E560" s="9" t="s">
        <v>11</v>
      </c>
      <c r="F560" s="10"/>
      <c r="G560" s="9" t="s">
        <v>15</v>
      </c>
      <c r="H560" s="7" t="s">
        <v>1354</v>
      </c>
      <c r="I560" s="9" t="s">
        <v>353</v>
      </c>
      <c r="J560" s="88"/>
    </row>
    <row r="561">
      <c r="A561" s="6" t="s">
        <v>9</v>
      </c>
      <c r="B561" s="7" t="s">
        <v>1370</v>
      </c>
      <c r="C561" s="91">
        <v>45862.664245844906</v>
      </c>
      <c r="D561" s="8">
        <f t="shared" si="58"/>
        <v>45866</v>
      </c>
      <c r="E561" s="9" t="s">
        <v>11</v>
      </c>
      <c r="F561" s="10"/>
      <c r="G561" s="9" t="s">
        <v>15</v>
      </c>
      <c r="H561" s="7" t="s">
        <v>1371</v>
      </c>
      <c r="I561" s="9" t="s">
        <v>353</v>
      </c>
      <c r="J561" s="88"/>
    </row>
    <row r="562">
      <c r="A562" s="6" t="s">
        <v>9</v>
      </c>
      <c r="B562" s="7" t="s">
        <v>1372</v>
      </c>
      <c r="C562" s="91">
        <v>45880.7009934838</v>
      </c>
      <c r="D562" s="8">
        <f t="shared" si="58"/>
        <v>45882</v>
      </c>
      <c r="E562" s="9" t="s">
        <v>11</v>
      </c>
      <c r="F562" s="10"/>
      <c r="G562" s="9" t="s">
        <v>18</v>
      </c>
      <c r="H562" s="7" t="s">
        <v>437</v>
      </c>
      <c r="I562" s="9" t="s">
        <v>353</v>
      </c>
      <c r="J562" s="88"/>
    </row>
    <row r="563">
      <c r="A563" s="6" t="s">
        <v>9</v>
      </c>
      <c r="B563" s="7" t="s">
        <v>1373</v>
      </c>
      <c r="C563" s="91">
        <v>45761.372656817126</v>
      </c>
      <c r="D563" s="8">
        <f t="shared" si="58"/>
        <v>45763</v>
      </c>
      <c r="E563" s="9" t="s">
        <v>11</v>
      </c>
      <c r="F563" s="10"/>
      <c r="G563" s="9" t="s">
        <v>18</v>
      </c>
      <c r="H563" s="7" t="s">
        <v>1374</v>
      </c>
      <c r="I563" s="9" t="s">
        <v>353</v>
      </c>
      <c r="J563" s="88"/>
    </row>
    <row r="564">
      <c r="A564" s="6" t="s">
        <v>9</v>
      </c>
      <c r="B564" s="7" t="s">
        <v>1156</v>
      </c>
      <c r="C564" s="91">
        <v>45860.49185074074</v>
      </c>
      <c r="D564" s="8">
        <f t="shared" si="58"/>
        <v>45862</v>
      </c>
      <c r="E564" s="9" t="s">
        <v>11</v>
      </c>
      <c r="F564" s="10"/>
      <c r="G564" s="9" t="s">
        <v>18</v>
      </c>
      <c r="H564" s="7" t="s">
        <v>1375</v>
      </c>
      <c r="I564" s="9" t="s">
        <v>353</v>
      </c>
      <c r="J564" s="88"/>
    </row>
    <row r="565">
      <c r="A565" s="6" t="s">
        <v>9</v>
      </c>
      <c r="B565" s="7" t="s">
        <v>522</v>
      </c>
      <c r="C565" s="91">
        <v>45876.47832763889</v>
      </c>
      <c r="D565" s="8">
        <f t="shared" si="58"/>
        <v>45880</v>
      </c>
      <c r="E565" s="9" t="s">
        <v>11</v>
      </c>
      <c r="F565" s="10"/>
      <c r="G565" s="9" t="s">
        <v>15</v>
      </c>
      <c r="H565" s="7" t="s">
        <v>1376</v>
      </c>
      <c r="I565" s="9" t="s">
        <v>353</v>
      </c>
      <c r="J565" s="88"/>
    </row>
    <row r="566">
      <c r="A566" s="78" t="s">
        <v>334</v>
      </c>
      <c r="B566" s="43" t="s">
        <v>1377</v>
      </c>
      <c r="C566" s="119">
        <v>45863.0</v>
      </c>
      <c r="D566" s="80">
        <f t="shared" si="58"/>
        <v>45867</v>
      </c>
      <c r="E566" s="9" t="s">
        <v>1097</v>
      </c>
      <c r="F566" s="10"/>
      <c r="G566" s="9" t="s">
        <v>18</v>
      </c>
      <c r="H566" s="7" t="s">
        <v>1378</v>
      </c>
      <c r="I566" s="9" t="s">
        <v>353</v>
      </c>
      <c r="J566" s="88"/>
    </row>
    <row r="567">
      <c r="A567" s="78" t="s">
        <v>334</v>
      </c>
      <c r="B567" s="43" t="s">
        <v>1379</v>
      </c>
      <c r="C567" s="119">
        <v>45880.59093420139</v>
      </c>
      <c r="D567" s="80">
        <f t="shared" si="58"/>
        <v>45882</v>
      </c>
      <c r="E567" s="9" t="s">
        <v>1128</v>
      </c>
      <c r="F567" s="10"/>
      <c r="G567" s="9" t="s">
        <v>18</v>
      </c>
      <c r="H567" s="11"/>
      <c r="I567" s="9" t="s">
        <v>353</v>
      </c>
      <c r="J567" s="88"/>
    </row>
    <row r="568">
      <c r="A568" s="54" t="s">
        <v>236</v>
      </c>
      <c r="B568" s="100" t="s">
        <v>1380</v>
      </c>
      <c r="C568" s="91">
        <v>45594.66884778935</v>
      </c>
      <c r="D568" s="8">
        <f t="shared" si="58"/>
        <v>45596</v>
      </c>
      <c r="E568" s="9" t="s">
        <v>11</v>
      </c>
      <c r="F568" s="10"/>
      <c r="G568" s="9" t="s">
        <v>18</v>
      </c>
      <c r="H568" s="7" t="s">
        <v>1381</v>
      </c>
      <c r="I568" s="9" t="s">
        <v>353</v>
      </c>
      <c r="J568" s="88"/>
    </row>
    <row r="569">
      <c r="A569" s="54" t="s">
        <v>236</v>
      </c>
      <c r="B569" s="7" t="s">
        <v>1382</v>
      </c>
      <c r="C569" s="91">
        <v>45873.50041820602</v>
      </c>
      <c r="D569" s="8"/>
      <c r="E569" s="9"/>
      <c r="F569" s="10"/>
      <c r="G569" s="9" t="s">
        <v>18</v>
      </c>
      <c r="H569" s="7" t="s">
        <v>1383</v>
      </c>
      <c r="I569" s="9" t="s">
        <v>353</v>
      </c>
      <c r="J569" s="88"/>
    </row>
    <row r="570">
      <c r="A570" s="88"/>
      <c r="B570" s="89"/>
      <c r="C570" s="90"/>
      <c r="D570" s="89"/>
      <c r="E570" s="89"/>
      <c r="F570" s="89"/>
      <c r="G570" s="89"/>
      <c r="H570" s="87"/>
      <c r="I570" s="89"/>
      <c r="J570" s="88"/>
    </row>
    <row r="571">
      <c r="A571" s="6" t="s">
        <v>9</v>
      </c>
      <c r="B571" s="7" t="s">
        <v>1384</v>
      </c>
      <c r="C571" s="91">
        <v>45876.47689710648</v>
      </c>
      <c r="D571" s="8">
        <f t="shared" ref="D571:D578" si="59">IFERROR(_xlfn.WORKDAY.INTL(C571, 2),"-")</f>
        <v>45880</v>
      </c>
      <c r="E571" s="9" t="s">
        <v>11</v>
      </c>
      <c r="F571" s="10"/>
      <c r="G571" s="9" t="s">
        <v>18</v>
      </c>
      <c r="H571" s="7" t="s">
        <v>437</v>
      </c>
      <c r="I571" s="9" t="s">
        <v>353</v>
      </c>
      <c r="J571" s="88"/>
    </row>
    <row r="572">
      <c r="A572" s="6" t="s">
        <v>9</v>
      </c>
      <c r="B572" s="7" t="s">
        <v>1385</v>
      </c>
      <c r="C572" s="91">
        <v>45875.405452164356</v>
      </c>
      <c r="D572" s="8">
        <f t="shared" si="59"/>
        <v>45877</v>
      </c>
      <c r="E572" s="9" t="s">
        <v>11</v>
      </c>
      <c r="F572" s="10"/>
      <c r="G572" s="9" t="s">
        <v>15</v>
      </c>
      <c r="H572" s="7" t="s">
        <v>1386</v>
      </c>
      <c r="I572" s="9" t="s">
        <v>353</v>
      </c>
      <c r="J572" s="88"/>
    </row>
    <row r="573">
      <c r="A573" s="6" t="s">
        <v>9</v>
      </c>
      <c r="B573" s="7" t="s">
        <v>1387</v>
      </c>
      <c r="C573" s="91">
        <v>45875.68961162037</v>
      </c>
      <c r="D573" s="8">
        <f t="shared" si="59"/>
        <v>45877</v>
      </c>
      <c r="E573" s="9" t="s">
        <v>11</v>
      </c>
      <c r="F573" s="10"/>
      <c r="G573" s="9" t="s">
        <v>15</v>
      </c>
      <c r="H573" s="7" t="s">
        <v>1388</v>
      </c>
      <c r="I573" s="9" t="s">
        <v>353</v>
      </c>
      <c r="J573" s="88"/>
    </row>
    <row r="574">
      <c r="A574" s="6" t="s">
        <v>9</v>
      </c>
      <c r="B574" s="7" t="s">
        <v>1389</v>
      </c>
      <c r="C574" s="91">
        <v>45875.43485800926</v>
      </c>
      <c r="D574" s="8">
        <f t="shared" si="59"/>
        <v>45877</v>
      </c>
      <c r="E574" s="9" t="s">
        <v>11</v>
      </c>
      <c r="F574" s="10"/>
      <c r="G574" s="9" t="s">
        <v>12</v>
      </c>
      <c r="H574" s="7" t="s">
        <v>1390</v>
      </c>
      <c r="I574" s="9" t="s">
        <v>353</v>
      </c>
      <c r="J574" s="88"/>
    </row>
    <row r="575">
      <c r="A575" s="102" t="s">
        <v>624</v>
      </c>
      <c r="B575" s="7" t="s">
        <v>1391</v>
      </c>
      <c r="C575" s="91">
        <v>45827.71629699074</v>
      </c>
      <c r="D575" s="8">
        <f t="shared" si="59"/>
        <v>45831</v>
      </c>
      <c r="E575" s="9" t="s">
        <v>206</v>
      </c>
      <c r="F575" s="10"/>
      <c r="G575" s="9" t="s">
        <v>11</v>
      </c>
      <c r="H575" s="7" t="s">
        <v>1392</v>
      </c>
      <c r="I575" s="9" t="s">
        <v>353</v>
      </c>
      <c r="J575" s="88"/>
    </row>
    <row r="576">
      <c r="A576" s="102" t="s">
        <v>624</v>
      </c>
      <c r="B576" s="7" t="s">
        <v>1393</v>
      </c>
      <c r="C576" s="91">
        <v>45859.48792354167</v>
      </c>
      <c r="D576" s="8">
        <f t="shared" si="59"/>
        <v>45861</v>
      </c>
      <c r="E576" s="9" t="s">
        <v>11</v>
      </c>
      <c r="F576" s="8"/>
      <c r="G576" s="9" t="s">
        <v>11</v>
      </c>
      <c r="H576" s="7" t="s">
        <v>1394</v>
      </c>
      <c r="I576" s="9" t="s">
        <v>353</v>
      </c>
      <c r="J576" s="88"/>
    </row>
    <row r="577">
      <c r="A577" s="6" t="s">
        <v>9</v>
      </c>
      <c r="B577" s="7" t="s">
        <v>1395</v>
      </c>
      <c r="C577" s="91">
        <v>45875.68905516204</v>
      </c>
      <c r="D577" s="8">
        <f t="shared" si="59"/>
        <v>45877</v>
      </c>
      <c r="E577" s="9" t="s">
        <v>11</v>
      </c>
      <c r="F577" s="10"/>
      <c r="G577" s="9" t="s">
        <v>18</v>
      </c>
      <c r="H577" s="7" t="s">
        <v>1396</v>
      </c>
      <c r="I577" s="9" t="s">
        <v>353</v>
      </c>
      <c r="J577" s="88"/>
    </row>
    <row r="578">
      <c r="A578" s="6" t="s">
        <v>9</v>
      </c>
      <c r="B578" s="7" t="s">
        <v>1397</v>
      </c>
      <c r="C578" s="91">
        <v>45867.49579282408</v>
      </c>
      <c r="D578" s="8">
        <f t="shared" si="59"/>
        <v>45869</v>
      </c>
      <c r="E578" s="9" t="s">
        <v>11</v>
      </c>
      <c r="F578" s="10"/>
      <c r="G578" s="9" t="s">
        <v>15</v>
      </c>
      <c r="H578" s="7" t="s">
        <v>1398</v>
      </c>
      <c r="I578" s="9" t="s">
        <v>353</v>
      </c>
      <c r="J578" s="88"/>
    </row>
    <row r="579">
      <c r="A579" s="102" t="s">
        <v>624</v>
      </c>
      <c r="B579" s="7" t="s">
        <v>1399</v>
      </c>
      <c r="C579" s="91">
        <v>45873.723422118055</v>
      </c>
      <c r="D579" s="8"/>
      <c r="E579" s="9"/>
      <c r="F579" s="8"/>
      <c r="G579" s="9" t="s">
        <v>11</v>
      </c>
      <c r="H579" s="7" t="s">
        <v>1400</v>
      </c>
      <c r="I579" s="9" t="s">
        <v>353</v>
      </c>
      <c r="J579" s="88"/>
    </row>
    <row r="580">
      <c r="A580" s="102" t="s">
        <v>624</v>
      </c>
      <c r="B580" s="7" t="s">
        <v>1401</v>
      </c>
      <c r="C580" s="91">
        <v>45869.46378420139</v>
      </c>
      <c r="D580" s="8"/>
      <c r="E580" s="9"/>
      <c r="F580" s="8"/>
      <c r="G580" s="9" t="s">
        <v>11</v>
      </c>
      <c r="H580" s="7" t="s">
        <v>1402</v>
      </c>
      <c r="I580" s="9" t="s">
        <v>353</v>
      </c>
      <c r="J580" s="88"/>
    </row>
    <row r="581">
      <c r="A581" s="102" t="s">
        <v>624</v>
      </c>
      <c r="B581" s="7" t="s">
        <v>1403</v>
      </c>
      <c r="C581" s="91">
        <v>45869.46383194445</v>
      </c>
      <c r="D581" s="8"/>
      <c r="E581" s="9"/>
      <c r="F581" s="8">
        <v>45874.0</v>
      </c>
      <c r="G581" s="9" t="s">
        <v>11</v>
      </c>
      <c r="H581" s="7" t="s">
        <v>1404</v>
      </c>
      <c r="I581" s="9" t="s">
        <v>353</v>
      </c>
      <c r="J581" s="88"/>
    </row>
    <row r="582">
      <c r="A582" s="54" t="s">
        <v>236</v>
      </c>
      <c r="B582" s="100" t="s">
        <v>1405</v>
      </c>
      <c r="C582" s="91">
        <v>45594.66892217593</v>
      </c>
      <c r="D582" s="8">
        <f t="shared" ref="D582:D584" si="60">IFERROR(_xlfn.WORKDAY.INTL(C582, 2),"-")</f>
        <v>45596</v>
      </c>
      <c r="E582" s="9" t="s">
        <v>11</v>
      </c>
      <c r="F582" s="10"/>
      <c r="G582" s="9" t="s">
        <v>18</v>
      </c>
      <c r="H582" s="7" t="s">
        <v>1406</v>
      </c>
      <c r="I582" s="9" t="s">
        <v>353</v>
      </c>
      <c r="J582" s="88"/>
    </row>
    <row r="583">
      <c r="A583" s="54" t="s">
        <v>236</v>
      </c>
      <c r="B583" s="100" t="s">
        <v>1407</v>
      </c>
      <c r="C583" s="91">
        <v>45594.668777847226</v>
      </c>
      <c r="D583" s="8">
        <f t="shared" si="60"/>
        <v>45596</v>
      </c>
      <c r="E583" s="9" t="s">
        <v>11</v>
      </c>
      <c r="F583" s="10"/>
      <c r="G583" s="9" t="s">
        <v>18</v>
      </c>
      <c r="H583" s="7" t="s">
        <v>1408</v>
      </c>
      <c r="I583" s="9" t="s">
        <v>353</v>
      </c>
      <c r="J583" s="88"/>
    </row>
    <row r="584">
      <c r="A584" s="6" t="s">
        <v>9</v>
      </c>
      <c r="B584" s="7" t="s">
        <v>1409</v>
      </c>
      <c r="C584" s="91">
        <v>45873.60863993056</v>
      </c>
      <c r="D584" s="8">
        <f t="shared" si="60"/>
        <v>45875</v>
      </c>
      <c r="E584" s="9" t="s">
        <v>11</v>
      </c>
      <c r="F584" s="10"/>
      <c r="G584" s="9" t="s">
        <v>18</v>
      </c>
      <c r="H584" s="7" t="s">
        <v>1410</v>
      </c>
      <c r="I584" s="9" t="s">
        <v>353</v>
      </c>
      <c r="J584" s="88"/>
    </row>
    <row r="585">
      <c r="A585" s="102" t="s">
        <v>624</v>
      </c>
      <c r="B585" s="7" t="s">
        <v>1411</v>
      </c>
      <c r="C585" s="91">
        <v>45869.464783206015</v>
      </c>
      <c r="D585" s="8"/>
      <c r="E585" s="9"/>
      <c r="F585" s="10"/>
      <c r="G585" s="9" t="s">
        <v>11</v>
      </c>
      <c r="H585" s="7" t="s">
        <v>1412</v>
      </c>
      <c r="I585" s="9" t="s">
        <v>353</v>
      </c>
      <c r="J585" s="88"/>
    </row>
    <row r="586">
      <c r="A586" s="102" t="s">
        <v>624</v>
      </c>
      <c r="B586" s="7" t="s">
        <v>1413</v>
      </c>
      <c r="C586" s="91">
        <v>45874.38049673611</v>
      </c>
      <c r="D586" s="8"/>
      <c r="E586" s="9"/>
      <c r="F586" s="8">
        <v>45874.0</v>
      </c>
      <c r="G586" s="9" t="s">
        <v>11</v>
      </c>
      <c r="H586" s="127" t="s">
        <v>1414</v>
      </c>
      <c r="I586" s="9" t="s">
        <v>353</v>
      </c>
      <c r="J586" s="88"/>
    </row>
    <row r="587">
      <c r="A587" s="102" t="s">
        <v>624</v>
      </c>
      <c r="B587" s="7" t="s">
        <v>1415</v>
      </c>
      <c r="C587" s="91">
        <v>45859.489044965274</v>
      </c>
      <c r="D587" s="8">
        <f t="shared" ref="D587:D589" si="61">IFERROR(_xlfn.WORKDAY.INTL(C587, 2),"-")</f>
        <v>45861</v>
      </c>
      <c r="E587" s="9" t="s">
        <v>11</v>
      </c>
      <c r="F587" s="8"/>
      <c r="G587" s="9" t="s">
        <v>15</v>
      </c>
      <c r="H587" s="105" t="s">
        <v>1416</v>
      </c>
      <c r="I587" s="9" t="s">
        <v>353</v>
      </c>
      <c r="J587" s="88"/>
    </row>
    <row r="588">
      <c r="A588" s="6" t="s">
        <v>9</v>
      </c>
      <c r="B588" s="7" t="s">
        <v>1417</v>
      </c>
      <c r="C588" s="91">
        <v>45873.56907409722</v>
      </c>
      <c r="D588" s="8">
        <f t="shared" si="61"/>
        <v>45875</v>
      </c>
      <c r="E588" s="9" t="s">
        <v>11</v>
      </c>
      <c r="F588" s="10"/>
      <c r="G588" s="9" t="s">
        <v>18</v>
      </c>
      <c r="H588" s="7" t="s">
        <v>1418</v>
      </c>
      <c r="I588" s="9" t="s">
        <v>353</v>
      </c>
      <c r="J588" s="88"/>
    </row>
    <row r="589">
      <c r="A589" s="6" t="s">
        <v>9</v>
      </c>
      <c r="B589" s="7" t="s">
        <v>1419</v>
      </c>
      <c r="C589" s="91">
        <v>45873.68057548611</v>
      </c>
      <c r="D589" s="8">
        <f t="shared" si="61"/>
        <v>45875</v>
      </c>
      <c r="E589" s="9" t="s">
        <v>11</v>
      </c>
      <c r="F589" s="10"/>
      <c r="G589" s="9" t="s">
        <v>18</v>
      </c>
      <c r="H589" s="7" t="s">
        <v>1420</v>
      </c>
      <c r="I589" s="9" t="s">
        <v>353</v>
      </c>
      <c r="J589" s="88"/>
    </row>
    <row r="590">
      <c r="A590" s="20" t="s">
        <v>98</v>
      </c>
      <c r="B590" s="9" t="s">
        <v>1421</v>
      </c>
      <c r="C590" s="91">
        <v>45841.58279328704</v>
      </c>
      <c r="D590" s="8"/>
      <c r="E590" s="9"/>
      <c r="F590" s="10"/>
      <c r="G590" s="9" t="s">
        <v>15</v>
      </c>
      <c r="H590" s="7" t="s">
        <v>1422</v>
      </c>
      <c r="I590" s="9" t="s">
        <v>353</v>
      </c>
      <c r="J590" s="88"/>
    </row>
    <row r="591">
      <c r="A591" s="6" t="s">
        <v>9</v>
      </c>
      <c r="B591" s="7" t="s">
        <v>1423</v>
      </c>
      <c r="C591" s="91">
        <v>45873.50955002315</v>
      </c>
      <c r="D591" s="8">
        <f>IFERROR(_xlfn.WORKDAY.INTL(C591, 2),"-")</f>
        <v>45875</v>
      </c>
      <c r="E591" s="9" t="s">
        <v>11</v>
      </c>
      <c r="F591" s="10"/>
      <c r="G591" s="9" t="s">
        <v>18</v>
      </c>
      <c r="H591" s="7" t="s">
        <v>1424</v>
      </c>
      <c r="I591" s="9" t="s">
        <v>353</v>
      </c>
      <c r="J591" s="88"/>
    </row>
    <row r="592">
      <c r="A592" s="20" t="s">
        <v>98</v>
      </c>
      <c r="B592" s="9" t="s">
        <v>1425</v>
      </c>
      <c r="C592" s="91">
        <v>45835.42912126158</v>
      </c>
      <c r="D592" s="8"/>
      <c r="E592" s="9"/>
      <c r="F592" s="10"/>
      <c r="G592" s="9" t="s">
        <v>15</v>
      </c>
      <c r="H592" s="7" t="s">
        <v>1426</v>
      </c>
      <c r="I592" s="9" t="s">
        <v>353</v>
      </c>
      <c r="J592" s="88"/>
    </row>
    <row r="593">
      <c r="A593" s="6" t="s">
        <v>9</v>
      </c>
      <c r="B593" s="7" t="s">
        <v>1427</v>
      </c>
      <c r="C593" s="91">
        <v>45873.4752635301</v>
      </c>
      <c r="D593" s="8">
        <f t="shared" ref="D593:D595" si="62">IFERROR(_xlfn.WORKDAY.INTL(C593, 2),"-")</f>
        <v>45875</v>
      </c>
      <c r="E593" s="9" t="s">
        <v>11</v>
      </c>
      <c r="F593" s="10"/>
      <c r="G593" s="9" t="s">
        <v>18</v>
      </c>
      <c r="H593" s="7" t="s">
        <v>1428</v>
      </c>
      <c r="I593" s="9" t="s">
        <v>353</v>
      </c>
      <c r="J593" s="88"/>
    </row>
    <row r="594">
      <c r="A594" s="6" t="s">
        <v>9</v>
      </c>
      <c r="B594" s="7" t="s">
        <v>1429</v>
      </c>
      <c r="C594" s="91">
        <v>45813.63366274306</v>
      </c>
      <c r="D594" s="8">
        <f t="shared" si="62"/>
        <v>45817</v>
      </c>
      <c r="E594" s="9" t="s">
        <v>11</v>
      </c>
      <c r="F594" s="10"/>
      <c r="G594" s="9" t="s">
        <v>18</v>
      </c>
      <c r="H594" s="7" t="s">
        <v>1430</v>
      </c>
      <c r="I594" s="9" t="s">
        <v>353</v>
      </c>
      <c r="J594" s="88"/>
    </row>
    <row r="595">
      <c r="A595" s="6" t="s">
        <v>9</v>
      </c>
      <c r="B595" s="7" t="s">
        <v>1431</v>
      </c>
      <c r="C595" s="91">
        <v>45868.50451622685</v>
      </c>
      <c r="D595" s="8">
        <f t="shared" si="62"/>
        <v>45870</v>
      </c>
      <c r="E595" s="9" t="s">
        <v>11</v>
      </c>
      <c r="F595" s="10"/>
      <c r="G595" s="9" t="s">
        <v>15</v>
      </c>
      <c r="H595" s="7" t="s">
        <v>1432</v>
      </c>
      <c r="I595" s="9" t="s">
        <v>353</v>
      </c>
      <c r="J595" s="88"/>
    </row>
    <row r="596">
      <c r="A596" s="78" t="s">
        <v>334</v>
      </c>
      <c r="B596" s="43" t="s">
        <v>1433</v>
      </c>
      <c r="C596" s="91">
        <v>45730.0</v>
      </c>
      <c r="D596" s="8">
        <v>45734.0</v>
      </c>
      <c r="E596" s="9" t="s">
        <v>1128</v>
      </c>
      <c r="F596" s="8"/>
      <c r="G596" s="9" t="s">
        <v>18</v>
      </c>
      <c r="H596" s="7" t="s">
        <v>1434</v>
      </c>
      <c r="I596" s="9" t="s">
        <v>353</v>
      </c>
      <c r="J596" s="88"/>
    </row>
    <row r="597">
      <c r="A597" s="20" t="s">
        <v>98</v>
      </c>
      <c r="B597" s="9" t="s">
        <v>1435</v>
      </c>
      <c r="C597" s="91">
        <v>45869.52135576389</v>
      </c>
      <c r="D597" s="8"/>
      <c r="E597" s="9"/>
      <c r="F597" s="10"/>
      <c r="G597" s="9" t="s">
        <v>15</v>
      </c>
      <c r="H597" s="7" t="s">
        <v>1436</v>
      </c>
      <c r="I597" s="9" t="s">
        <v>353</v>
      </c>
      <c r="J597" s="88"/>
    </row>
    <row r="598">
      <c r="A598" s="78" t="s">
        <v>334</v>
      </c>
      <c r="B598" s="43" t="s">
        <v>1437</v>
      </c>
      <c r="C598" s="119">
        <v>45866.41877336806</v>
      </c>
      <c r="D598" s="80">
        <f>IFERROR(_xlfn.WORKDAY.INTL(C598, 2),"-")</f>
        <v>45868</v>
      </c>
      <c r="E598" s="9" t="s">
        <v>1123</v>
      </c>
      <c r="F598" s="10"/>
      <c r="G598" s="9" t="s">
        <v>18</v>
      </c>
      <c r="H598" s="7" t="s">
        <v>1438</v>
      </c>
      <c r="I598" s="9" t="s">
        <v>353</v>
      </c>
      <c r="J598" s="88"/>
    </row>
    <row r="599">
      <c r="A599" s="20" t="s">
        <v>98</v>
      </c>
      <c r="B599" s="9" t="s">
        <v>1439</v>
      </c>
      <c r="C599" s="91">
        <v>45846.53814704861</v>
      </c>
      <c r="D599" s="8"/>
      <c r="E599" s="9"/>
      <c r="F599" s="10"/>
      <c r="G599" s="9" t="s">
        <v>15</v>
      </c>
      <c r="H599" s="7" t="s">
        <v>1440</v>
      </c>
      <c r="I599" s="9" t="s">
        <v>353</v>
      </c>
      <c r="J599" s="88"/>
    </row>
    <row r="600">
      <c r="A600" s="78" t="s">
        <v>334</v>
      </c>
      <c r="B600" s="43" t="s">
        <v>1441</v>
      </c>
      <c r="C600" s="119">
        <v>45866.41786436342</v>
      </c>
      <c r="D600" s="80">
        <f>IFERROR(_xlfn.WORKDAY.INTL(C600, 2),"-")</f>
        <v>45868</v>
      </c>
      <c r="E600" s="9"/>
      <c r="F600" s="10"/>
      <c r="G600" s="9" t="s">
        <v>18</v>
      </c>
      <c r="H600" s="7" t="s">
        <v>1442</v>
      </c>
      <c r="I600" s="9" t="s">
        <v>353</v>
      </c>
      <c r="J600" s="88"/>
    </row>
    <row r="601">
      <c r="A601" s="20" t="s">
        <v>98</v>
      </c>
      <c r="B601" s="9" t="s">
        <v>1443</v>
      </c>
      <c r="C601" s="91">
        <v>45790.48398606481</v>
      </c>
      <c r="D601" s="8"/>
      <c r="E601" s="9"/>
      <c r="F601" s="10"/>
      <c r="G601" s="9" t="s">
        <v>15</v>
      </c>
      <c r="H601" s="7" t="s">
        <v>1444</v>
      </c>
      <c r="I601" s="9" t="s">
        <v>353</v>
      </c>
      <c r="J601" s="88"/>
    </row>
    <row r="602">
      <c r="A602" s="20" t="s">
        <v>98</v>
      </c>
      <c r="B602" s="9" t="s">
        <v>1445</v>
      </c>
      <c r="C602" s="91">
        <v>45868.52466917824</v>
      </c>
      <c r="D602" s="8"/>
      <c r="E602" s="9"/>
      <c r="F602" s="10"/>
      <c r="G602" s="9" t="s">
        <v>15</v>
      </c>
      <c r="H602" s="7" t="s">
        <v>1446</v>
      </c>
      <c r="I602" s="9" t="s">
        <v>353</v>
      </c>
      <c r="J602" s="88"/>
    </row>
    <row r="603">
      <c r="A603" s="20" t="s">
        <v>98</v>
      </c>
      <c r="B603" s="9" t="s">
        <v>1447</v>
      </c>
      <c r="C603" s="91">
        <v>45868.524726828706</v>
      </c>
      <c r="D603" s="8"/>
      <c r="E603" s="9"/>
      <c r="F603" s="10"/>
      <c r="G603" s="9" t="s">
        <v>15</v>
      </c>
      <c r="H603" s="7" t="s">
        <v>1436</v>
      </c>
      <c r="I603" s="9" t="s">
        <v>353</v>
      </c>
      <c r="J603" s="88"/>
    </row>
    <row r="604">
      <c r="A604" s="102" t="s">
        <v>624</v>
      </c>
      <c r="B604" s="7" t="s">
        <v>1339</v>
      </c>
      <c r="C604" s="91">
        <v>45868.67120755787</v>
      </c>
      <c r="D604" s="8"/>
      <c r="E604" s="9"/>
      <c r="F604" s="10"/>
      <c r="G604" s="9" t="s">
        <v>15</v>
      </c>
      <c r="H604" s="7" t="s">
        <v>1448</v>
      </c>
      <c r="I604" s="9" t="s">
        <v>13</v>
      </c>
      <c r="J604" s="88"/>
    </row>
    <row r="605">
      <c r="A605" s="102"/>
      <c r="B605" s="7" t="s">
        <v>1449</v>
      </c>
      <c r="C605" s="91"/>
      <c r="D605" s="8"/>
      <c r="E605" s="9"/>
      <c r="F605" s="8"/>
      <c r="G605" s="9" t="s">
        <v>11</v>
      </c>
      <c r="H605" s="7" t="s">
        <v>1450</v>
      </c>
      <c r="I605" s="9" t="s">
        <v>353</v>
      </c>
      <c r="J605" s="88"/>
    </row>
    <row r="606">
      <c r="A606" s="20" t="s">
        <v>98</v>
      </c>
      <c r="B606" s="9" t="s">
        <v>1451</v>
      </c>
      <c r="C606" s="91">
        <v>45860.820588993054</v>
      </c>
      <c r="D606" s="8"/>
      <c r="E606" s="9"/>
      <c r="F606" s="10"/>
      <c r="G606" s="9" t="s">
        <v>15</v>
      </c>
      <c r="H606" s="7" t="s">
        <v>1452</v>
      </c>
      <c r="I606" s="9" t="s">
        <v>353</v>
      </c>
      <c r="J606" s="88"/>
    </row>
    <row r="607">
      <c r="A607" s="6" t="s">
        <v>9</v>
      </c>
      <c r="B607" s="7" t="s">
        <v>441</v>
      </c>
      <c r="C607" s="91">
        <v>45862.66479855324</v>
      </c>
      <c r="D607" s="8">
        <f>IFERROR(_xlfn.WORKDAY.INTL(C607, 2),"-")</f>
        <v>45866</v>
      </c>
      <c r="E607" s="9" t="s">
        <v>11</v>
      </c>
      <c r="F607" s="10"/>
      <c r="G607" s="9" t="s">
        <v>15</v>
      </c>
      <c r="H607" s="7" t="s">
        <v>1453</v>
      </c>
      <c r="I607" s="9" t="s">
        <v>353</v>
      </c>
      <c r="J607" s="88"/>
    </row>
    <row r="608">
      <c r="A608" s="20" t="s">
        <v>98</v>
      </c>
      <c r="B608" s="9" t="s">
        <v>1372</v>
      </c>
      <c r="C608" s="91">
        <v>45867.59291792824</v>
      </c>
      <c r="D608" s="8"/>
      <c r="E608" s="9"/>
      <c r="F608" s="10"/>
      <c r="G608" s="9" t="s">
        <v>15</v>
      </c>
      <c r="H608" s="7" t="s">
        <v>1454</v>
      </c>
      <c r="I608" s="9" t="s">
        <v>353</v>
      </c>
      <c r="J608" s="88"/>
    </row>
    <row r="609">
      <c r="A609" s="102" t="s">
        <v>624</v>
      </c>
      <c r="B609" s="7" t="s">
        <v>1455</v>
      </c>
      <c r="C609" s="91" t="s">
        <v>11</v>
      </c>
      <c r="D609" s="8" t="str">
        <f>IFERROR(_xlfn.WORKDAY.INTL(C609, 2),"-")</f>
        <v>-</v>
      </c>
      <c r="E609" s="9" t="s">
        <v>11</v>
      </c>
      <c r="F609" s="8"/>
      <c r="G609" s="9" t="s">
        <v>11</v>
      </c>
      <c r="H609" s="7" t="s">
        <v>1456</v>
      </c>
      <c r="I609" s="9" t="s">
        <v>353</v>
      </c>
      <c r="J609" s="88"/>
    </row>
    <row r="610">
      <c r="A610" s="102" t="s">
        <v>624</v>
      </c>
      <c r="B610" s="7" t="s">
        <v>1457</v>
      </c>
      <c r="C610" s="91">
        <v>45866.68990695602</v>
      </c>
      <c r="D610" s="8"/>
      <c r="E610" s="9"/>
      <c r="F610" s="10"/>
      <c r="G610" s="9"/>
      <c r="H610" s="7" t="s">
        <v>1458</v>
      </c>
      <c r="I610" s="9" t="s">
        <v>353</v>
      </c>
      <c r="J610" s="88"/>
    </row>
    <row r="611">
      <c r="A611" s="78" t="s">
        <v>334</v>
      </c>
      <c r="B611" s="43" t="s">
        <v>1459</v>
      </c>
      <c r="C611" s="119">
        <v>45868.3600872338</v>
      </c>
      <c r="D611" s="80">
        <f t="shared" ref="D611:D613" si="63">IFERROR(_xlfn.WORKDAY.INTL(C611, 2),"-")</f>
        <v>45870</v>
      </c>
      <c r="E611" s="9"/>
      <c r="F611" s="10"/>
      <c r="G611" s="9" t="s">
        <v>18</v>
      </c>
      <c r="H611" s="11"/>
      <c r="I611" s="9" t="s">
        <v>353</v>
      </c>
      <c r="J611" s="88"/>
    </row>
    <row r="612">
      <c r="A612" s="78" t="s">
        <v>334</v>
      </c>
      <c r="B612" s="43" t="s">
        <v>1460</v>
      </c>
      <c r="C612" s="119">
        <v>45819.46908265047</v>
      </c>
      <c r="D612" s="80">
        <f t="shared" si="63"/>
        <v>45821</v>
      </c>
      <c r="E612" s="9" t="s">
        <v>1097</v>
      </c>
      <c r="F612" s="10"/>
      <c r="G612" s="9" t="s">
        <v>18</v>
      </c>
      <c r="H612" s="7" t="s">
        <v>1461</v>
      </c>
      <c r="I612" s="9" t="s">
        <v>353</v>
      </c>
      <c r="J612" s="88"/>
    </row>
    <row r="613">
      <c r="A613" s="102" t="s">
        <v>624</v>
      </c>
      <c r="B613" s="7" t="s">
        <v>1462</v>
      </c>
      <c r="C613" s="91">
        <v>45859.48802715278</v>
      </c>
      <c r="D613" s="8">
        <f t="shared" si="63"/>
        <v>45861</v>
      </c>
      <c r="E613" s="9" t="s">
        <v>11</v>
      </c>
      <c r="F613" s="8"/>
      <c r="G613" s="9" t="s">
        <v>15</v>
      </c>
      <c r="H613" s="7" t="s">
        <v>1463</v>
      </c>
      <c r="I613" s="9" t="s">
        <v>13</v>
      </c>
      <c r="J613" s="88"/>
    </row>
    <row r="614">
      <c r="A614" s="102"/>
      <c r="B614" s="67" t="s">
        <v>1464</v>
      </c>
      <c r="C614" s="91">
        <v>45716.402526817124</v>
      </c>
      <c r="D614" s="8"/>
      <c r="E614" s="9" t="s">
        <v>88</v>
      </c>
      <c r="F614" s="10"/>
      <c r="G614" s="9" t="s">
        <v>11</v>
      </c>
      <c r="H614" s="7" t="s">
        <v>1465</v>
      </c>
      <c r="I614" s="9" t="s">
        <v>353</v>
      </c>
      <c r="J614" s="88"/>
    </row>
    <row r="615">
      <c r="A615" s="54" t="s">
        <v>236</v>
      </c>
      <c r="B615" s="7" t="s">
        <v>1466</v>
      </c>
      <c r="C615" s="91">
        <v>45856.477135127316</v>
      </c>
      <c r="D615" s="8"/>
      <c r="E615" s="9"/>
      <c r="F615" s="10"/>
      <c r="G615" s="9" t="s">
        <v>15</v>
      </c>
      <c r="H615" s="7" t="s">
        <v>1467</v>
      </c>
      <c r="I615" s="9" t="s">
        <v>353</v>
      </c>
      <c r="J615" s="88"/>
    </row>
    <row r="616">
      <c r="A616" s="54" t="s">
        <v>236</v>
      </c>
      <c r="B616" s="7" t="s">
        <v>1468</v>
      </c>
      <c r="C616" s="91">
        <v>45861.719875219904</v>
      </c>
      <c r="D616" s="8"/>
      <c r="E616" s="9"/>
      <c r="F616" s="10"/>
      <c r="G616" s="9" t="s">
        <v>15</v>
      </c>
      <c r="H616" s="7" t="s">
        <v>1469</v>
      </c>
      <c r="I616" s="9" t="s">
        <v>353</v>
      </c>
      <c r="J616" s="88"/>
    </row>
    <row r="617">
      <c r="A617" s="20" t="s">
        <v>98</v>
      </c>
      <c r="B617" s="9" t="s">
        <v>1470</v>
      </c>
      <c r="C617" s="91">
        <v>45855.47833159722</v>
      </c>
      <c r="D617" s="8"/>
      <c r="E617" s="9"/>
      <c r="F617" s="10"/>
      <c r="G617" s="9" t="s">
        <v>18</v>
      </c>
      <c r="H617" s="7" t="s">
        <v>1471</v>
      </c>
      <c r="I617" s="9" t="s">
        <v>353</v>
      </c>
      <c r="J617" s="88"/>
    </row>
    <row r="618">
      <c r="A618" s="20" t="s">
        <v>98</v>
      </c>
      <c r="B618" s="9" t="s">
        <v>1451</v>
      </c>
      <c r="C618" s="91">
        <v>45860.820588993054</v>
      </c>
      <c r="D618" s="8"/>
      <c r="E618" s="9"/>
      <c r="F618" s="10"/>
      <c r="G618" s="9" t="s">
        <v>18</v>
      </c>
      <c r="H618" s="7" t="s">
        <v>1472</v>
      </c>
      <c r="I618" s="9" t="s">
        <v>353</v>
      </c>
      <c r="J618" s="88"/>
    </row>
    <row r="619">
      <c r="A619" s="6" t="s">
        <v>9</v>
      </c>
      <c r="B619" s="7" t="s">
        <v>1473</v>
      </c>
      <c r="C619" s="91">
        <v>45862.66469017361</v>
      </c>
      <c r="D619" s="8">
        <f>IFERROR(_xlfn.WORKDAY.INTL(C619, 2),"-")</f>
        <v>45866</v>
      </c>
      <c r="E619" s="9" t="s">
        <v>11</v>
      </c>
      <c r="F619" s="10"/>
      <c r="G619" s="9" t="s">
        <v>15</v>
      </c>
      <c r="H619" s="7" t="s">
        <v>1474</v>
      </c>
      <c r="I619" s="9" t="s">
        <v>353</v>
      </c>
      <c r="J619" s="88"/>
    </row>
    <row r="620">
      <c r="A620" s="20" t="s">
        <v>98</v>
      </c>
      <c r="B620" s="9" t="s">
        <v>1475</v>
      </c>
      <c r="C620" s="91">
        <v>45860.81977724537</v>
      </c>
      <c r="D620" s="8"/>
      <c r="E620" s="9"/>
      <c r="F620" s="10"/>
      <c r="G620" s="9" t="s">
        <v>15</v>
      </c>
      <c r="H620" s="7" t="s">
        <v>1476</v>
      </c>
      <c r="I620" s="9" t="s">
        <v>353</v>
      </c>
      <c r="J620" s="88"/>
    </row>
    <row r="621">
      <c r="A621" s="20" t="s">
        <v>98</v>
      </c>
      <c r="B621" s="9" t="s">
        <v>1477</v>
      </c>
      <c r="C621" s="91">
        <v>45867.46522895833</v>
      </c>
      <c r="D621" s="8"/>
      <c r="E621" s="9"/>
      <c r="F621" s="10"/>
      <c r="G621" s="9" t="s">
        <v>15</v>
      </c>
      <c r="H621" s="7" t="s">
        <v>1476</v>
      </c>
      <c r="I621" s="9" t="s">
        <v>353</v>
      </c>
      <c r="J621" s="88"/>
    </row>
    <row r="622">
      <c r="A622" s="54" t="s">
        <v>236</v>
      </c>
      <c r="B622" s="7" t="s">
        <v>1478</v>
      </c>
      <c r="C622" s="91">
        <v>45810.350610625</v>
      </c>
      <c r="D622" s="8"/>
      <c r="E622" s="9"/>
      <c r="F622" s="10"/>
      <c r="G622" s="9" t="s">
        <v>220</v>
      </c>
      <c r="H622" s="7" t="s">
        <v>1479</v>
      </c>
      <c r="I622" s="9" t="s">
        <v>353</v>
      </c>
      <c r="J622" s="88"/>
    </row>
    <row r="623">
      <c r="A623" s="6" t="s">
        <v>9</v>
      </c>
      <c r="B623" s="7" t="s">
        <v>1480</v>
      </c>
      <c r="C623" s="91">
        <v>45761.37283400463</v>
      </c>
      <c r="D623" s="8">
        <f t="shared" ref="D623:D628" si="64">IFERROR(_xlfn.WORKDAY.INTL(C623, 2),"-")</f>
        <v>45763</v>
      </c>
      <c r="E623" s="9" t="s">
        <v>11</v>
      </c>
      <c r="F623" s="10"/>
      <c r="G623" s="9" t="s">
        <v>18</v>
      </c>
      <c r="H623" s="7" t="s">
        <v>1481</v>
      </c>
      <c r="I623" s="9" t="s">
        <v>353</v>
      </c>
      <c r="J623" s="88"/>
    </row>
    <row r="624">
      <c r="A624" s="78" t="s">
        <v>334</v>
      </c>
      <c r="B624" s="43" t="s">
        <v>1482</v>
      </c>
      <c r="C624" s="119">
        <v>45846.721138125</v>
      </c>
      <c r="D624" s="80">
        <f t="shared" si="64"/>
        <v>45848</v>
      </c>
      <c r="E624" s="9" t="s">
        <v>1097</v>
      </c>
      <c r="F624" s="10"/>
      <c r="G624" s="9" t="s">
        <v>15</v>
      </c>
      <c r="H624" s="7" t="s">
        <v>1483</v>
      </c>
      <c r="I624" s="9" t="s">
        <v>353</v>
      </c>
      <c r="J624" s="88"/>
    </row>
    <row r="625">
      <c r="A625" s="78" t="s">
        <v>334</v>
      </c>
      <c r="B625" s="43" t="s">
        <v>1484</v>
      </c>
      <c r="C625" s="119">
        <v>45854.72367237268</v>
      </c>
      <c r="D625" s="80">
        <f t="shared" si="64"/>
        <v>45856</v>
      </c>
      <c r="E625" s="9" t="s">
        <v>1128</v>
      </c>
      <c r="F625" s="10"/>
      <c r="G625" s="9" t="s">
        <v>18</v>
      </c>
      <c r="H625" s="7" t="s">
        <v>1485</v>
      </c>
      <c r="I625" s="9" t="s">
        <v>353</v>
      </c>
      <c r="J625" s="88"/>
    </row>
    <row r="626">
      <c r="A626" s="78" t="s">
        <v>334</v>
      </c>
      <c r="B626" s="43" t="s">
        <v>1486</v>
      </c>
      <c r="C626" s="119">
        <v>45853.64853803241</v>
      </c>
      <c r="D626" s="80">
        <f t="shared" si="64"/>
        <v>45855</v>
      </c>
      <c r="E626" s="9" t="s">
        <v>1097</v>
      </c>
      <c r="F626" s="10"/>
      <c r="G626" s="9" t="s">
        <v>18</v>
      </c>
      <c r="H626" s="7" t="s">
        <v>1487</v>
      </c>
      <c r="I626" s="9" t="s">
        <v>353</v>
      </c>
      <c r="J626" s="88"/>
    </row>
    <row r="627">
      <c r="A627" s="78" t="s">
        <v>334</v>
      </c>
      <c r="B627" s="43" t="s">
        <v>1488</v>
      </c>
      <c r="C627" s="119">
        <v>45863.46771730324</v>
      </c>
      <c r="D627" s="80">
        <f t="shared" si="64"/>
        <v>45867</v>
      </c>
      <c r="E627" s="9" t="s">
        <v>1489</v>
      </c>
      <c r="F627" s="10"/>
      <c r="G627" s="9" t="s">
        <v>18</v>
      </c>
      <c r="H627" s="7" t="s">
        <v>1490</v>
      </c>
      <c r="I627" s="9" t="s">
        <v>353</v>
      </c>
      <c r="J627" s="88"/>
    </row>
    <row r="628">
      <c r="A628" s="102" t="s">
        <v>624</v>
      </c>
      <c r="B628" s="7" t="s">
        <v>1491</v>
      </c>
      <c r="C628" s="91">
        <v>45859.48828650463</v>
      </c>
      <c r="D628" s="8">
        <f t="shared" si="64"/>
        <v>45861</v>
      </c>
      <c r="E628" s="9" t="s">
        <v>11</v>
      </c>
      <c r="F628" s="8"/>
      <c r="G628" s="9" t="s">
        <v>18</v>
      </c>
      <c r="H628" s="11"/>
      <c r="I628" s="9" t="s">
        <v>13</v>
      </c>
      <c r="J628" s="88"/>
    </row>
    <row r="629">
      <c r="A629" s="102"/>
      <c r="B629" s="7" t="s">
        <v>1492</v>
      </c>
      <c r="C629" s="91"/>
      <c r="D629" s="8"/>
      <c r="E629" s="9"/>
      <c r="F629" s="8"/>
      <c r="G629" s="9" t="s">
        <v>11</v>
      </c>
      <c r="H629" s="105" t="s">
        <v>1493</v>
      </c>
      <c r="I629" s="9" t="s">
        <v>353</v>
      </c>
      <c r="J629" s="88"/>
    </row>
    <row r="630">
      <c r="A630" s="20" t="s">
        <v>98</v>
      </c>
      <c r="B630" s="9" t="s">
        <v>1494</v>
      </c>
      <c r="C630" s="91">
        <v>45859.71373967592</v>
      </c>
      <c r="D630" s="8"/>
      <c r="E630" s="9"/>
      <c r="F630" s="10"/>
      <c r="G630" s="9" t="s">
        <v>18</v>
      </c>
      <c r="H630" s="7" t="s">
        <v>1495</v>
      </c>
      <c r="I630" s="9" t="s">
        <v>353</v>
      </c>
      <c r="J630" s="88"/>
    </row>
    <row r="631">
      <c r="A631" s="6" t="s">
        <v>9</v>
      </c>
      <c r="B631" s="7" t="s">
        <v>1496</v>
      </c>
      <c r="C631" s="91">
        <v>45866.66459325231</v>
      </c>
      <c r="D631" s="8">
        <f>IFERROR(_xlfn.WORKDAY.INTL(C631, 2),"-")</f>
        <v>45868</v>
      </c>
      <c r="E631" s="9" t="s">
        <v>11</v>
      </c>
      <c r="F631" s="10"/>
      <c r="G631" s="9" t="s">
        <v>18</v>
      </c>
      <c r="H631" s="7" t="s">
        <v>437</v>
      </c>
      <c r="I631" s="9" t="s">
        <v>353</v>
      </c>
      <c r="J631" s="88"/>
    </row>
    <row r="632">
      <c r="A632" s="20" t="s">
        <v>98</v>
      </c>
      <c r="B632" s="9" t="s">
        <v>1497</v>
      </c>
      <c r="C632" s="91">
        <v>45863.467209270835</v>
      </c>
      <c r="D632" s="8"/>
      <c r="E632" s="9"/>
      <c r="F632" s="10"/>
      <c r="G632" s="9" t="s">
        <v>15</v>
      </c>
      <c r="H632" s="7" t="s">
        <v>1498</v>
      </c>
      <c r="I632" s="9" t="s">
        <v>353</v>
      </c>
      <c r="J632" s="88"/>
    </row>
    <row r="633">
      <c r="A633" s="20" t="s">
        <v>98</v>
      </c>
      <c r="B633" s="9" t="s">
        <v>1499</v>
      </c>
      <c r="C633" s="91">
        <v>45866.61006085648</v>
      </c>
      <c r="D633" s="8"/>
      <c r="E633" s="9"/>
      <c r="F633" s="10"/>
      <c r="G633" s="9" t="s">
        <v>15</v>
      </c>
      <c r="H633" s="7" t="s">
        <v>1500</v>
      </c>
      <c r="I633" s="9" t="s">
        <v>353</v>
      </c>
      <c r="J633" s="88"/>
    </row>
    <row r="634">
      <c r="A634" s="20" t="s">
        <v>98</v>
      </c>
      <c r="B634" s="9" t="s">
        <v>1501</v>
      </c>
      <c r="C634" s="91">
        <v>45789.35685391204</v>
      </c>
      <c r="D634" s="8"/>
      <c r="E634" s="9"/>
      <c r="F634" s="10"/>
      <c r="G634" s="9" t="s">
        <v>21</v>
      </c>
      <c r="H634" s="22" t="s">
        <v>1502</v>
      </c>
      <c r="I634" s="9" t="s">
        <v>353</v>
      </c>
      <c r="J634" s="88"/>
    </row>
    <row r="635">
      <c r="A635" s="6" t="s">
        <v>9</v>
      </c>
      <c r="B635" s="7" t="s">
        <v>1503</v>
      </c>
      <c r="C635" s="91">
        <v>45821.41963954861</v>
      </c>
      <c r="D635" s="8">
        <f t="shared" ref="D635:D638" si="65">IFERROR(_xlfn.WORKDAY.INTL(C635, 2),"-")</f>
        <v>45825</v>
      </c>
      <c r="E635" s="9" t="s">
        <v>11</v>
      </c>
      <c r="F635" s="10"/>
      <c r="G635" s="9" t="s">
        <v>15</v>
      </c>
      <c r="H635" s="7" t="s">
        <v>1504</v>
      </c>
      <c r="I635" s="9" t="s">
        <v>353</v>
      </c>
      <c r="J635" s="88"/>
    </row>
    <row r="636">
      <c r="A636" s="20" t="s">
        <v>98</v>
      </c>
      <c r="B636" s="9" t="s">
        <v>1505</v>
      </c>
      <c r="C636" s="91">
        <v>45855.64552340278</v>
      </c>
      <c r="D636" s="8">
        <f t="shared" si="65"/>
        <v>45859</v>
      </c>
      <c r="E636" s="9" t="s">
        <v>11</v>
      </c>
      <c r="F636" s="10"/>
      <c r="G636" s="9" t="s">
        <v>21</v>
      </c>
      <c r="H636" s="62" t="s">
        <v>1506</v>
      </c>
      <c r="I636" s="9" t="s">
        <v>353</v>
      </c>
      <c r="J636" s="88"/>
    </row>
    <row r="637">
      <c r="A637" s="54" t="s">
        <v>236</v>
      </c>
      <c r="B637" s="100" t="s">
        <v>1507</v>
      </c>
      <c r="C637" s="91">
        <v>45594.66867230324</v>
      </c>
      <c r="D637" s="8">
        <f t="shared" si="65"/>
        <v>45596</v>
      </c>
      <c r="E637" s="9" t="s">
        <v>11</v>
      </c>
      <c r="F637" s="10"/>
      <c r="G637" s="9" t="s">
        <v>18</v>
      </c>
      <c r="H637" s="7" t="s">
        <v>1508</v>
      </c>
      <c r="I637" s="9" t="s">
        <v>353</v>
      </c>
      <c r="J637" s="88"/>
    </row>
    <row r="638">
      <c r="A638" s="54" t="s">
        <v>236</v>
      </c>
      <c r="B638" s="100" t="s">
        <v>1509</v>
      </c>
      <c r="C638" s="91">
        <v>45594.66857146991</v>
      </c>
      <c r="D638" s="8">
        <f t="shared" si="65"/>
        <v>45596</v>
      </c>
      <c r="E638" s="9" t="s">
        <v>11</v>
      </c>
      <c r="F638" s="10"/>
      <c r="G638" s="9" t="s">
        <v>18</v>
      </c>
      <c r="H638" s="7" t="s">
        <v>1510</v>
      </c>
      <c r="I638" s="9" t="s">
        <v>353</v>
      </c>
      <c r="J638" s="88"/>
    </row>
    <row r="639">
      <c r="A639" s="20" t="s">
        <v>98</v>
      </c>
      <c r="B639" s="9" t="s">
        <v>1511</v>
      </c>
      <c r="C639" s="91">
        <v>45866.403162002316</v>
      </c>
      <c r="D639" s="8"/>
      <c r="E639" s="9"/>
      <c r="F639" s="10"/>
      <c r="G639" s="9" t="s">
        <v>15</v>
      </c>
      <c r="H639" s="7" t="s">
        <v>1498</v>
      </c>
      <c r="I639" s="9" t="s">
        <v>353</v>
      </c>
      <c r="J639" s="88"/>
    </row>
    <row r="640">
      <c r="A640" s="54" t="s">
        <v>236</v>
      </c>
      <c r="B640" s="100" t="s">
        <v>1512</v>
      </c>
      <c r="C640" s="91">
        <v>45594.66809396991</v>
      </c>
      <c r="D640" s="8">
        <f t="shared" ref="D640:D642" si="66">IFERROR(_xlfn.WORKDAY.INTL(C640, 2),"-")</f>
        <v>45596</v>
      </c>
      <c r="E640" s="9" t="s">
        <v>11</v>
      </c>
      <c r="F640" s="10"/>
      <c r="G640" s="9" t="s">
        <v>18</v>
      </c>
      <c r="H640" s="7" t="s">
        <v>1513</v>
      </c>
      <c r="I640" s="9" t="s">
        <v>353</v>
      </c>
      <c r="J640" s="88"/>
    </row>
    <row r="641">
      <c r="A641" s="6" t="s">
        <v>9</v>
      </c>
      <c r="B641" s="7" t="s">
        <v>1514</v>
      </c>
      <c r="C641" s="91">
        <v>45866.38660267361</v>
      </c>
      <c r="D641" s="8">
        <f t="shared" si="66"/>
        <v>45868</v>
      </c>
      <c r="E641" s="9" t="s">
        <v>11</v>
      </c>
      <c r="F641" s="10"/>
      <c r="G641" s="9" t="s">
        <v>18</v>
      </c>
      <c r="H641" s="7" t="s">
        <v>437</v>
      </c>
      <c r="I641" s="9" t="s">
        <v>353</v>
      </c>
      <c r="J641" s="88"/>
    </row>
    <row r="642">
      <c r="A642" s="78" t="s">
        <v>334</v>
      </c>
      <c r="B642" s="43" t="s">
        <v>1515</v>
      </c>
      <c r="C642" s="119">
        <v>45863.46785857639</v>
      </c>
      <c r="D642" s="80">
        <f t="shared" si="66"/>
        <v>45867</v>
      </c>
      <c r="E642" s="9" t="s">
        <v>1489</v>
      </c>
      <c r="F642" s="10"/>
      <c r="G642" s="9" t="s">
        <v>18</v>
      </c>
      <c r="H642" s="7" t="s">
        <v>1516</v>
      </c>
      <c r="I642" s="9" t="s">
        <v>353</v>
      </c>
      <c r="J642" s="88"/>
    </row>
    <row r="643">
      <c r="A643" s="20" t="s">
        <v>98</v>
      </c>
      <c r="B643" s="9" t="s">
        <v>1517</v>
      </c>
      <c r="C643" s="91">
        <v>45856.46360452546</v>
      </c>
      <c r="D643" s="8"/>
      <c r="E643" s="9"/>
      <c r="F643" s="10"/>
      <c r="G643" s="9" t="s">
        <v>15</v>
      </c>
      <c r="H643" s="7" t="s">
        <v>1518</v>
      </c>
      <c r="I643" s="9" t="s">
        <v>353</v>
      </c>
      <c r="J643" s="88"/>
    </row>
    <row r="644">
      <c r="A644" s="20" t="s">
        <v>98</v>
      </c>
      <c r="B644" s="9" t="s">
        <v>1519</v>
      </c>
      <c r="C644" s="91">
        <v>45713.61867038194</v>
      </c>
      <c r="D644" s="8">
        <f>IFERROR(_xlfn.WORKDAY.INTL(C644, 2),"-")</f>
        <v>45715</v>
      </c>
      <c r="E644" s="9" t="s">
        <v>11</v>
      </c>
      <c r="F644" s="10"/>
      <c r="G644" s="9" t="s">
        <v>15</v>
      </c>
      <c r="H644" s="25" t="s">
        <v>1520</v>
      </c>
      <c r="I644" s="9" t="s">
        <v>353</v>
      </c>
      <c r="J644" s="88"/>
    </row>
    <row r="645">
      <c r="A645" s="20" t="s">
        <v>98</v>
      </c>
      <c r="B645" s="9" t="s">
        <v>1521</v>
      </c>
      <c r="C645" s="91">
        <v>45859.75652111111</v>
      </c>
      <c r="D645" s="8"/>
      <c r="E645" s="9"/>
      <c r="F645" s="10"/>
      <c r="G645" s="9" t="s">
        <v>15</v>
      </c>
      <c r="H645" s="7" t="s">
        <v>1522</v>
      </c>
      <c r="I645" s="9" t="s">
        <v>353</v>
      </c>
      <c r="J645" s="88"/>
    </row>
    <row r="646">
      <c r="A646" s="20" t="s">
        <v>98</v>
      </c>
      <c r="B646" s="9" t="s">
        <v>1523</v>
      </c>
      <c r="C646" s="91">
        <v>45848.32145094908</v>
      </c>
      <c r="D646" s="8"/>
      <c r="E646" s="9"/>
      <c r="F646" s="10"/>
      <c r="G646" s="9" t="s">
        <v>15</v>
      </c>
      <c r="H646" s="7" t="s">
        <v>1524</v>
      </c>
      <c r="I646" s="9" t="s">
        <v>353</v>
      </c>
      <c r="J646" s="88"/>
    </row>
    <row r="647">
      <c r="A647" s="54" t="s">
        <v>236</v>
      </c>
      <c r="B647" s="7" t="s">
        <v>1525</v>
      </c>
      <c r="C647" s="91">
        <v>45861.71994998843</v>
      </c>
      <c r="D647" s="8"/>
      <c r="E647" s="9"/>
      <c r="F647" s="10"/>
      <c r="G647" s="9" t="s">
        <v>15</v>
      </c>
      <c r="H647" s="7" t="s">
        <v>1526</v>
      </c>
      <c r="I647" s="9" t="s">
        <v>353</v>
      </c>
      <c r="J647" s="88"/>
    </row>
    <row r="648">
      <c r="A648" s="6" t="s">
        <v>9</v>
      </c>
      <c r="B648" s="7" t="s">
        <v>1527</v>
      </c>
      <c r="C648" s="91">
        <v>45855.42161960648</v>
      </c>
      <c r="D648" s="8">
        <f t="shared" ref="D648:D649" si="67">IFERROR(_xlfn.WORKDAY.INTL(C648, 2),"-")</f>
        <v>45859</v>
      </c>
      <c r="E648" s="9" t="s">
        <v>11</v>
      </c>
      <c r="F648" s="10"/>
      <c r="G648" s="9" t="s">
        <v>15</v>
      </c>
      <c r="H648" s="7" t="s">
        <v>1528</v>
      </c>
      <c r="I648" s="9" t="s">
        <v>353</v>
      </c>
      <c r="J648" s="88"/>
    </row>
    <row r="649">
      <c r="A649" s="6" t="s">
        <v>9</v>
      </c>
      <c r="B649" s="7" t="s">
        <v>1529</v>
      </c>
      <c r="C649" s="91">
        <v>45821.419240625</v>
      </c>
      <c r="D649" s="8">
        <f t="shared" si="67"/>
        <v>45825</v>
      </c>
      <c r="E649" s="9" t="s">
        <v>11</v>
      </c>
      <c r="F649" s="10"/>
      <c r="G649" s="9" t="s">
        <v>15</v>
      </c>
      <c r="H649" s="7" t="s">
        <v>1530</v>
      </c>
      <c r="I649" s="9" t="s">
        <v>353</v>
      </c>
      <c r="J649" s="88"/>
    </row>
    <row r="650">
      <c r="A650" s="54" t="s">
        <v>236</v>
      </c>
      <c r="B650" s="7" t="s">
        <v>1531</v>
      </c>
      <c r="C650" s="91">
        <v>45862.623924837964</v>
      </c>
      <c r="D650" s="8"/>
      <c r="E650" s="9"/>
      <c r="F650" s="10"/>
      <c r="G650" s="9"/>
      <c r="H650" s="11"/>
      <c r="I650" s="9" t="s">
        <v>353</v>
      </c>
      <c r="J650" s="88"/>
    </row>
    <row r="651">
      <c r="A651" s="78" t="s">
        <v>334</v>
      </c>
      <c r="B651" s="43" t="s">
        <v>1532</v>
      </c>
      <c r="C651" s="119">
        <v>45796.0</v>
      </c>
      <c r="D651" s="80">
        <f>IFERROR(_xlfn.WORKDAY.INTL(C651, 2),"-")</f>
        <v>45798</v>
      </c>
      <c r="E651" s="9" t="s">
        <v>1097</v>
      </c>
      <c r="F651" s="10"/>
      <c r="G651" s="9" t="s">
        <v>18</v>
      </c>
      <c r="H651" s="7" t="s">
        <v>1533</v>
      </c>
      <c r="I651" s="9" t="s">
        <v>353</v>
      </c>
      <c r="J651" s="88"/>
    </row>
    <row r="652">
      <c r="A652" s="20" t="s">
        <v>98</v>
      </c>
      <c r="B652" s="9" t="s">
        <v>807</v>
      </c>
      <c r="C652" s="91">
        <v>45860.750349375</v>
      </c>
      <c r="D652" s="8"/>
      <c r="E652" s="9"/>
      <c r="F652" s="10"/>
      <c r="G652" s="9" t="s">
        <v>15</v>
      </c>
      <c r="H652" s="7" t="s">
        <v>1534</v>
      </c>
      <c r="I652" s="9" t="s">
        <v>353</v>
      </c>
      <c r="J652" s="88"/>
    </row>
    <row r="653">
      <c r="A653" s="20" t="s">
        <v>98</v>
      </c>
      <c r="B653" s="9" t="s">
        <v>1535</v>
      </c>
      <c r="C653" s="91">
        <v>45862.48095179399</v>
      </c>
      <c r="D653" s="8"/>
      <c r="E653" s="9"/>
      <c r="F653" s="10"/>
      <c r="G653" s="9" t="s">
        <v>15</v>
      </c>
      <c r="H653" s="7" t="s">
        <v>1536</v>
      </c>
      <c r="I653" s="9" t="s">
        <v>353</v>
      </c>
      <c r="J653" s="88"/>
    </row>
    <row r="654">
      <c r="A654" s="20" t="s">
        <v>98</v>
      </c>
      <c r="B654" s="9" t="s">
        <v>1537</v>
      </c>
      <c r="C654" s="91">
        <v>45860.820779999995</v>
      </c>
      <c r="D654" s="8"/>
      <c r="E654" s="9"/>
      <c r="F654" s="10"/>
      <c r="G654" s="9" t="s">
        <v>15</v>
      </c>
      <c r="H654" s="7" t="s">
        <v>1538</v>
      </c>
      <c r="I654" s="9" t="s">
        <v>353</v>
      </c>
      <c r="J654" s="88"/>
    </row>
    <row r="655">
      <c r="A655" s="20" t="s">
        <v>98</v>
      </c>
      <c r="B655" s="9" t="s">
        <v>1539</v>
      </c>
      <c r="C655" s="91">
        <v>45860.81989373843</v>
      </c>
      <c r="D655" s="8"/>
      <c r="E655" s="9"/>
      <c r="F655" s="10"/>
      <c r="G655" s="9" t="s">
        <v>15</v>
      </c>
      <c r="H655" s="7" t="s">
        <v>1540</v>
      </c>
      <c r="I655" s="9" t="s">
        <v>353</v>
      </c>
      <c r="J655" s="88"/>
    </row>
    <row r="656">
      <c r="A656" s="20" t="s">
        <v>98</v>
      </c>
      <c r="B656" s="9" t="s">
        <v>1541</v>
      </c>
      <c r="C656" s="91">
        <v>45860.820056331024</v>
      </c>
      <c r="D656" s="8"/>
      <c r="E656" s="9"/>
      <c r="F656" s="10"/>
      <c r="G656" s="9" t="s">
        <v>15</v>
      </c>
      <c r="H656" s="7" t="s">
        <v>1538</v>
      </c>
      <c r="I656" s="9" t="s">
        <v>353</v>
      </c>
      <c r="J656" s="88"/>
    </row>
    <row r="657">
      <c r="A657" s="20" t="s">
        <v>98</v>
      </c>
      <c r="B657" s="9" t="s">
        <v>1542</v>
      </c>
      <c r="C657" s="91">
        <v>45856.46333967593</v>
      </c>
      <c r="D657" s="8"/>
      <c r="E657" s="9"/>
      <c r="F657" s="10"/>
      <c r="G657" s="9" t="s">
        <v>15</v>
      </c>
      <c r="H657" s="7" t="s">
        <v>1538</v>
      </c>
      <c r="I657" s="9" t="s">
        <v>353</v>
      </c>
      <c r="J657" s="88"/>
    </row>
    <row r="658">
      <c r="A658" s="20" t="s">
        <v>98</v>
      </c>
      <c r="B658" s="9" t="s">
        <v>1543</v>
      </c>
      <c r="C658" s="91">
        <v>45860.81996729167</v>
      </c>
      <c r="D658" s="8"/>
      <c r="E658" s="9"/>
      <c r="F658" s="10"/>
      <c r="G658" s="9" t="s">
        <v>15</v>
      </c>
      <c r="H658" s="7" t="s">
        <v>1538</v>
      </c>
      <c r="I658" s="9" t="s">
        <v>353</v>
      </c>
      <c r="J658" s="88"/>
    </row>
    <row r="659">
      <c r="A659" s="20" t="s">
        <v>98</v>
      </c>
      <c r="B659" s="9" t="s">
        <v>1544</v>
      </c>
      <c r="C659" s="91">
        <v>45860.820367430555</v>
      </c>
      <c r="D659" s="8"/>
      <c r="E659" s="9"/>
      <c r="F659" s="10"/>
      <c r="G659" s="9" t="s">
        <v>15</v>
      </c>
      <c r="H659" s="7" t="s">
        <v>1538</v>
      </c>
      <c r="I659" s="9" t="s">
        <v>353</v>
      </c>
      <c r="J659" s="88"/>
    </row>
    <row r="660">
      <c r="A660" s="20" t="s">
        <v>98</v>
      </c>
      <c r="B660" s="9" t="s">
        <v>1279</v>
      </c>
      <c r="C660" s="91">
        <v>45860.8194200463</v>
      </c>
      <c r="D660" s="8"/>
      <c r="E660" s="9"/>
      <c r="F660" s="10"/>
      <c r="G660" s="9" t="s">
        <v>15</v>
      </c>
      <c r="H660" s="7" t="s">
        <v>1545</v>
      </c>
      <c r="I660" s="9" t="s">
        <v>353</v>
      </c>
      <c r="J660" s="88"/>
    </row>
    <row r="661">
      <c r="A661" s="20" t="s">
        <v>98</v>
      </c>
      <c r="B661" s="9" t="s">
        <v>1081</v>
      </c>
      <c r="C661" s="91">
        <v>45856.46260225694</v>
      </c>
      <c r="D661" s="8"/>
      <c r="E661" s="9"/>
      <c r="F661" s="10"/>
      <c r="G661" s="9" t="s">
        <v>15</v>
      </c>
      <c r="H661" s="7" t="s">
        <v>1545</v>
      </c>
      <c r="I661" s="9" t="s">
        <v>353</v>
      </c>
      <c r="J661" s="88"/>
    </row>
    <row r="662">
      <c r="A662" s="20" t="s">
        <v>98</v>
      </c>
      <c r="B662" s="9" t="s">
        <v>1546</v>
      </c>
      <c r="C662" s="91">
        <v>45860.81859934027</v>
      </c>
      <c r="D662" s="8"/>
      <c r="E662" s="9"/>
      <c r="F662" s="10"/>
      <c r="G662" s="9" t="s">
        <v>15</v>
      </c>
      <c r="H662" s="7" t="s">
        <v>1538</v>
      </c>
      <c r="I662" s="9" t="s">
        <v>353</v>
      </c>
      <c r="J662" s="88"/>
    </row>
    <row r="663">
      <c r="A663" s="20" t="s">
        <v>98</v>
      </c>
      <c r="B663" s="9" t="s">
        <v>1547</v>
      </c>
      <c r="C663" s="91"/>
      <c r="D663" s="8"/>
      <c r="E663" s="9"/>
      <c r="F663" s="10"/>
      <c r="G663" s="9" t="s">
        <v>15</v>
      </c>
      <c r="H663" s="7" t="s">
        <v>1548</v>
      </c>
      <c r="I663" s="9" t="s">
        <v>353</v>
      </c>
      <c r="J663" s="88"/>
    </row>
    <row r="664">
      <c r="A664" s="20" t="s">
        <v>98</v>
      </c>
      <c r="B664" s="9" t="s">
        <v>1549</v>
      </c>
      <c r="C664" s="91">
        <v>45856.46269447917</v>
      </c>
      <c r="D664" s="8"/>
      <c r="E664" s="9"/>
      <c r="F664" s="10"/>
      <c r="G664" s="9" t="s">
        <v>15</v>
      </c>
      <c r="H664" s="7" t="s">
        <v>1550</v>
      </c>
      <c r="I664" s="9" t="s">
        <v>353</v>
      </c>
      <c r="J664" s="88"/>
    </row>
    <row r="665">
      <c r="A665" s="20" t="s">
        <v>98</v>
      </c>
      <c r="B665" s="9" t="s">
        <v>520</v>
      </c>
      <c r="C665" s="91">
        <v>45860.81878753472</v>
      </c>
      <c r="D665" s="8"/>
      <c r="E665" s="9"/>
      <c r="F665" s="10"/>
      <c r="G665" s="9" t="s">
        <v>15</v>
      </c>
      <c r="H665" s="7" t="s">
        <v>1538</v>
      </c>
      <c r="I665" s="9" t="s">
        <v>353</v>
      </c>
      <c r="J665" s="88"/>
    </row>
    <row r="666">
      <c r="A666" s="20" t="s">
        <v>98</v>
      </c>
      <c r="B666" s="9" t="s">
        <v>1551</v>
      </c>
      <c r="C666" s="91">
        <v>45860.82049145833</v>
      </c>
      <c r="D666" s="8"/>
      <c r="E666" s="9"/>
      <c r="F666" s="10"/>
      <c r="G666" s="9" t="s">
        <v>15</v>
      </c>
      <c r="H666" s="7" t="s">
        <v>1538</v>
      </c>
      <c r="I666" s="9" t="s">
        <v>353</v>
      </c>
      <c r="J666" s="88"/>
    </row>
    <row r="667">
      <c r="A667" s="20" t="s">
        <v>98</v>
      </c>
      <c r="B667" s="9" t="s">
        <v>1552</v>
      </c>
      <c r="C667" s="91">
        <v>45860.82029560185</v>
      </c>
      <c r="D667" s="8"/>
      <c r="E667" s="9"/>
      <c r="F667" s="10"/>
      <c r="G667" s="9" t="s">
        <v>15</v>
      </c>
      <c r="H667" s="7" t="s">
        <v>1538</v>
      </c>
      <c r="I667" s="9" t="s">
        <v>353</v>
      </c>
      <c r="J667" s="88"/>
    </row>
    <row r="668">
      <c r="A668" s="20" t="s">
        <v>98</v>
      </c>
      <c r="B668" s="9" t="s">
        <v>1553</v>
      </c>
      <c r="C668" s="91">
        <v>45860.818464814816</v>
      </c>
      <c r="D668" s="8"/>
      <c r="E668" s="9"/>
      <c r="F668" s="10"/>
      <c r="G668" s="9" t="s">
        <v>15</v>
      </c>
      <c r="H668" s="7" t="s">
        <v>1538</v>
      </c>
      <c r="I668" s="9" t="s">
        <v>353</v>
      </c>
      <c r="J668" s="88"/>
    </row>
    <row r="669">
      <c r="A669" s="20" t="s">
        <v>98</v>
      </c>
      <c r="B669" s="9" t="s">
        <v>1554</v>
      </c>
      <c r="C669" s="91">
        <v>45860.81963521991</v>
      </c>
      <c r="D669" s="8"/>
      <c r="E669" s="9"/>
      <c r="F669" s="10"/>
      <c r="G669" s="9" t="s">
        <v>15</v>
      </c>
      <c r="H669" s="7" t="s">
        <v>1538</v>
      </c>
      <c r="I669" s="9" t="s">
        <v>353</v>
      </c>
      <c r="J669" s="88"/>
    </row>
    <row r="670">
      <c r="A670" s="20" t="s">
        <v>98</v>
      </c>
      <c r="B670" s="9" t="s">
        <v>1555</v>
      </c>
      <c r="C670" s="91">
        <v>45860.82070880787</v>
      </c>
      <c r="D670" s="8"/>
      <c r="E670" s="9"/>
      <c r="F670" s="10"/>
      <c r="G670" s="9" t="s">
        <v>15</v>
      </c>
      <c r="H670" s="7" t="s">
        <v>1538</v>
      </c>
      <c r="I670" s="9" t="s">
        <v>353</v>
      </c>
      <c r="J670" s="88"/>
    </row>
    <row r="671">
      <c r="A671" s="20" t="s">
        <v>98</v>
      </c>
      <c r="B671" s="9" t="s">
        <v>1556</v>
      </c>
      <c r="C671" s="91">
        <v>45860.820179386574</v>
      </c>
      <c r="D671" s="8"/>
      <c r="E671" s="9"/>
      <c r="F671" s="10"/>
      <c r="G671" s="9" t="s">
        <v>15</v>
      </c>
      <c r="H671" s="7" t="s">
        <v>1538</v>
      </c>
      <c r="I671" s="9" t="s">
        <v>353</v>
      </c>
      <c r="J671" s="88"/>
    </row>
    <row r="672">
      <c r="A672" s="102" t="s">
        <v>624</v>
      </c>
      <c r="B672" s="7" t="s">
        <v>1557</v>
      </c>
      <c r="C672" s="91">
        <v>45859.48915780093</v>
      </c>
      <c r="D672" s="8">
        <f t="shared" ref="D672:D674" si="68">IFERROR(_xlfn.WORKDAY.INTL(C672, 2),"-")</f>
        <v>45861</v>
      </c>
      <c r="E672" s="9" t="s">
        <v>11</v>
      </c>
      <c r="F672" s="8"/>
      <c r="G672" s="9" t="s">
        <v>11</v>
      </c>
      <c r="H672" s="7" t="s">
        <v>1558</v>
      </c>
      <c r="I672" s="9" t="s">
        <v>353</v>
      </c>
      <c r="J672" s="88"/>
    </row>
    <row r="673">
      <c r="A673" s="6" t="s">
        <v>9</v>
      </c>
      <c r="B673" s="7" t="s">
        <v>1559</v>
      </c>
      <c r="C673" s="91">
        <v>45860.3893474537</v>
      </c>
      <c r="D673" s="8">
        <f t="shared" si="68"/>
        <v>45862</v>
      </c>
      <c r="E673" s="9" t="s">
        <v>11</v>
      </c>
      <c r="F673" s="10"/>
      <c r="G673" s="9" t="s">
        <v>18</v>
      </c>
      <c r="H673" s="7" t="s">
        <v>1560</v>
      </c>
      <c r="I673" s="9" t="s">
        <v>353</v>
      </c>
      <c r="J673" s="88"/>
    </row>
    <row r="674">
      <c r="A674" s="6" t="s">
        <v>9</v>
      </c>
      <c r="B674" s="7" t="s">
        <v>1561</v>
      </c>
      <c r="C674" s="91">
        <v>45848.51770105324</v>
      </c>
      <c r="D674" s="8">
        <f t="shared" si="68"/>
        <v>45852</v>
      </c>
      <c r="E674" s="9" t="s">
        <v>11</v>
      </c>
      <c r="F674" s="10"/>
      <c r="G674" s="9" t="s">
        <v>18</v>
      </c>
      <c r="H674" s="7" t="s">
        <v>1562</v>
      </c>
      <c r="I674" s="9" t="s">
        <v>353</v>
      </c>
      <c r="J674" s="88"/>
    </row>
    <row r="675">
      <c r="A675" s="20" t="s">
        <v>98</v>
      </c>
      <c r="B675" s="9" t="s">
        <v>1563</v>
      </c>
      <c r="C675" s="91">
        <v>45856.46349583333</v>
      </c>
      <c r="D675" s="8"/>
      <c r="E675" s="9"/>
      <c r="F675" s="10"/>
      <c r="G675" s="9" t="s">
        <v>15</v>
      </c>
      <c r="H675" s="7" t="s">
        <v>1564</v>
      </c>
      <c r="I675" s="9" t="s">
        <v>353</v>
      </c>
      <c r="J675" s="88"/>
    </row>
    <row r="676">
      <c r="A676" s="54" t="s">
        <v>236</v>
      </c>
      <c r="B676" s="100" t="s">
        <v>1565</v>
      </c>
      <c r="C676" s="91">
        <v>45617.413962025465</v>
      </c>
      <c r="D676" s="8">
        <f>IFERROR(_xlfn.WORKDAY.INTL(C676, 2),"-")</f>
        <v>45621</v>
      </c>
      <c r="E676" s="9" t="s">
        <v>11</v>
      </c>
      <c r="F676" s="10"/>
      <c r="G676" s="9" t="s">
        <v>18</v>
      </c>
      <c r="H676" s="7" t="s">
        <v>1566</v>
      </c>
      <c r="I676" s="9" t="s">
        <v>353</v>
      </c>
      <c r="J676" s="88"/>
    </row>
    <row r="677">
      <c r="A677" s="20" t="s">
        <v>98</v>
      </c>
      <c r="B677" s="9" t="s">
        <v>1567</v>
      </c>
      <c r="C677" s="91">
        <v>45833.352033877316</v>
      </c>
      <c r="D677" s="8"/>
      <c r="E677" s="9"/>
      <c r="F677" s="10"/>
      <c r="G677" s="9" t="s">
        <v>15</v>
      </c>
      <c r="H677" s="23" t="s">
        <v>1568</v>
      </c>
      <c r="I677" s="9" t="s">
        <v>353</v>
      </c>
      <c r="J677" s="88"/>
    </row>
    <row r="678">
      <c r="A678" s="20" t="s">
        <v>98</v>
      </c>
      <c r="B678" s="9" t="s">
        <v>1569</v>
      </c>
      <c r="C678" s="91">
        <v>45742.630407199074</v>
      </c>
      <c r="D678" s="8"/>
      <c r="E678" s="9"/>
      <c r="F678" s="10"/>
      <c r="G678" s="9" t="s">
        <v>18</v>
      </c>
      <c r="H678" s="22" t="s">
        <v>1570</v>
      </c>
      <c r="I678" s="9" t="s">
        <v>353</v>
      </c>
      <c r="J678" s="88"/>
    </row>
    <row r="679">
      <c r="A679" s="54" t="s">
        <v>236</v>
      </c>
      <c r="B679" s="100" t="s">
        <v>1571</v>
      </c>
      <c r="C679" s="91">
        <v>45617.413962025465</v>
      </c>
      <c r="D679" s="8">
        <f>IFERROR(_xlfn.WORKDAY.INTL(C679, 2),"-")</f>
        <v>45621</v>
      </c>
      <c r="E679" s="9" t="s">
        <v>11</v>
      </c>
      <c r="F679" s="10"/>
      <c r="G679" s="9" t="s">
        <v>18</v>
      </c>
      <c r="H679" s="7" t="s">
        <v>1572</v>
      </c>
      <c r="I679" s="9" t="s">
        <v>353</v>
      </c>
      <c r="J679" s="88"/>
    </row>
    <row r="680">
      <c r="A680" s="20" t="s">
        <v>98</v>
      </c>
      <c r="B680" s="9" t="s">
        <v>1573</v>
      </c>
      <c r="C680" s="91">
        <v>45860.51289783565</v>
      </c>
      <c r="D680" s="8"/>
      <c r="E680" s="9"/>
      <c r="F680" s="10"/>
      <c r="G680" s="9" t="s">
        <v>15</v>
      </c>
      <c r="H680" s="7" t="s">
        <v>1574</v>
      </c>
      <c r="I680" s="9" t="s">
        <v>353</v>
      </c>
      <c r="J680" s="88"/>
    </row>
    <row r="681">
      <c r="A681" s="6" t="s">
        <v>9</v>
      </c>
      <c r="B681" s="7" t="s">
        <v>1575</v>
      </c>
      <c r="C681" s="91">
        <v>45860.4031488426</v>
      </c>
      <c r="D681" s="8">
        <f>IFERROR(_xlfn.WORKDAY.INTL(C681, 2),"-")</f>
        <v>45862</v>
      </c>
      <c r="E681" s="9" t="s">
        <v>11</v>
      </c>
      <c r="F681" s="10"/>
      <c r="G681" s="9" t="s">
        <v>15</v>
      </c>
      <c r="H681" s="7" t="s">
        <v>1576</v>
      </c>
      <c r="I681" s="9" t="s">
        <v>353</v>
      </c>
      <c r="J681" s="88"/>
    </row>
    <row r="682">
      <c r="A682" s="20" t="s">
        <v>98</v>
      </c>
      <c r="B682" s="9" t="s">
        <v>1577</v>
      </c>
      <c r="C682" s="91">
        <v>45817.454225706024</v>
      </c>
      <c r="D682" s="8"/>
      <c r="E682" s="9"/>
      <c r="F682" s="10"/>
      <c r="G682" s="9" t="s">
        <v>15</v>
      </c>
      <c r="H682" s="7" t="s">
        <v>1578</v>
      </c>
      <c r="I682" s="9" t="s">
        <v>353</v>
      </c>
      <c r="J682" s="88"/>
    </row>
    <row r="683">
      <c r="A683" s="54" t="s">
        <v>236</v>
      </c>
      <c r="B683" s="100" t="s">
        <v>1579</v>
      </c>
      <c r="C683" s="91">
        <v>45617.413962025465</v>
      </c>
      <c r="D683" s="8">
        <f t="shared" ref="D683:D684" si="69">IFERROR(_xlfn.WORKDAY.INTL(C683, 2),"-")</f>
        <v>45621</v>
      </c>
      <c r="E683" s="9" t="s">
        <v>11</v>
      </c>
      <c r="F683" s="10"/>
      <c r="G683" s="9" t="s">
        <v>18</v>
      </c>
      <c r="H683" s="7" t="s">
        <v>1580</v>
      </c>
      <c r="I683" s="9" t="s">
        <v>353</v>
      </c>
      <c r="J683" s="88"/>
    </row>
    <row r="684">
      <c r="A684" s="6" t="s">
        <v>9</v>
      </c>
      <c r="B684" s="7" t="s">
        <v>1581</v>
      </c>
      <c r="C684" s="91">
        <v>45860.494818321764</v>
      </c>
      <c r="D684" s="8">
        <f t="shared" si="69"/>
        <v>45862</v>
      </c>
      <c r="E684" s="9" t="s">
        <v>11</v>
      </c>
      <c r="F684" s="10"/>
      <c r="G684" s="9" t="s">
        <v>18</v>
      </c>
      <c r="H684" s="7" t="s">
        <v>1582</v>
      </c>
      <c r="I684" s="9" t="s">
        <v>353</v>
      </c>
      <c r="J684" s="88"/>
    </row>
    <row r="685">
      <c r="A685" s="54" t="s">
        <v>236</v>
      </c>
      <c r="B685" s="7" t="s">
        <v>1583</v>
      </c>
      <c r="C685" s="91">
        <v>45856.47636366898</v>
      </c>
      <c r="D685" s="8"/>
      <c r="E685" s="9"/>
      <c r="F685" s="10"/>
      <c r="G685" s="9" t="s">
        <v>15</v>
      </c>
      <c r="H685" s="7" t="s">
        <v>1584</v>
      </c>
      <c r="I685" s="9" t="s">
        <v>353</v>
      </c>
      <c r="J685" s="88"/>
    </row>
    <row r="686">
      <c r="A686" s="54" t="s">
        <v>236</v>
      </c>
      <c r="B686" s="125" t="s">
        <v>1585</v>
      </c>
      <c r="C686" s="91">
        <v>45701.443662986116</v>
      </c>
      <c r="D686" s="8">
        <f>IFERROR(_xlfn.WORKDAY.INTL(C686, 2),"-")</f>
        <v>45705</v>
      </c>
      <c r="E686" s="9" t="s">
        <v>11</v>
      </c>
      <c r="F686" s="10"/>
      <c r="G686" s="9" t="s">
        <v>18</v>
      </c>
      <c r="H686" s="7" t="s">
        <v>1586</v>
      </c>
      <c r="I686" s="9" t="s">
        <v>353</v>
      </c>
      <c r="J686" s="88"/>
    </row>
    <row r="687">
      <c r="A687" s="20" t="s">
        <v>98</v>
      </c>
      <c r="B687" s="9" t="s">
        <v>1587</v>
      </c>
      <c r="C687" s="91">
        <v>45859.75634684028</v>
      </c>
      <c r="D687" s="8"/>
      <c r="E687" s="9"/>
      <c r="F687" s="10"/>
      <c r="G687" s="9" t="s">
        <v>15</v>
      </c>
      <c r="H687" s="7" t="s">
        <v>1564</v>
      </c>
      <c r="I687" s="9" t="s">
        <v>353</v>
      </c>
      <c r="J687" s="88"/>
    </row>
    <row r="688">
      <c r="A688" s="6" t="s">
        <v>9</v>
      </c>
      <c r="B688" s="7" t="s">
        <v>1588</v>
      </c>
      <c r="C688" s="91">
        <v>45859.615892685186</v>
      </c>
      <c r="D688" s="8">
        <f>IFERROR(_xlfn.WORKDAY.INTL(C688, 2),"-")</f>
        <v>45861</v>
      </c>
      <c r="E688" s="9" t="s">
        <v>11</v>
      </c>
      <c r="F688" s="10"/>
      <c r="G688" s="9" t="s">
        <v>15</v>
      </c>
      <c r="H688" s="7" t="s">
        <v>1589</v>
      </c>
      <c r="I688" s="9" t="s">
        <v>353</v>
      </c>
      <c r="J688" s="88"/>
    </row>
    <row r="689">
      <c r="A689" s="20" t="s">
        <v>98</v>
      </c>
      <c r="B689" s="9" t="s">
        <v>1590</v>
      </c>
      <c r="C689" s="91">
        <v>45859.755856944445</v>
      </c>
      <c r="D689" s="8"/>
      <c r="E689" s="9"/>
      <c r="F689" s="10"/>
      <c r="G689" s="9" t="s">
        <v>18</v>
      </c>
      <c r="H689" s="7" t="s">
        <v>1591</v>
      </c>
      <c r="I689" s="9" t="s">
        <v>353</v>
      </c>
      <c r="J689" s="88"/>
    </row>
    <row r="690">
      <c r="A690" s="6" t="s">
        <v>9</v>
      </c>
      <c r="B690" s="7" t="s">
        <v>522</v>
      </c>
      <c r="C690" s="91">
        <v>45848.567661608795</v>
      </c>
      <c r="D690" s="8">
        <f t="shared" ref="D690:D691" si="70">IFERROR(_xlfn.WORKDAY.INTL(C690, 2),"-")</f>
        <v>45852</v>
      </c>
      <c r="E690" s="9" t="s">
        <v>11</v>
      </c>
      <c r="F690" s="10"/>
      <c r="G690" s="9" t="s">
        <v>15</v>
      </c>
      <c r="H690" s="7" t="s">
        <v>1592</v>
      </c>
      <c r="I690" s="9" t="s">
        <v>353</v>
      </c>
      <c r="J690" s="88"/>
    </row>
    <row r="691">
      <c r="A691" s="6" t="s">
        <v>9</v>
      </c>
      <c r="B691" s="7" t="s">
        <v>1593</v>
      </c>
      <c r="C691" s="91">
        <v>45859.58538747685</v>
      </c>
      <c r="D691" s="8">
        <f t="shared" si="70"/>
        <v>45861</v>
      </c>
      <c r="E691" s="9" t="s">
        <v>11</v>
      </c>
      <c r="F691" s="10"/>
      <c r="G691" s="9" t="s">
        <v>15</v>
      </c>
      <c r="H691" s="7" t="s">
        <v>1594</v>
      </c>
      <c r="I691" s="9" t="s">
        <v>353</v>
      </c>
      <c r="J691" s="88"/>
    </row>
    <row r="692">
      <c r="A692" s="20" t="s">
        <v>98</v>
      </c>
      <c r="B692" s="9" t="s">
        <v>1595</v>
      </c>
      <c r="C692" s="91">
        <v>45856.46251556713</v>
      </c>
      <c r="D692" s="8"/>
      <c r="E692" s="9"/>
      <c r="F692" s="10"/>
      <c r="G692" s="9" t="s">
        <v>15</v>
      </c>
      <c r="H692" s="7" t="s">
        <v>1596</v>
      </c>
      <c r="I692" s="9" t="s">
        <v>353</v>
      </c>
      <c r="J692" s="88"/>
    </row>
    <row r="693">
      <c r="A693" s="20" t="s">
        <v>98</v>
      </c>
      <c r="B693" s="9" t="s">
        <v>1597</v>
      </c>
      <c r="C693" s="91">
        <v>45856.46206005787</v>
      </c>
      <c r="D693" s="8"/>
      <c r="E693" s="9"/>
      <c r="F693" s="10"/>
      <c r="G693" s="9" t="s">
        <v>15</v>
      </c>
      <c r="H693" s="7" t="s">
        <v>1598</v>
      </c>
      <c r="I693" s="9" t="s">
        <v>353</v>
      </c>
      <c r="J693" s="88"/>
    </row>
    <row r="694">
      <c r="A694" s="102" t="s">
        <v>624</v>
      </c>
      <c r="B694" s="7" t="s">
        <v>1599</v>
      </c>
      <c r="C694" s="91">
        <v>45840.4803746875</v>
      </c>
      <c r="D694" s="8">
        <f t="shared" ref="D694:D702" si="71">IFERROR(_xlfn.WORKDAY.INTL(C694, 2),"-")</f>
        <v>45842</v>
      </c>
      <c r="E694" s="9" t="s">
        <v>11</v>
      </c>
      <c r="F694" s="10"/>
      <c r="G694" s="9" t="s">
        <v>11</v>
      </c>
      <c r="H694" s="7" t="s">
        <v>1600</v>
      </c>
      <c r="I694" s="9" t="s">
        <v>353</v>
      </c>
      <c r="J694" s="88"/>
    </row>
    <row r="695">
      <c r="A695" s="6" t="s">
        <v>9</v>
      </c>
      <c r="B695" s="7" t="s">
        <v>1601</v>
      </c>
      <c r="C695" s="91">
        <v>45854.515644548606</v>
      </c>
      <c r="D695" s="8">
        <f t="shared" si="71"/>
        <v>45856</v>
      </c>
      <c r="E695" s="9" t="s">
        <v>11</v>
      </c>
      <c r="F695" s="10"/>
      <c r="G695" s="9" t="s">
        <v>15</v>
      </c>
      <c r="H695" s="7" t="s">
        <v>1602</v>
      </c>
      <c r="I695" s="9" t="s">
        <v>353</v>
      </c>
      <c r="J695" s="88"/>
    </row>
    <row r="696">
      <c r="A696" s="102" t="s">
        <v>624</v>
      </c>
      <c r="B696" s="7" t="s">
        <v>1603</v>
      </c>
      <c r="C696" s="91">
        <v>45834.7301446412</v>
      </c>
      <c r="D696" s="8">
        <f t="shared" si="71"/>
        <v>45838</v>
      </c>
      <c r="E696" s="9" t="s">
        <v>206</v>
      </c>
      <c r="F696" s="10"/>
      <c r="G696" s="9" t="s">
        <v>11</v>
      </c>
      <c r="H696" s="7" t="s">
        <v>1604</v>
      </c>
      <c r="I696" s="9" t="s">
        <v>353</v>
      </c>
      <c r="J696" s="88"/>
    </row>
    <row r="697">
      <c r="A697" s="78" t="s">
        <v>334</v>
      </c>
      <c r="B697" s="43" t="s">
        <v>1605</v>
      </c>
      <c r="C697" s="119">
        <v>45842.47781802084</v>
      </c>
      <c r="D697" s="80">
        <f t="shared" si="71"/>
        <v>45846</v>
      </c>
      <c r="E697" s="9" t="s">
        <v>1128</v>
      </c>
      <c r="F697" s="10"/>
      <c r="G697" s="9" t="s">
        <v>220</v>
      </c>
      <c r="H697" s="7" t="s">
        <v>1606</v>
      </c>
      <c r="I697" s="9" t="s">
        <v>353</v>
      </c>
      <c r="J697" s="88"/>
    </row>
    <row r="698">
      <c r="A698" s="78" t="s">
        <v>334</v>
      </c>
      <c r="B698" s="43" t="s">
        <v>1607</v>
      </c>
      <c r="C698" s="119">
        <v>45846.38355721065</v>
      </c>
      <c r="D698" s="80">
        <f t="shared" si="71"/>
        <v>45848</v>
      </c>
      <c r="E698" s="9" t="s">
        <v>1489</v>
      </c>
      <c r="F698" s="10"/>
      <c r="G698" s="9" t="s">
        <v>18</v>
      </c>
      <c r="H698" s="7" t="s">
        <v>1608</v>
      </c>
      <c r="I698" s="9" t="s">
        <v>353</v>
      </c>
      <c r="J698" s="88"/>
    </row>
    <row r="699">
      <c r="A699" s="78" t="s">
        <v>334</v>
      </c>
      <c r="B699" s="43" t="s">
        <v>1609</v>
      </c>
      <c r="C699" s="119">
        <v>45849.0</v>
      </c>
      <c r="D699" s="80">
        <f t="shared" si="71"/>
        <v>45853</v>
      </c>
      <c r="E699" s="9" t="s">
        <v>1128</v>
      </c>
      <c r="F699" s="10"/>
      <c r="G699" s="9" t="s">
        <v>15</v>
      </c>
      <c r="H699" s="7" t="s">
        <v>1610</v>
      </c>
      <c r="I699" s="9" t="s">
        <v>353</v>
      </c>
      <c r="J699" s="88"/>
    </row>
    <row r="700">
      <c r="A700" s="78" t="s">
        <v>334</v>
      </c>
      <c r="B700" s="43" t="s">
        <v>1611</v>
      </c>
      <c r="C700" s="119">
        <v>45846.3829277662</v>
      </c>
      <c r="D700" s="80">
        <f t="shared" si="71"/>
        <v>45848</v>
      </c>
      <c r="E700" s="9" t="s">
        <v>1097</v>
      </c>
      <c r="F700" s="10"/>
      <c r="G700" s="9" t="s">
        <v>15</v>
      </c>
      <c r="H700" s="7" t="s">
        <v>1612</v>
      </c>
      <c r="I700" s="9" t="s">
        <v>353</v>
      </c>
      <c r="J700" s="88"/>
    </row>
    <row r="701">
      <c r="A701" s="54" t="s">
        <v>236</v>
      </c>
      <c r="B701" s="100" t="s">
        <v>1613</v>
      </c>
      <c r="C701" s="91">
        <v>45617.413962025465</v>
      </c>
      <c r="D701" s="8">
        <f t="shared" si="71"/>
        <v>45621</v>
      </c>
      <c r="E701" s="9" t="s">
        <v>11</v>
      </c>
      <c r="F701" s="10"/>
      <c r="G701" s="9" t="s">
        <v>18</v>
      </c>
      <c r="H701" s="7" t="s">
        <v>1614</v>
      </c>
      <c r="I701" s="9" t="s">
        <v>353</v>
      </c>
      <c r="J701" s="88"/>
    </row>
    <row r="702">
      <c r="A702" s="54" t="s">
        <v>236</v>
      </c>
      <c r="B702" s="100" t="s">
        <v>1615</v>
      </c>
      <c r="C702" s="91">
        <v>45617.413962025465</v>
      </c>
      <c r="D702" s="8">
        <f t="shared" si="71"/>
        <v>45621</v>
      </c>
      <c r="E702" s="9" t="s">
        <v>11</v>
      </c>
      <c r="F702" s="10"/>
      <c r="G702" s="9" t="s">
        <v>18</v>
      </c>
      <c r="H702" s="7" t="s">
        <v>1616</v>
      </c>
      <c r="I702" s="9" t="s">
        <v>353</v>
      </c>
      <c r="J702" s="88"/>
    </row>
    <row r="703">
      <c r="A703" s="54" t="s">
        <v>236</v>
      </c>
      <c r="B703" s="7" t="s">
        <v>1617</v>
      </c>
      <c r="C703" s="91">
        <v>45855.34569299768</v>
      </c>
      <c r="D703" s="8"/>
      <c r="E703" s="9"/>
      <c r="F703" s="10"/>
      <c r="G703" s="9" t="s">
        <v>18</v>
      </c>
      <c r="H703" s="7" t="s">
        <v>1618</v>
      </c>
      <c r="I703" s="9" t="s">
        <v>353</v>
      </c>
      <c r="J703" s="88"/>
    </row>
    <row r="704">
      <c r="A704" s="54" t="s">
        <v>236</v>
      </c>
      <c r="B704" s="7" t="s">
        <v>1619</v>
      </c>
      <c r="C704" s="91">
        <v>45779.45289222222</v>
      </c>
      <c r="D704" s="8"/>
      <c r="E704" s="9"/>
      <c r="F704" s="10"/>
      <c r="G704" s="9" t="s">
        <v>21</v>
      </c>
      <c r="H704" s="7" t="s">
        <v>1620</v>
      </c>
      <c r="I704" s="9" t="s">
        <v>353</v>
      </c>
      <c r="J704" s="88"/>
    </row>
    <row r="705">
      <c r="A705" s="20" t="s">
        <v>98</v>
      </c>
      <c r="B705" s="9" t="s">
        <v>1621</v>
      </c>
      <c r="C705" s="91">
        <v>45783.44480997685</v>
      </c>
      <c r="D705" s="8"/>
      <c r="E705" s="9"/>
      <c r="F705" s="10"/>
      <c r="G705" s="9" t="s">
        <v>15</v>
      </c>
      <c r="H705" s="7" t="s">
        <v>1622</v>
      </c>
      <c r="I705" s="9" t="s">
        <v>353</v>
      </c>
      <c r="J705" s="88"/>
    </row>
    <row r="706">
      <c r="A706" s="20" t="s">
        <v>98</v>
      </c>
      <c r="B706" s="9" t="s">
        <v>1623</v>
      </c>
      <c r="C706" s="91">
        <v>45854.59911200231</v>
      </c>
      <c r="D706" s="8"/>
      <c r="E706" s="9"/>
      <c r="F706" s="10"/>
      <c r="G706" s="9" t="s">
        <v>15</v>
      </c>
      <c r="H706" s="7" t="s">
        <v>1624</v>
      </c>
      <c r="I706" s="9" t="s">
        <v>353</v>
      </c>
      <c r="J706" s="88"/>
    </row>
    <row r="707">
      <c r="A707" s="20" t="s">
        <v>98</v>
      </c>
      <c r="B707" s="9" t="s">
        <v>1625</v>
      </c>
      <c r="C707" s="91">
        <v>45729.49666385417</v>
      </c>
      <c r="D707" s="8"/>
      <c r="E707" s="9"/>
      <c r="F707" s="10"/>
      <c r="G707" s="9" t="s">
        <v>21</v>
      </c>
      <c r="H707" s="22" t="s">
        <v>1626</v>
      </c>
      <c r="I707" s="9" t="s">
        <v>353</v>
      </c>
      <c r="J707" s="88"/>
    </row>
    <row r="708">
      <c r="A708" s="78" t="s">
        <v>334</v>
      </c>
      <c r="B708" s="43" t="s">
        <v>1627</v>
      </c>
      <c r="C708" s="119">
        <v>45853.64629925926</v>
      </c>
      <c r="D708" s="80">
        <f>IFERROR(_xlfn.WORKDAY.INTL(C708, 2),"-")</f>
        <v>45855</v>
      </c>
      <c r="E708" s="9" t="s">
        <v>11</v>
      </c>
      <c r="F708" s="10"/>
      <c r="G708" s="9" t="s">
        <v>15</v>
      </c>
      <c r="H708" s="7" t="s">
        <v>1628</v>
      </c>
      <c r="I708" s="9" t="s">
        <v>353</v>
      </c>
      <c r="J708" s="88"/>
    </row>
    <row r="709">
      <c r="A709" s="20" t="s">
        <v>98</v>
      </c>
      <c r="B709" s="9" t="s">
        <v>1629</v>
      </c>
      <c r="C709" s="91">
        <v>45854.682687928245</v>
      </c>
      <c r="D709" s="8"/>
      <c r="E709" s="9"/>
      <c r="F709" s="10"/>
      <c r="G709" s="9" t="s">
        <v>18</v>
      </c>
      <c r="H709" s="7" t="s">
        <v>1630</v>
      </c>
      <c r="I709" s="9" t="s">
        <v>353</v>
      </c>
      <c r="J709" s="88"/>
    </row>
    <row r="710">
      <c r="A710" s="54" t="s">
        <v>236</v>
      </c>
      <c r="B710" s="7" t="s">
        <v>1631</v>
      </c>
      <c r="C710" s="91">
        <v>45629.43743950232</v>
      </c>
      <c r="D710" s="8">
        <f>IFERROR(_xlfn.WORKDAY.INTL(C710, 2),"-")</f>
        <v>45631</v>
      </c>
      <c r="E710" s="9" t="s">
        <v>11</v>
      </c>
      <c r="F710" s="10"/>
      <c r="G710" s="9" t="s">
        <v>18</v>
      </c>
      <c r="H710" s="7" t="s">
        <v>1632</v>
      </c>
      <c r="I710" s="9" t="s">
        <v>353</v>
      </c>
      <c r="J710" s="88"/>
    </row>
    <row r="711">
      <c r="A711" s="54" t="s">
        <v>236</v>
      </c>
      <c r="B711" s="7" t="s">
        <v>1633</v>
      </c>
      <c r="C711" s="91">
        <v>45803.74030939815</v>
      </c>
      <c r="D711" s="8"/>
      <c r="E711" s="9"/>
      <c r="F711" s="10"/>
      <c r="G711" s="9" t="s">
        <v>15</v>
      </c>
      <c r="H711" s="7" t="s">
        <v>1634</v>
      </c>
      <c r="I711" s="9" t="s">
        <v>353</v>
      </c>
      <c r="J711" s="88"/>
    </row>
    <row r="712">
      <c r="A712" s="6" t="s">
        <v>9</v>
      </c>
      <c r="B712" s="7" t="s">
        <v>1635</v>
      </c>
      <c r="C712" s="91">
        <v>45854.51543800926</v>
      </c>
      <c r="D712" s="8">
        <f>IFERROR(_xlfn.WORKDAY.INTL(C712, 2),"-")</f>
        <v>45856</v>
      </c>
      <c r="E712" s="9" t="s">
        <v>11</v>
      </c>
      <c r="F712" s="10"/>
      <c r="G712" s="9" t="s">
        <v>18</v>
      </c>
      <c r="H712" s="7" t="s">
        <v>437</v>
      </c>
      <c r="I712" s="9" t="s">
        <v>353</v>
      </c>
      <c r="J712" s="88"/>
    </row>
    <row r="713">
      <c r="A713" s="20" t="s">
        <v>98</v>
      </c>
      <c r="B713" s="9" t="s">
        <v>1636</v>
      </c>
      <c r="C713" s="91">
        <v>45839.707250231484</v>
      </c>
      <c r="D713" s="8"/>
      <c r="E713" s="9"/>
      <c r="F713" s="10"/>
      <c r="G713" s="9" t="s">
        <v>15</v>
      </c>
      <c r="H713" s="7" t="s">
        <v>1637</v>
      </c>
      <c r="I713" s="9" t="s">
        <v>353</v>
      </c>
      <c r="J713" s="88"/>
    </row>
    <row r="714">
      <c r="A714" s="20" t="s">
        <v>98</v>
      </c>
      <c r="B714" s="9" t="s">
        <v>1638</v>
      </c>
      <c r="C714" s="91">
        <v>45833.35186643519</v>
      </c>
      <c r="D714" s="8"/>
      <c r="E714" s="9"/>
      <c r="F714" s="10"/>
      <c r="G714" s="9" t="s">
        <v>18</v>
      </c>
      <c r="H714" s="23" t="s">
        <v>1639</v>
      </c>
      <c r="I714" s="9" t="s">
        <v>353</v>
      </c>
      <c r="J714" s="88"/>
    </row>
    <row r="715">
      <c r="A715" s="6" t="s">
        <v>9</v>
      </c>
      <c r="B715" s="7" t="s">
        <v>1640</v>
      </c>
      <c r="C715" s="91">
        <v>45854.44088299769</v>
      </c>
      <c r="D715" s="8">
        <f t="shared" ref="D715:D717" si="72">IFERROR(_xlfn.WORKDAY.INTL(C715, 2),"-")</f>
        <v>45856</v>
      </c>
      <c r="E715" s="9" t="s">
        <v>11</v>
      </c>
      <c r="F715" s="10"/>
      <c r="G715" s="9" t="s">
        <v>18</v>
      </c>
      <c r="H715" s="7" t="s">
        <v>437</v>
      </c>
      <c r="I715" s="9" t="s">
        <v>353</v>
      </c>
      <c r="J715" s="88"/>
    </row>
    <row r="716">
      <c r="A716" s="6" t="s">
        <v>9</v>
      </c>
      <c r="B716" s="7" t="s">
        <v>1641</v>
      </c>
      <c r="C716" s="91">
        <v>45761.37260991898</v>
      </c>
      <c r="D716" s="8">
        <f t="shared" si="72"/>
        <v>45763</v>
      </c>
      <c r="E716" s="9" t="s">
        <v>11</v>
      </c>
      <c r="F716" s="10"/>
      <c r="G716" s="9" t="s">
        <v>21</v>
      </c>
      <c r="H716" s="7" t="s">
        <v>1642</v>
      </c>
      <c r="I716" s="9" t="s">
        <v>353</v>
      </c>
      <c r="J716" s="88"/>
    </row>
    <row r="717">
      <c r="A717" s="6" t="s">
        <v>9</v>
      </c>
      <c r="B717" s="7" t="s">
        <v>1643</v>
      </c>
      <c r="C717" s="91">
        <v>45720.58863237269</v>
      </c>
      <c r="D717" s="8">
        <f t="shared" si="72"/>
        <v>45722</v>
      </c>
      <c r="E717" s="9" t="s">
        <v>11</v>
      </c>
      <c r="F717" s="10"/>
      <c r="G717" s="9" t="s">
        <v>15</v>
      </c>
      <c r="H717" s="7" t="s">
        <v>1644</v>
      </c>
      <c r="I717" s="9" t="s">
        <v>353</v>
      </c>
      <c r="J717" s="88"/>
    </row>
    <row r="718">
      <c r="A718" s="20" t="s">
        <v>98</v>
      </c>
      <c r="B718" s="9" t="s">
        <v>1645</v>
      </c>
      <c r="C718" s="91">
        <v>45853.5685633449</v>
      </c>
      <c r="D718" s="8"/>
      <c r="E718" s="9"/>
      <c r="F718" s="10"/>
      <c r="G718" s="9" t="s">
        <v>15</v>
      </c>
      <c r="H718" s="7" t="s">
        <v>1646</v>
      </c>
      <c r="I718" s="9" t="s">
        <v>353</v>
      </c>
      <c r="J718" s="88"/>
    </row>
    <row r="719">
      <c r="A719" s="6" t="s">
        <v>9</v>
      </c>
      <c r="B719" s="7" t="s">
        <v>1647</v>
      </c>
      <c r="C719" s="91">
        <v>45853.56938564815</v>
      </c>
      <c r="D719" s="8">
        <f t="shared" ref="D719:D724" si="73">IFERROR(_xlfn.WORKDAY.INTL(C719, 2),"-")</f>
        <v>45855</v>
      </c>
      <c r="E719" s="9" t="s">
        <v>11</v>
      </c>
      <c r="F719" s="10"/>
      <c r="G719" s="9"/>
      <c r="H719" s="7" t="s">
        <v>437</v>
      </c>
      <c r="I719" s="9" t="s">
        <v>353</v>
      </c>
      <c r="J719" s="88"/>
    </row>
    <row r="720">
      <c r="A720" s="6" t="s">
        <v>9</v>
      </c>
      <c r="B720" s="7" t="s">
        <v>1648</v>
      </c>
      <c r="C720" s="91">
        <v>45853.46001688657</v>
      </c>
      <c r="D720" s="8">
        <f t="shared" si="73"/>
        <v>45855</v>
      </c>
      <c r="E720" s="9" t="s">
        <v>11</v>
      </c>
      <c r="F720" s="10"/>
      <c r="G720" s="9"/>
      <c r="H720" s="7" t="s">
        <v>842</v>
      </c>
      <c r="I720" s="9" t="s">
        <v>353</v>
      </c>
      <c r="J720" s="88"/>
    </row>
    <row r="721">
      <c r="A721" s="6" t="s">
        <v>9</v>
      </c>
      <c r="B721" s="7" t="s">
        <v>1649</v>
      </c>
      <c r="C721" s="91">
        <v>45853.459888287034</v>
      </c>
      <c r="D721" s="8">
        <f t="shared" si="73"/>
        <v>45855</v>
      </c>
      <c r="E721" s="9" t="s">
        <v>11</v>
      </c>
      <c r="F721" s="10"/>
      <c r="G721" s="9"/>
      <c r="H721" s="7" t="s">
        <v>437</v>
      </c>
      <c r="I721" s="9" t="s">
        <v>353</v>
      </c>
      <c r="J721" s="88"/>
    </row>
    <row r="722">
      <c r="A722" s="78" t="s">
        <v>334</v>
      </c>
      <c r="B722" s="43" t="s">
        <v>1650</v>
      </c>
      <c r="C722" s="119">
        <v>45848.59502574074</v>
      </c>
      <c r="D722" s="80">
        <f t="shared" si="73"/>
        <v>45852</v>
      </c>
      <c r="E722" s="9" t="s">
        <v>1128</v>
      </c>
      <c r="F722" s="10"/>
      <c r="G722" s="9" t="s">
        <v>15</v>
      </c>
      <c r="H722" s="7" t="s">
        <v>1651</v>
      </c>
      <c r="I722" s="9" t="s">
        <v>353</v>
      </c>
      <c r="J722" s="88"/>
    </row>
    <row r="723">
      <c r="A723" s="102" t="s">
        <v>624</v>
      </c>
      <c r="B723" s="103" t="s">
        <v>1652</v>
      </c>
      <c r="C723" s="91">
        <v>45540.51378046296</v>
      </c>
      <c r="D723" s="8">
        <f t="shared" si="73"/>
        <v>45544</v>
      </c>
      <c r="E723" s="9" t="s">
        <v>88</v>
      </c>
      <c r="F723" s="10"/>
      <c r="G723" s="9" t="s">
        <v>11</v>
      </c>
      <c r="H723" s="7" t="s">
        <v>1653</v>
      </c>
      <c r="I723" s="9" t="s">
        <v>353</v>
      </c>
      <c r="J723" s="88"/>
    </row>
    <row r="724">
      <c r="A724" s="78" t="s">
        <v>334</v>
      </c>
      <c r="B724" s="43" t="s">
        <v>1654</v>
      </c>
      <c r="C724" s="119">
        <v>45845.0</v>
      </c>
      <c r="D724" s="80">
        <f t="shared" si="73"/>
        <v>45847</v>
      </c>
      <c r="E724" s="9" t="s">
        <v>1123</v>
      </c>
      <c r="F724" s="10"/>
      <c r="G724" s="9" t="s">
        <v>18</v>
      </c>
      <c r="H724" s="7" t="s">
        <v>1655</v>
      </c>
      <c r="I724" s="9" t="s">
        <v>353</v>
      </c>
      <c r="J724" s="88"/>
    </row>
    <row r="725">
      <c r="A725" s="20" t="s">
        <v>98</v>
      </c>
      <c r="B725" s="9" t="s">
        <v>1656</v>
      </c>
      <c r="C725" s="91">
        <v>45846.538890462965</v>
      </c>
      <c r="D725" s="8"/>
      <c r="E725" s="9"/>
      <c r="F725" s="10"/>
      <c r="G725" s="9" t="s">
        <v>15</v>
      </c>
      <c r="H725" s="7" t="s">
        <v>1657</v>
      </c>
      <c r="I725" s="9" t="s">
        <v>353</v>
      </c>
      <c r="J725" s="88"/>
    </row>
    <row r="726">
      <c r="A726" s="20" t="s">
        <v>98</v>
      </c>
      <c r="B726" s="9" t="s">
        <v>1658</v>
      </c>
      <c r="C726" s="91">
        <v>45846.41774096065</v>
      </c>
      <c r="D726" s="8"/>
      <c r="E726" s="9"/>
      <c r="F726" s="10"/>
      <c r="G726" s="9" t="s">
        <v>15</v>
      </c>
      <c r="H726" s="7" t="s">
        <v>1659</v>
      </c>
      <c r="I726" s="9" t="s">
        <v>353</v>
      </c>
      <c r="J726" s="88"/>
    </row>
    <row r="727">
      <c r="A727" s="20" t="s">
        <v>98</v>
      </c>
      <c r="B727" s="9" t="s">
        <v>1447</v>
      </c>
      <c r="C727" s="91">
        <v>45846.50472671296</v>
      </c>
      <c r="D727" s="8"/>
      <c r="E727" s="9"/>
      <c r="F727" s="10"/>
      <c r="G727" s="9" t="s">
        <v>15</v>
      </c>
      <c r="H727" s="7" t="s">
        <v>1659</v>
      </c>
      <c r="I727" s="9" t="s">
        <v>353</v>
      </c>
      <c r="J727" s="88"/>
    </row>
    <row r="728">
      <c r="A728" s="78" t="s">
        <v>334</v>
      </c>
      <c r="B728" s="43" t="s">
        <v>1660</v>
      </c>
      <c r="C728" s="119">
        <v>45827.0</v>
      </c>
      <c r="D728" s="80">
        <f t="shared" ref="D728:D729" si="74">IFERROR(_xlfn.WORKDAY.INTL(C728, 2),"-")</f>
        <v>45831</v>
      </c>
      <c r="E728" s="9" t="s">
        <v>1097</v>
      </c>
      <c r="F728" s="10"/>
      <c r="G728" s="9" t="s">
        <v>15</v>
      </c>
      <c r="H728" s="7" t="s">
        <v>1661</v>
      </c>
      <c r="I728" s="9" t="s">
        <v>353</v>
      </c>
      <c r="J728" s="88"/>
    </row>
    <row r="729">
      <c r="A729" s="78" t="s">
        <v>334</v>
      </c>
      <c r="B729" s="43" t="s">
        <v>1662</v>
      </c>
      <c r="C729" s="119">
        <v>45846.370294004635</v>
      </c>
      <c r="D729" s="80">
        <f t="shared" si="74"/>
        <v>45848</v>
      </c>
      <c r="E729" s="9" t="s">
        <v>1123</v>
      </c>
      <c r="F729" s="10"/>
      <c r="G729" s="9" t="s">
        <v>18</v>
      </c>
      <c r="H729" s="7" t="s">
        <v>1663</v>
      </c>
      <c r="I729" s="9" t="s">
        <v>353</v>
      </c>
      <c r="J729" s="88"/>
    </row>
    <row r="730">
      <c r="A730" s="54" t="s">
        <v>236</v>
      </c>
      <c r="B730" s="7" t="s">
        <v>1664</v>
      </c>
      <c r="C730" s="91">
        <v>45848.40739245371</v>
      </c>
      <c r="D730" s="8"/>
      <c r="E730" s="9"/>
      <c r="F730" s="10"/>
      <c r="G730" s="9" t="s">
        <v>18</v>
      </c>
      <c r="H730" s="7" t="s">
        <v>1665</v>
      </c>
      <c r="I730" s="9" t="s">
        <v>353</v>
      </c>
      <c r="J730" s="88"/>
    </row>
    <row r="731">
      <c r="A731" s="54" t="s">
        <v>236</v>
      </c>
      <c r="B731" s="100" t="s">
        <v>1666</v>
      </c>
      <c r="C731" s="91">
        <v>45594.66698172454</v>
      </c>
      <c r="D731" s="8">
        <f>IFERROR(_xlfn.WORKDAY.INTL(C731, 2),"-")</f>
        <v>45596</v>
      </c>
      <c r="E731" s="9" t="s">
        <v>11</v>
      </c>
      <c r="F731" s="10"/>
      <c r="G731" s="9" t="s">
        <v>18</v>
      </c>
      <c r="H731" s="7" t="s">
        <v>1667</v>
      </c>
      <c r="I731" s="9" t="s">
        <v>353</v>
      </c>
      <c r="J731" s="88"/>
    </row>
    <row r="732">
      <c r="A732" s="20" t="s">
        <v>98</v>
      </c>
      <c r="B732" s="9" t="s">
        <v>1668</v>
      </c>
      <c r="C732" s="91">
        <v>45839.43416256944</v>
      </c>
      <c r="D732" s="8"/>
      <c r="E732" s="9"/>
      <c r="F732" s="10"/>
      <c r="G732" s="9" t="s">
        <v>15</v>
      </c>
      <c r="H732" s="7" t="s">
        <v>1669</v>
      </c>
      <c r="I732" s="9" t="s">
        <v>353</v>
      </c>
      <c r="J732" s="88"/>
    </row>
    <row r="733">
      <c r="A733" s="54" t="s">
        <v>236</v>
      </c>
      <c r="B733" s="125" t="s">
        <v>1670</v>
      </c>
      <c r="C733" s="91">
        <v>45803.730668599535</v>
      </c>
      <c r="D733" s="8">
        <f t="shared" ref="D733:D734" si="75">IFERROR(_xlfn.WORKDAY.INTL(C733, 2),"-")</f>
        <v>45805</v>
      </c>
      <c r="E733" s="9" t="s">
        <v>11</v>
      </c>
      <c r="F733" s="10"/>
      <c r="G733" s="9" t="s">
        <v>220</v>
      </c>
      <c r="H733" s="7" t="s">
        <v>1671</v>
      </c>
      <c r="I733" s="9" t="s">
        <v>353</v>
      </c>
      <c r="J733" s="88"/>
    </row>
    <row r="734">
      <c r="A734" s="78" t="s">
        <v>334</v>
      </c>
      <c r="B734" s="43" t="s">
        <v>1672</v>
      </c>
      <c r="C734" s="119">
        <v>45821.413805833334</v>
      </c>
      <c r="D734" s="80">
        <f t="shared" si="75"/>
        <v>45825</v>
      </c>
      <c r="E734" s="9" t="s">
        <v>1489</v>
      </c>
      <c r="F734" s="10"/>
      <c r="G734" s="9" t="s">
        <v>18</v>
      </c>
      <c r="H734" s="7" t="s">
        <v>1673</v>
      </c>
      <c r="I734" s="9" t="s">
        <v>353</v>
      </c>
      <c r="J734" s="88"/>
    </row>
    <row r="735">
      <c r="A735" s="20" t="s">
        <v>98</v>
      </c>
      <c r="B735" s="9" t="s">
        <v>1674</v>
      </c>
      <c r="C735" s="91">
        <v>45845.74126267361</v>
      </c>
      <c r="D735" s="8"/>
      <c r="E735" s="9"/>
      <c r="F735" s="10"/>
      <c r="G735" s="9" t="s">
        <v>15</v>
      </c>
      <c r="H735" s="7" t="s">
        <v>1675</v>
      </c>
      <c r="I735" s="9" t="s">
        <v>353</v>
      </c>
      <c r="J735" s="88"/>
    </row>
    <row r="736">
      <c r="A736" s="78" t="s">
        <v>334</v>
      </c>
      <c r="B736" s="43" t="s">
        <v>1676</v>
      </c>
      <c r="C736" s="119">
        <v>45839.0</v>
      </c>
      <c r="D736" s="80">
        <f t="shared" ref="D736:D738" si="76">IFERROR(_xlfn.WORKDAY.INTL(C736, 2),"-")</f>
        <v>45841</v>
      </c>
      <c r="E736" s="9" t="s">
        <v>1097</v>
      </c>
      <c r="F736" s="10"/>
      <c r="G736" s="9" t="s">
        <v>18</v>
      </c>
      <c r="H736" s="7" t="s">
        <v>1677</v>
      </c>
      <c r="I736" s="9" t="s">
        <v>353</v>
      </c>
      <c r="J736" s="88"/>
    </row>
    <row r="737">
      <c r="A737" s="78" t="s">
        <v>334</v>
      </c>
      <c r="B737" s="43" t="s">
        <v>1678</v>
      </c>
      <c r="C737" s="119">
        <v>45839.0</v>
      </c>
      <c r="D737" s="80">
        <f t="shared" si="76"/>
        <v>45841</v>
      </c>
      <c r="E737" s="9" t="s">
        <v>1123</v>
      </c>
      <c r="F737" s="10"/>
      <c r="G737" s="9" t="s">
        <v>18</v>
      </c>
      <c r="H737" s="7" t="s">
        <v>1679</v>
      </c>
      <c r="I737" s="9" t="s">
        <v>353</v>
      </c>
      <c r="J737" s="88"/>
    </row>
    <row r="738">
      <c r="A738" s="78" t="s">
        <v>334</v>
      </c>
      <c r="B738" s="43" t="s">
        <v>1680</v>
      </c>
      <c r="C738" s="119">
        <v>45834.722843807875</v>
      </c>
      <c r="D738" s="80">
        <f t="shared" si="76"/>
        <v>45838</v>
      </c>
      <c r="E738" s="9" t="s">
        <v>1123</v>
      </c>
      <c r="F738" s="10"/>
      <c r="G738" s="9" t="s">
        <v>18</v>
      </c>
      <c r="H738" s="7" t="s">
        <v>1681</v>
      </c>
      <c r="I738" s="9" t="s">
        <v>353</v>
      </c>
      <c r="J738" s="88"/>
    </row>
    <row r="739">
      <c r="A739" s="54" t="s">
        <v>236</v>
      </c>
      <c r="B739" s="7" t="s">
        <v>1682</v>
      </c>
      <c r="C739" s="91">
        <v>45845.731486261575</v>
      </c>
      <c r="D739" s="8"/>
      <c r="E739" s="9"/>
      <c r="F739" s="10"/>
      <c r="G739" s="9"/>
      <c r="H739" s="7" t="s">
        <v>1683</v>
      </c>
      <c r="I739" s="9" t="s">
        <v>353</v>
      </c>
      <c r="J739" s="88"/>
    </row>
    <row r="740">
      <c r="A740" s="54" t="s">
        <v>236</v>
      </c>
      <c r="B740" s="7" t="s">
        <v>1684</v>
      </c>
      <c r="C740" s="91">
        <v>45811.36163668981</v>
      </c>
      <c r="D740" s="8"/>
      <c r="E740" s="9"/>
      <c r="F740" s="10"/>
      <c r="G740" s="9" t="s">
        <v>220</v>
      </c>
      <c r="H740" s="7" t="s">
        <v>1685</v>
      </c>
      <c r="I740" s="9" t="s">
        <v>353</v>
      </c>
      <c r="J740" s="88"/>
    </row>
    <row r="741">
      <c r="A741" s="54" t="s">
        <v>236</v>
      </c>
      <c r="B741" s="100" t="s">
        <v>1686</v>
      </c>
      <c r="C741" s="91">
        <v>45594.667150625</v>
      </c>
      <c r="D741" s="8">
        <f t="shared" ref="D741:D743" si="77">IFERROR(_xlfn.WORKDAY.INTL(C741, 2),"-")</f>
        <v>45596</v>
      </c>
      <c r="E741" s="9" t="s">
        <v>11</v>
      </c>
      <c r="F741" s="10"/>
      <c r="G741" s="9" t="s">
        <v>220</v>
      </c>
      <c r="H741" s="7" t="s">
        <v>1687</v>
      </c>
      <c r="I741" s="9" t="s">
        <v>353</v>
      </c>
      <c r="J741" s="88"/>
    </row>
    <row r="742">
      <c r="A742" s="54" t="s">
        <v>236</v>
      </c>
      <c r="B742" s="100" t="s">
        <v>1688</v>
      </c>
      <c r="C742" s="91">
        <v>45594.66683180556</v>
      </c>
      <c r="D742" s="8">
        <f t="shared" si="77"/>
        <v>45596</v>
      </c>
      <c r="E742" s="9" t="s">
        <v>11</v>
      </c>
      <c r="F742" s="10"/>
      <c r="G742" s="9" t="s">
        <v>220</v>
      </c>
      <c r="H742" s="7" t="s">
        <v>1689</v>
      </c>
      <c r="I742" s="9" t="s">
        <v>353</v>
      </c>
      <c r="J742" s="88"/>
    </row>
    <row r="743">
      <c r="A743" s="54" t="s">
        <v>236</v>
      </c>
      <c r="B743" s="100" t="s">
        <v>1690</v>
      </c>
      <c r="C743" s="91">
        <v>45594.66690190972</v>
      </c>
      <c r="D743" s="8">
        <f t="shared" si="77"/>
        <v>45596</v>
      </c>
      <c r="E743" s="9" t="s">
        <v>11</v>
      </c>
      <c r="F743" s="10"/>
      <c r="G743" s="9" t="s">
        <v>18</v>
      </c>
      <c r="H743" s="7" t="s">
        <v>1691</v>
      </c>
      <c r="I743" s="9" t="s">
        <v>353</v>
      </c>
      <c r="J743" s="88"/>
    </row>
    <row r="744">
      <c r="A744" s="20" t="s">
        <v>98</v>
      </c>
      <c r="B744" s="9" t="s">
        <v>1692</v>
      </c>
      <c r="C744" s="91">
        <v>45807.408630555554</v>
      </c>
      <c r="D744" s="8"/>
      <c r="E744" s="9"/>
      <c r="F744" s="10"/>
      <c r="G744" s="9" t="s">
        <v>15</v>
      </c>
      <c r="H744" s="23" t="s">
        <v>1693</v>
      </c>
      <c r="I744" s="9" t="s">
        <v>353</v>
      </c>
      <c r="J744" s="88"/>
    </row>
    <row r="745">
      <c r="A745" s="20" t="s">
        <v>98</v>
      </c>
      <c r="B745" s="9" t="s">
        <v>1079</v>
      </c>
      <c r="C745" s="91">
        <v>45807.40834277778</v>
      </c>
      <c r="D745" s="8"/>
      <c r="E745" s="9"/>
      <c r="F745" s="10"/>
      <c r="G745" s="9" t="s">
        <v>15</v>
      </c>
      <c r="H745" s="23" t="s">
        <v>1694</v>
      </c>
      <c r="I745" s="9" t="s">
        <v>353</v>
      </c>
      <c r="J745" s="88"/>
    </row>
    <row r="746">
      <c r="A746" s="6" t="s">
        <v>9</v>
      </c>
      <c r="B746" s="7" t="s">
        <v>1695</v>
      </c>
      <c r="C746" s="91">
        <v>45807.38170666667</v>
      </c>
      <c r="D746" s="8">
        <f>IFERROR(_xlfn.WORKDAY.INTL(C746, 2),"-")</f>
        <v>45811</v>
      </c>
      <c r="E746" s="9" t="s">
        <v>11</v>
      </c>
      <c r="F746" s="10"/>
      <c r="G746" s="9" t="s">
        <v>18</v>
      </c>
      <c r="H746" s="7" t="s">
        <v>1696</v>
      </c>
      <c r="I746" s="9" t="s">
        <v>353</v>
      </c>
      <c r="J746" s="88"/>
    </row>
    <row r="747">
      <c r="A747" s="20" t="s">
        <v>98</v>
      </c>
      <c r="B747" s="9" t="s">
        <v>1697</v>
      </c>
      <c r="C747" s="91">
        <v>45845.40518244213</v>
      </c>
      <c r="D747" s="8"/>
      <c r="E747" s="9"/>
      <c r="F747" s="10"/>
      <c r="G747" s="9" t="s">
        <v>15</v>
      </c>
      <c r="H747" s="7" t="s">
        <v>1698</v>
      </c>
      <c r="I747" s="9" t="s">
        <v>353</v>
      </c>
      <c r="J747" s="88"/>
    </row>
    <row r="748">
      <c r="A748" s="20" t="s">
        <v>98</v>
      </c>
      <c r="B748" s="9" t="s">
        <v>1699</v>
      </c>
      <c r="C748" s="91">
        <v>45762.4413384838</v>
      </c>
      <c r="D748" s="8"/>
      <c r="E748" s="9"/>
      <c r="F748" s="10"/>
      <c r="G748" s="9" t="s">
        <v>18</v>
      </c>
      <c r="H748" s="7" t="s">
        <v>1700</v>
      </c>
      <c r="I748" s="9" t="s">
        <v>353</v>
      </c>
      <c r="J748" s="88"/>
    </row>
    <row r="749">
      <c r="A749" s="102" t="s">
        <v>624</v>
      </c>
      <c r="B749" s="67" t="s">
        <v>1701</v>
      </c>
      <c r="C749" s="91">
        <v>45824.49445435185</v>
      </c>
      <c r="D749" s="8">
        <f>IFERROR(_xlfn.WORKDAY.INTL(C749, 2),"-")</f>
        <v>45826</v>
      </c>
      <c r="E749" s="9" t="s">
        <v>88</v>
      </c>
      <c r="F749" s="10"/>
      <c r="G749" s="9" t="s">
        <v>11</v>
      </c>
      <c r="H749" s="7" t="s">
        <v>1702</v>
      </c>
      <c r="I749" s="9" t="s">
        <v>353</v>
      </c>
      <c r="J749" s="88"/>
    </row>
    <row r="750">
      <c r="A750" s="20" t="s">
        <v>98</v>
      </c>
      <c r="B750" s="9" t="s">
        <v>1703</v>
      </c>
      <c r="C750" s="91">
        <v>45841.582474849536</v>
      </c>
      <c r="D750" s="8"/>
      <c r="E750" s="9"/>
      <c r="F750" s="10"/>
      <c r="G750" s="9" t="s">
        <v>15</v>
      </c>
      <c r="H750" s="7" t="s">
        <v>1704</v>
      </c>
      <c r="I750" s="9" t="s">
        <v>353</v>
      </c>
      <c r="J750" s="88"/>
    </row>
    <row r="751">
      <c r="A751" s="20" t="s">
        <v>98</v>
      </c>
      <c r="B751" s="9" t="s">
        <v>1705</v>
      </c>
      <c r="C751" s="91">
        <v>45841.582514027774</v>
      </c>
      <c r="D751" s="8"/>
      <c r="E751" s="9"/>
      <c r="F751" s="10"/>
      <c r="G751" s="9" t="s">
        <v>18</v>
      </c>
      <c r="H751" s="7" t="s">
        <v>1704</v>
      </c>
      <c r="I751" s="9" t="s">
        <v>353</v>
      </c>
      <c r="J751" s="88"/>
    </row>
    <row r="752">
      <c r="A752" s="20" t="s">
        <v>98</v>
      </c>
      <c r="B752" s="9" t="s">
        <v>1706</v>
      </c>
      <c r="C752" s="91">
        <v>45841.58239513889</v>
      </c>
      <c r="D752" s="8"/>
      <c r="E752" s="9"/>
      <c r="F752" s="10"/>
      <c r="G752" s="9" t="s">
        <v>15</v>
      </c>
      <c r="H752" s="7" t="s">
        <v>1704</v>
      </c>
      <c r="I752" s="9" t="s">
        <v>353</v>
      </c>
      <c r="J752" s="88"/>
    </row>
    <row r="753">
      <c r="A753" s="20" t="s">
        <v>98</v>
      </c>
      <c r="B753" s="9" t="s">
        <v>1707</v>
      </c>
      <c r="C753" s="91">
        <v>45841.582102569446</v>
      </c>
      <c r="D753" s="8"/>
      <c r="E753" s="9"/>
      <c r="F753" s="10"/>
      <c r="G753" s="9" t="s">
        <v>15</v>
      </c>
      <c r="H753" s="7" t="s">
        <v>1704</v>
      </c>
      <c r="I753" s="9" t="s">
        <v>353</v>
      </c>
      <c r="J753" s="88"/>
    </row>
    <row r="754">
      <c r="A754" s="102" t="s">
        <v>624</v>
      </c>
      <c r="B754" s="7" t="s">
        <v>1708</v>
      </c>
      <c r="C754" s="91">
        <v>45840.56267099537</v>
      </c>
      <c r="D754" s="8">
        <f t="shared" ref="D754:D758" si="78">IFERROR(_xlfn.WORKDAY.INTL(C754, 2),"-")</f>
        <v>45842</v>
      </c>
      <c r="E754" s="9" t="s">
        <v>11</v>
      </c>
      <c r="F754" s="10"/>
      <c r="G754" s="9" t="s">
        <v>11</v>
      </c>
      <c r="H754" s="7" t="s">
        <v>1709</v>
      </c>
      <c r="I754" s="9" t="s">
        <v>353</v>
      </c>
      <c r="J754" s="88"/>
    </row>
    <row r="755">
      <c r="A755" s="54" t="s">
        <v>236</v>
      </c>
      <c r="B755" s="100" t="s">
        <v>1710</v>
      </c>
      <c r="C755" s="91">
        <v>45594.66826564815</v>
      </c>
      <c r="D755" s="8">
        <f t="shared" si="78"/>
        <v>45596</v>
      </c>
      <c r="E755" s="9" t="s">
        <v>11</v>
      </c>
      <c r="F755" s="10"/>
      <c r="G755" s="9" t="s">
        <v>18</v>
      </c>
      <c r="H755" s="7" t="s">
        <v>1711</v>
      </c>
      <c r="I755" s="9" t="s">
        <v>353</v>
      </c>
      <c r="J755" s="88"/>
    </row>
    <row r="756">
      <c r="A756" s="78" t="s">
        <v>334</v>
      </c>
      <c r="B756" s="43" t="s">
        <v>1712</v>
      </c>
      <c r="C756" s="119">
        <v>45838.0</v>
      </c>
      <c r="D756" s="80">
        <f t="shared" si="78"/>
        <v>45840</v>
      </c>
      <c r="E756" s="9" t="s">
        <v>1128</v>
      </c>
      <c r="F756" s="10"/>
      <c r="G756" s="9" t="s">
        <v>18</v>
      </c>
      <c r="H756" s="11"/>
      <c r="I756" s="9" t="s">
        <v>353</v>
      </c>
      <c r="J756" s="88"/>
    </row>
    <row r="757">
      <c r="A757" s="78" t="s">
        <v>334</v>
      </c>
      <c r="B757" s="43" t="s">
        <v>1713</v>
      </c>
      <c r="C757" s="119">
        <v>45820.0</v>
      </c>
      <c r="D757" s="80">
        <f t="shared" si="78"/>
        <v>45824</v>
      </c>
      <c r="E757" s="9" t="s">
        <v>1097</v>
      </c>
      <c r="F757" s="10"/>
      <c r="G757" s="9" t="s">
        <v>220</v>
      </c>
      <c r="H757" s="7" t="s">
        <v>1714</v>
      </c>
      <c r="I757" s="9" t="s">
        <v>353</v>
      </c>
      <c r="J757" s="88"/>
    </row>
    <row r="758">
      <c r="A758" s="54" t="s">
        <v>236</v>
      </c>
      <c r="B758" s="100" t="s">
        <v>1715</v>
      </c>
      <c r="C758" s="91">
        <v>45594.66664810185</v>
      </c>
      <c r="D758" s="8">
        <f t="shared" si="78"/>
        <v>45596</v>
      </c>
      <c r="E758" s="9" t="s">
        <v>11</v>
      </c>
      <c r="F758" s="10"/>
      <c r="G758" s="9" t="s">
        <v>18</v>
      </c>
      <c r="H758" s="7" t="s">
        <v>1716</v>
      </c>
      <c r="I758" s="9" t="s">
        <v>353</v>
      </c>
      <c r="J758" s="88"/>
    </row>
    <row r="759">
      <c r="A759" s="20" t="s">
        <v>98</v>
      </c>
      <c r="B759" s="9" t="s">
        <v>1717</v>
      </c>
      <c r="C759" s="91">
        <v>45841.58291561343</v>
      </c>
      <c r="D759" s="8"/>
      <c r="E759" s="9"/>
      <c r="F759" s="10"/>
      <c r="G759" s="9" t="s">
        <v>15</v>
      </c>
      <c r="H759" s="7" t="s">
        <v>1718</v>
      </c>
      <c r="I759" s="9" t="s">
        <v>353</v>
      </c>
      <c r="J759" s="88"/>
    </row>
    <row r="760">
      <c r="A760" s="6" t="s">
        <v>9</v>
      </c>
      <c r="B760" s="7" t="s">
        <v>1719</v>
      </c>
      <c r="C760" s="91">
        <v>45835.34162115741</v>
      </c>
      <c r="D760" s="8">
        <f>IFERROR(_xlfn.WORKDAY.INTL(C760, 2),"-")</f>
        <v>45839</v>
      </c>
      <c r="E760" s="9" t="s">
        <v>11</v>
      </c>
      <c r="F760" s="10"/>
      <c r="G760" s="9" t="s">
        <v>18</v>
      </c>
      <c r="H760" s="7" t="s">
        <v>1720</v>
      </c>
      <c r="I760" s="9" t="s">
        <v>353</v>
      </c>
      <c r="J760" s="88"/>
    </row>
    <row r="761">
      <c r="A761" s="54" t="s">
        <v>236</v>
      </c>
      <c r="B761" s="117" t="s">
        <v>1721</v>
      </c>
      <c r="C761" s="91">
        <v>45779.448403229166</v>
      </c>
      <c r="D761" s="8"/>
      <c r="E761" s="9"/>
      <c r="F761" s="10"/>
      <c r="G761" s="9" t="s">
        <v>21</v>
      </c>
      <c r="H761" s="7" t="s">
        <v>1722</v>
      </c>
      <c r="I761" s="9" t="s">
        <v>353</v>
      </c>
      <c r="J761" s="88"/>
    </row>
    <row r="762">
      <c r="A762" s="54" t="s">
        <v>236</v>
      </c>
      <c r="B762" s="125" t="s">
        <v>1723</v>
      </c>
      <c r="C762" s="91">
        <v>45701.425100520835</v>
      </c>
      <c r="D762" s="8">
        <f>IFERROR(_xlfn.WORKDAY.INTL(C762, 2),"-")</f>
        <v>45705</v>
      </c>
      <c r="E762" s="9" t="s">
        <v>11</v>
      </c>
      <c r="F762" s="10"/>
      <c r="G762" s="9" t="s">
        <v>15</v>
      </c>
      <c r="H762" s="7" t="s">
        <v>1724</v>
      </c>
      <c r="I762" s="9" t="s">
        <v>353</v>
      </c>
      <c r="J762" s="88"/>
    </row>
    <row r="763">
      <c r="A763" s="54" t="s">
        <v>236</v>
      </c>
      <c r="B763" s="61" t="s">
        <v>1725</v>
      </c>
      <c r="C763" s="91">
        <v>45779.44774497685</v>
      </c>
      <c r="D763" s="8"/>
      <c r="E763" s="9"/>
      <c r="F763" s="10"/>
      <c r="G763" s="9" t="s">
        <v>21</v>
      </c>
      <c r="H763" s="7" t="s">
        <v>1726</v>
      </c>
      <c r="I763" s="9" t="s">
        <v>353</v>
      </c>
      <c r="J763" s="88"/>
    </row>
    <row r="764">
      <c r="A764" s="54" t="s">
        <v>236</v>
      </c>
      <c r="B764" s="61" t="s">
        <v>1727</v>
      </c>
      <c r="C764" s="91">
        <v>45831.511239768515</v>
      </c>
      <c r="D764" s="8"/>
      <c r="E764" s="9"/>
      <c r="F764" s="10"/>
      <c r="G764" s="9" t="s">
        <v>15</v>
      </c>
      <c r="H764" s="111" t="s">
        <v>1728</v>
      </c>
      <c r="I764" s="9" t="s">
        <v>353</v>
      </c>
      <c r="J764" s="88"/>
    </row>
    <row r="765">
      <c r="A765" s="54" t="s">
        <v>236</v>
      </c>
      <c r="B765" s="61" t="s">
        <v>1729</v>
      </c>
      <c r="C765" s="91">
        <v>45831.47295767361</v>
      </c>
      <c r="D765" s="8"/>
      <c r="E765" s="9"/>
      <c r="F765" s="10"/>
      <c r="G765" s="9" t="s">
        <v>18</v>
      </c>
      <c r="H765" s="7" t="s">
        <v>1730</v>
      </c>
      <c r="I765" s="9" t="s">
        <v>353</v>
      </c>
      <c r="J765" s="88"/>
    </row>
    <row r="766">
      <c r="A766" s="102" t="s">
        <v>624</v>
      </c>
      <c r="B766" s="7" t="s">
        <v>1731</v>
      </c>
      <c r="C766" s="91">
        <v>45841.48229155093</v>
      </c>
      <c r="D766" s="8">
        <f t="shared" ref="D766:D770" si="79">IFERROR(_xlfn.WORKDAY.INTL(C766, 2),"-")</f>
        <v>45845</v>
      </c>
      <c r="E766" s="9" t="s">
        <v>11</v>
      </c>
      <c r="F766" s="10"/>
      <c r="G766" s="9"/>
      <c r="H766" s="7" t="s">
        <v>1732</v>
      </c>
      <c r="I766" s="9" t="s">
        <v>353</v>
      </c>
      <c r="J766" s="88"/>
    </row>
    <row r="767">
      <c r="A767" s="6" t="s">
        <v>9</v>
      </c>
      <c r="B767" s="7" t="s">
        <v>1733</v>
      </c>
      <c r="C767" s="91">
        <v>45818.4654262963</v>
      </c>
      <c r="D767" s="8">
        <f t="shared" si="79"/>
        <v>45820</v>
      </c>
      <c r="E767" s="9" t="s">
        <v>11</v>
      </c>
      <c r="F767" s="10"/>
      <c r="G767" s="9" t="s">
        <v>15</v>
      </c>
      <c r="H767" s="7" t="s">
        <v>1734</v>
      </c>
      <c r="I767" s="9" t="s">
        <v>353</v>
      </c>
      <c r="J767" s="88"/>
    </row>
    <row r="768">
      <c r="A768" s="6" t="s">
        <v>9</v>
      </c>
      <c r="B768" s="7" t="s">
        <v>1648</v>
      </c>
      <c r="C768" s="91">
        <v>45821.41981391204</v>
      </c>
      <c r="D768" s="8">
        <f t="shared" si="79"/>
        <v>45825</v>
      </c>
      <c r="E768" s="9" t="s">
        <v>11</v>
      </c>
      <c r="F768" s="10"/>
      <c r="G768" s="9" t="s">
        <v>15</v>
      </c>
      <c r="H768" s="7" t="s">
        <v>1735</v>
      </c>
      <c r="I768" s="9" t="s">
        <v>353</v>
      </c>
      <c r="J768" s="88"/>
    </row>
    <row r="769">
      <c r="A769" s="6" t="s">
        <v>9</v>
      </c>
      <c r="B769" s="7" t="s">
        <v>1736</v>
      </c>
      <c r="C769" s="91">
        <v>45810.48553011574</v>
      </c>
      <c r="D769" s="8">
        <f t="shared" si="79"/>
        <v>45812</v>
      </c>
      <c r="E769" s="9" t="s">
        <v>11</v>
      </c>
      <c r="F769" s="10"/>
      <c r="G769" s="9" t="s">
        <v>15</v>
      </c>
      <c r="H769" s="7" t="s">
        <v>1737</v>
      </c>
      <c r="I769" s="9" t="s">
        <v>353</v>
      </c>
      <c r="J769" s="88"/>
    </row>
    <row r="770">
      <c r="A770" s="102" t="s">
        <v>624</v>
      </c>
      <c r="B770" s="126" t="s">
        <v>1738</v>
      </c>
      <c r="C770" s="91">
        <v>45804.64500940972</v>
      </c>
      <c r="D770" s="8">
        <f t="shared" si="79"/>
        <v>45806</v>
      </c>
      <c r="E770" s="9" t="s">
        <v>88</v>
      </c>
      <c r="F770" s="10"/>
      <c r="G770" s="9" t="s">
        <v>11</v>
      </c>
      <c r="H770" s="7" t="s">
        <v>1739</v>
      </c>
      <c r="I770" s="9" t="s">
        <v>353</v>
      </c>
      <c r="J770" s="88"/>
    </row>
    <row r="771">
      <c r="A771" s="20" t="s">
        <v>98</v>
      </c>
      <c r="B771" s="9" t="s">
        <v>1740</v>
      </c>
      <c r="C771" s="91">
        <v>45838.61874061343</v>
      </c>
      <c r="D771" s="8"/>
      <c r="E771" s="9"/>
      <c r="F771" s="10"/>
      <c r="G771" s="9" t="s">
        <v>15</v>
      </c>
      <c r="H771" s="7" t="s">
        <v>1741</v>
      </c>
      <c r="I771" s="9" t="s">
        <v>353</v>
      </c>
      <c r="J771" s="88"/>
    </row>
    <row r="772">
      <c r="A772" s="102"/>
      <c r="B772" s="7" t="s">
        <v>1742</v>
      </c>
      <c r="C772" s="91">
        <v>45839.45917178241</v>
      </c>
      <c r="D772" s="8"/>
      <c r="E772" s="9" t="s">
        <v>206</v>
      </c>
      <c r="F772" s="10"/>
      <c r="G772" s="9" t="s">
        <v>11</v>
      </c>
      <c r="H772" s="7" t="s">
        <v>1743</v>
      </c>
      <c r="I772" s="9" t="s">
        <v>353</v>
      </c>
      <c r="J772" s="88"/>
    </row>
    <row r="773">
      <c r="A773" s="102" t="s">
        <v>624</v>
      </c>
      <c r="B773" s="7" t="s">
        <v>1744</v>
      </c>
      <c r="C773" s="91">
        <v>45834.71140108796</v>
      </c>
      <c r="D773" s="8">
        <f t="shared" ref="D773:D775" si="80">IFERROR(_xlfn.WORKDAY.INTL(C773, 2),"-")</f>
        <v>45838</v>
      </c>
      <c r="E773" s="9" t="s">
        <v>94</v>
      </c>
      <c r="F773" s="10"/>
      <c r="G773" s="9" t="s">
        <v>11</v>
      </c>
      <c r="H773" s="7" t="s">
        <v>1745</v>
      </c>
      <c r="I773" s="9" t="s">
        <v>353</v>
      </c>
      <c r="J773" s="88"/>
    </row>
    <row r="774">
      <c r="A774" s="78" t="s">
        <v>334</v>
      </c>
      <c r="B774" s="43" t="s">
        <v>1746</v>
      </c>
      <c r="C774" s="119">
        <v>45838.56848945602</v>
      </c>
      <c r="D774" s="80">
        <f t="shared" si="80"/>
        <v>45840</v>
      </c>
      <c r="E774" s="9" t="s">
        <v>1123</v>
      </c>
      <c r="F774" s="10"/>
      <c r="G774" s="9" t="s">
        <v>15</v>
      </c>
      <c r="H774" s="7" t="s">
        <v>1747</v>
      </c>
      <c r="I774" s="9" t="s">
        <v>353</v>
      </c>
      <c r="J774" s="88"/>
    </row>
    <row r="775">
      <c r="A775" s="102" t="s">
        <v>624</v>
      </c>
      <c r="B775" s="7" t="s">
        <v>1748</v>
      </c>
      <c r="C775" s="91">
        <v>45812.637298518515</v>
      </c>
      <c r="D775" s="8">
        <f t="shared" si="80"/>
        <v>45814</v>
      </c>
      <c r="E775" s="9" t="s">
        <v>11</v>
      </c>
      <c r="F775" s="10"/>
      <c r="G775" s="9" t="s">
        <v>11</v>
      </c>
      <c r="H775" s="7" t="s">
        <v>1749</v>
      </c>
      <c r="I775" s="9" t="s">
        <v>353</v>
      </c>
      <c r="J775" s="88"/>
    </row>
    <row r="776">
      <c r="A776" s="102"/>
      <c r="B776" s="103" t="s">
        <v>1750</v>
      </c>
      <c r="C776" s="91">
        <v>45804.73438094907</v>
      </c>
      <c r="D776" s="8"/>
      <c r="E776" s="9"/>
      <c r="F776" s="10"/>
      <c r="G776" s="9" t="s">
        <v>11</v>
      </c>
      <c r="H776" s="7" t="s">
        <v>1751</v>
      </c>
      <c r="I776" s="9" t="s">
        <v>353</v>
      </c>
      <c r="J776" s="88"/>
    </row>
    <row r="777">
      <c r="A777" s="20" t="s">
        <v>98</v>
      </c>
      <c r="B777" s="9" t="s">
        <v>1752</v>
      </c>
      <c r="C777" s="91">
        <v>45567.597080590276</v>
      </c>
      <c r="D777" s="8">
        <f t="shared" ref="D777:D781" si="81">IFERROR(_xlfn.WORKDAY.INTL(C777, 2),"-")</f>
        <v>45569</v>
      </c>
      <c r="E777" s="9" t="s">
        <v>206</v>
      </c>
      <c r="F777" s="10"/>
      <c r="G777" s="9" t="s">
        <v>15</v>
      </c>
      <c r="H777" s="23" t="s">
        <v>1753</v>
      </c>
      <c r="I777" s="9" t="s">
        <v>353</v>
      </c>
      <c r="J777" s="88"/>
    </row>
    <row r="778">
      <c r="A778" s="20" t="s">
        <v>98</v>
      </c>
      <c r="B778" s="9" t="s">
        <v>1754</v>
      </c>
      <c r="C778" s="91">
        <v>45666.403236875005</v>
      </c>
      <c r="D778" s="8">
        <f t="shared" si="81"/>
        <v>45670</v>
      </c>
      <c r="E778" s="9" t="s">
        <v>11</v>
      </c>
      <c r="F778" s="10"/>
      <c r="G778" s="9" t="s">
        <v>15</v>
      </c>
      <c r="H778" s="23" t="s">
        <v>1755</v>
      </c>
      <c r="I778" s="9" t="s">
        <v>353</v>
      </c>
      <c r="J778" s="88"/>
    </row>
    <row r="779">
      <c r="A779" s="6" t="s">
        <v>9</v>
      </c>
      <c r="B779" s="7" t="s">
        <v>1756</v>
      </c>
      <c r="C779" s="91">
        <v>45798.449057418984</v>
      </c>
      <c r="D779" s="8">
        <f t="shared" si="81"/>
        <v>45800</v>
      </c>
      <c r="E779" s="9" t="s">
        <v>11</v>
      </c>
      <c r="F779" s="10"/>
      <c r="G779" s="9" t="s">
        <v>18</v>
      </c>
      <c r="H779" s="7" t="s">
        <v>1757</v>
      </c>
      <c r="I779" s="9" t="s">
        <v>353</v>
      </c>
      <c r="J779" s="88"/>
    </row>
    <row r="780">
      <c r="A780" s="20" t="s">
        <v>98</v>
      </c>
      <c r="B780" s="9" t="s">
        <v>1758</v>
      </c>
      <c r="C780" s="91">
        <v>45706.61079199074</v>
      </c>
      <c r="D780" s="8">
        <f t="shared" si="81"/>
        <v>45708</v>
      </c>
      <c r="E780" s="9" t="s">
        <v>11</v>
      </c>
      <c r="F780" s="10"/>
      <c r="G780" s="9" t="s">
        <v>15</v>
      </c>
      <c r="H780" s="62" t="s">
        <v>1759</v>
      </c>
      <c r="I780" s="9" t="s">
        <v>353</v>
      </c>
      <c r="J780" s="88"/>
    </row>
    <row r="781">
      <c r="A781" s="78" t="s">
        <v>334</v>
      </c>
      <c r="B781" s="43" t="s">
        <v>1760</v>
      </c>
      <c r="C781" s="119">
        <v>45833.59818457176</v>
      </c>
      <c r="D781" s="80">
        <f t="shared" si="81"/>
        <v>45835</v>
      </c>
      <c r="E781" s="9" t="s">
        <v>1489</v>
      </c>
      <c r="F781" s="10"/>
      <c r="G781" s="9" t="s">
        <v>220</v>
      </c>
      <c r="H781" s="7" t="s">
        <v>1761</v>
      </c>
      <c r="I781" s="9" t="s">
        <v>353</v>
      </c>
      <c r="J781" s="88"/>
    </row>
    <row r="782">
      <c r="A782" s="20" t="s">
        <v>98</v>
      </c>
      <c r="B782" s="9" t="s">
        <v>1762</v>
      </c>
      <c r="C782" s="91">
        <v>45762.440060312496</v>
      </c>
      <c r="D782" s="8"/>
      <c r="E782" s="9"/>
      <c r="F782" s="10"/>
      <c r="G782" s="9" t="s">
        <v>15</v>
      </c>
      <c r="H782" s="7" t="s">
        <v>1763</v>
      </c>
      <c r="I782" s="9" t="s">
        <v>353</v>
      </c>
      <c r="J782" s="88"/>
    </row>
    <row r="783">
      <c r="A783" s="20" t="s">
        <v>98</v>
      </c>
      <c r="B783" s="9" t="s">
        <v>1764</v>
      </c>
      <c r="C783" s="91">
        <v>45541.382742754635</v>
      </c>
      <c r="D783" s="8">
        <f>IFERROR(_xlfn.WORKDAY.INTL(C783, 2),"-")</f>
        <v>45545</v>
      </c>
      <c r="E783" s="9" t="s">
        <v>88</v>
      </c>
      <c r="F783" s="10"/>
      <c r="G783" s="9" t="s">
        <v>15</v>
      </c>
      <c r="H783" s="7" t="s">
        <v>1765</v>
      </c>
      <c r="I783" s="9" t="s">
        <v>353</v>
      </c>
      <c r="J783" s="88"/>
    </row>
    <row r="784">
      <c r="A784" s="20" t="s">
        <v>98</v>
      </c>
      <c r="B784" s="9" t="s">
        <v>1766</v>
      </c>
      <c r="C784" s="91">
        <v>45770.702800625004</v>
      </c>
      <c r="D784" s="8"/>
      <c r="E784" s="9"/>
      <c r="F784" s="10"/>
      <c r="G784" s="9" t="s">
        <v>15</v>
      </c>
      <c r="H784" s="7" t="s">
        <v>1767</v>
      </c>
      <c r="I784" s="9" t="s">
        <v>353</v>
      </c>
      <c r="J784" s="88"/>
    </row>
    <row r="785">
      <c r="A785" s="20" t="s">
        <v>98</v>
      </c>
      <c r="B785" s="9" t="s">
        <v>1768</v>
      </c>
      <c r="C785" s="91">
        <v>45838.42649996528</v>
      </c>
      <c r="D785" s="8"/>
      <c r="E785" s="9"/>
      <c r="F785" s="10"/>
      <c r="G785" s="9" t="s">
        <v>18</v>
      </c>
      <c r="H785" s="7" t="s">
        <v>1769</v>
      </c>
      <c r="I785" s="9" t="s">
        <v>353</v>
      </c>
      <c r="J785" s="88"/>
    </row>
    <row r="786">
      <c r="A786" s="102" t="s">
        <v>624</v>
      </c>
      <c r="B786" s="7" t="s">
        <v>1770</v>
      </c>
      <c r="C786" s="91">
        <v>45824.49639347222</v>
      </c>
      <c r="D786" s="8">
        <f t="shared" ref="D786:D787" si="82">IFERROR(_xlfn.WORKDAY.INTL(C786, 2),"-")</f>
        <v>45826</v>
      </c>
      <c r="E786" s="9" t="s">
        <v>11</v>
      </c>
      <c r="F786" s="10"/>
      <c r="G786" s="9" t="s">
        <v>15</v>
      </c>
      <c r="H786" s="7" t="s">
        <v>1771</v>
      </c>
      <c r="I786" s="9" t="s">
        <v>353</v>
      </c>
      <c r="J786" s="88"/>
    </row>
    <row r="787">
      <c r="A787" s="102" t="s">
        <v>624</v>
      </c>
      <c r="B787" s="7" t="s">
        <v>1772</v>
      </c>
      <c r="C787" s="91">
        <v>45824.49408309028</v>
      </c>
      <c r="D787" s="8">
        <f t="shared" si="82"/>
        <v>45826</v>
      </c>
      <c r="E787" s="9" t="s">
        <v>11</v>
      </c>
      <c r="F787" s="10"/>
      <c r="G787" s="9" t="s">
        <v>11</v>
      </c>
      <c r="H787" s="7" t="s">
        <v>1773</v>
      </c>
      <c r="I787" s="9" t="s">
        <v>353</v>
      </c>
      <c r="J787" s="88"/>
    </row>
    <row r="788">
      <c r="A788" s="20" t="s">
        <v>98</v>
      </c>
      <c r="B788" s="9" t="s">
        <v>1774</v>
      </c>
      <c r="C788" s="91">
        <v>45832.71894666667</v>
      </c>
      <c r="D788" s="8"/>
      <c r="E788" s="9"/>
      <c r="F788" s="10"/>
      <c r="G788" s="9" t="s">
        <v>15</v>
      </c>
      <c r="H788" s="7" t="s">
        <v>1775</v>
      </c>
      <c r="I788" s="9" t="s">
        <v>353</v>
      </c>
      <c r="J788" s="88"/>
    </row>
    <row r="789">
      <c r="A789" s="78" t="s">
        <v>334</v>
      </c>
      <c r="B789" s="43" t="s">
        <v>1776</v>
      </c>
      <c r="C789" s="119">
        <v>45826.0</v>
      </c>
      <c r="D789" s="80">
        <f>IFERROR(_xlfn.WORKDAY.INTL(C789, 2),"-")</f>
        <v>45828</v>
      </c>
      <c r="E789" s="9" t="s">
        <v>1097</v>
      </c>
      <c r="F789" s="10"/>
      <c r="G789" s="9" t="s">
        <v>18</v>
      </c>
      <c r="H789" s="7" t="s">
        <v>1777</v>
      </c>
      <c r="I789" s="9" t="s">
        <v>353</v>
      </c>
      <c r="J789" s="88"/>
    </row>
    <row r="790">
      <c r="A790" s="20" t="s">
        <v>98</v>
      </c>
      <c r="B790" s="9" t="s">
        <v>1778</v>
      </c>
      <c r="C790" s="91">
        <v>45832.73724825231</v>
      </c>
      <c r="D790" s="8"/>
      <c r="E790" s="9"/>
      <c r="F790" s="10"/>
      <c r="G790" s="9" t="s">
        <v>18</v>
      </c>
      <c r="H790" s="7" t="s">
        <v>1779</v>
      </c>
      <c r="I790" s="9" t="s">
        <v>353</v>
      </c>
      <c r="J790" s="88"/>
    </row>
    <row r="791">
      <c r="A791" s="6" t="s">
        <v>9</v>
      </c>
      <c r="B791" s="7" t="s">
        <v>1780</v>
      </c>
      <c r="C791" s="91">
        <v>45835.35993946759</v>
      </c>
      <c r="D791" s="8">
        <f t="shared" ref="D791:D793" si="83">IFERROR(_xlfn.WORKDAY.INTL(C791, 2),"-")</f>
        <v>45839</v>
      </c>
      <c r="E791" s="9" t="s">
        <v>11</v>
      </c>
      <c r="F791" s="10"/>
      <c r="G791" s="9" t="s">
        <v>18</v>
      </c>
      <c r="H791" s="7" t="s">
        <v>437</v>
      </c>
      <c r="I791" s="9" t="s">
        <v>353</v>
      </c>
      <c r="J791" s="88"/>
    </row>
    <row r="792">
      <c r="A792" s="6" t="s">
        <v>9</v>
      </c>
      <c r="B792" s="7" t="s">
        <v>1781</v>
      </c>
      <c r="C792" s="91">
        <v>45835.359798171296</v>
      </c>
      <c r="D792" s="8">
        <f t="shared" si="83"/>
        <v>45839</v>
      </c>
      <c r="E792" s="9" t="s">
        <v>11</v>
      </c>
      <c r="F792" s="10"/>
      <c r="G792" s="9" t="s">
        <v>18</v>
      </c>
      <c r="H792" s="7" t="s">
        <v>437</v>
      </c>
      <c r="I792" s="9" t="s">
        <v>353</v>
      </c>
      <c r="J792" s="88"/>
    </row>
    <row r="793">
      <c r="A793" s="54" t="s">
        <v>236</v>
      </c>
      <c r="B793" s="7" t="s">
        <v>1782</v>
      </c>
      <c r="C793" s="91">
        <v>45540.51349356482</v>
      </c>
      <c r="D793" s="8">
        <f t="shared" si="83"/>
        <v>45544</v>
      </c>
      <c r="E793" s="9" t="s">
        <v>11</v>
      </c>
      <c r="F793" s="10"/>
      <c r="G793" s="9" t="s">
        <v>220</v>
      </c>
      <c r="H793" s="7" t="s">
        <v>1783</v>
      </c>
      <c r="I793" s="9" t="s">
        <v>353</v>
      </c>
      <c r="J793" s="88"/>
    </row>
    <row r="794">
      <c r="A794" s="20" t="s">
        <v>98</v>
      </c>
      <c r="B794" s="9" t="s">
        <v>1784</v>
      </c>
      <c r="C794" s="91">
        <v>45832.47106826389</v>
      </c>
      <c r="D794" s="8"/>
      <c r="E794" s="9"/>
      <c r="F794" s="10"/>
      <c r="G794" s="9" t="s">
        <v>15</v>
      </c>
      <c r="H794" s="7" t="s">
        <v>1785</v>
      </c>
      <c r="I794" s="9" t="s">
        <v>353</v>
      </c>
      <c r="J794" s="88"/>
    </row>
    <row r="795">
      <c r="A795" s="20" t="s">
        <v>98</v>
      </c>
      <c r="B795" s="9" t="s">
        <v>1786</v>
      </c>
      <c r="C795" s="91">
        <v>45425.49446828704</v>
      </c>
      <c r="D795" s="8">
        <f t="shared" ref="D795:D797" si="84">IFERROR(_xlfn.WORKDAY.INTL(C795, 2),"-")</f>
        <v>45427</v>
      </c>
      <c r="E795" s="9" t="s">
        <v>11</v>
      </c>
      <c r="F795" s="10"/>
      <c r="G795" s="9" t="s">
        <v>15</v>
      </c>
      <c r="H795" s="23" t="s">
        <v>1787</v>
      </c>
      <c r="I795" s="9" t="s">
        <v>353</v>
      </c>
      <c r="J795" s="88"/>
    </row>
    <row r="796">
      <c r="A796" s="78" t="s">
        <v>334</v>
      </c>
      <c r="B796" s="43" t="s">
        <v>1788</v>
      </c>
      <c r="C796" s="119">
        <v>45833.0</v>
      </c>
      <c r="D796" s="80">
        <f t="shared" si="84"/>
        <v>45835</v>
      </c>
      <c r="E796" s="9" t="s">
        <v>1097</v>
      </c>
      <c r="F796" s="10"/>
      <c r="G796" s="9" t="s">
        <v>220</v>
      </c>
      <c r="H796" s="11"/>
      <c r="I796" s="9" t="s">
        <v>353</v>
      </c>
      <c r="J796" s="88"/>
    </row>
    <row r="797">
      <c r="A797" s="78" t="s">
        <v>334</v>
      </c>
      <c r="B797" s="43" t="s">
        <v>1789</v>
      </c>
      <c r="C797" s="119">
        <v>45832.52025877315</v>
      </c>
      <c r="D797" s="80">
        <f t="shared" si="84"/>
        <v>45834</v>
      </c>
      <c r="E797" s="9" t="s">
        <v>1097</v>
      </c>
      <c r="F797" s="10"/>
      <c r="G797" s="9" t="s">
        <v>18</v>
      </c>
      <c r="H797" s="7" t="s">
        <v>1790</v>
      </c>
      <c r="I797" s="9" t="s">
        <v>353</v>
      </c>
      <c r="J797" s="88"/>
    </row>
    <row r="798">
      <c r="A798" s="20" t="s">
        <v>98</v>
      </c>
      <c r="B798" s="9" t="s">
        <v>1791</v>
      </c>
      <c r="C798" s="91">
        <v>45790.48437449074</v>
      </c>
      <c r="D798" s="8"/>
      <c r="E798" s="9"/>
      <c r="F798" s="10"/>
      <c r="G798" s="9" t="s">
        <v>15</v>
      </c>
      <c r="H798" s="7" t="s">
        <v>1792</v>
      </c>
      <c r="I798" s="9" t="s">
        <v>353</v>
      </c>
      <c r="J798" s="88"/>
    </row>
    <row r="799">
      <c r="A799" s="20" t="s">
        <v>98</v>
      </c>
      <c r="B799" s="9" t="s">
        <v>1793</v>
      </c>
      <c r="C799" s="91">
        <v>45824.405158113426</v>
      </c>
      <c r="D799" s="8"/>
      <c r="E799" s="9"/>
      <c r="F799" s="10"/>
      <c r="G799" s="9" t="s">
        <v>15</v>
      </c>
      <c r="H799" s="22" t="s">
        <v>1794</v>
      </c>
      <c r="I799" s="9" t="s">
        <v>353</v>
      </c>
      <c r="J799" s="88"/>
    </row>
    <row r="800">
      <c r="A800" s="54" t="s">
        <v>236</v>
      </c>
      <c r="B800" s="61" t="s">
        <v>1795</v>
      </c>
      <c r="C800" s="91">
        <v>45803.74075766203</v>
      </c>
      <c r="D800" s="8"/>
      <c r="E800" s="9"/>
      <c r="F800" s="10"/>
      <c r="G800" s="9" t="s">
        <v>15</v>
      </c>
      <c r="H800" s="7" t="s">
        <v>1796</v>
      </c>
      <c r="I800" s="9" t="s">
        <v>353</v>
      </c>
      <c r="J800" s="88"/>
    </row>
    <row r="801">
      <c r="A801" s="78" t="s">
        <v>334</v>
      </c>
      <c r="B801" s="128" t="s">
        <v>1797</v>
      </c>
      <c r="C801" s="119">
        <v>45813.0</v>
      </c>
      <c r="D801" s="80">
        <f>IFERROR(_xlfn.WORKDAY.INTL(C801, 2),"-")</f>
        <v>45817</v>
      </c>
      <c r="E801" s="9" t="s">
        <v>1123</v>
      </c>
      <c r="F801" s="10"/>
      <c r="G801" s="9" t="s">
        <v>18</v>
      </c>
      <c r="H801" s="7" t="s">
        <v>1798</v>
      </c>
      <c r="I801" s="9" t="s">
        <v>353</v>
      </c>
      <c r="J801" s="88"/>
    </row>
    <row r="802">
      <c r="A802" s="20" t="s">
        <v>98</v>
      </c>
      <c r="B802" s="9" t="s">
        <v>1799</v>
      </c>
      <c r="C802" s="91">
        <v>45831.65589201389</v>
      </c>
      <c r="D802" s="8"/>
      <c r="E802" s="9"/>
      <c r="F802" s="10"/>
      <c r="G802" s="9" t="s">
        <v>15</v>
      </c>
      <c r="H802" s="7" t="s">
        <v>1800</v>
      </c>
      <c r="I802" s="9" t="s">
        <v>353</v>
      </c>
      <c r="J802" s="88"/>
    </row>
    <row r="803">
      <c r="A803" s="78" t="s">
        <v>334</v>
      </c>
      <c r="B803" s="43" t="s">
        <v>1801</v>
      </c>
      <c r="C803" s="119">
        <v>45824.0</v>
      </c>
      <c r="D803" s="80">
        <f t="shared" ref="D803:D806" si="85">IFERROR(_xlfn.WORKDAY.INTL(C803, 2),"-")</f>
        <v>45826</v>
      </c>
      <c r="E803" s="9" t="s">
        <v>1128</v>
      </c>
      <c r="F803" s="10"/>
      <c r="G803" s="9" t="s">
        <v>15</v>
      </c>
      <c r="H803" s="7" t="s">
        <v>1802</v>
      </c>
      <c r="I803" s="9" t="s">
        <v>353</v>
      </c>
      <c r="J803" s="88"/>
    </row>
    <row r="804">
      <c r="A804" s="78" t="s">
        <v>334</v>
      </c>
      <c r="B804" s="43" t="s">
        <v>1803</v>
      </c>
      <c r="C804" s="119">
        <v>45824.0</v>
      </c>
      <c r="D804" s="80">
        <f t="shared" si="85"/>
        <v>45826</v>
      </c>
      <c r="E804" s="9" t="s">
        <v>1128</v>
      </c>
      <c r="F804" s="10"/>
      <c r="G804" s="9" t="s">
        <v>15</v>
      </c>
      <c r="H804" s="7" t="s">
        <v>1804</v>
      </c>
      <c r="I804" s="9" t="s">
        <v>353</v>
      </c>
      <c r="J804" s="88"/>
    </row>
    <row r="805">
      <c r="A805" s="78" t="s">
        <v>334</v>
      </c>
      <c r="B805" s="43" t="s">
        <v>1805</v>
      </c>
      <c r="C805" s="119">
        <v>45821.42063438657</v>
      </c>
      <c r="D805" s="80">
        <f t="shared" si="85"/>
        <v>45825</v>
      </c>
      <c r="E805" s="9" t="s">
        <v>1128</v>
      </c>
      <c r="F805" s="10"/>
      <c r="G805" s="9" t="s">
        <v>15</v>
      </c>
      <c r="H805" s="7" t="s">
        <v>1806</v>
      </c>
      <c r="I805" s="9" t="s">
        <v>353</v>
      </c>
      <c r="J805" s="88"/>
    </row>
    <row r="806">
      <c r="A806" s="78" t="s">
        <v>334</v>
      </c>
      <c r="B806" s="43" t="s">
        <v>1807</v>
      </c>
      <c r="C806" s="119">
        <v>45813.0</v>
      </c>
      <c r="D806" s="80">
        <f t="shared" si="85"/>
        <v>45817</v>
      </c>
      <c r="E806" s="9" t="s">
        <v>1489</v>
      </c>
      <c r="F806" s="10"/>
      <c r="G806" s="9" t="s">
        <v>18</v>
      </c>
      <c r="H806" s="7" t="s">
        <v>1808</v>
      </c>
      <c r="I806" s="9" t="s">
        <v>353</v>
      </c>
      <c r="J806" s="88"/>
    </row>
    <row r="807">
      <c r="A807" s="20" t="s">
        <v>98</v>
      </c>
      <c r="B807" s="9" t="s">
        <v>1809</v>
      </c>
      <c r="C807" s="91">
        <v>45828.36645311343</v>
      </c>
      <c r="D807" s="8"/>
      <c r="E807" s="9"/>
      <c r="F807" s="10"/>
      <c r="G807" s="9" t="s">
        <v>15</v>
      </c>
      <c r="H807" s="7" t="s">
        <v>1810</v>
      </c>
      <c r="I807" s="9" t="s">
        <v>353</v>
      </c>
      <c r="J807" s="88"/>
    </row>
    <row r="808">
      <c r="A808" s="102" t="s">
        <v>624</v>
      </c>
      <c r="B808" s="67" t="s">
        <v>1811</v>
      </c>
      <c r="C808" s="91">
        <v>45824.47272337963</v>
      </c>
      <c r="D808" s="8">
        <f t="shared" ref="D808:D810" si="86">IFERROR(_xlfn.WORKDAY.INTL(C808, 2),"-")</f>
        <v>45826</v>
      </c>
      <c r="E808" s="9" t="s">
        <v>88</v>
      </c>
      <c r="F808" s="10"/>
      <c r="G808" s="9" t="s">
        <v>11</v>
      </c>
      <c r="H808" s="7" t="s">
        <v>1812</v>
      </c>
      <c r="I808" s="9" t="s">
        <v>353</v>
      </c>
      <c r="J808" s="88"/>
    </row>
    <row r="809">
      <c r="A809" s="102" t="s">
        <v>624</v>
      </c>
      <c r="B809" s="7" t="s">
        <v>1813</v>
      </c>
      <c r="C809" s="91">
        <v>45810.38385085648</v>
      </c>
      <c r="D809" s="8">
        <f t="shared" si="86"/>
        <v>45812</v>
      </c>
      <c r="E809" s="9" t="s">
        <v>11</v>
      </c>
      <c r="F809" s="10"/>
      <c r="G809" s="9" t="s">
        <v>220</v>
      </c>
      <c r="H809" s="7" t="s">
        <v>1814</v>
      </c>
      <c r="I809" s="9" t="s">
        <v>353</v>
      </c>
      <c r="J809" s="88"/>
    </row>
    <row r="810">
      <c r="A810" s="20" t="s">
        <v>98</v>
      </c>
      <c r="B810" s="9" t="s">
        <v>1815</v>
      </c>
      <c r="C810" s="91">
        <v>45594.68360269676</v>
      </c>
      <c r="D810" s="8">
        <f t="shared" si="86"/>
        <v>45596</v>
      </c>
      <c r="E810" s="9" t="s">
        <v>11</v>
      </c>
      <c r="F810" s="10"/>
      <c r="G810" s="9" t="s">
        <v>15</v>
      </c>
      <c r="H810" s="7" t="s">
        <v>1816</v>
      </c>
      <c r="I810" s="9" t="s">
        <v>353</v>
      </c>
      <c r="J810" s="88"/>
    </row>
    <row r="811">
      <c r="A811" s="54" t="s">
        <v>236</v>
      </c>
      <c r="B811" s="7" t="s">
        <v>1817</v>
      </c>
      <c r="C811" s="91">
        <v>45831.45508237269</v>
      </c>
      <c r="D811" s="8"/>
      <c r="E811" s="9"/>
      <c r="F811" s="10"/>
      <c r="G811" s="9" t="s">
        <v>220</v>
      </c>
      <c r="H811" s="7" t="s">
        <v>1818</v>
      </c>
      <c r="I811" s="9" t="s">
        <v>353</v>
      </c>
      <c r="J811" s="88"/>
    </row>
    <row r="812">
      <c r="A812" s="20" t="s">
        <v>98</v>
      </c>
      <c r="B812" s="9" t="s">
        <v>1819</v>
      </c>
      <c r="C812" s="91">
        <v>45828.36641079861</v>
      </c>
      <c r="D812" s="8"/>
      <c r="E812" s="9"/>
      <c r="F812" s="10"/>
      <c r="G812" s="9" t="s">
        <v>15</v>
      </c>
      <c r="H812" s="7" t="s">
        <v>1820</v>
      </c>
      <c r="I812" s="9" t="s">
        <v>353</v>
      </c>
      <c r="J812" s="88"/>
    </row>
    <row r="813">
      <c r="A813" s="20" t="s">
        <v>98</v>
      </c>
      <c r="B813" s="9" t="s">
        <v>1821</v>
      </c>
      <c r="C813" s="91">
        <v>45817.45442821759</v>
      </c>
      <c r="D813" s="8"/>
      <c r="E813" s="9"/>
      <c r="F813" s="10"/>
      <c r="G813" s="9" t="s">
        <v>15</v>
      </c>
      <c r="H813" s="7" t="s">
        <v>1822</v>
      </c>
      <c r="I813" s="9" t="s">
        <v>353</v>
      </c>
      <c r="J813" s="88"/>
    </row>
    <row r="814">
      <c r="A814" s="20" t="s">
        <v>98</v>
      </c>
      <c r="B814" s="9" t="s">
        <v>1823</v>
      </c>
      <c r="C814" s="91">
        <v>45666.403236875005</v>
      </c>
      <c r="D814" s="8">
        <f>IFERROR(_xlfn.WORKDAY.INTL(C814, 2),"-")</f>
        <v>45670</v>
      </c>
      <c r="E814" s="9" t="s">
        <v>11</v>
      </c>
      <c r="F814" s="10"/>
      <c r="G814" s="9" t="s">
        <v>15</v>
      </c>
      <c r="H814" s="7" t="s">
        <v>1824</v>
      </c>
      <c r="I814" s="9" t="s">
        <v>353</v>
      </c>
      <c r="J814" s="88"/>
    </row>
    <row r="815">
      <c r="A815" s="20" t="s">
        <v>98</v>
      </c>
      <c r="B815" s="9" t="s">
        <v>1825</v>
      </c>
      <c r="C815" s="91">
        <v>45821.509644108795</v>
      </c>
      <c r="D815" s="8"/>
      <c r="E815" s="9"/>
      <c r="F815" s="10"/>
      <c r="G815" s="9" t="s">
        <v>15</v>
      </c>
      <c r="H815" s="7" t="s">
        <v>1826</v>
      </c>
      <c r="I815" s="9" t="s">
        <v>353</v>
      </c>
      <c r="J815" s="88"/>
    </row>
    <row r="816">
      <c r="A816" s="102" t="s">
        <v>624</v>
      </c>
      <c r="B816" s="7" t="s">
        <v>1827</v>
      </c>
      <c r="C816" s="91">
        <v>45804.64391196759</v>
      </c>
      <c r="D816" s="8">
        <f t="shared" ref="D816:D821" si="87">IFERROR(_xlfn.WORKDAY.INTL(C816, 2),"-")</f>
        <v>45806</v>
      </c>
      <c r="E816" s="9" t="s">
        <v>11</v>
      </c>
      <c r="F816" s="10"/>
      <c r="G816" s="9" t="s">
        <v>11</v>
      </c>
      <c r="H816" s="7" t="s">
        <v>1828</v>
      </c>
      <c r="I816" s="9" t="s">
        <v>353</v>
      </c>
      <c r="J816" s="88"/>
    </row>
    <row r="817">
      <c r="A817" s="78" t="s">
        <v>334</v>
      </c>
      <c r="B817" s="128" t="s">
        <v>1829</v>
      </c>
      <c r="C817" s="119">
        <v>45821.4203618287</v>
      </c>
      <c r="D817" s="80">
        <f t="shared" si="87"/>
        <v>45825</v>
      </c>
      <c r="E817" s="9" t="s">
        <v>1123</v>
      </c>
      <c r="F817" s="10"/>
      <c r="G817" s="9" t="s">
        <v>18</v>
      </c>
      <c r="H817" s="7" t="s">
        <v>1802</v>
      </c>
      <c r="I817" s="9" t="s">
        <v>353</v>
      </c>
      <c r="J817" s="88"/>
    </row>
    <row r="818">
      <c r="A818" s="78" t="s">
        <v>334</v>
      </c>
      <c r="B818" s="43" t="s">
        <v>1830</v>
      </c>
      <c r="C818" s="119">
        <v>45818.0</v>
      </c>
      <c r="D818" s="80">
        <f t="shared" si="87"/>
        <v>45820</v>
      </c>
      <c r="E818" s="9" t="s">
        <v>1097</v>
      </c>
      <c r="F818" s="10"/>
      <c r="G818" s="9" t="s">
        <v>18</v>
      </c>
      <c r="H818" s="7" t="s">
        <v>1831</v>
      </c>
      <c r="I818" s="9" t="s">
        <v>353</v>
      </c>
      <c r="J818" s="88"/>
    </row>
    <row r="819">
      <c r="A819" s="78" t="s">
        <v>334</v>
      </c>
      <c r="B819" s="43" t="s">
        <v>1832</v>
      </c>
      <c r="C819" s="119">
        <v>45792.0</v>
      </c>
      <c r="D819" s="80">
        <f t="shared" si="87"/>
        <v>45796</v>
      </c>
      <c r="E819" s="9" t="s">
        <v>1097</v>
      </c>
      <c r="F819" s="10"/>
      <c r="G819" s="9" t="s">
        <v>18</v>
      </c>
      <c r="H819" s="7"/>
      <c r="I819" s="9" t="s">
        <v>353</v>
      </c>
      <c r="J819" s="88"/>
    </row>
    <row r="820">
      <c r="A820" s="20" t="s">
        <v>98</v>
      </c>
      <c r="B820" s="9" t="s">
        <v>1833</v>
      </c>
      <c r="C820" s="91">
        <v>45415.37460325232</v>
      </c>
      <c r="D820" s="8">
        <f t="shared" si="87"/>
        <v>45419</v>
      </c>
      <c r="E820" s="9" t="s">
        <v>11</v>
      </c>
      <c r="F820" s="10"/>
      <c r="G820" s="9" t="s">
        <v>15</v>
      </c>
      <c r="H820" s="25" t="s">
        <v>1834</v>
      </c>
      <c r="I820" s="9" t="s">
        <v>353</v>
      </c>
      <c r="J820" s="88"/>
    </row>
    <row r="821">
      <c r="A821" s="20" t="s">
        <v>98</v>
      </c>
      <c r="B821" s="9" t="s">
        <v>1835</v>
      </c>
      <c r="C821" s="91">
        <v>45722.589382986116</v>
      </c>
      <c r="D821" s="8">
        <f t="shared" si="87"/>
        <v>45726</v>
      </c>
      <c r="E821" s="9" t="s">
        <v>88</v>
      </c>
      <c r="F821" s="10"/>
      <c r="G821" s="9" t="s">
        <v>89</v>
      </c>
      <c r="H821" s="7" t="s">
        <v>1836</v>
      </c>
      <c r="I821" s="9" t="s">
        <v>353</v>
      </c>
      <c r="J821" s="88"/>
    </row>
    <row r="822">
      <c r="A822" s="20" t="s">
        <v>98</v>
      </c>
      <c r="B822" s="9" t="s">
        <v>1113</v>
      </c>
      <c r="C822" s="91">
        <v>45812.739378275466</v>
      </c>
      <c r="D822" s="8"/>
      <c r="E822" s="9"/>
      <c r="F822" s="10"/>
      <c r="G822" s="9" t="s">
        <v>15</v>
      </c>
      <c r="H822" s="7" t="s">
        <v>1837</v>
      </c>
      <c r="I822" s="9" t="s">
        <v>353</v>
      </c>
      <c r="J822" s="88"/>
    </row>
    <row r="823">
      <c r="A823" s="6" t="s">
        <v>9</v>
      </c>
      <c r="B823" s="7" t="s">
        <v>1838</v>
      </c>
      <c r="C823" s="91">
        <v>45821.419903738424</v>
      </c>
      <c r="D823" s="8">
        <f t="shared" ref="D823:D830" si="88">IFERROR(_xlfn.WORKDAY.INTL(C823, 2),"-")</f>
        <v>45825</v>
      </c>
      <c r="E823" s="9" t="s">
        <v>11</v>
      </c>
      <c r="F823" s="10"/>
      <c r="G823" s="9" t="s">
        <v>15</v>
      </c>
      <c r="H823" s="7" t="s">
        <v>1839</v>
      </c>
      <c r="I823" s="9" t="s">
        <v>353</v>
      </c>
      <c r="J823" s="88"/>
    </row>
    <row r="824">
      <c r="A824" s="78" t="s">
        <v>334</v>
      </c>
      <c r="B824" s="128" t="s">
        <v>1840</v>
      </c>
      <c r="C824" s="119">
        <v>45819.0</v>
      </c>
      <c r="D824" s="80">
        <f t="shared" si="88"/>
        <v>45821</v>
      </c>
      <c r="E824" s="9" t="s">
        <v>1123</v>
      </c>
      <c r="F824" s="10"/>
      <c r="G824" s="9" t="s">
        <v>18</v>
      </c>
      <c r="H824" s="7" t="s">
        <v>1841</v>
      </c>
      <c r="I824" s="9" t="s">
        <v>353</v>
      </c>
      <c r="J824" s="88"/>
    </row>
    <row r="825">
      <c r="A825" s="78" t="s">
        <v>334</v>
      </c>
      <c r="B825" s="43" t="s">
        <v>1842</v>
      </c>
      <c r="C825" s="119">
        <v>45821.41854547454</v>
      </c>
      <c r="D825" s="80">
        <f t="shared" si="88"/>
        <v>45825</v>
      </c>
      <c r="E825" s="9" t="s">
        <v>1097</v>
      </c>
      <c r="F825" s="10"/>
      <c r="G825" s="9" t="s">
        <v>18</v>
      </c>
      <c r="H825" s="7" t="s">
        <v>1843</v>
      </c>
      <c r="I825" s="9" t="s">
        <v>353</v>
      </c>
      <c r="J825" s="88"/>
    </row>
    <row r="826">
      <c r="A826" s="78" t="s">
        <v>334</v>
      </c>
      <c r="B826" s="43" t="s">
        <v>1844</v>
      </c>
      <c r="C826" s="119">
        <v>45827.588524363426</v>
      </c>
      <c r="D826" s="80">
        <f t="shared" si="88"/>
        <v>45831</v>
      </c>
      <c r="E826" s="9" t="s">
        <v>1097</v>
      </c>
      <c r="F826" s="10"/>
      <c r="G826" s="9" t="s">
        <v>18</v>
      </c>
      <c r="H826" s="7" t="s">
        <v>1845</v>
      </c>
      <c r="I826" s="9" t="s">
        <v>353</v>
      </c>
      <c r="J826" s="88"/>
    </row>
    <row r="827">
      <c r="A827" s="78" t="s">
        <v>334</v>
      </c>
      <c r="B827" s="43" t="s">
        <v>1846</v>
      </c>
      <c r="C827" s="119">
        <v>45827.58728918982</v>
      </c>
      <c r="D827" s="80">
        <f t="shared" si="88"/>
        <v>45831</v>
      </c>
      <c r="E827" s="9" t="s">
        <v>1097</v>
      </c>
      <c r="F827" s="10"/>
      <c r="G827" s="9" t="s">
        <v>18</v>
      </c>
      <c r="H827" s="7" t="s">
        <v>1847</v>
      </c>
      <c r="I827" s="9" t="s">
        <v>353</v>
      </c>
      <c r="J827" s="88"/>
    </row>
    <row r="828">
      <c r="A828" s="102" t="s">
        <v>624</v>
      </c>
      <c r="B828" s="67" t="s">
        <v>1848</v>
      </c>
      <c r="C828" s="91">
        <v>45804.509233715275</v>
      </c>
      <c r="D828" s="8">
        <f t="shared" si="88"/>
        <v>45806</v>
      </c>
      <c r="E828" s="9" t="s">
        <v>88</v>
      </c>
      <c r="F828" s="10"/>
      <c r="G828" s="9" t="s">
        <v>11</v>
      </c>
      <c r="H828" s="7" t="s">
        <v>1849</v>
      </c>
      <c r="I828" s="9" t="s">
        <v>353</v>
      </c>
      <c r="J828" s="88"/>
    </row>
    <row r="829">
      <c r="A829" s="102" t="s">
        <v>624</v>
      </c>
      <c r="B829" s="67" t="s">
        <v>1850</v>
      </c>
      <c r="C829" s="91">
        <v>45812.6372500463</v>
      </c>
      <c r="D829" s="8">
        <f t="shared" si="88"/>
        <v>45814</v>
      </c>
      <c r="E829" s="9" t="s">
        <v>88</v>
      </c>
      <c r="F829" s="10"/>
      <c r="G829" s="9" t="s">
        <v>11</v>
      </c>
      <c r="H829" s="7" t="s">
        <v>1851</v>
      </c>
      <c r="I829" s="9" t="s">
        <v>353</v>
      </c>
      <c r="J829" s="88"/>
    </row>
    <row r="830">
      <c r="A830" s="6" t="s">
        <v>9</v>
      </c>
      <c r="B830" s="7" t="s">
        <v>1852</v>
      </c>
      <c r="C830" s="91">
        <v>45825.721045983795</v>
      </c>
      <c r="D830" s="8">
        <f t="shared" si="88"/>
        <v>45827</v>
      </c>
      <c r="E830" s="9" t="s">
        <v>11</v>
      </c>
      <c r="F830" s="10"/>
      <c r="G830" s="9" t="s">
        <v>15</v>
      </c>
      <c r="H830" s="7" t="s">
        <v>1853</v>
      </c>
      <c r="I830" s="9" t="s">
        <v>353</v>
      </c>
      <c r="J830" s="88"/>
    </row>
    <row r="831">
      <c r="A831" s="20" t="s">
        <v>98</v>
      </c>
      <c r="B831" s="9" t="s">
        <v>1854</v>
      </c>
      <c r="C831" s="91">
        <v>45762.44173524306</v>
      </c>
      <c r="D831" s="8"/>
      <c r="E831" s="9"/>
      <c r="F831" s="10"/>
      <c r="G831" s="9" t="s">
        <v>15</v>
      </c>
      <c r="H831" s="22" t="s">
        <v>1855</v>
      </c>
      <c r="I831" s="9" t="s">
        <v>353</v>
      </c>
      <c r="J831" s="88"/>
    </row>
    <row r="832">
      <c r="A832" s="20" t="s">
        <v>98</v>
      </c>
      <c r="B832" s="9" t="s">
        <v>1856</v>
      </c>
      <c r="C832" s="91">
        <v>45812.38223152778</v>
      </c>
      <c r="D832" s="8"/>
      <c r="E832" s="9"/>
      <c r="F832" s="10"/>
      <c r="G832" s="9" t="s">
        <v>15</v>
      </c>
      <c r="H832" s="22" t="s">
        <v>1857</v>
      </c>
      <c r="I832" s="9" t="s">
        <v>353</v>
      </c>
      <c r="J832" s="88"/>
    </row>
    <row r="833">
      <c r="A833" s="20" t="s">
        <v>98</v>
      </c>
      <c r="B833" s="9" t="s">
        <v>1858</v>
      </c>
      <c r="C833" s="91">
        <v>45826.41976774306</v>
      </c>
      <c r="D833" s="8"/>
      <c r="E833" s="9"/>
      <c r="F833" s="10"/>
      <c r="G833" s="9" t="s">
        <v>18</v>
      </c>
      <c r="H833" s="7" t="s">
        <v>1859</v>
      </c>
      <c r="I833" s="9" t="s">
        <v>353</v>
      </c>
      <c r="J833" s="88"/>
    </row>
    <row r="834">
      <c r="A834" s="20" t="s">
        <v>98</v>
      </c>
      <c r="B834" s="9" t="s">
        <v>1860</v>
      </c>
      <c r="C834" s="91">
        <v>45825.418644791665</v>
      </c>
      <c r="D834" s="8"/>
      <c r="E834" s="9"/>
      <c r="F834" s="10"/>
      <c r="G834" s="9" t="s">
        <v>15</v>
      </c>
      <c r="H834" s="7" t="s">
        <v>1861</v>
      </c>
      <c r="I834" s="9" t="s">
        <v>353</v>
      </c>
      <c r="J834" s="88"/>
    </row>
    <row r="835">
      <c r="A835" s="20" t="s">
        <v>98</v>
      </c>
      <c r="B835" s="9" t="s">
        <v>1862</v>
      </c>
      <c r="C835" s="91">
        <v>45789.490086817124</v>
      </c>
      <c r="D835" s="8"/>
      <c r="E835" s="9"/>
      <c r="F835" s="10"/>
      <c r="G835" s="9" t="s">
        <v>18</v>
      </c>
      <c r="H835" s="7" t="s">
        <v>1863</v>
      </c>
      <c r="I835" s="9" t="s">
        <v>353</v>
      </c>
      <c r="J835" s="88"/>
    </row>
    <row r="836">
      <c r="A836" s="6" t="s">
        <v>9</v>
      </c>
      <c r="B836" s="7" t="s">
        <v>1864</v>
      </c>
      <c r="C836" s="91">
        <v>45818.433987013894</v>
      </c>
      <c r="D836" s="8">
        <f t="shared" ref="D836:D838" si="89">IFERROR(_xlfn.WORKDAY.INTL(C836, 2),"-")</f>
        <v>45820</v>
      </c>
      <c r="E836" s="9" t="s">
        <v>11</v>
      </c>
      <c r="F836" s="10"/>
      <c r="G836" s="9" t="s">
        <v>18</v>
      </c>
      <c r="H836" s="7" t="s">
        <v>1865</v>
      </c>
      <c r="I836" s="9" t="s">
        <v>353</v>
      </c>
      <c r="J836" s="88"/>
    </row>
    <row r="837">
      <c r="A837" s="102" t="s">
        <v>624</v>
      </c>
      <c r="B837" s="7" t="s">
        <v>1866</v>
      </c>
      <c r="C837" s="91">
        <v>45824.49654944445</v>
      </c>
      <c r="D837" s="8">
        <f t="shared" si="89"/>
        <v>45826</v>
      </c>
      <c r="E837" s="9" t="s">
        <v>11</v>
      </c>
      <c r="F837" s="10"/>
      <c r="G837" s="9" t="s">
        <v>11</v>
      </c>
      <c r="H837" s="7" t="s">
        <v>1867</v>
      </c>
      <c r="I837" s="9" t="s">
        <v>353</v>
      </c>
      <c r="J837" s="88"/>
    </row>
    <row r="838">
      <c r="A838" s="102" t="s">
        <v>624</v>
      </c>
      <c r="B838" s="11"/>
      <c r="C838" s="91" t="s">
        <v>11</v>
      </c>
      <c r="D838" s="8" t="str">
        <f t="shared" si="89"/>
        <v>-</v>
      </c>
      <c r="E838" s="9" t="s">
        <v>11</v>
      </c>
      <c r="F838" s="10"/>
      <c r="G838" s="9"/>
      <c r="H838" s="11"/>
      <c r="I838" s="9" t="s">
        <v>13</v>
      </c>
      <c r="J838" s="88"/>
    </row>
    <row r="839">
      <c r="A839" s="88"/>
      <c r="B839" s="89"/>
      <c r="C839" s="90"/>
      <c r="D839" s="89"/>
      <c r="E839" s="89"/>
      <c r="F839" s="89"/>
      <c r="G839" s="89"/>
      <c r="H839" s="87"/>
      <c r="I839" s="89"/>
      <c r="J839" s="88"/>
    </row>
    <row r="840">
      <c r="A840" s="20" t="s">
        <v>98</v>
      </c>
      <c r="B840" s="93" t="s">
        <v>1868</v>
      </c>
      <c r="C840" s="91">
        <v>45762.441367962965</v>
      </c>
      <c r="D840" s="8"/>
      <c r="E840" s="9"/>
      <c r="F840" s="10"/>
      <c r="G840" s="9" t="s">
        <v>18</v>
      </c>
      <c r="H840" s="25" t="s">
        <v>1869</v>
      </c>
      <c r="I840" s="9" t="s">
        <v>353</v>
      </c>
      <c r="J840" s="88"/>
    </row>
    <row r="841">
      <c r="A841" s="20" t="s">
        <v>98</v>
      </c>
      <c r="B841" s="9" t="s">
        <v>1870</v>
      </c>
      <c r="C841" s="91">
        <v>45824.72913653935</v>
      </c>
      <c r="D841" s="8"/>
      <c r="E841" s="9"/>
      <c r="F841" s="10"/>
      <c r="G841" s="9" t="s">
        <v>15</v>
      </c>
      <c r="H841" s="7" t="s">
        <v>1871</v>
      </c>
      <c r="I841" s="9" t="s">
        <v>353</v>
      </c>
      <c r="J841" s="88"/>
    </row>
    <row r="842">
      <c r="A842" s="102" t="s">
        <v>624</v>
      </c>
      <c r="B842" s="67" t="s">
        <v>1872</v>
      </c>
      <c r="C842" s="91">
        <v>45804.503766712965</v>
      </c>
      <c r="D842" s="8">
        <f t="shared" ref="D842:D843" si="90">IFERROR(_xlfn.WORKDAY.INTL(C842, 2),"-")</f>
        <v>45806</v>
      </c>
      <c r="E842" s="9" t="s">
        <v>11</v>
      </c>
      <c r="F842" s="10"/>
      <c r="G842" s="9" t="s">
        <v>11</v>
      </c>
      <c r="H842" s="7" t="s">
        <v>1873</v>
      </c>
      <c r="I842" s="9" t="s">
        <v>353</v>
      </c>
      <c r="J842" s="88"/>
    </row>
    <row r="843">
      <c r="A843" s="102" t="s">
        <v>624</v>
      </c>
      <c r="B843" s="67" t="s">
        <v>1874</v>
      </c>
      <c r="C843" s="91">
        <v>45804.509203009264</v>
      </c>
      <c r="D843" s="8">
        <f t="shared" si="90"/>
        <v>45806</v>
      </c>
      <c r="E843" s="9" t="s">
        <v>11</v>
      </c>
      <c r="F843" s="10"/>
      <c r="G843" s="9" t="s">
        <v>11</v>
      </c>
      <c r="H843" s="7" t="s">
        <v>1875</v>
      </c>
      <c r="I843" s="9" t="s">
        <v>353</v>
      </c>
      <c r="J843" s="88"/>
    </row>
    <row r="844">
      <c r="A844" s="20" t="s">
        <v>98</v>
      </c>
      <c r="B844" s="9" t="s">
        <v>1876</v>
      </c>
      <c r="C844" s="91">
        <v>45790.483673194445</v>
      </c>
      <c r="D844" s="8"/>
      <c r="E844" s="9"/>
      <c r="F844" s="10"/>
      <c r="G844" s="9" t="s">
        <v>18</v>
      </c>
      <c r="H844" s="7" t="s">
        <v>1877</v>
      </c>
      <c r="I844" s="9" t="s">
        <v>353</v>
      </c>
      <c r="J844" s="88"/>
    </row>
    <row r="845">
      <c r="A845" s="20" t="s">
        <v>98</v>
      </c>
      <c r="B845" s="9" t="s">
        <v>1878</v>
      </c>
      <c r="C845" s="91">
        <v>45821.51633108796</v>
      </c>
      <c r="D845" s="8"/>
      <c r="E845" s="9"/>
      <c r="F845" s="10"/>
      <c r="G845" s="9" t="s">
        <v>18</v>
      </c>
      <c r="H845" s="7" t="s">
        <v>1879</v>
      </c>
      <c r="I845" s="9" t="s">
        <v>353</v>
      </c>
      <c r="J845" s="88"/>
    </row>
    <row r="846">
      <c r="A846" s="20" t="s">
        <v>98</v>
      </c>
      <c r="B846" s="9" t="s">
        <v>1880</v>
      </c>
      <c r="C846" s="91">
        <v>45817.45452162037</v>
      </c>
      <c r="D846" s="8"/>
      <c r="E846" s="9"/>
      <c r="F846" s="10"/>
      <c r="G846" s="9" t="s">
        <v>15</v>
      </c>
      <c r="H846" s="7" t="s">
        <v>1881</v>
      </c>
      <c r="I846" s="9" t="s">
        <v>353</v>
      </c>
      <c r="J846" s="88"/>
    </row>
    <row r="847">
      <c r="A847" s="20" t="s">
        <v>98</v>
      </c>
      <c r="B847" s="9" t="s">
        <v>1882</v>
      </c>
      <c r="C847" s="91">
        <v>45530.635114606484</v>
      </c>
      <c r="D847" s="8">
        <f t="shared" ref="D847:D853" si="91">IFERROR(_xlfn.WORKDAY.INTL(C847, 2),"-")</f>
        <v>45532</v>
      </c>
      <c r="E847" s="9" t="s">
        <v>206</v>
      </c>
      <c r="F847" s="10"/>
      <c r="G847" s="9" t="s">
        <v>15</v>
      </c>
      <c r="H847" s="23" t="s">
        <v>1883</v>
      </c>
      <c r="I847" s="9" t="s">
        <v>353</v>
      </c>
      <c r="J847" s="88"/>
    </row>
    <row r="848">
      <c r="A848" s="20" t="s">
        <v>98</v>
      </c>
      <c r="B848" s="9" t="s">
        <v>1884</v>
      </c>
      <c r="C848" s="91">
        <v>45530.63451795139</v>
      </c>
      <c r="D848" s="8">
        <f t="shared" si="91"/>
        <v>45532</v>
      </c>
      <c r="E848" s="9" t="s">
        <v>206</v>
      </c>
      <c r="F848" s="10"/>
      <c r="G848" s="9" t="s">
        <v>15</v>
      </c>
      <c r="H848" s="23" t="s">
        <v>1885</v>
      </c>
      <c r="I848" s="9" t="s">
        <v>353</v>
      </c>
      <c r="J848" s="88"/>
    </row>
    <row r="849">
      <c r="A849" s="102" t="s">
        <v>624</v>
      </c>
      <c r="B849" s="67" t="s">
        <v>1886</v>
      </c>
      <c r="C849" s="91">
        <v>45804.50430217593</v>
      </c>
      <c r="D849" s="8">
        <f t="shared" si="91"/>
        <v>45806</v>
      </c>
      <c r="E849" s="9" t="s">
        <v>11</v>
      </c>
      <c r="F849" s="10"/>
      <c r="G849" s="9" t="s">
        <v>11</v>
      </c>
      <c r="H849" s="7" t="s">
        <v>1887</v>
      </c>
      <c r="I849" s="9" t="s">
        <v>353</v>
      </c>
      <c r="J849" s="88"/>
    </row>
    <row r="850">
      <c r="A850" s="6" t="s">
        <v>9</v>
      </c>
      <c r="B850" s="7" t="s">
        <v>1888</v>
      </c>
      <c r="C850" s="91">
        <v>45821.419730821755</v>
      </c>
      <c r="D850" s="8">
        <f t="shared" si="91"/>
        <v>45825</v>
      </c>
      <c r="E850" s="9" t="s">
        <v>11</v>
      </c>
      <c r="F850" s="10"/>
      <c r="G850" s="9" t="s">
        <v>15</v>
      </c>
      <c r="H850" s="7" t="s">
        <v>1889</v>
      </c>
      <c r="I850" s="9" t="s">
        <v>353</v>
      </c>
      <c r="J850" s="88"/>
    </row>
    <row r="851">
      <c r="A851" s="6" t="s">
        <v>9</v>
      </c>
      <c r="B851" s="7" t="s">
        <v>1890</v>
      </c>
      <c r="C851" s="91">
        <v>45812.68374554398</v>
      </c>
      <c r="D851" s="8">
        <f t="shared" si="91"/>
        <v>45814</v>
      </c>
      <c r="E851" s="9" t="s">
        <v>11</v>
      </c>
      <c r="F851" s="10"/>
      <c r="G851" s="9" t="s">
        <v>18</v>
      </c>
      <c r="H851" s="7" t="s">
        <v>1891</v>
      </c>
      <c r="I851" s="9" t="s">
        <v>353</v>
      </c>
      <c r="J851" s="88"/>
    </row>
    <row r="852">
      <c r="A852" s="20" t="s">
        <v>98</v>
      </c>
      <c r="B852" s="9" t="s">
        <v>1892</v>
      </c>
      <c r="C852" s="91">
        <v>45692.41923189815</v>
      </c>
      <c r="D852" s="8">
        <f t="shared" si="91"/>
        <v>45694</v>
      </c>
      <c r="E852" s="9" t="s">
        <v>11</v>
      </c>
      <c r="F852" s="10"/>
      <c r="G852" s="9" t="s">
        <v>15</v>
      </c>
      <c r="H852" s="7" t="s">
        <v>1893</v>
      </c>
      <c r="I852" s="9" t="s">
        <v>353</v>
      </c>
      <c r="J852" s="88"/>
    </row>
    <row r="853">
      <c r="A853" s="20" t="s">
        <v>98</v>
      </c>
      <c r="B853" s="9" t="s">
        <v>1894</v>
      </c>
      <c r="C853" s="91">
        <v>45721.685374374996</v>
      </c>
      <c r="D853" s="8">
        <f t="shared" si="91"/>
        <v>45723</v>
      </c>
      <c r="E853" s="9" t="s">
        <v>11</v>
      </c>
      <c r="F853" s="10"/>
      <c r="G853" s="9" t="s">
        <v>15</v>
      </c>
      <c r="H853" s="23" t="s">
        <v>1895</v>
      </c>
      <c r="I853" s="9" t="s">
        <v>353</v>
      </c>
      <c r="J853" s="88"/>
    </row>
    <row r="854">
      <c r="A854" s="20" t="s">
        <v>98</v>
      </c>
      <c r="B854" s="9" t="s">
        <v>1896</v>
      </c>
      <c r="C854" s="91">
        <v>45789.35697677083</v>
      </c>
      <c r="D854" s="8"/>
      <c r="E854" s="9"/>
      <c r="F854" s="10"/>
      <c r="G854" s="9" t="s">
        <v>15</v>
      </c>
      <c r="H854" s="7" t="s">
        <v>1897</v>
      </c>
      <c r="I854" s="9" t="s">
        <v>353</v>
      </c>
      <c r="J854" s="88"/>
    </row>
    <row r="855">
      <c r="A855" s="20" t="s">
        <v>98</v>
      </c>
      <c r="B855" s="9" t="s">
        <v>1898</v>
      </c>
      <c r="C855" s="91">
        <v>45273.6843125</v>
      </c>
      <c r="D855" s="8">
        <f t="shared" ref="D855:D856" si="92">IFERROR(_xlfn.WORKDAY.INTL(C855, 2),"-")</f>
        <v>45275</v>
      </c>
      <c r="E855" s="9" t="s">
        <v>206</v>
      </c>
      <c r="F855" s="10"/>
      <c r="G855" s="9" t="s">
        <v>15</v>
      </c>
      <c r="H855" s="7" t="s">
        <v>1899</v>
      </c>
      <c r="I855" s="9" t="s">
        <v>353</v>
      </c>
      <c r="J855" s="88"/>
    </row>
    <row r="856">
      <c r="A856" s="102" t="s">
        <v>624</v>
      </c>
      <c r="B856" s="7" t="s">
        <v>1900</v>
      </c>
      <c r="C856" s="91">
        <v>45812.637037141205</v>
      </c>
      <c r="D856" s="8">
        <f t="shared" si="92"/>
        <v>45814</v>
      </c>
      <c r="E856" s="9" t="s">
        <v>11</v>
      </c>
      <c r="F856" s="10"/>
      <c r="G856" s="9" t="s">
        <v>11</v>
      </c>
      <c r="H856" s="129" t="s">
        <v>1901</v>
      </c>
      <c r="I856" s="9" t="s">
        <v>353</v>
      </c>
      <c r="J856" s="88"/>
    </row>
    <row r="857">
      <c r="A857" s="20" t="s">
        <v>98</v>
      </c>
      <c r="B857" s="9" t="s">
        <v>1902</v>
      </c>
      <c r="C857" s="91">
        <v>45735.60383842593</v>
      </c>
      <c r="D857" s="8"/>
      <c r="E857" s="9"/>
      <c r="F857" s="10"/>
      <c r="G857" s="9" t="s">
        <v>15</v>
      </c>
      <c r="H857" s="23" t="s">
        <v>1903</v>
      </c>
      <c r="I857" s="9" t="s">
        <v>353</v>
      </c>
      <c r="J857" s="88"/>
    </row>
    <row r="858">
      <c r="A858" s="20" t="s">
        <v>98</v>
      </c>
      <c r="B858" s="9" t="s">
        <v>1904</v>
      </c>
      <c r="C858" s="91">
        <v>45764.65761052084</v>
      </c>
      <c r="D858" s="8"/>
      <c r="E858" s="9"/>
      <c r="F858" s="10"/>
      <c r="G858" s="9" t="s">
        <v>15</v>
      </c>
      <c r="H858" s="23" t="s">
        <v>1905</v>
      </c>
      <c r="I858" s="9" t="s">
        <v>353</v>
      </c>
      <c r="J858" s="88"/>
    </row>
    <row r="859">
      <c r="A859" s="78" t="s">
        <v>334</v>
      </c>
      <c r="B859" s="43" t="s">
        <v>1906</v>
      </c>
      <c r="C859" s="119">
        <v>45819.0</v>
      </c>
      <c r="D859" s="80">
        <f t="shared" ref="D859:D860" si="93">IFERROR(_xlfn.WORKDAY.INTL(C859, 2),"-")</f>
        <v>45821</v>
      </c>
      <c r="E859" s="9" t="s">
        <v>1123</v>
      </c>
      <c r="F859" s="10"/>
      <c r="G859" s="9" t="s">
        <v>220</v>
      </c>
      <c r="H859" s="11"/>
      <c r="I859" s="9" t="s">
        <v>353</v>
      </c>
      <c r="J859" s="88"/>
    </row>
    <row r="860">
      <c r="A860" s="78" t="s">
        <v>334</v>
      </c>
      <c r="B860" s="43" t="s">
        <v>1907</v>
      </c>
      <c r="C860" s="119">
        <v>45807.0</v>
      </c>
      <c r="D860" s="80">
        <f t="shared" si="93"/>
        <v>45811</v>
      </c>
      <c r="E860" s="9" t="s">
        <v>1128</v>
      </c>
      <c r="F860" s="10"/>
      <c r="G860" s="9" t="s">
        <v>15</v>
      </c>
      <c r="H860" s="7" t="s">
        <v>1908</v>
      </c>
      <c r="I860" s="9" t="s">
        <v>353</v>
      </c>
      <c r="J860" s="88"/>
    </row>
    <row r="861">
      <c r="A861" s="20" t="s">
        <v>98</v>
      </c>
      <c r="B861" s="9" t="s">
        <v>1909</v>
      </c>
      <c r="C861" s="91">
        <v>45820.556339166666</v>
      </c>
      <c r="D861" s="8"/>
      <c r="E861" s="9"/>
      <c r="F861" s="10"/>
      <c r="G861" s="9" t="s">
        <v>15</v>
      </c>
      <c r="H861" s="7" t="s">
        <v>1910</v>
      </c>
      <c r="I861" s="9" t="s">
        <v>353</v>
      </c>
      <c r="J861" s="88"/>
    </row>
    <row r="862">
      <c r="A862" s="20" t="s">
        <v>98</v>
      </c>
      <c r="B862" s="9" t="s">
        <v>1911</v>
      </c>
      <c r="C862" s="91">
        <v>45789.356940405094</v>
      </c>
      <c r="D862" s="8"/>
      <c r="E862" s="9"/>
      <c r="F862" s="10"/>
      <c r="G862" s="9" t="s">
        <v>15</v>
      </c>
      <c r="H862" s="7" t="s">
        <v>1912</v>
      </c>
      <c r="I862" s="9" t="s">
        <v>353</v>
      </c>
      <c r="J862" s="88"/>
    </row>
    <row r="863">
      <c r="A863" s="20" t="s">
        <v>98</v>
      </c>
      <c r="B863" s="9" t="s">
        <v>1913</v>
      </c>
      <c r="C863" s="91">
        <v>45762.44034459491</v>
      </c>
      <c r="D863" s="8"/>
      <c r="E863" s="9"/>
      <c r="F863" s="10"/>
      <c r="G863" s="9" t="s">
        <v>15</v>
      </c>
      <c r="H863" s="7" t="s">
        <v>1914</v>
      </c>
      <c r="I863" s="9" t="s">
        <v>353</v>
      </c>
      <c r="J863" s="88"/>
    </row>
    <row r="864">
      <c r="A864" s="20" t="s">
        <v>98</v>
      </c>
      <c r="B864" s="9" t="s">
        <v>1915</v>
      </c>
      <c r="C864" s="91">
        <v>45820.55609258101</v>
      </c>
      <c r="D864" s="8"/>
      <c r="E864" s="9"/>
      <c r="F864" s="10"/>
      <c r="G864" s="9" t="s">
        <v>15</v>
      </c>
      <c r="H864" s="7" t="s">
        <v>1910</v>
      </c>
      <c r="I864" s="9" t="s">
        <v>353</v>
      </c>
      <c r="J864" s="88"/>
    </row>
    <row r="865">
      <c r="A865" s="102"/>
      <c r="B865" s="7" t="s">
        <v>1916</v>
      </c>
      <c r="C865" s="91">
        <v>45810.383753726856</v>
      </c>
      <c r="D865" s="8"/>
      <c r="E865" s="9"/>
      <c r="F865" s="10"/>
      <c r="G865" s="9" t="s">
        <v>11</v>
      </c>
      <c r="H865" s="130" t="s">
        <v>1917</v>
      </c>
      <c r="I865" s="9" t="s">
        <v>353</v>
      </c>
      <c r="J865" s="88"/>
    </row>
    <row r="866">
      <c r="A866" s="20" t="s">
        <v>98</v>
      </c>
      <c r="B866" s="9" t="s">
        <v>1918</v>
      </c>
      <c r="C866" s="91">
        <v>45762.441053912036</v>
      </c>
      <c r="D866" s="8"/>
      <c r="E866" s="9"/>
      <c r="F866" s="10"/>
      <c r="G866" s="9" t="s">
        <v>18</v>
      </c>
      <c r="H866" s="22" t="s">
        <v>1919</v>
      </c>
      <c r="I866" s="9" t="s">
        <v>353</v>
      </c>
      <c r="J866" s="88"/>
    </row>
    <row r="867">
      <c r="A867" s="20" t="s">
        <v>98</v>
      </c>
      <c r="B867" s="9" t="s">
        <v>1784</v>
      </c>
      <c r="C867" s="91">
        <v>45819.59899932871</v>
      </c>
      <c r="D867" s="8"/>
      <c r="E867" s="9"/>
      <c r="F867" s="10"/>
      <c r="G867" s="9" t="s">
        <v>15</v>
      </c>
      <c r="H867" s="7" t="s">
        <v>1920</v>
      </c>
      <c r="I867" s="9" t="s">
        <v>353</v>
      </c>
      <c r="J867" s="88"/>
    </row>
    <row r="868">
      <c r="A868" s="102" t="s">
        <v>624</v>
      </c>
      <c r="B868" s="7" t="s">
        <v>1921</v>
      </c>
      <c r="C868" s="91">
        <v>45819.615941145836</v>
      </c>
      <c r="D868" s="8">
        <f t="shared" ref="D868:D869" si="94">IFERROR(_xlfn.WORKDAY.INTL(C868, 2),"-")</f>
        <v>45821</v>
      </c>
      <c r="E868" s="9" t="s">
        <v>11</v>
      </c>
      <c r="F868" s="10"/>
      <c r="G868" s="9" t="s">
        <v>18</v>
      </c>
      <c r="H868" s="7" t="s">
        <v>1922</v>
      </c>
      <c r="I868" s="9" t="s">
        <v>353</v>
      </c>
      <c r="J868" s="88"/>
    </row>
    <row r="869">
      <c r="A869" s="102" t="s">
        <v>624</v>
      </c>
      <c r="B869" s="7" t="s">
        <v>1923</v>
      </c>
      <c r="C869" s="91">
        <v>45819.38563438658</v>
      </c>
      <c r="D869" s="8">
        <f t="shared" si="94"/>
        <v>45821</v>
      </c>
      <c r="E869" s="9" t="s">
        <v>11</v>
      </c>
      <c r="F869" s="10"/>
      <c r="G869" s="9" t="s">
        <v>11</v>
      </c>
      <c r="H869" s="7" t="s">
        <v>1924</v>
      </c>
      <c r="I869" s="9" t="s">
        <v>353</v>
      </c>
      <c r="J869" s="88"/>
    </row>
    <row r="870">
      <c r="A870" s="54" t="s">
        <v>236</v>
      </c>
      <c r="B870" s="7" t="s">
        <v>1925</v>
      </c>
      <c r="C870" s="91">
        <v>45813.50423002314</v>
      </c>
      <c r="D870" s="8"/>
      <c r="E870" s="9"/>
      <c r="F870" s="10"/>
      <c r="G870" s="9" t="s">
        <v>220</v>
      </c>
      <c r="H870" s="7" t="s">
        <v>1926</v>
      </c>
      <c r="I870" s="9" t="s">
        <v>353</v>
      </c>
      <c r="J870" s="88"/>
    </row>
    <row r="871">
      <c r="A871" s="78" t="s">
        <v>334</v>
      </c>
      <c r="B871" s="43" t="s">
        <v>1927</v>
      </c>
      <c r="C871" s="119">
        <v>45814.47268143519</v>
      </c>
      <c r="D871" s="80">
        <f t="shared" ref="D871:D873" si="95">IFERROR(_xlfn.WORKDAY.INTL(C871, 2),"-")</f>
        <v>45818</v>
      </c>
      <c r="E871" s="9" t="s">
        <v>1128</v>
      </c>
      <c r="F871" s="10"/>
      <c r="G871" s="9" t="s">
        <v>15</v>
      </c>
      <c r="H871" s="7" t="s">
        <v>1928</v>
      </c>
      <c r="I871" s="9" t="s">
        <v>353</v>
      </c>
      <c r="J871" s="88"/>
    </row>
    <row r="872">
      <c r="A872" s="78" t="s">
        <v>334</v>
      </c>
      <c r="B872" s="43" t="s">
        <v>1929</v>
      </c>
      <c r="C872" s="119">
        <v>45803.0</v>
      </c>
      <c r="D872" s="80">
        <f t="shared" si="95"/>
        <v>45805</v>
      </c>
      <c r="E872" s="9" t="s">
        <v>1489</v>
      </c>
      <c r="F872" s="10"/>
      <c r="G872" s="9" t="s">
        <v>15</v>
      </c>
      <c r="H872" s="7" t="s">
        <v>1930</v>
      </c>
      <c r="I872" s="9" t="s">
        <v>353</v>
      </c>
      <c r="J872" s="88"/>
    </row>
    <row r="873">
      <c r="A873" s="78" t="s">
        <v>334</v>
      </c>
      <c r="B873" s="43" t="s">
        <v>1931</v>
      </c>
      <c r="C873" s="119">
        <v>45814.473491412034</v>
      </c>
      <c r="D873" s="80">
        <f t="shared" si="95"/>
        <v>45818</v>
      </c>
      <c r="E873" s="9" t="s">
        <v>1128</v>
      </c>
      <c r="F873" s="10"/>
      <c r="G873" s="9" t="s">
        <v>18</v>
      </c>
      <c r="H873" s="7" t="s">
        <v>1932</v>
      </c>
      <c r="I873" s="9" t="s">
        <v>353</v>
      </c>
      <c r="J873" s="88"/>
    </row>
    <row r="874">
      <c r="A874" s="54" t="s">
        <v>236</v>
      </c>
      <c r="B874" s="7" t="s">
        <v>1933</v>
      </c>
      <c r="C874" s="91">
        <v>45817.5206006713</v>
      </c>
      <c r="D874" s="8"/>
      <c r="E874" s="9"/>
      <c r="F874" s="10"/>
      <c r="G874" s="9" t="s">
        <v>18</v>
      </c>
      <c r="H874" s="7" t="s">
        <v>1934</v>
      </c>
      <c r="I874" s="9" t="s">
        <v>353</v>
      </c>
      <c r="J874" s="88"/>
    </row>
    <row r="875">
      <c r="A875" s="6" t="s">
        <v>9</v>
      </c>
      <c r="B875" s="7" t="s">
        <v>1935</v>
      </c>
      <c r="C875" s="91">
        <v>45818.396333055556</v>
      </c>
      <c r="D875" s="8">
        <f t="shared" ref="D875:D877" si="96">IFERROR(_xlfn.WORKDAY.INTL(C875, 2),"-")</f>
        <v>45820</v>
      </c>
      <c r="E875" s="9" t="s">
        <v>11</v>
      </c>
      <c r="F875" s="10"/>
      <c r="G875" s="9" t="s">
        <v>15</v>
      </c>
      <c r="H875" s="7" t="s">
        <v>1936</v>
      </c>
      <c r="I875" s="9" t="s">
        <v>353</v>
      </c>
      <c r="J875" s="88"/>
    </row>
    <row r="876">
      <c r="A876" s="6" t="s">
        <v>9</v>
      </c>
      <c r="B876" s="7" t="s">
        <v>1937</v>
      </c>
      <c r="C876" s="91">
        <v>45817.50731975694</v>
      </c>
      <c r="D876" s="8">
        <f t="shared" si="96"/>
        <v>45819</v>
      </c>
      <c r="E876" s="9" t="s">
        <v>11</v>
      </c>
      <c r="F876" s="10"/>
      <c r="G876" s="9" t="s">
        <v>15</v>
      </c>
      <c r="H876" s="7" t="s">
        <v>1938</v>
      </c>
      <c r="I876" s="9" t="s">
        <v>353</v>
      </c>
      <c r="J876" s="88"/>
    </row>
    <row r="877">
      <c r="A877" s="6" t="s">
        <v>9</v>
      </c>
      <c r="B877" s="7" t="s">
        <v>1939</v>
      </c>
      <c r="C877" s="91">
        <v>45813.358550034725</v>
      </c>
      <c r="D877" s="8">
        <f t="shared" si="96"/>
        <v>45817</v>
      </c>
      <c r="E877" s="9" t="s">
        <v>11</v>
      </c>
      <c r="F877" s="10"/>
      <c r="G877" s="9" t="s">
        <v>15</v>
      </c>
      <c r="H877" s="7" t="s">
        <v>1940</v>
      </c>
      <c r="I877" s="9" t="s">
        <v>353</v>
      </c>
      <c r="J877" s="88"/>
    </row>
    <row r="878">
      <c r="A878" s="54" t="s">
        <v>236</v>
      </c>
      <c r="B878" s="7" t="s">
        <v>1941</v>
      </c>
      <c r="C878" s="91">
        <v>45803.71364840277</v>
      </c>
      <c r="D878" s="8"/>
      <c r="E878" s="9"/>
      <c r="F878" s="10"/>
      <c r="G878" s="9" t="s">
        <v>15</v>
      </c>
      <c r="H878" s="7" t="s">
        <v>1942</v>
      </c>
      <c r="I878" s="9" t="s">
        <v>353</v>
      </c>
      <c r="J878" s="88"/>
    </row>
    <row r="879">
      <c r="A879" s="102" t="s">
        <v>624</v>
      </c>
      <c r="B879" s="7" t="s">
        <v>1943</v>
      </c>
      <c r="C879" s="91">
        <v>45810.383908310185</v>
      </c>
      <c r="D879" s="8">
        <f>IFERROR(_xlfn.WORKDAY.INTL(C879, 2),"-")</f>
        <v>45812</v>
      </c>
      <c r="E879" s="9" t="s">
        <v>11</v>
      </c>
      <c r="F879" s="10"/>
      <c r="G879" s="9" t="s">
        <v>11</v>
      </c>
      <c r="H879" s="7" t="s">
        <v>1944</v>
      </c>
      <c r="I879" s="9" t="s">
        <v>353</v>
      </c>
      <c r="J879" s="88"/>
    </row>
    <row r="880">
      <c r="A880" s="54" t="s">
        <v>236</v>
      </c>
      <c r="B880" s="7" t="s">
        <v>1945</v>
      </c>
      <c r="C880" s="91">
        <v>45817.50607358797</v>
      </c>
      <c r="D880" s="8"/>
      <c r="E880" s="9"/>
      <c r="F880" s="10"/>
      <c r="G880" s="9" t="s">
        <v>18</v>
      </c>
      <c r="H880" s="7" t="s">
        <v>1946</v>
      </c>
      <c r="I880" s="9" t="s">
        <v>353</v>
      </c>
      <c r="J880" s="88"/>
    </row>
    <row r="881">
      <c r="A881" s="54" t="s">
        <v>236</v>
      </c>
      <c r="B881" s="7" t="s">
        <v>1947</v>
      </c>
      <c r="C881" s="91">
        <v>45817.50564979167</v>
      </c>
      <c r="D881" s="8"/>
      <c r="E881" s="9"/>
      <c r="F881" s="10"/>
      <c r="G881" s="9" t="s">
        <v>18</v>
      </c>
      <c r="H881" s="7" t="s">
        <v>1948</v>
      </c>
      <c r="I881" s="9" t="s">
        <v>353</v>
      </c>
      <c r="J881" s="88"/>
    </row>
    <row r="882">
      <c r="A882" s="20" t="s">
        <v>98</v>
      </c>
      <c r="B882" s="9" t="s">
        <v>1949</v>
      </c>
      <c r="C882" s="91">
        <v>45692.419179930555</v>
      </c>
      <c r="D882" s="8">
        <v>45674.0</v>
      </c>
      <c r="E882" s="9"/>
      <c r="F882" s="10"/>
      <c r="G882" s="9" t="s">
        <v>15</v>
      </c>
      <c r="H882" s="7" t="s">
        <v>1950</v>
      </c>
      <c r="I882" s="9" t="s">
        <v>353</v>
      </c>
      <c r="J882" s="88"/>
    </row>
    <row r="883">
      <c r="A883" s="20" t="s">
        <v>98</v>
      </c>
      <c r="B883" s="9" t="s">
        <v>1951</v>
      </c>
      <c r="C883" s="91">
        <v>45692.41911478009</v>
      </c>
      <c r="D883" s="8">
        <v>45674.0</v>
      </c>
      <c r="E883" s="9"/>
      <c r="F883" s="10"/>
      <c r="G883" s="9" t="s">
        <v>15</v>
      </c>
      <c r="H883" s="7" t="s">
        <v>1952</v>
      </c>
      <c r="I883" s="9" t="s">
        <v>353</v>
      </c>
      <c r="J883" s="88"/>
    </row>
    <row r="884">
      <c r="A884" s="20" t="s">
        <v>98</v>
      </c>
      <c r="B884" s="9" t="s">
        <v>1953</v>
      </c>
      <c r="C884" s="91">
        <v>45782.37977638889</v>
      </c>
      <c r="D884" s="8">
        <f t="shared" ref="D884:D887" si="97">IFERROR(_xlfn.WORKDAY.INTL(C884, 2),"-")</f>
        <v>45784</v>
      </c>
      <c r="E884" s="9" t="s">
        <v>11</v>
      </c>
      <c r="F884" s="10"/>
      <c r="G884" s="9" t="s">
        <v>15</v>
      </c>
      <c r="H884" s="23" t="s">
        <v>1954</v>
      </c>
      <c r="I884" s="9" t="s">
        <v>353</v>
      </c>
      <c r="J884" s="88"/>
    </row>
    <row r="885">
      <c r="A885" s="78" t="s">
        <v>334</v>
      </c>
      <c r="B885" s="43" t="s">
        <v>1955</v>
      </c>
      <c r="C885" s="119">
        <v>45812.0</v>
      </c>
      <c r="D885" s="80">
        <f t="shared" si="97"/>
        <v>45814</v>
      </c>
      <c r="E885" s="9" t="s">
        <v>1128</v>
      </c>
      <c r="F885" s="10"/>
      <c r="G885" s="9" t="s">
        <v>220</v>
      </c>
      <c r="H885" s="11"/>
      <c r="I885" s="9" t="s">
        <v>353</v>
      </c>
      <c r="J885" s="88"/>
    </row>
    <row r="886">
      <c r="A886" s="102" t="s">
        <v>624</v>
      </c>
      <c r="B886" s="7" t="s">
        <v>1956</v>
      </c>
      <c r="C886" s="91">
        <v>45814.380842314815</v>
      </c>
      <c r="D886" s="8">
        <f t="shared" si="97"/>
        <v>45818</v>
      </c>
      <c r="E886" s="9" t="s">
        <v>11</v>
      </c>
      <c r="F886" s="10"/>
      <c r="G886" s="9"/>
      <c r="H886" s="11"/>
      <c r="I886" s="9" t="s">
        <v>353</v>
      </c>
      <c r="J886" s="88"/>
    </row>
    <row r="887">
      <c r="A887" s="102" t="s">
        <v>624</v>
      </c>
      <c r="B887" s="7" t="s">
        <v>1957</v>
      </c>
      <c r="C887" s="91">
        <v>45814.36209861111</v>
      </c>
      <c r="D887" s="8">
        <f t="shared" si="97"/>
        <v>45818</v>
      </c>
      <c r="E887" s="9" t="s">
        <v>11</v>
      </c>
      <c r="F887" s="10"/>
      <c r="G887" s="9"/>
      <c r="H887" s="7" t="s">
        <v>1958</v>
      </c>
      <c r="I887" s="9" t="s">
        <v>353</v>
      </c>
      <c r="J887" s="88"/>
    </row>
    <row r="888">
      <c r="A888" s="20" t="s">
        <v>98</v>
      </c>
      <c r="B888" s="9" t="s">
        <v>1959</v>
      </c>
      <c r="C888" s="91">
        <v>45813.35631238426</v>
      </c>
      <c r="D888" s="8"/>
      <c r="E888" s="9"/>
      <c r="F888" s="10"/>
      <c r="G888" s="9" t="s">
        <v>15</v>
      </c>
      <c r="H888" s="7" t="s">
        <v>1960</v>
      </c>
      <c r="I888" s="9" t="s">
        <v>353</v>
      </c>
      <c r="J888" s="88"/>
    </row>
    <row r="889">
      <c r="A889" s="6" t="s">
        <v>9</v>
      </c>
      <c r="B889" s="7" t="s">
        <v>1961</v>
      </c>
      <c r="C889" s="91">
        <v>45813.3587625463</v>
      </c>
      <c r="D889" s="8">
        <f>IFERROR(_xlfn.WORKDAY.INTL(C889, 2),"-")</f>
        <v>45817</v>
      </c>
      <c r="E889" s="9" t="s">
        <v>11</v>
      </c>
      <c r="F889" s="10"/>
      <c r="G889" s="9" t="s">
        <v>18</v>
      </c>
      <c r="H889" s="7" t="s">
        <v>1962</v>
      </c>
      <c r="I889" s="9" t="s">
        <v>353</v>
      </c>
      <c r="J889" s="88"/>
    </row>
    <row r="890">
      <c r="A890" s="20" t="s">
        <v>98</v>
      </c>
      <c r="B890" s="9" t="s">
        <v>1963</v>
      </c>
      <c r="C890" s="91">
        <v>45807.4128225</v>
      </c>
      <c r="D890" s="8"/>
      <c r="E890" s="9"/>
      <c r="F890" s="10"/>
      <c r="G890" s="9" t="s">
        <v>15</v>
      </c>
      <c r="H890" s="7" t="s">
        <v>1960</v>
      </c>
      <c r="I890" s="9" t="s">
        <v>353</v>
      </c>
      <c r="J890" s="88"/>
    </row>
    <row r="891">
      <c r="A891" s="6" t="s">
        <v>9</v>
      </c>
      <c r="B891" s="7" t="s">
        <v>1964</v>
      </c>
      <c r="C891" s="91">
        <v>45813.44810076389</v>
      </c>
      <c r="D891" s="8">
        <f t="shared" ref="D891:D892" si="98">IFERROR(_xlfn.WORKDAY.INTL(C891, 2),"-")</f>
        <v>45817</v>
      </c>
      <c r="E891" s="9" t="s">
        <v>11</v>
      </c>
      <c r="F891" s="10"/>
      <c r="G891" s="9" t="s">
        <v>15</v>
      </c>
      <c r="H891" s="7" t="s">
        <v>1965</v>
      </c>
      <c r="I891" s="9" t="s">
        <v>353</v>
      </c>
      <c r="J891" s="88"/>
    </row>
    <row r="892">
      <c r="A892" s="6" t="s">
        <v>9</v>
      </c>
      <c r="B892" s="7" t="s">
        <v>1966</v>
      </c>
      <c r="C892" s="91">
        <v>45812.57106893518</v>
      </c>
      <c r="D892" s="8">
        <f t="shared" si="98"/>
        <v>45814</v>
      </c>
      <c r="E892" s="9" t="s">
        <v>11</v>
      </c>
      <c r="F892" s="10"/>
      <c r="G892" s="9" t="s">
        <v>12</v>
      </c>
      <c r="H892" s="7" t="s">
        <v>1967</v>
      </c>
      <c r="I892" s="9" t="s">
        <v>353</v>
      </c>
      <c r="J892" s="88"/>
    </row>
    <row r="893">
      <c r="A893" s="54" t="s">
        <v>236</v>
      </c>
      <c r="B893" s="7" t="s">
        <v>1968</v>
      </c>
      <c r="C893" s="91">
        <v>45803.73618445602</v>
      </c>
      <c r="D893" s="8"/>
      <c r="E893" s="9"/>
      <c r="F893" s="10"/>
      <c r="G893" s="9" t="s">
        <v>15</v>
      </c>
      <c r="H893" s="7" t="s">
        <v>1969</v>
      </c>
      <c r="I893" s="9" t="s">
        <v>353</v>
      </c>
      <c r="J893" s="88"/>
    </row>
    <row r="894">
      <c r="A894" s="54" t="s">
        <v>236</v>
      </c>
      <c r="B894" s="7" t="s">
        <v>1970</v>
      </c>
      <c r="C894" s="91">
        <v>45803.7359559375</v>
      </c>
      <c r="D894" s="8"/>
      <c r="E894" s="9"/>
      <c r="F894" s="10"/>
      <c r="G894" s="9" t="s">
        <v>15</v>
      </c>
      <c r="H894" s="7" t="s">
        <v>1971</v>
      </c>
      <c r="I894" s="9" t="s">
        <v>353</v>
      </c>
      <c r="J894" s="88"/>
    </row>
    <row r="895">
      <c r="A895" s="54" t="s">
        <v>236</v>
      </c>
      <c r="B895" s="125" t="s">
        <v>1972</v>
      </c>
      <c r="C895" s="91">
        <v>45701.43505871527</v>
      </c>
      <c r="D895" s="8">
        <f t="shared" ref="D895:D898" si="99">IFERROR(_xlfn.WORKDAY.INTL(C895, 2),"-")</f>
        <v>45705</v>
      </c>
      <c r="E895" s="9" t="s">
        <v>11</v>
      </c>
      <c r="F895" s="10"/>
      <c r="G895" s="9" t="s">
        <v>21</v>
      </c>
      <c r="H895" s="7" t="s">
        <v>1973</v>
      </c>
      <c r="I895" s="9" t="s">
        <v>353</v>
      </c>
      <c r="J895" s="88"/>
    </row>
    <row r="896">
      <c r="A896" s="102" t="s">
        <v>624</v>
      </c>
      <c r="B896" s="103" t="s">
        <v>1974</v>
      </c>
      <c r="C896" s="91">
        <v>45540.51238390047</v>
      </c>
      <c r="D896" s="8">
        <f t="shared" si="99"/>
        <v>45544</v>
      </c>
      <c r="E896" s="9" t="s">
        <v>88</v>
      </c>
      <c r="F896" s="10"/>
      <c r="G896" s="9" t="s">
        <v>21</v>
      </c>
      <c r="H896" s="7" t="s">
        <v>1975</v>
      </c>
      <c r="I896" s="9" t="s">
        <v>353</v>
      </c>
      <c r="J896" s="88"/>
    </row>
    <row r="897">
      <c r="A897" s="102" t="s">
        <v>624</v>
      </c>
      <c r="B897" s="7" t="s">
        <v>1976</v>
      </c>
      <c r="C897" s="91">
        <v>45811.62550065972</v>
      </c>
      <c r="D897" s="8">
        <f t="shared" si="99"/>
        <v>45813</v>
      </c>
      <c r="E897" s="9" t="s">
        <v>11</v>
      </c>
      <c r="F897" s="10"/>
      <c r="G897" s="9" t="s">
        <v>11</v>
      </c>
      <c r="H897" s="7" t="s">
        <v>1977</v>
      </c>
      <c r="I897" s="9" t="s">
        <v>353</v>
      </c>
      <c r="J897" s="88"/>
    </row>
    <row r="898">
      <c r="A898" s="102" t="s">
        <v>624</v>
      </c>
      <c r="B898" s="7" t="s">
        <v>1978</v>
      </c>
      <c r="C898" s="91">
        <v>45804.516380914356</v>
      </c>
      <c r="D898" s="8">
        <f t="shared" si="99"/>
        <v>45806</v>
      </c>
      <c r="E898" s="9" t="s">
        <v>11</v>
      </c>
      <c r="F898" s="10"/>
      <c r="G898" s="9" t="s">
        <v>11</v>
      </c>
      <c r="H898" s="7" t="s">
        <v>1979</v>
      </c>
      <c r="I898" s="9" t="s">
        <v>353</v>
      </c>
      <c r="J898" s="88"/>
    </row>
    <row r="899">
      <c r="A899" s="54" t="s">
        <v>236</v>
      </c>
      <c r="B899" s="7" t="s">
        <v>1980</v>
      </c>
      <c r="C899" s="91">
        <v>45812.506926875</v>
      </c>
      <c r="D899" s="8"/>
      <c r="E899" s="9"/>
      <c r="F899" s="10"/>
      <c r="G899" s="9" t="s">
        <v>220</v>
      </c>
      <c r="H899" s="7" t="s">
        <v>1981</v>
      </c>
      <c r="I899" s="9" t="s">
        <v>353</v>
      </c>
      <c r="J899" s="88"/>
    </row>
    <row r="900">
      <c r="A900" s="20" t="s">
        <v>98</v>
      </c>
      <c r="B900" s="9" t="s">
        <v>1982</v>
      </c>
      <c r="C900" s="91">
        <v>45733.356996400464</v>
      </c>
      <c r="D900" s="8"/>
      <c r="E900" s="9"/>
      <c r="F900" s="10"/>
      <c r="G900" s="9" t="s">
        <v>18</v>
      </c>
      <c r="H900" s="7" t="s">
        <v>1983</v>
      </c>
      <c r="I900" s="9" t="s">
        <v>353</v>
      </c>
      <c r="J900" s="88"/>
    </row>
    <row r="901">
      <c r="A901" s="20" t="s">
        <v>98</v>
      </c>
      <c r="B901" s="9" t="s">
        <v>1984</v>
      </c>
      <c r="C901" s="91">
        <v>45762.44099732639</v>
      </c>
      <c r="D901" s="8"/>
      <c r="E901" s="9"/>
      <c r="F901" s="10"/>
      <c r="G901" s="9" t="s">
        <v>18</v>
      </c>
      <c r="H901" s="7" t="s">
        <v>1985</v>
      </c>
      <c r="I901" s="9" t="s">
        <v>353</v>
      </c>
      <c r="J901" s="88"/>
    </row>
    <row r="902">
      <c r="A902" s="20" t="s">
        <v>98</v>
      </c>
      <c r="B902" s="9" t="s">
        <v>1986</v>
      </c>
      <c r="C902" s="91">
        <v>45779.33452163194</v>
      </c>
      <c r="D902" s="8"/>
      <c r="E902" s="9"/>
      <c r="F902" s="10"/>
      <c r="G902" s="9" t="s">
        <v>15</v>
      </c>
      <c r="H902" s="22" t="s">
        <v>1987</v>
      </c>
      <c r="I902" s="9" t="s">
        <v>353</v>
      </c>
      <c r="J902" s="88"/>
    </row>
    <row r="903">
      <c r="A903" s="20" t="s">
        <v>98</v>
      </c>
      <c r="B903" s="9" t="s">
        <v>1988</v>
      </c>
      <c r="C903" s="91">
        <v>45762.43972846065</v>
      </c>
      <c r="D903" s="8"/>
      <c r="E903" s="9"/>
      <c r="F903" s="10"/>
      <c r="G903" s="9" t="s">
        <v>18</v>
      </c>
      <c r="H903" s="7" t="s">
        <v>1985</v>
      </c>
      <c r="I903" s="9" t="s">
        <v>353</v>
      </c>
      <c r="J903" s="88"/>
    </row>
    <row r="904">
      <c r="A904" s="20" t="s">
        <v>98</v>
      </c>
      <c r="B904" s="9" t="s">
        <v>1989</v>
      </c>
      <c r="C904" s="91">
        <v>45719.370095763894</v>
      </c>
      <c r="D904" s="8"/>
      <c r="E904" s="9"/>
      <c r="F904" s="10"/>
      <c r="G904" s="9" t="s">
        <v>18</v>
      </c>
      <c r="H904" s="7" t="s">
        <v>1990</v>
      </c>
      <c r="I904" s="9" t="s">
        <v>353</v>
      </c>
      <c r="J904" s="88"/>
    </row>
    <row r="905">
      <c r="A905" s="20" t="s">
        <v>98</v>
      </c>
      <c r="B905" s="9" t="s">
        <v>1991</v>
      </c>
      <c r="C905" s="91">
        <v>45742.63037068287</v>
      </c>
      <c r="D905" s="8"/>
      <c r="E905" s="9"/>
      <c r="F905" s="10"/>
      <c r="G905" s="9" t="s">
        <v>18</v>
      </c>
      <c r="H905" s="7" t="s">
        <v>1985</v>
      </c>
      <c r="I905" s="9" t="s">
        <v>353</v>
      </c>
      <c r="J905" s="88"/>
    </row>
    <row r="906">
      <c r="A906" s="20" t="s">
        <v>98</v>
      </c>
      <c r="B906" s="9" t="s">
        <v>1992</v>
      </c>
      <c r="C906" s="91">
        <v>45735.705431504626</v>
      </c>
      <c r="D906" s="8"/>
      <c r="E906" s="9"/>
      <c r="F906" s="10"/>
      <c r="G906" s="9" t="s">
        <v>18</v>
      </c>
      <c r="H906" s="22" t="s">
        <v>1993</v>
      </c>
      <c r="I906" s="9" t="s">
        <v>353</v>
      </c>
      <c r="J906" s="88"/>
    </row>
    <row r="907">
      <c r="A907" s="54" t="s">
        <v>236</v>
      </c>
      <c r="B907" s="7" t="s">
        <v>1994</v>
      </c>
      <c r="C907" s="91">
        <v>45805.66176775463</v>
      </c>
      <c r="D907" s="8"/>
      <c r="E907" s="9"/>
      <c r="F907" s="10"/>
      <c r="G907" s="9" t="s">
        <v>15</v>
      </c>
      <c r="H907" s="7" t="s">
        <v>1995</v>
      </c>
      <c r="I907" s="9" t="s">
        <v>353</v>
      </c>
      <c r="J907" s="88"/>
    </row>
    <row r="908">
      <c r="A908" s="54" t="s">
        <v>236</v>
      </c>
      <c r="B908" s="7" t="s">
        <v>1996</v>
      </c>
      <c r="C908" s="91">
        <v>45803.73435613426</v>
      </c>
      <c r="D908" s="8"/>
      <c r="E908" s="9"/>
      <c r="F908" s="10"/>
      <c r="G908" s="9" t="s">
        <v>15</v>
      </c>
      <c r="H908" s="7" t="s">
        <v>1997</v>
      </c>
      <c r="I908" s="9" t="s">
        <v>353</v>
      </c>
      <c r="J908" s="88"/>
    </row>
    <row r="909">
      <c r="A909" s="78" t="s">
        <v>334</v>
      </c>
      <c r="B909" s="43" t="s">
        <v>1998</v>
      </c>
      <c r="C909" s="119">
        <v>45810.72708413194</v>
      </c>
      <c r="D909" s="80">
        <f>IFERROR(_xlfn.WORKDAY.INTL(C909, 2),"-")</f>
        <v>45812</v>
      </c>
      <c r="E909" s="9" t="s">
        <v>1128</v>
      </c>
      <c r="F909" s="10"/>
      <c r="G909" s="9" t="s">
        <v>220</v>
      </c>
      <c r="H909" s="11"/>
      <c r="I909" s="9" t="s">
        <v>353</v>
      </c>
      <c r="J909" s="88"/>
    </row>
    <row r="910">
      <c r="A910" s="88"/>
      <c r="B910" s="89"/>
      <c r="C910" s="90"/>
      <c r="D910" s="89"/>
      <c r="E910" s="89"/>
      <c r="F910" s="89"/>
      <c r="G910" s="89"/>
      <c r="H910" s="87"/>
      <c r="I910" s="89"/>
      <c r="J910" s="88"/>
    </row>
    <row r="911">
      <c r="A911" s="78" t="s">
        <v>334</v>
      </c>
      <c r="B911" s="43" t="s">
        <v>1999</v>
      </c>
      <c r="C911" s="119">
        <v>45799.0</v>
      </c>
      <c r="D911" s="80">
        <f t="shared" ref="D911:D919" si="100">IFERROR(_xlfn.WORKDAY.INTL(C911, 2),"-")</f>
        <v>45803</v>
      </c>
      <c r="E911" s="9" t="s">
        <v>1123</v>
      </c>
      <c r="F911" s="10"/>
      <c r="G911" s="9" t="s">
        <v>220</v>
      </c>
      <c r="H911" s="11"/>
      <c r="I911" s="9" t="s">
        <v>353</v>
      </c>
      <c r="J911" s="88"/>
    </row>
    <row r="912">
      <c r="A912" s="78" t="s">
        <v>334</v>
      </c>
      <c r="B912" s="43" t="s">
        <v>2000</v>
      </c>
      <c r="C912" s="119">
        <v>45790.0</v>
      </c>
      <c r="D912" s="80">
        <f t="shared" si="100"/>
        <v>45792</v>
      </c>
      <c r="E912" s="9" t="s">
        <v>1097</v>
      </c>
      <c r="F912" s="10"/>
      <c r="G912" s="9" t="s">
        <v>220</v>
      </c>
      <c r="H912" s="7" t="s">
        <v>2001</v>
      </c>
      <c r="I912" s="9" t="s">
        <v>353</v>
      </c>
      <c r="J912" s="88"/>
    </row>
    <row r="913">
      <c r="A913" s="78" t="s">
        <v>334</v>
      </c>
      <c r="B913" s="43" t="s">
        <v>2002</v>
      </c>
      <c r="C913" s="119">
        <v>45791.0</v>
      </c>
      <c r="D913" s="80">
        <f t="shared" si="100"/>
        <v>45793</v>
      </c>
      <c r="E913" s="9" t="s">
        <v>1128</v>
      </c>
      <c r="F913" s="10"/>
      <c r="G913" s="9" t="s">
        <v>220</v>
      </c>
      <c r="H913" s="7" t="s">
        <v>2003</v>
      </c>
      <c r="I913" s="9" t="s">
        <v>353</v>
      </c>
      <c r="J913" s="88"/>
    </row>
    <row r="914">
      <c r="A914" s="78" t="s">
        <v>334</v>
      </c>
      <c r="B914" s="43" t="s">
        <v>2004</v>
      </c>
      <c r="C914" s="119">
        <v>45775.0</v>
      </c>
      <c r="D914" s="80">
        <f t="shared" si="100"/>
        <v>45777</v>
      </c>
      <c r="E914" s="9" t="s">
        <v>1489</v>
      </c>
      <c r="F914" s="10"/>
      <c r="G914" s="9" t="s">
        <v>15</v>
      </c>
      <c r="H914" s="7" t="s">
        <v>2005</v>
      </c>
      <c r="I914" s="9" t="s">
        <v>353</v>
      </c>
      <c r="J914" s="88"/>
    </row>
    <row r="915">
      <c r="A915" s="78" t="s">
        <v>334</v>
      </c>
      <c r="B915" s="43" t="s">
        <v>2006</v>
      </c>
      <c r="C915" s="119">
        <v>45772.47992883102</v>
      </c>
      <c r="D915" s="80">
        <f t="shared" si="100"/>
        <v>45776</v>
      </c>
      <c r="E915" s="9" t="s">
        <v>1128</v>
      </c>
      <c r="F915" s="10"/>
      <c r="G915" s="9" t="s">
        <v>1309</v>
      </c>
      <c r="H915" s="7" t="s">
        <v>2007</v>
      </c>
      <c r="I915" s="9" t="s">
        <v>353</v>
      </c>
      <c r="J915" s="88"/>
    </row>
    <row r="916">
      <c r="A916" s="78" t="s">
        <v>334</v>
      </c>
      <c r="B916" s="43" t="s">
        <v>2008</v>
      </c>
      <c r="C916" s="91">
        <v>45723.0</v>
      </c>
      <c r="D916" s="10">
        <f t="shared" si="100"/>
        <v>45727</v>
      </c>
      <c r="E916" s="9" t="s">
        <v>1489</v>
      </c>
      <c r="F916" s="10"/>
      <c r="G916" s="9" t="s">
        <v>220</v>
      </c>
      <c r="H916" s="7" t="s">
        <v>2009</v>
      </c>
      <c r="I916" s="9" t="s">
        <v>353</v>
      </c>
      <c r="J916" s="88"/>
    </row>
    <row r="917">
      <c r="A917" s="78" t="s">
        <v>334</v>
      </c>
      <c r="B917" s="43" t="s">
        <v>2010</v>
      </c>
      <c r="C917" s="119">
        <v>45792.0</v>
      </c>
      <c r="D917" s="80">
        <f t="shared" si="100"/>
        <v>45796</v>
      </c>
      <c r="E917" s="9" t="s">
        <v>1123</v>
      </c>
      <c r="F917" s="10"/>
      <c r="G917" s="9" t="s">
        <v>220</v>
      </c>
      <c r="H917" s="7" t="s">
        <v>2011</v>
      </c>
      <c r="I917" s="9" t="s">
        <v>353</v>
      </c>
      <c r="J917" s="88"/>
    </row>
    <row r="918">
      <c r="A918" s="78" t="s">
        <v>334</v>
      </c>
      <c r="B918" s="43" t="s">
        <v>2012</v>
      </c>
      <c r="C918" s="119">
        <v>45790.0</v>
      </c>
      <c r="D918" s="80">
        <f t="shared" si="100"/>
        <v>45792</v>
      </c>
      <c r="E918" s="9" t="s">
        <v>1097</v>
      </c>
      <c r="F918" s="10"/>
      <c r="G918" s="9" t="s">
        <v>18</v>
      </c>
      <c r="H918" s="7" t="s">
        <v>2013</v>
      </c>
      <c r="I918" s="9" t="s">
        <v>353</v>
      </c>
      <c r="J918" s="88"/>
    </row>
    <row r="919">
      <c r="A919" s="78" t="s">
        <v>334</v>
      </c>
      <c r="B919" s="43" t="s">
        <v>2014</v>
      </c>
      <c r="C919" s="119">
        <v>45790.0</v>
      </c>
      <c r="D919" s="80">
        <f t="shared" si="100"/>
        <v>45792</v>
      </c>
      <c r="E919" s="9" t="s">
        <v>1097</v>
      </c>
      <c r="F919" s="10"/>
      <c r="G919" s="9" t="s">
        <v>18</v>
      </c>
      <c r="H919" s="11"/>
      <c r="I919" s="9" t="s">
        <v>353</v>
      </c>
      <c r="J919" s="88"/>
    </row>
    <row r="920">
      <c r="A920" s="102"/>
      <c r="B920" s="7"/>
      <c r="C920" s="91"/>
      <c r="D920" s="8"/>
      <c r="E920" s="9"/>
      <c r="F920" s="10"/>
      <c r="G920" s="9"/>
      <c r="H920" s="11"/>
      <c r="I920" s="9"/>
      <c r="J920" s="88"/>
    </row>
    <row r="921">
      <c r="A921" s="102" t="s">
        <v>624</v>
      </c>
      <c r="B921" s="7" t="s">
        <v>2015</v>
      </c>
      <c r="C921" s="91">
        <v>45804.46952813657</v>
      </c>
      <c r="D921" s="8">
        <f t="shared" ref="D921:D923" si="101">IFERROR(_xlfn.WORKDAY.INTL(C921, 2),"-")</f>
        <v>45806</v>
      </c>
      <c r="E921" s="9" t="s">
        <v>11</v>
      </c>
      <c r="F921" s="10"/>
      <c r="G921" s="9" t="s">
        <v>11</v>
      </c>
      <c r="H921" s="7" t="s">
        <v>2016</v>
      </c>
      <c r="I921" s="9" t="s">
        <v>353</v>
      </c>
      <c r="J921" s="88"/>
    </row>
    <row r="922">
      <c r="A922" s="102" t="s">
        <v>624</v>
      </c>
      <c r="B922" s="67" t="s">
        <v>2017</v>
      </c>
      <c r="C922" s="91">
        <v>45804.503110254635</v>
      </c>
      <c r="D922" s="8">
        <f t="shared" si="101"/>
        <v>45806</v>
      </c>
      <c r="E922" s="9" t="s">
        <v>11</v>
      </c>
      <c r="F922" s="10"/>
      <c r="G922" s="9" t="s">
        <v>11</v>
      </c>
      <c r="H922" s="7" t="s">
        <v>2018</v>
      </c>
      <c r="I922" s="9" t="s">
        <v>353</v>
      </c>
      <c r="J922" s="88"/>
    </row>
    <row r="923">
      <c r="A923" s="102" t="s">
        <v>624</v>
      </c>
      <c r="B923" s="7" t="s">
        <v>2019</v>
      </c>
      <c r="C923" s="91">
        <v>45804.47373780093</v>
      </c>
      <c r="D923" s="8">
        <f t="shared" si="101"/>
        <v>45806</v>
      </c>
      <c r="E923" s="9" t="s">
        <v>11</v>
      </c>
      <c r="F923" s="10"/>
      <c r="G923" s="9" t="s">
        <v>2020</v>
      </c>
      <c r="H923" s="7" t="s">
        <v>2021</v>
      </c>
      <c r="I923" s="9" t="s">
        <v>13</v>
      </c>
      <c r="J923" s="88"/>
    </row>
    <row r="924">
      <c r="A924" s="88"/>
      <c r="B924" s="89"/>
      <c r="C924" s="90"/>
      <c r="D924" s="89"/>
      <c r="E924" s="89"/>
      <c r="F924" s="89"/>
      <c r="G924" s="89"/>
      <c r="H924" s="87"/>
      <c r="I924" s="89"/>
      <c r="J924" s="88"/>
    </row>
    <row r="925">
      <c r="A925" s="6" t="s">
        <v>9</v>
      </c>
      <c r="B925" s="7" t="s">
        <v>2022</v>
      </c>
      <c r="C925" s="91">
        <v>45369.34602046297</v>
      </c>
      <c r="D925" s="8">
        <f>IFERROR(_xlfn.WORKDAY.INTL(C925, 2),"-")</f>
        <v>45371</v>
      </c>
      <c r="E925" s="9" t="s">
        <v>94</v>
      </c>
      <c r="F925" s="10"/>
      <c r="G925" s="9" t="s">
        <v>89</v>
      </c>
      <c r="H925" s="7" t="s">
        <v>2023</v>
      </c>
      <c r="I925" s="9" t="s">
        <v>353</v>
      </c>
      <c r="J925" s="88"/>
    </row>
    <row r="926">
      <c r="A926" s="102"/>
      <c r="B926" s="7" t="s">
        <v>2024</v>
      </c>
      <c r="C926" s="91">
        <v>45804.51593686343</v>
      </c>
      <c r="D926" s="8"/>
      <c r="E926" s="9"/>
      <c r="F926" s="10"/>
      <c r="G926" s="9" t="s">
        <v>11</v>
      </c>
      <c r="H926" s="129" t="s">
        <v>2025</v>
      </c>
      <c r="I926" s="9" t="s">
        <v>353</v>
      </c>
      <c r="J926" s="88"/>
    </row>
    <row r="927">
      <c r="A927" s="6" t="s">
        <v>9</v>
      </c>
      <c r="B927" s="7" t="s">
        <v>2026</v>
      </c>
      <c r="C927" s="91">
        <v>45807.431176377315</v>
      </c>
      <c r="D927" s="8">
        <f t="shared" ref="D927:D928" si="102">IFERROR(_xlfn.WORKDAY.INTL(C927, 2),"-")</f>
        <v>45811</v>
      </c>
      <c r="E927" s="9" t="s">
        <v>11</v>
      </c>
      <c r="F927" s="10"/>
      <c r="G927" s="9" t="s">
        <v>15</v>
      </c>
      <c r="H927" s="7" t="s">
        <v>437</v>
      </c>
      <c r="I927" s="9" t="s">
        <v>353</v>
      </c>
      <c r="J927" s="88"/>
    </row>
    <row r="928">
      <c r="A928" s="20" t="s">
        <v>98</v>
      </c>
      <c r="B928" s="9" t="s">
        <v>2027</v>
      </c>
      <c r="C928" s="91">
        <v>45600.36749457176</v>
      </c>
      <c r="D928" s="8">
        <f t="shared" si="102"/>
        <v>45602</v>
      </c>
      <c r="E928" s="9" t="s">
        <v>11</v>
      </c>
      <c r="F928" s="10"/>
      <c r="G928" s="9" t="s">
        <v>15</v>
      </c>
      <c r="H928" s="23" t="s">
        <v>2028</v>
      </c>
      <c r="I928" s="9" t="s">
        <v>353</v>
      </c>
      <c r="J928" s="88"/>
    </row>
    <row r="929">
      <c r="A929" s="102"/>
      <c r="B929" s="7"/>
      <c r="C929" s="91"/>
      <c r="D929" s="8"/>
      <c r="E929" s="9"/>
      <c r="F929" s="10"/>
      <c r="G929" s="9"/>
      <c r="H929" s="7"/>
      <c r="I929" s="9"/>
      <c r="J929" s="88"/>
    </row>
    <row r="930">
      <c r="A930" s="102" t="s">
        <v>624</v>
      </c>
      <c r="B930" s="7" t="s">
        <v>2029</v>
      </c>
      <c r="C930" s="91">
        <v>45804.516343449075</v>
      </c>
      <c r="D930" s="8">
        <f t="shared" ref="D930:D931" si="103">IFERROR(_xlfn.WORKDAY.INTL(C930, 2),"-")</f>
        <v>45806</v>
      </c>
      <c r="E930" s="9" t="s">
        <v>11</v>
      </c>
      <c r="F930" s="10"/>
      <c r="G930" s="9" t="s">
        <v>11</v>
      </c>
      <c r="H930" s="7" t="s">
        <v>2030</v>
      </c>
      <c r="I930" s="9" t="s">
        <v>353</v>
      </c>
      <c r="J930" s="88"/>
    </row>
    <row r="931">
      <c r="A931" s="102" t="s">
        <v>624</v>
      </c>
      <c r="B931" s="67" t="s">
        <v>2031</v>
      </c>
      <c r="C931" s="91">
        <v>45804.50473912037</v>
      </c>
      <c r="D931" s="8">
        <f t="shared" si="103"/>
        <v>45806</v>
      </c>
      <c r="E931" s="9" t="s">
        <v>11</v>
      </c>
      <c r="F931" s="10"/>
      <c r="G931" s="9" t="s">
        <v>11</v>
      </c>
      <c r="H931" s="7" t="s">
        <v>2032</v>
      </c>
      <c r="I931" s="9" t="s">
        <v>353</v>
      </c>
      <c r="J931" s="88"/>
    </row>
    <row r="932">
      <c r="A932" s="54" t="s">
        <v>236</v>
      </c>
      <c r="B932" s="7" t="s">
        <v>2033</v>
      </c>
      <c r="C932" s="91">
        <v>45805.4246341088</v>
      </c>
      <c r="D932" s="8"/>
      <c r="E932" s="9"/>
      <c r="F932" s="10"/>
      <c r="G932" s="9" t="s">
        <v>18</v>
      </c>
      <c r="H932" s="7" t="s">
        <v>2034</v>
      </c>
      <c r="I932" s="9" t="s">
        <v>353</v>
      </c>
      <c r="J932" s="88"/>
    </row>
    <row r="933">
      <c r="A933" s="6" t="s">
        <v>9</v>
      </c>
      <c r="B933" s="7" t="s">
        <v>2035</v>
      </c>
      <c r="C933" s="91">
        <v>45805.38090049769</v>
      </c>
      <c r="D933" s="8">
        <f>IFERROR(_xlfn.WORKDAY.INTL(C933, 2),"-")</f>
        <v>45807</v>
      </c>
      <c r="E933" s="9" t="s">
        <v>11</v>
      </c>
      <c r="F933" s="10"/>
      <c r="G933" s="9" t="s">
        <v>15</v>
      </c>
      <c r="H933" s="7" t="s">
        <v>2036</v>
      </c>
      <c r="I933" s="9" t="s">
        <v>353</v>
      </c>
      <c r="J933" s="88"/>
    </row>
    <row r="934">
      <c r="A934" s="54" t="s">
        <v>236</v>
      </c>
      <c r="B934" s="7" t="s">
        <v>2037</v>
      </c>
      <c r="C934" s="91">
        <v>45803.7350590625</v>
      </c>
      <c r="D934" s="8"/>
      <c r="E934" s="9"/>
      <c r="F934" s="10"/>
      <c r="G934" s="9" t="s">
        <v>15</v>
      </c>
      <c r="H934" s="7" t="s">
        <v>2038</v>
      </c>
      <c r="I934" s="9" t="s">
        <v>353</v>
      </c>
      <c r="J934" s="88"/>
    </row>
    <row r="935">
      <c r="A935" s="6" t="s">
        <v>9</v>
      </c>
      <c r="B935" s="7" t="s">
        <v>2039</v>
      </c>
      <c r="C935" s="91">
        <v>45789.375815949075</v>
      </c>
      <c r="D935" s="8">
        <f t="shared" ref="D935:D936" si="104">IFERROR(_xlfn.WORKDAY.INTL(C935, 2),"-")</f>
        <v>45791</v>
      </c>
      <c r="E935" s="9" t="s">
        <v>11</v>
      </c>
      <c r="F935" s="10"/>
      <c r="G935" s="9" t="s">
        <v>15</v>
      </c>
      <c r="H935" s="7" t="s">
        <v>2040</v>
      </c>
      <c r="I935" s="9" t="s">
        <v>353</v>
      </c>
      <c r="J935" s="88"/>
    </row>
    <row r="936">
      <c r="A936" s="102" t="s">
        <v>624</v>
      </c>
      <c r="B936" s="7" t="s">
        <v>2041</v>
      </c>
      <c r="C936" s="91">
        <v>45684.49719393518</v>
      </c>
      <c r="D936" s="8">
        <f t="shared" si="104"/>
        <v>45686</v>
      </c>
      <c r="E936" s="9" t="s">
        <v>11</v>
      </c>
      <c r="F936" s="10"/>
      <c r="G936" s="9" t="s">
        <v>89</v>
      </c>
      <c r="H936" s="7" t="s">
        <v>2042</v>
      </c>
      <c r="I936" s="9" t="s">
        <v>353</v>
      </c>
      <c r="J936" s="88"/>
    </row>
    <row r="937">
      <c r="A937" s="131"/>
      <c r="B937" s="7" t="s">
        <v>2043</v>
      </c>
      <c r="C937" s="91">
        <v>45804.49633758102</v>
      </c>
      <c r="D937" s="8"/>
      <c r="E937" s="9"/>
      <c r="F937" s="10"/>
      <c r="G937" s="9"/>
      <c r="H937" s="7" t="s">
        <v>2044</v>
      </c>
      <c r="I937" s="9" t="s">
        <v>353</v>
      </c>
      <c r="J937" s="88"/>
    </row>
    <row r="938">
      <c r="A938" s="102" t="s">
        <v>624</v>
      </c>
      <c r="B938" s="7" t="s">
        <v>2045</v>
      </c>
      <c r="C938" s="91">
        <v>45749.702270787035</v>
      </c>
      <c r="D938" s="8">
        <f t="shared" ref="D938:D940" si="105">IFERROR(_xlfn.WORKDAY.INTL(C938, 2),"-")</f>
        <v>45751</v>
      </c>
      <c r="E938" s="9" t="s">
        <v>11</v>
      </c>
      <c r="F938" s="10"/>
      <c r="G938" s="9" t="s">
        <v>11</v>
      </c>
      <c r="H938" s="7" t="s">
        <v>2046</v>
      </c>
      <c r="I938" s="9" t="s">
        <v>353</v>
      </c>
      <c r="J938" s="88"/>
    </row>
    <row r="939">
      <c r="A939" s="102" t="s">
        <v>624</v>
      </c>
      <c r="B939" s="7" t="s">
        <v>2047</v>
      </c>
      <c r="C939" s="91">
        <v>45673.494078090276</v>
      </c>
      <c r="D939" s="8">
        <f t="shared" si="105"/>
        <v>45677</v>
      </c>
      <c r="E939" s="9" t="s">
        <v>11</v>
      </c>
      <c r="F939" s="10"/>
      <c r="G939" s="9" t="s">
        <v>11</v>
      </c>
      <c r="H939" s="7" t="s">
        <v>2048</v>
      </c>
      <c r="I939" s="9" t="s">
        <v>353</v>
      </c>
      <c r="J939" s="88"/>
    </row>
    <row r="940">
      <c r="A940" s="102" t="s">
        <v>624</v>
      </c>
      <c r="B940" s="7" t="s">
        <v>2049</v>
      </c>
      <c r="C940" s="91">
        <v>45716.4312087963</v>
      </c>
      <c r="D940" s="8">
        <f t="shared" si="105"/>
        <v>45720</v>
      </c>
      <c r="E940" s="9" t="s">
        <v>11</v>
      </c>
      <c r="F940" s="10"/>
      <c r="G940" s="9" t="s">
        <v>11</v>
      </c>
      <c r="H940" s="7" t="s">
        <v>2050</v>
      </c>
      <c r="I940" s="9" t="s">
        <v>353</v>
      </c>
      <c r="J940" s="88"/>
    </row>
    <row r="941">
      <c r="A941" s="54" t="s">
        <v>236</v>
      </c>
      <c r="B941" s="7" t="s">
        <v>2051</v>
      </c>
      <c r="C941" s="91">
        <v>45803.7142062037</v>
      </c>
      <c r="D941" s="8"/>
      <c r="E941" s="9"/>
      <c r="F941" s="10"/>
      <c r="G941" s="9" t="s">
        <v>220</v>
      </c>
      <c r="H941" s="7" t="s">
        <v>2052</v>
      </c>
      <c r="I941" s="9" t="s">
        <v>353</v>
      </c>
      <c r="J941" s="88"/>
    </row>
    <row r="942">
      <c r="A942" s="102" t="s">
        <v>624</v>
      </c>
      <c r="B942" s="7" t="s">
        <v>2053</v>
      </c>
      <c r="C942" s="91">
        <v>45741.36283644676</v>
      </c>
      <c r="D942" s="8">
        <f t="shared" ref="D942:D947" si="106">IFERROR(_xlfn.WORKDAY.INTL(C942, 2),"-")</f>
        <v>45743</v>
      </c>
      <c r="E942" s="9" t="s">
        <v>11</v>
      </c>
      <c r="F942" s="10"/>
      <c r="G942" s="9" t="s">
        <v>11</v>
      </c>
      <c r="H942" s="132" t="s">
        <v>2054</v>
      </c>
      <c r="I942" s="9" t="s">
        <v>353</v>
      </c>
      <c r="J942" s="88"/>
    </row>
    <row r="943">
      <c r="A943" s="102" t="s">
        <v>624</v>
      </c>
      <c r="B943" s="7" t="s">
        <v>2055</v>
      </c>
      <c r="C943" s="91">
        <v>45804.473629224536</v>
      </c>
      <c r="D943" s="8">
        <f t="shared" si="106"/>
        <v>45806</v>
      </c>
      <c r="E943" s="9" t="s">
        <v>11</v>
      </c>
      <c r="F943" s="10"/>
      <c r="G943" s="9"/>
      <c r="H943" s="7" t="s">
        <v>2056</v>
      </c>
      <c r="I943" s="9" t="s">
        <v>353</v>
      </c>
      <c r="J943" s="88"/>
    </row>
    <row r="944">
      <c r="A944" s="102" t="s">
        <v>624</v>
      </c>
      <c r="B944" s="7" t="s">
        <v>2057</v>
      </c>
      <c r="C944" s="91">
        <v>45804.44674327546</v>
      </c>
      <c r="D944" s="8">
        <f t="shared" si="106"/>
        <v>45806</v>
      </c>
      <c r="E944" s="9" t="s">
        <v>11</v>
      </c>
      <c r="F944" s="10"/>
      <c r="G944" s="9"/>
      <c r="H944" s="7" t="s">
        <v>2058</v>
      </c>
      <c r="I944" s="9" t="s">
        <v>353</v>
      </c>
      <c r="J944" s="88"/>
    </row>
    <row r="945">
      <c r="A945" s="102" t="s">
        <v>624</v>
      </c>
      <c r="B945" s="7" t="s">
        <v>2059</v>
      </c>
      <c r="C945" s="91">
        <v>45730.467956168985</v>
      </c>
      <c r="D945" s="8">
        <f t="shared" si="106"/>
        <v>45734</v>
      </c>
      <c r="E945" s="9" t="s">
        <v>11</v>
      </c>
      <c r="F945" s="10"/>
      <c r="G945" s="9" t="s">
        <v>11</v>
      </c>
      <c r="H945" s="7" t="s">
        <v>2060</v>
      </c>
      <c r="I945" s="9" t="s">
        <v>353</v>
      </c>
      <c r="J945" s="88"/>
    </row>
    <row r="946">
      <c r="A946" s="102" t="s">
        <v>624</v>
      </c>
      <c r="B946" s="7" t="s">
        <v>2061</v>
      </c>
      <c r="C946" s="91">
        <v>45736.37548400463</v>
      </c>
      <c r="D946" s="8">
        <f t="shared" si="106"/>
        <v>45740</v>
      </c>
      <c r="E946" s="9" t="s">
        <v>11</v>
      </c>
      <c r="F946" s="10"/>
      <c r="G946" s="9" t="s">
        <v>11</v>
      </c>
      <c r="H946" s="7" t="s">
        <v>2062</v>
      </c>
      <c r="I946" s="9" t="s">
        <v>353</v>
      </c>
      <c r="J946" s="88"/>
    </row>
    <row r="947">
      <c r="A947" s="102" t="s">
        <v>624</v>
      </c>
      <c r="B947" s="7" t="s">
        <v>2063</v>
      </c>
      <c r="C947" s="91">
        <v>45804.44220952546</v>
      </c>
      <c r="D947" s="8">
        <f t="shared" si="106"/>
        <v>45806</v>
      </c>
      <c r="E947" s="9" t="s">
        <v>11</v>
      </c>
      <c r="F947" s="10"/>
      <c r="G947" s="9"/>
      <c r="H947" s="7" t="s">
        <v>2064</v>
      </c>
      <c r="I947" s="9" t="s">
        <v>353</v>
      </c>
      <c r="J947" s="88"/>
    </row>
    <row r="948">
      <c r="A948" s="54" t="s">
        <v>236</v>
      </c>
      <c r="B948" s="7" t="s">
        <v>2065</v>
      </c>
      <c r="C948" s="91">
        <v>45803.738511840274</v>
      </c>
      <c r="D948" s="8"/>
      <c r="E948" s="9"/>
      <c r="F948" s="10"/>
      <c r="G948" s="9" t="s">
        <v>18</v>
      </c>
      <c r="H948" s="7" t="s">
        <v>2066</v>
      </c>
      <c r="I948" s="9" t="s">
        <v>353</v>
      </c>
      <c r="J948" s="88"/>
    </row>
    <row r="949">
      <c r="A949" s="54" t="s">
        <v>236</v>
      </c>
      <c r="B949" s="7" t="s">
        <v>2067</v>
      </c>
      <c r="C949" s="91">
        <v>45803.73826974537</v>
      </c>
      <c r="D949" s="8"/>
      <c r="E949" s="9"/>
      <c r="F949" s="10"/>
      <c r="G949" s="9"/>
      <c r="H949" s="7" t="s">
        <v>2068</v>
      </c>
      <c r="I949" s="9" t="s">
        <v>353</v>
      </c>
      <c r="J949" s="88"/>
    </row>
    <row r="950">
      <c r="A950" s="54" t="s">
        <v>236</v>
      </c>
      <c r="B950" s="7" t="s">
        <v>2069</v>
      </c>
      <c r="C950" s="91">
        <v>45803.73749458333</v>
      </c>
      <c r="D950" s="8"/>
      <c r="E950" s="9"/>
      <c r="F950" s="10"/>
      <c r="G950" s="9"/>
      <c r="H950" s="7" t="s">
        <v>2070</v>
      </c>
      <c r="I950" s="9" t="s">
        <v>353</v>
      </c>
      <c r="J950" s="88"/>
    </row>
    <row r="951">
      <c r="A951" s="54" t="s">
        <v>236</v>
      </c>
      <c r="B951" s="7" t="s">
        <v>2071</v>
      </c>
      <c r="C951" s="91">
        <v>45803.73637916667</v>
      </c>
      <c r="D951" s="8"/>
      <c r="E951" s="9"/>
      <c r="F951" s="10"/>
      <c r="G951" s="9" t="s">
        <v>18</v>
      </c>
      <c r="H951" s="7" t="s">
        <v>2072</v>
      </c>
      <c r="I951" s="9" t="s">
        <v>353</v>
      </c>
      <c r="J951" s="88"/>
    </row>
    <row r="952">
      <c r="A952" s="54" t="s">
        <v>236</v>
      </c>
      <c r="B952" s="7" t="s">
        <v>2073</v>
      </c>
      <c r="C952" s="91">
        <v>45803.73572920139</v>
      </c>
      <c r="D952" s="8"/>
      <c r="E952" s="9"/>
      <c r="F952" s="10"/>
      <c r="G952" s="9" t="s">
        <v>18</v>
      </c>
      <c r="H952" s="7" t="s">
        <v>2074</v>
      </c>
      <c r="I952" s="9" t="s">
        <v>353</v>
      </c>
      <c r="J952" s="88"/>
    </row>
    <row r="953">
      <c r="A953" s="54" t="s">
        <v>236</v>
      </c>
      <c r="B953" s="7" t="s">
        <v>2075</v>
      </c>
      <c r="C953" s="91">
        <v>45803.734856180556</v>
      </c>
      <c r="D953" s="8"/>
      <c r="E953" s="9"/>
      <c r="F953" s="10"/>
      <c r="G953" s="9" t="s">
        <v>18</v>
      </c>
      <c r="H953" s="7" t="s">
        <v>2076</v>
      </c>
      <c r="I953" s="9" t="s">
        <v>353</v>
      </c>
      <c r="J953" s="88"/>
    </row>
    <row r="954">
      <c r="A954" s="54" t="s">
        <v>236</v>
      </c>
      <c r="B954" s="7" t="s">
        <v>2077</v>
      </c>
      <c r="C954" s="91">
        <v>45803.7340921875</v>
      </c>
      <c r="D954" s="8"/>
      <c r="E954" s="9"/>
      <c r="F954" s="10"/>
      <c r="G954" s="9" t="s">
        <v>18</v>
      </c>
      <c r="H954" s="7" t="s">
        <v>2076</v>
      </c>
      <c r="I954" s="9" t="s">
        <v>353</v>
      </c>
      <c r="J954" s="88"/>
    </row>
    <row r="955">
      <c r="A955" s="54" t="s">
        <v>236</v>
      </c>
      <c r="B955" s="7" t="s">
        <v>2078</v>
      </c>
      <c r="C955" s="91">
        <v>45803.73346744213</v>
      </c>
      <c r="D955" s="8"/>
      <c r="E955" s="9"/>
      <c r="F955" s="10"/>
      <c r="G955" s="9" t="s">
        <v>18</v>
      </c>
      <c r="H955" s="7" t="s">
        <v>2079</v>
      </c>
      <c r="I955" s="9" t="s">
        <v>353</v>
      </c>
      <c r="J955" s="88"/>
    </row>
    <row r="956">
      <c r="A956" s="54" t="s">
        <v>236</v>
      </c>
      <c r="B956" s="125" t="s">
        <v>2080</v>
      </c>
      <c r="C956" s="91">
        <v>45701.426397511575</v>
      </c>
      <c r="D956" s="8">
        <f t="shared" ref="D956:D957" si="107">IFERROR(_xlfn.WORKDAY.INTL(C956, 2),"-")</f>
        <v>45705</v>
      </c>
      <c r="E956" s="9" t="s">
        <v>11</v>
      </c>
      <c r="F956" s="10"/>
      <c r="G956" s="9" t="s">
        <v>21</v>
      </c>
      <c r="H956" s="7" t="s">
        <v>2081</v>
      </c>
      <c r="I956" s="9" t="s">
        <v>353</v>
      </c>
      <c r="J956" s="88"/>
    </row>
    <row r="957">
      <c r="A957" s="54" t="s">
        <v>236</v>
      </c>
      <c r="B957" s="125" t="s">
        <v>2082</v>
      </c>
      <c r="C957" s="91">
        <v>45701.59281101852</v>
      </c>
      <c r="D957" s="8">
        <f t="shared" si="107"/>
        <v>45705</v>
      </c>
      <c r="E957" s="9" t="s">
        <v>11</v>
      </c>
      <c r="F957" s="10"/>
      <c r="G957" s="9" t="s">
        <v>21</v>
      </c>
      <c r="H957" s="7" t="s">
        <v>2083</v>
      </c>
      <c r="I957" s="9" t="s">
        <v>353</v>
      </c>
      <c r="J957" s="88"/>
    </row>
    <row r="958">
      <c r="A958" s="54" t="s">
        <v>236</v>
      </c>
      <c r="B958" s="7" t="s">
        <v>2084</v>
      </c>
      <c r="C958" s="91">
        <v>45729.71531950231</v>
      </c>
      <c r="D958" s="8"/>
      <c r="E958" s="9"/>
      <c r="F958" s="10"/>
      <c r="G958" s="9" t="s">
        <v>21</v>
      </c>
      <c r="H958" s="7" t="s">
        <v>2085</v>
      </c>
      <c r="I958" s="9" t="s">
        <v>353</v>
      </c>
      <c r="J958" s="88"/>
    </row>
    <row r="959">
      <c r="A959" s="102" t="s">
        <v>624</v>
      </c>
      <c r="B959" s="7" t="s">
        <v>2086</v>
      </c>
      <c r="C959" s="91">
        <v>45716.41749319444</v>
      </c>
      <c r="D959" s="8">
        <f>IFERROR(_xlfn.WORKDAY.INTL(C959, 2),"-")</f>
        <v>45720</v>
      </c>
      <c r="E959" s="9" t="s">
        <v>206</v>
      </c>
      <c r="F959" s="10"/>
      <c r="G959" s="9" t="s">
        <v>11</v>
      </c>
      <c r="H959" s="7" t="s">
        <v>2087</v>
      </c>
      <c r="I959" s="9" t="s">
        <v>353</v>
      </c>
      <c r="J959" s="88"/>
    </row>
    <row r="960">
      <c r="A960" s="54"/>
      <c r="B960" s="7" t="s">
        <v>2088</v>
      </c>
      <c r="C960" s="91">
        <v>45798.63799351852</v>
      </c>
      <c r="D960" s="8"/>
      <c r="E960" s="9"/>
      <c r="F960" s="10"/>
      <c r="G960" s="9"/>
      <c r="H960" s="7" t="s">
        <v>2089</v>
      </c>
      <c r="I960" s="9" t="s">
        <v>353</v>
      </c>
      <c r="J960" s="88"/>
    </row>
    <row r="961">
      <c r="A961" s="102" t="s">
        <v>624</v>
      </c>
      <c r="B961" s="7" t="s">
        <v>2090</v>
      </c>
      <c r="C961" s="91">
        <v>45730.468035625</v>
      </c>
      <c r="D961" s="8">
        <f t="shared" ref="D961:D965" si="108">IFERROR(_xlfn.WORKDAY.INTL(C961, 2),"-")</f>
        <v>45734</v>
      </c>
      <c r="E961" s="9" t="s">
        <v>11</v>
      </c>
      <c r="F961" s="10"/>
      <c r="G961" s="9" t="s">
        <v>11</v>
      </c>
      <c r="H961" s="130" t="s">
        <v>2091</v>
      </c>
      <c r="I961" s="9" t="s">
        <v>353</v>
      </c>
      <c r="J961" s="88"/>
    </row>
    <row r="962">
      <c r="A962" s="54" t="s">
        <v>236</v>
      </c>
      <c r="B962" s="125" t="s">
        <v>2092</v>
      </c>
      <c r="C962" s="91">
        <v>45730.464724687496</v>
      </c>
      <c r="D962" s="8">
        <f t="shared" si="108"/>
        <v>45734</v>
      </c>
      <c r="E962" s="9" t="s">
        <v>11</v>
      </c>
      <c r="F962" s="10"/>
      <c r="G962" s="9" t="s">
        <v>15</v>
      </c>
      <c r="H962" s="7" t="s">
        <v>2093</v>
      </c>
      <c r="I962" s="9" t="s">
        <v>353</v>
      </c>
      <c r="J962" s="88"/>
    </row>
    <row r="963">
      <c r="A963" s="102" t="s">
        <v>624</v>
      </c>
      <c r="B963" s="95" t="s">
        <v>2094</v>
      </c>
      <c r="C963" s="91">
        <v>45540.51378046296</v>
      </c>
      <c r="D963" s="8">
        <f t="shared" si="108"/>
        <v>45544</v>
      </c>
      <c r="E963" s="9" t="s">
        <v>88</v>
      </c>
      <c r="F963" s="10"/>
      <c r="G963" s="9" t="s">
        <v>11</v>
      </c>
      <c r="H963" s="7" t="s">
        <v>2095</v>
      </c>
      <c r="I963" s="9" t="s">
        <v>353</v>
      </c>
      <c r="J963" s="88"/>
    </row>
    <row r="964">
      <c r="A964" s="102" t="s">
        <v>624</v>
      </c>
      <c r="B964" s="95" t="s">
        <v>2096</v>
      </c>
      <c r="C964" s="91">
        <v>45540.51378046296</v>
      </c>
      <c r="D964" s="8">
        <f t="shared" si="108"/>
        <v>45544</v>
      </c>
      <c r="E964" s="9" t="s">
        <v>88</v>
      </c>
      <c r="F964" s="10"/>
      <c r="G964" s="9" t="s">
        <v>11</v>
      </c>
      <c r="H964" s="7" t="s">
        <v>2097</v>
      </c>
      <c r="I964" s="9" t="s">
        <v>353</v>
      </c>
      <c r="J964" s="88"/>
    </row>
    <row r="965">
      <c r="A965" s="6" t="s">
        <v>9</v>
      </c>
      <c r="B965" s="7" t="s">
        <v>2098</v>
      </c>
      <c r="C965" s="91">
        <v>45789.37572190972</v>
      </c>
      <c r="D965" s="8">
        <f t="shared" si="108"/>
        <v>45791</v>
      </c>
      <c r="E965" s="9" t="s">
        <v>11</v>
      </c>
      <c r="F965" s="10"/>
      <c r="G965" s="9" t="s">
        <v>12</v>
      </c>
      <c r="H965" s="7" t="s">
        <v>2099</v>
      </c>
      <c r="I965" s="9" t="s">
        <v>353</v>
      </c>
      <c r="J965" s="88"/>
    </row>
    <row r="966">
      <c r="A966" s="54" t="s">
        <v>236</v>
      </c>
      <c r="B966" s="7" t="s">
        <v>2100</v>
      </c>
      <c r="C966" s="91">
        <v>45803.713019560186</v>
      </c>
      <c r="D966" s="8"/>
      <c r="E966" s="9"/>
      <c r="F966" s="10"/>
      <c r="G966" s="9"/>
      <c r="H966" s="7" t="s">
        <v>2101</v>
      </c>
      <c r="I966" s="9" t="s">
        <v>353</v>
      </c>
      <c r="J966" s="88"/>
    </row>
    <row r="967">
      <c r="A967" s="88"/>
      <c r="B967" s="89"/>
      <c r="C967" s="90"/>
      <c r="D967" s="89"/>
      <c r="E967" s="89"/>
      <c r="F967" s="89"/>
      <c r="G967" s="89"/>
      <c r="H967" s="87"/>
      <c r="I967" s="89"/>
      <c r="J967" s="88"/>
    </row>
    <row r="968">
      <c r="A968" s="6" t="s">
        <v>9</v>
      </c>
      <c r="B968" s="7" t="s">
        <v>2102</v>
      </c>
      <c r="C968" s="91">
        <v>45779.41736907407</v>
      </c>
      <c r="D968" s="8">
        <f t="shared" ref="D968:D974" si="109">IFERROR(_xlfn.WORKDAY.INTL(C968, 2),"-")</f>
        <v>45783</v>
      </c>
      <c r="E968" s="9" t="s">
        <v>11</v>
      </c>
      <c r="F968" s="10"/>
      <c r="G968" s="9" t="s">
        <v>18</v>
      </c>
      <c r="H968" s="7" t="s">
        <v>2103</v>
      </c>
      <c r="I968" s="9" t="s">
        <v>353</v>
      </c>
      <c r="J968" s="88"/>
    </row>
    <row r="969">
      <c r="A969" s="6" t="s">
        <v>9</v>
      </c>
      <c r="B969" s="7" t="s">
        <v>2104</v>
      </c>
      <c r="C969" s="91">
        <v>45799.65264530093</v>
      </c>
      <c r="D969" s="8">
        <f t="shared" si="109"/>
        <v>45803</v>
      </c>
      <c r="E969" s="9" t="s">
        <v>11</v>
      </c>
      <c r="F969" s="10"/>
      <c r="G969" s="9" t="s">
        <v>12</v>
      </c>
      <c r="H969" s="7" t="s">
        <v>2105</v>
      </c>
      <c r="I969" s="9" t="s">
        <v>353</v>
      </c>
      <c r="J969" s="88"/>
    </row>
    <row r="970">
      <c r="A970" s="6" t="s">
        <v>9</v>
      </c>
      <c r="B970" s="7" t="s">
        <v>2106</v>
      </c>
      <c r="C970" s="91">
        <v>45803.42561277778</v>
      </c>
      <c r="D970" s="8">
        <f t="shared" si="109"/>
        <v>45805</v>
      </c>
      <c r="E970" s="9" t="s">
        <v>11</v>
      </c>
      <c r="F970" s="10"/>
      <c r="G970" s="9" t="s">
        <v>18</v>
      </c>
      <c r="H970" s="7" t="s">
        <v>2107</v>
      </c>
      <c r="I970" s="9" t="s">
        <v>353</v>
      </c>
      <c r="J970" s="88"/>
    </row>
    <row r="971">
      <c r="A971" s="6" t="s">
        <v>9</v>
      </c>
      <c r="B971" s="7" t="s">
        <v>2108</v>
      </c>
      <c r="C971" s="91">
        <v>45803.42564601851</v>
      </c>
      <c r="D971" s="8">
        <f t="shared" si="109"/>
        <v>45805</v>
      </c>
      <c r="E971" s="9" t="s">
        <v>11</v>
      </c>
      <c r="F971" s="10"/>
      <c r="G971" s="9" t="s">
        <v>18</v>
      </c>
      <c r="H971" s="7" t="s">
        <v>2109</v>
      </c>
      <c r="I971" s="9" t="s">
        <v>353</v>
      </c>
      <c r="J971" s="88"/>
    </row>
    <row r="972">
      <c r="A972" s="6" t="s">
        <v>9</v>
      </c>
      <c r="B972" s="7" t="s">
        <v>2110</v>
      </c>
      <c r="C972" s="91">
        <v>45800.37978122685</v>
      </c>
      <c r="D972" s="8">
        <f t="shared" si="109"/>
        <v>45804</v>
      </c>
      <c r="E972" s="9" t="s">
        <v>11</v>
      </c>
      <c r="F972" s="10"/>
      <c r="G972" s="9" t="s">
        <v>15</v>
      </c>
      <c r="H972" s="7" t="s">
        <v>2111</v>
      </c>
      <c r="I972" s="9" t="s">
        <v>353</v>
      </c>
      <c r="J972" s="88"/>
    </row>
    <row r="973">
      <c r="A973" s="6" t="s">
        <v>9</v>
      </c>
      <c r="B973" s="7" t="s">
        <v>2112</v>
      </c>
      <c r="C973" s="91">
        <v>45798.6750203588</v>
      </c>
      <c r="D973" s="8">
        <f t="shared" si="109"/>
        <v>45800</v>
      </c>
      <c r="E973" s="9" t="s">
        <v>11</v>
      </c>
      <c r="F973" s="10"/>
      <c r="G973" s="9" t="s">
        <v>12</v>
      </c>
      <c r="H973" s="7" t="s">
        <v>2113</v>
      </c>
      <c r="I973" s="9" t="s">
        <v>353</v>
      </c>
      <c r="J973" s="88"/>
    </row>
    <row r="974">
      <c r="A974" s="6" t="s">
        <v>9</v>
      </c>
      <c r="B974" s="7" t="s">
        <v>2114</v>
      </c>
      <c r="C974" s="91">
        <v>45790.5823775</v>
      </c>
      <c r="D974" s="8">
        <f t="shared" si="109"/>
        <v>45792</v>
      </c>
      <c r="E974" s="9" t="s">
        <v>11</v>
      </c>
      <c r="F974" s="10"/>
      <c r="G974" s="9" t="s">
        <v>15</v>
      </c>
      <c r="H974" s="7" t="s">
        <v>2115</v>
      </c>
      <c r="I974" s="9" t="s">
        <v>353</v>
      </c>
      <c r="J974" s="88"/>
    </row>
    <row r="975">
      <c r="A975" s="54" t="s">
        <v>236</v>
      </c>
      <c r="B975" s="67" t="s">
        <v>2116</v>
      </c>
      <c r="C975" s="91">
        <v>45779.44446006944</v>
      </c>
      <c r="D975" s="8"/>
      <c r="E975" s="9"/>
      <c r="F975" s="10"/>
      <c r="G975" s="9" t="s">
        <v>15</v>
      </c>
      <c r="H975" s="7" t="s">
        <v>2117</v>
      </c>
      <c r="I975" s="9" t="s">
        <v>353</v>
      </c>
      <c r="J975" s="88"/>
    </row>
    <row r="976">
      <c r="A976" s="6" t="s">
        <v>9</v>
      </c>
      <c r="B976" s="7" t="s">
        <v>2118</v>
      </c>
      <c r="C976" s="91">
        <v>45790.58235118055</v>
      </c>
      <c r="D976" s="8">
        <f t="shared" ref="D976:D982" si="110">IFERROR(_xlfn.WORKDAY.INTL(C976, 2),"-")</f>
        <v>45792</v>
      </c>
      <c r="E976" s="9" t="s">
        <v>11</v>
      </c>
      <c r="F976" s="10"/>
      <c r="G976" s="9" t="s">
        <v>18</v>
      </c>
      <c r="H976" s="7" t="s">
        <v>2119</v>
      </c>
      <c r="I976" s="9" t="s">
        <v>353</v>
      </c>
      <c r="J976" s="88"/>
    </row>
    <row r="977">
      <c r="A977" s="6" t="s">
        <v>9</v>
      </c>
      <c r="B977" s="7" t="s">
        <v>2120</v>
      </c>
      <c r="C977" s="91">
        <v>45797.58803673611</v>
      </c>
      <c r="D977" s="8">
        <f t="shared" si="110"/>
        <v>45799</v>
      </c>
      <c r="E977" s="9" t="s">
        <v>11</v>
      </c>
      <c r="F977" s="10"/>
      <c r="G977" s="9" t="s">
        <v>18</v>
      </c>
      <c r="H977" s="11"/>
      <c r="I977" s="9" t="s">
        <v>353</v>
      </c>
      <c r="J977" s="88"/>
    </row>
    <row r="978">
      <c r="A978" s="6" t="s">
        <v>9</v>
      </c>
      <c r="B978" s="7" t="s">
        <v>2121</v>
      </c>
      <c r="C978" s="91">
        <v>45777.40433104167</v>
      </c>
      <c r="D978" s="8">
        <f t="shared" si="110"/>
        <v>45779</v>
      </c>
      <c r="E978" s="9" t="s">
        <v>11</v>
      </c>
      <c r="F978" s="10"/>
      <c r="G978" s="9" t="s">
        <v>15</v>
      </c>
      <c r="H978" s="7" t="s">
        <v>2122</v>
      </c>
      <c r="I978" s="9" t="s">
        <v>353</v>
      </c>
      <c r="J978" s="88"/>
    </row>
    <row r="979">
      <c r="A979" s="6" t="s">
        <v>9</v>
      </c>
      <c r="B979" s="7" t="s">
        <v>2123</v>
      </c>
      <c r="C979" s="91">
        <v>45791.36444734954</v>
      </c>
      <c r="D979" s="8">
        <f t="shared" si="110"/>
        <v>45793</v>
      </c>
      <c r="E979" s="9" t="s">
        <v>11</v>
      </c>
      <c r="F979" s="10"/>
      <c r="G979" s="9" t="s">
        <v>15</v>
      </c>
      <c r="H979" s="7" t="s">
        <v>2124</v>
      </c>
      <c r="I979" s="9" t="s">
        <v>353</v>
      </c>
      <c r="J979" s="88"/>
    </row>
    <row r="980">
      <c r="A980" s="6" t="s">
        <v>9</v>
      </c>
      <c r="B980" s="7" t="s">
        <v>2125</v>
      </c>
      <c r="C980" s="91">
        <v>45796.59575692129</v>
      </c>
      <c r="D980" s="8">
        <f t="shared" si="110"/>
        <v>45798</v>
      </c>
      <c r="E980" s="9" t="s">
        <v>11</v>
      </c>
      <c r="F980" s="10"/>
      <c r="G980" s="9" t="s">
        <v>12</v>
      </c>
      <c r="H980" s="7" t="s">
        <v>2126</v>
      </c>
      <c r="I980" s="9" t="s">
        <v>353</v>
      </c>
      <c r="J980" s="88"/>
    </row>
    <row r="981">
      <c r="A981" s="6" t="s">
        <v>9</v>
      </c>
      <c r="B981" s="7" t="s">
        <v>2127</v>
      </c>
      <c r="C981" s="91">
        <v>45748.4756981713</v>
      </c>
      <c r="D981" s="8">
        <f t="shared" si="110"/>
        <v>45750</v>
      </c>
      <c r="E981" s="9" t="s">
        <v>11</v>
      </c>
      <c r="F981" s="10"/>
      <c r="G981" s="9" t="s">
        <v>15</v>
      </c>
      <c r="H981" s="7" t="s">
        <v>2128</v>
      </c>
      <c r="I981" s="9" t="s">
        <v>353</v>
      </c>
      <c r="J981" s="88"/>
    </row>
    <row r="982">
      <c r="A982" s="6" t="s">
        <v>9</v>
      </c>
      <c r="B982" s="7" t="s">
        <v>2129</v>
      </c>
      <c r="C982" s="91">
        <v>45791.36420795139</v>
      </c>
      <c r="D982" s="8">
        <f t="shared" si="110"/>
        <v>45793</v>
      </c>
      <c r="E982" s="9" t="s">
        <v>11</v>
      </c>
      <c r="F982" s="10"/>
      <c r="G982" s="9" t="s">
        <v>12</v>
      </c>
      <c r="H982" s="7" t="s">
        <v>2130</v>
      </c>
      <c r="I982" s="9" t="s">
        <v>353</v>
      </c>
      <c r="J982" s="88"/>
    </row>
    <row r="983">
      <c r="A983" s="54" t="s">
        <v>236</v>
      </c>
      <c r="B983" s="7" t="s">
        <v>2131</v>
      </c>
      <c r="C983" s="91">
        <v>45792.60448763889</v>
      </c>
      <c r="D983" s="8"/>
      <c r="E983" s="9"/>
      <c r="F983" s="10"/>
      <c r="G983" s="9"/>
      <c r="H983" s="7" t="s">
        <v>2132</v>
      </c>
      <c r="I983" s="9" t="s">
        <v>353</v>
      </c>
      <c r="J983" s="88"/>
    </row>
    <row r="984">
      <c r="A984" s="54" t="s">
        <v>236</v>
      </c>
      <c r="B984" s="7" t="s">
        <v>2133</v>
      </c>
      <c r="C984" s="91">
        <v>45779.44980746528</v>
      </c>
      <c r="D984" s="8"/>
      <c r="E984" s="9"/>
      <c r="F984" s="10"/>
      <c r="G984" s="9" t="s">
        <v>15</v>
      </c>
      <c r="H984" s="7" t="s">
        <v>2134</v>
      </c>
      <c r="I984" s="9" t="s">
        <v>353</v>
      </c>
      <c r="J984" s="88"/>
    </row>
    <row r="985">
      <c r="A985" s="54" t="s">
        <v>236</v>
      </c>
      <c r="B985" s="7" t="s">
        <v>2135</v>
      </c>
      <c r="C985" s="91">
        <v>45779.448756134254</v>
      </c>
      <c r="D985" s="8"/>
      <c r="E985" s="9"/>
      <c r="F985" s="10"/>
      <c r="G985" s="9" t="s">
        <v>15</v>
      </c>
      <c r="H985" s="7" t="s">
        <v>2136</v>
      </c>
      <c r="I985" s="9" t="s">
        <v>353</v>
      </c>
      <c r="J985" s="88"/>
    </row>
    <row r="986">
      <c r="A986" s="78" t="s">
        <v>334</v>
      </c>
      <c r="B986" s="43" t="s">
        <v>2137</v>
      </c>
      <c r="C986" s="119">
        <v>45784.0</v>
      </c>
      <c r="D986" s="80">
        <f t="shared" ref="D986:D998" si="111">IFERROR(_xlfn.WORKDAY.INTL(C986, 2),"-")</f>
        <v>45786</v>
      </c>
      <c r="E986" s="9" t="s">
        <v>1128</v>
      </c>
      <c r="F986" s="10"/>
      <c r="G986" s="9" t="s">
        <v>220</v>
      </c>
      <c r="H986" s="11"/>
      <c r="I986" s="9" t="s">
        <v>353</v>
      </c>
      <c r="J986" s="88"/>
    </row>
    <row r="987">
      <c r="A987" s="78" t="s">
        <v>334</v>
      </c>
      <c r="B987" s="43" t="s">
        <v>2138</v>
      </c>
      <c r="C987" s="119">
        <v>45784.0</v>
      </c>
      <c r="D987" s="80">
        <f t="shared" si="111"/>
        <v>45786</v>
      </c>
      <c r="E987" s="9" t="s">
        <v>1097</v>
      </c>
      <c r="F987" s="10"/>
      <c r="G987" s="9" t="s">
        <v>220</v>
      </c>
      <c r="H987" s="11"/>
      <c r="I987" s="9" t="s">
        <v>353</v>
      </c>
      <c r="J987" s="88"/>
    </row>
    <row r="988">
      <c r="A988" s="78" t="s">
        <v>334</v>
      </c>
      <c r="B988" s="43" t="s">
        <v>515</v>
      </c>
      <c r="C988" s="119">
        <v>45783.0</v>
      </c>
      <c r="D988" s="80">
        <f t="shared" si="111"/>
        <v>45785</v>
      </c>
      <c r="E988" s="9"/>
      <c r="F988" s="10"/>
      <c r="G988" s="9" t="s">
        <v>220</v>
      </c>
      <c r="H988" s="11"/>
      <c r="I988" s="9" t="s">
        <v>353</v>
      </c>
      <c r="J988" s="88"/>
    </row>
    <row r="989">
      <c r="A989" s="78" t="s">
        <v>334</v>
      </c>
      <c r="B989" s="43" t="s">
        <v>2139</v>
      </c>
      <c r="C989" s="119">
        <v>45775.0</v>
      </c>
      <c r="D989" s="80">
        <f t="shared" si="111"/>
        <v>45777</v>
      </c>
      <c r="E989" s="9" t="s">
        <v>1128</v>
      </c>
      <c r="F989" s="10"/>
      <c r="G989" s="9" t="s">
        <v>15</v>
      </c>
      <c r="H989" s="7" t="s">
        <v>2005</v>
      </c>
      <c r="I989" s="9" t="s">
        <v>353</v>
      </c>
      <c r="J989" s="88"/>
    </row>
    <row r="990">
      <c r="A990" s="78" t="s">
        <v>334</v>
      </c>
      <c r="B990" s="43" t="s">
        <v>2140</v>
      </c>
      <c r="C990" s="119">
        <v>45782.0</v>
      </c>
      <c r="D990" s="80">
        <f t="shared" si="111"/>
        <v>45784</v>
      </c>
      <c r="E990" s="9" t="s">
        <v>1128</v>
      </c>
      <c r="F990" s="10"/>
      <c r="G990" s="9" t="s">
        <v>220</v>
      </c>
      <c r="H990" s="11"/>
      <c r="I990" s="9" t="s">
        <v>353</v>
      </c>
      <c r="J990" s="88"/>
    </row>
    <row r="991">
      <c r="A991" s="78" t="s">
        <v>334</v>
      </c>
      <c r="B991" s="43" t="s">
        <v>2141</v>
      </c>
      <c r="C991" s="119">
        <v>45769.0</v>
      </c>
      <c r="D991" s="80">
        <f t="shared" si="111"/>
        <v>45771</v>
      </c>
      <c r="E991" s="9" t="s">
        <v>1097</v>
      </c>
      <c r="F991" s="10"/>
      <c r="G991" s="9" t="s">
        <v>220</v>
      </c>
      <c r="H991" s="7" t="s">
        <v>2142</v>
      </c>
      <c r="I991" s="9" t="s">
        <v>353</v>
      </c>
      <c r="J991" s="88"/>
    </row>
    <row r="992">
      <c r="A992" s="78" t="s">
        <v>334</v>
      </c>
      <c r="B992" s="43" t="s">
        <v>2143</v>
      </c>
      <c r="C992" s="119">
        <v>45776.0</v>
      </c>
      <c r="D992" s="80">
        <f t="shared" si="111"/>
        <v>45778</v>
      </c>
      <c r="E992" s="9" t="s">
        <v>1128</v>
      </c>
      <c r="F992" s="10"/>
      <c r="G992" s="9" t="s">
        <v>15</v>
      </c>
      <c r="H992" s="7" t="s">
        <v>2005</v>
      </c>
      <c r="I992" s="9" t="s">
        <v>353</v>
      </c>
      <c r="J992" s="88"/>
    </row>
    <row r="993">
      <c r="A993" s="78" t="s">
        <v>334</v>
      </c>
      <c r="B993" s="43" t="s">
        <v>2144</v>
      </c>
      <c r="C993" s="119">
        <v>45772.48079868055</v>
      </c>
      <c r="D993" s="80">
        <f t="shared" si="111"/>
        <v>45776</v>
      </c>
      <c r="E993" s="9" t="s">
        <v>1123</v>
      </c>
      <c r="F993" s="10"/>
      <c r="G993" s="9" t="s">
        <v>15</v>
      </c>
      <c r="H993" s="7" t="s">
        <v>2145</v>
      </c>
      <c r="I993" s="9" t="s">
        <v>353</v>
      </c>
      <c r="J993" s="88"/>
    </row>
    <row r="994">
      <c r="A994" s="78" t="s">
        <v>334</v>
      </c>
      <c r="B994" s="43" t="s">
        <v>2146</v>
      </c>
      <c r="C994" s="119">
        <v>45747.72175300926</v>
      </c>
      <c r="D994" s="80">
        <f t="shared" si="111"/>
        <v>45749</v>
      </c>
      <c r="E994" s="9" t="s">
        <v>1489</v>
      </c>
      <c r="F994" s="10"/>
      <c r="G994" s="9" t="s">
        <v>18</v>
      </c>
      <c r="H994" s="7" t="s">
        <v>2147</v>
      </c>
      <c r="I994" s="9" t="s">
        <v>353</v>
      </c>
      <c r="J994" s="88"/>
    </row>
    <row r="995">
      <c r="A995" s="78" t="s">
        <v>334</v>
      </c>
      <c r="B995" s="43" t="s">
        <v>2148</v>
      </c>
      <c r="C995" s="91">
        <v>45723.0</v>
      </c>
      <c r="D995" s="10">
        <f t="shared" si="111"/>
        <v>45727</v>
      </c>
      <c r="E995" s="9" t="s">
        <v>1123</v>
      </c>
      <c r="F995" s="10"/>
      <c r="G995" s="9" t="s">
        <v>15</v>
      </c>
      <c r="H995" s="7" t="s">
        <v>2149</v>
      </c>
      <c r="I995" s="9" t="s">
        <v>353</v>
      </c>
      <c r="J995" s="88"/>
    </row>
    <row r="996">
      <c r="A996" s="78" t="s">
        <v>334</v>
      </c>
      <c r="B996" s="43" t="s">
        <v>2150</v>
      </c>
      <c r="C996" s="119">
        <v>45747.72263537037</v>
      </c>
      <c r="D996" s="80">
        <f t="shared" si="111"/>
        <v>45749</v>
      </c>
      <c r="E996" s="9" t="s">
        <v>1128</v>
      </c>
      <c r="F996" s="10"/>
      <c r="G996" s="9" t="s">
        <v>18</v>
      </c>
      <c r="H996" s="7" t="s">
        <v>2151</v>
      </c>
      <c r="I996" s="9" t="s">
        <v>353</v>
      </c>
      <c r="J996" s="88"/>
    </row>
    <row r="997">
      <c r="A997" s="78" t="s">
        <v>334</v>
      </c>
      <c r="B997" s="43" t="s">
        <v>2152</v>
      </c>
      <c r="C997" s="119">
        <v>45772.47778289352</v>
      </c>
      <c r="D997" s="80">
        <f t="shared" si="111"/>
        <v>45776</v>
      </c>
      <c r="E997" s="9" t="s">
        <v>1128</v>
      </c>
      <c r="F997" s="10"/>
      <c r="G997" s="9" t="s">
        <v>18</v>
      </c>
      <c r="H997" s="7" t="s">
        <v>2153</v>
      </c>
      <c r="I997" s="9" t="s">
        <v>353</v>
      </c>
      <c r="J997" s="88"/>
    </row>
    <row r="998">
      <c r="A998" s="78" t="s">
        <v>334</v>
      </c>
      <c r="B998" s="43" t="s">
        <v>2154</v>
      </c>
      <c r="C998" s="119">
        <v>45764.0</v>
      </c>
      <c r="D998" s="80">
        <f t="shared" si="111"/>
        <v>45768</v>
      </c>
      <c r="E998" s="9" t="s">
        <v>1128</v>
      </c>
      <c r="F998" s="10"/>
      <c r="G998" s="9" t="s">
        <v>18</v>
      </c>
      <c r="H998" s="7" t="s">
        <v>2155</v>
      </c>
      <c r="I998" s="9" t="s">
        <v>353</v>
      </c>
      <c r="J998" s="88"/>
    </row>
    <row r="999">
      <c r="A999" s="20" t="s">
        <v>98</v>
      </c>
      <c r="B999" s="9" t="s">
        <v>2156</v>
      </c>
      <c r="C999" s="91">
        <v>45779.334988877315</v>
      </c>
      <c r="D999" s="8"/>
      <c r="E999" s="9"/>
      <c r="F999" s="10"/>
      <c r="G999" s="9" t="s">
        <v>15</v>
      </c>
      <c r="H999" s="22" t="s">
        <v>2157</v>
      </c>
      <c r="I999" s="9" t="s">
        <v>353</v>
      </c>
      <c r="J999" s="88"/>
    </row>
    <row r="1000">
      <c r="A1000" s="6" t="s">
        <v>9</v>
      </c>
      <c r="B1000" s="7" t="s">
        <v>2158</v>
      </c>
      <c r="C1000" s="91">
        <v>45779.41725534722</v>
      </c>
      <c r="D1000" s="8">
        <f>IFERROR(_xlfn.WORKDAY.INTL(C1000, 2),"-")</f>
        <v>45783</v>
      </c>
      <c r="E1000" s="9" t="s">
        <v>11</v>
      </c>
      <c r="F1000" s="10"/>
      <c r="G1000" s="9" t="s">
        <v>15</v>
      </c>
      <c r="H1000" s="7" t="s">
        <v>2159</v>
      </c>
      <c r="I1000" s="9" t="s">
        <v>353</v>
      </c>
      <c r="J1000" s="88"/>
    </row>
    <row r="1001">
      <c r="A1001" s="20" t="s">
        <v>98</v>
      </c>
      <c r="B1001" s="9" t="s">
        <v>2160</v>
      </c>
      <c r="C1001" s="91">
        <v>45789.69728125</v>
      </c>
      <c r="D1001" s="8"/>
      <c r="E1001" s="9"/>
      <c r="F1001" s="10"/>
      <c r="G1001" s="9" t="s">
        <v>15</v>
      </c>
      <c r="H1001" s="7" t="s">
        <v>2161</v>
      </c>
      <c r="I1001" s="9" t="s">
        <v>353</v>
      </c>
      <c r="J1001" s="88"/>
    </row>
    <row r="1002">
      <c r="A1002" s="20" t="s">
        <v>98</v>
      </c>
      <c r="B1002" s="9" t="s">
        <v>2162</v>
      </c>
      <c r="C1002" s="91">
        <v>45770.357106446754</v>
      </c>
      <c r="D1002" s="8"/>
      <c r="E1002" s="9"/>
      <c r="F1002" s="10"/>
      <c r="G1002" s="9" t="s">
        <v>15</v>
      </c>
      <c r="H1002" s="22" t="s">
        <v>2163</v>
      </c>
      <c r="I1002" s="9" t="s">
        <v>353</v>
      </c>
      <c r="J1002" s="88"/>
    </row>
    <row r="1003">
      <c r="A1003" s="6" t="s">
        <v>9</v>
      </c>
      <c r="B1003" s="7" t="s">
        <v>2164</v>
      </c>
      <c r="C1003" s="91">
        <v>45770.41061328704</v>
      </c>
      <c r="D1003" s="8">
        <f t="shared" ref="D1003:D1005" si="112">IFERROR(_xlfn.WORKDAY.INTL(C1003, 2),"-")</f>
        <v>45772</v>
      </c>
      <c r="E1003" s="9" t="s">
        <v>11</v>
      </c>
      <c r="F1003" s="10"/>
      <c r="G1003" s="9" t="s">
        <v>15</v>
      </c>
      <c r="H1003" s="7" t="s">
        <v>2165</v>
      </c>
      <c r="I1003" s="9" t="s">
        <v>353</v>
      </c>
      <c r="J1003" s="88"/>
    </row>
    <row r="1004">
      <c r="A1004" s="6" t="s">
        <v>9</v>
      </c>
      <c r="B1004" s="133" t="s">
        <v>2166</v>
      </c>
      <c r="C1004" s="91">
        <v>45715.36862886574</v>
      </c>
      <c r="D1004" s="8">
        <f t="shared" si="112"/>
        <v>45719</v>
      </c>
      <c r="E1004" s="9" t="s">
        <v>11</v>
      </c>
      <c r="F1004" s="10"/>
      <c r="G1004" s="9" t="s">
        <v>21</v>
      </c>
      <c r="H1004" s="7" t="s">
        <v>2167</v>
      </c>
      <c r="I1004" s="9" t="s">
        <v>353</v>
      </c>
      <c r="J1004" s="88"/>
    </row>
    <row r="1005">
      <c r="A1005" s="6" t="s">
        <v>9</v>
      </c>
      <c r="B1005" s="7" t="s">
        <v>2168</v>
      </c>
      <c r="C1005" s="91">
        <v>45791.36436917824</v>
      </c>
      <c r="D1005" s="8">
        <f t="shared" si="112"/>
        <v>45793</v>
      </c>
      <c r="E1005" s="9" t="s">
        <v>11</v>
      </c>
      <c r="F1005" s="10"/>
      <c r="G1005" s="9" t="s">
        <v>15</v>
      </c>
      <c r="H1005" s="7" t="s">
        <v>2124</v>
      </c>
      <c r="I1005" s="9" t="s">
        <v>353</v>
      </c>
      <c r="J1005" s="88"/>
    </row>
    <row r="1006">
      <c r="A1006" s="20" t="s">
        <v>98</v>
      </c>
      <c r="B1006" s="9" t="s">
        <v>2169</v>
      </c>
      <c r="C1006" s="91">
        <v>45790.48358266204</v>
      </c>
      <c r="D1006" s="8"/>
      <c r="E1006" s="9"/>
      <c r="F1006" s="10"/>
      <c r="G1006" s="9" t="s">
        <v>15</v>
      </c>
      <c r="H1006" s="7" t="s">
        <v>2170</v>
      </c>
      <c r="I1006" s="9" t="s">
        <v>353</v>
      </c>
      <c r="J1006" s="88"/>
    </row>
    <row r="1007">
      <c r="A1007" s="20" t="s">
        <v>98</v>
      </c>
      <c r="B1007" s="9" t="s">
        <v>2171</v>
      </c>
      <c r="C1007" s="91">
        <v>45789.608003078705</v>
      </c>
      <c r="D1007" s="8"/>
      <c r="E1007" s="9"/>
      <c r="F1007" s="10"/>
      <c r="G1007" s="9" t="s">
        <v>15</v>
      </c>
      <c r="H1007" s="7" t="s">
        <v>2172</v>
      </c>
      <c r="I1007" s="9" t="s">
        <v>353</v>
      </c>
      <c r="J1007" s="88"/>
    </row>
    <row r="1008">
      <c r="A1008" s="20" t="s">
        <v>98</v>
      </c>
      <c r="B1008" s="9" t="s">
        <v>2173</v>
      </c>
      <c r="C1008" s="91">
        <v>45777.42065053241</v>
      </c>
      <c r="D1008" s="8"/>
      <c r="E1008" s="9"/>
      <c r="F1008" s="10"/>
      <c r="G1008" s="9" t="s">
        <v>18</v>
      </c>
      <c r="H1008" s="7" t="s">
        <v>2174</v>
      </c>
      <c r="I1008" s="9" t="s">
        <v>353</v>
      </c>
      <c r="J1008" s="88"/>
    </row>
    <row r="1009">
      <c r="A1009" s="6" t="s">
        <v>9</v>
      </c>
      <c r="B1009" s="7" t="s">
        <v>2175</v>
      </c>
      <c r="C1009" s="91">
        <v>45789.375595844904</v>
      </c>
      <c r="D1009" s="8">
        <f t="shared" ref="D1009:D1010" si="113">IFERROR(_xlfn.WORKDAY.INTL(C1009, 2),"-")</f>
        <v>45791</v>
      </c>
      <c r="E1009" s="9" t="s">
        <v>11</v>
      </c>
      <c r="F1009" s="10"/>
      <c r="G1009" s="9" t="s">
        <v>15</v>
      </c>
      <c r="H1009" s="7" t="s">
        <v>2176</v>
      </c>
      <c r="I1009" s="9" t="s">
        <v>353</v>
      </c>
      <c r="J1009" s="88"/>
    </row>
    <row r="1010">
      <c r="A1010" s="6" t="s">
        <v>9</v>
      </c>
      <c r="B1010" s="7" t="s">
        <v>2177</v>
      </c>
      <c r="C1010" s="91">
        <v>45322.401519340274</v>
      </c>
      <c r="D1010" s="8">
        <f t="shared" si="113"/>
        <v>45324</v>
      </c>
      <c r="E1010" s="9" t="s">
        <v>88</v>
      </c>
      <c r="F1010" s="10"/>
      <c r="G1010" s="9" t="s">
        <v>15</v>
      </c>
      <c r="H1010" s="134" t="s">
        <v>2178</v>
      </c>
      <c r="I1010" s="9" t="s">
        <v>353</v>
      </c>
      <c r="J1010" s="88"/>
    </row>
    <row r="1011">
      <c r="A1011" s="20" t="s">
        <v>98</v>
      </c>
      <c r="B1011" s="9" t="s">
        <v>2179</v>
      </c>
      <c r="C1011" s="91">
        <v>45756.42047803241</v>
      </c>
      <c r="D1011" s="8"/>
      <c r="E1011" s="9"/>
      <c r="F1011" s="10"/>
      <c r="G1011" s="9" t="s">
        <v>15</v>
      </c>
      <c r="H1011" s="22" t="s">
        <v>2180</v>
      </c>
      <c r="I1011" s="9" t="s">
        <v>353</v>
      </c>
      <c r="J1011" s="88"/>
    </row>
    <row r="1012">
      <c r="A1012" s="20" t="s">
        <v>98</v>
      </c>
      <c r="B1012" s="9" t="s">
        <v>2181</v>
      </c>
      <c r="C1012" s="91">
        <v>45784.59888851852</v>
      </c>
      <c r="D1012" s="8"/>
      <c r="E1012" s="9"/>
      <c r="F1012" s="10"/>
      <c r="G1012" s="9" t="s">
        <v>18</v>
      </c>
      <c r="H1012" s="7" t="s">
        <v>2182</v>
      </c>
      <c r="I1012" s="9" t="s">
        <v>353</v>
      </c>
      <c r="J1012" s="88"/>
    </row>
    <row r="1013">
      <c r="A1013" s="6" t="s">
        <v>9</v>
      </c>
      <c r="B1013" s="7" t="s">
        <v>2183</v>
      </c>
      <c r="C1013" s="91">
        <v>45789.56857131944</v>
      </c>
      <c r="D1013" s="8">
        <f>IFERROR(_xlfn.WORKDAY.INTL(C1013, 2),"-")</f>
        <v>45791</v>
      </c>
      <c r="E1013" s="9" t="s">
        <v>11</v>
      </c>
      <c r="F1013" s="10"/>
      <c r="G1013" s="9" t="s">
        <v>15</v>
      </c>
      <c r="H1013" s="7" t="s">
        <v>2184</v>
      </c>
      <c r="I1013" s="9" t="s">
        <v>353</v>
      </c>
      <c r="J1013" s="88"/>
    </row>
    <row r="1014">
      <c r="A1014" s="20" t="s">
        <v>98</v>
      </c>
      <c r="B1014" s="9" t="s">
        <v>2185</v>
      </c>
      <c r="C1014" s="91">
        <v>45789.665949270835</v>
      </c>
      <c r="D1014" s="8"/>
      <c r="E1014" s="9"/>
      <c r="F1014" s="10"/>
      <c r="G1014" s="9" t="s">
        <v>18</v>
      </c>
      <c r="H1014" s="7" t="s">
        <v>2186</v>
      </c>
      <c r="I1014" s="9" t="s">
        <v>353</v>
      </c>
      <c r="J1014" s="88"/>
    </row>
    <row r="1015">
      <c r="A1015" s="20" t="s">
        <v>98</v>
      </c>
      <c r="B1015" s="9" t="s">
        <v>2187</v>
      </c>
      <c r="C1015" s="91">
        <v>45765.373161365744</v>
      </c>
      <c r="D1015" s="8"/>
      <c r="E1015" s="9"/>
      <c r="F1015" s="10"/>
      <c r="G1015" s="9" t="s">
        <v>15</v>
      </c>
      <c r="H1015" s="23" t="s">
        <v>2188</v>
      </c>
      <c r="I1015" s="9" t="s">
        <v>353</v>
      </c>
      <c r="J1015" s="88"/>
    </row>
    <row r="1016">
      <c r="A1016" s="20" t="s">
        <v>98</v>
      </c>
      <c r="B1016" s="9" t="s">
        <v>2189</v>
      </c>
      <c r="C1016" s="91">
        <v>45782.48684167824</v>
      </c>
      <c r="D1016" s="8"/>
      <c r="E1016" s="9" t="s">
        <v>88</v>
      </c>
      <c r="F1016" s="10"/>
      <c r="G1016" s="9" t="s">
        <v>15</v>
      </c>
      <c r="H1016" s="7" t="s">
        <v>2190</v>
      </c>
      <c r="I1016" s="9" t="s">
        <v>353</v>
      </c>
      <c r="J1016" s="88"/>
    </row>
    <row r="1017">
      <c r="A1017" s="6" t="s">
        <v>9</v>
      </c>
      <c r="B1017" s="7" t="s">
        <v>2191</v>
      </c>
      <c r="C1017" s="91">
        <v>45786.404171030095</v>
      </c>
      <c r="D1017" s="8">
        <f>IFERROR(_xlfn.WORKDAY.INTL(C1017, 2),"-")</f>
        <v>45790</v>
      </c>
      <c r="E1017" s="9" t="s">
        <v>11</v>
      </c>
      <c r="F1017" s="10"/>
      <c r="G1017" s="9" t="s">
        <v>18</v>
      </c>
      <c r="H1017" s="11"/>
      <c r="I1017" s="9" t="s">
        <v>353</v>
      </c>
      <c r="J1017" s="88"/>
    </row>
    <row r="1018">
      <c r="A1018" s="20" t="s">
        <v>98</v>
      </c>
      <c r="B1018" s="9" t="s">
        <v>2192</v>
      </c>
      <c r="C1018" s="91">
        <v>45719.36999886574</v>
      </c>
      <c r="D1018" s="8"/>
      <c r="E1018" s="9"/>
      <c r="F1018" s="10"/>
      <c r="G1018" s="9" t="s">
        <v>18</v>
      </c>
      <c r="H1018" s="7" t="s">
        <v>2193</v>
      </c>
      <c r="I1018" s="9" t="s">
        <v>353</v>
      </c>
      <c r="J1018" s="88"/>
    </row>
    <row r="1019">
      <c r="A1019" s="20" t="s">
        <v>98</v>
      </c>
      <c r="B1019" s="9" t="s">
        <v>2194</v>
      </c>
      <c r="C1019" s="91">
        <v>45784.487816030094</v>
      </c>
      <c r="D1019" s="8"/>
      <c r="E1019" s="9"/>
      <c r="F1019" s="10"/>
      <c r="G1019" s="9" t="s">
        <v>18</v>
      </c>
      <c r="H1019" s="7" t="s">
        <v>2195</v>
      </c>
      <c r="I1019" s="9" t="s">
        <v>353</v>
      </c>
      <c r="J1019" s="88"/>
    </row>
    <row r="1020">
      <c r="A1020" s="20" t="s">
        <v>98</v>
      </c>
      <c r="B1020" s="9" t="s">
        <v>2196</v>
      </c>
      <c r="C1020" s="91">
        <v>45714.36915622685</v>
      </c>
      <c r="D1020" s="8"/>
      <c r="E1020" s="9"/>
      <c r="F1020" s="10"/>
      <c r="G1020" s="9" t="s">
        <v>15</v>
      </c>
      <c r="H1020" s="7" t="s">
        <v>2197</v>
      </c>
      <c r="I1020" s="9" t="s">
        <v>353</v>
      </c>
      <c r="J1020" s="88"/>
    </row>
    <row r="1021">
      <c r="A1021" s="20" t="s">
        <v>98</v>
      </c>
      <c r="B1021" s="9" t="s">
        <v>2198</v>
      </c>
      <c r="C1021" s="91">
        <v>45735.65350354167</v>
      </c>
      <c r="D1021" s="8"/>
      <c r="E1021" s="9"/>
      <c r="F1021" s="10"/>
      <c r="G1021" s="9" t="s">
        <v>18</v>
      </c>
      <c r="H1021" s="22" t="s">
        <v>2199</v>
      </c>
      <c r="I1021" s="9" t="s">
        <v>353</v>
      </c>
      <c r="J1021" s="88"/>
    </row>
    <row r="1022">
      <c r="A1022" s="20" t="s">
        <v>98</v>
      </c>
      <c r="B1022" s="9" t="s">
        <v>2200</v>
      </c>
      <c r="C1022" s="91">
        <v>45776.65464700232</v>
      </c>
      <c r="D1022" s="8"/>
      <c r="E1022" s="9"/>
      <c r="F1022" s="10"/>
      <c r="G1022" s="9" t="s">
        <v>15</v>
      </c>
      <c r="H1022" s="7" t="s">
        <v>2201</v>
      </c>
      <c r="I1022" s="9" t="s">
        <v>353</v>
      </c>
      <c r="J1022" s="88"/>
    </row>
    <row r="1023">
      <c r="A1023" s="20" t="s">
        <v>98</v>
      </c>
      <c r="B1023" s="9" t="s">
        <v>2202</v>
      </c>
      <c r="C1023" s="91">
        <v>45735.683306377316</v>
      </c>
      <c r="D1023" s="8"/>
      <c r="E1023" s="9"/>
      <c r="F1023" s="10"/>
      <c r="G1023" s="9" t="s">
        <v>15</v>
      </c>
      <c r="H1023" s="7" t="s">
        <v>2203</v>
      </c>
      <c r="I1023" s="9" t="s">
        <v>353</v>
      </c>
      <c r="J1023" s="88"/>
    </row>
    <row r="1024">
      <c r="A1024" s="20" t="s">
        <v>98</v>
      </c>
      <c r="B1024" s="9" t="s">
        <v>2204</v>
      </c>
      <c r="C1024" s="91">
        <v>45776.65394546297</v>
      </c>
      <c r="D1024" s="8"/>
      <c r="E1024" s="9"/>
      <c r="F1024" s="10"/>
      <c r="G1024" s="9" t="s">
        <v>18</v>
      </c>
      <c r="H1024" s="7" t="s">
        <v>2205</v>
      </c>
      <c r="I1024" s="9" t="s">
        <v>353</v>
      </c>
      <c r="J1024" s="88"/>
    </row>
    <row r="1025">
      <c r="A1025" s="6" t="s">
        <v>9</v>
      </c>
      <c r="B1025" s="7" t="s">
        <v>2206</v>
      </c>
      <c r="C1025" s="91">
        <v>45779.417114317126</v>
      </c>
      <c r="D1025" s="8">
        <f t="shared" ref="D1025:D1030" si="114">IFERROR(_xlfn.WORKDAY.INTL(C1025, 2),"-")</f>
        <v>45783</v>
      </c>
      <c r="E1025" s="9" t="s">
        <v>11</v>
      </c>
      <c r="F1025" s="10"/>
      <c r="G1025" s="9" t="s">
        <v>15</v>
      </c>
      <c r="H1025" s="7" t="s">
        <v>2207</v>
      </c>
      <c r="I1025" s="9" t="s">
        <v>353</v>
      </c>
      <c r="J1025" s="88"/>
    </row>
    <row r="1026">
      <c r="A1026" s="78" t="s">
        <v>334</v>
      </c>
      <c r="B1026" s="43" t="s">
        <v>2208</v>
      </c>
      <c r="C1026" s="119">
        <v>45779.47887368056</v>
      </c>
      <c r="D1026" s="80">
        <f t="shared" si="114"/>
        <v>45783</v>
      </c>
      <c r="E1026" s="9" t="s">
        <v>1128</v>
      </c>
      <c r="F1026" s="10"/>
      <c r="G1026" s="9" t="s">
        <v>220</v>
      </c>
      <c r="H1026" s="11"/>
      <c r="I1026" s="9" t="s">
        <v>353</v>
      </c>
      <c r="J1026" s="88"/>
    </row>
    <row r="1027">
      <c r="A1027" s="78" t="s">
        <v>334</v>
      </c>
      <c r="B1027" s="43" t="s">
        <v>2209</v>
      </c>
      <c r="C1027" s="119">
        <v>45772.48049516203</v>
      </c>
      <c r="D1027" s="80">
        <f t="shared" si="114"/>
        <v>45776</v>
      </c>
      <c r="E1027" s="9" t="s">
        <v>1128</v>
      </c>
      <c r="F1027" s="10"/>
      <c r="G1027" s="9" t="s">
        <v>15</v>
      </c>
      <c r="H1027" s="11"/>
      <c r="I1027" s="9" t="s">
        <v>353</v>
      </c>
      <c r="J1027" s="88"/>
    </row>
    <row r="1028">
      <c r="A1028" s="54" t="s">
        <v>236</v>
      </c>
      <c r="B1028" s="95" t="s">
        <v>2210</v>
      </c>
      <c r="C1028" s="96">
        <v>45713.64731532407</v>
      </c>
      <c r="D1028" s="97">
        <f t="shared" si="114"/>
        <v>45715</v>
      </c>
      <c r="E1028" s="98" t="s">
        <v>11</v>
      </c>
      <c r="F1028" s="135"/>
      <c r="G1028" s="98" t="s">
        <v>15</v>
      </c>
      <c r="H1028" s="95" t="s">
        <v>2211</v>
      </c>
      <c r="I1028" s="9" t="s">
        <v>353</v>
      </c>
      <c r="J1028" s="88"/>
    </row>
    <row r="1029">
      <c r="A1029" s="54" t="s">
        <v>236</v>
      </c>
      <c r="B1029" s="125" t="s">
        <v>2212</v>
      </c>
      <c r="C1029" s="91">
        <v>45701.42869394676</v>
      </c>
      <c r="D1029" s="8">
        <f t="shared" si="114"/>
        <v>45705</v>
      </c>
      <c r="E1029" s="9" t="s">
        <v>11</v>
      </c>
      <c r="F1029" s="10"/>
      <c r="G1029" s="9" t="s">
        <v>21</v>
      </c>
      <c r="H1029" s="7" t="s">
        <v>2213</v>
      </c>
      <c r="I1029" s="9" t="s">
        <v>353</v>
      </c>
      <c r="J1029" s="88"/>
    </row>
    <row r="1030">
      <c r="A1030" s="120" t="s">
        <v>236</v>
      </c>
      <c r="B1030" s="67" t="s">
        <v>2214</v>
      </c>
      <c r="C1030" s="121">
        <v>45679.34303172454</v>
      </c>
      <c r="D1030" s="122">
        <f t="shared" si="114"/>
        <v>45681</v>
      </c>
      <c r="E1030" s="123" t="s">
        <v>11</v>
      </c>
      <c r="F1030" s="124"/>
      <c r="G1030" s="123" t="s">
        <v>21</v>
      </c>
      <c r="H1030" s="67" t="s">
        <v>2215</v>
      </c>
      <c r="I1030" s="123" t="s">
        <v>353</v>
      </c>
      <c r="J1030" s="88"/>
    </row>
    <row r="1031">
      <c r="A1031" s="54" t="s">
        <v>236</v>
      </c>
      <c r="B1031" s="7" t="s">
        <v>2216</v>
      </c>
      <c r="C1031" s="91">
        <v>45754.38410885417</v>
      </c>
      <c r="D1031" s="8"/>
      <c r="E1031" s="9"/>
      <c r="F1031" s="10"/>
      <c r="G1031" s="9" t="s">
        <v>15</v>
      </c>
      <c r="H1031" s="7" t="s">
        <v>2217</v>
      </c>
      <c r="I1031" s="9" t="s">
        <v>353</v>
      </c>
      <c r="J1031" s="88"/>
    </row>
    <row r="1032">
      <c r="A1032" s="54" t="s">
        <v>236</v>
      </c>
      <c r="B1032" s="7" t="s">
        <v>2218</v>
      </c>
      <c r="C1032" s="91">
        <v>45729.7098569213</v>
      </c>
      <c r="D1032" s="8"/>
      <c r="E1032" s="9"/>
      <c r="F1032" s="10"/>
      <c r="G1032" s="9" t="s">
        <v>220</v>
      </c>
      <c r="H1032" s="7" t="s">
        <v>2219</v>
      </c>
      <c r="I1032" s="9" t="s">
        <v>353</v>
      </c>
      <c r="J1032" s="88"/>
    </row>
    <row r="1033">
      <c r="A1033" s="54" t="s">
        <v>236</v>
      </c>
      <c r="B1033" s="7" t="s">
        <v>2220</v>
      </c>
      <c r="C1033" s="91">
        <v>45754.37633263889</v>
      </c>
      <c r="D1033" s="8"/>
      <c r="E1033" s="9"/>
      <c r="F1033" s="10"/>
      <c r="G1033" s="9" t="s">
        <v>220</v>
      </c>
      <c r="H1033" s="7" t="s">
        <v>2221</v>
      </c>
      <c r="I1033" s="9" t="s">
        <v>353</v>
      </c>
      <c r="J1033" s="88"/>
    </row>
    <row r="1034">
      <c r="A1034" s="54" t="s">
        <v>236</v>
      </c>
      <c r="B1034" s="7" t="s">
        <v>2222</v>
      </c>
      <c r="C1034" s="91">
        <v>45754.376432060184</v>
      </c>
      <c r="D1034" s="8"/>
      <c r="E1034" s="9"/>
      <c r="F1034" s="10"/>
      <c r="G1034" s="9" t="s">
        <v>220</v>
      </c>
      <c r="H1034" s="7" t="s">
        <v>2223</v>
      </c>
      <c r="I1034" s="9" t="s">
        <v>353</v>
      </c>
      <c r="J1034" s="88"/>
    </row>
    <row r="1035">
      <c r="A1035" s="54" t="s">
        <v>236</v>
      </c>
      <c r="B1035" s="7" t="s">
        <v>2224</v>
      </c>
      <c r="C1035" s="91">
        <v>45779.45057260417</v>
      </c>
      <c r="D1035" s="8"/>
      <c r="E1035" s="9"/>
      <c r="F1035" s="10"/>
      <c r="G1035" s="9" t="s">
        <v>220</v>
      </c>
      <c r="H1035" s="7" t="s">
        <v>2225</v>
      </c>
      <c r="I1035" s="9" t="s">
        <v>353</v>
      </c>
      <c r="J1035" s="88"/>
    </row>
    <row r="1036">
      <c r="A1036" s="120" t="s">
        <v>236</v>
      </c>
      <c r="B1036" s="67" t="s">
        <v>2226</v>
      </c>
      <c r="C1036" s="121">
        <v>45754.374547037034</v>
      </c>
      <c r="D1036" s="122"/>
      <c r="E1036" s="123"/>
      <c r="F1036" s="124"/>
      <c r="G1036" s="123" t="s">
        <v>220</v>
      </c>
      <c r="H1036" s="67" t="s">
        <v>2227</v>
      </c>
      <c r="I1036" s="123" t="s">
        <v>353</v>
      </c>
      <c r="J1036" s="88"/>
    </row>
    <row r="1037">
      <c r="A1037" s="54" t="s">
        <v>236</v>
      </c>
      <c r="B1037" s="7" t="s">
        <v>2228</v>
      </c>
      <c r="C1037" s="91">
        <v>45779.44509145833</v>
      </c>
      <c r="D1037" s="8"/>
      <c r="E1037" s="9"/>
      <c r="F1037" s="10"/>
      <c r="G1037" s="9" t="s">
        <v>220</v>
      </c>
      <c r="H1037" s="7" t="s">
        <v>2229</v>
      </c>
      <c r="I1037" s="9" t="s">
        <v>353</v>
      </c>
      <c r="J1037" s="88"/>
    </row>
    <row r="1038">
      <c r="A1038" s="20" t="s">
        <v>98</v>
      </c>
      <c r="B1038" s="9" t="s">
        <v>2230</v>
      </c>
      <c r="C1038" s="91">
        <v>45779.33479364583</v>
      </c>
      <c r="D1038" s="8"/>
      <c r="E1038" s="9"/>
      <c r="F1038" s="10"/>
      <c r="G1038" s="9" t="s">
        <v>18</v>
      </c>
      <c r="H1038" s="7" t="s">
        <v>2231</v>
      </c>
      <c r="I1038" s="9" t="s">
        <v>353</v>
      </c>
      <c r="J1038" s="88"/>
    </row>
    <row r="1039">
      <c r="A1039" s="20" t="s">
        <v>98</v>
      </c>
      <c r="B1039" s="9" t="s">
        <v>2232</v>
      </c>
      <c r="C1039" s="91">
        <v>45772.45327621528</v>
      </c>
      <c r="D1039" s="8"/>
      <c r="E1039" s="9"/>
      <c r="F1039" s="10"/>
      <c r="G1039" s="9" t="s">
        <v>18</v>
      </c>
      <c r="H1039" s="7" t="s">
        <v>2233</v>
      </c>
      <c r="I1039" s="9" t="s">
        <v>353</v>
      </c>
      <c r="J1039" s="88"/>
    </row>
    <row r="1040">
      <c r="A1040" s="20" t="s">
        <v>98</v>
      </c>
      <c r="B1040" s="9" t="s">
        <v>2234</v>
      </c>
      <c r="C1040" s="91">
        <v>45735.603960555556</v>
      </c>
      <c r="D1040" s="8"/>
      <c r="E1040" s="9"/>
      <c r="F1040" s="10"/>
      <c r="G1040" s="9" t="s">
        <v>15</v>
      </c>
      <c r="H1040" s="23" t="s">
        <v>2235</v>
      </c>
      <c r="I1040" s="9" t="s">
        <v>353</v>
      </c>
      <c r="J1040" s="88"/>
    </row>
    <row r="1041">
      <c r="A1041" s="6" t="s">
        <v>9</v>
      </c>
      <c r="B1041" s="7" t="s">
        <v>1733</v>
      </c>
      <c r="C1041" s="91">
        <v>45776.4367775</v>
      </c>
      <c r="D1041" s="8">
        <f t="shared" ref="D1041:D1042" si="115">IFERROR(_xlfn.WORKDAY.INTL(C1041, 2),"-")</f>
        <v>45778</v>
      </c>
      <c r="E1041" s="9" t="s">
        <v>11</v>
      </c>
      <c r="F1041" s="10"/>
      <c r="G1041" s="9" t="s">
        <v>15</v>
      </c>
      <c r="H1041" s="7" t="s">
        <v>2236</v>
      </c>
      <c r="I1041" s="9" t="s">
        <v>353</v>
      </c>
      <c r="J1041" s="88"/>
    </row>
    <row r="1042">
      <c r="A1042" s="6" t="s">
        <v>9</v>
      </c>
      <c r="B1042" s="7" t="s">
        <v>2237</v>
      </c>
      <c r="C1042" s="91">
        <v>45734.727101261575</v>
      </c>
      <c r="D1042" s="8">
        <f t="shared" si="115"/>
        <v>45736</v>
      </c>
      <c r="E1042" s="9" t="s">
        <v>11</v>
      </c>
      <c r="F1042" s="10"/>
      <c r="G1042" s="9" t="s">
        <v>15</v>
      </c>
      <c r="H1042" s="7" t="s">
        <v>2238</v>
      </c>
      <c r="I1042" s="9" t="s">
        <v>353</v>
      </c>
      <c r="J1042" s="88"/>
    </row>
    <row r="1043">
      <c r="A1043" s="20" t="s">
        <v>98</v>
      </c>
      <c r="B1043" s="9" t="s">
        <v>2239</v>
      </c>
      <c r="C1043" s="91">
        <v>45776.45607827546</v>
      </c>
      <c r="D1043" s="8"/>
      <c r="E1043" s="9"/>
      <c r="F1043" s="10"/>
      <c r="G1043" s="9" t="s">
        <v>15</v>
      </c>
      <c r="H1043" s="7" t="s">
        <v>2240</v>
      </c>
      <c r="I1043" s="9" t="s">
        <v>353</v>
      </c>
      <c r="J1043" s="88"/>
    </row>
    <row r="1044">
      <c r="A1044" s="20" t="s">
        <v>98</v>
      </c>
      <c r="B1044" s="9" t="s">
        <v>2241</v>
      </c>
      <c r="C1044" s="91">
        <v>45756.420276793986</v>
      </c>
      <c r="D1044" s="8"/>
      <c r="E1044" s="9"/>
      <c r="F1044" s="10"/>
      <c r="G1044" s="9" t="s">
        <v>18</v>
      </c>
      <c r="H1044" s="22" t="s">
        <v>2242</v>
      </c>
      <c r="I1044" s="9" t="s">
        <v>353</v>
      </c>
      <c r="J1044" s="88"/>
    </row>
    <row r="1045">
      <c r="A1045" s="20" t="s">
        <v>98</v>
      </c>
      <c r="B1045" s="9" t="s">
        <v>2243</v>
      </c>
      <c r="C1045" s="91">
        <v>45762.44067946759</v>
      </c>
      <c r="D1045" s="8"/>
      <c r="E1045" s="9"/>
      <c r="F1045" s="10"/>
      <c r="G1045" s="9" t="s">
        <v>15</v>
      </c>
      <c r="H1045" s="7" t="s">
        <v>2244</v>
      </c>
      <c r="I1045" s="9" t="s">
        <v>353</v>
      </c>
      <c r="J1045" s="88"/>
    </row>
    <row r="1046">
      <c r="A1046" s="20" t="s">
        <v>98</v>
      </c>
      <c r="B1046" s="9" t="s">
        <v>2245</v>
      </c>
      <c r="C1046" s="91">
        <v>45762.44072168981</v>
      </c>
      <c r="D1046" s="8"/>
      <c r="E1046" s="9"/>
      <c r="F1046" s="10"/>
      <c r="G1046" s="9" t="s">
        <v>15</v>
      </c>
      <c r="H1046" s="23" t="s">
        <v>2246</v>
      </c>
      <c r="I1046" s="9" t="s">
        <v>353</v>
      </c>
      <c r="J1046" s="88"/>
    </row>
    <row r="1047">
      <c r="A1047" s="78" t="s">
        <v>334</v>
      </c>
      <c r="B1047" s="43" t="s">
        <v>2247</v>
      </c>
      <c r="C1047" s="119">
        <v>45772.47683005787</v>
      </c>
      <c r="D1047" s="80">
        <f t="shared" ref="D1047:D1049" si="116">IFERROR(_xlfn.WORKDAY.INTL(C1047, 2),"-")</f>
        <v>45776</v>
      </c>
      <c r="E1047" s="9" t="s">
        <v>1489</v>
      </c>
      <c r="F1047" s="10"/>
      <c r="G1047" s="9" t="s">
        <v>220</v>
      </c>
      <c r="H1047" s="11"/>
      <c r="I1047" s="9" t="s">
        <v>353</v>
      </c>
      <c r="J1047" s="88"/>
    </row>
    <row r="1048">
      <c r="A1048" s="78" t="s">
        <v>334</v>
      </c>
      <c r="B1048" s="43" t="s">
        <v>2248</v>
      </c>
      <c r="C1048" s="119">
        <v>45763.362919039355</v>
      </c>
      <c r="D1048" s="80">
        <f t="shared" si="116"/>
        <v>45765</v>
      </c>
      <c r="E1048" s="9" t="s">
        <v>1489</v>
      </c>
      <c r="F1048" s="10"/>
      <c r="G1048" s="9" t="s">
        <v>18</v>
      </c>
      <c r="H1048" s="7" t="s">
        <v>2249</v>
      </c>
      <c r="I1048" s="9" t="s">
        <v>353</v>
      </c>
      <c r="J1048" s="88"/>
    </row>
    <row r="1049">
      <c r="A1049" s="78" t="s">
        <v>334</v>
      </c>
      <c r="B1049" s="43" t="s">
        <v>2250</v>
      </c>
      <c r="C1049" s="91">
        <v>45740.0</v>
      </c>
      <c r="D1049" s="10">
        <f t="shared" si="116"/>
        <v>45742</v>
      </c>
      <c r="E1049" s="9" t="s">
        <v>1123</v>
      </c>
      <c r="F1049" s="10"/>
      <c r="G1049" s="9" t="s">
        <v>15</v>
      </c>
      <c r="H1049" s="7" t="s">
        <v>2251</v>
      </c>
      <c r="I1049" s="9" t="s">
        <v>353</v>
      </c>
      <c r="J1049" s="88"/>
    </row>
    <row r="1050">
      <c r="A1050" s="20" t="s">
        <v>98</v>
      </c>
      <c r="B1050" s="9" t="s">
        <v>2252</v>
      </c>
      <c r="C1050" s="91">
        <v>45756.42060540509</v>
      </c>
      <c r="D1050" s="8"/>
      <c r="E1050" s="9"/>
      <c r="F1050" s="10"/>
      <c r="G1050" s="9" t="s">
        <v>18</v>
      </c>
      <c r="H1050" s="7" t="s">
        <v>2253</v>
      </c>
      <c r="I1050" s="9" t="s">
        <v>353</v>
      </c>
      <c r="J1050" s="88"/>
    </row>
    <row r="1051">
      <c r="A1051" s="20" t="s">
        <v>98</v>
      </c>
      <c r="B1051" s="9" t="s">
        <v>2254</v>
      </c>
      <c r="C1051" s="91">
        <v>45765.37321505787</v>
      </c>
      <c r="D1051" s="8"/>
      <c r="E1051" s="9"/>
      <c r="F1051" s="10"/>
      <c r="G1051" s="9" t="s">
        <v>15</v>
      </c>
      <c r="H1051" s="7" t="s">
        <v>2255</v>
      </c>
      <c r="I1051" s="9" t="s">
        <v>353</v>
      </c>
      <c r="J1051" s="88"/>
    </row>
    <row r="1052">
      <c r="A1052" s="20" t="s">
        <v>98</v>
      </c>
      <c r="B1052" s="9" t="s">
        <v>2256</v>
      </c>
      <c r="C1052" s="91">
        <v>45714.368792361114</v>
      </c>
      <c r="D1052" s="8"/>
      <c r="E1052" s="9"/>
      <c r="F1052" s="10"/>
      <c r="G1052" s="9" t="s">
        <v>18</v>
      </c>
      <c r="H1052" s="22" t="s">
        <v>2257</v>
      </c>
      <c r="I1052" s="9" t="s">
        <v>353</v>
      </c>
      <c r="J1052" s="88"/>
    </row>
    <row r="1053">
      <c r="A1053" s="20" t="s">
        <v>98</v>
      </c>
      <c r="B1053" s="9" t="s">
        <v>2258</v>
      </c>
      <c r="C1053" s="91">
        <v>45714.36919351852</v>
      </c>
      <c r="D1053" s="8"/>
      <c r="E1053" s="9"/>
      <c r="F1053" s="10"/>
      <c r="G1053" s="9" t="s">
        <v>18</v>
      </c>
      <c r="H1053" s="7" t="s">
        <v>2259</v>
      </c>
      <c r="I1053" s="9" t="s">
        <v>353</v>
      </c>
      <c r="J1053" s="88"/>
    </row>
    <row r="1054">
      <c r="A1054" s="20" t="s">
        <v>98</v>
      </c>
      <c r="B1054" s="9" t="s">
        <v>2260</v>
      </c>
      <c r="C1054" s="91">
        <v>45252.576991504626</v>
      </c>
      <c r="D1054" s="8">
        <f>IFERROR(_xlfn.WORKDAY.INTL(C1054, 2),"-")</f>
        <v>45254</v>
      </c>
      <c r="E1054" s="9" t="s">
        <v>206</v>
      </c>
      <c r="F1054" s="10"/>
      <c r="G1054" s="9" t="s">
        <v>15</v>
      </c>
      <c r="H1054" s="23" t="s">
        <v>2261</v>
      </c>
      <c r="I1054" s="9" t="s">
        <v>353</v>
      </c>
      <c r="J1054" s="88"/>
    </row>
    <row r="1055">
      <c r="A1055" s="20" t="s">
        <v>98</v>
      </c>
      <c r="B1055" s="9" t="s">
        <v>2262</v>
      </c>
      <c r="C1055" s="91">
        <v>45749.39940422453</v>
      </c>
      <c r="D1055" s="8"/>
      <c r="E1055" s="9"/>
      <c r="F1055" s="10"/>
      <c r="G1055" s="9" t="s">
        <v>18</v>
      </c>
      <c r="H1055" s="7" t="s">
        <v>2263</v>
      </c>
      <c r="I1055" s="9" t="s">
        <v>353</v>
      </c>
      <c r="J1055" s="88"/>
    </row>
    <row r="1056">
      <c r="A1056" s="102" t="s">
        <v>624</v>
      </c>
      <c r="B1056" s="7" t="s">
        <v>2264</v>
      </c>
      <c r="C1056" s="91">
        <v>45755.4519175</v>
      </c>
      <c r="D1056" s="8">
        <f t="shared" ref="D1056:D1060" si="117">IFERROR(_xlfn.WORKDAY.INTL(C1056, 2),"-")</f>
        <v>45757</v>
      </c>
      <c r="E1056" s="9" t="s">
        <v>11</v>
      </c>
      <c r="F1056" s="10"/>
      <c r="G1056" s="9" t="s">
        <v>11</v>
      </c>
      <c r="H1056" s="7" t="s">
        <v>2265</v>
      </c>
      <c r="I1056" s="9" t="s">
        <v>353</v>
      </c>
      <c r="J1056" s="88"/>
    </row>
    <row r="1057">
      <c r="A1057" s="102" t="s">
        <v>624</v>
      </c>
      <c r="B1057" s="136" t="s">
        <v>2266</v>
      </c>
      <c r="C1057" s="91">
        <v>45741.37727131945</v>
      </c>
      <c r="D1057" s="8">
        <f t="shared" si="117"/>
        <v>45743</v>
      </c>
      <c r="E1057" s="9" t="s">
        <v>11</v>
      </c>
      <c r="F1057" s="10"/>
      <c r="G1057" s="9" t="s">
        <v>15</v>
      </c>
      <c r="H1057" s="132" t="s">
        <v>2267</v>
      </c>
      <c r="I1057" s="9" t="s">
        <v>353</v>
      </c>
      <c r="J1057" s="88"/>
    </row>
    <row r="1058">
      <c r="A1058" s="102" t="s">
        <v>624</v>
      </c>
      <c r="B1058" s="7" t="s">
        <v>2268</v>
      </c>
      <c r="C1058" s="91">
        <v>45733.37288322917</v>
      </c>
      <c r="D1058" s="8">
        <f t="shared" si="117"/>
        <v>45735</v>
      </c>
      <c r="E1058" s="9" t="s">
        <v>11</v>
      </c>
      <c r="F1058" s="10"/>
      <c r="G1058" s="9" t="s">
        <v>11</v>
      </c>
      <c r="H1058" s="7" t="s">
        <v>2269</v>
      </c>
      <c r="I1058" s="9" t="s">
        <v>353</v>
      </c>
      <c r="J1058" s="88"/>
    </row>
    <row r="1059">
      <c r="A1059" s="102" t="s">
        <v>624</v>
      </c>
      <c r="B1059" s="7" t="s">
        <v>2270</v>
      </c>
      <c r="C1059" s="91">
        <v>45716.42969063658</v>
      </c>
      <c r="D1059" s="8">
        <f t="shared" si="117"/>
        <v>45720</v>
      </c>
      <c r="E1059" s="9" t="s">
        <v>11</v>
      </c>
      <c r="F1059" s="10"/>
      <c r="G1059" s="9" t="s">
        <v>11</v>
      </c>
      <c r="H1059" s="129" t="s">
        <v>2271</v>
      </c>
      <c r="I1059" s="9" t="s">
        <v>353</v>
      </c>
      <c r="J1059" s="88"/>
    </row>
    <row r="1060">
      <c r="A1060" s="20" t="s">
        <v>98</v>
      </c>
      <c r="B1060" s="9" t="s">
        <v>2272</v>
      </c>
      <c r="C1060" s="91">
        <v>45600.37133556713</v>
      </c>
      <c r="D1060" s="8">
        <f t="shared" si="117"/>
        <v>45602</v>
      </c>
      <c r="E1060" s="9" t="s">
        <v>11</v>
      </c>
      <c r="F1060" s="10"/>
      <c r="G1060" s="9" t="s">
        <v>18</v>
      </c>
      <c r="H1060" s="7" t="s">
        <v>2273</v>
      </c>
      <c r="I1060" s="9" t="s">
        <v>353</v>
      </c>
      <c r="J1060" s="88"/>
    </row>
    <row r="1061">
      <c r="A1061" s="20" t="s">
        <v>98</v>
      </c>
      <c r="B1061" s="9" t="s">
        <v>2274</v>
      </c>
      <c r="C1061" s="91">
        <v>45673.68206802083</v>
      </c>
      <c r="D1061" s="8"/>
      <c r="E1061" s="9"/>
      <c r="F1061" s="10"/>
      <c r="G1061" s="137" t="s">
        <v>15</v>
      </c>
      <c r="H1061" s="138" t="s">
        <v>2275</v>
      </c>
      <c r="I1061" s="9" t="s">
        <v>353</v>
      </c>
      <c r="J1061" s="88"/>
    </row>
    <row r="1062">
      <c r="A1062" s="20" t="s">
        <v>98</v>
      </c>
      <c r="B1062" s="9" t="s">
        <v>2276</v>
      </c>
      <c r="C1062" s="91">
        <v>45735.666775590274</v>
      </c>
      <c r="D1062" s="8"/>
      <c r="E1062" s="9"/>
      <c r="F1062" s="10"/>
      <c r="G1062" s="9" t="s">
        <v>18</v>
      </c>
      <c r="H1062" s="23" t="s">
        <v>2277</v>
      </c>
      <c r="I1062" s="9" t="s">
        <v>353</v>
      </c>
      <c r="J1062" s="88"/>
    </row>
    <row r="1063">
      <c r="A1063" s="20" t="s">
        <v>98</v>
      </c>
      <c r="B1063" s="9" t="s">
        <v>2278</v>
      </c>
      <c r="C1063" s="91">
        <v>45749.7179309375</v>
      </c>
      <c r="D1063" s="8"/>
      <c r="E1063" s="9"/>
      <c r="F1063" s="10"/>
      <c r="G1063" s="9" t="s">
        <v>18</v>
      </c>
      <c r="H1063" s="7" t="s">
        <v>2279</v>
      </c>
      <c r="I1063" s="9" t="s">
        <v>353</v>
      </c>
      <c r="J1063" s="88"/>
    </row>
    <row r="1064">
      <c r="A1064" s="6" t="s">
        <v>9</v>
      </c>
      <c r="B1064" s="7" t="s">
        <v>1417</v>
      </c>
      <c r="C1064" s="91">
        <v>45734.67242392361</v>
      </c>
      <c r="D1064" s="8">
        <f t="shared" ref="D1064:D1065" si="118">IFERROR(_xlfn.WORKDAY.INTL(C1064, 2),"-")</f>
        <v>45736</v>
      </c>
      <c r="E1064" s="9" t="s">
        <v>11</v>
      </c>
      <c r="F1064" s="10"/>
      <c r="G1064" s="9" t="s">
        <v>15</v>
      </c>
      <c r="H1064" s="7" t="s">
        <v>2280</v>
      </c>
      <c r="I1064" s="9" t="s">
        <v>353</v>
      </c>
      <c r="J1064" s="88"/>
    </row>
    <row r="1065">
      <c r="A1065" s="78" t="s">
        <v>334</v>
      </c>
      <c r="B1065" s="139" t="s">
        <v>2281</v>
      </c>
      <c r="C1065" s="119">
        <v>45754.69124601852</v>
      </c>
      <c r="D1065" s="80">
        <f t="shared" si="118"/>
        <v>45756</v>
      </c>
      <c r="E1065" s="9" t="s">
        <v>1097</v>
      </c>
      <c r="F1065" s="10"/>
      <c r="G1065" s="9" t="s">
        <v>18</v>
      </c>
      <c r="H1065" s="11"/>
      <c r="I1065" s="9" t="s">
        <v>353</v>
      </c>
      <c r="J1065" s="88"/>
    </row>
    <row r="1066">
      <c r="A1066" s="88"/>
      <c r="B1066" s="89"/>
      <c r="C1066" s="90"/>
      <c r="D1066" s="89"/>
      <c r="E1066" s="89"/>
      <c r="F1066" s="89"/>
      <c r="G1066" s="89"/>
      <c r="H1066" s="87"/>
      <c r="I1066" s="89"/>
      <c r="J1066" s="88"/>
    </row>
    <row r="1067">
      <c r="A1067" s="20" t="s">
        <v>98</v>
      </c>
      <c r="B1067" s="9" t="s">
        <v>2282</v>
      </c>
      <c r="C1067" s="91">
        <v>45764.65735439815</v>
      </c>
      <c r="D1067" s="8"/>
      <c r="E1067" s="9"/>
      <c r="F1067" s="10"/>
      <c r="G1067" s="9" t="s">
        <v>18</v>
      </c>
      <c r="H1067" s="7" t="s">
        <v>2283</v>
      </c>
      <c r="I1067" s="9" t="s">
        <v>353</v>
      </c>
      <c r="J1067" s="88"/>
    </row>
    <row r="1068">
      <c r="A1068" s="78" t="s">
        <v>334</v>
      </c>
      <c r="B1068" s="43" t="s">
        <v>2284</v>
      </c>
      <c r="C1068" s="119">
        <v>45763.36218361111</v>
      </c>
      <c r="D1068" s="80">
        <f t="shared" ref="D1068:D1071" si="119">IFERROR(_xlfn.WORKDAY.INTL(C1068, 2),"-")</f>
        <v>45765</v>
      </c>
      <c r="E1068" s="9" t="s">
        <v>1123</v>
      </c>
      <c r="F1068" s="10"/>
      <c r="G1068" s="9" t="s">
        <v>18</v>
      </c>
      <c r="H1068" s="11"/>
      <c r="I1068" s="9" t="s">
        <v>353</v>
      </c>
      <c r="J1068" s="88"/>
    </row>
    <row r="1069">
      <c r="A1069" s="78" t="s">
        <v>334</v>
      </c>
      <c r="B1069" s="43" t="s">
        <v>2285</v>
      </c>
      <c r="C1069" s="119">
        <v>45763.361228877315</v>
      </c>
      <c r="D1069" s="80">
        <f t="shared" si="119"/>
        <v>45765</v>
      </c>
      <c r="E1069" s="9" t="s">
        <v>1097</v>
      </c>
      <c r="F1069" s="10"/>
      <c r="G1069" s="9" t="s">
        <v>18</v>
      </c>
      <c r="H1069" s="11"/>
      <c r="I1069" s="9" t="s">
        <v>353</v>
      </c>
      <c r="J1069" s="88"/>
    </row>
    <row r="1070">
      <c r="A1070" s="78" t="s">
        <v>334</v>
      </c>
      <c r="B1070" s="43" t="s">
        <v>899</v>
      </c>
      <c r="C1070" s="119">
        <v>45762.0</v>
      </c>
      <c r="D1070" s="80">
        <f t="shared" si="119"/>
        <v>45764</v>
      </c>
      <c r="E1070" s="9" t="s">
        <v>1128</v>
      </c>
      <c r="F1070" s="10"/>
      <c r="G1070" s="9" t="s">
        <v>15</v>
      </c>
      <c r="H1070" s="7" t="s">
        <v>2286</v>
      </c>
      <c r="I1070" s="9" t="s">
        <v>353</v>
      </c>
      <c r="J1070" s="88"/>
    </row>
    <row r="1071">
      <c r="A1071" s="78" t="s">
        <v>334</v>
      </c>
      <c r="B1071" s="43" t="s">
        <v>2287</v>
      </c>
      <c r="C1071" s="119">
        <v>45754.69096666666</v>
      </c>
      <c r="D1071" s="80">
        <f t="shared" si="119"/>
        <v>45756</v>
      </c>
      <c r="E1071" s="9" t="s">
        <v>1097</v>
      </c>
      <c r="F1071" s="10"/>
      <c r="G1071" s="9" t="s">
        <v>18</v>
      </c>
      <c r="H1071" s="7" t="s">
        <v>2288</v>
      </c>
      <c r="I1071" s="9" t="s">
        <v>353</v>
      </c>
      <c r="J1071" s="88"/>
    </row>
    <row r="1072">
      <c r="A1072" s="20" t="s">
        <v>98</v>
      </c>
      <c r="B1072" s="9" t="s">
        <v>2289</v>
      </c>
      <c r="C1072" s="91">
        <v>45756.422364328704</v>
      </c>
      <c r="D1072" s="8"/>
      <c r="E1072" s="9"/>
      <c r="F1072" s="10"/>
      <c r="G1072" s="9" t="s">
        <v>18</v>
      </c>
      <c r="H1072" s="7" t="s">
        <v>2290</v>
      </c>
      <c r="I1072" s="9" t="s">
        <v>353</v>
      </c>
      <c r="J1072" s="88"/>
    </row>
    <row r="1073">
      <c r="A1073" s="20" t="s">
        <v>98</v>
      </c>
      <c r="B1073" s="9" t="s">
        <v>2291</v>
      </c>
      <c r="C1073" s="91">
        <v>45530.70349201389</v>
      </c>
      <c r="D1073" s="8">
        <f t="shared" ref="D1073:D1074" si="120">IFERROR(_xlfn.WORKDAY.INTL(C1073, 2),"-")</f>
        <v>45532</v>
      </c>
      <c r="E1073" s="9" t="s">
        <v>88</v>
      </c>
      <c r="F1073" s="10"/>
      <c r="G1073" s="9" t="s">
        <v>15</v>
      </c>
      <c r="H1073" s="7" t="s">
        <v>2292</v>
      </c>
      <c r="I1073" s="9" t="s">
        <v>353</v>
      </c>
      <c r="J1073" s="88"/>
    </row>
    <row r="1074">
      <c r="A1074" s="6" t="s">
        <v>9</v>
      </c>
      <c r="B1074" s="7" t="s">
        <v>2293</v>
      </c>
      <c r="C1074" s="91">
        <v>45743.474509085645</v>
      </c>
      <c r="D1074" s="8">
        <f t="shared" si="120"/>
        <v>45747</v>
      </c>
      <c r="E1074" s="9" t="s">
        <v>11</v>
      </c>
      <c r="F1074" s="10"/>
      <c r="G1074" s="9" t="s">
        <v>15</v>
      </c>
      <c r="H1074" s="7" t="s">
        <v>2294</v>
      </c>
      <c r="I1074" s="9" t="s">
        <v>353</v>
      </c>
      <c r="J1074" s="88"/>
    </row>
    <row r="1075">
      <c r="A1075" s="20" t="s">
        <v>98</v>
      </c>
      <c r="B1075" s="9" t="s">
        <v>2295</v>
      </c>
      <c r="C1075" s="91">
        <v>45761.46226410879</v>
      </c>
      <c r="D1075" s="8"/>
      <c r="E1075" s="9"/>
      <c r="F1075" s="10"/>
      <c r="G1075" s="9" t="s">
        <v>15</v>
      </c>
      <c r="H1075" s="7" t="s">
        <v>2296</v>
      </c>
      <c r="I1075" s="9" t="s">
        <v>353</v>
      </c>
      <c r="J1075" s="88"/>
    </row>
    <row r="1076">
      <c r="A1076" s="20" t="s">
        <v>98</v>
      </c>
      <c r="B1076" s="9" t="s">
        <v>2297</v>
      </c>
      <c r="C1076" s="91">
        <v>45735.6056025</v>
      </c>
      <c r="D1076" s="8"/>
      <c r="E1076" s="9"/>
      <c r="F1076" s="10"/>
      <c r="G1076" s="9" t="s">
        <v>15</v>
      </c>
      <c r="H1076" s="7" t="s">
        <v>2298</v>
      </c>
      <c r="I1076" s="9" t="s">
        <v>353</v>
      </c>
      <c r="J1076" s="88"/>
    </row>
    <row r="1077">
      <c r="A1077" s="20" t="s">
        <v>98</v>
      </c>
      <c r="B1077" s="9" t="s">
        <v>2299</v>
      </c>
      <c r="C1077" s="91">
        <v>45666.435720231486</v>
      </c>
      <c r="D1077" s="8">
        <f t="shared" ref="D1077:D1079" si="121">IFERROR(_xlfn.WORKDAY.INTL(C1077, 2),"-")</f>
        <v>45670</v>
      </c>
      <c r="E1077" s="9" t="s">
        <v>11</v>
      </c>
      <c r="F1077" s="10"/>
      <c r="G1077" s="9" t="s">
        <v>15</v>
      </c>
      <c r="H1077" s="7" t="s">
        <v>2300</v>
      </c>
      <c r="I1077" s="9" t="s">
        <v>353</v>
      </c>
      <c r="J1077" s="88"/>
    </row>
    <row r="1078">
      <c r="A1078" s="20" t="s">
        <v>98</v>
      </c>
      <c r="B1078" s="9" t="s">
        <v>2301</v>
      </c>
      <c r="C1078" s="91">
        <v>45666.40167795139</v>
      </c>
      <c r="D1078" s="8">
        <f t="shared" si="121"/>
        <v>45670</v>
      </c>
      <c r="E1078" s="9" t="s">
        <v>11</v>
      </c>
      <c r="F1078" s="10"/>
      <c r="G1078" s="9" t="s">
        <v>15</v>
      </c>
      <c r="H1078" s="7" t="s">
        <v>2302</v>
      </c>
      <c r="I1078" s="9" t="s">
        <v>353</v>
      </c>
      <c r="J1078" s="88"/>
    </row>
    <row r="1079">
      <c r="A1079" s="20" t="s">
        <v>98</v>
      </c>
      <c r="B1079" s="9" t="s">
        <v>2303</v>
      </c>
      <c r="C1079" s="91">
        <v>45425.59273701389</v>
      </c>
      <c r="D1079" s="8">
        <f t="shared" si="121"/>
        <v>45427</v>
      </c>
      <c r="E1079" s="9" t="s">
        <v>11</v>
      </c>
      <c r="F1079" s="10"/>
      <c r="G1079" s="9" t="s">
        <v>15</v>
      </c>
      <c r="H1079" s="7" t="s">
        <v>2304</v>
      </c>
      <c r="I1079" s="9" t="s">
        <v>353</v>
      </c>
      <c r="J1079" s="88"/>
    </row>
    <row r="1080">
      <c r="A1080" s="20" t="s">
        <v>98</v>
      </c>
      <c r="B1080" s="9" t="s">
        <v>2305</v>
      </c>
      <c r="C1080" s="91">
        <v>45735.604110706015</v>
      </c>
      <c r="D1080" s="8"/>
      <c r="E1080" s="9"/>
      <c r="F1080" s="10"/>
      <c r="G1080" s="9" t="s">
        <v>15</v>
      </c>
      <c r="H1080" s="7" t="s">
        <v>2306</v>
      </c>
      <c r="I1080" s="9" t="s">
        <v>353</v>
      </c>
      <c r="J1080" s="88"/>
    </row>
    <row r="1081">
      <c r="A1081" s="20" t="s">
        <v>98</v>
      </c>
      <c r="B1081" s="9" t="s">
        <v>2307</v>
      </c>
      <c r="C1081" s="91">
        <v>45257.43731958333</v>
      </c>
      <c r="D1081" s="8">
        <f t="shared" ref="D1081:D1085" si="122">IFERROR(_xlfn.WORKDAY.INTL(C1081, 2),"-")</f>
        <v>45259</v>
      </c>
      <c r="E1081" s="9" t="s">
        <v>206</v>
      </c>
      <c r="F1081" s="10"/>
      <c r="G1081" s="9" t="s">
        <v>15</v>
      </c>
      <c r="H1081" s="7" t="s">
        <v>2308</v>
      </c>
      <c r="I1081" s="9" t="s">
        <v>353</v>
      </c>
      <c r="J1081" s="88"/>
    </row>
    <row r="1082">
      <c r="A1082" s="20" t="s">
        <v>98</v>
      </c>
      <c r="B1082" s="9" t="s">
        <v>2309</v>
      </c>
      <c r="C1082" s="91">
        <v>45530.614146203705</v>
      </c>
      <c r="D1082" s="8">
        <f t="shared" si="122"/>
        <v>45532</v>
      </c>
      <c r="E1082" s="9" t="s">
        <v>206</v>
      </c>
      <c r="F1082" s="10"/>
      <c r="G1082" s="9" t="s">
        <v>15</v>
      </c>
      <c r="H1082" s="7" t="s">
        <v>2310</v>
      </c>
      <c r="I1082" s="9" t="s">
        <v>353</v>
      </c>
      <c r="J1082" s="88"/>
    </row>
    <row r="1083">
      <c r="A1083" s="20" t="s">
        <v>98</v>
      </c>
      <c r="B1083" s="9" t="s">
        <v>2311</v>
      </c>
      <c r="C1083" s="91">
        <v>45273.68394981482</v>
      </c>
      <c r="D1083" s="8">
        <f t="shared" si="122"/>
        <v>45275</v>
      </c>
      <c r="E1083" s="9" t="s">
        <v>206</v>
      </c>
      <c r="F1083" s="10"/>
      <c r="G1083" s="9" t="s">
        <v>15</v>
      </c>
      <c r="H1083" s="22" t="s">
        <v>2312</v>
      </c>
      <c r="I1083" s="9" t="s">
        <v>353</v>
      </c>
      <c r="J1083" s="88"/>
    </row>
    <row r="1084">
      <c r="A1084" s="20" t="s">
        <v>98</v>
      </c>
      <c r="B1084" s="9" t="s">
        <v>2313</v>
      </c>
      <c r="C1084" s="91">
        <v>45349.58450565972</v>
      </c>
      <c r="D1084" s="8">
        <f t="shared" si="122"/>
        <v>45351</v>
      </c>
      <c r="E1084" s="9" t="s">
        <v>206</v>
      </c>
      <c r="F1084" s="10"/>
      <c r="G1084" s="9" t="s">
        <v>15</v>
      </c>
      <c r="H1084" s="7" t="s">
        <v>2314</v>
      </c>
      <c r="I1084" s="9" t="s">
        <v>353</v>
      </c>
      <c r="J1084" s="88"/>
    </row>
    <row r="1085">
      <c r="A1085" s="20" t="s">
        <v>98</v>
      </c>
      <c r="B1085" s="9" t="s">
        <v>2315</v>
      </c>
      <c r="C1085" s="91">
        <v>45448.56573103009</v>
      </c>
      <c r="D1085" s="8">
        <f t="shared" si="122"/>
        <v>45450</v>
      </c>
      <c r="E1085" s="9" t="s">
        <v>11</v>
      </c>
      <c r="F1085" s="10"/>
      <c r="G1085" s="9" t="s">
        <v>15</v>
      </c>
      <c r="H1085" s="7" t="s">
        <v>2316</v>
      </c>
      <c r="I1085" s="9" t="s">
        <v>353</v>
      </c>
      <c r="J1085" s="88"/>
    </row>
    <row r="1086">
      <c r="A1086" s="20" t="s">
        <v>98</v>
      </c>
      <c r="B1086" s="9" t="s">
        <v>2317</v>
      </c>
      <c r="C1086" s="91">
        <v>45763.4572002662</v>
      </c>
      <c r="D1086" s="8"/>
      <c r="E1086" s="9"/>
      <c r="F1086" s="10"/>
      <c r="G1086" s="9" t="s">
        <v>18</v>
      </c>
      <c r="H1086" s="7" t="s">
        <v>2318</v>
      </c>
      <c r="I1086" s="9" t="s">
        <v>353</v>
      </c>
      <c r="J1086" s="88"/>
    </row>
    <row r="1087">
      <c r="A1087" s="20" t="s">
        <v>98</v>
      </c>
      <c r="B1087" s="9" t="s">
        <v>2319</v>
      </c>
      <c r="C1087" s="91">
        <v>45729.49660623843</v>
      </c>
      <c r="D1087" s="8"/>
      <c r="E1087" s="9"/>
      <c r="F1087" s="10"/>
      <c r="G1087" s="9" t="s">
        <v>18</v>
      </c>
      <c r="H1087" s="7" t="s">
        <v>2320</v>
      </c>
      <c r="I1087" s="9" t="s">
        <v>353</v>
      </c>
      <c r="J1087" s="88"/>
    </row>
    <row r="1088">
      <c r="A1088" s="78" t="s">
        <v>334</v>
      </c>
      <c r="B1088" s="43" t="s">
        <v>2321</v>
      </c>
      <c r="C1088" s="119">
        <v>45757.58928133102</v>
      </c>
      <c r="D1088" s="80">
        <f t="shared" ref="D1088:D1093" si="123">IFERROR(_xlfn.WORKDAY.INTL(C1088, 2),"-")</f>
        <v>45761</v>
      </c>
      <c r="E1088" s="9" t="s">
        <v>1097</v>
      </c>
      <c r="F1088" s="10"/>
      <c r="G1088" s="9" t="s">
        <v>18</v>
      </c>
      <c r="H1088" s="11"/>
      <c r="I1088" s="9" t="s">
        <v>353</v>
      </c>
      <c r="J1088" s="88"/>
    </row>
    <row r="1089">
      <c r="A1089" s="78" t="s">
        <v>334</v>
      </c>
      <c r="B1089" s="43" t="s">
        <v>2322</v>
      </c>
      <c r="C1089" s="119">
        <v>45755.52804071759</v>
      </c>
      <c r="D1089" s="80">
        <f t="shared" si="123"/>
        <v>45757</v>
      </c>
      <c r="E1089" s="9" t="s">
        <v>1123</v>
      </c>
      <c r="F1089" s="10"/>
      <c r="G1089" s="9" t="s">
        <v>18</v>
      </c>
      <c r="H1089" s="11"/>
      <c r="I1089" s="9" t="s">
        <v>353</v>
      </c>
      <c r="J1089" s="88"/>
    </row>
    <row r="1090">
      <c r="A1090" s="6" t="s">
        <v>9</v>
      </c>
      <c r="B1090" s="7" t="s">
        <v>2120</v>
      </c>
      <c r="C1090" s="91">
        <v>45750.71957153935</v>
      </c>
      <c r="D1090" s="8">
        <f t="shared" si="123"/>
        <v>45754</v>
      </c>
      <c r="E1090" s="9" t="s">
        <v>11</v>
      </c>
      <c r="F1090" s="10"/>
      <c r="G1090" s="9" t="s">
        <v>15</v>
      </c>
      <c r="H1090" s="7" t="s">
        <v>2323</v>
      </c>
      <c r="I1090" s="9" t="s">
        <v>353</v>
      </c>
      <c r="J1090" s="88"/>
    </row>
    <row r="1091">
      <c r="A1091" s="6" t="s">
        <v>9</v>
      </c>
      <c r="B1091" s="7" t="s">
        <v>2324</v>
      </c>
      <c r="C1091" s="91">
        <v>45715.587843553236</v>
      </c>
      <c r="D1091" s="8">
        <f t="shared" si="123"/>
        <v>45719</v>
      </c>
      <c r="E1091" s="9" t="s">
        <v>11</v>
      </c>
      <c r="F1091" s="10"/>
      <c r="G1091" s="9" t="s">
        <v>21</v>
      </c>
      <c r="H1091" s="7" t="s">
        <v>2325</v>
      </c>
      <c r="I1091" s="9" t="s">
        <v>353</v>
      </c>
      <c r="J1091" s="88"/>
    </row>
    <row r="1092">
      <c r="A1092" s="102" t="s">
        <v>624</v>
      </c>
      <c r="B1092" s="7" t="s">
        <v>2326</v>
      </c>
      <c r="C1092" s="91">
        <v>45716.417539201386</v>
      </c>
      <c r="D1092" s="8">
        <f t="shared" si="123"/>
        <v>45720</v>
      </c>
      <c r="E1092" s="9" t="s">
        <v>206</v>
      </c>
      <c r="F1092" s="10"/>
      <c r="G1092" s="9" t="s">
        <v>18</v>
      </c>
      <c r="H1092" s="7" t="s">
        <v>2327</v>
      </c>
      <c r="I1092" s="9" t="s">
        <v>353</v>
      </c>
      <c r="J1092" s="88"/>
    </row>
    <row r="1093">
      <c r="A1093" s="78" t="s">
        <v>334</v>
      </c>
      <c r="B1093" s="43" t="s">
        <v>2328</v>
      </c>
      <c r="C1093" s="119">
        <v>45757.0</v>
      </c>
      <c r="D1093" s="80">
        <f t="shared" si="123"/>
        <v>45761</v>
      </c>
      <c r="E1093" s="9" t="s">
        <v>1097</v>
      </c>
      <c r="F1093" s="10"/>
      <c r="G1093" s="9" t="s">
        <v>220</v>
      </c>
      <c r="H1093" s="11"/>
      <c r="I1093" s="9" t="s">
        <v>353</v>
      </c>
      <c r="J1093" s="88"/>
    </row>
    <row r="1094">
      <c r="A1094" s="20" t="s">
        <v>98</v>
      </c>
      <c r="B1094" s="9" t="s">
        <v>2329</v>
      </c>
      <c r="C1094" s="91">
        <v>45761.75484837963</v>
      </c>
      <c r="D1094" s="8"/>
      <c r="E1094" s="9"/>
      <c r="F1094" s="10"/>
      <c r="G1094" s="9" t="s">
        <v>18</v>
      </c>
      <c r="H1094" s="7" t="s">
        <v>2330</v>
      </c>
      <c r="I1094" s="9" t="s">
        <v>353</v>
      </c>
      <c r="J1094" s="88"/>
    </row>
    <row r="1095">
      <c r="A1095" s="20" t="s">
        <v>98</v>
      </c>
      <c r="B1095" s="9" t="s">
        <v>2331</v>
      </c>
      <c r="C1095" s="91">
        <v>45761.74972583333</v>
      </c>
      <c r="D1095" s="8"/>
      <c r="E1095" s="9"/>
      <c r="F1095" s="10"/>
      <c r="G1095" s="9" t="s">
        <v>18</v>
      </c>
      <c r="H1095" s="7" t="s">
        <v>2330</v>
      </c>
      <c r="I1095" s="9" t="s">
        <v>353</v>
      </c>
      <c r="J1095" s="88"/>
    </row>
    <row r="1096">
      <c r="A1096" s="6" t="s">
        <v>9</v>
      </c>
      <c r="B1096" s="7" t="s">
        <v>2332</v>
      </c>
      <c r="C1096" s="91">
        <v>45761.631619479165</v>
      </c>
      <c r="D1096" s="8">
        <f t="shared" ref="D1096:D1097" si="124">IFERROR(_xlfn.WORKDAY.INTL(C1096, 2),"-")</f>
        <v>45763</v>
      </c>
      <c r="E1096" s="9" t="s">
        <v>11</v>
      </c>
      <c r="F1096" s="10"/>
      <c r="G1096" s="9" t="s">
        <v>18</v>
      </c>
      <c r="H1096" s="11"/>
      <c r="I1096" s="9" t="s">
        <v>353</v>
      </c>
      <c r="J1096" s="88"/>
    </row>
    <row r="1097">
      <c r="A1097" s="6" t="s">
        <v>9</v>
      </c>
      <c r="B1097" s="7" t="s">
        <v>2333</v>
      </c>
      <c r="C1097" s="91">
        <v>45756.44493724537</v>
      </c>
      <c r="D1097" s="8">
        <f t="shared" si="124"/>
        <v>45758</v>
      </c>
      <c r="E1097" s="9" t="s">
        <v>11</v>
      </c>
      <c r="F1097" s="10"/>
      <c r="G1097" s="9" t="s">
        <v>15</v>
      </c>
      <c r="H1097" s="7" t="s">
        <v>2334</v>
      </c>
      <c r="I1097" s="9" t="s">
        <v>353</v>
      </c>
      <c r="J1097" s="88"/>
    </row>
    <row r="1098">
      <c r="A1098" s="20" t="s">
        <v>98</v>
      </c>
      <c r="B1098" s="9" t="s">
        <v>2335</v>
      </c>
      <c r="C1098" s="91">
        <v>45735.60519818287</v>
      </c>
      <c r="D1098" s="8"/>
      <c r="E1098" s="9"/>
      <c r="F1098" s="10"/>
      <c r="G1098" s="9" t="s">
        <v>18</v>
      </c>
      <c r="H1098" s="23" t="s">
        <v>2199</v>
      </c>
      <c r="I1098" s="9" t="s">
        <v>353</v>
      </c>
      <c r="J1098" s="88"/>
    </row>
    <row r="1099">
      <c r="A1099" s="20" t="s">
        <v>98</v>
      </c>
      <c r="B1099" s="9" t="s">
        <v>1705</v>
      </c>
      <c r="C1099" s="91">
        <v>45758.560996342596</v>
      </c>
      <c r="D1099" s="8"/>
      <c r="E1099" s="9"/>
      <c r="F1099" s="10"/>
      <c r="G1099" s="9" t="s">
        <v>18</v>
      </c>
      <c r="H1099" s="7" t="s">
        <v>2336</v>
      </c>
      <c r="I1099" s="9" t="s">
        <v>353</v>
      </c>
      <c r="J1099" s="88"/>
    </row>
    <row r="1100">
      <c r="A1100" s="20" t="s">
        <v>98</v>
      </c>
      <c r="B1100" s="9" t="s">
        <v>2337</v>
      </c>
      <c r="C1100" s="91">
        <v>45758.56119399305</v>
      </c>
      <c r="D1100" s="8"/>
      <c r="E1100" s="9"/>
      <c r="F1100" s="10"/>
      <c r="G1100" s="9" t="s">
        <v>18</v>
      </c>
      <c r="H1100" s="7" t="s">
        <v>2338</v>
      </c>
      <c r="I1100" s="9" t="s">
        <v>353</v>
      </c>
      <c r="J1100" s="88"/>
    </row>
    <row r="1101">
      <c r="A1101" s="20" t="s">
        <v>98</v>
      </c>
      <c r="B1101" s="9" t="s">
        <v>2339</v>
      </c>
      <c r="C1101" s="91">
        <v>45749.451626145834</v>
      </c>
      <c r="D1101" s="8"/>
      <c r="E1101" s="9"/>
      <c r="F1101" s="10"/>
      <c r="G1101" s="9" t="s">
        <v>18</v>
      </c>
      <c r="H1101" s="7" t="s">
        <v>2340</v>
      </c>
      <c r="I1101" s="9" t="s">
        <v>353</v>
      </c>
      <c r="J1101" s="88"/>
    </row>
    <row r="1102">
      <c r="A1102" s="20" t="s">
        <v>98</v>
      </c>
      <c r="B1102" s="9" t="s">
        <v>2341</v>
      </c>
      <c r="C1102" s="91">
        <v>45715.36840806713</v>
      </c>
      <c r="D1102" s="8"/>
      <c r="E1102" s="9"/>
      <c r="F1102" s="10"/>
      <c r="G1102" s="9" t="s">
        <v>15</v>
      </c>
      <c r="H1102" s="22" t="s">
        <v>2342</v>
      </c>
      <c r="I1102" s="9" t="s">
        <v>353</v>
      </c>
      <c r="J1102" s="88"/>
    </row>
    <row r="1103">
      <c r="A1103" s="20" t="s">
        <v>98</v>
      </c>
      <c r="B1103" s="9" t="s">
        <v>2343</v>
      </c>
      <c r="C1103" s="91">
        <v>45614.34359201389</v>
      </c>
      <c r="D1103" s="8">
        <f>IFERROR(_xlfn.WORKDAY.INTL(C1103, 2),"-")</f>
        <v>45616</v>
      </c>
      <c r="E1103" s="9" t="s">
        <v>11</v>
      </c>
      <c r="F1103" s="10"/>
      <c r="G1103" s="9" t="s">
        <v>18</v>
      </c>
      <c r="H1103" s="7" t="s">
        <v>2344</v>
      </c>
      <c r="I1103" s="9" t="s">
        <v>353</v>
      </c>
      <c r="J1103" s="88"/>
    </row>
    <row r="1104">
      <c r="A1104" s="20" t="s">
        <v>98</v>
      </c>
      <c r="B1104" s="93" t="s">
        <v>2345</v>
      </c>
      <c r="C1104" s="91">
        <v>45714.36855659723</v>
      </c>
      <c r="D1104" s="8"/>
      <c r="E1104" s="9"/>
      <c r="F1104" s="10"/>
      <c r="G1104" s="9" t="s">
        <v>18</v>
      </c>
      <c r="H1104" s="22" t="s">
        <v>2346</v>
      </c>
      <c r="I1104" s="9" t="s">
        <v>353</v>
      </c>
      <c r="J1104" s="88"/>
    </row>
    <row r="1105">
      <c r="A1105" s="78" t="s">
        <v>334</v>
      </c>
      <c r="B1105" s="43" t="s">
        <v>2347</v>
      </c>
      <c r="C1105" s="119">
        <v>45755.527502372686</v>
      </c>
      <c r="D1105" s="80">
        <f>IFERROR(_xlfn.WORKDAY.INTL(C1105, 2),"-")</f>
        <v>45757</v>
      </c>
      <c r="E1105" s="9" t="s">
        <v>1128</v>
      </c>
      <c r="F1105" s="10"/>
      <c r="G1105" s="9" t="s">
        <v>220</v>
      </c>
      <c r="H1105" s="11"/>
      <c r="I1105" s="9" t="s">
        <v>353</v>
      </c>
      <c r="J1105" s="88"/>
    </row>
    <row r="1106">
      <c r="A1106" s="20" t="s">
        <v>98</v>
      </c>
      <c r="B1106" s="9" t="s">
        <v>2348</v>
      </c>
      <c r="C1106" s="91">
        <v>45756.42005927084</v>
      </c>
      <c r="D1106" s="8"/>
      <c r="E1106" s="9"/>
      <c r="F1106" s="10"/>
      <c r="G1106" s="9" t="s">
        <v>18</v>
      </c>
      <c r="H1106" s="7" t="s">
        <v>2349</v>
      </c>
      <c r="I1106" s="9" t="s">
        <v>353</v>
      </c>
      <c r="J1106" s="88"/>
    </row>
    <row r="1107">
      <c r="A1107" s="20" t="s">
        <v>98</v>
      </c>
      <c r="B1107" s="9" t="s">
        <v>2350</v>
      </c>
      <c r="C1107" s="91">
        <v>45614.77841814815</v>
      </c>
      <c r="D1107" s="8">
        <f>IFERROR(_xlfn.WORKDAY.INTL(C1107, 2),"-")</f>
        <v>45616</v>
      </c>
      <c r="E1107" s="9" t="s">
        <v>11</v>
      </c>
      <c r="F1107" s="10"/>
      <c r="G1107" s="9" t="s">
        <v>18</v>
      </c>
      <c r="H1107" s="22" t="s">
        <v>2351</v>
      </c>
      <c r="I1107" s="9" t="s">
        <v>353</v>
      </c>
      <c r="J1107" s="88"/>
    </row>
    <row r="1108">
      <c r="A1108" s="20" t="s">
        <v>98</v>
      </c>
      <c r="B1108" s="9" t="s">
        <v>2352</v>
      </c>
      <c r="C1108" s="91">
        <v>45756.42144318287</v>
      </c>
      <c r="D1108" s="8"/>
      <c r="E1108" s="9"/>
      <c r="F1108" s="10"/>
      <c r="G1108" s="9" t="s">
        <v>18</v>
      </c>
      <c r="H1108" s="7" t="s">
        <v>2349</v>
      </c>
      <c r="I1108" s="9" t="s">
        <v>353</v>
      </c>
      <c r="J1108" s="88"/>
    </row>
    <row r="1109">
      <c r="A1109" s="20" t="s">
        <v>98</v>
      </c>
      <c r="B1109" s="9" t="s">
        <v>2353</v>
      </c>
      <c r="C1109" s="91">
        <v>45756.419948599534</v>
      </c>
      <c r="D1109" s="8"/>
      <c r="E1109" s="9"/>
      <c r="F1109" s="10"/>
      <c r="G1109" s="9" t="s">
        <v>18</v>
      </c>
      <c r="H1109" s="7" t="s">
        <v>2349</v>
      </c>
      <c r="I1109" s="9" t="s">
        <v>353</v>
      </c>
      <c r="J1109" s="88"/>
    </row>
    <row r="1110">
      <c r="A1110" s="20" t="s">
        <v>98</v>
      </c>
      <c r="B1110" s="9" t="s">
        <v>2181</v>
      </c>
      <c r="C1110" s="91">
        <v>45740.586469456015</v>
      </c>
      <c r="D1110" s="8"/>
      <c r="E1110" s="9"/>
      <c r="F1110" s="10"/>
      <c r="G1110" s="9" t="s">
        <v>18</v>
      </c>
      <c r="H1110" s="7" t="s">
        <v>2354</v>
      </c>
      <c r="I1110" s="9" t="s">
        <v>353</v>
      </c>
      <c r="J1110" s="88"/>
    </row>
    <row r="1111">
      <c r="A1111" s="6" t="s">
        <v>9</v>
      </c>
      <c r="B1111" s="7" t="s">
        <v>2355</v>
      </c>
      <c r="C1111" s="91">
        <v>45747.42792379629</v>
      </c>
      <c r="D1111" s="8">
        <f t="shared" ref="D1111:D1121" si="125">IFERROR(_xlfn.WORKDAY.INTL(C1111, 2),"-")</f>
        <v>45749</v>
      </c>
      <c r="E1111" s="9" t="s">
        <v>11</v>
      </c>
      <c r="F1111" s="10"/>
      <c r="G1111" s="9" t="s">
        <v>15</v>
      </c>
      <c r="H1111" s="7" t="s">
        <v>2356</v>
      </c>
      <c r="I1111" s="9" t="s">
        <v>353</v>
      </c>
      <c r="J1111" s="88"/>
    </row>
    <row r="1112">
      <c r="A1112" s="20" t="s">
        <v>98</v>
      </c>
      <c r="B1112" s="9" t="s">
        <v>2357</v>
      </c>
      <c r="C1112" s="91">
        <v>45609.75157832176</v>
      </c>
      <c r="D1112" s="8">
        <f t="shared" si="125"/>
        <v>45611</v>
      </c>
      <c r="E1112" s="9" t="s">
        <v>11</v>
      </c>
      <c r="F1112" s="10"/>
      <c r="G1112" s="9" t="s">
        <v>15</v>
      </c>
      <c r="H1112" s="7" t="s">
        <v>2358</v>
      </c>
      <c r="I1112" s="9" t="s">
        <v>353</v>
      </c>
      <c r="J1112" s="88"/>
    </row>
    <row r="1113">
      <c r="A1113" s="6" t="s">
        <v>9</v>
      </c>
      <c r="B1113" s="7" t="s">
        <v>2359</v>
      </c>
      <c r="C1113" s="91">
        <v>45715.58779803241</v>
      </c>
      <c r="D1113" s="8">
        <f t="shared" si="125"/>
        <v>45719</v>
      </c>
      <c r="E1113" s="9" t="s">
        <v>11</v>
      </c>
      <c r="F1113" s="10"/>
      <c r="G1113" s="9" t="s">
        <v>15</v>
      </c>
      <c r="H1113" s="7" t="s">
        <v>2360</v>
      </c>
      <c r="I1113" s="9" t="s">
        <v>353</v>
      </c>
      <c r="J1113" s="88"/>
    </row>
    <row r="1114">
      <c r="A1114" s="6" t="s">
        <v>9</v>
      </c>
      <c r="B1114" s="7" t="s">
        <v>2361</v>
      </c>
      <c r="C1114" s="91">
        <v>45729.567279780094</v>
      </c>
      <c r="D1114" s="8">
        <f t="shared" si="125"/>
        <v>45733</v>
      </c>
      <c r="E1114" s="9" t="s">
        <v>11</v>
      </c>
      <c r="F1114" s="10"/>
      <c r="G1114" s="9" t="s">
        <v>15</v>
      </c>
      <c r="H1114" s="7" t="s">
        <v>2362</v>
      </c>
      <c r="I1114" s="9" t="s">
        <v>353</v>
      </c>
      <c r="J1114" s="88"/>
    </row>
    <row r="1115">
      <c r="A1115" s="78" t="s">
        <v>334</v>
      </c>
      <c r="B1115" s="43" t="s">
        <v>2363</v>
      </c>
      <c r="C1115" s="119">
        <v>45755.52720777778</v>
      </c>
      <c r="D1115" s="80">
        <f t="shared" si="125"/>
        <v>45757</v>
      </c>
      <c r="E1115" s="9"/>
      <c r="F1115" s="10"/>
      <c r="G1115" s="9" t="s">
        <v>220</v>
      </c>
      <c r="H1115" s="11"/>
      <c r="I1115" s="9" t="s">
        <v>353</v>
      </c>
      <c r="J1115" s="88"/>
    </row>
    <row r="1116">
      <c r="A1116" s="78" t="s">
        <v>334</v>
      </c>
      <c r="B1116" s="43" t="s">
        <v>2364</v>
      </c>
      <c r="C1116" s="91">
        <v>45730.39474346065</v>
      </c>
      <c r="D1116" s="10">
        <f t="shared" si="125"/>
        <v>45734</v>
      </c>
      <c r="E1116" s="9" t="s">
        <v>1097</v>
      </c>
      <c r="F1116" s="10"/>
      <c r="G1116" s="9" t="s">
        <v>15</v>
      </c>
      <c r="H1116" s="7" t="s">
        <v>2365</v>
      </c>
      <c r="I1116" s="9" t="s">
        <v>353</v>
      </c>
      <c r="J1116" s="88"/>
    </row>
    <row r="1117">
      <c r="A1117" s="78" t="s">
        <v>334</v>
      </c>
      <c r="B1117" s="43" t="s">
        <v>2366</v>
      </c>
      <c r="C1117" s="91">
        <v>45741.0</v>
      </c>
      <c r="D1117" s="10">
        <f t="shared" si="125"/>
        <v>45743</v>
      </c>
      <c r="E1117" s="9" t="s">
        <v>1489</v>
      </c>
      <c r="F1117" s="10"/>
      <c r="G1117" s="9" t="s">
        <v>18</v>
      </c>
      <c r="H1117" s="7" t="s">
        <v>2367</v>
      </c>
      <c r="I1117" s="9" t="s">
        <v>353</v>
      </c>
      <c r="J1117" s="88"/>
    </row>
    <row r="1118">
      <c r="A1118" s="78" t="s">
        <v>334</v>
      </c>
      <c r="B1118" s="43" t="s">
        <v>2368</v>
      </c>
      <c r="C1118" s="119">
        <v>45754.6917587037</v>
      </c>
      <c r="D1118" s="80">
        <f t="shared" si="125"/>
        <v>45756</v>
      </c>
      <c r="E1118" s="9" t="s">
        <v>1097</v>
      </c>
      <c r="F1118" s="10"/>
      <c r="G1118" s="9" t="s">
        <v>15</v>
      </c>
      <c r="H1118" s="7" t="s">
        <v>2369</v>
      </c>
      <c r="I1118" s="9" t="s">
        <v>353</v>
      </c>
      <c r="J1118" s="88"/>
    </row>
    <row r="1119">
      <c r="A1119" s="102" t="s">
        <v>624</v>
      </c>
      <c r="B1119" s="7" t="s">
        <v>2370</v>
      </c>
      <c r="C1119" s="91">
        <v>45741.64371201389</v>
      </c>
      <c r="D1119" s="8">
        <f t="shared" si="125"/>
        <v>45743</v>
      </c>
      <c r="E1119" s="9" t="s">
        <v>11</v>
      </c>
      <c r="F1119" s="10"/>
      <c r="G1119" s="9" t="s">
        <v>11</v>
      </c>
      <c r="H1119" s="7" t="s">
        <v>2371</v>
      </c>
      <c r="I1119" s="9" t="s">
        <v>353</v>
      </c>
      <c r="J1119" s="88"/>
    </row>
    <row r="1120">
      <c r="A1120" s="78" t="s">
        <v>334</v>
      </c>
      <c r="B1120" s="43" t="s">
        <v>2372</v>
      </c>
      <c r="C1120" s="119">
        <v>45747.72342726852</v>
      </c>
      <c r="D1120" s="80">
        <f t="shared" si="125"/>
        <v>45749</v>
      </c>
      <c r="E1120" s="9" t="s">
        <v>1123</v>
      </c>
      <c r="F1120" s="10"/>
      <c r="G1120" s="9" t="s">
        <v>18</v>
      </c>
      <c r="H1120" s="7" t="s">
        <v>2373</v>
      </c>
      <c r="I1120" s="9" t="s">
        <v>353</v>
      </c>
      <c r="J1120" s="88"/>
    </row>
    <row r="1121">
      <c r="A1121" s="102" t="s">
        <v>624</v>
      </c>
      <c r="B1121" s="95" t="s">
        <v>2374</v>
      </c>
      <c r="C1121" s="91">
        <v>45540.51378046296</v>
      </c>
      <c r="D1121" s="8">
        <f t="shared" si="125"/>
        <v>45544</v>
      </c>
      <c r="E1121" s="9" t="s">
        <v>88</v>
      </c>
      <c r="F1121" s="10"/>
      <c r="G1121" s="9" t="s">
        <v>11</v>
      </c>
      <c r="H1121" s="7" t="s">
        <v>2375</v>
      </c>
      <c r="I1121" s="9" t="s">
        <v>353</v>
      </c>
      <c r="J1121" s="88"/>
    </row>
    <row r="1122">
      <c r="A1122" s="102"/>
      <c r="B1122" s="7" t="s">
        <v>2376</v>
      </c>
      <c r="C1122" s="91">
        <v>45750.3911203125</v>
      </c>
      <c r="D1122" s="8"/>
      <c r="E1122" s="9"/>
      <c r="F1122" s="10"/>
      <c r="G1122" s="9" t="s">
        <v>11</v>
      </c>
      <c r="H1122" s="130" t="s">
        <v>2377</v>
      </c>
      <c r="I1122" s="9" t="s">
        <v>353</v>
      </c>
      <c r="J1122" s="88"/>
    </row>
    <row r="1123">
      <c r="A1123" s="54" t="s">
        <v>236</v>
      </c>
      <c r="B1123" s="7" t="s">
        <v>2378</v>
      </c>
      <c r="C1123" s="91">
        <v>45754.38004241898</v>
      </c>
      <c r="D1123" s="8"/>
      <c r="E1123" s="9"/>
      <c r="F1123" s="10"/>
      <c r="G1123" s="9" t="s">
        <v>220</v>
      </c>
      <c r="H1123" s="7" t="s">
        <v>2379</v>
      </c>
      <c r="I1123" s="9" t="s">
        <v>353</v>
      </c>
      <c r="J1123" s="88"/>
    </row>
    <row r="1124">
      <c r="A1124" s="54" t="s">
        <v>236</v>
      </c>
      <c r="B1124" s="7" t="s">
        <v>2380</v>
      </c>
      <c r="C1124" s="91">
        <v>45540.51349356482</v>
      </c>
      <c r="D1124" s="8">
        <f>IFERROR(_xlfn.WORKDAY.INTL(C1124, 2),"-")</f>
        <v>45544</v>
      </c>
      <c r="E1124" s="9" t="s">
        <v>11</v>
      </c>
      <c r="F1124" s="10"/>
      <c r="G1124" s="9" t="s">
        <v>15</v>
      </c>
      <c r="H1124" s="7" t="s">
        <v>2381</v>
      </c>
      <c r="I1124" s="9" t="s">
        <v>353</v>
      </c>
      <c r="J1124" s="88"/>
    </row>
    <row r="1125">
      <c r="A1125" s="54"/>
      <c r="B1125" s="140" t="s">
        <v>2382</v>
      </c>
      <c r="C1125" s="91"/>
      <c r="D1125" s="8"/>
      <c r="E1125" s="9"/>
      <c r="F1125" s="10"/>
      <c r="G1125" s="9" t="s">
        <v>15</v>
      </c>
      <c r="H1125" s="7" t="s">
        <v>2383</v>
      </c>
      <c r="I1125" s="9" t="s">
        <v>353</v>
      </c>
      <c r="J1125" s="88"/>
    </row>
    <row r="1126">
      <c r="A1126" s="54" t="s">
        <v>236</v>
      </c>
      <c r="B1126" s="7" t="s">
        <v>2384</v>
      </c>
      <c r="C1126" s="91">
        <v>45540.51349356482</v>
      </c>
      <c r="D1126" s="8">
        <f>IFERROR(_xlfn.WORKDAY.INTL(C1126, 2),"-")</f>
        <v>45544</v>
      </c>
      <c r="E1126" s="9" t="s">
        <v>11</v>
      </c>
      <c r="F1126" s="10"/>
      <c r="G1126" s="9" t="s">
        <v>15</v>
      </c>
      <c r="H1126" s="7" t="s">
        <v>2385</v>
      </c>
      <c r="I1126" s="9" t="s">
        <v>353</v>
      </c>
      <c r="J1126" s="88"/>
    </row>
    <row r="1127">
      <c r="A1127" s="54" t="s">
        <v>236</v>
      </c>
      <c r="B1127" s="7" t="s">
        <v>2386</v>
      </c>
      <c r="C1127" s="91">
        <v>45754.37500078704</v>
      </c>
      <c r="D1127" s="8"/>
      <c r="E1127" s="9"/>
      <c r="F1127" s="10"/>
      <c r="G1127" s="9" t="s">
        <v>18</v>
      </c>
      <c r="H1127" s="7" t="s">
        <v>2387</v>
      </c>
      <c r="I1127" s="9" t="s">
        <v>353</v>
      </c>
      <c r="J1127" s="88"/>
    </row>
    <row r="1128">
      <c r="A1128" s="54" t="s">
        <v>236</v>
      </c>
      <c r="B1128" s="7" t="s">
        <v>2388</v>
      </c>
      <c r="C1128" s="91">
        <v>45713.6490346875</v>
      </c>
      <c r="D1128" s="8">
        <f t="shared" ref="D1128:D1131" si="126">IFERROR(_xlfn.WORKDAY.INTL(C1128, 2),"-")</f>
        <v>45715</v>
      </c>
      <c r="E1128" s="9" t="s">
        <v>11</v>
      </c>
      <c r="F1128" s="10"/>
      <c r="G1128" s="9" t="s">
        <v>15</v>
      </c>
      <c r="H1128" s="7" t="s">
        <v>2389</v>
      </c>
      <c r="I1128" s="9" t="s">
        <v>353</v>
      </c>
      <c r="J1128" s="88"/>
    </row>
    <row r="1129">
      <c r="A1129" s="78" t="s">
        <v>334</v>
      </c>
      <c r="B1129" s="43" t="s">
        <v>2390</v>
      </c>
      <c r="C1129" s="119">
        <v>45751.48141954861</v>
      </c>
      <c r="D1129" s="80">
        <f t="shared" si="126"/>
        <v>45755</v>
      </c>
      <c r="E1129" s="9" t="s">
        <v>2391</v>
      </c>
      <c r="F1129" s="10"/>
      <c r="G1129" s="9" t="s">
        <v>220</v>
      </c>
      <c r="H1129" s="11"/>
      <c r="I1129" s="9" t="s">
        <v>353</v>
      </c>
      <c r="J1129" s="88"/>
    </row>
    <row r="1130">
      <c r="A1130" s="6" t="s">
        <v>9</v>
      </c>
      <c r="B1130" s="7" t="s">
        <v>2392</v>
      </c>
      <c r="C1130" s="91">
        <v>45748.47554564815</v>
      </c>
      <c r="D1130" s="8">
        <f t="shared" si="126"/>
        <v>45750</v>
      </c>
      <c r="E1130" s="9" t="s">
        <v>11</v>
      </c>
      <c r="F1130" s="10"/>
      <c r="G1130" s="9" t="s">
        <v>15</v>
      </c>
      <c r="H1130" s="7" t="s">
        <v>2393</v>
      </c>
      <c r="I1130" s="9" t="s">
        <v>353</v>
      </c>
      <c r="J1130" s="88"/>
    </row>
    <row r="1131">
      <c r="A1131" s="102" t="s">
        <v>624</v>
      </c>
      <c r="B1131" s="7" t="s">
        <v>2394</v>
      </c>
      <c r="C1131" s="91">
        <v>45741.37606283565</v>
      </c>
      <c r="D1131" s="8">
        <f t="shared" si="126"/>
        <v>45743</v>
      </c>
      <c r="E1131" s="9" t="s">
        <v>216</v>
      </c>
      <c r="F1131" s="10"/>
      <c r="G1131" s="9" t="s">
        <v>11</v>
      </c>
      <c r="H1131" s="130" t="s">
        <v>2395</v>
      </c>
      <c r="I1131" s="9" t="s">
        <v>353</v>
      </c>
      <c r="J1131" s="88"/>
    </row>
    <row r="1132">
      <c r="A1132" s="88"/>
      <c r="B1132" s="89"/>
      <c r="C1132" s="90"/>
      <c r="D1132" s="89"/>
      <c r="E1132" s="89"/>
      <c r="F1132" s="89"/>
      <c r="G1132" s="89"/>
      <c r="H1132" s="87"/>
      <c r="I1132" s="89"/>
      <c r="J1132" s="88"/>
    </row>
    <row r="1133">
      <c r="A1133" s="20" t="s">
        <v>98</v>
      </c>
      <c r="B1133" s="9" t="s">
        <v>2396</v>
      </c>
      <c r="C1133" s="91">
        <v>45672.37558637731</v>
      </c>
      <c r="D1133" s="8">
        <v>45674.0</v>
      </c>
      <c r="E1133" s="9"/>
      <c r="F1133" s="10"/>
      <c r="G1133" s="9" t="s">
        <v>18</v>
      </c>
      <c r="H1133" s="22" t="s">
        <v>2397</v>
      </c>
      <c r="I1133" s="9" t="s">
        <v>353</v>
      </c>
      <c r="J1133" s="88"/>
    </row>
    <row r="1134">
      <c r="A1134" s="6" t="s">
        <v>9</v>
      </c>
      <c r="B1134" s="7" t="s">
        <v>2398</v>
      </c>
      <c r="C1134" s="91">
        <v>45748.475477106476</v>
      </c>
      <c r="D1134" s="8">
        <f t="shared" ref="D1134:D1147" si="127">IFERROR(_xlfn.WORKDAY.INTL(C1134, 2),"-")</f>
        <v>45750</v>
      </c>
      <c r="E1134" s="9" t="s">
        <v>11</v>
      </c>
      <c r="F1134" s="10"/>
      <c r="G1134" s="9" t="s">
        <v>15</v>
      </c>
      <c r="H1134" s="7" t="s">
        <v>2399</v>
      </c>
      <c r="I1134" s="9" t="s">
        <v>353</v>
      </c>
      <c r="J1134" s="88"/>
    </row>
    <row r="1135">
      <c r="A1135" s="78" t="s">
        <v>334</v>
      </c>
      <c r="B1135" s="43" t="s">
        <v>2400</v>
      </c>
      <c r="C1135" s="119">
        <v>45748.48869329861</v>
      </c>
      <c r="D1135" s="80">
        <f t="shared" si="127"/>
        <v>45750</v>
      </c>
      <c r="E1135" s="9" t="s">
        <v>1128</v>
      </c>
      <c r="F1135" s="10"/>
      <c r="G1135" s="9" t="s">
        <v>220</v>
      </c>
      <c r="H1135" s="11"/>
      <c r="I1135" s="9" t="s">
        <v>353</v>
      </c>
      <c r="J1135" s="88"/>
    </row>
    <row r="1136">
      <c r="A1136" s="102" t="s">
        <v>624</v>
      </c>
      <c r="B1136" s="7" t="s">
        <v>2401</v>
      </c>
      <c r="C1136" s="91">
        <v>45716.45474277777</v>
      </c>
      <c r="D1136" s="8">
        <f t="shared" si="127"/>
        <v>45720</v>
      </c>
      <c r="E1136" s="9" t="s">
        <v>11</v>
      </c>
      <c r="F1136" s="10"/>
      <c r="G1136" s="9" t="s">
        <v>11</v>
      </c>
      <c r="H1136" s="129" t="s">
        <v>2402</v>
      </c>
      <c r="I1136" s="9" t="s">
        <v>353</v>
      </c>
      <c r="J1136" s="88"/>
    </row>
    <row r="1137">
      <c r="A1137" s="6" t="s">
        <v>9</v>
      </c>
      <c r="B1137" s="7" t="s">
        <v>2403</v>
      </c>
      <c r="C1137" s="91">
        <v>45748.63726670139</v>
      </c>
      <c r="D1137" s="8">
        <f t="shared" si="127"/>
        <v>45750</v>
      </c>
      <c r="E1137" s="9" t="s">
        <v>11</v>
      </c>
      <c r="F1137" s="10"/>
      <c r="G1137" s="9" t="s">
        <v>12</v>
      </c>
      <c r="H1137" s="7" t="s">
        <v>2404</v>
      </c>
      <c r="I1137" s="9" t="s">
        <v>353</v>
      </c>
      <c r="J1137" s="88"/>
    </row>
    <row r="1138">
      <c r="A1138" s="6" t="s">
        <v>9</v>
      </c>
      <c r="B1138" s="7" t="s">
        <v>2405</v>
      </c>
      <c r="C1138" s="91">
        <v>45748.636147303245</v>
      </c>
      <c r="D1138" s="8">
        <f t="shared" si="127"/>
        <v>45750</v>
      </c>
      <c r="E1138" s="9" t="s">
        <v>11</v>
      </c>
      <c r="F1138" s="10"/>
      <c r="G1138" s="9" t="s">
        <v>12</v>
      </c>
      <c r="H1138" s="7" t="s">
        <v>2404</v>
      </c>
      <c r="I1138" s="9" t="s">
        <v>353</v>
      </c>
      <c r="J1138" s="88"/>
    </row>
    <row r="1139">
      <c r="A1139" s="102" t="s">
        <v>624</v>
      </c>
      <c r="B1139" s="7" t="s">
        <v>2406</v>
      </c>
      <c r="C1139" s="91">
        <v>45741.38899641203</v>
      </c>
      <c r="D1139" s="8">
        <f t="shared" si="127"/>
        <v>45743</v>
      </c>
      <c r="E1139" s="9" t="s">
        <v>11</v>
      </c>
      <c r="F1139" s="10"/>
      <c r="G1139" s="9" t="s">
        <v>11</v>
      </c>
      <c r="H1139" s="132" t="s">
        <v>2407</v>
      </c>
      <c r="I1139" s="9" t="s">
        <v>353</v>
      </c>
      <c r="J1139" s="88"/>
    </row>
    <row r="1140">
      <c r="A1140" s="102" t="s">
        <v>624</v>
      </c>
      <c r="B1140" s="95" t="s">
        <v>2408</v>
      </c>
      <c r="C1140" s="91">
        <v>45540.51378046296</v>
      </c>
      <c r="D1140" s="8">
        <f t="shared" si="127"/>
        <v>45544</v>
      </c>
      <c r="E1140" s="9" t="s">
        <v>11</v>
      </c>
      <c r="F1140" s="10"/>
      <c r="G1140" s="9" t="s">
        <v>11</v>
      </c>
      <c r="H1140" s="7" t="s">
        <v>2409</v>
      </c>
      <c r="I1140" s="9" t="s">
        <v>353</v>
      </c>
      <c r="J1140" s="88"/>
    </row>
    <row r="1141">
      <c r="A1141" s="6" t="s">
        <v>9</v>
      </c>
      <c r="B1141" s="7" t="s">
        <v>2410</v>
      </c>
      <c r="C1141" s="91">
        <v>45322.45672766204</v>
      </c>
      <c r="D1141" s="8">
        <f t="shared" si="127"/>
        <v>45324</v>
      </c>
      <c r="E1141" s="9" t="s">
        <v>88</v>
      </c>
      <c r="F1141" s="10"/>
      <c r="G1141" s="9" t="s">
        <v>18</v>
      </c>
      <c r="H1141" s="7" t="s">
        <v>2411</v>
      </c>
      <c r="I1141" s="9" t="s">
        <v>353</v>
      </c>
      <c r="J1141" s="88"/>
    </row>
    <row r="1142">
      <c r="A1142" s="78" t="s">
        <v>334</v>
      </c>
      <c r="B1142" s="43" t="s">
        <v>2412</v>
      </c>
      <c r="C1142" s="119">
        <v>45743.0</v>
      </c>
      <c r="D1142" s="80">
        <f t="shared" si="127"/>
        <v>45747</v>
      </c>
      <c r="E1142" s="9" t="s">
        <v>1128</v>
      </c>
      <c r="F1142" s="10"/>
      <c r="G1142" s="9" t="s">
        <v>220</v>
      </c>
      <c r="H1142" s="11"/>
      <c r="I1142" s="9" t="s">
        <v>353</v>
      </c>
      <c r="J1142" s="88"/>
    </row>
    <row r="1143">
      <c r="A1143" s="78" t="s">
        <v>334</v>
      </c>
      <c r="B1143" s="43" t="s">
        <v>2413</v>
      </c>
      <c r="C1143" s="119">
        <v>45743.0</v>
      </c>
      <c r="D1143" s="80">
        <f t="shared" si="127"/>
        <v>45747</v>
      </c>
      <c r="E1143" s="9" t="s">
        <v>1123</v>
      </c>
      <c r="F1143" s="10"/>
      <c r="G1143" s="9" t="s">
        <v>220</v>
      </c>
      <c r="H1143" s="11"/>
      <c r="I1143" s="9" t="s">
        <v>353</v>
      </c>
      <c r="J1143" s="88"/>
    </row>
    <row r="1144">
      <c r="A1144" s="78" t="s">
        <v>334</v>
      </c>
      <c r="B1144" s="43" t="s">
        <v>2414</v>
      </c>
      <c r="C1144" s="119">
        <v>45743.36659902778</v>
      </c>
      <c r="D1144" s="80">
        <f t="shared" si="127"/>
        <v>45747</v>
      </c>
      <c r="E1144" s="9" t="s">
        <v>1128</v>
      </c>
      <c r="F1144" s="10"/>
      <c r="G1144" s="9" t="s">
        <v>18</v>
      </c>
      <c r="H1144" s="11"/>
      <c r="I1144" s="9" t="s">
        <v>353</v>
      </c>
      <c r="J1144" s="88"/>
    </row>
    <row r="1145">
      <c r="A1145" s="6" t="s">
        <v>9</v>
      </c>
      <c r="B1145" s="7" t="s">
        <v>2415</v>
      </c>
      <c r="C1145" s="91">
        <v>45741.496409432875</v>
      </c>
      <c r="D1145" s="8">
        <f t="shared" si="127"/>
        <v>45743</v>
      </c>
      <c r="E1145" s="9" t="s">
        <v>11</v>
      </c>
      <c r="F1145" s="10"/>
      <c r="G1145" s="9" t="s">
        <v>15</v>
      </c>
      <c r="H1145" s="7" t="s">
        <v>2416</v>
      </c>
      <c r="I1145" s="9" t="s">
        <v>353</v>
      </c>
      <c r="J1145" s="88"/>
    </row>
    <row r="1146">
      <c r="A1146" s="102" t="s">
        <v>624</v>
      </c>
      <c r="B1146" s="7" t="s">
        <v>2417</v>
      </c>
      <c r="C1146" s="91">
        <v>45742.6024955787</v>
      </c>
      <c r="D1146" s="8">
        <f t="shared" si="127"/>
        <v>45744</v>
      </c>
      <c r="E1146" s="9" t="s">
        <v>11</v>
      </c>
      <c r="F1146" s="10"/>
      <c r="G1146" s="9" t="s">
        <v>11</v>
      </c>
      <c r="H1146" s="7" t="s">
        <v>2418</v>
      </c>
      <c r="I1146" s="9" t="s">
        <v>353</v>
      </c>
      <c r="J1146" s="88"/>
    </row>
    <row r="1147">
      <c r="A1147" s="20" t="s">
        <v>98</v>
      </c>
      <c r="B1147" s="9" t="s">
        <v>2419</v>
      </c>
      <c r="C1147" s="91">
        <v>45569.44013827546</v>
      </c>
      <c r="D1147" s="8">
        <f t="shared" si="127"/>
        <v>45573</v>
      </c>
      <c r="E1147" s="9" t="s">
        <v>11</v>
      </c>
      <c r="F1147" s="10"/>
      <c r="G1147" s="9" t="s">
        <v>15</v>
      </c>
      <c r="H1147" s="7" t="s">
        <v>2420</v>
      </c>
      <c r="I1147" s="9" t="s">
        <v>353</v>
      </c>
      <c r="J1147" s="88"/>
    </row>
    <row r="1148">
      <c r="A1148" s="20" t="s">
        <v>98</v>
      </c>
      <c r="B1148" s="9" t="s">
        <v>2421</v>
      </c>
      <c r="C1148" s="91">
        <v>45726.47172637732</v>
      </c>
      <c r="D1148" s="8"/>
      <c r="E1148" s="9"/>
      <c r="F1148" s="10"/>
      <c r="G1148" s="9" t="s">
        <v>18</v>
      </c>
      <c r="H1148" s="22" t="s">
        <v>2422</v>
      </c>
      <c r="I1148" s="9" t="s">
        <v>353</v>
      </c>
      <c r="J1148" s="88"/>
    </row>
    <row r="1149">
      <c r="A1149" s="6" t="s">
        <v>9</v>
      </c>
      <c r="B1149" s="7" t="s">
        <v>2423</v>
      </c>
      <c r="C1149" s="91">
        <v>45742.49776780093</v>
      </c>
      <c r="D1149" s="8">
        <f t="shared" ref="D1149:D1151" si="128">IFERROR(_xlfn.WORKDAY.INTL(C1149, 2),"-")</f>
        <v>45744</v>
      </c>
      <c r="E1149" s="9" t="s">
        <v>11</v>
      </c>
      <c r="F1149" s="10"/>
      <c r="G1149" s="9" t="s">
        <v>15</v>
      </c>
      <c r="H1149" s="7" t="s">
        <v>2424</v>
      </c>
      <c r="I1149" s="9" t="s">
        <v>353</v>
      </c>
      <c r="J1149" s="88"/>
    </row>
    <row r="1150">
      <c r="A1150" s="6" t="s">
        <v>9</v>
      </c>
      <c r="B1150" s="7" t="s">
        <v>2425</v>
      </c>
      <c r="C1150" s="91">
        <v>45740.495969317126</v>
      </c>
      <c r="D1150" s="8">
        <f t="shared" si="128"/>
        <v>45742</v>
      </c>
      <c r="E1150" s="9" t="s">
        <v>11</v>
      </c>
      <c r="F1150" s="10"/>
      <c r="G1150" s="9" t="s">
        <v>15</v>
      </c>
      <c r="H1150" s="7" t="s">
        <v>2426</v>
      </c>
      <c r="I1150" s="9" t="s">
        <v>353</v>
      </c>
      <c r="J1150" s="88"/>
    </row>
    <row r="1151">
      <c r="A1151" s="20" t="s">
        <v>98</v>
      </c>
      <c r="B1151" s="9" t="s">
        <v>2427</v>
      </c>
      <c r="C1151" s="91">
        <v>45534.50383335648</v>
      </c>
      <c r="D1151" s="8">
        <f t="shared" si="128"/>
        <v>45538</v>
      </c>
      <c r="E1151" s="9" t="s">
        <v>11</v>
      </c>
      <c r="F1151" s="10"/>
      <c r="G1151" s="9" t="s">
        <v>18</v>
      </c>
      <c r="H1151" s="7" t="s">
        <v>2428</v>
      </c>
      <c r="I1151" s="9" t="s">
        <v>353</v>
      </c>
      <c r="J1151" s="88"/>
    </row>
    <row r="1152">
      <c r="A1152" s="20" t="s">
        <v>98</v>
      </c>
      <c r="B1152" s="9" t="s">
        <v>2429</v>
      </c>
      <c r="C1152" s="91">
        <v>45698.45752354167</v>
      </c>
      <c r="D1152" s="8"/>
      <c r="E1152" s="9"/>
      <c r="F1152" s="10"/>
      <c r="G1152" s="9" t="s">
        <v>18</v>
      </c>
      <c r="H1152" s="23" t="s">
        <v>2430</v>
      </c>
      <c r="I1152" s="9" t="s">
        <v>353</v>
      </c>
      <c r="J1152" s="88"/>
    </row>
    <row r="1153">
      <c r="A1153" s="20" t="s">
        <v>98</v>
      </c>
      <c r="B1153" s="9" t="s">
        <v>2431</v>
      </c>
      <c r="C1153" s="91">
        <v>45666.40167795139</v>
      </c>
      <c r="D1153" s="8">
        <f t="shared" ref="D1153:D1155" si="129">IFERROR(_xlfn.WORKDAY.INTL(C1153, 2),"-")</f>
        <v>45670</v>
      </c>
      <c r="E1153" s="9" t="s">
        <v>11</v>
      </c>
      <c r="F1153" s="10"/>
      <c r="G1153" s="9" t="s">
        <v>18</v>
      </c>
      <c r="H1153" s="23" t="s">
        <v>2432</v>
      </c>
      <c r="I1153" s="9" t="s">
        <v>353</v>
      </c>
      <c r="J1153" s="88"/>
    </row>
    <row r="1154">
      <c r="A1154" s="6" t="s">
        <v>9</v>
      </c>
      <c r="B1154" s="7" t="s">
        <v>1065</v>
      </c>
      <c r="C1154" s="91">
        <v>45741.496337523145</v>
      </c>
      <c r="D1154" s="8">
        <f t="shared" si="129"/>
        <v>45743</v>
      </c>
      <c r="E1154" s="9" t="s">
        <v>11</v>
      </c>
      <c r="F1154" s="10"/>
      <c r="G1154" s="9" t="s">
        <v>18</v>
      </c>
      <c r="H1154" s="7" t="s">
        <v>2433</v>
      </c>
      <c r="I1154" s="9" t="s">
        <v>353</v>
      </c>
      <c r="J1154" s="88"/>
    </row>
    <row r="1155">
      <c r="A1155" s="6" t="s">
        <v>9</v>
      </c>
      <c r="B1155" s="7" t="s">
        <v>2434</v>
      </c>
      <c r="C1155" s="91">
        <v>45742.42077538194</v>
      </c>
      <c r="D1155" s="8">
        <f t="shared" si="129"/>
        <v>45744</v>
      </c>
      <c r="E1155" s="9" t="s">
        <v>11</v>
      </c>
      <c r="F1155" s="10"/>
      <c r="G1155" s="9" t="s">
        <v>18</v>
      </c>
      <c r="H1155" s="7" t="s">
        <v>437</v>
      </c>
      <c r="I1155" s="9" t="s">
        <v>353</v>
      </c>
      <c r="J1155" s="88"/>
    </row>
    <row r="1156">
      <c r="A1156" s="20" t="s">
        <v>98</v>
      </c>
      <c r="B1156" s="9" t="s">
        <v>2435</v>
      </c>
      <c r="C1156" s="91">
        <v>45734.44866521991</v>
      </c>
      <c r="D1156" s="8"/>
      <c r="E1156" s="9"/>
      <c r="F1156" s="10"/>
      <c r="G1156" s="9" t="s">
        <v>15</v>
      </c>
      <c r="H1156" s="7" t="s">
        <v>2436</v>
      </c>
      <c r="I1156" s="9" t="s">
        <v>353</v>
      </c>
      <c r="J1156" s="88"/>
    </row>
    <row r="1157">
      <c r="A1157" s="20" t="s">
        <v>98</v>
      </c>
      <c r="B1157" s="9" t="s">
        <v>2437</v>
      </c>
      <c r="C1157" s="91">
        <v>45714.721424386575</v>
      </c>
      <c r="D1157" s="8"/>
      <c r="E1157" s="9"/>
      <c r="F1157" s="10"/>
      <c r="G1157" s="9" t="s">
        <v>18</v>
      </c>
      <c r="H1157" s="7" t="s">
        <v>2438</v>
      </c>
      <c r="I1157" s="9" t="s">
        <v>353</v>
      </c>
      <c r="J1157" s="88"/>
    </row>
    <row r="1158">
      <c r="A1158" s="20" t="s">
        <v>98</v>
      </c>
      <c r="B1158" s="9" t="s">
        <v>2439</v>
      </c>
      <c r="C1158" s="91">
        <v>45740.406604097225</v>
      </c>
      <c r="D1158" s="8"/>
      <c r="E1158" s="9"/>
      <c r="F1158" s="10"/>
      <c r="G1158" s="9" t="s">
        <v>18</v>
      </c>
      <c r="H1158" s="7" t="s">
        <v>2440</v>
      </c>
      <c r="I1158" s="9" t="s">
        <v>353</v>
      </c>
      <c r="J1158" s="88"/>
    </row>
    <row r="1159">
      <c r="A1159" s="78" t="s">
        <v>334</v>
      </c>
      <c r="B1159" s="43" t="s">
        <v>2441</v>
      </c>
      <c r="C1159" s="119">
        <v>45740.0</v>
      </c>
      <c r="D1159" s="80">
        <f t="shared" ref="D1159:D1170" si="130">IFERROR(_xlfn.WORKDAY.INTL(C1159, 2),"-")</f>
        <v>45742</v>
      </c>
      <c r="E1159" s="9" t="s">
        <v>1128</v>
      </c>
      <c r="F1159" s="10"/>
      <c r="G1159" s="9" t="s">
        <v>220</v>
      </c>
      <c r="H1159" s="7" t="s">
        <v>2442</v>
      </c>
      <c r="I1159" s="9" t="s">
        <v>353</v>
      </c>
      <c r="J1159" s="88"/>
    </row>
    <row r="1160">
      <c r="A1160" s="78" t="s">
        <v>334</v>
      </c>
      <c r="B1160" s="43" t="s">
        <v>2443</v>
      </c>
      <c r="C1160" s="119">
        <v>45740.0</v>
      </c>
      <c r="D1160" s="80">
        <f t="shared" si="130"/>
        <v>45742</v>
      </c>
      <c r="E1160" s="9" t="s">
        <v>1128</v>
      </c>
      <c r="F1160" s="10"/>
      <c r="G1160" s="9" t="s">
        <v>220</v>
      </c>
      <c r="H1160" s="7" t="s">
        <v>2444</v>
      </c>
      <c r="I1160" s="9" t="s">
        <v>353</v>
      </c>
      <c r="J1160" s="88"/>
    </row>
    <row r="1161">
      <c r="A1161" s="78" t="s">
        <v>334</v>
      </c>
      <c r="B1161" s="43" t="s">
        <v>2445</v>
      </c>
      <c r="C1161" s="119">
        <v>45699.0</v>
      </c>
      <c r="D1161" s="80">
        <f t="shared" si="130"/>
        <v>45701</v>
      </c>
      <c r="E1161" s="9" t="s">
        <v>1123</v>
      </c>
      <c r="F1161" s="10"/>
      <c r="G1161" s="9" t="s">
        <v>15</v>
      </c>
      <c r="H1161" s="7" t="s">
        <v>2446</v>
      </c>
      <c r="I1161" s="9" t="s">
        <v>353</v>
      </c>
      <c r="J1161" s="88"/>
    </row>
    <row r="1162">
      <c r="A1162" s="78" t="s">
        <v>334</v>
      </c>
      <c r="B1162" s="43" t="s">
        <v>2447</v>
      </c>
      <c r="C1162" s="119">
        <v>45686.0</v>
      </c>
      <c r="D1162" s="80">
        <f t="shared" si="130"/>
        <v>45688</v>
      </c>
      <c r="E1162" s="9" t="s">
        <v>1123</v>
      </c>
      <c r="F1162" s="10"/>
      <c r="G1162" s="9" t="s">
        <v>220</v>
      </c>
      <c r="H1162" s="7" t="s">
        <v>2448</v>
      </c>
      <c r="I1162" s="9" t="s">
        <v>353</v>
      </c>
      <c r="J1162" s="88"/>
    </row>
    <row r="1163">
      <c r="A1163" s="6" t="s">
        <v>9</v>
      </c>
      <c r="B1163" s="7" t="s">
        <v>2449</v>
      </c>
      <c r="C1163" s="91">
        <v>45398.36362667824</v>
      </c>
      <c r="D1163" s="8">
        <f t="shared" si="130"/>
        <v>45400</v>
      </c>
      <c r="E1163" s="9" t="s">
        <v>2450</v>
      </c>
      <c r="F1163" s="10"/>
      <c r="G1163" s="9" t="s">
        <v>89</v>
      </c>
      <c r="H1163" s="7" t="s">
        <v>2451</v>
      </c>
      <c r="I1163" s="9" t="s">
        <v>353</v>
      </c>
      <c r="J1163" s="88"/>
    </row>
    <row r="1164">
      <c r="A1164" s="6" t="s">
        <v>9</v>
      </c>
      <c r="B1164" s="7" t="s">
        <v>2452</v>
      </c>
      <c r="C1164" s="91">
        <v>45635.390909050926</v>
      </c>
      <c r="D1164" s="8">
        <f t="shared" si="130"/>
        <v>45637</v>
      </c>
      <c r="E1164" s="9" t="s">
        <v>11</v>
      </c>
      <c r="F1164" s="10"/>
      <c r="G1164" s="9" t="s">
        <v>15</v>
      </c>
      <c r="H1164" s="7" t="s">
        <v>2453</v>
      </c>
      <c r="I1164" s="9" t="s">
        <v>353</v>
      </c>
      <c r="J1164" s="88"/>
    </row>
    <row r="1165">
      <c r="A1165" s="6" t="s">
        <v>9</v>
      </c>
      <c r="B1165" s="7" t="s">
        <v>2454</v>
      </c>
      <c r="C1165" s="91">
        <v>45729.56719195602</v>
      </c>
      <c r="D1165" s="8">
        <f t="shared" si="130"/>
        <v>45733</v>
      </c>
      <c r="E1165" s="9" t="s">
        <v>11</v>
      </c>
      <c r="F1165" s="10"/>
      <c r="G1165" s="9" t="s">
        <v>15</v>
      </c>
      <c r="H1165" s="7" t="s">
        <v>2455</v>
      </c>
      <c r="I1165" s="9" t="s">
        <v>353</v>
      </c>
      <c r="J1165" s="88"/>
    </row>
    <row r="1166">
      <c r="A1166" s="102" t="s">
        <v>624</v>
      </c>
      <c r="B1166" s="136" t="s">
        <v>226</v>
      </c>
      <c r="C1166" s="91">
        <v>45716.39287393518</v>
      </c>
      <c r="D1166" s="8">
        <f t="shared" si="130"/>
        <v>45720</v>
      </c>
      <c r="E1166" s="9" t="s">
        <v>216</v>
      </c>
      <c r="F1166" s="10"/>
      <c r="G1166" s="9"/>
      <c r="H1166" s="7" t="s">
        <v>2456</v>
      </c>
      <c r="I1166" s="9" t="s">
        <v>353</v>
      </c>
      <c r="J1166" s="88"/>
    </row>
    <row r="1167">
      <c r="A1167" s="102" t="s">
        <v>624</v>
      </c>
      <c r="B1167" s="7" t="s">
        <v>2457</v>
      </c>
      <c r="C1167" s="91">
        <v>45730.46778648148</v>
      </c>
      <c r="D1167" s="8">
        <f t="shared" si="130"/>
        <v>45734</v>
      </c>
      <c r="E1167" s="9" t="s">
        <v>11</v>
      </c>
      <c r="F1167" s="10"/>
      <c r="G1167" s="9" t="s">
        <v>15</v>
      </c>
      <c r="H1167" s="7" t="s">
        <v>2458</v>
      </c>
      <c r="I1167" s="9" t="s">
        <v>353</v>
      </c>
      <c r="J1167" s="88"/>
    </row>
    <row r="1168">
      <c r="A1168" s="78" t="s">
        <v>334</v>
      </c>
      <c r="B1168" s="43" t="s">
        <v>2459</v>
      </c>
      <c r="C1168" s="119">
        <v>45733.0</v>
      </c>
      <c r="D1168" s="80">
        <f t="shared" si="130"/>
        <v>45735</v>
      </c>
      <c r="E1168" s="9" t="s">
        <v>1128</v>
      </c>
      <c r="F1168" s="10"/>
      <c r="G1168" s="9" t="s">
        <v>15</v>
      </c>
      <c r="H1168" s="7" t="s">
        <v>2460</v>
      </c>
      <c r="I1168" s="9" t="s">
        <v>353</v>
      </c>
      <c r="J1168" s="88"/>
    </row>
    <row r="1169">
      <c r="A1169" s="102" t="s">
        <v>624</v>
      </c>
      <c r="B1169" s="7" t="s">
        <v>2461</v>
      </c>
      <c r="C1169" s="91">
        <v>45730.46807690972</v>
      </c>
      <c r="D1169" s="8">
        <f t="shared" si="130"/>
        <v>45734</v>
      </c>
      <c r="E1169" s="9" t="s">
        <v>11</v>
      </c>
      <c r="F1169" s="10"/>
      <c r="G1169" s="9" t="s">
        <v>11</v>
      </c>
      <c r="H1169" s="7" t="s">
        <v>2462</v>
      </c>
      <c r="I1169" s="9" t="s">
        <v>353</v>
      </c>
      <c r="J1169" s="88"/>
    </row>
    <row r="1170">
      <c r="A1170" s="78" t="s">
        <v>334</v>
      </c>
      <c r="B1170" s="43" t="s">
        <v>2463</v>
      </c>
      <c r="C1170" s="119">
        <v>45733.0</v>
      </c>
      <c r="D1170" s="80">
        <f t="shared" si="130"/>
        <v>45735</v>
      </c>
      <c r="E1170" s="9"/>
      <c r="F1170" s="10"/>
      <c r="G1170" s="9" t="s">
        <v>18</v>
      </c>
      <c r="H1170" s="11"/>
      <c r="I1170" s="9" t="s">
        <v>353</v>
      </c>
      <c r="J1170" s="88"/>
    </row>
    <row r="1171">
      <c r="A1171" s="54" t="s">
        <v>236</v>
      </c>
      <c r="B1171" s="7" t="s">
        <v>2464</v>
      </c>
      <c r="C1171" s="91">
        <v>45734.70757798611</v>
      </c>
      <c r="D1171" s="8"/>
      <c r="E1171" s="9"/>
      <c r="F1171" s="10"/>
      <c r="G1171" s="9" t="s">
        <v>15</v>
      </c>
      <c r="H1171" s="7" t="s">
        <v>2465</v>
      </c>
      <c r="I1171" s="9" t="s">
        <v>353</v>
      </c>
      <c r="J1171" s="88"/>
    </row>
    <row r="1172">
      <c r="A1172" s="54" t="s">
        <v>236</v>
      </c>
      <c r="B1172" s="7" t="s">
        <v>2466</v>
      </c>
      <c r="C1172" s="91">
        <v>45694.43914112268</v>
      </c>
      <c r="D1172" s="8">
        <f t="shared" ref="D1172:D1179" si="131">IFERROR(_xlfn.WORKDAY.INTL(C1172, 2),"-")</f>
        <v>45698</v>
      </c>
      <c r="E1172" s="9" t="s">
        <v>11</v>
      </c>
      <c r="F1172" s="10"/>
      <c r="G1172" s="9" t="s">
        <v>15</v>
      </c>
      <c r="H1172" s="7" t="s">
        <v>2467</v>
      </c>
      <c r="I1172" s="9" t="s">
        <v>353</v>
      </c>
      <c r="J1172" s="88"/>
    </row>
    <row r="1173">
      <c r="A1173" s="20" t="s">
        <v>98</v>
      </c>
      <c r="B1173" s="93" t="s">
        <v>2468</v>
      </c>
      <c r="C1173" s="91">
        <v>45587.58367611111</v>
      </c>
      <c r="D1173" s="8">
        <f t="shared" si="131"/>
        <v>45589</v>
      </c>
      <c r="E1173" s="9" t="s">
        <v>11</v>
      </c>
      <c r="F1173" s="10"/>
      <c r="G1173" s="9" t="s">
        <v>18</v>
      </c>
      <c r="H1173" s="23" t="s">
        <v>2469</v>
      </c>
      <c r="I1173" s="9" t="s">
        <v>353</v>
      </c>
      <c r="J1173" s="88"/>
    </row>
    <row r="1174">
      <c r="A1174" s="102" t="s">
        <v>624</v>
      </c>
      <c r="B1174" s="103" t="s">
        <v>2470</v>
      </c>
      <c r="C1174" s="91">
        <v>45540.51378046296</v>
      </c>
      <c r="D1174" s="8">
        <f t="shared" si="131"/>
        <v>45544</v>
      </c>
      <c r="E1174" s="9" t="s">
        <v>88</v>
      </c>
      <c r="F1174" s="10"/>
      <c r="G1174" s="9" t="s">
        <v>11</v>
      </c>
      <c r="H1174" s="7" t="s">
        <v>2471</v>
      </c>
      <c r="I1174" s="9" t="s">
        <v>353</v>
      </c>
      <c r="J1174" s="88"/>
    </row>
    <row r="1175">
      <c r="A1175" s="78" t="s">
        <v>334</v>
      </c>
      <c r="B1175" s="43" t="s">
        <v>2472</v>
      </c>
      <c r="C1175" s="119">
        <v>45734.0</v>
      </c>
      <c r="D1175" s="80">
        <f t="shared" si="131"/>
        <v>45736</v>
      </c>
      <c r="E1175" s="9" t="s">
        <v>1123</v>
      </c>
      <c r="F1175" s="10"/>
      <c r="G1175" s="9" t="s">
        <v>220</v>
      </c>
      <c r="H1175" s="11"/>
      <c r="I1175" s="9" t="s">
        <v>353</v>
      </c>
      <c r="J1175" s="88"/>
    </row>
    <row r="1176">
      <c r="A1176" s="78" t="s">
        <v>334</v>
      </c>
      <c r="B1176" s="43" t="s">
        <v>2473</v>
      </c>
      <c r="C1176" s="119">
        <v>45736.60946694444</v>
      </c>
      <c r="D1176" s="80">
        <f t="shared" si="131"/>
        <v>45740</v>
      </c>
      <c r="E1176" s="9"/>
      <c r="F1176" s="10"/>
      <c r="G1176" s="9" t="s">
        <v>220</v>
      </c>
      <c r="H1176" s="11"/>
      <c r="I1176" s="9" t="s">
        <v>353</v>
      </c>
      <c r="J1176" s="88"/>
    </row>
    <row r="1177">
      <c r="A1177" s="78" t="s">
        <v>334</v>
      </c>
      <c r="B1177" s="43" t="s">
        <v>2474</v>
      </c>
      <c r="C1177" s="119">
        <v>45730.39515855324</v>
      </c>
      <c r="D1177" s="80">
        <f t="shared" si="131"/>
        <v>45734</v>
      </c>
      <c r="E1177" s="9" t="s">
        <v>1128</v>
      </c>
      <c r="F1177" s="10"/>
      <c r="G1177" s="9" t="s">
        <v>15</v>
      </c>
      <c r="H1177" s="7" t="s">
        <v>2475</v>
      </c>
      <c r="I1177" s="9" t="s">
        <v>353</v>
      </c>
      <c r="J1177" s="88"/>
    </row>
    <row r="1178">
      <c r="A1178" s="78" t="s">
        <v>334</v>
      </c>
      <c r="B1178" s="43" t="s">
        <v>2476</v>
      </c>
      <c r="C1178" s="119">
        <v>45707.0</v>
      </c>
      <c r="D1178" s="80">
        <f t="shared" si="131"/>
        <v>45709</v>
      </c>
      <c r="E1178" s="9" t="s">
        <v>1097</v>
      </c>
      <c r="F1178" s="10"/>
      <c r="G1178" s="9" t="s">
        <v>15</v>
      </c>
      <c r="H1178" s="7" t="s">
        <v>2477</v>
      </c>
      <c r="I1178" s="9" t="s">
        <v>353</v>
      </c>
      <c r="J1178" s="88"/>
    </row>
    <row r="1179">
      <c r="A1179" s="6" t="s">
        <v>9</v>
      </c>
      <c r="B1179" s="7" t="s">
        <v>2478</v>
      </c>
      <c r="C1179" s="91">
        <v>45736.39845824074</v>
      </c>
      <c r="D1179" s="8">
        <f t="shared" si="131"/>
        <v>45740</v>
      </c>
      <c r="E1179" s="9" t="s">
        <v>11</v>
      </c>
      <c r="F1179" s="10"/>
      <c r="G1179" s="9" t="s">
        <v>15</v>
      </c>
      <c r="H1179" s="7" t="s">
        <v>2479</v>
      </c>
      <c r="I1179" s="9" t="s">
        <v>353</v>
      </c>
      <c r="J1179" s="88"/>
    </row>
    <row r="1180">
      <c r="A1180" s="20" t="s">
        <v>98</v>
      </c>
      <c r="B1180" s="9" t="s">
        <v>2480</v>
      </c>
      <c r="C1180" s="91">
        <v>45730.46145004629</v>
      </c>
      <c r="D1180" s="8"/>
      <c r="E1180" s="9"/>
      <c r="F1180" s="10"/>
      <c r="G1180" s="9" t="s">
        <v>15</v>
      </c>
      <c r="H1180" s="7" t="s">
        <v>2481</v>
      </c>
      <c r="I1180" s="9" t="s">
        <v>353</v>
      </c>
      <c r="J1180" s="88"/>
    </row>
    <row r="1181">
      <c r="A1181" s="20" t="s">
        <v>98</v>
      </c>
      <c r="B1181" s="9" t="s">
        <v>2482</v>
      </c>
      <c r="C1181" s="91">
        <v>45330.3893809838</v>
      </c>
      <c r="D1181" s="8">
        <f t="shared" ref="D1181:D1183" si="132">IFERROR(_xlfn.WORKDAY.INTL(C1181, 2),"-")</f>
        <v>45334</v>
      </c>
      <c r="E1181" s="9" t="s">
        <v>88</v>
      </c>
      <c r="F1181" s="10"/>
      <c r="G1181" s="9" t="s">
        <v>15</v>
      </c>
      <c r="H1181" s="62" t="s">
        <v>2483</v>
      </c>
      <c r="I1181" s="9" t="s">
        <v>353</v>
      </c>
      <c r="J1181" s="88"/>
    </row>
    <row r="1182">
      <c r="A1182" s="20" t="s">
        <v>98</v>
      </c>
      <c r="B1182" s="9" t="s">
        <v>2484</v>
      </c>
      <c r="C1182" s="91">
        <v>45666.40167795139</v>
      </c>
      <c r="D1182" s="8">
        <f t="shared" si="132"/>
        <v>45670</v>
      </c>
      <c r="E1182" s="9" t="s">
        <v>11</v>
      </c>
      <c r="F1182" s="10"/>
      <c r="G1182" s="9" t="s">
        <v>18</v>
      </c>
      <c r="H1182" s="23" t="s">
        <v>2485</v>
      </c>
      <c r="I1182" s="9" t="s">
        <v>353</v>
      </c>
      <c r="J1182" s="88"/>
    </row>
    <row r="1183">
      <c r="A1183" s="6" t="s">
        <v>9</v>
      </c>
      <c r="B1183" s="7" t="s">
        <v>2486</v>
      </c>
      <c r="C1183" s="91">
        <v>45734.67238053241</v>
      </c>
      <c r="D1183" s="8">
        <f t="shared" si="132"/>
        <v>45736</v>
      </c>
      <c r="E1183" s="9" t="s">
        <v>11</v>
      </c>
      <c r="F1183" s="10"/>
      <c r="G1183" s="9" t="s">
        <v>15</v>
      </c>
      <c r="H1183" s="7" t="s">
        <v>2487</v>
      </c>
      <c r="I1183" s="9" t="s">
        <v>353</v>
      </c>
      <c r="J1183" s="88"/>
    </row>
    <row r="1184">
      <c r="A1184" s="20" t="s">
        <v>98</v>
      </c>
      <c r="B1184" s="9" t="s">
        <v>2488</v>
      </c>
      <c r="C1184" s="91">
        <v>45672.37568636574</v>
      </c>
      <c r="D1184" s="8">
        <v>45674.0</v>
      </c>
      <c r="E1184" s="9"/>
      <c r="F1184" s="10"/>
      <c r="G1184" s="9" t="s">
        <v>18</v>
      </c>
      <c r="H1184" s="7" t="s">
        <v>2489</v>
      </c>
      <c r="I1184" s="9" t="s">
        <v>353</v>
      </c>
      <c r="J1184" s="88"/>
    </row>
    <row r="1185">
      <c r="A1185" s="20" t="s">
        <v>98</v>
      </c>
      <c r="B1185" s="9" t="s">
        <v>2490</v>
      </c>
      <c r="C1185" s="91">
        <v>45733.74297140047</v>
      </c>
      <c r="D1185" s="8"/>
      <c r="E1185" s="9"/>
      <c r="F1185" s="10"/>
      <c r="G1185" s="9" t="s">
        <v>18</v>
      </c>
      <c r="H1185" s="7" t="s">
        <v>2491</v>
      </c>
      <c r="I1185" s="9" t="s">
        <v>353</v>
      </c>
      <c r="J1185" s="88"/>
    </row>
    <row r="1186">
      <c r="A1186" s="20" t="s">
        <v>98</v>
      </c>
      <c r="B1186" s="9" t="s">
        <v>2492</v>
      </c>
      <c r="C1186" s="91">
        <v>45601.77997355324</v>
      </c>
      <c r="D1186" s="8">
        <f t="shared" ref="D1186:D1189" si="133">IFERROR(_xlfn.WORKDAY.INTL(C1186, 2),"-")</f>
        <v>45603</v>
      </c>
      <c r="E1186" s="9" t="s">
        <v>11</v>
      </c>
      <c r="F1186" s="10"/>
      <c r="G1186" s="9" t="s">
        <v>21</v>
      </c>
      <c r="H1186" s="22" t="s">
        <v>2493</v>
      </c>
      <c r="I1186" s="9" t="s">
        <v>353</v>
      </c>
      <c r="J1186" s="88"/>
    </row>
    <row r="1187">
      <c r="A1187" s="20" t="s">
        <v>98</v>
      </c>
      <c r="B1187" s="9" t="s">
        <v>2494</v>
      </c>
      <c r="C1187" s="91">
        <v>45601.77994943287</v>
      </c>
      <c r="D1187" s="8">
        <f t="shared" si="133"/>
        <v>45603</v>
      </c>
      <c r="E1187" s="9" t="s">
        <v>11</v>
      </c>
      <c r="F1187" s="10"/>
      <c r="G1187" s="9" t="s">
        <v>15</v>
      </c>
      <c r="H1187" s="7" t="s">
        <v>2495</v>
      </c>
      <c r="I1187" s="9" t="s">
        <v>353</v>
      </c>
      <c r="J1187" s="88"/>
    </row>
    <row r="1188">
      <c r="A1188" s="102" t="s">
        <v>624</v>
      </c>
      <c r="B1188" s="136" t="s">
        <v>2496</v>
      </c>
      <c r="C1188" s="91" t="s">
        <v>11</v>
      </c>
      <c r="D1188" s="8" t="str">
        <f t="shared" si="133"/>
        <v>-</v>
      </c>
      <c r="E1188" s="9" t="s">
        <v>216</v>
      </c>
      <c r="F1188" s="10"/>
      <c r="G1188" s="9" t="s">
        <v>11</v>
      </c>
      <c r="H1188" s="7" t="s">
        <v>2497</v>
      </c>
      <c r="I1188" s="9" t="s">
        <v>353</v>
      </c>
      <c r="J1188" s="88"/>
    </row>
    <row r="1189">
      <c r="A1189" s="78" t="s">
        <v>334</v>
      </c>
      <c r="B1189" s="43" t="s">
        <v>2498</v>
      </c>
      <c r="C1189" s="119">
        <v>45734.56999309028</v>
      </c>
      <c r="D1189" s="80">
        <f t="shared" si="133"/>
        <v>45736</v>
      </c>
      <c r="E1189" s="9" t="s">
        <v>1128</v>
      </c>
      <c r="F1189" s="10"/>
      <c r="G1189" s="9" t="s">
        <v>15</v>
      </c>
      <c r="H1189" s="7" t="s">
        <v>2499</v>
      </c>
      <c r="I1189" s="9" t="s">
        <v>353</v>
      </c>
      <c r="J1189" s="88"/>
    </row>
    <row r="1190">
      <c r="A1190" s="54" t="s">
        <v>236</v>
      </c>
      <c r="B1190" s="7" t="s">
        <v>2500</v>
      </c>
      <c r="C1190" s="91">
        <v>45730.4410668287</v>
      </c>
      <c r="D1190" s="8"/>
      <c r="E1190" s="9"/>
      <c r="F1190" s="10"/>
      <c r="G1190" s="9" t="s">
        <v>15</v>
      </c>
      <c r="H1190" s="7" t="s">
        <v>2501</v>
      </c>
      <c r="I1190" s="9" t="s">
        <v>353</v>
      </c>
      <c r="J1190" s="88"/>
    </row>
    <row r="1191">
      <c r="A1191" s="54" t="s">
        <v>236</v>
      </c>
      <c r="B1191" s="125" t="s">
        <v>2502</v>
      </c>
      <c r="C1191" s="91">
        <v>45701.43194372686</v>
      </c>
      <c r="D1191" s="8">
        <f t="shared" ref="D1191:D1193" si="134">IFERROR(_xlfn.WORKDAY.INTL(C1191, 2),"-")</f>
        <v>45705</v>
      </c>
      <c r="E1191" s="9" t="s">
        <v>11</v>
      </c>
      <c r="F1191" s="10"/>
      <c r="G1191" s="9" t="s">
        <v>220</v>
      </c>
      <c r="H1191" s="7" t="s">
        <v>2503</v>
      </c>
      <c r="I1191" s="9" t="s">
        <v>13</v>
      </c>
      <c r="J1191" s="88"/>
    </row>
    <row r="1192">
      <c r="A1192" s="20" t="s">
        <v>98</v>
      </c>
      <c r="B1192" s="9" t="s">
        <v>2504</v>
      </c>
      <c r="C1192" s="91">
        <v>45594.430878287036</v>
      </c>
      <c r="D1192" s="8">
        <f t="shared" si="134"/>
        <v>45596</v>
      </c>
      <c r="E1192" s="9" t="s">
        <v>11</v>
      </c>
      <c r="F1192" s="10"/>
      <c r="G1192" s="9" t="s">
        <v>21</v>
      </c>
      <c r="H1192" s="22" t="s">
        <v>2505</v>
      </c>
      <c r="I1192" s="9" t="s">
        <v>353</v>
      </c>
      <c r="J1192" s="88"/>
    </row>
    <row r="1193">
      <c r="A1193" s="78" t="s">
        <v>334</v>
      </c>
      <c r="B1193" s="43" t="s">
        <v>2506</v>
      </c>
      <c r="C1193" s="119">
        <v>45674.0</v>
      </c>
      <c r="D1193" s="80">
        <f t="shared" si="134"/>
        <v>45678</v>
      </c>
      <c r="E1193" s="9" t="s">
        <v>1097</v>
      </c>
      <c r="F1193" s="10"/>
      <c r="G1193" s="9" t="s">
        <v>18</v>
      </c>
      <c r="H1193" s="7" t="s">
        <v>2507</v>
      </c>
      <c r="I1193" s="9" t="s">
        <v>353</v>
      </c>
      <c r="J1193" s="88"/>
    </row>
    <row r="1194">
      <c r="A1194" s="20" t="s">
        <v>98</v>
      </c>
      <c r="B1194" s="9" t="s">
        <v>2508</v>
      </c>
      <c r="C1194" s="91">
        <v>45730.364168113425</v>
      </c>
      <c r="D1194" s="8"/>
      <c r="E1194" s="9"/>
      <c r="F1194" s="10"/>
      <c r="G1194" s="9" t="s">
        <v>18</v>
      </c>
      <c r="H1194" s="7" t="s">
        <v>2509</v>
      </c>
      <c r="I1194" s="9" t="s">
        <v>353</v>
      </c>
      <c r="J1194" s="88"/>
    </row>
    <row r="1195">
      <c r="A1195" s="20" t="s">
        <v>98</v>
      </c>
      <c r="B1195" s="9" t="s">
        <v>2510</v>
      </c>
      <c r="C1195" s="91">
        <v>45700.37372538194</v>
      </c>
      <c r="D1195" s="8"/>
      <c r="E1195" s="9"/>
      <c r="F1195" s="10"/>
      <c r="G1195" s="9" t="s">
        <v>18</v>
      </c>
      <c r="H1195" s="7" t="s">
        <v>2511</v>
      </c>
      <c r="I1195" s="9" t="s">
        <v>353</v>
      </c>
      <c r="J1195" s="88"/>
    </row>
    <row r="1196">
      <c r="A1196" s="20" t="s">
        <v>98</v>
      </c>
      <c r="B1196" s="9" t="s">
        <v>2512</v>
      </c>
      <c r="C1196" s="91">
        <v>45730.402798194445</v>
      </c>
      <c r="D1196" s="8"/>
      <c r="E1196" s="9"/>
      <c r="F1196" s="10"/>
      <c r="G1196" s="9" t="s">
        <v>15</v>
      </c>
      <c r="H1196" s="7" t="s">
        <v>2513</v>
      </c>
      <c r="I1196" s="9" t="s">
        <v>353</v>
      </c>
      <c r="J1196" s="88"/>
    </row>
    <row r="1197">
      <c r="A1197" s="102"/>
      <c r="B1197" s="7" t="s">
        <v>2514</v>
      </c>
      <c r="C1197" s="91">
        <v>45730.46761796296</v>
      </c>
      <c r="D1197" s="8"/>
      <c r="E1197" s="9"/>
      <c r="F1197" s="10"/>
      <c r="G1197" s="9" t="s">
        <v>11</v>
      </c>
      <c r="H1197" s="129" t="s">
        <v>2515</v>
      </c>
      <c r="I1197" s="9" t="s">
        <v>353</v>
      </c>
      <c r="J1197" s="88"/>
    </row>
    <row r="1198">
      <c r="A1198" s="102" t="s">
        <v>624</v>
      </c>
      <c r="B1198" s="136" t="s">
        <v>2516</v>
      </c>
      <c r="C1198" s="91">
        <v>45716.41451494213</v>
      </c>
      <c r="D1198" s="8">
        <f t="shared" ref="D1198:D1199" si="135">IFERROR(_xlfn.WORKDAY.INTL(C1198, 2),"-")</f>
        <v>45720</v>
      </c>
      <c r="E1198" s="9" t="s">
        <v>216</v>
      </c>
      <c r="F1198" s="10"/>
      <c r="G1198" s="9" t="s">
        <v>11</v>
      </c>
      <c r="H1198" s="129" t="s">
        <v>2517</v>
      </c>
      <c r="I1198" s="9" t="s">
        <v>353</v>
      </c>
      <c r="J1198" s="88"/>
    </row>
    <row r="1199">
      <c r="A1199" s="102" t="s">
        <v>624</v>
      </c>
      <c r="B1199" s="7" t="s">
        <v>224</v>
      </c>
      <c r="C1199" s="91">
        <v>45716.45266252315</v>
      </c>
      <c r="D1199" s="8">
        <f t="shared" si="135"/>
        <v>45720</v>
      </c>
      <c r="E1199" s="9" t="s">
        <v>11</v>
      </c>
      <c r="F1199" s="10"/>
      <c r="G1199" s="9" t="s">
        <v>11</v>
      </c>
      <c r="H1199" s="129" t="s">
        <v>2518</v>
      </c>
      <c r="I1199" s="9" t="s">
        <v>353</v>
      </c>
      <c r="J1199" s="88"/>
    </row>
    <row r="1200">
      <c r="A1200" s="54" t="s">
        <v>236</v>
      </c>
      <c r="B1200" s="43" t="s">
        <v>2519</v>
      </c>
      <c r="C1200" s="91">
        <v>45730.458714189816</v>
      </c>
      <c r="D1200" s="8"/>
      <c r="E1200" s="9"/>
      <c r="F1200" s="10"/>
      <c r="G1200" s="9"/>
      <c r="H1200" s="7" t="s">
        <v>2520</v>
      </c>
      <c r="I1200" s="9" t="s">
        <v>353</v>
      </c>
      <c r="J1200" s="88"/>
    </row>
    <row r="1201">
      <c r="A1201" s="20" t="s">
        <v>98</v>
      </c>
      <c r="B1201" s="9" t="s">
        <v>2521</v>
      </c>
      <c r="C1201" s="91">
        <v>45726.42448084491</v>
      </c>
      <c r="D1201" s="8"/>
      <c r="E1201" s="9"/>
      <c r="F1201" s="10"/>
      <c r="G1201" s="9" t="s">
        <v>15</v>
      </c>
      <c r="H1201" s="7" t="s">
        <v>2522</v>
      </c>
      <c r="I1201" s="9" t="s">
        <v>353</v>
      </c>
      <c r="J1201" s="88"/>
    </row>
    <row r="1202">
      <c r="A1202" s="54" t="s">
        <v>236</v>
      </c>
      <c r="B1202" s="141" t="s">
        <v>2523</v>
      </c>
      <c r="C1202" s="91">
        <v>45730.45678828703</v>
      </c>
      <c r="D1202" s="8"/>
      <c r="E1202" s="9"/>
      <c r="F1202" s="10"/>
      <c r="G1202" s="9"/>
      <c r="H1202" s="7" t="s">
        <v>2524</v>
      </c>
      <c r="I1202" s="9" t="s">
        <v>353</v>
      </c>
      <c r="J1202" s="88"/>
    </row>
    <row r="1203">
      <c r="A1203" s="54" t="s">
        <v>236</v>
      </c>
      <c r="B1203" s="125" t="s">
        <v>2525</v>
      </c>
      <c r="C1203" s="91">
        <v>45701.42523653935</v>
      </c>
      <c r="D1203" s="8">
        <f>IFERROR(_xlfn.WORKDAY.INTL(C1203, 2),"-")</f>
        <v>45705</v>
      </c>
      <c r="E1203" s="9" t="s">
        <v>11</v>
      </c>
      <c r="F1203" s="10"/>
      <c r="G1203" s="9" t="s">
        <v>220</v>
      </c>
      <c r="H1203" s="7" t="s">
        <v>2526</v>
      </c>
      <c r="I1203" s="9" t="s">
        <v>353</v>
      </c>
      <c r="J1203" s="88"/>
    </row>
    <row r="1204">
      <c r="A1204" s="54"/>
      <c r="B1204" s="125" t="s">
        <v>2527</v>
      </c>
      <c r="C1204" s="91">
        <v>45729.73009052083</v>
      </c>
      <c r="D1204" s="8"/>
      <c r="E1204" s="9"/>
      <c r="F1204" s="10"/>
      <c r="G1204" s="9" t="s">
        <v>15</v>
      </c>
      <c r="H1204" s="7" t="s">
        <v>2528</v>
      </c>
      <c r="I1204" s="9" t="s">
        <v>353</v>
      </c>
      <c r="J1204" s="88"/>
    </row>
    <row r="1205">
      <c r="A1205" s="54" t="s">
        <v>236</v>
      </c>
      <c r="B1205" s="7" t="s">
        <v>2529</v>
      </c>
      <c r="C1205" s="91">
        <v>45729.71467295139</v>
      </c>
      <c r="D1205" s="8"/>
      <c r="E1205" s="9"/>
      <c r="F1205" s="10"/>
      <c r="G1205" s="9" t="s">
        <v>15</v>
      </c>
      <c r="H1205" s="7" t="s">
        <v>2530</v>
      </c>
      <c r="I1205" s="9" t="s">
        <v>353</v>
      </c>
      <c r="J1205" s="88"/>
    </row>
    <row r="1206">
      <c r="A1206" s="102"/>
      <c r="B1206" s="7" t="s">
        <v>2531</v>
      </c>
      <c r="C1206" s="91">
        <v>45730.447546875</v>
      </c>
      <c r="D1206" s="8"/>
      <c r="E1206" s="9"/>
      <c r="F1206" s="10"/>
      <c r="G1206" s="9" t="s">
        <v>11</v>
      </c>
      <c r="H1206" s="7" t="s">
        <v>2532</v>
      </c>
      <c r="I1206" s="9" t="s">
        <v>353</v>
      </c>
      <c r="J1206" s="88"/>
    </row>
    <row r="1207">
      <c r="A1207" s="54" t="s">
        <v>236</v>
      </c>
      <c r="B1207" s="7" t="s">
        <v>2533</v>
      </c>
      <c r="C1207" s="91">
        <v>45713.65063554398</v>
      </c>
      <c r="D1207" s="8">
        <f t="shared" ref="D1207:D1209" si="136">IFERROR(_xlfn.WORKDAY.INTL(C1207, 2),"-")</f>
        <v>45715</v>
      </c>
      <c r="E1207" s="9" t="s">
        <v>11</v>
      </c>
      <c r="F1207" s="10"/>
      <c r="G1207" s="9" t="s">
        <v>220</v>
      </c>
      <c r="H1207" s="7" t="s">
        <v>2534</v>
      </c>
      <c r="I1207" s="9" t="s">
        <v>353</v>
      </c>
      <c r="J1207" s="88"/>
    </row>
    <row r="1208">
      <c r="A1208" s="78" t="s">
        <v>334</v>
      </c>
      <c r="B1208" s="43" t="s">
        <v>2535</v>
      </c>
      <c r="C1208" s="119">
        <v>45713.0</v>
      </c>
      <c r="D1208" s="80">
        <f t="shared" si="136"/>
        <v>45715</v>
      </c>
      <c r="E1208" s="9" t="s">
        <v>1097</v>
      </c>
      <c r="F1208" s="10"/>
      <c r="G1208" s="9" t="s">
        <v>220</v>
      </c>
      <c r="H1208" s="11"/>
      <c r="I1208" s="9" t="s">
        <v>353</v>
      </c>
      <c r="J1208" s="88"/>
    </row>
    <row r="1209">
      <c r="A1209" s="78" t="s">
        <v>334</v>
      </c>
      <c r="B1209" s="43" t="s">
        <v>2536</v>
      </c>
      <c r="C1209" s="119">
        <v>45719.0</v>
      </c>
      <c r="D1209" s="80">
        <f t="shared" si="136"/>
        <v>45721</v>
      </c>
      <c r="E1209" s="9" t="s">
        <v>1123</v>
      </c>
      <c r="F1209" s="10"/>
      <c r="G1209" s="9" t="s">
        <v>220</v>
      </c>
      <c r="H1209" s="7" t="s">
        <v>2537</v>
      </c>
      <c r="I1209" s="9" t="s">
        <v>353</v>
      </c>
      <c r="J1209" s="88"/>
    </row>
    <row r="1210">
      <c r="A1210" s="54" t="s">
        <v>236</v>
      </c>
      <c r="B1210" s="43" t="s">
        <v>2527</v>
      </c>
      <c r="C1210" s="91">
        <v>45729.727749513884</v>
      </c>
      <c r="D1210" s="8"/>
      <c r="E1210" s="9"/>
      <c r="F1210" s="10"/>
      <c r="G1210" s="9"/>
      <c r="H1210" s="11"/>
      <c r="I1210" s="9" t="s">
        <v>13</v>
      </c>
      <c r="J1210" s="88"/>
    </row>
    <row r="1211">
      <c r="A1211" s="88"/>
      <c r="B1211" s="89"/>
      <c r="C1211" s="90"/>
      <c r="D1211" s="89"/>
      <c r="E1211" s="89"/>
      <c r="F1211" s="89"/>
      <c r="G1211" s="89"/>
      <c r="H1211" s="87"/>
      <c r="I1211" s="89"/>
      <c r="J1211" s="88"/>
    </row>
    <row r="1212">
      <c r="A1212" s="78" t="s">
        <v>334</v>
      </c>
      <c r="B1212" s="43" t="s">
        <v>2538</v>
      </c>
      <c r="C1212" s="119">
        <v>45705.0</v>
      </c>
      <c r="D1212" s="79">
        <v>45713.66563644676</v>
      </c>
      <c r="E1212" s="9" t="s">
        <v>1128</v>
      </c>
      <c r="F1212" s="8"/>
      <c r="G1212" s="9" t="s">
        <v>18</v>
      </c>
      <c r="H1212" s="7" t="s">
        <v>2539</v>
      </c>
      <c r="I1212" s="9" t="s">
        <v>353</v>
      </c>
      <c r="J1212" s="88"/>
    </row>
    <row r="1213">
      <c r="A1213" s="6" t="s">
        <v>9</v>
      </c>
      <c r="B1213" s="7" t="s">
        <v>2540</v>
      </c>
      <c r="C1213" s="91">
        <v>45730.381527060184</v>
      </c>
      <c r="D1213" s="8">
        <f t="shared" ref="D1213:D1219" si="137">IFERROR(_xlfn.WORKDAY.INTL(C1213, 2),"-")</f>
        <v>45734</v>
      </c>
      <c r="E1213" s="9" t="s">
        <v>11</v>
      </c>
      <c r="F1213" s="10"/>
      <c r="G1213" s="9" t="s">
        <v>12</v>
      </c>
      <c r="H1213" s="7" t="s">
        <v>2541</v>
      </c>
      <c r="I1213" s="9" t="s">
        <v>353</v>
      </c>
      <c r="J1213" s="88"/>
    </row>
    <row r="1214">
      <c r="A1214" s="78" t="s">
        <v>334</v>
      </c>
      <c r="B1214" s="43" t="s">
        <v>2542</v>
      </c>
      <c r="C1214" s="119">
        <v>45712.66466918981</v>
      </c>
      <c r="D1214" s="80">
        <f t="shared" si="137"/>
        <v>45714</v>
      </c>
      <c r="E1214" s="9" t="s">
        <v>1123</v>
      </c>
      <c r="F1214" s="10"/>
      <c r="G1214" s="9" t="s">
        <v>15</v>
      </c>
      <c r="H1214" s="7" t="s">
        <v>2543</v>
      </c>
      <c r="I1214" s="9" t="s">
        <v>353</v>
      </c>
      <c r="J1214" s="88"/>
    </row>
    <row r="1215">
      <c r="A1215" s="78" t="s">
        <v>334</v>
      </c>
      <c r="B1215" s="43" t="s">
        <v>2544</v>
      </c>
      <c r="C1215" s="119">
        <v>45712.0</v>
      </c>
      <c r="D1215" s="80">
        <f t="shared" si="137"/>
        <v>45714</v>
      </c>
      <c r="E1215" s="9" t="s">
        <v>1097</v>
      </c>
      <c r="F1215" s="10"/>
      <c r="G1215" s="9" t="s">
        <v>15</v>
      </c>
      <c r="H1215" s="7" t="s">
        <v>2545</v>
      </c>
      <c r="I1215" s="9" t="s">
        <v>353</v>
      </c>
      <c r="J1215" s="88"/>
    </row>
    <row r="1216">
      <c r="A1216" s="78" t="s">
        <v>334</v>
      </c>
      <c r="B1216" s="142" t="s">
        <v>2546</v>
      </c>
      <c r="C1216" s="119">
        <v>45712.0</v>
      </c>
      <c r="D1216" s="80">
        <f t="shared" si="137"/>
        <v>45714</v>
      </c>
      <c r="E1216" s="9" t="s">
        <v>1489</v>
      </c>
      <c r="F1216" s="10"/>
      <c r="G1216" s="9" t="s">
        <v>15</v>
      </c>
      <c r="H1216" s="7" t="s">
        <v>2547</v>
      </c>
      <c r="I1216" s="9" t="s">
        <v>353</v>
      </c>
      <c r="J1216" s="88"/>
    </row>
    <row r="1217">
      <c r="A1217" s="78" t="s">
        <v>334</v>
      </c>
      <c r="B1217" s="43" t="s">
        <v>2548</v>
      </c>
      <c r="C1217" s="119">
        <v>45699.0</v>
      </c>
      <c r="D1217" s="80">
        <f t="shared" si="137"/>
        <v>45701</v>
      </c>
      <c r="E1217" s="9" t="s">
        <v>1128</v>
      </c>
      <c r="F1217" s="10"/>
      <c r="G1217" s="9" t="s">
        <v>220</v>
      </c>
      <c r="H1217" s="7" t="s">
        <v>2549</v>
      </c>
      <c r="I1217" s="9" t="s">
        <v>353</v>
      </c>
      <c r="J1217" s="88"/>
    </row>
    <row r="1218">
      <c r="A1218" s="78" t="s">
        <v>334</v>
      </c>
      <c r="B1218" s="43" t="s">
        <v>2550</v>
      </c>
      <c r="C1218" s="119">
        <v>45673.0</v>
      </c>
      <c r="D1218" s="80">
        <f t="shared" si="137"/>
        <v>45677</v>
      </c>
      <c r="E1218" s="9" t="s">
        <v>1097</v>
      </c>
      <c r="F1218" s="10"/>
      <c r="G1218" s="9" t="s">
        <v>89</v>
      </c>
      <c r="H1218" s="7" t="s">
        <v>2551</v>
      </c>
      <c r="I1218" s="9" t="s">
        <v>353</v>
      </c>
      <c r="J1218" s="88"/>
    </row>
    <row r="1219">
      <c r="A1219" s="102" t="s">
        <v>624</v>
      </c>
      <c r="B1219" s="7" t="s">
        <v>2552</v>
      </c>
      <c r="C1219" s="91">
        <v>45716.454059386575</v>
      </c>
      <c r="D1219" s="8">
        <f t="shared" si="137"/>
        <v>45720</v>
      </c>
      <c r="E1219" s="9" t="s">
        <v>11</v>
      </c>
      <c r="F1219" s="10"/>
      <c r="G1219" s="9" t="s">
        <v>15</v>
      </c>
      <c r="H1219" s="129" t="s">
        <v>2553</v>
      </c>
      <c r="I1219" s="9" t="s">
        <v>13</v>
      </c>
      <c r="J1219" s="88"/>
    </row>
    <row r="1220">
      <c r="A1220" s="88"/>
      <c r="B1220" s="89"/>
      <c r="C1220" s="90"/>
      <c r="D1220" s="89"/>
      <c r="E1220" s="89"/>
      <c r="F1220" s="89"/>
      <c r="G1220" s="89"/>
      <c r="H1220" s="87"/>
      <c r="I1220" s="89"/>
      <c r="J1220" s="88"/>
    </row>
    <row r="1221">
      <c r="A1221" s="102" t="s">
        <v>624</v>
      </c>
      <c r="B1221" s="7" t="s">
        <v>2554</v>
      </c>
      <c r="C1221" s="91">
        <v>45716.444713564815</v>
      </c>
      <c r="D1221" s="8">
        <f>IFERROR(_xlfn.WORKDAY.INTL(C1221, 2),"-")</f>
        <v>45720</v>
      </c>
      <c r="E1221" s="9" t="s">
        <v>11</v>
      </c>
      <c r="F1221" s="10"/>
      <c r="G1221" s="9" t="s">
        <v>11</v>
      </c>
      <c r="H1221" s="129" t="s">
        <v>2555</v>
      </c>
      <c r="I1221" s="9" t="s">
        <v>353</v>
      </c>
      <c r="J1221" s="88"/>
    </row>
    <row r="1222">
      <c r="A1222" s="20" t="s">
        <v>98</v>
      </c>
      <c r="B1222" s="9" t="s">
        <v>2556</v>
      </c>
      <c r="C1222" s="91">
        <v>45719.40129028935</v>
      </c>
      <c r="D1222" s="8"/>
      <c r="E1222" s="9"/>
      <c r="F1222" s="10"/>
      <c r="G1222" s="9" t="s">
        <v>15</v>
      </c>
      <c r="H1222" s="7" t="s">
        <v>2557</v>
      </c>
      <c r="I1222" s="9" t="s">
        <v>353</v>
      </c>
      <c r="J1222" s="88"/>
    </row>
    <row r="1223">
      <c r="A1223" s="54" t="s">
        <v>236</v>
      </c>
      <c r="B1223" s="7" t="s">
        <v>2558</v>
      </c>
      <c r="C1223" s="91">
        <v>45729.720012164355</v>
      </c>
      <c r="D1223" s="8"/>
      <c r="E1223" s="9"/>
      <c r="F1223" s="10"/>
      <c r="G1223" s="9"/>
      <c r="H1223" s="7" t="s">
        <v>2559</v>
      </c>
      <c r="I1223" s="9" t="s">
        <v>353</v>
      </c>
      <c r="J1223" s="88"/>
    </row>
    <row r="1224">
      <c r="A1224" s="54" t="s">
        <v>236</v>
      </c>
      <c r="B1224" s="7" t="s">
        <v>2560</v>
      </c>
      <c r="C1224" s="91">
        <v>45729.717376030094</v>
      </c>
      <c r="D1224" s="8"/>
      <c r="E1224" s="9"/>
      <c r="F1224" s="10"/>
      <c r="G1224" s="9"/>
      <c r="H1224" s="7" t="s">
        <v>2561</v>
      </c>
      <c r="I1224" s="9" t="s">
        <v>353</v>
      </c>
      <c r="J1224" s="88"/>
    </row>
    <row r="1225">
      <c r="A1225" s="54" t="s">
        <v>236</v>
      </c>
      <c r="B1225" s="7" t="s">
        <v>2562</v>
      </c>
      <c r="C1225" s="91">
        <v>45729.71703209491</v>
      </c>
      <c r="D1225" s="8"/>
      <c r="E1225" s="9"/>
      <c r="F1225" s="10"/>
      <c r="G1225" s="9"/>
      <c r="H1225" s="7" t="s">
        <v>2563</v>
      </c>
      <c r="I1225" s="9" t="s">
        <v>353</v>
      </c>
      <c r="J1225" s="88"/>
    </row>
    <row r="1226">
      <c r="A1226" s="54" t="s">
        <v>236</v>
      </c>
      <c r="B1226" s="7" t="s">
        <v>2564</v>
      </c>
      <c r="C1226" s="91">
        <v>45729.715645625</v>
      </c>
      <c r="D1226" s="8"/>
      <c r="E1226" s="9"/>
      <c r="F1226" s="10"/>
      <c r="G1226" s="9"/>
      <c r="H1226" s="7" t="s">
        <v>2565</v>
      </c>
      <c r="I1226" s="9" t="s">
        <v>353</v>
      </c>
      <c r="J1226" s="88"/>
    </row>
    <row r="1227">
      <c r="A1227" s="54" t="s">
        <v>236</v>
      </c>
      <c r="B1227" s="7" t="s">
        <v>2566</v>
      </c>
      <c r="C1227" s="91">
        <v>45729.712325949076</v>
      </c>
      <c r="D1227" s="8"/>
      <c r="E1227" s="9"/>
      <c r="F1227" s="10"/>
      <c r="G1227" s="9" t="s">
        <v>18</v>
      </c>
      <c r="H1227" s="7" t="s">
        <v>2567</v>
      </c>
      <c r="I1227" s="9" t="s">
        <v>353</v>
      </c>
      <c r="J1227" s="88"/>
    </row>
    <row r="1228">
      <c r="A1228" s="54" t="s">
        <v>236</v>
      </c>
      <c r="B1228" s="7" t="s">
        <v>2568</v>
      </c>
      <c r="C1228" s="91">
        <v>45729.71196194444</v>
      </c>
      <c r="D1228" s="8"/>
      <c r="E1228" s="9"/>
      <c r="F1228" s="10"/>
      <c r="G1228" s="9"/>
      <c r="H1228" s="7" t="s">
        <v>2569</v>
      </c>
      <c r="I1228" s="9" t="s">
        <v>353</v>
      </c>
      <c r="J1228" s="88"/>
    </row>
    <row r="1229">
      <c r="A1229" s="54" t="s">
        <v>236</v>
      </c>
      <c r="B1229" s="7" t="s">
        <v>2570</v>
      </c>
      <c r="C1229" s="91">
        <v>45729.71169532408</v>
      </c>
      <c r="D1229" s="8"/>
      <c r="E1229" s="9"/>
      <c r="F1229" s="10"/>
      <c r="G1229" s="9"/>
      <c r="H1229" s="7" t="s">
        <v>2571</v>
      </c>
      <c r="I1229" s="9" t="s">
        <v>353</v>
      </c>
      <c r="J1229" s="88"/>
    </row>
    <row r="1230">
      <c r="A1230" s="54" t="s">
        <v>236</v>
      </c>
      <c r="B1230" s="7" t="s">
        <v>2572</v>
      </c>
      <c r="C1230" s="91">
        <v>45729.71114959491</v>
      </c>
      <c r="D1230" s="8"/>
      <c r="E1230" s="9"/>
      <c r="F1230" s="10"/>
      <c r="G1230" s="9" t="s">
        <v>220</v>
      </c>
      <c r="H1230" s="7" t="s">
        <v>2573</v>
      </c>
      <c r="I1230" s="9" t="s">
        <v>353</v>
      </c>
      <c r="J1230" s="88"/>
    </row>
    <row r="1231">
      <c r="A1231" s="54" t="s">
        <v>236</v>
      </c>
      <c r="B1231" s="7" t="s">
        <v>2574</v>
      </c>
      <c r="C1231" s="91">
        <v>45729.71044949074</v>
      </c>
      <c r="D1231" s="8"/>
      <c r="E1231" s="9"/>
      <c r="F1231" s="10"/>
      <c r="G1231" s="9" t="s">
        <v>220</v>
      </c>
      <c r="H1231" s="7" t="s">
        <v>2575</v>
      </c>
      <c r="I1231" s="9" t="s">
        <v>353</v>
      </c>
      <c r="J1231" s="88"/>
    </row>
    <row r="1232">
      <c r="A1232" s="54" t="s">
        <v>236</v>
      </c>
      <c r="B1232" s="7" t="s">
        <v>2576</v>
      </c>
      <c r="C1232" s="91">
        <v>45729.708974444446</v>
      </c>
      <c r="D1232" s="8"/>
      <c r="E1232" s="9"/>
      <c r="F1232" s="10"/>
      <c r="G1232" s="9" t="s">
        <v>220</v>
      </c>
      <c r="H1232" s="7" t="s">
        <v>2577</v>
      </c>
      <c r="I1232" s="9" t="s">
        <v>353</v>
      </c>
      <c r="J1232" s="88"/>
    </row>
    <row r="1233">
      <c r="A1233" s="54" t="s">
        <v>236</v>
      </c>
      <c r="B1233" s="141" t="s">
        <v>2578</v>
      </c>
      <c r="C1233" s="91">
        <v>45729.70800482639</v>
      </c>
      <c r="D1233" s="8"/>
      <c r="E1233" s="9"/>
      <c r="F1233" s="10"/>
      <c r="G1233" s="9"/>
      <c r="H1233" s="7" t="s">
        <v>2579</v>
      </c>
      <c r="I1233" s="9" t="s">
        <v>353</v>
      </c>
      <c r="J1233" s="88"/>
    </row>
    <row r="1234">
      <c r="A1234" s="102" t="s">
        <v>624</v>
      </c>
      <c r="B1234" s="7" t="s">
        <v>2580</v>
      </c>
      <c r="C1234" s="91">
        <v>45716.4345878125</v>
      </c>
      <c r="D1234" s="8">
        <f t="shared" ref="D1234:D1235" si="138">IFERROR(_xlfn.WORKDAY.INTL(C1234, 2),"-")</f>
        <v>45720</v>
      </c>
      <c r="E1234" s="9" t="s">
        <v>11</v>
      </c>
      <c r="F1234" s="10"/>
      <c r="G1234" s="9" t="s">
        <v>11</v>
      </c>
      <c r="H1234" s="7" t="s">
        <v>2581</v>
      </c>
      <c r="I1234" s="9" t="s">
        <v>353</v>
      </c>
      <c r="J1234" s="88"/>
    </row>
    <row r="1235">
      <c r="A1235" s="102" t="s">
        <v>624</v>
      </c>
      <c r="B1235" s="7" t="s">
        <v>2582</v>
      </c>
      <c r="C1235" s="91">
        <v>45729.505587569445</v>
      </c>
      <c r="D1235" s="8">
        <f t="shared" si="138"/>
        <v>45733</v>
      </c>
      <c r="E1235" s="9" t="s">
        <v>206</v>
      </c>
      <c r="F1235" s="10"/>
      <c r="G1235" s="9" t="s">
        <v>11</v>
      </c>
      <c r="H1235" s="7" t="s">
        <v>2583</v>
      </c>
      <c r="I1235" s="9" t="s">
        <v>353</v>
      </c>
      <c r="J1235" s="88"/>
    </row>
    <row r="1236">
      <c r="A1236" s="20" t="s">
        <v>98</v>
      </c>
      <c r="B1236" s="9" t="s">
        <v>2584</v>
      </c>
      <c r="C1236" s="91">
        <v>45728.730631122686</v>
      </c>
      <c r="D1236" s="8"/>
      <c r="E1236" s="9"/>
      <c r="F1236" s="10"/>
      <c r="G1236" s="9" t="s">
        <v>15</v>
      </c>
      <c r="H1236" s="7" t="s">
        <v>2585</v>
      </c>
      <c r="I1236" s="9" t="s">
        <v>353</v>
      </c>
      <c r="J1236" s="88"/>
    </row>
    <row r="1237">
      <c r="A1237" s="20" t="s">
        <v>98</v>
      </c>
      <c r="B1237" s="9" t="s">
        <v>2586</v>
      </c>
      <c r="C1237" s="91">
        <v>45726.34906630787</v>
      </c>
      <c r="D1237" s="8"/>
      <c r="E1237" s="9"/>
      <c r="F1237" s="10"/>
      <c r="G1237" s="9" t="s">
        <v>18</v>
      </c>
      <c r="H1237" s="7" t="s">
        <v>2587</v>
      </c>
      <c r="I1237" s="9" t="s">
        <v>353</v>
      </c>
      <c r="J1237" s="88"/>
    </row>
    <row r="1238">
      <c r="A1238" s="102" t="s">
        <v>624</v>
      </c>
      <c r="B1238" s="7" t="s">
        <v>2588</v>
      </c>
      <c r="C1238" s="91">
        <v>45716.40763181713</v>
      </c>
      <c r="D1238" s="8">
        <f t="shared" ref="D1238:D1242" si="139">IFERROR(_xlfn.WORKDAY.INTL(C1238, 2),"-")</f>
        <v>45720</v>
      </c>
      <c r="E1238" s="9" t="s">
        <v>11</v>
      </c>
      <c r="F1238" s="10"/>
      <c r="G1238" s="9" t="s">
        <v>11</v>
      </c>
      <c r="H1238" s="7" t="s">
        <v>2589</v>
      </c>
      <c r="I1238" s="9" t="s">
        <v>353</v>
      </c>
      <c r="J1238" s="88"/>
    </row>
    <row r="1239">
      <c r="A1239" s="6" t="s">
        <v>9</v>
      </c>
      <c r="B1239" s="7" t="s">
        <v>2590</v>
      </c>
      <c r="C1239" s="91">
        <v>45721.46754322917</v>
      </c>
      <c r="D1239" s="8">
        <f t="shared" si="139"/>
        <v>45723</v>
      </c>
      <c r="E1239" s="9" t="s">
        <v>11</v>
      </c>
      <c r="F1239" s="10"/>
      <c r="G1239" s="9" t="s">
        <v>15</v>
      </c>
      <c r="H1239" s="7" t="s">
        <v>2591</v>
      </c>
      <c r="I1239" s="9" t="s">
        <v>353</v>
      </c>
      <c r="J1239" s="88"/>
    </row>
    <row r="1240">
      <c r="A1240" s="6" t="s">
        <v>9</v>
      </c>
      <c r="B1240" s="7" t="s">
        <v>2592</v>
      </c>
      <c r="C1240" s="91">
        <v>45322.401748668985</v>
      </c>
      <c r="D1240" s="8">
        <f t="shared" si="139"/>
        <v>45324</v>
      </c>
      <c r="E1240" s="9" t="s">
        <v>88</v>
      </c>
      <c r="F1240" s="10"/>
      <c r="G1240" s="9" t="s">
        <v>89</v>
      </c>
      <c r="H1240" s="7" t="s">
        <v>2593</v>
      </c>
      <c r="I1240" s="9" t="s">
        <v>353</v>
      </c>
      <c r="J1240" s="88"/>
    </row>
    <row r="1241">
      <c r="A1241" s="6" t="s">
        <v>9</v>
      </c>
      <c r="B1241" s="7" t="s">
        <v>2594</v>
      </c>
      <c r="C1241" s="91">
        <v>45322.40167386574</v>
      </c>
      <c r="D1241" s="8">
        <f t="shared" si="139"/>
        <v>45324</v>
      </c>
      <c r="E1241" s="9" t="s">
        <v>88</v>
      </c>
      <c r="F1241" s="10"/>
      <c r="G1241" s="9" t="s">
        <v>89</v>
      </c>
      <c r="H1241" s="7" t="s">
        <v>2595</v>
      </c>
      <c r="I1241" s="9" t="s">
        <v>353</v>
      </c>
      <c r="J1241" s="88"/>
    </row>
    <row r="1242">
      <c r="A1242" s="20" t="s">
        <v>98</v>
      </c>
      <c r="B1242" s="9" t="s">
        <v>2596</v>
      </c>
      <c r="C1242" s="91">
        <v>45568.63200762731</v>
      </c>
      <c r="D1242" s="8">
        <f t="shared" si="139"/>
        <v>45572</v>
      </c>
      <c r="E1242" s="9" t="s">
        <v>206</v>
      </c>
      <c r="F1242" s="10"/>
      <c r="G1242" s="9" t="s">
        <v>18</v>
      </c>
      <c r="H1242" s="143" t="s">
        <v>2597</v>
      </c>
      <c r="I1242" s="9" t="s">
        <v>353</v>
      </c>
      <c r="J1242" s="88"/>
    </row>
    <row r="1243">
      <c r="A1243" s="20" t="s">
        <v>98</v>
      </c>
      <c r="B1243" s="9" t="s">
        <v>2598</v>
      </c>
      <c r="C1243" s="91">
        <v>45727.70228575231</v>
      </c>
      <c r="D1243" s="8"/>
      <c r="E1243" s="9"/>
      <c r="F1243" s="10"/>
      <c r="G1243" s="9" t="s">
        <v>15</v>
      </c>
      <c r="H1243" s="7" t="s">
        <v>2599</v>
      </c>
      <c r="I1243" s="9" t="s">
        <v>353</v>
      </c>
      <c r="J1243" s="88"/>
    </row>
    <row r="1244">
      <c r="A1244" s="6" t="s">
        <v>9</v>
      </c>
      <c r="B1244" s="7" t="s">
        <v>2600</v>
      </c>
      <c r="C1244" s="91">
        <v>45595.68663108796</v>
      </c>
      <c r="D1244" s="8">
        <f t="shared" ref="D1244:D1245" si="140">IFERROR(_xlfn.WORKDAY.INTL(C1244, 2),"-")</f>
        <v>45597</v>
      </c>
      <c r="E1244" s="9" t="s">
        <v>11</v>
      </c>
      <c r="F1244" s="10"/>
      <c r="G1244" s="9" t="s">
        <v>21</v>
      </c>
      <c r="H1244" s="7" t="s">
        <v>2601</v>
      </c>
      <c r="I1244" s="9" t="s">
        <v>353</v>
      </c>
      <c r="J1244" s="88"/>
    </row>
    <row r="1245">
      <c r="A1245" s="6" t="s">
        <v>9</v>
      </c>
      <c r="B1245" s="7" t="s">
        <v>1087</v>
      </c>
      <c r="C1245" s="91">
        <v>45692.50939665509</v>
      </c>
      <c r="D1245" s="8">
        <f t="shared" si="140"/>
        <v>45694</v>
      </c>
      <c r="E1245" s="9" t="s">
        <v>11</v>
      </c>
      <c r="F1245" s="10"/>
      <c r="G1245" s="9" t="s">
        <v>15</v>
      </c>
      <c r="H1245" s="7" t="s">
        <v>2602</v>
      </c>
      <c r="I1245" s="9" t="s">
        <v>353</v>
      </c>
      <c r="J1245" s="88"/>
    </row>
    <row r="1246">
      <c r="A1246" s="20" t="s">
        <v>98</v>
      </c>
      <c r="B1246" s="9" t="s">
        <v>2603</v>
      </c>
      <c r="C1246" s="91">
        <v>45714.368758530094</v>
      </c>
      <c r="D1246" s="8"/>
      <c r="E1246" s="9"/>
      <c r="F1246" s="10"/>
      <c r="G1246" s="9" t="s">
        <v>18</v>
      </c>
      <c r="H1246" s="7" t="s">
        <v>2604</v>
      </c>
      <c r="I1246" s="9" t="s">
        <v>353</v>
      </c>
      <c r="J1246" s="88"/>
    </row>
    <row r="1247">
      <c r="A1247" s="6" t="s">
        <v>9</v>
      </c>
      <c r="B1247" s="7" t="s">
        <v>2605</v>
      </c>
      <c r="C1247" s="91">
        <v>45719.57834983796</v>
      </c>
      <c r="D1247" s="8">
        <f t="shared" ref="D1247:D1251" si="141">IFERROR(_xlfn.WORKDAY.INTL(C1247, 2),"-")</f>
        <v>45721</v>
      </c>
      <c r="E1247" s="9" t="s">
        <v>11</v>
      </c>
      <c r="F1247" s="10"/>
      <c r="G1247" s="9" t="s">
        <v>15</v>
      </c>
      <c r="H1247" s="7" t="s">
        <v>2606</v>
      </c>
      <c r="I1247" s="9" t="s">
        <v>353</v>
      </c>
      <c r="J1247" s="88"/>
    </row>
    <row r="1248">
      <c r="A1248" s="6" t="s">
        <v>9</v>
      </c>
      <c r="B1248" s="7" t="s">
        <v>2607</v>
      </c>
      <c r="C1248" s="91">
        <v>45700.501788946756</v>
      </c>
      <c r="D1248" s="8">
        <f t="shared" si="141"/>
        <v>45702</v>
      </c>
      <c r="E1248" s="9" t="s">
        <v>11</v>
      </c>
      <c r="F1248" s="10"/>
      <c r="G1248" s="9" t="s">
        <v>15</v>
      </c>
      <c r="H1248" s="7" t="s">
        <v>2608</v>
      </c>
      <c r="I1248" s="9" t="s">
        <v>353</v>
      </c>
      <c r="J1248" s="88"/>
    </row>
    <row r="1249">
      <c r="A1249" s="6" t="s">
        <v>9</v>
      </c>
      <c r="B1249" s="7" t="s">
        <v>2609</v>
      </c>
      <c r="C1249" s="91">
        <v>45719.354214872685</v>
      </c>
      <c r="D1249" s="8">
        <f t="shared" si="141"/>
        <v>45721</v>
      </c>
      <c r="E1249" s="9" t="s">
        <v>11</v>
      </c>
      <c r="F1249" s="10"/>
      <c r="G1249" s="9" t="s">
        <v>15</v>
      </c>
      <c r="H1249" s="7" t="s">
        <v>2610</v>
      </c>
      <c r="I1249" s="9" t="s">
        <v>353</v>
      </c>
      <c r="J1249" s="88"/>
    </row>
    <row r="1250">
      <c r="A1250" s="6" t="s">
        <v>9</v>
      </c>
      <c r="B1250" s="7" t="s">
        <v>2611</v>
      </c>
      <c r="C1250" s="91">
        <v>45715.36763085648</v>
      </c>
      <c r="D1250" s="8">
        <f t="shared" si="141"/>
        <v>45719</v>
      </c>
      <c r="E1250" s="9" t="s">
        <v>11</v>
      </c>
      <c r="F1250" s="10"/>
      <c r="G1250" s="9" t="s">
        <v>15</v>
      </c>
      <c r="H1250" s="7" t="s">
        <v>2612</v>
      </c>
      <c r="I1250" s="9" t="s">
        <v>353</v>
      </c>
      <c r="J1250" s="88"/>
    </row>
    <row r="1251">
      <c r="A1251" s="6" t="s">
        <v>9</v>
      </c>
      <c r="B1251" s="7" t="s">
        <v>2613</v>
      </c>
      <c r="C1251" s="91">
        <v>45726.6234546412</v>
      </c>
      <c r="D1251" s="8">
        <f t="shared" si="141"/>
        <v>45728</v>
      </c>
      <c r="E1251" s="9" t="s">
        <v>11</v>
      </c>
      <c r="F1251" s="10"/>
      <c r="G1251" s="9"/>
      <c r="H1251" s="7" t="s">
        <v>2614</v>
      </c>
      <c r="I1251" s="9" t="s">
        <v>353</v>
      </c>
      <c r="J1251" s="88"/>
    </row>
    <row r="1252">
      <c r="A1252" s="20" t="s">
        <v>98</v>
      </c>
      <c r="B1252" s="9" t="s">
        <v>2615</v>
      </c>
      <c r="C1252" s="91">
        <v>45727.41362414352</v>
      </c>
      <c r="D1252" s="8"/>
      <c r="E1252" s="9"/>
      <c r="F1252" s="10"/>
      <c r="G1252" s="9" t="s">
        <v>15</v>
      </c>
      <c r="H1252" s="7" t="s">
        <v>2616</v>
      </c>
      <c r="I1252" s="9" t="s">
        <v>353</v>
      </c>
      <c r="J1252" s="88"/>
    </row>
    <row r="1253">
      <c r="A1253" s="20" t="s">
        <v>98</v>
      </c>
      <c r="B1253" s="9" t="s">
        <v>2617</v>
      </c>
      <c r="C1253" s="91">
        <v>45723.43349873842</v>
      </c>
      <c r="D1253" s="8"/>
      <c r="E1253" s="9"/>
      <c r="F1253" s="10"/>
      <c r="G1253" s="9" t="s">
        <v>15</v>
      </c>
      <c r="H1253" s="7" t="s">
        <v>2618</v>
      </c>
      <c r="I1253" s="9" t="s">
        <v>353</v>
      </c>
      <c r="J1253" s="88"/>
    </row>
    <row r="1254">
      <c r="A1254" s="6" t="s">
        <v>9</v>
      </c>
      <c r="B1254" s="7" t="s">
        <v>2619</v>
      </c>
      <c r="C1254" s="91">
        <v>45726.40168488426</v>
      </c>
      <c r="D1254" s="8">
        <f t="shared" ref="D1254:D1256" si="142">IFERROR(_xlfn.WORKDAY.INTL(C1254, 2),"-")</f>
        <v>45728</v>
      </c>
      <c r="E1254" s="9" t="s">
        <v>11</v>
      </c>
      <c r="F1254" s="10"/>
      <c r="G1254" s="9" t="s">
        <v>18</v>
      </c>
      <c r="H1254" s="7" t="s">
        <v>2620</v>
      </c>
      <c r="I1254" s="9" t="s">
        <v>353</v>
      </c>
      <c r="J1254" s="88"/>
    </row>
    <row r="1255">
      <c r="A1255" s="6" t="s">
        <v>9</v>
      </c>
      <c r="B1255" s="7" t="s">
        <v>2621</v>
      </c>
      <c r="C1255" s="91">
        <v>45726.401638298616</v>
      </c>
      <c r="D1255" s="8">
        <f t="shared" si="142"/>
        <v>45728</v>
      </c>
      <c r="E1255" s="9" t="s">
        <v>11</v>
      </c>
      <c r="F1255" s="10"/>
      <c r="G1255" s="9" t="s">
        <v>18</v>
      </c>
      <c r="H1255" s="7" t="s">
        <v>2622</v>
      </c>
      <c r="I1255" s="9" t="s">
        <v>353</v>
      </c>
      <c r="J1255" s="88"/>
    </row>
    <row r="1256">
      <c r="A1256" s="20" t="s">
        <v>98</v>
      </c>
      <c r="B1256" s="9" t="s">
        <v>2623</v>
      </c>
      <c r="C1256" s="91">
        <v>45530.7033753125</v>
      </c>
      <c r="D1256" s="8">
        <f t="shared" si="142"/>
        <v>45532</v>
      </c>
      <c r="E1256" s="9" t="s">
        <v>88</v>
      </c>
      <c r="F1256" s="10"/>
      <c r="G1256" s="9" t="s">
        <v>18</v>
      </c>
      <c r="H1256" s="7" t="s">
        <v>2624</v>
      </c>
      <c r="I1256" s="9" t="s">
        <v>353</v>
      </c>
      <c r="J1256" s="88"/>
    </row>
    <row r="1257">
      <c r="A1257" s="20" t="s">
        <v>98</v>
      </c>
      <c r="B1257" s="9" t="s">
        <v>2625</v>
      </c>
      <c r="C1257" s="91">
        <v>45720.69556421296</v>
      </c>
      <c r="D1257" s="8"/>
      <c r="E1257" s="9"/>
      <c r="F1257" s="10"/>
      <c r="G1257" s="9" t="s">
        <v>15</v>
      </c>
      <c r="H1257" s="7" t="s">
        <v>2626</v>
      </c>
      <c r="I1257" s="9" t="s">
        <v>353</v>
      </c>
      <c r="J1257" s="88"/>
    </row>
    <row r="1258">
      <c r="A1258" s="6" t="s">
        <v>9</v>
      </c>
      <c r="B1258" s="7" t="s">
        <v>1046</v>
      </c>
      <c r="C1258" s="91">
        <v>45720.58827607639</v>
      </c>
      <c r="D1258" s="8">
        <f t="shared" ref="D1258:D1259" si="143">IFERROR(_xlfn.WORKDAY.INTL(C1258, 2),"-")</f>
        <v>45722</v>
      </c>
      <c r="E1258" s="9" t="s">
        <v>11</v>
      </c>
      <c r="F1258" s="10"/>
      <c r="G1258" s="9" t="s">
        <v>18</v>
      </c>
      <c r="H1258" s="7" t="s">
        <v>2627</v>
      </c>
      <c r="I1258" s="9" t="s">
        <v>353</v>
      </c>
      <c r="J1258" s="88"/>
    </row>
    <row r="1259">
      <c r="A1259" s="6" t="s">
        <v>9</v>
      </c>
      <c r="B1259" s="7" t="s">
        <v>2628</v>
      </c>
      <c r="C1259" s="91">
        <v>45726.401546759254</v>
      </c>
      <c r="D1259" s="8">
        <f t="shared" si="143"/>
        <v>45728</v>
      </c>
      <c r="E1259" s="9" t="s">
        <v>11</v>
      </c>
      <c r="F1259" s="10"/>
      <c r="G1259" s="9" t="s">
        <v>18</v>
      </c>
      <c r="H1259" s="7" t="s">
        <v>437</v>
      </c>
      <c r="I1259" s="9" t="s">
        <v>353</v>
      </c>
      <c r="J1259" s="88"/>
    </row>
    <row r="1260">
      <c r="A1260" s="20" t="s">
        <v>98</v>
      </c>
      <c r="B1260" s="9" t="s">
        <v>2629</v>
      </c>
      <c r="C1260" s="91">
        <v>45700.37422363426</v>
      </c>
      <c r="D1260" s="8"/>
      <c r="E1260" s="9"/>
      <c r="F1260" s="10"/>
      <c r="G1260" s="9" t="s">
        <v>15</v>
      </c>
      <c r="H1260" s="22" t="s">
        <v>2630</v>
      </c>
      <c r="I1260" s="9" t="s">
        <v>353</v>
      </c>
      <c r="J1260" s="88"/>
    </row>
    <row r="1261">
      <c r="A1261" s="20" t="s">
        <v>98</v>
      </c>
      <c r="B1261" s="9" t="s">
        <v>2631</v>
      </c>
      <c r="C1261" s="91"/>
      <c r="D1261" s="8"/>
      <c r="E1261" s="9"/>
      <c r="F1261" s="10"/>
      <c r="G1261" s="9" t="s">
        <v>15</v>
      </c>
      <c r="H1261" s="7" t="s">
        <v>2626</v>
      </c>
      <c r="I1261" s="9" t="s">
        <v>353</v>
      </c>
      <c r="J1261" s="88"/>
    </row>
    <row r="1262">
      <c r="A1262" s="20" t="s">
        <v>98</v>
      </c>
      <c r="B1262" s="9" t="s">
        <v>2632</v>
      </c>
      <c r="C1262" s="91">
        <v>45714.668761747685</v>
      </c>
      <c r="D1262" s="8"/>
      <c r="E1262" s="9"/>
      <c r="F1262" s="10"/>
      <c r="G1262" s="9" t="s">
        <v>15</v>
      </c>
      <c r="H1262" s="7" t="s">
        <v>2633</v>
      </c>
      <c r="I1262" s="9" t="s">
        <v>353</v>
      </c>
      <c r="J1262" s="88"/>
    </row>
    <row r="1263">
      <c r="A1263" s="6" t="s">
        <v>9</v>
      </c>
      <c r="B1263" s="7" t="s">
        <v>2634</v>
      </c>
      <c r="C1263" s="91">
        <v>45720.588892245374</v>
      </c>
      <c r="D1263" s="8">
        <f>IFERROR(_xlfn.WORKDAY.INTL(C1263, 2),"-")</f>
        <v>45722</v>
      </c>
      <c r="E1263" s="9" t="s">
        <v>11</v>
      </c>
      <c r="F1263" s="10"/>
      <c r="G1263" s="9" t="s">
        <v>15</v>
      </c>
      <c r="H1263" s="7" t="s">
        <v>2635</v>
      </c>
      <c r="I1263" s="9" t="s">
        <v>353</v>
      </c>
      <c r="J1263" s="88"/>
    </row>
    <row r="1264">
      <c r="A1264" s="20" t="s">
        <v>98</v>
      </c>
      <c r="B1264" s="9" t="s">
        <v>2636</v>
      </c>
      <c r="C1264" s="91">
        <v>45722.585699097224</v>
      </c>
      <c r="D1264" s="8"/>
      <c r="E1264" s="9"/>
      <c r="F1264" s="10"/>
      <c r="G1264" s="9" t="s">
        <v>15</v>
      </c>
      <c r="H1264" s="7" t="s">
        <v>2626</v>
      </c>
      <c r="I1264" s="9" t="s">
        <v>353</v>
      </c>
      <c r="J1264" s="88"/>
    </row>
    <row r="1265">
      <c r="A1265" s="20" t="s">
        <v>98</v>
      </c>
      <c r="B1265" s="9" t="s">
        <v>2508</v>
      </c>
      <c r="C1265" s="91">
        <v>45712.72114635417</v>
      </c>
      <c r="D1265" s="8"/>
      <c r="E1265" s="9"/>
      <c r="F1265" s="10"/>
      <c r="G1265" s="9" t="s">
        <v>18</v>
      </c>
      <c r="H1265" s="7" t="s">
        <v>2637</v>
      </c>
      <c r="I1265" s="9" t="s">
        <v>353</v>
      </c>
      <c r="J1265" s="88"/>
    </row>
    <row r="1266">
      <c r="A1266" s="20" t="s">
        <v>98</v>
      </c>
      <c r="B1266" s="9" t="s">
        <v>1703</v>
      </c>
      <c r="C1266" s="91">
        <v>45722.57191962963</v>
      </c>
      <c r="D1266" s="8"/>
      <c r="E1266" s="9"/>
      <c r="F1266" s="10"/>
      <c r="G1266" s="9" t="s">
        <v>18</v>
      </c>
      <c r="H1266" s="7" t="s">
        <v>2638</v>
      </c>
      <c r="I1266" s="9" t="s">
        <v>353</v>
      </c>
      <c r="J1266" s="88"/>
    </row>
    <row r="1267">
      <c r="A1267" s="20" t="s">
        <v>98</v>
      </c>
      <c r="B1267" s="9" t="s">
        <v>2639</v>
      </c>
      <c r="C1267" s="91">
        <v>45714.36840703704</v>
      </c>
      <c r="D1267" s="8"/>
      <c r="E1267" s="9"/>
      <c r="F1267" s="10"/>
      <c r="G1267" s="9" t="s">
        <v>18</v>
      </c>
      <c r="H1267" s="7" t="s">
        <v>2640</v>
      </c>
      <c r="I1267" s="9" t="s">
        <v>353</v>
      </c>
      <c r="J1267" s="88"/>
    </row>
    <row r="1268">
      <c r="A1268" s="20" t="s">
        <v>98</v>
      </c>
      <c r="B1268" s="9" t="s">
        <v>2641</v>
      </c>
      <c r="C1268" s="91">
        <v>45534.50393153935</v>
      </c>
      <c r="D1268" s="8">
        <f t="shared" ref="D1268:D1269" si="144">IFERROR(_xlfn.WORKDAY.INTL(C1268, 2),"-")</f>
        <v>45538</v>
      </c>
      <c r="E1268" s="9" t="s">
        <v>11</v>
      </c>
      <c r="F1268" s="10"/>
      <c r="G1268" s="9" t="s">
        <v>18</v>
      </c>
      <c r="H1268" s="7" t="s">
        <v>2642</v>
      </c>
      <c r="I1268" s="9" t="s">
        <v>353</v>
      </c>
      <c r="J1268" s="88"/>
    </row>
    <row r="1269">
      <c r="A1269" s="6" t="s">
        <v>9</v>
      </c>
      <c r="B1269" s="7" t="s">
        <v>2643</v>
      </c>
      <c r="C1269" s="91">
        <v>45721.670649594904</v>
      </c>
      <c r="D1269" s="8">
        <f t="shared" si="144"/>
        <v>45723</v>
      </c>
      <c r="E1269" s="9" t="s">
        <v>11</v>
      </c>
      <c r="F1269" s="10"/>
      <c r="G1269" s="9" t="s">
        <v>15</v>
      </c>
      <c r="H1269" s="7" t="s">
        <v>2644</v>
      </c>
      <c r="I1269" s="9" t="s">
        <v>353</v>
      </c>
      <c r="J1269" s="88"/>
    </row>
    <row r="1270">
      <c r="A1270" s="20" t="s">
        <v>98</v>
      </c>
      <c r="B1270" s="9" t="s">
        <v>739</v>
      </c>
      <c r="C1270" s="91">
        <v>45707.36832054398</v>
      </c>
      <c r="D1270" s="8"/>
      <c r="E1270" s="9"/>
      <c r="F1270" s="10"/>
      <c r="G1270" s="9" t="s">
        <v>18</v>
      </c>
      <c r="H1270" s="7" t="s">
        <v>2645</v>
      </c>
      <c r="I1270" s="9" t="s">
        <v>353</v>
      </c>
      <c r="J1270" s="88"/>
    </row>
    <row r="1271">
      <c r="A1271" s="20" t="s">
        <v>98</v>
      </c>
      <c r="B1271" s="9" t="s">
        <v>2646</v>
      </c>
      <c r="C1271" s="91">
        <v>45714.36778450232</v>
      </c>
      <c r="D1271" s="8"/>
      <c r="E1271" s="9"/>
      <c r="F1271" s="10"/>
      <c r="G1271" s="9" t="s">
        <v>18</v>
      </c>
      <c r="H1271" s="7" t="s">
        <v>2647</v>
      </c>
      <c r="I1271" s="9" t="s">
        <v>353</v>
      </c>
      <c r="J1271" s="88"/>
    </row>
    <row r="1272">
      <c r="A1272" s="6" t="s">
        <v>9</v>
      </c>
      <c r="B1272" s="7" t="s">
        <v>2648</v>
      </c>
      <c r="C1272" s="91">
        <v>45581.47369946759</v>
      </c>
      <c r="D1272" s="8">
        <f t="shared" ref="D1272:D1278" si="145">IFERROR(_xlfn.WORKDAY.INTL(C1272, 2),"-")</f>
        <v>45583</v>
      </c>
      <c r="E1272" s="9" t="s">
        <v>11</v>
      </c>
      <c r="F1272" s="10"/>
      <c r="G1272" s="9" t="s">
        <v>89</v>
      </c>
      <c r="H1272" s="7" t="s">
        <v>2649</v>
      </c>
      <c r="I1272" s="9" t="s">
        <v>353</v>
      </c>
      <c r="J1272" s="88"/>
    </row>
    <row r="1273">
      <c r="A1273" s="6" t="s">
        <v>9</v>
      </c>
      <c r="B1273" s="7" t="s">
        <v>2650</v>
      </c>
      <c r="C1273" s="91">
        <v>45624.62204785879</v>
      </c>
      <c r="D1273" s="8">
        <f t="shared" si="145"/>
        <v>45628</v>
      </c>
      <c r="E1273" s="9" t="s">
        <v>11</v>
      </c>
      <c r="F1273" s="10"/>
      <c r="G1273" s="9" t="s">
        <v>15</v>
      </c>
      <c r="H1273" s="7" t="s">
        <v>2651</v>
      </c>
      <c r="I1273" s="9" t="s">
        <v>353</v>
      </c>
      <c r="J1273" s="88"/>
    </row>
    <row r="1274">
      <c r="A1274" s="6" t="s">
        <v>9</v>
      </c>
      <c r="B1274" s="133" t="s">
        <v>2652</v>
      </c>
      <c r="C1274" s="91">
        <v>45715.36862886574</v>
      </c>
      <c r="D1274" s="8">
        <f t="shared" si="145"/>
        <v>45719</v>
      </c>
      <c r="E1274" s="9" t="s">
        <v>11</v>
      </c>
      <c r="F1274" s="10"/>
      <c r="G1274" s="9" t="s">
        <v>18</v>
      </c>
      <c r="H1274" s="7" t="s">
        <v>437</v>
      </c>
      <c r="I1274" s="9" t="s">
        <v>353</v>
      </c>
      <c r="J1274" s="88"/>
    </row>
    <row r="1275">
      <c r="A1275" s="102" t="s">
        <v>624</v>
      </c>
      <c r="B1275" s="7" t="s">
        <v>2653</v>
      </c>
      <c r="C1275" s="91">
        <v>45716.39961854166</v>
      </c>
      <c r="D1275" s="8">
        <f t="shared" si="145"/>
        <v>45720</v>
      </c>
      <c r="E1275" s="9" t="s">
        <v>11</v>
      </c>
      <c r="F1275" s="10"/>
      <c r="G1275" s="9" t="s">
        <v>18</v>
      </c>
      <c r="H1275" s="7" t="s">
        <v>2654</v>
      </c>
      <c r="I1275" s="9" t="s">
        <v>353</v>
      </c>
      <c r="J1275" s="88"/>
    </row>
    <row r="1276">
      <c r="A1276" s="6" t="s">
        <v>9</v>
      </c>
      <c r="B1276" s="7" t="s">
        <v>2655</v>
      </c>
      <c r="C1276" s="91">
        <v>45720.45900157407</v>
      </c>
      <c r="D1276" s="8">
        <f t="shared" si="145"/>
        <v>45722</v>
      </c>
      <c r="E1276" s="9" t="s">
        <v>11</v>
      </c>
      <c r="F1276" s="10"/>
      <c r="G1276" s="9" t="s">
        <v>18</v>
      </c>
      <c r="H1276" s="7" t="s">
        <v>437</v>
      </c>
      <c r="I1276" s="9" t="s">
        <v>353</v>
      </c>
      <c r="J1276" s="88"/>
    </row>
    <row r="1277">
      <c r="A1277" s="6" t="s">
        <v>9</v>
      </c>
      <c r="B1277" s="7" t="s">
        <v>2656</v>
      </c>
      <c r="C1277" s="91">
        <v>45719.5803590162</v>
      </c>
      <c r="D1277" s="8">
        <f t="shared" si="145"/>
        <v>45721</v>
      </c>
      <c r="E1277" s="9" t="s">
        <v>11</v>
      </c>
      <c r="F1277" s="10"/>
      <c r="G1277" s="9" t="s">
        <v>18</v>
      </c>
      <c r="H1277" s="7" t="s">
        <v>437</v>
      </c>
      <c r="I1277" s="9" t="s">
        <v>353</v>
      </c>
      <c r="J1277" s="88"/>
    </row>
    <row r="1278">
      <c r="A1278" s="20" t="s">
        <v>98</v>
      </c>
      <c r="B1278" s="9" t="s">
        <v>2657</v>
      </c>
      <c r="C1278" s="91">
        <v>45666.403236875005</v>
      </c>
      <c r="D1278" s="8">
        <f t="shared" si="145"/>
        <v>45670</v>
      </c>
      <c r="E1278" s="9" t="s">
        <v>11</v>
      </c>
      <c r="F1278" s="10"/>
      <c r="G1278" s="9" t="s">
        <v>18</v>
      </c>
      <c r="H1278" s="23" t="s">
        <v>2658</v>
      </c>
      <c r="I1278" s="9" t="s">
        <v>353</v>
      </c>
      <c r="J1278" s="88"/>
    </row>
    <row r="1279">
      <c r="A1279" s="20" t="s">
        <v>98</v>
      </c>
      <c r="B1279" s="9" t="s">
        <v>2659</v>
      </c>
      <c r="C1279" s="91">
        <v>45719.45343385417</v>
      </c>
      <c r="D1279" s="8"/>
      <c r="E1279" s="9"/>
      <c r="F1279" s="10"/>
      <c r="G1279" s="9" t="s">
        <v>18</v>
      </c>
      <c r="H1279" s="7" t="s">
        <v>2660</v>
      </c>
      <c r="I1279" s="9" t="s">
        <v>353</v>
      </c>
      <c r="J1279" s="88"/>
    </row>
    <row r="1280">
      <c r="A1280" s="102" t="s">
        <v>624</v>
      </c>
      <c r="B1280" s="7" t="s">
        <v>2661</v>
      </c>
      <c r="C1280" s="91">
        <v>45716.45506050926</v>
      </c>
      <c r="D1280" s="8">
        <f t="shared" ref="D1280:D1281" si="146">IFERROR(_xlfn.WORKDAY.INTL(C1280, 2),"-")</f>
        <v>45720</v>
      </c>
      <c r="E1280" s="9" t="s">
        <v>11</v>
      </c>
      <c r="F1280" s="10"/>
      <c r="G1280" s="9" t="s">
        <v>11</v>
      </c>
      <c r="H1280" s="129" t="s">
        <v>2662</v>
      </c>
      <c r="I1280" s="9" t="s">
        <v>353</v>
      </c>
      <c r="J1280" s="88"/>
    </row>
    <row r="1281">
      <c r="A1281" s="102" t="s">
        <v>624</v>
      </c>
      <c r="B1281" s="7" t="s">
        <v>2663</v>
      </c>
      <c r="C1281" s="91">
        <v>45671.40030861111</v>
      </c>
      <c r="D1281" s="8">
        <f t="shared" si="146"/>
        <v>45673</v>
      </c>
      <c r="E1281" s="9" t="s">
        <v>11</v>
      </c>
      <c r="F1281" s="10"/>
      <c r="G1281" s="9" t="s">
        <v>15</v>
      </c>
      <c r="H1281" s="7" t="s">
        <v>2664</v>
      </c>
      <c r="I1281" s="9" t="s">
        <v>353</v>
      </c>
      <c r="J1281" s="88"/>
    </row>
    <row r="1282">
      <c r="A1282" s="20" t="s">
        <v>98</v>
      </c>
      <c r="B1282" s="9" t="s">
        <v>2665</v>
      </c>
      <c r="C1282" s="91">
        <v>45714.63690560185</v>
      </c>
      <c r="D1282" s="8"/>
      <c r="E1282" s="9"/>
      <c r="F1282" s="10"/>
      <c r="G1282" s="9" t="s">
        <v>15</v>
      </c>
      <c r="H1282" s="7" t="s">
        <v>2666</v>
      </c>
      <c r="I1282" s="9" t="s">
        <v>353</v>
      </c>
      <c r="J1282" s="88"/>
    </row>
    <row r="1283">
      <c r="A1283" s="20" t="s">
        <v>98</v>
      </c>
      <c r="B1283" s="9" t="s">
        <v>2667</v>
      </c>
      <c r="C1283" s="91">
        <v>45567.5969325926</v>
      </c>
      <c r="D1283" s="8">
        <f t="shared" ref="D1283:D1289" si="147">IFERROR(_xlfn.WORKDAY.INTL(C1283, 2),"-")</f>
        <v>45569</v>
      </c>
      <c r="E1283" s="9" t="s">
        <v>206</v>
      </c>
      <c r="F1283" s="10"/>
      <c r="G1283" s="9" t="s">
        <v>18</v>
      </c>
      <c r="H1283" s="23" t="s">
        <v>2668</v>
      </c>
      <c r="I1283" s="9" t="s">
        <v>353</v>
      </c>
      <c r="J1283" s="88"/>
    </row>
    <row r="1284">
      <c r="A1284" s="102" t="s">
        <v>624</v>
      </c>
      <c r="B1284" s="7" t="s">
        <v>2669</v>
      </c>
      <c r="C1284" s="91">
        <v>45540.51238390047</v>
      </c>
      <c r="D1284" s="8">
        <f t="shared" si="147"/>
        <v>45544</v>
      </c>
      <c r="E1284" s="9" t="s">
        <v>88</v>
      </c>
      <c r="F1284" s="10"/>
      <c r="G1284" s="9" t="s">
        <v>11</v>
      </c>
      <c r="H1284" s="7" t="s">
        <v>2670</v>
      </c>
      <c r="I1284" s="9" t="s">
        <v>353</v>
      </c>
      <c r="J1284" s="88"/>
    </row>
    <row r="1285">
      <c r="A1285" s="102" t="s">
        <v>624</v>
      </c>
      <c r="B1285" s="7" t="s">
        <v>2671</v>
      </c>
      <c r="C1285" s="91">
        <v>45671.39997922454</v>
      </c>
      <c r="D1285" s="8">
        <f t="shared" si="147"/>
        <v>45673</v>
      </c>
      <c r="E1285" s="9" t="s">
        <v>11</v>
      </c>
      <c r="F1285" s="10"/>
      <c r="G1285" s="9" t="s">
        <v>89</v>
      </c>
      <c r="H1285" s="7" t="s">
        <v>2672</v>
      </c>
      <c r="I1285" s="9" t="s">
        <v>353</v>
      </c>
      <c r="J1285" s="88"/>
    </row>
    <row r="1286">
      <c r="A1286" s="102" t="s">
        <v>624</v>
      </c>
      <c r="B1286" s="7" t="s">
        <v>2673</v>
      </c>
      <c r="C1286" s="91">
        <v>45684.49727490741</v>
      </c>
      <c r="D1286" s="8">
        <f t="shared" si="147"/>
        <v>45686</v>
      </c>
      <c r="E1286" s="9" t="s">
        <v>11</v>
      </c>
      <c r="F1286" s="10"/>
      <c r="G1286" s="9" t="s">
        <v>18</v>
      </c>
      <c r="H1286" s="11"/>
      <c r="I1286" s="9" t="s">
        <v>353</v>
      </c>
      <c r="J1286" s="88"/>
    </row>
    <row r="1287">
      <c r="A1287" s="6" t="s">
        <v>9</v>
      </c>
      <c r="B1287" s="7" t="s">
        <v>61</v>
      </c>
      <c r="C1287" s="91">
        <v>45715.47280146991</v>
      </c>
      <c r="D1287" s="8">
        <f t="shared" si="147"/>
        <v>45719</v>
      </c>
      <c r="E1287" s="9" t="s">
        <v>11</v>
      </c>
      <c r="F1287" s="10"/>
      <c r="G1287" s="9" t="s">
        <v>15</v>
      </c>
      <c r="H1287" s="7" t="s">
        <v>2674</v>
      </c>
      <c r="I1287" s="9" t="s">
        <v>353</v>
      </c>
      <c r="J1287" s="88"/>
    </row>
    <row r="1288">
      <c r="A1288" s="20" t="s">
        <v>98</v>
      </c>
      <c r="B1288" s="9" t="s">
        <v>2675</v>
      </c>
      <c r="C1288" s="91">
        <v>45530.635297037035</v>
      </c>
      <c r="D1288" s="8">
        <f t="shared" si="147"/>
        <v>45532</v>
      </c>
      <c r="E1288" s="9" t="s">
        <v>206</v>
      </c>
      <c r="F1288" s="10"/>
      <c r="G1288" s="9" t="s">
        <v>15</v>
      </c>
      <c r="H1288" s="7" t="s">
        <v>2676</v>
      </c>
      <c r="I1288" s="9" t="s">
        <v>353</v>
      </c>
      <c r="J1288" s="88"/>
    </row>
    <row r="1289">
      <c r="A1289" s="6" t="s">
        <v>9</v>
      </c>
      <c r="B1289" s="7" t="s">
        <v>2677</v>
      </c>
      <c r="C1289" s="91">
        <v>45715.36776739583</v>
      </c>
      <c r="D1289" s="8">
        <f t="shared" si="147"/>
        <v>45719</v>
      </c>
      <c r="E1289" s="9" t="s">
        <v>11</v>
      </c>
      <c r="F1289" s="10"/>
      <c r="G1289" s="9" t="s">
        <v>15</v>
      </c>
      <c r="H1289" s="7" t="s">
        <v>2678</v>
      </c>
      <c r="I1289" s="9" t="s">
        <v>353</v>
      </c>
      <c r="J1289" s="88"/>
    </row>
    <row r="1290">
      <c r="A1290" s="20" t="s">
        <v>98</v>
      </c>
      <c r="B1290" s="9" t="s">
        <v>2679</v>
      </c>
      <c r="C1290" s="91">
        <v>45691.38098361111</v>
      </c>
      <c r="D1290" s="8"/>
      <c r="E1290" s="9"/>
      <c r="F1290" s="10"/>
      <c r="G1290" s="9" t="s">
        <v>15</v>
      </c>
      <c r="H1290" s="22" t="s">
        <v>2680</v>
      </c>
      <c r="I1290" s="9" t="s">
        <v>353</v>
      </c>
      <c r="J1290" s="88"/>
    </row>
    <row r="1291">
      <c r="A1291" s="6" t="s">
        <v>9</v>
      </c>
      <c r="B1291" s="7" t="s">
        <v>1065</v>
      </c>
      <c r="C1291" s="91">
        <v>45712.508265474535</v>
      </c>
      <c r="D1291" s="8">
        <f t="shared" ref="D1291:D1296" si="148">IFERROR(_xlfn.WORKDAY.INTL(C1291, 2),"-")</f>
        <v>45714</v>
      </c>
      <c r="E1291" s="9" t="s">
        <v>11</v>
      </c>
      <c r="F1291" s="10"/>
      <c r="G1291" s="9" t="s">
        <v>18</v>
      </c>
      <c r="H1291" s="7" t="s">
        <v>2681</v>
      </c>
      <c r="I1291" s="9" t="s">
        <v>353</v>
      </c>
      <c r="J1291" s="88"/>
    </row>
    <row r="1292">
      <c r="A1292" s="34" t="s">
        <v>204</v>
      </c>
      <c r="B1292" s="133" t="s">
        <v>2652</v>
      </c>
      <c r="C1292" s="91">
        <v>45701.425100520835</v>
      </c>
      <c r="D1292" s="8">
        <f t="shared" si="148"/>
        <v>45705</v>
      </c>
      <c r="E1292" s="9" t="s">
        <v>11</v>
      </c>
      <c r="F1292" s="10"/>
      <c r="G1292" s="9" t="s">
        <v>21</v>
      </c>
      <c r="H1292" s="7" t="s">
        <v>2167</v>
      </c>
      <c r="I1292" s="9" t="s">
        <v>353</v>
      </c>
      <c r="J1292" s="88"/>
    </row>
    <row r="1293">
      <c r="A1293" s="34" t="s">
        <v>204</v>
      </c>
      <c r="B1293" s="133" t="s">
        <v>2166</v>
      </c>
      <c r="C1293" s="91">
        <v>45701.425100520835</v>
      </c>
      <c r="D1293" s="8">
        <f t="shared" si="148"/>
        <v>45705</v>
      </c>
      <c r="E1293" s="9" t="s">
        <v>11</v>
      </c>
      <c r="F1293" s="10"/>
      <c r="G1293" s="9" t="s">
        <v>21</v>
      </c>
      <c r="H1293" s="7" t="s">
        <v>2167</v>
      </c>
      <c r="I1293" s="9" t="s">
        <v>353</v>
      </c>
      <c r="J1293" s="88"/>
    </row>
    <row r="1294">
      <c r="A1294" s="6" t="s">
        <v>9</v>
      </c>
      <c r="B1294" s="133" t="s">
        <v>2682</v>
      </c>
      <c r="C1294" s="91">
        <v>45715.36862886574</v>
      </c>
      <c r="D1294" s="8">
        <f t="shared" si="148"/>
        <v>45719</v>
      </c>
      <c r="E1294" s="9" t="s">
        <v>11</v>
      </c>
      <c r="F1294" s="10"/>
      <c r="G1294" s="9" t="s">
        <v>220</v>
      </c>
      <c r="H1294" s="144" t="s">
        <v>2683</v>
      </c>
      <c r="I1294" s="9" t="s">
        <v>353</v>
      </c>
      <c r="J1294" s="88"/>
    </row>
    <row r="1295">
      <c r="A1295" s="20" t="s">
        <v>98</v>
      </c>
      <c r="B1295" s="9" t="s">
        <v>2684</v>
      </c>
      <c r="C1295" s="91">
        <v>45600.371372615744</v>
      </c>
      <c r="D1295" s="8">
        <f t="shared" si="148"/>
        <v>45602</v>
      </c>
      <c r="E1295" s="9" t="s">
        <v>11</v>
      </c>
      <c r="F1295" s="10"/>
      <c r="G1295" s="9" t="s">
        <v>18</v>
      </c>
      <c r="H1295" s="7" t="s">
        <v>2685</v>
      </c>
      <c r="I1295" s="9" t="s">
        <v>353</v>
      </c>
      <c r="J1295" s="88"/>
    </row>
    <row r="1296">
      <c r="A1296" s="78" t="s">
        <v>334</v>
      </c>
      <c r="B1296" s="43" t="s">
        <v>2686</v>
      </c>
      <c r="C1296" s="119">
        <v>45714.46420615741</v>
      </c>
      <c r="D1296" s="80">
        <f t="shared" si="148"/>
        <v>45716</v>
      </c>
      <c r="E1296" s="9" t="s">
        <v>1123</v>
      </c>
      <c r="F1296" s="10"/>
      <c r="G1296" s="9" t="s">
        <v>220</v>
      </c>
      <c r="H1296" s="7" t="s">
        <v>2687</v>
      </c>
      <c r="I1296" s="9" t="s">
        <v>353</v>
      </c>
      <c r="J1296" s="88"/>
    </row>
    <row r="1297">
      <c r="A1297" s="20" t="s">
        <v>98</v>
      </c>
      <c r="B1297" s="9" t="s">
        <v>2688</v>
      </c>
      <c r="C1297" s="91">
        <v>45713.40594660879</v>
      </c>
      <c r="D1297" s="8"/>
      <c r="E1297" s="9"/>
      <c r="F1297" s="10"/>
      <c r="G1297" s="9" t="s">
        <v>15</v>
      </c>
      <c r="H1297" s="7" t="s">
        <v>2689</v>
      </c>
      <c r="I1297" s="9" t="s">
        <v>353</v>
      </c>
      <c r="J1297" s="88"/>
    </row>
    <row r="1298">
      <c r="A1298" s="20" t="s">
        <v>98</v>
      </c>
      <c r="B1298" s="9" t="s">
        <v>2690</v>
      </c>
      <c r="C1298" s="91">
        <v>45666.763804849536</v>
      </c>
      <c r="D1298" s="8">
        <f t="shared" ref="D1298:D1315" si="149">IFERROR(_xlfn.WORKDAY.INTL(C1298, 2),"-")</f>
        <v>45670</v>
      </c>
      <c r="E1298" s="9" t="s">
        <v>11</v>
      </c>
      <c r="F1298" s="10"/>
      <c r="G1298" s="9" t="s">
        <v>18</v>
      </c>
      <c r="H1298" s="23" t="s">
        <v>2691</v>
      </c>
      <c r="I1298" s="9" t="s">
        <v>353</v>
      </c>
      <c r="J1298" s="88"/>
    </row>
    <row r="1299">
      <c r="A1299" s="34" t="s">
        <v>204</v>
      </c>
      <c r="B1299" s="125" t="s">
        <v>2523</v>
      </c>
      <c r="C1299" s="91">
        <v>45701.42569358797</v>
      </c>
      <c r="D1299" s="8">
        <f t="shared" si="149"/>
        <v>45705</v>
      </c>
      <c r="E1299" s="9" t="s">
        <v>11</v>
      </c>
      <c r="F1299" s="10"/>
      <c r="G1299" s="9" t="s">
        <v>220</v>
      </c>
      <c r="H1299" s="7" t="s">
        <v>2692</v>
      </c>
      <c r="I1299" s="9" t="s">
        <v>353</v>
      </c>
      <c r="J1299" s="88"/>
    </row>
    <row r="1300">
      <c r="A1300" s="34" t="s">
        <v>204</v>
      </c>
      <c r="B1300" s="125" t="s">
        <v>2519</v>
      </c>
      <c r="C1300" s="91">
        <v>45701.42683979167</v>
      </c>
      <c r="D1300" s="8">
        <f t="shared" si="149"/>
        <v>45705</v>
      </c>
      <c r="E1300" s="9" t="s">
        <v>11</v>
      </c>
      <c r="F1300" s="10"/>
      <c r="G1300" s="9" t="s">
        <v>220</v>
      </c>
      <c r="H1300" s="7" t="s">
        <v>2693</v>
      </c>
      <c r="I1300" s="9" t="s">
        <v>353</v>
      </c>
      <c r="J1300" s="88"/>
    </row>
    <row r="1301">
      <c r="A1301" s="34" t="s">
        <v>204</v>
      </c>
      <c r="B1301" s="125" t="s">
        <v>2694</v>
      </c>
      <c r="C1301" s="91">
        <v>45701.425100520835</v>
      </c>
      <c r="D1301" s="8">
        <f t="shared" si="149"/>
        <v>45705</v>
      </c>
      <c r="E1301" s="9" t="s">
        <v>11</v>
      </c>
      <c r="F1301" s="10"/>
      <c r="G1301" s="9" t="s">
        <v>21</v>
      </c>
      <c r="H1301" s="7" t="s">
        <v>2695</v>
      </c>
      <c r="I1301" s="9" t="s">
        <v>353</v>
      </c>
      <c r="J1301" s="88"/>
    </row>
    <row r="1302">
      <c r="A1302" s="54" t="s">
        <v>236</v>
      </c>
      <c r="B1302" s="7" t="s">
        <v>2696</v>
      </c>
      <c r="C1302" s="91">
        <v>45713.672379247684</v>
      </c>
      <c r="D1302" s="8">
        <f t="shared" si="149"/>
        <v>45715</v>
      </c>
      <c r="E1302" s="9" t="s">
        <v>11</v>
      </c>
      <c r="F1302" s="10"/>
      <c r="G1302" s="9"/>
      <c r="H1302" s="7" t="s">
        <v>2697</v>
      </c>
      <c r="I1302" s="9" t="s">
        <v>353</v>
      </c>
      <c r="J1302" s="88"/>
    </row>
    <row r="1303">
      <c r="A1303" s="54" t="s">
        <v>236</v>
      </c>
      <c r="B1303" s="7" t="s">
        <v>2698</v>
      </c>
      <c r="C1303" s="91">
        <v>45713.665590069446</v>
      </c>
      <c r="D1303" s="8">
        <f t="shared" si="149"/>
        <v>45715</v>
      </c>
      <c r="E1303" s="9" t="s">
        <v>11</v>
      </c>
      <c r="F1303" s="10"/>
      <c r="G1303" s="9"/>
      <c r="H1303" s="11"/>
      <c r="I1303" s="9" t="s">
        <v>13</v>
      </c>
      <c r="J1303" s="88"/>
    </row>
    <row r="1304">
      <c r="A1304" s="54" t="s">
        <v>236</v>
      </c>
      <c r="B1304" s="7" t="s">
        <v>2699</v>
      </c>
      <c r="C1304" s="91">
        <v>45713.66536458333</v>
      </c>
      <c r="D1304" s="8">
        <f t="shared" si="149"/>
        <v>45715</v>
      </c>
      <c r="E1304" s="9" t="s">
        <v>11</v>
      </c>
      <c r="F1304" s="10"/>
      <c r="G1304" s="9"/>
      <c r="H1304" s="7" t="s">
        <v>2700</v>
      </c>
      <c r="I1304" s="9" t="s">
        <v>353</v>
      </c>
      <c r="J1304" s="88"/>
    </row>
    <row r="1305">
      <c r="A1305" s="78" t="s">
        <v>334</v>
      </c>
      <c r="B1305" s="43" t="s">
        <v>2701</v>
      </c>
      <c r="C1305" s="119">
        <v>45705.61825136574</v>
      </c>
      <c r="D1305" s="80">
        <f t="shared" si="149"/>
        <v>45707</v>
      </c>
      <c r="E1305" s="9" t="s">
        <v>1097</v>
      </c>
      <c r="F1305" s="10"/>
      <c r="G1305" s="9" t="s">
        <v>15</v>
      </c>
      <c r="H1305" s="7" t="s">
        <v>2702</v>
      </c>
      <c r="I1305" s="9" t="s">
        <v>353</v>
      </c>
      <c r="J1305" s="88"/>
    </row>
    <row r="1306">
      <c r="A1306" s="54" t="s">
        <v>236</v>
      </c>
      <c r="B1306" s="7" t="s">
        <v>2703</v>
      </c>
      <c r="C1306" s="91">
        <v>45679.34354731481</v>
      </c>
      <c r="D1306" s="8">
        <f t="shared" si="149"/>
        <v>45681</v>
      </c>
      <c r="E1306" s="9" t="s">
        <v>11</v>
      </c>
      <c r="F1306" s="10"/>
      <c r="G1306" s="9" t="s">
        <v>15</v>
      </c>
      <c r="H1306" s="7" t="s">
        <v>2704</v>
      </c>
      <c r="I1306" s="9" t="s">
        <v>353</v>
      </c>
      <c r="J1306" s="88"/>
    </row>
    <row r="1307">
      <c r="A1307" s="54" t="s">
        <v>236</v>
      </c>
      <c r="B1307" s="7" t="s">
        <v>2705</v>
      </c>
      <c r="C1307" s="91">
        <v>45546.70606645833</v>
      </c>
      <c r="D1307" s="8">
        <f t="shared" si="149"/>
        <v>45548</v>
      </c>
      <c r="E1307" s="9" t="s">
        <v>11</v>
      </c>
      <c r="F1307" s="10"/>
      <c r="G1307" s="9" t="s">
        <v>15</v>
      </c>
      <c r="H1307" s="7" t="s">
        <v>2706</v>
      </c>
      <c r="I1307" s="9" t="s">
        <v>353</v>
      </c>
      <c r="J1307" s="88"/>
    </row>
    <row r="1308">
      <c r="A1308" s="54" t="s">
        <v>236</v>
      </c>
      <c r="B1308" s="7" t="s">
        <v>2707</v>
      </c>
      <c r="C1308" s="91">
        <v>45684.723839212966</v>
      </c>
      <c r="D1308" s="8">
        <f t="shared" si="149"/>
        <v>45686</v>
      </c>
      <c r="E1308" s="9" t="s">
        <v>11</v>
      </c>
      <c r="F1308" s="10"/>
      <c r="G1308" s="9" t="s">
        <v>15</v>
      </c>
      <c r="H1308" s="7" t="s">
        <v>2708</v>
      </c>
      <c r="I1308" s="9" t="s">
        <v>353</v>
      </c>
      <c r="J1308" s="88"/>
    </row>
    <row r="1309">
      <c r="A1309" s="54" t="s">
        <v>236</v>
      </c>
      <c r="B1309" s="7" t="s">
        <v>2709</v>
      </c>
      <c r="C1309" s="91">
        <v>45713.650311562495</v>
      </c>
      <c r="D1309" s="8">
        <f t="shared" si="149"/>
        <v>45715</v>
      </c>
      <c r="E1309" s="9" t="s">
        <v>11</v>
      </c>
      <c r="F1309" s="10"/>
      <c r="G1309" s="9"/>
      <c r="H1309" s="7" t="s">
        <v>2710</v>
      </c>
      <c r="I1309" s="9" t="s">
        <v>353</v>
      </c>
      <c r="J1309" s="88"/>
    </row>
    <row r="1310">
      <c r="A1310" s="54" t="s">
        <v>236</v>
      </c>
      <c r="B1310" s="7" t="s">
        <v>2711</v>
      </c>
      <c r="C1310" s="91">
        <v>45713.6493852662</v>
      </c>
      <c r="D1310" s="8">
        <f t="shared" si="149"/>
        <v>45715</v>
      </c>
      <c r="E1310" s="9" t="s">
        <v>11</v>
      </c>
      <c r="F1310" s="10"/>
      <c r="G1310" s="9" t="s">
        <v>15</v>
      </c>
      <c r="H1310" s="7" t="s">
        <v>2712</v>
      </c>
      <c r="I1310" s="9" t="s">
        <v>353</v>
      </c>
      <c r="J1310" s="88"/>
    </row>
    <row r="1311">
      <c r="A1311" s="54" t="s">
        <v>236</v>
      </c>
      <c r="B1311" s="7" t="s">
        <v>2713</v>
      </c>
      <c r="C1311" s="91">
        <v>45713.64788314815</v>
      </c>
      <c r="D1311" s="8">
        <f t="shared" si="149"/>
        <v>45715</v>
      </c>
      <c r="E1311" s="9" t="s">
        <v>11</v>
      </c>
      <c r="F1311" s="10"/>
      <c r="G1311" s="9"/>
      <c r="H1311" s="7" t="s">
        <v>2714</v>
      </c>
      <c r="I1311" s="9" t="s">
        <v>353</v>
      </c>
      <c r="J1311" s="88"/>
    </row>
    <row r="1312">
      <c r="A1312" s="54" t="s">
        <v>236</v>
      </c>
      <c r="B1312" s="7" t="s">
        <v>2715</v>
      </c>
      <c r="C1312" s="91">
        <v>45713.64589443287</v>
      </c>
      <c r="D1312" s="8">
        <f t="shared" si="149"/>
        <v>45715</v>
      </c>
      <c r="E1312" s="9" t="s">
        <v>11</v>
      </c>
      <c r="F1312" s="10"/>
      <c r="G1312" s="9"/>
      <c r="H1312" s="7" t="s">
        <v>2716</v>
      </c>
      <c r="I1312" s="9" t="s">
        <v>353</v>
      </c>
      <c r="J1312" s="88"/>
    </row>
    <row r="1313">
      <c r="A1313" s="54" t="s">
        <v>236</v>
      </c>
      <c r="B1313" s="7" t="s">
        <v>2717</v>
      </c>
      <c r="C1313" s="91">
        <v>45713.645616828704</v>
      </c>
      <c r="D1313" s="8">
        <f t="shared" si="149"/>
        <v>45715</v>
      </c>
      <c r="E1313" s="9" t="s">
        <v>11</v>
      </c>
      <c r="F1313" s="10"/>
      <c r="G1313" s="9"/>
      <c r="H1313" s="7" t="s">
        <v>2718</v>
      </c>
      <c r="I1313" s="9" t="s">
        <v>353</v>
      </c>
      <c r="J1313" s="88"/>
    </row>
    <row r="1314">
      <c r="A1314" s="20" t="s">
        <v>98</v>
      </c>
      <c r="B1314" s="9" t="s">
        <v>2719</v>
      </c>
      <c r="C1314" s="91">
        <v>45448.565367256946</v>
      </c>
      <c r="D1314" s="8">
        <f t="shared" si="149"/>
        <v>45450</v>
      </c>
      <c r="E1314" s="9" t="s">
        <v>11</v>
      </c>
      <c r="F1314" s="10"/>
      <c r="G1314" s="9" t="s">
        <v>18</v>
      </c>
      <c r="H1314" s="23" t="s">
        <v>2720</v>
      </c>
      <c r="I1314" s="9" t="s">
        <v>353</v>
      </c>
      <c r="J1314" s="88"/>
    </row>
    <row r="1315">
      <c r="A1315" s="145" t="s">
        <v>2721</v>
      </c>
      <c r="B1315" s="142" t="s">
        <v>2722</v>
      </c>
      <c r="C1315" s="91">
        <v>45672.52543043981</v>
      </c>
      <c r="D1315" s="8">
        <f t="shared" si="149"/>
        <v>45674</v>
      </c>
      <c r="E1315" s="9" t="s">
        <v>1097</v>
      </c>
      <c r="F1315" s="10"/>
      <c r="G1315" s="9" t="s">
        <v>220</v>
      </c>
      <c r="H1315" s="7" t="s">
        <v>2723</v>
      </c>
      <c r="I1315" s="9" t="s">
        <v>353</v>
      </c>
      <c r="J1315" s="88"/>
    </row>
    <row r="1316">
      <c r="A1316" s="145" t="s">
        <v>2721</v>
      </c>
      <c r="B1316" s="43" t="s">
        <v>2724</v>
      </c>
      <c r="C1316" s="91">
        <v>45678.0</v>
      </c>
      <c r="D1316" s="8">
        <v>45679.0</v>
      </c>
      <c r="E1316" s="9" t="s">
        <v>1123</v>
      </c>
      <c r="F1316" s="10"/>
      <c r="G1316" s="9" t="s">
        <v>220</v>
      </c>
      <c r="H1316" s="7" t="s">
        <v>2725</v>
      </c>
      <c r="I1316" s="9" t="s">
        <v>353</v>
      </c>
      <c r="J1316" s="88"/>
    </row>
    <row r="1317">
      <c r="A1317" s="145" t="s">
        <v>2721</v>
      </c>
      <c r="B1317" s="43" t="s">
        <v>2726</v>
      </c>
      <c r="C1317" s="91">
        <v>45698.61219622685</v>
      </c>
      <c r="D1317" s="8">
        <f t="shared" ref="D1317:D1330" si="150">IFERROR(_xlfn.WORKDAY.INTL(C1317, 2),"-")</f>
        <v>45700</v>
      </c>
      <c r="E1317" s="9" t="s">
        <v>1128</v>
      </c>
      <c r="F1317" s="10"/>
      <c r="G1317" s="9" t="s">
        <v>220</v>
      </c>
      <c r="H1317" s="7" t="s">
        <v>2727</v>
      </c>
      <c r="I1317" s="9" t="s">
        <v>353</v>
      </c>
      <c r="J1317" s="88"/>
    </row>
    <row r="1318">
      <c r="A1318" s="145" t="s">
        <v>2721</v>
      </c>
      <c r="B1318" s="43" t="s">
        <v>2728</v>
      </c>
      <c r="C1318" s="91">
        <v>45691.53793805555</v>
      </c>
      <c r="D1318" s="8">
        <f t="shared" si="150"/>
        <v>45693</v>
      </c>
      <c r="E1318" s="9" t="s">
        <v>1097</v>
      </c>
      <c r="F1318" s="10"/>
      <c r="G1318" s="9" t="s">
        <v>220</v>
      </c>
      <c r="H1318" s="7" t="s">
        <v>2729</v>
      </c>
      <c r="I1318" s="9" t="s">
        <v>353</v>
      </c>
      <c r="J1318" s="88"/>
    </row>
    <row r="1319">
      <c r="A1319" s="145" t="s">
        <v>2721</v>
      </c>
      <c r="B1319" s="43" t="s">
        <v>2730</v>
      </c>
      <c r="C1319" s="91">
        <v>45691.0</v>
      </c>
      <c r="D1319" s="8">
        <f t="shared" si="150"/>
        <v>45693</v>
      </c>
      <c r="E1319" s="9" t="s">
        <v>1097</v>
      </c>
      <c r="F1319" s="10"/>
      <c r="G1319" s="9" t="s">
        <v>220</v>
      </c>
      <c r="H1319" s="7" t="s">
        <v>2731</v>
      </c>
      <c r="I1319" s="9" t="s">
        <v>353</v>
      </c>
      <c r="J1319" s="88"/>
    </row>
    <row r="1320">
      <c r="A1320" s="145" t="s">
        <v>2721</v>
      </c>
      <c r="B1320" s="43" t="s">
        <v>2728</v>
      </c>
      <c r="C1320" s="91">
        <v>45691.610803194446</v>
      </c>
      <c r="D1320" s="8">
        <f t="shared" si="150"/>
        <v>45693</v>
      </c>
      <c r="E1320" s="9" t="s">
        <v>1097</v>
      </c>
      <c r="F1320" s="10"/>
      <c r="G1320" s="9" t="s">
        <v>220</v>
      </c>
      <c r="H1320" s="7" t="s">
        <v>2729</v>
      </c>
      <c r="I1320" s="9" t="s">
        <v>353</v>
      </c>
      <c r="J1320" s="88"/>
    </row>
    <row r="1321">
      <c r="A1321" s="145" t="s">
        <v>2721</v>
      </c>
      <c r="B1321" s="43" t="s">
        <v>2732</v>
      </c>
      <c r="C1321" s="91">
        <v>45701.0</v>
      </c>
      <c r="D1321" s="8">
        <f t="shared" si="150"/>
        <v>45705</v>
      </c>
      <c r="E1321" s="9" t="s">
        <v>1097</v>
      </c>
      <c r="F1321" s="10"/>
      <c r="G1321" s="9" t="s">
        <v>220</v>
      </c>
      <c r="H1321" s="7" t="s">
        <v>2733</v>
      </c>
      <c r="I1321" s="9" t="s">
        <v>353</v>
      </c>
      <c r="J1321" s="88"/>
    </row>
    <row r="1322">
      <c r="A1322" s="145" t="s">
        <v>2721</v>
      </c>
      <c r="B1322" s="43" t="s">
        <v>2734</v>
      </c>
      <c r="C1322" s="91">
        <v>45698.0</v>
      </c>
      <c r="D1322" s="8">
        <f t="shared" si="150"/>
        <v>45700</v>
      </c>
      <c r="E1322" s="9" t="s">
        <v>1128</v>
      </c>
      <c r="F1322" s="10"/>
      <c r="G1322" s="9" t="s">
        <v>220</v>
      </c>
      <c r="H1322" s="7" t="s">
        <v>2735</v>
      </c>
      <c r="I1322" s="9" t="s">
        <v>353</v>
      </c>
      <c r="J1322" s="88"/>
    </row>
    <row r="1323">
      <c r="A1323" s="145" t="s">
        <v>2721</v>
      </c>
      <c r="B1323" s="43" t="s">
        <v>2736</v>
      </c>
      <c r="C1323" s="91">
        <v>45706.52284775463</v>
      </c>
      <c r="D1323" s="8">
        <f t="shared" si="150"/>
        <v>45708</v>
      </c>
      <c r="E1323" s="9" t="s">
        <v>1123</v>
      </c>
      <c r="F1323" s="10"/>
      <c r="G1323" s="9" t="s">
        <v>220</v>
      </c>
      <c r="H1323" s="7" t="s">
        <v>2737</v>
      </c>
      <c r="I1323" s="9" t="s">
        <v>353</v>
      </c>
      <c r="J1323" s="88"/>
    </row>
    <row r="1324">
      <c r="A1324" s="145" t="s">
        <v>2721</v>
      </c>
      <c r="B1324" s="43" t="s">
        <v>2738</v>
      </c>
      <c r="C1324" s="91">
        <v>45706.0</v>
      </c>
      <c r="D1324" s="8">
        <f t="shared" si="150"/>
        <v>45708</v>
      </c>
      <c r="E1324" s="9" t="s">
        <v>1123</v>
      </c>
      <c r="F1324" s="10"/>
      <c r="G1324" s="9" t="s">
        <v>220</v>
      </c>
      <c r="H1324" s="7" t="s">
        <v>2739</v>
      </c>
      <c r="I1324" s="9" t="s">
        <v>353</v>
      </c>
      <c r="J1324" s="88"/>
    </row>
    <row r="1325">
      <c r="A1325" s="42" t="s">
        <v>330</v>
      </c>
      <c r="B1325" s="43" t="s">
        <v>2740</v>
      </c>
      <c r="C1325" s="91">
        <v>45706.373228807875</v>
      </c>
      <c r="D1325" s="8">
        <f t="shared" si="150"/>
        <v>45708</v>
      </c>
      <c r="E1325" s="9" t="s">
        <v>1123</v>
      </c>
      <c r="F1325" s="10"/>
      <c r="G1325" s="9" t="s">
        <v>11</v>
      </c>
      <c r="H1325" s="7" t="s">
        <v>2741</v>
      </c>
      <c r="I1325" s="9" t="s">
        <v>353</v>
      </c>
      <c r="J1325" s="88"/>
    </row>
    <row r="1326">
      <c r="A1326" s="42" t="s">
        <v>330</v>
      </c>
      <c r="B1326" s="43" t="s">
        <v>2742</v>
      </c>
      <c r="C1326" s="91">
        <v>45701.45769835648</v>
      </c>
      <c r="D1326" s="8">
        <f t="shared" si="150"/>
        <v>45705</v>
      </c>
      <c r="E1326" s="9" t="s">
        <v>1128</v>
      </c>
      <c r="F1326" s="10"/>
      <c r="G1326" s="9" t="s">
        <v>11</v>
      </c>
      <c r="H1326" s="7" t="s">
        <v>2743</v>
      </c>
      <c r="I1326" s="9" t="s">
        <v>353</v>
      </c>
      <c r="J1326" s="88"/>
    </row>
    <row r="1327">
      <c r="A1327" s="42" t="s">
        <v>330</v>
      </c>
      <c r="B1327" s="43" t="s">
        <v>2744</v>
      </c>
      <c r="C1327" s="91">
        <v>45700.50963076389</v>
      </c>
      <c r="D1327" s="8">
        <f t="shared" si="150"/>
        <v>45702</v>
      </c>
      <c r="E1327" s="9" t="s">
        <v>1097</v>
      </c>
      <c r="F1327" s="10"/>
      <c r="G1327" s="9" t="s">
        <v>11</v>
      </c>
      <c r="H1327" s="7" t="s">
        <v>2745</v>
      </c>
      <c r="I1327" s="9" t="s">
        <v>353</v>
      </c>
      <c r="J1327" s="88"/>
    </row>
    <row r="1328">
      <c r="A1328" s="42" t="s">
        <v>330</v>
      </c>
      <c r="B1328" s="43" t="s">
        <v>2746</v>
      </c>
      <c r="C1328" s="91">
        <v>45700.50937462963</v>
      </c>
      <c r="D1328" s="8">
        <f t="shared" si="150"/>
        <v>45702</v>
      </c>
      <c r="E1328" s="9" t="s">
        <v>1097</v>
      </c>
      <c r="F1328" s="10"/>
      <c r="G1328" s="9" t="s">
        <v>11</v>
      </c>
      <c r="H1328" s="7" t="s">
        <v>2747</v>
      </c>
      <c r="I1328" s="9" t="s">
        <v>353</v>
      </c>
      <c r="J1328" s="88"/>
    </row>
    <row r="1329">
      <c r="A1329" s="42" t="s">
        <v>330</v>
      </c>
      <c r="B1329" s="43" t="s">
        <v>2748</v>
      </c>
      <c r="C1329" s="91">
        <v>45692.44108528935</v>
      </c>
      <c r="D1329" s="8">
        <f t="shared" si="150"/>
        <v>45694</v>
      </c>
      <c r="E1329" s="9" t="s">
        <v>1128</v>
      </c>
      <c r="F1329" s="10"/>
      <c r="G1329" s="9" t="s">
        <v>11</v>
      </c>
      <c r="H1329" s="7" t="s">
        <v>2749</v>
      </c>
      <c r="I1329" s="9" t="s">
        <v>353</v>
      </c>
      <c r="J1329" s="88"/>
    </row>
    <row r="1330">
      <c r="A1330" s="42" t="s">
        <v>330</v>
      </c>
      <c r="B1330" s="43" t="s">
        <v>2750</v>
      </c>
      <c r="C1330" s="91">
        <v>45681.4498728125</v>
      </c>
      <c r="D1330" s="8">
        <f t="shared" si="150"/>
        <v>45685</v>
      </c>
      <c r="E1330" s="9" t="s">
        <v>1123</v>
      </c>
      <c r="F1330" s="10"/>
      <c r="G1330" s="9" t="s">
        <v>11</v>
      </c>
      <c r="H1330" s="7" t="s">
        <v>2751</v>
      </c>
      <c r="I1330" s="9" t="s">
        <v>353</v>
      </c>
      <c r="J1330" s="88"/>
    </row>
    <row r="1331">
      <c r="A1331" s="20" t="s">
        <v>98</v>
      </c>
      <c r="B1331" s="9" t="s">
        <v>2435</v>
      </c>
      <c r="C1331" s="91">
        <v>45712.34684780093</v>
      </c>
      <c r="D1331" s="8"/>
      <c r="E1331" s="9"/>
      <c r="F1331" s="10"/>
      <c r="G1331" s="9" t="s">
        <v>18</v>
      </c>
      <c r="H1331" s="7" t="s">
        <v>2752</v>
      </c>
      <c r="I1331" s="9" t="s">
        <v>353</v>
      </c>
      <c r="J1331" s="88"/>
    </row>
    <row r="1332">
      <c r="A1332" s="78" t="s">
        <v>334</v>
      </c>
      <c r="B1332" s="43" t="s">
        <v>2753</v>
      </c>
      <c r="C1332" s="119">
        <v>45712.66417065972</v>
      </c>
      <c r="D1332" s="80">
        <f t="shared" ref="D1332:D1336" si="151">IFERROR(_xlfn.WORKDAY.INTL(C1332, 2),"-")</f>
        <v>45714</v>
      </c>
      <c r="E1332" s="9" t="s">
        <v>1123</v>
      </c>
      <c r="F1332" s="10"/>
      <c r="G1332" s="9" t="s">
        <v>220</v>
      </c>
      <c r="H1332" s="11"/>
      <c r="I1332" s="9" t="s">
        <v>353</v>
      </c>
      <c r="J1332" s="88"/>
    </row>
    <row r="1333">
      <c r="A1333" s="20" t="s">
        <v>98</v>
      </c>
      <c r="B1333" s="9" t="s">
        <v>2754</v>
      </c>
      <c r="C1333" s="91">
        <v>45328.68613041667</v>
      </c>
      <c r="D1333" s="8">
        <f t="shared" si="151"/>
        <v>45330</v>
      </c>
      <c r="E1333" s="9" t="s">
        <v>206</v>
      </c>
      <c r="F1333" s="10"/>
      <c r="G1333" s="9" t="s">
        <v>15</v>
      </c>
      <c r="H1333" s="23" t="s">
        <v>2755</v>
      </c>
      <c r="I1333" s="9" t="s">
        <v>353</v>
      </c>
      <c r="J1333" s="88"/>
    </row>
    <row r="1334">
      <c r="A1334" s="20" t="s">
        <v>98</v>
      </c>
      <c r="B1334" s="9" t="s">
        <v>2756</v>
      </c>
      <c r="C1334" s="91">
        <v>45569.41536298611</v>
      </c>
      <c r="D1334" s="8">
        <f t="shared" si="151"/>
        <v>45573</v>
      </c>
      <c r="E1334" s="9" t="s">
        <v>11</v>
      </c>
      <c r="F1334" s="10"/>
      <c r="G1334" s="9" t="s">
        <v>15</v>
      </c>
      <c r="H1334" s="23" t="s">
        <v>2757</v>
      </c>
      <c r="I1334" s="9" t="s">
        <v>353</v>
      </c>
      <c r="J1334" s="88"/>
    </row>
    <row r="1335">
      <c r="A1335" s="42" t="s">
        <v>330</v>
      </c>
      <c r="B1335" s="43" t="s">
        <v>2758</v>
      </c>
      <c r="C1335" s="91">
        <v>45664.706657083334</v>
      </c>
      <c r="D1335" s="8">
        <f t="shared" si="151"/>
        <v>45666</v>
      </c>
      <c r="E1335" s="9" t="s">
        <v>1489</v>
      </c>
      <c r="F1335" s="10"/>
      <c r="G1335" s="9" t="s">
        <v>11</v>
      </c>
      <c r="H1335" s="7" t="s">
        <v>2759</v>
      </c>
      <c r="I1335" s="9" t="s">
        <v>353</v>
      </c>
      <c r="J1335" s="88"/>
    </row>
    <row r="1336">
      <c r="A1336" s="20" t="s">
        <v>98</v>
      </c>
      <c r="B1336" s="9" t="s">
        <v>2760</v>
      </c>
      <c r="C1336" s="91">
        <v>45628.374247245374</v>
      </c>
      <c r="D1336" s="8">
        <f t="shared" si="151"/>
        <v>45630</v>
      </c>
      <c r="E1336" s="9" t="s">
        <v>11</v>
      </c>
      <c r="F1336" s="10"/>
      <c r="G1336" s="9" t="s">
        <v>18</v>
      </c>
      <c r="H1336" s="22" t="s">
        <v>2761</v>
      </c>
      <c r="I1336" s="9" t="s">
        <v>353</v>
      </c>
      <c r="J1336" s="88"/>
    </row>
    <row r="1337">
      <c r="A1337" s="88"/>
      <c r="B1337" s="89"/>
      <c r="C1337" s="90"/>
      <c r="D1337" s="89"/>
      <c r="E1337" s="89"/>
      <c r="F1337" s="89"/>
      <c r="G1337" s="89"/>
      <c r="H1337" s="87"/>
      <c r="I1337" s="89"/>
      <c r="J1337" s="88"/>
    </row>
    <row r="1338">
      <c r="A1338" s="78" t="s">
        <v>334</v>
      </c>
      <c r="B1338" s="43" t="s">
        <v>2762</v>
      </c>
      <c r="C1338" s="119">
        <v>45708.36204731482</v>
      </c>
      <c r="D1338" s="80">
        <f t="shared" ref="D1338:D1339" si="152">IFERROR(_xlfn.WORKDAY.INTL(C1338, 2),"-")</f>
        <v>45712</v>
      </c>
      <c r="E1338" s="9" t="s">
        <v>1097</v>
      </c>
      <c r="F1338" s="10"/>
      <c r="G1338" s="9" t="s">
        <v>220</v>
      </c>
      <c r="H1338" s="7" t="s">
        <v>2763</v>
      </c>
      <c r="I1338" s="9" t="s">
        <v>353</v>
      </c>
      <c r="J1338" s="88"/>
    </row>
    <row r="1339">
      <c r="A1339" s="20" t="s">
        <v>98</v>
      </c>
      <c r="B1339" s="9" t="s">
        <v>2764</v>
      </c>
      <c r="C1339" s="91">
        <v>45425.5398741088</v>
      </c>
      <c r="D1339" s="8">
        <f t="shared" si="152"/>
        <v>45427</v>
      </c>
      <c r="E1339" s="9" t="s">
        <v>11</v>
      </c>
      <c r="F1339" s="10"/>
      <c r="G1339" s="9" t="s">
        <v>15</v>
      </c>
      <c r="H1339" s="23" t="s">
        <v>2765</v>
      </c>
      <c r="I1339" s="9" t="s">
        <v>353</v>
      </c>
      <c r="J1339" s="88"/>
    </row>
    <row r="1340">
      <c r="A1340" s="20" t="s">
        <v>98</v>
      </c>
      <c r="B1340" s="9" t="s">
        <v>2766</v>
      </c>
      <c r="C1340" s="91">
        <v>45698.438887916665</v>
      </c>
      <c r="D1340" s="8"/>
      <c r="E1340" s="9"/>
      <c r="F1340" s="10"/>
      <c r="G1340" s="9" t="s">
        <v>15</v>
      </c>
      <c r="H1340" s="7" t="s">
        <v>2767</v>
      </c>
      <c r="I1340" s="9" t="s">
        <v>353</v>
      </c>
      <c r="J1340" s="88"/>
    </row>
    <row r="1341">
      <c r="A1341" s="20" t="s">
        <v>98</v>
      </c>
      <c r="B1341" s="9" t="s">
        <v>2768</v>
      </c>
      <c r="C1341" s="91">
        <v>45706.59242400463</v>
      </c>
      <c r="D1341" s="8"/>
      <c r="E1341" s="9"/>
      <c r="F1341" s="10"/>
      <c r="G1341" s="9" t="s">
        <v>18</v>
      </c>
      <c r="H1341" s="7" t="s">
        <v>2769</v>
      </c>
      <c r="I1341" s="9" t="s">
        <v>353</v>
      </c>
      <c r="J1341" s="88"/>
    </row>
    <row r="1342">
      <c r="A1342" s="20" t="s">
        <v>98</v>
      </c>
      <c r="B1342" s="9" t="s">
        <v>2770</v>
      </c>
      <c r="C1342" s="91">
        <v>45666.81119060185</v>
      </c>
      <c r="D1342" s="8">
        <f t="shared" ref="D1342:D1343" si="153">IFERROR(_xlfn.WORKDAY.INTL(C1342, 2),"-")</f>
        <v>45670</v>
      </c>
      <c r="E1342" s="9" t="s">
        <v>11</v>
      </c>
      <c r="F1342" s="10"/>
      <c r="G1342" s="9" t="s">
        <v>18</v>
      </c>
      <c r="H1342" s="23" t="s">
        <v>2771</v>
      </c>
      <c r="I1342" s="9" t="s">
        <v>353</v>
      </c>
      <c r="J1342" s="88"/>
    </row>
    <row r="1343">
      <c r="A1343" s="78" t="s">
        <v>334</v>
      </c>
      <c r="B1343" s="43" t="s">
        <v>2772</v>
      </c>
      <c r="C1343" s="119">
        <v>45706.35465020833</v>
      </c>
      <c r="D1343" s="80">
        <f t="shared" si="153"/>
        <v>45708</v>
      </c>
      <c r="E1343" s="9"/>
      <c r="F1343" s="10"/>
      <c r="G1343" s="9" t="s">
        <v>220</v>
      </c>
      <c r="H1343" s="11"/>
      <c r="I1343" s="9" t="s">
        <v>353</v>
      </c>
      <c r="J1343" s="88"/>
    </row>
    <row r="1344">
      <c r="A1344" s="20" t="s">
        <v>98</v>
      </c>
      <c r="B1344" s="9" t="s">
        <v>2773</v>
      </c>
      <c r="C1344" s="91">
        <v>45699.480052812505</v>
      </c>
      <c r="D1344" s="8"/>
      <c r="E1344" s="9"/>
      <c r="F1344" s="10"/>
      <c r="G1344" s="9" t="s">
        <v>15</v>
      </c>
      <c r="H1344" s="22" t="s">
        <v>2774</v>
      </c>
      <c r="I1344" s="9" t="s">
        <v>353</v>
      </c>
      <c r="J1344" s="88"/>
    </row>
    <row r="1345">
      <c r="A1345" s="20" t="s">
        <v>98</v>
      </c>
      <c r="B1345" s="9" t="s">
        <v>2775</v>
      </c>
      <c r="C1345" s="91">
        <v>45706.59223263889</v>
      </c>
      <c r="D1345" s="8"/>
      <c r="E1345" s="9"/>
      <c r="F1345" s="10"/>
      <c r="G1345" s="9" t="s">
        <v>18</v>
      </c>
      <c r="H1345" s="7" t="s">
        <v>2769</v>
      </c>
      <c r="I1345" s="9" t="s">
        <v>353</v>
      </c>
      <c r="J1345" s="88"/>
    </row>
    <row r="1346">
      <c r="A1346" s="20" t="s">
        <v>98</v>
      </c>
      <c r="B1346" s="9" t="s">
        <v>2776</v>
      </c>
      <c r="C1346" s="91">
        <v>45666.403236875005</v>
      </c>
      <c r="D1346" s="8">
        <f t="shared" ref="D1346:D1358" si="154">IFERROR(_xlfn.WORKDAY.INTL(C1346, 2),"-")</f>
        <v>45670</v>
      </c>
      <c r="E1346" s="9" t="s">
        <v>11</v>
      </c>
      <c r="F1346" s="10"/>
      <c r="G1346" s="9" t="s">
        <v>18</v>
      </c>
      <c r="H1346" s="23" t="s">
        <v>2777</v>
      </c>
      <c r="I1346" s="9" t="s">
        <v>353</v>
      </c>
      <c r="J1346" s="88"/>
    </row>
    <row r="1347">
      <c r="A1347" s="6" t="s">
        <v>9</v>
      </c>
      <c r="B1347" s="7" t="s">
        <v>2778</v>
      </c>
      <c r="C1347" s="91">
        <v>45705.44318296296</v>
      </c>
      <c r="D1347" s="8">
        <f t="shared" si="154"/>
        <v>45707</v>
      </c>
      <c r="E1347" s="9" t="s">
        <v>11</v>
      </c>
      <c r="F1347" s="10"/>
      <c r="G1347" s="9" t="s">
        <v>15</v>
      </c>
      <c r="H1347" s="7" t="s">
        <v>2779</v>
      </c>
      <c r="I1347" s="9" t="s">
        <v>353</v>
      </c>
      <c r="J1347" s="88"/>
    </row>
    <row r="1348">
      <c r="A1348" s="78" t="s">
        <v>334</v>
      </c>
      <c r="B1348" s="43" t="s">
        <v>2780</v>
      </c>
      <c r="C1348" s="119">
        <v>45665.0</v>
      </c>
      <c r="D1348" s="80">
        <f t="shared" si="154"/>
        <v>45667</v>
      </c>
      <c r="E1348" s="9" t="s">
        <v>1489</v>
      </c>
      <c r="F1348" s="10"/>
      <c r="G1348" s="9" t="s">
        <v>15</v>
      </c>
      <c r="H1348" s="7" t="s">
        <v>2781</v>
      </c>
      <c r="I1348" s="9" t="s">
        <v>353</v>
      </c>
      <c r="J1348" s="88"/>
    </row>
    <row r="1349">
      <c r="A1349" s="6" t="s">
        <v>9</v>
      </c>
      <c r="B1349" s="7" t="s">
        <v>2782</v>
      </c>
      <c r="C1349" s="91">
        <v>45680.4438165162</v>
      </c>
      <c r="D1349" s="8">
        <f t="shared" si="154"/>
        <v>45684</v>
      </c>
      <c r="E1349" s="9" t="s">
        <v>11</v>
      </c>
      <c r="F1349" s="10"/>
      <c r="G1349" s="9" t="s">
        <v>15</v>
      </c>
      <c r="H1349" s="7" t="s">
        <v>2783</v>
      </c>
      <c r="I1349" s="9" t="s">
        <v>353</v>
      </c>
      <c r="J1349" s="88"/>
    </row>
    <row r="1350">
      <c r="A1350" s="20" t="s">
        <v>98</v>
      </c>
      <c r="B1350" s="9" t="s">
        <v>2784</v>
      </c>
      <c r="C1350" s="91">
        <v>45366.34415484953</v>
      </c>
      <c r="D1350" s="8">
        <f t="shared" si="154"/>
        <v>45370</v>
      </c>
      <c r="E1350" s="9" t="s">
        <v>206</v>
      </c>
      <c r="F1350" s="10"/>
      <c r="G1350" s="9" t="s">
        <v>18</v>
      </c>
      <c r="H1350" s="23" t="s">
        <v>2785</v>
      </c>
      <c r="I1350" s="9" t="s">
        <v>353</v>
      </c>
      <c r="J1350" s="88"/>
    </row>
    <row r="1351">
      <c r="A1351" s="20" t="s">
        <v>98</v>
      </c>
      <c r="B1351" s="9" t="s">
        <v>2786</v>
      </c>
      <c r="C1351" s="91">
        <v>45666.40114901621</v>
      </c>
      <c r="D1351" s="8">
        <f t="shared" si="154"/>
        <v>45670</v>
      </c>
      <c r="E1351" s="9" t="s">
        <v>11</v>
      </c>
      <c r="F1351" s="10"/>
      <c r="G1351" s="9" t="s">
        <v>18</v>
      </c>
      <c r="H1351" s="23" t="s">
        <v>2787</v>
      </c>
      <c r="I1351" s="9" t="s">
        <v>353</v>
      </c>
      <c r="J1351" s="88"/>
    </row>
    <row r="1352">
      <c r="A1352" s="78" t="s">
        <v>334</v>
      </c>
      <c r="B1352" s="43" t="s">
        <v>2788</v>
      </c>
      <c r="C1352" s="119">
        <v>45701.48391850694</v>
      </c>
      <c r="D1352" s="80">
        <f t="shared" si="154"/>
        <v>45705</v>
      </c>
      <c r="E1352" s="9"/>
      <c r="F1352" s="10"/>
      <c r="G1352" s="9"/>
      <c r="H1352" s="11"/>
      <c r="I1352" s="9" t="s">
        <v>353</v>
      </c>
      <c r="J1352" s="88"/>
    </row>
    <row r="1353">
      <c r="A1353" s="20" t="s">
        <v>98</v>
      </c>
      <c r="B1353" s="9" t="s">
        <v>2789</v>
      </c>
      <c r="C1353" s="91">
        <v>45666.43546275463</v>
      </c>
      <c r="D1353" s="8">
        <f t="shared" si="154"/>
        <v>45670</v>
      </c>
      <c r="E1353" s="9" t="s">
        <v>11</v>
      </c>
      <c r="F1353" s="10"/>
      <c r="G1353" s="9" t="s">
        <v>15</v>
      </c>
      <c r="H1353" s="23" t="s">
        <v>2790</v>
      </c>
      <c r="I1353" s="9" t="s">
        <v>353</v>
      </c>
      <c r="J1353" s="88"/>
    </row>
    <row r="1354">
      <c r="A1354" s="20" t="s">
        <v>98</v>
      </c>
      <c r="B1354" s="9" t="s">
        <v>2791</v>
      </c>
      <c r="C1354" s="91">
        <v>45530.635583564814</v>
      </c>
      <c r="D1354" s="8">
        <f t="shared" si="154"/>
        <v>45532</v>
      </c>
      <c r="E1354" s="9" t="s">
        <v>206</v>
      </c>
      <c r="F1354" s="10"/>
      <c r="G1354" s="9" t="s">
        <v>15</v>
      </c>
      <c r="H1354" s="23" t="s">
        <v>2792</v>
      </c>
      <c r="I1354" s="9" t="s">
        <v>353</v>
      </c>
      <c r="J1354" s="88"/>
    </row>
    <row r="1355">
      <c r="A1355" s="78" t="s">
        <v>334</v>
      </c>
      <c r="B1355" s="43" t="s">
        <v>2793</v>
      </c>
      <c r="C1355" s="119">
        <v>45699.0</v>
      </c>
      <c r="D1355" s="80">
        <f t="shared" si="154"/>
        <v>45701</v>
      </c>
      <c r="E1355" s="9" t="s">
        <v>1489</v>
      </c>
      <c r="F1355" s="10"/>
      <c r="G1355" s="9" t="s">
        <v>15</v>
      </c>
      <c r="H1355" s="7" t="s">
        <v>2794</v>
      </c>
      <c r="I1355" s="9" t="s">
        <v>353</v>
      </c>
      <c r="J1355" s="88"/>
    </row>
    <row r="1356">
      <c r="A1356" s="146" t="s">
        <v>94</v>
      </c>
      <c r="B1356" s="43" t="s">
        <v>2795</v>
      </c>
      <c r="C1356" s="147">
        <v>45700.7054537963</v>
      </c>
      <c r="D1356" s="148">
        <f t="shared" si="154"/>
        <v>45702</v>
      </c>
      <c r="E1356" s="9"/>
      <c r="F1356" s="10"/>
      <c r="G1356" s="9" t="s">
        <v>18</v>
      </c>
      <c r="H1356" s="7" t="s">
        <v>2796</v>
      </c>
      <c r="I1356" s="9" t="s">
        <v>353</v>
      </c>
      <c r="J1356" s="88"/>
    </row>
    <row r="1357">
      <c r="A1357" s="20" t="s">
        <v>98</v>
      </c>
      <c r="B1357" s="9" t="s">
        <v>2797</v>
      </c>
      <c r="C1357" s="91">
        <v>45666.38056348379</v>
      </c>
      <c r="D1357" s="8">
        <f t="shared" si="154"/>
        <v>45670</v>
      </c>
      <c r="E1357" s="9" t="s">
        <v>11</v>
      </c>
      <c r="F1357" s="10"/>
      <c r="G1357" s="9" t="s">
        <v>15</v>
      </c>
      <c r="H1357" s="7" t="s">
        <v>2798</v>
      </c>
      <c r="I1357" s="9" t="s">
        <v>353</v>
      </c>
      <c r="J1357" s="88"/>
    </row>
    <row r="1358">
      <c r="A1358" s="146" t="s">
        <v>94</v>
      </c>
      <c r="B1358" s="43" t="s">
        <v>2799</v>
      </c>
      <c r="C1358" s="147">
        <v>45700.60951554398</v>
      </c>
      <c r="D1358" s="148">
        <f t="shared" si="154"/>
        <v>45702</v>
      </c>
      <c r="E1358" s="9"/>
      <c r="F1358" s="10"/>
      <c r="G1358" s="9" t="s">
        <v>15</v>
      </c>
      <c r="H1358" s="7" t="s">
        <v>2800</v>
      </c>
      <c r="I1358" s="9" t="s">
        <v>353</v>
      </c>
      <c r="J1358" s="88"/>
    </row>
    <row r="1359">
      <c r="A1359" s="20" t="s">
        <v>98</v>
      </c>
      <c r="B1359" s="9" t="s">
        <v>2801</v>
      </c>
      <c r="C1359" s="91">
        <v>45700.374313831024</v>
      </c>
      <c r="D1359" s="8"/>
      <c r="E1359" s="9"/>
      <c r="F1359" s="10"/>
      <c r="G1359" s="9" t="s">
        <v>15</v>
      </c>
      <c r="H1359" s="7" t="s">
        <v>2802</v>
      </c>
      <c r="I1359" s="9" t="s">
        <v>353</v>
      </c>
      <c r="J1359" s="88"/>
    </row>
    <row r="1360">
      <c r="A1360" s="42" t="s">
        <v>330</v>
      </c>
      <c r="B1360" s="43" t="s">
        <v>2803</v>
      </c>
      <c r="C1360" s="91">
        <v>45698.41696954861</v>
      </c>
      <c r="D1360" s="8">
        <f t="shared" ref="D1360:D1363" si="155">IFERROR(_xlfn.WORKDAY.INTL(C1360, 2),"-")</f>
        <v>45700</v>
      </c>
      <c r="E1360" s="9" t="s">
        <v>1097</v>
      </c>
      <c r="F1360" s="10"/>
      <c r="G1360" s="9" t="s">
        <v>220</v>
      </c>
      <c r="H1360" s="11"/>
      <c r="I1360" s="9" t="s">
        <v>353</v>
      </c>
      <c r="J1360" s="88"/>
    </row>
    <row r="1361">
      <c r="A1361" s="6" t="s">
        <v>9</v>
      </c>
      <c r="B1361" s="7" t="s">
        <v>2611</v>
      </c>
      <c r="C1361" s="91">
        <v>45691.49113969908</v>
      </c>
      <c r="D1361" s="8">
        <f t="shared" si="155"/>
        <v>45693</v>
      </c>
      <c r="E1361" s="9" t="s">
        <v>11</v>
      </c>
      <c r="F1361" s="10"/>
      <c r="G1361" s="9" t="s">
        <v>15</v>
      </c>
      <c r="H1361" s="7" t="s">
        <v>2804</v>
      </c>
      <c r="I1361" s="9" t="s">
        <v>353</v>
      </c>
      <c r="J1361" s="88"/>
    </row>
    <row r="1362">
      <c r="A1362" s="78" t="s">
        <v>334</v>
      </c>
      <c r="B1362" s="43" t="s">
        <v>2805</v>
      </c>
      <c r="C1362" s="119">
        <v>45700.0</v>
      </c>
      <c r="D1362" s="80">
        <f t="shared" si="155"/>
        <v>45702</v>
      </c>
      <c r="E1362" s="9" t="s">
        <v>1123</v>
      </c>
      <c r="F1362" s="10"/>
      <c r="G1362" s="9" t="s">
        <v>15</v>
      </c>
      <c r="H1362" s="7" t="s">
        <v>2806</v>
      </c>
      <c r="I1362" s="9" t="s">
        <v>353</v>
      </c>
      <c r="J1362" s="88"/>
    </row>
    <row r="1363">
      <c r="A1363" s="146" t="s">
        <v>94</v>
      </c>
      <c r="B1363" s="43" t="s">
        <v>2795</v>
      </c>
      <c r="C1363" s="147">
        <v>45699.58551851852</v>
      </c>
      <c r="D1363" s="148">
        <f t="shared" si="155"/>
        <v>45701</v>
      </c>
      <c r="E1363" s="9"/>
      <c r="F1363" s="10"/>
      <c r="G1363" s="9" t="s">
        <v>220</v>
      </c>
      <c r="H1363" s="11"/>
      <c r="I1363" s="9" t="s">
        <v>353</v>
      </c>
      <c r="J1363" s="88"/>
    </row>
    <row r="1364">
      <c r="A1364" s="20" t="s">
        <v>98</v>
      </c>
      <c r="B1364" s="9" t="s">
        <v>2807</v>
      </c>
      <c r="C1364" s="91">
        <v>45667.65523344907</v>
      </c>
      <c r="D1364" s="8"/>
      <c r="E1364" s="9"/>
      <c r="F1364" s="10"/>
      <c r="G1364" s="9" t="s">
        <v>15</v>
      </c>
      <c r="H1364" s="23" t="s">
        <v>2808</v>
      </c>
      <c r="I1364" s="9" t="s">
        <v>353</v>
      </c>
      <c r="J1364" s="88"/>
    </row>
    <row r="1365">
      <c r="A1365" s="20" t="s">
        <v>98</v>
      </c>
      <c r="B1365" s="9" t="s">
        <v>2809</v>
      </c>
      <c r="C1365" s="91">
        <v>45678.44984630787</v>
      </c>
      <c r="D1365" s="8"/>
      <c r="E1365" s="9"/>
      <c r="F1365" s="10"/>
      <c r="G1365" s="9" t="s">
        <v>15</v>
      </c>
      <c r="H1365" s="22" t="s">
        <v>2810</v>
      </c>
      <c r="I1365" s="9" t="s">
        <v>353</v>
      </c>
      <c r="J1365" s="88"/>
    </row>
    <row r="1366">
      <c r="A1366" s="78" t="s">
        <v>334</v>
      </c>
      <c r="B1366" s="43" t="s">
        <v>2811</v>
      </c>
      <c r="C1366" s="119">
        <v>45698.0</v>
      </c>
      <c r="D1366" s="80">
        <f>IFERROR(_xlfn.WORKDAY.INTL(C1366, 2),"-")</f>
        <v>45700</v>
      </c>
      <c r="E1366" s="9" t="s">
        <v>1128</v>
      </c>
      <c r="F1366" s="10"/>
      <c r="G1366" s="9" t="s">
        <v>220</v>
      </c>
      <c r="H1366" s="11"/>
      <c r="I1366" s="9" t="s">
        <v>353</v>
      </c>
      <c r="J1366" s="88"/>
    </row>
    <row r="1367">
      <c r="A1367" s="20" t="s">
        <v>98</v>
      </c>
      <c r="B1367" s="9" t="s">
        <v>2812</v>
      </c>
      <c r="C1367" s="91">
        <v>45698.723089861116</v>
      </c>
      <c r="D1367" s="8"/>
      <c r="E1367" s="9"/>
      <c r="F1367" s="10"/>
      <c r="G1367" s="9" t="s">
        <v>15</v>
      </c>
      <c r="H1367" s="7" t="s">
        <v>2813</v>
      </c>
      <c r="I1367" s="9" t="s">
        <v>353</v>
      </c>
      <c r="J1367" s="88"/>
    </row>
    <row r="1368">
      <c r="A1368" s="146" t="s">
        <v>94</v>
      </c>
      <c r="B1368" s="43" t="s">
        <v>2814</v>
      </c>
      <c r="C1368" s="147">
        <v>45698.690787280095</v>
      </c>
      <c r="D1368" s="148">
        <f>IFERROR(_xlfn.WORKDAY.INTL(C1368, 2),"-")</f>
        <v>45700</v>
      </c>
      <c r="E1368" s="9"/>
      <c r="F1368" s="10"/>
      <c r="G1368" s="9" t="s">
        <v>15</v>
      </c>
      <c r="H1368" s="7" t="s">
        <v>2815</v>
      </c>
      <c r="I1368" s="9" t="s">
        <v>353</v>
      </c>
      <c r="J1368" s="88"/>
    </row>
    <row r="1369">
      <c r="A1369" s="20" t="s">
        <v>98</v>
      </c>
      <c r="B1369" s="9" t="s">
        <v>1129</v>
      </c>
      <c r="C1369" s="91">
        <v>45693.38798756944</v>
      </c>
      <c r="D1369" s="8"/>
      <c r="E1369" s="9"/>
      <c r="F1369" s="10"/>
      <c r="G1369" s="9" t="s">
        <v>15</v>
      </c>
      <c r="H1369" s="7" t="s">
        <v>2816</v>
      </c>
      <c r="I1369" s="9" t="s">
        <v>353</v>
      </c>
      <c r="J1369" s="88"/>
    </row>
    <row r="1370">
      <c r="A1370" s="146" t="s">
        <v>94</v>
      </c>
      <c r="B1370" s="43" t="s">
        <v>2817</v>
      </c>
      <c r="C1370" s="147">
        <v>45687.72138072917</v>
      </c>
      <c r="D1370" s="148"/>
      <c r="E1370" s="9" t="s">
        <v>1128</v>
      </c>
      <c r="F1370" s="10"/>
      <c r="G1370" s="9" t="s">
        <v>15</v>
      </c>
      <c r="H1370" s="7" t="s">
        <v>2818</v>
      </c>
      <c r="I1370" s="9" t="s">
        <v>353</v>
      </c>
      <c r="J1370" s="88"/>
    </row>
    <row r="1371">
      <c r="A1371" s="146" t="s">
        <v>94</v>
      </c>
      <c r="B1371" s="43" t="s">
        <v>2819</v>
      </c>
      <c r="C1371" s="147">
        <v>45698.58025105324</v>
      </c>
      <c r="D1371" s="148">
        <f t="shared" ref="D1371:D1383" si="156">IFERROR(_xlfn.WORKDAY.INTL(C1371, 2),"-")</f>
        <v>45700</v>
      </c>
      <c r="E1371" s="9"/>
      <c r="F1371" s="10"/>
      <c r="G1371" s="9" t="s">
        <v>15</v>
      </c>
      <c r="H1371" s="7" t="s">
        <v>2820</v>
      </c>
      <c r="I1371" s="9" t="s">
        <v>353</v>
      </c>
      <c r="J1371" s="88"/>
    </row>
    <row r="1372">
      <c r="A1372" s="20" t="s">
        <v>98</v>
      </c>
      <c r="B1372" s="9" t="s">
        <v>2821</v>
      </c>
      <c r="C1372" s="91">
        <v>45567.59569164352</v>
      </c>
      <c r="D1372" s="8">
        <f t="shared" si="156"/>
        <v>45569</v>
      </c>
      <c r="E1372" s="9" t="s">
        <v>206</v>
      </c>
      <c r="F1372" s="10"/>
      <c r="G1372" s="9" t="s">
        <v>15</v>
      </c>
      <c r="H1372" s="23" t="s">
        <v>2822</v>
      </c>
      <c r="I1372" s="9" t="s">
        <v>353</v>
      </c>
      <c r="J1372" s="88"/>
    </row>
    <row r="1373">
      <c r="A1373" s="20" t="s">
        <v>98</v>
      </c>
      <c r="B1373" s="9" t="s">
        <v>2823</v>
      </c>
      <c r="C1373" s="91">
        <v>45448.56529063657</v>
      </c>
      <c r="D1373" s="8">
        <f t="shared" si="156"/>
        <v>45450</v>
      </c>
      <c r="E1373" s="9" t="s">
        <v>11</v>
      </c>
      <c r="F1373" s="10"/>
      <c r="G1373" s="9" t="s">
        <v>15</v>
      </c>
      <c r="H1373" s="7" t="s">
        <v>2824</v>
      </c>
      <c r="I1373" s="9" t="s">
        <v>353</v>
      </c>
      <c r="J1373" s="88"/>
    </row>
    <row r="1374">
      <c r="A1374" s="20" t="s">
        <v>98</v>
      </c>
      <c r="B1374" s="9" t="s">
        <v>2825</v>
      </c>
      <c r="C1374" s="91">
        <v>45559.4819982176</v>
      </c>
      <c r="D1374" s="8">
        <f t="shared" si="156"/>
        <v>45561</v>
      </c>
      <c r="E1374" s="9" t="s">
        <v>11</v>
      </c>
      <c r="F1374" s="10"/>
      <c r="G1374" s="9" t="s">
        <v>15</v>
      </c>
      <c r="H1374" s="7" t="s">
        <v>2826</v>
      </c>
      <c r="I1374" s="9" t="s">
        <v>353</v>
      </c>
      <c r="J1374" s="88"/>
    </row>
    <row r="1375">
      <c r="A1375" s="146" t="s">
        <v>94</v>
      </c>
      <c r="B1375" s="43" t="s">
        <v>2814</v>
      </c>
      <c r="C1375" s="147">
        <v>45698.44835846065</v>
      </c>
      <c r="D1375" s="148">
        <f t="shared" si="156"/>
        <v>45700</v>
      </c>
      <c r="E1375" s="9"/>
      <c r="F1375" s="10"/>
      <c r="G1375" s="9" t="s">
        <v>15</v>
      </c>
      <c r="H1375" s="7" t="s">
        <v>2827</v>
      </c>
      <c r="I1375" s="9" t="s">
        <v>353</v>
      </c>
      <c r="J1375" s="88"/>
    </row>
    <row r="1376">
      <c r="A1376" s="146" t="s">
        <v>94</v>
      </c>
      <c r="B1376" s="43" t="s">
        <v>2828</v>
      </c>
      <c r="C1376" s="147">
        <v>45698.65083450232</v>
      </c>
      <c r="D1376" s="148">
        <f t="shared" si="156"/>
        <v>45700</v>
      </c>
      <c r="E1376" s="9"/>
      <c r="F1376" s="10"/>
      <c r="G1376" s="9" t="s">
        <v>220</v>
      </c>
      <c r="H1376" s="7" t="s">
        <v>2829</v>
      </c>
      <c r="I1376" s="9" t="s">
        <v>353</v>
      </c>
      <c r="J1376" s="88"/>
    </row>
    <row r="1377">
      <c r="A1377" s="6" t="s">
        <v>9</v>
      </c>
      <c r="B1377" s="7" t="s">
        <v>2778</v>
      </c>
      <c r="C1377" s="91">
        <v>45691.49152372685</v>
      </c>
      <c r="D1377" s="8">
        <f t="shared" si="156"/>
        <v>45693</v>
      </c>
      <c r="E1377" s="9" t="s">
        <v>11</v>
      </c>
      <c r="F1377" s="10"/>
      <c r="G1377" s="9" t="s">
        <v>15</v>
      </c>
      <c r="H1377" s="7" t="s">
        <v>2830</v>
      </c>
      <c r="I1377" s="9" t="s">
        <v>353</v>
      </c>
      <c r="J1377" s="88"/>
    </row>
    <row r="1378">
      <c r="A1378" s="146" t="s">
        <v>94</v>
      </c>
      <c r="B1378" s="43" t="s">
        <v>2831</v>
      </c>
      <c r="C1378" s="147">
        <v>45694.58031534722</v>
      </c>
      <c r="D1378" s="148">
        <f t="shared" si="156"/>
        <v>45698</v>
      </c>
      <c r="E1378" s="9" t="s">
        <v>1097</v>
      </c>
      <c r="F1378" s="10"/>
      <c r="G1378" s="9" t="s">
        <v>18</v>
      </c>
      <c r="H1378" s="7" t="s">
        <v>2832</v>
      </c>
      <c r="I1378" s="9" t="s">
        <v>353</v>
      </c>
      <c r="J1378" s="88"/>
    </row>
    <row r="1379">
      <c r="A1379" s="20" t="s">
        <v>98</v>
      </c>
      <c r="B1379" s="9" t="s">
        <v>2833</v>
      </c>
      <c r="C1379" s="91">
        <v>45530.63491230324</v>
      </c>
      <c r="D1379" s="8">
        <f t="shared" si="156"/>
        <v>45532</v>
      </c>
      <c r="E1379" s="9" t="s">
        <v>206</v>
      </c>
      <c r="F1379" s="10"/>
      <c r="G1379" s="9" t="s">
        <v>15</v>
      </c>
      <c r="H1379" s="7" t="s">
        <v>2834</v>
      </c>
      <c r="I1379" s="9" t="s">
        <v>353</v>
      </c>
      <c r="J1379" s="88"/>
    </row>
    <row r="1380">
      <c r="A1380" s="20" t="s">
        <v>98</v>
      </c>
      <c r="B1380" s="9" t="s">
        <v>2835</v>
      </c>
      <c r="C1380" s="91">
        <v>45559.48184460648</v>
      </c>
      <c r="D1380" s="8">
        <f t="shared" si="156"/>
        <v>45561</v>
      </c>
      <c r="E1380" s="9" t="s">
        <v>11</v>
      </c>
      <c r="F1380" s="10"/>
      <c r="G1380" s="9" t="s">
        <v>15</v>
      </c>
      <c r="H1380" s="7" t="s">
        <v>2836</v>
      </c>
      <c r="I1380" s="9" t="s">
        <v>353</v>
      </c>
      <c r="J1380" s="88"/>
    </row>
    <row r="1381">
      <c r="A1381" s="20" t="s">
        <v>98</v>
      </c>
      <c r="B1381" s="9" t="s">
        <v>2837</v>
      </c>
      <c r="C1381" s="91">
        <v>45614.77832445602</v>
      </c>
      <c r="D1381" s="8">
        <f t="shared" si="156"/>
        <v>45616</v>
      </c>
      <c r="E1381" s="9" t="s">
        <v>11</v>
      </c>
      <c r="F1381" s="10"/>
      <c r="G1381" s="9" t="s">
        <v>15</v>
      </c>
      <c r="H1381" s="7" t="s">
        <v>2838</v>
      </c>
      <c r="I1381" s="9" t="s">
        <v>353</v>
      </c>
      <c r="J1381" s="88"/>
    </row>
    <row r="1382">
      <c r="A1382" s="20" t="s">
        <v>98</v>
      </c>
      <c r="B1382" s="9" t="s">
        <v>2839</v>
      </c>
      <c r="C1382" s="91">
        <v>45453.354562962966</v>
      </c>
      <c r="D1382" s="8">
        <f t="shared" si="156"/>
        <v>45455</v>
      </c>
      <c r="E1382" s="9" t="s">
        <v>206</v>
      </c>
      <c r="F1382" s="10"/>
      <c r="G1382" s="9" t="s">
        <v>15</v>
      </c>
      <c r="H1382" s="7" t="s">
        <v>2840</v>
      </c>
      <c r="I1382" s="9" t="s">
        <v>353</v>
      </c>
      <c r="J1382" s="88"/>
    </row>
    <row r="1383">
      <c r="A1383" s="20" t="s">
        <v>98</v>
      </c>
      <c r="B1383" s="9" t="s">
        <v>2841</v>
      </c>
      <c r="C1383" s="91">
        <v>45425.592628831015</v>
      </c>
      <c r="D1383" s="8">
        <f t="shared" si="156"/>
        <v>45427</v>
      </c>
      <c r="E1383" s="9" t="s">
        <v>11</v>
      </c>
      <c r="F1383" s="10"/>
      <c r="G1383" s="9" t="s">
        <v>15</v>
      </c>
      <c r="H1383" s="7" t="s">
        <v>2842</v>
      </c>
      <c r="I1383" s="9" t="s">
        <v>353</v>
      </c>
      <c r="J1383" s="88"/>
    </row>
    <row r="1384">
      <c r="A1384" s="20" t="s">
        <v>98</v>
      </c>
      <c r="B1384" s="9" t="s">
        <v>2843</v>
      </c>
      <c r="C1384" s="91">
        <v>45694.436421562496</v>
      </c>
      <c r="D1384" s="8"/>
      <c r="E1384" s="9"/>
      <c r="F1384" s="10"/>
      <c r="G1384" s="9" t="s">
        <v>15</v>
      </c>
      <c r="H1384" s="7" t="s">
        <v>2844</v>
      </c>
      <c r="I1384" s="9" t="s">
        <v>353</v>
      </c>
      <c r="J1384" s="88"/>
    </row>
    <row r="1385">
      <c r="A1385" s="146"/>
      <c r="B1385" s="43" t="s">
        <v>2845</v>
      </c>
      <c r="C1385" s="147">
        <v>45695.41399136574</v>
      </c>
      <c r="D1385" s="148"/>
      <c r="E1385" s="9" t="s">
        <v>1123</v>
      </c>
      <c r="F1385" s="10"/>
      <c r="G1385" s="9" t="s">
        <v>220</v>
      </c>
      <c r="H1385" s="7" t="s">
        <v>2846</v>
      </c>
      <c r="I1385" s="9" t="s">
        <v>353</v>
      </c>
      <c r="J1385" s="88"/>
    </row>
    <row r="1386">
      <c r="A1386" s="42" t="s">
        <v>330</v>
      </c>
      <c r="B1386" s="43" t="s">
        <v>2847</v>
      </c>
      <c r="C1386" s="91">
        <v>45665.0</v>
      </c>
      <c r="D1386" s="8">
        <f t="shared" ref="D1386:D1389" si="157">IFERROR(_xlfn.WORKDAY.INTL(C1386, 2),"-")</f>
        <v>45667</v>
      </c>
      <c r="E1386" s="9"/>
      <c r="F1386" s="10"/>
      <c r="G1386" s="9" t="s">
        <v>15</v>
      </c>
      <c r="H1386" s="149" t="s">
        <v>2848</v>
      </c>
      <c r="I1386" s="9" t="s">
        <v>353</v>
      </c>
      <c r="J1386" s="88"/>
    </row>
    <row r="1387">
      <c r="A1387" s="42" t="s">
        <v>330</v>
      </c>
      <c r="B1387" s="43" t="s">
        <v>2849</v>
      </c>
      <c r="C1387" s="91">
        <v>45693.635030011574</v>
      </c>
      <c r="D1387" s="8">
        <f t="shared" si="157"/>
        <v>45695</v>
      </c>
      <c r="E1387" s="9" t="s">
        <v>1128</v>
      </c>
      <c r="F1387" s="10"/>
      <c r="G1387" s="9" t="s">
        <v>220</v>
      </c>
      <c r="H1387" s="7" t="s">
        <v>2850</v>
      </c>
      <c r="I1387" s="9" t="s">
        <v>353</v>
      </c>
      <c r="J1387" s="88"/>
    </row>
    <row r="1388">
      <c r="A1388" s="146" t="s">
        <v>94</v>
      </c>
      <c r="B1388" s="43" t="s">
        <v>2851</v>
      </c>
      <c r="C1388" s="147">
        <v>45684.70805935185</v>
      </c>
      <c r="D1388" s="148">
        <f t="shared" si="157"/>
        <v>45686</v>
      </c>
      <c r="E1388" s="9" t="s">
        <v>2391</v>
      </c>
      <c r="F1388" s="10"/>
      <c r="G1388" s="9" t="s">
        <v>18</v>
      </c>
      <c r="H1388" s="7" t="s">
        <v>2852</v>
      </c>
      <c r="I1388" s="9" t="s">
        <v>353</v>
      </c>
      <c r="J1388" s="88"/>
    </row>
    <row r="1389">
      <c r="A1389" s="146" t="s">
        <v>94</v>
      </c>
      <c r="B1389" s="43" t="s">
        <v>2853</v>
      </c>
      <c r="C1389" s="147">
        <v>45692.601638356486</v>
      </c>
      <c r="D1389" s="148">
        <f t="shared" si="157"/>
        <v>45694</v>
      </c>
      <c r="E1389" s="9" t="s">
        <v>1489</v>
      </c>
      <c r="F1389" s="10"/>
      <c r="G1389" s="9" t="s">
        <v>220</v>
      </c>
      <c r="H1389" s="7" t="s">
        <v>2854</v>
      </c>
      <c r="I1389" s="9" t="s">
        <v>353</v>
      </c>
      <c r="J1389" s="88"/>
    </row>
    <row r="1390">
      <c r="A1390" s="20" t="s">
        <v>98</v>
      </c>
      <c r="B1390" s="9" t="s">
        <v>2855</v>
      </c>
      <c r="C1390" s="91">
        <v>45693.38814513889</v>
      </c>
      <c r="D1390" s="8"/>
      <c r="E1390" s="9"/>
      <c r="F1390" s="10"/>
      <c r="G1390" s="9" t="s">
        <v>15</v>
      </c>
      <c r="H1390" s="7" t="s">
        <v>2856</v>
      </c>
      <c r="I1390" s="9" t="s">
        <v>353</v>
      </c>
      <c r="J1390" s="88"/>
    </row>
    <row r="1391">
      <c r="A1391" s="20" t="s">
        <v>98</v>
      </c>
      <c r="B1391" s="9" t="s">
        <v>2857</v>
      </c>
      <c r="C1391" s="91">
        <v>45679.81413976852</v>
      </c>
      <c r="D1391" s="8"/>
      <c r="E1391" s="9"/>
      <c r="F1391" s="10"/>
      <c r="G1391" s="9" t="s">
        <v>15</v>
      </c>
      <c r="H1391" s="7" t="s">
        <v>2858</v>
      </c>
      <c r="I1391" s="9" t="s">
        <v>353</v>
      </c>
      <c r="J1391" s="88"/>
    </row>
    <row r="1392">
      <c r="A1392" s="20" t="s">
        <v>98</v>
      </c>
      <c r="B1392" s="9" t="s">
        <v>2859</v>
      </c>
      <c r="C1392" s="91">
        <v>45680.622581006945</v>
      </c>
      <c r="D1392" s="8"/>
      <c r="E1392" s="9"/>
      <c r="F1392" s="10"/>
      <c r="G1392" s="9" t="s">
        <v>18</v>
      </c>
      <c r="H1392" s="7" t="s">
        <v>2860</v>
      </c>
      <c r="I1392" s="9" t="s">
        <v>353</v>
      </c>
      <c r="J1392" s="88"/>
    </row>
    <row r="1393">
      <c r="A1393" s="6" t="s">
        <v>9</v>
      </c>
      <c r="B1393" s="7" t="s">
        <v>2861</v>
      </c>
      <c r="C1393" s="91">
        <v>45691.49097221065</v>
      </c>
      <c r="D1393" s="8">
        <f t="shared" ref="D1393:D1398" si="158">IFERROR(_xlfn.WORKDAY.INTL(C1393, 2),"-")</f>
        <v>45693</v>
      </c>
      <c r="E1393" s="9" t="s">
        <v>11</v>
      </c>
      <c r="F1393" s="10"/>
      <c r="G1393" s="9" t="s">
        <v>15</v>
      </c>
      <c r="H1393" s="7" t="s">
        <v>2862</v>
      </c>
      <c r="I1393" s="9" t="s">
        <v>353</v>
      </c>
      <c r="J1393" s="88"/>
    </row>
    <row r="1394">
      <c r="A1394" s="145" t="s">
        <v>2721</v>
      </c>
      <c r="B1394" s="43" t="s">
        <v>2863</v>
      </c>
      <c r="C1394" s="91">
        <v>45687.410522129634</v>
      </c>
      <c r="D1394" s="8">
        <f t="shared" si="158"/>
        <v>45691</v>
      </c>
      <c r="E1394" s="9"/>
      <c r="F1394" s="10"/>
      <c r="G1394" s="9" t="s">
        <v>220</v>
      </c>
      <c r="H1394" s="11"/>
      <c r="I1394" s="9" t="s">
        <v>353</v>
      </c>
      <c r="J1394" s="88"/>
    </row>
    <row r="1395">
      <c r="A1395" s="145" t="s">
        <v>2721</v>
      </c>
      <c r="B1395" s="43" t="s">
        <v>2864</v>
      </c>
      <c r="C1395" s="91">
        <v>45681.0</v>
      </c>
      <c r="D1395" s="8">
        <f t="shared" si="158"/>
        <v>45685</v>
      </c>
      <c r="E1395" s="9"/>
      <c r="F1395" s="10"/>
      <c r="G1395" s="9" t="s">
        <v>220</v>
      </c>
      <c r="H1395" s="11"/>
      <c r="I1395" s="9" t="s">
        <v>353</v>
      </c>
      <c r="J1395" s="88"/>
    </row>
    <row r="1396">
      <c r="A1396" s="6" t="s">
        <v>9</v>
      </c>
      <c r="B1396" s="7" t="s">
        <v>2865</v>
      </c>
      <c r="C1396" s="91">
        <v>45575.623065810185</v>
      </c>
      <c r="D1396" s="8">
        <f t="shared" si="158"/>
        <v>45579</v>
      </c>
      <c r="E1396" s="9" t="s">
        <v>11</v>
      </c>
      <c r="F1396" s="10"/>
      <c r="G1396" s="9" t="s">
        <v>21</v>
      </c>
      <c r="H1396" s="7" t="s">
        <v>2866</v>
      </c>
      <c r="I1396" s="9" t="s">
        <v>353</v>
      </c>
      <c r="J1396" s="88"/>
    </row>
    <row r="1397">
      <c r="A1397" s="6" t="s">
        <v>9</v>
      </c>
      <c r="B1397" s="7" t="s">
        <v>2867</v>
      </c>
      <c r="C1397" s="91">
        <v>45581.57256623842</v>
      </c>
      <c r="D1397" s="8">
        <f t="shared" si="158"/>
        <v>45583</v>
      </c>
      <c r="E1397" s="9" t="s">
        <v>11</v>
      </c>
      <c r="F1397" s="10"/>
      <c r="G1397" s="9" t="s">
        <v>15</v>
      </c>
      <c r="H1397" s="7" t="s">
        <v>2868</v>
      </c>
      <c r="I1397" s="9" t="s">
        <v>353</v>
      </c>
      <c r="J1397" s="88"/>
    </row>
    <row r="1398">
      <c r="A1398" s="6" t="s">
        <v>9</v>
      </c>
      <c r="B1398" s="7" t="s">
        <v>2869</v>
      </c>
      <c r="C1398" s="91">
        <v>45516.644328993054</v>
      </c>
      <c r="D1398" s="8">
        <f t="shared" si="158"/>
        <v>45518</v>
      </c>
      <c r="E1398" s="9" t="s">
        <v>11</v>
      </c>
      <c r="F1398" s="10"/>
      <c r="G1398" s="9" t="s">
        <v>18</v>
      </c>
      <c r="H1398" s="7" t="s">
        <v>2870</v>
      </c>
      <c r="I1398" s="9" t="s">
        <v>353</v>
      </c>
      <c r="J1398" s="88"/>
    </row>
    <row r="1399">
      <c r="A1399" s="20" t="s">
        <v>98</v>
      </c>
      <c r="B1399" s="9" t="s">
        <v>2871</v>
      </c>
      <c r="C1399" s="91">
        <v>45691.381097731486</v>
      </c>
      <c r="D1399" s="8"/>
      <c r="E1399" s="9"/>
      <c r="F1399" s="10"/>
      <c r="G1399" s="9" t="s">
        <v>18</v>
      </c>
      <c r="H1399" s="7" t="s">
        <v>2872</v>
      </c>
      <c r="I1399" s="9" t="s">
        <v>353</v>
      </c>
      <c r="J1399" s="88"/>
    </row>
    <row r="1400">
      <c r="A1400" s="78" t="s">
        <v>334</v>
      </c>
      <c r="B1400" s="43" t="s">
        <v>2873</v>
      </c>
      <c r="C1400" s="119">
        <v>45685.0</v>
      </c>
      <c r="D1400" s="79">
        <v>45687.0</v>
      </c>
      <c r="E1400" s="9" t="s">
        <v>1489</v>
      </c>
      <c r="F1400" s="10"/>
      <c r="G1400" s="9" t="s">
        <v>18</v>
      </c>
      <c r="H1400" s="7" t="s">
        <v>2874</v>
      </c>
      <c r="I1400" s="9" t="s">
        <v>353</v>
      </c>
      <c r="J1400" s="88"/>
    </row>
    <row r="1401">
      <c r="A1401" s="20" t="s">
        <v>98</v>
      </c>
      <c r="B1401" s="9" t="s">
        <v>2875</v>
      </c>
      <c r="C1401" s="91">
        <v>45678.44967436342</v>
      </c>
      <c r="D1401" s="8"/>
      <c r="E1401" s="9"/>
      <c r="F1401" s="10"/>
      <c r="G1401" s="9" t="s">
        <v>15</v>
      </c>
      <c r="H1401" s="7" t="s">
        <v>2872</v>
      </c>
      <c r="I1401" s="9" t="s">
        <v>353</v>
      </c>
      <c r="J1401" s="88"/>
    </row>
    <row r="1402">
      <c r="A1402" s="20" t="s">
        <v>98</v>
      </c>
      <c r="B1402" s="9" t="s">
        <v>2876</v>
      </c>
      <c r="C1402" s="91">
        <v>45678.44935314815</v>
      </c>
      <c r="D1402" s="8"/>
      <c r="E1402" s="9"/>
      <c r="F1402" s="10"/>
      <c r="G1402" s="9" t="s">
        <v>15</v>
      </c>
      <c r="H1402" s="7" t="s">
        <v>2872</v>
      </c>
      <c r="I1402" s="9" t="s">
        <v>353</v>
      </c>
      <c r="J1402" s="88"/>
    </row>
    <row r="1403">
      <c r="A1403" s="146" t="s">
        <v>94</v>
      </c>
      <c r="B1403" s="43" t="s">
        <v>2877</v>
      </c>
      <c r="C1403" s="147">
        <v>45666.395816759265</v>
      </c>
      <c r="D1403" s="148">
        <f t="shared" ref="D1403:D1407" si="159">IFERROR(_xlfn.WORKDAY.INTL(C1403, 2),"-")</f>
        <v>45670</v>
      </c>
      <c r="E1403" s="9" t="s">
        <v>1489</v>
      </c>
      <c r="F1403" s="10"/>
      <c r="G1403" s="9" t="s">
        <v>15</v>
      </c>
      <c r="H1403" s="7" t="s">
        <v>2878</v>
      </c>
      <c r="I1403" s="9" t="s">
        <v>353</v>
      </c>
      <c r="J1403" s="88"/>
    </row>
    <row r="1404">
      <c r="A1404" s="146" t="s">
        <v>94</v>
      </c>
      <c r="B1404" s="43" t="s">
        <v>2879</v>
      </c>
      <c r="C1404" s="147">
        <v>45691.618215821756</v>
      </c>
      <c r="D1404" s="148">
        <f t="shared" si="159"/>
        <v>45693</v>
      </c>
      <c r="E1404" s="9"/>
      <c r="F1404" s="10"/>
      <c r="G1404" s="9" t="s">
        <v>15</v>
      </c>
      <c r="H1404" s="7" t="s">
        <v>2880</v>
      </c>
      <c r="I1404" s="9" t="s">
        <v>353</v>
      </c>
      <c r="J1404" s="88"/>
    </row>
    <row r="1405">
      <c r="A1405" s="6" t="s">
        <v>9</v>
      </c>
      <c r="B1405" s="7" t="s">
        <v>2881</v>
      </c>
      <c r="C1405" s="91">
        <v>45691.49231729167</v>
      </c>
      <c r="D1405" s="8">
        <f t="shared" si="159"/>
        <v>45693</v>
      </c>
      <c r="E1405" s="9" t="s">
        <v>11</v>
      </c>
      <c r="F1405" s="10"/>
      <c r="G1405" s="9" t="s">
        <v>18</v>
      </c>
      <c r="H1405" s="7" t="s">
        <v>2882</v>
      </c>
      <c r="I1405" s="9" t="s">
        <v>353</v>
      </c>
      <c r="J1405" s="88"/>
    </row>
    <row r="1406">
      <c r="A1406" s="6" t="s">
        <v>9</v>
      </c>
      <c r="B1406" s="7" t="s">
        <v>1085</v>
      </c>
      <c r="C1406" s="91">
        <v>45691.49160059028</v>
      </c>
      <c r="D1406" s="8">
        <f t="shared" si="159"/>
        <v>45693</v>
      </c>
      <c r="E1406" s="9" t="s">
        <v>11</v>
      </c>
      <c r="F1406" s="10"/>
      <c r="G1406" s="9" t="s">
        <v>18</v>
      </c>
      <c r="H1406" s="11"/>
      <c r="I1406" s="9" t="s">
        <v>353</v>
      </c>
      <c r="J1406" s="88"/>
    </row>
    <row r="1407">
      <c r="A1407" s="6" t="s">
        <v>9</v>
      </c>
      <c r="B1407" s="7" t="s">
        <v>2883</v>
      </c>
      <c r="C1407" s="91">
        <v>45691.491442303246</v>
      </c>
      <c r="D1407" s="8">
        <f t="shared" si="159"/>
        <v>45693</v>
      </c>
      <c r="E1407" s="9" t="s">
        <v>11</v>
      </c>
      <c r="F1407" s="10"/>
      <c r="G1407" s="9" t="s">
        <v>18</v>
      </c>
      <c r="H1407" s="11"/>
      <c r="I1407" s="9" t="s">
        <v>353</v>
      </c>
      <c r="J1407" s="88"/>
    </row>
    <row r="1408">
      <c r="A1408" s="20" t="s">
        <v>98</v>
      </c>
      <c r="B1408" s="9" t="s">
        <v>2884</v>
      </c>
      <c r="C1408" s="91">
        <v>45691.663476076385</v>
      </c>
      <c r="D1408" s="8"/>
      <c r="E1408" s="9"/>
      <c r="F1408" s="10"/>
      <c r="G1408" s="9" t="s">
        <v>15</v>
      </c>
      <c r="H1408" s="7" t="s">
        <v>2885</v>
      </c>
      <c r="I1408" s="9" t="s">
        <v>353</v>
      </c>
      <c r="J1408" s="88"/>
    </row>
    <row r="1409">
      <c r="A1409" s="20" t="s">
        <v>98</v>
      </c>
      <c r="B1409" s="9" t="s">
        <v>2886</v>
      </c>
      <c r="C1409" s="91">
        <v>45679.81360607639</v>
      </c>
      <c r="D1409" s="8"/>
      <c r="E1409" s="9"/>
      <c r="F1409" s="10"/>
      <c r="G1409" s="9" t="s">
        <v>15</v>
      </c>
      <c r="H1409" s="7" t="s">
        <v>2885</v>
      </c>
      <c r="I1409" s="9" t="s">
        <v>353</v>
      </c>
      <c r="J1409" s="88"/>
    </row>
    <row r="1410">
      <c r="A1410" s="20" t="s">
        <v>98</v>
      </c>
      <c r="B1410" s="9" t="s">
        <v>2887</v>
      </c>
      <c r="C1410" s="91">
        <v>45679.813539282404</v>
      </c>
      <c r="D1410" s="8"/>
      <c r="E1410" s="9"/>
      <c r="F1410" s="10"/>
      <c r="G1410" s="9" t="s">
        <v>15</v>
      </c>
      <c r="H1410" s="7" t="s">
        <v>2885</v>
      </c>
      <c r="I1410" s="9" t="s">
        <v>353</v>
      </c>
      <c r="J1410" s="88"/>
    </row>
    <row r="1411">
      <c r="A1411" s="78" t="s">
        <v>334</v>
      </c>
      <c r="B1411" s="43" t="s">
        <v>2888</v>
      </c>
      <c r="C1411" s="119">
        <v>45687.0</v>
      </c>
      <c r="D1411" s="80">
        <f t="shared" ref="D1411:D1420" si="160">IFERROR(_xlfn.WORKDAY.INTL(C1411, 2),"-")</f>
        <v>45691</v>
      </c>
      <c r="E1411" s="9" t="s">
        <v>1489</v>
      </c>
      <c r="F1411" s="10"/>
      <c r="G1411" s="9" t="s">
        <v>15</v>
      </c>
      <c r="H1411" s="7" t="s">
        <v>2889</v>
      </c>
      <c r="I1411" s="9" t="s">
        <v>353</v>
      </c>
      <c r="J1411" s="88"/>
    </row>
    <row r="1412">
      <c r="A1412" s="145" t="s">
        <v>2721</v>
      </c>
      <c r="B1412" s="43" t="s">
        <v>2890</v>
      </c>
      <c r="C1412" s="91">
        <v>45670.0</v>
      </c>
      <c r="D1412" s="8">
        <f t="shared" si="160"/>
        <v>45672</v>
      </c>
      <c r="E1412" s="9" t="s">
        <v>1128</v>
      </c>
      <c r="F1412" s="10"/>
      <c r="G1412" s="9" t="s">
        <v>220</v>
      </c>
      <c r="H1412" s="7" t="s">
        <v>2891</v>
      </c>
      <c r="I1412" s="9" t="s">
        <v>353</v>
      </c>
      <c r="J1412" s="88"/>
    </row>
    <row r="1413">
      <c r="A1413" s="42" t="s">
        <v>330</v>
      </c>
      <c r="B1413" s="43" t="s">
        <v>2892</v>
      </c>
      <c r="C1413" s="91">
        <v>45688.43609715278</v>
      </c>
      <c r="D1413" s="8">
        <f t="shared" si="160"/>
        <v>45692</v>
      </c>
      <c r="E1413" s="9" t="s">
        <v>1128</v>
      </c>
      <c r="F1413" s="10"/>
      <c r="G1413" s="9" t="s">
        <v>15</v>
      </c>
      <c r="H1413" s="7" t="s">
        <v>2893</v>
      </c>
      <c r="I1413" s="9" t="s">
        <v>353</v>
      </c>
      <c r="J1413" s="88"/>
    </row>
    <row r="1414">
      <c r="A1414" s="6" t="s">
        <v>9</v>
      </c>
      <c r="B1414" s="7" t="s">
        <v>2894</v>
      </c>
      <c r="C1414" s="91">
        <v>45691.49126026621</v>
      </c>
      <c r="D1414" s="8">
        <f t="shared" si="160"/>
        <v>45693</v>
      </c>
      <c r="E1414" s="9" t="s">
        <v>11</v>
      </c>
      <c r="F1414" s="10"/>
      <c r="G1414" s="9" t="s">
        <v>18</v>
      </c>
      <c r="H1414" s="7" t="s">
        <v>437</v>
      </c>
      <c r="I1414" s="9" t="s">
        <v>353</v>
      </c>
      <c r="J1414" s="88"/>
    </row>
    <row r="1415">
      <c r="A1415" s="146" t="s">
        <v>94</v>
      </c>
      <c r="B1415" s="43" t="s">
        <v>2895</v>
      </c>
      <c r="C1415" s="147">
        <v>45685.408158969905</v>
      </c>
      <c r="D1415" s="148">
        <f t="shared" si="160"/>
        <v>45687</v>
      </c>
      <c r="E1415" s="9" t="s">
        <v>1128</v>
      </c>
      <c r="F1415" s="10"/>
      <c r="G1415" s="9" t="s">
        <v>220</v>
      </c>
      <c r="H1415" s="7" t="s">
        <v>2896</v>
      </c>
      <c r="I1415" s="9" t="s">
        <v>353</v>
      </c>
      <c r="J1415" s="88"/>
    </row>
    <row r="1416">
      <c r="A1416" s="102" t="s">
        <v>624</v>
      </c>
      <c r="B1416" s="7" t="s">
        <v>2897</v>
      </c>
      <c r="C1416" s="91">
        <v>45673.49346755787</v>
      </c>
      <c r="D1416" s="8">
        <f t="shared" si="160"/>
        <v>45677</v>
      </c>
      <c r="E1416" s="9" t="s">
        <v>11</v>
      </c>
      <c r="F1416" s="10"/>
      <c r="G1416" s="9" t="s">
        <v>220</v>
      </c>
      <c r="H1416" s="7" t="s">
        <v>2898</v>
      </c>
      <c r="I1416" s="9" t="s">
        <v>353</v>
      </c>
      <c r="J1416" s="88"/>
    </row>
    <row r="1417">
      <c r="A1417" s="102" t="s">
        <v>624</v>
      </c>
      <c r="B1417" s="7" t="s">
        <v>2899</v>
      </c>
      <c r="C1417" s="91">
        <v>45684.49736634259</v>
      </c>
      <c r="D1417" s="8">
        <f t="shared" si="160"/>
        <v>45686</v>
      </c>
      <c r="E1417" s="9" t="s">
        <v>11</v>
      </c>
      <c r="F1417" s="10"/>
      <c r="G1417" s="9" t="s">
        <v>11</v>
      </c>
      <c r="H1417" s="11"/>
      <c r="I1417" s="9" t="s">
        <v>353</v>
      </c>
      <c r="J1417" s="88"/>
    </row>
    <row r="1418">
      <c r="A1418" s="102" t="s">
        <v>624</v>
      </c>
      <c r="B1418" s="7" t="s">
        <v>2900</v>
      </c>
      <c r="C1418" s="91">
        <v>45684.49740057871</v>
      </c>
      <c r="D1418" s="8">
        <f t="shared" si="160"/>
        <v>45686</v>
      </c>
      <c r="E1418" s="9" t="s">
        <v>11</v>
      </c>
      <c r="F1418" s="10"/>
      <c r="G1418" s="9" t="s">
        <v>11</v>
      </c>
      <c r="H1418" s="11"/>
      <c r="I1418" s="9" t="s">
        <v>353</v>
      </c>
      <c r="J1418" s="88"/>
    </row>
    <row r="1419">
      <c r="A1419" s="42" t="s">
        <v>330</v>
      </c>
      <c r="B1419" s="150" t="s">
        <v>2901</v>
      </c>
      <c r="C1419" s="91">
        <v>45685.436907337964</v>
      </c>
      <c r="D1419" s="8">
        <f t="shared" si="160"/>
        <v>45687</v>
      </c>
      <c r="E1419" s="151" t="s">
        <v>1128</v>
      </c>
      <c r="F1419" s="10"/>
      <c r="G1419" s="151" t="s">
        <v>15</v>
      </c>
      <c r="H1419" s="149" t="s">
        <v>2902</v>
      </c>
      <c r="I1419" s="9" t="s">
        <v>353</v>
      </c>
      <c r="J1419" s="88"/>
    </row>
    <row r="1420">
      <c r="A1420" s="20" t="s">
        <v>98</v>
      </c>
      <c r="B1420" s="9" t="s">
        <v>2903</v>
      </c>
      <c r="C1420" s="91">
        <v>45568.50005502315</v>
      </c>
      <c r="D1420" s="8">
        <f t="shared" si="160"/>
        <v>45572</v>
      </c>
      <c r="E1420" s="9" t="s">
        <v>11</v>
      </c>
      <c r="F1420" s="10"/>
      <c r="G1420" s="9" t="s">
        <v>15</v>
      </c>
      <c r="H1420" s="23" t="s">
        <v>2904</v>
      </c>
      <c r="I1420" s="9" t="s">
        <v>353</v>
      </c>
      <c r="J1420" s="88"/>
    </row>
    <row r="1421">
      <c r="A1421" s="20" t="s">
        <v>98</v>
      </c>
      <c r="B1421" s="9" t="s">
        <v>2905</v>
      </c>
      <c r="C1421" s="91">
        <v>45685.50151241898</v>
      </c>
      <c r="D1421" s="8"/>
      <c r="E1421" s="9"/>
      <c r="F1421" s="10"/>
      <c r="G1421" s="9" t="s">
        <v>15</v>
      </c>
      <c r="H1421" s="7" t="s">
        <v>2906</v>
      </c>
      <c r="I1421" s="9" t="s">
        <v>353</v>
      </c>
      <c r="J1421" s="88"/>
    </row>
    <row r="1422">
      <c r="A1422" s="20" t="s">
        <v>98</v>
      </c>
      <c r="B1422" s="9" t="s">
        <v>2773</v>
      </c>
      <c r="C1422" s="91">
        <v>45672.37586638889</v>
      </c>
      <c r="D1422" s="8">
        <v>45674.0</v>
      </c>
      <c r="E1422" s="9"/>
      <c r="F1422" s="10"/>
      <c r="G1422" s="9" t="s">
        <v>15</v>
      </c>
      <c r="H1422" s="22" t="s">
        <v>2907</v>
      </c>
      <c r="I1422" s="9" t="s">
        <v>353</v>
      </c>
      <c r="J1422" s="88"/>
    </row>
    <row r="1423">
      <c r="A1423" s="146" t="s">
        <v>94</v>
      </c>
      <c r="B1423" s="43" t="s">
        <v>2908</v>
      </c>
      <c r="C1423" s="147">
        <v>45672.44206796296</v>
      </c>
      <c r="D1423" s="148">
        <f>IFERROR(_xlfn.WORKDAY.INTL(C1423, 2),"-")</f>
        <v>45674</v>
      </c>
      <c r="E1423" s="9" t="s">
        <v>1123</v>
      </c>
      <c r="F1423" s="10"/>
      <c r="G1423" s="9" t="s">
        <v>15</v>
      </c>
      <c r="H1423" s="7" t="s">
        <v>2896</v>
      </c>
      <c r="I1423" s="9" t="s">
        <v>353</v>
      </c>
      <c r="J1423" s="88"/>
    </row>
    <row r="1424">
      <c r="A1424" s="20" t="s">
        <v>98</v>
      </c>
      <c r="B1424" s="9" t="s">
        <v>2909</v>
      </c>
      <c r="C1424" s="91">
        <v>45685.42798525463</v>
      </c>
      <c r="D1424" s="8"/>
      <c r="E1424" s="9"/>
      <c r="F1424" s="10"/>
      <c r="G1424" s="9" t="s">
        <v>18</v>
      </c>
      <c r="H1424" s="7" t="s">
        <v>2910</v>
      </c>
      <c r="I1424" s="9" t="s">
        <v>353</v>
      </c>
      <c r="J1424" s="88"/>
    </row>
    <row r="1425">
      <c r="A1425" s="54" t="s">
        <v>236</v>
      </c>
      <c r="B1425" s="7" t="s">
        <v>2911</v>
      </c>
      <c r="C1425" s="91">
        <v>45684.72426050926</v>
      </c>
      <c r="D1425" s="8">
        <f t="shared" ref="D1425:D1426" si="161">IFERROR(_xlfn.WORKDAY.INTL(C1425, 2),"-")</f>
        <v>45686</v>
      </c>
      <c r="E1425" s="9" t="s">
        <v>11</v>
      </c>
      <c r="F1425" s="10"/>
      <c r="G1425" s="9" t="s">
        <v>220</v>
      </c>
      <c r="H1425" s="7" t="s">
        <v>2912</v>
      </c>
      <c r="I1425" s="9" t="s">
        <v>353</v>
      </c>
      <c r="J1425" s="88"/>
    </row>
    <row r="1426">
      <c r="A1426" s="54" t="s">
        <v>236</v>
      </c>
      <c r="B1426" s="7" t="s">
        <v>2913</v>
      </c>
      <c r="C1426" s="91">
        <v>45684.72228016204</v>
      </c>
      <c r="D1426" s="8">
        <f t="shared" si="161"/>
        <v>45686</v>
      </c>
      <c r="E1426" s="9" t="s">
        <v>11</v>
      </c>
      <c r="F1426" s="10"/>
      <c r="G1426" s="9" t="s">
        <v>220</v>
      </c>
      <c r="H1426" s="7" t="s">
        <v>2914</v>
      </c>
      <c r="I1426" s="9" t="s">
        <v>353</v>
      </c>
      <c r="J1426" s="88"/>
    </row>
    <row r="1427">
      <c r="A1427" s="88"/>
      <c r="B1427" s="89"/>
      <c r="C1427" s="90"/>
      <c r="D1427" s="89"/>
      <c r="E1427" s="89"/>
      <c r="F1427" s="89"/>
      <c r="G1427" s="89"/>
      <c r="H1427" s="87"/>
      <c r="I1427" s="89"/>
      <c r="J1427" s="88"/>
    </row>
    <row r="1428">
      <c r="A1428" s="102" t="s">
        <v>624</v>
      </c>
      <c r="B1428" s="7" t="s">
        <v>2915</v>
      </c>
      <c r="C1428" s="91">
        <v>45672.67495230324</v>
      </c>
      <c r="D1428" s="8">
        <f t="shared" ref="D1428:D1429" si="162">IFERROR(_xlfn.WORKDAY.INTL(C1428, 2),"-")</f>
        <v>45674</v>
      </c>
      <c r="E1428" s="9" t="s">
        <v>11</v>
      </c>
      <c r="F1428" s="10"/>
      <c r="G1428" s="9"/>
      <c r="H1428" s="7" t="s">
        <v>2916</v>
      </c>
      <c r="I1428" s="9" t="s">
        <v>353</v>
      </c>
      <c r="J1428" s="88"/>
    </row>
    <row r="1429">
      <c r="A1429" s="102" t="s">
        <v>624</v>
      </c>
      <c r="B1429" s="7" t="s">
        <v>2917</v>
      </c>
      <c r="C1429" s="91">
        <v>45672.66538097222</v>
      </c>
      <c r="D1429" s="8">
        <f t="shared" si="162"/>
        <v>45674</v>
      </c>
      <c r="E1429" s="9" t="s">
        <v>11</v>
      </c>
      <c r="F1429" s="10"/>
      <c r="G1429" s="9"/>
      <c r="H1429" s="7" t="s">
        <v>2918</v>
      </c>
      <c r="I1429" s="9" t="s">
        <v>353</v>
      </c>
      <c r="J1429" s="88"/>
    </row>
    <row r="1430">
      <c r="A1430" s="88"/>
      <c r="B1430" s="89"/>
      <c r="C1430" s="90"/>
      <c r="D1430" s="89"/>
      <c r="E1430" s="89"/>
      <c r="F1430" s="89"/>
      <c r="G1430" s="89"/>
      <c r="H1430" s="87"/>
      <c r="I1430" s="89"/>
      <c r="J1430" s="88"/>
    </row>
    <row r="1431">
      <c r="A1431" s="102" t="s">
        <v>624</v>
      </c>
      <c r="B1431" s="7" t="s">
        <v>2919</v>
      </c>
      <c r="C1431" s="91" t="s">
        <v>11</v>
      </c>
      <c r="D1431" s="8" t="str">
        <f t="shared" ref="D1431:D1437" si="163">IFERROR(_xlfn.WORKDAY.INTL(C1431, 2),"-")</f>
        <v>-</v>
      </c>
      <c r="E1431" s="9" t="s">
        <v>11</v>
      </c>
      <c r="F1431" s="10"/>
      <c r="G1431" s="9" t="s">
        <v>11</v>
      </c>
      <c r="H1431" s="7" t="s">
        <v>2920</v>
      </c>
      <c r="I1431" s="9" t="s">
        <v>353</v>
      </c>
      <c r="J1431" s="88"/>
    </row>
    <row r="1432">
      <c r="A1432" s="42" t="s">
        <v>330</v>
      </c>
      <c r="B1432" s="43" t="s">
        <v>2921</v>
      </c>
      <c r="C1432" s="91">
        <v>45679.0</v>
      </c>
      <c r="D1432" s="8">
        <f t="shared" si="163"/>
        <v>45681</v>
      </c>
      <c r="E1432" s="9" t="s">
        <v>1128</v>
      </c>
      <c r="F1432" s="10"/>
      <c r="G1432" s="9"/>
      <c r="H1432" s="7" t="s">
        <v>2922</v>
      </c>
      <c r="I1432" s="9" t="s">
        <v>353</v>
      </c>
      <c r="J1432" s="88"/>
    </row>
    <row r="1433">
      <c r="A1433" s="54" t="s">
        <v>236</v>
      </c>
      <c r="B1433" s="11"/>
      <c r="C1433" s="91" t="s">
        <v>11</v>
      </c>
      <c r="D1433" s="8" t="str">
        <f t="shared" si="163"/>
        <v>-</v>
      </c>
      <c r="E1433" s="9" t="s">
        <v>11</v>
      </c>
      <c r="F1433" s="10"/>
      <c r="G1433" s="9"/>
      <c r="H1433" s="11"/>
      <c r="I1433" s="9" t="s">
        <v>13</v>
      </c>
      <c r="J1433" s="88"/>
    </row>
    <row r="1434">
      <c r="A1434" s="54" t="s">
        <v>236</v>
      </c>
      <c r="B1434" s="11"/>
      <c r="C1434" s="91" t="s">
        <v>11</v>
      </c>
      <c r="D1434" s="8" t="str">
        <f t="shared" si="163"/>
        <v>-</v>
      </c>
      <c r="E1434" s="9" t="s">
        <v>11</v>
      </c>
      <c r="F1434" s="10"/>
      <c r="G1434" s="9"/>
      <c r="H1434" s="11"/>
      <c r="I1434" s="9" t="s">
        <v>353</v>
      </c>
      <c r="J1434" s="88"/>
    </row>
    <row r="1435">
      <c r="A1435" s="54" t="s">
        <v>236</v>
      </c>
      <c r="B1435" s="7" t="s">
        <v>2923</v>
      </c>
      <c r="C1435" s="91">
        <v>45684.436400624996</v>
      </c>
      <c r="D1435" s="8">
        <f t="shared" si="163"/>
        <v>45686</v>
      </c>
      <c r="E1435" s="9" t="s">
        <v>11</v>
      </c>
      <c r="F1435" s="10"/>
      <c r="G1435" s="9"/>
      <c r="H1435" s="7" t="s">
        <v>2924</v>
      </c>
      <c r="I1435" s="9" t="s">
        <v>353</v>
      </c>
      <c r="J1435" s="88"/>
    </row>
    <row r="1436">
      <c r="A1436" s="54" t="s">
        <v>236</v>
      </c>
      <c r="B1436" s="7" t="s">
        <v>2925</v>
      </c>
      <c r="C1436" s="91">
        <v>45684.43372931713</v>
      </c>
      <c r="D1436" s="8">
        <f t="shared" si="163"/>
        <v>45686</v>
      </c>
      <c r="E1436" s="9" t="s">
        <v>11</v>
      </c>
      <c r="F1436" s="10"/>
      <c r="G1436" s="9" t="s">
        <v>220</v>
      </c>
      <c r="H1436" s="7" t="s">
        <v>2926</v>
      </c>
      <c r="I1436" s="9" t="s">
        <v>353</v>
      </c>
      <c r="J1436" s="88"/>
    </row>
    <row r="1437">
      <c r="A1437" s="54" t="s">
        <v>236</v>
      </c>
      <c r="B1437" s="7" t="s">
        <v>2927</v>
      </c>
      <c r="C1437" s="91">
        <v>45679.34266214121</v>
      </c>
      <c r="D1437" s="8">
        <f t="shared" si="163"/>
        <v>45681</v>
      </c>
      <c r="E1437" s="9" t="s">
        <v>11</v>
      </c>
      <c r="F1437" s="10"/>
      <c r="G1437" s="9" t="s">
        <v>15</v>
      </c>
      <c r="H1437" s="7" t="s">
        <v>2928</v>
      </c>
      <c r="I1437" s="9" t="s">
        <v>353</v>
      </c>
      <c r="J1437" s="88"/>
    </row>
    <row r="1438">
      <c r="A1438" s="20" t="s">
        <v>98</v>
      </c>
      <c r="B1438" s="9" t="s">
        <v>2929</v>
      </c>
      <c r="C1438" s="91">
        <v>45680.72548122685</v>
      </c>
      <c r="D1438" s="8"/>
      <c r="E1438" s="9"/>
      <c r="F1438" s="10"/>
      <c r="G1438" s="9" t="s">
        <v>15</v>
      </c>
      <c r="H1438" s="7" t="s">
        <v>2930</v>
      </c>
      <c r="I1438" s="9" t="s">
        <v>353</v>
      </c>
      <c r="J1438" s="88"/>
    </row>
    <row r="1439">
      <c r="A1439" s="146" t="s">
        <v>94</v>
      </c>
      <c r="B1439" s="43" t="s">
        <v>2931</v>
      </c>
      <c r="C1439" s="147">
        <v>45679.6773183912</v>
      </c>
      <c r="D1439" s="148">
        <f t="shared" ref="D1439:D1444" si="164">IFERROR(_xlfn.WORKDAY.INTL(C1439, 2),"-")</f>
        <v>45681</v>
      </c>
      <c r="E1439" s="9" t="s">
        <v>1123</v>
      </c>
      <c r="F1439" s="10"/>
      <c r="G1439" s="9" t="s">
        <v>15</v>
      </c>
      <c r="H1439" s="7" t="s">
        <v>2880</v>
      </c>
      <c r="I1439" s="9" t="s">
        <v>353</v>
      </c>
      <c r="J1439" s="88"/>
    </row>
    <row r="1440">
      <c r="A1440" s="146" t="s">
        <v>94</v>
      </c>
      <c r="B1440" s="43" t="s">
        <v>2932</v>
      </c>
      <c r="C1440" s="147">
        <v>45680.43069256944</v>
      </c>
      <c r="D1440" s="148">
        <f t="shared" si="164"/>
        <v>45684</v>
      </c>
      <c r="E1440" s="9"/>
      <c r="F1440" s="10"/>
      <c r="G1440" s="9" t="s">
        <v>15</v>
      </c>
      <c r="H1440" s="7" t="s">
        <v>2880</v>
      </c>
      <c r="I1440" s="9" t="s">
        <v>353</v>
      </c>
      <c r="J1440" s="88"/>
    </row>
    <row r="1441">
      <c r="A1441" s="146" t="s">
        <v>94</v>
      </c>
      <c r="B1441" s="43" t="s">
        <v>2933</v>
      </c>
      <c r="C1441" s="147">
        <v>45673.40960857639</v>
      </c>
      <c r="D1441" s="148">
        <f t="shared" si="164"/>
        <v>45677</v>
      </c>
      <c r="E1441" s="9" t="s">
        <v>1489</v>
      </c>
      <c r="F1441" s="10"/>
      <c r="G1441" s="9" t="s">
        <v>18</v>
      </c>
      <c r="H1441" s="7" t="s">
        <v>2896</v>
      </c>
      <c r="I1441" s="9" t="s">
        <v>353</v>
      </c>
      <c r="J1441" s="88"/>
    </row>
    <row r="1442">
      <c r="A1442" s="78" t="s">
        <v>334</v>
      </c>
      <c r="B1442" s="43" t="s">
        <v>2934</v>
      </c>
      <c r="C1442" s="119">
        <v>45672.0</v>
      </c>
      <c r="D1442" s="80">
        <f t="shared" si="164"/>
        <v>45674</v>
      </c>
      <c r="E1442" s="9"/>
      <c r="F1442" s="10"/>
      <c r="G1442" s="9" t="s">
        <v>220</v>
      </c>
      <c r="H1442" s="7" t="s">
        <v>2935</v>
      </c>
      <c r="I1442" s="9" t="s">
        <v>353</v>
      </c>
      <c r="J1442" s="88"/>
    </row>
    <row r="1443">
      <c r="A1443" s="78" t="s">
        <v>334</v>
      </c>
      <c r="B1443" s="43" t="s">
        <v>2936</v>
      </c>
      <c r="C1443" s="119">
        <v>45679.72851606482</v>
      </c>
      <c r="D1443" s="80">
        <f t="shared" si="164"/>
        <v>45681</v>
      </c>
      <c r="E1443" s="9" t="s">
        <v>1097</v>
      </c>
      <c r="F1443" s="10"/>
      <c r="G1443" s="9" t="s">
        <v>220</v>
      </c>
      <c r="H1443" s="7" t="s">
        <v>2937</v>
      </c>
      <c r="I1443" s="9" t="s">
        <v>353</v>
      </c>
      <c r="J1443" s="88"/>
    </row>
    <row r="1444">
      <c r="A1444" s="145" t="s">
        <v>2721</v>
      </c>
      <c r="B1444" s="43" t="s">
        <v>2938</v>
      </c>
      <c r="C1444" s="91">
        <v>45680.66600541667</v>
      </c>
      <c r="D1444" s="8">
        <f t="shared" si="164"/>
        <v>45684</v>
      </c>
      <c r="E1444" s="9" t="s">
        <v>1128</v>
      </c>
      <c r="F1444" s="10"/>
      <c r="G1444" s="9" t="s">
        <v>220</v>
      </c>
      <c r="H1444" s="7" t="s">
        <v>2939</v>
      </c>
      <c r="I1444" s="9" t="s">
        <v>353</v>
      </c>
      <c r="J1444" s="88"/>
    </row>
    <row r="1445">
      <c r="A1445" s="20" t="s">
        <v>98</v>
      </c>
      <c r="B1445" s="9" t="s">
        <v>2940</v>
      </c>
      <c r="C1445" s="91">
        <v>45680.60345167824</v>
      </c>
      <c r="D1445" s="8">
        <v>45680.0</v>
      </c>
      <c r="E1445" s="9"/>
      <c r="F1445" s="10"/>
      <c r="G1445" s="9" t="s">
        <v>15</v>
      </c>
      <c r="H1445" s="7" t="s">
        <v>2941</v>
      </c>
      <c r="I1445" s="9" t="s">
        <v>353</v>
      </c>
      <c r="J1445" s="88"/>
    </row>
    <row r="1446">
      <c r="A1446" s="42" t="s">
        <v>330</v>
      </c>
      <c r="B1446" s="43" t="s">
        <v>2942</v>
      </c>
      <c r="C1446" s="91">
        <v>45677.4767874074</v>
      </c>
      <c r="D1446" s="8">
        <f t="shared" ref="D1446:D1448" si="165">IFERROR(_xlfn.WORKDAY.INTL(C1446, 2),"-")</f>
        <v>45679</v>
      </c>
      <c r="E1446" s="9" t="s">
        <v>1097</v>
      </c>
      <c r="F1446" s="10"/>
      <c r="G1446" s="9" t="s">
        <v>11</v>
      </c>
      <c r="H1446" s="7" t="s">
        <v>2943</v>
      </c>
      <c r="I1446" s="9" t="s">
        <v>353</v>
      </c>
      <c r="J1446" s="88"/>
    </row>
    <row r="1447">
      <c r="A1447" s="42" t="s">
        <v>330</v>
      </c>
      <c r="B1447" s="43" t="s">
        <v>2944</v>
      </c>
      <c r="C1447" s="91">
        <v>45677.475723877316</v>
      </c>
      <c r="D1447" s="8">
        <f t="shared" si="165"/>
        <v>45679</v>
      </c>
      <c r="E1447" s="9" t="s">
        <v>1128</v>
      </c>
      <c r="F1447" s="10"/>
      <c r="G1447" s="9" t="s">
        <v>11</v>
      </c>
      <c r="H1447" s="7" t="s">
        <v>2943</v>
      </c>
      <c r="I1447" s="9" t="s">
        <v>353</v>
      </c>
      <c r="J1447" s="88"/>
    </row>
    <row r="1448">
      <c r="A1448" s="42" t="s">
        <v>330</v>
      </c>
      <c r="B1448" s="43" t="s">
        <v>2945</v>
      </c>
      <c r="C1448" s="91">
        <v>45670.0</v>
      </c>
      <c r="D1448" s="8">
        <f t="shared" si="165"/>
        <v>45672</v>
      </c>
      <c r="E1448" s="9" t="s">
        <v>1097</v>
      </c>
      <c r="F1448" s="10"/>
      <c r="G1448" s="9"/>
      <c r="H1448" s="7" t="s">
        <v>2943</v>
      </c>
      <c r="I1448" s="9" t="s">
        <v>353</v>
      </c>
      <c r="J1448" s="88"/>
    </row>
    <row r="1449">
      <c r="A1449" s="20" t="s">
        <v>98</v>
      </c>
      <c r="B1449" s="9" t="s">
        <v>2946</v>
      </c>
      <c r="C1449" s="91">
        <v>45678.44959493056</v>
      </c>
      <c r="D1449" s="8"/>
      <c r="E1449" s="9"/>
      <c r="F1449" s="10"/>
      <c r="G1449" s="9" t="s">
        <v>15</v>
      </c>
      <c r="H1449" s="7" t="s">
        <v>2947</v>
      </c>
      <c r="I1449" s="9" t="s">
        <v>353</v>
      </c>
      <c r="J1449" s="88"/>
    </row>
    <row r="1450">
      <c r="A1450" s="20" t="s">
        <v>98</v>
      </c>
      <c r="B1450" s="9" t="s">
        <v>2948</v>
      </c>
      <c r="C1450" s="91">
        <v>45666.42100185185</v>
      </c>
      <c r="D1450" s="8">
        <f>IFERROR(_xlfn.WORKDAY.INTL(C1450, 2),"-")</f>
        <v>45670</v>
      </c>
      <c r="E1450" s="9" t="s">
        <v>11</v>
      </c>
      <c r="F1450" s="10"/>
      <c r="G1450" s="9" t="s">
        <v>18</v>
      </c>
      <c r="H1450" s="7" t="s">
        <v>2949</v>
      </c>
      <c r="I1450" s="9" t="s">
        <v>353</v>
      </c>
      <c r="J1450" s="88"/>
    </row>
    <row r="1451">
      <c r="A1451" s="20" t="s">
        <v>98</v>
      </c>
      <c r="B1451" s="9" t="s">
        <v>2950</v>
      </c>
      <c r="C1451" s="91">
        <v>45678.44974953704</v>
      </c>
      <c r="D1451" s="8"/>
      <c r="E1451" s="9"/>
      <c r="F1451" s="10"/>
      <c r="G1451" s="9" t="s">
        <v>15</v>
      </c>
      <c r="H1451" s="7" t="s">
        <v>2947</v>
      </c>
      <c r="I1451" s="9" t="s">
        <v>353</v>
      </c>
      <c r="J1451" s="88"/>
    </row>
    <row r="1452">
      <c r="A1452" s="146" t="s">
        <v>94</v>
      </c>
      <c r="B1452" s="43" t="s">
        <v>2951</v>
      </c>
      <c r="C1452" s="147">
        <v>45671.61931556713</v>
      </c>
      <c r="D1452" s="148">
        <f t="shared" ref="D1452:D1453" si="166">IFERROR(_xlfn.WORKDAY.INTL(C1452, 2),"-")</f>
        <v>45673</v>
      </c>
      <c r="E1452" s="9" t="s">
        <v>1489</v>
      </c>
      <c r="F1452" s="10"/>
      <c r="G1452" s="9" t="s">
        <v>15</v>
      </c>
      <c r="H1452" s="7" t="s">
        <v>2952</v>
      </c>
      <c r="I1452" s="9" t="s">
        <v>353</v>
      </c>
      <c r="J1452" s="88"/>
    </row>
    <row r="1453">
      <c r="A1453" s="20" t="s">
        <v>98</v>
      </c>
      <c r="B1453" s="9" t="s">
        <v>2953</v>
      </c>
      <c r="C1453" s="91">
        <v>45610.519075324075</v>
      </c>
      <c r="D1453" s="8">
        <f t="shared" si="166"/>
        <v>45614</v>
      </c>
      <c r="E1453" s="9" t="s">
        <v>11</v>
      </c>
      <c r="F1453" s="10"/>
      <c r="G1453" s="9" t="s">
        <v>18</v>
      </c>
      <c r="H1453" s="22" t="s">
        <v>2954</v>
      </c>
      <c r="I1453" s="9" t="s">
        <v>353</v>
      </c>
      <c r="J1453" s="88"/>
    </row>
    <row r="1454">
      <c r="A1454" s="145" t="s">
        <v>2721</v>
      </c>
      <c r="B1454" s="43" t="s">
        <v>2955</v>
      </c>
      <c r="C1454" s="91">
        <v>45664.0</v>
      </c>
      <c r="D1454" s="8">
        <v>45665.0</v>
      </c>
      <c r="E1454" s="9" t="s">
        <v>1123</v>
      </c>
      <c r="F1454" s="10"/>
      <c r="G1454" s="9" t="s">
        <v>220</v>
      </c>
      <c r="H1454" s="11"/>
      <c r="I1454" s="9" t="s">
        <v>353</v>
      </c>
      <c r="J1454" s="88"/>
    </row>
    <row r="1455">
      <c r="A1455" s="145" t="s">
        <v>2721</v>
      </c>
      <c r="B1455" s="43" t="s">
        <v>2956</v>
      </c>
      <c r="C1455" s="91">
        <v>45674.0</v>
      </c>
      <c r="D1455" s="8">
        <f>IFERROR(_xlfn.WORKDAY.INTL(C1455, 2),"-")</f>
        <v>45678</v>
      </c>
      <c r="E1455" s="9" t="s">
        <v>1489</v>
      </c>
      <c r="F1455" s="10"/>
      <c r="G1455" s="9" t="s">
        <v>220</v>
      </c>
      <c r="H1455" s="7" t="s">
        <v>2957</v>
      </c>
      <c r="I1455" s="9" t="s">
        <v>353</v>
      </c>
      <c r="J1455" s="88"/>
    </row>
    <row r="1456">
      <c r="A1456" s="145" t="s">
        <v>2721</v>
      </c>
      <c r="B1456" s="43" t="s">
        <v>2958</v>
      </c>
      <c r="C1456" s="91">
        <v>45665.0</v>
      </c>
      <c r="D1456" s="8"/>
      <c r="E1456" s="9" t="s">
        <v>1128</v>
      </c>
      <c r="F1456" s="10"/>
      <c r="G1456" s="9" t="s">
        <v>220</v>
      </c>
      <c r="H1456" s="11"/>
      <c r="I1456" s="9" t="s">
        <v>353</v>
      </c>
      <c r="J1456" s="88"/>
    </row>
    <row r="1457">
      <c r="A1457" s="54" t="s">
        <v>236</v>
      </c>
      <c r="B1457" s="7" t="s">
        <v>2959</v>
      </c>
      <c r="C1457" s="91">
        <v>45679.34132550926</v>
      </c>
      <c r="D1457" s="8">
        <f t="shared" ref="D1457:D1459" si="167">IFERROR(_xlfn.WORKDAY.INTL(C1457, 2),"-")</f>
        <v>45681</v>
      </c>
      <c r="E1457" s="9" t="s">
        <v>11</v>
      </c>
      <c r="F1457" s="10"/>
      <c r="G1457" s="9" t="s">
        <v>220</v>
      </c>
      <c r="H1457" s="111" t="s">
        <v>2960</v>
      </c>
      <c r="I1457" s="9" t="s">
        <v>353</v>
      </c>
      <c r="J1457" s="88"/>
    </row>
    <row r="1458">
      <c r="A1458" s="54" t="s">
        <v>236</v>
      </c>
      <c r="B1458" s="111" t="s">
        <v>2961</v>
      </c>
      <c r="C1458" s="91">
        <v>45679.34001193287</v>
      </c>
      <c r="D1458" s="8">
        <f t="shared" si="167"/>
        <v>45681</v>
      </c>
      <c r="E1458" s="9" t="s">
        <v>11</v>
      </c>
      <c r="F1458" s="10"/>
      <c r="G1458" s="9" t="s">
        <v>220</v>
      </c>
      <c r="H1458" s="7" t="s">
        <v>2962</v>
      </c>
      <c r="I1458" s="9" t="s">
        <v>353</v>
      </c>
      <c r="J1458" s="88"/>
    </row>
    <row r="1459">
      <c r="A1459" s="54" t="s">
        <v>236</v>
      </c>
      <c r="B1459" s="7" t="s">
        <v>2963</v>
      </c>
      <c r="C1459" s="91" t="s">
        <v>11</v>
      </c>
      <c r="D1459" s="8" t="str">
        <f t="shared" si="167"/>
        <v>-</v>
      </c>
      <c r="E1459" s="9" t="s">
        <v>11</v>
      </c>
      <c r="F1459" s="10"/>
      <c r="G1459" s="9" t="s">
        <v>15</v>
      </c>
      <c r="H1459" s="7" t="s">
        <v>2964</v>
      </c>
      <c r="I1459" s="9" t="s">
        <v>353</v>
      </c>
      <c r="J1459" s="88"/>
    </row>
    <row r="1460">
      <c r="A1460" s="20" t="s">
        <v>98</v>
      </c>
      <c r="B1460" s="9" t="s">
        <v>2965</v>
      </c>
      <c r="C1460" s="91">
        <v>45674.47589515046</v>
      </c>
      <c r="D1460" s="8"/>
      <c r="E1460" s="9"/>
      <c r="F1460" s="10"/>
      <c r="G1460" s="9" t="s">
        <v>15</v>
      </c>
      <c r="H1460" s="7" t="s">
        <v>2966</v>
      </c>
      <c r="I1460" s="9" t="s">
        <v>353</v>
      </c>
      <c r="J1460" s="88"/>
    </row>
    <row r="1461">
      <c r="A1461" s="20" t="s">
        <v>98</v>
      </c>
      <c r="B1461" s="9" t="s">
        <v>2967</v>
      </c>
      <c r="C1461" s="91">
        <v>45678.44948594907</v>
      </c>
      <c r="D1461" s="8"/>
      <c r="E1461" s="9"/>
      <c r="F1461" s="10"/>
      <c r="G1461" s="9" t="s">
        <v>15</v>
      </c>
      <c r="H1461" s="7" t="s">
        <v>2968</v>
      </c>
      <c r="I1461" s="9" t="s">
        <v>353</v>
      </c>
      <c r="J1461" s="88"/>
    </row>
    <row r="1462">
      <c r="A1462" s="102" t="s">
        <v>624</v>
      </c>
      <c r="B1462" s="7" t="s">
        <v>2969</v>
      </c>
      <c r="C1462" s="91">
        <v>45671.40033824074</v>
      </c>
      <c r="D1462" s="8">
        <f t="shared" ref="D1462:D1466" si="168">IFERROR(_xlfn.WORKDAY.INTL(C1462, 2),"-")</f>
        <v>45673</v>
      </c>
      <c r="E1462" s="9" t="s">
        <v>11</v>
      </c>
      <c r="F1462" s="10"/>
      <c r="G1462" s="9"/>
      <c r="H1462" s="7" t="s">
        <v>2970</v>
      </c>
      <c r="I1462" s="9" t="s">
        <v>353</v>
      </c>
      <c r="J1462" s="88"/>
    </row>
    <row r="1463">
      <c r="A1463" s="6" t="s">
        <v>9</v>
      </c>
      <c r="B1463" s="7" t="s">
        <v>2971</v>
      </c>
      <c r="C1463" s="91">
        <v>45637.69529459491</v>
      </c>
      <c r="D1463" s="8">
        <f t="shared" si="168"/>
        <v>45639</v>
      </c>
      <c r="E1463" s="9" t="s">
        <v>11</v>
      </c>
      <c r="F1463" s="10"/>
      <c r="G1463" s="9" t="s">
        <v>15</v>
      </c>
      <c r="H1463" s="7" t="s">
        <v>2972</v>
      </c>
      <c r="I1463" s="9" t="s">
        <v>353</v>
      </c>
      <c r="J1463" s="88"/>
    </row>
    <row r="1464">
      <c r="A1464" s="6" t="s">
        <v>9</v>
      </c>
      <c r="B1464" s="7" t="s">
        <v>2973</v>
      </c>
      <c r="C1464" s="91">
        <v>45645.39115939815</v>
      </c>
      <c r="D1464" s="8">
        <f t="shared" si="168"/>
        <v>45649</v>
      </c>
      <c r="E1464" s="9" t="s">
        <v>11</v>
      </c>
      <c r="F1464" s="10"/>
      <c r="G1464" s="9" t="s">
        <v>15</v>
      </c>
      <c r="H1464" s="7" t="s">
        <v>2974</v>
      </c>
      <c r="I1464" s="9" t="s">
        <v>353</v>
      </c>
      <c r="J1464" s="88"/>
    </row>
    <row r="1465">
      <c r="A1465" s="78" t="s">
        <v>334</v>
      </c>
      <c r="B1465" s="43" t="s">
        <v>2975</v>
      </c>
      <c r="C1465" s="119">
        <v>45670.0</v>
      </c>
      <c r="D1465" s="80">
        <f t="shared" si="168"/>
        <v>45672</v>
      </c>
      <c r="E1465" s="9" t="s">
        <v>1489</v>
      </c>
      <c r="F1465" s="10"/>
      <c r="G1465" s="9" t="s">
        <v>220</v>
      </c>
      <c r="H1465" s="7" t="s">
        <v>2976</v>
      </c>
      <c r="I1465" s="9" t="s">
        <v>353</v>
      </c>
      <c r="J1465" s="88"/>
    </row>
    <row r="1466">
      <c r="A1466" s="78" t="s">
        <v>334</v>
      </c>
      <c r="B1466" s="43" t="s">
        <v>2977</v>
      </c>
      <c r="C1466" s="119">
        <v>45673.44140725695</v>
      </c>
      <c r="D1466" s="80">
        <f t="shared" si="168"/>
        <v>45677</v>
      </c>
      <c r="E1466" s="9" t="s">
        <v>1097</v>
      </c>
      <c r="F1466" s="10"/>
      <c r="G1466" s="9" t="s">
        <v>220</v>
      </c>
      <c r="H1466" s="7" t="s">
        <v>2978</v>
      </c>
      <c r="I1466" s="9" t="s">
        <v>353</v>
      </c>
      <c r="J1466" s="88"/>
    </row>
    <row r="1467">
      <c r="A1467" s="20" t="s">
        <v>98</v>
      </c>
      <c r="B1467" s="9" t="s">
        <v>2979</v>
      </c>
      <c r="C1467" s="91">
        <v>45670.63504172454</v>
      </c>
      <c r="D1467" s="8">
        <v>45670.0</v>
      </c>
      <c r="E1467" s="9"/>
      <c r="F1467" s="10"/>
      <c r="G1467" s="9" t="s">
        <v>15</v>
      </c>
      <c r="H1467" s="7" t="s">
        <v>2980</v>
      </c>
      <c r="I1467" s="9" t="s">
        <v>353</v>
      </c>
      <c r="J1467" s="88"/>
    </row>
    <row r="1468">
      <c r="A1468" s="20" t="s">
        <v>98</v>
      </c>
      <c r="B1468" s="9" t="s">
        <v>2981</v>
      </c>
      <c r="C1468" s="91">
        <v>45614.77825208333</v>
      </c>
      <c r="D1468" s="8">
        <f t="shared" ref="D1468:D1469" si="169">IFERROR(_xlfn.WORKDAY.INTL(C1468, 2),"-")</f>
        <v>45616</v>
      </c>
      <c r="E1468" s="9" t="s">
        <v>11</v>
      </c>
      <c r="F1468" s="10"/>
      <c r="G1468" s="9" t="s">
        <v>15</v>
      </c>
      <c r="H1468" s="23" t="s">
        <v>2982</v>
      </c>
      <c r="I1468" s="9" t="s">
        <v>353</v>
      </c>
      <c r="J1468" s="88"/>
    </row>
    <row r="1469">
      <c r="A1469" s="146" t="s">
        <v>94</v>
      </c>
      <c r="B1469" s="43" t="s">
        <v>2983</v>
      </c>
      <c r="C1469" s="147">
        <v>45666.46259592593</v>
      </c>
      <c r="D1469" s="148">
        <f t="shared" si="169"/>
        <v>45670</v>
      </c>
      <c r="E1469" s="9" t="s">
        <v>1489</v>
      </c>
      <c r="F1469" s="10"/>
      <c r="G1469" s="9" t="s">
        <v>1309</v>
      </c>
      <c r="H1469" s="7" t="s">
        <v>2984</v>
      </c>
      <c r="I1469" s="9" t="s">
        <v>353</v>
      </c>
      <c r="J1469" s="88"/>
    </row>
    <row r="1470">
      <c r="A1470" s="20" t="s">
        <v>98</v>
      </c>
      <c r="B1470" s="9" t="s">
        <v>2985</v>
      </c>
      <c r="C1470" s="91">
        <v>45672.37611060185</v>
      </c>
      <c r="D1470" s="8">
        <v>45674.0</v>
      </c>
      <c r="E1470" s="9"/>
      <c r="F1470" s="10"/>
      <c r="G1470" s="9" t="s">
        <v>15</v>
      </c>
      <c r="H1470" s="7" t="s">
        <v>2986</v>
      </c>
      <c r="I1470" s="9" t="s">
        <v>353</v>
      </c>
      <c r="J1470" s="88"/>
    </row>
    <row r="1471">
      <c r="A1471" s="78" t="s">
        <v>334</v>
      </c>
      <c r="B1471" s="43" t="s">
        <v>2987</v>
      </c>
      <c r="C1471" s="119">
        <v>45666.0</v>
      </c>
      <c r="D1471" s="80">
        <f t="shared" ref="D1471:D1474" si="170">IFERROR(_xlfn.WORKDAY.INTL(C1471, 2),"-")</f>
        <v>45670</v>
      </c>
      <c r="E1471" s="9" t="s">
        <v>1097</v>
      </c>
      <c r="F1471" s="10"/>
      <c r="G1471" s="9" t="s">
        <v>220</v>
      </c>
      <c r="H1471" s="7" t="s">
        <v>2988</v>
      </c>
      <c r="I1471" s="9" t="s">
        <v>353</v>
      </c>
      <c r="J1471" s="88"/>
    </row>
    <row r="1472">
      <c r="A1472" s="42" t="s">
        <v>330</v>
      </c>
      <c r="B1472" s="43" t="s">
        <v>2989</v>
      </c>
      <c r="C1472" s="91">
        <v>45664.707634328704</v>
      </c>
      <c r="D1472" s="8">
        <f t="shared" si="170"/>
        <v>45666</v>
      </c>
      <c r="E1472" s="9"/>
      <c r="F1472" s="10"/>
      <c r="G1472" s="9" t="s">
        <v>11</v>
      </c>
      <c r="H1472" s="11"/>
      <c r="I1472" s="9" t="s">
        <v>353</v>
      </c>
      <c r="J1472" s="88"/>
    </row>
    <row r="1473">
      <c r="A1473" s="6" t="s">
        <v>9</v>
      </c>
      <c r="B1473" s="7" t="s">
        <v>2990</v>
      </c>
      <c r="C1473" s="91">
        <v>45672.64423694444</v>
      </c>
      <c r="D1473" s="8">
        <f t="shared" si="170"/>
        <v>45674</v>
      </c>
      <c r="E1473" s="9" t="s">
        <v>11</v>
      </c>
      <c r="F1473" s="10"/>
      <c r="G1473" s="9" t="s">
        <v>15</v>
      </c>
      <c r="H1473" s="7" t="s">
        <v>2991</v>
      </c>
      <c r="I1473" s="9" t="s">
        <v>353</v>
      </c>
      <c r="J1473" s="88"/>
    </row>
    <row r="1474">
      <c r="A1474" s="146" t="s">
        <v>94</v>
      </c>
      <c r="B1474" s="43" t="s">
        <v>2992</v>
      </c>
      <c r="C1474" s="147">
        <v>45670.60831289351</v>
      </c>
      <c r="D1474" s="148">
        <f t="shared" si="170"/>
        <v>45672</v>
      </c>
      <c r="E1474" s="9" t="s">
        <v>1123</v>
      </c>
      <c r="F1474" s="10"/>
      <c r="G1474" s="9" t="s">
        <v>15</v>
      </c>
      <c r="H1474" s="11"/>
      <c r="I1474" s="9" t="s">
        <v>353</v>
      </c>
      <c r="J1474" s="88"/>
    </row>
    <row r="1475">
      <c r="A1475" s="145" t="s">
        <v>2721</v>
      </c>
      <c r="B1475" s="43" t="s">
        <v>2989</v>
      </c>
      <c r="C1475" s="91">
        <v>45665.59401179398</v>
      </c>
      <c r="D1475" s="8">
        <v>45665.59401179398</v>
      </c>
      <c r="E1475" s="65"/>
      <c r="F1475" s="8"/>
      <c r="G1475" s="9" t="s">
        <v>2993</v>
      </c>
      <c r="H1475" s="152"/>
      <c r="I1475" s="9" t="s">
        <v>353</v>
      </c>
      <c r="J1475" s="88"/>
    </row>
    <row r="1476">
      <c r="A1476" s="146" t="s">
        <v>94</v>
      </c>
      <c r="B1476" s="43" t="s">
        <v>2994</v>
      </c>
      <c r="C1476" s="147">
        <v>45666.37124699074</v>
      </c>
      <c r="D1476" s="148">
        <f>IFERROR(_xlfn.WORKDAY.INTL(C1476, 2),"-")</f>
        <v>45670</v>
      </c>
      <c r="E1476" s="9" t="s">
        <v>1489</v>
      </c>
      <c r="F1476" s="10"/>
      <c r="G1476" s="9" t="s">
        <v>15</v>
      </c>
      <c r="H1476" s="7" t="s">
        <v>2878</v>
      </c>
      <c r="I1476" s="9" t="s">
        <v>13</v>
      </c>
      <c r="J1476" s="88"/>
    </row>
    <row r="1477">
      <c r="A1477" s="88"/>
      <c r="B1477" s="89"/>
      <c r="C1477" s="90"/>
      <c r="D1477" s="89"/>
      <c r="E1477" s="89"/>
      <c r="F1477" s="89"/>
      <c r="G1477" s="89"/>
      <c r="H1477" s="87"/>
      <c r="I1477" s="89"/>
      <c r="J1477" s="88"/>
    </row>
    <row r="1478">
      <c r="A1478" s="20" t="s">
        <v>98</v>
      </c>
      <c r="B1478" s="9" t="s">
        <v>2995</v>
      </c>
      <c r="C1478" s="91">
        <v>45315.68158626158</v>
      </c>
      <c r="D1478" s="8">
        <f t="shared" ref="D1478:D1480" si="171">IFERROR(_xlfn.WORKDAY.INTL(C1478, 2),"-")</f>
        <v>45317</v>
      </c>
      <c r="E1478" s="9" t="s">
        <v>2450</v>
      </c>
      <c r="F1478" s="10"/>
      <c r="G1478" s="9" t="s">
        <v>15</v>
      </c>
      <c r="H1478" s="7" t="s">
        <v>2996</v>
      </c>
      <c r="I1478" s="9" t="s">
        <v>353</v>
      </c>
      <c r="J1478" s="88"/>
    </row>
    <row r="1479">
      <c r="A1479" s="146" t="s">
        <v>94</v>
      </c>
      <c r="B1479" s="43" t="s">
        <v>2997</v>
      </c>
      <c r="C1479" s="147">
        <v>45671.618781261575</v>
      </c>
      <c r="D1479" s="148">
        <f t="shared" si="171"/>
        <v>45673</v>
      </c>
      <c r="E1479" s="9" t="s">
        <v>1097</v>
      </c>
      <c r="F1479" s="10"/>
      <c r="G1479" s="9" t="s">
        <v>220</v>
      </c>
      <c r="H1479" s="11"/>
      <c r="I1479" s="9" t="s">
        <v>353</v>
      </c>
      <c r="J1479" s="88"/>
    </row>
    <row r="1480">
      <c r="A1480" s="146" t="s">
        <v>94</v>
      </c>
      <c r="B1480" s="43" t="s">
        <v>2998</v>
      </c>
      <c r="C1480" s="147">
        <v>45666.37585829861</v>
      </c>
      <c r="D1480" s="148">
        <f t="shared" si="171"/>
        <v>45670</v>
      </c>
      <c r="E1480" s="9" t="s">
        <v>1489</v>
      </c>
      <c r="F1480" s="10"/>
      <c r="G1480" s="9" t="s">
        <v>15</v>
      </c>
      <c r="H1480" s="7" t="s">
        <v>2916</v>
      </c>
      <c r="I1480" s="9" t="s">
        <v>13</v>
      </c>
      <c r="J1480" s="88"/>
    </row>
    <row r="1481">
      <c r="A1481" s="88"/>
      <c r="B1481" s="89"/>
      <c r="C1481" s="90"/>
      <c r="D1481" s="89"/>
      <c r="E1481" s="89"/>
      <c r="F1481" s="89"/>
      <c r="G1481" s="89"/>
      <c r="H1481" s="87"/>
      <c r="I1481" s="89"/>
      <c r="J1481" s="88"/>
    </row>
    <row r="1482">
      <c r="A1482" s="20" t="s">
        <v>98</v>
      </c>
      <c r="B1482" s="9" t="s">
        <v>2999</v>
      </c>
      <c r="C1482" s="91">
        <v>45610.5193046875</v>
      </c>
      <c r="D1482" s="8">
        <f t="shared" ref="D1482:D1485" si="172">IFERROR(_xlfn.WORKDAY.INTL(C1482, 2),"-")</f>
        <v>45614</v>
      </c>
      <c r="E1482" s="9" t="s">
        <v>11</v>
      </c>
      <c r="F1482" s="10"/>
      <c r="G1482" s="9" t="s">
        <v>15</v>
      </c>
      <c r="H1482" s="7" t="s">
        <v>3000</v>
      </c>
      <c r="I1482" s="9" t="s">
        <v>353</v>
      </c>
      <c r="J1482" s="88"/>
    </row>
    <row r="1483">
      <c r="A1483" s="54" t="s">
        <v>236</v>
      </c>
      <c r="B1483" s="7" t="s">
        <v>3001</v>
      </c>
      <c r="C1483" s="91">
        <v>45629.436859050926</v>
      </c>
      <c r="D1483" s="8">
        <f t="shared" si="172"/>
        <v>45631</v>
      </c>
      <c r="E1483" s="9" t="s">
        <v>11</v>
      </c>
      <c r="F1483" s="10"/>
      <c r="G1483" s="9" t="s">
        <v>220</v>
      </c>
      <c r="H1483" s="7" t="s">
        <v>3002</v>
      </c>
      <c r="I1483" s="9" t="s">
        <v>353</v>
      </c>
      <c r="J1483" s="88"/>
    </row>
    <row r="1484">
      <c r="A1484" s="20" t="s">
        <v>98</v>
      </c>
      <c r="B1484" s="9" t="s">
        <v>3003</v>
      </c>
      <c r="C1484" s="91">
        <v>45638.80298453703</v>
      </c>
      <c r="D1484" s="8">
        <f t="shared" si="172"/>
        <v>45642</v>
      </c>
      <c r="E1484" s="9" t="s">
        <v>11</v>
      </c>
      <c r="F1484" s="10"/>
      <c r="G1484" s="9" t="s">
        <v>15</v>
      </c>
      <c r="H1484" s="23" t="s">
        <v>3004</v>
      </c>
      <c r="I1484" s="9" t="s">
        <v>353</v>
      </c>
      <c r="J1484" s="88"/>
    </row>
    <row r="1485">
      <c r="A1485" s="102" t="s">
        <v>624</v>
      </c>
      <c r="B1485" s="7" t="s">
        <v>3005</v>
      </c>
      <c r="C1485" s="91">
        <v>45610.41195061343</v>
      </c>
      <c r="D1485" s="8">
        <f t="shared" si="172"/>
        <v>45614</v>
      </c>
      <c r="E1485" s="9" t="s">
        <v>11</v>
      </c>
      <c r="F1485" s="10"/>
      <c r="G1485" s="9" t="s">
        <v>15</v>
      </c>
      <c r="H1485" s="7" t="s">
        <v>3006</v>
      </c>
      <c r="I1485" s="9" t="s">
        <v>353</v>
      </c>
      <c r="J1485" s="88"/>
    </row>
    <row r="1486">
      <c r="A1486" s="88"/>
      <c r="B1486" s="89"/>
      <c r="C1486" s="90"/>
      <c r="D1486" s="89"/>
      <c r="E1486" s="89"/>
      <c r="F1486" s="89"/>
      <c r="G1486" s="89"/>
      <c r="H1486" s="87"/>
      <c r="I1486" s="89"/>
      <c r="J1486" s="88"/>
    </row>
    <row r="1487">
      <c r="A1487" s="102" t="s">
        <v>624</v>
      </c>
      <c r="B1487" s="11"/>
      <c r="C1487" s="91" t="s">
        <v>11</v>
      </c>
      <c r="D1487" s="8" t="str">
        <f>IFERROR(_xlfn.WORKDAY.INTL(C1487, 2),"-")</f>
        <v>-</v>
      </c>
      <c r="E1487" s="9" t="s">
        <v>11</v>
      </c>
      <c r="F1487" s="10"/>
      <c r="G1487" s="9"/>
      <c r="H1487" s="11"/>
      <c r="I1487" s="9" t="s">
        <v>13</v>
      </c>
      <c r="J1487" s="88"/>
    </row>
    <row r="1488">
      <c r="A1488" s="88"/>
      <c r="B1488" s="89"/>
      <c r="C1488" s="90"/>
      <c r="D1488" s="89"/>
      <c r="E1488" s="89"/>
      <c r="F1488" s="89"/>
      <c r="G1488" s="89"/>
      <c r="H1488" s="87"/>
      <c r="I1488" s="89"/>
      <c r="J1488" s="88"/>
    </row>
    <row r="1489">
      <c r="A1489" s="102" t="s">
        <v>624</v>
      </c>
      <c r="B1489" s="7" t="s">
        <v>3007</v>
      </c>
      <c r="C1489" s="91">
        <v>45574.622982002315</v>
      </c>
      <c r="D1489" s="8">
        <f>IFERROR(_xlfn.WORKDAY.INTL(C1489, 2),"-")</f>
        <v>45576</v>
      </c>
      <c r="E1489" s="9" t="s">
        <v>206</v>
      </c>
      <c r="F1489" s="10"/>
      <c r="G1489" s="9" t="s">
        <v>89</v>
      </c>
      <c r="H1489" s="7" t="s">
        <v>3008</v>
      </c>
      <c r="I1489" s="9" t="s">
        <v>353</v>
      </c>
      <c r="J1489" s="88"/>
    </row>
    <row r="1490">
      <c r="A1490" s="88"/>
      <c r="B1490" s="89"/>
      <c r="C1490" s="90"/>
      <c r="D1490" s="89"/>
      <c r="E1490" s="89"/>
      <c r="F1490" s="89"/>
      <c r="G1490" s="89"/>
      <c r="H1490" s="87"/>
      <c r="I1490" s="89"/>
      <c r="J1490" s="88"/>
    </row>
    <row r="1491">
      <c r="A1491" s="102" t="s">
        <v>624</v>
      </c>
      <c r="B1491" s="7" t="s">
        <v>3009</v>
      </c>
      <c r="C1491" s="91">
        <v>45561.50388350694</v>
      </c>
      <c r="D1491" s="8">
        <f t="shared" ref="D1491:D1494" si="173">IFERROR(_xlfn.WORKDAY.INTL(C1491, 2),"-")</f>
        <v>45565</v>
      </c>
      <c r="E1491" s="9" t="s">
        <v>11</v>
      </c>
      <c r="F1491" s="10"/>
      <c r="G1491" s="9" t="s">
        <v>89</v>
      </c>
      <c r="H1491" s="7" t="s">
        <v>3010</v>
      </c>
      <c r="I1491" s="9" t="s">
        <v>353</v>
      </c>
      <c r="J1491" s="88"/>
    </row>
    <row r="1492">
      <c r="A1492" s="102" t="s">
        <v>624</v>
      </c>
      <c r="B1492" s="7" t="s">
        <v>3011</v>
      </c>
      <c r="C1492" s="91">
        <v>45589.67301118055</v>
      </c>
      <c r="D1492" s="8">
        <f t="shared" si="173"/>
        <v>45593</v>
      </c>
      <c r="E1492" s="9" t="s">
        <v>11</v>
      </c>
      <c r="F1492" s="10"/>
      <c r="G1492" s="9" t="s">
        <v>89</v>
      </c>
      <c r="H1492" s="7" t="s">
        <v>3012</v>
      </c>
      <c r="I1492" s="9" t="s">
        <v>353</v>
      </c>
      <c r="J1492" s="88"/>
    </row>
    <row r="1493">
      <c r="A1493" s="102" t="s">
        <v>624</v>
      </c>
      <c r="B1493" s="7" t="s">
        <v>3013</v>
      </c>
      <c r="C1493" s="91">
        <v>45616.668323923615</v>
      </c>
      <c r="D1493" s="8">
        <f t="shared" si="173"/>
        <v>45618</v>
      </c>
      <c r="E1493" s="9" t="s">
        <v>11</v>
      </c>
      <c r="F1493" s="10"/>
      <c r="G1493" s="9"/>
      <c r="H1493" s="11"/>
      <c r="I1493" s="9" t="s">
        <v>353</v>
      </c>
      <c r="J1493" s="88"/>
    </row>
    <row r="1494">
      <c r="A1494" s="102" t="s">
        <v>624</v>
      </c>
      <c r="B1494" s="7" t="s">
        <v>3014</v>
      </c>
      <c r="C1494" s="91">
        <v>45616.66863314815</v>
      </c>
      <c r="D1494" s="8">
        <f t="shared" si="173"/>
        <v>45618</v>
      </c>
      <c r="E1494" s="9" t="s">
        <v>11</v>
      </c>
      <c r="F1494" s="10"/>
      <c r="G1494" s="9"/>
      <c r="H1494" s="11"/>
      <c r="I1494" s="9" t="s">
        <v>353</v>
      </c>
      <c r="J1494" s="88"/>
    </row>
    <row r="1495">
      <c r="A1495" s="88"/>
      <c r="B1495" s="89"/>
      <c r="C1495" s="90"/>
      <c r="D1495" s="89"/>
      <c r="E1495" s="89"/>
      <c r="F1495" s="89"/>
      <c r="G1495" s="89"/>
      <c r="H1495" s="87"/>
      <c r="I1495" s="89"/>
      <c r="J1495" s="88"/>
    </row>
    <row r="1496">
      <c r="A1496" s="102" t="s">
        <v>624</v>
      </c>
      <c r="B1496" s="7" t="s">
        <v>3015</v>
      </c>
      <c r="C1496" s="91">
        <v>45616.67333579861</v>
      </c>
      <c r="D1496" s="8">
        <f t="shared" ref="D1496:D1497" si="174">IFERROR(_xlfn.WORKDAY.INTL(C1496, 2),"-")</f>
        <v>45618</v>
      </c>
      <c r="E1496" s="9" t="s">
        <v>11</v>
      </c>
      <c r="F1496" s="10"/>
      <c r="G1496" s="9"/>
      <c r="H1496" s="11"/>
      <c r="I1496" s="9" t="s">
        <v>353</v>
      </c>
      <c r="J1496" s="88"/>
    </row>
    <row r="1497">
      <c r="A1497" s="102" t="s">
        <v>624</v>
      </c>
      <c r="B1497" s="7" t="s">
        <v>3016</v>
      </c>
      <c r="C1497" s="91">
        <v>45587.641816296295</v>
      </c>
      <c r="D1497" s="8">
        <f t="shared" si="174"/>
        <v>45589</v>
      </c>
      <c r="E1497" s="9" t="s">
        <v>88</v>
      </c>
      <c r="F1497" s="10"/>
      <c r="G1497" s="9" t="s">
        <v>220</v>
      </c>
      <c r="H1497" s="7" t="s">
        <v>3017</v>
      </c>
      <c r="I1497" s="9" t="s">
        <v>353</v>
      </c>
      <c r="J1497" s="88"/>
    </row>
    <row r="1498">
      <c r="A1498" s="20" t="s">
        <v>98</v>
      </c>
      <c r="B1498" s="9" t="s">
        <v>3018</v>
      </c>
      <c r="C1498" s="91">
        <v>45670.654130219904</v>
      </c>
      <c r="D1498" s="153">
        <v>45670.0</v>
      </c>
      <c r="E1498" s="9"/>
      <c r="F1498" s="10"/>
      <c r="G1498" s="9" t="s">
        <v>15</v>
      </c>
      <c r="H1498" s="7" t="s">
        <v>2980</v>
      </c>
      <c r="I1498" s="9" t="s">
        <v>353</v>
      </c>
      <c r="J1498" s="88"/>
    </row>
    <row r="1499">
      <c r="A1499" s="20" t="s">
        <v>98</v>
      </c>
      <c r="B1499" s="9" t="s">
        <v>3019</v>
      </c>
      <c r="C1499" s="91">
        <v>45614.34368984954</v>
      </c>
      <c r="D1499" s="8">
        <f t="shared" ref="D1499:D1510" si="175">IFERROR(_xlfn.WORKDAY.INTL(C1499, 2),"-")</f>
        <v>45616</v>
      </c>
      <c r="E1499" s="9" t="s">
        <v>11</v>
      </c>
      <c r="F1499" s="10"/>
      <c r="G1499" s="9" t="s">
        <v>18</v>
      </c>
      <c r="H1499" s="22" t="s">
        <v>3020</v>
      </c>
      <c r="I1499" s="9" t="s">
        <v>353</v>
      </c>
      <c r="J1499" s="88"/>
    </row>
    <row r="1500">
      <c r="A1500" s="6" t="s">
        <v>9</v>
      </c>
      <c r="B1500" s="7" t="s">
        <v>3021</v>
      </c>
      <c r="C1500" s="91">
        <v>45642.5115375</v>
      </c>
      <c r="D1500" s="8">
        <f t="shared" si="175"/>
        <v>45644</v>
      </c>
      <c r="E1500" s="9" t="s">
        <v>11</v>
      </c>
      <c r="F1500" s="10"/>
      <c r="G1500" s="9" t="s">
        <v>15</v>
      </c>
      <c r="H1500" s="7" t="s">
        <v>3022</v>
      </c>
      <c r="I1500" s="9" t="s">
        <v>353</v>
      </c>
      <c r="J1500" s="88"/>
    </row>
    <row r="1501">
      <c r="A1501" s="20" t="s">
        <v>98</v>
      </c>
      <c r="B1501" s="9" t="s">
        <v>3023</v>
      </c>
      <c r="C1501" s="91">
        <v>45600.36699954861</v>
      </c>
      <c r="D1501" s="8">
        <f t="shared" si="175"/>
        <v>45602</v>
      </c>
      <c r="E1501" s="9" t="s">
        <v>11</v>
      </c>
      <c r="F1501" s="10"/>
      <c r="G1501" s="9" t="s">
        <v>18</v>
      </c>
      <c r="H1501" s="7" t="s">
        <v>3024</v>
      </c>
      <c r="I1501" s="9" t="s">
        <v>353</v>
      </c>
      <c r="J1501" s="88"/>
    </row>
    <row r="1502">
      <c r="A1502" s="20" t="s">
        <v>98</v>
      </c>
      <c r="B1502" s="9" t="s">
        <v>3025</v>
      </c>
      <c r="C1502" s="91">
        <v>45426.51799953704</v>
      </c>
      <c r="D1502" s="8">
        <f t="shared" si="175"/>
        <v>45428</v>
      </c>
      <c r="E1502" s="9" t="s">
        <v>11</v>
      </c>
      <c r="F1502" s="10"/>
      <c r="G1502" s="9" t="s">
        <v>15</v>
      </c>
      <c r="H1502" s="23" t="s">
        <v>3026</v>
      </c>
      <c r="I1502" s="9" t="s">
        <v>353</v>
      </c>
      <c r="J1502" s="88"/>
    </row>
    <row r="1503">
      <c r="A1503" s="20" t="s">
        <v>98</v>
      </c>
      <c r="B1503" s="9" t="s">
        <v>3027</v>
      </c>
      <c r="C1503" s="91">
        <v>45441.377544930554</v>
      </c>
      <c r="D1503" s="8">
        <f t="shared" si="175"/>
        <v>45443</v>
      </c>
      <c r="E1503" s="9" t="s">
        <v>11</v>
      </c>
      <c r="F1503" s="10"/>
      <c r="G1503" s="9" t="s">
        <v>18</v>
      </c>
      <c r="H1503" s="7" t="s">
        <v>3028</v>
      </c>
      <c r="I1503" s="9" t="s">
        <v>353</v>
      </c>
      <c r="J1503" s="88"/>
    </row>
    <row r="1504">
      <c r="A1504" s="20" t="s">
        <v>98</v>
      </c>
      <c r="B1504" s="9" t="s">
        <v>3029</v>
      </c>
      <c r="C1504" s="91">
        <v>45594.43079371528</v>
      </c>
      <c r="D1504" s="8">
        <f t="shared" si="175"/>
        <v>45596</v>
      </c>
      <c r="E1504" s="9" t="s">
        <v>11</v>
      </c>
      <c r="F1504" s="10"/>
      <c r="G1504" s="9" t="s">
        <v>15</v>
      </c>
      <c r="H1504" s="7" t="s">
        <v>3030</v>
      </c>
      <c r="I1504" s="9" t="s">
        <v>353</v>
      </c>
      <c r="J1504" s="88"/>
    </row>
    <row r="1505">
      <c r="A1505" s="20" t="s">
        <v>98</v>
      </c>
      <c r="B1505" s="9" t="s">
        <v>3031</v>
      </c>
      <c r="C1505" s="91">
        <v>45565.58298107639</v>
      </c>
      <c r="D1505" s="8">
        <f t="shared" si="175"/>
        <v>45567</v>
      </c>
      <c r="E1505" s="9" t="s">
        <v>11</v>
      </c>
      <c r="F1505" s="10"/>
      <c r="G1505" s="9" t="s">
        <v>15</v>
      </c>
      <c r="H1505" s="7" t="s">
        <v>3032</v>
      </c>
      <c r="I1505" s="9" t="s">
        <v>353</v>
      </c>
      <c r="J1505" s="88"/>
    </row>
    <row r="1506">
      <c r="A1506" s="54" t="s">
        <v>236</v>
      </c>
      <c r="B1506" s="7" t="s">
        <v>3033</v>
      </c>
      <c r="C1506" s="91">
        <v>45666.4913068287</v>
      </c>
      <c r="D1506" s="8">
        <f t="shared" si="175"/>
        <v>45670</v>
      </c>
      <c r="E1506" s="9" t="s">
        <v>11</v>
      </c>
      <c r="F1506" s="10"/>
      <c r="G1506" s="9" t="s">
        <v>220</v>
      </c>
      <c r="H1506" s="7" t="s">
        <v>3034</v>
      </c>
      <c r="I1506" s="9" t="s">
        <v>353</v>
      </c>
      <c r="J1506" s="88"/>
    </row>
    <row r="1507">
      <c r="A1507" s="54" t="s">
        <v>236</v>
      </c>
      <c r="B1507" s="7" t="s">
        <v>3035</v>
      </c>
      <c r="C1507" s="91">
        <v>45666.49002873842</v>
      </c>
      <c r="D1507" s="8">
        <f t="shared" si="175"/>
        <v>45670</v>
      </c>
      <c r="E1507" s="9" t="s">
        <v>11</v>
      </c>
      <c r="F1507" s="10"/>
      <c r="G1507" s="9" t="s">
        <v>220</v>
      </c>
      <c r="H1507" s="7" t="s">
        <v>3036</v>
      </c>
      <c r="I1507" s="9" t="s">
        <v>353</v>
      </c>
      <c r="J1507" s="88"/>
    </row>
    <row r="1508">
      <c r="A1508" s="54" t="s">
        <v>236</v>
      </c>
      <c r="B1508" s="7" t="s">
        <v>3037</v>
      </c>
      <c r="C1508" s="91">
        <v>45666.48938109954</v>
      </c>
      <c r="D1508" s="8">
        <f t="shared" si="175"/>
        <v>45670</v>
      </c>
      <c r="E1508" s="9" t="s">
        <v>11</v>
      </c>
      <c r="F1508" s="10"/>
      <c r="G1508" s="9" t="s">
        <v>220</v>
      </c>
      <c r="H1508" s="7" t="s">
        <v>3038</v>
      </c>
      <c r="I1508" s="9" t="s">
        <v>353</v>
      </c>
      <c r="J1508" s="88"/>
    </row>
    <row r="1509">
      <c r="A1509" s="54" t="s">
        <v>236</v>
      </c>
      <c r="B1509" s="7" t="s">
        <v>3039</v>
      </c>
      <c r="C1509" s="91">
        <v>45666.487411064816</v>
      </c>
      <c r="D1509" s="8">
        <f t="shared" si="175"/>
        <v>45670</v>
      </c>
      <c r="E1509" s="9" t="s">
        <v>11</v>
      </c>
      <c r="F1509" s="10"/>
      <c r="G1509" s="9"/>
      <c r="H1509" s="7" t="s">
        <v>3040</v>
      </c>
      <c r="I1509" s="9" t="s">
        <v>353</v>
      </c>
      <c r="J1509" s="88"/>
    </row>
    <row r="1510">
      <c r="A1510" s="54" t="s">
        <v>236</v>
      </c>
      <c r="B1510" s="7" t="s">
        <v>3041</v>
      </c>
      <c r="C1510" s="91" t="s">
        <v>11</v>
      </c>
      <c r="D1510" s="8" t="str">
        <f t="shared" si="175"/>
        <v>-</v>
      </c>
      <c r="E1510" s="9" t="s">
        <v>11</v>
      </c>
      <c r="F1510" s="10"/>
      <c r="G1510" s="9" t="s">
        <v>220</v>
      </c>
      <c r="H1510" s="7" t="s">
        <v>3042</v>
      </c>
      <c r="I1510" s="9" t="s">
        <v>353</v>
      </c>
      <c r="J1510" s="88"/>
    </row>
    <row r="1511">
      <c r="A1511" s="88"/>
      <c r="B1511" s="89"/>
      <c r="C1511" s="90"/>
      <c r="D1511" s="89"/>
      <c r="E1511" s="89"/>
      <c r="F1511" s="89"/>
      <c r="G1511" s="89"/>
      <c r="H1511" s="87"/>
      <c r="I1511" s="89"/>
      <c r="J1511" s="88"/>
    </row>
    <row r="1512">
      <c r="A1512" s="6" t="s">
        <v>3043</v>
      </c>
      <c r="B1512" s="7" t="s">
        <v>3044</v>
      </c>
      <c r="C1512" s="91">
        <v>45478.43357936342</v>
      </c>
      <c r="D1512" s="8">
        <f t="shared" ref="D1512:D1513" si="176">IFERROR(_xlfn.WORKDAY.INTL(C1512, 2),"-")</f>
        <v>45482</v>
      </c>
      <c r="E1512" s="9" t="s">
        <v>11</v>
      </c>
      <c r="F1512" s="8"/>
      <c r="G1512" s="9" t="s">
        <v>21</v>
      </c>
      <c r="H1512" s="7" t="s">
        <v>3045</v>
      </c>
      <c r="I1512" s="9" t="s">
        <v>353</v>
      </c>
      <c r="J1512" s="88"/>
    </row>
    <row r="1513">
      <c r="A1513" s="145" t="s">
        <v>2721</v>
      </c>
      <c r="B1513" s="43" t="s">
        <v>3046</v>
      </c>
      <c r="C1513" s="91">
        <v>45664.0</v>
      </c>
      <c r="D1513" s="8">
        <f t="shared" si="176"/>
        <v>45666</v>
      </c>
      <c r="E1513" s="9" t="s">
        <v>1123</v>
      </c>
      <c r="F1513" s="10"/>
      <c r="G1513" s="9" t="s">
        <v>220</v>
      </c>
      <c r="H1513" s="11"/>
      <c r="I1513" s="9" t="s">
        <v>353</v>
      </c>
      <c r="J1513" s="88"/>
    </row>
    <row r="1514">
      <c r="A1514" s="88"/>
      <c r="B1514" s="89"/>
      <c r="C1514" s="90"/>
      <c r="D1514" s="89"/>
      <c r="E1514" s="89"/>
      <c r="F1514" s="89"/>
      <c r="G1514" s="89"/>
      <c r="H1514" s="87"/>
      <c r="I1514" s="89"/>
      <c r="J1514" s="88"/>
    </row>
    <row r="1515">
      <c r="A1515" s="88"/>
      <c r="B1515" s="89"/>
      <c r="C1515" s="90"/>
      <c r="D1515" s="89"/>
      <c r="E1515" s="89"/>
      <c r="F1515" s="89"/>
      <c r="G1515" s="89"/>
      <c r="H1515" s="87"/>
      <c r="I1515" s="89"/>
      <c r="J1515" s="88"/>
    </row>
    <row r="1516">
      <c r="A1516" s="145"/>
      <c r="B1516" s="43" t="s">
        <v>3047</v>
      </c>
      <c r="C1516" s="91">
        <v>45663.0</v>
      </c>
      <c r="D1516" s="8">
        <f t="shared" ref="D1516:D1525" si="177">IFERROR(_xlfn.WORKDAY.INTL(C1516, 2),"-")</f>
        <v>45665</v>
      </c>
      <c r="E1516" s="9"/>
      <c r="F1516" s="10"/>
      <c r="G1516" s="9" t="s">
        <v>220</v>
      </c>
      <c r="H1516" s="11"/>
      <c r="I1516" s="9" t="s">
        <v>13</v>
      </c>
      <c r="J1516" s="88"/>
    </row>
    <row r="1517">
      <c r="A1517" s="78" t="s">
        <v>334</v>
      </c>
      <c r="B1517" s="43" t="s">
        <v>3048</v>
      </c>
      <c r="C1517" s="119">
        <v>45664.59914283565</v>
      </c>
      <c r="D1517" s="80">
        <f t="shared" si="177"/>
        <v>45666</v>
      </c>
      <c r="E1517" s="9"/>
      <c r="F1517" s="10"/>
      <c r="G1517" s="9" t="s">
        <v>15</v>
      </c>
      <c r="H1517" s="7" t="s">
        <v>3049</v>
      </c>
      <c r="I1517" s="9" t="s">
        <v>353</v>
      </c>
      <c r="J1517" s="88"/>
    </row>
    <row r="1518">
      <c r="A1518" s="6" t="s">
        <v>9</v>
      </c>
      <c r="B1518" s="7" t="s">
        <v>3050</v>
      </c>
      <c r="C1518" s="91">
        <v>45656.622504513885</v>
      </c>
      <c r="D1518" s="8">
        <f t="shared" si="177"/>
        <v>45658</v>
      </c>
      <c r="E1518" s="9" t="s">
        <v>11</v>
      </c>
      <c r="F1518" s="10"/>
      <c r="G1518" s="9" t="s">
        <v>15</v>
      </c>
      <c r="H1518" s="7" t="s">
        <v>3051</v>
      </c>
      <c r="I1518" s="9" t="s">
        <v>353</v>
      </c>
      <c r="J1518" s="88"/>
    </row>
    <row r="1519">
      <c r="A1519" s="6" t="s">
        <v>9</v>
      </c>
      <c r="B1519" s="7" t="s">
        <v>3052</v>
      </c>
      <c r="C1519" s="91">
        <v>45652.47959170138</v>
      </c>
      <c r="D1519" s="8">
        <f t="shared" si="177"/>
        <v>45656</v>
      </c>
      <c r="E1519" s="9" t="s">
        <v>11</v>
      </c>
      <c r="F1519" s="10"/>
      <c r="G1519" s="9" t="s">
        <v>15</v>
      </c>
      <c r="H1519" s="7" t="s">
        <v>3053</v>
      </c>
      <c r="I1519" s="9" t="s">
        <v>353</v>
      </c>
      <c r="J1519" s="88"/>
    </row>
    <row r="1520">
      <c r="A1520" s="6" t="s">
        <v>9</v>
      </c>
      <c r="B1520" s="7" t="s">
        <v>3054</v>
      </c>
      <c r="C1520" s="91">
        <v>45656.60264525463</v>
      </c>
      <c r="D1520" s="8">
        <f t="shared" si="177"/>
        <v>45658</v>
      </c>
      <c r="E1520" s="9" t="s">
        <v>11</v>
      </c>
      <c r="F1520" s="10"/>
      <c r="G1520" s="9" t="s">
        <v>15</v>
      </c>
      <c r="H1520" s="7" t="s">
        <v>3055</v>
      </c>
      <c r="I1520" s="9" t="s">
        <v>353</v>
      </c>
      <c r="J1520" s="88"/>
    </row>
    <row r="1521">
      <c r="A1521" s="6" t="s">
        <v>9</v>
      </c>
      <c r="B1521" s="7" t="s">
        <v>3056</v>
      </c>
      <c r="C1521" s="91">
        <v>45623.60901594907</v>
      </c>
      <c r="D1521" s="8">
        <f t="shared" si="177"/>
        <v>45625</v>
      </c>
      <c r="E1521" s="9" t="s">
        <v>11</v>
      </c>
      <c r="F1521" s="10"/>
      <c r="G1521" s="9" t="s">
        <v>15</v>
      </c>
      <c r="H1521" s="7" t="s">
        <v>3057</v>
      </c>
      <c r="I1521" s="9" t="s">
        <v>353</v>
      </c>
      <c r="J1521" s="88"/>
    </row>
    <row r="1522">
      <c r="A1522" s="6" t="s">
        <v>9</v>
      </c>
      <c r="B1522" s="7" t="s">
        <v>3058</v>
      </c>
      <c r="C1522" s="91">
        <v>45600.638442511576</v>
      </c>
      <c r="D1522" s="8">
        <f t="shared" si="177"/>
        <v>45602</v>
      </c>
      <c r="E1522" s="9" t="s">
        <v>11</v>
      </c>
      <c r="F1522" s="10"/>
      <c r="G1522" s="9" t="s">
        <v>15</v>
      </c>
      <c r="H1522" s="7" t="s">
        <v>759</v>
      </c>
      <c r="I1522" s="9" t="s">
        <v>353</v>
      </c>
      <c r="J1522" s="88"/>
    </row>
    <row r="1523">
      <c r="A1523" s="6" t="s">
        <v>9</v>
      </c>
      <c r="B1523" s="7" t="s">
        <v>3059</v>
      </c>
      <c r="C1523" s="91">
        <v>45614.459135</v>
      </c>
      <c r="D1523" s="8">
        <f t="shared" si="177"/>
        <v>45616</v>
      </c>
      <c r="E1523" s="9" t="s">
        <v>11</v>
      </c>
      <c r="F1523" s="10"/>
      <c r="G1523" s="9" t="s">
        <v>1309</v>
      </c>
      <c r="H1523" s="7" t="s">
        <v>3060</v>
      </c>
      <c r="I1523" s="9" t="s">
        <v>353</v>
      </c>
      <c r="J1523" s="88"/>
    </row>
    <row r="1524">
      <c r="A1524" s="6" t="s">
        <v>9</v>
      </c>
      <c r="B1524" s="7" t="s">
        <v>3061</v>
      </c>
      <c r="C1524" s="91">
        <v>45642.511459421294</v>
      </c>
      <c r="D1524" s="8">
        <f t="shared" si="177"/>
        <v>45644</v>
      </c>
      <c r="E1524" s="9" t="s">
        <v>11</v>
      </c>
      <c r="F1524" s="10"/>
      <c r="G1524" s="9" t="s">
        <v>15</v>
      </c>
      <c r="H1524" s="7" t="s">
        <v>3062</v>
      </c>
      <c r="I1524" s="9" t="s">
        <v>353</v>
      </c>
      <c r="J1524" s="88"/>
    </row>
    <row r="1525">
      <c r="A1525" s="20" t="s">
        <v>98</v>
      </c>
      <c r="B1525" s="9" t="s">
        <v>2586</v>
      </c>
      <c r="C1525" s="91">
        <v>45637.47719763889</v>
      </c>
      <c r="D1525" s="8">
        <f t="shared" si="177"/>
        <v>45639</v>
      </c>
      <c r="E1525" s="9" t="s">
        <v>11</v>
      </c>
      <c r="F1525" s="10"/>
      <c r="G1525" s="9" t="s">
        <v>15</v>
      </c>
      <c r="H1525" s="7" t="s">
        <v>3063</v>
      </c>
      <c r="I1525" s="9" t="s">
        <v>353</v>
      </c>
      <c r="J1525" s="88"/>
    </row>
    <row r="1526">
      <c r="A1526" s="42" t="s">
        <v>206</v>
      </c>
      <c r="B1526" s="43" t="s">
        <v>3064</v>
      </c>
      <c r="C1526" s="91">
        <v>45635.5229621412</v>
      </c>
      <c r="D1526" s="8"/>
      <c r="E1526" s="9"/>
      <c r="F1526" s="10"/>
      <c r="G1526" s="9" t="s">
        <v>21</v>
      </c>
      <c r="H1526" s="11"/>
      <c r="I1526" s="9" t="s">
        <v>353</v>
      </c>
      <c r="J1526" s="88"/>
    </row>
    <row r="1527">
      <c r="A1527" s="42" t="s">
        <v>206</v>
      </c>
      <c r="B1527" s="43" t="s">
        <v>3065</v>
      </c>
      <c r="C1527" s="91">
        <v>45491.51585296296</v>
      </c>
      <c r="D1527" s="8"/>
      <c r="E1527" s="9" t="s">
        <v>216</v>
      </c>
      <c r="F1527" s="10"/>
      <c r="G1527" s="9" t="s">
        <v>21</v>
      </c>
      <c r="H1527" s="7" t="s">
        <v>3066</v>
      </c>
      <c r="I1527" s="9" t="s">
        <v>353</v>
      </c>
      <c r="J1527" s="88"/>
    </row>
    <row r="1528">
      <c r="A1528" s="20" t="s">
        <v>98</v>
      </c>
      <c r="B1528" s="9" t="s">
        <v>3067</v>
      </c>
      <c r="C1528" s="91">
        <v>45530.634247800925</v>
      </c>
      <c r="D1528" s="8">
        <f t="shared" ref="D1528:D1536" si="178">IFERROR(_xlfn.WORKDAY.INTL(C1528, 2),"-")</f>
        <v>45532</v>
      </c>
      <c r="E1528" s="9" t="s">
        <v>206</v>
      </c>
      <c r="F1528" s="10"/>
      <c r="G1528" s="9" t="s">
        <v>18</v>
      </c>
      <c r="H1528" s="23" t="s">
        <v>3068</v>
      </c>
      <c r="I1528" s="9" t="s">
        <v>353</v>
      </c>
      <c r="J1528" s="88"/>
    </row>
    <row r="1529">
      <c r="A1529" s="6" t="s">
        <v>9</v>
      </c>
      <c r="B1529" s="7" t="s">
        <v>3069</v>
      </c>
      <c r="C1529" s="91">
        <v>45644.72444239583</v>
      </c>
      <c r="D1529" s="8">
        <f t="shared" si="178"/>
        <v>45646</v>
      </c>
      <c r="E1529" s="9" t="s">
        <v>11</v>
      </c>
      <c r="F1529" s="10"/>
      <c r="G1529" s="9" t="s">
        <v>15</v>
      </c>
      <c r="H1529" s="7" t="s">
        <v>3070</v>
      </c>
      <c r="I1529" s="9" t="s">
        <v>353</v>
      </c>
      <c r="J1529" s="88"/>
    </row>
    <row r="1530">
      <c r="A1530" s="20" t="s">
        <v>98</v>
      </c>
      <c r="B1530" s="9" t="s">
        <v>3071</v>
      </c>
      <c r="C1530" s="91">
        <v>45463.69842759259</v>
      </c>
      <c r="D1530" s="8">
        <f t="shared" si="178"/>
        <v>45467</v>
      </c>
      <c r="E1530" s="9" t="s">
        <v>206</v>
      </c>
      <c r="F1530" s="10"/>
      <c r="G1530" s="9" t="s">
        <v>15</v>
      </c>
      <c r="H1530" s="23" t="s">
        <v>3072</v>
      </c>
      <c r="I1530" s="9" t="s">
        <v>353</v>
      </c>
      <c r="J1530" s="88"/>
    </row>
    <row r="1531">
      <c r="A1531" s="20" t="s">
        <v>98</v>
      </c>
      <c r="B1531" s="9" t="s">
        <v>3073</v>
      </c>
      <c r="C1531" s="91">
        <v>45425.36996798612</v>
      </c>
      <c r="D1531" s="8">
        <f t="shared" si="178"/>
        <v>45427</v>
      </c>
      <c r="E1531" s="9" t="s">
        <v>88</v>
      </c>
      <c r="F1531" s="10"/>
      <c r="G1531" s="9" t="s">
        <v>15</v>
      </c>
      <c r="H1531" s="7" t="s">
        <v>3074</v>
      </c>
      <c r="I1531" s="9" t="s">
        <v>353</v>
      </c>
      <c r="J1531" s="88"/>
    </row>
    <row r="1532">
      <c r="A1532" s="6" t="s">
        <v>9</v>
      </c>
      <c r="B1532" s="7" t="s">
        <v>3075</v>
      </c>
      <c r="C1532" s="91">
        <v>45642.510006157405</v>
      </c>
      <c r="D1532" s="8">
        <f t="shared" si="178"/>
        <v>45644</v>
      </c>
      <c r="E1532" s="9" t="s">
        <v>11</v>
      </c>
      <c r="F1532" s="10"/>
      <c r="G1532" s="9" t="s">
        <v>15</v>
      </c>
      <c r="H1532" s="7" t="s">
        <v>3076</v>
      </c>
      <c r="I1532" s="9" t="s">
        <v>353</v>
      </c>
      <c r="J1532" s="88"/>
    </row>
    <row r="1533">
      <c r="A1533" s="20" t="s">
        <v>98</v>
      </c>
      <c r="B1533" s="9" t="s">
        <v>3077</v>
      </c>
      <c r="C1533" s="91">
        <v>45530.70311872685</v>
      </c>
      <c r="D1533" s="8">
        <f t="shared" si="178"/>
        <v>45532</v>
      </c>
      <c r="E1533" s="9" t="s">
        <v>88</v>
      </c>
      <c r="F1533" s="10"/>
      <c r="G1533" s="9" t="s">
        <v>18</v>
      </c>
      <c r="H1533" s="7" t="s">
        <v>3078</v>
      </c>
      <c r="I1533" s="9" t="s">
        <v>353</v>
      </c>
      <c r="J1533" s="88"/>
    </row>
    <row r="1534">
      <c r="A1534" s="20" t="s">
        <v>98</v>
      </c>
      <c r="B1534" s="9" t="s">
        <v>3079</v>
      </c>
      <c r="C1534" s="91">
        <v>45350.43738766204</v>
      </c>
      <c r="D1534" s="8">
        <f t="shared" si="178"/>
        <v>45352</v>
      </c>
      <c r="E1534" s="9" t="s">
        <v>11</v>
      </c>
      <c r="F1534" s="10"/>
      <c r="G1534" s="9" t="s">
        <v>15</v>
      </c>
      <c r="H1534" s="7" t="s">
        <v>3080</v>
      </c>
      <c r="I1534" s="9" t="s">
        <v>353</v>
      </c>
      <c r="J1534" s="88"/>
    </row>
    <row r="1535">
      <c r="A1535" s="6" t="s">
        <v>9</v>
      </c>
      <c r="B1535" s="7" t="s">
        <v>3081</v>
      </c>
      <c r="C1535" s="91" t="s">
        <v>11</v>
      </c>
      <c r="D1535" s="8" t="str">
        <f t="shared" si="178"/>
        <v>-</v>
      </c>
      <c r="E1535" s="9" t="s">
        <v>11</v>
      </c>
      <c r="F1535" s="10"/>
      <c r="G1535" s="9" t="s">
        <v>15</v>
      </c>
      <c r="H1535" s="7" t="s">
        <v>3082</v>
      </c>
      <c r="I1535" s="9" t="s">
        <v>353</v>
      </c>
      <c r="J1535" s="88"/>
    </row>
    <row r="1536">
      <c r="A1536" s="6" t="s">
        <v>9</v>
      </c>
      <c r="B1536" s="7" t="s">
        <v>3083</v>
      </c>
      <c r="C1536" s="91">
        <v>45638.60555594908</v>
      </c>
      <c r="D1536" s="8">
        <f t="shared" si="178"/>
        <v>45642</v>
      </c>
      <c r="E1536" s="9" t="s">
        <v>88</v>
      </c>
      <c r="F1536" s="10"/>
      <c r="G1536" s="9" t="s">
        <v>18</v>
      </c>
      <c r="H1536" s="7" t="s">
        <v>3084</v>
      </c>
      <c r="I1536" s="9" t="s">
        <v>353</v>
      </c>
      <c r="J1536" s="88"/>
    </row>
    <row r="1537">
      <c r="A1537" s="42" t="s">
        <v>206</v>
      </c>
      <c r="B1537" s="43" t="s">
        <v>3085</v>
      </c>
      <c r="C1537" s="91">
        <v>45610.71753949074</v>
      </c>
      <c r="D1537" s="8"/>
      <c r="E1537" s="9" t="s">
        <v>88</v>
      </c>
      <c r="F1537" s="10"/>
      <c r="G1537" s="9" t="s">
        <v>15</v>
      </c>
      <c r="H1537" s="7" t="s">
        <v>3086</v>
      </c>
      <c r="I1537" s="9" t="s">
        <v>353</v>
      </c>
      <c r="J1537" s="88"/>
    </row>
    <row r="1538">
      <c r="A1538" s="42" t="s">
        <v>206</v>
      </c>
      <c r="B1538" s="43" t="s">
        <v>3087</v>
      </c>
      <c r="C1538" s="91">
        <v>45639.485989050925</v>
      </c>
      <c r="D1538" s="8"/>
      <c r="E1538" s="9"/>
      <c r="F1538" s="10"/>
      <c r="G1538" s="9" t="s">
        <v>18</v>
      </c>
      <c r="H1538" s="7" t="s">
        <v>437</v>
      </c>
      <c r="I1538" s="9" t="s">
        <v>353</v>
      </c>
      <c r="J1538" s="88"/>
    </row>
    <row r="1539">
      <c r="A1539" s="42" t="s">
        <v>206</v>
      </c>
      <c r="B1539" s="43" t="s">
        <v>3088</v>
      </c>
      <c r="C1539" s="91">
        <v>45600.63836271991</v>
      </c>
      <c r="D1539" s="8"/>
      <c r="E1539" s="9" t="s">
        <v>94</v>
      </c>
      <c r="F1539" s="10"/>
      <c r="G1539" s="9" t="s">
        <v>15</v>
      </c>
      <c r="H1539" s="7" t="s">
        <v>3089</v>
      </c>
      <c r="I1539" s="9" t="s">
        <v>353</v>
      </c>
      <c r="J1539" s="88"/>
    </row>
    <row r="1540">
      <c r="A1540" s="20" t="s">
        <v>98</v>
      </c>
      <c r="B1540" s="9" t="s">
        <v>3090</v>
      </c>
      <c r="C1540" s="91">
        <v>45629.66504530092</v>
      </c>
      <c r="D1540" s="8">
        <f t="shared" ref="D1540:D1549" si="179">IFERROR(_xlfn.WORKDAY.INTL(C1540, 2),"-")</f>
        <v>45631</v>
      </c>
      <c r="E1540" s="9" t="s">
        <v>11</v>
      </c>
      <c r="F1540" s="10"/>
      <c r="G1540" s="9" t="s">
        <v>15</v>
      </c>
      <c r="H1540" s="7" t="s">
        <v>3091</v>
      </c>
      <c r="I1540" s="9" t="s">
        <v>353</v>
      </c>
      <c r="J1540" s="88"/>
    </row>
    <row r="1541">
      <c r="A1541" s="6" t="s">
        <v>9</v>
      </c>
      <c r="B1541" s="7" t="s">
        <v>3092</v>
      </c>
      <c r="C1541" s="91">
        <v>45642.72841005787</v>
      </c>
      <c r="D1541" s="8">
        <f t="shared" si="179"/>
        <v>45644</v>
      </c>
      <c r="E1541" s="9" t="s">
        <v>11</v>
      </c>
      <c r="F1541" s="10"/>
      <c r="G1541" s="9" t="s">
        <v>15</v>
      </c>
      <c r="H1541" s="7" t="s">
        <v>3093</v>
      </c>
      <c r="I1541" s="9" t="s">
        <v>353</v>
      </c>
      <c r="J1541" s="88"/>
    </row>
    <row r="1542">
      <c r="A1542" s="6" t="s">
        <v>9</v>
      </c>
      <c r="B1542" s="7" t="s">
        <v>3094</v>
      </c>
      <c r="C1542" s="91">
        <v>45642.70361846065</v>
      </c>
      <c r="D1542" s="8">
        <f t="shared" si="179"/>
        <v>45644</v>
      </c>
      <c r="E1542" s="9" t="s">
        <v>11</v>
      </c>
      <c r="F1542" s="10"/>
      <c r="G1542" s="9" t="s">
        <v>15</v>
      </c>
      <c r="H1542" s="7" t="s">
        <v>3095</v>
      </c>
      <c r="I1542" s="9" t="s">
        <v>353</v>
      </c>
      <c r="J1542" s="88"/>
    </row>
    <row r="1543">
      <c r="A1543" s="20" t="s">
        <v>98</v>
      </c>
      <c r="B1543" s="9" t="s">
        <v>3096</v>
      </c>
      <c r="C1543" s="91">
        <v>45611.5003928125</v>
      </c>
      <c r="D1543" s="8">
        <f t="shared" si="179"/>
        <v>45615</v>
      </c>
      <c r="E1543" s="9" t="s">
        <v>11</v>
      </c>
      <c r="F1543" s="10"/>
      <c r="G1543" s="9" t="s">
        <v>15</v>
      </c>
      <c r="H1543" s="23" t="s">
        <v>3097</v>
      </c>
      <c r="I1543" s="9" t="s">
        <v>353</v>
      </c>
      <c r="J1543" s="88"/>
    </row>
    <row r="1544">
      <c r="A1544" s="54" t="s">
        <v>236</v>
      </c>
      <c r="B1544" s="7" t="s">
        <v>3098</v>
      </c>
      <c r="C1544" s="91">
        <v>45642.603893796295</v>
      </c>
      <c r="D1544" s="8">
        <f t="shared" si="179"/>
        <v>45644</v>
      </c>
      <c r="E1544" s="9" t="s">
        <v>11</v>
      </c>
      <c r="F1544" s="10"/>
      <c r="G1544" s="9" t="s">
        <v>18</v>
      </c>
      <c r="H1544" s="7" t="s">
        <v>3099</v>
      </c>
      <c r="I1544" s="9" t="s">
        <v>353</v>
      </c>
      <c r="J1544" s="88"/>
    </row>
    <row r="1545">
      <c r="A1545" s="54" t="s">
        <v>236</v>
      </c>
      <c r="B1545" s="7" t="s">
        <v>3100</v>
      </c>
      <c r="C1545" s="91">
        <v>45540.51349356482</v>
      </c>
      <c r="D1545" s="8">
        <f t="shared" si="179"/>
        <v>45544</v>
      </c>
      <c r="E1545" s="9" t="s">
        <v>11</v>
      </c>
      <c r="F1545" s="10"/>
      <c r="G1545" s="9" t="s">
        <v>15</v>
      </c>
      <c r="H1545" s="7" t="s">
        <v>3101</v>
      </c>
      <c r="I1545" s="9" t="s">
        <v>353</v>
      </c>
      <c r="J1545" s="88"/>
    </row>
    <row r="1546">
      <c r="A1546" s="6" t="s">
        <v>9</v>
      </c>
      <c r="B1546" s="7" t="s">
        <v>3102</v>
      </c>
      <c r="C1546" s="91">
        <v>45642.511653587964</v>
      </c>
      <c r="D1546" s="8">
        <f t="shared" si="179"/>
        <v>45644</v>
      </c>
      <c r="E1546" s="9" t="s">
        <v>11</v>
      </c>
      <c r="F1546" s="10"/>
      <c r="G1546" s="9" t="s">
        <v>18</v>
      </c>
      <c r="H1546" s="11"/>
      <c r="I1546" s="9" t="s">
        <v>353</v>
      </c>
      <c r="J1546" s="88"/>
    </row>
    <row r="1547">
      <c r="A1547" s="6" t="s">
        <v>9</v>
      </c>
      <c r="B1547" s="7" t="s">
        <v>3103</v>
      </c>
      <c r="C1547" s="91">
        <v>45642.511591250004</v>
      </c>
      <c r="D1547" s="8">
        <f t="shared" si="179"/>
        <v>45644</v>
      </c>
      <c r="E1547" s="9" t="s">
        <v>11</v>
      </c>
      <c r="F1547" s="10"/>
      <c r="G1547" s="9" t="s">
        <v>18</v>
      </c>
      <c r="H1547" s="11"/>
      <c r="I1547" s="9" t="s">
        <v>353</v>
      </c>
      <c r="J1547" s="88"/>
    </row>
    <row r="1548">
      <c r="A1548" s="20" t="s">
        <v>98</v>
      </c>
      <c r="B1548" s="9" t="s">
        <v>2169</v>
      </c>
      <c r="C1548" s="91">
        <v>45642.445196099536</v>
      </c>
      <c r="D1548" s="8">
        <f t="shared" si="179"/>
        <v>45644</v>
      </c>
      <c r="E1548" s="9" t="s">
        <v>11</v>
      </c>
      <c r="F1548" s="10"/>
      <c r="G1548" s="9" t="s">
        <v>18</v>
      </c>
      <c r="H1548" s="7" t="s">
        <v>3104</v>
      </c>
      <c r="I1548" s="9" t="s">
        <v>353</v>
      </c>
      <c r="J1548" s="88"/>
    </row>
    <row r="1549">
      <c r="A1549" s="20" t="s">
        <v>98</v>
      </c>
      <c r="B1549" s="9" t="s">
        <v>3105</v>
      </c>
      <c r="C1549" s="91">
        <v>45629.732491041665</v>
      </c>
      <c r="D1549" s="8">
        <f t="shared" si="179"/>
        <v>45631</v>
      </c>
      <c r="E1549" s="9" t="s">
        <v>11</v>
      </c>
      <c r="F1549" s="10"/>
      <c r="G1549" s="9" t="s">
        <v>15</v>
      </c>
      <c r="H1549" s="7" t="s">
        <v>3106</v>
      </c>
      <c r="I1549" s="9" t="s">
        <v>353</v>
      </c>
      <c r="J1549" s="88"/>
    </row>
    <row r="1550">
      <c r="A1550" s="42" t="s">
        <v>206</v>
      </c>
      <c r="B1550" s="43" t="s">
        <v>3107</v>
      </c>
      <c r="C1550" s="91">
        <v>45637.6092552662</v>
      </c>
      <c r="D1550" s="8"/>
      <c r="E1550" s="9"/>
      <c r="F1550" s="10"/>
      <c r="G1550" s="9"/>
      <c r="H1550" s="11"/>
      <c r="I1550" s="9" t="s">
        <v>353</v>
      </c>
      <c r="J1550" s="88"/>
    </row>
    <row r="1551">
      <c r="A1551" s="42" t="s">
        <v>206</v>
      </c>
      <c r="B1551" s="45" t="s">
        <v>3108</v>
      </c>
      <c r="C1551" s="91">
        <v>45637.57643082176</v>
      </c>
      <c r="D1551" s="8"/>
      <c r="E1551" s="9"/>
      <c r="F1551" s="10"/>
      <c r="G1551" s="9" t="s">
        <v>220</v>
      </c>
      <c r="H1551" s="7" t="s">
        <v>3109</v>
      </c>
      <c r="I1551" s="9" t="s">
        <v>353</v>
      </c>
      <c r="J1551" s="88"/>
    </row>
    <row r="1552">
      <c r="A1552" s="20" t="s">
        <v>98</v>
      </c>
      <c r="B1552" s="9" t="s">
        <v>3110</v>
      </c>
      <c r="C1552" s="91">
        <v>45636.48748335648</v>
      </c>
      <c r="D1552" s="8">
        <f t="shared" ref="D1552:D1557" si="180">IFERROR(_xlfn.WORKDAY.INTL(C1552, 2),"-")</f>
        <v>45638</v>
      </c>
      <c r="E1552" s="9" t="s">
        <v>11</v>
      </c>
      <c r="F1552" s="10"/>
      <c r="G1552" s="9" t="s">
        <v>18</v>
      </c>
      <c r="H1552" s="7" t="s">
        <v>3111</v>
      </c>
      <c r="I1552" s="9" t="s">
        <v>353</v>
      </c>
      <c r="J1552" s="88"/>
    </row>
    <row r="1553">
      <c r="A1553" s="20" t="s">
        <v>98</v>
      </c>
      <c r="B1553" s="9" t="s">
        <v>3112</v>
      </c>
      <c r="C1553" s="91">
        <v>45610.51787193287</v>
      </c>
      <c r="D1553" s="8">
        <f t="shared" si="180"/>
        <v>45614</v>
      </c>
      <c r="E1553" s="9" t="s">
        <v>11</v>
      </c>
      <c r="F1553" s="10"/>
      <c r="G1553" s="9" t="s">
        <v>15</v>
      </c>
      <c r="H1553" s="7" t="s">
        <v>3113</v>
      </c>
      <c r="I1553" s="9" t="s">
        <v>353</v>
      </c>
      <c r="J1553" s="88"/>
    </row>
    <row r="1554">
      <c r="A1554" s="54" t="s">
        <v>236</v>
      </c>
      <c r="B1554" s="7" t="s">
        <v>3114</v>
      </c>
      <c r="C1554" s="91">
        <v>45630.476161122686</v>
      </c>
      <c r="D1554" s="8">
        <f t="shared" si="180"/>
        <v>45632</v>
      </c>
      <c r="E1554" s="9" t="s">
        <v>11</v>
      </c>
      <c r="F1554" s="10"/>
      <c r="G1554" s="9" t="s">
        <v>18</v>
      </c>
      <c r="H1554" s="11"/>
      <c r="I1554" s="9" t="s">
        <v>353</v>
      </c>
      <c r="J1554" s="88"/>
    </row>
    <row r="1555">
      <c r="A1555" s="54" t="s">
        <v>236</v>
      </c>
      <c r="B1555" s="7" t="s">
        <v>3115</v>
      </c>
      <c r="C1555" s="91">
        <v>45628.41153258102</v>
      </c>
      <c r="D1555" s="8">
        <f t="shared" si="180"/>
        <v>45630</v>
      </c>
      <c r="E1555" s="9" t="s">
        <v>11</v>
      </c>
      <c r="F1555" s="10"/>
      <c r="G1555" s="9" t="s">
        <v>220</v>
      </c>
      <c r="H1555" s="7" t="s">
        <v>3116</v>
      </c>
      <c r="I1555" s="9" t="s">
        <v>353</v>
      </c>
      <c r="J1555" s="88"/>
    </row>
    <row r="1556">
      <c r="A1556" s="20" t="s">
        <v>98</v>
      </c>
      <c r="B1556" s="9" t="s">
        <v>3117</v>
      </c>
      <c r="C1556" s="91">
        <v>45575.58249425926</v>
      </c>
      <c r="D1556" s="8">
        <f t="shared" si="180"/>
        <v>45579</v>
      </c>
      <c r="E1556" s="9" t="s">
        <v>11</v>
      </c>
      <c r="F1556" s="10"/>
      <c r="G1556" s="9" t="s">
        <v>15</v>
      </c>
      <c r="H1556" s="23" t="s">
        <v>3118</v>
      </c>
      <c r="I1556" s="9" t="s">
        <v>353</v>
      </c>
      <c r="J1556" s="88"/>
    </row>
    <row r="1557">
      <c r="A1557" s="20" t="s">
        <v>98</v>
      </c>
      <c r="B1557" s="9" t="s">
        <v>3119</v>
      </c>
      <c r="C1557" s="91">
        <v>45635.68374246528</v>
      </c>
      <c r="D1557" s="8">
        <f t="shared" si="180"/>
        <v>45637</v>
      </c>
      <c r="E1557" s="9" t="s">
        <v>11</v>
      </c>
      <c r="F1557" s="10"/>
      <c r="G1557" s="9" t="s">
        <v>18</v>
      </c>
      <c r="H1557" s="7" t="s">
        <v>3120</v>
      </c>
      <c r="I1557" s="9" t="s">
        <v>353</v>
      </c>
      <c r="J1557" s="88"/>
    </row>
    <row r="1558">
      <c r="A1558" s="42" t="s">
        <v>206</v>
      </c>
      <c r="B1558" s="43" t="s">
        <v>3121</v>
      </c>
      <c r="C1558" s="91">
        <v>45616.660396493055</v>
      </c>
      <c r="D1558" s="8"/>
      <c r="E1558" s="9" t="s">
        <v>216</v>
      </c>
      <c r="F1558" s="10"/>
      <c r="G1558" s="9" t="s">
        <v>15</v>
      </c>
      <c r="H1558" s="7" t="s">
        <v>3122</v>
      </c>
      <c r="I1558" s="9" t="s">
        <v>353</v>
      </c>
      <c r="J1558" s="88"/>
    </row>
    <row r="1559">
      <c r="A1559" s="42" t="s">
        <v>206</v>
      </c>
      <c r="B1559" s="45" t="s">
        <v>3123</v>
      </c>
      <c r="C1559" s="91">
        <v>45637.576197222224</v>
      </c>
      <c r="D1559" s="8"/>
      <c r="E1559" s="9" t="s">
        <v>216</v>
      </c>
      <c r="F1559" s="10"/>
      <c r="G1559" s="9" t="s">
        <v>15</v>
      </c>
      <c r="H1559" s="7" t="s">
        <v>3124</v>
      </c>
      <c r="I1559" s="9" t="s">
        <v>353</v>
      </c>
      <c r="J1559" s="88"/>
    </row>
    <row r="1560">
      <c r="A1560" s="42" t="s">
        <v>206</v>
      </c>
      <c r="B1560" s="45" t="s">
        <v>3125</v>
      </c>
      <c r="C1560" s="91">
        <v>45637.57613414351</v>
      </c>
      <c r="D1560" s="8"/>
      <c r="E1560" s="9" t="s">
        <v>216</v>
      </c>
      <c r="F1560" s="10"/>
      <c r="G1560" s="9" t="s">
        <v>15</v>
      </c>
      <c r="H1560" s="7" t="s">
        <v>3126</v>
      </c>
      <c r="I1560" s="9" t="s">
        <v>353</v>
      </c>
      <c r="J1560" s="88"/>
    </row>
    <row r="1561">
      <c r="A1561" s="42" t="s">
        <v>206</v>
      </c>
      <c r="B1561" s="45" t="s">
        <v>3127</v>
      </c>
      <c r="C1561" s="91">
        <v>45637.576175625</v>
      </c>
      <c r="D1561" s="8"/>
      <c r="E1561" s="9" t="s">
        <v>216</v>
      </c>
      <c r="F1561" s="10"/>
      <c r="G1561" s="9" t="s">
        <v>15</v>
      </c>
      <c r="H1561" s="7" t="s">
        <v>3128</v>
      </c>
      <c r="I1561" s="9" t="s">
        <v>353</v>
      </c>
      <c r="J1561" s="88"/>
    </row>
    <row r="1562">
      <c r="A1562" s="42" t="s">
        <v>206</v>
      </c>
      <c r="B1562" s="45" t="s">
        <v>3129</v>
      </c>
      <c r="C1562" s="91">
        <v>45637.57615310185</v>
      </c>
      <c r="D1562" s="8"/>
      <c r="E1562" s="9" t="s">
        <v>216</v>
      </c>
      <c r="F1562" s="10"/>
      <c r="G1562" s="9" t="s">
        <v>15</v>
      </c>
      <c r="H1562" s="154" t="s">
        <v>3126</v>
      </c>
      <c r="I1562" s="9" t="s">
        <v>353</v>
      </c>
      <c r="J1562" s="88"/>
    </row>
    <row r="1563">
      <c r="A1563" s="42" t="s">
        <v>206</v>
      </c>
      <c r="B1563" s="45" t="s">
        <v>3130</v>
      </c>
      <c r="C1563" s="91">
        <v>45616.660972314814</v>
      </c>
      <c r="D1563" s="8"/>
      <c r="E1563" s="9" t="s">
        <v>206</v>
      </c>
      <c r="F1563" s="10"/>
      <c r="G1563" s="9" t="s">
        <v>18</v>
      </c>
      <c r="H1563" s="7" t="s">
        <v>3131</v>
      </c>
      <c r="I1563" s="9" t="s">
        <v>353</v>
      </c>
      <c r="J1563" s="88"/>
    </row>
    <row r="1564">
      <c r="A1564" s="42" t="s">
        <v>206</v>
      </c>
      <c r="B1564" s="45" t="s">
        <v>3132</v>
      </c>
      <c r="C1564" s="91">
        <v>45637.57627289352</v>
      </c>
      <c r="D1564" s="8"/>
      <c r="E1564" s="9"/>
      <c r="F1564" s="10"/>
      <c r="G1564" s="9" t="s">
        <v>15</v>
      </c>
      <c r="H1564" s="7" t="s">
        <v>3133</v>
      </c>
      <c r="I1564" s="9" t="s">
        <v>353</v>
      </c>
      <c r="J1564" s="88"/>
    </row>
    <row r="1565">
      <c r="A1565" s="42" t="s">
        <v>206</v>
      </c>
      <c r="B1565" s="45" t="s">
        <v>3134</v>
      </c>
      <c r="C1565" s="91">
        <v>45618.482925000004</v>
      </c>
      <c r="D1565" s="8"/>
      <c r="E1565" s="9" t="s">
        <v>216</v>
      </c>
      <c r="F1565" s="10"/>
      <c r="G1565" s="9" t="s">
        <v>18</v>
      </c>
      <c r="H1565" s="7" t="s">
        <v>3135</v>
      </c>
      <c r="I1565" s="9" t="s">
        <v>353</v>
      </c>
      <c r="J1565" s="88"/>
    </row>
    <row r="1566">
      <c r="A1566" s="42" t="s">
        <v>206</v>
      </c>
      <c r="B1566" s="45" t="s">
        <v>3136</v>
      </c>
      <c r="C1566" s="91">
        <v>45623.61863162037</v>
      </c>
      <c r="D1566" s="8"/>
      <c r="E1566" s="9" t="s">
        <v>216</v>
      </c>
      <c r="F1566" s="10"/>
      <c r="G1566" s="9" t="s">
        <v>18</v>
      </c>
      <c r="H1566" s="11"/>
      <c r="I1566" s="9" t="s">
        <v>353</v>
      </c>
      <c r="J1566" s="88"/>
    </row>
    <row r="1567">
      <c r="A1567" s="42" t="s">
        <v>206</v>
      </c>
      <c r="B1567" s="45" t="s">
        <v>3137</v>
      </c>
      <c r="C1567" s="91">
        <v>45623.618685243055</v>
      </c>
      <c r="D1567" s="8"/>
      <c r="E1567" s="9" t="s">
        <v>216</v>
      </c>
      <c r="F1567" s="10"/>
      <c r="G1567" s="9" t="s">
        <v>18</v>
      </c>
      <c r="H1567" s="11"/>
      <c r="I1567" s="9" t="s">
        <v>353</v>
      </c>
      <c r="J1567" s="88"/>
    </row>
    <row r="1568">
      <c r="A1568" s="42" t="s">
        <v>206</v>
      </c>
      <c r="B1568" s="45" t="s">
        <v>3138</v>
      </c>
      <c r="C1568" s="91">
        <v>45623.61872840278</v>
      </c>
      <c r="D1568" s="8"/>
      <c r="E1568" s="9" t="s">
        <v>216</v>
      </c>
      <c r="F1568" s="10"/>
      <c r="G1568" s="9" t="s">
        <v>18</v>
      </c>
      <c r="H1568" s="11"/>
      <c r="I1568" s="9" t="s">
        <v>353</v>
      </c>
      <c r="J1568" s="88"/>
    </row>
    <row r="1569">
      <c r="A1569" s="42" t="s">
        <v>206</v>
      </c>
      <c r="B1569" s="45" t="s">
        <v>3139</v>
      </c>
      <c r="C1569" s="91">
        <v>45623.618791307876</v>
      </c>
      <c r="D1569" s="8"/>
      <c r="E1569" s="9" t="s">
        <v>216</v>
      </c>
      <c r="F1569" s="10"/>
      <c r="G1569" s="9" t="s">
        <v>18</v>
      </c>
      <c r="H1569" s="11"/>
      <c r="I1569" s="9" t="s">
        <v>353</v>
      </c>
      <c r="J1569" s="88"/>
    </row>
    <row r="1570">
      <c r="A1570" s="42" t="s">
        <v>206</v>
      </c>
      <c r="B1570" s="45" t="s">
        <v>3140</v>
      </c>
      <c r="C1570" s="91">
        <v>45623.61882236111</v>
      </c>
      <c r="D1570" s="8"/>
      <c r="E1570" s="9" t="s">
        <v>216</v>
      </c>
      <c r="F1570" s="10"/>
      <c r="G1570" s="9" t="s">
        <v>18</v>
      </c>
      <c r="H1570" s="11"/>
      <c r="I1570" s="9" t="s">
        <v>353</v>
      </c>
      <c r="J1570" s="88"/>
    </row>
    <row r="1571">
      <c r="A1571" s="42" t="s">
        <v>206</v>
      </c>
      <c r="B1571" s="45" t="s">
        <v>3141</v>
      </c>
      <c r="C1571" s="91">
        <v>45618.48272569444</v>
      </c>
      <c r="D1571" s="8"/>
      <c r="E1571" s="9" t="s">
        <v>216</v>
      </c>
      <c r="F1571" s="10"/>
      <c r="G1571" s="9" t="s">
        <v>15</v>
      </c>
      <c r="H1571" s="7" t="s">
        <v>3142</v>
      </c>
      <c r="I1571" s="9" t="s">
        <v>353</v>
      </c>
      <c r="J1571" s="88"/>
    </row>
    <row r="1572">
      <c r="A1572" s="42" t="s">
        <v>206</v>
      </c>
      <c r="B1572" s="43" t="s">
        <v>3143</v>
      </c>
      <c r="C1572" s="91">
        <v>45616.660463761575</v>
      </c>
      <c r="D1572" s="8"/>
      <c r="E1572" s="9" t="s">
        <v>94</v>
      </c>
      <c r="F1572" s="10"/>
      <c r="G1572" s="9" t="s">
        <v>18</v>
      </c>
      <c r="H1572" s="7" t="s">
        <v>3144</v>
      </c>
      <c r="I1572" s="9" t="s">
        <v>353</v>
      </c>
      <c r="J1572" s="88"/>
    </row>
    <row r="1573">
      <c r="A1573" s="42" t="s">
        <v>206</v>
      </c>
      <c r="B1573" s="43" t="s">
        <v>3145</v>
      </c>
      <c r="C1573" s="91">
        <v>45610.71839476852</v>
      </c>
      <c r="D1573" s="8"/>
      <c r="E1573" s="9" t="s">
        <v>206</v>
      </c>
      <c r="F1573" s="10"/>
      <c r="G1573" s="9" t="s">
        <v>15</v>
      </c>
      <c r="H1573" s="7" t="s">
        <v>3146</v>
      </c>
      <c r="I1573" s="9" t="s">
        <v>353</v>
      </c>
      <c r="J1573" s="88"/>
    </row>
    <row r="1574">
      <c r="A1574" s="42" t="s">
        <v>206</v>
      </c>
      <c r="B1574" s="43" t="s">
        <v>3147</v>
      </c>
      <c r="C1574" s="91">
        <v>45616.66046290509</v>
      </c>
      <c r="D1574" s="8"/>
      <c r="E1574" s="9" t="s">
        <v>94</v>
      </c>
      <c r="F1574" s="10"/>
      <c r="G1574" s="9" t="s">
        <v>15</v>
      </c>
      <c r="H1574" s="7" t="s">
        <v>3148</v>
      </c>
      <c r="I1574" s="9" t="s">
        <v>353</v>
      </c>
      <c r="J1574" s="88"/>
    </row>
    <row r="1575">
      <c r="A1575" s="42" t="s">
        <v>206</v>
      </c>
      <c r="B1575" s="43" t="s">
        <v>3149</v>
      </c>
      <c r="C1575" s="91">
        <v>45610.71806119213</v>
      </c>
      <c r="D1575" s="8"/>
      <c r="E1575" s="9" t="s">
        <v>206</v>
      </c>
      <c r="F1575" s="10"/>
      <c r="G1575" s="9" t="s">
        <v>220</v>
      </c>
      <c r="H1575" s="7" t="s">
        <v>3150</v>
      </c>
      <c r="I1575" s="9" t="s">
        <v>353</v>
      </c>
      <c r="J1575" s="88"/>
    </row>
    <row r="1576">
      <c r="A1576" s="42" t="s">
        <v>206</v>
      </c>
      <c r="B1576" s="43" t="s">
        <v>3151</v>
      </c>
      <c r="C1576" s="91">
        <v>45554.73303283565</v>
      </c>
      <c r="D1576" s="8"/>
      <c r="E1576" s="9" t="s">
        <v>88</v>
      </c>
      <c r="F1576" s="10"/>
      <c r="G1576" s="9" t="s">
        <v>21</v>
      </c>
      <c r="H1576" s="7" t="s">
        <v>3152</v>
      </c>
      <c r="I1576" s="9" t="s">
        <v>353</v>
      </c>
      <c r="J1576" s="88"/>
    </row>
    <row r="1577">
      <c r="A1577" s="20" t="s">
        <v>98</v>
      </c>
      <c r="B1577" s="9" t="s">
        <v>3153</v>
      </c>
      <c r="C1577" s="91">
        <v>45622.49560711806</v>
      </c>
      <c r="D1577" s="8">
        <f t="shared" ref="D1577:D1613" si="181">IFERROR(_xlfn.WORKDAY.INTL(C1577, 2),"-")</f>
        <v>45624</v>
      </c>
      <c r="E1577" s="9" t="s">
        <v>11</v>
      </c>
      <c r="F1577" s="10"/>
      <c r="G1577" s="9" t="s">
        <v>15</v>
      </c>
      <c r="H1577" s="7" t="s">
        <v>3154</v>
      </c>
      <c r="I1577" s="9" t="s">
        <v>353</v>
      </c>
      <c r="J1577" s="88"/>
    </row>
    <row r="1578">
      <c r="A1578" s="20" t="s">
        <v>98</v>
      </c>
      <c r="B1578" s="9" t="s">
        <v>3155</v>
      </c>
      <c r="C1578" s="91">
        <v>45635.62120112269</v>
      </c>
      <c r="D1578" s="8">
        <f t="shared" si="181"/>
        <v>45637</v>
      </c>
      <c r="E1578" s="9" t="s">
        <v>11</v>
      </c>
      <c r="F1578" s="10"/>
      <c r="G1578" s="9" t="s">
        <v>15</v>
      </c>
      <c r="H1578" s="7" t="s">
        <v>3120</v>
      </c>
      <c r="I1578" s="9" t="s">
        <v>353</v>
      </c>
      <c r="J1578" s="88"/>
    </row>
    <row r="1579">
      <c r="A1579" s="20" t="s">
        <v>98</v>
      </c>
      <c r="B1579" s="9" t="s">
        <v>3156</v>
      </c>
      <c r="C1579" s="91">
        <v>45636.56846548611</v>
      </c>
      <c r="D1579" s="8">
        <f t="shared" si="181"/>
        <v>45638</v>
      </c>
      <c r="E1579" s="9" t="s">
        <v>11</v>
      </c>
      <c r="F1579" s="10"/>
      <c r="G1579" s="9" t="s">
        <v>15</v>
      </c>
      <c r="H1579" s="7" t="s">
        <v>3157</v>
      </c>
      <c r="I1579" s="9" t="s">
        <v>353</v>
      </c>
      <c r="J1579" s="88"/>
    </row>
    <row r="1580">
      <c r="A1580" s="20" t="s">
        <v>98</v>
      </c>
      <c r="B1580" s="9" t="s">
        <v>3158</v>
      </c>
      <c r="C1580" s="91">
        <v>45635.62113457176</v>
      </c>
      <c r="D1580" s="8">
        <f t="shared" si="181"/>
        <v>45637</v>
      </c>
      <c r="E1580" s="9" t="s">
        <v>11</v>
      </c>
      <c r="F1580" s="10"/>
      <c r="G1580" s="9" t="s">
        <v>15</v>
      </c>
      <c r="H1580" s="7" t="s">
        <v>429</v>
      </c>
      <c r="I1580" s="9" t="s">
        <v>353</v>
      </c>
      <c r="J1580" s="88"/>
    </row>
    <row r="1581">
      <c r="A1581" s="6" t="s">
        <v>9</v>
      </c>
      <c r="B1581" s="7" t="s">
        <v>3159</v>
      </c>
      <c r="C1581" s="91">
        <v>45635.38282666667</v>
      </c>
      <c r="D1581" s="8">
        <f t="shared" si="181"/>
        <v>45637</v>
      </c>
      <c r="E1581" s="9" t="s">
        <v>11</v>
      </c>
      <c r="F1581" s="10"/>
      <c r="G1581" s="9" t="s">
        <v>15</v>
      </c>
      <c r="H1581" s="7" t="s">
        <v>3160</v>
      </c>
      <c r="I1581" s="9" t="s">
        <v>353</v>
      </c>
      <c r="J1581" s="88"/>
    </row>
    <row r="1582">
      <c r="A1582" s="20" t="s">
        <v>98</v>
      </c>
      <c r="B1582" s="9" t="s">
        <v>1706</v>
      </c>
      <c r="C1582" s="91">
        <v>45635.621037986115</v>
      </c>
      <c r="D1582" s="8">
        <f t="shared" si="181"/>
        <v>45637</v>
      </c>
      <c r="E1582" s="9" t="s">
        <v>11</v>
      </c>
      <c r="F1582" s="10"/>
      <c r="G1582" s="9" t="s">
        <v>15</v>
      </c>
      <c r="H1582" s="7" t="s">
        <v>3120</v>
      </c>
      <c r="I1582" s="9" t="s">
        <v>353</v>
      </c>
      <c r="J1582" s="88"/>
    </row>
    <row r="1583">
      <c r="A1583" s="20" t="s">
        <v>98</v>
      </c>
      <c r="B1583" s="9" t="s">
        <v>3161</v>
      </c>
      <c r="C1583" s="91">
        <v>45635.6210874074</v>
      </c>
      <c r="D1583" s="8">
        <f t="shared" si="181"/>
        <v>45637</v>
      </c>
      <c r="E1583" s="9" t="s">
        <v>11</v>
      </c>
      <c r="F1583" s="10"/>
      <c r="G1583" s="9" t="s">
        <v>15</v>
      </c>
      <c r="H1583" s="7" t="s">
        <v>3120</v>
      </c>
      <c r="I1583" s="9" t="s">
        <v>353</v>
      </c>
      <c r="J1583" s="88"/>
    </row>
    <row r="1584">
      <c r="A1584" s="20" t="s">
        <v>98</v>
      </c>
      <c r="B1584" s="9" t="s">
        <v>3162</v>
      </c>
      <c r="C1584" s="91">
        <v>45635.62121802084</v>
      </c>
      <c r="D1584" s="8">
        <f t="shared" si="181"/>
        <v>45637</v>
      </c>
      <c r="E1584" s="9" t="s">
        <v>11</v>
      </c>
      <c r="F1584" s="10"/>
      <c r="G1584" s="9" t="s">
        <v>15</v>
      </c>
      <c r="H1584" s="7" t="s">
        <v>429</v>
      </c>
      <c r="I1584" s="9" t="s">
        <v>353</v>
      </c>
      <c r="J1584" s="88"/>
    </row>
    <row r="1585">
      <c r="A1585" s="6" t="s">
        <v>9</v>
      </c>
      <c r="B1585" s="7" t="s">
        <v>3163</v>
      </c>
      <c r="C1585" s="91">
        <v>45632.43483460648</v>
      </c>
      <c r="D1585" s="8">
        <f t="shared" si="181"/>
        <v>45636</v>
      </c>
      <c r="E1585" s="9" t="s">
        <v>11</v>
      </c>
      <c r="F1585" s="10"/>
      <c r="G1585" s="9" t="s">
        <v>15</v>
      </c>
      <c r="H1585" s="7" t="s">
        <v>3164</v>
      </c>
      <c r="I1585" s="9" t="s">
        <v>353</v>
      </c>
      <c r="J1585" s="88"/>
    </row>
    <row r="1586">
      <c r="A1586" s="20" t="s">
        <v>98</v>
      </c>
      <c r="B1586" s="9" t="s">
        <v>3165</v>
      </c>
      <c r="C1586" s="91">
        <v>45628.730642766204</v>
      </c>
      <c r="D1586" s="8">
        <f t="shared" si="181"/>
        <v>45630</v>
      </c>
      <c r="E1586" s="9" t="s">
        <v>11</v>
      </c>
      <c r="F1586" s="10"/>
      <c r="G1586" s="9" t="s">
        <v>18</v>
      </c>
      <c r="H1586" s="7" t="s">
        <v>3166</v>
      </c>
      <c r="I1586" s="9" t="s">
        <v>353</v>
      </c>
      <c r="J1586" s="88"/>
    </row>
    <row r="1587">
      <c r="A1587" s="20" t="s">
        <v>98</v>
      </c>
      <c r="B1587" s="9" t="s">
        <v>3167</v>
      </c>
      <c r="C1587" s="91">
        <v>45628.41005767361</v>
      </c>
      <c r="D1587" s="8">
        <f t="shared" si="181"/>
        <v>45630</v>
      </c>
      <c r="E1587" s="9" t="s">
        <v>11</v>
      </c>
      <c r="F1587" s="10"/>
      <c r="G1587" s="9" t="s">
        <v>15</v>
      </c>
      <c r="H1587" s="7" t="s">
        <v>3168</v>
      </c>
      <c r="I1587" s="9" t="s">
        <v>353</v>
      </c>
      <c r="J1587" s="88"/>
    </row>
    <row r="1588">
      <c r="A1588" s="20" t="s">
        <v>98</v>
      </c>
      <c r="B1588" s="155" t="s">
        <v>1707</v>
      </c>
      <c r="C1588" s="91">
        <v>45632.376695439816</v>
      </c>
      <c r="D1588" s="8">
        <f t="shared" si="181"/>
        <v>45636</v>
      </c>
      <c r="E1588" s="9" t="s">
        <v>11</v>
      </c>
      <c r="F1588" s="10"/>
      <c r="G1588" s="9" t="s">
        <v>15</v>
      </c>
      <c r="H1588" s="7" t="s">
        <v>3169</v>
      </c>
      <c r="I1588" s="9" t="s">
        <v>353</v>
      </c>
      <c r="J1588" s="88"/>
    </row>
    <row r="1589">
      <c r="A1589" s="20" t="s">
        <v>98</v>
      </c>
      <c r="B1589" s="155" t="s">
        <v>3170</v>
      </c>
      <c r="C1589" s="91">
        <v>45632.37667457176</v>
      </c>
      <c r="D1589" s="8">
        <f t="shared" si="181"/>
        <v>45636</v>
      </c>
      <c r="E1589" s="9" t="s">
        <v>11</v>
      </c>
      <c r="F1589" s="10"/>
      <c r="G1589" s="9" t="s">
        <v>15</v>
      </c>
      <c r="H1589" s="7" t="s">
        <v>3171</v>
      </c>
      <c r="I1589" s="9" t="s">
        <v>353</v>
      </c>
      <c r="J1589" s="88"/>
    </row>
    <row r="1590">
      <c r="A1590" s="20" t="s">
        <v>98</v>
      </c>
      <c r="B1590" s="155" t="s">
        <v>3172</v>
      </c>
      <c r="C1590" s="91">
        <v>45632.376589120366</v>
      </c>
      <c r="D1590" s="8">
        <f t="shared" si="181"/>
        <v>45636</v>
      </c>
      <c r="E1590" s="9" t="s">
        <v>11</v>
      </c>
      <c r="F1590" s="10"/>
      <c r="G1590" s="9" t="s">
        <v>15</v>
      </c>
      <c r="H1590" s="7" t="s">
        <v>3171</v>
      </c>
      <c r="I1590" s="9" t="s">
        <v>353</v>
      </c>
      <c r="J1590" s="88"/>
    </row>
    <row r="1591">
      <c r="A1591" s="6" t="s">
        <v>9</v>
      </c>
      <c r="B1591" s="7" t="s">
        <v>3173</v>
      </c>
      <c r="C1591" s="91">
        <v>45621.401108171296</v>
      </c>
      <c r="D1591" s="8">
        <f t="shared" si="181"/>
        <v>45623</v>
      </c>
      <c r="E1591" s="9" t="s">
        <v>11</v>
      </c>
      <c r="F1591" s="10"/>
      <c r="G1591" s="9" t="s">
        <v>15</v>
      </c>
      <c r="H1591" s="7" t="s">
        <v>3174</v>
      </c>
      <c r="I1591" s="9" t="s">
        <v>353</v>
      </c>
      <c r="J1591" s="88"/>
    </row>
    <row r="1592">
      <c r="A1592" s="20" t="s">
        <v>98</v>
      </c>
      <c r="B1592" s="155" t="s">
        <v>3175</v>
      </c>
      <c r="C1592" s="91">
        <v>45632.376535625</v>
      </c>
      <c r="D1592" s="8">
        <f t="shared" si="181"/>
        <v>45636</v>
      </c>
      <c r="E1592" s="9" t="s">
        <v>11</v>
      </c>
      <c r="F1592" s="10"/>
      <c r="G1592" s="9" t="s">
        <v>15</v>
      </c>
      <c r="H1592" s="7" t="s">
        <v>3171</v>
      </c>
      <c r="I1592" s="9" t="s">
        <v>353</v>
      </c>
      <c r="J1592" s="88"/>
    </row>
    <row r="1593">
      <c r="A1593" s="20" t="s">
        <v>98</v>
      </c>
      <c r="B1593" s="9" t="s">
        <v>3176</v>
      </c>
      <c r="C1593" s="91">
        <v>45632.376848761574</v>
      </c>
      <c r="D1593" s="8">
        <f t="shared" si="181"/>
        <v>45636</v>
      </c>
      <c r="E1593" s="9" t="s">
        <v>11</v>
      </c>
      <c r="F1593" s="10"/>
      <c r="G1593" s="9" t="s">
        <v>15</v>
      </c>
      <c r="H1593" s="7" t="s">
        <v>3171</v>
      </c>
      <c r="I1593" s="9" t="s">
        <v>353</v>
      </c>
      <c r="J1593" s="88"/>
    </row>
    <row r="1594">
      <c r="A1594" s="20" t="s">
        <v>98</v>
      </c>
      <c r="B1594" s="9" t="s">
        <v>3177</v>
      </c>
      <c r="C1594" s="91">
        <v>45631.69244896991</v>
      </c>
      <c r="D1594" s="8">
        <f t="shared" si="181"/>
        <v>45635</v>
      </c>
      <c r="E1594" s="9" t="s">
        <v>11</v>
      </c>
      <c r="F1594" s="10"/>
      <c r="G1594" s="9" t="s">
        <v>15</v>
      </c>
      <c r="H1594" s="7" t="s">
        <v>3171</v>
      </c>
      <c r="I1594" s="9" t="s">
        <v>353</v>
      </c>
      <c r="J1594" s="88"/>
    </row>
    <row r="1595">
      <c r="A1595" s="20" t="s">
        <v>98</v>
      </c>
      <c r="B1595" s="9" t="s">
        <v>3178</v>
      </c>
      <c r="C1595" s="91">
        <v>45631.692369965276</v>
      </c>
      <c r="D1595" s="8">
        <f t="shared" si="181"/>
        <v>45635</v>
      </c>
      <c r="E1595" s="9" t="s">
        <v>11</v>
      </c>
      <c r="F1595" s="10"/>
      <c r="G1595" s="9" t="s">
        <v>15</v>
      </c>
      <c r="H1595" s="7" t="s">
        <v>3179</v>
      </c>
      <c r="I1595" s="9" t="s">
        <v>353</v>
      </c>
      <c r="J1595" s="88"/>
    </row>
    <row r="1596">
      <c r="A1596" s="6" t="s">
        <v>9</v>
      </c>
      <c r="B1596" s="7" t="s">
        <v>3180</v>
      </c>
      <c r="C1596" s="91">
        <v>45631.4096384375</v>
      </c>
      <c r="D1596" s="8">
        <f t="shared" si="181"/>
        <v>45635</v>
      </c>
      <c r="E1596" s="9" t="s">
        <v>11</v>
      </c>
      <c r="F1596" s="10"/>
      <c r="G1596" s="9" t="s">
        <v>15</v>
      </c>
      <c r="H1596" s="7" t="s">
        <v>3181</v>
      </c>
      <c r="I1596" s="9" t="s">
        <v>353</v>
      </c>
      <c r="J1596" s="88"/>
    </row>
    <row r="1597">
      <c r="A1597" s="20" t="s">
        <v>98</v>
      </c>
      <c r="B1597" s="9" t="s">
        <v>3182</v>
      </c>
      <c r="C1597" s="91">
        <v>45611.50025179399</v>
      </c>
      <c r="D1597" s="8">
        <f t="shared" si="181"/>
        <v>45615</v>
      </c>
      <c r="E1597" s="9" t="s">
        <v>11</v>
      </c>
      <c r="F1597" s="10"/>
      <c r="G1597" s="9" t="s">
        <v>15</v>
      </c>
      <c r="H1597" s="7" t="s">
        <v>3183</v>
      </c>
      <c r="I1597" s="9" t="s">
        <v>353</v>
      </c>
      <c r="J1597" s="88"/>
    </row>
    <row r="1598">
      <c r="A1598" s="6" t="s">
        <v>9</v>
      </c>
      <c r="B1598" s="7" t="s">
        <v>3184</v>
      </c>
      <c r="C1598" s="91">
        <v>45595.420417685185</v>
      </c>
      <c r="D1598" s="8">
        <f t="shared" si="181"/>
        <v>45597</v>
      </c>
      <c r="E1598" s="9" t="s">
        <v>11</v>
      </c>
      <c r="F1598" s="10"/>
      <c r="G1598" s="9" t="s">
        <v>18</v>
      </c>
      <c r="H1598" s="7" t="s">
        <v>3185</v>
      </c>
      <c r="I1598" s="9" t="s">
        <v>353</v>
      </c>
      <c r="J1598" s="88"/>
    </row>
    <row r="1599">
      <c r="A1599" s="20" t="s">
        <v>98</v>
      </c>
      <c r="B1599" s="9" t="s">
        <v>3186</v>
      </c>
      <c r="C1599" s="91">
        <v>45616.66848068287</v>
      </c>
      <c r="D1599" s="8">
        <f t="shared" si="181"/>
        <v>45618</v>
      </c>
      <c r="E1599" s="9" t="s">
        <v>11</v>
      </c>
      <c r="F1599" s="10"/>
      <c r="G1599" s="9" t="s">
        <v>15</v>
      </c>
      <c r="H1599" s="7" t="s">
        <v>3187</v>
      </c>
      <c r="I1599" s="9" t="s">
        <v>353</v>
      </c>
      <c r="J1599" s="88"/>
    </row>
    <row r="1600">
      <c r="A1600" s="6" t="s">
        <v>9</v>
      </c>
      <c r="B1600" s="7" t="s">
        <v>3188</v>
      </c>
      <c r="C1600" s="91">
        <v>45629.49739626158</v>
      </c>
      <c r="D1600" s="8">
        <f t="shared" si="181"/>
        <v>45631</v>
      </c>
      <c r="E1600" s="9" t="s">
        <v>11</v>
      </c>
      <c r="F1600" s="10"/>
      <c r="G1600" s="9" t="s">
        <v>15</v>
      </c>
      <c r="H1600" s="7" t="s">
        <v>3189</v>
      </c>
      <c r="I1600" s="9" t="s">
        <v>353</v>
      </c>
      <c r="J1600" s="88"/>
    </row>
    <row r="1601">
      <c r="A1601" s="20" t="s">
        <v>98</v>
      </c>
      <c r="B1601" s="9" t="s">
        <v>3190</v>
      </c>
      <c r="C1601" s="91">
        <v>45604.4919171875</v>
      </c>
      <c r="D1601" s="8">
        <f t="shared" si="181"/>
        <v>45608</v>
      </c>
      <c r="E1601" s="9" t="s">
        <v>11</v>
      </c>
      <c r="F1601" s="10"/>
      <c r="G1601" s="9" t="s">
        <v>15</v>
      </c>
      <c r="H1601" s="23" t="s">
        <v>3191</v>
      </c>
      <c r="I1601" s="9" t="s">
        <v>353</v>
      </c>
      <c r="J1601" s="88"/>
    </row>
    <row r="1602">
      <c r="A1602" s="6" t="s">
        <v>9</v>
      </c>
      <c r="B1602" s="7" t="s">
        <v>3192</v>
      </c>
      <c r="C1602" s="91">
        <v>45621.40051042824</v>
      </c>
      <c r="D1602" s="8">
        <f t="shared" si="181"/>
        <v>45623</v>
      </c>
      <c r="E1602" s="9" t="s">
        <v>11</v>
      </c>
      <c r="F1602" s="10"/>
      <c r="G1602" s="9" t="s">
        <v>15</v>
      </c>
      <c r="H1602" s="7" t="s">
        <v>3193</v>
      </c>
      <c r="I1602" s="9" t="s">
        <v>353</v>
      </c>
      <c r="J1602" s="88"/>
    </row>
    <row r="1603">
      <c r="A1603" s="20" t="s">
        <v>98</v>
      </c>
      <c r="B1603" s="9" t="s">
        <v>3194</v>
      </c>
      <c r="C1603" s="91">
        <v>45581.412669212965</v>
      </c>
      <c r="D1603" s="8">
        <f t="shared" si="181"/>
        <v>45583</v>
      </c>
      <c r="E1603" s="9" t="s">
        <v>11</v>
      </c>
      <c r="F1603" s="10"/>
      <c r="G1603" s="9" t="s">
        <v>18</v>
      </c>
      <c r="H1603" s="7" t="s">
        <v>3195</v>
      </c>
      <c r="I1603" s="9" t="s">
        <v>353</v>
      </c>
      <c r="J1603" s="88"/>
    </row>
    <row r="1604">
      <c r="A1604" s="20" t="s">
        <v>98</v>
      </c>
      <c r="B1604" s="9" t="s">
        <v>3196</v>
      </c>
      <c r="C1604" s="91">
        <v>45621.71879646991</v>
      </c>
      <c r="D1604" s="8">
        <f t="shared" si="181"/>
        <v>45623</v>
      </c>
      <c r="E1604" s="9" t="s">
        <v>11</v>
      </c>
      <c r="F1604" s="10"/>
      <c r="G1604" s="9" t="s">
        <v>15</v>
      </c>
      <c r="H1604" s="7" t="s">
        <v>3197</v>
      </c>
      <c r="I1604" s="9" t="s">
        <v>353</v>
      </c>
      <c r="J1604" s="88"/>
    </row>
    <row r="1605">
      <c r="A1605" s="6" t="s">
        <v>9</v>
      </c>
      <c r="B1605" s="7" t="s">
        <v>3198</v>
      </c>
      <c r="C1605" s="91">
        <v>45616.66331527778</v>
      </c>
      <c r="D1605" s="8">
        <f t="shared" si="181"/>
        <v>45618</v>
      </c>
      <c r="E1605" s="9" t="s">
        <v>11</v>
      </c>
      <c r="F1605" s="10"/>
      <c r="G1605" s="9" t="s">
        <v>15</v>
      </c>
      <c r="H1605" s="7" t="s">
        <v>3199</v>
      </c>
      <c r="I1605" s="9" t="s">
        <v>353</v>
      </c>
      <c r="J1605" s="88"/>
    </row>
    <row r="1606">
      <c r="A1606" s="20" t="s">
        <v>98</v>
      </c>
      <c r="B1606" s="9" t="s">
        <v>3200</v>
      </c>
      <c r="C1606" s="91">
        <v>45602.61810380787</v>
      </c>
      <c r="D1606" s="8">
        <f t="shared" si="181"/>
        <v>45604</v>
      </c>
      <c r="E1606" s="9" t="s">
        <v>11</v>
      </c>
      <c r="F1606" s="10"/>
      <c r="G1606" s="9" t="s">
        <v>15</v>
      </c>
      <c r="H1606" s="7" t="s">
        <v>3201</v>
      </c>
      <c r="I1606" s="9" t="s">
        <v>353</v>
      </c>
      <c r="J1606" s="88"/>
    </row>
    <row r="1607">
      <c r="A1607" s="6" t="s">
        <v>9</v>
      </c>
      <c r="B1607" s="7" t="s">
        <v>3202</v>
      </c>
      <c r="C1607" s="91">
        <v>45625.416797604164</v>
      </c>
      <c r="D1607" s="8">
        <f t="shared" si="181"/>
        <v>45629</v>
      </c>
      <c r="E1607" s="9" t="s">
        <v>11</v>
      </c>
      <c r="F1607" s="10"/>
      <c r="G1607" s="9" t="s">
        <v>15</v>
      </c>
      <c r="H1607" s="7" t="s">
        <v>3203</v>
      </c>
      <c r="I1607" s="9" t="s">
        <v>353</v>
      </c>
      <c r="J1607" s="88"/>
    </row>
    <row r="1608">
      <c r="A1608" s="20" t="s">
        <v>98</v>
      </c>
      <c r="B1608" s="9" t="s">
        <v>3204</v>
      </c>
      <c r="C1608" s="91">
        <v>45625.3819171412</v>
      </c>
      <c r="D1608" s="8">
        <f t="shared" si="181"/>
        <v>45629</v>
      </c>
      <c r="E1608" s="9" t="s">
        <v>11</v>
      </c>
      <c r="F1608" s="10"/>
      <c r="G1608" s="9" t="s">
        <v>18</v>
      </c>
      <c r="H1608" s="7" t="s">
        <v>3205</v>
      </c>
      <c r="I1608" s="9" t="s">
        <v>353</v>
      </c>
      <c r="J1608" s="88"/>
    </row>
    <row r="1609">
      <c r="A1609" s="54" t="s">
        <v>236</v>
      </c>
      <c r="B1609" s="7" t="s">
        <v>3206</v>
      </c>
      <c r="C1609" s="91">
        <v>45621.40275028935</v>
      </c>
      <c r="D1609" s="8">
        <f t="shared" si="181"/>
        <v>45623</v>
      </c>
      <c r="E1609" s="9" t="s">
        <v>11</v>
      </c>
      <c r="F1609" s="10"/>
      <c r="G1609" s="9" t="s">
        <v>18</v>
      </c>
      <c r="H1609" s="7" t="s">
        <v>3207</v>
      </c>
      <c r="I1609" s="9" t="s">
        <v>353</v>
      </c>
      <c r="J1609" s="88"/>
    </row>
    <row r="1610">
      <c r="A1610" s="6" t="s">
        <v>9</v>
      </c>
      <c r="B1610" s="7" t="s">
        <v>2869</v>
      </c>
      <c r="C1610" s="91">
        <v>45593.63668950232</v>
      </c>
      <c r="D1610" s="8">
        <f t="shared" si="181"/>
        <v>45595</v>
      </c>
      <c r="E1610" s="9" t="s">
        <v>11</v>
      </c>
      <c r="F1610" s="10"/>
      <c r="G1610" s="9" t="s">
        <v>18</v>
      </c>
      <c r="H1610" s="7" t="s">
        <v>3208</v>
      </c>
      <c r="I1610" s="9" t="s">
        <v>353</v>
      </c>
      <c r="J1610" s="88"/>
    </row>
    <row r="1611">
      <c r="A1611" s="20" t="s">
        <v>98</v>
      </c>
      <c r="B1611" s="9" t="s">
        <v>3209</v>
      </c>
      <c r="C1611" s="91">
        <v>45610.795213460646</v>
      </c>
      <c r="D1611" s="8">
        <f t="shared" si="181"/>
        <v>45614</v>
      </c>
      <c r="E1611" s="9" t="s">
        <v>11</v>
      </c>
      <c r="F1611" s="10"/>
      <c r="G1611" s="9" t="s">
        <v>18</v>
      </c>
      <c r="H1611" s="7" t="s">
        <v>3210</v>
      </c>
      <c r="I1611" s="9" t="s">
        <v>353</v>
      </c>
      <c r="J1611" s="88"/>
    </row>
    <row r="1612">
      <c r="A1612" s="20" t="s">
        <v>98</v>
      </c>
      <c r="B1612" s="9" t="s">
        <v>3211</v>
      </c>
      <c r="C1612" s="91">
        <v>45531.50593211806</v>
      </c>
      <c r="D1612" s="8">
        <f t="shared" si="181"/>
        <v>45533</v>
      </c>
      <c r="E1612" s="9" t="s">
        <v>206</v>
      </c>
      <c r="F1612" s="10"/>
      <c r="G1612" s="9" t="s">
        <v>15</v>
      </c>
      <c r="H1612" s="156" t="s">
        <v>3212</v>
      </c>
      <c r="I1612" s="9" t="s">
        <v>353</v>
      </c>
      <c r="J1612" s="88"/>
    </row>
    <row r="1613">
      <c r="A1613" s="20" t="s">
        <v>98</v>
      </c>
      <c r="B1613" s="9" t="s">
        <v>3213</v>
      </c>
      <c r="C1613" s="91">
        <v>45622.538373564814</v>
      </c>
      <c r="D1613" s="8">
        <f t="shared" si="181"/>
        <v>45624</v>
      </c>
      <c r="E1613" s="9" t="s">
        <v>11</v>
      </c>
      <c r="F1613" s="10"/>
      <c r="G1613" s="9" t="s">
        <v>15</v>
      </c>
      <c r="H1613" s="7" t="s">
        <v>3214</v>
      </c>
      <c r="I1613" s="9" t="s">
        <v>353</v>
      </c>
      <c r="J1613" s="88"/>
    </row>
    <row r="1614">
      <c r="A1614" s="42" t="s">
        <v>206</v>
      </c>
      <c r="B1614" s="43" t="s">
        <v>3215</v>
      </c>
      <c r="C1614" s="91">
        <v>45623.618235752314</v>
      </c>
      <c r="D1614" s="8"/>
      <c r="E1614" s="9"/>
      <c r="F1614" s="10"/>
      <c r="G1614" s="9"/>
      <c r="H1614" s="11"/>
      <c r="I1614" s="9" t="s">
        <v>353</v>
      </c>
      <c r="J1614" s="88"/>
    </row>
    <row r="1615">
      <c r="A1615" s="42" t="s">
        <v>206</v>
      </c>
      <c r="B1615" s="45" t="s">
        <v>3216</v>
      </c>
      <c r="C1615" s="91">
        <v>45610.71763525463</v>
      </c>
      <c r="D1615" s="8"/>
      <c r="E1615" s="9" t="s">
        <v>216</v>
      </c>
      <c r="F1615" s="10"/>
      <c r="G1615" s="9" t="s">
        <v>15</v>
      </c>
      <c r="H1615" s="154" t="s">
        <v>3126</v>
      </c>
      <c r="I1615" s="9" t="s">
        <v>353</v>
      </c>
      <c r="J1615" s="88"/>
    </row>
    <row r="1616">
      <c r="A1616" s="42" t="s">
        <v>206</v>
      </c>
      <c r="B1616" s="43" t="s">
        <v>3217</v>
      </c>
      <c r="C1616" s="91">
        <v>45610.71825452546</v>
      </c>
      <c r="D1616" s="8"/>
      <c r="E1616" s="9" t="s">
        <v>206</v>
      </c>
      <c r="F1616" s="10"/>
      <c r="G1616" s="9" t="s">
        <v>220</v>
      </c>
      <c r="H1616" s="7" t="s">
        <v>3218</v>
      </c>
      <c r="I1616" s="9" t="s">
        <v>353</v>
      </c>
      <c r="J1616" s="88"/>
    </row>
    <row r="1617">
      <c r="A1617" s="42" t="s">
        <v>206</v>
      </c>
      <c r="B1617" s="43" t="s">
        <v>3219</v>
      </c>
      <c r="C1617" s="91">
        <v>45617.720199675925</v>
      </c>
      <c r="D1617" s="8"/>
      <c r="E1617" s="9" t="s">
        <v>88</v>
      </c>
      <c r="F1617" s="10"/>
      <c r="G1617" s="9" t="s">
        <v>220</v>
      </c>
      <c r="H1617" s="7" t="s">
        <v>3220</v>
      </c>
      <c r="I1617" s="9" t="s">
        <v>353</v>
      </c>
      <c r="J1617" s="88"/>
    </row>
    <row r="1618">
      <c r="A1618" s="42" t="s">
        <v>206</v>
      </c>
      <c r="B1618" s="157" t="s">
        <v>3221</v>
      </c>
      <c r="C1618" s="91">
        <v>45616.66026203704</v>
      </c>
      <c r="D1618" s="8"/>
      <c r="E1618" s="9" t="s">
        <v>216</v>
      </c>
      <c r="F1618" s="10"/>
      <c r="G1618" s="9" t="s">
        <v>18</v>
      </c>
      <c r="H1618" s="11"/>
      <c r="I1618" s="9" t="s">
        <v>353</v>
      </c>
      <c r="J1618" s="88"/>
    </row>
    <row r="1619">
      <c r="A1619" s="20" t="s">
        <v>98</v>
      </c>
      <c r="B1619" s="9" t="s">
        <v>3222</v>
      </c>
      <c r="C1619" s="91">
        <v>45623.474157777775</v>
      </c>
      <c r="D1619" s="8">
        <f t="shared" ref="D1619:D1630" si="182">IFERROR(_xlfn.WORKDAY.INTL(C1619, 2),"-")</f>
        <v>45625</v>
      </c>
      <c r="E1619" s="9" t="s">
        <v>11</v>
      </c>
      <c r="F1619" s="10"/>
      <c r="G1619" s="9" t="s">
        <v>15</v>
      </c>
      <c r="H1619" s="7" t="s">
        <v>3223</v>
      </c>
      <c r="I1619" s="9" t="s">
        <v>353</v>
      </c>
      <c r="J1619" s="88"/>
    </row>
    <row r="1620">
      <c r="A1620" s="6" t="s">
        <v>9</v>
      </c>
      <c r="B1620" s="7" t="s">
        <v>3224</v>
      </c>
      <c r="C1620" s="91">
        <v>45504.612187418985</v>
      </c>
      <c r="D1620" s="8">
        <f t="shared" si="182"/>
        <v>45506</v>
      </c>
      <c r="E1620" s="9" t="s">
        <v>11</v>
      </c>
      <c r="F1620" s="10"/>
      <c r="G1620" s="9" t="s">
        <v>15</v>
      </c>
      <c r="H1620" s="7" t="s">
        <v>3225</v>
      </c>
      <c r="I1620" s="9" t="s">
        <v>353</v>
      </c>
      <c r="J1620" s="88"/>
    </row>
    <row r="1621">
      <c r="A1621" s="20" t="s">
        <v>98</v>
      </c>
      <c r="B1621" s="9" t="s">
        <v>3226</v>
      </c>
      <c r="C1621" s="91">
        <v>45609.37734929398</v>
      </c>
      <c r="D1621" s="8">
        <f t="shared" si="182"/>
        <v>45611</v>
      </c>
      <c r="E1621" s="9" t="s">
        <v>11</v>
      </c>
      <c r="F1621" s="10"/>
      <c r="G1621" s="9" t="s">
        <v>18</v>
      </c>
      <c r="H1621" s="22" t="s">
        <v>3227</v>
      </c>
      <c r="I1621" s="9" t="s">
        <v>353</v>
      </c>
      <c r="J1621" s="88"/>
    </row>
    <row r="1622">
      <c r="A1622" s="6" t="s">
        <v>9</v>
      </c>
      <c r="B1622" s="7" t="s">
        <v>3228</v>
      </c>
      <c r="C1622" s="91">
        <v>45621.40016466435</v>
      </c>
      <c r="D1622" s="8">
        <f t="shared" si="182"/>
        <v>45623</v>
      </c>
      <c r="E1622" s="9" t="s">
        <v>11</v>
      </c>
      <c r="F1622" s="10"/>
      <c r="G1622" s="9" t="s">
        <v>15</v>
      </c>
      <c r="H1622" s="7" t="s">
        <v>3229</v>
      </c>
      <c r="I1622" s="9" t="s">
        <v>353</v>
      </c>
      <c r="J1622" s="88"/>
    </row>
    <row r="1623">
      <c r="A1623" s="20" t="s">
        <v>98</v>
      </c>
      <c r="B1623" s="9" t="s">
        <v>3230</v>
      </c>
      <c r="C1623" s="91">
        <v>45617.644165474536</v>
      </c>
      <c r="D1623" s="8">
        <f t="shared" si="182"/>
        <v>45621</v>
      </c>
      <c r="E1623" s="9" t="s">
        <v>11</v>
      </c>
      <c r="F1623" s="10"/>
      <c r="G1623" s="9" t="s">
        <v>18</v>
      </c>
      <c r="H1623" s="7" t="s">
        <v>3231</v>
      </c>
      <c r="I1623" s="9" t="s">
        <v>353</v>
      </c>
      <c r="J1623" s="88"/>
    </row>
    <row r="1624">
      <c r="A1624" s="54" t="s">
        <v>236</v>
      </c>
      <c r="B1624" s="7" t="s">
        <v>3232</v>
      </c>
      <c r="C1624" s="91">
        <v>45617.41638351852</v>
      </c>
      <c r="D1624" s="8">
        <f t="shared" si="182"/>
        <v>45621</v>
      </c>
      <c r="E1624" s="9" t="s">
        <v>11</v>
      </c>
      <c r="F1624" s="10"/>
      <c r="G1624" s="9" t="s">
        <v>15</v>
      </c>
      <c r="H1624" s="7" t="s">
        <v>3233</v>
      </c>
      <c r="I1624" s="9" t="s">
        <v>353</v>
      </c>
      <c r="J1624" s="88"/>
    </row>
    <row r="1625">
      <c r="A1625" s="54" t="s">
        <v>236</v>
      </c>
      <c r="B1625" s="7" t="s">
        <v>3234</v>
      </c>
      <c r="C1625" s="91">
        <v>45617.41698328704</v>
      </c>
      <c r="D1625" s="8">
        <f t="shared" si="182"/>
        <v>45621</v>
      </c>
      <c r="E1625" s="9" t="s">
        <v>11</v>
      </c>
      <c r="F1625" s="10"/>
      <c r="G1625" s="9" t="s">
        <v>220</v>
      </c>
      <c r="H1625" s="7" t="s">
        <v>3235</v>
      </c>
      <c r="I1625" s="9" t="s">
        <v>353</v>
      </c>
      <c r="J1625" s="88"/>
    </row>
    <row r="1626">
      <c r="A1626" s="54" t="s">
        <v>236</v>
      </c>
      <c r="B1626" s="7" t="s">
        <v>3236</v>
      </c>
      <c r="C1626" s="91">
        <v>45587.642755231485</v>
      </c>
      <c r="D1626" s="8">
        <f t="shared" si="182"/>
        <v>45589</v>
      </c>
      <c r="E1626" s="9" t="s">
        <v>11</v>
      </c>
      <c r="F1626" s="10"/>
      <c r="G1626" s="9" t="s">
        <v>18</v>
      </c>
      <c r="H1626" s="7" t="s">
        <v>3237</v>
      </c>
      <c r="I1626" s="9" t="s">
        <v>353</v>
      </c>
      <c r="J1626" s="88"/>
    </row>
    <row r="1627">
      <c r="A1627" s="6" t="s">
        <v>9</v>
      </c>
      <c r="B1627" s="7" t="s">
        <v>3238</v>
      </c>
      <c r="C1627" s="91">
        <v>45406.668792453704</v>
      </c>
      <c r="D1627" s="8">
        <f t="shared" si="182"/>
        <v>45408</v>
      </c>
      <c r="E1627" s="9" t="s">
        <v>88</v>
      </c>
      <c r="F1627" s="10"/>
      <c r="G1627" s="9" t="s">
        <v>18</v>
      </c>
      <c r="H1627" s="7" t="s">
        <v>3239</v>
      </c>
      <c r="I1627" s="9" t="s">
        <v>353</v>
      </c>
      <c r="J1627" s="88"/>
    </row>
    <row r="1628">
      <c r="A1628" s="6" t="s">
        <v>9</v>
      </c>
      <c r="B1628" s="7" t="s">
        <v>3240</v>
      </c>
      <c r="C1628" s="91">
        <v>45617.69640444445</v>
      </c>
      <c r="D1628" s="8">
        <f t="shared" si="182"/>
        <v>45621</v>
      </c>
      <c r="E1628" s="9" t="s">
        <v>11</v>
      </c>
      <c r="F1628" s="10"/>
      <c r="G1628" s="9" t="s">
        <v>18</v>
      </c>
      <c r="H1628" s="7" t="s">
        <v>3241</v>
      </c>
      <c r="I1628" s="9" t="s">
        <v>353</v>
      </c>
      <c r="J1628" s="88"/>
    </row>
    <row r="1629">
      <c r="A1629" s="6" t="s">
        <v>9</v>
      </c>
      <c r="B1629" s="7" t="s">
        <v>3242</v>
      </c>
      <c r="C1629" s="91">
        <v>45617.70265446759</v>
      </c>
      <c r="D1629" s="8">
        <f t="shared" si="182"/>
        <v>45621</v>
      </c>
      <c r="E1629" s="9" t="s">
        <v>11</v>
      </c>
      <c r="F1629" s="10"/>
      <c r="G1629" s="9" t="s">
        <v>18</v>
      </c>
      <c r="H1629" s="7" t="s">
        <v>3241</v>
      </c>
      <c r="I1629" s="9" t="s">
        <v>353</v>
      </c>
      <c r="J1629" s="88"/>
    </row>
    <row r="1630">
      <c r="A1630" s="6" t="s">
        <v>9</v>
      </c>
      <c r="B1630" s="7" t="s">
        <v>3243</v>
      </c>
      <c r="C1630" s="91">
        <v>45461.34005200231</v>
      </c>
      <c r="D1630" s="8">
        <f t="shared" si="182"/>
        <v>45463</v>
      </c>
      <c r="E1630" s="9" t="s">
        <v>11</v>
      </c>
      <c r="F1630" s="71"/>
      <c r="G1630" s="9" t="s">
        <v>18</v>
      </c>
      <c r="H1630" s="7" t="s">
        <v>3244</v>
      </c>
      <c r="I1630" s="9" t="s">
        <v>353</v>
      </c>
      <c r="J1630" s="88"/>
    </row>
    <row r="1631">
      <c r="A1631" s="42" t="s">
        <v>206</v>
      </c>
      <c r="B1631" s="45" t="s">
        <v>3245</v>
      </c>
      <c r="C1631" s="91">
        <v>45614.48904256945</v>
      </c>
      <c r="D1631" s="8"/>
      <c r="E1631" s="9" t="s">
        <v>216</v>
      </c>
      <c r="F1631" s="10"/>
      <c r="G1631" s="9" t="s">
        <v>15</v>
      </c>
      <c r="H1631" s="7" t="s">
        <v>3246</v>
      </c>
      <c r="I1631" s="9" t="s">
        <v>353</v>
      </c>
      <c r="J1631" s="88"/>
    </row>
    <row r="1632">
      <c r="A1632" s="42" t="s">
        <v>206</v>
      </c>
      <c r="B1632" s="45" t="s">
        <v>3247</v>
      </c>
      <c r="C1632" s="91">
        <v>45616.661377199074</v>
      </c>
      <c r="D1632" s="8"/>
      <c r="E1632" s="9" t="s">
        <v>216</v>
      </c>
      <c r="F1632" s="10"/>
      <c r="G1632" s="9" t="s">
        <v>15</v>
      </c>
      <c r="H1632" s="7" t="s">
        <v>3248</v>
      </c>
      <c r="I1632" s="9" t="s">
        <v>353</v>
      </c>
      <c r="J1632" s="88"/>
    </row>
    <row r="1633">
      <c r="A1633" s="42" t="s">
        <v>206</v>
      </c>
      <c r="B1633" s="43" t="s">
        <v>3249</v>
      </c>
      <c r="C1633" s="91">
        <v>45615.41058645833</v>
      </c>
      <c r="D1633" s="8"/>
      <c r="E1633" s="9" t="s">
        <v>206</v>
      </c>
      <c r="F1633" s="10"/>
      <c r="G1633" s="9" t="s">
        <v>220</v>
      </c>
      <c r="H1633" s="7" t="s">
        <v>3250</v>
      </c>
      <c r="I1633" s="9" t="s">
        <v>353</v>
      </c>
      <c r="J1633" s="88"/>
    </row>
    <row r="1634">
      <c r="A1634" s="42" t="s">
        <v>206</v>
      </c>
      <c r="B1634" s="45" t="s">
        <v>3251</v>
      </c>
      <c r="C1634" s="91">
        <v>45610.71921885417</v>
      </c>
      <c r="D1634" s="8"/>
      <c r="E1634" s="9" t="s">
        <v>216</v>
      </c>
      <c r="F1634" s="10"/>
      <c r="G1634" s="9" t="s">
        <v>15</v>
      </c>
      <c r="H1634" s="7" t="s">
        <v>3252</v>
      </c>
      <c r="I1634" s="9" t="s">
        <v>353</v>
      </c>
      <c r="J1634" s="88"/>
    </row>
    <row r="1635">
      <c r="A1635" s="42" t="s">
        <v>206</v>
      </c>
      <c r="B1635" s="45" t="s">
        <v>3253</v>
      </c>
      <c r="C1635" s="91">
        <v>45610.71880811342</v>
      </c>
      <c r="D1635" s="8"/>
      <c r="E1635" s="9" t="s">
        <v>216</v>
      </c>
      <c r="F1635" s="10"/>
      <c r="G1635" s="9" t="s">
        <v>15</v>
      </c>
      <c r="H1635" s="7" t="s">
        <v>3254</v>
      </c>
      <c r="I1635" s="9" t="s">
        <v>353</v>
      </c>
      <c r="J1635" s="88"/>
    </row>
    <row r="1636">
      <c r="A1636" s="54" t="s">
        <v>236</v>
      </c>
      <c r="B1636" s="7" t="s">
        <v>3255</v>
      </c>
      <c r="C1636" s="91">
        <v>45603.703865856485</v>
      </c>
      <c r="D1636" s="8">
        <f t="shared" ref="D1636:D1642" si="183">IFERROR(_xlfn.WORKDAY.INTL(C1636, 2),"-")</f>
        <v>45607</v>
      </c>
      <c r="E1636" s="9" t="s">
        <v>11</v>
      </c>
      <c r="F1636" s="10"/>
      <c r="G1636" s="9"/>
      <c r="H1636" s="7" t="s">
        <v>3256</v>
      </c>
      <c r="I1636" s="9" t="s">
        <v>353</v>
      </c>
      <c r="J1636" s="88"/>
    </row>
    <row r="1637">
      <c r="A1637" s="20" t="s">
        <v>98</v>
      </c>
      <c r="B1637" s="9" t="s">
        <v>3257</v>
      </c>
      <c r="C1637" s="91">
        <v>45587.5213821412</v>
      </c>
      <c r="D1637" s="8">
        <f t="shared" si="183"/>
        <v>45589</v>
      </c>
      <c r="E1637" s="9" t="s">
        <v>11</v>
      </c>
      <c r="F1637" s="10"/>
      <c r="G1637" s="9" t="s">
        <v>15</v>
      </c>
      <c r="H1637" s="7" t="s">
        <v>3258</v>
      </c>
      <c r="I1637" s="9" t="s">
        <v>353</v>
      </c>
      <c r="J1637" s="88"/>
    </row>
    <row r="1638">
      <c r="A1638" s="20" t="s">
        <v>98</v>
      </c>
      <c r="B1638" s="9" t="s">
        <v>3259</v>
      </c>
      <c r="C1638" s="91">
        <v>45544.46576277778</v>
      </c>
      <c r="D1638" s="8">
        <f t="shared" si="183"/>
        <v>45546</v>
      </c>
      <c r="E1638" s="9" t="s">
        <v>88</v>
      </c>
      <c r="F1638" s="10"/>
      <c r="G1638" s="9" t="s">
        <v>18</v>
      </c>
      <c r="H1638" s="7" t="s">
        <v>3260</v>
      </c>
      <c r="I1638" s="9" t="s">
        <v>353</v>
      </c>
      <c r="J1638" s="88"/>
    </row>
    <row r="1639">
      <c r="A1639" s="20" t="s">
        <v>98</v>
      </c>
      <c r="B1639" s="9" t="s">
        <v>3261</v>
      </c>
      <c r="C1639" s="91">
        <v>45601.49306085648</v>
      </c>
      <c r="D1639" s="8">
        <f t="shared" si="183"/>
        <v>45603</v>
      </c>
      <c r="E1639" s="9" t="s">
        <v>11</v>
      </c>
      <c r="F1639" s="10"/>
      <c r="G1639" s="9" t="s">
        <v>15</v>
      </c>
      <c r="H1639" s="7" t="s">
        <v>3262</v>
      </c>
      <c r="I1639" s="9" t="s">
        <v>353</v>
      </c>
      <c r="J1639" s="88"/>
    </row>
    <row r="1640">
      <c r="A1640" s="20" t="s">
        <v>98</v>
      </c>
      <c r="B1640" s="9" t="s">
        <v>3263</v>
      </c>
      <c r="C1640" s="91">
        <v>45559.49055104167</v>
      </c>
      <c r="D1640" s="8">
        <f t="shared" si="183"/>
        <v>45561</v>
      </c>
      <c r="E1640" s="9" t="s">
        <v>11</v>
      </c>
      <c r="F1640" s="10"/>
      <c r="G1640" s="9" t="s">
        <v>15</v>
      </c>
      <c r="H1640" s="23" t="s">
        <v>3264</v>
      </c>
      <c r="I1640" s="9" t="s">
        <v>353</v>
      </c>
      <c r="J1640" s="88"/>
    </row>
    <row r="1641">
      <c r="A1641" s="20" t="s">
        <v>98</v>
      </c>
      <c r="B1641" s="9" t="s">
        <v>3265</v>
      </c>
      <c r="C1641" s="91">
        <v>45569.43995629629</v>
      </c>
      <c r="D1641" s="8">
        <f t="shared" si="183"/>
        <v>45573</v>
      </c>
      <c r="E1641" s="9" t="s">
        <v>11</v>
      </c>
      <c r="F1641" s="10"/>
      <c r="G1641" s="9" t="s">
        <v>15</v>
      </c>
      <c r="H1641" s="23" t="s">
        <v>3266</v>
      </c>
      <c r="I1641" s="9" t="s">
        <v>353</v>
      </c>
      <c r="J1641" s="88"/>
    </row>
    <row r="1642">
      <c r="A1642" s="54" t="s">
        <v>236</v>
      </c>
      <c r="B1642" s="7" t="s">
        <v>3267</v>
      </c>
      <c r="C1642" s="91">
        <v>45617.41735152778</v>
      </c>
      <c r="D1642" s="8">
        <f t="shared" si="183"/>
        <v>45621</v>
      </c>
      <c r="E1642" s="9" t="s">
        <v>11</v>
      </c>
      <c r="F1642" s="10"/>
      <c r="G1642" s="9" t="s">
        <v>18</v>
      </c>
      <c r="H1642" s="7" t="s">
        <v>3268</v>
      </c>
      <c r="I1642" s="9" t="s">
        <v>353</v>
      </c>
      <c r="J1642" s="88"/>
    </row>
    <row r="1643">
      <c r="A1643" s="42" t="s">
        <v>206</v>
      </c>
      <c r="B1643" s="45" t="s">
        <v>3269</v>
      </c>
      <c r="C1643" s="91">
        <v>45610.71788512732</v>
      </c>
      <c r="D1643" s="8"/>
      <c r="E1643" s="9" t="s">
        <v>216</v>
      </c>
      <c r="F1643" s="10"/>
      <c r="G1643" s="9" t="s">
        <v>18</v>
      </c>
      <c r="H1643" s="158" t="s">
        <v>3270</v>
      </c>
      <c r="I1643" s="9" t="s">
        <v>353</v>
      </c>
      <c r="J1643" s="88"/>
    </row>
    <row r="1644">
      <c r="A1644" s="42" t="s">
        <v>206</v>
      </c>
      <c r="B1644" s="45" t="s">
        <v>3271</v>
      </c>
      <c r="C1644" s="91">
        <v>45616.660987118055</v>
      </c>
      <c r="D1644" s="8"/>
      <c r="E1644" s="9" t="s">
        <v>206</v>
      </c>
      <c r="F1644" s="10"/>
      <c r="G1644" s="9" t="s">
        <v>18</v>
      </c>
      <c r="H1644" s="7" t="s">
        <v>437</v>
      </c>
      <c r="I1644" s="9" t="s">
        <v>353</v>
      </c>
      <c r="J1644" s="88"/>
    </row>
    <row r="1645">
      <c r="A1645" s="20" t="s">
        <v>98</v>
      </c>
      <c r="B1645" s="9" t="s">
        <v>3272</v>
      </c>
      <c r="C1645" s="91">
        <v>45609.74904466435</v>
      </c>
      <c r="D1645" s="8">
        <f t="shared" ref="D1645:D1647" si="184">IFERROR(_xlfn.WORKDAY.INTL(C1645, 2),"-")</f>
        <v>45611</v>
      </c>
      <c r="E1645" s="9" t="s">
        <v>11</v>
      </c>
      <c r="F1645" s="10"/>
      <c r="G1645" s="9" t="s">
        <v>18</v>
      </c>
      <c r="H1645" s="23" t="s">
        <v>3273</v>
      </c>
      <c r="I1645" s="9" t="s">
        <v>353</v>
      </c>
      <c r="J1645" s="88"/>
    </row>
    <row r="1646">
      <c r="A1646" s="20" t="s">
        <v>98</v>
      </c>
      <c r="B1646" s="9" t="s">
        <v>3274</v>
      </c>
      <c r="C1646" s="91">
        <v>45617.70309540509</v>
      </c>
      <c r="D1646" s="8">
        <f t="shared" si="184"/>
        <v>45621</v>
      </c>
      <c r="E1646" s="9" t="s">
        <v>11</v>
      </c>
      <c r="F1646" s="10"/>
      <c r="G1646" s="9" t="s">
        <v>15</v>
      </c>
      <c r="H1646" s="7" t="s">
        <v>650</v>
      </c>
      <c r="I1646" s="9" t="s">
        <v>353</v>
      </c>
      <c r="J1646" s="88"/>
    </row>
    <row r="1647">
      <c r="A1647" s="20" t="s">
        <v>98</v>
      </c>
      <c r="B1647" s="9" t="s">
        <v>3275</v>
      </c>
      <c r="C1647" s="91">
        <v>45610.51805976852</v>
      </c>
      <c r="D1647" s="8">
        <f t="shared" si="184"/>
        <v>45614</v>
      </c>
      <c r="E1647" s="9" t="s">
        <v>11</v>
      </c>
      <c r="F1647" s="10"/>
      <c r="G1647" s="9" t="s">
        <v>15</v>
      </c>
      <c r="H1647" s="7" t="s">
        <v>3276</v>
      </c>
      <c r="I1647" s="9" t="s">
        <v>353</v>
      </c>
      <c r="J1647" s="88"/>
    </row>
    <row r="1648">
      <c r="A1648" s="42" t="s">
        <v>206</v>
      </c>
      <c r="B1648" s="43" t="s">
        <v>3277</v>
      </c>
      <c r="C1648" s="91">
        <v>45610.71831978009</v>
      </c>
      <c r="D1648" s="8"/>
      <c r="E1648" s="9" t="s">
        <v>206</v>
      </c>
      <c r="F1648" s="10"/>
      <c r="G1648" s="9" t="s">
        <v>15</v>
      </c>
      <c r="H1648" s="7" t="s">
        <v>3278</v>
      </c>
      <c r="I1648" s="9" t="s">
        <v>353</v>
      </c>
      <c r="J1648" s="88"/>
    </row>
    <row r="1649">
      <c r="A1649" s="42" t="s">
        <v>206</v>
      </c>
      <c r="B1649" s="43" t="s">
        <v>3279</v>
      </c>
      <c r="C1649" s="91">
        <v>45610.71806331018</v>
      </c>
      <c r="D1649" s="8"/>
      <c r="E1649" s="9" t="s">
        <v>206</v>
      </c>
      <c r="F1649" s="10"/>
      <c r="G1649" s="9" t="s">
        <v>15</v>
      </c>
      <c r="H1649" s="7" t="s">
        <v>437</v>
      </c>
      <c r="I1649" s="9" t="s">
        <v>353</v>
      </c>
      <c r="J1649" s="88"/>
    </row>
    <row r="1650">
      <c r="A1650" s="42" t="s">
        <v>206</v>
      </c>
      <c r="B1650" s="45" t="s">
        <v>3280</v>
      </c>
      <c r="C1650" s="91">
        <v>45610.71909186343</v>
      </c>
      <c r="D1650" s="8"/>
      <c r="E1650" s="9" t="s">
        <v>216</v>
      </c>
      <c r="F1650" s="10"/>
      <c r="G1650" s="9" t="s">
        <v>15</v>
      </c>
      <c r="H1650" s="7" t="s">
        <v>3281</v>
      </c>
      <c r="I1650" s="9" t="s">
        <v>353</v>
      </c>
      <c r="J1650" s="88"/>
    </row>
    <row r="1651">
      <c r="A1651" s="42" t="s">
        <v>206</v>
      </c>
      <c r="B1651" s="45" t="s">
        <v>3282</v>
      </c>
      <c r="C1651" s="91">
        <v>45610.718542118055</v>
      </c>
      <c r="D1651" s="8"/>
      <c r="E1651" s="9" t="s">
        <v>216</v>
      </c>
      <c r="F1651" s="10"/>
      <c r="G1651" s="9" t="s">
        <v>15</v>
      </c>
      <c r="H1651" s="7" t="s">
        <v>3283</v>
      </c>
      <c r="I1651" s="9" t="s">
        <v>353</v>
      </c>
      <c r="J1651" s="88"/>
    </row>
    <row r="1652">
      <c r="A1652" s="88"/>
      <c r="B1652" s="89"/>
      <c r="C1652" s="90"/>
      <c r="D1652" s="89"/>
      <c r="E1652" s="89"/>
      <c r="F1652" s="89"/>
      <c r="G1652" s="89"/>
      <c r="H1652" s="87"/>
      <c r="I1652" s="89"/>
      <c r="J1652" s="88"/>
    </row>
    <row r="1653">
      <c r="A1653" s="42" t="s">
        <v>206</v>
      </c>
      <c r="B1653" s="45" t="s">
        <v>3284</v>
      </c>
      <c r="C1653" s="91">
        <v>45610.71767854167</v>
      </c>
      <c r="D1653" s="8"/>
      <c r="E1653" s="9" t="s">
        <v>216</v>
      </c>
      <c r="F1653" s="10"/>
      <c r="G1653" s="9" t="s">
        <v>15</v>
      </c>
      <c r="H1653" s="158" t="s">
        <v>3270</v>
      </c>
      <c r="I1653" s="9" t="s">
        <v>353</v>
      </c>
      <c r="J1653" s="88"/>
    </row>
    <row r="1654">
      <c r="A1654" s="6" t="s">
        <v>9</v>
      </c>
      <c r="B1654" s="7" t="s">
        <v>3285</v>
      </c>
      <c r="C1654" s="91">
        <v>45608.46128452546</v>
      </c>
      <c r="D1654" s="8">
        <f t="shared" ref="D1654:D1658" si="185">IFERROR(_xlfn.WORKDAY.INTL(C1654, 2),"-")</f>
        <v>45610</v>
      </c>
      <c r="E1654" s="9" t="s">
        <v>11</v>
      </c>
      <c r="F1654" s="10"/>
      <c r="G1654" s="9" t="s">
        <v>15</v>
      </c>
      <c r="H1654" s="7" t="s">
        <v>3286</v>
      </c>
      <c r="I1654" s="9" t="s">
        <v>353</v>
      </c>
      <c r="J1654" s="88"/>
    </row>
    <row r="1655">
      <c r="A1655" s="6" t="s">
        <v>9</v>
      </c>
      <c r="B1655" s="7" t="s">
        <v>3287</v>
      </c>
      <c r="C1655" s="91">
        <v>45611.36789725695</v>
      </c>
      <c r="D1655" s="8">
        <f t="shared" si="185"/>
        <v>45615</v>
      </c>
      <c r="E1655" s="9" t="s">
        <v>11</v>
      </c>
      <c r="F1655" s="10"/>
      <c r="G1655" s="9" t="s">
        <v>15</v>
      </c>
      <c r="H1655" s="7" t="s">
        <v>3288</v>
      </c>
      <c r="I1655" s="9" t="s">
        <v>353</v>
      </c>
      <c r="J1655" s="88"/>
    </row>
    <row r="1656">
      <c r="A1656" s="20" t="s">
        <v>98</v>
      </c>
      <c r="B1656" s="9" t="s">
        <v>3077</v>
      </c>
      <c r="C1656" s="91">
        <v>45530.70311872685</v>
      </c>
      <c r="D1656" s="8">
        <f t="shared" si="185"/>
        <v>45532</v>
      </c>
      <c r="E1656" s="9" t="s">
        <v>88</v>
      </c>
      <c r="F1656" s="10"/>
      <c r="G1656" s="9" t="s">
        <v>18</v>
      </c>
      <c r="H1656" s="7" t="s">
        <v>3289</v>
      </c>
      <c r="I1656" s="9" t="s">
        <v>353</v>
      </c>
      <c r="J1656" s="88"/>
    </row>
    <row r="1657">
      <c r="A1657" s="6" t="s">
        <v>9</v>
      </c>
      <c r="B1657" s="7" t="s">
        <v>2883</v>
      </c>
      <c r="C1657" s="91">
        <v>45461.34041103009</v>
      </c>
      <c r="D1657" s="8">
        <f t="shared" si="185"/>
        <v>45463</v>
      </c>
      <c r="E1657" s="9" t="s">
        <v>11</v>
      </c>
      <c r="F1657" s="8"/>
      <c r="G1657" s="9" t="s">
        <v>18</v>
      </c>
      <c r="H1657" s="7" t="s">
        <v>3290</v>
      </c>
      <c r="I1657" s="9" t="s">
        <v>353</v>
      </c>
      <c r="J1657" s="88"/>
    </row>
    <row r="1658">
      <c r="A1658" s="54" t="s">
        <v>236</v>
      </c>
      <c r="B1658" s="7" t="s">
        <v>3291</v>
      </c>
      <c r="C1658" s="91">
        <v>45617.41285719907</v>
      </c>
      <c r="D1658" s="8">
        <f t="shared" si="185"/>
        <v>45621</v>
      </c>
      <c r="E1658" s="9" t="s">
        <v>11</v>
      </c>
      <c r="F1658" s="10"/>
      <c r="G1658" s="9"/>
      <c r="H1658" s="7" t="s">
        <v>3292</v>
      </c>
      <c r="I1658" s="9" t="s">
        <v>353</v>
      </c>
      <c r="J1658" s="88"/>
    </row>
    <row r="1659">
      <c r="A1659" s="88"/>
      <c r="B1659" s="89"/>
      <c r="C1659" s="90"/>
      <c r="D1659" s="89"/>
      <c r="E1659" s="89"/>
      <c r="F1659" s="89"/>
      <c r="G1659" s="89"/>
      <c r="H1659" s="87"/>
      <c r="I1659" s="89"/>
      <c r="J1659" s="88"/>
    </row>
    <row r="1660">
      <c r="A1660" s="54" t="s">
        <v>236</v>
      </c>
      <c r="B1660" s="7" t="s">
        <v>3293</v>
      </c>
      <c r="C1660" s="91" t="s">
        <v>11</v>
      </c>
      <c r="D1660" s="8" t="str">
        <f t="shared" ref="D1660:D1681" si="186">IFERROR(_xlfn.WORKDAY.INTL(C1660, 2),"-")</f>
        <v>-</v>
      </c>
      <c r="E1660" s="9" t="s">
        <v>11</v>
      </c>
      <c r="F1660" s="10"/>
      <c r="G1660" s="9" t="s">
        <v>18</v>
      </c>
      <c r="H1660" s="7" t="s">
        <v>3294</v>
      </c>
      <c r="I1660" s="9" t="s">
        <v>353</v>
      </c>
      <c r="J1660" s="88"/>
    </row>
    <row r="1661">
      <c r="A1661" s="54" t="s">
        <v>236</v>
      </c>
      <c r="B1661" s="7" t="s">
        <v>3295</v>
      </c>
      <c r="C1661" s="91">
        <v>45603.42572792824</v>
      </c>
      <c r="D1661" s="8">
        <f t="shared" si="186"/>
        <v>45607</v>
      </c>
      <c r="E1661" s="9" t="s">
        <v>11</v>
      </c>
      <c r="F1661" s="10"/>
      <c r="G1661" s="9" t="s">
        <v>15</v>
      </c>
      <c r="H1661" s="7" t="s">
        <v>3296</v>
      </c>
      <c r="I1661" s="9" t="s">
        <v>353</v>
      </c>
      <c r="J1661" s="88"/>
    </row>
    <row r="1662">
      <c r="A1662" s="6" t="s">
        <v>9</v>
      </c>
      <c r="B1662" s="7" t="s">
        <v>3297</v>
      </c>
      <c r="C1662" s="91">
        <v>45617.36946443287</v>
      </c>
      <c r="D1662" s="8">
        <f t="shared" si="186"/>
        <v>45621</v>
      </c>
      <c r="E1662" s="9" t="s">
        <v>11</v>
      </c>
      <c r="F1662" s="10"/>
      <c r="G1662" s="9" t="s">
        <v>18</v>
      </c>
      <c r="H1662" s="7" t="s">
        <v>437</v>
      </c>
      <c r="I1662" s="9" t="s">
        <v>353</v>
      </c>
      <c r="J1662" s="88"/>
    </row>
    <row r="1663">
      <c r="A1663" s="6" t="s">
        <v>9</v>
      </c>
      <c r="B1663" s="7" t="s">
        <v>3298</v>
      </c>
      <c r="C1663" s="91">
        <v>45617.36941457176</v>
      </c>
      <c r="D1663" s="8">
        <f t="shared" si="186"/>
        <v>45621</v>
      </c>
      <c r="E1663" s="9" t="s">
        <v>11</v>
      </c>
      <c r="F1663" s="10"/>
      <c r="G1663" s="9" t="s">
        <v>18</v>
      </c>
      <c r="H1663" s="7" t="s">
        <v>437</v>
      </c>
      <c r="I1663" s="9" t="s">
        <v>353</v>
      </c>
      <c r="J1663" s="88"/>
    </row>
    <row r="1664">
      <c r="A1664" s="20" t="s">
        <v>98</v>
      </c>
      <c r="B1664" s="9" t="s">
        <v>3299</v>
      </c>
      <c r="C1664" s="91">
        <v>45600.39776180555</v>
      </c>
      <c r="D1664" s="8">
        <f t="shared" si="186"/>
        <v>45602</v>
      </c>
      <c r="E1664" s="9" t="s">
        <v>11</v>
      </c>
      <c r="F1664" s="10"/>
      <c r="G1664" s="9" t="s">
        <v>18</v>
      </c>
      <c r="H1664" s="7" t="s">
        <v>3300</v>
      </c>
      <c r="I1664" s="9" t="s">
        <v>353</v>
      </c>
      <c r="J1664" s="88"/>
    </row>
    <row r="1665">
      <c r="A1665" s="20" t="s">
        <v>98</v>
      </c>
      <c r="B1665" s="9" t="s">
        <v>3301</v>
      </c>
      <c r="C1665" s="91">
        <v>45608.436095578705</v>
      </c>
      <c r="D1665" s="8">
        <f t="shared" si="186"/>
        <v>45610</v>
      </c>
      <c r="E1665" s="9" t="s">
        <v>11</v>
      </c>
      <c r="F1665" s="10"/>
      <c r="G1665" s="9" t="s">
        <v>15</v>
      </c>
      <c r="H1665" s="7" t="s">
        <v>3302</v>
      </c>
      <c r="I1665" s="9" t="s">
        <v>353</v>
      </c>
      <c r="J1665" s="88"/>
    </row>
    <row r="1666">
      <c r="A1666" s="20" t="s">
        <v>98</v>
      </c>
      <c r="B1666" s="9" t="s">
        <v>3303</v>
      </c>
      <c r="C1666" s="91">
        <v>45608.436356307866</v>
      </c>
      <c r="D1666" s="8">
        <f t="shared" si="186"/>
        <v>45610</v>
      </c>
      <c r="E1666" s="9" t="s">
        <v>11</v>
      </c>
      <c r="F1666" s="10"/>
      <c r="G1666" s="9" t="s">
        <v>15</v>
      </c>
      <c r="H1666" s="22" t="s">
        <v>3304</v>
      </c>
      <c r="I1666" s="9" t="s">
        <v>353</v>
      </c>
      <c r="J1666" s="88"/>
    </row>
    <row r="1667">
      <c r="A1667" s="20" t="s">
        <v>98</v>
      </c>
      <c r="B1667" s="9" t="s">
        <v>3305</v>
      </c>
      <c r="C1667" s="91">
        <v>45614.3441546875</v>
      </c>
      <c r="D1667" s="8">
        <f t="shared" si="186"/>
        <v>45616</v>
      </c>
      <c r="E1667" s="9" t="s">
        <v>11</v>
      </c>
      <c r="F1667" s="10"/>
      <c r="G1667" s="9" t="s">
        <v>18</v>
      </c>
      <c r="H1667" s="7" t="s">
        <v>3306</v>
      </c>
      <c r="I1667" s="9" t="s">
        <v>353</v>
      </c>
      <c r="J1667" s="88"/>
    </row>
    <row r="1668">
      <c r="A1668" s="6" t="s">
        <v>9</v>
      </c>
      <c r="B1668" s="7" t="s">
        <v>3307</v>
      </c>
      <c r="C1668" s="91">
        <v>45614.461436805555</v>
      </c>
      <c r="D1668" s="8">
        <f t="shared" si="186"/>
        <v>45616</v>
      </c>
      <c r="E1668" s="9" t="s">
        <v>11</v>
      </c>
      <c r="F1668" s="10"/>
      <c r="G1668" s="9" t="s">
        <v>18</v>
      </c>
      <c r="H1668" s="7" t="s">
        <v>3308</v>
      </c>
      <c r="I1668" s="9" t="s">
        <v>353</v>
      </c>
      <c r="J1668" s="88"/>
    </row>
    <row r="1669">
      <c r="A1669" s="6" t="s">
        <v>9</v>
      </c>
      <c r="B1669" s="7" t="s">
        <v>3309</v>
      </c>
      <c r="C1669" s="91">
        <v>45611.37287520833</v>
      </c>
      <c r="D1669" s="8">
        <f t="shared" si="186"/>
        <v>45615</v>
      </c>
      <c r="E1669" s="9" t="s">
        <v>11</v>
      </c>
      <c r="F1669" s="10"/>
      <c r="G1669" s="9" t="s">
        <v>18</v>
      </c>
      <c r="H1669" s="7" t="s">
        <v>3310</v>
      </c>
      <c r="I1669" s="9" t="s">
        <v>353</v>
      </c>
      <c r="J1669" s="88"/>
    </row>
    <row r="1670">
      <c r="A1670" s="6" t="s">
        <v>9</v>
      </c>
      <c r="B1670" s="7" t="s">
        <v>3092</v>
      </c>
      <c r="C1670" s="91">
        <v>45478.43372547453</v>
      </c>
      <c r="D1670" s="8">
        <f t="shared" si="186"/>
        <v>45482</v>
      </c>
      <c r="E1670" s="9" t="s">
        <v>11</v>
      </c>
      <c r="F1670" s="10"/>
      <c r="G1670" s="9" t="s">
        <v>18</v>
      </c>
      <c r="H1670" s="7" t="s">
        <v>3311</v>
      </c>
      <c r="I1670" s="9" t="s">
        <v>353</v>
      </c>
      <c r="J1670" s="88"/>
    </row>
    <row r="1671">
      <c r="A1671" s="20" t="s">
        <v>98</v>
      </c>
      <c r="B1671" s="9" t="s">
        <v>3312</v>
      </c>
      <c r="C1671" s="91">
        <v>45573.4034703588</v>
      </c>
      <c r="D1671" s="8">
        <f t="shared" si="186"/>
        <v>45575</v>
      </c>
      <c r="E1671" s="9" t="s">
        <v>11</v>
      </c>
      <c r="F1671" s="10"/>
      <c r="G1671" s="9" t="s">
        <v>15</v>
      </c>
      <c r="H1671" s="23" t="s">
        <v>3313</v>
      </c>
      <c r="I1671" s="9" t="s">
        <v>353</v>
      </c>
      <c r="J1671" s="88"/>
    </row>
    <row r="1672">
      <c r="A1672" s="6" t="s">
        <v>9</v>
      </c>
      <c r="B1672" s="7" t="s">
        <v>3314</v>
      </c>
      <c r="C1672" s="91">
        <v>45478.43091001158</v>
      </c>
      <c r="D1672" s="8">
        <f t="shared" si="186"/>
        <v>45482</v>
      </c>
      <c r="E1672" s="9" t="s">
        <v>11</v>
      </c>
      <c r="F1672" s="8"/>
      <c r="G1672" s="9" t="s">
        <v>18</v>
      </c>
      <c r="H1672" s="7" t="s">
        <v>3315</v>
      </c>
      <c r="I1672" s="9" t="s">
        <v>353</v>
      </c>
      <c r="J1672" s="88"/>
    </row>
    <row r="1673">
      <c r="A1673" s="6" t="s">
        <v>9</v>
      </c>
      <c r="B1673" s="7" t="s">
        <v>3316</v>
      </c>
      <c r="C1673" s="91">
        <v>45609.671809363426</v>
      </c>
      <c r="D1673" s="8">
        <f t="shared" si="186"/>
        <v>45611</v>
      </c>
      <c r="E1673" s="9" t="s">
        <v>11</v>
      </c>
      <c r="F1673" s="10"/>
      <c r="G1673" s="9" t="s">
        <v>18</v>
      </c>
      <c r="H1673" s="7" t="s">
        <v>3317</v>
      </c>
      <c r="I1673" s="9" t="s">
        <v>353</v>
      </c>
      <c r="J1673" s="88"/>
    </row>
    <row r="1674">
      <c r="A1674" s="6" t="s">
        <v>9</v>
      </c>
      <c r="B1674" s="7" t="s">
        <v>3318</v>
      </c>
      <c r="C1674" s="91">
        <v>45614.45919872685</v>
      </c>
      <c r="D1674" s="8">
        <f t="shared" si="186"/>
        <v>45616</v>
      </c>
      <c r="E1674" s="9" t="s">
        <v>11</v>
      </c>
      <c r="F1674" s="10"/>
      <c r="G1674" s="9" t="s">
        <v>18</v>
      </c>
      <c r="H1674" s="7" t="s">
        <v>660</v>
      </c>
      <c r="I1674" s="9" t="s">
        <v>353</v>
      </c>
      <c r="J1674" s="88"/>
    </row>
    <row r="1675">
      <c r="A1675" s="6" t="s">
        <v>9</v>
      </c>
      <c r="B1675" s="7" t="s">
        <v>3319</v>
      </c>
      <c r="C1675" s="91">
        <v>45518.42597802084</v>
      </c>
      <c r="D1675" s="8">
        <f t="shared" si="186"/>
        <v>45520</v>
      </c>
      <c r="E1675" s="9" t="s">
        <v>11</v>
      </c>
      <c r="F1675" s="10"/>
      <c r="G1675" s="9" t="s">
        <v>18</v>
      </c>
      <c r="H1675" s="7" t="s">
        <v>3320</v>
      </c>
      <c r="I1675" s="9" t="s">
        <v>353</v>
      </c>
      <c r="J1675" s="88"/>
    </row>
    <row r="1676">
      <c r="A1676" s="20" t="s">
        <v>98</v>
      </c>
      <c r="B1676" s="9" t="s">
        <v>3321</v>
      </c>
      <c r="C1676" s="91">
        <v>45530.63363428241</v>
      </c>
      <c r="D1676" s="8">
        <f t="shared" si="186"/>
        <v>45532</v>
      </c>
      <c r="E1676" s="9" t="s">
        <v>206</v>
      </c>
      <c r="F1676" s="10"/>
      <c r="G1676" s="9" t="s">
        <v>15</v>
      </c>
      <c r="H1676" s="23" t="s">
        <v>3322</v>
      </c>
      <c r="I1676" s="9" t="s">
        <v>353</v>
      </c>
      <c r="J1676" s="88"/>
    </row>
    <row r="1677">
      <c r="A1677" s="20" t="s">
        <v>98</v>
      </c>
      <c r="B1677" s="9" t="s">
        <v>3323</v>
      </c>
      <c r="C1677" s="91">
        <v>45559.49035361111</v>
      </c>
      <c r="D1677" s="8">
        <f t="shared" si="186"/>
        <v>45561</v>
      </c>
      <c r="E1677" s="9" t="s">
        <v>11</v>
      </c>
      <c r="F1677" s="10"/>
      <c r="G1677" s="9" t="s">
        <v>15</v>
      </c>
      <c r="H1677" s="23" t="s">
        <v>3324</v>
      </c>
      <c r="I1677" s="9" t="s">
        <v>353</v>
      </c>
      <c r="J1677" s="88"/>
    </row>
    <row r="1678">
      <c r="A1678" s="6" t="s">
        <v>9</v>
      </c>
      <c r="B1678" s="7" t="s">
        <v>3325</v>
      </c>
      <c r="C1678" s="91">
        <v>45608.433585011575</v>
      </c>
      <c r="D1678" s="8">
        <f t="shared" si="186"/>
        <v>45610</v>
      </c>
      <c r="E1678" s="9" t="s">
        <v>11</v>
      </c>
      <c r="F1678" s="10"/>
      <c r="G1678" s="9" t="s">
        <v>18</v>
      </c>
      <c r="H1678" s="7" t="s">
        <v>3326</v>
      </c>
      <c r="I1678" s="9" t="s">
        <v>353</v>
      </c>
      <c r="J1678" s="88"/>
    </row>
    <row r="1679">
      <c r="A1679" s="20" t="s">
        <v>98</v>
      </c>
      <c r="B1679" s="9" t="s">
        <v>3327</v>
      </c>
      <c r="C1679" s="91">
        <v>45530.50139873843</v>
      </c>
      <c r="D1679" s="8">
        <f t="shared" si="186"/>
        <v>45532</v>
      </c>
      <c r="E1679" s="9" t="s">
        <v>206</v>
      </c>
      <c r="F1679" s="10"/>
      <c r="G1679" s="9" t="s">
        <v>18</v>
      </c>
      <c r="H1679" s="23" t="s">
        <v>3328</v>
      </c>
      <c r="I1679" s="9" t="s">
        <v>353</v>
      </c>
      <c r="J1679" s="88"/>
    </row>
    <row r="1680">
      <c r="A1680" s="54" t="s">
        <v>236</v>
      </c>
      <c r="B1680" s="7" t="s">
        <v>3329</v>
      </c>
      <c r="C1680" s="91">
        <v>45594.66480835648</v>
      </c>
      <c r="D1680" s="8">
        <f t="shared" si="186"/>
        <v>45596</v>
      </c>
      <c r="E1680" s="9" t="s">
        <v>11</v>
      </c>
      <c r="F1680" s="10"/>
      <c r="G1680" s="9" t="s">
        <v>18</v>
      </c>
      <c r="H1680" s="7" t="s">
        <v>3330</v>
      </c>
      <c r="I1680" s="9" t="s">
        <v>353</v>
      </c>
      <c r="J1680" s="88"/>
    </row>
    <row r="1681">
      <c r="A1681" s="6" t="s">
        <v>9</v>
      </c>
      <c r="B1681" s="7" t="s">
        <v>3331</v>
      </c>
      <c r="C1681" s="91">
        <v>45608.43332398148</v>
      </c>
      <c r="D1681" s="8">
        <f t="shared" si="186"/>
        <v>45610</v>
      </c>
      <c r="E1681" s="9" t="s">
        <v>11</v>
      </c>
      <c r="F1681" s="10"/>
      <c r="G1681" s="9" t="s">
        <v>15</v>
      </c>
      <c r="H1681" s="7" t="s">
        <v>3286</v>
      </c>
      <c r="I1681" s="9" t="s">
        <v>353</v>
      </c>
      <c r="J1681" s="88"/>
    </row>
    <row r="1682">
      <c r="A1682" s="42" t="s">
        <v>206</v>
      </c>
      <c r="B1682" s="45" t="s">
        <v>3332</v>
      </c>
      <c r="C1682" s="91">
        <v>45610.72283429398</v>
      </c>
      <c r="D1682" s="8"/>
      <c r="E1682" s="9" t="s">
        <v>216</v>
      </c>
      <c r="F1682" s="10"/>
      <c r="G1682" s="9" t="s">
        <v>15</v>
      </c>
      <c r="H1682" s="7" t="s">
        <v>3333</v>
      </c>
      <c r="I1682" s="9" t="s">
        <v>353</v>
      </c>
      <c r="J1682" s="88"/>
    </row>
    <row r="1683">
      <c r="A1683" s="42" t="s">
        <v>206</v>
      </c>
      <c r="B1683" s="43" t="s">
        <v>3334</v>
      </c>
      <c r="C1683" s="91">
        <v>45566.407817430554</v>
      </c>
      <c r="D1683" s="8"/>
      <c r="E1683" s="9" t="s">
        <v>94</v>
      </c>
      <c r="F1683" s="10"/>
      <c r="G1683" s="9" t="s">
        <v>21</v>
      </c>
      <c r="H1683" s="11"/>
      <c r="I1683" s="9" t="s">
        <v>13</v>
      </c>
      <c r="J1683" s="88"/>
    </row>
    <row r="1684">
      <c r="A1684" s="42" t="s">
        <v>206</v>
      </c>
      <c r="B1684" s="45" t="s">
        <v>3335</v>
      </c>
      <c r="C1684" s="91">
        <v>45574.37343810185</v>
      </c>
      <c r="D1684" s="8"/>
      <c r="E1684" s="9" t="s">
        <v>216</v>
      </c>
      <c r="F1684" s="10"/>
      <c r="G1684" s="9" t="s">
        <v>15</v>
      </c>
      <c r="H1684" s="7" t="s">
        <v>3336</v>
      </c>
      <c r="I1684" s="9" t="s">
        <v>353</v>
      </c>
      <c r="J1684" s="88"/>
    </row>
    <row r="1685">
      <c r="A1685" s="42" t="s">
        <v>206</v>
      </c>
      <c r="B1685" s="141" t="s">
        <v>3337</v>
      </c>
      <c r="C1685" s="91">
        <v>45552.387639259265</v>
      </c>
      <c r="D1685" s="8"/>
      <c r="E1685" s="9"/>
      <c r="F1685" s="10"/>
      <c r="G1685" s="9" t="s">
        <v>15</v>
      </c>
      <c r="H1685" s="7" t="s">
        <v>3338</v>
      </c>
      <c r="I1685" s="9" t="s">
        <v>13</v>
      </c>
      <c r="J1685" s="88"/>
    </row>
    <row r="1686">
      <c r="A1686" s="42" t="s">
        <v>206</v>
      </c>
      <c r="B1686" s="45" t="s">
        <v>3339</v>
      </c>
      <c r="C1686" s="91">
        <v>45574.373369837966</v>
      </c>
      <c r="D1686" s="8"/>
      <c r="E1686" s="9" t="s">
        <v>216</v>
      </c>
      <c r="F1686" s="10"/>
      <c r="G1686" s="9" t="s">
        <v>15</v>
      </c>
      <c r="H1686" s="7" t="s">
        <v>3340</v>
      </c>
      <c r="I1686" s="9" t="s">
        <v>353</v>
      </c>
      <c r="J1686" s="88"/>
    </row>
    <row r="1687">
      <c r="A1687" s="42" t="s">
        <v>206</v>
      </c>
      <c r="B1687" s="141" t="s">
        <v>3341</v>
      </c>
      <c r="C1687" s="91">
        <v>45600.637127395836</v>
      </c>
      <c r="D1687" s="8"/>
      <c r="E1687" s="9"/>
      <c r="F1687" s="10"/>
      <c r="G1687" s="9" t="s">
        <v>18</v>
      </c>
      <c r="H1687" s="11"/>
      <c r="I1687" s="9" t="s">
        <v>353</v>
      </c>
      <c r="J1687" s="88"/>
    </row>
    <row r="1688">
      <c r="A1688" s="42" t="s">
        <v>206</v>
      </c>
      <c r="B1688" s="141" t="s">
        <v>3342</v>
      </c>
      <c r="C1688" s="91">
        <v>45600.63726800926</v>
      </c>
      <c r="D1688" s="8"/>
      <c r="E1688" s="9"/>
      <c r="F1688" s="10"/>
      <c r="G1688" s="9" t="s">
        <v>18</v>
      </c>
      <c r="H1688" s="11"/>
      <c r="I1688" s="9" t="s">
        <v>353</v>
      </c>
      <c r="J1688" s="88"/>
    </row>
    <row r="1689">
      <c r="A1689" s="42" t="s">
        <v>206</v>
      </c>
      <c r="B1689" s="159" t="s">
        <v>3343</v>
      </c>
      <c r="C1689" s="91">
        <v>45566.41495825231</v>
      </c>
      <c r="D1689" s="8"/>
      <c r="E1689" s="9"/>
      <c r="F1689" s="10"/>
      <c r="G1689" s="9" t="s">
        <v>18</v>
      </c>
      <c r="H1689" s="7" t="s">
        <v>3344</v>
      </c>
      <c r="I1689" s="9" t="s">
        <v>353</v>
      </c>
      <c r="J1689" s="88"/>
    </row>
    <row r="1690">
      <c r="A1690" s="42" t="s">
        <v>206</v>
      </c>
      <c r="B1690" s="43" t="s">
        <v>3345</v>
      </c>
      <c r="C1690" s="91">
        <v>45601.446385324074</v>
      </c>
      <c r="D1690" s="8"/>
      <c r="E1690" s="9" t="s">
        <v>206</v>
      </c>
      <c r="F1690" s="10"/>
      <c r="G1690" s="9" t="s">
        <v>15</v>
      </c>
      <c r="H1690" s="7" t="s">
        <v>3346</v>
      </c>
      <c r="I1690" s="9" t="s">
        <v>353</v>
      </c>
      <c r="J1690" s="88"/>
    </row>
    <row r="1691">
      <c r="A1691" s="42" t="s">
        <v>206</v>
      </c>
      <c r="B1691" s="43" t="s">
        <v>3347</v>
      </c>
      <c r="C1691" s="91">
        <v>45581.44909971065</v>
      </c>
      <c r="D1691" s="8"/>
      <c r="E1691" s="9"/>
      <c r="F1691" s="10"/>
      <c r="G1691" s="9" t="s">
        <v>220</v>
      </c>
      <c r="H1691" s="7" t="s">
        <v>3348</v>
      </c>
      <c r="I1691" s="9" t="s">
        <v>353</v>
      </c>
      <c r="J1691" s="88"/>
    </row>
    <row r="1692">
      <c r="A1692" s="42" t="s">
        <v>206</v>
      </c>
      <c r="B1692" s="43" t="s">
        <v>3349</v>
      </c>
      <c r="C1692" s="91">
        <v>45586.62533365741</v>
      </c>
      <c r="D1692" s="8"/>
      <c r="E1692" s="9"/>
      <c r="F1692" s="10"/>
      <c r="G1692" s="9" t="s">
        <v>15</v>
      </c>
      <c r="H1692" s="7" t="s">
        <v>3350</v>
      </c>
      <c r="I1692" s="9" t="s">
        <v>353</v>
      </c>
      <c r="J1692" s="88"/>
    </row>
    <row r="1693">
      <c r="A1693" s="42" t="s">
        <v>206</v>
      </c>
      <c r="B1693" s="43" t="s">
        <v>3351</v>
      </c>
      <c r="C1693" s="91">
        <v>45439.59976597222</v>
      </c>
      <c r="D1693" s="8"/>
      <c r="E1693" s="9" t="s">
        <v>88</v>
      </c>
      <c r="F1693" s="10"/>
      <c r="G1693" s="9" t="s">
        <v>15</v>
      </c>
      <c r="H1693" s="7" t="s">
        <v>3352</v>
      </c>
      <c r="I1693" s="9" t="s">
        <v>353</v>
      </c>
      <c r="J1693" s="88"/>
    </row>
    <row r="1694">
      <c r="A1694" s="42" t="s">
        <v>206</v>
      </c>
      <c r="B1694" s="160" t="s">
        <v>3353</v>
      </c>
      <c r="C1694" s="91">
        <v>45566.41483516204</v>
      </c>
      <c r="D1694" s="8"/>
      <c r="E1694" s="9"/>
      <c r="F1694" s="10"/>
      <c r="G1694" s="9" t="s">
        <v>18</v>
      </c>
      <c r="H1694" s="7" t="s">
        <v>3354</v>
      </c>
      <c r="I1694" s="9" t="s">
        <v>353</v>
      </c>
      <c r="J1694" s="88"/>
    </row>
    <row r="1695">
      <c r="A1695" s="42" t="s">
        <v>206</v>
      </c>
      <c r="B1695" s="43" t="s">
        <v>3355</v>
      </c>
      <c r="C1695" s="91">
        <v>45566.40772282408</v>
      </c>
      <c r="D1695" s="8"/>
      <c r="E1695" s="9" t="s">
        <v>94</v>
      </c>
      <c r="F1695" s="10"/>
      <c r="G1695" s="9" t="s">
        <v>18</v>
      </c>
      <c r="H1695" s="7" t="s">
        <v>3356</v>
      </c>
      <c r="I1695" s="9" t="s">
        <v>353</v>
      </c>
      <c r="J1695" s="88"/>
    </row>
    <row r="1696">
      <c r="A1696" s="20" t="s">
        <v>98</v>
      </c>
      <c r="B1696" s="9" t="s">
        <v>3357</v>
      </c>
      <c r="C1696" s="91">
        <v>45609.37740806713</v>
      </c>
      <c r="D1696" s="8">
        <f t="shared" ref="D1696:D1724" si="187">IFERROR(_xlfn.WORKDAY.INTL(C1696, 2),"-")</f>
        <v>45611</v>
      </c>
      <c r="E1696" s="9" t="s">
        <v>11</v>
      </c>
      <c r="F1696" s="10"/>
      <c r="G1696" s="9" t="s">
        <v>18</v>
      </c>
      <c r="H1696" s="7" t="s">
        <v>679</v>
      </c>
      <c r="I1696" s="9" t="s">
        <v>353</v>
      </c>
      <c r="J1696" s="88"/>
    </row>
    <row r="1697">
      <c r="A1697" s="6" t="s">
        <v>9</v>
      </c>
      <c r="B1697" s="7" t="s">
        <v>3358</v>
      </c>
      <c r="C1697" s="91">
        <v>45461.34072543982</v>
      </c>
      <c r="D1697" s="8">
        <f t="shared" si="187"/>
        <v>45463</v>
      </c>
      <c r="E1697" s="9" t="s">
        <v>11</v>
      </c>
      <c r="F1697" s="10"/>
      <c r="G1697" s="9" t="s">
        <v>15</v>
      </c>
      <c r="H1697" s="7" t="s">
        <v>3359</v>
      </c>
      <c r="I1697" s="9" t="s">
        <v>353</v>
      </c>
      <c r="J1697" s="88"/>
    </row>
    <row r="1698">
      <c r="A1698" s="102" t="s">
        <v>624</v>
      </c>
      <c r="B1698" s="7" t="s">
        <v>3360</v>
      </c>
      <c r="C1698" s="91">
        <v>45575.44803299769</v>
      </c>
      <c r="D1698" s="8">
        <f t="shared" si="187"/>
        <v>45579</v>
      </c>
      <c r="E1698" s="9" t="s">
        <v>11</v>
      </c>
      <c r="F1698" s="10"/>
      <c r="G1698" s="9" t="s">
        <v>15</v>
      </c>
      <c r="H1698" s="7" t="s">
        <v>3361</v>
      </c>
      <c r="I1698" s="9" t="s">
        <v>353</v>
      </c>
      <c r="J1698" s="88"/>
    </row>
    <row r="1699">
      <c r="A1699" s="102" t="s">
        <v>624</v>
      </c>
      <c r="B1699" s="7" t="s">
        <v>3362</v>
      </c>
      <c r="C1699" s="91">
        <v>45559.72332839121</v>
      </c>
      <c r="D1699" s="8">
        <f t="shared" si="187"/>
        <v>45561</v>
      </c>
      <c r="E1699" s="9" t="s">
        <v>88</v>
      </c>
      <c r="F1699" s="10"/>
      <c r="G1699" s="9" t="s">
        <v>15</v>
      </c>
      <c r="H1699" s="7" t="s">
        <v>3363</v>
      </c>
      <c r="I1699" s="9" t="s">
        <v>353</v>
      </c>
      <c r="J1699" s="88"/>
    </row>
    <row r="1700">
      <c r="A1700" s="102" t="s">
        <v>624</v>
      </c>
      <c r="B1700" s="7" t="s">
        <v>3364</v>
      </c>
      <c r="C1700" s="91">
        <v>45540.511069189815</v>
      </c>
      <c r="D1700" s="8">
        <f t="shared" si="187"/>
        <v>45544</v>
      </c>
      <c r="E1700" s="9" t="s">
        <v>88</v>
      </c>
      <c r="F1700" s="10"/>
      <c r="G1700" s="9" t="s">
        <v>15</v>
      </c>
      <c r="H1700" s="7" t="s">
        <v>3365</v>
      </c>
      <c r="I1700" s="9" t="s">
        <v>353</v>
      </c>
      <c r="J1700" s="88"/>
    </row>
    <row r="1701">
      <c r="A1701" s="131"/>
      <c r="B1701" s="7" t="s">
        <v>3366</v>
      </c>
      <c r="C1701" s="91">
        <v>45540.51378046296</v>
      </c>
      <c r="D1701" s="8">
        <f t="shared" si="187"/>
        <v>45544</v>
      </c>
      <c r="E1701" s="9" t="s">
        <v>88</v>
      </c>
      <c r="F1701" s="10"/>
      <c r="G1701" s="9" t="s">
        <v>15</v>
      </c>
      <c r="H1701" s="7" t="s">
        <v>3367</v>
      </c>
      <c r="I1701" s="9" t="s">
        <v>353</v>
      </c>
      <c r="J1701" s="88"/>
    </row>
    <row r="1702">
      <c r="A1702" s="102" t="s">
        <v>624</v>
      </c>
      <c r="B1702" s="7" t="s">
        <v>3368</v>
      </c>
      <c r="C1702" s="91">
        <v>45602.70323809028</v>
      </c>
      <c r="D1702" s="8">
        <f t="shared" si="187"/>
        <v>45604</v>
      </c>
      <c r="E1702" s="9" t="s">
        <v>11</v>
      </c>
      <c r="F1702" s="10"/>
      <c r="G1702" s="9" t="s">
        <v>15</v>
      </c>
      <c r="H1702" s="7" t="s">
        <v>3369</v>
      </c>
      <c r="I1702" s="9" t="s">
        <v>353</v>
      </c>
      <c r="J1702" s="88"/>
    </row>
    <row r="1703">
      <c r="A1703" s="102" t="s">
        <v>624</v>
      </c>
      <c r="B1703" s="7" t="s">
        <v>3370</v>
      </c>
      <c r="C1703" s="91">
        <v>45602.70375821759</v>
      </c>
      <c r="D1703" s="8">
        <f t="shared" si="187"/>
        <v>45604</v>
      </c>
      <c r="E1703" s="9" t="s">
        <v>11</v>
      </c>
      <c r="F1703" s="10"/>
      <c r="G1703" s="9" t="s">
        <v>15</v>
      </c>
      <c r="H1703" s="11"/>
      <c r="I1703" s="9" t="s">
        <v>353</v>
      </c>
      <c r="J1703" s="88"/>
    </row>
    <row r="1704">
      <c r="A1704" s="20" t="s">
        <v>98</v>
      </c>
      <c r="B1704" s="9" t="s">
        <v>3371</v>
      </c>
      <c r="C1704" s="91">
        <v>45538.57079614583</v>
      </c>
      <c r="D1704" s="8">
        <f t="shared" si="187"/>
        <v>45540</v>
      </c>
      <c r="E1704" s="9" t="s">
        <v>206</v>
      </c>
      <c r="F1704" s="9"/>
      <c r="G1704" s="9" t="s">
        <v>15</v>
      </c>
      <c r="H1704" s="23" t="s">
        <v>3372</v>
      </c>
      <c r="I1704" s="9" t="s">
        <v>353</v>
      </c>
      <c r="J1704" s="88"/>
    </row>
    <row r="1705">
      <c r="A1705" s="20" t="s">
        <v>98</v>
      </c>
      <c r="B1705" s="9" t="s">
        <v>3373</v>
      </c>
      <c r="C1705" s="91">
        <v>45463.69877261574</v>
      </c>
      <c r="D1705" s="8">
        <f t="shared" si="187"/>
        <v>45467</v>
      </c>
      <c r="E1705" s="9" t="s">
        <v>206</v>
      </c>
      <c r="F1705" s="10"/>
      <c r="G1705" s="9" t="s">
        <v>15</v>
      </c>
      <c r="H1705" s="23" t="s">
        <v>3374</v>
      </c>
      <c r="I1705" s="9" t="s">
        <v>353</v>
      </c>
      <c r="J1705" s="88"/>
    </row>
    <row r="1706">
      <c r="A1706" s="6" t="s">
        <v>9</v>
      </c>
      <c r="B1706" s="7" t="s">
        <v>3375</v>
      </c>
      <c r="C1706" s="91">
        <v>45478.43331114583</v>
      </c>
      <c r="D1706" s="8">
        <f t="shared" si="187"/>
        <v>45482</v>
      </c>
      <c r="E1706" s="9" t="s">
        <v>11</v>
      </c>
      <c r="F1706" s="10"/>
      <c r="G1706" s="9" t="s">
        <v>15</v>
      </c>
      <c r="H1706" s="7" t="s">
        <v>3376</v>
      </c>
      <c r="I1706" s="9" t="s">
        <v>353</v>
      </c>
      <c r="J1706" s="88"/>
    </row>
    <row r="1707">
      <c r="A1707" s="6" t="s">
        <v>9</v>
      </c>
      <c r="B1707" s="7" t="s">
        <v>3377</v>
      </c>
      <c r="C1707" s="91">
        <v>45478.433241990744</v>
      </c>
      <c r="D1707" s="8">
        <f t="shared" si="187"/>
        <v>45482</v>
      </c>
      <c r="E1707" s="9" t="s">
        <v>11</v>
      </c>
      <c r="F1707" s="10"/>
      <c r="G1707" s="9" t="s">
        <v>15</v>
      </c>
      <c r="H1707" s="7" t="s">
        <v>3378</v>
      </c>
      <c r="I1707" s="9" t="s">
        <v>353</v>
      </c>
      <c r="J1707" s="88"/>
    </row>
    <row r="1708">
      <c r="A1708" s="6" t="s">
        <v>9</v>
      </c>
      <c r="B1708" s="7" t="s">
        <v>3379</v>
      </c>
      <c r="C1708" s="91">
        <v>45478.43056350695</v>
      </c>
      <c r="D1708" s="8">
        <f t="shared" si="187"/>
        <v>45482</v>
      </c>
      <c r="E1708" s="9" t="s">
        <v>11</v>
      </c>
      <c r="F1708" s="8"/>
      <c r="G1708" s="9" t="s">
        <v>15</v>
      </c>
      <c r="H1708" s="7" t="s">
        <v>3380</v>
      </c>
      <c r="I1708" s="9" t="s">
        <v>353</v>
      </c>
      <c r="J1708" s="88"/>
    </row>
    <row r="1709">
      <c r="A1709" s="20" t="s">
        <v>98</v>
      </c>
      <c r="B1709" s="9" t="s">
        <v>3381</v>
      </c>
      <c r="C1709" s="91">
        <v>45608.43698608797</v>
      </c>
      <c r="D1709" s="8">
        <f t="shared" si="187"/>
        <v>45610</v>
      </c>
      <c r="E1709" s="9" t="s">
        <v>11</v>
      </c>
      <c r="F1709" s="10"/>
      <c r="G1709" s="9" t="s">
        <v>15</v>
      </c>
      <c r="H1709" s="7" t="s">
        <v>3382</v>
      </c>
      <c r="I1709" s="9" t="s">
        <v>353</v>
      </c>
      <c r="J1709" s="88"/>
    </row>
    <row r="1710">
      <c r="A1710" s="6" t="s">
        <v>9</v>
      </c>
      <c r="B1710" s="7" t="s">
        <v>3383</v>
      </c>
      <c r="C1710" s="91">
        <v>45600.638004837965</v>
      </c>
      <c r="D1710" s="8">
        <f t="shared" si="187"/>
        <v>45602</v>
      </c>
      <c r="E1710" s="9" t="s">
        <v>11</v>
      </c>
      <c r="F1710" s="10"/>
      <c r="G1710" s="9" t="s">
        <v>15</v>
      </c>
      <c r="H1710" s="7" t="s">
        <v>3384</v>
      </c>
      <c r="I1710" s="9" t="s">
        <v>353</v>
      </c>
      <c r="J1710" s="88"/>
    </row>
    <row r="1711">
      <c r="A1711" s="20" t="s">
        <v>98</v>
      </c>
      <c r="B1711" s="9" t="s">
        <v>3385</v>
      </c>
      <c r="C1711" s="91">
        <v>45530.50242841435</v>
      </c>
      <c r="D1711" s="8">
        <f t="shared" si="187"/>
        <v>45532</v>
      </c>
      <c r="E1711" s="9" t="s">
        <v>206</v>
      </c>
      <c r="F1711" s="10"/>
      <c r="G1711" s="9" t="s">
        <v>15</v>
      </c>
      <c r="H1711" s="23" t="s">
        <v>3386</v>
      </c>
      <c r="I1711" s="9" t="s">
        <v>353</v>
      </c>
      <c r="J1711" s="88"/>
    </row>
    <row r="1712">
      <c r="A1712" s="34" t="s">
        <v>204</v>
      </c>
      <c r="B1712" s="7" t="s">
        <v>3387</v>
      </c>
      <c r="C1712" s="91">
        <v>45593.6541082176</v>
      </c>
      <c r="D1712" s="8">
        <f t="shared" si="187"/>
        <v>45595</v>
      </c>
      <c r="E1712" s="9" t="s">
        <v>11</v>
      </c>
      <c r="F1712" s="10"/>
      <c r="G1712" s="9" t="s">
        <v>18</v>
      </c>
      <c r="H1712" s="7" t="s">
        <v>437</v>
      </c>
      <c r="I1712" s="9" t="s">
        <v>353</v>
      </c>
      <c r="J1712" s="88"/>
    </row>
    <row r="1713">
      <c r="A1713" s="20" t="s">
        <v>98</v>
      </c>
      <c r="B1713" s="9" t="s">
        <v>3388</v>
      </c>
      <c r="C1713" s="91">
        <v>45609.49167768519</v>
      </c>
      <c r="D1713" s="8">
        <f t="shared" si="187"/>
        <v>45611</v>
      </c>
      <c r="E1713" s="9" t="s">
        <v>11</v>
      </c>
      <c r="F1713" s="10"/>
      <c r="G1713" s="9" t="s">
        <v>15</v>
      </c>
      <c r="H1713" s="7" t="s">
        <v>3389</v>
      </c>
      <c r="I1713" s="9" t="s">
        <v>353</v>
      </c>
      <c r="J1713" s="88"/>
    </row>
    <row r="1714">
      <c r="A1714" s="6" t="s">
        <v>9</v>
      </c>
      <c r="B1714" s="7" t="s">
        <v>3390</v>
      </c>
      <c r="C1714" s="91">
        <v>45608.43457730324</v>
      </c>
      <c r="D1714" s="8">
        <f t="shared" si="187"/>
        <v>45610</v>
      </c>
      <c r="E1714" s="9" t="s">
        <v>11</v>
      </c>
      <c r="F1714" s="10"/>
      <c r="G1714" s="9" t="s">
        <v>18</v>
      </c>
      <c r="H1714" s="11"/>
      <c r="I1714" s="9" t="s">
        <v>353</v>
      </c>
      <c r="J1714" s="88"/>
    </row>
    <row r="1715">
      <c r="A1715" s="20" t="s">
        <v>98</v>
      </c>
      <c r="B1715" s="9" t="s">
        <v>3391</v>
      </c>
      <c r="C1715" s="91">
        <v>45594.45085375</v>
      </c>
      <c r="D1715" s="8">
        <f t="shared" si="187"/>
        <v>45596</v>
      </c>
      <c r="E1715" s="9" t="s">
        <v>11</v>
      </c>
      <c r="F1715" s="10"/>
      <c r="G1715" s="9" t="s">
        <v>18</v>
      </c>
      <c r="H1715" s="161" t="s">
        <v>3392</v>
      </c>
      <c r="I1715" s="9" t="s">
        <v>353</v>
      </c>
      <c r="J1715" s="88"/>
    </row>
    <row r="1716">
      <c r="A1716" s="6" t="s">
        <v>9</v>
      </c>
      <c r="B1716" s="7" t="s">
        <v>2881</v>
      </c>
      <c r="C1716" s="91">
        <v>45608.43465365741</v>
      </c>
      <c r="D1716" s="8">
        <f t="shared" si="187"/>
        <v>45610</v>
      </c>
      <c r="E1716" s="9" t="s">
        <v>11</v>
      </c>
      <c r="F1716" s="10"/>
      <c r="G1716" s="9" t="s">
        <v>18</v>
      </c>
      <c r="H1716" s="7" t="s">
        <v>3393</v>
      </c>
      <c r="I1716" s="9" t="s">
        <v>353</v>
      </c>
      <c r="J1716" s="88"/>
    </row>
    <row r="1717">
      <c r="A1717" s="6" t="s">
        <v>9</v>
      </c>
      <c r="B1717" s="7" t="s">
        <v>3394</v>
      </c>
      <c r="C1717" s="91">
        <v>45603.61408159722</v>
      </c>
      <c r="D1717" s="8">
        <f t="shared" si="187"/>
        <v>45607</v>
      </c>
      <c r="E1717" s="9" t="s">
        <v>11</v>
      </c>
      <c r="F1717" s="10"/>
      <c r="G1717" s="9" t="s">
        <v>15</v>
      </c>
      <c r="H1717" s="7" t="s">
        <v>3395</v>
      </c>
      <c r="I1717" s="9" t="s">
        <v>353</v>
      </c>
      <c r="J1717" s="88"/>
    </row>
    <row r="1718">
      <c r="A1718" s="6" t="s">
        <v>9</v>
      </c>
      <c r="B1718" s="7" t="s">
        <v>3396</v>
      </c>
      <c r="C1718" s="91">
        <v>45580.62019056713</v>
      </c>
      <c r="D1718" s="8">
        <f t="shared" si="187"/>
        <v>45582</v>
      </c>
      <c r="E1718" s="9" t="s">
        <v>11</v>
      </c>
      <c r="F1718" s="10"/>
      <c r="G1718" s="9" t="s">
        <v>15</v>
      </c>
      <c r="H1718" s="7" t="s">
        <v>3397</v>
      </c>
      <c r="I1718" s="9" t="s">
        <v>353</v>
      </c>
      <c r="J1718" s="88"/>
    </row>
    <row r="1719">
      <c r="A1719" s="20" t="s">
        <v>98</v>
      </c>
      <c r="B1719" s="9" t="s">
        <v>3398</v>
      </c>
      <c r="C1719" s="91">
        <v>45603.595343043984</v>
      </c>
      <c r="D1719" s="8">
        <f t="shared" si="187"/>
        <v>45607</v>
      </c>
      <c r="E1719" s="9" t="s">
        <v>11</v>
      </c>
      <c r="F1719" s="10"/>
      <c r="G1719" s="9" t="s">
        <v>15</v>
      </c>
      <c r="H1719" s="7" t="s">
        <v>3399</v>
      </c>
      <c r="I1719" s="9" t="s">
        <v>353</v>
      </c>
      <c r="J1719" s="88"/>
    </row>
    <row r="1720">
      <c r="A1720" s="6" t="s">
        <v>9</v>
      </c>
      <c r="B1720" s="7" t="s">
        <v>1417</v>
      </c>
      <c r="C1720" s="91">
        <v>45603.64178355324</v>
      </c>
      <c r="D1720" s="8">
        <f t="shared" si="187"/>
        <v>45607</v>
      </c>
      <c r="E1720" s="9" t="s">
        <v>11</v>
      </c>
      <c r="F1720" s="10"/>
      <c r="G1720" s="9" t="s">
        <v>18</v>
      </c>
      <c r="H1720" s="7" t="s">
        <v>3400</v>
      </c>
      <c r="I1720" s="9" t="s">
        <v>353</v>
      </c>
      <c r="J1720" s="88"/>
    </row>
    <row r="1721">
      <c r="A1721" s="20" t="s">
        <v>98</v>
      </c>
      <c r="B1721" s="9" t="s">
        <v>3401</v>
      </c>
      <c r="C1721" s="91">
        <v>45600.75864774306</v>
      </c>
      <c r="D1721" s="8">
        <f t="shared" si="187"/>
        <v>45602</v>
      </c>
      <c r="E1721" s="9" t="s">
        <v>11</v>
      </c>
      <c r="F1721" s="10"/>
      <c r="G1721" s="9" t="s">
        <v>15</v>
      </c>
      <c r="H1721" s="7" t="s">
        <v>3402</v>
      </c>
      <c r="I1721" s="9" t="s">
        <v>353</v>
      </c>
      <c r="J1721" s="88"/>
    </row>
    <row r="1722">
      <c r="A1722" s="54" t="s">
        <v>236</v>
      </c>
      <c r="B1722" s="7" t="s">
        <v>3403</v>
      </c>
      <c r="C1722" s="91">
        <v>45603.42554300926</v>
      </c>
      <c r="D1722" s="8">
        <f t="shared" si="187"/>
        <v>45607</v>
      </c>
      <c r="E1722" s="9" t="s">
        <v>11</v>
      </c>
      <c r="F1722" s="10"/>
      <c r="G1722" s="9" t="s">
        <v>18</v>
      </c>
      <c r="H1722" s="7" t="s">
        <v>3404</v>
      </c>
      <c r="I1722" s="9" t="s">
        <v>353</v>
      </c>
      <c r="J1722" s="88"/>
    </row>
    <row r="1723">
      <c r="A1723" s="20" t="s">
        <v>98</v>
      </c>
      <c r="B1723" s="9" t="s">
        <v>3405</v>
      </c>
      <c r="C1723" s="91">
        <v>45476.48136326389</v>
      </c>
      <c r="D1723" s="8">
        <f t="shared" si="187"/>
        <v>45478</v>
      </c>
      <c r="E1723" s="9" t="s">
        <v>88</v>
      </c>
      <c r="F1723" s="10"/>
      <c r="G1723" s="9" t="s">
        <v>15</v>
      </c>
      <c r="H1723" s="7" t="s">
        <v>3406</v>
      </c>
      <c r="I1723" s="9" t="s">
        <v>353</v>
      </c>
      <c r="J1723" s="88"/>
    </row>
    <row r="1724">
      <c r="A1724" s="54" t="s">
        <v>236</v>
      </c>
      <c r="B1724" s="7" t="s">
        <v>3407</v>
      </c>
      <c r="C1724" s="91">
        <v>45603.426025231485</v>
      </c>
      <c r="D1724" s="8">
        <f t="shared" si="187"/>
        <v>45607</v>
      </c>
      <c r="E1724" s="9" t="s">
        <v>11</v>
      </c>
      <c r="F1724" s="10"/>
      <c r="G1724" s="9" t="s">
        <v>18</v>
      </c>
      <c r="H1724" s="7" t="s">
        <v>3408</v>
      </c>
      <c r="I1724" s="9" t="s">
        <v>353</v>
      </c>
      <c r="J1724" s="88"/>
    </row>
    <row r="1725">
      <c r="A1725" s="88"/>
      <c r="B1725" s="89"/>
      <c r="C1725" s="90"/>
      <c r="D1725" s="89"/>
      <c r="E1725" s="89"/>
      <c r="F1725" s="89"/>
      <c r="G1725" s="89"/>
      <c r="H1725" s="87"/>
      <c r="I1725" s="89"/>
      <c r="J1725" s="88"/>
    </row>
    <row r="1726">
      <c r="A1726" s="20" t="s">
        <v>98</v>
      </c>
      <c r="B1726" s="9" t="s">
        <v>3409</v>
      </c>
      <c r="C1726" s="91">
        <v>45603.592868692125</v>
      </c>
      <c r="D1726" s="8">
        <f t="shared" ref="D1726:D1729" si="188">IFERROR(_xlfn.WORKDAY.INTL(C1726, 2),"-")</f>
        <v>45607</v>
      </c>
      <c r="E1726" s="9" t="s">
        <v>11</v>
      </c>
      <c r="F1726" s="10"/>
      <c r="G1726" s="9" t="s">
        <v>18</v>
      </c>
      <c r="H1726" s="7" t="s">
        <v>3410</v>
      </c>
      <c r="I1726" s="9" t="s">
        <v>353</v>
      </c>
      <c r="J1726" s="88"/>
    </row>
    <row r="1727">
      <c r="A1727" s="20" t="s">
        <v>98</v>
      </c>
      <c r="B1727" s="9" t="s">
        <v>3411</v>
      </c>
      <c r="C1727" s="91">
        <v>45603.58325605324</v>
      </c>
      <c r="D1727" s="8">
        <f t="shared" si="188"/>
        <v>45607</v>
      </c>
      <c r="E1727" s="9" t="s">
        <v>11</v>
      </c>
      <c r="F1727" s="10"/>
      <c r="G1727" s="9" t="s">
        <v>18</v>
      </c>
      <c r="H1727" s="7" t="s">
        <v>3410</v>
      </c>
      <c r="I1727" s="9" t="s">
        <v>353</v>
      </c>
      <c r="J1727" s="88"/>
    </row>
    <row r="1728">
      <c r="A1728" s="6" t="s">
        <v>9</v>
      </c>
      <c r="B1728" s="7" t="s">
        <v>3412</v>
      </c>
      <c r="C1728" s="91">
        <v>45600.50598108796</v>
      </c>
      <c r="D1728" s="8">
        <f t="shared" si="188"/>
        <v>45602</v>
      </c>
      <c r="E1728" s="9" t="s">
        <v>11</v>
      </c>
      <c r="F1728" s="10"/>
      <c r="G1728" s="9" t="s">
        <v>15</v>
      </c>
      <c r="H1728" s="7" t="s">
        <v>3413</v>
      </c>
      <c r="I1728" s="9" t="s">
        <v>353</v>
      </c>
      <c r="J1728" s="88"/>
    </row>
    <row r="1729">
      <c r="A1729" s="20" t="s">
        <v>98</v>
      </c>
      <c r="B1729" s="9" t="s">
        <v>3414</v>
      </c>
      <c r="C1729" s="91">
        <v>45602.61976351852</v>
      </c>
      <c r="D1729" s="8">
        <f t="shared" si="188"/>
        <v>45604</v>
      </c>
      <c r="E1729" s="9" t="s">
        <v>11</v>
      </c>
      <c r="F1729" s="10"/>
      <c r="G1729" s="9" t="s">
        <v>18</v>
      </c>
      <c r="H1729" s="7" t="s">
        <v>3415</v>
      </c>
      <c r="I1729" s="9" t="s">
        <v>353</v>
      </c>
      <c r="J1729" s="88"/>
    </row>
    <row r="1730">
      <c r="A1730" s="102"/>
      <c r="B1730" s="7" t="s">
        <v>3416</v>
      </c>
      <c r="C1730" s="91">
        <v>45586.37036706018</v>
      </c>
      <c r="D1730" s="8"/>
      <c r="E1730" s="9"/>
      <c r="F1730" s="10"/>
      <c r="G1730" s="9" t="s">
        <v>15</v>
      </c>
      <c r="H1730" s="7" t="s">
        <v>3417</v>
      </c>
      <c r="I1730" s="9" t="s">
        <v>353</v>
      </c>
      <c r="J1730" s="88"/>
    </row>
    <row r="1731">
      <c r="A1731" s="102" t="s">
        <v>624</v>
      </c>
      <c r="B1731" s="7" t="s">
        <v>3418</v>
      </c>
      <c r="C1731" s="91">
        <v>45587.64560559028</v>
      </c>
      <c r="D1731" s="8">
        <f t="shared" ref="D1731:D1734" si="189">IFERROR(_xlfn.WORKDAY.INTL(C1731, 2),"-")</f>
        <v>45589</v>
      </c>
      <c r="E1731" s="9" t="s">
        <v>206</v>
      </c>
      <c r="F1731" s="10"/>
      <c r="G1731" s="9" t="s">
        <v>15</v>
      </c>
      <c r="H1731" s="7" t="s">
        <v>3419</v>
      </c>
      <c r="I1731" s="9" t="s">
        <v>353</v>
      </c>
      <c r="J1731" s="88"/>
    </row>
    <row r="1732">
      <c r="A1732" s="102" t="s">
        <v>624</v>
      </c>
      <c r="B1732" s="7" t="s">
        <v>3420</v>
      </c>
      <c r="C1732" s="91">
        <v>45565.36802513889</v>
      </c>
      <c r="D1732" s="8">
        <f t="shared" si="189"/>
        <v>45567</v>
      </c>
      <c r="E1732" s="9" t="s">
        <v>11</v>
      </c>
      <c r="F1732" s="10"/>
      <c r="G1732" s="9" t="s">
        <v>15</v>
      </c>
      <c r="H1732" s="7" t="s">
        <v>3421</v>
      </c>
      <c r="I1732" s="9" t="s">
        <v>353</v>
      </c>
      <c r="J1732" s="88"/>
    </row>
    <row r="1733">
      <c r="A1733" s="54" t="s">
        <v>236</v>
      </c>
      <c r="B1733" s="7" t="s">
        <v>3422</v>
      </c>
      <c r="C1733" s="91">
        <v>45595.695970879635</v>
      </c>
      <c r="D1733" s="8">
        <f t="shared" si="189"/>
        <v>45597</v>
      </c>
      <c r="E1733" s="9" t="s">
        <v>11</v>
      </c>
      <c r="F1733" s="10"/>
      <c r="G1733" s="9" t="s">
        <v>15</v>
      </c>
      <c r="H1733" s="7" t="s">
        <v>3423</v>
      </c>
      <c r="I1733" s="9" t="s">
        <v>353</v>
      </c>
      <c r="J1733" s="88"/>
    </row>
    <row r="1734">
      <c r="A1734" s="54" t="s">
        <v>236</v>
      </c>
      <c r="B1734" s="7" t="s">
        <v>3424</v>
      </c>
      <c r="C1734" s="91">
        <v>45540.51481465278</v>
      </c>
      <c r="D1734" s="8">
        <f t="shared" si="189"/>
        <v>45544</v>
      </c>
      <c r="E1734" s="9" t="s">
        <v>11</v>
      </c>
      <c r="F1734" s="10"/>
      <c r="G1734" s="9" t="s">
        <v>220</v>
      </c>
      <c r="H1734" s="7" t="s">
        <v>3425</v>
      </c>
      <c r="I1734" s="9" t="s">
        <v>353</v>
      </c>
      <c r="J1734" s="88"/>
    </row>
    <row r="1735">
      <c r="A1735" s="88"/>
      <c r="B1735" s="89"/>
      <c r="C1735" s="90"/>
      <c r="D1735" s="89"/>
      <c r="E1735" s="89"/>
      <c r="F1735" s="89"/>
      <c r="G1735" s="89"/>
      <c r="H1735" s="87"/>
      <c r="I1735" s="89"/>
      <c r="J1735" s="88"/>
    </row>
    <row r="1736">
      <c r="A1736" s="20" t="s">
        <v>98</v>
      </c>
      <c r="B1736" s="9" t="s">
        <v>3426</v>
      </c>
      <c r="C1736" s="91">
        <v>45594.43096349537</v>
      </c>
      <c r="D1736" s="8">
        <f>IFERROR(_xlfn.WORKDAY.INTL(C1736, 2),"-")</f>
        <v>45596</v>
      </c>
      <c r="E1736" s="9" t="s">
        <v>11</v>
      </c>
      <c r="F1736" s="10"/>
      <c r="G1736" s="9" t="s">
        <v>15</v>
      </c>
      <c r="H1736" s="7" t="s">
        <v>3427</v>
      </c>
      <c r="I1736" s="9" t="s">
        <v>353</v>
      </c>
      <c r="J1736" s="88"/>
    </row>
    <row r="1737">
      <c r="A1737" s="42" t="s">
        <v>206</v>
      </c>
      <c r="B1737" s="43" t="s">
        <v>3428</v>
      </c>
      <c r="C1737" s="91">
        <v>45586.62696325232</v>
      </c>
      <c r="D1737" s="8"/>
      <c r="E1737" s="9"/>
      <c r="F1737" s="10"/>
      <c r="G1737" s="9" t="s">
        <v>18</v>
      </c>
      <c r="H1737" s="11"/>
      <c r="I1737" s="9" t="s">
        <v>353</v>
      </c>
      <c r="J1737" s="88"/>
    </row>
    <row r="1738">
      <c r="A1738" s="42" t="s">
        <v>206</v>
      </c>
      <c r="B1738" s="160" t="s">
        <v>3429</v>
      </c>
      <c r="C1738" s="91">
        <v>45566.41478295139</v>
      </c>
      <c r="D1738" s="8"/>
      <c r="E1738" s="9"/>
      <c r="F1738" s="10"/>
      <c r="G1738" s="9" t="s">
        <v>15</v>
      </c>
      <c r="H1738" s="11"/>
      <c r="I1738" s="9" t="s">
        <v>353</v>
      </c>
      <c r="J1738" s="88"/>
    </row>
    <row r="1739">
      <c r="A1739" s="20" t="s">
        <v>98</v>
      </c>
      <c r="B1739" s="9" t="s">
        <v>3430</v>
      </c>
      <c r="C1739" s="91">
        <v>45559.482441342596</v>
      </c>
      <c r="D1739" s="8">
        <f t="shared" ref="D1739:D1744" si="190">IFERROR(_xlfn.WORKDAY.INTL(C1739, 2),"-")</f>
        <v>45561</v>
      </c>
      <c r="E1739" s="9" t="s">
        <v>11</v>
      </c>
      <c r="F1739" s="10"/>
      <c r="G1739" s="9" t="s">
        <v>15</v>
      </c>
      <c r="H1739" s="7" t="s">
        <v>3431</v>
      </c>
      <c r="I1739" s="9" t="s">
        <v>353</v>
      </c>
      <c r="J1739" s="88"/>
    </row>
    <row r="1740">
      <c r="A1740" s="20" t="s">
        <v>98</v>
      </c>
      <c r="B1740" s="9" t="s">
        <v>3432</v>
      </c>
      <c r="C1740" s="91">
        <v>45587.57759539352</v>
      </c>
      <c r="D1740" s="8">
        <f t="shared" si="190"/>
        <v>45589</v>
      </c>
      <c r="E1740" s="9" t="s">
        <v>11</v>
      </c>
      <c r="F1740" s="10"/>
      <c r="G1740" s="9" t="s">
        <v>15</v>
      </c>
      <c r="H1740" s="7" t="s">
        <v>3433</v>
      </c>
      <c r="I1740" s="9" t="s">
        <v>353</v>
      </c>
      <c r="J1740" s="88"/>
    </row>
    <row r="1741">
      <c r="A1741" s="20" t="s">
        <v>98</v>
      </c>
      <c r="B1741" s="9" t="s">
        <v>3434</v>
      </c>
      <c r="C1741" s="91">
        <v>45573.4035654051</v>
      </c>
      <c r="D1741" s="8">
        <f t="shared" si="190"/>
        <v>45575</v>
      </c>
      <c r="E1741" s="9" t="s">
        <v>11</v>
      </c>
      <c r="F1741" s="10"/>
      <c r="G1741" s="9" t="s">
        <v>15</v>
      </c>
      <c r="H1741" s="23" t="s">
        <v>3435</v>
      </c>
      <c r="I1741" s="9" t="s">
        <v>353</v>
      </c>
      <c r="J1741" s="88"/>
    </row>
    <row r="1742">
      <c r="A1742" s="6" t="s">
        <v>9</v>
      </c>
      <c r="B1742" s="7" t="s">
        <v>3436</v>
      </c>
      <c r="C1742" s="91">
        <v>45600.51354151621</v>
      </c>
      <c r="D1742" s="8">
        <f t="shared" si="190"/>
        <v>45602</v>
      </c>
      <c r="E1742" s="9" t="s">
        <v>11</v>
      </c>
      <c r="F1742" s="10"/>
      <c r="G1742" s="9" t="s">
        <v>15</v>
      </c>
      <c r="H1742" s="7" t="s">
        <v>3437</v>
      </c>
      <c r="I1742" s="9" t="s">
        <v>353</v>
      </c>
      <c r="J1742" s="88"/>
    </row>
    <row r="1743">
      <c r="A1743" s="20" t="s">
        <v>98</v>
      </c>
      <c r="B1743" s="9" t="s">
        <v>3438</v>
      </c>
      <c r="C1743" s="91">
        <v>45573.404744687505</v>
      </c>
      <c r="D1743" s="8">
        <f t="shared" si="190"/>
        <v>45575</v>
      </c>
      <c r="E1743" s="9" t="s">
        <v>11</v>
      </c>
      <c r="F1743" s="10"/>
      <c r="G1743" s="9" t="s">
        <v>18</v>
      </c>
      <c r="H1743" s="7" t="s">
        <v>3439</v>
      </c>
      <c r="I1743" s="9" t="s">
        <v>353</v>
      </c>
      <c r="J1743" s="88"/>
    </row>
    <row r="1744">
      <c r="A1744" s="20" t="s">
        <v>98</v>
      </c>
      <c r="B1744" s="9" t="s">
        <v>3440</v>
      </c>
      <c r="C1744" s="91">
        <v>45600.72650322916</v>
      </c>
      <c r="D1744" s="8">
        <f t="shared" si="190"/>
        <v>45602</v>
      </c>
      <c r="E1744" s="9" t="s">
        <v>11</v>
      </c>
      <c r="F1744" s="10"/>
      <c r="G1744" s="9" t="s">
        <v>18</v>
      </c>
      <c r="H1744" s="7" t="s">
        <v>3441</v>
      </c>
      <c r="I1744" s="9" t="s">
        <v>353</v>
      </c>
      <c r="J1744" s="88"/>
    </row>
    <row r="1745">
      <c r="A1745" s="42" t="s">
        <v>206</v>
      </c>
      <c r="B1745" s="43" t="s">
        <v>3442</v>
      </c>
      <c r="C1745" s="91">
        <v>45506.38473114584</v>
      </c>
      <c r="D1745" s="8"/>
      <c r="E1745" s="9"/>
      <c r="F1745" s="10"/>
      <c r="G1745" s="9" t="s">
        <v>18</v>
      </c>
      <c r="H1745" s="7" t="s">
        <v>3443</v>
      </c>
      <c r="I1745" s="9" t="s">
        <v>353</v>
      </c>
      <c r="J1745" s="88"/>
    </row>
    <row r="1746">
      <c r="A1746" s="42" t="s">
        <v>206</v>
      </c>
      <c r="B1746" s="43" t="s">
        <v>3444</v>
      </c>
      <c r="C1746" s="91">
        <v>45574.3734553588</v>
      </c>
      <c r="D1746" s="8"/>
      <c r="E1746" s="9"/>
      <c r="F1746" s="10"/>
      <c r="G1746" s="9" t="s">
        <v>15</v>
      </c>
      <c r="H1746" s="7" t="s">
        <v>3445</v>
      </c>
      <c r="I1746" s="9" t="s">
        <v>353</v>
      </c>
      <c r="J1746" s="88"/>
    </row>
    <row r="1747">
      <c r="A1747" s="54" t="s">
        <v>236</v>
      </c>
      <c r="B1747" s="162" t="s">
        <v>3446</v>
      </c>
      <c r="C1747" s="91">
        <v>45594.48295111112</v>
      </c>
      <c r="D1747" s="8">
        <f t="shared" ref="D1747:D1770" si="191">IFERROR(_xlfn.WORKDAY.INTL(C1747, 2),"-")</f>
        <v>45596</v>
      </c>
      <c r="E1747" s="9" t="s">
        <v>11</v>
      </c>
      <c r="F1747" s="10"/>
      <c r="G1747" s="9" t="s">
        <v>220</v>
      </c>
      <c r="H1747" s="7" t="s">
        <v>3447</v>
      </c>
      <c r="I1747" s="9" t="s">
        <v>353</v>
      </c>
      <c r="J1747" s="88"/>
    </row>
    <row r="1748">
      <c r="A1748" s="34" t="s">
        <v>204</v>
      </c>
      <c r="B1748" s="7" t="s">
        <v>3448</v>
      </c>
      <c r="C1748" s="91">
        <v>45595.48008028935</v>
      </c>
      <c r="D1748" s="8">
        <f t="shared" si="191"/>
        <v>45597</v>
      </c>
      <c r="E1748" s="9" t="s">
        <v>11</v>
      </c>
      <c r="F1748" s="10"/>
      <c r="G1748" s="9" t="s">
        <v>18</v>
      </c>
      <c r="H1748" s="7" t="s">
        <v>437</v>
      </c>
      <c r="I1748" s="9" t="s">
        <v>353</v>
      </c>
      <c r="J1748" s="88"/>
    </row>
    <row r="1749">
      <c r="A1749" s="34" t="s">
        <v>204</v>
      </c>
      <c r="B1749" s="7" t="s">
        <v>3449</v>
      </c>
      <c r="C1749" s="91">
        <v>45596.43860354167</v>
      </c>
      <c r="D1749" s="8">
        <f t="shared" si="191"/>
        <v>45600</v>
      </c>
      <c r="E1749" s="9" t="s">
        <v>11</v>
      </c>
      <c r="F1749" s="10"/>
      <c r="G1749" s="9" t="s">
        <v>18</v>
      </c>
      <c r="H1749" s="7" t="s">
        <v>437</v>
      </c>
      <c r="I1749" s="9" t="s">
        <v>353</v>
      </c>
      <c r="J1749" s="88"/>
    </row>
    <row r="1750">
      <c r="A1750" s="6" t="s">
        <v>9</v>
      </c>
      <c r="B1750" s="7" t="s">
        <v>3450</v>
      </c>
      <c r="C1750" s="91">
        <v>45594.421475243056</v>
      </c>
      <c r="D1750" s="8">
        <f t="shared" si="191"/>
        <v>45596</v>
      </c>
      <c r="E1750" s="9" t="s">
        <v>11</v>
      </c>
      <c r="F1750" s="10"/>
      <c r="G1750" s="9" t="s">
        <v>15</v>
      </c>
      <c r="H1750" s="7" t="s">
        <v>748</v>
      </c>
      <c r="I1750" s="9" t="s">
        <v>353</v>
      </c>
      <c r="J1750" s="88"/>
    </row>
    <row r="1751">
      <c r="A1751" s="54" t="s">
        <v>236</v>
      </c>
      <c r="B1751" s="7" t="s">
        <v>3451</v>
      </c>
      <c r="C1751" s="91">
        <v>45594.665164826394</v>
      </c>
      <c r="D1751" s="8">
        <f t="shared" si="191"/>
        <v>45596</v>
      </c>
      <c r="E1751" s="9" t="s">
        <v>11</v>
      </c>
      <c r="F1751" s="10"/>
      <c r="G1751" s="9" t="s">
        <v>18</v>
      </c>
      <c r="H1751" s="7" t="s">
        <v>3452</v>
      </c>
      <c r="I1751" s="9" t="s">
        <v>353</v>
      </c>
      <c r="J1751" s="88"/>
    </row>
    <row r="1752">
      <c r="A1752" s="54" t="s">
        <v>236</v>
      </c>
      <c r="B1752" s="7" t="s">
        <v>3453</v>
      </c>
      <c r="C1752" s="91">
        <v>45594.66437559028</v>
      </c>
      <c r="D1752" s="8">
        <f t="shared" si="191"/>
        <v>45596</v>
      </c>
      <c r="E1752" s="9" t="s">
        <v>11</v>
      </c>
      <c r="F1752" s="10"/>
      <c r="G1752" s="9" t="s">
        <v>15</v>
      </c>
      <c r="H1752" s="7" t="s">
        <v>3454</v>
      </c>
      <c r="I1752" s="9" t="s">
        <v>353</v>
      </c>
      <c r="J1752" s="88"/>
    </row>
    <row r="1753">
      <c r="A1753" s="6" t="s">
        <v>9</v>
      </c>
      <c r="B1753" s="7" t="s">
        <v>3455</v>
      </c>
      <c r="C1753" s="91">
        <v>45589.58959094908</v>
      </c>
      <c r="D1753" s="8">
        <f t="shared" si="191"/>
        <v>45593</v>
      </c>
      <c r="E1753" s="9" t="s">
        <v>11</v>
      </c>
      <c r="F1753" s="10"/>
      <c r="G1753" s="9" t="s">
        <v>18</v>
      </c>
      <c r="H1753" s="7" t="s">
        <v>3456</v>
      </c>
      <c r="I1753" s="9" t="s">
        <v>353</v>
      </c>
      <c r="J1753" s="88"/>
    </row>
    <row r="1754">
      <c r="A1754" s="6" t="s">
        <v>9</v>
      </c>
      <c r="B1754" s="7" t="s">
        <v>3457</v>
      </c>
      <c r="C1754" s="91">
        <v>45595.41455969907</v>
      </c>
      <c r="D1754" s="8">
        <f t="shared" si="191"/>
        <v>45597</v>
      </c>
      <c r="E1754" s="9" t="s">
        <v>11</v>
      </c>
      <c r="F1754" s="10"/>
      <c r="G1754" s="9" t="s">
        <v>15</v>
      </c>
      <c r="H1754" s="7" t="s">
        <v>748</v>
      </c>
      <c r="I1754" s="9" t="s">
        <v>353</v>
      </c>
      <c r="J1754" s="88"/>
    </row>
    <row r="1755">
      <c r="A1755" s="6" t="s">
        <v>9</v>
      </c>
      <c r="B1755" s="7" t="s">
        <v>3458</v>
      </c>
      <c r="C1755" s="91">
        <v>45595.420592916664</v>
      </c>
      <c r="D1755" s="8">
        <f t="shared" si="191"/>
        <v>45597</v>
      </c>
      <c r="E1755" s="9" t="s">
        <v>11</v>
      </c>
      <c r="F1755" s="10"/>
      <c r="G1755" s="9" t="s">
        <v>15</v>
      </c>
      <c r="H1755" s="7" t="s">
        <v>3459</v>
      </c>
      <c r="I1755" s="9" t="s">
        <v>353</v>
      </c>
      <c r="J1755" s="88"/>
    </row>
    <row r="1756">
      <c r="A1756" s="54" t="s">
        <v>236</v>
      </c>
      <c r="B1756" s="7" t="s">
        <v>3460</v>
      </c>
      <c r="C1756" s="91">
        <v>45594.66366881944</v>
      </c>
      <c r="D1756" s="8">
        <f t="shared" si="191"/>
        <v>45596</v>
      </c>
      <c r="E1756" s="9" t="s">
        <v>11</v>
      </c>
      <c r="F1756" s="10"/>
      <c r="G1756" s="9"/>
      <c r="H1756" s="24" t="s">
        <v>3461</v>
      </c>
      <c r="I1756" s="9" t="s">
        <v>353</v>
      </c>
      <c r="J1756" s="88"/>
    </row>
    <row r="1757">
      <c r="A1757" s="6" t="s">
        <v>9</v>
      </c>
      <c r="B1757" s="7" t="s">
        <v>3462</v>
      </c>
      <c r="C1757" s="91">
        <v>45594.40294581019</v>
      </c>
      <c r="D1757" s="8">
        <f t="shared" si="191"/>
        <v>45596</v>
      </c>
      <c r="E1757" s="9" t="s">
        <v>11</v>
      </c>
      <c r="F1757" s="10"/>
      <c r="G1757" s="9" t="s">
        <v>18</v>
      </c>
      <c r="H1757" s="7" t="s">
        <v>3463</v>
      </c>
      <c r="I1757" s="9" t="s">
        <v>353</v>
      </c>
      <c r="J1757" s="88"/>
    </row>
    <row r="1758">
      <c r="A1758" s="6" t="s">
        <v>9</v>
      </c>
      <c r="B1758" s="7" t="s">
        <v>3464</v>
      </c>
      <c r="C1758" s="91">
        <v>45594.40286112268</v>
      </c>
      <c r="D1758" s="8">
        <f t="shared" si="191"/>
        <v>45596</v>
      </c>
      <c r="E1758" s="9" t="s">
        <v>11</v>
      </c>
      <c r="F1758" s="10"/>
      <c r="G1758" s="9" t="s">
        <v>18</v>
      </c>
      <c r="H1758" s="7" t="s">
        <v>3465</v>
      </c>
      <c r="I1758" s="9" t="s">
        <v>353</v>
      </c>
      <c r="J1758" s="88"/>
    </row>
    <row r="1759">
      <c r="A1759" s="6" t="s">
        <v>9</v>
      </c>
      <c r="B1759" s="7" t="s">
        <v>3466</v>
      </c>
      <c r="C1759" s="91">
        <v>45369.34602046297</v>
      </c>
      <c r="D1759" s="8">
        <f t="shared" si="191"/>
        <v>45371</v>
      </c>
      <c r="E1759" s="9" t="s">
        <v>94</v>
      </c>
      <c r="F1759" s="10"/>
      <c r="G1759" s="9" t="s">
        <v>15</v>
      </c>
      <c r="H1759" s="7" t="s">
        <v>3467</v>
      </c>
      <c r="I1759" s="9" t="s">
        <v>353</v>
      </c>
      <c r="J1759" s="88"/>
    </row>
    <row r="1760">
      <c r="A1760" s="6" t="s">
        <v>9</v>
      </c>
      <c r="B1760" s="7" t="s">
        <v>3468</v>
      </c>
      <c r="C1760" s="91">
        <v>45581.47191491898</v>
      </c>
      <c r="D1760" s="8">
        <f t="shared" si="191"/>
        <v>45583</v>
      </c>
      <c r="E1760" s="9" t="s">
        <v>11</v>
      </c>
      <c r="F1760" s="10"/>
      <c r="G1760" s="9" t="s">
        <v>15</v>
      </c>
      <c r="H1760" s="7" t="s">
        <v>3469</v>
      </c>
      <c r="I1760" s="9" t="s">
        <v>353</v>
      </c>
      <c r="J1760" s="88"/>
    </row>
    <row r="1761">
      <c r="A1761" s="6" t="s">
        <v>9</v>
      </c>
      <c r="B1761" s="7" t="s">
        <v>3470</v>
      </c>
      <c r="C1761" s="91">
        <v>45540.572973692135</v>
      </c>
      <c r="D1761" s="8">
        <f t="shared" si="191"/>
        <v>45544</v>
      </c>
      <c r="E1761" s="9" t="s">
        <v>11</v>
      </c>
      <c r="F1761" s="10"/>
      <c r="G1761" s="9" t="s">
        <v>15</v>
      </c>
      <c r="H1761" s="7" t="s">
        <v>3471</v>
      </c>
      <c r="I1761" s="9" t="s">
        <v>353</v>
      </c>
      <c r="J1761" s="88"/>
    </row>
    <row r="1762">
      <c r="A1762" s="54" t="s">
        <v>236</v>
      </c>
      <c r="B1762" s="7" t="s">
        <v>3472</v>
      </c>
      <c r="C1762" s="91">
        <v>45582.72844666667</v>
      </c>
      <c r="D1762" s="8">
        <f t="shared" si="191"/>
        <v>45586</v>
      </c>
      <c r="E1762" s="9" t="s">
        <v>11</v>
      </c>
      <c r="F1762" s="10"/>
      <c r="G1762" s="9" t="s">
        <v>220</v>
      </c>
      <c r="H1762" s="7" t="s">
        <v>3473</v>
      </c>
      <c r="I1762" s="9" t="s">
        <v>353</v>
      </c>
      <c r="J1762" s="88"/>
    </row>
    <row r="1763">
      <c r="A1763" s="54" t="s">
        <v>236</v>
      </c>
      <c r="B1763" s="7" t="s">
        <v>3474</v>
      </c>
      <c r="C1763" s="91">
        <v>45580.65604607639</v>
      </c>
      <c r="D1763" s="8">
        <f t="shared" si="191"/>
        <v>45582</v>
      </c>
      <c r="E1763" s="9" t="s">
        <v>11</v>
      </c>
      <c r="F1763" s="10"/>
      <c r="G1763" s="9" t="s">
        <v>220</v>
      </c>
      <c r="H1763" s="7" t="s">
        <v>3475</v>
      </c>
      <c r="I1763" s="9" t="s">
        <v>353</v>
      </c>
      <c r="J1763" s="88"/>
    </row>
    <row r="1764">
      <c r="A1764" s="102" t="s">
        <v>624</v>
      </c>
      <c r="B1764" s="7" t="s">
        <v>3476</v>
      </c>
      <c r="C1764" s="91">
        <v>45560.60642592593</v>
      </c>
      <c r="D1764" s="8">
        <f t="shared" si="191"/>
        <v>45562</v>
      </c>
      <c r="E1764" s="9" t="s">
        <v>206</v>
      </c>
      <c r="F1764" s="10"/>
      <c r="G1764" s="9" t="s">
        <v>15</v>
      </c>
      <c r="H1764" s="7" t="s">
        <v>3477</v>
      </c>
      <c r="I1764" s="9" t="s">
        <v>353</v>
      </c>
      <c r="J1764" s="88"/>
    </row>
    <row r="1765">
      <c r="A1765" s="102" t="s">
        <v>624</v>
      </c>
      <c r="B1765" s="7" t="s">
        <v>3478</v>
      </c>
      <c r="C1765" s="91">
        <v>45575.72833377315</v>
      </c>
      <c r="D1765" s="8">
        <f t="shared" si="191"/>
        <v>45579</v>
      </c>
      <c r="E1765" s="9" t="s">
        <v>11</v>
      </c>
      <c r="F1765" s="10"/>
      <c r="G1765" s="9" t="s">
        <v>15</v>
      </c>
      <c r="H1765" s="7" t="s">
        <v>3479</v>
      </c>
      <c r="I1765" s="9" t="s">
        <v>353</v>
      </c>
      <c r="J1765" s="88"/>
    </row>
    <row r="1766">
      <c r="A1766" s="20" t="s">
        <v>98</v>
      </c>
      <c r="B1766" s="9" t="s">
        <v>3480</v>
      </c>
      <c r="C1766" s="91">
        <v>45593.636230868055</v>
      </c>
      <c r="D1766" s="8">
        <f t="shared" si="191"/>
        <v>45595</v>
      </c>
      <c r="E1766" s="9" t="s">
        <v>11</v>
      </c>
      <c r="F1766" s="10"/>
      <c r="G1766" s="9" t="s">
        <v>18</v>
      </c>
      <c r="H1766" s="7" t="s">
        <v>3481</v>
      </c>
      <c r="I1766" s="9" t="s">
        <v>353</v>
      </c>
      <c r="J1766" s="88"/>
    </row>
    <row r="1767">
      <c r="A1767" s="6" t="s">
        <v>9</v>
      </c>
      <c r="B1767" s="7" t="s">
        <v>3482</v>
      </c>
      <c r="C1767" s="91">
        <v>45593.578937060185</v>
      </c>
      <c r="D1767" s="8">
        <f t="shared" si="191"/>
        <v>45595</v>
      </c>
      <c r="E1767" s="9" t="s">
        <v>11</v>
      </c>
      <c r="F1767" s="10"/>
      <c r="G1767" s="9" t="s">
        <v>15</v>
      </c>
      <c r="H1767" s="7" t="s">
        <v>3483</v>
      </c>
      <c r="I1767" s="9" t="s">
        <v>353</v>
      </c>
      <c r="J1767" s="88"/>
    </row>
    <row r="1768">
      <c r="A1768" s="20" t="s">
        <v>98</v>
      </c>
      <c r="B1768" s="9" t="s">
        <v>3484</v>
      </c>
      <c r="C1768" s="91">
        <v>45589.500405300925</v>
      </c>
      <c r="D1768" s="8">
        <f t="shared" si="191"/>
        <v>45593</v>
      </c>
      <c r="E1768" s="9" t="s">
        <v>11</v>
      </c>
      <c r="F1768" s="10"/>
      <c r="G1768" s="9" t="s">
        <v>18</v>
      </c>
      <c r="H1768" s="7" t="s">
        <v>3485</v>
      </c>
      <c r="I1768" s="9" t="s">
        <v>353</v>
      </c>
      <c r="J1768" s="88"/>
    </row>
    <row r="1769">
      <c r="A1769" s="20" t="s">
        <v>98</v>
      </c>
      <c r="B1769" s="9" t="s">
        <v>3486</v>
      </c>
      <c r="C1769" s="91">
        <v>45565.582544398145</v>
      </c>
      <c r="D1769" s="8">
        <f t="shared" si="191"/>
        <v>45567</v>
      </c>
      <c r="E1769" s="9" t="s">
        <v>11</v>
      </c>
      <c r="F1769" s="10"/>
      <c r="G1769" s="9" t="s">
        <v>18</v>
      </c>
      <c r="H1769" s="7" t="s">
        <v>3487</v>
      </c>
      <c r="I1769" s="9" t="s">
        <v>353</v>
      </c>
      <c r="J1769" s="88"/>
    </row>
    <row r="1770">
      <c r="A1770" s="34" t="s">
        <v>204</v>
      </c>
      <c r="B1770" s="11"/>
      <c r="C1770" s="91" t="s">
        <v>11</v>
      </c>
      <c r="D1770" s="8" t="str">
        <f t="shared" si="191"/>
        <v>-</v>
      </c>
      <c r="E1770" s="9" t="s">
        <v>11</v>
      </c>
      <c r="F1770" s="10"/>
      <c r="G1770" s="9"/>
      <c r="H1770" s="11"/>
      <c r="I1770" s="9" t="s">
        <v>13</v>
      </c>
      <c r="J1770" s="88"/>
    </row>
    <row r="1771">
      <c r="A1771" s="88"/>
      <c r="B1771" s="89"/>
      <c r="C1771" s="90"/>
      <c r="D1771" s="89"/>
      <c r="E1771" s="89"/>
      <c r="F1771" s="89"/>
      <c r="G1771" s="89"/>
      <c r="H1771" s="87"/>
      <c r="I1771" s="89"/>
      <c r="J1771" s="88"/>
    </row>
    <row r="1772">
      <c r="A1772" s="20" t="s">
        <v>98</v>
      </c>
      <c r="B1772" s="9" t="s">
        <v>3488</v>
      </c>
      <c r="C1772" s="91">
        <v>45350.7364121875</v>
      </c>
      <c r="D1772" s="8">
        <f t="shared" ref="D1772:D1824" si="192">IFERROR(_xlfn.WORKDAY.INTL(C1772, 2),"-")</f>
        <v>45352</v>
      </c>
      <c r="E1772" s="9" t="s">
        <v>88</v>
      </c>
      <c r="F1772" s="10"/>
      <c r="G1772" s="9" t="s">
        <v>15</v>
      </c>
      <c r="H1772" s="7" t="s">
        <v>3489</v>
      </c>
      <c r="I1772" s="9" t="s">
        <v>353</v>
      </c>
      <c r="J1772" s="88"/>
    </row>
    <row r="1773">
      <c r="A1773" s="20" t="s">
        <v>98</v>
      </c>
      <c r="B1773" s="9" t="s">
        <v>3490</v>
      </c>
      <c r="C1773" s="91">
        <v>45588.60875733796</v>
      </c>
      <c r="D1773" s="8">
        <f t="shared" si="192"/>
        <v>45590</v>
      </c>
      <c r="E1773" s="9" t="s">
        <v>88</v>
      </c>
      <c r="F1773" s="10"/>
      <c r="G1773" s="9" t="s">
        <v>15</v>
      </c>
      <c r="H1773" s="7" t="s">
        <v>808</v>
      </c>
      <c r="I1773" s="9" t="s">
        <v>353</v>
      </c>
      <c r="J1773" s="88"/>
    </row>
    <row r="1774">
      <c r="A1774" s="20" t="s">
        <v>98</v>
      </c>
      <c r="B1774" s="9" t="s">
        <v>3491</v>
      </c>
      <c r="C1774" s="91">
        <v>45490.48717947917</v>
      </c>
      <c r="D1774" s="8">
        <f t="shared" si="192"/>
        <v>45492</v>
      </c>
      <c r="E1774" s="9" t="s">
        <v>206</v>
      </c>
      <c r="F1774" s="10"/>
      <c r="G1774" s="9" t="s">
        <v>15</v>
      </c>
      <c r="H1774" s="23" t="s">
        <v>3492</v>
      </c>
      <c r="I1774" s="9" t="s">
        <v>353</v>
      </c>
      <c r="J1774" s="88"/>
    </row>
    <row r="1775">
      <c r="A1775" s="54" t="s">
        <v>236</v>
      </c>
      <c r="B1775" s="7" t="s">
        <v>3493</v>
      </c>
      <c r="C1775" s="91">
        <v>45589.38542155093</v>
      </c>
      <c r="D1775" s="8">
        <f t="shared" si="192"/>
        <v>45593</v>
      </c>
      <c r="E1775" s="9" t="s">
        <v>11</v>
      </c>
      <c r="F1775" s="10"/>
      <c r="G1775" s="9" t="s">
        <v>220</v>
      </c>
      <c r="H1775" s="7" t="s">
        <v>3494</v>
      </c>
      <c r="I1775" s="9" t="s">
        <v>353</v>
      </c>
      <c r="J1775" s="88"/>
    </row>
    <row r="1776">
      <c r="A1776" s="20" t="s">
        <v>98</v>
      </c>
      <c r="B1776" s="9" t="s">
        <v>3495</v>
      </c>
      <c r="C1776" s="91">
        <v>45582.736860543984</v>
      </c>
      <c r="D1776" s="8">
        <f t="shared" si="192"/>
        <v>45586</v>
      </c>
      <c r="E1776" s="9" t="s">
        <v>11</v>
      </c>
      <c r="F1776" s="10"/>
      <c r="G1776" s="9" t="s">
        <v>15</v>
      </c>
      <c r="H1776" s="7" t="s">
        <v>3496</v>
      </c>
      <c r="I1776" s="9" t="s">
        <v>353</v>
      </c>
      <c r="J1776" s="88"/>
    </row>
    <row r="1777">
      <c r="A1777" s="6" t="s">
        <v>9</v>
      </c>
      <c r="B1777" s="7" t="s">
        <v>3497</v>
      </c>
      <c r="C1777" s="91">
        <v>45322.402212615736</v>
      </c>
      <c r="D1777" s="8">
        <f t="shared" si="192"/>
        <v>45324</v>
      </c>
      <c r="E1777" s="9" t="s">
        <v>88</v>
      </c>
      <c r="F1777" s="10"/>
      <c r="G1777" s="9" t="s">
        <v>21</v>
      </c>
      <c r="H1777" s="7" t="s">
        <v>3498</v>
      </c>
      <c r="I1777" s="9" t="s">
        <v>353</v>
      </c>
      <c r="J1777" s="88"/>
    </row>
    <row r="1778">
      <c r="A1778" s="20" t="s">
        <v>98</v>
      </c>
      <c r="B1778" s="9" t="s">
        <v>3499</v>
      </c>
      <c r="C1778" s="91">
        <v>45530.632455300925</v>
      </c>
      <c r="D1778" s="8">
        <f t="shared" si="192"/>
        <v>45532</v>
      </c>
      <c r="E1778" s="9" t="s">
        <v>206</v>
      </c>
      <c r="F1778" s="10"/>
      <c r="G1778" s="9" t="s">
        <v>18</v>
      </c>
      <c r="H1778" s="23" t="s">
        <v>3500</v>
      </c>
      <c r="I1778" s="9" t="s">
        <v>353</v>
      </c>
      <c r="J1778" s="88"/>
    </row>
    <row r="1779">
      <c r="A1779" s="6" t="s">
        <v>9</v>
      </c>
      <c r="B1779" s="7" t="s">
        <v>3501</v>
      </c>
      <c r="C1779" s="91">
        <v>45587.68436136574</v>
      </c>
      <c r="D1779" s="8">
        <f t="shared" si="192"/>
        <v>45589</v>
      </c>
      <c r="E1779" s="9" t="s">
        <v>11</v>
      </c>
      <c r="F1779" s="10"/>
      <c r="G1779" s="9" t="s">
        <v>15</v>
      </c>
      <c r="H1779" s="7" t="s">
        <v>3502</v>
      </c>
      <c r="I1779" s="9" t="s">
        <v>353</v>
      </c>
      <c r="J1779" s="88"/>
    </row>
    <row r="1780">
      <c r="A1780" s="54" t="s">
        <v>236</v>
      </c>
      <c r="B1780" s="7" t="s">
        <v>3503</v>
      </c>
      <c r="C1780" s="91">
        <v>45589.38353310185</v>
      </c>
      <c r="D1780" s="8">
        <f t="shared" si="192"/>
        <v>45593</v>
      </c>
      <c r="E1780" s="9" t="s">
        <v>11</v>
      </c>
      <c r="F1780" s="10"/>
      <c r="G1780" s="9"/>
      <c r="H1780" s="7" t="s">
        <v>3504</v>
      </c>
      <c r="I1780" s="9" t="s">
        <v>353</v>
      </c>
      <c r="J1780" s="88"/>
    </row>
    <row r="1781">
      <c r="A1781" s="54" t="s">
        <v>236</v>
      </c>
      <c r="B1781" s="7" t="s">
        <v>3505</v>
      </c>
      <c r="C1781" s="91">
        <v>45575.50394203704</v>
      </c>
      <c r="D1781" s="8">
        <f t="shared" si="192"/>
        <v>45579</v>
      </c>
      <c r="E1781" s="9" t="s">
        <v>11</v>
      </c>
      <c r="F1781" s="10"/>
      <c r="G1781" s="9" t="s">
        <v>15</v>
      </c>
      <c r="H1781" s="7" t="s">
        <v>3506</v>
      </c>
      <c r="I1781" s="9" t="s">
        <v>353</v>
      </c>
      <c r="J1781" s="88"/>
    </row>
    <row r="1782">
      <c r="A1782" s="20" t="s">
        <v>98</v>
      </c>
      <c r="B1782" s="9" t="s">
        <v>3507</v>
      </c>
      <c r="C1782" s="91">
        <v>45586.490689224534</v>
      </c>
      <c r="D1782" s="8">
        <f t="shared" si="192"/>
        <v>45588</v>
      </c>
      <c r="E1782" s="9" t="s">
        <v>11</v>
      </c>
      <c r="F1782" s="10"/>
      <c r="G1782" s="9" t="s">
        <v>15</v>
      </c>
      <c r="H1782" s="7" t="s">
        <v>3508</v>
      </c>
      <c r="I1782" s="9" t="s">
        <v>353</v>
      </c>
      <c r="J1782" s="88"/>
    </row>
    <row r="1783">
      <c r="A1783" s="20" t="s">
        <v>98</v>
      </c>
      <c r="B1783" s="9" t="s">
        <v>3509</v>
      </c>
      <c r="C1783" s="91">
        <v>45463.698604467594</v>
      </c>
      <c r="D1783" s="8">
        <f t="shared" si="192"/>
        <v>45467</v>
      </c>
      <c r="E1783" s="9" t="s">
        <v>206</v>
      </c>
      <c r="F1783" s="10"/>
      <c r="G1783" s="9" t="s">
        <v>18</v>
      </c>
      <c r="H1783" s="23" t="s">
        <v>3510</v>
      </c>
      <c r="I1783" s="9" t="s">
        <v>353</v>
      </c>
      <c r="J1783" s="88"/>
    </row>
    <row r="1784">
      <c r="A1784" s="20" t="s">
        <v>98</v>
      </c>
      <c r="B1784" s="9" t="s">
        <v>3511</v>
      </c>
      <c r="C1784" s="91">
        <v>45530.63335263889</v>
      </c>
      <c r="D1784" s="8">
        <f t="shared" si="192"/>
        <v>45532</v>
      </c>
      <c r="E1784" s="9" t="s">
        <v>206</v>
      </c>
      <c r="F1784" s="10"/>
      <c r="G1784" s="9" t="s">
        <v>15</v>
      </c>
      <c r="H1784" s="23" t="s">
        <v>3512</v>
      </c>
      <c r="I1784" s="9" t="s">
        <v>353</v>
      </c>
      <c r="J1784" s="88"/>
    </row>
    <row r="1785">
      <c r="A1785" s="6" t="s">
        <v>9</v>
      </c>
      <c r="B1785" s="7" t="s">
        <v>3513</v>
      </c>
      <c r="C1785" s="91">
        <v>45478.43315548611</v>
      </c>
      <c r="D1785" s="8">
        <f t="shared" si="192"/>
        <v>45482</v>
      </c>
      <c r="E1785" s="9" t="s">
        <v>11</v>
      </c>
      <c r="F1785" s="10"/>
      <c r="G1785" s="9" t="s">
        <v>15</v>
      </c>
      <c r="H1785" s="7" t="s">
        <v>3514</v>
      </c>
      <c r="I1785" s="9" t="s">
        <v>353</v>
      </c>
      <c r="J1785" s="88"/>
    </row>
    <row r="1786">
      <c r="A1786" s="20" t="s">
        <v>98</v>
      </c>
      <c r="B1786" s="9" t="s">
        <v>3515</v>
      </c>
      <c r="C1786" s="91">
        <v>45530.634682731485</v>
      </c>
      <c r="D1786" s="8">
        <f t="shared" si="192"/>
        <v>45532</v>
      </c>
      <c r="E1786" s="9" t="s">
        <v>206</v>
      </c>
      <c r="F1786" s="10"/>
      <c r="G1786" s="9" t="s">
        <v>18</v>
      </c>
      <c r="H1786" s="23" t="s">
        <v>3516</v>
      </c>
      <c r="I1786" s="9" t="s">
        <v>353</v>
      </c>
      <c r="J1786" s="88"/>
    </row>
    <row r="1787">
      <c r="A1787" s="6" t="s">
        <v>9</v>
      </c>
      <c r="B1787" s="7" t="s">
        <v>3517</v>
      </c>
      <c r="C1787" s="91">
        <v>45461.33984395833</v>
      </c>
      <c r="D1787" s="8">
        <f t="shared" si="192"/>
        <v>45463</v>
      </c>
      <c r="E1787" s="9" t="s">
        <v>11</v>
      </c>
      <c r="F1787" s="10"/>
      <c r="G1787" s="9" t="s">
        <v>15</v>
      </c>
      <c r="H1787" s="7" t="s">
        <v>3518</v>
      </c>
      <c r="I1787" s="9" t="s">
        <v>353</v>
      </c>
      <c r="J1787" s="88"/>
    </row>
    <row r="1788">
      <c r="A1788" s="20" t="s">
        <v>98</v>
      </c>
      <c r="B1788" s="9" t="s">
        <v>3519</v>
      </c>
      <c r="C1788" s="91">
        <v>45530.63313574074</v>
      </c>
      <c r="D1788" s="8">
        <f t="shared" si="192"/>
        <v>45532</v>
      </c>
      <c r="E1788" s="9" t="s">
        <v>206</v>
      </c>
      <c r="F1788" s="10"/>
      <c r="G1788" s="9" t="s">
        <v>15</v>
      </c>
      <c r="H1788" s="156" t="s">
        <v>3520</v>
      </c>
      <c r="I1788" s="9" t="s">
        <v>353</v>
      </c>
      <c r="J1788" s="88"/>
    </row>
    <row r="1789">
      <c r="A1789" s="20" t="s">
        <v>98</v>
      </c>
      <c r="B1789" s="9" t="s">
        <v>3521</v>
      </c>
      <c r="C1789" s="91">
        <v>45531.50566258102</v>
      </c>
      <c r="D1789" s="8">
        <f t="shared" si="192"/>
        <v>45533</v>
      </c>
      <c r="E1789" s="9" t="s">
        <v>206</v>
      </c>
      <c r="F1789" s="10"/>
      <c r="G1789" s="9" t="s">
        <v>18</v>
      </c>
      <c r="H1789" s="23" t="s">
        <v>3522</v>
      </c>
      <c r="I1789" s="9" t="s">
        <v>353</v>
      </c>
      <c r="J1789" s="88"/>
    </row>
    <row r="1790">
      <c r="A1790" s="6" t="s">
        <v>9</v>
      </c>
      <c r="B1790" s="7" t="s">
        <v>3523</v>
      </c>
      <c r="C1790" s="91">
        <v>45583.47462141204</v>
      </c>
      <c r="D1790" s="8">
        <f t="shared" si="192"/>
        <v>45587</v>
      </c>
      <c r="E1790" s="9" t="s">
        <v>11</v>
      </c>
      <c r="F1790" s="10"/>
      <c r="G1790" s="9" t="s">
        <v>15</v>
      </c>
      <c r="H1790" s="7" t="s">
        <v>3524</v>
      </c>
      <c r="I1790" s="9" t="s">
        <v>353</v>
      </c>
      <c r="J1790" s="88"/>
    </row>
    <row r="1791">
      <c r="A1791" s="54" t="s">
        <v>236</v>
      </c>
      <c r="B1791" s="7" t="s">
        <v>3525</v>
      </c>
      <c r="C1791" s="91">
        <v>45586.47136981481</v>
      </c>
      <c r="D1791" s="8">
        <f t="shared" si="192"/>
        <v>45588</v>
      </c>
      <c r="E1791" s="9" t="s">
        <v>11</v>
      </c>
      <c r="F1791" s="10"/>
      <c r="G1791" s="9" t="s">
        <v>18</v>
      </c>
      <c r="H1791" s="7" t="s">
        <v>3526</v>
      </c>
      <c r="I1791" s="9" t="s">
        <v>353</v>
      </c>
      <c r="J1791" s="88"/>
    </row>
    <row r="1792">
      <c r="A1792" s="20" t="s">
        <v>98</v>
      </c>
      <c r="B1792" s="9" t="s">
        <v>3527</v>
      </c>
      <c r="C1792" s="91">
        <v>45565.58361984954</v>
      </c>
      <c r="D1792" s="8">
        <f t="shared" si="192"/>
        <v>45567</v>
      </c>
      <c r="E1792" s="9" t="s">
        <v>11</v>
      </c>
      <c r="F1792" s="10"/>
      <c r="G1792" s="9" t="s">
        <v>15</v>
      </c>
      <c r="H1792" s="7" t="s">
        <v>3528</v>
      </c>
      <c r="I1792" s="9" t="s">
        <v>353</v>
      </c>
      <c r="J1792" s="88"/>
    </row>
    <row r="1793">
      <c r="A1793" s="54" t="s">
        <v>236</v>
      </c>
      <c r="B1793" s="7" t="s">
        <v>3529</v>
      </c>
      <c r="C1793" s="91">
        <v>45586.47234543982</v>
      </c>
      <c r="D1793" s="8">
        <f t="shared" si="192"/>
        <v>45588</v>
      </c>
      <c r="E1793" s="9" t="s">
        <v>11</v>
      </c>
      <c r="F1793" s="10"/>
      <c r="G1793" s="9" t="s">
        <v>15</v>
      </c>
      <c r="H1793" s="7" t="s">
        <v>3530</v>
      </c>
      <c r="I1793" s="9" t="s">
        <v>353</v>
      </c>
      <c r="J1793" s="88"/>
    </row>
    <row r="1794">
      <c r="A1794" s="34" t="s">
        <v>204</v>
      </c>
      <c r="B1794" s="7" t="s">
        <v>3531</v>
      </c>
      <c r="C1794" s="91">
        <v>45586.404785046296</v>
      </c>
      <c r="D1794" s="8">
        <f t="shared" si="192"/>
        <v>45588</v>
      </c>
      <c r="E1794" s="9" t="s">
        <v>11</v>
      </c>
      <c r="F1794" s="10"/>
      <c r="G1794" s="9" t="s">
        <v>18</v>
      </c>
      <c r="H1794" s="7" t="s">
        <v>437</v>
      </c>
      <c r="I1794" s="9" t="s">
        <v>353</v>
      </c>
      <c r="J1794" s="88"/>
    </row>
    <row r="1795">
      <c r="A1795" s="34" t="s">
        <v>204</v>
      </c>
      <c r="B1795" s="7" t="s">
        <v>3532</v>
      </c>
      <c r="C1795" s="91">
        <v>45586.75386252315</v>
      </c>
      <c r="D1795" s="8">
        <f t="shared" si="192"/>
        <v>45588</v>
      </c>
      <c r="E1795" s="9" t="s">
        <v>11</v>
      </c>
      <c r="F1795" s="10"/>
      <c r="G1795" s="9" t="s">
        <v>18</v>
      </c>
      <c r="H1795" s="7" t="s">
        <v>437</v>
      </c>
      <c r="I1795" s="9" t="s">
        <v>353</v>
      </c>
      <c r="J1795" s="88"/>
    </row>
    <row r="1796">
      <c r="A1796" s="34" t="s">
        <v>204</v>
      </c>
      <c r="B1796" s="7" t="s">
        <v>3533</v>
      </c>
      <c r="C1796" s="91">
        <v>45579.49354701389</v>
      </c>
      <c r="D1796" s="8">
        <f t="shared" si="192"/>
        <v>45581</v>
      </c>
      <c r="E1796" s="9" t="s">
        <v>11</v>
      </c>
      <c r="F1796" s="10"/>
      <c r="G1796" s="9" t="s">
        <v>18</v>
      </c>
      <c r="H1796" s="7" t="s">
        <v>437</v>
      </c>
      <c r="I1796" s="9" t="s">
        <v>353</v>
      </c>
      <c r="J1796" s="88"/>
    </row>
    <row r="1797">
      <c r="A1797" s="20" t="s">
        <v>98</v>
      </c>
      <c r="B1797" s="9" t="s">
        <v>3534</v>
      </c>
      <c r="C1797" s="91">
        <v>45425.3701071875</v>
      </c>
      <c r="D1797" s="8">
        <f t="shared" si="192"/>
        <v>45427</v>
      </c>
      <c r="E1797" s="9" t="s">
        <v>88</v>
      </c>
      <c r="F1797" s="10"/>
      <c r="G1797" s="9" t="s">
        <v>21</v>
      </c>
      <c r="H1797" s="7" t="s">
        <v>3535</v>
      </c>
      <c r="I1797" s="9" t="s">
        <v>353</v>
      </c>
      <c r="J1797" s="88"/>
    </row>
    <row r="1798">
      <c r="A1798" s="6" t="s">
        <v>9</v>
      </c>
      <c r="B1798" s="7" t="s">
        <v>3536</v>
      </c>
      <c r="C1798" s="91">
        <v>45510.60066138889</v>
      </c>
      <c r="D1798" s="8">
        <f t="shared" si="192"/>
        <v>45512</v>
      </c>
      <c r="E1798" s="9" t="s">
        <v>88</v>
      </c>
      <c r="F1798" s="10"/>
      <c r="G1798" s="9" t="s">
        <v>21</v>
      </c>
      <c r="H1798" s="7" t="s">
        <v>3537</v>
      </c>
      <c r="I1798" s="9" t="s">
        <v>353</v>
      </c>
      <c r="J1798" s="88"/>
    </row>
    <row r="1799">
      <c r="A1799" s="6" t="s">
        <v>9</v>
      </c>
      <c r="B1799" s="7" t="s">
        <v>1087</v>
      </c>
      <c r="C1799" s="91">
        <v>45478.4332059838</v>
      </c>
      <c r="D1799" s="8">
        <f t="shared" si="192"/>
        <v>45482</v>
      </c>
      <c r="E1799" s="9" t="s">
        <v>11</v>
      </c>
      <c r="F1799" s="10"/>
      <c r="G1799" s="9" t="s">
        <v>15</v>
      </c>
      <c r="H1799" s="7" t="s">
        <v>3538</v>
      </c>
      <c r="I1799" s="9" t="s">
        <v>353</v>
      </c>
      <c r="J1799" s="88"/>
    </row>
    <row r="1800">
      <c r="A1800" s="20" t="s">
        <v>98</v>
      </c>
      <c r="B1800" s="9" t="s">
        <v>3539</v>
      </c>
      <c r="C1800" s="91">
        <v>45488.564046875</v>
      </c>
      <c r="D1800" s="8">
        <f t="shared" si="192"/>
        <v>45490</v>
      </c>
      <c r="E1800" s="9" t="s">
        <v>206</v>
      </c>
      <c r="F1800" s="10"/>
      <c r="G1800" s="9" t="s">
        <v>15</v>
      </c>
      <c r="H1800" s="23" t="s">
        <v>3540</v>
      </c>
      <c r="I1800" s="9" t="s">
        <v>353</v>
      </c>
      <c r="J1800" s="88"/>
    </row>
    <row r="1801">
      <c r="A1801" s="20" t="s">
        <v>98</v>
      </c>
      <c r="B1801" s="163" t="s">
        <v>3541</v>
      </c>
      <c r="C1801" s="91">
        <v>45544.46580662037</v>
      </c>
      <c r="D1801" s="8">
        <f t="shared" si="192"/>
        <v>45546</v>
      </c>
      <c r="E1801" s="9" t="s">
        <v>88</v>
      </c>
      <c r="F1801" s="10"/>
      <c r="G1801" s="9" t="s">
        <v>15</v>
      </c>
      <c r="H1801" s="7" t="s">
        <v>3542</v>
      </c>
      <c r="I1801" s="9" t="s">
        <v>353</v>
      </c>
      <c r="J1801" s="88"/>
    </row>
    <row r="1802">
      <c r="A1802" s="20" t="s">
        <v>98</v>
      </c>
      <c r="B1802" s="9" t="s">
        <v>3543</v>
      </c>
      <c r="C1802" s="91">
        <v>45488.564587256944</v>
      </c>
      <c r="D1802" s="8">
        <f t="shared" si="192"/>
        <v>45490</v>
      </c>
      <c r="E1802" s="9" t="s">
        <v>206</v>
      </c>
      <c r="F1802" s="10"/>
      <c r="G1802" s="9" t="s">
        <v>18</v>
      </c>
      <c r="H1802" s="103" t="s">
        <v>3544</v>
      </c>
      <c r="I1802" s="9" t="s">
        <v>353</v>
      </c>
      <c r="J1802" s="88"/>
    </row>
    <row r="1803">
      <c r="A1803" s="20" t="s">
        <v>98</v>
      </c>
      <c r="B1803" s="9" t="s">
        <v>3545</v>
      </c>
      <c r="C1803" s="91">
        <v>45579.460347569446</v>
      </c>
      <c r="D1803" s="8">
        <f t="shared" si="192"/>
        <v>45581</v>
      </c>
      <c r="E1803" s="9" t="s">
        <v>206</v>
      </c>
      <c r="F1803" s="10"/>
      <c r="G1803" s="9" t="s">
        <v>18</v>
      </c>
      <c r="H1803" s="103" t="s">
        <v>3546</v>
      </c>
      <c r="I1803" s="9" t="s">
        <v>353</v>
      </c>
      <c r="J1803" s="88"/>
    </row>
    <row r="1804">
      <c r="A1804" s="20" t="s">
        <v>98</v>
      </c>
      <c r="B1804" s="9" t="s">
        <v>3547</v>
      </c>
      <c r="C1804" s="91">
        <v>45559.4819982176</v>
      </c>
      <c r="D1804" s="8">
        <f t="shared" si="192"/>
        <v>45561</v>
      </c>
      <c r="E1804" s="9" t="s">
        <v>11</v>
      </c>
      <c r="F1804" s="10"/>
      <c r="G1804" s="9" t="s">
        <v>15</v>
      </c>
      <c r="H1804" s="7" t="s">
        <v>3548</v>
      </c>
      <c r="I1804" s="9" t="s">
        <v>353</v>
      </c>
      <c r="J1804" s="88"/>
    </row>
    <row r="1805">
      <c r="A1805" s="54" t="s">
        <v>236</v>
      </c>
      <c r="B1805" s="7" t="s">
        <v>3549</v>
      </c>
      <c r="C1805" s="91">
        <v>45579.39192689815</v>
      </c>
      <c r="D1805" s="8">
        <f t="shared" si="192"/>
        <v>45581</v>
      </c>
      <c r="E1805" s="9" t="s">
        <v>11</v>
      </c>
      <c r="F1805" s="10"/>
      <c r="G1805" s="9" t="s">
        <v>220</v>
      </c>
      <c r="H1805" s="7" t="s">
        <v>3550</v>
      </c>
      <c r="I1805" s="9" t="s">
        <v>353</v>
      </c>
      <c r="J1805" s="88"/>
    </row>
    <row r="1806">
      <c r="A1806" s="54" t="s">
        <v>236</v>
      </c>
      <c r="B1806" s="7" t="s">
        <v>3551</v>
      </c>
      <c r="C1806" s="91">
        <v>45581.68732039352</v>
      </c>
      <c r="D1806" s="8">
        <f t="shared" si="192"/>
        <v>45583</v>
      </c>
      <c r="E1806" s="9" t="s">
        <v>11</v>
      </c>
      <c r="F1806" s="10"/>
      <c r="G1806" s="9" t="s">
        <v>15</v>
      </c>
      <c r="H1806" s="7" t="s">
        <v>3552</v>
      </c>
      <c r="I1806" s="9" t="s">
        <v>353</v>
      </c>
      <c r="J1806" s="88"/>
    </row>
    <row r="1807">
      <c r="A1807" s="54" t="s">
        <v>236</v>
      </c>
      <c r="B1807" s="7" t="s">
        <v>3553</v>
      </c>
      <c r="C1807" s="91">
        <v>45581.68702194444</v>
      </c>
      <c r="D1807" s="8">
        <f t="shared" si="192"/>
        <v>45583</v>
      </c>
      <c r="E1807" s="9" t="s">
        <v>11</v>
      </c>
      <c r="F1807" s="10"/>
      <c r="G1807" s="9" t="s">
        <v>15</v>
      </c>
      <c r="H1807" s="7" t="s">
        <v>3554</v>
      </c>
      <c r="I1807" s="9" t="s">
        <v>353</v>
      </c>
      <c r="J1807" s="88"/>
    </row>
    <row r="1808">
      <c r="A1808" s="54" t="s">
        <v>236</v>
      </c>
      <c r="B1808" s="7" t="s">
        <v>3555</v>
      </c>
      <c r="C1808" s="91">
        <v>45575.5040615162</v>
      </c>
      <c r="D1808" s="8">
        <f t="shared" si="192"/>
        <v>45579</v>
      </c>
      <c r="E1808" s="9" t="s">
        <v>11</v>
      </c>
      <c r="F1808" s="10"/>
      <c r="G1808" s="9" t="s">
        <v>15</v>
      </c>
      <c r="H1808" s="7" t="s">
        <v>3556</v>
      </c>
      <c r="I1808" s="9" t="s">
        <v>353</v>
      </c>
      <c r="J1808" s="88"/>
    </row>
    <row r="1809">
      <c r="A1809" s="54" t="s">
        <v>236</v>
      </c>
      <c r="B1809" s="7" t="s">
        <v>3557</v>
      </c>
      <c r="C1809" s="91">
        <v>45581.523522800926</v>
      </c>
      <c r="D1809" s="8">
        <f t="shared" si="192"/>
        <v>45583</v>
      </c>
      <c r="E1809" s="9" t="s">
        <v>11</v>
      </c>
      <c r="F1809" s="10"/>
      <c r="G1809" s="9" t="s">
        <v>15</v>
      </c>
      <c r="H1809" s="7" t="s">
        <v>3558</v>
      </c>
      <c r="I1809" s="9" t="s">
        <v>353</v>
      </c>
      <c r="J1809" s="88"/>
    </row>
    <row r="1810">
      <c r="A1810" s="20" t="s">
        <v>98</v>
      </c>
      <c r="B1810" s="9" t="s">
        <v>3559</v>
      </c>
      <c r="C1810" s="91">
        <v>45530.6337005324</v>
      </c>
      <c r="D1810" s="8">
        <f t="shared" si="192"/>
        <v>45532</v>
      </c>
      <c r="E1810" s="9" t="s">
        <v>206</v>
      </c>
      <c r="F1810" s="10"/>
      <c r="G1810" s="9" t="s">
        <v>15</v>
      </c>
      <c r="H1810" s="156" t="s">
        <v>3560</v>
      </c>
      <c r="I1810" s="9" t="s">
        <v>353</v>
      </c>
      <c r="J1810" s="88"/>
    </row>
    <row r="1811">
      <c r="A1811" s="102" t="s">
        <v>624</v>
      </c>
      <c r="B1811" s="7" t="s">
        <v>3561</v>
      </c>
      <c r="C1811" s="91">
        <v>45575.38978993056</v>
      </c>
      <c r="D1811" s="8">
        <f t="shared" si="192"/>
        <v>45579</v>
      </c>
      <c r="E1811" s="9" t="s">
        <v>11</v>
      </c>
      <c r="F1811" s="10"/>
      <c r="G1811" s="9" t="s">
        <v>15</v>
      </c>
      <c r="H1811" s="7" t="s">
        <v>3562</v>
      </c>
      <c r="I1811" s="9" t="s">
        <v>353</v>
      </c>
      <c r="J1811" s="88"/>
    </row>
    <row r="1812">
      <c r="A1812" s="20" t="s">
        <v>98</v>
      </c>
      <c r="B1812" s="164" t="s">
        <v>3563</v>
      </c>
      <c r="C1812" s="91">
        <v>45428.64784341435</v>
      </c>
      <c r="D1812" s="8">
        <f t="shared" si="192"/>
        <v>45432</v>
      </c>
      <c r="E1812" s="9" t="s">
        <v>88</v>
      </c>
      <c r="F1812" s="10"/>
      <c r="G1812" s="9" t="s">
        <v>15</v>
      </c>
      <c r="H1812" s="7" t="s">
        <v>3564</v>
      </c>
      <c r="I1812" s="9" t="s">
        <v>353</v>
      </c>
      <c r="J1812" s="88"/>
    </row>
    <row r="1813">
      <c r="A1813" s="20" t="s">
        <v>98</v>
      </c>
      <c r="B1813" s="9" t="s">
        <v>3565</v>
      </c>
      <c r="C1813" s="91">
        <v>45530.63431756945</v>
      </c>
      <c r="D1813" s="8">
        <f t="shared" si="192"/>
        <v>45532</v>
      </c>
      <c r="E1813" s="9" t="s">
        <v>206</v>
      </c>
      <c r="F1813" s="10"/>
      <c r="G1813" s="9" t="s">
        <v>18</v>
      </c>
      <c r="H1813" s="23" t="s">
        <v>3566</v>
      </c>
      <c r="I1813" s="9" t="s">
        <v>353</v>
      </c>
      <c r="J1813" s="88"/>
    </row>
    <row r="1814">
      <c r="A1814" s="20" t="s">
        <v>98</v>
      </c>
      <c r="B1814" s="9" t="s">
        <v>3567</v>
      </c>
      <c r="C1814" s="91">
        <v>45579.37201396991</v>
      </c>
      <c r="D1814" s="8">
        <f t="shared" si="192"/>
        <v>45581</v>
      </c>
      <c r="E1814" s="9" t="s">
        <v>11</v>
      </c>
      <c r="F1814" s="10"/>
      <c r="G1814" s="9" t="s">
        <v>18</v>
      </c>
      <c r="H1814" s="7" t="s">
        <v>3568</v>
      </c>
      <c r="I1814" s="9" t="s">
        <v>353</v>
      </c>
      <c r="J1814" s="88"/>
    </row>
    <row r="1815">
      <c r="A1815" s="54" t="s">
        <v>236</v>
      </c>
      <c r="B1815" s="7" t="s">
        <v>3569</v>
      </c>
      <c r="C1815" s="91">
        <v>45581.63944193287</v>
      </c>
      <c r="D1815" s="8">
        <f t="shared" si="192"/>
        <v>45583</v>
      </c>
      <c r="E1815" s="9" t="s">
        <v>11</v>
      </c>
      <c r="F1815" s="10"/>
      <c r="G1815" s="9"/>
      <c r="H1815" s="11"/>
      <c r="I1815" s="9" t="s">
        <v>353</v>
      </c>
      <c r="J1815" s="88"/>
    </row>
    <row r="1816">
      <c r="A1816" s="6" t="s">
        <v>9</v>
      </c>
      <c r="B1816" s="7" t="s">
        <v>3570</v>
      </c>
      <c r="C1816" s="91">
        <v>45369.34602046297</v>
      </c>
      <c r="D1816" s="8">
        <f t="shared" si="192"/>
        <v>45371</v>
      </c>
      <c r="E1816" s="9" t="s">
        <v>94</v>
      </c>
      <c r="F1816" s="10"/>
      <c r="G1816" s="9" t="s">
        <v>15</v>
      </c>
      <c r="H1816" s="7" t="s">
        <v>3571</v>
      </c>
      <c r="I1816" s="9" t="s">
        <v>353</v>
      </c>
      <c r="J1816" s="88"/>
    </row>
    <row r="1817">
      <c r="A1817" s="6" t="s">
        <v>9</v>
      </c>
      <c r="B1817" s="7" t="s">
        <v>3572</v>
      </c>
      <c r="C1817" s="91">
        <v>45580.62006047454</v>
      </c>
      <c r="D1817" s="8">
        <f t="shared" si="192"/>
        <v>45582</v>
      </c>
      <c r="E1817" s="9" t="s">
        <v>11</v>
      </c>
      <c r="F1817" s="10"/>
      <c r="G1817" s="9" t="s">
        <v>15</v>
      </c>
      <c r="H1817" s="7" t="s">
        <v>3573</v>
      </c>
      <c r="I1817" s="9" t="s">
        <v>353</v>
      </c>
      <c r="J1817" s="88"/>
    </row>
    <row r="1818">
      <c r="A1818" s="6" t="s">
        <v>9</v>
      </c>
      <c r="B1818" s="7" t="s">
        <v>3574</v>
      </c>
      <c r="C1818" s="91">
        <v>45497.553152974535</v>
      </c>
      <c r="D1818" s="8">
        <f t="shared" si="192"/>
        <v>45499</v>
      </c>
      <c r="E1818" s="9" t="s">
        <v>11</v>
      </c>
      <c r="F1818" s="10"/>
      <c r="G1818" s="9" t="s">
        <v>21</v>
      </c>
      <c r="H1818" s="7" t="s">
        <v>3575</v>
      </c>
      <c r="I1818" s="9" t="s">
        <v>353</v>
      </c>
      <c r="J1818" s="88"/>
    </row>
    <row r="1819">
      <c r="A1819" s="54" t="s">
        <v>236</v>
      </c>
      <c r="B1819" s="7" t="s">
        <v>3576</v>
      </c>
      <c r="C1819" s="91">
        <v>45568.726537800925</v>
      </c>
      <c r="D1819" s="8">
        <f t="shared" si="192"/>
        <v>45572</v>
      </c>
      <c r="E1819" s="9" t="s">
        <v>11</v>
      </c>
      <c r="F1819" s="10"/>
      <c r="G1819" s="9" t="s">
        <v>220</v>
      </c>
      <c r="H1819" s="7" t="s">
        <v>3577</v>
      </c>
      <c r="I1819" s="9" t="s">
        <v>353</v>
      </c>
      <c r="J1819" s="88"/>
    </row>
    <row r="1820">
      <c r="A1820" s="6" t="s">
        <v>9</v>
      </c>
      <c r="B1820" s="7" t="s">
        <v>3578</v>
      </c>
      <c r="C1820" s="91">
        <v>45322.402032812504</v>
      </c>
      <c r="D1820" s="8">
        <f t="shared" si="192"/>
        <v>45324</v>
      </c>
      <c r="E1820" s="9" t="s">
        <v>88</v>
      </c>
      <c r="F1820" s="10"/>
      <c r="G1820" s="9" t="s">
        <v>89</v>
      </c>
      <c r="H1820" s="7" t="s">
        <v>3579</v>
      </c>
      <c r="I1820" s="9" t="s">
        <v>353</v>
      </c>
      <c r="J1820" s="88"/>
    </row>
    <row r="1821">
      <c r="A1821" s="6" t="s">
        <v>9</v>
      </c>
      <c r="B1821" s="7" t="s">
        <v>3580</v>
      </c>
      <c r="C1821" s="91">
        <v>45322.40199115741</v>
      </c>
      <c r="D1821" s="8">
        <f t="shared" si="192"/>
        <v>45324</v>
      </c>
      <c r="E1821" s="9" t="s">
        <v>88</v>
      </c>
      <c r="F1821" s="10"/>
      <c r="G1821" s="9" t="s">
        <v>89</v>
      </c>
      <c r="H1821" s="7" t="s">
        <v>3581</v>
      </c>
      <c r="I1821" s="9" t="s">
        <v>353</v>
      </c>
      <c r="J1821" s="88"/>
    </row>
    <row r="1822">
      <c r="A1822" s="20" t="s">
        <v>98</v>
      </c>
      <c r="B1822" s="9" t="s">
        <v>3582</v>
      </c>
      <c r="C1822" s="91">
        <v>45530.63172525463</v>
      </c>
      <c r="D1822" s="8">
        <f t="shared" si="192"/>
        <v>45532</v>
      </c>
      <c r="E1822" s="9" t="s">
        <v>206</v>
      </c>
      <c r="F1822" s="10"/>
      <c r="G1822" s="9" t="s">
        <v>18</v>
      </c>
      <c r="H1822" s="23" t="s">
        <v>3583</v>
      </c>
      <c r="I1822" s="9" t="s">
        <v>353</v>
      </c>
      <c r="J1822" s="88"/>
    </row>
    <row r="1823">
      <c r="A1823" s="6" t="s">
        <v>9</v>
      </c>
      <c r="B1823" s="7" t="s">
        <v>3584</v>
      </c>
      <c r="C1823" s="91">
        <v>45478.433891469904</v>
      </c>
      <c r="D1823" s="8">
        <f t="shared" si="192"/>
        <v>45482</v>
      </c>
      <c r="E1823" s="9" t="s">
        <v>11</v>
      </c>
      <c r="F1823" s="10"/>
      <c r="G1823" s="9" t="s">
        <v>89</v>
      </c>
      <c r="H1823" s="7" t="s">
        <v>3585</v>
      </c>
      <c r="I1823" s="9" t="s">
        <v>353</v>
      </c>
      <c r="J1823" s="88"/>
    </row>
    <row r="1824">
      <c r="A1824" s="6" t="s">
        <v>9</v>
      </c>
      <c r="B1824" s="7" t="s">
        <v>3586</v>
      </c>
      <c r="C1824" s="91">
        <v>45478.4338044676</v>
      </c>
      <c r="D1824" s="8">
        <f t="shared" si="192"/>
        <v>45482</v>
      </c>
      <c r="E1824" s="9" t="s">
        <v>11</v>
      </c>
      <c r="F1824" s="10"/>
      <c r="G1824" s="9" t="s">
        <v>89</v>
      </c>
      <c r="H1824" s="7" t="s">
        <v>3585</v>
      </c>
      <c r="I1824" s="9" t="s">
        <v>353</v>
      </c>
      <c r="J1824" s="88"/>
    </row>
    <row r="1825">
      <c r="A1825" s="42" t="s">
        <v>206</v>
      </c>
      <c r="B1825" s="43" t="s">
        <v>3587</v>
      </c>
      <c r="C1825" s="91">
        <v>45491.5155384838</v>
      </c>
      <c r="D1825" s="8"/>
      <c r="E1825" s="9" t="s">
        <v>88</v>
      </c>
      <c r="F1825" s="10"/>
      <c r="G1825" s="9" t="s">
        <v>15</v>
      </c>
      <c r="H1825" s="7" t="s">
        <v>3588</v>
      </c>
      <c r="I1825" s="9" t="s">
        <v>13</v>
      </c>
      <c r="J1825" s="88"/>
    </row>
    <row r="1826">
      <c r="A1826" s="88"/>
      <c r="B1826" s="89"/>
      <c r="C1826" s="90"/>
      <c r="D1826" s="89"/>
      <c r="E1826" s="89"/>
      <c r="F1826" s="89"/>
      <c r="G1826" s="89"/>
      <c r="H1826" s="87"/>
      <c r="I1826" s="89"/>
      <c r="J1826" s="88"/>
    </row>
    <row r="1827">
      <c r="A1827" s="42" t="s">
        <v>206</v>
      </c>
      <c r="B1827" s="159" t="s">
        <v>3589</v>
      </c>
      <c r="C1827" s="91">
        <v>45566.41491233796</v>
      </c>
      <c r="D1827" s="8"/>
      <c r="E1827" s="9"/>
      <c r="F1827" s="10"/>
      <c r="G1827" s="9" t="s">
        <v>15</v>
      </c>
      <c r="H1827" s="7" t="s">
        <v>3344</v>
      </c>
      <c r="I1827" s="9" t="s">
        <v>353</v>
      </c>
      <c r="J1827" s="88"/>
    </row>
    <row r="1828">
      <c r="A1828" s="42" t="s">
        <v>206</v>
      </c>
      <c r="B1828" s="141" t="s">
        <v>3590</v>
      </c>
      <c r="C1828" s="91">
        <v>45552.38719732639</v>
      </c>
      <c r="D1828" s="8"/>
      <c r="E1828" s="9"/>
      <c r="F1828" s="10"/>
      <c r="G1828" s="9" t="s">
        <v>15</v>
      </c>
      <c r="H1828" s="7" t="s">
        <v>3338</v>
      </c>
      <c r="I1828" s="9" t="s">
        <v>353</v>
      </c>
      <c r="J1828" s="88"/>
    </row>
    <row r="1829">
      <c r="A1829" s="54" t="s">
        <v>236</v>
      </c>
      <c r="B1829" s="7" t="s">
        <v>3591</v>
      </c>
      <c r="C1829" s="91">
        <v>45579.39155818287</v>
      </c>
      <c r="D1829" s="8">
        <f t="shared" ref="D1829:D1835" si="193">IFERROR(_xlfn.WORKDAY.INTL(C1829, 2),"-")</f>
        <v>45581</v>
      </c>
      <c r="E1829" s="9" t="s">
        <v>11</v>
      </c>
      <c r="F1829" s="10"/>
      <c r="G1829" s="9" t="s">
        <v>18</v>
      </c>
      <c r="H1829" s="11"/>
      <c r="I1829" s="9" t="s">
        <v>353</v>
      </c>
      <c r="J1829" s="88"/>
    </row>
    <row r="1830">
      <c r="A1830" s="54" t="s">
        <v>236</v>
      </c>
      <c r="B1830" s="11"/>
      <c r="C1830" s="91" t="s">
        <v>11</v>
      </c>
      <c r="D1830" s="8" t="str">
        <f t="shared" si="193"/>
        <v>-</v>
      </c>
      <c r="E1830" s="9" t="s">
        <v>11</v>
      </c>
      <c r="F1830" s="10"/>
      <c r="G1830" s="9"/>
      <c r="H1830" s="11"/>
      <c r="I1830" s="9" t="s">
        <v>353</v>
      </c>
      <c r="J1830" s="88"/>
    </row>
    <row r="1831">
      <c r="A1831" s="20" t="s">
        <v>98</v>
      </c>
      <c r="B1831" s="9" t="s">
        <v>3592</v>
      </c>
      <c r="C1831" s="91">
        <v>45579.37180396991</v>
      </c>
      <c r="D1831" s="8">
        <f t="shared" si="193"/>
        <v>45581</v>
      </c>
      <c r="E1831" s="9" t="s">
        <v>11</v>
      </c>
      <c r="F1831" s="10"/>
      <c r="G1831" s="9" t="s">
        <v>15</v>
      </c>
      <c r="H1831" s="7" t="s">
        <v>3593</v>
      </c>
      <c r="I1831" s="9" t="s">
        <v>353</v>
      </c>
      <c r="J1831" s="88"/>
    </row>
    <row r="1832">
      <c r="A1832" s="6" t="s">
        <v>9</v>
      </c>
      <c r="B1832" s="7" t="s">
        <v>3594</v>
      </c>
      <c r="C1832" s="91">
        <v>45558.482815358795</v>
      </c>
      <c r="D1832" s="8">
        <f t="shared" si="193"/>
        <v>45560</v>
      </c>
      <c r="E1832" s="9" t="s">
        <v>11</v>
      </c>
      <c r="F1832" s="10"/>
      <c r="G1832" s="9" t="s">
        <v>15</v>
      </c>
      <c r="H1832" s="7" t="s">
        <v>3595</v>
      </c>
      <c r="I1832" s="9" t="s">
        <v>353</v>
      </c>
      <c r="J1832" s="88"/>
    </row>
    <row r="1833">
      <c r="A1833" s="20" t="s">
        <v>98</v>
      </c>
      <c r="B1833" s="9" t="s">
        <v>3596</v>
      </c>
      <c r="C1833" s="91">
        <v>45561.39451971065</v>
      </c>
      <c r="D1833" s="8">
        <f t="shared" si="193"/>
        <v>45565</v>
      </c>
      <c r="E1833" s="9" t="s">
        <v>11</v>
      </c>
      <c r="F1833" s="10"/>
      <c r="G1833" s="9" t="s">
        <v>18</v>
      </c>
      <c r="H1833" s="7" t="s">
        <v>3597</v>
      </c>
      <c r="I1833" s="9" t="s">
        <v>353</v>
      </c>
      <c r="J1833" s="88"/>
    </row>
    <row r="1834">
      <c r="A1834" s="54" t="s">
        <v>236</v>
      </c>
      <c r="B1834" s="7" t="s">
        <v>3598</v>
      </c>
      <c r="C1834" s="91">
        <v>45572.6367921875</v>
      </c>
      <c r="D1834" s="8">
        <f t="shared" si="193"/>
        <v>45574</v>
      </c>
      <c r="E1834" s="9" t="s">
        <v>11</v>
      </c>
      <c r="F1834" s="10"/>
      <c r="G1834" s="9" t="s">
        <v>15</v>
      </c>
      <c r="H1834" s="7" t="s">
        <v>3599</v>
      </c>
      <c r="I1834" s="9" t="s">
        <v>353</v>
      </c>
      <c r="J1834" s="88"/>
    </row>
    <row r="1835">
      <c r="A1835" s="54" t="s">
        <v>236</v>
      </c>
      <c r="B1835" s="7" t="s">
        <v>3600</v>
      </c>
      <c r="C1835" s="91">
        <v>45540.51349356482</v>
      </c>
      <c r="D1835" s="8">
        <f t="shared" si="193"/>
        <v>45544</v>
      </c>
      <c r="E1835" s="9" t="s">
        <v>11</v>
      </c>
      <c r="F1835" s="10"/>
      <c r="G1835" s="9" t="s">
        <v>15</v>
      </c>
      <c r="H1835" s="7" t="s">
        <v>3601</v>
      </c>
      <c r="I1835" s="9" t="s">
        <v>13</v>
      </c>
      <c r="J1835" s="88"/>
    </row>
    <row r="1836">
      <c r="A1836" s="88"/>
      <c r="B1836" s="89"/>
      <c r="C1836" s="90"/>
      <c r="D1836" s="89"/>
      <c r="E1836" s="89"/>
      <c r="F1836" s="89"/>
      <c r="G1836" s="89"/>
      <c r="H1836" s="87"/>
      <c r="I1836" s="89"/>
      <c r="J1836" s="88"/>
    </row>
    <row r="1837">
      <c r="A1837" s="54" t="s">
        <v>236</v>
      </c>
      <c r="B1837" s="7" t="s">
        <v>291</v>
      </c>
      <c r="C1837" s="91">
        <v>45540.51349356482</v>
      </c>
      <c r="D1837" s="8">
        <f>IFERROR(_xlfn.WORKDAY.INTL(C1837, 2),"-")</f>
        <v>45544</v>
      </c>
      <c r="E1837" s="9" t="s">
        <v>11</v>
      </c>
      <c r="F1837" s="10"/>
      <c r="G1837" s="9" t="s">
        <v>89</v>
      </c>
      <c r="H1837" s="7" t="s">
        <v>3602</v>
      </c>
      <c r="I1837" s="9" t="s">
        <v>13</v>
      </c>
      <c r="J1837" s="88"/>
    </row>
    <row r="1838">
      <c r="A1838" s="88"/>
      <c r="B1838" s="89"/>
      <c r="C1838" s="90"/>
      <c r="D1838" s="89"/>
      <c r="E1838" s="89"/>
      <c r="F1838" s="89"/>
      <c r="G1838" s="89"/>
      <c r="H1838" s="87"/>
      <c r="I1838" s="89"/>
      <c r="J1838" s="88"/>
    </row>
    <row r="1839">
      <c r="A1839" s="42" t="s">
        <v>206</v>
      </c>
      <c r="B1839" s="160" t="s">
        <v>3603</v>
      </c>
      <c r="C1839" s="91">
        <v>45566.41467387731</v>
      </c>
      <c r="D1839" s="8"/>
      <c r="E1839" s="9"/>
      <c r="F1839" s="10"/>
      <c r="G1839" s="9" t="s">
        <v>3604</v>
      </c>
      <c r="H1839" s="7" t="s">
        <v>3605</v>
      </c>
      <c r="I1839" s="9" t="s">
        <v>353</v>
      </c>
      <c r="J1839" s="88"/>
    </row>
    <row r="1840">
      <c r="A1840" s="20" t="s">
        <v>98</v>
      </c>
      <c r="B1840" s="9" t="s">
        <v>3606</v>
      </c>
      <c r="C1840" s="91">
        <v>45574.43821662037</v>
      </c>
      <c r="D1840" s="8">
        <f t="shared" ref="D1840:D1848" si="194">IFERROR(_xlfn.WORKDAY.INTL(C1840, 2),"-")</f>
        <v>45576</v>
      </c>
      <c r="E1840" s="9" t="s">
        <v>11</v>
      </c>
      <c r="F1840" s="10"/>
      <c r="G1840" s="9" t="s">
        <v>18</v>
      </c>
      <c r="H1840" s="7" t="s">
        <v>3607</v>
      </c>
      <c r="I1840" s="9" t="s">
        <v>353</v>
      </c>
      <c r="J1840" s="88"/>
    </row>
    <row r="1841">
      <c r="A1841" s="20" t="s">
        <v>98</v>
      </c>
      <c r="B1841" s="9" t="s">
        <v>3608</v>
      </c>
      <c r="C1841" s="91">
        <v>45575.427363553245</v>
      </c>
      <c r="D1841" s="8">
        <f t="shared" si="194"/>
        <v>45579</v>
      </c>
      <c r="E1841" s="9" t="s">
        <v>11</v>
      </c>
      <c r="F1841" s="10"/>
      <c r="G1841" s="9" t="s">
        <v>15</v>
      </c>
      <c r="H1841" s="7" t="s">
        <v>3607</v>
      </c>
      <c r="I1841" s="9" t="s">
        <v>353</v>
      </c>
      <c r="J1841" s="88"/>
    </row>
    <row r="1842">
      <c r="A1842" s="6" t="s">
        <v>9</v>
      </c>
      <c r="B1842" s="7" t="s">
        <v>3609</v>
      </c>
      <c r="C1842" s="91">
        <v>45575.62351895834</v>
      </c>
      <c r="D1842" s="8">
        <f t="shared" si="194"/>
        <v>45579</v>
      </c>
      <c r="E1842" s="9" t="s">
        <v>11</v>
      </c>
      <c r="F1842" s="10"/>
      <c r="G1842" s="9" t="s">
        <v>18</v>
      </c>
      <c r="H1842" s="7" t="s">
        <v>3610</v>
      </c>
      <c r="I1842" s="9" t="s">
        <v>353</v>
      </c>
      <c r="J1842" s="88"/>
    </row>
    <row r="1843">
      <c r="A1843" s="54" t="s">
        <v>236</v>
      </c>
      <c r="B1843" s="7" t="s">
        <v>3611</v>
      </c>
      <c r="C1843" s="91">
        <v>45572.45550810185</v>
      </c>
      <c r="D1843" s="8">
        <f t="shared" si="194"/>
        <v>45574</v>
      </c>
      <c r="E1843" s="9" t="s">
        <v>11</v>
      </c>
      <c r="F1843" s="10"/>
      <c r="G1843" s="9" t="s">
        <v>18</v>
      </c>
      <c r="H1843" s="7" t="s">
        <v>3612</v>
      </c>
      <c r="I1843" s="9" t="s">
        <v>353</v>
      </c>
      <c r="J1843" s="88"/>
    </row>
    <row r="1844">
      <c r="A1844" s="20" t="s">
        <v>98</v>
      </c>
      <c r="B1844" s="9" t="s">
        <v>3613</v>
      </c>
      <c r="C1844" s="91">
        <v>45448.565554444445</v>
      </c>
      <c r="D1844" s="8">
        <f t="shared" si="194"/>
        <v>45450</v>
      </c>
      <c r="E1844" s="9" t="s">
        <v>11</v>
      </c>
      <c r="F1844" s="10"/>
      <c r="G1844" s="9" t="s">
        <v>18</v>
      </c>
      <c r="H1844" s="23" t="s">
        <v>3614</v>
      </c>
      <c r="I1844" s="9" t="s">
        <v>353</v>
      </c>
      <c r="J1844" s="88"/>
    </row>
    <row r="1845">
      <c r="A1845" s="54" t="s">
        <v>236</v>
      </c>
      <c r="B1845" s="7" t="s">
        <v>3615</v>
      </c>
      <c r="C1845" s="91">
        <v>45568.6433331713</v>
      </c>
      <c r="D1845" s="8">
        <f t="shared" si="194"/>
        <v>45572</v>
      </c>
      <c r="E1845" s="9" t="s">
        <v>11</v>
      </c>
      <c r="F1845" s="10"/>
      <c r="G1845" s="9" t="s">
        <v>15</v>
      </c>
      <c r="H1845" s="7" t="s">
        <v>3616</v>
      </c>
      <c r="I1845" s="9" t="s">
        <v>353</v>
      </c>
      <c r="J1845" s="88"/>
    </row>
    <row r="1846">
      <c r="A1846" s="54" t="s">
        <v>236</v>
      </c>
      <c r="B1846" s="7" t="s">
        <v>3617</v>
      </c>
      <c r="C1846" s="91">
        <v>45574.565144340275</v>
      </c>
      <c r="D1846" s="8">
        <f t="shared" si="194"/>
        <v>45576</v>
      </c>
      <c r="E1846" s="9" t="s">
        <v>11</v>
      </c>
      <c r="F1846" s="10"/>
      <c r="G1846" s="9"/>
      <c r="H1846" s="11"/>
      <c r="I1846" s="9" t="s">
        <v>353</v>
      </c>
      <c r="J1846" s="88"/>
    </row>
    <row r="1847">
      <c r="A1847" s="54" t="s">
        <v>236</v>
      </c>
      <c r="B1847" s="7" t="s">
        <v>3618</v>
      </c>
      <c r="C1847" s="91">
        <v>45574.361940312505</v>
      </c>
      <c r="D1847" s="8">
        <f t="shared" si="194"/>
        <v>45576</v>
      </c>
      <c r="E1847" s="9" t="s">
        <v>11</v>
      </c>
      <c r="F1847" s="10"/>
      <c r="G1847" s="9" t="s">
        <v>220</v>
      </c>
      <c r="H1847" s="11"/>
      <c r="I1847" s="9" t="s">
        <v>353</v>
      </c>
      <c r="J1847" s="88"/>
    </row>
    <row r="1848">
      <c r="A1848" s="20" t="s">
        <v>98</v>
      </c>
      <c r="B1848" s="9" t="s">
        <v>3619</v>
      </c>
      <c r="C1848" s="91">
        <v>45573.40742600695</v>
      </c>
      <c r="D1848" s="8">
        <f t="shared" si="194"/>
        <v>45575</v>
      </c>
      <c r="E1848" s="9" t="s">
        <v>11</v>
      </c>
      <c r="F1848" s="10"/>
      <c r="G1848" s="9" t="s">
        <v>15</v>
      </c>
      <c r="H1848" s="7" t="s">
        <v>3620</v>
      </c>
      <c r="I1848" s="9" t="s">
        <v>353</v>
      </c>
      <c r="J1848" s="88"/>
    </row>
    <row r="1849">
      <c r="A1849" s="42" t="s">
        <v>206</v>
      </c>
      <c r="B1849" s="43" t="s">
        <v>3621</v>
      </c>
      <c r="C1849" s="91">
        <v>45495.71705190973</v>
      </c>
      <c r="D1849" s="8"/>
      <c r="E1849" s="9" t="s">
        <v>206</v>
      </c>
      <c r="F1849" s="10"/>
      <c r="G1849" s="9" t="s">
        <v>3604</v>
      </c>
      <c r="H1849" s="7" t="s">
        <v>3622</v>
      </c>
      <c r="I1849" s="9" t="s">
        <v>353</v>
      </c>
      <c r="J1849" s="88"/>
    </row>
    <row r="1850">
      <c r="A1850" s="6" t="s">
        <v>9</v>
      </c>
      <c r="B1850" s="7" t="s">
        <v>3623</v>
      </c>
      <c r="C1850" s="91">
        <v>45572.61077370371</v>
      </c>
      <c r="D1850" s="8">
        <f t="shared" ref="D1850:D1865" si="195">IFERROR(_xlfn.WORKDAY.INTL(C1850, 2),"-")</f>
        <v>45574</v>
      </c>
      <c r="E1850" s="9" t="s">
        <v>11</v>
      </c>
      <c r="F1850" s="10"/>
      <c r="G1850" s="9" t="s">
        <v>15</v>
      </c>
      <c r="H1850" s="7" t="s">
        <v>3624</v>
      </c>
      <c r="I1850" s="9" t="s">
        <v>353</v>
      </c>
      <c r="J1850" s="88"/>
    </row>
    <row r="1851">
      <c r="A1851" s="6" t="s">
        <v>9</v>
      </c>
      <c r="B1851" s="7" t="s">
        <v>3625</v>
      </c>
      <c r="C1851" s="91">
        <v>45573.58660577546</v>
      </c>
      <c r="D1851" s="8">
        <f t="shared" si="195"/>
        <v>45575</v>
      </c>
      <c r="E1851" s="9" t="s">
        <v>11</v>
      </c>
      <c r="F1851" s="10"/>
      <c r="G1851" s="9" t="s">
        <v>15</v>
      </c>
      <c r="H1851" s="7" t="s">
        <v>3626</v>
      </c>
      <c r="I1851" s="9" t="s">
        <v>353</v>
      </c>
      <c r="J1851" s="88"/>
    </row>
    <row r="1852">
      <c r="A1852" s="54" t="s">
        <v>236</v>
      </c>
      <c r="B1852" s="7" t="s">
        <v>3627</v>
      </c>
      <c r="C1852" s="91">
        <v>45565.517841678244</v>
      </c>
      <c r="D1852" s="8">
        <f t="shared" si="195"/>
        <v>45567</v>
      </c>
      <c r="E1852" s="9" t="s">
        <v>11</v>
      </c>
      <c r="F1852" s="10"/>
      <c r="G1852" s="9" t="s">
        <v>220</v>
      </c>
      <c r="H1852" s="7" t="s">
        <v>3628</v>
      </c>
      <c r="I1852" s="9" t="s">
        <v>353</v>
      </c>
      <c r="J1852" s="88"/>
    </row>
    <row r="1853">
      <c r="A1853" s="54" t="s">
        <v>236</v>
      </c>
      <c r="B1853" s="7" t="s">
        <v>3629</v>
      </c>
      <c r="C1853" s="91">
        <v>45566.39932672454</v>
      </c>
      <c r="D1853" s="8">
        <f t="shared" si="195"/>
        <v>45568</v>
      </c>
      <c r="E1853" s="9" t="s">
        <v>11</v>
      </c>
      <c r="F1853" s="10"/>
      <c r="G1853" s="9" t="s">
        <v>15</v>
      </c>
      <c r="H1853" s="7" t="s">
        <v>3630</v>
      </c>
      <c r="I1853" s="9" t="s">
        <v>353</v>
      </c>
      <c r="J1853" s="88"/>
    </row>
    <row r="1854">
      <c r="A1854" s="102" t="s">
        <v>624</v>
      </c>
      <c r="B1854" s="7" t="s">
        <v>3631</v>
      </c>
      <c r="C1854" s="91">
        <v>45540.51238390047</v>
      </c>
      <c r="D1854" s="8">
        <f t="shared" si="195"/>
        <v>45544</v>
      </c>
      <c r="E1854" s="9" t="s">
        <v>11</v>
      </c>
      <c r="F1854" s="10"/>
      <c r="G1854" s="9" t="s">
        <v>15</v>
      </c>
      <c r="H1854" s="7" t="s">
        <v>3632</v>
      </c>
      <c r="I1854" s="9" t="s">
        <v>353</v>
      </c>
      <c r="J1854" s="88"/>
    </row>
    <row r="1855">
      <c r="A1855" s="54" t="s">
        <v>236</v>
      </c>
      <c r="B1855" s="7" t="s">
        <v>3633</v>
      </c>
      <c r="C1855" s="91">
        <v>45566.39927708333</v>
      </c>
      <c r="D1855" s="8">
        <f t="shared" si="195"/>
        <v>45568</v>
      </c>
      <c r="E1855" s="9" t="s">
        <v>11</v>
      </c>
      <c r="F1855" s="10"/>
      <c r="G1855" s="9" t="s">
        <v>15</v>
      </c>
      <c r="H1855" s="7" t="s">
        <v>3630</v>
      </c>
      <c r="I1855" s="9" t="s">
        <v>353</v>
      </c>
      <c r="J1855" s="88"/>
    </row>
    <row r="1856">
      <c r="A1856" s="34" t="s">
        <v>204</v>
      </c>
      <c r="B1856" s="7" t="s">
        <v>3634</v>
      </c>
      <c r="C1856" s="91">
        <v>45573.6084762963</v>
      </c>
      <c r="D1856" s="8">
        <f t="shared" si="195"/>
        <v>45575</v>
      </c>
      <c r="E1856" s="9" t="s">
        <v>11</v>
      </c>
      <c r="F1856" s="10"/>
      <c r="G1856" s="9" t="s">
        <v>18</v>
      </c>
      <c r="H1856" s="7" t="s">
        <v>437</v>
      </c>
      <c r="I1856" s="9" t="s">
        <v>353</v>
      </c>
      <c r="J1856" s="88"/>
    </row>
    <row r="1857">
      <c r="A1857" s="20" t="s">
        <v>98</v>
      </c>
      <c r="B1857" s="9" t="s">
        <v>3635</v>
      </c>
      <c r="C1857" s="91">
        <v>45572.49110090278</v>
      </c>
      <c r="D1857" s="8">
        <f t="shared" si="195"/>
        <v>45574</v>
      </c>
      <c r="E1857" s="9" t="s">
        <v>11</v>
      </c>
      <c r="F1857" s="10"/>
      <c r="G1857" s="9" t="s">
        <v>15</v>
      </c>
      <c r="H1857" s="7" t="s">
        <v>3636</v>
      </c>
      <c r="I1857" s="9" t="s">
        <v>353</v>
      </c>
      <c r="J1857" s="88"/>
    </row>
    <row r="1858">
      <c r="A1858" s="34" t="s">
        <v>204</v>
      </c>
      <c r="B1858" s="7" t="s">
        <v>3637</v>
      </c>
      <c r="C1858" s="91">
        <v>45394.50573447917</v>
      </c>
      <c r="D1858" s="8">
        <f t="shared" si="195"/>
        <v>45398</v>
      </c>
      <c r="E1858" s="9" t="s">
        <v>11</v>
      </c>
      <c r="F1858" s="9" t="s">
        <v>11</v>
      </c>
      <c r="G1858" s="9" t="s">
        <v>18</v>
      </c>
      <c r="H1858" s="7" t="s">
        <v>437</v>
      </c>
      <c r="I1858" s="9" t="s">
        <v>353</v>
      </c>
      <c r="J1858" s="88"/>
    </row>
    <row r="1859">
      <c r="A1859" s="20" t="s">
        <v>98</v>
      </c>
      <c r="B1859" s="9" t="s">
        <v>3638</v>
      </c>
      <c r="C1859" s="91">
        <v>45572.36284971065</v>
      </c>
      <c r="D1859" s="8">
        <f t="shared" si="195"/>
        <v>45574</v>
      </c>
      <c r="E1859" s="9" t="s">
        <v>11</v>
      </c>
      <c r="F1859" s="10"/>
      <c r="G1859" s="9" t="s">
        <v>18</v>
      </c>
      <c r="H1859" s="7" t="s">
        <v>3639</v>
      </c>
      <c r="I1859" s="9" t="s">
        <v>353</v>
      </c>
      <c r="J1859" s="88"/>
    </row>
    <row r="1860">
      <c r="A1860" s="20" t="s">
        <v>98</v>
      </c>
      <c r="B1860" s="9" t="s">
        <v>2185</v>
      </c>
      <c r="C1860" s="91">
        <v>45489.71534834491</v>
      </c>
      <c r="D1860" s="8">
        <f t="shared" si="195"/>
        <v>45491</v>
      </c>
      <c r="E1860" s="9" t="s">
        <v>88</v>
      </c>
      <c r="F1860" s="10"/>
      <c r="G1860" s="9" t="s">
        <v>21</v>
      </c>
      <c r="H1860" s="22" t="s">
        <v>3640</v>
      </c>
      <c r="I1860" s="9" t="s">
        <v>353</v>
      </c>
      <c r="J1860" s="88"/>
    </row>
    <row r="1861">
      <c r="A1861" s="54" t="s">
        <v>236</v>
      </c>
      <c r="B1861" s="7" t="s">
        <v>3641</v>
      </c>
      <c r="C1861" s="91">
        <v>45572.455216319446</v>
      </c>
      <c r="D1861" s="8">
        <f t="shared" si="195"/>
        <v>45574</v>
      </c>
      <c r="E1861" s="9" t="s">
        <v>11</v>
      </c>
      <c r="F1861" s="10"/>
      <c r="G1861" s="9" t="s">
        <v>15</v>
      </c>
      <c r="H1861" s="7" t="s">
        <v>3642</v>
      </c>
      <c r="I1861" s="9" t="s">
        <v>353</v>
      </c>
      <c r="J1861" s="88"/>
    </row>
    <row r="1862">
      <c r="A1862" s="34" t="s">
        <v>204</v>
      </c>
      <c r="B1862" s="7" t="s">
        <v>3643</v>
      </c>
      <c r="C1862" s="91">
        <v>45572.62783766203</v>
      </c>
      <c r="D1862" s="8">
        <f t="shared" si="195"/>
        <v>45574</v>
      </c>
      <c r="E1862" s="9" t="s">
        <v>11</v>
      </c>
      <c r="F1862" s="10"/>
      <c r="G1862" s="9" t="s">
        <v>18</v>
      </c>
      <c r="H1862" s="7" t="s">
        <v>437</v>
      </c>
      <c r="I1862" s="9" t="s">
        <v>353</v>
      </c>
      <c r="J1862" s="88"/>
    </row>
    <row r="1863">
      <c r="A1863" s="54" t="s">
        <v>236</v>
      </c>
      <c r="B1863" s="7" t="s">
        <v>3644</v>
      </c>
      <c r="C1863" s="91">
        <v>45566.61953454861</v>
      </c>
      <c r="D1863" s="8">
        <f t="shared" si="195"/>
        <v>45568</v>
      </c>
      <c r="E1863" s="9" t="s">
        <v>11</v>
      </c>
      <c r="F1863" s="10"/>
      <c r="G1863" s="9" t="s">
        <v>18</v>
      </c>
      <c r="H1863" s="7" t="s">
        <v>3599</v>
      </c>
      <c r="I1863" s="9" t="s">
        <v>353</v>
      </c>
      <c r="J1863" s="88"/>
    </row>
    <row r="1864">
      <c r="A1864" s="6" t="s">
        <v>9</v>
      </c>
      <c r="B1864" s="7" t="s">
        <v>3645</v>
      </c>
      <c r="C1864" s="91">
        <v>45461.34028164352</v>
      </c>
      <c r="D1864" s="8">
        <f t="shared" si="195"/>
        <v>45463</v>
      </c>
      <c r="E1864" s="9" t="s">
        <v>11</v>
      </c>
      <c r="F1864" s="8"/>
      <c r="G1864" s="9" t="s">
        <v>18</v>
      </c>
      <c r="H1864" s="7" t="s">
        <v>3646</v>
      </c>
      <c r="I1864" s="9" t="s">
        <v>353</v>
      </c>
      <c r="J1864" s="88"/>
    </row>
    <row r="1865">
      <c r="A1865" s="20" t="s">
        <v>98</v>
      </c>
      <c r="B1865" s="9" t="s">
        <v>3647</v>
      </c>
      <c r="C1865" s="91">
        <v>45566.628047164355</v>
      </c>
      <c r="D1865" s="8">
        <f t="shared" si="195"/>
        <v>45568</v>
      </c>
      <c r="E1865" s="9" t="s">
        <v>11</v>
      </c>
      <c r="F1865" s="10"/>
      <c r="G1865" s="9" t="s">
        <v>15</v>
      </c>
      <c r="H1865" s="7" t="s">
        <v>1011</v>
      </c>
      <c r="I1865" s="9" t="s">
        <v>353</v>
      </c>
      <c r="J1865" s="88"/>
    </row>
    <row r="1866">
      <c r="A1866" s="42" t="s">
        <v>206</v>
      </c>
      <c r="B1866" s="133" t="s">
        <v>3648</v>
      </c>
      <c r="C1866" s="91">
        <v>45566.41578082176</v>
      </c>
      <c r="D1866" s="8"/>
      <c r="E1866" s="9"/>
      <c r="F1866" s="10"/>
      <c r="G1866" s="9" t="s">
        <v>15</v>
      </c>
      <c r="H1866" s="7" t="s">
        <v>3649</v>
      </c>
      <c r="I1866" s="9" t="s">
        <v>353</v>
      </c>
      <c r="J1866" s="88"/>
    </row>
    <row r="1867">
      <c r="A1867" s="42" t="s">
        <v>206</v>
      </c>
      <c r="B1867" s="43" t="s">
        <v>3650</v>
      </c>
      <c r="C1867" s="91">
        <v>45509.68020701389</v>
      </c>
      <c r="D1867" s="8"/>
      <c r="E1867" s="9" t="s">
        <v>88</v>
      </c>
      <c r="F1867" s="10"/>
      <c r="G1867" s="9" t="s">
        <v>21</v>
      </c>
      <c r="H1867" s="7" t="s">
        <v>3651</v>
      </c>
      <c r="I1867" s="9" t="s">
        <v>353</v>
      </c>
      <c r="J1867" s="88"/>
    </row>
    <row r="1868">
      <c r="A1868" s="42" t="s">
        <v>206</v>
      </c>
      <c r="B1868" s="133" t="s">
        <v>3652</v>
      </c>
      <c r="C1868" s="91">
        <v>45566.41565998843</v>
      </c>
      <c r="D1868" s="8"/>
      <c r="E1868" s="9"/>
      <c r="F1868" s="10"/>
      <c r="G1868" s="9" t="s">
        <v>15</v>
      </c>
      <c r="H1868" s="7" t="s">
        <v>3344</v>
      </c>
      <c r="I1868" s="9" t="s">
        <v>353</v>
      </c>
      <c r="J1868" s="88"/>
    </row>
    <row r="1869">
      <c r="A1869" s="42" t="s">
        <v>206</v>
      </c>
      <c r="B1869" s="133" t="s">
        <v>3653</v>
      </c>
      <c r="C1869" s="91">
        <v>45552.38765452546</v>
      </c>
      <c r="D1869" s="8"/>
      <c r="E1869" s="9"/>
      <c r="F1869" s="10"/>
      <c r="G1869" s="9" t="s">
        <v>15</v>
      </c>
      <c r="H1869" s="7" t="s">
        <v>3654</v>
      </c>
      <c r="I1869" s="9" t="s">
        <v>353</v>
      </c>
      <c r="J1869" s="88"/>
    </row>
    <row r="1870">
      <c r="A1870" s="42" t="s">
        <v>206</v>
      </c>
      <c r="B1870" s="133" t="s">
        <v>3655</v>
      </c>
      <c r="C1870" s="91">
        <v>45566.415725694445</v>
      </c>
      <c r="D1870" s="8"/>
      <c r="E1870" s="9"/>
      <c r="F1870" s="10"/>
      <c r="G1870" s="9" t="s">
        <v>15</v>
      </c>
      <c r="H1870" s="7" t="s">
        <v>3649</v>
      </c>
      <c r="I1870" s="9" t="s">
        <v>353</v>
      </c>
      <c r="J1870" s="88"/>
    </row>
    <row r="1871">
      <c r="A1871" s="6" t="s">
        <v>9</v>
      </c>
      <c r="B1871" s="7" t="s">
        <v>3656</v>
      </c>
      <c r="C1871" s="91">
        <v>45548.70087893518</v>
      </c>
      <c r="D1871" s="8">
        <f t="shared" ref="D1871:D1888" si="196">IFERROR(_xlfn.WORKDAY.INTL(C1871, 2),"-")</f>
        <v>45552</v>
      </c>
      <c r="E1871" s="9" t="s">
        <v>11</v>
      </c>
      <c r="F1871" s="10"/>
      <c r="G1871" s="9" t="s">
        <v>15</v>
      </c>
      <c r="H1871" s="7" t="s">
        <v>3657</v>
      </c>
      <c r="I1871" s="9" t="s">
        <v>353</v>
      </c>
      <c r="J1871" s="88"/>
    </row>
    <row r="1872">
      <c r="A1872" s="6" t="s">
        <v>9</v>
      </c>
      <c r="B1872" s="7" t="s">
        <v>3658</v>
      </c>
      <c r="C1872" s="91">
        <v>45548.70081271991</v>
      </c>
      <c r="D1872" s="8">
        <f t="shared" si="196"/>
        <v>45552</v>
      </c>
      <c r="E1872" s="9" t="s">
        <v>11</v>
      </c>
      <c r="F1872" s="10"/>
      <c r="G1872" s="9" t="s">
        <v>15</v>
      </c>
      <c r="H1872" s="7" t="s">
        <v>3657</v>
      </c>
      <c r="I1872" s="9" t="s">
        <v>353</v>
      </c>
      <c r="J1872" s="88"/>
    </row>
    <row r="1873">
      <c r="A1873" s="54" t="s">
        <v>236</v>
      </c>
      <c r="B1873" s="7" t="s">
        <v>3659</v>
      </c>
      <c r="C1873" s="91">
        <v>45568.6424546412</v>
      </c>
      <c r="D1873" s="8">
        <f t="shared" si="196"/>
        <v>45572</v>
      </c>
      <c r="E1873" s="9" t="s">
        <v>11</v>
      </c>
      <c r="F1873" s="10"/>
      <c r="G1873" s="9" t="s">
        <v>15</v>
      </c>
      <c r="H1873" s="7" t="s">
        <v>3660</v>
      </c>
      <c r="I1873" s="9" t="s">
        <v>353</v>
      </c>
      <c r="J1873" s="88"/>
    </row>
    <row r="1874">
      <c r="A1874" s="54" t="s">
        <v>236</v>
      </c>
      <c r="B1874" s="7" t="s">
        <v>3661</v>
      </c>
      <c r="C1874" s="91">
        <v>45565.52279190972</v>
      </c>
      <c r="D1874" s="8">
        <f t="shared" si="196"/>
        <v>45567</v>
      </c>
      <c r="E1874" s="9" t="s">
        <v>11</v>
      </c>
      <c r="F1874" s="10"/>
      <c r="G1874" s="9" t="s">
        <v>220</v>
      </c>
      <c r="H1874" s="7" t="s">
        <v>3662</v>
      </c>
      <c r="I1874" s="9" t="s">
        <v>353</v>
      </c>
      <c r="J1874" s="88"/>
    </row>
    <row r="1875">
      <c r="A1875" s="54" t="s">
        <v>236</v>
      </c>
      <c r="B1875" s="7" t="s">
        <v>3663</v>
      </c>
      <c r="C1875" s="91">
        <v>45565.51824006945</v>
      </c>
      <c r="D1875" s="8">
        <f t="shared" si="196"/>
        <v>45567</v>
      </c>
      <c r="E1875" s="9" t="s">
        <v>11</v>
      </c>
      <c r="F1875" s="10"/>
      <c r="G1875" s="9" t="s">
        <v>15</v>
      </c>
      <c r="H1875" s="7" t="s">
        <v>3664</v>
      </c>
      <c r="I1875" s="9" t="s">
        <v>353</v>
      </c>
      <c r="J1875" s="88"/>
    </row>
    <row r="1876">
      <c r="A1876" s="54" t="s">
        <v>236</v>
      </c>
      <c r="B1876" s="7" t="s">
        <v>3665</v>
      </c>
      <c r="C1876" s="91">
        <v>45562.44713637732</v>
      </c>
      <c r="D1876" s="8">
        <f t="shared" si="196"/>
        <v>45566</v>
      </c>
      <c r="E1876" s="9" t="s">
        <v>11</v>
      </c>
      <c r="F1876" s="10"/>
      <c r="G1876" s="9" t="s">
        <v>220</v>
      </c>
      <c r="H1876" s="7" t="s">
        <v>3666</v>
      </c>
      <c r="I1876" s="9" t="s">
        <v>353</v>
      </c>
      <c r="J1876" s="88"/>
    </row>
    <row r="1877">
      <c r="A1877" s="102" t="s">
        <v>624</v>
      </c>
      <c r="B1877" s="7" t="s">
        <v>3667</v>
      </c>
      <c r="C1877" s="91">
        <v>45565.43881518519</v>
      </c>
      <c r="D1877" s="8">
        <f t="shared" si="196"/>
        <v>45567</v>
      </c>
      <c r="E1877" s="9" t="s">
        <v>11</v>
      </c>
      <c r="F1877" s="10"/>
      <c r="G1877" s="9" t="s">
        <v>15</v>
      </c>
      <c r="H1877" s="7" t="s">
        <v>3668</v>
      </c>
      <c r="I1877" s="9" t="s">
        <v>353</v>
      </c>
      <c r="J1877" s="88"/>
    </row>
    <row r="1878">
      <c r="A1878" s="102" t="s">
        <v>624</v>
      </c>
      <c r="B1878" s="7" t="s">
        <v>3669</v>
      </c>
      <c r="C1878" s="91">
        <v>45552.68177915509</v>
      </c>
      <c r="D1878" s="8">
        <f t="shared" si="196"/>
        <v>45554</v>
      </c>
      <c r="E1878" s="9" t="s">
        <v>11</v>
      </c>
      <c r="F1878" s="10"/>
      <c r="G1878" s="9" t="s">
        <v>15</v>
      </c>
      <c r="H1878" s="7" t="s">
        <v>3670</v>
      </c>
      <c r="I1878" s="9" t="s">
        <v>353</v>
      </c>
      <c r="J1878" s="88"/>
    </row>
    <row r="1879">
      <c r="A1879" s="6" t="s">
        <v>9</v>
      </c>
      <c r="B1879" s="7" t="s">
        <v>3671</v>
      </c>
      <c r="C1879" s="91">
        <v>45566.46829334491</v>
      </c>
      <c r="D1879" s="8">
        <f t="shared" si="196"/>
        <v>45568</v>
      </c>
      <c r="E1879" s="9" t="s">
        <v>11</v>
      </c>
      <c r="F1879" s="10"/>
      <c r="G1879" s="9" t="s">
        <v>15</v>
      </c>
      <c r="H1879" s="7" t="s">
        <v>3672</v>
      </c>
      <c r="I1879" s="9" t="s">
        <v>353</v>
      </c>
      <c r="J1879" s="88"/>
    </row>
    <row r="1880">
      <c r="A1880" s="34" t="s">
        <v>204</v>
      </c>
      <c r="B1880" s="7" t="s">
        <v>3673</v>
      </c>
      <c r="C1880" s="91">
        <v>45568.49145194444</v>
      </c>
      <c r="D1880" s="8">
        <f t="shared" si="196"/>
        <v>45572</v>
      </c>
      <c r="E1880" s="9" t="s">
        <v>11</v>
      </c>
      <c r="F1880" s="10"/>
      <c r="G1880" s="9" t="s">
        <v>18</v>
      </c>
      <c r="H1880" s="7" t="s">
        <v>437</v>
      </c>
      <c r="I1880" s="9" t="s">
        <v>353</v>
      </c>
      <c r="J1880" s="88"/>
    </row>
    <row r="1881">
      <c r="A1881" s="6" t="s">
        <v>9</v>
      </c>
      <c r="B1881" s="7" t="s">
        <v>3674</v>
      </c>
      <c r="C1881" s="91">
        <v>45478.43361201389</v>
      </c>
      <c r="D1881" s="8">
        <f t="shared" si="196"/>
        <v>45482</v>
      </c>
      <c r="E1881" s="9" t="s">
        <v>11</v>
      </c>
      <c r="F1881" s="8"/>
      <c r="G1881" s="9" t="s">
        <v>18</v>
      </c>
      <c r="H1881" s="7" t="s">
        <v>3675</v>
      </c>
      <c r="I1881" s="9" t="s">
        <v>353</v>
      </c>
      <c r="J1881" s="88"/>
    </row>
    <row r="1882">
      <c r="A1882" s="20" t="s">
        <v>98</v>
      </c>
      <c r="B1882" s="9" t="s">
        <v>3676</v>
      </c>
      <c r="C1882" s="91">
        <v>45566.48749303241</v>
      </c>
      <c r="D1882" s="8">
        <f t="shared" si="196"/>
        <v>45568</v>
      </c>
      <c r="E1882" s="9" t="s">
        <v>11</v>
      </c>
      <c r="F1882" s="10"/>
      <c r="G1882" s="9" t="s">
        <v>18</v>
      </c>
      <c r="H1882" s="7" t="s">
        <v>1011</v>
      </c>
      <c r="I1882" s="9" t="s">
        <v>353</v>
      </c>
      <c r="J1882" s="88"/>
    </row>
    <row r="1883">
      <c r="A1883" s="6" t="s">
        <v>9</v>
      </c>
      <c r="B1883" s="7" t="s">
        <v>3677</v>
      </c>
      <c r="C1883" s="91">
        <v>45561.638732974534</v>
      </c>
      <c r="D1883" s="8">
        <f t="shared" si="196"/>
        <v>45565</v>
      </c>
      <c r="E1883" s="9" t="s">
        <v>11</v>
      </c>
      <c r="F1883" s="10"/>
      <c r="G1883" s="9" t="s">
        <v>18</v>
      </c>
      <c r="H1883" s="7" t="s">
        <v>437</v>
      </c>
      <c r="I1883" s="9" t="s">
        <v>353</v>
      </c>
      <c r="J1883" s="88"/>
    </row>
    <row r="1884">
      <c r="A1884" s="34" t="s">
        <v>204</v>
      </c>
      <c r="B1884" s="7" t="s">
        <v>3678</v>
      </c>
      <c r="C1884" s="91">
        <v>45568.37423130787</v>
      </c>
      <c r="D1884" s="8">
        <f t="shared" si="196"/>
        <v>45572</v>
      </c>
      <c r="E1884" s="9" t="s">
        <v>11</v>
      </c>
      <c r="F1884" s="10"/>
      <c r="G1884" s="9" t="s">
        <v>18</v>
      </c>
      <c r="H1884" s="7" t="s">
        <v>437</v>
      </c>
      <c r="I1884" s="9" t="s">
        <v>353</v>
      </c>
      <c r="J1884" s="88"/>
    </row>
    <row r="1885">
      <c r="A1885" s="54" t="s">
        <v>236</v>
      </c>
      <c r="B1885" s="7" t="s">
        <v>3679</v>
      </c>
      <c r="C1885" s="91">
        <v>45566.716359143524</v>
      </c>
      <c r="D1885" s="8">
        <f t="shared" si="196"/>
        <v>45568</v>
      </c>
      <c r="E1885" s="9" t="s">
        <v>11</v>
      </c>
      <c r="F1885" s="10"/>
      <c r="G1885" s="9" t="s">
        <v>15</v>
      </c>
      <c r="H1885" s="7" t="s">
        <v>3680</v>
      </c>
      <c r="I1885" s="9" t="s">
        <v>353</v>
      </c>
      <c r="J1885" s="88"/>
    </row>
    <row r="1886">
      <c r="A1886" s="34" t="s">
        <v>204</v>
      </c>
      <c r="B1886" s="7" t="s">
        <v>3681</v>
      </c>
      <c r="C1886" s="91">
        <v>45567.70811328704</v>
      </c>
      <c r="D1886" s="8">
        <f t="shared" si="196"/>
        <v>45569</v>
      </c>
      <c r="E1886" s="9" t="s">
        <v>11</v>
      </c>
      <c r="F1886" s="10"/>
      <c r="G1886" s="9" t="s">
        <v>18</v>
      </c>
      <c r="H1886" s="7" t="s">
        <v>437</v>
      </c>
      <c r="I1886" s="9" t="s">
        <v>353</v>
      </c>
      <c r="J1886" s="88"/>
    </row>
    <row r="1887">
      <c r="A1887" s="102" t="s">
        <v>624</v>
      </c>
      <c r="B1887" s="7" t="s">
        <v>3682</v>
      </c>
      <c r="C1887" s="91">
        <v>45558.710221932866</v>
      </c>
      <c r="D1887" s="8">
        <f t="shared" si="196"/>
        <v>45560</v>
      </c>
      <c r="E1887" s="9" t="s">
        <v>11</v>
      </c>
      <c r="F1887" s="10"/>
      <c r="G1887" s="9" t="s">
        <v>15</v>
      </c>
      <c r="H1887" s="7" t="s">
        <v>3683</v>
      </c>
      <c r="I1887" s="9" t="s">
        <v>353</v>
      </c>
      <c r="J1887" s="88"/>
    </row>
    <row r="1888">
      <c r="A1888" s="20" t="s">
        <v>98</v>
      </c>
      <c r="B1888" s="9" t="s">
        <v>3684</v>
      </c>
      <c r="C1888" s="91">
        <v>45546.74228438658</v>
      </c>
      <c r="D1888" s="8">
        <f t="shared" si="196"/>
        <v>45548</v>
      </c>
      <c r="E1888" s="9" t="s">
        <v>11</v>
      </c>
      <c r="F1888" s="10"/>
      <c r="G1888" s="9" t="s">
        <v>15</v>
      </c>
      <c r="H1888" s="7" t="s">
        <v>3685</v>
      </c>
      <c r="I1888" s="9" t="s">
        <v>353</v>
      </c>
      <c r="J1888" s="88"/>
    </row>
    <row r="1889">
      <c r="A1889" s="42" t="s">
        <v>206</v>
      </c>
      <c r="B1889" s="43" t="s">
        <v>3686</v>
      </c>
      <c r="C1889" s="91">
        <v>45469.682723923615</v>
      </c>
      <c r="D1889" s="8"/>
      <c r="E1889" s="9" t="s">
        <v>206</v>
      </c>
      <c r="F1889" s="10"/>
      <c r="G1889" s="9" t="s">
        <v>15</v>
      </c>
      <c r="H1889" s="7" t="s">
        <v>3687</v>
      </c>
      <c r="I1889" s="9" t="s">
        <v>353</v>
      </c>
      <c r="J1889" s="88"/>
    </row>
    <row r="1890">
      <c r="A1890" s="42" t="s">
        <v>206</v>
      </c>
      <c r="B1890" s="43" t="s">
        <v>3688</v>
      </c>
      <c r="C1890" s="91">
        <v>45491.514253553236</v>
      </c>
      <c r="D1890" s="8"/>
      <c r="E1890" s="9" t="s">
        <v>216</v>
      </c>
      <c r="F1890" s="10"/>
      <c r="G1890" s="9" t="s">
        <v>18</v>
      </c>
      <c r="H1890" s="7" t="s">
        <v>3689</v>
      </c>
      <c r="I1890" s="9" t="s">
        <v>353</v>
      </c>
      <c r="J1890" s="88"/>
    </row>
    <row r="1891">
      <c r="A1891" s="54" t="s">
        <v>236</v>
      </c>
      <c r="B1891" s="7" t="s">
        <v>3690</v>
      </c>
      <c r="C1891" s="91">
        <v>45566.34897883102</v>
      </c>
      <c r="D1891" s="8">
        <f t="shared" ref="D1891:D1902" si="197">IFERROR(_xlfn.WORKDAY.INTL(C1891, 2),"-")</f>
        <v>45568</v>
      </c>
      <c r="E1891" s="9" t="s">
        <v>11</v>
      </c>
      <c r="F1891" s="10"/>
      <c r="G1891" s="9" t="s">
        <v>220</v>
      </c>
      <c r="H1891" s="7" t="s">
        <v>3691</v>
      </c>
      <c r="I1891" s="9" t="s">
        <v>353</v>
      </c>
      <c r="J1891" s="88"/>
    </row>
    <row r="1892">
      <c r="A1892" s="6" t="s">
        <v>9</v>
      </c>
      <c r="B1892" s="7" t="s">
        <v>3692</v>
      </c>
      <c r="C1892" s="91">
        <v>45566.46863604167</v>
      </c>
      <c r="D1892" s="8">
        <f t="shared" si="197"/>
        <v>45568</v>
      </c>
      <c r="E1892" s="9" t="s">
        <v>11</v>
      </c>
      <c r="F1892" s="10"/>
      <c r="G1892" s="9" t="s">
        <v>15</v>
      </c>
      <c r="H1892" s="7" t="s">
        <v>3672</v>
      </c>
      <c r="I1892" s="9" t="s">
        <v>353</v>
      </c>
      <c r="J1892" s="88"/>
    </row>
    <row r="1893">
      <c r="A1893" s="6" t="s">
        <v>9</v>
      </c>
      <c r="B1893" s="7" t="s">
        <v>3693</v>
      </c>
      <c r="C1893" s="91">
        <v>45516.47509127315</v>
      </c>
      <c r="D1893" s="8">
        <f t="shared" si="197"/>
        <v>45518</v>
      </c>
      <c r="E1893" s="9" t="s">
        <v>11</v>
      </c>
      <c r="F1893" s="10"/>
      <c r="G1893" s="9" t="s">
        <v>1309</v>
      </c>
      <c r="H1893" s="7" t="s">
        <v>3694</v>
      </c>
      <c r="I1893" s="9" t="s">
        <v>353</v>
      </c>
      <c r="J1893" s="88"/>
    </row>
    <row r="1894">
      <c r="A1894" s="34" t="s">
        <v>204</v>
      </c>
      <c r="B1894" s="7" t="s">
        <v>3695</v>
      </c>
      <c r="C1894" s="91">
        <v>45567.4449424537</v>
      </c>
      <c r="D1894" s="8">
        <f t="shared" si="197"/>
        <v>45569</v>
      </c>
      <c r="E1894" s="9" t="s">
        <v>11</v>
      </c>
      <c r="F1894" s="10"/>
      <c r="G1894" s="9" t="s">
        <v>18</v>
      </c>
      <c r="H1894" s="7" t="s">
        <v>437</v>
      </c>
      <c r="I1894" s="9" t="s">
        <v>353</v>
      </c>
      <c r="J1894" s="88"/>
    </row>
    <row r="1895">
      <c r="A1895" s="54" t="s">
        <v>236</v>
      </c>
      <c r="B1895" s="7" t="s">
        <v>3696</v>
      </c>
      <c r="C1895" s="91">
        <v>45566.588915636574</v>
      </c>
      <c r="D1895" s="8">
        <f t="shared" si="197"/>
        <v>45568</v>
      </c>
      <c r="E1895" s="9" t="s">
        <v>11</v>
      </c>
      <c r="F1895" s="10"/>
      <c r="G1895" s="9" t="s">
        <v>18</v>
      </c>
      <c r="H1895" s="11"/>
      <c r="I1895" s="9" t="s">
        <v>353</v>
      </c>
      <c r="J1895" s="88"/>
    </row>
    <row r="1896">
      <c r="A1896" s="6" t="s">
        <v>9</v>
      </c>
      <c r="B1896" s="7" t="s">
        <v>2120</v>
      </c>
      <c r="C1896" s="91">
        <v>45559.71691393519</v>
      </c>
      <c r="D1896" s="8">
        <f t="shared" si="197"/>
        <v>45561</v>
      </c>
      <c r="E1896" s="9" t="s">
        <v>11</v>
      </c>
      <c r="F1896" s="10"/>
      <c r="G1896" s="9" t="s">
        <v>15</v>
      </c>
      <c r="H1896" s="7" t="s">
        <v>3697</v>
      </c>
      <c r="I1896" s="9" t="s">
        <v>353</v>
      </c>
      <c r="J1896" s="88"/>
    </row>
    <row r="1897">
      <c r="A1897" s="54" t="s">
        <v>236</v>
      </c>
      <c r="B1897" s="7" t="s">
        <v>3698</v>
      </c>
      <c r="C1897" s="91">
        <v>45554.5767671875</v>
      </c>
      <c r="D1897" s="8">
        <f t="shared" si="197"/>
        <v>45558</v>
      </c>
      <c r="E1897" s="9" t="s">
        <v>11</v>
      </c>
      <c r="F1897" s="10"/>
      <c r="G1897" s="9" t="s">
        <v>15</v>
      </c>
      <c r="H1897" s="7" t="s">
        <v>3699</v>
      </c>
      <c r="I1897" s="9" t="s">
        <v>353</v>
      </c>
      <c r="J1897" s="88"/>
    </row>
    <row r="1898">
      <c r="A1898" s="54" t="s">
        <v>236</v>
      </c>
      <c r="B1898" s="7" t="s">
        <v>3700</v>
      </c>
      <c r="C1898" s="91">
        <v>45558.67972006944</v>
      </c>
      <c r="D1898" s="8">
        <f t="shared" si="197"/>
        <v>45560</v>
      </c>
      <c r="E1898" s="9" t="s">
        <v>11</v>
      </c>
      <c r="F1898" s="10"/>
      <c r="G1898" s="9" t="s">
        <v>15</v>
      </c>
      <c r="H1898" s="7" t="s">
        <v>3701</v>
      </c>
      <c r="I1898" s="9" t="s">
        <v>353</v>
      </c>
      <c r="J1898" s="88"/>
    </row>
    <row r="1899">
      <c r="A1899" s="20" t="s">
        <v>98</v>
      </c>
      <c r="B1899" s="9" t="s">
        <v>3702</v>
      </c>
      <c r="C1899" s="91">
        <v>45566.34724440972</v>
      </c>
      <c r="D1899" s="8">
        <f t="shared" si="197"/>
        <v>45568</v>
      </c>
      <c r="E1899" s="9" t="s">
        <v>11</v>
      </c>
      <c r="F1899" s="10"/>
      <c r="G1899" s="9" t="s">
        <v>15</v>
      </c>
      <c r="H1899" s="7" t="s">
        <v>3703</v>
      </c>
      <c r="I1899" s="9" t="s">
        <v>353</v>
      </c>
      <c r="J1899" s="88"/>
    </row>
    <row r="1900">
      <c r="A1900" s="54" t="s">
        <v>236</v>
      </c>
      <c r="B1900" s="7" t="s">
        <v>3704</v>
      </c>
      <c r="C1900" s="91">
        <v>45553.43813908564</v>
      </c>
      <c r="D1900" s="8">
        <f t="shared" si="197"/>
        <v>45555</v>
      </c>
      <c r="E1900" s="9" t="s">
        <v>11</v>
      </c>
      <c r="F1900" s="10"/>
      <c r="G1900" s="9" t="s">
        <v>15</v>
      </c>
      <c r="H1900" s="7" t="s">
        <v>3705</v>
      </c>
      <c r="I1900" s="9" t="s">
        <v>353</v>
      </c>
      <c r="J1900" s="88"/>
    </row>
    <row r="1901">
      <c r="A1901" s="20" t="s">
        <v>98</v>
      </c>
      <c r="B1901" s="9" t="s">
        <v>3706</v>
      </c>
      <c r="C1901" s="91">
        <v>45566.347171817135</v>
      </c>
      <c r="D1901" s="8">
        <f t="shared" si="197"/>
        <v>45568</v>
      </c>
      <c r="E1901" s="9" t="s">
        <v>11</v>
      </c>
      <c r="F1901" s="10"/>
      <c r="G1901" s="9" t="s">
        <v>15</v>
      </c>
      <c r="H1901" s="7" t="s">
        <v>3703</v>
      </c>
      <c r="I1901" s="9" t="s">
        <v>353</v>
      </c>
      <c r="J1901" s="88"/>
    </row>
    <row r="1902">
      <c r="A1902" s="20" t="s">
        <v>98</v>
      </c>
      <c r="B1902" s="9" t="s">
        <v>3707</v>
      </c>
      <c r="C1902" s="91">
        <v>45565.58371840278</v>
      </c>
      <c r="D1902" s="8">
        <f t="shared" si="197"/>
        <v>45567</v>
      </c>
      <c r="E1902" s="9" t="s">
        <v>11</v>
      </c>
      <c r="F1902" s="10"/>
      <c r="G1902" s="9" t="s">
        <v>15</v>
      </c>
      <c r="H1902" s="7" t="s">
        <v>3703</v>
      </c>
      <c r="I1902" s="9" t="s">
        <v>353</v>
      </c>
      <c r="J1902" s="88"/>
    </row>
    <row r="1903">
      <c r="A1903" s="42" t="s">
        <v>206</v>
      </c>
      <c r="B1903" s="43" t="s">
        <v>3708</v>
      </c>
      <c r="C1903" s="91">
        <v>45509.680514085645</v>
      </c>
      <c r="D1903" s="8"/>
      <c r="E1903" s="9"/>
      <c r="F1903" s="10"/>
      <c r="G1903" s="9" t="s">
        <v>18</v>
      </c>
      <c r="H1903" s="7" t="s">
        <v>3687</v>
      </c>
      <c r="I1903" s="9" t="s">
        <v>353</v>
      </c>
      <c r="J1903" s="88"/>
    </row>
    <row r="1904">
      <c r="A1904" s="42" t="s">
        <v>206</v>
      </c>
      <c r="B1904" s="43" t="s">
        <v>3709</v>
      </c>
      <c r="C1904" s="91">
        <v>45552.388095601855</v>
      </c>
      <c r="D1904" s="8"/>
      <c r="E1904" s="9"/>
      <c r="F1904" s="10"/>
      <c r="G1904" s="9" t="s">
        <v>18</v>
      </c>
      <c r="H1904" s="7" t="s">
        <v>3250</v>
      </c>
      <c r="I1904" s="9" t="s">
        <v>353</v>
      </c>
      <c r="J1904" s="88"/>
    </row>
    <row r="1905">
      <c r="A1905" s="42" t="s">
        <v>206</v>
      </c>
      <c r="B1905" s="43" t="s">
        <v>3710</v>
      </c>
      <c r="C1905" s="91">
        <v>45506.384926342595</v>
      </c>
      <c r="D1905" s="8"/>
      <c r="E1905" s="9"/>
      <c r="F1905" s="10"/>
      <c r="G1905" s="9" t="s">
        <v>3711</v>
      </c>
      <c r="H1905" s="7" t="s">
        <v>3712</v>
      </c>
      <c r="I1905" s="9" t="s">
        <v>353</v>
      </c>
      <c r="J1905" s="88"/>
    </row>
    <row r="1906">
      <c r="A1906" s="42" t="s">
        <v>206</v>
      </c>
      <c r="B1906" s="43" t="s">
        <v>3713</v>
      </c>
      <c r="C1906" s="91">
        <v>45534.508113125004</v>
      </c>
      <c r="D1906" s="8"/>
      <c r="E1906" s="9" t="s">
        <v>624</v>
      </c>
      <c r="F1906" s="10"/>
      <c r="G1906" s="9" t="s">
        <v>15</v>
      </c>
      <c r="H1906" s="7" t="s">
        <v>3714</v>
      </c>
      <c r="I1906" s="9" t="s">
        <v>353</v>
      </c>
      <c r="J1906" s="88"/>
    </row>
    <row r="1907">
      <c r="A1907" s="42" t="s">
        <v>206</v>
      </c>
      <c r="B1907" s="43" t="s">
        <v>3715</v>
      </c>
      <c r="C1907" s="91">
        <v>45552.388020046295</v>
      </c>
      <c r="D1907" s="8"/>
      <c r="E1907" s="9"/>
      <c r="F1907" s="10"/>
      <c r="G1907" s="9" t="s">
        <v>18</v>
      </c>
      <c r="H1907" s="7" t="s">
        <v>3716</v>
      </c>
      <c r="I1907" s="9" t="s">
        <v>353</v>
      </c>
      <c r="J1907" s="88"/>
    </row>
    <row r="1908">
      <c r="A1908" s="20" t="s">
        <v>98</v>
      </c>
      <c r="B1908" s="9" t="s">
        <v>3717</v>
      </c>
      <c r="C1908" s="91">
        <v>45565.58382947917</v>
      </c>
      <c r="D1908" s="8">
        <f t="shared" ref="D1908:D1918" si="198">IFERROR(_xlfn.WORKDAY.INTL(C1908, 2),"-")</f>
        <v>45567</v>
      </c>
      <c r="E1908" s="9" t="s">
        <v>11</v>
      </c>
      <c r="F1908" s="10"/>
      <c r="G1908" s="9" t="s">
        <v>18</v>
      </c>
      <c r="H1908" s="7" t="s">
        <v>3718</v>
      </c>
      <c r="I1908" s="9" t="s">
        <v>353</v>
      </c>
      <c r="J1908" s="88"/>
    </row>
    <row r="1909">
      <c r="A1909" s="6" t="s">
        <v>9</v>
      </c>
      <c r="B1909" s="7" t="s">
        <v>3719</v>
      </c>
      <c r="C1909" s="91">
        <v>45548.70095320602</v>
      </c>
      <c r="D1909" s="8">
        <f t="shared" si="198"/>
        <v>45552</v>
      </c>
      <c r="E1909" s="9" t="s">
        <v>11</v>
      </c>
      <c r="F1909" s="10"/>
      <c r="G1909" s="9" t="s">
        <v>15</v>
      </c>
      <c r="H1909" s="7" t="s">
        <v>3657</v>
      </c>
      <c r="I1909" s="9" t="s">
        <v>353</v>
      </c>
      <c r="J1909" s="88"/>
    </row>
    <row r="1910">
      <c r="A1910" s="20" t="s">
        <v>98</v>
      </c>
      <c r="B1910" s="9" t="s">
        <v>3720</v>
      </c>
      <c r="C1910" s="91">
        <v>45565.58266565972</v>
      </c>
      <c r="D1910" s="8">
        <f t="shared" si="198"/>
        <v>45567</v>
      </c>
      <c r="E1910" s="9" t="s">
        <v>11</v>
      </c>
      <c r="F1910" s="10"/>
      <c r="G1910" s="9" t="s">
        <v>15</v>
      </c>
      <c r="H1910" s="7" t="s">
        <v>3718</v>
      </c>
      <c r="I1910" s="9" t="s">
        <v>353</v>
      </c>
      <c r="J1910" s="88"/>
    </row>
    <row r="1911">
      <c r="A1911" s="20" t="s">
        <v>98</v>
      </c>
      <c r="B1911" s="9" t="s">
        <v>3721</v>
      </c>
      <c r="C1911" s="91">
        <v>45565.58242201389</v>
      </c>
      <c r="D1911" s="8">
        <f t="shared" si="198"/>
        <v>45567</v>
      </c>
      <c r="E1911" s="9" t="s">
        <v>11</v>
      </c>
      <c r="F1911" s="10"/>
      <c r="G1911" s="9" t="s">
        <v>15</v>
      </c>
      <c r="H1911" s="7" t="s">
        <v>3718</v>
      </c>
      <c r="I1911" s="9" t="s">
        <v>353</v>
      </c>
      <c r="J1911" s="88"/>
    </row>
    <row r="1912">
      <c r="A1912" s="20" t="s">
        <v>98</v>
      </c>
      <c r="B1912" s="9" t="s">
        <v>3722</v>
      </c>
      <c r="C1912" s="91">
        <v>45561.43549708334</v>
      </c>
      <c r="D1912" s="8">
        <f t="shared" si="198"/>
        <v>45565</v>
      </c>
      <c r="E1912" s="9" t="s">
        <v>11</v>
      </c>
      <c r="F1912" s="10"/>
      <c r="G1912" s="9" t="s">
        <v>15</v>
      </c>
      <c r="H1912" s="7" t="s">
        <v>3723</v>
      </c>
      <c r="I1912" s="9" t="s">
        <v>353</v>
      </c>
      <c r="J1912" s="88"/>
    </row>
    <row r="1913">
      <c r="A1913" s="102" t="s">
        <v>624</v>
      </c>
      <c r="B1913" s="7" t="s">
        <v>3724</v>
      </c>
      <c r="C1913" s="91">
        <v>45561.39037328704</v>
      </c>
      <c r="D1913" s="8">
        <f t="shared" si="198"/>
        <v>45565</v>
      </c>
      <c r="E1913" s="9" t="s">
        <v>11</v>
      </c>
      <c r="F1913" s="10"/>
      <c r="G1913" s="9" t="s">
        <v>15</v>
      </c>
      <c r="H1913" s="7" t="s">
        <v>3725</v>
      </c>
      <c r="I1913" s="9" t="s">
        <v>353</v>
      </c>
      <c r="J1913" s="88"/>
    </row>
    <row r="1914">
      <c r="A1914" s="102" t="s">
        <v>624</v>
      </c>
      <c r="B1914" s="7" t="s">
        <v>3726</v>
      </c>
      <c r="C1914" s="91">
        <v>45562.410871458334</v>
      </c>
      <c r="D1914" s="8">
        <f t="shared" si="198"/>
        <v>45566</v>
      </c>
      <c r="E1914" s="9" t="s">
        <v>11</v>
      </c>
      <c r="F1914" s="10"/>
      <c r="G1914" s="9" t="s">
        <v>15</v>
      </c>
      <c r="H1914" s="7" t="s">
        <v>3727</v>
      </c>
      <c r="I1914" s="9" t="s">
        <v>353</v>
      </c>
      <c r="J1914" s="88"/>
    </row>
    <row r="1915">
      <c r="A1915" s="6" t="s">
        <v>9</v>
      </c>
      <c r="B1915" s="7" t="s">
        <v>3728</v>
      </c>
      <c r="C1915" s="91">
        <v>45562.376102939816</v>
      </c>
      <c r="D1915" s="8">
        <f t="shared" si="198"/>
        <v>45566</v>
      </c>
      <c r="E1915" s="9" t="s">
        <v>11</v>
      </c>
      <c r="F1915" s="10"/>
      <c r="G1915" s="9" t="s">
        <v>18</v>
      </c>
      <c r="H1915" s="7" t="s">
        <v>3729</v>
      </c>
      <c r="I1915" s="9" t="s">
        <v>353</v>
      </c>
      <c r="J1915" s="88"/>
    </row>
    <row r="1916">
      <c r="A1916" s="34" t="s">
        <v>204</v>
      </c>
      <c r="B1916" s="7" t="s">
        <v>3730</v>
      </c>
      <c r="C1916" s="91">
        <v>45561.75522225694</v>
      </c>
      <c r="D1916" s="8">
        <f t="shared" si="198"/>
        <v>45565</v>
      </c>
      <c r="E1916" s="9" t="s">
        <v>11</v>
      </c>
      <c r="F1916" s="10"/>
      <c r="G1916" s="9" t="s">
        <v>18</v>
      </c>
      <c r="H1916" s="7" t="s">
        <v>437</v>
      </c>
      <c r="I1916" s="9" t="s">
        <v>353</v>
      </c>
      <c r="J1916" s="88"/>
    </row>
    <row r="1917">
      <c r="A1917" s="34" t="s">
        <v>204</v>
      </c>
      <c r="B1917" s="7" t="s">
        <v>3731</v>
      </c>
      <c r="C1917" s="91">
        <v>45561.740249317125</v>
      </c>
      <c r="D1917" s="8">
        <f t="shared" si="198"/>
        <v>45565</v>
      </c>
      <c r="E1917" s="9" t="s">
        <v>11</v>
      </c>
      <c r="F1917" s="10"/>
      <c r="G1917" s="9" t="s">
        <v>18</v>
      </c>
      <c r="H1917" s="7" t="s">
        <v>437</v>
      </c>
      <c r="I1917" s="9" t="s">
        <v>353</v>
      </c>
      <c r="J1917" s="88"/>
    </row>
    <row r="1918">
      <c r="A1918" s="34" t="s">
        <v>204</v>
      </c>
      <c r="B1918" s="11"/>
      <c r="C1918" s="91" t="s">
        <v>11</v>
      </c>
      <c r="D1918" s="8" t="str">
        <f t="shared" si="198"/>
        <v>-</v>
      </c>
      <c r="E1918" s="9" t="s">
        <v>11</v>
      </c>
      <c r="F1918" s="10"/>
      <c r="G1918" s="9"/>
      <c r="H1918" s="11"/>
      <c r="I1918" s="9" t="s">
        <v>13</v>
      </c>
      <c r="J1918" s="88"/>
    </row>
    <row r="1919">
      <c r="A1919" s="88"/>
      <c r="B1919" s="89"/>
      <c r="C1919" s="90"/>
      <c r="D1919" s="89"/>
      <c r="E1919" s="89"/>
      <c r="F1919" s="89"/>
      <c r="G1919" s="89"/>
      <c r="H1919" s="87"/>
      <c r="I1919" s="89"/>
      <c r="J1919" s="88"/>
    </row>
    <row r="1920">
      <c r="A1920" s="34" t="s">
        <v>204</v>
      </c>
      <c r="B1920" s="7" t="s">
        <v>3732</v>
      </c>
      <c r="C1920" s="91">
        <v>45561.716561493056</v>
      </c>
      <c r="D1920" s="8">
        <f t="shared" ref="D1920:D1921" si="199">IFERROR(_xlfn.WORKDAY.INTL(C1920, 2),"-")</f>
        <v>45565</v>
      </c>
      <c r="E1920" s="9" t="s">
        <v>11</v>
      </c>
      <c r="F1920" s="10"/>
      <c r="G1920" s="9" t="s">
        <v>18</v>
      </c>
      <c r="H1920" s="7" t="s">
        <v>437</v>
      </c>
      <c r="I1920" s="9" t="s">
        <v>353</v>
      </c>
      <c r="J1920" s="88"/>
    </row>
    <row r="1921">
      <c r="A1921" s="34" t="s">
        <v>204</v>
      </c>
      <c r="B1921" s="7" t="s">
        <v>3733</v>
      </c>
      <c r="C1921" s="91">
        <v>45561.7163254051</v>
      </c>
      <c r="D1921" s="8">
        <f t="shared" si="199"/>
        <v>45565</v>
      </c>
      <c r="E1921" s="9" t="s">
        <v>11</v>
      </c>
      <c r="F1921" s="10"/>
      <c r="G1921" s="9" t="s">
        <v>18</v>
      </c>
      <c r="H1921" s="7" t="s">
        <v>437</v>
      </c>
      <c r="I1921" s="9" t="s">
        <v>353</v>
      </c>
      <c r="J1921" s="88"/>
    </row>
    <row r="1922">
      <c r="A1922" s="88"/>
      <c r="B1922" s="89"/>
      <c r="C1922" s="90"/>
      <c r="D1922" s="89"/>
      <c r="E1922" s="89"/>
      <c r="F1922" s="89"/>
      <c r="G1922" s="89"/>
      <c r="H1922" s="87"/>
      <c r="I1922" s="89"/>
      <c r="J1922" s="88"/>
    </row>
    <row r="1923">
      <c r="A1923" s="34" t="s">
        <v>204</v>
      </c>
      <c r="B1923" s="7" t="s">
        <v>3734</v>
      </c>
      <c r="C1923" s="91">
        <v>45561.665351574076</v>
      </c>
      <c r="D1923" s="8">
        <f t="shared" ref="D1923:D1954" si="200">IFERROR(_xlfn.WORKDAY.INTL(C1923, 2),"-")</f>
        <v>45565</v>
      </c>
      <c r="E1923" s="9" t="s">
        <v>11</v>
      </c>
      <c r="F1923" s="10"/>
      <c r="G1923" s="9" t="s">
        <v>18</v>
      </c>
      <c r="H1923" s="7" t="s">
        <v>437</v>
      </c>
      <c r="I1923" s="9" t="s">
        <v>353</v>
      </c>
      <c r="J1923" s="88"/>
    </row>
    <row r="1924">
      <c r="A1924" s="20" t="s">
        <v>98</v>
      </c>
      <c r="B1924" s="9" t="s">
        <v>3735</v>
      </c>
      <c r="C1924" s="91">
        <v>45561.62653436343</v>
      </c>
      <c r="D1924" s="8">
        <f t="shared" si="200"/>
        <v>45565</v>
      </c>
      <c r="E1924" s="9" t="s">
        <v>11</v>
      </c>
      <c r="F1924" s="10"/>
      <c r="G1924" s="9" t="s">
        <v>18</v>
      </c>
      <c r="H1924" s="7" t="s">
        <v>3736</v>
      </c>
      <c r="I1924" s="9" t="s">
        <v>353</v>
      </c>
      <c r="J1924" s="88"/>
    </row>
    <row r="1925">
      <c r="A1925" s="54" t="s">
        <v>236</v>
      </c>
      <c r="B1925" s="7" t="s">
        <v>3737</v>
      </c>
      <c r="C1925" s="91">
        <v>45551.586366574076</v>
      </c>
      <c r="D1925" s="8">
        <f t="shared" si="200"/>
        <v>45553</v>
      </c>
      <c r="E1925" s="9" t="s">
        <v>206</v>
      </c>
      <c r="F1925" s="10"/>
      <c r="G1925" s="9" t="s">
        <v>220</v>
      </c>
      <c r="H1925" s="7" t="s">
        <v>3738</v>
      </c>
      <c r="I1925" s="9" t="s">
        <v>353</v>
      </c>
      <c r="J1925" s="88"/>
    </row>
    <row r="1926">
      <c r="A1926" s="20" t="s">
        <v>98</v>
      </c>
      <c r="B1926" s="9" t="s">
        <v>3739</v>
      </c>
      <c r="C1926" s="91">
        <v>45554.711795428244</v>
      </c>
      <c r="D1926" s="8">
        <f t="shared" si="200"/>
        <v>45558</v>
      </c>
      <c r="E1926" s="9" t="s">
        <v>11</v>
      </c>
      <c r="F1926" s="10"/>
      <c r="G1926" s="9" t="s">
        <v>18</v>
      </c>
      <c r="H1926" s="7" t="s">
        <v>3740</v>
      </c>
      <c r="I1926" s="9" t="s">
        <v>353</v>
      </c>
      <c r="J1926" s="88"/>
    </row>
    <row r="1927">
      <c r="A1927" s="20" t="s">
        <v>98</v>
      </c>
      <c r="B1927" s="9" t="s">
        <v>3741</v>
      </c>
      <c r="C1927" s="91">
        <v>45558.657409629624</v>
      </c>
      <c r="D1927" s="8">
        <f t="shared" si="200"/>
        <v>45560</v>
      </c>
      <c r="E1927" s="9" t="s">
        <v>11</v>
      </c>
      <c r="F1927" s="10"/>
      <c r="G1927" s="9" t="s">
        <v>18</v>
      </c>
      <c r="H1927" s="7" t="s">
        <v>3742</v>
      </c>
      <c r="I1927" s="9" t="s">
        <v>353</v>
      </c>
      <c r="J1927" s="88"/>
    </row>
    <row r="1928">
      <c r="A1928" s="20" t="s">
        <v>98</v>
      </c>
      <c r="B1928" s="9" t="s">
        <v>3743</v>
      </c>
      <c r="C1928" s="91">
        <v>45561.37078571759</v>
      </c>
      <c r="D1928" s="8">
        <f t="shared" si="200"/>
        <v>45565</v>
      </c>
      <c r="E1928" s="9" t="s">
        <v>11</v>
      </c>
      <c r="F1928" s="10"/>
      <c r="G1928" s="9" t="s">
        <v>18</v>
      </c>
      <c r="H1928" s="7" t="s">
        <v>3736</v>
      </c>
      <c r="I1928" s="9" t="s">
        <v>353</v>
      </c>
      <c r="J1928" s="88"/>
    </row>
    <row r="1929">
      <c r="A1929" s="54" t="s">
        <v>236</v>
      </c>
      <c r="B1929" s="7" t="s">
        <v>3744</v>
      </c>
      <c r="C1929" s="91">
        <v>45559.71271465278</v>
      </c>
      <c r="D1929" s="8">
        <f t="shared" si="200"/>
        <v>45561</v>
      </c>
      <c r="E1929" s="9" t="s">
        <v>11</v>
      </c>
      <c r="F1929" s="10"/>
      <c r="G1929" s="9" t="s">
        <v>220</v>
      </c>
      <c r="H1929" s="7" t="s">
        <v>3745</v>
      </c>
      <c r="I1929" s="9" t="s">
        <v>353</v>
      </c>
      <c r="J1929" s="88"/>
    </row>
    <row r="1930">
      <c r="A1930" s="20" t="s">
        <v>98</v>
      </c>
      <c r="B1930" s="9" t="s">
        <v>3746</v>
      </c>
      <c r="C1930" s="91">
        <v>45561.37069115741</v>
      </c>
      <c r="D1930" s="8">
        <f t="shared" si="200"/>
        <v>45565</v>
      </c>
      <c r="E1930" s="9" t="s">
        <v>11</v>
      </c>
      <c r="F1930" s="10"/>
      <c r="G1930" s="9" t="s">
        <v>18</v>
      </c>
      <c r="H1930" s="7" t="s">
        <v>3736</v>
      </c>
      <c r="I1930" s="9" t="s">
        <v>353</v>
      </c>
      <c r="J1930" s="88"/>
    </row>
    <row r="1931">
      <c r="A1931" s="20" t="s">
        <v>98</v>
      </c>
      <c r="B1931" s="9" t="s">
        <v>3747</v>
      </c>
      <c r="C1931" s="91">
        <v>45561.37066267361</v>
      </c>
      <c r="D1931" s="8">
        <f t="shared" si="200"/>
        <v>45565</v>
      </c>
      <c r="E1931" s="9" t="s">
        <v>11</v>
      </c>
      <c r="F1931" s="10"/>
      <c r="G1931" s="9" t="s">
        <v>15</v>
      </c>
      <c r="H1931" s="7" t="s">
        <v>3736</v>
      </c>
      <c r="I1931" s="9" t="s">
        <v>353</v>
      </c>
      <c r="J1931" s="88"/>
    </row>
    <row r="1932">
      <c r="A1932" s="54" t="s">
        <v>236</v>
      </c>
      <c r="B1932" s="7" t="s">
        <v>3748</v>
      </c>
      <c r="C1932" s="91">
        <v>45559.64403459491</v>
      </c>
      <c r="D1932" s="8">
        <f t="shared" si="200"/>
        <v>45561</v>
      </c>
      <c r="E1932" s="9" t="s">
        <v>11</v>
      </c>
      <c r="F1932" s="10"/>
      <c r="G1932" s="9" t="s">
        <v>15</v>
      </c>
      <c r="H1932" s="7" t="s">
        <v>3749</v>
      </c>
      <c r="I1932" s="9" t="s">
        <v>353</v>
      </c>
      <c r="J1932" s="88"/>
    </row>
    <row r="1933">
      <c r="A1933" s="20" t="s">
        <v>98</v>
      </c>
      <c r="B1933" s="9" t="s">
        <v>3750</v>
      </c>
      <c r="C1933" s="91">
        <v>45485.38657456019</v>
      </c>
      <c r="D1933" s="8">
        <f t="shared" si="200"/>
        <v>45489</v>
      </c>
      <c r="E1933" s="9" t="s">
        <v>88</v>
      </c>
      <c r="F1933" s="10"/>
      <c r="G1933" s="9" t="s">
        <v>15</v>
      </c>
      <c r="H1933" s="7" t="s">
        <v>3751</v>
      </c>
      <c r="I1933" s="9" t="s">
        <v>353</v>
      </c>
      <c r="J1933" s="88"/>
    </row>
    <row r="1934">
      <c r="A1934" s="6" t="s">
        <v>9</v>
      </c>
      <c r="B1934" s="7" t="s">
        <v>3752</v>
      </c>
      <c r="C1934" s="91">
        <v>45469.634354548616</v>
      </c>
      <c r="D1934" s="8">
        <f t="shared" si="200"/>
        <v>45471</v>
      </c>
      <c r="E1934" s="9" t="s">
        <v>11</v>
      </c>
      <c r="F1934" s="10"/>
      <c r="G1934" s="9" t="s">
        <v>18</v>
      </c>
      <c r="H1934" s="7" t="s">
        <v>3753</v>
      </c>
      <c r="I1934" s="9" t="s">
        <v>353</v>
      </c>
      <c r="J1934" s="88"/>
    </row>
    <row r="1935">
      <c r="A1935" s="6" t="s">
        <v>9</v>
      </c>
      <c r="B1935" s="7" t="s">
        <v>3754</v>
      </c>
      <c r="C1935" s="91">
        <v>45558.59928369213</v>
      </c>
      <c r="D1935" s="8">
        <f t="shared" si="200"/>
        <v>45560</v>
      </c>
      <c r="E1935" s="9" t="s">
        <v>11</v>
      </c>
      <c r="F1935" s="10"/>
      <c r="G1935" s="9" t="s">
        <v>18</v>
      </c>
      <c r="H1935" s="7" t="s">
        <v>3755</v>
      </c>
      <c r="I1935" s="9" t="s">
        <v>353</v>
      </c>
      <c r="J1935" s="88"/>
    </row>
    <row r="1936">
      <c r="A1936" s="6" t="s">
        <v>9</v>
      </c>
      <c r="B1936" s="7" t="s">
        <v>2861</v>
      </c>
      <c r="C1936" s="91">
        <v>45548.70896438658</v>
      </c>
      <c r="D1936" s="8">
        <f t="shared" si="200"/>
        <v>45552</v>
      </c>
      <c r="E1936" s="9" t="s">
        <v>11</v>
      </c>
      <c r="F1936" s="10"/>
      <c r="G1936" s="9" t="s">
        <v>18</v>
      </c>
      <c r="H1936" s="7" t="s">
        <v>3755</v>
      </c>
      <c r="I1936" s="9" t="s">
        <v>353</v>
      </c>
      <c r="J1936" s="88"/>
    </row>
    <row r="1937">
      <c r="A1937" s="102" t="s">
        <v>624</v>
      </c>
      <c r="B1937" s="7" t="s">
        <v>3756</v>
      </c>
      <c r="C1937" s="91">
        <v>45540.51175452546</v>
      </c>
      <c r="D1937" s="8">
        <f t="shared" si="200"/>
        <v>45544</v>
      </c>
      <c r="E1937" s="9" t="s">
        <v>11</v>
      </c>
      <c r="F1937" s="10"/>
      <c r="G1937" s="9" t="s">
        <v>89</v>
      </c>
      <c r="H1937" s="7" t="s">
        <v>3757</v>
      </c>
      <c r="I1937" s="9" t="s">
        <v>353</v>
      </c>
      <c r="J1937" s="88"/>
    </row>
    <row r="1938">
      <c r="A1938" s="20" t="s">
        <v>98</v>
      </c>
      <c r="B1938" s="9" t="s">
        <v>3758</v>
      </c>
      <c r="C1938" s="91">
        <v>45530.70323111111</v>
      </c>
      <c r="D1938" s="8">
        <f t="shared" si="200"/>
        <v>45532</v>
      </c>
      <c r="E1938" s="9" t="s">
        <v>88</v>
      </c>
      <c r="F1938" s="10"/>
      <c r="G1938" s="9" t="s">
        <v>15</v>
      </c>
      <c r="H1938" s="7" t="s">
        <v>3759</v>
      </c>
      <c r="I1938" s="9" t="s">
        <v>353</v>
      </c>
      <c r="J1938" s="88"/>
    </row>
    <row r="1939">
      <c r="A1939" s="54" t="s">
        <v>236</v>
      </c>
      <c r="B1939" s="7" t="s">
        <v>3760</v>
      </c>
      <c r="C1939" s="91">
        <v>45553.438313819446</v>
      </c>
      <c r="D1939" s="8">
        <f t="shared" si="200"/>
        <v>45555</v>
      </c>
      <c r="E1939" s="9" t="s">
        <v>11</v>
      </c>
      <c r="F1939" s="10"/>
      <c r="G1939" s="9" t="s">
        <v>15</v>
      </c>
      <c r="H1939" s="7" t="s">
        <v>3761</v>
      </c>
      <c r="I1939" s="9" t="s">
        <v>353</v>
      </c>
      <c r="J1939" s="88"/>
    </row>
    <row r="1940">
      <c r="A1940" s="20" t="s">
        <v>98</v>
      </c>
      <c r="B1940" s="9" t="s">
        <v>3762</v>
      </c>
      <c r="C1940" s="91">
        <v>45555.450622488424</v>
      </c>
      <c r="D1940" s="8">
        <f t="shared" si="200"/>
        <v>45559</v>
      </c>
      <c r="E1940" s="9" t="s">
        <v>11</v>
      </c>
      <c r="F1940" s="10"/>
      <c r="G1940" s="9" t="s">
        <v>15</v>
      </c>
      <c r="H1940" s="7" t="s">
        <v>3763</v>
      </c>
      <c r="I1940" s="9" t="s">
        <v>353</v>
      </c>
      <c r="J1940" s="88"/>
    </row>
    <row r="1941">
      <c r="A1941" s="102" t="s">
        <v>624</v>
      </c>
      <c r="B1941" s="7" t="s">
        <v>3764</v>
      </c>
      <c r="C1941" s="91">
        <v>45553.69314164352</v>
      </c>
      <c r="D1941" s="8">
        <f t="shared" si="200"/>
        <v>45555</v>
      </c>
      <c r="E1941" s="9" t="s">
        <v>11</v>
      </c>
      <c r="F1941" s="10"/>
      <c r="G1941" s="9" t="s">
        <v>15</v>
      </c>
      <c r="H1941" s="7" t="s">
        <v>3765</v>
      </c>
      <c r="I1941" s="9" t="s">
        <v>353</v>
      </c>
      <c r="J1941" s="88"/>
    </row>
    <row r="1942">
      <c r="A1942" s="34" t="s">
        <v>204</v>
      </c>
      <c r="B1942" s="7" t="s">
        <v>3766</v>
      </c>
      <c r="C1942" s="91">
        <v>45559.746808993055</v>
      </c>
      <c r="D1942" s="8">
        <f t="shared" si="200"/>
        <v>45561</v>
      </c>
      <c r="E1942" s="9" t="s">
        <v>11</v>
      </c>
      <c r="F1942" s="10"/>
      <c r="G1942" s="9" t="s">
        <v>18</v>
      </c>
      <c r="H1942" s="7" t="s">
        <v>437</v>
      </c>
      <c r="I1942" s="9" t="s">
        <v>353</v>
      </c>
      <c r="J1942" s="88"/>
    </row>
    <row r="1943">
      <c r="A1943" s="54" t="s">
        <v>236</v>
      </c>
      <c r="B1943" s="7" t="s">
        <v>3767</v>
      </c>
      <c r="C1943" s="91">
        <v>45554.45021546296</v>
      </c>
      <c r="D1943" s="8">
        <f t="shared" si="200"/>
        <v>45558</v>
      </c>
      <c r="E1943" s="9" t="s">
        <v>11</v>
      </c>
      <c r="F1943" s="10"/>
      <c r="G1943" s="9" t="s">
        <v>15</v>
      </c>
      <c r="H1943" s="7" t="s">
        <v>3768</v>
      </c>
      <c r="I1943" s="9" t="s">
        <v>353</v>
      </c>
      <c r="J1943" s="88"/>
    </row>
    <row r="1944">
      <c r="A1944" s="6" t="s">
        <v>9</v>
      </c>
      <c r="B1944" s="7" t="s">
        <v>3769</v>
      </c>
      <c r="C1944" s="91">
        <v>45547.61437217593</v>
      </c>
      <c r="D1944" s="8">
        <f t="shared" si="200"/>
        <v>45551</v>
      </c>
      <c r="E1944" s="9" t="s">
        <v>11</v>
      </c>
      <c r="F1944" s="10"/>
      <c r="G1944" s="9" t="s">
        <v>18</v>
      </c>
      <c r="H1944" s="7" t="s">
        <v>3770</v>
      </c>
      <c r="I1944" s="9" t="s">
        <v>353</v>
      </c>
      <c r="J1944" s="88"/>
    </row>
    <row r="1945">
      <c r="A1945" s="20" t="s">
        <v>98</v>
      </c>
      <c r="B1945" s="9" t="s">
        <v>3771</v>
      </c>
      <c r="C1945" s="91">
        <v>45555.450414004634</v>
      </c>
      <c r="D1945" s="8">
        <f t="shared" si="200"/>
        <v>45559</v>
      </c>
      <c r="E1945" s="9" t="s">
        <v>88</v>
      </c>
      <c r="F1945" s="10"/>
      <c r="G1945" s="9" t="s">
        <v>15</v>
      </c>
      <c r="H1945" s="7" t="s">
        <v>3772</v>
      </c>
      <c r="I1945" s="9" t="s">
        <v>353</v>
      </c>
      <c r="J1945" s="88"/>
    </row>
    <row r="1946">
      <c r="A1946" s="6" t="s">
        <v>9</v>
      </c>
      <c r="B1946" s="7" t="s">
        <v>3773</v>
      </c>
      <c r="C1946" s="91">
        <v>45461.34022511574</v>
      </c>
      <c r="D1946" s="8">
        <f t="shared" si="200"/>
        <v>45463</v>
      </c>
      <c r="E1946" s="9" t="s">
        <v>11</v>
      </c>
      <c r="F1946" s="8"/>
      <c r="G1946" s="9" t="s">
        <v>15</v>
      </c>
      <c r="H1946" s="7" t="s">
        <v>3774</v>
      </c>
      <c r="I1946" s="9" t="s">
        <v>353</v>
      </c>
      <c r="J1946" s="88"/>
    </row>
    <row r="1947">
      <c r="A1947" s="6" t="s">
        <v>9</v>
      </c>
      <c r="B1947" s="7" t="s">
        <v>3775</v>
      </c>
      <c r="C1947" s="91">
        <v>45461.340156018516</v>
      </c>
      <c r="D1947" s="8">
        <f t="shared" si="200"/>
        <v>45463</v>
      </c>
      <c r="E1947" s="9" t="s">
        <v>11</v>
      </c>
      <c r="F1947" s="8"/>
      <c r="G1947" s="9" t="s">
        <v>15</v>
      </c>
      <c r="H1947" s="7" t="s">
        <v>3776</v>
      </c>
      <c r="I1947" s="9" t="s">
        <v>353</v>
      </c>
      <c r="J1947" s="88"/>
    </row>
    <row r="1948">
      <c r="A1948" s="6" t="s">
        <v>9</v>
      </c>
      <c r="B1948" s="7" t="s">
        <v>3777</v>
      </c>
      <c r="C1948" s="91">
        <v>45461.340523425926</v>
      </c>
      <c r="D1948" s="8">
        <f t="shared" si="200"/>
        <v>45463</v>
      </c>
      <c r="E1948" s="9" t="s">
        <v>11</v>
      </c>
      <c r="F1948" s="10"/>
      <c r="G1948" s="9" t="s">
        <v>18</v>
      </c>
      <c r="H1948" s="7" t="s">
        <v>3778</v>
      </c>
      <c r="I1948" s="9" t="s">
        <v>353</v>
      </c>
      <c r="J1948" s="88"/>
    </row>
    <row r="1949">
      <c r="A1949" s="20" t="s">
        <v>98</v>
      </c>
      <c r="B1949" s="9" t="s">
        <v>3779</v>
      </c>
      <c r="C1949" s="91">
        <v>45558.65903672454</v>
      </c>
      <c r="D1949" s="8">
        <f t="shared" si="200"/>
        <v>45560</v>
      </c>
      <c r="E1949" s="9" t="s">
        <v>11</v>
      </c>
      <c r="F1949" s="10"/>
      <c r="G1949" s="9" t="s">
        <v>15</v>
      </c>
      <c r="H1949" s="7" t="s">
        <v>3780</v>
      </c>
      <c r="I1949" s="9" t="s">
        <v>353</v>
      </c>
      <c r="J1949" s="88"/>
    </row>
    <row r="1950">
      <c r="A1950" s="102" t="s">
        <v>624</v>
      </c>
      <c r="B1950" s="7" t="s">
        <v>3781</v>
      </c>
      <c r="C1950" s="91">
        <v>45553.475726296296</v>
      </c>
      <c r="D1950" s="8">
        <f t="shared" si="200"/>
        <v>45555</v>
      </c>
      <c r="E1950" s="9" t="s">
        <v>11</v>
      </c>
      <c r="F1950" s="10"/>
      <c r="G1950" s="9" t="s">
        <v>89</v>
      </c>
      <c r="H1950" s="7" t="s">
        <v>3782</v>
      </c>
      <c r="I1950" s="9" t="s">
        <v>353</v>
      </c>
      <c r="J1950" s="88"/>
    </row>
    <row r="1951">
      <c r="A1951" s="34" t="s">
        <v>204</v>
      </c>
      <c r="B1951" s="111" t="s">
        <v>3783</v>
      </c>
      <c r="C1951" s="91">
        <v>45558.73274922454</v>
      </c>
      <c r="D1951" s="8">
        <f t="shared" si="200"/>
        <v>45560</v>
      </c>
      <c r="E1951" s="9" t="s">
        <v>11</v>
      </c>
      <c r="F1951" s="10"/>
      <c r="G1951" s="9" t="s">
        <v>18</v>
      </c>
      <c r="H1951" s="7" t="s">
        <v>437</v>
      </c>
      <c r="I1951" s="9" t="s">
        <v>353</v>
      </c>
      <c r="J1951" s="88"/>
    </row>
    <row r="1952">
      <c r="A1952" s="20" t="s">
        <v>98</v>
      </c>
      <c r="B1952" s="9" t="s">
        <v>3784</v>
      </c>
      <c r="C1952" s="91">
        <v>45548.363311180554</v>
      </c>
      <c r="D1952" s="8">
        <f t="shared" si="200"/>
        <v>45552</v>
      </c>
      <c r="E1952" s="9" t="s">
        <v>206</v>
      </c>
      <c r="F1952" s="10"/>
      <c r="G1952" s="9" t="s">
        <v>15</v>
      </c>
      <c r="H1952" s="7" t="s">
        <v>3785</v>
      </c>
      <c r="I1952" s="9" t="s">
        <v>353</v>
      </c>
      <c r="J1952" s="88"/>
    </row>
    <row r="1953">
      <c r="A1953" s="102" t="s">
        <v>624</v>
      </c>
      <c r="B1953" s="7" t="s">
        <v>3786</v>
      </c>
      <c r="C1953" s="91">
        <v>45554.590660358794</v>
      </c>
      <c r="D1953" s="8">
        <f t="shared" si="200"/>
        <v>45558</v>
      </c>
      <c r="E1953" s="9" t="s">
        <v>11</v>
      </c>
      <c r="F1953" s="10"/>
      <c r="G1953" s="9" t="s">
        <v>15</v>
      </c>
      <c r="H1953" s="7" t="s">
        <v>3787</v>
      </c>
      <c r="I1953" s="9" t="s">
        <v>353</v>
      </c>
      <c r="J1953" s="88"/>
    </row>
    <row r="1954">
      <c r="A1954" s="20" t="s">
        <v>98</v>
      </c>
      <c r="B1954" s="9" t="s">
        <v>3788</v>
      </c>
      <c r="C1954" s="91">
        <v>45558.52134415509</v>
      </c>
      <c r="D1954" s="8">
        <f t="shared" si="200"/>
        <v>45560</v>
      </c>
      <c r="E1954" s="9" t="s">
        <v>11</v>
      </c>
      <c r="F1954" s="10"/>
      <c r="G1954" s="9" t="s">
        <v>15</v>
      </c>
      <c r="H1954" s="7" t="s">
        <v>3789</v>
      </c>
      <c r="I1954" s="9" t="s">
        <v>353</v>
      </c>
      <c r="J1954" s="88"/>
    </row>
    <row r="1955">
      <c r="A1955" s="42" t="s">
        <v>206</v>
      </c>
      <c r="B1955" s="43" t="s">
        <v>3790</v>
      </c>
      <c r="C1955" s="91">
        <v>45552.38742950231</v>
      </c>
      <c r="D1955" s="8"/>
      <c r="E1955" s="9"/>
      <c r="F1955" s="10"/>
      <c r="G1955" s="9" t="s">
        <v>18</v>
      </c>
      <c r="H1955" s="7" t="s">
        <v>437</v>
      </c>
      <c r="I1955" s="9" t="s">
        <v>353</v>
      </c>
      <c r="J1955" s="88"/>
    </row>
    <row r="1956">
      <c r="A1956" s="34" t="s">
        <v>204</v>
      </c>
      <c r="B1956" s="7" t="s">
        <v>3791</v>
      </c>
      <c r="C1956" s="91">
        <v>45558.50043488426</v>
      </c>
      <c r="D1956" s="8">
        <f t="shared" ref="D1956:D1961" si="201">IFERROR(_xlfn.WORKDAY.INTL(C1956, 2),"-")</f>
        <v>45560</v>
      </c>
      <c r="E1956" s="9" t="s">
        <v>11</v>
      </c>
      <c r="F1956" s="10"/>
      <c r="G1956" s="9" t="s">
        <v>18</v>
      </c>
      <c r="H1956" s="111" t="s">
        <v>437</v>
      </c>
      <c r="I1956" s="9" t="s">
        <v>353</v>
      </c>
      <c r="J1956" s="88"/>
    </row>
    <row r="1957">
      <c r="A1957" s="34" t="s">
        <v>204</v>
      </c>
      <c r="B1957" s="7" t="s">
        <v>3792</v>
      </c>
      <c r="C1957" s="91">
        <v>45554.622020497685</v>
      </c>
      <c r="D1957" s="8">
        <f t="shared" si="201"/>
        <v>45558</v>
      </c>
      <c r="E1957" s="9" t="s">
        <v>11</v>
      </c>
      <c r="F1957" s="10"/>
      <c r="G1957" s="9" t="s">
        <v>18</v>
      </c>
      <c r="H1957" s="111" t="s">
        <v>437</v>
      </c>
      <c r="I1957" s="9" t="s">
        <v>353</v>
      </c>
      <c r="J1957" s="88"/>
    </row>
    <row r="1958">
      <c r="A1958" s="6" t="s">
        <v>9</v>
      </c>
      <c r="B1958" s="7" t="s">
        <v>3793</v>
      </c>
      <c r="C1958" s="91">
        <v>45558.432390462964</v>
      </c>
      <c r="D1958" s="8">
        <f t="shared" si="201"/>
        <v>45560</v>
      </c>
      <c r="E1958" s="9" t="s">
        <v>11</v>
      </c>
      <c r="F1958" s="10"/>
      <c r="G1958" s="9" t="s">
        <v>18</v>
      </c>
      <c r="H1958" s="7" t="s">
        <v>437</v>
      </c>
      <c r="I1958" s="9" t="s">
        <v>353</v>
      </c>
      <c r="J1958" s="88"/>
    </row>
    <row r="1959">
      <c r="A1959" s="102" t="s">
        <v>624</v>
      </c>
      <c r="B1959" s="7" t="s">
        <v>3794</v>
      </c>
      <c r="C1959" s="91">
        <v>45554.66863017361</v>
      </c>
      <c r="D1959" s="8">
        <f t="shared" si="201"/>
        <v>45558</v>
      </c>
      <c r="E1959" s="9" t="s">
        <v>11</v>
      </c>
      <c r="F1959" s="10"/>
      <c r="G1959" s="9" t="s">
        <v>15</v>
      </c>
      <c r="H1959" s="7" t="s">
        <v>3787</v>
      </c>
      <c r="I1959" s="9" t="s">
        <v>353</v>
      </c>
      <c r="J1959" s="88"/>
    </row>
    <row r="1960">
      <c r="A1960" s="20" t="s">
        <v>98</v>
      </c>
      <c r="B1960" s="9" t="s">
        <v>3795</v>
      </c>
      <c r="C1960" s="91">
        <v>45554.69810591435</v>
      </c>
      <c r="D1960" s="8">
        <f t="shared" si="201"/>
        <v>45558</v>
      </c>
      <c r="E1960" s="9" t="s">
        <v>88</v>
      </c>
      <c r="F1960" s="10"/>
      <c r="G1960" s="9" t="s">
        <v>15</v>
      </c>
      <c r="H1960" s="7" t="s">
        <v>3796</v>
      </c>
      <c r="I1960" s="9" t="s">
        <v>353</v>
      </c>
      <c r="J1960" s="88"/>
    </row>
    <row r="1961">
      <c r="A1961" s="54" t="s">
        <v>236</v>
      </c>
      <c r="B1961" s="7" t="s">
        <v>3797</v>
      </c>
      <c r="C1961" s="91">
        <v>45547.64774143518</v>
      </c>
      <c r="D1961" s="8">
        <f t="shared" si="201"/>
        <v>45551</v>
      </c>
      <c r="E1961" s="9" t="s">
        <v>11</v>
      </c>
      <c r="F1961" s="10"/>
      <c r="G1961" s="9" t="s">
        <v>15</v>
      </c>
      <c r="H1961" s="7" t="s">
        <v>3798</v>
      </c>
      <c r="I1961" s="9" t="s">
        <v>353</v>
      </c>
      <c r="J1961" s="88"/>
    </row>
    <row r="1962">
      <c r="A1962" s="42" t="s">
        <v>206</v>
      </c>
      <c r="B1962" s="43" t="s">
        <v>3799</v>
      </c>
      <c r="C1962" s="91">
        <v>45552.388063067134</v>
      </c>
      <c r="D1962" s="8"/>
      <c r="E1962" s="9"/>
      <c r="F1962" s="10"/>
      <c r="G1962" s="9" t="s">
        <v>18</v>
      </c>
      <c r="H1962" s="7" t="s">
        <v>3800</v>
      </c>
      <c r="I1962" s="9" t="s">
        <v>353</v>
      </c>
      <c r="J1962" s="88"/>
    </row>
    <row r="1963">
      <c r="A1963" s="20" t="s">
        <v>98</v>
      </c>
      <c r="B1963" s="9" t="s">
        <v>3801</v>
      </c>
      <c r="C1963" s="91">
        <v>45554.464198692134</v>
      </c>
      <c r="D1963" s="8">
        <f t="shared" ref="D1963:D1970" si="202">IFERROR(_xlfn.WORKDAY.INTL(C1963, 2),"-")</f>
        <v>45558</v>
      </c>
      <c r="E1963" s="9" t="s">
        <v>11</v>
      </c>
      <c r="F1963" s="10"/>
      <c r="G1963" s="9" t="s">
        <v>15</v>
      </c>
      <c r="H1963" s="7" t="s">
        <v>3796</v>
      </c>
      <c r="I1963" s="9" t="s">
        <v>353</v>
      </c>
      <c r="J1963" s="88"/>
    </row>
    <row r="1964">
      <c r="A1964" s="20" t="s">
        <v>98</v>
      </c>
      <c r="B1964" s="9" t="s">
        <v>3802</v>
      </c>
      <c r="C1964" s="91">
        <v>45551.46091662037</v>
      </c>
      <c r="D1964" s="8">
        <f t="shared" si="202"/>
        <v>45553</v>
      </c>
      <c r="E1964" s="9" t="s">
        <v>11</v>
      </c>
      <c r="F1964" s="10"/>
      <c r="G1964" s="9" t="s">
        <v>18</v>
      </c>
      <c r="H1964" s="7" t="s">
        <v>3803</v>
      </c>
      <c r="I1964" s="9" t="s">
        <v>353</v>
      </c>
      <c r="J1964" s="88"/>
    </row>
    <row r="1965">
      <c r="A1965" s="34" t="s">
        <v>204</v>
      </c>
      <c r="B1965" s="7" t="s">
        <v>3804</v>
      </c>
      <c r="C1965" s="91">
        <v>45450.496024594904</v>
      </c>
      <c r="D1965" s="8">
        <f t="shared" si="202"/>
        <v>45454</v>
      </c>
      <c r="E1965" s="9" t="s">
        <v>11</v>
      </c>
      <c r="F1965" s="10"/>
      <c r="G1965" s="9" t="s">
        <v>18</v>
      </c>
      <c r="H1965" s="7" t="s">
        <v>3805</v>
      </c>
      <c r="I1965" s="9" t="s">
        <v>353</v>
      </c>
      <c r="J1965" s="88"/>
    </row>
    <row r="1966">
      <c r="A1966" s="34" t="s">
        <v>204</v>
      </c>
      <c r="B1966" s="11"/>
      <c r="C1966" s="91" t="s">
        <v>11</v>
      </c>
      <c r="D1966" s="8" t="str">
        <f t="shared" si="202"/>
        <v>-</v>
      </c>
      <c r="E1966" s="9" t="s">
        <v>11</v>
      </c>
      <c r="F1966" s="10"/>
      <c r="G1966" s="9"/>
      <c r="H1966" s="11"/>
      <c r="I1966" s="9" t="s">
        <v>13</v>
      </c>
      <c r="J1966" s="88"/>
    </row>
    <row r="1967">
      <c r="A1967" s="34" t="s">
        <v>204</v>
      </c>
      <c r="B1967" s="7" t="s">
        <v>3806</v>
      </c>
      <c r="C1967" s="91">
        <v>45394.50784209491</v>
      </c>
      <c r="D1967" s="8">
        <f t="shared" si="202"/>
        <v>45398</v>
      </c>
      <c r="E1967" s="9" t="s">
        <v>206</v>
      </c>
      <c r="F1967" s="9" t="s">
        <v>11</v>
      </c>
      <c r="G1967" s="9" t="s">
        <v>21</v>
      </c>
      <c r="H1967" s="7" t="s">
        <v>3807</v>
      </c>
      <c r="I1967" s="9" t="s">
        <v>13</v>
      </c>
      <c r="J1967" s="88"/>
    </row>
    <row r="1968">
      <c r="A1968" s="20" t="s">
        <v>98</v>
      </c>
      <c r="B1968" s="9" t="s">
        <v>3808</v>
      </c>
      <c r="C1968" s="91">
        <v>45394.375440625</v>
      </c>
      <c r="D1968" s="8">
        <f t="shared" si="202"/>
        <v>45398</v>
      </c>
      <c r="E1968" s="9" t="s">
        <v>11</v>
      </c>
      <c r="F1968" s="10"/>
      <c r="G1968" s="9" t="s">
        <v>18</v>
      </c>
      <c r="H1968" s="7" t="s">
        <v>3809</v>
      </c>
      <c r="I1968" s="9" t="s">
        <v>353</v>
      </c>
      <c r="J1968" s="88"/>
    </row>
    <row r="1969">
      <c r="A1969" s="20" t="s">
        <v>98</v>
      </c>
      <c r="B1969" s="9" t="s">
        <v>3810</v>
      </c>
      <c r="C1969" s="91">
        <v>45238.671367187504</v>
      </c>
      <c r="D1969" s="8">
        <f t="shared" si="202"/>
        <v>45240</v>
      </c>
      <c r="E1969" s="9" t="s">
        <v>88</v>
      </c>
      <c r="F1969" s="10"/>
      <c r="G1969" s="9" t="s">
        <v>21</v>
      </c>
      <c r="H1969" s="22" t="s">
        <v>3811</v>
      </c>
      <c r="I1969" s="9" t="s">
        <v>353</v>
      </c>
      <c r="J1969" s="88"/>
    </row>
    <row r="1970">
      <c r="A1970" s="20" t="s">
        <v>98</v>
      </c>
      <c r="B1970" s="9" t="s">
        <v>3812</v>
      </c>
      <c r="C1970" s="91">
        <v>45434.71302336805</v>
      </c>
      <c r="D1970" s="8">
        <f t="shared" si="202"/>
        <v>45436</v>
      </c>
      <c r="E1970" s="9" t="s">
        <v>88</v>
      </c>
      <c r="F1970" s="10"/>
      <c r="G1970" s="9" t="s">
        <v>21</v>
      </c>
      <c r="H1970" s="7" t="s">
        <v>3813</v>
      </c>
      <c r="I1970" s="9" t="s">
        <v>353</v>
      </c>
      <c r="J1970" s="88"/>
    </row>
    <row r="1971">
      <c r="A1971" s="42" t="s">
        <v>206</v>
      </c>
      <c r="B1971" s="43" t="s">
        <v>3814</v>
      </c>
      <c r="C1971" s="91">
        <v>45552.38796677083</v>
      </c>
      <c r="D1971" s="8"/>
      <c r="E1971" s="9"/>
      <c r="F1971" s="10"/>
      <c r="G1971" s="9" t="s">
        <v>18</v>
      </c>
      <c r="H1971" s="7" t="s">
        <v>3815</v>
      </c>
      <c r="I1971" s="9" t="s">
        <v>353</v>
      </c>
      <c r="J1971" s="88"/>
    </row>
    <row r="1972">
      <c r="A1972" s="42" t="s">
        <v>206</v>
      </c>
      <c r="B1972" s="43" t="s">
        <v>3816</v>
      </c>
      <c r="C1972" s="91">
        <v>45534.50867284722</v>
      </c>
      <c r="D1972" s="8"/>
      <c r="E1972" s="9"/>
      <c r="F1972" s="10"/>
      <c r="G1972" s="9" t="s">
        <v>18</v>
      </c>
      <c r="H1972" s="7" t="s">
        <v>437</v>
      </c>
      <c r="I1972" s="9" t="s">
        <v>353</v>
      </c>
      <c r="J1972" s="88"/>
    </row>
    <row r="1973">
      <c r="A1973" s="42" t="s">
        <v>206</v>
      </c>
      <c r="B1973" s="43" t="s">
        <v>3817</v>
      </c>
      <c r="C1973" s="91">
        <v>45509.68054390047</v>
      </c>
      <c r="D1973" s="8"/>
      <c r="E1973" s="9" t="s">
        <v>206</v>
      </c>
      <c r="F1973" s="10"/>
      <c r="G1973" s="9" t="s">
        <v>18</v>
      </c>
      <c r="H1973" s="7" t="s">
        <v>3818</v>
      </c>
      <c r="I1973" s="9" t="s">
        <v>353</v>
      </c>
      <c r="J1973" s="88"/>
    </row>
    <row r="1974">
      <c r="A1974" s="20" t="s">
        <v>98</v>
      </c>
      <c r="B1974" s="9" t="s">
        <v>3819</v>
      </c>
      <c r="C1974" s="91">
        <v>45502.62255003472</v>
      </c>
      <c r="D1974" s="8">
        <f t="shared" ref="D1974:D1975" si="203">IFERROR(_xlfn.WORKDAY.INTL(C1974, 2),"-")</f>
        <v>45504</v>
      </c>
      <c r="E1974" s="9" t="s">
        <v>206</v>
      </c>
      <c r="F1974" s="10"/>
      <c r="G1974" s="9" t="s">
        <v>18</v>
      </c>
      <c r="H1974" s="23" t="s">
        <v>3820</v>
      </c>
      <c r="I1974" s="9" t="s">
        <v>353</v>
      </c>
      <c r="J1974" s="88"/>
    </row>
    <row r="1975">
      <c r="A1975" s="54" t="s">
        <v>236</v>
      </c>
      <c r="B1975" s="7" t="s">
        <v>3821</v>
      </c>
      <c r="C1975" s="91">
        <v>45547.66948752315</v>
      </c>
      <c r="D1975" s="8">
        <f t="shared" si="203"/>
        <v>45551</v>
      </c>
      <c r="E1975" s="9" t="s">
        <v>88</v>
      </c>
      <c r="F1975" s="10"/>
      <c r="G1975" s="9" t="s">
        <v>15</v>
      </c>
      <c r="H1975" s="7" t="s">
        <v>3822</v>
      </c>
      <c r="I1975" s="9" t="s">
        <v>353</v>
      </c>
      <c r="J1975" s="88"/>
    </row>
    <row r="1976">
      <c r="A1976" s="42" t="s">
        <v>206</v>
      </c>
      <c r="B1976" s="43" t="s">
        <v>3823</v>
      </c>
      <c r="C1976" s="91">
        <v>45534.50898990741</v>
      </c>
      <c r="D1976" s="8"/>
      <c r="E1976" s="9"/>
      <c r="F1976" s="10"/>
      <c r="G1976" s="165" t="s">
        <v>3824</v>
      </c>
      <c r="H1976" s="7" t="s">
        <v>3825</v>
      </c>
      <c r="I1976" s="9" t="s">
        <v>353</v>
      </c>
      <c r="J1976" s="88"/>
    </row>
    <row r="1977">
      <c r="A1977" s="54" t="s">
        <v>236</v>
      </c>
      <c r="B1977" s="7" t="s">
        <v>3826</v>
      </c>
      <c r="C1977" s="91">
        <v>45553.43802710648</v>
      </c>
      <c r="D1977" s="8">
        <f t="shared" ref="D1977:D1978" si="204">IFERROR(_xlfn.WORKDAY.INTL(C1977, 2),"-")</f>
        <v>45555</v>
      </c>
      <c r="E1977" s="9" t="s">
        <v>11</v>
      </c>
      <c r="F1977" s="10"/>
      <c r="G1977" s="9" t="s">
        <v>220</v>
      </c>
      <c r="H1977" s="7" t="s">
        <v>3827</v>
      </c>
      <c r="I1977" s="9" t="s">
        <v>353</v>
      </c>
      <c r="J1977" s="88"/>
    </row>
    <row r="1978">
      <c r="A1978" s="20" t="s">
        <v>98</v>
      </c>
      <c r="B1978" s="9" t="s">
        <v>3828</v>
      </c>
      <c r="C1978" s="91">
        <v>45498.79945711806</v>
      </c>
      <c r="D1978" s="8">
        <f t="shared" si="204"/>
        <v>45502</v>
      </c>
      <c r="E1978" s="9" t="s">
        <v>206</v>
      </c>
      <c r="F1978" s="10"/>
      <c r="G1978" s="9" t="s">
        <v>18</v>
      </c>
      <c r="H1978" s="23" t="s">
        <v>3829</v>
      </c>
      <c r="I1978" s="9" t="s">
        <v>353</v>
      </c>
      <c r="J1978" s="88"/>
    </row>
    <row r="1979">
      <c r="A1979" s="42" t="s">
        <v>206</v>
      </c>
      <c r="B1979" s="43" t="s">
        <v>3830</v>
      </c>
      <c r="C1979" s="91">
        <v>45534.50741818287</v>
      </c>
      <c r="D1979" s="8"/>
      <c r="E1979" s="9"/>
      <c r="F1979" s="10"/>
      <c r="G1979" s="9" t="s">
        <v>15</v>
      </c>
      <c r="H1979" s="7" t="s">
        <v>3831</v>
      </c>
      <c r="I1979" s="9" t="s">
        <v>353</v>
      </c>
      <c r="J1979" s="88"/>
    </row>
    <row r="1980">
      <c r="A1980" s="34" t="s">
        <v>204</v>
      </c>
      <c r="B1980" s="7" t="s">
        <v>3832</v>
      </c>
      <c r="C1980" s="91">
        <v>45552.81630179398</v>
      </c>
      <c r="D1980" s="8">
        <f t="shared" ref="D1980:D1995" si="205">IFERROR(_xlfn.WORKDAY.INTL(C1980, 2),"-")</f>
        <v>45554</v>
      </c>
      <c r="E1980" s="9" t="s">
        <v>11</v>
      </c>
      <c r="F1980" s="10"/>
      <c r="G1980" s="9" t="s">
        <v>18</v>
      </c>
      <c r="H1980" s="7" t="s">
        <v>437</v>
      </c>
      <c r="I1980" s="9" t="s">
        <v>353</v>
      </c>
      <c r="J1980" s="88"/>
    </row>
    <row r="1981">
      <c r="A1981" s="20" t="s">
        <v>98</v>
      </c>
      <c r="B1981" s="9" t="s">
        <v>3833</v>
      </c>
      <c r="C1981" s="91">
        <v>45545.71100026621</v>
      </c>
      <c r="D1981" s="8">
        <f t="shared" si="205"/>
        <v>45547</v>
      </c>
      <c r="E1981" s="9" t="s">
        <v>11</v>
      </c>
      <c r="F1981" s="10"/>
      <c r="G1981" s="9" t="s">
        <v>15</v>
      </c>
      <c r="H1981" s="23" t="s">
        <v>3834</v>
      </c>
      <c r="I1981" s="9" t="s">
        <v>353</v>
      </c>
      <c r="J1981" s="88"/>
    </row>
    <row r="1982">
      <c r="A1982" s="20" t="s">
        <v>98</v>
      </c>
      <c r="B1982" s="9" t="s">
        <v>3835</v>
      </c>
      <c r="C1982" s="91">
        <v>45551.362118634264</v>
      </c>
      <c r="D1982" s="8">
        <f t="shared" si="205"/>
        <v>45553</v>
      </c>
      <c r="E1982" s="9" t="s">
        <v>11</v>
      </c>
      <c r="F1982" s="10"/>
      <c r="G1982" s="9" t="s">
        <v>15</v>
      </c>
      <c r="H1982" s="7" t="s">
        <v>3836</v>
      </c>
      <c r="I1982" s="9" t="s">
        <v>353</v>
      </c>
      <c r="J1982" s="88"/>
    </row>
    <row r="1983">
      <c r="A1983" s="20" t="s">
        <v>98</v>
      </c>
      <c r="B1983" s="9" t="s">
        <v>3837</v>
      </c>
      <c r="C1983" s="91">
        <v>45537.36980712963</v>
      </c>
      <c r="D1983" s="8">
        <f t="shared" si="205"/>
        <v>45539</v>
      </c>
      <c r="E1983" s="9" t="s">
        <v>216</v>
      </c>
      <c r="F1983" s="10"/>
      <c r="G1983" s="9" t="s">
        <v>18</v>
      </c>
      <c r="H1983" s="7" t="s">
        <v>3838</v>
      </c>
      <c r="I1983" s="9" t="s">
        <v>353</v>
      </c>
      <c r="J1983" s="88"/>
    </row>
    <row r="1984">
      <c r="A1984" s="6" t="s">
        <v>9</v>
      </c>
      <c r="B1984" s="7" t="s">
        <v>3839</v>
      </c>
      <c r="C1984" s="91">
        <v>45478.43080780093</v>
      </c>
      <c r="D1984" s="8">
        <f t="shared" si="205"/>
        <v>45482</v>
      </c>
      <c r="E1984" s="9" t="s">
        <v>11</v>
      </c>
      <c r="F1984" s="8"/>
      <c r="G1984" s="9" t="s">
        <v>18</v>
      </c>
      <c r="H1984" s="7" t="s">
        <v>3840</v>
      </c>
      <c r="I1984" s="9" t="s">
        <v>353</v>
      </c>
      <c r="J1984" s="88"/>
    </row>
    <row r="1985">
      <c r="A1985" s="20" t="s">
        <v>98</v>
      </c>
      <c r="B1985" s="9" t="s">
        <v>3841</v>
      </c>
      <c r="C1985" s="91">
        <v>45546.7419846875</v>
      </c>
      <c r="D1985" s="8">
        <f t="shared" si="205"/>
        <v>45548</v>
      </c>
      <c r="E1985" s="9" t="s">
        <v>11</v>
      </c>
      <c r="F1985" s="10"/>
      <c r="G1985" s="9" t="s">
        <v>18</v>
      </c>
      <c r="H1985" s="7" t="s">
        <v>3842</v>
      </c>
      <c r="I1985" s="9" t="s">
        <v>353</v>
      </c>
      <c r="J1985" s="88"/>
    </row>
    <row r="1986">
      <c r="A1986" s="6" t="s">
        <v>9</v>
      </c>
      <c r="B1986" s="7" t="s">
        <v>2123</v>
      </c>
      <c r="C1986" s="91">
        <v>45540.56694283565</v>
      </c>
      <c r="D1986" s="8">
        <f t="shared" si="205"/>
        <v>45544</v>
      </c>
      <c r="E1986" s="9" t="s">
        <v>11</v>
      </c>
      <c r="F1986" s="10"/>
      <c r="G1986" s="9" t="s">
        <v>18</v>
      </c>
      <c r="H1986" s="7" t="s">
        <v>3843</v>
      </c>
      <c r="I1986" s="9" t="s">
        <v>353</v>
      </c>
      <c r="J1986" s="88"/>
    </row>
    <row r="1987">
      <c r="A1987" s="6" t="s">
        <v>9</v>
      </c>
      <c r="B1987" s="7" t="s">
        <v>3844</v>
      </c>
      <c r="C1987" s="91">
        <v>45540.56405699074</v>
      </c>
      <c r="D1987" s="8">
        <f t="shared" si="205"/>
        <v>45544</v>
      </c>
      <c r="E1987" s="9" t="s">
        <v>11</v>
      </c>
      <c r="F1987" s="10"/>
      <c r="G1987" s="9" t="s">
        <v>15</v>
      </c>
      <c r="H1987" s="7" t="s">
        <v>3845</v>
      </c>
      <c r="I1987" s="9" t="s">
        <v>353</v>
      </c>
      <c r="J1987" s="88"/>
    </row>
    <row r="1988">
      <c r="A1988" s="6" t="s">
        <v>9</v>
      </c>
      <c r="B1988" s="7" t="s">
        <v>3846</v>
      </c>
      <c r="C1988" s="91">
        <v>45548.70128982639</v>
      </c>
      <c r="D1988" s="8">
        <f t="shared" si="205"/>
        <v>45552</v>
      </c>
      <c r="E1988" s="9" t="s">
        <v>11</v>
      </c>
      <c r="F1988" s="10"/>
      <c r="G1988" s="9" t="s">
        <v>15</v>
      </c>
      <c r="H1988" s="7" t="s">
        <v>3845</v>
      </c>
      <c r="I1988" s="9" t="s">
        <v>353</v>
      </c>
      <c r="J1988" s="88"/>
    </row>
    <row r="1989">
      <c r="A1989" s="6" t="s">
        <v>9</v>
      </c>
      <c r="B1989" s="7" t="s">
        <v>3847</v>
      </c>
      <c r="C1989" s="91">
        <v>45540.56383252315</v>
      </c>
      <c r="D1989" s="8">
        <f t="shared" si="205"/>
        <v>45544</v>
      </c>
      <c r="E1989" s="9" t="s">
        <v>11</v>
      </c>
      <c r="F1989" s="10"/>
      <c r="G1989" s="9" t="s">
        <v>15</v>
      </c>
      <c r="H1989" s="7" t="s">
        <v>3845</v>
      </c>
      <c r="I1989" s="9" t="s">
        <v>353</v>
      </c>
      <c r="J1989" s="88"/>
    </row>
    <row r="1990">
      <c r="A1990" s="102" t="s">
        <v>624</v>
      </c>
      <c r="B1990" s="7" t="s">
        <v>3848</v>
      </c>
      <c r="C1990" s="91">
        <v>45551.71927307871</v>
      </c>
      <c r="D1990" s="8">
        <f t="shared" si="205"/>
        <v>45553</v>
      </c>
      <c r="E1990" s="9" t="s">
        <v>11</v>
      </c>
      <c r="F1990" s="10"/>
      <c r="G1990" s="9" t="s">
        <v>15</v>
      </c>
      <c r="H1990" s="7" t="s">
        <v>3787</v>
      </c>
      <c r="I1990" s="9" t="s">
        <v>353</v>
      </c>
      <c r="J1990" s="88"/>
    </row>
    <row r="1991">
      <c r="A1991" s="34" t="s">
        <v>204</v>
      </c>
      <c r="B1991" s="7" t="s">
        <v>3849</v>
      </c>
      <c r="C1991" s="91">
        <v>45552.41441907408</v>
      </c>
      <c r="D1991" s="8">
        <f t="shared" si="205"/>
        <v>45554</v>
      </c>
      <c r="E1991" s="9" t="s">
        <v>11</v>
      </c>
      <c r="F1991" s="10"/>
      <c r="G1991" s="9" t="s">
        <v>18</v>
      </c>
      <c r="H1991" s="7" t="s">
        <v>437</v>
      </c>
      <c r="I1991" s="9" t="s">
        <v>353</v>
      </c>
      <c r="J1991" s="88"/>
    </row>
    <row r="1992">
      <c r="A1992" s="20" t="s">
        <v>98</v>
      </c>
      <c r="B1992" s="9" t="s">
        <v>3850</v>
      </c>
      <c r="C1992" s="91">
        <v>45551.752962060185</v>
      </c>
      <c r="D1992" s="8">
        <f t="shared" si="205"/>
        <v>45553</v>
      </c>
      <c r="E1992" s="9" t="s">
        <v>206</v>
      </c>
      <c r="F1992" s="10"/>
      <c r="G1992" s="9" t="s">
        <v>15</v>
      </c>
      <c r="H1992" s="7" t="s">
        <v>3851</v>
      </c>
      <c r="I1992" s="9" t="s">
        <v>353</v>
      </c>
      <c r="J1992" s="88"/>
    </row>
    <row r="1993">
      <c r="A1993" s="102" t="s">
        <v>624</v>
      </c>
      <c r="B1993" s="7" t="s">
        <v>3852</v>
      </c>
      <c r="C1993" s="91">
        <v>45547.64652005787</v>
      </c>
      <c r="D1993" s="8">
        <f t="shared" si="205"/>
        <v>45551</v>
      </c>
      <c r="E1993" s="9" t="s">
        <v>11</v>
      </c>
      <c r="F1993" s="10"/>
      <c r="G1993" s="9" t="s">
        <v>15</v>
      </c>
      <c r="H1993" s="7" t="s">
        <v>3853</v>
      </c>
      <c r="I1993" s="9" t="s">
        <v>353</v>
      </c>
      <c r="J1993" s="88"/>
    </row>
    <row r="1994">
      <c r="A1994" s="34" t="s">
        <v>204</v>
      </c>
      <c r="B1994" s="7" t="s">
        <v>3854</v>
      </c>
      <c r="C1994" s="91">
        <v>45552.39119657407</v>
      </c>
      <c r="D1994" s="8">
        <f t="shared" si="205"/>
        <v>45554</v>
      </c>
      <c r="E1994" s="9" t="s">
        <v>11</v>
      </c>
      <c r="F1994" s="10"/>
      <c r="G1994" s="9" t="s">
        <v>18</v>
      </c>
      <c r="H1994" s="7"/>
      <c r="I1994" s="9" t="s">
        <v>353</v>
      </c>
      <c r="J1994" s="88"/>
    </row>
    <row r="1995">
      <c r="A1995" s="34" t="s">
        <v>204</v>
      </c>
      <c r="B1995" s="23" t="s">
        <v>3855</v>
      </c>
      <c r="C1995" s="91" t="s">
        <v>11</v>
      </c>
      <c r="D1995" s="8" t="str">
        <f t="shared" si="205"/>
        <v>-</v>
      </c>
      <c r="E1995" s="9" t="s">
        <v>11</v>
      </c>
      <c r="F1995" s="10"/>
      <c r="G1995" s="9" t="s">
        <v>15</v>
      </c>
      <c r="H1995" s="7" t="s">
        <v>3856</v>
      </c>
      <c r="I1995" s="9" t="s">
        <v>353</v>
      </c>
      <c r="J1995" s="88"/>
    </row>
    <row r="1996">
      <c r="A1996" s="42" t="s">
        <v>206</v>
      </c>
      <c r="B1996" s="43" t="s">
        <v>3857</v>
      </c>
      <c r="C1996" s="91">
        <v>45503.729794976854</v>
      </c>
      <c r="D1996" s="8"/>
      <c r="E1996" s="9"/>
      <c r="F1996" s="10"/>
      <c r="G1996" s="9" t="s">
        <v>15</v>
      </c>
      <c r="H1996" s="7" t="s">
        <v>3858</v>
      </c>
      <c r="I1996" s="9" t="s">
        <v>353</v>
      </c>
      <c r="J1996" s="88"/>
    </row>
    <row r="1997">
      <c r="A1997" s="102" t="s">
        <v>624</v>
      </c>
      <c r="B1997" s="7" t="s">
        <v>3859</v>
      </c>
      <c r="C1997" s="91">
        <v>45546.693736284724</v>
      </c>
      <c r="D1997" s="8">
        <f t="shared" ref="D1997:D2021" si="206">IFERROR(_xlfn.WORKDAY.INTL(C1997, 2),"-")</f>
        <v>45548</v>
      </c>
      <c r="E1997" s="9" t="s">
        <v>11</v>
      </c>
      <c r="F1997" s="10"/>
      <c r="G1997" s="9" t="s">
        <v>15</v>
      </c>
      <c r="H1997" s="7" t="s">
        <v>3860</v>
      </c>
      <c r="I1997" s="9" t="s">
        <v>353</v>
      </c>
      <c r="J1997" s="88"/>
    </row>
    <row r="1998">
      <c r="A1998" s="20" t="s">
        <v>98</v>
      </c>
      <c r="B1998" s="9" t="s">
        <v>3861</v>
      </c>
      <c r="C1998" s="91">
        <v>45541.47911409722</v>
      </c>
      <c r="D1998" s="8">
        <f t="shared" si="206"/>
        <v>45545</v>
      </c>
      <c r="E1998" s="9" t="s">
        <v>88</v>
      </c>
      <c r="F1998" s="10"/>
      <c r="G1998" s="9" t="s">
        <v>15</v>
      </c>
      <c r="H1998" s="7" t="s">
        <v>3862</v>
      </c>
      <c r="I1998" s="9" t="s">
        <v>353</v>
      </c>
      <c r="J1998" s="88"/>
    </row>
    <row r="1999">
      <c r="A1999" s="20" t="s">
        <v>98</v>
      </c>
      <c r="B1999" s="9" t="s">
        <v>3863</v>
      </c>
      <c r="C1999" s="91">
        <v>45474.48175142361</v>
      </c>
      <c r="D1999" s="8">
        <f t="shared" si="206"/>
        <v>45476</v>
      </c>
      <c r="E1999" s="9" t="s">
        <v>88</v>
      </c>
      <c r="F1999" s="10"/>
      <c r="G1999" s="9" t="s">
        <v>18</v>
      </c>
      <c r="H1999" s="7" t="s">
        <v>3864</v>
      </c>
      <c r="I1999" s="9" t="s">
        <v>353</v>
      </c>
      <c r="J1999" s="88"/>
    </row>
    <row r="2000">
      <c r="A2000" s="54" t="s">
        <v>236</v>
      </c>
      <c r="B2000" s="7" t="s">
        <v>3865</v>
      </c>
      <c r="C2000" s="91">
        <v>45546.5202403125</v>
      </c>
      <c r="D2000" s="8">
        <f t="shared" si="206"/>
        <v>45548</v>
      </c>
      <c r="E2000" s="9" t="s">
        <v>11</v>
      </c>
      <c r="F2000" s="10"/>
      <c r="G2000" s="9" t="s">
        <v>18</v>
      </c>
      <c r="H2000" s="7" t="s">
        <v>3866</v>
      </c>
      <c r="I2000" s="9" t="s">
        <v>353</v>
      </c>
      <c r="J2000" s="88"/>
    </row>
    <row r="2001">
      <c r="A2001" s="6" t="s">
        <v>9</v>
      </c>
      <c r="B2001" s="7" t="s">
        <v>3867</v>
      </c>
      <c r="C2001" s="91">
        <v>45548.59038657407</v>
      </c>
      <c r="D2001" s="8">
        <f t="shared" si="206"/>
        <v>45552</v>
      </c>
      <c r="E2001" s="9" t="s">
        <v>206</v>
      </c>
      <c r="F2001" s="10"/>
      <c r="G2001" s="9" t="s">
        <v>15</v>
      </c>
      <c r="H2001" s="7" t="s">
        <v>3868</v>
      </c>
      <c r="I2001" s="9" t="s">
        <v>353</v>
      </c>
      <c r="J2001" s="88"/>
    </row>
    <row r="2002">
      <c r="A2002" s="6" t="s">
        <v>9</v>
      </c>
      <c r="B2002" s="7" t="s">
        <v>3869</v>
      </c>
      <c r="C2002" s="91">
        <v>45540.49095274306</v>
      </c>
      <c r="D2002" s="8">
        <f t="shared" si="206"/>
        <v>45544</v>
      </c>
      <c r="E2002" s="9" t="s">
        <v>11</v>
      </c>
      <c r="F2002" s="10"/>
      <c r="G2002" s="9" t="s">
        <v>15</v>
      </c>
      <c r="H2002" s="7" t="s">
        <v>3870</v>
      </c>
      <c r="I2002" s="9" t="s">
        <v>353</v>
      </c>
      <c r="J2002" s="88"/>
    </row>
    <row r="2003">
      <c r="A2003" s="6" t="s">
        <v>9</v>
      </c>
      <c r="B2003" s="7" t="s">
        <v>3871</v>
      </c>
      <c r="C2003" s="91">
        <v>45456.59663396991</v>
      </c>
      <c r="D2003" s="8">
        <f t="shared" si="206"/>
        <v>45460</v>
      </c>
      <c r="E2003" s="9" t="s">
        <v>11</v>
      </c>
      <c r="F2003" s="10"/>
      <c r="G2003" s="9" t="s">
        <v>15</v>
      </c>
      <c r="H2003" s="7" t="s">
        <v>3872</v>
      </c>
      <c r="I2003" s="9" t="s">
        <v>353</v>
      </c>
      <c r="J2003" s="88"/>
    </row>
    <row r="2004">
      <c r="A2004" s="6" t="s">
        <v>9</v>
      </c>
      <c r="B2004" s="7" t="s">
        <v>2106</v>
      </c>
      <c r="C2004" s="91">
        <v>45419.6278503125</v>
      </c>
      <c r="D2004" s="8">
        <f t="shared" si="206"/>
        <v>45421</v>
      </c>
      <c r="E2004" s="9" t="s">
        <v>206</v>
      </c>
      <c r="F2004" s="10"/>
      <c r="G2004" s="9" t="s">
        <v>15</v>
      </c>
      <c r="H2004" s="7" t="s">
        <v>3873</v>
      </c>
      <c r="I2004" s="9" t="s">
        <v>353</v>
      </c>
      <c r="J2004" s="88"/>
    </row>
    <row r="2005">
      <c r="A2005" s="6" t="s">
        <v>9</v>
      </c>
      <c r="B2005" s="7" t="s">
        <v>2648</v>
      </c>
      <c r="C2005" s="91">
        <v>45478.42906940972</v>
      </c>
      <c r="D2005" s="8">
        <f t="shared" si="206"/>
        <v>45482</v>
      </c>
      <c r="E2005" s="9" t="s">
        <v>11</v>
      </c>
      <c r="F2005" s="10"/>
      <c r="G2005" s="9" t="s">
        <v>15</v>
      </c>
      <c r="H2005" s="7" t="s">
        <v>3874</v>
      </c>
      <c r="I2005" s="9" t="s">
        <v>353</v>
      </c>
      <c r="J2005" s="88"/>
    </row>
    <row r="2006">
      <c r="A2006" s="6" t="s">
        <v>9</v>
      </c>
      <c r="B2006" s="7" t="s">
        <v>3875</v>
      </c>
      <c r="C2006" s="91">
        <v>45548.61480420139</v>
      </c>
      <c r="D2006" s="8">
        <f t="shared" si="206"/>
        <v>45552</v>
      </c>
      <c r="E2006" s="9" t="s">
        <v>11</v>
      </c>
      <c r="F2006" s="10"/>
      <c r="G2006" s="9" t="s">
        <v>15</v>
      </c>
      <c r="H2006" s="7" t="s">
        <v>3868</v>
      </c>
      <c r="I2006" s="9" t="s">
        <v>353</v>
      </c>
      <c r="J2006" s="88"/>
    </row>
    <row r="2007">
      <c r="A2007" s="6" t="s">
        <v>9</v>
      </c>
      <c r="B2007" s="7" t="s">
        <v>3876</v>
      </c>
      <c r="C2007" s="91">
        <v>45540.56319324074</v>
      </c>
      <c r="D2007" s="8">
        <f t="shared" si="206"/>
        <v>45544</v>
      </c>
      <c r="E2007" s="9" t="s">
        <v>11</v>
      </c>
      <c r="F2007" s="10"/>
      <c r="G2007" s="9" t="s">
        <v>15</v>
      </c>
      <c r="H2007" s="7" t="s">
        <v>3877</v>
      </c>
      <c r="I2007" s="9" t="s">
        <v>353</v>
      </c>
      <c r="J2007" s="88"/>
    </row>
    <row r="2008">
      <c r="A2008" s="6" t="s">
        <v>9</v>
      </c>
      <c r="B2008" s="7" t="s">
        <v>3878</v>
      </c>
      <c r="C2008" s="91">
        <v>45538.47591405093</v>
      </c>
      <c r="D2008" s="8">
        <f t="shared" si="206"/>
        <v>45540</v>
      </c>
      <c r="E2008" s="9" t="s">
        <v>11</v>
      </c>
      <c r="F2008" s="10"/>
      <c r="G2008" s="9" t="s">
        <v>15</v>
      </c>
      <c r="H2008" s="7" t="s">
        <v>3879</v>
      </c>
      <c r="I2008" s="9" t="s">
        <v>353</v>
      </c>
      <c r="J2008" s="88"/>
    </row>
    <row r="2009">
      <c r="A2009" s="102" t="s">
        <v>624</v>
      </c>
      <c r="B2009" s="7" t="s">
        <v>3880</v>
      </c>
      <c r="C2009" s="91">
        <v>45547.5225431713</v>
      </c>
      <c r="D2009" s="8">
        <f t="shared" si="206"/>
        <v>45551</v>
      </c>
      <c r="E2009" s="9" t="s">
        <v>11</v>
      </c>
      <c r="F2009" s="10"/>
      <c r="G2009" s="9" t="s">
        <v>15</v>
      </c>
      <c r="H2009" s="7" t="s">
        <v>3853</v>
      </c>
      <c r="I2009" s="9" t="s">
        <v>353</v>
      </c>
      <c r="J2009" s="88"/>
    </row>
    <row r="2010">
      <c r="A2010" s="54" t="s">
        <v>236</v>
      </c>
      <c r="B2010" s="7" t="s">
        <v>3881</v>
      </c>
      <c r="C2010" s="91">
        <v>45546.510252569446</v>
      </c>
      <c r="D2010" s="8">
        <f t="shared" si="206"/>
        <v>45548</v>
      </c>
      <c r="E2010" s="9" t="s">
        <v>11</v>
      </c>
      <c r="F2010" s="10"/>
      <c r="G2010" s="9" t="s">
        <v>18</v>
      </c>
      <c r="H2010" s="7" t="s">
        <v>3882</v>
      </c>
      <c r="I2010" s="9" t="s">
        <v>353</v>
      </c>
      <c r="J2010" s="88"/>
    </row>
    <row r="2011">
      <c r="A2011" s="20" t="s">
        <v>98</v>
      </c>
      <c r="B2011" s="9" t="s">
        <v>3883</v>
      </c>
      <c r="C2011" s="91">
        <v>45488.56181084491</v>
      </c>
      <c r="D2011" s="8">
        <f t="shared" si="206"/>
        <v>45490</v>
      </c>
      <c r="E2011" s="9" t="s">
        <v>206</v>
      </c>
      <c r="F2011" s="10"/>
      <c r="G2011" s="9" t="s">
        <v>18</v>
      </c>
      <c r="H2011" s="22" t="s">
        <v>3884</v>
      </c>
      <c r="I2011" s="9" t="s">
        <v>353</v>
      </c>
      <c r="J2011" s="88"/>
    </row>
    <row r="2012">
      <c r="A2012" s="20" t="s">
        <v>98</v>
      </c>
      <c r="B2012" s="166" t="s">
        <v>3885</v>
      </c>
      <c r="C2012" s="91">
        <v>45441.377777222224</v>
      </c>
      <c r="D2012" s="8">
        <f t="shared" si="206"/>
        <v>45443</v>
      </c>
      <c r="E2012" s="9" t="s">
        <v>88</v>
      </c>
      <c r="F2012" s="10"/>
      <c r="G2012" s="9" t="s">
        <v>18</v>
      </c>
      <c r="H2012" s="7" t="s">
        <v>3886</v>
      </c>
      <c r="I2012" s="9" t="s">
        <v>353</v>
      </c>
      <c r="J2012" s="88"/>
    </row>
    <row r="2013">
      <c r="A2013" s="20" t="s">
        <v>98</v>
      </c>
      <c r="B2013" s="9" t="s">
        <v>3887</v>
      </c>
      <c r="C2013" s="91">
        <v>45544.63908064815</v>
      </c>
      <c r="D2013" s="8">
        <f t="shared" si="206"/>
        <v>45546</v>
      </c>
      <c r="E2013" s="9" t="s">
        <v>206</v>
      </c>
      <c r="F2013" s="10"/>
      <c r="G2013" s="9" t="s">
        <v>15</v>
      </c>
      <c r="H2013" s="7" t="s">
        <v>3888</v>
      </c>
      <c r="I2013" s="9" t="s">
        <v>353</v>
      </c>
      <c r="J2013" s="88"/>
    </row>
    <row r="2014">
      <c r="A2014" s="20" t="s">
        <v>98</v>
      </c>
      <c r="B2014" s="9" t="s">
        <v>3889</v>
      </c>
      <c r="C2014" s="91">
        <v>45411.582806875</v>
      </c>
      <c r="D2014" s="8">
        <f t="shared" si="206"/>
        <v>45413</v>
      </c>
      <c r="E2014" s="9" t="s">
        <v>11</v>
      </c>
      <c r="F2014" s="10"/>
      <c r="G2014" s="9" t="s">
        <v>15</v>
      </c>
      <c r="H2014" s="7" t="s">
        <v>3890</v>
      </c>
      <c r="I2014" s="9" t="s">
        <v>353</v>
      </c>
      <c r="J2014" s="88"/>
    </row>
    <row r="2015">
      <c r="A2015" s="20" t="s">
        <v>98</v>
      </c>
      <c r="B2015" s="9" t="s">
        <v>3891</v>
      </c>
      <c r="C2015" s="91">
        <v>45531.76784201388</v>
      </c>
      <c r="D2015" s="8">
        <f t="shared" si="206"/>
        <v>45533</v>
      </c>
      <c r="E2015" s="9" t="s">
        <v>206</v>
      </c>
      <c r="F2015" s="10"/>
      <c r="G2015" s="9" t="s">
        <v>18</v>
      </c>
      <c r="H2015" s="7" t="s">
        <v>3892</v>
      </c>
      <c r="I2015" s="9" t="s">
        <v>353</v>
      </c>
      <c r="J2015" s="88"/>
    </row>
    <row r="2016">
      <c r="A2016" s="102" t="s">
        <v>624</v>
      </c>
      <c r="B2016" s="7" t="s">
        <v>3893</v>
      </c>
      <c r="C2016" s="91">
        <v>45546.50668251158</v>
      </c>
      <c r="D2016" s="8">
        <f t="shared" si="206"/>
        <v>45548</v>
      </c>
      <c r="E2016" s="9" t="s">
        <v>11</v>
      </c>
      <c r="F2016" s="10"/>
      <c r="G2016" s="9" t="s">
        <v>15</v>
      </c>
      <c r="H2016" s="7" t="s">
        <v>3860</v>
      </c>
      <c r="I2016" s="9" t="s">
        <v>353</v>
      </c>
      <c r="J2016" s="88"/>
    </row>
    <row r="2017">
      <c r="A2017" s="102" t="s">
        <v>624</v>
      </c>
      <c r="B2017" s="7" t="s">
        <v>3894</v>
      </c>
      <c r="C2017" s="91">
        <v>45546.61862765046</v>
      </c>
      <c r="D2017" s="8">
        <f t="shared" si="206"/>
        <v>45548</v>
      </c>
      <c r="E2017" s="9" t="s">
        <v>11</v>
      </c>
      <c r="F2017" s="10"/>
      <c r="G2017" s="9" t="s">
        <v>15</v>
      </c>
      <c r="H2017" s="7" t="s">
        <v>3860</v>
      </c>
      <c r="I2017" s="9" t="s">
        <v>353</v>
      </c>
      <c r="J2017" s="88"/>
    </row>
    <row r="2018">
      <c r="A2018" s="20" t="s">
        <v>98</v>
      </c>
      <c r="B2018" s="9" t="s">
        <v>118</v>
      </c>
      <c r="C2018" s="91">
        <v>45546.350381076394</v>
      </c>
      <c r="D2018" s="8">
        <f t="shared" si="206"/>
        <v>45548</v>
      </c>
      <c r="E2018" s="9" t="s">
        <v>206</v>
      </c>
      <c r="F2018" s="10"/>
      <c r="G2018" s="9" t="s">
        <v>18</v>
      </c>
      <c r="H2018" s="7" t="s">
        <v>3895</v>
      </c>
      <c r="I2018" s="9" t="s">
        <v>353</v>
      </c>
      <c r="J2018" s="88"/>
    </row>
    <row r="2019">
      <c r="A2019" s="54" t="s">
        <v>236</v>
      </c>
      <c r="B2019" s="7" t="s">
        <v>3896</v>
      </c>
      <c r="C2019" s="91">
        <v>45546.51498042824</v>
      </c>
      <c r="D2019" s="8">
        <f t="shared" si="206"/>
        <v>45548</v>
      </c>
      <c r="E2019" s="9" t="s">
        <v>11</v>
      </c>
      <c r="F2019" s="10"/>
      <c r="G2019" s="9" t="s">
        <v>220</v>
      </c>
      <c r="H2019" s="7" t="s">
        <v>3897</v>
      </c>
      <c r="I2019" s="9" t="s">
        <v>353</v>
      </c>
      <c r="J2019" s="88"/>
    </row>
    <row r="2020">
      <c r="A2020" s="6" t="s">
        <v>9</v>
      </c>
      <c r="B2020" s="7" t="s">
        <v>3898</v>
      </c>
      <c r="C2020" s="91">
        <v>45442.67655333334</v>
      </c>
      <c r="D2020" s="8">
        <f t="shared" si="206"/>
        <v>45446</v>
      </c>
      <c r="E2020" s="9" t="s">
        <v>11</v>
      </c>
      <c r="F2020" s="10"/>
      <c r="G2020" s="9" t="s">
        <v>18</v>
      </c>
      <c r="H2020" s="7" t="s">
        <v>3899</v>
      </c>
      <c r="I2020" s="9" t="s">
        <v>353</v>
      </c>
      <c r="J2020" s="88"/>
    </row>
    <row r="2021">
      <c r="A2021" s="6" t="s">
        <v>9</v>
      </c>
      <c r="B2021" s="7" t="s">
        <v>2814</v>
      </c>
      <c r="C2021" s="91">
        <v>45540.70171804398</v>
      </c>
      <c r="D2021" s="8">
        <f t="shared" si="206"/>
        <v>45544</v>
      </c>
      <c r="E2021" s="9" t="s">
        <v>11</v>
      </c>
      <c r="F2021" s="10"/>
      <c r="G2021" s="9" t="s">
        <v>18</v>
      </c>
      <c r="H2021" s="7" t="s">
        <v>3900</v>
      </c>
      <c r="I2021" s="9" t="s">
        <v>353</v>
      </c>
      <c r="J2021" s="88"/>
    </row>
    <row r="2022">
      <c r="A2022" s="88"/>
      <c r="B2022" s="89"/>
      <c r="C2022" s="90"/>
      <c r="D2022" s="89"/>
      <c r="E2022" s="89"/>
      <c r="F2022" s="89"/>
      <c r="G2022" s="89"/>
      <c r="H2022" s="87"/>
      <c r="I2022" s="89"/>
      <c r="J2022" s="88"/>
    </row>
    <row r="2023">
      <c r="A2023" s="20" t="s">
        <v>98</v>
      </c>
      <c r="B2023" s="9" t="s">
        <v>3901</v>
      </c>
      <c r="C2023" s="91">
        <v>45495.751009155094</v>
      </c>
      <c r="D2023" s="8">
        <f t="shared" ref="D2023:D2028" si="207">IFERROR(_xlfn.WORKDAY.INTL(C2023, 2),"-")</f>
        <v>45497</v>
      </c>
      <c r="E2023" s="9" t="s">
        <v>88</v>
      </c>
      <c r="F2023" s="10"/>
      <c r="G2023" s="9" t="s">
        <v>18</v>
      </c>
      <c r="H2023" s="22" t="s">
        <v>3902</v>
      </c>
      <c r="I2023" s="9" t="s">
        <v>353</v>
      </c>
      <c r="J2023" s="88"/>
    </row>
    <row r="2024">
      <c r="A2024" s="54" t="s">
        <v>236</v>
      </c>
      <c r="B2024" s="7" t="s">
        <v>3903</v>
      </c>
      <c r="C2024" s="91">
        <v>45545.588093611106</v>
      </c>
      <c r="D2024" s="8">
        <f t="shared" si="207"/>
        <v>45547</v>
      </c>
      <c r="E2024" s="9" t="s">
        <v>11</v>
      </c>
      <c r="F2024" s="10"/>
      <c r="G2024" s="9" t="s">
        <v>15</v>
      </c>
      <c r="H2024" s="7" t="s">
        <v>3904</v>
      </c>
      <c r="I2024" s="9" t="s">
        <v>353</v>
      </c>
      <c r="J2024" s="88"/>
    </row>
    <row r="2025">
      <c r="A2025" s="20" t="s">
        <v>98</v>
      </c>
      <c r="B2025" s="9" t="s">
        <v>3905</v>
      </c>
      <c r="C2025" s="91">
        <v>45537.367952650464</v>
      </c>
      <c r="D2025" s="8">
        <f t="shared" si="207"/>
        <v>45539</v>
      </c>
      <c r="E2025" s="9" t="s">
        <v>206</v>
      </c>
      <c r="F2025" s="10"/>
      <c r="G2025" s="9" t="s">
        <v>18</v>
      </c>
      <c r="H2025" s="7" t="s">
        <v>3906</v>
      </c>
      <c r="I2025" s="9" t="s">
        <v>353</v>
      </c>
      <c r="J2025" s="88"/>
    </row>
    <row r="2026">
      <c r="A2026" s="20" t="s">
        <v>98</v>
      </c>
      <c r="B2026" s="9" t="s">
        <v>3907</v>
      </c>
      <c r="C2026" s="91">
        <v>45454.65002612269</v>
      </c>
      <c r="D2026" s="8">
        <f t="shared" si="207"/>
        <v>45456</v>
      </c>
      <c r="E2026" s="9" t="s">
        <v>11</v>
      </c>
      <c r="F2026" s="10"/>
      <c r="G2026" s="9" t="s">
        <v>18</v>
      </c>
      <c r="H2026" s="22" t="s">
        <v>3908</v>
      </c>
      <c r="I2026" s="9" t="s">
        <v>353</v>
      </c>
      <c r="J2026" s="88"/>
    </row>
    <row r="2027">
      <c r="A2027" s="20" t="s">
        <v>98</v>
      </c>
      <c r="B2027" s="9" t="s">
        <v>3909</v>
      </c>
      <c r="C2027" s="91">
        <v>45541.44705855324</v>
      </c>
      <c r="D2027" s="8">
        <f t="shared" si="207"/>
        <v>45545</v>
      </c>
      <c r="E2027" s="9" t="s">
        <v>88</v>
      </c>
      <c r="F2027" s="10"/>
      <c r="G2027" s="9" t="s">
        <v>18</v>
      </c>
      <c r="H2027" s="7" t="s">
        <v>3910</v>
      </c>
      <c r="I2027" s="9" t="s">
        <v>353</v>
      </c>
      <c r="J2027" s="88"/>
    </row>
    <row r="2028">
      <c r="A2028" s="102" t="s">
        <v>624</v>
      </c>
      <c r="B2028" s="7" t="s">
        <v>3911</v>
      </c>
      <c r="C2028" s="91" t="s">
        <v>11</v>
      </c>
      <c r="D2028" s="8" t="str">
        <f t="shared" si="207"/>
        <v>-</v>
      </c>
      <c r="E2028" s="9" t="s">
        <v>11</v>
      </c>
      <c r="F2028" s="10"/>
      <c r="G2028" s="9" t="s">
        <v>15</v>
      </c>
      <c r="H2028" s="11"/>
      <c r="I2028" s="9" t="s">
        <v>353</v>
      </c>
      <c r="J2028" s="88"/>
    </row>
    <row r="2029">
      <c r="A2029" s="88"/>
      <c r="B2029" s="89"/>
      <c r="C2029" s="90"/>
      <c r="D2029" s="89"/>
      <c r="E2029" s="89"/>
      <c r="F2029" s="89"/>
      <c r="G2029" s="89"/>
      <c r="H2029" s="87"/>
      <c r="I2029" s="89"/>
      <c r="J2029" s="88"/>
    </row>
    <row r="2030">
      <c r="A2030" s="20" t="s">
        <v>98</v>
      </c>
      <c r="B2030" s="9" t="s">
        <v>3912</v>
      </c>
      <c r="C2030" s="91">
        <v>45355.71591888889</v>
      </c>
      <c r="D2030" s="8">
        <f t="shared" ref="D2030:D2032" si="208">IFERROR(_xlfn.WORKDAY.INTL(C2030, 2),"-")</f>
        <v>45357</v>
      </c>
      <c r="E2030" s="9" t="s">
        <v>88</v>
      </c>
      <c r="F2030" s="10"/>
      <c r="G2030" s="9" t="s">
        <v>18</v>
      </c>
      <c r="H2030" s="7" t="s">
        <v>3913</v>
      </c>
      <c r="I2030" s="9" t="s">
        <v>353</v>
      </c>
      <c r="J2030" s="88"/>
    </row>
    <row r="2031">
      <c r="A2031" s="20" t="s">
        <v>98</v>
      </c>
      <c r="B2031" s="9" t="s">
        <v>3914</v>
      </c>
      <c r="C2031" s="91">
        <v>45534.51915153935</v>
      </c>
      <c r="D2031" s="8">
        <f t="shared" si="208"/>
        <v>45538</v>
      </c>
      <c r="E2031" s="9" t="s">
        <v>206</v>
      </c>
      <c r="F2031" s="10"/>
      <c r="G2031" s="9" t="s">
        <v>15</v>
      </c>
      <c r="H2031" s="7" t="s">
        <v>3915</v>
      </c>
      <c r="I2031" s="9" t="s">
        <v>353</v>
      </c>
      <c r="J2031" s="88"/>
    </row>
    <row r="2032">
      <c r="A2032" s="20" t="s">
        <v>98</v>
      </c>
      <c r="B2032" s="9" t="s">
        <v>3916</v>
      </c>
      <c r="C2032" s="91">
        <v>45540.486542604165</v>
      </c>
      <c r="D2032" s="8">
        <f t="shared" si="208"/>
        <v>45544</v>
      </c>
      <c r="E2032" s="9" t="s">
        <v>11</v>
      </c>
      <c r="F2032" s="10"/>
      <c r="G2032" s="9" t="s">
        <v>15</v>
      </c>
      <c r="H2032" s="7" t="s">
        <v>3915</v>
      </c>
      <c r="I2032" s="9" t="s">
        <v>353</v>
      </c>
      <c r="J2032" s="88"/>
    </row>
    <row r="2033">
      <c r="A2033" s="42" t="s">
        <v>206</v>
      </c>
      <c r="B2033" s="43" t="s">
        <v>3917</v>
      </c>
      <c r="C2033" s="91">
        <v>45509.680572453704</v>
      </c>
      <c r="D2033" s="8"/>
      <c r="E2033" s="9"/>
      <c r="F2033" s="10"/>
      <c r="G2033" s="9" t="s">
        <v>18</v>
      </c>
      <c r="H2033" s="7" t="s">
        <v>3918</v>
      </c>
      <c r="I2033" s="9" t="s">
        <v>353</v>
      </c>
      <c r="J2033" s="88"/>
    </row>
    <row r="2034">
      <c r="A2034" s="6" t="s">
        <v>9</v>
      </c>
      <c r="B2034" s="7" t="s">
        <v>3919</v>
      </c>
      <c r="C2034" s="91">
        <v>45537.49215652778</v>
      </c>
      <c r="D2034" s="8">
        <f t="shared" ref="D2034:D2051" si="209">IFERROR(_xlfn.WORKDAY.INTL(C2034, 2),"-")</f>
        <v>45539</v>
      </c>
      <c r="E2034" s="9" t="s">
        <v>11</v>
      </c>
      <c r="F2034" s="10"/>
      <c r="G2034" s="9" t="s">
        <v>18</v>
      </c>
      <c r="H2034" s="7" t="s">
        <v>3920</v>
      </c>
      <c r="I2034" s="9" t="s">
        <v>353</v>
      </c>
      <c r="J2034" s="88"/>
    </row>
    <row r="2035">
      <c r="A2035" s="20" t="s">
        <v>98</v>
      </c>
      <c r="B2035" s="9" t="s">
        <v>3921</v>
      </c>
      <c r="C2035" s="91">
        <v>45533.31589701389</v>
      </c>
      <c r="D2035" s="8">
        <f t="shared" si="209"/>
        <v>45537</v>
      </c>
      <c r="E2035" s="9" t="s">
        <v>88</v>
      </c>
      <c r="F2035" s="10"/>
      <c r="G2035" s="9" t="s">
        <v>15</v>
      </c>
      <c r="H2035" s="7" t="s">
        <v>3922</v>
      </c>
      <c r="I2035" s="9" t="s">
        <v>353</v>
      </c>
      <c r="J2035" s="88"/>
    </row>
    <row r="2036">
      <c r="A2036" s="6" t="s">
        <v>9</v>
      </c>
      <c r="B2036" s="7" t="s">
        <v>3923</v>
      </c>
      <c r="C2036" s="91">
        <v>45523.685975127315</v>
      </c>
      <c r="D2036" s="8">
        <f t="shared" si="209"/>
        <v>45525</v>
      </c>
      <c r="E2036" s="9" t="s">
        <v>11</v>
      </c>
      <c r="F2036" s="10"/>
      <c r="G2036" s="9" t="s">
        <v>15</v>
      </c>
      <c r="H2036" s="7" t="s">
        <v>3924</v>
      </c>
      <c r="I2036" s="9" t="s">
        <v>353</v>
      </c>
      <c r="J2036" s="88"/>
    </row>
    <row r="2037">
      <c r="A2037" s="6" t="s">
        <v>9</v>
      </c>
      <c r="B2037" s="7" t="s">
        <v>3925</v>
      </c>
      <c r="C2037" s="91">
        <v>45538.475847546295</v>
      </c>
      <c r="D2037" s="8">
        <f t="shared" si="209"/>
        <v>45540</v>
      </c>
      <c r="E2037" s="9" t="s">
        <v>11</v>
      </c>
      <c r="F2037" s="10"/>
      <c r="G2037" s="9" t="s">
        <v>15</v>
      </c>
      <c r="H2037" s="7" t="s">
        <v>3926</v>
      </c>
      <c r="I2037" s="9" t="s">
        <v>353</v>
      </c>
      <c r="J2037" s="88"/>
    </row>
    <row r="2038">
      <c r="A2038" s="20" t="s">
        <v>98</v>
      </c>
      <c r="B2038" s="9" t="s">
        <v>3927</v>
      </c>
      <c r="C2038" s="91">
        <v>45488.56486408565</v>
      </c>
      <c r="D2038" s="8">
        <f t="shared" si="209"/>
        <v>45490</v>
      </c>
      <c r="E2038" s="9" t="s">
        <v>206</v>
      </c>
      <c r="F2038" s="10"/>
      <c r="G2038" s="9" t="s">
        <v>15</v>
      </c>
      <c r="H2038" s="23" t="s">
        <v>3928</v>
      </c>
      <c r="I2038" s="9" t="s">
        <v>353</v>
      </c>
      <c r="J2038" s="88"/>
    </row>
    <row r="2039">
      <c r="A2039" s="34" t="s">
        <v>204</v>
      </c>
      <c r="B2039" s="7" t="s">
        <v>3929</v>
      </c>
      <c r="C2039" s="91">
        <v>45540.50575465278</v>
      </c>
      <c r="D2039" s="8">
        <f t="shared" si="209"/>
        <v>45544</v>
      </c>
      <c r="E2039" s="9" t="s">
        <v>11</v>
      </c>
      <c r="F2039" s="10"/>
      <c r="G2039" s="9" t="s">
        <v>18</v>
      </c>
      <c r="H2039" s="7" t="s">
        <v>437</v>
      </c>
      <c r="I2039" s="9" t="s">
        <v>353</v>
      </c>
      <c r="J2039" s="88"/>
    </row>
    <row r="2040">
      <c r="A2040" s="34" t="s">
        <v>204</v>
      </c>
      <c r="B2040" s="7" t="s">
        <v>3930</v>
      </c>
      <c r="C2040" s="91">
        <v>45468.70822325231</v>
      </c>
      <c r="D2040" s="8">
        <f t="shared" si="209"/>
        <v>45470</v>
      </c>
      <c r="E2040" s="9" t="s">
        <v>11</v>
      </c>
      <c r="F2040" s="10"/>
      <c r="G2040" s="9" t="s">
        <v>18</v>
      </c>
      <c r="H2040" s="7" t="s">
        <v>3931</v>
      </c>
      <c r="I2040" s="9" t="s">
        <v>353</v>
      </c>
      <c r="J2040" s="88"/>
    </row>
    <row r="2041">
      <c r="A2041" s="20" t="s">
        <v>98</v>
      </c>
      <c r="B2041" s="9" t="s">
        <v>3932</v>
      </c>
      <c r="C2041" s="91">
        <v>45530.439163703704</v>
      </c>
      <c r="D2041" s="8">
        <f t="shared" si="209"/>
        <v>45532</v>
      </c>
      <c r="E2041" s="9" t="s">
        <v>88</v>
      </c>
      <c r="F2041" s="10"/>
      <c r="G2041" s="9" t="s">
        <v>18</v>
      </c>
      <c r="H2041" s="7" t="s">
        <v>3933</v>
      </c>
      <c r="I2041" s="9" t="s">
        <v>353</v>
      </c>
      <c r="J2041" s="88"/>
    </row>
    <row r="2042">
      <c r="A2042" s="6" t="s">
        <v>9</v>
      </c>
      <c r="B2042" s="7" t="s">
        <v>3934</v>
      </c>
      <c r="C2042" s="91">
        <v>45540.40433726852</v>
      </c>
      <c r="D2042" s="8">
        <f t="shared" si="209"/>
        <v>45544</v>
      </c>
      <c r="E2042" s="9" t="s">
        <v>11</v>
      </c>
      <c r="F2042" s="10"/>
      <c r="G2042" s="9" t="s">
        <v>220</v>
      </c>
      <c r="H2042" s="7" t="s">
        <v>2896</v>
      </c>
      <c r="I2042" s="9" t="s">
        <v>353</v>
      </c>
      <c r="J2042" s="88"/>
    </row>
    <row r="2043">
      <c r="A2043" s="20" t="s">
        <v>98</v>
      </c>
      <c r="B2043" s="9" t="s">
        <v>1077</v>
      </c>
      <c r="C2043" s="91">
        <v>45537.36717171296</v>
      </c>
      <c r="D2043" s="8">
        <f t="shared" si="209"/>
        <v>45539</v>
      </c>
      <c r="E2043" s="9" t="s">
        <v>88</v>
      </c>
      <c r="F2043" s="10"/>
      <c r="G2043" s="9" t="s">
        <v>18</v>
      </c>
      <c r="H2043" s="7" t="s">
        <v>3935</v>
      </c>
      <c r="I2043" s="9" t="s">
        <v>353</v>
      </c>
      <c r="J2043" s="88"/>
    </row>
    <row r="2044">
      <c r="A2044" s="20" t="s">
        <v>98</v>
      </c>
      <c r="B2044" s="9" t="s">
        <v>3936</v>
      </c>
      <c r="C2044" s="91">
        <v>45530.49783740741</v>
      </c>
      <c r="D2044" s="8">
        <f t="shared" si="209"/>
        <v>45532</v>
      </c>
      <c r="E2044" s="9" t="s">
        <v>88</v>
      </c>
      <c r="F2044" s="10"/>
      <c r="G2044" s="9" t="s">
        <v>15</v>
      </c>
      <c r="H2044" s="7" t="s">
        <v>3937</v>
      </c>
      <c r="I2044" s="9" t="s">
        <v>353</v>
      </c>
      <c r="J2044" s="88"/>
    </row>
    <row r="2045">
      <c r="A2045" s="20" t="s">
        <v>98</v>
      </c>
      <c r="B2045" s="9" t="s">
        <v>3938</v>
      </c>
      <c r="C2045" s="91">
        <v>45366.34418621528</v>
      </c>
      <c r="D2045" s="8">
        <f t="shared" si="209"/>
        <v>45370</v>
      </c>
      <c r="E2045" s="9" t="s">
        <v>206</v>
      </c>
      <c r="F2045" s="10"/>
      <c r="G2045" s="9" t="s">
        <v>18</v>
      </c>
      <c r="H2045" s="23" t="s">
        <v>3939</v>
      </c>
      <c r="I2045" s="9" t="s">
        <v>353</v>
      </c>
      <c r="J2045" s="88"/>
    </row>
    <row r="2046">
      <c r="A2046" s="34" t="s">
        <v>204</v>
      </c>
      <c r="B2046" s="7" t="s">
        <v>3940</v>
      </c>
      <c r="C2046" s="91">
        <v>45539.490670046296</v>
      </c>
      <c r="D2046" s="8">
        <f t="shared" si="209"/>
        <v>45541</v>
      </c>
      <c r="E2046" s="9" t="s">
        <v>11</v>
      </c>
      <c r="F2046" s="10"/>
      <c r="G2046" s="9" t="s">
        <v>18</v>
      </c>
      <c r="H2046" s="7" t="s">
        <v>437</v>
      </c>
      <c r="I2046" s="9" t="s">
        <v>353</v>
      </c>
      <c r="J2046" s="88"/>
    </row>
    <row r="2047">
      <c r="A2047" s="34" t="s">
        <v>204</v>
      </c>
      <c r="B2047" s="7" t="s">
        <v>3941</v>
      </c>
      <c r="C2047" s="91">
        <v>45539.45662282407</v>
      </c>
      <c r="D2047" s="8">
        <f t="shared" si="209"/>
        <v>45541</v>
      </c>
      <c r="E2047" s="9" t="s">
        <v>11</v>
      </c>
      <c r="F2047" s="10"/>
      <c r="G2047" s="9" t="s">
        <v>18</v>
      </c>
      <c r="H2047" s="7" t="s">
        <v>437</v>
      </c>
      <c r="I2047" s="9" t="s">
        <v>353</v>
      </c>
      <c r="J2047" s="88"/>
    </row>
    <row r="2048">
      <c r="A2048" s="20" t="s">
        <v>98</v>
      </c>
      <c r="B2048" s="9" t="s">
        <v>3942</v>
      </c>
      <c r="C2048" s="91">
        <v>45439.35319010417</v>
      </c>
      <c r="D2048" s="8">
        <f t="shared" si="209"/>
        <v>45441</v>
      </c>
      <c r="E2048" s="9" t="s">
        <v>11</v>
      </c>
      <c r="F2048" s="10"/>
      <c r="G2048" s="9" t="s">
        <v>15</v>
      </c>
      <c r="H2048" s="7" t="s">
        <v>3943</v>
      </c>
      <c r="I2048" s="9" t="s">
        <v>353</v>
      </c>
      <c r="J2048" s="88"/>
    </row>
    <row r="2049">
      <c r="A2049" s="34" t="s">
        <v>204</v>
      </c>
      <c r="B2049" s="7" t="s">
        <v>3944</v>
      </c>
      <c r="C2049" s="91">
        <v>45537.68120133102</v>
      </c>
      <c r="D2049" s="8">
        <f t="shared" si="209"/>
        <v>45539</v>
      </c>
      <c r="E2049" s="9" t="s">
        <v>11</v>
      </c>
      <c r="F2049" s="10"/>
      <c r="G2049" s="9" t="s">
        <v>18</v>
      </c>
      <c r="H2049" s="7" t="s">
        <v>437</v>
      </c>
      <c r="I2049" s="9" t="s">
        <v>353</v>
      </c>
      <c r="J2049" s="88"/>
    </row>
    <row r="2050">
      <c r="A2050" s="6" t="s">
        <v>9</v>
      </c>
      <c r="B2050" s="7" t="s">
        <v>3945</v>
      </c>
      <c r="C2050" s="91">
        <v>45537.61911068287</v>
      </c>
      <c r="D2050" s="8">
        <f t="shared" si="209"/>
        <v>45539</v>
      </c>
      <c r="E2050" s="9" t="s">
        <v>11</v>
      </c>
      <c r="F2050" s="10"/>
      <c r="G2050" s="9" t="s">
        <v>18</v>
      </c>
      <c r="H2050" s="11"/>
      <c r="I2050" s="9" t="s">
        <v>353</v>
      </c>
      <c r="J2050" s="88"/>
    </row>
    <row r="2051">
      <c r="A2051" s="6" t="s">
        <v>9</v>
      </c>
      <c r="B2051" s="7" t="s">
        <v>3946</v>
      </c>
      <c r="C2051" s="91">
        <v>45537.49267821759</v>
      </c>
      <c r="D2051" s="8">
        <f t="shared" si="209"/>
        <v>45539</v>
      </c>
      <c r="E2051" s="9" t="s">
        <v>11</v>
      </c>
      <c r="F2051" s="10"/>
      <c r="G2051" s="9" t="s">
        <v>15</v>
      </c>
      <c r="H2051" s="7" t="s">
        <v>3947</v>
      </c>
      <c r="I2051" s="9" t="s">
        <v>353</v>
      </c>
      <c r="J2051" s="88"/>
    </row>
    <row r="2052">
      <c r="A2052" s="42" t="s">
        <v>206</v>
      </c>
      <c r="B2052" s="43" t="s">
        <v>3948</v>
      </c>
      <c r="C2052" s="91">
        <v>45497.518909942126</v>
      </c>
      <c r="D2052" s="8"/>
      <c r="E2052" s="9"/>
      <c r="F2052" s="10"/>
      <c r="G2052" s="9" t="s">
        <v>15</v>
      </c>
      <c r="H2052" s="7" t="s">
        <v>3949</v>
      </c>
      <c r="I2052" s="9" t="s">
        <v>353</v>
      </c>
      <c r="J2052" s="88"/>
    </row>
    <row r="2053">
      <c r="A2053" s="42" t="s">
        <v>206</v>
      </c>
      <c r="B2053" s="43" t="s">
        <v>3950</v>
      </c>
      <c r="C2053" s="91">
        <v>45517.599272824074</v>
      </c>
      <c r="D2053" s="8"/>
      <c r="E2053" s="9"/>
      <c r="F2053" s="10"/>
      <c r="G2053" s="9" t="s">
        <v>220</v>
      </c>
      <c r="H2053" s="7" t="s">
        <v>3951</v>
      </c>
      <c r="I2053" s="9" t="s">
        <v>353</v>
      </c>
      <c r="J2053" s="88"/>
    </row>
    <row r="2054">
      <c r="A2054" s="42" t="s">
        <v>206</v>
      </c>
      <c r="B2054" s="43" t="s">
        <v>3952</v>
      </c>
      <c r="C2054" s="91">
        <v>45533.719888368054</v>
      </c>
      <c r="D2054" s="8"/>
      <c r="E2054" s="9"/>
      <c r="F2054" s="10"/>
      <c r="G2054" s="9"/>
      <c r="H2054" s="7" t="s">
        <v>3953</v>
      </c>
      <c r="I2054" s="9" t="s">
        <v>353</v>
      </c>
      <c r="J2054" s="88"/>
    </row>
    <row r="2055">
      <c r="A2055" s="42" t="s">
        <v>206</v>
      </c>
      <c r="B2055" s="43" t="s">
        <v>3954</v>
      </c>
      <c r="C2055" s="91">
        <v>45516.6525325463</v>
      </c>
      <c r="D2055" s="8"/>
      <c r="E2055" s="9" t="s">
        <v>206</v>
      </c>
      <c r="F2055" s="10"/>
      <c r="G2055" s="9" t="s">
        <v>18</v>
      </c>
      <c r="H2055" s="158" t="s">
        <v>3955</v>
      </c>
      <c r="I2055" s="9" t="s">
        <v>353</v>
      </c>
      <c r="J2055" s="88"/>
    </row>
    <row r="2056">
      <c r="A2056" s="42" t="s">
        <v>206</v>
      </c>
      <c r="B2056" s="43" t="s">
        <v>3956</v>
      </c>
      <c r="C2056" s="91">
        <v>45516.65249739583</v>
      </c>
      <c r="D2056" s="8"/>
      <c r="E2056" s="9" t="s">
        <v>206</v>
      </c>
      <c r="F2056" s="10"/>
      <c r="G2056" s="9" t="s">
        <v>18</v>
      </c>
      <c r="H2056" s="7" t="s">
        <v>3955</v>
      </c>
      <c r="I2056" s="9" t="s">
        <v>353</v>
      </c>
      <c r="J2056" s="88"/>
    </row>
    <row r="2057">
      <c r="A2057" s="42" t="s">
        <v>206</v>
      </c>
      <c r="B2057" s="43" t="s">
        <v>3957</v>
      </c>
      <c r="C2057" s="91">
        <v>45516.652969710645</v>
      </c>
      <c r="D2057" s="8"/>
      <c r="E2057" s="9" t="s">
        <v>206</v>
      </c>
      <c r="F2057" s="10"/>
      <c r="G2057" s="9" t="s">
        <v>18</v>
      </c>
      <c r="H2057" s="7" t="s">
        <v>437</v>
      </c>
      <c r="I2057" s="9" t="s">
        <v>353</v>
      </c>
      <c r="J2057" s="88"/>
    </row>
    <row r="2058">
      <c r="A2058" s="42" t="s">
        <v>206</v>
      </c>
      <c r="B2058" s="43" t="s">
        <v>3958</v>
      </c>
      <c r="C2058" s="91">
        <v>45516.652874050924</v>
      </c>
      <c r="D2058" s="8"/>
      <c r="E2058" s="9" t="s">
        <v>206</v>
      </c>
      <c r="F2058" s="10"/>
      <c r="G2058" s="9" t="s">
        <v>18</v>
      </c>
      <c r="H2058" s="7" t="s">
        <v>437</v>
      </c>
      <c r="I2058" s="9" t="s">
        <v>353</v>
      </c>
      <c r="J2058" s="88"/>
    </row>
    <row r="2059">
      <c r="A2059" s="42" t="s">
        <v>206</v>
      </c>
      <c r="B2059" s="43" t="s">
        <v>3959</v>
      </c>
      <c r="C2059" s="91">
        <v>45516.6526093287</v>
      </c>
      <c r="D2059" s="8"/>
      <c r="E2059" s="9" t="s">
        <v>206</v>
      </c>
      <c r="F2059" s="10"/>
      <c r="G2059" s="9" t="s">
        <v>18</v>
      </c>
      <c r="H2059" s="7" t="s">
        <v>437</v>
      </c>
      <c r="I2059" s="9" t="s">
        <v>353</v>
      </c>
      <c r="J2059" s="88"/>
    </row>
    <row r="2060">
      <c r="A2060" s="42" t="s">
        <v>206</v>
      </c>
      <c r="B2060" s="43" t="s">
        <v>3960</v>
      </c>
      <c r="C2060" s="91">
        <v>45516.65277252315</v>
      </c>
      <c r="D2060" s="8"/>
      <c r="E2060" s="9" t="s">
        <v>206</v>
      </c>
      <c r="F2060" s="10"/>
      <c r="G2060" s="9" t="s">
        <v>18</v>
      </c>
      <c r="H2060" s="7" t="s">
        <v>437</v>
      </c>
      <c r="I2060" s="9" t="s">
        <v>353</v>
      </c>
      <c r="J2060" s="88"/>
    </row>
    <row r="2061">
      <c r="A2061" s="88"/>
      <c r="B2061" s="89"/>
      <c r="C2061" s="90"/>
      <c r="D2061" s="89"/>
      <c r="E2061" s="89"/>
      <c r="F2061" s="89"/>
      <c r="G2061" s="89"/>
      <c r="H2061" s="87"/>
      <c r="I2061" s="89"/>
      <c r="J2061" s="88"/>
    </row>
    <row r="2062">
      <c r="A2062" s="42" t="s">
        <v>206</v>
      </c>
      <c r="B2062" s="43" t="s">
        <v>3961</v>
      </c>
      <c r="C2062" s="91">
        <v>45516.65301009259</v>
      </c>
      <c r="D2062" s="8"/>
      <c r="E2062" s="9" t="s">
        <v>206</v>
      </c>
      <c r="F2062" s="10"/>
      <c r="G2062" s="9" t="s">
        <v>18</v>
      </c>
      <c r="H2062" s="7" t="s">
        <v>437</v>
      </c>
      <c r="I2062" s="9" t="s">
        <v>353</v>
      </c>
      <c r="J2062" s="88"/>
    </row>
    <row r="2063">
      <c r="A2063" s="42" t="s">
        <v>206</v>
      </c>
      <c r="B2063" s="43" t="s">
        <v>3962</v>
      </c>
      <c r="C2063" s="91">
        <v>45516.65210876157</v>
      </c>
      <c r="D2063" s="8"/>
      <c r="E2063" s="9" t="s">
        <v>206</v>
      </c>
      <c r="F2063" s="10"/>
      <c r="G2063" s="9" t="s">
        <v>18</v>
      </c>
      <c r="H2063" s="158" t="s">
        <v>3955</v>
      </c>
      <c r="I2063" s="9" t="s">
        <v>353</v>
      </c>
      <c r="J2063" s="88"/>
    </row>
    <row r="2064">
      <c r="A2064" s="42" t="s">
        <v>206</v>
      </c>
      <c r="B2064" s="43" t="s">
        <v>3963</v>
      </c>
      <c r="C2064" s="91">
        <v>45516.65305195602</v>
      </c>
      <c r="D2064" s="8"/>
      <c r="E2064" s="9" t="s">
        <v>206</v>
      </c>
      <c r="F2064" s="10"/>
      <c r="G2064" s="9" t="s">
        <v>18</v>
      </c>
      <c r="H2064" s="7" t="s">
        <v>437</v>
      </c>
      <c r="I2064" s="9" t="s">
        <v>353</v>
      </c>
      <c r="J2064" s="88"/>
    </row>
    <row r="2065">
      <c r="A2065" s="42" t="s">
        <v>206</v>
      </c>
      <c r="B2065" s="43" t="s">
        <v>3964</v>
      </c>
      <c r="C2065" s="91">
        <v>45516.6529140162</v>
      </c>
      <c r="D2065" s="8"/>
      <c r="E2065" s="9" t="s">
        <v>206</v>
      </c>
      <c r="F2065" s="10"/>
      <c r="G2065" s="9" t="s">
        <v>18</v>
      </c>
      <c r="H2065" s="7" t="s">
        <v>437</v>
      </c>
      <c r="I2065" s="9" t="s">
        <v>13</v>
      </c>
      <c r="J2065" s="88"/>
    </row>
    <row r="2066">
      <c r="A2066" s="42" t="s">
        <v>206</v>
      </c>
      <c r="B2066" s="43" t="s">
        <v>3965</v>
      </c>
      <c r="C2066" s="91">
        <v>45516.65282122685</v>
      </c>
      <c r="D2066" s="8"/>
      <c r="E2066" s="9" t="s">
        <v>206</v>
      </c>
      <c r="F2066" s="10"/>
      <c r="G2066" s="9" t="s">
        <v>18</v>
      </c>
      <c r="H2066" s="7" t="s">
        <v>437</v>
      </c>
      <c r="I2066" s="9" t="s">
        <v>353</v>
      </c>
      <c r="J2066" s="88"/>
    </row>
    <row r="2067">
      <c r="A2067" s="42" t="s">
        <v>206</v>
      </c>
      <c r="B2067" s="43" t="s">
        <v>3966</v>
      </c>
      <c r="C2067" s="91">
        <v>45516.652574594904</v>
      </c>
      <c r="D2067" s="8"/>
      <c r="E2067" s="9" t="s">
        <v>206</v>
      </c>
      <c r="F2067" s="10"/>
      <c r="G2067" s="9" t="s">
        <v>18</v>
      </c>
      <c r="H2067" s="7" t="s">
        <v>437</v>
      </c>
      <c r="I2067" s="9" t="s">
        <v>353</v>
      </c>
      <c r="J2067" s="88"/>
    </row>
    <row r="2068">
      <c r="A2068" s="34" t="s">
        <v>204</v>
      </c>
      <c r="B2068" s="7" t="s">
        <v>3967</v>
      </c>
      <c r="C2068" s="91">
        <v>45533.70682206019</v>
      </c>
      <c r="D2068" s="8">
        <f>IFERROR(_xlfn.WORKDAY.INTL(C2068, 2),"-")</f>
        <v>45537</v>
      </c>
      <c r="E2068" s="9" t="s">
        <v>11</v>
      </c>
      <c r="F2068" s="10"/>
      <c r="G2068" s="9" t="s">
        <v>18</v>
      </c>
      <c r="H2068" s="11"/>
      <c r="I2068" s="9" t="s">
        <v>353</v>
      </c>
      <c r="J2068" s="88"/>
    </row>
    <row r="2069">
      <c r="A2069" s="34" t="s">
        <v>204</v>
      </c>
      <c r="B2069" s="7" t="s">
        <v>3968</v>
      </c>
      <c r="C2069" s="91">
        <v>44882.505623680554</v>
      </c>
      <c r="D2069" s="9" t="s">
        <v>11</v>
      </c>
      <c r="E2069" s="9" t="s">
        <v>206</v>
      </c>
      <c r="F2069" s="9" t="s">
        <v>11</v>
      </c>
      <c r="G2069" s="9" t="s">
        <v>21</v>
      </c>
      <c r="H2069" s="7" t="s">
        <v>437</v>
      </c>
      <c r="I2069" s="9" t="s">
        <v>353</v>
      </c>
      <c r="J2069" s="88"/>
    </row>
    <row r="2070">
      <c r="A2070" s="34" t="s">
        <v>204</v>
      </c>
      <c r="B2070" s="7" t="s">
        <v>3969</v>
      </c>
      <c r="C2070" s="91">
        <v>45372.73111105324</v>
      </c>
      <c r="D2070" s="8">
        <f t="shared" ref="D2070:D2082" si="210">IFERROR(_xlfn.WORKDAY.INTL(C2070, 2),"-")</f>
        <v>45376</v>
      </c>
      <c r="E2070" s="9" t="s">
        <v>11</v>
      </c>
      <c r="F2070" s="10"/>
      <c r="G2070" s="9" t="s">
        <v>15</v>
      </c>
      <c r="H2070" s="7" t="s">
        <v>3970</v>
      </c>
      <c r="I2070" s="9" t="s">
        <v>353</v>
      </c>
      <c r="J2070" s="88"/>
    </row>
    <row r="2071">
      <c r="A2071" s="20" t="s">
        <v>98</v>
      </c>
      <c r="B2071" s="9" t="s">
        <v>3971</v>
      </c>
      <c r="C2071" s="91">
        <v>45488.56498086806</v>
      </c>
      <c r="D2071" s="8">
        <f t="shared" si="210"/>
        <v>45490</v>
      </c>
      <c r="E2071" s="9" t="s">
        <v>206</v>
      </c>
      <c r="F2071" s="10"/>
      <c r="G2071" s="9" t="s">
        <v>15</v>
      </c>
      <c r="H2071" s="23" t="s">
        <v>3972</v>
      </c>
      <c r="I2071" s="9" t="s">
        <v>353</v>
      </c>
      <c r="J2071" s="88"/>
    </row>
    <row r="2072">
      <c r="A2072" s="34" t="s">
        <v>204</v>
      </c>
      <c r="B2072" s="7" t="s">
        <v>3973</v>
      </c>
      <c r="C2072" s="91">
        <v>45532.75011432871</v>
      </c>
      <c r="D2072" s="8">
        <f t="shared" si="210"/>
        <v>45534</v>
      </c>
      <c r="E2072" s="9" t="s">
        <v>11</v>
      </c>
      <c r="F2072" s="10"/>
      <c r="G2072" s="9" t="s">
        <v>18</v>
      </c>
      <c r="H2072" s="7" t="s">
        <v>437</v>
      </c>
      <c r="I2072" s="9" t="s">
        <v>353</v>
      </c>
      <c r="J2072" s="88"/>
    </row>
    <row r="2073">
      <c r="A2073" s="20" t="s">
        <v>98</v>
      </c>
      <c r="B2073" s="9" t="s">
        <v>3974</v>
      </c>
      <c r="C2073" s="91">
        <v>45463.69869104167</v>
      </c>
      <c r="D2073" s="8">
        <f t="shared" si="210"/>
        <v>45467</v>
      </c>
      <c r="E2073" s="9" t="s">
        <v>206</v>
      </c>
      <c r="F2073" s="10"/>
      <c r="G2073" s="9" t="s">
        <v>18</v>
      </c>
      <c r="H2073" s="23" t="s">
        <v>3975</v>
      </c>
      <c r="I2073" s="9" t="s">
        <v>353</v>
      </c>
      <c r="J2073" s="88"/>
    </row>
    <row r="2074">
      <c r="A2074" s="20" t="s">
        <v>98</v>
      </c>
      <c r="B2074" s="9" t="s">
        <v>3976</v>
      </c>
      <c r="C2074" s="91">
        <v>45463.698527002314</v>
      </c>
      <c r="D2074" s="8">
        <f t="shared" si="210"/>
        <v>45467</v>
      </c>
      <c r="E2074" s="9" t="s">
        <v>206</v>
      </c>
      <c r="F2074" s="10"/>
      <c r="G2074" s="9" t="s">
        <v>18</v>
      </c>
      <c r="H2074" s="23" t="s">
        <v>3977</v>
      </c>
      <c r="I2074" s="9" t="s">
        <v>353</v>
      </c>
      <c r="J2074" s="88"/>
    </row>
    <row r="2075">
      <c r="A2075" s="20" t="s">
        <v>98</v>
      </c>
      <c r="B2075" s="9" t="s">
        <v>3978</v>
      </c>
      <c r="C2075" s="91">
        <v>45498.47275204861</v>
      </c>
      <c r="D2075" s="8">
        <f t="shared" si="210"/>
        <v>45502</v>
      </c>
      <c r="E2075" s="9" t="s">
        <v>206</v>
      </c>
      <c r="F2075" s="10"/>
      <c r="G2075" s="9" t="s">
        <v>18</v>
      </c>
      <c r="H2075" s="23" t="s">
        <v>3979</v>
      </c>
      <c r="I2075" s="9" t="s">
        <v>353</v>
      </c>
      <c r="J2075" s="88"/>
    </row>
    <row r="2076">
      <c r="A2076" s="34" t="s">
        <v>204</v>
      </c>
      <c r="B2076" s="7" t="s">
        <v>3980</v>
      </c>
      <c r="C2076" s="91">
        <v>45531.68253806713</v>
      </c>
      <c r="D2076" s="8">
        <f t="shared" si="210"/>
        <v>45533</v>
      </c>
      <c r="E2076" s="9" t="s">
        <v>11</v>
      </c>
      <c r="F2076" s="10"/>
      <c r="G2076" s="9" t="s">
        <v>18</v>
      </c>
      <c r="H2076" s="7" t="s">
        <v>437</v>
      </c>
      <c r="I2076" s="9" t="s">
        <v>353</v>
      </c>
      <c r="J2076" s="88"/>
    </row>
    <row r="2077">
      <c r="A2077" s="20" t="s">
        <v>98</v>
      </c>
      <c r="B2077" s="9" t="s">
        <v>3981</v>
      </c>
      <c r="C2077" s="91">
        <v>45397.56429271991</v>
      </c>
      <c r="D2077" s="8">
        <f t="shared" si="210"/>
        <v>45399</v>
      </c>
      <c r="E2077" s="9" t="s">
        <v>11</v>
      </c>
      <c r="F2077" s="10"/>
      <c r="G2077" s="9" t="s">
        <v>15</v>
      </c>
      <c r="H2077" s="7" t="s">
        <v>3982</v>
      </c>
      <c r="I2077" s="9" t="s">
        <v>353</v>
      </c>
      <c r="J2077" s="88"/>
    </row>
    <row r="2078">
      <c r="A2078" s="20" t="s">
        <v>98</v>
      </c>
      <c r="B2078" s="9" t="s">
        <v>3983</v>
      </c>
      <c r="C2078" s="91">
        <v>45425.540397731485</v>
      </c>
      <c r="D2078" s="8">
        <f t="shared" si="210"/>
        <v>45427</v>
      </c>
      <c r="E2078" s="9" t="s">
        <v>11</v>
      </c>
      <c r="F2078" s="10"/>
      <c r="G2078" s="9" t="s">
        <v>15</v>
      </c>
      <c r="H2078" s="23" t="s">
        <v>3984</v>
      </c>
      <c r="I2078" s="9" t="s">
        <v>353</v>
      </c>
      <c r="J2078" s="88"/>
    </row>
    <row r="2079">
      <c r="A2079" s="20" t="s">
        <v>98</v>
      </c>
      <c r="B2079" s="9" t="s">
        <v>3985</v>
      </c>
      <c r="C2079" s="91">
        <v>45425.36906861111</v>
      </c>
      <c r="D2079" s="8">
        <f t="shared" si="210"/>
        <v>45427</v>
      </c>
      <c r="E2079" s="9" t="s">
        <v>88</v>
      </c>
      <c r="F2079" s="10"/>
      <c r="G2079" s="9" t="s">
        <v>21</v>
      </c>
      <c r="H2079" s="7" t="s">
        <v>3986</v>
      </c>
      <c r="I2079" s="9" t="s">
        <v>353</v>
      </c>
      <c r="J2079" s="88"/>
    </row>
    <row r="2080">
      <c r="A2080" s="6" t="s">
        <v>9</v>
      </c>
      <c r="B2080" s="7" t="s">
        <v>3987</v>
      </c>
      <c r="C2080" s="91">
        <v>45527.56437934028</v>
      </c>
      <c r="D2080" s="8">
        <f t="shared" si="210"/>
        <v>45531</v>
      </c>
      <c r="E2080" s="9" t="s">
        <v>11</v>
      </c>
      <c r="F2080" s="10"/>
      <c r="G2080" s="9"/>
      <c r="H2080" s="7" t="s">
        <v>3988</v>
      </c>
      <c r="I2080" s="9" t="s">
        <v>353</v>
      </c>
      <c r="J2080" s="88"/>
    </row>
    <row r="2081">
      <c r="A2081" s="34" t="s">
        <v>204</v>
      </c>
      <c r="B2081" s="7" t="s">
        <v>3989</v>
      </c>
      <c r="C2081" s="91">
        <v>45527.50787612269</v>
      </c>
      <c r="D2081" s="8">
        <f t="shared" si="210"/>
        <v>45531</v>
      </c>
      <c r="E2081" s="9" t="s">
        <v>11</v>
      </c>
      <c r="F2081" s="10"/>
      <c r="G2081" s="9" t="s">
        <v>18</v>
      </c>
      <c r="H2081" s="7" t="s">
        <v>437</v>
      </c>
      <c r="I2081" s="9" t="s">
        <v>353</v>
      </c>
      <c r="J2081" s="88"/>
    </row>
    <row r="2082">
      <c r="A2082" s="34" t="s">
        <v>204</v>
      </c>
      <c r="B2082" s="7" t="s">
        <v>3990</v>
      </c>
      <c r="C2082" s="91">
        <v>45526.753511284725</v>
      </c>
      <c r="D2082" s="8">
        <f t="shared" si="210"/>
        <v>45530</v>
      </c>
      <c r="E2082" s="9" t="s">
        <v>11</v>
      </c>
      <c r="F2082" s="10"/>
      <c r="G2082" s="9" t="s">
        <v>18</v>
      </c>
      <c r="H2082" s="7" t="s">
        <v>437</v>
      </c>
      <c r="I2082" s="9" t="s">
        <v>353</v>
      </c>
      <c r="J2082" s="88"/>
    </row>
    <row r="2083">
      <c r="A2083" s="42" t="s">
        <v>206</v>
      </c>
      <c r="B2083" s="43" t="s">
        <v>3991</v>
      </c>
      <c r="C2083" s="91">
        <v>45469.68262957176</v>
      </c>
      <c r="D2083" s="8"/>
      <c r="E2083" s="9" t="s">
        <v>206</v>
      </c>
      <c r="F2083" s="10"/>
      <c r="G2083" s="9" t="s">
        <v>18</v>
      </c>
      <c r="H2083" s="7" t="s">
        <v>3992</v>
      </c>
      <c r="I2083" s="9" t="s">
        <v>353</v>
      </c>
      <c r="J2083" s="88"/>
    </row>
    <row r="2084">
      <c r="A2084" s="42" t="s">
        <v>206</v>
      </c>
      <c r="B2084" s="43" t="s">
        <v>3993</v>
      </c>
      <c r="C2084" s="91">
        <v>45491.51604017361</v>
      </c>
      <c r="D2084" s="8"/>
      <c r="E2084" s="9" t="s">
        <v>216</v>
      </c>
      <c r="F2084" s="10"/>
      <c r="G2084" s="9" t="s">
        <v>18</v>
      </c>
      <c r="H2084" s="7" t="s">
        <v>3994</v>
      </c>
      <c r="I2084" s="9" t="s">
        <v>353</v>
      </c>
      <c r="J2084" s="88"/>
    </row>
    <row r="2085">
      <c r="A2085" s="6" t="s">
        <v>9</v>
      </c>
      <c r="B2085" s="7" t="s">
        <v>3995</v>
      </c>
      <c r="C2085" s="91">
        <v>45526.48320008102</v>
      </c>
      <c r="D2085" s="8">
        <f t="shared" ref="D2085:D2088" si="211">IFERROR(_xlfn.WORKDAY.INTL(C2085, 2),"-")</f>
        <v>45530</v>
      </c>
      <c r="E2085" s="9" t="s">
        <v>11</v>
      </c>
      <c r="F2085" s="10"/>
      <c r="G2085" s="9" t="s">
        <v>15</v>
      </c>
      <c r="H2085" s="7" t="s">
        <v>3996</v>
      </c>
      <c r="I2085" s="9" t="s">
        <v>353</v>
      </c>
      <c r="J2085" s="88"/>
    </row>
    <row r="2086">
      <c r="A2086" s="6" t="s">
        <v>9</v>
      </c>
      <c r="B2086" s="7" t="s">
        <v>3997</v>
      </c>
      <c r="C2086" s="91">
        <v>45523.58416652778</v>
      </c>
      <c r="D2086" s="8">
        <f t="shared" si="211"/>
        <v>45525</v>
      </c>
      <c r="E2086" s="9" t="s">
        <v>11</v>
      </c>
      <c r="F2086" s="10"/>
      <c r="G2086" s="9" t="s">
        <v>15</v>
      </c>
      <c r="H2086" s="7" t="s">
        <v>3998</v>
      </c>
      <c r="I2086" s="9" t="s">
        <v>353</v>
      </c>
      <c r="J2086" s="88"/>
    </row>
    <row r="2087">
      <c r="A2087" s="6" t="s">
        <v>9</v>
      </c>
      <c r="B2087" s="7" t="s">
        <v>3999</v>
      </c>
      <c r="C2087" s="91">
        <v>45503.464485613425</v>
      </c>
      <c r="D2087" s="8">
        <f t="shared" si="211"/>
        <v>45505</v>
      </c>
      <c r="E2087" s="9" t="s">
        <v>11</v>
      </c>
      <c r="F2087" s="10"/>
      <c r="G2087" s="9" t="s">
        <v>15</v>
      </c>
      <c r="H2087" s="7" t="s">
        <v>4000</v>
      </c>
      <c r="I2087" s="9" t="s">
        <v>353</v>
      </c>
      <c r="J2087" s="88"/>
    </row>
    <row r="2088">
      <c r="A2088" s="6" t="s">
        <v>9</v>
      </c>
      <c r="B2088" s="7" t="s">
        <v>4001</v>
      </c>
      <c r="C2088" s="91">
        <v>45523.50507865741</v>
      </c>
      <c r="D2088" s="8">
        <f t="shared" si="211"/>
        <v>45525</v>
      </c>
      <c r="E2088" s="9" t="s">
        <v>11</v>
      </c>
      <c r="F2088" s="10"/>
      <c r="G2088" s="9" t="s">
        <v>15</v>
      </c>
      <c r="H2088" s="7" t="s">
        <v>4002</v>
      </c>
      <c r="I2088" s="9" t="s">
        <v>353</v>
      </c>
      <c r="J2088" s="88"/>
    </row>
    <row r="2089">
      <c r="A2089" s="42" t="s">
        <v>206</v>
      </c>
      <c r="B2089" s="43" t="s">
        <v>4003</v>
      </c>
      <c r="C2089" s="91">
        <v>45503.72993539352</v>
      </c>
      <c r="D2089" s="8"/>
      <c r="E2089" s="9"/>
      <c r="F2089" s="10"/>
      <c r="G2089" s="9" t="s">
        <v>18</v>
      </c>
      <c r="H2089" s="7" t="s">
        <v>4004</v>
      </c>
      <c r="I2089" s="9" t="s">
        <v>353</v>
      </c>
      <c r="J2089" s="88"/>
    </row>
    <row r="2090">
      <c r="A2090" s="6" t="s">
        <v>9</v>
      </c>
      <c r="B2090" s="7" t="s">
        <v>4005</v>
      </c>
      <c r="C2090" s="91">
        <v>45517.43095203704</v>
      </c>
      <c r="D2090" s="8">
        <f t="shared" ref="D2090:D2093" si="212">IFERROR(_xlfn.WORKDAY.INTL(C2090, 2),"-")</f>
        <v>45519</v>
      </c>
      <c r="E2090" s="9" t="s">
        <v>11</v>
      </c>
      <c r="F2090" s="10"/>
      <c r="G2090" s="9" t="s">
        <v>15</v>
      </c>
      <c r="H2090" s="7" t="s">
        <v>4006</v>
      </c>
      <c r="I2090" s="9" t="s">
        <v>353</v>
      </c>
      <c r="J2090" s="88"/>
    </row>
    <row r="2091">
      <c r="A2091" s="6" t="s">
        <v>9</v>
      </c>
      <c r="B2091" s="7" t="s">
        <v>3875</v>
      </c>
      <c r="C2091" s="91">
        <v>45518.59960601851</v>
      </c>
      <c r="D2091" s="8">
        <f t="shared" si="212"/>
        <v>45520</v>
      </c>
      <c r="E2091" s="9" t="s">
        <v>11</v>
      </c>
      <c r="F2091" s="10"/>
      <c r="G2091" s="9" t="s">
        <v>15</v>
      </c>
      <c r="H2091" s="7" t="s">
        <v>4007</v>
      </c>
      <c r="I2091" s="9" t="s">
        <v>353</v>
      </c>
      <c r="J2091" s="88"/>
    </row>
    <row r="2092">
      <c r="A2092" s="6" t="s">
        <v>9</v>
      </c>
      <c r="B2092" s="7" t="s">
        <v>3316</v>
      </c>
      <c r="C2092" s="91">
        <v>45524.470362719905</v>
      </c>
      <c r="D2092" s="8">
        <f t="shared" si="212"/>
        <v>45526</v>
      </c>
      <c r="E2092" s="9" t="s">
        <v>11</v>
      </c>
      <c r="F2092" s="10"/>
      <c r="G2092" s="9" t="s">
        <v>15</v>
      </c>
      <c r="H2092" s="7" t="s">
        <v>4008</v>
      </c>
      <c r="I2092" s="9" t="s">
        <v>353</v>
      </c>
      <c r="J2092" s="88"/>
    </row>
    <row r="2093">
      <c r="A2093" s="54" t="s">
        <v>4009</v>
      </c>
      <c r="B2093" s="7" t="s">
        <v>4010</v>
      </c>
      <c r="C2093" s="91">
        <v>45525.69762878472</v>
      </c>
      <c r="D2093" s="8">
        <f t="shared" si="212"/>
        <v>45527</v>
      </c>
      <c r="E2093" s="9" t="s">
        <v>216</v>
      </c>
      <c r="F2093" s="10"/>
      <c r="G2093" s="9" t="s">
        <v>220</v>
      </c>
      <c r="H2093" s="7" t="s">
        <v>4011</v>
      </c>
      <c r="I2093" s="9" t="s">
        <v>353</v>
      </c>
      <c r="J2093" s="88"/>
    </row>
    <row r="2094">
      <c r="A2094" s="42" t="s">
        <v>206</v>
      </c>
      <c r="B2094" s="43" t="s">
        <v>4012</v>
      </c>
      <c r="C2094" s="91">
        <v>45497.51892747685</v>
      </c>
      <c r="D2094" s="8"/>
      <c r="E2094" s="9"/>
      <c r="F2094" s="10"/>
      <c r="G2094" s="9" t="s">
        <v>15</v>
      </c>
      <c r="H2094" s="7" t="s">
        <v>4013</v>
      </c>
      <c r="I2094" s="9" t="s">
        <v>353</v>
      </c>
      <c r="J2094" s="88"/>
    </row>
    <row r="2095">
      <c r="A2095" s="34" t="s">
        <v>204</v>
      </c>
      <c r="B2095" s="7" t="s">
        <v>4014</v>
      </c>
      <c r="C2095" s="91">
        <v>45525.67877741898</v>
      </c>
      <c r="D2095" s="8">
        <f>IFERROR(_xlfn.WORKDAY.INTL(C2095, 2),"-")</f>
        <v>45527</v>
      </c>
      <c r="E2095" s="9" t="s">
        <v>11</v>
      </c>
      <c r="F2095" s="10"/>
      <c r="G2095" s="9" t="s">
        <v>18</v>
      </c>
      <c r="H2095" s="7" t="s">
        <v>437</v>
      </c>
      <c r="I2095" s="9" t="s">
        <v>353</v>
      </c>
      <c r="J2095" s="88"/>
    </row>
    <row r="2096">
      <c r="A2096" s="42" t="s">
        <v>206</v>
      </c>
      <c r="B2096" s="43" t="s">
        <v>4015</v>
      </c>
      <c r="C2096" s="91">
        <v>45518.48818052083</v>
      </c>
      <c r="D2096" s="8"/>
      <c r="E2096" s="9"/>
      <c r="F2096" s="10"/>
      <c r="G2096" s="9" t="s">
        <v>18</v>
      </c>
      <c r="H2096" s="7" t="s">
        <v>4016</v>
      </c>
      <c r="I2096" s="9" t="s">
        <v>353</v>
      </c>
      <c r="J2096" s="88"/>
    </row>
    <row r="2097">
      <c r="A2097" s="42" t="s">
        <v>206</v>
      </c>
      <c r="B2097" s="43" t="s">
        <v>4017</v>
      </c>
      <c r="C2097" s="91">
        <v>45524.57870121528</v>
      </c>
      <c r="D2097" s="8"/>
      <c r="E2097" s="9" t="s">
        <v>94</v>
      </c>
      <c r="F2097" s="10"/>
      <c r="G2097" s="9" t="s">
        <v>18</v>
      </c>
      <c r="H2097" s="7" t="s">
        <v>4018</v>
      </c>
      <c r="I2097" s="9" t="s">
        <v>353</v>
      </c>
      <c r="J2097" s="88"/>
    </row>
    <row r="2098">
      <c r="A2098" s="34" t="s">
        <v>204</v>
      </c>
      <c r="B2098" s="7" t="s">
        <v>4019</v>
      </c>
      <c r="C2098" s="91">
        <v>45525.36012244213</v>
      </c>
      <c r="D2098" s="8">
        <f t="shared" ref="D2098:D2102" si="213">IFERROR(_xlfn.WORKDAY.INTL(C2098, 2),"-")</f>
        <v>45527</v>
      </c>
      <c r="E2098" s="9" t="s">
        <v>11</v>
      </c>
      <c r="F2098" s="10"/>
      <c r="G2098" s="9" t="s">
        <v>18</v>
      </c>
      <c r="H2098" s="7" t="s">
        <v>437</v>
      </c>
      <c r="I2098" s="9" t="s">
        <v>353</v>
      </c>
      <c r="J2098" s="88"/>
    </row>
    <row r="2099">
      <c r="A2099" s="6" t="s">
        <v>9</v>
      </c>
      <c r="B2099" s="7" t="s">
        <v>4020</v>
      </c>
      <c r="C2099" s="91">
        <v>45524.47029564815</v>
      </c>
      <c r="D2099" s="8">
        <f t="shared" si="213"/>
        <v>45526</v>
      </c>
      <c r="E2099" s="9" t="s">
        <v>11</v>
      </c>
      <c r="F2099" s="10"/>
      <c r="G2099" s="9" t="s">
        <v>15</v>
      </c>
      <c r="H2099" s="7" t="s">
        <v>4021</v>
      </c>
      <c r="I2099" s="9" t="s">
        <v>353</v>
      </c>
      <c r="J2099" s="88"/>
    </row>
    <row r="2100">
      <c r="A2100" s="6" t="s">
        <v>9</v>
      </c>
      <c r="B2100" s="7" t="s">
        <v>4022</v>
      </c>
      <c r="C2100" s="91">
        <v>45322.40239711806</v>
      </c>
      <c r="D2100" s="8">
        <f t="shared" si="213"/>
        <v>45324</v>
      </c>
      <c r="E2100" s="9" t="s">
        <v>88</v>
      </c>
      <c r="F2100" s="10"/>
      <c r="G2100" s="9" t="s">
        <v>89</v>
      </c>
      <c r="H2100" s="7" t="s">
        <v>4023</v>
      </c>
      <c r="I2100" s="9" t="s">
        <v>353</v>
      </c>
      <c r="J2100" s="88"/>
    </row>
    <row r="2101">
      <c r="A2101" s="6" t="s">
        <v>9</v>
      </c>
      <c r="B2101" s="7" t="s">
        <v>4024</v>
      </c>
      <c r="C2101" s="91">
        <v>45322.402145810185</v>
      </c>
      <c r="D2101" s="8">
        <f t="shared" si="213"/>
        <v>45324</v>
      </c>
      <c r="E2101" s="9" t="s">
        <v>88</v>
      </c>
      <c r="F2101" s="10"/>
      <c r="G2101" s="9" t="s">
        <v>89</v>
      </c>
      <c r="H2101" s="7" t="s">
        <v>4023</v>
      </c>
      <c r="I2101" s="9" t="s">
        <v>353</v>
      </c>
      <c r="J2101" s="88"/>
    </row>
    <row r="2102">
      <c r="A2102" s="34" t="s">
        <v>204</v>
      </c>
      <c r="B2102" s="7" t="s">
        <v>4025</v>
      </c>
      <c r="C2102" s="91">
        <v>45523.64768956018</v>
      </c>
      <c r="D2102" s="8">
        <f t="shared" si="213"/>
        <v>45525</v>
      </c>
      <c r="E2102" s="9" t="s">
        <v>11</v>
      </c>
      <c r="F2102" s="10"/>
      <c r="G2102" s="9" t="s">
        <v>18</v>
      </c>
      <c r="H2102" s="7" t="s">
        <v>437</v>
      </c>
      <c r="I2102" s="9" t="s">
        <v>353</v>
      </c>
      <c r="J2102" s="88"/>
    </row>
    <row r="2103">
      <c r="A2103" s="42" t="s">
        <v>206</v>
      </c>
      <c r="B2103" s="43" t="s">
        <v>4026</v>
      </c>
      <c r="C2103" s="91">
        <v>45520.44167159722</v>
      </c>
      <c r="D2103" s="8"/>
      <c r="E2103" s="9" t="s">
        <v>624</v>
      </c>
      <c r="F2103" s="10"/>
      <c r="G2103" s="9"/>
      <c r="H2103" s="7" t="s">
        <v>4027</v>
      </c>
      <c r="I2103" s="9" t="s">
        <v>353</v>
      </c>
      <c r="J2103" s="88"/>
    </row>
    <row r="2104">
      <c r="A2104" s="6" t="s">
        <v>9</v>
      </c>
      <c r="B2104" s="7" t="s">
        <v>4028</v>
      </c>
      <c r="C2104" s="91">
        <v>45517.69322700231</v>
      </c>
      <c r="D2104" s="8">
        <f>IFERROR(_xlfn.WORKDAY.INTL(C2104, 2),"-")</f>
        <v>45519</v>
      </c>
      <c r="E2104" s="9" t="s">
        <v>11</v>
      </c>
      <c r="F2104" s="10"/>
      <c r="G2104" s="9" t="s">
        <v>15</v>
      </c>
      <c r="H2104" s="7" t="s">
        <v>4029</v>
      </c>
      <c r="I2104" s="9" t="s">
        <v>353</v>
      </c>
      <c r="J2104" s="88"/>
    </row>
    <row r="2105">
      <c r="A2105" s="42" t="s">
        <v>206</v>
      </c>
      <c r="B2105" s="43" t="s">
        <v>4030</v>
      </c>
      <c r="C2105" s="91">
        <v>45495.717082013885</v>
      </c>
      <c r="D2105" s="8"/>
      <c r="E2105" s="9" t="s">
        <v>206</v>
      </c>
      <c r="F2105" s="10"/>
      <c r="G2105" s="9" t="s">
        <v>18</v>
      </c>
      <c r="H2105" s="7" t="s">
        <v>4031</v>
      </c>
      <c r="I2105" s="9" t="s">
        <v>353</v>
      </c>
      <c r="J2105" s="88"/>
    </row>
    <row r="2106">
      <c r="A2106" s="42" t="s">
        <v>206</v>
      </c>
      <c r="B2106" s="43" t="s">
        <v>4032</v>
      </c>
      <c r="C2106" s="91">
        <v>45509.680122025464</v>
      </c>
      <c r="D2106" s="8"/>
      <c r="E2106" s="9" t="s">
        <v>88</v>
      </c>
      <c r="F2106" s="10"/>
      <c r="G2106" s="9" t="s">
        <v>18</v>
      </c>
      <c r="H2106" s="11"/>
      <c r="I2106" s="9" t="s">
        <v>353</v>
      </c>
      <c r="J2106" s="88"/>
    </row>
    <row r="2107">
      <c r="A2107" s="6" t="s">
        <v>9</v>
      </c>
      <c r="B2107" s="7" t="s">
        <v>4033</v>
      </c>
      <c r="C2107" s="91">
        <v>45414.92893384259</v>
      </c>
      <c r="D2107" s="8">
        <f t="shared" ref="D2107:D2113" si="214">IFERROR(_xlfn.WORKDAY.INTL(C2107, 2),"-")</f>
        <v>45418</v>
      </c>
      <c r="E2107" s="9" t="s">
        <v>88</v>
      </c>
      <c r="F2107" s="10"/>
      <c r="G2107" s="9" t="s">
        <v>21</v>
      </c>
      <c r="H2107" s="7" t="s">
        <v>4034</v>
      </c>
      <c r="I2107" s="9" t="s">
        <v>353</v>
      </c>
      <c r="J2107" s="88"/>
    </row>
    <row r="2108">
      <c r="A2108" s="6" t="s">
        <v>9</v>
      </c>
      <c r="B2108" s="7" t="s">
        <v>4035</v>
      </c>
      <c r="C2108" s="91">
        <v>45516.72039996528</v>
      </c>
      <c r="D2108" s="8">
        <f t="shared" si="214"/>
        <v>45518</v>
      </c>
      <c r="E2108" s="9" t="s">
        <v>11</v>
      </c>
      <c r="F2108" s="10"/>
      <c r="G2108" s="9" t="s">
        <v>15</v>
      </c>
      <c r="H2108" s="7" t="s">
        <v>4036</v>
      </c>
      <c r="I2108" s="9" t="s">
        <v>353</v>
      </c>
      <c r="J2108" s="88"/>
    </row>
    <row r="2109">
      <c r="A2109" s="6" t="s">
        <v>9</v>
      </c>
      <c r="B2109" s="7" t="s">
        <v>4037</v>
      </c>
      <c r="C2109" s="91">
        <v>45517.48964170139</v>
      </c>
      <c r="D2109" s="8">
        <f t="shared" si="214"/>
        <v>45519</v>
      </c>
      <c r="E2109" s="9" t="s">
        <v>11</v>
      </c>
      <c r="F2109" s="10"/>
      <c r="G2109" s="9" t="s">
        <v>15</v>
      </c>
      <c r="H2109" s="11"/>
      <c r="I2109" s="9" t="s">
        <v>353</v>
      </c>
      <c r="J2109" s="88"/>
    </row>
    <row r="2110">
      <c r="A2110" s="54" t="s">
        <v>4009</v>
      </c>
      <c r="B2110" s="7" t="s">
        <v>4038</v>
      </c>
      <c r="C2110" s="91">
        <v>45498.45177516204</v>
      </c>
      <c r="D2110" s="8">
        <f t="shared" si="214"/>
        <v>45502</v>
      </c>
      <c r="E2110" s="9" t="s">
        <v>88</v>
      </c>
      <c r="F2110" s="10"/>
      <c r="G2110" s="9" t="s">
        <v>15</v>
      </c>
      <c r="H2110" s="7" t="s">
        <v>4039</v>
      </c>
      <c r="I2110" s="9" t="s">
        <v>353</v>
      </c>
      <c r="J2110" s="88"/>
    </row>
    <row r="2111">
      <c r="A2111" s="54" t="s">
        <v>4009</v>
      </c>
      <c r="B2111" s="7" t="s">
        <v>4040</v>
      </c>
      <c r="C2111" s="91">
        <v>45468.677717708335</v>
      </c>
      <c r="D2111" s="8">
        <f t="shared" si="214"/>
        <v>45470</v>
      </c>
      <c r="E2111" s="9" t="s">
        <v>206</v>
      </c>
      <c r="F2111" s="10"/>
      <c r="G2111" s="9" t="s">
        <v>15</v>
      </c>
      <c r="H2111" s="7" t="s">
        <v>4041</v>
      </c>
      <c r="I2111" s="9" t="s">
        <v>353</v>
      </c>
      <c r="J2111" s="88"/>
    </row>
    <row r="2112">
      <c r="A2112" s="6" t="s">
        <v>9</v>
      </c>
      <c r="B2112" s="7" t="s">
        <v>4042</v>
      </c>
      <c r="C2112" s="91">
        <v>45517.39634384259</v>
      </c>
      <c r="D2112" s="8">
        <f t="shared" si="214"/>
        <v>45519</v>
      </c>
      <c r="E2112" s="9" t="s">
        <v>11</v>
      </c>
      <c r="F2112" s="10"/>
      <c r="G2112" s="9" t="s">
        <v>15</v>
      </c>
      <c r="H2112" s="7" t="s">
        <v>4043</v>
      </c>
      <c r="I2112" s="9" t="s">
        <v>353</v>
      </c>
      <c r="J2112" s="88"/>
    </row>
    <row r="2113">
      <c r="A2113" s="6" t="s">
        <v>9</v>
      </c>
      <c r="B2113" s="7" t="s">
        <v>841</v>
      </c>
      <c r="C2113" s="91">
        <v>45513.38636361111</v>
      </c>
      <c r="D2113" s="8">
        <f t="shared" si="214"/>
        <v>45517</v>
      </c>
      <c r="E2113" s="9" t="s">
        <v>11</v>
      </c>
      <c r="F2113" s="10"/>
      <c r="G2113" s="9" t="s">
        <v>15</v>
      </c>
      <c r="H2113" s="7" t="s">
        <v>4044</v>
      </c>
      <c r="I2113" s="9" t="s">
        <v>353</v>
      </c>
      <c r="J2113" s="88"/>
    </row>
    <row r="2114">
      <c r="A2114" s="42" t="s">
        <v>206</v>
      </c>
      <c r="B2114" s="43" t="s">
        <v>4045</v>
      </c>
      <c r="C2114" s="91">
        <v>45476.72901969907</v>
      </c>
      <c r="D2114" s="8"/>
      <c r="E2114" s="9" t="s">
        <v>216</v>
      </c>
      <c r="F2114" s="10"/>
      <c r="G2114" s="9" t="s">
        <v>15</v>
      </c>
      <c r="H2114" s="7" t="s">
        <v>4046</v>
      </c>
      <c r="I2114" s="9" t="s">
        <v>353</v>
      </c>
      <c r="J2114" s="88"/>
    </row>
    <row r="2115">
      <c r="A2115" s="42" t="s">
        <v>206</v>
      </c>
      <c r="B2115" s="43" t="s">
        <v>4047</v>
      </c>
      <c r="C2115" s="91">
        <v>45516.47308221065</v>
      </c>
      <c r="D2115" s="8"/>
      <c r="E2115" s="9"/>
      <c r="F2115" s="10"/>
      <c r="G2115" s="9" t="s">
        <v>18</v>
      </c>
      <c r="H2115" s="11"/>
      <c r="I2115" s="9" t="s">
        <v>353</v>
      </c>
      <c r="J2115" s="88"/>
    </row>
    <row r="2116">
      <c r="A2116" s="42" t="s">
        <v>206</v>
      </c>
      <c r="B2116" s="43" t="s">
        <v>4048</v>
      </c>
      <c r="C2116" s="91">
        <v>45511.49042097222</v>
      </c>
      <c r="D2116" s="8"/>
      <c r="E2116" s="9"/>
      <c r="F2116" s="10"/>
      <c r="G2116" s="9" t="s">
        <v>18</v>
      </c>
      <c r="H2116" s="11"/>
      <c r="I2116" s="9" t="s">
        <v>353</v>
      </c>
      <c r="J2116" s="88"/>
    </row>
    <row r="2117">
      <c r="A2117" s="6" t="s">
        <v>9</v>
      </c>
      <c r="B2117" s="7" t="s">
        <v>4049</v>
      </c>
      <c r="C2117" s="91">
        <v>45516.50101613426</v>
      </c>
      <c r="D2117" s="8">
        <f t="shared" ref="D2117:D2121" si="215">IFERROR(_xlfn.WORKDAY.INTL(C2117, 2),"-")</f>
        <v>45518</v>
      </c>
      <c r="E2117" s="9" t="s">
        <v>11</v>
      </c>
      <c r="F2117" s="10"/>
      <c r="G2117" s="9" t="s">
        <v>15</v>
      </c>
      <c r="H2117" s="11"/>
      <c r="I2117" s="9" t="s">
        <v>353</v>
      </c>
      <c r="J2117" s="88"/>
    </row>
    <row r="2118">
      <c r="A2118" s="6" t="s">
        <v>9</v>
      </c>
      <c r="B2118" s="7" t="s">
        <v>4050</v>
      </c>
      <c r="C2118" s="91">
        <v>45516.47491425926</v>
      </c>
      <c r="D2118" s="8">
        <f t="shared" si="215"/>
        <v>45518</v>
      </c>
      <c r="E2118" s="9" t="s">
        <v>11</v>
      </c>
      <c r="F2118" s="10"/>
      <c r="G2118" s="9" t="s">
        <v>18</v>
      </c>
      <c r="H2118" s="11"/>
      <c r="I2118" s="9" t="s">
        <v>353</v>
      </c>
      <c r="J2118" s="88"/>
    </row>
    <row r="2119">
      <c r="A2119" s="34" t="s">
        <v>204</v>
      </c>
      <c r="B2119" s="7" t="s">
        <v>4051</v>
      </c>
      <c r="C2119" s="91">
        <v>45394.50598458333</v>
      </c>
      <c r="D2119" s="8">
        <f t="shared" si="215"/>
        <v>45398</v>
      </c>
      <c r="E2119" s="9" t="s">
        <v>11</v>
      </c>
      <c r="F2119" s="9" t="s">
        <v>11</v>
      </c>
      <c r="G2119" s="9" t="s">
        <v>18</v>
      </c>
      <c r="H2119" s="7" t="s">
        <v>437</v>
      </c>
      <c r="I2119" s="9" t="s">
        <v>353</v>
      </c>
      <c r="J2119" s="88"/>
    </row>
    <row r="2120">
      <c r="A2120" s="34" t="s">
        <v>204</v>
      </c>
      <c r="B2120" s="7" t="s">
        <v>4052</v>
      </c>
      <c r="C2120" s="91">
        <v>45468.712116979164</v>
      </c>
      <c r="D2120" s="8">
        <f t="shared" si="215"/>
        <v>45470</v>
      </c>
      <c r="E2120" s="9" t="s">
        <v>11</v>
      </c>
      <c r="F2120" s="10"/>
      <c r="G2120" s="9" t="s">
        <v>18</v>
      </c>
      <c r="H2120" s="7" t="s">
        <v>4053</v>
      </c>
      <c r="I2120" s="9" t="s">
        <v>353</v>
      </c>
      <c r="J2120" s="88"/>
    </row>
    <row r="2121">
      <c r="A2121" s="34" t="s">
        <v>204</v>
      </c>
      <c r="B2121" s="7" t="s">
        <v>4054</v>
      </c>
      <c r="C2121" s="91">
        <v>45513.458735486114</v>
      </c>
      <c r="D2121" s="8">
        <f t="shared" si="215"/>
        <v>45517</v>
      </c>
      <c r="E2121" s="9" t="s">
        <v>11</v>
      </c>
      <c r="F2121" s="10"/>
      <c r="G2121" s="9" t="s">
        <v>18</v>
      </c>
      <c r="H2121" s="7" t="s">
        <v>437</v>
      </c>
      <c r="I2121" s="9" t="s">
        <v>353</v>
      </c>
      <c r="J2121" s="88"/>
    </row>
    <row r="2122">
      <c r="A2122" s="42" t="s">
        <v>206</v>
      </c>
      <c r="B2122" s="43" t="s">
        <v>4055</v>
      </c>
      <c r="C2122" s="91">
        <v>45504.67261436343</v>
      </c>
      <c r="D2122" s="8"/>
      <c r="E2122" s="9"/>
      <c r="F2122" s="10"/>
      <c r="G2122" s="9" t="s">
        <v>15</v>
      </c>
      <c r="H2122" s="7" t="s">
        <v>4056</v>
      </c>
      <c r="I2122" s="9" t="s">
        <v>353</v>
      </c>
      <c r="J2122" s="88"/>
    </row>
    <row r="2123">
      <c r="A2123" s="42" t="s">
        <v>206</v>
      </c>
      <c r="B2123" s="43" t="s">
        <v>4057</v>
      </c>
      <c r="C2123" s="91">
        <v>45491.51632363426</v>
      </c>
      <c r="D2123" s="8"/>
      <c r="E2123" s="9"/>
      <c r="F2123" s="10"/>
      <c r="G2123" s="9" t="s">
        <v>15</v>
      </c>
      <c r="H2123" s="7" t="s">
        <v>4058</v>
      </c>
      <c r="I2123" s="9" t="s">
        <v>353</v>
      </c>
      <c r="J2123" s="88"/>
    </row>
    <row r="2124">
      <c r="A2124" s="34" t="s">
        <v>204</v>
      </c>
      <c r="B2124" s="7" t="s">
        <v>4059</v>
      </c>
      <c r="C2124" s="91">
        <v>45513.41598872685</v>
      </c>
      <c r="D2124" s="8">
        <f t="shared" ref="D2124:D2161" si="216">IFERROR(_xlfn.WORKDAY.INTL(C2124, 2),"-")</f>
        <v>45517</v>
      </c>
      <c r="E2124" s="9" t="s">
        <v>11</v>
      </c>
      <c r="F2124" s="10"/>
      <c r="G2124" s="9" t="s">
        <v>18</v>
      </c>
      <c r="H2124" s="7" t="s">
        <v>437</v>
      </c>
      <c r="I2124" s="9" t="s">
        <v>353</v>
      </c>
      <c r="J2124" s="88"/>
    </row>
    <row r="2125">
      <c r="A2125" s="6" t="s">
        <v>9</v>
      </c>
      <c r="B2125" s="7" t="s">
        <v>4060</v>
      </c>
      <c r="C2125" s="91">
        <v>45510.66427417824</v>
      </c>
      <c r="D2125" s="8">
        <f t="shared" si="216"/>
        <v>45512</v>
      </c>
      <c r="E2125" s="9" t="s">
        <v>11</v>
      </c>
      <c r="F2125" s="10"/>
      <c r="G2125" s="9" t="s">
        <v>15</v>
      </c>
      <c r="H2125" s="7" t="s">
        <v>4061</v>
      </c>
      <c r="I2125" s="9" t="s">
        <v>353</v>
      </c>
      <c r="J2125" s="88"/>
    </row>
    <row r="2126">
      <c r="A2126" s="6" t="s">
        <v>9</v>
      </c>
      <c r="B2126" s="7" t="s">
        <v>4062</v>
      </c>
      <c r="C2126" s="91">
        <v>45513.39063299769</v>
      </c>
      <c r="D2126" s="8">
        <f t="shared" si="216"/>
        <v>45517</v>
      </c>
      <c r="E2126" s="9" t="s">
        <v>11</v>
      </c>
      <c r="F2126" s="10"/>
      <c r="G2126" s="9" t="s">
        <v>15</v>
      </c>
      <c r="H2126" s="7" t="s">
        <v>4063</v>
      </c>
      <c r="I2126" s="9" t="s">
        <v>353</v>
      </c>
      <c r="J2126" s="88"/>
    </row>
    <row r="2127">
      <c r="A2127" s="34" t="s">
        <v>204</v>
      </c>
      <c r="B2127" s="7" t="s">
        <v>4064</v>
      </c>
      <c r="C2127" s="91">
        <v>45512.69851947916</v>
      </c>
      <c r="D2127" s="8">
        <f t="shared" si="216"/>
        <v>45516</v>
      </c>
      <c r="E2127" s="9" t="s">
        <v>11</v>
      </c>
      <c r="F2127" s="10"/>
      <c r="G2127" s="9" t="s">
        <v>18</v>
      </c>
      <c r="H2127" s="7" t="s">
        <v>437</v>
      </c>
      <c r="I2127" s="9" t="s">
        <v>353</v>
      </c>
      <c r="J2127" s="88"/>
    </row>
    <row r="2128">
      <c r="A2128" s="34" t="s">
        <v>204</v>
      </c>
      <c r="B2128" s="7" t="s">
        <v>3983</v>
      </c>
      <c r="C2128" s="91">
        <v>45512.64230947917</v>
      </c>
      <c r="D2128" s="8">
        <f t="shared" si="216"/>
        <v>45516</v>
      </c>
      <c r="E2128" s="9" t="s">
        <v>11</v>
      </c>
      <c r="F2128" s="10"/>
      <c r="G2128" s="9" t="s">
        <v>18</v>
      </c>
      <c r="H2128" s="7" t="s">
        <v>437</v>
      </c>
      <c r="I2128" s="9" t="s">
        <v>353</v>
      </c>
      <c r="J2128" s="88"/>
    </row>
    <row r="2129">
      <c r="A2129" s="34" t="s">
        <v>204</v>
      </c>
      <c r="B2129" s="7" t="s">
        <v>4065</v>
      </c>
      <c r="C2129" s="91">
        <v>45512.52453776621</v>
      </c>
      <c r="D2129" s="8">
        <f t="shared" si="216"/>
        <v>45516</v>
      </c>
      <c r="E2129" s="9" t="s">
        <v>11</v>
      </c>
      <c r="F2129" s="10"/>
      <c r="G2129" s="9" t="s">
        <v>18</v>
      </c>
      <c r="H2129" s="7" t="s">
        <v>437</v>
      </c>
      <c r="I2129" s="9" t="s">
        <v>353</v>
      </c>
      <c r="J2129" s="88"/>
    </row>
    <row r="2130">
      <c r="A2130" s="34" t="s">
        <v>204</v>
      </c>
      <c r="B2130" s="7" t="s">
        <v>4066</v>
      </c>
      <c r="C2130" s="91">
        <v>45511.70092094908</v>
      </c>
      <c r="D2130" s="8">
        <f t="shared" si="216"/>
        <v>45513</v>
      </c>
      <c r="E2130" s="9" t="s">
        <v>11</v>
      </c>
      <c r="F2130" s="10"/>
      <c r="G2130" s="9" t="s">
        <v>18</v>
      </c>
      <c r="H2130" s="7" t="s">
        <v>437</v>
      </c>
      <c r="I2130" s="9" t="s">
        <v>353</v>
      </c>
      <c r="J2130" s="88"/>
    </row>
    <row r="2131">
      <c r="A2131" s="6" t="s">
        <v>9</v>
      </c>
      <c r="B2131" s="7" t="s">
        <v>4067</v>
      </c>
      <c r="C2131" s="91">
        <v>45511.65809734954</v>
      </c>
      <c r="D2131" s="8">
        <f t="shared" si="216"/>
        <v>45513</v>
      </c>
      <c r="E2131" s="9" t="s">
        <v>11</v>
      </c>
      <c r="F2131" s="10"/>
      <c r="G2131" s="9" t="s">
        <v>15</v>
      </c>
      <c r="H2131" s="7" t="s">
        <v>4068</v>
      </c>
      <c r="I2131" s="9" t="s">
        <v>353</v>
      </c>
      <c r="J2131" s="88"/>
    </row>
    <row r="2132">
      <c r="A2132" s="34" t="s">
        <v>204</v>
      </c>
      <c r="B2132" s="7" t="s">
        <v>4069</v>
      </c>
      <c r="C2132" s="91">
        <v>45511.53112451389</v>
      </c>
      <c r="D2132" s="8">
        <f t="shared" si="216"/>
        <v>45513</v>
      </c>
      <c r="E2132" s="9" t="s">
        <v>11</v>
      </c>
      <c r="F2132" s="10"/>
      <c r="G2132" s="9" t="s">
        <v>18</v>
      </c>
      <c r="H2132" s="7" t="s">
        <v>437</v>
      </c>
      <c r="I2132" s="9" t="s">
        <v>353</v>
      </c>
      <c r="J2132" s="88"/>
    </row>
    <row r="2133">
      <c r="A2133" s="6" t="s">
        <v>9</v>
      </c>
      <c r="B2133" s="7" t="s">
        <v>3094</v>
      </c>
      <c r="C2133" s="91">
        <v>45511.39541967593</v>
      </c>
      <c r="D2133" s="8">
        <f t="shared" si="216"/>
        <v>45513</v>
      </c>
      <c r="E2133" s="9" t="s">
        <v>11</v>
      </c>
      <c r="F2133" s="10"/>
      <c r="G2133" s="9" t="s">
        <v>15</v>
      </c>
      <c r="H2133" s="7" t="s">
        <v>4070</v>
      </c>
      <c r="I2133" s="9" t="s">
        <v>353</v>
      </c>
      <c r="J2133" s="88"/>
    </row>
    <row r="2134">
      <c r="A2134" s="34" t="s">
        <v>204</v>
      </c>
      <c r="B2134" s="7" t="s">
        <v>4071</v>
      </c>
      <c r="C2134" s="91">
        <v>45510.76884070602</v>
      </c>
      <c r="D2134" s="8">
        <f t="shared" si="216"/>
        <v>45512</v>
      </c>
      <c r="E2134" s="9" t="s">
        <v>11</v>
      </c>
      <c r="F2134" s="10"/>
      <c r="G2134" s="9" t="s">
        <v>18</v>
      </c>
      <c r="H2134" s="7" t="s">
        <v>437</v>
      </c>
      <c r="I2134" s="9" t="s">
        <v>353</v>
      </c>
      <c r="J2134" s="88"/>
    </row>
    <row r="2135">
      <c r="A2135" s="6" t="s">
        <v>9</v>
      </c>
      <c r="B2135" s="7" t="s">
        <v>4072</v>
      </c>
      <c r="C2135" s="91">
        <v>45509.50811297454</v>
      </c>
      <c r="D2135" s="8">
        <f t="shared" si="216"/>
        <v>45511</v>
      </c>
      <c r="E2135" s="9" t="s">
        <v>11</v>
      </c>
      <c r="F2135" s="10"/>
      <c r="G2135" s="9" t="s">
        <v>15</v>
      </c>
      <c r="H2135" s="7" t="s">
        <v>4073</v>
      </c>
      <c r="I2135" s="9" t="s">
        <v>353</v>
      </c>
      <c r="J2135" s="88"/>
    </row>
    <row r="2136">
      <c r="A2136" s="34" t="s">
        <v>204</v>
      </c>
      <c r="B2136" s="7" t="s">
        <v>4074</v>
      </c>
      <c r="C2136" s="91">
        <v>45510.500083900464</v>
      </c>
      <c r="D2136" s="8">
        <f t="shared" si="216"/>
        <v>45512</v>
      </c>
      <c r="E2136" s="9" t="s">
        <v>11</v>
      </c>
      <c r="F2136" s="10"/>
      <c r="G2136" s="9" t="s">
        <v>18</v>
      </c>
      <c r="H2136" s="7" t="s">
        <v>437</v>
      </c>
      <c r="I2136" s="9" t="s">
        <v>353</v>
      </c>
      <c r="J2136" s="88"/>
    </row>
    <row r="2137">
      <c r="A2137" s="34" t="s">
        <v>204</v>
      </c>
      <c r="B2137" s="7" t="s">
        <v>4075</v>
      </c>
      <c r="C2137" s="91">
        <v>45450.49611649306</v>
      </c>
      <c r="D2137" s="8">
        <f t="shared" si="216"/>
        <v>45454</v>
      </c>
      <c r="E2137" s="9" t="s">
        <v>11</v>
      </c>
      <c r="F2137" s="10"/>
      <c r="G2137" s="9" t="s">
        <v>18</v>
      </c>
      <c r="H2137" s="7" t="s">
        <v>437</v>
      </c>
      <c r="I2137" s="9" t="s">
        <v>353</v>
      </c>
      <c r="J2137" s="88"/>
    </row>
    <row r="2138">
      <c r="A2138" s="6" t="s">
        <v>9</v>
      </c>
      <c r="B2138" s="7" t="s">
        <v>4076</v>
      </c>
      <c r="C2138" s="91">
        <v>45504.463738032406</v>
      </c>
      <c r="D2138" s="8">
        <f t="shared" si="216"/>
        <v>45506</v>
      </c>
      <c r="E2138" s="9" t="s">
        <v>11</v>
      </c>
      <c r="F2138" s="10"/>
      <c r="G2138" s="9" t="s">
        <v>18</v>
      </c>
      <c r="H2138" s="7" t="s">
        <v>4077</v>
      </c>
      <c r="I2138" s="9" t="s">
        <v>353</v>
      </c>
      <c r="J2138" s="88"/>
    </row>
    <row r="2139">
      <c r="A2139" s="6" t="s">
        <v>9</v>
      </c>
      <c r="B2139" s="7" t="s">
        <v>4076</v>
      </c>
      <c r="C2139" s="91">
        <v>45509.37477458333</v>
      </c>
      <c r="D2139" s="8">
        <f t="shared" si="216"/>
        <v>45511</v>
      </c>
      <c r="E2139" s="9" t="s">
        <v>11</v>
      </c>
      <c r="F2139" s="10"/>
      <c r="G2139" s="9" t="s">
        <v>18</v>
      </c>
      <c r="H2139" s="7" t="s">
        <v>4078</v>
      </c>
      <c r="I2139" s="9" t="s">
        <v>353</v>
      </c>
      <c r="J2139" s="88"/>
    </row>
    <row r="2140">
      <c r="A2140" s="20" t="s">
        <v>98</v>
      </c>
      <c r="B2140" s="9" t="s">
        <v>4079</v>
      </c>
      <c r="C2140" s="91">
        <v>45478.41879730324</v>
      </c>
      <c r="D2140" s="8">
        <f t="shared" si="216"/>
        <v>45482</v>
      </c>
      <c r="E2140" s="9" t="s">
        <v>11</v>
      </c>
      <c r="F2140" s="10"/>
      <c r="G2140" s="9" t="s">
        <v>18</v>
      </c>
      <c r="H2140" s="7" t="s">
        <v>4080</v>
      </c>
      <c r="I2140" s="9" t="s">
        <v>353</v>
      </c>
      <c r="J2140" s="88"/>
    </row>
    <row r="2141">
      <c r="A2141" s="20" t="s">
        <v>98</v>
      </c>
      <c r="B2141" s="9" t="s">
        <v>4081</v>
      </c>
      <c r="C2141" s="91">
        <v>45427.530606712964</v>
      </c>
      <c r="D2141" s="8">
        <f t="shared" si="216"/>
        <v>45429</v>
      </c>
      <c r="E2141" s="9" t="s">
        <v>206</v>
      </c>
      <c r="F2141" s="10"/>
      <c r="G2141" s="9" t="s">
        <v>18</v>
      </c>
      <c r="H2141" s="23" t="s">
        <v>4082</v>
      </c>
      <c r="I2141" s="9" t="s">
        <v>353</v>
      </c>
      <c r="J2141" s="88"/>
    </row>
    <row r="2142">
      <c r="A2142" s="20" t="s">
        <v>98</v>
      </c>
      <c r="B2142" s="9" t="s">
        <v>4083</v>
      </c>
      <c r="C2142" s="91">
        <v>45462.606233506944</v>
      </c>
      <c r="D2142" s="8">
        <f t="shared" si="216"/>
        <v>45464</v>
      </c>
      <c r="E2142" s="9" t="s">
        <v>11</v>
      </c>
      <c r="F2142" s="10"/>
      <c r="G2142" s="9" t="s">
        <v>18</v>
      </c>
      <c r="H2142" s="23" t="s">
        <v>4084</v>
      </c>
      <c r="I2142" s="9" t="s">
        <v>353</v>
      </c>
      <c r="J2142" s="88"/>
    </row>
    <row r="2143">
      <c r="A2143" s="34" t="s">
        <v>204</v>
      </c>
      <c r="B2143" s="7" t="s">
        <v>4085</v>
      </c>
      <c r="C2143" s="91">
        <v>45505.78622589121</v>
      </c>
      <c r="D2143" s="8">
        <f t="shared" si="216"/>
        <v>45509</v>
      </c>
      <c r="E2143" s="9" t="s">
        <v>11</v>
      </c>
      <c r="F2143" s="10"/>
      <c r="G2143" s="9" t="s">
        <v>18</v>
      </c>
      <c r="H2143" s="7" t="s">
        <v>437</v>
      </c>
      <c r="I2143" s="9" t="s">
        <v>353</v>
      </c>
      <c r="J2143" s="88"/>
    </row>
    <row r="2144">
      <c r="A2144" s="20" t="s">
        <v>98</v>
      </c>
      <c r="B2144" s="9" t="s">
        <v>4086</v>
      </c>
      <c r="C2144" s="91">
        <v>45446.68521443287</v>
      </c>
      <c r="D2144" s="8">
        <f t="shared" si="216"/>
        <v>45448</v>
      </c>
      <c r="E2144" s="9" t="s">
        <v>11</v>
      </c>
      <c r="F2144" s="10"/>
      <c r="G2144" s="9" t="s">
        <v>15</v>
      </c>
      <c r="H2144" s="7" t="s">
        <v>4087</v>
      </c>
      <c r="I2144" s="9" t="s">
        <v>353</v>
      </c>
      <c r="J2144" s="88"/>
    </row>
    <row r="2145">
      <c r="A2145" s="20" t="s">
        <v>98</v>
      </c>
      <c r="B2145" s="9" t="s">
        <v>4088</v>
      </c>
      <c r="C2145" s="91">
        <v>45490.43961450232</v>
      </c>
      <c r="D2145" s="8">
        <f t="shared" si="216"/>
        <v>45492</v>
      </c>
      <c r="E2145" s="9" t="s">
        <v>206</v>
      </c>
      <c r="F2145" s="10"/>
      <c r="G2145" s="9" t="s">
        <v>15</v>
      </c>
      <c r="H2145" s="23" t="s">
        <v>4089</v>
      </c>
      <c r="I2145" s="9" t="s">
        <v>353</v>
      </c>
      <c r="J2145" s="88"/>
    </row>
    <row r="2146">
      <c r="A2146" s="20" t="s">
        <v>98</v>
      </c>
      <c r="B2146" s="9" t="s">
        <v>4090</v>
      </c>
      <c r="C2146" s="91">
        <v>45461.60724537037</v>
      </c>
      <c r="D2146" s="8">
        <f t="shared" si="216"/>
        <v>45463</v>
      </c>
      <c r="E2146" s="9" t="s">
        <v>206</v>
      </c>
      <c r="F2146" s="10"/>
      <c r="G2146" s="9" t="s">
        <v>15</v>
      </c>
      <c r="H2146" s="7" t="s">
        <v>4091</v>
      </c>
      <c r="I2146" s="9" t="s">
        <v>353</v>
      </c>
      <c r="J2146" s="88"/>
    </row>
    <row r="2147">
      <c r="A2147" s="20" t="s">
        <v>98</v>
      </c>
      <c r="B2147" s="9" t="s">
        <v>4092</v>
      </c>
      <c r="C2147" s="91">
        <v>45334.71419056713</v>
      </c>
      <c r="D2147" s="8">
        <f t="shared" si="216"/>
        <v>45336</v>
      </c>
      <c r="E2147" s="9" t="s">
        <v>206</v>
      </c>
      <c r="F2147" s="10"/>
      <c r="G2147" s="9" t="s">
        <v>15</v>
      </c>
      <c r="H2147" s="7" t="s">
        <v>4093</v>
      </c>
      <c r="I2147" s="9" t="s">
        <v>353</v>
      </c>
      <c r="J2147" s="88"/>
    </row>
    <row r="2148">
      <c r="A2148" s="6" t="s">
        <v>9</v>
      </c>
      <c r="B2148" s="7" t="s">
        <v>4094</v>
      </c>
      <c r="C2148" s="91">
        <v>45503.65115160879</v>
      </c>
      <c r="D2148" s="8">
        <f t="shared" si="216"/>
        <v>45505</v>
      </c>
      <c r="E2148" s="9" t="s">
        <v>11</v>
      </c>
      <c r="F2148" s="10"/>
      <c r="G2148" s="9" t="s">
        <v>15</v>
      </c>
      <c r="H2148" s="7" t="s">
        <v>4095</v>
      </c>
      <c r="I2148" s="9" t="s">
        <v>353</v>
      </c>
      <c r="J2148" s="88"/>
    </row>
    <row r="2149">
      <c r="A2149" s="20" t="s">
        <v>98</v>
      </c>
      <c r="B2149" s="9" t="s">
        <v>4096</v>
      </c>
      <c r="C2149" s="91">
        <v>45475.71780665509</v>
      </c>
      <c r="D2149" s="8">
        <f t="shared" si="216"/>
        <v>45477</v>
      </c>
      <c r="E2149" s="9" t="s">
        <v>11</v>
      </c>
      <c r="F2149" s="10"/>
      <c r="G2149" s="9" t="s">
        <v>18</v>
      </c>
      <c r="H2149" s="23" t="s">
        <v>4097</v>
      </c>
      <c r="I2149" s="9" t="s">
        <v>353</v>
      </c>
      <c r="J2149" s="88"/>
    </row>
    <row r="2150">
      <c r="A2150" s="20" t="s">
        <v>98</v>
      </c>
      <c r="B2150" s="9" t="s">
        <v>4098</v>
      </c>
      <c r="C2150" s="91">
        <v>45474.48217405092</v>
      </c>
      <c r="D2150" s="8">
        <f t="shared" si="216"/>
        <v>45476</v>
      </c>
      <c r="E2150" s="9" t="s">
        <v>88</v>
      </c>
      <c r="F2150" s="10"/>
      <c r="G2150" s="9" t="s">
        <v>15</v>
      </c>
      <c r="H2150" s="7" t="s">
        <v>4099</v>
      </c>
      <c r="I2150" s="9" t="s">
        <v>353</v>
      </c>
      <c r="J2150" s="88"/>
    </row>
    <row r="2151">
      <c r="A2151" s="34" t="s">
        <v>204</v>
      </c>
      <c r="B2151" s="7" t="s">
        <v>4100</v>
      </c>
      <c r="C2151" s="91">
        <v>45503.633522627315</v>
      </c>
      <c r="D2151" s="8">
        <f t="shared" si="216"/>
        <v>45505</v>
      </c>
      <c r="E2151" s="9" t="s">
        <v>11</v>
      </c>
      <c r="F2151" s="10"/>
      <c r="G2151" s="9" t="s">
        <v>18</v>
      </c>
      <c r="H2151" s="7" t="s">
        <v>437</v>
      </c>
      <c r="I2151" s="9" t="s">
        <v>353</v>
      </c>
      <c r="J2151" s="88"/>
    </row>
    <row r="2152">
      <c r="A2152" s="6" t="s">
        <v>9</v>
      </c>
      <c r="B2152" s="7" t="s">
        <v>4101</v>
      </c>
      <c r="C2152" s="91">
        <v>45503.48075854167</v>
      </c>
      <c r="D2152" s="8">
        <f t="shared" si="216"/>
        <v>45505</v>
      </c>
      <c r="E2152" s="9" t="s">
        <v>11</v>
      </c>
      <c r="F2152" s="10"/>
      <c r="G2152" s="9" t="s">
        <v>15</v>
      </c>
      <c r="H2152" s="7" t="s">
        <v>4102</v>
      </c>
      <c r="I2152" s="9" t="s">
        <v>353</v>
      </c>
      <c r="J2152" s="88"/>
    </row>
    <row r="2153">
      <c r="A2153" s="34" t="s">
        <v>204</v>
      </c>
      <c r="B2153" s="7" t="s">
        <v>4103</v>
      </c>
      <c r="C2153" s="91">
        <v>45503.46012846065</v>
      </c>
      <c r="D2153" s="8">
        <f t="shared" si="216"/>
        <v>45505</v>
      </c>
      <c r="E2153" s="9" t="s">
        <v>11</v>
      </c>
      <c r="F2153" s="10"/>
      <c r="G2153" s="9" t="s">
        <v>18</v>
      </c>
      <c r="H2153" s="7" t="s">
        <v>437</v>
      </c>
      <c r="I2153" s="9" t="s">
        <v>353</v>
      </c>
      <c r="J2153" s="88"/>
    </row>
    <row r="2154">
      <c r="A2154" s="34" t="s">
        <v>204</v>
      </c>
      <c r="B2154" s="7" t="s">
        <v>4104</v>
      </c>
      <c r="C2154" s="91" t="s">
        <v>11</v>
      </c>
      <c r="D2154" s="8" t="str">
        <f t="shared" si="216"/>
        <v>-</v>
      </c>
      <c r="E2154" s="9" t="s">
        <v>11</v>
      </c>
      <c r="F2154" s="10"/>
      <c r="G2154" s="9" t="s">
        <v>18</v>
      </c>
      <c r="H2154" s="7" t="s">
        <v>437</v>
      </c>
      <c r="I2154" s="9" t="s">
        <v>353</v>
      </c>
      <c r="J2154" s="88"/>
    </row>
    <row r="2155">
      <c r="A2155" s="34" t="s">
        <v>204</v>
      </c>
      <c r="B2155" s="7" t="s">
        <v>4105</v>
      </c>
      <c r="C2155" s="91">
        <v>45503.39403271991</v>
      </c>
      <c r="D2155" s="8">
        <f t="shared" si="216"/>
        <v>45505</v>
      </c>
      <c r="E2155" s="9" t="s">
        <v>11</v>
      </c>
      <c r="F2155" s="10"/>
      <c r="G2155" s="9" t="s">
        <v>18</v>
      </c>
      <c r="H2155" s="7" t="s">
        <v>437</v>
      </c>
      <c r="I2155" s="9" t="s">
        <v>353</v>
      </c>
      <c r="J2155" s="88"/>
    </row>
    <row r="2156">
      <c r="A2156" s="20" t="s">
        <v>98</v>
      </c>
      <c r="B2156" s="9" t="s">
        <v>4106</v>
      </c>
      <c r="C2156" s="91">
        <v>45499.494850902774</v>
      </c>
      <c r="D2156" s="8">
        <f t="shared" si="216"/>
        <v>45503</v>
      </c>
      <c r="E2156" s="9" t="s">
        <v>206</v>
      </c>
      <c r="F2156" s="10"/>
      <c r="G2156" s="9" t="s">
        <v>18</v>
      </c>
      <c r="H2156" s="7" t="s">
        <v>4107</v>
      </c>
      <c r="I2156" s="9" t="s">
        <v>353</v>
      </c>
      <c r="J2156" s="88"/>
    </row>
    <row r="2157">
      <c r="A2157" s="6" t="s">
        <v>9</v>
      </c>
      <c r="B2157" s="7" t="s">
        <v>4108</v>
      </c>
      <c r="C2157" s="91">
        <v>45322.40148490741</v>
      </c>
      <c r="D2157" s="8">
        <f t="shared" si="216"/>
        <v>45324</v>
      </c>
      <c r="E2157" s="9" t="s">
        <v>88</v>
      </c>
      <c r="F2157" s="10"/>
      <c r="G2157" s="9" t="s">
        <v>18</v>
      </c>
      <c r="H2157" s="7" t="s">
        <v>4109</v>
      </c>
      <c r="I2157" s="9" t="s">
        <v>353</v>
      </c>
      <c r="J2157" s="88"/>
    </row>
    <row r="2158">
      <c r="A2158" s="20" t="s">
        <v>98</v>
      </c>
      <c r="B2158" s="9" t="s">
        <v>4110</v>
      </c>
      <c r="C2158" s="91">
        <v>45499.48855621528</v>
      </c>
      <c r="D2158" s="8">
        <f t="shared" si="216"/>
        <v>45503</v>
      </c>
      <c r="E2158" s="9" t="s">
        <v>88</v>
      </c>
      <c r="F2158" s="10"/>
      <c r="G2158" s="9" t="s">
        <v>15</v>
      </c>
      <c r="H2158" s="7" t="s">
        <v>1476</v>
      </c>
      <c r="I2158" s="9" t="s">
        <v>353</v>
      </c>
      <c r="J2158" s="88"/>
    </row>
    <row r="2159">
      <c r="A2159" s="6" t="s">
        <v>9</v>
      </c>
      <c r="B2159" s="7" t="s">
        <v>4111</v>
      </c>
      <c r="C2159" s="91">
        <v>45352.476194953706</v>
      </c>
      <c r="D2159" s="8">
        <f t="shared" si="216"/>
        <v>45356</v>
      </c>
      <c r="E2159" s="9" t="s">
        <v>88</v>
      </c>
      <c r="F2159" s="10"/>
      <c r="G2159" s="9" t="s">
        <v>18</v>
      </c>
      <c r="H2159" s="7" t="s">
        <v>4112</v>
      </c>
      <c r="I2159" s="9" t="s">
        <v>353</v>
      </c>
      <c r="J2159" s="88"/>
    </row>
    <row r="2160">
      <c r="A2160" s="54" t="s">
        <v>4009</v>
      </c>
      <c r="B2160" s="7" t="s">
        <v>4113</v>
      </c>
      <c r="C2160" s="91">
        <v>45497.602219884255</v>
      </c>
      <c r="D2160" s="8">
        <f t="shared" si="216"/>
        <v>45499</v>
      </c>
      <c r="E2160" s="9" t="s">
        <v>94</v>
      </c>
      <c r="F2160" s="10"/>
      <c r="G2160" s="9" t="s">
        <v>15</v>
      </c>
      <c r="H2160" s="7" t="s">
        <v>4114</v>
      </c>
      <c r="I2160" s="9" t="s">
        <v>353</v>
      </c>
      <c r="J2160" s="88"/>
    </row>
    <row r="2161">
      <c r="A2161" s="20" t="s">
        <v>98</v>
      </c>
      <c r="B2161" s="9" t="s">
        <v>4115</v>
      </c>
      <c r="C2161" s="91">
        <v>45474.73128461806</v>
      </c>
      <c r="D2161" s="8">
        <f t="shared" si="216"/>
        <v>45476</v>
      </c>
      <c r="E2161" s="9" t="s">
        <v>88</v>
      </c>
      <c r="F2161" s="10"/>
      <c r="G2161" s="9" t="s">
        <v>15</v>
      </c>
      <c r="H2161" s="7" t="s">
        <v>4116</v>
      </c>
      <c r="I2161" s="9" t="s">
        <v>353</v>
      </c>
      <c r="J2161" s="88"/>
    </row>
    <row r="2162">
      <c r="A2162" s="20" t="s">
        <v>98</v>
      </c>
      <c r="B2162" s="9" t="s">
        <v>4117</v>
      </c>
      <c r="C2162" s="91">
        <v>45337.47935869213</v>
      </c>
      <c r="D2162" s="8">
        <v>45341.0</v>
      </c>
      <c r="E2162" s="9" t="s">
        <v>88</v>
      </c>
      <c r="F2162" s="10"/>
      <c r="G2162" s="9" t="s">
        <v>18</v>
      </c>
      <c r="H2162" s="7" t="s">
        <v>4118</v>
      </c>
      <c r="I2162" s="9" t="s">
        <v>353</v>
      </c>
      <c r="J2162" s="88"/>
    </row>
    <row r="2163">
      <c r="A2163" s="42" t="s">
        <v>206</v>
      </c>
      <c r="B2163" s="157" t="s">
        <v>3715</v>
      </c>
      <c r="C2163" s="91">
        <v>45481.67450284722</v>
      </c>
      <c r="D2163" s="8"/>
      <c r="E2163" s="9" t="s">
        <v>206</v>
      </c>
      <c r="F2163" s="10"/>
      <c r="G2163" s="9" t="s">
        <v>18</v>
      </c>
      <c r="H2163" s="7" t="s">
        <v>4119</v>
      </c>
      <c r="I2163" s="9" t="s">
        <v>353</v>
      </c>
      <c r="J2163" s="88"/>
    </row>
    <row r="2164">
      <c r="A2164" s="20" t="s">
        <v>98</v>
      </c>
      <c r="B2164" s="167" t="s">
        <v>4120</v>
      </c>
      <c r="C2164" s="91">
        <v>45498.491094375</v>
      </c>
      <c r="D2164" s="8">
        <f t="shared" ref="D2164:D2165" si="217">IFERROR(_xlfn.WORKDAY.INTL(C2164, 2),"-")</f>
        <v>45502</v>
      </c>
      <c r="E2164" s="9" t="s">
        <v>206</v>
      </c>
      <c r="F2164" s="10"/>
      <c r="G2164" s="9" t="s">
        <v>18</v>
      </c>
      <c r="H2164" s="7" t="s">
        <v>4121</v>
      </c>
      <c r="I2164" s="9" t="s">
        <v>353</v>
      </c>
      <c r="J2164" s="88"/>
    </row>
    <row r="2165">
      <c r="A2165" s="54" t="s">
        <v>4009</v>
      </c>
      <c r="B2165" s="7" t="s">
        <v>4122</v>
      </c>
      <c r="C2165" s="91">
        <v>45497.60158133102</v>
      </c>
      <c r="D2165" s="8">
        <f t="shared" si="217"/>
        <v>45499</v>
      </c>
      <c r="E2165" s="9" t="s">
        <v>88</v>
      </c>
      <c r="F2165" s="10"/>
      <c r="G2165" s="9" t="s">
        <v>15</v>
      </c>
      <c r="H2165" s="7" t="s">
        <v>4123</v>
      </c>
      <c r="I2165" s="9" t="s">
        <v>13</v>
      </c>
      <c r="J2165" s="88"/>
    </row>
    <row r="2166">
      <c r="A2166" s="88"/>
      <c r="B2166" s="89"/>
      <c r="C2166" s="90"/>
      <c r="D2166" s="89"/>
      <c r="E2166" s="89"/>
      <c r="F2166" s="89"/>
      <c r="G2166" s="89"/>
      <c r="H2166" s="87"/>
      <c r="I2166" s="89"/>
      <c r="J2166" s="88"/>
    </row>
    <row r="2167">
      <c r="A2167" s="20" t="s">
        <v>98</v>
      </c>
      <c r="B2167" s="9" t="s">
        <v>4124</v>
      </c>
      <c r="C2167" s="91">
        <v>45498.416928252314</v>
      </c>
      <c r="D2167" s="8">
        <f t="shared" ref="D2167:D2168" si="218">IFERROR(_xlfn.WORKDAY.INTL(C2167, 2),"-")</f>
        <v>45502</v>
      </c>
      <c r="E2167" s="9" t="s">
        <v>88</v>
      </c>
      <c r="F2167" s="10"/>
      <c r="G2167" s="9" t="s">
        <v>18</v>
      </c>
      <c r="H2167" s="7" t="s">
        <v>4121</v>
      </c>
      <c r="I2167" s="9" t="s">
        <v>353</v>
      </c>
      <c r="J2167" s="88"/>
    </row>
    <row r="2168">
      <c r="A2168" s="20" t="s">
        <v>98</v>
      </c>
      <c r="B2168" s="9" t="s">
        <v>4125</v>
      </c>
      <c r="C2168" s="91">
        <v>45308.47594128472</v>
      </c>
      <c r="D2168" s="8">
        <f t="shared" si="218"/>
        <v>45310</v>
      </c>
      <c r="E2168" s="9" t="s">
        <v>88</v>
      </c>
      <c r="F2168" s="10"/>
      <c r="G2168" s="9" t="s">
        <v>21</v>
      </c>
      <c r="H2168" s="7" t="s">
        <v>4126</v>
      </c>
      <c r="I2168" s="9" t="s">
        <v>353</v>
      </c>
      <c r="J2168" s="88"/>
    </row>
    <row r="2169">
      <c r="A2169" s="54"/>
      <c r="B2169" s="7" t="s">
        <v>4127</v>
      </c>
      <c r="C2169" s="91">
        <v>45497.599026157404</v>
      </c>
      <c r="D2169" s="8"/>
      <c r="E2169" s="9" t="s">
        <v>88</v>
      </c>
      <c r="F2169" s="10"/>
      <c r="G2169" s="9" t="s">
        <v>15</v>
      </c>
      <c r="H2169" s="7" t="s">
        <v>4123</v>
      </c>
      <c r="I2169" s="9" t="s">
        <v>353</v>
      </c>
      <c r="J2169" s="88"/>
    </row>
    <row r="2170">
      <c r="A2170" s="54"/>
      <c r="B2170" s="7" t="s">
        <v>4128</v>
      </c>
      <c r="C2170" s="91">
        <v>45497.59915894676</v>
      </c>
      <c r="D2170" s="8"/>
      <c r="E2170" s="9" t="s">
        <v>88</v>
      </c>
      <c r="F2170" s="10"/>
      <c r="G2170" s="9" t="s">
        <v>15</v>
      </c>
      <c r="H2170" s="7" t="s">
        <v>4123</v>
      </c>
      <c r="I2170" s="9" t="s">
        <v>353</v>
      </c>
      <c r="J2170" s="88"/>
    </row>
    <row r="2171">
      <c r="A2171" s="42" t="s">
        <v>206</v>
      </c>
      <c r="B2171" s="43" t="s">
        <v>4129</v>
      </c>
      <c r="C2171" s="91">
        <v>45491.51657298611</v>
      </c>
      <c r="D2171" s="8"/>
      <c r="E2171" s="9" t="s">
        <v>94</v>
      </c>
      <c r="F2171" s="10"/>
      <c r="G2171" s="9" t="s">
        <v>18</v>
      </c>
      <c r="H2171" s="7" t="s">
        <v>4130</v>
      </c>
      <c r="I2171" s="9" t="s">
        <v>353</v>
      </c>
      <c r="J2171" s="88"/>
    </row>
    <row r="2172">
      <c r="A2172" s="20" t="s">
        <v>98</v>
      </c>
      <c r="B2172" s="9" t="s">
        <v>4131</v>
      </c>
      <c r="C2172" s="91">
        <v>45484.40467670139</v>
      </c>
      <c r="D2172" s="8"/>
      <c r="E2172" s="9" t="s">
        <v>206</v>
      </c>
      <c r="F2172" s="8"/>
      <c r="G2172" s="9" t="s">
        <v>15</v>
      </c>
      <c r="H2172" s="7" t="s">
        <v>4132</v>
      </c>
      <c r="I2172" s="9" t="s">
        <v>353</v>
      </c>
      <c r="J2172" s="88"/>
    </row>
    <row r="2173">
      <c r="A2173" s="20" t="s">
        <v>98</v>
      </c>
      <c r="B2173" s="9" t="s">
        <v>4133</v>
      </c>
      <c r="C2173" s="91">
        <v>45483.36304597222</v>
      </c>
      <c r="D2173" s="8">
        <f t="shared" ref="D2173:D2181" si="219">IFERROR(_xlfn.WORKDAY.INTL(C2173, 2),"-")</f>
        <v>45485</v>
      </c>
      <c r="E2173" s="9" t="s">
        <v>206</v>
      </c>
      <c r="F2173" s="10"/>
      <c r="G2173" s="9" t="s">
        <v>15</v>
      </c>
      <c r="H2173" s="7" t="s">
        <v>4134</v>
      </c>
      <c r="I2173" s="9" t="s">
        <v>353</v>
      </c>
      <c r="J2173" s="88"/>
    </row>
    <row r="2174">
      <c r="A2174" s="20" t="s">
        <v>98</v>
      </c>
      <c r="B2174" s="9" t="s">
        <v>4049</v>
      </c>
      <c r="C2174" s="91">
        <v>45492.38142568287</v>
      </c>
      <c r="D2174" s="8">
        <f t="shared" si="219"/>
        <v>45496</v>
      </c>
      <c r="E2174" s="9" t="s">
        <v>88</v>
      </c>
      <c r="F2174" s="10"/>
      <c r="G2174" s="9" t="s">
        <v>18</v>
      </c>
      <c r="H2174" s="7" t="s">
        <v>4135</v>
      </c>
      <c r="I2174" s="9" t="s">
        <v>353</v>
      </c>
      <c r="J2174" s="88"/>
    </row>
    <row r="2175">
      <c r="A2175" s="20" t="s">
        <v>98</v>
      </c>
      <c r="B2175" s="9" t="s">
        <v>4136</v>
      </c>
      <c r="C2175" s="91">
        <v>45495.463454467594</v>
      </c>
      <c r="D2175" s="8">
        <f t="shared" si="219"/>
        <v>45497</v>
      </c>
      <c r="E2175" s="9" t="s">
        <v>206</v>
      </c>
      <c r="F2175" s="10"/>
      <c r="G2175" s="9" t="s">
        <v>15</v>
      </c>
      <c r="H2175" s="7" t="s">
        <v>4137</v>
      </c>
      <c r="I2175" s="9" t="s">
        <v>353</v>
      </c>
      <c r="J2175" s="88"/>
    </row>
    <row r="2176">
      <c r="A2176" s="34" t="s">
        <v>204</v>
      </c>
      <c r="B2176" s="7" t="s">
        <v>4138</v>
      </c>
      <c r="C2176" s="91">
        <v>45496.75059490741</v>
      </c>
      <c r="D2176" s="8">
        <f t="shared" si="219"/>
        <v>45498</v>
      </c>
      <c r="E2176" s="9" t="s">
        <v>11</v>
      </c>
      <c r="F2176" s="10"/>
      <c r="G2176" s="9" t="s">
        <v>18</v>
      </c>
      <c r="H2176" s="7" t="s">
        <v>437</v>
      </c>
      <c r="I2176" s="9" t="s">
        <v>353</v>
      </c>
      <c r="J2176" s="88"/>
    </row>
    <row r="2177">
      <c r="A2177" s="34" t="s">
        <v>204</v>
      </c>
      <c r="B2177" s="7" t="s">
        <v>4139</v>
      </c>
      <c r="C2177" s="91">
        <v>45496.74135440972</v>
      </c>
      <c r="D2177" s="8">
        <f t="shared" si="219"/>
        <v>45498</v>
      </c>
      <c r="E2177" s="9" t="s">
        <v>11</v>
      </c>
      <c r="F2177" s="10"/>
      <c r="G2177" s="9" t="s">
        <v>18</v>
      </c>
      <c r="H2177" s="7" t="s">
        <v>437</v>
      </c>
      <c r="I2177" s="9" t="s">
        <v>353</v>
      </c>
      <c r="J2177" s="88"/>
    </row>
    <row r="2178">
      <c r="A2178" s="20" t="s">
        <v>98</v>
      </c>
      <c r="B2178" s="9" t="s">
        <v>4140</v>
      </c>
      <c r="C2178" s="91">
        <v>45496.59036298611</v>
      </c>
      <c r="D2178" s="8">
        <f t="shared" si="219"/>
        <v>45498</v>
      </c>
      <c r="E2178" s="9" t="s">
        <v>88</v>
      </c>
      <c r="F2178" s="10"/>
      <c r="G2178" s="9" t="s">
        <v>15</v>
      </c>
      <c r="H2178" s="7" t="s">
        <v>1538</v>
      </c>
      <c r="I2178" s="9" t="s">
        <v>353</v>
      </c>
      <c r="J2178" s="88"/>
    </row>
    <row r="2179">
      <c r="A2179" s="20" t="s">
        <v>98</v>
      </c>
      <c r="B2179" s="9" t="s">
        <v>4141</v>
      </c>
      <c r="C2179" s="91">
        <v>45496.63870952546</v>
      </c>
      <c r="D2179" s="8">
        <f t="shared" si="219"/>
        <v>45498</v>
      </c>
      <c r="E2179" s="9" t="s">
        <v>88</v>
      </c>
      <c r="F2179" s="10"/>
      <c r="G2179" s="9" t="s">
        <v>15</v>
      </c>
      <c r="H2179" s="7" t="s">
        <v>4142</v>
      </c>
      <c r="I2179" s="9" t="s">
        <v>353</v>
      </c>
      <c r="J2179" s="88"/>
    </row>
    <row r="2180">
      <c r="A2180" s="6" t="s">
        <v>9</v>
      </c>
      <c r="B2180" s="7" t="s">
        <v>4143</v>
      </c>
      <c r="C2180" s="91">
        <v>45461.34059475694</v>
      </c>
      <c r="D2180" s="8">
        <f t="shared" si="219"/>
        <v>45463</v>
      </c>
      <c r="E2180" s="9" t="s">
        <v>11</v>
      </c>
      <c r="F2180" s="8"/>
      <c r="G2180" s="9" t="s">
        <v>18</v>
      </c>
      <c r="H2180" s="7" t="s">
        <v>4144</v>
      </c>
      <c r="I2180" s="9" t="s">
        <v>353</v>
      </c>
      <c r="J2180" s="88"/>
    </row>
    <row r="2181">
      <c r="A2181" s="6" t="s">
        <v>9</v>
      </c>
      <c r="B2181" s="7" t="s">
        <v>4072</v>
      </c>
      <c r="C2181" s="91">
        <v>45488.517177754635</v>
      </c>
      <c r="D2181" s="8">
        <f t="shared" si="219"/>
        <v>45490</v>
      </c>
      <c r="E2181" s="9" t="s">
        <v>11</v>
      </c>
      <c r="F2181" s="10"/>
      <c r="G2181" s="9" t="s">
        <v>15</v>
      </c>
      <c r="H2181" s="7" t="s">
        <v>4145</v>
      </c>
      <c r="I2181" s="9" t="s">
        <v>353</v>
      </c>
      <c r="J2181" s="88"/>
    </row>
    <row r="2182">
      <c r="A2182" s="42" t="s">
        <v>206</v>
      </c>
      <c r="B2182" s="43" t="s">
        <v>4146</v>
      </c>
      <c r="C2182" s="91">
        <v>45491.51597920139</v>
      </c>
      <c r="D2182" s="8"/>
      <c r="E2182" s="9"/>
      <c r="F2182" s="10"/>
      <c r="G2182" s="9" t="s">
        <v>15</v>
      </c>
      <c r="H2182" s="7" t="s">
        <v>4147</v>
      </c>
      <c r="I2182" s="9" t="s">
        <v>353</v>
      </c>
      <c r="J2182" s="88"/>
    </row>
    <row r="2183">
      <c r="A2183" s="6" t="s">
        <v>9</v>
      </c>
      <c r="B2183" s="7" t="s">
        <v>4148</v>
      </c>
      <c r="C2183" s="91">
        <v>45495.620371400466</v>
      </c>
      <c r="D2183" s="8">
        <f t="shared" ref="D2183:D2186" si="220">IFERROR(_xlfn.WORKDAY.INTL(C2183, 2),"-")</f>
        <v>45497</v>
      </c>
      <c r="E2183" s="9" t="s">
        <v>11</v>
      </c>
      <c r="F2183" s="10"/>
      <c r="G2183" s="9" t="s">
        <v>15</v>
      </c>
      <c r="H2183" s="7" t="s">
        <v>4149</v>
      </c>
      <c r="I2183" s="9" t="s">
        <v>353</v>
      </c>
      <c r="J2183" s="88"/>
    </row>
    <row r="2184">
      <c r="A2184" s="34" t="s">
        <v>204</v>
      </c>
      <c r="B2184" s="7" t="s">
        <v>4150</v>
      </c>
      <c r="C2184" s="91">
        <v>45492.47006891204</v>
      </c>
      <c r="D2184" s="8">
        <f t="shared" si="220"/>
        <v>45496</v>
      </c>
      <c r="E2184" s="9" t="s">
        <v>11</v>
      </c>
      <c r="F2184" s="10"/>
      <c r="G2184" s="9" t="s">
        <v>18</v>
      </c>
      <c r="H2184" s="7" t="s">
        <v>437</v>
      </c>
      <c r="I2184" s="9" t="s">
        <v>353</v>
      </c>
      <c r="J2184" s="88"/>
    </row>
    <row r="2185">
      <c r="A2185" s="20" t="s">
        <v>98</v>
      </c>
      <c r="B2185" s="9" t="s">
        <v>4151</v>
      </c>
      <c r="C2185" s="91">
        <v>45370.494931319445</v>
      </c>
      <c r="D2185" s="8">
        <f t="shared" si="220"/>
        <v>45372</v>
      </c>
      <c r="E2185" s="9" t="s">
        <v>11</v>
      </c>
      <c r="F2185" s="10"/>
      <c r="G2185" s="9" t="s">
        <v>21</v>
      </c>
      <c r="H2185" s="7" t="s">
        <v>4152</v>
      </c>
      <c r="I2185" s="9" t="s">
        <v>353</v>
      </c>
      <c r="J2185" s="88"/>
    </row>
    <row r="2186">
      <c r="A2186" s="20" t="s">
        <v>98</v>
      </c>
      <c r="B2186" s="9" t="s">
        <v>4153</v>
      </c>
      <c r="C2186" s="91">
        <v>45491.69511035879</v>
      </c>
      <c r="D2186" s="8">
        <f t="shared" si="220"/>
        <v>45495</v>
      </c>
      <c r="E2186" s="9" t="s">
        <v>88</v>
      </c>
      <c r="F2186" s="10"/>
      <c r="G2186" s="9" t="s">
        <v>18</v>
      </c>
      <c r="H2186" s="7" t="s">
        <v>4154</v>
      </c>
      <c r="I2186" s="9" t="s">
        <v>353</v>
      </c>
      <c r="J2186" s="88"/>
    </row>
    <row r="2187">
      <c r="A2187" s="42" t="s">
        <v>206</v>
      </c>
      <c r="B2187" s="43" t="s">
        <v>4155</v>
      </c>
      <c r="C2187" s="91">
        <v>45491.51707833333</v>
      </c>
      <c r="D2187" s="8"/>
      <c r="E2187" s="9"/>
      <c r="F2187" s="10"/>
      <c r="G2187" s="9" t="s">
        <v>15</v>
      </c>
      <c r="H2187" s="7" t="s">
        <v>4156</v>
      </c>
      <c r="I2187" s="9" t="s">
        <v>353</v>
      </c>
      <c r="J2187" s="88"/>
    </row>
    <row r="2188">
      <c r="A2188" s="20" t="s">
        <v>98</v>
      </c>
      <c r="B2188" s="9" t="s">
        <v>4157</v>
      </c>
      <c r="C2188" s="91">
        <v>45488.572825243056</v>
      </c>
      <c r="D2188" s="8">
        <f t="shared" ref="D2188:D2189" si="221">IFERROR(_xlfn.WORKDAY.INTL(C2188, 2),"-")</f>
        <v>45490</v>
      </c>
      <c r="E2188" s="9" t="s">
        <v>88</v>
      </c>
      <c r="F2188" s="10"/>
      <c r="G2188" s="9" t="s">
        <v>15</v>
      </c>
      <c r="H2188" s="7" t="s">
        <v>4158</v>
      </c>
      <c r="I2188" s="9" t="s">
        <v>353</v>
      </c>
      <c r="J2188" s="88"/>
    </row>
    <row r="2189">
      <c r="A2189" s="20" t="s">
        <v>98</v>
      </c>
      <c r="B2189" s="9" t="s">
        <v>4159</v>
      </c>
      <c r="C2189" s="91">
        <v>45488.57138335648</v>
      </c>
      <c r="D2189" s="8">
        <f t="shared" si="221"/>
        <v>45490</v>
      </c>
      <c r="E2189" s="9" t="s">
        <v>11</v>
      </c>
      <c r="F2189" s="10"/>
      <c r="G2189" s="9" t="s">
        <v>15</v>
      </c>
      <c r="H2189" s="23" t="s">
        <v>4160</v>
      </c>
      <c r="I2189" s="9" t="s">
        <v>353</v>
      </c>
      <c r="J2189" s="88"/>
    </row>
    <row r="2190">
      <c r="A2190" s="42" t="s">
        <v>206</v>
      </c>
      <c r="B2190" s="111" t="s">
        <v>4161</v>
      </c>
      <c r="C2190" s="91">
        <v>45481.65661099537</v>
      </c>
      <c r="D2190" s="8"/>
      <c r="E2190" s="9"/>
      <c r="F2190" s="10"/>
      <c r="G2190" s="9" t="s">
        <v>220</v>
      </c>
      <c r="H2190" s="11"/>
      <c r="I2190" s="9" t="s">
        <v>353</v>
      </c>
      <c r="J2190" s="88"/>
    </row>
    <row r="2191">
      <c r="A2191" s="42" t="s">
        <v>206</v>
      </c>
      <c r="B2191" s="43" t="s">
        <v>4162</v>
      </c>
      <c r="C2191" s="91">
        <v>45446.37384159722</v>
      </c>
      <c r="D2191" s="8"/>
      <c r="E2191" s="9" t="s">
        <v>2391</v>
      </c>
      <c r="F2191" s="10"/>
      <c r="G2191" s="9" t="s">
        <v>15</v>
      </c>
      <c r="H2191" s="7" t="s">
        <v>4163</v>
      </c>
      <c r="I2191" s="9" t="s">
        <v>353</v>
      </c>
      <c r="J2191" s="88"/>
    </row>
    <row r="2192">
      <c r="A2192" s="42" t="s">
        <v>206</v>
      </c>
      <c r="B2192" s="157" t="s">
        <v>4164</v>
      </c>
      <c r="C2192" s="91">
        <v>45385.694970185185</v>
      </c>
      <c r="D2192" s="8"/>
      <c r="E2192" s="9" t="s">
        <v>4165</v>
      </c>
      <c r="F2192" s="8"/>
      <c r="G2192" s="9" t="s">
        <v>15</v>
      </c>
      <c r="H2192" s="7" t="s">
        <v>4166</v>
      </c>
      <c r="I2192" s="9" t="s">
        <v>353</v>
      </c>
      <c r="J2192" s="88"/>
    </row>
    <row r="2193">
      <c r="A2193" s="42" t="s">
        <v>206</v>
      </c>
      <c r="B2193" s="43" t="s">
        <v>4167</v>
      </c>
      <c r="C2193" s="91">
        <v>45491.513671134264</v>
      </c>
      <c r="D2193" s="8"/>
      <c r="E2193" s="9"/>
      <c r="F2193" s="10"/>
      <c r="G2193" s="9"/>
      <c r="H2193" s="11"/>
      <c r="I2193" s="9" t="s">
        <v>13</v>
      </c>
      <c r="J2193" s="88"/>
    </row>
    <row r="2194">
      <c r="A2194" s="42" t="s">
        <v>206</v>
      </c>
      <c r="B2194" s="43" t="s">
        <v>4168</v>
      </c>
      <c r="C2194" s="91">
        <v>45464.477733761574</v>
      </c>
      <c r="D2194" s="8"/>
      <c r="E2194" s="9" t="s">
        <v>88</v>
      </c>
      <c r="F2194" s="10"/>
      <c r="G2194" s="9" t="s">
        <v>15</v>
      </c>
      <c r="H2194" s="7" t="s">
        <v>4169</v>
      </c>
      <c r="I2194" s="9" t="s">
        <v>353</v>
      </c>
      <c r="J2194" s="88"/>
    </row>
    <row r="2195">
      <c r="A2195" s="34" t="s">
        <v>204</v>
      </c>
      <c r="B2195" s="7" t="s">
        <v>4170</v>
      </c>
      <c r="C2195" s="91">
        <v>45491.44806028935</v>
      </c>
      <c r="D2195" s="8">
        <f t="shared" ref="D2195:D2224" si="222">IFERROR(_xlfn.WORKDAY.INTL(C2195, 2),"-")</f>
        <v>45495</v>
      </c>
      <c r="E2195" s="9" t="s">
        <v>11</v>
      </c>
      <c r="F2195" s="10"/>
      <c r="G2195" s="9" t="s">
        <v>18</v>
      </c>
      <c r="H2195" s="7" t="s">
        <v>437</v>
      </c>
      <c r="I2195" s="9" t="s">
        <v>353</v>
      </c>
      <c r="J2195" s="88"/>
    </row>
    <row r="2196">
      <c r="A2196" s="54" t="s">
        <v>4009</v>
      </c>
      <c r="B2196" s="7" t="s">
        <v>4171</v>
      </c>
      <c r="C2196" s="91">
        <v>45481.464378969904</v>
      </c>
      <c r="D2196" s="8">
        <f t="shared" si="222"/>
        <v>45483</v>
      </c>
      <c r="E2196" s="9" t="s">
        <v>11</v>
      </c>
      <c r="F2196" s="10"/>
      <c r="G2196" s="9" t="s">
        <v>15</v>
      </c>
      <c r="H2196" s="7" t="s">
        <v>4172</v>
      </c>
      <c r="I2196" s="9" t="s">
        <v>353</v>
      </c>
      <c r="J2196" s="88"/>
    </row>
    <row r="2197">
      <c r="A2197" s="20" t="s">
        <v>98</v>
      </c>
      <c r="B2197" s="9" t="s">
        <v>4173</v>
      </c>
      <c r="C2197" s="91">
        <v>45355.717145648145</v>
      </c>
      <c r="D2197" s="8">
        <f t="shared" si="222"/>
        <v>45357</v>
      </c>
      <c r="E2197" s="9" t="s">
        <v>88</v>
      </c>
      <c r="F2197" s="10"/>
      <c r="G2197" s="9" t="s">
        <v>21</v>
      </c>
      <c r="H2197" s="7" t="s">
        <v>4174</v>
      </c>
      <c r="I2197" s="9" t="s">
        <v>353</v>
      </c>
      <c r="J2197" s="88"/>
    </row>
    <row r="2198">
      <c r="A2198" s="20" t="s">
        <v>98</v>
      </c>
      <c r="B2198" s="9" t="s">
        <v>4175</v>
      </c>
      <c r="C2198" s="91">
        <v>45460.73293261574</v>
      </c>
      <c r="D2198" s="8">
        <f t="shared" si="222"/>
        <v>45462</v>
      </c>
      <c r="E2198" s="9" t="s">
        <v>11</v>
      </c>
      <c r="F2198" s="10"/>
      <c r="G2198" s="9" t="s">
        <v>15</v>
      </c>
      <c r="H2198" s="23" t="s">
        <v>4176</v>
      </c>
      <c r="I2198" s="9" t="s">
        <v>353</v>
      </c>
      <c r="J2198" s="88"/>
    </row>
    <row r="2199">
      <c r="A2199" s="20" t="s">
        <v>98</v>
      </c>
      <c r="B2199" s="9" t="s">
        <v>4177</v>
      </c>
      <c r="C2199" s="91">
        <v>45483.36328913194</v>
      </c>
      <c r="D2199" s="8">
        <f t="shared" si="222"/>
        <v>45485</v>
      </c>
      <c r="E2199" s="9" t="s">
        <v>206</v>
      </c>
      <c r="F2199" s="10"/>
      <c r="G2199" s="9" t="s">
        <v>15</v>
      </c>
      <c r="H2199" s="7" t="s">
        <v>1624</v>
      </c>
      <c r="I2199" s="9" t="s">
        <v>353</v>
      </c>
      <c r="J2199" s="88"/>
    </row>
    <row r="2200">
      <c r="A2200" s="6" t="s">
        <v>9</v>
      </c>
      <c r="B2200" s="7" t="s">
        <v>4178</v>
      </c>
      <c r="C2200" s="91">
        <v>45478.43062023148</v>
      </c>
      <c r="D2200" s="8">
        <f t="shared" si="222"/>
        <v>45482</v>
      </c>
      <c r="E2200" s="9" t="s">
        <v>11</v>
      </c>
      <c r="F2200" s="10"/>
      <c r="G2200" s="9" t="s">
        <v>15</v>
      </c>
      <c r="H2200" s="7" t="s">
        <v>4179</v>
      </c>
      <c r="I2200" s="9" t="s">
        <v>353</v>
      </c>
      <c r="J2200" s="88"/>
    </row>
    <row r="2201">
      <c r="A2201" s="20" t="s">
        <v>98</v>
      </c>
      <c r="B2201" s="9" t="s">
        <v>4180</v>
      </c>
      <c r="C2201" s="91">
        <v>45488.57067804398</v>
      </c>
      <c r="D2201" s="8">
        <f t="shared" si="222"/>
        <v>45490</v>
      </c>
      <c r="E2201" s="9" t="s">
        <v>11</v>
      </c>
      <c r="F2201" s="10"/>
      <c r="G2201" s="9" t="s">
        <v>18</v>
      </c>
      <c r="H2201" s="7" t="s">
        <v>4181</v>
      </c>
      <c r="I2201" s="9" t="s">
        <v>353</v>
      </c>
      <c r="J2201" s="88"/>
    </row>
    <row r="2202">
      <c r="A2202" s="54" t="s">
        <v>4009</v>
      </c>
      <c r="B2202" s="7" t="s">
        <v>4182</v>
      </c>
      <c r="C2202" s="91">
        <v>45481.46481309028</v>
      </c>
      <c r="D2202" s="8">
        <f t="shared" si="222"/>
        <v>45483</v>
      </c>
      <c r="E2202" s="9" t="s">
        <v>11</v>
      </c>
      <c r="F2202" s="10"/>
      <c r="G2202" s="9" t="s">
        <v>15</v>
      </c>
      <c r="H2202" s="7" t="s">
        <v>4183</v>
      </c>
      <c r="I2202" s="9" t="s">
        <v>353</v>
      </c>
      <c r="J2202" s="88"/>
    </row>
    <row r="2203">
      <c r="A2203" s="54"/>
      <c r="B2203" s="154" t="s">
        <v>4184</v>
      </c>
      <c r="C2203" s="91">
        <v>45484.0</v>
      </c>
      <c r="D2203" s="8">
        <f t="shared" si="222"/>
        <v>45488</v>
      </c>
      <c r="E2203" s="9"/>
      <c r="F2203" s="10"/>
      <c r="G2203" s="9" t="s">
        <v>15</v>
      </c>
      <c r="H2203" s="158" t="s">
        <v>4185</v>
      </c>
      <c r="I2203" s="9" t="s">
        <v>353</v>
      </c>
      <c r="J2203" s="88"/>
    </row>
    <row r="2204">
      <c r="A2204" s="54" t="s">
        <v>4186</v>
      </c>
      <c r="B2204" s="7" t="s">
        <v>4187</v>
      </c>
      <c r="C2204" s="91">
        <v>45470.376380636575</v>
      </c>
      <c r="D2204" s="8">
        <f t="shared" si="222"/>
        <v>45474</v>
      </c>
      <c r="E2204" s="9" t="s">
        <v>11</v>
      </c>
      <c r="F2204" s="10"/>
      <c r="G2204" s="9" t="s">
        <v>15</v>
      </c>
      <c r="H2204" s="7" t="s">
        <v>4188</v>
      </c>
      <c r="I2204" s="9" t="s">
        <v>353</v>
      </c>
      <c r="J2204" s="88"/>
    </row>
    <row r="2205">
      <c r="A2205" s="34" t="s">
        <v>204</v>
      </c>
      <c r="B2205" s="7" t="s">
        <v>4189</v>
      </c>
      <c r="C2205" s="91">
        <v>45489.370134537035</v>
      </c>
      <c r="D2205" s="8">
        <f t="shared" si="222"/>
        <v>45491</v>
      </c>
      <c r="E2205" s="9" t="s">
        <v>11</v>
      </c>
      <c r="F2205" s="10"/>
      <c r="G2205" s="9" t="s">
        <v>18</v>
      </c>
      <c r="H2205" s="7" t="s">
        <v>437</v>
      </c>
      <c r="I2205" s="9" t="s">
        <v>353</v>
      </c>
      <c r="J2205" s="88"/>
    </row>
    <row r="2206">
      <c r="A2206" s="20" t="s">
        <v>98</v>
      </c>
      <c r="B2206" s="9" t="s">
        <v>4190</v>
      </c>
      <c r="C2206" s="91">
        <v>45453.39015303241</v>
      </c>
      <c r="D2206" s="8">
        <f t="shared" si="222"/>
        <v>45455</v>
      </c>
      <c r="E2206" s="9" t="s">
        <v>11</v>
      </c>
      <c r="F2206" s="10"/>
      <c r="G2206" s="9" t="s">
        <v>18</v>
      </c>
      <c r="H2206" s="23" t="s">
        <v>4191</v>
      </c>
      <c r="I2206" s="9" t="s">
        <v>353</v>
      </c>
      <c r="J2206" s="88"/>
    </row>
    <row r="2207">
      <c r="A2207" s="6" t="s">
        <v>9</v>
      </c>
      <c r="B2207" s="7" t="s">
        <v>4192</v>
      </c>
      <c r="C2207" s="91">
        <v>45483.50419170139</v>
      </c>
      <c r="D2207" s="8">
        <f t="shared" si="222"/>
        <v>45485</v>
      </c>
      <c r="E2207" s="9" t="s">
        <v>88</v>
      </c>
      <c r="F2207" s="10"/>
      <c r="G2207" s="9" t="s">
        <v>15</v>
      </c>
      <c r="H2207" s="7" t="s">
        <v>4193</v>
      </c>
      <c r="I2207" s="9" t="s">
        <v>353</v>
      </c>
      <c r="J2207" s="88"/>
    </row>
    <row r="2208">
      <c r="A2208" s="20" t="s">
        <v>98</v>
      </c>
      <c r="B2208" s="9" t="s">
        <v>4194</v>
      </c>
      <c r="C2208" s="91">
        <v>45478.47256650463</v>
      </c>
      <c r="D2208" s="8">
        <f t="shared" si="222"/>
        <v>45482</v>
      </c>
      <c r="E2208" s="9" t="s">
        <v>206</v>
      </c>
      <c r="F2208" s="10"/>
      <c r="G2208" s="9" t="s">
        <v>15</v>
      </c>
      <c r="H2208" s="7" t="s">
        <v>4195</v>
      </c>
      <c r="I2208" s="9" t="s">
        <v>353</v>
      </c>
      <c r="J2208" s="88"/>
    </row>
    <row r="2209">
      <c r="A2209" s="34" t="s">
        <v>204</v>
      </c>
      <c r="B2209" s="7" t="s">
        <v>4196</v>
      </c>
      <c r="C2209" s="91">
        <v>45484.429142395835</v>
      </c>
      <c r="D2209" s="8">
        <f t="shared" si="222"/>
        <v>45488</v>
      </c>
      <c r="E2209" s="9" t="s">
        <v>11</v>
      </c>
      <c r="F2209" s="10"/>
      <c r="G2209" s="9" t="s">
        <v>18</v>
      </c>
      <c r="H2209" s="7" t="s">
        <v>437</v>
      </c>
      <c r="I2209" s="9" t="s">
        <v>353</v>
      </c>
      <c r="J2209" s="88"/>
    </row>
    <row r="2210">
      <c r="A2210" s="54" t="s">
        <v>4009</v>
      </c>
      <c r="B2210" s="7" t="s">
        <v>4197</v>
      </c>
      <c r="C2210" s="91">
        <v>45481.46414581018</v>
      </c>
      <c r="D2210" s="8">
        <f t="shared" si="222"/>
        <v>45483</v>
      </c>
      <c r="E2210" s="9" t="s">
        <v>11</v>
      </c>
      <c r="F2210" s="10"/>
      <c r="G2210" s="9" t="s">
        <v>15</v>
      </c>
      <c r="H2210" s="7" t="s">
        <v>4198</v>
      </c>
      <c r="I2210" s="9" t="s">
        <v>353</v>
      </c>
      <c r="J2210" s="88"/>
    </row>
    <row r="2211">
      <c r="A2211" s="54" t="s">
        <v>4009</v>
      </c>
      <c r="B2211" s="7" t="s">
        <v>4199</v>
      </c>
      <c r="C2211" s="91">
        <v>45481.46466537037</v>
      </c>
      <c r="D2211" s="8">
        <f t="shared" si="222"/>
        <v>45483</v>
      </c>
      <c r="E2211" s="9" t="s">
        <v>11</v>
      </c>
      <c r="F2211" s="10"/>
      <c r="G2211" s="9" t="s">
        <v>15</v>
      </c>
      <c r="H2211" s="7" t="s">
        <v>4200</v>
      </c>
      <c r="I2211" s="9" t="s">
        <v>353</v>
      </c>
      <c r="J2211" s="88"/>
    </row>
    <row r="2212">
      <c r="A2212" s="34" t="s">
        <v>204</v>
      </c>
      <c r="B2212" s="7" t="s">
        <v>4201</v>
      </c>
      <c r="C2212" s="91">
        <v>45484.407453472224</v>
      </c>
      <c r="D2212" s="8">
        <f t="shared" si="222"/>
        <v>45488</v>
      </c>
      <c r="E2212" s="9" t="s">
        <v>11</v>
      </c>
      <c r="F2212" s="10"/>
      <c r="G2212" s="9" t="s">
        <v>18</v>
      </c>
      <c r="H2212" s="7" t="s">
        <v>437</v>
      </c>
      <c r="I2212" s="9" t="s">
        <v>353</v>
      </c>
      <c r="J2212" s="88"/>
    </row>
    <row r="2213">
      <c r="A2213" s="20" t="s">
        <v>98</v>
      </c>
      <c r="B2213" s="9" t="s">
        <v>4202</v>
      </c>
      <c r="C2213" s="91">
        <v>45475.496983125</v>
      </c>
      <c r="D2213" s="8">
        <f t="shared" si="222"/>
        <v>45477</v>
      </c>
      <c r="E2213" s="9" t="s">
        <v>88</v>
      </c>
      <c r="F2213" s="10"/>
      <c r="G2213" s="9" t="s">
        <v>15</v>
      </c>
      <c r="H2213" s="7" t="s">
        <v>4203</v>
      </c>
      <c r="I2213" s="9" t="s">
        <v>353</v>
      </c>
      <c r="J2213" s="88"/>
    </row>
    <row r="2214">
      <c r="A2214" s="20" t="s">
        <v>98</v>
      </c>
      <c r="B2214" s="9" t="s">
        <v>4204</v>
      </c>
      <c r="C2214" s="91">
        <v>45483.36342310185</v>
      </c>
      <c r="D2214" s="8">
        <f t="shared" si="222"/>
        <v>45485</v>
      </c>
      <c r="E2214" s="9" t="s">
        <v>206</v>
      </c>
      <c r="F2214" s="10"/>
      <c r="G2214" s="9" t="s">
        <v>15</v>
      </c>
      <c r="H2214" s="7" t="s">
        <v>4205</v>
      </c>
      <c r="I2214" s="9" t="s">
        <v>353</v>
      </c>
      <c r="J2214" s="88"/>
    </row>
    <row r="2215">
      <c r="A2215" s="20" t="s">
        <v>98</v>
      </c>
      <c r="B2215" s="9" t="s">
        <v>3771</v>
      </c>
      <c r="C2215" s="91">
        <v>45460.51593350695</v>
      </c>
      <c r="D2215" s="8">
        <f t="shared" si="222"/>
        <v>45462</v>
      </c>
      <c r="E2215" s="9" t="s">
        <v>88</v>
      </c>
      <c r="F2215" s="10"/>
      <c r="G2215" s="9" t="s">
        <v>18</v>
      </c>
      <c r="H2215" s="7" t="s">
        <v>4206</v>
      </c>
      <c r="I2215" s="9" t="s">
        <v>353</v>
      </c>
      <c r="J2215" s="88"/>
    </row>
    <row r="2216">
      <c r="A2216" s="34" t="s">
        <v>204</v>
      </c>
      <c r="B2216" s="7" t="s">
        <v>4207</v>
      </c>
      <c r="C2216" s="91">
        <v>45483.75336672454</v>
      </c>
      <c r="D2216" s="8">
        <f t="shared" si="222"/>
        <v>45485</v>
      </c>
      <c r="E2216" s="9" t="s">
        <v>11</v>
      </c>
      <c r="F2216" s="10"/>
      <c r="G2216" s="9" t="s">
        <v>18</v>
      </c>
      <c r="H2216" s="7" t="s">
        <v>4208</v>
      </c>
      <c r="I2216" s="9" t="s">
        <v>353</v>
      </c>
      <c r="J2216" s="88"/>
    </row>
    <row r="2217">
      <c r="A2217" s="20" t="s">
        <v>98</v>
      </c>
      <c r="B2217" s="9" t="s">
        <v>4209</v>
      </c>
      <c r="C2217" s="91">
        <v>45483.36316692129</v>
      </c>
      <c r="D2217" s="8">
        <f t="shared" si="222"/>
        <v>45485</v>
      </c>
      <c r="E2217" s="9" t="s">
        <v>206</v>
      </c>
      <c r="F2217" s="10"/>
      <c r="G2217" s="9" t="s">
        <v>18</v>
      </c>
      <c r="H2217" s="7" t="s">
        <v>4210</v>
      </c>
      <c r="I2217" s="9" t="s">
        <v>353</v>
      </c>
      <c r="J2217" s="88"/>
    </row>
    <row r="2218">
      <c r="A2218" s="20" t="s">
        <v>98</v>
      </c>
      <c r="B2218" s="9" t="s">
        <v>4211</v>
      </c>
      <c r="C2218" s="91">
        <v>45434.71306199074</v>
      </c>
      <c r="D2218" s="8">
        <f t="shared" si="222"/>
        <v>45436</v>
      </c>
      <c r="E2218" s="9" t="s">
        <v>88</v>
      </c>
      <c r="F2218" s="10"/>
      <c r="G2218" s="9" t="s">
        <v>18</v>
      </c>
      <c r="H2218" s="7" t="s">
        <v>4212</v>
      </c>
      <c r="I2218" s="9" t="s">
        <v>353</v>
      </c>
      <c r="J2218" s="88"/>
    </row>
    <row r="2219">
      <c r="A2219" s="20" t="s">
        <v>98</v>
      </c>
      <c r="B2219" s="9" t="s">
        <v>4213</v>
      </c>
      <c r="C2219" s="91">
        <v>45478.47262185185</v>
      </c>
      <c r="D2219" s="8">
        <f t="shared" si="222"/>
        <v>45482</v>
      </c>
      <c r="E2219" s="9" t="s">
        <v>206</v>
      </c>
      <c r="F2219" s="10"/>
      <c r="G2219" s="9" t="s">
        <v>18</v>
      </c>
      <c r="H2219" s="7" t="s">
        <v>4214</v>
      </c>
      <c r="I2219" s="9" t="s">
        <v>353</v>
      </c>
      <c r="J2219" s="88"/>
    </row>
    <row r="2220">
      <c r="A2220" s="20" t="s">
        <v>98</v>
      </c>
      <c r="B2220" s="9" t="s">
        <v>4215</v>
      </c>
      <c r="C2220" s="91">
        <v>45469.47139869213</v>
      </c>
      <c r="D2220" s="8">
        <f t="shared" si="222"/>
        <v>45471</v>
      </c>
      <c r="E2220" s="9" t="s">
        <v>88</v>
      </c>
      <c r="F2220" s="10"/>
      <c r="G2220" s="9" t="s">
        <v>15</v>
      </c>
      <c r="H2220" s="7" t="s">
        <v>4216</v>
      </c>
      <c r="I2220" s="9" t="s">
        <v>353</v>
      </c>
      <c r="J2220" s="88"/>
    </row>
    <row r="2221">
      <c r="A2221" s="34" t="s">
        <v>204</v>
      </c>
      <c r="B2221" s="7" t="s">
        <v>4217</v>
      </c>
      <c r="C2221" s="91">
        <v>45483.4475422338</v>
      </c>
      <c r="D2221" s="8">
        <f t="shared" si="222"/>
        <v>45485</v>
      </c>
      <c r="E2221" s="9" t="s">
        <v>11</v>
      </c>
      <c r="F2221" s="10"/>
      <c r="G2221" s="9" t="s">
        <v>18</v>
      </c>
      <c r="H2221" s="7" t="s">
        <v>437</v>
      </c>
      <c r="I2221" s="9" t="s">
        <v>353</v>
      </c>
      <c r="J2221" s="88"/>
    </row>
    <row r="2222">
      <c r="A2222" s="34" t="s">
        <v>204</v>
      </c>
      <c r="B2222" s="7" t="s">
        <v>4218</v>
      </c>
      <c r="C2222" s="91">
        <v>45483.38899960648</v>
      </c>
      <c r="D2222" s="8">
        <f t="shared" si="222"/>
        <v>45485</v>
      </c>
      <c r="E2222" s="9" t="s">
        <v>11</v>
      </c>
      <c r="F2222" s="10"/>
      <c r="G2222" s="9" t="s">
        <v>18</v>
      </c>
      <c r="H2222" s="7" t="s">
        <v>437</v>
      </c>
      <c r="I2222" s="9" t="s">
        <v>353</v>
      </c>
      <c r="J2222" s="88"/>
    </row>
    <row r="2223">
      <c r="A2223" s="34" t="s">
        <v>204</v>
      </c>
      <c r="B2223" s="7" t="s">
        <v>4219</v>
      </c>
      <c r="C2223" s="91">
        <v>45482.701396516204</v>
      </c>
      <c r="D2223" s="8">
        <f t="shared" si="222"/>
        <v>45484</v>
      </c>
      <c r="E2223" s="9" t="s">
        <v>11</v>
      </c>
      <c r="F2223" s="10"/>
      <c r="G2223" s="9" t="s">
        <v>18</v>
      </c>
      <c r="H2223" s="7" t="s">
        <v>437</v>
      </c>
      <c r="I2223" s="9" t="s">
        <v>353</v>
      </c>
      <c r="J2223" s="88"/>
    </row>
    <row r="2224">
      <c r="A2224" s="34" t="s">
        <v>204</v>
      </c>
      <c r="B2224" s="7" t="s">
        <v>4220</v>
      </c>
      <c r="C2224" s="91">
        <v>45482.6466152662</v>
      </c>
      <c r="D2224" s="8">
        <f t="shared" si="222"/>
        <v>45484</v>
      </c>
      <c r="E2224" s="9" t="s">
        <v>11</v>
      </c>
      <c r="F2224" s="10"/>
      <c r="G2224" s="9" t="s">
        <v>18</v>
      </c>
      <c r="H2224" s="7" t="s">
        <v>437</v>
      </c>
      <c r="I2224" s="9" t="s">
        <v>353</v>
      </c>
      <c r="J2224" s="88"/>
    </row>
    <row r="2225">
      <c r="A2225" s="88"/>
      <c r="B2225" s="89"/>
      <c r="C2225" s="90"/>
      <c r="D2225" s="89"/>
      <c r="E2225" s="89"/>
      <c r="F2225" s="89"/>
      <c r="G2225" s="89"/>
      <c r="H2225" s="87"/>
      <c r="I2225" s="89"/>
      <c r="J2225" s="88"/>
    </row>
    <row r="2226">
      <c r="A2226" s="54" t="s">
        <v>4009</v>
      </c>
      <c r="B2226" s="7" t="s">
        <v>4221</v>
      </c>
      <c r="C2226" s="91">
        <v>45481.4639152662</v>
      </c>
      <c r="D2226" s="8">
        <f t="shared" ref="D2226:D2232" si="223">IFERROR(_xlfn.WORKDAY.INTL(C2226, 2),"-")</f>
        <v>45483</v>
      </c>
      <c r="E2226" s="9" t="s">
        <v>11</v>
      </c>
      <c r="F2226" s="10"/>
      <c r="G2226" s="9" t="s">
        <v>15</v>
      </c>
      <c r="H2226" s="7" t="s">
        <v>4222</v>
      </c>
      <c r="I2226" s="9" t="s">
        <v>353</v>
      </c>
      <c r="J2226" s="88"/>
    </row>
    <row r="2227">
      <c r="A2227" s="20" t="s">
        <v>98</v>
      </c>
      <c r="B2227" s="9" t="s">
        <v>2979</v>
      </c>
      <c r="C2227" s="91">
        <v>45481.701245000004</v>
      </c>
      <c r="D2227" s="8">
        <f t="shared" si="223"/>
        <v>45483</v>
      </c>
      <c r="E2227" s="9" t="s">
        <v>88</v>
      </c>
      <c r="F2227" s="10"/>
      <c r="G2227" s="9" t="s">
        <v>15</v>
      </c>
      <c r="H2227" s="7" t="s">
        <v>1657</v>
      </c>
      <c r="I2227" s="9" t="s">
        <v>353</v>
      </c>
      <c r="J2227" s="88"/>
    </row>
    <row r="2228">
      <c r="A2228" s="20" t="s">
        <v>98</v>
      </c>
      <c r="B2228" s="9" t="s">
        <v>4223</v>
      </c>
      <c r="C2228" s="91">
        <v>45478.41899476852</v>
      </c>
      <c r="D2228" s="8">
        <f t="shared" si="223"/>
        <v>45482</v>
      </c>
      <c r="E2228" s="9" t="s">
        <v>11</v>
      </c>
      <c r="F2228" s="10"/>
      <c r="G2228" s="9" t="s">
        <v>15</v>
      </c>
      <c r="H2228" s="7" t="s">
        <v>1657</v>
      </c>
      <c r="I2228" s="9" t="s">
        <v>353</v>
      </c>
      <c r="J2228" s="88"/>
    </row>
    <row r="2229">
      <c r="A2229" s="34" t="s">
        <v>204</v>
      </c>
      <c r="B2229" s="23" t="s">
        <v>4224</v>
      </c>
      <c r="C2229" s="91">
        <v>45468.7079185301</v>
      </c>
      <c r="D2229" s="8">
        <f t="shared" si="223"/>
        <v>45470</v>
      </c>
      <c r="E2229" s="9" t="s">
        <v>11</v>
      </c>
      <c r="F2229" s="10"/>
      <c r="G2229" s="9" t="s">
        <v>18</v>
      </c>
      <c r="H2229" s="7" t="s">
        <v>4225</v>
      </c>
      <c r="I2229" s="9" t="s">
        <v>353</v>
      </c>
      <c r="J2229" s="88"/>
    </row>
    <row r="2230">
      <c r="A2230" s="34" t="s">
        <v>204</v>
      </c>
      <c r="B2230" s="7" t="s">
        <v>4226</v>
      </c>
      <c r="C2230" s="91">
        <v>45482.41998763889</v>
      </c>
      <c r="D2230" s="8">
        <f t="shared" si="223"/>
        <v>45484</v>
      </c>
      <c r="E2230" s="9" t="s">
        <v>11</v>
      </c>
      <c r="F2230" s="10"/>
      <c r="G2230" s="9" t="s">
        <v>18</v>
      </c>
      <c r="H2230" s="7" t="s">
        <v>437</v>
      </c>
      <c r="I2230" s="9" t="s">
        <v>353</v>
      </c>
      <c r="J2230" s="88"/>
    </row>
    <row r="2231">
      <c r="A2231" s="20" t="s">
        <v>98</v>
      </c>
      <c r="B2231" s="9" t="s">
        <v>4227</v>
      </c>
      <c r="C2231" s="91">
        <v>45355.71598234954</v>
      </c>
      <c r="D2231" s="8">
        <f t="shared" si="223"/>
        <v>45357</v>
      </c>
      <c r="E2231" s="9" t="s">
        <v>88</v>
      </c>
      <c r="F2231" s="10"/>
      <c r="G2231" s="9" t="s">
        <v>15</v>
      </c>
      <c r="H2231" s="7" t="s">
        <v>4228</v>
      </c>
      <c r="I2231" s="9" t="s">
        <v>353</v>
      </c>
      <c r="J2231" s="88"/>
    </row>
    <row r="2232">
      <c r="A2232" s="54" t="s">
        <v>4009</v>
      </c>
      <c r="B2232" s="7" t="s">
        <v>4229</v>
      </c>
      <c r="C2232" s="91">
        <v>45474.744490578705</v>
      </c>
      <c r="D2232" s="8">
        <f t="shared" si="223"/>
        <v>45476</v>
      </c>
      <c r="E2232" s="9" t="s">
        <v>94</v>
      </c>
      <c r="F2232" s="10"/>
      <c r="G2232" s="9" t="s">
        <v>15</v>
      </c>
      <c r="H2232" s="7" t="s">
        <v>4230</v>
      </c>
      <c r="I2232" s="9" t="s">
        <v>353</v>
      </c>
      <c r="J2232" s="88"/>
    </row>
    <row r="2233">
      <c r="A2233" s="42" t="s">
        <v>206</v>
      </c>
      <c r="B2233" s="43" t="s">
        <v>4231</v>
      </c>
      <c r="C2233" s="91">
        <v>45442.51476766204</v>
      </c>
      <c r="D2233" s="71"/>
      <c r="E2233" s="9" t="s">
        <v>4232</v>
      </c>
      <c r="F2233" s="8"/>
      <c r="G2233" s="9" t="s">
        <v>18</v>
      </c>
      <c r="H2233" s="7" t="s">
        <v>4233</v>
      </c>
      <c r="I2233" s="9" t="s">
        <v>353</v>
      </c>
      <c r="J2233" s="88"/>
    </row>
    <row r="2234">
      <c r="A2234" s="42" t="s">
        <v>206</v>
      </c>
      <c r="B2234" s="43" t="s">
        <v>4234</v>
      </c>
      <c r="C2234" s="91">
        <v>45469.682828379635</v>
      </c>
      <c r="D2234" s="8"/>
      <c r="E2234" s="9" t="s">
        <v>216</v>
      </c>
      <c r="F2234" s="10"/>
      <c r="G2234" s="9" t="s">
        <v>15</v>
      </c>
      <c r="H2234" s="7" t="s">
        <v>4235</v>
      </c>
      <c r="I2234" s="9" t="s">
        <v>353</v>
      </c>
      <c r="J2234" s="88"/>
    </row>
    <row r="2235">
      <c r="A2235" s="20" t="s">
        <v>98</v>
      </c>
      <c r="B2235" s="9" t="s">
        <v>4236</v>
      </c>
      <c r="C2235" s="91">
        <v>45474.48124599537</v>
      </c>
      <c r="D2235" s="8">
        <f t="shared" ref="D2235:D2248" si="224">IFERROR(_xlfn.WORKDAY.INTL(C2235, 2),"-")</f>
        <v>45476</v>
      </c>
      <c r="E2235" s="9" t="s">
        <v>88</v>
      </c>
      <c r="F2235" s="10"/>
      <c r="G2235" s="9" t="s">
        <v>18</v>
      </c>
      <c r="H2235" s="7" t="s">
        <v>4237</v>
      </c>
      <c r="I2235" s="9" t="s">
        <v>353</v>
      </c>
      <c r="J2235" s="88"/>
    </row>
    <row r="2236">
      <c r="A2236" s="54" t="s">
        <v>4009</v>
      </c>
      <c r="B2236" s="7" t="s">
        <v>4238</v>
      </c>
      <c r="C2236" s="91">
        <v>45468.67796947916</v>
      </c>
      <c r="D2236" s="8">
        <f t="shared" si="224"/>
        <v>45470</v>
      </c>
      <c r="E2236" s="9" t="s">
        <v>206</v>
      </c>
      <c r="F2236" s="8">
        <v>45470.0</v>
      </c>
      <c r="G2236" s="9" t="s">
        <v>15</v>
      </c>
      <c r="H2236" s="168" t="s">
        <v>4239</v>
      </c>
      <c r="I2236" s="9" t="s">
        <v>353</v>
      </c>
      <c r="J2236" s="88"/>
    </row>
    <row r="2237">
      <c r="A2237" s="20" t="s">
        <v>98</v>
      </c>
      <c r="B2237" s="9" t="s">
        <v>4240</v>
      </c>
      <c r="C2237" s="91">
        <v>45432.50338983796</v>
      </c>
      <c r="D2237" s="8">
        <f t="shared" si="224"/>
        <v>45434</v>
      </c>
      <c r="E2237" s="9" t="s">
        <v>206</v>
      </c>
      <c r="F2237" s="10"/>
      <c r="G2237" s="9" t="s">
        <v>15</v>
      </c>
      <c r="H2237" s="136" t="s">
        <v>4241</v>
      </c>
      <c r="I2237" s="9" t="s">
        <v>353</v>
      </c>
      <c r="J2237" s="88"/>
    </row>
    <row r="2238">
      <c r="A2238" s="20" t="s">
        <v>98</v>
      </c>
      <c r="B2238" s="9" t="s">
        <v>4242</v>
      </c>
      <c r="C2238" s="91">
        <v>45475.585159016206</v>
      </c>
      <c r="D2238" s="8">
        <f t="shared" si="224"/>
        <v>45477</v>
      </c>
      <c r="E2238" s="9" t="s">
        <v>88</v>
      </c>
      <c r="F2238" s="10"/>
      <c r="G2238" s="9" t="s">
        <v>15</v>
      </c>
      <c r="H2238" s="62" t="s">
        <v>4243</v>
      </c>
      <c r="I2238" s="9" t="s">
        <v>353</v>
      </c>
      <c r="J2238" s="88"/>
    </row>
    <row r="2239">
      <c r="A2239" s="54" t="s">
        <v>4009</v>
      </c>
      <c r="B2239" s="7" t="s">
        <v>4244</v>
      </c>
      <c r="C2239" s="91">
        <v>45470.37729362269</v>
      </c>
      <c r="D2239" s="8">
        <f t="shared" si="224"/>
        <v>45474</v>
      </c>
      <c r="E2239" s="9" t="s">
        <v>11</v>
      </c>
      <c r="F2239" s="10"/>
      <c r="G2239" s="9" t="s">
        <v>220</v>
      </c>
      <c r="H2239" s="7" t="s">
        <v>4245</v>
      </c>
      <c r="I2239" s="9" t="s">
        <v>353</v>
      </c>
      <c r="J2239" s="88"/>
    </row>
    <row r="2240">
      <c r="A2240" s="34" t="s">
        <v>204</v>
      </c>
      <c r="B2240" s="7" t="s">
        <v>4246</v>
      </c>
      <c r="C2240" s="91">
        <v>45282.47068039352</v>
      </c>
      <c r="D2240" s="8">
        <f t="shared" si="224"/>
        <v>45286</v>
      </c>
      <c r="E2240" s="9" t="s">
        <v>11</v>
      </c>
      <c r="F2240" s="9" t="s">
        <v>11</v>
      </c>
      <c r="G2240" s="9" t="s">
        <v>15</v>
      </c>
      <c r="H2240" s="115" t="s">
        <v>4247</v>
      </c>
      <c r="I2240" s="9" t="s">
        <v>353</v>
      </c>
      <c r="J2240" s="88"/>
    </row>
    <row r="2241">
      <c r="A2241" s="34" t="s">
        <v>204</v>
      </c>
      <c r="B2241" s="7" t="s">
        <v>4248</v>
      </c>
      <c r="C2241" s="91">
        <v>45468.70585479167</v>
      </c>
      <c r="D2241" s="8">
        <f t="shared" si="224"/>
        <v>45470</v>
      </c>
      <c r="E2241" s="9" t="s">
        <v>11</v>
      </c>
      <c r="F2241" s="10"/>
      <c r="G2241" s="9" t="s">
        <v>18</v>
      </c>
      <c r="H2241" s="7" t="s">
        <v>437</v>
      </c>
      <c r="I2241" s="9" t="s">
        <v>353</v>
      </c>
      <c r="J2241" s="88"/>
    </row>
    <row r="2242">
      <c r="A2242" s="54" t="s">
        <v>4009</v>
      </c>
      <c r="B2242" s="7" t="s">
        <v>4249</v>
      </c>
      <c r="C2242" s="91">
        <v>45468.678113946764</v>
      </c>
      <c r="D2242" s="8">
        <f t="shared" si="224"/>
        <v>45470</v>
      </c>
      <c r="E2242" s="9" t="s">
        <v>94</v>
      </c>
      <c r="F2242" s="8">
        <v>45470.0</v>
      </c>
      <c r="G2242" s="9" t="s">
        <v>15</v>
      </c>
      <c r="H2242" s="7" t="s">
        <v>4250</v>
      </c>
      <c r="I2242" s="9" t="s">
        <v>353</v>
      </c>
      <c r="J2242" s="88"/>
    </row>
    <row r="2243">
      <c r="A2243" s="20" t="s">
        <v>98</v>
      </c>
      <c r="B2243" s="9" t="s">
        <v>4251</v>
      </c>
      <c r="C2243" s="91">
        <v>45476.47462658565</v>
      </c>
      <c r="D2243" s="8">
        <f t="shared" si="224"/>
        <v>45478</v>
      </c>
      <c r="E2243" s="9" t="s">
        <v>88</v>
      </c>
      <c r="F2243" s="10"/>
      <c r="G2243" s="9" t="s">
        <v>15</v>
      </c>
      <c r="H2243" s="7" t="s">
        <v>4252</v>
      </c>
      <c r="I2243" s="9" t="s">
        <v>353</v>
      </c>
      <c r="J2243" s="88"/>
    </row>
    <row r="2244">
      <c r="A2244" s="34" t="s">
        <v>204</v>
      </c>
      <c r="B2244" s="7" t="s">
        <v>4253</v>
      </c>
      <c r="C2244" s="91">
        <v>45478.49473071759</v>
      </c>
      <c r="D2244" s="8">
        <f t="shared" si="224"/>
        <v>45482</v>
      </c>
      <c r="E2244" s="9" t="s">
        <v>11</v>
      </c>
      <c r="F2244" s="10"/>
      <c r="G2244" s="9" t="s">
        <v>18</v>
      </c>
      <c r="H2244" s="7" t="s">
        <v>437</v>
      </c>
      <c r="I2244" s="9" t="s">
        <v>353</v>
      </c>
      <c r="J2244" s="88"/>
    </row>
    <row r="2245">
      <c r="A2245" s="20" t="s">
        <v>98</v>
      </c>
      <c r="B2245" s="9" t="s">
        <v>4254</v>
      </c>
      <c r="C2245" s="91">
        <v>45474.481083923616</v>
      </c>
      <c r="D2245" s="8">
        <f t="shared" si="224"/>
        <v>45476</v>
      </c>
      <c r="E2245" s="9" t="s">
        <v>88</v>
      </c>
      <c r="F2245" s="10"/>
      <c r="G2245" s="9" t="s">
        <v>18</v>
      </c>
      <c r="H2245" s="7" t="s">
        <v>4255</v>
      </c>
      <c r="I2245" s="9" t="s">
        <v>353</v>
      </c>
      <c r="J2245" s="88"/>
    </row>
    <row r="2246">
      <c r="A2246" s="6" t="s">
        <v>9</v>
      </c>
      <c r="B2246" s="7" t="s">
        <v>4256</v>
      </c>
      <c r="C2246" s="91">
        <v>45470.57834373842</v>
      </c>
      <c r="D2246" s="8">
        <f t="shared" si="224"/>
        <v>45474</v>
      </c>
      <c r="E2246" s="9" t="s">
        <v>11</v>
      </c>
      <c r="F2246" s="10"/>
      <c r="G2246" s="9" t="s">
        <v>15</v>
      </c>
      <c r="H2246" s="7" t="s">
        <v>4257</v>
      </c>
      <c r="I2246" s="9" t="s">
        <v>353</v>
      </c>
      <c r="J2246" s="88"/>
    </row>
    <row r="2247">
      <c r="A2247" s="20" t="s">
        <v>98</v>
      </c>
      <c r="B2247" s="9" t="s">
        <v>4258</v>
      </c>
      <c r="C2247" s="91">
        <v>45398.4717943287</v>
      </c>
      <c r="D2247" s="8">
        <f t="shared" si="224"/>
        <v>45400</v>
      </c>
      <c r="E2247" s="9" t="s">
        <v>206</v>
      </c>
      <c r="F2247" s="10"/>
      <c r="G2247" s="9" t="s">
        <v>15</v>
      </c>
      <c r="H2247" s="22" t="s">
        <v>4259</v>
      </c>
      <c r="I2247" s="9" t="s">
        <v>353</v>
      </c>
      <c r="J2247" s="88"/>
    </row>
    <row r="2248">
      <c r="A2248" s="20" t="s">
        <v>98</v>
      </c>
      <c r="B2248" s="9" t="s">
        <v>4260</v>
      </c>
      <c r="C2248" s="91">
        <v>45476.4165097338</v>
      </c>
      <c r="D2248" s="8">
        <f t="shared" si="224"/>
        <v>45478</v>
      </c>
      <c r="E2248" s="9" t="s">
        <v>88</v>
      </c>
      <c r="F2248" s="10"/>
      <c r="G2248" s="9" t="s">
        <v>18</v>
      </c>
      <c r="H2248" s="23" t="s">
        <v>4261</v>
      </c>
      <c r="I2248" s="9" t="s">
        <v>353</v>
      </c>
      <c r="J2248" s="88"/>
    </row>
    <row r="2249">
      <c r="A2249" s="42" t="s">
        <v>206</v>
      </c>
      <c r="B2249" s="43" t="s">
        <v>4262</v>
      </c>
      <c r="C2249" s="91">
        <v>45392.43428423611</v>
      </c>
      <c r="D2249" s="8"/>
      <c r="E2249" s="9"/>
      <c r="F2249" s="10"/>
      <c r="G2249" s="9" t="s">
        <v>4263</v>
      </c>
      <c r="H2249" s="7" t="s">
        <v>4264</v>
      </c>
      <c r="I2249" s="9" t="s">
        <v>353</v>
      </c>
      <c r="J2249" s="88"/>
    </row>
    <row r="2250">
      <c r="A2250" s="42" t="s">
        <v>206</v>
      </c>
      <c r="B2250" s="43" t="s">
        <v>4265</v>
      </c>
      <c r="C2250" s="91">
        <v>45387.419669849536</v>
      </c>
      <c r="D2250" s="8">
        <v>45471.0</v>
      </c>
      <c r="E2250" s="9" t="s">
        <v>1097</v>
      </c>
      <c r="G2250" s="9" t="s">
        <v>18</v>
      </c>
      <c r="H2250" s="7" t="s">
        <v>4266</v>
      </c>
      <c r="I2250" s="9" t="s">
        <v>353</v>
      </c>
      <c r="J2250" s="88"/>
    </row>
    <row r="2251">
      <c r="A2251" s="42" t="s">
        <v>206</v>
      </c>
      <c r="B2251" s="43" t="s">
        <v>4267</v>
      </c>
      <c r="C2251" s="91">
        <v>45379.705280486116</v>
      </c>
      <c r="D2251" s="8">
        <v>45471.0</v>
      </c>
      <c r="E2251" s="9" t="s">
        <v>1097</v>
      </c>
      <c r="G2251" s="9" t="s">
        <v>18</v>
      </c>
      <c r="H2251" s="7" t="s">
        <v>4266</v>
      </c>
      <c r="I2251" s="9" t="s">
        <v>353</v>
      </c>
      <c r="J2251" s="88"/>
    </row>
    <row r="2252">
      <c r="A2252" s="42" t="s">
        <v>206</v>
      </c>
      <c r="B2252" s="43" t="s">
        <v>4268</v>
      </c>
      <c r="C2252" s="91">
        <v>45379.704970844905</v>
      </c>
      <c r="D2252" s="8">
        <v>45471.0</v>
      </c>
      <c r="E2252" s="9" t="s">
        <v>1097</v>
      </c>
      <c r="G2252" s="9" t="s">
        <v>18</v>
      </c>
      <c r="H2252" s="7" t="s">
        <v>4269</v>
      </c>
      <c r="I2252" s="9" t="s">
        <v>353</v>
      </c>
      <c r="J2252" s="88"/>
    </row>
    <row r="2253">
      <c r="A2253" s="42" t="s">
        <v>206</v>
      </c>
      <c r="B2253" s="43" t="s">
        <v>3587</v>
      </c>
      <c r="C2253" s="91">
        <v>45439.59719219907</v>
      </c>
      <c r="D2253" s="8"/>
      <c r="E2253" s="9" t="s">
        <v>4270</v>
      </c>
      <c r="G2253" s="9" t="s">
        <v>18</v>
      </c>
      <c r="H2253" s="7" t="s">
        <v>4271</v>
      </c>
      <c r="I2253" s="9" t="s">
        <v>13</v>
      </c>
      <c r="J2253" s="88"/>
    </row>
    <row r="2254">
      <c r="A2254" s="42" t="s">
        <v>206</v>
      </c>
      <c r="B2254" s="43" t="s">
        <v>4272</v>
      </c>
      <c r="C2254" s="91">
        <v>45379.70442592593</v>
      </c>
      <c r="D2254" s="8">
        <v>45471.0</v>
      </c>
      <c r="E2254" s="9" t="s">
        <v>1097</v>
      </c>
      <c r="G2254" s="9" t="s">
        <v>18</v>
      </c>
      <c r="H2254" s="7" t="s">
        <v>4266</v>
      </c>
      <c r="I2254" s="9" t="s">
        <v>353</v>
      </c>
      <c r="J2254" s="88"/>
    </row>
    <row r="2255">
      <c r="A2255" s="88"/>
      <c r="B2255" s="89"/>
      <c r="C2255" s="90"/>
      <c r="D2255" s="89"/>
      <c r="E2255" s="89"/>
      <c r="F2255" s="89"/>
      <c r="G2255" s="89"/>
      <c r="H2255" s="87"/>
      <c r="I2255" s="89"/>
      <c r="J2255" s="88"/>
    </row>
    <row r="2256">
      <c r="A2256" s="42" t="s">
        <v>206</v>
      </c>
      <c r="B2256" s="43" t="s">
        <v>4273</v>
      </c>
      <c r="C2256" s="91">
        <v>45387.41975372685</v>
      </c>
      <c r="D2256" s="8">
        <v>45471.0</v>
      </c>
      <c r="E2256" s="9" t="s">
        <v>1097</v>
      </c>
      <c r="G2256" s="9" t="s">
        <v>18</v>
      </c>
      <c r="H2256" s="7" t="s">
        <v>4269</v>
      </c>
      <c r="I2256" s="9" t="s">
        <v>353</v>
      </c>
      <c r="J2256" s="88"/>
    </row>
    <row r="2257">
      <c r="A2257" s="88"/>
      <c r="B2257" s="89"/>
      <c r="C2257" s="90"/>
      <c r="D2257" s="89"/>
      <c r="E2257" s="89"/>
      <c r="F2257" s="89"/>
      <c r="G2257" s="89"/>
      <c r="H2257" s="87"/>
      <c r="I2257" s="89"/>
      <c r="J2257" s="88"/>
    </row>
    <row r="2258">
      <c r="A2258" s="20" t="s">
        <v>98</v>
      </c>
      <c r="B2258" s="9" t="s">
        <v>4274</v>
      </c>
      <c r="C2258" s="91">
        <v>45407.50256702546</v>
      </c>
      <c r="D2258" s="8">
        <f t="shared" ref="D2258:D2260" si="225">IFERROR(_xlfn.WORKDAY.INTL(C2258, 2),"-")</f>
        <v>45411</v>
      </c>
      <c r="E2258" s="9" t="s">
        <v>11</v>
      </c>
      <c r="F2258" s="10"/>
      <c r="G2258" s="9" t="s">
        <v>15</v>
      </c>
      <c r="H2258" s="22" t="s">
        <v>4275</v>
      </c>
      <c r="I2258" s="9" t="s">
        <v>353</v>
      </c>
      <c r="J2258" s="88"/>
    </row>
    <row r="2259">
      <c r="A2259" s="20" t="s">
        <v>98</v>
      </c>
      <c r="B2259" s="9" t="s">
        <v>4276</v>
      </c>
      <c r="C2259" s="91">
        <v>45370.49527373843</v>
      </c>
      <c r="D2259" s="8">
        <f t="shared" si="225"/>
        <v>45372</v>
      </c>
      <c r="E2259" s="9" t="s">
        <v>11</v>
      </c>
      <c r="F2259" s="10"/>
      <c r="G2259" s="9" t="s">
        <v>15</v>
      </c>
      <c r="H2259" s="7" t="s">
        <v>4277</v>
      </c>
      <c r="I2259" s="9" t="s">
        <v>353</v>
      </c>
      <c r="J2259" s="88"/>
    </row>
    <row r="2260">
      <c r="A2260" s="54" t="s">
        <v>4009</v>
      </c>
      <c r="B2260" s="7" t="s">
        <v>4278</v>
      </c>
      <c r="C2260" s="91">
        <v>45468.677620648145</v>
      </c>
      <c r="D2260" s="8">
        <f t="shared" si="225"/>
        <v>45470</v>
      </c>
      <c r="E2260" s="9" t="s">
        <v>11</v>
      </c>
      <c r="F2260" s="8">
        <v>45468.0</v>
      </c>
      <c r="G2260" s="9" t="s">
        <v>18</v>
      </c>
      <c r="H2260" s="7" t="s">
        <v>4279</v>
      </c>
      <c r="I2260" s="9" t="s">
        <v>353</v>
      </c>
      <c r="J2260" s="88"/>
    </row>
    <row r="2261">
      <c r="A2261" s="20" t="s">
        <v>98</v>
      </c>
      <c r="B2261" s="9" t="s">
        <v>4280</v>
      </c>
      <c r="C2261" s="91">
        <v>45401.73073431713</v>
      </c>
      <c r="D2261" s="8"/>
      <c r="E2261" s="9" t="s">
        <v>88</v>
      </c>
      <c r="F2261" s="10"/>
      <c r="G2261" s="9" t="s">
        <v>15</v>
      </c>
      <c r="H2261" s="7" t="s">
        <v>4281</v>
      </c>
      <c r="I2261" s="9" t="s">
        <v>353</v>
      </c>
      <c r="J2261" s="88"/>
    </row>
    <row r="2262">
      <c r="A2262" s="54" t="s">
        <v>4009</v>
      </c>
      <c r="B2262" s="7" t="s">
        <v>4282</v>
      </c>
      <c r="C2262" s="91">
        <v>45463.41266984954</v>
      </c>
      <c r="D2262" s="8">
        <f t="shared" ref="D2262:D2270" si="226">IFERROR(_xlfn.WORKDAY.INTL(C2262, 2),"-")</f>
        <v>45467</v>
      </c>
      <c r="E2262" s="9" t="s">
        <v>206</v>
      </c>
      <c r="F2262" s="10"/>
      <c r="G2262" s="9" t="s">
        <v>15</v>
      </c>
      <c r="H2262" s="7" t="s">
        <v>4283</v>
      </c>
      <c r="I2262" s="9" t="s">
        <v>353</v>
      </c>
      <c r="J2262" s="88"/>
    </row>
    <row r="2263">
      <c r="A2263" s="54" t="s">
        <v>4009</v>
      </c>
      <c r="B2263" s="7" t="s">
        <v>4284</v>
      </c>
      <c r="C2263" s="91">
        <v>45468.67825181713</v>
      </c>
      <c r="D2263" s="8">
        <f t="shared" si="226"/>
        <v>45470</v>
      </c>
      <c r="E2263" s="9" t="s">
        <v>206</v>
      </c>
      <c r="F2263" s="8">
        <v>45470.0</v>
      </c>
      <c r="G2263" s="9" t="s">
        <v>15</v>
      </c>
      <c r="H2263" s="7" t="s">
        <v>4257</v>
      </c>
      <c r="I2263" s="9" t="s">
        <v>353</v>
      </c>
      <c r="J2263" s="88"/>
    </row>
    <row r="2264">
      <c r="A2264" s="34" t="s">
        <v>204</v>
      </c>
      <c r="B2264" s="7" t="s">
        <v>4285</v>
      </c>
      <c r="C2264" s="91">
        <v>45468.708698229166</v>
      </c>
      <c r="D2264" s="8">
        <f t="shared" si="226"/>
        <v>45470</v>
      </c>
      <c r="E2264" s="9" t="s">
        <v>11</v>
      </c>
      <c r="F2264" s="10"/>
      <c r="G2264" s="9" t="s">
        <v>18</v>
      </c>
      <c r="H2264" s="7" t="s">
        <v>4286</v>
      </c>
      <c r="I2264" s="9" t="s">
        <v>353</v>
      </c>
      <c r="J2264" s="88"/>
    </row>
    <row r="2265">
      <c r="A2265" s="20" t="s">
        <v>98</v>
      </c>
      <c r="B2265" s="169" t="s">
        <v>4287</v>
      </c>
      <c r="C2265" s="91">
        <v>45425.369115381945</v>
      </c>
      <c r="D2265" s="8">
        <f t="shared" si="226"/>
        <v>45427</v>
      </c>
      <c r="E2265" s="9" t="s">
        <v>88</v>
      </c>
      <c r="F2265" s="10"/>
      <c r="G2265" s="9" t="s">
        <v>18</v>
      </c>
      <c r="H2265" s="7" t="s">
        <v>4288</v>
      </c>
      <c r="I2265" s="9" t="s">
        <v>353</v>
      </c>
      <c r="J2265" s="88"/>
    </row>
    <row r="2266">
      <c r="A2266" s="20" t="s">
        <v>98</v>
      </c>
      <c r="B2266" s="9" t="s">
        <v>4289</v>
      </c>
      <c r="C2266" s="91">
        <v>45425.36934092593</v>
      </c>
      <c r="D2266" s="8">
        <f t="shared" si="226"/>
        <v>45427</v>
      </c>
      <c r="E2266" s="9" t="s">
        <v>88</v>
      </c>
      <c r="F2266" s="10"/>
      <c r="G2266" s="9" t="s">
        <v>18</v>
      </c>
      <c r="H2266" s="7" t="s">
        <v>4290</v>
      </c>
      <c r="I2266" s="9" t="s">
        <v>353</v>
      </c>
      <c r="J2266" s="88"/>
    </row>
    <row r="2267">
      <c r="A2267" s="6" t="s">
        <v>9</v>
      </c>
      <c r="B2267" s="7" t="s">
        <v>4291</v>
      </c>
      <c r="C2267" s="91">
        <v>45471.448651203704</v>
      </c>
      <c r="D2267" s="8">
        <f t="shared" si="226"/>
        <v>45475</v>
      </c>
      <c r="E2267" s="9" t="s">
        <v>11</v>
      </c>
      <c r="F2267" s="10"/>
      <c r="G2267" s="9" t="s">
        <v>18</v>
      </c>
      <c r="H2267" s="7" t="s">
        <v>4292</v>
      </c>
      <c r="I2267" s="9" t="s">
        <v>353</v>
      </c>
      <c r="J2267" s="88"/>
    </row>
    <row r="2268">
      <c r="A2268" s="20" t="s">
        <v>98</v>
      </c>
      <c r="B2268" s="9" t="s">
        <v>4293</v>
      </c>
      <c r="C2268" s="91">
        <v>45425.3694903588</v>
      </c>
      <c r="D2268" s="8">
        <f t="shared" si="226"/>
        <v>45427</v>
      </c>
      <c r="E2268" s="9" t="s">
        <v>88</v>
      </c>
      <c r="F2268" s="10"/>
      <c r="G2268" s="9" t="s">
        <v>21</v>
      </c>
      <c r="H2268" s="7" t="s">
        <v>4294</v>
      </c>
      <c r="I2268" s="9" t="s">
        <v>353</v>
      </c>
      <c r="J2268" s="88"/>
    </row>
    <row r="2269">
      <c r="A2269" s="20" t="s">
        <v>98</v>
      </c>
      <c r="B2269" s="9" t="s">
        <v>4295</v>
      </c>
      <c r="C2269" s="91">
        <v>45385.6016627662</v>
      </c>
      <c r="D2269" s="8">
        <f t="shared" si="226"/>
        <v>45387</v>
      </c>
      <c r="E2269" s="9" t="s">
        <v>11</v>
      </c>
      <c r="F2269" s="10"/>
      <c r="G2269" s="9" t="s">
        <v>15</v>
      </c>
      <c r="H2269" s="7" t="s">
        <v>4296</v>
      </c>
      <c r="I2269" s="9" t="s">
        <v>353</v>
      </c>
      <c r="J2269" s="88"/>
    </row>
    <row r="2270">
      <c r="A2270" s="20" t="s">
        <v>98</v>
      </c>
      <c r="B2270" s="9" t="s">
        <v>4297</v>
      </c>
      <c r="C2270" s="91">
        <v>45470.58525449074</v>
      </c>
      <c r="D2270" s="8">
        <f t="shared" si="226"/>
        <v>45474</v>
      </c>
      <c r="E2270" s="9" t="s">
        <v>88</v>
      </c>
      <c r="F2270" s="10"/>
      <c r="G2270" s="9" t="s">
        <v>18</v>
      </c>
      <c r="H2270" s="7" t="s">
        <v>4298</v>
      </c>
      <c r="I2270" s="9" t="s">
        <v>353</v>
      </c>
      <c r="J2270" s="88"/>
    </row>
    <row r="2271">
      <c r="A2271" s="42" t="s">
        <v>206</v>
      </c>
      <c r="B2271" s="43" t="s">
        <v>4299</v>
      </c>
      <c r="C2271" s="91">
        <v>45439.59573003472</v>
      </c>
      <c r="D2271" s="8"/>
      <c r="E2271" s="9" t="s">
        <v>206</v>
      </c>
      <c r="F2271" s="10"/>
      <c r="G2271" s="9" t="s">
        <v>15</v>
      </c>
      <c r="H2271" s="7" t="s">
        <v>4300</v>
      </c>
      <c r="I2271" s="9" t="s">
        <v>353</v>
      </c>
      <c r="J2271" s="88"/>
    </row>
    <row r="2272">
      <c r="A2272" s="42" t="s">
        <v>206</v>
      </c>
      <c r="B2272" s="43" t="s">
        <v>4301</v>
      </c>
      <c r="C2272" s="91">
        <v>45379.70154814815</v>
      </c>
      <c r="D2272" s="8">
        <v>45471.0</v>
      </c>
      <c r="E2272" s="9" t="s">
        <v>1097</v>
      </c>
      <c r="F2272" s="8">
        <v>45470.0</v>
      </c>
      <c r="G2272" s="9" t="s">
        <v>15</v>
      </c>
      <c r="H2272" s="7" t="s">
        <v>4302</v>
      </c>
      <c r="I2272" s="9" t="s">
        <v>353</v>
      </c>
      <c r="J2272" s="88"/>
    </row>
    <row r="2273">
      <c r="A2273" s="42" t="s">
        <v>206</v>
      </c>
      <c r="B2273" s="43" t="s">
        <v>4303</v>
      </c>
      <c r="C2273" s="91">
        <v>45464.47306082176</v>
      </c>
      <c r="D2273" s="8"/>
      <c r="E2273" s="9"/>
      <c r="F2273" s="10"/>
      <c r="G2273" s="9" t="s">
        <v>18</v>
      </c>
      <c r="H2273" s="7" t="s">
        <v>4304</v>
      </c>
      <c r="I2273" s="9" t="s">
        <v>353</v>
      </c>
      <c r="J2273" s="88"/>
    </row>
    <row r="2274">
      <c r="A2274" s="42" t="s">
        <v>206</v>
      </c>
      <c r="B2274" s="43" t="s">
        <v>4305</v>
      </c>
      <c r="C2274" s="91">
        <v>45379.70064094907</v>
      </c>
      <c r="D2274" s="8">
        <f t="shared" ref="D2274:D2275" si="227">IFERROR(_xlfn.WORKDAY.INTL(C2274, 2),"-")</f>
        <v>45383</v>
      </c>
      <c r="E2274" s="9" t="s">
        <v>1097</v>
      </c>
      <c r="F2274" s="8">
        <v>45470.0</v>
      </c>
      <c r="G2274" s="9" t="s">
        <v>18</v>
      </c>
      <c r="H2274" s="7" t="s">
        <v>4306</v>
      </c>
      <c r="I2274" s="9" t="s">
        <v>353</v>
      </c>
      <c r="J2274" s="88"/>
    </row>
    <row r="2275">
      <c r="A2275" s="42" t="s">
        <v>206</v>
      </c>
      <c r="B2275" s="43" t="s">
        <v>4307</v>
      </c>
      <c r="C2275" s="91">
        <v>45379.70079137731</v>
      </c>
      <c r="D2275" s="8">
        <f t="shared" si="227"/>
        <v>45383</v>
      </c>
      <c r="E2275" s="9" t="s">
        <v>1097</v>
      </c>
      <c r="F2275" s="8">
        <v>45470.0</v>
      </c>
      <c r="G2275" s="9" t="s">
        <v>18</v>
      </c>
      <c r="H2275" s="7" t="s">
        <v>4306</v>
      </c>
      <c r="I2275" s="9" t="s">
        <v>353</v>
      </c>
      <c r="J2275" s="88"/>
    </row>
    <row r="2276">
      <c r="A2276" s="88"/>
      <c r="B2276" s="89"/>
      <c r="C2276" s="90"/>
      <c r="D2276" s="89"/>
      <c r="E2276" s="89"/>
      <c r="F2276" s="89"/>
      <c r="G2276" s="89"/>
      <c r="H2276" s="87"/>
      <c r="I2276" s="89"/>
      <c r="J2276" s="88"/>
    </row>
    <row r="2277">
      <c r="A2277" s="42" t="s">
        <v>206</v>
      </c>
      <c r="B2277" s="43" t="s">
        <v>4308</v>
      </c>
      <c r="C2277" s="91">
        <v>45379.70084012732</v>
      </c>
      <c r="D2277" s="8">
        <f t="shared" ref="D2277:D2283" si="228">IFERROR(_xlfn.WORKDAY.INTL(C2277, 2),"-")</f>
        <v>45383</v>
      </c>
      <c r="E2277" s="9" t="s">
        <v>1097</v>
      </c>
      <c r="F2277" s="8">
        <v>45470.0</v>
      </c>
      <c r="G2277" s="9" t="s">
        <v>18</v>
      </c>
      <c r="H2277" s="7" t="s">
        <v>4306</v>
      </c>
      <c r="I2277" s="9" t="s">
        <v>353</v>
      </c>
      <c r="J2277" s="88"/>
    </row>
    <row r="2278">
      <c r="A2278" s="42" t="s">
        <v>206</v>
      </c>
      <c r="B2278" s="43" t="s">
        <v>4309</v>
      </c>
      <c r="C2278" s="91">
        <v>45379.70088646991</v>
      </c>
      <c r="D2278" s="8">
        <f t="shared" si="228"/>
        <v>45383</v>
      </c>
      <c r="E2278" s="9" t="s">
        <v>1097</v>
      </c>
      <c r="F2278" s="8">
        <v>45470.0</v>
      </c>
      <c r="G2278" s="9" t="s">
        <v>18</v>
      </c>
      <c r="H2278" s="7" t="s">
        <v>4306</v>
      </c>
      <c r="I2278" s="9" t="s">
        <v>353</v>
      </c>
      <c r="J2278" s="88"/>
    </row>
    <row r="2279">
      <c r="A2279" s="42" t="s">
        <v>206</v>
      </c>
      <c r="B2279" s="43" t="s">
        <v>4310</v>
      </c>
      <c r="C2279" s="91">
        <v>45379.700939594906</v>
      </c>
      <c r="D2279" s="8">
        <f t="shared" si="228"/>
        <v>45383</v>
      </c>
      <c r="E2279" s="9" t="s">
        <v>1097</v>
      </c>
      <c r="F2279" s="8">
        <v>45470.0</v>
      </c>
      <c r="G2279" s="9" t="s">
        <v>18</v>
      </c>
      <c r="H2279" s="7" t="s">
        <v>4306</v>
      </c>
      <c r="I2279" s="9" t="s">
        <v>353</v>
      </c>
      <c r="J2279" s="88"/>
    </row>
    <row r="2280">
      <c r="A2280" s="42" t="s">
        <v>206</v>
      </c>
      <c r="B2280" s="43" t="s">
        <v>4311</v>
      </c>
      <c r="C2280" s="91">
        <v>45379.70137570602</v>
      </c>
      <c r="D2280" s="8">
        <f t="shared" si="228"/>
        <v>45383</v>
      </c>
      <c r="E2280" s="9" t="s">
        <v>1097</v>
      </c>
      <c r="F2280" s="8">
        <v>45470.0</v>
      </c>
      <c r="G2280" s="9" t="s">
        <v>18</v>
      </c>
      <c r="H2280" s="7" t="s">
        <v>4306</v>
      </c>
      <c r="I2280" s="9" t="s">
        <v>353</v>
      </c>
      <c r="J2280" s="88"/>
    </row>
    <row r="2281">
      <c r="A2281" s="42" t="s">
        <v>206</v>
      </c>
      <c r="B2281" s="43" t="s">
        <v>4312</v>
      </c>
      <c r="C2281" s="91">
        <v>45379.701410821755</v>
      </c>
      <c r="D2281" s="8">
        <f t="shared" si="228"/>
        <v>45383</v>
      </c>
      <c r="E2281" s="9" t="s">
        <v>1097</v>
      </c>
      <c r="F2281" s="8">
        <v>45470.0</v>
      </c>
      <c r="G2281" s="9" t="s">
        <v>18</v>
      </c>
      <c r="H2281" s="7" t="s">
        <v>4306</v>
      </c>
      <c r="I2281" s="9" t="s">
        <v>353</v>
      </c>
      <c r="J2281" s="88"/>
    </row>
    <row r="2282">
      <c r="A2282" s="42" t="s">
        <v>206</v>
      </c>
      <c r="B2282" s="43" t="s">
        <v>4313</v>
      </c>
      <c r="C2282" s="91">
        <v>45379.7014984375</v>
      </c>
      <c r="D2282" s="8">
        <f t="shared" si="228"/>
        <v>45383</v>
      </c>
      <c r="E2282" s="9" t="s">
        <v>1097</v>
      </c>
      <c r="F2282" s="8">
        <v>45470.0</v>
      </c>
      <c r="G2282" s="9" t="s">
        <v>18</v>
      </c>
      <c r="H2282" s="7" t="s">
        <v>4306</v>
      </c>
      <c r="I2282" s="9" t="s">
        <v>353</v>
      </c>
      <c r="J2282" s="88"/>
    </row>
    <row r="2283">
      <c r="A2283" s="42" t="s">
        <v>206</v>
      </c>
      <c r="B2283" s="43" t="s">
        <v>4314</v>
      </c>
      <c r="C2283" s="91">
        <v>45379.70161528935</v>
      </c>
      <c r="D2283" s="8">
        <f t="shared" si="228"/>
        <v>45383</v>
      </c>
      <c r="E2283" s="9" t="s">
        <v>1097</v>
      </c>
      <c r="F2283" s="8">
        <v>45470.0</v>
      </c>
      <c r="G2283" s="9" t="s">
        <v>18</v>
      </c>
      <c r="H2283" s="7" t="s">
        <v>4306</v>
      </c>
      <c r="I2283" s="9" t="s">
        <v>353</v>
      </c>
      <c r="J2283" s="88"/>
    </row>
    <row r="2284">
      <c r="A2284" s="88"/>
      <c r="B2284" s="89"/>
      <c r="C2284" s="90"/>
      <c r="D2284" s="89"/>
      <c r="E2284" s="89"/>
      <c r="F2284" s="89"/>
      <c r="G2284" s="89"/>
      <c r="H2284" s="87"/>
      <c r="I2284" s="89"/>
      <c r="J2284" s="88"/>
    </row>
    <row r="2285">
      <c r="A2285" s="20" t="s">
        <v>98</v>
      </c>
      <c r="B2285" s="9" t="s">
        <v>4315</v>
      </c>
      <c r="C2285" s="91">
        <v>45435.40705972222</v>
      </c>
      <c r="D2285" s="8">
        <f t="shared" ref="D2285:D2287" si="229">IFERROR(_xlfn.WORKDAY.INTL(C2285, 2),"-")</f>
        <v>45439</v>
      </c>
      <c r="E2285" s="9" t="s">
        <v>11</v>
      </c>
      <c r="F2285" s="10"/>
      <c r="G2285" s="9" t="s">
        <v>15</v>
      </c>
      <c r="H2285" s="23" t="s">
        <v>4316</v>
      </c>
      <c r="I2285" s="9" t="s">
        <v>353</v>
      </c>
      <c r="J2285" s="88"/>
    </row>
    <row r="2286">
      <c r="A2286" s="20" t="s">
        <v>98</v>
      </c>
      <c r="B2286" s="9" t="s">
        <v>4317</v>
      </c>
      <c r="C2286" s="91">
        <v>45414.5896061574</v>
      </c>
      <c r="D2286" s="8">
        <f t="shared" si="229"/>
        <v>45418</v>
      </c>
      <c r="E2286" s="9" t="s">
        <v>11</v>
      </c>
      <c r="F2286" s="10"/>
      <c r="G2286" s="9" t="s">
        <v>15</v>
      </c>
      <c r="H2286" s="62" t="s">
        <v>4318</v>
      </c>
      <c r="I2286" s="9" t="s">
        <v>353</v>
      </c>
      <c r="J2286" s="88"/>
    </row>
    <row r="2287">
      <c r="A2287" s="20" t="s">
        <v>98</v>
      </c>
      <c r="B2287" s="9" t="s">
        <v>4319</v>
      </c>
      <c r="C2287" s="91">
        <v>45462.60515905093</v>
      </c>
      <c r="D2287" s="8">
        <f t="shared" si="229"/>
        <v>45464</v>
      </c>
      <c r="E2287" s="9" t="s">
        <v>11</v>
      </c>
      <c r="F2287" s="10"/>
      <c r="G2287" s="9" t="s">
        <v>15</v>
      </c>
      <c r="H2287" s="7" t="s">
        <v>4320</v>
      </c>
      <c r="I2287" s="9" t="s">
        <v>353</v>
      </c>
      <c r="J2287" s="88"/>
    </row>
    <row r="2288">
      <c r="A2288" s="42" t="s">
        <v>206</v>
      </c>
      <c r="B2288" s="43" t="s">
        <v>4321</v>
      </c>
      <c r="C2288" s="91">
        <v>45463.38402524305</v>
      </c>
      <c r="D2288" s="8"/>
      <c r="E2288" s="9" t="s">
        <v>88</v>
      </c>
      <c r="F2288" s="10"/>
      <c r="G2288" s="9" t="s">
        <v>220</v>
      </c>
      <c r="H2288" s="7" t="s">
        <v>4322</v>
      </c>
      <c r="I2288" s="9" t="s">
        <v>353</v>
      </c>
      <c r="J2288" s="88"/>
    </row>
    <row r="2289">
      <c r="A2289" s="20" t="s">
        <v>98</v>
      </c>
      <c r="B2289" s="9" t="s">
        <v>4323</v>
      </c>
      <c r="C2289" s="91">
        <v>45468.428464571756</v>
      </c>
      <c r="D2289" s="8">
        <f t="shared" ref="D2289:D2292" si="230">IFERROR(_xlfn.WORKDAY.INTL(C2289, 2),"-")</f>
        <v>45470</v>
      </c>
      <c r="E2289" s="9" t="s">
        <v>206</v>
      </c>
      <c r="F2289" s="10"/>
      <c r="G2289" s="9" t="s">
        <v>15</v>
      </c>
      <c r="H2289" s="7" t="s">
        <v>4324</v>
      </c>
      <c r="I2289" s="9" t="s">
        <v>353</v>
      </c>
      <c r="J2289" s="88"/>
    </row>
    <row r="2290">
      <c r="A2290" s="54" t="s">
        <v>4009</v>
      </c>
      <c r="B2290" s="7" t="s">
        <v>4325</v>
      </c>
      <c r="C2290" s="91">
        <v>45467.36863010417</v>
      </c>
      <c r="D2290" s="8">
        <f t="shared" si="230"/>
        <v>45469</v>
      </c>
      <c r="E2290" s="9" t="s">
        <v>88</v>
      </c>
      <c r="F2290" s="8">
        <v>45468.0</v>
      </c>
      <c r="G2290" s="9" t="s">
        <v>18</v>
      </c>
      <c r="H2290" s="7" t="s">
        <v>4326</v>
      </c>
      <c r="I2290" s="9" t="s">
        <v>353</v>
      </c>
      <c r="J2290" s="88"/>
    </row>
    <row r="2291">
      <c r="A2291" s="54" t="s">
        <v>4009</v>
      </c>
      <c r="B2291" s="7" t="s">
        <v>4327</v>
      </c>
      <c r="C2291" s="91">
        <v>45467.36883403936</v>
      </c>
      <c r="D2291" s="8">
        <f t="shared" si="230"/>
        <v>45469</v>
      </c>
      <c r="E2291" s="9" t="s">
        <v>88</v>
      </c>
      <c r="F2291" s="8">
        <v>45468.0</v>
      </c>
      <c r="G2291" s="9" t="s">
        <v>18</v>
      </c>
      <c r="H2291" s="7" t="s">
        <v>4326</v>
      </c>
      <c r="I2291" s="9" t="s">
        <v>353</v>
      </c>
      <c r="J2291" s="88"/>
    </row>
    <row r="2292">
      <c r="A2292" s="34" t="s">
        <v>204</v>
      </c>
      <c r="B2292" s="7" t="s">
        <v>4328</v>
      </c>
      <c r="C2292" s="91">
        <v>45384.787827928245</v>
      </c>
      <c r="D2292" s="8">
        <f t="shared" si="230"/>
        <v>45386</v>
      </c>
      <c r="E2292" s="9" t="s">
        <v>11</v>
      </c>
      <c r="F2292" s="9" t="s">
        <v>11</v>
      </c>
      <c r="G2292" s="9" t="s">
        <v>18</v>
      </c>
      <c r="H2292" s="7" t="s">
        <v>437</v>
      </c>
      <c r="I2292" s="9" t="s">
        <v>353</v>
      </c>
      <c r="J2292" s="88"/>
    </row>
    <row r="2293">
      <c r="A2293" s="54" t="s">
        <v>4009</v>
      </c>
      <c r="B2293" s="7" t="s">
        <v>2814</v>
      </c>
      <c r="C2293" s="91">
        <v>45309.384504560185</v>
      </c>
      <c r="D2293" s="8"/>
      <c r="E2293" s="9" t="s">
        <v>11</v>
      </c>
      <c r="F2293" s="10"/>
      <c r="G2293" s="9" t="s">
        <v>220</v>
      </c>
      <c r="H2293" s="7" t="s">
        <v>4329</v>
      </c>
      <c r="I2293" s="9" t="s">
        <v>353</v>
      </c>
      <c r="J2293" s="88"/>
    </row>
    <row r="2294">
      <c r="A2294" s="20" t="s">
        <v>98</v>
      </c>
      <c r="B2294" s="9" t="s">
        <v>4330</v>
      </c>
      <c r="C2294" s="91">
        <v>45366.43140958333</v>
      </c>
      <c r="D2294" s="8">
        <f t="shared" ref="D2294:D2307" si="231">IFERROR(_xlfn.WORKDAY.INTL(C2294, 2),"-")</f>
        <v>45370</v>
      </c>
      <c r="E2294" s="9" t="s">
        <v>206</v>
      </c>
      <c r="F2294" s="10"/>
      <c r="G2294" s="9" t="s">
        <v>15</v>
      </c>
      <c r="H2294" s="23" t="s">
        <v>4331</v>
      </c>
      <c r="I2294" s="9" t="s">
        <v>353</v>
      </c>
      <c r="J2294" s="88"/>
    </row>
    <row r="2295">
      <c r="A2295" s="20" t="s">
        <v>98</v>
      </c>
      <c r="B2295" s="9" t="s">
        <v>4332</v>
      </c>
      <c r="C2295" s="91">
        <v>45426.512502199075</v>
      </c>
      <c r="D2295" s="8">
        <f t="shared" si="231"/>
        <v>45428</v>
      </c>
      <c r="E2295" s="9" t="s">
        <v>11</v>
      </c>
      <c r="F2295" s="10"/>
      <c r="G2295" s="9" t="s">
        <v>15</v>
      </c>
      <c r="H2295" s="23" t="s">
        <v>4333</v>
      </c>
      <c r="I2295" s="9" t="s">
        <v>353</v>
      </c>
      <c r="J2295" s="88"/>
    </row>
    <row r="2296">
      <c r="A2296" s="20" t="s">
        <v>98</v>
      </c>
      <c r="B2296" s="9" t="s">
        <v>4334</v>
      </c>
      <c r="C2296" s="91">
        <v>45462.382603252314</v>
      </c>
      <c r="D2296" s="8">
        <f t="shared" si="231"/>
        <v>45464</v>
      </c>
      <c r="E2296" s="9" t="s">
        <v>88</v>
      </c>
      <c r="F2296" s="10"/>
      <c r="G2296" s="9" t="s">
        <v>18</v>
      </c>
      <c r="H2296" s="7" t="s">
        <v>4335</v>
      </c>
      <c r="I2296" s="9" t="s">
        <v>353</v>
      </c>
      <c r="J2296" s="88"/>
    </row>
    <row r="2297">
      <c r="A2297" s="6" t="s">
        <v>9</v>
      </c>
      <c r="B2297" s="7" t="s">
        <v>4336</v>
      </c>
      <c r="C2297" s="91">
        <v>45376.63331255787</v>
      </c>
      <c r="D2297" s="8">
        <f t="shared" si="231"/>
        <v>45378</v>
      </c>
      <c r="E2297" s="9" t="s">
        <v>88</v>
      </c>
      <c r="F2297" s="10"/>
      <c r="G2297" s="9" t="s">
        <v>21</v>
      </c>
      <c r="H2297" s="7" t="s">
        <v>4337</v>
      </c>
      <c r="I2297" s="9" t="s">
        <v>353</v>
      </c>
      <c r="J2297" s="88"/>
    </row>
    <row r="2298">
      <c r="A2298" s="20" t="s">
        <v>98</v>
      </c>
      <c r="B2298" s="9" t="s">
        <v>4338</v>
      </c>
      <c r="C2298" s="91">
        <v>45467.39094082176</v>
      </c>
      <c r="D2298" s="8">
        <f t="shared" si="231"/>
        <v>45469</v>
      </c>
      <c r="E2298" s="9" t="s">
        <v>11</v>
      </c>
      <c r="F2298" s="10"/>
      <c r="G2298" s="9" t="s">
        <v>15</v>
      </c>
      <c r="H2298" s="7" t="s">
        <v>4339</v>
      </c>
      <c r="I2298" s="9" t="s">
        <v>353</v>
      </c>
      <c r="J2298" s="88"/>
    </row>
    <row r="2299">
      <c r="A2299" s="20" t="s">
        <v>98</v>
      </c>
      <c r="B2299" s="9" t="s">
        <v>4340</v>
      </c>
      <c r="C2299" s="91">
        <v>45398.69428960649</v>
      </c>
      <c r="D2299" s="8">
        <f t="shared" si="231"/>
        <v>45400</v>
      </c>
      <c r="E2299" s="9" t="s">
        <v>206</v>
      </c>
      <c r="F2299" s="10"/>
      <c r="G2299" s="9" t="s">
        <v>15</v>
      </c>
      <c r="H2299" s="23" t="s">
        <v>4341</v>
      </c>
      <c r="I2299" s="9" t="s">
        <v>353</v>
      </c>
      <c r="J2299" s="88"/>
    </row>
    <row r="2300">
      <c r="A2300" s="34" t="s">
        <v>204</v>
      </c>
      <c r="B2300" s="7" t="s">
        <v>4342</v>
      </c>
      <c r="C2300" s="91">
        <v>45464.502507893514</v>
      </c>
      <c r="D2300" s="8">
        <f t="shared" si="231"/>
        <v>45468</v>
      </c>
      <c r="E2300" s="9" t="s">
        <v>11</v>
      </c>
      <c r="F2300" s="10"/>
      <c r="G2300" s="9" t="s">
        <v>18</v>
      </c>
      <c r="H2300" s="7" t="s">
        <v>437</v>
      </c>
      <c r="I2300" s="9" t="s">
        <v>353</v>
      </c>
      <c r="J2300" s="88"/>
    </row>
    <row r="2301">
      <c r="A2301" s="34" t="s">
        <v>204</v>
      </c>
      <c r="B2301" s="7" t="s">
        <v>4189</v>
      </c>
      <c r="C2301" s="91">
        <v>45464.49059180556</v>
      </c>
      <c r="D2301" s="8">
        <f t="shared" si="231"/>
        <v>45468</v>
      </c>
      <c r="E2301" s="9" t="s">
        <v>11</v>
      </c>
      <c r="F2301" s="10"/>
      <c r="G2301" s="9" t="s">
        <v>18</v>
      </c>
      <c r="H2301" s="7" t="s">
        <v>437</v>
      </c>
      <c r="I2301" s="9" t="s">
        <v>353</v>
      </c>
      <c r="J2301" s="88"/>
    </row>
    <row r="2302">
      <c r="A2302" s="34" t="s">
        <v>204</v>
      </c>
      <c r="B2302" s="7" t="s">
        <v>4343</v>
      </c>
      <c r="C2302" s="91">
        <v>45461.604802511574</v>
      </c>
      <c r="D2302" s="8">
        <f t="shared" si="231"/>
        <v>45463</v>
      </c>
      <c r="E2302" s="9" t="s">
        <v>11</v>
      </c>
      <c r="F2302" s="10"/>
      <c r="G2302" s="9" t="s">
        <v>18</v>
      </c>
      <c r="H2302" s="7" t="s">
        <v>437</v>
      </c>
      <c r="I2302" s="9" t="s">
        <v>353</v>
      </c>
      <c r="J2302" s="88"/>
    </row>
    <row r="2303">
      <c r="A2303" s="34" t="s">
        <v>204</v>
      </c>
      <c r="B2303" s="7" t="s">
        <v>4344</v>
      </c>
      <c r="C2303" s="91">
        <v>45464.48139400463</v>
      </c>
      <c r="D2303" s="8">
        <f t="shared" si="231"/>
        <v>45468</v>
      </c>
      <c r="E2303" s="9" t="s">
        <v>11</v>
      </c>
      <c r="F2303" s="10"/>
      <c r="G2303" s="9" t="s">
        <v>18</v>
      </c>
      <c r="H2303" s="7" t="s">
        <v>437</v>
      </c>
      <c r="I2303" s="9" t="s">
        <v>353</v>
      </c>
      <c r="J2303" s="88"/>
    </row>
    <row r="2304">
      <c r="A2304" s="20" t="s">
        <v>98</v>
      </c>
      <c r="B2304" s="9" t="s">
        <v>4159</v>
      </c>
      <c r="C2304" s="91">
        <v>45461.37567181713</v>
      </c>
      <c r="D2304" s="8">
        <f t="shared" si="231"/>
        <v>45463</v>
      </c>
      <c r="E2304" s="9" t="s">
        <v>11</v>
      </c>
      <c r="F2304" s="10"/>
      <c r="G2304" s="9" t="s">
        <v>15</v>
      </c>
      <c r="H2304" s="7" t="s">
        <v>1820</v>
      </c>
      <c r="I2304" s="9" t="s">
        <v>353</v>
      </c>
      <c r="J2304" s="88"/>
    </row>
    <row r="2305">
      <c r="A2305" s="20" t="s">
        <v>98</v>
      </c>
      <c r="B2305" s="9" t="s">
        <v>4345</v>
      </c>
      <c r="C2305" s="91">
        <v>45453.75150061343</v>
      </c>
      <c r="D2305" s="8">
        <f t="shared" si="231"/>
        <v>45455</v>
      </c>
      <c r="E2305" s="9" t="s">
        <v>88</v>
      </c>
      <c r="F2305" s="10"/>
      <c r="G2305" s="9" t="s">
        <v>15</v>
      </c>
      <c r="H2305" s="7" t="s">
        <v>4346</v>
      </c>
      <c r="I2305" s="9" t="s">
        <v>353</v>
      </c>
      <c r="J2305" s="88"/>
    </row>
    <row r="2306">
      <c r="A2306" s="20" t="s">
        <v>98</v>
      </c>
      <c r="B2306" s="9" t="s">
        <v>4347</v>
      </c>
      <c r="C2306" s="91">
        <v>45435.51358915509</v>
      </c>
      <c r="D2306" s="8">
        <f t="shared" si="231"/>
        <v>45439</v>
      </c>
      <c r="E2306" s="9" t="s">
        <v>11</v>
      </c>
      <c r="F2306" s="10"/>
      <c r="G2306" s="9" t="s">
        <v>15</v>
      </c>
      <c r="H2306" s="22" t="s">
        <v>4348</v>
      </c>
      <c r="I2306" s="9" t="s">
        <v>353</v>
      </c>
      <c r="J2306" s="88"/>
    </row>
    <row r="2307">
      <c r="A2307" s="6" t="s">
        <v>9</v>
      </c>
      <c r="B2307" s="7" t="s">
        <v>4349</v>
      </c>
      <c r="C2307" s="91">
        <v>45449.69302953704</v>
      </c>
      <c r="D2307" s="8">
        <f t="shared" si="231"/>
        <v>45453</v>
      </c>
      <c r="E2307" s="9" t="s">
        <v>11</v>
      </c>
      <c r="F2307" s="10"/>
      <c r="G2307" s="9" t="s">
        <v>15</v>
      </c>
      <c r="H2307" s="7" t="s">
        <v>4350</v>
      </c>
      <c r="I2307" s="9" t="s">
        <v>353</v>
      </c>
      <c r="J2307" s="88"/>
    </row>
    <row r="2308">
      <c r="A2308" s="42" t="s">
        <v>206</v>
      </c>
      <c r="B2308" s="43" t="s">
        <v>4351</v>
      </c>
      <c r="C2308" s="91">
        <v>45422.439597476856</v>
      </c>
      <c r="D2308" s="8"/>
      <c r="E2308" s="9" t="s">
        <v>1097</v>
      </c>
      <c r="F2308" s="8">
        <v>45449.0</v>
      </c>
      <c r="G2308" s="9" t="s">
        <v>18</v>
      </c>
      <c r="H2308" s="7" t="s">
        <v>4352</v>
      </c>
      <c r="I2308" s="9" t="s">
        <v>353</v>
      </c>
      <c r="J2308" s="88"/>
    </row>
    <row r="2309">
      <c r="A2309" s="20" t="s">
        <v>98</v>
      </c>
      <c r="B2309" s="9" t="s">
        <v>4353</v>
      </c>
      <c r="C2309" s="91">
        <v>45448.503510625</v>
      </c>
      <c r="D2309" s="8">
        <f t="shared" ref="D2309:D2318" si="232">IFERROR(_xlfn.WORKDAY.INTL(C2309, 2),"-")</f>
        <v>45450</v>
      </c>
      <c r="E2309" s="9" t="s">
        <v>11</v>
      </c>
      <c r="F2309" s="10"/>
      <c r="G2309" s="9" t="s">
        <v>15</v>
      </c>
      <c r="H2309" s="7" t="s">
        <v>4354</v>
      </c>
      <c r="I2309" s="9" t="s">
        <v>353</v>
      </c>
      <c r="J2309" s="88"/>
    </row>
    <row r="2310">
      <c r="A2310" s="6" t="s">
        <v>9</v>
      </c>
      <c r="B2310" s="7" t="s">
        <v>4355</v>
      </c>
      <c r="C2310" s="91">
        <v>45462.61443553241</v>
      </c>
      <c r="D2310" s="8">
        <f t="shared" si="232"/>
        <v>45464</v>
      </c>
      <c r="E2310" s="9" t="s">
        <v>11</v>
      </c>
      <c r="F2310" s="10"/>
      <c r="G2310" s="9" t="s">
        <v>15</v>
      </c>
      <c r="H2310" s="7" t="s">
        <v>4356</v>
      </c>
      <c r="I2310" s="9" t="s">
        <v>353</v>
      </c>
      <c r="J2310" s="88"/>
    </row>
    <row r="2311">
      <c r="A2311" s="20" t="s">
        <v>98</v>
      </c>
      <c r="B2311" s="9" t="s">
        <v>4357</v>
      </c>
      <c r="C2311" s="91">
        <v>45448.50356114583</v>
      </c>
      <c r="D2311" s="8">
        <f t="shared" si="232"/>
        <v>45450</v>
      </c>
      <c r="E2311" s="9" t="s">
        <v>11</v>
      </c>
      <c r="F2311" s="10"/>
      <c r="G2311" s="9" t="s">
        <v>15</v>
      </c>
      <c r="H2311" s="7" t="s">
        <v>4358</v>
      </c>
      <c r="I2311" s="9" t="s">
        <v>353</v>
      </c>
      <c r="J2311" s="88"/>
    </row>
    <row r="2312">
      <c r="A2312" s="6" t="s">
        <v>9</v>
      </c>
      <c r="B2312" s="7" t="s">
        <v>4359</v>
      </c>
      <c r="C2312" s="91">
        <v>45462.483199375</v>
      </c>
      <c r="D2312" s="8">
        <f t="shared" si="232"/>
        <v>45464</v>
      </c>
      <c r="E2312" s="9" t="s">
        <v>11</v>
      </c>
      <c r="F2312" s="10"/>
      <c r="G2312" s="9" t="s">
        <v>15</v>
      </c>
      <c r="H2312" s="7" t="s">
        <v>4360</v>
      </c>
      <c r="I2312" s="9" t="s">
        <v>353</v>
      </c>
      <c r="J2312" s="88"/>
    </row>
    <row r="2313">
      <c r="A2313" s="6" t="s">
        <v>9</v>
      </c>
      <c r="B2313" s="7" t="s">
        <v>4361</v>
      </c>
      <c r="C2313" s="91">
        <v>45462.466430810186</v>
      </c>
      <c r="D2313" s="8">
        <f t="shared" si="232"/>
        <v>45464</v>
      </c>
      <c r="E2313" s="9" t="s">
        <v>11</v>
      </c>
      <c r="F2313" s="10"/>
      <c r="G2313" s="9" t="s">
        <v>15</v>
      </c>
      <c r="H2313" s="7" t="s">
        <v>4360</v>
      </c>
      <c r="I2313" s="9" t="s">
        <v>353</v>
      </c>
      <c r="J2313" s="88"/>
    </row>
    <row r="2314">
      <c r="A2314" s="6" t="s">
        <v>9</v>
      </c>
      <c r="B2314" s="7" t="s">
        <v>4362</v>
      </c>
      <c r="C2314" s="91">
        <v>45434.4111546412</v>
      </c>
      <c r="D2314" s="8">
        <f t="shared" si="232"/>
        <v>45436</v>
      </c>
      <c r="E2314" s="9" t="s">
        <v>88</v>
      </c>
      <c r="F2314" s="10"/>
      <c r="G2314" s="9" t="s">
        <v>15</v>
      </c>
      <c r="H2314" s="7" t="s">
        <v>4363</v>
      </c>
      <c r="I2314" s="9" t="s">
        <v>353</v>
      </c>
      <c r="J2314" s="88"/>
    </row>
    <row r="2315">
      <c r="A2315" s="42" t="s">
        <v>206</v>
      </c>
      <c r="B2315" s="43" t="s">
        <v>4364</v>
      </c>
      <c r="C2315" s="91">
        <v>45379.678572268516</v>
      </c>
      <c r="D2315" s="8">
        <f t="shared" si="232"/>
        <v>45383</v>
      </c>
      <c r="E2315" s="9" t="s">
        <v>1097</v>
      </c>
      <c r="F2315" s="8">
        <v>45453.0</v>
      </c>
      <c r="G2315" s="9" t="s">
        <v>15</v>
      </c>
      <c r="H2315" s="7" t="s">
        <v>4365</v>
      </c>
      <c r="I2315" s="9" t="s">
        <v>353</v>
      </c>
      <c r="J2315" s="88"/>
    </row>
    <row r="2316">
      <c r="A2316" s="20" t="s">
        <v>98</v>
      </c>
      <c r="B2316" s="9" t="s">
        <v>4366</v>
      </c>
      <c r="C2316" s="91">
        <v>45460.390619328704</v>
      </c>
      <c r="D2316" s="8">
        <f t="shared" si="232"/>
        <v>45462</v>
      </c>
      <c r="E2316" s="9" t="s">
        <v>206</v>
      </c>
      <c r="F2316" s="10"/>
      <c r="G2316" s="9" t="s">
        <v>15</v>
      </c>
      <c r="H2316" s="7" t="s">
        <v>4367</v>
      </c>
      <c r="I2316" s="9" t="s">
        <v>353</v>
      </c>
      <c r="J2316" s="88"/>
    </row>
    <row r="2317">
      <c r="A2317" s="34" t="s">
        <v>204</v>
      </c>
      <c r="B2317" s="7" t="s">
        <v>4368</v>
      </c>
      <c r="C2317" s="91">
        <v>45460.73115504629</v>
      </c>
      <c r="D2317" s="8">
        <f t="shared" si="232"/>
        <v>45462</v>
      </c>
      <c r="E2317" s="9" t="s">
        <v>11</v>
      </c>
      <c r="F2317" s="10"/>
      <c r="G2317" s="9" t="s">
        <v>18</v>
      </c>
      <c r="H2317" s="7" t="s">
        <v>437</v>
      </c>
      <c r="I2317" s="9" t="s">
        <v>353</v>
      </c>
      <c r="J2317" s="88"/>
    </row>
    <row r="2318">
      <c r="A2318" s="34" t="s">
        <v>204</v>
      </c>
      <c r="B2318" s="7" t="s">
        <v>4369</v>
      </c>
      <c r="C2318" s="91">
        <v>45460.70832981481</v>
      </c>
      <c r="D2318" s="8">
        <f t="shared" si="232"/>
        <v>45462</v>
      </c>
      <c r="E2318" s="9" t="s">
        <v>11</v>
      </c>
      <c r="F2318" s="10"/>
      <c r="G2318" s="9" t="s">
        <v>18</v>
      </c>
      <c r="H2318" s="7" t="s">
        <v>437</v>
      </c>
      <c r="I2318" s="9" t="s">
        <v>353</v>
      </c>
      <c r="J2318" s="88"/>
    </row>
    <row r="2319">
      <c r="A2319" s="42" t="s">
        <v>206</v>
      </c>
      <c r="B2319" s="43" t="s">
        <v>4370</v>
      </c>
      <c r="C2319" s="91">
        <v>45432.0</v>
      </c>
      <c r="D2319" s="8"/>
      <c r="E2319" s="9" t="s">
        <v>1097</v>
      </c>
      <c r="F2319" s="8">
        <v>45448.0</v>
      </c>
      <c r="G2319" s="9" t="s">
        <v>15</v>
      </c>
      <c r="H2319" s="7" t="s">
        <v>4371</v>
      </c>
      <c r="I2319" s="9" t="s">
        <v>353</v>
      </c>
      <c r="J2319" s="88"/>
    </row>
    <row r="2320">
      <c r="A2320" s="42" t="s">
        <v>206</v>
      </c>
      <c r="B2320" s="170" t="s">
        <v>4372</v>
      </c>
      <c r="C2320" s="171">
        <v>45379.6786560301</v>
      </c>
      <c r="D2320" s="79">
        <v>45456.0</v>
      </c>
      <c r="E2320" s="172" t="s">
        <v>1097</v>
      </c>
      <c r="F2320" s="79">
        <v>45456.0</v>
      </c>
      <c r="G2320" s="173" t="s">
        <v>18</v>
      </c>
      <c r="H2320" s="174" t="s">
        <v>4373</v>
      </c>
      <c r="I2320" s="166" t="s">
        <v>353</v>
      </c>
      <c r="J2320" s="88"/>
    </row>
    <row r="2321">
      <c r="A2321" s="42" t="s">
        <v>206</v>
      </c>
      <c r="B2321" s="170" t="s">
        <v>4374</v>
      </c>
      <c r="C2321" s="171">
        <v>45379.6790091088</v>
      </c>
      <c r="D2321" s="79">
        <v>45456.0</v>
      </c>
      <c r="E2321" s="172" t="s">
        <v>1097</v>
      </c>
      <c r="F2321" s="79">
        <v>45456.0</v>
      </c>
      <c r="G2321" s="173" t="s">
        <v>18</v>
      </c>
      <c r="H2321" s="174" t="s">
        <v>4373</v>
      </c>
      <c r="I2321" s="166" t="s">
        <v>353</v>
      </c>
      <c r="J2321" s="88"/>
    </row>
    <row r="2322">
      <c r="A2322" s="42" t="s">
        <v>206</v>
      </c>
      <c r="B2322" s="170" t="s">
        <v>4375</v>
      </c>
      <c r="C2322" s="171">
        <v>45394.45524310185</v>
      </c>
      <c r="D2322" s="79">
        <v>45456.0</v>
      </c>
      <c r="E2322" s="172" t="s">
        <v>1097</v>
      </c>
      <c r="F2322" s="79">
        <v>45456.0</v>
      </c>
      <c r="G2322" s="173" t="s">
        <v>18</v>
      </c>
      <c r="H2322" s="174" t="s">
        <v>4373</v>
      </c>
      <c r="I2322" s="166" t="s">
        <v>353</v>
      </c>
      <c r="J2322" s="88"/>
    </row>
    <row r="2323">
      <c r="A2323" s="42" t="s">
        <v>206</v>
      </c>
      <c r="B2323" s="170" t="s">
        <v>4376</v>
      </c>
      <c r="C2323" s="171">
        <v>45379.67962693287</v>
      </c>
      <c r="D2323" s="79">
        <v>45456.0</v>
      </c>
      <c r="E2323" s="172" t="s">
        <v>1097</v>
      </c>
      <c r="F2323" s="79">
        <v>45456.0</v>
      </c>
      <c r="G2323" s="173" t="s">
        <v>18</v>
      </c>
      <c r="H2323" s="174" t="s">
        <v>4373</v>
      </c>
      <c r="I2323" s="166" t="s">
        <v>353</v>
      </c>
      <c r="J2323" s="88"/>
    </row>
    <row r="2324">
      <c r="A2324" s="42" t="s">
        <v>206</v>
      </c>
      <c r="B2324" s="170" t="s">
        <v>4377</v>
      </c>
      <c r="C2324" s="171">
        <v>45379.67876278935</v>
      </c>
      <c r="D2324" s="79">
        <v>45456.0</v>
      </c>
      <c r="E2324" s="172" t="s">
        <v>1097</v>
      </c>
      <c r="F2324" s="79">
        <v>45456.0</v>
      </c>
      <c r="G2324" s="173" t="s">
        <v>18</v>
      </c>
      <c r="H2324" s="174" t="s">
        <v>4373</v>
      </c>
      <c r="I2324" s="166" t="s">
        <v>353</v>
      </c>
      <c r="J2324" s="88"/>
    </row>
    <row r="2325">
      <c r="A2325" s="42" t="s">
        <v>206</v>
      </c>
      <c r="B2325" s="170" t="s">
        <v>4378</v>
      </c>
      <c r="C2325" s="171">
        <v>45379.6788136574</v>
      </c>
      <c r="D2325" s="79">
        <v>45456.0</v>
      </c>
      <c r="E2325" s="172" t="s">
        <v>1097</v>
      </c>
      <c r="F2325" s="79">
        <v>45456.0</v>
      </c>
      <c r="G2325" s="173" t="s">
        <v>18</v>
      </c>
      <c r="H2325" s="174" t="s">
        <v>4373</v>
      </c>
      <c r="I2325" s="166" t="s">
        <v>353</v>
      </c>
      <c r="J2325" s="88"/>
    </row>
    <row r="2326">
      <c r="A2326" s="42" t="s">
        <v>206</v>
      </c>
      <c r="B2326" s="170" t="s">
        <v>4379</v>
      </c>
      <c r="C2326" s="171">
        <v>45379.67843136574</v>
      </c>
      <c r="D2326" s="79">
        <v>45456.0</v>
      </c>
      <c r="E2326" s="172" t="s">
        <v>1097</v>
      </c>
      <c r="F2326" s="79">
        <v>45456.0</v>
      </c>
      <c r="G2326" s="173" t="s">
        <v>18</v>
      </c>
      <c r="H2326" s="174" t="s">
        <v>4373</v>
      </c>
      <c r="I2326" s="166" t="s">
        <v>353</v>
      </c>
      <c r="J2326" s="88"/>
    </row>
    <row r="2327">
      <c r="A2327" s="42" t="s">
        <v>206</v>
      </c>
      <c r="B2327" s="43" t="s">
        <v>4380</v>
      </c>
      <c r="C2327" s="91">
        <v>45443.37433584491</v>
      </c>
      <c r="D2327" s="79">
        <v>45456.0</v>
      </c>
      <c r="E2327" s="172" t="s">
        <v>1097</v>
      </c>
      <c r="F2327" s="79">
        <v>45456.0</v>
      </c>
      <c r="G2327" s="173" t="s">
        <v>18</v>
      </c>
      <c r="H2327" s="174" t="s">
        <v>4373</v>
      </c>
      <c r="I2327" s="166" t="s">
        <v>353</v>
      </c>
      <c r="J2327" s="88"/>
    </row>
    <row r="2328">
      <c r="A2328" s="42" t="s">
        <v>206</v>
      </c>
      <c r="B2328" s="43" t="s">
        <v>4381</v>
      </c>
      <c r="C2328" s="91">
        <v>45443.384666516205</v>
      </c>
      <c r="D2328" s="79">
        <v>45456.0</v>
      </c>
      <c r="E2328" s="172" t="s">
        <v>1097</v>
      </c>
      <c r="F2328" s="79">
        <v>45456.0</v>
      </c>
      <c r="G2328" s="173" t="s">
        <v>18</v>
      </c>
      <c r="H2328" s="174" t="s">
        <v>4373</v>
      </c>
      <c r="I2328" s="9" t="s">
        <v>353</v>
      </c>
      <c r="J2328" s="88"/>
    </row>
    <row r="2329">
      <c r="A2329" s="42" t="s">
        <v>206</v>
      </c>
      <c r="B2329" s="170" t="s">
        <v>4382</v>
      </c>
      <c r="C2329" s="171">
        <v>45379.67945997685</v>
      </c>
      <c r="D2329" s="79">
        <v>45456.0</v>
      </c>
      <c r="E2329" s="172" t="s">
        <v>1097</v>
      </c>
      <c r="F2329" s="79">
        <v>45456.0</v>
      </c>
      <c r="G2329" s="173" t="s">
        <v>18</v>
      </c>
      <c r="H2329" s="174" t="s">
        <v>4373</v>
      </c>
      <c r="I2329" s="166" t="s">
        <v>353</v>
      </c>
      <c r="J2329" s="88"/>
    </row>
    <row r="2330">
      <c r="A2330" s="42" t="s">
        <v>206</v>
      </c>
      <c r="B2330" s="170" t="s">
        <v>4383</v>
      </c>
      <c r="C2330" s="171">
        <v>45379.679531828704</v>
      </c>
      <c r="D2330" s="79">
        <v>45456.0</v>
      </c>
      <c r="E2330" s="172" t="s">
        <v>1097</v>
      </c>
      <c r="F2330" s="79">
        <v>45456.0</v>
      </c>
      <c r="G2330" s="173" t="s">
        <v>18</v>
      </c>
      <c r="H2330" s="174" t="s">
        <v>4373</v>
      </c>
      <c r="I2330" s="166" t="s">
        <v>353</v>
      </c>
      <c r="J2330" s="88"/>
    </row>
    <row r="2331">
      <c r="A2331" s="42" t="s">
        <v>206</v>
      </c>
      <c r="B2331" s="43" t="s">
        <v>4384</v>
      </c>
      <c r="C2331" s="91">
        <v>45379.67956371528</v>
      </c>
      <c r="D2331" s="8">
        <f>IFERROR(_xlfn.WORKDAY.INTL(C2331, 2),"-")</f>
        <v>45383</v>
      </c>
      <c r="E2331" s="9" t="s">
        <v>1097</v>
      </c>
      <c r="F2331" s="8">
        <v>45453.0</v>
      </c>
      <c r="G2331" s="9" t="s">
        <v>18</v>
      </c>
      <c r="H2331" s="7" t="s">
        <v>4385</v>
      </c>
      <c r="I2331" s="9" t="s">
        <v>353</v>
      </c>
      <c r="J2331" s="88"/>
    </row>
    <row r="2332">
      <c r="A2332" s="42" t="s">
        <v>206</v>
      </c>
      <c r="B2332" s="170" t="s">
        <v>4386</v>
      </c>
      <c r="C2332" s="171">
        <v>45379.678509687496</v>
      </c>
      <c r="D2332" s="79">
        <v>45456.0</v>
      </c>
      <c r="E2332" s="172" t="s">
        <v>1097</v>
      </c>
      <c r="F2332" s="79">
        <v>45456.0</v>
      </c>
      <c r="G2332" s="173" t="s">
        <v>18</v>
      </c>
      <c r="H2332" s="174" t="s">
        <v>4373</v>
      </c>
      <c r="I2332" s="166" t="s">
        <v>353</v>
      </c>
      <c r="J2332" s="88"/>
    </row>
    <row r="2333">
      <c r="A2333" s="34" t="s">
        <v>204</v>
      </c>
      <c r="B2333" s="7" t="s">
        <v>4387</v>
      </c>
      <c r="C2333" s="91">
        <v>45460.66239675926</v>
      </c>
      <c r="D2333" s="8">
        <f t="shared" ref="D2333:D2359" si="233">IFERROR(_xlfn.WORKDAY.INTL(C2333, 2),"-")</f>
        <v>45462</v>
      </c>
      <c r="E2333" s="9" t="s">
        <v>11</v>
      </c>
      <c r="F2333" s="10"/>
      <c r="G2333" s="9" t="s">
        <v>18</v>
      </c>
      <c r="H2333" s="7" t="s">
        <v>437</v>
      </c>
      <c r="I2333" s="9" t="s">
        <v>353</v>
      </c>
      <c r="J2333" s="88"/>
    </row>
    <row r="2334">
      <c r="A2334" s="34" t="s">
        <v>204</v>
      </c>
      <c r="B2334" s="7" t="s">
        <v>4388</v>
      </c>
      <c r="C2334" s="91">
        <v>45460.65268875</v>
      </c>
      <c r="D2334" s="8">
        <f t="shared" si="233"/>
        <v>45462</v>
      </c>
      <c r="E2334" s="9" t="s">
        <v>11</v>
      </c>
      <c r="F2334" s="10"/>
      <c r="G2334" s="9" t="s">
        <v>18</v>
      </c>
      <c r="H2334" s="7" t="s">
        <v>437</v>
      </c>
      <c r="I2334" s="9" t="s">
        <v>353</v>
      </c>
      <c r="J2334" s="88"/>
    </row>
    <row r="2335">
      <c r="A2335" s="34" t="s">
        <v>204</v>
      </c>
      <c r="B2335" s="7" t="s">
        <v>4389</v>
      </c>
      <c r="C2335" s="91">
        <v>45460.651266817134</v>
      </c>
      <c r="D2335" s="8">
        <f t="shared" si="233"/>
        <v>45462</v>
      </c>
      <c r="E2335" s="9" t="s">
        <v>11</v>
      </c>
      <c r="F2335" s="10"/>
      <c r="G2335" s="9" t="s">
        <v>18</v>
      </c>
      <c r="H2335" s="7" t="s">
        <v>437</v>
      </c>
      <c r="I2335" s="9" t="s">
        <v>353</v>
      </c>
      <c r="J2335" s="88"/>
    </row>
    <row r="2336">
      <c r="A2336" s="6" t="s">
        <v>9</v>
      </c>
      <c r="B2336" s="7" t="s">
        <v>2600</v>
      </c>
      <c r="C2336" s="91">
        <v>45322.40231902778</v>
      </c>
      <c r="D2336" s="8">
        <f t="shared" si="233"/>
        <v>45324</v>
      </c>
      <c r="E2336" s="9" t="s">
        <v>88</v>
      </c>
      <c r="F2336" s="10"/>
      <c r="G2336" s="9" t="s">
        <v>15</v>
      </c>
      <c r="H2336" s="7" t="s">
        <v>4390</v>
      </c>
      <c r="I2336" s="9" t="s">
        <v>353</v>
      </c>
      <c r="J2336" s="88"/>
    </row>
    <row r="2337">
      <c r="A2337" s="6" t="s">
        <v>9</v>
      </c>
      <c r="B2337" s="7" t="s">
        <v>4391</v>
      </c>
      <c r="C2337" s="91">
        <v>45322.402434675925</v>
      </c>
      <c r="D2337" s="8">
        <f t="shared" si="233"/>
        <v>45324</v>
      </c>
      <c r="E2337" s="9" t="s">
        <v>88</v>
      </c>
      <c r="F2337" s="10"/>
      <c r="G2337" s="9" t="s">
        <v>15</v>
      </c>
      <c r="H2337" s="7" t="s">
        <v>4392</v>
      </c>
      <c r="I2337" s="9" t="s">
        <v>353</v>
      </c>
      <c r="J2337" s="88"/>
    </row>
    <row r="2338">
      <c r="A2338" s="20" t="s">
        <v>98</v>
      </c>
      <c r="B2338" s="9" t="s">
        <v>4393</v>
      </c>
      <c r="C2338" s="91">
        <v>45454.366812928245</v>
      </c>
      <c r="D2338" s="8">
        <f t="shared" si="233"/>
        <v>45456</v>
      </c>
      <c r="E2338" s="9" t="s">
        <v>206</v>
      </c>
      <c r="F2338" s="10"/>
      <c r="G2338" s="9" t="s">
        <v>15</v>
      </c>
      <c r="H2338" s="22" t="s">
        <v>4394</v>
      </c>
      <c r="I2338" s="9" t="s">
        <v>353</v>
      </c>
      <c r="J2338" s="88"/>
    </row>
    <row r="2339">
      <c r="A2339" s="6" t="s">
        <v>9</v>
      </c>
      <c r="B2339" s="7" t="s">
        <v>4395</v>
      </c>
      <c r="C2339" s="91">
        <v>45456.58200976852</v>
      </c>
      <c r="D2339" s="8">
        <f t="shared" si="233"/>
        <v>45460</v>
      </c>
      <c r="E2339" s="9" t="s">
        <v>11</v>
      </c>
      <c r="F2339" s="10"/>
      <c r="G2339" s="9" t="s">
        <v>15</v>
      </c>
      <c r="H2339" s="7" t="s">
        <v>1889</v>
      </c>
      <c r="I2339" s="9" t="s">
        <v>353</v>
      </c>
      <c r="J2339" s="88"/>
    </row>
    <row r="2340">
      <c r="A2340" s="6" t="s">
        <v>9</v>
      </c>
      <c r="B2340" s="7" t="s">
        <v>4396</v>
      </c>
      <c r="C2340" s="91">
        <v>45456.58207748843</v>
      </c>
      <c r="D2340" s="8">
        <f t="shared" si="233"/>
        <v>45460</v>
      </c>
      <c r="E2340" s="9" t="s">
        <v>11</v>
      </c>
      <c r="F2340" s="10"/>
      <c r="G2340" s="9" t="s">
        <v>15</v>
      </c>
      <c r="H2340" s="7" t="s">
        <v>1889</v>
      </c>
      <c r="I2340" s="9" t="s">
        <v>353</v>
      </c>
      <c r="J2340" s="88"/>
    </row>
    <row r="2341">
      <c r="A2341" s="6" t="s">
        <v>9</v>
      </c>
      <c r="B2341" s="7" t="s">
        <v>4397</v>
      </c>
      <c r="C2341" s="91">
        <v>45456.42999376157</v>
      </c>
      <c r="D2341" s="8">
        <f t="shared" si="233"/>
        <v>45460</v>
      </c>
      <c r="E2341" s="9" t="s">
        <v>11</v>
      </c>
      <c r="F2341" s="10"/>
      <c r="G2341" s="9" t="s">
        <v>15</v>
      </c>
      <c r="H2341" s="7" t="s">
        <v>4398</v>
      </c>
      <c r="I2341" s="9" t="s">
        <v>353</v>
      </c>
      <c r="J2341" s="88"/>
    </row>
    <row r="2342">
      <c r="A2342" s="6" t="s">
        <v>9</v>
      </c>
      <c r="B2342" s="7" t="s">
        <v>4399</v>
      </c>
      <c r="C2342" s="91">
        <v>45454.43480400463</v>
      </c>
      <c r="D2342" s="8">
        <f t="shared" si="233"/>
        <v>45456</v>
      </c>
      <c r="E2342" s="9" t="s">
        <v>11</v>
      </c>
      <c r="F2342" s="10"/>
      <c r="G2342" s="9" t="s">
        <v>18</v>
      </c>
      <c r="H2342" s="7" t="s">
        <v>4400</v>
      </c>
      <c r="I2342" s="9" t="s">
        <v>353</v>
      </c>
      <c r="J2342" s="88"/>
    </row>
    <row r="2343">
      <c r="A2343" s="34" t="s">
        <v>204</v>
      </c>
      <c r="B2343" s="7" t="s">
        <v>4401</v>
      </c>
      <c r="C2343" s="91">
        <v>45307.7152965625</v>
      </c>
      <c r="D2343" s="8">
        <f t="shared" si="233"/>
        <v>45309</v>
      </c>
      <c r="E2343" s="9" t="s">
        <v>11</v>
      </c>
      <c r="F2343" s="9" t="s">
        <v>11</v>
      </c>
      <c r="G2343" s="9" t="s">
        <v>18</v>
      </c>
      <c r="H2343" s="7" t="s">
        <v>437</v>
      </c>
      <c r="I2343" s="9" t="s">
        <v>353</v>
      </c>
      <c r="J2343" s="88"/>
    </row>
    <row r="2344">
      <c r="A2344" s="6" t="s">
        <v>9</v>
      </c>
      <c r="B2344" s="7" t="s">
        <v>4402</v>
      </c>
      <c r="C2344" s="91">
        <v>45450.4618300463</v>
      </c>
      <c r="D2344" s="8">
        <f t="shared" si="233"/>
        <v>45454</v>
      </c>
      <c r="E2344" s="9" t="s">
        <v>11</v>
      </c>
      <c r="F2344" s="10"/>
      <c r="G2344" s="9" t="s">
        <v>15</v>
      </c>
      <c r="H2344" s="7" t="s">
        <v>4403</v>
      </c>
      <c r="I2344" s="9" t="s">
        <v>353</v>
      </c>
      <c r="J2344" s="88"/>
    </row>
    <row r="2345">
      <c r="A2345" s="20" t="s">
        <v>98</v>
      </c>
      <c r="B2345" s="9" t="s">
        <v>4404</v>
      </c>
      <c r="C2345" s="91">
        <v>45454.692256875</v>
      </c>
      <c r="D2345" s="8">
        <f t="shared" si="233"/>
        <v>45456</v>
      </c>
      <c r="E2345" s="9" t="s">
        <v>88</v>
      </c>
      <c r="F2345" s="10"/>
      <c r="G2345" s="9" t="s">
        <v>15</v>
      </c>
      <c r="H2345" s="7" t="s">
        <v>4405</v>
      </c>
      <c r="I2345" s="9" t="s">
        <v>353</v>
      </c>
      <c r="J2345" s="88"/>
    </row>
    <row r="2346">
      <c r="A2346" s="20" t="s">
        <v>98</v>
      </c>
      <c r="B2346" s="9" t="s">
        <v>3854</v>
      </c>
      <c r="C2346" s="91">
        <v>45447.51616054398</v>
      </c>
      <c r="D2346" s="8">
        <f t="shared" si="233"/>
        <v>45449</v>
      </c>
      <c r="E2346" s="9" t="s">
        <v>11</v>
      </c>
      <c r="F2346" s="10"/>
      <c r="G2346" s="9" t="s">
        <v>15</v>
      </c>
      <c r="H2346" s="7" t="s">
        <v>4406</v>
      </c>
      <c r="I2346" s="9" t="s">
        <v>353</v>
      </c>
      <c r="J2346" s="88"/>
    </row>
    <row r="2347">
      <c r="A2347" s="6" t="s">
        <v>9</v>
      </c>
      <c r="B2347" s="7" t="s">
        <v>4407</v>
      </c>
      <c r="C2347" s="91">
        <v>45456.40953498843</v>
      </c>
      <c r="D2347" s="8">
        <f t="shared" si="233"/>
        <v>45460</v>
      </c>
      <c r="E2347" s="9" t="s">
        <v>11</v>
      </c>
      <c r="F2347" s="10"/>
      <c r="G2347" s="9" t="s">
        <v>18</v>
      </c>
      <c r="H2347" s="7" t="s">
        <v>4400</v>
      </c>
      <c r="I2347" s="9" t="s">
        <v>353</v>
      </c>
      <c r="J2347" s="88"/>
    </row>
    <row r="2348">
      <c r="A2348" s="6" t="s">
        <v>9</v>
      </c>
      <c r="B2348" s="7" t="s">
        <v>4408</v>
      </c>
      <c r="C2348" s="91">
        <v>45454.43629469907</v>
      </c>
      <c r="D2348" s="8">
        <f t="shared" si="233"/>
        <v>45456</v>
      </c>
      <c r="E2348" s="9" t="s">
        <v>11</v>
      </c>
      <c r="F2348" s="10"/>
      <c r="G2348" s="9" t="s">
        <v>18</v>
      </c>
      <c r="H2348" s="11"/>
      <c r="I2348" s="9" t="s">
        <v>353</v>
      </c>
      <c r="J2348" s="88"/>
    </row>
    <row r="2349">
      <c r="A2349" s="6" t="s">
        <v>9</v>
      </c>
      <c r="B2349" s="7" t="s">
        <v>4409</v>
      </c>
      <c r="C2349" s="91">
        <v>45453.487386782406</v>
      </c>
      <c r="D2349" s="8">
        <f t="shared" si="233"/>
        <v>45455</v>
      </c>
      <c r="E2349" s="9" t="s">
        <v>11</v>
      </c>
      <c r="F2349" s="10"/>
      <c r="G2349" s="9" t="s">
        <v>15</v>
      </c>
      <c r="H2349" s="7" t="s">
        <v>4410</v>
      </c>
      <c r="I2349" s="9" t="s">
        <v>353</v>
      </c>
      <c r="J2349" s="88"/>
    </row>
    <row r="2350">
      <c r="A2350" s="6" t="s">
        <v>9</v>
      </c>
      <c r="B2350" s="7" t="s">
        <v>4411</v>
      </c>
      <c r="C2350" s="91">
        <v>45453.48742856481</v>
      </c>
      <c r="D2350" s="8">
        <f t="shared" si="233"/>
        <v>45455</v>
      </c>
      <c r="E2350" s="9" t="s">
        <v>11</v>
      </c>
      <c r="F2350" s="10"/>
      <c r="G2350" s="9" t="s">
        <v>15</v>
      </c>
      <c r="H2350" s="7" t="s">
        <v>4412</v>
      </c>
      <c r="I2350" s="9" t="s">
        <v>353</v>
      </c>
      <c r="J2350" s="88"/>
    </row>
    <row r="2351">
      <c r="A2351" s="34" t="s">
        <v>204</v>
      </c>
      <c r="B2351" s="7" t="s">
        <v>4413</v>
      </c>
      <c r="C2351" s="91">
        <v>45456.38109115741</v>
      </c>
      <c r="D2351" s="8">
        <f t="shared" si="233"/>
        <v>45460</v>
      </c>
      <c r="E2351" s="9" t="s">
        <v>11</v>
      </c>
      <c r="F2351" s="10"/>
      <c r="G2351" s="9" t="s">
        <v>18</v>
      </c>
      <c r="H2351" s="7" t="s">
        <v>437</v>
      </c>
      <c r="I2351" s="9" t="s">
        <v>353</v>
      </c>
      <c r="J2351" s="88"/>
    </row>
    <row r="2352">
      <c r="A2352" s="6" t="s">
        <v>9</v>
      </c>
      <c r="B2352" s="7" t="s">
        <v>4414</v>
      </c>
      <c r="C2352" s="91">
        <v>45454.43572212963</v>
      </c>
      <c r="D2352" s="8">
        <f t="shared" si="233"/>
        <v>45456</v>
      </c>
      <c r="E2352" s="9" t="s">
        <v>11</v>
      </c>
      <c r="F2352" s="10"/>
      <c r="G2352" s="9" t="s">
        <v>15</v>
      </c>
      <c r="H2352" s="7" t="s">
        <v>4415</v>
      </c>
      <c r="I2352" s="9" t="s">
        <v>353</v>
      </c>
      <c r="J2352" s="88"/>
    </row>
    <row r="2353">
      <c r="A2353" s="6" t="s">
        <v>9</v>
      </c>
      <c r="B2353" s="7" t="s">
        <v>2778</v>
      </c>
      <c r="C2353" s="91">
        <v>45453.58561796296</v>
      </c>
      <c r="D2353" s="8">
        <f t="shared" si="233"/>
        <v>45455</v>
      </c>
      <c r="E2353" s="9" t="s">
        <v>11</v>
      </c>
      <c r="F2353" s="10"/>
      <c r="G2353" s="9" t="s">
        <v>15</v>
      </c>
      <c r="H2353" s="7" t="s">
        <v>4415</v>
      </c>
      <c r="I2353" s="9" t="s">
        <v>353</v>
      </c>
      <c r="J2353" s="88"/>
    </row>
    <row r="2354">
      <c r="A2354" s="6" t="s">
        <v>9</v>
      </c>
      <c r="B2354" s="7" t="s">
        <v>4072</v>
      </c>
      <c r="C2354" s="91">
        <v>45453.5855872338</v>
      </c>
      <c r="D2354" s="8">
        <f t="shared" si="233"/>
        <v>45455</v>
      </c>
      <c r="E2354" s="9" t="s">
        <v>11</v>
      </c>
      <c r="F2354" s="10"/>
      <c r="G2354" s="9" t="s">
        <v>15</v>
      </c>
      <c r="H2354" s="7" t="s">
        <v>4416</v>
      </c>
      <c r="I2354" s="9" t="s">
        <v>353</v>
      </c>
      <c r="J2354" s="88"/>
    </row>
    <row r="2355">
      <c r="A2355" s="6" t="s">
        <v>9</v>
      </c>
      <c r="B2355" s="7" t="s">
        <v>4417</v>
      </c>
      <c r="C2355" s="91">
        <v>45453.4654222338</v>
      </c>
      <c r="D2355" s="8">
        <f t="shared" si="233"/>
        <v>45455</v>
      </c>
      <c r="E2355" s="9" t="s">
        <v>11</v>
      </c>
      <c r="F2355" s="10"/>
      <c r="G2355" s="9" t="s">
        <v>18</v>
      </c>
      <c r="H2355" s="7" t="s">
        <v>4418</v>
      </c>
      <c r="I2355" s="9" t="s">
        <v>353</v>
      </c>
      <c r="J2355" s="88"/>
    </row>
    <row r="2356">
      <c r="A2356" s="20" t="s">
        <v>98</v>
      </c>
      <c r="B2356" s="166" t="s">
        <v>4419</v>
      </c>
      <c r="C2356" s="119">
        <v>45454.65029327547</v>
      </c>
      <c r="D2356" s="80">
        <f t="shared" si="233"/>
        <v>45456</v>
      </c>
      <c r="E2356" s="172" t="s">
        <v>11</v>
      </c>
      <c r="F2356" s="175"/>
      <c r="G2356" s="176" t="s">
        <v>18</v>
      </c>
      <c r="H2356" s="177" t="s">
        <v>4420</v>
      </c>
      <c r="I2356" s="9" t="s">
        <v>353</v>
      </c>
      <c r="J2356" s="88"/>
    </row>
    <row r="2357">
      <c r="A2357" s="54" t="s">
        <v>4009</v>
      </c>
      <c r="B2357" s="7" t="s">
        <v>4421</v>
      </c>
      <c r="C2357" s="91">
        <v>45428.48774537037</v>
      </c>
      <c r="D2357" s="8">
        <f t="shared" si="233"/>
        <v>45432</v>
      </c>
      <c r="E2357" s="9" t="s">
        <v>4422</v>
      </c>
      <c r="F2357" s="10"/>
      <c r="G2357" s="9" t="s">
        <v>15</v>
      </c>
      <c r="H2357" s="7" t="s">
        <v>4423</v>
      </c>
      <c r="I2357" s="9" t="s">
        <v>353</v>
      </c>
      <c r="J2357" s="88"/>
    </row>
    <row r="2358">
      <c r="A2358" s="20" t="s">
        <v>98</v>
      </c>
      <c r="B2358" s="9" t="s">
        <v>4424</v>
      </c>
      <c r="C2358" s="91">
        <v>45426.4942653125</v>
      </c>
      <c r="D2358" s="8">
        <f t="shared" si="233"/>
        <v>45428</v>
      </c>
      <c r="E2358" s="9" t="s">
        <v>11</v>
      </c>
      <c r="F2358" s="10"/>
      <c r="G2358" s="9" t="s">
        <v>18</v>
      </c>
      <c r="H2358" s="22" t="s">
        <v>4425</v>
      </c>
      <c r="I2358" s="9" t="s">
        <v>353</v>
      </c>
      <c r="J2358" s="88"/>
    </row>
    <row r="2359">
      <c r="A2359" s="54" t="s">
        <v>4009</v>
      </c>
      <c r="B2359" s="7" t="s">
        <v>2814</v>
      </c>
      <c r="C2359" s="91">
        <v>45309.38616613426</v>
      </c>
      <c r="D2359" s="8">
        <f t="shared" si="233"/>
        <v>45313</v>
      </c>
      <c r="E2359" s="9" t="s">
        <v>11</v>
      </c>
      <c r="F2359" s="10"/>
      <c r="G2359" s="9" t="s">
        <v>220</v>
      </c>
      <c r="H2359" s="7" t="s">
        <v>4426</v>
      </c>
      <c r="I2359" s="9" t="s">
        <v>353</v>
      </c>
      <c r="J2359" s="88"/>
    </row>
    <row r="2360">
      <c r="A2360" s="42" t="s">
        <v>206</v>
      </c>
      <c r="B2360" s="133" t="s">
        <v>4427</v>
      </c>
      <c r="C2360" s="91">
        <v>45443.39619745371</v>
      </c>
      <c r="D2360" s="8">
        <v>45443.37460224537</v>
      </c>
      <c r="E2360" s="9" t="s">
        <v>1097</v>
      </c>
      <c r="F2360" s="8"/>
      <c r="G2360" s="9" t="s">
        <v>18</v>
      </c>
      <c r="H2360" s="158" t="s">
        <v>4428</v>
      </c>
      <c r="I2360" s="9" t="s">
        <v>353</v>
      </c>
      <c r="J2360" s="88"/>
    </row>
    <row r="2361">
      <c r="A2361" s="42" t="s">
        <v>206</v>
      </c>
      <c r="B2361" s="178" t="s">
        <v>4429</v>
      </c>
      <c r="C2361" s="91">
        <v>45450.479160532406</v>
      </c>
      <c r="D2361" s="8"/>
      <c r="E2361" s="9"/>
      <c r="F2361" s="8"/>
      <c r="G2361" s="9" t="s">
        <v>18</v>
      </c>
      <c r="H2361" s="158" t="s">
        <v>4428</v>
      </c>
      <c r="I2361" s="9" t="s">
        <v>353</v>
      </c>
      <c r="J2361" s="88"/>
    </row>
    <row r="2362">
      <c r="A2362" s="42" t="s">
        <v>206</v>
      </c>
      <c r="B2362" s="133" t="s">
        <v>4430</v>
      </c>
      <c r="C2362" s="91">
        <v>45443.37460224537</v>
      </c>
      <c r="D2362" s="8">
        <v>45443.37460224537</v>
      </c>
      <c r="E2362" s="9" t="s">
        <v>1097</v>
      </c>
      <c r="F2362" s="8"/>
      <c r="G2362" s="9" t="s">
        <v>15</v>
      </c>
      <c r="H2362" s="158" t="s">
        <v>4431</v>
      </c>
      <c r="I2362" s="166" t="s">
        <v>353</v>
      </c>
      <c r="J2362" s="88"/>
    </row>
    <row r="2363">
      <c r="A2363" s="42" t="s">
        <v>206</v>
      </c>
      <c r="B2363" s="133" t="s">
        <v>4432</v>
      </c>
      <c r="C2363" s="91">
        <v>45443.39382622685</v>
      </c>
      <c r="D2363" s="8"/>
      <c r="E2363" s="9" t="s">
        <v>1097</v>
      </c>
      <c r="F2363" s="8"/>
      <c r="G2363" s="9" t="s">
        <v>18</v>
      </c>
      <c r="H2363" s="158" t="s">
        <v>4433</v>
      </c>
      <c r="I2363" s="9" t="s">
        <v>353</v>
      </c>
      <c r="J2363" s="88"/>
    </row>
    <row r="2364">
      <c r="A2364" s="42" t="s">
        <v>206</v>
      </c>
      <c r="B2364" s="133" t="s">
        <v>4434</v>
      </c>
      <c r="C2364" s="91">
        <v>45443.393767789355</v>
      </c>
      <c r="D2364" s="8"/>
      <c r="E2364" s="9" t="s">
        <v>1097</v>
      </c>
      <c r="F2364" s="8"/>
      <c r="G2364" s="9" t="s">
        <v>18</v>
      </c>
      <c r="H2364" s="158" t="s">
        <v>4433</v>
      </c>
      <c r="I2364" s="9" t="s">
        <v>353</v>
      </c>
      <c r="J2364" s="88"/>
    </row>
    <row r="2365">
      <c r="A2365" s="42" t="s">
        <v>206</v>
      </c>
      <c r="B2365" s="133" t="s">
        <v>4435</v>
      </c>
      <c r="C2365" s="91">
        <v>45443.39379674768</v>
      </c>
      <c r="D2365" s="8"/>
      <c r="E2365" s="9" t="s">
        <v>1097</v>
      </c>
      <c r="F2365" s="8"/>
      <c r="G2365" s="9" t="s">
        <v>18</v>
      </c>
      <c r="H2365" s="158" t="s">
        <v>4433</v>
      </c>
      <c r="I2365" s="9" t="s">
        <v>353</v>
      </c>
      <c r="J2365" s="88"/>
    </row>
    <row r="2366">
      <c r="A2366" s="42" t="s">
        <v>206</v>
      </c>
      <c r="B2366" s="178" t="s">
        <v>4436</v>
      </c>
      <c r="C2366" s="91">
        <v>45443.37460224537</v>
      </c>
      <c r="D2366" s="8">
        <v>45443.37460224537</v>
      </c>
      <c r="E2366" s="9" t="s">
        <v>1097</v>
      </c>
      <c r="F2366" s="8"/>
      <c r="G2366" s="9" t="s">
        <v>18</v>
      </c>
      <c r="H2366" s="158" t="s">
        <v>4428</v>
      </c>
      <c r="I2366" s="166" t="s">
        <v>353</v>
      </c>
      <c r="J2366" s="88"/>
    </row>
    <row r="2367">
      <c r="A2367" s="42" t="s">
        <v>206</v>
      </c>
      <c r="B2367" s="133" t="s">
        <v>4437</v>
      </c>
      <c r="C2367" s="91">
        <v>45443.37460224537</v>
      </c>
      <c r="D2367" s="8">
        <v>45443.37460224537</v>
      </c>
      <c r="E2367" s="9" t="s">
        <v>1097</v>
      </c>
      <c r="F2367" s="8"/>
      <c r="G2367" s="9" t="s">
        <v>18</v>
      </c>
      <c r="H2367" s="158" t="s">
        <v>4438</v>
      </c>
      <c r="I2367" s="166" t="s">
        <v>353</v>
      </c>
      <c r="J2367" s="88"/>
    </row>
    <row r="2368">
      <c r="A2368" s="42" t="s">
        <v>206</v>
      </c>
      <c r="B2368" s="133" t="s">
        <v>4439</v>
      </c>
      <c r="C2368" s="91">
        <v>45443.3750037037</v>
      </c>
      <c r="D2368" s="8">
        <v>45443.3750037037</v>
      </c>
      <c r="E2368" s="9" t="s">
        <v>1097</v>
      </c>
      <c r="F2368" s="8"/>
      <c r="G2368" s="9" t="s">
        <v>18</v>
      </c>
      <c r="H2368" s="158" t="s">
        <v>4428</v>
      </c>
      <c r="I2368" s="166" t="s">
        <v>353</v>
      </c>
      <c r="J2368" s="88"/>
    </row>
    <row r="2369">
      <c r="A2369" s="42" t="s">
        <v>206</v>
      </c>
      <c r="B2369" s="133" t="s">
        <v>4440</v>
      </c>
      <c r="C2369" s="91">
        <v>45443.37460224537</v>
      </c>
      <c r="D2369" s="8">
        <v>45443.37460224537</v>
      </c>
      <c r="E2369" s="9" t="s">
        <v>1097</v>
      </c>
      <c r="F2369" s="8"/>
      <c r="G2369" s="9" t="s">
        <v>18</v>
      </c>
      <c r="H2369" s="158" t="s">
        <v>4428</v>
      </c>
      <c r="I2369" s="166" t="s">
        <v>353</v>
      </c>
      <c r="J2369" s="88"/>
    </row>
    <row r="2370">
      <c r="A2370" s="42" t="s">
        <v>206</v>
      </c>
      <c r="B2370" s="133" t="s">
        <v>4441</v>
      </c>
      <c r="C2370" s="91">
        <v>45443.3750037037</v>
      </c>
      <c r="D2370" s="8">
        <v>45443.3750037037</v>
      </c>
      <c r="E2370" s="9" t="s">
        <v>1097</v>
      </c>
      <c r="F2370" s="8"/>
      <c r="G2370" s="9" t="s">
        <v>18</v>
      </c>
      <c r="H2370" s="158" t="s">
        <v>4428</v>
      </c>
      <c r="I2370" s="166" t="s">
        <v>353</v>
      </c>
      <c r="J2370" s="88"/>
    </row>
    <row r="2371">
      <c r="A2371" s="42" t="s">
        <v>206</v>
      </c>
      <c r="B2371" s="133" t="s">
        <v>4442</v>
      </c>
      <c r="C2371" s="91">
        <v>45443.37460224537</v>
      </c>
      <c r="D2371" s="8">
        <v>45443.37460224537</v>
      </c>
      <c r="E2371" s="9" t="s">
        <v>1097</v>
      </c>
      <c r="F2371" s="8"/>
      <c r="G2371" s="9" t="s">
        <v>18</v>
      </c>
      <c r="H2371" s="158" t="s">
        <v>4428</v>
      </c>
      <c r="I2371" s="166" t="s">
        <v>353</v>
      </c>
      <c r="J2371" s="88"/>
    </row>
    <row r="2372">
      <c r="A2372" s="42" t="s">
        <v>206</v>
      </c>
      <c r="B2372" s="133" t="s">
        <v>4443</v>
      </c>
      <c r="C2372" s="91">
        <v>45443.3750037037</v>
      </c>
      <c r="D2372" s="8">
        <v>45443.3750037037</v>
      </c>
      <c r="E2372" s="9" t="s">
        <v>1097</v>
      </c>
      <c r="F2372" s="8"/>
      <c r="G2372" s="9" t="s">
        <v>18</v>
      </c>
      <c r="H2372" s="158" t="s">
        <v>4428</v>
      </c>
      <c r="I2372" s="166" t="s">
        <v>353</v>
      </c>
      <c r="J2372" s="88"/>
    </row>
    <row r="2373">
      <c r="A2373" s="42" t="s">
        <v>206</v>
      </c>
      <c r="B2373" s="178" t="s">
        <v>4444</v>
      </c>
      <c r="C2373" s="91">
        <v>45443.37460224537</v>
      </c>
      <c r="D2373" s="8">
        <v>45443.37460224537</v>
      </c>
      <c r="E2373" s="9" t="s">
        <v>1097</v>
      </c>
      <c r="F2373" s="8"/>
      <c r="G2373" s="9" t="s">
        <v>18</v>
      </c>
      <c r="H2373" s="158" t="s">
        <v>4428</v>
      </c>
      <c r="I2373" s="166" t="s">
        <v>353</v>
      </c>
      <c r="J2373" s="88"/>
    </row>
    <row r="2374">
      <c r="A2374" s="42" t="s">
        <v>206</v>
      </c>
      <c r="B2374" s="178" t="s">
        <v>4445</v>
      </c>
      <c r="C2374" s="91">
        <v>45443.37460224537</v>
      </c>
      <c r="D2374" s="8">
        <v>45443.37460224537</v>
      </c>
      <c r="E2374" s="9" t="s">
        <v>1097</v>
      </c>
      <c r="F2374" s="8"/>
      <c r="G2374" s="9" t="s">
        <v>18</v>
      </c>
      <c r="H2374" s="158" t="s">
        <v>4428</v>
      </c>
      <c r="I2374" s="166" t="s">
        <v>353</v>
      </c>
      <c r="J2374" s="88"/>
    </row>
    <row r="2375">
      <c r="A2375" s="6" t="s">
        <v>9</v>
      </c>
      <c r="B2375" s="7" t="s">
        <v>4446</v>
      </c>
      <c r="C2375" s="91">
        <v>45322.45668618055</v>
      </c>
      <c r="D2375" s="8">
        <f t="shared" ref="D2375:D2378" si="234">IFERROR(_xlfn.WORKDAY.INTL(C2375, 2),"-")</f>
        <v>45324</v>
      </c>
      <c r="E2375" s="9" t="s">
        <v>88</v>
      </c>
      <c r="F2375" s="10"/>
      <c r="G2375" s="9" t="s">
        <v>18</v>
      </c>
      <c r="H2375" s="7" t="s">
        <v>4447</v>
      </c>
      <c r="I2375" s="9" t="s">
        <v>353</v>
      </c>
      <c r="J2375" s="88"/>
    </row>
    <row r="2376">
      <c r="A2376" s="6" t="s">
        <v>9</v>
      </c>
      <c r="B2376" s="7" t="s">
        <v>4448</v>
      </c>
      <c r="C2376" s="91">
        <v>45322.40137111111</v>
      </c>
      <c r="D2376" s="8">
        <f t="shared" si="234"/>
        <v>45324</v>
      </c>
      <c r="E2376" s="9" t="s">
        <v>88</v>
      </c>
      <c r="F2376" s="8"/>
      <c r="G2376" s="9" t="s">
        <v>18</v>
      </c>
      <c r="H2376" s="7" t="s">
        <v>4449</v>
      </c>
      <c r="I2376" s="9" t="s">
        <v>353</v>
      </c>
      <c r="J2376" s="88"/>
    </row>
    <row r="2377">
      <c r="A2377" s="34" t="s">
        <v>204</v>
      </c>
      <c r="B2377" s="7" t="s">
        <v>4450</v>
      </c>
      <c r="C2377" s="91">
        <v>45450.49649226852</v>
      </c>
      <c r="D2377" s="8">
        <f t="shared" si="234"/>
        <v>45454</v>
      </c>
      <c r="E2377" s="9" t="s">
        <v>11</v>
      </c>
      <c r="F2377" s="10"/>
      <c r="G2377" s="9" t="s">
        <v>18</v>
      </c>
      <c r="H2377" s="7" t="s">
        <v>4451</v>
      </c>
      <c r="I2377" s="9" t="s">
        <v>353</v>
      </c>
      <c r="J2377" s="88"/>
    </row>
    <row r="2378">
      <c r="A2378" s="20" t="s">
        <v>98</v>
      </c>
      <c r="B2378" s="9" t="s">
        <v>4452</v>
      </c>
      <c r="C2378" s="91">
        <v>45453.45585738426</v>
      </c>
      <c r="D2378" s="8">
        <f t="shared" si="234"/>
        <v>45455</v>
      </c>
      <c r="E2378" s="9" t="s">
        <v>11</v>
      </c>
      <c r="F2378" s="10"/>
      <c r="G2378" s="9" t="s">
        <v>18</v>
      </c>
      <c r="H2378" s="7" t="s">
        <v>4453</v>
      </c>
      <c r="I2378" s="9" t="s">
        <v>353</v>
      </c>
      <c r="J2378" s="88"/>
    </row>
    <row r="2379">
      <c r="A2379" s="20" t="s">
        <v>98</v>
      </c>
      <c r="B2379" s="9" t="s">
        <v>4454</v>
      </c>
      <c r="C2379" s="91">
        <v>45450.0</v>
      </c>
      <c r="D2379" s="9"/>
      <c r="E2379" s="9" t="s">
        <v>88</v>
      </c>
      <c r="F2379" s="10"/>
      <c r="G2379" s="9" t="s">
        <v>18</v>
      </c>
      <c r="H2379" s="7" t="s">
        <v>4455</v>
      </c>
      <c r="I2379" s="9" t="s">
        <v>353</v>
      </c>
      <c r="J2379" s="88"/>
    </row>
    <row r="2380">
      <c r="A2380" s="20" t="s">
        <v>98</v>
      </c>
      <c r="B2380" s="9" t="s">
        <v>4456</v>
      </c>
      <c r="C2380" s="91">
        <v>45442.64237685185</v>
      </c>
      <c r="D2380" s="8">
        <f t="shared" ref="D2380:D2386" si="235">IFERROR(_xlfn.WORKDAY.INTL(C2380, 2),"-")</f>
        <v>45446</v>
      </c>
      <c r="E2380" s="9" t="s">
        <v>11</v>
      </c>
      <c r="F2380" s="10"/>
      <c r="G2380" s="9" t="s">
        <v>18</v>
      </c>
      <c r="H2380" s="7" t="s">
        <v>4457</v>
      </c>
      <c r="I2380" s="9" t="s">
        <v>353</v>
      </c>
      <c r="J2380" s="88"/>
    </row>
    <row r="2381">
      <c r="A2381" s="20" t="s">
        <v>98</v>
      </c>
      <c r="B2381" s="9" t="s">
        <v>4458</v>
      </c>
      <c r="C2381" s="91">
        <v>45446.68478701389</v>
      </c>
      <c r="D2381" s="8">
        <f t="shared" si="235"/>
        <v>45448</v>
      </c>
      <c r="E2381" s="9" t="s">
        <v>11</v>
      </c>
      <c r="F2381" s="10"/>
      <c r="G2381" s="9" t="s">
        <v>18</v>
      </c>
      <c r="H2381" s="7" t="s">
        <v>4459</v>
      </c>
      <c r="I2381" s="9" t="s">
        <v>353</v>
      </c>
      <c r="J2381" s="88"/>
    </row>
    <row r="2382">
      <c r="A2382" s="20" t="s">
        <v>98</v>
      </c>
      <c r="B2382" s="9" t="s">
        <v>4460</v>
      </c>
      <c r="C2382" s="91">
        <v>45405.824414710645</v>
      </c>
      <c r="D2382" s="8">
        <f t="shared" si="235"/>
        <v>45407</v>
      </c>
      <c r="E2382" s="9" t="s">
        <v>206</v>
      </c>
      <c r="F2382" s="10"/>
      <c r="G2382" s="9" t="s">
        <v>15</v>
      </c>
      <c r="H2382" s="7" t="s">
        <v>4461</v>
      </c>
      <c r="I2382" s="9" t="s">
        <v>353</v>
      </c>
      <c r="J2382" s="88"/>
    </row>
    <row r="2383">
      <c r="A2383" s="20" t="s">
        <v>98</v>
      </c>
      <c r="B2383" s="9" t="s">
        <v>4462</v>
      </c>
      <c r="C2383" s="91">
        <v>45414.58978947917</v>
      </c>
      <c r="D2383" s="8">
        <f t="shared" si="235"/>
        <v>45418</v>
      </c>
      <c r="E2383" s="9" t="s">
        <v>11</v>
      </c>
      <c r="F2383" s="10"/>
      <c r="G2383" s="9" t="s">
        <v>18</v>
      </c>
      <c r="H2383" s="62" t="s">
        <v>4463</v>
      </c>
      <c r="I2383" s="9" t="s">
        <v>353</v>
      </c>
      <c r="J2383" s="88"/>
    </row>
    <row r="2384">
      <c r="A2384" s="20" t="s">
        <v>98</v>
      </c>
      <c r="B2384" s="9" t="s">
        <v>4464</v>
      </c>
      <c r="C2384" s="91">
        <v>45442.64254560185</v>
      </c>
      <c r="D2384" s="8">
        <f t="shared" si="235"/>
        <v>45446</v>
      </c>
      <c r="E2384" s="9" t="s">
        <v>11</v>
      </c>
      <c r="F2384" s="10"/>
      <c r="G2384" s="9" t="s">
        <v>18</v>
      </c>
      <c r="H2384" s="7" t="s">
        <v>4465</v>
      </c>
      <c r="I2384" s="9" t="s">
        <v>353</v>
      </c>
      <c r="J2384" s="88"/>
    </row>
    <row r="2385">
      <c r="A2385" s="20" t="s">
        <v>98</v>
      </c>
      <c r="B2385" s="9" t="s">
        <v>4466</v>
      </c>
      <c r="C2385" s="91">
        <v>45453.39040650463</v>
      </c>
      <c r="D2385" s="8">
        <f t="shared" si="235"/>
        <v>45455</v>
      </c>
      <c r="E2385" s="9" t="s">
        <v>88</v>
      </c>
      <c r="F2385" s="10"/>
      <c r="G2385" s="9" t="s">
        <v>15</v>
      </c>
      <c r="H2385" s="7" t="s">
        <v>4467</v>
      </c>
      <c r="I2385" s="9" t="s">
        <v>353</v>
      </c>
      <c r="J2385" s="88"/>
    </row>
    <row r="2386">
      <c r="A2386" s="34" t="s">
        <v>204</v>
      </c>
      <c r="B2386" s="7" t="s">
        <v>4468</v>
      </c>
      <c r="C2386" s="91">
        <v>45450.49540998843</v>
      </c>
      <c r="D2386" s="8">
        <f t="shared" si="235"/>
        <v>45454</v>
      </c>
      <c r="E2386" s="9" t="s">
        <v>11</v>
      </c>
      <c r="F2386" s="10"/>
      <c r="G2386" s="9" t="s">
        <v>18</v>
      </c>
      <c r="H2386" s="7" t="s">
        <v>437</v>
      </c>
      <c r="I2386" s="9" t="s">
        <v>353</v>
      </c>
      <c r="J2386" s="88"/>
    </row>
    <row r="2387">
      <c r="A2387" s="42" t="s">
        <v>206</v>
      </c>
      <c r="B2387" s="133" t="s">
        <v>4469</v>
      </c>
      <c r="C2387" s="91">
        <v>45443.39736137731</v>
      </c>
      <c r="D2387" s="8">
        <v>45443.37460224537</v>
      </c>
      <c r="E2387" s="9" t="s">
        <v>1097</v>
      </c>
      <c r="F2387" s="8"/>
      <c r="G2387" s="9" t="s">
        <v>18</v>
      </c>
      <c r="H2387" s="158" t="s">
        <v>4470</v>
      </c>
      <c r="I2387" s="9" t="s">
        <v>353</v>
      </c>
      <c r="J2387" s="88"/>
    </row>
    <row r="2388">
      <c r="A2388" s="42" t="s">
        <v>206</v>
      </c>
      <c r="B2388" s="133" t="s">
        <v>4471</v>
      </c>
      <c r="C2388" s="91">
        <v>45443.37460224537</v>
      </c>
      <c r="D2388" s="8">
        <v>45443.37460224537</v>
      </c>
      <c r="E2388" s="9" t="s">
        <v>1097</v>
      </c>
      <c r="F2388" s="8"/>
      <c r="G2388" s="9" t="s">
        <v>18</v>
      </c>
      <c r="H2388" s="158" t="s">
        <v>4472</v>
      </c>
      <c r="I2388" s="166" t="s">
        <v>353</v>
      </c>
      <c r="J2388" s="88"/>
    </row>
    <row r="2389">
      <c r="A2389" s="42" t="s">
        <v>206</v>
      </c>
      <c r="B2389" s="133" t="s">
        <v>4473</v>
      </c>
      <c r="C2389" s="91">
        <v>45443.393956388885</v>
      </c>
      <c r="D2389" s="8"/>
      <c r="E2389" s="9" t="s">
        <v>1097</v>
      </c>
      <c r="F2389" s="8"/>
      <c r="G2389" s="9" t="s">
        <v>18</v>
      </c>
      <c r="H2389" s="158" t="s">
        <v>4472</v>
      </c>
      <c r="I2389" s="9" t="s">
        <v>353</v>
      </c>
      <c r="J2389" s="88"/>
    </row>
    <row r="2390">
      <c r="A2390" s="42" t="s">
        <v>206</v>
      </c>
      <c r="B2390" s="133" t="s">
        <v>4474</v>
      </c>
      <c r="C2390" s="91">
        <v>45443.37460224537</v>
      </c>
      <c r="D2390" s="8">
        <v>45443.37460224537</v>
      </c>
      <c r="E2390" s="9" t="s">
        <v>1097</v>
      </c>
      <c r="F2390" s="8"/>
      <c r="G2390" s="9" t="s">
        <v>18</v>
      </c>
      <c r="H2390" s="158" t="s">
        <v>4472</v>
      </c>
      <c r="I2390" s="166" t="s">
        <v>353</v>
      </c>
      <c r="J2390" s="88"/>
    </row>
    <row r="2391">
      <c r="A2391" s="42" t="s">
        <v>206</v>
      </c>
      <c r="B2391" s="133" t="s">
        <v>4475</v>
      </c>
      <c r="C2391" s="91">
        <v>45443.393906736106</v>
      </c>
      <c r="D2391" s="8"/>
      <c r="E2391" s="9" t="s">
        <v>1097</v>
      </c>
      <c r="F2391" s="8"/>
      <c r="G2391" s="9" t="s">
        <v>18</v>
      </c>
      <c r="H2391" s="158" t="s">
        <v>4472</v>
      </c>
      <c r="I2391" s="9" t="s">
        <v>353</v>
      </c>
      <c r="J2391" s="88"/>
    </row>
    <row r="2392">
      <c r="A2392" s="42" t="s">
        <v>206</v>
      </c>
      <c r="B2392" s="133" t="s">
        <v>4476</v>
      </c>
      <c r="C2392" s="91">
        <v>45443.39393814815</v>
      </c>
      <c r="D2392" s="8"/>
      <c r="E2392" s="9" t="s">
        <v>1097</v>
      </c>
      <c r="F2392" s="8"/>
      <c r="G2392" s="9" t="s">
        <v>18</v>
      </c>
      <c r="H2392" s="158" t="s">
        <v>4472</v>
      </c>
      <c r="I2392" s="9" t="s">
        <v>353</v>
      </c>
      <c r="J2392" s="88"/>
    </row>
    <row r="2393">
      <c r="A2393" s="42" t="s">
        <v>206</v>
      </c>
      <c r="B2393" s="133" t="s">
        <v>4477</v>
      </c>
      <c r="C2393" s="91">
        <v>45443.3750037037</v>
      </c>
      <c r="D2393" s="8">
        <v>45443.3750037037</v>
      </c>
      <c r="E2393" s="9" t="s">
        <v>1097</v>
      </c>
      <c r="F2393" s="8"/>
      <c r="G2393" s="9" t="s">
        <v>18</v>
      </c>
      <c r="H2393" s="158" t="s">
        <v>4472</v>
      </c>
      <c r="I2393" s="166" t="s">
        <v>353</v>
      </c>
      <c r="J2393" s="88"/>
    </row>
    <row r="2394">
      <c r="A2394" s="42" t="s">
        <v>206</v>
      </c>
      <c r="B2394" s="133" t="s">
        <v>4478</v>
      </c>
      <c r="C2394" s="91">
        <v>45443.3750037037</v>
      </c>
      <c r="D2394" s="8">
        <v>45443.3750037037</v>
      </c>
      <c r="E2394" s="9" t="s">
        <v>1097</v>
      </c>
      <c r="F2394" s="8"/>
      <c r="G2394" s="9" t="s">
        <v>18</v>
      </c>
      <c r="H2394" s="158" t="s">
        <v>4472</v>
      </c>
      <c r="I2394" s="166" t="s">
        <v>353</v>
      </c>
      <c r="J2394" s="88"/>
    </row>
    <row r="2395">
      <c r="A2395" s="42" t="s">
        <v>206</v>
      </c>
      <c r="B2395" s="178" t="s">
        <v>4479</v>
      </c>
      <c r="C2395" s="91">
        <v>45443.37460224537</v>
      </c>
      <c r="D2395" s="8">
        <v>45443.37460224537</v>
      </c>
      <c r="E2395" s="9" t="s">
        <v>1097</v>
      </c>
      <c r="F2395" s="8"/>
      <c r="G2395" s="9" t="s">
        <v>18</v>
      </c>
      <c r="H2395" s="158" t="s">
        <v>4470</v>
      </c>
      <c r="I2395" s="166" t="s">
        <v>353</v>
      </c>
      <c r="J2395" s="88"/>
    </row>
    <row r="2396">
      <c r="A2396" s="34" t="s">
        <v>204</v>
      </c>
      <c r="B2396" s="7" t="s">
        <v>4480</v>
      </c>
      <c r="C2396" s="91">
        <v>45450.40340068287</v>
      </c>
      <c r="D2396" s="8">
        <f>IFERROR(_xlfn.WORKDAY.INTL(C2396, 2),"-")</f>
        <v>45454</v>
      </c>
      <c r="E2396" s="9" t="s">
        <v>11</v>
      </c>
      <c r="F2396" s="10"/>
      <c r="G2396" s="9" t="s">
        <v>18</v>
      </c>
      <c r="H2396" s="7" t="s">
        <v>437</v>
      </c>
      <c r="I2396" s="9" t="s">
        <v>353</v>
      </c>
      <c r="J2396" s="88"/>
    </row>
    <row r="2397">
      <c r="A2397" s="88"/>
      <c r="B2397" s="89"/>
      <c r="C2397" s="90"/>
      <c r="D2397" s="89"/>
      <c r="E2397" s="89"/>
      <c r="F2397" s="89"/>
      <c r="G2397" s="89"/>
      <c r="H2397" s="87"/>
      <c r="I2397" s="89"/>
      <c r="J2397" s="88"/>
    </row>
    <row r="2398">
      <c r="A2398" s="34" t="s">
        <v>204</v>
      </c>
      <c r="B2398" s="11"/>
      <c r="C2398" s="91" t="s">
        <v>11</v>
      </c>
      <c r="D2398" s="8" t="str">
        <f t="shared" ref="D2398:D2401" si="236">IFERROR(_xlfn.WORKDAY.INTL(C2398, 2),"-")</f>
        <v>-</v>
      </c>
      <c r="E2398" s="9" t="s">
        <v>11</v>
      </c>
      <c r="F2398" s="10"/>
      <c r="G2398" s="9"/>
      <c r="H2398" s="11"/>
      <c r="I2398" s="9" t="s">
        <v>13</v>
      </c>
      <c r="J2398" s="88"/>
    </row>
    <row r="2399">
      <c r="A2399" s="34" t="s">
        <v>204</v>
      </c>
      <c r="B2399" s="7" t="s">
        <v>4481</v>
      </c>
      <c r="C2399" s="91">
        <v>45449.51387918981</v>
      </c>
      <c r="D2399" s="8">
        <f t="shared" si="236"/>
        <v>45453</v>
      </c>
      <c r="E2399" s="9" t="s">
        <v>11</v>
      </c>
      <c r="F2399" s="10"/>
      <c r="G2399" s="9" t="s">
        <v>18</v>
      </c>
      <c r="H2399" s="7" t="s">
        <v>437</v>
      </c>
      <c r="I2399" s="9" t="s">
        <v>353</v>
      </c>
      <c r="J2399" s="88"/>
    </row>
    <row r="2400">
      <c r="A2400" s="6" t="s">
        <v>9</v>
      </c>
      <c r="B2400" s="7" t="s">
        <v>4482</v>
      </c>
      <c r="C2400" s="91">
        <v>45448.4540208449</v>
      </c>
      <c r="D2400" s="8">
        <f t="shared" si="236"/>
        <v>45450</v>
      </c>
      <c r="E2400" s="9" t="s">
        <v>11</v>
      </c>
      <c r="F2400" s="10"/>
      <c r="G2400" s="9" t="s">
        <v>15</v>
      </c>
      <c r="H2400" s="7" t="s">
        <v>4410</v>
      </c>
      <c r="I2400" s="9" t="s">
        <v>353</v>
      </c>
      <c r="J2400" s="88"/>
    </row>
    <row r="2401">
      <c r="A2401" s="6" t="s">
        <v>9</v>
      </c>
      <c r="B2401" s="7" t="s">
        <v>4483</v>
      </c>
      <c r="C2401" s="91">
        <v>45449.49557060185</v>
      </c>
      <c r="D2401" s="8">
        <f t="shared" si="236"/>
        <v>45453</v>
      </c>
      <c r="E2401" s="9" t="s">
        <v>11</v>
      </c>
      <c r="F2401" s="10"/>
      <c r="G2401" s="9" t="s">
        <v>15</v>
      </c>
      <c r="H2401" s="7" t="s">
        <v>4350</v>
      </c>
      <c r="I2401" s="9" t="s">
        <v>353</v>
      </c>
      <c r="J2401" s="88"/>
    </row>
    <row r="2402">
      <c r="A2402" s="42" t="s">
        <v>206</v>
      </c>
      <c r="B2402" s="43" t="s">
        <v>4484</v>
      </c>
      <c r="C2402" s="91">
        <v>45447.729323182866</v>
      </c>
      <c r="D2402" s="8"/>
      <c r="E2402" s="9"/>
      <c r="F2402" s="10"/>
      <c r="G2402" s="9" t="s">
        <v>15</v>
      </c>
      <c r="H2402" s="7" t="s">
        <v>4485</v>
      </c>
      <c r="I2402" s="9" t="s">
        <v>353</v>
      </c>
      <c r="J2402" s="88"/>
    </row>
    <row r="2403">
      <c r="A2403" s="42"/>
      <c r="B2403" s="43" t="s">
        <v>4486</v>
      </c>
      <c r="C2403" s="91">
        <v>45401.450571574074</v>
      </c>
      <c r="D2403" s="8"/>
      <c r="E2403" s="9" t="s">
        <v>1097</v>
      </c>
      <c r="F2403" s="8"/>
      <c r="G2403" s="9" t="s">
        <v>15</v>
      </c>
      <c r="H2403" s="7" t="s">
        <v>4487</v>
      </c>
      <c r="I2403" s="9" t="s">
        <v>353</v>
      </c>
      <c r="J2403" s="88"/>
    </row>
    <row r="2404">
      <c r="A2404" s="6" t="s">
        <v>9</v>
      </c>
      <c r="B2404" s="7" t="s">
        <v>4488</v>
      </c>
      <c r="C2404" s="91">
        <v>45322.40142283565</v>
      </c>
      <c r="D2404" s="8">
        <f t="shared" ref="D2404:D2407" si="237">IFERROR(_xlfn.WORKDAY.INTL(C2404, 2),"-")</f>
        <v>45324</v>
      </c>
      <c r="E2404" s="9" t="s">
        <v>88</v>
      </c>
      <c r="F2404" s="8"/>
      <c r="G2404" s="9" t="s">
        <v>15</v>
      </c>
      <c r="H2404" s="7" t="s">
        <v>4489</v>
      </c>
      <c r="I2404" s="9" t="s">
        <v>353</v>
      </c>
      <c r="J2404" s="88"/>
    </row>
    <row r="2405">
      <c r="A2405" s="34" t="s">
        <v>204</v>
      </c>
      <c r="B2405" s="7" t="s">
        <v>4490</v>
      </c>
      <c r="C2405" s="91">
        <v>45449.447072546296</v>
      </c>
      <c r="D2405" s="8">
        <f t="shared" si="237"/>
        <v>45453</v>
      </c>
      <c r="E2405" s="9" t="s">
        <v>11</v>
      </c>
      <c r="F2405" s="10"/>
      <c r="G2405" s="9" t="s">
        <v>18</v>
      </c>
      <c r="H2405" s="7" t="s">
        <v>437</v>
      </c>
      <c r="I2405" s="9" t="s">
        <v>353</v>
      </c>
      <c r="J2405" s="88"/>
    </row>
    <row r="2406">
      <c r="A2406" s="34" t="s">
        <v>204</v>
      </c>
      <c r="B2406" s="7" t="s">
        <v>4491</v>
      </c>
      <c r="C2406" s="91">
        <v>45448.37265417824</v>
      </c>
      <c r="D2406" s="8">
        <f t="shared" si="237"/>
        <v>45450</v>
      </c>
      <c r="E2406" s="9" t="s">
        <v>11</v>
      </c>
      <c r="F2406" s="10"/>
      <c r="G2406" s="9" t="s">
        <v>18</v>
      </c>
      <c r="H2406" s="7" t="s">
        <v>437</v>
      </c>
      <c r="I2406" s="9" t="s">
        <v>353</v>
      </c>
      <c r="J2406" s="88"/>
    </row>
    <row r="2407">
      <c r="A2407" s="20" t="s">
        <v>98</v>
      </c>
      <c r="B2407" s="9" t="s">
        <v>4492</v>
      </c>
      <c r="C2407" s="91">
        <v>45446.68461515046</v>
      </c>
      <c r="D2407" s="8">
        <f t="shared" si="237"/>
        <v>45448</v>
      </c>
      <c r="E2407" s="9" t="s">
        <v>11</v>
      </c>
      <c r="F2407" s="10"/>
      <c r="G2407" s="9" t="s">
        <v>15</v>
      </c>
      <c r="H2407" s="7" t="s">
        <v>4493</v>
      </c>
      <c r="I2407" s="9" t="s">
        <v>353</v>
      </c>
      <c r="J2407" s="88"/>
    </row>
    <row r="2408">
      <c r="A2408" s="42" t="s">
        <v>206</v>
      </c>
      <c r="B2408" s="43" t="s">
        <v>4494</v>
      </c>
      <c r="C2408" s="91">
        <v>45447.728288275466</v>
      </c>
      <c r="D2408" s="8"/>
      <c r="E2408" s="9"/>
      <c r="F2408" s="10"/>
      <c r="G2408" s="9" t="s">
        <v>18</v>
      </c>
      <c r="H2408" s="7" t="s">
        <v>4495</v>
      </c>
      <c r="I2408" s="9" t="s">
        <v>353</v>
      </c>
      <c r="J2408" s="88"/>
    </row>
    <row r="2409">
      <c r="A2409" s="20" t="s">
        <v>98</v>
      </c>
      <c r="B2409" s="9" t="s">
        <v>4496</v>
      </c>
      <c r="C2409" s="91">
        <v>45446.68481584491</v>
      </c>
      <c r="D2409" s="8">
        <f t="shared" ref="D2409:D2418" si="238">IFERROR(_xlfn.WORKDAY.INTL(C2409, 2),"-")</f>
        <v>45448</v>
      </c>
      <c r="E2409" s="9" t="s">
        <v>11</v>
      </c>
      <c r="F2409" s="10"/>
      <c r="G2409" s="9" t="s">
        <v>18</v>
      </c>
      <c r="H2409" s="11"/>
      <c r="I2409" s="9" t="s">
        <v>353</v>
      </c>
      <c r="J2409" s="88"/>
    </row>
    <row r="2410">
      <c r="A2410" s="6" t="s">
        <v>9</v>
      </c>
      <c r="B2410" s="7" t="s">
        <v>4497</v>
      </c>
      <c r="C2410" s="91">
        <v>45447.68119023148</v>
      </c>
      <c r="D2410" s="8">
        <f t="shared" si="238"/>
        <v>45449</v>
      </c>
      <c r="E2410" s="9" t="s">
        <v>11</v>
      </c>
      <c r="F2410" s="10"/>
      <c r="G2410" s="9" t="s">
        <v>15</v>
      </c>
      <c r="H2410" s="7" t="s">
        <v>4498</v>
      </c>
      <c r="I2410" s="9" t="s">
        <v>353</v>
      </c>
      <c r="J2410" s="88"/>
    </row>
    <row r="2411">
      <c r="A2411" s="34" t="s">
        <v>204</v>
      </c>
      <c r="B2411" s="7" t="s">
        <v>4499</v>
      </c>
      <c r="C2411" s="91">
        <v>45447.431405208335</v>
      </c>
      <c r="D2411" s="8">
        <f t="shared" si="238"/>
        <v>45449</v>
      </c>
      <c r="E2411" s="9" t="s">
        <v>11</v>
      </c>
      <c r="F2411" s="10"/>
      <c r="G2411" s="9" t="s">
        <v>18</v>
      </c>
      <c r="H2411" s="7" t="s">
        <v>437</v>
      </c>
      <c r="I2411" s="9" t="s">
        <v>353</v>
      </c>
      <c r="J2411" s="88"/>
    </row>
    <row r="2412">
      <c r="A2412" s="34" t="s">
        <v>204</v>
      </c>
      <c r="B2412" s="7" t="s">
        <v>4500</v>
      </c>
      <c r="C2412" s="91">
        <v>45447.42090185185</v>
      </c>
      <c r="D2412" s="8">
        <f t="shared" si="238"/>
        <v>45449</v>
      </c>
      <c r="E2412" s="9" t="s">
        <v>11</v>
      </c>
      <c r="F2412" s="10"/>
      <c r="G2412" s="9" t="s">
        <v>18</v>
      </c>
      <c r="H2412" s="7" t="s">
        <v>437</v>
      </c>
      <c r="I2412" s="9" t="s">
        <v>353</v>
      </c>
      <c r="J2412" s="88"/>
    </row>
    <row r="2413">
      <c r="A2413" s="34" t="s">
        <v>204</v>
      </c>
      <c r="B2413" s="7" t="s">
        <v>4501</v>
      </c>
      <c r="C2413" s="91">
        <v>45447.39257790509</v>
      </c>
      <c r="D2413" s="8">
        <f t="shared" si="238"/>
        <v>45449</v>
      </c>
      <c r="E2413" s="9" t="s">
        <v>11</v>
      </c>
      <c r="F2413" s="10"/>
      <c r="G2413" s="9" t="s">
        <v>18</v>
      </c>
      <c r="H2413" s="7" t="s">
        <v>437</v>
      </c>
      <c r="I2413" s="9" t="s">
        <v>353</v>
      </c>
      <c r="J2413" s="88"/>
    </row>
    <row r="2414">
      <c r="A2414" s="6" t="s">
        <v>9</v>
      </c>
      <c r="B2414" s="7" t="s">
        <v>4502</v>
      </c>
      <c r="C2414" s="91">
        <v>45443.404562592594</v>
      </c>
      <c r="D2414" s="8">
        <f t="shared" si="238"/>
        <v>45447</v>
      </c>
      <c r="E2414" s="9" t="s">
        <v>11</v>
      </c>
      <c r="F2414" s="10"/>
      <c r="G2414" s="9" t="s">
        <v>15</v>
      </c>
      <c r="H2414" s="7" t="s">
        <v>4503</v>
      </c>
      <c r="I2414" s="9" t="s">
        <v>353</v>
      </c>
      <c r="J2414" s="88"/>
    </row>
    <row r="2415">
      <c r="A2415" s="6" t="s">
        <v>9</v>
      </c>
      <c r="B2415" s="7" t="s">
        <v>4504</v>
      </c>
      <c r="C2415" s="91">
        <v>45446.66701385417</v>
      </c>
      <c r="D2415" s="8">
        <f t="shared" si="238"/>
        <v>45448</v>
      </c>
      <c r="E2415" s="9" t="s">
        <v>11</v>
      </c>
      <c r="F2415" s="10"/>
      <c r="G2415" s="9" t="s">
        <v>15</v>
      </c>
      <c r="H2415" s="7" t="s">
        <v>4505</v>
      </c>
      <c r="I2415" s="9" t="s">
        <v>353</v>
      </c>
      <c r="J2415" s="88"/>
    </row>
    <row r="2416">
      <c r="A2416" s="54" t="s">
        <v>4009</v>
      </c>
      <c r="B2416" s="7" t="s">
        <v>4506</v>
      </c>
      <c r="C2416" s="91">
        <v>45442.37502594908</v>
      </c>
      <c r="D2416" s="8">
        <f t="shared" si="238"/>
        <v>45446</v>
      </c>
      <c r="E2416" s="9" t="s">
        <v>94</v>
      </c>
      <c r="F2416" s="10"/>
      <c r="G2416" s="9" t="s">
        <v>15</v>
      </c>
      <c r="H2416" s="7" t="s">
        <v>4507</v>
      </c>
      <c r="I2416" s="9" t="s">
        <v>353</v>
      </c>
      <c r="J2416" s="88"/>
    </row>
    <row r="2417">
      <c r="A2417" s="20" t="s">
        <v>98</v>
      </c>
      <c r="B2417" s="9" t="s">
        <v>4508</v>
      </c>
      <c r="C2417" s="91">
        <v>45426.37454114584</v>
      </c>
      <c r="D2417" s="8">
        <f t="shared" si="238"/>
        <v>45428</v>
      </c>
      <c r="E2417" s="9" t="s">
        <v>11</v>
      </c>
      <c r="F2417" s="10"/>
      <c r="G2417" s="9" t="s">
        <v>18</v>
      </c>
      <c r="H2417" s="7" t="s">
        <v>4509</v>
      </c>
      <c r="I2417" s="9" t="s">
        <v>353</v>
      </c>
      <c r="J2417" s="88"/>
    </row>
    <row r="2418">
      <c r="A2418" s="6" t="s">
        <v>9</v>
      </c>
      <c r="B2418" s="7" t="s">
        <v>4510</v>
      </c>
      <c r="C2418" s="91">
        <v>45443.40474936343</v>
      </c>
      <c r="D2418" s="8">
        <f t="shared" si="238"/>
        <v>45447</v>
      </c>
      <c r="E2418" s="9" t="s">
        <v>11</v>
      </c>
      <c r="F2418" s="10"/>
      <c r="G2418" s="9" t="s">
        <v>15</v>
      </c>
      <c r="H2418" s="7" t="s">
        <v>4503</v>
      </c>
      <c r="I2418" s="9" t="s">
        <v>353</v>
      </c>
      <c r="J2418" s="88"/>
    </row>
    <row r="2419">
      <c r="A2419" s="42" t="s">
        <v>206</v>
      </c>
      <c r="B2419" s="43" t="s">
        <v>4511</v>
      </c>
      <c r="C2419" s="91">
        <v>45428.0</v>
      </c>
      <c r="D2419" s="8"/>
      <c r="E2419" s="9" t="s">
        <v>624</v>
      </c>
      <c r="F2419" s="10"/>
      <c r="G2419" s="9" t="s">
        <v>18</v>
      </c>
      <c r="H2419" s="11"/>
      <c r="I2419" s="9" t="s">
        <v>353</v>
      </c>
      <c r="J2419" s="88"/>
    </row>
    <row r="2420">
      <c r="A2420" s="20" t="s">
        <v>98</v>
      </c>
      <c r="B2420" s="9" t="s">
        <v>4512</v>
      </c>
      <c r="C2420" s="91">
        <v>45386.576743275466</v>
      </c>
      <c r="D2420" s="8">
        <f t="shared" ref="D2420:D2423" si="239">IFERROR(_xlfn.WORKDAY.INTL(C2420, 2),"-")</f>
        <v>45390</v>
      </c>
      <c r="E2420" s="9" t="s">
        <v>11</v>
      </c>
      <c r="F2420" s="10"/>
      <c r="G2420" s="9" t="s">
        <v>18</v>
      </c>
      <c r="H2420" s="7" t="s">
        <v>4513</v>
      </c>
      <c r="I2420" s="9" t="s">
        <v>353</v>
      </c>
      <c r="J2420" s="88"/>
    </row>
    <row r="2421">
      <c r="A2421" s="34" t="s">
        <v>204</v>
      </c>
      <c r="B2421" s="7" t="s">
        <v>4514</v>
      </c>
      <c r="C2421" s="91">
        <v>45443.42407146991</v>
      </c>
      <c r="D2421" s="8">
        <f t="shared" si="239"/>
        <v>45447</v>
      </c>
      <c r="E2421" s="9" t="s">
        <v>11</v>
      </c>
      <c r="F2421" s="10"/>
      <c r="G2421" s="9" t="s">
        <v>18</v>
      </c>
      <c r="H2421" s="7" t="s">
        <v>437</v>
      </c>
      <c r="I2421" s="9" t="s">
        <v>353</v>
      </c>
      <c r="J2421" s="88"/>
    </row>
    <row r="2422">
      <c r="A2422" s="20" t="s">
        <v>98</v>
      </c>
      <c r="B2422" s="9" t="s">
        <v>4515</v>
      </c>
      <c r="C2422" s="91">
        <v>45414.58988644676</v>
      </c>
      <c r="D2422" s="8">
        <f t="shared" si="239"/>
        <v>45418</v>
      </c>
      <c r="E2422" s="9" t="s">
        <v>11</v>
      </c>
      <c r="F2422" s="10"/>
      <c r="G2422" s="9" t="s">
        <v>15</v>
      </c>
      <c r="H2422" s="7" t="s">
        <v>4516</v>
      </c>
      <c r="I2422" s="9" t="s">
        <v>353</v>
      </c>
      <c r="J2422" s="88"/>
    </row>
    <row r="2423">
      <c r="A2423" s="54" t="s">
        <v>4009</v>
      </c>
      <c r="B2423" s="7" t="s">
        <v>4517</v>
      </c>
      <c r="C2423" s="91">
        <v>45428.62834429398</v>
      </c>
      <c r="D2423" s="8">
        <f t="shared" si="239"/>
        <v>45432</v>
      </c>
      <c r="E2423" s="9" t="s">
        <v>88</v>
      </c>
      <c r="F2423" s="10"/>
      <c r="G2423" s="9" t="s">
        <v>15</v>
      </c>
      <c r="H2423" s="7" t="s">
        <v>4518</v>
      </c>
      <c r="I2423" s="9" t="s">
        <v>353</v>
      </c>
      <c r="J2423" s="88"/>
    </row>
    <row r="2424">
      <c r="A2424" s="42" t="s">
        <v>206</v>
      </c>
      <c r="B2424" s="43" t="s">
        <v>4519</v>
      </c>
      <c r="C2424" s="91">
        <v>45412.36853096065</v>
      </c>
      <c r="D2424" s="8"/>
      <c r="E2424" s="9" t="s">
        <v>4520</v>
      </c>
      <c r="F2424" s="10"/>
      <c r="G2424" s="9" t="s">
        <v>18</v>
      </c>
      <c r="H2424" s="7" t="s">
        <v>4521</v>
      </c>
      <c r="I2424" s="9" t="s">
        <v>353</v>
      </c>
      <c r="J2424" s="88"/>
    </row>
    <row r="2425">
      <c r="A2425" s="20" t="s">
        <v>98</v>
      </c>
      <c r="B2425" s="9" t="s">
        <v>4522</v>
      </c>
      <c r="C2425" s="91">
        <v>45414.589998483796</v>
      </c>
      <c r="D2425" s="8">
        <f t="shared" ref="D2425:D2432" si="240">IFERROR(_xlfn.WORKDAY.INTL(C2425, 2),"-")</f>
        <v>45418</v>
      </c>
      <c r="E2425" s="9" t="s">
        <v>11</v>
      </c>
      <c r="F2425" s="10"/>
      <c r="G2425" s="9" t="s">
        <v>18</v>
      </c>
      <c r="H2425" s="7" t="s">
        <v>4523</v>
      </c>
      <c r="I2425" s="9" t="s">
        <v>353</v>
      </c>
      <c r="J2425" s="88"/>
    </row>
    <row r="2426">
      <c r="A2426" s="20" t="s">
        <v>98</v>
      </c>
      <c r="B2426" s="9" t="s">
        <v>4524</v>
      </c>
      <c r="C2426" s="91">
        <v>45405.82435630787</v>
      </c>
      <c r="D2426" s="8">
        <f t="shared" si="240"/>
        <v>45407</v>
      </c>
      <c r="E2426" s="9" t="s">
        <v>206</v>
      </c>
      <c r="F2426" s="10"/>
      <c r="G2426" s="9" t="s">
        <v>18</v>
      </c>
      <c r="H2426" s="7" t="s">
        <v>4525</v>
      </c>
      <c r="I2426" s="9" t="s">
        <v>353</v>
      </c>
      <c r="J2426" s="88"/>
    </row>
    <row r="2427">
      <c r="A2427" s="6" t="s">
        <v>9</v>
      </c>
      <c r="B2427" s="7" t="s">
        <v>4526</v>
      </c>
      <c r="C2427" s="91">
        <v>45441.72091299768</v>
      </c>
      <c r="D2427" s="8">
        <f t="shared" si="240"/>
        <v>45443</v>
      </c>
      <c r="E2427" s="9" t="s">
        <v>11</v>
      </c>
      <c r="F2427" s="10"/>
      <c r="G2427" s="9" t="s">
        <v>15</v>
      </c>
      <c r="H2427" s="7" t="s">
        <v>4527</v>
      </c>
      <c r="I2427" s="9" t="s">
        <v>353</v>
      </c>
      <c r="J2427" s="88"/>
    </row>
    <row r="2428">
      <c r="A2428" s="34" t="s">
        <v>204</v>
      </c>
      <c r="B2428" s="7" t="s">
        <v>4528</v>
      </c>
      <c r="C2428" s="91">
        <v>45442.75457446759</v>
      </c>
      <c r="D2428" s="8">
        <f t="shared" si="240"/>
        <v>45446</v>
      </c>
      <c r="E2428" s="9" t="s">
        <v>11</v>
      </c>
      <c r="F2428" s="10"/>
      <c r="G2428" s="9" t="s">
        <v>18</v>
      </c>
      <c r="H2428" s="7" t="s">
        <v>437</v>
      </c>
      <c r="I2428" s="9" t="s">
        <v>353</v>
      </c>
      <c r="J2428" s="88"/>
    </row>
    <row r="2429">
      <c r="A2429" s="6" t="s">
        <v>9</v>
      </c>
      <c r="B2429" s="7" t="s">
        <v>4529</v>
      </c>
      <c r="C2429" s="91">
        <v>45441.38808804398</v>
      </c>
      <c r="D2429" s="8">
        <f t="shared" si="240"/>
        <v>45443</v>
      </c>
      <c r="E2429" s="9" t="s">
        <v>11</v>
      </c>
      <c r="F2429" s="10"/>
      <c r="G2429" s="9" t="s">
        <v>15</v>
      </c>
      <c r="H2429" s="7" t="s">
        <v>4530</v>
      </c>
      <c r="I2429" s="9" t="s">
        <v>353</v>
      </c>
      <c r="J2429" s="88"/>
    </row>
    <row r="2430">
      <c r="A2430" s="34" t="s">
        <v>204</v>
      </c>
      <c r="B2430" s="7" t="s">
        <v>4531</v>
      </c>
      <c r="C2430" s="91">
        <v>45442.66063280092</v>
      </c>
      <c r="D2430" s="8">
        <f t="shared" si="240"/>
        <v>45446</v>
      </c>
      <c r="E2430" s="9" t="s">
        <v>11</v>
      </c>
      <c r="F2430" s="10"/>
      <c r="G2430" s="9" t="s">
        <v>18</v>
      </c>
      <c r="H2430" s="7" t="s">
        <v>437</v>
      </c>
      <c r="I2430" s="9" t="s">
        <v>353</v>
      </c>
      <c r="J2430" s="88"/>
    </row>
    <row r="2431">
      <c r="A2431" s="20" t="s">
        <v>98</v>
      </c>
      <c r="B2431" s="9" t="s">
        <v>4532</v>
      </c>
      <c r="C2431" s="91">
        <v>45435.51351576389</v>
      </c>
      <c r="D2431" s="8">
        <f t="shared" si="240"/>
        <v>45439</v>
      </c>
      <c r="E2431" s="9" t="s">
        <v>88</v>
      </c>
      <c r="F2431" s="10"/>
      <c r="G2431" s="9" t="s">
        <v>15</v>
      </c>
      <c r="H2431" s="7" t="s">
        <v>4533</v>
      </c>
      <c r="I2431" s="9" t="s">
        <v>353</v>
      </c>
      <c r="J2431" s="88"/>
    </row>
    <row r="2432">
      <c r="A2432" s="20" t="s">
        <v>98</v>
      </c>
      <c r="B2432" s="9" t="s">
        <v>4534</v>
      </c>
      <c r="C2432" s="91">
        <v>45414.59033659722</v>
      </c>
      <c r="D2432" s="8">
        <f t="shared" si="240"/>
        <v>45418</v>
      </c>
      <c r="E2432" s="9" t="s">
        <v>11</v>
      </c>
      <c r="F2432" s="10"/>
      <c r="G2432" s="9" t="s">
        <v>18</v>
      </c>
      <c r="H2432" s="179" t="s">
        <v>4535</v>
      </c>
      <c r="I2432" s="9" t="s">
        <v>353</v>
      </c>
      <c r="J2432" s="88"/>
    </row>
    <row r="2433">
      <c r="A2433" s="42" t="s">
        <v>206</v>
      </c>
      <c r="B2433" s="180" t="s">
        <v>4536</v>
      </c>
      <c r="C2433" s="91">
        <v>45414.390614606484</v>
      </c>
      <c r="D2433" s="8"/>
      <c r="E2433" s="9"/>
      <c r="F2433" s="10"/>
      <c r="G2433" s="9" t="s">
        <v>15</v>
      </c>
      <c r="H2433" s="7" t="s">
        <v>4537</v>
      </c>
      <c r="I2433" s="9" t="s">
        <v>353</v>
      </c>
      <c r="J2433" s="88"/>
    </row>
    <row r="2434">
      <c r="A2434" s="42" t="s">
        <v>206</v>
      </c>
      <c r="B2434" s="180" t="s">
        <v>4538</v>
      </c>
      <c r="C2434" s="91">
        <v>45414.3905412037</v>
      </c>
      <c r="D2434" s="8"/>
      <c r="E2434" s="9"/>
      <c r="F2434" s="10"/>
      <c r="G2434" s="9" t="s">
        <v>18</v>
      </c>
      <c r="H2434" s="7" t="s">
        <v>4539</v>
      </c>
      <c r="I2434" s="9" t="s">
        <v>353</v>
      </c>
      <c r="J2434" s="88"/>
    </row>
    <row r="2435">
      <c r="A2435" s="20" t="s">
        <v>98</v>
      </c>
      <c r="B2435" s="9" t="s">
        <v>4540</v>
      </c>
      <c r="C2435" s="91">
        <v>45435.40692543982</v>
      </c>
      <c r="D2435" s="8">
        <f t="shared" ref="D2435:D2452" si="241">IFERROR(_xlfn.WORKDAY.INTL(C2435, 2),"-")</f>
        <v>45439</v>
      </c>
      <c r="E2435" s="9" t="s">
        <v>11</v>
      </c>
      <c r="F2435" s="10"/>
      <c r="G2435" s="9" t="s">
        <v>18</v>
      </c>
      <c r="H2435" s="22" t="s">
        <v>4541</v>
      </c>
      <c r="I2435" s="9" t="s">
        <v>353</v>
      </c>
      <c r="J2435" s="88"/>
    </row>
    <row r="2436">
      <c r="A2436" s="34" t="s">
        <v>204</v>
      </c>
      <c r="B2436" s="7" t="s">
        <v>4542</v>
      </c>
      <c r="C2436" s="91">
        <v>45442.374196944445</v>
      </c>
      <c r="D2436" s="8">
        <f t="shared" si="241"/>
        <v>45446</v>
      </c>
      <c r="E2436" s="9" t="s">
        <v>11</v>
      </c>
      <c r="F2436" s="10"/>
      <c r="G2436" s="9" t="s">
        <v>18</v>
      </c>
      <c r="H2436" s="7" t="s">
        <v>437</v>
      </c>
      <c r="I2436" s="9" t="s">
        <v>353</v>
      </c>
      <c r="J2436" s="88"/>
    </row>
    <row r="2437">
      <c r="A2437" s="34" t="s">
        <v>204</v>
      </c>
      <c r="B2437" s="7" t="s">
        <v>4543</v>
      </c>
      <c r="C2437" s="91">
        <v>45441.77649344907</v>
      </c>
      <c r="D2437" s="8">
        <f t="shared" si="241"/>
        <v>45443</v>
      </c>
      <c r="E2437" s="9" t="s">
        <v>11</v>
      </c>
      <c r="F2437" s="10"/>
      <c r="G2437" s="9" t="s">
        <v>18</v>
      </c>
      <c r="H2437" s="7" t="s">
        <v>4544</v>
      </c>
      <c r="I2437" s="9" t="s">
        <v>353</v>
      </c>
      <c r="J2437" s="88"/>
    </row>
    <row r="2438">
      <c r="A2438" s="6" t="s">
        <v>9</v>
      </c>
      <c r="B2438" s="7" t="s">
        <v>2814</v>
      </c>
      <c r="C2438" s="91">
        <v>45441.71122899305</v>
      </c>
      <c r="D2438" s="8">
        <f t="shared" si="241"/>
        <v>45443</v>
      </c>
      <c r="E2438" s="9" t="s">
        <v>11</v>
      </c>
      <c r="F2438" s="10"/>
      <c r="G2438" s="9" t="s">
        <v>15</v>
      </c>
      <c r="H2438" s="7" t="s">
        <v>4545</v>
      </c>
      <c r="I2438" s="9" t="s">
        <v>353</v>
      </c>
      <c r="J2438" s="88"/>
    </row>
    <row r="2439">
      <c r="A2439" s="20" t="s">
        <v>98</v>
      </c>
      <c r="B2439" s="181" t="s">
        <v>4546</v>
      </c>
      <c r="C2439" s="91">
        <v>45303.436358425926</v>
      </c>
      <c r="D2439" s="8">
        <f t="shared" si="241"/>
        <v>45307</v>
      </c>
      <c r="E2439" s="9" t="s">
        <v>88</v>
      </c>
      <c r="F2439" s="10"/>
      <c r="G2439" s="9" t="s">
        <v>18</v>
      </c>
      <c r="H2439" s="7" t="s">
        <v>4547</v>
      </c>
      <c r="I2439" s="9" t="s">
        <v>353</v>
      </c>
      <c r="J2439" s="88"/>
    </row>
    <row r="2440">
      <c r="A2440" s="6" t="s">
        <v>9</v>
      </c>
      <c r="B2440" s="7" t="s">
        <v>4548</v>
      </c>
      <c r="C2440" s="91">
        <v>45441.409947002314</v>
      </c>
      <c r="D2440" s="8">
        <f t="shared" si="241"/>
        <v>45443</v>
      </c>
      <c r="E2440" s="9" t="s">
        <v>11</v>
      </c>
      <c r="F2440" s="10"/>
      <c r="G2440" s="9" t="s">
        <v>15</v>
      </c>
      <c r="H2440" s="7" t="s">
        <v>4549</v>
      </c>
      <c r="I2440" s="9" t="s">
        <v>353</v>
      </c>
      <c r="J2440" s="88"/>
    </row>
    <row r="2441">
      <c r="A2441" s="6" t="s">
        <v>9</v>
      </c>
      <c r="B2441" s="7" t="s">
        <v>4550</v>
      </c>
      <c r="C2441" s="91">
        <v>45440.61990371528</v>
      </c>
      <c r="D2441" s="8">
        <f t="shared" si="241"/>
        <v>45442</v>
      </c>
      <c r="E2441" s="9" t="s">
        <v>11</v>
      </c>
      <c r="F2441" s="10"/>
      <c r="G2441" s="9" t="s">
        <v>15</v>
      </c>
      <c r="H2441" s="7" t="s">
        <v>2036</v>
      </c>
      <c r="I2441" s="9" t="s">
        <v>353</v>
      </c>
      <c r="J2441" s="88"/>
    </row>
    <row r="2442">
      <c r="A2442" s="20" t="s">
        <v>98</v>
      </c>
      <c r="B2442" s="9" t="s">
        <v>4551</v>
      </c>
      <c r="C2442" s="91">
        <v>45432.38497945602</v>
      </c>
      <c r="D2442" s="8">
        <f t="shared" si="241"/>
        <v>45434</v>
      </c>
      <c r="E2442" s="9" t="s">
        <v>11</v>
      </c>
      <c r="F2442" s="10"/>
      <c r="G2442" s="9" t="s">
        <v>18</v>
      </c>
      <c r="H2442" s="7" t="s">
        <v>4552</v>
      </c>
      <c r="I2442" s="9" t="s">
        <v>353</v>
      </c>
      <c r="J2442" s="88"/>
    </row>
    <row r="2443">
      <c r="A2443" s="20" t="s">
        <v>98</v>
      </c>
      <c r="B2443" s="9" t="s">
        <v>4553</v>
      </c>
      <c r="C2443" s="91">
        <v>45394.37537688657</v>
      </c>
      <c r="D2443" s="8">
        <f t="shared" si="241"/>
        <v>45398</v>
      </c>
      <c r="E2443" s="9" t="s">
        <v>11</v>
      </c>
      <c r="F2443" s="10"/>
      <c r="G2443" s="9" t="s">
        <v>18</v>
      </c>
      <c r="H2443" s="62" t="s">
        <v>4554</v>
      </c>
      <c r="I2443" s="9" t="s">
        <v>353</v>
      </c>
      <c r="J2443" s="88"/>
    </row>
    <row r="2444">
      <c r="A2444" s="6" t="s">
        <v>9</v>
      </c>
      <c r="B2444" s="7" t="s">
        <v>4555</v>
      </c>
      <c r="C2444" s="91">
        <v>45433.59992587963</v>
      </c>
      <c r="D2444" s="8">
        <f t="shared" si="241"/>
        <v>45435</v>
      </c>
      <c r="E2444" s="9" t="s">
        <v>11</v>
      </c>
      <c r="F2444" s="10"/>
      <c r="G2444" s="9" t="s">
        <v>15</v>
      </c>
      <c r="H2444" s="7" t="s">
        <v>4556</v>
      </c>
      <c r="I2444" s="9" t="s">
        <v>353</v>
      </c>
      <c r="J2444" s="88"/>
    </row>
    <row r="2445">
      <c r="A2445" s="20" t="s">
        <v>98</v>
      </c>
      <c r="B2445" s="9" t="s">
        <v>4557</v>
      </c>
      <c r="C2445" s="91">
        <v>45440.51874991898</v>
      </c>
      <c r="D2445" s="8">
        <f t="shared" si="241"/>
        <v>45442</v>
      </c>
      <c r="E2445" s="9" t="s">
        <v>206</v>
      </c>
      <c r="F2445" s="10"/>
      <c r="G2445" s="9" t="s">
        <v>15</v>
      </c>
      <c r="H2445" s="7" t="s">
        <v>4558</v>
      </c>
      <c r="I2445" s="9" t="s">
        <v>353</v>
      </c>
      <c r="J2445" s="88"/>
    </row>
    <row r="2446">
      <c r="A2446" s="6" t="s">
        <v>9</v>
      </c>
      <c r="B2446" s="7" t="s">
        <v>4559</v>
      </c>
      <c r="C2446" s="91">
        <v>45440.72797245371</v>
      </c>
      <c r="D2446" s="8">
        <f t="shared" si="241"/>
        <v>45442</v>
      </c>
      <c r="E2446" s="9" t="s">
        <v>11</v>
      </c>
      <c r="F2446" s="10"/>
      <c r="G2446" s="9" t="s">
        <v>18</v>
      </c>
      <c r="H2446" s="7" t="s">
        <v>437</v>
      </c>
      <c r="I2446" s="9" t="s">
        <v>353</v>
      </c>
      <c r="J2446" s="88"/>
    </row>
    <row r="2447">
      <c r="A2447" s="6" t="s">
        <v>9</v>
      </c>
      <c r="B2447" s="7" t="s">
        <v>4560</v>
      </c>
      <c r="C2447" s="91">
        <v>45440.705041249996</v>
      </c>
      <c r="D2447" s="8">
        <f t="shared" si="241"/>
        <v>45442</v>
      </c>
      <c r="E2447" s="9" t="s">
        <v>11</v>
      </c>
      <c r="F2447" s="10"/>
      <c r="G2447" s="9" t="s">
        <v>15</v>
      </c>
      <c r="H2447" s="7" t="s">
        <v>437</v>
      </c>
      <c r="I2447" s="9" t="s">
        <v>353</v>
      </c>
      <c r="J2447" s="88"/>
    </row>
    <row r="2448">
      <c r="A2448" s="6" t="s">
        <v>9</v>
      </c>
      <c r="B2448" s="7" t="s">
        <v>4561</v>
      </c>
      <c r="C2448" s="91">
        <v>45440.634632905094</v>
      </c>
      <c r="D2448" s="8">
        <f t="shared" si="241"/>
        <v>45442</v>
      </c>
      <c r="E2448" s="9" t="s">
        <v>11</v>
      </c>
      <c r="F2448" s="10"/>
      <c r="G2448" s="9" t="s">
        <v>15</v>
      </c>
      <c r="H2448" s="7" t="s">
        <v>2036</v>
      </c>
      <c r="I2448" s="9" t="s">
        <v>353</v>
      </c>
      <c r="J2448" s="88"/>
    </row>
    <row r="2449">
      <c r="A2449" s="6" t="s">
        <v>9</v>
      </c>
      <c r="B2449" s="7" t="s">
        <v>4562</v>
      </c>
      <c r="C2449" s="91">
        <v>45428.713588750004</v>
      </c>
      <c r="D2449" s="8">
        <f t="shared" si="241"/>
        <v>45432</v>
      </c>
      <c r="E2449" s="9" t="s">
        <v>11</v>
      </c>
      <c r="F2449" s="10"/>
      <c r="G2449" s="9" t="s">
        <v>15</v>
      </c>
      <c r="H2449" s="7" t="s">
        <v>4563</v>
      </c>
      <c r="I2449" s="9" t="s">
        <v>353</v>
      </c>
      <c r="J2449" s="88"/>
    </row>
    <row r="2450">
      <c r="A2450" s="54" t="s">
        <v>4009</v>
      </c>
      <c r="B2450" s="7" t="s">
        <v>4564</v>
      </c>
      <c r="C2450" s="91">
        <v>45440.495877719906</v>
      </c>
      <c r="D2450" s="8">
        <f t="shared" si="241"/>
        <v>45442</v>
      </c>
      <c r="E2450" s="9" t="s">
        <v>94</v>
      </c>
      <c r="F2450" s="10"/>
      <c r="G2450" s="9" t="s">
        <v>15</v>
      </c>
      <c r="H2450" s="7" t="s">
        <v>2036</v>
      </c>
      <c r="I2450" s="9" t="s">
        <v>353</v>
      </c>
      <c r="J2450" s="88"/>
    </row>
    <row r="2451">
      <c r="A2451" s="34" t="s">
        <v>204</v>
      </c>
      <c r="B2451" s="7" t="s">
        <v>4565</v>
      </c>
      <c r="C2451" s="91">
        <v>45440.519843993054</v>
      </c>
      <c r="D2451" s="8">
        <f t="shared" si="241"/>
        <v>45442</v>
      </c>
      <c r="E2451" s="9" t="s">
        <v>11</v>
      </c>
      <c r="F2451" s="10"/>
      <c r="G2451" s="9" t="s">
        <v>18</v>
      </c>
      <c r="H2451" s="7" t="s">
        <v>437</v>
      </c>
      <c r="I2451" s="9" t="s">
        <v>353</v>
      </c>
      <c r="J2451" s="88"/>
    </row>
    <row r="2452">
      <c r="A2452" s="54" t="s">
        <v>4009</v>
      </c>
      <c r="B2452" s="7" t="s">
        <v>4566</v>
      </c>
      <c r="C2452" s="91">
        <v>45428.62732796297</v>
      </c>
      <c r="D2452" s="8">
        <f t="shared" si="241"/>
        <v>45432</v>
      </c>
      <c r="E2452" s="9" t="s">
        <v>2450</v>
      </c>
      <c r="F2452" s="10"/>
      <c r="G2452" s="9" t="s">
        <v>15</v>
      </c>
      <c r="H2452" s="7" t="s">
        <v>4567</v>
      </c>
      <c r="I2452" s="9" t="s">
        <v>353</v>
      </c>
      <c r="J2452" s="88"/>
    </row>
    <row r="2453">
      <c r="A2453" s="42" t="s">
        <v>206</v>
      </c>
      <c r="B2453" s="180" t="s">
        <v>4568</v>
      </c>
      <c r="C2453" s="91">
        <v>45414.39067212963</v>
      </c>
      <c r="D2453" s="8"/>
      <c r="E2453" s="9"/>
      <c r="F2453" s="10"/>
      <c r="G2453" s="9" t="s">
        <v>15</v>
      </c>
      <c r="H2453" s="7" t="s">
        <v>4569</v>
      </c>
      <c r="I2453" s="9" t="s">
        <v>353</v>
      </c>
      <c r="J2453" s="88"/>
    </row>
    <row r="2454">
      <c r="A2454" s="42" t="s">
        <v>206</v>
      </c>
      <c r="B2454" s="43" t="s">
        <v>4570</v>
      </c>
      <c r="C2454" s="91">
        <v>45422.438066296294</v>
      </c>
      <c r="D2454" s="8"/>
      <c r="E2454" s="9" t="s">
        <v>206</v>
      </c>
      <c r="F2454" s="10"/>
      <c r="G2454" s="9" t="s">
        <v>15</v>
      </c>
      <c r="H2454" s="7" t="s">
        <v>4571</v>
      </c>
      <c r="I2454" s="9" t="s">
        <v>353</v>
      </c>
      <c r="J2454" s="88"/>
    </row>
    <row r="2455">
      <c r="A2455" s="42" t="s">
        <v>206</v>
      </c>
      <c r="B2455" s="43" t="s">
        <v>4572</v>
      </c>
      <c r="C2455" s="91">
        <v>45407.729289780094</v>
      </c>
      <c r="D2455" s="8"/>
      <c r="E2455" s="9" t="s">
        <v>206</v>
      </c>
      <c r="F2455" s="10"/>
      <c r="G2455" s="9" t="s">
        <v>15</v>
      </c>
      <c r="H2455" s="7" t="s">
        <v>4573</v>
      </c>
      <c r="I2455" s="9" t="s">
        <v>353</v>
      </c>
      <c r="J2455" s="88"/>
    </row>
    <row r="2456">
      <c r="A2456" s="42" t="s">
        <v>206</v>
      </c>
      <c r="B2456" s="43" t="s">
        <v>4574</v>
      </c>
      <c r="C2456" s="91"/>
      <c r="D2456" s="8"/>
      <c r="E2456" s="9"/>
      <c r="F2456" s="10"/>
      <c r="G2456" s="9" t="s">
        <v>15</v>
      </c>
      <c r="H2456" s="7" t="s">
        <v>4575</v>
      </c>
      <c r="I2456" s="9" t="s">
        <v>353</v>
      </c>
      <c r="J2456" s="88"/>
    </row>
    <row r="2457">
      <c r="A2457" s="54" t="s">
        <v>4009</v>
      </c>
      <c r="B2457" s="7" t="s">
        <v>4576</v>
      </c>
      <c r="C2457" s="91">
        <v>45428.62771532407</v>
      </c>
      <c r="D2457" s="8">
        <f t="shared" ref="D2457:D2461" si="242">IFERROR(_xlfn.WORKDAY.INTL(C2457, 2),"-")</f>
        <v>45432</v>
      </c>
      <c r="E2457" s="9" t="s">
        <v>94</v>
      </c>
      <c r="F2457" s="10"/>
      <c r="G2457" s="9" t="s">
        <v>220</v>
      </c>
      <c r="H2457" s="7" t="s">
        <v>4577</v>
      </c>
      <c r="I2457" s="9" t="s">
        <v>353</v>
      </c>
      <c r="J2457" s="88"/>
    </row>
    <row r="2458">
      <c r="A2458" s="6" t="s">
        <v>9</v>
      </c>
      <c r="B2458" s="7" t="s">
        <v>4578</v>
      </c>
      <c r="C2458" s="91">
        <v>45436.431091921295</v>
      </c>
      <c r="D2458" s="8">
        <f t="shared" si="242"/>
        <v>45440</v>
      </c>
      <c r="E2458" s="9" t="s">
        <v>11</v>
      </c>
      <c r="F2458" s="10"/>
      <c r="G2458" s="9" t="s">
        <v>15</v>
      </c>
      <c r="H2458" s="7" t="s">
        <v>4579</v>
      </c>
      <c r="I2458" s="9" t="s">
        <v>353</v>
      </c>
      <c r="J2458" s="88"/>
    </row>
    <row r="2459">
      <c r="A2459" s="34" t="s">
        <v>204</v>
      </c>
      <c r="B2459" s="7" t="s">
        <v>4580</v>
      </c>
      <c r="C2459" s="91">
        <v>45436.40591990741</v>
      </c>
      <c r="D2459" s="8">
        <f t="shared" si="242"/>
        <v>45440</v>
      </c>
      <c r="E2459" s="9" t="s">
        <v>11</v>
      </c>
      <c r="F2459" s="10"/>
      <c r="G2459" s="9" t="s">
        <v>18</v>
      </c>
      <c r="H2459" s="7" t="s">
        <v>437</v>
      </c>
      <c r="I2459" s="9" t="s">
        <v>353</v>
      </c>
      <c r="J2459" s="88"/>
    </row>
    <row r="2460">
      <c r="A2460" s="34" t="s">
        <v>204</v>
      </c>
      <c r="B2460" s="11"/>
      <c r="C2460" s="91" t="s">
        <v>11</v>
      </c>
      <c r="D2460" s="8" t="str">
        <f t="shared" si="242"/>
        <v>-</v>
      </c>
      <c r="E2460" s="9" t="s">
        <v>11</v>
      </c>
      <c r="F2460" s="10"/>
      <c r="G2460" s="9"/>
      <c r="H2460" s="11"/>
      <c r="I2460" s="9" t="s">
        <v>13</v>
      </c>
      <c r="J2460" s="88"/>
    </row>
    <row r="2461">
      <c r="A2461" s="34" t="s">
        <v>204</v>
      </c>
      <c r="B2461" s="7" t="s">
        <v>4581</v>
      </c>
      <c r="C2461" s="91">
        <v>45435.60977480324</v>
      </c>
      <c r="D2461" s="8">
        <f t="shared" si="242"/>
        <v>45439</v>
      </c>
      <c r="E2461" s="9" t="s">
        <v>11</v>
      </c>
      <c r="F2461" s="10"/>
      <c r="G2461" s="9" t="s">
        <v>18</v>
      </c>
      <c r="H2461" s="7" t="s">
        <v>437</v>
      </c>
      <c r="I2461" s="9" t="s">
        <v>353</v>
      </c>
      <c r="J2461" s="88"/>
    </row>
    <row r="2462">
      <c r="A2462" s="88"/>
      <c r="B2462" s="89"/>
      <c r="C2462" s="90"/>
      <c r="D2462" s="89"/>
      <c r="E2462" s="89"/>
      <c r="F2462" s="89"/>
      <c r="G2462" s="89"/>
      <c r="H2462" s="87"/>
      <c r="I2462" s="89"/>
      <c r="J2462" s="88"/>
    </row>
    <row r="2463">
      <c r="A2463" s="6" t="s">
        <v>9</v>
      </c>
      <c r="B2463" s="7" t="s">
        <v>4582</v>
      </c>
      <c r="C2463" s="91">
        <v>45435.54381662037</v>
      </c>
      <c r="D2463" s="8">
        <f t="shared" ref="D2463:D2490" si="243">IFERROR(_xlfn.WORKDAY.INTL(C2463, 2),"-")</f>
        <v>45439</v>
      </c>
      <c r="E2463" s="9" t="s">
        <v>11</v>
      </c>
      <c r="F2463" s="10"/>
      <c r="G2463" s="9" t="s">
        <v>15</v>
      </c>
      <c r="H2463" s="7" t="s">
        <v>2111</v>
      </c>
      <c r="I2463" s="9" t="s">
        <v>353</v>
      </c>
      <c r="J2463" s="88"/>
    </row>
    <row r="2464">
      <c r="A2464" s="20" t="s">
        <v>98</v>
      </c>
      <c r="B2464" s="9" t="s">
        <v>4583</v>
      </c>
      <c r="C2464" s="91">
        <v>45406.419202812496</v>
      </c>
      <c r="D2464" s="8">
        <f t="shared" si="243"/>
        <v>45408</v>
      </c>
      <c r="E2464" s="9" t="s">
        <v>206</v>
      </c>
      <c r="F2464" s="10"/>
      <c r="G2464" s="9" t="s">
        <v>18</v>
      </c>
      <c r="H2464" s="7" t="s">
        <v>4584</v>
      </c>
      <c r="I2464" s="9" t="s">
        <v>353</v>
      </c>
      <c r="J2464" s="88"/>
    </row>
    <row r="2465">
      <c r="A2465" s="6" t="s">
        <v>9</v>
      </c>
      <c r="B2465" s="62" t="s">
        <v>4585</v>
      </c>
      <c r="C2465" s="91">
        <v>45433.460039756945</v>
      </c>
      <c r="D2465" s="8">
        <f t="shared" si="243"/>
        <v>45435</v>
      </c>
      <c r="E2465" s="9" t="s">
        <v>11</v>
      </c>
      <c r="F2465" s="10"/>
      <c r="G2465" s="9" t="s">
        <v>15</v>
      </c>
      <c r="H2465" s="7" t="s">
        <v>4556</v>
      </c>
      <c r="I2465" s="9" t="s">
        <v>353</v>
      </c>
      <c r="J2465" s="88"/>
    </row>
    <row r="2466">
      <c r="A2466" s="54" t="s">
        <v>4009</v>
      </c>
      <c r="B2466" s="7" t="s">
        <v>4586</v>
      </c>
      <c r="C2466" s="91">
        <v>45432.452443981485</v>
      </c>
      <c r="D2466" s="8">
        <f t="shared" si="243"/>
        <v>45434</v>
      </c>
      <c r="E2466" s="9" t="s">
        <v>88</v>
      </c>
      <c r="F2466" s="10"/>
      <c r="G2466" s="9" t="s">
        <v>220</v>
      </c>
      <c r="H2466" s="7" t="s">
        <v>4587</v>
      </c>
      <c r="I2466" s="9" t="s">
        <v>353</v>
      </c>
      <c r="J2466" s="88"/>
    </row>
    <row r="2467">
      <c r="A2467" s="20" t="s">
        <v>98</v>
      </c>
      <c r="B2467" s="9" t="s">
        <v>4588</v>
      </c>
      <c r="C2467" s="91">
        <v>45425.42300591435</v>
      </c>
      <c r="D2467" s="8">
        <f t="shared" si="243"/>
        <v>45427</v>
      </c>
      <c r="E2467" s="9" t="s">
        <v>11</v>
      </c>
      <c r="F2467" s="10"/>
      <c r="G2467" s="137" t="s">
        <v>15</v>
      </c>
      <c r="H2467" s="174" t="s">
        <v>4589</v>
      </c>
      <c r="I2467" s="9" t="s">
        <v>353</v>
      </c>
      <c r="J2467" s="88"/>
    </row>
    <row r="2468">
      <c r="A2468" s="20" t="s">
        <v>98</v>
      </c>
      <c r="B2468" s="9" t="s">
        <v>4590</v>
      </c>
      <c r="C2468" s="91">
        <v>45404.425422939814</v>
      </c>
      <c r="D2468" s="8">
        <f t="shared" si="243"/>
        <v>45406</v>
      </c>
      <c r="E2468" s="9" t="s">
        <v>11</v>
      </c>
      <c r="F2468" s="10"/>
      <c r="G2468" s="9" t="s">
        <v>15</v>
      </c>
      <c r="H2468" s="7" t="s">
        <v>4591</v>
      </c>
      <c r="I2468" s="9" t="s">
        <v>353</v>
      </c>
      <c r="J2468" s="88"/>
    </row>
    <row r="2469">
      <c r="A2469" s="20" t="s">
        <v>98</v>
      </c>
      <c r="B2469" s="9" t="s">
        <v>4592</v>
      </c>
      <c r="C2469" s="91">
        <v>45427.69255025463</v>
      </c>
      <c r="D2469" s="8">
        <f t="shared" si="243"/>
        <v>45429</v>
      </c>
      <c r="E2469" s="9" t="s">
        <v>88</v>
      </c>
      <c r="F2469" s="10"/>
      <c r="G2469" s="9" t="s">
        <v>18</v>
      </c>
      <c r="H2469" s="7" t="s">
        <v>4593</v>
      </c>
      <c r="I2469" s="9" t="s">
        <v>353</v>
      </c>
      <c r="J2469" s="88"/>
    </row>
    <row r="2470">
      <c r="A2470" s="20" t="s">
        <v>98</v>
      </c>
      <c r="B2470" s="9" t="s">
        <v>4594</v>
      </c>
      <c r="C2470" s="91">
        <v>45412.666598020834</v>
      </c>
      <c r="D2470" s="8">
        <f t="shared" si="243"/>
        <v>45414</v>
      </c>
      <c r="E2470" s="9" t="s">
        <v>11</v>
      </c>
      <c r="F2470" s="10"/>
      <c r="G2470" s="9" t="s">
        <v>18</v>
      </c>
      <c r="H2470" s="7" t="s">
        <v>4595</v>
      </c>
      <c r="I2470" s="9" t="s">
        <v>353</v>
      </c>
      <c r="J2470" s="88"/>
    </row>
    <row r="2471">
      <c r="A2471" s="20" t="s">
        <v>98</v>
      </c>
      <c r="B2471" s="9" t="s">
        <v>4596</v>
      </c>
      <c r="C2471" s="91">
        <v>45394.34819295139</v>
      </c>
      <c r="D2471" s="8">
        <f t="shared" si="243"/>
        <v>45398</v>
      </c>
      <c r="E2471" s="9" t="s">
        <v>206</v>
      </c>
      <c r="F2471" s="10"/>
      <c r="G2471" s="9" t="s">
        <v>15</v>
      </c>
      <c r="H2471" s="7" t="s">
        <v>4597</v>
      </c>
      <c r="I2471" s="9" t="s">
        <v>353</v>
      </c>
      <c r="J2471" s="88"/>
    </row>
    <row r="2472">
      <c r="A2472" s="20" t="s">
        <v>98</v>
      </c>
      <c r="B2472" s="9" t="s">
        <v>3405</v>
      </c>
      <c r="C2472" s="91">
        <v>45426.868546550926</v>
      </c>
      <c r="D2472" s="8">
        <f t="shared" si="243"/>
        <v>45428</v>
      </c>
      <c r="E2472" s="9" t="s">
        <v>11</v>
      </c>
      <c r="F2472" s="10"/>
      <c r="G2472" s="9" t="s">
        <v>21</v>
      </c>
      <c r="H2472" s="7" t="s">
        <v>4598</v>
      </c>
      <c r="I2472" s="9" t="s">
        <v>353</v>
      </c>
      <c r="J2472" s="88"/>
    </row>
    <row r="2473">
      <c r="A2473" s="6" t="s">
        <v>9</v>
      </c>
      <c r="B2473" s="7" t="s">
        <v>4599</v>
      </c>
      <c r="C2473" s="91">
        <v>45434.480916886576</v>
      </c>
      <c r="D2473" s="8">
        <f t="shared" si="243"/>
        <v>45436</v>
      </c>
      <c r="E2473" s="9" t="s">
        <v>11</v>
      </c>
      <c r="F2473" s="10"/>
      <c r="G2473" s="9" t="s">
        <v>15</v>
      </c>
      <c r="H2473" s="7" t="s">
        <v>4600</v>
      </c>
      <c r="I2473" s="9" t="s">
        <v>353</v>
      </c>
      <c r="J2473" s="88"/>
    </row>
    <row r="2474">
      <c r="A2474" s="20" t="s">
        <v>98</v>
      </c>
      <c r="B2474" s="9" t="s">
        <v>4601</v>
      </c>
      <c r="C2474" s="91">
        <v>45404.425665567134</v>
      </c>
      <c r="D2474" s="8">
        <f t="shared" si="243"/>
        <v>45406</v>
      </c>
      <c r="E2474" s="9" t="s">
        <v>206</v>
      </c>
      <c r="F2474" s="10"/>
      <c r="G2474" s="9" t="s">
        <v>15</v>
      </c>
      <c r="H2474" s="7" t="s">
        <v>4602</v>
      </c>
      <c r="I2474" s="9" t="s">
        <v>353</v>
      </c>
      <c r="J2474" s="88"/>
    </row>
    <row r="2475">
      <c r="A2475" s="34" t="s">
        <v>204</v>
      </c>
      <c r="B2475" s="7" t="s">
        <v>4603</v>
      </c>
      <c r="C2475" s="91">
        <v>45411.814467442135</v>
      </c>
      <c r="D2475" s="8">
        <f t="shared" si="243"/>
        <v>45413</v>
      </c>
      <c r="E2475" s="9" t="s">
        <v>11</v>
      </c>
      <c r="F2475" s="8"/>
      <c r="G2475" s="9" t="s">
        <v>18</v>
      </c>
      <c r="H2475" s="7" t="s">
        <v>437</v>
      </c>
      <c r="I2475" s="9" t="s">
        <v>353</v>
      </c>
      <c r="J2475" s="88"/>
    </row>
    <row r="2476">
      <c r="A2476" s="20" t="s">
        <v>98</v>
      </c>
      <c r="B2476" s="9" t="s">
        <v>4604</v>
      </c>
      <c r="C2476" s="91">
        <v>45414.589700625</v>
      </c>
      <c r="D2476" s="8">
        <f t="shared" si="243"/>
        <v>45418</v>
      </c>
      <c r="E2476" s="9" t="s">
        <v>11</v>
      </c>
      <c r="F2476" s="10"/>
      <c r="G2476" s="9" t="s">
        <v>15</v>
      </c>
      <c r="H2476" s="7" t="s">
        <v>4605</v>
      </c>
      <c r="I2476" s="9" t="s">
        <v>353</v>
      </c>
      <c r="J2476" s="88"/>
    </row>
    <row r="2477">
      <c r="A2477" s="20" t="s">
        <v>98</v>
      </c>
      <c r="B2477" s="9" t="s">
        <v>4606</v>
      </c>
      <c r="C2477" s="91">
        <v>45428.70474945602</v>
      </c>
      <c r="D2477" s="8">
        <f t="shared" si="243"/>
        <v>45432</v>
      </c>
      <c r="E2477" s="9" t="s">
        <v>206</v>
      </c>
      <c r="F2477" s="10"/>
      <c r="G2477" s="9" t="s">
        <v>18</v>
      </c>
      <c r="H2477" s="7" t="s">
        <v>4607</v>
      </c>
      <c r="I2477" s="9" t="s">
        <v>353</v>
      </c>
      <c r="J2477" s="88"/>
    </row>
    <row r="2478">
      <c r="A2478" s="20" t="s">
        <v>98</v>
      </c>
      <c r="B2478" s="9" t="s">
        <v>4608</v>
      </c>
      <c r="C2478" s="91">
        <v>45407.502271018515</v>
      </c>
      <c r="D2478" s="8">
        <f t="shared" si="243"/>
        <v>45411</v>
      </c>
      <c r="E2478" s="9" t="s">
        <v>206</v>
      </c>
      <c r="F2478" s="10"/>
      <c r="G2478" s="9" t="s">
        <v>15</v>
      </c>
      <c r="H2478" s="23" t="s">
        <v>4609</v>
      </c>
      <c r="I2478" s="9" t="s">
        <v>353</v>
      </c>
      <c r="J2478" s="88"/>
    </row>
    <row r="2479">
      <c r="A2479" s="34" t="s">
        <v>204</v>
      </c>
      <c r="B2479" s="7" t="s">
        <v>4481</v>
      </c>
      <c r="C2479" s="91">
        <v>45433.3832371412</v>
      </c>
      <c r="D2479" s="8">
        <f t="shared" si="243"/>
        <v>45435</v>
      </c>
      <c r="E2479" s="9" t="s">
        <v>11</v>
      </c>
      <c r="F2479" s="10"/>
      <c r="G2479" s="9" t="s">
        <v>18</v>
      </c>
      <c r="H2479" s="7" t="s">
        <v>437</v>
      </c>
      <c r="I2479" s="9" t="s">
        <v>353</v>
      </c>
      <c r="J2479" s="88"/>
    </row>
    <row r="2480">
      <c r="A2480" s="34" t="s">
        <v>204</v>
      </c>
      <c r="B2480" s="7" t="s">
        <v>4610</v>
      </c>
      <c r="C2480" s="91">
        <v>45433.69040533565</v>
      </c>
      <c r="D2480" s="8">
        <f t="shared" si="243"/>
        <v>45435</v>
      </c>
      <c r="E2480" s="9" t="s">
        <v>11</v>
      </c>
      <c r="F2480" s="10"/>
      <c r="G2480" s="9" t="s">
        <v>18</v>
      </c>
      <c r="H2480" s="7" t="s">
        <v>437</v>
      </c>
      <c r="I2480" s="9" t="s">
        <v>353</v>
      </c>
      <c r="J2480" s="88"/>
    </row>
    <row r="2481">
      <c r="A2481" s="20" t="s">
        <v>98</v>
      </c>
      <c r="B2481" s="9" t="s">
        <v>4611</v>
      </c>
      <c r="C2481" s="91">
        <v>45344.50133533565</v>
      </c>
      <c r="D2481" s="8">
        <f t="shared" si="243"/>
        <v>45348</v>
      </c>
      <c r="E2481" s="9" t="s">
        <v>11</v>
      </c>
      <c r="F2481" s="10"/>
      <c r="G2481" s="9" t="s">
        <v>21</v>
      </c>
      <c r="H2481" s="7" t="s">
        <v>4612</v>
      </c>
      <c r="I2481" s="9" t="s">
        <v>353</v>
      </c>
      <c r="J2481" s="88"/>
    </row>
    <row r="2482">
      <c r="A2482" s="20" t="s">
        <v>98</v>
      </c>
      <c r="B2482" s="9" t="s">
        <v>4613</v>
      </c>
      <c r="C2482" s="91">
        <v>45432.65253112269</v>
      </c>
      <c r="D2482" s="8">
        <f t="shared" si="243"/>
        <v>45434</v>
      </c>
      <c r="E2482" s="9" t="s">
        <v>11</v>
      </c>
      <c r="F2482" s="10"/>
      <c r="G2482" s="9" t="s">
        <v>15</v>
      </c>
      <c r="H2482" s="7" t="s">
        <v>4614</v>
      </c>
      <c r="I2482" s="9" t="s">
        <v>353</v>
      </c>
      <c r="J2482" s="88"/>
    </row>
    <row r="2483">
      <c r="A2483" s="20" t="s">
        <v>98</v>
      </c>
      <c r="B2483" s="9" t="s">
        <v>4615</v>
      </c>
      <c r="C2483" s="91">
        <v>45414.590189560186</v>
      </c>
      <c r="D2483" s="8">
        <f t="shared" si="243"/>
        <v>45418</v>
      </c>
      <c r="E2483" s="9" t="s">
        <v>11</v>
      </c>
      <c r="F2483" s="10"/>
      <c r="G2483" s="9" t="s">
        <v>18</v>
      </c>
      <c r="H2483" s="7" t="s">
        <v>4616</v>
      </c>
      <c r="I2483" s="9" t="s">
        <v>353</v>
      </c>
      <c r="J2483" s="88"/>
    </row>
    <row r="2484">
      <c r="A2484" s="20" t="s">
        <v>98</v>
      </c>
      <c r="B2484" s="9" t="s">
        <v>4617</v>
      </c>
      <c r="C2484" s="91">
        <v>45414.590236331016</v>
      </c>
      <c r="D2484" s="8">
        <f t="shared" si="243"/>
        <v>45418</v>
      </c>
      <c r="E2484" s="9" t="s">
        <v>11</v>
      </c>
      <c r="F2484" s="10"/>
      <c r="G2484" s="9" t="s">
        <v>18</v>
      </c>
      <c r="H2484" s="7" t="s">
        <v>4616</v>
      </c>
      <c r="I2484" s="9" t="s">
        <v>353</v>
      </c>
      <c r="J2484" s="88"/>
    </row>
    <row r="2485">
      <c r="A2485" s="20" t="s">
        <v>98</v>
      </c>
      <c r="B2485" s="93" t="s">
        <v>4618</v>
      </c>
      <c r="C2485" s="91">
        <v>45414.5901219213</v>
      </c>
      <c r="D2485" s="8">
        <f t="shared" si="243"/>
        <v>45418</v>
      </c>
      <c r="E2485" s="9" t="s">
        <v>11</v>
      </c>
      <c r="F2485" s="10"/>
      <c r="G2485" s="9" t="s">
        <v>15</v>
      </c>
      <c r="H2485" s="7" t="s">
        <v>4616</v>
      </c>
      <c r="I2485" s="9" t="s">
        <v>353</v>
      </c>
      <c r="J2485" s="88"/>
    </row>
    <row r="2486">
      <c r="A2486" s="6" t="s">
        <v>9</v>
      </c>
      <c r="B2486" s="7" t="s">
        <v>4619</v>
      </c>
      <c r="C2486" s="91">
        <v>45394.37353240741</v>
      </c>
      <c r="D2486" s="8">
        <f t="shared" si="243"/>
        <v>45398</v>
      </c>
      <c r="E2486" s="9" t="s">
        <v>206</v>
      </c>
      <c r="F2486" s="10"/>
      <c r="G2486" s="9" t="s">
        <v>15</v>
      </c>
      <c r="H2486" s="7" t="s">
        <v>4620</v>
      </c>
      <c r="I2486" s="9" t="s">
        <v>353</v>
      </c>
      <c r="J2486" s="88"/>
    </row>
    <row r="2487">
      <c r="A2487" s="6" t="s">
        <v>9</v>
      </c>
      <c r="B2487" s="7" t="s">
        <v>4621</v>
      </c>
      <c r="C2487" s="91">
        <v>45400.712948009255</v>
      </c>
      <c r="D2487" s="8">
        <f t="shared" si="243"/>
        <v>45404</v>
      </c>
      <c r="E2487" s="9" t="s">
        <v>88</v>
      </c>
      <c r="F2487" s="10"/>
      <c r="G2487" s="9" t="s">
        <v>15</v>
      </c>
      <c r="H2487" s="7" t="s">
        <v>4622</v>
      </c>
      <c r="I2487" s="9" t="s">
        <v>353</v>
      </c>
      <c r="J2487" s="88"/>
    </row>
    <row r="2488">
      <c r="A2488" s="6" t="s">
        <v>9</v>
      </c>
      <c r="B2488" s="7" t="s">
        <v>4623</v>
      </c>
      <c r="C2488" s="91">
        <v>45243.60351774306</v>
      </c>
      <c r="D2488" s="8">
        <f t="shared" si="243"/>
        <v>45245</v>
      </c>
      <c r="E2488" s="9" t="s">
        <v>88</v>
      </c>
      <c r="F2488" s="10"/>
      <c r="G2488" s="9" t="s">
        <v>18</v>
      </c>
      <c r="H2488" s="7" t="s">
        <v>4624</v>
      </c>
      <c r="I2488" s="9" t="s">
        <v>353</v>
      </c>
      <c r="J2488" s="88"/>
    </row>
    <row r="2489">
      <c r="A2489" s="6" t="s">
        <v>9</v>
      </c>
      <c r="B2489" s="7" t="s">
        <v>4625</v>
      </c>
      <c r="C2489" s="91">
        <v>45356.64755548611</v>
      </c>
      <c r="D2489" s="8">
        <f t="shared" si="243"/>
        <v>45358</v>
      </c>
      <c r="E2489" s="9" t="s">
        <v>88</v>
      </c>
      <c r="F2489" s="10"/>
      <c r="G2489" s="9" t="s">
        <v>18</v>
      </c>
      <c r="H2489" s="7" t="s">
        <v>4626</v>
      </c>
      <c r="I2489" s="9" t="s">
        <v>353</v>
      </c>
      <c r="J2489" s="88"/>
    </row>
    <row r="2490">
      <c r="A2490" s="34" t="s">
        <v>204</v>
      </c>
      <c r="B2490" s="7" t="s">
        <v>4627</v>
      </c>
      <c r="C2490" s="91">
        <v>45244.81139052083</v>
      </c>
      <c r="D2490" s="8">
        <f t="shared" si="243"/>
        <v>45246</v>
      </c>
      <c r="E2490" s="9" t="s">
        <v>11</v>
      </c>
      <c r="F2490" s="8"/>
      <c r="G2490" s="9" t="s">
        <v>18</v>
      </c>
      <c r="H2490" s="7" t="s">
        <v>4628</v>
      </c>
      <c r="I2490" s="9" t="s">
        <v>353</v>
      </c>
      <c r="J2490" s="88"/>
    </row>
    <row r="2491">
      <c r="A2491" s="42" t="s">
        <v>206</v>
      </c>
      <c r="B2491" s="157" t="s">
        <v>4629</v>
      </c>
      <c r="C2491" s="91">
        <v>45419.62932734954</v>
      </c>
      <c r="D2491" s="8"/>
      <c r="E2491" s="9" t="s">
        <v>94</v>
      </c>
      <c r="F2491" s="8">
        <v>45418.0</v>
      </c>
      <c r="G2491" s="9" t="s">
        <v>15</v>
      </c>
      <c r="H2491" s="7" t="s">
        <v>4630</v>
      </c>
      <c r="I2491" s="9" t="s">
        <v>353</v>
      </c>
      <c r="J2491" s="88"/>
    </row>
    <row r="2492">
      <c r="A2492" s="54" t="s">
        <v>4009</v>
      </c>
      <c r="B2492" s="7" t="s">
        <v>4631</v>
      </c>
      <c r="C2492" s="91">
        <v>45428.62700304398</v>
      </c>
      <c r="D2492" s="8">
        <f t="shared" ref="D2492:D2495" si="244">IFERROR(_xlfn.WORKDAY.INTL(C2492, 2),"-")</f>
        <v>45432</v>
      </c>
      <c r="E2492" s="9" t="s">
        <v>11</v>
      </c>
      <c r="F2492" s="10"/>
      <c r="G2492" s="9" t="s">
        <v>220</v>
      </c>
      <c r="H2492" s="7" t="s">
        <v>4632</v>
      </c>
      <c r="I2492" s="9" t="s">
        <v>353</v>
      </c>
      <c r="J2492" s="88"/>
    </row>
    <row r="2493">
      <c r="A2493" s="54" t="s">
        <v>4009</v>
      </c>
      <c r="B2493" s="7" t="s">
        <v>4633</v>
      </c>
      <c r="C2493" s="91">
        <v>45428.62864572917</v>
      </c>
      <c r="D2493" s="8">
        <f t="shared" si="244"/>
        <v>45432</v>
      </c>
      <c r="E2493" s="9" t="s">
        <v>11</v>
      </c>
      <c r="F2493" s="10"/>
      <c r="G2493" s="9" t="s">
        <v>220</v>
      </c>
      <c r="H2493" s="11"/>
      <c r="I2493" s="9" t="s">
        <v>353</v>
      </c>
      <c r="J2493" s="88"/>
    </row>
    <row r="2494">
      <c r="A2494" s="34" t="s">
        <v>204</v>
      </c>
      <c r="B2494" s="7" t="s">
        <v>4634</v>
      </c>
      <c r="C2494" s="91">
        <v>45096.51156925926</v>
      </c>
      <c r="D2494" s="8">
        <f t="shared" si="244"/>
        <v>45098</v>
      </c>
      <c r="E2494" s="9" t="s">
        <v>206</v>
      </c>
      <c r="F2494" s="10"/>
      <c r="G2494" s="9" t="s">
        <v>15</v>
      </c>
      <c r="H2494" s="7" t="s">
        <v>4635</v>
      </c>
      <c r="I2494" s="9" t="s">
        <v>353</v>
      </c>
      <c r="J2494" s="88"/>
    </row>
    <row r="2495">
      <c r="A2495" s="34" t="s">
        <v>204</v>
      </c>
      <c r="B2495" s="7" t="s">
        <v>4636</v>
      </c>
      <c r="C2495" s="91">
        <v>45329.62253283565</v>
      </c>
      <c r="D2495" s="8">
        <f t="shared" si="244"/>
        <v>45331</v>
      </c>
      <c r="E2495" s="9" t="s">
        <v>11</v>
      </c>
      <c r="F2495" s="9" t="s">
        <v>11</v>
      </c>
      <c r="G2495" s="9" t="s">
        <v>15</v>
      </c>
      <c r="H2495" s="7" t="s">
        <v>4637</v>
      </c>
      <c r="I2495" s="9" t="s">
        <v>353</v>
      </c>
      <c r="J2495" s="88"/>
    </row>
    <row r="2496">
      <c r="A2496" s="34"/>
      <c r="B2496" s="7" t="s">
        <v>4638</v>
      </c>
      <c r="C2496" s="91">
        <v>45266.706132349536</v>
      </c>
      <c r="D2496" s="8"/>
      <c r="E2496" s="9"/>
      <c r="F2496" s="9"/>
      <c r="G2496" s="9" t="s">
        <v>15</v>
      </c>
      <c r="H2496" s="23" t="s">
        <v>4639</v>
      </c>
      <c r="I2496" s="9" t="s">
        <v>353</v>
      </c>
      <c r="J2496" s="88"/>
    </row>
    <row r="2497">
      <c r="A2497" s="34" t="s">
        <v>204</v>
      </c>
      <c r="B2497" s="7" t="s">
        <v>4640</v>
      </c>
      <c r="C2497" s="91">
        <v>45428.720325891205</v>
      </c>
      <c r="D2497" s="8">
        <f>IFERROR(_xlfn.WORKDAY.INTL(C2497, 2),"-")</f>
        <v>45432</v>
      </c>
      <c r="E2497" s="9" t="s">
        <v>11</v>
      </c>
      <c r="F2497" s="9" t="s">
        <v>11</v>
      </c>
      <c r="G2497" s="9" t="s">
        <v>15</v>
      </c>
      <c r="H2497" s="11"/>
      <c r="I2497" s="9" t="s">
        <v>353</v>
      </c>
      <c r="J2497" s="88"/>
    </row>
    <row r="2498">
      <c r="A2498" s="34"/>
      <c r="B2498" s="7" t="s">
        <v>4641</v>
      </c>
      <c r="C2498" s="91">
        <v>45266.705905740746</v>
      </c>
      <c r="D2498" s="8"/>
      <c r="E2498" s="9"/>
      <c r="F2498" s="9"/>
      <c r="G2498" s="9" t="s">
        <v>15</v>
      </c>
      <c r="H2498" s="23" t="s">
        <v>4639</v>
      </c>
      <c r="I2498" s="9" t="s">
        <v>353</v>
      </c>
      <c r="J2498" s="88"/>
    </row>
    <row r="2499">
      <c r="A2499" s="34" t="s">
        <v>204</v>
      </c>
      <c r="B2499" s="7" t="s">
        <v>4642</v>
      </c>
      <c r="C2499" s="91">
        <v>45350.738443599534</v>
      </c>
      <c r="D2499" s="8">
        <f t="shared" ref="D2499:D2511" si="245">IFERROR(_xlfn.WORKDAY.INTL(C2499, 2),"-")</f>
        <v>45352</v>
      </c>
      <c r="E2499" s="9" t="s">
        <v>88</v>
      </c>
      <c r="F2499" s="9" t="s">
        <v>11</v>
      </c>
      <c r="G2499" s="9" t="s">
        <v>15</v>
      </c>
      <c r="H2499" s="7" t="s">
        <v>4643</v>
      </c>
      <c r="I2499" s="9" t="s">
        <v>353</v>
      </c>
      <c r="J2499" s="88"/>
    </row>
    <row r="2500">
      <c r="A2500" s="34" t="s">
        <v>204</v>
      </c>
      <c r="B2500" s="7" t="s">
        <v>4644</v>
      </c>
      <c r="C2500" s="91">
        <v>45282.46586521991</v>
      </c>
      <c r="D2500" s="8">
        <f t="shared" si="245"/>
        <v>45286</v>
      </c>
      <c r="E2500" s="9" t="s">
        <v>11</v>
      </c>
      <c r="F2500" s="10"/>
      <c r="G2500" s="9" t="s">
        <v>15</v>
      </c>
      <c r="H2500" s="7" t="s">
        <v>4645</v>
      </c>
      <c r="I2500" s="9" t="s">
        <v>353</v>
      </c>
      <c r="J2500" s="88"/>
    </row>
    <row r="2501">
      <c r="A2501" s="34" t="s">
        <v>204</v>
      </c>
      <c r="B2501" s="7" t="s">
        <v>4646</v>
      </c>
      <c r="C2501" s="91">
        <v>45282.465047210644</v>
      </c>
      <c r="D2501" s="8">
        <f t="shared" si="245"/>
        <v>45286</v>
      </c>
      <c r="E2501" s="9" t="s">
        <v>11</v>
      </c>
      <c r="F2501" s="10"/>
      <c r="G2501" s="9" t="s">
        <v>15</v>
      </c>
      <c r="H2501" s="7" t="s">
        <v>4647</v>
      </c>
      <c r="I2501" s="9" t="s">
        <v>353</v>
      </c>
      <c r="J2501" s="88"/>
    </row>
    <row r="2502">
      <c r="A2502" s="20" t="s">
        <v>98</v>
      </c>
      <c r="B2502" s="9" t="s">
        <v>4648</v>
      </c>
      <c r="C2502" s="91">
        <v>45350.73720430555</v>
      </c>
      <c r="D2502" s="8">
        <f t="shared" si="245"/>
        <v>45352</v>
      </c>
      <c r="E2502" s="9" t="s">
        <v>88</v>
      </c>
      <c r="F2502" s="10"/>
      <c r="G2502" s="9" t="s">
        <v>18</v>
      </c>
      <c r="H2502" s="7" t="s">
        <v>4649</v>
      </c>
      <c r="I2502" s="9" t="s">
        <v>353</v>
      </c>
      <c r="J2502" s="88"/>
    </row>
    <row r="2503">
      <c r="A2503" s="54" t="s">
        <v>4009</v>
      </c>
      <c r="B2503" s="7" t="s">
        <v>4650</v>
      </c>
      <c r="C2503" s="91">
        <v>45426.48947903935</v>
      </c>
      <c r="D2503" s="8">
        <f t="shared" si="245"/>
        <v>45428</v>
      </c>
      <c r="E2503" s="9" t="s">
        <v>11</v>
      </c>
      <c r="F2503" s="10"/>
      <c r="G2503" s="9" t="s">
        <v>15</v>
      </c>
      <c r="H2503" s="7" t="s">
        <v>4651</v>
      </c>
      <c r="I2503" s="9" t="s">
        <v>353</v>
      </c>
      <c r="J2503" s="88"/>
    </row>
    <row r="2504">
      <c r="A2504" s="54" t="s">
        <v>4009</v>
      </c>
      <c r="B2504" s="7" t="s">
        <v>4652</v>
      </c>
      <c r="C2504" s="91">
        <v>45428.627846250005</v>
      </c>
      <c r="D2504" s="8">
        <f t="shared" si="245"/>
        <v>45432</v>
      </c>
      <c r="E2504" s="9" t="s">
        <v>11</v>
      </c>
      <c r="F2504" s="10"/>
      <c r="G2504" s="9" t="s">
        <v>220</v>
      </c>
      <c r="H2504" s="11"/>
      <c r="I2504" s="9" t="s">
        <v>353</v>
      </c>
      <c r="J2504" s="88"/>
    </row>
    <row r="2505">
      <c r="A2505" s="54" t="s">
        <v>4009</v>
      </c>
      <c r="B2505" s="7" t="s">
        <v>4653</v>
      </c>
      <c r="C2505" s="91">
        <v>45428.42557299769</v>
      </c>
      <c r="D2505" s="8">
        <f t="shared" si="245"/>
        <v>45432</v>
      </c>
      <c r="E2505" s="9" t="s">
        <v>216</v>
      </c>
      <c r="F2505" s="10"/>
      <c r="G2505" s="9" t="s">
        <v>15</v>
      </c>
      <c r="H2505" s="7" t="s">
        <v>4654</v>
      </c>
      <c r="I2505" s="9" t="s">
        <v>353</v>
      </c>
      <c r="J2505" s="88"/>
    </row>
    <row r="2506">
      <c r="A2506" s="54" t="s">
        <v>4009</v>
      </c>
      <c r="B2506" s="7" t="s">
        <v>4655</v>
      </c>
      <c r="C2506" s="91">
        <v>45426.48972388889</v>
      </c>
      <c r="D2506" s="8">
        <f t="shared" si="245"/>
        <v>45428</v>
      </c>
      <c r="E2506" s="9" t="s">
        <v>2450</v>
      </c>
      <c r="F2506" s="10"/>
      <c r="G2506" s="9" t="s">
        <v>15</v>
      </c>
      <c r="H2506" s="7" t="s">
        <v>4656</v>
      </c>
      <c r="I2506" s="9" t="s">
        <v>353</v>
      </c>
      <c r="J2506" s="88"/>
    </row>
    <row r="2507">
      <c r="A2507" s="6" t="s">
        <v>9</v>
      </c>
      <c r="B2507" s="7" t="s">
        <v>4657</v>
      </c>
      <c r="C2507" s="91">
        <v>45425.6119377662</v>
      </c>
      <c r="D2507" s="8">
        <f t="shared" si="245"/>
        <v>45427</v>
      </c>
      <c r="E2507" s="9" t="s">
        <v>88</v>
      </c>
      <c r="F2507" s="10"/>
      <c r="G2507" s="9" t="s">
        <v>15</v>
      </c>
      <c r="H2507" s="7" t="s">
        <v>4658</v>
      </c>
      <c r="I2507" s="9" t="s">
        <v>353</v>
      </c>
      <c r="J2507" s="88"/>
    </row>
    <row r="2508">
      <c r="A2508" s="34" t="s">
        <v>204</v>
      </c>
      <c r="B2508" s="7" t="s">
        <v>4659</v>
      </c>
      <c r="C2508" s="91">
        <v>45428.50263912037</v>
      </c>
      <c r="D2508" s="8">
        <f t="shared" si="245"/>
        <v>45432</v>
      </c>
      <c r="E2508" s="9" t="s">
        <v>11</v>
      </c>
      <c r="F2508" s="8"/>
      <c r="G2508" s="9" t="s">
        <v>15</v>
      </c>
      <c r="H2508" s="7" t="s">
        <v>437</v>
      </c>
      <c r="I2508" s="9" t="s">
        <v>353</v>
      </c>
      <c r="J2508" s="88"/>
    </row>
    <row r="2509">
      <c r="A2509" s="20" t="s">
        <v>98</v>
      </c>
      <c r="B2509" s="9" t="s">
        <v>4660</v>
      </c>
      <c r="C2509" s="91">
        <v>45400.50158951389</v>
      </c>
      <c r="D2509" s="8">
        <f t="shared" si="245"/>
        <v>45404</v>
      </c>
      <c r="E2509" s="9" t="s">
        <v>11</v>
      </c>
      <c r="F2509" s="10"/>
      <c r="G2509" s="9" t="s">
        <v>18</v>
      </c>
      <c r="H2509" s="7" t="s">
        <v>4661</v>
      </c>
      <c r="I2509" s="9" t="s">
        <v>353</v>
      </c>
      <c r="J2509" s="88"/>
    </row>
    <row r="2510">
      <c r="A2510" s="20" t="s">
        <v>98</v>
      </c>
      <c r="B2510" s="9" t="s">
        <v>4662</v>
      </c>
      <c r="C2510" s="91">
        <v>45407.380106620374</v>
      </c>
      <c r="D2510" s="8">
        <f t="shared" si="245"/>
        <v>45411</v>
      </c>
      <c r="E2510" s="9" t="s">
        <v>88</v>
      </c>
      <c r="F2510" s="10"/>
      <c r="G2510" s="9" t="s">
        <v>18</v>
      </c>
      <c r="H2510" s="7" t="s">
        <v>4663</v>
      </c>
      <c r="I2510" s="9" t="s">
        <v>353</v>
      </c>
      <c r="J2510" s="88"/>
    </row>
    <row r="2511">
      <c r="A2511" s="20" t="s">
        <v>98</v>
      </c>
      <c r="B2511" s="9" t="s">
        <v>4664</v>
      </c>
      <c r="C2511" s="91">
        <v>45401.77860962963</v>
      </c>
      <c r="D2511" s="8">
        <f t="shared" si="245"/>
        <v>45405</v>
      </c>
      <c r="E2511" s="9" t="s">
        <v>11</v>
      </c>
      <c r="F2511" s="10"/>
      <c r="G2511" s="9" t="s">
        <v>18</v>
      </c>
      <c r="H2511" s="7" t="s">
        <v>4665</v>
      </c>
      <c r="I2511" s="9" t="s">
        <v>353</v>
      </c>
      <c r="J2511" s="88"/>
    </row>
    <row r="2512">
      <c r="A2512" s="42" t="s">
        <v>206</v>
      </c>
      <c r="B2512" s="43" t="s">
        <v>4666</v>
      </c>
      <c r="C2512" s="91">
        <v>45422.43974804398</v>
      </c>
      <c r="D2512" s="8">
        <v>45427.0</v>
      </c>
      <c r="E2512" s="9"/>
      <c r="F2512" s="8"/>
      <c r="G2512" s="9" t="s">
        <v>15</v>
      </c>
      <c r="H2512" s="7" t="s">
        <v>4667</v>
      </c>
      <c r="I2512" s="9" t="s">
        <v>353</v>
      </c>
      <c r="J2512" s="88"/>
    </row>
    <row r="2513">
      <c r="A2513" s="6" t="s">
        <v>9</v>
      </c>
      <c r="B2513" s="7" t="s">
        <v>4668</v>
      </c>
      <c r="C2513" s="91">
        <v>45173.41439892361</v>
      </c>
      <c r="D2513" s="8"/>
      <c r="E2513" s="9" t="s">
        <v>206</v>
      </c>
      <c r="F2513" s="9"/>
      <c r="G2513" s="9" t="s">
        <v>15</v>
      </c>
      <c r="H2513" s="7" t="s">
        <v>4669</v>
      </c>
      <c r="I2513" s="9" t="s">
        <v>353</v>
      </c>
      <c r="J2513" s="88"/>
    </row>
    <row r="2514">
      <c r="A2514" s="6" t="s">
        <v>9</v>
      </c>
      <c r="B2514" s="7" t="s">
        <v>4670</v>
      </c>
      <c r="C2514" s="91">
        <v>45173.4164256713</v>
      </c>
      <c r="D2514" s="8"/>
      <c r="E2514" s="9" t="s">
        <v>206</v>
      </c>
      <c r="F2514" s="9"/>
      <c r="G2514" s="9" t="s">
        <v>15</v>
      </c>
      <c r="H2514" s="7" t="s">
        <v>4671</v>
      </c>
      <c r="I2514" s="9" t="s">
        <v>353</v>
      </c>
      <c r="J2514" s="88"/>
    </row>
    <row r="2515">
      <c r="A2515" s="6" t="s">
        <v>9</v>
      </c>
      <c r="B2515" s="7" t="s">
        <v>4672</v>
      </c>
      <c r="C2515" s="91">
        <v>44831.60022768519</v>
      </c>
      <c r="D2515" s="9" t="s">
        <v>11</v>
      </c>
      <c r="E2515" s="9" t="s">
        <v>88</v>
      </c>
      <c r="F2515" s="9"/>
      <c r="G2515" s="9" t="s">
        <v>89</v>
      </c>
      <c r="H2515" s="7" t="s">
        <v>4673</v>
      </c>
      <c r="I2515" s="9" t="s">
        <v>353</v>
      </c>
      <c r="J2515" s="88"/>
    </row>
    <row r="2516">
      <c r="A2516" s="6" t="s">
        <v>9</v>
      </c>
      <c r="B2516" s="7" t="s">
        <v>4674</v>
      </c>
      <c r="C2516" s="91">
        <v>44908.690129375</v>
      </c>
      <c r="D2516" s="8">
        <f t="shared" ref="D2516:D2520" si="246">IFERROR(_xlfn.WORKDAY.INTL(C2516, 2),"-")</f>
        <v>44910</v>
      </c>
      <c r="E2516" s="9" t="s">
        <v>88</v>
      </c>
      <c r="F2516" s="9"/>
      <c r="G2516" s="9" t="s">
        <v>89</v>
      </c>
      <c r="H2516" s="7" t="s">
        <v>4675</v>
      </c>
      <c r="I2516" s="9" t="s">
        <v>353</v>
      </c>
      <c r="J2516" s="88"/>
    </row>
    <row r="2517">
      <c r="A2517" s="6" t="s">
        <v>9</v>
      </c>
      <c r="B2517" s="7" t="s">
        <v>4676</v>
      </c>
      <c r="C2517" s="91">
        <v>45033.44566538194</v>
      </c>
      <c r="D2517" s="8">
        <f t="shared" si="246"/>
        <v>45035</v>
      </c>
      <c r="E2517" s="9" t="s">
        <v>88</v>
      </c>
      <c r="F2517" s="9"/>
      <c r="G2517" s="9" t="s">
        <v>89</v>
      </c>
      <c r="H2517" s="7" t="s">
        <v>4677</v>
      </c>
      <c r="I2517" s="9" t="s">
        <v>353</v>
      </c>
      <c r="J2517" s="88"/>
    </row>
    <row r="2518">
      <c r="A2518" s="6" t="s">
        <v>9</v>
      </c>
      <c r="B2518" s="7" t="s">
        <v>4678</v>
      </c>
      <c r="C2518" s="91">
        <v>44972.628116064814</v>
      </c>
      <c r="D2518" s="8">
        <f t="shared" si="246"/>
        <v>44974</v>
      </c>
      <c r="E2518" s="9" t="s">
        <v>88</v>
      </c>
      <c r="F2518" s="9"/>
      <c r="G2518" s="9" t="s">
        <v>89</v>
      </c>
      <c r="H2518" s="7" t="s">
        <v>4679</v>
      </c>
      <c r="I2518" s="9" t="s">
        <v>353</v>
      </c>
      <c r="J2518" s="88"/>
    </row>
    <row r="2519">
      <c r="A2519" s="6" t="s">
        <v>9</v>
      </c>
      <c r="B2519" s="7" t="s">
        <v>4680</v>
      </c>
      <c r="C2519" s="91">
        <v>45203.731118055555</v>
      </c>
      <c r="D2519" s="8">
        <f t="shared" si="246"/>
        <v>45205</v>
      </c>
      <c r="E2519" s="9" t="s">
        <v>88</v>
      </c>
      <c r="F2519" s="10"/>
      <c r="G2519" s="9" t="s">
        <v>89</v>
      </c>
      <c r="H2519" s="7" t="s">
        <v>4681</v>
      </c>
      <c r="I2519" s="9" t="s">
        <v>353</v>
      </c>
      <c r="J2519" s="88"/>
    </row>
    <row r="2520">
      <c r="A2520" s="6" t="s">
        <v>9</v>
      </c>
      <c r="B2520" s="7" t="s">
        <v>4682</v>
      </c>
      <c r="C2520" s="91">
        <v>45369.34284145833</v>
      </c>
      <c r="D2520" s="8">
        <f t="shared" si="246"/>
        <v>45371</v>
      </c>
      <c r="E2520" s="9" t="s">
        <v>88</v>
      </c>
      <c r="F2520" s="10"/>
      <c r="G2520" s="9" t="s">
        <v>15</v>
      </c>
      <c r="H2520" s="7" t="s">
        <v>4683</v>
      </c>
      <c r="I2520" s="9" t="s">
        <v>353</v>
      </c>
      <c r="J2520" s="88"/>
    </row>
    <row r="2521">
      <c r="A2521" s="6" t="s">
        <v>9</v>
      </c>
      <c r="B2521" s="7" t="s">
        <v>4684</v>
      </c>
      <c r="C2521" s="91">
        <v>44984.44505560186</v>
      </c>
      <c r="D2521" s="9" t="s">
        <v>11</v>
      </c>
      <c r="E2521" s="9" t="s">
        <v>88</v>
      </c>
      <c r="F2521" s="9"/>
      <c r="G2521" s="9" t="s">
        <v>21</v>
      </c>
      <c r="H2521" s="7" t="s">
        <v>4685</v>
      </c>
      <c r="I2521" s="9" t="s">
        <v>353</v>
      </c>
      <c r="J2521" s="88"/>
    </row>
    <row r="2522">
      <c r="A2522" s="6" t="s">
        <v>9</v>
      </c>
      <c r="B2522" s="7" t="s">
        <v>1713</v>
      </c>
      <c r="C2522" s="91">
        <v>44732.49887865741</v>
      </c>
      <c r="D2522" s="8">
        <f t="shared" ref="D2522:D2527" si="247">IFERROR(_xlfn.WORKDAY.INTL(C2522, 2),"-")</f>
        <v>44734</v>
      </c>
      <c r="E2522" s="9" t="s">
        <v>206</v>
      </c>
      <c r="F2522" s="9"/>
      <c r="G2522" s="9" t="s">
        <v>89</v>
      </c>
      <c r="H2522" s="7" t="s">
        <v>4686</v>
      </c>
      <c r="I2522" s="9" t="s">
        <v>353</v>
      </c>
      <c r="J2522" s="88"/>
    </row>
    <row r="2523">
      <c r="A2523" s="6" t="s">
        <v>9</v>
      </c>
      <c r="B2523" s="7" t="s">
        <v>4687</v>
      </c>
      <c r="C2523" s="91">
        <v>45226.426809212964</v>
      </c>
      <c r="D2523" s="8">
        <f t="shared" si="247"/>
        <v>45230</v>
      </c>
      <c r="E2523" s="9" t="s">
        <v>88</v>
      </c>
      <c r="F2523" s="10"/>
      <c r="G2523" s="9" t="s">
        <v>21</v>
      </c>
      <c r="H2523" s="7" t="s">
        <v>4688</v>
      </c>
      <c r="I2523" s="9" t="s">
        <v>353</v>
      </c>
      <c r="J2523" s="88"/>
    </row>
    <row r="2524">
      <c r="A2524" s="6" t="s">
        <v>9</v>
      </c>
      <c r="B2524" s="7" t="s">
        <v>4689</v>
      </c>
      <c r="C2524" s="91">
        <v>45418.4339993287</v>
      </c>
      <c r="D2524" s="8">
        <f t="shared" si="247"/>
        <v>45420</v>
      </c>
      <c r="E2524" s="9" t="s">
        <v>11</v>
      </c>
      <c r="F2524" s="10"/>
      <c r="G2524" s="9" t="s">
        <v>15</v>
      </c>
      <c r="H2524" s="7" t="s">
        <v>4690</v>
      </c>
      <c r="I2524" s="9" t="s">
        <v>353</v>
      </c>
      <c r="J2524" s="88"/>
    </row>
    <row r="2525">
      <c r="A2525" s="6" t="s">
        <v>9</v>
      </c>
      <c r="B2525" s="7" t="s">
        <v>4691</v>
      </c>
      <c r="C2525" s="91">
        <v>45415.38200637732</v>
      </c>
      <c r="D2525" s="8">
        <f t="shared" si="247"/>
        <v>45419</v>
      </c>
      <c r="E2525" s="9" t="s">
        <v>11</v>
      </c>
      <c r="F2525" s="10"/>
      <c r="G2525" s="9" t="s">
        <v>15</v>
      </c>
      <c r="H2525" s="7" t="s">
        <v>4692</v>
      </c>
      <c r="I2525" s="9" t="s">
        <v>353</v>
      </c>
      <c r="J2525" s="88"/>
    </row>
    <row r="2526">
      <c r="A2526" s="6" t="s">
        <v>9</v>
      </c>
      <c r="B2526" s="7" t="s">
        <v>4693</v>
      </c>
      <c r="C2526" s="91">
        <v>45414.93852444444</v>
      </c>
      <c r="D2526" s="8">
        <f t="shared" si="247"/>
        <v>45418</v>
      </c>
      <c r="E2526" s="9" t="s">
        <v>11</v>
      </c>
      <c r="F2526" s="10"/>
      <c r="G2526" s="9" t="s">
        <v>15</v>
      </c>
      <c r="H2526" s="7" t="s">
        <v>4694</v>
      </c>
      <c r="I2526" s="9" t="s">
        <v>353</v>
      </c>
      <c r="J2526" s="88"/>
    </row>
    <row r="2527">
      <c r="A2527" s="6" t="s">
        <v>9</v>
      </c>
      <c r="B2527" s="7" t="s">
        <v>4695</v>
      </c>
      <c r="C2527" s="91">
        <v>45425.72093576389</v>
      </c>
      <c r="D2527" s="8">
        <f t="shared" si="247"/>
        <v>45427</v>
      </c>
      <c r="E2527" s="9" t="s">
        <v>11</v>
      </c>
      <c r="F2527" s="10"/>
      <c r="G2527" s="9" t="s">
        <v>15</v>
      </c>
      <c r="H2527" s="7" t="s">
        <v>4696</v>
      </c>
      <c r="I2527" s="9" t="s">
        <v>353</v>
      </c>
      <c r="J2527" s="88"/>
    </row>
    <row r="2528">
      <c r="A2528" s="42" t="s">
        <v>206</v>
      </c>
      <c r="B2528" s="43" t="s">
        <v>4697</v>
      </c>
      <c r="C2528" s="91">
        <v>45422.43906523148</v>
      </c>
      <c r="D2528" s="8"/>
      <c r="E2528" s="9" t="s">
        <v>88</v>
      </c>
      <c r="F2528" s="10"/>
      <c r="G2528" s="9" t="s">
        <v>18</v>
      </c>
      <c r="H2528" s="7" t="s">
        <v>4698</v>
      </c>
      <c r="I2528" s="9" t="s">
        <v>353</v>
      </c>
      <c r="J2528" s="88"/>
    </row>
    <row r="2529">
      <c r="A2529" s="42" t="s">
        <v>206</v>
      </c>
      <c r="B2529" s="43" t="s">
        <v>4699</v>
      </c>
      <c r="C2529" s="91">
        <v>45422.43972949074</v>
      </c>
      <c r="D2529" s="8"/>
      <c r="E2529" s="9"/>
      <c r="F2529" s="10"/>
      <c r="G2529" s="9" t="s">
        <v>18</v>
      </c>
      <c r="H2529" s="7" t="s">
        <v>4698</v>
      </c>
      <c r="I2529" s="9" t="s">
        <v>353</v>
      </c>
      <c r="J2529" s="88"/>
    </row>
    <row r="2530">
      <c r="A2530" s="34" t="s">
        <v>204</v>
      </c>
      <c r="B2530" s="7" t="s">
        <v>4700</v>
      </c>
      <c r="C2530" s="91">
        <v>45411.81489064815</v>
      </c>
      <c r="D2530" s="8">
        <f t="shared" ref="D2530:D2544" si="248">IFERROR(_xlfn.WORKDAY.INTL(C2530, 2),"-")</f>
        <v>45413</v>
      </c>
      <c r="E2530" s="9" t="s">
        <v>11</v>
      </c>
      <c r="F2530" s="10"/>
      <c r="G2530" s="9" t="s">
        <v>18</v>
      </c>
      <c r="H2530" s="11"/>
      <c r="I2530" s="9" t="s">
        <v>353</v>
      </c>
      <c r="J2530" s="88"/>
    </row>
    <row r="2531">
      <c r="A2531" s="34" t="s">
        <v>204</v>
      </c>
      <c r="B2531" s="7" t="s">
        <v>4701</v>
      </c>
      <c r="C2531" s="91">
        <v>45427.4050222338</v>
      </c>
      <c r="D2531" s="8">
        <f t="shared" si="248"/>
        <v>45429</v>
      </c>
      <c r="E2531" s="9" t="s">
        <v>11</v>
      </c>
      <c r="F2531" s="10"/>
      <c r="G2531" s="9"/>
      <c r="H2531" s="7" t="s">
        <v>437</v>
      </c>
      <c r="I2531" s="9" t="s">
        <v>353</v>
      </c>
      <c r="J2531" s="88"/>
    </row>
    <row r="2532">
      <c r="A2532" s="34" t="s">
        <v>204</v>
      </c>
      <c r="B2532" s="7" t="s">
        <v>4702</v>
      </c>
      <c r="C2532" s="91">
        <v>45376.769688761575</v>
      </c>
      <c r="D2532" s="8">
        <f t="shared" si="248"/>
        <v>45378</v>
      </c>
      <c r="E2532" s="9" t="s">
        <v>11</v>
      </c>
      <c r="F2532" s="9" t="s">
        <v>11</v>
      </c>
      <c r="G2532" s="9" t="s">
        <v>15</v>
      </c>
      <c r="H2532" s="7" t="s">
        <v>4703</v>
      </c>
      <c r="I2532" s="9" t="s">
        <v>353</v>
      </c>
      <c r="J2532" s="88"/>
    </row>
    <row r="2533">
      <c r="A2533" s="20" t="s">
        <v>98</v>
      </c>
      <c r="B2533" s="9" t="s">
        <v>4704</v>
      </c>
      <c r="C2533" s="91">
        <v>45349.584559537034</v>
      </c>
      <c r="D2533" s="8">
        <f t="shared" si="248"/>
        <v>45351</v>
      </c>
      <c r="E2533" s="9" t="s">
        <v>206</v>
      </c>
      <c r="F2533" s="10"/>
      <c r="G2533" s="9" t="s">
        <v>15</v>
      </c>
      <c r="H2533" s="23" t="s">
        <v>4705</v>
      </c>
      <c r="I2533" s="9" t="s">
        <v>353</v>
      </c>
      <c r="J2533" s="88"/>
    </row>
    <row r="2534">
      <c r="A2534" s="34" t="s">
        <v>204</v>
      </c>
      <c r="B2534" s="7" t="s">
        <v>4706</v>
      </c>
      <c r="C2534" s="91">
        <v>45327.73152894676</v>
      </c>
      <c r="D2534" s="8">
        <f t="shared" si="248"/>
        <v>45329</v>
      </c>
      <c r="E2534" s="9" t="s">
        <v>11</v>
      </c>
      <c r="F2534" s="10"/>
      <c r="G2534" s="9" t="s">
        <v>15</v>
      </c>
      <c r="H2534" s="7" t="s">
        <v>4707</v>
      </c>
      <c r="I2534" s="9" t="s">
        <v>353</v>
      </c>
      <c r="J2534" s="88"/>
    </row>
    <row r="2535">
      <c r="A2535" s="20" t="s">
        <v>98</v>
      </c>
      <c r="B2535" s="9" t="s">
        <v>2427</v>
      </c>
      <c r="C2535" s="91">
        <v>45390.72569435185</v>
      </c>
      <c r="D2535" s="8">
        <f t="shared" si="248"/>
        <v>45392</v>
      </c>
      <c r="E2535" s="9" t="s">
        <v>88</v>
      </c>
      <c r="F2535" s="10"/>
      <c r="G2535" s="9" t="s">
        <v>15</v>
      </c>
      <c r="H2535" s="7" t="s">
        <v>4708</v>
      </c>
      <c r="I2535" s="9" t="s">
        <v>353</v>
      </c>
      <c r="J2535" s="88"/>
    </row>
    <row r="2536">
      <c r="A2536" s="54" t="s">
        <v>4009</v>
      </c>
      <c r="B2536" s="7" t="s">
        <v>4709</v>
      </c>
      <c r="C2536" s="91">
        <v>45377.57514347222</v>
      </c>
      <c r="D2536" s="8">
        <f t="shared" si="248"/>
        <v>45379</v>
      </c>
      <c r="E2536" s="9" t="s">
        <v>94</v>
      </c>
      <c r="F2536" s="10"/>
      <c r="G2536" s="9" t="s">
        <v>15</v>
      </c>
      <c r="H2536" s="7" t="s">
        <v>4710</v>
      </c>
      <c r="I2536" s="9" t="s">
        <v>353</v>
      </c>
      <c r="J2536" s="88"/>
    </row>
    <row r="2537">
      <c r="A2537" s="54" t="s">
        <v>4009</v>
      </c>
      <c r="B2537" s="7" t="s">
        <v>4711</v>
      </c>
      <c r="C2537" s="91">
        <v>45386.43246108796</v>
      </c>
      <c r="D2537" s="8">
        <f t="shared" si="248"/>
        <v>45390</v>
      </c>
      <c r="E2537" s="9" t="s">
        <v>11</v>
      </c>
      <c r="F2537" s="10"/>
      <c r="G2537" s="9" t="s">
        <v>220</v>
      </c>
      <c r="H2537" s="7" t="s">
        <v>4712</v>
      </c>
      <c r="I2537" s="9" t="s">
        <v>353</v>
      </c>
      <c r="J2537" s="88"/>
    </row>
    <row r="2538">
      <c r="A2538" s="54" t="s">
        <v>4009</v>
      </c>
      <c r="B2538" s="7" t="s">
        <v>4713</v>
      </c>
      <c r="C2538" s="91">
        <v>45426.48905903935</v>
      </c>
      <c r="D2538" s="8">
        <f t="shared" si="248"/>
        <v>45428</v>
      </c>
      <c r="E2538" s="9" t="s">
        <v>94</v>
      </c>
      <c r="F2538" s="10"/>
      <c r="G2538" s="9" t="s">
        <v>220</v>
      </c>
      <c r="H2538" s="7" t="s">
        <v>4714</v>
      </c>
      <c r="I2538" s="9" t="s">
        <v>353</v>
      </c>
      <c r="J2538" s="88"/>
    </row>
    <row r="2539">
      <c r="A2539" s="6" t="s">
        <v>9</v>
      </c>
      <c r="B2539" s="7" t="s">
        <v>4715</v>
      </c>
      <c r="C2539" s="91">
        <v>45426.439369432876</v>
      </c>
      <c r="D2539" s="8">
        <f t="shared" si="248"/>
        <v>45428</v>
      </c>
      <c r="E2539" s="9" t="s">
        <v>11</v>
      </c>
      <c r="F2539" s="10"/>
      <c r="G2539" s="9" t="s">
        <v>15</v>
      </c>
      <c r="H2539" s="7" t="s">
        <v>4716</v>
      </c>
      <c r="I2539" s="9" t="s">
        <v>353</v>
      </c>
      <c r="J2539" s="88"/>
    </row>
    <row r="2540">
      <c r="A2540" s="20" t="s">
        <v>98</v>
      </c>
      <c r="B2540" s="9" t="s">
        <v>4717</v>
      </c>
      <c r="C2540" s="91">
        <v>45344.502962557875</v>
      </c>
      <c r="D2540" s="8">
        <f t="shared" si="248"/>
        <v>45348</v>
      </c>
      <c r="E2540" s="9" t="s">
        <v>11</v>
      </c>
      <c r="F2540" s="10"/>
      <c r="G2540" s="9" t="s">
        <v>18</v>
      </c>
      <c r="H2540" s="7" t="s">
        <v>4718</v>
      </c>
      <c r="I2540" s="9" t="s">
        <v>353</v>
      </c>
      <c r="J2540" s="88"/>
    </row>
    <row r="2541">
      <c r="A2541" s="20" t="s">
        <v>98</v>
      </c>
      <c r="B2541" s="9" t="s">
        <v>4719</v>
      </c>
      <c r="C2541" s="91">
        <v>45398.47201883102</v>
      </c>
      <c r="D2541" s="8">
        <f t="shared" si="248"/>
        <v>45400</v>
      </c>
      <c r="E2541" s="9" t="s">
        <v>206</v>
      </c>
      <c r="F2541" s="10"/>
      <c r="G2541" s="9" t="s">
        <v>18</v>
      </c>
      <c r="H2541" s="7" t="s">
        <v>4720</v>
      </c>
      <c r="I2541" s="9" t="s">
        <v>353</v>
      </c>
      <c r="J2541" s="88"/>
    </row>
    <row r="2542">
      <c r="A2542" s="6" t="s">
        <v>9</v>
      </c>
      <c r="B2542" s="7" t="s">
        <v>4721</v>
      </c>
      <c r="C2542" s="91">
        <v>45425.67650390047</v>
      </c>
      <c r="D2542" s="8">
        <f t="shared" si="248"/>
        <v>45427</v>
      </c>
      <c r="E2542" s="9" t="s">
        <v>11</v>
      </c>
      <c r="F2542" s="10"/>
      <c r="G2542" s="9" t="s">
        <v>15</v>
      </c>
      <c r="H2542" s="7" t="s">
        <v>4696</v>
      </c>
      <c r="I2542" s="9" t="s">
        <v>353</v>
      </c>
      <c r="J2542" s="88"/>
    </row>
    <row r="2543">
      <c r="A2543" s="6" t="s">
        <v>9</v>
      </c>
      <c r="B2543" s="7" t="s">
        <v>4722</v>
      </c>
      <c r="C2543" s="91">
        <v>45322.40206865741</v>
      </c>
      <c r="D2543" s="8">
        <f t="shared" si="248"/>
        <v>45324</v>
      </c>
      <c r="E2543" s="9" t="s">
        <v>11</v>
      </c>
      <c r="F2543" s="10"/>
      <c r="G2543" s="9" t="s">
        <v>21</v>
      </c>
      <c r="H2543" s="7" t="s">
        <v>4723</v>
      </c>
      <c r="I2543" s="9" t="s">
        <v>353</v>
      </c>
      <c r="J2543" s="88"/>
    </row>
    <row r="2544">
      <c r="A2544" s="34" t="s">
        <v>204</v>
      </c>
      <c r="B2544" s="7" t="s">
        <v>4724</v>
      </c>
      <c r="C2544" s="91">
        <v>45371.7546137037</v>
      </c>
      <c r="D2544" s="8">
        <f t="shared" si="248"/>
        <v>45373</v>
      </c>
      <c r="E2544" s="9" t="s">
        <v>11</v>
      </c>
      <c r="F2544" s="8"/>
      <c r="G2544" s="9" t="s">
        <v>15</v>
      </c>
      <c r="H2544" s="7" t="s">
        <v>4725</v>
      </c>
      <c r="I2544" s="9" t="s">
        <v>353</v>
      </c>
      <c r="J2544" s="88"/>
    </row>
    <row r="2545">
      <c r="A2545" s="42" t="s">
        <v>206</v>
      </c>
      <c r="B2545" s="180" t="s">
        <v>4726</v>
      </c>
      <c r="C2545" s="91">
        <v>45414.39072767361</v>
      </c>
      <c r="D2545" s="8"/>
      <c r="E2545" s="9"/>
      <c r="F2545" s="8">
        <v>45418.0</v>
      </c>
      <c r="G2545" s="9" t="s">
        <v>18</v>
      </c>
      <c r="H2545" s="7" t="s">
        <v>4727</v>
      </c>
      <c r="I2545" s="9" t="s">
        <v>353</v>
      </c>
      <c r="J2545" s="88"/>
    </row>
    <row r="2546">
      <c r="A2546" s="42" t="s">
        <v>206</v>
      </c>
      <c r="B2546" s="7" t="s">
        <v>4728</v>
      </c>
      <c r="C2546" s="91">
        <v>45422.43927666667</v>
      </c>
      <c r="D2546" s="8"/>
      <c r="E2546" s="9"/>
      <c r="F2546" s="10"/>
      <c r="G2546" s="9" t="s">
        <v>18</v>
      </c>
      <c r="H2546" s="11"/>
      <c r="I2546" s="9" t="s">
        <v>353</v>
      </c>
      <c r="J2546" s="88"/>
    </row>
    <row r="2547">
      <c r="A2547" s="20" t="s">
        <v>98</v>
      </c>
      <c r="B2547" s="9" t="s">
        <v>4729</v>
      </c>
      <c r="C2547" s="91">
        <v>45408.51325628472</v>
      </c>
      <c r="D2547" s="8">
        <f t="shared" ref="D2547:D2551" si="249">IFERROR(_xlfn.WORKDAY.INTL(C2547, 2),"-")</f>
        <v>45412</v>
      </c>
      <c r="E2547" s="9" t="s">
        <v>11</v>
      </c>
      <c r="F2547" s="10"/>
      <c r="G2547" s="9" t="s">
        <v>15</v>
      </c>
      <c r="H2547" s="7" t="s">
        <v>4730</v>
      </c>
      <c r="I2547" s="9" t="s">
        <v>353</v>
      </c>
      <c r="J2547" s="88"/>
    </row>
    <row r="2548">
      <c r="A2548" s="34" t="s">
        <v>204</v>
      </c>
      <c r="B2548" s="7" t="s">
        <v>4731</v>
      </c>
      <c r="C2548" s="91">
        <v>45422.55631886574</v>
      </c>
      <c r="D2548" s="8">
        <f t="shared" si="249"/>
        <v>45426</v>
      </c>
      <c r="E2548" s="9" t="s">
        <v>11</v>
      </c>
      <c r="F2548" s="10"/>
      <c r="G2548" s="9" t="s">
        <v>18</v>
      </c>
      <c r="H2548" s="7" t="s">
        <v>437</v>
      </c>
      <c r="I2548" s="9" t="s">
        <v>353</v>
      </c>
      <c r="J2548" s="88"/>
    </row>
    <row r="2549">
      <c r="A2549" s="20" t="s">
        <v>98</v>
      </c>
      <c r="B2549" s="9" t="s">
        <v>4732</v>
      </c>
      <c r="C2549" s="91">
        <v>45414.51083331018</v>
      </c>
      <c r="D2549" s="8">
        <f t="shared" si="249"/>
        <v>45418</v>
      </c>
      <c r="E2549" s="9" t="s">
        <v>88</v>
      </c>
      <c r="F2549" s="10"/>
      <c r="G2549" s="9" t="s">
        <v>15</v>
      </c>
      <c r="H2549" s="7" t="s">
        <v>4733</v>
      </c>
      <c r="I2549" s="9" t="s">
        <v>353</v>
      </c>
      <c r="J2549" s="88"/>
    </row>
    <row r="2550">
      <c r="A2550" s="20" t="s">
        <v>98</v>
      </c>
      <c r="B2550" s="9" t="s">
        <v>4734</v>
      </c>
      <c r="C2550" s="91" t="s">
        <v>11</v>
      </c>
      <c r="D2550" s="8" t="str">
        <f t="shared" si="249"/>
        <v>-</v>
      </c>
      <c r="E2550" s="9" t="s">
        <v>11</v>
      </c>
      <c r="F2550" s="10"/>
      <c r="G2550" s="9" t="s">
        <v>15</v>
      </c>
      <c r="H2550" s="7" t="s">
        <v>4733</v>
      </c>
      <c r="I2550" s="9" t="s">
        <v>353</v>
      </c>
      <c r="J2550" s="88"/>
    </row>
    <row r="2551">
      <c r="A2551" s="20" t="s">
        <v>98</v>
      </c>
      <c r="B2551" s="9" t="s">
        <v>4735</v>
      </c>
      <c r="C2551" s="91">
        <v>45418.36440519676</v>
      </c>
      <c r="D2551" s="8">
        <f t="shared" si="249"/>
        <v>45420</v>
      </c>
      <c r="E2551" s="9" t="s">
        <v>11</v>
      </c>
      <c r="F2551" s="10"/>
      <c r="G2551" s="9" t="s">
        <v>15</v>
      </c>
      <c r="H2551" s="7" t="s">
        <v>4733</v>
      </c>
      <c r="I2551" s="9" t="s">
        <v>353</v>
      </c>
      <c r="J2551" s="88"/>
    </row>
    <row r="2552">
      <c r="A2552" s="42" t="s">
        <v>206</v>
      </c>
      <c r="B2552" s="7" t="s">
        <v>2750</v>
      </c>
      <c r="C2552" s="91">
        <v>45414.49657133102</v>
      </c>
      <c r="D2552" s="8"/>
      <c r="E2552" s="9" t="s">
        <v>1123</v>
      </c>
      <c r="F2552" s="8">
        <v>45419.0</v>
      </c>
      <c r="G2552" s="9" t="s">
        <v>18</v>
      </c>
      <c r="H2552" s="7" t="s">
        <v>4736</v>
      </c>
      <c r="I2552" s="9" t="s">
        <v>353</v>
      </c>
      <c r="J2552" s="88"/>
    </row>
    <row r="2553">
      <c r="A2553" s="20" t="s">
        <v>98</v>
      </c>
      <c r="B2553" s="9" t="s">
        <v>2617</v>
      </c>
      <c r="C2553" s="91">
        <v>45390.64347222222</v>
      </c>
      <c r="D2553" s="8">
        <f t="shared" ref="D2553:D2555" si="250">IFERROR(_xlfn.WORKDAY.INTL(C2553, 2),"-")</f>
        <v>45392</v>
      </c>
      <c r="E2553" s="9" t="s">
        <v>11</v>
      </c>
      <c r="F2553" s="10"/>
      <c r="G2553" s="9" t="s">
        <v>15</v>
      </c>
      <c r="H2553" s="7" t="s">
        <v>4737</v>
      </c>
      <c r="I2553" s="9" t="s">
        <v>353</v>
      </c>
      <c r="J2553" s="88"/>
    </row>
    <row r="2554">
      <c r="A2554" s="20" t="s">
        <v>98</v>
      </c>
      <c r="B2554" s="9" t="s">
        <v>4738</v>
      </c>
      <c r="C2554" s="91">
        <v>45400.50164710648</v>
      </c>
      <c r="D2554" s="8">
        <f t="shared" si="250"/>
        <v>45404</v>
      </c>
      <c r="E2554" s="9" t="s">
        <v>11</v>
      </c>
      <c r="F2554" s="10"/>
      <c r="G2554" s="9" t="s">
        <v>15</v>
      </c>
      <c r="H2554" s="7" t="s">
        <v>4739</v>
      </c>
      <c r="I2554" s="9" t="s">
        <v>353</v>
      </c>
      <c r="J2554" s="88"/>
    </row>
    <row r="2555">
      <c r="A2555" s="20" t="s">
        <v>98</v>
      </c>
      <c r="B2555" s="9" t="s">
        <v>4740</v>
      </c>
      <c r="C2555" s="91">
        <v>45204.69677497685</v>
      </c>
      <c r="D2555" s="8">
        <f t="shared" si="250"/>
        <v>45208</v>
      </c>
      <c r="E2555" s="9" t="s">
        <v>88</v>
      </c>
      <c r="F2555" s="10"/>
      <c r="G2555" s="9" t="s">
        <v>21</v>
      </c>
      <c r="H2555" s="7" t="s">
        <v>4741</v>
      </c>
      <c r="I2555" s="9" t="s">
        <v>353</v>
      </c>
      <c r="J2555" s="88"/>
    </row>
    <row r="2556">
      <c r="A2556" s="42" t="s">
        <v>206</v>
      </c>
      <c r="B2556" s="7" t="s">
        <v>4742</v>
      </c>
      <c r="C2556" s="91">
        <v>45390.626900567135</v>
      </c>
      <c r="D2556" s="8"/>
      <c r="E2556" s="9" t="s">
        <v>4520</v>
      </c>
      <c r="F2556" s="8"/>
      <c r="G2556" s="9" t="s">
        <v>4263</v>
      </c>
      <c r="H2556" s="7" t="s">
        <v>4743</v>
      </c>
      <c r="I2556" s="9" t="s">
        <v>353</v>
      </c>
      <c r="J2556" s="88"/>
    </row>
    <row r="2557">
      <c r="A2557" s="20" t="s">
        <v>98</v>
      </c>
      <c r="B2557" s="9" t="s">
        <v>4744</v>
      </c>
      <c r="C2557" s="91">
        <v>45390.64379508102</v>
      </c>
      <c r="D2557" s="8">
        <f t="shared" ref="D2557:D2574" si="251">IFERROR(_xlfn.WORKDAY.INTL(C2557, 2),"-")</f>
        <v>45392</v>
      </c>
      <c r="E2557" s="9" t="s">
        <v>11</v>
      </c>
      <c r="F2557" s="10"/>
      <c r="G2557" s="9" t="s">
        <v>15</v>
      </c>
      <c r="H2557" s="7" t="s">
        <v>4745</v>
      </c>
      <c r="I2557" s="9" t="s">
        <v>353</v>
      </c>
      <c r="J2557" s="88"/>
    </row>
    <row r="2558">
      <c r="A2558" s="20" t="s">
        <v>98</v>
      </c>
      <c r="B2558" s="9" t="s">
        <v>4746</v>
      </c>
      <c r="C2558" s="91">
        <v>45411.704920752316</v>
      </c>
      <c r="D2558" s="8">
        <f t="shared" si="251"/>
        <v>45413</v>
      </c>
      <c r="E2558" s="9" t="s">
        <v>11</v>
      </c>
      <c r="F2558" s="10"/>
      <c r="G2558" s="9" t="s">
        <v>18</v>
      </c>
      <c r="H2558" s="7" t="s">
        <v>4747</v>
      </c>
      <c r="I2558" s="9" t="s">
        <v>353</v>
      </c>
      <c r="J2558" s="88"/>
    </row>
    <row r="2559">
      <c r="A2559" s="20" t="s">
        <v>98</v>
      </c>
      <c r="B2559" s="9" t="s">
        <v>4748</v>
      </c>
      <c r="C2559" s="91">
        <v>45418.61805488426</v>
      </c>
      <c r="D2559" s="8">
        <f t="shared" si="251"/>
        <v>45420</v>
      </c>
      <c r="E2559" s="9" t="s">
        <v>11</v>
      </c>
      <c r="F2559" s="10"/>
      <c r="G2559" s="9" t="s">
        <v>15</v>
      </c>
      <c r="H2559" s="7" t="s">
        <v>4749</v>
      </c>
      <c r="I2559" s="9" t="s">
        <v>353</v>
      </c>
      <c r="J2559" s="88"/>
    </row>
    <row r="2560">
      <c r="A2560" s="6" t="s">
        <v>9</v>
      </c>
      <c r="B2560" s="7" t="s">
        <v>4750</v>
      </c>
      <c r="C2560" s="91">
        <v>45418.46798915509</v>
      </c>
      <c r="D2560" s="8">
        <f t="shared" si="251"/>
        <v>45420</v>
      </c>
      <c r="E2560" s="9" t="s">
        <v>11</v>
      </c>
      <c r="F2560" s="10"/>
      <c r="G2560" s="9" t="s">
        <v>15</v>
      </c>
      <c r="H2560" s="7" t="s">
        <v>4751</v>
      </c>
      <c r="I2560" s="9" t="s">
        <v>353</v>
      </c>
      <c r="J2560" s="88"/>
    </row>
    <row r="2561">
      <c r="A2561" s="6" t="s">
        <v>9</v>
      </c>
      <c r="B2561" s="7" t="s">
        <v>4752</v>
      </c>
      <c r="C2561" s="91">
        <v>45414.64085326389</v>
      </c>
      <c r="D2561" s="8">
        <f t="shared" si="251"/>
        <v>45418</v>
      </c>
      <c r="E2561" s="9" t="s">
        <v>11</v>
      </c>
      <c r="F2561" s="10"/>
      <c r="G2561" s="9" t="s">
        <v>15</v>
      </c>
      <c r="H2561" s="7" t="s">
        <v>4753</v>
      </c>
      <c r="I2561" s="9" t="s">
        <v>353</v>
      </c>
      <c r="J2561" s="88"/>
    </row>
    <row r="2562">
      <c r="A2562" s="20" t="s">
        <v>98</v>
      </c>
      <c r="B2562" s="9" t="s">
        <v>4754</v>
      </c>
      <c r="C2562" s="91">
        <v>45405.456314560186</v>
      </c>
      <c r="D2562" s="8">
        <f t="shared" si="251"/>
        <v>45407</v>
      </c>
      <c r="E2562" s="9" t="s">
        <v>11</v>
      </c>
      <c r="F2562" s="10"/>
      <c r="G2562" s="9" t="s">
        <v>15</v>
      </c>
      <c r="H2562" s="7" t="s">
        <v>4755</v>
      </c>
      <c r="I2562" s="9" t="s">
        <v>353</v>
      </c>
      <c r="J2562" s="88"/>
    </row>
    <row r="2563">
      <c r="A2563" s="20" t="s">
        <v>98</v>
      </c>
      <c r="B2563" s="9" t="s">
        <v>4756</v>
      </c>
      <c r="C2563" s="91">
        <v>45406.419308275465</v>
      </c>
      <c r="D2563" s="8">
        <f t="shared" si="251"/>
        <v>45408</v>
      </c>
      <c r="E2563" s="9" t="s">
        <v>206</v>
      </c>
      <c r="F2563" s="10"/>
      <c r="G2563" s="9" t="s">
        <v>15</v>
      </c>
      <c r="H2563" s="7" t="s">
        <v>4757</v>
      </c>
      <c r="I2563" s="9" t="s">
        <v>353</v>
      </c>
      <c r="J2563" s="88"/>
    </row>
    <row r="2564">
      <c r="A2564" s="20" t="s">
        <v>98</v>
      </c>
      <c r="B2564" s="9" t="s">
        <v>4758</v>
      </c>
      <c r="C2564" s="91">
        <v>45405.82451662037</v>
      </c>
      <c r="D2564" s="8">
        <f t="shared" si="251"/>
        <v>45407</v>
      </c>
      <c r="E2564" s="9" t="s">
        <v>206</v>
      </c>
      <c r="F2564" s="10"/>
      <c r="G2564" s="9" t="s">
        <v>15</v>
      </c>
      <c r="H2564" s="7" t="s">
        <v>4759</v>
      </c>
      <c r="I2564" s="9" t="s">
        <v>353</v>
      </c>
      <c r="J2564" s="88"/>
    </row>
    <row r="2565">
      <c r="A2565" s="42" t="s">
        <v>206</v>
      </c>
      <c r="B2565" s="157" t="s">
        <v>4760</v>
      </c>
      <c r="C2565" s="91">
        <v>45385.69527766204</v>
      </c>
      <c r="D2565" s="8">
        <f t="shared" si="251"/>
        <v>45387</v>
      </c>
      <c r="E2565" s="9" t="s">
        <v>1123</v>
      </c>
      <c r="F2565" s="71">
        <v>45408.0</v>
      </c>
      <c r="G2565" s="9" t="s">
        <v>18</v>
      </c>
      <c r="H2565" s="7" t="s">
        <v>4761</v>
      </c>
      <c r="I2565" s="9" t="s">
        <v>353</v>
      </c>
      <c r="J2565" s="88"/>
    </row>
    <row r="2566">
      <c r="A2566" s="20" t="s">
        <v>98</v>
      </c>
      <c r="B2566" s="9" t="s">
        <v>4762</v>
      </c>
      <c r="C2566" s="91">
        <v>45404.42582556713</v>
      </c>
      <c r="D2566" s="8">
        <f t="shared" si="251"/>
        <v>45406</v>
      </c>
      <c r="E2566" s="9" t="s">
        <v>206</v>
      </c>
      <c r="F2566" s="10"/>
      <c r="G2566" s="9" t="s">
        <v>15</v>
      </c>
      <c r="H2566" s="7" t="s">
        <v>4763</v>
      </c>
      <c r="I2566" s="9" t="s">
        <v>353</v>
      </c>
      <c r="J2566" s="88"/>
    </row>
    <row r="2567">
      <c r="A2567" s="20" t="s">
        <v>98</v>
      </c>
      <c r="B2567" s="9" t="s">
        <v>4764</v>
      </c>
      <c r="C2567" s="91">
        <v>45418.360668611116</v>
      </c>
      <c r="D2567" s="8">
        <f t="shared" si="251"/>
        <v>45420</v>
      </c>
      <c r="E2567" s="9" t="s">
        <v>11</v>
      </c>
      <c r="F2567" s="10"/>
      <c r="G2567" s="9" t="s">
        <v>15</v>
      </c>
      <c r="H2567" s="7" t="s">
        <v>4765</v>
      </c>
      <c r="I2567" s="9" t="s">
        <v>353</v>
      </c>
      <c r="J2567" s="88"/>
    </row>
    <row r="2568">
      <c r="A2568" s="20" t="s">
        <v>98</v>
      </c>
      <c r="B2568" s="9" t="s">
        <v>4766</v>
      </c>
      <c r="C2568" s="91">
        <v>45406.41777586806</v>
      </c>
      <c r="D2568" s="8">
        <f t="shared" si="251"/>
        <v>45408</v>
      </c>
      <c r="E2568" s="9" t="s">
        <v>206</v>
      </c>
      <c r="F2568" s="10"/>
      <c r="G2568" s="9" t="s">
        <v>15</v>
      </c>
      <c r="H2568" s="7" t="s">
        <v>4767</v>
      </c>
      <c r="I2568" s="9" t="s">
        <v>353</v>
      </c>
      <c r="J2568" s="88"/>
    </row>
    <row r="2569">
      <c r="A2569" s="6" t="s">
        <v>9</v>
      </c>
      <c r="B2569" s="7" t="s">
        <v>4768</v>
      </c>
      <c r="C2569" s="91">
        <v>45369.34670804398</v>
      </c>
      <c r="D2569" s="8">
        <f t="shared" si="251"/>
        <v>45371</v>
      </c>
      <c r="E2569" s="9" t="s">
        <v>11</v>
      </c>
      <c r="F2569" s="10"/>
      <c r="G2569" s="9" t="s">
        <v>18</v>
      </c>
      <c r="H2569" s="7" t="s">
        <v>4769</v>
      </c>
      <c r="I2569" s="9" t="s">
        <v>353</v>
      </c>
      <c r="J2569" s="88"/>
    </row>
    <row r="2570">
      <c r="A2570" s="6" t="s">
        <v>9</v>
      </c>
      <c r="B2570" s="7" t="s">
        <v>4770</v>
      </c>
      <c r="C2570" s="91">
        <v>45414.60117296297</v>
      </c>
      <c r="D2570" s="8">
        <f t="shared" si="251"/>
        <v>45418</v>
      </c>
      <c r="E2570" s="9" t="s">
        <v>11</v>
      </c>
      <c r="F2570" s="10"/>
      <c r="G2570" s="9" t="s">
        <v>15</v>
      </c>
      <c r="H2570" s="7" t="s">
        <v>4753</v>
      </c>
      <c r="I2570" s="9" t="s">
        <v>353</v>
      </c>
      <c r="J2570" s="88"/>
    </row>
    <row r="2571">
      <c r="A2571" s="20" t="s">
        <v>98</v>
      </c>
      <c r="B2571" s="9" t="s">
        <v>4771</v>
      </c>
      <c r="C2571" s="91">
        <v>45313.49737321759</v>
      </c>
      <c r="D2571" s="8">
        <f t="shared" si="251"/>
        <v>45315</v>
      </c>
      <c r="E2571" s="9" t="s">
        <v>88</v>
      </c>
      <c r="F2571" s="10"/>
      <c r="G2571" s="9" t="s">
        <v>18</v>
      </c>
      <c r="H2571" s="7" t="s">
        <v>4772</v>
      </c>
      <c r="I2571" s="9" t="s">
        <v>353</v>
      </c>
      <c r="J2571" s="88"/>
    </row>
    <row r="2572">
      <c r="A2572" s="20" t="s">
        <v>98</v>
      </c>
      <c r="B2572" s="9" t="s">
        <v>4773</v>
      </c>
      <c r="C2572" s="91">
        <v>45408.477018171296</v>
      </c>
      <c r="D2572" s="8">
        <f t="shared" si="251"/>
        <v>45412</v>
      </c>
      <c r="E2572" s="9" t="s">
        <v>206</v>
      </c>
      <c r="F2572" s="10"/>
      <c r="G2572" s="9" t="s">
        <v>15</v>
      </c>
      <c r="H2572" s="7" t="s">
        <v>4774</v>
      </c>
      <c r="I2572" s="9" t="s">
        <v>353</v>
      </c>
      <c r="J2572" s="88"/>
    </row>
    <row r="2573">
      <c r="A2573" s="6" t="s">
        <v>9</v>
      </c>
      <c r="B2573" s="7" t="s">
        <v>4775</v>
      </c>
      <c r="C2573" s="91">
        <v>45322.40252130787</v>
      </c>
      <c r="D2573" s="8">
        <f t="shared" si="251"/>
        <v>45324</v>
      </c>
      <c r="E2573" s="9" t="s">
        <v>11</v>
      </c>
      <c r="F2573" s="10"/>
      <c r="G2573" s="9" t="s">
        <v>15</v>
      </c>
      <c r="H2573" s="7" t="s">
        <v>4776</v>
      </c>
      <c r="I2573" s="9" t="s">
        <v>353</v>
      </c>
      <c r="J2573" s="88"/>
    </row>
    <row r="2574">
      <c r="A2574" s="6" t="s">
        <v>9</v>
      </c>
      <c r="B2574" s="7" t="s">
        <v>2732</v>
      </c>
      <c r="C2574" s="91">
        <v>45412.68242737268</v>
      </c>
      <c r="D2574" s="8">
        <f t="shared" si="251"/>
        <v>45414</v>
      </c>
      <c r="E2574" s="9" t="s">
        <v>11</v>
      </c>
      <c r="F2574" s="10"/>
      <c r="G2574" s="9" t="s">
        <v>15</v>
      </c>
      <c r="H2574" s="7" t="s">
        <v>2122</v>
      </c>
      <c r="I2574" s="9" t="s">
        <v>353</v>
      </c>
      <c r="J2574" s="88"/>
    </row>
    <row r="2575">
      <c r="A2575" s="42" t="s">
        <v>206</v>
      </c>
      <c r="B2575" s="7" t="s">
        <v>4777</v>
      </c>
      <c r="C2575" s="91">
        <v>45392.44632912037</v>
      </c>
      <c r="D2575" s="8"/>
      <c r="E2575" s="9" t="s">
        <v>4232</v>
      </c>
      <c r="F2575" s="10"/>
      <c r="G2575" s="9" t="s">
        <v>15</v>
      </c>
      <c r="H2575" s="7" t="s">
        <v>4778</v>
      </c>
      <c r="I2575" s="9" t="s">
        <v>353</v>
      </c>
      <c r="J2575" s="88"/>
    </row>
    <row r="2576">
      <c r="A2576" s="42" t="s">
        <v>206</v>
      </c>
      <c r="B2576" s="7" t="s">
        <v>4779</v>
      </c>
      <c r="C2576" s="91">
        <v>45393.60501575231</v>
      </c>
      <c r="D2576" s="8"/>
      <c r="E2576" s="9" t="s">
        <v>4232</v>
      </c>
      <c r="F2576" s="8"/>
      <c r="G2576" s="9" t="s">
        <v>15</v>
      </c>
      <c r="H2576" s="7" t="s">
        <v>4780</v>
      </c>
      <c r="I2576" s="9" t="s">
        <v>353</v>
      </c>
      <c r="J2576" s="88"/>
    </row>
    <row r="2577">
      <c r="A2577" s="6" t="s">
        <v>9</v>
      </c>
      <c r="B2577" s="7" t="s">
        <v>4781</v>
      </c>
      <c r="C2577" s="91">
        <v>45407.34260344907</v>
      </c>
      <c r="D2577" s="8">
        <f t="shared" ref="D2577:D2581" si="252">IFERROR(_xlfn.WORKDAY.INTL(C2577, 2),"-")</f>
        <v>45411</v>
      </c>
      <c r="E2577" s="9" t="s">
        <v>11</v>
      </c>
      <c r="F2577" s="10"/>
      <c r="G2577" s="9" t="s">
        <v>15</v>
      </c>
      <c r="H2577" s="7" t="s">
        <v>4782</v>
      </c>
      <c r="I2577" s="9" t="s">
        <v>353</v>
      </c>
      <c r="J2577" s="88"/>
    </row>
    <row r="2578">
      <c r="A2578" s="6" t="s">
        <v>9</v>
      </c>
      <c r="B2578" s="7" t="s">
        <v>4783</v>
      </c>
      <c r="C2578" s="91">
        <v>45407.34256690972</v>
      </c>
      <c r="D2578" s="8">
        <f t="shared" si="252"/>
        <v>45411</v>
      </c>
      <c r="E2578" s="9" t="s">
        <v>11</v>
      </c>
      <c r="F2578" s="10"/>
      <c r="G2578" s="9" t="s">
        <v>15</v>
      </c>
      <c r="H2578" s="7" t="s">
        <v>4784</v>
      </c>
      <c r="I2578" s="9" t="s">
        <v>353</v>
      </c>
      <c r="J2578" s="88"/>
    </row>
    <row r="2579">
      <c r="A2579" s="34" t="s">
        <v>204</v>
      </c>
      <c r="B2579" s="7" t="s">
        <v>4785</v>
      </c>
      <c r="C2579" s="91">
        <v>45412.521015833336</v>
      </c>
      <c r="D2579" s="8">
        <f t="shared" si="252"/>
        <v>45414</v>
      </c>
      <c r="E2579" s="9" t="s">
        <v>11</v>
      </c>
      <c r="F2579" s="10"/>
      <c r="G2579" s="9" t="s">
        <v>18</v>
      </c>
      <c r="H2579" s="7" t="s">
        <v>437</v>
      </c>
      <c r="I2579" s="9" t="s">
        <v>353</v>
      </c>
      <c r="J2579" s="88"/>
    </row>
    <row r="2580">
      <c r="A2580" s="6" t="s">
        <v>9</v>
      </c>
      <c r="B2580" s="7" t="s">
        <v>4786</v>
      </c>
      <c r="C2580" s="91">
        <v>45351.49806109954</v>
      </c>
      <c r="D2580" s="8">
        <f t="shared" si="252"/>
        <v>45355</v>
      </c>
      <c r="E2580" s="9" t="s">
        <v>11</v>
      </c>
      <c r="F2580" s="10"/>
      <c r="G2580" s="9" t="s">
        <v>15</v>
      </c>
      <c r="H2580" s="7" t="s">
        <v>4787</v>
      </c>
      <c r="I2580" s="9" t="s">
        <v>353</v>
      </c>
      <c r="J2580" s="88"/>
    </row>
    <row r="2581">
      <c r="A2581" s="34" t="s">
        <v>204</v>
      </c>
      <c r="B2581" s="7" t="s">
        <v>4788</v>
      </c>
      <c r="C2581" s="91">
        <v>45412.43765366898</v>
      </c>
      <c r="D2581" s="8">
        <f t="shared" si="252"/>
        <v>45414</v>
      </c>
      <c r="E2581" s="9" t="s">
        <v>11</v>
      </c>
      <c r="F2581" s="10"/>
      <c r="G2581" s="9" t="s">
        <v>18</v>
      </c>
      <c r="H2581" s="7" t="s">
        <v>437</v>
      </c>
      <c r="I2581" s="9" t="s">
        <v>353</v>
      </c>
      <c r="J2581" s="88"/>
    </row>
    <row r="2582">
      <c r="A2582" s="42" t="s">
        <v>206</v>
      </c>
      <c r="B2582" s="7" t="s">
        <v>4789</v>
      </c>
      <c r="C2582" s="91">
        <v>45392.58338668982</v>
      </c>
      <c r="D2582" s="8"/>
      <c r="E2582" s="9"/>
      <c r="F2582" s="71">
        <v>45408.0</v>
      </c>
      <c r="G2582" s="9" t="s">
        <v>15</v>
      </c>
      <c r="H2582" s="7" t="s">
        <v>4790</v>
      </c>
      <c r="I2582" s="9" t="s">
        <v>353</v>
      </c>
      <c r="J2582" s="88"/>
    </row>
    <row r="2583">
      <c r="A2583" s="34" t="s">
        <v>204</v>
      </c>
      <c r="B2583" s="7" t="s">
        <v>4189</v>
      </c>
      <c r="C2583" s="91">
        <v>45411.81257693287</v>
      </c>
      <c r="D2583" s="8">
        <f t="shared" ref="D2583:D2591" si="253">IFERROR(_xlfn.WORKDAY.INTL(C2583, 2),"-")</f>
        <v>45413</v>
      </c>
      <c r="E2583" s="9" t="s">
        <v>11</v>
      </c>
      <c r="F2583" s="10"/>
      <c r="G2583" s="9"/>
      <c r="H2583" s="7" t="s">
        <v>437</v>
      </c>
      <c r="I2583" s="9" t="s">
        <v>353</v>
      </c>
      <c r="J2583" s="88"/>
    </row>
    <row r="2584">
      <c r="A2584" s="20" t="s">
        <v>98</v>
      </c>
      <c r="B2584" s="9" t="s">
        <v>4791</v>
      </c>
      <c r="C2584" s="91">
        <v>45397.65716766204</v>
      </c>
      <c r="D2584" s="8">
        <f t="shared" si="253"/>
        <v>45399</v>
      </c>
      <c r="E2584" s="9" t="s">
        <v>88</v>
      </c>
      <c r="F2584" s="10"/>
      <c r="G2584" s="9" t="s">
        <v>18</v>
      </c>
      <c r="H2584" s="7" t="s">
        <v>4792</v>
      </c>
      <c r="I2584" s="9" t="s">
        <v>353</v>
      </c>
      <c r="J2584" s="88"/>
    </row>
    <row r="2585">
      <c r="A2585" s="20" t="s">
        <v>98</v>
      </c>
      <c r="B2585" s="9" t="s">
        <v>4793</v>
      </c>
      <c r="C2585" s="91">
        <v>45400.77853710648</v>
      </c>
      <c r="D2585" s="8">
        <f t="shared" si="253"/>
        <v>45404</v>
      </c>
      <c r="E2585" s="9" t="s">
        <v>206</v>
      </c>
      <c r="F2585" s="10"/>
      <c r="G2585" s="9" t="s">
        <v>15</v>
      </c>
      <c r="H2585" s="7" t="s">
        <v>4794</v>
      </c>
      <c r="I2585" s="9" t="s">
        <v>353</v>
      </c>
      <c r="J2585" s="88"/>
    </row>
    <row r="2586">
      <c r="A2586" s="20" t="s">
        <v>98</v>
      </c>
      <c r="B2586" s="9" t="s">
        <v>4795</v>
      </c>
      <c r="C2586" s="91">
        <v>45399.75262677083</v>
      </c>
      <c r="D2586" s="8">
        <f t="shared" si="253"/>
        <v>45401</v>
      </c>
      <c r="E2586" s="9" t="s">
        <v>206</v>
      </c>
      <c r="F2586" s="10"/>
      <c r="G2586" s="9" t="s">
        <v>15</v>
      </c>
      <c r="H2586" s="7" t="s">
        <v>4796</v>
      </c>
      <c r="I2586" s="9" t="s">
        <v>353</v>
      </c>
      <c r="J2586" s="88"/>
    </row>
    <row r="2587">
      <c r="A2587" s="20" t="s">
        <v>98</v>
      </c>
      <c r="B2587" s="9" t="s">
        <v>4797</v>
      </c>
      <c r="C2587" s="91">
        <v>45411.342591875</v>
      </c>
      <c r="D2587" s="8">
        <f t="shared" si="253"/>
        <v>45413</v>
      </c>
      <c r="E2587" s="9" t="s">
        <v>88</v>
      </c>
      <c r="F2587" s="10"/>
      <c r="G2587" s="9" t="s">
        <v>15</v>
      </c>
      <c r="H2587" s="7" t="s">
        <v>4798</v>
      </c>
      <c r="I2587" s="9" t="s">
        <v>353</v>
      </c>
      <c r="J2587" s="88"/>
    </row>
    <row r="2588">
      <c r="A2588" s="20" t="s">
        <v>98</v>
      </c>
      <c r="B2588" s="9" t="s">
        <v>4799</v>
      </c>
      <c r="C2588" s="91">
        <v>45411.34229918981</v>
      </c>
      <c r="D2588" s="8">
        <f t="shared" si="253"/>
        <v>45413</v>
      </c>
      <c r="E2588" s="9" t="s">
        <v>88</v>
      </c>
      <c r="F2588" s="10"/>
      <c r="G2588" s="9" t="s">
        <v>18</v>
      </c>
      <c r="H2588" s="7" t="s">
        <v>4800</v>
      </c>
      <c r="I2588" s="9" t="s">
        <v>353</v>
      </c>
      <c r="J2588" s="88"/>
    </row>
    <row r="2589">
      <c r="A2589" s="54" t="s">
        <v>4009</v>
      </c>
      <c r="B2589" s="7" t="s">
        <v>4801</v>
      </c>
      <c r="C2589" s="91">
        <v>45386.431866643514</v>
      </c>
      <c r="D2589" s="8">
        <f t="shared" si="253"/>
        <v>45390</v>
      </c>
      <c r="E2589" s="9" t="s">
        <v>4422</v>
      </c>
      <c r="F2589" s="10"/>
      <c r="G2589" s="9" t="s">
        <v>220</v>
      </c>
      <c r="H2589" s="7" t="s">
        <v>4802</v>
      </c>
      <c r="I2589" s="9" t="s">
        <v>353</v>
      </c>
      <c r="J2589" s="88"/>
    </row>
    <row r="2590">
      <c r="A2590" s="20" t="s">
        <v>98</v>
      </c>
      <c r="B2590" s="9" t="s">
        <v>4803</v>
      </c>
      <c r="C2590" s="91">
        <v>45407.43649633102</v>
      </c>
      <c r="D2590" s="8">
        <f t="shared" si="253"/>
        <v>45411</v>
      </c>
      <c r="E2590" s="9" t="s">
        <v>88</v>
      </c>
      <c r="F2590" s="10"/>
      <c r="G2590" s="9" t="s">
        <v>18</v>
      </c>
      <c r="H2590" s="7" t="s">
        <v>4804</v>
      </c>
      <c r="I2590" s="9" t="s">
        <v>353</v>
      </c>
      <c r="J2590" s="88"/>
    </row>
    <row r="2591">
      <c r="A2591" s="42" t="s">
        <v>206</v>
      </c>
      <c r="B2591" s="157" t="s">
        <v>4805</v>
      </c>
      <c r="C2591" s="91">
        <v>45385.69535587963</v>
      </c>
      <c r="D2591" s="8">
        <f t="shared" si="253"/>
        <v>45387</v>
      </c>
      <c r="E2591" s="9" t="s">
        <v>1097</v>
      </c>
      <c r="F2591" s="71"/>
      <c r="G2591" s="9" t="s">
        <v>220</v>
      </c>
      <c r="H2591" s="7" t="s">
        <v>4806</v>
      </c>
      <c r="I2591" s="9" t="s">
        <v>353</v>
      </c>
      <c r="J2591" s="88"/>
    </row>
    <row r="2592">
      <c r="A2592" s="42" t="s">
        <v>206</v>
      </c>
      <c r="B2592" s="7" t="s">
        <v>4807</v>
      </c>
      <c r="C2592" s="91"/>
      <c r="D2592" s="8"/>
      <c r="E2592" s="9" t="s">
        <v>1123</v>
      </c>
      <c r="F2592" s="8"/>
      <c r="G2592" s="9" t="s">
        <v>220</v>
      </c>
      <c r="H2592" s="7" t="s">
        <v>4808</v>
      </c>
      <c r="I2592" s="9" t="s">
        <v>353</v>
      </c>
      <c r="J2592" s="88"/>
    </row>
    <row r="2593">
      <c r="A2593" s="42" t="s">
        <v>206</v>
      </c>
      <c r="B2593" s="7" t="s">
        <v>4809</v>
      </c>
      <c r="C2593" s="91">
        <v>45400.683848009256</v>
      </c>
      <c r="D2593" s="8"/>
      <c r="E2593" s="9" t="s">
        <v>1123</v>
      </c>
      <c r="F2593" s="9"/>
      <c r="G2593" s="9" t="s">
        <v>220</v>
      </c>
      <c r="H2593" s="7" t="s">
        <v>4810</v>
      </c>
      <c r="I2593" s="9" t="s">
        <v>353</v>
      </c>
      <c r="J2593" s="88"/>
    </row>
    <row r="2594">
      <c r="A2594" s="6" t="s">
        <v>9</v>
      </c>
      <c r="B2594" s="7" t="s">
        <v>4811</v>
      </c>
      <c r="C2594" s="91">
        <v>45407.68122579861</v>
      </c>
      <c r="D2594" s="8">
        <f t="shared" ref="D2594:D2602" si="254">IFERROR(_xlfn.WORKDAY.INTL(C2594, 2),"-")</f>
        <v>45411</v>
      </c>
      <c r="E2594" s="9" t="s">
        <v>11</v>
      </c>
      <c r="F2594" s="10"/>
      <c r="G2594" s="9" t="s">
        <v>15</v>
      </c>
      <c r="H2594" s="7" t="s">
        <v>4784</v>
      </c>
      <c r="I2594" s="9" t="s">
        <v>353</v>
      </c>
      <c r="J2594" s="88"/>
    </row>
    <row r="2595">
      <c r="A2595" s="20" t="s">
        <v>98</v>
      </c>
      <c r="B2595" s="9" t="s">
        <v>4812</v>
      </c>
      <c r="C2595" s="91">
        <v>45405.824582581015</v>
      </c>
      <c r="D2595" s="8">
        <f t="shared" si="254"/>
        <v>45407</v>
      </c>
      <c r="E2595" s="9" t="s">
        <v>206</v>
      </c>
      <c r="F2595" s="10"/>
      <c r="G2595" s="9" t="s">
        <v>18</v>
      </c>
      <c r="H2595" s="7" t="s">
        <v>4813</v>
      </c>
      <c r="I2595" s="9" t="s">
        <v>353</v>
      </c>
      <c r="J2595" s="88"/>
    </row>
    <row r="2596">
      <c r="A2596" s="20" t="s">
        <v>98</v>
      </c>
      <c r="B2596" s="9" t="s">
        <v>4814</v>
      </c>
      <c r="C2596" s="91">
        <v>45405.82444280093</v>
      </c>
      <c r="D2596" s="8">
        <f t="shared" si="254"/>
        <v>45407</v>
      </c>
      <c r="E2596" s="9" t="s">
        <v>206</v>
      </c>
      <c r="F2596" s="10"/>
      <c r="G2596" s="9" t="s">
        <v>18</v>
      </c>
      <c r="H2596" s="7" t="s">
        <v>4815</v>
      </c>
      <c r="I2596" s="9" t="s">
        <v>353</v>
      </c>
      <c r="J2596" s="88"/>
    </row>
    <row r="2597">
      <c r="A2597" s="20" t="s">
        <v>98</v>
      </c>
      <c r="B2597" s="9" t="s">
        <v>4816</v>
      </c>
      <c r="C2597" s="91">
        <v>45406.62688863426</v>
      </c>
      <c r="D2597" s="8">
        <f t="shared" si="254"/>
        <v>45408</v>
      </c>
      <c r="E2597" s="9" t="s">
        <v>88</v>
      </c>
      <c r="F2597" s="10"/>
      <c r="G2597" s="9" t="s">
        <v>18</v>
      </c>
      <c r="H2597" s="7" t="s">
        <v>4817</v>
      </c>
      <c r="I2597" s="9" t="s">
        <v>353</v>
      </c>
      <c r="J2597" s="88"/>
    </row>
    <row r="2598">
      <c r="A2598" s="20" t="s">
        <v>98</v>
      </c>
      <c r="B2598" s="9" t="s">
        <v>4818</v>
      </c>
      <c r="C2598" s="91">
        <v>45404.50102038194</v>
      </c>
      <c r="D2598" s="8">
        <f t="shared" si="254"/>
        <v>45406</v>
      </c>
      <c r="E2598" s="9" t="s">
        <v>11</v>
      </c>
      <c r="F2598" s="10"/>
      <c r="G2598" s="9" t="s">
        <v>15</v>
      </c>
      <c r="H2598" s="7" t="s">
        <v>4813</v>
      </c>
      <c r="I2598" s="9" t="s">
        <v>353</v>
      </c>
      <c r="J2598" s="88"/>
    </row>
    <row r="2599">
      <c r="A2599" s="20" t="s">
        <v>98</v>
      </c>
      <c r="B2599" s="9" t="s">
        <v>4819</v>
      </c>
      <c r="C2599" s="91">
        <v>45404.49815829861</v>
      </c>
      <c r="D2599" s="8">
        <f t="shared" si="254"/>
        <v>45406</v>
      </c>
      <c r="E2599" s="9" t="s">
        <v>11</v>
      </c>
      <c r="F2599" s="10"/>
      <c r="G2599" s="9" t="s">
        <v>15</v>
      </c>
      <c r="H2599" s="7" t="s">
        <v>4815</v>
      </c>
      <c r="I2599" s="9" t="s">
        <v>353</v>
      </c>
      <c r="J2599" s="88"/>
    </row>
    <row r="2600">
      <c r="A2600" s="6" t="s">
        <v>9</v>
      </c>
      <c r="B2600" s="7" t="s">
        <v>1313</v>
      </c>
      <c r="C2600" s="91">
        <v>45407.44997405093</v>
      </c>
      <c r="D2600" s="8">
        <f t="shared" si="254"/>
        <v>45411</v>
      </c>
      <c r="E2600" s="9" t="s">
        <v>11</v>
      </c>
      <c r="F2600" s="10"/>
      <c r="G2600" s="9" t="s">
        <v>15</v>
      </c>
      <c r="H2600" s="7" t="s">
        <v>4820</v>
      </c>
      <c r="I2600" s="9" t="s">
        <v>353</v>
      </c>
      <c r="J2600" s="88"/>
    </row>
    <row r="2601">
      <c r="A2601" s="6" t="s">
        <v>9</v>
      </c>
      <c r="B2601" s="7" t="s">
        <v>4821</v>
      </c>
      <c r="C2601" s="91">
        <v>45407.450393506944</v>
      </c>
      <c r="D2601" s="8">
        <f t="shared" si="254"/>
        <v>45411</v>
      </c>
      <c r="E2601" s="9" t="s">
        <v>11</v>
      </c>
      <c r="F2601" s="10"/>
      <c r="G2601" s="9" t="s">
        <v>15</v>
      </c>
      <c r="H2601" s="7" t="s">
        <v>4822</v>
      </c>
      <c r="I2601" s="9" t="s">
        <v>353</v>
      </c>
      <c r="J2601" s="88"/>
    </row>
    <row r="2602">
      <c r="A2602" s="20" t="s">
        <v>98</v>
      </c>
      <c r="B2602" s="9" t="s">
        <v>4823</v>
      </c>
      <c r="C2602" s="91">
        <v>45404.656597905094</v>
      </c>
      <c r="D2602" s="8">
        <f t="shared" si="254"/>
        <v>45406</v>
      </c>
      <c r="E2602" s="9" t="s">
        <v>206</v>
      </c>
      <c r="F2602" s="10"/>
      <c r="G2602" s="9" t="s">
        <v>15</v>
      </c>
      <c r="H2602" s="7" t="s">
        <v>4824</v>
      </c>
      <c r="I2602" s="9" t="s">
        <v>353</v>
      </c>
      <c r="J2602" s="88"/>
    </row>
    <row r="2603">
      <c r="A2603" s="42" t="s">
        <v>206</v>
      </c>
      <c r="B2603" s="7" t="s">
        <v>4825</v>
      </c>
      <c r="C2603" s="91">
        <v>45392.583185324074</v>
      </c>
      <c r="D2603" s="8"/>
      <c r="E2603" s="9"/>
      <c r="F2603" s="8">
        <v>45405.0</v>
      </c>
      <c r="G2603" s="9" t="s">
        <v>18</v>
      </c>
      <c r="H2603" s="7" t="s">
        <v>4826</v>
      </c>
      <c r="I2603" s="9" t="s">
        <v>353</v>
      </c>
      <c r="J2603" s="88"/>
    </row>
    <row r="2604">
      <c r="A2604" s="6" t="s">
        <v>9</v>
      </c>
      <c r="B2604" s="7" t="s">
        <v>4827</v>
      </c>
      <c r="C2604" s="91">
        <v>45406.668759513894</v>
      </c>
      <c r="D2604" s="8">
        <f t="shared" ref="D2604:D2662" si="255">IFERROR(_xlfn.WORKDAY.INTL(C2604, 2),"-")</f>
        <v>45408</v>
      </c>
      <c r="E2604" s="9" t="s">
        <v>11</v>
      </c>
      <c r="F2604" s="10"/>
      <c r="G2604" s="9" t="s">
        <v>15</v>
      </c>
      <c r="H2604" s="7" t="s">
        <v>4822</v>
      </c>
      <c r="I2604" s="9" t="s">
        <v>353</v>
      </c>
      <c r="J2604" s="88"/>
    </row>
    <row r="2605">
      <c r="A2605" s="20" t="s">
        <v>98</v>
      </c>
      <c r="B2605" s="9" t="s">
        <v>4828</v>
      </c>
      <c r="C2605" s="91">
        <v>45406.41941274305</v>
      </c>
      <c r="D2605" s="8">
        <f t="shared" si="255"/>
        <v>45408</v>
      </c>
      <c r="E2605" s="9" t="s">
        <v>206</v>
      </c>
      <c r="F2605" s="10"/>
      <c r="G2605" s="9" t="s">
        <v>15</v>
      </c>
      <c r="H2605" s="7" t="s">
        <v>4829</v>
      </c>
      <c r="I2605" s="9" t="s">
        <v>353</v>
      </c>
      <c r="J2605" s="88"/>
    </row>
    <row r="2606">
      <c r="A2606" s="20" t="s">
        <v>98</v>
      </c>
      <c r="B2606" s="9" t="s">
        <v>4830</v>
      </c>
      <c r="C2606" s="91">
        <v>45406.41902934028</v>
      </c>
      <c r="D2606" s="8">
        <f t="shared" si="255"/>
        <v>45408</v>
      </c>
      <c r="E2606" s="9" t="s">
        <v>206</v>
      </c>
      <c r="F2606" s="10"/>
      <c r="G2606" s="9" t="s">
        <v>15</v>
      </c>
      <c r="H2606" s="7" t="s">
        <v>4767</v>
      </c>
      <c r="I2606" s="9" t="s">
        <v>353</v>
      </c>
      <c r="J2606" s="88"/>
    </row>
    <row r="2607">
      <c r="A2607" s="6" t="s">
        <v>9</v>
      </c>
      <c r="B2607" s="7" t="s">
        <v>4831</v>
      </c>
      <c r="C2607" s="91">
        <v>45370.46799210648</v>
      </c>
      <c r="D2607" s="8">
        <f t="shared" si="255"/>
        <v>45372</v>
      </c>
      <c r="E2607" s="9" t="s">
        <v>11</v>
      </c>
      <c r="F2607" s="10"/>
      <c r="G2607" s="9" t="s">
        <v>15</v>
      </c>
      <c r="H2607" s="7" t="s">
        <v>4832</v>
      </c>
      <c r="I2607" s="9" t="s">
        <v>353</v>
      </c>
      <c r="J2607" s="88"/>
    </row>
    <row r="2608">
      <c r="A2608" s="6" t="s">
        <v>9</v>
      </c>
      <c r="B2608" s="7" t="s">
        <v>4833</v>
      </c>
      <c r="C2608" s="91">
        <v>45405.49735726852</v>
      </c>
      <c r="D2608" s="8">
        <f t="shared" si="255"/>
        <v>45407</v>
      </c>
      <c r="E2608" s="9" t="s">
        <v>11</v>
      </c>
      <c r="F2608" s="10"/>
      <c r="G2608" s="9" t="s">
        <v>15</v>
      </c>
      <c r="H2608" s="7" t="s">
        <v>4834</v>
      </c>
      <c r="I2608" s="9" t="s">
        <v>353</v>
      </c>
      <c r="J2608" s="88"/>
    </row>
    <row r="2609">
      <c r="A2609" s="34" t="s">
        <v>204</v>
      </c>
      <c r="B2609" s="7" t="s">
        <v>4835</v>
      </c>
      <c r="C2609" s="91">
        <v>45384.787738252315</v>
      </c>
      <c r="D2609" s="8">
        <f t="shared" si="255"/>
        <v>45386</v>
      </c>
      <c r="E2609" s="9" t="s">
        <v>11</v>
      </c>
      <c r="F2609" s="9" t="s">
        <v>11</v>
      </c>
      <c r="G2609" s="9" t="s">
        <v>15</v>
      </c>
      <c r="H2609" s="7" t="s">
        <v>4836</v>
      </c>
      <c r="I2609" s="9" t="s">
        <v>353</v>
      </c>
      <c r="J2609" s="88"/>
    </row>
    <row r="2610">
      <c r="A2610" s="20" t="s">
        <v>98</v>
      </c>
      <c r="B2610" s="9" t="s">
        <v>4837</v>
      </c>
      <c r="C2610" s="91">
        <v>45392.699493865744</v>
      </c>
      <c r="D2610" s="8">
        <f t="shared" si="255"/>
        <v>45394</v>
      </c>
      <c r="E2610" s="9" t="s">
        <v>11</v>
      </c>
      <c r="F2610" s="10"/>
      <c r="G2610" s="9" t="s">
        <v>18</v>
      </c>
      <c r="H2610" s="7" t="s">
        <v>4838</v>
      </c>
      <c r="I2610" s="9" t="s">
        <v>353</v>
      </c>
      <c r="J2610" s="88"/>
    </row>
    <row r="2611">
      <c r="A2611" s="6" t="s">
        <v>9</v>
      </c>
      <c r="B2611" s="7" t="s">
        <v>4839</v>
      </c>
      <c r="C2611" s="91">
        <v>45352.47631672454</v>
      </c>
      <c r="D2611" s="8">
        <f t="shared" si="255"/>
        <v>45356</v>
      </c>
      <c r="E2611" s="9" t="s">
        <v>11</v>
      </c>
      <c r="F2611" s="10"/>
      <c r="G2611" s="9" t="s">
        <v>15</v>
      </c>
      <c r="H2611" s="7" t="s">
        <v>4840</v>
      </c>
      <c r="I2611" s="9" t="s">
        <v>353</v>
      </c>
      <c r="J2611" s="88"/>
    </row>
    <row r="2612">
      <c r="A2612" s="20" t="s">
        <v>98</v>
      </c>
      <c r="B2612" s="9" t="s">
        <v>4841</v>
      </c>
      <c r="C2612" s="91">
        <v>45404.42577027778</v>
      </c>
      <c r="D2612" s="8">
        <f t="shared" si="255"/>
        <v>45406</v>
      </c>
      <c r="E2612" s="9" t="s">
        <v>206</v>
      </c>
      <c r="F2612" s="10"/>
      <c r="G2612" s="9" t="s">
        <v>15</v>
      </c>
      <c r="H2612" s="7" t="s">
        <v>4824</v>
      </c>
      <c r="I2612" s="9" t="s">
        <v>353</v>
      </c>
      <c r="J2612" s="88"/>
    </row>
    <row r="2613">
      <c r="A2613" s="20" t="s">
        <v>98</v>
      </c>
      <c r="B2613" s="9" t="s">
        <v>4842</v>
      </c>
      <c r="C2613" s="91">
        <v>45405.684877824075</v>
      </c>
      <c r="D2613" s="8">
        <f t="shared" si="255"/>
        <v>45407</v>
      </c>
      <c r="E2613" s="9" t="s">
        <v>206</v>
      </c>
      <c r="F2613" s="10"/>
      <c r="G2613" s="9" t="s">
        <v>15</v>
      </c>
      <c r="H2613" s="7" t="s">
        <v>4843</v>
      </c>
      <c r="I2613" s="9" t="s">
        <v>353</v>
      </c>
      <c r="J2613" s="88"/>
    </row>
    <row r="2614">
      <c r="A2614" s="20" t="s">
        <v>98</v>
      </c>
      <c r="B2614" s="9" t="s">
        <v>4844</v>
      </c>
      <c r="C2614" s="91">
        <v>45404.60981297454</v>
      </c>
      <c r="D2614" s="8">
        <f t="shared" si="255"/>
        <v>45406</v>
      </c>
      <c r="E2614" s="9" t="s">
        <v>206</v>
      </c>
      <c r="F2614" s="10"/>
      <c r="G2614" s="9" t="s">
        <v>15</v>
      </c>
      <c r="H2614" s="7" t="s">
        <v>4845</v>
      </c>
      <c r="I2614" s="9" t="s">
        <v>353</v>
      </c>
      <c r="J2614" s="88"/>
    </row>
    <row r="2615">
      <c r="A2615" s="20" t="s">
        <v>98</v>
      </c>
      <c r="B2615" s="9" t="s">
        <v>4846</v>
      </c>
      <c r="C2615" s="91">
        <v>45267.57689888889</v>
      </c>
      <c r="D2615" s="8">
        <f t="shared" si="255"/>
        <v>45271</v>
      </c>
      <c r="E2615" s="9" t="s">
        <v>206</v>
      </c>
      <c r="F2615" s="10"/>
      <c r="G2615" s="9" t="s">
        <v>18</v>
      </c>
      <c r="H2615" s="23" t="s">
        <v>4847</v>
      </c>
      <c r="I2615" s="9" t="s">
        <v>353</v>
      </c>
      <c r="J2615" s="88"/>
    </row>
    <row r="2616">
      <c r="A2616" s="34" t="s">
        <v>204</v>
      </c>
      <c r="B2616" s="7" t="s">
        <v>4848</v>
      </c>
      <c r="C2616" s="91">
        <v>45405.607210381946</v>
      </c>
      <c r="D2616" s="8">
        <f t="shared" si="255"/>
        <v>45407</v>
      </c>
      <c r="E2616" s="9" t="s">
        <v>11</v>
      </c>
      <c r="F2616" s="10"/>
      <c r="G2616" s="9" t="s">
        <v>18</v>
      </c>
      <c r="H2616" s="7" t="s">
        <v>437</v>
      </c>
      <c r="I2616" s="9" t="s">
        <v>353</v>
      </c>
      <c r="J2616" s="88"/>
    </row>
    <row r="2617">
      <c r="A2617" s="6" t="s">
        <v>9</v>
      </c>
      <c r="B2617" s="7" t="s">
        <v>4849</v>
      </c>
      <c r="C2617" s="91">
        <v>45322.40210313657</v>
      </c>
      <c r="D2617" s="8">
        <f t="shared" si="255"/>
        <v>45324</v>
      </c>
      <c r="E2617" s="9" t="s">
        <v>11</v>
      </c>
      <c r="F2617" s="10"/>
      <c r="G2617" s="9" t="s">
        <v>15</v>
      </c>
      <c r="H2617" s="7" t="s">
        <v>4850</v>
      </c>
      <c r="I2617" s="9" t="s">
        <v>353</v>
      </c>
      <c r="J2617" s="88"/>
    </row>
    <row r="2618">
      <c r="A2618" s="20" t="s">
        <v>98</v>
      </c>
      <c r="B2618" s="9" t="s">
        <v>4851</v>
      </c>
      <c r="C2618" s="91">
        <v>45306.36696349537</v>
      </c>
      <c r="D2618" s="8">
        <f t="shared" si="255"/>
        <v>45308</v>
      </c>
      <c r="E2618" s="9" t="s">
        <v>88</v>
      </c>
      <c r="F2618" s="10"/>
      <c r="G2618" s="9" t="s">
        <v>18</v>
      </c>
      <c r="H2618" s="7" t="s">
        <v>4852</v>
      </c>
      <c r="I2618" s="9" t="s">
        <v>353</v>
      </c>
      <c r="J2618" s="88"/>
    </row>
    <row r="2619">
      <c r="A2619" s="20" t="s">
        <v>98</v>
      </c>
      <c r="B2619" s="9" t="s">
        <v>4853</v>
      </c>
      <c r="C2619" s="91">
        <v>45398.47231677083</v>
      </c>
      <c r="D2619" s="8">
        <f t="shared" si="255"/>
        <v>45400</v>
      </c>
      <c r="E2619" s="9" t="s">
        <v>88</v>
      </c>
      <c r="F2619" s="10"/>
      <c r="G2619" s="9" t="s">
        <v>18</v>
      </c>
      <c r="H2619" s="7" t="s">
        <v>4854</v>
      </c>
      <c r="I2619" s="9" t="s">
        <v>353</v>
      </c>
      <c r="J2619" s="88"/>
    </row>
    <row r="2620">
      <c r="A2620" s="6" t="s">
        <v>9</v>
      </c>
      <c r="B2620" s="7" t="s">
        <v>4855</v>
      </c>
      <c r="C2620" s="91">
        <v>45405.49219907407</v>
      </c>
      <c r="D2620" s="8">
        <f t="shared" si="255"/>
        <v>45407</v>
      </c>
      <c r="E2620" s="9" t="s">
        <v>11</v>
      </c>
      <c r="F2620" s="10"/>
      <c r="G2620" s="9" t="s">
        <v>15</v>
      </c>
      <c r="H2620" s="7" t="s">
        <v>4834</v>
      </c>
      <c r="I2620" s="9" t="s">
        <v>353</v>
      </c>
      <c r="J2620" s="88"/>
    </row>
    <row r="2621">
      <c r="A2621" s="20" t="s">
        <v>98</v>
      </c>
      <c r="B2621" s="9" t="s">
        <v>4856</v>
      </c>
      <c r="C2621" s="91">
        <v>45399.43222722222</v>
      </c>
      <c r="D2621" s="8">
        <f t="shared" si="255"/>
        <v>45401</v>
      </c>
      <c r="E2621" s="9" t="s">
        <v>88</v>
      </c>
      <c r="F2621" s="10"/>
      <c r="G2621" s="9" t="s">
        <v>18</v>
      </c>
      <c r="H2621" s="7" t="s">
        <v>4857</v>
      </c>
      <c r="I2621" s="9" t="s">
        <v>353</v>
      </c>
      <c r="J2621" s="88"/>
    </row>
    <row r="2622">
      <c r="A2622" s="6" t="s">
        <v>9</v>
      </c>
      <c r="B2622" s="7" t="s">
        <v>4858</v>
      </c>
      <c r="C2622" s="91">
        <v>45401.37032498843</v>
      </c>
      <c r="D2622" s="8">
        <f t="shared" si="255"/>
        <v>45405</v>
      </c>
      <c r="E2622" s="9" t="s">
        <v>11</v>
      </c>
      <c r="F2622" s="10"/>
      <c r="G2622" s="9" t="s">
        <v>15</v>
      </c>
      <c r="H2622" s="7" t="s">
        <v>4859</v>
      </c>
      <c r="I2622" s="9" t="s">
        <v>353</v>
      </c>
      <c r="J2622" s="88"/>
    </row>
    <row r="2623">
      <c r="A2623" s="34" t="s">
        <v>204</v>
      </c>
      <c r="B2623" s="7" t="s">
        <v>4860</v>
      </c>
      <c r="C2623" s="91">
        <v>45055.357907303245</v>
      </c>
      <c r="D2623" s="8">
        <f t="shared" si="255"/>
        <v>45057</v>
      </c>
      <c r="E2623" s="9" t="s">
        <v>88</v>
      </c>
      <c r="F2623" s="8">
        <v>45405.0</v>
      </c>
      <c r="G2623" s="9" t="s">
        <v>18</v>
      </c>
      <c r="H2623" s="7" t="s">
        <v>4861</v>
      </c>
      <c r="I2623" s="9" t="s">
        <v>353</v>
      </c>
      <c r="J2623" s="88"/>
    </row>
    <row r="2624">
      <c r="A2624" s="6" t="s">
        <v>9</v>
      </c>
      <c r="B2624" s="7" t="s">
        <v>4862</v>
      </c>
      <c r="C2624" s="91">
        <v>45405.47253561343</v>
      </c>
      <c r="D2624" s="8">
        <f t="shared" si="255"/>
        <v>45407</v>
      </c>
      <c r="E2624" s="9" t="s">
        <v>11</v>
      </c>
      <c r="F2624" s="10"/>
      <c r="G2624" s="9" t="s">
        <v>15</v>
      </c>
      <c r="H2624" s="182">
        <v>45401.0</v>
      </c>
      <c r="I2624" s="9" t="s">
        <v>353</v>
      </c>
      <c r="J2624" s="88"/>
    </row>
    <row r="2625">
      <c r="A2625" s="34" t="s">
        <v>204</v>
      </c>
      <c r="B2625" s="7" t="s">
        <v>4863</v>
      </c>
      <c r="C2625" s="91">
        <v>45404.79306253472</v>
      </c>
      <c r="D2625" s="8">
        <f t="shared" si="255"/>
        <v>45406</v>
      </c>
      <c r="E2625" s="9" t="s">
        <v>11</v>
      </c>
      <c r="F2625" s="10"/>
      <c r="G2625" s="9" t="s">
        <v>18</v>
      </c>
      <c r="H2625" s="7" t="s">
        <v>437</v>
      </c>
      <c r="I2625" s="9" t="s">
        <v>353</v>
      </c>
      <c r="J2625" s="88"/>
    </row>
    <row r="2626">
      <c r="A2626" s="34" t="s">
        <v>204</v>
      </c>
      <c r="B2626" s="7" t="s">
        <v>4864</v>
      </c>
      <c r="C2626" s="91">
        <v>45378.77221605324</v>
      </c>
      <c r="D2626" s="8">
        <f t="shared" si="255"/>
        <v>45380</v>
      </c>
      <c r="E2626" s="9" t="s">
        <v>11</v>
      </c>
      <c r="F2626" s="9" t="s">
        <v>11</v>
      </c>
      <c r="G2626" s="9" t="s">
        <v>15</v>
      </c>
      <c r="H2626" s="7" t="s">
        <v>4865</v>
      </c>
      <c r="I2626" s="9" t="s">
        <v>353</v>
      </c>
      <c r="J2626" s="88"/>
    </row>
    <row r="2627">
      <c r="A2627" s="6" t="s">
        <v>9</v>
      </c>
      <c r="B2627" s="7" t="s">
        <v>4866</v>
      </c>
      <c r="C2627" s="91">
        <v>45322.40195450232</v>
      </c>
      <c r="D2627" s="8">
        <f t="shared" si="255"/>
        <v>45324</v>
      </c>
      <c r="E2627" s="9" t="s">
        <v>11</v>
      </c>
      <c r="F2627" s="10"/>
      <c r="G2627" s="9" t="s">
        <v>15</v>
      </c>
      <c r="H2627" s="7" t="s">
        <v>4867</v>
      </c>
      <c r="I2627" s="9" t="s">
        <v>353</v>
      </c>
      <c r="J2627" s="88"/>
    </row>
    <row r="2628">
      <c r="A2628" s="42" t="s">
        <v>206</v>
      </c>
      <c r="B2628" s="157" t="s">
        <v>4868</v>
      </c>
      <c r="C2628" s="91">
        <v>45385.695445034726</v>
      </c>
      <c r="D2628" s="8">
        <f t="shared" si="255"/>
        <v>45387</v>
      </c>
      <c r="E2628" s="9" t="s">
        <v>1123</v>
      </c>
      <c r="F2628" s="71">
        <v>45405.0</v>
      </c>
      <c r="G2628" s="9" t="s">
        <v>18</v>
      </c>
      <c r="H2628" s="7" t="s">
        <v>4869</v>
      </c>
      <c r="I2628" s="9" t="s">
        <v>353</v>
      </c>
      <c r="J2628" s="88"/>
    </row>
    <row r="2629">
      <c r="A2629" s="34" t="s">
        <v>204</v>
      </c>
      <c r="B2629" s="7" t="s">
        <v>4870</v>
      </c>
      <c r="C2629" s="91">
        <v>45399.743603310184</v>
      </c>
      <c r="D2629" s="8">
        <f t="shared" si="255"/>
        <v>45401</v>
      </c>
      <c r="E2629" s="9" t="s">
        <v>11</v>
      </c>
      <c r="F2629" s="10"/>
      <c r="G2629" s="9" t="s">
        <v>18</v>
      </c>
      <c r="H2629" s="7" t="s">
        <v>437</v>
      </c>
      <c r="I2629" s="9" t="s">
        <v>353</v>
      </c>
      <c r="J2629" s="88"/>
    </row>
    <row r="2630">
      <c r="A2630" s="34" t="s">
        <v>204</v>
      </c>
      <c r="B2630" s="7" t="s">
        <v>4871</v>
      </c>
      <c r="C2630" s="91">
        <v>45376.74258322916</v>
      </c>
      <c r="D2630" s="8">
        <f t="shared" si="255"/>
        <v>45378</v>
      </c>
      <c r="E2630" s="9" t="s">
        <v>11</v>
      </c>
      <c r="F2630" s="9" t="s">
        <v>11</v>
      </c>
      <c r="G2630" s="9" t="s">
        <v>15</v>
      </c>
      <c r="H2630" s="7" t="s">
        <v>4872</v>
      </c>
      <c r="I2630" s="9" t="s">
        <v>353</v>
      </c>
      <c r="J2630" s="88"/>
    </row>
    <row r="2631">
      <c r="A2631" s="20" t="s">
        <v>98</v>
      </c>
      <c r="B2631" s="9" t="s">
        <v>4873</v>
      </c>
      <c r="C2631" s="91">
        <v>45399.752499803246</v>
      </c>
      <c r="D2631" s="8">
        <f t="shared" si="255"/>
        <v>45401</v>
      </c>
      <c r="E2631" s="9" t="s">
        <v>206</v>
      </c>
      <c r="F2631" s="10"/>
      <c r="G2631" s="9" t="s">
        <v>15</v>
      </c>
      <c r="H2631" s="7" t="s">
        <v>4824</v>
      </c>
      <c r="I2631" s="9" t="s">
        <v>353</v>
      </c>
      <c r="J2631" s="88"/>
    </row>
    <row r="2632">
      <c r="A2632" s="20" t="s">
        <v>98</v>
      </c>
      <c r="B2632" s="9" t="s">
        <v>4874</v>
      </c>
      <c r="C2632" s="91">
        <v>45306.36706888889</v>
      </c>
      <c r="D2632" s="8">
        <f t="shared" si="255"/>
        <v>45308</v>
      </c>
      <c r="E2632" s="9" t="s">
        <v>88</v>
      </c>
      <c r="F2632" s="10"/>
      <c r="G2632" s="9" t="s">
        <v>18</v>
      </c>
      <c r="H2632" s="7" t="s">
        <v>4875</v>
      </c>
      <c r="I2632" s="9" t="s">
        <v>353</v>
      </c>
      <c r="J2632" s="88"/>
    </row>
    <row r="2633">
      <c r="A2633" s="20" t="s">
        <v>98</v>
      </c>
      <c r="B2633" s="9" t="s">
        <v>4876</v>
      </c>
      <c r="C2633" s="91">
        <v>45384.59706722222</v>
      </c>
      <c r="D2633" s="8">
        <f t="shared" si="255"/>
        <v>45386</v>
      </c>
      <c r="E2633" s="9" t="s">
        <v>206</v>
      </c>
      <c r="F2633" s="10"/>
      <c r="G2633" s="9" t="s">
        <v>18</v>
      </c>
      <c r="H2633" s="7" t="s">
        <v>4877</v>
      </c>
      <c r="I2633" s="9" t="s">
        <v>353</v>
      </c>
      <c r="J2633" s="88"/>
    </row>
    <row r="2634">
      <c r="A2634" s="20" t="s">
        <v>98</v>
      </c>
      <c r="B2634" s="9" t="s">
        <v>4878</v>
      </c>
      <c r="C2634" s="91">
        <v>45384.59582121528</v>
      </c>
      <c r="D2634" s="8">
        <f t="shared" si="255"/>
        <v>45386</v>
      </c>
      <c r="E2634" s="9" t="s">
        <v>88</v>
      </c>
      <c r="F2634" s="10"/>
      <c r="G2634" s="9" t="s">
        <v>18</v>
      </c>
      <c r="H2634" s="7" t="s">
        <v>4879</v>
      </c>
      <c r="I2634" s="9" t="s">
        <v>353</v>
      </c>
      <c r="J2634" s="88"/>
    </row>
    <row r="2635">
      <c r="A2635" s="6" t="s">
        <v>9</v>
      </c>
      <c r="B2635" s="7" t="s">
        <v>4880</v>
      </c>
      <c r="C2635" s="91">
        <v>45372.78011155092</v>
      </c>
      <c r="D2635" s="8">
        <f t="shared" si="255"/>
        <v>45376</v>
      </c>
      <c r="E2635" s="9" t="s">
        <v>11</v>
      </c>
      <c r="F2635" s="10"/>
      <c r="G2635" s="9" t="s">
        <v>21</v>
      </c>
      <c r="H2635" s="7" t="s">
        <v>4881</v>
      </c>
      <c r="I2635" s="9" t="s">
        <v>353</v>
      </c>
      <c r="J2635" s="88"/>
    </row>
    <row r="2636">
      <c r="A2636" s="20" t="s">
        <v>98</v>
      </c>
      <c r="B2636" s="9" t="s">
        <v>4882</v>
      </c>
      <c r="C2636" s="91">
        <v>45398.4716334375</v>
      </c>
      <c r="D2636" s="8">
        <f t="shared" si="255"/>
        <v>45400</v>
      </c>
      <c r="E2636" s="9" t="s">
        <v>206</v>
      </c>
      <c r="F2636" s="10"/>
      <c r="G2636" s="9" t="s">
        <v>15</v>
      </c>
      <c r="H2636" s="7" t="s">
        <v>4883</v>
      </c>
      <c r="I2636" s="9" t="s">
        <v>353</v>
      </c>
      <c r="J2636" s="88"/>
    </row>
    <row r="2637">
      <c r="A2637" s="20" t="s">
        <v>98</v>
      </c>
      <c r="B2637" s="9" t="s">
        <v>4884</v>
      </c>
      <c r="C2637" s="91">
        <v>45379.80628280093</v>
      </c>
      <c r="D2637" s="8">
        <f t="shared" si="255"/>
        <v>45383</v>
      </c>
      <c r="E2637" s="9" t="s">
        <v>206</v>
      </c>
      <c r="F2637" s="10"/>
      <c r="G2637" s="9" t="s">
        <v>18</v>
      </c>
      <c r="H2637" s="7" t="s">
        <v>4885</v>
      </c>
      <c r="I2637" s="9" t="s">
        <v>353</v>
      </c>
      <c r="J2637" s="88"/>
    </row>
    <row r="2638">
      <c r="A2638" s="20" t="s">
        <v>98</v>
      </c>
      <c r="B2638" s="9" t="s">
        <v>4886</v>
      </c>
      <c r="C2638" s="91">
        <v>45379.80605289352</v>
      </c>
      <c r="D2638" s="8">
        <f t="shared" si="255"/>
        <v>45383</v>
      </c>
      <c r="E2638" s="9" t="s">
        <v>206</v>
      </c>
      <c r="F2638" s="10"/>
      <c r="G2638" s="9" t="s">
        <v>18</v>
      </c>
      <c r="H2638" s="7" t="s">
        <v>4885</v>
      </c>
      <c r="I2638" s="9" t="s">
        <v>353</v>
      </c>
      <c r="J2638" s="88"/>
    </row>
    <row r="2639">
      <c r="A2639" s="20" t="s">
        <v>98</v>
      </c>
      <c r="B2639" s="9" t="s">
        <v>4887</v>
      </c>
      <c r="C2639" s="91">
        <v>45399.75273894676</v>
      </c>
      <c r="D2639" s="8">
        <f t="shared" si="255"/>
        <v>45401</v>
      </c>
      <c r="E2639" s="9" t="s">
        <v>206</v>
      </c>
      <c r="F2639" s="10"/>
      <c r="G2639" s="9" t="s">
        <v>15</v>
      </c>
      <c r="H2639" s="7" t="s">
        <v>4888</v>
      </c>
      <c r="I2639" s="9" t="s">
        <v>353</v>
      </c>
      <c r="J2639" s="88"/>
    </row>
    <row r="2640">
      <c r="A2640" s="20" t="s">
        <v>98</v>
      </c>
      <c r="B2640" s="9" t="s">
        <v>4889</v>
      </c>
      <c r="C2640" s="91">
        <v>45399.75257228009</v>
      </c>
      <c r="D2640" s="8">
        <f t="shared" si="255"/>
        <v>45401</v>
      </c>
      <c r="E2640" s="9" t="s">
        <v>206</v>
      </c>
      <c r="F2640" s="10"/>
      <c r="G2640" s="9" t="s">
        <v>15</v>
      </c>
      <c r="H2640" s="7" t="s">
        <v>4888</v>
      </c>
      <c r="I2640" s="9" t="s">
        <v>353</v>
      </c>
      <c r="J2640" s="88"/>
    </row>
    <row r="2641">
      <c r="A2641" s="20" t="s">
        <v>98</v>
      </c>
      <c r="B2641" s="9" t="s">
        <v>4890</v>
      </c>
      <c r="C2641" s="91">
        <v>45399.752840057874</v>
      </c>
      <c r="D2641" s="8">
        <f t="shared" si="255"/>
        <v>45401</v>
      </c>
      <c r="E2641" s="9" t="s">
        <v>206</v>
      </c>
      <c r="F2641" s="10"/>
      <c r="G2641" s="9" t="s">
        <v>15</v>
      </c>
      <c r="H2641" s="7" t="s">
        <v>4888</v>
      </c>
      <c r="I2641" s="9" t="s">
        <v>353</v>
      </c>
      <c r="J2641" s="88"/>
    </row>
    <row r="2642">
      <c r="A2642" s="20" t="s">
        <v>98</v>
      </c>
      <c r="B2642" s="9" t="s">
        <v>4891</v>
      </c>
      <c r="C2642" s="91">
        <v>45399.75278252315</v>
      </c>
      <c r="D2642" s="8">
        <f t="shared" si="255"/>
        <v>45401</v>
      </c>
      <c r="E2642" s="9" t="s">
        <v>206</v>
      </c>
      <c r="F2642" s="10"/>
      <c r="G2642" s="9" t="s">
        <v>15</v>
      </c>
      <c r="H2642" s="7" t="s">
        <v>4888</v>
      </c>
      <c r="I2642" s="9" t="s">
        <v>353</v>
      </c>
      <c r="J2642" s="88"/>
    </row>
    <row r="2643">
      <c r="A2643" s="6" t="s">
        <v>9</v>
      </c>
      <c r="B2643" s="7" t="s">
        <v>4892</v>
      </c>
      <c r="C2643" s="91">
        <v>45322.40219289352</v>
      </c>
      <c r="D2643" s="8">
        <f t="shared" si="255"/>
        <v>45324</v>
      </c>
      <c r="E2643" s="9" t="s">
        <v>11</v>
      </c>
      <c r="F2643" s="10"/>
      <c r="G2643" s="9" t="s">
        <v>15</v>
      </c>
      <c r="H2643" s="7" t="s">
        <v>4893</v>
      </c>
      <c r="I2643" s="9" t="s">
        <v>353</v>
      </c>
      <c r="J2643" s="88"/>
    </row>
    <row r="2644">
      <c r="A2644" s="20" t="s">
        <v>98</v>
      </c>
      <c r="B2644" s="9" t="s">
        <v>4894</v>
      </c>
      <c r="C2644" s="91">
        <v>45399.48228693287</v>
      </c>
      <c r="D2644" s="8">
        <f t="shared" si="255"/>
        <v>45401</v>
      </c>
      <c r="E2644" s="9" t="s">
        <v>206</v>
      </c>
      <c r="F2644" s="10"/>
      <c r="G2644" s="9" t="s">
        <v>18</v>
      </c>
      <c r="H2644" s="7" t="s">
        <v>4895</v>
      </c>
      <c r="I2644" s="9" t="s">
        <v>353</v>
      </c>
      <c r="J2644" s="88"/>
    </row>
    <row r="2645">
      <c r="A2645" s="20" t="s">
        <v>98</v>
      </c>
      <c r="B2645" s="9" t="s">
        <v>4896</v>
      </c>
      <c r="C2645" s="91">
        <v>45392.61911114583</v>
      </c>
      <c r="D2645" s="8">
        <f t="shared" si="255"/>
        <v>45394</v>
      </c>
      <c r="E2645" s="9" t="s">
        <v>11</v>
      </c>
      <c r="F2645" s="10"/>
      <c r="G2645" s="9" t="s">
        <v>15</v>
      </c>
      <c r="H2645" s="7" t="s">
        <v>4838</v>
      </c>
      <c r="I2645" s="9" t="s">
        <v>353</v>
      </c>
      <c r="J2645" s="88"/>
    </row>
    <row r="2646">
      <c r="A2646" s="20" t="s">
        <v>98</v>
      </c>
      <c r="B2646" s="9" t="s">
        <v>4897</v>
      </c>
      <c r="C2646" s="91">
        <v>45392.66218767361</v>
      </c>
      <c r="D2646" s="8">
        <f t="shared" si="255"/>
        <v>45394</v>
      </c>
      <c r="E2646" s="9" t="s">
        <v>11</v>
      </c>
      <c r="F2646" s="10"/>
      <c r="G2646" s="9" t="s">
        <v>15</v>
      </c>
      <c r="H2646" s="7" t="s">
        <v>4838</v>
      </c>
      <c r="I2646" s="9" t="s">
        <v>353</v>
      </c>
      <c r="J2646" s="88"/>
    </row>
    <row r="2647">
      <c r="A2647" s="20" t="s">
        <v>98</v>
      </c>
      <c r="B2647" s="9" t="s">
        <v>4898</v>
      </c>
      <c r="C2647" s="91">
        <v>45392.667061817134</v>
      </c>
      <c r="D2647" s="8">
        <f t="shared" si="255"/>
        <v>45394</v>
      </c>
      <c r="E2647" s="9" t="s">
        <v>11</v>
      </c>
      <c r="F2647" s="10"/>
      <c r="G2647" s="9" t="s">
        <v>15</v>
      </c>
      <c r="H2647" s="7" t="s">
        <v>4838</v>
      </c>
      <c r="I2647" s="9" t="s">
        <v>353</v>
      </c>
      <c r="J2647" s="88"/>
    </row>
    <row r="2648">
      <c r="A2648" s="20" t="s">
        <v>98</v>
      </c>
      <c r="B2648" s="9" t="s">
        <v>4899</v>
      </c>
      <c r="C2648" s="91">
        <v>45392.70364076389</v>
      </c>
      <c r="D2648" s="8">
        <f t="shared" si="255"/>
        <v>45394</v>
      </c>
      <c r="E2648" s="9" t="s">
        <v>11</v>
      </c>
      <c r="F2648" s="10"/>
      <c r="G2648" s="9" t="s">
        <v>15</v>
      </c>
      <c r="H2648" s="7" t="s">
        <v>4838</v>
      </c>
      <c r="I2648" s="9" t="s">
        <v>353</v>
      </c>
      <c r="J2648" s="88"/>
    </row>
    <row r="2649">
      <c r="A2649" s="20" t="s">
        <v>98</v>
      </c>
      <c r="B2649" s="9" t="s">
        <v>4900</v>
      </c>
      <c r="C2649" s="91">
        <v>45399.752363692125</v>
      </c>
      <c r="D2649" s="8">
        <f t="shared" si="255"/>
        <v>45401</v>
      </c>
      <c r="E2649" s="9" t="s">
        <v>206</v>
      </c>
      <c r="F2649" s="10"/>
      <c r="G2649" s="9" t="s">
        <v>15</v>
      </c>
      <c r="H2649" s="7" t="s">
        <v>4888</v>
      </c>
      <c r="I2649" s="9" t="s">
        <v>353</v>
      </c>
      <c r="J2649" s="88"/>
    </row>
    <row r="2650">
      <c r="A2650" s="20" t="s">
        <v>98</v>
      </c>
      <c r="B2650" s="9" t="s">
        <v>4901</v>
      </c>
      <c r="C2650" s="91">
        <v>45399.75226461806</v>
      </c>
      <c r="D2650" s="8">
        <f t="shared" si="255"/>
        <v>45401</v>
      </c>
      <c r="E2650" s="9" t="s">
        <v>206</v>
      </c>
      <c r="F2650" s="10"/>
      <c r="G2650" s="9" t="s">
        <v>15</v>
      </c>
      <c r="H2650" s="7" t="s">
        <v>4902</v>
      </c>
      <c r="I2650" s="9" t="s">
        <v>353</v>
      </c>
      <c r="J2650" s="88"/>
    </row>
    <row r="2651">
      <c r="A2651" s="6" t="s">
        <v>9</v>
      </c>
      <c r="B2651" s="7" t="s">
        <v>4903</v>
      </c>
      <c r="C2651" s="91">
        <v>45398.47431253472</v>
      </c>
      <c r="D2651" s="8">
        <f t="shared" si="255"/>
        <v>45400</v>
      </c>
      <c r="E2651" s="9" t="s">
        <v>11</v>
      </c>
      <c r="F2651" s="10"/>
      <c r="G2651" s="9" t="s">
        <v>15</v>
      </c>
      <c r="H2651" s="7" t="s">
        <v>4904</v>
      </c>
      <c r="I2651" s="9" t="s">
        <v>353</v>
      </c>
      <c r="J2651" s="88"/>
    </row>
    <row r="2652">
      <c r="A2652" s="6" t="s">
        <v>9</v>
      </c>
      <c r="B2652" s="7" t="s">
        <v>4905</v>
      </c>
      <c r="C2652" s="91">
        <v>45400.599485081024</v>
      </c>
      <c r="D2652" s="8">
        <f t="shared" si="255"/>
        <v>45404</v>
      </c>
      <c r="E2652" s="9" t="s">
        <v>11</v>
      </c>
      <c r="F2652" s="10"/>
      <c r="G2652" s="9" t="s">
        <v>15</v>
      </c>
      <c r="H2652" s="11"/>
      <c r="I2652" s="9" t="s">
        <v>353</v>
      </c>
      <c r="J2652" s="88"/>
    </row>
    <row r="2653">
      <c r="A2653" s="20" t="s">
        <v>98</v>
      </c>
      <c r="B2653" s="9" t="s">
        <v>4906</v>
      </c>
      <c r="C2653" s="91">
        <v>45398.47198565972</v>
      </c>
      <c r="D2653" s="8">
        <f t="shared" si="255"/>
        <v>45400</v>
      </c>
      <c r="E2653" s="9" t="s">
        <v>206</v>
      </c>
      <c r="F2653" s="10"/>
      <c r="G2653" s="9" t="s">
        <v>15</v>
      </c>
      <c r="H2653" s="7" t="s">
        <v>4902</v>
      </c>
      <c r="I2653" s="9" t="s">
        <v>353</v>
      </c>
      <c r="J2653" s="88"/>
    </row>
    <row r="2654">
      <c r="A2654" s="20" t="s">
        <v>98</v>
      </c>
      <c r="B2654" s="9" t="s">
        <v>4907</v>
      </c>
      <c r="C2654" s="91">
        <v>45398.471937696755</v>
      </c>
      <c r="D2654" s="8">
        <f t="shared" si="255"/>
        <v>45400</v>
      </c>
      <c r="E2654" s="9" t="s">
        <v>206</v>
      </c>
      <c r="F2654" s="10"/>
      <c r="G2654" s="9" t="s">
        <v>15</v>
      </c>
      <c r="H2654" s="7" t="s">
        <v>4902</v>
      </c>
      <c r="I2654" s="9" t="s">
        <v>353</v>
      </c>
      <c r="J2654" s="88"/>
    </row>
    <row r="2655">
      <c r="A2655" s="20" t="s">
        <v>98</v>
      </c>
      <c r="B2655" s="9" t="s">
        <v>4908</v>
      </c>
      <c r="C2655" s="91">
        <v>45399.75244747685</v>
      </c>
      <c r="D2655" s="8">
        <f t="shared" si="255"/>
        <v>45401</v>
      </c>
      <c r="E2655" s="9" t="s">
        <v>206</v>
      </c>
      <c r="F2655" s="10"/>
      <c r="G2655" s="9" t="s">
        <v>15</v>
      </c>
      <c r="H2655" s="7" t="s">
        <v>4888</v>
      </c>
      <c r="I2655" s="9" t="s">
        <v>353</v>
      </c>
      <c r="J2655" s="88"/>
    </row>
    <row r="2656">
      <c r="A2656" s="20" t="s">
        <v>98</v>
      </c>
      <c r="B2656" s="9" t="s">
        <v>4909</v>
      </c>
      <c r="C2656" s="91">
        <v>45398.47188896991</v>
      </c>
      <c r="D2656" s="8">
        <f t="shared" si="255"/>
        <v>45400</v>
      </c>
      <c r="E2656" s="9" t="s">
        <v>206</v>
      </c>
      <c r="F2656" s="10"/>
      <c r="G2656" s="9" t="s">
        <v>15</v>
      </c>
      <c r="H2656" s="7" t="s">
        <v>4902</v>
      </c>
      <c r="I2656" s="9" t="s">
        <v>353</v>
      </c>
      <c r="J2656" s="88"/>
    </row>
    <row r="2657">
      <c r="A2657" s="20" t="s">
        <v>98</v>
      </c>
      <c r="B2657" s="9" t="s">
        <v>4910</v>
      </c>
      <c r="C2657" s="91">
        <v>45399.752687500004</v>
      </c>
      <c r="D2657" s="8">
        <f t="shared" si="255"/>
        <v>45401</v>
      </c>
      <c r="E2657" s="9" t="s">
        <v>206</v>
      </c>
      <c r="F2657" s="10"/>
      <c r="G2657" s="9" t="s">
        <v>15</v>
      </c>
      <c r="H2657" s="7" t="s">
        <v>4911</v>
      </c>
      <c r="I2657" s="9" t="s">
        <v>353</v>
      </c>
      <c r="J2657" s="88"/>
    </row>
    <row r="2658">
      <c r="A2658" s="20" t="s">
        <v>98</v>
      </c>
      <c r="B2658" s="9" t="s">
        <v>4912</v>
      </c>
      <c r="C2658" s="91">
        <v>45399.752294907405</v>
      </c>
      <c r="D2658" s="8">
        <f t="shared" si="255"/>
        <v>45401</v>
      </c>
      <c r="E2658" s="9" t="s">
        <v>206</v>
      </c>
      <c r="F2658" s="10"/>
      <c r="G2658" s="9" t="s">
        <v>15</v>
      </c>
      <c r="H2658" s="7" t="s">
        <v>4888</v>
      </c>
      <c r="I2658" s="9" t="s">
        <v>353</v>
      </c>
      <c r="J2658" s="88"/>
    </row>
    <row r="2659">
      <c r="A2659" s="34" t="s">
        <v>204</v>
      </c>
      <c r="B2659" s="7" t="s">
        <v>4913</v>
      </c>
      <c r="C2659" s="91">
        <v>45400.41718822917</v>
      </c>
      <c r="D2659" s="8">
        <f t="shared" si="255"/>
        <v>45404</v>
      </c>
      <c r="E2659" s="9" t="s">
        <v>11</v>
      </c>
      <c r="F2659" s="10"/>
      <c r="G2659" s="9" t="s">
        <v>18</v>
      </c>
      <c r="H2659" s="7" t="s">
        <v>437</v>
      </c>
      <c r="I2659" s="9" t="s">
        <v>353</v>
      </c>
      <c r="J2659" s="88"/>
    </row>
    <row r="2660">
      <c r="A2660" s="20" t="s">
        <v>98</v>
      </c>
      <c r="B2660" s="9" t="s">
        <v>4914</v>
      </c>
      <c r="C2660" s="91">
        <v>45398.47183944445</v>
      </c>
      <c r="D2660" s="8">
        <f t="shared" si="255"/>
        <v>45400</v>
      </c>
      <c r="E2660" s="9" t="s">
        <v>206</v>
      </c>
      <c r="F2660" s="10"/>
      <c r="G2660" s="9" t="s">
        <v>15</v>
      </c>
      <c r="H2660" s="7" t="s">
        <v>4902</v>
      </c>
      <c r="I2660" s="9" t="s">
        <v>353</v>
      </c>
      <c r="J2660" s="88"/>
    </row>
    <row r="2661">
      <c r="A2661" s="20" t="s">
        <v>98</v>
      </c>
      <c r="B2661" s="9" t="s">
        <v>4915</v>
      </c>
      <c r="C2661" s="91">
        <v>45398.47171770834</v>
      </c>
      <c r="D2661" s="8">
        <f t="shared" si="255"/>
        <v>45400</v>
      </c>
      <c r="E2661" s="9" t="s">
        <v>206</v>
      </c>
      <c r="F2661" s="10"/>
      <c r="G2661" s="9" t="s">
        <v>15</v>
      </c>
      <c r="H2661" s="7" t="s">
        <v>4916</v>
      </c>
      <c r="I2661" s="9" t="s">
        <v>353</v>
      </c>
      <c r="J2661" s="88"/>
    </row>
    <row r="2662">
      <c r="A2662" s="42" t="s">
        <v>206</v>
      </c>
      <c r="B2662" s="7" t="s">
        <v>4377</v>
      </c>
      <c r="C2662" s="91">
        <v>45379.67876278935</v>
      </c>
      <c r="D2662" s="8">
        <f t="shared" si="255"/>
        <v>45383</v>
      </c>
      <c r="E2662" s="9" t="s">
        <v>1097</v>
      </c>
      <c r="F2662" s="8">
        <v>45401.0</v>
      </c>
      <c r="G2662" s="9" t="s">
        <v>18</v>
      </c>
      <c r="H2662" s="7" t="s">
        <v>4917</v>
      </c>
      <c r="I2662" s="9" t="s">
        <v>353</v>
      </c>
      <c r="J2662" s="88"/>
    </row>
    <row r="2663">
      <c r="A2663" s="42" t="s">
        <v>206</v>
      </c>
      <c r="B2663" s="7" t="s">
        <v>4375</v>
      </c>
      <c r="C2663" s="91">
        <v>45394.45524310185</v>
      </c>
      <c r="D2663" s="8"/>
      <c r="E2663" s="9" t="s">
        <v>1097</v>
      </c>
      <c r="F2663" s="8">
        <v>45401.0</v>
      </c>
      <c r="G2663" s="9" t="s">
        <v>18</v>
      </c>
      <c r="H2663" s="7" t="s">
        <v>4918</v>
      </c>
      <c r="I2663" s="9" t="s">
        <v>353</v>
      </c>
      <c r="J2663" s="88"/>
    </row>
    <row r="2664">
      <c r="A2664" s="42" t="s">
        <v>206</v>
      </c>
      <c r="B2664" s="7" t="s">
        <v>4382</v>
      </c>
      <c r="C2664" s="91">
        <v>45379.67945997685</v>
      </c>
      <c r="D2664" s="8">
        <f t="shared" ref="D2664:D2671" si="256">IFERROR(_xlfn.WORKDAY.INTL(C2664, 2),"-")</f>
        <v>45383</v>
      </c>
      <c r="E2664" s="9" t="s">
        <v>1097</v>
      </c>
      <c r="F2664" s="8">
        <v>45401.0</v>
      </c>
      <c r="G2664" s="9" t="s">
        <v>18</v>
      </c>
      <c r="H2664" s="7" t="s">
        <v>4918</v>
      </c>
      <c r="I2664" s="9" t="s">
        <v>353</v>
      </c>
      <c r="J2664" s="88"/>
    </row>
    <row r="2665">
      <c r="A2665" s="42" t="s">
        <v>206</v>
      </c>
      <c r="B2665" s="7" t="s">
        <v>4376</v>
      </c>
      <c r="C2665" s="91">
        <v>45379.67962693287</v>
      </c>
      <c r="D2665" s="8">
        <f t="shared" si="256"/>
        <v>45383</v>
      </c>
      <c r="E2665" s="9" t="s">
        <v>1097</v>
      </c>
      <c r="F2665" s="8">
        <v>45401.0</v>
      </c>
      <c r="G2665" s="9" t="s">
        <v>18</v>
      </c>
      <c r="H2665" s="7" t="s">
        <v>4918</v>
      </c>
      <c r="I2665" s="9" t="s">
        <v>353</v>
      </c>
      <c r="J2665" s="88"/>
    </row>
    <row r="2666">
      <c r="A2666" s="42" t="s">
        <v>206</v>
      </c>
      <c r="B2666" s="7" t="s">
        <v>4379</v>
      </c>
      <c r="C2666" s="91">
        <v>45379.67843136574</v>
      </c>
      <c r="D2666" s="8">
        <f t="shared" si="256"/>
        <v>45383</v>
      </c>
      <c r="E2666" s="9" t="s">
        <v>1097</v>
      </c>
      <c r="F2666" s="8">
        <v>45401.0</v>
      </c>
      <c r="G2666" s="9" t="s">
        <v>18</v>
      </c>
      <c r="H2666" s="7" t="s">
        <v>4919</v>
      </c>
      <c r="I2666" s="9" t="s">
        <v>353</v>
      </c>
      <c r="J2666" s="88"/>
    </row>
    <row r="2667">
      <c r="A2667" s="42" t="s">
        <v>206</v>
      </c>
      <c r="B2667" s="7" t="s">
        <v>4386</v>
      </c>
      <c r="C2667" s="91">
        <v>45379.678509687496</v>
      </c>
      <c r="D2667" s="8">
        <f t="shared" si="256"/>
        <v>45383</v>
      </c>
      <c r="E2667" s="9" t="s">
        <v>1097</v>
      </c>
      <c r="F2667" s="8">
        <v>45401.0</v>
      </c>
      <c r="G2667" s="9" t="s">
        <v>18</v>
      </c>
      <c r="H2667" s="7" t="s">
        <v>4919</v>
      </c>
      <c r="I2667" s="9" t="s">
        <v>353</v>
      </c>
      <c r="J2667" s="88"/>
    </row>
    <row r="2668">
      <c r="A2668" s="42" t="s">
        <v>206</v>
      </c>
      <c r="B2668" s="7" t="s">
        <v>4378</v>
      </c>
      <c r="C2668" s="91">
        <v>45379.6788136574</v>
      </c>
      <c r="D2668" s="8">
        <f t="shared" si="256"/>
        <v>45383</v>
      </c>
      <c r="E2668" s="9" t="s">
        <v>1097</v>
      </c>
      <c r="F2668" s="8">
        <v>45401.0</v>
      </c>
      <c r="G2668" s="9" t="s">
        <v>18</v>
      </c>
      <c r="H2668" s="7" t="s">
        <v>4919</v>
      </c>
      <c r="I2668" s="9" t="s">
        <v>353</v>
      </c>
      <c r="J2668" s="88"/>
    </row>
    <row r="2669">
      <c r="A2669" s="42" t="s">
        <v>206</v>
      </c>
      <c r="B2669" s="7" t="s">
        <v>4374</v>
      </c>
      <c r="C2669" s="91">
        <v>45379.6790091088</v>
      </c>
      <c r="D2669" s="8">
        <f t="shared" si="256"/>
        <v>45383</v>
      </c>
      <c r="E2669" s="9" t="s">
        <v>1097</v>
      </c>
      <c r="F2669" s="8">
        <v>45401.0</v>
      </c>
      <c r="G2669" s="9" t="s">
        <v>18</v>
      </c>
      <c r="H2669" s="7" t="s">
        <v>4919</v>
      </c>
      <c r="I2669" s="9" t="s">
        <v>13</v>
      </c>
      <c r="J2669" s="88"/>
    </row>
    <row r="2670">
      <c r="A2670" s="42" t="s">
        <v>206</v>
      </c>
      <c r="B2670" s="7" t="s">
        <v>4372</v>
      </c>
      <c r="C2670" s="91">
        <v>45379.6786560301</v>
      </c>
      <c r="D2670" s="8">
        <f t="shared" si="256"/>
        <v>45383</v>
      </c>
      <c r="E2670" s="9" t="s">
        <v>1097</v>
      </c>
      <c r="F2670" s="8">
        <v>45401.0</v>
      </c>
      <c r="G2670" s="9" t="s">
        <v>18</v>
      </c>
      <c r="H2670" s="7" t="s">
        <v>4919</v>
      </c>
      <c r="I2670" s="9" t="s">
        <v>13</v>
      </c>
      <c r="J2670" s="88"/>
    </row>
    <row r="2671">
      <c r="A2671" s="42" t="s">
        <v>206</v>
      </c>
      <c r="B2671" s="7" t="s">
        <v>4383</v>
      </c>
      <c r="C2671" s="91">
        <v>45379.679531828704</v>
      </c>
      <c r="D2671" s="8">
        <f t="shared" si="256"/>
        <v>45383</v>
      </c>
      <c r="E2671" s="9" t="s">
        <v>1097</v>
      </c>
      <c r="F2671" s="8">
        <v>45401.0</v>
      </c>
      <c r="G2671" s="9" t="s">
        <v>18</v>
      </c>
      <c r="H2671" s="7" t="s">
        <v>4918</v>
      </c>
      <c r="I2671" s="9" t="s">
        <v>13</v>
      </c>
      <c r="J2671" s="88"/>
    </row>
    <row r="2672">
      <c r="A2672" s="88"/>
      <c r="B2672" s="89"/>
      <c r="C2672" s="90"/>
      <c r="D2672" s="89"/>
      <c r="E2672" s="89"/>
      <c r="F2672" s="89"/>
      <c r="G2672" s="89"/>
      <c r="H2672" s="87"/>
      <c r="I2672" s="89"/>
      <c r="J2672" s="88"/>
    </row>
    <row r="2673">
      <c r="A2673" s="20" t="s">
        <v>98</v>
      </c>
      <c r="B2673" s="9" t="s">
        <v>4920</v>
      </c>
      <c r="C2673" s="91">
        <v>45397.56411464121</v>
      </c>
      <c r="D2673" s="8">
        <f t="shared" ref="D2673:D2699" si="257">IFERROR(_xlfn.WORKDAY.INTL(C2673, 2),"-")</f>
        <v>45399</v>
      </c>
      <c r="E2673" s="9" t="s">
        <v>11</v>
      </c>
      <c r="F2673" s="10"/>
      <c r="G2673" s="9" t="s">
        <v>18</v>
      </c>
      <c r="H2673" s="7" t="s">
        <v>2283</v>
      </c>
      <c r="I2673" s="9" t="s">
        <v>353</v>
      </c>
      <c r="J2673" s="88"/>
    </row>
    <row r="2674">
      <c r="A2674" s="20" t="s">
        <v>98</v>
      </c>
      <c r="B2674" s="9" t="s">
        <v>4921</v>
      </c>
      <c r="C2674" s="91">
        <v>45398.47167547454</v>
      </c>
      <c r="D2674" s="8">
        <f t="shared" si="257"/>
        <v>45400</v>
      </c>
      <c r="E2674" s="9" t="s">
        <v>206</v>
      </c>
      <c r="F2674" s="10"/>
      <c r="G2674" s="9" t="s">
        <v>15</v>
      </c>
      <c r="H2674" s="7" t="s">
        <v>4922</v>
      </c>
      <c r="I2674" s="9" t="s">
        <v>353</v>
      </c>
      <c r="J2674" s="88"/>
    </row>
    <row r="2675">
      <c r="A2675" s="20" t="s">
        <v>98</v>
      </c>
      <c r="B2675" s="9" t="s">
        <v>4923</v>
      </c>
      <c r="C2675" s="91">
        <v>45398.47208112269</v>
      </c>
      <c r="D2675" s="8">
        <f t="shared" si="257"/>
        <v>45400</v>
      </c>
      <c r="E2675" s="9" t="s">
        <v>206</v>
      </c>
      <c r="F2675" s="10"/>
      <c r="G2675" s="9" t="s">
        <v>15</v>
      </c>
      <c r="H2675" s="7" t="s">
        <v>4922</v>
      </c>
      <c r="I2675" s="9" t="s">
        <v>353</v>
      </c>
      <c r="J2675" s="88"/>
    </row>
    <row r="2676">
      <c r="A2676" s="42" t="s">
        <v>206</v>
      </c>
      <c r="B2676" s="7" t="s">
        <v>4380</v>
      </c>
      <c r="C2676" s="91">
        <v>45379.67925386574</v>
      </c>
      <c r="D2676" s="8">
        <f t="shared" si="257"/>
        <v>45383</v>
      </c>
      <c r="E2676" s="9" t="s">
        <v>1097</v>
      </c>
      <c r="F2676" s="8">
        <v>45401.0</v>
      </c>
      <c r="G2676" s="9" t="s">
        <v>18</v>
      </c>
      <c r="H2676" s="7" t="s">
        <v>4918</v>
      </c>
      <c r="I2676" s="9" t="s">
        <v>353</v>
      </c>
      <c r="J2676" s="88"/>
    </row>
    <row r="2677">
      <c r="A2677" s="6" t="s">
        <v>9</v>
      </c>
      <c r="B2677" s="7" t="s">
        <v>4924</v>
      </c>
      <c r="C2677" s="91">
        <v>45322.401885960644</v>
      </c>
      <c r="D2677" s="8">
        <f t="shared" si="257"/>
        <v>45324</v>
      </c>
      <c r="E2677" s="9" t="s">
        <v>11</v>
      </c>
      <c r="F2677" s="10"/>
      <c r="G2677" s="9" t="s">
        <v>15</v>
      </c>
      <c r="H2677" s="7" t="s">
        <v>4925</v>
      </c>
      <c r="I2677" s="9" t="s">
        <v>353</v>
      </c>
      <c r="J2677" s="88"/>
    </row>
    <row r="2678">
      <c r="A2678" s="6" t="s">
        <v>9</v>
      </c>
      <c r="B2678" s="7" t="s">
        <v>4926</v>
      </c>
      <c r="C2678" s="91">
        <v>45322.40185780093</v>
      </c>
      <c r="D2678" s="8">
        <f t="shared" si="257"/>
        <v>45324</v>
      </c>
      <c r="E2678" s="9" t="s">
        <v>11</v>
      </c>
      <c r="F2678" s="10"/>
      <c r="G2678" s="9" t="s">
        <v>15</v>
      </c>
      <c r="H2678" s="7" t="s">
        <v>4927</v>
      </c>
      <c r="I2678" s="9" t="s">
        <v>353</v>
      </c>
      <c r="J2678" s="88"/>
    </row>
    <row r="2679">
      <c r="A2679" s="20" t="s">
        <v>98</v>
      </c>
      <c r="B2679" s="9" t="s">
        <v>4928</v>
      </c>
      <c r="C2679" s="91">
        <v>45397.56418209491</v>
      </c>
      <c r="D2679" s="8">
        <f t="shared" si="257"/>
        <v>45399</v>
      </c>
      <c r="E2679" s="9" t="s">
        <v>11</v>
      </c>
      <c r="F2679" s="10"/>
      <c r="G2679" s="9" t="s">
        <v>18</v>
      </c>
      <c r="H2679" s="7" t="s">
        <v>4929</v>
      </c>
      <c r="I2679" s="9" t="s">
        <v>353</v>
      </c>
      <c r="J2679" s="88"/>
    </row>
    <row r="2680">
      <c r="A2680" s="20" t="s">
        <v>98</v>
      </c>
      <c r="B2680" s="9" t="s">
        <v>1553</v>
      </c>
      <c r="C2680" s="91">
        <v>45398.47175329861</v>
      </c>
      <c r="D2680" s="8">
        <f t="shared" si="257"/>
        <v>45400</v>
      </c>
      <c r="E2680" s="9" t="s">
        <v>206</v>
      </c>
      <c r="F2680" s="10"/>
      <c r="G2680" s="9" t="s">
        <v>15</v>
      </c>
      <c r="H2680" s="7" t="s">
        <v>4922</v>
      </c>
      <c r="I2680" s="9" t="s">
        <v>353</v>
      </c>
      <c r="J2680" s="88"/>
    </row>
    <row r="2681">
      <c r="A2681" s="20" t="s">
        <v>98</v>
      </c>
      <c r="B2681" s="9" t="s">
        <v>4930</v>
      </c>
      <c r="C2681" s="91">
        <v>45398.47210990741</v>
      </c>
      <c r="D2681" s="8">
        <f t="shared" si="257"/>
        <v>45400</v>
      </c>
      <c r="E2681" s="9" t="s">
        <v>206</v>
      </c>
      <c r="F2681" s="10"/>
      <c r="G2681" s="9" t="s">
        <v>15</v>
      </c>
      <c r="H2681" s="7" t="s">
        <v>4922</v>
      </c>
      <c r="I2681" s="9" t="s">
        <v>353</v>
      </c>
      <c r="J2681" s="88"/>
    </row>
    <row r="2682">
      <c r="A2682" s="20" t="s">
        <v>98</v>
      </c>
      <c r="B2682" s="9" t="s">
        <v>4931</v>
      </c>
      <c r="C2682" s="91">
        <v>45397.56325597222</v>
      </c>
      <c r="D2682" s="8">
        <f t="shared" si="257"/>
        <v>45399</v>
      </c>
      <c r="E2682" s="9" t="s">
        <v>11</v>
      </c>
      <c r="F2682" s="10"/>
      <c r="G2682" s="9" t="s">
        <v>15</v>
      </c>
      <c r="H2682" s="7" t="s">
        <v>4932</v>
      </c>
      <c r="I2682" s="9" t="s">
        <v>353</v>
      </c>
      <c r="J2682" s="88"/>
    </row>
    <row r="2683">
      <c r="A2683" s="34" t="s">
        <v>204</v>
      </c>
      <c r="B2683" s="7" t="s">
        <v>4933</v>
      </c>
      <c r="C2683" s="91">
        <v>45394.507725937496</v>
      </c>
      <c r="D2683" s="8">
        <f t="shared" si="257"/>
        <v>45398</v>
      </c>
      <c r="E2683" s="9" t="s">
        <v>11</v>
      </c>
      <c r="F2683" s="8">
        <v>45398.0</v>
      </c>
      <c r="G2683" s="9" t="s">
        <v>18</v>
      </c>
      <c r="H2683" s="7" t="s">
        <v>437</v>
      </c>
      <c r="I2683" s="9" t="s">
        <v>353</v>
      </c>
      <c r="J2683" s="88"/>
    </row>
    <row r="2684">
      <c r="A2684" s="20" t="s">
        <v>98</v>
      </c>
      <c r="B2684" s="9" t="s">
        <v>4934</v>
      </c>
      <c r="C2684" s="91">
        <v>45398.45263113426</v>
      </c>
      <c r="D2684" s="8">
        <f t="shared" si="257"/>
        <v>45400</v>
      </c>
      <c r="E2684" s="9" t="s">
        <v>88</v>
      </c>
      <c r="F2684" s="10"/>
      <c r="G2684" s="9" t="s">
        <v>15</v>
      </c>
      <c r="H2684" s="7" t="s">
        <v>4922</v>
      </c>
      <c r="I2684" s="9" t="s">
        <v>353</v>
      </c>
      <c r="J2684" s="88"/>
    </row>
    <row r="2685">
      <c r="A2685" s="42" t="s">
        <v>206</v>
      </c>
      <c r="B2685" s="157" t="s">
        <v>4935</v>
      </c>
      <c r="C2685" s="91">
        <v>45385.6953133912</v>
      </c>
      <c r="D2685" s="8">
        <f t="shared" si="257"/>
        <v>45387</v>
      </c>
      <c r="E2685" s="9" t="s">
        <v>1123</v>
      </c>
      <c r="F2685" s="10"/>
      <c r="G2685" s="9" t="s">
        <v>15</v>
      </c>
      <c r="H2685" s="7" t="s">
        <v>4936</v>
      </c>
      <c r="I2685" s="9" t="s">
        <v>353</v>
      </c>
      <c r="J2685" s="88"/>
    </row>
    <row r="2686">
      <c r="A2686" s="54" t="s">
        <v>4009</v>
      </c>
      <c r="B2686" s="7" t="s">
        <v>4937</v>
      </c>
      <c r="C2686" s="91">
        <v>45386.430203298616</v>
      </c>
      <c r="D2686" s="8">
        <f t="shared" si="257"/>
        <v>45390</v>
      </c>
      <c r="E2686" s="9" t="s">
        <v>94</v>
      </c>
      <c r="F2686" s="10"/>
      <c r="G2686" s="9" t="s">
        <v>15</v>
      </c>
      <c r="H2686" s="7" t="s">
        <v>4938</v>
      </c>
      <c r="I2686" s="9" t="s">
        <v>353</v>
      </c>
      <c r="J2686" s="88"/>
    </row>
    <row r="2687">
      <c r="A2687" s="20" t="s">
        <v>98</v>
      </c>
      <c r="B2687" s="9" t="s">
        <v>4939</v>
      </c>
      <c r="C2687" s="91">
        <v>45380.63111081018</v>
      </c>
      <c r="D2687" s="8">
        <f t="shared" si="257"/>
        <v>45384</v>
      </c>
      <c r="E2687" s="9" t="s">
        <v>88</v>
      </c>
      <c r="F2687" s="10"/>
      <c r="G2687" s="9" t="s">
        <v>15</v>
      </c>
      <c r="H2687" s="7" t="s">
        <v>4940</v>
      </c>
      <c r="I2687" s="9" t="s">
        <v>353</v>
      </c>
      <c r="J2687" s="88"/>
    </row>
    <row r="2688">
      <c r="A2688" s="34" t="s">
        <v>204</v>
      </c>
      <c r="B2688" s="7" t="s">
        <v>4941</v>
      </c>
      <c r="C2688" s="91" t="s">
        <v>11</v>
      </c>
      <c r="D2688" s="8" t="str">
        <f t="shared" si="257"/>
        <v>-</v>
      </c>
      <c r="E2688" s="9" t="s">
        <v>11</v>
      </c>
      <c r="F2688" s="9" t="s">
        <v>11</v>
      </c>
      <c r="G2688" s="9" t="s">
        <v>18</v>
      </c>
      <c r="H2688" s="7" t="s">
        <v>4942</v>
      </c>
      <c r="I2688" s="9" t="s">
        <v>353</v>
      </c>
      <c r="J2688" s="88"/>
    </row>
    <row r="2689">
      <c r="A2689" s="6" t="s">
        <v>9</v>
      </c>
      <c r="B2689" s="7" t="s">
        <v>4943</v>
      </c>
      <c r="C2689" s="91">
        <v>45322.40260128472</v>
      </c>
      <c r="D2689" s="8">
        <f t="shared" si="257"/>
        <v>45324</v>
      </c>
      <c r="E2689" s="9" t="s">
        <v>11</v>
      </c>
      <c r="F2689" s="10"/>
      <c r="G2689" s="9" t="s">
        <v>15</v>
      </c>
      <c r="H2689" s="7" t="s">
        <v>4944</v>
      </c>
      <c r="I2689" s="9" t="s">
        <v>353</v>
      </c>
      <c r="J2689" s="88"/>
    </row>
    <row r="2690">
      <c r="A2690" s="20" t="s">
        <v>98</v>
      </c>
      <c r="B2690" s="9" t="s">
        <v>4945</v>
      </c>
      <c r="C2690" s="91">
        <v>45379.80635640046</v>
      </c>
      <c r="D2690" s="8">
        <f t="shared" si="257"/>
        <v>45383</v>
      </c>
      <c r="E2690" s="9" t="s">
        <v>206</v>
      </c>
      <c r="F2690" s="10"/>
      <c r="G2690" s="9" t="s">
        <v>15</v>
      </c>
      <c r="H2690" s="7" t="s">
        <v>4946</v>
      </c>
      <c r="I2690" s="9" t="s">
        <v>353</v>
      </c>
      <c r="J2690" s="88"/>
    </row>
    <row r="2691">
      <c r="A2691" s="34" t="s">
        <v>204</v>
      </c>
      <c r="B2691" s="7" t="s">
        <v>4947</v>
      </c>
      <c r="C2691" s="91">
        <v>45393.68960618056</v>
      </c>
      <c r="D2691" s="8">
        <f t="shared" si="257"/>
        <v>45397</v>
      </c>
      <c r="E2691" s="9" t="s">
        <v>11</v>
      </c>
      <c r="F2691" s="10"/>
      <c r="G2691" s="9" t="s">
        <v>18</v>
      </c>
      <c r="H2691" s="7" t="s">
        <v>437</v>
      </c>
      <c r="I2691" s="9" t="s">
        <v>353</v>
      </c>
      <c r="J2691" s="88"/>
    </row>
    <row r="2692">
      <c r="A2692" s="34" t="s">
        <v>204</v>
      </c>
      <c r="B2692" s="7" t="s">
        <v>4948</v>
      </c>
      <c r="C2692" s="91">
        <v>45334.74707258102</v>
      </c>
      <c r="D2692" s="8">
        <f t="shared" si="257"/>
        <v>45336</v>
      </c>
      <c r="E2692" s="9" t="s">
        <v>11</v>
      </c>
      <c r="F2692" s="9" t="s">
        <v>11</v>
      </c>
      <c r="G2692" s="9" t="s">
        <v>15</v>
      </c>
      <c r="H2692" s="7" t="s">
        <v>4949</v>
      </c>
      <c r="I2692" s="9" t="s">
        <v>353</v>
      </c>
      <c r="J2692" s="88"/>
    </row>
    <row r="2693">
      <c r="A2693" s="20" t="s">
        <v>98</v>
      </c>
      <c r="B2693" s="9" t="s">
        <v>4950</v>
      </c>
      <c r="C2693" s="91">
        <v>45392.676224814815</v>
      </c>
      <c r="D2693" s="8">
        <f t="shared" si="257"/>
        <v>45394</v>
      </c>
      <c r="E2693" s="9" t="s">
        <v>11</v>
      </c>
      <c r="F2693" s="10"/>
      <c r="G2693" s="9" t="s">
        <v>18</v>
      </c>
      <c r="H2693" s="7" t="s">
        <v>4838</v>
      </c>
      <c r="I2693" s="9" t="s">
        <v>353</v>
      </c>
      <c r="J2693" s="88"/>
    </row>
    <row r="2694">
      <c r="A2694" s="20" t="s">
        <v>98</v>
      </c>
      <c r="B2694" s="9" t="s">
        <v>4951</v>
      </c>
      <c r="C2694" s="91">
        <v>45392.657126805556</v>
      </c>
      <c r="D2694" s="8">
        <f t="shared" si="257"/>
        <v>45394</v>
      </c>
      <c r="E2694" s="9" t="s">
        <v>11</v>
      </c>
      <c r="F2694" s="10"/>
      <c r="G2694" s="9" t="s">
        <v>18</v>
      </c>
      <c r="H2694" s="7" t="s">
        <v>4838</v>
      </c>
      <c r="I2694" s="9" t="s">
        <v>353</v>
      </c>
      <c r="J2694" s="88"/>
    </row>
    <row r="2695">
      <c r="A2695" s="20" t="s">
        <v>98</v>
      </c>
      <c r="B2695" s="155" t="s">
        <v>4952</v>
      </c>
      <c r="C2695" s="91">
        <v>45392.638827118055</v>
      </c>
      <c r="D2695" s="8">
        <f t="shared" si="257"/>
        <v>45394</v>
      </c>
      <c r="E2695" s="9" t="s">
        <v>11</v>
      </c>
      <c r="F2695" s="10"/>
      <c r="G2695" s="9" t="s">
        <v>15</v>
      </c>
      <c r="H2695" s="7" t="s">
        <v>4838</v>
      </c>
      <c r="I2695" s="9" t="s">
        <v>353</v>
      </c>
      <c r="J2695" s="88"/>
    </row>
    <row r="2696">
      <c r="A2696" s="20" t="s">
        <v>98</v>
      </c>
      <c r="B2696" s="9" t="s">
        <v>4953</v>
      </c>
      <c r="C2696" s="91">
        <v>45392.65090770833</v>
      </c>
      <c r="D2696" s="8">
        <f t="shared" si="257"/>
        <v>45394</v>
      </c>
      <c r="E2696" s="9" t="s">
        <v>11</v>
      </c>
      <c r="F2696" s="10"/>
      <c r="G2696" s="9" t="s">
        <v>15</v>
      </c>
      <c r="H2696" s="7" t="s">
        <v>4838</v>
      </c>
      <c r="I2696" s="9" t="s">
        <v>353</v>
      </c>
      <c r="J2696" s="88"/>
    </row>
    <row r="2697">
      <c r="A2697" s="20" t="s">
        <v>98</v>
      </c>
      <c r="B2697" s="155" t="s">
        <v>4954</v>
      </c>
      <c r="C2697" s="91">
        <v>45392.6303428588</v>
      </c>
      <c r="D2697" s="8">
        <f t="shared" si="257"/>
        <v>45394</v>
      </c>
      <c r="E2697" s="9" t="s">
        <v>11</v>
      </c>
      <c r="F2697" s="10"/>
      <c r="G2697" s="9" t="s">
        <v>15</v>
      </c>
      <c r="H2697" s="7" t="s">
        <v>4838</v>
      </c>
      <c r="I2697" s="9" t="s">
        <v>353</v>
      </c>
      <c r="J2697" s="88"/>
    </row>
    <row r="2698">
      <c r="A2698" s="34" t="s">
        <v>204</v>
      </c>
      <c r="B2698" s="7" t="s">
        <v>4955</v>
      </c>
      <c r="C2698" s="91">
        <v>45392.71575133102</v>
      </c>
      <c r="D2698" s="8">
        <f t="shared" si="257"/>
        <v>45394</v>
      </c>
      <c r="E2698" s="9" t="s">
        <v>11</v>
      </c>
      <c r="F2698" s="9" t="s">
        <v>11</v>
      </c>
      <c r="G2698" s="9" t="s">
        <v>15</v>
      </c>
      <c r="H2698" s="7" t="s">
        <v>4956</v>
      </c>
      <c r="I2698" s="9" t="s">
        <v>353</v>
      </c>
      <c r="J2698" s="88"/>
    </row>
    <row r="2699">
      <c r="A2699" s="34" t="s">
        <v>204</v>
      </c>
      <c r="B2699" s="7" t="s">
        <v>4957</v>
      </c>
      <c r="C2699" s="91">
        <v>45372.730978113424</v>
      </c>
      <c r="D2699" s="8">
        <f t="shared" si="257"/>
        <v>45376</v>
      </c>
      <c r="E2699" s="9" t="s">
        <v>11</v>
      </c>
      <c r="F2699" s="9" t="s">
        <v>11</v>
      </c>
      <c r="G2699" s="9" t="s">
        <v>15</v>
      </c>
      <c r="H2699" s="7" t="s">
        <v>4958</v>
      </c>
      <c r="I2699" s="9" t="s">
        <v>353</v>
      </c>
      <c r="J2699" s="88"/>
    </row>
    <row r="2700">
      <c r="A2700" s="42" t="s">
        <v>206</v>
      </c>
      <c r="B2700" s="7" t="s">
        <v>4959</v>
      </c>
      <c r="C2700" s="91">
        <v>45391.48067980324</v>
      </c>
      <c r="D2700" s="8"/>
      <c r="E2700" s="9" t="s">
        <v>4520</v>
      </c>
      <c r="F2700" s="10"/>
      <c r="G2700" s="9" t="s">
        <v>18</v>
      </c>
      <c r="H2700" s="7" t="s">
        <v>4960</v>
      </c>
      <c r="I2700" s="9" t="s">
        <v>353</v>
      </c>
      <c r="J2700" s="88"/>
    </row>
    <row r="2701">
      <c r="A2701" s="42" t="s">
        <v>206</v>
      </c>
      <c r="B2701" s="157" t="s">
        <v>4961</v>
      </c>
      <c r="C2701" s="91">
        <v>45385.695418958334</v>
      </c>
      <c r="D2701" s="8">
        <f t="shared" ref="D2701:D2717" si="258">IFERROR(_xlfn.WORKDAY.INTL(C2701, 2),"-")</f>
        <v>45387</v>
      </c>
      <c r="E2701" s="9" t="s">
        <v>1123</v>
      </c>
      <c r="F2701" s="10"/>
      <c r="G2701" s="9" t="s">
        <v>18</v>
      </c>
      <c r="H2701" s="7" t="s">
        <v>4962</v>
      </c>
      <c r="I2701" s="9" t="s">
        <v>353</v>
      </c>
      <c r="J2701" s="88"/>
    </row>
    <row r="2702">
      <c r="A2702" s="34" t="s">
        <v>204</v>
      </c>
      <c r="B2702" s="7" t="s">
        <v>4963</v>
      </c>
      <c r="C2702" s="91">
        <v>45392.433051678236</v>
      </c>
      <c r="D2702" s="8">
        <f t="shared" si="258"/>
        <v>45394</v>
      </c>
      <c r="E2702" s="9" t="s">
        <v>88</v>
      </c>
      <c r="F2702" s="10"/>
      <c r="G2702" s="9" t="s">
        <v>18</v>
      </c>
      <c r="H2702" s="7" t="s">
        <v>437</v>
      </c>
      <c r="I2702" s="9" t="s">
        <v>353</v>
      </c>
      <c r="J2702" s="88"/>
    </row>
    <row r="2703">
      <c r="A2703" s="42" t="s">
        <v>206</v>
      </c>
      <c r="B2703" s="157" t="s">
        <v>4964</v>
      </c>
      <c r="C2703" s="91">
        <v>45385.69538991898</v>
      </c>
      <c r="D2703" s="8">
        <f t="shared" si="258"/>
        <v>45387</v>
      </c>
      <c r="E2703" s="9" t="s">
        <v>1123</v>
      </c>
      <c r="F2703" s="10"/>
      <c r="G2703" s="9" t="s">
        <v>18</v>
      </c>
      <c r="H2703" s="7" t="s">
        <v>4965</v>
      </c>
      <c r="I2703" s="9" t="s">
        <v>353</v>
      </c>
      <c r="J2703" s="88"/>
    </row>
    <row r="2704">
      <c r="A2704" s="20" t="s">
        <v>98</v>
      </c>
      <c r="B2704" s="9" t="s">
        <v>4966</v>
      </c>
      <c r="C2704" s="91">
        <v>45349.584242881945</v>
      </c>
      <c r="D2704" s="8">
        <f t="shared" si="258"/>
        <v>45351</v>
      </c>
      <c r="E2704" s="9" t="s">
        <v>206</v>
      </c>
      <c r="F2704" s="10"/>
      <c r="G2704" s="9" t="s">
        <v>18</v>
      </c>
      <c r="H2704" s="23" t="s">
        <v>4967</v>
      </c>
      <c r="I2704" s="9" t="s">
        <v>353</v>
      </c>
      <c r="J2704" s="88"/>
    </row>
    <row r="2705">
      <c r="A2705" s="20" t="s">
        <v>98</v>
      </c>
      <c r="B2705" s="9" t="s">
        <v>4968</v>
      </c>
      <c r="C2705" s="91">
        <v>45349.58435856481</v>
      </c>
      <c r="D2705" s="8">
        <f t="shared" si="258"/>
        <v>45351</v>
      </c>
      <c r="E2705" s="9" t="s">
        <v>206</v>
      </c>
      <c r="F2705" s="10"/>
      <c r="G2705" s="9" t="s">
        <v>15</v>
      </c>
      <c r="H2705" s="23" t="s">
        <v>4969</v>
      </c>
      <c r="I2705" s="9" t="s">
        <v>353</v>
      </c>
      <c r="J2705" s="88"/>
    </row>
    <row r="2706">
      <c r="A2706" s="20" t="s">
        <v>98</v>
      </c>
      <c r="B2706" s="9" t="s">
        <v>4970</v>
      </c>
      <c r="C2706" s="91">
        <v>45351.6181403588</v>
      </c>
      <c r="D2706" s="8">
        <f t="shared" si="258"/>
        <v>45355</v>
      </c>
      <c r="E2706" s="9" t="s">
        <v>88</v>
      </c>
      <c r="F2706" s="10"/>
      <c r="G2706" s="9" t="s">
        <v>15</v>
      </c>
      <c r="H2706" s="7" t="s">
        <v>4971</v>
      </c>
      <c r="I2706" s="9" t="s">
        <v>353</v>
      </c>
      <c r="J2706" s="88"/>
    </row>
    <row r="2707">
      <c r="A2707" s="20" t="s">
        <v>98</v>
      </c>
      <c r="B2707" s="9" t="s">
        <v>4972</v>
      </c>
      <c r="C2707" s="91">
        <v>45379.8061378125</v>
      </c>
      <c r="D2707" s="8">
        <f t="shared" si="258"/>
        <v>45383</v>
      </c>
      <c r="E2707" s="9" t="s">
        <v>206</v>
      </c>
      <c r="F2707" s="10"/>
      <c r="G2707" s="9" t="s">
        <v>15</v>
      </c>
      <c r="H2707" s="7" t="s">
        <v>4973</v>
      </c>
      <c r="I2707" s="9" t="s">
        <v>353</v>
      </c>
      <c r="J2707" s="88"/>
    </row>
    <row r="2708">
      <c r="A2708" s="20" t="s">
        <v>98</v>
      </c>
      <c r="B2708" s="9" t="s">
        <v>4974</v>
      </c>
      <c r="C2708" s="91" t="s">
        <v>11</v>
      </c>
      <c r="D2708" s="8" t="str">
        <f t="shared" si="258"/>
        <v>-</v>
      </c>
      <c r="E2708" s="9" t="s">
        <v>88</v>
      </c>
      <c r="F2708" s="10"/>
      <c r="G2708" s="9" t="s">
        <v>18</v>
      </c>
      <c r="H2708" s="7" t="s">
        <v>4975</v>
      </c>
      <c r="I2708" s="9" t="s">
        <v>353</v>
      </c>
      <c r="J2708" s="88"/>
    </row>
    <row r="2709">
      <c r="A2709" s="42" t="s">
        <v>206</v>
      </c>
      <c r="B2709" s="7" t="s">
        <v>3064</v>
      </c>
      <c r="C2709" s="91">
        <v>45385.60398076389</v>
      </c>
      <c r="D2709" s="8">
        <f t="shared" si="258"/>
        <v>45387</v>
      </c>
      <c r="E2709" s="9" t="s">
        <v>4232</v>
      </c>
      <c r="F2709" s="10"/>
      <c r="G2709" s="9" t="s">
        <v>15</v>
      </c>
      <c r="H2709" s="7" t="s">
        <v>4976</v>
      </c>
      <c r="I2709" s="9" t="s">
        <v>353</v>
      </c>
      <c r="J2709" s="88"/>
    </row>
    <row r="2710">
      <c r="A2710" s="6" t="s">
        <v>9</v>
      </c>
      <c r="B2710" s="7" t="s">
        <v>4977</v>
      </c>
      <c r="C2710" s="91">
        <v>45390.586647476855</v>
      </c>
      <c r="D2710" s="8">
        <f t="shared" si="258"/>
        <v>45392</v>
      </c>
      <c r="E2710" s="9" t="s">
        <v>11</v>
      </c>
      <c r="F2710" s="10"/>
      <c r="G2710" s="9" t="s">
        <v>15</v>
      </c>
      <c r="H2710" s="7" t="s">
        <v>4978</v>
      </c>
      <c r="I2710" s="9" t="s">
        <v>353</v>
      </c>
      <c r="J2710" s="88"/>
    </row>
    <row r="2711">
      <c r="A2711" s="6" t="s">
        <v>9</v>
      </c>
      <c r="B2711" s="7" t="s">
        <v>4979</v>
      </c>
      <c r="C2711" s="91">
        <v>45371.515344444444</v>
      </c>
      <c r="D2711" s="8">
        <f t="shared" si="258"/>
        <v>45373</v>
      </c>
      <c r="E2711" s="9" t="s">
        <v>11</v>
      </c>
      <c r="F2711" s="10"/>
      <c r="G2711" s="9" t="s">
        <v>15</v>
      </c>
      <c r="H2711" s="7" t="s">
        <v>4980</v>
      </c>
      <c r="I2711" s="9" t="s">
        <v>353</v>
      </c>
      <c r="J2711" s="88"/>
    </row>
    <row r="2712">
      <c r="A2712" s="6" t="s">
        <v>9</v>
      </c>
      <c r="B2712" s="7" t="s">
        <v>4981</v>
      </c>
      <c r="C2712" s="91">
        <v>45390.608602962966</v>
      </c>
      <c r="D2712" s="8">
        <f t="shared" si="258"/>
        <v>45392</v>
      </c>
      <c r="E2712" s="9" t="s">
        <v>11</v>
      </c>
      <c r="F2712" s="10"/>
      <c r="G2712" s="9" t="s">
        <v>15</v>
      </c>
      <c r="H2712" s="7" t="s">
        <v>4978</v>
      </c>
      <c r="I2712" s="9" t="s">
        <v>353</v>
      </c>
      <c r="J2712" s="88"/>
    </row>
    <row r="2713">
      <c r="A2713" s="20" t="s">
        <v>98</v>
      </c>
      <c r="B2713" s="9" t="s">
        <v>4982</v>
      </c>
      <c r="C2713" s="91">
        <v>45313.4981550463</v>
      </c>
      <c r="D2713" s="8">
        <f t="shared" si="258"/>
        <v>45315</v>
      </c>
      <c r="E2713" s="9" t="s">
        <v>88</v>
      </c>
      <c r="F2713" s="10"/>
      <c r="G2713" s="9" t="s">
        <v>21</v>
      </c>
      <c r="H2713" s="7" t="s">
        <v>4983</v>
      </c>
      <c r="I2713" s="9" t="s">
        <v>353</v>
      </c>
      <c r="J2713" s="88"/>
    </row>
    <row r="2714">
      <c r="A2714" s="54" t="s">
        <v>4009</v>
      </c>
      <c r="B2714" s="7" t="s">
        <v>4984</v>
      </c>
      <c r="C2714" s="91">
        <v>45377.38581369213</v>
      </c>
      <c r="D2714" s="8">
        <f t="shared" si="258"/>
        <v>45379</v>
      </c>
      <c r="E2714" s="9" t="s">
        <v>88</v>
      </c>
      <c r="F2714" s="10"/>
      <c r="G2714" s="9"/>
      <c r="H2714" s="7" t="s">
        <v>4985</v>
      </c>
      <c r="I2714" s="9" t="s">
        <v>353</v>
      </c>
      <c r="J2714" s="88"/>
    </row>
    <row r="2715">
      <c r="A2715" s="34" t="s">
        <v>204</v>
      </c>
      <c r="B2715" s="7" t="s">
        <v>4986</v>
      </c>
      <c r="C2715" s="91">
        <v>45384.71807364583</v>
      </c>
      <c r="D2715" s="8">
        <f t="shared" si="258"/>
        <v>45386</v>
      </c>
      <c r="E2715" s="9" t="s">
        <v>11</v>
      </c>
      <c r="F2715" s="10"/>
      <c r="G2715" s="9" t="s">
        <v>18</v>
      </c>
      <c r="H2715" s="7" t="s">
        <v>4987</v>
      </c>
      <c r="I2715" s="9" t="s">
        <v>353</v>
      </c>
      <c r="J2715" s="88"/>
    </row>
    <row r="2716">
      <c r="A2716" s="54" t="s">
        <v>4009</v>
      </c>
      <c r="B2716" s="7" t="s">
        <v>4988</v>
      </c>
      <c r="C2716" s="91">
        <v>45386.4655396875</v>
      </c>
      <c r="D2716" s="8">
        <f t="shared" si="258"/>
        <v>45390</v>
      </c>
      <c r="E2716" s="9" t="s">
        <v>11</v>
      </c>
      <c r="F2716" s="10"/>
      <c r="G2716" s="9"/>
      <c r="H2716" s="7" t="s">
        <v>4989</v>
      </c>
      <c r="I2716" s="9" t="s">
        <v>353</v>
      </c>
      <c r="J2716" s="88"/>
    </row>
    <row r="2717">
      <c r="A2717" s="54" t="s">
        <v>4009</v>
      </c>
      <c r="B2717" s="7" t="s">
        <v>4990</v>
      </c>
      <c r="C2717" s="91">
        <v>45386.4324208912</v>
      </c>
      <c r="D2717" s="8">
        <f t="shared" si="258"/>
        <v>45390</v>
      </c>
      <c r="E2717" s="9" t="s">
        <v>11</v>
      </c>
      <c r="F2717" s="10"/>
      <c r="G2717" s="9"/>
      <c r="H2717" s="7" t="s">
        <v>4991</v>
      </c>
      <c r="I2717" s="9" t="s">
        <v>353</v>
      </c>
      <c r="J2717" s="88"/>
    </row>
    <row r="2718">
      <c r="A2718" s="20" t="s">
        <v>98</v>
      </c>
      <c r="B2718" s="9" t="s">
        <v>4992</v>
      </c>
      <c r="C2718" s="91">
        <v>45379.805540914356</v>
      </c>
      <c r="D2718" s="8"/>
      <c r="E2718" s="9" t="s">
        <v>206</v>
      </c>
      <c r="F2718" s="10"/>
      <c r="G2718" s="9" t="s">
        <v>15</v>
      </c>
      <c r="H2718" s="7" t="s">
        <v>4993</v>
      </c>
      <c r="I2718" s="9" t="s">
        <v>353</v>
      </c>
      <c r="J2718" s="88"/>
    </row>
    <row r="2719">
      <c r="A2719" s="6" t="s">
        <v>9</v>
      </c>
      <c r="B2719" s="7" t="s">
        <v>4994</v>
      </c>
      <c r="C2719" s="91">
        <v>45390.417141666665</v>
      </c>
      <c r="D2719" s="8">
        <f t="shared" ref="D2719:D2721" si="259">IFERROR(_xlfn.WORKDAY.INTL(C2719, 2),"-")</f>
        <v>45392</v>
      </c>
      <c r="E2719" s="9" t="s">
        <v>11</v>
      </c>
      <c r="F2719" s="10"/>
      <c r="G2719" s="9" t="s">
        <v>18</v>
      </c>
      <c r="H2719" s="11"/>
      <c r="I2719" s="9" t="s">
        <v>353</v>
      </c>
      <c r="J2719" s="88"/>
    </row>
    <row r="2720">
      <c r="A2720" s="34" t="s">
        <v>204</v>
      </c>
      <c r="B2720" s="7" t="s">
        <v>4995</v>
      </c>
      <c r="C2720" s="91">
        <v>45289.474569375</v>
      </c>
      <c r="D2720" s="8">
        <f t="shared" si="259"/>
        <v>45293</v>
      </c>
      <c r="E2720" s="9" t="s">
        <v>11</v>
      </c>
      <c r="F2720" s="10"/>
      <c r="G2720" s="9" t="s">
        <v>15</v>
      </c>
      <c r="H2720" s="7" t="s">
        <v>4996</v>
      </c>
      <c r="I2720" s="9" t="s">
        <v>353</v>
      </c>
      <c r="J2720" s="88"/>
    </row>
    <row r="2721">
      <c r="A2721" s="6" t="s">
        <v>9</v>
      </c>
      <c r="B2721" s="7" t="s">
        <v>4997</v>
      </c>
      <c r="C2721" s="91">
        <v>45376.716948877314</v>
      </c>
      <c r="D2721" s="8">
        <f t="shared" si="259"/>
        <v>45378</v>
      </c>
      <c r="E2721" s="9" t="s">
        <v>11</v>
      </c>
      <c r="F2721" s="10"/>
      <c r="G2721" s="9" t="s">
        <v>18</v>
      </c>
      <c r="H2721" s="179" t="s">
        <v>4998</v>
      </c>
      <c r="I2721" s="9" t="s">
        <v>353</v>
      </c>
      <c r="J2721" s="88"/>
    </row>
    <row r="2722">
      <c r="A2722" s="42"/>
      <c r="B2722" s="158" t="s">
        <v>4444</v>
      </c>
      <c r="C2722" s="91">
        <v>45379.487989733796</v>
      </c>
      <c r="D2722" s="8"/>
      <c r="E2722" s="9" t="s">
        <v>1097</v>
      </c>
      <c r="F2722" s="10"/>
      <c r="G2722" s="9" t="s">
        <v>15</v>
      </c>
      <c r="H2722" s="158" t="s">
        <v>4999</v>
      </c>
      <c r="I2722" s="9" t="s">
        <v>353</v>
      </c>
      <c r="J2722" s="88"/>
    </row>
    <row r="2723">
      <c r="A2723" s="42"/>
      <c r="B2723" s="158" t="s">
        <v>4479</v>
      </c>
      <c r="C2723" s="91">
        <v>45379.4878990162</v>
      </c>
      <c r="D2723" s="8"/>
      <c r="E2723" s="9" t="s">
        <v>1097</v>
      </c>
      <c r="F2723" s="10"/>
      <c r="G2723" s="9" t="s">
        <v>15</v>
      </c>
      <c r="H2723" s="158" t="s">
        <v>4999</v>
      </c>
      <c r="I2723" s="9" t="s">
        <v>353</v>
      </c>
      <c r="J2723" s="88"/>
    </row>
    <row r="2724">
      <c r="A2724" s="42"/>
      <c r="B2724" s="158" t="s">
        <v>4436</v>
      </c>
      <c r="C2724" s="91">
        <v>45379.48782890046</v>
      </c>
      <c r="D2724" s="8"/>
      <c r="E2724" s="9" t="s">
        <v>1097</v>
      </c>
      <c r="F2724" s="10"/>
      <c r="G2724" s="9" t="s">
        <v>15</v>
      </c>
      <c r="H2724" s="158" t="s">
        <v>4999</v>
      </c>
      <c r="I2724" s="9" t="s">
        <v>353</v>
      </c>
      <c r="J2724" s="88"/>
    </row>
    <row r="2725">
      <c r="A2725" s="42"/>
      <c r="B2725" s="158" t="s">
        <v>4445</v>
      </c>
      <c r="C2725" s="91">
        <v>45379.48775540509</v>
      </c>
      <c r="D2725" s="8"/>
      <c r="E2725" s="9" t="s">
        <v>1097</v>
      </c>
      <c r="F2725" s="10"/>
      <c r="G2725" s="9" t="s">
        <v>15</v>
      </c>
      <c r="H2725" s="158" t="s">
        <v>4999</v>
      </c>
      <c r="I2725" s="9" t="s">
        <v>353</v>
      </c>
      <c r="J2725" s="88"/>
    </row>
    <row r="2726">
      <c r="A2726" s="6" t="s">
        <v>9</v>
      </c>
      <c r="B2726" s="7" t="s">
        <v>5000</v>
      </c>
      <c r="C2726" s="91">
        <v>45387.40208690972</v>
      </c>
      <c r="D2726" s="8">
        <f t="shared" ref="D2726:D2729" si="260">IFERROR(_xlfn.WORKDAY.INTL(C2726, 2),"-")</f>
        <v>45391</v>
      </c>
      <c r="E2726" s="9" t="s">
        <v>11</v>
      </c>
      <c r="F2726" s="10"/>
      <c r="G2726" s="9" t="s">
        <v>18</v>
      </c>
      <c r="H2726" s="11"/>
      <c r="I2726" s="9" t="s">
        <v>353</v>
      </c>
      <c r="J2726" s="88"/>
    </row>
    <row r="2727">
      <c r="A2727" s="42" t="s">
        <v>206</v>
      </c>
      <c r="B2727" s="7" t="s">
        <v>4430</v>
      </c>
      <c r="C2727" s="91">
        <v>45379.474757986114</v>
      </c>
      <c r="D2727" s="8">
        <f t="shared" si="260"/>
        <v>45383</v>
      </c>
      <c r="E2727" s="9" t="s">
        <v>1097</v>
      </c>
      <c r="F2727" s="10"/>
      <c r="G2727" s="9" t="s">
        <v>18</v>
      </c>
      <c r="H2727" s="158" t="s">
        <v>5001</v>
      </c>
      <c r="I2727" s="9" t="s">
        <v>353</v>
      </c>
      <c r="J2727" s="88"/>
    </row>
    <row r="2728">
      <c r="A2728" s="42" t="s">
        <v>206</v>
      </c>
      <c r="B2728" s="7" t="s">
        <v>4471</v>
      </c>
      <c r="C2728" s="91">
        <v>45379.47496636574</v>
      </c>
      <c r="D2728" s="8">
        <f t="shared" si="260"/>
        <v>45383</v>
      </c>
      <c r="E2728" s="9" t="s">
        <v>1097</v>
      </c>
      <c r="F2728" s="10"/>
      <c r="G2728" s="9" t="s">
        <v>18</v>
      </c>
      <c r="H2728" s="158" t="s">
        <v>5002</v>
      </c>
      <c r="I2728" s="9" t="s">
        <v>353</v>
      </c>
      <c r="J2728" s="88"/>
    </row>
    <row r="2729">
      <c r="A2729" s="42" t="s">
        <v>206</v>
      </c>
      <c r="B2729" s="7" t="s">
        <v>4474</v>
      </c>
      <c r="C2729" s="91">
        <v>45379.474896458334</v>
      </c>
      <c r="D2729" s="8">
        <f t="shared" si="260"/>
        <v>45383</v>
      </c>
      <c r="E2729" s="9" t="s">
        <v>1097</v>
      </c>
      <c r="F2729" s="10"/>
      <c r="G2729" s="9" t="s">
        <v>18</v>
      </c>
      <c r="H2729" s="158" t="s">
        <v>5003</v>
      </c>
      <c r="I2729" s="9" t="s">
        <v>353</v>
      </c>
      <c r="J2729" s="88"/>
    </row>
    <row r="2730">
      <c r="A2730" s="88"/>
      <c r="B2730" s="89"/>
      <c r="C2730" s="90"/>
      <c r="D2730" s="89"/>
      <c r="E2730" s="89"/>
      <c r="F2730" s="89"/>
      <c r="G2730" s="89"/>
      <c r="H2730" s="87"/>
      <c r="I2730" s="89"/>
      <c r="J2730" s="88"/>
    </row>
    <row r="2731">
      <c r="A2731" s="88"/>
      <c r="B2731" s="89"/>
      <c r="C2731" s="90"/>
      <c r="D2731" s="89"/>
      <c r="E2731" s="89"/>
      <c r="F2731" s="89"/>
      <c r="G2731" s="89"/>
      <c r="H2731" s="87"/>
      <c r="I2731" s="89"/>
      <c r="J2731" s="88"/>
    </row>
    <row r="2732">
      <c r="A2732" s="42" t="s">
        <v>206</v>
      </c>
      <c r="B2732" s="7" t="s">
        <v>4437</v>
      </c>
      <c r="C2732" s="91">
        <v>45379.47461980324</v>
      </c>
      <c r="D2732" s="8">
        <f t="shared" ref="D2732:D2742" si="261">IFERROR(_xlfn.WORKDAY.INTL(C2732, 2),"-")</f>
        <v>45383</v>
      </c>
      <c r="E2732" s="9" t="s">
        <v>1097</v>
      </c>
      <c r="F2732" s="10"/>
      <c r="G2732" s="9" t="s">
        <v>18</v>
      </c>
      <c r="H2732" s="158" t="s">
        <v>5004</v>
      </c>
      <c r="I2732" s="9" t="s">
        <v>353</v>
      </c>
      <c r="J2732" s="88"/>
    </row>
    <row r="2733">
      <c r="A2733" s="42" t="s">
        <v>206</v>
      </c>
      <c r="B2733" s="7" t="s">
        <v>4440</v>
      </c>
      <c r="C2733" s="91">
        <v>45379.474512291665</v>
      </c>
      <c r="D2733" s="8">
        <f t="shared" si="261"/>
        <v>45383</v>
      </c>
      <c r="E2733" s="9" t="s">
        <v>1097</v>
      </c>
      <c r="F2733" s="10"/>
      <c r="G2733" s="9" t="s">
        <v>18</v>
      </c>
      <c r="H2733" s="158" t="s">
        <v>5005</v>
      </c>
      <c r="I2733" s="9" t="s">
        <v>353</v>
      </c>
      <c r="J2733" s="88"/>
    </row>
    <row r="2734">
      <c r="A2734" s="42" t="s">
        <v>206</v>
      </c>
      <c r="B2734" s="7" t="s">
        <v>4442</v>
      </c>
      <c r="C2734" s="91">
        <v>45379.47446341436</v>
      </c>
      <c r="D2734" s="8">
        <f t="shared" si="261"/>
        <v>45383</v>
      </c>
      <c r="E2734" s="9" t="s">
        <v>1097</v>
      </c>
      <c r="F2734" s="10"/>
      <c r="G2734" s="9" t="s">
        <v>18</v>
      </c>
      <c r="H2734" s="158" t="s">
        <v>5006</v>
      </c>
      <c r="I2734" s="9" t="s">
        <v>353</v>
      </c>
      <c r="J2734" s="88"/>
    </row>
    <row r="2735">
      <c r="A2735" s="20" t="s">
        <v>98</v>
      </c>
      <c r="B2735" s="9" t="s">
        <v>5007</v>
      </c>
      <c r="C2735" s="91">
        <v>45355.71744998843</v>
      </c>
      <c r="D2735" s="8">
        <f t="shared" si="261"/>
        <v>45357</v>
      </c>
      <c r="E2735" s="9" t="s">
        <v>88</v>
      </c>
      <c r="F2735" s="10"/>
      <c r="G2735" s="9" t="s">
        <v>15</v>
      </c>
      <c r="H2735" s="7" t="s">
        <v>5008</v>
      </c>
      <c r="I2735" s="9" t="s">
        <v>353</v>
      </c>
      <c r="J2735" s="88"/>
    </row>
    <row r="2736">
      <c r="A2736" s="20" t="s">
        <v>98</v>
      </c>
      <c r="B2736" s="7" t="s">
        <v>5009</v>
      </c>
      <c r="C2736" s="91">
        <v>45226.44539238426</v>
      </c>
      <c r="D2736" s="8">
        <f t="shared" si="261"/>
        <v>45230</v>
      </c>
      <c r="E2736" s="9" t="s">
        <v>88</v>
      </c>
      <c r="F2736" s="10"/>
      <c r="G2736" s="9" t="s">
        <v>15</v>
      </c>
      <c r="H2736" s="7" t="s">
        <v>5010</v>
      </c>
      <c r="I2736" s="9" t="s">
        <v>353</v>
      </c>
      <c r="J2736" s="88"/>
    </row>
    <row r="2737">
      <c r="A2737" s="34" t="s">
        <v>204</v>
      </c>
      <c r="B2737" s="7" t="s">
        <v>5011</v>
      </c>
      <c r="C2737" s="91">
        <v>45376.77232736111</v>
      </c>
      <c r="D2737" s="8">
        <f t="shared" si="261"/>
        <v>45378</v>
      </c>
      <c r="E2737" s="9" t="s">
        <v>11</v>
      </c>
      <c r="F2737" s="8">
        <v>45385.0</v>
      </c>
      <c r="G2737" s="9" t="s">
        <v>18</v>
      </c>
      <c r="H2737" s="7" t="s">
        <v>5012</v>
      </c>
      <c r="I2737" s="9" t="s">
        <v>353</v>
      </c>
      <c r="J2737" s="88"/>
    </row>
    <row r="2738">
      <c r="A2738" s="6" t="s">
        <v>9</v>
      </c>
      <c r="B2738" s="7" t="s">
        <v>5013</v>
      </c>
      <c r="C2738" s="91">
        <v>45384.75930792824</v>
      </c>
      <c r="D2738" s="8">
        <f t="shared" si="261"/>
        <v>45386</v>
      </c>
      <c r="E2738" s="9" t="s">
        <v>11</v>
      </c>
      <c r="F2738" s="10"/>
      <c r="G2738" s="9" t="s">
        <v>15</v>
      </c>
      <c r="H2738" s="7" t="s">
        <v>5014</v>
      </c>
      <c r="I2738" s="9" t="s">
        <v>353</v>
      </c>
      <c r="J2738" s="88"/>
    </row>
    <row r="2739">
      <c r="A2739" s="6" t="s">
        <v>9</v>
      </c>
      <c r="B2739" s="7" t="s">
        <v>5015</v>
      </c>
      <c r="C2739" s="91">
        <v>45385.71946496528</v>
      </c>
      <c r="D2739" s="8">
        <f t="shared" si="261"/>
        <v>45387</v>
      </c>
      <c r="E2739" s="9" t="s">
        <v>11</v>
      </c>
      <c r="F2739" s="10"/>
      <c r="G2739" s="9" t="s">
        <v>15</v>
      </c>
      <c r="H2739" s="7" t="s">
        <v>5016</v>
      </c>
      <c r="I2739" s="9" t="s">
        <v>353</v>
      </c>
      <c r="J2739" s="88"/>
    </row>
    <row r="2740">
      <c r="A2740" s="20" t="s">
        <v>98</v>
      </c>
      <c r="B2740" s="9" t="s">
        <v>5017</v>
      </c>
      <c r="C2740" s="91">
        <v>45378.674097627314</v>
      </c>
      <c r="D2740" s="8">
        <f t="shared" si="261"/>
        <v>45380</v>
      </c>
      <c r="E2740" s="9" t="s">
        <v>88</v>
      </c>
      <c r="F2740" s="10"/>
      <c r="G2740" s="9" t="s">
        <v>18</v>
      </c>
      <c r="H2740" s="7" t="s">
        <v>5018</v>
      </c>
      <c r="I2740" s="9" t="s">
        <v>353</v>
      </c>
      <c r="J2740" s="88"/>
    </row>
    <row r="2741">
      <c r="A2741" s="54" t="s">
        <v>4009</v>
      </c>
      <c r="B2741" s="7" t="s">
        <v>5019</v>
      </c>
      <c r="C2741" s="91">
        <v>45187.553881631946</v>
      </c>
      <c r="D2741" s="8">
        <f t="shared" si="261"/>
        <v>45189</v>
      </c>
      <c r="E2741" s="9" t="s">
        <v>206</v>
      </c>
      <c r="F2741" s="9" t="s">
        <v>11</v>
      </c>
      <c r="G2741" s="9" t="s">
        <v>15</v>
      </c>
      <c r="H2741" s="7" t="s">
        <v>5020</v>
      </c>
      <c r="I2741" s="9" t="s">
        <v>353</v>
      </c>
      <c r="J2741" s="88"/>
    </row>
    <row r="2742">
      <c r="A2742" s="42" t="s">
        <v>206</v>
      </c>
      <c r="B2742" s="7" t="s">
        <v>4439</v>
      </c>
      <c r="C2742" s="91">
        <v>45379.47453111111</v>
      </c>
      <c r="D2742" s="8">
        <f t="shared" si="261"/>
        <v>45383</v>
      </c>
      <c r="E2742" s="9" t="s">
        <v>1097</v>
      </c>
      <c r="F2742" s="10"/>
      <c r="G2742" s="9" t="s">
        <v>18</v>
      </c>
      <c r="H2742" s="158" t="s">
        <v>5004</v>
      </c>
      <c r="I2742" s="9" t="s">
        <v>353</v>
      </c>
      <c r="J2742" s="88"/>
    </row>
    <row r="2743">
      <c r="A2743" s="88"/>
      <c r="B2743" s="89"/>
      <c r="C2743" s="90"/>
      <c r="D2743" s="89"/>
      <c r="E2743" s="89"/>
      <c r="F2743" s="89"/>
      <c r="G2743" s="89"/>
      <c r="H2743" s="87"/>
      <c r="I2743" s="89"/>
      <c r="J2743" s="88"/>
    </row>
    <row r="2744">
      <c r="A2744" s="42" t="s">
        <v>206</v>
      </c>
      <c r="B2744" s="7" t="s">
        <v>4477</v>
      </c>
      <c r="C2744" s="91">
        <v>45379.474853368054</v>
      </c>
      <c r="D2744" s="8">
        <f>IFERROR(_xlfn.WORKDAY.INTL(C2744, 2),"-")</f>
        <v>45383</v>
      </c>
      <c r="E2744" s="9" t="s">
        <v>1097</v>
      </c>
      <c r="F2744" s="10"/>
      <c r="G2744" s="9" t="s">
        <v>18</v>
      </c>
      <c r="H2744" s="158" t="s">
        <v>5021</v>
      </c>
      <c r="I2744" s="9" t="s">
        <v>353</v>
      </c>
      <c r="J2744" s="88"/>
    </row>
    <row r="2745">
      <c r="A2745" s="88"/>
      <c r="B2745" s="89"/>
      <c r="C2745" s="90"/>
      <c r="D2745" s="89"/>
      <c r="E2745" s="89"/>
      <c r="F2745" s="89"/>
      <c r="G2745" s="89"/>
      <c r="H2745" s="87"/>
      <c r="I2745" s="89"/>
      <c r="J2745" s="88"/>
    </row>
    <row r="2746">
      <c r="A2746" s="88"/>
      <c r="B2746" s="89"/>
      <c r="C2746" s="90"/>
      <c r="D2746" s="89"/>
      <c r="E2746" s="89"/>
      <c r="F2746" s="89"/>
      <c r="G2746" s="89"/>
      <c r="H2746" s="87"/>
      <c r="I2746" s="89"/>
      <c r="J2746" s="88"/>
    </row>
    <row r="2747">
      <c r="A2747" s="88"/>
      <c r="B2747" s="89"/>
      <c r="C2747" s="90"/>
      <c r="D2747" s="89"/>
      <c r="E2747" s="89"/>
      <c r="F2747" s="89"/>
      <c r="G2747" s="89"/>
      <c r="H2747" s="87"/>
      <c r="I2747" s="89"/>
      <c r="J2747" s="88"/>
    </row>
    <row r="2748">
      <c r="A2748" s="42" t="s">
        <v>206</v>
      </c>
      <c r="B2748" s="7" t="s">
        <v>4478</v>
      </c>
      <c r="C2748" s="91">
        <v>45379.47464983797</v>
      </c>
      <c r="D2748" s="8">
        <f>IFERROR(_xlfn.WORKDAY.INTL(C2748, 2),"-")</f>
        <v>45383</v>
      </c>
      <c r="E2748" s="9" t="s">
        <v>1097</v>
      </c>
      <c r="F2748" s="10"/>
      <c r="G2748" s="9" t="s">
        <v>18</v>
      </c>
      <c r="H2748" s="158" t="s">
        <v>5022</v>
      </c>
      <c r="I2748" s="9" t="s">
        <v>353</v>
      </c>
      <c r="J2748" s="88"/>
    </row>
    <row r="2749">
      <c r="A2749" s="88"/>
      <c r="B2749" s="89"/>
      <c r="C2749" s="90"/>
      <c r="D2749" s="89"/>
      <c r="E2749" s="89"/>
      <c r="F2749" s="89"/>
      <c r="G2749" s="89"/>
      <c r="H2749" s="87"/>
      <c r="I2749" s="89"/>
      <c r="J2749" s="88"/>
    </row>
    <row r="2750">
      <c r="A2750" s="42" t="s">
        <v>206</v>
      </c>
      <c r="B2750" s="7" t="s">
        <v>4441</v>
      </c>
      <c r="C2750" s="91">
        <v>45379.47449331019</v>
      </c>
      <c r="D2750" s="8">
        <f t="shared" ref="D2750:D2932" si="262">IFERROR(_xlfn.WORKDAY.INTL(C2750, 2),"-")</f>
        <v>45383</v>
      </c>
      <c r="E2750" s="9" t="s">
        <v>1097</v>
      </c>
      <c r="F2750" s="10"/>
      <c r="G2750" s="9" t="s">
        <v>18</v>
      </c>
      <c r="H2750" s="158" t="s">
        <v>5023</v>
      </c>
      <c r="I2750" s="9" t="s">
        <v>353</v>
      </c>
      <c r="J2750" s="88"/>
    </row>
    <row r="2751">
      <c r="A2751" s="42" t="s">
        <v>206</v>
      </c>
      <c r="B2751" s="7" t="s">
        <v>4443</v>
      </c>
      <c r="C2751" s="91">
        <v>45379.47437318287</v>
      </c>
      <c r="D2751" s="8">
        <f t="shared" si="262"/>
        <v>45383</v>
      </c>
      <c r="E2751" s="9" t="s">
        <v>1097</v>
      </c>
      <c r="F2751" s="10"/>
      <c r="G2751" s="9" t="s">
        <v>18</v>
      </c>
      <c r="H2751" s="158" t="s">
        <v>5006</v>
      </c>
      <c r="I2751" s="9" t="s">
        <v>353</v>
      </c>
      <c r="J2751" s="88"/>
    </row>
    <row r="2752">
      <c r="A2752" s="34" t="s">
        <v>204</v>
      </c>
      <c r="B2752" s="7" t="s">
        <v>5024</v>
      </c>
      <c r="C2752" s="91">
        <v>45378.77176412037</v>
      </c>
      <c r="D2752" s="8">
        <f t="shared" si="262"/>
        <v>45380</v>
      </c>
      <c r="E2752" s="9" t="s">
        <v>11</v>
      </c>
      <c r="F2752" s="9" t="s">
        <v>11</v>
      </c>
      <c r="G2752" s="9" t="s">
        <v>15</v>
      </c>
      <c r="H2752" s="7" t="s">
        <v>5025</v>
      </c>
      <c r="I2752" s="9" t="s">
        <v>353</v>
      </c>
      <c r="J2752" s="88"/>
    </row>
    <row r="2753">
      <c r="A2753" s="20" t="s">
        <v>98</v>
      </c>
      <c r="B2753" s="9" t="s">
        <v>5026</v>
      </c>
      <c r="C2753" s="91">
        <v>45385.698428483796</v>
      </c>
      <c r="D2753" s="8">
        <f t="shared" si="262"/>
        <v>45387</v>
      </c>
      <c r="E2753" s="9" t="s">
        <v>11</v>
      </c>
      <c r="F2753" s="10"/>
      <c r="G2753" s="9" t="s">
        <v>18</v>
      </c>
      <c r="H2753" s="7" t="s">
        <v>5027</v>
      </c>
      <c r="I2753" s="9" t="s">
        <v>353</v>
      </c>
      <c r="J2753" s="88"/>
    </row>
    <row r="2754">
      <c r="A2754" s="20" t="s">
        <v>98</v>
      </c>
      <c r="B2754" s="9" t="s">
        <v>5028</v>
      </c>
      <c r="C2754" s="91">
        <v>45225.791885115745</v>
      </c>
      <c r="D2754" s="8">
        <f t="shared" si="262"/>
        <v>45229</v>
      </c>
      <c r="E2754" s="9" t="s">
        <v>88</v>
      </c>
      <c r="F2754" s="10"/>
      <c r="G2754" s="9" t="s">
        <v>18</v>
      </c>
      <c r="H2754" s="22" t="s">
        <v>5029</v>
      </c>
      <c r="I2754" s="9" t="s">
        <v>353</v>
      </c>
      <c r="J2754" s="88"/>
    </row>
    <row r="2755">
      <c r="A2755" s="20" t="s">
        <v>98</v>
      </c>
      <c r="B2755" s="9" t="s">
        <v>5030</v>
      </c>
      <c r="C2755" s="91">
        <v>45225.79172951389</v>
      </c>
      <c r="D2755" s="8">
        <f t="shared" si="262"/>
        <v>45229</v>
      </c>
      <c r="E2755" s="9" t="s">
        <v>88</v>
      </c>
      <c r="F2755" s="10"/>
      <c r="G2755" s="9" t="s">
        <v>18</v>
      </c>
      <c r="H2755" s="7" t="s">
        <v>5031</v>
      </c>
      <c r="I2755" s="9" t="s">
        <v>353</v>
      </c>
      <c r="J2755" s="88"/>
    </row>
    <row r="2756">
      <c r="A2756" s="20" t="s">
        <v>98</v>
      </c>
      <c r="B2756" s="9" t="s">
        <v>5032</v>
      </c>
      <c r="C2756" s="91">
        <v>45377.33122122685</v>
      </c>
      <c r="D2756" s="8">
        <f t="shared" si="262"/>
        <v>45379</v>
      </c>
      <c r="E2756" s="9" t="s">
        <v>11</v>
      </c>
      <c r="F2756" s="10"/>
      <c r="G2756" s="9" t="s">
        <v>18</v>
      </c>
      <c r="H2756" s="7" t="s">
        <v>5033</v>
      </c>
      <c r="I2756" s="9" t="s">
        <v>353</v>
      </c>
      <c r="J2756" s="88"/>
    </row>
    <row r="2757">
      <c r="A2757" s="20" t="s">
        <v>98</v>
      </c>
      <c r="B2757" s="9" t="s">
        <v>5034</v>
      </c>
      <c r="C2757" s="91">
        <v>45384.59702540509</v>
      </c>
      <c r="D2757" s="8">
        <f t="shared" si="262"/>
        <v>45386</v>
      </c>
      <c r="E2757" s="9" t="s">
        <v>206</v>
      </c>
      <c r="F2757" s="10"/>
      <c r="G2757" s="9" t="s">
        <v>15</v>
      </c>
      <c r="H2757" s="7" t="s">
        <v>5035</v>
      </c>
      <c r="I2757" s="9" t="s">
        <v>353</v>
      </c>
      <c r="J2757" s="88"/>
    </row>
    <row r="2758">
      <c r="A2758" s="20" t="s">
        <v>98</v>
      </c>
      <c r="B2758" s="9" t="s">
        <v>5036</v>
      </c>
      <c r="C2758" s="91">
        <v>45384.59702719907</v>
      </c>
      <c r="D2758" s="8">
        <f t="shared" si="262"/>
        <v>45386</v>
      </c>
      <c r="E2758" s="9" t="s">
        <v>206</v>
      </c>
      <c r="F2758" s="10"/>
      <c r="G2758" s="9" t="s">
        <v>15</v>
      </c>
      <c r="H2758" s="7" t="s">
        <v>5035</v>
      </c>
      <c r="I2758" s="9" t="s">
        <v>353</v>
      </c>
      <c r="J2758" s="88"/>
    </row>
    <row r="2759">
      <c r="A2759" s="20" t="s">
        <v>98</v>
      </c>
      <c r="B2759" s="9" t="s">
        <v>5037</v>
      </c>
      <c r="C2759" s="91">
        <v>45384.59691665509</v>
      </c>
      <c r="D2759" s="8">
        <f t="shared" si="262"/>
        <v>45386</v>
      </c>
      <c r="E2759" s="9" t="s">
        <v>206</v>
      </c>
      <c r="F2759" s="10"/>
      <c r="G2759" s="9" t="s">
        <v>15</v>
      </c>
      <c r="H2759" s="7" t="s">
        <v>5035</v>
      </c>
      <c r="I2759" s="9" t="s">
        <v>353</v>
      </c>
      <c r="J2759" s="88"/>
    </row>
    <row r="2760">
      <c r="A2760" s="20" t="s">
        <v>98</v>
      </c>
      <c r="B2760" s="9" t="s">
        <v>5038</v>
      </c>
      <c r="C2760" s="91">
        <v>45384.59687865741</v>
      </c>
      <c r="D2760" s="8">
        <f t="shared" si="262"/>
        <v>45386</v>
      </c>
      <c r="E2760" s="9" t="s">
        <v>206</v>
      </c>
      <c r="F2760" s="10"/>
      <c r="G2760" s="9" t="s">
        <v>15</v>
      </c>
      <c r="H2760" s="7" t="s">
        <v>5035</v>
      </c>
      <c r="I2760" s="9" t="s">
        <v>353</v>
      </c>
      <c r="J2760" s="88"/>
    </row>
    <row r="2761">
      <c r="A2761" s="20" t="s">
        <v>98</v>
      </c>
      <c r="B2761" s="9" t="s">
        <v>5039</v>
      </c>
      <c r="C2761" s="91">
        <v>45384.596832407406</v>
      </c>
      <c r="D2761" s="8">
        <f t="shared" si="262"/>
        <v>45386</v>
      </c>
      <c r="E2761" s="9" t="s">
        <v>206</v>
      </c>
      <c r="F2761" s="10"/>
      <c r="G2761" s="9" t="s">
        <v>15</v>
      </c>
      <c r="H2761" s="7" t="s">
        <v>5035</v>
      </c>
      <c r="I2761" s="9" t="s">
        <v>353</v>
      </c>
      <c r="J2761" s="88"/>
    </row>
    <row r="2762">
      <c r="A2762" s="20" t="s">
        <v>98</v>
      </c>
      <c r="B2762" s="9" t="s">
        <v>5040</v>
      </c>
      <c r="C2762" s="91">
        <v>45384.59679002315</v>
      </c>
      <c r="D2762" s="8">
        <f t="shared" si="262"/>
        <v>45386</v>
      </c>
      <c r="E2762" s="9" t="s">
        <v>206</v>
      </c>
      <c r="F2762" s="10"/>
      <c r="G2762" s="9" t="s">
        <v>15</v>
      </c>
      <c r="H2762" s="7" t="s">
        <v>5035</v>
      </c>
      <c r="I2762" s="9" t="s">
        <v>353</v>
      </c>
      <c r="J2762" s="88"/>
    </row>
    <row r="2763">
      <c r="A2763" s="20" t="s">
        <v>98</v>
      </c>
      <c r="B2763" s="9" t="s">
        <v>5041</v>
      </c>
      <c r="C2763" s="91">
        <v>45384.59675341436</v>
      </c>
      <c r="D2763" s="8">
        <f t="shared" si="262"/>
        <v>45386</v>
      </c>
      <c r="E2763" s="9" t="s">
        <v>206</v>
      </c>
      <c r="F2763" s="10"/>
      <c r="G2763" s="9" t="s">
        <v>15</v>
      </c>
      <c r="H2763" s="7" t="s">
        <v>5035</v>
      </c>
      <c r="I2763" s="9" t="s">
        <v>353</v>
      </c>
      <c r="J2763" s="88"/>
    </row>
    <row r="2764">
      <c r="A2764" s="20" t="s">
        <v>98</v>
      </c>
      <c r="B2764" s="9" t="s">
        <v>5042</v>
      </c>
      <c r="C2764" s="91">
        <v>45384.596703414354</v>
      </c>
      <c r="D2764" s="8">
        <f t="shared" si="262"/>
        <v>45386</v>
      </c>
      <c r="E2764" s="9" t="s">
        <v>206</v>
      </c>
      <c r="F2764" s="10"/>
      <c r="G2764" s="9" t="s">
        <v>15</v>
      </c>
      <c r="H2764" s="7" t="s">
        <v>5035</v>
      </c>
      <c r="I2764" s="9" t="s">
        <v>353</v>
      </c>
      <c r="J2764" s="88"/>
    </row>
    <row r="2765">
      <c r="A2765" s="34" t="s">
        <v>204</v>
      </c>
      <c r="B2765" s="7" t="s">
        <v>5043</v>
      </c>
      <c r="C2765" s="91">
        <v>45378.77128606482</v>
      </c>
      <c r="D2765" s="8">
        <f t="shared" si="262"/>
        <v>45380</v>
      </c>
      <c r="E2765" s="9" t="s">
        <v>11</v>
      </c>
      <c r="F2765" s="9" t="s">
        <v>11</v>
      </c>
      <c r="G2765" s="9" t="s">
        <v>18</v>
      </c>
      <c r="H2765" s="7" t="s">
        <v>5044</v>
      </c>
      <c r="I2765" s="9" t="s">
        <v>353</v>
      </c>
      <c r="J2765" s="88"/>
    </row>
    <row r="2766">
      <c r="A2766" s="42" t="s">
        <v>206</v>
      </c>
      <c r="B2766" s="7" t="s">
        <v>5045</v>
      </c>
      <c r="C2766" s="91">
        <v>45377.0</v>
      </c>
      <c r="D2766" s="8">
        <f t="shared" si="262"/>
        <v>45379</v>
      </c>
      <c r="E2766" s="9" t="s">
        <v>1123</v>
      </c>
      <c r="F2766" s="10"/>
      <c r="G2766" s="9" t="s">
        <v>18</v>
      </c>
      <c r="H2766" s="7" t="s">
        <v>5046</v>
      </c>
      <c r="I2766" s="9" t="s">
        <v>353</v>
      </c>
      <c r="J2766" s="88"/>
    </row>
    <row r="2767">
      <c r="A2767" s="20" t="s">
        <v>98</v>
      </c>
      <c r="B2767" s="9" t="s">
        <v>5047</v>
      </c>
      <c r="C2767" s="91">
        <v>45370.49548538194</v>
      </c>
      <c r="D2767" s="8">
        <f t="shared" si="262"/>
        <v>45372</v>
      </c>
      <c r="E2767" s="9" t="s">
        <v>11</v>
      </c>
      <c r="F2767" s="10"/>
      <c r="G2767" s="9" t="s">
        <v>15</v>
      </c>
      <c r="H2767" s="7" t="s">
        <v>5048</v>
      </c>
      <c r="I2767" s="9" t="s">
        <v>353</v>
      </c>
      <c r="J2767" s="88"/>
    </row>
    <row r="2768">
      <c r="A2768" s="34" t="s">
        <v>204</v>
      </c>
      <c r="B2768" s="7" t="s">
        <v>5049</v>
      </c>
      <c r="C2768" s="91">
        <v>45257.7498709375</v>
      </c>
      <c r="D2768" s="8">
        <f t="shared" si="262"/>
        <v>45259</v>
      </c>
      <c r="E2768" s="9" t="s">
        <v>11</v>
      </c>
      <c r="F2768" s="9" t="s">
        <v>11</v>
      </c>
      <c r="G2768" s="9" t="s">
        <v>15</v>
      </c>
      <c r="H2768" s="7" t="s">
        <v>5050</v>
      </c>
      <c r="I2768" s="9" t="s">
        <v>353</v>
      </c>
      <c r="J2768" s="88"/>
    </row>
    <row r="2769">
      <c r="A2769" s="34" t="s">
        <v>204</v>
      </c>
      <c r="B2769" s="7" t="s">
        <v>5051</v>
      </c>
      <c r="C2769" s="91">
        <v>45384.68345511574</v>
      </c>
      <c r="D2769" s="8">
        <f t="shared" si="262"/>
        <v>45386</v>
      </c>
      <c r="E2769" s="9" t="s">
        <v>11</v>
      </c>
      <c r="F2769" s="10"/>
      <c r="G2769" s="9" t="s">
        <v>18</v>
      </c>
      <c r="H2769" s="7" t="s">
        <v>5052</v>
      </c>
      <c r="I2769" s="9" t="s">
        <v>353</v>
      </c>
      <c r="J2769" s="88"/>
    </row>
    <row r="2770">
      <c r="A2770" s="34" t="s">
        <v>204</v>
      </c>
      <c r="B2770" s="7" t="s">
        <v>5053</v>
      </c>
      <c r="C2770" s="91">
        <v>45379.76962234954</v>
      </c>
      <c r="D2770" s="8">
        <f t="shared" si="262"/>
        <v>45383</v>
      </c>
      <c r="E2770" s="9" t="s">
        <v>11</v>
      </c>
      <c r="F2770" s="8">
        <v>45384.0</v>
      </c>
      <c r="G2770" s="9" t="s">
        <v>18</v>
      </c>
      <c r="H2770" s="7" t="s">
        <v>437</v>
      </c>
      <c r="I2770" s="9" t="s">
        <v>353</v>
      </c>
      <c r="J2770" s="88"/>
    </row>
    <row r="2771">
      <c r="A2771" s="20" t="s">
        <v>98</v>
      </c>
      <c r="B2771" s="9" t="s">
        <v>5054</v>
      </c>
      <c r="C2771" s="91">
        <v>45341.45642019676</v>
      </c>
      <c r="D2771" s="8">
        <f t="shared" si="262"/>
        <v>45343</v>
      </c>
      <c r="E2771" s="9" t="s">
        <v>11</v>
      </c>
      <c r="F2771" s="10"/>
      <c r="G2771" s="9" t="s">
        <v>18</v>
      </c>
      <c r="H2771" s="7" t="s">
        <v>5055</v>
      </c>
      <c r="I2771" s="9" t="s">
        <v>353</v>
      </c>
      <c r="J2771" s="88"/>
    </row>
    <row r="2772">
      <c r="A2772" s="20" t="s">
        <v>98</v>
      </c>
      <c r="B2772" s="9" t="s">
        <v>5056</v>
      </c>
      <c r="C2772" s="91">
        <v>45377.33128271991</v>
      </c>
      <c r="D2772" s="8">
        <f t="shared" si="262"/>
        <v>45379</v>
      </c>
      <c r="E2772" s="9" t="s">
        <v>11</v>
      </c>
      <c r="F2772" s="10"/>
      <c r="G2772" s="9" t="s">
        <v>15</v>
      </c>
      <c r="H2772" s="7" t="s">
        <v>5057</v>
      </c>
      <c r="I2772" s="9" t="s">
        <v>353</v>
      </c>
      <c r="J2772" s="88"/>
    </row>
    <row r="2773">
      <c r="A2773" s="20" t="s">
        <v>98</v>
      </c>
      <c r="B2773" s="9" t="s">
        <v>5058</v>
      </c>
      <c r="C2773" s="91">
        <v>45380.603168472226</v>
      </c>
      <c r="D2773" s="8">
        <f t="shared" si="262"/>
        <v>45384</v>
      </c>
      <c r="E2773" s="9" t="s">
        <v>206</v>
      </c>
      <c r="F2773" s="10"/>
      <c r="G2773" s="9" t="s">
        <v>15</v>
      </c>
      <c r="H2773" s="7" t="s">
        <v>5059</v>
      </c>
      <c r="I2773" s="9" t="s">
        <v>353</v>
      </c>
      <c r="J2773" s="88"/>
    </row>
    <row r="2774">
      <c r="A2774" s="20" t="s">
        <v>98</v>
      </c>
      <c r="B2774" s="9" t="s">
        <v>5060</v>
      </c>
      <c r="C2774" s="91">
        <v>45380.603349004625</v>
      </c>
      <c r="D2774" s="8">
        <f t="shared" si="262"/>
        <v>45384</v>
      </c>
      <c r="E2774" s="9" t="s">
        <v>206</v>
      </c>
      <c r="F2774" s="10"/>
      <c r="G2774" s="9" t="s">
        <v>15</v>
      </c>
      <c r="H2774" s="7" t="s">
        <v>5059</v>
      </c>
      <c r="I2774" s="9" t="s">
        <v>353</v>
      </c>
      <c r="J2774" s="88"/>
    </row>
    <row r="2775">
      <c r="A2775" s="20" t="s">
        <v>98</v>
      </c>
      <c r="B2775" s="9" t="s">
        <v>5061</v>
      </c>
      <c r="C2775" s="91">
        <v>45380.60331276621</v>
      </c>
      <c r="D2775" s="8">
        <f t="shared" si="262"/>
        <v>45384</v>
      </c>
      <c r="E2775" s="9" t="s">
        <v>206</v>
      </c>
      <c r="F2775" s="10"/>
      <c r="G2775" s="9" t="s">
        <v>18</v>
      </c>
      <c r="H2775" s="7" t="s">
        <v>5059</v>
      </c>
      <c r="I2775" s="9" t="s">
        <v>353</v>
      </c>
      <c r="J2775" s="88"/>
    </row>
    <row r="2776">
      <c r="A2776" s="20" t="s">
        <v>98</v>
      </c>
      <c r="B2776" s="9" t="s">
        <v>5062</v>
      </c>
      <c r="C2776" s="91">
        <v>45380.6032017824</v>
      </c>
      <c r="D2776" s="8">
        <f t="shared" si="262"/>
        <v>45384</v>
      </c>
      <c r="E2776" s="9" t="s">
        <v>206</v>
      </c>
      <c r="F2776" s="10"/>
      <c r="G2776" s="9" t="s">
        <v>15</v>
      </c>
      <c r="H2776" s="7" t="s">
        <v>5059</v>
      </c>
      <c r="I2776" s="9" t="s">
        <v>353</v>
      </c>
      <c r="J2776" s="88"/>
    </row>
    <row r="2777">
      <c r="A2777" s="20" t="s">
        <v>98</v>
      </c>
      <c r="B2777" s="9" t="s">
        <v>5063</v>
      </c>
      <c r="C2777" s="91">
        <v>45380.60326539352</v>
      </c>
      <c r="D2777" s="8">
        <f t="shared" si="262"/>
        <v>45384</v>
      </c>
      <c r="E2777" s="9" t="s">
        <v>206</v>
      </c>
      <c r="F2777" s="10"/>
      <c r="G2777" s="9" t="s">
        <v>15</v>
      </c>
      <c r="H2777" s="7" t="s">
        <v>5059</v>
      </c>
      <c r="I2777" s="9" t="s">
        <v>353</v>
      </c>
      <c r="J2777" s="88"/>
    </row>
    <row r="2778">
      <c r="A2778" s="20" t="s">
        <v>98</v>
      </c>
      <c r="B2778" s="9" t="s">
        <v>5064</v>
      </c>
      <c r="C2778" s="91">
        <v>45380.41909658565</v>
      </c>
      <c r="D2778" s="8">
        <f t="shared" si="262"/>
        <v>45384</v>
      </c>
      <c r="E2778" s="9" t="s">
        <v>206</v>
      </c>
      <c r="F2778" s="10"/>
      <c r="G2778" s="9" t="s">
        <v>15</v>
      </c>
      <c r="H2778" s="7" t="s">
        <v>5059</v>
      </c>
      <c r="I2778" s="9" t="s">
        <v>353</v>
      </c>
      <c r="J2778" s="88"/>
    </row>
    <row r="2779">
      <c r="A2779" s="20" t="s">
        <v>98</v>
      </c>
      <c r="B2779" s="9" t="s">
        <v>5065</v>
      </c>
      <c r="C2779" s="91">
        <v>45380.41907</v>
      </c>
      <c r="D2779" s="8">
        <f t="shared" si="262"/>
        <v>45384</v>
      </c>
      <c r="E2779" s="9" t="s">
        <v>206</v>
      </c>
      <c r="F2779" s="10"/>
      <c r="G2779" s="9" t="s">
        <v>15</v>
      </c>
      <c r="H2779" s="7" t="s">
        <v>5059</v>
      </c>
      <c r="I2779" s="9" t="s">
        <v>353</v>
      </c>
      <c r="J2779" s="88"/>
    </row>
    <row r="2780">
      <c r="A2780" s="20" t="s">
        <v>98</v>
      </c>
      <c r="B2780" s="9" t="s">
        <v>5066</v>
      </c>
      <c r="C2780" s="91">
        <v>45380.41900451389</v>
      </c>
      <c r="D2780" s="8">
        <f t="shared" si="262"/>
        <v>45384</v>
      </c>
      <c r="E2780" s="9" t="s">
        <v>206</v>
      </c>
      <c r="F2780" s="10"/>
      <c r="G2780" s="9" t="s">
        <v>15</v>
      </c>
      <c r="H2780" s="7" t="s">
        <v>5059</v>
      </c>
      <c r="I2780" s="9" t="s">
        <v>353</v>
      </c>
      <c r="J2780" s="88"/>
    </row>
    <row r="2781">
      <c r="A2781" s="34" t="s">
        <v>204</v>
      </c>
      <c r="B2781" s="7" t="s">
        <v>5067</v>
      </c>
      <c r="C2781" s="91">
        <v>45369.680623761575</v>
      </c>
      <c r="D2781" s="8">
        <f t="shared" si="262"/>
        <v>45371</v>
      </c>
      <c r="E2781" s="9" t="s">
        <v>11</v>
      </c>
      <c r="F2781" s="8">
        <v>45380.0</v>
      </c>
      <c r="G2781" s="9" t="s">
        <v>18</v>
      </c>
      <c r="H2781" s="7" t="s">
        <v>5068</v>
      </c>
      <c r="I2781" s="9" t="s">
        <v>353</v>
      </c>
      <c r="J2781" s="88"/>
    </row>
    <row r="2782">
      <c r="A2782" s="20" t="s">
        <v>98</v>
      </c>
      <c r="B2782" s="9" t="s">
        <v>5069</v>
      </c>
      <c r="C2782" s="91">
        <v>45380.4189574537</v>
      </c>
      <c r="D2782" s="8">
        <f t="shared" si="262"/>
        <v>45384</v>
      </c>
      <c r="E2782" s="9" t="s">
        <v>206</v>
      </c>
      <c r="F2782" s="10"/>
      <c r="G2782" s="9" t="s">
        <v>15</v>
      </c>
      <c r="H2782" s="7" t="s">
        <v>5059</v>
      </c>
      <c r="I2782" s="9" t="s">
        <v>353</v>
      </c>
      <c r="J2782" s="88"/>
    </row>
    <row r="2783">
      <c r="A2783" s="20" t="s">
        <v>98</v>
      </c>
      <c r="B2783" s="9" t="s">
        <v>5070</v>
      </c>
      <c r="C2783" s="91">
        <v>45380.41890497685</v>
      </c>
      <c r="D2783" s="8">
        <f t="shared" si="262"/>
        <v>45384</v>
      </c>
      <c r="E2783" s="9" t="s">
        <v>206</v>
      </c>
      <c r="F2783" s="10"/>
      <c r="G2783" s="9" t="s">
        <v>15</v>
      </c>
      <c r="H2783" s="7" t="s">
        <v>5059</v>
      </c>
      <c r="I2783" s="9" t="s">
        <v>353</v>
      </c>
      <c r="J2783" s="88"/>
    </row>
    <row r="2784">
      <c r="A2784" s="20" t="s">
        <v>98</v>
      </c>
      <c r="B2784" s="9" t="s">
        <v>5071</v>
      </c>
      <c r="C2784" s="91">
        <v>45380.4188559375</v>
      </c>
      <c r="D2784" s="8">
        <f t="shared" si="262"/>
        <v>45384</v>
      </c>
      <c r="E2784" s="9" t="s">
        <v>206</v>
      </c>
      <c r="F2784" s="10"/>
      <c r="G2784" s="9" t="s">
        <v>15</v>
      </c>
      <c r="H2784" s="7" t="s">
        <v>5059</v>
      </c>
      <c r="I2784" s="9" t="s">
        <v>353</v>
      </c>
      <c r="J2784" s="88"/>
    </row>
    <row r="2785">
      <c r="A2785" s="20" t="s">
        <v>98</v>
      </c>
      <c r="B2785" s="9" t="s">
        <v>5072</v>
      </c>
      <c r="C2785" s="91">
        <v>45378.72786478009</v>
      </c>
      <c r="D2785" s="8">
        <f t="shared" si="262"/>
        <v>45380</v>
      </c>
      <c r="E2785" s="9" t="s">
        <v>88</v>
      </c>
      <c r="F2785" s="10"/>
      <c r="G2785" s="9" t="s">
        <v>15</v>
      </c>
      <c r="H2785" s="7" t="s">
        <v>5059</v>
      </c>
      <c r="I2785" s="9" t="s">
        <v>353</v>
      </c>
      <c r="J2785" s="88"/>
    </row>
    <row r="2786">
      <c r="A2786" s="20" t="s">
        <v>98</v>
      </c>
      <c r="B2786" s="9" t="s">
        <v>5073</v>
      </c>
      <c r="C2786" s="91">
        <v>45378.72773728009</v>
      </c>
      <c r="D2786" s="8">
        <f t="shared" si="262"/>
        <v>45380</v>
      </c>
      <c r="E2786" s="9" t="s">
        <v>88</v>
      </c>
      <c r="F2786" s="10"/>
      <c r="G2786" s="9" t="s">
        <v>15</v>
      </c>
      <c r="H2786" s="7" t="s">
        <v>5074</v>
      </c>
      <c r="I2786" s="9" t="s">
        <v>353</v>
      </c>
      <c r="J2786" s="88"/>
    </row>
    <row r="2787">
      <c r="A2787" s="20" t="s">
        <v>98</v>
      </c>
      <c r="B2787" s="9" t="s">
        <v>5075</v>
      </c>
      <c r="C2787" s="91">
        <v>45378.72780922454</v>
      </c>
      <c r="D2787" s="8">
        <f t="shared" si="262"/>
        <v>45380</v>
      </c>
      <c r="E2787" s="9" t="s">
        <v>88</v>
      </c>
      <c r="F2787" s="10"/>
      <c r="G2787" s="9" t="s">
        <v>15</v>
      </c>
      <c r="H2787" s="7" t="s">
        <v>5059</v>
      </c>
      <c r="I2787" s="9" t="s">
        <v>353</v>
      </c>
      <c r="J2787" s="88"/>
    </row>
    <row r="2788">
      <c r="A2788" s="20" t="s">
        <v>98</v>
      </c>
      <c r="B2788" s="9" t="s">
        <v>5076</v>
      </c>
      <c r="C2788" s="91">
        <v>45378.72768621528</v>
      </c>
      <c r="D2788" s="8">
        <f t="shared" si="262"/>
        <v>45380</v>
      </c>
      <c r="E2788" s="9" t="s">
        <v>88</v>
      </c>
      <c r="F2788" s="10"/>
      <c r="G2788" s="9" t="s">
        <v>15</v>
      </c>
      <c r="H2788" s="7" t="s">
        <v>5059</v>
      </c>
      <c r="I2788" s="9" t="s">
        <v>353</v>
      </c>
      <c r="J2788" s="88"/>
    </row>
    <row r="2789">
      <c r="A2789" s="20" t="s">
        <v>98</v>
      </c>
      <c r="B2789" s="9" t="s">
        <v>5077</v>
      </c>
      <c r="C2789" s="91">
        <v>45378.72763122685</v>
      </c>
      <c r="D2789" s="8">
        <f t="shared" si="262"/>
        <v>45380</v>
      </c>
      <c r="E2789" s="9" t="s">
        <v>88</v>
      </c>
      <c r="F2789" s="10"/>
      <c r="G2789" s="9" t="s">
        <v>15</v>
      </c>
      <c r="H2789" s="7" t="s">
        <v>5059</v>
      </c>
      <c r="I2789" s="9" t="s">
        <v>353</v>
      </c>
      <c r="J2789" s="88"/>
    </row>
    <row r="2790">
      <c r="A2790" s="20" t="s">
        <v>98</v>
      </c>
      <c r="B2790" s="9" t="s">
        <v>5078</v>
      </c>
      <c r="C2790" s="91">
        <v>45378.72755920139</v>
      </c>
      <c r="D2790" s="8">
        <f t="shared" si="262"/>
        <v>45380</v>
      </c>
      <c r="E2790" s="9" t="s">
        <v>88</v>
      </c>
      <c r="F2790" s="10"/>
      <c r="G2790" s="9" t="s">
        <v>15</v>
      </c>
      <c r="H2790" s="7" t="s">
        <v>5059</v>
      </c>
      <c r="I2790" s="9" t="s">
        <v>353</v>
      </c>
      <c r="J2790" s="88"/>
    </row>
    <row r="2791">
      <c r="A2791" s="20" t="s">
        <v>98</v>
      </c>
      <c r="B2791" s="9" t="s">
        <v>5079</v>
      </c>
      <c r="C2791" s="91">
        <v>45378.727156504625</v>
      </c>
      <c r="D2791" s="8">
        <f t="shared" si="262"/>
        <v>45380</v>
      </c>
      <c r="E2791" s="9" t="s">
        <v>88</v>
      </c>
      <c r="F2791" s="10"/>
      <c r="G2791" s="9" t="s">
        <v>15</v>
      </c>
      <c r="H2791" s="7" t="s">
        <v>5059</v>
      </c>
      <c r="I2791" s="9" t="s">
        <v>353</v>
      </c>
      <c r="J2791" s="88"/>
    </row>
    <row r="2792">
      <c r="A2792" s="20" t="s">
        <v>98</v>
      </c>
      <c r="B2792" s="9" t="s">
        <v>5080</v>
      </c>
      <c r="C2792" s="91">
        <v>45364.712732025466</v>
      </c>
      <c r="D2792" s="8">
        <f t="shared" si="262"/>
        <v>45366</v>
      </c>
      <c r="E2792" s="9" t="s">
        <v>206</v>
      </c>
      <c r="F2792" s="10"/>
      <c r="G2792" s="9" t="s">
        <v>15</v>
      </c>
      <c r="H2792" s="7" t="s">
        <v>5081</v>
      </c>
      <c r="I2792" s="9" t="s">
        <v>353</v>
      </c>
      <c r="J2792" s="88"/>
    </row>
    <row r="2793">
      <c r="A2793" s="20" t="s">
        <v>98</v>
      </c>
      <c r="B2793" s="9" t="s">
        <v>5082</v>
      </c>
      <c r="C2793" s="91">
        <v>45364.71260452546</v>
      </c>
      <c r="D2793" s="8">
        <f t="shared" si="262"/>
        <v>45366</v>
      </c>
      <c r="E2793" s="9" t="s">
        <v>206</v>
      </c>
      <c r="F2793" s="10"/>
      <c r="G2793" s="9" t="s">
        <v>15</v>
      </c>
      <c r="H2793" s="7" t="s">
        <v>5081</v>
      </c>
      <c r="I2793" s="9" t="s">
        <v>353</v>
      </c>
      <c r="J2793" s="88"/>
    </row>
    <row r="2794">
      <c r="A2794" s="20" t="s">
        <v>98</v>
      </c>
      <c r="B2794" s="9" t="s">
        <v>5083</v>
      </c>
      <c r="C2794" s="91">
        <v>45364.712696539355</v>
      </c>
      <c r="D2794" s="8">
        <f t="shared" si="262"/>
        <v>45366</v>
      </c>
      <c r="E2794" s="9" t="s">
        <v>206</v>
      </c>
      <c r="F2794" s="10"/>
      <c r="G2794" s="9" t="s">
        <v>15</v>
      </c>
      <c r="H2794" s="7" t="s">
        <v>5084</v>
      </c>
      <c r="I2794" s="9" t="s">
        <v>353</v>
      </c>
      <c r="J2794" s="88"/>
    </row>
    <row r="2795">
      <c r="A2795" s="20" t="s">
        <v>98</v>
      </c>
      <c r="B2795" s="9" t="s">
        <v>5085</v>
      </c>
      <c r="C2795" s="91">
        <v>45379.700484444445</v>
      </c>
      <c r="D2795" s="8">
        <f t="shared" si="262"/>
        <v>45383</v>
      </c>
      <c r="E2795" s="9" t="s">
        <v>206</v>
      </c>
      <c r="F2795" s="10"/>
      <c r="G2795" s="9" t="s">
        <v>15</v>
      </c>
      <c r="H2795" s="7" t="s">
        <v>5081</v>
      </c>
      <c r="I2795" s="9" t="s">
        <v>353</v>
      </c>
      <c r="J2795" s="88"/>
    </row>
    <row r="2796">
      <c r="A2796" s="20" t="s">
        <v>98</v>
      </c>
      <c r="B2796" s="9" t="s">
        <v>5086</v>
      </c>
      <c r="C2796" s="91">
        <v>45222.39860865741</v>
      </c>
      <c r="D2796" s="8">
        <f t="shared" si="262"/>
        <v>45224</v>
      </c>
      <c r="E2796" s="9" t="s">
        <v>88</v>
      </c>
      <c r="F2796" s="10"/>
      <c r="G2796" s="9" t="s">
        <v>18</v>
      </c>
      <c r="H2796" s="22" t="s">
        <v>5087</v>
      </c>
      <c r="I2796" s="9" t="s">
        <v>353</v>
      </c>
      <c r="J2796" s="88"/>
    </row>
    <row r="2797">
      <c r="A2797" s="34" t="s">
        <v>204</v>
      </c>
      <c r="B2797" s="7" t="s">
        <v>5088</v>
      </c>
      <c r="C2797" s="91" t="s">
        <v>11</v>
      </c>
      <c r="D2797" s="8" t="str">
        <f t="shared" si="262"/>
        <v>-</v>
      </c>
      <c r="E2797" s="9" t="s">
        <v>11</v>
      </c>
      <c r="F2797" s="10"/>
      <c r="G2797" s="9" t="s">
        <v>18</v>
      </c>
      <c r="H2797" s="7" t="s">
        <v>5089</v>
      </c>
      <c r="I2797" s="9" t="s">
        <v>353</v>
      </c>
      <c r="J2797" s="88"/>
    </row>
    <row r="2798">
      <c r="A2798" s="34" t="s">
        <v>204</v>
      </c>
      <c r="B2798" s="7" t="s">
        <v>2948</v>
      </c>
      <c r="C2798" s="91">
        <v>45363.755168449075</v>
      </c>
      <c r="D2798" s="8">
        <f t="shared" si="262"/>
        <v>45365</v>
      </c>
      <c r="E2798" s="9" t="s">
        <v>11</v>
      </c>
      <c r="F2798" s="8">
        <v>45379.0</v>
      </c>
      <c r="G2798" s="9" t="s">
        <v>18</v>
      </c>
      <c r="H2798" s="7" t="s">
        <v>5090</v>
      </c>
      <c r="I2798" s="9" t="s">
        <v>353</v>
      </c>
      <c r="J2798" s="88"/>
    </row>
    <row r="2799">
      <c r="A2799" s="20" t="s">
        <v>98</v>
      </c>
      <c r="B2799" s="9" t="s">
        <v>1283</v>
      </c>
      <c r="C2799" s="91">
        <v>45376.349249074075</v>
      </c>
      <c r="D2799" s="8">
        <f t="shared" si="262"/>
        <v>45378</v>
      </c>
      <c r="E2799" s="9" t="s">
        <v>11</v>
      </c>
      <c r="F2799" s="10"/>
      <c r="G2799" s="9" t="s">
        <v>15</v>
      </c>
      <c r="H2799" s="7" t="s">
        <v>5091</v>
      </c>
      <c r="I2799" s="9" t="s">
        <v>353</v>
      </c>
      <c r="J2799" s="88"/>
    </row>
    <row r="2800">
      <c r="A2800" s="34" t="s">
        <v>204</v>
      </c>
      <c r="B2800" s="7" t="s">
        <v>5092</v>
      </c>
      <c r="C2800" s="91">
        <v>45296.46887324074</v>
      </c>
      <c r="D2800" s="8">
        <f t="shared" si="262"/>
        <v>45300</v>
      </c>
      <c r="E2800" s="9" t="s">
        <v>11</v>
      </c>
      <c r="F2800" s="8">
        <v>45379.0</v>
      </c>
      <c r="G2800" s="9" t="s">
        <v>18</v>
      </c>
      <c r="H2800" s="7" t="s">
        <v>5093</v>
      </c>
      <c r="I2800" s="9" t="s">
        <v>353</v>
      </c>
      <c r="J2800" s="88"/>
    </row>
    <row r="2801">
      <c r="A2801" s="34" t="s">
        <v>204</v>
      </c>
      <c r="B2801" s="7" t="s">
        <v>5094</v>
      </c>
      <c r="C2801" s="91">
        <v>45366.51082069444</v>
      </c>
      <c r="D2801" s="8">
        <f t="shared" si="262"/>
        <v>45370</v>
      </c>
      <c r="E2801" s="9" t="s">
        <v>11</v>
      </c>
      <c r="F2801" s="8">
        <v>45379.0</v>
      </c>
      <c r="G2801" s="9" t="s">
        <v>18</v>
      </c>
      <c r="H2801" s="7" t="s">
        <v>5095</v>
      </c>
      <c r="I2801" s="9" t="s">
        <v>353</v>
      </c>
      <c r="J2801" s="88"/>
    </row>
    <row r="2802">
      <c r="A2802" s="20" t="s">
        <v>98</v>
      </c>
      <c r="B2802" s="9" t="s">
        <v>5096</v>
      </c>
      <c r="C2802" s="91">
        <v>45378.72646315972</v>
      </c>
      <c r="D2802" s="8">
        <f t="shared" si="262"/>
        <v>45380</v>
      </c>
      <c r="E2802" s="9" t="s">
        <v>88</v>
      </c>
      <c r="F2802" s="10"/>
      <c r="G2802" s="9" t="s">
        <v>15</v>
      </c>
      <c r="H2802" s="7" t="s">
        <v>5018</v>
      </c>
      <c r="I2802" s="9" t="s">
        <v>353</v>
      </c>
      <c r="J2802" s="88"/>
    </row>
    <row r="2803">
      <c r="A2803" s="6" t="s">
        <v>9</v>
      </c>
      <c r="B2803" s="7" t="s">
        <v>5097</v>
      </c>
      <c r="C2803" s="91">
        <v>45376.72515701389</v>
      </c>
      <c r="D2803" s="8">
        <f t="shared" si="262"/>
        <v>45378</v>
      </c>
      <c r="E2803" s="9" t="s">
        <v>11</v>
      </c>
      <c r="F2803" s="10"/>
      <c r="G2803" s="9" t="s">
        <v>15</v>
      </c>
      <c r="H2803" s="7" t="s">
        <v>5098</v>
      </c>
      <c r="I2803" s="9" t="s">
        <v>353</v>
      </c>
      <c r="J2803" s="88"/>
    </row>
    <row r="2804">
      <c r="A2804" s="20" t="s">
        <v>98</v>
      </c>
      <c r="B2804" s="9" t="s">
        <v>5099</v>
      </c>
      <c r="C2804" s="91">
        <v>45371.83181657408</v>
      </c>
      <c r="D2804" s="8">
        <f t="shared" si="262"/>
        <v>45373</v>
      </c>
      <c r="E2804" s="9" t="s">
        <v>11</v>
      </c>
      <c r="F2804" s="10"/>
      <c r="G2804" s="9" t="s">
        <v>18</v>
      </c>
      <c r="H2804" s="7" t="s">
        <v>5091</v>
      </c>
      <c r="I2804" s="9" t="s">
        <v>353</v>
      </c>
      <c r="J2804" s="88"/>
    </row>
    <row r="2805">
      <c r="A2805" s="20" t="s">
        <v>98</v>
      </c>
      <c r="B2805" s="9" t="s">
        <v>5100</v>
      </c>
      <c r="C2805" s="91">
        <v>45357.767041886575</v>
      </c>
      <c r="D2805" s="8">
        <f t="shared" si="262"/>
        <v>45359</v>
      </c>
      <c r="E2805" s="9" t="s">
        <v>11</v>
      </c>
      <c r="F2805" s="10"/>
      <c r="G2805" s="9" t="s">
        <v>18</v>
      </c>
      <c r="H2805" s="7" t="s">
        <v>5101</v>
      </c>
      <c r="I2805" s="9" t="s">
        <v>353</v>
      </c>
      <c r="J2805" s="88"/>
    </row>
    <row r="2806">
      <c r="A2806" s="20" t="s">
        <v>98</v>
      </c>
      <c r="B2806" s="9" t="s">
        <v>5102</v>
      </c>
      <c r="C2806" s="91">
        <v>45341.38563030092</v>
      </c>
      <c r="D2806" s="8">
        <f t="shared" si="262"/>
        <v>45343</v>
      </c>
      <c r="E2806" s="9" t="s">
        <v>88</v>
      </c>
      <c r="F2806" s="10"/>
      <c r="G2806" s="9" t="s">
        <v>15</v>
      </c>
      <c r="H2806" s="7" t="s">
        <v>5103</v>
      </c>
      <c r="I2806" s="9" t="s">
        <v>353</v>
      </c>
      <c r="J2806" s="88"/>
    </row>
    <row r="2807">
      <c r="A2807" s="20" t="s">
        <v>98</v>
      </c>
      <c r="B2807" s="166" t="s">
        <v>5104</v>
      </c>
      <c r="C2807" s="119">
        <v>45377.40676493055</v>
      </c>
      <c r="D2807" s="80">
        <f t="shared" si="262"/>
        <v>45379</v>
      </c>
      <c r="E2807" s="172" t="s">
        <v>206</v>
      </c>
      <c r="F2807" s="175"/>
      <c r="G2807" s="173" t="s">
        <v>15</v>
      </c>
      <c r="H2807" s="183" t="s">
        <v>5105</v>
      </c>
      <c r="I2807" s="9" t="s">
        <v>353</v>
      </c>
      <c r="J2807" s="88"/>
    </row>
    <row r="2808">
      <c r="A2808" s="20" t="s">
        <v>98</v>
      </c>
      <c r="B2808" s="166" t="s">
        <v>5106</v>
      </c>
      <c r="C2808" s="119">
        <v>45377.40745275463</v>
      </c>
      <c r="D2808" s="80">
        <f t="shared" si="262"/>
        <v>45379</v>
      </c>
      <c r="E2808" s="172" t="s">
        <v>206</v>
      </c>
      <c r="F2808" s="175"/>
      <c r="G2808" s="173" t="s">
        <v>15</v>
      </c>
      <c r="H2808" s="183" t="s">
        <v>5107</v>
      </c>
      <c r="I2808" s="9" t="s">
        <v>353</v>
      </c>
      <c r="J2808" s="88"/>
    </row>
    <row r="2809">
      <c r="A2809" s="20" t="s">
        <v>98</v>
      </c>
      <c r="B2809" s="166" t="s">
        <v>5108</v>
      </c>
      <c r="C2809" s="119">
        <v>45377.40755012732</v>
      </c>
      <c r="D2809" s="80">
        <f t="shared" si="262"/>
        <v>45379</v>
      </c>
      <c r="E2809" s="172" t="s">
        <v>206</v>
      </c>
      <c r="F2809" s="175"/>
      <c r="G2809" s="173" t="s">
        <v>15</v>
      </c>
      <c r="H2809" s="183" t="s">
        <v>5107</v>
      </c>
      <c r="I2809" s="9" t="s">
        <v>353</v>
      </c>
      <c r="J2809" s="88"/>
    </row>
    <row r="2810">
      <c r="A2810" s="20" t="s">
        <v>98</v>
      </c>
      <c r="B2810" s="166" t="s">
        <v>5109</v>
      </c>
      <c r="C2810" s="119">
        <v>45377.40760168982</v>
      </c>
      <c r="D2810" s="80">
        <f t="shared" si="262"/>
        <v>45379</v>
      </c>
      <c r="E2810" s="172" t="s">
        <v>206</v>
      </c>
      <c r="F2810" s="175"/>
      <c r="G2810" s="173" t="s">
        <v>15</v>
      </c>
      <c r="H2810" s="183" t="s">
        <v>5107</v>
      </c>
      <c r="I2810" s="9" t="s">
        <v>353</v>
      </c>
      <c r="J2810" s="88"/>
    </row>
    <row r="2811">
      <c r="A2811" s="20" t="s">
        <v>98</v>
      </c>
      <c r="B2811" s="166" t="s">
        <v>5110</v>
      </c>
      <c r="C2811" s="119">
        <v>45377.407353206014</v>
      </c>
      <c r="D2811" s="80">
        <f t="shared" si="262"/>
        <v>45379</v>
      </c>
      <c r="E2811" s="172" t="s">
        <v>206</v>
      </c>
      <c r="F2811" s="175"/>
      <c r="G2811" s="173" t="s">
        <v>15</v>
      </c>
      <c r="H2811" s="183" t="s">
        <v>5107</v>
      </c>
      <c r="I2811" s="9" t="s">
        <v>353</v>
      </c>
      <c r="J2811" s="88"/>
    </row>
    <row r="2812">
      <c r="A2812" s="20" t="s">
        <v>98</v>
      </c>
      <c r="B2812" s="166" t="s">
        <v>5111</v>
      </c>
      <c r="C2812" s="119">
        <v>45377.407629305555</v>
      </c>
      <c r="D2812" s="80">
        <f t="shared" si="262"/>
        <v>45379</v>
      </c>
      <c r="E2812" s="172" t="s">
        <v>206</v>
      </c>
      <c r="F2812" s="175"/>
      <c r="G2812" s="173" t="s">
        <v>15</v>
      </c>
      <c r="H2812" s="183" t="s">
        <v>5107</v>
      </c>
      <c r="I2812" s="9" t="s">
        <v>353</v>
      </c>
      <c r="J2812" s="88"/>
    </row>
    <row r="2813">
      <c r="A2813" s="20" t="s">
        <v>98</v>
      </c>
      <c r="B2813" s="166" t="s">
        <v>5112</v>
      </c>
      <c r="C2813" s="119">
        <v>45377.40719371528</v>
      </c>
      <c r="D2813" s="80">
        <f t="shared" si="262"/>
        <v>45379</v>
      </c>
      <c r="E2813" s="172" t="s">
        <v>206</v>
      </c>
      <c r="F2813" s="175"/>
      <c r="G2813" s="173" t="s">
        <v>15</v>
      </c>
      <c r="H2813" s="183" t="s">
        <v>5107</v>
      </c>
      <c r="I2813" s="9" t="s">
        <v>353</v>
      </c>
      <c r="J2813" s="88"/>
    </row>
    <row r="2814">
      <c r="A2814" s="20" t="s">
        <v>98</v>
      </c>
      <c r="B2814" s="166" t="s">
        <v>5113</v>
      </c>
      <c r="C2814" s="119">
        <v>45377.40715784722</v>
      </c>
      <c r="D2814" s="80">
        <f t="shared" si="262"/>
        <v>45379</v>
      </c>
      <c r="E2814" s="172" t="s">
        <v>206</v>
      </c>
      <c r="F2814" s="175"/>
      <c r="G2814" s="173" t="s">
        <v>15</v>
      </c>
      <c r="H2814" s="183" t="s">
        <v>5107</v>
      </c>
      <c r="I2814" s="9" t="s">
        <v>353</v>
      </c>
      <c r="J2814" s="88"/>
    </row>
    <row r="2815">
      <c r="A2815" s="20" t="s">
        <v>98</v>
      </c>
      <c r="B2815" s="166" t="s">
        <v>5114</v>
      </c>
      <c r="C2815" s="119">
        <v>45377.407123425925</v>
      </c>
      <c r="D2815" s="80">
        <f t="shared" si="262"/>
        <v>45379</v>
      </c>
      <c r="E2815" s="172" t="s">
        <v>206</v>
      </c>
      <c r="F2815" s="175"/>
      <c r="G2815" s="173" t="s">
        <v>15</v>
      </c>
      <c r="H2815" s="183" t="s">
        <v>5107</v>
      </c>
      <c r="I2815" s="9" t="s">
        <v>353</v>
      </c>
      <c r="J2815" s="88"/>
    </row>
    <row r="2816">
      <c r="A2816" s="20" t="s">
        <v>98</v>
      </c>
      <c r="B2816" s="166" t="s">
        <v>5115</v>
      </c>
      <c r="C2816" s="119">
        <v>45377.40700987268</v>
      </c>
      <c r="D2816" s="80">
        <f t="shared" si="262"/>
        <v>45379</v>
      </c>
      <c r="E2816" s="172" t="s">
        <v>206</v>
      </c>
      <c r="F2816" s="175"/>
      <c r="G2816" s="173" t="s">
        <v>15</v>
      </c>
      <c r="H2816" s="183" t="s">
        <v>5107</v>
      </c>
      <c r="I2816" s="9" t="s">
        <v>353</v>
      </c>
      <c r="J2816" s="88"/>
    </row>
    <row r="2817">
      <c r="A2817" s="20" t="s">
        <v>98</v>
      </c>
      <c r="B2817" s="166" t="s">
        <v>5116</v>
      </c>
      <c r="C2817" s="119">
        <v>45377.40696153935</v>
      </c>
      <c r="D2817" s="80">
        <f t="shared" si="262"/>
        <v>45379</v>
      </c>
      <c r="E2817" s="172" t="s">
        <v>206</v>
      </c>
      <c r="F2817" s="175"/>
      <c r="G2817" s="173" t="s">
        <v>15</v>
      </c>
      <c r="H2817" s="183" t="s">
        <v>5107</v>
      </c>
      <c r="I2817" s="9" t="s">
        <v>353</v>
      </c>
      <c r="J2817" s="88"/>
    </row>
    <row r="2818">
      <c r="A2818" s="20" t="s">
        <v>98</v>
      </c>
      <c r="B2818" s="166" t="s">
        <v>5117</v>
      </c>
      <c r="C2818" s="119">
        <v>45377.40690041667</v>
      </c>
      <c r="D2818" s="80">
        <f t="shared" si="262"/>
        <v>45379</v>
      </c>
      <c r="E2818" s="172" t="s">
        <v>206</v>
      </c>
      <c r="F2818" s="175"/>
      <c r="G2818" s="173" t="s">
        <v>15</v>
      </c>
      <c r="H2818" s="183" t="s">
        <v>5107</v>
      </c>
      <c r="I2818" s="9" t="s">
        <v>353</v>
      </c>
      <c r="J2818" s="88"/>
    </row>
    <row r="2819">
      <c r="A2819" s="20" t="s">
        <v>98</v>
      </c>
      <c r="B2819" s="166" t="s">
        <v>5118</v>
      </c>
      <c r="C2819" s="119">
        <v>45377.40685569444</v>
      </c>
      <c r="D2819" s="80">
        <f t="shared" si="262"/>
        <v>45379</v>
      </c>
      <c r="E2819" s="172" t="s">
        <v>206</v>
      </c>
      <c r="F2819" s="175"/>
      <c r="G2819" s="173" t="s">
        <v>15</v>
      </c>
      <c r="H2819" s="183" t="s">
        <v>5107</v>
      </c>
      <c r="I2819" s="9" t="s">
        <v>353</v>
      </c>
      <c r="J2819" s="88"/>
    </row>
    <row r="2820">
      <c r="A2820" s="20" t="s">
        <v>98</v>
      </c>
      <c r="B2820" s="166" t="s">
        <v>5119</v>
      </c>
      <c r="C2820" s="119">
        <v>45377.406805763894</v>
      </c>
      <c r="D2820" s="80">
        <f t="shared" si="262"/>
        <v>45379</v>
      </c>
      <c r="E2820" s="172" t="s">
        <v>206</v>
      </c>
      <c r="F2820" s="175"/>
      <c r="G2820" s="173" t="s">
        <v>15</v>
      </c>
      <c r="H2820" s="183" t="s">
        <v>5107</v>
      </c>
      <c r="I2820" s="9" t="s">
        <v>353</v>
      </c>
      <c r="J2820" s="88"/>
    </row>
    <row r="2821">
      <c r="A2821" s="20" t="s">
        <v>98</v>
      </c>
      <c r="B2821" s="166" t="s">
        <v>5120</v>
      </c>
      <c r="C2821" s="119">
        <v>45377.40856011574</v>
      </c>
      <c r="D2821" s="80">
        <f t="shared" si="262"/>
        <v>45379</v>
      </c>
      <c r="E2821" s="172" t="s">
        <v>206</v>
      </c>
      <c r="F2821" s="175"/>
      <c r="G2821" s="173" t="s">
        <v>15</v>
      </c>
      <c r="H2821" s="183" t="s">
        <v>5107</v>
      </c>
      <c r="I2821" s="9" t="s">
        <v>353</v>
      </c>
      <c r="J2821" s="88"/>
    </row>
    <row r="2822">
      <c r="A2822" s="20" t="s">
        <v>98</v>
      </c>
      <c r="B2822" s="166" t="s">
        <v>5121</v>
      </c>
      <c r="C2822" s="119">
        <v>45377.40666688657</v>
      </c>
      <c r="D2822" s="80">
        <f t="shared" si="262"/>
        <v>45379</v>
      </c>
      <c r="E2822" s="172" t="s">
        <v>206</v>
      </c>
      <c r="F2822" s="175"/>
      <c r="G2822" s="173" t="s">
        <v>15</v>
      </c>
      <c r="H2822" s="183" t="s">
        <v>5107</v>
      </c>
      <c r="I2822" s="9" t="s">
        <v>353</v>
      </c>
      <c r="J2822" s="88"/>
    </row>
    <row r="2823">
      <c r="A2823" s="20" t="s">
        <v>98</v>
      </c>
      <c r="B2823" s="166" t="s">
        <v>5122</v>
      </c>
      <c r="C2823" s="119">
        <v>45377.40663175926</v>
      </c>
      <c r="D2823" s="80">
        <f t="shared" si="262"/>
        <v>45379</v>
      </c>
      <c r="E2823" s="172" t="s">
        <v>206</v>
      </c>
      <c r="F2823" s="175"/>
      <c r="G2823" s="173" t="s">
        <v>15</v>
      </c>
      <c r="H2823" s="183" t="s">
        <v>5123</v>
      </c>
      <c r="I2823" s="9" t="s">
        <v>353</v>
      </c>
      <c r="J2823" s="88"/>
    </row>
    <row r="2824">
      <c r="A2824" s="20" t="s">
        <v>98</v>
      </c>
      <c r="B2824" s="166" t="s">
        <v>5124</v>
      </c>
      <c r="C2824" s="119">
        <v>45377.40658527778</v>
      </c>
      <c r="D2824" s="80">
        <f t="shared" si="262"/>
        <v>45379</v>
      </c>
      <c r="E2824" s="172" t="s">
        <v>206</v>
      </c>
      <c r="F2824" s="175"/>
      <c r="G2824" s="173" t="s">
        <v>15</v>
      </c>
      <c r="H2824" s="183" t="s">
        <v>5107</v>
      </c>
      <c r="I2824" s="9" t="s">
        <v>353</v>
      </c>
      <c r="J2824" s="88"/>
    </row>
    <row r="2825">
      <c r="A2825" s="20" t="s">
        <v>98</v>
      </c>
      <c r="B2825" s="9" t="s">
        <v>5125</v>
      </c>
      <c r="C2825" s="91">
        <v>45377.40654679398</v>
      </c>
      <c r="D2825" s="8">
        <f t="shared" si="262"/>
        <v>45379</v>
      </c>
      <c r="E2825" s="9" t="s">
        <v>206</v>
      </c>
      <c r="F2825" s="10"/>
      <c r="G2825" s="9" t="s">
        <v>15</v>
      </c>
      <c r="H2825" s="7" t="s">
        <v>5123</v>
      </c>
      <c r="I2825" s="9" t="s">
        <v>353</v>
      </c>
      <c r="J2825" s="88"/>
    </row>
    <row r="2826">
      <c r="A2826" s="20" t="s">
        <v>98</v>
      </c>
      <c r="B2826" s="9" t="s">
        <v>5126</v>
      </c>
      <c r="C2826" s="91">
        <v>45373.527846296296</v>
      </c>
      <c r="D2826" s="8">
        <f t="shared" si="262"/>
        <v>45377</v>
      </c>
      <c r="E2826" s="9" t="s">
        <v>206</v>
      </c>
      <c r="F2826" s="10"/>
      <c r="G2826" s="9" t="s">
        <v>15</v>
      </c>
      <c r="H2826" s="7" t="s">
        <v>5107</v>
      </c>
      <c r="I2826" s="9" t="s">
        <v>353</v>
      </c>
      <c r="J2826" s="88"/>
    </row>
    <row r="2827">
      <c r="A2827" s="20" t="s">
        <v>98</v>
      </c>
      <c r="B2827" s="9" t="s">
        <v>5127</v>
      </c>
      <c r="C2827" s="91">
        <v>45373.527763564816</v>
      </c>
      <c r="D2827" s="8">
        <f t="shared" si="262"/>
        <v>45377</v>
      </c>
      <c r="E2827" s="9" t="s">
        <v>206</v>
      </c>
      <c r="F2827" s="10"/>
      <c r="G2827" s="9" t="s">
        <v>15</v>
      </c>
      <c r="H2827" s="7" t="s">
        <v>5107</v>
      </c>
      <c r="I2827" s="9" t="s">
        <v>353</v>
      </c>
      <c r="J2827" s="88"/>
    </row>
    <row r="2828">
      <c r="A2828" s="20" t="s">
        <v>98</v>
      </c>
      <c r="B2828" s="9" t="s">
        <v>5128</v>
      </c>
      <c r="C2828" s="91">
        <v>45373.527678819446</v>
      </c>
      <c r="D2828" s="8">
        <f t="shared" si="262"/>
        <v>45377</v>
      </c>
      <c r="E2828" s="9" t="s">
        <v>206</v>
      </c>
      <c r="F2828" s="10"/>
      <c r="G2828" s="9" t="s">
        <v>15</v>
      </c>
      <c r="H2828" s="7" t="s">
        <v>5107</v>
      </c>
      <c r="I2828" s="9" t="s">
        <v>353</v>
      </c>
      <c r="J2828" s="88"/>
    </row>
    <row r="2829">
      <c r="A2829" s="20" t="s">
        <v>98</v>
      </c>
      <c r="B2829" s="9" t="s">
        <v>5129</v>
      </c>
      <c r="C2829" s="91">
        <v>45373.52759233797</v>
      </c>
      <c r="D2829" s="8">
        <f t="shared" si="262"/>
        <v>45377</v>
      </c>
      <c r="E2829" s="9" t="s">
        <v>206</v>
      </c>
      <c r="F2829" s="10"/>
      <c r="G2829" s="9" t="s">
        <v>15</v>
      </c>
      <c r="H2829" s="7" t="s">
        <v>5107</v>
      </c>
      <c r="I2829" s="9" t="s">
        <v>353</v>
      </c>
      <c r="J2829" s="88"/>
    </row>
    <row r="2830">
      <c r="A2830" s="20" t="s">
        <v>98</v>
      </c>
      <c r="B2830" s="9" t="s">
        <v>5130</v>
      </c>
      <c r="C2830" s="91">
        <v>45373.52749753473</v>
      </c>
      <c r="D2830" s="8">
        <f t="shared" si="262"/>
        <v>45377</v>
      </c>
      <c r="E2830" s="9" t="s">
        <v>206</v>
      </c>
      <c r="F2830" s="10"/>
      <c r="G2830" s="9" t="s">
        <v>15</v>
      </c>
      <c r="H2830" s="7" t="s">
        <v>5107</v>
      </c>
      <c r="I2830" s="9" t="s">
        <v>353</v>
      </c>
      <c r="J2830" s="88"/>
    </row>
    <row r="2831">
      <c r="A2831" s="20" t="s">
        <v>98</v>
      </c>
      <c r="B2831" s="9" t="s">
        <v>5131</v>
      </c>
      <c r="C2831" s="91">
        <v>45373.527354247686</v>
      </c>
      <c r="D2831" s="8">
        <f t="shared" si="262"/>
        <v>45377</v>
      </c>
      <c r="E2831" s="9" t="s">
        <v>206</v>
      </c>
      <c r="F2831" s="10"/>
      <c r="G2831" s="9" t="s">
        <v>15</v>
      </c>
      <c r="H2831" s="7" t="s">
        <v>5107</v>
      </c>
      <c r="I2831" s="9" t="s">
        <v>353</v>
      </c>
      <c r="J2831" s="88"/>
    </row>
    <row r="2832">
      <c r="A2832" s="20" t="s">
        <v>98</v>
      </c>
      <c r="B2832" s="9" t="s">
        <v>5132</v>
      </c>
      <c r="C2832" s="91">
        <v>45373.52726038195</v>
      </c>
      <c r="D2832" s="8">
        <f t="shared" si="262"/>
        <v>45377</v>
      </c>
      <c r="E2832" s="9" t="s">
        <v>206</v>
      </c>
      <c r="F2832" s="10"/>
      <c r="G2832" s="9" t="s">
        <v>15</v>
      </c>
      <c r="H2832" s="7" t="s">
        <v>5107</v>
      </c>
      <c r="I2832" s="9" t="s">
        <v>353</v>
      </c>
      <c r="J2832" s="88"/>
    </row>
    <row r="2833">
      <c r="A2833" s="20" t="s">
        <v>98</v>
      </c>
      <c r="B2833" s="9" t="s">
        <v>5133</v>
      </c>
      <c r="C2833" s="91">
        <v>45373.527106608795</v>
      </c>
      <c r="D2833" s="8">
        <f t="shared" si="262"/>
        <v>45377</v>
      </c>
      <c r="E2833" s="9" t="s">
        <v>206</v>
      </c>
      <c r="F2833" s="10"/>
      <c r="G2833" s="9" t="s">
        <v>15</v>
      </c>
      <c r="H2833" s="7" t="s">
        <v>5123</v>
      </c>
      <c r="I2833" s="9" t="s">
        <v>353</v>
      </c>
      <c r="J2833" s="88"/>
    </row>
    <row r="2834">
      <c r="A2834" s="20" t="s">
        <v>98</v>
      </c>
      <c r="B2834" s="9" t="s">
        <v>5134</v>
      </c>
      <c r="C2834" s="91">
        <v>45351.36027114584</v>
      </c>
      <c r="D2834" s="8">
        <f t="shared" si="262"/>
        <v>45355</v>
      </c>
      <c r="E2834" s="9"/>
      <c r="F2834" s="10"/>
      <c r="G2834" s="9" t="s">
        <v>18</v>
      </c>
      <c r="H2834" s="7" t="s">
        <v>5135</v>
      </c>
      <c r="I2834" s="9" t="s">
        <v>353</v>
      </c>
      <c r="J2834" s="88"/>
    </row>
    <row r="2835">
      <c r="A2835" s="6" t="s">
        <v>9</v>
      </c>
      <c r="B2835" s="7" t="s">
        <v>5136</v>
      </c>
      <c r="C2835" s="91">
        <v>45371.518964664356</v>
      </c>
      <c r="D2835" s="8">
        <f t="shared" si="262"/>
        <v>45373</v>
      </c>
      <c r="E2835" s="9" t="s">
        <v>11</v>
      </c>
      <c r="F2835" s="10"/>
      <c r="G2835" s="9" t="s">
        <v>18</v>
      </c>
      <c r="H2835" s="7" t="s">
        <v>5137</v>
      </c>
      <c r="I2835" s="9" t="s">
        <v>353</v>
      </c>
      <c r="J2835" s="88"/>
    </row>
    <row r="2836">
      <c r="A2836" s="34" t="s">
        <v>204</v>
      </c>
      <c r="B2836" s="7" t="s">
        <v>5138</v>
      </c>
      <c r="C2836" s="91">
        <v>45376.52060517361</v>
      </c>
      <c r="D2836" s="8">
        <f t="shared" si="262"/>
        <v>45378</v>
      </c>
      <c r="E2836" s="9" t="s">
        <v>11</v>
      </c>
      <c r="F2836" s="10"/>
      <c r="G2836" s="9" t="s">
        <v>18</v>
      </c>
      <c r="H2836" s="7" t="s">
        <v>437</v>
      </c>
      <c r="I2836" s="9" t="s">
        <v>353</v>
      </c>
      <c r="J2836" s="88"/>
    </row>
    <row r="2837">
      <c r="A2837" s="6" t="s">
        <v>9</v>
      </c>
      <c r="B2837" s="7" t="s">
        <v>5139</v>
      </c>
      <c r="C2837" s="91">
        <v>45352.476376226856</v>
      </c>
      <c r="D2837" s="8">
        <f t="shared" si="262"/>
        <v>45356</v>
      </c>
      <c r="E2837" s="9" t="s">
        <v>11</v>
      </c>
      <c r="F2837" s="10"/>
      <c r="G2837" s="9" t="s">
        <v>15</v>
      </c>
      <c r="H2837" s="7" t="s">
        <v>5140</v>
      </c>
      <c r="I2837" s="9" t="s">
        <v>353</v>
      </c>
      <c r="J2837" s="88"/>
    </row>
    <row r="2838">
      <c r="A2838" s="20" t="s">
        <v>98</v>
      </c>
      <c r="B2838" s="9" t="s">
        <v>5141</v>
      </c>
      <c r="C2838" s="91">
        <v>45371.64284622685</v>
      </c>
      <c r="D2838" s="8">
        <f t="shared" si="262"/>
        <v>45373</v>
      </c>
      <c r="E2838" s="9" t="s">
        <v>206</v>
      </c>
      <c r="F2838" s="10"/>
      <c r="G2838" s="9" t="s">
        <v>18</v>
      </c>
      <c r="H2838" s="7" t="s">
        <v>5142</v>
      </c>
      <c r="I2838" s="9" t="s">
        <v>353</v>
      </c>
      <c r="J2838" s="88"/>
    </row>
    <row r="2839">
      <c r="A2839" s="20" t="s">
        <v>98</v>
      </c>
      <c r="B2839" s="9" t="s">
        <v>5143</v>
      </c>
      <c r="C2839" s="91">
        <v>45357.76678681713</v>
      </c>
      <c r="D2839" s="8">
        <f t="shared" si="262"/>
        <v>45359</v>
      </c>
      <c r="E2839" s="9" t="s">
        <v>11</v>
      </c>
      <c r="F2839" s="10"/>
      <c r="G2839" s="9" t="s">
        <v>15</v>
      </c>
      <c r="H2839" s="7" t="s">
        <v>5144</v>
      </c>
      <c r="I2839" s="9" t="s">
        <v>353</v>
      </c>
      <c r="J2839" s="88"/>
    </row>
    <row r="2840">
      <c r="A2840" s="20" t="s">
        <v>98</v>
      </c>
      <c r="B2840" s="9" t="s">
        <v>5145</v>
      </c>
      <c r="C2840" s="91">
        <v>45373.527013252315</v>
      </c>
      <c r="D2840" s="8">
        <f t="shared" si="262"/>
        <v>45377</v>
      </c>
      <c r="E2840" s="9" t="s">
        <v>206</v>
      </c>
      <c r="F2840" s="10"/>
      <c r="G2840" s="9" t="s">
        <v>15</v>
      </c>
      <c r="H2840" s="11"/>
      <c r="I2840" s="9" t="s">
        <v>353</v>
      </c>
      <c r="J2840" s="88"/>
    </row>
    <row r="2841">
      <c r="A2841" s="20" t="s">
        <v>98</v>
      </c>
      <c r="B2841" s="9" t="s">
        <v>5146</v>
      </c>
      <c r="C2841" s="91">
        <v>45373.52692842593</v>
      </c>
      <c r="D2841" s="8">
        <f t="shared" si="262"/>
        <v>45377</v>
      </c>
      <c r="E2841" s="9" t="s">
        <v>206</v>
      </c>
      <c r="F2841" s="10"/>
      <c r="G2841" s="9" t="s">
        <v>15</v>
      </c>
      <c r="H2841" s="11"/>
      <c r="I2841" s="9" t="s">
        <v>353</v>
      </c>
      <c r="J2841" s="88"/>
    </row>
    <row r="2842">
      <c r="A2842" s="20" t="s">
        <v>98</v>
      </c>
      <c r="B2842" s="9" t="s">
        <v>5147</v>
      </c>
      <c r="C2842" s="91">
        <v>45373.52670475694</v>
      </c>
      <c r="D2842" s="8">
        <f t="shared" si="262"/>
        <v>45377</v>
      </c>
      <c r="E2842" s="9" t="s">
        <v>206</v>
      </c>
      <c r="F2842" s="10"/>
      <c r="G2842" s="9" t="s">
        <v>15</v>
      </c>
      <c r="H2842" s="11"/>
      <c r="I2842" s="9" t="s">
        <v>353</v>
      </c>
      <c r="J2842" s="88"/>
    </row>
    <row r="2843">
      <c r="A2843" s="20" t="s">
        <v>98</v>
      </c>
      <c r="B2843" s="9" t="s">
        <v>5148</v>
      </c>
      <c r="C2843" s="91">
        <v>45373.52666260417</v>
      </c>
      <c r="D2843" s="8">
        <f t="shared" si="262"/>
        <v>45377</v>
      </c>
      <c r="E2843" s="9" t="s">
        <v>206</v>
      </c>
      <c r="F2843" s="10"/>
      <c r="G2843" s="9" t="s">
        <v>15</v>
      </c>
      <c r="H2843" s="11"/>
      <c r="I2843" s="9" t="s">
        <v>353</v>
      </c>
      <c r="J2843" s="88"/>
    </row>
    <row r="2844">
      <c r="A2844" s="20" t="s">
        <v>98</v>
      </c>
      <c r="B2844" s="9" t="s">
        <v>5149</v>
      </c>
      <c r="C2844" s="91">
        <v>45373.52660462963</v>
      </c>
      <c r="D2844" s="8">
        <f t="shared" si="262"/>
        <v>45377</v>
      </c>
      <c r="E2844" s="9" t="s">
        <v>206</v>
      </c>
      <c r="F2844" s="10"/>
      <c r="G2844" s="9" t="s">
        <v>15</v>
      </c>
      <c r="H2844" s="11"/>
      <c r="I2844" s="9" t="s">
        <v>353</v>
      </c>
      <c r="J2844" s="88"/>
    </row>
    <row r="2845">
      <c r="A2845" s="6" t="s">
        <v>9</v>
      </c>
      <c r="B2845" s="7" t="s">
        <v>5150</v>
      </c>
      <c r="C2845" s="91">
        <v>45372.68540753472</v>
      </c>
      <c r="D2845" s="8">
        <f t="shared" si="262"/>
        <v>45376</v>
      </c>
      <c r="E2845" s="9" t="s">
        <v>11</v>
      </c>
      <c r="F2845" s="10"/>
      <c r="G2845" s="9" t="s">
        <v>15</v>
      </c>
      <c r="H2845" s="7" t="s">
        <v>5151</v>
      </c>
      <c r="I2845" s="9" t="s">
        <v>353</v>
      </c>
      <c r="J2845" s="88"/>
    </row>
    <row r="2846">
      <c r="A2846" s="6" t="s">
        <v>9</v>
      </c>
      <c r="B2846" s="7" t="s">
        <v>5152</v>
      </c>
      <c r="C2846" s="91">
        <v>45372.68534940972</v>
      </c>
      <c r="D2846" s="8">
        <f t="shared" si="262"/>
        <v>45376</v>
      </c>
      <c r="E2846" s="9" t="s">
        <v>11</v>
      </c>
      <c r="F2846" s="10"/>
      <c r="G2846" s="9" t="s">
        <v>15</v>
      </c>
      <c r="H2846" s="7" t="s">
        <v>5151</v>
      </c>
      <c r="I2846" s="9" t="s">
        <v>353</v>
      </c>
      <c r="J2846" s="88"/>
    </row>
    <row r="2847">
      <c r="A2847" s="20" t="s">
        <v>98</v>
      </c>
      <c r="B2847" s="9" t="s">
        <v>5153</v>
      </c>
      <c r="C2847" s="91">
        <v>45371.8320331713</v>
      </c>
      <c r="D2847" s="8">
        <f t="shared" si="262"/>
        <v>45373</v>
      </c>
      <c r="E2847" s="9" t="s">
        <v>11</v>
      </c>
      <c r="F2847" s="10"/>
      <c r="G2847" s="9" t="s">
        <v>15</v>
      </c>
      <c r="H2847" s="7" t="s">
        <v>5144</v>
      </c>
      <c r="I2847" s="9" t="s">
        <v>353</v>
      </c>
      <c r="J2847" s="88"/>
    </row>
    <row r="2848">
      <c r="A2848" s="34" t="s">
        <v>204</v>
      </c>
      <c r="B2848" s="7" t="s">
        <v>5154</v>
      </c>
      <c r="C2848" s="91">
        <v>45366.51062598379</v>
      </c>
      <c r="D2848" s="8">
        <f t="shared" si="262"/>
        <v>45370</v>
      </c>
      <c r="E2848" s="9" t="s">
        <v>11</v>
      </c>
      <c r="F2848" s="71">
        <v>45372.0</v>
      </c>
      <c r="G2848" s="9" t="s">
        <v>18</v>
      </c>
      <c r="H2848" s="7" t="s">
        <v>5155</v>
      </c>
      <c r="I2848" s="9" t="s">
        <v>353</v>
      </c>
      <c r="J2848" s="88"/>
    </row>
    <row r="2849">
      <c r="A2849" s="34" t="s">
        <v>204</v>
      </c>
      <c r="B2849" s="7" t="s">
        <v>5156</v>
      </c>
      <c r="C2849" s="91">
        <v>45372.64235081019</v>
      </c>
      <c r="D2849" s="8">
        <f t="shared" si="262"/>
        <v>45376</v>
      </c>
      <c r="E2849" s="9" t="s">
        <v>11</v>
      </c>
      <c r="F2849" s="10"/>
      <c r="G2849" s="9"/>
      <c r="H2849" s="7" t="s">
        <v>437</v>
      </c>
      <c r="I2849" s="9" t="s">
        <v>353</v>
      </c>
      <c r="J2849" s="88"/>
    </row>
    <row r="2850">
      <c r="A2850" s="20" t="s">
        <v>98</v>
      </c>
      <c r="B2850" s="9" t="s">
        <v>5157</v>
      </c>
      <c r="C2850" s="91">
        <v>45363.50950354167</v>
      </c>
      <c r="D2850" s="8">
        <f t="shared" si="262"/>
        <v>45365</v>
      </c>
      <c r="E2850" s="9" t="s">
        <v>11</v>
      </c>
      <c r="F2850" s="10"/>
      <c r="G2850" s="9" t="s">
        <v>15</v>
      </c>
      <c r="H2850" s="7" t="s">
        <v>5158</v>
      </c>
      <c r="I2850" s="9" t="s">
        <v>353</v>
      </c>
      <c r="J2850" s="88"/>
    </row>
    <row r="2851">
      <c r="A2851" s="20" t="s">
        <v>98</v>
      </c>
      <c r="B2851" s="9" t="s">
        <v>5159</v>
      </c>
      <c r="C2851" s="91">
        <v>45371.83337288194</v>
      </c>
      <c r="D2851" s="8">
        <f t="shared" si="262"/>
        <v>45373</v>
      </c>
      <c r="E2851" s="9" t="s">
        <v>11</v>
      </c>
      <c r="F2851" s="10"/>
      <c r="G2851" s="9" t="s">
        <v>15</v>
      </c>
      <c r="H2851" s="7" t="s">
        <v>5160</v>
      </c>
      <c r="I2851" s="9" t="s">
        <v>353</v>
      </c>
      <c r="J2851" s="88"/>
    </row>
    <row r="2852">
      <c r="A2852" s="20" t="s">
        <v>98</v>
      </c>
      <c r="B2852" s="9" t="s">
        <v>5161</v>
      </c>
      <c r="C2852" s="91">
        <v>45371.833584340275</v>
      </c>
      <c r="D2852" s="8">
        <f t="shared" si="262"/>
        <v>45373</v>
      </c>
      <c r="E2852" s="9" t="s">
        <v>11</v>
      </c>
      <c r="F2852" s="10"/>
      <c r="G2852" s="9" t="s">
        <v>15</v>
      </c>
      <c r="H2852" s="7" t="s">
        <v>5162</v>
      </c>
      <c r="I2852" s="9" t="s">
        <v>353</v>
      </c>
      <c r="J2852" s="88"/>
    </row>
    <row r="2853">
      <c r="A2853" s="20" t="s">
        <v>98</v>
      </c>
      <c r="B2853" s="9" t="s">
        <v>5163</v>
      </c>
      <c r="C2853" s="91">
        <v>45371.833487384254</v>
      </c>
      <c r="D2853" s="8">
        <f t="shared" si="262"/>
        <v>45373</v>
      </c>
      <c r="E2853" s="9" t="s">
        <v>11</v>
      </c>
      <c r="F2853" s="10"/>
      <c r="G2853" s="9" t="s">
        <v>15</v>
      </c>
      <c r="H2853" s="7" t="s">
        <v>5162</v>
      </c>
      <c r="I2853" s="9" t="s">
        <v>353</v>
      </c>
      <c r="J2853" s="88"/>
    </row>
    <row r="2854">
      <c r="A2854" s="34" t="s">
        <v>204</v>
      </c>
      <c r="B2854" s="7" t="s">
        <v>5164</v>
      </c>
      <c r="C2854" s="91">
        <v>45372.46589017361</v>
      </c>
      <c r="D2854" s="8">
        <f t="shared" si="262"/>
        <v>45376</v>
      </c>
      <c r="E2854" s="9" t="s">
        <v>11</v>
      </c>
      <c r="F2854" s="10"/>
      <c r="G2854" s="9"/>
      <c r="H2854" s="7" t="s">
        <v>437</v>
      </c>
      <c r="I2854" s="9" t="s">
        <v>353</v>
      </c>
      <c r="J2854" s="88"/>
    </row>
    <row r="2855">
      <c r="A2855" s="34" t="s">
        <v>204</v>
      </c>
      <c r="B2855" s="7" t="s">
        <v>5165</v>
      </c>
      <c r="C2855" s="91">
        <v>45359.48841310185</v>
      </c>
      <c r="D2855" s="8">
        <f t="shared" si="262"/>
        <v>45363</v>
      </c>
      <c r="E2855" s="9" t="s">
        <v>11</v>
      </c>
      <c r="F2855" s="71">
        <v>45372.0</v>
      </c>
      <c r="G2855" s="9" t="s">
        <v>18</v>
      </c>
      <c r="H2855" s="7" t="s">
        <v>5166</v>
      </c>
      <c r="I2855" s="9" t="s">
        <v>353</v>
      </c>
      <c r="J2855" s="88"/>
    </row>
    <row r="2856">
      <c r="A2856" s="6" t="s">
        <v>9</v>
      </c>
      <c r="B2856" s="7" t="s">
        <v>5167</v>
      </c>
      <c r="C2856" s="91">
        <v>45371.5169118287</v>
      </c>
      <c r="D2856" s="8">
        <f t="shared" si="262"/>
        <v>45373</v>
      </c>
      <c r="E2856" s="9" t="s">
        <v>11</v>
      </c>
      <c r="F2856" s="10"/>
      <c r="G2856" s="9" t="s">
        <v>18</v>
      </c>
      <c r="H2856" s="7" t="s">
        <v>5168</v>
      </c>
      <c r="I2856" s="9" t="s">
        <v>353</v>
      </c>
      <c r="J2856" s="88"/>
    </row>
    <row r="2857">
      <c r="A2857" s="6" t="s">
        <v>9</v>
      </c>
      <c r="B2857" s="7" t="s">
        <v>5169</v>
      </c>
      <c r="C2857" s="91">
        <v>45371.516264375</v>
      </c>
      <c r="D2857" s="8">
        <f t="shared" si="262"/>
        <v>45373</v>
      </c>
      <c r="E2857" s="9" t="s">
        <v>11</v>
      </c>
      <c r="F2857" s="10"/>
      <c r="G2857" s="9" t="s">
        <v>18</v>
      </c>
      <c r="H2857" s="7" t="s">
        <v>5170</v>
      </c>
      <c r="I2857" s="9" t="s">
        <v>353</v>
      </c>
      <c r="J2857" s="88"/>
    </row>
    <row r="2858">
      <c r="A2858" s="34" t="s">
        <v>204</v>
      </c>
      <c r="B2858" s="7" t="s">
        <v>5171</v>
      </c>
      <c r="C2858" s="91">
        <v>45366.50983196759</v>
      </c>
      <c r="D2858" s="8">
        <f t="shared" si="262"/>
        <v>45370</v>
      </c>
      <c r="E2858" s="9" t="s">
        <v>11</v>
      </c>
      <c r="F2858" s="9" t="s">
        <v>11</v>
      </c>
      <c r="G2858" s="9" t="s">
        <v>15</v>
      </c>
      <c r="H2858" s="7" t="s">
        <v>5172</v>
      </c>
      <c r="I2858" s="9" t="s">
        <v>353</v>
      </c>
      <c r="J2858" s="88"/>
    </row>
    <row r="2859">
      <c r="A2859" s="20" t="s">
        <v>98</v>
      </c>
      <c r="B2859" s="9" t="s">
        <v>5173</v>
      </c>
      <c r="C2859" s="91">
        <v>45363.50932197917</v>
      </c>
      <c r="D2859" s="8">
        <f t="shared" si="262"/>
        <v>45365</v>
      </c>
      <c r="E2859" s="9" t="s">
        <v>88</v>
      </c>
      <c r="F2859" s="10"/>
      <c r="G2859" s="9" t="s">
        <v>15</v>
      </c>
      <c r="H2859" s="7" t="s">
        <v>5174</v>
      </c>
      <c r="I2859" s="9" t="s">
        <v>353</v>
      </c>
      <c r="J2859" s="88"/>
    </row>
    <row r="2860">
      <c r="A2860" s="20" t="s">
        <v>98</v>
      </c>
      <c r="B2860" s="9" t="s">
        <v>5175</v>
      </c>
      <c r="C2860" s="91">
        <v>45371.433113148145</v>
      </c>
      <c r="D2860" s="8">
        <f t="shared" si="262"/>
        <v>45373</v>
      </c>
      <c r="E2860" s="9" t="s">
        <v>206</v>
      </c>
      <c r="F2860" s="10"/>
      <c r="G2860" s="9" t="s">
        <v>18</v>
      </c>
      <c r="H2860" s="7" t="s">
        <v>5176</v>
      </c>
      <c r="I2860" s="9" t="s">
        <v>353</v>
      </c>
      <c r="J2860" s="88"/>
    </row>
    <row r="2861">
      <c r="A2861" s="20" t="s">
        <v>98</v>
      </c>
      <c r="B2861" s="9" t="s">
        <v>5177</v>
      </c>
      <c r="C2861" s="91">
        <v>45349.586425127316</v>
      </c>
      <c r="D2861" s="8">
        <f t="shared" si="262"/>
        <v>45351</v>
      </c>
      <c r="E2861" s="9" t="s">
        <v>88</v>
      </c>
      <c r="F2861" s="10"/>
      <c r="G2861" s="9" t="s">
        <v>15</v>
      </c>
      <c r="H2861" s="7" t="s">
        <v>5178</v>
      </c>
      <c r="I2861" s="9" t="s">
        <v>353</v>
      </c>
      <c r="J2861" s="88"/>
    </row>
    <row r="2862">
      <c r="A2862" s="20" t="s">
        <v>98</v>
      </c>
      <c r="B2862" s="9" t="s">
        <v>5179</v>
      </c>
      <c r="C2862" s="91">
        <v>45364.83668717592</v>
      </c>
      <c r="D2862" s="8">
        <f t="shared" si="262"/>
        <v>45366</v>
      </c>
      <c r="E2862" s="9" t="s">
        <v>88</v>
      </c>
      <c r="F2862" s="10"/>
      <c r="G2862" s="9" t="s">
        <v>15</v>
      </c>
      <c r="H2862" s="7" t="s">
        <v>5180</v>
      </c>
      <c r="I2862" s="9" t="s">
        <v>353</v>
      </c>
      <c r="J2862" s="88"/>
    </row>
    <row r="2863">
      <c r="A2863" s="20" t="s">
        <v>98</v>
      </c>
      <c r="B2863" s="9" t="s">
        <v>5181</v>
      </c>
      <c r="C2863" s="91">
        <v>45370.695140682874</v>
      </c>
      <c r="D2863" s="8">
        <f t="shared" si="262"/>
        <v>45372</v>
      </c>
      <c r="E2863" s="9" t="s">
        <v>206</v>
      </c>
      <c r="F2863" s="10"/>
      <c r="G2863" s="9" t="s">
        <v>18</v>
      </c>
      <c r="H2863" s="7" t="s">
        <v>5182</v>
      </c>
      <c r="I2863" s="9" t="s">
        <v>353</v>
      </c>
      <c r="J2863" s="88"/>
    </row>
    <row r="2864">
      <c r="A2864" s="20" t="s">
        <v>98</v>
      </c>
      <c r="B2864" s="9" t="s">
        <v>5183</v>
      </c>
      <c r="C2864" s="91">
        <v>45370.69093408565</v>
      </c>
      <c r="D2864" s="8">
        <f t="shared" si="262"/>
        <v>45372</v>
      </c>
      <c r="E2864" s="9" t="s">
        <v>11</v>
      </c>
      <c r="F2864" s="10"/>
      <c r="G2864" s="9" t="s">
        <v>18</v>
      </c>
      <c r="H2864" s="7" t="s">
        <v>5184</v>
      </c>
      <c r="I2864" s="9" t="s">
        <v>353</v>
      </c>
      <c r="J2864" s="88"/>
    </row>
    <row r="2865">
      <c r="A2865" s="34" t="s">
        <v>204</v>
      </c>
      <c r="B2865" s="7" t="s">
        <v>5185</v>
      </c>
      <c r="C2865" s="91">
        <v>45366.51000155092</v>
      </c>
      <c r="D2865" s="8">
        <f t="shared" si="262"/>
        <v>45370</v>
      </c>
      <c r="E2865" s="9" t="s">
        <v>11</v>
      </c>
      <c r="F2865" s="71">
        <v>45370.0</v>
      </c>
      <c r="G2865" s="9" t="s">
        <v>18</v>
      </c>
      <c r="H2865" s="7" t="s">
        <v>437</v>
      </c>
      <c r="I2865" s="9" t="s">
        <v>353</v>
      </c>
      <c r="J2865" s="88"/>
    </row>
    <row r="2866">
      <c r="A2866" s="6" t="s">
        <v>9</v>
      </c>
      <c r="B2866" s="7" t="s">
        <v>5186</v>
      </c>
      <c r="C2866" s="91">
        <v>45370.60924777778</v>
      </c>
      <c r="D2866" s="8">
        <f t="shared" si="262"/>
        <v>45372</v>
      </c>
      <c r="E2866" s="9" t="s">
        <v>11</v>
      </c>
      <c r="F2866" s="10"/>
      <c r="G2866" s="9" t="s">
        <v>18</v>
      </c>
      <c r="H2866" s="7" t="s">
        <v>5187</v>
      </c>
      <c r="I2866" s="9" t="s">
        <v>353</v>
      </c>
      <c r="J2866" s="88"/>
    </row>
    <row r="2867">
      <c r="A2867" s="20" t="s">
        <v>98</v>
      </c>
      <c r="B2867" s="9" t="s">
        <v>4997</v>
      </c>
      <c r="C2867" s="91">
        <v>45363.50957328704</v>
      </c>
      <c r="D2867" s="8">
        <f t="shared" si="262"/>
        <v>45365</v>
      </c>
      <c r="E2867" s="9" t="s">
        <v>11</v>
      </c>
      <c r="F2867" s="10"/>
      <c r="G2867" s="9" t="s">
        <v>18</v>
      </c>
      <c r="H2867" s="7" t="s">
        <v>5188</v>
      </c>
      <c r="I2867" s="9" t="s">
        <v>353</v>
      </c>
      <c r="J2867" s="88"/>
    </row>
    <row r="2868">
      <c r="A2868" s="20" t="s">
        <v>98</v>
      </c>
      <c r="B2868" s="9" t="s">
        <v>4613</v>
      </c>
      <c r="C2868" s="91">
        <v>45357.76707987269</v>
      </c>
      <c r="D2868" s="8">
        <f t="shared" si="262"/>
        <v>45359</v>
      </c>
      <c r="E2868" s="9" t="s">
        <v>11</v>
      </c>
      <c r="F2868" s="10"/>
      <c r="G2868" s="9" t="s">
        <v>15</v>
      </c>
      <c r="H2868" s="7" t="s">
        <v>5189</v>
      </c>
      <c r="I2868" s="9" t="s">
        <v>353</v>
      </c>
      <c r="J2868" s="88"/>
    </row>
    <row r="2869">
      <c r="A2869" s="20" t="s">
        <v>98</v>
      </c>
      <c r="B2869" s="9" t="s">
        <v>5190</v>
      </c>
      <c r="C2869" s="91">
        <v>45363.35504068287</v>
      </c>
      <c r="D2869" s="8">
        <f t="shared" si="262"/>
        <v>45365</v>
      </c>
      <c r="E2869" s="9" t="s">
        <v>11</v>
      </c>
      <c r="F2869" s="10"/>
      <c r="G2869" s="9" t="s">
        <v>15</v>
      </c>
      <c r="H2869" s="7" t="s">
        <v>5191</v>
      </c>
      <c r="I2869" s="9" t="s">
        <v>353</v>
      </c>
      <c r="J2869" s="88"/>
    </row>
    <row r="2870">
      <c r="A2870" s="34" t="s">
        <v>204</v>
      </c>
      <c r="B2870" s="7" t="s">
        <v>5192</v>
      </c>
      <c r="C2870" s="91">
        <v>45364.73768518519</v>
      </c>
      <c r="D2870" s="8">
        <f t="shared" si="262"/>
        <v>45366</v>
      </c>
      <c r="E2870" s="9" t="s">
        <v>11</v>
      </c>
      <c r="F2870" s="9" t="s">
        <v>11</v>
      </c>
      <c r="G2870" s="9" t="s">
        <v>15</v>
      </c>
      <c r="H2870" s="7" t="s">
        <v>5193</v>
      </c>
      <c r="I2870" s="9" t="s">
        <v>353</v>
      </c>
      <c r="J2870" s="88"/>
    </row>
    <row r="2871">
      <c r="A2871" s="34" t="s">
        <v>204</v>
      </c>
      <c r="B2871" s="7" t="s">
        <v>5194</v>
      </c>
      <c r="C2871" s="91">
        <v>45364.492419699076</v>
      </c>
      <c r="D2871" s="8">
        <f t="shared" si="262"/>
        <v>45366</v>
      </c>
      <c r="E2871" s="9" t="s">
        <v>11</v>
      </c>
      <c r="F2871" s="71">
        <v>45369.0</v>
      </c>
      <c r="G2871" s="9" t="s">
        <v>18</v>
      </c>
      <c r="H2871" s="7" t="s">
        <v>437</v>
      </c>
      <c r="I2871" s="9" t="s">
        <v>353</v>
      </c>
      <c r="J2871" s="88"/>
    </row>
    <row r="2872">
      <c r="A2872" s="34" t="s">
        <v>204</v>
      </c>
      <c r="B2872" s="7" t="s">
        <v>5195</v>
      </c>
      <c r="C2872" s="91">
        <v>45364.49235759259</v>
      </c>
      <c r="D2872" s="8">
        <f t="shared" si="262"/>
        <v>45366</v>
      </c>
      <c r="E2872" s="9" t="s">
        <v>11</v>
      </c>
      <c r="F2872" s="71">
        <v>45369.0</v>
      </c>
      <c r="G2872" s="9" t="s">
        <v>18</v>
      </c>
      <c r="H2872" s="7" t="s">
        <v>437</v>
      </c>
      <c r="I2872" s="9" t="s">
        <v>353</v>
      </c>
      <c r="J2872" s="88"/>
    </row>
    <row r="2873">
      <c r="A2873" s="20" t="s">
        <v>98</v>
      </c>
      <c r="B2873" s="9" t="s">
        <v>5196</v>
      </c>
      <c r="C2873" s="91">
        <v>45334.489597499996</v>
      </c>
      <c r="D2873" s="8">
        <f t="shared" si="262"/>
        <v>45336</v>
      </c>
      <c r="E2873" s="9" t="s">
        <v>88</v>
      </c>
      <c r="F2873" s="10"/>
      <c r="G2873" s="9" t="s">
        <v>15</v>
      </c>
      <c r="H2873" s="7" t="s">
        <v>5197</v>
      </c>
      <c r="I2873" s="9" t="s">
        <v>353</v>
      </c>
      <c r="J2873" s="88"/>
    </row>
    <row r="2874">
      <c r="A2874" s="6" t="s">
        <v>9</v>
      </c>
      <c r="B2874" s="7" t="s">
        <v>5198</v>
      </c>
      <c r="C2874" s="91">
        <v>45238.58353418982</v>
      </c>
      <c r="D2874" s="8">
        <f t="shared" si="262"/>
        <v>45240</v>
      </c>
      <c r="E2874" s="9" t="s">
        <v>11</v>
      </c>
      <c r="F2874" s="10"/>
      <c r="G2874" s="151" t="s">
        <v>21</v>
      </c>
      <c r="H2874" s="149" t="s">
        <v>5199</v>
      </c>
      <c r="I2874" s="9" t="s">
        <v>353</v>
      </c>
      <c r="J2874" s="88"/>
    </row>
    <row r="2875">
      <c r="A2875" s="20" t="s">
        <v>98</v>
      </c>
      <c r="B2875" s="9" t="s">
        <v>5200</v>
      </c>
      <c r="C2875" s="91">
        <v>45364.837498356486</v>
      </c>
      <c r="D2875" s="8">
        <f t="shared" si="262"/>
        <v>45366</v>
      </c>
      <c r="E2875" s="9" t="s">
        <v>206</v>
      </c>
      <c r="F2875" s="10"/>
      <c r="G2875" s="9" t="s">
        <v>15</v>
      </c>
      <c r="H2875" s="7" t="s">
        <v>5189</v>
      </c>
      <c r="I2875" s="9" t="s">
        <v>353</v>
      </c>
      <c r="J2875" s="88"/>
    </row>
    <row r="2876">
      <c r="A2876" s="42" t="s">
        <v>330</v>
      </c>
      <c r="B2876" s="7" t="s">
        <v>4997</v>
      </c>
      <c r="C2876" s="91">
        <v>45348.51229083333</v>
      </c>
      <c r="D2876" s="8">
        <f t="shared" si="262"/>
        <v>45350</v>
      </c>
      <c r="E2876" s="9" t="s">
        <v>11</v>
      </c>
      <c r="F2876" s="8">
        <v>45357.0</v>
      </c>
      <c r="G2876" s="9" t="s">
        <v>15</v>
      </c>
      <c r="H2876" s="7" t="s">
        <v>5201</v>
      </c>
      <c r="I2876" s="9" t="s">
        <v>353</v>
      </c>
      <c r="J2876" s="88"/>
    </row>
    <row r="2877">
      <c r="A2877" s="42" t="s">
        <v>330</v>
      </c>
      <c r="B2877" s="7" t="s">
        <v>5202</v>
      </c>
      <c r="C2877" s="91">
        <v>45344.42330976852</v>
      </c>
      <c r="D2877" s="8">
        <f t="shared" si="262"/>
        <v>45348</v>
      </c>
      <c r="E2877" s="9" t="s">
        <v>11</v>
      </c>
      <c r="F2877" s="10"/>
      <c r="G2877" s="9" t="s">
        <v>220</v>
      </c>
      <c r="H2877" s="7" t="s">
        <v>5203</v>
      </c>
      <c r="I2877" s="9" t="s">
        <v>353</v>
      </c>
      <c r="J2877" s="88"/>
    </row>
    <row r="2878">
      <c r="A2878" s="42" t="s">
        <v>330</v>
      </c>
      <c r="B2878" s="7" t="s">
        <v>5204</v>
      </c>
      <c r="C2878" s="91">
        <v>45266.35881337963</v>
      </c>
      <c r="D2878" s="8">
        <f t="shared" si="262"/>
        <v>45268</v>
      </c>
      <c r="E2878" s="9" t="s">
        <v>11</v>
      </c>
      <c r="F2878" s="10"/>
      <c r="G2878" s="9" t="s">
        <v>89</v>
      </c>
      <c r="H2878" s="7" t="s">
        <v>5205</v>
      </c>
      <c r="I2878" s="9" t="s">
        <v>353</v>
      </c>
      <c r="J2878" s="88"/>
    </row>
    <row r="2879">
      <c r="A2879" s="42" t="s">
        <v>330</v>
      </c>
      <c r="B2879" s="7" t="s">
        <v>4768</v>
      </c>
      <c r="C2879" s="91">
        <v>45329.5148462963</v>
      </c>
      <c r="D2879" s="8">
        <f t="shared" si="262"/>
        <v>45331</v>
      </c>
      <c r="E2879" s="9" t="s">
        <v>11</v>
      </c>
      <c r="F2879" s="10"/>
      <c r="G2879" s="9" t="s">
        <v>21</v>
      </c>
      <c r="H2879" s="7" t="s">
        <v>5206</v>
      </c>
      <c r="I2879" s="9" t="s">
        <v>353</v>
      </c>
      <c r="J2879" s="88"/>
    </row>
    <row r="2880">
      <c r="A2880" s="42" t="s">
        <v>330</v>
      </c>
      <c r="B2880" s="184" t="s">
        <v>3466</v>
      </c>
      <c r="C2880" s="91">
        <v>45309.39562113426</v>
      </c>
      <c r="D2880" s="8">
        <f t="shared" si="262"/>
        <v>45313</v>
      </c>
      <c r="E2880" s="9" t="s">
        <v>11</v>
      </c>
      <c r="F2880" s="10"/>
      <c r="G2880" s="9" t="s">
        <v>15</v>
      </c>
      <c r="H2880" s="7" t="s">
        <v>5207</v>
      </c>
      <c r="I2880" s="9" t="s">
        <v>353</v>
      </c>
      <c r="J2880" s="88"/>
    </row>
    <row r="2881">
      <c r="A2881" s="42" t="s">
        <v>330</v>
      </c>
      <c r="B2881" s="184" t="s">
        <v>2022</v>
      </c>
      <c r="C2881" s="91">
        <v>45369.34554113426</v>
      </c>
      <c r="D2881" s="8">
        <f t="shared" si="262"/>
        <v>45371</v>
      </c>
      <c r="E2881" s="9" t="s">
        <v>11</v>
      </c>
      <c r="F2881" s="9" t="s">
        <v>11</v>
      </c>
      <c r="G2881" s="9" t="s">
        <v>15</v>
      </c>
      <c r="H2881" s="7" t="s">
        <v>5208</v>
      </c>
      <c r="I2881" s="9" t="s">
        <v>353</v>
      </c>
      <c r="J2881" s="88"/>
    </row>
    <row r="2882">
      <c r="A2882" s="42" t="s">
        <v>330</v>
      </c>
      <c r="B2882" s="184" t="s">
        <v>3570</v>
      </c>
      <c r="C2882" s="91">
        <v>45369.34589166667</v>
      </c>
      <c r="D2882" s="8">
        <f t="shared" si="262"/>
        <v>45371</v>
      </c>
      <c r="E2882" s="9" t="s">
        <v>11</v>
      </c>
      <c r="F2882" s="10"/>
      <c r="G2882" s="9" t="s">
        <v>15</v>
      </c>
      <c r="H2882" s="7" t="s">
        <v>5209</v>
      </c>
      <c r="I2882" s="9" t="s">
        <v>353</v>
      </c>
      <c r="J2882" s="88"/>
    </row>
    <row r="2883">
      <c r="A2883" s="42" t="s">
        <v>330</v>
      </c>
      <c r="B2883" s="184" t="s">
        <v>93</v>
      </c>
      <c r="C2883" s="91">
        <v>45369.345962141204</v>
      </c>
      <c r="D2883" s="8">
        <f t="shared" si="262"/>
        <v>45371</v>
      </c>
      <c r="E2883" s="9" t="s">
        <v>11</v>
      </c>
      <c r="F2883" s="10"/>
      <c r="G2883" s="9" t="s">
        <v>15</v>
      </c>
      <c r="H2883" s="7" t="s">
        <v>5210</v>
      </c>
      <c r="I2883" s="9" t="s">
        <v>353</v>
      </c>
      <c r="J2883" s="88"/>
    </row>
    <row r="2884">
      <c r="A2884" s="42" t="s">
        <v>330</v>
      </c>
      <c r="B2884" s="7" t="s">
        <v>5211</v>
      </c>
      <c r="C2884" s="91">
        <v>45254.472979328704</v>
      </c>
      <c r="D2884" s="8">
        <f t="shared" si="262"/>
        <v>45258</v>
      </c>
      <c r="E2884" s="9" t="s">
        <v>11</v>
      </c>
      <c r="F2884" s="8"/>
      <c r="G2884" s="9" t="s">
        <v>15</v>
      </c>
      <c r="H2884" s="7" t="s">
        <v>5212</v>
      </c>
      <c r="I2884" s="9" t="s">
        <v>353</v>
      </c>
      <c r="J2884" s="88"/>
    </row>
    <row r="2885">
      <c r="A2885" s="42" t="s">
        <v>330</v>
      </c>
      <c r="B2885" s="7" t="s">
        <v>4682</v>
      </c>
      <c r="C2885" s="91">
        <v>45345.47596170139</v>
      </c>
      <c r="D2885" s="8">
        <f t="shared" si="262"/>
        <v>45349</v>
      </c>
      <c r="E2885" s="9" t="s">
        <v>11</v>
      </c>
      <c r="F2885" s="9" t="s">
        <v>11</v>
      </c>
      <c r="G2885" s="9" t="s">
        <v>21</v>
      </c>
      <c r="H2885" s="7" t="s">
        <v>5213</v>
      </c>
      <c r="I2885" s="9" t="s">
        <v>353</v>
      </c>
      <c r="J2885" s="88"/>
    </row>
    <row r="2886">
      <c r="A2886" s="42" t="s">
        <v>330</v>
      </c>
      <c r="B2886" s="7" t="s">
        <v>5214</v>
      </c>
      <c r="C2886" s="91">
        <v>45336.728194131945</v>
      </c>
      <c r="D2886" s="8">
        <f t="shared" si="262"/>
        <v>45338</v>
      </c>
      <c r="E2886" s="9" t="s">
        <v>11</v>
      </c>
      <c r="F2886" s="9" t="s">
        <v>11</v>
      </c>
      <c r="G2886" s="9" t="s">
        <v>220</v>
      </c>
      <c r="H2886" s="7" t="s">
        <v>5215</v>
      </c>
      <c r="I2886" s="9" t="s">
        <v>353</v>
      </c>
      <c r="J2886" s="88"/>
    </row>
    <row r="2887">
      <c r="A2887" s="42" t="s">
        <v>330</v>
      </c>
      <c r="B2887" s="7" t="s">
        <v>5216</v>
      </c>
      <c r="C2887" s="91">
        <v>45330.653571585644</v>
      </c>
      <c r="D2887" s="8">
        <f t="shared" si="262"/>
        <v>45334</v>
      </c>
      <c r="E2887" s="9" t="s">
        <v>11</v>
      </c>
      <c r="F2887" s="9" t="s">
        <v>11</v>
      </c>
      <c r="G2887" s="9" t="s">
        <v>18</v>
      </c>
      <c r="H2887" s="7" t="s">
        <v>5217</v>
      </c>
      <c r="I2887" s="9" t="s">
        <v>353</v>
      </c>
      <c r="J2887" s="88"/>
    </row>
    <row r="2888">
      <c r="A2888" s="20" t="s">
        <v>98</v>
      </c>
      <c r="B2888" s="9" t="s">
        <v>5218</v>
      </c>
      <c r="C2888" s="91">
        <v>45349.58415228009</v>
      </c>
      <c r="D2888" s="8">
        <f t="shared" si="262"/>
        <v>45351</v>
      </c>
      <c r="E2888" s="9" t="s">
        <v>206</v>
      </c>
      <c r="F2888" s="10"/>
      <c r="G2888" s="9" t="s">
        <v>15</v>
      </c>
      <c r="H2888" s="23" t="s">
        <v>5219</v>
      </c>
      <c r="I2888" s="9" t="s">
        <v>353</v>
      </c>
      <c r="J2888" s="88"/>
    </row>
    <row r="2889">
      <c r="A2889" s="42" t="s">
        <v>330</v>
      </c>
      <c r="B2889" s="7" t="s">
        <v>5220</v>
      </c>
      <c r="C2889" s="91">
        <v>45341.47686487269</v>
      </c>
      <c r="D2889" s="8">
        <f t="shared" si="262"/>
        <v>45343</v>
      </c>
      <c r="E2889" s="9" t="s">
        <v>11</v>
      </c>
      <c r="F2889" s="10"/>
      <c r="G2889" s="9" t="s">
        <v>18</v>
      </c>
      <c r="H2889" s="7" t="s">
        <v>5221</v>
      </c>
      <c r="I2889" s="9" t="s">
        <v>353</v>
      </c>
      <c r="J2889" s="88"/>
    </row>
    <row r="2890">
      <c r="A2890" s="20" t="s">
        <v>98</v>
      </c>
      <c r="B2890" s="9" t="s">
        <v>5222</v>
      </c>
      <c r="C2890" s="91">
        <v>45364.77101082176</v>
      </c>
      <c r="D2890" s="8">
        <f t="shared" si="262"/>
        <v>45366</v>
      </c>
      <c r="E2890" s="9" t="s">
        <v>88</v>
      </c>
      <c r="F2890" s="10"/>
      <c r="G2890" s="9" t="s">
        <v>18</v>
      </c>
      <c r="H2890" s="7" t="s">
        <v>5081</v>
      </c>
      <c r="I2890" s="9" t="s">
        <v>353</v>
      </c>
      <c r="J2890" s="88"/>
    </row>
    <row r="2891">
      <c r="A2891" s="42" t="s">
        <v>330</v>
      </c>
      <c r="B2891" s="7" t="s">
        <v>5223</v>
      </c>
      <c r="C2891" s="91">
        <v>45348.58921082176</v>
      </c>
      <c r="D2891" s="8">
        <f t="shared" si="262"/>
        <v>45350</v>
      </c>
      <c r="E2891" s="9" t="s">
        <v>11</v>
      </c>
      <c r="F2891" s="8">
        <v>45357.0</v>
      </c>
      <c r="G2891" s="9" t="s">
        <v>15</v>
      </c>
      <c r="H2891" s="7" t="s">
        <v>5224</v>
      </c>
      <c r="I2891" s="9" t="s">
        <v>353</v>
      </c>
      <c r="J2891" s="88"/>
    </row>
    <row r="2892">
      <c r="A2892" s="20" t="s">
        <v>98</v>
      </c>
      <c r="B2892" s="9" t="s">
        <v>5225</v>
      </c>
      <c r="C2892" s="91">
        <v>45355.38450703704</v>
      </c>
      <c r="D2892" s="8">
        <f t="shared" si="262"/>
        <v>45357</v>
      </c>
      <c r="E2892" s="9" t="s">
        <v>11</v>
      </c>
      <c r="F2892" s="10"/>
      <c r="G2892" s="9" t="s">
        <v>15</v>
      </c>
      <c r="H2892" s="7" t="s">
        <v>5226</v>
      </c>
      <c r="I2892" s="9" t="s">
        <v>353</v>
      </c>
      <c r="J2892" s="88"/>
    </row>
    <row r="2893">
      <c r="A2893" s="20" t="s">
        <v>98</v>
      </c>
      <c r="B2893" s="9" t="s">
        <v>5227</v>
      </c>
      <c r="C2893" s="91">
        <v>45356.70932570602</v>
      </c>
      <c r="D2893" s="8">
        <f t="shared" si="262"/>
        <v>45358</v>
      </c>
      <c r="E2893" s="9" t="s">
        <v>11</v>
      </c>
      <c r="F2893" s="10"/>
      <c r="G2893" s="9" t="s">
        <v>15</v>
      </c>
      <c r="H2893" s="23" t="s">
        <v>5228</v>
      </c>
      <c r="I2893" s="9" t="s">
        <v>353</v>
      </c>
      <c r="J2893" s="88"/>
    </row>
    <row r="2894">
      <c r="A2894" s="20" t="s">
        <v>98</v>
      </c>
      <c r="B2894" s="9" t="s">
        <v>5229</v>
      </c>
      <c r="C2894" s="91">
        <v>45356.70956077546</v>
      </c>
      <c r="D2894" s="8">
        <f t="shared" si="262"/>
        <v>45358</v>
      </c>
      <c r="E2894" s="9" t="s">
        <v>206</v>
      </c>
      <c r="F2894" s="10"/>
      <c r="G2894" s="9" t="s">
        <v>15</v>
      </c>
      <c r="H2894" s="23" t="s">
        <v>5228</v>
      </c>
      <c r="I2894" s="9" t="s">
        <v>353</v>
      </c>
      <c r="J2894" s="88"/>
    </row>
    <row r="2895">
      <c r="A2895" s="34" t="s">
        <v>204</v>
      </c>
      <c r="B2895" s="7" t="s">
        <v>5230</v>
      </c>
      <c r="C2895" s="91">
        <v>45342.75327959491</v>
      </c>
      <c r="D2895" s="8">
        <f t="shared" si="262"/>
        <v>45344</v>
      </c>
      <c r="E2895" s="9" t="s">
        <v>11</v>
      </c>
      <c r="F2895" s="9" t="s">
        <v>11</v>
      </c>
      <c r="G2895" s="9" t="s">
        <v>15</v>
      </c>
      <c r="H2895" s="7" t="s">
        <v>5231</v>
      </c>
      <c r="I2895" s="9" t="s">
        <v>353</v>
      </c>
      <c r="J2895" s="88"/>
    </row>
    <row r="2896">
      <c r="A2896" s="20" t="s">
        <v>98</v>
      </c>
      <c r="B2896" s="9" t="s">
        <v>5232</v>
      </c>
      <c r="C2896" s="91">
        <v>45364.71290787037</v>
      </c>
      <c r="D2896" s="8">
        <f t="shared" si="262"/>
        <v>45366</v>
      </c>
      <c r="E2896" s="9" t="s">
        <v>206</v>
      </c>
      <c r="F2896" s="10"/>
      <c r="G2896" s="9" t="s">
        <v>15</v>
      </c>
      <c r="H2896" s="7" t="s">
        <v>5233</v>
      </c>
      <c r="I2896" s="9" t="s">
        <v>353</v>
      </c>
      <c r="J2896" s="88"/>
    </row>
    <row r="2897">
      <c r="A2897" s="6" t="s">
        <v>9</v>
      </c>
      <c r="B2897" s="7" t="s">
        <v>791</v>
      </c>
      <c r="C2897" s="91">
        <v>45364.76806465277</v>
      </c>
      <c r="D2897" s="8">
        <f t="shared" si="262"/>
        <v>45366</v>
      </c>
      <c r="E2897" s="9" t="s">
        <v>11</v>
      </c>
      <c r="F2897" s="10"/>
      <c r="G2897" s="9" t="s">
        <v>15</v>
      </c>
      <c r="H2897" s="7" t="s">
        <v>2455</v>
      </c>
      <c r="I2897" s="9" t="s">
        <v>353</v>
      </c>
      <c r="J2897" s="88"/>
    </row>
    <row r="2898">
      <c r="A2898" s="6" t="s">
        <v>9</v>
      </c>
      <c r="B2898" s="7" t="s">
        <v>5234</v>
      </c>
      <c r="C2898" s="91">
        <v>45364.75668322916</v>
      </c>
      <c r="D2898" s="8">
        <f t="shared" si="262"/>
        <v>45366</v>
      </c>
      <c r="E2898" s="9" t="s">
        <v>11</v>
      </c>
      <c r="F2898" s="10"/>
      <c r="G2898" s="9" t="s">
        <v>15</v>
      </c>
      <c r="H2898" s="7" t="s">
        <v>2455</v>
      </c>
      <c r="I2898" s="9" t="s">
        <v>353</v>
      </c>
      <c r="J2898" s="88"/>
    </row>
    <row r="2899">
      <c r="A2899" s="6" t="s">
        <v>9</v>
      </c>
      <c r="B2899" s="7" t="s">
        <v>5235</v>
      </c>
      <c r="C2899" s="91">
        <v>45362.65541527778</v>
      </c>
      <c r="D2899" s="8">
        <f t="shared" si="262"/>
        <v>45364</v>
      </c>
      <c r="E2899" s="9" t="s">
        <v>11</v>
      </c>
      <c r="F2899" s="10"/>
      <c r="G2899" s="9" t="s">
        <v>15</v>
      </c>
      <c r="H2899" s="7" t="s">
        <v>5236</v>
      </c>
      <c r="I2899" s="9" t="s">
        <v>353</v>
      </c>
      <c r="J2899" s="88"/>
    </row>
    <row r="2900">
      <c r="A2900" s="20" t="s">
        <v>98</v>
      </c>
      <c r="B2900" s="9" t="s">
        <v>5237</v>
      </c>
      <c r="C2900" s="91">
        <v>45349.58405116898</v>
      </c>
      <c r="D2900" s="8">
        <f t="shared" si="262"/>
        <v>45351</v>
      </c>
      <c r="E2900" s="9" t="s">
        <v>206</v>
      </c>
      <c r="F2900" s="10"/>
      <c r="G2900" s="9" t="s">
        <v>18</v>
      </c>
      <c r="H2900" s="23" t="s">
        <v>5238</v>
      </c>
      <c r="I2900" s="9" t="s">
        <v>353</v>
      </c>
      <c r="J2900" s="88"/>
    </row>
    <row r="2901">
      <c r="A2901" s="20" t="s">
        <v>98</v>
      </c>
      <c r="B2901" s="9" t="s">
        <v>5239</v>
      </c>
      <c r="C2901" s="91">
        <v>45348.4602870949</v>
      </c>
      <c r="D2901" s="8">
        <f t="shared" si="262"/>
        <v>45350</v>
      </c>
      <c r="E2901" s="9" t="s">
        <v>206</v>
      </c>
      <c r="F2901" s="10"/>
      <c r="G2901" s="9" t="s">
        <v>18</v>
      </c>
      <c r="H2901" s="23" t="s">
        <v>5240</v>
      </c>
      <c r="I2901" s="9" t="s">
        <v>353</v>
      </c>
      <c r="J2901" s="88"/>
    </row>
    <row r="2902">
      <c r="A2902" s="20" t="s">
        <v>98</v>
      </c>
      <c r="B2902" s="9" t="s">
        <v>5241</v>
      </c>
      <c r="C2902" s="91">
        <v>45357.76693380787</v>
      </c>
      <c r="D2902" s="8">
        <f t="shared" si="262"/>
        <v>45359</v>
      </c>
      <c r="E2902" s="9" t="s">
        <v>11</v>
      </c>
      <c r="F2902" s="10"/>
      <c r="G2902" s="9" t="s">
        <v>18</v>
      </c>
      <c r="H2902" s="7" t="s">
        <v>2599</v>
      </c>
      <c r="I2902" s="9" t="s">
        <v>353</v>
      </c>
      <c r="J2902" s="88"/>
    </row>
    <row r="2903">
      <c r="A2903" s="34" t="s">
        <v>204</v>
      </c>
      <c r="B2903" s="7" t="s">
        <v>5242</v>
      </c>
      <c r="C2903" s="91">
        <v>45237.761611319445</v>
      </c>
      <c r="D2903" s="8">
        <f t="shared" si="262"/>
        <v>45239</v>
      </c>
      <c r="E2903" s="9" t="s">
        <v>11</v>
      </c>
      <c r="F2903" s="71">
        <v>45365.0</v>
      </c>
      <c r="G2903" s="9" t="s">
        <v>18</v>
      </c>
      <c r="H2903" s="7" t="s">
        <v>5243</v>
      </c>
      <c r="I2903" s="9" t="s">
        <v>353</v>
      </c>
      <c r="J2903" s="88"/>
    </row>
    <row r="2904">
      <c r="A2904" s="20" t="s">
        <v>98</v>
      </c>
      <c r="B2904" s="9" t="s">
        <v>5244</v>
      </c>
      <c r="C2904" s="91">
        <v>45359.756204652775</v>
      </c>
      <c r="D2904" s="8">
        <f t="shared" si="262"/>
        <v>45363</v>
      </c>
      <c r="E2904" s="9" t="s">
        <v>206</v>
      </c>
      <c r="F2904" s="10"/>
      <c r="G2904" s="9" t="s">
        <v>18</v>
      </c>
      <c r="H2904" s="7" t="s">
        <v>5245</v>
      </c>
      <c r="I2904" s="9" t="s">
        <v>353</v>
      </c>
      <c r="J2904" s="88"/>
    </row>
    <row r="2905">
      <c r="A2905" s="6" t="s">
        <v>9</v>
      </c>
      <c r="B2905" s="7" t="s">
        <v>5246</v>
      </c>
      <c r="C2905" s="91">
        <v>45358.7061578125</v>
      </c>
      <c r="D2905" s="8">
        <f t="shared" si="262"/>
        <v>45362</v>
      </c>
      <c r="E2905" s="9" t="s">
        <v>11</v>
      </c>
      <c r="F2905" s="10"/>
      <c r="G2905" s="9" t="s">
        <v>15</v>
      </c>
      <c r="H2905" s="7" t="s">
        <v>5247</v>
      </c>
      <c r="I2905" s="9" t="s">
        <v>353</v>
      </c>
      <c r="J2905" s="88"/>
    </row>
    <row r="2906">
      <c r="A2906" s="6" t="s">
        <v>9</v>
      </c>
      <c r="B2906" s="7" t="s">
        <v>5248</v>
      </c>
      <c r="C2906" s="91">
        <v>45362.73081807871</v>
      </c>
      <c r="D2906" s="8">
        <f t="shared" si="262"/>
        <v>45364</v>
      </c>
      <c r="E2906" s="9" t="s">
        <v>11</v>
      </c>
      <c r="F2906" s="10"/>
      <c r="G2906" s="9" t="s">
        <v>15</v>
      </c>
      <c r="H2906" s="7" t="s">
        <v>2455</v>
      </c>
      <c r="I2906" s="9" t="s">
        <v>353</v>
      </c>
      <c r="J2906" s="88"/>
    </row>
    <row r="2907">
      <c r="A2907" s="42" t="s">
        <v>330</v>
      </c>
      <c r="B2907" s="7" t="s">
        <v>5249</v>
      </c>
      <c r="C2907" s="91">
        <v>45351.38207896991</v>
      </c>
      <c r="D2907" s="8">
        <f t="shared" si="262"/>
        <v>45355</v>
      </c>
      <c r="E2907" s="9" t="s">
        <v>11</v>
      </c>
      <c r="F2907" s="8">
        <v>45357.0</v>
      </c>
      <c r="G2907" s="9" t="s">
        <v>15</v>
      </c>
      <c r="H2907" s="7" t="s">
        <v>5250</v>
      </c>
      <c r="I2907" s="9" t="s">
        <v>353</v>
      </c>
      <c r="J2907" s="88"/>
    </row>
    <row r="2908">
      <c r="A2908" s="34" t="s">
        <v>204</v>
      </c>
      <c r="B2908" s="7" t="s">
        <v>5251</v>
      </c>
      <c r="C2908" s="91">
        <v>45359.48891482639</v>
      </c>
      <c r="D2908" s="8">
        <f t="shared" si="262"/>
        <v>45363</v>
      </c>
      <c r="E2908" s="9" t="s">
        <v>11</v>
      </c>
      <c r="F2908" s="71"/>
      <c r="G2908" s="9" t="s">
        <v>15</v>
      </c>
      <c r="H2908" s="7" t="s">
        <v>5252</v>
      </c>
      <c r="I2908" s="9" t="s">
        <v>353</v>
      </c>
      <c r="J2908" s="88"/>
    </row>
    <row r="2909">
      <c r="A2909" s="34" t="s">
        <v>204</v>
      </c>
      <c r="B2909" s="7" t="s">
        <v>5253</v>
      </c>
      <c r="C2909" s="91">
        <v>45349.74251833333</v>
      </c>
      <c r="D2909" s="8">
        <f t="shared" si="262"/>
        <v>45351</v>
      </c>
      <c r="E2909" s="9" t="s">
        <v>11</v>
      </c>
      <c r="F2909" s="9" t="s">
        <v>11</v>
      </c>
      <c r="G2909" s="9" t="s">
        <v>15</v>
      </c>
      <c r="H2909" s="7" t="s">
        <v>5254</v>
      </c>
      <c r="I2909" s="9" t="s">
        <v>353</v>
      </c>
      <c r="J2909" s="88"/>
    </row>
    <row r="2910">
      <c r="A2910" s="6" t="s">
        <v>9</v>
      </c>
      <c r="B2910" s="7" t="s">
        <v>5255</v>
      </c>
      <c r="C2910" s="91">
        <v>45363.40417484954</v>
      </c>
      <c r="D2910" s="8">
        <f t="shared" si="262"/>
        <v>45365</v>
      </c>
      <c r="E2910" s="9" t="s">
        <v>94</v>
      </c>
      <c r="F2910" s="10"/>
      <c r="G2910" s="9" t="s">
        <v>15</v>
      </c>
      <c r="H2910" s="7" t="s">
        <v>5256</v>
      </c>
      <c r="I2910" s="9" t="s">
        <v>353</v>
      </c>
      <c r="J2910" s="88"/>
    </row>
    <row r="2911">
      <c r="A2911" s="6" t="s">
        <v>9</v>
      </c>
      <c r="B2911" s="7" t="s">
        <v>4695</v>
      </c>
      <c r="C2911" s="91">
        <v>45352.40342408565</v>
      </c>
      <c r="D2911" s="8">
        <f t="shared" si="262"/>
        <v>45356</v>
      </c>
      <c r="E2911" s="9" t="s">
        <v>11</v>
      </c>
      <c r="F2911" s="10"/>
      <c r="G2911" s="9" t="s">
        <v>18</v>
      </c>
      <c r="H2911" s="7" t="s">
        <v>5257</v>
      </c>
      <c r="I2911" s="9" t="s">
        <v>353</v>
      </c>
      <c r="J2911" s="88"/>
    </row>
    <row r="2912">
      <c r="A2912" s="20" t="s">
        <v>98</v>
      </c>
      <c r="B2912" s="9" t="s">
        <v>5258</v>
      </c>
      <c r="C2912" s="91">
        <v>45301.45242168981</v>
      </c>
      <c r="D2912" s="8">
        <f t="shared" si="262"/>
        <v>45303</v>
      </c>
      <c r="E2912" s="9" t="s">
        <v>206</v>
      </c>
      <c r="F2912" s="10"/>
      <c r="G2912" s="9" t="s">
        <v>15</v>
      </c>
      <c r="H2912" s="23" t="s">
        <v>5259</v>
      </c>
      <c r="I2912" s="9" t="s">
        <v>353</v>
      </c>
      <c r="J2912" s="88"/>
    </row>
    <row r="2913">
      <c r="A2913" s="20" t="s">
        <v>98</v>
      </c>
      <c r="B2913" s="9" t="s">
        <v>5260</v>
      </c>
      <c r="C2913" s="91">
        <v>45324.401777141204</v>
      </c>
      <c r="D2913" s="8">
        <f t="shared" si="262"/>
        <v>45328</v>
      </c>
      <c r="E2913" s="9" t="s">
        <v>88</v>
      </c>
      <c r="F2913" s="10"/>
      <c r="G2913" s="9" t="s">
        <v>18</v>
      </c>
      <c r="H2913" s="7" t="s">
        <v>5261</v>
      </c>
      <c r="I2913" s="9" t="s">
        <v>353</v>
      </c>
      <c r="J2913" s="88"/>
    </row>
    <row r="2914">
      <c r="A2914" s="6" t="s">
        <v>9</v>
      </c>
      <c r="B2914" s="7" t="s">
        <v>5262</v>
      </c>
      <c r="C2914" s="91">
        <v>45359.38385565972</v>
      </c>
      <c r="D2914" s="8">
        <f t="shared" si="262"/>
        <v>45363</v>
      </c>
      <c r="E2914" s="9" t="s">
        <v>11</v>
      </c>
      <c r="F2914" s="10"/>
      <c r="G2914" s="9" t="s">
        <v>15</v>
      </c>
      <c r="H2914" s="7" t="s">
        <v>5263</v>
      </c>
      <c r="I2914" s="9" t="s">
        <v>353</v>
      </c>
      <c r="J2914" s="88"/>
    </row>
    <row r="2915">
      <c r="A2915" s="6" t="s">
        <v>9</v>
      </c>
      <c r="B2915" s="7" t="s">
        <v>5264</v>
      </c>
      <c r="C2915" s="91">
        <v>45273.39887780092</v>
      </c>
      <c r="D2915" s="8">
        <f t="shared" si="262"/>
        <v>45275</v>
      </c>
      <c r="E2915" s="9" t="s">
        <v>11</v>
      </c>
      <c r="F2915" s="10"/>
      <c r="G2915" s="9" t="s">
        <v>15</v>
      </c>
      <c r="H2915" s="7" t="s">
        <v>5265</v>
      </c>
      <c r="I2915" s="9" t="s">
        <v>353</v>
      </c>
      <c r="J2915" s="88"/>
    </row>
    <row r="2916">
      <c r="A2916" s="20" t="s">
        <v>98</v>
      </c>
      <c r="B2916" s="9" t="s">
        <v>3833</v>
      </c>
      <c r="C2916" s="91">
        <v>45355.43422851852</v>
      </c>
      <c r="D2916" s="8">
        <f t="shared" si="262"/>
        <v>45357</v>
      </c>
      <c r="E2916" s="9" t="s">
        <v>11</v>
      </c>
      <c r="F2916" s="10"/>
      <c r="G2916" s="9" t="s">
        <v>18</v>
      </c>
      <c r="H2916" s="7" t="s">
        <v>5266</v>
      </c>
      <c r="I2916" s="9" t="s">
        <v>353</v>
      </c>
      <c r="J2916" s="88"/>
    </row>
    <row r="2917">
      <c r="A2917" s="34" t="s">
        <v>204</v>
      </c>
      <c r="B2917" s="7" t="s">
        <v>5267</v>
      </c>
      <c r="C2917" s="91">
        <v>45359.414143263886</v>
      </c>
      <c r="D2917" s="8">
        <f t="shared" si="262"/>
        <v>45363</v>
      </c>
      <c r="E2917" s="9" t="s">
        <v>11</v>
      </c>
      <c r="F2917" s="10"/>
      <c r="G2917" s="9" t="s">
        <v>18</v>
      </c>
      <c r="H2917" s="7" t="s">
        <v>437</v>
      </c>
      <c r="I2917" s="9" t="s">
        <v>353</v>
      </c>
      <c r="J2917" s="88"/>
    </row>
    <row r="2918">
      <c r="A2918" s="6" t="s">
        <v>9</v>
      </c>
      <c r="B2918" s="7" t="s">
        <v>5268</v>
      </c>
      <c r="C2918" s="91">
        <v>45355.382858784724</v>
      </c>
      <c r="D2918" s="8">
        <f t="shared" si="262"/>
        <v>45357</v>
      </c>
      <c r="E2918" s="9" t="s">
        <v>11</v>
      </c>
      <c r="F2918" s="10"/>
      <c r="G2918" s="9" t="s">
        <v>15</v>
      </c>
      <c r="H2918" s="7" t="s">
        <v>5269</v>
      </c>
      <c r="I2918" s="9" t="s">
        <v>353</v>
      </c>
      <c r="J2918" s="88"/>
    </row>
    <row r="2919">
      <c r="A2919" s="42" t="s">
        <v>330</v>
      </c>
      <c r="B2919" s="7" t="s">
        <v>5270</v>
      </c>
      <c r="C2919" s="91">
        <v>45358.706921585646</v>
      </c>
      <c r="D2919" s="8">
        <f t="shared" si="262"/>
        <v>45362</v>
      </c>
      <c r="E2919" s="9" t="s">
        <v>11</v>
      </c>
      <c r="F2919" s="10"/>
      <c r="G2919" s="9" t="s">
        <v>18</v>
      </c>
      <c r="H2919" s="7" t="s">
        <v>437</v>
      </c>
      <c r="I2919" s="9" t="s">
        <v>353</v>
      </c>
      <c r="J2919" s="88"/>
    </row>
    <row r="2920">
      <c r="A2920" s="20" t="s">
        <v>98</v>
      </c>
      <c r="B2920" s="9" t="s">
        <v>5271</v>
      </c>
      <c r="C2920" s="91">
        <v>45356.70945309028</v>
      </c>
      <c r="D2920" s="8">
        <f t="shared" si="262"/>
        <v>45358</v>
      </c>
      <c r="E2920" s="9" t="s">
        <v>11</v>
      </c>
      <c r="F2920" s="10"/>
      <c r="G2920" s="9" t="s">
        <v>15</v>
      </c>
      <c r="H2920" s="7" t="s">
        <v>5272</v>
      </c>
      <c r="I2920" s="9" t="s">
        <v>353</v>
      </c>
      <c r="J2920" s="88"/>
    </row>
    <row r="2921">
      <c r="A2921" s="6" t="s">
        <v>9</v>
      </c>
      <c r="B2921" s="7" t="s">
        <v>5273</v>
      </c>
      <c r="C2921" s="91">
        <v>45357.6532291551</v>
      </c>
      <c r="D2921" s="8">
        <f t="shared" si="262"/>
        <v>45359</v>
      </c>
      <c r="E2921" s="9" t="s">
        <v>11</v>
      </c>
      <c r="F2921" s="10"/>
      <c r="G2921" s="9" t="s">
        <v>18</v>
      </c>
      <c r="H2921" s="7" t="s">
        <v>5274</v>
      </c>
      <c r="I2921" s="9" t="s">
        <v>353</v>
      </c>
      <c r="J2921" s="88"/>
    </row>
    <row r="2922">
      <c r="A2922" s="42" t="s">
        <v>330</v>
      </c>
      <c r="B2922" s="7" t="s">
        <v>5275</v>
      </c>
      <c r="C2922" s="91">
        <v>45280.45441693287</v>
      </c>
      <c r="D2922" s="8">
        <f t="shared" si="262"/>
        <v>45282</v>
      </c>
      <c r="E2922" s="9" t="s">
        <v>11</v>
      </c>
      <c r="F2922" s="10"/>
      <c r="G2922" s="9" t="s">
        <v>15</v>
      </c>
      <c r="H2922" s="7" t="s">
        <v>5276</v>
      </c>
      <c r="I2922" s="9" t="s">
        <v>353</v>
      </c>
      <c r="J2922" s="88"/>
    </row>
    <row r="2923">
      <c r="A2923" s="20" t="s">
        <v>98</v>
      </c>
      <c r="B2923" s="9" t="s">
        <v>5277</v>
      </c>
      <c r="C2923" s="91">
        <v>45344.50311318287</v>
      </c>
      <c r="D2923" s="8">
        <f t="shared" si="262"/>
        <v>45348</v>
      </c>
      <c r="E2923" s="9" t="s">
        <v>11</v>
      </c>
      <c r="F2923" s="10"/>
      <c r="G2923" s="9" t="s">
        <v>220</v>
      </c>
      <c r="H2923" s="7" t="s">
        <v>5278</v>
      </c>
      <c r="I2923" s="9" t="s">
        <v>353</v>
      </c>
      <c r="J2923" s="88"/>
    </row>
    <row r="2924">
      <c r="A2924" s="34" t="s">
        <v>204</v>
      </c>
      <c r="B2924" s="7" t="s">
        <v>5279</v>
      </c>
      <c r="C2924" s="91">
        <v>45352.47039466436</v>
      </c>
      <c r="D2924" s="8">
        <f t="shared" si="262"/>
        <v>45356</v>
      </c>
      <c r="E2924" s="9" t="s">
        <v>11</v>
      </c>
      <c r="F2924" s="9"/>
      <c r="G2924" s="9" t="s">
        <v>15</v>
      </c>
      <c r="H2924" s="7" t="s">
        <v>5280</v>
      </c>
      <c r="I2924" s="9" t="s">
        <v>353</v>
      </c>
      <c r="J2924" s="88"/>
    </row>
    <row r="2925">
      <c r="A2925" s="20" t="s">
        <v>98</v>
      </c>
      <c r="B2925" s="9" t="s">
        <v>5281</v>
      </c>
      <c r="C2925" s="91">
        <v>45357.51087084491</v>
      </c>
      <c r="D2925" s="8">
        <f t="shared" si="262"/>
        <v>45359</v>
      </c>
      <c r="E2925" s="9" t="s">
        <v>88</v>
      </c>
      <c r="F2925" s="10"/>
      <c r="G2925" s="9" t="s">
        <v>15</v>
      </c>
      <c r="H2925" s="7" t="s">
        <v>5282</v>
      </c>
      <c r="I2925" s="9" t="s">
        <v>353</v>
      </c>
      <c r="J2925" s="88"/>
    </row>
    <row r="2926">
      <c r="A2926" s="6" t="s">
        <v>9</v>
      </c>
      <c r="B2926" s="7" t="s">
        <v>5283</v>
      </c>
      <c r="C2926" s="91">
        <v>45357.598452025464</v>
      </c>
      <c r="D2926" s="8">
        <f t="shared" si="262"/>
        <v>45359</v>
      </c>
      <c r="E2926" s="9" t="s">
        <v>11</v>
      </c>
      <c r="F2926" s="10"/>
      <c r="G2926" s="9" t="s">
        <v>15</v>
      </c>
      <c r="H2926" s="7" t="s">
        <v>5284</v>
      </c>
      <c r="I2926" s="9" t="s">
        <v>353</v>
      </c>
      <c r="J2926" s="88"/>
    </row>
    <row r="2927">
      <c r="A2927" s="6" t="s">
        <v>9</v>
      </c>
      <c r="B2927" s="7" t="s">
        <v>5285</v>
      </c>
      <c r="C2927" s="91">
        <v>45357.61511601852</v>
      </c>
      <c r="D2927" s="8">
        <f t="shared" si="262"/>
        <v>45359</v>
      </c>
      <c r="E2927" s="9" t="s">
        <v>88</v>
      </c>
      <c r="F2927" s="10"/>
      <c r="G2927" s="9" t="s">
        <v>220</v>
      </c>
      <c r="H2927" s="11"/>
      <c r="I2927" s="9" t="s">
        <v>353</v>
      </c>
      <c r="J2927" s="88"/>
    </row>
    <row r="2928">
      <c r="A2928" s="34" t="s">
        <v>204</v>
      </c>
      <c r="B2928" s="7" t="s">
        <v>5286</v>
      </c>
      <c r="C2928" s="91">
        <v>45301.73761939815</v>
      </c>
      <c r="D2928" s="8">
        <f t="shared" si="262"/>
        <v>45303</v>
      </c>
      <c r="E2928" s="9" t="s">
        <v>11</v>
      </c>
      <c r="F2928" s="71">
        <v>45357.0</v>
      </c>
      <c r="G2928" s="9" t="s">
        <v>18</v>
      </c>
      <c r="H2928" s="7" t="s">
        <v>5287</v>
      </c>
      <c r="I2928" s="9" t="s">
        <v>353</v>
      </c>
      <c r="J2928" s="88"/>
    </row>
    <row r="2929">
      <c r="A2929" s="34" t="s">
        <v>204</v>
      </c>
      <c r="B2929" s="7" t="s">
        <v>5288</v>
      </c>
      <c r="C2929" s="91">
        <v>45356.756308564814</v>
      </c>
      <c r="D2929" s="8">
        <f t="shared" si="262"/>
        <v>45358</v>
      </c>
      <c r="E2929" s="9" t="s">
        <v>11</v>
      </c>
      <c r="F2929" s="71">
        <v>45357.0</v>
      </c>
      <c r="G2929" s="9" t="s">
        <v>18</v>
      </c>
      <c r="H2929" s="7" t="s">
        <v>437</v>
      </c>
      <c r="I2929" s="9" t="s">
        <v>353</v>
      </c>
      <c r="J2929" s="88"/>
    </row>
    <row r="2930">
      <c r="A2930" s="34" t="s">
        <v>204</v>
      </c>
      <c r="B2930" s="9" t="s">
        <v>5289</v>
      </c>
      <c r="C2930" s="91">
        <v>45237.48936087963</v>
      </c>
      <c r="D2930" s="8">
        <f t="shared" si="262"/>
        <v>45239</v>
      </c>
      <c r="E2930" s="9" t="s">
        <v>11</v>
      </c>
      <c r="F2930" s="71">
        <v>45357.0</v>
      </c>
      <c r="G2930" s="9" t="s">
        <v>18</v>
      </c>
      <c r="H2930" s="7" t="s">
        <v>5290</v>
      </c>
      <c r="I2930" s="9" t="s">
        <v>353</v>
      </c>
      <c r="J2930" s="88"/>
    </row>
    <row r="2931">
      <c r="A2931" s="6" t="s">
        <v>9</v>
      </c>
      <c r="B2931" s="7" t="s">
        <v>5291</v>
      </c>
      <c r="C2931" s="91">
        <v>45357.580677418984</v>
      </c>
      <c r="D2931" s="8">
        <f t="shared" si="262"/>
        <v>45359</v>
      </c>
      <c r="E2931" s="9" t="s">
        <v>11</v>
      </c>
      <c r="F2931" s="10"/>
      <c r="G2931" s="9" t="s">
        <v>18</v>
      </c>
      <c r="H2931" s="11"/>
      <c r="I2931" s="9" t="s">
        <v>353</v>
      </c>
      <c r="J2931" s="88"/>
    </row>
    <row r="2932">
      <c r="A2932" s="34" t="s">
        <v>204</v>
      </c>
      <c r="B2932" s="7" t="s">
        <v>5292</v>
      </c>
      <c r="C2932" s="91">
        <v>45352.47465819445</v>
      </c>
      <c r="D2932" s="8">
        <f t="shared" si="262"/>
        <v>45356</v>
      </c>
      <c r="E2932" s="9" t="s">
        <v>11</v>
      </c>
      <c r="F2932" s="71">
        <v>45356.0</v>
      </c>
      <c r="G2932" s="9" t="s">
        <v>18</v>
      </c>
      <c r="H2932" s="7" t="s">
        <v>5293</v>
      </c>
      <c r="I2932" s="9" t="s">
        <v>353</v>
      </c>
      <c r="J2932" s="88"/>
    </row>
    <row r="2933">
      <c r="A2933" s="88"/>
      <c r="B2933" s="89"/>
      <c r="C2933" s="90"/>
      <c r="D2933" s="89"/>
      <c r="E2933" s="89"/>
      <c r="F2933" s="89"/>
      <c r="G2933" s="89"/>
      <c r="H2933" s="87"/>
      <c r="I2933" s="89"/>
      <c r="J2933" s="88"/>
    </row>
    <row r="2934">
      <c r="A2934" s="6" t="s">
        <v>9</v>
      </c>
      <c r="B2934" s="7" t="s">
        <v>5294</v>
      </c>
      <c r="C2934" s="91">
        <v>45286.617088425926</v>
      </c>
      <c r="D2934" s="8">
        <f t="shared" ref="D2934:D3021" si="263">IFERROR(_xlfn.WORKDAY.INTL(C2934, 2),"-")</f>
        <v>45288</v>
      </c>
      <c r="E2934" s="9" t="s">
        <v>11</v>
      </c>
      <c r="F2934" s="10"/>
      <c r="G2934" s="9" t="s">
        <v>15</v>
      </c>
      <c r="H2934" s="7" t="s">
        <v>5295</v>
      </c>
      <c r="I2934" s="9" t="s">
        <v>353</v>
      </c>
      <c r="J2934" s="88"/>
    </row>
    <row r="2935">
      <c r="A2935" s="6" t="s">
        <v>9</v>
      </c>
      <c r="B2935" s="7" t="s">
        <v>5296</v>
      </c>
      <c r="C2935" s="91">
        <v>45352.403517708335</v>
      </c>
      <c r="D2935" s="8">
        <f t="shared" si="263"/>
        <v>45356</v>
      </c>
      <c r="E2935" s="9" t="s">
        <v>11</v>
      </c>
      <c r="F2935" s="10"/>
      <c r="G2935" s="9" t="s">
        <v>15</v>
      </c>
      <c r="H2935" s="7" t="s">
        <v>5297</v>
      </c>
      <c r="I2935" s="9" t="s">
        <v>353</v>
      </c>
      <c r="J2935" s="88"/>
    </row>
    <row r="2936">
      <c r="A2936" s="34" t="s">
        <v>204</v>
      </c>
      <c r="B2936" s="7" t="s">
        <v>5298</v>
      </c>
      <c r="C2936" s="91">
        <v>45355.78132815972</v>
      </c>
      <c r="D2936" s="8">
        <f t="shared" si="263"/>
        <v>45357</v>
      </c>
      <c r="E2936" s="9" t="s">
        <v>11</v>
      </c>
      <c r="F2936" s="10"/>
      <c r="G2936" s="9" t="s">
        <v>18</v>
      </c>
      <c r="H2936" s="7" t="s">
        <v>437</v>
      </c>
      <c r="I2936" s="9" t="s">
        <v>353</v>
      </c>
      <c r="J2936" s="88"/>
    </row>
    <row r="2937">
      <c r="A2937" s="20" t="s">
        <v>98</v>
      </c>
      <c r="B2937" s="9" t="s">
        <v>5299</v>
      </c>
      <c r="C2937" s="91">
        <v>45343.64771564815</v>
      </c>
      <c r="D2937" s="8">
        <f t="shared" si="263"/>
        <v>45345</v>
      </c>
      <c r="E2937" s="9" t="s">
        <v>11</v>
      </c>
      <c r="F2937" s="10"/>
      <c r="G2937" s="9" t="s">
        <v>18</v>
      </c>
      <c r="H2937" s="7" t="s">
        <v>5300</v>
      </c>
      <c r="I2937" s="9" t="s">
        <v>353</v>
      </c>
      <c r="J2937" s="88"/>
    </row>
    <row r="2938">
      <c r="A2938" s="6" t="s">
        <v>9</v>
      </c>
      <c r="B2938" s="7" t="s">
        <v>5301</v>
      </c>
      <c r="C2938" s="91">
        <v>45278.43587011574</v>
      </c>
      <c r="D2938" s="8">
        <f t="shared" si="263"/>
        <v>45280</v>
      </c>
      <c r="E2938" s="9" t="s">
        <v>11</v>
      </c>
      <c r="F2938" s="10"/>
      <c r="G2938" s="9" t="s">
        <v>15</v>
      </c>
      <c r="H2938" s="7" t="s">
        <v>5302</v>
      </c>
      <c r="I2938" s="9" t="s">
        <v>353</v>
      </c>
      <c r="J2938" s="88"/>
    </row>
    <row r="2939">
      <c r="A2939" s="34" t="s">
        <v>204</v>
      </c>
      <c r="B2939" s="7" t="s">
        <v>5303</v>
      </c>
      <c r="C2939" s="91">
        <v>45349.741638506945</v>
      </c>
      <c r="D2939" s="8">
        <f t="shared" si="263"/>
        <v>45351</v>
      </c>
      <c r="E2939" s="9" t="s">
        <v>11</v>
      </c>
      <c r="F2939" s="9" t="s">
        <v>11</v>
      </c>
      <c r="G2939" s="9" t="s">
        <v>15</v>
      </c>
      <c r="H2939" s="7" t="s">
        <v>5095</v>
      </c>
      <c r="I2939" s="9" t="s">
        <v>353</v>
      </c>
      <c r="J2939" s="88"/>
    </row>
    <row r="2940">
      <c r="A2940" s="20" t="s">
        <v>98</v>
      </c>
      <c r="B2940" s="9" t="s">
        <v>3841</v>
      </c>
      <c r="C2940" s="91">
        <v>45355.38435756945</v>
      </c>
      <c r="D2940" s="8">
        <f t="shared" si="263"/>
        <v>45357</v>
      </c>
      <c r="E2940" s="9" t="s">
        <v>11</v>
      </c>
      <c r="F2940" s="10"/>
      <c r="G2940" s="9" t="s">
        <v>18</v>
      </c>
      <c r="H2940" s="7" t="s">
        <v>2943</v>
      </c>
      <c r="I2940" s="9" t="s">
        <v>353</v>
      </c>
      <c r="J2940" s="88"/>
    </row>
    <row r="2941">
      <c r="A2941" s="34" t="s">
        <v>204</v>
      </c>
      <c r="B2941" s="7" t="s">
        <v>5304</v>
      </c>
      <c r="C2941" s="91">
        <v>45337.74826644676</v>
      </c>
      <c r="D2941" s="8">
        <f t="shared" si="263"/>
        <v>45341</v>
      </c>
      <c r="E2941" s="9" t="s">
        <v>11</v>
      </c>
      <c r="F2941" s="9" t="s">
        <v>11</v>
      </c>
      <c r="G2941" s="9" t="s">
        <v>15</v>
      </c>
      <c r="H2941" s="7" t="s">
        <v>5305</v>
      </c>
      <c r="I2941" s="9" t="s">
        <v>353</v>
      </c>
      <c r="J2941" s="88"/>
    </row>
    <row r="2942">
      <c r="A2942" s="34" t="s">
        <v>204</v>
      </c>
      <c r="B2942" s="7" t="s">
        <v>5306</v>
      </c>
      <c r="C2942" s="91">
        <v>45341.61095850695</v>
      </c>
      <c r="D2942" s="8">
        <f t="shared" si="263"/>
        <v>45343</v>
      </c>
      <c r="E2942" s="9" t="s">
        <v>11</v>
      </c>
      <c r="F2942" s="9" t="s">
        <v>11</v>
      </c>
      <c r="G2942" s="9" t="s">
        <v>15</v>
      </c>
      <c r="H2942" s="7" t="s">
        <v>5307</v>
      </c>
      <c r="I2942" s="9" t="s">
        <v>353</v>
      </c>
      <c r="J2942" s="88"/>
    </row>
    <row r="2943">
      <c r="A2943" s="6" t="s">
        <v>9</v>
      </c>
      <c r="B2943" s="7" t="s">
        <v>5308</v>
      </c>
      <c r="C2943" s="91">
        <v>45351.67495570602</v>
      </c>
      <c r="D2943" s="8">
        <f t="shared" si="263"/>
        <v>45355</v>
      </c>
      <c r="E2943" s="9" t="s">
        <v>11</v>
      </c>
      <c r="F2943" s="10"/>
      <c r="G2943" s="9" t="s">
        <v>15</v>
      </c>
      <c r="H2943" s="7" t="s">
        <v>5309</v>
      </c>
      <c r="I2943" s="9" t="s">
        <v>353</v>
      </c>
      <c r="J2943" s="88"/>
    </row>
    <row r="2944">
      <c r="A2944" s="20" t="s">
        <v>98</v>
      </c>
      <c r="B2944" s="9" t="s">
        <v>5310</v>
      </c>
      <c r="C2944" s="91">
        <v>45307.47831481481</v>
      </c>
      <c r="D2944" s="8">
        <f t="shared" si="263"/>
        <v>45309</v>
      </c>
      <c r="E2944" s="9" t="s">
        <v>206</v>
      </c>
      <c r="F2944" s="10"/>
      <c r="G2944" s="9" t="s">
        <v>15</v>
      </c>
      <c r="H2944" s="23" t="s">
        <v>5311</v>
      </c>
      <c r="I2944" s="9" t="s">
        <v>353</v>
      </c>
      <c r="J2944" s="88"/>
    </row>
    <row r="2945">
      <c r="A2945" s="6" t="s">
        <v>9</v>
      </c>
      <c r="B2945" s="7" t="s">
        <v>5312</v>
      </c>
      <c r="C2945" s="91">
        <v>45351.721622199075</v>
      </c>
      <c r="D2945" s="8">
        <f t="shared" si="263"/>
        <v>45355</v>
      </c>
      <c r="E2945" s="9" t="s">
        <v>11</v>
      </c>
      <c r="F2945" s="10"/>
      <c r="G2945" s="9" t="s">
        <v>18</v>
      </c>
      <c r="H2945" s="7" t="s">
        <v>5313</v>
      </c>
      <c r="I2945" s="9" t="s">
        <v>353</v>
      </c>
      <c r="J2945" s="88"/>
    </row>
    <row r="2946">
      <c r="A2946" s="6" t="s">
        <v>9</v>
      </c>
      <c r="B2946" s="7" t="s">
        <v>5314</v>
      </c>
      <c r="C2946" s="91">
        <v>45351.72158734954</v>
      </c>
      <c r="D2946" s="8">
        <f t="shared" si="263"/>
        <v>45355</v>
      </c>
      <c r="E2946" s="9" t="s">
        <v>11</v>
      </c>
      <c r="F2946" s="10"/>
      <c r="G2946" s="9" t="s">
        <v>15</v>
      </c>
      <c r="H2946" s="7" t="s">
        <v>5315</v>
      </c>
      <c r="I2946" s="9" t="s">
        <v>353</v>
      </c>
      <c r="J2946" s="88"/>
    </row>
    <row r="2947">
      <c r="A2947" s="34" t="s">
        <v>204</v>
      </c>
      <c r="B2947" s="7" t="s">
        <v>5316</v>
      </c>
      <c r="C2947" s="91">
        <v>45331.47335648148</v>
      </c>
      <c r="D2947" s="8">
        <f t="shared" si="263"/>
        <v>45335</v>
      </c>
      <c r="E2947" s="9" t="s">
        <v>11</v>
      </c>
      <c r="F2947" s="9" t="s">
        <v>11</v>
      </c>
      <c r="G2947" s="9" t="s">
        <v>15</v>
      </c>
      <c r="H2947" s="7" t="s">
        <v>5317</v>
      </c>
      <c r="I2947" s="9" t="s">
        <v>353</v>
      </c>
      <c r="J2947" s="88"/>
    </row>
    <row r="2948">
      <c r="A2948" s="6" t="s">
        <v>9</v>
      </c>
      <c r="B2948" s="7" t="s">
        <v>5318</v>
      </c>
      <c r="C2948" s="91">
        <v>45350.52083810185</v>
      </c>
      <c r="D2948" s="8">
        <f t="shared" si="263"/>
        <v>45352</v>
      </c>
      <c r="E2948" s="9" t="s">
        <v>11</v>
      </c>
      <c r="F2948" s="10"/>
      <c r="G2948" s="9" t="s">
        <v>15</v>
      </c>
      <c r="H2948" s="7" t="s">
        <v>5319</v>
      </c>
      <c r="I2948" s="9" t="s">
        <v>353</v>
      </c>
      <c r="J2948" s="88"/>
    </row>
    <row r="2949">
      <c r="A2949" s="20" t="s">
        <v>98</v>
      </c>
      <c r="B2949" s="9" t="s">
        <v>5320</v>
      </c>
      <c r="C2949" s="91">
        <v>45245.36588629629</v>
      </c>
      <c r="D2949" s="8">
        <f t="shared" si="263"/>
        <v>45247</v>
      </c>
      <c r="E2949" s="9" t="s">
        <v>88</v>
      </c>
      <c r="F2949" s="10"/>
      <c r="G2949" s="9" t="s">
        <v>15</v>
      </c>
      <c r="H2949" s="7" t="s">
        <v>5321</v>
      </c>
      <c r="I2949" s="9" t="s">
        <v>353</v>
      </c>
      <c r="J2949" s="88"/>
    </row>
    <row r="2950">
      <c r="A2950" s="6" t="s">
        <v>9</v>
      </c>
      <c r="B2950" s="7" t="s">
        <v>5322</v>
      </c>
      <c r="C2950" s="91">
        <v>45350.528776631945</v>
      </c>
      <c r="D2950" s="8">
        <f t="shared" si="263"/>
        <v>45352</v>
      </c>
      <c r="E2950" s="9" t="s">
        <v>88</v>
      </c>
      <c r="F2950" s="10"/>
      <c r="G2950" s="9" t="s">
        <v>15</v>
      </c>
      <c r="H2950" s="7" t="s">
        <v>5323</v>
      </c>
      <c r="I2950" s="9" t="s">
        <v>353</v>
      </c>
      <c r="J2950" s="88"/>
    </row>
    <row r="2951">
      <c r="A2951" s="6" t="s">
        <v>9</v>
      </c>
      <c r="B2951" s="7" t="s">
        <v>5324</v>
      </c>
      <c r="C2951" s="91">
        <v>45351.49367527778</v>
      </c>
      <c r="D2951" s="8">
        <f t="shared" si="263"/>
        <v>45355</v>
      </c>
      <c r="E2951" s="9" t="s">
        <v>11</v>
      </c>
      <c r="F2951" s="10"/>
      <c r="G2951" s="9" t="s">
        <v>18</v>
      </c>
      <c r="H2951" s="7" t="s">
        <v>5325</v>
      </c>
      <c r="I2951" s="9" t="s">
        <v>353</v>
      </c>
      <c r="J2951" s="88"/>
    </row>
    <row r="2952">
      <c r="A2952" s="6" t="s">
        <v>9</v>
      </c>
      <c r="B2952" s="7" t="s">
        <v>5326</v>
      </c>
      <c r="C2952" s="91">
        <v>45348.67467761574</v>
      </c>
      <c r="D2952" s="8">
        <f t="shared" si="263"/>
        <v>45350</v>
      </c>
      <c r="E2952" s="9" t="s">
        <v>11</v>
      </c>
      <c r="F2952" s="10"/>
      <c r="G2952" s="9" t="s">
        <v>15</v>
      </c>
      <c r="H2952" s="7" t="s">
        <v>5327</v>
      </c>
      <c r="I2952" s="9" t="s">
        <v>353</v>
      </c>
      <c r="J2952" s="88"/>
    </row>
    <row r="2953">
      <c r="A2953" s="6" t="s">
        <v>9</v>
      </c>
      <c r="B2953" s="7" t="s">
        <v>758</v>
      </c>
      <c r="C2953" s="91">
        <v>45343.35942009259</v>
      </c>
      <c r="D2953" s="8">
        <f t="shared" si="263"/>
        <v>45345</v>
      </c>
      <c r="E2953" s="9" t="s">
        <v>11</v>
      </c>
      <c r="F2953" s="10"/>
      <c r="G2953" s="9" t="s">
        <v>15</v>
      </c>
      <c r="H2953" s="7" t="s">
        <v>5328</v>
      </c>
      <c r="I2953" s="9" t="s">
        <v>353</v>
      </c>
      <c r="J2953" s="88"/>
    </row>
    <row r="2954">
      <c r="A2954" s="34" t="s">
        <v>204</v>
      </c>
      <c r="B2954" s="7" t="s">
        <v>5329</v>
      </c>
      <c r="C2954" s="91">
        <v>45345.48777796296</v>
      </c>
      <c r="D2954" s="8">
        <f t="shared" si="263"/>
        <v>45349</v>
      </c>
      <c r="E2954" s="9" t="s">
        <v>11</v>
      </c>
      <c r="F2954" s="9" t="s">
        <v>11</v>
      </c>
      <c r="G2954" s="9" t="s">
        <v>15</v>
      </c>
      <c r="H2954" s="7" t="s">
        <v>437</v>
      </c>
      <c r="I2954" s="9" t="s">
        <v>353</v>
      </c>
      <c r="J2954" s="88"/>
    </row>
    <row r="2955">
      <c r="A2955" s="6" t="s">
        <v>9</v>
      </c>
      <c r="B2955" s="7" t="s">
        <v>5330</v>
      </c>
      <c r="C2955" s="91">
        <v>45350.5841621875</v>
      </c>
      <c r="D2955" s="8">
        <f t="shared" si="263"/>
        <v>45352</v>
      </c>
      <c r="E2955" s="9" t="s">
        <v>11</v>
      </c>
      <c r="F2955" s="10"/>
      <c r="G2955" s="9" t="s">
        <v>18</v>
      </c>
      <c r="H2955" s="11"/>
      <c r="I2955" s="9" t="s">
        <v>353</v>
      </c>
      <c r="J2955" s="88"/>
    </row>
    <row r="2956">
      <c r="A2956" s="6" t="s">
        <v>9</v>
      </c>
      <c r="B2956" s="7" t="s">
        <v>5331</v>
      </c>
      <c r="C2956" s="91">
        <v>45348.6887152662</v>
      </c>
      <c r="D2956" s="8">
        <f t="shared" si="263"/>
        <v>45350</v>
      </c>
      <c r="E2956" s="9" t="s">
        <v>11</v>
      </c>
      <c r="F2956" s="10"/>
      <c r="G2956" s="9" t="s">
        <v>15</v>
      </c>
      <c r="H2956" s="7" t="s">
        <v>5332</v>
      </c>
      <c r="I2956" s="9" t="s">
        <v>353</v>
      </c>
      <c r="J2956" s="88"/>
    </row>
    <row r="2957">
      <c r="A2957" s="34" t="s">
        <v>204</v>
      </c>
      <c r="B2957" s="7" t="s">
        <v>3929</v>
      </c>
      <c r="C2957" s="91">
        <v>45350.52842292824</v>
      </c>
      <c r="D2957" s="8">
        <f t="shared" si="263"/>
        <v>45352</v>
      </c>
      <c r="E2957" s="9" t="s">
        <v>11</v>
      </c>
      <c r="F2957" s="10"/>
      <c r="G2957" s="9" t="s">
        <v>18</v>
      </c>
      <c r="H2957" s="7" t="s">
        <v>437</v>
      </c>
      <c r="I2957" s="9" t="s">
        <v>353</v>
      </c>
      <c r="J2957" s="88"/>
    </row>
    <row r="2958">
      <c r="A2958" s="20" t="s">
        <v>98</v>
      </c>
      <c r="B2958" s="9" t="s">
        <v>5333</v>
      </c>
      <c r="C2958" s="91">
        <v>45307.69853185186</v>
      </c>
      <c r="D2958" s="8">
        <f t="shared" si="263"/>
        <v>45309</v>
      </c>
      <c r="E2958" s="9" t="s">
        <v>206</v>
      </c>
      <c r="F2958" s="10"/>
      <c r="G2958" s="9" t="s">
        <v>15</v>
      </c>
      <c r="H2958" s="23" t="s">
        <v>5334</v>
      </c>
      <c r="I2958" s="9" t="s">
        <v>353</v>
      </c>
      <c r="J2958" s="88"/>
    </row>
    <row r="2959">
      <c r="A2959" s="20" t="s">
        <v>98</v>
      </c>
      <c r="B2959" s="9" t="s">
        <v>5335</v>
      </c>
      <c r="C2959" s="91">
        <v>45349.58691482639</v>
      </c>
      <c r="D2959" s="8">
        <f t="shared" si="263"/>
        <v>45351</v>
      </c>
      <c r="E2959" s="9" t="s">
        <v>88</v>
      </c>
      <c r="F2959" s="10"/>
      <c r="G2959" s="9" t="s">
        <v>15</v>
      </c>
      <c r="H2959" s="7" t="s">
        <v>5336</v>
      </c>
      <c r="I2959" s="9" t="s">
        <v>353</v>
      </c>
      <c r="J2959" s="88"/>
    </row>
    <row r="2960">
      <c r="A2960" s="20" t="s">
        <v>98</v>
      </c>
      <c r="B2960" s="9" t="s">
        <v>5337</v>
      </c>
      <c r="C2960" s="91">
        <v>45348.713165416666</v>
      </c>
      <c r="D2960" s="8">
        <f t="shared" si="263"/>
        <v>45350</v>
      </c>
      <c r="E2960" s="9" t="s">
        <v>88</v>
      </c>
      <c r="F2960" s="10"/>
      <c r="G2960" s="9" t="s">
        <v>15</v>
      </c>
      <c r="H2960" s="7" t="s">
        <v>5338</v>
      </c>
      <c r="I2960" s="9" t="s">
        <v>353</v>
      </c>
      <c r="J2960" s="88"/>
    </row>
    <row r="2961">
      <c r="A2961" s="20" t="s">
        <v>98</v>
      </c>
      <c r="B2961" s="9" t="s">
        <v>5339</v>
      </c>
      <c r="C2961" s="91">
        <v>45343.64783487268</v>
      </c>
      <c r="D2961" s="8">
        <f t="shared" si="263"/>
        <v>45345</v>
      </c>
      <c r="E2961" s="9" t="s">
        <v>11</v>
      </c>
      <c r="F2961" s="10"/>
      <c r="G2961" s="9" t="s">
        <v>15</v>
      </c>
      <c r="H2961" s="7" t="s">
        <v>5340</v>
      </c>
      <c r="I2961" s="9" t="s">
        <v>353</v>
      </c>
      <c r="J2961" s="88"/>
    </row>
    <row r="2962">
      <c r="A2962" s="34" t="s">
        <v>204</v>
      </c>
      <c r="B2962" s="7" t="s">
        <v>5341</v>
      </c>
      <c r="C2962" s="91">
        <v>45342.753088831014</v>
      </c>
      <c r="D2962" s="8">
        <f t="shared" si="263"/>
        <v>45344</v>
      </c>
      <c r="E2962" s="9" t="s">
        <v>11</v>
      </c>
      <c r="F2962" s="71">
        <v>45470.0</v>
      </c>
      <c r="G2962" s="9" t="s">
        <v>18</v>
      </c>
      <c r="H2962" s="7" t="s">
        <v>5342</v>
      </c>
      <c r="I2962" s="9" t="s">
        <v>353</v>
      </c>
      <c r="J2962" s="88"/>
    </row>
    <row r="2963">
      <c r="A2963" s="20" t="s">
        <v>98</v>
      </c>
      <c r="B2963" s="9" t="s">
        <v>5343</v>
      </c>
      <c r="C2963" s="91">
        <v>45328.68642484954</v>
      </c>
      <c r="D2963" s="8">
        <f t="shared" si="263"/>
        <v>45330</v>
      </c>
      <c r="E2963" s="9" t="s">
        <v>206</v>
      </c>
      <c r="F2963" s="10"/>
      <c r="G2963" s="9" t="s">
        <v>15</v>
      </c>
      <c r="H2963" s="23" t="s">
        <v>5344</v>
      </c>
      <c r="I2963" s="9" t="s">
        <v>353</v>
      </c>
      <c r="J2963" s="88"/>
    </row>
    <row r="2964">
      <c r="A2964" s="6" t="s">
        <v>9</v>
      </c>
      <c r="B2964" s="7" t="s">
        <v>5345</v>
      </c>
      <c r="C2964" s="91">
        <v>45349.58845708333</v>
      </c>
      <c r="D2964" s="8">
        <f t="shared" si="263"/>
        <v>45351</v>
      </c>
      <c r="E2964" s="9" t="s">
        <v>11</v>
      </c>
      <c r="F2964" s="10"/>
      <c r="G2964" s="9" t="s">
        <v>18</v>
      </c>
      <c r="H2964" s="7" t="s">
        <v>5346</v>
      </c>
      <c r="I2964" s="9" t="s">
        <v>353</v>
      </c>
      <c r="J2964" s="88"/>
    </row>
    <row r="2965">
      <c r="A2965" s="42" t="s">
        <v>330</v>
      </c>
      <c r="B2965" s="7" t="s">
        <v>5347</v>
      </c>
      <c r="C2965" s="91">
        <v>45342.738682511575</v>
      </c>
      <c r="D2965" s="8">
        <f t="shared" si="263"/>
        <v>45344</v>
      </c>
      <c r="E2965" s="9" t="s">
        <v>11</v>
      </c>
      <c r="F2965" s="10"/>
      <c r="G2965" s="9" t="s">
        <v>18</v>
      </c>
      <c r="H2965" s="7" t="s">
        <v>5348</v>
      </c>
      <c r="I2965" s="9" t="s">
        <v>353</v>
      </c>
      <c r="J2965" s="88"/>
    </row>
    <row r="2966">
      <c r="A2966" s="42" t="s">
        <v>330</v>
      </c>
      <c r="B2966" s="7" t="s">
        <v>3196</v>
      </c>
      <c r="C2966" s="91">
        <v>45302.652329942124</v>
      </c>
      <c r="D2966" s="8">
        <f t="shared" si="263"/>
        <v>45306</v>
      </c>
      <c r="E2966" s="9" t="s">
        <v>11</v>
      </c>
      <c r="F2966" s="10"/>
      <c r="G2966" s="9" t="s">
        <v>15</v>
      </c>
      <c r="H2966" s="7" t="s">
        <v>5349</v>
      </c>
      <c r="I2966" s="9" t="s">
        <v>353</v>
      </c>
      <c r="J2966" s="88"/>
    </row>
    <row r="2967">
      <c r="A2967" s="6" t="s">
        <v>9</v>
      </c>
      <c r="B2967" s="7" t="s">
        <v>5350</v>
      </c>
      <c r="C2967" s="91">
        <v>45342.5123353588</v>
      </c>
      <c r="D2967" s="8">
        <f t="shared" si="263"/>
        <v>45344</v>
      </c>
      <c r="E2967" s="9" t="s">
        <v>11</v>
      </c>
      <c r="F2967" s="10"/>
      <c r="G2967" s="9" t="s">
        <v>15</v>
      </c>
      <c r="H2967" s="7" t="s">
        <v>5351</v>
      </c>
      <c r="I2967" s="9" t="s">
        <v>353</v>
      </c>
      <c r="J2967" s="88"/>
    </row>
    <row r="2968">
      <c r="A2968" s="20" t="s">
        <v>98</v>
      </c>
      <c r="B2968" s="9" t="s">
        <v>5352</v>
      </c>
      <c r="C2968" s="91">
        <v>45349.493548530096</v>
      </c>
      <c r="D2968" s="8">
        <f t="shared" si="263"/>
        <v>45351</v>
      </c>
      <c r="E2968" s="9" t="s">
        <v>88</v>
      </c>
      <c r="F2968" s="10"/>
      <c r="G2968" s="9" t="s">
        <v>15</v>
      </c>
      <c r="H2968" s="7" t="s">
        <v>5353</v>
      </c>
      <c r="I2968" s="9" t="s">
        <v>353</v>
      </c>
      <c r="J2968" s="88"/>
    </row>
    <row r="2969">
      <c r="A2969" s="20" t="s">
        <v>98</v>
      </c>
      <c r="B2969" s="9" t="s">
        <v>5354</v>
      </c>
      <c r="C2969" s="91">
        <v>45344.501666157405</v>
      </c>
      <c r="D2969" s="8">
        <f t="shared" si="263"/>
        <v>45348</v>
      </c>
      <c r="E2969" s="9" t="s">
        <v>11</v>
      </c>
      <c r="F2969" s="10"/>
      <c r="G2969" s="9" t="s">
        <v>15</v>
      </c>
      <c r="H2969" s="7" t="s">
        <v>5355</v>
      </c>
      <c r="I2969" s="9" t="s">
        <v>353</v>
      </c>
      <c r="J2969" s="88"/>
    </row>
    <row r="2970">
      <c r="A2970" s="20" t="s">
        <v>98</v>
      </c>
      <c r="B2970" s="9" t="s">
        <v>5356</v>
      </c>
      <c r="C2970" s="91">
        <v>45344.5021158912</v>
      </c>
      <c r="D2970" s="8">
        <f t="shared" si="263"/>
        <v>45348</v>
      </c>
      <c r="E2970" s="9" t="s">
        <v>11</v>
      </c>
      <c r="F2970" s="10"/>
      <c r="G2970" s="9" t="s">
        <v>15</v>
      </c>
      <c r="H2970" s="7" t="s">
        <v>5355</v>
      </c>
      <c r="I2970" s="9" t="s">
        <v>353</v>
      </c>
      <c r="J2970" s="88"/>
    </row>
    <row r="2971">
      <c r="A2971" s="20" t="s">
        <v>98</v>
      </c>
      <c r="B2971" s="9" t="s">
        <v>5357</v>
      </c>
      <c r="C2971" s="91">
        <v>45344.502239560185</v>
      </c>
      <c r="D2971" s="8">
        <f t="shared" si="263"/>
        <v>45348</v>
      </c>
      <c r="E2971" s="9" t="s">
        <v>11</v>
      </c>
      <c r="F2971" s="10"/>
      <c r="G2971" s="9" t="s">
        <v>15</v>
      </c>
      <c r="H2971" s="7" t="s">
        <v>5355</v>
      </c>
      <c r="I2971" s="9" t="s">
        <v>353</v>
      </c>
      <c r="J2971" s="88"/>
    </row>
    <row r="2972">
      <c r="A2972" s="20" t="s">
        <v>98</v>
      </c>
      <c r="B2972" s="9" t="s">
        <v>5358</v>
      </c>
      <c r="C2972" s="91">
        <v>45344.502362060186</v>
      </c>
      <c r="D2972" s="8">
        <f t="shared" si="263"/>
        <v>45348</v>
      </c>
      <c r="E2972" s="9" t="s">
        <v>11</v>
      </c>
      <c r="F2972" s="10"/>
      <c r="G2972" s="9" t="s">
        <v>15</v>
      </c>
      <c r="H2972" s="7" t="s">
        <v>5359</v>
      </c>
      <c r="I2972" s="9" t="s">
        <v>353</v>
      </c>
      <c r="J2972" s="88"/>
    </row>
    <row r="2973">
      <c r="A2973" s="20" t="s">
        <v>98</v>
      </c>
      <c r="B2973" s="9" t="s">
        <v>5360</v>
      </c>
      <c r="C2973" s="91">
        <v>45344.50251854167</v>
      </c>
      <c r="D2973" s="8">
        <f t="shared" si="263"/>
        <v>45348</v>
      </c>
      <c r="E2973" s="9" t="s">
        <v>11</v>
      </c>
      <c r="F2973" s="10"/>
      <c r="G2973" s="9" t="s">
        <v>15</v>
      </c>
      <c r="H2973" s="7" t="s">
        <v>5359</v>
      </c>
      <c r="I2973" s="9" t="s">
        <v>353</v>
      </c>
      <c r="J2973" s="88"/>
    </row>
    <row r="2974">
      <c r="A2974" s="34" t="s">
        <v>204</v>
      </c>
      <c r="B2974" s="7" t="s">
        <v>5361</v>
      </c>
      <c r="C2974" s="91">
        <v>45348.59704605324</v>
      </c>
      <c r="D2974" s="8">
        <f t="shared" si="263"/>
        <v>45350</v>
      </c>
      <c r="E2974" s="9" t="s">
        <v>11</v>
      </c>
      <c r="F2974" s="10"/>
      <c r="G2974" s="9"/>
      <c r="H2974" s="7" t="s">
        <v>437</v>
      </c>
      <c r="I2974" s="9" t="s">
        <v>353</v>
      </c>
      <c r="J2974" s="88"/>
    </row>
    <row r="2975">
      <c r="A2975" s="6" t="s">
        <v>9</v>
      </c>
      <c r="B2975" s="7" t="s">
        <v>5324</v>
      </c>
      <c r="C2975" s="91">
        <v>45343.38191675926</v>
      </c>
      <c r="D2975" s="8">
        <f t="shared" si="263"/>
        <v>45345</v>
      </c>
      <c r="E2975" s="9" t="s">
        <v>11</v>
      </c>
      <c r="F2975" s="10"/>
      <c r="G2975" s="9" t="s">
        <v>15</v>
      </c>
      <c r="H2975" s="7" t="s">
        <v>5362</v>
      </c>
      <c r="I2975" s="9" t="s">
        <v>353</v>
      </c>
      <c r="J2975" s="88"/>
    </row>
    <row r="2976">
      <c r="A2976" s="42" t="s">
        <v>330</v>
      </c>
      <c r="B2976" s="7" t="s">
        <v>5363</v>
      </c>
      <c r="C2976" s="91">
        <v>45334.47489479167</v>
      </c>
      <c r="D2976" s="8">
        <f t="shared" si="263"/>
        <v>45336</v>
      </c>
      <c r="E2976" s="9" t="s">
        <v>11</v>
      </c>
      <c r="F2976" s="10"/>
      <c r="G2976" s="9" t="s">
        <v>15</v>
      </c>
      <c r="H2976" s="11"/>
      <c r="I2976" s="9" t="s">
        <v>353</v>
      </c>
      <c r="J2976" s="88"/>
    </row>
    <row r="2977">
      <c r="A2977" s="42" t="s">
        <v>330</v>
      </c>
      <c r="B2977" s="168" t="s">
        <v>5364</v>
      </c>
      <c r="C2977" s="91">
        <v>45321.72223125</v>
      </c>
      <c r="D2977" s="8">
        <f t="shared" si="263"/>
        <v>45323</v>
      </c>
      <c r="E2977" s="9" t="s">
        <v>11</v>
      </c>
      <c r="F2977" s="10"/>
      <c r="G2977" s="9" t="s">
        <v>15</v>
      </c>
      <c r="H2977" s="7" t="s">
        <v>5365</v>
      </c>
      <c r="I2977" s="9" t="s">
        <v>353</v>
      </c>
      <c r="J2977" s="88"/>
    </row>
    <row r="2978">
      <c r="A2978" s="42" t="s">
        <v>330</v>
      </c>
      <c r="B2978" s="7" t="s">
        <v>5366</v>
      </c>
      <c r="C2978" s="91">
        <v>45313.40429534722</v>
      </c>
      <c r="D2978" s="8">
        <f t="shared" si="263"/>
        <v>45315</v>
      </c>
      <c r="E2978" s="9" t="s">
        <v>11</v>
      </c>
      <c r="F2978" s="10"/>
      <c r="G2978" s="9" t="s">
        <v>89</v>
      </c>
      <c r="H2978" s="7" t="s">
        <v>5367</v>
      </c>
      <c r="I2978" s="9" t="s">
        <v>353</v>
      </c>
      <c r="J2978" s="88"/>
    </row>
    <row r="2979">
      <c r="A2979" s="42" t="s">
        <v>330</v>
      </c>
      <c r="B2979" s="7" t="s">
        <v>5368</v>
      </c>
      <c r="C2979" s="91">
        <v>45337.386510439814</v>
      </c>
      <c r="D2979" s="8">
        <f t="shared" si="263"/>
        <v>45341</v>
      </c>
      <c r="E2979" s="9" t="s">
        <v>11</v>
      </c>
      <c r="F2979" s="10"/>
      <c r="G2979" s="9" t="s">
        <v>220</v>
      </c>
      <c r="H2979" s="7" t="s">
        <v>5369</v>
      </c>
      <c r="I2979" s="9" t="s">
        <v>353</v>
      </c>
      <c r="J2979" s="88"/>
    </row>
    <row r="2980">
      <c r="A2980" s="6" t="s">
        <v>9</v>
      </c>
      <c r="B2980" s="7" t="s">
        <v>5370</v>
      </c>
      <c r="C2980" s="91">
        <v>45271.49725273148</v>
      </c>
      <c r="D2980" s="8">
        <f t="shared" si="263"/>
        <v>45273</v>
      </c>
      <c r="E2980" s="9" t="s">
        <v>11</v>
      </c>
      <c r="F2980" s="10"/>
      <c r="G2980" s="9" t="s">
        <v>15</v>
      </c>
      <c r="H2980" s="7" t="s">
        <v>5371</v>
      </c>
      <c r="I2980" s="9" t="s">
        <v>353</v>
      </c>
      <c r="J2980" s="88"/>
    </row>
    <row r="2981">
      <c r="A2981" s="20" t="s">
        <v>98</v>
      </c>
      <c r="B2981" s="9" t="s">
        <v>5372</v>
      </c>
      <c r="C2981" s="91">
        <v>45344.50273886574</v>
      </c>
      <c r="D2981" s="8">
        <f t="shared" si="263"/>
        <v>45348</v>
      </c>
      <c r="E2981" s="9" t="s">
        <v>11</v>
      </c>
      <c r="F2981" s="10"/>
      <c r="G2981" s="9" t="s">
        <v>15</v>
      </c>
      <c r="H2981" s="7" t="s">
        <v>5373</v>
      </c>
      <c r="I2981" s="9" t="s">
        <v>353</v>
      </c>
      <c r="J2981" s="88"/>
    </row>
    <row r="2982">
      <c r="A2982" s="20" t="s">
        <v>98</v>
      </c>
      <c r="B2982" s="9" t="s">
        <v>5374</v>
      </c>
      <c r="C2982" s="91">
        <v>45344.502032812496</v>
      </c>
      <c r="D2982" s="8">
        <f t="shared" si="263"/>
        <v>45348</v>
      </c>
      <c r="E2982" s="9" t="s">
        <v>11</v>
      </c>
      <c r="F2982" s="10"/>
      <c r="G2982" s="9" t="s">
        <v>15</v>
      </c>
      <c r="H2982" s="7" t="s">
        <v>5373</v>
      </c>
      <c r="I2982" s="9" t="s">
        <v>353</v>
      </c>
      <c r="J2982" s="88"/>
    </row>
    <row r="2983">
      <c r="A2983" s="20" t="s">
        <v>98</v>
      </c>
      <c r="B2983" s="9" t="s">
        <v>5375</v>
      </c>
      <c r="C2983" s="91">
        <v>45344.501905474535</v>
      </c>
      <c r="D2983" s="8">
        <f t="shared" si="263"/>
        <v>45348</v>
      </c>
      <c r="E2983" s="9" t="s">
        <v>11</v>
      </c>
      <c r="F2983" s="10"/>
      <c r="G2983" s="9" t="s">
        <v>15</v>
      </c>
      <c r="H2983" s="7" t="s">
        <v>5373</v>
      </c>
      <c r="I2983" s="9" t="s">
        <v>353</v>
      </c>
      <c r="J2983" s="88"/>
    </row>
    <row r="2984">
      <c r="A2984" s="20" t="s">
        <v>98</v>
      </c>
      <c r="B2984" s="9" t="s">
        <v>5376</v>
      </c>
      <c r="C2984" s="91">
        <v>45344.50263454861</v>
      </c>
      <c r="D2984" s="8">
        <f t="shared" si="263"/>
        <v>45348</v>
      </c>
      <c r="E2984" s="9" t="s">
        <v>11</v>
      </c>
      <c r="F2984" s="10"/>
      <c r="G2984" s="9" t="s">
        <v>15</v>
      </c>
      <c r="H2984" s="7" t="s">
        <v>5373</v>
      </c>
      <c r="I2984" s="9" t="s">
        <v>353</v>
      </c>
      <c r="J2984" s="88"/>
    </row>
    <row r="2985">
      <c r="A2985" s="20" t="s">
        <v>98</v>
      </c>
      <c r="B2985" s="9" t="s">
        <v>1552</v>
      </c>
      <c r="C2985" s="91">
        <v>45344.50144543982</v>
      </c>
      <c r="D2985" s="8">
        <f t="shared" si="263"/>
        <v>45348</v>
      </c>
      <c r="E2985" s="9" t="s">
        <v>11</v>
      </c>
      <c r="F2985" s="10"/>
      <c r="G2985" s="9" t="s">
        <v>15</v>
      </c>
      <c r="H2985" s="7" t="s">
        <v>5377</v>
      </c>
      <c r="I2985" s="9" t="s">
        <v>353</v>
      </c>
      <c r="J2985" s="88"/>
    </row>
    <row r="2986">
      <c r="A2986" s="42" t="s">
        <v>330</v>
      </c>
      <c r="B2986" s="7" t="s">
        <v>5378</v>
      </c>
      <c r="C2986" s="91">
        <v>45344.69906704861</v>
      </c>
      <c r="D2986" s="8">
        <f t="shared" si="263"/>
        <v>45348</v>
      </c>
      <c r="E2986" s="9" t="s">
        <v>11</v>
      </c>
      <c r="F2986" s="10"/>
      <c r="G2986" s="9" t="s">
        <v>18</v>
      </c>
      <c r="H2986" s="7" t="s">
        <v>437</v>
      </c>
      <c r="I2986" s="9" t="s">
        <v>353</v>
      </c>
      <c r="J2986" s="88"/>
    </row>
    <row r="2987">
      <c r="A2987" s="20" t="s">
        <v>98</v>
      </c>
      <c r="B2987" s="9" t="s">
        <v>5379</v>
      </c>
      <c r="C2987" s="91">
        <v>45344.50176708333</v>
      </c>
      <c r="D2987" s="8">
        <f t="shared" si="263"/>
        <v>45348</v>
      </c>
      <c r="E2987" s="9" t="s">
        <v>11</v>
      </c>
      <c r="F2987" s="10"/>
      <c r="G2987" s="9" t="s">
        <v>15</v>
      </c>
      <c r="H2987" s="7" t="s">
        <v>5380</v>
      </c>
      <c r="I2987" s="9" t="s">
        <v>353</v>
      </c>
      <c r="J2987" s="88"/>
    </row>
    <row r="2988">
      <c r="A2988" s="20" t="s">
        <v>98</v>
      </c>
      <c r="B2988" s="9" t="s">
        <v>5381</v>
      </c>
      <c r="C2988" s="91">
        <v>45322.641984050926</v>
      </c>
      <c r="D2988" s="8">
        <f t="shared" si="263"/>
        <v>45324</v>
      </c>
      <c r="E2988" s="9" t="s">
        <v>88</v>
      </c>
      <c r="F2988" s="10"/>
      <c r="G2988" s="9" t="s">
        <v>15</v>
      </c>
      <c r="H2988" s="23" t="s">
        <v>5382</v>
      </c>
      <c r="I2988" s="9" t="s">
        <v>353</v>
      </c>
      <c r="J2988" s="88"/>
    </row>
    <row r="2989">
      <c r="A2989" s="20" t="s">
        <v>98</v>
      </c>
      <c r="B2989" s="9" t="s">
        <v>5383</v>
      </c>
      <c r="C2989" s="91">
        <v>45343.64797842593</v>
      </c>
      <c r="D2989" s="8">
        <f t="shared" si="263"/>
        <v>45345</v>
      </c>
      <c r="E2989" s="9" t="s">
        <v>11</v>
      </c>
      <c r="F2989" s="10"/>
      <c r="G2989" s="9" t="s">
        <v>18</v>
      </c>
      <c r="H2989" s="7" t="s">
        <v>5384</v>
      </c>
      <c r="I2989" s="9" t="s">
        <v>353</v>
      </c>
      <c r="J2989" s="88"/>
    </row>
    <row r="2990">
      <c r="A2990" s="20" t="s">
        <v>98</v>
      </c>
      <c r="B2990" s="9" t="s">
        <v>5385</v>
      </c>
      <c r="C2990" s="91">
        <v>45344.50111359954</v>
      </c>
      <c r="D2990" s="8">
        <f t="shared" si="263"/>
        <v>45348</v>
      </c>
      <c r="E2990" s="9" t="s">
        <v>11</v>
      </c>
      <c r="F2990" s="10"/>
      <c r="G2990" s="9" t="s">
        <v>18</v>
      </c>
      <c r="H2990" s="62" t="s">
        <v>5386</v>
      </c>
      <c r="I2990" s="9" t="s">
        <v>353</v>
      </c>
      <c r="J2990" s="88"/>
    </row>
    <row r="2991">
      <c r="A2991" s="42" t="s">
        <v>330</v>
      </c>
      <c r="B2991" s="7" t="s">
        <v>3525</v>
      </c>
      <c r="C2991" s="91">
        <v>45343.70888913194</v>
      </c>
      <c r="D2991" s="8">
        <f t="shared" si="263"/>
        <v>45345</v>
      </c>
      <c r="E2991" s="9" t="s">
        <v>11</v>
      </c>
      <c r="F2991" s="10"/>
      <c r="G2991" s="9" t="s">
        <v>18</v>
      </c>
      <c r="H2991" s="7" t="s">
        <v>5387</v>
      </c>
      <c r="I2991" s="9" t="s">
        <v>353</v>
      </c>
      <c r="J2991" s="88"/>
    </row>
    <row r="2992">
      <c r="A2992" s="20" t="s">
        <v>98</v>
      </c>
      <c r="B2992" s="9" t="s">
        <v>5388</v>
      </c>
      <c r="C2992" s="91">
        <v>45327.47603554398</v>
      </c>
      <c r="D2992" s="8">
        <f t="shared" si="263"/>
        <v>45329</v>
      </c>
      <c r="E2992" s="9" t="s">
        <v>206</v>
      </c>
      <c r="F2992" s="10"/>
      <c r="G2992" s="9" t="s">
        <v>18</v>
      </c>
      <c r="H2992" s="7" t="s">
        <v>5389</v>
      </c>
      <c r="I2992" s="9" t="s">
        <v>353</v>
      </c>
      <c r="J2992" s="88"/>
    </row>
    <row r="2993">
      <c r="A2993" s="20" t="s">
        <v>98</v>
      </c>
      <c r="B2993" s="9" t="s">
        <v>5390</v>
      </c>
      <c r="C2993" s="91">
        <v>45278.48432971065</v>
      </c>
      <c r="D2993" s="8">
        <f t="shared" si="263"/>
        <v>45280</v>
      </c>
      <c r="E2993" s="9" t="s">
        <v>206</v>
      </c>
      <c r="F2993" s="10"/>
      <c r="G2993" s="9" t="s">
        <v>15</v>
      </c>
      <c r="H2993" s="23" t="s">
        <v>5391</v>
      </c>
      <c r="I2993" s="9" t="s">
        <v>353</v>
      </c>
      <c r="J2993" s="88"/>
    </row>
    <row r="2994">
      <c r="A2994" s="34" t="s">
        <v>204</v>
      </c>
      <c r="B2994" s="7" t="s">
        <v>5392</v>
      </c>
      <c r="C2994" s="91">
        <v>45337.74967010417</v>
      </c>
      <c r="D2994" s="8">
        <f t="shared" si="263"/>
        <v>45341</v>
      </c>
      <c r="E2994" s="9" t="s">
        <v>11</v>
      </c>
      <c r="F2994" s="9" t="s">
        <v>11</v>
      </c>
      <c r="G2994" s="9" t="s">
        <v>15</v>
      </c>
      <c r="H2994" s="7" t="s">
        <v>5095</v>
      </c>
      <c r="I2994" s="9" t="s">
        <v>353</v>
      </c>
      <c r="J2994" s="88"/>
    </row>
    <row r="2995">
      <c r="A2995" s="42" t="s">
        <v>330</v>
      </c>
      <c r="B2995" s="7" t="s">
        <v>5393</v>
      </c>
      <c r="C2995" s="91">
        <v>45343.70883318287</v>
      </c>
      <c r="D2995" s="8">
        <f t="shared" si="263"/>
        <v>45345</v>
      </c>
      <c r="E2995" s="9" t="s">
        <v>11</v>
      </c>
      <c r="F2995" s="10"/>
      <c r="G2995" s="9" t="s">
        <v>18</v>
      </c>
      <c r="H2995" s="11"/>
      <c r="I2995" s="9" t="s">
        <v>353</v>
      </c>
      <c r="J2995" s="88"/>
    </row>
    <row r="2996">
      <c r="A2996" s="20" t="s">
        <v>98</v>
      </c>
      <c r="B2996" s="9" t="s">
        <v>5394</v>
      </c>
      <c r="C2996" s="91">
        <v>45301.44302225694</v>
      </c>
      <c r="D2996" s="8">
        <f t="shared" si="263"/>
        <v>45303</v>
      </c>
      <c r="E2996" s="9" t="s">
        <v>206</v>
      </c>
      <c r="F2996" s="10"/>
      <c r="G2996" s="9" t="s">
        <v>15</v>
      </c>
      <c r="H2996" s="23" t="s">
        <v>5395</v>
      </c>
      <c r="I2996" s="9" t="s">
        <v>353</v>
      </c>
      <c r="J2996" s="88"/>
    </row>
    <row r="2997">
      <c r="A2997" s="20" t="s">
        <v>98</v>
      </c>
      <c r="B2997" s="9" t="s">
        <v>5396</v>
      </c>
      <c r="C2997" s="91">
        <v>45342.49937820602</v>
      </c>
      <c r="D2997" s="8">
        <f t="shared" si="263"/>
        <v>45344</v>
      </c>
      <c r="E2997" s="9" t="s">
        <v>11</v>
      </c>
      <c r="F2997" s="10"/>
      <c r="G2997" s="9" t="s">
        <v>15</v>
      </c>
      <c r="H2997" s="7" t="s">
        <v>5397</v>
      </c>
      <c r="I2997" s="9" t="s">
        <v>353</v>
      </c>
      <c r="J2997" s="88"/>
    </row>
    <row r="2998">
      <c r="A2998" s="34" t="s">
        <v>204</v>
      </c>
      <c r="B2998" s="7" t="s">
        <v>5398</v>
      </c>
      <c r="C2998" s="91">
        <v>45342.752858368054</v>
      </c>
      <c r="D2998" s="8">
        <f t="shared" si="263"/>
        <v>45344</v>
      </c>
      <c r="E2998" s="9" t="s">
        <v>11</v>
      </c>
      <c r="F2998" s="8">
        <v>45343.0</v>
      </c>
      <c r="G2998" s="9" t="s">
        <v>18</v>
      </c>
      <c r="H2998" s="7" t="s">
        <v>5095</v>
      </c>
      <c r="I2998" s="9" t="s">
        <v>353</v>
      </c>
      <c r="J2998" s="88"/>
    </row>
    <row r="2999">
      <c r="A2999" s="6" t="s">
        <v>9</v>
      </c>
      <c r="B2999" s="7" t="s">
        <v>5399</v>
      </c>
      <c r="C2999" s="91">
        <v>45343.35950356482</v>
      </c>
      <c r="D2999" s="8">
        <f t="shared" si="263"/>
        <v>45345</v>
      </c>
      <c r="E2999" s="9" t="s">
        <v>11</v>
      </c>
      <c r="F2999" s="10"/>
      <c r="G2999" s="9" t="s">
        <v>15</v>
      </c>
      <c r="H2999" s="7" t="s">
        <v>5362</v>
      </c>
      <c r="I2999" s="9" t="s">
        <v>353</v>
      </c>
      <c r="J2999" s="88"/>
    </row>
    <row r="3000">
      <c r="A3000" s="20" t="s">
        <v>98</v>
      </c>
      <c r="B3000" s="9" t="s">
        <v>5400</v>
      </c>
      <c r="C3000" s="91">
        <v>45322.64193738426</v>
      </c>
      <c r="D3000" s="8">
        <f t="shared" si="263"/>
        <v>45324</v>
      </c>
      <c r="E3000" s="9" t="s">
        <v>88</v>
      </c>
      <c r="F3000" s="10"/>
      <c r="G3000" s="9" t="s">
        <v>18</v>
      </c>
      <c r="H3000" s="23" t="s">
        <v>5382</v>
      </c>
      <c r="I3000" s="9" t="s">
        <v>353</v>
      </c>
      <c r="J3000" s="88"/>
    </row>
    <row r="3001">
      <c r="A3001" s="34" t="s">
        <v>204</v>
      </c>
      <c r="B3001" s="7" t="s">
        <v>5401</v>
      </c>
      <c r="C3001" s="91">
        <v>45328.742848298614</v>
      </c>
      <c r="D3001" s="8">
        <f t="shared" si="263"/>
        <v>45330</v>
      </c>
      <c r="E3001" s="9" t="s">
        <v>11</v>
      </c>
      <c r="F3001" s="9" t="s">
        <v>11</v>
      </c>
      <c r="G3001" s="9" t="s">
        <v>15</v>
      </c>
      <c r="H3001" s="7" t="s">
        <v>5095</v>
      </c>
      <c r="I3001" s="9" t="s">
        <v>353</v>
      </c>
      <c r="J3001" s="88"/>
    </row>
    <row r="3002">
      <c r="A3002" s="20" t="s">
        <v>98</v>
      </c>
      <c r="B3002" s="9" t="s">
        <v>5402</v>
      </c>
      <c r="C3002" s="91">
        <v>45250.690292280095</v>
      </c>
      <c r="D3002" s="8">
        <f t="shared" si="263"/>
        <v>45252</v>
      </c>
      <c r="E3002" s="9" t="s">
        <v>88</v>
      </c>
      <c r="F3002" s="10"/>
      <c r="G3002" s="9" t="s">
        <v>18</v>
      </c>
      <c r="H3002" s="7" t="s">
        <v>5403</v>
      </c>
      <c r="I3002" s="9" t="s">
        <v>353</v>
      </c>
      <c r="J3002" s="88"/>
    </row>
    <row r="3003">
      <c r="A3003" s="6" t="s">
        <v>9</v>
      </c>
      <c r="B3003" s="7" t="s">
        <v>5249</v>
      </c>
      <c r="C3003" s="91">
        <v>45342.665649918985</v>
      </c>
      <c r="D3003" s="8">
        <f t="shared" si="263"/>
        <v>45344</v>
      </c>
      <c r="E3003" s="9" t="s">
        <v>11</v>
      </c>
      <c r="F3003" s="10"/>
      <c r="G3003" s="9" t="s">
        <v>15</v>
      </c>
      <c r="H3003" s="7" t="s">
        <v>5404</v>
      </c>
      <c r="I3003" s="9" t="s">
        <v>353</v>
      </c>
      <c r="J3003" s="88"/>
    </row>
    <row r="3004">
      <c r="A3004" s="20" t="s">
        <v>98</v>
      </c>
      <c r="B3004" s="9" t="s">
        <v>5405</v>
      </c>
      <c r="C3004" s="91">
        <v>45301.44297049769</v>
      </c>
      <c r="D3004" s="8">
        <f t="shared" si="263"/>
        <v>45303</v>
      </c>
      <c r="E3004" s="9" t="s">
        <v>206</v>
      </c>
      <c r="F3004" s="10"/>
      <c r="G3004" s="9" t="s">
        <v>18</v>
      </c>
      <c r="H3004" s="23" t="s">
        <v>5406</v>
      </c>
      <c r="I3004" s="9" t="s">
        <v>353</v>
      </c>
      <c r="J3004" s="88"/>
    </row>
    <row r="3005">
      <c r="A3005" s="34" t="s">
        <v>204</v>
      </c>
      <c r="B3005" s="7" t="s">
        <v>2364</v>
      </c>
      <c r="C3005" s="91">
        <v>45282.46561403935</v>
      </c>
      <c r="D3005" s="8">
        <f t="shared" si="263"/>
        <v>45286</v>
      </c>
      <c r="E3005" s="9" t="s">
        <v>11</v>
      </c>
      <c r="F3005" s="8">
        <v>45342.0</v>
      </c>
      <c r="G3005" s="9" t="s">
        <v>18</v>
      </c>
      <c r="H3005" s="7" t="s">
        <v>5407</v>
      </c>
      <c r="I3005" s="9" t="s">
        <v>353</v>
      </c>
      <c r="J3005" s="88"/>
    </row>
    <row r="3006">
      <c r="A3006" s="34" t="s">
        <v>204</v>
      </c>
      <c r="B3006" s="7" t="s">
        <v>5408</v>
      </c>
      <c r="C3006" s="91">
        <v>45338.47800376157</v>
      </c>
      <c r="D3006" s="8">
        <f t="shared" si="263"/>
        <v>45342</v>
      </c>
      <c r="E3006" s="9" t="s">
        <v>11</v>
      </c>
      <c r="F3006" s="9" t="s">
        <v>11</v>
      </c>
      <c r="G3006" s="9" t="s">
        <v>15</v>
      </c>
      <c r="H3006" s="7" t="s">
        <v>5409</v>
      </c>
      <c r="I3006" s="9" t="s">
        <v>353</v>
      </c>
      <c r="J3006" s="88"/>
    </row>
    <row r="3007">
      <c r="A3007" s="42" t="s">
        <v>330</v>
      </c>
      <c r="B3007" s="168" t="s">
        <v>5410</v>
      </c>
      <c r="C3007" s="91">
        <v>45341.42396148149</v>
      </c>
      <c r="D3007" s="8">
        <f t="shared" si="263"/>
        <v>45343</v>
      </c>
      <c r="E3007" s="9" t="s">
        <v>11</v>
      </c>
      <c r="F3007" s="10"/>
      <c r="G3007" s="9" t="s">
        <v>18</v>
      </c>
      <c r="H3007" s="7" t="s">
        <v>437</v>
      </c>
      <c r="I3007" s="9" t="s">
        <v>353</v>
      </c>
      <c r="J3007" s="88"/>
    </row>
    <row r="3008">
      <c r="A3008" s="34" t="s">
        <v>204</v>
      </c>
      <c r="B3008" s="7" t="s">
        <v>5411</v>
      </c>
      <c r="C3008" s="91">
        <v>45327.73152894676</v>
      </c>
      <c r="D3008" s="8">
        <f t="shared" si="263"/>
        <v>45329</v>
      </c>
      <c r="E3008" s="9" t="s">
        <v>11</v>
      </c>
      <c r="F3008" s="8">
        <v>45342.0</v>
      </c>
      <c r="G3008" s="9" t="s">
        <v>18</v>
      </c>
      <c r="H3008" s="7" t="s">
        <v>5412</v>
      </c>
      <c r="I3008" s="9" t="s">
        <v>353</v>
      </c>
      <c r="J3008" s="88"/>
    </row>
    <row r="3009">
      <c r="A3009" s="34" t="s">
        <v>204</v>
      </c>
      <c r="B3009" s="7" t="s">
        <v>5413</v>
      </c>
      <c r="C3009" s="91">
        <v>45331.47281032408</v>
      </c>
      <c r="D3009" s="8">
        <f t="shared" si="263"/>
        <v>45335</v>
      </c>
      <c r="E3009" s="9" t="s">
        <v>11</v>
      </c>
      <c r="F3009" s="8">
        <v>45341.0</v>
      </c>
      <c r="G3009" s="9" t="s">
        <v>18</v>
      </c>
      <c r="H3009" s="7" t="s">
        <v>437</v>
      </c>
      <c r="I3009" s="9" t="s">
        <v>353</v>
      </c>
      <c r="J3009" s="88"/>
    </row>
    <row r="3010">
      <c r="A3010" s="20" t="s">
        <v>98</v>
      </c>
      <c r="B3010" s="9" t="s">
        <v>5414</v>
      </c>
      <c r="C3010" s="91">
        <v>45301.44317916667</v>
      </c>
      <c r="D3010" s="8">
        <f t="shared" si="263"/>
        <v>45303</v>
      </c>
      <c r="E3010" s="9" t="s">
        <v>206</v>
      </c>
      <c r="F3010" s="10"/>
      <c r="G3010" s="9" t="s">
        <v>18</v>
      </c>
      <c r="H3010" s="23" t="s">
        <v>5415</v>
      </c>
      <c r="I3010" s="9" t="s">
        <v>353</v>
      </c>
      <c r="J3010" s="88"/>
    </row>
    <row r="3011">
      <c r="A3011" s="42" t="s">
        <v>330</v>
      </c>
      <c r="B3011" s="7" t="s">
        <v>5416</v>
      </c>
      <c r="C3011" s="91">
        <v>45337.60277032407</v>
      </c>
      <c r="D3011" s="8">
        <f t="shared" si="263"/>
        <v>45341</v>
      </c>
      <c r="E3011" s="9" t="s">
        <v>11</v>
      </c>
      <c r="F3011" s="10"/>
      <c r="G3011" s="9" t="s">
        <v>18</v>
      </c>
      <c r="H3011" s="7" t="s">
        <v>5417</v>
      </c>
      <c r="I3011" s="9" t="s">
        <v>353</v>
      </c>
      <c r="J3011" s="88"/>
    </row>
    <row r="3012">
      <c r="A3012" s="42" t="s">
        <v>330</v>
      </c>
      <c r="B3012" s="168" t="s">
        <v>5418</v>
      </c>
      <c r="C3012" s="91">
        <v>45337.602415</v>
      </c>
      <c r="D3012" s="8">
        <f t="shared" si="263"/>
        <v>45341</v>
      </c>
      <c r="E3012" s="9" t="s">
        <v>11</v>
      </c>
      <c r="F3012" s="10"/>
      <c r="G3012" s="9" t="s">
        <v>18</v>
      </c>
      <c r="H3012" s="7" t="s">
        <v>5419</v>
      </c>
      <c r="I3012" s="9" t="s">
        <v>353</v>
      </c>
      <c r="J3012" s="88"/>
    </row>
    <row r="3013">
      <c r="A3013" s="20" t="s">
        <v>98</v>
      </c>
      <c r="B3013" s="9" t="s">
        <v>5420</v>
      </c>
      <c r="C3013" s="91">
        <v>45337.4795404051</v>
      </c>
      <c r="D3013" s="8">
        <f t="shared" si="263"/>
        <v>45341</v>
      </c>
      <c r="E3013" s="9" t="s">
        <v>88</v>
      </c>
      <c r="F3013" s="10"/>
      <c r="G3013" s="9" t="s">
        <v>18</v>
      </c>
      <c r="H3013" s="7" t="s">
        <v>5421</v>
      </c>
      <c r="I3013" s="9" t="s">
        <v>353</v>
      </c>
      <c r="J3013" s="88"/>
    </row>
    <row r="3014">
      <c r="A3014" s="6" t="s">
        <v>9</v>
      </c>
      <c r="B3014" s="7" t="s">
        <v>5422</v>
      </c>
      <c r="C3014" s="91">
        <v>45336.58291012731</v>
      </c>
      <c r="D3014" s="8">
        <f t="shared" si="263"/>
        <v>45338</v>
      </c>
      <c r="E3014" s="9" t="s">
        <v>11</v>
      </c>
      <c r="F3014" s="10"/>
      <c r="G3014" s="9" t="s">
        <v>15</v>
      </c>
      <c r="H3014" s="7" t="s">
        <v>5423</v>
      </c>
      <c r="I3014" s="9" t="s">
        <v>353</v>
      </c>
      <c r="J3014" s="88"/>
    </row>
    <row r="3015">
      <c r="A3015" s="20" t="s">
        <v>98</v>
      </c>
      <c r="B3015" s="9" t="s">
        <v>5424</v>
      </c>
      <c r="C3015" s="91">
        <v>45313.49830317129</v>
      </c>
      <c r="D3015" s="8">
        <f t="shared" si="263"/>
        <v>45315</v>
      </c>
      <c r="E3015" s="9" t="s">
        <v>88</v>
      </c>
      <c r="F3015" s="10"/>
      <c r="G3015" s="9" t="s">
        <v>15</v>
      </c>
      <c r="H3015" s="7" t="s">
        <v>5425</v>
      </c>
      <c r="I3015" s="9" t="s">
        <v>353</v>
      </c>
      <c r="J3015" s="88"/>
    </row>
    <row r="3016">
      <c r="A3016" s="20" t="s">
        <v>98</v>
      </c>
      <c r="B3016" s="9" t="s">
        <v>5426</v>
      </c>
      <c r="C3016" s="91">
        <v>45328.686282106486</v>
      </c>
      <c r="D3016" s="8">
        <f t="shared" si="263"/>
        <v>45330</v>
      </c>
      <c r="E3016" s="9" t="s">
        <v>206</v>
      </c>
      <c r="F3016" s="10"/>
      <c r="G3016" s="9" t="s">
        <v>15</v>
      </c>
      <c r="H3016" s="156" t="s">
        <v>5427</v>
      </c>
      <c r="I3016" s="9" t="s">
        <v>353</v>
      </c>
      <c r="J3016" s="88"/>
    </row>
    <row r="3017">
      <c r="A3017" s="20" t="s">
        <v>98</v>
      </c>
      <c r="B3017" s="9" t="s">
        <v>5428</v>
      </c>
      <c r="C3017" s="91">
        <v>45336.61673357639</v>
      </c>
      <c r="D3017" s="8">
        <f t="shared" si="263"/>
        <v>45338</v>
      </c>
      <c r="E3017" s="9" t="s">
        <v>206</v>
      </c>
      <c r="F3017" s="10"/>
      <c r="G3017" s="9" t="s">
        <v>15</v>
      </c>
      <c r="H3017" s="7" t="s">
        <v>5429</v>
      </c>
      <c r="I3017" s="9" t="s">
        <v>353</v>
      </c>
      <c r="J3017" s="88"/>
    </row>
    <row r="3018">
      <c r="A3018" s="20" t="s">
        <v>98</v>
      </c>
      <c r="B3018" s="9" t="s">
        <v>5430</v>
      </c>
      <c r="C3018" s="91">
        <v>45336.61665181713</v>
      </c>
      <c r="D3018" s="8">
        <f t="shared" si="263"/>
        <v>45338</v>
      </c>
      <c r="E3018" s="9" t="s">
        <v>206</v>
      </c>
      <c r="F3018" s="10"/>
      <c r="G3018" s="9" t="s">
        <v>15</v>
      </c>
      <c r="H3018" s="7" t="s">
        <v>5429</v>
      </c>
      <c r="I3018" s="9" t="s">
        <v>353</v>
      </c>
      <c r="J3018" s="88"/>
    </row>
    <row r="3019">
      <c r="A3019" s="20" t="s">
        <v>98</v>
      </c>
      <c r="B3019" s="9" t="s">
        <v>5431</v>
      </c>
      <c r="C3019" s="91">
        <v>45336.61616387732</v>
      </c>
      <c r="D3019" s="8">
        <f t="shared" si="263"/>
        <v>45338</v>
      </c>
      <c r="E3019" s="9" t="s">
        <v>206</v>
      </c>
      <c r="F3019" s="10"/>
      <c r="G3019" s="9" t="s">
        <v>15</v>
      </c>
      <c r="H3019" s="7" t="s">
        <v>5429</v>
      </c>
      <c r="I3019" s="9" t="s">
        <v>353</v>
      </c>
      <c r="J3019" s="88"/>
    </row>
    <row r="3020">
      <c r="A3020" s="42" t="s">
        <v>330</v>
      </c>
      <c r="B3020" s="168" t="s">
        <v>5432</v>
      </c>
      <c r="C3020" s="91">
        <v>45334.674596412035</v>
      </c>
      <c r="D3020" s="8">
        <f t="shared" si="263"/>
        <v>45336</v>
      </c>
      <c r="E3020" s="9" t="s">
        <v>11</v>
      </c>
      <c r="F3020" s="10"/>
      <c r="G3020" s="9" t="s">
        <v>220</v>
      </c>
      <c r="H3020" s="7" t="s">
        <v>5433</v>
      </c>
      <c r="I3020" s="9" t="s">
        <v>353</v>
      </c>
      <c r="J3020" s="88"/>
    </row>
    <row r="3021">
      <c r="A3021" s="34" t="s">
        <v>204</v>
      </c>
      <c r="B3021" s="7" t="s">
        <v>5434</v>
      </c>
      <c r="C3021" s="91">
        <v>45331.47384680556</v>
      </c>
      <c r="D3021" s="8">
        <f t="shared" si="263"/>
        <v>45335</v>
      </c>
      <c r="E3021" s="9" t="s">
        <v>11</v>
      </c>
      <c r="F3021" s="9" t="s">
        <v>11</v>
      </c>
      <c r="G3021" s="9" t="s">
        <v>15</v>
      </c>
      <c r="H3021" s="7" t="s">
        <v>5435</v>
      </c>
      <c r="I3021" s="9" t="s">
        <v>353</v>
      </c>
      <c r="J3021" s="88"/>
    </row>
    <row r="3022">
      <c r="A3022" s="20" t="s">
        <v>98</v>
      </c>
      <c r="B3022" s="9" t="s">
        <v>5436</v>
      </c>
      <c r="C3022" s="91">
        <v>45336.690973923614</v>
      </c>
      <c r="D3022" s="8"/>
      <c r="E3022" s="9" t="s">
        <v>206</v>
      </c>
      <c r="F3022" s="10"/>
      <c r="G3022" s="9" t="s">
        <v>15</v>
      </c>
      <c r="H3022" s="7" t="s">
        <v>5437</v>
      </c>
      <c r="I3022" s="9" t="s">
        <v>353</v>
      </c>
      <c r="J3022" s="88"/>
    </row>
    <row r="3023">
      <c r="A3023" s="20" t="s">
        <v>98</v>
      </c>
      <c r="B3023" s="9" t="s">
        <v>5438</v>
      </c>
      <c r="C3023" s="91">
        <v>45336.36173700231</v>
      </c>
      <c r="D3023" s="8">
        <f t="shared" ref="D3023:D3041" si="264">IFERROR(_xlfn.WORKDAY.INTL(C3023, 2),"-")</f>
        <v>45338</v>
      </c>
      <c r="E3023" s="9" t="s">
        <v>206</v>
      </c>
      <c r="F3023" s="10"/>
      <c r="G3023" s="9" t="s">
        <v>15</v>
      </c>
      <c r="H3023" s="7" t="s">
        <v>5429</v>
      </c>
      <c r="I3023" s="9" t="s">
        <v>353</v>
      </c>
      <c r="J3023" s="88"/>
    </row>
    <row r="3024">
      <c r="A3024" s="20" t="s">
        <v>98</v>
      </c>
      <c r="B3024" s="9" t="s">
        <v>5439</v>
      </c>
      <c r="C3024" s="91">
        <v>45336.36239502315</v>
      </c>
      <c r="D3024" s="8">
        <f t="shared" si="264"/>
        <v>45338</v>
      </c>
      <c r="E3024" s="9" t="s">
        <v>88</v>
      </c>
      <c r="F3024" s="10"/>
      <c r="G3024" s="9" t="s">
        <v>18</v>
      </c>
      <c r="H3024" s="7" t="s">
        <v>5440</v>
      </c>
      <c r="I3024" s="9" t="s">
        <v>353</v>
      </c>
      <c r="J3024" s="88"/>
    </row>
    <row r="3025">
      <c r="A3025" s="42" t="s">
        <v>330</v>
      </c>
      <c r="B3025" s="7" t="s">
        <v>5441</v>
      </c>
      <c r="C3025" s="91">
        <v>45264.44987928241</v>
      </c>
      <c r="D3025" s="8">
        <f t="shared" si="264"/>
        <v>45266</v>
      </c>
      <c r="E3025" s="9" t="s">
        <v>11</v>
      </c>
      <c r="F3025" s="10"/>
      <c r="G3025" s="9" t="s">
        <v>18</v>
      </c>
      <c r="H3025" s="7" t="s">
        <v>5442</v>
      </c>
      <c r="I3025" s="9" t="s">
        <v>353</v>
      </c>
      <c r="J3025" s="88"/>
    </row>
    <row r="3026">
      <c r="A3026" s="20" t="s">
        <v>98</v>
      </c>
      <c r="B3026" s="9" t="s">
        <v>5443</v>
      </c>
      <c r="C3026" s="91">
        <v>45334.365776273145</v>
      </c>
      <c r="D3026" s="8">
        <f t="shared" si="264"/>
        <v>45336</v>
      </c>
      <c r="E3026" s="9" t="s">
        <v>206</v>
      </c>
      <c r="F3026" s="10"/>
      <c r="G3026" s="9" t="s">
        <v>15</v>
      </c>
      <c r="H3026" s="7" t="s">
        <v>5444</v>
      </c>
      <c r="I3026" s="9" t="s">
        <v>353</v>
      </c>
      <c r="J3026" s="88"/>
    </row>
    <row r="3027">
      <c r="A3027" s="42" t="s">
        <v>330</v>
      </c>
      <c r="B3027" s="7" t="s">
        <v>5445</v>
      </c>
      <c r="C3027" s="91">
        <v>45331.47229450231</v>
      </c>
      <c r="D3027" s="8">
        <f t="shared" si="264"/>
        <v>45335</v>
      </c>
      <c r="E3027" s="9" t="s">
        <v>11</v>
      </c>
      <c r="F3027" s="10"/>
      <c r="G3027" s="9" t="s">
        <v>18</v>
      </c>
      <c r="H3027" s="7" t="s">
        <v>5446</v>
      </c>
      <c r="I3027" s="9" t="s">
        <v>353</v>
      </c>
      <c r="J3027" s="88"/>
    </row>
    <row r="3028">
      <c r="A3028" s="20" t="s">
        <v>98</v>
      </c>
      <c r="B3028" s="9" t="s">
        <v>5447</v>
      </c>
      <c r="C3028" s="91">
        <v>45322.36259633102</v>
      </c>
      <c r="D3028" s="8">
        <f t="shared" si="264"/>
        <v>45324</v>
      </c>
      <c r="E3028" s="9" t="s">
        <v>88</v>
      </c>
      <c r="F3028" s="10"/>
      <c r="G3028" s="9" t="s">
        <v>18</v>
      </c>
      <c r="H3028" s="7" t="s">
        <v>5448</v>
      </c>
      <c r="I3028" s="9" t="s">
        <v>353</v>
      </c>
      <c r="J3028" s="88"/>
    </row>
    <row r="3029">
      <c r="A3029" s="6" t="s">
        <v>9</v>
      </c>
      <c r="B3029" s="7" t="s">
        <v>5449</v>
      </c>
      <c r="C3029" s="91">
        <v>45334.484224722226</v>
      </c>
      <c r="D3029" s="8">
        <f t="shared" si="264"/>
        <v>45336</v>
      </c>
      <c r="E3029" s="9" t="s">
        <v>11</v>
      </c>
      <c r="F3029" s="10"/>
      <c r="G3029" s="9" t="s">
        <v>15</v>
      </c>
      <c r="H3029" s="7" t="s">
        <v>5435</v>
      </c>
      <c r="I3029" s="9" t="s">
        <v>353</v>
      </c>
      <c r="J3029" s="88"/>
    </row>
    <row r="3030">
      <c r="A3030" s="42" t="s">
        <v>330</v>
      </c>
      <c r="B3030" s="7" t="s">
        <v>5450</v>
      </c>
      <c r="C3030" s="91">
        <v>45330.653030625</v>
      </c>
      <c r="D3030" s="8">
        <f t="shared" si="264"/>
        <v>45334</v>
      </c>
      <c r="E3030" s="9" t="s">
        <v>11</v>
      </c>
      <c r="F3030" s="10"/>
      <c r="G3030" s="9" t="s">
        <v>18</v>
      </c>
      <c r="H3030" s="7" t="s">
        <v>5451</v>
      </c>
      <c r="I3030" s="9" t="s">
        <v>353</v>
      </c>
      <c r="J3030" s="88"/>
    </row>
    <row r="3031">
      <c r="A3031" s="34" t="s">
        <v>204</v>
      </c>
      <c r="B3031" s="7" t="s">
        <v>5452</v>
      </c>
      <c r="C3031" s="91">
        <v>45303.46249186342</v>
      </c>
      <c r="D3031" s="8">
        <f t="shared" si="264"/>
        <v>45307</v>
      </c>
      <c r="E3031" s="9" t="s">
        <v>11</v>
      </c>
      <c r="F3031" s="8">
        <v>45334.0</v>
      </c>
      <c r="G3031" s="9" t="s">
        <v>15</v>
      </c>
      <c r="H3031" s="7" t="s">
        <v>5453</v>
      </c>
      <c r="I3031" s="9" t="s">
        <v>353</v>
      </c>
      <c r="J3031" s="88"/>
    </row>
    <row r="3032">
      <c r="A3032" s="42" t="s">
        <v>330</v>
      </c>
      <c r="B3032" s="168" t="s">
        <v>5454</v>
      </c>
      <c r="C3032" s="91">
        <v>45327.646863518516</v>
      </c>
      <c r="D3032" s="8">
        <f t="shared" si="264"/>
        <v>45329</v>
      </c>
      <c r="E3032" s="9" t="s">
        <v>11</v>
      </c>
      <c r="F3032" s="10"/>
      <c r="G3032" s="9" t="s">
        <v>18</v>
      </c>
      <c r="H3032" s="7" t="s">
        <v>5455</v>
      </c>
      <c r="I3032" s="9" t="s">
        <v>353</v>
      </c>
      <c r="J3032" s="88"/>
    </row>
    <row r="3033">
      <c r="A3033" s="20" t="s">
        <v>98</v>
      </c>
      <c r="B3033" s="9" t="s">
        <v>5456</v>
      </c>
      <c r="C3033" s="91">
        <v>45314.61614320602</v>
      </c>
      <c r="D3033" s="8">
        <f t="shared" si="264"/>
        <v>45316</v>
      </c>
      <c r="E3033" s="9" t="s">
        <v>206</v>
      </c>
      <c r="F3033" s="10"/>
      <c r="G3033" s="9" t="s">
        <v>18</v>
      </c>
      <c r="H3033" s="7" t="s">
        <v>5457</v>
      </c>
      <c r="I3033" s="9" t="s">
        <v>353</v>
      </c>
      <c r="J3033" s="88"/>
    </row>
    <row r="3034">
      <c r="A3034" s="42" t="s">
        <v>330</v>
      </c>
      <c r="B3034" s="185" t="s">
        <v>5458</v>
      </c>
      <c r="C3034" s="91">
        <v>45222.0</v>
      </c>
      <c r="D3034" s="8">
        <f t="shared" si="264"/>
        <v>45224</v>
      </c>
      <c r="E3034" s="9" t="s">
        <v>11</v>
      </c>
      <c r="F3034" s="9" t="s">
        <v>11</v>
      </c>
      <c r="G3034" s="9" t="s">
        <v>220</v>
      </c>
      <c r="H3034" s="7" t="s">
        <v>5459</v>
      </c>
      <c r="I3034" s="9" t="s">
        <v>353</v>
      </c>
      <c r="J3034" s="88"/>
    </row>
    <row r="3035">
      <c r="A3035" s="42" t="s">
        <v>330</v>
      </c>
      <c r="B3035" s="7" t="s">
        <v>5460</v>
      </c>
      <c r="C3035" s="91">
        <v>45320.723629189815</v>
      </c>
      <c r="D3035" s="8">
        <f t="shared" si="264"/>
        <v>45322</v>
      </c>
      <c r="E3035" s="9" t="s">
        <v>11</v>
      </c>
      <c r="F3035" s="10"/>
      <c r="G3035" s="9" t="s">
        <v>18</v>
      </c>
      <c r="H3035" s="7" t="s">
        <v>5461</v>
      </c>
      <c r="I3035" s="9" t="s">
        <v>353</v>
      </c>
      <c r="J3035" s="88"/>
    </row>
    <row r="3036">
      <c r="A3036" s="34" t="s">
        <v>204</v>
      </c>
      <c r="B3036" s="7" t="s">
        <v>5462</v>
      </c>
      <c r="C3036" s="91">
        <v>45307.71577336805</v>
      </c>
      <c r="D3036" s="8">
        <f t="shared" si="264"/>
        <v>45309</v>
      </c>
      <c r="E3036" s="9" t="s">
        <v>11</v>
      </c>
      <c r="F3036" s="9" t="s">
        <v>11</v>
      </c>
      <c r="G3036" s="9" t="s">
        <v>15</v>
      </c>
      <c r="H3036" s="7" t="s">
        <v>5463</v>
      </c>
      <c r="I3036" s="9" t="s">
        <v>353</v>
      </c>
      <c r="J3036" s="88"/>
    </row>
    <row r="3037">
      <c r="A3037" s="6" t="s">
        <v>9</v>
      </c>
      <c r="B3037" s="7" t="s">
        <v>5464</v>
      </c>
      <c r="C3037" s="91">
        <v>45330.40871914352</v>
      </c>
      <c r="D3037" s="8">
        <f t="shared" si="264"/>
        <v>45334</v>
      </c>
      <c r="E3037" s="9" t="s">
        <v>11</v>
      </c>
      <c r="F3037" s="10"/>
      <c r="G3037" s="9" t="s">
        <v>220</v>
      </c>
      <c r="H3037" s="11"/>
      <c r="I3037" s="9" t="s">
        <v>353</v>
      </c>
      <c r="J3037" s="88"/>
    </row>
    <row r="3038">
      <c r="A3038" s="6" t="s">
        <v>9</v>
      </c>
      <c r="B3038" s="7" t="s">
        <v>5465</v>
      </c>
      <c r="C3038" s="91">
        <v>45331.44479517361</v>
      </c>
      <c r="D3038" s="8">
        <f t="shared" si="264"/>
        <v>45335</v>
      </c>
      <c r="E3038" s="9" t="s">
        <v>11</v>
      </c>
      <c r="F3038" s="10"/>
      <c r="G3038" s="9" t="s">
        <v>15</v>
      </c>
      <c r="H3038" s="7" t="s">
        <v>5466</v>
      </c>
      <c r="I3038" s="9" t="s">
        <v>353</v>
      </c>
      <c r="J3038" s="88"/>
    </row>
    <row r="3039">
      <c r="A3039" s="34" t="s">
        <v>204</v>
      </c>
      <c r="B3039" s="7" t="s">
        <v>5467</v>
      </c>
      <c r="C3039" s="91">
        <v>45161.65232857639</v>
      </c>
      <c r="D3039" s="8">
        <f t="shared" si="264"/>
        <v>45163</v>
      </c>
      <c r="E3039" s="9" t="s">
        <v>11</v>
      </c>
      <c r="F3039" s="10"/>
      <c r="G3039" s="9" t="s">
        <v>15</v>
      </c>
      <c r="H3039" s="7" t="s">
        <v>5468</v>
      </c>
      <c r="I3039" s="9" t="s">
        <v>353</v>
      </c>
      <c r="J3039" s="88"/>
    </row>
    <row r="3040">
      <c r="A3040" s="20" t="s">
        <v>98</v>
      </c>
      <c r="B3040" s="9" t="s">
        <v>5469</v>
      </c>
      <c r="C3040" s="91">
        <v>45244.75729840278</v>
      </c>
      <c r="D3040" s="8">
        <f t="shared" si="264"/>
        <v>45246</v>
      </c>
      <c r="E3040" s="9" t="s">
        <v>206</v>
      </c>
      <c r="F3040" s="10"/>
      <c r="G3040" s="9" t="s">
        <v>15</v>
      </c>
      <c r="H3040" s="23" t="s">
        <v>5470</v>
      </c>
      <c r="I3040" s="9" t="s">
        <v>353</v>
      </c>
      <c r="J3040" s="88"/>
    </row>
    <row r="3041">
      <c r="A3041" s="42" t="s">
        <v>330</v>
      </c>
      <c r="B3041" s="7" t="s">
        <v>5471</v>
      </c>
      <c r="C3041" s="91">
        <v>45328.74589569445</v>
      </c>
      <c r="D3041" s="8">
        <f t="shared" si="264"/>
        <v>45330</v>
      </c>
      <c r="E3041" s="9" t="s">
        <v>11</v>
      </c>
      <c r="F3041" s="10"/>
      <c r="G3041" s="9" t="s">
        <v>18</v>
      </c>
      <c r="H3041" s="7" t="s">
        <v>5472</v>
      </c>
      <c r="I3041" s="9" t="s">
        <v>353</v>
      </c>
      <c r="J3041" s="88"/>
    </row>
    <row r="3042">
      <c r="A3042" s="186"/>
      <c r="B3042" s="7" t="s">
        <v>5473</v>
      </c>
      <c r="C3042" s="92">
        <v>45226.39637902778</v>
      </c>
      <c r="D3042" s="85"/>
      <c r="E3042" s="7" t="s">
        <v>88</v>
      </c>
      <c r="F3042" s="7"/>
      <c r="G3042" s="7" t="s">
        <v>18</v>
      </c>
      <c r="H3042" s="7" t="s">
        <v>5474</v>
      </c>
      <c r="I3042" s="7" t="s">
        <v>353</v>
      </c>
      <c r="J3042" s="88"/>
    </row>
    <row r="3043">
      <c r="A3043" s="42" t="s">
        <v>330</v>
      </c>
      <c r="B3043" s="7" t="s">
        <v>5475</v>
      </c>
      <c r="C3043" s="91">
        <v>45322.59334040509</v>
      </c>
      <c r="D3043" s="8">
        <f t="shared" ref="D3043:D3049" si="265">IFERROR(_xlfn.WORKDAY.INTL(C3043, 2),"-")</f>
        <v>45324</v>
      </c>
      <c r="E3043" s="9" t="s">
        <v>11</v>
      </c>
      <c r="F3043" s="10"/>
      <c r="G3043" s="9" t="s">
        <v>18</v>
      </c>
      <c r="H3043" s="7" t="s">
        <v>5476</v>
      </c>
      <c r="I3043" s="9" t="s">
        <v>353</v>
      </c>
      <c r="J3043" s="88"/>
    </row>
    <row r="3044">
      <c r="A3044" s="20" t="s">
        <v>98</v>
      </c>
      <c r="B3044" s="9" t="s">
        <v>5477</v>
      </c>
      <c r="C3044" s="91">
        <v>45328.79106538194</v>
      </c>
      <c r="D3044" s="8">
        <f t="shared" si="265"/>
        <v>45330</v>
      </c>
      <c r="E3044" s="9" t="s">
        <v>88</v>
      </c>
      <c r="F3044" s="10"/>
      <c r="G3044" s="9" t="s">
        <v>15</v>
      </c>
      <c r="H3044" s="7" t="s">
        <v>5478</v>
      </c>
      <c r="I3044" s="9" t="s">
        <v>353</v>
      </c>
      <c r="J3044" s="88"/>
    </row>
    <row r="3045">
      <c r="A3045" s="20" t="s">
        <v>98</v>
      </c>
      <c r="B3045" s="9" t="s">
        <v>5479</v>
      </c>
      <c r="C3045" s="91">
        <v>45322.64213010417</v>
      </c>
      <c r="D3045" s="8">
        <f t="shared" si="265"/>
        <v>45324</v>
      </c>
      <c r="E3045" s="9" t="s">
        <v>88</v>
      </c>
      <c r="F3045" s="10"/>
      <c r="G3045" s="9" t="s">
        <v>15</v>
      </c>
      <c r="H3045" s="7" t="s">
        <v>5478</v>
      </c>
      <c r="I3045" s="9" t="s">
        <v>353</v>
      </c>
      <c r="J3045" s="88"/>
    </row>
    <row r="3046">
      <c r="A3046" s="42" t="s">
        <v>330</v>
      </c>
      <c r="B3046" s="7" t="s">
        <v>5480</v>
      </c>
      <c r="C3046" s="91">
        <v>45328.74596136574</v>
      </c>
      <c r="D3046" s="8">
        <f t="shared" si="265"/>
        <v>45330</v>
      </c>
      <c r="E3046" s="9" t="s">
        <v>11</v>
      </c>
      <c r="F3046" s="10"/>
      <c r="G3046" s="9" t="s">
        <v>18</v>
      </c>
      <c r="H3046" s="7" t="s">
        <v>5481</v>
      </c>
      <c r="I3046" s="9" t="s">
        <v>353</v>
      </c>
      <c r="J3046" s="88"/>
    </row>
    <row r="3047">
      <c r="A3047" s="20" t="s">
        <v>98</v>
      </c>
      <c r="B3047" s="9" t="s">
        <v>5482</v>
      </c>
      <c r="C3047" s="91">
        <v>45273.68407675926</v>
      </c>
      <c r="D3047" s="8">
        <f t="shared" si="265"/>
        <v>45275</v>
      </c>
      <c r="E3047" s="9" t="s">
        <v>206</v>
      </c>
      <c r="F3047" s="10"/>
      <c r="G3047" s="9" t="s">
        <v>15</v>
      </c>
      <c r="H3047" s="23" t="s">
        <v>5483</v>
      </c>
      <c r="I3047" s="9" t="s">
        <v>353</v>
      </c>
      <c r="J3047" s="88"/>
    </row>
    <row r="3048">
      <c r="A3048" s="20" t="s">
        <v>98</v>
      </c>
      <c r="B3048" s="9" t="s">
        <v>5484</v>
      </c>
      <c r="C3048" s="91">
        <v>45216.58750451389</v>
      </c>
      <c r="D3048" s="8">
        <f t="shared" si="265"/>
        <v>45218</v>
      </c>
      <c r="E3048" s="9" t="s">
        <v>206</v>
      </c>
      <c r="F3048" s="10"/>
      <c r="G3048" s="9" t="s">
        <v>18</v>
      </c>
      <c r="H3048" s="23" t="s">
        <v>5485</v>
      </c>
      <c r="I3048" s="9" t="s">
        <v>353</v>
      </c>
      <c r="J3048" s="88"/>
    </row>
    <row r="3049">
      <c r="A3049" s="34" t="s">
        <v>204</v>
      </c>
      <c r="B3049" s="7" t="s">
        <v>5486</v>
      </c>
      <c r="C3049" s="91">
        <v>45188.42338306713</v>
      </c>
      <c r="D3049" s="8">
        <f t="shared" si="265"/>
        <v>45190</v>
      </c>
      <c r="E3049" s="9" t="s">
        <v>11</v>
      </c>
      <c r="F3049" s="9" t="s">
        <v>11</v>
      </c>
      <c r="G3049" s="9" t="s">
        <v>15</v>
      </c>
      <c r="H3049" s="7" t="s">
        <v>5487</v>
      </c>
      <c r="I3049" s="9" t="s">
        <v>353</v>
      </c>
      <c r="J3049" s="88"/>
    </row>
    <row r="3050">
      <c r="A3050" s="20" t="s">
        <v>98</v>
      </c>
      <c r="B3050" s="7" t="s">
        <v>5488</v>
      </c>
      <c r="C3050" s="92">
        <v>45226.39846894676</v>
      </c>
      <c r="D3050" s="85"/>
      <c r="E3050" s="7" t="s">
        <v>88</v>
      </c>
      <c r="F3050" s="7"/>
      <c r="G3050" s="7" t="s">
        <v>18</v>
      </c>
      <c r="H3050" s="7" t="s">
        <v>5489</v>
      </c>
      <c r="I3050" s="9" t="s">
        <v>353</v>
      </c>
      <c r="J3050" s="88"/>
    </row>
    <row r="3051">
      <c r="A3051" s="20" t="s">
        <v>98</v>
      </c>
      <c r="B3051" s="9" t="s">
        <v>5490</v>
      </c>
      <c r="C3051" s="91">
        <v>45324.35699758102</v>
      </c>
      <c r="D3051" s="8">
        <f t="shared" ref="D3051:D3088" si="266">IFERROR(_xlfn.WORKDAY.INTL(C3051, 2),"-")</f>
        <v>45328</v>
      </c>
      <c r="E3051" s="9" t="s">
        <v>206</v>
      </c>
      <c r="F3051" s="10"/>
      <c r="G3051" s="9" t="s">
        <v>18</v>
      </c>
      <c r="H3051" s="7" t="s">
        <v>5491</v>
      </c>
      <c r="I3051" s="9" t="s">
        <v>353</v>
      </c>
      <c r="J3051" s="88"/>
    </row>
    <row r="3052">
      <c r="A3052" s="20" t="s">
        <v>98</v>
      </c>
      <c r="B3052" s="9" t="s">
        <v>5492</v>
      </c>
      <c r="C3052" s="91">
        <v>45324.35671128472</v>
      </c>
      <c r="D3052" s="8">
        <f t="shared" si="266"/>
        <v>45328</v>
      </c>
      <c r="E3052" s="9" t="s">
        <v>206</v>
      </c>
      <c r="F3052" s="10"/>
      <c r="G3052" s="9" t="s">
        <v>18</v>
      </c>
      <c r="H3052" s="7" t="s">
        <v>5491</v>
      </c>
      <c r="I3052" s="9" t="s">
        <v>353</v>
      </c>
      <c r="J3052" s="88"/>
    </row>
    <row r="3053">
      <c r="A3053" s="20" t="s">
        <v>98</v>
      </c>
      <c r="B3053" s="9" t="s">
        <v>4797</v>
      </c>
      <c r="C3053" s="91">
        <v>45222.69087306713</v>
      </c>
      <c r="D3053" s="8">
        <f t="shared" si="266"/>
        <v>45224</v>
      </c>
      <c r="E3053" s="9" t="s">
        <v>88</v>
      </c>
      <c r="F3053" s="10"/>
      <c r="G3053" s="9" t="s">
        <v>18</v>
      </c>
      <c r="H3053" s="7" t="s">
        <v>5493</v>
      </c>
      <c r="I3053" s="9" t="s">
        <v>353</v>
      </c>
      <c r="J3053" s="88"/>
    </row>
    <row r="3054">
      <c r="A3054" s="42" t="s">
        <v>330</v>
      </c>
      <c r="B3054" s="7" t="s">
        <v>5494</v>
      </c>
      <c r="C3054" s="91">
        <v>45329.356235451385</v>
      </c>
      <c r="D3054" s="8">
        <f t="shared" si="266"/>
        <v>45331</v>
      </c>
      <c r="E3054" s="9" t="s">
        <v>11</v>
      </c>
      <c r="F3054" s="10"/>
      <c r="G3054" s="9" t="s">
        <v>220</v>
      </c>
      <c r="H3054" s="11"/>
      <c r="I3054" s="9" t="s">
        <v>353</v>
      </c>
      <c r="J3054" s="88"/>
    </row>
    <row r="3055">
      <c r="A3055" s="20" t="s">
        <v>98</v>
      </c>
      <c r="B3055" s="9" t="s">
        <v>5495</v>
      </c>
      <c r="C3055" s="91">
        <v>45322.64204034722</v>
      </c>
      <c r="D3055" s="8">
        <f t="shared" si="266"/>
        <v>45324</v>
      </c>
      <c r="E3055" s="9" t="s">
        <v>88</v>
      </c>
      <c r="F3055" s="10"/>
      <c r="G3055" s="9" t="s">
        <v>15</v>
      </c>
      <c r="H3055" s="7" t="s">
        <v>5478</v>
      </c>
      <c r="I3055" s="9" t="s">
        <v>353</v>
      </c>
      <c r="J3055" s="88"/>
    </row>
    <row r="3056">
      <c r="A3056" s="20" t="s">
        <v>98</v>
      </c>
      <c r="B3056" s="9" t="s">
        <v>5496</v>
      </c>
      <c r="C3056" s="91">
        <v>45324.35621856482</v>
      </c>
      <c r="D3056" s="8">
        <f t="shared" si="266"/>
        <v>45328</v>
      </c>
      <c r="E3056" s="9" t="s">
        <v>206</v>
      </c>
      <c r="F3056" s="10"/>
      <c r="G3056" s="9" t="s">
        <v>18</v>
      </c>
      <c r="H3056" s="7" t="s">
        <v>5491</v>
      </c>
      <c r="I3056" s="9" t="s">
        <v>353</v>
      </c>
      <c r="J3056" s="88"/>
    </row>
    <row r="3057">
      <c r="A3057" s="34" t="s">
        <v>204</v>
      </c>
      <c r="B3057" s="7" t="s">
        <v>5497</v>
      </c>
      <c r="C3057" s="91">
        <v>45282.470340740736</v>
      </c>
      <c r="D3057" s="8">
        <f t="shared" si="266"/>
        <v>45286</v>
      </c>
      <c r="E3057" s="9" t="s">
        <v>11</v>
      </c>
      <c r="F3057" s="9" t="s">
        <v>11</v>
      </c>
      <c r="G3057" s="9" t="s">
        <v>18</v>
      </c>
      <c r="H3057" s="7" t="s">
        <v>5498</v>
      </c>
      <c r="I3057" s="9" t="s">
        <v>353</v>
      </c>
      <c r="J3057" s="88"/>
    </row>
    <row r="3058">
      <c r="A3058" s="20" t="s">
        <v>98</v>
      </c>
      <c r="B3058" s="9" t="s">
        <v>5499</v>
      </c>
      <c r="C3058" s="91">
        <v>45324.35532599537</v>
      </c>
      <c r="D3058" s="8">
        <f t="shared" si="266"/>
        <v>45328</v>
      </c>
      <c r="E3058" s="9" t="s">
        <v>206</v>
      </c>
      <c r="F3058" s="10"/>
      <c r="G3058" s="9" t="s">
        <v>15</v>
      </c>
      <c r="H3058" s="7" t="s">
        <v>5500</v>
      </c>
      <c r="I3058" s="9" t="s">
        <v>353</v>
      </c>
      <c r="J3058" s="88"/>
    </row>
    <row r="3059">
      <c r="A3059" s="20" t="s">
        <v>98</v>
      </c>
      <c r="B3059" s="9" t="s">
        <v>1499</v>
      </c>
      <c r="C3059" s="91">
        <v>45322.64124894676</v>
      </c>
      <c r="D3059" s="8">
        <f t="shared" si="266"/>
        <v>45324</v>
      </c>
      <c r="E3059" s="9" t="s">
        <v>88</v>
      </c>
      <c r="F3059" s="10"/>
      <c r="G3059" s="9" t="s">
        <v>15</v>
      </c>
      <c r="H3059" s="7" t="s">
        <v>5501</v>
      </c>
      <c r="I3059" s="9" t="s">
        <v>353</v>
      </c>
      <c r="J3059" s="88"/>
    </row>
    <row r="3060">
      <c r="A3060" s="6" t="s">
        <v>9</v>
      </c>
      <c r="B3060" s="7" t="s">
        <v>5502</v>
      </c>
      <c r="C3060" s="91">
        <v>45328.60665472222</v>
      </c>
      <c r="D3060" s="8">
        <f t="shared" si="266"/>
        <v>45330</v>
      </c>
      <c r="E3060" s="9" t="s">
        <v>11</v>
      </c>
      <c r="F3060" s="10"/>
      <c r="G3060" s="9" t="s">
        <v>15</v>
      </c>
      <c r="H3060" s="7" t="s">
        <v>5503</v>
      </c>
      <c r="I3060" s="9" t="s">
        <v>353</v>
      </c>
      <c r="J3060" s="88"/>
    </row>
    <row r="3061">
      <c r="A3061" s="20" t="s">
        <v>98</v>
      </c>
      <c r="B3061" s="9" t="s">
        <v>5504</v>
      </c>
      <c r="C3061" s="91">
        <v>45324.35484043982</v>
      </c>
      <c r="D3061" s="8">
        <f t="shared" si="266"/>
        <v>45328</v>
      </c>
      <c r="E3061" s="9" t="s">
        <v>206</v>
      </c>
      <c r="F3061" s="10"/>
      <c r="G3061" s="9" t="s">
        <v>15</v>
      </c>
      <c r="H3061" s="7" t="s">
        <v>5500</v>
      </c>
      <c r="I3061" s="9" t="s">
        <v>353</v>
      </c>
      <c r="J3061" s="88"/>
    </row>
    <row r="3062">
      <c r="A3062" s="6" t="s">
        <v>9</v>
      </c>
      <c r="B3062" s="7" t="s">
        <v>5505</v>
      </c>
      <c r="C3062" s="91">
        <v>45322.44272277778</v>
      </c>
      <c r="D3062" s="8">
        <f t="shared" si="266"/>
        <v>45324</v>
      </c>
      <c r="E3062" s="9" t="s">
        <v>11</v>
      </c>
      <c r="F3062" s="10"/>
      <c r="G3062" s="9" t="s">
        <v>15</v>
      </c>
      <c r="H3062" s="7" t="s">
        <v>5506</v>
      </c>
      <c r="I3062" s="9" t="s">
        <v>353</v>
      </c>
      <c r="J3062" s="88"/>
    </row>
    <row r="3063">
      <c r="A3063" s="6" t="s">
        <v>9</v>
      </c>
      <c r="B3063" s="7" t="s">
        <v>5502</v>
      </c>
      <c r="C3063" s="91">
        <v>45314.485736400464</v>
      </c>
      <c r="D3063" s="8">
        <f t="shared" si="266"/>
        <v>45316</v>
      </c>
      <c r="E3063" s="9" t="s">
        <v>11</v>
      </c>
      <c r="F3063" s="10"/>
      <c r="G3063" s="9" t="s">
        <v>15</v>
      </c>
      <c r="H3063" s="7" t="s">
        <v>5507</v>
      </c>
      <c r="I3063" s="9" t="s">
        <v>353</v>
      </c>
      <c r="J3063" s="88"/>
    </row>
    <row r="3064">
      <c r="A3064" s="6" t="s">
        <v>9</v>
      </c>
      <c r="B3064" s="7" t="s">
        <v>5508</v>
      </c>
      <c r="C3064" s="91">
        <v>45327.67424122685</v>
      </c>
      <c r="D3064" s="8">
        <f t="shared" si="266"/>
        <v>45329</v>
      </c>
      <c r="E3064" s="9" t="s">
        <v>11</v>
      </c>
      <c r="F3064" s="10"/>
      <c r="G3064" s="9"/>
      <c r="H3064" s="11"/>
      <c r="I3064" s="9" t="s">
        <v>353</v>
      </c>
      <c r="J3064" s="88"/>
    </row>
    <row r="3065">
      <c r="A3065" s="20" t="s">
        <v>98</v>
      </c>
      <c r="B3065" s="9" t="s">
        <v>5509</v>
      </c>
      <c r="C3065" s="91">
        <v>45324.35553350694</v>
      </c>
      <c r="D3065" s="8">
        <f t="shared" si="266"/>
        <v>45328</v>
      </c>
      <c r="E3065" s="9" t="s">
        <v>206</v>
      </c>
      <c r="F3065" s="10"/>
      <c r="G3065" s="9" t="s">
        <v>15</v>
      </c>
      <c r="H3065" s="7" t="s">
        <v>5510</v>
      </c>
      <c r="I3065" s="9" t="s">
        <v>353</v>
      </c>
      <c r="J3065" s="88"/>
    </row>
    <row r="3066">
      <c r="A3066" s="20" t="s">
        <v>98</v>
      </c>
      <c r="B3066" s="166" t="s">
        <v>5511</v>
      </c>
      <c r="C3066" s="119">
        <v>45321.72337922454</v>
      </c>
      <c r="D3066" s="80">
        <f t="shared" si="266"/>
        <v>45323</v>
      </c>
      <c r="E3066" s="172" t="s">
        <v>206</v>
      </c>
      <c r="F3066" s="175"/>
      <c r="G3066" s="173" t="s">
        <v>15</v>
      </c>
      <c r="H3066" s="183" t="s">
        <v>5512</v>
      </c>
      <c r="I3066" s="9" t="s">
        <v>353</v>
      </c>
      <c r="J3066" s="88"/>
    </row>
    <row r="3067">
      <c r="A3067" s="54" t="s">
        <v>4009</v>
      </c>
      <c r="B3067" s="7" t="s">
        <v>5513</v>
      </c>
      <c r="C3067" s="91">
        <v>45327.59349777778</v>
      </c>
      <c r="D3067" s="8">
        <f t="shared" si="266"/>
        <v>45329</v>
      </c>
      <c r="E3067" s="9" t="s">
        <v>11</v>
      </c>
      <c r="F3067" s="10"/>
      <c r="G3067" s="9" t="s">
        <v>220</v>
      </c>
      <c r="H3067" s="7" t="s">
        <v>5514</v>
      </c>
      <c r="I3067" s="9" t="s">
        <v>353</v>
      </c>
      <c r="J3067" s="88"/>
    </row>
    <row r="3068">
      <c r="A3068" s="54" t="s">
        <v>4009</v>
      </c>
      <c r="B3068" s="7" t="s">
        <v>2814</v>
      </c>
      <c r="C3068" s="91">
        <v>45309.38688962963</v>
      </c>
      <c r="D3068" s="8">
        <f t="shared" si="266"/>
        <v>45313</v>
      </c>
      <c r="E3068" s="9" t="s">
        <v>11</v>
      </c>
      <c r="F3068" s="10"/>
      <c r="G3068" s="9"/>
      <c r="H3068" s="7" t="s">
        <v>5515</v>
      </c>
      <c r="I3068" s="9" t="s">
        <v>353</v>
      </c>
      <c r="J3068" s="88"/>
    </row>
    <row r="3069">
      <c r="A3069" s="54" t="s">
        <v>4009</v>
      </c>
      <c r="B3069" s="7" t="s">
        <v>2814</v>
      </c>
      <c r="C3069" s="91">
        <v>45309.38688962963</v>
      </c>
      <c r="D3069" s="8">
        <f t="shared" si="266"/>
        <v>45313</v>
      </c>
      <c r="E3069" s="9" t="s">
        <v>11</v>
      </c>
      <c r="F3069" s="10"/>
      <c r="G3069" s="9"/>
      <c r="H3069" s="7" t="s">
        <v>5516</v>
      </c>
      <c r="I3069" s="9" t="s">
        <v>353</v>
      </c>
      <c r="J3069" s="88"/>
    </row>
    <row r="3070">
      <c r="A3070" s="34" t="s">
        <v>204</v>
      </c>
      <c r="B3070" s="7" t="s">
        <v>4189</v>
      </c>
      <c r="C3070" s="91">
        <v>45327.60237429398</v>
      </c>
      <c r="D3070" s="8">
        <f t="shared" si="266"/>
        <v>45329</v>
      </c>
      <c r="E3070" s="9" t="s">
        <v>11</v>
      </c>
      <c r="F3070" s="10"/>
      <c r="G3070" s="9"/>
      <c r="H3070" s="7" t="s">
        <v>5517</v>
      </c>
      <c r="I3070" s="9" t="s">
        <v>353</v>
      </c>
      <c r="J3070" s="88"/>
    </row>
    <row r="3071">
      <c r="A3071" s="42" t="s">
        <v>330</v>
      </c>
      <c r="B3071" s="7" t="s">
        <v>5518</v>
      </c>
      <c r="C3071" s="91">
        <v>45322.72427384259</v>
      </c>
      <c r="D3071" s="8">
        <f t="shared" si="266"/>
        <v>45324</v>
      </c>
      <c r="E3071" s="9" t="s">
        <v>11</v>
      </c>
      <c r="F3071" s="10"/>
      <c r="G3071" s="9" t="s">
        <v>15</v>
      </c>
      <c r="H3071" s="7" t="s">
        <v>5519</v>
      </c>
      <c r="I3071" s="9" t="s">
        <v>353</v>
      </c>
      <c r="J3071" s="88"/>
    </row>
    <row r="3072">
      <c r="A3072" s="20" t="s">
        <v>98</v>
      </c>
      <c r="B3072" s="9" t="s">
        <v>5520</v>
      </c>
      <c r="C3072" s="91">
        <v>45324.356107314816</v>
      </c>
      <c r="D3072" s="8">
        <f t="shared" si="266"/>
        <v>45328</v>
      </c>
      <c r="E3072" s="9" t="s">
        <v>206</v>
      </c>
      <c r="F3072" s="10"/>
      <c r="G3072" s="9" t="s">
        <v>15</v>
      </c>
      <c r="H3072" s="7" t="s">
        <v>5521</v>
      </c>
      <c r="I3072" s="9" t="s">
        <v>353</v>
      </c>
      <c r="J3072" s="88"/>
    </row>
    <row r="3073">
      <c r="A3073" s="42" t="s">
        <v>330</v>
      </c>
      <c r="B3073" s="187" t="s">
        <v>5522</v>
      </c>
      <c r="C3073" s="91">
        <v>45315.35537690972</v>
      </c>
      <c r="D3073" s="8">
        <f t="shared" si="266"/>
        <v>45317</v>
      </c>
      <c r="E3073" s="9" t="s">
        <v>11</v>
      </c>
      <c r="F3073" s="10"/>
      <c r="G3073" s="9" t="s">
        <v>18</v>
      </c>
      <c r="H3073" s="11"/>
      <c r="I3073" s="9" t="s">
        <v>353</v>
      </c>
      <c r="J3073" s="88"/>
    </row>
    <row r="3074">
      <c r="A3074" s="20" t="s">
        <v>98</v>
      </c>
      <c r="B3074" s="9" t="s">
        <v>5523</v>
      </c>
      <c r="C3074" s="91">
        <v>45324.35570876158</v>
      </c>
      <c r="D3074" s="8">
        <f t="shared" si="266"/>
        <v>45328</v>
      </c>
      <c r="E3074" s="9" t="s">
        <v>206</v>
      </c>
      <c r="F3074" s="10"/>
      <c r="G3074" s="9" t="s">
        <v>15</v>
      </c>
      <c r="H3074" s="7" t="s">
        <v>5500</v>
      </c>
      <c r="I3074" s="9" t="s">
        <v>353</v>
      </c>
      <c r="J3074" s="88"/>
    </row>
    <row r="3075">
      <c r="A3075" s="6" t="s">
        <v>9</v>
      </c>
      <c r="B3075" s="7" t="s">
        <v>5524</v>
      </c>
      <c r="C3075" s="91">
        <v>45323.61679297454</v>
      </c>
      <c r="D3075" s="8">
        <f t="shared" si="266"/>
        <v>45327</v>
      </c>
      <c r="E3075" s="9" t="s">
        <v>206</v>
      </c>
      <c r="F3075" s="10"/>
      <c r="G3075" s="9" t="s">
        <v>15</v>
      </c>
      <c r="H3075" s="7" t="s">
        <v>5525</v>
      </c>
      <c r="I3075" s="9" t="s">
        <v>353</v>
      </c>
      <c r="J3075" s="88"/>
    </row>
    <row r="3076">
      <c r="A3076" s="20" t="s">
        <v>98</v>
      </c>
      <c r="B3076" s="9" t="s">
        <v>5526</v>
      </c>
      <c r="C3076" s="91">
        <v>45320.65072443287</v>
      </c>
      <c r="D3076" s="8">
        <f t="shared" si="266"/>
        <v>45322</v>
      </c>
      <c r="E3076" s="9" t="s">
        <v>206</v>
      </c>
      <c r="F3076" s="10"/>
      <c r="G3076" s="9" t="s">
        <v>15</v>
      </c>
      <c r="H3076" s="7" t="s">
        <v>5527</v>
      </c>
      <c r="I3076" s="9" t="s">
        <v>353</v>
      </c>
      <c r="J3076" s="88"/>
    </row>
    <row r="3077">
      <c r="A3077" s="20" t="s">
        <v>98</v>
      </c>
      <c r="B3077" s="9" t="s">
        <v>5528</v>
      </c>
      <c r="C3077" s="91">
        <v>45252.57716071759</v>
      </c>
      <c r="D3077" s="8">
        <f t="shared" si="266"/>
        <v>45254</v>
      </c>
      <c r="E3077" s="9" t="s">
        <v>206</v>
      </c>
      <c r="F3077" s="10"/>
      <c r="G3077" s="9" t="s">
        <v>15</v>
      </c>
      <c r="H3077" s="23" t="s">
        <v>5529</v>
      </c>
      <c r="I3077" s="9" t="s">
        <v>353</v>
      </c>
      <c r="J3077" s="88"/>
    </row>
    <row r="3078">
      <c r="A3078" s="6" t="s">
        <v>9</v>
      </c>
      <c r="B3078" s="7" t="s">
        <v>5530</v>
      </c>
      <c r="C3078" s="91">
        <v>45267.62022087963</v>
      </c>
      <c r="D3078" s="8">
        <f t="shared" si="266"/>
        <v>45271</v>
      </c>
      <c r="E3078" s="9" t="s">
        <v>11</v>
      </c>
      <c r="F3078" s="10"/>
      <c r="G3078" s="9" t="s">
        <v>15</v>
      </c>
      <c r="H3078" s="7" t="s">
        <v>5531</v>
      </c>
      <c r="I3078" s="9" t="s">
        <v>353</v>
      </c>
      <c r="J3078" s="88"/>
    </row>
    <row r="3079">
      <c r="A3079" s="42" t="s">
        <v>330</v>
      </c>
      <c r="B3079" s="187" t="s">
        <v>3192</v>
      </c>
      <c r="C3079" s="91">
        <v>45321.45261482639</v>
      </c>
      <c r="D3079" s="8">
        <f t="shared" si="266"/>
        <v>45323</v>
      </c>
      <c r="E3079" s="9" t="s">
        <v>11</v>
      </c>
      <c r="F3079" s="10"/>
      <c r="G3079" s="9" t="s">
        <v>18</v>
      </c>
      <c r="H3079" s="7" t="s">
        <v>5532</v>
      </c>
      <c r="I3079" s="9" t="s">
        <v>353</v>
      </c>
      <c r="J3079" s="88"/>
    </row>
    <row r="3080">
      <c r="A3080" s="42" t="s">
        <v>330</v>
      </c>
      <c r="B3080" s="7" t="s">
        <v>5533</v>
      </c>
      <c r="C3080" s="91">
        <v>45321.70072753472</v>
      </c>
      <c r="D3080" s="8">
        <f t="shared" si="266"/>
        <v>45323</v>
      </c>
      <c r="E3080" s="9" t="s">
        <v>11</v>
      </c>
      <c r="F3080" s="10"/>
      <c r="G3080" s="9" t="s">
        <v>18</v>
      </c>
      <c r="H3080" s="7" t="s">
        <v>5534</v>
      </c>
      <c r="I3080" s="9" t="s">
        <v>353</v>
      </c>
      <c r="J3080" s="88"/>
    </row>
    <row r="3081">
      <c r="A3081" s="20" t="s">
        <v>98</v>
      </c>
      <c r="B3081" s="9" t="s">
        <v>5535</v>
      </c>
      <c r="C3081" s="91">
        <v>45321.72278283565</v>
      </c>
      <c r="D3081" s="8">
        <f t="shared" si="266"/>
        <v>45323</v>
      </c>
      <c r="E3081" s="9" t="s">
        <v>206</v>
      </c>
      <c r="F3081" s="10"/>
      <c r="G3081" s="9" t="s">
        <v>15</v>
      </c>
      <c r="H3081" s="7" t="s">
        <v>5536</v>
      </c>
      <c r="I3081" s="9" t="s">
        <v>353</v>
      </c>
      <c r="J3081" s="88"/>
    </row>
    <row r="3082">
      <c r="A3082" s="42" t="s">
        <v>330</v>
      </c>
      <c r="B3082" s="7" t="s">
        <v>5537</v>
      </c>
      <c r="C3082" s="91">
        <v>45316.69865023148</v>
      </c>
      <c r="D3082" s="8">
        <f t="shared" si="266"/>
        <v>45320</v>
      </c>
      <c r="E3082" s="9" t="s">
        <v>11</v>
      </c>
      <c r="F3082" s="10"/>
      <c r="G3082" s="9" t="s">
        <v>18</v>
      </c>
      <c r="H3082" s="7" t="s">
        <v>5538</v>
      </c>
      <c r="I3082" s="9" t="s">
        <v>353</v>
      </c>
      <c r="J3082" s="88"/>
    </row>
    <row r="3083">
      <c r="A3083" s="42" t="s">
        <v>330</v>
      </c>
      <c r="B3083" s="7" t="s">
        <v>5539</v>
      </c>
      <c r="C3083" s="91">
        <v>45321.61495157407</v>
      </c>
      <c r="D3083" s="8">
        <f t="shared" si="266"/>
        <v>45323</v>
      </c>
      <c r="E3083" s="9" t="s">
        <v>11</v>
      </c>
      <c r="F3083" s="10"/>
      <c r="G3083" s="9" t="s">
        <v>18</v>
      </c>
      <c r="H3083" s="7" t="s">
        <v>5540</v>
      </c>
      <c r="I3083" s="9" t="s">
        <v>353</v>
      </c>
      <c r="J3083" s="88"/>
    </row>
    <row r="3084">
      <c r="A3084" s="42" t="s">
        <v>330</v>
      </c>
      <c r="B3084" s="7" t="s">
        <v>3525</v>
      </c>
      <c r="C3084" s="91">
        <v>45321.452686874996</v>
      </c>
      <c r="D3084" s="8">
        <f t="shared" si="266"/>
        <v>45323</v>
      </c>
      <c r="E3084" s="9" t="s">
        <v>11</v>
      </c>
      <c r="F3084" s="10"/>
      <c r="G3084" s="9" t="s">
        <v>18</v>
      </c>
      <c r="H3084" s="7" t="s">
        <v>5541</v>
      </c>
      <c r="I3084" s="9" t="s">
        <v>353</v>
      </c>
      <c r="J3084" s="88"/>
    </row>
    <row r="3085">
      <c r="A3085" s="20" t="s">
        <v>98</v>
      </c>
      <c r="B3085" s="9" t="s">
        <v>5542</v>
      </c>
      <c r="C3085" s="91">
        <v>45321.48658574074</v>
      </c>
      <c r="D3085" s="8">
        <f t="shared" si="266"/>
        <v>45323</v>
      </c>
      <c r="E3085" s="9" t="s">
        <v>88</v>
      </c>
      <c r="F3085" s="10"/>
      <c r="G3085" s="9" t="s">
        <v>15</v>
      </c>
      <c r="H3085" s="7" t="s">
        <v>5543</v>
      </c>
      <c r="I3085" s="9" t="s">
        <v>353</v>
      </c>
      <c r="J3085" s="88"/>
    </row>
    <row r="3086">
      <c r="A3086" s="42" t="s">
        <v>330</v>
      </c>
      <c r="B3086" s="7" t="s">
        <v>5544</v>
      </c>
      <c r="C3086" s="91">
        <v>45317.35364659722</v>
      </c>
      <c r="D3086" s="8">
        <f t="shared" si="266"/>
        <v>45321</v>
      </c>
      <c r="E3086" s="9" t="s">
        <v>11</v>
      </c>
      <c r="F3086" s="10"/>
      <c r="G3086" s="9" t="s">
        <v>18</v>
      </c>
      <c r="H3086" s="7" t="s">
        <v>5545</v>
      </c>
      <c r="I3086" s="9" t="s">
        <v>353</v>
      </c>
      <c r="J3086" s="88"/>
    </row>
    <row r="3087">
      <c r="A3087" s="42" t="s">
        <v>330</v>
      </c>
      <c r="B3087" s="7" t="s">
        <v>5546</v>
      </c>
      <c r="C3087" s="91">
        <v>45308.598350844906</v>
      </c>
      <c r="D3087" s="8">
        <f t="shared" si="266"/>
        <v>45310</v>
      </c>
      <c r="E3087" s="9" t="s">
        <v>11</v>
      </c>
      <c r="F3087" s="10"/>
      <c r="G3087" s="9" t="s">
        <v>18</v>
      </c>
      <c r="H3087" s="7" t="s">
        <v>5547</v>
      </c>
      <c r="I3087" s="9" t="s">
        <v>353</v>
      </c>
      <c r="J3087" s="88"/>
    </row>
    <row r="3088">
      <c r="A3088" s="42" t="s">
        <v>330</v>
      </c>
      <c r="B3088" s="185" t="s">
        <v>5548</v>
      </c>
      <c r="C3088" s="91">
        <v>45288.63827333333</v>
      </c>
      <c r="D3088" s="8">
        <f t="shared" si="266"/>
        <v>45292</v>
      </c>
      <c r="E3088" s="9" t="s">
        <v>11</v>
      </c>
      <c r="F3088" s="10"/>
      <c r="G3088" s="9" t="s">
        <v>220</v>
      </c>
      <c r="H3088" s="7" t="s">
        <v>5549</v>
      </c>
      <c r="I3088" s="9" t="s">
        <v>353</v>
      </c>
      <c r="J3088" s="88"/>
    </row>
    <row r="3089">
      <c r="A3089" s="42" t="s">
        <v>330</v>
      </c>
      <c r="B3089" s="187" t="s">
        <v>5550</v>
      </c>
      <c r="C3089" s="91">
        <v>45236.43895282407</v>
      </c>
      <c r="D3089" s="8"/>
      <c r="E3089" s="9" t="s">
        <v>11</v>
      </c>
      <c r="F3089" s="8"/>
      <c r="G3089" s="9" t="s">
        <v>15</v>
      </c>
      <c r="H3089" s="7" t="s">
        <v>5551</v>
      </c>
      <c r="I3089" s="9" t="s">
        <v>353</v>
      </c>
      <c r="J3089" s="88"/>
    </row>
    <row r="3090">
      <c r="A3090" s="34" t="s">
        <v>204</v>
      </c>
      <c r="B3090" s="7" t="s">
        <v>5552</v>
      </c>
      <c r="C3090" s="91">
        <v>45299.74628414352</v>
      </c>
      <c r="D3090" s="8">
        <f t="shared" ref="D3090:D3129" si="267">IFERROR(_xlfn.WORKDAY.INTL(C3090, 2),"-")</f>
        <v>45301</v>
      </c>
      <c r="E3090" s="9" t="s">
        <v>11</v>
      </c>
      <c r="F3090" s="71">
        <v>45320.0</v>
      </c>
      <c r="G3090" s="9" t="s">
        <v>18</v>
      </c>
      <c r="H3090" s="7" t="s">
        <v>5553</v>
      </c>
      <c r="I3090" s="9" t="s">
        <v>353</v>
      </c>
      <c r="J3090" s="88"/>
    </row>
    <row r="3091">
      <c r="A3091" s="6" t="s">
        <v>9</v>
      </c>
      <c r="B3091" s="7" t="s">
        <v>5554</v>
      </c>
      <c r="C3091" s="91">
        <v>45075.636311932874</v>
      </c>
      <c r="D3091" s="8">
        <f t="shared" si="267"/>
        <v>45077</v>
      </c>
      <c r="E3091" s="9" t="s">
        <v>206</v>
      </c>
      <c r="F3091" s="9" t="s">
        <v>11</v>
      </c>
      <c r="G3091" s="9" t="s">
        <v>15</v>
      </c>
      <c r="H3091" s="7" t="s">
        <v>5555</v>
      </c>
      <c r="I3091" s="9" t="s">
        <v>353</v>
      </c>
      <c r="J3091" s="88"/>
    </row>
    <row r="3092">
      <c r="A3092" s="34" t="s">
        <v>204</v>
      </c>
      <c r="B3092" s="7" t="s">
        <v>5556</v>
      </c>
      <c r="C3092" s="91">
        <v>45307.71603137732</v>
      </c>
      <c r="D3092" s="8">
        <f t="shared" si="267"/>
        <v>45309</v>
      </c>
      <c r="E3092" s="9" t="s">
        <v>11</v>
      </c>
      <c r="F3092" s="9" t="s">
        <v>11</v>
      </c>
      <c r="G3092" s="9" t="s">
        <v>15</v>
      </c>
      <c r="H3092" s="7" t="s">
        <v>5557</v>
      </c>
      <c r="I3092" s="9" t="s">
        <v>353</v>
      </c>
      <c r="J3092" s="88"/>
    </row>
    <row r="3093">
      <c r="A3093" s="42" t="s">
        <v>330</v>
      </c>
      <c r="B3093" s="7" t="s">
        <v>3525</v>
      </c>
      <c r="C3093" s="91">
        <v>45316.35287032407</v>
      </c>
      <c r="D3093" s="8">
        <f t="shared" si="267"/>
        <v>45320</v>
      </c>
      <c r="E3093" s="9" t="s">
        <v>11</v>
      </c>
      <c r="F3093" s="10"/>
      <c r="G3093" s="9" t="s">
        <v>18</v>
      </c>
      <c r="H3093" s="7" t="s">
        <v>5558</v>
      </c>
      <c r="I3093" s="9" t="s">
        <v>353</v>
      </c>
      <c r="J3093" s="88"/>
    </row>
    <row r="3094">
      <c r="A3094" s="20" t="s">
        <v>98</v>
      </c>
      <c r="B3094" s="9" t="s">
        <v>5559</v>
      </c>
      <c r="C3094" s="91">
        <v>45306.36675365741</v>
      </c>
      <c r="D3094" s="8">
        <f t="shared" si="267"/>
        <v>45308</v>
      </c>
      <c r="E3094" s="9" t="s">
        <v>88</v>
      </c>
      <c r="F3094" s="10"/>
      <c r="G3094" s="9" t="s">
        <v>18</v>
      </c>
      <c r="H3094" s="7" t="s">
        <v>5560</v>
      </c>
      <c r="I3094" s="9" t="s">
        <v>353</v>
      </c>
      <c r="J3094" s="88"/>
    </row>
    <row r="3095">
      <c r="A3095" s="34" t="s">
        <v>204</v>
      </c>
      <c r="B3095" s="7" t="s">
        <v>5561</v>
      </c>
      <c r="C3095" s="91">
        <v>45254.46965908565</v>
      </c>
      <c r="D3095" s="8">
        <f t="shared" si="267"/>
        <v>45258</v>
      </c>
      <c r="E3095" s="9" t="s">
        <v>11</v>
      </c>
      <c r="F3095" s="9" t="s">
        <v>11</v>
      </c>
      <c r="G3095" s="9" t="s">
        <v>15</v>
      </c>
      <c r="H3095" s="7" t="s">
        <v>5562</v>
      </c>
      <c r="I3095" s="9" t="s">
        <v>353</v>
      </c>
      <c r="J3095" s="88"/>
    </row>
    <row r="3096">
      <c r="A3096" s="34" t="s">
        <v>204</v>
      </c>
      <c r="B3096" s="7" t="s">
        <v>5563</v>
      </c>
      <c r="C3096" s="91">
        <v>45301.73669987269</v>
      </c>
      <c r="D3096" s="8">
        <f t="shared" si="267"/>
        <v>45303</v>
      </c>
      <c r="E3096" s="9" t="s">
        <v>11</v>
      </c>
      <c r="F3096" s="9" t="s">
        <v>11</v>
      </c>
      <c r="G3096" s="9" t="s">
        <v>15</v>
      </c>
      <c r="H3096" s="7" t="s">
        <v>5564</v>
      </c>
      <c r="I3096" s="9" t="s">
        <v>353</v>
      </c>
      <c r="J3096" s="88"/>
    </row>
    <row r="3097">
      <c r="A3097" s="20" t="s">
        <v>98</v>
      </c>
      <c r="B3097" s="9" t="s">
        <v>5565</v>
      </c>
      <c r="C3097" s="91">
        <v>45273.68421782408</v>
      </c>
      <c r="D3097" s="8">
        <f t="shared" si="267"/>
        <v>45275</v>
      </c>
      <c r="E3097" s="9" t="s">
        <v>206</v>
      </c>
      <c r="F3097" s="10"/>
      <c r="G3097" s="9" t="s">
        <v>15</v>
      </c>
      <c r="H3097" s="23" t="s">
        <v>5566</v>
      </c>
      <c r="I3097" s="9" t="s">
        <v>353</v>
      </c>
      <c r="J3097" s="88"/>
    </row>
    <row r="3098">
      <c r="A3098" s="20" t="s">
        <v>98</v>
      </c>
      <c r="B3098" s="9" t="s">
        <v>5567</v>
      </c>
      <c r="C3098" s="91">
        <v>45314.368900636575</v>
      </c>
      <c r="D3098" s="8">
        <f t="shared" si="267"/>
        <v>45316</v>
      </c>
      <c r="E3098" s="9" t="s">
        <v>2450</v>
      </c>
      <c r="F3098" s="10"/>
      <c r="G3098" s="9" t="s">
        <v>15</v>
      </c>
      <c r="H3098" s="7" t="s">
        <v>2930</v>
      </c>
      <c r="I3098" s="9" t="s">
        <v>353</v>
      </c>
      <c r="J3098" s="88"/>
    </row>
    <row r="3099">
      <c r="A3099" s="20" t="s">
        <v>98</v>
      </c>
      <c r="B3099" s="9" t="s">
        <v>5568</v>
      </c>
      <c r="C3099" s="91">
        <v>45308.51110238426</v>
      </c>
      <c r="D3099" s="8">
        <f t="shared" si="267"/>
        <v>45310</v>
      </c>
      <c r="E3099" s="9" t="s">
        <v>11</v>
      </c>
      <c r="F3099" s="10"/>
      <c r="G3099" s="9" t="s">
        <v>18</v>
      </c>
      <c r="H3099" s="7" t="s">
        <v>5569</v>
      </c>
      <c r="I3099" s="9" t="s">
        <v>353</v>
      </c>
      <c r="J3099" s="88"/>
    </row>
    <row r="3100">
      <c r="A3100" s="6" t="s">
        <v>9</v>
      </c>
      <c r="B3100" s="7" t="s">
        <v>5570</v>
      </c>
      <c r="C3100" s="91">
        <v>45162.47252613426</v>
      </c>
      <c r="D3100" s="8">
        <f t="shared" si="267"/>
        <v>45166</v>
      </c>
      <c r="E3100" s="9" t="s">
        <v>11</v>
      </c>
      <c r="F3100" s="9" t="s">
        <v>11</v>
      </c>
      <c r="G3100" s="9" t="s">
        <v>21</v>
      </c>
      <c r="H3100" s="7" t="s">
        <v>5571</v>
      </c>
      <c r="I3100" s="9" t="s">
        <v>353</v>
      </c>
      <c r="J3100" s="88"/>
    </row>
    <row r="3101">
      <c r="A3101" s="6" t="s">
        <v>9</v>
      </c>
      <c r="B3101" s="7" t="s">
        <v>2410</v>
      </c>
      <c r="C3101" s="91">
        <v>45307.62995994213</v>
      </c>
      <c r="D3101" s="8">
        <f t="shared" si="267"/>
        <v>45309</v>
      </c>
      <c r="E3101" s="9" t="s">
        <v>11</v>
      </c>
      <c r="F3101" s="10"/>
      <c r="G3101" s="9" t="s">
        <v>15</v>
      </c>
      <c r="H3101" s="7" t="s">
        <v>5572</v>
      </c>
      <c r="I3101" s="9" t="s">
        <v>353</v>
      </c>
      <c r="J3101" s="88"/>
    </row>
    <row r="3102">
      <c r="A3102" s="6" t="s">
        <v>9</v>
      </c>
      <c r="B3102" s="7" t="s">
        <v>5573</v>
      </c>
      <c r="C3102" s="91">
        <v>45219.362298321765</v>
      </c>
      <c r="D3102" s="8">
        <f t="shared" si="267"/>
        <v>45223</v>
      </c>
      <c r="E3102" s="9" t="s">
        <v>11</v>
      </c>
      <c r="F3102" s="10"/>
      <c r="G3102" s="9" t="s">
        <v>15</v>
      </c>
      <c r="H3102" s="7" t="s">
        <v>5574</v>
      </c>
      <c r="I3102" s="9" t="s">
        <v>353</v>
      </c>
      <c r="J3102" s="88"/>
    </row>
    <row r="3103">
      <c r="A3103" s="6" t="s">
        <v>9</v>
      </c>
      <c r="B3103" s="7" t="s">
        <v>4446</v>
      </c>
      <c r="C3103" s="91">
        <v>45261.47666947916</v>
      </c>
      <c r="D3103" s="8">
        <f t="shared" si="267"/>
        <v>45265</v>
      </c>
      <c r="E3103" s="9" t="s">
        <v>11</v>
      </c>
      <c r="F3103" s="10"/>
      <c r="G3103" s="9" t="s">
        <v>15</v>
      </c>
      <c r="H3103" s="7" t="s">
        <v>5575</v>
      </c>
      <c r="I3103" s="9" t="s">
        <v>353</v>
      </c>
      <c r="J3103" s="88"/>
    </row>
    <row r="3104">
      <c r="A3104" s="6" t="s">
        <v>9</v>
      </c>
      <c r="B3104" s="7" t="s">
        <v>5576</v>
      </c>
      <c r="C3104" s="91">
        <v>45309.35885211806</v>
      </c>
      <c r="D3104" s="8">
        <f t="shared" si="267"/>
        <v>45313</v>
      </c>
      <c r="E3104" s="9" t="s">
        <v>88</v>
      </c>
      <c r="F3104" s="10"/>
      <c r="G3104" s="9" t="s">
        <v>15</v>
      </c>
      <c r="H3104" s="7" t="s">
        <v>5577</v>
      </c>
      <c r="I3104" s="9" t="s">
        <v>353</v>
      </c>
      <c r="J3104" s="88"/>
    </row>
    <row r="3105">
      <c r="A3105" s="6" t="s">
        <v>9</v>
      </c>
      <c r="B3105" s="7" t="s">
        <v>3525</v>
      </c>
      <c r="C3105" s="91">
        <v>45314.7243472338</v>
      </c>
      <c r="D3105" s="8">
        <f t="shared" si="267"/>
        <v>45316</v>
      </c>
      <c r="E3105" s="9" t="s">
        <v>11</v>
      </c>
      <c r="F3105" s="10"/>
      <c r="G3105" s="9"/>
      <c r="H3105" s="7" t="s">
        <v>5578</v>
      </c>
      <c r="I3105" s="9" t="s">
        <v>353</v>
      </c>
      <c r="J3105" s="88"/>
    </row>
    <row r="3106">
      <c r="A3106" s="34" t="s">
        <v>204</v>
      </c>
      <c r="B3106" s="7" t="s">
        <v>5579</v>
      </c>
      <c r="C3106" s="91">
        <v>45310.46898697916</v>
      </c>
      <c r="D3106" s="8">
        <f t="shared" si="267"/>
        <v>45314</v>
      </c>
      <c r="E3106" s="9" t="s">
        <v>11</v>
      </c>
      <c r="F3106" s="9" t="s">
        <v>11</v>
      </c>
      <c r="G3106" s="9" t="s">
        <v>15</v>
      </c>
      <c r="H3106" s="7" t="s">
        <v>5580</v>
      </c>
      <c r="I3106" s="9" t="s">
        <v>353</v>
      </c>
      <c r="J3106" s="88"/>
    </row>
    <row r="3107">
      <c r="A3107" s="34" t="s">
        <v>204</v>
      </c>
      <c r="B3107" s="7" t="s">
        <v>5581</v>
      </c>
      <c r="C3107" s="91">
        <v>45310.469342233795</v>
      </c>
      <c r="D3107" s="8">
        <f t="shared" si="267"/>
        <v>45314</v>
      </c>
      <c r="E3107" s="9" t="s">
        <v>11</v>
      </c>
      <c r="F3107" s="9" t="s">
        <v>11</v>
      </c>
      <c r="G3107" s="9" t="s">
        <v>15</v>
      </c>
      <c r="H3107" s="7" t="s">
        <v>5580</v>
      </c>
      <c r="I3107" s="9" t="s">
        <v>353</v>
      </c>
      <c r="J3107" s="88"/>
    </row>
    <row r="3108">
      <c r="A3108" s="20" t="s">
        <v>98</v>
      </c>
      <c r="B3108" s="9" t="s">
        <v>5582</v>
      </c>
      <c r="C3108" s="91">
        <v>45309.626763101856</v>
      </c>
      <c r="D3108" s="8">
        <f t="shared" si="267"/>
        <v>45313</v>
      </c>
      <c r="E3108" s="9" t="s">
        <v>11</v>
      </c>
      <c r="F3108" s="10"/>
      <c r="G3108" s="9" t="s">
        <v>18</v>
      </c>
      <c r="H3108" s="7" t="s">
        <v>5583</v>
      </c>
      <c r="I3108" s="9" t="s">
        <v>353</v>
      </c>
      <c r="J3108" s="88"/>
    </row>
    <row r="3109">
      <c r="A3109" s="42" t="s">
        <v>330</v>
      </c>
      <c r="B3109" s="187" t="s">
        <v>5584</v>
      </c>
      <c r="C3109" s="91">
        <v>45302.41392</v>
      </c>
      <c r="D3109" s="8">
        <f t="shared" si="267"/>
        <v>45306</v>
      </c>
      <c r="E3109" s="9" t="s">
        <v>11</v>
      </c>
      <c r="F3109" s="10"/>
      <c r="G3109" s="9" t="s">
        <v>18</v>
      </c>
      <c r="H3109" s="7" t="s">
        <v>5585</v>
      </c>
      <c r="I3109" s="9" t="s">
        <v>353</v>
      </c>
      <c r="J3109" s="88"/>
    </row>
    <row r="3110">
      <c r="A3110" s="20" t="s">
        <v>98</v>
      </c>
      <c r="B3110" s="9" t="s">
        <v>5586</v>
      </c>
      <c r="C3110" s="91">
        <v>45310.44928702546</v>
      </c>
      <c r="D3110" s="8">
        <f t="shared" si="267"/>
        <v>45314</v>
      </c>
      <c r="E3110" s="9" t="s">
        <v>206</v>
      </c>
      <c r="F3110" s="10"/>
      <c r="G3110" s="9" t="s">
        <v>15</v>
      </c>
      <c r="H3110" s="7" t="s">
        <v>5583</v>
      </c>
      <c r="I3110" s="9" t="s">
        <v>353</v>
      </c>
      <c r="J3110" s="88"/>
    </row>
    <row r="3111">
      <c r="A3111" s="34" t="s">
        <v>204</v>
      </c>
      <c r="B3111" s="7" t="s">
        <v>5587</v>
      </c>
      <c r="C3111" s="91">
        <v>45289.47400765047</v>
      </c>
      <c r="D3111" s="8">
        <f t="shared" si="267"/>
        <v>45293</v>
      </c>
      <c r="E3111" s="9" t="s">
        <v>11</v>
      </c>
      <c r="F3111" s="71">
        <v>45313.0</v>
      </c>
      <c r="G3111" s="9" t="s">
        <v>18</v>
      </c>
      <c r="H3111" s="7" t="s">
        <v>5588</v>
      </c>
      <c r="I3111" s="9" t="s">
        <v>353</v>
      </c>
      <c r="J3111" s="88"/>
    </row>
    <row r="3112">
      <c r="A3112" s="6" t="s">
        <v>9</v>
      </c>
      <c r="B3112" s="7" t="s">
        <v>5589</v>
      </c>
      <c r="C3112" s="91">
        <v>45303.372825706014</v>
      </c>
      <c r="D3112" s="8">
        <f t="shared" si="267"/>
        <v>45307</v>
      </c>
      <c r="E3112" s="9" t="s">
        <v>11</v>
      </c>
      <c r="F3112" s="10"/>
      <c r="G3112" s="9" t="s">
        <v>15</v>
      </c>
      <c r="H3112" s="7" t="s">
        <v>5590</v>
      </c>
      <c r="I3112" s="9" t="s">
        <v>353</v>
      </c>
      <c r="J3112" s="88"/>
    </row>
    <row r="3113">
      <c r="A3113" s="42" t="s">
        <v>330</v>
      </c>
      <c r="B3113" s="7" t="s">
        <v>5591</v>
      </c>
      <c r="C3113" s="91">
        <v>45302.47629792824</v>
      </c>
      <c r="D3113" s="8">
        <f t="shared" si="267"/>
        <v>45306</v>
      </c>
      <c r="E3113" s="9" t="s">
        <v>11</v>
      </c>
      <c r="F3113" s="10"/>
      <c r="G3113" s="9" t="s">
        <v>18</v>
      </c>
      <c r="H3113" s="7" t="s">
        <v>5592</v>
      </c>
      <c r="I3113" s="9" t="s">
        <v>353</v>
      </c>
      <c r="J3113" s="88"/>
    </row>
    <row r="3114">
      <c r="A3114" s="20" t="s">
        <v>98</v>
      </c>
      <c r="B3114" s="9" t="s">
        <v>5593</v>
      </c>
      <c r="C3114" s="91">
        <v>45307.68826736111</v>
      </c>
      <c r="D3114" s="8">
        <f t="shared" si="267"/>
        <v>45309</v>
      </c>
      <c r="E3114" s="9" t="s">
        <v>88</v>
      </c>
      <c r="F3114" s="10"/>
      <c r="G3114" s="9" t="s">
        <v>18</v>
      </c>
      <c r="H3114" s="7" t="s">
        <v>5594</v>
      </c>
      <c r="I3114" s="9" t="s">
        <v>353</v>
      </c>
      <c r="J3114" s="88"/>
    </row>
    <row r="3115">
      <c r="A3115" s="20" t="s">
        <v>98</v>
      </c>
      <c r="B3115" s="9" t="s">
        <v>5595</v>
      </c>
      <c r="C3115" s="91">
        <v>45313.36478376157</v>
      </c>
      <c r="D3115" s="8">
        <f t="shared" si="267"/>
        <v>45315</v>
      </c>
      <c r="E3115" s="9" t="s">
        <v>11</v>
      </c>
      <c r="F3115" s="10"/>
      <c r="G3115" s="9" t="s">
        <v>18</v>
      </c>
      <c r="H3115" s="7" t="s">
        <v>5596</v>
      </c>
      <c r="I3115" s="9" t="s">
        <v>353</v>
      </c>
      <c r="J3115" s="88"/>
    </row>
    <row r="3116">
      <c r="A3116" s="34" t="s">
        <v>204</v>
      </c>
      <c r="B3116" s="7" t="s">
        <v>5597</v>
      </c>
      <c r="C3116" s="91">
        <v>45310.46821578704</v>
      </c>
      <c r="D3116" s="8">
        <f t="shared" si="267"/>
        <v>45314</v>
      </c>
      <c r="E3116" s="9" t="s">
        <v>11</v>
      </c>
      <c r="F3116" s="10"/>
      <c r="G3116" s="9" t="s">
        <v>15</v>
      </c>
      <c r="H3116" s="7" t="s">
        <v>5463</v>
      </c>
      <c r="I3116" s="9" t="s">
        <v>353</v>
      </c>
      <c r="J3116" s="88"/>
    </row>
    <row r="3117">
      <c r="A3117" s="20" t="s">
        <v>98</v>
      </c>
      <c r="B3117" s="9" t="s">
        <v>5598</v>
      </c>
      <c r="C3117" s="91">
        <v>45236.493715578705</v>
      </c>
      <c r="D3117" s="8">
        <f t="shared" si="267"/>
        <v>45238</v>
      </c>
      <c r="E3117" s="9" t="s">
        <v>206</v>
      </c>
      <c r="F3117" s="10"/>
      <c r="G3117" s="9" t="s">
        <v>15</v>
      </c>
      <c r="H3117" s="7" t="s">
        <v>5599</v>
      </c>
      <c r="I3117" s="9" t="s">
        <v>353</v>
      </c>
      <c r="J3117" s="88"/>
    </row>
    <row r="3118">
      <c r="A3118" s="20" t="s">
        <v>98</v>
      </c>
      <c r="B3118" s="9" t="s">
        <v>5600</v>
      </c>
      <c r="C3118" s="91">
        <v>45308.51072315972</v>
      </c>
      <c r="D3118" s="8">
        <f t="shared" si="267"/>
        <v>45310</v>
      </c>
      <c r="E3118" s="9" t="s">
        <v>11</v>
      </c>
      <c r="F3118" s="10"/>
      <c r="G3118" s="9" t="s">
        <v>18</v>
      </c>
      <c r="H3118" s="7" t="s">
        <v>5601</v>
      </c>
      <c r="I3118" s="9" t="s">
        <v>353</v>
      </c>
      <c r="J3118" s="88"/>
    </row>
    <row r="3119">
      <c r="A3119" s="20" t="s">
        <v>98</v>
      </c>
      <c r="B3119" s="9" t="s">
        <v>5602</v>
      </c>
      <c r="C3119" s="91">
        <v>45309.62681300926</v>
      </c>
      <c r="D3119" s="8">
        <f t="shared" si="267"/>
        <v>45313</v>
      </c>
      <c r="E3119" s="9" t="s">
        <v>11</v>
      </c>
      <c r="F3119" s="10"/>
      <c r="G3119" s="9" t="s">
        <v>18</v>
      </c>
      <c r="H3119" s="7" t="s">
        <v>5603</v>
      </c>
      <c r="I3119" s="9" t="s">
        <v>353</v>
      </c>
      <c r="J3119" s="88"/>
    </row>
    <row r="3120">
      <c r="A3120" s="42" t="s">
        <v>330</v>
      </c>
      <c r="B3120" s="7" t="s">
        <v>5604</v>
      </c>
      <c r="C3120" s="91">
        <v>45308.675280138894</v>
      </c>
      <c r="D3120" s="8">
        <f t="shared" si="267"/>
        <v>45310</v>
      </c>
      <c r="E3120" s="9" t="s">
        <v>11</v>
      </c>
      <c r="F3120" s="10"/>
      <c r="G3120" s="9" t="s">
        <v>18</v>
      </c>
      <c r="H3120" s="7" t="s">
        <v>5605</v>
      </c>
      <c r="I3120" s="9" t="s">
        <v>353</v>
      </c>
      <c r="J3120" s="88"/>
    </row>
    <row r="3121">
      <c r="A3121" s="20" t="s">
        <v>98</v>
      </c>
      <c r="B3121" s="9" t="s">
        <v>5606</v>
      </c>
      <c r="C3121" s="91">
        <v>45308.51088714121</v>
      </c>
      <c r="D3121" s="8">
        <f t="shared" si="267"/>
        <v>45310</v>
      </c>
      <c r="E3121" s="9" t="s">
        <v>11</v>
      </c>
      <c r="F3121" s="10"/>
      <c r="G3121" s="9" t="s">
        <v>18</v>
      </c>
      <c r="H3121" s="7" t="s">
        <v>5607</v>
      </c>
      <c r="I3121" s="9" t="s">
        <v>353</v>
      </c>
      <c r="J3121" s="88"/>
    </row>
    <row r="3122">
      <c r="A3122" s="34" t="s">
        <v>204</v>
      </c>
      <c r="B3122" s="7" t="s">
        <v>5608</v>
      </c>
      <c r="C3122" s="91">
        <v>45309.51389725694</v>
      </c>
      <c r="D3122" s="8">
        <f t="shared" si="267"/>
        <v>45313</v>
      </c>
      <c r="E3122" s="9" t="s">
        <v>11</v>
      </c>
      <c r="F3122" s="10"/>
      <c r="G3122" s="9" t="s">
        <v>18</v>
      </c>
      <c r="H3122" s="7" t="s">
        <v>437</v>
      </c>
      <c r="I3122" s="9" t="s">
        <v>353</v>
      </c>
      <c r="J3122" s="88"/>
    </row>
    <row r="3123">
      <c r="A3123" s="34" t="s">
        <v>204</v>
      </c>
      <c r="B3123" s="7" t="s">
        <v>5609</v>
      </c>
      <c r="C3123" s="91">
        <v>45309.50275013889</v>
      </c>
      <c r="D3123" s="8">
        <f t="shared" si="267"/>
        <v>45313</v>
      </c>
      <c r="E3123" s="9" t="s">
        <v>11</v>
      </c>
      <c r="F3123" s="10"/>
      <c r="G3123" s="9"/>
      <c r="H3123" s="7" t="s">
        <v>437</v>
      </c>
      <c r="I3123" s="9" t="s">
        <v>353</v>
      </c>
      <c r="J3123" s="88"/>
    </row>
    <row r="3124">
      <c r="A3124" s="6" t="s">
        <v>9</v>
      </c>
      <c r="B3124" s="7" t="s">
        <v>5610</v>
      </c>
      <c r="C3124" s="91">
        <v>45308.66015271991</v>
      </c>
      <c r="D3124" s="8">
        <f t="shared" si="267"/>
        <v>45310</v>
      </c>
      <c r="E3124" s="9" t="s">
        <v>11</v>
      </c>
      <c r="F3124" s="10"/>
      <c r="G3124" s="9" t="s">
        <v>15</v>
      </c>
      <c r="H3124" s="7" t="s">
        <v>5611</v>
      </c>
      <c r="I3124" s="9" t="s">
        <v>353</v>
      </c>
      <c r="J3124" s="88"/>
    </row>
    <row r="3125">
      <c r="A3125" s="54" t="s">
        <v>4009</v>
      </c>
      <c r="B3125" s="7" t="s">
        <v>2814</v>
      </c>
      <c r="C3125" s="91">
        <v>45205.43837186343</v>
      </c>
      <c r="D3125" s="8">
        <f t="shared" si="267"/>
        <v>45209</v>
      </c>
      <c r="E3125" s="9" t="s">
        <v>88</v>
      </c>
      <c r="F3125" s="10"/>
      <c r="G3125" s="9" t="s">
        <v>18</v>
      </c>
      <c r="H3125" s="7" t="s">
        <v>5612</v>
      </c>
      <c r="I3125" s="9" t="s">
        <v>353</v>
      </c>
      <c r="J3125" s="88"/>
    </row>
    <row r="3126">
      <c r="A3126" s="34" t="s">
        <v>204</v>
      </c>
      <c r="B3126" s="7" t="s">
        <v>5613</v>
      </c>
      <c r="C3126" s="91">
        <v>45204.649236377314</v>
      </c>
      <c r="D3126" s="8">
        <f t="shared" si="267"/>
        <v>45208</v>
      </c>
      <c r="E3126" s="9" t="s">
        <v>11</v>
      </c>
      <c r="F3126" s="10"/>
      <c r="G3126" s="9" t="s">
        <v>15</v>
      </c>
      <c r="H3126" s="7" t="s">
        <v>5614</v>
      </c>
      <c r="I3126" s="9" t="s">
        <v>353</v>
      </c>
      <c r="J3126" s="88"/>
    </row>
    <row r="3127">
      <c r="A3127" s="20" t="s">
        <v>98</v>
      </c>
      <c r="B3127" s="9" t="s">
        <v>5615</v>
      </c>
      <c r="C3127" s="91">
        <v>45302.639634444444</v>
      </c>
      <c r="D3127" s="8">
        <f t="shared" si="267"/>
        <v>45306</v>
      </c>
      <c r="E3127" s="9" t="s">
        <v>88</v>
      </c>
      <c r="F3127" s="10"/>
      <c r="G3127" s="9" t="s">
        <v>18</v>
      </c>
      <c r="H3127" s="7" t="s">
        <v>5616</v>
      </c>
      <c r="I3127" s="9" t="s">
        <v>353</v>
      </c>
      <c r="J3127" s="88"/>
    </row>
    <row r="3128">
      <c r="A3128" s="42" t="s">
        <v>330</v>
      </c>
      <c r="B3128" s="7" t="s">
        <v>4321</v>
      </c>
      <c r="C3128" s="91">
        <v>45308.70896672454</v>
      </c>
      <c r="D3128" s="8">
        <f t="shared" si="267"/>
        <v>45310</v>
      </c>
      <c r="E3128" s="9" t="s">
        <v>11</v>
      </c>
      <c r="F3128" s="10"/>
      <c r="G3128" s="9" t="s">
        <v>18</v>
      </c>
      <c r="H3128" s="11"/>
      <c r="I3128" s="9" t="s">
        <v>353</v>
      </c>
      <c r="J3128" s="88"/>
    </row>
    <row r="3129">
      <c r="A3129" s="20" t="s">
        <v>98</v>
      </c>
      <c r="B3129" s="9" t="s">
        <v>5617</v>
      </c>
      <c r="C3129" s="91">
        <v>45254.374737349535</v>
      </c>
      <c r="D3129" s="8">
        <f t="shared" si="267"/>
        <v>45258</v>
      </c>
      <c r="E3129" s="9" t="s">
        <v>88</v>
      </c>
      <c r="F3129" s="10"/>
      <c r="G3129" s="9" t="s">
        <v>15</v>
      </c>
      <c r="H3129" s="7" t="s">
        <v>5618</v>
      </c>
      <c r="I3129" s="9" t="s">
        <v>353</v>
      </c>
      <c r="J3129" s="88"/>
    </row>
    <row r="3130">
      <c r="A3130" s="20" t="s">
        <v>98</v>
      </c>
      <c r="B3130" s="9" t="s">
        <v>5619</v>
      </c>
      <c r="C3130" s="91">
        <v>45254.37455684028</v>
      </c>
      <c r="D3130" s="8"/>
      <c r="E3130" s="9" t="s">
        <v>88</v>
      </c>
      <c r="F3130" s="10"/>
      <c r="G3130" s="9" t="s">
        <v>15</v>
      </c>
      <c r="H3130" s="7" t="s">
        <v>5620</v>
      </c>
      <c r="I3130" s="9" t="s">
        <v>353</v>
      </c>
      <c r="J3130" s="88"/>
    </row>
    <row r="3131">
      <c r="A3131" s="54" t="s">
        <v>4009</v>
      </c>
      <c r="B3131" s="7" t="s">
        <v>2814</v>
      </c>
      <c r="C3131" s="91">
        <v>45187.55427460648</v>
      </c>
      <c r="D3131" s="8">
        <f t="shared" ref="D3131:D3234" si="268">IFERROR(_xlfn.WORKDAY.INTL(C3131, 2),"-")</f>
        <v>45189</v>
      </c>
      <c r="E3131" s="9" t="s">
        <v>88</v>
      </c>
      <c r="F3131" s="71"/>
      <c r="G3131" s="9" t="s">
        <v>15</v>
      </c>
      <c r="H3131" s="7" t="s">
        <v>5621</v>
      </c>
      <c r="I3131" s="9" t="s">
        <v>353</v>
      </c>
      <c r="J3131" s="88"/>
    </row>
    <row r="3132">
      <c r="A3132" s="54" t="s">
        <v>4009</v>
      </c>
      <c r="B3132" s="7" t="s">
        <v>2814</v>
      </c>
      <c r="C3132" s="91">
        <v>45271.6452402662</v>
      </c>
      <c r="D3132" s="8">
        <f t="shared" si="268"/>
        <v>45273</v>
      </c>
      <c r="E3132" s="9" t="s">
        <v>11</v>
      </c>
      <c r="F3132" s="10"/>
      <c r="G3132" s="9"/>
      <c r="H3132" s="7" t="s">
        <v>5622</v>
      </c>
      <c r="I3132" s="9" t="s">
        <v>353</v>
      </c>
      <c r="J3132" s="88"/>
    </row>
    <row r="3133">
      <c r="A3133" s="54" t="s">
        <v>4009</v>
      </c>
      <c r="B3133" s="7" t="s">
        <v>2814</v>
      </c>
      <c r="C3133" s="91">
        <v>45271.646084259264</v>
      </c>
      <c r="D3133" s="8">
        <f t="shared" si="268"/>
        <v>45273</v>
      </c>
      <c r="E3133" s="9" t="s">
        <v>11</v>
      </c>
      <c r="F3133" s="10"/>
      <c r="G3133" s="9"/>
      <c r="H3133" s="7" t="s">
        <v>5623</v>
      </c>
      <c r="I3133" s="9" t="s">
        <v>353</v>
      </c>
      <c r="J3133" s="88"/>
    </row>
    <row r="3134">
      <c r="A3134" s="42" t="s">
        <v>330</v>
      </c>
      <c r="B3134" s="7" t="s">
        <v>5624</v>
      </c>
      <c r="C3134" s="91">
        <v>45300.44055690972</v>
      </c>
      <c r="D3134" s="8">
        <f t="shared" si="268"/>
        <v>45302</v>
      </c>
      <c r="E3134" s="9" t="s">
        <v>11</v>
      </c>
      <c r="F3134" s="10"/>
      <c r="G3134" s="9" t="s">
        <v>18</v>
      </c>
      <c r="H3134" s="7" t="s">
        <v>5625</v>
      </c>
      <c r="I3134" s="9" t="s">
        <v>353</v>
      </c>
      <c r="J3134" s="88"/>
    </row>
    <row r="3135">
      <c r="A3135" s="20" t="s">
        <v>98</v>
      </c>
      <c r="B3135" s="9" t="s">
        <v>5626</v>
      </c>
      <c r="C3135" s="91">
        <v>45307.688836898145</v>
      </c>
      <c r="D3135" s="8">
        <f t="shared" si="268"/>
        <v>45309</v>
      </c>
      <c r="E3135" s="9" t="s">
        <v>206</v>
      </c>
      <c r="F3135" s="10"/>
      <c r="G3135" s="9" t="s">
        <v>15</v>
      </c>
      <c r="H3135" s="7" t="s">
        <v>5627</v>
      </c>
      <c r="I3135" s="9" t="s">
        <v>353</v>
      </c>
      <c r="J3135" s="88"/>
    </row>
    <row r="3136">
      <c r="A3136" s="42" t="s">
        <v>330</v>
      </c>
      <c r="B3136" s="7" t="s">
        <v>5628</v>
      </c>
      <c r="C3136" s="91">
        <v>45266.74060188657</v>
      </c>
      <c r="D3136" s="8">
        <f t="shared" si="268"/>
        <v>45268</v>
      </c>
      <c r="E3136" s="9" t="s">
        <v>11</v>
      </c>
      <c r="F3136" s="10"/>
      <c r="G3136" s="9" t="s">
        <v>18</v>
      </c>
      <c r="H3136" s="7" t="s">
        <v>5629</v>
      </c>
      <c r="I3136" s="9" t="s">
        <v>353</v>
      </c>
      <c r="J3136" s="88"/>
    </row>
    <row r="3137">
      <c r="A3137" s="6" t="s">
        <v>9</v>
      </c>
      <c r="B3137" s="7" t="s">
        <v>5630</v>
      </c>
      <c r="C3137" s="91">
        <v>45173.38010635416</v>
      </c>
      <c r="D3137" s="8">
        <f t="shared" si="268"/>
        <v>45175</v>
      </c>
      <c r="E3137" s="9" t="s">
        <v>11</v>
      </c>
      <c r="F3137" s="9" t="s">
        <v>11</v>
      </c>
      <c r="G3137" s="9" t="s">
        <v>15</v>
      </c>
      <c r="H3137" s="7" t="s">
        <v>5631</v>
      </c>
      <c r="I3137" s="9" t="s">
        <v>353</v>
      </c>
      <c r="J3137" s="88"/>
    </row>
    <row r="3138">
      <c r="A3138" s="20" t="s">
        <v>98</v>
      </c>
      <c r="B3138" s="9" t="s">
        <v>5632</v>
      </c>
      <c r="C3138" s="91">
        <v>45216.58769166667</v>
      </c>
      <c r="D3138" s="8">
        <f t="shared" si="268"/>
        <v>45218</v>
      </c>
      <c r="E3138" s="9" t="s">
        <v>206</v>
      </c>
      <c r="F3138" s="10"/>
      <c r="G3138" s="9" t="s">
        <v>18</v>
      </c>
      <c r="H3138" s="23" t="s">
        <v>5633</v>
      </c>
      <c r="I3138" s="9" t="s">
        <v>353</v>
      </c>
      <c r="J3138" s="88"/>
    </row>
    <row r="3139">
      <c r="A3139" s="34" t="s">
        <v>204</v>
      </c>
      <c r="B3139" s="7" t="s">
        <v>5634</v>
      </c>
      <c r="C3139" s="91">
        <v>45307.7151371875</v>
      </c>
      <c r="D3139" s="8">
        <f t="shared" si="268"/>
        <v>45309</v>
      </c>
      <c r="E3139" s="9" t="s">
        <v>11</v>
      </c>
      <c r="F3139" s="9" t="s">
        <v>11</v>
      </c>
      <c r="G3139" s="9" t="s">
        <v>15</v>
      </c>
      <c r="H3139" s="7" t="s">
        <v>5635</v>
      </c>
      <c r="I3139" s="9" t="s">
        <v>353</v>
      </c>
      <c r="J3139" s="88"/>
    </row>
    <row r="3140">
      <c r="A3140" s="34" t="s">
        <v>204</v>
      </c>
      <c r="B3140" s="7" t="s">
        <v>5636</v>
      </c>
      <c r="C3140" s="91">
        <v>45264.743098692124</v>
      </c>
      <c r="D3140" s="8">
        <f t="shared" si="268"/>
        <v>45266</v>
      </c>
      <c r="E3140" s="9" t="s">
        <v>11</v>
      </c>
      <c r="F3140" s="9" t="s">
        <v>11</v>
      </c>
      <c r="G3140" s="9" t="s">
        <v>15</v>
      </c>
      <c r="H3140" s="7" t="s">
        <v>5637</v>
      </c>
      <c r="I3140" s="9" t="s">
        <v>353</v>
      </c>
      <c r="J3140" s="88"/>
    </row>
    <row r="3141">
      <c r="A3141" s="34" t="s">
        <v>204</v>
      </c>
      <c r="B3141" s="7" t="s">
        <v>5638</v>
      </c>
      <c r="C3141" s="91">
        <v>45252.752409305554</v>
      </c>
      <c r="D3141" s="8">
        <f t="shared" si="268"/>
        <v>45254</v>
      </c>
      <c r="E3141" s="9" t="s">
        <v>11</v>
      </c>
      <c r="F3141" s="10"/>
      <c r="G3141" s="9" t="s">
        <v>15</v>
      </c>
      <c r="H3141" s="7" t="s">
        <v>5639</v>
      </c>
      <c r="I3141" s="9" t="s">
        <v>353</v>
      </c>
      <c r="J3141" s="88"/>
    </row>
    <row r="3142">
      <c r="A3142" s="34" t="s">
        <v>204</v>
      </c>
      <c r="B3142" s="7" t="s">
        <v>5640</v>
      </c>
      <c r="C3142" s="91">
        <v>45307.66840322917</v>
      </c>
      <c r="D3142" s="8">
        <f t="shared" si="268"/>
        <v>45309</v>
      </c>
      <c r="E3142" s="9" t="s">
        <v>11</v>
      </c>
      <c r="F3142" s="10"/>
      <c r="G3142" s="9"/>
      <c r="H3142" s="7" t="s">
        <v>437</v>
      </c>
      <c r="I3142" s="9" t="s">
        <v>353</v>
      </c>
      <c r="J3142" s="88"/>
    </row>
    <row r="3143">
      <c r="A3143" s="20" t="s">
        <v>98</v>
      </c>
      <c r="B3143" s="9" t="s">
        <v>5641</v>
      </c>
      <c r="C3143" s="91">
        <v>45307.499430324075</v>
      </c>
      <c r="D3143" s="8">
        <f t="shared" si="268"/>
        <v>45309</v>
      </c>
      <c r="E3143" s="9" t="s">
        <v>88</v>
      </c>
      <c r="F3143" s="10"/>
      <c r="G3143" s="9" t="s">
        <v>18</v>
      </c>
      <c r="H3143" s="7" t="s">
        <v>5642</v>
      </c>
      <c r="I3143" s="9" t="s">
        <v>353</v>
      </c>
      <c r="J3143" s="88"/>
    </row>
    <row r="3144">
      <c r="A3144" s="6" t="s">
        <v>9</v>
      </c>
      <c r="B3144" s="7" t="s">
        <v>5643</v>
      </c>
      <c r="C3144" s="91">
        <v>45173.38010635416</v>
      </c>
      <c r="D3144" s="8">
        <f t="shared" si="268"/>
        <v>45175</v>
      </c>
      <c r="E3144" s="9" t="s">
        <v>11</v>
      </c>
      <c r="F3144" s="9" t="s">
        <v>11</v>
      </c>
      <c r="G3144" s="9" t="s">
        <v>15</v>
      </c>
      <c r="H3144" s="7" t="s">
        <v>5644</v>
      </c>
      <c r="I3144" s="9" t="s">
        <v>353</v>
      </c>
      <c r="J3144" s="88"/>
    </row>
    <row r="3145">
      <c r="A3145" s="6" t="s">
        <v>9</v>
      </c>
      <c r="B3145" s="7" t="s">
        <v>5645</v>
      </c>
      <c r="C3145" s="91">
        <v>45173.38010635416</v>
      </c>
      <c r="D3145" s="8">
        <f t="shared" si="268"/>
        <v>45175</v>
      </c>
      <c r="E3145" s="9" t="s">
        <v>11</v>
      </c>
      <c r="F3145" s="9" t="s">
        <v>11</v>
      </c>
      <c r="G3145" s="9" t="s">
        <v>15</v>
      </c>
      <c r="H3145" s="7" t="s">
        <v>5646</v>
      </c>
      <c r="I3145" s="9" t="s">
        <v>353</v>
      </c>
      <c r="J3145" s="88"/>
    </row>
    <row r="3146">
      <c r="A3146" s="20" t="s">
        <v>98</v>
      </c>
      <c r="B3146" s="9" t="s">
        <v>5647</v>
      </c>
      <c r="C3146" s="91">
        <v>45307.35720288195</v>
      </c>
      <c r="D3146" s="8">
        <f t="shared" si="268"/>
        <v>45309</v>
      </c>
      <c r="E3146" s="9" t="s">
        <v>206</v>
      </c>
      <c r="F3146" s="10"/>
      <c r="G3146" s="9" t="s">
        <v>18</v>
      </c>
      <c r="H3146" s="7" t="s">
        <v>5648</v>
      </c>
      <c r="I3146" s="9" t="s">
        <v>353</v>
      </c>
      <c r="J3146" s="88"/>
    </row>
    <row r="3147">
      <c r="A3147" s="6" t="s">
        <v>9</v>
      </c>
      <c r="B3147" s="7" t="s">
        <v>5649</v>
      </c>
      <c r="C3147" s="91">
        <v>45286.64981797454</v>
      </c>
      <c r="D3147" s="8">
        <f t="shared" si="268"/>
        <v>45288</v>
      </c>
      <c r="E3147" s="9" t="s">
        <v>11</v>
      </c>
      <c r="F3147" s="10"/>
      <c r="G3147" s="9" t="s">
        <v>18</v>
      </c>
      <c r="H3147" s="7" t="s">
        <v>5650</v>
      </c>
      <c r="I3147" s="9" t="s">
        <v>353</v>
      </c>
      <c r="J3147" s="88"/>
    </row>
    <row r="3148">
      <c r="A3148" s="6" t="s">
        <v>9</v>
      </c>
      <c r="B3148" s="7" t="s">
        <v>3525</v>
      </c>
      <c r="C3148" s="91">
        <v>45303.372762812505</v>
      </c>
      <c r="D3148" s="8">
        <f t="shared" si="268"/>
        <v>45307</v>
      </c>
      <c r="E3148" s="9" t="s">
        <v>11</v>
      </c>
      <c r="F3148" s="10"/>
      <c r="G3148" s="9" t="s">
        <v>15</v>
      </c>
      <c r="H3148" s="7" t="s">
        <v>5651</v>
      </c>
      <c r="I3148" s="9" t="s">
        <v>353</v>
      </c>
      <c r="J3148" s="88"/>
    </row>
    <row r="3149">
      <c r="A3149" s="20" t="s">
        <v>98</v>
      </c>
      <c r="B3149" s="9" t="s">
        <v>5652</v>
      </c>
      <c r="C3149" s="91">
        <v>45230.389101134264</v>
      </c>
      <c r="D3149" s="8">
        <f t="shared" si="268"/>
        <v>45232</v>
      </c>
      <c r="E3149" s="9" t="s">
        <v>206</v>
      </c>
      <c r="F3149" s="10"/>
      <c r="G3149" s="9" t="s">
        <v>15</v>
      </c>
      <c r="H3149" s="7" t="s">
        <v>5653</v>
      </c>
      <c r="I3149" s="9" t="s">
        <v>353</v>
      </c>
      <c r="J3149" s="88"/>
    </row>
    <row r="3150">
      <c r="A3150" s="20" t="s">
        <v>98</v>
      </c>
      <c r="B3150" s="9" t="s">
        <v>5654</v>
      </c>
      <c r="C3150" s="91">
        <v>45218.44885800926</v>
      </c>
      <c r="D3150" s="8">
        <f t="shared" si="268"/>
        <v>45222</v>
      </c>
      <c r="E3150" s="9" t="s">
        <v>206</v>
      </c>
      <c r="F3150" s="10"/>
      <c r="G3150" s="9" t="s">
        <v>18</v>
      </c>
      <c r="H3150" s="7" t="s">
        <v>5655</v>
      </c>
      <c r="I3150" s="9" t="s">
        <v>353</v>
      </c>
      <c r="J3150" s="88"/>
    </row>
    <row r="3151">
      <c r="A3151" s="34" t="s">
        <v>204</v>
      </c>
      <c r="B3151" s="7" t="s">
        <v>5656</v>
      </c>
      <c r="C3151" s="91">
        <v>45306.61613981481</v>
      </c>
      <c r="D3151" s="8">
        <f t="shared" si="268"/>
        <v>45308</v>
      </c>
      <c r="E3151" s="9" t="s">
        <v>11</v>
      </c>
      <c r="F3151" s="10"/>
      <c r="G3151" s="9"/>
      <c r="H3151" s="7" t="s">
        <v>5517</v>
      </c>
      <c r="I3151" s="9" t="s">
        <v>353</v>
      </c>
      <c r="J3151" s="88"/>
    </row>
    <row r="3152">
      <c r="A3152" s="34" t="s">
        <v>204</v>
      </c>
      <c r="B3152" s="7" t="s">
        <v>5657</v>
      </c>
      <c r="C3152" s="91">
        <v>45303.462608657406</v>
      </c>
      <c r="D3152" s="8">
        <f t="shared" si="268"/>
        <v>45307</v>
      </c>
      <c r="E3152" s="9" t="s">
        <v>11</v>
      </c>
      <c r="F3152" s="9" t="s">
        <v>11</v>
      </c>
      <c r="G3152" s="9" t="s">
        <v>15</v>
      </c>
      <c r="H3152" s="11"/>
      <c r="I3152" s="9" t="s">
        <v>353</v>
      </c>
      <c r="J3152" s="88"/>
    </row>
    <row r="3153">
      <c r="A3153" s="34" t="s">
        <v>204</v>
      </c>
      <c r="B3153" s="7" t="s">
        <v>5658</v>
      </c>
      <c r="C3153" s="91">
        <v>45282.46399769676</v>
      </c>
      <c r="D3153" s="8">
        <f t="shared" si="268"/>
        <v>45286</v>
      </c>
      <c r="E3153" s="9" t="s">
        <v>11</v>
      </c>
      <c r="F3153" s="10"/>
      <c r="G3153" s="9" t="s">
        <v>15</v>
      </c>
      <c r="H3153" s="7" t="s">
        <v>5659</v>
      </c>
      <c r="I3153" s="9" t="s">
        <v>353</v>
      </c>
      <c r="J3153" s="88"/>
    </row>
    <row r="3154">
      <c r="A3154" s="20" t="s">
        <v>98</v>
      </c>
      <c r="B3154" s="9" t="s">
        <v>5660</v>
      </c>
      <c r="C3154" s="91">
        <v>45252.57769348379</v>
      </c>
      <c r="D3154" s="8">
        <f t="shared" si="268"/>
        <v>45254</v>
      </c>
      <c r="E3154" s="9" t="s">
        <v>206</v>
      </c>
      <c r="F3154" s="10"/>
      <c r="G3154" s="9" t="s">
        <v>15</v>
      </c>
      <c r="H3154" s="23" t="s">
        <v>5661</v>
      </c>
      <c r="I3154" s="9" t="s">
        <v>353</v>
      </c>
      <c r="J3154" s="88"/>
    </row>
    <row r="3155">
      <c r="A3155" s="34" t="s">
        <v>204</v>
      </c>
      <c r="B3155" s="7" t="s">
        <v>5662</v>
      </c>
      <c r="C3155" s="91">
        <v>45301.73691944445</v>
      </c>
      <c r="D3155" s="8">
        <f t="shared" si="268"/>
        <v>45303</v>
      </c>
      <c r="E3155" s="9" t="s">
        <v>11</v>
      </c>
      <c r="F3155" s="8">
        <v>45302.0</v>
      </c>
      <c r="G3155" s="9" t="s">
        <v>18</v>
      </c>
      <c r="H3155" s="7" t="s">
        <v>5663</v>
      </c>
      <c r="I3155" s="9" t="s">
        <v>353</v>
      </c>
      <c r="J3155" s="88"/>
    </row>
    <row r="3156">
      <c r="A3156" s="20" t="s">
        <v>98</v>
      </c>
      <c r="B3156" s="9" t="s">
        <v>5664</v>
      </c>
      <c r="C3156" s="91">
        <v>45233.778167199074</v>
      </c>
      <c r="D3156" s="8">
        <f t="shared" si="268"/>
        <v>45237</v>
      </c>
      <c r="E3156" s="9" t="s">
        <v>206</v>
      </c>
      <c r="F3156" s="10"/>
      <c r="G3156" s="9" t="s">
        <v>18</v>
      </c>
      <c r="H3156" s="7" t="s">
        <v>5665</v>
      </c>
      <c r="I3156" s="9" t="s">
        <v>353</v>
      </c>
      <c r="J3156" s="88"/>
    </row>
    <row r="3157">
      <c r="A3157" s="20" t="s">
        <v>98</v>
      </c>
      <c r="B3157" s="9" t="s">
        <v>5666</v>
      </c>
      <c r="C3157" s="91">
        <v>45302.640501145834</v>
      </c>
      <c r="D3157" s="8">
        <f t="shared" si="268"/>
        <v>45306</v>
      </c>
      <c r="E3157" s="9" t="s">
        <v>88</v>
      </c>
      <c r="F3157" s="10"/>
      <c r="G3157" s="9" t="s">
        <v>15</v>
      </c>
      <c r="H3157" s="7" t="s">
        <v>5667</v>
      </c>
      <c r="I3157" s="9" t="s">
        <v>353</v>
      </c>
      <c r="J3157" s="88"/>
    </row>
    <row r="3158">
      <c r="A3158" s="42" t="s">
        <v>330</v>
      </c>
      <c r="B3158" s="168" t="s">
        <v>5668</v>
      </c>
      <c r="C3158" s="91">
        <v>45288.63336221065</v>
      </c>
      <c r="D3158" s="8">
        <f t="shared" si="268"/>
        <v>45292</v>
      </c>
      <c r="E3158" s="9" t="s">
        <v>11</v>
      </c>
      <c r="F3158" s="10"/>
      <c r="G3158" s="9" t="s">
        <v>18</v>
      </c>
      <c r="H3158" s="7" t="s">
        <v>5669</v>
      </c>
      <c r="I3158" s="9" t="s">
        <v>353</v>
      </c>
      <c r="J3158" s="88"/>
    </row>
    <row r="3159">
      <c r="A3159" s="34" t="s">
        <v>204</v>
      </c>
      <c r="B3159" s="7" t="s">
        <v>5670</v>
      </c>
      <c r="C3159" s="91">
        <v>45301.736491979165</v>
      </c>
      <c r="D3159" s="8">
        <f t="shared" si="268"/>
        <v>45303</v>
      </c>
      <c r="E3159" s="9" t="s">
        <v>11</v>
      </c>
      <c r="F3159" s="9" t="s">
        <v>11</v>
      </c>
      <c r="G3159" s="9" t="s">
        <v>15</v>
      </c>
      <c r="H3159" s="7" t="s">
        <v>5025</v>
      </c>
      <c r="I3159" s="9" t="s">
        <v>353</v>
      </c>
      <c r="J3159" s="88"/>
    </row>
    <row r="3160">
      <c r="A3160" s="20" t="s">
        <v>98</v>
      </c>
      <c r="B3160" s="9" t="s">
        <v>5671</v>
      </c>
      <c r="C3160" s="91">
        <v>45216.51521846065</v>
      </c>
      <c r="D3160" s="8">
        <f t="shared" si="268"/>
        <v>45218</v>
      </c>
      <c r="E3160" s="9" t="s">
        <v>206</v>
      </c>
      <c r="F3160" s="10"/>
      <c r="G3160" s="9" t="s">
        <v>15</v>
      </c>
      <c r="H3160" s="23" t="s">
        <v>5672</v>
      </c>
      <c r="I3160" s="9" t="s">
        <v>353</v>
      </c>
      <c r="J3160" s="88"/>
    </row>
    <row r="3161">
      <c r="A3161" s="20" t="s">
        <v>98</v>
      </c>
      <c r="B3161" s="9" t="s">
        <v>5673</v>
      </c>
      <c r="C3161" s="91">
        <v>45278.46446253472</v>
      </c>
      <c r="D3161" s="8">
        <f t="shared" si="268"/>
        <v>45280</v>
      </c>
      <c r="E3161" s="9" t="s">
        <v>206</v>
      </c>
      <c r="F3161" s="10"/>
      <c r="G3161" s="9" t="s">
        <v>15</v>
      </c>
      <c r="H3161" s="23" t="s">
        <v>5674</v>
      </c>
      <c r="I3161" s="9" t="s">
        <v>353</v>
      </c>
      <c r="J3161" s="88"/>
    </row>
    <row r="3162">
      <c r="A3162" s="42" t="s">
        <v>330</v>
      </c>
      <c r="B3162" s="187" t="s">
        <v>5418</v>
      </c>
      <c r="C3162" s="91">
        <v>45300.44038331018</v>
      </c>
      <c r="D3162" s="8">
        <f t="shared" si="268"/>
        <v>45302</v>
      </c>
      <c r="E3162" s="9" t="s">
        <v>11</v>
      </c>
      <c r="F3162" s="10"/>
      <c r="G3162" s="9" t="s">
        <v>18</v>
      </c>
      <c r="H3162" s="7" t="s">
        <v>5675</v>
      </c>
      <c r="I3162" s="9" t="s">
        <v>353</v>
      </c>
      <c r="J3162" s="88"/>
    </row>
    <row r="3163">
      <c r="A3163" s="20" t="s">
        <v>98</v>
      </c>
      <c r="B3163" s="9" t="s">
        <v>5676</v>
      </c>
      <c r="C3163" s="91">
        <v>45252.57772459491</v>
      </c>
      <c r="D3163" s="8">
        <f t="shared" si="268"/>
        <v>45254</v>
      </c>
      <c r="E3163" s="9" t="s">
        <v>206</v>
      </c>
      <c r="F3163" s="10"/>
      <c r="G3163" s="9" t="s">
        <v>15</v>
      </c>
      <c r="H3163" s="23" t="s">
        <v>5677</v>
      </c>
      <c r="I3163" s="9" t="s">
        <v>353</v>
      </c>
      <c r="J3163" s="88"/>
    </row>
    <row r="3164">
      <c r="A3164" s="20" t="s">
        <v>98</v>
      </c>
      <c r="B3164" s="9" t="s">
        <v>5678</v>
      </c>
      <c r="C3164" s="91">
        <v>45301.4886959838</v>
      </c>
      <c r="D3164" s="8">
        <f t="shared" si="268"/>
        <v>45303</v>
      </c>
      <c r="E3164" s="9" t="s">
        <v>206</v>
      </c>
      <c r="F3164" s="10"/>
      <c r="G3164" s="9" t="s">
        <v>15</v>
      </c>
      <c r="H3164" s="7" t="s">
        <v>5679</v>
      </c>
      <c r="I3164" s="9" t="s">
        <v>353</v>
      </c>
      <c r="J3164" s="88"/>
    </row>
    <row r="3165">
      <c r="A3165" s="34" t="s">
        <v>204</v>
      </c>
      <c r="B3165" s="7" t="s">
        <v>5680</v>
      </c>
      <c r="C3165" s="91">
        <v>45301.70874663194</v>
      </c>
      <c r="D3165" s="8">
        <f t="shared" si="268"/>
        <v>45303</v>
      </c>
      <c r="E3165" s="9" t="s">
        <v>11</v>
      </c>
      <c r="F3165" s="10"/>
      <c r="G3165" s="9"/>
      <c r="H3165" s="7" t="s">
        <v>437</v>
      </c>
      <c r="I3165" s="9" t="s">
        <v>353</v>
      </c>
      <c r="J3165" s="88"/>
    </row>
    <row r="3166">
      <c r="A3166" s="6" t="s">
        <v>9</v>
      </c>
      <c r="B3166" s="7" t="s">
        <v>5681</v>
      </c>
      <c r="C3166" s="91">
        <v>45300.391827025465</v>
      </c>
      <c r="D3166" s="8">
        <f t="shared" si="268"/>
        <v>45302</v>
      </c>
      <c r="E3166" s="9" t="s">
        <v>11</v>
      </c>
      <c r="F3166" s="10"/>
      <c r="G3166" s="9" t="s">
        <v>18</v>
      </c>
      <c r="H3166" s="7" t="s">
        <v>5682</v>
      </c>
      <c r="I3166" s="9" t="s">
        <v>353</v>
      </c>
      <c r="J3166" s="88"/>
    </row>
    <row r="3167">
      <c r="A3167" s="20" t="s">
        <v>98</v>
      </c>
      <c r="B3167" s="9" t="s">
        <v>5683</v>
      </c>
      <c r="C3167" s="91">
        <v>45247.35896092592</v>
      </c>
      <c r="D3167" s="8">
        <f t="shared" si="268"/>
        <v>45251</v>
      </c>
      <c r="E3167" s="9" t="s">
        <v>88</v>
      </c>
      <c r="F3167" s="10"/>
      <c r="G3167" s="9" t="s">
        <v>15</v>
      </c>
      <c r="H3167" s="7" t="s">
        <v>5684</v>
      </c>
      <c r="I3167" s="9" t="s">
        <v>353</v>
      </c>
      <c r="J3167" s="88"/>
    </row>
    <row r="3168">
      <c r="A3168" s="6" t="s">
        <v>9</v>
      </c>
      <c r="B3168" s="7" t="s">
        <v>5685</v>
      </c>
      <c r="C3168" s="91">
        <v>45173.38010635416</v>
      </c>
      <c r="D3168" s="8">
        <f t="shared" si="268"/>
        <v>45175</v>
      </c>
      <c r="E3168" s="9" t="s">
        <v>11</v>
      </c>
      <c r="F3168" s="9" t="s">
        <v>11</v>
      </c>
      <c r="G3168" s="9" t="s">
        <v>15</v>
      </c>
      <c r="H3168" s="7" t="s">
        <v>5686</v>
      </c>
      <c r="I3168" s="9" t="s">
        <v>353</v>
      </c>
      <c r="J3168" s="88"/>
    </row>
    <row r="3169">
      <c r="A3169" s="42" t="s">
        <v>330</v>
      </c>
      <c r="B3169" s="7" t="s">
        <v>5687</v>
      </c>
      <c r="C3169" s="91">
        <v>45287.61097112269</v>
      </c>
      <c r="D3169" s="8">
        <f t="shared" si="268"/>
        <v>45289</v>
      </c>
      <c r="E3169" s="9" t="s">
        <v>11</v>
      </c>
      <c r="F3169" s="10"/>
      <c r="G3169" s="9" t="s">
        <v>18</v>
      </c>
      <c r="H3169" s="7" t="s">
        <v>5688</v>
      </c>
      <c r="I3169" s="9" t="s">
        <v>353</v>
      </c>
      <c r="J3169" s="88"/>
    </row>
    <row r="3170">
      <c r="A3170" s="34" t="s">
        <v>204</v>
      </c>
      <c r="B3170" s="7" t="s">
        <v>5689</v>
      </c>
      <c r="C3170" s="91">
        <v>45289.473443194445</v>
      </c>
      <c r="D3170" s="8">
        <f t="shared" si="268"/>
        <v>45293</v>
      </c>
      <c r="E3170" s="9" t="s">
        <v>11</v>
      </c>
      <c r="F3170" s="10"/>
      <c r="G3170" s="9" t="s">
        <v>15</v>
      </c>
      <c r="H3170" s="7" t="s">
        <v>5690</v>
      </c>
      <c r="I3170" s="9" t="s">
        <v>353</v>
      </c>
      <c r="J3170" s="88"/>
    </row>
    <row r="3171">
      <c r="A3171" s="6" t="s">
        <v>9</v>
      </c>
      <c r="B3171" s="115" t="s">
        <v>5086</v>
      </c>
      <c r="C3171" s="91">
        <v>45294.40019206019</v>
      </c>
      <c r="D3171" s="8">
        <f t="shared" si="268"/>
        <v>45296</v>
      </c>
      <c r="E3171" s="9" t="s">
        <v>11</v>
      </c>
      <c r="F3171" s="10"/>
      <c r="G3171" s="9" t="s">
        <v>15</v>
      </c>
      <c r="H3171" s="7" t="s">
        <v>5691</v>
      </c>
      <c r="I3171" s="9" t="s">
        <v>353</v>
      </c>
      <c r="J3171" s="88"/>
    </row>
    <row r="3172">
      <c r="A3172" s="6" t="s">
        <v>9</v>
      </c>
      <c r="B3172" s="115" t="s">
        <v>5469</v>
      </c>
      <c r="C3172" s="91">
        <v>45286.51030105324</v>
      </c>
      <c r="D3172" s="8">
        <f t="shared" si="268"/>
        <v>45288</v>
      </c>
      <c r="E3172" s="9" t="s">
        <v>11</v>
      </c>
      <c r="F3172" s="10"/>
      <c r="G3172" s="9" t="s">
        <v>15</v>
      </c>
      <c r="H3172" s="7" t="s">
        <v>5692</v>
      </c>
      <c r="I3172" s="9" t="s">
        <v>353</v>
      </c>
      <c r="J3172" s="88"/>
    </row>
    <row r="3173">
      <c r="A3173" s="6" t="s">
        <v>9</v>
      </c>
      <c r="B3173" s="115" t="s">
        <v>5660</v>
      </c>
      <c r="C3173" s="91">
        <v>45286.37892403935</v>
      </c>
      <c r="D3173" s="8">
        <f t="shared" si="268"/>
        <v>45288</v>
      </c>
      <c r="E3173" s="9" t="s">
        <v>206</v>
      </c>
      <c r="F3173" s="10"/>
      <c r="G3173" s="9" t="s">
        <v>15</v>
      </c>
      <c r="H3173" s="7" t="s">
        <v>5693</v>
      </c>
      <c r="I3173" s="9" t="s">
        <v>353</v>
      </c>
      <c r="J3173" s="88"/>
    </row>
    <row r="3174">
      <c r="A3174" s="34" t="s">
        <v>204</v>
      </c>
      <c r="B3174" s="7" t="s">
        <v>5694</v>
      </c>
      <c r="C3174" s="91">
        <v>45260.74865434028</v>
      </c>
      <c r="D3174" s="8">
        <f t="shared" si="268"/>
        <v>45264</v>
      </c>
      <c r="E3174" s="9" t="s">
        <v>11</v>
      </c>
      <c r="F3174" s="9" t="s">
        <v>11</v>
      </c>
      <c r="G3174" s="9" t="s">
        <v>15</v>
      </c>
      <c r="H3174" s="7" t="s">
        <v>5695</v>
      </c>
      <c r="I3174" s="9" t="s">
        <v>353</v>
      </c>
      <c r="J3174" s="88"/>
    </row>
    <row r="3175">
      <c r="A3175" s="34" t="s">
        <v>204</v>
      </c>
      <c r="B3175" s="7" t="s">
        <v>5696</v>
      </c>
      <c r="C3175" s="91">
        <v>45301.410861435186</v>
      </c>
      <c r="D3175" s="8">
        <f t="shared" si="268"/>
        <v>45303</v>
      </c>
      <c r="E3175" s="9" t="s">
        <v>11</v>
      </c>
      <c r="F3175" s="10"/>
      <c r="G3175" s="9"/>
      <c r="H3175" s="7" t="s">
        <v>437</v>
      </c>
      <c r="I3175" s="9" t="s">
        <v>353</v>
      </c>
      <c r="J3175" s="88"/>
    </row>
    <row r="3176">
      <c r="A3176" s="6" t="s">
        <v>9</v>
      </c>
      <c r="B3176" s="7" t="s">
        <v>5697</v>
      </c>
      <c r="C3176" s="91">
        <v>45300.391658113425</v>
      </c>
      <c r="D3176" s="8">
        <f t="shared" si="268"/>
        <v>45302</v>
      </c>
      <c r="E3176" s="9" t="s">
        <v>11</v>
      </c>
      <c r="F3176" s="10"/>
      <c r="G3176" s="9" t="s">
        <v>15</v>
      </c>
      <c r="H3176" s="7" t="s">
        <v>5698</v>
      </c>
      <c r="I3176" s="9" t="s">
        <v>353</v>
      </c>
      <c r="J3176" s="88"/>
    </row>
    <row r="3177">
      <c r="A3177" s="6" t="s">
        <v>9</v>
      </c>
      <c r="B3177" s="7" t="s">
        <v>5699</v>
      </c>
      <c r="C3177" s="91">
        <v>45300.39207958333</v>
      </c>
      <c r="D3177" s="8">
        <f t="shared" si="268"/>
        <v>45302</v>
      </c>
      <c r="E3177" s="9" t="s">
        <v>11</v>
      </c>
      <c r="F3177" s="10"/>
      <c r="G3177" s="9" t="s">
        <v>15</v>
      </c>
      <c r="H3177" s="7" t="s">
        <v>5700</v>
      </c>
      <c r="I3177" s="9" t="s">
        <v>353</v>
      </c>
      <c r="J3177" s="88"/>
    </row>
    <row r="3178">
      <c r="A3178" s="6" t="s">
        <v>9</v>
      </c>
      <c r="B3178" s="115" t="s">
        <v>5701</v>
      </c>
      <c r="C3178" s="91">
        <v>45293.47849879629</v>
      </c>
      <c r="D3178" s="8">
        <f t="shared" si="268"/>
        <v>45295</v>
      </c>
      <c r="E3178" s="9" t="s">
        <v>88</v>
      </c>
      <c r="F3178" s="10"/>
      <c r="G3178" s="9" t="s">
        <v>15</v>
      </c>
      <c r="H3178" s="7" t="s">
        <v>5702</v>
      </c>
      <c r="I3178" s="9" t="s">
        <v>353</v>
      </c>
      <c r="J3178" s="88"/>
    </row>
    <row r="3179">
      <c r="A3179" s="42" t="s">
        <v>330</v>
      </c>
      <c r="B3179" s="7" t="s">
        <v>5703</v>
      </c>
      <c r="C3179" s="91">
        <v>45295.72159450232</v>
      </c>
      <c r="D3179" s="8">
        <f t="shared" si="268"/>
        <v>45299</v>
      </c>
      <c r="E3179" s="9" t="s">
        <v>11</v>
      </c>
      <c r="F3179" s="10"/>
      <c r="G3179" s="9" t="s">
        <v>18</v>
      </c>
      <c r="H3179" s="7" t="s">
        <v>2896</v>
      </c>
      <c r="I3179" s="9" t="s">
        <v>353</v>
      </c>
      <c r="J3179" s="88"/>
    </row>
    <row r="3180">
      <c r="A3180" s="42" t="s">
        <v>330</v>
      </c>
      <c r="B3180" s="7" t="s">
        <v>5704</v>
      </c>
      <c r="C3180" s="91">
        <v>45287.4812474537</v>
      </c>
      <c r="D3180" s="8">
        <f t="shared" si="268"/>
        <v>45289</v>
      </c>
      <c r="E3180" s="9" t="s">
        <v>11</v>
      </c>
      <c r="F3180" s="10"/>
      <c r="G3180" s="9" t="s">
        <v>18</v>
      </c>
      <c r="H3180" s="7" t="s">
        <v>5705</v>
      </c>
      <c r="I3180" s="9" t="s">
        <v>353</v>
      </c>
      <c r="J3180" s="88"/>
    </row>
    <row r="3181">
      <c r="A3181" s="42" t="s">
        <v>330</v>
      </c>
      <c r="B3181" s="7" t="s">
        <v>5706</v>
      </c>
      <c r="C3181" s="91">
        <v>45294.44254287037</v>
      </c>
      <c r="D3181" s="8">
        <f t="shared" si="268"/>
        <v>45296</v>
      </c>
      <c r="E3181" s="9" t="s">
        <v>11</v>
      </c>
      <c r="F3181" s="10"/>
      <c r="G3181" s="9" t="s">
        <v>18</v>
      </c>
      <c r="H3181" s="7" t="s">
        <v>5707</v>
      </c>
      <c r="I3181" s="9" t="s">
        <v>353</v>
      </c>
      <c r="J3181" s="88"/>
    </row>
    <row r="3182">
      <c r="A3182" s="34" t="s">
        <v>204</v>
      </c>
      <c r="B3182" s="7" t="s">
        <v>5708</v>
      </c>
      <c r="C3182" s="91">
        <v>45295.74267107639</v>
      </c>
      <c r="D3182" s="8">
        <f t="shared" si="268"/>
        <v>45299</v>
      </c>
      <c r="E3182" s="9" t="s">
        <v>11</v>
      </c>
      <c r="F3182" s="8">
        <v>45296.0</v>
      </c>
      <c r="G3182" s="9" t="s">
        <v>18</v>
      </c>
      <c r="H3182" s="7" t="s">
        <v>5709</v>
      </c>
      <c r="I3182" s="9" t="s">
        <v>353</v>
      </c>
      <c r="J3182" s="88"/>
    </row>
    <row r="3183">
      <c r="A3183" s="42" t="s">
        <v>330</v>
      </c>
      <c r="B3183" s="7" t="s">
        <v>5710</v>
      </c>
      <c r="C3183" s="91">
        <v>45286.57575767361</v>
      </c>
      <c r="D3183" s="8">
        <f t="shared" si="268"/>
        <v>45288</v>
      </c>
      <c r="E3183" s="9" t="s">
        <v>11</v>
      </c>
      <c r="F3183" s="10"/>
      <c r="G3183" s="9" t="s">
        <v>18</v>
      </c>
      <c r="H3183" s="7" t="s">
        <v>5711</v>
      </c>
      <c r="I3183" s="9" t="s">
        <v>353</v>
      </c>
      <c r="J3183" s="88"/>
    </row>
    <row r="3184">
      <c r="A3184" s="42" t="s">
        <v>330</v>
      </c>
      <c r="B3184" s="7" t="s">
        <v>5712</v>
      </c>
      <c r="C3184" s="91">
        <v>45244.4735490625</v>
      </c>
      <c r="D3184" s="8">
        <f t="shared" si="268"/>
        <v>45246</v>
      </c>
      <c r="E3184" s="9" t="s">
        <v>11</v>
      </c>
      <c r="F3184" s="9" t="s">
        <v>11</v>
      </c>
      <c r="G3184" s="9" t="s">
        <v>18</v>
      </c>
      <c r="H3184" s="7" t="s">
        <v>5713</v>
      </c>
      <c r="I3184" s="9" t="s">
        <v>353</v>
      </c>
      <c r="J3184" s="88"/>
    </row>
    <row r="3185">
      <c r="A3185" s="34" t="s">
        <v>204</v>
      </c>
      <c r="B3185" s="7" t="s">
        <v>5714</v>
      </c>
      <c r="C3185" s="91">
        <v>45294.74788993056</v>
      </c>
      <c r="D3185" s="8">
        <f t="shared" si="268"/>
        <v>45296</v>
      </c>
      <c r="E3185" s="9" t="s">
        <v>11</v>
      </c>
      <c r="F3185" s="10"/>
      <c r="G3185" s="9" t="s">
        <v>15</v>
      </c>
      <c r="H3185" s="7" t="s">
        <v>437</v>
      </c>
      <c r="I3185" s="9" t="s">
        <v>353</v>
      </c>
      <c r="J3185" s="88"/>
    </row>
    <row r="3186">
      <c r="A3186" s="54" t="s">
        <v>4009</v>
      </c>
      <c r="B3186" s="11"/>
      <c r="C3186" s="91" t="s">
        <v>11</v>
      </c>
      <c r="D3186" s="8" t="str">
        <f t="shared" si="268"/>
        <v>-</v>
      </c>
      <c r="E3186" s="9" t="s">
        <v>11</v>
      </c>
      <c r="F3186" s="10"/>
      <c r="G3186" s="9"/>
      <c r="H3186" s="11"/>
      <c r="I3186" s="9" t="s">
        <v>13</v>
      </c>
      <c r="J3186" s="88"/>
    </row>
    <row r="3187">
      <c r="A3187" s="54" t="s">
        <v>4009</v>
      </c>
      <c r="B3187" s="7" t="s">
        <v>5715</v>
      </c>
      <c r="C3187" s="91">
        <v>45293.37242905093</v>
      </c>
      <c r="D3187" s="8">
        <f t="shared" si="268"/>
        <v>45295</v>
      </c>
      <c r="E3187" s="9" t="s">
        <v>11</v>
      </c>
      <c r="F3187" s="10"/>
      <c r="G3187" s="9"/>
      <c r="H3187" s="7" t="s">
        <v>5716</v>
      </c>
      <c r="I3187" s="9" t="s">
        <v>353</v>
      </c>
      <c r="J3187" s="88"/>
    </row>
    <row r="3188">
      <c r="A3188" s="42" t="s">
        <v>330</v>
      </c>
      <c r="B3188" s="188" t="s">
        <v>5717</v>
      </c>
      <c r="C3188" s="91">
        <v>45266.740481597226</v>
      </c>
      <c r="D3188" s="8">
        <f t="shared" si="268"/>
        <v>45268</v>
      </c>
      <c r="E3188" s="9" t="s">
        <v>11</v>
      </c>
      <c r="F3188" s="10"/>
      <c r="G3188" s="9" t="s">
        <v>18</v>
      </c>
      <c r="H3188" s="7" t="s">
        <v>5718</v>
      </c>
      <c r="I3188" s="9" t="s">
        <v>353</v>
      </c>
      <c r="J3188" s="88"/>
    </row>
    <row r="3189">
      <c r="A3189" s="42" t="s">
        <v>330</v>
      </c>
      <c r="B3189" s="188" t="s">
        <v>5719</v>
      </c>
      <c r="C3189" s="91">
        <v>45294.57952287037</v>
      </c>
      <c r="D3189" s="8">
        <f t="shared" si="268"/>
        <v>45296</v>
      </c>
      <c r="E3189" s="9" t="s">
        <v>11</v>
      </c>
      <c r="F3189" s="10"/>
      <c r="G3189" s="9" t="s">
        <v>15</v>
      </c>
      <c r="H3189" s="7" t="s">
        <v>5720</v>
      </c>
      <c r="I3189" s="9" t="s">
        <v>353</v>
      </c>
      <c r="J3189" s="88"/>
    </row>
    <row r="3190">
      <c r="A3190" s="34" t="s">
        <v>204</v>
      </c>
      <c r="B3190" s="7" t="s">
        <v>5721</v>
      </c>
      <c r="C3190" s="91">
        <v>45236.77060885417</v>
      </c>
      <c r="D3190" s="8">
        <f t="shared" si="268"/>
        <v>45238</v>
      </c>
      <c r="E3190" s="9" t="s">
        <v>11</v>
      </c>
      <c r="F3190" s="9" t="s">
        <v>11</v>
      </c>
      <c r="G3190" s="9" t="s">
        <v>15</v>
      </c>
      <c r="H3190" s="7" t="s">
        <v>5722</v>
      </c>
      <c r="I3190" s="9" t="s">
        <v>353</v>
      </c>
      <c r="J3190" s="88"/>
    </row>
    <row r="3191">
      <c r="A3191" s="42" t="s">
        <v>330</v>
      </c>
      <c r="B3191" s="7" t="s">
        <v>5723</v>
      </c>
      <c r="C3191" s="91">
        <v>45294.36361664352</v>
      </c>
      <c r="D3191" s="8">
        <f t="shared" si="268"/>
        <v>45296</v>
      </c>
      <c r="E3191" s="9" t="s">
        <v>11</v>
      </c>
      <c r="F3191" s="10"/>
      <c r="G3191" s="9" t="s">
        <v>220</v>
      </c>
      <c r="H3191" s="7" t="s">
        <v>5724</v>
      </c>
      <c r="I3191" s="9" t="s">
        <v>353</v>
      </c>
      <c r="J3191" s="88"/>
    </row>
    <row r="3192">
      <c r="A3192" s="42" t="s">
        <v>330</v>
      </c>
      <c r="B3192" s="7" t="s">
        <v>5725</v>
      </c>
      <c r="C3192" s="91">
        <v>45293.64994780092</v>
      </c>
      <c r="D3192" s="8">
        <f t="shared" si="268"/>
        <v>45295</v>
      </c>
      <c r="E3192" s="9" t="s">
        <v>11</v>
      </c>
      <c r="F3192" s="10"/>
      <c r="G3192" s="9" t="s">
        <v>18</v>
      </c>
      <c r="H3192" s="7" t="s">
        <v>5726</v>
      </c>
      <c r="I3192" s="9" t="s">
        <v>353</v>
      </c>
      <c r="J3192" s="88"/>
    </row>
    <row r="3193">
      <c r="A3193" s="42" t="s">
        <v>330</v>
      </c>
      <c r="B3193" s="107" t="s">
        <v>5727</v>
      </c>
      <c r="C3193" s="91">
        <v>45293.65019383102</v>
      </c>
      <c r="D3193" s="8">
        <f t="shared" si="268"/>
        <v>45295</v>
      </c>
      <c r="E3193" s="9" t="s">
        <v>11</v>
      </c>
      <c r="F3193" s="10"/>
      <c r="G3193" s="9" t="s">
        <v>18</v>
      </c>
      <c r="H3193" s="7" t="s">
        <v>437</v>
      </c>
      <c r="I3193" s="9" t="s">
        <v>353</v>
      </c>
      <c r="J3193" s="88"/>
    </row>
    <row r="3194">
      <c r="A3194" s="34" t="s">
        <v>204</v>
      </c>
      <c r="B3194" s="7" t="s">
        <v>5728</v>
      </c>
      <c r="C3194" s="91">
        <v>45282.47018243055</v>
      </c>
      <c r="D3194" s="8">
        <f t="shared" si="268"/>
        <v>45286</v>
      </c>
      <c r="E3194" s="9" t="s">
        <v>11</v>
      </c>
      <c r="F3194" s="10"/>
      <c r="G3194" s="9" t="s">
        <v>15</v>
      </c>
      <c r="H3194" s="7" t="s">
        <v>5729</v>
      </c>
      <c r="I3194" s="9" t="s">
        <v>353</v>
      </c>
      <c r="J3194" s="88"/>
    </row>
    <row r="3195">
      <c r="A3195" s="34" t="s">
        <v>204</v>
      </c>
      <c r="B3195" s="7" t="s">
        <v>5730</v>
      </c>
      <c r="C3195" s="91">
        <v>45289.47363960648</v>
      </c>
      <c r="D3195" s="8">
        <f t="shared" si="268"/>
        <v>45293</v>
      </c>
      <c r="E3195" s="9" t="s">
        <v>11</v>
      </c>
      <c r="F3195" s="10"/>
      <c r="G3195" s="9" t="s">
        <v>18</v>
      </c>
      <c r="H3195" s="7" t="s">
        <v>5025</v>
      </c>
      <c r="I3195" s="9" t="s">
        <v>353</v>
      </c>
      <c r="J3195" s="88"/>
    </row>
    <row r="3196">
      <c r="A3196" s="42" t="s">
        <v>330</v>
      </c>
      <c r="B3196" s="7" t="s">
        <v>5731</v>
      </c>
      <c r="C3196" s="91">
        <v>45293.42627914352</v>
      </c>
      <c r="D3196" s="8">
        <f t="shared" si="268"/>
        <v>45295</v>
      </c>
      <c r="E3196" s="9" t="s">
        <v>11</v>
      </c>
      <c r="F3196" s="10"/>
      <c r="G3196" s="9" t="s">
        <v>220</v>
      </c>
      <c r="H3196" s="7" t="s">
        <v>5732</v>
      </c>
      <c r="I3196" s="9" t="s">
        <v>353</v>
      </c>
      <c r="J3196" s="88"/>
    </row>
    <row r="3197">
      <c r="A3197" s="54" t="s">
        <v>4009</v>
      </c>
      <c r="B3197" s="7" t="s">
        <v>2814</v>
      </c>
      <c r="C3197" s="91">
        <v>45271.645205891204</v>
      </c>
      <c r="D3197" s="8">
        <f t="shared" si="268"/>
        <v>45273</v>
      </c>
      <c r="E3197" s="9" t="s">
        <v>11</v>
      </c>
      <c r="F3197" s="10"/>
      <c r="G3197" s="9"/>
      <c r="H3197" s="7" t="s">
        <v>5733</v>
      </c>
      <c r="I3197" s="9" t="s">
        <v>353</v>
      </c>
      <c r="J3197" s="88"/>
    </row>
    <row r="3198">
      <c r="A3198" s="20" t="s">
        <v>98</v>
      </c>
      <c r="B3198" s="9" t="s">
        <v>2985</v>
      </c>
      <c r="C3198" s="91">
        <v>45267.360371006944</v>
      </c>
      <c r="D3198" s="8">
        <f t="shared" si="268"/>
        <v>45271</v>
      </c>
      <c r="E3198" s="9" t="s">
        <v>88</v>
      </c>
      <c r="F3198" s="10"/>
      <c r="G3198" s="9" t="s">
        <v>15</v>
      </c>
      <c r="H3198" s="7" t="s">
        <v>5734</v>
      </c>
      <c r="I3198" s="9" t="s">
        <v>353</v>
      </c>
      <c r="J3198" s="88"/>
    </row>
    <row r="3199">
      <c r="A3199" s="6" t="s">
        <v>9</v>
      </c>
      <c r="B3199" s="115" t="s">
        <v>5735</v>
      </c>
      <c r="C3199" s="91">
        <v>45288.65962305556</v>
      </c>
      <c r="D3199" s="8">
        <f t="shared" si="268"/>
        <v>45292</v>
      </c>
      <c r="E3199" s="9" t="s">
        <v>11</v>
      </c>
      <c r="F3199" s="10"/>
      <c r="G3199" s="9" t="s">
        <v>18</v>
      </c>
      <c r="H3199" s="7" t="s">
        <v>5736</v>
      </c>
      <c r="I3199" s="9" t="s">
        <v>353</v>
      </c>
      <c r="J3199" s="88"/>
    </row>
    <row r="3200">
      <c r="A3200" s="6" t="s">
        <v>9</v>
      </c>
      <c r="B3200" s="7" t="s">
        <v>5737</v>
      </c>
      <c r="C3200" s="91">
        <v>45286.61742560186</v>
      </c>
      <c r="D3200" s="8">
        <f t="shared" si="268"/>
        <v>45288</v>
      </c>
      <c r="E3200" s="9" t="s">
        <v>11</v>
      </c>
      <c r="F3200" s="10"/>
      <c r="G3200" s="9" t="s">
        <v>15</v>
      </c>
      <c r="H3200" s="7" t="s">
        <v>5738</v>
      </c>
      <c r="I3200" s="9" t="s">
        <v>353</v>
      </c>
      <c r="J3200" s="88"/>
    </row>
    <row r="3201">
      <c r="A3201" s="6" t="s">
        <v>9</v>
      </c>
      <c r="B3201" s="7" t="s">
        <v>5739</v>
      </c>
      <c r="C3201" s="91">
        <v>45287.642899212966</v>
      </c>
      <c r="D3201" s="8">
        <f t="shared" si="268"/>
        <v>45289</v>
      </c>
      <c r="E3201" s="9" t="s">
        <v>11</v>
      </c>
      <c r="F3201" s="10"/>
      <c r="G3201" s="9" t="s">
        <v>15</v>
      </c>
      <c r="H3201" s="7" t="s">
        <v>5740</v>
      </c>
      <c r="I3201" s="9" t="s">
        <v>353</v>
      </c>
      <c r="J3201" s="88"/>
    </row>
    <row r="3202">
      <c r="A3202" s="42" t="s">
        <v>330</v>
      </c>
      <c r="B3202" s="7" t="s">
        <v>5741</v>
      </c>
      <c r="C3202" s="91">
        <v>45264.44652400463</v>
      </c>
      <c r="D3202" s="8">
        <f t="shared" si="268"/>
        <v>45266</v>
      </c>
      <c r="E3202" s="9" t="s">
        <v>11</v>
      </c>
      <c r="F3202" s="10"/>
      <c r="G3202" s="9" t="s">
        <v>18</v>
      </c>
      <c r="H3202" s="7" t="s">
        <v>5742</v>
      </c>
      <c r="I3202" s="9" t="s">
        <v>353</v>
      </c>
      <c r="J3202" s="88"/>
    </row>
    <row r="3203">
      <c r="A3203" s="54" t="s">
        <v>4009</v>
      </c>
      <c r="B3203" s="7" t="s">
        <v>2814</v>
      </c>
      <c r="C3203" s="91">
        <v>45281.70806234954</v>
      </c>
      <c r="D3203" s="8">
        <f t="shared" si="268"/>
        <v>45285</v>
      </c>
      <c r="E3203" s="9" t="s">
        <v>11</v>
      </c>
      <c r="F3203" s="10"/>
      <c r="G3203" s="9"/>
      <c r="H3203" s="7" t="s">
        <v>5743</v>
      </c>
      <c r="I3203" s="9" t="s">
        <v>353</v>
      </c>
      <c r="J3203" s="88"/>
    </row>
    <row r="3204">
      <c r="A3204" s="42" t="s">
        <v>330</v>
      </c>
      <c r="B3204" s="7" t="s">
        <v>5744</v>
      </c>
      <c r="C3204" s="91">
        <v>45287.40772340278</v>
      </c>
      <c r="D3204" s="8">
        <f t="shared" si="268"/>
        <v>45289</v>
      </c>
      <c r="E3204" s="9" t="s">
        <v>11</v>
      </c>
      <c r="F3204" s="10"/>
      <c r="G3204" s="9" t="s">
        <v>18</v>
      </c>
      <c r="H3204" s="7" t="s">
        <v>5745</v>
      </c>
      <c r="I3204" s="9" t="s">
        <v>353</v>
      </c>
      <c r="J3204" s="88"/>
    </row>
    <row r="3205">
      <c r="A3205" s="42" t="s">
        <v>330</v>
      </c>
      <c r="B3205" s="7" t="s">
        <v>5746</v>
      </c>
      <c r="C3205" s="91">
        <v>45287.35399872685</v>
      </c>
      <c r="D3205" s="8">
        <f t="shared" si="268"/>
        <v>45289</v>
      </c>
      <c r="E3205" s="9" t="s">
        <v>11</v>
      </c>
      <c r="F3205" s="10"/>
      <c r="G3205" s="9" t="s">
        <v>18</v>
      </c>
      <c r="H3205" s="7" t="s">
        <v>437</v>
      </c>
      <c r="I3205" s="9" t="s">
        <v>353</v>
      </c>
      <c r="J3205" s="88"/>
    </row>
    <row r="3206">
      <c r="A3206" s="42" t="s">
        <v>330</v>
      </c>
      <c r="B3206" s="185" t="s">
        <v>5747</v>
      </c>
      <c r="C3206" s="91">
        <v>45271.49904427084</v>
      </c>
      <c r="D3206" s="8">
        <f t="shared" si="268"/>
        <v>45273</v>
      </c>
      <c r="E3206" s="9" t="s">
        <v>11</v>
      </c>
      <c r="F3206" s="10"/>
      <c r="G3206" s="9" t="s">
        <v>220</v>
      </c>
      <c r="H3206" s="7" t="s">
        <v>5748</v>
      </c>
      <c r="I3206" s="9" t="s">
        <v>353</v>
      </c>
      <c r="J3206" s="88"/>
    </row>
    <row r="3207">
      <c r="A3207" s="42" t="s">
        <v>330</v>
      </c>
      <c r="B3207" s="7" t="s">
        <v>5749</v>
      </c>
      <c r="C3207" s="91">
        <v>45286.57512653935</v>
      </c>
      <c r="D3207" s="8">
        <f t="shared" si="268"/>
        <v>45288</v>
      </c>
      <c r="E3207" s="9" t="s">
        <v>11</v>
      </c>
      <c r="F3207" s="10"/>
      <c r="G3207" s="9" t="s">
        <v>15</v>
      </c>
      <c r="H3207" s="7" t="s">
        <v>5750</v>
      </c>
      <c r="I3207" s="9" t="s">
        <v>353</v>
      </c>
      <c r="J3207" s="88"/>
    </row>
    <row r="3208">
      <c r="A3208" s="6" t="s">
        <v>9</v>
      </c>
      <c r="B3208" s="7" t="s">
        <v>5751</v>
      </c>
      <c r="C3208" s="91">
        <v>45252.641036643516</v>
      </c>
      <c r="D3208" s="8">
        <f t="shared" si="268"/>
        <v>45254</v>
      </c>
      <c r="E3208" s="9" t="s">
        <v>11</v>
      </c>
      <c r="F3208" s="10"/>
      <c r="G3208" s="9" t="s">
        <v>15</v>
      </c>
      <c r="H3208" s="7" t="s">
        <v>5752</v>
      </c>
      <c r="I3208" s="9" t="s">
        <v>353</v>
      </c>
      <c r="J3208" s="88"/>
    </row>
    <row r="3209">
      <c r="A3209" s="42" t="s">
        <v>330</v>
      </c>
      <c r="B3209" s="129" t="s">
        <v>5753</v>
      </c>
      <c r="C3209" s="91">
        <v>45236.43925950232</v>
      </c>
      <c r="D3209" s="8">
        <f t="shared" si="268"/>
        <v>45238</v>
      </c>
      <c r="E3209" s="9" t="s">
        <v>11</v>
      </c>
      <c r="F3209" s="9" t="s">
        <v>11</v>
      </c>
      <c r="G3209" s="9" t="s">
        <v>18</v>
      </c>
      <c r="H3209" s="7" t="s">
        <v>5754</v>
      </c>
      <c r="I3209" s="9" t="s">
        <v>353</v>
      </c>
      <c r="J3209" s="88"/>
    </row>
    <row r="3210">
      <c r="A3210" s="42" t="s">
        <v>330</v>
      </c>
      <c r="B3210" s="7" t="s">
        <v>5755</v>
      </c>
      <c r="C3210" s="91">
        <v>45280.45739744213</v>
      </c>
      <c r="D3210" s="8">
        <f t="shared" si="268"/>
        <v>45282</v>
      </c>
      <c r="E3210" s="9" t="s">
        <v>11</v>
      </c>
      <c r="F3210" s="10"/>
      <c r="G3210" s="9" t="s">
        <v>18</v>
      </c>
      <c r="H3210" s="7" t="s">
        <v>5756</v>
      </c>
      <c r="I3210" s="9" t="s">
        <v>353</v>
      </c>
      <c r="J3210" s="88"/>
    </row>
    <row r="3211">
      <c r="A3211" s="42" t="s">
        <v>330</v>
      </c>
      <c r="B3211" s="185" t="s">
        <v>4903</v>
      </c>
      <c r="C3211" s="91">
        <v>45273.401602048616</v>
      </c>
      <c r="D3211" s="8">
        <f t="shared" si="268"/>
        <v>45275</v>
      </c>
      <c r="E3211" s="9" t="s">
        <v>11</v>
      </c>
      <c r="F3211" s="10"/>
      <c r="G3211" s="9" t="s">
        <v>220</v>
      </c>
      <c r="H3211" s="7" t="s">
        <v>5757</v>
      </c>
      <c r="I3211" s="9" t="s">
        <v>353</v>
      </c>
      <c r="J3211" s="88"/>
    </row>
    <row r="3212">
      <c r="A3212" s="6" t="s">
        <v>9</v>
      </c>
      <c r="B3212" s="7" t="s">
        <v>5758</v>
      </c>
      <c r="C3212" s="91">
        <v>45282.38137931713</v>
      </c>
      <c r="D3212" s="8">
        <f t="shared" si="268"/>
        <v>45286</v>
      </c>
      <c r="E3212" s="9" t="s">
        <v>11</v>
      </c>
      <c r="F3212" s="10"/>
      <c r="G3212" s="9" t="s">
        <v>15</v>
      </c>
      <c r="H3212" s="7" t="s">
        <v>5759</v>
      </c>
      <c r="I3212" s="9" t="s">
        <v>353</v>
      </c>
      <c r="J3212" s="88"/>
    </row>
    <row r="3213">
      <c r="A3213" s="20" t="s">
        <v>98</v>
      </c>
      <c r="B3213" s="9" t="s">
        <v>5760</v>
      </c>
      <c r="C3213" s="91">
        <v>45252.577672037034</v>
      </c>
      <c r="D3213" s="8">
        <f t="shared" si="268"/>
        <v>45254</v>
      </c>
      <c r="E3213" s="9" t="s">
        <v>206</v>
      </c>
      <c r="F3213" s="10"/>
      <c r="G3213" s="9" t="s">
        <v>15</v>
      </c>
      <c r="H3213" s="23" t="s">
        <v>5761</v>
      </c>
      <c r="I3213" s="9" t="s">
        <v>353</v>
      </c>
      <c r="J3213" s="88"/>
    </row>
    <row r="3214">
      <c r="A3214" s="6" t="s">
        <v>9</v>
      </c>
      <c r="B3214" s="7" t="s">
        <v>5762</v>
      </c>
      <c r="C3214" s="91">
        <v>45282.410470347226</v>
      </c>
      <c r="D3214" s="8">
        <f t="shared" si="268"/>
        <v>45286</v>
      </c>
      <c r="E3214" s="9" t="s">
        <v>11</v>
      </c>
      <c r="F3214" s="10"/>
      <c r="G3214" s="9"/>
      <c r="H3214" s="11"/>
      <c r="I3214" s="9" t="s">
        <v>353</v>
      </c>
      <c r="J3214" s="88"/>
    </row>
    <row r="3215">
      <c r="A3215" s="42" t="s">
        <v>330</v>
      </c>
      <c r="B3215" s="7" t="s">
        <v>5763</v>
      </c>
      <c r="C3215" s="91">
        <v>45281.72661815972</v>
      </c>
      <c r="D3215" s="8">
        <f t="shared" si="268"/>
        <v>45285</v>
      </c>
      <c r="E3215" s="9" t="s">
        <v>11</v>
      </c>
      <c r="F3215" s="10"/>
      <c r="G3215" s="9" t="s">
        <v>15</v>
      </c>
      <c r="H3215" s="7" t="s">
        <v>5764</v>
      </c>
      <c r="I3215" s="9" t="s">
        <v>353</v>
      </c>
      <c r="J3215" s="88"/>
    </row>
    <row r="3216">
      <c r="A3216" s="20" t="s">
        <v>98</v>
      </c>
      <c r="B3216" s="9" t="s">
        <v>5765</v>
      </c>
      <c r="C3216" s="91">
        <v>45279.4527377662</v>
      </c>
      <c r="D3216" s="8">
        <f t="shared" si="268"/>
        <v>45281</v>
      </c>
      <c r="E3216" s="9" t="s">
        <v>88</v>
      </c>
      <c r="F3216" s="10"/>
      <c r="G3216" s="9" t="s">
        <v>15</v>
      </c>
      <c r="H3216" s="7" t="s">
        <v>5766</v>
      </c>
      <c r="I3216" s="9" t="s">
        <v>353</v>
      </c>
      <c r="J3216" s="88"/>
    </row>
    <row r="3217">
      <c r="A3217" s="6" t="s">
        <v>9</v>
      </c>
      <c r="B3217" s="7" t="s">
        <v>2410</v>
      </c>
      <c r="C3217" s="91">
        <v>45261.47659549769</v>
      </c>
      <c r="D3217" s="8">
        <f t="shared" si="268"/>
        <v>45265</v>
      </c>
      <c r="E3217" s="9" t="s">
        <v>11</v>
      </c>
      <c r="F3217" s="10"/>
      <c r="G3217" s="9" t="s">
        <v>15</v>
      </c>
      <c r="H3217" s="7" t="s">
        <v>5767</v>
      </c>
      <c r="I3217" s="9" t="s">
        <v>353</v>
      </c>
      <c r="J3217" s="88"/>
    </row>
    <row r="3218">
      <c r="A3218" s="54" t="s">
        <v>4009</v>
      </c>
      <c r="B3218" s="7" t="s">
        <v>5768</v>
      </c>
      <c r="C3218" s="91">
        <v>45271.645707986114</v>
      </c>
      <c r="D3218" s="8">
        <f t="shared" si="268"/>
        <v>45273</v>
      </c>
      <c r="E3218" s="9" t="s">
        <v>11</v>
      </c>
      <c r="F3218" s="10"/>
      <c r="G3218" s="9"/>
      <c r="H3218" s="7" t="s">
        <v>5769</v>
      </c>
      <c r="I3218" s="9" t="s">
        <v>353</v>
      </c>
      <c r="J3218" s="88"/>
    </row>
    <row r="3219">
      <c r="A3219" s="54" t="s">
        <v>4009</v>
      </c>
      <c r="B3219" s="7" t="s">
        <v>2814</v>
      </c>
      <c r="C3219" s="91">
        <v>45271.64426240741</v>
      </c>
      <c r="D3219" s="8">
        <f t="shared" si="268"/>
        <v>45273</v>
      </c>
      <c r="E3219" s="9" t="s">
        <v>11</v>
      </c>
      <c r="F3219" s="10"/>
      <c r="G3219" s="9" t="s">
        <v>220</v>
      </c>
      <c r="H3219" s="7" t="s">
        <v>5770</v>
      </c>
      <c r="I3219" s="9" t="s">
        <v>353</v>
      </c>
      <c r="J3219" s="88"/>
    </row>
    <row r="3220">
      <c r="A3220" s="54" t="s">
        <v>4009</v>
      </c>
      <c r="B3220" s="7" t="s">
        <v>2814</v>
      </c>
      <c r="C3220" s="91">
        <v>45271.64438721065</v>
      </c>
      <c r="D3220" s="8">
        <f t="shared" si="268"/>
        <v>45273</v>
      </c>
      <c r="E3220" s="9" t="s">
        <v>11</v>
      </c>
      <c r="F3220" s="10"/>
      <c r="G3220" s="9" t="s">
        <v>220</v>
      </c>
      <c r="H3220" s="7" t="s">
        <v>5771</v>
      </c>
      <c r="I3220" s="9" t="s">
        <v>353</v>
      </c>
      <c r="J3220" s="88"/>
    </row>
    <row r="3221">
      <c r="A3221" s="54" t="s">
        <v>4009</v>
      </c>
      <c r="B3221" s="7" t="s">
        <v>2814</v>
      </c>
      <c r="C3221" s="91">
        <v>45271.644580775464</v>
      </c>
      <c r="D3221" s="8">
        <f t="shared" si="268"/>
        <v>45273</v>
      </c>
      <c r="E3221" s="9" t="s">
        <v>11</v>
      </c>
      <c r="F3221" s="10"/>
      <c r="G3221" s="9" t="s">
        <v>15</v>
      </c>
      <c r="H3221" s="7" t="s">
        <v>5772</v>
      </c>
      <c r="I3221" s="9" t="s">
        <v>353</v>
      </c>
      <c r="J3221" s="88"/>
    </row>
    <row r="3222">
      <c r="A3222" s="20" t="s">
        <v>98</v>
      </c>
      <c r="B3222" s="9" t="s">
        <v>5773</v>
      </c>
      <c r="C3222" s="91">
        <v>45216.58791412037</v>
      </c>
      <c r="D3222" s="8">
        <f t="shared" si="268"/>
        <v>45218</v>
      </c>
      <c r="E3222" s="9" t="s">
        <v>206</v>
      </c>
      <c r="F3222" s="10"/>
      <c r="G3222" s="9" t="s">
        <v>15</v>
      </c>
      <c r="H3222" s="23" t="s">
        <v>5774</v>
      </c>
      <c r="I3222" s="9" t="s">
        <v>353</v>
      </c>
      <c r="J3222" s="88"/>
    </row>
    <row r="3223">
      <c r="A3223" s="34" t="s">
        <v>204</v>
      </c>
      <c r="B3223" s="7" t="s">
        <v>5775</v>
      </c>
      <c r="C3223" s="91">
        <v>45281.43566891203</v>
      </c>
      <c r="D3223" s="8">
        <f t="shared" si="268"/>
        <v>45285</v>
      </c>
      <c r="E3223" s="9" t="s">
        <v>11</v>
      </c>
      <c r="F3223" s="10"/>
      <c r="G3223" s="9"/>
      <c r="H3223" s="7" t="s">
        <v>437</v>
      </c>
      <c r="I3223" s="9" t="s">
        <v>353</v>
      </c>
      <c r="J3223" s="88"/>
    </row>
    <row r="3224">
      <c r="A3224" s="6" t="s">
        <v>9</v>
      </c>
      <c r="B3224" s="7" t="s">
        <v>5776</v>
      </c>
      <c r="C3224" s="91">
        <v>45125.56579729167</v>
      </c>
      <c r="D3224" s="8">
        <f t="shared" si="268"/>
        <v>45127</v>
      </c>
      <c r="E3224" s="9" t="s">
        <v>11</v>
      </c>
      <c r="F3224" s="9" t="s">
        <v>11</v>
      </c>
      <c r="G3224" s="9" t="s">
        <v>89</v>
      </c>
      <c r="H3224" s="7"/>
      <c r="I3224" s="9" t="s">
        <v>353</v>
      </c>
      <c r="J3224" s="88"/>
    </row>
    <row r="3225">
      <c r="A3225" s="6" t="s">
        <v>9</v>
      </c>
      <c r="B3225" s="7" t="s">
        <v>5777</v>
      </c>
      <c r="C3225" s="91">
        <v>45125.56572012731</v>
      </c>
      <c r="D3225" s="8">
        <f t="shared" si="268"/>
        <v>45127</v>
      </c>
      <c r="E3225" s="9" t="s">
        <v>11</v>
      </c>
      <c r="F3225" s="9" t="s">
        <v>11</v>
      </c>
      <c r="G3225" s="9" t="s">
        <v>89</v>
      </c>
      <c r="H3225" s="7" t="s">
        <v>5778</v>
      </c>
      <c r="I3225" s="9" t="s">
        <v>353</v>
      </c>
      <c r="J3225" s="88"/>
    </row>
    <row r="3226">
      <c r="A3226" s="6" t="s">
        <v>9</v>
      </c>
      <c r="B3226" s="7" t="s">
        <v>5779</v>
      </c>
      <c r="C3226" s="91">
        <v>45033.651757141204</v>
      </c>
      <c r="D3226" s="8">
        <f t="shared" si="268"/>
        <v>45035</v>
      </c>
      <c r="E3226" s="9" t="s">
        <v>88</v>
      </c>
      <c r="F3226" s="9" t="s">
        <v>11</v>
      </c>
      <c r="G3226" s="9" t="s">
        <v>89</v>
      </c>
      <c r="H3226" s="7" t="s">
        <v>5780</v>
      </c>
      <c r="I3226" s="9" t="s">
        <v>353</v>
      </c>
      <c r="J3226" s="88"/>
    </row>
    <row r="3227">
      <c r="A3227" s="6" t="s">
        <v>9</v>
      </c>
      <c r="B3227" s="7" t="s">
        <v>5781</v>
      </c>
      <c r="C3227" s="91">
        <v>45124.686570949074</v>
      </c>
      <c r="D3227" s="8">
        <f t="shared" si="268"/>
        <v>45126</v>
      </c>
      <c r="E3227" s="9" t="s">
        <v>88</v>
      </c>
      <c r="F3227" s="9" t="s">
        <v>11</v>
      </c>
      <c r="G3227" s="9" t="s">
        <v>89</v>
      </c>
      <c r="H3227" s="7" t="s">
        <v>5782</v>
      </c>
      <c r="I3227" s="9" t="s">
        <v>353</v>
      </c>
      <c r="J3227" s="88"/>
    </row>
    <row r="3228">
      <c r="A3228" s="6" t="s">
        <v>9</v>
      </c>
      <c r="B3228" s="7" t="s">
        <v>5783</v>
      </c>
      <c r="C3228" s="91">
        <v>45091.37955898148</v>
      </c>
      <c r="D3228" s="8">
        <f t="shared" si="268"/>
        <v>45093</v>
      </c>
      <c r="E3228" s="9" t="s">
        <v>88</v>
      </c>
      <c r="F3228" s="9" t="s">
        <v>11</v>
      </c>
      <c r="G3228" s="9" t="s">
        <v>89</v>
      </c>
      <c r="H3228" s="7" t="s">
        <v>5784</v>
      </c>
      <c r="I3228" s="9" t="s">
        <v>353</v>
      </c>
      <c r="J3228" s="88"/>
    </row>
    <row r="3229">
      <c r="A3229" s="6" t="s">
        <v>9</v>
      </c>
      <c r="B3229" s="7" t="s">
        <v>5785</v>
      </c>
      <c r="C3229" s="91">
        <v>45083.506832175925</v>
      </c>
      <c r="D3229" s="8">
        <f t="shared" si="268"/>
        <v>45085</v>
      </c>
      <c r="E3229" s="9" t="s">
        <v>11</v>
      </c>
      <c r="F3229" s="9" t="s">
        <v>11</v>
      </c>
      <c r="G3229" s="9" t="s">
        <v>89</v>
      </c>
      <c r="H3229" s="7" t="s">
        <v>5786</v>
      </c>
      <c r="I3229" s="9" t="s">
        <v>353</v>
      </c>
      <c r="J3229" s="88"/>
    </row>
    <row r="3230">
      <c r="A3230" s="20" t="s">
        <v>98</v>
      </c>
      <c r="B3230" s="9" t="s">
        <v>5787</v>
      </c>
      <c r="C3230" s="91">
        <v>45280.35685217593</v>
      </c>
      <c r="D3230" s="8">
        <f t="shared" si="268"/>
        <v>45282</v>
      </c>
      <c r="E3230" s="9" t="s">
        <v>206</v>
      </c>
      <c r="F3230" s="10"/>
      <c r="G3230" s="9" t="s">
        <v>18</v>
      </c>
      <c r="H3230" s="7" t="s">
        <v>5788</v>
      </c>
      <c r="I3230" s="9" t="s">
        <v>353</v>
      </c>
      <c r="J3230" s="88"/>
    </row>
    <row r="3231">
      <c r="A3231" s="34" t="s">
        <v>204</v>
      </c>
      <c r="B3231" s="7" t="s">
        <v>5789</v>
      </c>
      <c r="C3231" s="91">
        <v>45280.493688692135</v>
      </c>
      <c r="D3231" s="8">
        <f t="shared" si="268"/>
        <v>45282</v>
      </c>
      <c r="E3231" s="9" t="s">
        <v>11</v>
      </c>
      <c r="F3231" s="10"/>
      <c r="G3231" s="9" t="s">
        <v>18</v>
      </c>
      <c r="H3231" s="7" t="s">
        <v>437</v>
      </c>
      <c r="I3231" s="9" t="s">
        <v>353</v>
      </c>
      <c r="J3231" s="88"/>
    </row>
    <row r="3232">
      <c r="A3232" s="34" t="s">
        <v>204</v>
      </c>
      <c r="B3232" s="7" t="s">
        <v>5790</v>
      </c>
      <c r="C3232" s="91">
        <v>45280.493518310184</v>
      </c>
      <c r="D3232" s="8">
        <f t="shared" si="268"/>
        <v>45282</v>
      </c>
      <c r="E3232" s="9" t="s">
        <v>11</v>
      </c>
      <c r="F3232" s="10"/>
      <c r="G3232" s="9" t="s">
        <v>18</v>
      </c>
      <c r="H3232" s="7" t="s">
        <v>437</v>
      </c>
      <c r="I3232" s="9" t="s">
        <v>353</v>
      </c>
      <c r="J3232" s="88"/>
    </row>
    <row r="3233">
      <c r="A3233" s="20" t="s">
        <v>98</v>
      </c>
      <c r="B3233" s="9" t="s">
        <v>5791</v>
      </c>
      <c r="C3233" s="91">
        <v>45280.35679997686</v>
      </c>
      <c r="D3233" s="8">
        <f t="shared" si="268"/>
        <v>45282</v>
      </c>
      <c r="E3233" s="9" t="s">
        <v>206</v>
      </c>
      <c r="F3233" s="10"/>
      <c r="G3233" s="9" t="s">
        <v>15</v>
      </c>
      <c r="H3233" s="7" t="s">
        <v>5792</v>
      </c>
      <c r="I3233" s="9" t="s">
        <v>353</v>
      </c>
      <c r="J3233" s="88"/>
    </row>
    <row r="3234">
      <c r="A3234" s="34" t="s">
        <v>204</v>
      </c>
      <c r="B3234" s="7" t="s">
        <v>5793</v>
      </c>
      <c r="C3234" s="91">
        <v>45216.4697385301</v>
      </c>
      <c r="D3234" s="8">
        <f t="shared" si="268"/>
        <v>45218</v>
      </c>
      <c r="E3234" s="9" t="s">
        <v>11</v>
      </c>
      <c r="F3234" s="9" t="s">
        <v>11</v>
      </c>
      <c r="G3234" s="9" t="s">
        <v>15</v>
      </c>
      <c r="H3234" s="174" t="s">
        <v>5794</v>
      </c>
      <c r="I3234" s="9" t="s">
        <v>353</v>
      </c>
      <c r="J3234" s="88"/>
    </row>
    <row r="3235">
      <c r="A3235" s="88"/>
      <c r="B3235" s="89"/>
      <c r="C3235" s="90"/>
      <c r="D3235" s="89"/>
      <c r="E3235" s="89"/>
      <c r="F3235" s="89"/>
      <c r="G3235" s="89"/>
      <c r="H3235" s="87"/>
      <c r="I3235" s="89"/>
      <c r="J3235" s="88"/>
    </row>
    <row r="3236">
      <c r="A3236" s="42" t="s">
        <v>330</v>
      </c>
      <c r="B3236" s="7" t="s">
        <v>5795</v>
      </c>
      <c r="C3236" s="91">
        <v>45279.604588368056</v>
      </c>
      <c r="D3236" s="8">
        <f t="shared" ref="D3236:D3237" si="269">IFERROR(_xlfn.WORKDAY.INTL(C3236, 2),"-")</f>
        <v>45281</v>
      </c>
      <c r="E3236" s="9" t="s">
        <v>11</v>
      </c>
      <c r="F3236" s="10"/>
      <c r="G3236" s="9" t="s">
        <v>15</v>
      </c>
      <c r="H3236" s="7" t="s">
        <v>5796</v>
      </c>
      <c r="I3236" s="9" t="s">
        <v>353</v>
      </c>
      <c r="J3236" s="88"/>
    </row>
    <row r="3237">
      <c r="A3237" s="42" t="s">
        <v>330</v>
      </c>
      <c r="B3237" s="185" t="s">
        <v>5797</v>
      </c>
      <c r="C3237" s="91">
        <v>45232.43365146991</v>
      </c>
      <c r="D3237" s="8">
        <f t="shared" si="269"/>
        <v>45236</v>
      </c>
      <c r="E3237" s="9" t="s">
        <v>11</v>
      </c>
      <c r="F3237" s="9" t="s">
        <v>11</v>
      </c>
      <c r="G3237" s="9" t="s">
        <v>15</v>
      </c>
      <c r="H3237" s="185" t="s">
        <v>5798</v>
      </c>
      <c r="I3237" s="9" t="s">
        <v>353</v>
      </c>
      <c r="J3237" s="88"/>
    </row>
    <row r="3238">
      <c r="A3238" s="42"/>
      <c r="B3238" s="7" t="s">
        <v>5799</v>
      </c>
      <c r="C3238" s="91">
        <v>45254.44100769676</v>
      </c>
      <c r="D3238" s="8"/>
      <c r="E3238" s="9"/>
      <c r="F3238" s="10"/>
      <c r="G3238" s="9" t="s">
        <v>18</v>
      </c>
      <c r="H3238" s="7" t="s">
        <v>5800</v>
      </c>
      <c r="I3238" s="9" t="s">
        <v>353</v>
      </c>
      <c r="J3238" s="88"/>
    </row>
    <row r="3239">
      <c r="A3239" s="42" t="s">
        <v>330</v>
      </c>
      <c r="B3239" s="7" t="s">
        <v>5801</v>
      </c>
      <c r="C3239" s="91">
        <v>45257.74732065972</v>
      </c>
      <c r="D3239" s="8">
        <f t="shared" ref="D3239:D3242" si="270">IFERROR(_xlfn.WORKDAY.INTL(C3239, 2),"-")</f>
        <v>45259</v>
      </c>
      <c r="E3239" s="9" t="s">
        <v>11</v>
      </c>
      <c r="F3239" s="10"/>
      <c r="G3239" s="9" t="s">
        <v>18</v>
      </c>
      <c r="H3239" s="7" t="s">
        <v>5802</v>
      </c>
      <c r="I3239" s="9" t="s">
        <v>353</v>
      </c>
      <c r="J3239" s="88"/>
    </row>
    <row r="3240">
      <c r="A3240" s="42" t="s">
        <v>330</v>
      </c>
      <c r="B3240" s="189" t="s">
        <v>5803</v>
      </c>
      <c r="C3240" s="91">
        <v>45272.38907172454</v>
      </c>
      <c r="D3240" s="8">
        <f t="shared" si="270"/>
        <v>45274</v>
      </c>
      <c r="E3240" s="9" t="s">
        <v>11</v>
      </c>
      <c r="F3240" s="10"/>
      <c r="G3240" s="9" t="s">
        <v>18</v>
      </c>
      <c r="H3240" s="7" t="s">
        <v>5804</v>
      </c>
      <c r="I3240" s="9" t="s">
        <v>353</v>
      </c>
      <c r="J3240" s="88"/>
    </row>
    <row r="3241">
      <c r="A3241" s="42" t="s">
        <v>330</v>
      </c>
      <c r="B3241" s="7" t="s">
        <v>5805</v>
      </c>
      <c r="C3241" s="91">
        <v>45278.65972972222</v>
      </c>
      <c r="D3241" s="8">
        <f t="shared" si="270"/>
        <v>45280</v>
      </c>
      <c r="E3241" s="9" t="s">
        <v>11</v>
      </c>
      <c r="F3241" s="10"/>
      <c r="G3241" s="9" t="s">
        <v>18</v>
      </c>
      <c r="H3241" s="7" t="s">
        <v>5806</v>
      </c>
      <c r="I3241" s="9" t="s">
        <v>353</v>
      </c>
      <c r="J3241" s="88"/>
    </row>
    <row r="3242">
      <c r="A3242" s="20" t="s">
        <v>98</v>
      </c>
      <c r="B3242" s="9" t="s">
        <v>5807</v>
      </c>
      <c r="C3242" s="91">
        <v>45279.4782969213</v>
      </c>
      <c r="D3242" s="8">
        <f t="shared" si="270"/>
        <v>45281</v>
      </c>
      <c r="E3242" s="9" t="s">
        <v>206</v>
      </c>
      <c r="F3242" s="10"/>
      <c r="G3242" s="9" t="s">
        <v>18</v>
      </c>
      <c r="H3242" s="7" t="s">
        <v>5808</v>
      </c>
      <c r="I3242" s="9" t="s">
        <v>353</v>
      </c>
      <c r="J3242" s="88"/>
    </row>
    <row r="3243">
      <c r="A3243" s="20" t="s">
        <v>204</v>
      </c>
      <c r="B3243" s="7" t="s">
        <v>5809</v>
      </c>
      <c r="C3243" s="91">
        <v>45226.405557314814</v>
      </c>
      <c r="D3243" s="8"/>
      <c r="E3243" s="9" t="s">
        <v>88</v>
      </c>
      <c r="F3243" s="9" t="s">
        <v>11</v>
      </c>
      <c r="G3243" s="9" t="s">
        <v>18</v>
      </c>
      <c r="H3243" s="7" t="s">
        <v>5810</v>
      </c>
      <c r="I3243" s="9" t="s">
        <v>353</v>
      </c>
      <c r="J3243" s="88"/>
    </row>
    <row r="3244">
      <c r="A3244" s="42" t="s">
        <v>330</v>
      </c>
      <c r="B3244" s="7" t="s">
        <v>5811</v>
      </c>
      <c r="C3244" s="91">
        <v>45271.7439590625</v>
      </c>
      <c r="D3244" s="8">
        <f t="shared" ref="D3244:D3282" si="271">IFERROR(_xlfn.WORKDAY.INTL(C3244, 2),"-")</f>
        <v>45273</v>
      </c>
      <c r="E3244" s="9" t="s">
        <v>11</v>
      </c>
      <c r="F3244" s="10"/>
      <c r="G3244" s="9" t="s">
        <v>18</v>
      </c>
      <c r="H3244" s="7" t="s">
        <v>5812</v>
      </c>
      <c r="I3244" s="9" t="s">
        <v>353</v>
      </c>
      <c r="J3244" s="88"/>
    </row>
    <row r="3245">
      <c r="A3245" s="42" t="s">
        <v>330</v>
      </c>
      <c r="B3245" s="7" t="s">
        <v>5813</v>
      </c>
      <c r="C3245" s="91">
        <v>45271.51593734954</v>
      </c>
      <c r="D3245" s="8">
        <f t="shared" si="271"/>
        <v>45273</v>
      </c>
      <c r="E3245" s="9" t="s">
        <v>11</v>
      </c>
      <c r="F3245" s="10"/>
      <c r="G3245" s="9" t="s">
        <v>18</v>
      </c>
      <c r="H3245" s="7" t="s">
        <v>5814</v>
      </c>
      <c r="I3245" s="9" t="s">
        <v>353</v>
      </c>
      <c r="J3245" s="88"/>
    </row>
    <row r="3246">
      <c r="A3246" s="20" t="s">
        <v>98</v>
      </c>
      <c r="B3246" s="9" t="s">
        <v>5815</v>
      </c>
      <c r="C3246" s="91">
        <v>45224.670931817134</v>
      </c>
      <c r="D3246" s="8">
        <f t="shared" si="271"/>
        <v>45226</v>
      </c>
      <c r="E3246" s="9" t="s">
        <v>206</v>
      </c>
      <c r="F3246" s="10"/>
      <c r="G3246" s="9" t="s">
        <v>15</v>
      </c>
      <c r="H3246" s="23" t="s">
        <v>5816</v>
      </c>
      <c r="I3246" s="9" t="s">
        <v>353</v>
      </c>
      <c r="J3246" s="88"/>
    </row>
    <row r="3247">
      <c r="A3247" s="20" t="s">
        <v>98</v>
      </c>
      <c r="B3247" s="9" t="s">
        <v>5817</v>
      </c>
      <c r="C3247" s="91">
        <v>45216.588081435184</v>
      </c>
      <c r="D3247" s="8">
        <f t="shared" si="271"/>
        <v>45218</v>
      </c>
      <c r="E3247" s="9" t="s">
        <v>206</v>
      </c>
      <c r="F3247" s="10"/>
      <c r="G3247" s="9" t="s">
        <v>15</v>
      </c>
      <c r="H3247" s="7" t="s">
        <v>5818</v>
      </c>
      <c r="I3247" s="9" t="s">
        <v>353</v>
      </c>
      <c r="J3247" s="88"/>
    </row>
    <row r="3248">
      <c r="A3248" s="20" t="s">
        <v>98</v>
      </c>
      <c r="B3248" s="9" t="s">
        <v>5819</v>
      </c>
      <c r="C3248" s="91">
        <v>45216.499236296295</v>
      </c>
      <c r="D3248" s="8">
        <f t="shared" si="271"/>
        <v>45218</v>
      </c>
      <c r="E3248" s="9" t="s">
        <v>206</v>
      </c>
      <c r="F3248" s="10"/>
      <c r="G3248" s="9" t="s">
        <v>15</v>
      </c>
      <c r="H3248" s="23" t="s">
        <v>5820</v>
      </c>
      <c r="I3248" s="9" t="s">
        <v>353</v>
      </c>
      <c r="J3248" s="88"/>
    </row>
    <row r="3249">
      <c r="A3249" s="6" t="s">
        <v>9</v>
      </c>
      <c r="B3249" s="7" t="s">
        <v>5821</v>
      </c>
      <c r="C3249" s="91">
        <v>45258.69977900463</v>
      </c>
      <c r="D3249" s="8">
        <f t="shared" si="271"/>
        <v>45260</v>
      </c>
      <c r="E3249" s="9" t="s">
        <v>11</v>
      </c>
      <c r="F3249" s="10"/>
      <c r="G3249" s="9" t="s">
        <v>15</v>
      </c>
      <c r="H3249" s="7" t="s">
        <v>5822</v>
      </c>
      <c r="I3249" s="9" t="s">
        <v>353</v>
      </c>
      <c r="J3249" s="88"/>
    </row>
    <row r="3250">
      <c r="A3250" s="34" t="s">
        <v>204</v>
      </c>
      <c r="B3250" s="7" t="s">
        <v>5823</v>
      </c>
      <c r="C3250" s="91">
        <v>45275.3943027662</v>
      </c>
      <c r="D3250" s="8">
        <f t="shared" si="271"/>
        <v>45279</v>
      </c>
      <c r="E3250" s="9" t="s">
        <v>11</v>
      </c>
      <c r="F3250" s="10"/>
      <c r="G3250" s="9" t="s">
        <v>18</v>
      </c>
      <c r="H3250" s="7" t="s">
        <v>437</v>
      </c>
      <c r="I3250" s="9" t="s">
        <v>353</v>
      </c>
      <c r="J3250" s="88"/>
    </row>
    <row r="3251">
      <c r="A3251" s="42" t="s">
        <v>330</v>
      </c>
      <c r="B3251" s="185" t="s">
        <v>5824</v>
      </c>
      <c r="C3251" s="91">
        <v>45265.64369704861</v>
      </c>
      <c r="D3251" s="8">
        <f t="shared" si="271"/>
        <v>45267</v>
      </c>
      <c r="E3251" s="9" t="s">
        <v>11</v>
      </c>
      <c r="F3251" s="10"/>
      <c r="G3251" s="9" t="s">
        <v>220</v>
      </c>
      <c r="H3251" s="7" t="s">
        <v>5825</v>
      </c>
      <c r="I3251" s="9" t="s">
        <v>353</v>
      </c>
      <c r="J3251" s="88"/>
    </row>
    <row r="3252">
      <c r="A3252" s="34" t="s">
        <v>204</v>
      </c>
      <c r="B3252" s="7" t="s">
        <v>5826</v>
      </c>
      <c r="C3252" s="91">
        <v>45274.668508946765</v>
      </c>
      <c r="D3252" s="8">
        <f t="shared" si="271"/>
        <v>45278</v>
      </c>
      <c r="E3252" s="9" t="s">
        <v>11</v>
      </c>
      <c r="F3252" s="10"/>
      <c r="G3252" s="9"/>
      <c r="H3252" s="7" t="s">
        <v>437</v>
      </c>
      <c r="I3252" s="9" t="s">
        <v>353</v>
      </c>
      <c r="J3252" s="88"/>
    </row>
    <row r="3253">
      <c r="A3253" s="34" t="s">
        <v>204</v>
      </c>
      <c r="B3253" s="7" t="s">
        <v>5827</v>
      </c>
      <c r="C3253" s="91">
        <v>45268.46498837963</v>
      </c>
      <c r="D3253" s="8">
        <f t="shared" si="271"/>
        <v>45272</v>
      </c>
      <c r="E3253" s="9" t="s">
        <v>11</v>
      </c>
      <c r="F3253" s="10"/>
      <c r="G3253" s="9" t="s">
        <v>15</v>
      </c>
      <c r="H3253" s="7" t="s">
        <v>5828</v>
      </c>
      <c r="I3253" s="9" t="s">
        <v>353</v>
      </c>
      <c r="J3253" s="88"/>
    </row>
    <row r="3254">
      <c r="A3254" s="20" t="s">
        <v>98</v>
      </c>
      <c r="B3254" s="9" t="s">
        <v>5829</v>
      </c>
      <c r="C3254" s="91">
        <v>45259.39359752314</v>
      </c>
      <c r="D3254" s="8">
        <f t="shared" si="271"/>
        <v>45261</v>
      </c>
      <c r="E3254" s="9" t="s">
        <v>88</v>
      </c>
      <c r="F3254" s="10"/>
      <c r="G3254" s="9" t="s">
        <v>18</v>
      </c>
      <c r="H3254" s="7" t="s">
        <v>5830</v>
      </c>
      <c r="I3254" s="9" t="s">
        <v>353</v>
      </c>
      <c r="J3254" s="88"/>
    </row>
    <row r="3255">
      <c r="A3255" s="20" t="s">
        <v>98</v>
      </c>
      <c r="B3255" s="9" t="s">
        <v>5831</v>
      </c>
      <c r="C3255" s="91">
        <v>45266.42784709491</v>
      </c>
      <c r="D3255" s="8">
        <f t="shared" si="271"/>
        <v>45268</v>
      </c>
      <c r="E3255" s="9" t="s">
        <v>206</v>
      </c>
      <c r="F3255" s="10"/>
      <c r="G3255" s="9" t="s">
        <v>18</v>
      </c>
      <c r="H3255" s="23" t="s">
        <v>5832</v>
      </c>
      <c r="I3255" s="9" t="s">
        <v>353</v>
      </c>
      <c r="J3255" s="88"/>
    </row>
    <row r="3256">
      <c r="A3256" s="42" t="s">
        <v>330</v>
      </c>
      <c r="B3256" s="7" t="s">
        <v>5833</v>
      </c>
      <c r="C3256" s="91" t="s">
        <v>11</v>
      </c>
      <c r="D3256" s="8" t="str">
        <f t="shared" si="271"/>
        <v>-</v>
      </c>
      <c r="E3256" s="9" t="s">
        <v>11</v>
      </c>
      <c r="F3256" s="10"/>
      <c r="G3256" s="9" t="s">
        <v>15</v>
      </c>
      <c r="H3256" s="7" t="s">
        <v>5834</v>
      </c>
      <c r="I3256" s="9" t="s">
        <v>353</v>
      </c>
      <c r="J3256" s="88"/>
    </row>
    <row r="3257">
      <c r="A3257" s="34" t="s">
        <v>204</v>
      </c>
      <c r="B3257" s="7" t="s">
        <v>5835</v>
      </c>
      <c r="C3257" s="91">
        <v>45267.74796622685</v>
      </c>
      <c r="D3257" s="8">
        <f t="shared" si="271"/>
        <v>45271</v>
      </c>
      <c r="E3257" s="9" t="s">
        <v>11</v>
      </c>
      <c r="F3257" s="190">
        <v>45272.0</v>
      </c>
      <c r="G3257" s="9" t="s">
        <v>18</v>
      </c>
      <c r="H3257" s="7" t="s">
        <v>437</v>
      </c>
      <c r="I3257" s="9" t="s">
        <v>353</v>
      </c>
      <c r="J3257" s="88"/>
    </row>
    <row r="3258">
      <c r="A3258" s="42" t="s">
        <v>330</v>
      </c>
      <c r="B3258" s="7" t="s">
        <v>5836</v>
      </c>
      <c r="C3258" s="91">
        <v>45271.47445592593</v>
      </c>
      <c r="D3258" s="8">
        <f t="shared" si="271"/>
        <v>45273</v>
      </c>
      <c r="E3258" s="9" t="s">
        <v>11</v>
      </c>
      <c r="F3258" s="10"/>
      <c r="G3258" s="9" t="s">
        <v>15</v>
      </c>
      <c r="H3258" s="7" t="s">
        <v>5837</v>
      </c>
      <c r="I3258" s="9" t="s">
        <v>353</v>
      </c>
      <c r="J3258" s="88"/>
    </row>
    <row r="3259">
      <c r="A3259" s="20" t="s">
        <v>98</v>
      </c>
      <c r="B3259" s="9" t="s">
        <v>5838</v>
      </c>
      <c r="C3259" s="91">
        <v>45273.48479028935</v>
      </c>
      <c r="D3259" s="8">
        <f t="shared" si="271"/>
        <v>45275</v>
      </c>
      <c r="E3259" s="9" t="s">
        <v>88</v>
      </c>
      <c r="F3259" s="10"/>
      <c r="G3259" s="9" t="s">
        <v>18</v>
      </c>
      <c r="H3259" s="11"/>
      <c r="I3259" s="9" t="s">
        <v>353</v>
      </c>
      <c r="J3259" s="88"/>
    </row>
    <row r="3260">
      <c r="A3260" s="34" t="s">
        <v>204</v>
      </c>
      <c r="B3260" s="7" t="s">
        <v>5839</v>
      </c>
      <c r="C3260" s="91">
        <v>45273.45264877315</v>
      </c>
      <c r="D3260" s="8">
        <f t="shared" si="271"/>
        <v>45275</v>
      </c>
      <c r="E3260" s="9" t="s">
        <v>11</v>
      </c>
      <c r="F3260" s="10"/>
      <c r="G3260" s="9"/>
      <c r="H3260" s="7" t="s">
        <v>437</v>
      </c>
      <c r="I3260" s="9" t="s">
        <v>353</v>
      </c>
      <c r="J3260" s="88"/>
    </row>
    <row r="3261">
      <c r="A3261" s="20" t="s">
        <v>98</v>
      </c>
      <c r="B3261" s="9" t="s">
        <v>5840</v>
      </c>
      <c r="C3261" s="91">
        <v>45266.41289096065</v>
      </c>
      <c r="D3261" s="8">
        <f t="shared" si="271"/>
        <v>45268</v>
      </c>
      <c r="E3261" s="9" t="s">
        <v>206</v>
      </c>
      <c r="F3261" s="10"/>
      <c r="G3261" s="9" t="s">
        <v>18</v>
      </c>
      <c r="H3261" s="7" t="s">
        <v>5841</v>
      </c>
      <c r="I3261" s="9" t="s">
        <v>353</v>
      </c>
      <c r="J3261" s="88"/>
    </row>
    <row r="3262">
      <c r="A3262" s="34" t="s">
        <v>204</v>
      </c>
      <c r="B3262" s="7" t="s">
        <v>5842</v>
      </c>
      <c r="C3262" s="91">
        <v>45253.67886021991</v>
      </c>
      <c r="D3262" s="8">
        <f t="shared" si="271"/>
        <v>45257</v>
      </c>
      <c r="E3262" s="9" t="s">
        <v>11</v>
      </c>
      <c r="F3262" s="111" t="s">
        <v>11</v>
      </c>
      <c r="G3262" s="9" t="s">
        <v>15</v>
      </c>
      <c r="H3262" s="7" t="s">
        <v>5843</v>
      </c>
      <c r="I3262" s="9" t="s">
        <v>353</v>
      </c>
      <c r="J3262" s="88"/>
    </row>
    <row r="3263">
      <c r="A3263" s="20" t="s">
        <v>98</v>
      </c>
      <c r="B3263" s="9" t="s">
        <v>5844</v>
      </c>
      <c r="C3263" s="91">
        <v>45225.79116084491</v>
      </c>
      <c r="D3263" s="8">
        <f t="shared" si="271"/>
        <v>45229</v>
      </c>
      <c r="E3263" s="9" t="s">
        <v>88</v>
      </c>
      <c r="F3263" s="10"/>
      <c r="G3263" s="9" t="s">
        <v>18</v>
      </c>
      <c r="H3263" s="7" t="s">
        <v>5845</v>
      </c>
      <c r="I3263" s="9" t="s">
        <v>353</v>
      </c>
      <c r="J3263" s="88"/>
    </row>
    <row r="3264">
      <c r="A3264" s="6" t="s">
        <v>9</v>
      </c>
      <c r="B3264" s="7" t="s">
        <v>5846</v>
      </c>
      <c r="C3264" s="91">
        <v>45251.403281377316</v>
      </c>
      <c r="D3264" s="8">
        <f t="shared" si="271"/>
        <v>45253</v>
      </c>
      <c r="E3264" s="9" t="s">
        <v>11</v>
      </c>
      <c r="F3264" s="10"/>
      <c r="G3264" s="9" t="s">
        <v>15</v>
      </c>
      <c r="H3264" s="7" t="s">
        <v>5847</v>
      </c>
      <c r="I3264" s="9" t="s">
        <v>353</v>
      </c>
      <c r="J3264" s="88"/>
    </row>
    <row r="3265">
      <c r="A3265" s="6" t="s">
        <v>9</v>
      </c>
      <c r="B3265" s="7" t="s">
        <v>5848</v>
      </c>
      <c r="C3265" s="91">
        <v>45258.649543541665</v>
      </c>
      <c r="D3265" s="8">
        <f t="shared" si="271"/>
        <v>45260</v>
      </c>
      <c r="E3265" s="9" t="s">
        <v>11</v>
      </c>
      <c r="F3265" s="10"/>
      <c r="G3265" s="9" t="s">
        <v>15</v>
      </c>
      <c r="H3265" s="7" t="s">
        <v>5849</v>
      </c>
      <c r="I3265" s="9" t="s">
        <v>353</v>
      </c>
      <c r="J3265" s="88"/>
    </row>
    <row r="3266">
      <c r="A3266" s="6" t="s">
        <v>9</v>
      </c>
      <c r="B3266" s="7" t="s">
        <v>5850</v>
      </c>
      <c r="C3266" s="91">
        <v>45268.359864074075</v>
      </c>
      <c r="D3266" s="8">
        <f t="shared" si="271"/>
        <v>45272</v>
      </c>
      <c r="E3266" s="9" t="s">
        <v>11</v>
      </c>
      <c r="F3266" s="10"/>
      <c r="G3266" s="9" t="s">
        <v>15</v>
      </c>
      <c r="H3266" s="7" t="s">
        <v>5851</v>
      </c>
      <c r="I3266" s="9" t="s">
        <v>353</v>
      </c>
      <c r="J3266" s="88"/>
    </row>
    <row r="3267">
      <c r="A3267" s="42" t="s">
        <v>330</v>
      </c>
      <c r="B3267" s="187" t="s">
        <v>4903</v>
      </c>
      <c r="C3267" s="91">
        <v>45267.38913628472</v>
      </c>
      <c r="D3267" s="8">
        <f t="shared" si="271"/>
        <v>45271</v>
      </c>
      <c r="E3267" s="9" t="s">
        <v>11</v>
      </c>
      <c r="F3267" s="10"/>
      <c r="G3267" s="9" t="s">
        <v>18</v>
      </c>
      <c r="H3267" s="7" t="s">
        <v>437</v>
      </c>
      <c r="I3267" s="9" t="s">
        <v>353</v>
      </c>
      <c r="J3267" s="88"/>
    </row>
    <row r="3268">
      <c r="A3268" s="6" t="s">
        <v>9</v>
      </c>
      <c r="B3268" s="7" t="s">
        <v>5852</v>
      </c>
      <c r="C3268" s="91">
        <v>45271.49713950232</v>
      </c>
      <c r="D3268" s="8">
        <f t="shared" si="271"/>
        <v>45273</v>
      </c>
      <c r="E3268" s="9" t="s">
        <v>11</v>
      </c>
      <c r="F3268" s="10"/>
      <c r="G3268" s="9" t="s">
        <v>15</v>
      </c>
      <c r="H3268" s="7" t="s">
        <v>5853</v>
      </c>
      <c r="I3268" s="9" t="s">
        <v>353</v>
      </c>
      <c r="J3268" s="88"/>
    </row>
    <row r="3269">
      <c r="A3269" s="42" t="s">
        <v>330</v>
      </c>
      <c r="B3269" s="7" t="s">
        <v>5854</v>
      </c>
      <c r="C3269" s="91">
        <v>45265.36236047454</v>
      </c>
      <c r="D3269" s="8">
        <f t="shared" si="271"/>
        <v>45267</v>
      </c>
      <c r="E3269" s="9" t="s">
        <v>11</v>
      </c>
      <c r="F3269" s="10"/>
      <c r="G3269" s="9" t="s">
        <v>15</v>
      </c>
      <c r="H3269" s="7" t="s">
        <v>5855</v>
      </c>
      <c r="I3269" s="9" t="s">
        <v>353</v>
      </c>
      <c r="J3269" s="88"/>
    </row>
    <row r="3270">
      <c r="A3270" s="6" t="s">
        <v>9</v>
      </c>
      <c r="B3270" s="7" t="s">
        <v>5856</v>
      </c>
      <c r="C3270" s="91">
        <v>45268.36363733796</v>
      </c>
      <c r="D3270" s="8">
        <f t="shared" si="271"/>
        <v>45272</v>
      </c>
      <c r="E3270" s="9" t="s">
        <v>11</v>
      </c>
      <c r="F3270" s="10"/>
      <c r="G3270" s="9" t="s">
        <v>15</v>
      </c>
      <c r="H3270" s="7" t="s">
        <v>5857</v>
      </c>
      <c r="I3270" s="9" t="s">
        <v>353</v>
      </c>
      <c r="J3270" s="88"/>
    </row>
    <row r="3271">
      <c r="A3271" s="6" t="s">
        <v>9</v>
      </c>
      <c r="B3271" s="7" t="s">
        <v>5858</v>
      </c>
      <c r="C3271" s="91">
        <v>45271.49689238426</v>
      </c>
      <c r="D3271" s="8">
        <f t="shared" si="271"/>
        <v>45273</v>
      </c>
      <c r="E3271" s="9" t="s">
        <v>11</v>
      </c>
      <c r="F3271" s="10"/>
      <c r="G3271" s="9" t="s">
        <v>15</v>
      </c>
      <c r="H3271" s="7" t="s">
        <v>5853</v>
      </c>
      <c r="I3271" s="9" t="s">
        <v>353</v>
      </c>
      <c r="J3271" s="88"/>
    </row>
    <row r="3272">
      <c r="A3272" s="42" t="s">
        <v>330</v>
      </c>
      <c r="B3272" s="191" t="s">
        <v>5211</v>
      </c>
      <c r="C3272" s="91">
        <v>45254.472979328704</v>
      </c>
      <c r="D3272" s="8">
        <f t="shared" si="271"/>
        <v>45258</v>
      </c>
      <c r="E3272" s="9" t="s">
        <v>11</v>
      </c>
      <c r="F3272" s="8"/>
      <c r="G3272" s="9" t="s">
        <v>15</v>
      </c>
      <c r="H3272" s="7" t="s">
        <v>5859</v>
      </c>
      <c r="I3272" s="9" t="s">
        <v>13</v>
      </c>
      <c r="J3272" s="88"/>
    </row>
    <row r="3273">
      <c r="A3273" s="42" t="s">
        <v>330</v>
      </c>
      <c r="B3273" s="185" t="s">
        <v>5860</v>
      </c>
      <c r="C3273" s="91">
        <v>45229.37111461806</v>
      </c>
      <c r="D3273" s="8">
        <f t="shared" si="271"/>
        <v>45231</v>
      </c>
      <c r="E3273" s="9" t="s">
        <v>11</v>
      </c>
      <c r="F3273" s="9" t="s">
        <v>11</v>
      </c>
      <c r="G3273" s="9" t="s">
        <v>15</v>
      </c>
      <c r="H3273" s="185" t="s">
        <v>5861</v>
      </c>
      <c r="I3273" s="9" t="s">
        <v>353</v>
      </c>
      <c r="J3273" s="88"/>
    </row>
    <row r="3274">
      <c r="A3274" s="6" t="s">
        <v>9</v>
      </c>
      <c r="B3274" s="7" t="s">
        <v>5862</v>
      </c>
      <c r="C3274" s="91">
        <v>45271.70044833333</v>
      </c>
      <c r="D3274" s="8">
        <f t="shared" si="271"/>
        <v>45273</v>
      </c>
      <c r="E3274" s="9" t="s">
        <v>11</v>
      </c>
      <c r="F3274" s="10"/>
      <c r="G3274" s="9" t="s">
        <v>15</v>
      </c>
      <c r="H3274" s="7" t="s">
        <v>5853</v>
      </c>
      <c r="I3274" s="9" t="s">
        <v>353</v>
      </c>
      <c r="J3274" s="88"/>
    </row>
    <row r="3275">
      <c r="A3275" s="6" t="s">
        <v>9</v>
      </c>
      <c r="B3275" s="7" t="s">
        <v>5863</v>
      </c>
      <c r="C3275" s="91">
        <v>45268.36360329861</v>
      </c>
      <c r="D3275" s="8">
        <f t="shared" si="271"/>
        <v>45272</v>
      </c>
      <c r="E3275" s="9" t="s">
        <v>11</v>
      </c>
      <c r="F3275" s="10"/>
      <c r="G3275" s="9" t="s">
        <v>15</v>
      </c>
      <c r="H3275" s="7" t="s">
        <v>5864</v>
      </c>
      <c r="I3275" s="9" t="s">
        <v>353</v>
      </c>
      <c r="J3275" s="88"/>
    </row>
    <row r="3276">
      <c r="A3276" s="6" t="s">
        <v>9</v>
      </c>
      <c r="B3276" s="7" t="s">
        <v>5865</v>
      </c>
      <c r="C3276" s="91">
        <v>45271.693359780096</v>
      </c>
      <c r="D3276" s="8">
        <f t="shared" si="271"/>
        <v>45273</v>
      </c>
      <c r="E3276" s="9" t="s">
        <v>11</v>
      </c>
      <c r="F3276" s="10"/>
      <c r="G3276" s="9" t="s">
        <v>15</v>
      </c>
      <c r="H3276" s="7" t="s">
        <v>5866</v>
      </c>
      <c r="I3276" s="9" t="s">
        <v>353</v>
      </c>
      <c r="J3276" s="88"/>
    </row>
    <row r="3277">
      <c r="A3277" s="20" t="s">
        <v>98</v>
      </c>
      <c r="B3277" s="9" t="s">
        <v>5867</v>
      </c>
      <c r="C3277" s="91">
        <v>45243.63061104166</v>
      </c>
      <c r="D3277" s="8">
        <f t="shared" si="271"/>
        <v>45245</v>
      </c>
      <c r="E3277" s="9" t="s">
        <v>88</v>
      </c>
      <c r="F3277" s="10"/>
      <c r="G3277" s="9" t="s">
        <v>18</v>
      </c>
      <c r="H3277" s="23" t="s">
        <v>5868</v>
      </c>
      <c r="I3277" s="9" t="s">
        <v>353</v>
      </c>
      <c r="J3277" s="88"/>
    </row>
    <row r="3278">
      <c r="A3278" s="20" t="s">
        <v>98</v>
      </c>
      <c r="B3278" s="9" t="s">
        <v>5869</v>
      </c>
      <c r="C3278" s="91">
        <v>45267.58063892361</v>
      </c>
      <c r="D3278" s="8">
        <f t="shared" si="271"/>
        <v>45271</v>
      </c>
      <c r="E3278" s="9" t="s">
        <v>88</v>
      </c>
      <c r="F3278" s="10"/>
      <c r="G3278" s="9" t="s">
        <v>18</v>
      </c>
      <c r="H3278" s="11"/>
      <c r="I3278" s="9" t="s">
        <v>353</v>
      </c>
      <c r="J3278" s="88"/>
    </row>
    <row r="3279">
      <c r="A3279" s="20" t="s">
        <v>98</v>
      </c>
      <c r="B3279" s="9" t="s">
        <v>5870</v>
      </c>
      <c r="C3279" s="91">
        <v>45265.39497010417</v>
      </c>
      <c r="D3279" s="8">
        <f t="shared" si="271"/>
        <v>45267</v>
      </c>
      <c r="E3279" s="9" t="s">
        <v>88</v>
      </c>
      <c r="F3279" s="10"/>
      <c r="G3279" s="9" t="s">
        <v>18</v>
      </c>
      <c r="H3279" s="7" t="s">
        <v>5871</v>
      </c>
      <c r="I3279" s="9" t="s">
        <v>353</v>
      </c>
      <c r="J3279" s="88"/>
    </row>
    <row r="3280">
      <c r="A3280" s="42" t="s">
        <v>330</v>
      </c>
      <c r="B3280" s="7" t="s">
        <v>5872</v>
      </c>
      <c r="C3280" s="91">
        <v>45267.38887642361</v>
      </c>
      <c r="D3280" s="8">
        <f t="shared" si="271"/>
        <v>45271</v>
      </c>
      <c r="E3280" s="9" t="s">
        <v>11</v>
      </c>
      <c r="F3280" s="10"/>
      <c r="G3280" s="9" t="s">
        <v>15</v>
      </c>
      <c r="H3280" s="7" t="s">
        <v>5873</v>
      </c>
      <c r="I3280" s="9" t="s">
        <v>353</v>
      </c>
      <c r="J3280" s="88"/>
    </row>
    <row r="3281">
      <c r="A3281" s="42" t="s">
        <v>330</v>
      </c>
      <c r="B3281" s="7" t="s">
        <v>5874</v>
      </c>
      <c r="C3281" s="91">
        <v>45265.484748020834</v>
      </c>
      <c r="D3281" s="8">
        <f t="shared" si="271"/>
        <v>45267</v>
      </c>
      <c r="E3281" s="9" t="s">
        <v>11</v>
      </c>
      <c r="F3281" s="10"/>
      <c r="G3281" s="9" t="s">
        <v>15</v>
      </c>
      <c r="H3281" s="7" t="s">
        <v>5875</v>
      </c>
      <c r="I3281" s="9" t="s">
        <v>353</v>
      </c>
      <c r="J3281" s="88"/>
    </row>
    <row r="3282">
      <c r="A3282" s="34" t="s">
        <v>204</v>
      </c>
      <c r="B3282" s="7" t="s">
        <v>5719</v>
      </c>
      <c r="C3282" s="91">
        <v>45271.41488039352</v>
      </c>
      <c r="D3282" s="8">
        <f t="shared" si="271"/>
        <v>45273</v>
      </c>
      <c r="E3282" s="9" t="s">
        <v>11</v>
      </c>
      <c r="F3282" s="10"/>
      <c r="G3282" s="9" t="s">
        <v>18</v>
      </c>
      <c r="H3282" s="7" t="s">
        <v>5876</v>
      </c>
      <c r="I3282" s="9" t="s">
        <v>353</v>
      </c>
      <c r="J3282" s="88"/>
    </row>
    <row r="3283">
      <c r="A3283" s="42"/>
      <c r="B3283" s="7" t="s">
        <v>5877</v>
      </c>
      <c r="C3283" s="91">
        <v>45252.57945527778</v>
      </c>
      <c r="D3283" s="8"/>
      <c r="E3283" s="9"/>
      <c r="F3283" s="10"/>
      <c r="G3283" s="9" t="s">
        <v>220</v>
      </c>
      <c r="H3283" s="7" t="s">
        <v>5878</v>
      </c>
      <c r="I3283" s="9" t="s">
        <v>353</v>
      </c>
      <c r="J3283" s="88"/>
    </row>
    <row r="3284">
      <c r="A3284" s="34" t="s">
        <v>204</v>
      </c>
      <c r="B3284" s="7" t="s">
        <v>5879</v>
      </c>
      <c r="C3284" s="91">
        <v>45267.74900679398</v>
      </c>
      <c r="D3284" s="8">
        <f t="shared" ref="D3284:D3292" si="272">IFERROR(_xlfn.WORKDAY.INTL(C3284, 2),"-")</f>
        <v>45271</v>
      </c>
      <c r="E3284" s="9" t="s">
        <v>11</v>
      </c>
      <c r="F3284" s="10"/>
      <c r="G3284" s="9" t="s">
        <v>18</v>
      </c>
      <c r="H3284" s="7" t="s">
        <v>437</v>
      </c>
      <c r="I3284" s="9" t="s">
        <v>353</v>
      </c>
      <c r="J3284" s="88"/>
    </row>
    <row r="3285">
      <c r="A3285" s="42" t="s">
        <v>330</v>
      </c>
      <c r="B3285" s="187" t="s">
        <v>5880</v>
      </c>
      <c r="C3285" s="91">
        <v>45264.449945844906</v>
      </c>
      <c r="D3285" s="8">
        <f t="shared" si="272"/>
        <v>45266</v>
      </c>
      <c r="E3285" s="9" t="s">
        <v>11</v>
      </c>
      <c r="F3285" s="10"/>
      <c r="G3285" s="9" t="s">
        <v>18</v>
      </c>
      <c r="H3285" s="7" t="s">
        <v>5881</v>
      </c>
      <c r="I3285" s="9" t="s">
        <v>353</v>
      </c>
      <c r="J3285" s="88"/>
    </row>
    <row r="3286">
      <c r="A3286" s="20" t="s">
        <v>98</v>
      </c>
      <c r="B3286" s="9" t="s">
        <v>5882</v>
      </c>
      <c r="C3286" s="91">
        <v>45224.36860165509</v>
      </c>
      <c r="D3286" s="8">
        <f t="shared" si="272"/>
        <v>45226</v>
      </c>
      <c r="E3286" s="9" t="s">
        <v>88</v>
      </c>
      <c r="F3286" s="10"/>
      <c r="G3286" s="9" t="s">
        <v>15</v>
      </c>
      <c r="H3286" s="23" t="s">
        <v>5883</v>
      </c>
      <c r="I3286" s="9" t="s">
        <v>353</v>
      </c>
      <c r="J3286" s="88"/>
    </row>
    <row r="3287">
      <c r="A3287" s="34" t="s">
        <v>204</v>
      </c>
      <c r="B3287" s="7" t="s">
        <v>5884</v>
      </c>
      <c r="C3287" s="91">
        <v>45267.70567969907</v>
      </c>
      <c r="D3287" s="8">
        <f t="shared" si="272"/>
        <v>45271</v>
      </c>
      <c r="E3287" s="9" t="s">
        <v>11</v>
      </c>
      <c r="F3287" s="10"/>
      <c r="G3287" s="9"/>
      <c r="H3287" s="7" t="s">
        <v>437</v>
      </c>
      <c r="I3287" s="9" t="s">
        <v>353</v>
      </c>
      <c r="J3287" s="88"/>
    </row>
    <row r="3288">
      <c r="A3288" s="34" t="s">
        <v>204</v>
      </c>
      <c r="B3288" s="7" t="s">
        <v>5885</v>
      </c>
      <c r="C3288" s="91">
        <v>45267.704029444445</v>
      </c>
      <c r="D3288" s="8">
        <f t="shared" si="272"/>
        <v>45271</v>
      </c>
      <c r="E3288" s="9" t="s">
        <v>11</v>
      </c>
      <c r="F3288" s="10"/>
      <c r="G3288" s="9"/>
      <c r="H3288" s="7" t="s">
        <v>437</v>
      </c>
      <c r="I3288" s="9" t="s">
        <v>353</v>
      </c>
      <c r="J3288" s="88"/>
    </row>
    <row r="3289">
      <c r="A3289" s="20" t="s">
        <v>98</v>
      </c>
      <c r="B3289" s="9" t="s">
        <v>5886</v>
      </c>
      <c r="C3289" s="91">
        <v>45266.384419849535</v>
      </c>
      <c r="D3289" s="8">
        <f t="shared" si="272"/>
        <v>45268</v>
      </c>
      <c r="E3289" s="9" t="s">
        <v>88</v>
      </c>
      <c r="F3289" s="10"/>
      <c r="G3289" s="9" t="s">
        <v>18</v>
      </c>
      <c r="H3289" s="7" t="s">
        <v>5887</v>
      </c>
      <c r="I3289" s="9" t="s">
        <v>353</v>
      </c>
      <c r="J3289" s="88"/>
    </row>
    <row r="3290">
      <c r="A3290" s="42" t="s">
        <v>330</v>
      </c>
      <c r="B3290" s="7" t="s">
        <v>5888</v>
      </c>
      <c r="C3290" s="91">
        <v>45251.483308229166</v>
      </c>
      <c r="D3290" s="8">
        <f t="shared" si="272"/>
        <v>45253</v>
      </c>
      <c r="E3290" s="9" t="s">
        <v>11</v>
      </c>
      <c r="F3290" s="10"/>
      <c r="G3290" s="9" t="s">
        <v>15</v>
      </c>
      <c r="H3290" s="7" t="s">
        <v>5889</v>
      </c>
      <c r="I3290" s="9" t="s">
        <v>353</v>
      </c>
      <c r="J3290" s="88"/>
    </row>
    <row r="3291">
      <c r="A3291" s="20" t="s">
        <v>98</v>
      </c>
      <c r="B3291" s="9" t="s">
        <v>4735</v>
      </c>
      <c r="C3291" s="91">
        <v>45245.36631766203</v>
      </c>
      <c r="D3291" s="8">
        <f t="shared" si="272"/>
        <v>45247</v>
      </c>
      <c r="E3291" s="9" t="s">
        <v>206</v>
      </c>
      <c r="F3291" s="10"/>
      <c r="G3291" s="9" t="s">
        <v>18</v>
      </c>
      <c r="H3291" s="7" t="s">
        <v>5890</v>
      </c>
      <c r="I3291" s="9" t="s">
        <v>353</v>
      </c>
      <c r="J3291" s="88"/>
    </row>
    <row r="3292">
      <c r="A3292" s="6" t="s">
        <v>9</v>
      </c>
      <c r="B3292" s="7" t="s">
        <v>3525</v>
      </c>
      <c r="C3292" s="91">
        <v>45267.42489821759</v>
      </c>
      <c r="D3292" s="8">
        <f t="shared" si="272"/>
        <v>45271</v>
      </c>
      <c r="E3292" s="9" t="s">
        <v>11</v>
      </c>
      <c r="F3292" s="10"/>
      <c r="G3292" s="9" t="s">
        <v>15</v>
      </c>
      <c r="H3292" s="7" t="s">
        <v>5891</v>
      </c>
      <c r="I3292" s="9" t="s">
        <v>353</v>
      </c>
      <c r="J3292" s="88"/>
    </row>
    <row r="3293">
      <c r="A3293" s="34"/>
      <c r="B3293" s="7" t="s">
        <v>5892</v>
      </c>
      <c r="C3293" s="91">
        <v>45266.706316550924</v>
      </c>
      <c r="D3293" s="8"/>
      <c r="E3293" s="9"/>
      <c r="F3293" s="71">
        <v>45267.0</v>
      </c>
      <c r="G3293" s="9" t="s">
        <v>18</v>
      </c>
      <c r="H3293" s="7" t="s">
        <v>5095</v>
      </c>
      <c r="I3293" s="9" t="s">
        <v>353</v>
      </c>
      <c r="J3293" s="88"/>
    </row>
    <row r="3294">
      <c r="A3294" s="20" t="s">
        <v>98</v>
      </c>
      <c r="B3294" s="9" t="s">
        <v>5893</v>
      </c>
      <c r="C3294" s="91">
        <v>45229.73377537037</v>
      </c>
      <c r="D3294" s="8">
        <f>IFERROR(_xlfn.WORKDAY.INTL(C3294, 2),"-")</f>
        <v>45231</v>
      </c>
      <c r="E3294" s="9" t="s">
        <v>206</v>
      </c>
      <c r="F3294" s="10"/>
      <c r="G3294" s="9" t="s">
        <v>15</v>
      </c>
      <c r="H3294" s="23" t="s">
        <v>5894</v>
      </c>
      <c r="I3294" s="9" t="s">
        <v>353</v>
      </c>
      <c r="J3294" s="88"/>
    </row>
    <row r="3295">
      <c r="A3295" s="20" t="s">
        <v>98</v>
      </c>
      <c r="B3295" s="9" t="s">
        <v>5895</v>
      </c>
      <c r="C3295" s="91">
        <v>45264.39059052084</v>
      </c>
      <c r="D3295" s="8"/>
      <c r="E3295" s="9"/>
      <c r="F3295" s="10"/>
      <c r="G3295" s="9" t="s">
        <v>15</v>
      </c>
      <c r="H3295" s="7" t="s">
        <v>5896</v>
      </c>
      <c r="I3295" s="9" t="s">
        <v>353</v>
      </c>
      <c r="J3295" s="88"/>
    </row>
    <row r="3296">
      <c r="A3296" s="20" t="s">
        <v>98</v>
      </c>
      <c r="B3296" s="9" t="s">
        <v>5897</v>
      </c>
      <c r="C3296" s="91">
        <v>45244.59429079861</v>
      </c>
      <c r="D3296" s="8">
        <f t="shared" ref="D3296:D3308" si="273">IFERROR(_xlfn.WORKDAY.INTL(C3296, 2),"-")</f>
        <v>45246</v>
      </c>
      <c r="E3296" s="9" t="s">
        <v>206</v>
      </c>
      <c r="F3296" s="10"/>
      <c r="G3296" s="9" t="s">
        <v>18</v>
      </c>
      <c r="H3296" s="23" t="s">
        <v>5898</v>
      </c>
      <c r="I3296" s="9" t="s">
        <v>353</v>
      </c>
      <c r="J3296" s="88"/>
    </row>
    <row r="3297">
      <c r="A3297" s="20" t="s">
        <v>98</v>
      </c>
      <c r="B3297" s="9" t="s">
        <v>5899</v>
      </c>
      <c r="C3297" s="91">
        <v>45265.394821180555</v>
      </c>
      <c r="D3297" s="8">
        <f t="shared" si="273"/>
        <v>45267</v>
      </c>
      <c r="E3297" s="9" t="s">
        <v>11</v>
      </c>
      <c r="F3297" s="10"/>
      <c r="G3297" s="9" t="s">
        <v>18</v>
      </c>
      <c r="H3297" s="7" t="s">
        <v>5896</v>
      </c>
      <c r="I3297" s="9" t="s">
        <v>353</v>
      </c>
      <c r="J3297" s="88"/>
    </row>
    <row r="3298">
      <c r="A3298" s="6" t="s">
        <v>9</v>
      </c>
      <c r="B3298" s="7" t="s">
        <v>4355</v>
      </c>
      <c r="C3298" s="91">
        <v>45250.705464803235</v>
      </c>
      <c r="D3298" s="8">
        <f t="shared" si="273"/>
        <v>45252</v>
      </c>
      <c r="E3298" s="9" t="s">
        <v>11</v>
      </c>
      <c r="F3298" s="10"/>
      <c r="G3298" s="9" t="s">
        <v>15</v>
      </c>
      <c r="H3298" s="7" t="s">
        <v>5900</v>
      </c>
      <c r="I3298" s="9" t="s">
        <v>353</v>
      </c>
      <c r="J3298" s="88"/>
    </row>
    <row r="3299">
      <c r="A3299" s="34" t="s">
        <v>204</v>
      </c>
      <c r="B3299" s="7" t="s">
        <v>5901</v>
      </c>
      <c r="C3299" s="91">
        <v>45264.63814896991</v>
      </c>
      <c r="D3299" s="8">
        <f t="shared" si="273"/>
        <v>45266</v>
      </c>
      <c r="E3299" s="9" t="s">
        <v>11</v>
      </c>
      <c r="F3299" s="10"/>
      <c r="G3299" s="9" t="s">
        <v>15</v>
      </c>
      <c r="H3299" s="7" t="s">
        <v>5902</v>
      </c>
      <c r="I3299" s="9" t="s">
        <v>353</v>
      </c>
      <c r="J3299" s="88"/>
    </row>
    <row r="3300">
      <c r="A3300" s="34" t="s">
        <v>204</v>
      </c>
      <c r="B3300" s="7" t="s">
        <v>5903</v>
      </c>
      <c r="C3300" s="91">
        <v>45209.75076361111</v>
      </c>
      <c r="D3300" s="8">
        <f t="shared" si="273"/>
        <v>45211</v>
      </c>
      <c r="E3300" s="9" t="s">
        <v>11</v>
      </c>
      <c r="F3300" s="9" t="s">
        <v>11</v>
      </c>
      <c r="G3300" s="9" t="s">
        <v>15</v>
      </c>
      <c r="H3300" s="7" t="s">
        <v>5904</v>
      </c>
      <c r="I3300" s="9" t="s">
        <v>353</v>
      </c>
      <c r="J3300" s="88"/>
    </row>
    <row r="3301">
      <c r="A3301" s="20" t="s">
        <v>98</v>
      </c>
      <c r="B3301" s="9" t="s">
        <v>5905</v>
      </c>
      <c r="C3301" s="91">
        <v>45259.65224189815</v>
      </c>
      <c r="D3301" s="8">
        <f t="shared" si="273"/>
        <v>45261</v>
      </c>
      <c r="E3301" s="9" t="s">
        <v>88</v>
      </c>
      <c r="F3301" s="10"/>
      <c r="G3301" s="9" t="s">
        <v>15</v>
      </c>
      <c r="H3301" s="7" t="s">
        <v>5906</v>
      </c>
      <c r="I3301" s="9" t="s">
        <v>353</v>
      </c>
      <c r="J3301" s="88"/>
    </row>
    <row r="3302">
      <c r="A3302" s="20" t="s">
        <v>98</v>
      </c>
      <c r="B3302" s="9" t="s">
        <v>5907</v>
      </c>
      <c r="C3302" s="91">
        <v>45257.64067530092</v>
      </c>
      <c r="D3302" s="8">
        <f t="shared" si="273"/>
        <v>45259</v>
      </c>
      <c r="E3302" s="9" t="s">
        <v>206</v>
      </c>
      <c r="F3302" s="10"/>
      <c r="G3302" s="9" t="s">
        <v>18</v>
      </c>
      <c r="H3302" s="7" t="s">
        <v>5908</v>
      </c>
      <c r="I3302" s="9" t="s">
        <v>353</v>
      </c>
      <c r="J3302" s="88"/>
    </row>
    <row r="3303">
      <c r="A3303" s="42" t="s">
        <v>330</v>
      </c>
      <c r="B3303" s="7" t="s">
        <v>5909</v>
      </c>
      <c r="C3303" s="91">
        <v>45260.43197521991</v>
      </c>
      <c r="D3303" s="8">
        <f t="shared" si="273"/>
        <v>45264</v>
      </c>
      <c r="E3303" s="9" t="s">
        <v>11</v>
      </c>
      <c r="F3303" s="10"/>
      <c r="G3303" s="9" t="s">
        <v>18</v>
      </c>
      <c r="H3303" s="7" t="s">
        <v>5910</v>
      </c>
      <c r="I3303" s="9" t="s">
        <v>353</v>
      </c>
      <c r="J3303" s="88"/>
    </row>
    <row r="3304">
      <c r="A3304" s="20" t="s">
        <v>98</v>
      </c>
      <c r="B3304" s="9" t="s">
        <v>5911</v>
      </c>
      <c r="C3304" s="91">
        <v>45224.69871285879</v>
      </c>
      <c r="D3304" s="8">
        <f t="shared" si="273"/>
        <v>45226</v>
      </c>
      <c r="E3304" s="9" t="s">
        <v>206</v>
      </c>
      <c r="F3304" s="10"/>
      <c r="G3304" s="9" t="s">
        <v>18</v>
      </c>
      <c r="H3304" s="7" t="s">
        <v>5912</v>
      </c>
      <c r="I3304" s="9" t="s">
        <v>353</v>
      </c>
      <c r="J3304" s="88"/>
    </row>
    <row r="3305">
      <c r="A3305" s="20" t="s">
        <v>98</v>
      </c>
      <c r="B3305" s="9" t="s">
        <v>5913</v>
      </c>
      <c r="C3305" s="91">
        <v>45246.66064402778</v>
      </c>
      <c r="D3305" s="8">
        <f t="shared" si="273"/>
        <v>45250</v>
      </c>
      <c r="E3305" s="9" t="s">
        <v>11</v>
      </c>
      <c r="F3305" s="10"/>
      <c r="G3305" s="9" t="s">
        <v>18</v>
      </c>
      <c r="H3305" s="23" t="s">
        <v>5914</v>
      </c>
      <c r="I3305" s="9" t="s">
        <v>353</v>
      </c>
      <c r="J3305" s="88"/>
    </row>
    <row r="3306">
      <c r="A3306" s="6" t="s">
        <v>9</v>
      </c>
      <c r="B3306" s="7" t="s">
        <v>5915</v>
      </c>
      <c r="C3306" s="91">
        <v>45238.743684120374</v>
      </c>
      <c r="D3306" s="8">
        <f t="shared" si="273"/>
        <v>45240</v>
      </c>
      <c r="E3306" s="9" t="s">
        <v>11</v>
      </c>
      <c r="F3306" s="10"/>
      <c r="G3306" s="9" t="s">
        <v>15</v>
      </c>
      <c r="H3306" s="7" t="s">
        <v>5916</v>
      </c>
      <c r="I3306" s="9" t="s">
        <v>353</v>
      </c>
      <c r="J3306" s="88"/>
    </row>
    <row r="3307">
      <c r="A3307" s="6" t="s">
        <v>9</v>
      </c>
      <c r="B3307" s="7" t="s">
        <v>4599</v>
      </c>
      <c r="C3307" s="91">
        <v>45257.481748425926</v>
      </c>
      <c r="D3307" s="8">
        <f t="shared" si="273"/>
        <v>45259</v>
      </c>
      <c r="E3307" s="9" t="s">
        <v>11</v>
      </c>
      <c r="F3307" s="10"/>
      <c r="G3307" s="9" t="s">
        <v>15</v>
      </c>
      <c r="H3307" s="7" t="s">
        <v>5917</v>
      </c>
      <c r="I3307" s="9" t="s">
        <v>353</v>
      </c>
      <c r="J3307" s="88"/>
    </row>
    <row r="3308">
      <c r="A3308" s="20" t="s">
        <v>98</v>
      </c>
      <c r="B3308" s="9" t="s">
        <v>5918</v>
      </c>
      <c r="C3308" s="91">
        <v>45224.380552766204</v>
      </c>
      <c r="D3308" s="8">
        <f t="shared" si="273"/>
        <v>45226</v>
      </c>
      <c r="E3308" s="9" t="s">
        <v>206</v>
      </c>
      <c r="F3308" s="10"/>
      <c r="G3308" s="9" t="s">
        <v>18</v>
      </c>
      <c r="H3308" s="23" t="s">
        <v>5919</v>
      </c>
      <c r="I3308" s="9" t="s">
        <v>353</v>
      </c>
      <c r="J3308" s="88"/>
    </row>
    <row r="3309">
      <c r="A3309" s="42"/>
      <c r="B3309" s="7" t="s">
        <v>5366</v>
      </c>
      <c r="C3309" s="91">
        <v>45257.39746280093</v>
      </c>
      <c r="D3309" s="8"/>
      <c r="E3309" s="9"/>
      <c r="F3309" s="10"/>
      <c r="G3309" s="9" t="s">
        <v>15</v>
      </c>
      <c r="H3309" s="7" t="s">
        <v>5920</v>
      </c>
      <c r="I3309" s="9" t="s">
        <v>353</v>
      </c>
      <c r="J3309" s="88"/>
    </row>
    <row r="3310">
      <c r="A3310" s="42" t="s">
        <v>330</v>
      </c>
      <c r="B3310" s="7" t="s">
        <v>5921</v>
      </c>
      <c r="C3310" s="91">
        <v>45264.44666663195</v>
      </c>
      <c r="D3310" s="8">
        <f t="shared" ref="D3310:D3315" si="274">IFERROR(_xlfn.WORKDAY.INTL(C3310, 2),"-")</f>
        <v>45266</v>
      </c>
      <c r="E3310" s="9" t="s">
        <v>11</v>
      </c>
      <c r="F3310" s="10"/>
      <c r="G3310" s="9" t="s">
        <v>18</v>
      </c>
      <c r="H3310" s="11"/>
      <c r="I3310" s="9" t="s">
        <v>353</v>
      </c>
      <c r="J3310" s="88"/>
    </row>
    <row r="3311">
      <c r="A3311" s="42" t="s">
        <v>330</v>
      </c>
      <c r="B3311" s="7" t="s">
        <v>5922</v>
      </c>
      <c r="C3311" s="91">
        <v>45264.44965943287</v>
      </c>
      <c r="D3311" s="8">
        <f t="shared" si="274"/>
        <v>45266</v>
      </c>
      <c r="E3311" s="9" t="s">
        <v>11</v>
      </c>
      <c r="F3311" s="10"/>
      <c r="G3311" s="9" t="s">
        <v>18</v>
      </c>
      <c r="H3311" s="11"/>
      <c r="I3311" s="9" t="s">
        <v>353</v>
      </c>
      <c r="J3311" s="88"/>
    </row>
    <row r="3312">
      <c r="A3312" s="6" t="s">
        <v>9</v>
      </c>
      <c r="B3312" s="7" t="s">
        <v>5923</v>
      </c>
      <c r="C3312" s="91">
        <v>45261.4764958912</v>
      </c>
      <c r="D3312" s="8">
        <f t="shared" si="274"/>
        <v>45265</v>
      </c>
      <c r="E3312" s="9" t="s">
        <v>11</v>
      </c>
      <c r="F3312" s="10"/>
      <c r="G3312" s="9" t="s">
        <v>15</v>
      </c>
      <c r="H3312" s="7" t="s">
        <v>5924</v>
      </c>
      <c r="I3312" s="9" t="s">
        <v>353</v>
      </c>
      <c r="J3312" s="88"/>
    </row>
    <row r="3313">
      <c r="A3313" s="34" t="s">
        <v>204</v>
      </c>
      <c r="B3313" s="7" t="s">
        <v>5925</v>
      </c>
      <c r="C3313" s="91">
        <v>45257.74954399306</v>
      </c>
      <c r="D3313" s="8">
        <f t="shared" si="274"/>
        <v>45259</v>
      </c>
      <c r="E3313" s="9" t="s">
        <v>11</v>
      </c>
      <c r="F3313" s="192">
        <v>45265.0</v>
      </c>
      <c r="G3313" s="9" t="s">
        <v>18</v>
      </c>
      <c r="H3313" s="7" t="s">
        <v>5926</v>
      </c>
      <c r="I3313" s="9" t="s">
        <v>353</v>
      </c>
      <c r="J3313" s="88"/>
    </row>
    <row r="3314">
      <c r="A3314" s="20" t="s">
        <v>98</v>
      </c>
      <c r="B3314" s="9" t="s">
        <v>5927</v>
      </c>
      <c r="C3314" s="91">
        <v>45264.39081907408</v>
      </c>
      <c r="D3314" s="8">
        <f t="shared" si="274"/>
        <v>45266</v>
      </c>
      <c r="E3314" s="9" t="s">
        <v>11</v>
      </c>
      <c r="F3314" s="10"/>
      <c r="G3314" s="9" t="s">
        <v>18</v>
      </c>
      <c r="H3314" s="11"/>
      <c r="I3314" s="9" t="s">
        <v>353</v>
      </c>
      <c r="J3314" s="88"/>
    </row>
    <row r="3315">
      <c r="A3315" s="20" t="s">
        <v>98</v>
      </c>
      <c r="B3315" s="9" t="s">
        <v>5928</v>
      </c>
      <c r="C3315" s="91">
        <v>45259.66233273148</v>
      </c>
      <c r="D3315" s="8">
        <f t="shared" si="274"/>
        <v>45261</v>
      </c>
      <c r="E3315" s="9" t="s">
        <v>206</v>
      </c>
      <c r="F3315" s="10"/>
      <c r="G3315" s="9" t="s">
        <v>18</v>
      </c>
      <c r="H3315" s="7" t="s">
        <v>5929</v>
      </c>
      <c r="I3315" s="9" t="s">
        <v>353</v>
      </c>
      <c r="J3315" s="88"/>
    </row>
    <row r="3316">
      <c r="A3316" s="20" t="s">
        <v>98</v>
      </c>
      <c r="B3316" s="9" t="s">
        <v>5930</v>
      </c>
      <c r="C3316" s="91">
        <v>45264.39055394676</v>
      </c>
      <c r="D3316" s="8"/>
      <c r="E3316" s="9"/>
      <c r="F3316" s="10"/>
      <c r="G3316" s="9" t="s">
        <v>18</v>
      </c>
      <c r="H3316" s="11"/>
      <c r="I3316" s="9" t="s">
        <v>353</v>
      </c>
      <c r="J3316" s="88"/>
    </row>
    <row r="3317">
      <c r="A3317" s="20" t="s">
        <v>98</v>
      </c>
      <c r="B3317" s="9" t="s">
        <v>5931</v>
      </c>
      <c r="C3317" s="91">
        <v>45246.660824328705</v>
      </c>
      <c r="D3317" s="8">
        <f t="shared" ref="D3317:D3318" si="275">IFERROR(_xlfn.WORKDAY.INTL(C3317, 2),"-")</f>
        <v>45250</v>
      </c>
      <c r="E3317" s="9" t="s">
        <v>11</v>
      </c>
      <c r="F3317" s="10"/>
      <c r="G3317" s="9" t="s">
        <v>18</v>
      </c>
      <c r="H3317" s="23" t="s">
        <v>5932</v>
      </c>
      <c r="I3317" s="9" t="s">
        <v>353</v>
      </c>
      <c r="J3317" s="88"/>
    </row>
    <row r="3318">
      <c r="A3318" s="6" t="s">
        <v>9</v>
      </c>
      <c r="B3318" s="7" t="s">
        <v>5697</v>
      </c>
      <c r="C3318" s="91">
        <v>45261.476520219905</v>
      </c>
      <c r="D3318" s="8">
        <f t="shared" si="275"/>
        <v>45265</v>
      </c>
      <c r="E3318" s="9" t="s">
        <v>11</v>
      </c>
      <c r="F3318" s="10"/>
      <c r="G3318" s="9" t="s">
        <v>15</v>
      </c>
      <c r="H3318" s="7" t="s">
        <v>5924</v>
      </c>
      <c r="I3318" s="9" t="s">
        <v>353</v>
      </c>
      <c r="J3318" s="88"/>
    </row>
    <row r="3319">
      <c r="A3319" s="42"/>
      <c r="B3319" s="117" t="s">
        <v>5933</v>
      </c>
      <c r="C3319" s="91">
        <v>45252.57937842593</v>
      </c>
      <c r="D3319" s="8"/>
      <c r="E3319" s="9"/>
      <c r="F3319" s="10"/>
      <c r="G3319" s="9" t="s">
        <v>18</v>
      </c>
      <c r="H3319" s="7" t="s">
        <v>5934</v>
      </c>
      <c r="I3319" s="9" t="s">
        <v>353</v>
      </c>
      <c r="J3319" s="88"/>
    </row>
    <row r="3320">
      <c r="A3320" s="20" t="s">
        <v>98</v>
      </c>
      <c r="B3320" s="9" t="s">
        <v>5935</v>
      </c>
      <c r="C3320" s="91">
        <v>45260.72475657407</v>
      </c>
      <c r="D3320" s="8"/>
      <c r="E3320" s="9" t="s">
        <v>88</v>
      </c>
      <c r="F3320" s="10"/>
      <c r="G3320" s="9" t="s">
        <v>18</v>
      </c>
      <c r="H3320" s="7" t="s">
        <v>5936</v>
      </c>
      <c r="I3320" s="9" t="s">
        <v>353</v>
      </c>
      <c r="J3320" s="88"/>
    </row>
    <row r="3321">
      <c r="A3321" s="6" t="s">
        <v>9</v>
      </c>
      <c r="B3321" s="7" t="s">
        <v>3238</v>
      </c>
      <c r="C3321" s="91">
        <v>45195.48013172454</v>
      </c>
      <c r="D3321" s="8">
        <f t="shared" ref="D3321:D3331" si="276">IFERROR(_xlfn.WORKDAY.INTL(C3321, 2),"-")</f>
        <v>45197</v>
      </c>
      <c r="E3321" s="9" t="s">
        <v>11</v>
      </c>
      <c r="F3321" s="10"/>
      <c r="G3321" s="9" t="s">
        <v>18</v>
      </c>
      <c r="H3321" s="7" t="s">
        <v>5937</v>
      </c>
      <c r="I3321" s="9" t="s">
        <v>353</v>
      </c>
      <c r="J3321" s="88"/>
    </row>
    <row r="3322">
      <c r="A3322" s="6" t="s">
        <v>9</v>
      </c>
      <c r="B3322" s="7" t="s">
        <v>5938</v>
      </c>
      <c r="C3322" s="91">
        <v>45187.64745674768</v>
      </c>
      <c r="D3322" s="8">
        <f t="shared" si="276"/>
        <v>45189</v>
      </c>
      <c r="E3322" s="9" t="s">
        <v>11</v>
      </c>
      <c r="F3322" s="10"/>
      <c r="G3322" s="9" t="s">
        <v>15</v>
      </c>
      <c r="H3322" s="7" t="s">
        <v>4671</v>
      </c>
      <c r="I3322" s="9" t="s">
        <v>353</v>
      </c>
      <c r="J3322" s="88"/>
    </row>
    <row r="3323">
      <c r="A3323" s="6" t="s">
        <v>9</v>
      </c>
      <c r="B3323" s="7" t="s">
        <v>5939</v>
      </c>
      <c r="C3323" s="91">
        <v>45247.32883849537</v>
      </c>
      <c r="D3323" s="8">
        <f t="shared" si="276"/>
        <v>45251</v>
      </c>
      <c r="E3323" s="9" t="s">
        <v>11</v>
      </c>
      <c r="F3323" s="10"/>
      <c r="G3323" s="9" t="s">
        <v>18</v>
      </c>
      <c r="H3323" s="7" t="s">
        <v>5940</v>
      </c>
      <c r="I3323" s="9" t="s">
        <v>353</v>
      </c>
      <c r="J3323" s="88"/>
    </row>
    <row r="3324">
      <c r="A3324" s="6" t="s">
        <v>9</v>
      </c>
      <c r="B3324" s="7" t="s">
        <v>5941</v>
      </c>
      <c r="C3324" s="91">
        <v>45247.32879363426</v>
      </c>
      <c r="D3324" s="8">
        <f t="shared" si="276"/>
        <v>45251</v>
      </c>
      <c r="E3324" s="9" t="s">
        <v>11</v>
      </c>
      <c r="F3324" s="10"/>
      <c r="G3324" s="9" t="s">
        <v>18</v>
      </c>
      <c r="H3324" s="7" t="s">
        <v>5940</v>
      </c>
      <c r="I3324" s="9" t="s">
        <v>353</v>
      </c>
      <c r="J3324" s="88"/>
    </row>
    <row r="3325">
      <c r="A3325" s="34" t="s">
        <v>204</v>
      </c>
      <c r="B3325" s="7" t="s">
        <v>5942</v>
      </c>
      <c r="C3325" s="91">
        <v>45257.74973412037</v>
      </c>
      <c r="D3325" s="8">
        <f t="shared" si="276"/>
        <v>45259</v>
      </c>
      <c r="E3325" s="9" t="s">
        <v>11</v>
      </c>
      <c r="F3325" s="9" t="s">
        <v>11</v>
      </c>
      <c r="G3325" s="9" t="s">
        <v>15</v>
      </c>
      <c r="H3325" s="11"/>
      <c r="I3325" s="9" t="s">
        <v>353</v>
      </c>
      <c r="J3325" s="88"/>
    </row>
    <row r="3326">
      <c r="A3326" s="34" t="s">
        <v>204</v>
      </c>
      <c r="B3326" s="7" t="s">
        <v>5943</v>
      </c>
      <c r="C3326" s="91">
        <v>45259.62228001158</v>
      </c>
      <c r="D3326" s="8">
        <f t="shared" si="276"/>
        <v>45261</v>
      </c>
      <c r="E3326" s="9" t="s">
        <v>11</v>
      </c>
      <c r="F3326" s="9" t="s">
        <v>11</v>
      </c>
      <c r="G3326" s="9" t="s">
        <v>15</v>
      </c>
      <c r="H3326" s="7" t="s">
        <v>5926</v>
      </c>
      <c r="I3326" s="9" t="s">
        <v>353</v>
      </c>
      <c r="J3326" s="88"/>
    </row>
    <row r="3327">
      <c r="A3327" s="20" t="s">
        <v>98</v>
      </c>
      <c r="B3327" s="9" t="s">
        <v>5944</v>
      </c>
      <c r="C3327" s="91">
        <v>45216.499704664355</v>
      </c>
      <c r="D3327" s="8">
        <f t="shared" si="276"/>
        <v>45218</v>
      </c>
      <c r="E3327" s="9" t="s">
        <v>206</v>
      </c>
      <c r="F3327" s="10"/>
      <c r="G3327" s="9" t="s">
        <v>15</v>
      </c>
      <c r="H3327" s="23" t="s">
        <v>5945</v>
      </c>
      <c r="I3327" s="9" t="s">
        <v>353</v>
      </c>
      <c r="J3327" s="88"/>
    </row>
    <row r="3328">
      <c r="A3328" s="20" t="s">
        <v>98</v>
      </c>
      <c r="B3328" s="9" t="s">
        <v>3676</v>
      </c>
      <c r="C3328" s="91">
        <v>45258.40637563658</v>
      </c>
      <c r="D3328" s="8">
        <f t="shared" si="276"/>
        <v>45260</v>
      </c>
      <c r="E3328" s="9" t="s">
        <v>206</v>
      </c>
      <c r="F3328" s="10"/>
      <c r="G3328" s="9" t="s">
        <v>15</v>
      </c>
      <c r="H3328" s="7" t="s">
        <v>5946</v>
      </c>
      <c r="I3328" s="9" t="s">
        <v>353</v>
      </c>
      <c r="J3328" s="88"/>
    </row>
    <row r="3329">
      <c r="A3329" s="6" t="s">
        <v>9</v>
      </c>
      <c r="B3329" s="7" t="s">
        <v>5947</v>
      </c>
      <c r="C3329" s="91">
        <v>45259.60403206019</v>
      </c>
      <c r="D3329" s="8">
        <f t="shared" si="276"/>
        <v>45261</v>
      </c>
      <c r="E3329" s="9" t="s">
        <v>11</v>
      </c>
      <c r="F3329" s="10"/>
      <c r="G3329" s="9" t="s">
        <v>15</v>
      </c>
      <c r="H3329" s="7" t="s">
        <v>5948</v>
      </c>
      <c r="I3329" s="9" t="s">
        <v>353</v>
      </c>
      <c r="J3329" s="88"/>
    </row>
    <row r="3330">
      <c r="A3330" s="42" t="s">
        <v>330</v>
      </c>
      <c r="B3330" s="7" t="s">
        <v>5949</v>
      </c>
      <c r="C3330" s="91">
        <v>45258.58157061343</v>
      </c>
      <c r="D3330" s="8">
        <f t="shared" si="276"/>
        <v>45260</v>
      </c>
      <c r="E3330" s="9" t="s">
        <v>11</v>
      </c>
      <c r="F3330" s="10"/>
      <c r="G3330" s="9" t="s">
        <v>18</v>
      </c>
      <c r="H3330" s="7" t="s">
        <v>5950</v>
      </c>
      <c r="I3330" s="9" t="s">
        <v>353</v>
      </c>
      <c r="J3330" s="88"/>
    </row>
    <row r="3331">
      <c r="A3331" s="42" t="s">
        <v>330</v>
      </c>
      <c r="B3331" s="7" t="s">
        <v>5951</v>
      </c>
      <c r="C3331" s="91">
        <v>45251.483429618056</v>
      </c>
      <c r="D3331" s="8">
        <f t="shared" si="276"/>
        <v>45253</v>
      </c>
      <c r="E3331" s="9" t="s">
        <v>11</v>
      </c>
      <c r="F3331" s="10"/>
      <c r="G3331" s="9" t="s">
        <v>15</v>
      </c>
      <c r="H3331" s="7" t="s">
        <v>5952</v>
      </c>
      <c r="I3331" s="9" t="s">
        <v>353</v>
      </c>
      <c r="J3331" s="88"/>
    </row>
    <row r="3332">
      <c r="A3332" s="88"/>
      <c r="B3332" s="89"/>
      <c r="C3332" s="90"/>
      <c r="D3332" s="89"/>
      <c r="E3332" s="89"/>
      <c r="F3332" s="89"/>
      <c r="G3332" s="89"/>
      <c r="H3332" s="87"/>
      <c r="I3332" s="89"/>
      <c r="J3332" s="88"/>
    </row>
    <row r="3333">
      <c r="A3333" s="42"/>
      <c r="B3333" s="7" t="s">
        <v>5953</v>
      </c>
      <c r="C3333" s="91">
        <v>45254.44091503472</v>
      </c>
      <c r="D3333" s="8"/>
      <c r="E3333" s="9"/>
      <c r="F3333" s="10"/>
      <c r="G3333" s="9" t="s">
        <v>18</v>
      </c>
      <c r="H3333" s="7" t="s">
        <v>5800</v>
      </c>
      <c r="I3333" s="9" t="s">
        <v>353</v>
      </c>
      <c r="J3333" s="88"/>
    </row>
    <row r="3334">
      <c r="A3334" s="20" t="s">
        <v>98</v>
      </c>
      <c r="B3334" s="9" t="s">
        <v>5954</v>
      </c>
      <c r="C3334" s="91">
        <v>45258.65983138889</v>
      </c>
      <c r="D3334" s="8">
        <f t="shared" ref="D3334:D3353" si="277">IFERROR(_xlfn.WORKDAY.INTL(C3334, 2),"-")</f>
        <v>45260</v>
      </c>
      <c r="E3334" s="9" t="s">
        <v>11</v>
      </c>
      <c r="F3334" s="10"/>
      <c r="G3334" s="9" t="s">
        <v>18</v>
      </c>
      <c r="H3334" s="7" t="s">
        <v>5955</v>
      </c>
      <c r="I3334" s="9" t="s">
        <v>353</v>
      </c>
      <c r="J3334" s="88"/>
    </row>
    <row r="3335">
      <c r="A3335" s="6" t="s">
        <v>9</v>
      </c>
      <c r="B3335" s="7" t="s">
        <v>5956</v>
      </c>
      <c r="C3335" s="91">
        <v>45253.49360711806</v>
      </c>
      <c r="D3335" s="8">
        <f t="shared" si="277"/>
        <v>45257</v>
      </c>
      <c r="E3335" s="9" t="s">
        <v>11</v>
      </c>
      <c r="F3335" s="10"/>
      <c r="G3335" s="9" t="s">
        <v>15</v>
      </c>
      <c r="H3335" s="7" t="s">
        <v>5957</v>
      </c>
      <c r="I3335" s="9" t="s">
        <v>353</v>
      </c>
      <c r="J3335" s="88"/>
    </row>
    <row r="3336">
      <c r="A3336" s="20" t="s">
        <v>98</v>
      </c>
      <c r="B3336" s="9" t="s">
        <v>5958</v>
      </c>
      <c r="C3336" s="91">
        <v>45216.587223587965</v>
      </c>
      <c r="D3336" s="8">
        <f t="shared" si="277"/>
        <v>45218</v>
      </c>
      <c r="E3336" s="9" t="s">
        <v>206</v>
      </c>
      <c r="F3336" s="10"/>
      <c r="G3336" s="9" t="s">
        <v>18</v>
      </c>
      <c r="H3336" s="23" t="s">
        <v>5959</v>
      </c>
      <c r="I3336" s="9" t="s">
        <v>353</v>
      </c>
      <c r="J3336" s="88"/>
    </row>
    <row r="3337">
      <c r="A3337" s="6" t="s">
        <v>9</v>
      </c>
      <c r="B3337" s="7" t="s">
        <v>5960</v>
      </c>
      <c r="C3337" s="91">
        <v>45253.493357326384</v>
      </c>
      <c r="D3337" s="8">
        <f t="shared" si="277"/>
        <v>45257</v>
      </c>
      <c r="E3337" s="9" t="s">
        <v>11</v>
      </c>
      <c r="F3337" s="10"/>
      <c r="G3337" s="9" t="s">
        <v>15</v>
      </c>
      <c r="H3337" s="7" t="s">
        <v>5961</v>
      </c>
      <c r="I3337" s="9" t="s">
        <v>353</v>
      </c>
      <c r="J3337" s="88"/>
    </row>
    <row r="3338">
      <c r="A3338" s="6" t="s">
        <v>9</v>
      </c>
      <c r="B3338" s="7" t="s">
        <v>5962</v>
      </c>
      <c r="C3338" s="91">
        <v>45258.49766688657</v>
      </c>
      <c r="D3338" s="8">
        <f t="shared" si="277"/>
        <v>45260</v>
      </c>
      <c r="E3338" s="9" t="s">
        <v>11</v>
      </c>
      <c r="F3338" s="10"/>
      <c r="G3338" s="9" t="s">
        <v>15</v>
      </c>
      <c r="H3338" s="7" t="s">
        <v>5963</v>
      </c>
      <c r="I3338" s="9" t="s">
        <v>353</v>
      </c>
      <c r="J3338" s="88"/>
    </row>
    <row r="3339">
      <c r="A3339" s="20" t="s">
        <v>98</v>
      </c>
      <c r="B3339" s="9" t="s">
        <v>5964</v>
      </c>
      <c r="C3339" s="91">
        <v>45258.56656104166</v>
      </c>
      <c r="D3339" s="8">
        <f t="shared" si="277"/>
        <v>45260</v>
      </c>
      <c r="E3339" s="9" t="s">
        <v>88</v>
      </c>
      <c r="F3339" s="10"/>
      <c r="G3339" s="9" t="s">
        <v>18</v>
      </c>
      <c r="H3339" s="7" t="s">
        <v>5965</v>
      </c>
      <c r="I3339" s="9" t="s">
        <v>353</v>
      </c>
      <c r="J3339" s="88"/>
    </row>
    <row r="3340">
      <c r="A3340" s="6" t="s">
        <v>9</v>
      </c>
      <c r="B3340" s="7" t="s">
        <v>5966</v>
      </c>
      <c r="C3340" s="91">
        <v>45240.49424767361</v>
      </c>
      <c r="D3340" s="8">
        <f t="shared" si="277"/>
        <v>45244</v>
      </c>
      <c r="E3340" s="9" t="s">
        <v>11</v>
      </c>
      <c r="F3340" s="10"/>
      <c r="G3340" s="9" t="s">
        <v>15</v>
      </c>
      <c r="H3340" s="7" t="s">
        <v>5967</v>
      </c>
      <c r="I3340" s="9" t="s">
        <v>353</v>
      </c>
      <c r="J3340" s="88"/>
    </row>
    <row r="3341">
      <c r="A3341" s="34" t="s">
        <v>204</v>
      </c>
      <c r="B3341" s="7" t="s">
        <v>5968</v>
      </c>
      <c r="C3341" s="91">
        <v>45190.67457314815</v>
      </c>
      <c r="D3341" s="8">
        <f t="shared" si="277"/>
        <v>45194</v>
      </c>
      <c r="E3341" s="9" t="s">
        <v>11</v>
      </c>
      <c r="F3341" s="9" t="s">
        <v>11</v>
      </c>
      <c r="G3341" s="9" t="s">
        <v>15</v>
      </c>
      <c r="H3341" s="7" t="s">
        <v>5969</v>
      </c>
      <c r="I3341" s="9" t="s">
        <v>353</v>
      </c>
      <c r="J3341" s="88"/>
    </row>
    <row r="3342">
      <c r="A3342" s="42" t="s">
        <v>330</v>
      </c>
      <c r="B3342" s="7" t="s">
        <v>5970</v>
      </c>
      <c r="C3342" s="91">
        <v>45257.747256111106</v>
      </c>
      <c r="D3342" s="8">
        <f t="shared" si="277"/>
        <v>45259</v>
      </c>
      <c r="E3342" s="9" t="s">
        <v>11</v>
      </c>
      <c r="F3342" s="10"/>
      <c r="G3342" s="9" t="s">
        <v>220</v>
      </c>
      <c r="H3342" s="11"/>
      <c r="I3342" s="9" t="s">
        <v>353</v>
      </c>
      <c r="J3342" s="88"/>
    </row>
    <row r="3343">
      <c r="A3343" s="20" t="s">
        <v>98</v>
      </c>
      <c r="B3343" s="9" t="s">
        <v>5971</v>
      </c>
      <c r="C3343" s="91">
        <v>45258.49391010417</v>
      </c>
      <c r="D3343" s="8">
        <f t="shared" si="277"/>
        <v>45260</v>
      </c>
      <c r="E3343" s="9" t="s">
        <v>5972</v>
      </c>
      <c r="F3343" s="10"/>
      <c r="G3343" s="9" t="s">
        <v>15</v>
      </c>
      <c r="H3343" s="7" t="s">
        <v>5973</v>
      </c>
      <c r="I3343" s="9" t="s">
        <v>353</v>
      </c>
      <c r="J3343" s="88"/>
    </row>
    <row r="3344">
      <c r="A3344" s="6" t="s">
        <v>9</v>
      </c>
      <c r="B3344" s="7" t="s">
        <v>5974</v>
      </c>
      <c r="C3344" s="91">
        <v>45253.49324915509</v>
      </c>
      <c r="D3344" s="8">
        <f t="shared" si="277"/>
        <v>45257</v>
      </c>
      <c r="E3344" s="9" t="s">
        <v>11</v>
      </c>
      <c r="F3344" s="10"/>
      <c r="G3344" s="9" t="s">
        <v>15</v>
      </c>
      <c r="H3344" s="7" t="s">
        <v>5961</v>
      </c>
      <c r="I3344" s="9" t="s">
        <v>353</v>
      </c>
      <c r="J3344" s="88"/>
    </row>
    <row r="3345">
      <c r="A3345" s="6" t="s">
        <v>9</v>
      </c>
      <c r="B3345" s="7" t="s">
        <v>5975</v>
      </c>
      <c r="C3345" s="91">
        <v>45253.49317431713</v>
      </c>
      <c r="D3345" s="8">
        <f t="shared" si="277"/>
        <v>45257</v>
      </c>
      <c r="E3345" s="9" t="s">
        <v>11</v>
      </c>
      <c r="F3345" s="10"/>
      <c r="G3345" s="9" t="s">
        <v>15</v>
      </c>
      <c r="H3345" s="7" t="s">
        <v>5961</v>
      </c>
      <c r="I3345" s="9" t="s">
        <v>353</v>
      </c>
      <c r="J3345" s="88"/>
    </row>
    <row r="3346">
      <c r="A3346" s="6" t="s">
        <v>9</v>
      </c>
      <c r="B3346" s="7" t="s">
        <v>3878</v>
      </c>
      <c r="C3346" s="91">
        <v>45253.49310157407</v>
      </c>
      <c r="D3346" s="8">
        <f t="shared" si="277"/>
        <v>45257</v>
      </c>
      <c r="E3346" s="9" t="s">
        <v>11</v>
      </c>
      <c r="F3346" s="10"/>
      <c r="G3346" s="9" t="s">
        <v>15</v>
      </c>
      <c r="H3346" s="7" t="s">
        <v>5957</v>
      </c>
      <c r="I3346" s="9" t="s">
        <v>353</v>
      </c>
      <c r="J3346" s="88"/>
    </row>
    <row r="3347">
      <c r="A3347" s="34" t="s">
        <v>204</v>
      </c>
      <c r="B3347" s="7" t="s">
        <v>5976</v>
      </c>
      <c r="C3347" s="91">
        <v>45257.68825987268</v>
      </c>
      <c r="D3347" s="8">
        <f t="shared" si="277"/>
        <v>45259</v>
      </c>
      <c r="E3347" s="9" t="s">
        <v>11</v>
      </c>
      <c r="F3347" s="8">
        <v>45257.0</v>
      </c>
      <c r="G3347" s="9" t="s">
        <v>18</v>
      </c>
      <c r="H3347" s="11"/>
      <c r="I3347" s="9" t="s">
        <v>353</v>
      </c>
      <c r="J3347" s="88"/>
    </row>
    <row r="3348">
      <c r="A3348" s="42" t="s">
        <v>330</v>
      </c>
      <c r="B3348" s="117" t="s">
        <v>5977</v>
      </c>
      <c r="C3348" s="91">
        <v>45245.64895872685</v>
      </c>
      <c r="D3348" s="8">
        <f t="shared" si="277"/>
        <v>45247</v>
      </c>
      <c r="E3348" s="9" t="s">
        <v>11</v>
      </c>
      <c r="F3348" s="10"/>
      <c r="G3348" s="9" t="s">
        <v>18</v>
      </c>
      <c r="H3348" s="7" t="s">
        <v>5978</v>
      </c>
      <c r="I3348" s="9" t="s">
        <v>353</v>
      </c>
      <c r="J3348" s="88"/>
    </row>
    <row r="3349">
      <c r="A3349" s="42" t="s">
        <v>330</v>
      </c>
      <c r="B3349" s="7" t="s">
        <v>5979</v>
      </c>
      <c r="C3349" s="91">
        <v>45250.49027555555</v>
      </c>
      <c r="D3349" s="8">
        <f t="shared" si="277"/>
        <v>45252</v>
      </c>
      <c r="E3349" s="9" t="s">
        <v>11</v>
      </c>
      <c r="F3349" s="10"/>
      <c r="G3349" s="9" t="s">
        <v>15</v>
      </c>
      <c r="H3349" s="7" t="s">
        <v>5980</v>
      </c>
      <c r="I3349" s="9" t="s">
        <v>353</v>
      </c>
      <c r="J3349" s="88"/>
    </row>
    <row r="3350">
      <c r="A3350" s="34" t="s">
        <v>204</v>
      </c>
      <c r="B3350" s="7" t="s">
        <v>5981</v>
      </c>
      <c r="C3350" s="91">
        <v>45251.752813796295</v>
      </c>
      <c r="D3350" s="8">
        <f t="shared" si="277"/>
        <v>45253</v>
      </c>
      <c r="E3350" s="9" t="s">
        <v>11</v>
      </c>
      <c r="F3350" s="192">
        <v>45257.0</v>
      </c>
      <c r="G3350" s="9" t="s">
        <v>18</v>
      </c>
      <c r="H3350" s="7" t="s">
        <v>437</v>
      </c>
      <c r="I3350" s="9" t="s">
        <v>353</v>
      </c>
      <c r="J3350" s="88"/>
    </row>
    <row r="3351">
      <c r="A3351" s="6" t="s">
        <v>9</v>
      </c>
      <c r="B3351" s="7" t="s">
        <v>5982</v>
      </c>
      <c r="C3351" s="91">
        <v>45253.49342351852</v>
      </c>
      <c r="D3351" s="8">
        <f t="shared" si="277"/>
        <v>45257</v>
      </c>
      <c r="E3351" s="9" t="s">
        <v>11</v>
      </c>
      <c r="F3351" s="10"/>
      <c r="G3351" s="9" t="s">
        <v>15</v>
      </c>
      <c r="H3351" s="7" t="s">
        <v>5957</v>
      </c>
      <c r="I3351" s="9" t="s">
        <v>353</v>
      </c>
      <c r="J3351" s="88"/>
    </row>
    <row r="3352">
      <c r="A3352" s="6" t="s">
        <v>9</v>
      </c>
      <c r="B3352" s="7" t="s">
        <v>5983</v>
      </c>
      <c r="C3352" s="91">
        <v>45253.493557291666</v>
      </c>
      <c r="D3352" s="8">
        <f t="shared" si="277"/>
        <v>45257</v>
      </c>
      <c r="E3352" s="9" t="s">
        <v>11</v>
      </c>
      <c r="F3352" s="10"/>
      <c r="G3352" s="9" t="s">
        <v>15</v>
      </c>
      <c r="H3352" s="7" t="s">
        <v>5984</v>
      </c>
      <c r="I3352" s="9" t="s">
        <v>353</v>
      </c>
      <c r="J3352" s="88"/>
    </row>
    <row r="3353">
      <c r="A3353" s="6" t="s">
        <v>9</v>
      </c>
      <c r="B3353" s="7" t="s">
        <v>5985</v>
      </c>
      <c r="C3353" s="91">
        <v>45257.39340927084</v>
      </c>
      <c r="D3353" s="8">
        <f t="shared" si="277"/>
        <v>45259</v>
      </c>
      <c r="E3353" s="9" t="s">
        <v>11</v>
      </c>
      <c r="F3353" s="10"/>
      <c r="G3353" s="9" t="s">
        <v>15</v>
      </c>
      <c r="H3353" s="7" t="s">
        <v>5986</v>
      </c>
      <c r="I3353" s="9" t="s">
        <v>353</v>
      </c>
      <c r="J3353" s="88"/>
    </row>
    <row r="3354">
      <c r="A3354" s="42"/>
      <c r="B3354" s="117" t="s">
        <v>5987</v>
      </c>
      <c r="C3354" s="91">
        <v>45253.7102865625</v>
      </c>
      <c r="D3354" s="8"/>
      <c r="E3354" s="9"/>
      <c r="F3354" s="10"/>
      <c r="G3354" s="9" t="s">
        <v>18</v>
      </c>
      <c r="H3354" s="7" t="s">
        <v>437</v>
      </c>
      <c r="I3354" s="9" t="s">
        <v>353</v>
      </c>
      <c r="J3354" s="88"/>
    </row>
    <row r="3355">
      <c r="A3355" s="42" t="s">
        <v>330</v>
      </c>
      <c r="B3355" s="7" t="s">
        <v>5988</v>
      </c>
      <c r="C3355" s="91">
        <v>45252.71942028935</v>
      </c>
      <c r="D3355" s="8">
        <f t="shared" ref="D3355:D3406" si="278">IFERROR(_xlfn.WORKDAY.INTL(C3355, 2),"-")</f>
        <v>45254</v>
      </c>
      <c r="E3355" s="9" t="s">
        <v>11</v>
      </c>
      <c r="F3355" s="10"/>
      <c r="G3355" s="9" t="s">
        <v>15</v>
      </c>
      <c r="H3355" s="7" t="s">
        <v>2880</v>
      </c>
      <c r="I3355" s="9" t="s">
        <v>353</v>
      </c>
      <c r="J3355" s="88"/>
    </row>
    <row r="3356">
      <c r="A3356" s="6" t="s">
        <v>9</v>
      </c>
      <c r="B3356" s="7" t="s">
        <v>5989</v>
      </c>
      <c r="C3356" s="91">
        <v>45252.64148612268</v>
      </c>
      <c r="D3356" s="8">
        <f t="shared" si="278"/>
        <v>45254</v>
      </c>
      <c r="E3356" s="9" t="s">
        <v>11</v>
      </c>
      <c r="F3356" s="10"/>
      <c r="G3356" s="9" t="s">
        <v>15</v>
      </c>
      <c r="H3356" s="7" t="s">
        <v>5990</v>
      </c>
      <c r="I3356" s="9" t="s">
        <v>353</v>
      </c>
      <c r="J3356" s="88"/>
    </row>
    <row r="3357">
      <c r="A3357" s="20" t="s">
        <v>98</v>
      </c>
      <c r="B3357" s="9" t="s">
        <v>2169</v>
      </c>
      <c r="C3357" s="91">
        <v>45253.56319256945</v>
      </c>
      <c r="D3357" s="8">
        <f t="shared" si="278"/>
        <v>45257</v>
      </c>
      <c r="E3357" s="9" t="s">
        <v>206</v>
      </c>
      <c r="F3357" s="10"/>
      <c r="G3357" s="9" t="s">
        <v>15</v>
      </c>
      <c r="H3357" s="7" t="s">
        <v>5991</v>
      </c>
      <c r="I3357" s="9" t="s">
        <v>353</v>
      </c>
      <c r="J3357" s="88"/>
    </row>
    <row r="3358">
      <c r="A3358" s="34" t="s">
        <v>204</v>
      </c>
      <c r="B3358" s="7" t="s">
        <v>5992</v>
      </c>
      <c r="C3358" s="91">
        <v>45251.75085121528</v>
      </c>
      <c r="D3358" s="8">
        <f t="shared" si="278"/>
        <v>45253</v>
      </c>
      <c r="E3358" s="9" t="s">
        <v>11</v>
      </c>
      <c r="F3358" s="9" t="s">
        <v>11</v>
      </c>
      <c r="G3358" s="9" t="s">
        <v>15</v>
      </c>
      <c r="H3358" s="7" t="s">
        <v>5993</v>
      </c>
      <c r="I3358" s="9" t="s">
        <v>353</v>
      </c>
      <c r="J3358" s="88"/>
    </row>
    <row r="3359">
      <c r="A3359" s="6" t="s">
        <v>9</v>
      </c>
      <c r="B3359" s="7" t="s">
        <v>5994</v>
      </c>
      <c r="C3359" s="91">
        <v>45252.641125532406</v>
      </c>
      <c r="D3359" s="8">
        <f t="shared" si="278"/>
        <v>45254</v>
      </c>
      <c r="E3359" s="9" t="s">
        <v>11</v>
      </c>
      <c r="F3359" s="10"/>
      <c r="G3359" s="9" t="s">
        <v>15</v>
      </c>
      <c r="H3359" s="7" t="s">
        <v>5990</v>
      </c>
      <c r="I3359" s="9" t="s">
        <v>353</v>
      </c>
      <c r="J3359" s="88"/>
    </row>
    <row r="3360">
      <c r="A3360" s="6" t="s">
        <v>9</v>
      </c>
      <c r="B3360" s="7" t="s">
        <v>5995</v>
      </c>
      <c r="C3360" s="91">
        <v>45252.64127057871</v>
      </c>
      <c r="D3360" s="8">
        <f t="shared" si="278"/>
        <v>45254</v>
      </c>
      <c r="E3360" s="9" t="s">
        <v>11</v>
      </c>
      <c r="F3360" s="10"/>
      <c r="G3360" s="9" t="s">
        <v>15</v>
      </c>
      <c r="H3360" s="7" t="s">
        <v>5752</v>
      </c>
      <c r="I3360" s="9" t="s">
        <v>353</v>
      </c>
      <c r="J3360" s="88"/>
    </row>
    <row r="3361">
      <c r="A3361" s="6" t="s">
        <v>9</v>
      </c>
      <c r="B3361" s="7" t="s">
        <v>5996</v>
      </c>
      <c r="C3361" s="91">
        <v>45252.64141664351</v>
      </c>
      <c r="D3361" s="8">
        <f t="shared" si="278"/>
        <v>45254</v>
      </c>
      <c r="E3361" s="9" t="s">
        <v>11</v>
      </c>
      <c r="F3361" s="10"/>
      <c r="G3361" s="9" t="s">
        <v>15</v>
      </c>
      <c r="H3361" s="7" t="s">
        <v>5752</v>
      </c>
      <c r="I3361" s="9" t="s">
        <v>353</v>
      </c>
      <c r="J3361" s="88"/>
    </row>
    <row r="3362">
      <c r="A3362" s="6" t="s">
        <v>9</v>
      </c>
      <c r="B3362" s="7" t="s">
        <v>5997</v>
      </c>
      <c r="C3362" s="91">
        <v>45252.6411932176</v>
      </c>
      <c r="D3362" s="8">
        <f t="shared" si="278"/>
        <v>45254</v>
      </c>
      <c r="E3362" s="9" t="s">
        <v>11</v>
      </c>
      <c r="F3362" s="10"/>
      <c r="G3362" s="9" t="s">
        <v>15</v>
      </c>
      <c r="H3362" s="7" t="s">
        <v>5752</v>
      </c>
      <c r="I3362" s="9" t="s">
        <v>353</v>
      </c>
      <c r="J3362" s="88"/>
    </row>
    <row r="3363">
      <c r="A3363" s="6" t="s">
        <v>9</v>
      </c>
      <c r="B3363" s="7" t="s">
        <v>5998</v>
      </c>
      <c r="C3363" s="91">
        <v>45252.641341180555</v>
      </c>
      <c r="D3363" s="8">
        <f t="shared" si="278"/>
        <v>45254</v>
      </c>
      <c r="E3363" s="9" t="s">
        <v>11</v>
      </c>
      <c r="F3363" s="10"/>
      <c r="G3363" s="9" t="s">
        <v>15</v>
      </c>
      <c r="H3363" s="7" t="s">
        <v>5752</v>
      </c>
      <c r="I3363" s="9" t="s">
        <v>353</v>
      </c>
      <c r="J3363" s="88"/>
    </row>
    <row r="3364">
      <c r="A3364" s="6" t="s">
        <v>9</v>
      </c>
      <c r="B3364" s="7" t="s">
        <v>5999</v>
      </c>
      <c r="C3364" s="91">
        <v>45252.64155166667</v>
      </c>
      <c r="D3364" s="8">
        <f t="shared" si="278"/>
        <v>45254</v>
      </c>
      <c r="E3364" s="9" t="s">
        <v>11</v>
      </c>
      <c r="F3364" s="10"/>
      <c r="G3364" s="9" t="s">
        <v>15</v>
      </c>
      <c r="H3364" s="7" t="s">
        <v>5752</v>
      </c>
      <c r="I3364" s="9" t="s">
        <v>353</v>
      </c>
      <c r="J3364" s="88"/>
    </row>
    <row r="3365">
      <c r="A3365" s="6" t="s">
        <v>9</v>
      </c>
      <c r="B3365" s="7" t="s">
        <v>6000</v>
      </c>
      <c r="C3365" s="91">
        <v>45252.64094166667</v>
      </c>
      <c r="D3365" s="8">
        <f t="shared" si="278"/>
        <v>45254</v>
      </c>
      <c r="E3365" s="9" t="s">
        <v>11</v>
      </c>
      <c r="F3365" s="10"/>
      <c r="G3365" s="9" t="s">
        <v>15</v>
      </c>
      <c r="H3365" s="7" t="s">
        <v>5752</v>
      </c>
      <c r="I3365" s="9" t="s">
        <v>353</v>
      </c>
      <c r="J3365" s="88"/>
    </row>
    <row r="3366">
      <c r="A3366" s="6" t="s">
        <v>9</v>
      </c>
      <c r="B3366" s="7" t="s">
        <v>6001</v>
      </c>
      <c r="C3366" s="91">
        <v>45252.64083371528</v>
      </c>
      <c r="D3366" s="8">
        <f t="shared" si="278"/>
        <v>45254</v>
      </c>
      <c r="E3366" s="9" t="s">
        <v>11</v>
      </c>
      <c r="F3366" s="10"/>
      <c r="G3366" s="9" t="s">
        <v>15</v>
      </c>
      <c r="H3366" s="7" t="s">
        <v>5752</v>
      </c>
      <c r="I3366" s="9" t="s">
        <v>353</v>
      </c>
      <c r="J3366" s="88"/>
    </row>
    <row r="3367">
      <c r="A3367" s="6" t="s">
        <v>9</v>
      </c>
      <c r="B3367" s="7" t="s">
        <v>6002</v>
      </c>
      <c r="C3367" s="91">
        <v>45252.64076394676</v>
      </c>
      <c r="D3367" s="8">
        <f t="shared" si="278"/>
        <v>45254</v>
      </c>
      <c r="E3367" s="9" t="s">
        <v>11</v>
      </c>
      <c r="F3367" s="10"/>
      <c r="G3367" s="9" t="s">
        <v>15</v>
      </c>
      <c r="H3367" s="7" t="s">
        <v>5752</v>
      </c>
      <c r="I3367" s="9" t="s">
        <v>353</v>
      </c>
      <c r="J3367" s="88"/>
    </row>
    <row r="3368">
      <c r="A3368" s="34" t="s">
        <v>204</v>
      </c>
      <c r="B3368" s="7" t="s">
        <v>6003</v>
      </c>
      <c r="C3368" s="91">
        <v>45251.75242601852</v>
      </c>
      <c r="D3368" s="8">
        <f t="shared" si="278"/>
        <v>45253</v>
      </c>
      <c r="E3368" s="9" t="s">
        <v>11</v>
      </c>
      <c r="F3368" s="8">
        <v>45253.0</v>
      </c>
      <c r="G3368" s="9" t="s">
        <v>18</v>
      </c>
      <c r="H3368" s="7" t="s">
        <v>6004</v>
      </c>
      <c r="I3368" s="9" t="s">
        <v>353</v>
      </c>
      <c r="J3368" s="88"/>
    </row>
    <row r="3369">
      <c r="A3369" s="6" t="s">
        <v>9</v>
      </c>
      <c r="B3369" s="7" t="s">
        <v>5768</v>
      </c>
      <c r="C3369" s="91">
        <v>45202.69151125</v>
      </c>
      <c r="D3369" s="8">
        <f t="shared" si="278"/>
        <v>45204</v>
      </c>
      <c r="E3369" s="9" t="s">
        <v>11</v>
      </c>
      <c r="F3369" s="10"/>
      <c r="G3369" s="9" t="s">
        <v>15</v>
      </c>
      <c r="H3369" s="7" t="s">
        <v>6005</v>
      </c>
      <c r="I3369" s="9" t="s">
        <v>353</v>
      </c>
      <c r="J3369" s="88"/>
    </row>
    <row r="3370">
      <c r="A3370" s="42" t="s">
        <v>330</v>
      </c>
      <c r="B3370" s="7" t="s">
        <v>6006</v>
      </c>
      <c r="C3370" s="91">
        <v>45251.42306728009</v>
      </c>
      <c r="D3370" s="8">
        <f t="shared" si="278"/>
        <v>45253</v>
      </c>
      <c r="E3370" s="9" t="s">
        <v>11</v>
      </c>
      <c r="F3370" s="10"/>
      <c r="G3370" s="9" t="s">
        <v>15</v>
      </c>
      <c r="H3370" s="7" t="s">
        <v>6007</v>
      </c>
      <c r="I3370" s="9" t="s">
        <v>353</v>
      </c>
      <c r="J3370" s="88"/>
    </row>
    <row r="3371">
      <c r="A3371" s="42" t="s">
        <v>330</v>
      </c>
      <c r="B3371" s="7" t="s">
        <v>6008</v>
      </c>
      <c r="C3371" s="91">
        <v>45252.5754853588</v>
      </c>
      <c r="D3371" s="8">
        <f t="shared" si="278"/>
        <v>45254</v>
      </c>
      <c r="E3371" s="9" t="s">
        <v>11</v>
      </c>
      <c r="F3371" s="10"/>
      <c r="G3371" s="9" t="s">
        <v>18</v>
      </c>
      <c r="H3371" s="7" t="s">
        <v>6009</v>
      </c>
      <c r="I3371" s="9" t="s">
        <v>353</v>
      </c>
      <c r="J3371" s="88"/>
    </row>
    <row r="3372">
      <c r="A3372" s="34" t="s">
        <v>204</v>
      </c>
      <c r="B3372" s="7" t="s">
        <v>6010</v>
      </c>
      <c r="C3372" s="91">
        <v>45252.63237831018</v>
      </c>
      <c r="D3372" s="8">
        <f t="shared" si="278"/>
        <v>45254</v>
      </c>
      <c r="E3372" s="9" t="s">
        <v>11</v>
      </c>
      <c r="F3372" s="10"/>
      <c r="G3372" s="9" t="s">
        <v>18</v>
      </c>
      <c r="H3372" s="7" t="s">
        <v>437</v>
      </c>
      <c r="I3372" s="9" t="s">
        <v>353</v>
      </c>
      <c r="J3372" s="88"/>
    </row>
    <row r="3373">
      <c r="A3373" s="20" t="s">
        <v>98</v>
      </c>
      <c r="B3373" s="9" t="s">
        <v>6011</v>
      </c>
      <c r="C3373" s="91">
        <v>45252.57357530092</v>
      </c>
      <c r="D3373" s="8">
        <f t="shared" si="278"/>
        <v>45254</v>
      </c>
      <c r="E3373" s="9" t="s">
        <v>206</v>
      </c>
      <c r="F3373" s="10"/>
      <c r="G3373" s="9" t="s">
        <v>18</v>
      </c>
      <c r="H3373" s="7" t="s">
        <v>6012</v>
      </c>
      <c r="I3373" s="9" t="s">
        <v>353</v>
      </c>
      <c r="J3373" s="88"/>
    </row>
    <row r="3374">
      <c r="A3374" s="42" t="s">
        <v>330</v>
      </c>
      <c r="B3374" s="7" t="s">
        <v>6013</v>
      </c>
      <c r="C3374" s="91">
        <v>45250.490018564815</v>
      </c>
      <c r="D3374" s="8">
        <f t="shared" si="278"/>
        <v>45252</v>
      </c>
      <c r="E3374" s="9" t="s">
        <v>11</v>
      </c>
      <c r="F3374" s="10"/>
      <c r="G3374" s="9" t="s">
        <v>220</v>
      </c>
      <c r="H3374" s="7" t="s">
        <v>6014</v>
      </c>
      <c r="I3374" s="9" t="s">
        <v>353</v>
      </c>
      <c r="J3374" s="88"/>
    </row>
    <row r="3375">
      <c r="A3375" s="20" t="s">
        <v>98</v>
      </c>
      <c r="B3375" s="9" t="s">
        <v>6015</v>
      </c>
      <c r="C3375" s="91">
        <v>45246.61616571759</v>
      </c>
      <c r="D3375" s="8">
        <f t="shared" si="278"/>
        <v>45250</v>
      </c>
      <c r="E3375" s="9" t="s">
        <v>88</v>
      </c>
      <c r="F3375" s="10"/>
      <c r="G3375" s="9" t="s">
        <v>15</v>
      </c>
      <c r="H3375" s="7" t="s">
        <v>6016</v>
      </c>
      <c r="I3375" s="9" t="s">
        <v>353</v>
      </c>
      <c r="J3375" s="88"/>
    </row>
    <row r="3376">
      <c r="A3376" s="42" t="s">
        <v>330</v>
      </c>
      <c r="B3376" s="144" t="s">
        <v>6017</v>
      </c>
      <c r="C3376" s="91">
        <v>45250.48964775463</v>
      </c>
      <c r="D3376" s="8">
        <f t="shared" si="278"/>
        <v>45252</v>
      </c>
      <c r="E3376" s="9" t="s">
        <v>11</v>
      </c>
      <c r="F3376" s="10"/>
      <c r="G3376" s="9" t="s">
        <v>220</v>
      </c>
      <c r="H3376" s="7" t="s">
        <v>6018</v>
      </c>
      <c r="I3376" s="9" t="s">
        <v>353</v>
      </c>
      <c r="J3376" s="88"/>
    </row>
    <row r="3377">
      <c r="A3377" s="34" t="s">
        <v>204</v>
      </c>
      <c r="B3377" s="7" t="s">
        <v>6019</v>
      </c>
      <c r="C3377" s="91">
        <v>45161.65210622685</v>
      </c>
      <c r="D3377" s="8">
        <f t="shared" si="278"/>
        <v>45163</v>
      </c>
      <c r="E3377" s="9" t="s">
        <v>11</v>
      </c>
      <c r="F3377" s="8">
        <v>45252.0</v>
      </c>
      <c r="G3377" s="9" t="s">
        <v>18</v>
      </c>
      <c r="H3377" s="7" t="s">
        <v>6020</v>
      </c>
      <c r="I3377" s="9" t="s">
        <v>353</v>
      </c>
      <c r="J3377" s="88"/>
    </row>
    <row r="3378">
      <c r="A3378" s="34" t="s">
        <v>204</v>
      </c>
      <c r="B3378" s="7" t="s">
        <v>6021</v>
      </c>
      <c r="C3378" s="91">
        <v>45226.4991635301</v>
      </c>
      <c r="D3378" s="8">
        <f t="shared" si="278"/>
        <v>45230</v>
      </c>
      <c r="E3378" s="9" t="s">
        <v>11</v>
      </c>
      <c r="F3378" s="9" t="s">
        <v>11</v>
      </c>
      <c r="G3378" s="9" t="s">
        <v>15</v>
      </c>
      <c r="H3378" s="7" t="s">
        <v>6022</v>
      </c>
      <c r="I3378" s="9" t="s">
        <v>353</v>
      </c>
      <c r="J3378" s="88"/>
    </row>
    <row r="3379">
      <c r="A3379" s="6" t="s">
        <v>9</v>
      </c>
      <c r="B3379" s="7" t="s">
        <v>6023</v>
      </c>
      <c r="C3379" s="91">
        <v>45229.4742924537</v>
      </c>
      <c r="D3379" s="8">
        <f t="shared" si="278"/>
        <v>45231</v>
      </c>
      <c r="E3379" s="9" t="s">
        <v>88</v>
      </c>
      <c r="F3379" s="10"/>
      <c r="G3379" s="9" t="s">
        <v>15</v>
      </c>
      <c r="H3379" s="7" t="s">
        <v>6024</v>
      </c>
      <c r="I3379" s="9" t="s">
        <v>353</v>
      </c>
      <c r="J3379" s="88"/>
    </row>
    <row r="3380">
      <c r="A3380" s="42" t="s">
        <v>330</v>
      </c>
      <c r="B3380" s="7" t="s">
        <v>6025</v>
      </c>
      <c r="C3380" s="91">
        <v>45188.5147116088</v>
      </c>
      <c r="D3380" s="8">
        <f t="shared" si="278"/>
        <v>45190</v>
      </c>
      <c r="E3380" s="9" t="s">
        <v>11</v>
      </c>
      <c r="F3380" s="9" t="s">
        <v>11</v>
      </c>
      <c r="G3380" s="9" t="s">
        <v>89</v>
      </c>
      <c r="H3380" s="22" t="s">
        <v>6026</v>
      </c>
      <c r="I3380" s="9" t="s">
        <v>353</v>
      </c>
      <c r="J3380" s="88"/>
    </row>
    <row r="3381">
      <c r="A3381" s="6" t="s">
        <v>9</v>
      </c>
      <c r="B3381" s="7" t="s">
        <v>3525</v>
      </c>
      <c r="C3381" s="91">
        <v>45251.4611408912</v>
      </c>
      <c r="D3381" s="8">
        <f t="shared" si="278"/>
        <v>45253</v>
      </c>
      <c r="E3381" s="9" t="s">
        <v>11</v>
      </c>
      <c r="F3381" s="10"/>
      <c r="G3381" s="9" t="s">
        <v>15</v>
      </c>
      <c r="H3381" s="7" t="s">
        <v>6027</v>
      </c>
      <c r="I3381" s="9" t="s">
        <v>353</v>
      </c>
      <c r="J3381" s="88"/>
    </row>
    <row r="3382">
      <c r="A3382" s="42" t="s">
        <v>330</v>
      </c>
      <c r="B3382" s="7" t="s">
        <v>3596</v>
      </c>
      <c r="C3382" s="91">
        <v>45237.43323361111</v>
      </c>
      <c r="D3382" s="8">
        <f t="shared" si="278"/>
        <v>45239</v>
      </c>
      <c r="E3382" s="9" t="s">
        <v>11</v>
      </c>
      <c r="F3382" s="8">
        <v>45240.0</v>
      </c>
      <c r="G3382" s="9" t="s">
        <v>15</v>
      </c>
      <c r="H3382" s="185" t="s">
        <v>6028</v>
      </c>
      <c r="I3382" s="9" t="s">
        <v>353</v>
      </c>
      <c r="J3382" s="88"/>
    </row>
    <row r="3383">
      <c r="A3383" s="42" t="s">
        <v>330</v>
      </c>
      <c r="B3383" s="7" t="s">
        <v>6029</v>
      </c>
      <c r="C3383" s="91">
        <v>45243.6401880787</v>
      </c>
      <c r="D3383" s="8">
        <f t="shared" si="278"/>
        <v>45245</v>
      </c>
      <c r="E3383" s="9" t="s">
        <v>11</v>
      </c>
      <c r="F3383" s="10"/>
      <c r="G3383" s="9" t="s">
        <v>15</v>
      </c>
      <c r="H3383" s="7" t="s">
        <v>6030</v>
      </c>
      <c r="I3383" s="9" t="s">
        <v>353</v>
      </c>
      <c r="J3383" s="88"/>
    </row>
    <row r="3384">
      <c r="A3384" s="20" t="s">
        <v>98</v>
      </c>
      <c r="B3384" s="9" t="s">
        <v>6031</v>
      </c>
      <c r="C3384" s="91">
        <v>45250.568555578706</v>
      </c>
      <c r="D3384" s="8">
        <f t="shared" si="278"/>
        <v>45252</v>
      </c>
      <c r="E3384" s="9" t="s">
        <v>206</v>
      </c>
      <c r="F3384" s="10"/>
      <c r="G3384" s="9" t="s">
        <v>18</v>
      </c>
      <c r="H3384" s="7" t="s">
        <v>6032</v>
      </c>
      <c r="I3384" s="9" t="s">
        <v>353</v>
      </c>
      <c r="J3384" s="88"/>
    </row>
    <row r="3385">
      <c r="A3385" s="6" t="s">
        <v>9</v>
      </c>
      <c r="B3385" s="7" t="s">
        <v>6033</v>
      </c>
      <c r="C3385" s="91">
        <v>45218.63363708333</v>
      </c>
      <c r="D3385" s="8">
        <f t="shared" si="278"/>
        <v>45222</v>
      </c>
      <c r="E3385" s="9" t="s">
        <v>88</v>
      </c>
      <c r="F3385" s="10"/>
      <c r="G3385" s="9" t="s">
        <v>15</v>
      </c>
      <c r="H3385" s="7" t="s">
        <v>6034</v>
      </c>
      <c r="I3385" s="9" t="s">
        <v>353</v>
      </c>
      <c r="J3385" s="88"/>
    </row>
    <row r="3386">
      <c r="A3386" s="34" t="s">
        <v>204</v>
      </c>
      <c r="B3386" s="7" t="s">
        <v>6035</v>
      </c>
      <c r="C3386" s="91">
        <v>45177.47607188657</v>
      </c>
      <c r="D3386" s="8">
        <f t="shared" si="278"/>
        <v>45181</v>
      </c>
      <c r="E3386" s="9" t="s">
        <v>11</v>
      </c>
      <c r="F3386" s="192">
        <v>45250.0</v>
      </c>
      <c r="G3386" s="9" t="s">
        <v>18</v>
      </c>
      <c r="H3386" s="7" t="s">
        <v>6036</v>
      </c>
      <c r="I3386" s="9" t="s">
        <v>353</v>
      </c>
      <c r="J3386" s="88"/>
    </row>
    <row r="3387">
      <c r="A3387" s="34" t="s">
        <v>204</v>
      </c>
      <c r="B3387" s="7" t="s">
        <v>6037</v>
      </c>
      <c r="C3387" s="91">
        <v>45236.76953773148</v>
      </c>
      <c r="D3387" s="8">
        <f t="shared" si="278"/>
        <v>45238</v>
      </c>
      <c r="E3387" s="9" t="s">
        <v>11</v>
      </c>
      <c r="F3387" s="192">
        <v>45250.0</v>
      </c>
      <c r="G3387" s="9" t="s">
        <v>18</v>
      </c>
      <c r="H3387" s="7" t="s">
        <v>6038</v>
      </c>
      <c r="I3387" s="9" t="s">
        <v>353</v>
      </c>
      <c r="J3387" s="88"/>
    </row>
    <row r="3388">
      <c r="A3388" s="34" t="s">
        <v>204</v>
      </c>
      <c r="B3388" s="7" t="s">
        <v>6039</v>
      </c>
      <c r="C3388" s="91">
        <v>45233.567733819444</v>
      </c>
      <c r="D3388" s="8">
        <f t="shared" si="278"/>
        <v>45237</v>
      </c>
      <c r="E3388" s="9" t="s">
        <v>11</v>
      </c>
      <c r="F3388" s="192">
        <v>45250.0</v>
      </c>
      <c r="G3388" s="9" t="s">
        <v>18</v>
      </c>
      <c r="H3388" s="7" t="s">
        <v>6040</v>
      </c>
      <c r="I3388" s="9" t="s">
        <v>353</v>
      </c>
      <c r="J3388" s="88"/>
    </row>
    <row r="3389">
      <c r="A3389" s="6" t="s">
        <v>9</v>
      </c>
      <c r="B3389" s="7" t="s">
        <v>6041</v>
      </c>
      <c r="C3389" s="91">
        <v>45250.48366994213</v>
      </c>
      <c r="D3389" s="8">
        <f t="shared" si="278"/>
        <v>45252</v>
      </c>
      <c r="E3389" s="9" t="s">
        <v>11</v>
      </c>
      <c r="F3389" s="10"/>
      <c r="G3389" s="9" t="s">
        <v>15</v>
      </c>
      <c r="H3389" s="7" t="s">
        <v>6042</v>
      </c>
      <c r="I3389" s="9" t="s">
        <v>353</v>
      </c>
      <c r="J3389" s="88"/>
    </row>
    <row r="3390">
      <c r="A3390" s="6" t="s">
        <v>9</v>
      </c>
      <c r="B3390" s="7" t="s">
        <v>5570</v>
      </c>
      <c r="C3390" s="91">
        <v>45247.32874861111</v>
      </c>
      <c r="D3390" s="8">
        <f t="shared" si="278"/>
        <v>45251</v>
      </c>
      <c r="E3390" s="9" t="s">
        <v>11</v>
      </c>
      <c r="F3390" s="10"/>
      <c r="G3390" s="9" t="s">
        <v>15</v>
      </c>
      <c r="H3390" s="7" t="s">
        <v>6042</v>
      </c>
      <c r="I3390" s="9" t="s">
        <v>353</v>
      </c>
      <c r="J3390" s="88"/>
    </row>
    <row r="3391">
      <c r="A3391" s="20" t="s">
        <v>98</v>
      </c>
      <c r="B3391" s="9" t="s">
        <v>3495</v>
      </c>
      <c r="C3391" s="91">
        <v>45233.790129305555</v>
      </c>
      <c r="D3391" s="8">
        <f t="shared" si="278"/>
        <v>45237</v>
      </c>
      <c r="E3391" s="9" t="s">
        <v>206</v>
      </c>
      <c r="F3391" s="10"/>
      <c r="G3391" s="9" t="s">
        <v>18</v>
      </c>
      <c r="H3391" s="7" t="s">
        <v>6043</v>
      </c>
      <c r="I3391" s="9" t="s">
        <v>353</v>
      </c>
      <c r="J3391" s="88"/>
    </row>
    <row r="3392">
      <c r="A3392" s="20" t="s">
        <v>98</v>
      </c>
      <c r="B3392" s="9" t="s">
        <v>6044</v>
      </c>
      <c r="C3392" s="91">
        <v>45250.43632440972</v>
      </c>
      <c r="D3392" s="8">
        <f t="shared" si="278"/>
        <v>45252</v>
      </c>
      <c r="E3392" s="9" t="s">
        <v>88</v>
      </c>
      <c r="F3392" s="10"/>
      <c r="G3392" s="9" t="s">
        <v>15</v>
      </c>
      <c r="H3392" s="7" t="s">
        <v>6045</v>
      </c>
      <c r="I3392" s="9" t="s">
        <v>353</v>
      </c>
      <c r="J3392" s="88"/>
    </row>
    <row r="3393">
      <c r="A3393" s="42" t="s">
        <v>330</v>
      </c>
      <c r="B3393" s="7" t="s">
        <v>6046</v>
      </c>
      <c r="C3393" s="91">
        <v>45245.648865324074</v>
      </c>
      <c r="D3393" s="8">
        <f t="shared" si="278"/>
        <v>45247</v>
      </c>
      <c r="E3393" s="9" t="s">
        <v>11</v>
      </c>
      <c r="F3393" s="10"/>
      <c r="G3393" s="9" t="s">
        <v>15</v>
      </c>
      <c r="H3393" s="7" t="s">
        <v>6047</v>
      </c>
      <c r="I3393" s="9" t="s">
        <v>353</v>
      </c>
      <c r="J3393" s="88"/>
    </row>
    <row r="3394">
      <c r="A3394" s="42" t="s">
        <v>330</v>
      </c>
      <c r="B3394" s="7" t="s">
        <v>6048</v>
      </c>
      <c r="C3394" s="91">
        <v>45232.43381565972</v>
      </c>
      <c r="D3394" s="8">
        <f t="shared" si="278"/>
        <v>45236</v>
      </c>
      <c r="E3394" s="9" t="s">
        <v>11</v>
      </c>
      <c r="F3394" s="9" t="s">
        <v>11</v>
      </c>
      <c r="G3394" s="9" t="s">
        <v>18</v>
      </c>
      <c r="H3394" s="7" t="s">
        <v>437</v>
      </c>
      <c r="I3394" s="9" t="s">
        <v>353</v>
      </c>
      <c r="J3394" s="88"/>
    </row>
    <row r="3395">
      <c r="A3395" s="20" t="s">
        <v>98</v>
      </c>
      <c r="B3395" s="9" t="s">
        <v>6049</v>
      </c>
      <c r="C3395" s="91">
        <v>45232.36668690972</v>
      </c>
      <c r="D3395" s="8">
        <f t="shared" si="278"/>
        <v>45236</v>
      </c>
      <c r="E3395" s="9" t="s">
        <v>88</v>
      </c>
      <c r="F3395" s="10"/>
      <c r="G3395" s="9" t="s">
        <v>15</v>
      </c>
      <c r="H3395" s="23" t="s">
        <v>6050</v>
      </c>
      <c r="I3395" s="9" t="s">
        <v>353</v>
      </c>
      <c r="J3395" s="88"/>
    </row>
    <row r="3396">
      <c r="A3396" s="20" t="s">
        <v>98</v>
      </c>
      <c r="B3396" s="9" t="s">
        <v>6051</v>
      </c>
      <c r="C3396" s="91">
        <v>45247.44406578704</v>
      </c>
      <c r="D3396" s="8">
        <f t="shared" si="278"/>
        <v>45251</v>
      </c>
      <c r="E3396" s="9" t="s">
        <v>206</v>
      </c>
      <c r="F3396" s="10"/>
      <c r="G3396" s="9" t="s">
        <v>15</v>
      </c>
      <c r="H3396" s="7" t="s">
        <v>6052</v>
      </c>
      <c r="I3396" s="9" t="s">
        <v>353</v>
      </c>
      <c r="J3396" s="88"/>
    </row>
    <row r="3397">
      <c r="A3397" s="20" t="s">
        <v>98</v>
      </c>
      <c r="B3397" s="9" t="s">
        <v>6053</v>
      </c>
      <c r="C3397" s="91">
        <v>45246.36524427083</v>
      </c>
      <c r="D3397" s="8">
        <f t="shared" si="278"/>
        <v>45250</v>
      </c>
      <c r="E3397" s="9" t="s">
        <v>88</v>
      </c>
      <c r="F3397" s="10"/>
      <c r="G3397" s="9" t="s">
        <v>15</v>
      </c>
      <c r="H3397" s="7" t="s">
        <v>6045</v>
      </c>
      <c r="I3397" s="9" t="s">
        <v>353</v>
      </c>
      <c r="J3397" s="88"/>
    </row>
    <row r="3398">
      <c r="A3398" s="20" t="s">
        <v>98</v>
      </c>
      <c r="B3398" s="9" t="s">
        <v>6054</v>
      </c>
      <c r="C3398" s="91">
        <v>45247.360939375</v>
      </c>
      <c r="D3398" s="8">
        <f t="shared" si="278"/>
        <v>45251</v>
      </c>
      <c r="E3398" s="9" t="s">
        <v>206</v>
      </c>
      <c r="F3398" s="10"/>
      <c r="G3398" s="9" t="s">
        <v>18</v>
      </c>
      <c r="H3398" s="11"/>
      <c r="I3398" s="9" t="s">
        <v>353</v>
      </c>
      <c r="J3398" s="88"/>
    </row>
    <row r="3399">
      <c r="A3399" s="6" t="s">
        <v>9</v>
      </c>
      <c r="B3399" s="7" t="s">
        <v>6055</v>
      </c>
      <c r="C3399" s="91">
        <v>45246.71569916667</v>
      </c>
      <c r="D3399" s="8">
        <f t="shared" si="278"/>
        <v>45250</v>
      </c>
      <c r="E3399" s="9" t="s">
        <v>11</v>
      </c>
      <c r="F3399" s="10"/>
      <c r="G3399" s="9"/>
      <c r="H3399" s="11"/>
      <c r="I3399" s="9" t="s">
        <v>353</v>
      </c>
      <c r="J3399" s="88"/>
    </row>
    <row r="3400">
      <c r="A3400" s="6" t="s">
        <v>9</v>
      </c>
      <c r="B3400" s="7" t="s">
        <v>6056</v>
      </c>
      <c r="C3400" s="91">
        <v>45244.7343409375</v>
      </c>
      <c r="D3400" s="8">
        <f t="shared" si="278"/>
        <v>45246</v>
      </c>
      <c r="E3400" s="9" t="s">
        <v>11</v>
      </c>
      <c r="F3400" s="10"/>
      <c r="G3400" s="9" t="s">
        <v>18</v>
      </c>
      <c r="H3400" s="7" t="s">
        <v>6057</v>
      </c>
      <c r="I3400" s="9" t="s">
        <v>353</v>
      </c>
      <c r="J3400" s="88"/>
    </row>
    <row r="3401">
      <c r="A3401" s="20" t="s">
        <v>98</v>
      </c>
      <c r="B3401" s="9" t="s">
        <v>6058</v>
      </c>
      <c r="C3401" s="91">
        <v>45216.49949548611</v>
      </c>
      <c r="D3401" s="8">
        <f t="shared" si="278"/>
        <v>45218</v>
      </c>
      <c r="E3401" s="9" t="s">
        <v>206</v>
      </c>
      <c r="F3401" s="10"/>
      <c r="G3401" s="9" t="s">
        <v>18</v>
      </c>
      <c r="H3401" s="193" t="s">
        <v>6059</v>
      </c>
      <c r="I3401" s="9" t="s">
        <v>353</v>
      </c>
      <c r="J3401" s="88"/>
    </row>
    <row r="3402">
      <c r="A3402" s="6" t="s">
        <v>9</v>
      </c>
      <c r="B3402" s="7" t="s">
        <v>6060</v>
      </c>
      <c r="C3402" s="91">
        <v>45244.61964769676</v>
      </c>
      <c r="D3402" s="8">
        <f t="shared" si="278"/>
        <v>45246</v>
      </c>
      <c r="E3402" s="9" t="s">
        <v>88</v>
      </c>
      <c r="F3402" s="10"/>
      <c r="G3402" s="9" t="s">
        <v>15</v>
      </c>
      <c r="H3402" s="7" t="s">
        <v>6061</v>
      </c>
      <c r="I3402" s="9" t="s">
        <v>353</v>
      </c>
      <c r="J3402" s="88"/>
    </row>
    <row r="3403">
      <c r="A3403" s="6" t="s">
        <v>9</v>
      </c>
      <c r="B3403" s="7" t="s">
        <v>6062</v>
      </c>
      <c r="C3403" s="91">
        <v>45243.60342966435</v>
      </c>
      <c r="D3403" s="8">
        <f t="shared" si="278"/>
        <v>45245</v>
      </c>
      <c r="E3403" s="9" t="s">
        <v>88</v>
      </c>
      <c r="F3403" s="10"/>
      <c r="G3403" s="9" t="s">
        <v>15</v>
      </c>
      <c r="H3403" s="7" t="s">
        <v>6063</v>
      </c>
      <c r="I3403" s="9" t="s">
        <v>353</v>
      </c>
      <c r="J3403" s="88"/>
    </row>
    <row r="3404">
      <c r="A3404" s="6" t="s">
        <v>9</v>
      </c>
      <c r="B3404" s="7" t="s">
        <v>5768</v>
      </c>
      <c r="C3404" s="91">
        <v>45245.49869658565</v>
      </c>
      <c r="D3404" s="8">
        <f t="shared" si="278"/>
        <v>45247</v>
      </c>
      <c r="E3404" s="9" t="s">
        <v>11</v>
      </c>
      <c r="F3404" s="10"/>
      <c r="G3404" s="9" t="s">
        <v>15</v>
      </c>
      <c r="H3404" s="7" t="s">
        <v>6064</v>
      </c>
      <c r="I3404" s="9" t="s">
        <v>353</v>
      </c>
      <c r="J3404" s="88"/>
    </row>
    <row r="3405">
      <c r="A3405" s="20" t="s">
        <v>204</v>
      </c>
      <c r="B3405" s="7" t="s">
        <v>6065</v>
      </c>
      <c r="C3405" s="91">
        <v>45161.60502533565</v>
      </c>
      <c r="D3405" s="8">
        <f t="shared" si="278"/>
        <v>45163</v>
      </c>
      <c r="E3405" s="9" t="s">
        <v>88</v>
      </c>
      <c r="F3405" s="9" t="s">
        <v>11</v>
      </c>
      <c r="G3405" s="9" t="s">
        <v>15</v>
      </c>
      <c r="H3405" s="23" t="s">
        <v>6066</v>
      </c>
      <c r="I3405" s="9" t="s">
        <v>353</v>
      </c>
      <c r="J3405" s="88"/>
    </row>
    <row r="3406">
      <c r="A3406" s="34" t="s">
        <v>204</v>
      </c>
      <c r="B3406" s="7" t="s">
        <v>6067</v>
      </c>
      <c r="C3406" s="91">
        <v>45209.750612986114</v>
      </c>
      <c r="D3406" s="8">
        <f t="shared" si="278"/>
        <v>45211</v>
      </c>
      <c r="E3406" s="9" t="s">
        <v>11</v>
      </c>
      <c r="F3406" s="192">
        <v>45245.0</v>
      </c>
      <c r="G3406" s="9" t="s">
        <v>18</v>
      </c>
      <c r="H3406" s="7" t="s">
        <v>6068</v>
      </c>
      <c r="I3406" s="9" t="s">
        <v>13</v>
      </c>
      <c r="J3406" s="88"/>
    </row>
    <row r="3407">
      <c r="A3407" s="88"/>
      <c r="B3407" s="89"/>
      <c r="C3407" s="90"/>
      <c r="D3407" s="89"/>
      <c r="E3407" s="89"/>
      <c r="F3407" s="89"/>
      <c r="G3407" s="89"/>
      <c r="H3407" s="87"/>
      <c r="I3407" s="89"/>
      <c r="J3407" s="88"/>
    </row>
    <row r="3408">
      <c r="A3408" s="20" t="s">
        <v>98</v>
      </c>
      <c r="B3408" s="9" t="s">
        <v>6069</v>
      </c>
      <c r="C3408" s="91">
        <v>45232.65499758102</v>
      </c>
      <c r="D3408" s="8">
        <f t="shared" ref="D3408:D3429" si="279">IFERROR(_xlfn.WORKDAY.INTL(C3408, 2),"-")</f>
        <v>45236</v>
      </c>
      <c r="E3408" s="9" t="s">
        <v>11</v>
      </c>
      <c r="F3408" s="10"/>
      <c r="G3408" s="9" t="s">
        <v>15</v>
      </c>
      <c r="H3408" s="22" t="s">
        <v>6070</v>
      </c>
      <c r="I3408" s="9" t="s">
        <v>353</v>
      </c>
      <c r="J3408" s="88"/>
    </row>
    <row r="3409">
      <c r="A3409" s="6" t="s">
        <v>9</v>
      </c>
      <c r="B3409" s="7" t="s">
        <v>3525</v>
      </c>
      <c r="C3409" s="91">
        <v>45245.47935267361</v>
      </c>
      <c r="D3409" s="8">
        <f t="shared" si="279"/>
        <v>45247</v>
      </c>
      <c r="E3409" s="9" t="s">
        <v>11</v>
      </c>
      <c r="F3409" s="10"/>
      <c r="G3409" s="9" t="s">
        <v>15</v>
      </c>
      <c r="H3409" s="7" t="s">
        <v>3288</v>
      </c>
      <c r="I3409" s="9" t="s">
        <v>353</v>
      </c>
      <c r="J3409" s="88"/>
    </row>
    <row r="3410">
      <c r="A3410" s="20" t="s">
        <v>204</v>
      </c>
      <c r="B3410" s="7" t="s">
        <v>6071</v>
      </c>
      <c r="C3410" s="91">
        <v>45161.60757436343</v>
      </c>
      <c r="D3410" s="8">
        <f t="shared" si="279"/>
        <v>45163</v>
      </c>
      <c r="E3410" s="9" t="s">
        <v>88</v>
      </c>
      <c r="F3410" s="9" t="s">
        <v>11</v>
      </c>
      <c r="G3410" s="9" t="s">
        <v>21</v>
      </c>
      <c r="H3410" s="7" t="s">
        <v>6072</v>
      </c>
      <c r="I3410" s="9" t="s">
        <v>353</v>
      </c>
      <c r="J3410" s="88"/>
    </row>
    <row r="3411">
      <c r="A3411" s="20" t="s">
        <v>98</v>
      </c>
      <c r="B3411" s="9" t="s">
        <v>6073</v>
      </c>
      <c r="C3411" s="91">
        <v>45224.36887918982</v>
      </c>
      <c r="D3411" s="8">
        <f t="shared" si="279"/>
        <v>45226</v>
      </c>
      <c r="E3411" s="9" t="s">
        <v>88</v>
      </c>
      <c r="F3411" s="10"/>
      <c r="G3411" s="9" t="s">
        <v>15</v>
      </c>
      <c r="H3411" s="23" t="s">
        <v>6074</v>
      </c>
      <c r="I3411" s="9" t="s">
        <v>353</v>
      </c>
      <c r="J3411" s="88"/>
    </row>
    <row r="3412">
      <c r="A3412" s="34" t="s">
        <v>204</v>
      </c>
      <c r="B3412" s="7" t="s">
        <v>5310</v>
      </c>
      <c r="C3412" s="91">
        <v>45161.65228620371</v>
      </c>
      <c r="D3412" s="8">
        <f t="shared" si="279"/>
        <v>45163</v>
      </c>
      <c r="E3412" s="9" t="s">
        <v>11</v>
      </c>
      <c r="F3412" s="10"/>
      <c r="G3412" s="9" t="s">
        <v>15</v>
      </c>
      <c r="H3412" s="7" t="s">
        <v>5468</v>
      </c>
      <c r="I3412" s="9" t="s">
        <v>353</v>
      </c>
      <c r="J3412" s="88"/>
    </row>
    <row r="3413">
      <c r="A3413" s="34" t="s">
        <v>204</v>
      </c>
      <c r="B3413" s="7" t="s">
        <v>6075</v>
      </c>
      <c r="C3413" s="91">
        <v>45093.4680612963</v>
      </c>
      <c r="D3413" s="8">
        <f t="shared" si="279"/>
        <v>45097</v>
      </c>
      <c r="E3413" s="9" t="s">
        <v>11</v>
      </c>
      <c r="F3413" s="192">
        <v>45244.0</v>
      </c>
      <c r="G3413" s="9" t="s">
        <v>18</v>
      </c>
      <c r="H3413" s="7" t="s">
        <v>6076</v>
      </c>
      <c r="I3413" s="9" t="s">
        <v>353</v>
      </c>
      <c r="J3413" s="88"/>
    </row>
    <row r="3414">
      <c r="A3414" s="20" t="s">
        <v>98</v>
      </c>
      <c r="B3414" s="9" t="s">
        <v>1169</v>
      </c>
      <c r="C3414" s="91">
        <v>45233.79017976852</v>
      </c>
      <c r="D3414" s="8">
        <f t="shared" si="279"/>
        <v>45237</v>
      </c>
      <c r="E3414" s="9" t="s">
        <v>206</v>
      </c>
      <c r="F3414" s="10"/>
      <c r="G3414" s="9" t="s">
        <v>18</v>
      </c>
      <c r="H3414" s="7" t="s">
        <v>6077</v>
      </c>
      <c r="I3414" s="9" t="s">
        <v>353</v>
      </c>
      <c r="J3414" s="88"/>
    </row>
    <row r="3415">
      <c r="A3415" s="34" t="s">
        <v>204</v>
      </c>
      <c r="B3415" s="7" t="s">
        <v>6078</v>
      </c>
      <c r="C3415" s="91">
        <v>45236.76944034723</v>
      </c>
      <c r="D3415" s="8">
        <f t="shared" si="279"/>
        <v>45238</v>
      </c>
      <c r="E3415" s="9" t="s">
        <v>11</v>
      </c>
      <c r="F3415" s="192">
        <v>45244.0</v>
      </c>
      <c r="G3415" s="9" t="s">
        <v>18</v>
      </c>
      <c r="H3415" s="7" t="s">
        <v>6079</v>
      </c>
      <c r="I3415" s="9" t="s">
        <v>353</v>
      </c>
      <c r="J3415" s="88"/>
    </row>
    <row r="3416">
      <c r="A3416" s="42" t="s">
        <v>330</v>
      </c>
      <c r="B3416" s="7" t="s">
        <v>6080</v>
      </c>
      <c r="C3416" s="91">
        <v>45238.34266096065</v>
      </c>
      <c r="D3416" s="8">
        <f t="shared" si="279"/>
        <v>45240</v>
      </c>
      <c r="E3416" s="9" t="s">
        <v>11</v>
      </c>
      <c r="F3416" s="8"/>
      <c r="G3416" s="9" t="s">
        <v>15</v>
      </c>
      <c r="H3416" s="7" t="s">
        <v>6081</v>
      </c>
      <c r="I3416" s="9" t="s">
        <v>353</v>
      </c>
      <c r="J3416" s="88"/>
    </row>
    <row r="3417">
      <c r="A3417" s="20" t="s">
        <v>98</v>
      </c>
      <c r="B3417" s="9" t="s">
        <v>6082</v>
      </c>
      <c r="C3417" s="91">
        <v>45243.64643797454</v>
      </c>
      <c r="D3417" s="8">
        <f t="shared" si="279"/>
        <v>45245</v>
      </c>
      <c r="E3417" s="9" t="s">
        <v>88</v>
      </c>
      <c r="F3417" s="10"/>
      <c r="G3417" s="9" t="s">
        <v>15</v>
      </c>
      <c r="H3417" s="7" t="s">
        <v>6083</v>
      </c>
      <c r="I3417" s="9" t="s">
        <v>353</v>
      </c>
      <c r="J3417" s="88"/>
    </row>
    <row r="3418">
      <c r="A3418" s="6" t="s">
        <v>9</v>
      </c>
      <c r="B3418" s="7" t="s">
        <v>6084</v>
      </c>
      <c r="C3418" s="91">
        <v>45238.63335503472</v>
      </c>
      <c r="D3418" s="8">
        <f t="shared" si="279"/>
        <v>45240</v>
      </c>
      <c r="E3418" s="9" t="s">
        <v>11</v>
      </c>
      <c r="F3418" s="10"/>
      <c r="G3418" s="9" t="s">
        <v>15</v>
      </c>
      <c r="H3418" s="7" t="s">
        <v>6085</v>
      </c>
      <c r="I3418" s="9" t="s">
        <v>353</v>
      </c>
      <c r="J3418" s="88"/>
    </row>
    <row r="3419">
      <c r="A3419" s="20" t="s">
        <v>98</v>
      </c>
      <c r="B3419" s="9" t="s">
        <v>6086</v>
      </c>
      <c r="C3419" s="91">
        <v>45243.63107084491</v>
      </c>
      <c r="D3419" s="8">
        <f t="shared" si="279"/>
        <v>45245</v>
      </c>
      <c r="E3419" s="9" t="s">
        <v>88</v>
      </c>
      <c r="F3419" s="10"/>
      <c r="G3419" s="9" t="s">
        <v>18</v>
      </c>
      <c r="H3419" s="11"/>
      <c r="I3419" s="9" t="s">
        <v>353</v>
      </c>
      <c r="J3419" s="88"/>
    </row>
    <row r="3420">
      <c r="A3420" s="6" t="s">
        <v>9</v>
      </c>
      <c r="B3420" s="7" t="s">
        <v>6087</v>
      </c>
      <c r="C3420" s="91">
        <v>45240.50506055556</v>
      </c>
      <c r="D3420" s="8">
        <f t="shared" si="279"/>
        <v>45244</v>
      </c>
      <c r="E3420" s="9" t="s">
        <v>11</v>
      </c>
      <c r="F3420" s="10"/>
      <c r="G3420" s="9" t="s">
        <v>15</v>
      </c>
      <c r="H3420" s="7" t="s">
        <v>6088</v>
      </c>
      <c r="I3420" s="9" t="s">
        <v>353</v>
      </c>
      <c r="J3420" s="88"/>
    </row>
    <row r="3421">
      <c r="A3421" s="20" t="s">
        <v>98</v>
      </c>
      <c r="B3421" s="9" t="s">
        <v>6089</v>
      </c>
      <c r="C3421" s="91">
        <v>45236.50440582176</v>
      </c>
      <c r="D3421" s="8">
        <f t="shared" si="279"/>
        <v>45238</v>
      </c>
      <c r="E3421" s="9" t="s">
        <v>11</v>
      </c>
      <c r="F3421" s="10"/>
      <c r="G3421" s="9" t="s">
        <v>18</v>
      </c>
      <c r="H3421" s="7" t="s">
        <v>6090</v>
      </c>
      <c r="I3421" s="9" t="s">
        <v>353</v>
      </c>
      <c r="J3421" s="88"/>
    </row>
    <row r="3422">
      <c r="A3422" s="6" t="s">
        <v>9</v>
      </c>
      <c r="B3422" s="7" t="s">
        <v>3525</v>
      </c>
      <c r="C3422" s="91">
        <v>45240.513872951386</v>
      </c>
      <c r="D3422" s="8">
        <f t="shared" si="279"/>
        <v>45244</v>
      </c>
      <c r="E3422" s="9" t="s">
        <v>11</v>
      </c>
      <c r="F3422" s="10"/>
      <c r="G3422" s="9" t="s">
        <v>15</v>
      </c>
      <c r="H3422" s="7" t="s">
        <v>6091</v>
      </c>
      <c r="I3422" s="9" t="s">
        <v>353</v>
      </c>
      <c r="J3422" s="88"/>
    </row>
    <row r="3423">
      <c r="A3423" s="20" t="s">
        <v>98</v>
      </c>
      <c r="B3423" s="9" t="s">
        <v>6092</v>
      </c>
      <c r="C3423" s="91">
        <v>45239.34364064815</v>
      </c>
      <c r="D3423" s="8">
        <f t="shared" si="279"/>
        <v>45243</v>
      </c>
      <c r="E3423" s="9" t="s">
        <v>206</v>
      </c>
      <c r="F3423" s="10"/>
      <c r="G3423" s="9" t="s">
        <v>15</v>
      </c>
      <c r="H3423" s="7" t="s">
        <v>6093</v>
      </c>
      <c r="I3423" s="9" t="s">
        <v>353</v>
      </c>
      <c r="J3423" s="88"/>
    </row>
    <row r="3424">
      <c r="A3424" s="42" t="s">
        <v>330</v>
      </c>
      <c r="B3424" s="136" t="s">
        <v>5460</v>
      </c>
      <c r="C3424" s="91">
        <v>45238.488372824075</v>
      </c>
      <c r="D3424" s="8">
        <f t="shared" si="279"/>
        <v>45240</v>
      </c>
      <c r="E3424" s="9" t="s">
        <v>11</v>
      </c>
      <c r="F3424" s="8"/>
      <c r="G3424" s="9" t="s">
        <v>220</v>
      </c>
      <c r="H3424" s="7" t="s">
        <v>6094</v>
      </c>
      <c r="I3424" s="9" t="s">
        <v>353</v>
      </c>
      <c r="J3424" s="88"/>
    </row>
    <row r="3425">
      <c r="A3425" s="6" t="s">
        <v>9</v>
      </c>
      <c r="B3425" s="7" t="s">
        <v>5285</v>
      </c>
      <c r="C3425" s="91">
        <v>45243.32641902778</v>
      </c>
      <c r="D3425" s="8">
        <f t="shared" si="279"/>
        <v>45245</v>
      </c>
      <c r="E3425" s="9" t="s">
        <v>88</v>
      </c>
      <c r="F3425" s="10"/>
      <c r="G3425" s="9" t="s">
        <v>18</v>
      </c>
      <c r="H3425" s="11"/>
      <c r="I3425" s="9" t="s">
        <v>353</v>
      </c>
      <c r="J3425" s="88"/>
    </row>
    <row r="3426">
      <c r="A3426" s="6" t="s">
        <v>9</v>
      </c>
      <c r="B3426" s="7" t="s">
        <v>6095</v>
      </c>
      <c r="C3426" s="91">
        <v>45240.43131071759</v>
      </c>
      <c r="D3426" s="8">
        <f t="shared" si="279"/>
        <v>45244</v>
      </c>
      <c r="E3426" s="9" t="s">
        <v>11</v>
      </c>
      <c r="F3426" s="10"/>
      <c r="G3426" s="9" t="s">
        <v>18</v>
      </c>
      <c r="H3426" s="7" t="s">
        <v>6096</v>
      </c>
      <c r="I3426" s="9" t="s">
        <v>353</v>
      </c>
      <c r="J3426" s="88"/>
    </row>
    <row r="3427">
      <c r="A3427" s="42" t="s">
        <v>330</v>
      </c>
      <c r="B3427" s="194" t="s">
        <v>6097</v>
      </c>
      <c r="C3427" s="91">
        <v>45230.59298893518</v>
      </c>
      <c r="D3427" s="8">
        <f t="shared" si="279"/>
        <v>45232</v>
      </c>
      <c r="E3427" s="9" t="s">
        <v>11</v>
      </c>
      <c r="F3427" s="8">
        <v>45239.0</v>
      </c>
      <c r="G3427" s="9" t="s">
        <v>220</v>
      </c>
      <c r="H3427" s="7" t="s">
        <v>6098</v>
      </c>
      <c r="I3427" s="9" t="s">
        <v>353</v>
      </c>
      <c r="J3427" s="88"/>
    </row>
    <row r="3428">
      <c r="A3428" s="34" t="s">
        <v>204</v>
      </c>
      <c r="B3428" s="7" t="s">
        <v>4997</v>
      </c>
      <c r="C3428" s="91">
        <v>45237.620140115745</v>
      </c>
      <c r="D3428" s="8">
        <f t="shared" si="279"/>
        <v>45239</v>
      </c>
      <c r="E3428" s="9" t="s">
        <v>11</v>
      </c>
      <c r="F3428" s="10"/>
      <c r="G3428" s="9" t="s">
        <v>15</v>
      </c>
      <c r="H3428" s="7" t="s">
        <v>6099</v>
      </c>
      <c r="I3428" s="9" t="s">
        <v>353</v>
      </c>
      <c r="J3428" s="88"/>
    </row>
    <row r="3429">
      <c r="A3429" s="20" t="s">
        <v>98</v>
      </c>
      <c r="B3429" s="9" t="s">
        <v>6100</v>
      </c>
      <c r="C3429" s="91">
        <v>45239.522313634254</v>
      </c>
      <c r="D3429" s="8">
        <f t="shared" si="279"/>
        <v>45243</v>
      </c>
      <c r="E3429" s="9" t="s">
        <v>88</v>
      </c>
      <c r="F3429" s="10"/>
      <c r="G3429" s="9" t="s">
        <v>18</v>
      </c>
      <c r="H3429" s="11"/>
      <c r="I3429" s="9" t="s">
        <v>353</v>
      </c>
      <c r="J3429" s="88"/>
    </row>
    <row r="3430">
      <c r="A3430" s="20" t="s">
        <v>204</v>
      </c>
      <c r="B3430" s="7" t="s">
        <v>6101</v>
      </c>
      <c r="C3430" s="91">
        <v>45226.40275649306</v>
      </c>
      <c r="D3430" s="8">
        <v>45161.62803497685</v>
      </c>
      <c r="E3430" s="9" t="s">
        <v>88</v>
      </c>
      <c r="F3430" s="10"/>
      <c r="G3430" s="9" t="s">
        <v>21</v>
      </c>
      <c r="H3430" s="7" t="s">
        <v>6102</v>
      </c>
      <c r="I3430" s="9" t="s">
        <v>353</v>
      </c>
      <c r="J3430" s="88"/>
    </row>
    <row r="3431">
      <c r="A3431" s="20" t="s">
        <v>98</v>
      </c>
      <c r="B3431" s="9" t="s">
        <v>3401</v>
      </c>
      <c r="C3431" s="91">
        <v>45237.571915057866</v>
      </c>
      <c r="D3431" s="8">
        <f t="shared" ref="D3431:D3445" si="280">IFERROR(_xlfn.WORKDAY.INTL(C3431, 2),"-")</f>
        <v>45239</v>
      </c>
      <c r="E3431" s="9" t="s">
        <v>624</v>
      </c>
      <c r="F3431" s="10"/>
      <c r="G3431" s="9" t="s">
        <v>18</v>
      </c>
      <c r="H3431" s="7" t="s">
        <v>6103</v>
      </c>
      <c r="I3431" s="9" t="s">
        <v>353</v>
      </c>
      <c r="J3431" s="88"/>
    </row>
    <row r="3432">
      <c r="A3432" s="20" t="s">
        <v>98</v>
      </c>
      <c r="B3432" s="9" t="s">
        <v>6104</v>
      </c>
      <c r="C3432" s="91">
        <v>45232.36728925926</v>
      </c>
      <c r="D3432" s="8">
        <f t="shared" si="280"/>
        <v>45236</v>
      </c>
      <c r="E3432" s="9" t="s">
        <v>88</v>
      </c>
      <c r="F3432" s="10"/>
      <c r="G3432" s="9" t="s">
        <v>15</v>
      </c>
      <c r="H3432" s="7" t="s">
        <v>6105</v>
      </c>
      <c r="I3432" s="9" t="s">
        <v>353</v>
      </c>
      <c r="J3432" s="88"/>
    </row>
    <row r="3433">
      <c r="A3433" s="20" t="s">
        <v>98</v>
      </c>
      <c r="B3433" s="9" t="s">
        <v>6106</v>
      </c>
      <c r="C3433" s="91">
        <v>45237.421848680555</v>
      </c>
      <c r="D3433" s="8">
        <f t="shared" si="280"/>
        <v>45239</v>
      </c>
      <c r="E3433" s="9" t="s">
        <v>11</v>
      </c>
      <c r="F3433" s="10"/>
      <c r="G3433" s="9" t="s">
        <v>18</v>
      </c>
      <c r="H3433" s="7" t="s">
        <v>6107</v>
      </c>
      <c r="I3433" s="9" t="s">
        <v>353</v>
      </c>
      <c r="J3433" s="88"/>
    </row>
    <row r="3434">
      <c r="A3434" s="20" t="s">
        <v>98</v>
      </c>
      <c r="B3434" s="9" t="s">
        <v>6108</v>
      </c>
      <c r="C3434" s="91">
        <v>45239.339627407404</v>
      </c>
      <c r="D3434" s="8">
        <f t="shared" si="280"/>
        <v>45243</v>
      </c>
      <c r="E3434" s="9" t="s">
        <v>11</v>
      </c>
      <c r="F3434" s="10"/>
      <c r="G3434" s="9" t="s">
        <v>18</v>
      </c>
      <c r="H3434" s="7" t="s">
        <v>6109</v>
      </c>
      <c r="I3434" s="9" t="s">
        <v>353</v>
      </c>
      <c r="J3434" s="88"/>
    </row>
    <row r="3435">
      <c r="A3435" s="54" t="s">
        <v>4009</v>
      </c>
      <c r="B3435" s="7" t="s">
        <v>6110</v>
      </c>
      <c r="C3435" s="91">
        <v>45237.517878680555</v>
      </c>
      <c r="D3435" s="8">
        <f t="shared" si="280"/>
        <v>45239</v>
      </c>
      <c r="E3435" s="9" t="s">
        <v>88</v>
      </c>
      <c r="F3435" s="10"/>
      <c r="G3435" s="9" t="s">
        <v>15</v>
      </c>
      <c r="H3435" s="7" t="s">
        <v>6111</v>
      </c>
      <c r="I3435" s="9" t="s">
        <v>353</v>
      </c>
      <c r="J3435" s="88"/>
    </row>
    <row r="3436">
      <c r="A3436" s="42" t="s">
        <v>330</v>
      </c>
      <c r="B3436" s="109" t="s">
        <v>6112</v>
      </c>
      <c r="C3436" s="91">
        <v>45230.59296653935</v>
      </c>
      <c r="D3436" s="8">
        <f t="shared" si="280"/>
        <v>45232</v>
      </c>
      <c r="E3436" s="9" t="s">
        <v>11</v>
      </c>
      <c r="F3436" s="8">
        <v>45238.0</v>
      </c>
      <c r="G3436" s="9" t="s">
        <v>220</v>
      </c>
      <c r="H3436" s="7" t="s">
        <v>6113</v>
      </c>
      <c r="I3436" s="9" t="s">
        <v>353</v>
      </c>
      <c r="J3436" s="88"/>
    </row>
    <row r="3437">
      <c r="A3437" s="42" t="s">
        <v>330</v>
      </c>
      <c r="B3437" s="7" t="s">
        <v>6114</v>
      </c>
      <c r="C3437" s="91">
        <v>45237.68783917824</v>
      </c>
      <c r="D3437" s="8">
        <f t="shared" si="280"/>
        <v>45239</v>
      </c>
      <c r="E3437" s="9" t="s">
        <v>11</v>
      </c>
      <c r="F3437" s="8">
        <v>45238.0</v>
      </c>
      <c r="G3437" s="9" t="s">
        <v>220</v>
      </c>
      <c r="H3437" s="7" t="s">
        <v>6115</v>
      </c>
      <c r="I3437" s="9" t="s">
        <v>353</v>
      </c>
      <c r="J3437" s="88"/>
    </row>
    <row r="3438">
      <c r="A3438" s="20" t="s">
        <v>98</v>
      </c>
      <c r="B3438" s="9" t="s">
        <v>6116</v>
      </c>
      <c r="C3438" s="91">
        <v>45225.79104707176</v>
      </c>
      <c r="D3438" s="8">
        <f t="shared" si="280"/>
        <v>45229</v>
      </c>
      <c r="E3438" s="9" t="s">
        <v>88</v>
      </c>
      <c r="F3438" s="10"/>
      <c r="G3438" s="9" t="s">
        <v>15</v>
      </c>
      <c r="H3438" s="7" t="s">
        <v>6117</v>
      </c>
      <c r="I3438" s="9" t="s">
        <v>353</v>
      </c>
      <c r="J3438" s="88"/>
    </row>
    <row r="3439">
      <c r="A3439" s="42" t="s">
        <v>330</v>
      </c>
      <c r="B3439" s="7" t="s">
        <v>5727</v>
      </c>
      <c r="C3439" s="91">
        <v>45236.43908640047</v>
      </c>
      <c r="D3439" s="8">
        <f t="shared" si="280"/>
        <v>45238</v>
      </c>
      <c r="E3439" s="9" t="s">
        <v>11</v>
      </c>
      <c r="F3439" s="10"/>
      <c r="G3439" s="9" t="s">
        <v>220</v>
      </c>
      <c r="H3439" s="7" t="s">
        <v>6118</v>
      </c>
      <c r="I3439" s="9" t="s">
        <v>353</v>
      </c>
      <c r="J3439" s="88"/>
    </row>
    <row r="3440">
      <c r="A3440" s="42" t="s">
        <v>330</v>
      </c>
      <c r="B3440" s="156" t="s">
        <v>6119</v>
      </c>
      <c r="C3440" s="91">
        <v>45226.52538299769</v>
      </c>
      <c r="D3440" s="8">
        <f t="shared" si="280"/>
        <v>45230</v>
      </c>
      <c r="E3440" s="9" t="s">
        <v>11</v>
      </c>
      <c r="F3440" s="10"/>
      <c r="G3440" s="9" t="s">
        <v>220</v>
      </c>
      <c r="H3440" s="7" t="s">
        <v>6120</v>
      </c>
      <c r="I3440" s="9" t="s">
        <v>353</v>
      </c>
      <c r="J3440" s="88"/>
    </row>
    <row r="3441">
      <c r="A3441" s="34" t="s">
        <v>204</v>
      </c>
      <c r="B3441" s="7" t="s">
        <v>6121</v>
      </c>
      <c r="C3441" s="91">
        <v>45237.59281452546</v>
      </c>
      <c r="D3441" s="8">
        <f t="shared" si="280"/>
        <v>45239</v>
      </c>
      <c r="E3441" s="9" t="s">
        <v>11</v>
      </c>
      <c r="F3441" s="10"/>
      <c r="G3441" s="9" t="s">
        <v>18</v>
      </c>
      <c r="H3441" s="7" t="s">
        <v>437</v>
      </c>
      <c r="I3441" s="9" t="s">
        <v>353</v>
      </c>
      <c r="J3441" s="88"/>
    </row>
    <row r="3442">
      <c r="A3442" s="42" t="s">
        <v>330</v>
      </c>
      <c r="B3442" s="7" t="s">
        <v>6122</v>
      </c>
      <c r="C3442" s="91">
        <v>45224.41540164352</v>
      </c>
      <c r="D3442" s="8">
        <f t="shared" si="280"/>
        <v>45226</v>
      </c>
      <c r="E3442" s="9" t="s">
        <v>11</v>
      </c>
      <c r="F3442" s="9"/>
      <c r="G3442" s="9" t="s">
        <v>220</v>
      </c>
      <c r="H3442" s="7" t="s">
        <v>6123</v>
      </c>
      <c r="I3442" s="9" t="s">
        <v>353</v>
      </c>
      <c r="J3442" s="88"/>
    </row>
    <row r="3443">
      <c r="A3443" s="195" t="s">
        <v>330</v>
      </c>
      <c r="B3443" s="156" t="s">
        <v>6124</v>
      </c>
      <c r="C3443" s="91">
        <v>45195.507967453705</v>
      </c>
      <c r="D3443" s="8">
        <f t="shared" si="280"/>
        <v>45197</v>
      </c>
      <c r="E3443" s="9" t="s">
        <v>11</v>
      </c>
      <c r="F3443" s="196" t="s">
        <v>11</v>
      </c>
      <c r="G3443" s="197" t="s">
        <v>15</v>
      </c>
      <c r="H3443" s="7" t="s">
        <v>6125</v>
      </c>
      <c r="I3443" s="9" t="s">
        <v>353</v>
      </c>
      <c r="J3443" s="88"/>
    </row>
    <row r="3444">
      <c r="A3444" s="6" t="s">
        <v>9</v>
      </c>
      <c r="B3444" s="7" t="s">
        <v>5697</v>
      </c>
      <c r="C3444" s="91">
        <v>45237.41823711805</v>
      </c>
      <c r="D3444" s="8">
        <f t="shared" si="280"/>
        <v>45239</v>
      </c>
      <c r="E3444" s="9" t="s">
        <v>11</v>
      </c>
      <c r="F3444" s="10"/>
      <c r="G3444" s="9" t="s">
        <v>15</v>
      </c>
      <c r="H3444" s="7" t="s">
        <v>6126</v>
      </c>
      <c r="I3444" s="9" t="s">
        <v>353</v>
      </c>
      <c r="J3444" s="88"/>
    </row>
    <row r="3445">
      <c r="A3445" s="42" t="s">
        <v>330</v>
      </c>
      <c r="B3445" s="7" t="s">
        <v>6127</v>
      </c>
      <c r="C3445" s="91">
        <v>45232.6174518287</v>
      </c>
      <c r="D3445" s="8">
        <f t="shared" si="280"/>
        <v>45236</v>
      </c>
      <c r="E3445" s="9" t="s">
        <v>11</v>
      </c>
      <c r="F3445" s="10"/>
      <c r="G3445" s="9" t="s">
        <v>15</v>
      </c>
      <c r="H3445" s="7" t="s">
        <v>6128</v>
      </c>
      <c r="I3445" s="9" t="s">
        <v>353</v>
      </c>
      <c r="J3445" s="88"/>
    </row>
    <row r="3446">
      <c r="A3446" s="34" t="s">
        <v>204</v>
      </c>
      <c r="B3446" s="7" t="s">
        <v>6129</v>
      </c>
      <c r="C3446" s="91">
        <v>45162.593492824075</v>
      </c>
      <c r="D3446" s="8">
        <v>45175.0</v>
      </c>
      <c r="E3446" s="9" t="s">
        <v>11</v>
      </c>
      <c r="F3446" s="192">
        <v>45236.0</v>
      </c>
      <c r="G3446" s="9" t="s">
        <v>18</v>
      </c>
      <c r="H3446" s="7" t="s">
        <v>6130</v>
      </c>
      <c r="I3446" s="9" t="s">
        <v>353</v>
      </c>
      <c r="J3446" s="88"/>
    </row>
    <row r="3447">
      <c r="A3447" s="20" t="s">
        <v>98</v>
      </c>
      <c r="B3447" s="9" t="s">
        <v>6131</v>
      </c>
      <c r="C3447" s="91">
        <v>45224.676464930555</v>
      </c>
      <c r="D3447" s="8">
        <f>IFERROR(_xlfn.WORKDAY.INTL(C3447, 2),"-")</f>
        <v>45226</v>
      </c>
      <c r="E3447" s="9" t="s">
        <v>11</v>
      </c>
      <c r="F3447" s="10"/>
      <c r="G3447" s="9" t="s">
        <v>15</v>
      </c>
      <c r="H3447" s="7" t="s">
        <v>6132</v>
      </c>
      <c r="I3447" s="9" t="s">
        <v>353</v>
      </c>
      <c r="J3447" s="88"/>
    </row>
    <row r="3448">
      <c r="A3448" s="20"/>
      <c r="B3448" s="7" t="s">
        <v>6133</v>
      </c>
      <c r="C3448" s="91">
        <v>45225.755129247686</v>
      </c>
      <c r="D3448" s="8"/>
      <c r="E3448" s="9" t="s">
        <v>88</v>
      </c>
      <c r="F3448" s="9"/>
      <c r="G3448" s="9" t="s">
        <v>15</v>
      </c>
      <c r="H3448" s="7" t="s">
        <v>6134</v>
      </c>
      <c r="I3448" s="9" t="s">
        <v>353</v>
      </c>
      <c r="J3448" s="88"/>
    </row>
    <row r="3449">
      <c r="A3449" s="20" t="s">
        <v>98</v>
      </c>
      <c r="B3449" s="9" t="s">
        <v>5882</v>
      </c>
      <c r="C3449" s="91">
        <v>45224.36860165509</v>
      </c>
      <c r="D3449" s="8">
        <f t="shared" ref="D3449:D3471" si="281">IFERROR(_xlfn.WORKDAY.INTL(C3449, 2),"-")</f>
        <v>45226</v>
      </c>
      <c r="E3449" s="9" t="s">
        <v>88</v>
      </c>
      <c r="F3449" s="10"/>
      <c r="G3449" s="9" t="s">
        <v>15</v>
      </c>
      <c r="H3449" s="7" t="s">
        <v>6135</v>
      </c>
      <c r="I3449" s="9" t="s">
        <v>353</v>
      </c>
      <c r="J3449" s="88"/>
    </row>
    <row r="3450">
      <c r="A3450" s="20" t="s">
        <v>98</v>
      </c>
      <c r="B3450" s="9" t="s">
        <v>6136</v>
      </c>
      <c r="C3450" s="91">
        <v>45229.80766890047</v>
      </c>
      <c r="D3450" s="8">
        <f t="shared" si="281"/>
        <v>45231</v>
      </c>
      <c r="E3450" s="9" t="s">
        <v>88</v>
      </c>
      <c r="F3450" s="10"/>
      <c r="G3450" s="9" t="s">
        <v>15</v>
      </c>
      <c r="H3450" s="7" t="s">
        <v>6137</v>
      </c>
      <c r="I3450" s="9" t="s">
        <v>353</v>
      </c>
      <c r="J3450" s="88"/>
    </row>
    <row r="3451">
      <c r="A3451" s="34" t="s">
        <v>204</v>
      </c>
      <c r="B3451" s="7" t="s">
        <v>6138</v>
      </c>
      <c r="C3451" s="91">
        <v>45233.56735835648</v>
      </c>
      <c r="D3451" s="8">
        <f t="shared" si="281"/>
        <v>45237</v>
      </c>
      <c r="E3451" s="9" t="s">
        <v>11</v>
      </c>
      <c r="F3451" s="10"/>
      <c r="G3451" s="9" t="s">
        <v>18</v>
      </c>
      <c r="H3451" s="7" t="s">
        <v>6139</v>
      </c>
      <c r="I3451" s="9" t="s">
        <v>353</v>
      </c>
      <c r="J3451" s="88"/>
    </row>
    <row r="3452">
      <c r="A3452" s="20" t="s">
        <v>98</v>
      </c>
      <c r="B3452" s="9" t="s">
        <v>6140</v>
      </c>
      <c r="C3452" s="91">
        <v>45191.40362158565</v>
      </c>
      <c r="D3452" s="8">
        <f t="shared" si="281"/>
        <v>45195</v>
      </c>
      <c r="E3452" s="9" t="s">
        <v>11</v>
      </c>
      <c r="F3452" s="10"/>
      <c r="G3452" s="9" t="s">
        <v>18</v>
      </c>
      <c r="H3452" s="7" t="s">
        <v>6141</v>
      </c>
      <c r="I3452" s="9" t="s">
        <v>353</v>
      </c>
      <c r="J3452" s="88"/>
    </row>
    <row r="3453">
      <c r="A3453" s="20" t="s">
        <v>98</v>
      </c>
      <c r="B3453" s="9" t="s">
        <v>4464</v>
      </c>
      <c r="C3453" s="91">
        <v>45224.43683077546</v>
      </c>
      <c r="D3453" s="8">
        <f t="shared" si="281"/>
        <v>45226</v>
      </c>
      <c r="E3453" s="9" t="s">
        <v>206</v>
      </c>
      <c r="F3453" s="10"/>
      <c r="G3453" s="9" t="s">
        <v>18</v>
      </c>
      <c r="H3453" s="7" t="s">
        <v>6142</v>
      </c>
      <c r="I3453" s="9" t="s">
        <v>353</v>
      </c>
      <c r="J3453" s="88"/>
    </row>
    <row r="3454">
      <c r="A3454" s="42" t="s">
        <v>330</v>
      </c>
      <c r="B3454" s="184" t="s">
        <v>6143</v>
      </c>
      <c r="C3454" s="91">
        <v>45224.63048759259</v>
      </c>
      <c r="D3454" s="8">
        <f t="shared" si="281"/>
        <v>45226</v>
      </c>
      <c r="E3454" s="9" t="s">
        <v>11</v>
      </c>
      <c r="F3454" s="10"/>
      <c r="G3454" s="9" t="s">
        <v>15</v>
      </c>
      <c r="H3454" s="7" t="s">
        <v>6144</v>
      </c>
      <c r="I3454" s="9" t="s">
        <v>353</v>
      </c>
      <c r="J3454" s="88"/>
    </row>
    <row r="3455">
      <c r="A3455" s="20" t="s">
        <v>98</v>
      </c>
      <c r="B3455" s="9" t="s">
        <v>3401</v>
      </c>
      <c r="C3455" s="91">
        <v>45232.36690152778</v>
      </c>
      <c r="D3455" s="8">
        <f t="shared" si="281"/>
        <v>45236</v>
      </c>
      <c r="E3455" s="9" t="s">
        <v>88</v>
      </c>
      <c r="F3455" s="10"/>
      <c r="G3455" s="9" t="s">
        <v>15</v>
      </c>
      <c r="H3455" s="7" t="s">
        <v>6145</v>
      </c>
      <c r="I3455" s="9" t="s">
        <v>353</v>
      </c>
      <c r="J3455" s="88"/>
    </row>
    <row r="3456">
      <c r="A3456" s="20" t="s">
        <v>98</v>
      </c>
      <c r="B3456" s="9" t="s">
        <v>6146</v>
      </c>
      <c r="C3456" s="91">
        <v>45230.39583469907</v>
      </c>
      <c r="D3456" s="8">
        <f t="shared" si="281"/>
        <v>45232</v>
      </c>
      <c r="E3456" s="9" t="s">
        <v>88</v>
      </c>
      <c r="F3456" s="10"/>
      <c r="G3456" s="9" t="s">
        <v>18</v>
      </c>
      <c r="H3456" s="7" t="s">
        <v>6147</v>
      </c>
      <c r="I3456" s="9" t="s">
        <v>353</v>
      </c>
      <c r="J3456" s="88"/>
    </row>
    <row r="3457">
      <c r="A3457" s="34" t="s">
        <v>204</v>
      </c>
      <c r="B3457" s="7" t="s">
        <v>6148</v>
      </c>
      <c r="C3457" s="91">
        <v>45232.47100542824</v>
      </c>
      <c r="D3457" s="8">
        <f t="shared" si="281"/>
        <v>45236</v>
      </c>
      <c r="E3457" s="9" t="s">
        <v>11</v>
      </c>
      <c r="F3457" s="10"/>
      <c r="G3457" s="9"/>
      <c r="H3457" s="7" t="s">
        <v>437</v>
      </c>
      <c r="I3457" s="9" t="s">
        <v>353</v>
      </c>
      <c r="J3457" s="88"/>
    </row>
    <row r="3458">
      <c r="A3458" s="6" t="s">
        <v>9</v>
      </c>
      <c r="B3458" s="7" t="s">
        <v>3525</v>
      </c>
      <c r="C3458" s="91">
        <v>45230.688227199076</v>
      </c>
      <c r="D3458" s="8">
        <f t="shared" si="281"/>
        <v>45232</v>
      </c>
      <c r="E3458" s="9" t="s">
        <v>11</v>
      </c>
      <c r="F3458" s="10"/>
      <c r="G3458" s="9" t="s">
        <v>15</v>
      </c>
      <c r="H3458" s="7" t="s">
        <v>6149</v>
      </c>
      <c r="I3458" s="9" t="s">
        <v>353</v>
      </c>
      <c r="J3458" s="88"/>
    </row>
    <row r="3459">
      <c r="A3459" s="20" t="s">
        <v>98</v>
      </c>
      <c r="B3459" s="9" t="s">
        <v>6150</v>
      </c>
      <c r="C3459" s="91">
        <v>45224.59804864583</v>
      </c>
      <c r="D3459" s="8">
        <f t="shared" si="281"/>
        <v>45226</v>
      </c>
      <c r="E3459" s="9" t="s">
        <v>206</v>
      </c>
      <c r="F3459" s="10"/>
      <c r="G3459" s="9" t="s">
        <v>15</v>
      </c>
      <c r="H3459" s="7" t="s">
        <v>6151</v>
      </c>
      <c r="I3459" s="9" t="s">
        <v>353</v>
      </c>
      <c r="J3459" s="88"/>
    </row>
    <row r="3460">
      <c r="A3460" s="6" t="s">
        <v>9</v>
      </c>
      <c r="B3460" s="7" t="s">
        <v>6152</v>
      </c>
      <c r="C3460" s="91">
        <v>45230.66154809028</v>
      </c>
      <c r="D3460" s="8">
        <f t="shared" si="281"/>
        <v>45232</v>
      </c>
      <c r="E3460" s="9" t="s">
        <v>11</v>
      </c>
      <c r="F3460" s="10"/>
      <c r="G3460" s="9" t="s">
        <v>15</v>
      </c>
      <c r="H3460" s="7" t="s">
        <v>738</v>
      </c>
      <c r="I3460" s="9" t="s">
        <v>353</v>
      </c>
      <c r="J3460" s="88"/>
    </row>
    <row r="3461">
      <c r="A3461" s="6" t="s">
        <v>9</v>
      </c>
      <c r="B3461" s="7" t="s">
        <v>2814</v>
      </c>
      <c r="C3461" s="91">
        <v>45230.68886417824</v>
      </c>
      <c r="D3461" s="8">
        <f t="shared" si="281"/>
        <v>45232</v>
      </c>
      <c r="E3461" s="9" t="s">
        <v>11</v>
      </c>
      <c r="F3461" s="10"/>
      <c r="G3461" s="9" t="s">
        <v>15</v>
      </c>
      <c r="H3461" s="7" t="s">
        <v>6153</v>
      </c>
      <c r="I3461" s="9" t="s">
        <v>353</v>
      </c>
      <c r="J3461" s="88"/>
    </row>
    <row r="3462">
      <c r="A3462" s="6" t="s">
        <v>9</v>
      </c>
      <c r="B3462" s="7" t="s">
        <v>6154</v>
      </c>
      <c r="C3462" s="91">
        <v>45222.405785995375</v>
      </c>
      <c r="D3462" s="8">
        <f t="shared" si="281"/>
        <v>45224</v>
      </c>
      <c r="E3462" s="9" t="s">
        <v>11</v>
      </c>
      <c r="F3462" s="10"/>
      <c r="G3462" s="9" t="s">
        <v>15</v>
      </c>
      <c r="H3462" s="7" t="s">
        <v>6155</v>
      </c>
      <c r="I3462" s="9" t="s">
        <v>353</v>
      </c>
      <c r="J3462" s="88"/>
    </row>
    <row r="3463">
      <c r="A3463" s="6" t="s">
        <v>9</v>
      </c>
      <c r="B3463" s="7" t="s">
        <v>6060</v>
      </c>
      <c r="C3463" s="91">
        <v>45225.67381994213</v>
      </c>
      <c r="D3463" s="8">
        <f t="shared" si="281"/>
        <v>45229</v>
      </c>
      <c r="E3463" s="9" t="s">
        <v>11</v>
      </c>
      <c r="F3463" s="10"/>
      <c r="G3463" s="9" t="s">
        <v>15</v>
      </c>
      <c r="H3463" s="7" t="s">
        <v>6156</v>
      </c>
      <c r="I3463" s="9" t="s">
        <v>353</v>
      </c>
      <c r="J3463" s="88"/>
    </row>
    <row r="3464">
      <c r="A3464" s="6" t="s">
        <v>9</v>
      </c>
      <c r="B3464" s="7" t="s">
        <v>6157</v>
      </c>
      <c r="C3464" s="91">
        <v>45219.3441628588</v>
      </c>
      <c r="D3464" s="8">
        <f t="shared" si="281"/>
        <v>45223</v>
      </c>
      <c r="E3464" s="9" t="s">
        <v>11</v>
      </c>
      <c r="F3464" s="10"/>
      <c r="G3464" s="9" t="s">
        <v>15</v>
      </c>
      <c r="H3464" s="7" t="s">
        <v>6158</v>
      </c>
      <c r="I3464" s="9" t="s">
        <v>353</v>
      </c>
      <c r="J3464" s="88"/>
    </row>
    <row r="3465">
      <c r="A3465" s="6" t="s">
        <v>9</v>
      </c>
      <c r="B3465" s="7" t="s">
        <v>6159</v>
      </c>
      <c r="C3465" s="91">
        <v>45230.464283113426</v>
      </c>
      <c r="D3465" s="8">
        <f t="shared" si="281"/>
        <v>45232</v>
      </c>
      <c r="E3465" s="9" t="s">
        <v>11</v>
      </c>
      <c r="F3465" s="10"/>
      <c r="G3465" s="9"/>
      <c r="H3465" s="7" t="s">
        <v>738</v>
      </c>
      <c r="I3465" s="9" t="s">
        <v>353</v>
      </c>
      <c r="J3465" s="88"/>
    </row>
    <row r="3466">
      <c r="A3466" s="42" t="s">
        <v>330</v>
      </c>
      <c r="B3466" s="7" t="s">
        <v>6160</v>
      </c>
      <c r="C3466" s="91">
        <v>45225.643001041666</v>
      </c>
      <c r="D3466" s="8">
        <f t="shared" si="281"/>
        <v>45229</v>
      </c>
      <c r="E3466" s="9" t="s">
        <v>11</v>
      </c>
      <c r="F3466" s="9"/>
      <c r="G3466" s="9" t="s">
        <v>18</v>
      </c>
      <c r="H3466" s="7" t="s">
        <v>6161</v>
      </c>
      <c r="I3466" s="9" t="s">
        <v>353</v>
      </c>
      <c r="J3466" s="88"/>
    </row>
    <row r="3467">
      <c r="A3467" s="20" t="s">
        <v>98</v>
      </c>
      <c r="B3467" s="9" t="s">
        <v>6162</v>
      </c>
      <c r="C3467" s="91">
        <v>45229.758061458335</v>
      </c>
      <c r="D3467" s="8">
        <f t="shared" si="281"/>
        <v>45231</v>
      </c>
      <c r="E3467" s="9" t="s">
        <v>88</v>
      </c>
      <c r="F3467" s="10"/>
      <c r="G3467" s="9" t="s">
        <v>15</v>
      </c>
      <c r="H3467" s="7" t="s">
        <v>6163</v>
      </c>
      <c r="I3467" s="9" t="s">
        <v>353</v>
      </c>
      <c r="J3467" s="88"/>
    </row>
    <row r="3468">
      <c r="A3468" s="42" t="s">
        <v>330</v>
      </c>
      <c r="B3468" s="7" t="s">
        <v>6164</v>
      </c>
      <c r="C3468" s="91">
        <v>45203.55902648148</v>
      </c>
      <c r="D3468" s="8">
        <f t="shared" si="281"/>
        <v>45205</v>
      </c>
      <c r="E3468" s="9" t="s">
        <v>11</v>
      </c>
      <c r="F3468" s="9"/>
      <c r="G3468" s="9" t="s">
        <v>18</v>
      </c>
      <c r="H3468" s="7" t="s">
        <v>6165</v>
      </c>
      <c r="I3468" s="9" t="s">
        <v>353</v>
      </c>
      <c r="J3468" s="88"/>
    </row>
    <row r="3469">
      <c r="A3469" s="34" t="s">
        <v>204</v>
      </c>
      <c r="B3469" s="7" t="s">
        <v>6166</v>
      </c>
      <c r="C3469" s="91">
        <v>45226.49839474537</v>
      </c>
      <c r="D3469" s="8">
        <f t="shared" si="281"/>
        <v>45230</v>
      </c>
      <c r="E3469" s="9" t="s">
        <v>11</v>
      </c>
      <c r="F3469" s="192"/>
      <c r="G3469" s="9" t="s">
        <v>18</v>
      </c>
      <c r="H3469" s="7" t="s">
        <v>437</v>
      </c>
      <c r="I3469" s="9" t="s">
        <v>353</v>
      </c>
      <c r="J3469" s="88"/>
    </row>
    <row r="3470">
      <c r="A3470" s="34" t="s">
        <v>204</v>
      </c>
      <c r="B3470" s="7" t="s">
        <v>6167</v>
      </c>
      <c r="C3470" s="91">
        <v>45215.749003460645</v>
      </c>
      <c r="D3470" s="8">
        <f t="shared" si="281"/>
        <v>45217</v>
      </c>
      <c r="E3470" s="9" t="s">
        <v>11</v>
      </c>
      <c r="F3470" s="192"/>
      <c r="G3470" s="9" t="s">
        <v>18</v>
      </c>
      <c r="H3470" s="7" t="s">
        <v>6168</v>
      </c>
      <c r="I3470" s="9" t="s">
        <v>353</v>
      </c>
      <c r="J3470" s="88"/>
    </row>
    <row r="3471">
      <c r="A3471" s="34" t="s">
        <v>204</v>
      </c>
      <c r="B3471" s="7" t="s">
        <v>6169</v>
      </c>
      <c r="C3471" s="91">
        <v>45061.42325121528</v>
      </c>
      <c r="D3471" s="8">
        <f t="shared" si="281"/>
        <v>45063</v>
      </c>
      <c r="E3471" s="9" t="s">
        <v>11</v>
      </c>
      <c r="F3471" s="192"/>
      <c r="G3471" s="9" t="s">
        <v>18</v>
      </c>
      <c r="H3471" s="7" t="s">
        <v>6170</v>
      </c>
      <c r="I3471" s="9" t="s">
        <v>353</v>
      </c>
      <c r="J3471" s="88"/>
    </row>
    <row r="3472">
      <c r="A3472" s="34"/>
      <c r="B3472" s="7" t="s">
        <v>6171</v>
      </c>
      <c r="C3472" s="91">
        <v>45226.49822761574</v>
      </c>
      <c r="D3472" s="8"/>
      <c r="E3472" s="9"/>
      <c r="F3472" s="192"/>
      <c r="G3472" s="9" t="s">
        <v>18</v>
      </c>
      <c r="H3472" s="7" t="s">
        <v>437</v>
      </c>
      <c r="I3472" s="9" t="s">
        <v>353</v>
      </c>
      <c r="J3472" s="88"/>
    </row>
    <row r="3473">
      <c r="A3473" s="34" t="s">
        <v>204</v>
      </c>
      <c r="B3473" s="7" t="s">
        <v>6172</v>
      </c>
      <c r="C3473" s="91">
        <v>45229.47773003472</v>
      </c>
      <c r="D3473" s="8">
        <f t="shared" ref="D3473:D3480" si="282">IFERROR(_xlfn.WORKDAY.INTL(C3473, 2),"-")</f>
        <v>45231</v>
      </c>
      <c r="E3473" s="9" t="s">
        <v>11</v>
      </c>
      <c r="F3473" s="10"/>
      <c r="G3473" s="9"/>
      <c r="H3473" s="7" t="s">
        <v>437</v>
      </c>
      <c r="I3473" s="9" t="s">
        <v>353</v>
      </c>
      <c r="J3473" s="88"/>
    </row>
    <row r="3474">
      <c r="A3474" s="20" t="s">
        <v>98</v>
      </c>
      <c r="B3474" s="9" t="s">
        <v>6173</v>
      </c>
      <c r="C3474" s="91">
        <v>45229.36305864583</v>
      </c>
      <c r="D3474" s="8">
        <f t="shared" si="282"/>
        <v>45231</v>
      </c>
      <c r="E3474" s="9" t="s">
        <v>88</v>
      </c>
      <c r="F3474" s="10"/>
      <c r="G3474" s="9" t="s">
        <v>18</v>
      </c>
      <c r="H3474" s="7" t="s">
        <v>6174</v>
      </c>
      <c r="I3474" s="9" t="s">
        <v>353</v>
      </c>
      <c r="J3474" s="88"/>
    </row>
    <row r="3475">
      <c r="A3475" s="6" t="s">
        <v>9</v>
      </c>
      <c r="B3475" s="7" t="s">
        <v>6175</v>
      </c>
      <c r="C3475" s="91">
        <v>45229.42384953704</v>
      </c>
      <c r="D3475" s="8">
        <f t="shared" si="282"/>
        <v>45231</v>
      </c>
      <c r="E3475" s="9" t="s">
        <v>88</v>
      </c>
      <c r="F3475" s="10"/>
      <c r="G3475" s="9" t="s">
        <v>15</v>
      </c>
      <c r="H3475" s="11"/>
      <c r="I3475" s="9" t="s">
        <v>353</v>
      </c>
      <c r="J3475" s="88"/>
    </row>
    <row r="3476">
      <c r="A3476" s="42" t="s">
        <v>330</v>
      </c>
      <c r="B3476" s="7" t="s">
        <v>6176</v>
      </c>
      <c r="C3476" s="91">
        <v>45223.69505097222</v>
      </c>
      <c r="D3476" s="8">
        <f t="shared" si="282"/>
        <v>45225</v>
      </c>
      <c r="E3476" s="9" t="s">
        <v>11</v>
      </c>
      <c r="F3476" s="10"/>
      <c r="G3476" s="9" t="s">
        <v>15</v>
      </c>
      <c r="H3476" s="7" t="s">
        <v>6177</v>
      </c>
      <c r="I3476" s="9" t="s">
        <v>353</v>
      </c>
      <c r="J3476" s="88"/>
    </row>
    <row r="3477">
      <c r="A3477" s="20" t="s">
        <v>98</v>
      </c>
      <c r="B3477" s="9" t="s">
        <v>6178</v>
      </c>
      <c r="C3477" s="91">
        <v>45224.503551180554</v>
      </c>
      <c r="D3477" s="8">
        <f t="shared" si="282"/>
        <v>45226</v>
      </c>
      <c r="E3477" s="9" t="s">
        <v>206</v>
      </c>
      <c r="F3477" s="10"/>
      <c r="G3477" s="9" t="s">
        <v>18</v>
      </c>
      <c r="H3477" s="7" t="s">
        <v>6179</v>
      </c>
      <c r="I3477" s="9" t="s">
        <v>353</v>
      </c>
      <c r="J3477" s="88"/>
    </row>
    <row r="3478">
      <c r="A3478" s="20" t="s">
        <v>98</v>
      </c>
      <c r="B3478" s="9" t="s">
        <v>6180</v>
      </c>
      <c r="C3478" s="91">
        <v>45224.5030977662</v>
      </c>
      <c r="D3478" s="8">
        <f t="shared" si="282"/>
        <v>45226</v>
      </c>
      <c r="E3478" s="9" t="s">
        <v>206</v>
      </c>
      <c r="F3478" s="10"/>
      <c r="G3478" s="9" t="s">
        <v>18</v>
      </c>
      <c r="H3478" s="7" t="s">
        <v>6179</v>
      </c>
      <c r="I3478" s="9" t="s">
        <v>353</v>
      </c>
      <c r="J3478" s="88"/>
    </row>
    <row r="3479">
      <c r="A3479" s="6" t="s">
        <v>9</v>
      </c>
      <c r="B3479" s="7" t="s">
        <v>6181</v>
      </c>
      <c r="C3479" s="91">
        <v>45132.70871792824</v>
      </c>
      <c r="D3479" s="8">
        <f t="shared" si="282"/>
        <v>45134</v>
      </c>
      <c r="E3479" s="9" t="s">
        <v>11</v>
      </c>
      <c r="F3479" s="9"/>
      <c r="G3479" s="9" t="s">
        <v>15</v>
      </c>
      <c r="H3479" s="62" t="s">
        <v>6182</v>
      </c>
      <c r="I3479" s="9" t="s">
        <v>353</v>
      </c>
      <c r="J3479" s="88"/>
    </row>
    <row r="3480">
      <c r="A3480" s="42" t="s">
        <v>330</v>
      </c>
      <c r="B3480" s="7" t="s">
        <v>6183</v>
      </c>
      <c r="C3480" s="91">
        <v>45224.695716319446</v>
      </c>
      <c r="D3480" s="8">
        <f t="shared" si="282"/>
        <v>45226</v>
      </c>
      <c r="E3480" s="9" t="s">
        <v>11</v>
      </c>
      <c r="F3480" s="10"/>
      <c r="G3480" s="9" t="s">
        <v>220</v>
      </c>
      <c r="H3480" s="7" t="s">
        <v>6184</v>
      </c>
      <c r="I3480" s="9" t="s">
        <v>353</v>
      </c>
      <c r="J3480" s="88"/>
    </row>
    <row r="3481">
      <c r="A3481" s="42"/>
      <c r="B3481" s="7" t="s">
        <v>6185</v>
      </c>
      <c r="C3481" s="91">
        <v>45225.611824120366</v>
      </c>
      <c r="D3481" s="8"/>
      <c r="E3481" s="9"/>
      <c r="F3481" s="198"/>
      <c r="G3481" s="9" t="s">
        <v>220</v>
      </c>
      <c r="H3481" s="7" t="s">
        <v>6186</v>
      </c>
      <c r="I3481" s="9" t="s">
        <v>353</v>
      </c>
      <c r="J3481" s="88"/>
    </row>
    <row r="3482">
      <c r="A3482" s="88"/>
      <c r="B3482" s="89"/>
      <c r="C3482" s="90"/>
      <c r="D3482" s="89"/>
      <c r="E3482" s="89"/>
      <c r="F3482" s="89"/>
      <c r="G3482" s="89"/>
      <c r="H3482" s="87"/>
      <c r="I3482" s="89"/>
      <c r="J3482" s="88"/>
    </row>
    <row r="3483">
      <c r="A3483" s="20" t="s">
        <v>98</v>
      </c>
      <c r="B3483" s="9" t="s">
        <v>6187</v>
      </c>
      <c r="C3483" s="91">
        <v>45181.65091827547</v>
      </c>
      <c r="D3483" s="8">
        <v>45184.0</v>
      </c>
      <c r="E3483" s="9" t="s">
        <v>88</v>
      </c>
      <c r="F3483" s="10"/>
      <c r="G3483" s="9" t="s">
        <v>21</v>
      </c>
      <c r="H3483" s="7" t="s">
        <v>6188</v>
      </c>
      <c r="I3483" s="9" t="s">
        <v>353</v>
      </c>
      <c r="J3483" s="88"/>
    </row>
    <row r="3484">
      <c r="A3484" s="20" t="s">
        <v>98</v>
      </c>
      <c r="B3484" s="9" t="s">
        <v>3204</v>
      </c>
      <c r="C3484" s="91">
        <v>45218.448433854166</v>
      </c>
      <c r="D3484" s="8">
        <f>IFERROR(_xlfn.WORKDAY.INTL(C3484, 2),"-")</f>
        <v>45222</v>
      </c>
      <c r="E3484" s="9" t="s">
        <v>88</v>
      </c>
      <c r="F3484" s="10"/>
      <c r="G3484" s="9" t="s">
        <v>15</v>
      </c>
      <c r="H3484" s="7" t="s">
        <v>6189</v>
      </c>
      <c r="I3484" s="9" t="s">
        <v>353</v>
      </c>
      <c r="J3484" s="88"/>
    </row>
    <row r="3485">
      <c r="A3485" s="34" t="s">
        <v>204</v>
      </c>
      <c r="B3485" s="7" t="s">
        <v>6015</v>
      </c>
      <c r="C3485" s="91">
        <v>45161.60312590278</v>
      </c>
      <c r="D3485" s="9" t="s">
        <v>11</v>
      </c>
      <c r="E3485" s="9" t="s">
        <v>88</v>
      </c>
      <c r="F3485" s="9"/>
      <c r="G3485" s="9" t="s">
        <v>15</v>
      </c>
      <c r="H3485" s="7" t="s">
        <v>6190</v>
      </c>
      <c r="I3485" s="9" t="s">
        <v>353</v>
      </c>
      <c r="J3485" s="88"/>
    </row>
    <row r="3486">
      <c r="A3486" s="34"/>
      <c r="B3486" s="7" t="s">
        <v>6191</v>
      </c>
      <c r="C3486" s="91">
        <v>45225.36758127315</v>
      </c>
      <c r="D3486" s="8"/>
      <c r="E3486" s="9"/>
      <c r="F3486" s="9"/>
      <c r="G3486" s="9" t="s">
        <v>15</v>
      </c>
      <c r="H3486" s="7" t="s">
        <v>6192</v>
      </c>
      <c r="I3486" s="9" t="s">
        <v>353</v>
      </c>
      <c r="J3486" s="88"/>
    </row>
    <row r="3487">
      <c r="A3487" s="42" t="s">
        <v>330</v>
      </c>
      <c r="B3487" s="7" t="s">
        <v>6193</v>
      </c>
      <c r="C3487" s="91">
        <v>45216.441412291664</v>
      </c>
      <c r="D3487" s="8">
        <f t="shared" ref="D3487:D3491" si="283">IFERROR(_xlfn.WORKDAY.INTL(C3487, 2),"-")</f>
        <v>45218</v>
      </c>
      <c r="E3487" s="9" t="s">
        <v>11</v>
      </c>
      <c r="F3487" s="198"/>
      <c r="G3487" s="9" t="s">
        <v>220</v>
      </c>
      <c r="H3487" s="7" t="s">
        <v>6194</v>
      </c>
      <c r="I3487" s="9" t="s">
        <v>353</v>
      </c>
      <c r="J3487" s="88"/>
    </row>
    <row r="3488">
      <c r="A3488" s="20" t="s">
        <v>98</v>
      </c>
      <c r="B3488" s="9" t="s">
        <v>6195</v>
      </c>
      <c r="C3488" s="91">
        <v>45222.37069226852</v>
      </c>
      <c r="D3488" s="8">
        <f t="shared" si="283"/>
        <v>45224</v>
      </c>
      <c r="E3488" s="9" t="s">
        <v>11</v>
      </c>
      <c r="F3488" s="10"/>
      <c r="G3488" s="9" t="s">
        <v>15</v>
      </c>
      <c r="H3488" s="7" t="s">
        <v>6196</v>
      </c>
      <c r="I3488" s="9" t="s">
        <v>353</v>
      </c>
      <c r="J3488" s="88"/>
    </row>
    <row r="3489">
      <c r="A3489" s="34" t="s">
        <v>204</v>
      </c>
      <c r="B3489" s="7" t="s">
        <v>6197</v>
      </c>
      <c r="C3489" s="91">
        <v>45224.757000763886</v>
      </c>
      <c r="D3489" s="8">
        <f t="shared" si="283"/>
        <v>45226</v>
      </c>
      <c r="E3489" s="9" t="s">
        <v>11</v>
      </c>
      <c r="F3489" s="10"/>
      <c r="G3489" s="9" t="s">
        <v>18</v>
      </c>
      <c r="H3489" s="7" t="s">
        <v>437</v>
      </c>
      <c r="I3489" s="9" t="s">
        <v>353</v>
      </c>
      <c r="J3489" s="88"/>
    </row>
    <row r="3490">
      <c r="A3490" s="34" t="s">
        <v>204</v>
      </c>
      <c r="B3490" s="7" t="s">
        <v>6198</v>
      </c>
      <c r="C3490" s="91">
        <v>45209.74964815972</v>
      </c>
      <c r="D3490" s="8">
        <f t="shared" si="283"/>
        <v>45211</v>
      </c>
      <c r="E3490" s="9" t="s">
        <v>11</v>
      </c>
      <c r="F3490" s="9"/>
      <c r="G3490" s="9" t="s">
        <v>15</v>
      </c>
      <c r="H3490" s="7" t="s">
        <v>6199</v>
      </c>
      <c r="I3490" s="9" t="s">
        <v>353</v>
      </c>
      <c r="J3490" s="88"/>
    </row>
    <row r="3491">
      <c r="A3491" s="6" t="s">
        <v>9</v>
      </c>
      <c r="B3491" s="7" t="s">
        <v>5850</v>
      </c>
      <c r="C3491" s="91">
        <v>45222.70995696759</v>
      </c>
      <c r="D3491" s="8">
        <f t="shared" si="283"/>
        <v>45224</v>
      </c>
      <c r="E3491" s="9" t="s">
        <v>88</v>
      </c>
      <c r="F3491" s="10"/>
      <c r="G3491" s="9" t="s">
        <v>15</v>
      </c>
      <c r="H3491" s="7" t="s">
        <v>6200</v>
      </c>
      <c r="I3491" s="9" t="s">
        <v>353</v>
      </c>
      <c r="J3491" s="88"/>
    </row>
    <row r="3492">
      <c r="A3492" s="42"/>
      <c r="B3492" s="7" t="s">
        <v>6201</v>
      </c>
      <c r="C3492" s="91">
        <v>45217.581331064815</v>
      </c>
      <c r="D3492" s="8"/>
      <c r="E3492" s="9"/>
      <c r="F3492" s="10"/>
      <c r="G3492" s="9" t="s">
        <v>220</v>
      </c>
      <c r="H3492" s="7" t="s">
        <v>6202</v>
      </c>
      <c r="I3492" s="9" t="s">
        <v>353</v>
      </c>
      <c r="J3492" s="88"/>
    </row>
    <row r="3493">
      <c r="A3493" s="34" t="s">
        <v>204</v>
      </c>
      <c r="B3493" s="7" t="s">
        <v>6203</v>
      </c>
      <c r="C3493" s="91">
        <v>45222.699698344906</v>
      </c>
      <c r="D3493" s="8">
        <f t="shared" ref="D3493:D3496" si="284">IFERROR(_xlfn.WORKDAY.INTL(C3493, 2),"-")</f>
        <v>45224</v>
      </c>
      <c r="E3493" s="9" t="s">
        <v>11</v>
      </c>
      <c r="F3493" s="192"/>
      <c r="G3493" s="9" t="s">
        <v>18</v>
      </c>
      <c r="H3493" s="7" t="s">
        <v>6139</v>
      </c>
      <c r="I3493" s="9" t="s">
        <v>353</v>
      </c>
      <c r="J3493" s="88"/>
    </row>
    <row r="3494">
      <c r="A3494" s="34" t="s">
        <v>204</v>
      </c>
      <c r="B3494" s="7" t="s">
        <v>6204</v>
      </c>
      <c r="C3494" s="91">
        <v>45223.51031733796</v>
      </c>
      <c r="D3494" s="8">
        <f t="shared" si="284"/>
        <v>45225</v>
      </c>
      <c r="E3494" s="9" t="s">
        <v>11</v>
      </c>
      <c r="F3494" s="10"/>
      <c r="G3494" s="9" t="s">
        <v>18</v>
      </c>
      <c r="H3494" s="7" t="s">
        <v>6205</v>
      </c>
      <c r="I3494" s="9" t="s">
        <v>353</v>
      </c>
      <c r="J3494" s="88"/>
    </row>
    <row r="3495">
      <c r="A3495" s="34" t="s">
        <v>204</v>
      </c>
      <c r="B3495" s="7" t="s">
        <v>6206</v>
      </c>
      <c r="C3495" s="91">
        <v>45223.50356232639</v>
      </c>
      <c r="D3495" s="8">
        <f t="shared" si="284"/>
        <v>45225</v>
      </c>
      <c r="E3495" s="9" t="s">
        <v>11</v>
      </c>
      <c r="F3495" s="9"/>
      <c r="G3495" s="9" t="s">
        <v>15</v>
      </c>
      <c r="H3495" s="7" t="s">
        <v>6207</v>
      </c>
      <c r="I3495" s="9" t="s">
        <v>353</v>
      </c>
      <c r="J3495" s="88"/>
    </row>
    <row r="3496">
      <c r="A3496" s="54" t="s">
        <v>4009</v>
      </c>
      <c r="B3496" s="7" t="s">
        <v>6208</v>
      </c>
      <c r="C3496" s="91">
        <v>45218.50070193287</v>
      </c>
      <c r="D3496" s="8">
        <f t="shared" si="284"/>
        <v>45222</v>
      </c>
      <c r="E3496" s="9" t="s">
        <v>88</v>
      </c>
      <c r="F3496" s="8"/>
      <c r="G3496" s="9" t="s">
        <v>15</v>
      </c>
      <c r="H3496" s="7" t="s">
        <v>6209</v>
      </c>
      <c r="I3496" s="9" t="s">
        <v>353</v>
      </c>
      <c r="J3496" s="88"/>
    </row>
    <row r="3497">
      <c r="A3497" s="88"/>
      <c r="B3497" s="89"/>
      <c r="C3497" s="90"/>
      <c r="D3497" s="89"/>
      <c r="E3497" s="89"/>
      <c r="F3497" s="89"/>
      <c r="G3497" s="89"/>
      <c r="H3497" s="87"/>
      <c r="I3497" s="89"/>
      <c r="J3497" s="88"/>
    </row>
    <row r="3498">
      <c r="A3498" s="42" t="s">
        <v>330</v>
      </c>
      <c r="B3498" s="7" t="s">
        <v>6210</v>
      </c>
      <c r="C3498" s="91">
        <v>45197.50942811342</v>
      </c>
      <c r="D3498" s="8">
        <f t="shared" ref="D3498:D3503" si="285">IFERROR(_xlfn.WORKDAY.INTL(C3498, 2),"-")</f>
        <v>45201</v>
      </c>
      <c r="E3498" s="9" t="s">
        <v>11</v>
      </c>
      <c r="F3498" s="9"/>
      <c r="G3498" s="9" t="s">
        <v>15</v>
      </c>
      <c r="H3498" s="7" t="s">
        <v>6211</v>
      </c>
      <c r="I3498" s="9" t="s">
        <v>353</v>
      </c>
      <c r="J3498" s="88"/>
    </row>
    <row r="3499">
      <c r="A3499" s="6" t="s">
        <v>9</v>
      </c>
      <c r="B3499" s="7" t="s">
        <v>6212</v>
      </c>
      <c r="C3499" s="91">
        <v>45219.34394486111</v>
      </c>
      <c r="D3499" s="8">
        <f t="shared" si="285"/>
        <v>45223</v>
      </c>
      <c r="E3499" s="9" t="s">
        <v>11</v>
      </c>
      <c r="F3499" s="10"/>
      <c r="G3499" s="9" t="s">
        <v>15</v>
      </c>
      <c r="H3499" s="62" t="s">
        <v>6213</v>
      </c>
      <c r="I3499" s="9" t="s">
        <v>353</v>
      </c>
      <c r="J3499" s="88"/>
    </row>
    <row r="3500">
      <c r="A3500" s="20" t="s">
        <v>98</v>
      </c>
      <c r="B3500" s="9" t="s">
        <v>3841</v>
      </c>
      <c r="C3500" s="91">
        <v>45218.69114591435</v>
      </c>
      <c r="D3500" s="8">
        <f t="shared" si="285"/>
        <v>45222</v>
      </c>
      <c r="E3500" s="9" t="s">
        <v>88</v>
      </c>
      <c r="F3500" s="10"/>
      <c r="G3500" s="9" t="s">
        <v>15</v>
      </c>
      <c r="H3500" s="7" t="s">
        <v>6214</v>
      </c>
      <c r="I3500" s="9" t="s">
        <v>353</v>
      </c>
      <c r="J3500" s="88"/>
    </row>
    <row r="3501">
      <c r="A3501" s="20" t="s">
        <v>98</v>
      </c>
      <c r="B3501" s="9" t="s">
        <v>6215</v>
      </c>
      <c r="C3501" s="91">
        <v>45219.4292440625</v>
      </c>
      <c r="D3501" s="8">
        <f t="shared" si="285"/>
        <v>45223</v>
      </c>
      <c r="E3501" s="9" t="s">
        <v>88</v>
      </c>
      <c r="F3501" s="10"/>
      <c r="G3501" s="9" t="s">
        <v>15</v>
      </c>
      <c r="H3501" s="7" t="s">
        <v>893</v>
      </c>
      <c r="I3501" s="9" t="s">
        <v>353</v>
      </c>
      <c r="J3501" s="88"/>
    </row>
    <row r="3502">
      <c r="A3502" s="199" t="s">
        <v>9</v>
      </c>
      <c r="B3502" s="200" t="s">
        <v>6216</v>
      </c>
      <c r="C3502" s="171">
        <v>45062.36634789352</v>
      </c>
      <c r="D3502" s="80">
        <f t="shared" si="285"/>
        <v>45064</v>
      </c>
      <c r="E3502" s="172" t="s">
        <v>11</v>
      </c>
      <c r="F3502" s="201"/>
      <c r="G3502" s="9" t="s">
        <v>15</v>
      </c>
      <c r="H3502" s="174" t="s">
        <v>6217</v>
      </c>
      <c r="I3502" s="166" t="s">
        <v>353</v>
      </c>
      <c r="J3502" s="88"/>
    </row>
    <row r="3503">
      <c r="A3503" s="6" t="s">
        <v>9</v>
      </c>
      <c r="B3503" s="7" t="s">
        <v>6218</v>
      </c>
      <c r="C3503" s="91">
        <v>45219.43657427083</v>
      </c>
      <c r="D3503" s="8">
        <f t="shared" si="285"/>
        <v>45223</v>
      </c>
      <c r="E3503" s="9" t="s">
        <v>11</v>
      </c>
      <c r="F3503" s="10"/>
      <c r="G3503" s="9" t="s">
        <v>220</v>
      </c>
      <c r="H3503" s="11"/>
      <c r="I3503" s="9" t="s">
        <v>353</v>
      </c>
      <c r="J3503" s="88"/>
    </row>
    <row r="3504">
      <c r="A3504" s="42"/>
      <c r="B3504" s="7" t="s">
        <v>6219</v>
      </c>
      <c r="C3504" s="91">
        <v>45218.463591921296</v>
      </c>
      <c r="D3504" s="8"/>
      <c r="E3504" s="9"/>
      <c r="F3504" s="10"/>
      <c r="G3504" s="9" t="s">
        <v>15</v>
      </c>
      <c r="H3504" s="7" t="s">
        <v>6220</v>
      </c>
      <c r="I3504" s="9" t="s">
        <v>353</v>
      </c>
      <c r="J3504" s="88"/>
    </row>
    <row r="3505">
      <c r="A3505" s="42" t="s">
        <v>330</v>
      </c>
      <c r="B3505" s="7" t="s">
        <v>6221</v>
      </c>
      <c r="C3505" s="91">
        <v>45196.47733685185</v>
      </c>
      <c r="D3505" s="8">
        <f t="shared" ref="D3505:D3511" si="286">IFERROR(_xlfn.WORKDAY.INTL(C3505, 2),"-")</f>
        <v>45198</v>
      </c>
      <c r="E3505" s="9" t="s">
        <v>11</v>
      </c>
      <c r="F3505" s="9"/>
      <c r="G3505" s="9" t="s">
        <v>220</v>
      </c>
      <c r="H3505" s="7" t="s">
        <v>6222</v>
      </c>
      <c r="I3505" s="9" t="s">
        <v>353</v>
      </c>
      <c r="J3505" s="88"/>
    </row>
    <row r="3506">
      <c r="A3506" s="20" t="s">
        <v>98</v>
      </c>
      <c r="B3506" s="9" t="s">
        <v>6223</v>
      </c>
      <c r="C3506" s="91">
        <v>45218.363111666666</v>
      </c>
      <c r="D3506" s="8">
        <f t="shared" si="286"/>
        <v>45222</v>
      </c>
      <c r="E3506" s="9" t="s">
        <v>88</v>
      </c>
      <c r="F3506" s="10"/>
      <c r="G3506" s="9" t="s">
        <v>15</v>
      </c>
      <c r="H3506" s="7" t="s">
        <v>6214</v>
      </c>
      <c r="I3506" s="9" t="s">
        <v>353</v>
      </c>
      <c r="J3506" s="88"/>
    </row>
    <row r="3507">
      <c r="A3507" s="20" t="s">
        <v>98</v>
      </c>
      <c r="B3507" s="9" t="s">
        <v>6224</v>
      </c>
      <c r="C3507" s="91">
        <v>45216.50009666667</v>
      </c>
      <c r="D3507" s="8">
        <f t="shared" si="286"/>
        <v>45218</v>
      </c>
      <c r="E3507" s="9" t="s">
        <v>206</v>
      </c>
      <c r="F3507" s="10"/>
      <c r="G3507" s="9" t="s">
        <v>15</v>
      </c>
      <c r="H3507" s="7" t="s">
        <v>6225</v>
      </c>
      <c r="I3507" s="9" t="s">
        <v>353</v>
      </c>
      <c r="J3507" s="88"/>
    </row>
    <row r="3508">
      <c r="A3508" s="6" t="s">
        <v>9</v>
      </c>
      <c r="B3508" s="7" t="s">
        <v>6226</v>
      </c>
      <c r="C3508" s="91">
        <v>45218.65666700232</v>
      </c>
      <c r="D3508" s="8">
        <f t="shared" si="286"/>
        <v>45222</v>
      </c>
      <c r="E3508" s="9" t="s">
        <v>88</v>
      </c>
      <c r="F3508" s="10"/>
      <c r="G3508" s="9" t="s">
        <v>15</v>
      </c>
      <c r="H3508" s="7" t="s">
        <v>6227</v>
      </c>
      <c r="I3508" s="9" t="s">
        <v>353</v>
      </c>
      <c r="J3508" s="88"/>
    </row>
    <row r="3509">
      <c r="A3509" s="6" t="s">
        <v>9</v>
      </c>
      <c r="B3509" s="7" t="s">
        <v>6228</v>
      </c>
      <c r="C3509" s="91">
        <v>45161.606416435185</v>
      </c>
      <c r="D3509" s="8">
        <f t="shared" si="286"/>
        <v>45163</v>
      </c>
      <c r="E3509" s="9" t="s">
        <v>206</v>
      </c>
      <c r="F3509" s="71"/>
      <c r="G3509" s="9" t="s">
        <v>21</v>
      </c>
      <c r="H3509" s="7" t="s">
        <v>6229</v>
      </c>
      <c r="I3509" s="9" t="s">
        <v>353</v>
      </c>
      <c r="J3509" s="88"/>
    </row>
    <row r="3510">
      <c r="A3510" s="6" t="s">
        <v>9</v>
      </c>
      <c r="B3510" s="7" t="s">
        <v>6230</v>
      </c>
      <c r="C3510" s="91">
        <v>45209.51677608796</v>
      </c>
      <c r="D3510" s="8">
        <f t="shared" si="286"/>
        <v>45211</v>
      </c>
      <c r="E3510" s="9" t="s">
        <v>11</v>
      </c>
      <c r="F3510" s="10"/>
      <c r="G3510" s="9" t="s">
        <v>15</v>
      </c>
      <c r="H3510" s="7" t="s">
        <v>6231</v>
      </c>
      <c r="I3510" s="9" t="s">
        <v>353</v>
      </c>
      <c r="J3510" s="88"/>
    </row>
    <row r="3511">
      <c r="A3511" s="6" t="s">
        <v>9</v>
      </c>
      <c r="B3511" s="7" t="s">
        <v>6232</v>
      </c>
      <c r="C3511" s="91">
        <v>45203.61509021991</v>
      </c>
      <c r="D3511" s="8">
        <f t="shared" si="286"/>
        <v>45205</v>
      </c>
      <c r="E3511" s="9" t="s">
        <v>11</v>
      </c>
      <c r="F3511" s="10"/>
      <c r="G3511" s="9" t="s">
        <v>15</v>
      </c>
      <c r="H3511" s="7" t="s">
        <v>6233</v>
      </c>
      <c r="I3511" s="9" t="s">
        <v>353</v>
      </c>
      <c r="J3511" s="88"/>
    </row>
    <row r="3512">
      <c r="A3512" s="54" t="s">
        <v>4009</v>
      </c>
      <c r="B3512" s="7" t="s">
        <v>280</v>
      </c>
      <c r="C3512" s="91"/>
      <c r="D3512" s="8"/>
      <c r="E3512" s="9" t="s">
        <v>11</v>
      </c>
      <c r="F3512" s="10"/>
      <c r="G3512" s="9"/>
      <c r="H3512" s="11"/>
      <c r="I3512" s="9" t="s">
        <v>13</v>
      </c>
      <c r="J3512" s="88"/>
    </row>
    <row r="3513">
      <c r="A3513" s="88"/>
      <c r="B3513" s="89"/>
      <c r="C3513" s="90"/>
      <c r="D3513" s="89"/>
      <c r="E3513" s="89"/>
      <c r="F3513" s="89"/>
      <c r="G3513" s="89"/>
      <c r="H3513" s="87"/>
      <c r="I3513" s="89"/>
      <c r="J3513" s="88"/>
    </row>
    <row r="3514">
      <c r="A3514" s="20" t="s">
        <v>98</v>
      </c>
      <c r="B3514" s="9" t="s">
        <v>6234</v>
      </c>
      <c r="C3514" s="91">
        <v>45217.48705243056</v>
      </c>
      <c r="D3514" s="8">
        <f t="shared" ref="D3514:D3525" si="287">IFERROR(_xlfn.WORKDAY.INTL(C3514, 2),"-")</f>
        <v>45219</v>
      </c>
      <c r="E3514" s="9" t="s">
        <v>88</v>
      </c>
      <c r="F3514" s="10"/>
      <c r="G3514" s="9" t="s">
        <v>15</v>
      </c>
      <c r="H3514" s="7" t="s">
        <v>6235</v>
      </c>
      <c r="I3514" s="9" t="s">
        <v>353</v>
      </c>
      <c r="J3514" s="88"/>
    </row>
    <row r="3515">
      <c r="A3515" s="6" t="s">
        <v>9</v>
      </c>
      <c r="B3515" s="7" t="s">
        <v>6236</v>
      </c>
      <c r="C3515" s="91">
        <v>45203.73109582176</v>
      </c>
      <c r="D3515" s="8">
        <f t="shared" si="287"/>
        <v>45205</v>
      </c>
      <c r="E3515" s="9" t="s">
        <v>11</v>
      </c>
      <c r="F3515" s="9"/>
      <c r="G3515" s="9" t="s">
        <v>15</v>
      </c>
      <c r="H3515" s="7" t="s">
        <v>6237</v>
      </c>
      <c r="I3515" s="9" t="s">
        <v>353</v>
      </c>
      <c r="J3515" s="88"/>
    </row>
    <row r="3516">
      <c r="A3516" s="20" t="s">
        <v>98</v>
      </c>
      <c r="B3516" s="9" t="s">
        <v>6238</v>
      </c>
      <c r="C3516" s="91">
        <v>45215.63892506945</v>
      </c>
      <c r="D3516" s="8">
        <f t="shared" si="287"/>
        <v>45217</v>
      </c>
      <c r="E3516" s="9" t="s">
        <v>88</v>
      </c>
      <c r="F3516" s="10"/>
      <c r="G3516" s="9" t="s">
        <v>15</v>
      </c>
      <c r="H3516" s="7" t="s">
        <v>6239</v>
      </c>
      <c r="I3516" s="9" t="s">
        <v>353</v>
      </c>
      <c r="J3516" s="88"/>
    </row>
    <row r="3517">
      <c r="A3517" s="20" t="s">
        <v>98</v>
      </c>
      <c r="B3517" s="9" t="s">
        <v>6240</v>
      </c>
      <c r="C3517" s="91">
        <v>45208.36438648148</v>
      </c>
      <c r="D3517" s="8">
        <f t="shared" si="287"/>
        <v>45210</v>
      </c>
      <c r="E3517" s="9" t="s">
        <v>88</v>
      </c>
      <c r="F3517" s="10"/>
      <c r="G3517" s="9" t="s">
        <v>15</v>
      </c>
      <c r="H3517" s="7" t="s">
        <v>6241</v>
      </c>
      <c r="I3517" s="9" t="s">
        <v>353</v>
      </c>
      <c r="J3517" s="88"/>
    </row>
    <row r="3518">
      <c r="A3518" s="6" t="s">
        <v>9</v>
      </c>
      <c r="B3518" s="7" t="s">
        <v>6242</v>
      </c>
      <c r="C3518" s="91">
        <v>45210.41393275463</v>
      </c>
      <c r="D3518" s="8">
        <f t="shared" si="287"/>
        <v>45212</v>
      </c>
      <c r="E3518" s="9" t="s">
        <v>11</v>
      </c>
      <c r="F3518" s="10"/>
      <c r="G3518" s="9" t="s">
        <v>15</v>
      </c>
      <c r="H3518" s="7" t="s">
        <v>6243</v>
      </c>
      <c r="I3518" s="9" t="s">
        <v>353</v>
      </c>
      <c r="J3518" s="88"/>
    </row>
    <row r="3519">
      <c r="A3519" s="20" t="s">
        <v>98</v>
      </c>
      <c r="B3519" s="9" t="s">
        <v>6173</v>
      </c>
      <c r="C3519" s="91">
        <v>45215.37750638889</v>
      </c>
      <c r="D3519" s="8">
        <f t="shared" si="287"/>
        <v>45217</v>
      </c>
      <c r="E3519" s="9" t="s">
        <v>88</v>
      </c>
      <c r="F3519" s="10"/>
      <c r="G3519" s="9" t="s">
        <v>15</v>
      </c>
      <c r="H3519" s="7" t="s">
        <v>6244</v>
      </c>
      <c r="I3519" s="9" t="s">
        <v>353</v>
      </c>
      <c r="J3519" s="88"/>
    </row>
    <row r="3520">
      <c r="A3520" s="20" t="s">
        <v>98</v>
      </c>
      <c r="B3520" s="9" t="s">
        <v>6154</v>
      </c>
      <c r="C3520" s="91">
        <v>45209.631847337965</v>
      </c>
      <c r="D3520" s="8">
        <f t="shared" si="287"/>
        <v>45211</v>
      </c>
      <c r="E3520" s="9" t="s">
        <v>206</v>
      </c>
      <c r="F3520" s="10"/>
      <c r="G3520" s="9" t="s">
        <v>220</v>
      </c>
      <c r="H3520" s="7" t="s">
        <v>6245</v>
      </c>
      <c r="I3520" s="9" t="s">
        <v>353</v>
      </c>
      <c r="J3520" s="88"/>
    </row>
    <row r="3521">
      <c r="A3521" s="54" t="s">
        <v>4009</v>
      </c>
      <c r="B3521" s="7" t="s">
        <v>6246</v>
      </c>
      <c r="C3521" s="91">
        <v>45194.42000775463</v>
      </c>
      <c r="D3521" s="8">
        <f t="shared" si="287"/>
        <v>45196</v>
      </c>
      <c r="E3521" s="9" t="s">
        <v>6247</v>
      </c>
      <c r="F3521" s="10"/>
      <c r="G3521" s="9" t="s">
        <v>15</v>
      </c>
      <c r="H3521" s="7" t="s">
        <v>6248</v>
      </c>
      <c r="I3521" s="9" t="s">
        <v>353</v>
      </c>
      <c r="J3521" s="88"/>
    </row>
    <row r="3522">
      <c r="A3522" s="20" t="s">
        <v>98</v>
      </c>
      <c r="B3522" s="9" t="s">
        <v>6249</v>
      </c>
      <c r="C3522" s="91">
        <v>45215.638824699075</v>
      </c>
      <c r="D3522" s="8">
        <f t="shared" si="287"/>
        <v>45217</v>
      </c>
      <c r="E3522" s="9" t="s">
        <v>88</v>
      </c>
      <c r="F3522" s="10"/>
      <c r="G3522" s="9" t="s">
        <v>220</v>
      </c>
      <c r="H3522" s="7" t="s">
        <v>18</v>
      </c>
      <c r="I3522" s="9" t="s">
        <v>353</v>
      </c>
      <c r="J3522" s="88"/>
    </row>
    <row r="3523">
      <c r="A3523" s="20" t="s">
        <v>98</v>
      </c>
      <c r="B3523" s="9" t="s">
        <v>6250</v>
      </c>
      <c r="C3523" s="91">
        <v>45215.639714282406</v>
      </c>
      <c r="D3523" s="8">
        <f t="shared" si="287"/>
        <v>45217</v>
      </c>
      <c r="E3523" s="9" t="s">
        <v>88</v>
      </c>
      <c r="F3523" s="10"/>
      <c r="G3523" s="9" t="s">
        <v>18</v>
      </c>
      <c r="H3523" s="7" t="s">
        <v>6251</v>
      </c>
      <c r="I3523" s="9" t="s">
        <v>353</v>
      </c>
      <c r="J3523" s="88"/>
    </row>
    <row r="3524">
      <c r="A3524" s="42" t="s">
        <v>330</v>
      </c>
      <c r="B3524" s="200" t="s">
        <v>6252</v>
      </c>
      <c r="C3524" s="171">
        <v>45119.49057296297</v>
      </c>
      <c r="D3524" s="80">
        <f t="shared" si="287"/>
        <v>45121</v>
      </c>
      <c r="E3524" s="172" t="s">
        <v>88</v>
      </c>
      <c r="F3524" s="166"/>
      <c r="G3524" s="9" t="s">
        <v>220</v>
      </c>
      <c r="H3524" s="174" t="s">
        <v>6253</v>
      </c>
      <c r="I3524" s="9" t="s">
        <v>353</v>
      </c>
      <c r="J3524" s="88"/>
    </row>
    <row r="3525">
      <c r="A3525" s="20" t="s">
        <v>98</v>
      </c>
      <c r="B3525" s="9" t="s">
        <v>6254</v>
      </c>
      <c r="C3525" s="91">
        <v>45215.37746703703</v>
      </c>
      <c r="D3525" s="8">
        <f t="shared" si="287"/>
        <v>45217</v>
      </c>
      <c r="E3525" s="9" t="s">
        <v>88</v>
      </c>
      <c r="F3525" s="10"/>
      <c r="G3525" s="9" t="s">
        <v>220</v>
      </c>
      <c r="H3525" s="11"/>
      <c r="I3525" s="9" t="s">
        <v>353</v>
      </c>
      <c r="J3525" s="88"/>
    </row>
    <row r="3526">
      <c r="A3526" s="20" t="s">
        <v>98</v>
      </c>
      <c r="B3526" s="9" t="s">
        <v>6255</v>
      </c>
      <c r="C3526" s="91">
        <v>45210.47386412037</v>
      </c>
      <c r="D3526" s="8"/>
      <c r="E3526" s="9" t="s">
        <v>6247</v>
      </c>
      <c r="F3526" s="10"/>
      <c r="G3526" s="9" t="s">
        <v>220</v>
      </c>
      <c r="H3526" s="7" t="s">
        <v>6256</v>
      </c>
      <c r="I3526" s="9" t="s">
        <v>353</v>
      </c>
      <c r="J3526" s="88"/>
    </row>
    <row r="3527">
      <c r="A3527" s="20" t="s">
        <v>98</v>
      </c>
      <c r="B3527" s="9" t="s">
        <v>6257</v>
      </c>
      <c r="C3527" s="91">
        <v>45203.625439421296</v>
      </c>
      <c r="D3527" s="8">
        <f t="shared" ref="D3527:D3534" si="288">IFERROR(_xlfn.WORKDAY.INTL(C3527, 2),"-")</f>
        <v>45205</v>
      </c>
      <c r="E3527" s="9" t="s">
        <v>206</v>
      </c>
      <c r="F3527" s="10"/>
      <c r="G3527" s="9" t="s">
        <v>15</v>
      </c>
      <c r="H3527" s="7" t="s">
        <v>6258</v>
      </c>
      <c r="I3527" s="9" t="s">
        <v>353</v>
      </c>
      <c r="J3527" s="88"/>
    </row>
    <row r="3528">
      <c r="A3528" s="20" t="s">
        <v>98</v>
      </c>
      <c r="B3528" s="9" t="s">
        <v>6259</v>
      </c>
      <c r="C3528" s="91">
        <v>45211.716074525466</v>
      </c>
      <c r="D3528" s="8">
        <f t="shared" si="288"/>
        <v>45215</v>
      </c>
      <c r="E3528" s="9" t="s">
        <v>206</v>
      </c>
      <c r="F3528" s="10"/>
      <c r="G3528" s="9" t="s">
        <v>15</v>
      </c>
      <c r="H3528" s="7" t="s">
        <v>6260</v>
      </c>
      <c r="I3528" s="9" t="s">
        <v>353</v>
      </c>
      <c r="J3528" s="88"/>
    </row>
    <row r="3529">
      <c r="A3529" s="20" t="s">
        <v>98</v>
      </c>
      <c r="B3529" s="26"/>
      <c r="C3529" s="91" t="s">
        <v>11</v>
      </c>
      <c r="D3529" s="8" t="str">
        <f t="shared" si="288"/>
        <v>-</v>
      </c>
      <c r="E3529" s="9" t="s">
        <v>11</v>
      </c>
      <c r="F3529" s="10"/>
      <c r="G3529" s="9"/>
      <c r="H3529" s="11"/>
      <c r="I3529" s="9" t="s">
        <v>353</v>
      </c>
      <c r="J3529" s="88"/>
    </row>
    <row r="3530">
      <c r="A3530" s="20" t="s">
        <v>98</v>
      </c>
      <c r="B3530" s="9" t="s">
        <v>6261</v>
      </c>
      <c r="C3530" s="91">
        <v>45203.46151790509</v>
      </c>
      <c r="D3530" s="8">
        <f t="shared" si="288"/>
        <v>45205</v>
      </c>
      <c r="E3530" s="9" t="s">
        <v>11</v>
      </c>
      <c r="F3530" s="10"/>
      <c r="G3530" s="9" t="s">
        <v>220</v>
      </c>
      <c r="H3530" s="7" t="s">
        <v>6262</v>
      </c>
      <c r="I3530" s="9" t="s">
        <v>353</v>
      </c>
      <c r="J3530" s="88"/>
    </row>
    <row r="3531">
      <c r="A3531" s="20" t="s">
        <v>98</v>
      </c>
      <c r="B3531" s="9" t="s">
        <v>6263</v>
      </c>
      <c r="C3531" s="91">
        <v>45211.71440298611</v>
      </c>
      <c r="D3531" s="8">
        <f t="shared" si="288"/>
        <v>45215</v>
      </c>
      <c r="E3531" s="9" t="s">
        <v>11</v>
      </c>
      <c r="F3531" s="10"/>
      <c r="G3531" s="9" t="s">
        <v>18</v>
      </c>
      <c r="H3531" s="7" t="s">
        <v>6251</v>
      </c>
      <c r="I3531" s="9" t="s">
        <v>353</v>
      </c>
      <c r="J3531" s="88"/>
    </row>
    <row r="3532">
      <c r="A3532" s="34" t="s">
        <v>204</v>
      </c>
      <c r="B3532" s="7" t="s">
        <v>6264</v>
      </c>
      <c r="C3532" s="91">
        <v>45191.46185208333</v>
      </c>
      <c r="D3532" s="8">
        <f t="shared" si="288"/>
        <v>45195</v>
      </c>
      <c r="E3532" s="9" t="s">
        <v>11</v>
      </c>
      <c r="F3532" s="10"/>
      <c r="G3532" s="9" t="s">
        <v>18</v>
      </c>
      <c r="H3532" s="7" t="s">
        <v>6265</v>
      </c>
      <c r="I3532" s="9" t="s">
        <v>353</v>
      </c>
      <c r="J3532" s="88"/>
    </row>
    <row r="3533">
      <c r="A3533" s="20" t="s">
        <v>98</v>
      </c>
      <c r="B3533" s="9" t="s">
        <v>6266</v>
      </c>
      <c r="C3533" s="91">
        <v>45210.593800312505</v>
      </c>
      <c r="D3533" s="8">
        <f t="shared" si="288"/>
        <v>45212</v>
      </c>
      <c r="E3533" s="9" t="s">
        <v>206</v>
      </c>
      <c r="F3533" s="10"/>
      <c r="G3533" s="9" t="s">
        <v>220</v>
      </c>
      <c r="H3533" s="7" t="s">
        <v>6267</v>
      </c>
      <c r="I3533" s="9" t="s">
        <v>353</v>
      </c>
      <c r="J3533" s="88"/>
    </row>
    <row r="3534">
      <c r="A3534" s="20" t="s">
        <v>98</v>
      </c>
      <c r="B3534" s="9" t="s">
        <v>6268</v>
      </c>
      <c r="C3534" s="91">
        <v>45208.44704969907</v>
      </c>
      <c r="D3534" s="8">
        <f t="shared" si="288"/>
        <v>45210</v>
      </c>
      <c r="E3534" s="9" t="s">
        <v>11</v>
      </c>
      <c r="F3534" s="10"/>
      <c r="G3534" s="9" t="s">
        <v>220</v>
      </c>
      <c r="H3534" s="7" t="s">
        <v>6269</v>
      </c>
      <c r="I3534" s="9" t="s">
        <v>353</v>
      </c>
      <c r="J3534" s="88"/>
    </row>
    <row r="3535">
      <c r="A3535" s="20" t="s">
        <v>98</v>
      </c>
      <c r="B3535" s="9" t="s">
        <v>6270</v>
      </c>
      <c r="C3535" s="91">
        <v>45208.725772314814</v>
      </c>
      <c r="D3535" s="8"/>
      <c r="E3535" s="9" t="s">
        <v>6247</v>
      </c>
      <c r="F3535" s="10"/>
      <c r="G3535" s="9" t="s">
        <v>220</v>
      </c>
      <c r="H3535" s="7" t="s">
        <v>6271</v>
      </c>
      <c r="I3535" s="9" t="s">
        <v>353</v>
      </c>
      <c r="J3535" s="88"/>
    </row>
    <row r="3536">
      <c r="A3536" s="20" t="s">
        <v>98</v>
      </c>
      <c r="B3536" s="9" t="s">
        <v>6272</v>
      </c>
      <c r="C3536" s="91">
        <v>45208.4949740625</v>
      </c>
      <c r="D3536" s="8">
        <f t="shared" ref="D3536:D3604" si="289">IFERROR(_xlfn.WORKDAY.INTL(C3536, 2),"-")</f>
        <v>45210</v>
      </c>
      <c r="E3536" s="9" t="s">
        <v>206</v>
      </c>
      <c r="F3536" s="10"/>
      <c r="G3536" s="9" t="s">
        <v>220</v>
      </c>
      <c r="H3536" s="7" t="s">
        <v>6273</v>
      </c>
      <c r="I3536" s="9" t="s">
        <v>353</v>
      </c>
      <c r="J3536" s="88"/>
    </row>
    <row r="3537">
      <c r="A3537" s="20" t="s">
        <v>98</v>
      </c>
      <c r="B3537" s="9" t="s">
        <v>6274</v>
      </c>
      <c r="C3537" s="91">
        <v>45208.36494424769</v>
      </c>
      <c r="D3537" s="8">
        <f t="shared" si="289"/>
        <v>45210</v>
      </c>
      <c r="E3537" s="9" t="s">
        <v>88</v>
      </c>
      <c r="F3537" s="10"/>
      <c r="G3537" s="9" t="s">
        <v>18</v>
      </c>
      <c r="H3537" s="7" t="s">
        <v>6275</v>
      </c>
      <c r="I3537" s="9" t="s">
        <v>353</v>
      </c>
      <c r="J3537" s="88"/>
    </row>
    <row r="3538">
      <c r="A3538" s="6" t="s">
        <v>9</v>
      </c>
      <c r="B3538" s="7" t="s">
        <v>6242</v>
      </c>
      <c r="C3538" s="91">
        <v>45210.413832569444</v>
      </c>
      <c r="D3538" s="8">
        <f t="shared" si="289"/>
        <v>45212</v>
      </c>
      <c r="E3538" s="9" t="s">
        <v>11</v>
      </c>
      <c r="F3538" s="10"/>
      <c r="G3538" s="9" t="s">
        <v>15</v>
      </c>
      <c r="H3538" s="7" t="s">
        <v>6276</v>
      </c>
      <c r="I3538" s="9" t="s">
        <v>353</v>
      </c>
      <c r="J3538" s="88"/>
    </row>
    <row r="3539">
      <c r="A3539" s="42" t="s">
        <v>330</v>
      </c>
      <c r="B3539" s="7" t="s">
        <v>6277</v>
      </c>
      <c r="C3539" s="91">
        <v>45210.351181736114</v>
      </c>
      <c r="D3539" s="8">
        <f t="shared" si="289"/>
        <v>45212</v>
      </c>
      <c r="E3539" s="9" t="s">
        <v>11</v>
      </c>
      <c r="F3539" s="10"/>
      <c r="G3539" s="9"/>
      <c r="H3539" s="11"/>
      <c r="I3539" s="9" t="s">
        <v>353</v>
      </c>
      <c r="J3539" s="88"/>
    </row>
    <row r="3540">
      <c r="A3540" s="42" t="s">
        <v>330</v>
      </c>
      <c r="B3540" s="7" t="s">
        <v>6122</v>
      </c>
      <c r="C3540" s="91">
        <v>45204.0</v>
      </c>
      <c r="D3540" s="8">
        <f t="shared" si="289"/>
        <v>45208</v>
      </c>
      <c r="E3540" s="9" t="s">
        <v>11</v>
      </c>
      <c r="F3540" s="10"/>
      <c r="G3540" s="9" t="s">
        <v>15</v>
      </c>
      <c r="H3540" s="7" t="s">
        <v>6278</v>
      </c>
      <c r="I3540" s="9" t="s">
        <v>353</v>
      </c>
      <c r="J3540" s="88"/>
    </row>
    <row r="3541">
      <c r="A3541" s="202" t="s">
        <v>204</v>
      </c>
      <c r="B3541" s="203" t="s">
        <v>6279</v>
      </c>
      <c r="C3541" s="204">
        <v>45209.74855700231</v>
      </c>
      <c r="D3541" s="205">
        <f t="shared" si="289"/>
        <v>45211</v>
      </c>
      <c r="E3541" s="206" t="s">
        <v>11</v>
      </c>
      <c r="F3541" s="207"/>
      <c r="G3541" s="206"/>
      <c r="H3541" s="203" t="s">
        <v>6280</v>
      </c>
      <c r="I3541" s="206" t="s">
        <v>353</v>
      </c>
      <c r="J3541" s="88"/>
    </row>
    <row r="3542">
      <c r="A3542" s="54" t="s">
        <v>4009</v>
      </c>
      <c r="B3542" s="7" t="s">
        <v>2814</v>
      </c>
      <c r="C3542" s="91">
        <v>45197.44392605324</v>
      </c>
      <c r="D3542" s="8">
        <f t="shared" si="289"/>
        <v>45201</v>
      </c>
      <c r="E3542" s="9" t="s">
        <v>88</v>
      </c>
      <c r="F3542" s="10"/>
      <c r="G3542" s="9" t="s">
        <v>15</v>
      </c>
      <c r="H3542" s="7" t="s">
        <v>6281</v>
      </c>
      <c r="I3542" s="9" t="s">
        <v>353</v>
      </c>
      <c r="J3542" s="88"/>
    </row>
    <row r="3543">
      <c r="A3543" s="202" t="s">
        <v>204</v>
      </c>
      <c r="B3543" s="203" t="s">
        <v>6282</v>
      </c>
      <c r="C3543" s="204">
        <v>45209.69118627315</v>
      </c>
      <c r="D3543" s="205">
        <f t="shared" si="289"/>
        <v>45211</v>
      </c>
      <c r="E3543" s="206" t="s">
        <v>11</v>
      </c>
      <c r="F3543" s="207"/>
      <c r="G3543" s="206"/>
      <c r="H3543" s="203" t="s">
        <v>6283</v>
      </c>
      <c r="I3543" s="206" t="s">
        <v>353</v>
      </c>
      <c r="J3543" s="88"/>
    </row>
    <row r="3544">
      <c r="A3544" s="42" t="s">
        <v>330</v>
      </c>
      <c r="B3544" s="168" t="s">
        <v>6284</v>
      </c>
      <c r="C3544" s="91">
        <v>45189.737750659726</v>
      </c>
      <c r="D3544" s="8">
        <f t="shared" si="289"/>
        <v>45191</v>
      </c>
      <c r="E3544" s="9" t="s">
        <v>6247</v>
      </c>
      <c r="F3544" s="8"/>
      <c r="G3544" s="9" t="s">
        <v>220</v>
      </c>
      <c r="H3544" s="7" t="s">
        <v>6285</v>
      </c>
      <c r="I3544" s="9" t="s">
        <v>353</v>
      </c>
      <c r="J3544" s="88"/>
    </row>
    <row r="3545">
      <c r="A3545" s="202" t="s">
        <v>204</v>
      </c>
      <c r="B3545" s="203" t="s">
        <v>6286</v>
      </c>
      <c r="C3545" s="204">
        <v>45162.590692858794</v>
      </c>
      <c r="D3545" s="205">
        <f t="shared" si="289"/>
        <v>45166</v>
      </c>
      <c r="E3545" s="206" t="s">
        <v>11</v>
      </c>
      <c r="F3545" s="207"/>
      <c r="G3545" s="206" t="s">
        <v>18</v>
      </c>
      <c r="H3545" s="129" t="s">
        <v>6287</v>
      </c>
      <c r="I3545" s="206" t="s">
        <v>353</v>
      </c>
      <c r="J3545" s="88"/>
    </row>
    <row r="3546">
      <c r="A3546" s="42" t="s">
        <v>330</v>
      </c>
      <c r="B3546" s="7" t="s">
        <v>6288</v>
      </c>
      <c r="C3546" s="91">
        <v>45202.680126817126</v>
      </c>
      <c r="D3546" s="8">
        <f t="shared" si="289"/>
        <v>45204</v>
      </c>
      <c r="E3546" s="9" t="s">
        <v>11</v>
      </c>
      <c r="F3546" s="10"/>
      <c r="G3546" s="9" t="s">
        <v>220</v>
      </c>
      <c r="H3546" s="7" t="s">
        <v>6289</v>
      </c>
      <c r="I3546" s="9" t="s">
        <v>353</v>
      </c>
      <c r="J3546" s="88"/>
    </row>
    <row r="3547">
      <c r="A3547" s="6" t="s">
        <v>9</v>
      </c>
      <c r="B3547" s="7" t="s">
        <v>6290</v>
      </c>
      <c r="C3547" s="91">
        <v>44760.42991748842</v>
      </c>
      <c r="D3547" s="8">
        <f t="shared" si="289"/>
        <v>44762</v>
      </c>
      <c r="E3547" s="9" t="s">
        <v>88</v>
      </c>
      <c r="F3547" s="9"/>
      <c r="G3547" s="9" t="s">
        <v>4263</v>
      </c>
      <c r="H3547" s="7" t="s">
        <v>6291</v>
      </c>
      <c r="I3547" s="9" t="s">
        <v>353</v>
      </c>
      <c r="J3547" s="88"/>
    </row>
    <row r="3548">
      <c r="A3548" s="6" t="s">
        <v>9</v>
      </c>
      <c r="B3548" s="7" t="s">
        <v>6292</v>
      </c>
      <c r="C3548" s="91">
        <v>45203.48125887732</v>
      </c>
      <c r="D3548" s="8">
        <f t="shared" si="289"/>
        <v>45205</v>
      </c>
      <c r="E3548" s="9" t="s">
        <v>11</v>
      </c>
      <c r="F3548" s="10"/>
      <c r="G3548" s="9" t="s">
        <v>15</v>
      </c>
      <c r="H3548" s="7" t="s">
        <v>6293</v>
      </c>
      <c r="I3548" s="9" t="s">
        <v>353</v>
      </c>
      <c r="J3548" s="88"/>
    </row>
    <row r="3549">
      <c r="A3549" s="6" t="s">
        <v>9</v>
      </c>
      <c r="B3549" s="7" t="s">
        <v>6294</v>
      </c>
      <c r="C3549" s="91">
        <v>45203.48131164352</v>
      </c>
      <c r="D3549" s="8">
        <f t="shared" si="289"/>
        <v>45205</v>
      </c>
      <c r="E3549" s="9" t="s">
        <v>11</v>
      </c>
      <c r="F3549" s="10"/>
      <c r="G3549" s="9" t="s">
        <v>15</v>
      </c>
      <c r="H3549" s="7" t="s">
        <v>6233</v>
      </c>
      <c r="I3549" s="9" t="s">
        <v>353</v>
      </c>
      <c r="J3549" s="88"/>
    </row>
    <row r="3550">
      <c r="A3550" s="42" t="s">
        <v>330</v>
      </c>
      <c r="B3550" s="7" t="s">
        <v>6295</v>
      </c>
      <c r="C3550" s="91">
        <v>45204.727281377316</v>
      </c>
      <c r="D3550" s="8">
        <f t="shared" si="289"/>
        <v>45208</v>
      </c>
      <c r="E3550" s="9" t="s">
        <v>11</v>
      </c>
      <c r="F3550" s="10"/>
      <c r="G3550" s="9" t="s">
        <v>15</v>
      </c>
      <c r="H3550" s="7" t="s">
        <v>6296</v>
      </c>
      <c r="I3550" s="9" t="s">
        <v>353</v>
      </c>
      <c r="J3550" s="88"/>
    </row>
    <row r="3551">
      <c r="A3551" s="20" t="s">
        <v>98</v>
      </c>
      <c r="B3551" s="9" t="s">
        <v>6297</v>
      </c>
      <c r="C3551" s="91">
        <v>45209.41182630787</v>
      </c>
      <c r="D3551" s="8">
        <f t="shared" si="289"/>
        <v>45211</v>
      </c>
      <c r="E3551" s="9" t="s">
        <v>624</v>
      </c>
      <c r="F3551" s="10"/>
      <c r="G3551" s="9" t="s">
        <v>15</v>
      </c>
      <c r="H3551" s="7" t="s">
        <v>6298</v>
      </c>
      <c r="I3551" s="9" t="s">
        <v>353</v>
      </c>
      <c r="J3551" s="88"/>
    </row>
    <row r="3552">
      <c r="A3552" s="42" t="s">
        <v>330</v>
      </c>
      <c r="B3552" s="184" t="s">
        <v>6299</v>
      </c>
      <c r="C3552" s="91">
        <v>45197.71004626158</v>
      </c>
      <c r="D3552" s="8">
        <f t="shared" si="289"/>
        <v>45201</v>
      </c>
      <c r="E3552" s="9" t="s">
        <v>11</v>
      </c>
      <c r="F3552" s="10"/>
      <c r="G3552" s="9" t="s">
        <v>220</v>
      </c>
      <c r="H3552" s="7" t="s">
        <v>6300</v>
      </c>
      <c r="I3552" s="9" t="s">
        <v>353</v>
      </c>
      <c r="J3552" s="88"/>
    </row>
    <row r="3553">
      <c r="A3553" s="20" t="s">
        <v>98</v>
      </c>
      <c r="B3553" s="9" t="s">
        <v>1129</v>
      </c>
      <c r="C3553" s="91">
        <v>45201.665447569445</v>
      </c>
      <c r="D3553" s="8">
        <f t="shared" si="289"/>
        <v>45203</v>
      </c>
      <c r="E3553" s="9" t="s">
        <v>206</v>
      </c>
      <c r="F3553" s="10"/>
      <c r="G3553" s="9" t="s">
        <v>15</v>
      </c>
      <c r="H3553" s="7" t="s">
        <v>6301</v>
      </c>
      <c r="I3553" s="9" t="s">
        <v>353</v>
      </c>
      <c r="J3553" s="88"/>
    </row>
    <row r="3554">
      <c r="A3554" s="54" t="s">
        <v>4009</v>
      </c>
      <c r="B3554" s="7" t="s">
        <v>2814</v>
      </c>
      <c r="C3554" s="91">
        <v>45197.34795776621</v>
      </c>
      <c r="D3554" s="8">
        <f t="shared" si="289"/>
        <v>45201</v>
      </c>
      <c r="E3554" s="9" t="s">
        <v>88</v>
      </c>
      <c r="F3554" s="10"/>
      <c r="G3554" s="9" t="s">
        <v>15</v>
      </c>
      <c r="H3554" s="7" t="s">
        <v>6302</v>
      </c>
      <c r="I3554" s="9" t="s">
        <v>353</v>
      </c>
      <c r="J3554" s="88"/>
    </row>
    <row r="3555">
      <c r="A3555" s="202" t="s">
        <v>204</v>
      </c>
      <c r="B3555" s="203" t="s">
        <v>6303</v>
      </c>
      <c r="C3555" s="204">
        <v>45162.59238290509</v>
      </c>
      <c r="D3555" s="205">
        <f t="shared" si="289"/>
        <v>45166</v>
      </c>
      <c r="E3555" s="206" t="s">
        <v>11</v>
      </c>
      <c r="F3555" s="207"/>
      <c r="G3555" s="206" t="s">
        <v>15</v>
      </c>
      <c r="H3555" s="7" t="s">
        <v>6304</v>
      </c>
      <c r="I3555" s="206" t="s">
        <v>353</v>
      </c>
      <c r="J3555" s="88"/>
    </row>
    <row r="3556">
      <c r="A3556" s="20" t="s">
        <v>98</v>
      </c>
      <c r="B3556" s="9" t="s">
        <v>6305</v>
      </c>
      <c r="C3556" s="91">
        <v>45208.622833981484</v>
      </c>
      <c r="D3556" s="8">
        <f t="shared" si="289"/>
        <v>45210</v>
      </c>
      <c r="E3556" s="9" t="s">
        <v>88</v>
      </c>
      <c r="F3556" s="10"/>
      <c r="G3556" s="9" t="s">
        <v>18</v>
      </c>
      <c r="H3556" s="11"/>
      <c r="I3556" s="9" t="s">
        <v>353</v>
      </c>
      <c r="J3556" s="88"/>
    </row>
    <row r="3557">
      <c r="A3557" s="202" t="s">
        <v>204</v>
      </c>
      <c r="B3557" s="203" t="s">
        <v>6306</v>
      </c>
      <c r="C3557" s="204">
        <v>45208.63061432871</v>
      </c>
      <c r="D3557" s="205">
        <f t="shared" si="289"/>
        <v>45210</v>
      </c>
      <c r="E3557" s="206" t="s">
        <v>11</v>
      </c>
      <c r="F3557" s="207"/>
      <c r="G3557" s="206" t="s">
        <v>18</v>
      </c>
      <c r="H3557" s="203" t="s">
        <v>6307</v>
      </c>
      <c r="I3557" s="206" t="s">
        <v>353</v>
      </c>
      <c r="J3557" s="88"/>
    </row>
    <row r="3558">
      <c r="A3558" s="20" t="s">
        <v>98</v>
      </c>
      <c r="B3558" s="9" t="s">
        <v>6308</v>
      </c>
      <c r="C3558" s="91">
        <v>45204.36296371528</v>
      </c>
      <c r="D3558" s="8">
        <f t="shared" si="289"/>
        <v>45208</v>
      </c>
      <c r="E3558" s="9" t="s">
        <v>88</v>
      </c>
      <c r="F3558" s="10"/>
      <c r="G3558" s="9" t="s">
        <v>15</v>
      </c>
      <c r="H3558" s="7" t="s">
        <v>6309</v>
      </c>
      <c r="I3558" s="9" t="s">
        <v>353</v>
      </c>
      <c r="J3558" s="88"/>
    </row>
    <row r="3559">
      <c r="A3559" s="42" t="s">
        <v>330</v>
      </c>
      <c r="B3559" s="7" t="s">
        <v>6310</v>
      </c>
      <c r="C3559" s="91">
        <v>45189.62002263889</v>
      </c>
      <c r="D3559" s="8">
        <f t="shared" si="289"/>
        <v>45191</v>
      </c>
      <c r="E3559" s="9" t="s">
        <v>11</v>
      </c>
      <c r="F3559" s="9"/>
      <c r="G3559" s="9" t="s">
        <v>220</v>
      </c>
      <c r="H3559" s="7" t="s">
        <v>6311</v>
      </c>
      <c r="I3559" s="9" t="s">
        <v>353</v>
      </c>
      <c r="J3559" s="88"/>
    </row>
    <row r="3560">
      <c r="A3560" s="42" t="s">
        <v>330</v>
      </c>
      <c r="B3560" s="208" t="s">
        <v>6312</v>
      </c>
      <c r="C3560" s="91">
        <v>45203.730183287036</v>
      </c>
      <c r="D3560" s="8">
        <f t="shared" si="289"/>
        <v>45205</v>
      </c>
      <c r="E3560" s="9" t="s">
        <v>11</v>
      </c>
      <c r="F3560" s="10"/>
      <c r="G3560" s="9" t="s">
        <v>220</v>
      </c>
      <c r="H3560" s="7" t="s">
        <v>6313</v>
      </c>
      <c r="I3560" s="9" t="s">
        <v>353</v>
      </c>
      <c r="J3560" s="88"/>
    </row>
    <row r="3561">
      <c r="A3561" s="54" t="s">
        <v>4009</v>
      </c>
      <c r="B3561" s="7" t="s">
        <v>6314</v>
      </c>
      <c r="C3561" s="91">
        <v>45194.64622165509</v>
      </c>
      <c r="D3561" s="8">
        <f t="shared" si="289"/>
        <v>45196</v>
      </c>
      <c r="E3561" s="9" t="s">
        <v>206</v>
      </c>
      <c r="F3561" s="9"/>
      <c r="G3561" s="9" t="s">
        <v>21</v>
      </c>
      <c r="H3561" s="158" t="s">
        <v>6315</v>
      </c>
      <c r="I3561" s="9" t="s">
        <v>353</v>
      </c>
      <c r="J3561" s="88"/>
    </row>
    <row r="3562">
      <c r="A3562" s="54" t="s">
        <v>4009</v>
      </c>
      <c r="B3562" s="7" t="s">
        <v>6316</v>
      </c>
      <c r="C3562" s="91">
        <v>45194.420536087964</v>
      </c>
      <c r="D3562" s="8">
        <f t="shared" si="289"/>
        <v>45196</v>
      </c>
      <c r="E3562" s="9" t="s">
        <v>6247</v>
      </c>
      <c r="F3562" s="10"/>
      <c r="G3562" s="9" t="s">
        <v>15</v>
      </c>
      <c r="H3562" s="166" t="s">
        <v>6317</v>
      </c>
      <c r="I3562" s="9" t="s">
        <v>353</v>
      </c>
      <c r="J3562" s="88"/>
    </row>
    <row r="3563">
      <c r="A3563" s="34" t="s">
        <v>204</v>
      </c>
      <c r="B3563" s="7" t="s">
        <v>6318</v>
      </c>
      <c r="C3563" s="91">
        <v>45205.40041847222</v>
      </c>
      <c r="D3563" s="8">
        <f t="shared" si="289"/>
        <v>45209</v>
      </c>
      <c r="E3563" s="9" t="s">
        <v>11</v>
      </c>
      <c r="F3563" s="10"/>
      <c r="G3563" s="9" t="s">
        <v>18</v>
      </c>
      <c r="H3563" s="7" t="s">
        <v>5517</v>
      </c>
      <c r="I3563" s="9" t="s">
        <v>353</v>
      </c>
      <c r="J3563" s="88"/>
    </row>
    <row r="3564">
      <c r="A3564" s="42" t="s">
        <v>330</v>
      </c>
      <c r="B3564" s="7" t="s">
        <v>4321</v>
      </c>
      <c r="C3564" s="91">
        <v>45204.580359432875</v>
      </c>
      <c r="D3564" s="8">
        <f t="shared" si="289"/>
        <v>45208</v>
      </c>
      <c r="E3564" s="9" t="s">
        <v>11</v>
      </c>
      <c r="F3564" s="10"/>
      <c r="G3564" s="9"/>
      <c r="H3564" s="7" t="s">
        <v>437</v>
      </c>
      <c r="I3564" s="9" t="s">
        <v>353</v>
      </c>
      <c r="J3564" s="88"/>
    </row>
    <row r="3565">
      <c r="A3565" s="20" t="s">
        <v>98</v>
      </c>
      <c r="B3565" s="9" t="s">
        <v>6319</v>
      </c>
      <c r="C3565" s="91">
        <v>45191.403119131945</v>
      </c>
      <c r="D3565" s="8">
        <f t="shared" si="289"/>
        <v>45195</v>
      </c>
      <c r="E3565" s="9" t="s">
        <v>11</v>
      </c>
      <c r="F3565" s="10"/>
      <c r="G3565" s="9" t="s">
        <v>15</v>
      </c>
      <c r="H3565" s="7" t="s">
        <v>6320</v>
      </c>
      <c r="I3565" s="9" t="s">
        <v>353</v>
      </c>
      <c r="J3565" s="88"/>
    </row>
    <row r="3566">
      <c r="A3566" s="42" t="s">
        <v>330</v>
      </c>
      <c r="B3566" s="7" t="s">
        <v>6321</v>
      </c>
      <c r="C3566" s="91">
        <v>45202.0</v>
      </c>
      <c r="D3566" s="8">
        <f t="shared" si="289"/>
        <v>45204</v>
      </c>
      <c r="E3566" s="9" t="s">
        <v>11</v>
      </c>
      <c r="F3566" s="10"/>
      <c r="G3566" s="9" t="s">
        <v>220</v>
      </c>
      <c r="H3566" s="7" t="s">
        <v>6322</v>
      </c>
      <c r="I3566" s="9" t="s">
        <v>353</v>
      </c>
      <c r="J3566" s="88"/>
    </row>
    <row r="3567">
      <c r="A3567" s="6" t="s">
        <v>9</v>
      </c>
      <c r="B3567" s="7" t="s">
        <v>6323</v>
      </c>
      <c r="C3567" s="91">
        <v>45034.346084502315</v>
      </c>
      <c r="D3567" s="8">
        <f t="shared" si="289"/>
        <v>45036</v>
      </c>
      <c r="E3567" s="9" t="s">
        <v>11</v>
      </c>
      <c r="F3567" s="9"/>
      <c r="G3567" s="9" t="s">
        <v>89</v>
      </c>
      <c r="H3567" s="7" t="s">
        <v>6324</v>
      </c>
      <c r="I3567" s="9" t="s">
        <v>353</v>
      </c>
      <c r="J3567" s="88"/>
    </row>
    <row r="3568">
      <c r="A3568" s="6" t="s">
        <v>9</v>
      </c>
      <c r="B3568" s="7" t="s">
        <v>6325</v>
      </c>
      <c r="C3568" s="91">
        <v>45176.46397052083</v>
      </c>
      <c r="D3568" s="8">
        <f t="shared" si="289"/>
        <v>45180</v>
      </c>
      <c r="E3568" s="9" t="s">
        <v>11</v>
      </c>
      <c r="F3568" s="10"/>
      <c r="G3568" s="9" t="s">
        <v>15</v>
      </c>
      <c r="H3568" s="7" t="s">
        <v>6326</v>
      </c>
      <c r="I3568" s="9" t="s">
        <v>353</v>
      </c>
      <c r="J3568" s="88"/>
    </row>
    <row r="3569">
      <c r="A3569" s="20" t="s">
        <v>204</v>
      </c>
      <c r="B3569" s="7" t="s">
        <v>6327</v>
      </c>
      <c r="C3569" s="91">
        <v>45159.45048010416</v>
      </c>
      <c r="D3569" s="8">
        <f t="shared" si="289"/>
        <v>45161</v>
      </c>
      <c r="E3569" s="9" t="s">
        <v>11</v>
      </c>
      <c r="F3569" s="9"/>
      <c r="G3569" s="9" t="s">
        <v>18</v>
      </c>
      <c r="H3569" s="7" t="s">
        <v>6328</v>
      </c>
      <c r="I3569" s="9" t="s">
        <v>353</v>
      </c>
      <c r="J3569" s="88"/>
    </row>
    <row r="3570">
      <c r="A3570" s="6" t="s">
        <v>9</v>
      </c>
      <c r="B3570" s="7" t="s">
        <v>6329</v>
      </c>
      <c r="C3570" s="91">
        <v>45188.37477642361</v>
      </c>
      <c r="D3570" s="8">
        <f t="shared" si="289"/>
        <v>45190</v>
      </c>
      <c r="E3570" s="9" t="s">
        <v>11</v>
      </c>
      <c r="F3570" s="10"/>
      <c r="G3570" s="9" t="s">
        <v>15</v>
      </c>
      <c r="H3570" s="7" t="s">
        <v>6330</v>
      </c>
      <c r="I3570" s="9" t="s">
        <v>353</v>
      </c>
      <c r="J3570" s="88"/>
    </row>
    <row r="3571">
      <c r="A3571" s="6" t="s">
        <v>9</v>
      </c>
      <c r="B3571" s="7" t="s">
        <v>6331</v>
      </c>
      <c r="C3571" s="91">
        <v>45184.411523622686</v>
      </c>
      <c r="D3571" s="8">
        <f t="shared" si="289"/>
        <v>45188</v>
      </c>
      <c r="E3571" s="9" t="s">
        <v>11</v>
      </c>
      <c r="F3571" s="10"/>
      <c r="G3571" s="9" t="s">
        <v>15</v>
      </c>
      <c r="H3571" s="7" t="s">
        <v>6332</v>
      </c>
      <c r="I3571" s="9" t="s">
        <v>353</v>
      </c>
      <c r="J3571" s="88"/>
    </row>
    <row r="3572">
      <c r="A3572" s="6" t="s">
        <v>9</v>
      </c>
      <c r="B3572" s="7" t="s">
        <v>6333</v>
      </c>
      <c r="C3572" s="91">
        <v>45096.62605356482</v>
      </c>
      <c r="D3572" s="8">
        <f t="shared" si="289"/>
        <v>45098</v>
      </c>
      <c r="E3572" s="9" t="s">
        <v>88</v>
      </c>
      <c r="F3572" s="9"/>
      <c r="G3572" s="9" t="s">
        <v>15</v>
      </c>
      <c r="H3572" s="7" t="s">
        <v>6334</v>
      </c>
      <c r="I3572" s="9" t="s">
        <v>353</v>
      </c>
      <c r="J3572" s="88"/>
    </row>
    <row r="3573">
      <c r="A3573" s="20" t="s">
        <v>98</v>
      </c>
      <c r="B3573" s="9" t="s">
        <v>6335</v>
      </c>
      <c r="C3573" s="91">
        <v>45187.58018655093</v>
      </c>
      <c r="D3573" s="8">
        <f t="shared" si="289"/>
        <v>45189</v>
      </c>
      <c r="E3573" s="9" t="s">
        <v>88</v>
      </c>
      <c r="F3573" s="10"/>
      <c r="G3573" s="9" t="s">
        <v>15</v>
      </c>
      <c r="H3573" s="7" t="s">
        <v>6336</v>
      </c>
      <c r="I3573" s="9" t="s">
        <v>353</v>
      </c>
      <c r="J3573" s="88"/>
    </row>
    <row r="3574">
      <c r="A3574" s="20" t="s">
        <v>98</v>
      </c>
      <c r="B3574" s="9" t="s">
        <v>6337</v>
      </c>
      <c r="C3574" s="91">
        <v>45203.33688577546</v>
      </c>
      <c r="D3574" s="8">
        <f t="shared" si="289"/>
        <v>45205</v>
      </c>
      <c r="E3574" s="9" t="s">
        <v>88</v>
      </c>
      <c r="F3574" s="10"/>
      <c r="G3574" s="9" t="s">
        <v>18</v>
      </c>
      <c r="H3574" s="7" t="s">
        <v>6338</v>
      </c>
      <c r="I3574" s="9" t="s">
        <v>353</v>
      </c>
      <c r="J3574" s="88"/>
    </row>
    <row r="3575">
      <c r="A3575" s="34" t="s">
        <v>204</v>
      </c>
      <c r="B3575" s="7" t="s">
        <v>6339</v>
      </c>
      <c r="C3575" s="91">
        <v>45176.48014356481</v>
      </c>
      <c r="D3575" s="8">
        <f t="shared" si="289"/>
        <v>45180</v>
      </c>
      <c r="E3575" s="9" t="s">
        <v>11</v>
      </c>
      <c r="F3575" s="9"/>
      <c r="G3575" s="9" t="s">
        <v>15</v>
      </c>
      <c r="H3575" s="7" t="s">
        <v>6340</v>
      </c>
      <c r="I3575" s="9" t="s">
        <v>353</v>
      </c>
      <c r="J3575" s="88"/>
    </row>
    <row r="3576">
      <c r="A3576" s="34" t="s">
        <v>204</v>
      </c>
      <c r="B3576" s="7" t="s">
        <v>6341</v>
      </c>
      <c r="C3576" s="91">
        <v>45162.47508765046</v>
      </c>
      <c r="D3576" s="8">
        <f t="shared" si="289"/>
        <v>45166</v>
      </c>
      <c r="E3576" s="9" t="s">
        <v>11</v>
      </c>
      <c r="F3576" s="10"/>
      <c r="G3576" s="9" t="s">
        <v>15</v>
      </c>
      <c r="H3576" s="7" t="s">
        <v>6342</v>
      </c>
      <c r="I3576" s="9" t="s">
        <v>353</v>
      </c>
      <c r="J3576" s="88"/>
    </row>
    <row r="3577">
      <c r="A3577" s="34" t="s">
        <v>204</v>
      </c>
      <c r="B3577" s="7" t="s">
        <v>6343</v>
      </c>
      <c r="C3577" s="91">
        <v>45197.663207627316</v>
      </c>
      <c r="D3577" s="8">
        <f t="shared" si="289"/>
        <v>45201</v>
      </c>
      <c r="E3577" s="9" t="s">
        <v>11</v>
      </c>
      <c r="F3577" s="9"/>
      <c r="G3577" s="9" t="s">
        <v>15</v>
      </c>
      <c r="H3577" s="7" t="s">
        <v>6344</v>
      </c>
      <c r="I3577" s="9" t="s">
        <v>353</v>
      </c>
      <c r="J3577" s="88"/>
    </row>
    <row r="3578">
      <c r="A3578" s="34" t="s">
        <v>204</v>
      </c>
      <c r="B3578" s="7" t="s">
        <v>6345</v>
      </c>
      <c r="C3578" s="91">
        <v>45061.5150333912</v>
      </c>
      <c r="D3578" s="8">
        <f t="shared" si="289"/>
        <v>45063</v>
      </c>
      <c r="E3578" s="9" t="s">
        <v>88</v>
      </c>
      <c r="F3578" s="71"/>
      <c r="G3578" s="9" t="s">
        <v>18</v>
      </c>
      <c r="H3578" s="7" t="s">
        <v>6346</v>
      </c>
      <c r="I3578" s="9" t="s">
        <v>353</v>
      </c>
      <c r="J3578" s="88"/>
    </row>
    <row r="3579">
      <c r="A3579" s="6" t="s">
        <v>9</v>
      </c>
      <c r="B3579" s="7" t="s">
        <v>6347</v>
      </c>
      <c r="C3579" s="91">
        <v>45203.5155744213</v>
      </c>
      <c r="D3579" s="8">
        <f t="shared" si="289"/>
        <v>45205</v>
      </c>
      <c r="E3579" s="9" t="s">
        <v>11</v>
      </c>
      <c r="F3579" s="10"/>
      <c r="G3579" s="9" t="s">
        <v>15</v>
      </c>
      <c r="H3579" s="7" t="s">
        <v>6233</v>
      </c>
      <c r="I3579" s="9" t="s">
        <v>353</v>
      </c>
      <c r="J3579" s="88"/>
    </row>
    <row r="3580">
      <c r="A3580" s="42" t="s">
        <v>330</v>
      </c>
      <c r="B3580" s="7" t="s">
        <v>6348</v>
      </c>
      <c r="C3580" s="91">
        <v>45202.68055409723</v>
      </c>
      <c r="D3580" s="8">
        <f t="shared" si="289"/>
        <v>45204</v>
      </c>
      <c r="E3580" s="9" t="s">
        <v>11</v>
      </c>
      <c r="F3580" s="10"/>
      <c r="G3580" s="9" t="s">
        <v>220</v>
      </c>
      <c r="H3580" s="7" t="s">
        <v>6349</v>
      </c>
      <c r="I3580" s="9" t="s">
        <v>353</v>
      </c>
      <c r="J3580" s="88"/>
    </row>
    <row r="3581">
      <c r="A3581" s="6" t="s">
        <v>9</v>
      </c>
      <c r="B3581" s="7" t="s">
        <v>6350</v>
      </c>
      <c r="C3581" s="91">
        <v>45195.480031747684</v>
      </c>
      <c r="D3581" s="8">
        <f t="shared" si="289"/>
        <v>45197</v>
      </c>
      <c r="E3581" s="9" t="s">
        <v>11</v>
      </c>
      <c r="F3581" s="10"/>
      <c r="G3581" s="9" t="s">
        <v>15</v>
      </c>
      <c r="H3581" s="7" t="s">
        <v>6351</v>
      </c>
      <c r="I3581" s="9" t="s">
        <v>353</v>
      </c>
      <c r="J3581" s="88"/>
    </row>
    <row r="3582">
      <c r="A3582" s="20" t="s">
        <v>98</v>
      </c>
      <c r="B3582" s="9" t="s">
        <v>6352</v>
      </c>
      <c r="C3582" s="91">
        <v>45191.403882025465</v>
      </c>
      <c r="D3582" s="8">
        <f t="shared" si="289"/>
        <v>45195</v>
      </c>
      <c r="E3582" s="9" t="s">
        <v>11</v>
      </c>
      <c r="F3582" s="10"/>
      <c r="G3582" s="9" t="s">
        <v>15</v>
      </c>
      <c r="H3582" s="7" t="s">
        <v>6353</v>
      </c>
      <c r="I3582" s="9" t="s">
        <v>353</v>
      </c>
      <c r="J3582" s="88"/>
    </row>
    <row r="3583">
      <c r="A3583" s="20" t="s">
        <v>98</v>
      </c>
      <c r="B3583" s="9" t="s">
        <v>6354</v>
      </c>
      <c r="C3583" s="91">
        <v>45191.40349273148</v>
      </c>
      <c r="D3583" s="8">
        <f t="shared" si="289"/>
        <v>45195</v>
      </c>
      <c r="E3583" s="9" t="s">
        <v>11</v>
      </c>
      <c r="F3583" s="8"/>
      <c r="G3583" s="9" t="s">
        <v>15</v>
      </c>
      <c r="H3583" s="7" t="s">
        <v>6355</v>
      </c>
      <c r="I3583" s="9" t="s">
        <v>353</v>
      </c>
      <c r="J3583" s="88"/>
    </row>
    <row r="3584">
      <c r="A3584" s="6" t="s">
        <v>9</v>
      </c>
      <c r="B3584" s="7" t="s">
        <v>4557</v>
      </c>
      <c r="C3584" s="91">
        <v>45201.43444924768</v>
      </c>
      <c r="D3584" s="8">
        <f t="shared" si="289"/>
        <v>45203</v>
      </c>
      <c r="E3584" s="9" t="s">
        <v>6247</v>
      </c>
      <c r="F3584" s="10"/>
      <c r="G3584" s="9" t="s">
        <v>15</v>
      </c>
      <c r="H3584" s="7" t="s">
        <v>6356</v>
      </c>
      <c r="I3584" s="9" t="s">
        <v>353</v>
      </c>
      <c r="J3584" s="88"/>
    </row>
    <row r="3585">
      <c r="A3585" s="20" t="s">
        <v>98</v>
      </c>
      <c r="B3585" s="9" t="s">
        <v>6357</v>
      </c>
      <c r="C3585" s="91">
        <v>45201.63078623843</v>
      </c>
      <c r="D3585" s="8">
        <f t="shared" si="289"/>
        <v>45203</v>
      </c>
      <c r="E3585" s="9" t="s">
        <v>88</v>
      </c>
      <c r="F3585" s="10"/>
      <c r="G3585" s="9" t="s">
        <v>15</v>
      </c>
      <c r="H3585" s="7" t="s">
        <v>6358</v>
      </c>
      <c r="I3585" s="9" t="s">
        <v>353</v>
      </c>
      <c r="J3585" s="88"/>
    </row>
    <row r="3586">
      <c r="A3586" s="42" t="s">
        <v>330</v>
      </c>
      <c r="B3586" s="7" t="s">
        <v>6359</v>
      </c>
      <c r="C3586" s="91">
        <v>45197.0</v>
      </c>
      <c r="D3586" s="8">
        <f t="shared" si="289"/>
        <v>45201</v>
      </c>
      <c r="E3586" s="9" t="s">
        <v>11</v>
      </c>
      <c r="F3586" s="10"/>
      <c r="G3586" s="9" t="s">
        <v>220</v>
      </c>
      <c r="H3586" s="7" t="s">
        <v>6360</v>
      </c>
      <c r="I3586" s="9" t="s">
        <v>353</v>
      </c>
      <c r="J3586" s="88"/>
    </row>
    <row r="3587">
      <c r="A3587" s="42" t="s">
        <v>330</v>
      </c>
      <c r="B3587" s="7" t="s">
        <v>6361</v>
      </c>
      <c r="C3587" s="91">
        <v>45190.66587953704</v>
      </c>
      <c r="D3587" s="8">
        <f t="shared" si="289"/>
        <v>45194</v>
      </c>
      <c r="E3587" s="9" t="s">
        <v>11</v>
      </c>
      <c r="F3587" s="9"/>
      <c r="G3587" s="9" t="s">
        <v>220</v>
      </c>
      <c r="H3587" s="7" t="s">
        <v>6362</v>
      </c>
      <c r="I3587" s="9" t="s">
        <v>353</v>
      </c>
      <c r="J3587" s="88"/>
    </row>
    <row r="3588">
      <c r="A3588" s="20" t="s">
        <v>98</v>
      </c>
      <c r="B3588" s="9" t="s">
        <v>6363</v>
      </c>
      <c r="C3588" s="91">
        <v>45191.40332329861</v>
      </c>
      <c r="D3588" s="8">
        <f t="shared" si="289"/>
        <v>45195</v>
      </c>
      <c r="E3588" s="9" t="s">
        <v>11</v>
      </c>
      <c r="F3588" s="10"/>
      <c r="G3588" s="9" t="s">
        <v>15</v>
      </c>
      <c r="H3588" s="7" t="s">
        <v>6364</v>
      </c>
      <c r="I3588" s="9" t="s">
        <v>353</v>
      </c>
      <c r="J3588" s="88"/>
    </row>
    <row r="3589">
      <c r="A3589" s="54" t="s">
        <v>4009</v>
      </c>
      <c r="B3589" s="7" t="s">
        <v>2814</v>
      </c>
      <c r="C3589" s="91">
        <v>45198.33434681713</v>
      </c>
      <c r="D3589" s="8">
        <f t="shared" si="289"/>
        <v>45202</v>
      </c>
      <c r="E3589" s="9" t="s">
        <v>11</v>
      </c>
      <c r="F3589" s="8"/>
      <c r="G3589" s="9" t="s">
        <v>18</v>
      </c>
      <c r="H3589" s="7" t="s">
        <v>6365</v>
      </c>
      <c r="I3589" s="9" t="s">
        <v>353</v>
      </c>
      <c r="J3589" s="88"/>
    </row>
    <row r="3590">
      <c r="A3590" s="34" t="s">
        <v>204</v>
      </c>
      <c r="B3590" s="7" t="s">
        <v>6366</v>
      </c>
      <c r="C3590" s="91">
        <v>45124.36341150463</v>
      </c>
      <c r="D3590" s="8">
        <f t="shared" si="289"/>
        <v>45126</v>
      </c>
      <c r="E3590" s="9" t="s">
        <v>11</v>
      </c>
      <c r="F3590" s="9"/>
      <c r="G3590" s="9" t="s">
        <v>21</v>
      </c>
      <c r="H3590" s="7" t="s">
        <v>6367</v>
      </c>
      <c r="I3590" s="9" t="s">
        <v>353</v>
      </c>
      <c r="J3590" s="88"/>
    </row>
    <row r="3591">
      <c r="A3591" s="34" t="s">
        <v>204</v>
      </c>
      <c r="B3591" s="7" t="s">
        <v>5694</v>
      </c>
      <c r="C3591" s="91">
        <v>45111.584754780095</v>
      </c>
      <c r="D3591" s="8">
        <f t="shared" si="289"/>
        <v>45113</v>
      </c>
      <c r="E3591" s="9" t="s">
        <v>11</v>
      </c>
      <c r="F3591" s="9"/>
      <c r="G3591" s="9" t="s">
        <v>15</v>
      </c>
      <c r="H3591" s="7" t="s">
        <v>6368</v>
      </c>
      <c r="I3591" s="9" t="s">
        <v>353</v>
      </c>
      <c r="J3591" s="88"/>
    </row>
    <row r="3592">
      <c r="A3592" s="34" t="s">
        <v>204</v>
      </c>
      <c r="B3592" s="7" t="s">
        <v>6369</v>
      </c>
      <c r="C3592" s="91">
        <v>45162.59125817129</v>
      </c>
      <c r="D3592" s="8">
        <f t="shared" si="289"/>
        <v>45166</v>
      </c>
      <c r="E3592" s="9" t="s">
        <v>11</v>
      </c>
      <c r="F3592" s="9"/>
      <c r="G3592" s="9" t="s">
        <v>15</v>
      </c>
      <c r="H3592" s="62" t="s">
        <v>6370</v>
      </c>
      <c r="I3592" s="9" t="s">
        <v>353</v>
      </c>
      <c r="J3592" s="88"/>
    </row>
    <row r="3593">
      <c r="A3593" s="42" t="s">
        <v>330</v>
      </c>
      <c r="B3593" s="7" t="s">
        <v>6371</v>
      </c>
      <c r="C3593" s="91">
        <v>45187.560823437496</v>
      </c>
      <c r="D3593" s="8">
        <f t="shared" si="289"/>
        <v>45189</v>
      </c>
      <c r="E3593" s="9" t="s">
        <v>206</v>
      </c>
      <c r="F3593" s="9"/>
      <c r="G3593" s="9" t="s">
        <v>15</v>
      </c>
      <c r="H3593" s="7" t="s">
        <v>6372</v>
      </c>
      <c r="I3593" s="9" t="s">
        <v>353</v>
      </c>
      <c r="J3593" s="88"/>
    </row>
    <row r="3594">
      <c r="A3594" s="20" t="s">
        <v>98</v>
      </c>
      <c r="B3594" s="7" t="s">
        <v>6373</v>
      </c>
      <c r="C3594" s="91">
        <v>45183.379269537036</v>
      </c>
      <c r="D3594" s="8">
        <f t="shared" si="289"/>
        <v>45187</v>
      </c>
      <c r="E3594" s="9" t="s">
        <v>88</v>
      </c>
      <c r="F3594" s="10"/>
      <c r="G3594" s="9" t="s">
        <v>15</v>
      </c>
      <c r="H3594" s="7" t="s">
        <v>6374</v>
      </c>
      <c r="I3594" s="9" t="s">
        <v>353</v>
      </c>
      <c r="J3594" s="88"/>
    </row>
    <row r="3595">
      <c r="A3595" s="6" t="s">
        <v>9</v>
      </c>
      <c r="B3595" s="7" t="s">
        <v>6375</v>
      </c>
      <c r="C3595" s="91">
        <v>45198.43979497685</v>
      </c>
      <c r="D3595" s="8">
        <f t="shared" si="289"/>
        <v>45202</v>
      </c>
      <c r="E3595" s="9" t="s">
        <v>11</v>
      </c>
      <c r="F3595" s="10"/>
      <c r="G3595" s="9" t="s">
        <v>15</v>
      </c>
      <c r="H3595" s="7" t="s">
        <v>6376</v>
      </c>
      <c r="I3595" s="9" t="s">
        <v>353</v>
      </c>
      <c r="J3595" s="88"/>
    </row>
    <row r="3596">
      <c r="A3596" s="20" t="s">
        <v>98</v>
      </c>
      <c r="B3596" s="9" t="s">
        <v>6377</v>
      </c>
      <c r="C3596" s="91">
        <v>45187.57677197916</v>
      </c>
      <c r="D3596" s="8">
        <f t="shared" si="289"/>
        <v>45189</v>
      </c>
      <c r="E3596" s="9" t="s">
        <v>206</v>
      </c>
      <c r="F3596" s="10"/>
      <c r="G3596" s="9" t="s">
        <v>15</v>
      </c>
      <c r="H3596" s="7" t="s">
        <v>6378</v>
      </c>
      <c r="I3596" s="9" t="s">
        <v>353</v>
      </c>
      <c r="J3596" s="88"/>
    </row>
    <row r="3597">
      <c r="A3597" s="20" t="s">
        <v>98</v>
      </c>
      <c r="B3597" s="9" t="s">
        <v>6379</v>
      </c>
      <c r="C3597" s="91">
        <v>45191.5013821412</v>
      </c>
      <c r="D3597" s="8">
        <f t="shared" si="289"/>
        <v>45195</v>
      </c>
      <c r="E3597" s="9" t="s">
        <v>88</v>
      </c>
      <c r="F3597" s="10"/>
      <c r="G3597" s="9" t="s">
        <v>15</v>
      </c>
      <c r="H3597" s="7" t="s">
        <v>6380</v>
      </c>
      <c r="I3597" s="9" t="s">
        <v>353</v>
      </c>
      <c r="J3597" s="88"/>
    </row>
    <row r="3598">
      <c r="A3598" s="42" t="s">
        <v>330</v>
      </c>
      <c r="B3598" s="7" t="s">
        <v>6381</v>
      </c>
      <c r="C3598" s="91">
        <v>45190.50755787037</v>
      </c>
      <c r="D3598" s="8">
        <f t="shared" si="289"/>
        <v>45194</v>
      </c>
      <c r="E3598" s="9" t="s">
        <v>11</v>
      </c>
      <c r="F3598" s="9"/>
      <c r="G3598" s="9" t="s">
        <v>220</v>
      </c>
      <c r="H3598" s="7" t="s">
        <v>6382</v>
      </c>
      <c r="I3598" s="9" t="s">
        <v>353</v>
      </c>
      <c r="J3598" s="88"/>
    </row>
    <row r="3599">
      <c r="A3599" s="6" t="s">
        <v>9</v>
      </c>
      <c r="B3599" s="7" t="s">
        <v>3525</v>
      </c>
      <c r="C3599" s="91">
        <v>45198.39817408565</v>
      </c>
      <c r="D3599" s="8">
        <f t="shared" si="289"/>
        <v>45202</v>
      </c>
      <c r="E3599" s="9" t="s">
        <v>11</v>
      </c>
      <c r="F3599" s="10"/>
      <c r="G3599" s="9" t="s">
        <v>15</v>
      </c>
      <c r="H3599" s="7" t="s">
        <v>6383</v>
      </c>
      <c r="I3599" s="9" t="s">
        <v>353</v>
      </c>
      <c r="J3599" s="88"/>
    </row>
    <row r="3600">
      <c r="A3600" s="6" t="s">
        <v>9</v>
      </c>
      <c r="B3600" s="7" t="s">
        <v>6384</v>
      </c>
      <c r="C3600" s="91">
        <v>45188.627536064814</v>
      </c>
      <c r="D3600" s="8">
        <f t="shared" si="289"/>
        <v>45190</v>
      </c>
      <c r="E3600" s="9" t="s">
        <v>11</v>
      </c>
      <c r="F3600" s="10"/>
      <c r="G3600" s="9" t="s">
        <v>15</v>
      </c>
      <c r="H3600" s="7" t="s">
        <v>6385</v>
      </c>
      <c r="I3600" s="9" t="s">
        <v>353</v>
      </c>
      <c r="J3600" s="88"/>
    </row>
    <row r="3601">
      <c r="A3601" s="54" t="s">
        <v>4009</v>
      </c>
      <c r="B3601" s="7" t="s">
        <v>6386</v>
      </c>
      <c r="C3601" s="91">
        <v>45194.420797025465</v>
      </c>
      <c r="D3601" s="8">
        <f t="shared" si="289"/>
        <v>45196</v>
      </c>
      <c r="E3601" s="9" t="s">
        <v>88</v>
      </c>
      <c r="F3601" s="10"/>
      <c r="G3601" s="9" t="s">
        <v>15</v>
      </c>
      <c r="H3601" s="7" t="s">
        <v>6387</v>
      </c>
      <c r="I3601" s="9" t="s">
        <v>353</v>
      </c>
      <c r="J3601" s="88"/>
    </row>
    <row r="3602">
      <c r="A3602" s="6" t="s">
        <v>9</v>
      </c>
      <c r="B3602" s="7" t="s">
        <v>6388</v>
      </c>
      <c r="C3602" s="91">
        <v>45195.479967129635</v>
      </c>
      <c r="D3602" s="8">
        <f t="shared" si="289"/>
        <v>45197</v>
      </c>
      <c r="E3602" s="9" t="s">
        <v>11</v>
      </c>
      <c r="F3602" s="10"/>
      <c r="G3602" s="9" t="s">
        <v>15</v>
      </c>
      <c r="H3602" s="7" t="s">
        <v>6389</v>
      </c>
      <c r="I3602" s="9" t="s">
        <v>353</v>
      </c>
      <c r="J3602" s="88"/>
    </row>
    <row r="3603">
      <c r="A3603" s="6" t="s">
        <v>9</v>
      </c>
      <c r="B3603" s="7" t="s">
        <v>4905</v>
      </c>
      <c r="C3603" s="91">
        <v>45197.70760342592</v>
      </c>
      <c r="D3603" s="8">
        <f t="shared" si="289"/>
        <v>45201</v>
      </c>
      <c r="E3603" s="9" t="s">
        <v>11</v>
      </c>
      <c r="F3603" s="10"/>
      <c r="G3603" s="9"/>
      <c r="H3603" s="7" t="s">
        <v>6390</v>
      </c>
      <c r="I3603" s="9" t="s">
        <v>353</v>
      </c>
      <c r="J3603" s="88"/>
    </row>
    <row r="3604">
      <c r="A3604" s="54" t="s">
        <v>4009</v>
      </c>
      <c r="B3604" s="7" t="s">
        <v>6391</v>
      </c>
      <c r="C3604" s="91">
        <v>45188.72758358796</v>
      </c>
      <c r="D3604" s="8">
        <f t="shared" si="289"/>
        <v>45190</v>
      </c>
      <c r="E3604" s="9" t="s">
        <v>88</v>
      </c>
      <c r="F3604" s="8"/>
      <c r="G3604" s="9" t="s">
        <v>220</v>
      </c>
      <c r="H3604" s="7" t="s">
        <v>6392</v>
      </c>
      <c r="I3604" s="9" t="s">
        <v>353</v>
      </c>
      <c r="J3604" s="88"/>
    </row>
    <row r="3605">
      <c r="A3605" s="6"/>
      <c r="B3605" s="7" t="s">
        <v>6393</v>
      </c>
      <c r="C3605" s="91">
        <v>45173.41923090278</v>
      </c>
      <c r="D3605" s="8"/>
      <c r="E3605" s="9"/>
      <c r="F3605" s="9"/>
      <c r="G3605" s="9" t="s">
        <v>15</v>
      </c>
      <c r="H3605" s="7" t="s">
        <v>6394</v>
      </c>
      <c r="I3605" s="9" t="s">
        <v>353</v>
      </c>
      <c r="J3605" s="88"/>
    </row>
    <row r="3606">
      <c r="A3606" s="54" t="s">
        <v>4009</v>
      </c>
      <c r="B3606" s="7" t="s">
        <v>2814</v>
      </c>
      <c r="C3606" s="91">
        <v>45181.38631952547</v>
      </c>
      <c r="D3606" s="8"/>
      <c r="E3606" s="9" t="s">
        <v>88</v>
      </c>
      <c r="F3606" s="10"/>
      <c r="G3606" s="9" t="s">
        <v>15</v>
      </c>
      <c r="H3606" s="7" t="s">
        <v>6395</v>
      </c>
      <c r="I3606" s="9" t="s">
        <v>353</v>
      </c>
      <c r="J3606" s="88"/>
    </row>
    <row r="3607">
      <c r="A3607" s="6" t="s">
        <v>9</v>
      </c>
      <c r="B3607" s="7" t="s">
        <v>6396</v>
      </c>
      <c r="C3607" s="91">
        <v>45190.520068831014</v>
      </c>
      <c r="D3607" s="8">
        <f t="shared" ref="D3607:D3609" si="290">IFERROR(_xlfn.WORKDAY.INTL(C3607, 2),"-")</f>
        <v>45194</v>
      </c>
      <c r="E3607" s="9" t="s">
        <v>11</v>
      </c>
      <c r="F3607" s="10"/>
      <c r="G3607" s="9" t="s">
        <v>15</v>
      </c>
      <c r="H3607" s="7" t="s">
        <v>6397</v>
      </c>
      <c r="I3607" s="9" t="s">
        <v>353</v>
      </c>
      <c r="J3607" s="88"/>
    </row>
    <row r="3608">
      <c r="A3608" s="42" t="s">
        <v>330</v>
      </c>
      <c r="B3608" s="7" t="s">
        <v>6398</v>
      </c>
      <c r="C3608" s="91">
        <v>45187.546116446756</v>
      </c>
      <c r="D3608" s="8">
        <f t="shared" si="290"/>
        <v>45189</v>
      </c>
      <c r="E3608" s="9" t="s">
        <v>206</v>
      </c>
      <c r="F3608" s="8"/>
      <c r="G3608" s="9" t="s">
        <v>15</v>
      </c>
      <c r="H3608" s="136" t="s">
        <v>6399</v>
      </c>
      <c r="I3608" s="9" t="s">
        <v>353</v>
      </c>
      <c r="J3608" s="88"/>
    </row>
    <row r="3609">
      <c r="A3609" s="34" t="s">
        <v>204</v>
      </c>
      <c r="B3609" s="7" t="s">
        <v>6400</v>
      </c>
      <c r="C3609" s="91">
        <v>45196.67223636574</v>
      </c>
      <c r="D3609" s="8">
        <f t="shared" si="290"/>
        <v>45198</v>
      </c>
      <c r="E3609" s="9" t="s">
        <v>11</v>
      </c>
      <c r="F3609" s="10"/>
      <c r="G3609" s="9" t="s">
        <v>18</v>
      </c>
      <c r="H3609" s="7" t="s">
        <v>437</v>
      </c>
      <c r="I3609" s="9" t="s">
        <v>353</v>
      </c>
      <c r="J3609" s="88"/>
    </row>
    <row r="3610">
      <c r="A3610" s="20" t="s">
        <v>98</v>
      </c>
      <c r="B3610" s="9" t="s">
        <v>6401</v>
      </c>
      <c r="C3610" s="91">
        <v>45181.65112472222</v>
      </c>
      <c r="D3610" s="8">
        <v>45184.0</v>
      </c>
      <c r="E3610" s="9" t="s">
        <v>88</v>
      </c>
      <c r="F3610" s="10"/>
      <c r="G3610" s="9" t="s">
        <v>15</v>
      </c>
      <c r="H3610" s="7" t="s">
        <v>6402</v>
      </c>
      <c r="I3610" s="9" t="s">
        <v>353</v>
      </c>
      <c r="J3610" s="88"/>
    </row>
    <row r="3611">
      <c r="A3611" s="6" t="s">
        <v>9</v>
      </c>
      <c r="B3611" s="7" t="s">
        <v>6403</v>
      </c>
      <c r="C3611" s="91">
        <v>45195.47967438657</v>
      </c>
      <c r="D3611" s="8">
        <f t="shared" ref="D3611:D3615" si="291">IFERROR(_xlfn.WORKDAY.INTL(C3611, 2),"-")</f>
        <v>45197</v>
      </c>
      <c r="E3611" s="9" t="s">
        <v>11</v>
      </c>
      <c r="F3611" s="10"/>
      <c r="G3611" s="9" t="s">
        <v>15</v>
      </c>
      <c r="H3611" s="7" t="s">
        <v>6404</v>
      </c>
      <c r="I3611" s="9" t="s">
        <v>353</v>
      </c>
      <c r="J3611" s="88"/>
    </row>
    <row r="3612">
      <c r="A3612" s="34" t="s">
        <v>204</v>
      </c>
      <c r="B3612" s="7" t="s">
        <v>5310</v>
      </c>
      <c r="C3612" s="91">
        <v>45196.45746481481</v>
      </c>
      <c r="D3612" s="8">
        <f t="shared" si="291"/>
        <v>45198</v>
      </c>
      <c r="E3612" s="9" t="s">
        <v>11</v>
      </c>
      <c r="F3612" s="10"/>
      <c r="G3612" s="9" t="s">
        <v>18</v>
      </c>
      <c r="H3612" s="7" t="s">
        <v>437</v>
      </c>
      <c r="I3612" s="9" t="s">
        <v>353</v>
      </c>
      <c r="J3612" s="88"/>
    </row>
    <row r="3613">
      <c r="A3613" s="34" t="s">
        <v>204</v>
      </c>
      <c r="B3613" s="7" t="s">
        <v>6405</v>
      </c>
      <c r="C3613" s="91">
        <v>45196.414555868054</v>
      </c>
      <c r="D3613" s="8">
        <f t="shared" si="291"/>
        <v>45198</v>
      </c>
      <c r="E3613" s="9" t="s">
        <v>11</v>
      </c>
      <c r="F3613" s="10"/>
      <c r="G3613" s="9" t="s">
        <v>18</v>
      </c>
      <c r="H3613" s="7" t="s">
        <v>437</v>
      </c>
      <c r="I3613" s="9" t="s">
        <v>353</v>
      </c>
      <c r="J3613" s="88"/>
    </row>
    <row r="3614">
      <c r="A3614" s="34" t="s">
        <v>204</v>
      </c>
      <c r="B3614" s="7" t="s">
        <v>6406</v>
      </c>
      <c r="C3614" s="91">
        <v>45196.39390408565</v>
      </c>
      <c r="D3614" s="8">
        <f t="shared" si="291"/>
        <v>45198</v>
      </c>
      <c r="E3614" s="9" t="s">
        <v>11</v>
      </c>
      <c r="F3614" s="10"/>
      <c r="G3614" s="9" t="s">
        <v>18</v>
      </c>
      <c r="H3614" s="7" t="s">
        <v>437</v>
      </c>
      <c r="I3614" s="9" t="s">
        <v>353</v>
      </c>
      <c r="J3614" s="88"/>
    </row>
    <row r="3615">
      <c r="A3615" s="34" t="s">
        <v>204</v>
      </c>
      <c r="B3615" s="7" t="s">
        <v>6407</v>
      </c>
      <c r="C3615" s="91">
        <v>45195.72883878472</v>
      </c>
      <c r="D3615" s="8">
        <f t="shared" si="291"/>
        <v>45197</v>
      </c>
      <c r="E3615" s="9" t="s">
        <v>11</v>
      </c>
      <c r="F3615" s="10"/>
      <c r="G3615" s="9" t="s">
        <v>18</v>
      </c>
      <c r="H3615" s="7" t="s">
        <v>437</v>
      </c>
      <c r="I3615" s="9" t="s">
        <v>353</v>
      </c>
      <c r="J3615" s="88"/>
    </row>
    <row r="3616">
      <c r="A3616" s="34" t="s">
        <v>204</v>
      </c>
      <c r="B3616" s="7" t="s">
        <v>6408</v>
      </c>
      <c r="C3616" s="91">
        <v>45161.62803497685</v>
      </c>
      <c r="D3616" s="8">
        <v>45161.62803497685</v>
      </c>
      <c r="E3616" s="9" t="s">
        <v>11</v>
      </c>
      <c r="F3616" s="10"/>
      <c r="G3616" s="9" t="s">
        <v>21</v>
      </c>
      <c r="H3616" s="7" t="s">
        <v>6409</v>
      </c>
      <c r="I3616" s="9" t="s">
        <v>353</v>
      </c>
      <c r="J3616" s="88"/>
    </row>
    <row r="3617">
      <c r="A3617" s="6" t="s">
        <v>9</v>
      </c>
      <c r="B3617" s="7" t="s">
        <v>6410</v>
      </c>
      <c r="C3617" s="91">
        <v>45195.509150185186</v>
      </c>
      <c r="D3617" s="8">
        <f t="shared" ref="D3617:D3618" si="292">IFERROR(_xlfn.WORKDAY.INTL(C3617, 2),"-")</f>
        <v>45197</v>
      </c>
      <c r="E3617" s="9" t="s">
        <v>11</v>
      </c>
      <c r="F3617" s="10"/>
      <c r="G3617" s="9" t="s">
        <v>15</v>
      </c>
      <c r="H3617" s="7" t="s">
        <v>2882</v>
      </c>
      <c r="I3617" s="9" t="s">
        <v>353</v>
      </c>
      <c r="J3617" s="88"/>
    </row>
    <row r="3618">
      <c r="A3618" s="34" t="s">
        <v>204</v>
      </c>
      <c r="B3618" s="111" t="s">
        <v>6411</v>
      </c>
      <c r="C3618" s="91">
        <v>45195.371567800925</v>
      </c>
      <c r="D3618" s="8">
        <f t="shared" si="292"/>
        <v>45197</v>
      </c>
      <c r="E3618" s="9" t="s">
        <v>11</v>
      </c>
      <c r="F3618" s="10"/>
      <c r="G3618" s="9" t="s">
        <v>18</v>
      </c>
      <c r="H3618" s="7" t="s">
        <v>437</v>
      </c>
      <c r="I3618" s="9" t="s">
        <v>353</v>
      </c>
      <c r="J3618" s="88"/>
    </row>
    <row r="3619">
      <c r="A3619" s="42"/>
      <c r="B3619" s="7" t="s">
        <v>5712</v>
      </c>
      <c r="C3619" s="91">
        <v>45190.617576018514</v>
      </c>
      <c r="D3619" s="8"/>
      <c r="E3619" s="9"/>
      <c r="F3619" s="10"/>
      <c r="G3619" s="9" t="s">
        <v>15</v>
      </c>
      <c r="H3619" s="7" t="s">
        <v>6412</v>
      </c>
      <c r="I3619" s="9" t="s">
        <v>353</v>
      </c>
      <c r="J3619" s="88"/>
    </row>
    <row r="3620">
      <c r="A3620" s="88"/>
      <c r="B3620" s="89"/>
      <c r="C3620" s="90"/>
      <c r="D3620" s="89"/>
      <c r="E3620" s="89"/>
      <c r="F3620" s="89"/>
      <c r="G3620" s="89"/>
      <c r="H3620" s="87"/>
      <c r="I3620" s="89"/>
      <c r="J3620" s="88"/>
    </row>
    <row r="3621">
      <c r="A3621" s="42" t="s">
        <v>330</v>
      </c>
      <c r="B3621" s="7" t="s">
        <v>6413</v>
      </c>
      <c r="C3621" s="91">
        <v>45190.61765159722</v>
      </c>
      <c r="D3621" s="8">
        <f t="shared" ref="D3621:D3628" si="293">IFERROR(_xlfn.WORKDAY.INTL(C3621, 2),"-")</f>
        <v>45194</v>
      </c>
      <c r="E3621" s="9" t="s">
        <v>11</v>
      </c>
      <c r="F3621" s="10"/>
      <c r="G3621" s="9" t="s">
        <v>15</v>
      </c>
      <c r="H3621" s="7" t="s">
        <v>6412</v>
      </c>
      <c r="I3621" s="9" t="s">
        <v>353</v>
      </c>
      <c r="J3621" s="88"/>
    </row>
    <row r="3622">
      <c r="A3622" s="42" t="s">
        <v>330</v>
      </c>
      <c r="B3622" s="7" t="s">
        <v>6414</v>
      </c>
      <c r="C3622" s="91">
        <v>45184.0</v>
      </c>
      <c r="D3622" s="8">
        <f t="shared" si="293"/>
        <v>45188</v>
      </c>
      <c r="E3622" s="9" t="s">
        <v>206</v>
      </c>
      <c r="F3622" s="10"/>
      <c r="G3622" s="9" t="s">
        <v>15</v>
      </c>
      <c r="H3622" s="136" t="s">
        <v>6415</v>
      </c>
      <c r="I3622" s="9" t="s">
        <v>353</v>
      </c>
      <c r="J3622" s="88"/>
    </row>
    <row r="3623">
      <c r="A3623" s="34" t="s">
        <v>204</v>
      </c>
      <c r="B3623" s="7" t="s">
        <v>6416</v>
      </c>
      <c r="C3623" s="91">
        <v>45162.4730137963</v>
      </c>
      <c r="D3623" s="8">
        <f t="shared" si="293"/>
        <v>45166</v>
      </c>
      <c r="E3623" s="9" t="s">
        <v>11</v>
      </c>
      <c r="F3623" s="10"/>
      <c r="G3623" s="9" t="s">
        <v>15</v>
      </c>
      <c r="H3623" s="7" t="s">
        <v>6417</v>
      </c>
      <c r="I3623" s="9" t="s">
        <v>353</v>
      </c>
      <c r="J3623" s="88"/>
    </row>
    <row r="3624">
      <c r="A3624" s="34" t="s">
        <v>204</v>
      </c>
      <c r="B3624" s="7" t="s">
        <v>6418</v>
      </c>
      <c r="C3624" s="91">
        <v>45033.42652753472</v>
      </c>
      <c r="D3624" s="8">
        <f t="shared" si="293"/>
        <v>45035</v>
      </c>
      <c r="E3624" s="9" t="s">
        <v>11</v>
      </c>
      <c r="F3624" s="9"/>
      <c r="G3624" s="9" t="s">
        <v>15</v>
      </c>
      <c r="H3624" s="7" t="s">
        <v>6419</v>
      </c>
      <c r="I3624" s="9" t="s">
        <v>353</v>
      </c>
      <c r="J3624" s="88"/>
    </row>
    <row r="3625">
      <c r="A3625" s="34" t="s">
        <v>204</v>
      </c>
      <c r="B3625" s="7" t="s">
        <v>6420</v>
      </c>
      <c r="C3625" s="91">
        <v>45191.476638657405</v>
      </c>
      <c r="D3625" s="8">
        <f t="shared" si="293"/>
        <v>45195</v>
      </c>
      <c r="E3625" s="9" t="s">
        <v>11</v>
      </c>
      <c r="F3625" s="9"/>
      <c r="G3625" s="9" t="s">
        <v>15</v>
      </c>
      <c r="H3625" s="7" t="s">
        <v>6421</v>
      </c>
      <c r="I3625" s="9" t="s">
        <v>353</v>
      </c>
      <c r="J3625" s="88"/>
    </row>
    <row r="3626">
      <c r="A3626" s="54" t="s">
        <v>4009</v>
      </c>
      <c r="B3626" s="7" t="s">
        <v>6422</v>
      </c>
      <c r="C3626" s="91">
        <v>45187.56925351852</v>
      </c>
      <c r="D3626" s="8">
        <f t="shared" si="293"/>
        <v>45189</v>
      </c>
      <c r="E3626" s="9" t="s">
        <v>6247</v>
      </c>
      <c r="F3626" s="8"/>
      <c r="G3626" s="9" t="s">
        <v>15</v>
      </c>
      <c r="H3626" s="7" t="s">
        <v>6423</v>
      </c>
      <c r="I3626" s="9" t="s">
        <v>353</v>
      </c>
      <c r="J3626" s="88"/>
    </row>
    <row r="3627">
      <c r="A3627" s="42" t="s">
        <v>330</v>
      </c>
      <c r="B3627" s="209" t="s">
        <v>6424</v>
      </c>
      <c r="C3627" s="91">
        <v>45190.636377013885</v>
      </c>
      <c r="D3627" s="8">
        <f t="shared" si="293"/>
        <v>45194</v>
      </c>
      <c r="E3627" s="9" t="s">
        <v>11</v>
      </c>
      <c r="F3627" s="10"/>
      <c r="G3627" s="9" t="s">
        <v>15</v>
      </c>
      <c r="H3627" s="7" t="s">
        <v>6425</v>
      </c>
      <c r="I3627" s="9" t="s">
        <v>353</v>
      </c>
      <c r="J3627" s="88"/>
    </row>
    <row r="3628">
      <c r="A3628" s="42" t="s">
        <v>330</v>
      </c>
      <c r="B3628" s="209" t="s">
        <v>6426</v>
      </c>
      <c r="C3628" s="91">
        <v>45194.52106820601</v>
      </c>
      <c r="D3628" s="8">
        <f t="shared" si="293"/>
        <v>45196</v>
      </c>
      <c r="E3628" s="9" t="s">
        <v>11</v>
      </c>
      <c r="F3628" s="10"/>
      <c r="G3628" s="9" t="s">
        <v>220</v>
      </c>
      <c r="H3628" s="7" t="s">
        <v>6427</v>
      </c>
      <c r="I3628" s="9" t="s">
        <v>353</v>
      </c>
      <c r="J3628" s="88"/>
    </row>
    <row r="3629">
      <c r="A3629" s="88"/>
      <c r="B3629" s="89"/>
      <c r="C3629" s="90"/>
      <c r="D3629" s="89"/>
      <c r="E3629" s="89"/>
      <c r="F3629" s="89"/>
      <c r="G3629" s="89"/>
      <c r="H3629" s="87"/>
      <c r="I3629" s="89"/>
      <c r="J3629" s="88"/>
    </row>
    <row r="3630">
      <c r="A3630" s="6" t="s">
        <v>9</v>
      </c>
      <c r="B3630" s="7" t="s">
        <v>6428</v>
      </c>
      <c r="C3630" s="91">
        <v>45181.328076805556</v>
      </c>
      <c r="D3630" s="8">
        <f t="shared" ref="D3630:D3633" si="294">IFERROR(_xlfn.WORKDAY.INTL(C3630, 2),"-")</f>
        <v>45183</v>
      </c>
      <c r="E3630" s="9" t="s">
        <v>11</v>
      </c>
      <c r="F3630" s="10"/>
      <c r="G3630" s="9" t="s">
        <v>15</v>
      </c>
      <c r="H3630" s="7" t="s">
        <v>6429</v>
      </c>
      <c r="I3630" s="9" t="s">
        <v>353</v>
      </c>
      <c r="J3630" s="88"/>
    </row>
    <row r="3631">
      <c r="A3631" s="34" t="s">
        <v>204</v>
      </c>
      <c r="B3631" s="7" t="s">
        <v>6430</v>
      </c>
      <c r="C3631" s="91">
        <v>45194.637178680554</v>
      </c>
      <c r="D3631" s="8">
        <f t="shared" si="294"/>
        <v>45196</v>
      </c>
      <c r="E3631" s="9" t="s">
        <v>11</v>
      </c>
      <c r="F3631" s="10"/>
      <c r="G3631" s="9"/>
      <c r="H3631" s="7" t="s">
        <v>437</v>
      </c>
      <c r="I3631" s="9" t="s">
        <v>353</v>
      </c>
      <c r="J3631" s="88"/>
    </row>
    <row r="3632">
      <c r="A3632" s="6" t="s">
        <v>9</v>
      </c>
      <c r="B3632" s="7" t="s">
        <v>6431</v>
      </c>
      <c r="C3632" s="91">
        <v>45190.7279728588</v>
      </c>
      <c r="D3632" s="8">
        <f t="shared" si="294"/>
        <v>45194</v>
      </c>
      <c r="E3632" s="9" t="s">
        <v>11</v>
      </c>
      <c r="F3632" s="10"/>
      <c r="G3632" s="9" t="s">
        <v>15</v>
      </c>
      <c r="H3632" s="7" t="s">
        <v>6432</v>
      </c>
      <c r="I3632" s="9" t="s">
        <v>353</v>
      </c>
      <c r="J3632" s="88"/>
    </row>
    <row r="3633">
      <c r="A3633" s="34" t="s">
        <v>204</v>
      </c>
      <c r="B3633" s="7" t="s">
        <v>6433</v>
      </c>
      <c r="C3633" s="91">
        <v>45191.47771732639</v>
      </c>
      <c r="D3633" s="8">
        <f t="shared" si="294"/>
        <v>45195</v>
      </c>
      <c r="E3633" s="9" t="s">
        <v>11</v>
      </c>
      <c r="F3633" s="10"/>
      <c r="G3633" s="9" t="s">
        <v>18</v>
      </c>
      <c r="H3633" s="7" t="s">
        <v>6434</v>
      </c>
      <c r="I3633" s="9" t="s">
        <v>353</v>
      </c>
      <c r="J3633" s="88"/>
    </row>
    <row r="3634">
      <c r="A3634" s="20" t="s">
        <v>98</v>
      </c>
      <c r="B3634" s="9" t="s">
        <v>6435</v>
      </c>
      <c r="C3634" s="91">
        <v>45181.65214373842</v>
      </c>
      <c r="D3634" s="8">
        <v>45187.0</v>
      </c>
      <c r="E3634" s="9" t="s">
        <v>88</v>
      </c>
      <c r="F3634" s="10"/>
      <c r="G3634" s="9" t="s">
        <v>15</v>
      </c>
      <c r="H3634" s="7" t="s">
        <v>6436</v>
      </c>
      <c r="I3634" s="9" t="s">
        <v>353</v>
      </c>
      <c r="J3634" s="88"/>
    </row>
    <row r="3635">
      <c r="A3635" s="6" t="s">
        <v>9</v>
      </c>
      <c r="B3635" s="7" t="s">
        <v>6437</v>
      </c>
      <c r="C3635" s="91">
        <v>45194.35084166667</v>
      </c>
      <c r="D3635" s="8">
        <f t="shared" ref="D3635:D3642" si="295">IFERROR(_xlfn.WORKDAY.INTL(C3635, 2),"-")</f>
        <v>45196</v>
      </c>
      <c r="E3635" s="9" t="s">
        <v>11</v>
      </c>
      <c r="F3635" s="10"/>
      <c r="G3635" s="9" t="s">
        <v>18</v>
      </c>
      <c r="H3635" s="11"/>
      <c r="I3635" s="9" t="s">
        <v>353</v>
      </c>
      <c r="J3635" s="88"/>
    </row>
    <row r="3636">
      <c r="A3636" s="34" t="s">
        <v>204</v>
      </c>
      <c r="B3636" s="7" t="s">
        <v>6438</v>
      </c>
      <c r="C3636" s="91">
        <v>45191.45287483797</v>
      </c>
      <c r="D3636" s="8">
        <f t="shared" si="295"/>
        <v>45195</v>
      </c>
      <c r="E3636" s="9" t="s">
        <v>11</v>
      </c>
      <c r="F3636" s="10"/>
      <c r="G3636" s="9"/>
      <c r="H3636" s="7" t="s">
        <v>437</v>
      </c>
      <c r="I3636" s="9" t="s">
        <v>353</v>
      </c>
      <c r="J3636" s="88"/>
    </row>
    <row r="3637">
      <c r="A3637" s="20" t="s">
        <v>98</v>
      </c>
      <c r="B3637" s="7" t="s">
        <v>6439</v>
      </c>
      <c r="C3637" s="91">
        <v>45183.379269537036</v>
      </c>
      <c r="D3637" s="8">
        <f t="shared" si="295"/>
        <v>45187</v>
      </c>
      <c r="E3637" s="9" t="s">
        <v>88</v>
      </c>
      <c r="F3637" s="10"/>
      <c r="G3637" s="9" t="s">
        <v>15</v>
      </c>
      <c r="H3637" s="7" t="s">
        <v>6440</v>
      </c>
      <c r="I3637" s="9" t="s">
        <v>353</v>
      </c>
      <c r="J3637" s="88"/>
    </row>
    <row r="3638">
      <c r="A3638" s="54" t="s">
        <v>4009</v>
      </c>
      <c r="B3638" s="7" t="s">
        <v>6441</v>
      </c>
      <c r="C3638" s="91">
        <v>45189.36358186342</v>
      </c>
      <c r="D3638" s="8">
        <f t="shared" si="295"/>
        <v>45191</v>
      </c>
      <c r="E3638" s="9" t="s">
        <v>11</v>
      </c>
      <c r="F3638" s="8"/>
      <c r="G3638" s="9" t="s">
        <v>15</v>
      </c>
      <c r="H3638" s="7" t="s">
        <v>6442</v>
      </c>
      <c r="I3638" s="9" t="s">
        <v>353</v>
      </c>
      <c r="J3638" s="88"/>
    </row>
    <row r="3639">
      <c r="A3639" s="34" t="s">
        <v>204</v>
      </c>
      <c r="B3639" s="7" t="s">
        <v>6443</v>
      </c>
      <c r="C3639" s="91">
        <v>45096.4992709838</v>
      </c>
      <c r="D3639" s="8">
        <f t="shared" si="295"/>
        <v>45098</v>
      </c>
      <c r="E3639" s="9" t="s">
        <v>11</v>
      </c>
      <c r="F3639" s="9"/>
      <c r="G3639" s="9" t="s">
        <v>15</v>
      </c>
      <c r="H3639" s="7" t="s">
        <v>6444</v>
      </c>
      <c r="I3639" s="9" t="s">
        <v>353</v>
      </c>
      <c r="J3639" s="88"/>
    </row>
    <row r="3640">
      <c r="A3640" s="34" t="s">
        <v>204</v>
      </c>
      <c r="B3640" s="7" t="s">
        <v>6445</v>
      </c>
      <c r="C3640" s="91">
        <v>45189.75079289352</v>
      </c>
      <c r="D3640" s="8">
        <f t="shared" si="295"/>
        <v>45191</v>
      </c>
      <c r="E3640" s="9" t="s">
        <v>11</v>
      </c>
      <c r="F3640" s="10"/>
      <c r="G3640" s="9"/>
      <c r="H3640" s="7" t="s">
        <v>437</v>
      </c>
      <c r="I3640" s="9" t="s">
        <v>353</v>
      </c>
      <c r="J3640" s="88"/>
    </row>
    <row r="3641">
      <c r="A3641" s="20" t="s">
        <v>98</v>
      </c>
      <c r="B3641" s="9" t="s">
        <v>6446</v>
      </c>
      <c r="C3641" s="91">
        <v>45187.42367309028</v>
      </c>
      <c r="D3641" s="8">
        <f t="shared" si="295"/>
        <v>45189</v>
      </c>
      <c r="E3641" s="9" t="s">
        <v>6247</v>
      </c>
      <c r="F3641" s="10"/>
      <c r="G3641" s="9" t="s">
        <v>15</v>
      </c>
      <c r="H3641" s="7" t="s">
        <v>6447</v>
      </c>
      <c r="I3641" s="9" t="s">
        <v>353</v>
      </c>
      <c r="J3641" s="88"/>
    </row>
    <row r="3642">
      <c r="A3642" s="34" t="s">
        <v>204</v>
      </c>
      <c r="B3642" s="7" t="s">
        <v>6448</v>
      </c>
      <c r="C3642" s="91">
        <v>45189.453839803246</v>
      </c>
      <c r="D3642" s="8">
        <f t="shared" si="295"/>
        <v>45191</v>
      </c>
      <c r="E3642" s="9" t="s">
        <v>11</v>
      </c>
      <c r="F3642" s="10"/>
      <c r="G3642" s="9" t="s">
        <v>15</v>
      </c>
      <c r="H3642" s="7" t="s">
        <v>6449</v>
      </c>
      <c r="I3642" s="9" t="s">
        <v>353</v>
      </c>
      <c r="J3642" s="88"/>
    </row>
    <row r="3643">
      <c r="A3643" s="6" t="s">
        <v>9</v>
      </c>
      <c r="B3643" s="7" t="s">
        <v>6450</v>
      </c>
      <c r="C3643" s="91">
        <v>45173.41723047454</v>
      </c>
      <c r="D3643" s="8"/>
      <c r="E3643" s="9" t="s">
        <v>11</v>
      </c>
      <c r="F3643" s="9"/>
      <c r="G3643" s="9" t="s">
        <v>15</v>
      </c>
      <c r="H3643" s="7" t="s">
        <v>6451</v>
      </c>
      <c r="I3643" s="9" t="s">
        <v>353</v>
      </c>
      <c r="J3643" s="88"/>
    </row>
    <row r="3644">
      <c r="A3644" s="54" t="s">
        <v>4009</v>
      </c>
      <c r="B3644" s="7" t="s">
        <v>6452</v>
      </c>
      <c r="C3644" s="91">
        <v>45184.36880831019</v>
      </c>
      <c r="D3644" s="8">
        <f t="shared" ref="D3644:D3645" si="296">IFERROR(_xlfn.WORKDAY.INTL(C3644, 2),"-")</f>
        <v>45188</v>
      </c>
      <c r="E3644" s="9" t="s">
        <v>88</v>
      </c>
      <c r="F3644" s="10"/>
      <c r="G3644" s="9" t="s">
        <v>15</v>
      </c>
      <c r="H3644" s="7" t="s">
        <v>6453</v>
      </c>
      <c r="I3644" s="9" t="s">
        <v>353</v>
      </c>
      <c r="J3644" s="88"/>
    </row>
    <row r="3645">
      <c r="A3645" s="54" t="s">
        <v>4009</v>
      </c>
      <c r="B3645" s="7" t="s">
        <v>6454</v>
      </c>
      <c r="C3645" s="91">
        <v>45182.38842798611</v>
      </c>
      <c r="D3645" s="8">
        <f t="shared" si="296"/>
        <v>45184</v>
      </c>
      <c r="E3645" s="9" t="s">
        <v>206</v>
      </c>
      <c r="F3645" s="10"/>
      <c r="G3645" s="9" t="s">
        <v>15</v>
      </c>
      <c r="H3645" s="7" t="s">
        <v>6455</v>
      </c>
      <c r="I3645" s="9" t="s">
        <v>13</v>
      </c>
      <c r="J3645" s="88"/>
    </row>
    <row r="3646">
      <c r="A3646" s="54" t="s">
        <v>4009</v>
      </c>
      <c r="B3646" s="7" t="s">
        <v>6456</v>
      </c>
      <c r="C3646" s="91">
        <v>45162.472391400464</v>
      </c>
      <c r="D3646" s="8"/>
      <c r="E3646" s="9" t="s">
        <v>88</v>
      </c>
      <c r="F3646" s="71"/>
      <c r="G3646" s="9" t="s">
        <v>15</v>
      </c>
      <c r="H3646" s="158" t="s">
        <v>6457</v>
      </c>
      <c r="I3646" s="9" t="s">
        <v>353</v>
      </c>
      <c r="J3646" s="88"/>
    </row>
    <row r="3647">
      <c r="A3647" s="34" t="s">
        <v>204</v>
      </c>
      <c r="B3647" s="7" t="s">
        <v>6458</v>
      </c>
      <c r="C3647" s="91">
        <v>45188.630569976856</v>
      </c>
      <c r="D3647" s="8">
        <f t="shared" ref="D3647:D3650" si="297">IFERROR(_xlfn.WORKDAY.INTL(C3647, 2),"-")</f>
        <v>45190</v>
      </c>
      <c r="E3647" s="9" t="s">
        <v>11</v>
      </c>
      <c r="F3647" s="10"/>
      <c r="G3647" s="9" t="s">
        <v>18</v>
      </c>
      <c r="H3647" s="7" t="s">
        <v>437</v>
      </c>
      <c r="I3647" s="9" t="s">
        <v>353</v>
      </c>
      <c r="J3647" s="88"/>
    </row>
    <row r="3648">
      <c r="A3648" s="34" t="s">
        <v>204</v>
      </c>
      <c r="B3648" s="7" t="s">
        <v>6459</v>
      </c>
      <c r="C3648" s="91">
        <v>45188.61753178241</v>
      </c>
      <c r="D3648" s="8">
        <f t="shared" si="297"/>
        <v>45190</v>
      </c>
      <c r="E3648" s="9" t="s">
        <v>11</v>
      </c>
      <c r="F3648" s="10"/>
      <c r="G3648" s="9" t="s">
        <v>18</v>
      </c>
      <c r="H3648" s="7" t="s">
        <v>437</v>
      </c>
      <c r="I3648" s="9" t="s">
        <v>353</v>
      </c>
      <c r="J3648" s="88"/>
    </row>
    <row r="3649">
      <c r="A3649" s="6" t="s">
        <v>9</v>
      </c>
      <c r="B3649" s="7" t="s">
        <v>6460</v>
      </c>
      <c r="C3649" s="91">
        <v>45188.36299010417</v>
      </c>
      <c r="D3649" s="8">
        <f t="shared" si="297"/>
        <v>45190</v>
      </c>
      <c r="E3649" s="9" t="s">
        <v>11</v>
      </c>
      <c r="F3649" s="10"/>
      <c r="G3649" s="9" t="s">
        <v>15</v>
      </c>
      <c r="H3649" s="7" t="s">
        <v>6461</v>
      </c>
      <c r="I3649" s="9" t="s">
        <v>353</v>
      </c>
      <c r="J3649" s="88"/>
    </row>
    <row r="3650">
      <c r="A3650" s="34" t="s">
        <v>204</v>
      </c>
      <c r="B3650" s="7" t="s">
        <v>6462</v>
      </c>
      <c r="C3650" s="91">
        <v>45184.42441103009</v>
      </c>
      <c r="D3650" s="8">
        <f t="shared" si="297"/>
        <v>45188</v>
      </c>
      <c r="E3650" s="9" t="s">
        <v>11</v>
      </c>
      <c r="F3650" s="10"/>
      <c r="G3650" s="9"/>
      <c r="H3650" s="11"/>
      <c r="I3650" s="9" t="s">
        <v>353</v>
      </c>
      <c r="J3650" s="88"/>
    </row>
    <row r="3651">
      <c r="A3651" s="6"/>
      <c r="B3651" s="7" t="s">
        <v>6463</v>
      </c>
      <c r="C3651" s="91">
        <v>45173.42147494213</v>
      </c>
      <c r="D3651" s="8"/>
      <c r="E3651" s="9"/>
      <c r="F3651" s="9"/>
      <c r="G3651" s="9" t="s">
        <v>15</v>
      </c>
      <c r="H3651" s="7" t="s">
        <v>6464</v>
      </c>
      <c r="I3651" s="9" t="s">
        <v>353</v>
      </c>
      <c r="J3651" s="88"/>
    </row>
    <row r="3652">
      <c r="A3652" s="6" t="s">
        <v>9</v>
      </c>
      <c r="B3652" s="7" t="s">
        <v>6465</v>
      </c>
      <c r="C3652" s="91">
        <v>45152.70954314814</v>
      </c>
      <c r="D3652" s="8">
        <f t="shared" ref="D3652:D3659" si="298">IFERROR(_xlfn.WORKDAY.INTL(C3652, 2),"-")</f>
        <v>45154</v>
      </c>
      <c r="E3652" s="9" t="s">
        <v>11</v>
      </c>
      <c r="F3652" s="9"/>
      <c r="G3652" s="9" t="s">
        <v>15</v>
      </c>
      <c r="H3652" s="7" t="s">
        <v>6466</v>
      </c>
      <c r="I3652" s="9" t="s">
        <v>353</v>
      </c>
      <c r="J3652" s="88"/>
    </row>
    <row r="3653">
      <c r="A3653" s="34" t="s">
        <v>204</v>
      </c>
      <c r="B3653" s="7" t="s">
        <v>6467</v>
      </c>
      <c r="C3653" s="91">
        <v>45187.66321118055</v>
      </c>
      <c r="D3653" s="8">
        <f t="shared" si="298"/>
        <v>45189</v>
      </c>
      <c r="E3653" s="9" t="s">
        <v>11</v>
      </c>
      <c r="F3653" s="10"/>
      <c r="G3653" s="9"/>
      <c r="H3653" s="7" t="s">
        <v>6468</v>
      </c>
      <c r="I3653" s="9" t="s">
        <v>353</v>
      </c>
      <c r="J3653" s="88"/>
    </row>
    <row r="3654">
      <c r="A3654" s="34" t="s">
        <v>204</v>
      </c>
      <c r="B3654" s="7" t="s">
        <v>6469</v>
      </c>
      <c r="C3654" s="91">
        <v>45161.65151747685</v>
      </c>
      <c r="D3654" s="8">
        <f t="shared" si="298"/>
        <v>45163</v>
      </c>
      <c r="E3654" s="9" t="s">
        <v>11</v>
      </c>
      <c r="F3654" s="10"/>
      <c r="G3654" s="9" t="s">
        <v>15</v>
      </c>
      <c r="H3654" s="7" t="s">
        <v>5468</v>
      </c>
      <c r="I3654" s="9" t="s">
        <v>353</v>
      </c>
      <c r="J3654" s="88"/>
    </row>
    <row r="3655">
      <c r="A3655" s="6" t="s">
        <v>9</v>
      </c>
      <c r="B3655" s="7" t="s">
        <v>6470</v>
      </c>
      <c r="C3655" s="91">
        <v>45187.64161024305</v>
      </c>
      <c r="D3655" s="8">
        <f t="shared" si="298"/>
        <v>45189</v>
      </c>
      <c r="E3655" s="9" t="s">
        <v>11</v>
      </c>
      <c r="F3655" s="10"/>
      <c r="G3655" s="9"/>
      <c r="H3655" s="11"/>
      <c r="I3655" s="9" t="s">
        <v>353</v>
      </c>
      <c r="J3655" s="88"/>
    </row>
    <row r="3656">
      <c r="A3656" s="42" t="s">
        <v>330</v>
      </c>
      <c r="B3656" s="7" t="s">
        <v>6471</v>
      </c>
      <c r="C3656" s="91">
        <v>45180.52721064815</v>
      </c>
      <c r="D3656" s="8">
        <f t="shared" si="298"/>
        <v>45182</v>
      </c>
      <c r="E3656" s="9" t="s">
        <v>206</v>
      </c>
      <c r="F3656" s="8"/>
      <c r="G3656" s="9" t="s">
        <v>220</v>
      </c>
      <c r="H3656" s="7" t="s">
        <v>6472</v>
      </c>
      <c r="I3656" s="9" t="s">
        <v>353</v>
      </c>
      <c r="J3656" s="88"/>
    </row>
    <row r="3657">
      <c r="A3657" s="54" t="s">
        <v>4009</v>
      </c>
      <c r="B3657" s="7" t="s">
        <v>6473</v>
      </c>
      <c r="C3657" s="91">
        <v>45183.406738969905</v>
      </c>
      <c r="D3657" s="8">
        <f t="shared" si="298"/>
        <v>45187</v>
      </c>
      <c r="E3657" s="9" t="s">
        <v>11</v>
      </c>
      <c r="F3657" s="10"/>
      <c r="G3657" s="9" t="s">
        <v>15</v>
      </c>
      <c r="H3657" s="11"/>
      <c r="I3657" s="9" t="s">
        <v>353</v>
      </c>
      <c r="J3657" s="88"/>
    </row>
    <row r="3658">
      <c r="A3658" s="6" t="s">
        <v>9</v>
      </c>
      <c r="B3658" s="7" t="s">
        <v>6474</v>
      </c>
      <c r="C3658" s="91">
        <v>45112.7118996875</v>
      </c>
      <c r="D3658" s="8">
        <f t="shared" si="298"/>
        <v>45114</v>
      </c>
      <c r="E3658" s="9" t="s">
        <v>11</v>
      </c>
      <c r="F3658" s="9"/>
      <c r="G3658" s="9" t="s">
        <v>15</v>
      </c>
      <c r="H3658" s="7" t="s">
        <v>6475</v>
      </c>
      <c r="I3658" s="9" t="s">
        <v>353</v>
      </c>
      <c r="J3658" s="88"/>
    </row>
    <row r="3659">
      <c r="A3659" s="6" t="s">
        <v>9</v>
      </c>
      <c r="B3659" s="7" t="s">
        <v>6476</v>
      </c>
      <c r="C3659" s="91">
        <v>45034.34397158565</v>
      </c>
      <c r="D3659" s="8">
        <f t="shared" si="298"/>
        <v>45036</v>
      </c>
      <c r="E3659" s="9" t="s">
        <v>11</v>
      </c>
      <c r="F3659" s="9"/>
      <c r="G3659" s="9" t="s">
        <v>15</v>
      </c>
      <c r="H3659" s="7" t="s">
        <v>6477</v>
      </c>
      <c r="I3659" s="9" t="s">
        <v>353</v>
      </c>
      <c r="J3659" s="88"/>
    </row>
    <row r="3660">
      <c r="A3660" s="20" t="s">
        <v>98</v>
      </c>
      <c r="B3660" s="9" t="s">
        <v>6478</v>
      </c>
      <c r="C3660" s="91">
        <v>45183.451928055554</v>
      </c>
      <c r="D3660" s="8">
        <v>45187.0</v>
      </c>
      <c r="E3660" s="9" t="s">
        <v>88</v>
      </c>
      <c r="F3660" s="10"/>
      <c r="G3660" s="9" t="s">
        <v>15</v>
      </c>
      <c r="H3660" s="7" t="s">
        <v>6479</v>
      </c>
      <c r="I3660" s="9" t="s">
        <v>353</v>
      </c>
      <c r="J3660" s="88"/>
    </row>
    <row r="3661">
      <c r="A3661" s="88"/>
      <c r="B3661" s="89"/>
      <c r="C3661" s="90"/>
      <c r="D3661" s="89"/>
      <c r="E3661" s="89"/>
      <c r="F3661" s="89"/>
      <c r="G3661" s="89"/>
      <c r="H3661" s="87"/>
      <c r="I3661" s="89"/>
      <c r="J3661" s="88"/>
    </row>
    <row r="3662">
      <c r="A3662" s="42" t="s">
        <v>330</v>
      </c>
      <c r="B3662" s="7" t="s">
        <v>6480</v>
      </c>
      <c r="C3662" s="91">
        <v>45180.0</v>
      </c>
      <c r="D3662" s="8">
        <f t="shared" ref="D3662:D3675" si="299">IFERROR(_xlfn.WORKDAY.INTL(C3662, 2),"-")</f>
        <v>45182</v>
      </c>
      <c r="E3662" s="9" t="s">
        <v>6247</v>
      </c>
      <c r="F3662" s="10"/>
      <c r="G3662" s="9" t="s">
        <v>220</v>
      </c>
      <c r="H3662" s="7" t="s">
        <v>6481</v>
      </c>
      <c r="I3662" s="9" t="s">
        <v>353</v>
      </c>
      <c r="J3662" s="88"/>
    </row>
    <row r="3663">
      <c r="A3663" s="42" t="s">
        <v>330</v>
      </c>
      <c r="B3663" s="7" t="s">
        <v>6482</v>
      </c>
      <c r="C3663" s="91">
        <v>45180.0</v>
      </c>
      <c r="D3663" s="8">
        <f t="shared" si="299"/>
        <v>45182</v>
      </c>
      <c r="E3663" s="9" t="s">
        <v>6247</v>
      </c>
      <c r="F3663" s="10"/>
      <c r="G3663" s="9" t="s">
        <v>15</v>
      </c>
      <c r="H3663" s="7" t="s">
        <v>6483</v>
      </c>
      <c r="I3663" s="9" t="s">
        <v>353</v>
      </c>
      <c r="J3663" s="88"/>
    </row>
    <row r="3664">
      <c r="A3664" s="6" t="s">
        <v>9</v>
      </c>
      <c r="B3664" s="7" t="s">
        <v>6484</v>
      </c>
      <c r="C3664" s="91">
        <v>45183.38978408565</v>
      </c>
      <c r="D3664" s="8">
        <f t="shared" si="299"/>
        <v>45187</v>
      </c>
      <c r="E3664" s="9" t="s">
        <v>11</v>
      </c>
      <c r="F3664" s="10"/>
      <c r="G3664" s="9" t="s">
        <v>15</v>
      </c>
      <c r="H3664" s="11"/>
      <c r="I3664" s="9" t="s">
        <v>353</v>
      </c>
      <c r="J3664" s="88"/>
    </row>
    <row r="3665">
      <c r="A3665" s="34" t="s">
        <v>204</v>
      </c>
      <c r="B3665" s="7" t="s">
        <v>6485</v>
      </c>
      <c r="C3665" s="91">
        <v>45183.35282315972</v>
      </c>
      <c r="D3665" s="8">
        <f t="shared" si="299"/>
        <v>45187</v>
      </c>
      <c r="E3665" s="9" t="s">
        <v>11</v>
      </c>
      <c r="F3665" s="10"/>
      <c r="G3665" s="9"/>
      <c r="H3665" s="7" t="s">
        <v>437</v>
      </c>
      <c r="I3665" s="9" t="s">
        <v>353</v>
      </c>
      <c r="J3665" s="88"/>
    </row>
    <row r="3666">
      <c r="A3666" s="34" t="s">
        <v>204</v>
      </c>
      <c r="B3666" s="7" t="s">
        <v>6486</v>
      </c>
      <c r="C3666" s="91">
        <v>45181.754407534725</v>
      </c>
      <c r="D3666" s="8">
        <f t="shared" si="299"/>
        <v>45183</v>
      </c>
      <c r="E3666" s="9" t="s">
        <v>11</v>
      </c>
      <c r="F3666" s="10"/>
      <c r="G3666" s="9" t="s">
        <v>15</v>
      </c>
      <c r="H3666" s="7" t="s">
        <v>3853</v>
      </c>
      <c r="I3666" s="9" t="s">
        <v>353</v>
      </c>
      <c r="J3666" s="88"/>
    </row>
    <row r="3667">
      <c r="A3667" s="34" t="s">
        <v>204</v>
      </c>
      <c r="B3667" s="7" t="s">
        <v>6487</v>
      </c>
      <c r="C3667" s="91">
        <v>45182.62463065972</v>
      </c>
      <c r="D3667" s="8">
        <f t="shared" si="299"/>
        <v>45184</v>
      </c>
      <c r="E3667" s="9" t="s">
        <v>11</v>
      </c>
      <c r="F3667" s="10"/>
      <c r="G3667" s="9" t="s">
        <v>15</v>
      </c>
      <c r="H3667" s="7" t="s">
        <v>437</v>
      </c>
      <c r="I3667" s="9" t="s">
        <v>353</v>
      </c>
      <c r="J3667" s="88"/>
    </row>
    <row r="3668">
      <c r="A3668" s="6" t="s">
        <v>9</v>
      </c>
      <c r="B3668" s="7" t="s">
        <v>6488</v>
      </c>
      <c r="C3668" s="91">
        <v>45182.49734728009</v>
      </c>
      <c r="D3668" s="8">
        <f t="shared" si="299"/>
        <v>45184</v>
      </c>
      <c r="E3668" s="9" t="s">
        <v>11</v>
      </c>
      <c r="F3668" s="10"/>
      <c r="G3668" s="9" t="s">
        <v>18</v>
      </c>
      <c r="H3668" s="7" t="s">
        <v>6489</v>
      </c>
      <c r="I3668" s="9" t="s">
        <v>353</v>
      </c>
      <c r="J3668" s="88"/>
    </row>
    <row r="3669">
      <c r="A3669" s="6" t="s">
        <v>9</v>
      </c>
      <c r="B3669" s="7" t="s">
        <v>6490</v>
      </c>
      <c r="C3669" s="91">
        <v>45155.663779270835</v>
      </c>
      <c r="D3669" s="8">
        <f t="shared" si="299"/>
        <v>45159</v>
      </c>
      <c r="E3669" s="9" t="s">
        <v>11</v>
      </c>
      <c r="F3669" s="9"/>
      <c r="G3669" s="9" t="s">
        <v>15</v>
      </c>
      <c r="H3669" s="7" t="s">
        <v>6491</v>
      </c>
      <c r="I3669" s="9" t="s">
        <v>353</v>
      </c>
      <c r="J3669" s="88"/>
    </row>
    <row r="3670">
      <c r="A3670" s="42" t="s">
        <v>330</v>
      </c>
      <c r="B3670" s="7" t="s">
        <v>6492</v>
      </c>
      <c r="C3670" s="91">
        <v>45181.66561443287</v>
      </c>
      <c r="D3670" s="8">
        <f t="shared" si="299"/>
        <v>45183</v>
      </c>
      <c r="E3670" s="9" t="s">
        <v>6247</v>
      </c>
      <c r="F3670" s="10"/>
      <c r="G3670" s="9" t="s">
        <v>15</v>
      </c>
      <c r="H3670" s="7" t="s">
        <v>6493</v>
      </c>
      <c r="I3670" s="9" t="s">
        <v>353</v>
      </c>
      <c r="J3670" s="88"/>
    </row>
    <row r="3671">
      <c r="A3671" s="34" t="s">
        <v>204</v>
      </c>
      <c r="B3671" s="7" t="s">
        <v>6494</v>
      </c>
      <c r="C3671" s="91">
        <v>45181.65275015046</v>
      </c>
      <c r="D3671" s="8">
        <f t="shared" si="299"/>
        <v>45183</v>
      </c>
      <c r="E3671" s="9" t="s">
        <v>11</v>
      </c>
      <c r="F3671" s="10"/>
      <c r="G3671" s="9" t="s">
        <v>15</v>
      </c>
      <c r="H3671" s="11"/>
      <c r="I3671" s="9" t="s">
        <v>353</v>
      </c>
      <c r="J3671" s="88"/>
    </row>
    <row r="3672">
      <c r="A3672" s="34" t="s">
        <v>204</v>
      </c>
      <c r="B3672" s="7" t="s">
        <v>6495</v>
      </c>
      <c r="C3672" s="91">
        <v>45162.47485086806</v>
      </c>
      <c r="D3672" s="8">
        <f t="shared" si="299"/>
        <v>45166</v>
      </c>
      <c r="E3672" s="9" t="s">
        <v>11</v>
      </c>
      <c r="F3672" s="9"/>
      <c r="G3672" s="9" t="s">
        <v>15</v>
      </c>
      <c r="H3672" s="7" t="s">
        <v>6496</v>
      </c>
      <c r="I3672" s="9" t="s">
        <v>353</v>
      </c>
      <c r="J3672" s="88"/>
    </row>
    <row r="3673">
      <c r="A3673" s="6" t="s">
        <v>9</v>
      </c>
      <c r="B3673" s="7" t="s">
        <v>6497</v>
      </c>
      <c r="C3673" s="91">
        <v>45181.479596018515</v>
      </c>
      <c r="D3673" s="8">
        <f t="shared" si="299"/>
        <v>45183</v>
      </c>
      <c r="E3673" s="9" t="s">
        <v>11</v>
      </c>
      <c r="F3673" s="10"/>
      <c r="G3673" s="9" t="s">
        <v>15</v>
      </c>
      <c r="H3673" s="7" t="s">
        <v>6498</v>
      </c>
      <c r="I3673" s="9" t="s">
        <v>353</v>
      </c>
      <c r="J3673" s="88"/>
    </row>
    <row r="3674">
      <c r="A3674" s="6" t="s">
        <v>9</v>
      </c>
      <c r="B3674" s="7" t="s">
        <v>6499</v>
      </c>
      <c r="C3674" s="91">
        <v>45162.471516192134</v>
      </c>
      <c r="D3674" s="8">
        <f t="shared" si="299"/>
        <v>45166</v>
      </c>
      <c r="E3674" s="9" t="s">
        <v>11</v>
      </c>
      <c r="F3674" s="9"/>
      <c r="G3674" s="9" t="s">
        <v>15</v>
      </c>
      <c r="H3674" s="7" t="s">
        <v>6500</v>
      </c>
      <c r="I3674" s="9" t="s">
        <v>353</v>
      </c>
      <c r="J3674" s="88"/>
    </row>
    <row r="3675">
      <c r="A3675" s="34" t="s">
        <v>204</v>
      </c>
      <c r="B3675" s="7" t="s">
        <v>6501</v>
      </c>
      <c r="C3675" s="91">
        <v>45176.50178428241</v>
      </c>
      <c r="D3675" s="8">
        <f t="shared" si="299"/>
        <v>45180</v>
      </c>
      <c r="E3675" s="9" t="s">
        <v>11</v>
      </c>
      <c r="F3675" s="10"/>
      <c r="G3675" s="9" t="s">
        <v>15</v>
      </c>
      <c r="H3675" s="7" t="s">
        <v>6502</v>
      </c>
      <c r="I3675" s="9" t="s">
        <v>353</v>
      </c>
      <c r="J3675" s="88"/>
    </row>
    <row r="3676">
      <c r="A3676" s="42" t="s">
        <v>330</v>
      </c>
      <c r="B3676" s="7" t="s">
        <v>6503</v>
      </c>
      <c r="C3676" s="91">
        <v>45173.4183421875</v>
      </c>
      <c r="D3676" s="8"/>
      <c r="E3676" s="9" t="s">
        <v>206</v>
      </c>
      <c r="F3676" s="9"/>
      <c r="G3676" s="9" t="s">
        <v>15</v>
      </c>
      <c r="H3676" s="158" t="s">
        <v>6504</v>
      </c>
      <c r="I3676" s="9" t="s">
        <v>353</v>
      </c>
      <c r="J3676" s="88"/>
    </row>
    <row r="3677">
      <c r="A3677" s="42" t="s">
        <v>330</v>
      </c>
      <c r="B3677" s="7" t="s">
        <v>6505</v>
      </c>
      <c r="C3677" s="91">
        <v>45180.0</v>
      </c>
      <c r="D3677" s="8">
        <f t="shared" ref="D3677:D3681" si="300">IFERROR(_xlfn.WORKDAY.INTL(C3677, 2),"-")</f>
        <v>45182</v>
      </c>
      <c r="E3677" s="9" t="s">
        <v>11</v>
      </c>
      <c r="F3677" s="10"/>
      <c r="G3677" s="9" t="s">
        <v>15</v>
      </c>
      <c r="H3677" s="7" t="s">
        <v>6506</v>
      </c>
      <c r="I3677" s="9" t="s">
        <v>353</v>
      </c>
      <c r="J3677" s="88"/>
    </row>
    <row r="3678">
      <c r="A3678" s="34" t="s">
        <v>204</v>
      </c>
      <c r="B3678" s="7" t="s">
        <v>6507</v>
      </c>
      <c r="C3678" s="91">
        <v>45181.38248701389</v>
      </c>
      <c r="D3678" s="8">
        <f t="shared" si="300"/>
        <v>45183</v>
      </c>
      <c r="E3678" s="9" t="s">
        <v>11</v>
      </c>
      <c r="F3678" s="10"/>
      <c r="G3678" s="9"/>
      <c r="H3678" s="7" t="s">
        <v>6508</v>
      </c>
      <c r="I3678" s="9" t="s">
        <v>353</v>
      </c>
      <c r="J3678" s="88"/>
    </row>
    <row r="3679">
      <c r="A3679" s="42" t="s">
        <v>330</v>
      </c>
      <c r="B3679" s="7" t="s">
        <v>6509</v>
      </c>
      <c r="C3679" s="91">
        <v>45180.37429172454</v>
      </c>
      <c r="D3679" s="8">
        <f t="shared" si="300"/>
        <v>45182</v>
      </c>
      <c r="E3679" s="9" t="s">
        <v>11</v>
      </c>
      <c r="F3679" s="10"/>
      <c r="G3679" s="9" t="s">
        <v>15</v>
      </c>
      <c r="H3679" s="7" t="s">
        <v>6510</v>
      </c>
      <c r="I3679" s="9" t="s">
        <v>353</v>
      </c>
      <c r="J3679" s="88"/>
    </row>
    <row r="3680">
      <c r="A3680" s="6" t="s">
        <v>9</v>
      </c>
      <c r="B3680" s="7" t="s">
        <v>6511</v>
      </c>
      <c r="C3680" s="91">
        <v>45181.32784126158</v>
      </c>
      <c r="D3680" s="8">
        <f t="shared" si="300"/>
        <v>45183</v>
      </c>
      <c r="E3680" s="9" t="s">
        <v>11</v>
      </c>
      <c r="F3680" s="10"/>
      <c r="G3680" s="9"/>
      <c r="H3680" s="11"/>
      <c r="I3680" s="9" t="s">
        <v>353</v>
      </c>
      <c r="J3680" s="88"/>
    </row>
    <row r="3681">
      <c r="A3681" s="6" t="s">
        <v>9</v>
      </c>
      <c r="B3681" s="7" t="s">
        <v>3525</v>
      </c>
      <c r="C3681" s="91">
        <v>45177.45518684028</v>
      </c>
      <c r="D3681" s="8">
        <f t="shared" si="300"/>
        <v>45181</v>
      </c>
      <c r="E3681" s="9" t="s">
        <v>11</v>
      </c>
      <c r="F3681" s="10"/>
      <c r="G3681" s="9" t="s">
        <v>15</v>
      </c>
      <c r="H3681" s="7" t="s">
        <v>6512</v>
      </c>
      <c r="I3681" s="9" t="s">
        <v>353</v>
      </c>
      <c r="J3681" s="88"/>
    </row>
    <row r="3682">
      <c r="A3682" s="34" t="s">
        <v>204</v>
      </c>
      <c r="B3682" s="7" t="s">
        <v>6513</v>
      </c>
      <c r="C3682" s="91">
        <v>45161.62803497685</v>
      </c>
      <c r="D3682" s="8">
        <v>45161.62803497685</v>
      </c>
      <c r="E3682" s="9" t="s">
        <v>11</v>
      </c>
      <c r="F3682" s="8"/>
      <c r="G3682" s="9" t="s">
        <v>18</v>
      </c>
      <c r="H3682" s="7" t="s">
        <v>6514</v>
      </c>
      <c r="I3682" s="9" t="s">
        <v>353</v>
      </c>
      <c r="J3682" s="88"/>
    </row>
    <row r="3683">
      <c r="A3683" s="34" t="s">
        <v>204</v>
      </c>
      <c r="B3683" s="7" t="s">
        <v>6515</v>
      </c>
      <c r="C3683" s="91">
        <v>45180.40193291666</v>
      </c>
      <c r="D3683" s="8">
        <f t="shared" ref="D3683:D3686" si="301">IFERROR(_xlfn.WORKDAY.INTL(C3683, 2),"-")</f>
        <v>45182</v>
      </c>
      <c r="E3683" s="9" t="s">
        <v>11</v>
      </c>
      <c r="F3683" s="10"/>
      <c r="G3683" s="9" t="s">
        <v>18</v>
      </c>
      <c r="H3683" s="7" t="s">
        <v>437</v>
      </c>
      <c r="I3683" s="9" t="s">
        <v>353</v>
      </c>
      <c r="J3683" s="88"/>
    </row>
    <row r="3684">
      <c r="A3684" s="6" t="s">
        <v>9</v>
      </c>
      <c r="B3684" s="7" t="s">
        <v>6516</v>
      </c>
      <c r="C3684" s="91">
        <v>45162.471567546294</v>
      </c>
      <c r="D3684" s="8">
        <f t="shared" si="301"/>
        <v>45166</v>
      </c>
      <c r="E3684" s="9" t="s">
        <v>11</v>
      </c>
      <c r="F3684" s="9"/>
      <c r="G3684" s="9" t="s">
        <v>15</v>
      </c>
      <c r="H3684" s="7" t="s">
        <v>6517</v>
      </c>
      <c r="I3684" s="9" t="s">
        <v>353</v>
      </c>
      <c r="J3684" s="88"/>
    </row>
    <row r="3685">
      <c r="A3685" s="6" t="s">
        <v>9</v>
      </c>
      <c r="B3685" s="7" t="s">
        <v>6518</v>
      </c>
      <c r="C3685" s="91">
        <v>45173.39586097222</v>
      </c>
      <c r="D3685" s="8">
        <f t="shared" si="301"/>
        <v>45175</v>
      </c>
      <c r="E3685" s="9" t="s">
        <v>11</v>
      </c>
      <c r="F3685" s="9"/>
      <c r="G3685" s="9" t="s">
        <v>15</v>
      </c>
      <c r="H3685" s="11"/>
      <c r="I3685" s="9" t="s">
        <v>353</v>
      </c>
      <c r="J3685" s="88"/>
    </row>
    <row r="3686">
      <c r="A3686" s="6" t="s">
        <v>9</v>
      </c>
      <c r="B3686" s="7" t="s">
        <v>6519</v>
      </c>
      <c r="C3686" s="91">
        <v>45176.44403546296</v>
      </c>
      <c r="D3686" s="8">
        <f t="shared" si="301"/>
        <v>45180</v>
      </c>
      <c r="E3686" s="9" t="s">
        <v>11</v>
      </c>
      <c r="F3686" s="10"/>
      <c r="G3686" s="9" t="s">
        <v>15</v>
      </c>
      <c r="H3686" s="7" t="s">
        <v>6520</v>
      </c>
      <c r="I3686" s="9" t="s">
        <v>353</v>
      </c>
      <c r="J3686" s="88"/>
    </row>
    <row r="3687">
      <c r="A3687" s="6"/>
      <c r="B3687" s="7" t="s">
        <v>6521</v>
      </c>
      <c r="C3687" s="91">
        <v>45173.3828018287</v>
      </c>
      <c r="D3687" s="8"/>
      <c r="E3687" s="9" t="s">
        <v>88</v>
      </c>
      <c r="F3687" s="9"/>
      <c r="G3687" s="9" t="s">
        <v>15</v>
      </c>
      <c r="H3687" s="7" t="s">
        <v>6522</v>
      </c>
      <c r="I3687" s="9" t="s">
        <v>353</v>
      </c>
      <c r="J3687" s="88"/>
    </row>
    <row r="3688">
      <c r="A3688" s="6"/>
      <c r="B3688" s="7" t="s">
        <v>6523</v>
      </c>
      <c r="C3688" s="91">
        <v>45173.4195290625</v>
      </c>
      <c r="D3688" s="8"/>
      <c r="E3688" s="9"/>
      <c r="F3688" s="9"/>
      <c r="G3688" s="9" t="s">
        <v>15</v>
      </c>
      <c r="H3688" s="7" t="s">
        <v>6520</v>
      </c>
      <c r="I3688" s="9" t="s">
        <v>353</v>
      </c>
      <c r="J3688" s="88"/>
    </row>
    <row r="3689">
      <c r="A3689" s="6" t="s">
        <v>9</v>
      </c>
      <c r="B3689" s="7" t="s">
        <v>6524</v>
      </c>
      <c r="C3689" s="91">
        <v>45176.45867623843</v>
      </c>
      <c r="D3689" s="8">
        <f t="shared" ref="D3689:D3692" si="302">IFERROR(_xlfn.WORKDAY.INTL(C3689, 2),"-")</f>
        <v>45180</v>
      </c>
      <c r="E3689" s="9" t="s">
        <v>11</v>
      </c>
      <c r="F3689" s="10"/>
      <c r="G3689" s="9" t="s">
        <v>15</v>
      </c>
      <c r="H3689" s="7" t="s">
        <v>6525</v>
      </c>
      <c r="I3689" s="9" t="s">
        <v>353</v>
      </c>
      <c r="J3689" s="88"/>
    </row>
    <row r="3690">
      <c r="A3690" s="6" t="s">
        <v>9</v>
      </c>
      <c r="B3690" s="7" t="s">
        <v>6526</v>
      </c>
      <c r="C3690" s="91">
        <v>45176.498109479166</v>
      </c>
      <c r="D3690" s="8">
        <f t="shared" si="302"/>
        <v>45180</v>
      </c>
      <c r="E3690" s="9" t="s">
        <v>11</v>
      </c>
      <c r="F3690" s="10"/>
      <c r="G3690" s="9"/>
      <c r="H3690" s="7" t="s">
        <v>6527</v>
      </c>
      <c r="I3690" s="9" t="s">
        <v>353</v>
      </c>
      <c r="J3690" s="88"/>
    </row>
    <row r="3691">
      <c r="A3691" s="34" t="s">
        <v>204</v>
      </c>
      <c r="B3691" s="7" t="s">
        <v>6528</v>
      </c>
      <c r="C3691" s="91">
        <v>45176.479918680554</v>
      </c>
      <c r="D3691" s="8">
        <f t="shared" si="302"/>
        <v>45180</v>
      </c>
      <c r="E3691" s="9" t="s">
        <v>11</v>
      </c>
      <c r="F3691" s="10"/>
      <c r="G3691" s="9" t="s">
        <v>18</v>
      </c>
      <c r="H3691" s="7" t="s">
        <v>6529</v>
      </c>
      <c r="I3691" s="9" t="s">
        <v>353</v>
      </c>
      <c r="J3691" s="88"/>
    </row>
    <row r="3692">
      <c r="A3692" s="34" t="s">
        <v>204</v>
      </c>
      <c r="B3692" s="7" t="s">
        <v>6530</v>
      </c>
      <c r="C3692" s="91">
        <v>45176.440043194445</v>
      </c>
      <c r="D3692" s="8">
        <f t="shared" si="302"/>
        <v>45180</v>
      </c>
      <c r="E3692" s="9" t="s">
        <v>11</v>
      </c>
      <c r="F3692" s="10"/>
      <c r="G3692" s="9"/>
      <c r="H3692" s="7" t="s">
        <v>437</v>
      </c>
      <c r="I3692" s="9" t="s">
        <v>353</v>
      </c>
      <c r="J3692" s="88"/>
    </row>
    <row r="3693">
      <c r="A3693" s="6"/>
      <c r="B3693" s="7" t="s">
        <v>6531</v>
      </c>
      <c r="C3693" s="91">
        <v>45173.419446354164</v>
      </c>
      <c r="D3693" s="8"/>
      <c r="E3693" s="9"/>
      <c r="F3693" s="9"/>
      <c r="G3693" s="9" t="s">
        <v>15</v>
      </c>
      <c r="H3693" s="7" t="s">
        <v>6520</v>
      </c>
      <c r="I3693" s="9" t="s">
        <v>353</v>
      </c>
      <c r="J3693" s="88"/>
    </row>
    <row r="3694">
      <c r="A3694" s="6" t="s">
        <v>9</v>
      </c>
      <c r="B3694" s="7" t="s">
        <v>6532</v>
      </c>
      <c r="C3694" s="91">
        <v>45161.48872231481</v>
      </c>
      <c r="D3694" s="8">
        <f>IFERROR(_xlfn.WORKDAY.INTL(C3694, 2),"-")</f>
        <v>45163</v>
      </c>
      <c r="E3694" s="9" t="s">
        <v>11</v>
      </c>
      <c r="F3694" s="9"/>
      <c r="G3694" s="9" t="s">
        <v>15</v>
      </c>
      <c r="H3694" s="7" t="s">
        <v>6533</v>
      </c>
      <c r="I3694" s="9" t="s">
        <v>353</v>
      </c>
      <c r="J3694" s="88"/>
    </row>
    <row r="3695">
      <c r="A3695" s="6" t="s">
        <v>9</v>
      </c>
      <c r="B3695" s="7" t="s">
        <v>6534</v>
      </c>
      <c r="C3695" s="91">
        <v>45173.41247263888</v>
      </c>
      <c r="D3695" s="8"/>
      <c r="E3695" s="9" t="s">
        <v>11</v>
      </c>
      <c r="F3695" s="9"/>
      <c r="G3695" s="9" t="s">
        <v>15</v>
      </c>
      <c r="H3695" s="7" t="s">
        <v>6535</v>
      </c>
      <c r="I3695" s="9" t="s">
        <v>353</v>
      </c>
      <c r="J3695" s="88"/>
    </row>
    <row r="3696">
      <c r="A3696" s="6" t="s">
        <v>9</v>
      </c>
      <c r="B3696" s="7" t="s">
        <v>6536</v>
      </c>
      <c r="C3696" s="91">
        <v>45173.39493782407</v>
      </c>
      <c r="D3696" s="8">
        <f>IFERROR(_xlfn.WORKDAY.INTL(C3696, 2),"-")</f>
        <v>45175</v>
      </c>
      <c r="E3696" s="9" t="s">
        <v>11</v>
      </c>
      <c r="F3696" s="8"/>
      <c r="G3696" s="9" t="s">
        <v>18</v>
      </c>
      <c r="H3696" s="11"/>
      <c r="I3696" s="9" t="s">
        <v>353</v>
      </c>
      <c r="J3696" s="88"/>
    </row>
    <row r="3697">
      <c r="A3697" s="6" t="s">
        <v>9</v>
      </c>
      <c r="B3697" s="7" t="s">
        <v>6537</v>
      </c>
      <c r="C3697" s="91">
        <v>45173.412433958336</v>
      </c>
      <c r="D3697" s="8"/>
      <c r="E3697" s="9" t="s">
        <v>11</v>
      </c>
      <c r="F3697" s="9"/>
      <c r="G3697" s="9" t="s">
        <v>15</v>
      </c>
      <c r="H3697" s="7" t="s">
        <v>6538</v>
      </c>
      <c r="I3697" s="9" t="s">
        <v>353</v>
      </c>
      <c r="J3697" s="88"/>
    </row>
    <row r="3698">
      <c r="A3698" s="34" t="s">
        <v>204</v>
      </c>
      <c r="B3698" s="7" t="s">
        <v>6539</v>
      </c>
      <c r="C3698" s="91">
        <v>45162.477000150466</v>
      </c>
      <c r="D3698" s="8">
        <f>IFERROR(_xlfn.WORKDAY.INTL(C3698, 2),"-")</f>
        <v>45166</v>
      </c>
      <c r="E3698" s="9" t="s">
        <v>11</v>
      </c>
      <c r="F3698" s="10"/>
      <c r="G3698" s="9" t="s">
        <v>18</v>
      </c>
      <c r="H3698" s="7" t="s">
        <v>437</v>
      </c>
      <c r="I3698" s="9" t="s">
        <v>353</v>
      </c>
      <c r="J3698" s="88"/>
    </row>
    <row r="3699">
      <c r="A3699" s="6" t="s">
        <v>9</v>
      </c>
      <c r="B3699" s="7" t="s">
        <v>6540</v>
      </c>
      <c r="C3699" s="91">
        <v>45173.40251579861</v>
      </c>
      <c r="D3699" s="8"/>
      <c r="E3699" s="9" t="s">
        <v>11</v>
      </c>
      <c r="F3699" s="8"/>
      <c r="G3699" s="9" t="s">
        <v>18</v>
      </c>
      <c r="H3699" s="11"/>
      <c r="I3699" s="9" t="s">
        <v>353</v>
      </c>
      <c r="J3699" s="88"/>
    </row>
    <row r="3700">
      <c r="A3700" s="6" t="s">
        <v>9</v>
      </c>
      <c r="B3700" s="7" t="s">
        <v>6541</v>
      </c>
      <c r="C3700" s="91">
        <v>45154.71207622685</v>
      </c>
      <c r="D3700" s="8">
        <f>IFERROR(_xlfn.WORKDAY.INTL(C3700, 2),"-")</f>
        <v>45156</v>
      </c>
      <c r="E3700" s="9" t="s">
        <v>206</v>
      </c>
      <c r="F3700" s="9"/>
      <c r="G3700" s="9" t="s">
        <v>15</v>
      </c>
      <c r="H3700" s="7" t="s">
        <v>6542</v>
      </c>
      <c r="I3700" s="9" t="s">
        <v>353</v>
      </c>
      <c r="J3700" s="88"/>
    </row>
    <row r="3701">
      <c r="A3701" s="34" t="s">
        <v>204</v>
      </c>
      <c r="B3701" s="7" t="s">
        <v>6543</v>
      </c>
      <c r="C3701" s="91">
        <v>45162.59366924768</v>
      </c>
      <c r="D3701" s="8">
        <v>45167.0</v>
      </c>
      <c r="E3701" s="9" t="s">
        <v>11</v>
      </c>
      <c r="F3701" s="10"/>
      <c r="G3701" s="9" t="s">
        <v>18</v>
      </c>
      <c r="H3701" s="11"/>
      <c r="I3701" s="9" t="s">
        <v>13</v>
      </c>
      <c r="J3701" s="88"/>
    </row>
    <row r="3702">
      <c r="A3702" s="6" t="s">
        <v>9</v>
      </c>
      <c r="B3702" s="7" t="s">
        <v>6544</v>
      </c>
      <c r="C3702" s="91">
        <v>45156.396630648145</v>
      </c>
      <c r="D3702" s="8">
        <f t="shared" ref="D3702:D3705" si="303">IFERROR(_xlfn.WORKDAY.INTL(C3702, 2),"-")</f>
        <v>45160</v>
      </c>
      <c r="E3702" s="9" t="s">
        <v>11</v>
      </c>
      <c r="F3702" s="8"/>
      <c r="G3702" s="9" t="s">
        <v>18</v>
      </c>
      <c r="H3702" s="7" t="s">
        <v>6545</v>
      </c>
      <c r="I3702" s="9" t="s">
        <v>353</v>
      </c>
      <c r="J3702" s="88"/>
    </row>
    <row r="3703">
      <c r="A3703" s="6" t="s">
        <v>9</v>
      </c>
      <c r="B3703" s="7" t="s">
        <v>2814</v>
      </c>
      <c r="C3703" s="91">
        <v>45173.386283263884</v>
      </c>
      <c r="D3703" s="8">
        <f t="shared" si="303"/>
        <v>45175</v>
      </c>
      <c r="E3703" s="9" t="s">
        <v>11</v>
      </c>
      <c r="F3703" s="9"/>
      <c r="G3703" s="9" t="s">
        <v>18</v>
      </c>
      <c r="H3703" s="7" t="s">
        <v>6546</v>
      </c>
      <c r="I3703" s="9" t="s">
        <v>353</v>
      </c>
      <c r="J3703" s="88"/>
    </row>
    <row r="3704">
      <c r="A3704" s="6" t="s">
        <v>9</v>
      </c>
      <c r="B3704" s="7" t="s">
        <v>2814</v>
      </c>
      <c r="C3704" s="91">
        <v>45173.39979207176</v>
      </c>
      <c r="D3704" s="8">
        <f t="shared" si="303"/>
        <v>45175</v>
      </c>
      <c r="E3704" s="9" t="s">
        <v>11</v>
      </c>
      <c r="F3704" s="8"/>
      <c r="G3704" s="9" t="s">
        <v>18</v>
      </c>
      <c r="H3704" s="7" t="s">
        <v>6547</v>
      </c>
      <c r="I3704" s="9" t="s">
        <v>353</v>
      </c>
      <c r="J3704" s="88"/>
    </row>
    <row r="3705">
      <c r="A3705" s="6" t="s">
        <v>9</v>
      </c>
      <c r="B3705" s="7" t="s">
        <v>6548</v>
      </c>
      <c r="C3705" s="91">
        <v>44984.60153418982</v>
      </c>
      <c r="D3705" s="8">
        <f t="shared" si="303"/>
        <v>44986</v>
      </c>
      <c r="E3705" s="9" t="s">
        <v>11</v>
      </c>
      <c r="F3705" s="10"/>
      <c r="G3705" s="9" t="s">
        <v>21</v>
      </c>
      <c r="H3705" s="7" t="s">
        <v>6549</v>
      </c>
      <c r="I3705" s="9" t="s">
        <v>353</v>
      </c>
      <c r="J3705" s="88"/>
    </row>
    <row r="3706">
      <c r="A3706" s="34" t="s">
        <v>204</v>
      </c>
      <c r="B3706" s="7" t="s">
        <v>5542</v>
      </c>
      <c r="C3706" s="91">
        <v>45161.62803497685</v>
      </c>
      <c r="D3706" s="8">
        <v>45161.62803497685</v>
      </c>
      <c r="E3706" s="9" t="s">
        <v>11</v>
      </c>
      <c r="F3706" s="10"/>
      <c r="G3706" s="9" t="s">
        <v>15</v>
      </c>
      <c r="H3706" s="7" t="s">
        <v>6550</v>
      </c>
      <c r="I3706" s="9" t="s">
        <v>353</v>
      </c>
      <c r="J3706" s="88"/>
    </row>
    <row r="3707">
      <c r="A3707" s="6" t="s">
        <v>9</v>
      </c>
      <c r="B3707" s="7" t="s">
        <v>6337</v>
      </c>
      <c r="C3707" s="91">
        <v>45152.39399557871</v>
      </c>
      <c r="D3707" s="8">
        <f t="shared" ref="D3707:D3709" si="304">IFERROR(_xlfn.WORKDAY.INTL(C3707, 2),"-")</f>
        <v>45154</v>
      </c>
      <c r="E3707" s="9" t="s">
        <v>11</v>
      </c>
      <c r="F3707" s="10"/>
      <c r="G3707" s="9" t="s">
        <v>15</v>
      </c>
      <c r="H3707" s="7" t="s">
        <v>6551</v>
      </c>
      <c r="I3707" s="9" t="s">
        <v>353</v>
      </c>
      <c r="J3707" s="88"/>
    </row>
    <row r="3708">
      <c r="A3708" s="6" t="s">
        <v>9</v>
      </c>
      <c r="B3708" s="7" t="s">
        <v>6552</v>
      </c>
      <c r="C3708" s="91">
        <v>45173.51236994213</v>
      </c>
      <c r="D3708" s="8">
        <f t="shared" si="304"/>
        <v>45175</v>
      </c>
      <c r="E3708" s="9" t="s">
        <v>11</v>
      </c>
      <c r="F3708" s="10"/>
      <c r="G3708" s="9" t="s">
        <v>18</v>
      </c>
      <c r="H3708" s="7" t="s">
        <v>6553</v>
      </c>
      <c r="I3708" s="9" t="s">
        <v>353</v>
      </c>
      <c r="J3708" s="88"/>
    </row>
    <row r="3709">
      <c r="A3709" s="6" t="s">
        <v>9</v>
      </c>
      <c r="B3709" s="7" t="s">
        <v>6554</v>
      </c>
      <c r="C3709" s="91">
        <v>45173.50118091435</v>
      </c>
      <c r="D3709" s="8">
        <f t="shared" si="304"/>
        <v>45175</v>
      </c>
      <c r="E3709" s="9" t="s">
        <v>11</v>
      </c>
      <c r="F3709" s="10"/>
      <c r="G3709" s="9" t="s">
        <v>18</v>
      </c>
      <c r="H3709" s="7" t="s">
        <v>6555</v>
      </c>
      <c r="I3709" s="9" t="s">
        <v>353</v>
      </c>
      <c r="J3709" s="88"/>
    </row>
    <row r="3710">
      <c r="A3710" s="6" t="s">
        <v>9</v>
      </c>
      <c r="B3710" s="7" t="s">
        <v>4738</v>
      </c>
      <c r="C3710" s="91">
        <v>45161.62490751158</v>
      </c>
      <c r="D3710" s="8">
        <v>45161.62490751158</v>
      </c>
      <c r="E3710" s="9" t="s">
        <v>206</v>
      </c>
      <c r="F3710" s="10"/>
      <c r="G3710" s="9" t="s">
        <v>89</v>
      </c>
      <c r="H3710" s="7" t="s">
        <v>6556</v>
      </c>
      <c r="I3710" s="9" t="s">
        <v>353</v>
      </c>
      <c r="J3710" s="88"/>
    </row>
    <row r="3711">
      <c r="A3711" s="6" t="s">
        <v>9</v>
      </c>
      <c r="B3711" s="7" t="s">
        <v>6557</v>
      </c>
      <c r="C3711" s="91">
        <v>45148.68245096065</v>
      </c>
      <c r="D3711" s="8">
        <f t="shared" ref="D3711:D3732" si="305">IFERROR(_xlfn.WORKDAY.INTL(C3711, 2),"-")</f>
        <v>45152</v>
      </c>
      <c r="E3711" s="9" t="s">
        <v>11</v>
      </c>
      <c r="F3711" s="10"/>
      <c r="G3711" s="9" t="s">
        <v>18</v>
      </c>
      <c r="H3711" s="7" t="s">
        <v>6558</v>
      </c>
      <c r="I3711" s="9" t="s">
        <v>353</v>
      </c>
      <c r="J3711" s="88"/>
    </row>
    <row r="3712">
      <c r="A3712" s="34" t="s">
        <v>204</v>
      </c>
      <c r="B3712" s="7" t="s">
        <v>6559</v>
      </c>
      <c r="C3712" s="91">
        <v>44964.64320806713</v>
      </c>
      <c r="D3712" s="8">
        <f t="shared" si="305"/>
        <v>44966</v>
      </c>
      <c r="E3712" s="9" t="s">
        <v>11</v>
      </c>
      <c r="F3712" s="9"/>
      <c r="G3712" s="9" t="s">
        <v>15</v>
      </c>
      <c r="H3712" s="7" t="s">
        <v>6560</v>
      </c>
      <c r="I3712" s="9" t="s">
        <v>353</v>
      </c>
      <c r="J3712" s="88"/>
    </row>
    <row r="3713">
      <c r="A3713" s="34" t="s">
        <v>204</v>
      </c>
      <c r="B3713" s="7" t="s">
        <v>6561</v>
      </c>
      <c r="C3713" s="91">
        <v>44959.432792418986</v>
      </c>
      <c r="D3713" s="8">
        <f t="shared" si="305"/>
        <v>44963</v>
      </c>
      <c r="E3713" s="9" t="s">
        <v>206</v>
      </c>
      <c r="F3713" s="9"/>
      <c r="G3713" s="9" t="s">
        <v>15</v>
      </c>
      <c r="H3713" s="7" t="s">
        <v>6562</v>
      </c>
      <c r="I3713" s="9" t="s">
        <v>353</v>
      </c>
      <c r="J3713" s="88"/>
    </row>
    <row r="3714">
      <c r="A3714" s="34" t="s">
        <v>204</v>
      </c>
      <c r="B3714" s="7" t="s">
        <v>6563</v>
      </c>
      <c r="C3714" s="91">
        <v>45173.39057028935</v>
      </c>
      <c r="D3714" s="8">
        <f t="shared" si="305"/>
        <v>45175</v>
      </c>
      <c r="E3714" s="9" t="s">
        <v>11</v>
      </c>
      <c r="F3714" s="10"/>
      <c r="G3714" s="9"/>
      <c r="H3714" s="7" t="s">
        <v>437</v>
      </c>
      <c r="I3714" s="9" t="s">
        <v>353</v>
      </c>
      <c r="J3714" s="88"/>
    </row>
    <row r="3715">
      <c r="A3715" s="34" t="s">
        <v>204</v>
      </c>
      <c r="B3715" s="11"/>
      <c r="C3715" s="91" t="s">
        <v>11</v>
      </c>
      <c r="D3715" s="8" t="str">
        <f t="shared" si="305"/>
        <v>-</v>
      </c>
      <c r="E3715" s="9" t="s">
        <v>11</v>
      </c>
      <c r="F3715" s="10"/>
      <c r="G3715" s="9"/>
      <c r="H3715" s="11"/>
      <c r="I3715" s="9" t="s">
        <v>13</v>
      </c>
      <c r="J3715" s="88"/>
    </row>
    <row r="3716">
      <c r="A3716" s="34" t="s">
        <v>204</v>
      </c>
      <c r="B3716" s="7" t="s">
        <v>6564</v>
      </c>
      <c r="C3716" s="91">
        <v>45173.37267247685</v>
      </c>
      <c r="D3716" s="8">
        <f t="shared" si="305"/>
        <v>45175</v>
      </c>
      <c r="E3716" s="9" t="s">
        <v>11</v>
      </c>
      <c r="F3716" s="10"/>
      <c r="G3716" s="9"/>
      <c r="H3716" s="7" t="s">
        <v>437</v>
      </c>
      <c r="I3716" s="9" t="s">
        <v>353</v>
      </c>
      <c r="J3716" s="88"/>
    </row>
    <row r="3717">
      <c r="A3717" s="210" t="s">
        <v>6565</v>
      </c>
      <c r="B3717" s="7" t="s">
        <v>6566</v>
      </c>
      <c r="C3717" s="91">
        <v>45141.606861990746</v>
      </c>
      <c r="D3717" s="8">
        <f t="shared" si="305"/>
        <v>45145</v>
      </c>
      <c r="E3717" s="9" t="s">
        <v>11</v>
      </c>
      <c r="F3717" s="211"/>
      <c r="G3717" s="9" t="s">
        <v>15</v>
      </c>
      <c r="H3717" s="7" t="s">
        <v>6567</v>
      </c>
      <c r="I3717" s="9" t="s">
        <v>353</v>
      </c>
      <c r="J3717" s="88"/>
    </row>
    <row r="3718">
      <c r="A3718" s="6" t="s">
        <v>9</v>
      </c>
      <c r="B3718" s="7" t="s">
        <v>6568</v>
      </c>
      <c r="C3718" s="91">
        <v>45162.47219891204</v>
      </c>
      <c r="D3718" s="8">
        <f t="shared" si="305"/>
        <v>45166</v>
      </c>
      <c r="E3718" s="9" t="s">
        <v>11</v>
      </c>
      <c r="F3718" s="10"/>
      <c r="G3718" s="9" t="s">
        <v>15</v>
      </c>
      <c r="H3718" s="7" t="s">
        <v>6569</v>
      </c>
      <c r="I3718" s="9" t="s">
        <v>353</v>
      </c>
      <c r="J3718" s="88"/>
    </row>
    <row r="3719">
      <c r="A3719" s="34" t="s">
        <v>204</v>
      </c>
      <c r="B3719" s="7" t="s">
        <v>6570</v>
      </c>
      <c r="C3719" s="91">
        <v>45159.68140508102</v>
      </c>
      <c r="D3719" s="8">
        <f t="shared" si="305"/>
        <v>45161</v>
      </c>
      <c r="E3719" s="9" t="s">
        <v>11</v>
      </c>
      <c r="F3719" s="9"/>
      <c r="G3719" s="9" t="s">
        <v>15</v>
      </c>
      <c r="H3719" s="7" t="s">
        <v>6571</v>
      </c>
      <c r="I3719" s="9" t="s">
        <v>353</v>
      </c>
      <c r="J3719" s="88"/>
    </row>
    <row r="3720">
      <c r="A3720" s="34" t="s">
        <v>204</v>
      </c>
      <c r="B3720" s="11"/>
      <c r="C3720" s="91" t="s">
        <v>11</v>
      </c>
      <c r="D3720" s="8" t="str">
        <f t="shared" si="305"/>
        <v>-</v>
      </c>
      <c r="E3720" s="9" t="s">
        <v>11</v>
      </c>
      <c r="F3720" s="10"/>
      <c r="G3720" s="9"/>
      <c r="H3720" s="11"/>
      <c r="I3720" s="9" t="s">
        <v>13</v>
      </c>
      <c r="J3720" s="88"/>
    </row>
    <row r="3721">
      <c r="A3721" s="34" t="s">
        <v>204</v>
      </c>
      <c r="B3721" s="7" t="s">
        <v>6572</v>
      </c>
      <c r="C3721" s="91">
        <v>45170.377664768515</v>
      </c>
      <c r="D3721" s="8">
        <f t="shared" si="305"/>
        <v>45174</v>
      </c>
      <c r="E3721" s="9" t="s">
        <v>11</v>
      </c>
      <c r="F3721" s="10"/>
      <c r="G3721" s="9" t="s">
        <v>18</v>
      </c>
      <c r="H3721" s="11"/>
      <c r="I3721" s="9" t="s">
        <v>353</v>
      </c>
      <c r="J3721" s="88"/>
    </row>
    <row r="3722">
      <c r="A3722" s="34" t="s">
        <v>204</v>
      </c>
      <c r="B3722" s="7" t="s">
        <v>6573</v>
      </c>
      <c r="C3722" s="91">
        <v>45162.59596334491</v>
      </c>
      <c r="D3722" s="8">
        <f t="shared" si="305"/>
        <v>45166</v>
      </c>
      <c r="E3722" s="9" t="s">
        <v>11</v>
      </c>
      <c r="F3722" s="10"/>
      <c r="G3722" s="9" t="s">
        <v>18</v>
      </c>
      <c r="H3722" s="7" t="s">
        <v>6574</v>
      </c>
      <c r="I3722" s="9" t="s">
        <v>353</v>
      </c>
      <c r="J3722" s="88"/>
    </row>
    <row r="3723">
      <c r="A3723" s="34" t="s">
        <v>204</v>
      </c>
      <c r="B3723" s="7" t="s">
        <v>6575</v>
      </c>
      <c r="C3723" s="91">
        <v>45169.467278842596</v>
      </c>
      <c r="D3723" s="8">
        <f t="shared" si="305"/>
        <v>45173</v>
      </c>
      <c r="E3723" s="9" t="s">
        <v>11</v>
      </c>
      <c r="F3723" s="10"/>
      <c r="G3723" s="9" t="s">
        <v>18</v>
      </c>
      <c r="H3723" s="7" t="s">
        <v>437</v>
      </c>
      <c r="I3723" s="9" t="s">
        <v>353</v>
      </c>
      <c r="J3723" s="88"/>
    </row>
    <row r="3724">
      <c r="A3724" s="34" t="s">
        <v>204</v>
      </c>
      <c r="B3724" s="7" t="s">
        <v>6576</v>
      </c>
      <c r="C3724" s="91">
        <v>45169.46409459491</v>
      </c>
      <c r="D3724" s="8">
        <f t="shared" si="305"/>
        <v>45173</v>
      </c>
      <c r="E3724" s="9" t="s">
        <v>11</v>
      </c>
      <c r="F3724" s="10"/>
      <c r="G3724" s="9" t="s">
        <v>18</v>
      </c>
      <c r="H3724" s="7" t="s">
        <v>437</v>
      </c>
      <c r="I3724" s="9" t="s">
        <v>353</v>
      </c>
      <c r="J3724" s="88"/>
    </row>
    <row r="3725">
      <c r="A3725" s="34" t="s">
        <v>204</v>
      </c>
      <c r="B3725" s="7" t="s">
        <v>6577</v>
      </c>
      <c r="C3725" s="91">
        <v>45168.48517546296</v>
      </c>
      <c r="D3725" s="8">
        <f t="shared" si="305"/>
        <v>45170</v>
      </c>
      <c r="E3725" s="9" t="s">
        <v>11</v>
      </c>
      <c r="F3725" s="10"/>
      <c r="G3725" s="9" t="s">
        <v>18</v>
      </c>
      <c r="H3725" s="7" t="s">
        <v>437</v>
      </c>
      <c r="I3725" s="9" t="s">
        <v>353</v>
      </c>
      <c r="J3725" s="88"/>
    </row>
    <row r="3726">
      <c r="A3726" s="34" t="s">
        <v>204</v>
      </c>
      <c r="B3726" s="7" t="s">
        <v>6578</v>
      </c>
      <c r="C3726" s="91">
        <v>45168.449132800924</v>
      </c>
      <c r="D3726" s="8">
        <f t="shared" si="305"/>
        <v>45170</v>
      </c>
      <c r="E3726" s="9" t="s">
        <v>11</v>
      </c>
      <c r="F3726" s="10"/>
      <c r="G3726" s="9" t="s">
        <v>18</v>
      </c>
      <c r="H3726" s="7" t="s">
        <v>437</v>
      </c>
      <c r="I3726" s="9" t="s">
        <v>353</v>
      </c>
      <c r="J3726" s="88"/>
    </row>
    <row r="3727">
      <c r="A3727" s="34" t="s">
        <v>204</v>
      </c>
      <c r="B3727" s="154" t="s">
        <v>6579</v>
      </c>
      <c r="C3727" s="91">
        <v>45167.70326247685</v>
      </c>
      <c r="D3727" s="8">
        <f t="shared" si="305"/>
        <v>45169</v>
      </c>
      <c r="E3727" s="9" t="s">
        <v>11</v>
      </c>
      <c r="F3727" s="10"/>
      <c r="G3727" s="9" t="s">
        <v>18</v>
      </c>
      <c r="H3727" s="7" t="s">
        <v>6580</v>
      </c>
      <c r="I3727" s="9" t="s">
        <v>353</v>
      </c>
      <c r="J3727" s="88"/>
    </row>
    <row r="3728">
      <c r="A3728" s="34" t="s">
        <v>204</v>
      </c>
      <c r="B3728" s="7" t="s">
        <v>6581</v>
      </c>
      <c r="C3728" s="91">
        <v>45162.59295351851</v>
      </c>
      <c r="D3728" s="8">
        <f t="shared" si="305"/>
        <v>45166</v>
      </c>
      <c r="E3728" s="9" t="s">
        <v>11</v>
      </c>
      <c r="F3728" s="8"/>
      <c r="G3728" s="9" t="s">
        <v>18</v>
      </c>
      <c r="H3728" s="7" t="s">
        <v>6582</v>
      </c>
      <c r="I3728" s="9" t="s">
        <v>353</v>
      </c>
      <c r="J3728" s="88"/>
    </row>
    <row r="3729">
      <c r="A3729" s="6" t="s">
        <v>9</v>
      </c>
      <c r="B3729" s="7" t="s">
        <v>6568</v>
      </c>
      <c r="C3729" s="91">
        <v>45162.47216369213</v>
      </c>
      <c r="D3729" s="8">
        <f t="shared" si="305"/>
        <v>45166</v>
      </c>
      <c r="E3729" s="9" t="s">
        <v>11</v>
      </c>
      <c r="F3729" s="10"/>
      <c r="G3729" s="9" t="s">
        <v>15</v>
      </c>
      <c r="H3729" s="7" t="s">
        <v>6583</v>
      </c>
      <c r="I3729" s="9" t="s">
        <v>353</v>
      </c>
      <c r="J3729" s="88"/>
    </row>
    <row r="3730">
      <c r="A3730" s="6" t="s">
        <v>9</v>
      </c>
      <c r="B3730" s="7" t="s">
        <v>6584</v>
      </c>
      <c r="C3730" s="91">
        <v>45162.438765983796</v>
      </c>
      <c r="D3730" s="8">
        <f t="shared" si="305"/>
        <v>45166</v>
      </c>
      <c r="E3730" s="9" t="s">
        <v>11</v>
      </c>
      <c r="F3730" s="10"/>
      <c r="G3730" s="9" t="s">
        <v>15</v>
      </c>
      <c r="H3730" s="7" t="s">
        <v>6585</v>
      </c>
      <c r="I3730" s="9" t="s">
        <v>353</v>
      </c>
      <c r="J3730" s="88"/>
    </row>
    <row r="3731">
      <c r="A3731" s="210" t="s">
        <v>6565</v>
      </c>
      <c r="B3731" s="7" t="s">
        <v>6586</v>
      </c>
      <c r="C3731" s="91">
        <v>45138.42525049769</v>
      </c>
      <c r="D3731" s="8">
        <f t="shared" si="305"/>
        <v>45140</v>
      </c>
      <c r="E3731" s="9" t="s">
        <v>88</v>
      </c>
      <c r="F3731" s="8"/>
      <c r="G3731" s="9" t="s">
        <v>18</v>
      </c>
      <c r="H3731" s="7" t="s">
        <v>6587</v>
      </c>
      <c r="I3731" s="9" t="s">
        <v>353</v>
      </c>
      <c r="J3731" s="88"/>
    </row>
    <row r="3732">
      <c r="A3732" s="6" t="s">
        <v>9</v>
      </c>
      <c r="B3732" s="7" t="s">
        <v>6286</v>
      </c>
      <c r="C3732" s="91">
        <v>45162.471273159725</v>
      </c>
      <c r="D3732" s="8">
        <f t="shared" si="305"/>
        <v>45166</v>
      </c>
      <c r="E3732" s="9" t="s">
        <v>11</v>
      </c>
      <c r="F3732" s="8"/>
      <c r="G3732" s="9" t="s">
        <v>18</v>
      </c>
      <c r="H3732" s="7" t="s">
        <v>6588</v>
      </c>
      <c r="I3732" s="9" t="s">
        <v>353</v>
      </c>
      <c r="J3732" s="88"/>
    </row>
    <row r="3733">
      <c r="A3733" s="210"/>
      <c r="B3733" s="7" t="s">
        <v>6589</v>
      </c>
      <c r="C3733" s="91">
        <v>45161.614103831016</v>
      </c>
      <c r="D3733" s="8"/>
      <c r="E3733" s="9"/>
      <c r="F3733" s="10"/>
      <c r="G3733" s="9" t="s">
        <v>15</v>
      </c>
      <c r="H3733" s="7" t="s">
        <v>6590</v>
      </c>
      <c r="I3733" s="9" t="s">
        <v>353</v>
      </c>
      <c r="J3733" s="88"/>
    </row>
    <row r="3734">
      <c r="A3734" s="34" t="s">
        <v>204</v>
      </c>
      <c r="B3734" s="7" t="s">
        <v>6591</v>
      </c>
      <c r="C3734" s="91">
        <v>45161.738478796295</v>
      </c>
      <c r="D3734" s="8">
        <f t="shared" ref="D3734:D3769" si="306">IFERROR(_xlfn.WORKDAY.INTL(C3734, 2),"-")</f>
        <v>45163</v>
      </c>
      <c r="E3734" s="9" t="s">
        <v>11</v>
      </c>
      <c r="F3734" s="10"/>
      <c r="G3734" s="9"/>
      <c r="H3734" s="7" t="s">
        <v>437</v>
      </c>
      <c r="I3734" s="9" t="s">
        <v>353</v>
      </c>
      <c r="J3734" s="88"/>
    </row>
    <row r="3735">
      <c r="A3735" s="6" t="s">
        <v>9</v>
      </c>
      <c r="B3735" s="7" t="s">
        <v>6592</v>
      </c>
      <c r="C3735" s="91">
        <v>45161.50543105324</v>
      </c>
      <c r="D3735" s="8">
        <f t="shared" si="306"/>
        <v>45163</v>
      </c>
      <c r="E3735" s="9" t="s">
        <v>11</v>
      </c>
      <c r="F3735" s="10"/>
      <c r="G3735" s="9" t="s">
        <v>15</v>
      </c>
      <c r="H3735" s="7" t="s">
        <v>6593</v>
      </c>
      <c r="I3735" s="9" t="s">
        <v>353</v>
      </c>
      <c r="J3735" s="88"/>
    </row>
    <row r="3736">
      <c r="A3736" s="210" t="s">
        <v>6565</v>
      </c>
      <c r="B3736" s="7" t="s">
        <v>6594</v>
      </c>
      <c r="C3736" s="91">
        <v>45159.0</v>
      </c>
      <c r="D3736" s="8">
        <f t="shared" si="306"/>
        <v>45161</v>
      </c>
      <c r="E3736" s="9" t="s">
        <v>206</v>
      </c>
      <c r="F3736" s="211"/>
      <c r="G3736" s="9" t="s">
        <v>18</v>
      </c>
      <c r="H3736" s="7" t="s">
        <v>6595</v>
      </c>
      <c r="I3736" s="9" t="s">
        <v>353</v>
      </c>
      <c r="J3736" s="88"/>
    </row>
    <row r="3737">
      <c r="A3737" s="54" t="s">
        <v>332</v>
      </c>
      <c r="B3737" s="7" t="s">
        <v>6596</v>
      </c>
      <c r="C3737" s="91">
        <v>45111.58423305556</v>
      </c>
      <c r="D3737" s="8">
        <f t="shared" si="306"/>
        <v>45113</v>
      </c>
      <c r="E3737" s="9" t="s">
        <v>206</v>
      </c>
      <c r="F3737" s="9"/>
      <c r="G3737" s="9" t="s">
        <v>89</v>
      </c>
      <c r="H3737" s="7" t="s">
        <v>6597</v>
      </c>
      <c r="I3737" s="9" t="s">
        <v>353</v>
      </c>
      <c r="J3737" s="88"/>
    </row>
    <row r="3738">
      <c r="A3738" s="34" t="s">
        <v>204</v>
      </c>
      <c r="B3738" s="7" t="s">
        <v>6598</v>
      </c>
      <c r="C3738" s="91" t="s">
        <v>11</v>
      </c>
      <c r="D3738" s="8" t="str">
        <f t="shared" si="306"/>
        <v>-</v>
      </c>
      <c r="E3738" s="9" t="s">
        <v>11</v>
      </c>
      <c r="F3738" s="10"/>
      <c r="G3738" s="9"/>
      <c r="H3738" s="7" t="s">
        <v>437</v>
      </c>
      <c r="I3738" s="9" t="s">
        <v>353</v>
      </c>
      <c r="J3738" s="88"/>
    </row>
    <row r="3739">
      <c r="A3739" s="34" t="s">
        <v>204</v>
      </c>
      <c r="B3739" s="7" t="s">
        <v>6599</v>
      </c>
      <c r="C3739" s="91">
        <v>45096.51351525463</v>
      </c>
      <c r="D3739" s="8">
        <f t="shared" si="306"/>
        <v>45098</v>
      </c>
      <c r="E3739" s="9" t="s">
        <v>206</v>
      </c>
      <c r="F3739" s="10"/>
      <c r="G3739" s="9" t="s">
        <v>15</v>
      </c>
      <c r="H3739" s="7" t="s">
        <v>6600</v>
      </c>
      <c r="I3739" s="9" t="s">
        <v>353</v>
      </c>
      <c r="J3739" s="88"/>
    </row>
    <row r="3740">
      <c r="A3740" s="210" t="s">
        <v>6565</v>
      </c>
      <c r="B3740" s="7" t="s">
        <v>6601</v>
      </c>
      <c r="C3740" s="91">
        <v>45155.67846746527</v>
      </c>
      <c r="D3740" s="8">
        <f t="shared" si="306"/>
        <v>45159</v>
      </c>
      <c r="E3740" s="9" t="s">
        <v>11</v>
      </c>
      <c r="F3740" s="10"/>
      <c r="G3740" s="9"/>
      <c r="H3740" s="7" t="s">
        <v>6602</v>
      </c>
      <c r="I3740" s="9" t="s">
        <v>353</v>
      </c>
      <c r="J3740" s="88"/>
    </row>
    <row r="3741">
      <c r="A3741" s="210" t="s">
        <v>6565</v>
      </c>
      <c r="B3741" s="7" t="s">
        <v>6603</v>
      </c>
      <c r="C3741" s="91">
        <v>45155.67787670139</v>
      </c>
      <c r="D3741" s="8">
        <f t="shared" si="306"/>
        <v>45159</v>
      </c>
      <c r="E3741" s="9" t="s">
        <v>11</v>
      </c>
      <c r="F3741" s="10"/>
      <c r="G3741" s="9" t="s">
        <v>18</v>
      </c>
      <c r="H3741" s="7" t="s">
        <v>6604</v>
      </c>
      <c r="I3741" s="9" t="s">
        <v>353</v>
      </c>
      <c r="J3741" s="88"/>
    </row>
    <row r="3742">
      <c r="A3742" s="210" t="s">
        <v>6565</v>
      </c>
      <c r="B3742" s="7" t="s">
        <v>6605</v>
      </c>
      <c r="C3742" s="91">
        <v>45155.677850844906</v>
      </c>
      <c r="D3742" s="8">
        <f t="shared" si="306"/>
        <v>45159</v>
      </c>
      <c r="E3742" s="9" t="s">
        <v>11</v>
      </c>
      <c r="F3742" s="10"/>
      <c r="G3742" s="9" t="s">
        <v>18</v>
      </c>
      <c r="H3742" s="7" t="s">
        <v>6604</v>
      </c>
      <c r="I3742" s="9" t="s">
        <v>353</v>
      </c>
      <c r="J3742" s="88"/>
    </row>
    <row r="3743">
      <c r="A3743" s="210" t="s">
        <v>6565</v>
      </c>
      <c r="B3743" s="7" t="s">
        <v>6606</v>
      </c>
      <c r="C3743" s="91">
        <v>45155.67782362268</v>
      </c>
      <c r="D3743" s="8">
        <f t="shared" si="306"/>
        <v>45159</v>
      </c>
      <c r="E3743" s="9" t="s">
        <v>11</v>
      </c>
      <c r="F3743" s="10"/>
      <c r="G3743" s="9" t="s">
        <v>18</v>
      </c>
      <c r="H3743" s="7" t="s">
        <v>6604</v>
      </c>
      <c r="I3743" s="9" t="s">
        <v>353</v>
      </c>
      <c r="J3743" s="88"/>
    </row>
    <row r="3744">
      <c r="A3744" s="210" t="s">
        <v>6565</v>
      </c>
      <c r="B3744" s="7" t="s">
        <v>6607</v>
      </c>
      <c r="C3744" s="91">
        <v>45155.67778915509</v>
      </c>
      <c r="D3744" s="8">
        <f t="shared" si="306"/>
        <v>45159</v>
      </c>
      <c r="E3744" s="9" t="s">
        <v>11</v>
      </c>
      <c r="F3744" s="10"/>
      <c r="G3744" s="9" t="s">
        <v>18</v>
      </c>
      <c r="H3744" s="7" t="s">
        <v>6604</v>
      </c>
      <c r="I3744" s="9" t="s">
        <v>353</v>
      </c>
      <c r="J3744" s="88"/>
    </row>
    <row r="3745">
      <c r="A3745" s="210" t="s">
        <v>6565</v>
      </c>
      <c r="B3745" s="7" t="s">
        <v>6608</v>
      </c>
      <c r="C3745" s="91">
        <v>45155.677758969905</v>
      </c>
      <c r="D3745" s="8">
        <f t="shared" si="306"/>
        <v>45159</v>
      </c>
      <c r="E3745" s="9" t="s">
        <v>11</v>
      </c>
      <c r="F3745" s="10"/>
      <c r="G3745" s="9" t="s">
        <v>18</v>
      </c>
      <c r="H3745" s="7" t="s">
        <v>6604</v>
      </c>
      <c r="I3745" s="9" t="s">
        <v>353</v>
      </c>
      <c r="J3745" s="88"/>
    </row>
    <row r="3746">
      <c r="A3746" s="210" t="s">
        <v>6565</v>
      </c>
      <c r="B3746" s="7" t="s">
        <v>6609</v>
      </c>
      <c r="C3746" s="91">
        <v>45155.67774585648</v>
      </c>
      <c r="D3746" s="8">
        <f t="shared" si="306"/>
        <v>45159</v>
      </c>
      <c r="E3746" s="9" t="s">
        <v>11</v>
      </c>
      <c r="F3746" s="10"/>
      <c r="G3746" s="9" t="s">
        <v>18</v>
      </c>
      <c r="H3746" s="7" t="s">
        <v>6604</v>
      </c>
      <c r="I3746" s="9" t="s">
        <v>353</v>
      </c>
      <c r="J3746" s="88"/>
    </row>
    <row r="3747">
      <c r="A3747" s="210" t="s">
        <v>6565</v>
      </c>
      <c r="B3747" s="7" t="s">
        <v>6610</v>
      </c>
      <c r="C3747" s="91">
        <v>45155.67768761574</v>
      </c>
      <c r="D3747" s="8">
        <f t="shared" si="306"/>
        <v>45159</v>
      </c>
      <c r="E3747" s="9" t="s">
        <v>11</v>
      </c>
      <c r="F3747" s="10"/>
      <c r="G3747" s="9" t="s">
        <v>18</v>
      </c>
      <c r="H3747" s="7" t="s">
        <v>6604</v>
      </c>
      <c r="I3747" s="9" t="s">
        <v>353</v>
      </c>
      <c r="J3747" s="88"/>
    </row>
    <row r="3748">
      <c r="A3748" s="210" t="s">
        <v>6565</v>
      </c>
      <c r="B3748" s="7" t="s">
        <v>6611</v>
      </c>
      <c r="C3748" s="91">
        <v>45155.67763666667</v>
      </c>
      <c r="D3748" s="8">
        <f t="shared" si="306"/>
        <v>45159</v>
      </c>
      <c r="E3748" s="9" t="s">
        <v>11</v>
      </c>
      <c r="F3748" s="10"/>
      <c r="G3748" s="9" t="s">
        <v>18</v>
      </c>
      <c r="H3748" s="7" t="s">
        <v>6604</v>
      </c>
      <c r="I3748" s="9" t="s">
        <v>353</v>
      </c>
      <c r="J3748" s="88"/>
    </row>
    <row r="3749">
      <c r="A3749" s="210" t="s">
        <v>6565</v>
      </c>
      <c r="B3749" s="7" t="s">
        <v>6612</v>
      </c>
      <c r="C3749" s="91">
        <v>45155.677582476856</v>
      </c>
      <c r="D3749" s="8">
        <f t="shared" si="306"/>
        <v>45159</v>
      </c>
      <c r="E3749" s="9" t="s">
        <v>11</v>
      </c>
      <c r="F3749" s="10"/>
      <c r="G3749" s="9" t="s">
        <v>18</v>
      </c>
      <c r="H3749" s="7" t="s">
        <v>6604</v>
      </c>
      <c r="I3749" s="9" t="s">
        <v>353</v>
      </c>
      <c r="J3749" s="88"/>
    </row>
    <row r="3750">
      <c r="A3750" s="210" t="s">
        <v>6565</v>
      </c>
      <c r="B3750" s="7" t="s">
        <v>6173</v>
      </c>
      <c r="C3750" s="91">
        <v>45146.39856130787</v>
      </c>
      <c r="D3750" s="8">
        <f t="shared" si="306"/>
        <v>45148</v>
      </c>
      <c r="E3750" s="9" t="s">
        <v>11</v>
      </c>
      <c r="F3750" s="10"/>
      <c r="G3750" s="9"/>
      <c r="H3750" s="7" t="s">
        <v>6613</v>
      </c>
      <c r="I3750" s="9" t="s">
        <v>353</v>
      </c>
      <c r="J3750" s="88"/>
    </row>
    <row r="3751">
      <c r="A3751" s="210" t="s">
        <v>6565</v>
      </c>
      <c r="B3751" s="7" t="s">
        <v>6614</v>
      </c>
      <c r="C3751" s="91">
        <v>45132.48964969907</v>
      </c>
      <c r="D3751" s="8">
        <f t="shared" si="306"/>
        <v>45134</v>
      </c>
      <c r="E3751" s="9" t="s">
        <v>11</v>
      </c>
      <c r="F3751" s="10"/>
      <c r="G3751" s="9"/>
      <c r="H3751" s="7" t="s">
        <v>6615</v>
      </c>
      <c r="I3751" s="9" t="s">
        <v>353</v>
      </c>
      <c r="J3751" s="88"/>
    </row>
    <row r="3752">
      <c r="A3752" s="210" t="s">
        <v>6565</v>
      </c>
      <c r="B3752" s="7" t="s">
        <v>6616</v>
      </c>
      <c r="C3752" s="91">
        <v>45138.496060289355</v>
      </c>
      <c r="D3752" s="8">
        <f t="shared" si="306"/>
        <v>45140</v>
      </c>
      <c r="E3752" s="9" t="s">
        <v>88</v>
      </c>
      <c r="F3752" s="10"/>
      <c r="G3752" s="9" t="s">
        <v>15</v>
      </c>
      <c r="H3752" s="7" t="s">
        <v>6617</v>
      </c>
      <c r="I3752" s="9" t="s">
        <v>353</v>
      </c>
      <c r="J3752" s="88"/>
    </row>
    <row r="3753">
      <c r="A3753" s="210" t="s">
        <v>6565</v>
      </c>
      <c r="B3753" s="7" t="s">
        <v>6618</v>
      </c>
      <c r="C3753" s="91">
        <v>45127.38162018519</v>
      </c>
      <c r="D3753" s="8">
        <f t="shared" si="306"/>
        <v>45131</v>
      </c>
      <c r="E3753" s="9" t="s">
        <v>206</v>
      </c>
      <c r="F3753" s="10"/>
      <c r="G3753" s="9"/>
      <c r="H3753" s="7" t="s">
        <v>6619</v>
      </c>
      <c r="I3753" s="9" t="s">
        <v>353</v>
      </c>
      <c r="J3753" s="88"/>
    </row>
    <row r="3754">
      <c r="A3754" s="210" t="s">
        <v>6565</v>
      </c>
      <c r="B3754" s="7" t="s">
        <v>6620</v>
      </c>
      <c r="C3754" s="91">
        <v>45127.44471733796</v>
      </c>
      <c r="D3754" s="8">
        <f t="shared" si="306"/>
        <v>45131</v>
      </c>
      <c r="E3754" s="9" t="s">
        <v>206</v>
      </c>
      <c r="F3754" s="10"/>
      <c r="G3754" s="9" t="s">
        <v>15</v>
      </c>
      <c r="H3754" s="7" t="s">
        <v>6621</v>
      </c>
      <c r="I3754" s="9" t="s">
        <v>353</v>
      </c>
      <c r="J3754" s="88"/>
    </row>
    <row r="3755">
      <c r="A3755" s="6" t="s">
        <v>9</v>
      </c>
      <c r="B3755" s="7" t="s">
        <v>1022</v>
      </c>
      <c r="C3755" s="91">
        <v>45159.37759725694</v>
      </c>
      <c r="D3755" s="8">
        <f t="shared" si="306"/>
        <v>45161</v>
      </c>
      <c r="E3755" s="9" t="s">
        <v>11</v>
      </c>
      <c r="F3755" s="10"/>
      <c r="G3755" s="9" t="s">
        <v>15</v>
      </c>
      <c r="H3755" s="7" t="s">
        <v>6622</v>
      </c>
      <c r="I3755" s="9" t="s">
        <v>353</v>
      </c>
      <c r="J3755" s="88"/>
    </row>
    <row r="3756">
      <c r="A3756" s="210" t="s">
        <v>6565</v>
      </c>
      <c r="B3756" s="7" t="s">
        <v>6623</v>
      </c>
      <c r="C3756" s="91">
        <v>45155.5402533912</v>
      </c>
      <c r="D3756" s="8">
        <f t="shared" si="306"/>
        <v>45159</v>
      </c>
      <c r="E3756" s="9" t="s">
        <v>11</v>
      </c>
      <c r="F3756" s="10"/>
      <c r="G3756" s="9"/>
      <c r="H3756" s="7" t="s">
        <v>6624</v>
      </c>
      <c r="I3756" s="9" t="s">
        <v>353</v>
      </c>
      <c r="J3756" s="88"/>
    </row>
    <row r="3757">
      <c r="A3757" s="6" t="s">
        <v>9</v>
      </c>
      <c r="B3757" s="7" t="s">
        <v>6242</v>
      </c>
      <c r="C3757" s="91">
        <v>45155.38601633102</v>
      </c>
      <c r="D3757" s="8">
        <f t="shared" si="306"/>
        <v>45159</v>
      </c>
      <c r="E3757" s="9" t="s">
        <v>11</v>
      </c>
      <c r="F3757" s="10"/>
      <c r="G3757" s="9" t="s">
        <v>15</v>
      </c>
      <c r="H3757" s="7" t="s">
        <v>6625</v>
      </c>
      <c r="I3757" s="9" t="s">
        <v>353</v>
      </c>
      <c r="J3757" s="88"/>
    </row>
    <row r="3758">
      <c r="A3758" s="6" t="s">
        <v>9</v>
      </c>
      <c r="B3758" s="7" t="s">
        <v>6626</v>
      </c>
      <c r="C3758" s="91">
        <v>45155.624178680555</v>
      </c>
      <c r="D3758" s="8">
        <f t="shared" si="306"/>
        <v>45159</v>
      </c>
      <c r="E3758" s="9" t="s">
        <v>11</v>
      </c>
      <c r="F3758" s="10"/>
      <c r="G3758" s="9" t="s">
        <v>15</v>
      </c>
      <c r="H3758" s="7" t="s">
        <v>6627</v>
      </c>
      <c r="I3758" s="9" t="s">
        <v>353</v>
      </c>
      <c r="J3758" s="88"/>
    </row>
    <row r="3759">
      <c r="A3759" s="34" t="s">
        <v>204</v>
      </c>
      <c r="B3759" s="7" t="s">
        <v>6628</v>
      </c>
      <c r="C3759" s="91">
        <v>45156.41156060185</v>
      </c>
      <c r="D3759" s="8">
        <f t="shared" si="306"/>
        <v>45160</v>
      </c>
      <c r="E3759" s="9" t="s">
        <v>11</v>
      </c>
      <c r="F3759" s="10"/>
      <c r="G3759" s="9"/>
      <c r="H3759" s="7" t="s">
        <v>437</v>
      </c>
      <c r="I3759" s="9" t="s">
        <v>353</v>
      </c>
      <c r="J3759" s="88"/>
    </row>
    <row r="3760">
      <c r="A3760" s="34" t="s">
        <v>204</v>
      </c>
      <c r="B3760" s="7" t="s">
        <v>6629</v>
      </c>
      <c r="C3760" s="91" t="s">
        <v>11</v>
      </c>
      <c r="D3760" s="8" t="str">
        <f t="shared" si="306"/>
        <v>-</v>
      </c>
      <c r="E3760" s="9" t="s">
        <v>11</v>
      </c>
      <c r="F3760" s="10"/>
      <c r="G3760" s="9"/>
      <c r="H3760" s="7" t="s">
        <v>6630</v>
      </c>
      <c r="I3760" s="9" t="s">
        <v>353</v>
      </c>
      <c r="J3760" s="88"/>
    </row>
    <row r="3761">
      <c r="A3761" s="34" t="s">
        <v>204</v>
      </c>
      <c r="B3761" s="7" t="s">
        <v>5918</v>
      </c>
      <c r="C3761" s="91">
        <v>45140.726948854164</v>
      </c>
      <c r="D3761" s="8">
        <f t="shared" si="306"/>
        <v>45142</v>
      </c>
      <c r="E3761" s="9" t="s">
        <v>11</v>
      </c>
      <c r="F3761" s="10"/>
      <c r="G3761" s="9" t="s">
        <v>15</v>
      </c>
      <c r="H3761" s="7" t="s">
        <v>6631</v>
      </c>
      <c r="I3761" s="9" t="s">
        <v>353</v>
      </c>
      <c r="J3761" s="88"/>
    </row>
    <row r="3762">
      <c r="A3762" s="210" t="s">
        <v>6565</v>
      </c>
      <c r="B3762" s="7" t="s">
        <v>6632</v>
      </c>
      <c r="C3762" s="91">
        <v>45147.70661341435</v>
      </c>
      <c r="D3762" s="8">
        <f t="shared" si="306"/>
        <v>45149</v>
      </c>
      <c r="E3762" s="9" t="s">
        <v>11</v>
      </c>
      <c r="F3762" s="10"/>
      <c r="G3762" s="9"/>
      <c r="H3762" s="7" t="s">
        <v>6633</v>
      </c>
      <c r="I3762" s="9" t="s">
        <v>353</v>
      </c>
      <c r="J3762" s="88"/>
    </row>
    <row r="3763">
      <c r="A3763" s="6" t="s">
        <v>9</v>
      </c>
      <c r="B3763" s="7" t="s">
        <v>6634</v>
      </c>
      <c r="C3763" s="91">
        <v>45155.47407236111</v>
      </c>
      <c r="D3763" s="8">
        <f t="shared" si="306"/>
        <v>45159</v>
      </c>
      <c r="E3763" s="9" t="s">
        <v>11</v>
      </c>
      <c r="F3763" s="10"/>
      <c r="G3763" s="9" t="s">
        <v>15</v>
      </c>
      <c r="H3763" s="7" t="s">
        <v>6627</v>
      </c>
      <c r="I3763" s="9" t="s">
        <v>353</v>
      </c>
      <c r="J3763" s="88"/>
    </row>
    <row r="3764">
      <c r="A3764" s="6" t="s">
        <v>9</v>
      </c>
      <c r="B3764" s="7" t="s">
        <v>6635</v>
      </c>
      <c r="C3764" s="91">
        <v>45154.72653569444</v>
      </c>
      <c r="D3764" s="8">
        <f t="shared" si="306"/>
        <v>45156</v>
      </c>
      <c r="E3764" s="9" t="s">
        <v>11</v>
      </c>
      <c r="F3764" s="10"/>
      <c r="G3764" s="9" t="s">
        <v>15</v>
      </c>
      <c r="H3764" s="11"/>
      <c r="I3764" s="9" t="s">
        <v>353</v>
      </c>
      <c r="J3764" s="88"/>
    </row>
    <row r="3765">
      <c r="A3765" s="6" t="s">
        <v>9</v>
      </c>
      <c r="B3765" s="7" t="s">
        <v>6636</v>
      </c>
      <c r="C3765" s="91">
        <v>45154.71936398148</v>
      </c>
      <c r="D3765" s="8">
        <f t="shared" si="306"/>
        <v>45156</v>
      </c>
      <c r="E3765" s="9" t="s">
        <v>11</v>
      </c>
      <c r="F3765" s="10"/>
      <c r="G3765" s="9" t="s">
        <v>18</v>
      </c>
      <c r="H3765" s="11"/>
      <c r="I3765" s="9" t="s">
        <v>353</v>
      </c>
      <c r="J3765" s="88"/>
    </row>
    <row r="3766">
      <c r="A3766" s="6" t="s">
        <v>9</v>
      </c>
      <c r="B3766" s="7" t="s">
        <v>6637</v>
      </c>
      <c r="C3766" s="91">
        <v>45154.520044108795</v>
      </c>
      <c r="D3766" s="8">
        <f t="shared" si="306"/>
        <v>45156</v>
      </c>
      <c r="E3766" s="9" t="s">
        <v>6247</v>
      </c>
      <c r="F3766" s="10"/>
      <c r="G3766" s="9" t="s">
        <v>15</v>
      </c>
      <c r="H3766" s="7" t="s">
        <v>6638</v>
      </c>
      <c r="I3766" s="9" t="s">
        <v>353</v>
      </c>
      <c r="J3766" s="88"/>
    </row>
    <row r="3767">
      <c r="A3767" s="34" t="s">
        <v>204</v>
      </c>
      <c r="B3767" s="7" t="s">
        <v>6639</v>
      </c>
      <c r="C3767" s="91">
        <v>45154.45641270833</v>
      </c>
      <c r="D3767" s="8">
        <f t="shared" si="306"/>
        <v>45156</v>
      </c>
      <c r="E3767" s="9" t="s">
        <v>11</v>
      </c>
      <c r="F3767" s="10"/>
      <c r="G3767" s="9"/>
      <c r="H3767" s="7" t="s">
        <v>437</v>
      </c>
      <c r="I3767" s="9" t="s">
        <v>353</v>
      </c>
      <c r="J3767" s="88"/>
    </row>
    <row r="3768">
      <c r="A3768" s="34" t="s">
        <v>204</v>
      </c>
      <c r="B3768" s="7" t="s">
        <v>6640</v>
      </c>
      <c r="C3768" s="91">
        <v>45096.50937542824</v>
      </c>
      <c r="D3768" s="8">
        <f t="shared" si="306"/>
        <v>45098</v>
      </c>
      <c r="E3768" s="9" t="s">
        <v>206</v>
      </c>
      <c r="F3768" s="10"/>
      <c r="G3768" s="9" t="s">
        <v>15</v>
      </c>
      <c r="H3768" s="7" t="s">
        <v>6641</v>
      </c>
      <c r="I3768" s="9" t="s">
        <v>13</v>
      </c>
      <c r="J3768" s="88"/>
    </row>
    <row r="3769">
      <c r="A3769" s="34" t="s">
        <v>204</v>
      </c>
      <c r="B3769" s="7" t="s">
        <v>6642</v>
      </c>
      <c r="C3769" s="91">
        <v>45085.68267583333</v>
      </c>
      <c r="D3769" s="8">
        <f t="shared" si="306"/>
        <v>45089</v>
      </c>
      <c r="E3769" s="9" t="s">
        <v>11</v>
      </c>
      <c r="F3769" s="9"/>
      <c r="G3769" s="9" t="s">
        <v>15</v>
      </c>
      <c r="H3769" s="7" t="s">
        <v>6643</v>
      </c>
      <c r="I3769" s="9" t="s">
        <v>353</v>
      </c>
      <c r="J3769" s="88"/>
    </row>
    <row r="3770">
      <c r="A3770" s="88"/>
      <c r="B3770" s="89"/>
      <c r="C3770" s="90"/>
      <c r="D3770" s="89"/>
      <c r="E3770" s="89"/>
      <c r="F3770" s="89"/>
      <c r="G3770" s="89"/>
      <c r="H3770" s="87"/>
      <c r="I3770" s="89"/>
      <c r="J3770" s="88"/>
    </row>
    <row r="3771">
      <c r="A3771" s="34" t="s">
        <v>204</v>
      </c>
      <c r="B3771" s="7" t="s">
        <v>6644</v>
      </c>
      <c r="C3771" s="91">
        <v>45140.6678354051</v>
      </c>
      <c r="D3771" s="8">
        <f t="shared" ref="D3771:D3796" si="307">IFERROR(_xlfn.WORKDAY.INTL(C3771, 2),"-")</f>
        <v>45142</v>
      </c>
      <c r="E3771" s="9" t="s">
        <v>11</v>
      </c>
      <c r="F3771" s="10"/>
      <c r="G3771" s="9" t="s">
        <v>15</v>
      </c>
      <c r="H3771" s="7" t="s">
        <v>6645</v>
      </c>
      <c r="I3771" s="9" t="s">
        <v>353</v>
      </c>
      <c r="J3771" s="88"/>
    </row>
    <row r="3772">
      <c r="A3772" s="34" t="s">
        <v>204</v>
      </c>
      <c r="B3772" s="7" t="s">
        <v>6646</v>
      </c>
      <c r="C3772" s="91">
        <v>45152.72942133102</v>
      </c>
      <c r="D3772" s="8">
        <f t="shared" si="307"/>
        <v>45154</v>
      </c>
      <c r="E3772" s="9" t="s">
        <v>11</v>
      </c>
      <c r="F3772" s="10"/>
      <c r="G3772" s="9" t="s">
        <v>18</v>
      </c>
      <c r="H3772" s="7" t="s">
        <v>437</v>
      </c>
      <c r="I3772" s="9" t="s">
        <v>353</v>
      </c>
      <c r="J3772" s="88"/>
    </row>
    <row r="3773">
      <c r="A3773" s="6" t="s">
        <v>9</v>
      </c>
      <c r="B3773" s="7" t="s">
        <v>6647</v>
      </c>
      <c r="C3773" s="91">
        <v>45152.66112787037</v>
      </c>
      <c r="D3773" s="8">
        <f t="shared" si="307"/>
        <v>45154</v>
      </c>
      <c r="E3773" s="9" t="s">
        <v>11</v>
      </c>
      <c r="F3773" s="10"/>
      <c r="G3773" s="9" t="s">
        <v>15</v>
      </c>
      <c r="H3773" s="7" t="s">
        <v>6648</v>
      </c>
      <c r="I3773" s="9" t="s">
        <v>353</v>
      </c>
      <c r="J3773" s="88"/>
    </row>
    <row r="3774">
      <c r="A3774" s="6" t="s">
        <v>9</v>
      </c>
      <c r="B3774" s="7" t="s">
        <v>6649</v>
      </c>
      <c r="C3774" s="91">
        <v>45152.49831710648</v>
      </c>
      <c r="D3774" s="8">
        <f t="shared" si="307"/>
        <v>45154</v>
      </c>
      <c r="E3774" s="9" t="s">
        <v>11</v>
      </c>
      <c r="F3774" s="10"/>
      <c r="G3774" s="9" t="s">
        <v>15</v>
      </c>
      <c r="H3774" s="7" t="s">
        <v>6650</v>
      </c>
      <c r="I3774" s="9" t="s">
        <v>353</v>
      </c>
      <c r="J3774" s="88"/>
    </row>
    <row r="3775">
      <c r="A3775" s="6" t="s">
        <v>9</v>
      </c>
      <c r="B3775" s="7" t="s">
        <v>6651</v>
      </c>
      <c r="C3775" s="91">
        <v>45152.45810408564</v>
      </c>
      <c r="D3775" s="8">
        <f t="shared" si="307"/>
        <v>45154</v>
      </c>
      <c r="E3775" s="9" t="s">
        <v>11</v>
      </c>
      <c r="F3775" s="10"/>
      <c r="G3775" s="9" t="s">
        <v>15</v>
      </c>
      <c r="H3775" s="7" t="s">
        <v>6652</v>
      </c>
      <c r="I3775" s="9" t="s">
        <v>353</v>
      </c>
      <c r="J3775" s="88"/>
    </row>
    <row r="3776">
      <c r="A3776" s="210" t="s">
        <v>6565</v>
      </c>
      <c r="B3776" s="7" t="s">
        <v>6653</v>
      </c>
      <c r="C3776" s="91">
        <v>45146.40290876158</v>
      </c>
      <c r="D3776" s="8">
        <f t="shared" si="307"/>
        <v>45148</v>
      </c>
      <c r="E3776" s="9" t="s">
        <v>11</v>
      </c>
      <c r="F3776" s="10"/>
      <c r="G3776" s="9" t="s">
        <v>15</v>
      </c>
      <c r="H3776" s="7" t="s">
        <v>6654</v>
      </c>
      <c r="I3776" s="9" t="s">
        <v>353</v>
      </c>
      <c r="J3776" s="88"/>
    </row>
    <row r="3777">
      <c r="A3777" s="6" t="s">
        <v>9</v>
      </c>
      <c r="B3777" s="7" t="s">
        <v>6655</v>
      </c>
      <c r="C3777" s="91">
        <v>45148.6674528588</v>
      </c>
      <c r="D3777" s="8">
        <f t="shared" si="307"/>
        <v>45152</v>
      </c>
      <c r="E3777" s="9" t="s">
        <v>11</v>
      </c>
      <c r="F3777" s="10"/>
      <c r="G3777" s="9" t="s">
        <v>15</v>
      </c>
      <c r="H3777" s="11"/>
      <c r="I3777" s="9" t="s">
        <v>353</v>
      </c>
      <c r="J3777" s="88"/>
    </row>
    <row r="3778">
      <c r="A3778" s="6" t="s">
        <v>9</v>
      </c>
      <c r="B3778" s="7" t="s">
        <v>6656</v>
      </c>
      <c r="C3778" s="91">
        <v>45148.57536141203</v>
      </c>
      <c r="D3778" s="8">
        <f t="shared" si="307"/>
        <v>45152</v>
      </c>
      <c r="E3778" s="9" t="s">
        <v>11</v>
      </c>
      <c r="F3778" s="10"/>
      <c r="G3778" s="9" t="s">
        <v>18</v>
      </c>
      <c r="H3778" s="7" t="s">
        <v>6657</v>
      </c>
      <c r="I3778" s="9" t="s">
        <v>353</v>
      </c>
      <c r="J3778" s="88"/>
    </row>
    <row r="3779">
      <c r="A3779" s="210" t="s">
        <v>6565</v>
      </c>
      <c r="B3779" s="7" t="s">
        <v>6658</v>
      </c>
      <c r="C3779" s="91">
        <v>45147.706727060184</v>
      </c>
      <c r="D3779" s="8">
        <f t="shared" si="307"/>
        <v>45149</v>
      </c>
      <c r="E3779" s="9" t="s">
        <v>11</v>
      </c>
      <c r="F3779" s="10"/>
      <c r="G3779" s="9"/>
      <c r="H3779" s="7" t="s">
        <v>6659</v>
      </c>
      <c r="I3779" s="9" t="s">
        <v>353</v>
      </c>
      <c r="J3779" s="88"/>
    </row>
    <row r="3780">
      <c r="A3780" s="210" t="s">
        <v>6565</v>
      </c>
      <c r="B3780" s="7" t="s">
        <v>6660</v>
      </c>
      <c r="C3780" s="91">
        <v>45146.39813195602</v>
      </c>
      <c r="D3780" s="8">
        <f t="shared" si="307"/>
        <v>45148</v>
      </c>
      <c r="E3780" s="9" t="s">
        <v>11</v>
      </c>
      <c r="F3780" s="10"/>
      <c r="G3780" s="9"/>
      <c r="H3780" s="7" t="s">
        <v>6661</v>
      </c>
      <c r="I3780" s="9" t="s">
        <v>353</v>
      </c>
      <c r="J3780" s="88"/>
    </row>
    <row r="3781">
      <c r="A3781" s="210" t="s">
        <v>6565</v>
      </c>
      <c r="B3781" s="7" t="s">
        <v>6662</v>
      </c>
      <c r="C3781" s="91">
        <v>45146.39237105324</v>
      </c>
      <c r="D3781" s="8">
        <f t="shared" si="307"/>
        <v>45148</v>
      </c>
      <c r="E3781" s="9" t="s">
        <v>11</v>
      </c>
      <c r="F3781" s="10"/>
      <c r="G3781" s="9"/>
      <c r="H3781" s="7" t="s">
        <v>6663</v>
      </c>
      <c r="I3781" s="9" t="s">
        <v>353</v>
      </c>
      <c r="J3781" s="88"/>
    </row>
    <row r="3782">
      <c r="A3782" s="210" t="s">
        <v>6565</v>
      </c>
      <c r="B3782" s="7" t="s">
        <v>6664</v>
      </c>
      <c r="C3782" s="91">
        <v>45141.486137604166</v>
      </c>
      <c r="D3782" s="8">
        <f t="shared" si="307"/>
        <v>45145</v>
      </c>
      <c r="E3782" s="9" t="s">
        <v>88</v>
      </c>
      <c r="F3782" s="10"/>
      <c r="G3782" s="9"/>
      <c r="H3782" s="7"/>
      <c r="I3782" s="9" t="s">
        <v>353</v>
      </c>
      <c r="J3782" s="88"/>
    </row>
    <row r="3783">
      <c r="A3783" s="6" t="s">
        <v>9</v>
      </c>
      <c r="B3783" s="7" t="s">
        <v>3525</v>
      </c>
      <c r="C3783" s="91">
        <v>45141.70762212963</v>
      </c>
      <c r="D3783" s="8">
        <f t="shared" si="307"/>
        <v>45145</v>
      </c>
      <c r="E3783" s="9" t="s">
        <v>11</v>
      </c>
      <c r="F3783" s="10"/>
      <c r="G3783" s="9" t="s">
        <v>15</v>
      </c>
      <c r="H3783" s="7" t="s">
        <v>6665</v>
      </c>
      <c r="I3783" s="9" t="s">
        <v>353</v>
      </c>
      <c r="J3783" s="88"/>
    </row>
    <row r="3784">
      <c r="A3784" s="34" t="s">
        <v>204</v>
      </c>
      <c r="B3784" s="7" t="s">
        <v>6666</v>
      </c>
      <c r="C3784" s="91">
        <v>45140.74303216435</v>
      </c>
      <c r="D3784" s="8">
        <f t="shared" si="307"/>
        <v>45142</v>
      </c>
      <c r="E3784" s="9" t="s">
        <v>11</v>
      </c>
      <c r="F3784" s="10"/>
      <c r="G3784" s="9"/>
      <c r="H3784" s="7" t="s">
        <v>437</v>
      </c>
      <c r="I3784" s="9" t="s">
        <v>353</v>
      </c>
      <c r="J3784" s="88"/>
    </row>
    <row r="3785">
      <c r="A3785" s="34" t="s">
        <v>204</v>
      </c>
      <c r="B3785" s="7" t="s">
        <v>6667</v>
      </c>
      <c r="C3785" s="91">
        <v>45140.66728028935</v>
      </c>
      <c r="D3785" s="8">
        <f t="shared" si="307"/>
        <v>45142</v>
      </c>
      <c r="E3785" s="9" t="s">
        <v>11</v>
      </c>
      <c r="F3785" s="10"/>
      <c r="G3785" s="9"/>
      <c r="H3785" s="7" t="s">
        <v>437</v>
      </c>
      <c r="I3785" s="9" t="s">
        <v>353</v>
      </c>
      <c r="J3785" s="88"/>
    </row>
    <row r="3786">
      <c r="A3786" s="210" t="s">
        <v>6565</v>
      </c>
      <c r="B3786" s="7" t="s">
        <v>6668</v>
      </c>
      <c r="C3786" s="91">
        <v>45140.445864293986</v>
      </c>
      <c r="D3786" s="8">
        <f t="shared" si="307"/>
        <v>45142</v>
      </c>
      <c r="E3786" s="9" t="s">
        <v>206</v>
      </c>
      <c r="F3786" s="10"/>
      <c r="G3786" s="9"/>
      <c r="H3786" s="7" t="s">
        <v>6669</v>
      </c>
      <c r="I3786" s="9" t="s">
        <v>353</v>
      </c>
      <c r="J3786" s="88"/>
    </row>
    <row r="3787">
      <c r="A3787" s="210" t="s">
        <v>6565</v>
      </c>
      <c r="B3787" s="7" t="s">
        <v>6670</v>
      </c>
      <c r="C3787" s="91">
        <v>45124.0</v>
      </c>
      <c r="D3787" s="8">
        <f t="shared" si="307"/>
        <v>45126</v>
      </c>
      <c r="E3787" s="9" t="s">
        <v>206</v>
      </c>
      <c r="F3787" s="10"/>
      <c r="G3787" s="9"/>
      <c r="H3787" s="7" t="s">
        <v>6671</v>
      </c>
      <c r="I3787" s="9" t="s">
        <v>353</v>
      </c>
      <c r="J3787" s="88"/>
    </row>
    <row r="3788">
      <c r="A3788" s="210" t="s">
        <v>6565</v>
      </c>
      <c r="B3788" s="7" t="s">
        <v>6672</v>
      </c>
      <c r="C3788" s="91">
        <v>45138.476908599536</v>
      </c>
      <c r="D3788" s="8">
        <f t="shared" si="307"/>
        <v>45140</v>
      </c>
      <c r="E3788" s="9" t="s">
        <v>6247</v>
      </c>
      <c r="F3788" s="10"/>
      <c r="G3788" s="9" t="s">
        <v>11</v>
      </c>
      <c r="H3788" s="7" t="s">
        <v>6673</v>
      </c>
      <c r="I3788" s="9" t="s">
        <v>353</v>
      </c>
      <c r="J3788" s="88"/>
    </row>
    <row r="3789">
      <c r="A3789" s="210" t="s">
        <v>6565</v>
      </c>
      <c r="B3789" s="7" t="s">
        <v>6674</v>
      </c>
      <c r="C3789" s="91">
        <v>45138.37919854167</v>
      </c>
      <c r="D3789" s="8">
        <f t="shared" si="307"/>
        <v>45140</v>
      </c>
      <c r="E3789" s="9" t="s">
        <v>11</v>
      </c>
      <c r="F3789" s="10"/>
      <c r="G3789" s="9" t="s">
        <v>11</v>
      </c>
      <c r="H3789" s="7" t="s">
        <v>6675</v>
      </c>
      <c r="I3789" s="9" t="s">
        <v>353</v>
      </c>
      <c r="J3789" s="88"/>
    </row>
    <row r="3790">
      <c r="A3790" s="34" t="s">
        <v>204</v>
      </c>
      <c r="B3790" s="7" t="s">
        <v>6676</v>
      </c>
      <c r="C3790" s="91">
        <v>45134.608733113426</v>
      </c>
      <c r="D3790" s="8">
        <f t="shared" si="307"/>
        <v>45138</v>
      </c>
      <c r="E3790" s="9" t="s">
        <v>11</v>
      </c>
      <c r="F3790" s="10"/>
      <c r="G3790" s="9"/>
      <c r="H3790" s="7" t="s">
        <v>5517</v>
      </c>
      <c r="I3790" s="9" t="s">
        <v>353</v>
      </c>
      <c r="J3790" s="88"/>
    </row>
    <row r="3791">
      <c r="A3791" s="34" t="s">
        <v>204</v>
      </c>
      <c r="B3791" s="7" t="s">
        <v>6677</v>
      </c>
      <c r="C3791" s="91">
        <v>45138.50735324074</v>
      </c>
      <c r="D3791" s="8">
        <f t="shared" si="307"/>
        <v>45140</v>
      </c>
      <c r="E3791" s="9" t="s">
        <v>11</v>
      </c>
      <c r="F3791" s="10"/>
      <c r="G3791" s="9" t="s">
        <v>18</v>
      </c>
      <c r="H3791" s="7" t="s">
        <v>5517</v>
      </c>
      <c r="I3791" s="9" t="s">
        <v>353</v>
      </c>
      <c r="J3791" s="88"/>
    </row>
    <row r="3792">
      <c r="A3792" s="34" t="s">
        <v>204</v>
      </c>
      <c r="B3792" s="11"/>
      <c r="C3792" s="91" t="s">
        <v>11</v>
      </c>
      <c r="D3792" s="8" t="str">
        <f t="shared" si="307"/>
        <v>-</v>
      </c>
      <c r="E3792" s="9" t="s">
        <v>11</v>
      </c>
      <c r="F3792" s="10"/>
      <c r="G3792" s="9"/>
      <c r="H3792" s="11"/>
      <c r="I3792" s="9" t="s">
        <v>353</v>
      </c>
      <c r="J3792" s="88"/>
    </row>
    <row r="3793">
      <c r="A3793" s="6" t="s">
        <v>9</v>
      </c>
      <c r="B3793" s="7" t="s">
        <v>6678</v>
      </c>
      <c r="C3793" s="91">
        <v>45106.648324837966</v>
      </c>
      <c r="D3793" s="8">
        <f t="shared" si="307"/>
        <v>45110</v>
      </c>
      <c r="E3793" s="9" t="s">
        <v>11</v>
      </c>
      <c r="F3793" s="10"/>
      <c r="G3793" s="9" t="s">
        <v>15</v>
      </c>
      <c r="H3793" s="7" t="s">
        <v>6679</v>
      </c>
      <c r="I3793" s="9" t="s">
        <v>353</v>
      </c>
      <c r="J3793" s="88"/>
    </row>
    <row r="3794">
      <c r="A3794" s="6" t="s">
        <v>9</v>
      </c>
      <c r="B3794" s="7" t="s">
        <v>6680</v>
      </c>
      <c r="C3794" s="91">
        <v>45127.63525045139</v>
      </c>
      <c r="D3794" s="8">
        <f t="shared" si="307"/>
        <v>45131</v>
      </c>
      <c r="E3794" s="9" t="s">
        <v>11</v>
      </c>
      <c r="F3794" s="10"/>
      <c r="G3794" s="9" t="s">
        <v>18</v>
      </c>
      <c r="H3794" s="7" t="s">
        <v>6681</v>
      </c>
      <c r="I3794" s="9" t="s">
        <v>353</v>
      </c>
      <c r="J3794" s="88"/>
    </row>
    <row r="3795">
      <c r="A3795" s="6" t="s">
        <v>9</v>
      </c>
      <c r="B3795" s="7" t="s">
        <v>6682</v>
      </c>
      <c r="C3795" s="91">
        <v>45127.71430229167</v>
      </c>
      <c r="D3795" s="8">
        <f t="shared" si="307"/>
        <v>45131</v>
      </c>
      <c r="E3795" s="9" t="s">
        <v>11</v>
      </c>
      <c r="F3795" s="10"/>
      <c r="G3795" s="9" t="s">
        <v>15</v>
      </c>
      <c r="H3795" s="7" t="s">
        <v>6683</v>
      </c>
      <c r="I3795" s="9" t="s">
        <v>353</v>
      </c>
      <c r="J3795" s="88"/>
    </row>
    <row r="3796">
      <c r="A3796" s="210" t="s">
        <v>6565</v>
      </c>
      <c r="B3796" s="7" t="s">
        <v>6684</v>
      </c>
      <c r="C3796" s="91">
        <v>45134.73916078704</v>
      </c>
      <c r="D3796" s="8">
        <f t="shared" si="307"/>
        <v>45138</v>
      </c>
      <c r="E3796" s="9" t="s">
        <v>11</v>
      </c>
      <c r="F3796" s="10"/>
      <c r="G3796" s="9"/>
      <c r="H3796" s="7" t="s">
        <v>6685</v>
      </c>
      <c r="I3796" s="9" t="s">
        <v>353</v>
      </c>
      <c r="J3796" s="88"/>
    </row>
    <row r="3797">
      <c r="A3797" s="34" t="s">
        <v>204</v>
      </c>
      <c r="B3797" s="7" t="s">
        <v>6686</v>
      </c>
      <c r="C3797" s="91">
        <v>45134.605503969906</v>
      </c>
      <c r="D3797" s="8"/>
      <c r="E3797" s="9" t="s">
        <v>11</v>
      </c>
      <c r="F3797" s="10"/>
      <c r="G3797" s="9" t="s">
        <v>18</v>
      </c>
      <c r="H3797" s="7" t="s">
        <v>2896</v>
      </c>
      <c r="I3797" s="9" t="s">
        <v>353</v>
      </c>
      <c r="J3797" s="88"/>
    </row>
    <row r="3798">
      <c r="A3798" s="34"/>
      <c r="B3798" s="7" t="s">
        <v>6687</v>
      </c>
      <c r="C3798" s="91">
        <v>45134.60473503472</v>
      </c>
      <c r="D3798" s="8"/>
      <c r="E3798" s="9"/>
      <c r="F3798" s="10"/>
      <c r="G3798" s="9"/>
      <c r="H3798" s="7" t="s">
        <v>5517</v>
      </c>
      <c r="I3798" s="9" t="s">
        <v>353</v>
      </c>
      <c r="J3798" s="88"/>
    </row>
    <row r="3799">
      <c r="A3799" s="34" t="s">
        <v>204</v>
      </c>
      <c r="B3799" s="7" t="s">
        <v>6688</v>
      </c>
      <c r="C3799" s="91">
        <v>45127.74297373842</v>
      </c>
      <c r="D3799" s="8">
        <f t="shared" ref="D3799:D3822" si="308">IFERROR(_xlfn.WORKDAY.INTL(C3799, 2),"-")</f>
        <v>45131</v>
      </c>
      <c r="E3799" s="9" t="s">
        <v>88</v>
      </c>
      <c r="F3799" s="10"/>
      <c r="G3799" s="9" t="s">
        <v>18</v>
      </c>
      <c r="H3799" s="7" t="s">
        <v>6689</v>
      </c>
      <c r="I3799" s="9" t="s">
        <v>353</v>
      </c>
      <c r="J3799" s="88"/>
    </row>
    <row r="3800">
      <c r="A3800" s="6" t="s">
        <v>9</v>
      </c>
      <c r="B3800" s="7" t="s">
        <v>6690</v>
      </c>
      <c r="C3800" s="91">
        <v>45134.48281025463</v>
      </c>
      <c r="D3800" s="8">
        <f t="shared" si="308"/>
        <v>45138</v>
      </c>
      <c r="E3800" s="9" t="s">
        <v>11</v>
      </c>
      <c r="F3800" s="10"/>
      <c r="G3800" s="9" t="s">
        <v>15</v>
      </c>
      <c r="H3800" s="7" t="s">
        <v>6691</v>
      </c>
      <c r="I3800" s="9" t="s">
        <v>353</v>
      </c>
      <c r="J3800" s="88"/>
    </row>
    <row r="3801">
      <c r="A3801" s="6" t="s">
        <v>9</v>
      </c>
      <c r="B3801" s="7" t="s">
        <v>6692</v>
      </c>
      <c r="C3801" s="91">
        <v>45114.47107743056</v>
      </c>
      <c r="D3801" s="8">
        <f t="shared" si="308"/>
        <v>45118</v>
      </c>
      <c r="E3801" s="9" t="s">
        <v>11</v>
      </c>
      <c r="F3801" s="10"/>
      <c r="G3801" s="9" t="s">
        <v>15</v>
      </c>
      <c r="H3801" s="7" t="s">
        <v>6693</v>
      </c>
      <c r="I3801" s="9" t="s">
        <v>353</v>
      </c>
      <c r="J3801" s="88"/>
    </row>
    <row r="3802">
      <c r="A3802" s="210" t="s">
        <v>6565</v>
      </c>
      <c r="B3802" s="7" t="s">
        <v>6694</v>
      </c>
      <c r="C3802" s="91">
        <v>45119.49057296297</v>
      </c>
      <c r="D3802" s="8">
        <f t="shared" si="308"/>
        <v>45121</v>
      </c>
      <c r="E3802" s="9" t="s">
        <v>206</v>
      </c>
      <c r="F3802" s="10"/>
      <c r="G3802" s="9" t="s">
        <v>15</v>
      </c>
      <c r="H3802" s="7" t="s">
        <v>6695</v>
      </c>
      <c r="I3802" s="9" t="s">
        <v>353</v>
      </c>
      <c r="J3802" s="88"/>
    </row>
    <row r="3803">
      <c r="A3803" s="6" t="s">
        <v>9</v>
      </c>
      <c r="B3803" s="7" t="s">
        <v>6696</v>
      </c>
      <c r="C3803" s="91">
        <v>45131.38483148148</v>
      </c>
      <c r="D3803" s="8">
        <f t="shared" si="308"/>
        <v>45133</v>
      </c>
      <c r="E3803" s="9" t="s">
        <v>11</v>
      </c>
      <c r="F3803" s="10"/>
      <c r="G3803" s="9" t="s">
        <v>15</v>
      </c>
      <c r="H3803" s="7" t="s">
        <v>6697</v>
      </c>
      <c r="I3803" s="9" t="s">
        <v>353</v>
      </c>
      <c r="J3803" s="88"/>
    </row>
    <row r="3804">
      <c r="A3804" s="6" t="s">
        <v>9</v>
      </c>
      <c r="B3804" s="7" t="s">
        <v>6698</v>
      </c>
      <c r="C3804" s="91">
        <v>45133.415011226854</v>
      </c>
      <c r="D3804" s="8">
        <f t="shared" si="308"/>
        <v>45135</v>
      </c>
      <c r="E3804" s="9" t="s">
        <v>88</v>
      </c>
      <c r="F3804" s="10"/>
      <c r="G3804" s="9" t="s">
        <v>15</v>
      </c>
      <c r="H3804" s="11"/>
      <c r="I3804" s="9" t="s">
        <v>353</v>
      </c>
      <c r="J3804" s="88"/>
    </row>
    <row r="3805">
      <c r="A3805" s="210" t="s">
        <v>6565</v>
      </c>
      <c r="B3805" s="7" t="s">
        <v>3801</v>
      </c>
      <c r="C3805" s="91">
        <v>45127.72363483797</v>
      </c>
      <c r="D3805" s="8">
        <f t="shared" si="308"/>
        <v>45131</v>
      </c>
      <c r="E3805" s="9" t="s">
        <v>206</v>
      </c>
      <c r="F3805" s="10"/>
      <c r="G3805" s="9" t="s">
        <v>11</v>
      </c>
      <c r="H3805" s="7" t="s">
        <v>6699</v>
      </c>
      <c r="I3805" s="9" t="s">
        <v>353</v>
      </c>
      <c r="J3805" s="88"/>
    </row>
    <row r="3806">
      <c r="A3806" s="210" t="s">
        <v>6565</v>
      </c>
      <c r="B3806" s="7" t="s">
        <v>6700</v>
      </c>
      <c r="C3806" s="91">
        <v>45131.690056747684</v>
      </c>
      <c r="D3806" s="8">
        <f t="shared" si="308"/>
        <v>45133</v>
      </c>
      <c r="E3806" s="9" t="s">
        <v>11</v>
      </c>
      <c r="F3806" s="10"/>
      <c r="G3806" s="9" t="s">
        <v>15</v>
      </c>
      <c r="H3806" s="7" t="s">
        <v>6701</v>
      </c>
      <c r="I3806" s="9" t="s">
        <v>353</v>
      </c>
      <c r="J3806" s="88"/>
    </row>
    <row r="3807">
      <c r="A3807" s="210" t="s">
        <v>6565</v>
      </c>
      <c r="B3807" s="7" t="s">
        <v>6702</v>
      </c>
      <c r="C3807" s="91">
        <v>45118.581070879634</v>
      </c>
      <c r="D3807" s="8">
        <f t="shared" si="308"/>
        <v>45120</v>
      </c>
      <c r="E3807" s="9" t="s">
        <v>6247</v>
      </c>
      <c r="F3807" s="10"/>
      <c r="G3807" s="9" t="s">
        <v>220</v>
      </c>
      <c r="H3807" s="7" t="s">
        <v>6703</v>
      </c>
      <c r="I3807" s="9" t="s">
        <v>353</v>
      </c>
      <c r="J3807" s="88"/>
    </row>
    <row r="3808">
      <c r="A3808" s="210" t="s">
        <v>6565</v>
      </c>
      <c r="B3808" s="7" t="s">
        <v>6704</v>
      </c>
      <c r="C3808" s="91">
        <v>45118.58104534722</v>
      </c>
      <c r="D3808" s="8">
        <f t="shared" si="308"/>
        <v>45120</v>
      </c>
      <c r="E3808" s="9" t="s">
        <v>206</v>
      </c>
      <c r="F3808" s="10"/>
      <c r="G3808" s="9" t="s">
        <v>220</v>
      </c>
      <c r="H3808" s="7" t="s">
        <v>6705</v>
      </c>
      <c r="I3808" s="9" t="s">
        <v>353</v>
      </c>
      <c r="J3808" s="88"/>
    </row>
    <row r="3809">
      <c r="A3809" s="6" t="s">
        <v>9</v>
      </c>
      <c r="B3809" s="7" t="s">
        <v>6706</v>
      </c>
      <c r="C3809" s="91">
        <v>45127.724759108794</v>
      </c>
      <c r="D3809" s="8">
        <f t="shared" si="308"/>
        <v>45131</v>
      </c>
      <c r="E3809" s="9" t="s">
        <v>11</v>
      </c>
      <c r="F3809" s="10"/>
      <c r="G3809" s="9" t="s">
        <v>15</v>
      </c>
      <c r="H3809" s="7" t="s">
        <v>6707</v>
      </c>
      <c r="I3809" s="9" t="s">
        <v>353</v>
      </c>
      <c r="J3809" s="88"/>
    </row>
    <row r="3810">
      <c r="A3810" s="34" t="s">
        <v>204</v>
      </c>
      <c r="B3810" s="7" t="s">
        <v>6708</v>
      </c>
      <c r="C3810" s="91">
        <v>45127.743490787034</v>
      </c>
      <c r="D3810" s="8">
        <f t="shared" si="308"/>
        <v>45131</v>
      </c>
      <c r="E3810" s="9" t="s">
        <v>11</v>
      </c>
      <c r="F3810" s="10"/>
      <c r="G3810" s="9" t="s">
        <v>18</v>
      </c>
      <c r="H3810" s="7" t="s">
        <v>6709</v>
      </c>
      <c r="I3810" s="9" t="s">
        <v>353</v>
      </c>
      <c r="J3810" s="88"/>
    </row>
    <row r="3811">
      <c r="A3811" s="34" t="s">
        <v>204</v>
      </c>
      <c r="B3811" s="7" t="s">
        <v>6710</v>
      </c>
      <c r="C3811" s="91">
        <v>45127.74382346065</v>
      </c>
      <c r="D3811" s="8">
        <f t="shared" si="308"/>
        <v>45131</v>
      </c>
      <c r="E3811" s="9" t="s">
        <v>11</v>
      </c>
      <c r="F3811" s="10"/>
      <c r="G3811" s="9" t="s">
        <v>18</v>
      </c>
      <c r="H3811" s="11"/>
      <c r="I3811" s="9" t="s">
        <v>353</v>
      </c>
      <c r="J3811" s="88"/>
    </row>
    <row r="3812">
      <c r="A3812" s="34" t="s">
        <v>204</v>
      </c>
      <c r="B3812" s="7" t="s">
        <v>6711</v>
      </c>
      <c r="C3812" s="91">
        <v>45099.482355162036</v>
      </c>
      <c r="D3812" s="8">
        <f t="shared" si="308"/>
        <v>45103</v>
      </c>
      <c r="E3812" s="9" t="s">
        <v>206</v>
      </c>
      <c r="F3812" s="10"/>
      <c r="G3812" s="9" t="s">
        <v>15</v>
      </c>
      <c r="H3812" s="7" t="s">
        <v>6712</v>
      </c>
      <c r="I3812" s="9" t="s">
        <v>353</v>
      </c>
      <c r="J3812" s="88"/>
    </row>
    <row r="3813">
      <c r="A3813" s="34" t="s">
        <v>204</v>
      </c>
      <c r="B3813" s="7" t="s">
        <v>6713</v>
      </c>
      <c r="C3813" s="91">
        <v>45096.50959804398</v>
      </c>
      <c r="D3813" s="8">
        <f t="shared" si="308"/>
        <v>45098</v>
      </c>
      <c r="E3813" s="9" t="s">
        <v>206</v>
      </c>
      <c r="F3813" s="9"/>
      <c r="G3813" s="9" t="s">
        <v>18</v>
      </c>
      <c r="H3813" s="7" t="s">
        <v>6714</v>
      </c>
      <c r="I3813" s="9" t="s">
        <v>353</v>
      </c>
      <c r="J3813" s="88"/>
    </row>
    <row r="3814">
      <c r="A3814" s="54" t="s">
        <v>332</v>
      </c>
      <c r="B3814" s="23" t="s">
        <v>6715</v>
      </c>
      <c r="C3814" s="212">
        <v>45127.37048866898</v>
      </c>
      <c r="D3814" s="213">
        <f t="shared" si="308"/>
        <v>45131</v>
      </c>
      <c r="E3814" s="214" t="s">
        <v>88</v>
      </c>
      <c r="F3814" s="213"/>
      <c r="G3814" s="214" t="s">
        <v>15</v>
      </c>
      <c r="H3814" s="23" t="s">
        <v>6716</v>
      </c>
      <c r="I3814" s="9" t="s">
        <v>353</v>
      </c>
      <c r="J3814" s="88"/>
    </row>
    <row r="3815">
      <c r="A3815" s="6" t="s">
        <v>9</v>
      </c>
      <c r="B3815" s="7" t="s">
        <v>6717</v>
      </c>
      <c r="C3815" s="91">
        <v>44970.31631101852</v>
      </c>
      <c r="D3815" s="8">
        <f t="shared" si="308"/>
        <v>44972</v>
      </c>
      <c r="E3815" s="9" t="s">
        <v>11</v>
      </c>
      <c r="F3815" s="9"/>
      <c r="G3815" s="9" t="s">
        <v>15</v>
      </c>
      <c r="H3815" s="7" t="s">
        <v>6718</v>
      </c>
      <c r="I3815" s="9" t="s">
        <v>353</v>
      </c>
      <c r="J3815" s="88"/>
    </row>
    <row r="3816">
      <c r="A3816" s="6" t="s">
        <v>9</v>
      </c>
      <c r="B3816" s="7" t="s">
        <v>6719</v>
      </c>
      <c r="C3816" s="91">
        <v>45127.66568142361</v>
      </c>
      <c r="D3816" s="8">
        <f t="shared" si="308"/>
        <v>45131</v>
      </c>
      <c r="E3816" s="9" t="s">
        <v>6247</v>
      </c>
      <c r="F3816" s="10"/>
      <c r="G3816" s="9" t="s">
        <v>15</v>
      </c>
      <c r="H3816" s="7" t="s">
        <v>6720</v>
      </c>
      <c r="I3816" s="9" t="s">
        <v>353</v>
      </c>
      <c r="J3816" s="88"/>
    </row>
    <row r="3817">
      <c r="A3817" s="6" t="s">
        <v>9</v>
      </c>
      <c r="B3817" s="7" t="s">
        <v>6721</v>
      </c>
      <c r="C3817" s="91">
        <v>45126.71098157407</v>
      </c>
      <c r="D3817" s="8">
        <f t="shared" si="308"/>
        <v>45128</v>
      </c>
      <c r="E3817" s="9" t="s">
        <v>11</v>
      </c>
      <c r="F3817" s="10"/>
      <c r="G3817" s="9" t="s">
        <v>15</v>
      </c>
      <c r="H3817" s="7" t="s">
        <v>6722</v>
      </c>
      <c r="I3817" s="9" t="s">
        <v>353</v>
      </c>
      <c r="J3817" s="88"/>
    </row>
    <row r="3818">
      <c r="A3818" s="54" t="s">
        <v>332</v>
      </c>
      <c r="B3818" s="7" t="s">
        <v>6723</v>
      </c>
      <c r="C3818" s="91">
        <v>45127.59032099537</v>
      </c>
      <c r="D3818" s="8">
        <f t="shared" si="308"/>
        <v>45131</v>
      </c>
      <c r="E3818" s="9" t="s">
        <v>206</v>
      </c>
      <c r="F3818" s="10"/>
      <c r="G3818" s="9" t="s">
        <v>15</v>
      </c>
      <c r="H3818" s="7" t="s">
        <v>6724</v>
      </c>
      <c r="I3818" s="9" t="s">
        <v>353</v>
      </c>
      <c r="J3818" s="88"/>
    </row>
    <row r="3819">
      <c r="A3819" s="6" t="s">
        <v>9</v>
      </c>
      <c r="B3819" s="7" t="s">
        <v>6725</v>
      </c>
      <c r="C3819" s="91">
        <v>45126.721315787036</v>
      </c>
      <c r="D3819" s="8">
        <f t="shared" si="308"/>
        <v>45128</v>
      </c>
      <c r="E3819" s="9" t="s">
        <v>11</v>
      </c>
      <c r="F3819" s="10"/>
      <c r="G3819" s="9" t="s">
        <v>15</v>
      </c>
      <c r="H3819" s="7" t="s">
        <v>6722</v>
      </c>
      <c r="I3819" s="9" t="s">
        <v>353</v>
      </c>
      <c r="J3819" s="88"/>
    </row>
    <row r="3820">
      <c r="A3820" s="6" t="s">
        <v>9</v>
      </c>
      <c r="B3820" s="7" t="s">
        <v>6726</v>
      </c>
      <c r="C3820" s="91">
        <v>45127.36020300926</v>
      </c>
      <c r="D3820" s="8">
        <f t="shared" si="308"/>
        <v>45131</v>
      </c>
      <c r="E3820" s="9" t="s">
        <v>11</v>
      </c>
      <c r="F3820" s="10"/>
      <c r="G3820" s="9" t="s">
        <v>18</v>
      </c>
      <c r="H3820" s="7" t="s">
        <v>6727</v>
      </c>
      <c r="I3820" s="9" t="s">
        <v>353</v>
      </c>
      <c r="J3820" s="88"/>
    </row>
    <row r="3821">
      <c r="A3821" s="34" t="s">
        <v>204</v>
      </c>
      <c r="B3821" s="7" t="s">
        <v>6728</v>
      </c>
      <c r="C3821" s="91">
        <v>45124.36363179398</v>
      </c>
      <c r="D3821" s="8">
        <f t="shared" si="308"/>
        <v>45126</v>
      </c>
      <c r="E3821" s="9" t="s">
        <v>11</v>
      </c>
      <c r="F3821" s="9"/>
      <c r="G3821" s="9" t="s">
        <v>15</v>
      </c>
      <c r="H3821" s="7" t="s">
        <v>6729</v>
      </c>
      <c r="I3821" s="9" t="s">
        <v>353</v>
      </c>
      <c r="J3821" s="88"/>
    </row>
    <row r="3822">
      <c r="A3822" s="34" t="s">
        <v>204</v>
      </c>
      <c r="B3822" s="7" t="s">
        <v>6730</v>
      </c>
      <c r="C3822" s="91">
        <v>45118.61785601852</v>
      </c>
      <c r="D3822" s="8">
        <f t="shared" si="308"/>
        <v>45120</v>
      </c>
      <c r="E3822" s="9" t="s">
        <v>11</v>
      </c>
      <c r="F3822" s="9"/>
      <c r="G3822" s="9" t="s">
        <v>18</v>
      </c>
      <c r="H3822" s="7" t="s">
        <v>6731</v>
      </c>
      <c r="I3822" s="9" t="s">
        <v>353</v>
      </c>
      <c r="J3822" s="88"/>
    </row>
    <row r="3823">
      <c r="A3823" s="34" t="s">
        <v>204</v>
      </c>
      <c r="B3823" s="7" t="s">
        <v>6732</v>
      </c>
      <c r="C3823" s="91">
        <v>44984.0</v>
      </c>
      <c r="D3823" s="9" t="s">
        <v>11</v>
      </c>
      <c r="E3823" s="172" t="s">
        <v>206</v>
      </c>
      <c r="F3823" s="9"/>
      <c r="G3823" s="9" t="s">
        <v>15</v>
      </c>
      <c r="H3823" s="7" t="s">
        <v>6733</v>
      </c>
      <c r="I3823" s="9" t="s">
        <v>353</v>
      </c>
      <c r="J3823" s="88"/>
    </row>
    <row r="3824">
      <c r="A3824" s="34" t="s">
        <v>204</v>
      </c>
      <c r="B3824" s="7" t="s">
        <v>6734</v>
      </c>
      <c r="C3824" s="91">
        <v>45126.74276521991</v>
      </c>
      <c r="D3824" s="8">
        <f t="shared" ref="D3824:D3896" si="309">IFERROR(_xlfn.WORKDAY.INTL(C3824, 2),"-")</f>
        <v>45128</v>
      </c>
      <c r="E3824" s="9" t="s">
        <v>11</v>
      </c>
      <c r="F3824" s="10"/>
      <c r="G3824" s="9"/>
      <c r="H3824" s="11"/>
      <c r="I3824" s="9" t="s">
        <v>353</v>
      </c>
      <c r="J3824" s="88"/>
    </row>
    <row r="3825">
      <c r="A3825" s="34" t="s">
        <v>204</v>
      </c>
      <c r="B3825" s="7" t="s">
        <v>6735</v>
      </c>
      <c r="C3825" s="91">
        <v>45096.5163909375</v>
      </c>
      <c r="D3825" s="8">
        <f t="shared" si="309"/>
        <v>45098</v>
      </c>
      <c r="E3825" s="9" t="s">
        <v>11</v>
      </c>
      <c r="F3825" s="10"/>
      <c r="G3825" s="9" t="s">
        <v>15</v>
      </c>
      <c r="H3825" s="7" t="s">
        <v>6736</v>
      </c>
      <c r="I3825" s="9" t="s">
        <v>353</v>
      </c>
      <c r="J3825" s="88"/>
    </row>
    <row r="3826">
      <c r="A3826" s="54" t="s">
        <v>332</v>
      </c>
      <c r="B3826" s="7" t="s">
        <v>6737</v>
      </c>
      <c r="C3826" s="91">
        <v>45119.7340800463</v>
      </c>
      <c r="D3826" s="8">
        <f t="shared" si="309"/>
        <v>45121</v>
      </c>
      <c r="E3826" s="9" t="s">
        <v>88</v>
      </c>
      <c r="F3826" s="8"/>
      <c r="G3826" s="9" t="s">
        <v>18</v>
      </c>
      <c r="H3826" s="7" t="s">
        <v>6738</v>
      </c>
      <c r="I3826" s="9" t="s">
        <v>353</v>
      </c>
      <c r="J3826" s="88"/>
    </row>
    <row r="3827">
      <c r="A3827" s="6" t="s">
        <v>9</v>
      </c>
      <c r="B3827" s="7" t="s">
        <v>6739</v>
      </c>
      <c r="C3827" s="91">
        <v>45126.69365324074</v>
      </c>
      <c r="D3827" s="8">
        <f t="shared" si="309"/>
        <v>45128</v>
      </c>
      <c r="E3827" s="9" t="s">
        <v>11</v>
      </c>
      <c r="F3827" s="10"/>
      <c r="G3827" s="9" t="s">
        <v>15</v>
      </c>
      <c r="H3827" s="11"/>
      <c r="I3827" s="9" t="s">
        <v>353</v>
      </c>
      <c r="J3827" s="88"/>
    </row>
    <row r="3828">
      <c r="A3828" s="6" t="s">
        <v>9</v>
      </c>
      <c r="B3828" s="7" t="s">
        <v>6740</v>
      </c>
      <c r="C3828" s="91">
        <v>45126.68311277778</v>
      </c>
      <c r="D3828" s="8">
        <f t="shared" si="309"/>
        <v>45128</v>
      </c>
      <c r="E3828" s="9" t="s">
        <v>11</v>
      </c>
      <c r="F3828" s="10"/>
      <c r="G3828" s="9" t="s">
        <v>15</v>
      </c>
      <c r="H3828" s="11"/>
      <c r="I3828" s="9" t="s">
        <v>353</v>
      </c>
      <c r="J3828" s="88"/>
    </row>
    <row r="3829">
      <c r="A3829" s="6" t="s">
        <v>9</v>
      </c>
      <c r="B3829" s="7" t="s">
        <v>6741</v>
      </c>
      <c r="C3829" s="91">
        <v>45124.455601504626</v>
      </c>
      <c r="D3829" s="8">
        <f t="shared" si="309"/>
        <v>45126</v>
      </c>
      <c r="E3829" s="9" t="s">
        <v>6247</v>
      </c>
      <c r="F3829" s="10"/>
      <c r="G3829" s="9" t="s">
        <v>15</v>
      </c>
      <c r="H3829" s="7" t="s">
        <v>6742</v>
      </c>
      <c r="I3829" s="9" t="s">
        <v>353</v>
      </c>
      <c r="J3829" s="88"/>
    </row>
    <row r="3830">
      <c r="A3830" s="54" t="s">
        <v>332</v>
      </c>
      <c r="B3830" s="215" t="s">
        <v>6743</v>
      </c>
      <c r="C3830" s="91">
        <v>45111.58423305556</v>
      </c>
      <c r="D3830" s="8">
        <f t="shared" si="309"/>
        <v>45113</v>
      </c>
      <c r="E3830" s="9" t="s">
        <v>88</v>
      </c>
      <c r="F3830" s="9"/>
      <c r="G3830" s="9" t="s">
        <v>15</v>
      </c>
      <c r="H3830" s="7" t="s">
        <v>6744</v>
      </c>
      <c r="I3830" s="9" t="s">
        <v>353</v>
      </c>
      <c r="J3830" s="88"/>
    </row>
    <row r="3831">
      <c r="A3831" s="54" t="s">
        <v>332</v>
      </c>
      <c r="B3831" s="7" t="s">
        <v>6552</v>
      </c>
      <c r="C3831" s="91">
        <v>45111.58423305556</v>
      </c>
      <c r="D3831" s="8">
        <f t="shared" si="309"/>
        <v>45113</v>
      </c>
      <c r="E3831" s="9" t="s">
        <v>11</v>
      </c>
      <c r="F3831" s="71"/>
      <c r="G3831" s="9" t="s">
        <v>15</v>
      </c>
      <c r="H3831" s="7" t="s">
        <v>6745</v>
      </c>
      <c r="I3831" s="9" t="s">
        <v>353</v>
      </c>
      <c r="J3831" s="88"/>
    </row>
    <row r="3832">
      <c r="A3832" s="54" t="s">
        <v>332</v>
      </c>
      <c r="B3832" s="7" t="s">
        <v>6746</v>
      </c>
      <c r="C3832" s="91">
        <v>45124.359740300926</v>
      </c>
      <c r="D3832" s="8">
        <f t="shared" si="309"/>
        <v>45126</v>
      </c>
      <c r="E3832" s="9" t="s">
        <v>88</v>
      </c>
      <c r="F3832" s="10"/>
      <c r="G3832" s="9" t="s">
        <v>18</v>
      </c>
      <c r="H3832" s="7" t="s">
        <v>6747</v>
      </c>
      <c r="I3832" s="9" t="s">
        <v>353</v>
      </c>
      <c r="J3832" s="88"/>
    </row>
    <row r="3833">
      <c r="A3833" s="210" t="s">
        <v>6565</v>
      </c>
      <c r="B3833" s="7" t="s">
        <v>6748</v>
      </c>
      <c r="C3833" s="91">
        <v>45125.42316902778</v>
      </c>
      <c r="D3833" s="8">
        <f t="shared" si="309"/>
        <v>45127</v>
      </c>
      <c r="E3833" s="9" t="s">
        <v>11</v>
      </c>
      <c r="F3833" s="10"/>
      <c r="G3833" s="9" t="s">
        <v>11</v>
      </c>
      <c r="H3833" s="7" t="s">
        <v>6749</v>
      </c>
      <c r="I3833" s="9" t="s">
        <v>353</v>
      </c>
      <c r="J3833" s="88"/>
    </row>
    <row r="3834">
      <c r="A3834" s="54" t="s">
        <v>332</v>
      </c>
      <c r="B3834" s="7" t="s">
        <v>6750</v>
      </c>
      <c r="C3834" s="91">
        <v>45118.38474645834</v>
      </c>
      <c r="D3834" s="8">
        <f t="shared" si="309"/>
        <v>45120</v>
      </c>
      <c r="E3834" s="9" t="s">
        <v>88</v>
      </c>
      <c r="F3834" s="10"/>
      <c r="G3834" s="9" t="s">
        <v>18</v>
      </c>
      <c r="H3834" s="7" t="s">
        <v>6751</v>
      </c>
      <c r="I3834" s="9" t="s">
        <v>353</v>
      </c>
      <c r="J3834" s="88"/>
    </row>
    <row r="3835">
      <c r="A3835" s="6" t="s">
        <v>9</v>
      </c>
      <c r="B3835" s="7" t="s">
        <v>6752</v>
      </c>
      <c r="C3835" s="91">
        <v>45120.69094256945</v>
      </c>
      <c r="D3835" s="8">
        <f t="shared" si="309"/>
        <v>45124</v>
      </c>
      <c r="E3835" s="9" t="s">
        <v>11</v>
      </c>
      <c r="F3835" s="10"/>
      <c r="G3835" s="9" t="s">
        <v>18</v>
      </c>
      <c r="H3835" s="7" t="s">
        <v>6753</v>
      </c>
      <c r="I3835" s="9" t="s">
        <v>353</v>
      </c>
      <c r="J3835" s="88"/>
    </row>
    <row r="3836">
      <c r="A3836" s="6" t="s">
        <v>9</v>
      </c>
      <c r="B3836" s="7" t="s">
        <v>6754</v>
      </c>
      <c r="C3836" s="91">
        <v>45076.42105336806</v>
      </c>
      <c r="D3836" s="8">
        <f t="shared" si="309"/>
        <v>45078</v>
      </c>
      <c r="E3836" s="9" t="s">
        <v>11</v>
      </c>
      <c r="F3836" s="10"/>
      <c r="G3836" s="9" t="s">
        <v>18</v>
      </c>
      <c r="H3836" s="7" t="s">
        <v>6755</v>
      </c>
      <c r="I3836" s="9" t="s">
        <v>353</v>
      </c>
      <c r="J3836" s="88"/>
    </row>
    <row r="3837">
      <c r="A3837" s="54" t="s">
        <v>332</v>
      </c>
      <c r="B3837" s="7" t="s">
        <v>6756</v>
      </c>
      <c r="C3837" s="91">
        <v>45111.58423305556</v>
      </c>
      <c r="D3837" s="8">
        <f t="shared" si="309"/>
        <v>45113</v>
      </c>
      <c r="E3837" s="9" t="s">
        <v>206</v>
      </c>
      <c r="F3837" s="8"/>
      <c r="G3837" s="9" t="s">
        <v>18</v>
      </c>
      <c r="H3837" s="7" t="s">
        <v>6757</v>
      </c>
      <c r="I3837" s="9" t="s">
        <v>353</v>
      </c>
      <c r="J3837" s="88"/>
    </row>
    <row r="3838">
      <c r="A3838" s="54" t="s">
        <v>332</v>
      </c>
      <c r="B3838" s="7" t="s">
        <v>6758</v>
      </c>
      <c r="C3838" s="91">
        <v>45111.58423305556</v>
      </c>
      <c r="D3838" s="8">
        <f t="shared" si="309"/>
        <v>45113</v>
      </c>
      <c r="E3838" s="9" t="s">
        <v>206</v>
      </c>
      <c r="F3838" s="10"/>
      <c r="G3838" s="9" t="s">
        <v>18</v>
      </c>
      <c r="H3838" s="7" t="s">
        <v>6759</v>
      </c>
      <c r="I3838" s="9" t="s">
        <v>353</v>
      </c>
      <c r="J3838" s="88"/>
    </row>
    <row r="3839">
      <c r="A3839" s="210" t="s">
        <v>6565</v>
      </c>
      <c r="B3839" s="7" t="s">
        <v>6760</v>
      </c>
      <c r="C3839" s="91">
        <v>45119.49057296297</v>
      </c>
      <c r="D3839" s="8">
        <f t="shared" si="309"/>
        <v>45121</v>
      </c>
      <c r="E3839" s="9" t="s">
        <v>11</v>
      </c>
      <c r="F3839" s="10"/>
      <c r="G3839" s="9" t="s">
        <v>15</v>
      </c>
      <c r="H3839" s="7" t="s">
        <v>6761</v>
      </c>
      <c r="I3839" s="9" t="s">
        <v>353</v>
      </c>
      <c r="J3839" s="88"/>
    </row>
    <row r="3840">
      <c r="A3840" s="6" t="s">
        <v>9</v>
      </c>
      <c r="B3840" s="7" t="s">
        <v>6762</v>
      </c>
      <c r="C3840" s="91">
        <v>45124.49378517361</v>
      </c>
      <c r="D3840" s="8">
        <f t="shared" si="309"/>
        <v>45126</v>
      </c>
      <c r="E3840" s="9" t="s">
        <v>11</v>
      </c>
      <c r="F3840" s="10"/>
      <c r="G3840" s="9" t="s">
        <v>15</v>
      </c>
      <c r="H3840" s="7" t="s">
        <v>6742</v>
      </c>
      <c r="I3840" s="9" t="s">
        <v>353</v>
      </c>
      <c r="J3840" s="88"/>
    </row>
    <row r="3841">
      <c r="A3841" s="6" t="s">
        <v>9</v>
      </c>
      <c r="B3841" s="7" t="s">
        <v>6763</v>
      </c>
      <c r="C3841" s="91">
        <v>45119.615441250004</v>
      </c>
      <c r="D3841" s="8">
        <f t="shared" si="309"/>
        <v>45121</v>
      </c>
      <c r="E3841" s="9" t="s">
        <v>11</v>
      </c>
      <c r="F3841" s="10"/>
      <c r="G3841" s="9" t="s">
        <v>15</v>
      </c>
      <c r="H3841" s="7" t="s">
        <v>6764</v>
      </c>
      <c r="I3841" s="9" t="s">
        <v>353</v>
      </c>
      <c r="J3841" s="88"/>
    </row>
    <row r="3842">
      <c r="A3842" s="6" t="s">
        <v>9</v>
      </c>
      <c r="B3842" s="7" t="s">
        <v>6765</v>
      </c>
      <c r="C3842" s="91">
        <v>45119.68744260416</v>
      </c>
      <c r="D3842" s="8">
        <f t="shared" si="309"/>
        <v>45121</v>
      </c>
      <c r="E3842" s="9" t="s">
        <v>11</v>
      </c>
      <c r="F3842" s="10"/>
      <c r="G3842" s="9" t="s">
        <v>15</v>
      </c>
      <c r="H3842" s="7" t="s">
        <v>6766</v>
      </c>
      <c r="I3842" s="9" t="s">
        <v>353</v>
      </c>
      <c r="J3842" s="88"/>
    </row>
    <row r="3843">
      <c r="A3843" s="6" t="s">
        <v>9</v>
      </c>
      <c r="B3843" s="7" t="s">
        <v>6767</v>
      </c>
      <c r="C3843" s="91">
        <v>45106.71719609953</v>
      </c>
      <c r="D3843" s="8">
        <f t="shared" si="309"/>
        <v>45110</v>
      </c>
      <c r="E3843" s="9" t="s">
        <v>88</v>
      </c>
      <c r="F3843" s="10"/>
      <c r="G3843" s="9" t="s">
        <v>15</v>
      </c>
      <c r="H3843" s="7" t="s">
        <v>6768</v>
      </c>
      <c r="I3843" s="9" t="s">
        <v>353</v>
      </c>
      <c r="J3843" s="88"/>
    </row>
    <row r="3844">
      <c r="A3844" s="54" t="s">
        <v>332</v>
      </c>
      <c r="B3844" s="7" t="s">
        <v>6769</v>
      </c>
      <c r="C3844" s="91">
        <v>45111.59463600694</v>
      </c>
      <c r="D3844" s="8">
        <f t="shared" si="309"/>
        <v>45113</v>
      </c>
      <c r="E3844" s="9" t="s">
        <v>206</v>
      </c>
      <c r="F3844" s="10"/>
      <c r="G3844" s="9" t="s">
        <v>18</v>
      </c>
      <c r="H3844" s="7" t="s">
        <v>6770</v>
      </c>
      <c r="I3844" s="9" t="s">
        <v>353</v>
      </c>
      <c r="J3844" s="88"/>
    </row>
    <row r="3845">
      <c r="A3845" s="34" t="s">
        <v>204</v>
      </c>
      <c r="B3845" s="7" t="s">
        <v>6771</v>
      </c>
      <c r="C3845" s="91">
        <v>45096.51178984954</v>
      </c>
      <c r="D3845" s="8">
        <f t="shared" si="309"/>
        <v>45098</v>
      </c>
      <c r="E3845" s="9" t="s">
        <v>88</v>
      </c>
      <c r="F3845" s="9"/>
      <c r="G3845" s="9" t="s">
        <v>18</v>
      </c>
      <c r="H3845" s="7" t="s">
        <v>6772</v>
      </c>
      <c r="I3845" s="9" t="s">
        <v>353</v>
      </c>
      <c r="J3845" s="88"/>
    </row>
    <row r="3846">
      <c r="A3846" s="34" t="s">
        <v>204</v>
      </c>
      <c r="B3846" s="7" t="s">
        <v>1198</v>
      </c>
      <c r="C3846" s="91">
        <v>44909.628248657405</v>
      </c>
      <c r="D3846" s="8">
        <f t="shared" si="309"/>
        <v>44911</v>
      </c>
      <c r="E3846" s="9" t="s">
        <v>11</v>
      </c>
      <c r="F3846" s="9"/>
      <c r="G3846" s="9" t="s">
        <v>18</v>
      </c>
      <c r="H3846" s="7" t="s">
        <v>6773</v>
      </c>
      <c r="I3846" s="9" t="s">
        <v>353</v>
      </c>
      <c r="J3846" s="88"/>
    </row>
    <row r="3847">
      <c r="A3847" s="54" t="s">
        <v>332</v>
      </c>
      <c r="B3847" s="7" t="s">
        <v>6223</v>
      </c>
      <c r="C3847" s="91">
        <v>45111.58423305556</v>
      </c>
      <c r="D3847" s="8">
        <f t="shared" si="309"/>
        <v>45113</v>
      </c>
      <c r="E3847" s="9" t="s">
        <v>88</v>
      </c>
      <c r="F3847" s="71"/>
      <c r="G3847" s="9" t="s">
        <v>18</v>
      </c>
      <c r="H3847" s="7" t="s">
        <v>6774</v>
      </c>
      <c r="I3847" s="9" t="s">
        <v>353</v>
      </c>
      <c r="J3847" s="88"/>
    </row>
    <row r="3848">
      <c r="A3848" s="6" t="s">
        <v>9</v>
      </c>
      <c r="B3848" s="7" t="s">
        <v>3525</v>
      </c>
      <c r="C3848" s="91">
        <v>45119.58355258102</v>
      </c>
      <c r="D3848" s="8">
        <f t="shared" si="309"/>
        <v>45121</v>
      </c>
      <c r="E3848" s="9" t="s">
        <v>11</v>
      </c>
      <c r="F3848" s="10"/>
      <c r="G3848" s="9"/>
      <c r="H3848" s="7" t="s">
        <v>6775</v>
      </c>
      <c r="I3848" s="9" t="s">
        <v>353</v>
      </c>
      <c r="J3848" s="88"/>
    </row>
    <row r="3849">
      <c r="A3849" s="54" t="s">
        <v>332</v>
      </c>
      <c r="B3849" s="7" t="s">
        <v>6776</v>
      </c>
      <c r="C3849" s="91">
        <v>45117.38774361111</v>
      </c>
      <c r="D3849" s="8">
        <f t="shared" si="309"/>
        <v>45119</v>
      </c>
      <c r="E3849" s="9" t="s">
        <v>88</v>
      </c>
      <c r="F3849" s="10"/>
      <c r="G3849" s="9" t="s">
        <v>18</v>
      </c>
      <c r="H3849" s="7" t="s">
        <v>6777</v>
      </c>
      <c r="I3849" s="9" t="s">
        <v>353</v>
      </c>
      <c r="J3849" s="88"/>
    </row>
    <row r="3850">
      <c r="A3850" s="54" t="s">
        <v>332</v>
      </c>
      <c r="B3850" s="7" t="s">
        <v>6778</v>
      </c>
      <c r="C3850" s="91">
        <v>45111.58423305556</v>
      </c>
      <c r="D3850" s="8">
        <f t="shared" si="309"/>
        <v>45113</v>
      </c>
      <c r="E3850" s="9" t="s">
        <v>88</v>
      </c>
      <c r="F3850" s="10"/>
      <c r="G3850" s="9" t="s">
        <v>18</v>
      </c>
      <c r="H3850" s="7" t="s">
        <v>6779</v>
      </c>
      <c r="I3850" s="9" t="s">
        <v>353</v>
      </c>
      <c r="J3850" s="88"/>
    </row>
    <row r="3851">
      <c r="A3851" s="6" t="s">
        <v>9</v>
      </c>
      <c r="B3851" s="7" t="s">
        <v>6780</v>
      </c>
      <c r="C3851" s="91">
        <v>44845.661948113426</v>
      </c>
      <c r="D3851" s="8">
        <f t="shared" si="309"/>
        <v>44847</v>
      </c>
      <c r="E3851" s="9" t="s">
        <v>88</v>
      </c>
      <c r="F3851" s="8"/>
      <c r="G3851" s="9" t="s">
        <v>21</v>
      </c>
      <c r="H3851" s="7" t="s">
        <v>6781</v>
      </c>
      <c r="I3851" s="9" t="s">
        <v>353</v>
      </c>
      <c r="J3851" s="88"/>
    </row>
    <row r="3852">
      <c r="A3852" s="34" t="s">
        <v>204</v>
      </c>
      <c r="B3852" s="7" t="s">
        <v>6515</v>
      </c>
      <c r="C3852" s="91" t="s">
        <v>11</v>
      </c>
      <c r="D3852" s="8" t="str">
        <f t="shared" si="309"/>
        <v>-</v>
      </c>
      <c r="E3852" s="9" t="s">
        <v>11</v>
      </c>
      <c r="F3852" s="10"/>
      <c r="G3852" s="9" t="s">
        <v>15</v>
      </c>
      <c r="H3852" s="7" t="s">
        <v>6782</v>
      </c>
      <c r="I3852" s="9" t="s">
        <v>353</v>
      </c>
      <c r="J3852" s="88"/>
    </row>
    <row r="3853">
      <c r="A3853" s="34" t="s">
        <v>204</v>
      </c>
      <c r="B3853" s="7" t="s">
        <v>6783</v>
      </c>
      <c r="C3853" s="91">
        <v>45112.62680254629</v>
      </c>
      <c r="D3853" s="8">
        <f t="shared" si="309"/>
        <v>45114</v>
      </c>
      <c r="E3853" s="9" t="s">
        <v>11</v>
      </c>
      <c r="F3853" s="10"/>
      <c r="G3853" s="9" t="s">
        <v>15</v>
      </c>
      <c r="H3853" s="7" t="s">
        <v>6784</v>
      </c>
      <c r="I3853" s="9" t="s">
        <v>353</v>
      </c>
      <c r="J3853" s="88"/>
    </row>
    <row r="3854">
      <c r="A3854" s="34" t="s">
        <v>204</v>
      </c>
      <c r="B3854" s="7" t="s">
        <v>6785</v>
      </c>
      <c r="C3854" s="91">
        <v>45118.51512434028</v>
      </c>
      <c r="D3854" s="8">
        <f t="shared" si="309"/>
        <v>45120</v>
      </c>
      <c r="E3854" s="9" t="s">
        <v>11</v>
      </c>
      <c r="F3854" s="10"/>
      <c r="G3854" s="9"/>
      <c r="H3854" s="7" t="s">
        <v>437</v>
      </c>
      <c r="I3854" s="9" t="s">
        <v>353</v>
      </c>
      <c r="J3854" s="88"/>
    </row>
    <row r="3855">
      <c r="A3855" s="34" t="s">
        <v>204</v>
      </c>
      <c r="B3855" s="7" t="s">
        <v>6786</v>
      </c>
      <c r="C3855" s="91">
        <v>45118.51475552084</v>
      </c>
      <c r="D3855" s="8">
        <f t="shared" si="309"/>
        <v>45120</v>
      </c>
      <c r="E3855" s="9" t="s">
        <v>11</v>
      </c>
      <c r="F3855" s="10"/>
      <c r="G3855" s="9"/>
      <c r="H3855" s="7" t="s">
        <v>6787</v>
      </c>
      <c r="I3855" s="9" t="s">
        <v>353</v>
      </c>
      <c r="J3855" s="88"/>
    </row>
    <row r="3856">
      <c r="A3856" s="6" t="s">
        <v>9</v>
      </c>
      <c r="B3856" s="7" t="s">
        <v>6788</v>
      </c>
      <c r="C3856" s="91">
        <v>45118.48549571759</v>
      </c>
      <c r="D3856" s="8">
        <f t="shared" si="309"/>
        <v>45120</v>
      </c>
      <c r="E3856" s="9" t="s">
        <v>11</v>
      </c>
      <c r="F3856" s="10"/>
      <c r="G3856" s="9" t="s">
        <v>220</v>
      </c>
      <c r="H3856" s="11"/>
      <c r="I3856" s="9" t="s">
        <v>353</v>
      </c>
      <c r="J3856" s="88"/>
    </row>
    <row r="3857">
      <c r="A3857" s="54" t="s">
        <v>332</v>
      </c>
      <c r="B3857" s="7" t="s">
        <v>5211</v>
      </c>
      <c r="C3857" s="91">
        <v>45111.58423305556</v>
      </c>
      <c r="D3857" s="8">
        <f t="shared" si="309"/>
        <v>45113</v>
      </c>
      <c r="E3857" s="9" t="s">
        <v>88</v>
      </c>
      <c r="F3857" s="10"/>
      <c r="G3857" s="9" t="s">
        <v>18</v>
      </c>
      <c r="H3857" s="7" t="s">
        <v>6789</v>
      </c>
      <c r="I3857" s="9" t="s">
        <v>353</v>
      </c>
      <c r="J3857" s="88"/>
    </row>
    <row r="3858">
      <c r="A3858" s="6" t="s">
        <v>9</v>
      </c>
      <c r="B3858" s="7" t="s">
        <v>6790</v>
      </c>
      <c r="C3858" s="91">
        <v>45114.432382962965</v>
      </c>
      <c r="D3858" s="8">
        <f t="shared" si="309"/>
        <v>45118</v>
      </c>
      <c r="E3858" s="9" t="s">
        <v>11</v>
      </c>
      <c r="F3858" s="10"/>
      <c r="G3858" s="9" t="s">
        <v>15</v>
      </c>
      <c r="H3858" s="7" t="s">
        <v>6791</v>
      </c>
      <c r="I3858" s="9" t="s">
        <v>353</v>
      </c>
      <c r="J3858" s="88"/>
    </row>
    <row r="3859">
      <c r="A3859" s="6" t="s">
        <v>9</v>
      </c>
      <c r="B3859" s="7" t="s">
        <v>6792</v>
      </c>
      <c r="C3859" s="91">
        <v>45117.44896916667</v>
      </c>
      <c r="D3859" s="8">
        <f t="shared" si="309"/>
        <v>45119</v>
      </c>
      <c r="E3859" s="9" t="s">
        <v>11</v>
      </c>
      <c r="F3859" s="10"/>
      <c r="G3859" s="9" t="s">
        <v>15</v>
      </c>
      <c r="H3859" s="7" t="s">
        <v>6793</v>
      </c>
      <c r="I3859" s="9" t="s">
        <v>353</v>
      </c>
      <c r="J3859" s="88"/>
    </row>
    <row r="3860">
      <c r="A3860" s="6" t="s">
        <v>9</v>
      </c>
      <c r="B3860" s="7" t="s">
        <v>6794</v>
      </c>
      <c r="C3860" s="91">
        <v>45118.360118888886</v>
      </c>
      <c r="D3860" s="8">
        <f t="shared" si="309"/>
        <v>45120</v>
      </c>
      <c r="E3860" s="9" t="s">
        <v>11</v>
      </c>
      <c r="F3860" s="10"/>
      <c r="G3860" s="9"/>
      <c r="H3860" s="7" t="s">
        <v>6795</v>
      </c>
      <c r="I3860" s="9" t="s">
        <v>353</v>
      </c>
      <c r="J3860" s="88"/>
    </row>
    <row r="3861">
      <c r="A3861" s="6" t="s">
        <v>9</v>
      </c>
      <c r="B3861" s="7" t="s">
        <v>6796</v>
      </c>
      <c r="C3861" s="91">
        <v>45118.34582714121</v>
      </c>
      <c r="D3861" s="8">
        <f t="shared" si="309"/>
        <v>45120</v>
      </c>
      <c r="E3861" s="9" t="s">
        <v>11</v>
      </c>
      <c r="F3861" s="10"/>
      <c r="G3861" s="9" t="s">
        <v>15</v>
      </c>
      <c r="H3861" s="7" t="s">
        <v>6797</v>
      </c>
      <c r="I3861" s="9" t="s">
        <v>353</v>
      </c>
      <c r="J3861" s="88"/>
    </row>
    <row r="3862">
      <c r="A3862" s="6" t="s">
        <v>9</v>
      </c>
      <c r="B3862" s="7" t="s">
        <v>6798</v>
      </c>
      <c r="C3862" s="91">
        <v>45117.59463951389</v>
      </c>
      <c r="D3862" s="8">
        <f t="shared" si="309"/>
        <v>45119</v>
      </c>
      <c r="E3862" s="9" t="s">
        <v>11</v>
      </c>
      <c r="F3862" s="10"/>
      <c r="G3862" s="9" t="s">
        <v>220</v>
      </c>
      <c r="H3862" s="11"/>
      <c r="I3862" s="9" t="s">
        <v>353</v>
      </c>
      <c r="J3862" s="88"/>
    </row>
    <row r="3863">
      <c r="A3863" s="6" t="s">
        <v>9</v>
      </c>
      <c r="B3863" s="7" t="s">
        <v>6799</v>
      </c>
      <c r="C3863" s="91">
        <v>45111.58512395833</v>
      </c>
      <c r="D3863" s="8">
        <f t="shared" si="309"/>
        <v>45113</v>
      </c>
      <c r="E3863" s="9" t="s">
        <v>11</v>
      </c>
      <c r="F3863" s="10"/>
      <c r="G3863" s="9" t="s">
        <v>15</v>
      </c>
      <c r="H3863" s="7" t="s">
        <v>6800</v>
      </c>
      <c r="I3863" s="9" t="s">
        <v>353</v>
      </c>
      <c r="J3863" s="88"/>
    </row>
    <row r="3864">
      <c r="A3864" s="54" t="s">
        <v>332</v>
      </c>
      <c r="B3864" s="7" t="s">
        <v>6801</v>
      </c>
      <c r="C3864" s="91">
        <v>45117.38745026621</v>
      </c>
      <c r="D3864" s="8">
        <f t="shared" si="309"/>
        <v>45119</v>
      </c>
      <c r="E3864" s="9" t="s">
        <v>88</v>
      </c>
      <c r="F3864" s="10"/>
      <c r="G3864" s="9" t="s">
        <v>18</v>
      </c>
      <c r="H3864" s="11"/>
      <c r="I3864" s="9" t="s">
        <v>353</v>
      </c>
      <c r="J3864" s="88"/>
    </row>
    <row r="3865">
      <c r="A3865" s="54" t="s">
        <v>332</v>
      </c>
      <c r="B3865" s="7" t="s">
        <v>6802</v>
      </c>
      <c r="C3865" s="91">
        <v>45111.58423305556</v>
      </c>
      <c r="D3865" s="8">
        <f t="shared" si="309"/>
        <v>45113</v>
      </c>
      <c r="E3865" s="9" t="s">
        <v>206</v>
      </c>
      <c r="F3865" s="10"/>
      <c r="G3865" s="9" t="s">
        <v>18</v>
      </c>
      <c r="H3865" s="7" t="s">
        <v>6803</v>
      </c>
      <c r="I3865" s="9" t="s">
        <v>353</v>
      </c>
      <c r="J3865" s="88"/>
    </row>
    <row r="3866">
      <c r="A3866" s="54" t="s">
        <v>332</v>
      </c>
      <c r="B3866" s="7" t="s">
        <v>6804</v>
      </c>
      <c r="C3866" s="91">
        <v>45111.58423305556</v>
      </c>
      <c r="D3866" s="8">
        <f t="shared" si="309"/>
        <v>45113</v>
      </c>
      <c r="E3866" s="9" t="s">
        <v>206</v>
      </c>
      <c r="F3866" s="8"/>
      <c r="G3866" s="9" t="s">
        <v>18</v>
      </c>
      <c r="H3866" s="7" t="s">
        <v>6805</v>
      </c>
      <c r="I3866" s="9" t="s">
        <v>353</v>
      </c>
      <c r="J3866" s="88"/>
    </row>
    <row r="3867">
      <c r="A3867" s="6" t="s">
        <v>9</v>
      </c>
      <c r="B3867" s="7" t="s">
        <v>6806</v>
      </c>
      <c r="C3867" s="91">
        <v>45114.40239850694</v>
      </c>
      <c r="D3867" s="8">
        <f t="shared" si="309"/>
        <v>45118</v>
      </c>
      <c r="E3867" s="9" t="s">
        <v>11</v>
      </c>
      <c r="F3867" s="10"/>
      <c r="G3867" s="9"/>
      <c r="H3867" s="11"/>
      <c r="I3867" s="9" t="s">
        <v>353</v>
      </c>
      <c r="J3867" s="88"/>
    </row>
    <row r="3868">
      <c r="A3868" s="6" t="s">
        <v>9</v>
      </c>
      <c r="B3868" s="7" t="s">
        <v>6807</v>
      </c>
      <c r="C3868" s="91">
        <v>45113.45113936343</v>
      </c>
      <c r="D3868" s="8">
        <f t="shared" si="309"/>
        <v>45117</v>
      </c>
      <c r="E3868" s="9" t="s">
        <v>11</v>
      </c>
      <c r="F3868" s="10"/>
      <c r="G3868" s="9" t="s">
        <v>15</v>
      </c>
      <c r="H3868" s="7" t="s">
        <v>6808</v>
      </c>
      <c r="I3868" s="9" t="s">
        <v>353</v>
      </c>
      <c r="J3868" s="88"/>
    </row>
    <row r="3869">
      <c r="A3869" s="54" t="s">
        <v>332</v>
      </c>
      <c r="B3869" s="7" t="s">
        <v>6809</v>
      </c>
      <c r="C3869" s="91">
        <v>45111.58423305556</v>
      </c>
      <c r="D3869" s="8">
        <f t="shared" si="309"/>
        <v>45113</v>
      </c>
      <c r="E3869" s="9" t="s">
        <v>88</v>
      </c>
      <c r="F3869" s="9"/>
      <c r="G3869" s="9" t="s">
        <v>89</v>
      </c>
      <c r="H3869" s="7" t="s">
        <v>6810</v>
      </c>
      <c r="I3869" s="9" t="s">
        <v>353</v>
      </c>
      <c r="J3869" s="88"/>
    </row>
    <row r="3870">
      <c r="A3870" s="54" t="s">
        <v>332</v>
      </c>
      <c r="B3870" s="7" t="s">
        <v>6811</v>
      </c>
      <c r="C3870" s="91">
        <v>45111.58423305556</v>
      </c>
      <c r="D3870" s="8">
        <f t="shared" si="309"/>
        <v>45113</v>
      </c>
      <c r="E3870" s="9" t="s">
        <v>88</v>
      </c>
      <c r="F3870" s="10"/>
      <c r="G3870" s="9" t="s">
        <v>15</v>
      </c>
      <c r="H3870" s="7" t="s">
        <v>6812</v>
      </c>
      <c r="I3870" s="9" t="s">
        <v>353</v>
      </c>
      <c r="J3870" s="88"/>
    </row>
    <row r="3871">
      <c r="A3871" s="54" t="s">
        <v>332</v>
      </c>
      <c r="B3871" s="7" t="s">
        <v>6813</v>
      </c>
      <c r="C3871" s="91">
        <v>45111.58423305556</v>
      </c>
      <c r="D3871" s="8">
        <f t="shared" si="309"/>
        <v>45113</v>
      </c>
      <c r="E3871" s="9" t="s">
        <v>206</v>
      </c>
      <c r="F3871" s="8"/>
      <c r="G3871" s="9" t="s">
        <v>18</v>
      </c>
      <c r="H3871" s="7" t="s">
        <v>6814</v>
      </c>
      <c r="I3871" s="9" t="s">
        <v>353</v>
      </c>
      <c r="J3871" s="88"/>
    </row>
    <row r="3872">
      <c r="A3872" s="54" t="s">
        <v>332</v>
      </c>
      <c r="B3872" s="216" t="s">
        <v>6815</v>
      </c>
      <c r="C3872" s="91">
        <v>45111.58423305556</v>
      </c>
      <c r="D3872" s="8">
        <f t="shared" si="309"/>
        <v>45113</v>
      </c>
      <c r="E3872" s="9" t="s">
        <v>88</v>
      </c>
      <c r="F3872" s="8"/>
      <c r="G3872" s="9" t="s">
        <v>18</v>
      </c>
      <c r="H3872" s="7" t="s">
        <v>6816</v>
      </c>
      <c r="I3872" s="9" t="s">
        <v>353</v>
      </c>
      <c r="J3872" s="88"/>
    </row>
    <row r="3873">
      <c r="A3873" s="6" t="s">
        <v>9</v>
      </c>
      <c r="B3873" s="7" t="s">
        <v>6817</v>
      </c>
      <c r="C3873" s="91">
        <v>45111.58497516204</v>
      </c>
      <c r="D3873" s="8">
        <f t="shared" si="309"/>
        <v>45113</v>
      </c>
      <c r="E3873" s="9" t="s">
        <v>11</v>
      </c>
      <c r="F3873" s="10"/>
      <c r="G3873" s="9" t="s">
        <v>15</v>
      </c>
      <c r="H3873" s="7" t="s">
        <v>6818</v>
      </c>
      <c r="I3873" s="9" t="s">
        <v>353</v>
      </c>
      <c r="J3873" s="88"/>
    </row>
    <row r="3874">
      <c r="A3874" s="6" t="s">
        <v>9</v>
      </c>
      <c r="B3874" s="7" t="s">
        <v>6819</v>
      </c>
      <c r="C3874" s="91">
        <v>45113.398654398145</v>
      </c>
      <c r="D3874" s="8">
        <f t="shared" si="309"/>
        <v>45117</v>
      </c>
      <c r="E3874" s="9" t="s">
        <v>11</v>
      </c>
      <c r="F3874" s="10"/>
      <c r="G3874" s="9" t="s">
        <v>15</v>
      </c>
      <c r="H3874" s="7" t="s">
        <v>6808</v>
      </c>
      <c r="I3874" s="9" t="s">
        <v>353</v>
      </c>
      <c r="J3874" s="88"/>
    </row>
    <row r="3875">
      <c r="A3875" s="54" t="s">
        <v>332</v>
      </c>
      <c r="B3875" s="7" t="s">
        <v>6820</v>
      </c>
      <c r="C3875" s="91">
        <v>45111.58423305556</v>
      </c>
      <c r="D3875" s="8">
        <f t="shared" si="309"/>
        <v>45113</v>
      </c>
      <c r="E3875" s="9" t="s">
        <v>206</v>
      </c>
      <c r="F3875" s="9"/>
      <c r="G3875" s="9" t="s">
        <v>21</v>
      </c>
      <c r="H3875" s="7" t="s">
        <v>6821</v>
      </c>
      <c r="I3875" s="9" t="s">
        <v>353</v>
      </c>
      <c r="J3875" s="88"/>
    </row>
    <row r="3876">
      <c r="A3876" s="6" t="s">
        <v>9</v>
      </c>
      <c r="B3876" s="7" t="s">
        <v>6822</v>
      </c>
      <c r="C3876" s="91">
        <v>45106.43401506945</v>
      </c>
      <c r="D3876" s="8">
        <f t="shared" si="309"/>
        <v>45110</v>
      </c>
      <c r="E3876" s="9" t="s">
        <v>206</v>
      </c>
      <c r="F3876" s="10"/>
      <c r="G3876" s="9" t="s">
        <v>15</v>
      </c>
      <c r="H3876" s="7" t="s">
        <v>6823</v>
      </c>
      <c r="I3876" s="9" t="s">
        <v>353</v>
      </c>
      <c r="J3876" s="88"/>
    </row>
    <row r="3877">
      <c r="A3877" s="6" t="s">
        <v>9</v>
      </c>
      <c r="B3877" s="7" t="s">
        <v>6824</v>
      </c>
      <c r="C3877" s="91">
        <v>45100.464119502314</v>
      </c>
      <c r="D3877" s="8">
        <f t="shared" si="309"/>
        <v>45104</v>
      </c>
      <c r="E3877" s="9" t="s">
        <v>11</v>
      </c>
      <c r="F3877" s="10"/>
      <c r="G3877" s="9" t="s">
        <v>15</v>
      </c>
      <c r="H3877" s="7" t="s">
        <v>6825</v>
      </c>
      <c r="I3877" s="9" t="s">
        <v>353</v>
      </c>
      <c r="J3877" s="88"/>
    </row>
    <row r="3878">
      <c r="A3878" s="54" t="s">
        <v>332</v>
      </c>
      <c r="B3878" s="114" t="s">
        <v>6826</v>
      </c>
      <c r="C3878" s="91">
        <v>45112.61384534722</v>
      </c>
      <c r="D3878" s="8">
        <f t="shared" si="309"/>
        <v>45114</v>
      </c>
      <c r="E3878" s="9" t="s">
        <v>206</v>
      </c>
      <c r="F3878" s="10"/>
      <c r="G3878" s="9" t="s">
        <v>18</v>
      </c>
      <c r="H3878" s="7" t="s">
        <v>6827</v>
      </c>
      <c r="I3878" s="9" t="s">
        <v>353</v>
      </c>
      <c r="J3878" s="88"/>
    </row>
    <row r="3879">
      <c r="A3879" s="54" t="s">
        <v>332</v>
      </c>
      <c r="B3879" s="7" t="s">
        <v>6828</v>
      </c>
      <c r="C3879" s="91">
        <v>45112.35370634259</v>
      </c>
      <c r="D3879" s="8">
        <f t="shared" si="309"/>
        <v>45114</v>
      </c>
      <c r="E3879" s="9" t="s">
        <v>88</v>
      </c>
      <c r="F3879" s="10"/>
      <c r="G3879" s="9" t="s">
        <v>18</v>
      </c>
      <c r="H3879" s="7" t="s">
        <v>6829</v>
      </c>
      <c r="I3879" s="9" t="s">
        <v>353</v>
      </c>
      <c r="J3879" s="88"/>
    </row>
    <row r="3880">
      <c r="A3880" s="54" t="s">
        <v>332</v>
      </c>
      <c r="B3880" s="7" t="s">
        <v>6830</v>
      </c>
      <c r="C3880" s="91">
        <v>45111.58423305556</v>
      </c>
      <c r="D3880" s="8">
        <f t="shared" si="309"/>
        <v>45113</v>
      </c>
      <c r="E3880" s="9" t="s">
        <v>206</v>
      </c>
      <c r="F3880" s="10"/>
      <c r="G3880" s="9" t="s">
        <v>15</v>
      </c>
      <c r="H3880" s="7" t="s">
        <v>6831</v>
      </c>
      <c r="I3880" s="9" t="s">
        <v>353</v>
      </c>
      <c r="J3880" s="88"/>
    </row>
    <row r="3881">
      <c r="A3881" s="54" t="s">
        <v>332</v>
      </c>
      <c r="B3881" s="7" t="s">
        <v>6832</v>
      </c>
      <c r="C3881" s="91">
        <v>45111.66138158565</v>
      </c>
      <c r="D3881" s="8">
        <f t="shared" si="309"/>
        <v>45113</v>
      </c>
      <c r="E3881" s="9" t="s">
        <v>88</v>
      </c>
      <c r="F3881" s="10"/>
      <c r="G3881" s="9" t="s">
        <v>18</v>
      </c>
      <c r="H3881" s="7" t="s">
        <v>437</v>
      </c>
      <c r="I3881" s="9" t="s">
        <v>353</v>
      </c>
      <c r="J3881" s="88"/>
    </row>
    <row r="3882">
      <c r="A3882" s="6" t="s">
        <v>9</v>
      </c>
      <c r="B3882" s="7" t="s">
        <v>6833</v>
      </c>
      <c r="C3882" s="91">
        <v>45057.62161430556</v>
      </c>
      <c r="D3882" s="8">
        <f t="shared" si="309"/>
        <v>45061</v>
      </c>
      <c r="E3882" s="9" t="s">
        <v>11</v>
      </c>
      <c r="F3882" s="10"/>
      <c r="G3882" s="9" t="s">
        <v>18</v>
      </c>
      <c r="H3882" s="7" t="s">
        <v>6834</v>
      </c>
      <c r="I3882" s="9" t="s">
        <v>353</v>
      </c>
      <c r="J3882" s="88"/>
    </row>
    <row r="3883">
      <c r="A3883" s="6" t="s">
        <v>9</v>
      </c>
      <c r="B3883" s="7" t="s">
        <v>6835</v>
      </c>
      <c r="C3883" s="91">
        <v>45106.42334799768</v>
      </c>
      <c r="D3883" s="8">
        <f t="shared" si="309"/>
        <v>45110</v>
      </c>
      <c r="E3883" s="9" t="s">
        <v>11</v>
      </c>
      <c r="F3883" s="10"/>
      <c r="G3883" s="9" t="s">
        <v>18</v>
      </c>
      <c r="H3883" s="7" t="s">
        <v>6836</v>
      </c>
      <c r="I3883" s="9" t="s">
        <v>353</v>
      </c>
      <c r="J3883" s="88"/>
    </row>
    <row r="3884">
      <c r="A3884" s="6" t="s">
        <v>9</v>
      </c>
      <c r="B3884" s="7" t="s">
        <v>6837</v>
      </c>
      <c r="C3884" s="91">
        <v>45097.44769263889</v>
      </c>
      <c r="D3884" s="8">
        <f t="shared" si="309"/>
        <v>45099</v>
      </c>
      <c r="E3884" s="9" t="s">
        <v>11</v>
      </c>
      <c r="F3884" s="10"/>
      <c r="G3884" s="9" t="s">
        <v>18</v>
      </c>
      <c r="H3884" s="7" t="s">
        <v>6838</v>
      </c>
      <c r="I3884" s="9" t="s">
        <v>353</v>
      </c>
      <c r="J3884" s="88"/>
    </row>
    <row r="3885">
      <c r="A3885" s="6" t="s">
        <v>9</v>
      </c>
      <c r="B3885" s="7" t="s">
        <v>6839</v>
      </c>
      <c r="C3885" s="91">
        <v>45103.69016680555</v>
      </c>
      <c r="D3885" s="8">
        <f t="shared" si="309"/>
        <v>45105</v>
      </c>
      <c r="E3885" s="9" t="s">
        <v>206</v>
      </c>
      <c r="F3885" s="10"/>
      <c r="G3885" s="9" t="s">
        <v>15</v>
      </c>
      <c r="H3885" s="7" t="s">
        <v>6840</v>
      </c>
      <c r="I3885" s="9" t="s">
        <v>353</v>
      </c>
      <c r="J3885" s="88"/>
    </row>
    <row r="3886">
      <c r="A3886" s="54" t="s">
        <v>332</v>
      </c>
      <c r="B3886" s="114" t="s">
        <v>6841</v>
      </c>
      <c r="C3886" s="91">
        <v>45104.63462388889</v>
      </c>
      <c r="D3886" s="8">
        <f t="shared" si="309"/>
        <v>45106</v>
      </c>
      <c r="E3886" s="9" t="s">
        <v>206</v>
      </c>
      <c r="F3886" s="8"/>
      <c r="G3886" s="9" t="s">
        <v>18</v>
      </c>
      <c r="H3886" s="7" t="s">
        <v>6842</v>
      </c>
      <c r="I3886" s="9" t="s">
        <v>353</v>
      </c>
      <c r="J3886" s="88"/>
    </row>
    <row r="3887">
      <c r="A3887" s="54" t="s">
        <v>332</v>
      </c>
      <c r="B3887" s="114" t="s">
        <v>6843</v>
      </c>
      <c r="C3887" s="91">
        <v>45104.63445090278</v>
      </c>
      <c r="D3887" s="8">
        <f t="shared" si="309"/>
        <v>45106</v>
      </c>
      <c r="E3887" s="9" t="s">
        <v>206</v>
      </c>
      <c r="F3887" s="8"/>
      <c r="G3887" s="9" t="s">
        <v>18</v>
      </c>
      <c r="H3887" s="7" t="s">
        <v>6844</v>
      </c>
      <c r="I3887" s="9" t="s">
        <v>353</v>
      </c>
      <c r="J3887" s="88"/>
    </row>
    <row r="3888">
      <c r="A3888" s="54" t="s">
        <v>332</v>
      </c>
      <c r="B3888" s="7" t="s">
        <v>6845</v>
      </c>
      <c r="C3888" s="91">
        <v>45100.35718050926</v>
      </c>
      <c r="D3888" s="8">
        <f t="shared" si="309"/>
        <v>45104</v>
      </c>
      <c r="E3888" s="9" t="s">
        <v>88</v>
      </c>
      <c r="F3888" s="8"/>
      <c r="G3888" s="9" t="s">
        <v>18</v>
      </c>
      <c r="H3888" s="7" t="s">
        <v>6846</v>
      </c>
      <c r="I3888" s="9" t="s">
        <v>353</v>
      </c>
      <c r="J3888" s="88"/>
    </row>
    <row r="3889">
      <c r="A3889" s="34" t="s">
        <v>204</v>
      </c>
      <c r="B3889" s="7" t="s">
        <v>6847</v>
      </c>
      <c r="C3889" s="91">
        <v>45106.47204606481</v>
      </c>
      <c r="D3889" s="8">
        <f t="shared" si="309"/>
        <v>45110</v>
      </c>
      <c r="E3889" s="9" t="s">
        <v>11</v>
      </c>
      <c r="F3889" s="10"/>
      <c r="G3889" s="9" t="s">
        <v>18</v>
      </c>
      <c r="H3889" s="11"/>
      <c r="I3889" s="9" t="s">
        <v>353</v>
      </c>
      <c r="J3889" s="88"/>
    </row>
    <row r="3890">
      <c r="A3890" s="54" t="s">
        <v>332</v>
      </c>
      <c r="B3890" s="7" t="s">
        <v>3841</v>
      </c>
      <c r="C3890" s="91">
        <v>45110.5842625</v>
      </c>
      <c r="D3890" s="8">
        <f t="shared" si="309"/>
        <v>45112</v>
      </c>
      <c r="E3890" s="9" t="s">
        <v>11</v>
      </c>
      <c r="F3890" s="8"/>
      <c r="G3890" s="9" t="s">
        <v>18</v>
      </c>
      <c r="H3890" s="7" t="s">
        <v>6848</v>
      </c>
      <c r="I3890" s="9" t="s">
        <v>353</v>
      </c>
      <c r="J3890" s="88"/>
    </row>
    <row r="3891">
      <c r="A3891" s="6" t="s">
        <v>9</v>
      </c>
      <c r="B3891" s="7" t="s">
        <v>6849</v>
      </c>
      <c r="C3891" s="91">
        <v>45110.51006958333</v>
      </c>
      <c r="D3891" s="8">
        <f t="shared" si="309"/>
        <v>45112</v>
      </c>
      <c r="E3891" s="9" t="s">
        <v>11</v>
      </c>
      <c r="F3891" s="10"/>
      <c r="G3891" s="9"/>
      <c r="H3891" s="7"/>
      <c r="I3891" s="9" t="s">
        <v>353</v>
      </c>
      <c r="J3891" s="88"/>
    </row>
    <row r="3892">
      <c r="A3892" s="6" t="s">
        <v>9</v>
      </c>
      <c r="B3892" s="7" t="s">
        <v>3525</v>
      </c>
      <c r="C3892" s="91">
        <v>45110.44778725694</v>
      </c>
      <c r="D3892" s="8">
        <f t="shared" si="309"/>
        <v>45112</v>
      </c>
      <c r="E3892" s="9" t="s">
        <v>11</v>
      </c>
      <c r="F3892" s="10"/>
      <c r="G3892" s="9" t="s">
        <v>15</v>
      </c>
      <c r="H3892" s="7" t="s">
        <v>6850</v>
      </c>
      <c r="I3892" s="9" t="s">
        <v>353</v>
      </c>
      <c r="J3892" s="88"/>
    </row>
    <row r="3893">
      <c r="A3893" s="54" t="s">
        <v>332</v>
      </c>
      <c r="B3893" s="7" t="s">
        <v>6851</v>
      </c>
      <c r="C3893" s="91">
        <v>45013.65114840277</v>
      </c>
      <c r="D3893" s="8">
        <f t="shared" si="309"/>
        <v>45015</v>
      </c>
      <c r="E3893" s="9" t="s">
        <v>206</v>
      </c>
      <c r="F3893" s="71"/>
      <c r="G3893" s="9" t="s">
        <v>18</v>
      </c>
      <c r="H3893" s="7" t="s">
        <v>6852</v>
      </c>
      <c r="I3893" s="9" t="s">
        <v>353</v>
      </c>
      <c r="J3893" s="88"/>
    </row>
    <row r="3894">
      <c r="A3894" s="6" t="s">
        <v>9</v>
      </c>
      <c r="B3894" s="7" t="s">
        <v>6853</v>
      </c>
      <c r="C3894" s="91">
        <v>45106.62050550926</v>
      </c>
      <c r="D3894" s="8">
        <f t="shared" si="309"/>
        <v>45110</v>
      </c>
      <c r="E3894" s="9" t="s">
        <v>11</v>
      </c>
      <c r="F3894" s="10"/>
      <c r="G3894" s="9" t="s">
        <v>15</v>
      </c>
      <c r="H3894" s="7" t="s">
        <v>6854</v>
      </c>
      <c r="I3894" s="9" t="s">
        <v>353</v>
      </c>
      <c r="J3894" s="88"/>
    </row>
    <row r="3895">
      <c r="A3895" s="6" t="s">
        <v>9</v>
      </c>
      <c r="B3895" s="7" t="s">
        <v>6023</v>
      </c>
      <c r="C3895" s="91">
        <v>45106.50667136574</v>
      </c>
      <c r="D3895" s="8">
        <f t="shared" si="309"/>
        <v>45110</v>
      </c>
      <c r="E3895" s="9" t="s">
        <v>11</v>
      </c>
      <c r="F3895" s="10"/>
      <c r="G3895" s="9" t="s">
        <v>15</v>
      </c>
      <c r="H3895" s="7" t="s">
        <v>6855</v>
      </c>
      <c r="I3895" s="9" t="s">
        <v>353</v>
      </c>
      <c r="J3895" s="88"/>
    </row>
    <row r="3896">
      <c r="A3896" s="34" t="s">
        <v>204</v>
      </c>
      <c r="B3896" s="7" t="s">
        <v>6856</v>
      </c>
      <c r="C3896" s="91">
        <v>45042.470819560185</v>
      </c>
      <c r="D3896" s="8">
        <f t="shared" si="309"/>
        <v>45044</v>
      </c>
      <c r="E3896" s="9" t="s">
        <v>206</v>
      </c>
      <c r="F3896" s="9"/>
      <c r="G3896" s="9" t="s">
        <v>18</v>
      </c>
      <c r="H3896" s="7" t="s">
        <v>6857</v>
      </c>
      <c r="I3896" s="9" t="s">
        <v>353</v>
      </c>
      <c r="J3896" s="88"/>
    </row>
    <row r="3897">
      <c r="A3897" s="34" t="s">
        <v>204</v>
      </c>
      <c r="B3897" s="7" t="s">
        <v>6858</v>
      </c>
      <c r="C3897" s="91">
        <v>44984.43906575232</v>
      </c>
      <c r="D3897" s="9" t="s">
        <v>11</v>
      </c>
      <c r="E3897" s="172" t="s">
        <v>206</v>
      </c>
      <c r="F3897" s="9"/>
      <c r="G3897" s="9" t="s">
        <v>18</v>
      </c>
      <c r="H3897" s="7" t="s">
        <v>437</v>
      </c>
      <c r="I3897" s="9" t="s">
        <v>353</v>
      </c>
      <c r="J3897" s="88"/>
    </row>
    <row r="3898">
      <c r="A3898" s="54" t="s">
        <v>332</v>
      </c>
      <c r="B3898" s="216" t="s">
        <v>6859</v>
      </c>
      <c r="C3898" s="91">
        <v>45090.67855171296</v>
      </c>
      <c r="D3898" s="8">
        <f t="shared" ref="D3898:D3902" si="310">IFERROR(_xlfn.WORKDAY.INTL(C3898, 2),"-")</f>
        <v>45092</v>
      </c>
      <c r="E3898" s="9" t="s">
        <v>88</v>
      </c>
      <c r="F3898" s="71"/>
      <c r="G3898" s="9" t="s">
        <v>18</v>
      </c>
      <c r="H3898" s="7" t="s">
        <v>6860</v>
      </c>
      <c r="I3898" s="9" t="s">
        <v>353</v>
      </c>
      <c r="J3898" s="88"/>
    </row>
    <row r="3899">
      <c r="A3899" s="34" t="s">
        <v>204</v>
      </c>
      <c r="B3899" s="7" t="s">
        <v>6861</v>
      </c>
      <c r="C3899" s="91">
        <v>45105.74504530092</v>
      </c>
      <c r="D3899" s="8">
        <f t="shared" si="310"/>
        <v>45107</v>
      </c>
      <c r="E3899" s="9" t="s">
        <v>11</v>
      </c>
      <c r="F3899" s="10"/>
      <c r="G3899" s="9" t="s">
        <v>18</v>
      </c>
      <c r="H3899" s="7" t="s">
        <v>437</v>
      </c>
      <c r="I3899" s="9" t="s">
        <v>353</v>
      </c>
      <c r="J3899" s="88"/>
    </row>
    <row r="3900">
      <c r="A3900" s="34" t="s">
        <v>204</v>
      </c>
      <c r="B3900" s="7" t="s">
        <v>6862</v>
      </c>
      <c r="C3900" s="91">
        <v>45106.38673648148</v>
      </c>
      <c r="D3900" s="8">
        <f t="shared" si="310"/>
        <v>45110</v>
      </c>
      <c r="E3900" s="9" t="s">
        <v>11</v>
      </c>
      <c r="F3900" s="10"/>
      <c r="G3900" s="9"/>
      <c r="H3900" s="7" t="s">
        <v>437</v>
      </c>
      <c r="I3900" s="9" t="s">
        <v>353</v>
      </c>
      <c r="J3900" s="88"/>
    </row>
    <row r="3901">
      <c r="A3901" s="54" t="s">
        <v>332</v>
      </c>
      <c r="B3901" s="7" t="s">
        <v>4454</v>
      </c>
      <c r="C3901" s="91">
        <v>45055.4149161574</v>
      </c>
      <c r="D3901" s="8">
        <f t="shared" si="310"/>
        <v>45057</v>
      </c>
      <c r="E3901" s="9" t="s">
        <v>88</v>
      </c>
      <c r="F3901" s="9"/>
      <c r="G3901" s="9" t="s">
        <v>89</v>
      </c>
      <c r="H3901" s="7" t="s">
        <v>6863</v>
      </c>
      <c r="I3901" s="9" t="s">
        <v>353</v>
      </c>
      <c r="J3901" s="88"/>
    </row>
    <row r="3902">
      <c r="A3902" s="34" t="s">
        <v>204</v>
      </c>
      <c r="B3902" s="7" t="s">
        <v>6864</v>
      </c>
      <c r="C3902" s="91">
        <v>45093.455128622685</v>
      </c>
      <c r="D3902" s="8">
        <f t="shared" si="310"/>
        <v>45097</v>
      </c>
      <c r="E3902" s="9" t="s">
        <v>11</v>
      </c>
      <c r="F3902" s="71"/>
      <c r="G3902" s="9" t="s">
        <v>18</v>
      </c>
      <c r="H3902" s="7" t="s">
        <v>6865</v>
      </c>
      <c r="I3902" s="9" t="s">
        <v>353</v>
      </c>
      <c r="J3902" s="88"/>
    </row>
    <row r="3903">
      <c r="A3903" s="54" t="s">
        <v>332</v>
      </c>
      <c r="B3903" s="215" t="s">
        <v>6254</v>
      </c>
      <c r="C3903" s="91">
        <v>44984.45051984953</v>
      </c>
      <c r="D3903" s="9" t="s">
        <v>11</v>
      </c>
      <c r="E3903" s="9" t="s">
        <v>88</v>
      </c>
      <c r="F3903" s="71"/>
      <c r="G3903" s="9" t="s">
        <v>18</v>
      </c>
      <c r="H3903" s="156" t="s">
        <v>6866</v>
      </c>
      <c r="I3903" s="9" t="s">
        <v>353</v>
      </c>
      <c r="J3903" s="88"/>
    </row>
    <row r="3904">
      <c r="A3904" s="6" t="s">
        <v>9</v>
      </c>
      <c r="B3904" s="7" t="s">
        <v>6867</v>
      </c>
      <c r="C3904" s="91">
        <v>45105.32211054398</v>
      </c>
      <c r="D3904" s="8">
        <f t="shared" ref="D3904:D3908" si="311">IFERROR(_xlfn.WORKDAY.INTL(C3904, 2),"-")</f>
        <v>45107</v>
      </c>
      <c r="E3904" s="9" t="s">
        <v>11</v>
      </c>
      <c r="F3904" s="10"/>
      <c r="G3904" s="9" t="s">
        <v>15</v>
      </c>
      <c r="H3904" s="7" t="s">
        <v>6868</v>
      </c>
      <c r="I3904" s="9" t="s">
        <v>353</v>
      </c>
      <c r="J3904" s="88"/>
    </row>
    <row r="3905">
      <c r="A3905" s="6" t="s">
        <v>9</v>
      </c>
      <c r="B3905" s="7" t="s">
        <v>6869</v>
      </c>
      <c r="C3905" s="91">
        <v>45104.71857956018</v>
      </c>
      <c r="D3905" s="8">
        <f t="shared" si="311"/>
        <v>45106</v>
      </c>
      <c r="E3905" s="9" t="s">
        <v>11</v>
      </c>
      <c r="F3905" s="10"/>
      <c r="G3905" s="9" t="s">
        <v>15</v>
      </c>
      <c r="H3905" s="7" t="s">
        <v>6870</v>
      </c>
      <c r="I3905" s="9" t="s">
        <v>353</v>
      </c>
      <c r="J3905" s="88"/>
    </row>
    <row r="3906">
      <c r="A3906" s="6" t="s">
        <v>9</v>
      </c>
      <c r="B3906" s="7" t="s">
        <v>6871</v>
      </c>
      <c r="C3906" s="91">
        <v>45100.368463217594</v>
      </c>
      <c r="D3906" s="8">
        <f t="shared" si="311"/>
        <v>45104</v>
      </c>
      <c r="E3906" s="9" t="s">
        <v>11</v>
      </c>
      <c r="F3906" s="10"/>
      <c r="G3906" s="9" t="s">
        <v>15</v>
      </c>
      <c r="H3906" s="7" t="s">
        <v>6872</v>
      </c>
      <c r="I3906" s="9" t="s">
        <v>353</v>
      </c>
      <c r="J3906" s="88"/>
    </row>
    <row r="3907">
      <c r="A3907" s="6" t="s">
        <v>9</v>
      </c>
      <c r="B3907" s="7" t="s">
        <v>6873</v>
      </c>
      <c r="C3907" s="91">
        <v>45098.70480612268</v>
      </c>
      <c r="D3907" s="8">
        <f t="shared" si="311"/>
        <v>45100</v>
      </c>
      <c r="E3907" s="9" t="s">
        <v>11</v>
      </c>
      <c r="F3907" s="10"/>
      <c r="G3907" s="9" t="s">
        <v>15</v>
      </c>
      <c r="H3907" s="7" t="s">
        <v>6874</v>
      </c>
      <c r="I3907" s="9" t="s">
        <v>353</v>
      </c>
      <c r="J3907" s="88"/>
    </row>
    <row r="3908">
      <c r="A3908" s="34" t="s">
        <v>204</v>
      </c>
      <c r="B3908" s="7" t="s">
        <v>6875</v>
      </c>
      <c r="C3908" s="91">
        <v>45093.46138577546</v>
      </c>
      <c r="D3908" s="8">
        <f t="shared" si="311"/>
        <v>45097</v>
      </c>
      <c r="E3908" s="9" t="s">
        <v>11</v>
      </c>
      <c r="F3908" s="9"/>
      <c r="G3908" s="9" t="s">
        <v>15</v>
      </c>
      <c r="H3908" s="7" t="s">
        <v>6876</v>
      </c>
      <c r="I3908" s="9" t="s">
        <v>353</v>
      </c>
      <c r="J3908" s="88"/>
    </row>
    <row r="3909">
      <c r="A3909" s="34" t="s">
        <v>204</v>
      </c>
      <c r="B3909" s="7" t="s">
        <v>6877</v>
      </c>
      <c r="C3909" s="91">
        <v>45099.461209201385</v>
      </c>
      <c r="D3909" s="8"/>
      <c r="E3909" s="9" t="s">
        <v>88</v>
      </c>
      <c r="F3909" s="10"/>
      <c r="G3909" s="9" t="s">
        <v>15</v>
      </c>
      <c r="H3909" s="7" t="s">
        <v>4635</v>
      </c>
      <c r="I3909" s="9" t="s">
        <v>353</v>
      </c>
      <c r="J3909" s="88"/>
    </row>
    <row r="3910">
      <c r="A3910" s="34" t="s">
        <v>204</v>
      </c>
      <c r="B3910" s="7" t="s">
        <v>6878</v>
      </c>
      <c r="C3910" s="91">
        <v>45042.51857179398</v>
      </c>
      <c r="D3910" s="8">
        <f t="shared" ref="D3910:D3926" si="312">IFERROR(_xlfn.WORKDAY.INTL(C3910, 2),"-")</f>
        <v>45044</v>
      </c>
      <c r="E3910" s="9" t="s">
        <v>206</v>
      </c>
      <c r="F3910" s="9"/>
      <c r="G3910" s="9" t="s">
        <v>15</v>
      </c>
      <c r="H3910" s="7" t="s">
        <v>6879</v>
      </c>
      <c r="I3910" s="9" t="s">
        <v>353</v>
      </c>
      <c r="J3910" s="88"/>
    </row>
    <row r="3911">
      <c r="A3911" s="6" t="s">
        <v>9</v>
      </c>
      <c r="B3911" s="7" t="s">
        <v>6880</v>
      </c>
      <c r="C3911" s="91">
        <v>45099.71450346065</v>
      </c>
      <c r="D3911" s="8">
        <f t="shared" si="312"/>
        <v>45103</v>
      </c>
      <c r="E3911" s="9" t="s">
        <v>11</v>
      </c>
      <c r="F3911" s="10"/>
      <c r="G3911" s="9" t="s">
        <v>15</v>
      </c>
      <c r="H3911" s="7" t="s">
        <v>6881</v>
      </c>
      <c r="I3911" s="9" t="s">
        <v>353</v>
      </c>
      <c r="J3911" s="88"/>
    </row>
    <row r="3912">
      <c r="A3912" s="6" t="s">
        <v>9</v>
      </c>
      <c r="B3912" s="7" t="s">
        <v>6882</v>
      </c>
      <c r="C3912" s="91">
        <v>45099.461858055554</v>
      </c>
      <c r="D3912" s="8">
        <f t="shared" si="312"/>
        <v>45103</v>
      </c>
      <c r="E3912" s="9" t="s">
        <v>6247</v>
      </c>
      <c r="F3912" s="10"/>
      <c r="G3912" s="9" t="s">
        <v>15</v>
      </c>
      <c r="H3912" s="7" t="s">
        <v>6883</v>
      </c>
      <c r="I3912" s="9" t="s">
        <v>353</v>
      </c>
      <c r="J3912" s="88"/>
    </row>
    <row r="3913">
      <c r="A3913" s="6" t="s">
        <v>9</v>
      </c>
      <c r="B3913" s="7" t="s">
        <v>3833</v>
      </c>
      <c r="C3913" s="91">
        <v>45043.51790789352</v>
      </c>
      <c r="D3913" s="8">
        <f t="shared" si="312"/>
        <v>45047</v>
      </c>
      <c r="E3913" s="9" t="s">
        <v>11</v>
      </c>
      <c r="F3913" s="10"/>
      <c r="G3913" s="9" t="s">
        <v>21</v>
      </c>
      <c r="H3913" s="7" t="s">
        <v>6884</v>
      </c>
      <c r="I3913" s="9" t="s">
        <v>353</v>
      </c>
      <c r="J3913" s="88"/>
    </row>
    <row r="3914">
      <c r="A3914" s="54" t="s">
        <v>332</v>
      </c>
      <c r="B3914" s="7" t="s">
        <v>6885</v>
      </c>
      <c r="C3914" s="91">
        <v>45092.59879700231</v>
      </c>
      <c r="D3914" s="8">
        <f t="shared" si="312"/>
        <v>45096</v>
      </c>
      <c r="E3914" s="9" t="s">
        <v>11</v>
      </c>
      <c r="F3914" s="8"/>
      <c r="G3914" s="9" t="s">
        <v>15</v>
      </c>
      <c r="H3914" s="7" t="s">
        <v>6886</v>
      </c>
      <c r="I3914" s="9" t="s">
        <v>353</v>
      </c>
      <c r="J3914" s="88"/>
    </row>
    <row r="3915">
      <c r="A3915" s="6" t="s">
        <v>9</v>
      </c>
      <c r="B3915" s="7" t="s">
        <v>6798</v>
      </c>
      <c r="C3915" s="91">
        <v>45104.41087133102</v>
      </c>
      <c r="D3915" s="8">
        <f t="shared" si="312"/>
        <v>45106</v>
      </c>
      <c r="E3915" s="9" t="s">
        <v>11</v>
      </c>
      <c r="F3915" s="10"/>
      <c r="G3915" s="9" t="s">
        <v>220</v>
      </c>
      <c r="H3915" s="11"/>
      <c r="I3915" s="9" t="s">
        <v>353</v>
      </c>
      <c r="J3915" s="88"/>
    </row>
    <row r="3916">
      <c r="A3916" s="54" t="s">
        <v>332</v>
      </c>
      <c r="B3916" s="217" t="s">
        <v>6887</v>
      </c>
      <c r="C3916" s="91">
        <v>45100.35774452546</v>
      </c>
      <c r="D3916" s="8">
        <f t="shared" si="312"/>
        <v>45104</v>
      </c>
      <c r="E3916" s="9" t="s">
        <v>88</v>
      </c>
      <c r="F3916" s="8"/>
      <c r="G3916" s="9" t="s">
        <v>18</v>
      </c>
      <c r="H3916" s="7" t="s">
        <v>6888</v>
      </c>
      <c r="I3916" s="9" t="s">
        <v>353</v>
      </c>
      <c r="J3916" s="88"/>
    </row>
    <row r="3917">
      <c r="A3917" s="6" t="s">
        <v>9</v>
      </c>
      <c r="B3917" s="7" t="s">
        <v>6889</v>
      </c>
      <c r="C3917" s="91">
        <v>45104.36464206019</v>
      </c>
      <c r="D3917" s="8">
        <f t="shared" si="312"/>
        <v>45106</v>
      </c>
      <c r="E3917" s="9" t="s">
        <v>11</v>
      </c>
      <c r="F3917" s="10"/>
      <c r="G3917" s="9" t="s">
        <v>15</v>
      </c>
      <c r="H3917" s="11"/>
      <c r="I3917" s="9" t="s">
        <v>353</v>
      </c>
      <c r="J3917" s="88"/>
    </row>
    <row r="3918">
      <c r="A3918" s="54" t="s">
        <v>332</v>
      </c>
      <c r="B3918" s="217" t="s">
        <v>3844</v>
      </c>
      <c r="C3918" s="91">
        <v>45103.67996045139</v>
      </c>
      <c r="D3918" s="8">
        <f t="shared" si="312"/>
        <v>45105</v>
      </c>
      <c r="E3918" s="9" t="s">
        <v>88</v>
      </c>
      <c r="F3918" s="10"/>
      <c r="G3918" s="9" t="s">
        <v>18</v>
      </c>
      <c r="H3918" s="11"/>
      <c r="I3918" s="9" t="s">
        <v>353</v>
      </c>
      <c r="J3918" s="88"/>
    </row>
    <row r="3919">
      <c r="A3919" s="6" t="s">
        <v>9</v>
      </c>
      <c r="B3919" s="7" t="s">
        <v>6890</v>
      </c>
      <c r="C3919" s="91">
        <v>45100.41209626157</v>
      </c>
      <c r="D3919" s="8">
        <f t="shared" si="312"/>
        <v>45104</v>
      </c>
      <c r="E3919" s="9" t="s">
        <v>11</v>
      </c>
      <c r="F3919" s="10"/>
      <c r="G3919" s="9" t="s">
        <v>15</v>
      </c>
      <c r="H3919" s="7" t="s">
        <v>6872</v>
      </c>
      <c r="I3919" s="9" t="s">
        <v>353</v>
      </c>
      <c r="J3919" s="88"/>
    </row>
    <row r="3920">
      <c r="A3920" s="54" t="s">
        <v>332</v>
      </c>
      <c r="B3920" s="7" t="s">
        <v>6828</v>
      </c>
      <c r="C3920" s="91">
        <v>45099.36711900463</v>
      </c>
      <c r="D3920" s="8">
        <f t="shared" si="312"/>
        <v>45103</v>
      </c>
      <c r="E3920" s="9" t="s">
        <v>88</v>
      </c>
      <c r="F3920" s="8"/>
      <c r="G3920" s="9" t="s">
        <v>18</v>
      </c>
      <c r="H3920" s="7" t="s">
        <v>6891</v>
      </c>
      <c r="I3920" s="9" t="s">
        <v>353</v>
      </c>
      <c r="J3920" s="88"/>
    </row>
    <row r="3921">
      <c r="A3921" s="54" t="s">
        <v>332</v>
      </c>
      <c r="B3921" s="7" t="s">
        <v>6892</v>
      </c>
      <c r="C3921" s="91">
        <v>45099.50603106481</v>
      </c>
      <c r="D3921" s="8">
        <f t="shared" si="312"/>
        <v>45103</v>
      </c>
      <c r="E3921" s="9" t="s">
        <v>88</v>
      </c>
      <c r="F3921" s="10"/>
      <c r="G3921" s="9" t="s">
        <v>18</v>
      </c>
      <c r="H3921" s="11"/>
      <c r="I3921" s="9" t="s">
        <v>353</v>
      </c>
      <c r="J3921" s="88"/>
    </row>
    <row r="3922">
      <c r="A3922" s="54" t="s">
        <v>332</v>
      </c>
      <c r="B3922" s="7" t="s">
        <v>6893</v>
      </c>
      <c r="C3922" s="91">
        <v>45084.363494861114</v>
      </c>
      <c r="D3922" s="8">
        <f t="shared" si="312"/>
        <v>45086</v>
      </c>
      <c r="E3922" s="9" t="s">
        <v>206</v>
      </c>
      <c r="F3922" s="8"/>
      <c r="G3922" s="9" t="s">
        <v>18</v>
      </c>
      <c r="H3922" s="7" t="s">
        <v>6894</v>
      </c>
      <c r="I3922" s="9" t="s">
        <v>353</v>
      </c>
      <c r="J3922" s="88"/>
    </row>
    <row r="3923">
      <c r="A3923" s="6" t="s">
        <v>9</v>
      </c>
      <c r="B3923" s="7" t="s">
        <v>6895</v>
      </c>
      <c r="C3923" s="91">
        <v>45100.42055471065</v>
      </c>
      <c r="D3923" s="8">
        <f t="shared" si="312"/>
        <v>45104</v>
      </c>
      <c r="E3923" s="9" t="s">
        <v>11</v>
      </c>
      <c r="F3923" s="10"/>
      <c r="G3923" s="9" t="s">
        <v>18</v>
      </c>
      <c r="H3923" s="7" t="s">
        <v>6896</v>
      </c>
      <c r="I3923" s="9" t="s">
        <v>353</v>
      </c>
      <c r="J3923" s="88"/>
    </row>
    <row r="3924">
      <c r="A3924" s="54" t="s">
        <v>332</v>
      </c>
      <c r="B3924" s="7" t="s">
        <v>2843</v>
      </c>
      <c r="C3924" s="91">
        <v>45029.58364810185</v>
      </c>
      <c r="D3924" s="8">
        <f t="shared" si="312"/>
        <v>45033</v>
      </c>
      <c r="E3924" s="9" t="s">
        <v>206</v>
      </c>
      <c r="F3924" s="9"/>
      <c r="G3924" s="9" t="s">
        <v>18</v>
      </c>
      <c r="H3924" s="7" t="s">
        <v>6897</v>
      </c>
      <c r="I3924" s="9" t="s">
        <v>353</v>
      </c>
      <c r="J3924" s="88"/>
    </row>
    <row r="3925">
      <c r="A3925" s="54" t="s">
        <v>332</v>
      </c>
      <c r="B3925" s="7" t="s">
        <v>6898</v>
      </c>
      <c r="C3925" s="91">
        <v>45099.368685995374</v>
      </c>
      <c r="D3925" s="8">
        <f t="shared" si="312"/>
        <v>45103</v>
      </c>
      <c r="E3925" s="9" t="s">
        <v>88</v>
      </c>
      <c r="F3925" s="8"/>
      <c r="G3925" s="9" t="s">
        <v>18</v>
      </c>
      <c r="H3925" s="7" t="s">
        <v>6899</v>
      </c>
      <c r="I3925" s="9" t="s">
        <v>353</v>
      </c>
      <c r="J3925" s="88"/>
    </row>
    <row r="3926">
      <c r="A3926" s="6" t="s">
        <v>9</v>
      </c>
      <c r="B3926" s="7" t="s">
        <v>3525</v>
      </c>
      <c r="C3926" s="91">
        <v>45099.69667965278</v>
      </c>
      <c r="D3926" s="8">
        <f t="shared" si="312"/>
        <v>45103</v>
      </c>
      <c r="E3926" s="9" t="s">
        <v>11</v>
      </c>
      <c r="F3926" s="10"/>
      <c r="G3926" s="9" t="s">
        <v>15</v>
      </c>
      <c r="H3926" s="7" t="s">
        <v>6900</v>
      </c>
      <c r="I3926" s="9" t="s">
        <v>353</v>
      </c>
      <c r="J3926" s="88"/>
    </row>
    <row r="3927">
      <c r="A3927" s="34" t="s">
        <v>204</v>
      </c>
      <c r="B3927" s="7" t="s">
        <v>6901</v>
      </c>
      <c r="C3927" s="91">
        <v>44984.42884674769</v>
      </c>
      <c r="D3927" s="9" t="s">
        <v>11</v>
      </c>
      <c r="E3927" s="172" t="s">
        <v>206</v>
      </c>
      <c r="F3927" s="9"/>
      <c r="G3927" s="9" t="s">
        <v>15</v>
      </c>
      <c r="H3927" s="7" t="s">
        <v>6902</v>
      </c>
      <c r="I3927" s="9" t="s">
        <v>353</v>
      </c>
      <c r="J3927" s="88"/>
    </row>
    <row r="3928">
      <c r="A3928" s="6" t="s">
        <v>9</v>
      </c>
      <c r="B3928" s="7" t="s">
        <v>6903</v>
      </c>
      <c r="C3928" s="91">
        <v>45099.44032790509</v>
      </c>
      <c r="D3928" s="8">
        <f t="shared" ref="D3928:D3944" si="313">IFERROR(_xlfn.WORKDAY.INTL(C3928, 2),"-")</f>
        <v>45103</v>
      </c>
      <c r="E3928" s="9" t="s">
        <v>206</v>
      </c>
      <c r="F3928" s="9"/>
      <c r="G3928" s="9" t="s">
        <v>15</v>
      </c>
      <c r="H3928" s="7" t="s">
        <v>6904</v>
      </c>
      <c r="I3928" s="9" t="s">
        <v>353</v>
      </c>
      <c r="J3928" s="88"/>
    </row>
    <row r="3929">
      <c r="A3929" s="6" t="s">
        <v>9</v>
      </c>
      <c r="B3929" s="7" t="s">
        <v>6905</v>
      </c>
      <c r="C3929" s="91">
        <v>45092.69114267361</v>
      </c>
      <c r="D3929" s="8">
        <f t="shared" si="313"/>
        <v>45096</v>
      </c>
      <c r="E3929" s="9" t="s">
        <v>11</v>
      </c>
      <c r="F3929" s="10"/>
      <c r="G3929" s="9" t="s">
        <v>15</v>
      </c>
      <c r="H3929" s="7" t="s">
        <v>6906</v>
      </c>
      <c r="I3929" s="9" t="s">
        <v>353</v>
      </c>
      <c r="J3929" s="88"/>
    </row>
    <row r="3930">
      <c r="A3930" s="6" t="s">
        <v>9</v>
      </c>
      <c r="B3930" s="7" t="s">
        <v>4113</v>
      </c>
      <c r="C3930" s="91">
        <v>45098.47283537037</v>
      </c>
      <c r="D3930" s="8">
        <f t="shared" si="313"/>
        <v>45100</v>
      </c>
      <c r="E3930" s="9" t="s">
        <v>11</v>
      </c>
      <c r="F3930" s="10"/>
      <c r="G3930" s="9" t="s">
        <v>15</v>
      </c>
      <c r="H3930" s="7" t="s">
        <v>6907</v>
      </c>
      <c r="I3930" s="9" t="s">
        <v>353</v>
      </c>
      <c r="J3930" s="88"/>
    </row>
    <row r="3931">
      <c r="A3931" s="6" t="s">
        <v>9</v>
      </c>
      <c r="B3931" s="7" t="s">
        <v>6908</v>
      </c>
      <c r="C3931" s="91">
        <v>45099.387375949074</v>
      </c>
      <c r="D3931" s="8">
        <f t="shared" si="313"/>
        <v>45103</v>
      </c>
      <c r="E3931" s="9" t="s">
        <v>11</v>
      </c>
      <c r="F3931" s="10"/>
      <c r="G3931" s="9" t="s">
        <v>220</v>
      </c>
      <c r="H3931" s="7" t="s">
        <v>6909</v>
      </c>
      <c r="I3931" s="9" t="s">
        <v>353</v>
      </c>
      <c r="J3931" s="88"/>
    </row>
    <row r="3932">
      <c r="A3932" s="6" t="s">
        <v>9</v>
      </c>
      <c r="B3932" s="7" t="s">
        <v>6910</v>
      </c>
      <c r="C3932" s="91">
        <v>45098.502797002315</v>
      </c>
      <c r="D3932" s="8">
        <f t="shared" si="313"/>
        <v>45100</v>
      </c>
      <c r="E3932" s="9" t="s">
        <v>11</v>
      </c>
      <c r="F3932" s="10"/>
      <c r="G3932" s="9" t="s">
        <v>15</v>
      </c>
      <c r="H3932" s="7" t="s">
        <v>6911</v>
      </c>
      <c r="I3932" s="9" t="s">
        <v>353</v>
      </c>
      <c r="J3932" s="88"/>
    </row>
    <row r="3933">
      <c r="A3933" s="54" t="s">
        <v>332</v>
      </c>
      <c r="B3933" s="7" t="s">
        <v>6912</v>
      </c>
      <c r="C3933" s="91">
        <v>44988.43148306713</v>
      </c>
      <c r="D3933" s="8">
        <f t="shared" si="313"/>
        <v>44992</v>
      </c>
      <c r="E3933" s="9" t="s">
        <v>88</v>
      </c>
      <c r="F3933" s="71"/>
      <c r="G3933" s="9" t="s">
        <v>18</v>
      </c>
      <c r="H3933" s="7" t="s">
        <v>6913</v>
      </c>
      <c r="I3933" s="9" t="s">
        <v>353</v>
      </c>
      <c r="J3933" s="88"/>
    </row>
    <row r="3934">
      <c r="A3934" s="54" t="s">
        <v>332</v>
      </c>
      <c r="B3934" s="7" t="s">
        <v>6914</v>
      </c>
      <c r="C3934" s="91">
        <v>45093.46134017361</v>
      </c>
      <c r="D3934" s="8">
        <f t="shared" si="313"/>
        <v>45097</v>
      </c>
      <c r="E3934" s="9" t="s">
        <v>11</v>
      </c>
      <c r="F3934" s="8"/>
      <c r="G3934" s="9" t="s">
        <v>18</v>
      </c>
      <c r="H3934" s="7" t="s">
        <v>6915</v>
      </c>
      <c r="I3934" s="9" t="s">
        <v>353</v>
      </c>
      <c r="J3934" s="88"/>
    </row>
    <row r="3935">
      <c r="A3935" s="199" t="s">
        <v>9</v>
      </c>
      <c r="B3935" s="200" t="s">
        <v>6916</v>
      </c>
      <c r="C3935" s="171">
        <v>45062.57240344907</v>
      </c>
      <c r="D3935" s="80">
        <f t="shared" si="313"/>
        <v>45064</v>
      </c>
      <c r="E3935" s="172" t="s">
        <v>11</v>
      </c>
      <c r="F3935" s="175"/>
      <c r="G3935" s="9" t="s">
        <v>15</v>
      </c>
      <c r="H3935" s="174" t="s">
        <v>6917</v>
      </c>
      <c r="I3935" s="166" t="s">
        <v>353</v>
      </c>
      <c r="J3935" s="88"/>
    </row>
    <row r="3936">
      <c r="A3936" s="6" t="s">
        <v>9</v>
      </c>
      <c r="B3936" s="7" t="s">
        <v>6918</v>
      </c>
      <c r="C3936" s="91">
        <v>45077.51756231481</v>
      </c>
      <c r="D3936" s="8">
        <f t="shared" si="313"/>
        <v>45079</v>
      </c>
      <c r="E3936" s="9" t="s">
        <v>206</v>
      </c>
      <c r="F3936" s="10"/>
      <c r="G3936" s="9" t="s">
        <v>15</v>
      </c>
      <c r="H3936" s="7" t="s">
        <v>6919</v>
      </c>
      <c r="I3936" s="9" t="s">
        <v>353</v>
      </c>
      <c r="J3936" s="88"/>
    </row>
    <row r="3937">
      <c r="A3937" s="6" t="s">
        <v>9</v>
      </c>
      <c r="B3937" s="7" t="s">
        <v>4113</v>
      </c>
      <c r="C3937" s="91">
        <v>45096.68652981482</v>
      </c>
      <c r="D3937" s="8">
        <f t="shared" si="313"/>
        <v>45098</v>
      </c>
      <c r="E3937" s="9" t="s">
        <v>11</v>
      </c>
      <c r="F3937" s="10"/>
      <c r="G3937" s="9"/>
      <c r="H3937" s="7" t="s">
        <v>6920</v>
      </c>
      <c r="I3937" s="9" t="s">
        <v>353</v>
      </c>
      <c r="J3937" s="88"/>
    </row>
    <row r="3938">
      <c r="A3938" s="6" t="s">
        <v>9</v>
      </c>
      <c r="B3938" s="7" t="s">
        <v>4113</v>
      </c>
      <c r="C3938" s="91">
        <v>45096.686411076385</v>
      </c>
      <c r="D3938" s="8">
        <f t="shared" si="313"/>
        <v>45098</v>
      </c>
      <c r="E3938" s="9" t="s">
        <v>11</v>
      </c>
      <c r="F3938" s="10"/>
      <c r="G3938" s="9"/>
      <c r="H3938" s="7" t="s">
        <v>6921</v>
      </c>
      <c r="I3938" s="9" t="s">
        <v>353</v>
      </c>
      <c r="J3938" s="88"/>
    </row>
    <row r="3939">
      <c r="A3939" s="34" t="s">
        <v>204</v>
      </c>
      <c r="B3939" s="7" t="s">
        <v>6922</v>
      </c>
      <c r="C3939" s="91">
        <v>45096.51518785879</v>
      </c>
      <c r="D3939" s="8">
        <f t="shared" si="313"/>
        <v>45098</v>
      </c>
      <c r="E3939" s="9" t="s">
        <v>206</v>
      </c>
      <c r="F3939" s="10"/>
      <c r="G3939" s="9" t="s">
        <v>18</v>
      </c>
      <c r="H3939" s="7" t="s">
        <v>6736</v>
      </c>
      <c r="I3939" s="9" t="s">
        <v>353</v>
      </c>
      <c r="J3939" s="88"/>
    </row>
    <row r="3940">
      <c r="A3940" s="6" t="s">
        <v>9</v>
      </c>
      <c r="B3940" s="7" t="s">
        <v>6923</v>
      </c>
      <c r="C3940" s="91">
        <v>45071.49651696759</v>
      </c>
      <c r="D3940" s="8">
        <f t="shared" si="313"/>
        <v>45075</v>
      </c>
      <c r="E3940" s="9" t="s">
        <v>11</v>
      </c>
      <c r="F3940" s="10"/>
      <c r="G3940" s="9" t="s">
        <v>15</v>
      </c>
      <c r="H3940" s="7" t="s">
        <v>6924</v>
      </c>
      <c r="I3940" s="9" t="s">
        <v>353</v>
      </c>
      <c r="J3940" s="88"/>
    </row>
    <row r="3941">
      <c r="A3941" s="54" t="s">
        <v>332</v>
      </c>
      <c r="B3941" s="7" t="s">
        <v>6925</v>
      </c>
      <c r="C3941" s="91">
        <v>45097.383590011574</v>
      </c>
      <c r="D3941" s="8">
        <f t="shared" si="313"/>
        <v>45099</v>
      </c>
      <c r="E3941" s="9" t="s">
        <v>88</v>
      </c>
      <c r="F3941" s="10"/>
      <c r="G3941" s="9" t="s">
        <v>18</v>
      </c>
      <c r="H3941" s="11"/>
      <c r="I3941" s="9" t="s">
        <v>353</v>
      </c>
      <c r="J3941" s="88"/>
    </row>
    <row r="3942">
      <c r="A3942" s="54" t="s">
        <v>332</v>
      </c>
      <c r="B3942" s="114" t="s">
        <v>6926</v>
      </c>
      <c r="C3942" s="91">
        <v>45096.49977427084</v>
      </c>
      <c r="D3942" s="8">
        <f t="shared" si="313"/>
        <v>45098</v>
      </c>
      <c r="E3942" s="9" t="s">
        <v>206</v>
      </c>
      <c r="F3942" s="10"/>
      <c r="G3942" s="9" t="s">
        <v>15</v>
      </c>
      <c r="H3942" s="7" t="s">
        <v>6927</v>
      </c>
      <c r="I3942" s="9" t="s">
        <v>353</v>
      </c>
      <c r="J3942" s="88"/>
    </row>
    <row r="3943">
      <c r="A3943" s="54" t="s">
        <v>332</v>
      </c>
      <c r="B3943" s="216" t="s">
        <v>6928</v>
      </c>
      <c r="C3943" s="91">
        <v>45089.49783988426</v>
      </c>
      <c r="D3943" s="8">
        <f t="shared" si="313"/>
        <v>45091</v>
      </c>
      <c r="E3943" s="9" t="s">
        <v>88</v>
      </c>
      <c r="F3943" s="8"/>
      <c r="G3943" s="9" t="s">
        <v>18</v>
      </c>
      <c r="H3943" s="7" t="s">
        <v>6929</v>
      </c>
      <c r="I3943" s="9" t="s">
        <v>353</v>
      </c>
      <c r="J3943" s="88"/>
    </row>
    <row r="3944">
      <c r="A3944" s="54" t="s">
        <v>332</v>
      </c>
      <c r="B3944" s="7" t="s">
        <v>6930</v>
      </c>
      <c r="C3944" s="91">
        <v>45093.46159064815</v>
      </c>
      <c r="D3944" s="8">
        <f t="shared" si="313"/>
        <v>45097</v>
      </c>
      <c r="E3944" s="9" t="s">
        <v>11</v>
      </c>
      <c r="F3944" s="8"/>
      <c r="G3944" s="9" t="s">
        <v>18</v>
      </c>
      <c r="H3944" s="7" t="s">
        <v>6931</v>
      </c>
      <c r="I3944" s="9" t="s">
        <v>353</v>
      </c>
      <c r="J3944" s="88"/>
    </row>
    <row r="3945">
      <c r="A3945" s="34" t="s">
        <v>204</v>
      </c>
      <c r="B3945" s="7" t="s">
        <v>6932</v>
      </c>
      <c r="C3945" s="91">
        <v>44984.439043402774</v>
      </c>
      <c r="D3945" s="9" t="s">
        <v>11</v>
      </c>
      <c r="E3945" s="172" t="s">
        <v>206</v>
      </c>
      <c r="F3945" s="71"/>
      <c r="G3945" s="9" t="s">
        <v>18</v>
      </c>
      <c r="H3945" s="7" t="s">
        <v>437</v>
      </c>
      <c r="I3945" s="9" t="s">
        <v>353</v>
      </c>
      <c r="J3945" s="88"/>
    </row>
    <row r="3946">
      <c r="A3946" s="54" t="s">
        <v>332</v>
      </c>
      <c r="B3946" s="7" t="s">
        <v>6933</v>
      </c>
      <c r="C3946" s="91">
        <v>45097.48509459491</v>
      </c>
      <c r="D3946" s="8">
        <f t="shared" ref="D3946:D3963" si="314">IFERROR(_xlfn.WORKDAY.INTL(C3946, 2),"-")</f>
        <v>45099</v>
      </c>
      <c r="E3946" s="9" t="s">
        <v>206</v>
      </c>
      <c r="F3946" s="8"/>
      <c r="G3946" s="9" t="s">
        <v>18</v>
      </c>
      <c r="H3946" s="7" t="s">
        <v>6934</v>
      </c>
      <c r="I3946" s="9" t="s">
        <v>353</v>
      </c>
      <c r="J3946" s="88"/>
    </row>
    <row r="3947">
      <c r="A3947" s="6" t="s">
        <v>9</v>
      </c>
      <c r="B3947" s="7" t="s">
        <v>3052</v>
      </c>
      <c r="C3947" s="91">
        <v>45096.66079408565</v>
      </c>
      <c r="D3947" s="8">
        <f t="shared" si="314"/>
        <v>45098</v>
      </c>
      <c r="E3947" s="9" t="s">
        <v>88</v>
      </c>
      <c r="F3947" s="10"/>
      <c r="G3947" s="9" t="s">
        <v>18</v>
      </c>
      <c r="H3947" s="7" t="s">
        <v>6935</v>
      </c>
      <c r="I3947" s="9" t="s">
        <v>353</v>
      </c>
      <c r="J3947" s="88"/>
    </row>
    <row r="3948">
      <c r="A3948" s="54" t="s">
        <v>332</v>
      </c>
      <c r="B3948" s="215" t="s">
        <v>6936</v>
      </c>
      <c r="C3948" s="91">
        <v>45084.48115202546</v>
      </c>
      <c r="D3948" s="8">
        <f t="shared" si="314"/>
        <v>45086</v>
      </c>
      <c r="E3948" s="9" t="s">
        <v>88</v>
      </c>
      <c r="F3948" s="8"/>
      <c r="G3948" s="9" t="s">
        <v>18</v>
      </c>
      <c r="H3948" s="7" t="s">
        <v>6937</v>
      </c>
      <c r="I3948" s="9" t="s">
        <v>353</v>
      </c>
      <c r="J3948" s="88"/>
    </row>
    <row r="3949">
      <c r="A3949" s="34" t="s">
        <v>204</v>
      </c>
      <c r="B3949" s="7" t="s">
        <v>6938</v>
      </c>
      <c r="C3949" s="91">
        <v>45091.394006365736</v>
      </c>
      <c r="D3949" s="8">
        <f t="shared" si="314"/>
        <v>45093</v>
      </c>
      <c r="E3949" s="9" t="s">
        <v>88</v>
      </c>
      <c r="F3949" s="10"/>
      <c r="G3949" s="9" t="s">
        <v>15</v>
      </c>
      <c r="H3949" s="7" t="s">
        <v>6939</v>
      </c>
      <c r="I3949" s="9" t="s">
        <v>353</v>
      </c>
      <c r="J3949" s="88"/>
    </row>
    <row r="3950">
      <c r="A3950" s="6" t="s">
        <v>9</v>
      </c>
      <c r="B3950" s="7" t="s">
        <v>6940</v>
      </c>
      <c r="C3950" s="91">
        <v>45091.471411701394</v>
      </c>
      <c r="D3950" s="8">
        <f t="shared" si="314"/>
        <v>45093</v>
      </c>
      <c r="E3950" s="9" t="s">
        <v>6247</v>
      </c>
      <c r="F3950" s="10"/>
      <c r="G3950" s="9" t="s">
        <v>15</v>
      </c>
      <c r="H3950" s="7" t="s">
        <v>6941</v>
      </c>
      <c r="I3950" s="9" t="s">
        <v>353</v>
      </c>
      <c r="J3950" s="88"/>
    </row>
    <row r="3951">
      <c r="A3951" s="34" t="s">
        <v>204</v>
      </c>
      <c r="B3951" s="7" t="s">
        <v>6942</v>
      </c>
      <c r="C3951" s="91">
        <v>45093.378501851854</v>
      </c>
      <c r="D3951" s="8">
        <f t="shared" si="314"/>
        <v>45097</v>
      </c>
      <c r="E3951" s="9" t="s">
        <v>11</v>
      </c>
      <c r="F3951" s="10"/>
      <c r="G3951" s="9" t="s">
        <v>15</v>
      </c>
      <c r="H3951" s="7" t="s">
        <v>437</v>
      </c>
      <c r="I3951" s="9" t="s">
        <v>353</v>
      </c>
      <c r="J3951" s="88"/>
    </row>
    <row r="3952">
      <c r="A3952" s="34" t="s">
        <v>204</v>
      </c>
      <c r="B3952" s="7" t="s">
        <v>6943</v>
      </c>
      <c r="C3952" s="91">
        <v>45093.376749710646</v>
      </c>
      <c r="D3952" s="8">
        <f t="shared" si="314"/>
        <v>45097</v>
      </c>
      <c r="E3952" s="9" t="s">
        <v>206</v>
      </c>
      <c r="F3952" s="10"/>
      <c r="G3952" s="9" t="s">
        <v>15</v>
      </c>
      <c r="H3952" s="7" t="s">
        <v>437</v>
      </c>
      <c r="I3952" s="9" t="s">
        <v>353</v>
      </c>
      <c r="J3952" s="88"/>
    </row>
    <row r="3953">
      <c r="A3953" s="54" t="s">
        <v>332</v>
      </c>
      <c r="B3953" s="7" t="s">
        <v>6944</v>
      </c>
      <c r="C3953" s="91">
        <v>45043.67019957176</v>
      </c>
      <c r="D3953" s="8">
        <f t="shared" si="314"/>
        <v>45047</v>
      </c>
      <c r="E3953" s="9" t="s">
        <v>206</v>
      </c>
      <c r="F3953" s="8"/>
      <c r="G3953" s="9" t="s">
        <v>18</v>
      </c>
      <c r="H3953" s="7" t="s">
        <v>6945</v>
      </c>
      <c r="I3953" s="9" t="s">
        <v>353</v>
      </c>
      <c r="J3953" s="88"/>
    </row>
    <row r="3954">
      <c r="A3954" s="6" t="s">
        <v>9</v>
      </c>
      <c r="B3954" s="7" t="s">
        <v>4113</v>
      </c>
      <c r="C3954" s="91">
        <v>45092.63116556713</v>
      </c>
      <c r="D3954" s="8">
        <f t="shared" si="314"/>
        <v>45096</v>
      </c>
      <c r="E3954" s="9" t="s">
        <v>11</v>
      </c>
      <c r="F3954" s="10"/>
      <c r="G3954" s="9" t="s">
        <v>15</v>
      </c>
      <c r="H3954" s="7" t="s">
        <v>6946</v>
      </c>
      <c r="I3954" s="9" t="s">
        <v>353</v>
      </c>
      <c r="J3954" s="88"/>
    </row>
    <row r="3955">
      <c r="A3955" s="34" t="s">
        <v>204</v>
      </c>
      <c r="B3955" s="7" t="s">
        <v>6947</v>
      </c>
      <c r="C3955" s="91">
        <v>45092.68828375</v>
      </c>
      <c r="D3955" s="8">
        <f t="shared" si="314"/>
        <v>45096</v>
      </c>
      <c r="E3955" s="9" t="s">
        <v>11</v>
      </c>
      <c r="F3955" s="10"/>
      <c r="G3955" s="9" t="s">
        <v>18</v>
      </c>
      <c r="H3955" s="7" t="s">
        <v>6948</v>
      </c>
      <c r="I3955" s="9" t="s">
        <v>353</v>
      </c>
      <c r="J3955" s="88"/>
    </row>
    <row r="3956">
      <c r="A3956" s="6" t="s">
        <v>9</v>
      </c>
      <c r="B3956" s="7" t="s">
        <v>6949</v>
      </c>
      <c r="C3956" s="91">
        <v>45092.61052783565</v>
      </c>
      <c r="D3956" s="8">
        <f t="shared" si="314"/>
        <v>45096</v>
      </c>
      <c r="E3956" s="9" t="s">
        <v>11</v>
      </c>
      <c r="F3956" s="10"/>
      <c r="G3956" s="9" t="s">
        <v>15</v>
      </c>
      <c r="H3956" s="7" t="s">
        <v>6950</v>
      </c>
      <c r="I3956" s="9" t="s">
        <v>353</v>
      </c>
      <c r="J3956" s="88"/>
    </row>
    <row r="3957">
      <c r="A3957" s="54" t="s">
        <v>332</v>
      </c>
      <c r="B3957" s="7" t="s">
        <v>6951</v>
      </c>
      <c r="C3957" s="91">
        <v>45091.63046479167</v>
      </c>
      <c r="D3957" s="8">
        <f t="shared" si="314"/>
        <v>45093</v>
      </c>
      <c r="E3957" s="9" t="s">
        <v>88</v>
      </c>
      <c r="F3957" s="10"/>
      <c r="G3957" s="9" t="s">
        <v>18</v>
      </c>
      <c r="H3957" s="11"/>
      <c r="I3957" s="9" t="s">
        <v>353</v>
      </c>
      <c r="J3957" s="88"/>
    </row>
    <row r="3958">
      <c r="A3958" s="6" t="s">
        <v>9</v>
      </c>
      <c r="B3958" s="7" t="s">
        <v>6952</v>
      </c>
      <c r="C3958" s="91">
        <v>45091.657259976855</v>
      </c>
      <c r="D3958" s="8">
        <f t="shared" si="314"/>
        <v>45093</v>
      </c>
      <c r="E3958" s="9" t="s">
        <v>94</v>
      </c>
      <c r="F3958" s="10"/>
      <c r="G3958" s="9" t="s">
        <v>15</v>
      </c>
      <c r="H3958" s="7" t="s">
        <v>6953</v>
      </c>
      <c r="I3958" s="9" t="s">
        <v>353</v>
      </c>
      <c r="J3958" s="88"/>
    </row>
    <row r="3959">
      <c r="A3959" s="6" t="s">
        <v>9</v>
      </c>
      <c r="B3959" s="7" t="s">
        <v>6954</v>
      </c>
      <c r="C3959" s="91">
        <v>45091.68356608796</v>
      </c>
      <c r="D3959" s="8">
        <f t="shared" si="314"/>
        <v>45093</v>
      </c>
      <c r="E3959" s="9" t="s">
        <v>11</v>
      </c>
      <c r="F3959" s="10"/>
      <c r="G3959" s="9" t="s">
        <v>15</v>
      </c>
      <c r="H3959" s="7" t="s">
        <v>6955</v>
      </c>
      <c r="I3959" s="9" t="s">
        <v>353</v>
      </c>
      <c r="J3959" s="88"/>
    </row>
    <row r="3960">
      <c r="A3960" s="6" t="s">
        <v>9</v>
      </c>
      <c r="B3960" s="7" t="s">
        <v>6956</v>
      </c>
      <c r="C3960" s="91">
        <v>45083.5067878125</v>
      </c>
      <c r="D3960" s="8">
        <f t="shared" si="314"/>
        <v>45085</v>
      </c>
      <c r="E3960" s="9" t="s">
        <v>11</v>
      </c>
      <c r="F3960" s="10"/>
      <c r="G3960" s="9" t="s">
        <v>15</v>
      </c>
      <c r="H3960" s="7" t="s">
        <v>6957</v>
      </c>
      <c r="I3960" s="9" t="s">
        <v>353</v>
      </c>
      <c r="J3960" s="88"/>
    </row>
    <row r="3961">
      <c r="A3961" s="54" t="s">
        <v>332</v>
      </c>
      <c r="B3961" s="7" t="s">
        <v>6958</v>
      </c>
      <c r="C3961" s="91">
        <v>45090.44538394676</v>
      </c>
      <c r="D3961" s="8">
        <f t="shared" si="314"/>
        <v>45092</v>
      </c>
      <c r="E3961" s="9" t="s">
        <v>206</v>
      </c>
      <c r="F3961" s="8"/>
      <c r="G3961" s="9" t="s">
        <v>18</v>
      </c>
      <c r="H3961" s="7" t="s">
        <v>6959</v>
      </c>
      <c r="I3961" s="9" t="s">
        <v>353</v>
      </c>
      <c r="J3961" s="88"/>
    </row>
    <row r="3962">
      <c r="A3962" s="34" t="s">
        <v>204</v>
      </c>
      <c r="B3962" s="7" t="s">
        <v>6960</v>
      </c>
      <c r="C3962" s="91">
        <v>45091.45055332176</v>
      </c>
      <c r="D3962" s="8">
        <f t="shared" si="314"/>
        <v>45093</v>
      </c>
      <c r="E3962" s="9" t="s">
        <v>206</v>
      </c>
      <c r="F3962" s="10"/>
      <c r="G3962" s="9" t="s">
        <v>18</v>
      </c>
      <c r="H3962" s="7" t="s">
        <v>437</v>
      </c>
      <c r="I3962" s="9" t="s">
        <v>353</v>
      </c>
      <c r="J3962" s="88"/>
    </row>
    <row r="3963">
      <c r="A3963" s="54" t="s">
        <v>332</v>
      </c>
      <c r="B3963" s="7" t="s">
        <v>6961</v>
      </c>
      <c r="C3963" s="91">
        <v>45089.498490694445</v>
      </c>
      <c r="D3963" s="8">
        <f t="shared" si="314"/>
        <v>45091</v>
      </c>
      <c r="E3963" s="9" t="s">
        <v>88</v>
      </c>
      <c r="F3963" s="10"/>
      <c r="G3963" s="9" t="s">
        <v>18</v>
      </c>
      <c r="H3963" s="7" t="s">
        <v>6962</v>
      </c>
      <c r="I3963" s="9" t="s">
        <v>353</v>
      </c>
      <c r="J3963" s="88"/>
    </row>
    <row r="3964">
      <c r="A3964" s="34" t="s">
        <v>204</v>
      </c>
      <c r="B3964" s="7" t="s">
        <v>6963</v>
      </c>
      <c r="C3964" s="91">
        <v>45030.468855416664</v>
      </c>
      <c r="D3964" s="9" t="s">
        <v>11</v>
      </c>
      <c r="E3964" s="9" t="s">
        <v>206</v>
      </c>
      <c r="F3964" s="9"/>
      <c r="G3964" s="9" t="s">
        <v>15</v>
      </c>
      <c r="H3964" s="7" t="s">
        <v>6964</v>
      </c>
      <c r="I3964" s="9" t="s">
        <v>353</v>
      </c>
      <c r="J3964" s="88"/>
    </row>
    <row r="3965">
      <c r="A3965" s="34" t="s">
        <v>204</v>
      </c>
      <c r="B3965" s="7" t="s">
        <v>6965</v>
      </c>
      <c r="C3965" s="91">
        <v>45089.48567956018</v>
      </c>
      <c r="D3965" s="8">
        <f t="shared" ref="D3965:D3994" si="315">IFERROR(_xlfn.WORKDAY.INTL(C3965, 2),"-")</f>
        <v>45091</v>
      </c>
      <c r="E3965" s="9" t="s">
        <v>206</v>
      </c>
      <c r="F3965" s="8"/>
      <c r="G3965" s="9" t="s">
        <v>18</v>
      </c>
      <c r="H3965" s="7" t="s">
        <v>437</v>
      </c>
      <c r="I3965" s="9" t="s">
        <v>353</v>
      </c>
      <c r="J3965" s="88"/>
    </row>
    <row r="3966">
      <c r="A3966" s="6" t="s">
        <v>9</v>
      </c>
      <c r="B3966" s="7" t="s">
        <v>6175</v>
      </c>
      <c r="C3966" s="91">
        <v>45091.38615715278</v>
      </c>
      <c r="D3966" s="8">
        <f t="shared" si="315"/>
        <v>45093</v>
      </c>
      <c r="E3966" s="9" t="s">
        <v>11</v>
      </c>
      <c r="F3966" s="10"/>
      <c r="G3966" s="9"/>
      <c r="H3966" s="7" t="s">
        <v>6966</v>
      </c>
      <c r="I3966" s="9" t="s">
        <v>353</v>
      </c>
      <c r="J3966" s="88"/>
    </row>
    <row r="3967">
      <c r="A3967" s="6" t="s">
        <v>9</v>
      </c>
      <c r="B3967" s="7" t="s">
        <v>6967</v>
      </c>
      <c r="C3967" s="91">
        <v>45083.46322856481</v>
      </c>
      <c r="D3967" s="8">
        <f t="shared" si="315"/>
        <v>45085</v>
      </c>
      <c r="E3967" s="9" t="s">
        <v>11</v>
      </c>
      <c r="F3967" s="10"/>
      <c r="G3967" s="9" t="s">
        <v>15</v>
      </c>
      <c r="H3967" s="7" t="s">
        <v>6968</v>
      </c>
      <c r="I3967" s="9" t="s">
        <v>353</v>
      </c>
      <c r="J3967" s="88"/>
    </row>
    <row r="3968">
      <c r="A3968" s="6" t="s">
        <v>9</v>
      </c>
      <c r="B3968" s="7" t="s">
        <v>4905</v>
      </c>
      <c r="C3968" s="91">
        <v>45090.519465543985</v>
      </c>
      <c r="D3968" s="8">
        <f t="shared" si="315"/>
        <v>45092</v>
      </c>
      <c r="E3968" s="9" t="s">
        <v>11</v>
      </c>
      <c r="F3968" s="10"/>
      <c r="G3968" s="9" t="s">
        <v>15</v>
      </c>
      <c r="H3968" s="7" t="s">
        <v>6969</v>
      </c>
      <c r="I3968" s="9" t="s">
        <v>353</v>
      </c>
      <c r="J3968" s="88"/>
    </row>
    <row r="3969">
      <c r="A3969" s="6" t="s">
        <v>9</v>
      </c>
      <c r="B3969" s="7" t="s">
        <v>6970</v>
      </c>
      <c r="C3969" s="91">
        <v>45090.598385150464</v>
      </c>
      <c r="D3969" s="8">
        <f t="shared" si="315"/>
        <v>45092</v>
      </c>
      <c r="E3969" s="9" t="s">
        <v>88</v>
      </c>
      <c r="F3969" s="10"/>
      <c r="G3969" s="9" t="s">
        <v>18</v>
      </c>
      <c r="H3969" s="11"/>
      <c r="I3969" s="9" t="s">
        <v>353</v>
      </c>
      <c r="J3969" s="88"/>
    </row>
    <row r="3970">
      <c r="A3970" s="54" t="s">
        <v>332</v>
      </c>
      <c r="B3970" s="7" t="s">
        <v>6971</v>
      </c>
      <c r="C3970" s="91">
        <v>45084.46670953704</v>
      </c>
      <c r="D3970" s="8">
        <f t="shared" si="315"/>
        <v>45086</v>
      </c>
      <c r="E3970" s="9" t="s">
        <v>88</v>
      </c>
      <c r="F3970" s="8"/>
      <c r="G3970" s="9" t="s">
        <v>18</v>
      </c>
      <c r="H3970" s="7" t="s">
        <v>6972</v>
      </c>
      <c r="I3970" s="9" t="s">
        <v>353</v>
      </c>
      <c r="J3970" s="88"/>
    </row>
    <row r="3971">
      <c r="A3971" s="34" t="s">
        <v>204</v>
      </c>
      <c r="B3971" s="7" t="s">
        <v>6973</v>
      </c>
      <c r="C3971" s="91">
        <v>44959.432701666665</v>
      </c>
      <c r="D3971" s="8">
        <f t="shared" si="315"/>
        <v>44963</v>
      </c>
      <c r="E3971" s="9" t="s">
        <v>206</v>
      </c>
      <c r="F3971" s="9"/>
      <c r="G3971" s="9" t="s">
        <v>89</v>
      </c>
      <c r="H3971" s="7" t="s">
        <v>6974</v>
      </c>
      <c r="I3971" s="9" t="s">
        <v>353</v>
      </c>
      <c r="J3971" s="88"/>
    </row>
    <row r="3972">
      <c r="A3972" s="34" t="s">
        <v>204</v>
      </c>
      <c r="B3972" s="7" t="s">
        <v>6975</v>
      </c>
      <c r="C3972" s="91">
        <v>44909.628248657405</v>
      </c>
      <c r="D3972" s="8">
        <f t="shared" si="315"/>
        <v>44911</v>
      </c>
      <c r="E3972" s="9" t="s">
        <v>11</v>
      </c>
      <c r="F3972" s="9"/>
      <c r="G3972" s="9" t="s">
        <v>89</v>
      </c>
      <c r="H3972" s="7" t="s">
        <v>6976</v>
      </c>
      <c r="I3972" s="9" t="s">
        <v>353</v>
      </c>
      <c r="J3972" s="88"/>
    </row>
    <row r="3973">
      <c r="A3973" s="34" t="s">
        <v>204</v>
      </c>
      <c r="B3973" s="7" t="s">
        <v>6977</v>
      </c>
      <c r="C3973" s="91">
        <v>45055.36228346065</v>
      </c>
      <c r="D3973" s="8">
        <f t="shared" si="315"/>
        <v>45057</v>
      </c>
      <c r="E3973" s="9" t="s">
        <v>11</v>
      </c>
      <c r="F3973" s="9"/>
      <c r="G3973" s="9" t="s">
        <v>15</v>
      </c>
      <c r="H3973" s="7" t="s">
        <v>6978</v>
      </c>
      <c r="I3973" s="9" t="s">
        <v>353</v>
      </c>
      <c r="J3973" s="88"/>
    </row>
    <row r="3974">
      <c r="A3974" s="54" t="s">
        <v>332</v>
      </c>
      <c r="B3974" s="7" t="s">
        <v>6979</v>
      </c>
      <c r="C3974" s="91">
        <v>45089.410852789355</v>
      </c>
      <c r="D3974" s="8">
        <f t="shared" si="315"/>
        <v>45091</v>
      </c>
      <c r="E3974" s="9" t="s">
        <v>206</v>
      </c>
      <c r="F3974" s="10"/>
      <c r="G3974" s="9" t="s">
        <v>18</v>
      </c>
      <c r="H3974" s="7" t="s">
        <v>6980</v>
      </c>
      <c r="I3974" s="9" t="s">
        <v>353</v>
      </c>
      <c r="J3974" s="88"/>
    </row>
    <row r="3975">
      <c r="A3975" s="6" t="s">
        <v>9</v>
      </c>
      <c r="B3975" s="7" t="s">
        <v>6437</v>
      </c>
      <c r="C3975" s="91">
        <v>45089.615957835646</v>
      </c>
      <c r="D3975" s="8">
        <f t="shared" si="315"/>
        <v>45091</v>
      </c>
      <c r="E3975" s="9" t="s">
        <v>11</v>
      </c>
      <c r="F3975" s="10"/>
      <c r="G3975" s="9" t="s">
        <v>18</v>
      </c>
      <c r="H3975" s="7" t="s">
        <v>6981</v>
      </c>
      <c r="I3975" s="9" t="s">
        <v>353</v>
      </c>
      <c r="J3975" s="88"/>
    </row>
    <row r="3976">
      <c r="A3976" s="6" t="s">
        <v>9</v>
      </c>
      <c r="B3976" s="7" t="s">
        <v>6982</v>
      </c>
      <c r="C3976" s="91">
        <v>45085.6001080787</v>
      </c>
      <c r="D3976" s="8">
        <f t="shared" si="315"/>
        <v>45089</v>
      </c>
      <c r="E3976" s="9" t="s">
        <v>88</v>
      </c>
      <c r="F3976" s="10"/>
      <c r="G3976" s="9" t="s">
        <v>15</v>
      </c>
      <c r="H3976" s="7" t="s">
        <v>6983</v>
      </c>
      <c r="I3976" s="9" t="s">
        <v>353</v>
      </c>
      <c r="J3976" s="88"/>
    </row>
    <row r="3977">
      <c r="A3977" s="54" t="s">
        <v>332</v>
      </c>
      <c r="B3977" s="7" t="s">
        <v>6984</v>
      </c>
      <c r="C3977" s="91">
        <v>45084.46693577546</v>
      </c>
      <c r="D3977" s="8">
        <f t="shared" si="315"/>
        <v>45086</v>
      </c>
      <c r="E3977" s="9" t="s">
        <v>88</v>
      </c>
      <c r="F3977" s="8"/>
      <c r="G3977" s="9" t="s">
        <v>18</v>
      </c>
      <c r="H3977" s="7" t="s">
        <v>6985</v>
      </c>
      <c r="I3977" s="9" t="s">
        <v>353</v>
      </c>
      <c r="J3977" s="88"/>
    </row>
    <row r="3978">
      <c r="A3978" s="34" t="s">
        <v>204</v>
      </c>
      <c r="B3978" s="7" t="s">
        <v>6986</v>
      </c>
      <c r="C3978" s="91">
        <v>45019.365273055555</v>
      </c>
      <c r="D3978" s="8">
        <f t="shared" si="315"/>
        <v>45021</v>
      </c>
      <c r="E3978" s="9" t="s">
        <v>11</v>
      </c>
      <c r="F3978" s="9"/>
      <c r="G3978" s="9" t="s">
        <v>15</v>
      </c>
      <c r="H3978" s="7" t="s">
        <v>6987</v>
      </c>
      <c r="I3978" s="9" t="s">
        <v>353</v>
      </c>
      <c r="J3978" s="88"/>
    </row>
    <row r="3979">
      <c r="A3979" s="34" t="s">
        <v>204</v>
      </c>
      <c r="B3979" s="7" t="s">
        <v>6988</v>
      </c>
      <c r="C3979" s="91">
        <v>45061.42296686342</v>
      </c>
      <c r="D3979" s="8">
        <f t="shared" si="315"/>
        <v>45063</v>
      </c>
      <c r="E3979" s="9" t="s">
        <v>11</v>
      </c>
      <c r="F3979" s="9"/>
      <c r="G3979" s="9" t="s">
        <v>18</v>
      </c>
      <c r="H3979" s="7" t="s">
        <v>6989</v>
      </c>
      <c r="I3979" s="9" t="s">
        <v>353</v>
      </c>
      <c r="J3979" s="88"/>
    </row>
    <row r="3980">
      <c r="A3980" s="54" t="s">
        <v>332</v>
      </c>
      <c r="B3980" s="7" t="s">
        <v>6990</v>
      </c>
      <c r="C3980" s="91">
        <v>45085.363643055556</v>
      </c>
      <c r="D3980" s="8">
        <f t="shared" si="315"/>
        <v>45089</v>
      </c>
      <c r="E3980" s="9" t="s">
        <v>88</v>
      </c>
      <c r="F3980" s="8"/>
      <c r="G3980" s="9" t="s">
        <v>18</v>
      </c>
      <c r="H3980" s="7" t="s">
        <v>6991</v>
      </c>
      <c r="I3980" s="9" t="s">
        <v>353</v>
      </c>
      <c r="J3980" s="88"/>
    </row>
    <row r="3981">
      <c r="A3981" s="54" t="s">
        <v>332</v>
      </c>
      <c r="B3981" s="114" t="s">
        <v>6992</v>
      </c>
      <c r="C3981" s="91">
        <v>45084.42895458333</v>
      </c>
      <c r="D3981" s="8">
        <f t="shared" si="315"/>
        <v>45086</v>
      </c>
      <c r="E3981" s="9" t="s">
        <v>206</v>
      </c>
      <c r="F3981" s="8"/>
      <c r="G3981" s="9" t="s">
        <v>18</v>
      </c>
      <c r="H3981" s="7" t="s">
        <v>6993</v>
      </c>
      <c r="I3981" s="9" t="s">
        <v>353</v>
      </c>
      <c r="J3981" s="88"/>
    </row>
    <row r="3982">
      <c r="A3982" s="6" t="s">
        <v>9</v>
      </c>
      <c r="B3982" s="7" t="s">
        <v>6994</v>
      </c>
      <c r="C3982" s="91">
        <v>45019.465769305556</v>
      </c>
      <c r="D3982" s="8">
        <f t="shared" si="315"/>
        <v>45021</v>
      </c>
      <c r="E3982" s="9" t="s">
        <v>206</v>
      </c>
      <c r="F3982" s="10"/>
      <c r="G3982" s="9" t="s">
        <v>15</v>
      </c>
      <c r="H3982" s="7" t="s">
        <v>6995</v>
      </c>
      <c r="I3982" s="9" t="s">
        <v>353</v>
      </c>
      <c r="J3982" s="88"/>
    </row>
    <row r="3983">
      <c r="A3983" s="54" t="s">
        <v>332</v>
      </c>
      <c r="B3983" s="7" t="s">
        <v>6996</v>
      </c>
      <c r="C3983" s="91">
        <v>45082.72397005787</v>
      </c>
      <c r="D3983" s="8">
        <f t="shared" si="315"/>
        <v>45084</v>
      </c>
      <c r="E3983" s="9" t="s">
        <v>206</v>
      </c>
      <c r="F3983" s="8"/>
      <c r="G3983" s="9" t="s">
        <v>15</v>
      </c>
      <c r="H3983" s="7" t="s">
        <v>6997</v>
      </c>
      <c r="I3983" s="9" t="s">
        <v>353</v>
      </c>
      <c r="J3983" s="88"/>
    </row>
    <row r="3984">
      <c r="A3984" s="6" t="s">
        <v>9</v>
      </c>
      <c r="B3984" s="7" t="s">
        <v>6998</v>
      </c>
      <c r="C3984" s="91">
        <v>45083.7234934838</v>
      </c>
      <c r="D3984" s="8">
        <f t="shared" si="315"/>
        <v>45085</v>
      </c>
      <c r="E3984" s="9" t="s">
        <v>11</v>
      </c>
      <c r="F3984" s="10"/>
      <c r="G3984" s="9" t="s">
        <v>18</v>
      </c>
      <c r="H3984" s="7" t="s">
        <v>6999</v>
      </c>
      <c r="I3984" s="9" t="s">
        <v>353</v>
      </c>
      <c r="J3984" s="88"/>
    </row>
    <row r="3985">
      <c r="A3985" s="54" t="s">
        <v>332</v>
      </c>
      <c r="B3985" s="7" t="s">
        <v>7000</v>
      </c>
      <c r="C3985" s="91">
        <v>45033.44317806713</v>
      </c>
      <c r="D3985" s="8">
        <f t="shared" si="315"/>
        <v>45035</v>
      </c>
      <c r="E3985" s="9" t="s">
        <v>88</v>
      </c>
      <c r="F3985" s="8"/>
      <c r="G3985" s="9" t="s">
        <v>18</v>
      </c>
      <c r="H3985" s="7" t="s">
        <v>7001</v>
      </c>
      <c r="I3985" s="9" t="s">
        <v>353</v>
      </c>
      <c r="J3985" s="88"/>
    </row>
    <row r="3986">
      <c r="A3986" s="54" t="s">
        <v>332</v>
      </c>
      <c r="B3986" s="7" t="s">
        <v>7002</v>
      </c>
      <c r="C3986" s="91">
        <v>45083.66260409722</v>
      </c>
      <c r="D3986" s="8">
        <f t="shared" si="315"/>
        <v>45085</v>
      </c>
      <c r="E3986" s="9" t="s">
        <v>206</v>
      </c>
      <c r="F3986" s="10"/>
      <c r="G3986" s="9" t="s">
        <v>18</v>
      </c>
      <c r="H3986" s="7" t="s">
        <v>7003</v>
      </c>
      <c r="I3986" s="9" t="s">
        <v>353</v>
      </c>
      <c r="J3986" s="88"/>
    </row>
    <row r="3987">
      <c r="A3987" s="6" t="s">
        <v>9</v>
      </c>
      <c r="B3987" s="7" t="s">
        <v>6949</v>
      </c>
      <c r="C3987" s="91">
        <v>45084.424975636575</v>
      </c>
      <c r="D3987" s="8">
        <f t="shared" si="315"/>
        <v>45086</v>
      </c>
      <c r="E3987" s="9" t="s">
        <v>11</v>
      </c>
      <c r="F3987" s="10"/>
      <c r="G3987" s="9" t="s">
        <v>15</v>
      </c>
      <c r="H3987" s="7" t="s">
        <v>7004</v>
      </c>
      <c r="I3987" s="9" t="s">
        <v>353</v>
      </c>
      <c r="J3987" s="88"/>
    </row>
    <row r="3988">
      <c r="A3988" s="54" t="s">
        <v>332</v>
      </c>
      <c r="B3988" s="7" t="s">
        <v>7005</v>
      </c>
      <c r="C3988" s="91">
        <v>45027.40816533565</v>
      </c>
      <c r="D3988" s="8">
        <f t="shared" si="315"/>
        <v>45029</v>
      </c>
      <c r="E3988" s="9" t="s">
        <v>88</v>
      </c>
      <c r="F3988" s="71"/>
      <c r="G3988" s="9" t="s">
        <v>15</v>
      </c>
      <c r="H3988" s="7" t="s">
        <v>7006</v>
      </c>
      <c r="I3988" s="9" t="s">
        <v>353</v>
      </c>
      <c r="J3988" s="88"/>
    </row>
    <row r="3989">
      <c r="A3989" s="34" t="s">
        <v>204</v>
      </c>
      <c r="B3989" s="7" t="s">
        <v>7007</v>
      </c>
      <c r="C3989" s="91">
        <v>45076.60195835648</v>
      </c>
      <c r="D3989" s="8">
        <f t="shared" si="315"/>
        <v>45078</v>
      </c>
      <c r="E3989" s="9" t="s">
        <v>11</v>
      </c>
      <c r="F3989" s="10"/>
      <c r="G3989" s="9" t="s">
        <v>15</v>
      </c>
      <c r="H3989" s="7" t="s">
        <v>6342</v>
      </c>
      <c r="I3989" s="9" t="s">
        <v>353</v>
      </c>
      <c r="J3989" s="88"/>
    </row>
    <row r="3990">
      <c r="A3990" s="6" t="s">
        <v>9</v>
      </c>
      <c r="B3990" s="7" t="s">
        <v>6651</v>
      </c>
      <c r="C3990" s="91">
        <v>45084.365207800925</v>
      </c>
      <c r="D3990" s="8">
        <f t="shared" si="315"/>
        <v>45086</v>
      </c>
      <c r="E3990" s="9" t="s">
        <v>11</v>
      </c>
      <c r="F3990" s="10"/>
      <c r="G3990" s="9" t="s">
        <v>15</v>
      </c>
      <c r="H3990" s="7" t="s">
        <v>7008</v>
      </c>
      <c r="I3990" s="9" t="s">
        <v>353</v>
      </c>
      <c r="J3990" s="88"/>
    </row>
    <row r="3991">
      <c r="A3991" s="34" t="s">
        <v>204</v>
      </c>
      <c r="B3991" s="7" t="s">
        <v>6075</v>
      </c>
      <c r="C3991" s="91">
        <v>45083.39117107639</v>
      </c>
      <c r="D3991" s="8">
        <f t="shared" si="315"/>
        <v>45085</v>
      </c>
      <c r="E3991" s="9" t="s">
        <v>11</v>
      </c>
      <c r="F3991" s="10"/>
      <c r="G3991" s="9" t="s">
        <v>18</v>
      </c>
      <c r="H3991" s="7" t="s">
        <v>7009</v>
      </c>
      <c r="I3991" s="9" t="s">
        <v>353</v>
      </c>
      <c r="J3991" s="88"/>
    </row>
    <row r="3992">
      <c r="A3992" s="54" t="s">
        <v>332</v>
      </c>
      <c r="B3992" s="114" t="s">
        <v>7010</v>
      </c>
      <c r="C3992" s="91">
        <v>45082.416560196754</v>
      </c>
      <c r="D3992" s="8">
        <f t="shared" si="315"/>
        <v>45084</v>
      </c>
      <c r="E3992" s="9" t="s">
        <v>206</v>
      </c>
      <c r="F3992" s="10"/>
      <c r="G3992" s="9" t="s">
        <v>18</v>
      </c>
      <c r="H3992" s="7" t="s">
        <v>7011</v>
      </c>
      <c r="I3992" s="9" t="s">
        <v>353</v>
      </c>
      <c r="J3992" s="88"/>
    </row>
    <row r="3993">
      <c r="A3993" s="54" t="s">
        <v>332</v>
      </c>
      <c r="B3993" s="114" t="s">
        <v>7012</v>
      </c>
      <c r="C3993" s="91">
        <v>45082.37114052083</v>
      </c>
      <c r="D3993" s="8">
        <f t="shared" si="315"/>
        <v>45084</v>
      </c>
      <c r="E3993" s="9" t="s">
        <v>206</v>
      </c>
      <c r="F3993" s="10"/>
      <c r="G3993" s="9" t="s">
        <v>18</v>
      </c>
      <c r="H3993" s="7" t="s">
        <v>7011</v>
      </c>
      <c r="I3993" s="9" t="s">
        <v>353</v>
      </c>
      <c r="J3993" s="88"/>
    </row>
    <row r="3994">
      <c r="A3994" s="54" t="s">
        <v>332</v>
      </c>
      <c r="B3994" s="114" t="s">
        <v>7013</v>
      </c>
      <c r="C3994" s="91">
        <v>45082.37104078704</v>
      </c>
      <c r="D3994" s="8">
        <f t="shared" si="315"/>
        <v>45084</v>
      </c>
      <c r="E3994" s="9" t="s">
        <v>206</v>
      </c>
      <c r="F3994" s="10"/>
      <c r="G3994" s="9" t="s">
        <v>18</v>
      </c>
      <c r="H3994" s="7" t="s">
        <v>7011</v>
      </c>
      <c r="I3994" s="9" t="s">
        <v>353</v>
      </c>
      <c r="J3994" s="88"/>
    </row>
    <row r="3995">
      <c r="A3995" s="54" t="s">
        <v>332</v>
      </c>
      <c r="B3995" s="7" t="s">
        <v>7014</v>
      </c>
      <c r="C3995" s="91">
        <v>44984.45056079861</v>
      </c>
      <c r="D3995" s="9" t="s">
        <v>11</v>
      </c>
      <c r="E3995" s="9" t="s">
        <v>88</v>
      </c>
      <c r="F3995" s="71"/>
      <c r="G3995" s="9" t="s">
        <v>18</v>
      </c>
      <c r="H3995" s="7" t="s">
        <v>7015</v>
      </c>
      <c r="I3995" s="9" t="s">
        <v>353</v>
      </c>
      <c r="J3995" s="88"/>
    </row>
    <row r="3996">
      <c r="A3996" s="54" t="s">
        <v>332</v>
      </c>
      <c r="B3996" s="114" t="s">
        <v>7016</v>
      </c>
      <c r="C3996" s="91">
        <v>45082.37096030093</v>
      </c>
      <c r="D3996" s="8">
        <f t="shared" ref="D3996:D4036" si="316">IFERROR(_xlfn.WORKDAY.INTL(C3996, 2),"-")</f>
        <v>45084</v>
      </c>
      <c r="E3996" s="9" t="s">
        <v>206</v>
      </c>
      <c r="F3996" s="10"/>
      <c r="G3996" s="9" t="s">
        <v>18</v>
      </c>
      <c r="H3996" s="7" t="s">
        <v>7011</v>
      </c>
      <c r="I3996" s="9" t="s">
        <v>353</v>
      </c>
      <c r="J3996" s="88"/>
    </row>
    <row r="3997">
      <c r="A3997" s="54" t="s">
        <v>332</v>
      </c>
      <c r="B3997" s="7" t="s">
        <v>7017</v>
      </c>
      <c r="C3997" s="91">
        <v>45078.741943009256</v>
      </c>
      <c r="D3997" s="8">
        <f t="shared" si="316"/>
        <v>45082</v>
      </c>
      <c r="E3997" s="9" t="s">
        <v>88</v>
      </c>
      <c r="F3997" s="10"/>
      <c r="G3997" s="9" t="s">
        <v>18</v>
      </c>
      <c r="H3997" s="7" t="s">
        <v>7018</v>
      </c>
      <c r="I3997" s="9" t="s">
        <v>353</v>
      </c>
      <c r="J3997" s="88"/>
    </row>
    <row r="3998">
      <c r="A3998" s="54" t="s">
        <v>332</v>
      </c>
      <c r="B3998" s="7" t="s">
        <v>7019</v>
      </c>
      <c r="C3998" s="91">
        <v>45082.5236396875</v>
      </c>
      <c r="D3998" s="8">
        <f t="shared" si="316"/>
        <v>45084</v>
      </c>
      <c r="E3998" s="9" t="s">
        <v>206</v>
      </c>
      <c r="F3998" s="8"/>
      <c r="G3998" s="9" t="s">
        <v>18</v>
      </c>
      <c r="H3998" s="7" t="s">
        <v>7020</v>
      </c>
      <c r="I3998" s="9" t="s">
        <v>353</v>
      </c>
      <c r="J3998" s="88"/>
    </row>
    <row r="3999">
      <c r="A3999" s="54" t="s">
        <v>332</v>
      </c>
      <c r="B3999" s="7" t="s">
        <v>7021</v>
      </c>
      <c r="C3999" s="91">
        <v>45082.49278173611</v>
      </c>
      <c r="D3999" s="8">
        <f t="shared" si="316"/>
        <v>45084</v>
      </c>
      <c r="E3999" s="9" t="s">
        <v>88</v>
      </c>
      <c r="F3999" s="10"/>
      <c r="G3999" s="9" t="s">
        <v>18</v>
      </c>
      <c r="H3999" s="7" t="s">
        <v>7022</v>
      </c>
      <c r="I3999" s="9" t="s">
        <v>353</v>
      </c>
      <c r="J3999" s="88"/>
    </row>
    <row r="4000">
      <c r="A4000" s="6" t="s">
        <v>9</v>
      </c>
      <c r="B4000" s="7" t="s">
        <v>7023</v>
      </c>
      <c r="C4000" s="91">
        <v>45079.461195358796</v>
      </c>
      <c r="D4000" s="8">
        <f t="shared" si="316"/>
        <v>45083</v>
      </c>
      <c r="E4000" s="9" t="s">
        <v>11</v>
      </c>
      <c r="F4000" s="10"/>
      <c r="G4000" s="9" t="s">
        <v>18</v>
      </c>
      <c r="H4000" s="7" t="s">
        <v>7024</v>
      </c>
      <c r="I4000" s="9" t="s">
        <v>353</v>
      </c>
      <c r="J4000" s="88"/>
    </row>
    <row r="4001">
      <c r="A4001" s="6" t="s">
        <v>9</v>
      </c>
      <c r="B4001" s="7" t="s">
        <v>7025</v>
      </c>
      <c r="C4001" s="91">
        <v>45079.446381435184</v>
      </c>
      <c r="D4001" s="8">
        <f t="shared" si="316"/>
        <v>45083</v>
      </c>
      <c r="E4001" s="9" t="s">
        <v>88</v>
      </c>
      <c r="F4001" s="10"/>
      <c r="G4001" s="9" t="s">
        <v>18</v>
      </c>
      <c r="H4001" s="7" t="s">
        <v>7026</v>
      </c>
      <c r="I4001" s="9" t="s">
        <v>353</v>
      </c>
      <c r="J4001" s="88"/>
    </row>
    <row r="4002">
      <c r="A4002" s="54" t="s">
        <v>332</v>
      </c>
      <c r="B4002" s="7" t="s">
        <v>7027</v>
      </c>
      <c r="C4002" s="91">
        <v>45035.425001979165</v>
      </c>
      <c r="D4002" s="8">
        <f t="shared" si="316"/>
        <v>45037</v>
      </c>
      <c r="E4002" s="9" t="s">
        <v>206</v>
      </c>
      <c r="F4002" s="8"/>
      <c r="G4002" s="9" t="s">
        <v>15</v>
      </c>
      <c r="H4002" s="7" t="s">
        <v>7028</v>
      </c>
      <c r="I4002" s="9" t="s">
        <v>353</v>
      </c>
      <c r="J4002" s="88"/>
    </row>
    <row r="4003">
      <c r="A4003" s="6" t="s">
        <v>9</v>
      </c>
      <c r="B4003" s="7" t="s">
        <v>7029</v>
      </c>
      <c r="C4003" s="91">
        <v>45075.61521134259</v>
      </c>
      <c r="D4003" s="8">
        <f t="shared" si="316"/>
        <v>45077</v>
      </c>
      <c r="E4003" s="9" t="s">
        <v>11</v>
      </c>
      <c r="F4003" s="10"/>
      <c r="G4003" s="9" t="s">
        <v>15</v>
      </c>
      <c r="H4003" s="7" t="s">
        <v>7030</v>
      </c>
      <c r="I4003" s="9" t="s">
        <v>353</v>
      </c>
      <c r="J4003" s="88"/>
    </row>
    <row r="4004">
      <c r="A4004" s="34" t="s">
        <v>204</v>
      </c>
      <c r="B4004" s="7" t="s">
        <v>7031</v>
      </c>
      <c r="C4004" s="91">
        <v>45075.40382835648</v>
      </c>
      <c r="D4004" s="8">
        <f t="shared" si="316"/>
        <v>45077</v>
      </c>
      <c r="E4004" s="9" t="s">
        <v>11</v>
      </c>
      <c r="F4004" s="10"/>
      <c r="G4004" s="9" t="s">
        <v>18</v>
      </c>
      <c r="H4004" s="7" t="s">
        <v>7032</v>
      </c>
      <c r="I4004" s="9" t="s">
        <v>353</v>
      </c>
      <c r="J4004" s="88"/>
    </row>
    <row r="4005">
      <c r="A4005" s="6" t="s">
        <v>9</v>
      </c>
      <c r="B4005" s="7" t="s">
        <v>2814</v>
      </c>
      <c r="C4005" s="91">
        <v>45078.431935162036</v>
      </c>
      <c r="D4005" s="8">
        <f t="shared" si="316"/>
        <v>45082</v>
      </c>
      <c r="E4005" s="9" t="s">
        <v>11</v>
      </c>
      <c r="F4005" s="10"/>
      <c r="G4005" s="9" t="s">
        <v>18</v>
      </c>
      <c r="H4005" s="7" t="s">
        <v>7033</v>
      </c>
      <c r="I4005" s="9" t="s">
        <v>353</v>
      </c>
      <c r="J4005" s="88"/>
    </row>
    <row r="4006">
      <c r="A4006" s="6" t="s">
        <v>9</v>
      </c>
      <c r="B4006" s="7" t="s">
        <v>7034</v>
      </c>
      <c r="C4006" s="91">
        <v>44923.701875555555</v>
      </c>
      <c r="D4006" s="8">
        <f t="shared" si="316"/>
        <v>44925</v>
      </c>
      <c r="E4006" s="9" t="s">
        <v>88</v>
      </c>
      <c r="F4006" s="9"/>
      <c r="G4006" s="9" t="s">
        <v>89</v>
      </c>
      <c r="H4006" s="7" t="s">
        <v>7035</v>
      </c>
      <c r="I4006" s="9" t="s">
        <v>353</v>
      </c>
      <c r="J4006" s="88"/>
    </row>
    <row r="4007">
      <c r="A4007" s="6" t="s">
        <v>9</v>
      </c>
      <c r="B4007" s="7" t="s">
        <v>7036</v>
      </c>
      <c r="C4007" s="91">
        <v>44942.61342445602</v>
      </c>
      <c r="D4007" s="8">
        <f t="shared" si="316"/>
        <v>44944</v>
      </c>
      <c r="E4007" s="9" t="s">
        <v>206</v>
      </c>
      <c r="F4007" s="10"/>
      <c r="G4007" s="9" t="s">
        <v>89</v>
      </c>
      <c r="H4007" s="7" t="s">
        <v>7037</v>
      </c>
      <c r="I4007" s="9" t="s">
        <v>353</v>
      </c>
      <c r="J4007" s="88"/>
    </row>
    <row r="4008">
      <c r="A4008" s="54" t="s">
        <v>332</v>
      </c>
      <c r="B4008" s="7" t="s">
        <v>7017</v>
      </c>
      <c r="C4008" s="91">
        <v>45050.59440725694</v>
      </c>
      <c r="D4008" s="8">
        <f t="shared" si="316"/>
        <v>45054</v>
      </c>
      <c r="E4008" s="9" t="s">
        <v>88</v>
      </c>
      <c r="F4008" s="10"/>
      <c r="G4008" s="9" t="s">
        <v>15</v>
      </c>
      <c r="H4008" s="7" t="s">
        <v>7038</v>
      </c>
      <c r="I4008" s="9" t="s">
        <v>353</v>
      </c>
      <c r="J4008" s="88"/>
    </row>
    <row r="4009">
      <c r="A4009" s="54" t="s">
        <v>332</v>
      </c>
      <c r="B4009" s="7" t="s">
        <v>7039</v>
      </c>
      <c r="C4009" s="91">
        <v>45055.46878364583</v>
      </c>
      <c r="D4009" s="8">
        <f t="shared" si="316"/>
        <v>45057</v>
      </c>
      <c r="E4009" s="9" t="s">
        <v>88</v>
      </c>
      <c r="F4009" s="10"/>
      <c r="G4009" s="9" t="s">
        <v>15</v>
      </c>
      <c r="H4009" s="7" t="s">
        <v>7040</v>
      </c>
      <c r="I4009" s="9" t="s">
        <v>353</v>
      </c>
      <c r="J4009" s="88"/>
    </row>
    <row r="4010">
      <c r="A4010" s="54" t="s">
        <v>332</v>
      </c>
      <c r="B4010" s="7" t="s">
        <v>7041</v>
      </c>
      <c r="C4010" s="91">
        <v>45056.35531143518</v>
      </c>
      <c r="D4010" s="8">
        <f t="shared" si="316"/>
        <v>45058</v>
      </c>
      <c r="E4010" s="9" t="s">
        <v>88</v>
      </c>
      <c r="F4010" s="10"/>
      <c r="G4010" s="9" t="s">
        <v>15</v>
      </c>
      <c r="H4010" s="7" t="s">
        <v>7042</v>
      </c>
      <c r="I4010" s="9" t="s">
        <v>353</v>
      </c>
      <c r="J4010" s="88"/>
    </row>
    <row r="4011">
      <c r="A4011" s="34" t="s">
        <v>204</v>
      </c>
      <c r="B4011" s="7" t="s">
        <v>7043</v>
      </c>
      <c r="C4011" s="91">
        <v>45056.496790185185</v>
      </c>
      <c r="D4011" s="8">
        <f t="shared" si="316"/>
        <v>45058</v>
      </c>
      <c r="E4011" s="9" t="s">
        <v>11</v>
      </c>
      <c r="F4011" s="10"/>
      <c r="G4011" s="9" t="s">
        <v>15</v>
      </c>
      <c r="H4011" s="7" t="s">
        <v>5095</v>
      </c>
      <c r="I4011" s="9" t="s">
        <v>353</v>
      </c>
      <c r="J4011" s="88"/>
    </row>
    <row r="4012">
      <c r="A4012" s="54" t="s">
        <v>332</v>
      </c>
      <c r="B4012" s="114" t="s">
        <v>7044</v>
      </c>
      <c r="C4012" s="91">
        <v>45021.37708575232</v>
      </c>
      <c r="D4012" s="8">
        <f t="shared" si="316"/>
        <v>45023</v>
      </c>
      <c r="E4012" s="9" t="s">
        <v>206</v>
      </c>
      <c r="F4012" s="9"/>
      <c r="G4012" s="9" t="s">
        <v>220</v>
      </c>
      <c r="H4012" s="7" t="s">
        <v>7045</v>
      </c>
      <c r="I4012" s="9" t="s">
        <v>353</v>
      </c>
      <c r="J4012" s="88"/>
    </row>
    <row r="4013">
      <c r="A4013" s="54" t="s">
        <v>332</v>
      </c>
      <c r="B4013" s="114" t="s">
        <v>7046</v>
      </c>
      <c r="C4013" s="91">
        <v>45077.46658034722</v>
      </c>
      <c r="D4013" s="8">
        <f t="shared" si="316"/>
        <v>45079</v>
      </c>
      <c r="E4013" s="9" t="s">
        <v>206</v>
      </c>
      <c r="F4013" s="10"/>
      <c r="G4013" s="9" t="s">
        <v>18</v>
      </c>
      <c r="H4013" s="7" t="s">
        <v>7047</v>
      </c>
      <c r="I4013" s="9" t="s">
        <v>353</v>
      </c>
      <c r="J4013" s="88"/>
    </row>
    <row r="4014">
      <c r="A4014" s="54" t="s">
        <v>332</v>
      </c>
      <c r="B4014" s="7" t="s">
        <v>7048</v>
      </c>
      <c r="C4014" s="91">
        <v>45043.669140729166</v>
      </c>
      <c r="D4014" s="8">
        <f t="shared" si="316"/>
        <v>45047</v>
      </c>
      <c r="E4014" s="9" t="s">
        <v>88</v>
      </c>
      <c r="F4014" s="71"/>
      <c r="G4014" s="9" t="s">
        <v>18</v>
      </c>
      <c r="H4014" s="7" t="s">
        <v>7049</v>
      </c>
      <c r="I4014" s="9" t="s">
        <v>353</v>
      </c>
      <c r="J4014" s="88"/>
    </row>
    <row r="4015">
      <c r="A4015" s="54" t="s">
        <v>332</v>
      </c>
      <c r="B4015" s="7" t="s">
        <v>7050</v>
      </c>
      <c r="C4015" s="91">
        <v>45076.449054490746</v>
      </c>
      <c r="D4015" s="8">
        <f t="shared" si="316"/>
        <v>45078</v>
      </c>
      <c r="E4015" s="9" t="s">
        <v>88</v>
      </c>
      <c r="F4015" s="10"/>
      <c r="G4015" s="9" t="s">
        <v>18</v>
      </c>
      <c r="H4015" s="7" t="s">
        <v>7051</v>
      </c>
      <c r="I4015" s="9" t="s">
        <v>353</v>
      </c>
      <c r="J4015" s="88"/>
    </row>
    <row r="4016">
      <c r="A4016" s="6" t="s">
        <v>9</v>
      </c>
      <c r="B4016" s="7" t="s">
        <v>5768</v>
      </c>
      <c r="C4016" s="91">
        <v>45076.71656835648</v>
      </c>
      <c r="D4016" s="8">
        <f t="shared" si="316"/>
        <v>45078</v>
      </c>
      <c r="E4016" s="9" t="s">
        <v>11</v>
      </c>
      <c r="F4016" s="10"/>
      <c r="G4016" s="9" t="s">
        <v>18</v>
      </c>
      <c r="H4016" s="7" t="s">
        <v>7052</v>
      </c>
      <c r="I4016" s="9" t="s">
        <v>353</v>
      </c>
      <c r="J4016" s="88"/>
    </row>
    <row r="4017">
      <c r="A4017" s="54" t="s">
        <v>332</v>
      </c>
      <c r="B4017" s="7" t="s">
        <v>7053</v>
      </c>
      <c r="C4017" s="91">
        <v>45071.630034444446</v>
      </c>
      <c r="D4017" s="8">
        <f t="shared" si="316"/>
        <v>45075</v>
      </c>
      <c r="E4017" s="9" t="s">
        <v>88</v>
      </c>
      <c r="F4017" s="10"/>
      <c r="G4017" s="9" t="s">
        <v>15</v>
      </c>
      <c r="H4017" s="7" t="s">
        <v>7054</v>
      </c>
      <c r="I4017" s="9" t="s">
        <v>353</v>
      </c>
      <c r="J4017" s="88"/>
    </row>
    <row r="4018">
      <c r="A4018" s="6" t="s">
        <v>9</v>
      </c>
      <c r="B4018" s="7" t="s">
        <v>7055</v>
      </c>
      <c r="C4018" s="91">
        <v>45076.7091172338</v>
      </c>
      <c r="D4018" s="8">
        <f t="shared" si="316"/>
        <v>45078</v>
      </c>
      <c r="E4018" s="9" t="s">
        <v>11</v>
      </c>
      <c r="F4018" s="10"/>
      <c r="G4018" s="9" t="s">
        <v>18</v>
      </c>
      <c r="H4018" s="7" t="s">
        <v>7056</v>
      </c>
      <c r="I4018" s="9" t="s">
        <v>353</v>
      </c>
      <c r="J4018" s="88"/>
    </row>
    <row r="4019">
      <c r="A4019" s="54" t="s">
        <v>332</v>
      </c>
      <c r="B4019" s="7" t="s">
        <v>7057</v>
      </c>
      <c r="C4019" s="91">
        <v>45007.62040193287</v>
      </c>
      <c r="D4019" s="8">
        <f t="shared" si="316"/>
        <v>45009</v>
      </c>
      <c r="E4019" s="9" t="s">
        <v>88</v>
      </c>
      <c r="F4019" s="8"/>
      <c r="G4019" s="9" t="s">
        <v>18</v>
      </c>
      <c r="H4019" s="7" t="s">
        <v>7058</v>
      </c>
      <c r="I4019" s="9" t="s">
        <v>353</v>
      </c>
      <c r="J4019" s="88"/>
    </row>
    <row r="4020">
      <c r="A4020" s="6" t="s">
        <v>9</v>
      </c>
      <c r="B4020" s="7" t="s">
        <v>7059</v>
      </c>
      <c r="C4020" s="91">
        <v>45069.5875140162</v>
      </c>
      <c r="D4020" s="8">
        <f t="shared" si="316"/>
        <v>45071</v>
      </c>
      <c r="E4020" s="9" t="s">
        <v>11</v>
      </c>
      <c r="F4020" s="10"/>
      <c r="G4020" s="9" t="s">
        <v>15</v>
      </c>
      <c r="H4020" s="7" t="s">
        <v>7060</v>
      </c>
      <c r="I4020" s="9" t="s">
        <v>353</v>
      </c>
      <c r="J4020" s="88"/>
    </row>
    <row r="4021">
      <c r="A4021" s="54" t="s">
        <v>332</v>
      </c>
      <c r="B4021" s="7" t="s">
        <v>7061</v>
      </c>
      <c r="C4021" s="91">
        <v>45076.3796784375</v>
      </c>
      <c r="D4021" s="8">
        <f t="shared" si="316"/>
        <v>45078</v>
      </c>
      <c r="E4021" s="9" t="s">
        <v>88</v>
      </c>
      <c r="F4021" s="10"/>
      <c r="G4021" s="9" t="s">
        <v>18</v>
      </c>
      <c r="H4021" s="7" t="s">
        <v>7062</v>
      </c>
      <c r="I4021" s="9" t="s">
        <v>353</v>
      </c>
      <c r="J4021" s="88"/>
    </row>
    <row r="4022">
      <c r="A4022" s="54" t="s">
        <v>332</v>
      </c>
      <c r="B4022" s="7" t="s">
        <v>7063</v>
      </c>
      <c r="C4022" s="91">
        <v>45063.38277980324</v>
      </c>
      <c r="D4022" s="8">
        <f t="shared" si="316"/>
        <v>45065</v>
      </c>
      <c r="E4022" s="9" t="s">
        <v>88</v>
      </c>
      <c r="F4022" s="8"/>
      <c r="G4022" s="9" t="s">
        <v>18</v>
      </c>
      <c r="H4022" s="7" t="s">
        <v>7064</v>
      </c>
      <c r="I4022" s="9" t="s">
        <v>353</v>
      </c>
      <c r="J4022" s="88"/>
    </row>
    <row r="4023">
      <c r="A4023" s="6" t="s">
        <v>9</v>
      </c>
      <c r="B4023" s="7" t="s">
        <v>7065</v>
      </c>
      <c r="C4023" s="91">
        <v>45076.40998924768</v>
      </c>
      <c r="D4023" s="8">
        <f t="shared" si="316"/>
        <v>45078</v>
      </c>
      <c r="E4023" s="9" t="s">
        <v>11</v>
      </c>
      <c r="F4023" s="10"/>
      <c r="G4023" s="9" t="s">
        <v>18</v>
      </c>
      <c r="H4023" s="7" t="s">
        <v>7066</v>
      </c>
      <c r="I4023" s="9" t="s">
        <v>353</v>
      </c>
      <c r="J4023" s="88"/>
    </row>
    <row r="4024">
      <c r="A4024" s="199" t="s">
        <v>9</v>
      </c>
      <c r="B4024" s="174" t="s">
        <v>7067</v>
      </c>
      <c r="C4024" s="119">
        <v>45069.45199398148</v>
      </c>
      <c r="D4024" s="80">
        <f t="shared" si="316"/>
        <v>45071</v>
      </c>
      <c r="E4024" s="172" t="s">
        <v>11</v>
      </c>
      <c r="F4024" s="175"/>
      <c r="G4024" s="9" t="s">
        <v>15</v>
      </c>
      <c r="H4024" s="174" t="s">
        <v>7068</v>
      </c>
      <c r="I4024" s="166" t="s">
        <v>353</v>
      </c>
      <c r="J4024" s="88"/>
    </row>
    <row r="4025">
      <c r="A4025" s="34" t="s">
        <v>204</v>
      </c>
      <c r="B4025" s="7" t="s">
        <v>7069</v>
      </c>
      <c r="C4025" s="91">
        <v>45075.73708550926</v>
      </c>
      <c r="D4025" s="8">
        <f t="shared" si="316"/>
        <v>45077</v>
      </c>
      <c r="E4025" s="9" t="s">
        <v>11</v>
      </c>
      <c r="F4025" s="10"/>
      <c r="G4025" s="9" t="s">
        <v>18</v>
      </c>
      <c r="H4025" s="7" t="s">
        <v>437</v>
      </c>
      <c r="I4025" s="9" t="s">
        <v>353</v>
      </c>
      <c r="J4025" s="88"/>
    </row>
    <row r="4026">
      <c r="A4026" s="34" t="s">
        <v>204</v>
      </c>
      <c r="B4026" s="7" t="s">
        <v>7070</v>
      </c>
      <c r="C4026" s="91">
        <v>45055.454695925924</v>
      </c>
      <c r="D4026" s="8">
        <f t="shared" si="316"/>
        <v>45057</v>
      </c>
      <c r="E4026" s="9" t="s">
        <v>11</v>
      </c>
      <c r="F4026" s="10"/>
      <c r="G4026" s="9" t="s">
        <v>18</v>
      </c>
      <c r="H4026" s="7" t="s">
        <v>7071</v>
      </c>
      <c r="I4026" s="9" t="s">
        <v>353</v>
      </c>
      <c r="J4026" s="88"/>
    </row>
    <row r="4027">
      <c r="A4027" s="6" t="s">
        <v>9</v>
      </c>
      <c r="B4027" s="7" t="s">
        <v>7072</v>
      </c>
      <c r="C4027" s="91">
        <v>45075.51475548611</v>
      </c>
      <c r="D4027" s="8">
        <f t="shared" si="316"/>
        <v>45077</v>
      </c>
      <c r="E4027" s="9" t="s">
        <v>11</v>
      </c>
      <c r="F4027" s="10"/>
      <c r="G4027" s="9" t="s">
        <v>18</v>
      </c>
      <c r="H4027" s="7" t="s">
        <v>7073</v>
      </c>
      <c r="I4027" s="9" t="s">
        <v>353</v>
      </c>
      <c r="J4027" s="88"/>
    </row>
    <row r="4028">
      <c r="A4028" s="6" t="s">
        <v>9</v>
      </c>
      <c r="B4028" s="7" t="s">
        <v>7074</v>
      </c>
      <c r="C4028" s="91">
        <v>45075.41038775463</v>
      </c>
      <c r="D4028" s="8">
        <f t="shared" si="316"/>
        <v>45077</v>
      </c>
      <c r="E4028" s="9" t="s">
        <v>11</v>
      </c>
      <c r="F4028" s="10"/>
      <c r="G4028" s="9" t="s">
        <v>18</v>
      </c>
      <c r="H4028" s="7" t="s">
        <v>7075</v>
      </c>
      <c r="I4028" s="9" t="s">
        <v>353</v>
      </c>
      <c r="J4028" s="88"/>
    </row>
    <row r="4029">
      <c r="A4029" s="6" t="s">
        <v>9</v>
      </c>
      <c r="B4029" s="7" t="s">
        <v>7076</v>
      </c>
      <c r="C4029" s="91">
        <v>45075.38666912037</v>
      </c>
      <c r="D4029" s="8">
        <f t="shared" si="316"/>
        <v>45077</v>
      </c>
      <c r="E4029" s="9" t="s">
        <v>11</v>
      </c>
      <c r="F4029" s="10"/>
      <c r="G4029" s="9" t="s">
        <v>18</v>
      </c>
      <c r="H4029" s="7" t="s">
        <v>7077</v>
      </c>
      <c r="I4029" s="9" t="s">
        <v>353</v>
      </c>
      <c r="J4029" s="88"/>
    </row>
    <row r="4030">
      <c r="A4030" s="6" t="s">
        <v>9</v>
      </c>
      <c r="B4030" s="7" t="s">
        <v>7078</v>
      </c>
      <c r="C4030" s="91">
        <v>45075.381063078705</v>
      </c>
      <c r="D4030" s="8">
        <f t="shared" si="316"/>
        <v>45077</v>
      </c>
      <c r="E4030" s="9" t="s">
        <v>11</v>
      </c>
      <c r="F4030" s="10"/>
      <c r="G4030" s="9" t="s">
        <v>18</v>
      </c>
      <c r="H4030" s="7" t="s">
        <v>7079</v>
      </c>
      <c r="I4030" s="9" t="s">
        <v>353</v>
      </c>
      <c r="J4030" s="88"/>
    </row>
    <row r="4031">
      <c r="A4031" s="54" t="s">
        <v>332</v>
      </c>
      <c r="B4031" s="7" t="s">
        <v>7080</v>
      </c>
      <c r="C4031" s="91">
        <v>45058.35561372685</v>
      </c>
      <c r="D4031" s="8">
        <f t="shared" si="316"/>
        <v>45062</v>
      </c>
      <c r="E4031" s="9" t="s">
        <v>206</v>
      </c>
      <c r="F4031" s="8"/>
      <c r="G4031" s="9" t="s">
        <v>18</v>
      </c>
      <c r="H4031" s="7" t="s">
        <v>7081</v>
      </c>
      <c r="I4031" s="9" t="s">
        <v>353</v>
      </c>
      <c r="J4031" s="88"/>
    </row>
    <row r="4032">
      <c r="A4032" s="54" t="s">
        <v>332</v>
      </c>
      <c r="B4032" s="7" t="s">
        <v>7082</v>
      </c>
      <c r="C4032" s="91">
        <v>45055.4150437037</v>
      </c>
      <c r="D4032" s="8">
        <f t="shared" si="316"/>
        <v>45057</v>
      </c>
      <c r="E4032" s="9" t="s">
        <v>88</v>
      </c>
      <c r="F4032" s="8"/>
      <c r="G4032" s="9" t="s">
        <v>15</v>
      </c>
      <c r="H4032" s="7" t="s">
        <v>7083</v>
      </c>
      <c r="I4032" s="9" t="s">
        <v>353</v>
      </c>
      <c r="J4032" s="88"/>
    </row>
    <row r="4033">
      <c r="A4033" s="6" t="s">
        <v>9</v>
      </c>
      <c r="B4033" s="7" t="s">
        <v>7084</v>
      </c>
      <c r="C4033" s="91">
        <v>45057.42814638889</v>
      </c>
      <c r="D4033" s="8">
        <f t="shared" si="316"/>
        <v>45061</v>
      </c>
      <c r="E4033" s="9" t="s">
        <v>11</v>
      </c>
      <c r="F4033" s="10"/>
      <c r="G4033" s="9" t="s">
        <v>15</v>
      </c>
      <c r="H4033" s="7" t="s">
        <v>7085</v>
      </c>
      <c r="I4033" s="9" t="s">
        <v>353</v>
      </c>
      <c r="J4033" s="88"/>
    </row>
    <row r="4034">
      <c r="A4034" s="54" t="s">
        <v>332</v>
      </c>
      <c r="B4034" s="114" t="s">
        <v>7086</v>
      </c>
      <c r="C4034" s="91">
        <v>45070.7475425</v>
      </c>
      <c r="D4034" s="8">
        <f t="shared" si="316"/>
        <v>45072</v>
      </c>
      <c r="E4034" s="9" t="s">
        <v>206</v>
      </c>
      <c r="F4034" s="10"/>
      <c r="G4034" s="9" t="s">
        <v>18</v>
      </c>
      <c r="H4034" s="7" t="s">
        <v>7087</v>
      </c>
      <c r="I4034" s="9" t="s">
        <v>353</v>
      </c>
      <c r="J4034" s="88"/>
    </row>
    <row r="4035">
      <c r="A4035" s="6" t="s">
        <v>9</v>
      </c>
      <c r="B4035" s="7" t="s">
        <v>7088</v>
      </c>
      <c r="C4035" s="91">
        <v>45071.678251087964</v>
      </c>
      <c r="D4035" s="8">
        <f t="shared" si="316"/>
        <v>45075</v>
      </c>
      <c r="E4035" s="9" t="s">
        <v>11</v>
      </c>
      <c r="F4035" s="10"/>
      <c r="G4035" s="9" t="s">
        <v>18</v>
      </c>
      <c r="H4035" s="7" t="s">
        <v>7089</v>
      </c>
      <c r="I4035" s="9" t="s">
        <v>353</v>
      </c>
      <c r="J4035" s="88"/>
    </row>
    <row r="4036">
      <c r="A4036" s="6" t="s">
        <v>9</v>
      </c>
      <c r="B4036" s="7" t="s">
        <v>7090</v>
      </c>
      <c r="C4036" s="91">
        <v>45055.65862736111</v>
      </c>
      <c r="D4036" s="8">
        <f t="shared" si="316"/>
        <v>45057</v>
      </c>
      <c r="E4036" s="9" t="s">
        <v>11</v>
      </c>
      <c r="F4036" s="10"/>
      <c r="G4036" s="9" t="s">
        <v>15</v>
      </c>
      <c r="H4036" s="7" t="s">
        <v>7091</v>
      </c>
      <c r="I4036" s="9" t="s">
        <v>353</v>
      </c>
      <c r="J4036" s="88"/>
    </row>
    <row r="4037">
      <c r="A4037" s="6" t="s">
        <v>9</v>
      </c>
      <c r="B4037" s="7" t="s">
        <v>7092</v>
      </c>
      <c r="C4037" s="91">
        <v>44760.427446851856</v>
      </c>
      <c r="D4037" s="9" t="s">
        <v>11</v>
      </c>
      <c r="E4037" s="9" t="s">
        <v>88</v>
      </c>
      <c r="F4037" s="8"/>
      <c r="G4037" s="9" t="s">
        <v>4263</v>
      </c>
      <c r="H4037" s="7" t="s">
        <v>7093</v>
      </c>
      <c r="I4037" s="9" t="s">
        <v>353</v>
      </c>
      <c r="J4037" s="88"/>
    </row>
    <row r="4038">
      <c r="A4038" s="6" t="s">
        <v>9</v>
      </c>
      <c r="B4038" s="7" t="s">
        <v>7094</v>
      </c>
      <c r="C4038" s="91">
        <v>45068.39205115741</v>
      </c>
      <c r="D4038" s="8">
        <f t="shared" ref="D4038:D4059" si="317">IFERROR(_xlfn.WORKDAY.INTL(C4038, 2),"-")</f>
        <v>45070</v>
      </c>
      <c r="E4038" s="9" t="s">
        <v>11</v>
      </c>
      <c r="F4038" s="8"/>
      <c r="G4038" s="9" t="s">
        <v>18</v>
      </c>
      <c r="H4038" s="7" t="s">
        <v>7095</v>
      </c>
      <c r="I4038" s="9" t="s">
        <v>353</v>
      </c>
      <c r="J4038" s="88"/>
    </row>
    <row r="4039">
      <c r="A4039" s="6" t="s">
        <v>9</v>
      </c>
      <c r="B4039" s="7" t="s">
        <v>7096</v>
      </c>
      <c r="C4039" s="91">
        <v>45036.56409853009</v>
      </c>
      <c r="D4039" s="8">
        <f t="shared" si="317"/>
        <v>45040</v>
      </c>
      <c r="E4039" s="9" t="s">
        <v>11</v>
      </c>
      <c r="F4039" s="10"/>
      <c r="G4039" s="9" t="s">
        <v>15</v>
      </c>
      <c r="H4039" s="7" t="s">
        <v>7097</v>
      </c>
      <c r="I4039" s="9" t="s">
        <v>353</v>
      </c>
      <c r="J4039" s="88"/>
    </row>
    <row r="4040">
      <c r="A4040" s="54" t="s">
        <v>332</v>
      </c>
      <c r="B4040" s="7" t="s">
        <v>7098</v>
      </c>
      <c r="C4040" s="91">
        <v>45050.612459375</v>
      </c>
      <c r="D4040" s="8">
        <f t="shared" si="317"/>
        <v>45054</v>
      </c>
      <c r="E4040" s="9" t="s">
        <v>206</v>
      </c>
      <c r="F4040" s="10"/>
      <c r="G4040" s="9" t="s">
        <v>18</v>
      </c>
      <c r="H4040" s="7" t="s">
        <v>7099</v>
      </c>
      <c r="I4040" s="9" t="s">
        <v>353</v>
      </c>
      <c r="J4040" s="88"/>
    </row>
    <row r="4041">
      <c r="A4041" s="6" t="s">
        <v>9</v>
      </c>
      <c r="B4041" s="7" t="s">
        <v>7100</v>
      </c>
      <c r="C4041" s="91">
        <v>45071.46839243056</v>
      </c>
      <c r="D4041" s="8">
        <f t="shared" si="317"/>
        <v>45075</v>
      </c>
      <c r="E4041" s="9" t="s">
        <v>11</v>
      </c>
      <c r="F4041" s="10"/>
      <c r="G4041" s="9" t="s">
        <v>15</v>
      </c>
      <c r="H4041" s="7" t="s">
        <v>7101</v>
      </c>
      <c r="I4041" s="9" t="s">
        <v>353</v>
      </c>
      <c r="J4041" s="88"/>
    </row>
    <row r="4042">
      <c r="A4042" s="199" t="s">
        <v>9</v>
      </c>
      <c r="B4042" s="200" t="s">
        <v>7102</v>
      </c>
      <c r="C4042" s="171">
        <v>45062.365990335646</v>
      </c>
      <c r="D4042" s="80">
        <f t="shared" si="317"/>
        <v>45064</v>
      </c>
      <c r="E4042" s="172" t="s">
        <v>11</v>
      </c>
      <c r="F4042" s="218"/>
      <c r="G4042" s="173" t="s">
        <v>15</v>
      </c>
      <c r="H4042" s="174" t="s">
        <v>7103</v>
      </c>
      <c r="I4042" s="166" t="s">
        <v>353</v>
      </c>
      <c r="J4042" s="88"/>
    </row>
    <row r="4043">
      <c r="A4043" s="54" t="s">
        <v>332</v>
      </c>
      <c r="B4043" s="7" t="s">
        <v>7104</v>
      </c>
      <c r="C4043" s="91">
        <v>45070.74458052083</v>
      </c>
      <c r="D4043" s="8">
        <f t="shared" si="317"/>
        <v>45072</v>
      </c>
      <c r="E4043" s="9" t="s">
        <v>206</v>
      </c>
      <c r="F4043" s="10"/>
      <c r="G4043" s="9" t="s">
        <v>220</v>
      </c>
      <c r="H4043" s="7" t="s">
        <v>7105</v>
      </c>
      <c r="I4043" s="9" t="s">
        <v>353</v>
      </c>
      <c r="J4043" s="88"/>
    </row>
    <row r="4044">
      <c r="A4044" s="6" t="s">
        <v>9</v>
      </c>
      <c r="B4044" s="7" t="s">
        <v>7106</v>
      </c>
      <c r="C4044" s="91">
        <v>45070.64820188658</v>
      </c>
      <c r="D4044" s="8">
        <f t="shared" si="317"/>
        <v>45072</v>
      </c>
      <c r="E4044" s="9" t="s">
        <v>11</v>
      </c>
      <c r="F4044" s="10"/>
      <c r="G4044" s="9"/>
      <c r="H4044" s="7" t="s">
        <v>7107</v>
      </c>
      <c r="I4044" s="9" t="s">
        <v>353</v>
      </c>
      <c r="J4044" s="88"/>
    </row>
    <row r="4045">
      <c r="A4045" s="34" t="s">
        <v>204</v>
      </c>
      <c r="B4045" s="7" t="s">
        <v>7108</v>
      </c>
      <c r="C4045" s="91">
        <v>45070.389381712965</v>
      </c>
      <c r="D4045" s="8">
        <f t="shared" si="317"/>
        <v>45072</v>
      </c>
      <c r="E4045" s="9" t="s">
        <v>88</v>
      </c>
      <c r="F4045" s="10"/>
      <c r="G4045" s="9" t="s">
        <v>18</v>
      </c>
      <c r="H4045" s="7" t="s">
        <v>437</v>
      </c>
      <c r="I4045" s="9" t="s">
        <v>353</v>
      </c>
      <c r="J4045" s="88"/>
    </row>
    <row r="4046">
      <c r="A4046" s="34" t="s">
        <v>204</v>
      </c>
      <c r="B4046" s="7" t="s">
        <v>7109</v>
      </c>
      <c r="C4046" s="91">
        <v>45063.38258730324</v>
      </c>
      <c r="D4046" s="8">
        <f t="shared" si="317"/>
        <v>45065</v>
      </c>
      <c r="E4046" s="9" t="s">
        <v>11</v>
      </c>
      <c r="F4046" s="10"/>
      <c r="G4046" s="9" t="s">
        <v>18</v>
      </c>
      <c r="H4046" s="7" t="s">
        <v>7110</v>
      </c>
      <c r="I4046" s="9" t="s">
        <v>353</v>
      </c>
      <c r="J4046" s="88"/>
    </row>
    <row r="4047">
      <c r="A4047" s="34" t="s">
        <v>204</v>
      </c>
      <c r="B4047" s="7" t="s">
        <v>7111</v>
      </c>
      <c r="C4047" s="91">
        <v>45063.43366445602</v>
      </c>
      <c r="D4047" s="8">
        <f t="shared" si="317"/>
        <v>45065</v>
      </c>
      <c r="E4047" s="9" t="s">
        <v>11</v>
      </c>
      <c r="F4047" s="10"/>
      <c r="G4047" s="9" t="s">
        <v>15</v>
      </c>
      <c r="H4047" s="7" t="s">
        <v>7112</v>
      </c>
      <c r="I4047" s="9" t="s">
        <v>353</v>
      </c>
      <c r="J4047" s="88"/>
    </row>
    <row r="4048">
      <c r="A4048" s="34" t="s">
        <v>204</v>
      </c>
      <c r="B4048" s="7" t="s">
        <v>7113</v>
      </c>
      <c r="C4048" s="91">
        <v>45069.627902418986</v>
      </c>
      <c r="D4048" s="8">
        <f t="shared" si="317"/>
        <v>45071</v>
      </c>
      <c r="E4048" s="9" t="s">
        <v>11</v>
      </c>
      <c r="F4048" s="10"/>
      <c r="G4048" s="9"/>
      <c r="H4048" s="7" t="s">
        <v>437</v>
      </c>
      <c r="I4048" s="9" t="s">
        <v>353</v>
      </c>
      <c r="J4048" s="88"/>
    </row>
    <row r="4049">
      <c r="A4049" s="6" t="s">
        <v>9</v>
      </c>
      <c r="B4049" s="7" t="s">
        <v>5768</v>
      </c>
      <c r="C4049" s="91">
        <v>45069.47542804398</v>
      </c>
      <c r="D4049" s="8">
        <f t="shared" si="317"/>
        <v>45071</v>
      </c>
      <c r="E4049" s="9" t="s">
        <v>11</v>
      </c>
      <c r="F4049" s="10"/>
      <c r="G4049" s="9" t="s">
        <v>18</v>
      </c>
      <c r="H4049" s="7" t="s">
        <v>7114</v>
      </c>
      <c r="I4049" s="9" t="s">
        <v>353</v>
      </c>
      <c r="J4049" s="88"/>
    </row>
    <row r="4050">
      <c r="A4050" s="54" t="s">
        <v>332</v>
      </c>
      <c r="B4050" s="114" t="s">
        <v>7115</v>
      </c>
      <c r="C4050" s="91">
        <v>45068.658687476855</v>
      </c>
      <c r="D4050" s="8">
        <f t="shared" si="317"/>
        <v>45070</v>
      </c>
      <c r="E4050" s="9" t="s">
        <v>11</v>
      </c>
      <c r="F4050" s="10"/>
      <c r="G4050" s="9" t="s">
        <v>18</v>
      </c>
      <c r="H4050" s="7" t="s">
        <v>7116</v>
      </c>
      <c r="I4050" s="9" t="s">
        <v>353</v>
      </c>
      <c r="J4050" s="88"/>
    </row>
    <row r="4051">
      <c r="A4051" s="54" t="s">
        <v>332</v>
      </c>
      <c r="B4051" s="114" t="s">
        <v>7117</v>
      </c>
      <c r="C4051" s="91">
        <v>45068.35166939815</v>
      </c>
      <c r="D4051" s="8">
        <f t="shared" si="317"/>
        <v>45070</v>
      </c>
      <c r="E4051" s="9" t="s">
        <v>206</v>
      </c>
      <c r="F4051" s="10"/>
      <c r="G4051" s="9" t="s">
        <v>18</v>
      </c>
      <c r="H4051" s="7" t="s">
        <v>7116</v>
      </c>
      <c r="I4051" s="9" t="s">
        <v>353</v>
      </c>
      <c r="J4051" s="88"/>
    </row>
    <row r="4052">
      <c r="A4052" s="6" t="s">
        <v>9</v>
      </c>
      <c r="B4052" s="7" t="s">
        <v>7118</v>
      </c>
      <c r="C4052" s="91">
        <v>45048.7061165625</v>
      </c>
      <c r="D4052" s="8">
        <f t="shared" si="317"/>
        <v>45050</v>
      </c>
      <c r="E4052" s="9" t="s">
        <v>11</v>
      </c>
      <c r="F4052" s="10"/>
      <c r="G4052" s="9" t="s">
        <v>15</v>
      </c>
      <c r="H4052" s="7" t="s">
        <v>7119</v>
      </c>
      <c r="I4052" s="9" t="s">
        <v>353</v>
      </c>
      <c r="J4052" s="88"/>
    </row>
    <row r="4053">
      <c r="A4053" s="54" t="s">
        <v>332</v>
      </c>
      <c r="B4053" s="114" t="s">
        <v>7120</v>
      </c>
      <c r="C4053" s="91">
        <v>45061.58788245371</v>
      </c>
      <c r="D4053" s="8">
        <f t="shared" si="317"/>
        <v>45063</v>
      </c>
      <c r="E4053" s="9" t="s">
        <v>206</v>
      </c>
      <c r="F4053" s="8"/>
      <c r="G4053" s="9" t="s">
        <v>18</v>
      </c>
      <c r="H4053" s="7" t="s">
        <v>7121</v>
      </c>
      <c r="I4053" s="9" t="s">
        <v>353</v>
      </c>
      <c r="J4053" s="88"/>
    </row>
    <row r="4054">
      <c r="A4054" s="34" t="s">
        <v>204</v>
      </c>
      <c r="B4054" s="7" t="s">
        <v>7122</v>
      </c>
      <c r="C4054" s="91">
        <v>44914.62650017361</v>
      </c>
      <c r="D4054" s="8">
        <f t="shared" si="317"/>
        <v>44916</v>
      </c>
      <c r="E4054" s="9" t="s">
        <v>11</v>
      </c>
      <c r="F4054" s="9"/>
      <c r="G4054" s="9" t="s">
        <v>15</v>
      </c>
      <c r="H4054" s="7" t="s">
        <v>7123</v>
      </c>
      <c r="I4054" s="9" t="s">
        <v>353</v>
      </c>
      <c r="J4054" s="88"/>
    </row>
    <row r="4055">
      <c r="A4055" s="54" t="s">
        <v>332</v>
      </c>
      <c r="B4055" s="7" t="s">
        <v>7124</v>
      </c>
      <c r="C4055" s="91">
        <v>45058.35601137731</v>
      </c>
      <c r="D4055" s="8">
        <f t="shared" si="317"/>
        <v>45062</v>
      </c>
      <c r="E4055" s="9" t="s">
        <v>88</v>
      </c>
      <c r="F4055" s="8"/>
      <c r="G4055" s="9" t="s">
        <v>18</v>
      </c>
      <c r="H4055" s="7" t="s">
        <v>7125</v>
      </c>
      <c r="I4055" s="9" t="s">
        <v>353</v>
      </c>
      <c r="J4055" s="88"/>
    </row>
    <row r="4056">
      <c r="A4056" s="54" t="s">
        <v>332</v>
      </c>
      <c r="B4056" s="7" t="s">
        <v>7126</v>
      </c>
      <c r="C4056" s="91">
        <v>45035.51069667824</v>
      </c>
      <c r="D4056" s="8">
        <f t="shared" si="317"/>
        <v>45037</v>
      </c>
      <c r="E4056" s="9" t="s">
        <v>206</v>
      </c>
      <c r="F4056" s="10"/>
      <c r="G4056" s="9" t="s">
        <v>18</v>
      </c>
      <c r="H4056" s="7" t="s">
        <v>7127</v>
      </c>
      <c r="I4056" s="9" t="s">
        <v>353</v>
      </c>
      <c r="J4056" s="88"/>
    </row>
    <row r="4057">
      <c r="A4057" s="199" t="s">
        <v>9</v>
      </c>
      <c r="B4057" s="200" t="s">
        <v>7128</v>
      </c>
      <c r="C4057" s="171">
        <v>45062.36615836805</v>
      </c>
      <c r="D4057" s="80">
        <f t="shared" si="317"/>
        <v>45064</v>
      </c>
      <c r="E4057" s="172" t="s">
        <v>11</v>
      </c>
      <c r="F4057" s="175"/>
      <c r="G4057" s="9" t="s">
        <v>15</v>
      </c>
      <c r="H4057" s="174" t="s">
        <v>7129</v>
      </c>
      <c r="I4057" s="166" t="s">
        <v>353</v>
      </c>
      <c r="J4057" s="88"/>
    </row>
    <row r="4058">
      <c r="A4058" s="34" t="s">
        <v>204</v>
      </c>
      <c r="B4058" s="7" t="s">
        <v>7130</v>
      </c>
      <c r="C4058" s="91">
        <v>45068.462342997685</v>
      </c>
      <c r="D4058" s="8">
        <f t="shared" si="317"/>
        <v>45070</v>
      </c>
      <c r="E4058" s="9" t="s">
        <v>11</v>
      </c>
      <c r="F4058" s="10"/>
      <c r="G4058" s="9"/>
      <c r="H4058" s="7" t="s">
        <v>437</v>
      </c>
      <c r="I4058" s="9" t="s">
        <v>353</v>
      </c>
      <c r="J4058" s="88"/>
    </row>
    <row r="4059">
      <c r="A4059" s="199" t="s">
        <v>9</v>
      </c>
      <c r="B4059" s="200" t="s">
        <v>7131</v>
      </c>
      <c r="C4059" s="171">
        <v>45062.36624924769</v>
      </c>
      <c r="D4059" s="80">
        <f t="shared" si="317"/>
        <v>45064</v>
      </c>
      <c r="E4059" s="172" t="s">
        <v>11</v>
      </c>
      <c r="F4059" s="175"/>
      <c r="G4059" s="9" t="s">
        <v>15</v>
      </c>
      <c r="H4059" s="174" t="s">
        <v>7132</v>
      </c>
      <c r="I4059" s="166" t="s">
        <v>353</v>
      </c>
      <c r="J4059" s="88"/>
    </row>
    <row r="4060">
      <c r="A4060" s="6" t="s">
        <v>9</v>
      </c>
      <c r="B4060" s="7" t="s">
        <v>7133</v>
      </c>
      <c r="C4060" s="91">
        <v>45068.376929375</v>
      </c>
      <c r="D4060" s="8"/>
      <c r="E4060" s="9"/>
      <c r="F4060" s="10"/>
      <c r="G4060" s="9"/>
      <c r="H4060" s="7" t="s">
        <v>7134</v>
      </c>
      <c r="I4060" s="9" t="s">
        <v>353</v>
      </c>
      <c r="J4060" s="88"/>
    </row>
    <row r="4061">
      <c r="A4061" s="54" t="s">
        <v>332</v>
      </c>
      <c r="B4061" s="7" t="s">
        <v>7135</v>
      </c>
      <c r="C4061" s="91">
        <v>45057.662715729166</v>
      </c>
      <c r="D4061" s="8">
        <f t="shared" ref="D4061:D4077" si="318">IFERROR(_xlfn.WORKDAY.INTL(C4061, 2),"-")</f>
        <v>45061</v>
      </c>
      <c r="E4061" s="9" t="s">
        <v>206</v>
      </c>
      <c r="F4061" s="8"/>
      <c r="G4061" s="9" t="s">
        <v>18</v>
      </c>
      <c r="H4061" s="7" t="s">
        <v>7136</v>
      </c>
      <c r="I4061" s="9" t="s">
        <v>353</v>
      </c>
      <c r="J4061" s="88"/>
    </row>
    <row r="4062">
      <c r="A4062" s="34" t="s">
        <v>204</v>
      </c>
      <c r="B4062" s="7" t="s">
        <v>7137</v>
      </c>
      <c r="C4062" s="91">
        <v>45055.360058680555</v>
      </c>
      <c r="D4062" s="8">
        <f t="shared" si="318"/>
        <v>45057</v>
      </c>
      <c r="E4062" s="9" t="s">
        <v>11</v>
      </c>
      <c r="F4062" s="9"/>
      <c r="G4062" s="9" t="s">
        <v>18</v>
      </c>
      <c r="H4062" s="7" t="s">
        <v>7138</v>
      </c>
      <c r="I4062" s="9" t="s">
        <v>353</v>
      </c>
      <c r="J4062" s="88"/>
    </row>
    <row r="4063">
      <c r="A4063" s="199" t="s">
        <v>9</v>
      </c>
      <c r="B4063" s="200" t="s">
        <v>6908</v>
      </c>
      <c r="C4063" s="171">
        <v>45062.57207638889</v>
      </c>
      <c r="D4063" s="80">
        <f t="shared" si="318"/>
        <v>45064</v>
      </c>
      <c r="E4063" s="172" t="s">
        <v>11</v>
      </c>
      <c r="F4063" s="175"/>
      <c r="G4063" s="9" t="s">
        <v>15</v>
      </c>
      <c r="H4063" s="174" t="s">
        <v>7139</v>
      </c>
      <c r="I4063" s="166" t="s">
        <v>353</v>
      </c>
      <c r="J4063" s="88"/>
    </row>
    <row r="4064">
      <c r="A4064" s="6" t="s">
        <v>9</v>
      </c>
      <c r="B4064" s="7" t="s">
        <v>7140</v>
      </c>
      <c r="C4064" s="91">
        <v>44985.46739443287</v>
      </c>
      <c r="D4064" s="8">
        <f t="shared" si="318"/>
        <v>44987</v>
      </c>
      <c r="E4064" s="9" t="s">
        <v>11</v>
      </c>
      <c r="F4064" s="10"/>
      <c r="G4064" s="9" t="s">
        <v>15</v>
      </c>
      <c r="H4064" s="7" t="s">
        <v>7141</v>
      </c>
      <c r="I4064" s="9" t="s">
        <v>353</v>
      </c>
      <c r="J4064" s="88"/>
    </row>
    <row r="4065">
      <c r="A4065" s="34" t="s">
        <v>204</v>
      </c>
      <c r="B4065" s="7" t="s">
        <v>7142</v>
      </c>
      <c r="C4065" s="91">
        <v>45041.46840383102</v>
      </c>
      <c r="D4065" s="8">
        <f t="shared" si="318"/>
        <v>45043</v>
      </c>
      <c r="E4065" s="9" t="s">
        <v>88</v>
      </c>
      <c r="F4065" s="9"/>
      <c r="G4065" s="9" t="s">
        <v>220</v>
      </c>
      <c r="H4065" s="7" t="s">
        <v>7143</v>
      </c>
      <c r="I4065" s="9" t="s">
        <v>353</v>
      </c>
      <c r="J4065" s="88"/>
    </row>
    <row r="4066">
      <c r="A4066" s="6" t="s">
        <v>9</v>
      </c>
      <c r="B4066" s="7" t="s">
        <v>7144</v>
      </c>
      <c r="C4066" s="91">
        <v>45063.51689706018</v>
      </c>
      <c r="D4066" s="8">
        <f t="shared" si="318"/>
        <v>45065</v>
      </c>
      <c r="E4066" s="9" t="s">
        <v>11</v>
      </c>
      <c r="F4066" s="10"/>
      <c r="G4066" s="9" t="s">
        <v>15</v>
      </c>
      <c r="H4066" s="7" t="s">
        <v>7139</v>
      </c>
      <c r="I4066" s="9" t="s">
        <v>353</v>
      </c>
      <c r="J4066" s="88"/>
    </row>
    <row r="4067">
      <c r="A4067" s="54" t="s">
        <v>332</v>
      </c>
      <c r="B4067" s="7" t="s">
        <v>7145</v>
      </c>
      <c r="C4067" s="91">
        <v>45027.41825351852</v>
      </c>
      <c r="D4067" s="8">
        <f t="shared" si="318"/>
        <v>45029</v>
      </c>
      <c r="E4067" s="9" t="s">
        <v>206</v>
      </c>
      <c r="F4067" s="8"/>
      <c r="G4067" s="9" t="s">
        <v>18</v>
      </c>
      <c r="H4067" s="7" t="s">
        <v>7146</v>
      </c>
      <c r="I4067" s="9" t="s">
        <v>353</v>
      </c>
      <c r="J4067" s="88"/>
    </row>
    <row r="4068">
      <c r="A4068" s="6" t="s">
        <v>9</v>
      </c>
      <c r="B4068" s="7" t="s">
        <v>7147</v>
      </c>
      <c r="C4068" s="91">
        <v>45063.48667356481</v>
      </c>
      <c r="D4068" s="8">
        <f t="shared" si="318"/>
        <v>45065</v>
      </c>
      <c r="E4068" s="9" t="s">
        <v>11</v>
      </c>
      <c r="F4068" s="10"/>
      <c r="G4068" s="9"/>
      <c r="H4068" s="7" t="s">
        <v>7148</v>
      </c>
      <c r="I4068" s="9" t="s">
        <v>353</v>
      </c>
      <c r="J4068" s="88"/>
    </row>
    <row r="4069">
      <c r="A4069" s="6" t="s">
        <v>9</v>
      </c>
      <c r="B4069" s="7" t="s">
        <v>7149</v>
      </c>
      <c r="C4069" s="91">
        <v>45062.67427447917</v>
      </c>
      <c r="D4069" s="8">
        <f t="shared" si="318"/>
        <v>45064</v>
      </c>
      <c r="E4069" s="9" t="s">
        <v>11</v>
      </c>
      <c r="F4069" s="10"/>
      <c r="G4069" s="9" t="s">
        <v>15</v>
      </c>
      <c r="H4069" s="7" t="s">
        <v>7150</v>
      </c>
      <c r="I4069" s="9" t="s">
        <v>353</v>
      </c>
      <c r="J4069" s="88"/>
    </row>
    <row r="4070">
      <c r="A4070" s="54" t="s">
        <v>332</v>
      </c>
      <c r="B4070" s="7" t="s">
        <v>7151</v>
      </c>
      <c r="C4070" s="91">
        <v>45022.41257857639</v>
      </c>
      <c r="D4070" s="8">
        <f t="shared" si="318"/>
        <v>45026</v>
      </c>
      <c r="E4070" s="9" t="s">
        <v>88</v>
      </c>
      <c r="F4070" s="8"/>
      <c r="G4070" s="9" t="s">
        <v>18</v>
      </c>
      <c r="H4070" s="7" t="s">
        <v>7152</v>
      </c>
      <c r="I4070" s="9" t="s">
        <v>353</v>
      </c>
      <c r="J4070" s="88"/>
    </row>
    <row r="4071">
      <c r="A4071" s="6" t="s">
        <v>9</v>
      </c>
      <c r="B4071" s="7" t="s">
        <v>7153</v>
      </c>
      <c r="C4071" s="91">
        <v>45057.72913045139</v>
      </c>
      <c r="D4071" s="8">
        <f t="shared" si="318"/>
        <v>45061</v>
      </c>
      <c r="E4071" s="9" t="s">
        <v>11</v>
      </c>
      <c r="F4071" s="10"/>
      <c r="G4071" s="9" t="s">
        <v>18</v>
      </c>
      <c r="H4071" s="7" t="s">
        <v>7154</v>
      </c>
      <c r="I4071" s="9" t="s">
        <v>353</v>
      </c>
      <c r="J4071" s="88"/>
    </row>
    <row r="4072">
      <c r="A4072" s="199" t="s">
        <v>9</v>
      </c>
      <c r="B4072" s="200" t="s">
        <v>7155</v>
      </c>
      <c r="C4072" s="171">
        <v>45062.36628097222</v>
      </c>
      <c r="D4072" s="80">
        <f t="shared" si="318"/>
        <v>45064</v>
      </c>
      <c r="E4072" s="172" t="s">
        <v>11</v>
      </c>
      <c r="F4072" s="201"/>
      <c r="G4072" s="9" t="s">
        <v>15</v>
      </c>
      <c r="H4072" s="174" t="s">
        <v>7156</v>
      </c>
      <c r="I4072" s="166" t="s">
        <v>353</v>
      </c>
      <c r="J4072" s="88"/>
    </row>
    <row r="4073">
      <c r="A4073" s="54" t="s">
        <v>332</v>
      </c>
      <c r="B4073" s="7" t="s">
        <v>7157</v>
      </c>
      <c r="C4073" s="91">
        <v>45019.71561457176</v>
      </c>
      <c r="D4073" s="8">
        <f t="shared" si="318"/>
        <v>45021</v>
      </c>
      <c r="E4073" s="9" t="s">
        <v>88</v>
      </c>
      <c r="F4073" s="8"/>
      <c r="G4073" s="9" t="s">
        <v>18</v>
      </c>
      <c r="H4073" s="7" t="s">
        <v>7158</v>
      </c>
      <c r="I4073" s="9" t="s">
        <v>353</v>
      </c>
      <c r="J4073" s="88"/>
    </row>
    <row r="4074">
      <c r="A4074" s="6" t="s">
        <v>9</v>
      </c>
      <c r="B4074" s="7" t="s">
        <v>7159</v>
      </c>
      <c r="C4074" s="91">
        <v>45056.6685509838</v>
      </c>
      <c r="D4074" s="8">
        <f t="shared" si="318"/>
        <v>45058</v>
      </c>
      <c r="E4074" s="9" t="s">
        <v>11</v>
      </c>
      <c r="F4074" s="10"/>
      <c r="G4074" s="9" t="s">
        <v>18</v>
      </c>
      <c r="H4074" s="7" t="s">
        <v>7160</v>
      </c>
      <c r="I4074" s="9" t="s">
        <v>353</v>
      </c>
      <c r="J4074" s="88"/>
    </row>
    <row r="4075">
      <c r="A4075" s="6" t="s">
        <v>9</v>
      </c>
      <c r="B4075" s="7" t="s">
        <v>7161</v>
      </c>
      <c r="C4075" s="91">
        <v>45057.59876850694</v>
      </c>
      <c r="D4075" s="8">
        <f t="shared" si="318"/>
        <v>45061</v>
      </c>
      <c r="E4075" s="9" t="s">
        <v>11</v>
      </c>
      <c r="F4075" s="10"/>
      <c r="G4075" s="9" t="s">
        <v>18</v>
      </c>
      <c r="H4075" s="7" t="s">
        <v>7162</v>
      </c>
      <c r="I4075" s="9" t="s">
        <v>353</v>
      </c>
      <c r="J4075" s="88"/>
    </row>
    <row r="4076">
      <c r="A4076" s="6" t="s">
        <v>9</v>
      </c>
      <c r="B4076" s="7" t="s">
        <v>7163</v>
      </c>
      <c r="C4076" s="91">
        <v>45058.4389174074</v>
      </c>
      <c r="D4076" s="8">
        <f t="shared" si="318"/>
        <v>45062</v>
      </c>
      <c r="E4076" s="9" t="s">
        <v>11</v>
      </c>
      <c r="F4076" s="10"/>
      <c r="G4076" s="9" t="s">
        <v>220</v>
      </c>
      <c r="H4076" s="7" t="s">
        <v>7164</v>
      </c>
      <c r="I4076" s="9" t="s">
        <v>353</v>
      </c>
      <c r="J4076" s="88"/>
    </row>
    <row r="4077">
      <c r="A4077" s="54" t="s">
        <v>332</v>
      </c>
      <c r="B4077" s="114" t="s">
        <v>7165</v>
      </c>
      <c r="C4077" s="91">
        <v>45061.35171335648</v>
      </c>
      <c r="D4077" s="8">
        <f t="shared" si="318"/>
        <v>45063</v>
      </c>
      <c r="E4077" s="9" t="s">
        <v>11</v>
      </c>
      <c r="F4077" s="10"/>
      <c r="G4077" s="9" t="s">
        <v>18</v>
      </c>
      <c r="H4077" s="7" t="s">
        <v>7166</v>
      </c>
      <c r="I4077" s="9" t="s">
        <v>353</v>
      </c>
      <c r="J4077" s="88"/>
    </row>
    <row r="4078">
      <c r="A4078" s="6" t="s">
        <v>9</v>
      </c>
      <c r="B4078" s="7" t="s">
        <v>7167</v>
      </c>
      <c r="C4078" s="91">
        <v>44901.50957513889</v>
      </c>
      <c r="D4078" s="9" t="s">
        <v>11</v>
      </c>
      <c r="E4078" s="9" t="s">
        <v>88</v>
      </c>
      <c r="F4078" s="10"/>
      <c r="G4078" s="9" t="s">
        <v>89</v>
      </c>
      <c r="H4078" s="7" t="s">
        <v>7168</v>
      </c>
      <c r="I4078" s="9" t="s">
        <v>353</v>
      </c>
      <c r="J4078" s="88"/>
    </row>
    <row r="4079">
      <c r="A4079" s="6" t="s">
        <v>9</v>
      </c>
      <c r="B4079" s="7" t="s">
        <v>7169</v>
      </c>
      <c r="C4079" s="91" t="s">
        <v>11</v>
      </c>
      <c r="D4079" s="9" t="s">
        <v>11</v>
      </c>
      <c r="E4079" s="9" t="s">
        <v>88</v>
      </c>
      <c r="F4079" s="8"/>
      <c r="G4079" s="9" t="s">
        <v>89</v>
      </c>
      <c r="H4079" s="7" t="s">
        <v>7170</v>
      </c>
      <c r="I4079" s="9" t="s">
        <v>353</v>
      </c>
      <c r="J4079" s="88"/>
    </row>
    <row r="4080">
      <c r="A4080" s="6" t="s">
        <v>9</v>
      </c>
      <c r="B4080" s="7" t="s">
        <v>7171</v>
      </c>
      <c r="C4080" s="91">
        <v>45000.44087644676</v>
      </c>
      <c r="D4080" s="8">
        <f t="shared" ref="D4080:D4090" si="319">IFERROR(_xlfn.WORKDAY.INTL(C4080, 2),"-")</f>
        <v>45002</v>
      </c>
      <c r="E4080" s="9" t="s">
        <v>88</v>
      </c>
      <c r="F4080" s="10"/>
      <c r="G4080" s="9" t="s">
        <v>89</v>
      </c>
      <c r="H4080" s="7" t="s">
        <v>7172</v>
      </c>
      <c r="I4080" s="9" t="s">
        <v>353</v>
      </c>
      <c r="J4080" s="88"/>
    </row>
    <row r="4081">
      <c r="A4081" s="6" t="s">
        <v>9</v>
      </c>
      <c r="B4081" s="7" t="s">
        <v>7173</v>
      </c>
      <c r="C4081" s="91">
        <v>45042.33426855324</v>
      </c>
      <c r="D4081" s="8">
        <f t="shared" si="319"/>
        <v>45044</v>
      </c>
      <c r="E4081" s="9" t="s">
        <v>88</v>
      </c>
      <c r="F4081" s="10"/>
      <c r="G4081" s="9" t="s">
        <v>15</v>
      </c>
      <c r="H4081" s="7" t="s">
        <v>7174</v>
      </c>
      <c r="I4081" s="9" t="s">
        <v>353</v>
      </c>
      <c r="J4081" s="88"/>
    </row>
    <row r="4082">
      <c r="A4082" s="6" t="s">
        <v>9</v>
      </c>
      <c r="B4082" s="7" t="s">
        <v>7175</v>
      </c>
      <c r="C4082" s="91">
        <v>44847.73779921296</v>
      </c>
      <c r="D4082" s="8">
        <f t="shared" si="319"/>
        <v>44851</v>
      </c>
      <c r="E4082" s="9" t="s">
        <v>206</v>
      </c>
      <c r="F4082" s="9"/>
      <c r="G4082" s="9" t="s">
        <v>89</v>
      </c>
      <c r="H4082" s="7" t="s">
        <v>7176</v>
      </c>
      <c r="I4082" s="9" t="s">
        <v>353</v>
      </c>
      <c r="J4082" s="88"/>
    </row>
    <row r="4083">
      <c r="A4083" s="6" t="s">
        <v>9</v>
      </c>
      <c r="B4083" s="7" t="s">
        <v>7177</v>
      </c>
      <c r="C4083" s="91">
        <v>45050.71795519676</v>
      </c>
      <c r="D4083" s="8">
        <f t="shared" si="319"/>
        <v>45054</v>
      </c>
      <c r="E4083" s="9" t="s">
        <v>11</v>
      </c>
      <c r="F4083" s="10"/>
      <c r="G4083" s="9" t="s">
        <v>15</v>
      </c>
      <c r="H4083" s="7" t="s">
        <v>7178</v>
      </c>
      <c r="I4083" s="9" t="s">
        <v>353</v>
      </c>
      <c r="J4083" s="88"/>
    </row>
    <row r="4084">
      <c r="A4084" s="54" t="s">
        <v>332</v>
      </c>
      <c r="B4084" s="7" t="s">
        <v>7179</v>
      </c>
      <c r="C4084" s="91">
        <v>45061.58682217593</v>
      </c>
      <c r="D4084" s="8">
        <f t="shared" si="319"/>
        <v>45063</v>
      </c>
      <c r="E4084" s="9" t="s">
        <v>88</v>
      </c>
      <c r="F4084" s="10"/>
      <c r="G4084" s="9" t="s">
        <v>18</v>
      </c>
      <c r="H4084" s="11"/>
      <c r="I4084" s="9" t="s">
        <v>353</v>
      </c>
      <c r="J4084" s="88"/>
    </row>
    <row r="4085">
      <c r="A4085" s="6" t="s">
        <v>9</v>
      </c>
      <c r="B4085" s="7" t="s">
        <v>7180</v>
      </c>
      <c r="C4085" s="91">
        <v>45057.69670472222</v>
      </c>
      <c r="D4085" s="8">
        <f t="shared" si="319"/>
        <v>45061</v>
      </c>
      <c r="E4085" s="9" t="s">
        <v>11</v>
      </c>
      <c r="F4085" s="10"/>
      <c r="G4085" s="9" t="s">
        <v>15</v>
      </c>
      <c r="H4085" s="7" t="s">
        <v>7181</v>
      </c>
      <c r="I4085" s="9" t="s">
        <v>353</v>
      </c>
      <c r="J4085" s="88"/>
    </row>
    <row r="4086">
      <c r="A4086" s="34" t="s">
        <v>204</v>
      </c>
      <c r="B4086" s="7" t="s">
        <v>7182</v>
      </c>
      <c r="C4086" s="91">
        <v>45061.51327534722</v>
      </c>
      <c r="D4086" s="8">
        <f t="shared" si="319"/>
        <v>45063</v>
      </c>
      <c r="E4086" s="9" t="s">
        <v>206</v>
      </c>
      <c r="F4086" s="10"/>
      <c r="G4086" s="9" t="s">
        <v>18</v>
      </c>
      <c r="H4086" s="7" t="s">
        <v>437</v>
      </c>
      <c r="I4086" s="9" t="s">
        <v>353</v>
      </c>
      <c r="J4086" s="88"/>
    </row>
    <row r="4087">
      <c r="A4087" s="6" t="s">
        <v>9</v>
      </c>
      <c r="B4087" s="7" t="s">
        <v>7183</v>
      </c>
      <c r="C4087" s="91">
        <v>45056.68220452547</v>
      </c>
      <c r="D4087" s="8">
        <f t="shared" si="319"/>
        <v>45058</v>
      </c>
      <c r="E4087" s="9" t="s">
        <v>11</v>
      </c>
      <c r="F4087" s="10"/>
      <c r="G4087" s="9" t="s">
        <v>15</v>
      </c>
      <c r="H4087" s="7" t="s">
        <v>7184</v>
      </c>
      <c r="I4087" s="9" t="s">
        <v>353</v>
      </c>
      <c r="J4087" s="88"/>
    </row>
    <row r="4088">
      <c r="A4088" s="34" t="s">
        <v>204</v>
      </c>
      <c r="B4088" s="7" t="s">
        <v>7185</v>
      </c>
      <c r="C4088" s="91">
        <v>45048.49070334491</v>
      </c>
      <c r="D4088" s="8">
        <f t="shared" si="319"/>
        <v>45050</v>
      </c>
      <c r="E4088" s="9" t="s">
        <v>206</v>
      </c>
      <c r="F4088" s="10"/>
      <c r="G4088" s="9" t="s">
        <v>15</v>
      </c>
      <c r="H4088" s="7" t="s">
        <v>7186</v>
      </c>
      <c r="I4088" s="9" t="s">
        <v>353</v>
      </c>
      <c r="J4088" s="88"/>
    </row>
    <row r="4089">
      <c r="A4089" s="6" t="s">
        <v>9</v>
      </c>
      <c r="B4089" s="7" t="s">
        <v>7187</v>
      </c>
      <c r="C4089" s="91">
        <v>45056.7200790162</v>
      </c>
      <c r="D4089" s="8">
        <f t="shared" si="319"/>
        <v>45058</v>
      </c>
      <c r="E4089" s="9" t="s">
        <v>11</v>
      </c>
      <c r="F4089" s="10"/>
      <c r="G4089" s="9" t="s">
        <v>15</v>
      </c>
      <c r="H4089" s="7" t="s">
        <v>7188</v>
      </c>
      <c r="I4089" s="9" t="s">
        <v>353</v>
      </c>
      <c r="J4089" s="88"/>
    </row>
    <row r="4090">
      <c r="A4090" s="34" t="s">
        <v>204</v>
      </c>
      <c r="B4090" s="7" t="s">
        <v>7189</v>
      </c>
      <c r="C4090" s="91">
        <v>45057.48354331018</v>
      </c>
      <c r="D4090" s="8">
        <f t="shared" si="319"/>
        <v>45061</v>
      </c>
      <c r="E4090" s="9" t="s">
        <v>88</v>
      </c>
      <c r="F4090" s="10"/>
      <c r="G4090" s="9"/>
      <c r="H4090" s="7" t="s">
        <v>437</v>
      </c>
      <c r="I4090" s="9" t="s">
        <v>353</v>
      </c>
      <c r="J4090" s="88"/>
    </row>
    <row r="4091">
      <c r="A4091" s="34" t="s">
        <v>204</v>
      </c>
      <c r="B4091" s="7" t="s">
        <v>7190</v>
      </c>
      <c r="C4091" s="91">
        <v>44984.67539048611</v>
      </c>
      <c r="D4091" s="9" t="s">
        <v>11</v>
      </c>
      <c r="E4091" s="9" t="s">
        <v>206</v>
      </c>
      <c r="F4091" s="71"/>
      <c r="G4091" s="9" t="s">
        <v>18</v>
      </c>
      <c r="H4091" s="7" t="s">
        <v>7191</v>
      </c>
      <c r="I4091" s="9" t="s">
        <v>353</v>
      </c>
      <c r="J4091" s="88"/>
    </row>
    <row r="4092">
      <c r="A4092" s="6" t="s">
        <v>9</v>
      </c>
      <c r="B4092" s="7" t="s">
        <v>7192</v>
      </c>
      <c r="C4092" s="91">
        <v>45056.72000074074</v>
      </c>
      <c r="D4092" s="8">
        <f t="shared" ref="D4092:D4095" si="320">IFERROR(_xlfn.WORKDAY.INTL(C4092, 2),"-")</f>
        <v>45058</v>
      </c>
      <c r="E4092" s="9" t="s">
        <v>11</v>
      </c>
      <c r="F4092" s="10"/>
      <c r="G4092" s="9" t="s">
        <v>15</v>
      </c>
      <c r="H4092" s="7" t="s">
        <v>7184</v>
      </c>
      <c r="I4092" s="9" t="s">
        <v>353</v>
      </c>
      <c r="J4092" s="88"/>
    </row>
    <row r="4093">
      <c r="A4093" s="54" t="s">
        <v>332</v>
      </c>
      <c r="B4093" s="114" t="s">
        <v>7193</v>
      </c>
      <c r="C4093" s="91">
        <v>45056.502149120366</v>
      </c>
      <c r="D4093" s="8">
        <f t="shared" si="320"/>
        <v>45058</v>
      </c>
      <c r="E4093" s="9" t="s">
        <v>206</v>
      </c>
      <c r="F4093" s="10"/>
      <c r="G4093" s="9" t="s">
        <v>18</v>
      </c>
      <c r="H4093" s="7" t="s">
        <v>7194</v>
      </c>
      <c r="I4093" s="9" t="s">
        <v>353</v>
      </c>
      <c r="J4093" s="88"/>
    </row>
    <row r="4094">
      <c r="A4094" s="54" t="s">
        <v>332</v>
      </c>
      <c r="B4094" s="114" t="s">
        <v>7195</v>
      </c>
      <c r="C4094" s="91">
        <v>45048.68976959491</v>
      </c>
      <c r="D4094" s="8">
        <f t="shared" si="320"/>
        <v>45050</v>
      </c>
      <c r="E4094" s="9" t="s">
        <v>206</v>
      </c>
      <c r="F4094" s="10"/>
      <c r="G4094" s="9" t="s">
        <v>18</v>
      </c>
      <c r="H4094" s="7" t="s">
        <v>7196</v>
      </c>
      <c r="I4094" s="9" t="s">
        <v>353</v>
      </c>
      <c r="J4094" s="88"/>
    </row>
    <row r="4095">
      <c r="A4095" s="6" t="s">
        <v>9</v>
      </c>
      <c r="B4095" s="7" t="s">
        <v>6908</v>
      </c>
      <c r="C4095" s="91">
        <v>45056.617781423614</v>
      </c>
      <c r="D4095" s="8">
        <f t="shared" si="320"/>
        <v>45058</v>
      </c>
      <c r="E4095" s="9" t="s">
        <v>11</v>
      </c>
      <c r="F4095" s="10"/>
      <c r="G4095" s="9" t="s">
        <v>15</v>
      </c>
      <c r="H4095" s="7" t="s">
        <v>7197</v>
      </c>
      <c r="I4095" s="9" t="s">
        <v>353</v>
      </c>
      <c r="J4095" s="88"/>
    </row>
    <row r="4096">
      <c r="A4096" s="34"/>
      <c r="B4096" s="7" t="s">
        <v>7198</v>
      </c>
      <c r="C4096" s="91">
        <v>45055.45972774306</v>
      </c>
      <c r="D4096" s="9"/>
      <c r="E4096" s="9"/>
      <c r="F4096" s="9"/>
      <c r="G4096" s="9" t="s">
        <v>15</v>
      </c>
      <c r="H4096" s="7" t="s">
        <v>7199</v>
      </c>
      <c r="I4096" s="9" t="s">
        <v>353</v>
      </c>
      <c r="J4096" s="88"/>
    </row>
    <row r="4097">
      <c r="A4097" s="34" t="s">
        <v>204</v>
      </c>
      <c r="B4097" s="7" t="s">
        <v>7200</v>
      </c>
      <c r="C4097" s="91">
        <v>45036.40323964121</v>
      </c>
      <c r="D4097" s="8">
        <f t="shared" ref="D4097:D4132" si="321">IFERROR(_xlfn.WORKDAY.INTL(C4097, 2),"-")</f>
        <v>45040</v>
      </c>
      <c r="E4097" s="9" t="s">
        <v>11</v>
      </c>
      <c r="F4097" s="9"/>
      <c r="G4097" s="9" t="s">
        <v>15</v>
      </c>
      <c r="H4097" s="7" t="s">
        <v>7201</v>
      </c>
      <c r="I4097" s="9" t="s">
        <v>353</v>
      </c>
      <c r="J4097" s="88"/>
    </row>
    <row r="4098">
      <c r="A4098" s="34" t="s">
        <v>204</v>
      </c>
      <c r="B4098" s="7" t="s">
        <v>7202</v>
      </c>
      <c r="C4098" s="91">
        <v>45056.44677244213</v>
      </c>
      <c r="D4098" s="8">
        <f t="shared" si="321"/>
        <v>45058</v>
      </c>
      <c r="E4098" s="9" t="s">
        <v>88</v>
      </c>
      <c r="F4098" s="10"/>
      <c r="G4098" s="9" t="s">
        <v>18</v>
      </c>
      <c r="H4098" s="7" t="s">
        <v>437</v>
      </c>
      <c r="I4098" s="9" t="s">
        <v>353</v>
      </c>
      <c r="J4098" s="88"/>
    </row>
    <row r="4099">
      <c r="A4099" s="54" t="s">
        <v>332</v>
      </c>
      <c r="B4099" s="7" t="s">
        <v>7203</v>
      </c>
      <c r="C4099" s="91">
        <v>45050.69333351852</v>
      </c>
      <c r="D4099" s="8">
        <f t="shared" si="321"/>
        <v>45054</v>
      </c>
      <c r="E4099" s="9" t="s">
        <v>206</v>
      </c>
      <c r="F4099" s="8"/>
      <c r="G4099" s="9" t="s">
        <v>18</v>
      </c>
      <c r="H4099" s="7" t="s">
        <v>7204</v>
      </c>
      <c r="I4099" s="9" t="s">
        <v>353</v>
      </c>
      <c r="J4099" s="88"/>
    </row>
    <row r="4100">
      <c r="A4100" s="6" t="s">
        <v>9</v>
      </c>
      <c r="B4100" s="7" t="s">
        <v>7205</v>
      </c>
      <c r="C4100" s="91">
        <v>45049.45521829861</v>
      </c>
      <c r="D4100" s="8">
        <f t="shared" si="321"/>
        <v>45051</v>
      </c>
      <c r="E4100" s="9" t="s">
        <v>11</v>
      </c>
      <c r="F4100" s="10"/>
      <c r="G4100" s="9" t="s">
        <v>15</v>
      </c>
      <c r="H4100" s="7" t="s">
        <v>7206</v>
      </c>
      <c r="I4100" s="9" t="s">
        <v>353</v>
      </c>
      <c r="J4100" s="88"/>
    </row>
    <row r="4101">
      <c r="A4101" s="34" t="s">
        <v>204</v>
      </c>
      <c r="B4101" s="7" t="s">
        <v>7207</v>
      </c>
      <c r="C4101" s="91">
        <v>45055.700143888884</v>
      </c>
      <c r="D4101" s="8">
        <f t="shared" si="321"/>
        <v>45057</v>
      </c>
      <c r="E4101" s="9" t="s">
        <v>206</v>
      </c>
      <c r="F4101" s="10"/>
      <c r="G4101" s="9" t="s">
        <v>18</v>
      </c>
      <c r="H4101" s="7" t="s">
        <v>7199</v>
      </c>
      <c r="I4101" s="9" t="s">
        <v>353</v>
      </c>
      <c r="J4101" s="88"/>
    </row>
    <row r="4102">
      <c r="A4102" s="6" t="s">
        <v>9</v>
      </c>
      <c r="B4102" s="7" t="s">
        <v>6651</v>
      </c>
      <c r="C4102" s="91">
        <v>45055.697595405094</v>
      </c>
      <c r="D4102" s="8">
        <f t="shared" si="321"/>
        <v>45057</v>
      </c>
      <c r="E4102" s="9" t="s">
        <v>11</v>
      </c>
      <c r="F4102" s="10"/>
      <c r="G4102" s="9"/>
      <c r="H4102" s="7" t="s">
        <v>7208</v>
      </c>
      <c r="I4102" s="9" t="s">
        <v>353</v>
      </c>
      <c r="J4102" s="88"/>
    </row>
    <row r="4103">
      <c r="A4103" s="6" t="s">
        <v>9</v>
      </c>
      <c r="B4103" s="7" t="s">
        <v>7209</v>
      </c>
      <c r="C4103" s="91">
        <v>45050.35242362268</v>
      </c>
      <c r="D4103" s="8">
        <f t="shared" si="321"/>
        <v>45054</v>
      </c>
      <c r="E4103" s="9" t="s">
        <v>11</v>
      </c>
      <c r="F4103" s="10"/>
      <c r="G4103" s="9" t="s">
        <v>15</v>
      </c>
      <c r="H4103" s="7" t="s">
        <v>7210</v>
      </c>
      <c r="I4103" s="9" t="s">
        <v>353</v>
      </c>
      <c r="J4103" s="88"/>
    </row>
    <row r="4104">
      <c r="A4104" s="6" t="s">
        <v>9</v>
      </c>
      <c r="B4104" s="7" t="s">
        <v>5768</v>
      </c>
      <c r="C4104" s="91">
        <v>45055.47703140046</v>
      </c>
      <c r="D4104" s="8">
        <f t="shared" si="321"/>
        <v>45057</v>
      </c>
      <c r="E4104" s="9" t="s">
        <v>11</v>
      </c>
      <c r="F4104" s="10"/>
      <c r="G4104" s="9"/>
      <c r="H4104" s="7" t="s">
        <v>7211</v>
      </c>
      <c r="I4104" s="9" t="s">
        <v>353</v>
      </c>
      <c r="J4104" s="88"/>
    </row>
    <row r="4105">
      <c r="A4105" s="6" t="s">
        <v>9</v>
      </c>
      <c r="B4105" s="7" t="s">
        <v>6373</v>
      </c>
      <c r="C4105" s="91">
        <v>45055.439923530095</v>
      </c>
      <c r="D4105" s="8">
        <f t="shared" si="321"/>
        <v>45057</v>
      </c>
      <c r="E4105" s="9" t="s">
        <v>88</v>
      </c>
      <c r="F4105" s="10"/>
      <c r="G4105" s="9" t="s">
        <v>15</v>
      </c>
      <c r="H4105" s="7" t="s">
        <v>7212</v>
      </c>
      <c r="I4105" s="9" t="s">
        <v>353</v>
      </c>
      <c r="J4105" s="88"/>
    </row>
    <row r="4106">
      <c r="A4106" s="6" t="s">
        <v>9</v>
      </c>
      <c r="B4106" s="7" t="s">
        <v>6226</v>
      </c>
      <c r="C4106" s="91">
        <v>45033.42934928241</v>
      </c>
      <c r="D4106" s="8">
        <f t="shared" si="321"/>
        <v>45035</v>
      </c>
      <c r="E4106" s="9" t="s">
        <v>88</v>
      </c>
      <c r="F4106" s="9"/>
      <c r="G4106" s="9" t="s">
        <v>15</v>
      </c>
      <c r="H4106" s="7" t="s">
        <v>7213</v>
      </c>
      <c r="I4106" s="9" t="s">
        <v>353</v>
      </c>
      <c r="J4106" s="88"/>
    </row>
    <row r="4107">
      <c r="A4107" s="6" t="s">
        <v>9</v>
      </c>
      <c r="B4107" s="7" t="s">
        <v>7214</v>
      </c>
      <c r="C4107" s="91">
        <v>45033.44533519676</v>
      </c>
      <c r="D4107" s="8">
        <f t="shared" si="321"/>
        <v>45035</v>
      </c>
      <c r="E4107" s="9" t="s">
        <v>11</v>
      </c>
      <c r="F4107" s="10"/>
      <c r="G4107" s="9" t="s">
        <v>15</v>
      </c>
      <c r="H4107" s="7" t="s">
        <v>7215</v>
      </c>
      <c r="I4107" s="9" t="s">
        <v>353</v>
      </c>
      <c r="J4107" s="88"/>
    </row>
    <row r="4108">
      <c r="A4108" s="54" t="s">
        <v>332</v>
      </c>
      <c r="B4108" s="7" t="s">
        <v>7216</v>
      </c>
      <c r="C4108" s="91">
        <v>45001.40897304398</v>
      </c>
      <c r="D4108" s="8">
        <f t="shared" si="321"/>
        <v>45005</v>
      </c>
      <c r="E4108" s="9" t="s">
        <v>88</v>
      </c>
      <c r="F4108" s="8"/>
      <c r="G4108" s="9" t="s">
        <v>18</v>
      </c>
      <c r="H4108" s="62" t="s">
        <v>7217</v>
      </c>
      <c r="I4108" s="9" t="s">
        <v>353</v>
      </c>
      <c r="J4108" s="88"/>
    </row>
    <row r="4109">
      <c r="A4109" s="54" t="s">
        <v>332</v>
      </c>
      <c r="B4109" s="7" t="s">
        <v>7218</v>
      </c>
      <c r="C4109" s="91">
        <v>45050.374216365744</v>
      </c>
      <c r="D4109" s="8">
        <f t="shared" si="321"/>
        <v>45054</v>
      </c>
      <c r="E4109" s="9" t="s">
        <v>88</v>
      </c>
      <c r="F4109" s="10"/>
      <c r="G4109" s="9" t="s">
        <v>18</v>
      </c>
      <c r="H4109" s="7" t="s">
        <v>7219</v>
      </c>
      <c r="I4109" s="9" t="s">
        <v>353</v>
      </c>
      <c r="J4109" s="88"/>
    </row>
    <row r="4110">
      <c r="A4110" s="34" t="s">
        <v>204</v>
      </c>
      <c r="B4110" s="7" t="s">
        <v>7220</v>
      </c>
      <c r="C4110" s="91">
        <v>45049.6487444213</v>
      </c>
      <c r="D4110" s="8">
        <f t="shared" si="321"/>
        <v>45051</v>
      </c>
      <c r="E4110" s="9" t="s">
        <v>11</v>
      </c>
      <c r="F4110" s="10"/>
      <c r="G4110" s="9" t="s">
        <v>18</v>
      </c>
      <c r="H4110" s="7" t="s">
        <v>7221</v>
      </c>
      <c r="I4110" s="9" t="s">
        <v>353</v>
      </c>
      <c r="J4110" s="88"/>
    </row>
    <row r="4111">
      <c r="A4111" s="34" t="s">
        <v>204</v>
      </c>
      <c r="B4111" s="7" t="s">
        <v>7222</v>
      </c>
      <c r="C4111" s="91">
        <v>45050.75142837963</v>
      </c>
      <c r="D4111" s="8">
        <f t="shared" si="321"/>
        <v>45054</v>
      </c>
      <c r="E4111" s="9" t="s">
        <v>11</v>
      </c>
      <c r="F4111" s="10"/>
      <c r="G4111" s="9" t="s">
        <v>18</v>
      </c>
      <c r="H4111" s="7" t="s">
        <v>7223</v>
      </c>
      <c r="I4111" s="9" t="s">
        <v>353</v>
      </c>
      <c r="J4111" s="88"/>
    </row>
    <row r="4112">
      <c r="A4112" s="54" t="s">
        <v>332</v>
      </c>
      <c r="B4112" s="7" t="s">
        <v>7224</v>
      </c>
      <c r="C4112" s="91">
        <v>45050.37441015046</v>
      </c>
      <c r="D4112" s="8">
        <f t="shared" si="321"/>
        <v>45054</v>
      </c>
      <c r="E4112" s="9" t="s">
        <v>88</v>
      </c>
      <c r="F4112" s="10"/>
      <c r="G4112" s="9" t="s">
        <v>18</v>
      </c>
      <c r="H4112" s="7" t="s">
        <v>7225</v>
      </c>
      <c r="I4112" s="9" t="s">
        <v>353</v>
      </c>
      <c r="J4112" s="88"/>
    </row>
    <row r="4113">
      <c r="A4113" s="34" t="s">
        <v>204</v>
      </c>
      <c r="B4113" s="7" t="s">
        <v>5719</v>
      </c>
      <c r="C4113" s="91">
        <v>45050.621555324076</v>
      </c>
      <c r="D4113" s="8">
        <f t="shared" si="321"/>
        <v>45054</v>
      </c>
      <c r="E4113" s="9" t="s">
        <v>11</v>
      </c>
      <c r="F4113" s="10"/>
      <c r="G4113" s="9"/>
      <c r="H4113" s="7" t="s">
        <v>7226</v>
      </c>
      <c r="I4113" s="9" t="s">
        <v>353</v>
      </c>
      <c r="J4113" s="88"/>
    </row>
    <row r="4114">
      <c r="A4114" s="6" t="s">
        <v>9</v>
      </c>
      <c r="B4114" s="7" t="s">
        <v>7227</v>
      </c>
      <c r="C4114" s="91">
        <v>45048.562360069445</v>
      </c>
      <c r="D4114" s="8">
        <f t="shared" si="321"/>
        <v>45050</v>
      </c>
      <c r="E4114" s="9" t="s">
        <v>11</v>
      </c>
      <c r="F4114" s="10"/>
      <c r="G4114" s="9" t="s">
        <v>15</v>
      </c>
      <c r="H4114" s="7" t="s">
        <v>7228</v>
      </c>
      <c r="I4114" s="9" t="s">
        <v>353</v>
      </c>
      <c r="J4114" s="88"/>
    </row>
    <row r="4115">
      <c r="A4115" s="6" t="s">
        <v>9</v>
      </c>
      <c r="B4115" s="7" t="s">
        <v>7147</v>
      </c>
      <c r="C4115" s="91">
        <v>45050.62038923611</v>
      </c>
      <c r="D4115" s="8">
        <f t="shared" si="321"/>
        <v>45054</v>
      </c>
      <c r="E4115" s="9" t="s">
        <v>11</v>
      </c>
      <c r="F4115" s="10"/>
      <c r="G4115" s="9" t="s">
        <v>18</v>
      </c>
      <c r="H4115" s="7" t="s">
        <v>7229</v>
      </c>
      <c r="I4115" s="9" t="s">
        <v>353</v>
      </c>
      <c r="J4115" s="88"/>
    </row>
    <row r="4116">
      <c r="A4116" s="34" t="s">
        <v>204</v>
      </c>
      <c r="B4116" s="7" t="s">
        <v>7230</v>
      </c>
      <c r="C4116" s="91">
        <v>45049.64887405092</v>
      </c>
      <c r="D4116" s="8">
        <f t="shared" si="321"/>
        <v>45051</v>
      </c>
      <c r="E4116" s="9" t="s">
        <v>11</v>
      </c>
      <c r="F4116" s="10"/>
      <c r="G4116" s="9" t="s">
        <v>18</v>
      </c>
      <c r="H4116" s="7" t="s">
        <v>437</v>
      </c>
      <c r="I4116" s="9" t="s">
        <v>353</v>
      </c>
      <c r="J4116" s="88"/>
    </row>
    <row r="4117">
      <c r="A4117" s="34" t="s">
        <v>204</v>
      </c>
      <c r="B4117" s="7" t="s">
        <v>7231</v>
      </c>
      <c r="C4117" s="91">
        <v>45028.73741153935</v>
      </c>
      <c r="D4117" s="8">
        <f t="shared" si="321"/>
        <v>45030</v>
      </c>
      <c r="E4117" s="9" t="s">
        <v>11</v>
      </c>
      <c r="F4117" s="9"/>
      <c r="G4117" s="9" t="s">
        <v>15</v>
      </c>
      <c r="H4117" s="7" t="s">
        <v>7232</v>
      </c>
      <c r="I4117" s="9" t="s">
        <v>353</v>
      </c>
      <c r="J4117" s="88"/>
    </row>
    <row r="4118">
      <c r="A4118" s="54" t="s">
        <v>332</v>
      </c>
      <c r="B4118" s="7" t="s">
        <v>7233</v>
      </c>
      <c r="C4118" s="91">
        <v>45040.49648091436</v>
      </c>
      <c r="D4118" s="8">
        <f t="shared" si="321"/>
        <v>45042</v>
      </c>
      <c r="E4118" s="9" t="s">
        <v>88</v>
      </c>
      <c r="F4118" s="8"/>
      <c r="G4118" s="9" t="s">
        <v>18</v>
      </c>
      <c r="H4118" s="7" t="s">
        <v>7234</v>
      </c>
      <c r="I4118" s="9" t="s">
        <v>353</v>
      </c>
      <c r="J4118" s="88"/>
    </row>
    <row r="4119">
      <c r="A4119" s="6" t="s">
        <v>9</v>
      </c>
      <c r="B4119" s="7" t="s">
        <v>7147</v>
      </c>
      <c r="C4119" s="91">
        <v>45049.59981648148</v>
      </c>
      <c r="D4119" s="8">
        <f t="shared" si="321"/>
        <v>45051</v>
      </c>
      <c r="E4119" s="9" t="s">
        <v>11</v>
      </c>
      <c r="F4119" s="10"/>
      <c r="G4119" s="9"/>
      <c r="H4119" s="7" t="s">
        <v>7235</v>
      </c>
      <c r="I4119" s="9" t="s">
        <v>353</v>
      </c>
      <c r="J4119" s="88"/>
    </row>
    <row r="4120">
      <c r="A4120" s="6" t="s">
        <v>9</v>
      </c>
      <c r="B4120" s="7" t="s">
        <v>2881</v>
      </c>
      <c r="C4120" s="91">
        <v>45049.58555625</v>
      </c>
      <c r="D4120" s="8">
        <f t="shared" si="321"/>
        <v>45051</v>
      </c>
      <c r="E4120" s="9" t="s">
        <v>11</v>
      </c>
      <c r="F4120" s="10"/>
      <c r="G4120" s="9" t="s">
        <v>18</v>
      </c>
      <c r="H4120" s="7" t="s">
        <v>7077</v>
      </c>
      <c r="I4120" s="9" t="s">
        <v>353</v>
      </c>
      <c r="J4120" s="88"/>
    </row>
    <row r="4121">
      <c r="A4121" s="34" t="s">
        <v>204</v>
      </c>
      <c r="B4121" s="7" t="s">
        <v>7236</v>
      </c>
      <c r="C4121" s="91">
        <v>45019.362369675924</v>
      </c>
      <c r="D4121" s="8">
        <f t="shared" si="321"/>
        <v>45021</v>
      </c>
      <c r="E4121" s="9" t="s">
        <v>11</v>
      </c>
      <c r="F4121" s="9"/>
      <c r="G4121" s="9" t="s">
        <v>15</v>
      </c>
      <c r="H4121" s="7" t="s">
        <v>7237</v>
      </c>
      <c r="I4121" s="9" t="s">
        <v>353</v>
      </c>
      <c r="J4121" s="88"/>
    </row>
    <row r="4122">
      <c r="A4122" s="6" t="s">
        <v>9</v>
      </c>
      <c r="B4122" s="7" t="s">
        <v>7238</v>
      </c>
      <c r="C4122" s="91">
        <v>45033.328266620374</v>
      </c>
      <c r="D4122" s="8">
        <f t="shared" si="321"/>
        <v>45035</v>
      </c>
      <c r="E4122" s="9" t="s">
        <v>88</v>
      </c>
      <c r="F4122" s="10"/>
      <c r="G4122" s="9" t="s">
        <v>15</v>
      </c>
      <c r="H4122" s="7" t="s">
        <v>7239</v>
      </c>
      <c r="I4122" s="9" t="s">
        <v>353</v>
      </c>
      <c r="J4122" s="88"/>
    </row>
    <row r="4123">
      <c r="A4123" s="6" t="s">
        <v>9</v>
      </c>
      <c r="B4123" s="7" t="s">
        <v>2814</v>
      </c>
      <c r="C4123" s="91">
        <v>45049.344180810185</v>
      </c>
      <c r="D4123" s="8">
        <f t="shared" si="321"/>
        <v>45051</v>
      </c>
      <c r="E4123" s="9" t="s">
        <v>11</v>
      </c>
      <c r="F4123" s="10"/>
      <c r="G4123" s="9" t="s">
        <v>15</v>
      </c>
      <c r="H4123" s="7" t="s">
        <v>7240</v>
      </c>
      <c r="I4123" s="9" t="s">
        <v>353</v>
      </c>
      <c r="J4123" s="88"/>
    </row>
    <row r="4124">
      <c r="A4124" s="6" t="s">
        <v>9</v>
      </c>
      <c r="B4124" s="7" t="s">
        <v>7241</v>
      </c>
      <c r="C4124" s="91">
        <v>45033.72991472222</v>
      </c>
      <c r="D4124" s="8">
        <f t="shared" si="321"/>
        <v>45035</v>
      </c>
      <c r="E4124" s="9" t="s">
        <v>206</v>
      </c>
      <c r="F4124" s="10"/>
      <c r="G4124" s="9" t="s">
        <v>15</v>
      </c>
      <c r="H4124" s="7" t="s">
        <v>7242</v>
      </c>
      <c r="I4124" s="9" t="s">
        <v>353</v>
      </c>
      <c r="J4124" s="88"/>
    </row>
    <row r="4125">
      <c r="A4125" s="54" t="s">
        <v>332</v>
      </c>
      <c r="B4125" s="114" t="s">
        <v>7243</v>
      </c>
      <c r="C4125" s="91">
        <v>45041.618656446764</v>
      </c>
      <c r="D4125" s="8">
        <f t="shared" si="321"/>
        <v>45043</v>
      </c>
      <c r="E4125" s="9" t="s">
        <v>206</v>
      </c>
      <c r="F4125" s="10"/>
      <c r="G4125" s="9" t="s">
        <v>18</v>
      </c>
      <c r="H4125" s="7" t="s">
        <v>7244</v>
      </c>
      <c r="I4125" s="9" t="s">
        <v>353</v>
      </c>
      <c r="J4125" s="88"/>
    </row>
    <row r="4126">
      <c r="A4126" s="6" t="s">
        <v>9</v>
      </c>
      <c r="B4126" s="7" t="s">
        <v>7245</v>
      </c>
      <c r="C4126" s="91">
        <v>45048.656372233796</v>
      </c>
      <c r="D4126" s="8">
        <f t="shared" si="321"/>
        <v>45050</v>
      </c>
      <c r="E4126" s="9" t="s">
        <v>11</v>
      </c>
      <c r="F4126" s="10"/>
      <c r="G4126" s="9" t="s">
        <v>220</v>
      </c>
      <c r="H4126" s="7" t="s">
        <v>7246</v>
      </c>
      <c r="I4126" s="9" t="s">
        <v>353</v>
      </c>
      <c r="J4126" s="88"/>
    </row>
    <row r="4127">
      <c r="A4127" s="34" t="s">
        <v>204</v>
      </c>
      <c r="B4127" s="7" t="s">
        <v>7247</v>
      </c>
      <c r="C4127" s="91">
        <v>45009.41865572917</v>
      </c>
      <c r="D4127" s="8">
        <f t="shared" si="321"/>
        <v>45013</v>
      </c>
      <c r="E4127" s="9" t="s">
        <v>11</v>
      </c>
      <c r="F4127" s="9"/>
      <c r="G4127" s="9" t="s">
        <v>15</v>
      </c>
      <c r="H4127" s="7" t="s">
        <v>7248</v>
      </c>
      <c r="I4127" s="9" t="s">
        <v>353</v>
      </c>
      <c r="J4127" s="88"/>
    </row>
    <row r="4128">
      <c r="A4128" s="6" t="s">
        <v>9</v>
      </c>
      <c r="B4128" s="7" t="s">
        <v>7249</v>
      </c>
      <c r="C4128" s="91">
        <v>45048.62173684028</v>
      </c>
      <c r="D4128" s="8">
        <f t="shared" si="321"/>
        <v>45050</v>
      </c>
      <c r="E4128" s="9" t="s">
        <v>11</v>
      </c>
      <c r="F4128" s="10"/>
      <c r="G4128" s="9" t="s">
        <v>220</v>
      </c>
      <c r="H4128" s="11"/>
      <c r="I4128" s="9" t="s">
        <v>353</v>
      </c>
      <c r="J4128" s="88"/>
    </row>
    <row r="4129">
      <c r="A4129" s="6" t="s">
        <v>9</v>
      </c>
      <c r="B4129" s="7" t="s">
        <v>7250</v>
      </c>
      <c r="C4129" s="91">
        <v>45043.651367071754</v>
      </c>
      <c r="D4129" s="8">
        <f t="shared" si="321"/>
        <v>45047</v>
      </c>
      <c r="E4129" s="9" t="s">
        <v>11</v>
      </c>
      <c r="F4129" s="10"/>
      <c r="G4129" s="9" t="s">
        <v>15</v>
      </c>
      <c r="H4129" s="7" t="s">
        <v>7251</v>
      </c>
      <c r="I4129" s="9" t="s">
        <v>353</v>
      </c>
      <c r="J4129" s="88"/>
    </row>
    <row r="4130">
      <c r="A4130" s="54" t="s">
        <v>332</v>
      </c>
      <c r="B4130" s="7" t="s">
        <v>7252</v>
      </c>
      <c r="C4130" s="91">
        <v>45048.52667141204</v>
      </c>
      <c r="D4130" s="8">
        <f t="shared" si="321"/>
        <v>45050</v>
      </c>
      <c r="E4130" s="9" t="s">
        <v>88</v>
      </c>
      <c r="F4130" s="10"/>
      <c r="G4130" s="9" t="s">
        <v>18</v>
      </c>
      <c r="H4130" s="7" t="s">
        <v>7196</v>
      </c>
      <c r="I4130" s="9" t="s">
        <v>353</v>
      </c>
      <c r="J4130" s="88"/>
    </row>
    <row r="4131">
      <c r="A4131" s="54" t="s">
        <v>332</v>
      </c>
      <c r="B4131" s="7" t="s">
        <v>7253</v>
      </c>
      <c r="C4131" s="91">
        <v>45042.68780934028</v>
      </c>
      <c r="D4131" s="8">
        <f t="shared" si="321"/>
        <v>45044</v>
      </c>
      <c r="E4131" s="9" t="s">
        <v>88</v>
      </c>
      <c r="F4131" s="10"/>
      <c r="G4131" s="9" t="s">
        <v>18</v>
      </c>
      <c r="H4131" s="7" t="s">
        <v>7196</v>
      </c>
      <c r="I4131" s="9" t="s">
        <v>353</v>
      </c>
      <c r="J4131" s="88"/>
    </row>
    <row r="4132">
      <c r="A4132" s="54" t="s">
        <v>332</v>
      </c>
      <c r="B4132" s="7" t="s">
        <v>7254</v>
      </c>
      <c r="C4132" s="91">
        <v>45042.68757686343</v>
      </c>
      <c r="D4132" s="8">
        <f t="shared" si="321"/>
        <v>45044</v>
      </c>
      <c r="E4132" s="9" t="s">
        <v>88</v>
      </c>
      <c r="F4132" s="10"/>
      <c r="G4132" s="9" t="s">
        <v>18</v>
      </c>
      <c r="H4132" s="7" t="s">
        <v>7196</v>
      </c>
      <c r="I4132" s="9" t="s">
        <v>353</v>
      </c>
      <c r="J4132" s="88"/>
    </row>
    <row r="4133">
      <c r="A4133" s="54" t="s">
        <v>332</v>
      </c>
      <c r="B4133" s="7" t="s">
        <v>6499</v>
      </c>
      <c r="C4133" s="91">
        <v>45042.68868460648</v>
      </c>
      <c r="D4133" s="8"/>
      <c r="E4133" s="9" t="s">
        <v>88</v>
      </c>
      <c r="F4133" s="10"/>
      <c r="G4133" s="9" t="s">
        <v>18</v>
      </c>
      <c r="H4133" s="7" t="s">
        <v>7255</v>
      </c>
      <c r="I4133" s="9" t="s">
        <v>353</v>
      </c>
      <c r="J4133" s="88"/>
    </row>
    <row r="4134">
      <c r="A4134" s="54" t="s">
        <v>332</v>
      </c>
      <c r="B4134" s="7" t="s">
        <v>7256</v>
      </c>
      <c r="C4134" s="91">
        <v>45048.400814629626</v>
      </c>
      <c r="D4134" s="8">
        <f t="shared" ref="D4134:D4163" si="322">IFERROR(_xlfn.WORKDAY.INTL(C4134, 2),"-")</f>
        <v>45050</v>
      </c>
      <c r="E4134" s="9" t="s">
        <v>11</v>
      </c>
      <c r="F4134" s="10"/>
      <c r="G4134" s="9" t="s">
        <v>18</v>
      </c>
      <c r="H4134" s="11"/>
      <c r="I4134" s="9" t="s">
        <v>353</v>
      </c>
      <c r="J4134" s="88"/>
    </row>
    <row r="4135">
      <c r="A4135" s="34" t="s">
        <v>204</v>
      </c>
      <c r="B4135" s="7" t="s">
        <v>7257</v>
      </c>
      <c r="C4135" s="91">
        <v>45035.5691055787</v>
      </c>
      <c r="D4135" s="8">
        <f t="shared" si="322"/>
        <v>45037</v>
      </c>
      <c r="E4135" s="9" t="s">
        <v>11</v>
      </c>
      <c r="F4135" s="9"/>
      <c r="G4135" s="9" t="s">
        <v>18</v>
      </c>
      <c r="H4135" s="7" t="s">
        <v>7258</v>
      </c>
      <c r="I4135" s="9" t="s">
        <v>353</v>
      </c>
      <c r="J4135" s="88"/>
    </row>
    <row r="4136">
      <c r="A4136" s="6" t="s">
        <v>9</v>
      </c>
      <c r="B4136" s="7" t="s">
        <v>7259</v>
      </c>
      <c r="C4136" s="91">
        <v>45048.42109939815</v>
      </c>
      <c r="D4136" s="8">
        <f t="shared" si="322"/>
        <v>45050</v>
      </c>
      <c r="E4136" s="9" t="s">
        <v>11</v>
      </c>
      <c r="F4136" s="10"/>
      <c r="G4136" s="9" t="s">
        <v>18</v>
      </c>
      <c r="H4136" s="7" t="s">
        <v>7260</v>
      </c>
      <c r="I4136" s="9" t="s">
        <v>353</v>
      </c>
      <c r="J4136" s="88"/>
    </row>
    <row r="4137">
      <c r="A4137" s="6" t="s">
        <v>9</v>
      </c>
      <c r="B4137" s="7" t="s">
        <v>7261</v>
      </c>
      <c r="C4137" s="91">
        <v>45009.41668577546</v>
      </c>
      <c r="D4137" s="8">
        <f t="shared" si="322"/>
        <v>45013</v>
      </c>
      <c r="E4137" s="9" t="s">
        <v>11</v>
      </c>
      <c r="F4137" s="10"/>
      <c r="G4137" s="9" t="s">
        <v>15</v>
      </c>
      <c r="H4137" s="7" t="s">
        <v>7262</v>
      </c>
      <c r="I4137" s="9" t="s">
        <v>353</v>
      </c>
      <c r="J4137" s="88"/>
    </row>
    <row r="4138">
      <c r="A4138" s="6" t="s">
        <v>9</v>
      </c>
      <c r="B4138" s="7" t="s">
        <v>7263</v>
      </c>
      <c r="C4138" s="91">
        <v>45048.33740954861</v>
      </c>
      <c r="D4138" s="8">
        <f t="shared" si="322"/>
        <v>45050</v>
      </c>
      <c r="E4138" s="9" t="s">
        <v>11</v>
      </c>
      <c r="F4138" s="10"/>
      <c r="G4138" s="9" t="s">
        <v>15</v>
      </c>
      <c r="H4138" s="7" t="s">
        <v>7264</v>
      </c>
      <c r="I4138" s="9" t="s">
        <v>353</v>
      </c>
      <c r="J4138" s="88"/>
    </row>
    <row r="4139">
      <c r="A4139" s="34" t="s">
        <v>204</v>
      </c>
      <c r="B4139" s="7" t="s">
        <v>7265</v>
      </c>
      <c r="C4139" s="91">
        <v>44935.4728137037</v>
      </c>
      <c r="D4139" s="8">
        <f t="shared" si="322"/>
        <v>44937</v>
      </c>
      <c r="E4139" s="9" t="s">
        <v>11</v>
      </c>
      <c r="F4139" s="9"/>
      <c r="G4139" s="9" t="s">
        <v>18</v>
      </c>
      <c r="H4139" s="7" t="s">
        <v>7266</v>
      </c>
      <c r="I4139" s="9" t="s">
        <v>353</v>
      </c>
      <c r="J4139" s="88"/>
    </row>
    <row r="4140">
      <c r="A4140" s="54" t="s">
        <v>332</v>
      </c>
      <c r="B4140" s="7" t="s">
        <v>7267</v>
      </c>
      <c r="C4140" s="91">
        <v>45043.40350697917</v>
      </c>
      <c r="D4140" s="8">
        <f t="shared" si="322"/>
        <v>45047</v>
      </c>
      <c r="E4140" s="9" t="s">
        <v>88</v>
      </c>
      <c r="F4140" s="10"/>
      <c r="G4140" s="9" t="s">
        <v>18</v>
      </c>
      <c r="H4140" s="7" t="s">
        <v>7268</v>
      </c>
      <c r="I4140" s="9" t="s">
        <v>353</v>
      </c>
      <c r="J4140" s="88"/>
    </row>
    <row r="4141">
      <c r="A4141" s="54" t="s">
        <v>332</v>
      </c>
      <c r="B4141" s="7" t="s">
        <v>7269</v>
      </c>
      <c r="C4141" s="91">
        <v>45019.71663092593</v>
      </c>
      <c r="D4141" s="8">
        <f t="shared" si="322"/>
        <v>45021</v>
      </c>
      <c r="E4141" s="9" t="s">
        <v>206</v>
      </c>
      <c r="F4141" s="8"/>
      <c r="G4141" s="9" t="s">
        <v>18</v>
      </c>
      <c r="H4141" s="7" t="s">
        <v>7270</v>
      </c>
      <c r="I4141" s="9" t="s">
        <v>353</v>
      </c>
      <c r="J4141" s="88"/>
    </row>
    <row r="4142">
      <c r="A4142" s="6" t="s">
        <v>9</v>
      </c>
      <c r="B4142" s="7" t="s">
        <v>7271</v>
      </c>
      <c r="C4142" s="91">
        <v>45043.71453539352</v>
      </c>
      <c r="D4142" s="8">
        <f t="shared" si="322"/>
        <v>45047</v>
      </c>
      <c r="E4142" s="9" t="s">
        <v>11</v>
      </c>
      <c r="F4142" s="10"/>
      <c r="G4142" s="9" t="s">
        <v>18</v>
      </c>
      <c r="H4142" s="11"/>
      <c r="I4142" s="9" t="s">
        <v>353</v>
      </c>
      <c r="J4142" s="88"/>
    </row>
    <row r="4143">
      <c r="A4143" s="6" t="s">
        <v>9</v>
      </c>
      <c r="B4143" s="7" t="s">
        <v>7088</v>
      </c>
      <c r="C4143" s="91">
        <v>45043.62609605324</v>
      </c>
      <c r="D4143" s="8">
        <f t="shared" si="322"/>
        <v>45047</v>
      </c>
      <c r="E4143" s="9" t="s">
        <v>11</v>
      </c>
      <c r="F4143" s="10"/>
      <c r="G4143" s="9" t="s">
        <v>18</v>
      </c>
      <c r="H4143" s="7" t="s">
        <v>7272</v>
      </c>
      <c r="I4143" s="9" t="s">
        <v>353</v>
      </c>
      <c r="J4143" s="88"/>
    </row>
    <row r="4144">
      <c r="A4144" s="6" t="s">
        <v>9</v>
      </c>
      <c r="B4144" s="7" t="s">
        <v>7273</v>
      </c>
      <c r="C4144" s="91">
        <v>45043.503532835646</v>
      </c>
      <c r="D4144" s="8">
        <f t="shared" si="322"/>
        <v>45047</v>
      </c>
      <c r="E4144" s="9" t="s">
        <v>11</v>
      </c>
      <c r="F4144" s="10"/>
      <c r="G4144" s="9" t="s">
        <v>11</v>
      </c>
      <c r="H4144" s="7" t="s">
        <v>6096</v>
      </c>
      <c r="I4144" s="9" t="s">
        <v>353</v>
      </c>
      <c r="J4144" s="88"/>
    </row>
    <row r="4145">
      <c r="A4145" s="6" t="s">
        <v>9</v>
      </c>
      <c r="B4145" s="7" t="s">
        <v>7274</v>
      </c>
      <c r="C4145" s="91">
        <v>45043.47163458333</v>
      </c>
      <c r="D4145" s="8">
        <f t="shared" si="322"/>
        <v>45047</v>
      </c>
      <c r="E4145" s="9" t="s">
        <v>11</v>
      </c>
      <c r="F4145" s="10"/>
      <c r="G4145" s="9" t="s">
        <v>220</v>
      </c>
      <c r="H4145" s="7" t="s">
        <v>7275</v>
      </c>
      <c r="I4145" s="9" t="s">
        <v>353</v>
      </c>
      <c r="J4145" s="88"/>
    </row>
    <row r="4146">
      <c r="A4146" s="54" t="s">
        <v>332</v>
      </c>
      <c r="B4146" s="7" t="s">
        <v>7276</v>
      </c>
      <c r="C4146" s="91">
        <v>45042.69038907407</v>
      </c>
      <c r="D4146" s="8">
        <f t="shared" si="322"/>
        <v>45044</v>
      </c>
      <c r="E4146" s="9" t="s">
        <v>88</v>
      </c>
      <c r="F4146" s="8"/>
      <c r="G4146" s="9" t="s">
        <v>18</v>
      </c>
      <c r="H4146" s="7" t="s">
        <v>6857</v>
      </c>
      <c r="I4146" s="9" t="s">
        <v>353</v>
      </c>
      <c r="J4146" s="88"/>
    </row>
    <row r="4147">
      <c r="A4147" s="6" t="s">
        <v>9</v>
      </c>
      <c r="B4147" s="7" t="s">
        <v>2814</v>
      </c>
      <c r="C4147" s="91">
        <v>45036.63581761574</v>
      </c>
      <c r="D4147" s="8">
        <f t="shared" si="322"/>
        <v>45040</v>
      </c>
      <c r="E4147" s="9" t="s">
        <v>11</v>
      </c>
      <c r="F4147" s="9"/>
      <c r="G4147" s="9" t="s">
        <v>15</v>
      </c>
      <c r="H4147" s="7" t="s">
        <v>7277</v>
      </c>
      <c r="I4147" s="9" t="s">
        <v>353</v>
      </c>
      <c r="J4147" s="88"/>
    </row>
    <row r="4148">
      <c r="A4148" s="6" t="s">
        <v>9</v>
      </c>
      <c r="B4148" s="7" t="s">
        <v>7278</v>
      </c>
      <c r="C4148" s="91">
        <v>45040.70956628472</v>
      </c>
      <c r="D4148" s="8">
        <f t="shared" si="322"/>
        <v>45042</v>
      </c>
      <c r="E4148" s="9" t="s">
        <v>11</v>
      </c>
      <c r="F4148" s="10"/>
      <c r="G4148" s="9" t="s">
        <v>15</v>
      </c>
      <c r="H4148" s="7" t="s">
        <v>7279</v>
      </c>
      <c r="I4148" s="9" t="s">
        <v>353</v>
      </c>
      <c r="J4148" s="88"/>
    </row>
    <row r="4149">
      <c r="A4149" s="6" t="s">
        <v>9</v>
      </c>
      <c r="B4149" s="7" t="s">
        <v>7280</v>
      </c>
      <c r="C4149" s="91">
        <v>45042.359820694444</v>
      </c>
      <c r="D4149" s="8">
        <f t="shared" si="322"/>
        <v>45044</v>
      </c>
      <c r="E4149" s="9" t="s">
        <v>11</v>
      </c>
      <c r="F4149" s="10"/>
      <c r="G4149" s="9" t="s">
        <v>15</v>
      </c>
      <c r="H4149" s="7" t="s">
        <v>6879</v>
      </c>
      <c r="I4149" s="9" t="s">
        <v>353</v>
      </c>
      <c r="J4149" s="88"/>
    </row>
    <row r="4150">
      <c r="A4150" s="6" t="s">
        <v>9</v>
      </c>
      <c r="B4150" s="7" t="s">
        <v>7281</v>
      </c>
      <c r="C4150" s="91">
        <v>44879.73357798611</v>
      </c>
      <c r="D4150" s="8">
        <f t="shared" si="322"/>
        <v>44881</v>
      </c>
      <c r="E4150" s="9" t="s">
        <v>11</v>
      </c>
      <c r="F4150" s="9"/>
      <c r="G4150" s="9" t="s">
        <v>21</v>
      </c>
      <c r="H4150" s="7" t="s">
        <v>7282</v>
      </c>
      <c r="I4150" s="9" t="s">
        <v>353</v>
      </c>
      <c r="J4150" s="88"/>
    </row>
    <row r="4151">
      <c r="A4151" s="6" t="s">
        <v>9</v>
      </c>
      <c r="B4151" s="7" t="s">
        <v>7283</v>
      </c>
      <c r="C4151" s="91">
        <v>45042.60205424768</v>
      </c>
      <c r="D4151" s="8">
        <f t="shared" si="322"/>
        <v>45044</v>
      </c>
      <c r="E4151" s="9" t="s">
        <v>11</v>
      </c>
      <c r="F4151" s="10"/>
      <c r="G4151" s="9" t="s">
        <v>15</v>
      </c>
      <c r="H4151" s="7" t="s">
        <v>7284</v>
      </c>
      <c r="I4151" s="9" t="s">
        <v>353</v>
      </c>
      <c r="J4151" s="88"/>
    </row>
    <row r="4152">
      <c r="A4152" s="6" t="s">
        <v>9</v>
      </c>
      <c r="B4152" s="7" t="s">
        <v>7285</v>
      </c>
      <c r="C4152" s="91">
        <v>45042.43617375</v>
      </c>
      <c r="D4152" s="8">
        <f t="shared" si="322"/>
        <v>45044</v>
      </c>
      <c r="E4152" s="9" t="s">
        <v>11</v>
      </c>
      <c r="F4152" s="10"/>
      <c r="G4152" s="9"/>
      <c r="H4152" s="7" t="s">
        <v>7286</v>
      </c>
      <c r="I4152" s="9" t="s">
        <v>353</v>
      </c>
      <c r="J4152" s="88"/>
    </row>
    <row r="4153">
      <c r="A4153" s="54" t="s">
        <v>332</v>
      </c>
      <c r="B4153" s="114" t="s">
        <v>7287</v>
      </c>
      <c r="C4153" s="91">
        <v>45042.360483136574</v>
      </c>
      <c r="D4153" s="8">
        <f t="shared" si="322"/>
        <v>45044</v>
      </c>
      <c r="E4153" s="9" t="s">
        <v>206</v>
      </c>
      <c r="F4153" s="10"/>
      <c r="G4153" s="9" t="s">
        <v>18</v>
      </c>
      <c r="H4153" s="7" t="s">
        <v>6857</v>
      </c>
      <c r="I4153" s="9" t="s">
        <v>353</v>
      </c>
      <c r="J4153" s="88"/>
    </row>
    <row r="4154">
      <c r="A4154" s="6" t="s">
        <v>9</v>
      </c>
      <c r="B4154" s="7" t="s">
        <v>7288</v>
      </c>
      <c r="C4154" s="91">
        <v>45042.651279502315</v>
      </c>
      <c r="D4154" s="8">
        <f t="shared" si="322"/>
        <v>45044</v>
      </c>
      <c r="E4154" s="9" t="s">
        <v>11</v>
      </c>
      <c r="F4154" s="10"/>
      <c r="G4154" s="9" t="s">
        <v>18</v>
      </c>
      <c r="H4154" s="7" t="s">
        <v>7289</v>
      </c>
      <c r="I4154" s="9" t="s">
        <v>353</v>
      </c>
      <c r="J4154" s="88"/>
    </row>
    <row r="4155">
      <c r="A4155" s="6" t="s">
        <v>9</v>
      </c>
      <c r="B4155" s="7" t="s">
        <v>6651</v>
      </c>
      <c r="C4155" s="91">
        <v>45007.57583724537</v>
      </c>
      <c r="D4155" s="8">
        <f t="shared" si="322"/>
        <v>45009</v>
      </c>
      <c r="E4155" s="9" t="s">
        <v>11</v>
      </c>
      <c r="F4155" s="10"/>
      <c r="G4155" s="9" t="s">
        <v>89</v>
      </c>
      <c r="H4155" s="7" t="s">
        <v>7290</v>
      </c>
      <c r="I4155" s="9" t="s">
        <v>353</v>
      </c>
      <c r="J4155" s="88"/>
    </row>
    <row r="4156">
      <c r="A4156" s="54" t="s">
        <v>332</v>
      </c>
      <c r="B4156" s="114" t="s">
        <v>7291</v>
      </c>
      <c r="C4156" s="91">
        <v>45040.35865675926</v>
      </c>
      <c r="D4156" s="8">
        <f t="shared" si="322"/>
        <v>45042</v>
      </c>
      <c r="E4156" s="9" t="s">
        <v>206</v>
      </c>
      <c r="F4156" s="10"/>
      <c r="G4156" s="9" t="s">
        <v>18</v>
      </c>
      <c r="H4156" s="7" t="s">
        <v>7292</v>
      </c>
      <c r="I4156" s="9" t="s">
        <v>353</v>
      </c>
      <c r="J4156" s="88"/>
    </row>
    <row r="4157">
      <c r="A4157" s="6" t="s">
        <v>9</v>
      </c>
      <c r="B4157" s="7" t="s">
        <v>7285</v>
      </c>
      <c r="C4157" s="91">
        <v>45036.403017986115</v>
      </c>
      <c r="D4157" s="8">
        <f t="shared" si="322"/>
        <v>45040</v>
      </c>
      <c r="E4157" s="9" t="s">
        <v>11</v>
      </c>
      <c r="F4157" s="10"/>
      <c r="G4157" s="9" t="s">
        <v>15</v>
      </c>
      <c r="H4157" s="7" t="s">
        <v>7293</v>
      </c>
      <c r="I4157" s="9" t="s">
        <v>353</v>
      </c>
      <c r="J4157" s="88"/>
    </row>
    <row r="4158">
      <c r="A4158" s="6" t="s">
        <v>9</v>
      </c>
      <c r="B4158" s="7" t="s">
        <v>7294</v>
      </c>
      <c r="C4158" s="91">
        <v>45022.67136688657</v>
      </c>
      <c r="D4158" s="8">
        <f t="shared" si="322"/>
        <v>45026</v>
      </c>
      <c r="E4158" s="9" t="s">
        <v>11</v>
      </c>
      <c r="F4158" s="10"/>
      <c r="G4158" s="9" t="s">
        <v>15</v>
      </c>
      <c r="H4158" s="7" t="s">
        <v>7295</v>
      </c>
      <c r="I4158" s="9" t="s">
        <v>353</v>
      </c>
      <c r="J4158" s="88"/>
    </row>
    <row r="4159">
      <c r="A4159" s="34" t="s">
        <v>204</v>
      </c>
      <c r="B4159" s="7" t="s">
        <v>7296</v>
      </c>
      <c r="C4159" s="91">
        <v>45015.642251909725</v>
      </c>
      <c r="D4159" s="8">
        <f t="shared" si="322"/>
        <v>45019</v>
      </c>
      <c r="E4159" s="9" t="s">
        <v>206</v>
      </c>
      <c r="F4159" s="9"/>
      <c r="G4159" s="9" t="s">
        <v>15</v>
      </c>
      <c r="H4159" s="7" t="s">
        <v>7297</v>
      </c>
      <c r="I4159" s="9" t="s">
        <v>353</v>
      </c>
      <c r="J4159" s="88"/>
    </row>
    <row r="4160">
      <c r="A4160" s="6" t="s">
        <v>9</v>
      </c>
      <c r="B4160" s="7" t="s">
        <v>7298</v>
      </c>
      <c r="C4160" s="91">
        <v>45041.669563171294</v>
      </c>
      <c r="D4160" s="8">
        <f t="shared" si="322"/>
        <v>45043</v>
      </c>
      <c r="E4160" s="9" t="s">
        <v>11</v>
      </c>
      <c r="F4160" s="10"/>
      <c r="G4160" s="9" t="s">
        <v>15</v>
      </c>
      <c r="H4160" s="7" t="s">
        <v>7299</v>
      </c>
      <c r="I4160" s="9" t="s">
        <v>353</v>
      </c>
      <c r="J4160" s="88"/>
    </row>
    <row r="4161">
      <c r="A4161" s="6" t="s">
        <v>9</v>
      </c>
      <c r="B4161" s="7" t="s">
        <v>7300</v>
      </c>
      <c r="C4161" s="91">
        <v>45028.37785240741</v>
      </c>
      <c r="D4161" s="8">
        <f t="shared" si="322"/>
        <v>45030</v>
      </c>
      <c r="E4161" s="9" t="s">
        <v>11</v>
      </c>
      <c r="F4161" s="10"/>
      <c r="G4161" s="9" t="s">
        <v>15</v>
      </c>
      <c r="H4161" s="7" t="s">
        <v>7301</v>
      </c>
      <c r="I4161" s="9" t="s">
        <v>353</v>
      </c>
      <c r="J4161" s="88"/>
    </row>
    <row r="4162">
      <c r="A4162" s="6" t="s">
        <v>9</v>
      </c>
      <c r="B4162" s="7" t="s">
        <v>7302</v>
      </c>
      <c r="C4162" s="91">
        <v>45041.42156269676</v>
      </c>
      <c r="D4162" s="8">
        <f t="shared" si="322"/>
        <v>45043</v>
      </c>
      <c r="E4162" s="9" t="s">
        <v>11</v>
      </c>
      <c r="F4162" s="10"/>
      <c r="G4162" s="9" t="s">
        <v>15</v>
      </c>
      <c r="H4162" s="7" t="s">
        <v>7303</v>
      </c>
      <c r="I4162" s="9" t="s">
        <v>353</v>
      </c>
      <c r="J4162" s="88"/>
    </row>
    <row r="4163">
      <c r="A4163" s="54" t="s">
        <v>332</v>
      </c>
      <c r="B4163" s="114" t="s">
        <v>7304</v>
      </c>
      <c r="C4163" s="91">
        <v>45034.592598020834</v>
      </c>
      <c r="D4163" s="8">
        <f t="shared" si="322"/>
        <v>45036</v>
      </c>
      <c r="E4163" s="9" t="s">
        <v>206</v>
      </c>
      <c r="F4163" s="71"/>
      <c r="G4163" s="9" t="s">
        <v>18</v>
      </c>
      <c r="H4163" s="7" t="s">
        <v>7305</v>
      </c>
      <c r="I4163" s="9" t="s">
        <v>353</v>
      </c>
      <c r="J4163" s="88"/>
    </row>
    <row r="4164">
      <c r="A4164" s="6" t="s">
        <v>9</v>
      </c>
      <c r="B4164" s="7" t="s">
        <v>7306</v>
      </c>
      <c r="C4164" s="91">
        <v>44984.45137972222</v>
      </c>
      <c r="D4164" s="9" t="s">
        <v>11</v>
      </c>
      <c r="E4164" s="9" t="s">
        <v>88</v>
      </c>
      <c r="F4164" s="10"/>
      <c r="G4164" s="9" t="s">
        <v>21</v>
      </c>
      <c r="H4164" s="7" t="s">
        <v>7307</v>
      </c>
      <c r="I4164" s="9" t="s">
        <v>353</v>
      </c>
      <c r="J4164" s="88"/>
    </row>
    <row r="4165">
      <c r="A4165" s="54" t="s">
        <v>332</v>
      </c>
      <c r="B4165" s="114" t="s">
        <v>7308</v>
      </c>
      <c r="C4165" s="91">
        <v>45034.59247238426</v>
      </c>
      <c r="D4165" s="8">
        <f t="shared" ref="D4165:D4171" si="323">IFERROR(_xlfn.WORKDAY.INTL(C4165, 2),"-")</f>
        <v>45036</v>
      </c>
      <c r="E4165" s="9" t="s">
        <v>206</v>
      </c>
      <c r="F4165" s="71"/>
      <c r="G4165" s="9" t="s">
        <v>18</v>
      </c>
      <c r="H4165" s="7" t="s">
        <v>7305</v>
      </c>
      <c r="I4165" s="9" t="s">
        <v>353</v>
      </c>
      <c r="J4165" s="88"/>
    </row>
    <row r="4166">
      <c r="A4166" s="6" t="s">
        <v>9</v>
      </c>
      <c r="B4166" s="7" t="s">
        <v>7309</v>
      </c>
      <c r="C4166" s="91">
        <v>45028.43602840278</v>
      </c>
      <c r="D4166" s="8">
        <f t="shared" si="323"/>
        <v>45030</v>
      </c>
      <c r="E4166" s="9" t="s">
        <v>11</v>
      </c>
      <c r="F4166" s="10"/>
      <c r="G4166" s="9" t="s">
        <v>15</v>
      </c>
      <c r="H4166" s="7" t="s">
        <v>7310</v>
      </c>
      <c r="I4166" s="9" t="s">
        <v>353</v>
      </c>
      <c r="J4166" s="88"/>
    </row>
    <row r="4167">
      <c r="A4167" s="34" t="s">
        <v>204</v>
      </c>
      <c r="B4167" s="7" t="s">
        <v>7311</v>
      </c>
      <c r="C4167" s="91">
        <v>45035.57109251157</v>
      </c>
      <c r="D4167" s="8">
        <f t="shared" si="323"/>
        <v>45037</v>
      </c>
      <c r="E4167" s="9" t="s">
        <v>11</v>
      </c>
      <c r="F4167" s="10"/>
      <c r="G4167" s="9" t="s">
        <v>15</v>
      </c>
      <c r="H4167" s="7" t="s">
        <v>7312</v>
      </c>
      <c r="I4167" s="9" t="s">
        <v>353</v>
      </c>
      <c r="J4167" s="88"/>
    </row>
    <row r="4168">
      <c r="A4168" s="34" t="s">
        <v>204</v>
      </c>
      <c r="B4168" s="7" t="s">
        <v>7313</v>
      </c>
      <c r="C4168" s="91">
        <v>45033.515809606484</v>
      </c>
      <c r="D4168" s="8">
        <f t="shared" si="323"/>
        <v>45035</v>
      </c>
      <c r="E4168" s="9" t="s">
        <v>11</v>
      </c>
      <c r="F4168" s="9"/>
      <c r="G4168" s="9" t="s">
        <v>15</v>
      </c>
      <c r="H4168" s="7" t="s">
        <v>7314</v>
      </c>
      <c r="I4168" s="9" t="s">
        <v>353</v>
      </c>
      <c r="J4168" s="88"/>
    </row>
    <row r="4169">
      <c r="A4169" s="6" t="s">
        <v>9</v>
      </c>
      <c r="B4169" s="7" t="s">
        <v>7315</v>
      </c>
      <c r="C4169" s="91">
        <v>45040.6560700463</v>
      </c>
      <c r="D4169" s="8">
        <f t="shared" si="323"/>
        <v>45042</v>
      </c>
      <c r="E4169" s="9" t="s">
        <v>11</v>
      </c>
      <c r="F4169" s="10"/>
      <c r="G4169" s="9"/>
      <c r="H4169" s="11"/>
      <c r="I4169" s="9" t="s">
        <v>353</v>
      </c>
      <c r="J4169" s="88"/>
    </row>
    <row r="4170">
      <c r="A4170" s="34" t="s">
        <v>204</v>
      </c>
      <c r="B4170" s="7" t="s">
        <v>7316</v>
      </c>
      <c r="C4170" s="91">
        <v>45033.44356079861</v>
      </c>
      <c r="D4170" s="8">
        <f t="shared" si="323"/>
        <v>45035</v>
      </c>
      <c r="E4170" s="9" t="s">
        <v>11</v>
      </c>
      <c r="F4170" s="9"/>
      <c r="G4170" s="9" t="s">
        <v>15</v>
      </c>
      <c r="H4170" s="7" t="s">
        <v>7317</v>
      </c>
      <c r="I4170" s="9" t="s">
        <v>353</v>
      </c>
      <c r="J4170" s="88"/>
    </row>
    <row r="4171">
      <c r="A4171" s="6" t="s">
        <v>9</v>
      </c>
      <c r="B4171" s="7" t="s">
        <v>7318</v>
      </c>
      <c r="C4171" s="91">
        <v>45007.404413842596</v>
      </c>
      <c r="D4171" s="8">
        <f t="shared" si="323"/>
        <v>45009</v>
      </c>
      <c r="E4171" s="9" t="s">
        <v>11</v>
      </c>
      <c r="F4171" s="10"/>
      <c r="G4171" s="9" t="s">
        <v>15</v>
      </c>
      <c r="H4171" s="7" t="s">
        <v>7319</v>
      </c>
      <c r="I4171" s="9" t="s">
        <v>353</v>
      </c>
      <c r="J4171" s="88"/>
    </row>
    <row r="4172">
      <c r="A4172" s="54" t="s">
        <v>332</v>
      </c>
      <c r="B4172" s="7" t="s">
        <v>7320</v>
      </c>
      <c r="C4172" s="91">
        <v>45036.608601238426</v>
      </c>
      <c r="D4172" s="8"/>
      <c r="E4172" s="9" t="s">
        <v>94</v>
      </c>
      <c r="F4172" s="10"/>
      <c r="G4172" s="9" t="s">
        <v>18</v>
      </c>
      <c r="H4172" s="7" t="s">
        <v>7321</v>
      </c>
      <c r="I4172" s="9" t="s">
        <v>353</v>
      </c>
      <c r="J4172" s="88"/>
    </row>
    <row r="4173">
      <c r="A4173" s="34" t="s">
        <v>204</v>
      </c>
      <c r="B4173" s="7" t="s">
        <v>7322</v>
      </c>
      <c r="C4173" s="91">
        <v>45033.44422172454</v>
      </c>
      <c r="D4173" s="8">
        <f t="shared" ref="D4173:D4198" si="324">IFERROR(_xlfn.WORKDAY.INTL(C4173, 2),"-")</f>
        <v>45035</v>
      </c>
      <c r="E4173" s="9" t="s">
        <v>11</v>
      </c>
      <c r="F4173" s="9"/>
      <c r="G4173" s="9" t="s">
        <v>18</v>
      </c>
      <c r="H4173" s="7" t="s">
        <v>7323</v>
      </c>
      <c r="I4173" s="9" t="s">
        <v>353</v>
      </c>
      <c r="J4173" s="88"/>
    </row>
    <row r="4174">
      <c r="A4174" s="54" t="s">
        <v>332</v>
      </c>
      <c r="B4174" s="7" t="s">
        <v>7324</v>
      </c>
      <c r="C4174" s="91">
        <v>45033.36329520833</v>
      </c>
      <c r="D4174" s="8">
        <f t="shared" si="324"/>
        <v>45035</v>
      </c>
      <c r="E4174" s="9" t="s">
        <v>88</v>
      </c>
      <c r="F4174" s="71"/>
      <c r="G4174" s="9" t="s">
        <v>15</v>
      </c>
      <c r="H4174" s="7" t="s">
        <v>7325</v>
      </c>
      <c r="I4174" s="9" t="s">
        <v>353</v>
      </c>
      <c r="J4174" s="88"/>
    </row>
    <row r="4175">
      <c r="A4175" s="34" t="s">
        <v>204</v>
      </c>
      <c r="B4175" s="7" t="s">
        <v>7326</v>
      </c>
      <c r="C4175" s="91">
        <v>45033.44480975694</v>
      </c>
      <c r="D4175" s="8">
        <f t="shared" si="324"/>
        <v>45035</v>
      </c>
      <c r="E4175" s="9" t="s">
        <v>11</v>
      </c>
      <c r="F4175" s="9"/>
      <c r="G4175" s="9" t="s">
        <v>18</v>
      </c>
      <c r="H4175" s="7" t="s">
        <v>7327</v>
      </c>
      <c r="I4175" s="9" t="s">
        <v>353</v>
      </c>
      <c r="J4175" s="88"/>
    </row>
    <row r="4176">
      <c r="A4176" s="6" t="s">
        <v>9</v>
      </c>
      <c r="B4176" s="7" t="s">
        <v>7328</v>
      </c>
      <c r="C4176" s="91">
        <v>45034.346723599534</v>
      </c>
      <c r="D4176" s="8">
        <f t="shared" si="324"/>
        <v>45036</v>
      </c>
      <c r="E4176" s="9" t="s">
        <v>206</v>
      </c>
      <c r="F4176" s="10"/>
      <c r="G4176" s="9" t="s">
        <v>15</v>
      </c>
      <c r="H4176" s="7" t="s">
        <v>7329</v>
      </c>
      <c r="I4176" s="9" t="s">
        <v>353</v>
      </c>
      <c r="J4176" s="88"/>
    </row>
    <row r="4177">
      <c r="A4177" s="54" t="s">
        <v>332</v>
      </c>
      <c r="B4177" s="7" t="s">
        <v>7330</v>
      </c>
      <c r="C4177" s="91">
        <v>45008.69185392361</v>
      </c>
      <c r="D4177" s="8">
        <f t="shared" si="324"/>
        <v>45012</v>
      </c>
      <c r="E4177" s="9" t="s">
        <v>206</v>
      </c>
      <c r="F4177" s="8"/>
      <c r="G4177" s="9" t="s">
        <v>18</v>
      </c>
      <c r="H4177" s="7" t="s">
        <v>7331</v>
      </c>
      <c r="I4177" s="9" t="s">
        <v>353</v>
      </c>
      <c r="J4177" s="88"/>
    </row>
    <row r="4178">
      <c r="A4178" s="54" t="s">
        <v>332</v>
      </c>
      <c r="B4178" s="7" t="s">
        <v>7332</v>
      </c>
      <c r="C4178" s="91">
        <v>45035.4894721875</v>
      </c>
      <c r="D4178" s="8">
        <f t="shared" si="324"/>
        <v>45037</v>
      </c>
      <c r="E4178" s="9" t="s">
        <v>88</v>
      </c>
      <c r="F4178" s="10"/>
      <c r="G4178" s="9" t="s">
        <v>18</v>
      </c>
      <c r="H4178" s="7" t="s">
        <v>7333</v>
      </c>
      <c r="I4178" s="9" t="s">
        <v>353</v>
      </c>
      <c r="J4178" s="88"/>
    </row>
    <row r="4179">
      <c r="A4179" s="34" t="s">
        <v>204</v>
      </c>
      <c r="B4179" s="7" t="s">
        <v>7334</v>
      </c>
      <c r="C4179" s="91">
        <v>45034.73298465278</v>
      </c>
      <c r="D4179" s="8">
        <f t="shared" si="324"/>
        <v>45036</v>
      </c>
      <c r="E4179" s="9" t="s">
        <v>11</v>
      </c>
      <c r="F4179" s="9"/>
      <c r="G4179" s="9" t="s">
        <v>18</v>
      </c>
      <c r="H4179" s="7" t="s">
        <v>7335</v>
      </c>
      <c r="I4179" s="9" t="s">
        <v>353</v>
      </c>
      <c r="J4179" s="88"/>
    </row>
    <row r="4180">
      <c r="A4180" s="6" t="s">
        <v>9</v>
      </c>
      <c r="B4180" s="7" t="s">
        <v>7336</v>
      </c>
      <c r="C4180" s="91">
        <v>45036.37058887731</v>
      </c>
      <c r="D4180" s="8">
        <f t="shared" si="324"/>
        <v>45040</v>
      </c>
      <c r="E4180" s="9" t="s">
        <v>11</v>
      </c>
      <c r="F4180" s="10"/>
      <c r="G4180" s="9" t="s">
        <v>18</v>
      </c>
      <c r="H4180" s="7" t="s">
        <v>7337</v>
      </c>
      <c r="I4180" s="9" t="s">
        <v>353</v>
      </c>
      <c r="J4180" s="88"/>
    </row>
    <row r="4181">
      <c r="A4181" s="34" t="s">
        <v>204</v>
      </c>
      <c r="B4181" s="7" t="s">
        <v>7338</v>
      </c>
      <c r="C4181" s="91">
        <v>45036.45568625</v>
      </c>
      <c r="D4181" s="8">
        <f t="shared" si="324"/>
        <v>45040</v>
      </c>
      <c r="E4181" s="9" t="s">
        <v>206</v>
      </c>
      <c r="F4181" s="10"/>
      <c r="G4181" s="9" t="s">
        <v>18</v>
      </c>
      <c r="H4181" s="7" t="s">
        <v>437</v>
      </c>
      <c r="I4181" s="9" t="s">
        <v>353</v>
      </c>
      <c r="J4181" s="88"/>
    </row>
    <row r="4182">
      <c r="A4182" s="34" t="s">
        <v>204</v>
      </c>
      <c r="B4182" s="7" t="s">
        <v>7339</v>
      </c>
      <c r="C4182" s="91">
        <v>45036.40434681713</v>
      </c>
      <c r="D4182" s="8">
        <f t="shared" si="324"/>
        <v>45040</v>
      </c>
      <c r="E4182" s="9" t="s">
        <v>11</v>
      </c>
      <c r="F4182" s="10"/>
      <c r="G4182" s="9" t="s">
        <v>18</v>
      </c>
      <c r="H4182" s="7" t="s">
        <v>437</v>
      </c>
      <c r="I4182" s="9" t="s">
        <v>353</v>
      </c>
      <c r="J4182" s="88"/>
    </row>
    <row r="4183">
      <c r="A4183" s="6" t="s">
        <v>9</v>
      </c>
      <c r="B4183" s="7" t="s">
        <v>7078</v>
      </c>
      <c r="C4183" s="91">
        <v>45036.356581851855</v>
      </c>
      <c r="D4183" s="8">
        <f t="shared" si="324"/>
        <v>45040</v>
      </c>
      <c r="E4183" s="9" t="s">
        <v>11</v>
      </c>
      <c r="F4183" s="10"/>
      <c r="G4183" s="9"/>
      <c r="H4183" s="7" t="s">
        <v>7340</v>
      </c>
      <c r="I4183" s="9" t="s">
        <v>353</v>
      </c>
      <c r="J4183" s="88"/>
    </row>
    <row r="4184">
      <c r="A4184" s="54" t="s">
        <v>332</v>
      </c>
      <c r="B4184" s="7" t="s">
        <v>7341</v>
      </c>
      <c r="C4184" s="91">
        <v>45028.68515230324</v>
      </c>
      <c r="D4184" s="8">
        <f t="shared" si="324"/>
        <v>45030</v>
      </c>
      <c r="E4184" s="9" t="s">
        <v>88</v>
      </c>
      <c r="F4184" s="8"/>
      <c r="G4184" s="9" t="s">
        <v>18</v>
      </c>
      <c r="H4184" s="7" t="s">
        <v>7342</v>
      </c>
      <c r="I4184" s="9" t="s">
        <v>353</v>
      </c>
      <c r="J4184" s="88"/>
    </row>
    <row r="4185">
      <c r="A4185" s="54" t="s">
        <v>332</v>
      </c>
      <c r="B4185" s="114" t="s">
        <v>7343</v>
      </c>
      <c r="C4185" s="91">
        <v>45034.6735783912</v>
      </c>
      <c r="D4185" s="8">
        <f t="shared" si="324"/>
        <v>45036</v>
      </c>
      <c r="E4185" s="9" t="s">
        <v>206</v>
      </c>
      <c r="F4185" s="71"/>
      <c r="G4185" s="9" t="s">
        <v>18</v>
      </c>
      <c r="H4185" s="7" t="s">
        <v>7344</v>
      </c>
      <c r="I4185" s="9" t="s">
        <v>353</v>
      </c>
      <c r="J4185" s="88"/>
    </row>
    <row r="4186">
      <c r="A4186" s="6" t="s">
        <v>9</v>
      </c>
      <c r="B4186" s="7" t="s">
        <v>1964</v>
      </c>
      <c r="C4186" s="91">
        <v>45033.43074409722</v>
      </c>
      <c r="D4186" s="8">
        <f t="shared" si="324"/>
        <v>45035</v>
      </c>
      <c r="E4186" s="9" t="s">
        <v>88</v>
      </c>
      <c r="F4186" s="8"/>
      <c r="G4186" s="9" t="s">
        <v>18</v>
      </c>
      <c r="H4186" s="7" t="s">
        <v>2882</v>
      </c>
      <c r="I4186" s="9" t="s">
        <v>353</v>
      </c>
      <c r="J4186" s="88"/>
    </row>
    <row r="4187">
      <c r="A4187" s="6" t="s">
        <v>9</v>
      </c>
      <c r="B4187" s="7" t="s">
        <v>7345</v>
      </c>
      <c r="C4187" s="91">
        <v>44923.70134357639</v>
      </c>
      <c r="D4187" s="8">
        <f t="shared" si="324"/>
        <v>44925</v>
      </c>
      <c r="E4187" s="9" t="s">
        <v>11</v>
      </c>
      <c r="F4187" s="71"/>
      <c r="G4187" s="9" t="s">
        <v>18</v>
      </c>
      <c r="H4187" s="7" t="s">
        <v>7346</v>
      </c>
      <c r="I4187" s="9" t="s">
        <v>353</v>
      </c>
      <c r="J4187" s="88"/>
    </row>
    <row r="4188">
      <c r="A4188" s="6" t="s">
        <v>9</v>
      </c>
      <c r="B4188" s="7" t="s">
        <v>6952</v>
      </c>
      <c r="C4188" s="91">
        <v>45034.72849447917</v>
      </c>
      <c r="D4188" s="8">
        <f t="shared" si="324"/>
        <v>45036</v>
      </c>
      <c r="E4188" s="9" t="s">
        <v>11</v>
      </c>
      <c r="F4188" s="10"/>
      <c r="G4188" s="9" t="s">
        <v>18</v>
      </c>
      <c r="H4188" s="7" t="s">
        <v>7347</v>
      </c>
      <c r="I4188" s="9" t="s">
        <v>353</v>
      </c>
      <c r="J4188" s="88"/>
    </row>
    <row r="4189">
      <c r="A4189" s="6" t="s">
        <v>9</v>
      </c>
      <c r="B4189" s="7" t="s">
        <v>7348</v>
      </c>
      <c r="C4189" s="91">
        <v>45016.44330814815</v>
      </c>
      <c r="D4189" s="8">
        <f t="shared" si="324"/>
        <v>45020</v>
      </c>
      <c r="E4189" s="9" t="s">
        <v>11</v>
      </c>
      <c r="F4189" s="8"/>
      <c r="G4189" s="9" t="s">
        <v>15</v>
      </c>
      <c r="H4189" s="7" t="s">
        <v>7349</v>
      </c>
      <c r="I4189" s="9" t="s">
        <v>353</v>
      </c>
      <c r="J4189" s="88"/>
    </row>
    <row r="4190">
      <c r="A4190" s="54" t="s">
        <v>332</v>
      </c>
      <c r="B4190" s="7" t="s">
        <v>7350</v>
      </c>
      <c r="C4190" s="91">
        <v>45034.34489709491</v>
      </c>
      <c r="D4190" s="8">
        <f t="shared" si="324"/>
        <v>45036</v>
      </c>
      <c r="E4190" s="9" t="s">
        <v>206</v>
      </c>
      <c r="F4190" s="8"/>
      <c r="G4190" s="9" t="s">
        <v>18</v>
      </c>
      <c r="H4190" s="7" t="s">
        <v>7351</v>
      </c>
      <c r="I4190" s="9" t="s">
        <v>353</v>
      </c>
      <c r="J4190" s="88"/>
    </row>
    <row r="4191">
      <c r="A4191" s="34" t="s">
        <v>204</v>
      </c>
      <c r="B4191" s="7" t="s">
        <v>7352</v>
      </c>
      <c r="C4191" s="91">
        <v>45030.46011177084</v>
      </c>
      <c r="D4191" s="8">
        <f t="shared" si="324"/>
        <v>45034</v>
      </c>
      <c r="E4191" s="9" t="s">
        <v>11</v>
      </c>
      <c r="F4191" s="9"/>
      <c r="G4191" s="9" t="s">
        <v>18</v>
      </c>
      <c r="H4191" s="7" t="s">
        <v>7353</v>
      </c>
      <c r="I4191" s="9" t="s">
        <v>353</v>
      </c>
      <c r="J4191" s="88"/>
    </row>
    <row r="4192">
      <c r="A4192" s="6" t="s">
        <v>9</v>
      </c>
      <c r="B4192" s="7" t="s">
        <v>7354</v>
      </c>
      <c r="C4192" s="91">
        <v>45033.48015185185</v>
      </c>
      <c r="D4192" s="8">
        <f t="shared" si="324"/>
        <v>45035</v>
      </c>
      <c r="E4192" s="9" t="s">
        <v>11</v>
      </c>
      <c r="F4192" s="10"/>
      <c r="G4192" s="9" t="s">
        <v>18</v>
      </c>
      <c r="H4192" s="7" t="s">
        <v>7355</v>
      </c>
      <c r="I4192" s="9" t="s">
        <v>353</v>
      </c>
      <c r="J4192" s="88"/>
    </row>
    <row r="4193">
      <c r="A4193" s="6" t="s">
        <v>9</v>
      </c>
      <c r="B4193" s="7" t="s">
        <v>7302</v>
      </c>
      <c r="C4193" s="91">
        <v>45027.440650625</v>
      </c>
      <c r="D4193" s="8">
        <f t="shared" si="324"/>
        <v>45029</v>
      </c>
      <c r="E4193" s="9" t="s">
        <v>11</v>
      </c>
      <c r="F4193" s="10"/>
      <c r="G4193" s="9" t="s">
        <v>15</v>
      </c>
      <c r="H4193" s="7" t="s">
        <v>7356</v>
      </c>
      <c r="I4193" s="9" t="s">
        <v>353</v>
      </c>
      <c r="J4193" s="88"/>
    </row>
    <row r="4194">
      <c r="A4194" s="6" t="s">
        <v>9</v>
      </c>
      <c r="B4194" s="7" t="s">
        <v>6290</v>
      </c>
      <c r="C4194" s="91">
        <v>45033.432696793985</v>
      </c>
      <c r="D4194" s="8">
        <f t="shared" si="324"/>
        <v>45035</v>
      </c>
      <c r="E4194" s="9" t="s">
        <v>88</v>
      </c>
      <c r="F4194" s="10"/>
      <c r="G4194" s="9" t="s">
        <v>18</v>
      </c>
      <c r="H4194" s="7" t="s">
        <v>7357</v>
      </c>
      <c r="I4194" s="9" t="s">
        <v>353</v>
      </c>
      <c r="J4194" s="88"/>
    </row>
    <row r="4195">
      <c r="A4195" s="34" t="s">
        <v>204</v>
      </c>
      <c r="B4195" s="7" t="s">
        <v>7358</v>
      </c>
      <c r="C4195" s="91">
        <v>45028.360854976854</v>
      </c>
      <c r="D4195" s="8">
        <f t="shared" si="324"/>
        <v>45030</v>
      </c>
      <c r="E4195" s="9" t="s">
        <v>11</v>
      </c>
      <c r="F4195" s="219"/>
      <c r="G4195" s="9" t="s">
        <v>18</v>
      </c>
      <c r="H4195" s="7" t="s">
        <v>4208</v>
      </c>
      <c r="I4195" s="9" t="s">
        <v>353</v>
      </c>
      <c r="J4195" s="88"/>
    </row>
    <row r="4196">
      <c r="A4196" s="34" t="s">
        <v>204</v>
      </c>
      <c r="B4196" s="7" t="s">
        <v>7359</v>
      </c>
      <c r="C4196" s="91">
        <v>44937.38688361111</v>
      </c>
      <c r="D4196" s="8">
        <f t="shared" si="324"/>
        <v>44939</v>
      </c>
      <c r="E4196" s="9" t="s">
        <v>206</v>
      </c>
      <c r="F4196" s="71"/>
      <c r="G4196" s="9" t="s">
        <v>15</v>
      </c>
      <c r="H4196" s="7" t="s">
        <v>7360</v>
      </c>
      <c r="I4196" s="9" t="s">
        <v>353</v>
      </c>
      <c r="J4196" s="88"/>
    </row>
    <row r="4197">
      <c r="A4197" s="34" t="s">
        <v>204</v>
      </c>
      <c r="B4197" s="7" t="s">
        <v>7361</v>
      </c>
      <c r="C4197" s="91">
        <v>44930.62135364584</v>
      </c>
      <c r="D4197" s="8">
        <f t="shared" si="324"/>
        <v>44932</v>
      </c>
      <c r="E4197" s="9" t="s">
        <v>11</v>
      </c>
      <c r="F4197" s="9"/>
      <c r="G4197" s="9" t="s">
        <v>15</v>
      </c>
      <c r="H4197" s="7" t="s">
        <v>7362</v>
      </c>
      <c r="I4197" s="9" t="s">
        <v>353</v>
      </c>
      <c r="J4197" s="88"/>
    </row>
    <row r="4198">
      <c r="A4198" s="34" t="s">
        <v>204</v>
      </c>
      <c r="B4198" s="7" t="s">
        <v>7363</v>
      </c>
      <c r="C4198" s="91">
        <v>45033.42927475694</v>
      </c>
      <c r="D4198" s="8">
        <f t="shared" si="324"/>
        <v>45035</v>
      </c>
      <c r="E4198" s="9" t="s">
        <v>11</v>
      </c>
      <c r="F4198" s="10"/>
      <c r="G4198" s="9"/>
      <c r="H4198" s="7" t="s">
        <v>7364</v>
      </c>
      <c r="I4198" s="9" t="s">
        <v>353</v>
      </c>
      <c r="J4198" s="88"/>
    </row>
    <row r="4199">
      <c r="A4199" s="34"/>
      <c r="B4199" s="7" t="s">
        <v>7365</v>
      </c>
      <c r="C4199" s="91">
        <v>45006.40107194445</v>
      </c>
      <c r="D4199" s="9"/>
      <c r="E4199" s="166" t="s">
        <v>206</v>
      </c>
      <c r="F4199" s="80"/>
      <c r="G4199" s="9" t="s">
        <v>15</v>
      </c>
      <c r="H4199" s="7" t="s">
        <v>7366</v>
      </c>
      <c r="I4199" s="9" t="s">
        <v>353</v>
      </c>
      <c r="J4199" s="88"/>
    </row>
    <row r="4200">
      <c r="A4200" s="34" t="s">
        <v>204</v>
      </c>
      <c r="B4200" s="7" t="s">
        <v>7367</v>
      </c>
      <c r="C4200" s="91">
        <v>44950.46972221065</v>
      </c>
      <c r="D4200" s="8">
        <f t="shared" ref="D4200:D4201" si="325">IFERROR(_xlfn.WORKDAY.INTL(C4200, 2),"-")</f>
        <v>44952</v>
      </c>
      <c r="E4200" s="9" t="s">
        <v>206</v>
      </c>
      <c r="F4200" s="71"/>
      <c r="G4200" s="9" t="s">
        <v>15</v>
      </c>
      <c r="H4200" s="7" t="s">
        <v>7368</v>
      </c>
      <c r="I4200" s="9" t="s">
        <v>353</v>
      </c>
      <c r="J4200" s="88"/>
    </row>
    <row r="4201">
      <c r="A4201" s="34" t="s">
        <v>204</v>
      </c>
      <c r="B4201" s="7" t="s">
        <v>7369</v>
      </c>
      <c r="C4201" s="91">
        <v>44938.58688653936</v>
      </c>
      <c r="D4201" s="8">
        <f t="shared" si="325"/>
        <v>44942</v>
      </c>
      <c r="E4201" s="9" t="s">
        <v>11</v>
      </c>
      <c r="F4201" s="71"/>
      <c r="G4201" s="9" t="s">
        <v>15</v>
      </c>
      <c r="H4201" s="7" t="s">
        <v>7370</v>
      </c>
      <c r="I4201" s="9" t="s">
        <v>353</v>
      </c>
      <c r="J4201" s="88"/>
    </row>
    <row r="4202">
      <c r="A4202" s="34" t="s">
        <v>204</v>
      </c>
      <c r="B4202" s="7" t="s">
        <v>7371</v>
      </c>
      <c r="C4202" s="91">
        <v>44984.43898341435</v>
      </c>
      <c r="D4202" s="9" t="s">
        <v>11</v>
      </c>
      <c r="E4202" s="172" t="s">
        <v>206</v>
      </c>
      <c r="F4202" s="80"/>
      <c r="G4202" s="9" t="s">
        <v>15</v>
      </c>
      <c r="H4202" s="7" t="s">
        <v>7372</v>
      </c>
      <c r="I4202" s="9" t="s">
        <v>353</v>
      </c>
      <c r="J4202" s="88"/>
    </row>
    <row r="4203">
      <c r="A4203" s="54" t="s">
        <v>332</v>
      </c>
      <c r="B4203" s="7" t="s">
        <v>7373</v>
      </c>
      <c r="C4203" s="91">
        <v>45028.65259564815</v>
      </c>
      <c r="D4203" s="8">
        <f t="shared" ref="D4203:D4212" si="326">IFERROR(_xlfn.WORKDAY.INTL(C4203, 2),"-")</f>
        <v>45030</v>
      </c>
      <c r="E4203" s="9" t="s">
        <v>88</v>
      </c>
      <c r="F4203" s="8"/>
      <c r="G4203" s="9" t="s">
        <v>18</v>
      </c>
      <c r="H4203" s="7" t="s">
        <v>7374</v>
      </c>
      <c r="I4203" s="9" t="s">
        <v>353</v>
      </c>
      <c r="J4203" s="88"/>
    </row>
    <row r="4204">
      <c r="A4204" s="6" t="s">
        <v>9</v>
      </c>
      <c r="B4204" s="7" t="s">
        <v>7375</v>
      </c>
      <c r="C4204" s="91" t="s">
        <v>11</v>
      </c>
      <c r="D4204" s="8" t="str">
        <f t="shared" si="326"/>
        <v>-</v>
      </c>
      <c r="E4204" s="9" t="s">
        <v>88</v>
      </c>
      <c r="F4204" s="8"/>
      <c r="G4204" s="9" t="s">
        <v>4263</v>
      </c>
      <c r="H4204" s="7" t="s">
        <v>7376</v>
      </c>
      <c r="I4204" s="9" t="s">
        <v>353</v>
      </c>
      <c r="J4204" s="88"/>
    </row>
    <row r="4205">
      <c r="A4205" s="6" t="s">
        <v>9</v>
      </c>
      <c r="B4205" s="7" t="s">
        <v>7377</v>
      </c>
      <c r="C4205" s="91" t="s">
        <v>11</v>
      </c>
      <c r="D4205" s="8" t="str">
        <f t="shared" si="326"/>
        <v>-</v>
      </c>
      <c r="E4205" s="9" t="s">
        <v>88</v>
      </c>
      <c r="F4205" s="8"/>
      <c r="G4205" s="9" t="s">
        <v>89</v>
      </c>
      <c r="H4205" s="220" t="s">
        <v>7378</v>
      </c>
      <c r="I4205" s="9" t="s">
        <v>353</v>
      </c>
      <c r="J4205" s="88"/>
    </row>
    <row r="4206">
      <c r="A4206" s="6" t="s">
        <v>9</v>
      </c>
      <c r="B4206" s="7" t="s">
        <v>7379</v>
      </c>
      <c r="C4206" s="91">
        <v>44847.73956630787</v>
      </c>
      <c r="D4206" s="8">
        <f t="shared" si="326"/>
        <v>44851</v>
      </c>
      <c r="E4206" s="9" t="s">
        <v>216</v>
      </c>
      <c r="F4206" s="8"/>
      <c r="G4206" s="9" t="s">
        <v>89</v>
      </c>
      <c r="H4206" s="7" t="s">
        <v>7380</v>
      </c>
      <c r="I4206" s="9" t="s">
        <v>353</v>
      </c>
      <c r="J4206" s="88"/>
    </row>
    <row r="4207">
      <c r="A4207" s="6" t="s">
        <v>9</v>
      </c>
      <c r="B4207" s="7" t="s">
        <v>7381</v>
      </c>
      <c r="C4207" s="91">
        <v>44984.69227611111</v>
      </c>
      <c r="D4207" s="8">
        <f t="shared" si="326"/>
        <v>44986</v>
      </c>
      <c r="E4207" s="9" t="s">
        <v>11</v>
      </c>
      <c r="F4207" s="10"/>
      <c r="G4207" s="9" t="s">
        <v>89</v>
      </c>
      <c r="H4207" s="7" t="s">
        <v>7382</v>
      </c>
      <c r="I4207" s="9" t="s">
        <v>353</v>
      </c>
      <c r="J4207" s="88"/>
    </row>
    <row r="4208">
      <c r="A4208" s="6" t="s">
        <v>9</v>
      </c>
      <c r="B4208" s="7" t="s">
        <v>5863</v>
      </c>
      <c r="C4208" s="91">
        <v>45019.67107884259</v>
      </c>
      <c r="D4208" s="8">
        <f t="shared" si="326"/>
        <v>45021</v>
      </c>
      <c r="E4208" s="9" t="s">
        <v>11</v>
      </c>
      <c r="F4208" s="10"/>
      <c r="G4208" s="9" t="s">
        <v>15</v>
      </c>
      <c r="H4208" s="7" t="s">
        <v>7383</v>
      </c>
      <c r="I4208" s="9" t="s">
        <v>353</v>
      </c>
      <c r="J4208" s="88"/>
    </row>
    <row r="4209">
      <c r="A4209" s="6" t="s">
        <v>9</v>
      </c>
      <c r="B4209" s="7" t="s">
        <v>7384</v>
      </c>
      <c r="C4209" s="91">
        <v>45029.34777288194</v>
      </c>
      <c r="D4209" s="8">
        <f t="shared" si="326"/>
        <v>45033</v>
      </c>
      <c r="E4209" s="9" t="s">
        <v>11</v>
      </c>
      <c r="F4209" s="10"/>
      <c r="G4209" s="9"/>
      <c r="H4209" s="7" t="s">
        <v>7385</v>
      </c>
      <c r="I4209" s="9" t="s">
        <v>353</v>
      </c>
      <c r="J4209" s="88"/>
    </row>
    <row r="4210">
      <c r="A4210" s="6" t="s">
        <v>9</v>
      </c>
      <c r="B4210" s="7" t="s">
        <v>7386</v>
      </c>
      <c r="C4210" s="91">
        <v>45028.44653611111</v>
      </c>
      <c r="D4210" s="8">
        <f t="shared" si="326"/>
        <v>45030</v>
      </c>
      <c r="E4210" s="9" t="s">
        <v>11</v>
      </c>
      <c r="F4210" s="10"/>
      <c r="G4210" s="9" t="s">
        <v>18</v>
      </c>
      <c r="H4210" s="11"/>
      <c r="I4210" s="9" t="s">
        <v>353</v>
      </c>
      <c r="J4210" s="88"/>
    </row>
    <row r="4211">
      <c r="A4211" s="54" t="s">
        <v>332</v>
      </c>
      <c r="B4211" s="7" t="s">
        <v>7387</v>
      </c>
      <c r="C4211" s="91">
        <v>45027.38591084491</v>
      </c>
      <c r="D4211" s="8">
        <f t="shared" si="326"/>
        <v>45029</v>
      </c>
      <c r="E4211" s="9" t="s">
        <v>88</v>
      </c>
      <c r="F4211" s="8"/>
      <c r="G4211" s="9" t="s">
        <v>15</v>
      </c>
      <c r="H4211" s="7" t="s">
        <v>7388</v>
      </c>
      <c r="I4211" s="9" t="s">
        <v>353</v>
      </c>
      <c r="J4211" s="88"/>
    </row>
    <row r="4212">
      <c r="A4212" s="34" t="s">
        <v>204</v>
      </c>
      <c r="B4212" s="7" t="s">
        <v>7389</v>
      </c>
      <c r="C4212" s="91">
        <v>45001.32395828704</v>
      </c>
      <c r="D4212" s="8">
        <f t="shared" si="326"/>
        <v>45005</v>
      </c>
      <c r="E4212" s="9" t="s">
        <v>206</v>
      </c>
      <c r="F4212" s="9"/>
      <c r="G4212" s="9" t="s">
        <v>18</v>
      </c>
      <c r="H4212" s="7" t="s">
        <v>7390</v>
      </c>
      <c r="I4212" s="9" t="s">
        <v>353</v>
      </c>
      <c r="J4212" s="88"/>
    </row>
    <row r="4213">
      <c r="A4213" s="34" t="s">
        <v>204</v>
      </c>
      <c r="B4213" s="7" t="s">
        <v>7391</v>
      </c>
      <c r="C4213" s="91">
        <v>44984.439012939816</v>
      </c>
      <c r="D4213" s="9" t="s">
        <v>11</v>
      </c>
      <c r="E4213" s="172" t="s">
        <v>206</v>
      </c>
      <c r="F4213" s="80"/>
      <c r="G4213" s="9" t="s">
        <v>15</v>
      </c>
      <c r="H4213" s="7" t="s">
        <v>6733</v>
      </c>
      <c r="I4213" s="9" t="s">
        <v>353</v>
      </c>
      <c r="J4213" s="88"/>
    </row>
    <row r="4214">
      <c r="A4214" s="6" t="s">
        <v>9</v>
      </c>
      <c r="B4214" s="7" t="s">
        <v>7005</v>
      </c>
      <c r="C4214" s="91">
        <v>45019.567335451386</v>
      </c>
      <c r="D4214" s="8">
        <f t="shared" ref="D4214:D4245" si="327">IFERROR(_xlfn.WORKDAY.INTL(C4214, 2),"-")</f>
        <v>45021</v>
      </c>
      <c r="E4214" s="9" t="s">
        <v>88</v>
      </c>
      <c r="F4214" s="9"/>
      <c r="G4214" s="9" t="s">
        <v>15</v>
      </c>
      <c r="H4214" s="7" t="s">
        <v>7392</v>
      </c>
      <c r="I4214" s="9" t="s">
        <v>353</v>
      </c>
      <c r="J4214" s="88"/>
    </row>
    <row r="4215">
      <c r="A4215" s="54" t="s">
        <v>332</v>
      </c>
      <c r="B4215" s="7" t="s">
        <v>7393</v>
      </c>
      <c r="C4215" s="91">
        <v>45014.64377519676</v>
      </c>
      <c r="D4215" s="8">
        <f t="shared" si="327"/>
        <v>45016</v>
      </c>
      <c r="E4215" s="9" t="s">
        <v>206</v>
      </c>
      <c r="F4215" s="10"/>
      <c r="G4215" s="9" t="s">
        <v>18</v>
      </c>
      <c r="H4215" s="7" t="s">
        <v>7394</v>
      </c>
      <c r="I4215" s="9" t="s">
        <v>353</v>
      </c>
      <c r="J4215" s="88"/>
    </row>
    <row r="4216">
      <c r="A4216" s="6" t="s">
        <v>9</v>
      </c>
      <c r="B4216" s="7" t="s">
        <v>4113</v>
      </c>
      <c r="C4216" s="91">
        <v>45022.41714225695</v>
      </c>
      <c r="D4216" s="8">
        <f t="shared" si="327"/>
        <v>45026</v>
      </c>
      <c r="E4216" s="9" t="s">
        <v>11</v>
      </c>
      <c r="F4216" s="10"/>
      <c r="G4216" s="9"/>
      <c r="H4216" s="7" t="s">
        <v>7395</v>
      </c>
      <c r="I4216" s="9" t="s">
        <v>353</v>
      </c>
      <c r="J4216" s="88"/>
    </row>
    <row r="4217">
      <c r="A4217" s="6" t="s">
        <v>9</v>
      </c>
      <c r="B4217" s="7" t="s">
        <v>6765</v>
      </c>
      <c r="C4217" s="91">
        <v>44994.496601631945</v>
      </c>
      <c r="D4217" s="8">
        <f t="shared" si="327"/>
        <v>44998</v>
      </c>
      <c r="E4217" s="9" t="s">
        <v>11</v>
      </c>
      <c r="F4217" s="10"/>
      <c r="G4217" s="9" t="s">
        <v>15</v>
      </c>
      <c r="H4217" s="7" t="s">
        <v>7396</v>
      </c>
      <c r="I4217" s="9" t="s">
        <v>353</v>
      </c>
      <c r="J4217" s="88"/>
    </row>
    <row r="4218">
      <c r="A4218" s="6" t="s">
        <v>9</v>
      </c>
      <c r="B4218" s="7" t="s">
        <v>7055</v>
      </c>
      <c r="C4218" s="91">
        <v>45021.51709217593</v>
      </c>
      <c r="D4218" s="8">
        <f t="shared" si="327"/>
        <v>45023</v>
      </c>
      <c r="E4218" s="9" t="s">
        <v>11</v>
      </c>
      <c r="F4218" s="10"/>
      <c r="G4218" s="9" t="s">
        <v>18</v>
      </c>
      <c r="H4218" s="7" t="s">
        <v>7397</v>
      </c>
      <c r="I4218" s="9" t="s">
        <v>353</v>
      </c>
      <c r="J4218" s="88"/>
    </row>
    <row r="4219">
      <c r="A4219" s="6" t="s">
        <v>9</v>
      </c>
      <c r="B4219" s="7" t="s">
        <v>7072</v>
      </c>
      <c r="C4219" s="91">
        <v>45021.514614432876</v>
      </c>
      <c r="D4219" s="8">
        <f t="shared" si="327"/>
        <v>45023</v>
      </c>
      <c r="E4219" s="9" t="s">
        <v>11</v>
      </c>
      <c r="F4219" s="10"/>
      <c r="G4219" s="9" t="s">
        <v>18</v>
      </c>
      <c r="H4219" s="7" t="s">
        <v>7398</v>
      </c>
      <c r="I4219" s="9" t="s">
        <v>353</v>
      </c>
      <c r="J4219" s="88"/>
    </row>
    <row r="4220">
      <c r="A4220" s="6" t="s">
        <v>9</v>
      </c>
      <c r="B4220" s="7" t="s">
        <v>7399</v>
      </c>
      <c r="C4220" s="91">
        <v>45021.37761351852</v>
      </c>
      <c r="D4220" s="8">
        <f t="shared" si="327"/>
        <v>45023</v>
      </c>
      <c r="E4220" s="9" t="s">
        <v>206</v>
      </c>
      <c r="F4220" s="10"/>
      <c r="G4220" s="9" t="s">
        <v>15</v>
      </c>
      <c r="H4220" s="7" t="s">
        <v>7400</v>
      </c>
      <c r="I4220" s="9" t="s">
        <v>353</v>
      </c>
      <c r="J4220" s="88"/>
    </row>
    <row r="4221">
      <c r="A4221" s="6" t="s">
        <v>9</v>
      </c>
      <c r="B4221" s="7" t="s">
        <v>7401</v>
      </c>
      <c r="C4221" s="91">
        <v>44994.463606261575</v>
      </c>
      <c r="D4221" s="8">
        <f t="shared" si="327"/>
        <v>44998</v>
      </c>
      <c r="E4221" s="9" t="s">
        <v>11</v>
      </c>
      <c r="F4221" s="10"/>
      <c r="G4221" s="9" t="s">
        <v>18</v>
      </c>
      <c r="H4221" s="7" t="s">
        <v>7402</v>
      </c>
      <c r="I4221" s="9" t="s">
        <v>353</v>
      </c>
      <c r="J4221" s="88"/>
    </row>
    <row r="4222">
      <c r="A4222" s="54" t="s">
        <v>332</v>
      </c>
      <c r="B4222" s="7" t="s">
        <v>7403</v>
      </c>
      <c r="C4222" s="91">
        <v>45019.59407954861</v>
      </c>
      <c r="D4222" s="8">
        <f t="shared" si="327"/>
        <v>45021</v>
      </c>
      <c r="E4222" s="9" t="s">
        <v>88</v>
      </c>
      <c r="F4222" s="10"/>
      <c r="G4222" s="9" t="s">
        <v>18</v>
      </c>
      <c r="H4222" s="7" t="s">
        <v>7404</v>
      </c>
      <c r="I4222" s="9" t="s">
        <v>353</v>
      </c>
      <c r="J4222" s="88"/>
    </row>
    <row r="4223">
      <c r="A4223" s="54" t="s">
        <v>332</v>
      </c>
      <c r="B4223" s="7" t="s">
        <v>7405</v>
      </c>
      <c r="C4223" s="91">
        <v>45012.75031555556</v>
      </c>
      <c r="D4223" s="8">
        <f t="shared" si="327"/>
        <v>45014</v>
      </c>
      <c r="E4223" s="9" t="s">
        <v>94</v>
      </c>
      <c r="F4223" s="10"/>
      <c r="G4223" s="9" t="s">
        <v>18</v>
      </c>
      <c r="H4223" s="7" t="s">
        <v>7406</v>
      </c>
      <c r="I4223" s="9" t="s">
        <v>353</v>
      </c>
      <c r="J4223" s="88"/>
    </row>
    <row r="4224">
      <c r="A4224" s="54" t="s">
        <v>332</v>
      </c>
      <c r="B4224" s="7" t="s">
        <v>7407</v>
      </c>
      <c r="C4224" s="91">
        <v>45019.62804269676</v>
      </c>
      <c r="D4224" s="8">
        <f t="shared" si="327"/>
        <v>45021</v>
      </c>
      <c r="E4224" s="9" t="s">
        <v>88</v>
      </c>
      <c r="F4224" s="10"/>
      <c r="G4224" s="9" t="s">
        <v>18</v>
      </c>
      <c r="H4224" s="11"/>
      <c r="I4224" s="9" t="s">
        <v>353</v>
      </c>
      <c r="J4224" s="88"/>
    </row>
    <row r="4225">
      <c r="A4225" s="34" t="s">
        <v>204</v>
      </c>
      <c r="B4225" s="7" t="s">
        <v>7408</v>
      </c>
      <c r="C4225" s="91">
        <v>44967.39940325232</v>
      </c>
      <c r="D4225" s="8">
        <f t="shared" si="327"/>
        <v>44971</v>
      </c>
      <c r="E4225" s="9" t="s">
        <v>11</v>
      </c>
      <c r="F4225" s="10"/>
      <c r="G4225" s="9" t="s">
        <v>18</v>
      </c>
      <c r="H4225" s="7" t="s">
        <v>7409</v>
      </c>
      <c r="I4225" s="9" t="s">
        <v>353</v>
      </c>
      <c r="J4225" s="88"/>
    </row>
    <row r="4226">
      <c r="A4226" s="54" t="s">
        <v>332</v>
      </c>
      <c r="B4226" s="7" t="s">
        <v>7410</v>
      </c>
      <c r="C4226" s="91">
        <v>45012.40012319444</v>
      </c>
      <c r="D4226" s="8">
        <f t="shared" si="327"/>
        <v>45014</v>
      </c>
      <c r="E4226" s="9" t="s">
        <v>88</v>
      </c>
      <c r="F4226" s="10"/>
      <c r="G4226" s="9" t="s">
        <v>18</v>
      </c>
      <c r="H4226" s="7" t="s">
        <v>7411</v>
      </c>
      <c r="I4226" s="9" t="s">
        <v>353</v>
      </c>
      <c r="J4226" s="88"/>
    </row>
    <row r="4227">
      <c r="A4227" s="6" t="s">
        <v>9</v>
      </c>
      <c r="B4227" s="7" t="s">
        <v>3192</v>
      </c>
      <c r="C4227" s="91">
        <v>45019.51481800926</v>
      </c>
      <c r="D4227" s="8">
        <f t="shared" si="327"/>
        <v>45021</v>
      </c>
      <c r="E4227" s="9" t="s">
        <v>11</v>
      </c>
      <c r="F4227" s="10"/>
      <c r="G4227" s="9" t="s">
        <v>15</v>
      </c>
      <c r="H4227" s="7" t="s">
        <v>7412</v>
      </c>
      <c r="I4227" s="9" t="s">
        <v>353</v>
      </c>
      <c r="J4227" s="88"/>
    </row>
    <row r="4228">
      <c r="A4228" s="34" t="s">
        <v>204</v>
      </c>
      <c r="B4228" s="7" t="s">
        <v>7413</v>
      </c>
      <c r="C4228" s="91">
        <v>45019.355342118055</v>
      </c>
      <c r="D4228" s="8">
        <f t="shared" si="327"/>
        <v>45021</v>
      </c>
      <c r="E4228" s="9" t="s">
        <v>11</v>
      </c>
      <c r="F4228" s="10"/>
      <c r="G4228" s="9" t="s">
        <v>18</v>
      </c>
      <c r="H4228" s="7" t="s">
        <v>437</v>
      </c>
      <c r="I4228" s="9" t="s">
        <v>353</v>
      </c>
      <c r="J4228" s="88"/>
    </row>
    <row r="4229">
      <c r="A4229" s="54" t="s">
        <v>332</v>
      </c>
      <c r="B4229" s="7" t="s">
        <v>7414</v>
      </c>
      <c r="C4229" s="91">
        <v>45013.73833569445</v>
      </c>
      <c r="D4229" s="8">
        <f t="shared" si="327"/>
        <v>45015</v>
      </c>
      <c r="E4229" s="9" t="s">
        <v>94</v>
      </c>
      <c r="F4229" s="10"/>
      <c r="G4229" s="9" t="s">
        <v>18</v>
      </c>
      <c r="H4229" s="7" t="s">
        <v>7415</v>
      </c>
      <c r="I4229" s="9" t="s">
        <v>353</v>
      </c>
      <c r="J4229" s="88"/>
    </row>
    <row r="4230">
      <c r="A4230" s="54" t="s">
        <v>332</v>
      </c>
      <c r="B4230" s="7" t="s">
        <v>7416</v>
      </c>
      <c r="C4230" s="91">
        <v>45014.64174061343</v>
      </c>
      <c r="D4230" s="8">
        <f t="shared" si="327"/>
        <v>45016</v>
      </c>
      <c r="E4230" s="9" t="s">
        <v>94</v>
      </c>
      <c r="F4230" s="10"/>
      <c r="G4230" s="9" t="s">
        <v>18</v>
      </c>
      <c r="H4230" s="7" t="s">
        <v>437</v>
      </c>
      <c r="I4230" s="9" t="s">
        <v>353</v>
      </c>
      <c r="J4230" s="88"/>
    </row>
    <row r="4231">
      <c r="A4231" s="54" t="s">
        <v>332</v>
      </c>
      <c r="B4231" s="7" t="s">
        <v>7417</v>
      </c>
      <c r="C4231" s="91">
        <v>45014.372074328705</v>
      </c>
      <c r="D4231" s="8">
        <f t="shared" si="327"/>
        <v>45016</v>
      </c>
      <c r="E4231" s="9" t="s">
        <v>88</v>
      </c>
      <c r="F4231" s="10"/>
      <c r="G4231" s="9" t="s">
        <v>18</v>
      </c>
      <c r="H4231" s="7" t="s">
        <v>437</v>
      </c>
      <c r="I4231" s="9" t="s">
        <v>353</v>
      </c>
      <c r="J4231" s="88"/>
    </row>
    <row r="4232">
      <c r="A4232" s="6" t="s">
        <v>9</v>
      </c>
      <c r="B4232" s="7" t="s">
        <v>7418</v>
      </c>
      <c r="C4232" s="91">
        <v>44994.466942175924</v>
      </c>
      <c r="D4232" s="8">
        <f t="shared" si="327"/>
        <v>44998</v>
      </c>
      <c r="E4232" s="9" t="s">
        <v>11</v>
      </c>
      <c r="F4232" s="10"/>
      <c r="G4232" s="9" t="s">
        <v>15</v>
      </c>
      <c r="H4232" s="7" t="s">
        <v>7419</v>
      </c>
      <c r="I4232" s="9" t="s">
        <v>353</v>
      </c>
      <c r="J4232" s="88"/>
    </row>
    <row r="4233">
      <c r="A4233" s="54" t="s">
        <v>332</v>
      </c>
      <c r="B4233" s="7" t="s">
        <v>7420</v>
      </c>
      <c r="C4233" s="91">
        <v>45015.60802857639</v>
      </c>
      <c r="D4233" s="8">
        <f t="shared" si="327"/>
        <v>45019</v>
      </c>
      <c r="E4233" s="9" t="s">
        <v>11</v>
      </c>
      <c r="F4233" s="10"/>
      <c r="G4233" s="9" t="s">
        <v>18</v>
      </c>
      <c r="H4233" s="7" t="s">
        <v>437</v>
      </c>
      <c r="I4233" s="9" t="s">
        <v>353</v>
      </c>
      <c r="J4233" s="88"/>
    </row>
    <row r="4234">
      <c r="A4234" s="34" t="s">
        <v>204</v>
      </c>
      <c r="B4234" s="7" t="s">
        <v>7421</v>
      </c>
      <c r="C4234" s="91">
        <v>44956.60172194445</v>
      </c>
      <c r="D4234" s="8">
        <f t="shared" si="327"/>
        <v>44958</v>
      </c>
      <c r="E4234" s="9" t="s">
        <v>206</v>
      </c>
      <c r="F4234" s="9"/>
      <c r="G4234" s="9" t="s">
        <v>15</v>
      </c>
      <c r="H4234" s="7" t="s">
        <v>7422</v>
      </c>
      <c r="I4234" s="9" t="s">
        <v>353</v>
      </c>
      <c r="J4234" s="88"/>
    </row>
    <row r="4235">
      <c r="A4235" s="34" t="s">
        <v>204</v>
      </c>
      <c r="B4235" s="7" t="s">
        <v>7423</v>
      </c>
      <c r="C4235" s="91">
        <v>44991.621728067126</v>
      </c>
      <c r="D4235" s="8">
        <f t="shared" si="327"/>
        <v>44993</v>
      </c>
      <c r="E4235" s="9" t="s">
        <v>11</v>
      </c>
      <c r="F4235" s="10"/>
      <c r="G4235" s="9" t="s">
        <v>15</v>
      </c>
      <c r="H4235" s="7" t="s">
        <v>7424</v>
      </c>
      <c r="I4235" s="9" t="s">
        <v>353</v>
      </c>
      <c r="J4235" s="88"/>
    </row>
    <row r="4236">
      <c r="A4236" s="34" t="s">
        <v>204</v>
      </c>
      <c r="B4236" s="7" t="s">
        <v>7425</v>
      </c>
      <c r="C4236" s="91">
        <v>44986.71640366898</v>
      </c>
      <c r="D4236" s="8">
        <f t="shared" si="327"/>
        <v>44988</v>
      </c>
      <c r="E4236" s="9" t="s">
        <v>11</v>
      </c>
      <c r="F4236" s="10"/>
      <c r="G4236" s="9" t="s">
        <v>15</v>
      </c>
      <c r="H4236" s="7" t="s">
        <v>7426</v>
      </c>
      <c r="I4236" s="9" t="s">
        <v>353</v>
      </c>
      <c r="J4236" s="88"/>
    </row>
    <row r="4237">
      <c r="A4237" s="34" t="s">
        <v>204</v>
      </c>
      <c r="B4237" s="7" t="s">
        <v>7427</v>
      </c>
      <c r="C4237" s="91">
        <v>44963.411227986115</v>
      </c>
      <c r="D4237" s="8">
        <f t="shared" si="327"/>
        <v>44965</v>
      </c>
      <c r="E4237" s="9" t="s">
        <v>11</v>
      </c>
      <c r="F4237" s="9"/>
      <c r="G4237" s="9" t="s">
        <v>15</v>
      </c>
      <c r="H4237" s="7" t="s">
        <v>7428</v>
      </c>
      <c r="I4237" s="9" t="s">
        <v>353</v>
      </c>
      <c r="J4237" s="88"/>
    </row>
    <row r="4238">
      <c r="A4238" s="34" t="s">
        <v>204</v>
      </c>
      <c r="B4238" s="7" t="s">
        <v>7429</v>
      </c>
      <c r="C4238" s="91">
        <v>44949.47017793982</v>
      </c>
      <c r="D4238" s="8">
        <f t="shared" si="327"/>
        <v>44951</v>
      </c>
      <c r="E4238" s="9" t="s">
        <v>11</v>
      </c>
      <c r="F4238" s="9"/>
      <c r="G4238" s="9" t="s">
        <v>15</v>
      </c>
      <c r="H4238" s="7" t="s">
        <v>7430</v>
      </c>
      <c r="I4238" s="9" t="s">
        <v>353</v>
      </c>
      <c r="J4238" s="88"/>
    </row>
    <row r="4239">
      <c r="A4239" s="34" t="s">
        <v>204</v>
      </c>
      <c r="B4239" s="7" t="s">
        <v>7431</v>
      </c>
      <c r="C4239" s="91">
        <v>44963.50190280093</v>
      </c>
      <c r="D4239" s="8">
        <f t="shared" si="327"/>
        <v>44965</v>
      </c>
      <c r="E4239" s="9" t="s">
        <v>11</v>
      </c>
      <c r="F4239" s="9"/>
      <c r="G4239" s="9" t="s">
        <v>15</v>
      </c>
      <c r="H4239" s="7" t="s">
        <v>7432</v>
      </c>
      <c r="I4239" s="9" t="s">
        <v>353</v>
      </c>
      <c r="J4239" s="88"/>
    </row>
    <row r="4240">
      <c r="A4240" s="34" t="s">
        <v>204</v>
      </c>
      <c r="B4240" s="11"/>
      <c r="C4240" s="91" t="s">
        <v>11</v>
      </c>
      <c r="D4240" s="8" t="str">
        <f t="shared" si="327"/>
        <v>-</v>
      </c>
      <c r="E4240" s="9" t="s">
        <v>11</v>
      </c>
      <c r="F4240" s="10"/>
      <c r="G4240" s="9"/>
      <c r="H4240" s="11"/>
      <c r="I4240" s="9" t="s">
        <v>13</v>
      </c>
      <c r="J4240" s="88"/>
    </row>
    <row r="4241">
      <c r="A4241" s="34" t="s">
        <v>204</v>
      </c>
      <c r="B4241" s="7" t="s">
        <v>7070</v>
      </c>
      <c r="C4241" s="91">
        <v>45015.424094988426</v>
      </c>
      <c r="D4241" s="8">
        <f t="shared" si="327"/>
        <v>45019</v>
      </c>
      <c r="E4241" s="9" t="s">
        <v>11</v>
      </c>
      <c r="F4241" s="10"/>
      <c r="G4241" s="9" t="s">
        <v>18</v>
      </c>
      <c r="H4241" s="7" t="s">
        <v>7433</v>
      </c>
      <c r="I4241" s="9" t="s">
        <v>353</v>
      </c>
      <c r="J4241" s="88"/>
    </row>
    <row r="4242">
      <c r="A4242" s="34" t="s">
        <v>204</v>
      </c>
      <c r="B4242" s="7" t="s">
        <v>7434</v>
      </c>
      <c r="C4242" s="91">
        <v>45015.4242893287</v>
      </c>
      <c r="D4242" s="8">
        <f t="shared" si="327"/>
        <v>45019</v>
      </c>
      <c r="E4242" s="9" t="s">
        <v>11</v>
      </c>
      <c r="F4242" s="10"/>
      <c r="G4242" s="9"/>
      <c r="H4242" s="7" t="s">
        <v>7435</v>
      </c>
      <c r="I4242" s="9" t="s">
        <v>353</v>
      </c>
      <c r="J4242" s="88"/>
    </row>
    <row r="4243">
      <c r="A4243" s="54" t="s">
        <v>332</v>
      </c>
      <c r="B4243" s="7" t="s">
        <v>7436</v>
      </c>
      <c r="C4243" s="91">
        <v>45013.73814777778</v>
      </c>
      <c r="D4243" s="8">
        <f t="shared" si="327"/>
        <v>45015</v>
      </c>
      <c r="E4243" s="9" t="s">
        <v>206</v>
      </c>
      <c r="F4243" s="10"/>
      <c r="G4243" s="9" t="s">
        <v>15</v>
      </c>
      <c r="H4243" s="7" t="s">
        <v>7437</v>
      </c>
      <c r="I4243" s="9" t="s">
        <v>353</v>
      </c>
      <c r="J4243" s="88"/>
    </row>
    <row r="4244">
      <c r="A4244" s="6" t="s">
        <v>9</v>
      </c>
      <c r="B4244" s="7" t="s">
        <v>7072</v>
      </c>
      <c r="C4244" s="91">
        <v>45014.46488586806</v>
      </c>
      <c r="D4244" s="8">
        <f t="shared" si="327"/>
        <v>45016</v>
      </c>
      <c r="E4244" s="9" t="s">
        <v>11</v>
      </c>
      <c r="F4244" s="10"/>
      <c r="G4244" s="9"/>
      <c r="H4244" s="7" t="s">
        <v>7438</v>
      </c>
      <c r="I4244" s="9" t="s">
        <v>353</v>
      </c>
      <c r="J4244" s="88"/>
    </row>
    <row r="4245">
      <c r="A4245" s="6" t="s">
        <v>9</v>
      </c>
      <c r="B4245" s="7" t="s">
        <v>7439</v>
      </c>
      <c r="C4245" s="91">
        <v>45014.4522390625</v>
      </c>
      <c r="D4245" s="8">
        <f t="shared" si="327"/>
        <v>45016</v>
      </c>
      <c r="E4245" s="9" t="s">
        <v>11</v>
      </c>
      <c r="F4245" s="10"/>
      <c r="G4245" s="9" t="s">
        <v>15</v>
      </c>
      <c r="H4245" s="7" t="s">
        <v>11</v>
      </c>
      <c r="I4245" s="9" t="s">
        <v>353</v>
      </c>
      <c r="J4245" s="88"/>
    </row>
    <row r="4246">
      <c r="A4246" s="34" t="s">
        <v>204</v>
      </c>
      <c r="B4246" s="7" t="s">
        <v>7440</v>
      </c>
      <c r="C4246" s="91">
        <v>44984.43941144676</v>
      </c>
      <c r="D4246" s="9" t="s">
        <v>11</v>
      </c>
      <c r="E4246" s="172" t="s">
        <v>206</v>
      </c>
      <c r="F4246" s="80"/>
      <c r="G4246" s="9" t="s">
        <v>15</v>
      </c>
      <c r="H4246" s="7" t="s">
        <v>6733</v>
      </c>
      <c r="I4246" s="9" t="s">
        <v>353</v>
      </c>
      <c r="J4246" s="88"/>
    </row>
    <row r="4247">
      <c r="A4247" s="54" t="s">
        <v>332</v>
      </c>
      <c r="B4247" s="7" t="s">
        <v>3841</v>
      </c>
      <c r="C4247" s="91">
        <v>45001.31865594907</v>
      </c>
      <c r="D4247" s="8">
        <f t="shared" ref="D4247:D4291" si="328">IFERROR(_xlfn.WORKDAY.INTL(C4247, 2),"-")</f>
        <v>45005</v>
      </c>
      <c r="E4247" s="9" t="s">
        <v>88</v>
      </c>
      <c r="F4247" s="10"/>
      <c r="G4247" s="9" t="s">
        <v>18</v>
      </c>
      <c r="H4247" s="7" t="s">
        <v>437</v>
      </c>
      <c r="I4247" s="9" t="s">
        <v>353</v>
      </c>
      <c r="J4247" s="88"/>
    </row>
    <row r="4248">
      <c r="A4248" s="54" t="s">
        <v>332</v>
      </c>
      <c r="B4248" s="7" t="s">
        <v>7441</v>
      </c>
      <c r="C4248" s="91">
        <v>45007.45360140046</v>
      </c>
      <c r="D4248" s="8">
        <f t="shared" si="328"/>
        <v>45009</v>
      </c>
      <c r="E4248" s="9" t="s">
        <v>88</v>
      </c>
      <c r="F4248" s="10"/>
      <c r="G4248" s="9" t="s">
        <v>15</v>
      </c>
      <c r="H4248" s="11"/>
      <c r="I4248" s="9" t="s">
        <v>353</v>
      </c>
      <c r="J4248" s="88"/>
    </row>
    <row r="4249">
      <c r="A4249" s="54" t="s">
        <v>332</v>
      </c>
      <c r="B4249" s="7" t="s">
        <v>7442</v>
      </c>
      <c r="C4249" s="91">
        <v>44987.48210743055</v>
      </c>
      <c r="D4249" s="8">
        <f t="shared" si="328"/>
        <v>44991</v>
      </c>
      <c r="E4249" s="9" t="s">
        <v>88</v>
      </c>
      <c r="F4249" s="9"/>
      <c r="G4249" s="9" t="s">
        <v>15</v>
      </c>
      <c r="H4249" s="7" t="s">
        <v>7443</v>
      </c>
      <c r="I4249" s="9" t="s">
        <v>353</v>
      </c>
      <c r="J4249" s="88"/>
    </row>
    <row r="4250">
      <c r="A4250" s="54" t="s">
        <v>332</v>
      </c>
      <c r="B4250" s="7" t="s">
        <v>7444</v>
      </c>
      <c r="C4250" s="91">
        <v>44991.64348604166</v>
      </c>
      <c r="D4250" s="8">
        <f t="shared" si="328"/>
        <v>44993</v>
      </c>
      <c r="E4250" s="9" t="s">
        <v>206</v>
      </c>
      <c r="F4250" s="10"/>
      <c r="G4250" s="9" t="s">
        <v>15</v>
      </c>
      <c r="H4250" s="7" t="s">
        <v>7445</v>
      </c>
      <c r="I4250" s="9" t="s">
        <v>353</v>
      </c>
      <c r="J4250" s="88"/>
    </row>
    <row r="4251">
      <c r="A4251" s="6" t="s">
        <v>9</v>
      </c>
      <c r="B4251" s="7" t="s">
        <v>7446</v>
      </c>
      <c r="C4251" s="91">
        <v>45012.494333124996</v>
      </c>
      <c r="D4251" s="8">
        <f t="shared" si="328"/>
        <v>45014</v>
      </c>
      <c r="E4251" s="9" t="s">
        <v>11</v>
      </c>
      <c r="F4251" s="10"/>
      <c r="G4251" s="9" t="s">
        <v>15</v>
      </c>
      <c r="H4251" s="7" t="s">
        <v>7447</v>
      </c>
      <c r="I4251" s="9" t="s">
        <v>353</v>
      </c>
      <c r="J4251" s="88"/>
    </row>
    <row r="4252">
      <c r="A4252" s="54" t="s">
        <v>332</v>
      </c>
      <c r="B4252" s="7" t="s">
        <v>7448</v>
      </c>
      <c r="C4252" s="91">
        <v>45008.729940219906</v>
      </c>
      <c r="D4252" s="8">
        <f t="shared" si="328"/>
        <v>45012</v>
      </c>
      <c r="E4252" s="9" t="s">
        <v>88</v>
      </c>
      <c r="F4252" s="10"/>
      <c r="G4252" s="9" t="s">
        <v>18</v>
      </c>
      <c r="H4252" s="7" t="s">
        <v>437</v>
      </c>
      <c r="I4252" s="9" t="s">
        <v>353</v>
      </c>
      <c r="J4252" s="88"/>
    </row>
    <row r="4253">
      <c r="A4253" s="6" t="s">
        <v>9</v>
      </c>
      <c r="B4253" s="7" t="s">
        <v>7449</v>
      </c>
      <c r="C4253" s="91">
        <v>44994.464561747685</v>
      </c>
      <c r="D4253" s="8">
        <f t="shared" si="328"/>
        <v>44998</v>
      </c>
      <c r="E4253" s="9" t="s">
        <v>11</v>
      </c>
      <c r="F4253" s="10"/>
      <c r="G4253" s="9" t="s">
        <v>15</v>
      </c>
      <c r="H4253" s="7" t="s">
        <v>7450</v>
      </c>
      <c r="I4253" s="9" t="s">
        <v>353</v>
      </c>
      <c r="J4253" s="88"/>
    </row>
    <row r="4254">
      <c r="A4254" s="54" t="s">
        <v>332</v>
      </c>
      <c r="B4254" s="7" t="s">
        <v>7451</v>
      </c>
      <c r="C4254" s="91">
        <v>44965.360331840275</v>
      </c>
      <c r="D4254" s="8">
        <f t="shared" si="328"/>
        <v>44967</v>
      </c>
      <c r="E4254" s="9" t="s">
        <v>88</v>
      </c>
      <c r="F4254" s="10"/>
      <c r="G4254" s="9" t="s">
        <v>18</v>
      </c>
      <c r="H4254" s="7" t="s">
        <v>7452</v>
      </c>
      <c r="I4254" s="9" t="s">
        <v>353</v>
      </c>
      <c r="J4254" s="88"/>
    </row>
    <row r="4255">
      <c r="A4255" s="6" t="s">
        <v>9</v>
      </c>
      <c r="B4255" s="7" t="s">
        <v>7453</v>
      </c>
      <c r="C4255" s="91">
        <v>45002.41196384259</v>
      </c>
      <c r="D4255" s="8">
        <f t="shared" si="328"/>
        <v>45006</v>
      </c>
      <c r="E4255" s="9" t="s">
        <v>11</v>
      </c>
      <c r="F4255" s="10"/>
      <c r="G4255" s="9" t="s">
        <v>15</v>
      </c>
      <c r="H4255" s="7" t="s">
        <v>7454</v>
      </c>
      <c r="I4255" s="9" t="s">
        <v>353</v>
      </c>
      <c r="J4255" s="88"/>
    </row>
    <row r="4256">
      <c r="A4256" s="6" t="s">
        <v>9</v>
      </c>
      <c r="B4256" s="7" t="s">
        <v>7261</v>
      </c>
      <c r="C4256" s="91">
        <v>45009.416572581016</v>
      </c>
      <c r="D4256" s="8">
        <f t="shared" si="328"/>
        <v>45013</v>
      </c>
      <c r="E4256" s="9" t="s">
        <v>11</v>
      </c>
      <c r="F4256" s="10"/>
      <c r="G4256" s="9" t="s">
        <v>15</v>
      </c>
      <c r="H4256" s="7" t="s">
        <v>7455</v>
      </c>
      <c r="I4256" s="9" t="s">
        <v>353</v>
      </c>
      <c r="J4256" s="88"/>
    </row>
    <row r="4257">
      <c r="A4257" s="6" t="s">
        <v>9</v>
      </c>
      <c r="B4257" s="7" t="s">
        <v>7456</v>
      </c>
      <c r="C4257" s="91">
        <v>45009.36330538194</v>
      </c>
      <c r="D4257" s="8">
        <f t="shared" si="328"/>
        <v>45013</v>
      </c>
      <c r="E4257" s="9" t="s">
        <v>11</v>
      </c>
      <c r="F4257" s="10"/>
      <c r="G4257" s="9"/>
      <c r="H4257" s="11"/>
      <c r="I4257" s="9" t="s">
        <v>353</v>
      </c>
      <c r="J4257" s="88"/>
    </row>
    <row r="4258">
      <c r="A4258" s="54" t="s">
        <v>332</v>
      </c>
      <c r="B4258" s="7" t="s">
        <v>5024</v>
      </c>
      <c r="C4258" s="91">
        <v>45006.7518552199</v>
      </c>
      <c r="D4258" s="8">
        <f t="shared" si="328"/>
        <v>45008</v>
      </c>
      <c r="E4258" s="9" t="s">
        <v>206</v>
      </c>
      <c r="F4258" s="10"/>
      <c r="G4258" s="9" t="s">
        <v>18</v>
      </c>
      <c r="H4258" s="7" t="s">
        <v>437</v>
      </c>
      <c r="I4258" s="9" t="s">
        <v>353</v>
      </c>
      <c r="J4258" s="88"/>
    </row>
    <row r="4259">
      <c r="A4259" s="54" t="s">
        <v>332</v>
      </c>
      <c r="B4259" s="7" t="s">
        <v>7457</v>
      </c>
      <c r="C4259" s="91">
        <v>45007.731298425926</v>
      </c>
      <c r="D4259" s="8">
        <f t="shared" si="328"/>
        <v>45009</v>
      </c>
      <c r="E4259" s="9" t="s">
        <v>88</v>
      </c>
      <c r="F4259" s="10"/>
      <c r="G4259" s="9" t="s">
        <v>18</v>
      </c>
      <c r="H4259" s="7" t="s">
        <v>437</v>
      </c>
      <c r="I4259" s="9" t="s">
        <v>353</v>
      </c>
      <c r="J4259" s="88"/>
    </row>
    <row r="4260">
      <c r="A4260" s="54" t="s">
        <v>332</v>
      </c>
      <c r="B4260" s="7" t="s">
        <v>7373</v>
      </c>
      <c r="C4260" s="91">
        <v>44999.74521332176</v>
      </c>
      <c r="D4260" s="8">
        <f t="shared" si="328"/>
        <v>45001</v>
      </c>
      <c r="E4260" s="9" t="s">
        <v>88</v>
      </c>
      <c r="F4260" s="10"/>
      <c r="G4260" s="9" t="s">
        <v>18</v>
      </c>
      <c r="H4260" s="62" t="s">
        <v>437</v>
      </c>
      <c r="I4260" s="9" t="s">
        <v>353</v>
      </c>
      <c r="J4260" s="88"/>
    </row>
    <row r="4261">
      <c r="A4261" s="34" t="s">
        <v>204</v>
      </c>
      <c r="B4261" s="7" t="s">
        <v>739</v>
      </c>
      <c r="C4261" s="91">
        <v>45001.31989082176</v>
      </c>
      <c r="D4261" s="8">
        <f t="shared" si="328"/>
        <v>45005</v>
      </c>
      <c r="E4261" s="9" t="s">
        <v>11</v>
      </c>
      <c r="F4261" s="10"/>
      <c r="G4261" s="9" t="s">
        <v>15</v>
      </c>
      <c r="H4261" s="7" t="s">
        <v>7458</v>
      </c>
      <c r="I4261" s="9" t="s">
        <v>353</v>
      </c>
      <c r="J4261" s="88"/>
    </row>
    <row r="4262">
      <c r="A4262" s="34" t="s">
        <v>204</v>
      </c>
      <c r="B4262" s="7" t="s">
        <v>7459</v>
      </c>
      <c r="C4262" s="91">
        <v>45005.35232953704</v>
      </c>
      <c r="D4262" s="8">
        <f t="shared" si="328"/>
        <v>45007</v>
      </c>
      <c r="E4262" s="9" t="s">
        <v>11</v>
      </c>
      <c r="F4262" s="10"/>
      <c r="G4262" s="9" t="s">
        <v>15</v>
      </c>
      <c r="H4262" s="7" t="s">
        <v>7460</v>
      </c>
      <c r="I4262" s="9" t="s">
        <v>353</v>
      </c>
      <c r="J4262" s="88"/>
    </row>
    <row r="4263">
      <c r="A4263" s="6" t="s">
        <v>9</v>
      </c>
      <c r="B4263" s="7" t="s">
        <v>7461</v>
      </c>
      <c r="C4263" s="91">
        <v>44994.46343560185</v>
      </c>
      <c r="D4263" s="8">
        <f t="shared" si="328"/>
        <v>44998</v>
      </c>
      <c r="E4263" s="9" t="s">
        <v>11</v>
      </c>
      <c r="F4263" s="10"/>
      <c r="G4263" s="9" t="s">
        <v>15</v>
      </c>
      <c r="H4263" s="7" t="s">
        <v>7462</v>
      </c>
      <c r="I4263" s="9" t="s">
        <v>353</v>
      </c>
      <c r="J4263" s="88"/>
    </row>
    <row r="4264">
      <c r="A4264" s="54" t="s">
        <v>332</v>
      </c>
      <c r="B4264" s="7" t="s">
        <v>7463</v>
      </c>
      <c r="C4264" s="91">
        <v>45001.319330196755</v>
      </c>
      <c r="D4264" s="8">
        <f t="shared" si="328"/>
        <v>45005</v>
      </c>
      <c r="E4264" s="9" t="s">
        <v>206</v>
      </c>
      <c r="F4264" s="8"/>
      <c r="G4264" s="9" t="s">
        <v>18</v>
      </c>
      <c r="H4264" s="7" t="s">
        <v>437</v>
      </c>
      <c r="I4264" s="9" t="s">
        <v>353</v>
      </c>
      <c r="J4264" s="88"/>
    </row>
    <row r="4265">
      <c r="A4265" s="6" t="s">
        <v>9</v>
      </c>
      <c r="B4265" s="7" t="s">
        <v>7464</v>
      </c>
      <c r="C4265" s="91">
        <v>44991.38536508102</v>
      </c>
      <c r="D4265" s="8">
        <f t="shared" si="328"/>
        <v>44993</v>
      </c>
      <c r="E4265" s="9" t="s">
        <v>88</v>
      </c>
      <c r="F4265" s="10"/>
      <c r="G4265" s="9" t="s">
        <v>15</v>
      </c>
      <c r="H4265" s="7" t="s">
        <v>7465</v>
      </c>
      <c r="I4265" s="9" t="s">
        <v>353</v>
      </c>
      <c r="J4265" s="88"/>
    </row>
    <row r="4266">
      <c r="A4266" s="6" t="s">
        <v>9</v>
      </c>
      <c r="B4266" s="7" t="s">
        <v>7466</v>
      </c>
      <c r="C4266" s="91">
        <v>44932.279443287036</v>
      </c>
      <c r="D4266" s="8">
        <f t="shared" si="328"/>
        <v>44936</v>
      </c>
      <c r="E4266" s="9" t="s">
        <v>11</v>
      </c>
      <c r="F4266" s="9"/>
      <c r="G4266" s="9" t="s">
        <v>15</v>
      </c>
      <c r="H4266" s="7" t="s">
        <v>7467</v>
      </c>
      <c r="I4266" s="9" t="s">
        <v>353</v>
      </c>
      <c r="J4266" s="88"/>
    </row>
    <row r="4267">
      <c r="A4267" s="6" t="s">
        <v>9</v>
      </c>
      <c r="B4267" s="7" t="s">
        <v>7468</v>
      </c>
      <c r="C4267" s="91">
        <v>45007.3316427199</v>
      </c>
      <c r="D4267" s="8">
        <f t="shared" si="328"/>
        <v>45009</v>
      </c>
      <c r="E4267" s="9" t="s">
        <v>88</v>
      </c>
      <c r="F4267" s="10"/>
      <c r="G4267" s="9" t="s">
        <v>15</v>
      </c>
      <c r="H4267" s="7" t="s">
        <v>7469</v>
      </c>
      <c r="I4267" s="9" t="s">
        <v>353</v>
      </c>
      <c r="J4267" s="88"/>
    </row>
    <row r="4268">
      <c r="A4268" s="6" t="s">
        <v>9</v>
      </c>
      <c r="B4268" s="7" t="s">
        <v>7470</v>
      </c>
      <c r="C4268" s="91">
        <v>45007.516935023144</v>
      </c>
      <c r="D4268" s="8">
        <f t="shared" si="328"/>
        <v>45009</v>
      </c>
      <c r="E4268" s="9" t="s">
        <v>11</v>
      </c>
      <c r="F4268" s="10"/>
      <c r="G4268" s="9" t="s">
        <v>18</v>
      </c>
      <c r="H4268" s="7" t="s">
        <v>7471</v>
      </c>
      <c r="I4268" s="9" t="s">
        <v>353</v>
      </c>
      <c r="J4268" s="88"/>
    </row>
    <row r="4269">
      <c r="A4269" s="54" t="s">
        <v>332</v>
      </c>
      <c r="B4269" s="7" t="s">
        <v>7472</v>
      </c>
      <c r="C4269" s="91">
        <v>45007.424997361115</v>
      </c>
      <c r="D4269" s="8">
        <f t="shared" si="328"/>
        <v>45009</v>
      </c>
      <c r="E4269" s="9" t="s">
        <v>88</v>
      </c>
      <c r="F4269" s="10"/>
      <c r="G4269" s="9" t="s">
        <v>18</v>
      </c>
      <c r="H4269" s="11"/>
      <c r="I4269" s="9" t="s">
        <v>353</v>
      </c>
      <c r="J4269" s="88"/>
    </row>
    <row r="4270">
      <c r="A4270" s="6" t="s">
        <v>9</v>
      </c>
      <c r="B4270" s="7" t="s">
        <v>7473</v>
      </c>
      <c r="C4270" s="91">
        <v>44970.318364293984</v>
      </c>
      <c r="D4270" s="8">
        <f t="shared" si="328"/>
        <v>44972</v>
      </c>
      <c r="E4270" s="9" t="s">
        <v>11</v>
      </c>
      <c r="F4270" s="10"/>
      <c r="G4270" s="9" t="s">
        <v>18</v>
      </c>
      <c r="H4270" s="7" t="s">
        <v>7474</v>
      </c>
      <c r="I4270" s="9" t="s">
        <v>353</v>
      </c>
      <c r="J4270" s="88"/>
    </row>
    <row r="4271">
      <c r="A4271" s="6" t="s">
        <v>9</v>
      </c>
      <c r="B4271" s="7" t="s">
        <v>7475</v>
      </c>
      <c r="C4271" s="91">
        <v>45006.39231011574</v>
      </c>
      <c r="D4271" s="8">
        <f t="shared" si="328"/>
        <v>45008</v>
      </c>
      <c r="E4271" s="9" t="s">
        <v>11</v>
      </c>
      <c r="F4271" s="10"/>
      <c r="G4271" s="9"/>
      <c r="H4271" s="7" t="s">
        <v>7077</v>
      </c>
      <c r="I4271" s="9" t="s">
        <v>353</v>
      </c>
      <c r="J4271" s="88"/>
    </row>
    <row r="4272">
      <c r="A4272" s="6" t="s">
        <v>9</v>
      </c>
      <c r="B4272" s="7" t="s">
        <v>7261</v>
      </c>
      <c r="C4272" s="91">
        <v>44998.60171565972</v>
      </c>
      <c r="D4272" s="8">
        <f t="shared" si="328"/>
        <v>45000</v>
      </c>
      <c r="E4272" s="9" t="s">
        <v>11</v>
      </c>
      <c r="F4272" s="10"/>
      <c r="G4272" s="9" t="s">
        <v>15</v>
      </c>
      <c r="H4272" s="7" t="s">
        <v>7476</v>
      </c>
      <c r="I4272" s="9" t="s">
        <v>353</v>
      </c>
      <c r="J4272" s="88"/>
    </row>
    <row r="4273">
      <c r="A4273" s="54" t="s">
        <v>332</v>
      </c>
      <c r="B4273" s="7" t="s">
        <v>7477</v>
      </c>
      <c r="C4273" s="91">
        <v>44992.38114832176</v>
      </c>
      <c r="D4273" s="8">
        <f t="shared" si="328"/>
        <v>44994</v>
      </c>
      <c r="E4273" s="9" t="s">
        <v>206</v>
      </c>
      <c r="F4273" s="8"/>
      <c r="G4273" s="9" t="s">
        <v>18</v>
      </c>
      <c r="H4273" s="7" t="s">
        <v>437</v>
      </c>
      <c r="I4273" s="9" t="s">
        <v>353</v>
      </c>
      <c r="J4273" s="88"/>
    </row>
    <row r="4274">
      <c r="A4274" s="34" t="s">
        <v>204</v>
      </c>
      <c r="B4274" s="7" t="s">
        <v>7478</v>
      </c>
      <c r="C4274" s="91">
        <v>45005.362290000005</v>
      </c>
      <c r="D4274" s="8">
        <f t="shared" si="328"/>
        <v>45007</v>
      </c>
      <c r="E4274" s="9" t="s">
        <v>11</v>
      </c>
      <c r="F4274" s="10"/>
      <c r="G4274" s="9" t="s">
        <v>18</v>
      </c>
      <c r="H4274" s="7" t="s">
        <v>7479</v>
      </c>
      <c r="I4274" s="9" t="s">
        <v>353</v>
      </c>
      <c r="J4274" s="88"/>
    </row>
    <row r="4275">
      <c r="A4275" s="6" t="s">
        <v>9</v>
      </c>
      <c r="B4275" s="7" t="s">
        <v>7480</v>
      </c>
      <c r="C4275" s="91">
        <v>44992.45248761574</v>
      </c>
      <c r="D4275" s="8">
        <f t="shared" si="328"/>
        <v>44994</v>
      </c>
      <c r="E4275" s="9" t="s">
        <v>11</v>
      </c>
      <c r="F4275" s="10"/>
      <c r="G4275" s="9" t="s">
        <v>15</v>
      </c>
      <c r="H4275" s="7" t="s">
        <v>7481</v>
      </c>
      <c r="I4275" s="9" t="s">
        <v>353</v>
      </c>
      <c r="J4275" s="88"/>
    </row>
    <row r="4276">
      <c r="A4276" s="54" t="s">
        <v>332</v>
      </c>
      <c r="B4276" s="7" t="s">
        <v>7482</v>
      </c>
      <c r="C4276" s="91">
        <v>44980.36388252315</v>
      </c>
      <c r="D4276" s="8">
        <f t="shared" si="328"/>
        <v>44984</v>
      </c>
      <c r="E4276" s="9" t="s">
        <v>88</v>
      </c>
      <c r="F4276" s="10"/>
      <c r="G4276" s="9" t="s">
        <v>18</v>
      </c>
      <c r="H4276" s="7" t="s">
        <v>437</v>
      </c>
      <c r="I4276" s="9" t="s">
        <v>353</v>
      </c>
      <c r="J4276" s="88"/>
    </row>
    <row r="4277">
      <c r="A4277" s="34" t="s">
        <v>204</v>
      </c>
      <c r="B4277" s="7" t="s">
        <v>7483</v>
      </c>
      <c r="C4277" s="91">
        <v>45005.400537905094</v>
      </c>
      <c r="D4277" s="8">
        <f t="shared" si="328"/>
        <v>45007</v>
      </c>
      <c r="E4277" s="9" t="s">
        <v>11</v>
      </c>
      <c r="F4277" s="10"/>
      <c r="G4277" s="9" t="s">
        <v>18</v>
      </c>
      <c r="H4277" s="7" t="s">
        <v>437</v>
      </c>
      <c r="I4277" s="9" t="s">
        <v>353</v>
      </c>
      <c r="J4277" s="88"/>
    </row>
    <row r="4278">
      <c r="A4278" s="54" t="s">
        <v>332</v>
      </c>
      <c r="B4278" s="7" t="s">
        <v>7484</v>
      </c>
      <c r="C4278" s="91">
        <v>44992.3575908912</v>
      </c>
      <c r="D4278" s="8">
        <f t="shared" si="328"/>
        <v>44994</v>
      </c>
      <c r="E4278" s="9" t="s">
        <v>88</v>
      </c>
      <c r="F4278" s="10"/>
      <c r="G4278" s="9" t="s">
        <v>18</v>
      </c>
      <c r="H4278" s="7" t="s">
        <v>437</v>
      </c>
      <c r="I4278" s="9" t="s">
        <v>353</v>
      </c>
      <c r="J4278" s="88"/>
    </row>
    <row r="4279">
      <c r="A4279" s="6" t="s">
        <v>9</v>
      </c>
      <c r="B4279" s="7" t="s">
        <v>7485</v>
      </c>
      <c r="C4279" s="91">
        <v>44999.60297891204</v>
      </c>
      <c r="D4279" s="8">
        <f t="shared" si="328"/>
        <v>45001</v>
      </c>
      <c r="E4279" s="9" t="s">
        <v>11</v>
      </c>
      <c r="F4279" s="10"/>
      <c r="G4279" s="9" t="s">
        <v>18</v>
      </c>
      <c r="H4279" s="7" t="s">
        <v>7486</v>
      </c>
      <c r="I4279" s="9" t="s">
        <v>353</v>
      </c>
      <c r="J4279" s="88"/>
    </row>
    <row r="4280">
      <c r="A4280" s="54" t="s">
        <v>332</v>
      </c>
      <c r="B4280" s="7" t="s">
        <v>6925</v>
      </c>
      <c r="C4280" s="91">
        <v>45000.3208803125</v>
      </c>
      <c r="D4280" s="8">
        <f t="shared" si="328"/>
        <v>45002</v>
      </c>
      <c r="E4280" s="9" t="s">
        <v>11</v>
      </c>
      <c r="F4280" s="10"/>
      <c r="G4280" s="9" t="s">
        <v>18</v>
      </c>
      <c r="H4280" s="7" t="s">
        <v>437</v>
      </c>
      <c r="I4280" s="9" t="s">
        <v>353</v>
      </c>
      <c r="J4280" s="88"/>
    </row>
    <row r="4281">
      <c r="A4281" s="54" t="s">
        <v>332</v>
      </c>
      <c r="B4281" s="7" t="s">
        <v>7487</v>
      </c>
      <c r="C4281" s="91">
        <v>44994.658547604166</v>
      </c>
      <c r="D4281" s="8">
        <f t="shared" si="328"/>
        <v>44998</v>
      </c>
      <c r="E4281" s="9" t="s">
        <v>88</v>
      </c>
      <c r="F4281" s="10"/>
      <c r="G4281" s="9" t="s">
        <v>18</v>
      </c>
      <c r="H4281" s="7" t="s">
        <v>437</v>
      </c>
      <c r="I4281" s="9" t="s">
        <v>353</v>
      </c>
      <c r="J4281" s="88"/>
    </row>
    <row r="4282">
      <c r="A4282" s="6" t="s">
        <v>9</v>
      </c>
      <c r="B4282" s="7" t="s">
        <v>7488</v>
      </c>
      <c r="C4282" s="91">
        <v>45001.63150265046</v>
      </c>
      <c r="D4282" s="8">
        <f t="shared" si="328"/>
        <v>45005</v>
      </c>
      <c r="E4282" s="9" t="s">
        <v>11</v>
      </c>
      <c r="F4282" s="10"/>
      <c r="G4282" s="9" t="s">
        <v>18</v>
      </c>
      <c r="H4282" s="7" t="s">
        <v>7489</v>
      </c>
      <c r="I4282" s="9" t="s">
        <v>353</v>
      </c>
      <c r="J4282" s="88"/>
    </row>
    <row r="4283">
      <c r="A4283" s="6" t="s">
        <v>9</v>
      </c>
      <c r="B4283" s="7" t="s">
        <v>6060</v>
      </c>
      <c r="C4283" s="91">
        <v>45001.324376793986</v>
      </c>
      <c r="D4283" s="8">
        <f t="shared" si="328"/>
        <v>45005</v>
      </c>
      <c r="E4283" s="9" t="s">
        <v>11</v>
      </c>
      <c r="F4283" s="10"/>
      <c r="G4283" s="9" t="s">
        <v>18</v>
      </c>
      <c r="H4283" s="7" t="s">
        <v>7490</v>
      </c>
      <c r="I4283" s="9" t="s">
        <v>353</v>
      </c>
      <c r="J4283" s="88"/>
    </row>
    <row r="4284">
      <c r="A4284" s="6" t="s">
        <v>9</v>
      </c>
      <c r="B4284" s="7" t="s">
        <v>7491</v>
      </c>
      <c r="C4284" s="91">
        <v>45001.32429128472</v>
      </c>
      <c r="D4284" s="8">
        <f t="shared" si="328"/>
        <v>45005</v>
      </c>
      <c r="E4284" s="9" t="s">
        <v>11</v>
      </c>
      <c r="F4284" s="10"/>
      <c r="G4284" s="9" t="s">
        <v>18</v>
      </c>
      <c r="H4284" s="7" t="s">
        <v>7490</v>
      </c>
      <c r="I4284" s="9" t="s">
        <v>353</v>
      </c>
      <c r="J4284" s="88"/>
    </row>
    <row r="4285">
      <c r="A4285" s="6" t="s">
        <v>9</v>
      </c>
      <c r="B4285" s="7" t="s">
        <v>7492</v>
      </c>
      <c r="C4285" s="91">
        <v>45001.32434771991</v>
      </c>
      <c r="D4285" s="8">
        <f t="shared" si="328"/>
        <v>45005</v>
      </c>
      <c r="E4285" s="9" t="s">
        <v>11</v>
      </c>
      <c r="F4285" s="10"/>
      <c r="G4285" s="9" t="s">
        <v>18</v>
      </c>
      <c r="H4285" s="7" t="s">
        <v>7490</v>
      </c>
      <c r="I4285" s="9" t="s">
        <v>353</v>
      </c>
      <c r="J4285" s="88"/>
    </row>
    <row r="4286">
      <c r="A4286" s="6" t="s">
        <v>9</v>
      </c>
      <c r="B4286" s="7" t="s">
        <v>7493</v>
      </c>
      <c r="C4286" s="91">
        <v>45000.7161990625</v>
      </c>
      <c r="D4286" s="8">
        <f t="shared" si="328"/>
        <v>45002</v>
      </c>
      <c r="E4286" s="9" t="s">
        <v>11</v>
      </c>
      <c r="F4286" s="10"/>
      <c r="G4286" s="9"/>
      <c r="H4286" s="7" t="s">
        <v>7494</v>
      </c>
      <c r="I4286" s="9" t="s">
        <v>353</v>
      </c>
      <c r="J4286" s="88"/>
    </row>
    <row r="4287">
      <c r="A4287" s="54" t="s">
        <v>332</v>
      </c>
      <c r="B4287" s="221" t="s">
        <v>7495</v>
      </c>
      <c r="C4287" s="91">
        <v>44988.43205726852</v>
      </c>
      <c r="D4287" s="8">
        <f t="shared" si="328"/>
        <v>44992</v>
      </c>
      <c r="E4287" s="9" t="s">
        <v>206</v>
      </c>
      <c r="F4287" s="8"/>
      <c r="G4287" s="9" t="s">
        <v>15</v>
      </c>
      <c r="H4287" s="7" t="s">
        <v>7496</v>
      </c>
      <c r="I4287" s="9" t="s">
        <v>353</v>
      </c>
      <c r="J4287" s="88"/>
    </row>
    <row r="4288">
      <c r="A4288" s="6" t="s">
        <v>9</v>
      </c>
      <c r="B4288" s="7" t="s">
        <v>7072</v>
      </c>
      <c r="C4288" s="91">
        <v>45000.506292314814</v>
      </c>
      <c r="D4288" s="8">
        <f t="shared" si="328"/>
        <v>45002</v>
      </c>
      <c r="E4288" s="9" t="s">
        <v>11</v>
      </c>
      <c r="F4288" s="10"/>
      <c r="G4288" s="9"/>
      <c r="H4288" s="7" t="s">
        <v>7497</v>
      </c>
      <c r="I4288" s="9" t="s">
        <v>353</v>
      </c>
      <c r="J4288" s="88"/>
    </row>
    <row r="4289">
      <c r="A4289" s="6" t="s">
        <v>9</v>
      </c>
      <c r="B4289" s="221" t="s">
        <v>7498</v>
      </c>
      <c r="C4289" s="91">
        <v>44980.32475482639</v>
      </c>
      <c r="D4289" s="8">
        <f t="shared" si="328"/>
        <v>44984</v>
      </c>
      <c r="E4289" s="9" t="s">
        <v>11</v>
      </c>
      <c r="F4289" s="10"/>
      <c r="G4289" s="9" t="s">
        <v>18</v>
      </c>
      <c r="H4289" s="7" t="s">
        <v>7499</v>
      </c>
      <c r="I4289" s="9" t="s">
        <v>353</v>
      </c>
      <c r="J4289" s="88"/>
    </row>
    <row r="4290">
      <c r="A4290" s="54" t="s">
        <v>332</v>
      </c>
      <c r="B4290" s="7" t="s">
        <v>7500</v>
      </c>
      <c r="C4290" s="91">
        <v>44970.490516087964</v>
      </c>
      <c r="D4290" s="8">
        <f t="shared" si="328"/>
        <v>44972</v>
      </c>
      <c r="E4290" s="9" t="s">
        <v>206</v>
      </c>
      <c r="F4290" s="8"/>
      <c r="G4290" s="9" t="s">
        <v>18</v>
      </c>
      <c r="H4290" s="7" t="s">
        <v>437</v>
      </c>
      <c r="I4290" s="9" t="s">
        <v>353</v>
      </c>
      <c r="J4290" s="88"/>
    </row>
    <row r="4291">
      <c r="A4291" s="6" t="s">
        <v>9</v>
      </c>
      <c r="B4291" s="7" t="s">
        <v>7501</v>
      </c>
      <c r="C4291" s="91">
        <v>44882.33224186343</v>
      </c>
      <c r="D4291" s="8">
        <f t="shared" si="328"/>
        <v>44886</v>
      </c>
      <c r="E4291" s="9" t="s">
        <v>88</v>
      </c>
      <c r="F4291" s="8"/>
      <c r="G4291" s="9" t="s">
        <v>21</v>
      </c>
      <c r="H4291" s="7" t="s">
        <v>7502</v>
      </c>
      <c r="I4291" s="9" t="s">
        <v>353</v>
      </c>
      <c r="J4291" s="88"/>
    </row>
    <row r="4292">
      <c r="A4292" s="6" t="s">
        <v>9</v>
      </c>
      <c r="B4292" s="7" t="s">
        <v>7503</v>
      </c>
      <c r="C4292" s="91">
        <v>44809.52462040509</v>
      </c>
      <c r="D4292" s="9" t="s">
        <v>11</v>
      </c>
      <c r="E4292" s="9" t="s">
        <v>88</v>
      </c>
      <c r="F4292" s="8"/>
      <c r="G4292" s="9" t="s">
        <v>89</v>
      </c>
      <c r="H4292" s="7" t="s">
        <v>7504</v>
      </c>
      <c r="I4292" s="9" t="s">
        <v>353</v>
      </c>
      <c r="J4292" s="88"/>
    </row>
    <row r="4293">
      <c r="A4293" s="6" t="s">
        <v>9</v>
      </c>
      <c r="B4293" s="7" t="s">
        <v>7505</v>
      </c>
      <c r="C4293" s="91">
        <v>44848.363210868054</v>
      </c>
      <c r="D4293" s="9" t="s">
        <v>11</v>
      </c>
      <c r="E4293" s="9" t="s">
        <v>88</v>
      </c>
      <c r="F4293" s="8"/>
      <c r="G4293" s="9" t="s">
        <v>89</v>
      </c>
      <c r="H4293" s="7" t="s">
        <v>7506</v>
      </c>
      <c r="I4293" s="9" t="s">
        <v>353</v>
      </c>
      <c r="J4293" s="88"/>
    </row>
    <row r="4294">
      <c r="A4294" s="6" t="s">
        <v>9</v>
      </c>
      <c r="B4294" s="7" t="s">
        <v>7507</v>
      </c>
      <c r="C4294" s="91">
        <v>44993.48847498842</v>
      </c>
      <c r="D4294" s="8">
        <f t="shared" ref="D4294:D4296" si="329">IFERROR(_xlfn.WORKDAY.INTL(C4294, 2),"-")</f>
        <v>44995</v>
      </c>
      <c r="E4294" s="9" t="s">
        <v>11</v>
      </c>
      <c r="F4294" s="10"/>
      <c r="G4294" s="9" t="s">
        <v>15</v>
      </c>
      <c r="H4294" s="7" t="s">
        <v>7508</v>
      </c>
      <c r="I4294" s="9" t="s">
        <v>353</v>
      </c>
      <c r="J4294" s="88"/>
    </row>
    <row r="4295">
      <c r="A4295" s="6" t="s">
        <v>9</v>
      </c>
      <c r="B4295" s="7" t="s">
        <v>4532</v>
      </c>
      <c r="C4295" s="91">
        <v>44904.46658972222</v>
      </c>
      <c r="D4295" s="8">
        <f t="shared" si="329"/>
        <v>44908</v>
      </c>
      <c r="E4295" s="9" t="s">
        <v>88</v>
      </c>
      <c r="F4295" s="9"/>
      <c r="G4295" s="9" t="s">
        <v>89</v>
      </c>
      <c r="H4295" s="7" t="s">
        <v>7509</v>
      </c>
      <c r="I4295" s="9" t="s">
        <v>353</v>
      </c>
      <c r="J4295" s="88"/>
    </row>
    <row r="4296">
      <c r="A4296" s="34" t="s">
        <v>204</v>
      </c>
      <c r="B4296" s="7" t="s">
        <v>7510</v>
      </c>
      <c r="C4296" s="91">
        <v>44974.46511844908</v>
      </c>
      <c r="D4296" s="8">
        <f t="shared" si="329"/>
        <v>44978</v>
      </c>
      <c r="E4296" s="9" t="s">
        <v>11</v>
      </c>
      <c r="F4296" s="9"/>
      <c r="G4296" s="9" t="s">
        <v>15</v>
      </c>
      <c r="H4296" s="7" t="s">
        <v>7511</v>
      </c>
      <c r="I4296" s="9" t="s">
        <v>353</v>
      </c>
      <c r="J4296" s="88"/>
    </row>
    <row r="4297">
      <c r="A4297" s="34" t="s">
        <v>204</v>
      </c>
      <c r="B4297" s="7" t="s">
        <v>7512</v>
      </c>
      <c r="C4297" s="91">
        <v>44984.43787217593</v>
      </c>
      <c r="D4297" s="9" t="s">
        <v>11</v>
      </c>
      <c r="E4297" s="172" t="s">
        <v>206</v>
      </c>
      <c r="F4297" s="80"/>
      <c r="G4297" s="9" t="s">
        <v>15</v>
      </c>
      <c r="H4297" s="7" t="s">
        <v>6733</v>
      </c>
      <c r="I4297" s="9" t="s">
        <v>353</v>
      </c>
      <c r="J4297" s="88"/>
    </row>
    <row r="4298">
      <c r="A4298" s="34" t="s">
        <v>204</v>
      </c>
      <c r="B4298" s="7" t="s">
        <v>7513</v>
      </c>
      <c r="C4298" s="91">
        <v>44984.43468305556</v>
      </c>
      <c r="D4298" s="9" t="s">
        <v>11</v>
      </c>
      <c r="E4298" s="172" t="s">
        <v>206</v>
      </c>
      <c r="F4298" s="80"/>
      <c r="G4298" s="9" t="s">
        <v>15</v>
      </c>
      <c r="H4298" s="7" t="s">
        <v>7514</v>
      </c>
      <c r="I4298" s="9" t="s">
        <v>353</v>
      </c>
      <c r="J4298" s="88"/>
    </row>
    <row r="4299">
      <c r="A4299" s="54" t="s">
        <v>332</v>
      </c>
      <c r="B4299" s="7" t="s">
        <v>6391</v>
      </c>
      <c r="C4299" s="91">
        <v>44991.34414267361</v>
      </c>
      <c r="D4299" s="8">
        <f t="shared" ref="D4299:D4307" si="330">IFERROR(_xlfn.WORKDAY.INTL(C4299, 2),"-")</f>
        <v>44993</v>
      </c>
      <c r="E4299" s="9" t="s">
        <v>88</v>
      </c>
      <c r="F4299" s="8"/>
      <c r="G4299" s="9" t="s">
        <v>18</v>
      </c>
      <c r="H4299" s="7" t="s">
        <v>437</v>
      </c>
      <c r="I4299" s="9" t="s">
        <v>353</v>
      </c>
      <c r="J4299" s="88"/>
    </row>
    <row r="4300">
      <c r="A4300" s="6" t="s">
        <v>9</v>
      </c>
      <c r="B4300" s="7" t="s">
        <v>7515</v>
      </c>
      <c r="C4300" s="91">
        <v>44981.41016423611</v>
      </c>
      <c r="D4300" s="8">
        <f t="shared" si="330"/>
        <v>44985</v>
      </c>
      <c r="E4300" s="9" t="s">
        <v>88</v>
      </c>
      <c r="F4300" s="10"/>
      <c r="G4300" s="9" t="s">
        <v>15</v>
      </c>
      <c r="H4300" s="7" t="s">
        <v>7516</v>
      </c>
      <c r="I4300" s="9" t="s">
        <v>353</v>
      </c>
      <c r="J4300" s="88"/>
    </row>
    <row r="4301">
      <c r="A4301" s="34" t="s">
        <v>204</v>
      </c>
      <c r="B4301" s="7" t="s">
        <v>7517</v>
      </c>
      <c r="C4301" s="91">
        <v>44974.47838744213</v>
      </c>
      <c r="D4301" s="8">
        <f t="shared" si="330"/>
        <v>44978</v>
      </c>
      <c r="E4301" s="9" t="s">
        <v>11</v>
      </c>
      <c r="F4301" s="9"/>
      <c r="G4301" s="9" t="s">
        <v>15</v>
      </c>
      <c r="H4301" s="7" t="s">
        <v>7518</v>
      </c>
      <c r="I4301" s="9" t="s">
        <v>353</v>
      </c>
      <c r="J4301" s="88"/>
    </row>
    <row r="4302">
      <c r="A4302" s="34" t="s">
        <v>204</v>
      </c>
      <c r="B4302" s="7" t="s">
        <v>7519</v>
      </c>
      <c r="C4302" s="91">
        <v>44984.511591215276</v>
      </c>
      <c r="D4302" s="8">
        <f t="shared" si="330"/>
        <v>44986</v>
      </c>
      <c r="E4302" s="9" t="s">
        <v>11</v>
      </c>
      <c r="F4302" s="9"/>
      <c r="G4302" s="9" t="s">
        <v>18</v>
      </c>
      <c r="H4302" s="7" t="s">
        <v>7520</v>
      </c>
      <c r="I4302" s="9" t="s">
        <v>353</v>
      </c>
      <c r="J4302" s="88"/>
    </row>
    <row r="4303">
      <c r="A4303" s="6" t="s">
        <v>9</v>
      </c>
      <c r="B4303" s="7" t="s">
        <v>7521</v>
      </c>
      <c r="C4303" s="91">
        <v>44978.56856708333</v>
      </c>
      <c r="D4303" s="8">
        <f t="shared" si="330"/>
        <v>44980</v>
      </c>
      <c r="E4303" s="9" t="s">
        <v>11</v>
      </c>
      <c r="F4303" s="10"/>
      <c r="G4303" s="9" t="s">
        <v>18</v>
      </c>
      <c r="H4303" s="7" t="s">
        <v>7522</v>
      </c>
      <c r="I4303" s="9" t="s">
        <v>353</v>
      </c>
      <c r="J4303" s="88"/>
    </row>
    <row r="4304">
      <c r="A4304" s="6" t="s">
        <v>9</v>
      </c>
      <c r="B4304" s="7" t="s">
        <v>7147</v>
      </c>
      <c r="C4304" s="91">
        <v>44998.3957530787</v>
      </c>
      <c r="D4304" s="8">
        <f t="shared" si="330"/>
        <v>45000</v>
      </c>
      <c r="E4304" s="9" t="s">
        <v>11</v>
      </c>
      <c r="F4304" s="10"/>
      <c r="G4304" s="9"/>
      <c r="H4304" s="7" t="s">
        <v>7523</v>
      </c>
      <c r="I4304" s="9" t="s">
        <v>353</v>
      </c>
      <c r="J4304" s="88"/>
    </row>
    <row r="4305">
      <c r="A4305" s="6" t="s">
        <v>9</v>
      </c>
      <c r="B4305" s="7" t="s">
        <v>7524</v>
      </c>
      <c r="C4305" s="91">
        <v>44995.434331979166</v>
      </c>
      <c r="D4305" s="8">
        <f t="shared" si="330"/>
        <v>44999</v>
      </c>
      <c r="E4305" s="9" t="s">
        <v>11</v>
      </c>
      <c r="F4305" s="10"/>
      <c r="G4305" s="9"/>
      <c r="H4305" s="7" t="s">
        <v>7525</v>
      </c>
      <c r="I4305" s="9" t="s">
        <v>353</v>
      </c>
      <c r="J4305" s="88"/>
    </row>
    <row r="4306">
      <c r="A4306" s="6" t="s">
        <v>9</v>
      </c>
      <c r="B4306" s="7" t="s">
        <v>4060</v>
      </c>
      <c r="C4306" s="91">
        <v>44868.35609898149</v>
      </c>
      <c r="D4306" s="8">
        <f t="shared" si="330"/>
        <v>44872</v>
      </c>
      <c r="E4306" s="9" t="s">
        <v>88</v>
      </c>
      <c r="F4306" s="8"/>
      <c r="G4306" s="9" t="s">
        <v>15</v>
      </c>
      <c r="H4306" s="7" t="s">
        <v>7526</v>
      </c>
      <c r="I4306" s="9" t="s">
        <v>353</v>
      </c>
      <c r="J4306" s="88"/>
    </row>
    <row r="4307">
      <c r="A4307" s="54" t="s">
        <v>332</v>
      </c>
      <c r="B4307" s="7" t="s">
        <v>7527</v>
      </c>
      <c r="C4307" s="91">
        <v>44978.59831818287</v>
      </c>
      <c r="D4307" s="8">
        <f t="shared" si="330"/>
        <v>44980</v>
      </c>
      <c r="E4307" s="9" t="s">
        <v>88</v>
      </c>
      <c r="F4307" s="8"/>
      <c r="G4307" s="9" t="s">
        <v>18</v>
      </c>
      <c r="H4307" s="7" t="s">
        <v>437</v>
      </c>
      <c r="I4307" s="9" t="s">
        <v>353</v>
      </c>
      <c r="J4307" s="88"/>
    </row>
    <row r="4308">
      <c r="A4308" s="34" t="s">
        <v>204</v>
      </c>
      <c r="B4308" s="7" t="s">
        <v>7528</v>
      </c>
      <c r="C4308" s="91">
        <v>44984.43911733796</v>
      </c>
      <c r="D4308" s="9" t="s">
        <v>11</v>
      </c>
      <c r="E4308" s="172" t="s">
        <v>206</v>
      </c>
      <c r="F4308" s="80"/>
      <c r="G4308" s="9" t="s">
        <v>15</v>
      </c>
      <c r="H4308" s="7" t="s">
        <v>6733</v>
      </c>
      <c r="I4308" s="9" t="s">
        <v>353</v>
      </c>
      <c r="J4308" s="88"/>
    </row>
    <row r="4309">
      <c r="A4309" s="34" t="s">
        <v>204</v>
      </c>
      <c r="B4309" s="7" t="s">
        <v>7529</v>
      </c>
      <c r="C4309" s="91">
        <v>44994.60900457176</v>
      </c>
      <c r="D4309" s="8">
        <f t="shared" ref="D4309:D4319" si="331">IFERROR(_xlfn.WORKDAY.INTL(C4309, 2),"-")</f>
        <v>44998</v>
      </c>
      <c r="E4309" s="9" t="s">
        <v>11</v>
      </c>
      <c r="F4309" s="10"/>
      <c r="G4309" s="9" t="s">
        <v>18</v>
      </c>
      <c r="H4309" s="7" t="s">
        <v>437</v>
      </c>
      <c r="I4309" s="9" t="s">
        <v>353</v>
      </c>
      <c r="J4309" s="88"/>
    </row>
    <row r="4310">
      <c r="A4310" s="54" t="s">
        <v>332</v>
      </c>
      <c r="B4310" s="7" t="s">
        <v>7530</v>
      </c>
      <c r="C4310" s="91">
        <v>44978.598480138884</v>
      </c>
      <c r="D4310" s="8">
        <f t="shared" si="331"/>
        <v>44980</v>
      </c>
      <c r="E4310" s="9" t="s">
        <v>88</v>
      </c>
      <c r="F4310" s="10"/>
      <c r="G4310" s="9" t="s">
        <v>18</v>
      </c>
      <c r="H4310" s="7" t="s">
        <v>437</v>
      </c>
      <c r="I4310" s="9" t="s">
        <v>353</v>
      </c>
      <c r="J4310" s="88"/>
    </row>
    <row r="4311">
      <c r="A4311" s="6" t="s">
        <v>9</v>
      </c>
      <c r="B4311" s="7" t="s">
        <v>7531</v>
      </c>
      <c r="C4311" s="91">
        <v>44994.453578796296</v>
      </c>
      <c r="D4311" s="8">
        <f t="shared" si="331"/>
        <v>44998</v>
      </c>
      <c r="E4311" s="9" t="s">
        <v>11</v>
      </c>
      <c r="F4311" s="10"/>
      <c r="G4311" s="9"/>
      <c r="H4311" s="7" t="s">
        <v>7532</v>
      </c>
      <c r="I4311" s="9" t="s">
        <v>353</v>
      </c>
      <c r="J4311" s="88"/>
    </row>
    <row r="4312">
      <c r="A4312" s="54" t="s">
        <v>332</v>
      </c>
      <c r="B4312" s="7" t="s">
        <v>7533</v>
      </c>
      <c r="C4312" s="91">
        <v>44979.37149553241</v>
      </c>
      <c r="D4312" s="8">
        <f t="shared" si="331"/>
        <v>44981</v>
      </c>
      <c r="E4312" s="9" t="s">
        <v>88</v>
      </c>
      <c r="F4312" s="10"/>
      <c r="G4312" s="9" t="s">
        <v>18</v>
      </c>
      <c r="H4312" s="7" t="s">
        <v>437</v>
      </c>
      <c r="I4312" s="9" t="s">
        <v>353</v>
      </c>
      <c r="J4312" s="88"/>
    </row>
    <row r="4313">
      <c r="A4313" s="6" t="s">
        <v>9</v>
      </c>
      <c r="B4313" s="7" t="s">
        <v>2814</v>
      </c>
      <c r="C4313" s="91">
        <v>44970.31609465278</v>
      </c>
      <c r="D4313" s="8">
        <f t="shared" si="331"/>
        <v>44972</v>
      </c>
      <c r="E4313" s="9" t="s">
        <v>11</v>
      </c>
      <c r="F4313" s="10"/>
      <c r="G4313" s="9" t="s">
        <v>18</v>
      </c>
      <c r="H4313" s="7" t="s">
        <v>7534</v>
      </c>
      <c r="I4313" s="9" t="s">
        <v>353</v>
      </c>
      <c r="J4313" s="88"/>
    </row>
    <row r="4314">
      <c r="A4314" s="34" t="s">
        <v>204</v>
      </c>
      <c r="B4314" s="7" t="s">
        <v>7535</v>
      </c>
      <c r="C4314" s="91">
        <v>44991.405506944444</v>
      </c>
      <c r="D4314" s="8">
        <f t="shared" si="331"/>
        <v>44993</v>
      </c>
      <c r="E4314" s="9" t="s">
        <v>11</v>
      </c>
      <c r="F4314" s="10"/>
      <c r="G4314" s="9" t="s">
        <v>18</v>
      </c>
      <c r="H4314" s="7" t="s">
        <v>437</v>
      </c>
      <c r="I4314" s="9" t="s">
        <v>353</v>
      </c>
      <c r="J4314" s="88"/>
    </row>
    <row r="4315">
      <c r="A4315" s="6" t="s">
        <v>9</v>
      </c>
      <c r="B4315" s="7" t="s">
        <v>5768</v>
      </c>
      <c r="C4315" s="91">
        <v>44991.714786111115</v>
      </c>
      <c r="D4315" s="8">
        <f t="shared" si="331"/>
        <v>44993</v>
      </c>
      <c r="E4315" s="9" t="s">
        <v>11</v>
      </c>
      <c r="F4315" s="10"/>
      <c r="G4315" s="9"/>
      <c r="H4315" s="7" t="s">
        <v>7536</v>
      </c>
      <c r="I4315" s="9" t="s">
        <v>353</v>
      </c>
      <c r="J4315" s="88"/>
    </row>
    <row r="4316">
      <c r="A4316" s="6" t="s">
        <v>9</v>
      </c>
      <c r="B4316" s="7" t="s">
        <v>7537</v>
      </c>
      <c r="C4316" s="91">
        <v>44991.44305877315</v>
      </c>
      <c r="D4316" s="8">
        <f t="shared" si="331"/>
        <v>44993</v>
      </c>
      <c r="E4316" s="9" t="s">
        <v>11</v>
      </c>
      <c r="F4316" s="10"/>
      <c r="G4316" s="9"/>
      <c r="H4316" s="11"/>
      <c r="I4316" s="9" t="s">
        <v>353</v>
      </c>
      <c r="J4316" s="88"/>
    </row>
    <row r="4317">
      <c r="A4317" s="54" t="s">
        <v>332</v>
      </c>
      <c r="B4317" s="7" t="s">
        <v>7538</v>
      </c>
      <c r="C4317" s="91">
        <v>44991.3938724537</v>
      </c>
      <c r="D4317" s="8">
        <f t="shared" si="331"/>
        <v>44993</v>
      </c>
      <c r="E4317" s="9" t="s">
        <v>11</v>
      </c>
      <c r="F4317" s="10"/>
      <c r="G4317" s="9" t="s">
        <v>18</v>
      </c>
      <c r="H4317" s="11"/>
      <c r="I4317" s="9" t="s">
        <v>353</v>
      </c>
      <c r="J4317" s="88"/>
    </row>
    <row r="4318">
      <c r="A4318" s="54" t="s">
        <v>332</v>
      </c>
      <c r="B4318" s="7" t="s">
        <v>7539</v>
      </c>
      <c r="C4318" s="91">
        <v>44987.48216717593</v>
      </c>
      <c r="D4318" s="8">
        <f t="shared" si="331"/>
        <v>44991</v>
      </c>
      <c r="E4318" s="9" t="s">
        <v>206</v>
      </c>
      <c r="F4318" s="10"/>
      <c r="G4318" s="9" t="s">
        <v>18</v>
      </c>
      <c r="H4318" s="7" t="s">
        <v>437</v>
      </c>
      <c r="I4318" s="9" t="s">
        <v>353</v>
      </c>
      <c r="J4318" s="88"/>
    </row>
    <row r="4319">
      <c r="A4319" s="6" t="s">
        <v>9</v>
      </c>
      <c r="B4319" s="7" t="s">
        <v>7540</v>
      </c>
      <c r="C4319" s="91">
        <v>44991.51047679398</v>
      </c>
      <c r="D4319" s="8">
        <f t="shared" si="331"/>
        <v>44993</v>
      </c>
      <c r="E4319" s="9" t="s">
        <v>11</v>
      </c>
      <c r="F4319" s="10"/>
      <c r="G4319" s="9"/>
      <c r="H4319" s="11"/>
      <c r="I4319" s="9" t="s">
        <v>353</v>
      </c>
      <c r="J4319" s="88"/>
    </row>
    <row r="4320">
      <c r="A4320" s="34" t="s">
        <v>204</v>
      </c>
      <c r="B4320" s="7" t="s">
        <v>7541</v>
      </c>
      <c r="C4320" s="91">
        <v>44984.46034282407</v>
      </c>
      <c r="D4320" s="9" t="s">
        <v>11</v>
      </c>
      <c r="E4320" s="9" t="s">
        <v>206</v>
      </c>
      <c r="F4320" s="9"/>
      <c r="G4320" s="9" t="s">
        <v>15</v>
      </c>
      <c r="H4320" s="7" t="s">
        <v>7542</v>
      </c>
      <c r="I4320" s="9" t="s">
        <v>353</v>
      </c>
      <c r="J4320" s="88"/>
    </row>
    <row r="4321">
      <c r="A4321" s="6" t="s">
        <v>9</v>
      </c>
      <c r="B4321" s="7" t="s">
        <v>7543</v>
      </c>
      <c r="C4321" s="91">
        <v>44991.44299186343</v>
      </c>
      <c r="D4321" s="8">
        <f t="shared" ref="D4321:D4340" si="332">IFERROR(_xlfn.WORKDAY.INTL(C4321, 2),"-")</f>
        <v>44993</v>
      </c>
      <c r="E4321" s="9" t="s">
        <v>11</v>
      </c>
      <c r="F4321" s="10"/>
      <c r="G4321" s="9"/>
      <c r="H4321" s="7" t="s">
        <v>7077</v>
      </c>
      <c r="I4321" s="9" t="s">
        <v>353</v>
      </c>
      <c r="J4321" s="88"/>
    </row>
    <row r="4322">
      <c r="A4322" s="6" t="s">
        <v>9</v>
      </c>
      <c r="B4322" s="7" t="s">
        <v>7544</v>
      </c>
      <c r="C4322" s="91">
        <v>44985.61138533565</v>
      </c>
      <c r="D4322" s="8">
        <f t="shared" si="332"/>
        <v>44987</v>
      </c>
      <c r="E4322" s="9" t="s">
        <v>11</v>
      </c>
      <c r="F4322" s="10"/>
      <c r="G4322" s="9" t="s">
        <v>15</v>
      </c>
      <c r="H4322" s="7" t="s">
        <v>7545</v>
      </c>
      <c r="I4322" s="9" t="s">
        <v>353</v>
      </c>
      <c r="J4322" s="88"/>
    </row>
    <row r="4323">
      <c r="A4323" s="6" t="s">
        <v>9</v>
      </c>
      <c r="B4323" s="7" t="s">
        <v>7546</v>
      </c>
      <c r="C4323" s="91">
        <v>44987.36235575231</v>
      </c>
      <c r="D4323" s="8">
        <f t="shared" si="332"/>
        <v>44991</v>
      </c>
      <c r="E4323" s="9" t="s">
        <v>11</v>
      </c>
      <c r="F4323" s="10"/>
      <c r="G4323" s="9" t="s">
        <v>15</v>
      </c>
      <c r="H4323" s="7" t="s">
        <v>7547</v>
      </c>
      <c r="I4323" s="9" t="s">
        <v>353</v>
      </c>
      <c r="J4323" s="88"/>
    </row>
    <row r="4324">
      <c r="A4324" s="54" t="s">
        <v>332</v>
      </c>
      <c r="B4324" s="7" t="s">
        <v>7548</v>
      </c>
      <c r="C4324" s="91">
        <v>44967.3766741088</v>
      </c>
      <c r="D4324" s="8">
        <f t="shared" si="332"/>
        <v>44971</v>
      </c>
      <c r="E4324" s="9" t="s">
        <v>206</v>
      </c>
      <c r="F4324" s="10"/>
      <c r="G4324" s="9" t="s">
        <v>220</v>
      </c>
      <c r="H4324" s="7" t="s">
        <v>7549</v>
      </c>
      <c r="I4324" s="9" t="s">
        <v>353</v>
      </c>
      <c r="J4324" s="88"/>
    </row>
    <row r="4325">
      <c r="A4325" s="6" t="s">
        <v>9</v>
      </c>
      <c r="B4325" s="7" t="s">
        <v>7550</v>
      </c>
      <c r="C4325" s="91">
        <v>44987.5780294213</v>
      </c>
      <c r="D4325" s="8">
        <f t="shared" si="332"/>
        <v>44991</v>
      </c>
      <c r="E4325" s="9" t="s">
        <v>11</v>
      </c>
      <c r="F4325" s="10"/>
      <c r="G4325" s="9"/>
      <c r="H4325" s="7" t="s">
        <v>7551</v>
      </c>
      <c r="I4325" s="9" t="s">
        <v>353</v>
      </c>
      <c r="J4325" s="88"/>
    </row>
    <row r="4326">
      <c r="A4326" s="6" t="s">
        <v>9</v>
      </c>
      <c r="B4326" s="7" t="s">
        <v>7552</v>
      </c>
      <c r="C4326" s="91">
        <v>44987.657406886574</v>
      </c>
      <c r="D4326" s="8">
        <f t="shared" si="332"/>
        <v>44991</v>
      </c>
      <c r="E4326" s="9" t="s">
        <v>88</v>
      </c>
      <c r="F4326" s="10"/>
      <c r="G4326" s="9" t="s">
        <v>18</v>
      </c>
      <c r="H4326" s="7" t="s">
        <v>7553</v>
      </c>
      <c r="I4326" s="9" t="s">
        <v>353</v>
      </c>
      <c r="J4326" s="88"/>
    </row>
    <row r="4327">
      <c r="A4327" s="54" t="s">
        <v>332</v>
      </c>
      <c r="B4327" s="7" t="s">
        <v>7554</v>
      </c>
      <c r="C4327" s="91">
        <v>44972.72035445602</v>
      </c>
      <c r="D4327" s="8">
        <f t="shared" si="332"/>
        <v>44974</v>
      </c>
      <c r="E4327" s="9" t="s">
        <v>206</v>
      </c>
      <c r="F4327" s="8"/>
      <c r="G4327" s="9" t="s">
        <v>220</v>
      </c>
      <c r="H4327" s="7" t="s">
        <v>437</v>
      </c>
      <c r="I4327" s="9" t="s">
        <v>353</v>
      </c>
      <c r="J4327" s="88"/>
    </row>
    <row r="4328">
      <c r="A4328" s="54" t="s">
        <v>332</v>
      </c>
      <c r="B4328" s="7" t="s">
        <v>7555</v>
      </c>
      <c r="C4328" s="91">
        <v>44978.59814128472</v>
      </c>
      <c r="D4328" s="8">
        <f t="shared" si="332"/>
        <v>44980</v>
      </c>
      <c r="E4328" s="9" t="s">
        <v>88</v>
      </c>
      <c r="F4328" s="8"/>
      <c r="G4328" s="9" t="s">
        <v>220</v>
      </c>
      <c r="H4328" s="7" t="s">
        <v>437</v>
      </c>
      <c r="I4328" s="9" t="s">
        <v>353</v>
      </c>
      <c r="J4328" s="88"/>
    </row>
    <row r="4329">
      <c r="A4329" s="34" t="s">
        <v>204</v>
      </c>
      <c r="B4329" s="7" t="s">
        <v>7556</v>
      </c>
      <c r="C4329" s="91">
        <v>44984.7495418287</v>
      </c>
      <c r="D4329" s="8">
        <f t="shared" si="332"/>
        <v>44986</v>
      </c>
      <c r="E4329" s="9" t="s">
        <v>11</v>
      </c>
      <c r="F4329" s="10"/>
      <c r="G4329" s="9" t="s">
        <v>18</v>
      </c>
      <c r="H4329" s="7" t="s">
        <v>7557</v>
      </c>
      <c r="I4329" s="9" t="s">
        <v>353</v>
      </c>
      <c r="J4329" s="88"/>
    </row>
    <row r="4330">
      <c r="A4330" s="54" t="s">
        <v>332</v>
      </c>
      <c r="B4330" s="7" t="s">
        <v>7558</v>
      </c>
      <c r="C4330" s="91">
        <v>44986.4848737037</v>
      </c>
      <c r="D4330" s="8">
        <f t="shared" si="332"/>
        <v>44988</v>
      </c>
      <c r="E4330" s="9" t="s">
        <v>206</v>
      </c>
      <c r="F4330" s="10"/>
      <c r="G4330" s="9" t="s">
        <v>15</v>
      </c>
      <c r="H4330" s="7" t="s">
        <v>7559</v>
      </c>
      <c r="I4330" s="9" t="s">
        <v>353</v>
      </c>
      <c r="J4330" s="88"/>
    </row>
    <row r="4331">
      <c r="A4331" s="54" t="s">
        <v>332</v>
      </c>
      <c r="B4331" s="7" t="s">
        <v>7560</v>
      </c>
      <c r="C4331" s="91">
        <v>44971.43927351852</v>
      </c>
      <c r="D4331" s="8">
        <f t="shared" si="332"/>
        <v>44973</v>
      </c>
      <c r="E4331" s="9" t="s">
        <v>88</v>
      </c>
      <c r="F4331" s="71"/>
      <c r="G4331" s="9" t="s">
        <v>18</v>
      </c>
      <c r="H4331" s="7" t="s">
        <v>437</v>
      </c>
      <c r="I4331" s="9" t="s">
        <v>353</v>
      </c>
      <c r="J4331" s="88"/>
    </row>
    <row r="4332">
      <c r="A4332" s="6" t="s">
        <v>9</v>
      </c>
      <c r="B4332" s="7" t="s">
        <v>7561</v>
      </c>
      <c r="C4332" s="91">
        <v>44973.71505987269</v>
      </c>
      <c r="D4332" s="8">
        <f t="shared" si="332"/>
        <v>44977</v>
      </c>
      <c r="E4332" s="9" t="s">
        <v>206</v>
      </c>
      <c r="F4332" s="10"/>
      <c r="G4332" s="9" t="s">
        <v>15</v>
      </c>
      <c r="H4332" s="7" t="s">
        <v>7562</v>
      </c>
      <c r="I4332" s="9" t="s">
        <v>353</v>
      </c>
      <c r="J4332" s="88"/>
    </row>
    <row r="4333">
      <c r="A4333" s="6" t="s">
        <v>9</v>
      </c>
      <c r="B4333" s="7" t="s">
        <v>7563</v>
      </c>
      <c r="C4333" s="91">
        <v>44970.317079016204</v>
      </c>
      <c r="D4333" s="8">
        <f t="shared" si="332"/>
        <v>44972</v>
      </c>
      <c r="E4333" s="9" t="s">
        <v>11</v>
      </c>
      <c r="F4333" s="10"/>
      <c r="G4333" s="9" t="s">
        <v>15</v>
      </c>
      <c r="H4333" s="7" t="s">
        <v>7564</v>
      </c>
      <c r="I4333" s="9" t="s">
        <v>353</v>
      </c>
      <c r="J4333" s="88"/>
    </row>
    <row r="4334">
      <c r="A4334" s="6" t="s">
        <v>9</v>
      </c>
      <c r="B4334" s="7" t="s">
        <v>6290</v>
      </c>
      <c r="C4334" s="91">
        <v>44970.315603599534</v>
      </c>
      <c r="D4334" s="8">
        <f t="shared" si="332"/>
        <v>44972</v>
      </c>
      <c r="E4334" s="9" t="s">
        <v>11</v>
      </c>
      <c r="F4334" s="10"/>
      <c r="G4334" s="9" t="s">
        <v>18</v>
      </c>
      <c r="H4334" s="7" t="s">
        <v>7565</v>
      </c>
      <c r="I4334" s="9" t="s">
        <v>353</v>
      </c>
      <c r="J4334" s="88"/>
    </row>
    <row r="4335">
      <c r="A4335" s="6" t="s">
        <v>9</v>
      </c>
      <c r="B4335" s="7" t="s">
        <v>7566</v>
      </c>
      <c r="C4335" s="91">
        <v>44984.67575459491</v>
      </c>
      <c r="D4335" s="8">
        <f t="shared" si="332"/>
        <v>44986</v>
      </c>
      <c r="E4335" s="9" t="s">
        <v>206</v>
      </c>
      <c r="F4335" s="9"/>
      <c r="G4335" s="9" t="s">
        <v>15</v>
      </c>
      <c r="H4335" s="7" t="s">
        <v>7567</v>
      </c>
      <c r="I4335" s="9" t="s">
        <v>353</v>
      </c>
      <c r="J4335" s="88"/>
    </row>
    <row r="4336">
      <c r="A4336" s="54" t="s">
        <v>332</v>
      </c>
      <c r="B4336" s="7" t="s">
        <v>7568</v>
      </c>
      <c r="C4336" s="91">
        <v>44973.748221435184</v>
      </c>
      <c r="D4336" s="8">
        <f t="shared" si="332"/>
        <v>44977</v>
      </c>
      <c r="E4336" s="9" t="s">
        <v>88</v>
      </c>
      <c r="F4336" s="8"/>
      <c r="G4336" s="9" t="s">
        <v>18</v>
      </c>
      <c r="H4336" s="7" t="s">
        <v>437</v>
      </c>
      <c r="I4336" s="9" t="s">
        <v>353</v>
      </c>
      <c r="J4336" s="88"/>
    </row>
    <row r="4337">
      <c r="A4337" s="54" t="s">
        <v>332</v>
      </c>
      <c r="B4337" s="7" t="s">
        <v>7569</v>
      </c>
      <c r="C4337" s="91">
        <v>44973.683992164355</v>
      </c>
      <c r="D4337" s="8">
        <f t="shared" si="332"/>
        <v>44977</v>
      </c>
      <c r="E4337" s="9" t="s">
        <v>206</v>
      </c>
      <c r="F4337" s="8"/>
      <c r="G4337" s="9" t="s">
        <v>220</v>
      </c>
      <c r="H4337" s="7" t="s">
        <v>437</v>
      </c>
      <c r="I4337" s="9" t="s">
        <v>353</v>
      </c>
      <c r="J4337" s="88"/>
    </row>
    <row r="4338">
      <c r="A4338" s="6" t="s">
        <v>9</v>
      </c>
      <c r="B4338" s="7" t="s">
        <v>7570</v>
      </c>
      <c r="C4338" s="91">
        <v>44985.604008634255</v>
      </c>
      <c r="D4338" s="8">
        <f t="shared" si="332"/>
        <v>44987</v>
      </c>
      <c r="E4338" s="9" t="s">
        <v>11</v>
      </c>
      <c r="F4338" s="10"/>
      <c r="G4338" s="9"/>
      <c r="H4338" s="7" t="s">
        <v>7571</v>
      </c>
      <c r="I4338" s="9" t="s">
        <v>353</v>
      </c>
      <c r="J4338" s="88"/>
    </row>
    <row r="4339">
      <c r="A4339" s="34" t="s">
        <v>204</v>
      </c>
      <c r="B4339" s="7" t="s">
        <v>7572</v>
      </c>
      <c r="C4339" s="91">
        <v>44980.5763225</v>
      </c>
      <c r="D4339" s="8">
        <f t="shared" si="332"/>
        <v>44984</v>
      </c>
      <c r="E4339" s="9" t="s">
        <v>11</v>
      </c>
      <c r="F4339" s="9"/>
      <c r="G4339" s="9" t="s">
        <v>15</v>
      </c>
      <c r="H4339" s="7" t="s">
        <v>7573</v>
      </c>
      <c r="I4339" s="9" t="s">
        <v>353</v>
      </c>
      <c r="J4339" s="88"/>
    </row>
    <row r="4340">
      <c r="A4340" s="54" t="s">
        <v>332</v>
      </c>
      <c r="B4340" s="7" t="s">
        <v>7574</v>
      </c>
      <c r="C4340" s="91">
        <v>44985.35998180555</v>
      </c>
      <c r="D4340" s="8">
        <f t="shared" si="332"/>
        <v>44987</v>
      </c>
      <c r="E4340" s="9" t="s">
        <v>206</v>
      </c>
      <c r="F4340" s="10"/>
      <c r="G4340" s="9" t="s">
        <v>18</v>
      </c>
      <c r="H4340" s="7" t="s">
        <v>5025</v>
      </c>
      <c r="I4340" s="9" t="s">
        <v>353</v>
      </c>
      <c r="J4340" s="88"/>
    </row>
    <row r="4341">
      <c r="A4341" s="54" t="s">
        <v>332</v>
      </c>
      <c r="B4341" s="7" t="s">
        <v>7575</v>
      </c>
      <c r="C4341" s="91">
        <v>44971.43878483796</v>
      </c>
      <c r="D4341" s="8"/>
      <c r="E4341" s="9" t="s">
        <v>88</v>
      </c>
      <c r="F4341" s="8"/>
      <c r="G4341" s="9" t="s">
        <v>18</v>
      </c>
      <c r="H4341" s="7" t="s">
        <v>437</v>
      </c>
      <c r="I4341" s="9" t="s">
        <v>353</v>
      </c>
      <c r="J4341" s="88"/>
    </row>
    <row r="4342">
      <c r="A4342" s="6" t="s">
        <v>9</v>
      </c>
      <c r="B4342" s="222" t="s">
        <v>7498</v>
      </c>
      <c r="C4342" s="91">
        <v>44984.69943021991</v>
      </c>
      <c r="D4342" s="8">
        <f t="shared" ref="D4342:D4350" si="333">IFERROR(_xlfn.WORKDAY.INTL(C4342, 2),"-")</f>
        <v>44986</v>
      </c>
      <c r="E4342" s="9" t="s">
        <v>11</v>
      </c>
      <c r="F4342" s="10"/>
      <c r="G4342" s="9"/>
      <c r="H4342" s="7" t="s">
        <v>7576</v>
      </c>
      <c r="I4342" s="9" t="s">
        <v>353</v>
      </c>
      <c r="J4342" s="88"/>
    </row>
    <row r="4343">
      <c r="A4343" s="6" t="s">
        <v>9</v>
      </c>
      <c r="B4343" s="7" t="s">
        <v>7577</v>
      </c>
      <c r="C4343" s="91">
        <v>44984.69244114583</v>
      </c>
      <c r="D4343" s="8">
        <f t="shared" si="333"/>
        <v>44986</v>
      </c>
      <c r="E4343" s="9" t="s">
        <v>11</v>
      </c>
      <c r="F4343" s="10"/>
      <c r="G4343" s="9" t="s">
        <v>18</v>
      </c>
      <c r="H4343" s="7" t="s">
        <v>7578</v>
      </c>
      <c r="I4343" s="9" t="s">
        <v>353</v>
      </c>
      <c r="J4343" s="88"/>
    </row>
    <row r="4344">
      <c r="A4344" s="34" t="s">
        <v>204</v>
      </c>
      <c r="B4344" s="7" t="s">
        <v>7579</v>
      </c>
      <c r="C4344" s="91">
        <v>44972.743815787035</v>
      </c>
      <c r="D4344" s="8">
        <f t="shared" si="333"/>
        <v>44974</v>
      </c>
      <c r="E4344" s="9" t="s">
        <v>11</v>
      </c>
      <c r="F4344" s="71"/>
      <c r="G4344" s="9" t="s">
        <v>18</v>
      </c>
      <c r="H4344" s="7" t="s">
        <v>7580</v>
      </c>
      <c r="I4344" s="9" t="s">
        <v>353</v>
      </c>
      <c r="J4344" s="88"/>
    </row>
    <row r="4345">
      <c r="A4345" s="34" t="s">
        <v>204</v>
      </c>
      <c r="B4345" s="7" t="s">
        <v>7581</v>
      </c>
      <c r="C4345" s="91">
        <v>44984.40197752314</v>
      </c>
      <c r="D4345" s="8">
        <f t="shared" si="333"/>
        <v>44986</v>
      </c>
      <c r="E4345" s="9" t="s">
        <v>11</v>
      </c>
      <c r="F4345" s="8"/>
      <c r="G4345" s="9" t="s">
        <v>18</v>
      </c>
      <c r="H4345" s="7" t="s">
        <v>7582</v>
      </c>
      <c r="I4345" s="9" t="s">
        <v>353</v>
      </c>
      <c r="J4345" s="88"/>
    </row>
    <row r="4346">
      <c r="A4346" s="54" t="s">
        <v>332</v>
      </c>
      <c r="B4346" s="7" t="s">
        <v>7583</v>
      </c>
      <c r="C4346" s="91">
        <v>44971.43897190972</v>
      </c>
      <c r="D4346" s="8">
        <f t="shared" si="333"/>
        <v>44973</v>
      </c>
      <c r="E4346" s="9" t="s">
        <v>88</v>
      </c>
      <c r="F4346" s="8"/>
      <c r="G4346" s="9" t="s">
        <v>18</v>
      </c>
      <c r="H4346" s="7" t="s">
        <v>437</v>
      </c>
      <c r="I4346" s="9" t="s">
        <v>353</v>
      </c>
      <c r="J4346" s="88"/>
    </row>
    <row r="4347">
      <c r="A4347" s="54" t="s">
        <v>332</v>
      </c>
      <c r="B4347" s="7" t="s">
        <v>7584</v>
      </c>
      <c r="C4347" s="91">
        <v>44977.65782018518</v>
      </c>
      <c r="D4347" s="8">
        <f t="shared" si="333"/>
        <v>44979</v>
      </c>
      <c r="E4347" s="9" t="s">
        <v>11</v>
      </c>
      <c r="F4347" s="10"/>
      <c r="G4347" s="9" t="s">
        <v>15</v>
      </c>
      <c r="H4347" s="7" t="s">
        <v>7585</v>
      </c>
      <c r="I4347" s="9" t="s">
        <v>353</v>
      </c>
      <c r="J4347" s="88"/>
    </row>
    <row r="4348">
      <c r="A4348" s="54" t="s">
        <v>332</v>
      </c>
      <c r="B4348" s="7" t="s">
        <v>7586</v>
      </c>
      <c r="C4348" s="91">
        <v>44943.704761099536</v>
      </c>
      <c r="D4348" s="8">
        <f t="shared" si="333"/>
        <v>44945</v>
      </c>
      <c r="E4348" s="9" t="s">
        <v>206</v>
      </c>
      <c r="F4348" s="9"/>
      <c r="G4348" s="9" t="s">
        <v>220</v>
      </c>
      <c r="H4348" s="7" t="s">
        <v>7587</v>
      </c>
      <c r="I4348" s="9" t="s">
        <v>353</v>
      </c>
      <c r="J4348" s="88"/>
    </row>
    <row r="4349">
      <c r="A4349" s="54" t="s">
        <v>332</v>
      </c>
      <c r="B4349" s="7" t="s">
        <v>7588</v>
      </c>
      <c r="C4349" s="91">
        <v>44971.43952591435</v>
      </c>
      <c r="D4349" s="8">
        <f t="shared" si="333"/>
        <v>44973</v>
      </c>
      <c r="E4349" s="9" t="s">
        <v>88</v>
      </c>
      <c r="F4349" s="10"/>
      <c r="G4349" s="9" t="s">
        <v>220</v>
      </c>
      <c r="H4349" s="7" t="s">
        <v>4632</v>
      </c>
      <c r="I4349" s="9" t="s">
        <v>353</v>
      </c>
      <c r="J4349" s="88"/>
    </row>
    <row r="4350">
      <c r="A4350" s="34" t="s">
        <v>204</v>
      </c>
      <c r="B4350" s="7" t="s">
        <v>7589</v>
      </c>
      <c r="C4350" s="91">
        <v>44980.57488478009</v>
      </c>
      <c r="D4350" s="8">
        <f t="shared" si="333"/>
        <v>44984</v>
      </c>
      <c r="E4350" s="9" t="s">
        <v>11</v>
      </c>
      <c r="F4350" s="8"/>
      <c r="G4350" s="9" t="s">
        <v>18</v>
      </c>
      <c r="H4350" s="7" t="s">
        <v>7590</v>
      </c>
      <c r="I4350" s="9" t="s">
        <v>353</v>
      </c>
      <c r="J4350" s="88"/>
    </row>
    <row r="4351">
      <c r="A4351" s="34" t="s">
        <v>204</v>
      </c>
      <c r="B4351" s="7" t="s">
        <v>7591</v>
      </c>
      <c r="C4351" s="91">
        <v>44882.502333553246</v>
      </c>
      <c r="D4351" s="9" t="s">
        <v>11</v>
      </c>
      <c r="E4351" s="9" t="s">
        <v>206</v>
      </c>
      <c r="F4351" s="71"/>
      <c r="G4351" s="9" t="s">
        <v>15</v>
      </c>
      <c r="H4351" s="7" t="s">
        <v>7592</v>
      </c>
      <c r="I4351" s="9" t="s">
        <v>353</v>
      </c>
      <c r="J4351" s="88"/>
    </row>
    <row r="4352">
      <c r="A4352" s="6" t="s">
        <v>9</v>
      </c>
      <c r="B4352" s="7" t="s">
        <v>2814</v>
      </c>
      <c r="C4352" s="91">
        <v>44981.44431200231</v>
      </c>
      <c r="D4352" s="8">
        <f t="shared" ref="D4352:D4370" si="334">IFERROR(_xlfn.WORKDAY.INTL(C4352, 2),"-")</f>
        <v>44985</v>
      </c>
      <c r="E4352" s="9" t="s">
        <v>11</v>
      </c>
      <c r="F4352" s="10"/>
      <c r="G4352" s="9"/>
      <c r="H4352" s="154" t="s">
        <v>7593</v>
      </c>
      <c r="I4352" s="9" t="s">
        <v>353</v>
      </c>
      <c r="J4352" s="88"/>
    </row>
    <row r="4353">
      <c r="A4353" s="34" t="s">
        <v>204</v>
      </c>
      <c r="B4353" s="7" t="s">
        <v>7594</v>
      </c>
      <c r="C4353" s="91">
        <v>44980.625622465275</v>
      </c>
      <c r="D4353" s="8">
        <f t="shared" si="334"/>
        <v>44984</v>
      </c>
      <c r="E4353" s="9" t="s">
        <v>11</v>
      </c>
      <c r="F4353" s="10"/>
      <c r="G4353" s="9" t="s">
        <v>15</v>
      </c>
      <c r="H4353" s="7" t="s">
        <v>4544</v>
      </c>
      <c r="I4353" s="9" t="s">
        <v>353</v>
      </c>
      <c r="J4353" s="88"/>
    </row>
    <row r="4354">
      <c r="A4354" s="34" t="s">
        <v>204</v>
      </c>
      <c r="B4354" s="7" t="s">
        <v>7595</v>
      </c>
      <c r="C4354" s="91">
        <v>44956.60348096065</v>
      </c>
      <c r="D4354" s="8">
        <f t="shared" si="334"/>
        <v>44958</v>
      </c>
      <c r="E4354" s="9" t="s">
        <v>11</v>
      </c>
      <c r="F4354" s="71"/>
      <c r="G4354" s="9" t="s">
        <v>18</v>
      </c>
      <c r="H4354" s="7" t="s">
        <v>7596</v>
      </c>
      <c r="I4354" s="9" t="s">
        <v>353</v>
      </c>
      <c r="J4354" s="88"/>
    </row>
    <row r="4355">
      <c r="A4355" s="34" t="s">
        <v>204</v>
      </c>
      <c r="B4355" s="7" t="s">
        <v>7597</v>
      </c>
      <c r="C4355" s="91">
        <v>44964.32958509259</v>
      </c>
      <c r="D4355" s="8">
        <f t="shared" si="334"/>
        <v>44966</v>
      </c>
      <c r="E4355" s="9" t="s">
        <v>11</v>
      </c>
      <c r="F4355" s="9"/>
      <c r="G4355" s="9" t="s">
        <v>15</v>
      </c>
      <c r="H4355" s="7" t="s">
        <v>7598</v>
      </c>
      <c r="I4355" s="9" t="s">
        <v>353</v>
      </c>
      <c r="J4355" s="88"/>
    </row>
    <row r="4356">
      <c r="A4356" s="34" t="s">
        <v>204</v>
      </c>
      <c r="B4356" s="7" t="s">
        <v>7599</v>
      </c>
      <c r="C4356" s="91">
        <v>44965.36782219907</v>
      </c>
      <c r="D4356" s="8">
        <f t="shared" si="334"/>
        <v>44967</v>
      </c>
      <c r="E4356" s="9" t="s">
        <v>11</v>
      </c>
      <c r="F4356" s="9"/>
      <c r="G4356" s="9" t="s">
        <v>15</v>
      </c>
      <c r="H4356" s="7" t="s">
        <v>7600</v>
      </c>
      <c r="I4356" s="9" t="s">
        <v>353</v>
      </c>
      <c r="J4356" s="88"/>
    </row>
    <row r="4357">
      <c r="A4357" s="6" t="s">
        <v>9</v>
      </c>
      <c r="B4357" s="7" t="s">
        <v>7601</v>
      </c>
      <c r="C4357" s="91">
        <v>44979.6336809375</v>
      </c>
      <c r="D4357" s="8">
        <f t="shared" si="334"/>
        <v>44981</v>
      </c>
      <c r="E4357" s="9" t="s">
        <v>88</v>
      </c>
      <c r="F4357" s="10"/>
      <c r="G4357" s="9" t="s">
        <v>15</v>
      </c>
      <c r="H4357" s="7" t="s">
        <v>7602</v>
      </c>
      <c r="I4357" s="9" t="s">
        <v>353</v>
      </c>
      <c r="J4357" s="88"/>
    </row>
    <row r="4358">
      <c r="A4358" s="6" t="s">
        <v>9</v>
      </c>
      <c r="B4358" s="7" t="s">
        <v>7603</v>
      </c>
      <c r="C4358" s="91">
        <v>44970.32113413194</v>
      </c>
      <c r="D4358" s="8">
        <f t="shared" si="334"/>
        <v>44972</v>
      </c>
      <c r="E4358" s="9" t="s">
        <v>11</v>
      </c>
      <c r="F4358" s="10"/>
      <c r="G4358" s="9" t="s">
        <v>15</v>
      </c>
      <c r="H4358" s="7" t="s">
        <v>7604</v>
      </c>
      <c r="I4358" s="9" t="s">
        <v>353</v>
      </c>
      <c r="J4358" s="88"/>
    </row>
    <row r="4359">
      <c r="A4359" s="6" t="s">
        <v>9</v>
      </c>
      <c r="B4359" s="7" t="s">
        <v>7605</v>
      </c>
      <c r="C4359" s="91">
        <v>44978.696312430555</v>
      </c>
      <c r="D4359" s="8">
        <f t="shared" si="334"/>
        <v>44980</v>
      </c>
      <c r="E4359" s="9" t="s">
        <v>11</v>
      </c>
      <c r="F4359" s="10"/>
      <c r="G4359" s="9"/>
      <c r="H4359" s="7" t="s">
        <v>7606</v>
      </c>
      <c r="I4359" s="9" t="s">
        <v>353</v>
      </c>
      <c r="J4359" s="88"/>
    </row>
    <row r="4360">
      <c r="A4360" s="6" t="s">
        <v>9</v>
      </c>
      <c r="B4360" s="7" t="s">
        <v>7607</v>
      </c>
      <c r="C4360" s="91">
        <v>44848.649897870375</v>
      </c>
      <c r="D4360" s="8">
        <f t="shared" si="334"/>
        <v>44852</v>
      </c>
      <c r="E4360" s="9" t="s">
        <v>206</v>
      </c>
      <c r="F4360" s="8"/>
      <c r="G4360" s="9" t="s">
        <v>18</v>
      </c>
      <c r="H4360" s="7" t="s">
        <v>7608</v>
      </c>
      <c r="I4360" s="9" t="s">
        <v>353</v>
      </c>
      <c r="J4360" s="88"/>
    </row>
    <row r="4361">
      <c r="A4361" s="6" t="s">
        <v>9</v>
      </c>
      <c r="B4361" s="7" t="s">
        <v>7609</v>
      </c>
      <c r="C4361" s="91">
        <v>44977.66069636574</v>
      </c>
      <c r="D4361" s="8">
        <f t="shared" si="334"/>
        <v>44979</v>
      </c>
      <c r="E4361" s="9" t="s">
        <v>11</v>
      </c>
      <c r="F4361" s="10"/>
      <c r="G4361" s="9" t="s">
        <v>15</v>
      </c>
      <c r="H4361" s="7" t="s">
        <v>7610</v>
      </c>
      <c r="I4361" s="9" t="s">
        <v>353</v>
      </c>
      <c r="J4361" s="88"/>
    </row>
    <row r="4362">
      <c r="A4362" s="34" t="s">
        <v>204</v>
      </c>
      <c r="B4362" s="7" t="s">
        <v>7611</v>
      </c>
      <c r="C4362" s="91">
        <v>44963.49507638889</v>
      </c>
      <c r="D4362" s="8">
        <f t="shared" si="334"/>
        <v>44965</v>
      </c>
      <c r="E4362" s="9" t="s">
        <v>11</v>
      </c>
      <c r="F4362" s="71"/>
      <c r="G4362" s="9" t="s">
        <v>18</v>
      </c>
      <c r="H4362" s="7" t="s">
        <v>7612</v>
      </c>
      <c r="I4362" s="9" t="s">
        <v>353</v>
      </c>
      <c r="J4362" s="88"/>
    </row>
    <row r="4363">
      <c r="A4363" s="6" t="s">
        <v>9</v>
      </c>
      <c r="B4363" s="7" t="s">
        <v>7613</v>
      </c>
      <c r="C4363" s="91">
        <v>44977.702000729165</v>
      </c>
      <c r="D4363" s="8">
        <f t="shared" si="334"/>
        <v>44979</v>
      </c>
      <c r="E4363" s="9" t="s">
        <v>11</v>
      </c>
      <c r="F4363" s="10"/>
      <c r="G4363" s="9" t="s">
        <v>15</v>
      </c>
      <c r="H4363" s="7" t="s">
        <v>7614</v>
      </c>
      <c r="I4363" s="9" t="s">
        <v>353</v>
      </c>
      <c r="J4363" s="88"/>
    </row>
    <row r="4364">
      <c r="A4364" s="6" t="s">
        <v>9</v>
      </c>
      <c r="B4364" s="7" t="s">
        <v>651</v>
      </c>
      <c r="C4364" s="91">
        <v>44977.596051817134</v>
      </c>
      <c r="D4364" s="8">
        <f t="shared" si="334"/>
        <v>44979</v>
      </c>
      <c r="E4364" s="9" t="s">
        <v>11</v>
      </c>
      <c r="F4364" s="10"/>
      <c r="G4364" s="9" t="s">
        <v>15</v>
      </c>
      <c r="H4364" s="7" t="s">
        <v>7615</v>
      </c>
      <c r="I4364" s="9" t="s">
        <v>353</v>
      </c>
      <c r="J4364" s="88"/>
    </row>
    <row r="4365">
      <c r="A4365" s="34" t="s">
        <v>204</v>
      </c>
      <c r="B4365" s="7" t="s">
        <v>7616</v>
      </c>
      <c r="C4365" s="91">
        <v>44963.48319934028</v>
      </c>
      <c r="D4365" s="8">
        <f t="shared" si="334"/>
        <v>44965</v>
      </c>
      <c r="E4365" s="9" t="s">
        <v>11</v>
      </c>
      <c r="F4365" s="71"/>
      <c r="G4365" s="9" t="s">
        <v>18</v>
      </c>
      <c r="H4365" s="7" t="s">
        <v>7617</v>
      </c>
      <c r="I4365" s="9" t="s">
        <v>353</v>
      </c>
      <c r="J4365" s="88"/>
    </row>
    <row r="4366">
      <c r="A4366" s="6" t="s">
        <v>9</v>
      </c>
      <c r="B4366" s="7" t="s">
        <v>1964</v>
      </c>
      <c r="C4366" s="91">
        <v>44977.51222938657</v>
      </c>
      <c r="D4366" s="8">
        <f t="shared" si="334"/>
        <v>44979</v>
      </c>
      <c r="E4366" s="9" t="s">
        <v>11</v>
      </c>
      <c r="F4366" s="10"/>
      <c r="G4366" s="9"/>
      <c r="H4366" s="7" t="s">
        <v>7618</v>
      </c>
      <c r="I4366" s="9" t="s">
        <v>353</v>
      </c>
      <c r="J4366" s="88"/>
    </row>
    <row r="4367">
      <c r="A4367" s="34" t="s">
        <v>204</v>
      </c>
      <c r="B4367" s="7" t="s">
        <v>7619</v>
      </c>
      <c r="C4367" s="91">
        <v>44937.37792034722</v>
      </c>
      <c r="D4367" s="8">
        <f t="shared" si="334"/>
        <v>44939</v>
      </c>
      <c r="E4367" s="9" t="s">
        <v>11</v>
      </c>
      <c r="F4367" s="9"/>
      <c r="G4367" s="9" t="s">
        <v>15</v>
      </c>
      <c r="H4367" s="7" t="s">
        <v>11</v>
      </c>
      <c r="I4367" s="9" t="s">
        <v>353</v>
      </c>
      <c r="J4367" s="88"/>
    </row>
    <row r="4368">
      <c r="A4368" s="34" t="s">
        <v>204</v>
      </c>
      <c r="B4368" s="7" t="s">
        <v>7620</v>
      </c>
      <c r="C4368" s="91">
        <v>44959.36664864584</v>
      </c>
      <c r="D4368" s="8">
        <f t="shared" si="334"/>
        <v>44963</v>
      </c>
      <c r="E4368" s="9" t="s">
        <v>206</v>
      </c>
      <c r="F4368" s="9"/>
      <c r="G4368" s="9" t="s">
        <v>18</v>
      </c>
      <c r="H4368" s="7" t="s">
        <v>7621</v>
      </c>
      <c r="I4368" s="9" t="s">
        <v>353</v>
      </c>
      <c r="J4368" s="88"/>
    </row>
    <row r="4369">
      <c r="A4369" s="54" t="s">
        <v>332</v>
      </c>
      <c r="B4369" s="7" t="s">
        <v>7622</v>
      </c>
      <c r="C4369" s="91">
        <v>44943.582073206024</v>
      </c>
      <c r="D4369" s="8">
        <f t="shared" si="334"/>
        <v>44945</v>
      </c>
      <c r="E4369" s="9" t="s">
        <v>206</v>
      </c>
      <c r="F4369" s="9"/>
      <c r="G4369" s="9" t="s">
        <v>15</v>
      </c>
      <c r="H4369" s="7" t="s">
        <v>7623</v>
      </c>
      <c r="I4369" s="9" t="s">
        <v>353</v>
      </c>
      <c r="J4369" s="88"/>
    </row>
    <row r="4370">
      <c r="A4370" s="54" t="s">
        <v>332</v>
      </c>
      <c r="B4370" s="7" t="s">
        <v>7624</v>
      </c>
      <c r="C4370" s="91">
        <v>44950.47004712963</v>
      </c>
      <c r="D4370" s="8">
        <f t="shared" si="334"/>
        <v>44952</v>
      </c>
      <c r="E4370" s="9" t="s">
        <v>206</v>
      </c>
      <c r="F4370" s="9"/>
      <c r="G4370" s="9" t="s">
        <v>15</v>
      </c>
      <c r="H4370" s="7" t="s">
        <v>7625</v>
      </c>
      <c r="I4370" s="9" t="s">
        <v>353</v>
      </c>
      <c r="J4370" s="88"/>
    </row>
    <row r="4371">
      <c r="A4371" s="54" t="s">
        <v>332</v>
      </c>
      <c r="B4371" s="7" t="s">
        <v>7626</v>
      </c>
      <c r="C4371" s="91">
        <v>44972.70440202546</v>
      </c>
      <c r="D4371" s="8">
        <v>44972.70440202546</v>
      </c>
      <c r="E4371" s="9" t="s">
        <v>88</v>
      </c>
      <c r="F4371" s="8"/>
      <c r="G4371" s="9" t="s">
        <v>18</v>
      </c>
      <c r="H4371" s="7" t="s">
        <v>437</v>
      </c>
      <c r="I4371" s="9" t="s">
        <v>353</v>
      </c>
      <c r="J4371" s="88"/>
    </row>
    <row r="4372">
      <c r="A4372" s="6" t="s">
        <v>9</v>
      </c>
      <c r="B4372" s="7" t="s">
        <v>7627</v>
      </c>
      <c r="C4372" s="91">
        <v>44973.693290219904</v>
      </c>
      <c r="D4372" s="8">
        <f t="shared" ref="D4372:D4379" si="335">IFERROR(_xlfn.WORKDAY.INTL(C4372, 2),"-")</f>
        <v>44977</v>
      </c>
      <c r="E4372" s="9" t="s">
        <v>11</v>
      </c>
      <c r="F4372" s="10"/>
      <c r="G4372" s="9" t="s">
        <v>18</v>
      </c>
      <c r="H4372" s="11"/>
      <c r="I4372" s="9" t="s">
        <v>353</v>
      </c>
      <c r="J4372" s="88"/>
    </row>
    <row r="4373">
      <c r="A4373" s="6" t="s">
        <v>9</v>
      </c>
      <c r="B4373" s="7" t="s">
        <v>7628</v>
      </c>
      <c r="C4373" s="91">
        <v>44973.664773530094</v>
      </c>
      <c r="D4373" s="8">
        <f t="shared" si="335"/>
        <v>44977</v>
      </c>
      <c r="E4373" s="9" t="s">
        <v>11</v>
      </c>
      <c r="F4373" s="10"/>
      <c r="G4373" s="9" t="s">
        <v>18</v>
      </c>
      <c r="H4373" s="7" t="s">
        <v>2896</v>
      </c>
      <c r="I4373" s="9" t="s">
        <v>353</v>
      </c>
      <c r="J4373" s="88"/>
    </row>
    <row r="4374">
      <c r="A4374" s="6" t="s">
        <v>9</v>
      </c>
      <c r="B4374" s="7" t="s">
        <v>7629</v>
      </c>
      <c r="C4374" s="91">
        <v>44973.66448443287</v>
      </c>
      <c r="D4374" s="8">
        <f t="shared" si="335"/>
        <v>44977</v>
      </c>
      <c r="E4374" s="9" t="s">
        <v>11</v>
      </c>
      <c r="F4374" s="10"/>
      <c r="G4374" s="9"/>
      <c r="H4374" s="11"/>
      <c r="I4374" s="9" t="s">
        <v>353</v>
      </c>
      <c r="J4374" s="88"/>
    </row>
    <row r="4375">
      <c r="A4375" s="6" t="s">
        <v>9</v>
      </c>
      <c r="B4375" s="7" t="s">
        <v>6908</v>
      </c>
      <c r="C4375" s="91">
        <v>44970.31744236111</v>
      </c>
      <c r="D4375" s="8">
        <f t="shared" si="335"/>
        <v>44972</v>
      </c>
      <c r="E4375" s="9" t="s">
        <v>11</v>
      </c>
      <c r="F4375" s="10"/>
      <c r="G4375" s="9" t="s">
        <v>18</v>
      </c>
      <c r="H4375" s="7" t="s">
        <v>7630</v>
      </c>
      <c r="I4375" s="9" t="s">
        <v>353</v>
      </c>
      <c r="J4375" s="88"/>
    </row>
    <row r="4376">
      <c r="A4376" s="6" t="s">
        <v>9</v>
      </c>
      <c r="B4376" s="7" t="s">
        <v>6967</v>
      </c>
      <c r="C4376" s="91">
        <v>44970.315939618056</v>
      </c>
      <c r="D4376" s="8">
        <f t="shared" si="335"/>
        <v>44972</v>
      </c>
      <c r="E4376" s="9" t="s">
        <v>11</v>
      </c>
      <c r="F4376" s="10"/>
      <c r="G4376" s="9" t="s">
        <v>18</v>
      </c>
      <c r="H4376" s="7" t="s">
        <v>7631</v>
      </c>
      <c r="I4376" s="9" t="s">
        <v>353</v>
      </c>
      <c r="J4376" s="88"/>
    </row>
    <row r="4377">
      <c r="A4377" s="6" t="s">
        <v>9</v>
      </c>
      <c r="B4377" s="7" t="s">
        <v>7632</v>
      </c>
      <c r="C4377" s="91">
        <v>44970.42600612268</v>
      </c>
      <c r="D4377" s="8">
        <f t="shared" si="335"/>
        <v>44972</v>
      </c>
      <c r="E4377" s="9" t="s">
        <v>11</v>
      </c>
      <c r="F4377" s="10"/>
      <c r="G4377" s="9" t="s">
        <v>18</v>
      </c>
      <c r="H4377" s="7" t="s">
        <v>7633</v>
      </c>
      <c r="I4377" s="9" t="s">
        <v>353</v>
      </c>
      <c r="J4377" s="88"/>
    </row>
    <row r="4378">
      <c r="A4378" s="6" t="s">
        <v>9</v>
      </c>
      <c r="B4378" s="7" t="s">
        <v>7634</v>
      </c>
      <c r="C4378" s="91">
        <v>44973.43570188657</v>
      </c>
      <c r="D4378" s="8">
        <f t="shared" si="335"/>
        <v>44977</v>
      </c>
      <c r="E4378" s="9" t="s">
        <v>11</v>
      </c>
      <c r="F4378" s="10"/>
      <c r="G4378" s="9"/>
      <c r="H4378" s="7" t="s">
        <v>7635</v>
      </c>
      <c r="I4378" s="9" t="s">
        <v>353</v>
      </c>
      <c r="J4378" s="88"/>
    </row>
    <row r="4379">
      <c r="A4379" s="6" t="s">
        <v>9</v>
      </c>
      <c r="B4379" s="7" t="s">
        <v>7636</v>
      </c>
      <c r="C4379" s="91">
        <v>44924.32220401621</v>
      </c>
      <c r="D4379" s="8">
        <f t="shared" si="335"/>
        <v>44928</v>
      </c>
      <c r="E4379" s="9" t="s">
        <v>11</v>
      </c>
      <c r="F4379" s="9"/>
      <c r="G4379" s="9" t="s">
        <v>15</v>
      </c>
      <c r="H4379" s="7" t="s">
        <v>7637</v>
      </c>
      <c r="I4379" s="9" t="s">
        <v>353</v>
      </c>
      <c r="J4379" s="88"/>
    </row>
    <row r="4380">
      <c r="A4380" s="6" t="s">
        <v>9</v>
      </c>
      <c r="B4380" s="7" t="s">
        <v>7638</v>
      </c>
      <c r="C4380" s="91">
        <v>44872.41862134259</v>
      </c>
      <c r="D4380" s="9" t="s">
        <v>11</v>
      </c>
      <c r="E4380" s="9" t="s">
        <v>11</v>
      </c>
      <c r="F4380" s="8"/>
      <c r="G4380" s="9" t="s">
        <v>15</v>
      </c>
      <c r="H4380" s="7" t="s">
        <v>7639</v>
      </c>
      <c r="I4380" s="9" t="s">
        <v>353</v>
      </c>
      <c r="J4380" s="88"/>
    </row>
    <row r="4381">
      <c r="A4381" s="6" t="s">
        <v>9</v>
      </c>
      <c r="B4381" s="7" t="s">
        <v>7640</v>
      </c>
      <c r="C4381" s="91">
        <v>44956.571330810184</v>
      </c>
      <c r="D4381" s="8">
        <f t="shared" ref="D4381:D4383" si="336">IFERROR(_xlfn.WORKDAY.INTL(C4381, 2),"-")</f>
        <v>44958</v>
      </c>
      <c r="E4381" s="9" t="s">
        <v>11</v>
      </c>
      <c r="F4381" s="10"/>
      <c r="G4381" s="9" t="s">
        <v>18</v>
      </c>
      <c r="H4381" s="7" t="s">
        <v>7641</v>
      </c>
      <c r="I4381" s="9" t="s">
        <v>353</v>
      </c>
      <c r="J4381" s="88"/>
    </row>
    <row r="4382">
      <c r="A4382" s="34" t="s">
        <v>204</v>
      </c>
      <c r="B4382" s="7" t="s">
        <v>7642</v>
      </c>
      <c r="C4382" s="91">
        <v>44957.51291733797</v>
      </c>
      <c r="D4382" s="8">
        <f t="shared" si="336"/>
        <v>44959</v>
      </c>
      <c r="E4382" s="9" t="s">
        <v>11</v>
      </c>
      <c r="F4382" s="9"/>
      <c r="G4382" s="9" t="s">
        <v>18</v>
      </c>
      <c r="H4382" s="7" t="s">
        <v>7643</v>
      </c>
      <c r="I4382" s="9" t="s">
        <v>353</v>
      </c>
      <c r="J4382" s="88"/>
    </row>
    <row r="4383">
      <c r="A4383" s="6" t="s">
        <v>9</v>
      </c>
      <c r="B4383" s="7" t="s">
        <v>7644</v>
      </c>
      <c r="C4383" s="91">
        <v>44973.40488327546</v>
      </c>
      <c r="D4383" s="8">
        <f t="shared" si="336"/>
        <v>44977</v>
      </c>
      <c r="E4383" s="9" t="s">
        <v>11</v>
      </c>
      <c r="F4383" s="9"/>
      <c r="G4383" s="9" t="s">
        <v>15</v>
      </c>
      <c r="H4383" s="7" t="s">
        <v>7645</v>
      </c>
      <c r="I4383" s="9" t="s">
        <v>353</v>
      </c>
      <c r="J4383" s="88"/>
    </row>
    <row r="4384">
      <c r="A4384" s="34" t="s">
        <v>204</v>
      </c>
      <c r="B4384" s="7" t="s">
        <v>7646</v>
      </c>
      <c r="C4384" s="91">
        <v>44896.31640166667</v>
      </c>
      <c r="D4384" s="9" t="s">
        <v>11</v>
      </c>
      <c r="E4384" s="9" t="s">
        <v>206</v>
      </c>
      <c r="F4384" s="9"/>
      <c r="G4384" s="9" t="s">
        <v>18</v>
      </c>
      <c r="H4384" s="7" t="s">
        <v>7647</v>
      </c>
      <c r="I4384" s="9" t="s">
        <v>353</v>
      </c>
      <c r="J4384" s="88"/>
    </row>
    <row r="4385">
      <c r="A4385" s="34" t="s">
        <v>204</v>
      </c>
      <c r="B4385" s="7" t="s">
        <v>7648</v>
      </c>
      <c r="C4385" s="91">
        <v>44963.483224814816</v>
      </c>
      <c r="D4385" s="8">
        <f t="shared" ref="D4385:D4396" si="337">IFERROR(_xlfn.WORKDAY.INTL(C4385, 2),"-")</f>
        <v>44965</v>
      </c>
      <c r="E4385" s="9" t="s">
        <v>11</v>
      </c>
      <c r="F4385" s="9"/>
      <c r="G4385" s="9" t="s">
        <v>18</v>
      </c>
      <c r="H4385" s="7" t="s">
        <v>7649</v>
      </c>
      <c r="I4385" s="9" t="s">
        <v>353</v>
      </c>
      <c r="J4385" s="88"/>
    </row>
    <row r="4386">
      <c r="A4386" s="6" t="s">
        <v>9</v>
      </c>
      <c r="B4386" s="7" t="s">
        <v>3238</v>
      </c>
      <c r="C4386" s="91" t="s">
        <v>11</v>
      </c>
      <c r="D4386" s="8" t="str">
        <f t="shared" si="337"/>
        <v>-</v>
      </c>
      <c r="E4386" s="9" t="s">
        <v>88</v>
      </c>
      <c r="F4386" s="8"/>
      <c r="G4386" s="9" t="s">
        <v>89</v>
      </c>
      <c r="H4386" s="7" t="s">
        <v>7650</v>
      </c>
      <c r="I4386" s="9" t="s">
        <v>353</v>
      </c>
      <c r="J4386" s="88"/>
    </row>
    <row r="4387">
      <c r="A4387" s="6" t="s">
        <v>9</v>
      </c>
      <c r="B4387" s="7" t="s">
        <v>651</v>
      </c>
      <c r="C4387" s="91">
        <v>44972.589446631944</v>
      </c>
      <c r="D4387" s="8">
        <f t="shared" si="337"/>
        <v>44974</v>
      </c>
      <c r="E4387" s="9" t="s">
        <v>11</v>
      </c>
      <c r="F4387" s="10"/>
      <c r="G4387" s="9"/>
      <c r="H4387" s="7" t="s">
        <v>7651</v>
      </c>
      <c r="I4387" s="9" t="s">
        <v>353</v>
      </c>
      <c r="J4387" s="88"/>
    </row>
    <row r="4388">
      <c r="A4388" s="6" t="s">
        <v>9</v>
      </c>
      <c r="B4388" s="7" t="s">
        <v>7652</v>
      </c>
      <c r="C4388" s="91">
        <v>44970.317911192134</v>
      </c>
      <c r="D4388" s="8">
        <f t="shared" si="337"/>
        <v>44972</v>
      </c>
      <c r="E4388" s="9" t="s">
        <v>11</v>
      </c>
      <c r="F4388" s="10"/>
      <c r="G4388" s="9" t="s">
        <v>15</v>
      </c>
      <c r="H4388" s="7" t="s">
        <v>7653</v>
      </c>
      <c r="I4388" s="9" t="s">
        <v>353</v>
      </c>
      <c r="J4388" s="88"/>
    </row>
    <row r="4389">
      <c r="A4389" s="54" t="s">
        <v>332</v>
      </c>
      <c r="B4389" s="7" t="s">
        <v>7654</v>
      </c>
      <c r="C4389" s="91">
        <v>44970.498536886575</v>
      </c>
      <c r="D4389" s="8">
        <f t="shared" si="337"/>
        <v>44972</v>
      </c>
      <c r="E4389" s="9" t="s">
        <v>11</v>
      </c>
      <c r="F4389" s="10"/>
      <c r="G4389" s="9" t="s">
        <v>18</v>
      </c>
      <c r="H4389" s="7" t="s">
        <v>437</v>
      </c>
      <c r="I4389" s="9" t="s">
        <v>353</v>
      </c>
      <c r="J4389" s="88"/>
    </row>
    <row r="4390">
      <c r="A4390" s="6" t="s">
        <v>9</v>
      </c>
      <c r="B4390" s="7" t="s">
        <v>5324</v>
      </c>
      <c r="C4390" s="91">
        <v>44972.37766521991</v>
      </c>
      <c r="D4390" s="8">
        <f t="shared" si="337"/>
        <v>44974</v>
      </c>
      <c r="E4390" s="9" t="s">
        <v>11</v>
      </c>
      <c r="F4390" s="9"/>
      <c r="G4390" s="9" t="s">
        <v>15</v>
      </c>
      <c r="H4390" s="7" t="s">
        <v>7639</v>
      </c>
      <c r="I4390" s="9" t="s">
        <v>353</v>
      </c>
      <c r="J4390" s="88"/>
    </row>
    <row r="4391">
      <c r="A4391" s="54" t="s">
        <v>332</v>
      </c>
      <c r="B4391" s="7" t="s">
        <v>7655</v>
      </c>
      <c r="C4391" s="91">
        <v>44956.66313641204</v>
      </c>
      <c r="D4391" s="8">
        <f t="shared" si="337"/>
        <v>44958</v>
      </c>
      <c r="E4391" s="9" t="s">
        <v>88</v>
      </c>
      <c r="F4391" s="10"/>
      <c r="G4391" s="9" t="s">
        <v>18</v>
      </c>
      <c r="H4391" s="7" t="s">
        <v>437</v>
      </c>
      <c r="I4391" s="9" t="s">
        <v>353</v>
      </c>
      <c r="J4391" s="88"/>
    </row>
    <row r="4392">
      <c r="A4392" s="6" t="s">
        <v>9</v>
      </c>
      <c r="B4392" s="7" t="s">
        <v>2814</v>
      </c>
      <c r="C4392" s="91">
        <v>44970.31574871528</v>
      </c>
      <c r="D4392" s="8">
        <f t="shared" si="337"/>
        <v>44972</v>
      </c>
      <c r="E4392" s="9" t="s">
        <v>11</v>
      </c>
      <c r="F4392" s="10"/>
      <c r="G4392" s="9" t="s">
        <v>18</v>
      </c>
      <c r="H4392" s="7" t="s">
        <v>7656</v>
      </c>
      <c r="I4392" s="9" t="s">
        <v>353</v>
      </c>
      <c r="J4392" s="88"/>
    </row>
    <row r="4393">
      <c r="A4393" s="34" t="s">
        <v>204</v>
      </c>
      <c r="B4393" s="7" t="s">
        <v>7657</v>
      </c>
      <c r="C4393" s="91">
        <v>44937.37797252314</v>
      </c>
      <c r="D4393" s="8">
        <f t="shared" si="337"/>
        <v>44939</v>
      </c>
      <c r="E4393" s="9" t="s">
        <v>11</v>
      </c>
      <c r="F4393" s="9"/>
      <c r="G4393" s="9" t="s">
        <v>18</v>
      </c>
      <c r="H4393" s="7" t="s">
        <v>842</v>
      </c>
      <c r="I4393" s="9" t="s">
        <v>353</v>
      </c>
      <c r="J4393" s="88"/>
    </row>
    <row r="4394">
      <c r="A4394" s="34" t="s">
        <v>204</v>
      </c>
      <c r="B4394" s="7" t="s">
        <v>7658</v>
      </c>
      <c r="C4394" s="91">
        <v>44937.37803122685</v>
      </c>
      <c r="D4394" s="8">
        <f t="shared" si="337"/>
        <v>44939</v>
      </c>
      <c r="E4394" s="9" t="s">
        <v>11</v>
      </c>
      <c r="F4394" s="9"/>
      <c r="G4394" s="9" t="s">
        <v>18</v>
      </c>
      <c r="H4394" s="7" t="s">
        <v>842</v>
      </c>
      <c r="I4394" s="9" t="s">
        <v>353</v>
      </c>
      <c r="J4394" s="88"/>
    </row>
    <row r="4395">
      <c r="A4395" s="34" t="s">
        <v>204</v>
      </c>
      <c r="B4395" s="7" t="s">
        <v>7659</v>
      </c>
      <c r="C4395" s="91">
        <v>44937.584599988426</v>
      </c>
      <c r="D4395" s="8">
        <f t="shared" si="337"/>
        <v>44939</v>
      </c>
      <c r="E4395" s="9" t="s">
        <v>11</v>
      </c>
      <c r="F4395" s="9"/>
      <c r="G4395" s="9" t="s">
        <v>89</v>
      </c>
      <c r="H4395" s="7"/>
      <c r="I4395" s="9" t="s">
        <v>13</v>
      </c>
      <c r="J4395" s="88"/>
    </row>
    <row r="4396">
      <c r="A4396" s="34" t="s">
        <v>204</v>
      </c>
      <c r="B4396" s="7" t="s">
        <v>7660</v>
      </c>
      <c r="C4396" s="91">
        <v>44937.37805917824</v>
      </c>
      <c r="D4396" s="8">
        <f t="shared" si="337"/>
        <v>44939</v>
      </c>
      <c r="E4396" s="9" t="s">
        <v>11</v>
      </c>
      <c r="F4396" s="9"/>
      <c r="G4396" s="9" t="s">
        <v>18</v>
      </c>
      <c r="H4396" s="7" t="s">
        <v>842</v>
      </c>
      <c r="I4396" s="9" t="s">
        <v>353</v>
      </c>
      <c r="J4396" s="88"/>
    </row>
    <row r="4397">
      <c r="A4397" s="88"/>
      <c r="B4397" s="89"/>
      <c r="C4397" s="90"/>
      <c r="D4397" s="89"/>
      <c r="E4397" s="89"/>
      <c r="F4397" s="89"/>
      <c r="G4397" s="89"/>
      <c r="H4397" s="87"/>
      <c r="I4397" s="89"/>
      <c r="J4397" s="88"/>
    </row>
    <row r="4398">
      <c r="A4398" s="34" t="s">
        <v>204</v>
      </c>
      <c r="B4398" s="7" t="s">
        <v>7661</v>
      </c>
      <c r="C4398" s="91">
        <v>44937.37795202546</v>
      </c>
      <c r="D4398" s="8">
        <f t="shared" ref="D4398:D4443" si="338">IFERROR(_xlfn.WORKDAY.INTL(C4398, 2),"-")</f>
        <v>44939</v>
      </c>
      <c r="E4398" s="9" t="s">
        <v>11</v>
      </c>
      <c r="F4398" s="9"/>
      <c r="G4398" s="9" t="s">
        <v>18</v>
      </c>
      <c r="H4398" s="7" t="s">
        <v>842</v>
      </c>
      <c r="I4398" s="9" t="s">
        <v>353</v>
      </c>
      <c r="J4398" s="88"/>
    </row>
    <row r="4399">
      <c r="A4399" s="54" t="s">
        <v>332</v>
      </c>
      <c r="B4399" s="7" t="s">
        <v>7626</v>
      </c>
      <c r="C4399" s="91">
        <v>44970.505014386574</v>
      </c>
      <c r="D4399" s="8">
        <f t="shared" si="338"/>
        <v>44972</v>
      </c>
      <c r="E4399" s="9" t="s">
        <v>88</v>
      </c>
      <c r="F4399" s="10"/>
      <c r="G4399" s="9" t="s">
        <v>18</v>
      </c>
      <c r="H4399" s="7" t="s">
        <v>437</v>
      </c>
      <c r="I4399" s="9" t="s">
        <v>13</v>
      </c>
      <c r="J4399" s="88"/>
    </row>
    <row r="4400">
      <c r="A4400" s="34" t="s">
        <v>204</v>
      </c>
      <c r="B4400" s="7" t="s">
        <v>7662</v>
      </c>
      <c r="C4400" s="91">
        <v>44956.60938461806</v>
      </c>
      <c r="D4400" s="8">
        <f t="shared" si="338"/>
        <v>44958</v>
      </c>
      <c r="E4400" s="9" t="s">
        <v>11</v>
      </c>
      <c r="F4400" s="71"/>
      <c r="G4400" s="9" t="s">
        <v>18</v>
      </c>
      <c r="H4400" s="7" t="s">
        <v>7663</v>
      </c>
      <c r="I4400" s="9" t="s">
        <v>353</v>
      </c>
      <c r="J4400" s="88"/>
    </row>
    <row r="4401">
      <c r="A4401" s="6" t="s">
        <v>9</v>
      </c>
      <c r="B4401" s="7" t="s">
        <v>7664</v>
      </c>
      <c r="C4401" s="91">
        <v>44970.66385891204</v>
      </c>
      <c r="D4401" s="8">
        <f t="shared" si="338"/>
        <v>44972</v>
      </c>
      <c r="E4401" s="9" t="s">
        <v>11</v>
      </c>
      <c r="F4401" s="10"/>
      <c r="G4401" s="9" t="s">
        <v>18</v>
      </c>
      <c r="H4401" s="7" t="s">
        <v>7665</v>
      </c>
      <c r="I4401" s="9" t="s">
        <v>353</v>
      </c>
      <c r="J4401" s="88"/>
    </row>
    <row r="4402">
      <c r="A4402" s="54" t="s">
        <v>332</v>
      </c>
      <c r="B4402" s="7" t="s">
        <v>7666</v>
      </c>
      <c r="C4402" s="91">
        <v>44959.69386017361</v>
      </c>
      <c r="D4402" s="8">
        <f t="shared" si="338"/>
        <v>44963</v>
      </c>
      <c r="E4402" s="9" t="s">
        <v>88</v>
      </c>
      <c r="F4402" s="10"/>
      <c r="G4402" s="9" t="s">
        <v>15</v>
      </c>
      <c r="H4402" s="7" t="s">
        <v>7667</v>
      </c>
      <c r="I4402" s="9" t="s">
        <v>353</v>
      </c>
      <c r="J4402" s="88"/>
    </row>
    <row r="4403">
      <c r="A4403" s="54" t="s">
        <v>332</v>
      </c>
      <c r="B4403" s="7" t="s">
        <v>7668</v>
      </c>
      <c r="C4403" s="91">
        <v>44956.59994912037</v>
      </c>
      <c r="D4403" s="8">
        <f t="shared" si="338"/>
        <v>44958</v>
      </c>
      <c r="E4403" s="9" t="s">
        <v>206</v>
      </c>
      <c r="F4403" s="10"/>
      <c r="G4403" s="9" t="s">
        <v>18</v>
      </c>
      <c r="H4403" s="7" t="s">
        <v>437</v>
      </c>
      <c r="I4403" s="9" t="s">
        <v>353</v>
      </c>
      <c r="J4403" s="88"/>
    </row>
    <row r="4404">
      <c r="A4404" s="54" t="s">
        <v>332</v>
      </c>
      <c r="B4404" s="7" t="s">
        <v>7669</v>
      </c>
      <c r="C4404" s="91">
        <v>44964.62050951389</v>
      </c>
      <c r="D4404" s="8">
        <f t="shared" si="338"/>
        <v>44966</v>
      </c>
      <c r="E4404" s="9" t="s">
        <v>88</v>
      </c>
      <c r="F4404" s="10"/>
      <c r="G4404" s="9" t="s">
        <v>18</v>
      </c>
      <c r="H4404" s="7" t="s">
        <v>437</v>
      </c>
      <c r="I4404" s="9" t="s">
        <v>353</v>
      </c>
      <c r="J4404" s="88"/>
    </row>
    <row r="4405">
      <c r="A4405" s="34" t="s">
        <v>204</v>
      </c>
      <c r="B4405" s="7" t="s">
        <v>7670</v>
      </c>
      <c r="C4405" s="91" t="s">
        <v>11</v>
      </c>
      <c r="D4405" s="8" t="str">
        <f t="shared" si="338"/>
        <v>-</v>
      </c>
      <c r="E4405" s="9" t="s">
        <v>11</v>
      </c>
      <c r="F4405" s="10"/>
      <c r="G4405" s="9" t="s">
        <v>18</v>
      </c>
      <c r="H4405" s="7" t="s">
        <v>842</v>
      </c>
      <c r="I4405" s="9" t="s">
        <v>353</v>
      </c>
      <c r="J4405" s="88"/>
    </row>
    <row r="4406">
      <c r="A4406" s="54" t="s">
        <v>332</v>
      </c>
      <c r="B4406" s="7" t="s">
        <v>7671</v>
      </c>
      <c r="C4406" s="91">
        <v>44959.349505694445</v>
      </c>
      <c r="D4406" s="8">
        <f t="shared" si="338"/>
        <v>44963</v>
      </c>
      <c r="E4406" s="9" t="s">
        <v>206</v>
      </c>
      <c r="F4406" s="10"/>
      <c r="G4406" s="9" t="s">
        <v>18</v>
      </c>
      <c r="H4406" s="7" t="s">
        <v>437</v>
      </c>
      <c r="I4406" s="9" t="s">
        <v>353</v>
      </c>
      <c r="J4406" s="88"/>
    </row>
    <row r="4407">
      <c r="A4407" s="34" t="s">
        <v>204</v>
      </c>
      <c r="B4407" s="7" t="s">
        <v>7672</v>
      </c>
      <c r="C4407" s="91">
        <v>44963.56776704861</v>
      </c>
      <c r="D4407" s="8">
        <f t="shared" si="338"/>
        <v>44965</v>
      </c>
      <c r="E4407" s="9" t="s">
        <v>11</v>
      </c>
      <c r="F4407" s="71"/>
      <c r="G4407" s="9" t="s">
        <v>18</v>
      </c>
      <c r="H4407" s="7" t="s">
        <v>842</v>
      </c>
      <c r="I4407" s="9" t="s">
        <v>353</v>
      </c>
      <c r="J4407" s="88"/>
    </row>
    <row r="4408">
      <c r="A4408" s="54" t="s">
        <v>332</v>
      </c>
      <c r="B4408" s="7" t="s">
        <v>7673</v>
      </c>
      <c r="C4408" s="91">
        <v>44960.46586809028</v>
      </c>
      <c r="D4408" s="8">
        <f t="shared" si="338"/>
        <v>44964</v>
      </c>
      <c r="E4408" s="9" t="s">
        <v>88</v>
      </c>
      <c r="F4408" s="10"/>
      <c r="G4408" s="9" t="s">
        <v>220</v>
      </c>
      <c r="H4408" s="7" t="s">
        <v>437</v>
      </c>
      <c r="I4408" s="9" t="s">
        <v>353</v>
      </c>
      <c r="J4408" s="88"/>
    </row>
    <row r="4409">
      <c r="A4409" s="6" t="s">
        <v>9</v>
      </c>
      <c r="B4409" s="7" t="s">
        <v>7674</v>
      </c>
      <c r="C4409" s="91">
        <v>44965.70816219907</v>
      </c>
      <c r="D4409" s="8">
        <f t="shared" si="338"/>
        <v>44967</v>
      </c>
      <c r="E4409" s="9" t="s">
        <v>11</v>
      </c>
      <c r="F4409" s="10"/>
      <c r="G4409" s="9"/>
      <c r="H4409" s="7" t="s">
        <v>7675</v>
      </c>
      <c r="I4409" s="9" t="s">
        <v>353</v>
      </c>
      <c r="J4409" s="88"/>
    </row>
    <row r="4410">
      <c r="A4410" s="223" t="s">
        <v>98</v>
      </c>
      <c r="B4410" s="9" t="s">
        <v>7676</v>
      </c>
      <c r="C4410" s="91">
        <v>44937.32658655093</v>
      </c>
      <c r="D4410" s="8">
        <f t="shared" si="338"/>
        <v>44939</v>
      </c>
      <c r="E4410" s="9" t="s">
        <v>11</v>
      </c>
      <c r="F4410" s="10"/>
      <c r="G4410" s="9" t="s">
        <v>18</v>
      </c>
      <c r="H4410" s="7" t="s">
        <v>7677</v>
      </c>
      <c r="I4410" s="9" t="s">
        <v>353</v>
      </c>
      <c r="J4410" s="88"/>
    </row>
    <row r="4411">
      <c r="A4411" s="6" t="s">
        <v>9</v>
      </c>
      <c r="B4411" s="7" t="s">
        <v>7678</v>
      </c>
      <c r="C4411" s="91">
        <v>44965.68261883102</v>
      </c>
      <c r="D4411" s="8">
        <f t="shared" si="338"/>
        <v>44967</v>
      </c>
      <c r="E4411" s="9" t="s">
        <v>11</v>
      </c>
      <c r="F4411" s="10"/>
      <c r="G4411" s="9"/>
      <c r="H4411" s="7" t="s">
        <v>7578</v>
      </c>
      <c r="I4411" s="9" t="s">
        <v>353</v>
      </c>
      <c r="J4411" s="88"/>
    </row>
    <row r="4412">
      <c r="A4412" s="6" t="s">
        <v>9</v>
      </c>
      <c r="B4412" s="7" t="s">
        <v>7679</v>
      </c>
      <c r="C4412" s="91">
        <v>44965.46347744213</v>
      </c>
      <c r="D4412" s="8">
        <f t="shared" si="338"/>
        <v>44967</v>
      </c>
      <c r="E4412" s="9" t="s">
        <v>11</v>
      </c>
      <c r="F4412" s="10"/>
      <c r="G4412" s="9" t="s">
        <v>15</v>
      </c>
      <c r="H4412" s="7" t="s">
        <v>7680</v>
      </c>
      <c r="I4412" s="9" t="s">
        <v>353</v>
      </c>
      <c r="J4412" s="88"/>
    </row>
    <row r="4413">
      <c r="A4413" s="6" t="s">
        <v>9</v>
      </c>
      <c r="B4413" s="7" t="s">
        <v>7681</v>
      </c>
      <c r="C4413" s="91">
        <v>44956.40119063658</v>
      </c>
      <c r="D4413" s="8">
        <f t="shared" si="338"/>
        <v>44958</v>
      </c>
      <c r="E4413" s="9" t="s">
        <v>11</v>
      </c>
      <c r="F4413" s="10"/>
      <c r="G4413" s="9" t="s">
        <v>15</v>
      </c>
      <c r="H4413" s="7" t="s">
        <v>7682</v>
      </c>
      <c r="I4413" s="9" t="s">
        <v>353</v>
      </c>
      <c r="J4413" s="88"/>
    </row>
    <row r="4414">
      <c r="A4414" s="6" t="s">
        <v>9</v>
      </c>
      <c r="B4414" s="7" t="s">
        <v>7683</v>
      </c>
      <c r="C4414" s="91">
        <v>44965.349897824075</v>
      </c>
      <c r="D4414" s="8">
        <f t="shared" si="338"/>
        <v>44967</v>
      </c>
      <c r="E4414" s="9" t="s">
        <v>11</v>
      </c>
      <c r="F4414" s="10"/>
      <c r="G4414" s="9" t="s">
        <v>18</v>
      </c>
      <c r="H4414" s="11"/>
      <c r="I4414" s="9" t="s">
        <v>353</v>
      </c>
      <c r="J4414" s="88"/>
    </row>
    <row r="4415">
      <c r="A4415" s="54" t="s">
        <v>332</v>
      </c>
      <c r="B4415" s="7" t="s">
        <v>7684</v>
      </c>
      <c r="C4415" s="91">
        <v>44963.483762662036</v>
      </c>
      <c r="D4415" s="8">
        <f t="shared" si="338"/>
        <v>44965</v>
      </c>
      <c r="E4415" s="9" t="s">
        <v>11</v>
      </c>
      <c r="F4415" s="10"/>
      <c r="G4415" s="9" t="s">
        <v>18</v>
      </c>
      <c r="H4415" s="7" t="s">
        <v>437</v>
      </c>
      <c r="I4415" s="9" t="s">
        <v>353</v>
      </c>
      <c r="J4415" s="88"/>
    </row>
    <row r="4416">
      <c r="A4416" s="54" t="s">
        <v>332</v>
      </c>
      <c r="B4416" s="7" t="s">
        <v>7685</v>
      </c>
      <c r="C4416" s="91">
        <v>44942.56413899305</v>
      </c>
      <c r="D4416" s="8">
        <f t="shared" si="338"/>
        <v>44944</v>
      </c>
      <c r="E4416" s="9" t="s">
        <v>206</v>
      </c>
      <c r="F4416" s="9"/>
      <c r="G4416" s="9" t="s">
        <v>220</v>
      </c>
      <c r="H4416" s="7" t="s">
        <v>437</v>
      </c>
      <c r="I4416" s="9" t="s">
        <v>353</v>
      </c>
      <c r="J4416" s="88"/>
    </row>
    <row r="4417">
      <c r="A4417" s="6" t="s">
        <v>9</v>
      </c>
      <c r="B4417" s="7" t="s">
        <v>7686</v>
      </c>
      <c r="C4417" s="91">
        <v>44868.35508432871</v>
      </c>
      <c r="D4417" s="8">
        <f t="shared" si="338"/>
        <v>44872</v>
      </c>
      <c r="E4417" s="9" t="s">
        <v>88</v>
      </c>
      <c r="F4417" s="9"/>
      <c r="G4417" s="9" t="s">
        <v>15</v>
      </c>
      <c r="H4417" s="7" t="s">
        <v>7687</v>
      </c>
      <c r="I4417" s="9" t="s">
        <v>353</v>
      </c>
      <c r="J4417" s="88"/>
    </row>
    <row r="4418">
      <c r="A4418" s="6" t="s">
        <v>9</v>
      </c>
      <c r="B4418" s="7" t="s">
        <v>7679</v>
      </c>
      <c r="C4418" s="91">
        <v>44904.46622084491</v>
      </c>
      <c r="D4418" s="8">
        <f t="shared" si="338"/>
        <v>44908</v>
      </c>
      <c r="E4418" s="9" t="s">
        <v>88</v>
      </c>
      <c r="F4418" s="9"/>
      <c r="G4418" s="9" t="s">
        <v>18</v>
      </c>
      <c r="H4418" s="7" t="s">
        <v>437</v>
      </c>
      <c r="I4418" s="9" t="s">
        <v>353</v>
      </c>
      <c r="J4418" s="88"/>
    </row>
    <row r="4419">
      <c r="A4419" s="6" t="s">
        <v>9</v>
      </c>
      <c r="B4419" s="7" t="s">
        <v>7688</v>
      </c>
      <c r="C4419" s="91">
        <v>44931.42087622685</v>
      </c>
      <c r="D4419" s="8">
        <f t="shared" si="338"/>
        <v>44935</v>
      </c>
      <c r="E4419" s="9" t="s">
        <v>11</v>
      </c>
      <c r="F4419" s="10"/>
      <c r="G4419" s="9" t="s">
        <v>18</v>
      </c>
      <c r="H4419" s="7" t="s">
        <v>7689</v>
      </c>
      <c r="I4419" s="9" t="s">
        <v>353</v>
      </c>
      <c r="J4419" s="88"/>
    </row>
    <row r="4420">
      <c r="A4420" s="6" t="s">
        <v>9</v>
      </c>
      <c r="B4420" s="7" t="s">
        <v>7690</v>
      </c>
      <c r="C4420" s="91">
        <v>44958.61777710648</v>
      </c>
      <c r="D4420" s="8">
        <f t="shared" si="338"/>
        <v>44960</v>
      </c>
      <c r="E4420" s="9" t="s">
        <v>11</v>
      </c>
      <c r="F4420" s="10"/>
      <c r="G4420" s="9" t="s">
        <v>15</v>
      </c>
      <c r="H4420" s="7" t="s">
        <v>7691</v>
      </c>
      <c r="I4420" s="9" t="s">
        <v>353</v>
      </c>
      <c r="J4420" s="88"/>
    </row>
    <row r="4421">
      <c r="A4421" s="54" t="s">
        <v>332</v>
      </c>
      <c r="B4421" s="7" t="s">
        <v>2843</v>
      </c>
      <c r="C4421" s="91">
        <v>44952.4170316088</v>
      </c>
      <c r="D4421" s="8">
        <f t="shared" si="338"/>
        <v>44956</v>
      </c>
      <c r="E4421" s="9" t="s">
        <v>206</v>
      </c>
      <c r="F4421" s="9"/>
      <c r="G4421" s="9" t="s">
        <v>220</v>
      </c>
      <c r="H4421" s="7" t="s">
        <v>7692</v>
      </c>
      <c r="I4421" s="9" t="s">
        <v>353</v>
      </c>
      <c r="J4421" s="88"/>
    </row>
    <row r="4422">
      <c r="A4422" s="6" t="s">
        <v>9</v>
      </c>
      <c r="B4422" s="7" t="s">
        <v>6290</v>
      </c>
      <c r="C4422" s="91">
        <v>44959.72730722222</v>
      </c>
      <c r="D4422" s="8">
        <f t="shared" si="338"/>
        <v>44963</v>
      </c>
      <c r="E4422" s="9" t="s">
        <v>11</v>
      </c>
      <c r="F4422" s="10"/>
      <c r="G4422" s="9" t="s">
        <v>18</v>
      </c>
      <c r="H4422" s="7" t="s">
        <v>7693</v>
      </c>
      <c r="I4422" s="9" t="s">
        <v>353</v>
      </c>
      <c r="J4422" s="88"/>
    </row>
    <row r="4423">
      <c r="A4423" s="6" t="s">
        <v>9</v>
      </c>
      <c r="B4423" s="7" t="s">
        <v>7694</v>
      </c>
      <c r="C4423" s="91">
        <v>44951.71898417824</v>
      </c>
      <c r="D4423" s="8">
        <f t="shared" si="338"/>
        <v>44953</v>
      </c>
      <c r="E4423" s="9" t="s">
        <v>88</v>
      </c>
      <c r="F4423" s="10"/>
      <c r="G4423" s="9" t="s">
        <v>15</v>
      </c>
      <c r="H4423" s="7" t="s">
        <v>7695</v>
      </c>
      <c r="I4423" s="9" t="s">
        <v>353</v>
      </c>
      <c r="J4423" s="88"/>
    </row>
    <row r="4424">
      <c r="A4424" s="6" t="s">
        <v>9</v>
      </c>
      <c r="B4424" s="7" t="s">
        <v>7493</v>
      </c>
      <c r="C4424" s="91">
        <v>44880.35203866898</v>
      </c>
      <c r="D4424" s="8">
        <f t="shared" si="338"/>
        <v>44882</v>
      </c>
      <c r="E4424" s="9" t="s">
        <v>88</v>
      </c>
      <c r="F4424" s="9"/>
      <c r="G4424" s="9" t="s">
        <v>15</v>
      </c>
      <c r="H4424" s="7" t="s">
        <v>7696</v>
      </c>
      <c r="I4424" s="9" t="s">
        <v>353</v>
      </c>
      <c r="J4424" s="88"/>
    </row>
    <row r="4425">
      <c r="A4425" s="6" t="s">
        <v>9</v>
      </c>
      <c r="B4425" s="7" t="s">
        <v>7697</v>
      </c>
      <c r="C4425" s="91">
        <v>44951.695559976855</v>
      </c>
      <c r="D4425" s="8">
        <f t="shared" si="338"/>
        <v>44953</v>
      </c>
      <c r="E4425" s="9" t="s">
        <v>206</v>
      </c>
      <c r="F4425" s="10"/>
      <c r="G4425" s="9" t="s">
        <v>15</v>
      </c>
      <c r="H4425" s="7" t="s">
        <v>7698</v>
      </c>
      <c r="I4425" s="9" t="s">
        <v>353</v>
      </c>
      <c r="J4425" s="88"/>
    </row>
    <row r="4426">
      <c r="A4426" s="54" t="s">
        <v>332</v>
      </c>
      <c r="B4426" s="7" t="s">
        <v>7699</v>
      </c>
      <c r="C4426" s="91">
        <v>44956.60882554398</v>
      </c>
      <c r="D4426" s="8">
        <f t="shared" si="338"/>
        <v>44958</v>
      </c>
      <c r="E4426" s="9" t="s">
        <v>206</v>
      </c>
      <c r="F4426" s="10"/>
      <c r="G4426" s="9" t="s">
        <v>15</v>
      </c>
      <c r="H4426" s="7" t="s">
        <v>7691</v>
      </c>
      <c r="I4426" s="9" t="s">
        <v>353</v>
      </c>
      <c r="J4426" s="88"/>
    </row>
    <row r="4427">
      <c r="A4427" s="34" t="s">
        <v>204</v>
      </c>
      <c r="B4427" s="7" t="s">
        <v>7459</v>
      </c>
      <c r="C4427" s="91">
        <v>44931.71610331019</v>
      </c>
      <c r="D4427" s="8">
        <f t="shared" si="338"/>
        <v>44935</v>
      </c>
      <c r="E4427" s="9" t="s">
        <v>11</v>
      </c>
      <c r="F4427" s="71"/>
      <c r="G4427" s="9" t="s">
        <v>18</v>
      </c>
      <c r="H4427" s="7" t="s">
        <v>7700</v>
      </c>
      <c r="I4427" s="9" t="s">
        <v>353</v>
      </c>
      <c r="J4427" s="88"/>
    </row>
    <row r="4428">
      <c r="A4428" s="54" t="s">
        <v>332</v>
      </c>
      <c r="B4428" s="7" t="s">
        <v>7701</v>
      </c>
      <c r="C4428" s="91">
        <v>44950.6680743287</v>
      </c>
      <c r="D4428" s="8">
        <f t="shared" si="338"/>
        <v>44952</v>
      </c>
      <c r="E4428" s="9" t="s">
        <v>88</v>
      </c>
      <c r="F4428" s="10"/>
      <c r="G4428" s="9" t="s">
        <v>18</v>
      </c>
      <c r="H4428" s="7" t="s">
        <v>437</v>
      </c>
      <c r="I4428" s="9" t="s">
        <v>353</v>
      </c>
      <c r="J4428" s="88"/>
    </row>
    <row r="4429">
      <c r="A4429" s="54" t="s">
        <v>332</v>
      </c>
      <c r="B4429" s="7" t="s">
        <v>7702</v>
      </c>
      <c r="C4429" s="91">
        <v>44950.6681241551</v>
      </c>
      <c r="D4429" s="8">
        <f t="shared" si="338"/>
        <v>44952</v>
      </c>
      <c r="E4429" s="9" t="s">
        <v>88</v>
      </c>
      <c r="F4429" s="10"/>
      <c r="G4429" s="9" t="s">
        <v>18</v>
      </c>
      <c r="H4429" s="7" t="s">
        <v>437</v>
      </c>
      <c r="I4429" s="9" t="s">
        <v>353</v>
      </c>
      <c r="J4429" s="88"/>
    </row>
    <row r="4430">
      <c r="A4430" s="34" t="s">
        <v>204</v>
      </c>
      <c r="B4430" s="7" t="s">
        <v>7703</v>
      </c>
      <c r="C4430" s="91">
        <v>44949.49366208333</v>
      </c>
      <c r="D4430" s="8">
        <f t="shared" si="338"/>
        <v>44951</v>
      </c>
      <c r="E4430" s="9" t="s">
        <v>11</v>
      </c>
      <c r="F4430" s="71"/>
      <c r="G4430" s="9" t="s">
        <v>18</v>
      </c>
      <c r="H4430" s="7" t="s">
        <v>7704</v>
      </c>
      <c r="I4430" s="9" t="s">
        <v>353</v>
      </c>
      <c r="J4430" s="88"/>
    </row>
    <row r="4431">
      <c r="A4431" s="34" t="s">
        <v>204</v>
      </c>
      <c r="B4431" s="7" t="s">
        <v>7705</v>
      </c>
      <c r="C4431" s="91">
        <v>44958.515228495366</v>
      </c>
      <c r="D4431" s="8">
        <f t="shared" si="338"/>
        <v>44960</v>
      </c>
      <c r="E4431" s="9" t="s">
        <v>11</v>
      </c>
      <c r="F4431" s="9"/>
      <c r="G4431" s="9" t="s">
        <v>220</v>
      </c>
      <c r="H4431" s="7" t="s">
        <v>7706</v>
      </c>
      <c r="I4431" s="9" t="s">
        <v>353</v>
      </c>
      <c r="J4431" s="88"/>
    </row>
    <row r="4432">
      <c r="A4432" s="6" t="s">
        <v>9</v>
      </c>
      <c r="B4432" s="7" t="s">
        <v>7707</v>
      </c>
      <c r="C4432" s="91">
        <v>44910.68894263889</v>
      </c>
      <c r="D4432" s="8">
        <f t="shared" si="338"/>
        <v>44914</v>
      </c>
      <c r="E4432" s="9" t="s">
        <v>88</v>
      </c>
      <c r="F4432" s="10"/>
      <c r="G4432" s="9" t="s">
        <v>15</v>
      </c>
      <c r="H4432" s="7" t="s">
        <v>7708</v>
      </c>
      <c r="I4432" s="9" t="s">
        <v>353</v>
      </c>
      <c r="J4432" s="88"/>
    </row>
    <row r="4433">
      <c r="A4433" s="34" t="s">
        <v>204</v>
      </c>
      <c r="B4433" s="7" t="s">
        <v>7709</v>
      </c>
      <c r="C4433" s="91">
        <v>44958.514912847226</v>
      </c>
      <c r="D4433" s="8">
        <f t="shared" si="338"/>
        <v>44960</v>
      </c>
      <c r="E4433" s="9" t="s">
        <v>11</v>
      </c>
      <c r="F4433" s="10"/>
      <c r="G4433" s="9" t="s">
        <v>18</v>
      </c>
      <c r="H4433" s="7" t="s">
        <v>437</v>
      </c>
      <c r="I4433" s="9" t="s">
        <v>353</v>
      </c>
      <c r="J4433" s="88"/>
    </row>
    <row r="4434">
      <c r="A4434" s="34" t="s">
        <v>204</v>
      </c>
      <c r="B4434" s="7" t="s">
        <v>7710</v>
      </c>
      <c r="C4434" s="91">
        <v>44958.51463625</v>
      </c>
      <c r="D4434" s="8">
        <f t="shared" si="338"/>
        <v>44960</v>
      </c>
      <c r="E4434" s="9" t="s">
        <v>11</v>
      </c>
      <c r="F4434" s="10"/>
      <c r="G4434" s="9" t="s">
        <v>18</v>
      </c>
      <c r="H4434" s="7" t="s">
        <v>437</v>
      </c>
      <c r="I4434" s="9" t="s">
        <v>353</v>
      </c>
      <c r="J4434" s="88"/>
    </row>
    <row r="4435">
      <c r="A4435" s="34" t="s">
        <v>204</v>
      </c>
      <c r="B4435" s="7" t="s">
        <v>7709</v>
      </c>
      <c r="C4435" s="91">
        <v>44958.514321967596</v>
      </c>
      <c r="D4435" s="8">
        <f t="shared" si="338"/>
        <v>44960</v>
      </c>
      <c r="E4435" s="9" t="s">
        <v>11</v>
      </c>
      <c r="F4435" s="10"/>
      <c r="G4435" s="9" t="s">
        <v>18</v>
      </c>
      <c r="H4435" s="7" t="s">
        <v>437</v>
      </c>
      <c r="I4435" s="9" t="s">
        <v>353</v>
      </c>
      <c r="J4435" s="88"/>
    </row>
    <row r="4436">
      <c r="A4436" s="34" t="s">
        <v>204</v>
      </c>
      <c r="B4436" s="7" t="s">
        <v>2732</v>
      </c>
      <c r="C4436" s="91">
        <v>44924.512226562496</v>
      </c>
      <c r="D4436" s="8">
        <f t="shared" si="338"/>
        <v>44928</v>
      </c>
      <c r="E4436" s="9" t="s">
        <v>216</v>
      </c>
      <c r="F4436" s="9"/>
      <c r="G4436" s="9" t="s">
        <v>220</v>
      </c>
      <c r="H4436" s="7" t="s">
        <v>7711</v>
      </c>
      <c r="I4436" s="9" t="s">
        <v>353</v>
      </c>
      <c r="J4436" s="88"/>
    </row>
    <row r="4437">
      <c r="A4437" s="54" t="s">
        <v>332</v>
      </c>
      <c r="B4437" s="7" t="s">
        <v>7712</v>
      </c>
      <c r="C4437" s="91">
        <v>44945.51493434027</v>
      </c>
      <c r="D4437" s="8">
        <f t="shared" si="338"/>
        <v>44949</v>
      </c>
      <c r="E4437" s="9" t="s">
        <v>88</v>
      </c>
      <c r="F4437" s="9"/>
      <c r="G4437" s="9" t="s">
        <v>220</v>
      </c>
      <c r="H4437" s="7" t="s">
        <v>7713</v>
      </c>
      <c r="I4437" s="9" t="s">
        <v>353</v>
      </c>
      <c r="J4437" s="88"/>
    </row>
    <row r="4438">
      <c r="A4438" s="54" t="s">
        <v>332</v>
      </c>
      <c r="B4438" s="7" t="s">
        <v>7714</v>
      </c>
      <c r="C4438" s="91">
        <v>44957.39785065972</v>
      </c>
      <c r="D4438" s="8">
        <f t="shared" si="338"/>
        <v>44959</v>
      </c>
      <c r="E4438" s="9" t="s">
        <v>11</v>
      </c>
      <c r="F4438" s="10"/>
      <c r="G4438" s="9" t="s">
        <v>220</v>
      </c>
      <c r="H4438" s="7" t="s">
        <v>7715</v>
      </c>
      <c r="I4438" s="9" t="s">
        <v>353</v>
      </c>
      <c r="J4438" s="88"/>
    </row>
    <row r="4439">
      <c r="A4439" s="54" t="s">
        <v>332</v>
      </c>
      <c r="B4439" s="7" t="s">
        <v>7716</v>
      </c>
      <c r="C4439" s="91">
        <v>44946.410991516204</v>
      </c>
      <c r="D4439" s="8">
        <f t="shared" si="338"/>
        <v>44950</v>
      </c>
      <c r="E4439" s="9" t="s">
        <v>206</v>
      </c>
      <c r="F4439" s="9"/>
      <c r="G4439" s="9" t="s">
        <v>18</v>
      </c>
      <c r="H4439" s="7" t="s">
        <v>7713</v>
      </c>
      <c r="I4439" s="9" t="s">
        <v>353</v>
      </c>
      <c r="J4439" s="88"/>
    </row>
    <row r="4440">
      <c r="A4440" s="34" t="s">
        <v>204</v>
      </c>
      <c r="B4440" s="7" t="s">
        <v>7717</v>
      </c>
      <c r="C4440" s="91">
        <v>44952.70382028935</v>
      </c>
      <c r="D4440" s="8">
        <f t="shared" si="338"/>
        <v>44956</v>
      </c>
      <c r="E4440" s="9" t="s">
        <v>206</v>
      </c>
      <c r="F4440" s="9"/>
      <c r="G4440" s="9" t="s">
        <v>18</v>
      </c>
      <c r="H4440" s="7" t="s">
        <v>7718</v>
      </c>
      <c r="I4440" s="9" t="s">
        <v>353</v>
      </c>
      <c r="J4440" s="88"/>
    </row>
    <row r="4441">
      <c r="A4441" s="54" t="s">
        <v>332</v>
      </c>
      <c r="B4441" s="7" t="s">
        <v>7719</v>
      </c>
      <c r="C4441" s="91">
        <v>44949.49617557871</v>
      </c>
      <c r="D4441" s="8">
        <f t="shared" si="338"/>
        <v>44951</v>
      </c>
      <c r="E4441" s="9" t="s">
        <v>206</v>
      </c>
      <c r="F4441" s="9"/>
      <c r="G4441" s="9" t="s">
        <v>220</v>
      </c>
      <c r="H4441" s="7" t="s">
        <v>7720</v>
      </c>
      <c r="I4441" s="9" t="s">
        <v>353</v>
      </c>
      <c r="J4441" s="88"/>
    </row>
    <row r="4442">
      <c r="A4442" s="6" t="s">
        <v>9</v>
      </c>
      <c r="B4442" s="7" t="s">
        <v>7721</v>
      </c>
      <c r="C4442" s="91">
        <v>44957.704479884254</v>
      </c>
      <c r="D4442" s="8">
        <f t="shared" si="338"/>
        <v>44959</v>
      </c>
      <c r="E4442" s="9" t="s">
        <v>11</v>
      </c>
      <c r="F4442" s="10"/>
      <c r="G4442" s="9"/>
      <c r="H4442" s="7" t="s">
        <v>7077</v>
      </c>
      <c r="I4442" s="9" t="s">
        <v>353</v>
      </c>
      <c r="J4442" s="88"/>
    </row>
    <row r="4443">
      <c r="A4443" s="34" t="s">
        <v>204</v>
      </c>
      <c r="B4443" s="7" t="s">
        <v>7722</v>
      </c>
      <c r="C4443" s="91">
        <v>44957.64584575231</v>
      </c>
      <c r="D4443" s="8">
        <f t="shared" si="338"/>
        <v>44959</v>
      </c>
      <c r="E4443" s="9" t="s">
        <v>11</v>
      </c>
      <c r="F4443" s="10"/>
      <c r="G4443" s="9" t="s">
        <v>18</v>
      </c>
      <c r="H4443" s="7" t="s">
        <v>7723</v>
      </c>
      <c r="I4443" s="9" t="s">
        <v>353</v>
      </c>
      <c r="J4443" s="88"/>
    </row>
    <row r="4444">
      <c r="A4444" s="34"/>
      <c r="B4444" s="7" t="s">
        <v>7724</v>
      </c>
      <c r="C4444" s="91">
        <v>44949.499747002315</v>
      </c>
      <c r="D4444" s="8">
        <v>44949.49963465278</v>
      </c>
      <c r="E4444" s="9" t="s">
        <v>206</v>
      </c>
      <c r="F4444" s="9"/>
      <c r="G4444" s="9" t="s">
        <v>18</v>
      </c>
      <c r="H4444" s="7" t="s">
        <v>7725</v>
      </c>
      <c r="I4444" s="9" t="s">
        <v>353</v>
      </c>
      <c r="J4444" s="88"/>
    </row>
    <row r="4445">
      <c r="A4445" s="34" t="s">
        <v>204</v>
      </c>
      <c r="B4445" s="7" t="s">
        <v>7726</v>
      </c>
      <c r="C4445" s="91">
        <v>44949.35256309027</v>
      </c>
      <c r="D4445" s="8">
        <f t="shared" ref="D4445:D4452" si="339">IFERROR(_xlfn.WORKDAY.INTL(C4445, 2),"-")</f>
        <v>44951</v>
      </c>
      <c r="E4445" s="9" t="s">
        <v>11</v>
      </c>
      <c r="F4445" s="9"/>
      <c r="G4445" s="9" t="s">
        <v>15</v>
      </c>
      <c r="H4445" s="7" t="s">
        <v>7727</v>
      </c>
      <c r="I4445" s="9" t="s">
        <v>353</v>
      </c>
      <c r="J4445" s="88"/>
    </row>
    <row r="4446">
      <c r="A4446" s="6" t="s">
        <v>9</v>
      </c>
      <c r="B4446" s="7" t="s">
        <v>7728</v>
      </c>
      <c r="C4446" s="91">
        <v>44950.59504950231</v>
      </c>
      <c r="D4446" s="8">
        <f t="shared" si="339"/>
        <v>44952</v>
      </c>
      <c r="E4446" s="9" t="s">
        <v>88</v>
      </c>
      <c r="F4446" s="10"/>
      <c r="G4446" s="9" t="s">
        <v>15</v>
      </c>
      <c r="H4446" s="7" t="s">
        <v>7729</v>
      </c>
      <c r="I4446" s="9" t="s">
        <v>353</v>
      </c>
      <c r="J4446" s="88"/>
    </row>
    <row r="4447">
      <c r="A4447" s="6" t="s">
        <v>9</v>
      </c>
      <c r="B4447" s="7" t="s">
        <v>7730</v>
      </c>
      <c r="C4447" s="91">
        <v>44950.59463791667</v>
      </c>
      <c r="D4447" s="8">
        <f t="shared" si="339"/>
        <v>44952</v>
      </c>
      <c r="E4447" s="9" t="s">
        <v>11</v>
      </c>
      <c r="F4447" s="9"/>
      <c r="G4447" s="9" t="s">
        <v>15</v>
      </c>
      <c r="H4447" s="7" t="s">
        <v>7731</v>
      </c>
      <c r="I4447" s="9" t="s">
        <v>353</v>
      </c>
      <c r="J4447" s="88"/>
    </row>
    <row r="4448">
      <c r="A4448" s="6" t="s">
        <v>9</v>
      </c>
      <c r="B4448" s="7" t="s">
        <v>7732</v>
      </c>
      <c r="C4448" s="91">
        <v>44882.33261228009</v>
      </c>
      <c r="D4448" s="8">
        <f t="shared" si="339"/>
        <v>44886</v>
      </c>
      <c r="E4448" s="9" t="s">
        <v>88</v>
      </c>
      <c r="F4448" s="9"/>
      <c r="G4448" s="9" t="s">
        <v>15</v>
      </c>
      <c r="H4448" s="7" t="s">
        <v>7733</v>
      </c>
      <c r="I4448" s="9" t="s">
        <v>353</v>
      </c>
      <c r="J4448" s="88"/>
    </row>
    <row r="4449">
      <c r="A4449" s="6" t="s">
        <v>9</v>
      </c>
      <c r="B4449" s="7" t="s">
        <v>7734</v>
      </c>
      <c r="C4449" s="91">
        <v>44950.59455743055</v>
      </c>
      <c r="D4449" s="8">
        <f t="shared" si="339"/>
        <v>44952</v>
      </c>
      <c r="E4449" s="9" t="s">
        <v>88</v>
      </c>
      <c r="F4449" s="10"/>
      <c r="G4449" s="9" t="s">
        <v>18</v>
      </c>
      <c r="H4449" s="7" t="s">
        <v>7735</v>
      </c>
      <c r="I4449" s="9" t="s">
        <v>353</v>
      </c>
      <c r="J4449" s="88"/>
    </row>
    <row r="4450">
      <c r="A4450" s="54" t="s">
        <v>332</v>
      </c>
      <c r="B4450" s="7" t="s">
        <v>7736</v>
      </c>
      <c r="C4450" s="91">
        <v>44950.668222465276</v>
      </c>
      <c r="D4450" s="8">
        <f t="shared" si="339"/>
        <v>44952</v>
      </c>
      <c r="E4450" s="9" t="s">
        <v>88</v>
      </c>
      <c r="F4450" s="10"/>
      <c r="G4450" s="9" t="s">
        <v>18</v>
      </c>
      <c r="H4450" s="7" t="s">
        <v>7713</v>
      </c>
      <c r="I4450" s="9" t="s">
        <v>353</v>
      </c>
      <c r="J4450" s="88"/>
    </row>
    <row r="4451">
      <c r="A4451" s="54" t="s">
        <v>332</v>
      </c>
      <c r="B4451" s="7" t="s">
        <v>7737</v>
      </c>
      <c r="C4451" s="91">
        <v>44950.51331456019</v>
      </c>
      <c r="D4451" s="8">
        <f t="shared" si="339"/>
        <v>44952</v>
      </c>
      <c r="E4451" s="9" t="s">
        <v>206</v>
      </c>
      <c r="F4451" s="10"/>
      <c r="G4451" s="9" t="s">
        <v>18</v>
      </c>
      <c r="H4451" s="7" t="s">
        <v>437</v>
      </c>
      <c r="I4451" s="9" t="s">
        <v>353</v>
      </c>
      <c r="J4451" s="88"/>
    </row>
    <row r="4452">
      <c r="A4452" s="6" t="s">
        <v>9</v>
      </c>
      <c r="B4452" s="7" t="s">
        <v>651</v>
      </c>
      <c r="C4452" s="91">
        <v>44951.67081821759</v>
      </c>
      <c r="D4452" s="8">
        <f t="shared" si="339"/>
        <v>44953</v>
      </c>
      <c r="E4452" s="9" t="s">
        <v>11</v>
      </c>
      <c r="F4452" s="10"/>
      <c r="G4452" s="9" t="s">
        <v>15</v>
      </c>
      <c r="H4452" s="7" t="s">
        <v>7738</v>
      </c>
      <c r="I4452" s="9" t="s">
        <v>353</v>
      </c>
      <c r="J4452" s="88"/>
    </row>
    <row r="4453">
      <c r="A4453" s="34" t="s">
        <v>204</v>
      </c>
      <c r="B4453" s="7" t="s">
        <v>7739</v>
      </c>
      <c r="C4453" s="91">
        <v>44949.49971574074</v>
      </c>
      <c r="D4453" s="8">
        <v>44942.606979930555</v>
      </c>
      <c r="E4453" s="9" t="s">
        <v>206</v>
      </c>
      <c r="F4453" s="71"/>
      <c r="G4453" s="9" t="s">
        <v>18</v>
      </c>
      <c r="H4453" s="7" t="s">
        <v>7740</v>
      </c>
      <c r="I4453" s="9" t="s">
        <v>353</v>
      </c>
      <c r="J4453" s="88"/>
    </row>
    <row r="4454">
      <c r="A4454" s="6" t="s">
        <v>9</v>
      </c>
      <c r="B4454" s="7" t="s">
        <v>6908</v>
      </c>
      <c r="C4454" s="91">
        <v>44880.35281512731</v>
      </c>
      <c r="D4454" s="8">
        <f>IFERROR(_xlfn.WORKDAY.INTL(C4454, 2),"-")</f>
        <v>44882</v>
      </c>
      <c r="E4454" s="9" t="s">
        <v>88</v>
      </c>
      <c r="F4454" s="9"/>
      <c r="G4454" s="9" t="s">
        <v>18</v>
      </c>
      <c r="H4454" s="7" t="s">
        <v>7741</v>
      </c>
      <c r="I4454" s="9" t="s">
        <v>353</v>
      </c>
      <c r="J4454" s="88"/>
    </row>
    <row r="4455">
      <c r="A4455" s="54" t="s">
        <v>332</v>
      </c>
      <c r="B4455" s="7" t="s">
        <v>7742</v>
      </c>
      <c r="C4455" s="91">
        <v>44950.667996874996</v>
      </c>
      <c r="D4455" s="8"/>
      <c r="E4455" s="9" t="s">
        <v>88</v>
      </c>
      <c r="F4455" s="10"/>
      <c r="G4455" s="9" t="s">
        <v>18</v>
      </c>
      <c r="H4455" s="7" t="s">
        <v>437</v>
      </c>
      <c r="I4455" s="9" t="s">
        <v>353</v>
      </c>
      <c r="J4455" s="88"/>
    </row>
    <row r="4456">
      <c r="A4456" s="54" t="s">
        <v>332</v>
      </c>
      <c r="B4456" s="7" t="s">
        <v>7743</v>
      </c>
      <c r="C4456" s="91">
        <v>44949.49351059028</v>
      </c>
      <c r="D4456" s="8">
        <f t="shared" ref="D4456:D4480" si="340">IFERROR(_xlfn.WORKDAY.INTL(C4456, 2),"-")</f>
        <v>44951</v>
      </c>
      <c r="E4456" s="9" t="s">
        <v>206</v>
      </c>
      <c r="F4456" s="10"/>
      <c r="G4456" s="9" t="s">
        <v>18</v>
      </c>
      <c r="H4456" s="7" t="s">
        <v>437</v>
      </c>
      <c r="I4456" s="9" t="s">
        <v>353</v>
      </c>
      <c r="J4456" s="88"/>
    </row>
    <row r="4457">
      <c r="A4457" s="6" t="s">
        <v>9</v>
      </c>
      <c r="B4457" s="7" t="s">
        <v>7744</v>
      </c>
      <c r="C4457" s="91">
        <v>44951.68477997685</v>
      </c>
      <c r="D4457" s="8">
        <f t="shared" si="340"/>
        <v>44953</v>
      </c>
      <c r="E4457" s="9" t="s">
        <v>11</v>
      </c>
      <c r="F4457" s="10"/>
      <c r="G4457" s="9" t="s">
        <v>18</v>
      </c>
      <c r="H4457" s="7" t="s">
        <v>7745</v>
      </c>
      <c r="I4457" s="9" t="s">
        <v>353</v>
      </c>
      <c r="J4457" s="88"/>
    </row>
    <row r="4458">
      <c r="A4458" s="34" t="s">
        <v>204</v>
      </c>
      <c r="B4458" s="7" t="s">
        <v>7746</v>
      </c>
      <c r="C4458" s="91">
        <v>44915.55095975695</v>
      </c>
      <c r="D4458" s="8">
        <f t="shared" si="340"/>
        <v>44917</v>
      </c>
      <c r="E4458" s="9" t="s">
        <v>11</v>
      </c>
      <c r="F4458" s="71"/>
      <c r="G4458" s="9" t="s">
        <v>18</v>
      </c>
      <c r="H4458" s="7" t="s">
        <v>7747</v>
      </c>
      <c r="I4458" s="9" t="s">
        <v>353</v>
      </c>
      <c r="J4458" s="88"/>
    </row>
    <row r="4459">
      <c r="A4459" s="54" t="s">
        <v>332</v>
      </c>
      <c r="B4459" s="7" t="s">
        <v>7714</v>
      </c>
      <c r="C4459" s="91">
        <v>44944.511139016206</v>
      </c>
      <c r="D4459" s="8">
        <f t="shared" si="340"/>
        <v>44946</v>
      </c>
      <c r="E4459" s="9" t="s">
        <v>88</v>
      </c>
      <c r="F4459" s="10"/>
      <c r="G4459" s="9" t="s">
        <v>220</v>
      </c>
      <c r="H4459" s="7" t="s">
        <v>437</v>
      </c>
      <c r="I4459" s="9" t="s">
        <v>353</v>
      </c>
      <c r="J4459" s="88"/>
    </row>
    <row r="4460">
      <c r="A4460" s="54" t="s">
        <v>332</v>
      </c>
      <c r="B4460" s="7" t="s">
        <v>7748</v>
      </c>
      <c r="C4460" s="91">
        <v>44944.59120708333</v>
      </c>
      <c r="D4460" s="8">
        <f t="shared" si="340"/>
        <v>44946</v>
      </c>
      <c r="E4460" s="9" t="s">
        <v>88</v>
      </c>
      <c r="F4460" s="10"/>
      <c r="G4460" s="9" t="s">
        <v>18</v>
      </c>
      <c r="H4460" s="7" t="s">
        <v>437</v>
      </c>
      <c r="I4460" s="9" t="s">
        <v>353</v>
      </c>
      <c r="J4460" s="88"/>
    </row>
    <row r="4461">
      <c r="A4461" s="54" t="s">
        <v>332</v>
      </c>
      <c r="B4461" s="7" t="s">
        <v>7749</v>
      </c>
      <c r="C4461" s="91" t="s">
        <v>11</v>
      </c>
      <c r="D4461" s="8" t="str">
        <f t="shared" si="340"/>
        <v>-</v>
      </c>
      <c r="E4461" s="9" t="s">
        <v>88</v>
      </c>
      <c r="F4461" s="9"/>
      <c r="G4461" s="9" t="s">
        <v>89</v>
      </c>
      <c r="H4461" s="7" t="s">
        <v>7750</v>
      </c>
      <c r="I4461" s="9" t="s">
        <v>353</v>
      </c>
      <c r="J4461" s="88"/>
    </row>
    <row r="4462">
      <c r="A4462" s="54" t="s">
        <v>332</v>
      </c>
      <c r="B4462" s="7" t="s">
        <v>7751</v>
      </c>
      <c r="C4462" s="91">
        <v>44942.32072870371</v>
      </c>
      <c r="D4462" s="8">
        <f t="shared" si="340"/>
        <v>44944</v>
      </c>
      <c r="E4462" s="9" t="s">
        <v>206</v>
      </c>
      <c r="F4462" s="71"/>
      <c r="G4462" s="9" t="s">
        <v>18</v>
      </c>
      <c r="H4462" s="7" t="s">
        <v>437</v>
      </c>
      <c r="I4462" s="9" t="s">
        <v>353</v>
      </c>
      <c r="J4462" s="88"/>
    </row>
    <row r="4463">
      <c r="A4463" s="6" t="s">
        <v>9</v>
      </c>
      <c r="B4463" s="7" t="s">
        <v>7752</v>
      </c>
      <c r="C4463" s="91">
        <v>44923.704283032406</v>
      </c>
      <c r="D4463" s="8">
        <f t="shared" si="340"/>
        <v>44925</v>
      </c>
      <c r="E4463" s="9" t="s">
        <v>11</v>
      </c>
      <c r="F4463" s="71"/>
      <c r="G4463" s="9" t="s">
        <v>18</v>
      </c>
      <c r="H4463" s="7" t="s">
        <v>437</v>
      </c>
      <c r="I4463" s="9" t="s">
        <v>353</v>
      </c>
      <c r="J4463" s="88"/>
    </row>
    <row r="4464">
      <c r="A4464" s="34" t="s">
        <v>204</v>
      </c>
      <c r="B4464" s="7" t="s">
        <v>3801</v>
      </c>
      <c r="C4464" s="91">
        <v>44946.518153287034</v>
      </c>
      <c r="D4464" s="8">
        <f t="shared" si="340"/>
        <v>44950</v>
      </c>
      <c r="E4464" s="9" t="s">
        <v>11</v>
      </c>
      <c r="F4464" s="8"/>
      <c r="G4464" s="9" t="s">
        <v>18</v>
      </c>
      <c r="H4464" s="7" t="s">
        <v>437</v>
      </c>
      <c r="I4464" s="9" t="s">
        <v>353</v>
      </c>
      <c r="J4464" s="88"/>
    </row>
    <row r="4465">
      <c r="A4465" s="6" t="s">
        <v>9</v>
      </c>
      <c r="B4465" s="7" t="s">
        <v>7753</v>
      </c>
      <c r="C4465" s="91">
        <v>44935.32284424768</v>
      </c>
      <c r="D4465" s="8">
        <f t="shared" si="340"/>
        <v>44937</v>
      </c>
      <c r="E4465" s="9" t="s">
        <v>11</v>
      </c>
      <c r="F4465" s="10"/>
      <c r="G4465" s="9" t="s">
        <v>89</v>
      </c>
      <c r="H4465" s="11"/>
      <c r="I4465" s="9" t="s">
        <v>353</v>
      </c>
      <c r="J4465" s="88"/>
    </row>
    <row r="4466">
      <c r="A4466" s="34" t="s">
        <v>204</v>
      </c>
      <c r="B4466" s="7" t="s">
        <v>5768</v>
      </c>
      <c r="C4466" s="91">
        <v>44937.347629745374</v>
      </c>
      <c r="D4466" s="8">
        <f t="shared" si="340"/>
        <v>44939</v>
      </c>
      <c r="E4466" s="9" t="s">
        <v>94</v>
      </c>
      <c r="F4466" s="9"/>
      <c r="G4466" s="9" t="s">
        <v>18</v>
      </c>
      <c r="H4466" s="7" t="s">
        <v>2896</v>
      </c>
      <c r="I4466" s="9" t="s">
        <v>353</v>
      </c>
      <c r="J4466" s="88"/>
    </row>
    <row r="4467">
      <c r="A4467" s="54" t="s">
        <v>332</v>
      </c>
      <c r="B4467" s="7" t="s">
        <v>7754</v>
      </c>
      <c r="C4467" s="91">
        <v>44943.398395173615</v>
      </c>
      <c r="D4467" s="8">
        <f t="shared" si="340"/>
        <v>44945</v>
      </c>
      <c r="E4467" s="9" t="s">
        <v>88</v>
      </c>
      <c r="F4467" s="71"/>
      <c r="G4467" s="9" t="s">
        <v>18</v>
      </c>
      <c r="H4467" s="7" t="s">
        <v>437</v>
      </c>
      <c r="I4467" s="9" t="s">
        <v>353</v>
      </c>
      <c r="J4467" s="88"/>
    </row>
    <row r="4468">
      <c r="A4468" s="6" t="s">
        <v>9</v>
      </c>
      <c r="B4468" s="7" t="s">
        <v>2814</v>
      </c>
      <c r="C4468" s="91">
        <v>44945.373590069445</v>
      </c>
      <c r="D4468" s="8">
        <f t="shared" si="340"/>
        <v>44949</v>
      </c>
      <c r="E4468" s="9" t="s">
        <v>11</v>
      </c>
      <c r="F4468" s="10"/>
      <c r="G4468" s="9"/>
      <c r="H4468" s="7" t="s">
        <v>7755</v>
      </c>
      <c r="I4468" s="9" t="s">
        <v>353</v>
      </c>
      <c r="J4468" s="88"/>
    </row>
    <row r="4469">
      <c r="A4469" s="34" t="s">
        <v>204</v>
      </c>
      <c r="B4469" s="7" t="s">
        <v>7756</v>
      </c>
      <c r="C4469" s="91">
        <v>44925.3611159838</v>
      </c>
      <c r="D4469" s="8">
        <f t="shared" si="340"/>
        <v>44929</v>
      </c>
      <c r="E4469" s="9" t="s">
        <v>11</v>
      </c>
      <c r="F4469" s="9"/>
      <c r="G4469" s="9" t="s">
        <v>15</v>
      </c>
      <c r="H4469" s="7" t="s">
        <v>7757</v>
      </c>
      <c r="I4469" s="9" t="s">
        <v>353</v>
      </c>
      <c r="J4469" s="88"/>
    </row>
    <row r="4470">
      <c r="A4470" s="34" t="s">
        <v>204</v>
      </c>
      <c r="B4470" s="7" t="s">
        <v>7758</v>
      </c>
      <c r="C4470" s="91">
        <v>44943.7481444213</v>
      </c>
      <c r="D4470" s="8">
        <f t="shared" si="340"/>
        <v>44945</v>
      </c>
      <c r="E4470" s="9" t="s">
        <v>11</v>
      </c>
      <c r="F4470" s="9"/>
      <c r="G4470" s="9" t="s">
        <v>18</v>
      </c>
      <c r="H4470" s="7" t="s">
        <v>7759</v>
      </c>
      <c r="I4470" s="9" t="s">
        <v>353</v>
      </c>
      <c r="J4470" s="88"/>
    </row>
    <row r="4471">
      <c r="A4471" s="6" t="s">
        <v>9</v>
      </c>
      <c r="B4471" s="7" t="s">
        <v>7760</v>
      </c>
      <c r="C4471" s="91">
        <v>44847.73927605324</v>
      </c>
      <c r="D4471" s="8">
        <f t="shared" si="340"/>
        <v>44851</v>
      </c>
      <c r="E4471" s="9" t="s">
        <v>88</v>
      </c>
      <c r="F4471" s="8"/>
      <c r="G4471" s="9" t="s">
        <v>18</v>
      </c>
      <c r="H4471" s="7" t="s">
        <v>7761</v>
      </c>
      <c r="I4471" s="9" t="s">
        <v>353</v>
      </c>
      <c r="J4471" s="88"/>
    </row>
    <row r="4472">
      <c r="A4472" s="6" t="s">
        <v>9</v>
      </c>
      <c r="B4472" s="7" t="s">
        <v>6290</v>
      </c>
      <c r="C4472" s="91">
        <v>44847.73855381944</v>
      </c>
      <c r="D4472" s="8">
        <f t="shared" si="340"/>
        <v>44851</v>
      </c>
      <c r="E4472" s="9" t="s">
        <v>88</v>
      </c>
      <c r="F4472" s="9"/>
      <c r="G4472" s="9" t="s">
        <v>15</v>
      </c>
      <c r="H4472" s="7" t="s">
        <v>7762</v>
      </c>
      <c r="I4472" s="9" t="s">
        <v>353</v>
      </c>
      <c r="J4472" s="88"/>
    </row>
    <row r="4473">
      <c r="A4473" s="34" t="s">
        <v>204</v>
      </c>
      <c r="B4473" s="7" t="s">
        <v>7763</v>
      </c>
      <c r="C4473" s="91">
        <v>44944.41274212963</v>
      </c>
      <c r="D4473" s="8">
        <f t="shared" si="340"/>
        <v>44946</v>
      </c>
      <c r="E4473" s="9" t="s">
        <v>11</v>
      </c>
      <c r="F4473" s="10"/>
      <c r="G4473" s="9"/>
      <c r="H4473" s="7" t="s">
        <v>7764</v>
      </c>
      <c r="I4473" s="9" t="s">
        <v>353</v>
      </c>
      <c r="J4473" s="88"/>
    </row>
    <row r="4474">
      <c r="A4474" s="34" t="s">
        <v>204</v>
      </c>
      <c r="B4474" s="7" t="s">
        <v>7765</v>
      </c>
      <c r="C4474" s="91">
        <v>44908.64224728009</v>
      </c>
      <c r="D4474" s="8">
        <f t="shared" si="340"/>
        <v>44910</v>
      </c>
      <c r="E4474" s="9" t="s">
        <v>11</v>
      </c>
      <c r="F4474" s="71"/>
      <c r="G4474" s="9" t="s">
        <v>15</v>
      </c>
      <c r="H4474" s="168" t="s">
        <v>7766</v>
      </c>
      <c r="I4474" s="9" t="s">
        <v>353</v>
      </c>
      <c r="J4474" s="88"/>
    </row>
    <row r="4475">
      <c r="A4475" s="6" t="s">
        <v>9</v>
      </c>
      <c r="B4475" s="7" t="s">
        <v>7767</v>
      </c>
      <c r="C4475" s="91">
        <v>44943.71677486111</v>
      </c>
      <c r="D4475" s="8">
        <f t="shared" si="340"/>
        <v>44945</v>
      </c>
      <c r="E4475" s="9" t="s">
        <v>11</v>
      </c>
      <c r="F4475" s="10"/>
      <c r="G4475" s="9"/>
      <c r="H4475" s="7" t="s">
        <v>7768</v>
      </c>
      <c r="I4475" s="9" t="s">
        <v>353</v>
      </c>
      <c r="J4475" s="88"/>
    </row>
    <row r="4476">
      <c r="A4476" s="34" t="s">
        <v>204</v>
      </c>
      <c r="B4476" s="7" t="s">
        <v>3052</v>
      </c>
      <c r="C4476" s="91">
        <v>44937.34669085648</v>
      </c>
      <c r="D4476" s="8">
        <f t="shared" si="340"/>
        <v>44939</v>
      </c>
      <c r="E4476" s="9" t="s">
        <v>11</v>
      </c>
      <c r="F4476" s="71"/>
      <c r="G4476" s="9" t="s">
        <v>18</v>
      </c>
      <c r="H4476" s="7" t="s">
        <v>7769</v>
      </c>
      <c r="I4476" s="9" t="s">
        <v>353</v>
      </c>
      <c r="J4476" s="88"/>
    </row>
    <row r="4477">
      <c r="A4477" s="6" t="s">
        <v>9</v>
      </c>
      <c r="B4477" s="7" t="s">
        <v>7770</v>
      </c>
      <c r="C4477" s="91">
        <v>44922.67108310186</v>
      </c>
      <c r="D4477" s="8">
        <f t="shared" si="340"/>
        <v>44924</v>
      </c>
      <c r="E4477" s="9" t="s">
        <v>88</v>
      </c>
      <c r="F4477" s="71"/>
      <c r="G4477" s="9" t="s">
        <v>18</v>
      </c>
      <c r="H4477" s="7" t="s">
        <v>437</v>
      </c>
      <c r="I4477" s="9" t="s">
        <v>353</v>
      </c>
      <c r="J4477" s="88"/>
    </row>
    <row r="4478">
      <c r="A4478" s="6" t="s">
        <v>9</v>
      </c>
      <c r="B4478" s="7" t="s">
        <v>7771</v>
      </c>
      <c r="C4478" s="91">
        <v>44943.638141435185</v>
      </c>
      <c r="D4478" s="8">
        <f t="shared" si="340"/>
        <v>44945</v>
      </c>
      <c r="E4478" s="9" t="s">
        <v>11</v>
      </c>
      <c r="F4478" s="10"/>
      <c r="G4478" s="9"/>
      <c r="H4478" s="11"/>
      <c r="I4478" s="9" t="s">
        <v>353</v>
      </c>
      <c r="J4478" s="88"/>
    </row>
    <row r="4479">
      <c r="A4479" s="54" t="s">
        <v>332</v>
      </c>
      <c r="B4479" s="7" t="s">
        <v>7772</v>
      </c>
      <c r="C4479" s="91">
        <v>44939.38150092593</v>
      </c>
      <c r="D4479" s="8">
        <f t="shared" si="340"/>
        <v>44943</v>
      </c>
      <c r="E4479" s="9" t="s">
        <v>88</v>
      </c>
      <c r="F4479" s="8"/>
      <c r="G4479" s="9" t="s">
        <v>15</v>
      </c>
      <c r="H4479" s="7" t="s">
        <v>7677</v>
      </c>
      <c r="I4479" s="9" t="s">
        <v>353</v>
      </c>
      <c r="J4479" s="88"/>
    </row>
    <row r="4480">
      <c r="A4480" s="6" t="s">
        <v>9</v>
      </c>
      <c r="B4480" s="7" t="s">
        <v>7773</v>
      </c>
      <c r="C4480" s="91">
        <v>44902.36356165509</v>
      </c>
      <c r="D4480" s="8">
        <f t="shared" si="340"/>
        <v>44904</v>
      </c>
      <c r="E4480" s="9" t="s">
        <v>11</v>
      </c>
      <c r="F4480" s="71"/>
      <c r="G4480" s="9" t="s">
        <v>18</v>
      </c>
      <c r="H4480" s="62" t="s">
        <v>7774</v>
      </c>
      <c r="I4480" s="9" t="s">
        <v>353</v>
      </c>
      <c r="J4480" s="88"/>
    </row>
    <row r="4481">
      <c r="A4481" s="6" t="s">
        <v>9</v>
      </c>
      <c r="B4481" s="7" t="s">
        <v>7775</v>
      </c>
      <c r="C4481" s="91">
        <v>44853.359336828704</v>
      </c>
      <c r="D4481" s="9" t="s">
        <v>11</v>
      </c>
      <c r="E4481" s="9" t="s">
        <v>206</v>
      </c>
      <c r="F4481" s="8"/>
      <c r="G4481" s="9" t="s">
        <v>18</v>
      </c>
      <c r="H4481" s="7" t="s">
        <v>7776</v>
      </c>
      <c r="I4481" s="9" t="s">
        <v>353</v>
      </c>
      <c r="J4481" s="88"/>
    </row>
    <row r="4482">
      <c r="A4482" s="6" t="s">
        <v>9</v>
      </c>
      <c r="B4482" s="7" t="s">
        <v>7777</v>
      </c>
      <c r="C4482" s="91">
        <v>44882.33537369213</v>
      </c>
      <c r="D4482" s="8">
        <f t="shared" ref="D4482:D4510" si="341">IFERROR(_xlfn.WORKDAY.INTL(C4482, 2),"-")</f>
        <v>44886</v>
      </c>
      <c r="E4482" s="9" t="s">
        <v>206</v>
      </c>
      <c r="F4482" s="9"/>
      <c r="G4482" s="9" t="s">
        <v>15</v>
      </c>
      <c r="H4482" s="7" t="s">
        <v>7778</v>
      </c>
      <c r="I4482" s="9" t="s">
        <v>353</v>
      </c>
      <c r="J4482" s="88"/>
    </row>
    <row r="4483">
      <c r="A4483" s="223" t="s">
        <v>98</v>
      </c>
      <c r="B4483" s="9" t="s">
        <v>7779</v>
      </c>
      <c r="C4483" s="91">
        <v>44936.56844320602</v>
      </c>
      <c r="D4483" s="8">
        <f t="shared" si="341"/>
        <v>44938</v>
      </c>
      <c r="E4483" s="9" t="s">
        <v>11</v>
      </c>
      <c r="F4483" s="10"/>
      <c r="G4483" s="9" t="s">
        <v>18</v>
      </c>
      <c r="H4483" s="9" t="s">
        <v>7677</v>
      </c>
      <c r="I4483" s="9" t="s">
        <v>353</v>
      </c>
      <c r="J4483" s="88"/>
    </row>
    <row r="4484">
      <c r="A4484" s="6" t="s">
        <v>9</v>
      </c>
      <c r="B4484" s="7" t="s">
        <v>2997</v>
      </c>
      <c r="C4484" s="91">
        <v>44938.32443177083</v>
      </c>
      <c r="D4484" s="8">
        <f t="shared" si="341"/>
        <v>44942</v>
      </c>
      <c r="E4484" s="9" t="s">
        <v>11</v>
      </c>
      <c r="F4484" s="10"/>
      <c r="G4484" s="9" t="s">
        <v>15</v>
      </c>
      <c r="H4484" s="7" t="s">
        <v>7780</v>
      </c>
      <c r="I4484" s="9" t="s">
        <v>353</v>
      </c>
      <c r="J4484" s="88"/>
    </row>
    <row r="4485">
      <c r="A4485" s="6" t="s">
        <v>9</v>
      </c>
      <c r="B4485" s="7" t="s">
        <v>7781</v>
      </c>
      <c r="C4485" s="91">
        <v>44938.684816504625</v>
      </c>
      <c r="D4485" s="8">
        <f t="shared" si="341"/>
        <v>44942</v>
      </c>
      <c r="E4485" s="9" t="s">
        <v>11</v>
      </c>
      <c r="F4485" s="10"/>
      <c r="G4485" s="9" t="s">
        <v>18</v>
      </c>
      <c r="H4485" s="7" t="s">
        <v>7782</v>
      </c>
      <c r="I4485" s="9" t="s">
        <v>353</v>
      </c>
      <c r="J4485" s="88"/>
    </row>
    <row r="4486">
      <c r="A4486" s="6" t="s">
        <v>9</v>
      </c>
      <c r="B4486" s="7" t="s">
        <v>7783</v>
      </c>
      <c r="C4486" s="91">
        <v>44938.59060328704</v>
      </c>
      <c r="D4486" s="8">
        <f t="shared" si="341"/>
        <v>44942</v>
      </c>
      <c r="E4486" s="9" t="s">
        <v>11</v>
      </c>
      <c r="F4486" s="10"/>
      <c r="G4486" s="9"/>
      <c r="H4486" s="7" t="s">
        <v>7077</v>
      </c>
      <c r="I4486" s="9" t="s">
        <v>353</v>
      </c>
      <c r="J4486" s="88"/>
    </row>
    <row r="4487">
      <c r="A4487" s="34" t="s">
        <v>204</v>
      </c>
      <c r="B4487" s="7" t="s">
        <v>7784</v>
      </c>
      <c r="C4487" s="91">
        <v>44923.628504988425</v>
      </c>
      <c r="D4487" s="8">
        <f t="shared" si="341"/>
        <v>44925</v>
      </c>
      <c r="E4487" s="9" t="s">
        <v>11</v>
      </c>
      <c r="F4487" s="10"/>
      <c r="G4487" s="9" t="s">
        <v>18</v>
      </c>
      <c r="H4487" s="7" t="s">
        <v>437</v>
      </c>
      <c r="I4487" s="9" t="s">
        <v>353</v>
      </c>
      <c r="J4487" s="88"/>
    </row>
    <row r="4488">
      <c r="A4488" s="6" t="s">
        <v>9</v>
      </c>
      <c r="B4488" s="7" t="s">
        <v>7785</v>
      </c>
      <c r="C4488" s="91">
        <v>44938.352769930556</v>
      </c>
      <c r="D4488" s="8">
        <f t="shared" si="341"/>
        <v>44942</v>
      </c>
      <c r="E4488" s="9" t="s">
        <v>88</v>
      </c>
      <c r="F4488" s="10"/>
      <c r="G4488" s="9" t="s">
        <v>15</v>
      </c>
      <c r="H4488" s="7" t="s">
        <v>7786</v>
      </c>
      <c r="I4488" s="9" t="s">
        <v>353</v>
      </c>
      <c r="J4488" s="88"/>
    </row>
    <row r="4489">
      <c r="A4489" s="6" t="s">
        <v>9</v>
      </c>
      <c r="B4489" s="7" t="s">
        <v>7787</v>
      </c>
      <c r="C4489" s="91">
        <v>44938.33319994213</v>
      </c>
      <c r="D4489" s="8">
        <f t="shared" si="341"/>
        <v>44942</v>
      </c>
      <c r="E4489" s="9" t="s">
        <v>11</v>
      </c>
      <c r="F4489" s="10"/>
      <c r="G4489" s="9" t="s">
        <v>15</v>
      </c>
      <c r="H4489" s="7" t="s">
        <v>7786</v>
      </c>
      <c r="I4489" s="9" t="s">
        <v>353</v>
      </c>
      <c r="J4489" s="88"/>
    </row>
    <row r="4490">
      <c r="A4490" s="6" t="s">
        <v>9</v>
      </c>
      <c r="B4490" s="7" t="s">
        <v>7788</v>
      </c>
      <c r="C4490" s="91">
        <v>44875.55964252315</v>
      </c>
      <c r="D4490" s="8">
        <f t="shared" si="341"/>
        <v>44879</v>
      </c>
      <c r="E4490" s="9" t="s">
        <v>206</v>
      </c>
      <c r="F4490" s="8"/>
      <c r="G4490" s="9" t="s">
        <v>15</v>
      </c>
      <c r="H4490" s="7" t="s">
        <v>7789</v>
      </c>
      <c r="I4490" s="9" t="s">
        <v>353</v>
      </c>
      <c r="J4490" s="88"/>
    </row>
    <row r="4491">
      <c r="A4491" s="6" t="s">
        <v>9</v>
      </c>
      <c r="B4491" s="7" t="s">
        <v>7790</v>
      </c>
      <c r="C4491" s="91">
        <v>44923.70362857639</v>
      </c>
      <c r="D4491" s="8">
        <f t="shared" si="341"/>
        <v>44925</v>
      </c>
      <c r="E4491" s="9" t="s">
        <v>88</v>
      </c>
      <c r="F4491" s="8"/>
      <c r="G4491" s="9" t="s">
        <v>18</v>
      </c>
      <c r="H4491" s="7" t="s">
        <v>7791</v>
      </c>
      <c r="I4491" s="9" t="s">
        <v>353</v>
      </c>
      <c r="J4491" s="88"/>
    </row>
    <row r="4492">
      <c r="A4492" s="34" t="s">
        <v>204</v>
      </c>
      <c r="B4492" s="7" t="s">
        <v>7792</v>
      </c>
      <c r="C4492" s="91">
        <v>44931.641474641205</v>
      </c>
      <c r="D4492" s="8">
        <f t="shared" si="341"/>
        <v>44935</v>
      </c>
      <c r="E4492" s="9" t="s">
        <v>11</v>
      </c>
      <c r="F4492" s="71"/>
      <c r="G4492" s="9" t="s">
        <v>18</v>
      </c>
      <c r="H4492" s="7" t="s">
        <v>7793</v>
      </c>
      <c r="I4492" s="9" t="s">
        <v>353</v>
      </c>
      <c r="J4492" s="88"/>
    </row>
    <row r="4493">
      <c r="A4493" s="34" t="s">
        <v>204</v>
      </c>
      <c r="B4493" s="7" t="s">
        <v>4860</v>
      </c>
      <c r="C4493" s="91">
        <v>44937.36458995371</v>
      </c>
      <c r="D4493" s="8">
        <f t="shared" si="341"/>
        <v>44939</v>
      </c>
      <c r="E4493" s="9" t="s">
        <v>11</v>
      </c>
      <c r="F4493" s="8"/>
      <c r="G4493" s="9" t="s">
        <v>18</v>
      </c>
      <c r="H4493" s="7" t="s">
        <v>437</v>
      </c>
      <c r="I4493" s="9" t="s">
        <v>353</v>
      </c>
      <c r="J4493" s="88"/>
    </row>
    <row r="4494">
      <c r="A4494" s="6" t="s">
        <v>9</v>
      </c>
      <c r="B4494" s="7" t="s">
        <v>7794</v>
      </c>
      <c r="C4494" s="91">
        <v>44896.56579887732</v>
      </c>
      <c r="D4494" s="8">
        <f t="shared" si="341"/>
        <v>44900</v>
      </c>
      <c r="E4494" s="9" t="s">
        <v>88</v>
      </c>
      <c r="F4494" s="71"/>
      <c r="G4494" s="9" t="s">
        <v>18</v>
      </c>
      <c r="H4494" s="7" t="s">
        <v>7795</v>
      </c>
      <c r="I4494" s="9" t="s">
        <v>353</v>
      </c>
      <c r="J4494" s="88"/>
    </row>
    <row r="4495">
      <c r="A4495" s="6" t="s">
        <v>9</v>
      </c>
      <c r="B4495" s="7" t="s">
        <v>7796</v>
      </c>
      <c r="C4495" s="91">
        <v>44865.40876525463</v>
      </c>
      <c r="D4495" s="8">
        <f t="shared" si="341"/>
        <v>44867</v>
      </c>
      <c r="E4495" s="9" t="s">
        <v>88</v>
      </c>
      <c r="F4495" s="8"/>
      <c r="G4495" s="9" t="s">
        <v>15</v>
      </c>
      <c r="H4495" s="7" t="s">
        <v>7797</v>
      </c>
      <c r="I4495" s="9" t="s">
        <v>353</v>
      </c>
      <c r="J4495" s="88"/>
    </row>
    <row r="4496">
      <c r="A4496" s="6" t="s">
        <v>9</v>
      </c>
      <c r="B4496" s="7" t="s">
        <v>7798</v>
      </c>
      <c r="C4496" s="91">
        <v>44904.4669966088</v>
      </c>
      <c r="D4496" s="8">
        <f t="shared" si="341"/>
        <v>44908</v>
      </c>
      <c r="E4496" s="9" t="s">
        <v>88</v>
      </c>
      <c r="F4496" s="9"/>
      <c r="G4496" s="9" t="s">
        <v>15</v>
      </c>
      <c r="H4496" s="7" t="s">
        <v>7799</v>
      </c>
      <c r="I4496" s="9" t="s">
        <v>353</v>
      </c>
      <c r="J4496" s="88"/>
    </row>
    <row r="4497">
      <c r="A4497" s="223" t="s">
        <v>98</v>
      </c>
      <c r="B4497" s="9" t="s">
        <v>7800</v>
      </c>
      <c r="C4497" s="91">
        <v>44909.62725304398</v>
      </c>
      <c r="D4497" s="8">
        <f t="shared" si="341"/>
        <v>44911</v>
      </c>
      <c r="E4497" s="9" t="s">
        <v>88</v>
      </c>
      <c r="F4497" s="9"/>
      <c r="G4497" s="224" t="s">
        <v>220</v>
      </c>
      <c r="H4497" s="9" t="s">
        <v>7801</v>
      </c>
      <c r="I4497" s="9" t="s">
        <v>353</v>
      </c>
      <c r="J4497" s="88"/>
    </row>
    <row r="4498">
      <c r="A4498" s="223" t="s">
        <v>98</v>
      </c>
      <c r="B4498" s="9" t="s">
        <v>7802</v>
      </c>
      <c r="C4498" s="91">
        <v>44915.65567594908</v>
      </c>
      <c r="D4498" s="8">
        <f t="shared" si="341"/>
        <v>44917</v>
      </c>
      <c r="E4498" s="9" t="s">
        <v>11</v>
      </c>
      <c r="F4498" s="9"/>
      <c r="G4498" s="9" t="s">
        <v>220</v>
      </c>
      <c r="H4498" s="26"/>
      <c r="I4498" s="9" t="s">
        <v>353</v>
      </c>
      <c r="J4498" s="88"/>
    </row>
    <row r="4499">
      <c r="A4499" s="223" t="s">
        <v>98</v>
      </c>
      <c r="B4499" s="225" t="s">
        <v>7803</v>
      </c>
      <c r="C4499" s="91" t="s">
        <v>11</v>
      </c>
      <c r="D4499" s="8" t="str">
        <f t="shared" si="341"/>
        <v>-</v>
      </c>
      <c r="E4499" s="9" t="s">
        <v>206</v>
      </c>
      <c r="F4499" s="9"/>
      <c r="G4499" s="9" t="s">
        <v>220</v>
      </c>
      <c r="H4499" s="225" t="s">
        <v>7804</v>
      </c>
      <c r="I4499" s="9" t="s">
        <v>353</v>
      </c>
      <c r="J4499" s="88"/>
    </row>
    <row r="4500">
      <c r="A4500" s="223" t="s">
        <v>98</v>
      </c>
      <c r="B4500" s="225" t="s">
        <v>7805</v>
      </c>
      <c r="C4500" s="91" t="s">
        <v>11</v>
      </c>
      <c r="D4500" s="8" t="str">
        <f t="shared" si="341"/>
        <v>-</v>
      </c>
      <c r="E4500" s="9" t="s">
        <v>206</v>
      </c>
      <c r="F4500" s="9"/>
      <c r="G4500" s="9" t="s">
        <v>220</v>
      </c>
      <c r="H4500" s="225" t="s">
        <v>7804</v>
      </c>
      <c r="I4500" s="9" t="s">
        <v>353</v>
      </c>
      <c r="J4500" s="88"/>
    </row>
    <row r="4501">
      <c r="A4501" s="223" t="s">
        <v>98</v>
      </c>
      <c r="B4501" s="225" t="s">
        <v>7806</v>
      </c>
      <c r="C4501" s="91" t="s">
        <v>11</v>
      </c>
      <c r="D4501" s="8" t="str">
        <f t="shared" si="341"/>
        <v>-</v>
      </c>
      <c r="E4501" s="9" t="s">
        <v>88</v>
      </c>
      <c r="F4501" s="9"/>
      <c r="G4501" s="9" t="s">
        <v>220</v>
      </c>
      <c r="H4501" s="225" t="s">
        <v>7807</v>
      </c>
      <c r="I4501" s="9" t="s">
        <v>353</v>
      </c>
      <c r="J4501" s="88"/>
    </row>
    <row r="4502">
      <c r="A4502" s="223" t="s">
        <v>98</v>
      </c>
      <c r="B4502" s="225" t="s">
        <v>7808</v>
      </c>
      <c r="C4502" s="91" t="s">
        <v>11</v>
      </c>
      <c r="D4502" s="8" t="str">
        <f t="shared" si="341"/>
        <v>-</v>
      </c>
      <c r="E4502" s="9" t="s">
        <v>206</v>
      </c>
      <c r="F4502" s="9"/>
      <c r="G4502" s="9" t="s">
        <v>220</v>
      </c>
      <c r="H4502" s="225" t="s">
        <v>7804</v>
      </c>
      <c r="I4502" s="9" t="s">
        <v>353</v>
      </c>
      <c r="J4502" s="88"/>
    </row>
    <row r="4503">
      <c r="A4503" s="223" t="s">
        <v>98</v>
      </c>
      <c r="B4503" s="9" t="s">
        <v>7809</v>
      </c>
      <c r="C4503" s="91">
        <v>44889.37420900463</v>
      </c>
      <c r="D4503" s="8">
        <f t="shared" si="341"/>
        <v>44893</v>
      </c>
      <c r="E4503" s="9" t="s">
        <v>88</v>
      </c>
      <c r="F4503" s="9"/>
      <c r="G4503" s="224" t="s">
        <v>18</v>
      </c>
      <c r="H4503" s="9" t="s">
        <v>7810</v>
      </c>
      <c r="I4503" s="9" t="s">
        <v>353</v>
      </c>
      <c r="J4503" s="88"/>
    </row>
    <row r="4504">
      <c r="A4504" s="223" t="s">
        <v>98</v>
      </c>
      <c r="B4504" s="9" t="s">
        <v>7811</v>
      </c>
      <c r="C4504" s="91">
        <v>44889.373845925926</v>
      </c>
      <c r="D4504" s="8">
        <f t="shared" si="341"/>
        <v>44893</v>
      </c>
      <c r="E4504" s="9" t="s">
        <v>88</v>
      </c>
      <c r="F4504" s="9"/>
      <c r="G4504" s="9" t="s">
        <v>15</v>
      </c>
      <c r="H4504" s="9" t="s">
        <v>7810</v>
      </c>
      <c r="I4504" s="9" t="s">
        <v>353</v>
      </c>
      <c r="J4504" s="88"/>
    </row>
    <row r="4505">
      <c r="A4505" s="223" t="s">
        <v>98</v>
      </c>
      <c r="B4505" s="9" t="s">
        <v>7812</v>
      </c>
      <c r="C4505" s="91">
        <v>44889.373632511575</v>
      </c>
      <c r="D4505" s="8">
        <f t="shared" si="341"/>
        <v>44893</v>
      </c>
      <c r="E4505" s="9" t="s">
        <v>206</v>
      </c>
      <c r="F4505" s="9"/>
      <c r="G4505" s="224" t="s">
        <v>18</v>
      </c>
      <c r="H4505" s="9" t="s">
        <v>7810</v>
      </c>
      <c r="I4505" s="9" t="s">
        <v>353</v>
      </c>
      <c r="J4505" s="88"/>
    </row>
    <row r="4506">
      <c r="A4506" s="223" t="s">
        <v>98</v>
      </c>
      <c r="B4506" s="9" t="s">
        <v>7813</v>
      </c>
      <c r="C4506" s="91">
        <v>44889.3735708912</v>
      </c>
      <c r="D4506" s="8">
        <f t="shared" si="341"/>
        <v>44893</v>
      </c>
      <c r="E4506" s="9" t="s">
        <v>206</v>
      </c>
      <c r="F4506" s="9"/>
      <c r="G4506" s="224" t="s">
        <v>18</v>
      </c>
      <c r="H4506" s="9" t="s">
        <v>7810</v>
      </c>
      <c r="I4506" s="9" t="s">
        <v>353</v>
      </c>
      <c r="J4506" s="88"/>
    </row>
    <row r="4507">
      <c r="A4507" s="34" t="s">
        <v>204</v>
      </c>
      <c r="B4507" s="7" t="s">
        <v>7814</v>
      </c>
      <c r="C4507" s="91">
        <v>44932.27435591436</v>
      </c>
      <c r="D4507" s="8">
        <f t="shared" si="341"/>
        <v>44936</v>
      </c>
      <c r="E4507" s="9" t="s">
        <v>11</v>
      </c>
      <c r="F4507" s="10"/>
      <c r="G4507" s="9" t="s">
        <v>18</v>
      </c>
      <c r="H4507" s="7" t="s">
        <v>5698</v>
      </c>
      <c r="I4507" s="9" t="s">
        <v>353</v>
      </c>
      <c r="J4507" s="88"/>
    </row>
    <row r="4508">
      <c r="A4508" s="6" t="s">
        <v>9</v>
      </c>
      <c r="B4508" s="7" t="s">
        <v>7815</v>
      </c>
      <c r="C4508" s="91">
        <v>44937.32552271991</v>
      </c>
      <c r="D4508" s="8">
        <f t="shared" si="341"/>
        <v>44939</v>
      </c>
      <c r="E4508" s="9" t="s">
        <v>11</v>
      </c>
      <c r="F4508" s="10"/>
      <c r="G4508" s="9"/>
      <c r="H4508" s="7" t="s">
        <v>7077</v>
      </c>
      <c r="I4508" s="9" t="s">
        <v>353</v>
      </c>
      <c r="J4508" s="88"/>
    </row>
    <row r="4509">
      <c r="A4509" s="6" t="s">
        <v>9</v>
      </c>
      <c r="B4509" s="7" t="s">
        <v>7816</v>
      </c>
      <c r="C4509" s="91">
        <v>44923.703292094906</v>
      </c>
      <c r="D4509" s="8">
        <f t="shared" si="341"/>
        <v>44925</v>
      </c>
      <c r="E4509" s="9" t="s">
        <v>88</v>
      </c>
      <c r="F4509" s="71"/>
      <c r="G4509" s="9" t="s">
        <v>18</v>
      </c>
      <c r="H4509" s="7" t="s">
        <v>7817</v>
      </c>
      <c r="I4509" s="9" t="s">
        <v>353</v>
      </c>
      <c r="J4509" s="88"/>
    </row>
    <row r="4510">
      <c r="A4510" s="6" t="s">
        <v>9</v>
      </c>
      <c r="B4510" s="7" t="s">
        <v>7818</v>
      </c>
      <c r="C4510" s="91">
        <v>44936.72382679398</v>
      </c>
      <c r="D4510" s="8">
        <f t="shared" si="341"/>
        <v>44938</v>
      </c>
      <c r="E4510" s="9" t="s">
        <v>11</v>
      </c>
      <c r="F4510" s="10"/>
      <c r="G4510" s="9"/>
      <c r="H4510" s="7" t="s">
        <v>7819</v>
      </c>
      <c r="I4510" s="9" t="s">
        <v>353</v>
      </c>
      <c r="J4510" s="88"/>
    </row>
    <row r="4511">
      <c r="A4511" s="34" t="s">
        <v>204</v>
      </c>
      <c r="B4511" s="7" t="s">
        <v>7820</v>
      </c>
      <c r="C4511" s="91">
        <v>44931.440714375</v>
      </c>
      <c r="D4511" s="8"/>
      <c r="E4511" s="9"/>
      <c r="F4511" s="9"/>
      <c r="G4511" s="9" t="s">
        <v>220</v>
      </c>
      <c r="H4511" s="7" t="s">
        <v>7821</v>
      </c>
      <c r="I4511" s="9" t="s">
        <v>353</v>
      </c>
      <c r="J4511" s="88"/>
    </row>
    <row r="4512">
      <c r="A4512" s="34" t="s">
        <v>204</v>
      </c>
      <c r="B4512" s="7" t="s">
        <v>7822</v>
      </c>
      <c r="C4512" s="91">
        <v>44930.60783043981</v>
      </c>
      <c r="D4512" s="8">
        <f t="shared" ref="D4512:D4521" si="342">IFERROR(_xlfn.WORKDAY.INTL(C4512, 2),"-")</f>
        <v>44932</v>
      </c>
      <c r="E4512" s="9" t="s">
        <v>11</v>
      </c>
      <c r="F4512" s="71"/>
      <c r="G4512" s="9" t="s">
        <v>18</v>
      </c>
      <c r="H4512" s="7" t="s">
        <v>7823</v>
      </c>
      <c r="I4512" s="9" t="s">
        <v>353</v>
      </c>
      <c r="J4512" s="88"/>
    </row>
    <row r="4513">
      <c r="A4513" s="34" t="s">
        <v>204</v>
      </c>
      <c r="B4513" s="7" t="s">
        <v>7824</v>
      </c>
      <c r="C4513" s="91">
        <v>44935.32332087963</v>
      </c>
      <c r="D4513" s="8">
        <f t="shared" si="342"/>
        <v>44937</v>
      </c>
      <c r="E4513" s="9" t="s">
        <v>11</v>
      </c>
      <c r="F4513" s="71"/>
      <c r="G4513" s="9" t="s">
        <v>15</v>
      </c>
      <c r="H4513" s="7" t="s">
        <v>5698</v>
      </c>
      <c r="I4513" s="9" t="s">
        <v>353</v>
      </c>
      <c r="J4513" s="88"/>
    </row>
    <row r="4514">
      <c r="A4514" s="6" t="s">
        <v>9</v>
      </c>
      <c r="B4514" s="7" t="s">
        <v>7825</v>
      </c>
      <c r="C4514" s="91">
        <v>44935.37105644676</v>
      </c>
      <c r="D4514" s="8">
        <f t="shared" si="342"/>
        <v>44937</v>
      </c>
      <c r="E4514" s="9" t="s">
        <v>11</v>
      </c>
      <c r="F4514" s="10"/>
      <c r="G4514" s="9" t="s">
        <v>18</v>
      </c>
      <c r="H4514" s="7" t="s">
        <v>7826</v>
      </c>
      <c r="I4514" s="9" t="s">
        <v>353</v>
      </c>
      <c r="J4514" s="88"/>
    </row>
    <row r="4515">
      <c r="A4515" s="6" t="s">
        <v>9</v>
      </c>
      <c r="B4515" s="7" t="s">
        <v>7827</v>
      </c>
      <c r="C4515" s="91">
        <v>44932.2797946875</v>
      </c>
      <c r="D4515" s="8">
        <f t="shared" si="342"/>
        <v>44936</v>
      </c>
      <c r="E4515" s="9" t="s">
        <v>11</v>
      </c>
      <c r="F4515" s="10"/>
      <c r="G4515" s="9" t="s">
        <v>18</v>
      </c>
      <c r="H4515" s="7" t="s">
        <v>7677</v>
      </c>
      <c r="I4515" s="9" t="s">
        <v>353</v>
      </c>
      <c r="J4515" s="88"/>
    </row>
    <row r="4516">
      <c r="A4516" s="6" t="s">
        <v>9</v>
      </c>
      <c r="B4516" s="7" t="s">
        <v>6651</v>
      </c>
      <c r="C4516" s="91">
        <v>44931.55306320602</v>
      </c>
      <c r="D4516" s="8">
        <f t="shared" si="342"/>
        <v>44935</v>
      </c>
      <c r="E4516" s="9" t="s">
        <v>11</v>
      </c>
      <c r="F4516" s="10"/>
      <c r="G4516" s="9" t="s">
        <v>18</v>
      </c>
      <c r="H4516" s="7" t="s">
        <v>7828</v>
      </c>
      <c r="I4516" s="9" t="s">
        <v>353</v>
      </c>
      <c r="J4516" s="88"/>
    </row>
    <row r="4517">
      <c r="A4517" s="6" t="s">
        <v>9</v>
      </c>
      <c r="B4517" s="7" t="s">
        <v>7829</v>
      </c>
      <c r="C4517" s="91">
        <v>44931.38629259259</v>
      </c>
      <c r="D4517" s="8">
        <f t="shared" si="342"/>
        <v>44935</v>
      </c>
      <c r="E4517" s="9" t="s">
        <v>11</v>
      </c>
      <c r="F4517" s="10"/>
      <c r="G4517" s="9" t="s">
        <v>15</v>
      </c>
      <c r="H4517" s="7" t="s">
        <v>7830</v>
      </c>
      <c r="I4517" s="9" t="s">
        <v>353</v>
      </c>
      <c r="J4517" s="88"/>
    </row>
    <row r="4518">
      <c r="A4518" s="34" t="s">
        <v>204</v>
      </c>
      <c r="B4518" s="7" t="s">
        <v>7831</v>
      </c>
      <c r="C4518" s="91">
        <v>44923.568693912035</v>
      </c>
      <c r="D4518" s="8">
        <f t="shared" si="342"/>
        <v>44925</v>
      </c>
      <c r="E4518" s="9" t="s">
        <v>11</v>
      </c>
      <c r="F4518" s="9"/>
      <c r="G4518" s="9" t="s">
        <v>220</v>
      </c>
      <c r="H4518" s="7" t="s">
        <v>7832</v>
      </c>
      <c r="I4518" s="9" t="s">
        <v>353</v>
      </c>
      <c r="J4518" s="88"/>
    </row>
    <row r="4519">
      <c r="A4519" s="6" t="s">
        <v>9</v>
      </c>
      <c r="B4519" s="7" t="s">
        <v>6023</v>
      </c>
      <c r="C4519" s="91">
        <v>44930.594009293985</v>
      </c>
      <c r="D4519" s="8">
        <f t="shared" si="342"/>
        <v>44932</v>
      </c>
      <c r="E4519" s="9" t="s">
        <v>11</v>
      </c>
      <c r="F4519" s="10"/>
      <c r="G4519" s="9" t="s">
        <v>18</v>
      </c>
      <c r="H4519" s="7" t="s">
        <v>7833</v>
      </c>
      <c r="I4519" s="9" t="s">
        <v>353</v>
      </c>
      <c r="J4519" s="88"/>
    </row>
    <row r="4520">
      <c r="A4520" s="34" t="s">
        <v>204</v>
      </c>
      <c r="B4520" s="7" t="s">
        <v>7491</v>
      </c>
      <c r="C4520" s="91">
        <v>44925.35943761574</v>
      </c>
      <c r="D4520" s="8">
        <f t="shared" si="342"/>
        <v>44929</v>
      </c>
      <c r="E4520" s="9" t="s">
        <v>11</v>
      </c>
      <c r="F4520" s="71"/>
      <c r="G4520" s="9" t="s">
        <v>18</v>
      </c>
      <c r="H4520" s="7" t="s">
        <v>7834</v>
      </c>
      <c r="I4520" s="9" t="s">
        <v>353</v>
      </c>
      <c r="J4520" s="88"/>
    </row>
    <row r="4521">
      <c r="A4521" s="34" t="s">
        <v>204</v>
      </c>
      <c r="B4521" s="7" t="s">
        <v>7835</v>
      </c>
      <c r="C4521" s="91">
        <v>44929.52056142361</v>
      </c>
      <c r="D4521" s="8">
        <f t="shared" si="342"/>
        <v>44931</v>
      </c>
      <c r="E4521" s="9" t="s">
        <v>11</v>
      </c>
      <c r="F4521" s="10"/>
      <c r="G4521" s="9" t="s">
        <v>18</v>
      </c>
      <c r="H4521" s="7" t="s">
        <v>7836</v>
      </c>
      <c r="I4521" s="9" t="s">
        <v>353</v>
      </c>
      <c r="J4521" s="88"/>
    </row>
    <row r="4522">
      <c r="A4522" s="223" t="s">
        <v>98</v>
      </c>
      <c r="B4522" s="9" t="s">
        <v>7837</v>
      </c>
      <c r="C4522" s="91">
        <v>44881.60180766204</v>
      </c>
      <c r="D4522" s="9" t="s">
        <v>11</v>
      </c>
      <c r="E4522" s="9" t="s">
        <v>88</v>
      </c>
      <c r="F4522" s="9"/>
      <c r="G4522" s="9" t="s">
        <v>15</v>
      </c>
      <c r="H4522" s="9" t="s">
        <v>7838</v>
      </c>
      <c r="I4522" s="9" t="s">
        <v>353</v>
      </c>
      <c r="J4522" s="88"/>
    </row>
    <row r="4523">
      <c r="A4523" s="34" t="s">
        <v>204</v>
      </c>
      <c r="B4523" s="7" t="s">
        <v>7839</v>
      </c>
      <c r="C4523" s="91">
        <v>44917.489806157406</v>
      </c>
      <c r="D4523" s="8">
        <f t="shared" ref="D4523:D4527" si="343">IFERROR(_xlfn.WORKDAY.INTL(C4523, 2),"-")</f>
        <v>44921</v>
      </c>
      <c r="E4523" s="9" t="s">
        <v>11</v>
      </c>
      <c r="F4523" s="9"/>
      <c r="G4523" s="9" t="s">
        <v>220</v>
      </c>
      <c r="H4523" s="194" t="s">
        <v>7840</v>
      </c>
      <c r="I4523" s="9" t="s">
        <v>353</v>
      </c>
      <c r="J4523" s="88"/>
    </row>
    <row r="4524">
      <c r="A4524" s="34" t="s">
        <v>204</v>
      </c>
      <c r="B4524" s="7" t="s">
        <v>7841</v>
      </c>
      <c r="C4524" s="91">
        <v>44923.61169710648</v>
      </c>
      <c r="D4524" s="8">
        <f t="shared" si="343"/>
        <v>44925</v>
      </c>
      <c r="E4524" s="9" t="s">
        <v>11</v>
      </c>
      <c r="F4524" s="9"/>
      <c r="G4524" s="9" t="s">
        <v>15</v>
      </c>
      <c r="H4524" s="7" t="s">
        <v>7842</v>
      </c>
      <c r="I4524" s="9" t="s">
        <v>353</v>
      </c>
      <c r="J4524" s="88"/>
    </row>
    <row r="4525">
      <c r="A4525" s="34" t="s">
        <v>204</v>
      </c>
      <c r="B4525" s="7" t="s">
        <v>7843</v>
      </c>
      <c r="C4525" s="91">
        <v>44903.72411616898</v>
      </c>
      <c r="D4525" s="8">
        <f t="shared" si="343"/>
        <v>44907</v>
      </c>
      <c r="E4525" s="9" t="s">
        <v>216</v>
      </c>
      <c r="F4525" s="9"/>
      <c r="G4525" s="9" t="s">
        <v>18</v>
      </c>
      <c r="H4525" s="7" t="s">
        <v>7844</v>
      </c>
      <c r="I4525" s="9" t="s">
        <v>353</v>
      </c>
      <c r="J4525" s="88"/>
    </row>
    <row r="4526">
      <c r="A4526" s="34" t="s">
        <v>204</v>
      </c>
      <c r="B4526" s="7" t="s">
        <v>7845</v>
      </c>
      <c r="C4526" s="91">
        <v>44917.682756863425</v>
      </c>
      <c r="D4526" s="8">
        <f t="shared" si="343"/>
        <v>44921</v>
      </c>
      <c r="E4526" s="9" t="s">
        <v>11</v>
      </c>
      <c r="F4526" s="9"/>
      <c r="G4526" s="9" t="s">
        <v>15</v>
      </c>
      <c r="H4526" s="7" t="s">
        <v>7846</v>
      </c>
      <c r="I4526" s="9" t="s">
        <v>353</v>
      </c>
      <c r="J4526" s="88"/>
    </row>
    <row r="4527">
      <c r="A4527" s="6" t="s">
        <v>9</v>
      </c>
      <c r="B4527" s="7" t="s">
        <v>7847</v>
      </c>
      <c r="C4527" s="91">
        <v>44928.33593480324</v>
      </c>
      <c r="D4527" s="8">
        <f t="shared" si="343"/>
        <v>44930</v>
      </c>
      <c r="E4527" s="9" t="s">
        <v>11</v>
      </c>
      <c r="F4527" s="10"/>
      <c r="G4527" s="9"/>
      <c r="H4527" s="7" t="s">
        <v>7848</v>
      </c>
      <c r="I4527" s="9" t="s">
        <v>353</v>
      </c>
      <c r="J4527" s="88"/>
    </row>
    <row r="4528">
      <c r="A4528" s="34" t="s">
        <v>204</v>
      </c>
      <c r="B4528" s="7" t="s">
        <v>7849</v>
      </c>
      <c r="C4528" s="91">
        <v>44896.31702293982</v>
      </c>
      <c r="D4528" s="8"/>
      <c r="E4528" s="9" t="s">
        <v>206</v>
      </c>
      <c r="F4528" s="9"/>
      <c r="G4528" s="9" t="s">
        <v>18</v>
      </c>
      <c r="H4528" s="7" t="s">
        <v>7850</v>
      </c>
      <c r="I4528" s="9" t="s">
        <v>353</v>
      </c>
      <c r="J4528" s="88"/>
    </row>
    <row r="4529">
      <c r="A4529" s="34" t="s">
        <v>204</v>
      </c>
      <c r="B4529" s="7" t="s">
        <v>7851</v>
      </c>
      <c r="C4529" s="91">
        <v>44907.72116342593</v>
      </c>
      <c r="D4529" s="8">
        <f t="shared" ref="D4529:D4530" si="344">IFERROR(_xlfn.WORKDAY.INTL(C4529, 2),"-")</f>
        <v>44909</v>
      </c>
      <c r="E4529" s="9" t="s">
        <v>11</v>
      </c>
      <c r="F4529" s="9"/>
      <c r="G4529" s="9" t="s">
        <v>220</v>
      </c>
      <c r="H4529" s="7" t="s">
        <v>7852</v>
      </c>
      <c r="I4529" s="9" t="s">
        <v>353</v>
      </c>
      <c r="J4529" s="88"/>
    </row>
    <row r="4530">
      <c r="A4530" s="223" t="s">
        <v>98</v>
      </c>
      <c r="B4530" s="9" t="s">
        <v>7853</v>
      </c>
      <c r="C4530" s="91">
        <v>44915.65587613426</v>
      </c>
      <c r="D4530" s="8">
        <f t="shared" si="344"/>
        <v>44917</v>
      </c>
      <c r="E4530" s="9" t="s">
        <v>11</v>
      </c>
      <c r="F4530" s="9"/>
      <c r="G4530" s="9" t="s">
        <v>220</v>
      </c>
      <c r="H4530" s="26"/>
      <c r="I4530" s="9" t="s">
        <v>353</v>
      </c>
      <c r="J4530" s="88"/>
    </row>
    <row r="4531">
      <c r="A4531" s="223" t="s">
        <v>98</v>
      </c>
      <c r="B4531" s="9" t="s">
        <v>7854</v>
      </c>
      <c r="C4531" s="91">
        <v>44889.3731677662</v>
      </c>
      <c r="D4531" s="9" t="s">
        <v>11</v>
      </c>
      <c r="E4531" s="9" t="s">
        <v>88</v>
      </c>
      <c r="F4531" s="9"/>
      <c r="G4531" s="224" t="s">
        <v>18</v>
      </c>
      <c r="H4531" s="9" t="s">
        <v>7677</v>
      </c>
      <c r="I4531" s="9" t="s">
        <v>353</v>
      </c>
      <c r="J4531" s="88"/>
    </row>
    <row r="4532">
      <c r="A4532" s="34" t="s">
        <v>204</v>
      </c>
      <c r="B4532" s="7" t="s">
        <v>7855</v>
      </c>
      <c r="C4532" s="91">
        <v>44901.581027465276</v>
      </c>
      <c r="D4532" s="8">
        <f t="shared" ref="D4532:D4534" si="345">IFERROR(_xlfn.WORKDAY.INTL(C4532, 2),"-")</f>
        <v>44903</v>
      </c>
      <c r="E4532" s="9" t="s">
        <v>206</v>
      </c>
      <c r="F4532" s="9"/>
      <c r="G4532" s="9" t="s">
        <v>15</v>
      </c>
      <c r="H4532" s="7" t="s">
        <v>7856</v>
      </c>
      <c r="I4532" s="9" t="s">
        <v>353</v>
      </c>
      <c r="J4532" s="88"/>
    </row>
    <row r="4533">
      <c r="A4533" s="223" t="s">
        <v>98</v>
      </c>
      <c r="B4533" s="9" t="s">
        <v>6568</v>
      </c>
      <c r="C4533" s="91">
        <v>44911.306145925926</v>
      </c>
      <c r="D4533" s="8">
        <f t="shared" si="345"/>
        <v>44915</v>
      </c>
      <c r="E4533" s="9" t="s">
        <v>11</v>
      </c>
      <c r="F4533" s="9"/>
      <c r="G4533" s="224" t="s">
        <v>18</v>
      </c>
      <c r="H4533" s="9" t="s">
        <v>7857</v>
      </c>
      <c r="I4533" s="9" t="s">
        <v>353</v>
      </c>
      <c r="J4533" s="88"/>
    </row>
    <row r="4534">
      <c r="A4534" s="6" t="s">
        <v>9</v>
      </c>
      <c r="B4534" s="7" t="s">
        <v>7858</v>
      </c>
      <c r="C4534" s="91">
        <v>44907.40393019676</v>
      </c>
      <c r="D4534" s="8">
        <f t="shared" si="345"/>
        <v>44909</v>
      </c>
      <c r="E4534" s="9" t="s">
        <v>11</v>
      </c>
      <c r="F4534" s="9"/>
      <c r="G4534" s="9" t="s">
        <v>18</v>
      </c>
      <c r="H4534" s="7" t="s">
        <v>7859</v>
      </c>
      <c r="I4534" s="9" t="s">
        <v>353</v>
      </c>
      <c r="J4534" s="88"/>
    </row>
    <row r="4535">
      <c r="A4535" s="223" t="s">
        <v>98</v>
      </c>
      <c r="B4535" s="9" t="s">
        <v>7860</v>
      </c>
      <c r="C4535" s="91">
        <v>44908.43812018519</v>
      </c>
      <c r="D4535" s="9" t="s">
        <v>11</v>
      </c>
      <c r="E4535" s="9" t="s">
        <v>216</v>
      </c>
      <c r="F4535" s="9"/>
      <c r="G4535" s="224" t="s">
        <v>18</v>
      </c>
      <c r="H4535" s="9" t="s">
        <v>7861</v>
      </c>
      <c r="I4535" s="9" t="s">
        <v>353</v>
      </c>
      <c r="J4535" s="88"/>
    </row>
    <row r="4536">
      <c r="A4536" s="223" t="s">
        <v>98</v>
      </c>
      <c r="B4536" s="9" t="s">
        <v>7862</v>
      </c>
      <c r="C4536" s="91">
        <v>44909.570925555556</v>
      </c>
      <c r="D4536" s="8">
        <f t="shared" ref="D4536:D4542" si="346">IFERROR(_xlfn.WORKDAY.INTL(C4536, 2),"-")</f>
        <v>44911</v>
      </c>
      <c r="E4536" s="9" t="s">
        <v>330</v>
      </c>
      <c r="F4536" s="9"/>
      <c r="G4536" s="224" t="s">
        <v>18</v>
      </c>
      <c r="H4536" s="9" t="s">
        <v>7861</v>
      </c>
      <c r="I4536" s="9" t="s">
        <v>353</v>
      </c>
      <c r="J4536" s="88"/>
    </row>
    <row r="4537">
      <c r="A4537" s="223" t="s">
        <v>98</v>
      </c>
      <c r="B4537" s="9" t="s">
        <v>7863</v>
      </c>
      <c r="C4537" s="91">
        <v>44909.57465365741</v>
      </c>
      <c r="D4537" s="8">
        <f t="shared" si="346"/>
        <v>44911</v>
      </c>
      <c r="E4537" s="9" t="s">
        <v>88</v>
      </c>
      <c r="F4537" s="9"/>
      <c r="G4537" s="224" t="s">
        <v>18</v>
      </c>
      <c r="H4537" s="9" t="s">
        <v>7864</v>
      </c>
      <c r="I4537" s="9" t="s">
        <v>353</v>
      </c>
      <c r="J4537" s="88"/>
    </row>
    <row r="4538">
      <c r="A4538" s="223" t="s">
        <v>98</v>
      </c>
      <c r="B4538" s="9" t="s">
        <v>7865</v>
      </c>
      <c r="C4538" s="91">
        <v>44909.57902748843</v>
      </c>
      <c r="D4538" s="8">
        <f t="shared" si="346"/>
        <v>44911</v>
      </c>
      <c r="E4538" s="9" t="s">
        <v>11</v>
      </c>
      <c r="F4538" s="9"/>
      <c r="G4538" s="224" t="s">
        <v>18</v>
      </c>
      <c r="H4538" s="9" t="s">
        <v>7866</v>
      </c>
      <c r="I4538" s="9" t="s">
        <v>353</v>
      </c>
      <c r="J4538" s="88"/>
    </row>
    <row r="4539">
      <c r="A4539" s="223" t="s">
        <v>98</v>
      </c>
      <c r="B4539" s="9" t="s">
        <v>7867</v>
      </c>
      <c r="C4539" s="91">
        <v>44910.34480788195</v>
      </c>
      <c r="D4539" s="8">
        <f t="shared" si="346"/>
        <v>44914</v>
      </c>
      <c r="E4539" s="9" t="s">
        <v>206</v>
      </c>
      <c r="F4539" s="9"/>
      <c r="G4539" s="224" t="s">
        <v>18</v>
      </c>
      <c r="H4539" s="9" t="s">
        <v>7868</v>
      </c>
      <c r="I4539" s="9" t="s">
        <v>353</v>
      </c>
      <c r="J4539" s="88"/>
    </row>
    <row r="4540">
      <c r="A4540" s="223" t="s">
        <v>98</v>
      </c>
      <c r="B4540" s="9" t="s">
        <v>7869</v>
      </c>
      <c r="C4540" s="91">
        <v>44911.364574189814</v>
      </c>
      <c r="D4540" s="8">
        <f t="shared" si="346"/>
        <v>44915</v>
      </c>
      <c r="E4540" s="9" t="s">
        <v>11</v>
      </c>
      <c r="F4540" s="9"/>
      <c r="G4540" s="224" t="s">
        <v>18</v>
      </c>
      <c r="H4540" s="9" t="s">
        <v>7870</v>
      </c>
      <c r="I4540" s="9" t="s">
        <v>353</v>
      </c>
      <c r="J4540" s="88"/>
    </row>
    <row r="4541">
      <c r="A4541" s="223" t="s">
        <v>98</v>
      </c>
      <c r="B4541" s="9" t="s">
        <v>7871</v>
      </c>
      <c r="C4541" s="91">
        <v>44915.65531819445</v>
      </c>
      <c r="D4541" s="8">
        <f t="shared" si="346"/>
        <v>44917</v>
      </c>
      <c r="E4541" s="9" t="s">
        <v>11</v>
      </c>
      <c r="F4541" s="9"/>
      <c r="G4541" s="9" t="s">
        <v>220</v>
      </c>
      <c r="H4541" s="26"/>
      <c r="I4541" s="9" t="s">
        <v>353</v>
      </c>
      <c r="J4541" s="88"/>
    </row>
    <row r="4542">
      <c r="A4542" s="223" t="s">
        <v>98</v>
      </c>
      <c r="B4542" s="9" t="s">
        <v>7809</v>
      </c>
      <c r="C4542" s="91">
        <v>44909.627170775464</v>
      </c>
      <c r="D4542" s="8">
        <f t="shared" si="346"/>
        <v>44911</v>
      </c>
      <c r="E4542" s="9" t="s">
        <v>11</v>
      </c>
      <c r="F4542" s="9"/>
      <c r="G4542" s="9" t="s">
        <v>220</v>
      </c>
      <c r="H4542" s="26"/>
      <c r="I4542" s="9" t="s">
        <v>353</v>
      </c>
      <c r="J4542" s="88"/>
    </row>
    <row r="4543">
      <c r="A4543" s="88"/>
      <c r="B4543" s="89"/>
      <c r="C4543" s="90"/>
      <c r="D4543" s="89"/>
      <c r="E4543" s="89"/>
      <c r="F4543" s="89"/>
      <c r="G4543" s="89"/>
      <c r="H4543" s="87"/>
      <c r="I4543" s="89"/>
      <c r="J4543" s="88"/>
    </row>
    <row r="4544">
      <c r="A4544" s="223" t="s">
        <v>98</v>
      </c>
      <c r="B4544" s="225" t="s">
        <v>7872</v>
      </c>
      <c r="C4544" s="91" t="s">
        <v>11</v>
      </c>
      <c r="D4544" s="8" t="str">
        <f t="shared" ref="D4544:D4546" si="347">IFERROR(_xlfn.WORKDAY.INTL(C4544, 2),"-")</f>
        <v>-</v>
      </c>
      <c r="E4544" s="9" t="s">
        <v>88</v>
      </c>
      <c r="F4544" s="9"/>
      <c r="G4544" s="9" t="s">
        <v>220</v>
      </c>
      <c r="H4544" s="225" t="s">
        <v>7804</v>
      </c>
      <c r="I4544" s="9" t="s">
        <v>13</v>
      </c>
      <c r="J4544" s="88"/>
    </row>
    <row r="4545">
      <c r="A4545" s="223" t="s">
        <v>98</v>
      </c>
      <c r="B4545" s="225" t="s">
        <v>7873</v>
      </c>
      <c r="C4545" s="91" t="s">
        <v>11</v>
      </c>
      <c r="D4545" s="8" t="str">
        <f t="shared" si="347"/>
        <v>-</v>
      </c>
      <c r="E4545" s="9" t="s">
        <v>206</v>
      </c>
      <c r="F4545" s="9"/>
      <c r="G4545" s="9" t="s">
        <v>220</v>
      </c>
      <c r="H4545" s="225" t="s">
        <v>7804</v>
      </c>
      <c r="I4545" s="9" t="s">
        <v>353</v>
      </c>
      <c r="J4545" s="88"/>
    </row>
    <row r="4546">
      <c r="A4546" s="223" t="s">
        <v>98</v>
      </c>
      <c r="B4546" s="9" t="s">
        <v>7874</v>
      </c>
      <c r="C4546" s="91">
        <v>44888.72104541666</v>
      </c>
      <c r="D4546" s="8">
        <f t="shared" si="347"/>
        <v>44890</v>
      </c>
      <c r="E4546" s="9" t="s">
        <v>206</v>
      </c>
      <c r="F4546" s="9"/>
      <c r="G4546" s="9" t="s">
        <v>18</v>
      </c>
      <c r="H4546" s="9" t="s">
        <v>7677</v>
      </c>
      <c r="I4546" s="9" t="s">
        <v>353</v>
      </c>
      <c r="J4546" s="88"/>
    </row>
    <row r="4547">
      <c r="A4547" s="223" t="s">
        <v>98</v>
      </c>
      <c r="B4547" s="9" t="s">
        <v>7875</v>
      </c>
      <c r="C4547" s="91">
        <v>44882.50819451389</v>
      </c>
      <c r="D4547" s="9" t="s">
        <v>11</v>
      </c>
      <c r="E4547" s="9" t="s">
        <v>206</v>
      </c>
      <c r="F4547" s="9"/>
      <c r="G4547" s="9" t="s">
        <v>18</v>
      </c>
      <c r="H4547" s="9" t="s">
        <v>7677</v>
      </c>
      <c r="I4547" s="9" t="s">
        <v>353</v>
      </c>
      <c r="J4547" s="88"/>
    </row>
    <row r="4548">
      <c r="A4548" s="6" t="s">
        <v>9</v>
      </c>
      <c r="B4548" s="7" t="s">
        <v>7876</v>
      </c>
      <c r="C4548" s="91">
        <v>44910.49539405093</v>
      </c>
      <c r="D4548" s="8">
        <f t="shared" ref="D4548:D4558" si="348">IFERROR(_xlfn.WORKDAY.INTL(C4548, 2),"-")</f>
        <v>44914</v>
      </c>
      <c r="E4548" s="9" t="s">
        <v>216</v>
      </c>
      <c r="F4548" s="192"/>
      <c r="G4548" s="9" t="s">
        <v>15</v>
      </c>
      <c r="H4548" s="7" t="s">
        <v>7877</v>
      </c>
      <c r="I4548" s="9" t="s">
        <v>353</v>
      </c>
      <c r="J4548" s="88"/>
    </row>
    <row r="4549">
      <c r="A4549" s="6" t="s">
        <v>9</v>
      </c>
      <c r="B4549" s="7" t="s">
        <v>7878</v>
      </c>
      <c r="C4549" s="91">
        <v>44907.4446121875</v>
      </c>
      <c r="D4549" s="8">
        <f t="shared" si="348"/>
        <v>44909</v>
      </c>
      <c r="E4549" s="9" t="s">
        <v>11</v>
      </c>
      <c r="F4549" s="10"/>
      <c r="G4549" s="9" t="s">
        <v>15</v>
      </c>
      <c r="H4549" s="7" t="s">
        <v>7879</v>
      </c>
      <c r="I4549" s="9" t="s">
        <v>353</v>
      </c>
      <c r="J4549" s="88"/>
    </row>
    <row r="4550">
      <c r="A4550" s="34" t="s">
        <v>204</v>
      </c>
      <c r="B4550" s="7" t="s">
        <v>7880</v>
      </c>
      <c r="C4550" s="91">
        <v>44923.42435194444</v>
      </c>
      <c r="D4550" s="8">
        <f t="shared" si="348"/>
        <v>44925</v>
      </c>
      <c r="E4550" s="9" t="s">
        <v>11</v>
      </c>
      <c r="F4550" s="8"/>
      <c r="G4550" s="9" t="s">
        <v>18</v>
      </c>
      <c r="H4550" s="11"/>
      <c r="I4550" s="9" t="s">
        <v>353</v>
      </c>
      <c r="J4550" s="88"/>
    </row>
    <row r="4551">
      <c r="A4551" s="34" t="s">
        <v>204</v>
      </c>
      <c r="B4551" s="7" t="s">
        <v>7881</v>
      </c>
      <c r="C4551" s="91">
        <v>44914.63081195602</v>
      </c>
      <c r="D4551" s="8">
        <f t="shared" si="348"/>
        <v>44916</v>
      </c>
      <c r="E4551" s="9" t="s">
        <v>11</v>
      </c>
      <c r="F4551" s="9"/>
      <c r="G4551" s="9" t="s">
        <v>15</v>
      </c>
      <c r="H4551" s="7" t="s">
        <v>7882</v>
      </c>
      <c r="I4551" s="9" t="s">
        <v>353</v>
      </c>
      <c r="J4551" s="88"/>
    </row>
    <row r="4552">
      <c r="A4552" s="34" t="s">
        <v>204</v>
      </c>
      <c r="B4552" s="7" t="s">
        <v>7883</v>
      </c>
      <c r="C4552" s="91">
        <v>44915.693778229164</v>
      </c>
      <c r="D4552" s="8">
        <f t="shared" si="348"/>
        <v>44917</v>
      </c>
      <c r="E4552" s="9" t="s">
        <v>11</v>
      </c>
      <c r="F4552" s="9"/>
      <c r="G4552" s="9" t="s">
        <v>15</v>
      </c>
      <c r="H4552" s="7" t="s">
        <v>7884</v>
      </c>
      <c r="I4552" s="9" t="s">
        <v>353</v>
      </c>
      <c r="J4552" s="88"/>
    </row>
    <row r="4553">
      <c r="A4553" s="34" t="s">
        <v>204</v>
      </c>
      <c r="B4553" s="7" t="s">
        <v>7414</v>
      </c>
      <c r="C4553" s="91">
        <v>44902.36005962963</v>
      </c>
      <c r="D4553" s="8">
        <f t="shared" si="348"/>
        <v>44904</v>
      </c>
      <c r="E4553" s="9" t="s">
        <v>216</v>
      </c>
      <c r="F4553" s="192"/>
      <c r="G4553" s="9" t="s">
        <v>18</v>
      </c>
      <c r="H4553" s="7" t="s">
        <v>7885</v>
      </c>
      <c r="I4553" s="9" t="s">
        <v>353</v>
      </c>
      <c r="J4553" s="88"/>
    </row>
    <row r="4554">
      <c r="A4554" s="6" t="s">
        <v>9</v>
      </c>
      <c r="B4554" s="7" t="s">
        <v>7886</v>
      </c>
      <c r="C4554" s="91">
        <v>44922.494999305556</v>
      </c>
      <c r="D4554" s="8">
        <f t="shared" si="348"/>
        <v>44924</v>
      </c>
      <c r="E4554" s="9" t="s">
        <v>11</v>
      </c>
      <c r="F4554" s="10"/>
      <c r="G4554" s="9"/>
      <c r="H4554" s="11"/>
      <c r="I4554" s="9" t="s">
        <v>353</v>
      </c>
      <c r="J4554" s="88"/>
    </row>
    <row r="4555">
      <c r="A4555" s="34" t="s">
        <v>204</v>
      </c>
      <c r="B4555" s="7" t="s">
        <v>7887</v>
      </c>
      <c r="C4555" s="91">
        <v>44914.61682844907</v>
      </c>
      <c r="D4555" s="8">
        <f t="shared" si="348"/>
        <v>44916</v>
      </c>
      <c r="E4555" s="9" t="s">
        <v>11</v>
      </c>
      <c r="F4555" s="8"/>
      <c r="G4555" s="9" t="s">
        <v>15</v>
      </c>
      <c r="H4555" s="7" t="s">
        <v>7888</v>
      </c>
      <c r="I4555" s="9" t="s">
        <v>353</v>
      </c>
      <c r="J4555" s="88"/>
    </row>
    <row r="4556">
      <c r="A4556" s="34" t="s">
        <v>204</v>
      </c>
      <c r="B4556" s="7" t="s">
        <v>7889</v>
      </c>
      <c r="C4556" s="91">
        <v>44914.61876627315</v>
      </c>
      <c r="D4556" s="8">
        <f t="shared" si="348"/>
        <v>44916</v>
      </c>
      <c r="E4556" s="9" t="s">
        <v>11</v>
      </c>
      <c r="F4556" s="10"/>
      <c r="G4556" s="9" t="s">
        <v>18</v>
      </c>
      <c r="H4556" s="7" t="s">
        <v>437</v>
      </c>
      <c r="I4556" s="9" t="s">
        <v>353</v>
      </c>
      <c r="J4556" s="88"/>
    </row>
    <row r="4557">
      <c r="A4557" s="34" t="s">
        <v>204</v>
      </c>
      <c r="B4557" s="7" t="s">
        <v>5597</v>
      </c>
      <c r="C4557" s="91">
        <v>44909.57346625</v>
      </c>
      <c r="D4557" s="8">
        <f t="shared" si="348"/>
        <v>44911</v>
      </c>
      <c r="E4557" s="9" t="s">
        <v>11</v>
      </c>
      <c r="F4557" s="8"/>
      <c r="G4557" s="9" t="s">
        <v>18</v>
      </c>
      <c r="H4557" s="7" t="s">
        <v>7890</v>
      </c>
      <c r="I4557" s="9" t="s">
        <v>353</v>
      </c>
      <c r="J4557" s="88"/>
    </row>
    <row r="4558">
      <c r="A4558" s="34" t="s">
        <v>204</v>
      </c>
      <c r="B4558" s="7" t="s">
        <v>7891</v>
      </c>
      <c r="C4558" s="91">
        <v>44908.57353385417</v>
      </c>
      <c r="D4558" s="8">
        <f t="shared" si="348"/>
        <v>44910</v>
      </c>
      <c r="E4558" s="9" t="s">
        <v>206</v>
      </c>
      <c r="F4558" s="8"/>
      <c r="G4558" s="9" t="s">
        <v>18</v>
      </c>
      <c r="H4558" s="7" t="s">
        <v>7892</v>
      </c>
      <c r="I4558" s="9" t="s">
        <v>353</v>
      </c>
      <c r="J4558" s="88"/>
    </row>
    <row r="4559">
      <c r="A4559" s="34" t="s">
        <v>204</v>
      </c>
      <c r="B4559" s="7" t="s">
        <v>7893</v>
      </c>
      <c r="C4559" s="91">
        <v>44893.37151228009</v>
      </c>
      <c r="D4559" s="9" t="s">
        <v>11</v>
      </c>
      <c r="E4559" s="9" t="s">
        <v>88</v>
      </c>
      <c r="F4559" s="9"/>
      <c r="G4559" s="9" t="s">
        <v>15</v>
      </c>
      <c r="H4559" s="7" t="s">
        <v>7894</v>
      </c>
      <c r="I4559" s="9" t="s">
        <v>353</v>
      </c>
      <c r="J4559" s="88"/>
    </row>
    <row r="4560">
      <c r="A4560" s="34" t="s">
        <v>204</v>
      </c>
      <c r="B4560" s="7" t="s">
        <v>5768</v>
      </c>
      <c r="C4560" s="91">
        <v>44903.61639142361</v>
      </c>
      <c r="D4560" s="8">
        <f t="shared" ref="D4560:D4563" si="349">IFERROR(_xlfn.WORKDAY.INTL(C4560, 2),"-")</f>
        <v>44907</v>
      </c>
      <c r="E4560" s="9" t="s">
        <v>11</v>
      </c>
      <c r="F4560" s="192"/>
      <c r="G4560" s="9" t="s">
        <v>18</v>
      </c>
      <c r="H4560" s="7" t="s">
        <v>7895</v>
      </c>
      <c r="I4560" s="9" t="s">
        <v>353</v>
      </c>
      <c r="J4560" s="88"/>
    </row>
    <row r="4561">
      <c r="A4561" s="6" t="s">
        <v>9</v>
      </c>
      <c r="B4561" s="7" t="s">
        <v>7896</v>
      </c>
      <c r="C4561" s="91">
        <v>44832.69917788194</v>
      </c>
      <c r="D4561" s="8">
        <f t="shared" si="349"/>
        <v>44834</v>
      </c>
      <c r="E4561" s="9" t="s">
        <v>88</v>
      </c>
      <c r="F4561" s="8"/>
      <c r="G4561" s="9" t="s">
        <v>15</v>
      </c>
      <c r="H4561" s="7" t="s">
        <v>7897</v>
      </c>
      <c r="I4561" s="9" t="s">
        <v>353</v>
      </c>
      <c r="J4561" s="88"/>
    </row>
    <row r="4562">
      <c r="A4562" s="6" t="s">
        <v>9</v>
      </c>
      <c r="B4562" s="7" t="s">
        <v>7898</v>
      </c>
      <c r="C4562" s="91">
        <v>44909.58139890047</v>
      </c>
      <c r="D4562" s="8">
        <f t="shared" si="349"/>
        <v>44911</v>
      </c>
      <c r="E4562" s="9" t="s">
        <v>11</v>
      </c>
      <c r="F4562" s="8"/>
      <c r="G4562" s="9" t="s">
        <v>18</v>
      </c>
      <c r="H4562" s="7" t="s">
        <v>7899</v>
      </c>
      <c r="I4562" s="9" t="s">
        <v>353</v>
      </c>
      <c r="J4562" s="88"/>
    </row>
    <row r="4563">
      <c r="A4563" s="6" t="s">
        <v>9</v>
      </c>
      <c r="B4563" s="7" t="s">
        <v>7900</v>
      </c>
      <c r="C4563" s="91">
        <v>44902.36223731481</v>
      </c>
      <c r="D4563" s="8">
        <f t="shared" si="349"/>
        <v>44904</v>
      </c>
      <c r="E4563" s="9" t="s">
        <v>11</v>
      </c>
      <c r="F4563" s="192"/>
      <c r="G4563" s="9" t="s">
        <v>18</v>
      </c>
      <c r="H4563" s="7" t="s">
        <v>7901</v>
      </c>
      <c r="I4563" s="9" t="s">
        <v>353</v>
      </c>
      <c r="J4563" s="88"/>
    </row>
    <row r="4564">
      <c r="A4564" s="34" t="s">
        <v>204</v>
      </c>
      <c r="B4564" s="7" t="s">
        <v>7902</v>
      </c>
      <c r="C4564" s="91">
        <v>44887.71699153935</v>
      </c>
      <c r="D4564" s="9" t="s">
        <v>11</v>
      </c>
      <c r="E4564" s="9" t="s">
        <v>216</v>
      </c>
      <c r="F4564" s="9"/>
      <c r="G4564" s="9" t="s">
        <v>15</v>
      </c>
      <c r="H4564" s="7" t="s">
        <v>7903</v>
      </c>
      <c r="I4564" s="9" t="s">
        <v>353</v>
      </c>
      <c r="J4564" s="88"/>
    </row>
    <row r="4565">
      <c r="A4565" s="34" t="s">
        <v>204</v>
      </c>
      <c r="B4565" s="7" t="s">
        <v>7904</v>
      </c>
      <c r="C4565" s="91">
        <v>44908.43617627315</v>
      </c>
      <c r="D4565" s="8">
        <f t="shared" ref="D4565:D4567" si="350">IFERROR(_xlfn.WORKDAY.INTL(C4565, 2),"-")</f>
        <v>44910</v>
      </c>
      <c r="E4565" s="9" t="s">
        <v>216</v>
      </c>
      <c r="F4565" s="192"/>
      <c r="G4565" s="9" t="s">
        <v>15</v>
      </c>
      <c r="H4565" s="7" t="s">
        <v>7905</v>
      </c>
      <c r="I4565" s="9" t="s">
        <v>353</v>
      </c>
      <c r="J4565" s="88"/>
    </row>
    <row r="4566">
      <c r="A4566" s="34" t="s">
        <v>204</v>
      </c>
      <c r="B4566" s="7" t="s">
        <v>7906</v>
      </c>
      <c r="C4566" s="91">
        <v>44902.3613787963</v>
      </c>
      <c r="D4566" s="8">
        <f t="shared" si="350"/>
        <v>44904</v>
      </c>
      <c r="E4566" s="9" t="s">
        <v>216</v>
      </c>
      <c r="F4566" s="192"/>
      <c r="G4566" s="9" t="s">
        <v>15</v>
      </c>
      <c r="H4566" s="7" t="s">
        <v>7907</v>
      </c>
      <c r="I4566" s="9" t="s">
        <v>353</v>
      </c>
      <c r="J4566" s="88"/>
    </row>
    <row r="4567">
      <c r="A4567" s="6" t="s">
        <v>9</v>
      </c>
      <c r="B4567" s="7" t="s">
        <v>7908</v>
      </c>
      <c r="C4567" s="91">
        <v>44865.408138750005</v>
      </c>
      <c r="D4567" s="8">
        <f t="shared" si="350"/>
        <v>44867</v>
      </c>
      <c r="E4567" s="9" t="s">
        <v>88</v>
      </c>
      <c r="F4567" s="8"/>
      <c r="G4567" s="9" t="s">
        <v>15</v>
      </c>
      <c r="H4567" s="7" t="s">
        <v>7909</v>
      </c>
      <c r="I4567" s="9" t="s">
        <v>353</v>
      </c>
      <c r="J4567" s="88"/>
    </row>
    <row r="4568">
      <c r="A4568" s="6" t="s">
        <v>9</v>
      </c>
      <c r="B4568" s="7" t="s">
        <v>7910</v>
      </c>
      <c r="C4568" s="91">
        <v>44883.52438126157</v>
      </c>
      <c r="D4568" s="9" t="s">
        <v>11</v>
      </c>
      <c r="E4568" s="9" t="s">
        <v>88</v>
      </c>
      <c r="F4568" s="192"/>
      <c r="G4568" s="9" t="s">
        <v>18</v>
      </c>
      <c r="H4568" s="7" t="s">
        <v>7911</v>
      </c>
      <c r="I4568" s="9" t="s">
        <v>353</v>
      </c>
      <c r="J4568" s="88"/>
    </row>
    <row r="4569">
      <c r="A4569" s="6" t="s">
        <v>9</v>
      </c>
      <c r="B4569" s="7" t="s">
        <v>7912</v>
      </c>
      <c r="C4569" s="91">
        <v>44910.43823759259</v>
      </c>
      <c r="D4569" s="8">
        <f t="shared" ref="D4569:D4573" si="351">IFERROR(_xlfn.WORKDAY.INTL(C4569, 2),"-")</f>
        <v>44914</v>
      </c>
      <c r="E4569" s="9" t="s">
        <v>11</v>
      </c>
      <c r="F4569" s="10"/>
      <c r="G4569" s="9"/>
      <c r="H4569" s="7" t="s">
        <v>7913</v>
      </c>
      <c r="I4569" s="9" t="s">
        <v>353</v>
      </c>
      <c r="J4569" s="88"/>
    </row>
    <row r="4570">
      <c r="A4570" s="34" t="s">
        <v>204</v>
      </c>
      <c r="B4570" s="7" t="s">
        <v>7914</v>
      </c>
      <c r="C4570" s="91">
        <v>44909.61639900463</v>
      </c>
      <c r="D4570" s="8">
        <f t="shared" si="351"/>
        <v>44911</v>
      </c>
      <c r="E4570" s="9" t="s">
        <v>206</v>
      </c>
      <c r="F4570" s="192"/>
      <c r="G4570" s="9" t="s">
        <v>18</v>
      </c>
      <c r="H4570" s="7" t="s">
        <v>7915</v>
      </c>
      <c r="I4570" s="9" t="s">
        <v>353</v>
      </c>
      <c r="J4570" s="88"/>
    </row>
    <row r="4571">
      <c r="A4571" s="6" t="s">
        <v>9</v>
      </c>
      <c r="B4571" s="7" t="s">
        <v>6290</v>
      </c>
      <c r="C4571" s="91">
        <v>44887.39194916667</v>
      </c>
      <c r="D4571" s="8">
        <f t="shared" si="351"/>
        <v>44889</v>
      </c>
      <c r="E4571" s="9" t="s">
        <v>88</v>
      </c>
      <c r="F4571" s="8"/>
      <c r="G4571" s="9" t="s">
        <v>15</v>
      </c>
      <c r="H4571" s="7" t="s">
        <v>7916</v>
      </c>
      <c r="I4571" s="9" t="s">
        <v>353</v>
      </c>
      <c r="J4571" s="88"/>
    </row>
    <row r="4572">
      <c r="A4572" s="6" t="s">
        <v>9</v>
      </c>
      <c r="B4572" s="7" t="s">
        <v>7917</v>
      </c>
      <c r="C4572" s="91">
        <v>44848.378594988426</v>
      </c>
      <c r="D4572" s="8">
        <f t="shared" si="351"/>
        <v>44852</v>
      </c>
      <c r="E4572" s="9" t="s">
        <v>88</v>
      </c>
      <c r="F4572" s="9"/>
      <c r="G4572" s="9" t="s">
        <v>15</v>
      </c>
      <c r="H4572" s="7" t="s">
        <v>7918</v>
      </c>
      <c r="I4572" s="9" t="s">
        <v>353</v>
      </c>
      <c r="J4572" s="88"/>
    </row>
    <row r="4573">
      <c r="A4573" s="34" t="s">
        <v>204</v>
      </c>
      <c r="B4573" s="7" t="s">
        <v>7919</v>
      </c>
      <c r="C4573" s="91">
        <v>44908.642284733796</v>
      </c>
      <c r="D4573" s="8">
        <f t="shared" si="351"/>
        <v>44910</v>
      </c>
      <c r="E4573" s="9" t="s">
        <v>11</v>
      </c>
      <c r="F4573" s="192"/>
      <c r="G4573" s="9" t="s">
        <v>18</v>
      </c>
      <c r="H4573" s="7" t="s">
        <v>7920</v>
      </c>
      <c r="I4573" s="9" t="s">
        <v>353</v>
      </c>
      <c r="J4573" s="88"/>
    </row>
    <row r="4574">
      <c r="A4574" s="34" t="s">
        <v>204</v>
      </c>
      <c r="B4574" s="7" t="s">
        <v>7302</v>
      </c>
      <c r="C4574" s="91">
        <v>44897.368517546296</v>
      </c>
      <c r="D4574" s="9" t="s">
        <v>11</v>
      </c>
      <c r="E4574" s="9" t="s">
        <v>206</v>
      </c>
      <c r="F4574" s="192"/>
      <c r="G4574" s="9" t="s">
        <v>15</v>
      </c>
      <c r="H4574" s="7" t="s">
        <v>7921</v>
      </c>
      <c r="I4574" s="9" t="s">
        <v>353</v>
      </c>
      <c r="J4574" s="88"/>
    </row>
    <row r="4575">
      <c r="A4575" s="6" t="s">
        <v>9</v>
      </c>
      <c r="B4575" s="7" t="s">
        <v>4674</v>
      </c>
      <c r="C4575" s="91">
        <v>44844.50207953704</v>
      </c>
      <c r="D4575" s="8">
        <f>IFERROR(_xlfn.WORKDAY.INTL(C4575, 2),"-")</f>
        <v>44846</v>
      </c>
      <c r="E4575" s="9" t="s">
        <v>88</v>
      </c>
      <c r="F4575" s="8"/>
      <c r="G4575" s="9" t="s">
        <v>18</v>
      </c>
      <c r="H4575" s="7" t="s">
        <v>7922</v>
      </c>
      <c r="I4575" s="9" t="s">
        <v>353</v>
      </c>
      <c r="J4575" s="88"/>
    </row>
    <row r="4576">
      <c r="A4576" s="34" t="s">
        <v>204</v>
      </c>
      <c r="B4576" s="7" t="s">
        <v>7923</v>
      </c>
      <c r="C4576" s="91">
        <v>44888.657119386575</v>
      </c>
      <c r="D4576" s="9" t="s">
        <v>11</v>
      </c>
      <c r="E4576" s="9" t="s">
        <v>216</v>
      </c>
      <c r="F4576" s="9"/>
      <c r="G4576" s="9" t="s">
        <v>18</v>
      </c>
      <c r="H4576" s="7" t="s">
        <v>7924</v>
      </c>
      <c r="I4576" s="9" t="s">
        <v>353</v>
      </c>
      <c r="J4576" s="88"/>
    </row>
    <row r="4577">
      <c r="A4577" s="6" t="s">
        <v>9</v>
      </c>
      <c r="B4577" s="7" t="s">
        <v>6290</v>
      </c>
      <c r="C4577" s="91">
        <v>44817.41488880787</v>
      </c>
      <c r="D4577" s="8">
        <f t="shared" ref="D4577:D4586" si="352">IFERROR(_xlfn.WORKDAY.INTL(C4577, 2),"-")</f>
        <v>44819</v>
      </c>
      <c r="E4577" s="9" t="s">
        <v>88</v>
      </c>
      <c r="F4577" s="8"/>
      <c r="G4577" s="9" t="s">
        <v>15</v>
      </c>
      <c r="H4577" s="7" t="s">
        <v>7925</v>
      </c>
      <c r="I4577" s="9" t="s">
        <v>353</v>
      </c>
      <c r="J4577" s="88"/>
    </row>
    <row r="4578">
      <c r="A4578" s="6" t="s">
        <v>9</v>
      </c>
      <c r="B4578" s="7" t="s">
        <v>2123</v>
      </c>
      <c r="C4578" s="91">
        <v>44890.532037997684</v>
      </c>
      <c r="D4578" s="8">
        <f t="shared" si="352"/>
        <v>44894</v>
      </c>
      <c r="E4578" s="9" t="s">
        <v>11</v>
      </c>
      <c r="F4578" s="192"/>
      <c r="G4578" s="9" t="s">
        <v>18</v>
      </c>
      <c r="H4578" s="7" t="s">
        <v>7926</v>
      </c>
      <c r="I4578" s="9" t="s">
        <v>353</v>
      </c>
      <c r="J4578" s="88"/>
    </row>
    <row r="4579">
      <c r="A4579" s="6" t="s">
        <v>9</v>
      </c>
      <c r="B4579" s="7" t="s">
        <v>7167</v>
      </c>
      <c r="C4579" s="91">
        <v>44902.36912666667</v>
      </c>
      <c r="D4579" s="8">
        <f t="shared" si="352"/>
        <v>44904</v>
      </c>
      <c r="E4579" s="9" t="s">
        <v>11</v>
      </c>
      <c r="F4579" s="9"/>
      <c r="G4579" s="9" t="s">
        <v>18</v>
      </c>
      <c r="H4579" s="7" t="s">
        <v>7927</v>
      </c>
      <c r="I4579" s="9" t="s">
        <v>353</v>
      </c>
      <c r="J4579" s="88"/>
    </row>
    <row r="4580">
      <c r="A4580" s="6" t="s">
        <v>9</v>
      </c>
      <c r="B4580" s="7" t="s">
        <v>7928</v>
      </c>
      <c r="C4580" s="91">
        <v>44903.56988054398</v>
      </c>
      <c r="D4580" s="8">
        <f t="shared" si="352"/>
        <v>44907</v>
      </c>
      <c r="E4580" s="9" t="s">
        <v>11</v>
      </c>
      <c r="F4580" s="10"/>
      <c r="G4580" s="9" t="s">
        <v>18</v>
      </c>
      <c r="H4580" s="7" t="s">
        <v>7927</v>
      </c>
      <c r="I4580" s="9" t="s">
        <v>353</v>
      </c>
      <c r="J4580" s="88"/>
    </row>
    <row r="4581">
      <c r="A4581" s="6" t="s">
        <v>9</v>
      </c>
      <c r="B4581" s="7" t="s">
        <v>7929</v>
      </c>
      <c r="C4581" s="91">
        <v>44890.53176385417</v>
      </c>
      <c r="D4581" s="8">
        <f t="shared" si="352"/>
        <v>44894</v>
      </c>
      <c r="E4581" s="9" t="s">
        <v>11</v>
      </c>
      <c r="F4581" s="8"/>
      <c r="G4581" s="9" t="s">
        <v>18</v>
      </c>
      <c r="H4581" s="7" t="s">
        <v>7930</v>
      </c>
      <c r="I4581" s="9" t="s">
        <v>353</v>
      </c>
      <c r="J4581" s="88"/>
    </row>
    <row r="4582">
      <c r="A4582" s="6" t="s">
        <v>9</v>
      </c>
      <c r="B4582" s="7" t="s">
        <v>7931</v>
      </c>
      <c r="C4582" s="91">
        <v>44903.707725775464</v>
      </c>
      <c r="D4582" s="8">
        <f t="shared" si="352"/>
        <v>44907</v>
      </c>
      <c r="E4582" s="9" t="s">
        <v>88</v>
      </c>
      <c r="F4582" s="9"/>
      <c r="G4582" s="9" t="s">
        <v>18</v>
      </c>
      <c r="H4582" s="7" t="s">
        <v>7932</v>
      </c>
      <c r="I4582" s="9" t="s">
        <v>353</v>
      </c>
      <c r="J4582" s="88"/>
    </row>
    <row r="4583">
      <c r="A4583" s="6" t="s">
        <v>9</v>
      </c>
      <c r="B4583" s="7" t="s">
        <v>7933</v>
      </c>
      <c r="C4583" s="91">
        <v>44903.21397370371</v>
      </c>
      <c r="D4583" s="8">
        <f t="shared" si="352"/>
        <v>44907</v>
      </c>
      <c r="E4583" s="9" t="s">
        <v>88</v>
      </c>
      <c r="F4583" s="8"/>
      <c r="G4583" s="9" t="s">
        <v>18</v>
      </c>
      <c r="H4583" s="7" t="s">
        <v>7934</v>
      </c>
      <c r="I4583" s="9" t="s">
        <v>353</v>
      </c>
      <c r="J4583" s="88"/>
    </row>
    <row r="4584">
      <c r="A4584" s="6" t="s">
        <v>9</v>
      </c>
      <c r="B4584" s="7" t="s">
        <v>7935</v>
      </c>
      <c r="C4584" s="91">
        <v>44890.53442581018</v>
      </c>
      <c r="D4584" s="8">
        <f t="shared" si="352"/>
        <v>44894</v>
      </c>
      <c r="E4584" s="9" t="s">
        <v>88</v>
      </c>
      <c r="F4584" s="9"/>
      <c r="G4584" s="9" t="s">
        <v>18</v>
      </c>
      <c r="H4584" s="7" t="s">
        <v>7936</v>
      </c>
      <c r="I4584" s="9" t="s">
        <v>353</v>
      </c>
      <c r="J4584" s="88"/>
    </row>
    <row r="4585">
      <c r="A4585" s="34" t="s">
        <v>204</v>
      </c>
      <c r="B4585" s="7" t="s">
        <v>7887</v>
      </c>
      <c r="C4585" s="91">
        <v>44902.379797291665</v>
      </c>
      <c r="D4585" s="8">
        <f t="shared" si="352"/>
        <v>44904</v>
      </c>
      <c r="E4585" s="9" t="s">
        <v>11</v>
      </c>
      <c r="F4585" s="8"/>
      <c r="G4585" s="9"/>
      <c r="H4585" s="7" t="s">
        <v>7937</v>
      </c>
      <c r="I4585" s="9" t="s">
        <v>353</v>
      </c>
      <c r="J4585" s="88"/>
    </row>
    <row r="4586">
      <c r="A4586" s="6" t="s">
        <v>9</v>
      </c>
      <c r="B4586" s="7" t="s">
        <v>7938</v>
      </c>
      <c r="C4586" s="91">
        <v>44902.36192289351</v>
      </c>
      <c r="D4586" s="8">
        <f t="shared" si="352"/>
        <v>44904</v>
      </c>
      <c r="E4586" s="9" t="s">
        <v>11</v>
      </c>
      <c r="F4586" s="10"/>
      <c r="G4586" s="9" t="s">
        <v>15</v>
      </c>
      <c r="H4586" s="7" t="s">
        <v>7939</v>
      </c>
      <c r="I4586" s="9" t="s">
        <v>353</v>
      </c>
      <c r="J4586" s="88"/>
    </row>
    <row r="4587">
      <c r="A4587" s="34" t="s">
        <v>204</v>
      </c>
      <c r="B4587" s="7" t="s">
        <v>6290</v>
      </c>
      <c r="C4587" s="91">
        <v>44895.320702013894</v>
      </c>
      <c r="D4587" s="8"/>
      <c r="E4587" s="9" t="s">
        <v>88</v>
      </c>
      <c r="F4587" s="9"/>
      <c r="G4587" s="9" t="s">
        <v>18</v>
      </c>
      <c r="H4587" s="7" t="s">
        <v>7940</v>
      </c>
      <c r="I4587" s="9" t="s">
        <v>353</v>
      </c>
      <c r="J4587" s="88"/>
    </row>
    <row r="4588">
      <c r="A4588" s="6" t="s">
        <v>9</v>
      </c>
      <c r="B4588" s="7" t="s">
        <v>7941</v>
      </c>
      <c r="C4588" s="91">
        <v>44893.449520497685</v>
      </c>
      <c r="D4588" s="8">
        <f>IFERROR(_xlfn.WORKDAY.INTL(C4588, 2),"-")</f>
        <v>44895</v>
      </c>
      <c r="E4588" s="9" t="s">
        <v>11</v>
      </c>
      <c r="F4588" s="71"/>
      <c r="G4588" s="9" t="s">
        <v>18</v>
      </c>
      <c r="H4588" s="7" t="s">
        <v>7942</v>
      </c>
      <c r="I4588" s="9" t="s">
        <v>353</v>
      </c>
      <c r="J4588" s="88"/>
    </row>
    <row r="4589">
      <c r="A4589" s="34" t="s">
        <v>204</v>
      </c>
      <c r="B4589" s="7" t="s">
        <v>7943</v>
      </c>
      <c r="C4589" s="91">
        <v>44888.65029421296</v>
      </c>
      <c r="D4589" s="9" t="s">
        <v>11</v>
      </c>
      <c r="E4589" s="9" t="s">
        <v>330</v>
      </c>
      <c r="F4589" s="9"/>
      <c r="G4589" s="9" t="s">
        <v>18</v>
      </c>
      <c r="H4589" s="7" t="s">
        <v>437</v>
      </c>
      <c r="I4589" s="9" t="s">
        <v>353</v>
      </c>
      <c r="J4589" s="88"/>
    </row>
    <row r="4590">
      <c r="A4590" s="34" t="s">
        <v>204</v>
      </c>
      <c r="B4590" s="7" t="s">
        <v>7944</v>
      </c>
      <c r="C4590" s="91">
        <v>44894.40300173611</v>
      </c>
      <c r="D4590" s="8">
        <f t="shared" ref="D4590:D4595" si="353">IFERROR(_xlfn.WORKDAY.INTL(C4590, 2),"-")</f>
        <v>44896</v>
      </c>
      <c r="E4590" s="9" t="s">
        <v>206</v>
      </c>
      <c r="F4590" s="9"/>
      <c r="G4590" s="9" t="s">
        <v>15</v>
      </c>
      <c r="H4590" s="7" t="s">
        <v>437</v>
      </c>
      <c r="I4590" s="9" t="s">
        <v>353</v>
      </c>
      <c r="J4590" s="88"/>
    </row>
    <row r="4591">
      <c r="A4591" s="6" t="s">
        <v>9</v>
      </c>
      <c r="B4591" s="7" t="s">
        <v>7945</v>
      </c>
      <c r="C4591" s="91">
        <v>44890.53583986111</v>
      </c>
      <c r="D4591" s="8">
        <f t="shared" si="353"/>
        <v>44894</v>
      </c>
      <c r="E4591" s="9" t="s">
        <v>11</v>
      </c>
      <c r="F4591" s="71"/>
      <c r="G4591" s="9" t="s">
        <v>18</v>
      </c>
      <c r="H4591" s="7" t="s">
        <v>7946</v>
      </c>
      <c r="I4591" s="9" t="s">
        <v>353</v>
      </c>
      <c r="J4591" s="88"/>
    </row>
    <row r="4592">
      <c r="A4592" s="6" t="s">
        <v>9</v>
      </c>
      <c r="B4592" s="7" t="s">
        <v>7947</v>
      </c>
      <c r="C4592" s="91">
        <v>44882.33598074074</v>
      </c>
      <c r="D4592" s="8">
        <f t="shared" si="353"/>
        <v>44886</v>
      </c>
      <c r="E4592" s="9" t="s">
        <v>206</v>
      </c>
      <c r="F4592" s="8"/>
      <c r="G4592" s="9" t="s">
        <v>18</v>
      </c>
      <c r="H4592" s="7" t="s">
        <v>7948</v>
      </c>
      <c r="I4592" s="9" t="s">
        <v>353</v>
      </c>
      <c r="J4592" s="88"/>
    </row>
    <row r="4593">
      <c r="A4593" s="6" t="s">
        <v>9</v>
      </c>
      <c r="B4593" s="7" t="s">
        <v>7949</v>
      </c>
      <c r="C4593" s="91">
        <v>44893.57235209491</v>
      </c>
      <c r="D4593" s="8">
        <f t="shared" si="353"/>
        <v>44895</v>
      </c>
      <c r="E4593" s="9" t="s">
        <v>11</v>
      </c>
      <c r="F4593" s="10"/>
      <c r="G4593" s="9" t="s">
        <v>15</v>
      </c>
      <c r="H4593" s="7" t="s">
        <v>7950</v>
      </c>
      <c r="I4593" s="9" t="s">
        <v>353</v>
      </c>
      <c r="J4593" s="88"/>
    </row>
    <row r="4594">
      <c r="A4594" s="6" t="s">
        <v>9</v>
      </c>
      <c r="B4594" s="7" t="s">
        <v>7951</v>
      </c>
      <c r="C4594" s="91">
        <v>44893.459898518515</v>
      </c>
      <c r="D4594" s="8">
        <f t="shared" si="353"/>
        <v>44895</v>
      </c>
      <c r="E4594" s="9" t="s">
        <v>88</v>
      </c>
      <c r="F4594" s="9"/>
      <c r="G4594" s="9" t="s">
        <v>15</v>
      </c>
      <c r="H4594" s="7" t="s">
        <v>7952</v>
      </c>
      <c r="I4594" s="9" t="s">
        <v>353</v>
      </c>
      <c r="J4594" s="88"/>
    </row>
    <row r="4595">
      <c r="A4595" s="6" t="s">
        <v>9</v>
      </c>
      <c r="B4595" s="7" t="s">
        <v>6373</v>
      </c>
      <c r="C4595" s="91">
        <v>44900.68614197917</v>
      </c>
      <c r="D4595" s="8">
        <f t="shared" si="353"/>
        <v>44902</v>
      </c>
      <c r="E4595" s="9" t="s">
        <v>11</v>
      </c>
      <c r="F4595" s="10"/>
      <c r="G4595" s="9"/>
      <c r="H4595" s="11"/>
      <c r="I4595" s="9" t="s">
        <v>353</v>
      </c>
      <c r="J4595" s="88"/>
    </row>
    <row r="4596">
      <c r="A4596" s="34" t="s">
        <v>204</v>
      </c>
      <c r="B4596" s="7" t="s">
        <v>1597</v>
      </c>
      <c r="C4596" s="91">
        <v>44890.41898739584</v>
      </c>
      <c r="D4596" s="9" t="s">
        <v>11</v>
      </c>
      <c r="E4596" s="9" t="s">
        <v>88</v>
      </c>
      <c r="F4596" s="9"/>
      <c r="G4596" s="9" t="s">
        <v>18</v>
      </c>
      <c r="H4596" s="226" t="s">
        <v>437</v>
      </c>
      <c r="I4596" s="9" t="s">
        <v>353</v>
      </c>
      <c r="J4596" s="88"/>
    </row>
    <row r="4597">
      <c r="A4597" s="6" t="s">
        <v>9</v>
      </c>
      <c r="B4597" s="7" t="s">
        <v>7953</v>
      </c>
      <c r="C4597" s="91">
        <v>44868.35655864583</v>
      </c>
      <c r="D4597" s="8">
        <f t="shared" ref="D4597:D4599" si="354">IFERROR(_xlfn.WORKDAY.INTL(C4597, 2),"-")</f>
        <v>44872</v>
      </c>
      <c r="E4597" s="9" t="s">
        <v>88</v>
      </c>
      <c r="F4597" s="9"/>
      <c r="G4597" s="9" t="s">
        <v>15</v>
      </c>
      <c r="H4597" s="7" t="s">
        <v>7954</v>
      </c>
      <c r="I4597" s="9" t="s">
        <v>353</v>
      </c>
      <c r="J4597" s="88"/>
    </row>
    <row r="4598">
      <c r="A4598" s="6" t="s">
        <v>9</v>
      </c>
      <c r="B4598" s="7" t="s">
        <v>7955</v>
      </c>
      <c r="C4598" s="91">
        <v>44896.370999756946</v>
      </c>
      <c r="D4598" s="8">
        <f t="shared" si="354"/>
        <v>44900</v>
      </c>
      <c r="E4598" s="9" t="s">
        <v>11</v>
      </c>
      <c r="F4598" s="10"/>
      <c r="G4598" s="9"/>
      <c r="H4598" s="11"/>
      <c r="I4598" s="9" t="s">
        <v>353</v>
      </c>
      <c r="J4598" s="88"/>
    </row>
    <row r="4599">
      <c r="A4599" s="6" t="s">
        <v>9</v>
      </c>
      <c r="B4599" s="7" t="s">
        <v>7956</v>
      </c>
      <c r="C4599" s="91">
        <v>44896.37088405092</v>
      </c>
      <c r="D4599" s="8">
        <f t="shared" si="354"/>
        <v>44900</v>
      </c>
      <c r="E4599" s="9" t="s">
        <v>11</v>
      </c>
      <c r="F4599" s="10"/>
      <c r="G4599" s="9"/>
      <c r="H4599" s="11"/>
      <c r="I4599" s="9" t="s">
        <v>353</v>
      </c>
      <c r="J4599" s="88"/>
    </row>
    <row r="4600">
      <c r="A4600" s="34" t="s">
        <v>204</v>
      </c>
      <c r="B4600" s="7" t="s">
        <v>7957</v>
      </c>
      <c r="C4600" s="91">
        <v>44882.49812585648</v>
      </c>
      <c r="D4600" s="9" t="s">
        <v>11</v>
      </c>
      <c r="E4600" s="9" t="s">
        <v>206</v>
      </c>
      <c r="F4600" s="9"/>
      <c r="G4600" s="9" t="s">
        <v>18</v>
      </c>
      <c r="H4600" s="7" t="s">
        <v>7958</v>
      </c>
      <c r="I4600" s="9" t="s">
        <v>353</v>
      </c>
      <c r="J4600" s="88"/>
    </row>
    <row r="4601">
      <c r="A4601" s="34" t="s">
        <v>204</v>
      </c>
      <c r="B4601" s="7" t="s">
        <v>7959</v>
      </c>
      <c r="C4601" s="91">
        <v>44888.65373016204</v>
      </c>
      <c r="D4601" s="9" t="s">
        <v>11</v>
      </c>
      <c r="E4601" s="9" t="s">
        <v>206</v>
      </c>
      <c r="F4601" s="9"/>
      <c r="G4601" s="9" t="s">
        <v>18</v>
      </c>
      <c r="H4601" s="7" t="s">
        <v>437</v>
      </c>
      <c r="I4601" s="9" t="s">
        <v>353</v>
      </c>
      <c r="J4601" s="88"/>
    </row>
    <row r="4602">
      <c r="A4602" s="6" t="s">
        <v>9</v>
      </c>
      <c r="B4602" s="7" t="s">
        <v>6290</v>
      </c>
      <c r="C4602" s="91">
        <v>44740.38535982639</v>
      </c>
      <c r="D4602" s="8">
        <f t="shared" ref="D4602:D4609" si="355">IFERROR(_xlfn.WORKDAY.INTL(C4602, 2),"-")</f>
        <v>44742</v>
      </c>
      <c r="E4602" s="9" t="s">
        <v>88</v>
      </c>
      <c r="F4602" s="8"/>
      <c r="G4602" s="9" t="s">
        <v>4263</v>
      </c>
      <c r="H4602" s="7" t="s">
        <v>7960</v>
      </c>
      <c r="I4602" s="9" t="s">
        <v>353</v>
      </c>
      <c r="J4602" s="88"/>
    </row>
    <row r="4603">
      <c r="A4603" s="6" t="s">
        <v>9</v>
      </c>
      <c r="B4603" s="7" t="s">
        <v>6290</v>
      </c>
      <c r="C4603" s="91">
        <v>44893.57289481482</v>
      </c>
      <c r="D4603" s="8">
        <f t="shared" si="355"/>
        <v>44895</v>
      </c>
      <c r="E4603" s="9" t="s">
        <v>11</v>
      </c>
      <c r="F4603" s="10"/>
      <c r="G4603" s="9" t="s">
        <v>4263</v>
      </c>
      <c r="H4603" s="7" t="s">
        <v>7961</v>
      </c>
      <c r="I4603" s="9" t="s">
        <v>353</v>
      </c>
      <c r="J4603" s="88"/>
    </row>
    <row r="4604">
      <c r="A4604" s="6" t="s">
        <v>9</v>
      </c>
      <c r="B4604" s="7" t="s">
        <v>7962</v>
      </c>
      <c r="C4604" s="91">
        <v>44890.53606239583</v>
      </c>
      <c r="D4604" s="8">
        <f t="shared" si="355"/>
        <v>44894</v>
      </c>
      <c r="E4604" s="9" t="s">
        <v>11</v>
      </c>
      <c r="F4604" s="8"/>
      <c r="G4604" s="9" t="s">
        <v>18</v>
      </c>
      <c r="H4604" s="7" t="s">
        <v>7963</v>
      </c>
      <c r="I4604" s="9" t="s">
        <v>353</v>
      </c>
      <c r="J4604" s="88"/>
    </row>
    <row r="4605">
      <c r="A4605" s="34" t="s">
        <v>204</v>
      </c>
      <c r="B4605" s="7" t="s">
        <v>7964</v>
      </c>
      <c r="C4605" s="91">
        <v>44890.53477131945</v>
      </c>
      <c r="D4605" s="8">
        <f t="shared" si="355"/>
        <v>44894</v>
      </c>
      <c r="E4605" s="9" t="s">
        <v>206</v>
      </c>
      <c r="F4605" s="9"/>
      <c r="G4605" s="9" t="s">
        <v>18</v>
      </c>
      <c r="H4605" s="7" t="s">
        <v>7965</v>
      </c>
      <c r="I4605" s="9" t="s">
        <v>353</v>
      </c>
      <c r="J4605" s="88"/>
    </row>
    <row r="4606">
      <c r="A4606" s="6" t="s">
        <v>9</v>
      </c>
      <c r="B4606" s="7" t="s">
        <v>7966</v>
      </c>
      <c r="C4606" s="91">
        <v>44880.35308165509</v>
      </c>
      <c r="D4606" s="8">
        <f t="shared" si="355"/>
        <v>44882</v>
      </c>
      <c r="E4606" s="9" t="s">
        <v>88</v>
      </c>
      <c r="F4606" s="9"/>
      <c r="G4606" s="9" t="s">
        <v>18</v>
      </c>
      <c r="H4606" s="7" t="s">
        <v>7967</v>
      </c>
      <c r="I4606" s="9" t="s">
        <v>353</v>
      </c>
      <c r="J4606" s="88"/>
    </row>
    <row r="4607">
      <c r="A4607" s="6" t="s">
        <v>9</v>
      </c>
      <c r="B4607" s="7" t="s">
        <v>6110</v>
      </c>
      <c r="C4607" s="91">
        <v>44890.531920416666</v>
      </c>
      <c r="D4607" s="8">
        <f t="shared" si="355"/>
        <v>44894</v>
      </c>
      <c r="E4607" s="9" t="s">
        <v>11</v>
      </c>
      <c r="F4607" s="9"/>
      <c r="G4607" s="9" t="s">
        <v>15</v>
      </c>
      <c r="H4607" s="7" t="s">
        <v>7968</v>
      </c>
      <c r="I4607" s="9" t="s">
        <v>353</v>
      </c>
      <c r="J4607" s="88"/>
    </row>
    <row r="4608">
      <c r="A4608" s="6" t="s">
        <v>9</v>
      </c>
      <c r="B4608" s="7" t="s">
        <v>7969</v>
      </c>
      <c r="C4608" s="91">
        <v>44880.35361554398</v>
      </c>
      <c r="D4608" s="8">
        <f t="shared" si="355"/>
        <v>44882</v>
      </c>
      <c r="E4608" s="9" t="s">
        <v>88</v>
      </c>
      <c r="F4608" s="192"/>
      <c r="G4608" s="9" t="s">
        <v>18</v>
      </c>
      <c r="H4608" s="7" t="s">
        <v>7970</v>
      </c>
      <c r="I4608" s="9" t="s">
        <v>353</v>
      </c>
      <c r="J4608" s="88"/>
    </row>
    <row r="4609">
      <c r="A4609" s="34" t="s">
        <v>204</v>
      </c>
      <c r="B4609" s="11"/>
      <c r="C4609" s="91" t="s">
        <v>11</v>
      </c>
      <c r="D4609" s="8" t="str">
        <f t="shared" si="355"/>
        <v>-</v>
      </c>
      <c r="E4609" s="9" t="s">
        <v>11</v>
      </c>
      <c r="F4609" s="10"/>
      <c r="G4609" s="9"/>
      <c r="H4609" s="11"/>
      <c r="I4609" s="9" t="s">
        <v>353</v>
      </c>
      <c r="J4609" s="88"/>
    </row>
    <row r="4610">
      <c r="A4610" s="34" t="s">
        <v>204</v>
      </c>
      <c r="B4610" s="7" t="s">
        <v>3801</v>
      </c>
      <c r="C4610" s="91">
        <v>44888.65423263889</v>
      </c>
      <c r="D4610" s="9" t="s">
        <v>11</v>
      </c>
      <c r="E4610" s="9" t="s">
        <v>206</v>
      </c>
      <c r="F4610" s="9"/>
      <c r="G4610" s="9" t="s">
        <v>18</v>
      </c>
      <c r="H4610" s="7" t="s">
        <v>437</v>
      </c>
      <c r="I4610" s="9" t="s">
        <v>353</v>
      </c>
      <c r="J4610" s="88"/>
    </row>
    <row r="4611">
      <c r="A4611" s="6" t="s">
        <v>9</v>
      </c>
      <c r="B4611" s="7" t="s">
        <v>7971</v>
      </c>
      <c r="C4611" s="91">
        <v>44890.40254681713</v>
      </c>
      <c r="D4611" s="8">
        <f t="shared" ref="D4611:D4614" si="356">IFERROR(_xlfn.WORKDAY.INTL(C4611, 2),"-")</f>
        <v>44894</v>
      </c>
      <c r="E4611" s="9" t="s">
        <v>206</v>
      </c>
      <c r="F4611" s="8"/>
      <c r="G4611" s="9" t="s">
        <v>18</v>
      </c>
      <c r="H4611" s="7" t="s">
        <v>7972</v>
      </c>
      <c r="I4611" s="9" t="s">
        <v>353</v>
      </c>
      <c r="J4611" s="88"/>
    </row>
    <row r="4612">
      <c r="A4612" s="6" t="s">
        <v>9</v>
      </c>
      <c r="B4612" s="7" t="s">
        <v>7973</v>
      </c>
      <c r="C4612" s="91">
        <v>44846.48563108796</v>
      </c>
      <c r="D4612" s="8">
        <f t="shared" si="356"/>
        <v>44848</v>
      </c>
      <c r="E4612" s="9" t="s">
        <v>88</v>
      </c>
      <c r="F4612" s="9"/>
      <c r="G4612" s="9" t="s">
        <v>89</v>
      </c>
      <c r="H4612" s="7" t="s">
        <v>7974</v>
      </c>
      <c r="I4612" s="9" t="s">
        <v>353</v>
      </c>
      <c r="J4612" s="88"/>
    </row>
    <row r="4613">
      <c r="A4613" s="6" t="s">
        <v>9</v>
      </c>
      <c r="B4613" s="7" t="s">
        <v>7975</v>
      </c>
      <c r="C4613" s="91">
        <v>44880.35350482639</v>
      </c>
      <c r="D4613" s="8">
        <f t="shared" si="356"/>
        <v>44882</v>
      </c>
      <c r="E4613" s="9" t="s">
        <v>88</v>
      </c>
      <c r="F4613" s="9"/>
      <c r="G4613" s="9" t="s">
        <v>18</v>
      </c>
      <c r="H4613" s="7" t="s">
        <v>7677</v>
      </c>
      <c r="I4613" s="9" t="s">
        <v>353</v>
      </c>
      <c r="J4613" s="88"/>
    </row>
    <row r="4614">
      <c r="A4614" s="6" t="s">
        <v>9</v>
      </c>
      <c r="B4614" s="7" t="s">
        <v>7976</v>
      </c>
      <c r="C4614" s="91">
        <v>44890.352915324074</v>
      </c>
      <c r="D4614" s="8">
        <f t="shared" si="356"/>
        <v>44894</v>
      </c>
      <c r="E4614" s="9" t="s">
        <v>11</v>
      </c>
      <c r="F4614" s="10"/>
      <c r="G4614" s="9"/>
      <c r="H4614" s="7" t="s">
        <v>7578</v>
      </c>
      <c r="I4614" s="9" t="s">
        <v>353</v>
      </c>
      <c r="J4614" s="88"/>
    </row>
    <row r="4615">
      <c r="A4615" s="223" t="s">
        <v>98</v>
      </c>
      <c r="B4615" s="9" t="s">
        <v>6391</v>
      </c>
      <c r="C4615" s="91">
        <v>44873.387609618054</v>
      </c>
      <c r="D4615" s="9" t="s">
        <v>11</v>
      </c>
      <c r="E4615" s="9" t="s">
        <v>88</v>
      </c>
      <c r="F4615" s="9"/>
      <c r="G4615" s="9" t="s">
        <v>15</v>
      </c>
      <c r="H4615" s="9" t="s">
        <v>7977</v>
      </c>
      <c r="I4615" s="9" t="s">
        <v>353</v>
      </c>
      <c r="J4615" s="88"/>
    </row>
    <row r="4616">
      <c r="A4616" s="223" t="s">
        <v>98</v>
      </c>
      <c r="B4616" s="9" t="s">
        <v>7978</v>
      </c>
      <c r="C4616" s="91">
        <v>44873.380050057865</v>
      </c>
      <c r="D4616" s="9" t="s">
        <v>11</v>
      </c>
      <c r="E4616" s="9" t="s">
        <v>216</v>
      </c>
      <c r="F4616" s="192"/>
      <c r="G4616" s="9" t="s">
        <v>18</v>
      </c>
      <c r="H4616" s="9" t="s">
        <v>7979</v>
      </c>
      <c r="I4616" s="9" t="s">
        <v>353</v>
      </c>
      <c r="J4616" s="88"/>
    </row>
    <row r="4617">
      <c r="A4617" s="6" t="s">
        <v>9</v>
      </c>
      <c r="B4617" s="7" t="s">
        <v>7980</v>
      </c>
      <c r="C4617" s="91">
        <v>44882.33632827546</v>
      </c>
      <c r="D4617" s="8">
        <f t="shared" ref="D4617:D4618" si="357">IFERROR(_xlfn.WORKDAY.INTL(C4617, 2),"-")</f>
        <v>44886</v>
      </c>
      <c r="E4617" s="9" t="s">
        <v>206</v>
      </c>
      <c r="F4617" s="9"/>
      <c r="G4617" s="9" t="s">
        <v>18</v>
      </c>
      <c r="H4617" s="7" t="s">
        <v>7981</v>
      </c>
      <c r="I4617" s="9" t="s">
        <v>353</v>
      </c>
      <c r="J4617" s="88"/>
    </row>
    <row r="4618">
      <c r="A4618" s="6" t="s">
        <v>9</v>
      </c>
      <c r="B4618" s="7" t="s">
        <v>7982</v>
      </c>
      <c r="C4618" s="91">
        <v>44882.33578037037</v>
      </c>
      <c r="D4618" s="8">
        <f t="shared" si="357"/>
        <v>44886</v>
      </c>
      <c r="E4618" s="9" t="s">
        <v>206</v>
      </c>
      <c r="F4618" s="9"/>
      <c r="G4618" s="9" t="s">
        <v>15</v>
      </c>
      <c r="H4618" s="7" t="s">
        <v>7983</v>
      </c>
      <c r="I4618" s="9" t="s">
        <v>353</v>
      </c>
      <c r="J4618" s="88"/>
    </row>
    <row r="4619">
      <c r="A4619" s="34" t="s">
        <v>204</v>
      </c>
      <c r="B4619" s="7" t="s">
        <v>6290</v>
      </c>
      <c r="C4619" s="91">
        <v>44882.0</v>
      </c>
      <c r="D4619" s="9" t="s">
        <v>11</v>
      </c>
      <c r="E4619" s="9" t="s">
        <v>88</v>
      </c>
      <c r="F4619" s="9"/>
      <c r="G4619" s="9" t="s">
        <v>18</v>
      </c>
      <c r="H4619" s="9" t="s">
        <v>7984</v>
      </c>
      <c r="I4619" s="9" t="s">
        <v>353</v>
      </c>
      <c r="J4619" s="88"/>
    </row>
    <row r="4620">
      <c r="A4620" s="34" t="s">
        <v>204</v>
      </c>
      <c r="B4620" s="7" t="s">
        <v>7985</v>
      </c>
      <c r="C4620" s="91">
        <v>44882.51008447917</v>
      </c>
      <c r="D4620" s="9" t="s">
        <v>11</v>
      </c>
      <c r="E4620" s="9" t="s">
        <v>216</v>
      </c>
      <c r="F4620" s="9"/>
      <c r="G4620" s="9" t="s">
        <v>18</v>
      </c>
      <c r="H4620" s="9" t="s">
        <v>7986</v>
      </c>
      <c r="I4620" s="9" t="s">
        <v>353</v>
      </c>
      <c r="J4620" s="88"/>
    </row>
    <row r="4621">
      <c r="A4621" s="6" t="s">
        <v>9</v>
      </c>
      <c r="B4621" s="7" t="s">
        <v>7987</v>
      </c>
      <c r="C4621" s="91">
        <v>44880.352605821754</v>
      </c>
      <c r="D4621" s="8">
        <f>IFERROR(_xlfn.WORKDAY.INTL(C4621, 2),"-")</f>
        <v>44882</v>
      </c>
      <c r="E4621" s="9" t="s">
        <v>88</v>
      </c>
      <c r="F4621" s="9"/>
      <c r="G4621" s="9" t="s">
        <v>18</v>
      </c>
      <c r="H4621" s="7" t="s">
        <v>7677</v>
      </c>
      <c r="I4621" s="9" t="s">
        <v>353</v>
      </c>
      <c r="J4621" s="88"/>
    </row>
    <row r="4622">
      <c r="A4622" s="223" t="s">
        <v>98</v>
      </c>
      <c r="B4622" s="9" t="s">
        <v>7988</v>
      </c>
      <c r="C4622" s="91">
        <v>44879.43854108796</v>
      </c>
      <c r="D4622" s="9" t="s">
        <v>11</v>
      </c>
      <c r="E4622" s="9" t="s">
        <v>216</v>
      </c>
      <c r="F4622" s="192"/>
      <c r="G4622" s="9" t="s">
        <v>18</v>
      </c>
      <c r="H4622" s="9" t="s">
        <v>7989</v>
      </c>
      <c r="I4622" s="9" t="s">
        <v>353</v>
      </c>
      <c r="J4622" s="88"/>
    </row>
    <row r="4623">
      <c r="A4623" s="6" t="s">
        <v>9</v>
      </c>
      <c r="B4623" s="7" t="s">
        <v>7990</v>
      </c>
      <c r="C4623" s="91" t="s">
        <v>11</v>
      </c>
      <c r="D4623" s="8" t="str">
        <f t="shared" ref="D4623:D4628" si="358">IFERROR(_xlfn.WORKDAY.INTL(C4623, 2),"-")</f>
        <v>-</v>
      </c>
      <c r="E4623" s="9" t="s">
        <v>88</v>
      </c>
      <c r="F4623" s="192"/>
      <c r="G4623" s="9" t="s">
        <v>18</v>
      </c>
      <c r="H4623" s="220" t="s">
        <v>7991</v>
      </c>
      <c r="I4623" s="9" t="s">
        <v>353</v>
      </c>
      <c r="J4623" s="88"/>
    </row>
    <row r="4624">
      <c r="A4624" s="6" t="s">
        <v>9</v>
      </c>
      <c r="B4624" s="7" t="s">
        <v>7167</v>
      </c>
      <c r="C4624" s="91">
        <v>44874.69481681713</v>
      </c>
      <c r="D4624" s="8">
        <f t="shared" si="358"/>
        <v>44876</v>
      </c>
      <c r="E4624" s="9" t="s">
        <v>88</v>
      </c>
      <c r="F4624" s="9"/>
      <c r="G4624" s="9" t="s">
        <v>18</v>
      </c>
      <c r="H4624" s="7" t="s">
        <v>7992</v>
      </c>
      <c r="I4624" s="9" t="s">
        <v>353</v>
      </c>
      <c r="J4624" s="88"/>
    </row>
    <row r="4625">
      <c r="A4625" s="6" t="s">
        <v>9</v>
      </c>
      <c r="B4625" s="7" t="s">
        <v>7993</v>
      </c>
      <c r="C4625" s="91">
        <v>44869.363706296295</v>
      </c>
      <c r="D4625" s="8">
        <f t="shared" si="358"/>
        <v>44873</v>
      </c>
      <c r="E4625" s="9" t="s">
        <v>11</v>
      </c>
      <c r="F4625" s="9"/>
      <c r="G4625" s="9" t="s">
        <v>15</v>
      </c>
      <c r="H4625" s="7" t="s">
        <v>7994</v>
      </c>
      <c r="I4625" s="9" t="s">
        <v>353</v>
      </c>
      <c r="J4625" s="88"/>
    </row>
    <row r="4626">
      <c r="A4626" s="6" t="s">
        <v>9</v>
      </c>
      <c r="B4626" s="7" t="s">
        <v>7995</v>
      </c>
      <c r="C4626" s="91">
        <v>44880.3549221412</v>
      </c>
      <c r="D4626" s="8">
        <f t="shared" si="358"/>
        <v>44882</v>
      </c>
      <c r="E4626" s="9" t="s">
        <v>88</v>
      </c>
      <c r="F4626" s="9"/>
      <c r="G4626" s="9" t="s">
        <v>18</v>
      </c>
      <c r="H4626" s="7" t="s">
        <v>7996</v>
      </c>
      <c r="I4626" s="9" t="s">
        <v>353</v>
      </c>
      <c r="J4626" s="88"/>
    </row>
    <row r="4627">
      <c r="A4627" s="6" t="s">
        <v>9</v>
      </c>
      <c r="B4627" s="7" t="s">
        <v>7997</v>
      </c>
      <c r="C4627" s="91">
        <v>44879.62300184028</v>
      </c>
      <c r="D4627" s="8">
        <f t="shared" si="358"/>
        <v>44881</v>
      </c>
      <c r="E4627" s="9" t="s">
        <v>88</v>
      </c>
      <c r="F4627" s="227"/>
      <c r="G4627" s="9" t="s">
        <v>15</v>
      </c>
      <c r="H4627" s="7" t="s">
        <v>7998</v>
      </c>
      <c r="I4627" s="9" t="s">
        <v>353</v>
      </c>
      <c r="J4627" s="88"/>
    </row>
    <row r="4628">
      <c r="A4628" s="6" t="s">
        <v>9</v>
      </c>
      <c r="B4628" s="7" t="s">
        <v>7707</v>
      </c>
      <c r="C4628" s="91">
        <v>44862.40445606482</v>
      </c>
      <c r="D4628" s="8">
        <f t="shared" si="358"/>
        <v>44866</v>
      </c>
      <c r="E4628" s="9" t="s">
        <v>88</v>
      </c>
      <c r="F4628" s="9"/>
      <c r="G4628" s="9" t="s">
        <v>18</v>
      </c>
      <c r="H4628" s="7" t="s">
        <v>7999</v>
      </c>
      <c r="I4628" s="9" t="s">
        <v>353</v>
      </c>
      <c r="J4628" s="88"/>
    </row>
    <row r="4629">
      <c r="A4629" s="223" t="s">
        <v>98</v>
      </c>
      <c r="B4629" s="9" t="s">
        <v>4997</v>
      </c>
      <c r="C4629" s="91">
        <v>44873.37980451389</v>
      </c>
      <c r="D4629" s="9" t="s">
        <v>11</v>
      </c>
      <c r="E4629" s="9" t="s">
        <v>206</v>
      </c>
      <c r="F4629" s="9"/>
      <c r="G4629" s="9" t="s">
        <v>15</v>
      </c>
      <c r="H4629" s="9" t="s">
        <v>8000</v>
      </c>
      <c r="I4629" s="9" t="s">
        <v>353</v>
      </c>
      <c r="J4629" s="88"/>
    </row>
    <row r="4630">
      <c r="A4630" s="223" t="s">
        <v>98</v>
      </c>
      <c r="B4630" s="9" t="s">
        <v>8001</v>
      </c>
      <c r="C4630" s="91">
        <v>44873.35760696759</v>
      </c>
      <c r="D4630" s="9" t="s">
        <v>11</v>
      </c>
      <c r="E4630" s="9" t="s">
        <v>88</v>
      </c>
      <c r="F4630" s="9"/>
      <c r="G4630" s="9" t="s">
        <v>15</v>
      </c>
      <c r="H4630" s="9" t="s">
        <v>8002</v>
      </c>
      <c r="I4630" s="9" t="s">
        <v>353</v>
      </c>
      <c r="J4630" s="88"/>
    </row>
    <row r="4631">
      <c r="A4631" s="6" t="s">
        <v>9</v>
      </c>
      <c r="B4631" s="7" t="s">
        <v>8003</v>
      </c>
      <c r="C4631" s="91">
        <v>44882.33195936342</v>
      </c>
      <c r="D4631" s="8">
        <f t="shared" ref="D4631:D4655" si="359">IFERROR(_xlfn.WORKDAY.INTL(C4631, 2),"-")</f>
        <v>44886</v>
      </c>
      <c r="E4631" s="9" t="s">
        <v>88</v>
      </c>
      <c r="F4631" s="192"/>
      <c r="G4631" s="9" t="s">
        <v>18</v>
      </c>
      <c r="H4631" s="7" t="s">
        <v>7677</v>
      </c>
      <c r="I4631" s="9" t="s">
        <v>353</v>
      </c>
      <c r="J4631" s="88"/>
    </row>
    <row r="4632">
      <c r="A4632" s="6" t="s">
        <v>9</v>
      </c>
      <c r="B4632" s="7" t="s">
        <v>8004</v>
      </c>
      <c r="C4632" s="91">
        <v>44847.73762075232</v>
      </c>
      <c r="D4632" s="8">
        <f t="shared" si="359"/>
        <v>44851</v>
      </c>
      <c r="E4632" s="9" t="s">
        <v>206</v>
      </c>
      <c r="F4632" s="9"/>
      <c r="G4632" s="9" t="s">
        <v>18</v>
      </c>
      <c r="H4632" s="7" t="s">
        <v>8005</v>
      </c>
      <c r="I4632" s="9" t="s">
        <v>353</v>
      </c>
      <c r="J4632" s="88"/>
    </row>
    <row r="4633">
      <c r="A4633" s="6" t="s">
        <v>9</v>
      </c>
      <c r="B4633" s="7" t="s">
        <v>8006</v>
      </c>
      <c r="C4633" s="91">
        <v>44880.3538178125</v>
      </c>
      <c r="D4633" s="8">
        <f t="shared" si="359"/>
        <v>44882</v>
      </c>
      <c r="E4633" s="9" t="s">
        <v>206</v>
      </c>
      <c r="F4633" s="192"/>
      <c r="G4633" s="9" t="s">
        <v>18</v>
      </c>
      <c r="H4633" s="7" t="s">
        <v>8007</v>
      </c>
      <c r="I4633" s="9" t="s">
        <v>353</v>
      </c>
      <c r="J4633" s="88"/>
    </row>
    <row r="4634">
      <c r="A4634" s="6" t="s">
        <v>9</v>
      </c>
      <c r="B4634" s="7" t="s">
        <v>8008</v>
      </c>
      <c r="C4634" s="91">
        <v>44879.73348005787</v>
      </c>
      <c r="D4634" s="8">
        <f t="shared" si="359"/>
        <v>44881</v>
      </c>
      <c r="E4634" s="9" t="s">
        <v>88</v>
      </c>
      <c r="F4634" s="9"/>
      <c r="G4634" s="9" t="s">
        <v>15</v>
      </c>
      <c r="H4634" s="7" t="s">
        <v>8009</v>
      </c>
      <c r="I4634" s="9" t="s">
        <v>353</v>
      </c>
      <c r="J4634" s="88"/>
    </row>
    <row r="4635">
      <c r="A4635" s="223" t="s">
        <v>98</v>
      </c>
      <c r="B4635" s="9" t="s">
        <v>8010</v>
      </c>
      <c r="C4635" s="91">
        <v>44872.74816462963</v>
      </c>
      <c r="D4635" s="8">
        <f t="shared" si="359"/>
        <v>44874</v>
      </c>
      <c r="E4635" s="9" t="s">
        <v>88</v>
      </c>
      <c r="F4635" s="8"/>
      <c r="G4635" s="9" t="s">
        <v>18</v>
      </c>
      <c r="H4635" s="9" t="s">
        <v>437</v>
      </c>
      <c r="I4635" s="9" t="s">
        <v>353</v>
      </c>
      <c r="J4635" s="88"/>
    </row>
    <row r="4636">
      <c r="A4636" s="6" t="s">
        <v>9</v>
      </c>
      <c r="B4636" s="7" t="s">
        <v>8011</v>
      </c>
      <c r="C4636" s="91">
        <v>44862.4056247338</v>
      </c>
      <c r="D4636" s="8">
        <f t="shared" si="359"/>
        <v>44866</v>
      </c>
      <c r="E4636" s="9" t="s">
        <v>88</v>
      </c>
      <c r="F4636" s="9"/>
      <c r="G4636" s="9" t="s">
        <v>15</v>
      </c>
      <c r="H4636" s="7" t="s">
        <v>8012</v>
      </c>
      <c r="I4636" s="9" t="s">
        <v>353</v>
      </c>
      <c r="J4636" s="88"/>
    </row>
    <row r="4637">
      <c r="A4637" s="6" t="s">
        <v>9</v>
      </c>
      <c r="B4637" s="7" t="s">
        <v>8013</v>
      </c>
      <c r="C4637" s="91">
        <v>44868.35681840278</v>
      </c>
      <c r="D4637" s="8">
        <f t="shared" si="359"/>
        <v>44872</v>
      </c>
      <c r="E4637" s="9" t="s">
        <v>88</v>
      </c>
      <c r="F4637" s="192"/>
      <c r="G4637" s="9" t="s">
        <v>15</v>
      </c>
      <c r="H4637" s="7" t="s">
        <v>8014</v>
      </c>
      <c r="I4637" s="9" t="s">
        <v>353</v>
      </c>
      <c r="J4637" s="88"/>
    </row>
    <row r="4638">
      <c r="A4638" s="6" t="s">
        <v>9</v>
      </c>
      <c r="B4638" s="7" t="s">
        <v>8015</v>
      </c>
      <c r="C4638" s="91">
        <v>44848.720776284725</v>
      </c>
      <c r="D4638" s="8">
        <f t="shared" si="359"/>
        <v>44852</v>
      </c>
      <c r="E4638" s="9" t="s">
        <v>88</v>
      </c>
      <c r="F4638" s="8"/>
      <c r="G4638" s="9" t="s">
        <v>15</v>
      </c>
      <c r="H4638" s="7" t="s">
        <v>8016</v>
      </c>
      <c r="I4638" s="9" t="s">
        <v>353</v>
      </c>
      <c r="J4638" s="88"/>
    </row>
    <row r="4639">
      <c r="A4639" s="6" t="s">
        <v>9</v>
      </c>
      <c r="B4639" s="7" t="s">
        <v>8017</v>
      </c>
      <c r="C4639" s="91">
        <v>44862.4053487037</v>
      </c>
      <c r="D4639" s="8">
        <f t="shared" si="359"/>
        <v>44866</v>
      </c>
      <c r="E4639" s="9" t="s">
        <v>88</v>
      </c>
      <c r="F4639" s="8"/>
      <c r="G4639" s="9" t="s">
        <v>18</v>
      </c>
      <c r="H4639" s="7" t="s">
        <v>8018</v>
      </c>
      <c r="I4639" s="9" t="s">
        <v>353</v>
      </c>
      <c r="J4639" s="88"/>
    </row>
    <row r="4640">
      <c r="A4640" s="6" t="s">
        <v>9</v>
      </c>
      <c r="B4640" s="7" t="s">
        <v>8019</v>
      </c>
      <c r="C4640" s="91">
        <v>44845.6612787037</v>
      </c>
      <c r="D4640" s="8">
        <f t="shared" si="359"/>
        <v>44847</v>
      </c>
      <c r="E4640" s="9" t="s">
        <v>88</v>
      </c>
      <c r="F4640" s="8"/>
      <c r="G4640" s="9" t="s">
        <v>18</v>
      </c>
      <c r="H4640" s="7" t="s">
        <v>8020</v>
      </c>
      <c r="I4640" s="9" t="s">
        <v>353</v>
      </c>
      <c r="J4640" s="88"/>
    </row>
    <row r="4641">
      <c r="A4641" s="6" t="s">
        <v>9</v>
      </c>
      <c r="B4641" s="7" t="s">
        <v>8021</v>
      </c>
      <c r="C4641" s="91">
        <v>44865.457876053246</v>
      </c>
      <c r="D4641" s="8">
        <f t="shared" si="359"/>
        <v>44867</v>
      </c>
      <c r="E4641" s="9" t="s">
        <v>206</v>
      </c>
      <c r="F4641" s="8"/>
      <c r="G4641" s="9" t="s">
        <v>15</v>
      </c>
      <c r="H4641" s="7" t="s">
        <v>8022</v>
      </c>
      <c r="I4641" s="9" t="s">
        <v>353</v>
      </c>
      <c r="J4641" s="88"/>
    </row>
    <row r="4642">
      <c r="A4642" s="6" t="s">
        <v>9</v>
      </c>
      <c r="B4642" s="7" t="s">
        <v>8023</v>
      </c>
      <c r="C4642" s="91">
        <v>44868.35440094907</v>
      </c>
      <c r="D4642" s="8">
        <f t="shared" si="359"/>
        <v>44872</v>
      </c>
      <c r="E4642" s="9" t="s">
        <v>88</v>
      </c>
      <c r="F4642" s="9"/>
      <c r="G4642" s="9" t="s">
        <v>15</v>
      </c>
      <c r="H4642" s="7" t="s">
        <v>8024</v>
      </c>
      <c r="I4642" s="9" t="s">
        <v>353</v>
      </c>
      <c r="J4642" s="88"/>
    </row>
    <row r="4643">
      <c r="A4643" s="6" t="s">
        <v>9</v>
      </c>
      <c r="B4643" s="7" t="s">
        <v>7147</v>
      </c>
      <c r="C4643" s="91">
        <v>44868.35366533565</v>
      </c>
      <c r="D4643" s="8">
        <f t="shared" si="359"/>
        <v>44872</v>
      </c>
      <c r="E4643" s="9" t="s">
        <v>11</v>
      </c>
      <c r="F4643" s="8"/>
      <c r="G4643" s="9" t="s">
        <v>18</v>
      </c>
      <c r="H4643" s="7" t="s">
        <v>8025</v>
      </c>
      <c r="I4643" s="9" t="s">
        <v>353</v>
      </c>
      <c r="J4643" s="88"/>
    </row>
    <row r="4644">
      <c r="A4644" s="6" t="s">
        <v>9</v>
      </c>
      <c r="B4644" s="7" t="s">
        <v>8026</v>
      </c>
      <c r="C4644" s="91">
        <v>44874.62668460648</v>
      </c>
      <c r="D4644" s="8">
        <f t="shared" si="359"/>
        <v>44876</v>
      </c>
      <c r="E4644" s="9" t="s">
        <v>11</v>
      </c>
      <c r="F4644" s="10"/>
      <c r="G4644" s="9" t="s">
        <v>15</v>
      </c>
      <c r="H4644" s="7" t="s">
        <v>8024</v>
      </c>
      <c r="I4644" s="9" t="s">
        <v>353</v>
      </c>
      <c r="J4644" s="88"/>
    </row>
    <row r="4645">
      <c r="A4645" s="6" t="s">
        <v>9</v>
      </c>
      <c r="B4645" s="7" t="s">
        <v>8027</v>
      </c>
      <c r="C4645" s="91">
        <v>44874.61337890047</v>
      </c>
      <c r="D4645" s="8">
        <f t="shared" si="359"/>
        <v>44876</v>
      </c>
      <c r="E4645" s="9" t="s">
        <v>11</v>
      </c>
      <c r="F4645" s="10"/>
      <c r="G4645" s="9" t="s">
        <v>18</v>
      </c>
      <c r="H4645" s="7" t="s">
        <v>7677</v>
      </c>
      <c r="I4645" s="9" t="s">
        <v>353</v>
      </c>
      <c r="J4645" s="88"/>
    </row>
    <row r="4646">
      <c r="A4646" s="6" t="s">
        <v>9</v>
      </c>
      <c r="B4646" s="7" t="s">
        <v>8028</v>
      </c>
      <c r="C4646" s="91">
        <v>44874.71095603009</v>
      </c>
      <c r="D4646" s="8">
        <f t="shared" si="359"/>
        <v>44876</v>
      </c>
      <c r="E4646" s="9" t="s">
        <v>11</v>
      </c>
      <c r="F4646" s="10"/>
      <c r="G4646" s="9"/>
      <c r="H4646" s="11"/>
      <c r="I4646" s="9" t="s">
        <v>353</v>
      </c>
      <c r="J4646" s="88"/>
    </row>
    <row r="4647">
      <c r="A4647" s="6" t="s">
        <v>9</v>
      </c>
      <c r="B4647" s="7" t="s">
        <v>6499</v>
      </c>
      <c r="C4647" s="91">
        <v>44862.40483828704</v>
      </c>
      <c r="D4647" s="8">
        <f t="shared" si="359"/>
        <v>44866</v>
      </c>
      <c r="E4647" s="9" t="s">
        <v>88</v>
      </c>
      <c r="F4647" s="10"/>
      <c r="G4647" s="9" t="s">
        <v>15</v>
      </c>
      <c r="H4647" s="7" t="s">
        <v>8029</v>
      </c>
      <c r="I4647" s="9" t="s">
        <v>353</v>
      </c>
      <c r="J4647" s="88"/>
    </row>
    <row r="4648">
      <c r="A4648" s="6" t="s">
        <v>9</v>
      </c>
      <c r="B4648" s="7" t="s">
        <v>8030</v>
      </c>
      <c r="C4648" s="91">
        <v>44860.509617557866</v>
      </c>
      <c r="D4648" s="8">
        <f t="shared" si="359"/>
        <v>44862</v>
      </c>
      <c r="E4648" s="9" t="s">
        <v>88</v>
      </c>
      <c r="F4648" s="9"/>
      <c r="G4648" s="9" t="s">
        <v>18</v>
      </c>
      <c r="H4648" s="7" t="s">
        <v>437</v>
      </c>
      <c r="I4648" s="9" t="s">
        <v>353</v>
      </c>
      <c r="J4648" s="88"/>
    </row>
    <row r="4649">
      <c r="A4649" s="6" t="s">
        <v>9</v>
      </c>
      <c r="B4649" s="7" t="s">
        <v>8031</v>
      </c>
      <c r="C4649" s="91">
        <v>44868.707034039355</v>
      </c>
      <c r="D4649" s="8">
        <f t="shared" si="359"/>
        <v>44872</v>
      </c>
      <c r="E4649" s="9" t="s">
        <v>11</v>
      </c>
      <c r="F4649" s="10"/>
      <c r="G4649" s="9" t="s">
        <v>18</v>
      </c>
      <c r="H4649" s="7" t="s">
        <v>437</v>
      </c>
      <c r="I4649" s="9" t="s">
        <v>353</v>
      </c>
      <c r="J4649" s="88"/>
    </row>
    <row r="4650">
      <c r="A4650" s="6" t="s">
        <v>9</v>
      </c>
      <c r="B4650" s="7" t="s">
        <v>8032</v>
      </c>
      <c r="C4650" s="91">
        <v>44872.3399878125</v>
      </c>
      <c r="D4650" s="8">
        <f t="shared" si="359"/>
        <v>44874</v>
      </c>
      <c r="E4650" s="9" t="s">
        <v>88</v>
      </c>
      <c r="F4650" s="10"/>
      <c r="G4650" s="9" t="s">
        <v>18</v>
      </c>
      <c r="H4650" s="7" t="s">
        <v>437</v>
      </c>
      <c r="I4650" s="9" t="s">
        <v>353</v>
      </c>
      <c r="J4650" s="88"/>
    </row>
    <row r="4651">
      <c r="A4651" s="6" t="s">
        <v>9</v>
      </c>
      <c r="B4651" s="7" t="s">
        <v>8033</v>
      </c>
      <c r="C4651" s="91">
        <v>44867.731209618054</v>
      </c>
      <c r="D4651" s="8">
        <f t="shared" si="359"/>
        <v>44869</v>
      </c>
      <c r="E4651" s="9" t="s">
        <v>88</v>
      </c>
      <c r="F4651" s="10"/>
      <c r="G4651" s="9" t="s">
        <v>18</v>
      </c>
      <c r="H4651" s="7" t="s">
        <v>437</v>
      </c>
      <c r="I4651" s="9" t="s">
        <v>353</v>
      </c>
      <c r="J4651" s="88"/>
    </row>
    <row r="4652">
      <c r="A4652" s="6" t="s">
        <v>9</v>
      </c>
      <c r="B4652" s="7" t="s">
        <v>8034</v>
      </c>
      <c r="C4652" s="91">
        <v>44862.405087164356</v>
      </c>
      <c r="D4652" s="8">
        <f t="shared" si="359"/>
        <v>44866</v>
      </c>
      <c r="E4652" s="9" t="s">
        <v>88</v>
      </c>
      <c r="F4652" s="10"/>
      <c r="G4652" s="9" t="s">
        <v>18</v>
      </c>
      <c r="H4652" s="7" t="s">
        <v>437</v>
      </c>
      <c r="I4652" s="9" t="s">
        <v>353</v>
      </c>
      <c r="J4652" s="88"/>
    </row>
    <row r="4653">
      <c r="A4653" s="6" t="s">
        <v>9</v>
      </c>
      <c r="B4653" s="7" t="s">
        <v>8035</v>
      </c>
      <c r="C4653" s="91">
        <v>44865.40848591435</v>
      </c>
      <c r="D4653" s="8">
        <f t="shared" si="359"/>
        <v>44867</v>
      </c>
      <c r="E4653" s="9" t="s">
        <v>88</v>
      </c>
      <c r="F4653" s="10"/>
      <c r="G4653" s="9" t="s">
        <v>18</v>
      </c>
      <c r="H4653" s="7" t="s">
        <v>437</v>
      </c>
      <c r="I4653" s="9" t="s">
        <v>353</v>
      </c>
      <c r="J4653" s="88"/>
    </row>
    <row r="4654">
      <c r="A4654" s="6" t="s">
        <v>9</v>
      </c>
      <c r="B4654" s="7" t="s">
        <v>8036</v>
      </c>
      <c r="C4654" s="91">
        <v>44865.45358716435</v>
      </c>
      <c r="D4654" s="8">
        <f t="shared" si="359"/>
        <v>44867</v>
      </c>
      <c r="E4654" s="9" t="s">
        <v>206</v>
      </c>
      <c r="F4654" s="8"/>
      <c r="G4654" s="9" t="s">
        <v>15</v>
      </c>
      <c r="H4654" s="7" t="s">
        <v>8037</v>
      </c>
      <c r="I4654" s="9" t="s">
        <v>353</v>
      </c>
      <c r="J4654" s="88"/>
    </row>
    <row r="4655">
      <c r="A4655" s="6" t="s">
        <v>9</v>
      </c>
      <c r="B4655" s="7" t="s">
        <v>8038</v>
      </c>
      <c r="C4655" s="91">
        <v>44862.404690868054</v>
      </c>
      <c r="D4655" s="8">
        <f t="shared" si="359"/>
        <v>44866</v>
      </c>
      <c r="E4655" s="9" t="s">
        <v>216</v>
      </c>
      <c r="F4655" s="8"/>
      <c r="G4655" s="9" t="s">
        <v>15</v>
      </c>
      <c r="H4655" s="7" t="s">
        <v>8039</v>
      </c>
      <c r="I4655" s="9" t="s">
        <v>353</v>
      </c>
      <c r="J4655" s="88"/>
    </row>
    <row r="4656">
      <c r="A4656" s="223" t="s">
        <v>98</v>
      </c>
      <c r="B4656" s="228" t="s">
        <v>7528</v>
      </c>
      <c r="C4656" s="91">
        <v>44714.66031576389</v>
      </c>
      <c r="D4656" s="8">
        <v>44718.0</v>
      </c>
      <c r="E4656" s="9" t="s">
        <v>206</v>
      </c>
      <c r="F4656" s="8"/>
      <c r="G4656" s="9" t="s">
        <v>11</v>
      </c>
      <c r="H4656" s="228" t="s">
        <v>8040</v>
      </c>
      <c r="I4656" s="9" t="s">
        <v>353</v>
      </c>
      <c r="J4656" s="88"/>
    </row>
    <row r="4657">
      <c r="A4657" s="223" t="s">
        <v>98</v>
      </c>
      <c r="B4657" s="9" t="s">
        <v>8041</v>
      </c>
      <c r="C4657" s="91">
        <v>44873.37570630787</v>
      </c>
      <c r="D4657" s="8">
        <f t="shared" ref="D4657:D4715" si="360">IFERROR(_xlfn.WORKDAY.INTL(C4657, 2),"-")</f>
        <v>44875</v>
      </c>
      <c r="E4657" s="9" t="s">
        <v>88</v>
      </c>
      <c r="F4657" s="10"/>
      <c r="G4657" s="9" t="s">
        <v>220</v>
      </c>
      <c r="H4657" s="9" t="s">
        <v>8042</v>
      </c>
      <c r="I4657" s="9" t="s">
        <v>353</v>
      </c>
      <c r="J4657" s="88"/>
    </row>
    <row r="4658">
      <c r="A4658" s="6" t="s">
        <v>9</v>
      </c>
      <c r="B4658" s="7" t="s">
        <v>7869</v>
      </c>
      <c r="C4658" s="91">
        <v>44868.355322372685</v>
      </c>
      <c r="D4658" s="8">
        <f t="shared" si="360"/>
        <v>44872</v>
      </c>
      <c r="E4658" s="9" t="s">
        <v>206</v>
      </c>
      <c r="F4658" s="8"/>
      <c r="G4658" s="9" t="s">
        <v>18</v>
      </c>
      <c r="H4658" s="7" t="s">
        <v>7677</v>
      </c>
      <c r="I4658" s="9" t="s">
        <v>353</v>
      </c>
      <c r="J4658" s="88"/>
    </row>
    <row r="4659">
      <c r="A4659" s="6" t="s">
        <v>9</v>
      </c>
      <c r="B4659" s="7" t="s">
        <v>8043</v>
      </c>
      <c r="C4659" s="91">
        <v>44868.480622731484</v>
      </c>
      <c r="D4659" s="8">
        <f t="shared" si="360"/>
        <v>44872</v>
      </c>
      <c r="E4659" s="9" t="s">
        <v>11</v>
      </c>
      <c r="F4659" s="10"/>
      <c r="G4659" s="9" t="s">
        <v>15</v>
      </c>
      <c r="H4659" s="7" t="s">
        <v>8044</v>
      </c>
      <c r="I4659" s="9" t="s">
        <v>353</v>
      </c>
      <c r="J4659" s="88"/>
    </row>
    <row r="4660">
      <c r="A4660" s="6" t="s">
        <v>9</v>
      </c>
      <c r="B4660" s="7" t="s">
        <v>8045</v>
      </c>
      <c r="C4660" s="91">
        <v>44868.34905895834</v>
      </c>
      <c r="D4660" s="8">
        <f t="shared" si="360"/>
        <v>44872</v>
      </c>
      <c r="E4660" s="9" t="s">
        <v>11</v>
      </c>
      <c r="F4660" s="10"/>
      <c r="G4660" s="9" t="s">
        <v>15</v>
      </c>
      <c r="H4660" s="7" t="s">
        <v>8046</v>
      </c>
      <c r="I4660" s="9" t="s">
        <v>353</v>
      </c>
      <c r="J4660" s="88"/>
    </row>
    <row r="4661">
      <c r="A4661" s="6" t="s">
        <v>9</v>
      </c>
      <c r="B4661" s="7" t="s">
        <v>6290</v>
      </c>
      <c r="C4661" s="91">
        <v>44868.35615515047</v>
      </c>
      <c r="D4661" s="8">
        <f t="shared" si="360"/>
        <v>44872</v>
      </c>
      <c r="E4661" s="9" t="s">
        <v>88</v>
      </c>
      <c r="F4661" s="10"/>
      <c r="G4661" s="9" t="s">
        <v>18</v>
      </c>
      <c r="H4661" s="7" t="s">
        <v>8047</v>
      </c>
      <c r="I4661" s="9" t="s">
        <v>353</v>
      </c>
      <c r="J4661" s="88"/>
    </row>
    <row r="4662">
      <c r="A4662" s="6" t="s">
        <v>9</v>
      </c>
      <c r="B4662" s="7" t="s">
        <v>8048</v>
      </c>
      <c r="C4662" s="91">
        <v>44872.69747288195</v>
      </c>
      <c r="D4662" s="8">
        <f t="shared" si="360"/>
        <v>44874</v>
      </c>
      <c r="E4662" s="9" t="s">
        <v>11</v>
      </c>
      <c r="F4662" s="10"/>
      <c r="G4662" s="9"/>
      <c r="H4662" s="11"/>
      <c r="I4662" s="9" t="s">
        <v>353</v>
      </c>
      <c r="J4662" s="88"/>
    </row>
    <row r="4663">
      <c r="A4663" s="6" t="s">
        <v>9</v>
      </c>
      <c r="B4663" s="7" t="s">
        <v>8049</v>
      </c>
      <c r="C4663" s="91">
        <v>44847.73741159722</v>
      </c>
      <c r="D4663" s="8">
        <f t="shared" si="360"/>
        <v>44851</v>
      </c>
      <c r="E4663" s="9" t="s">
        <v>88</v>
      </c>
      <c r="F4663" s="8"/>
      <c r="G4663" s="9" t="s">
        <v>15</v>
      </c>
      <c r="H4663" s="7" t="s">
        <v>8050</v>
      </c>
      <c r="I4663" s="9" t="s">
        <v>353</v>
      </c>
      <c r="J4663" s="88"/>
    </row>
    <row r="4664">
      <c r="A4664" s="6" t="s">
        <v>9</v>
      </c>
      <c r="B4664" s="7" t="s">
        <v>8051</v>
      </c>
      <c r="C4664" s="91">
        <v>44868.354559872685</v>
      </c>
      <c r="D4664" s="8">
        <f t="shared" si="360"/>
        <v>44872</v>
      </c>
      <c r="E4664" s="9" t="s">
        <v>88</v>
      </c>
      <c r="F4664" s="8"/>
      <c r="G4664" s="9" t="s">
        <v>18</v>
      </c>
      <c r="H4664" s="7" t="s">
        <v>8052</v>
      </c>
      <c r="I4664" s="9" t="s">
        <v>353</v>
      </c>
      <c r="J4664" s="88"/>
    </row>
    <row r="4665">
      <c r="A4665" s="6" t="s">
        <v>9</v>
      </c>
      <c r="B4665" s="7" t="s">
        <v>8053</v>
      </c>
      <c r="C4665" s="91">
        <v>44868.72821636574</v>
      </c>
      <c r="D4665" s="8">
        <f t="shared" si="360"/>
        <v>44872</v>
      </c>
      <c r="E4665" s="9" t="s">
        <v>11</v>
      </c>
      <c r="F4665" s="10"/>
      <c r="G4665" s="9" t="s">
        <v>18</v>
      </c>
      <c r="H4665" s="7" t="s">
        <v>2916</v>
      </c>
      <c r="I4665" s="9" t="s">
        <v>353</v>
      </c>
      <c r="J4665" s="88"/>
    </row>
    <row r="4666">
      <c r="A4666" s="6" t="s">
        <v>9</v>
      </c>
      <c r="B4666" s="7" t="s">
        <v>7147</v>
      </c>
      <c r="C4666" s="91">
        <v>44860.511183449074</v>
      </c>
      <c r="D4666" s="8">
        <f t="shared" si="360"/>
        <v>44862</v>
      </c>
      <c r="E4666" s="9" t="s">
        <v>88</v>
      </c>
      <c r="F4666" s="10"/>
      <c r="G4666" s="9" t="s">
        <v>18</v>
      </c>
      <c r="H4666" s="7" t="s">
        <v>8054</v>
      </c>
      <c r="I4666" s="9" t="s">
        <v>353</v>
      </c>
      <c r="J4666" s="88"/>
    </row>
    <row r="4667">
      <c r="A4667" s="6" t="s">
        <v>9</v>
      </c>
      <c r="B4667" s="7" t="s">
        <v>8055</v>
      </c>
      <c r="C4667" s="91">
        <v>44862.405517719904</v>
      </c>
      <c r="D4667" s="8">
        <f t="shared" si="360"/>
        <v>44866</v>
      </c>
      <c r="E4667" s="9" t="s">
        <v>88</v>
      </c>
      <c r="F4667" s="10"/>
      <c r="G4667" s="9" t="s">
        <v>15</v>
      </c>
      <c r="H4667" s="7" t="s">
        <v>8056</v>
      </c>
      <c r="I4667" s="9" t="s">
        <v>353</v>
      </c>
      <c r="J4667" s="88"/>
    </row>
    <row r="4668">
      <c r="A4668" s="6" t="s">
        <v>9</v>
      </c>
      <c r="B4668" s="7" t="s">
        <v>8057</v>
      </c>
      <c r="C4668" s="91">
        <v>44845.657750706014</v>
      </c>
      <c r="D4668" s="8">
        <f t="shared" si="360"/>
        <v>44847</v>
      </c>
      <c r="E4668" s="9" t="s">
        <v>206</v>
      </c>
      <c r="F4668" s="10"/>
      <c r="G4668" s="9" t="s">
        <v>15</v>
      </c>
      <c r="H4668" s="7" t="s">
        <v>8058</v>
      </c>
      <c r="I4668" s="9" t="s">
        <v>353</v>
      </c>
      <c r="J4668" s="88"/>
    </row>
    <row r="4669">
      <c r="A4669" s="6" t="s">
        <v>9</v>
      </c>
      <c r="B4669" s="7" t="s">
        <v>7886</v>
      </c>
      <c r="C4669" s="91">
        <v>44853.359714826394</v>
      </c>
      <c r="D4669" s="8">
        <f t="shared" si="360"/>
        <v>44855</v>
      </c>
      <c r="E4669" s="9" t="s">
        <v>88</v>
      </c>
      <c r="F4669" s="10"/>
      <c r="G4669" s="9" t="s">
        <v>18</v>
      </c>
      <c r="H4669" s="7" t="s">
        <v>437</v>
      </c>
      <c r="I4669" s="9" t="s">
        <v>353</v>
      </c>
      <c r="J4669" s="88"/>
    </row>
    <row r="4670">
      <c r="A4670" s="6" t="s">
        <v>9</v>
      </c>
      <c r="B4670" s="7" t="s">
        <v>8059</v>
      </c>
      <c r="C4670" s="91">
        <v>44812.48227278935</v>
      </c>
      <c r="D4670" s="8">
        <f t="shared" si="360"/>
        <v>44816</v>
      </c>
      <c r="E4670" s="9" t="s">
        <v>11</v>
      </c>
      <c r="F4670" s="10"/>
      <c r="G4670" s="9" t="s">
        <v>15</v>
      </c>
      <c r="H4670" s="9" t="s">
        <v>8060</v>
      </c>
      <c r="I4670" s="9" t="s">
        <v>353</v>
      </c>
      <c r="J4670" s="88"/>
    </row>
    <row r="4671">
      <c r="A4671" s="6" t="s">
        <v>9</v>
      </c>
      <c r="B4671" s="7" t="s">
        <v>6589</v>
      </c>
      <c r="C4671" s="91">
        <v>44860.511047893524</v>
      </c>
      <c r="D4671" s="8">
        <f t="shared" si="360"/>
        <v>44862</v>
      </c>
      <c r="E4671" s="9" t="s">
        <v>11</v>
      </c>
      <c r="F4671" s="10"/>
      <c r="G4671" s="9" t="s">
        <v>18</v>
      </c>
      <c r="H4671" s="7" t="s">
        <v>8061</v>
      </c>
      <c r="I4671" s="9" t="s">
        <v>353</v>
      </c>
      <c r="J4671" s="88"/>
    </row>
    <row r="4672">
      <c r="A4672" s="6" t="s">
        <v>9</v>
      </c>
      <c r="B4672" s="7" t="s">
        <v>8062</v>
      </c>
      <c r="C4672" s="91">
        <v>44860.51083421297</v>
      </c>
      <c r="D4672" s="8">
        <f t="shared" si="360"/>
        <v>44862</v>
      </c>
      <c r="E4672" s="9" t="s">
        <v>11</v>
      </c>
      <c r="F4672" s="10"/>
      <c r="G4672" s="9" t="s">
        <v>18</v>
      </c>
      <c r="H4672" s="7" t="s">
        <v>8063</v>
      </c>
      <c r="I4672" s="9" t="s">
        <v>353</v>
      </c>
      <c r="J4672" s="88"/>
    </row>
    <row r="4673">
      <c r="A4673" s="6" t="s">
        <v>9</v>
      </c>
      <c r="B4673" s="7" t="s">
        <v>8064</v>
      </c>
      <c r="C4673" s="91">
        <v>44847.73537912037</v>
      </c>
      <c r="D4673" s="8">
        <f t="shared" si="360"/>
        <v>44851</v>
      </c>
      <c r="E4673" s="9" t="s">
        <v>11</v>
      </c>
      <c r="F4673" s="10"/>
      <c r="G4673" s="9" t="s">
        <v>18</v>
      </c>
      <c r="H4673" s="7" t="s">
        <v>437</v>
      </c>
      <c r="I4673" s="9" t="s">
        <v>353</v>
      </c>
      <c r="J4673" s="88"/>
    </row>
    <row r="4674">
      <c r="A4674" s="223" t="s">
        <v>98</v>
      </c>
      <c r="B4674" s="9" t="s">
        <v>8065</v>
      </c>
      <c r="C4674" s="91">
        <v>44858.69312939815</v>
      </c>
      <c r="D4674" s="8">
        <f t="shared" si="360"/>
        <v>44860</v>
      </c>
      <c r="E4674" s="9" t="s">
        <v>88</v>
      </c>
      <c r="F4674" s="10"/>
      <c r="G4674" s="9" t="s">
        <v>18</v>
      </c>
      <c r="H4674" s="9" t="s">
        <v>7677</v>
      </c>
      <c r="I4674" s="9" t="s">
        <v>353</v>
      </c>
      <c r="J4674" s="88"/>
    </row>
    <row r="4675">
      <c r="A4675" s="6" t="s">
        <v>9</v>
      </c>
      <c r="B4675" s="7" t="s">
        <v>8066</v>
      </c>
      <c r="C4675" s="91">
        <v>44860.510195625</v>
      </c>
      <c r="D4675" s="8">
        <f t="shared" si="360"/>
        <v>44862</v>
      </c>
      <c r="E4675" s="9" t="s">
        <v>11</v>
      </c>
      <c r="F4675" s="10"/>
      <c r="G4675" s="9" t="s">
        <v>18</v>
      </c>
      <c r="H4675" s="7" t="s">
        <v>8067</v>
      </c>
      <c r="I4675" s="9" t="s">
        <v>353</v>
      </c>
      <c r="J4675" s="88"/>
    </row>
    <row r="4676">
      <c r="A4676" s="6" t="s">
        <v>9</v>
      </c>
      <c r="B4676" s="7" t="s">
        <v>8068</v>
      </c>
      <c r="C4676" s="91">
        <v>44853.35893234954</v>
      </c>
      <c r="D4676" s="8">
        <f t="shared" si="360"/>
        <v>44855</v>
      </c>
      <c r="E4676" s="9" t="s">
        <v>11</v>
      </c>
      <c r="F4676" s="10"/>
      <c r="G4676" s="9" t="s">
        <v>18</v>
      </c>
      <c r="H4676" s="7" t="s">
        <v>437</v>
      </c>
      <c r="I4676" s="9" t="s">
        <v>353</v>
      </c>
      <c r="J4676" s="88"/>
    </row>
    <row r="4677">
      <c r="A4677" s="6" t="s">
        <v>9</v>
      </c>
      <c r="B4677" s="7" t="s">
        <v>8069</v>
      </c>
      <c r="C4677" s="91">
        <v>44861.474934108795</v>
      </c>
      <c r="D4677" s="8">
        <f t="shared" si="360"/>
        <v>44865</v>
      </c>
      <c r="E4677" s="9" t="s">
        <v>11</v>
      </c>
      <c r="F4677" s="10"/>
      <c r="G4677" s="9"/>
      <c r="H4677" s="7" t="s">
        <v>7578</v>
      </c>
      <c r="I4677" s="9" t="s">
        <v>353</v>
      </c>
      <c r="J4677" s="88"/>
    </row>
    <row r="4678">
      <c r="A4678" s="6" t="s">
        <v>9</v>
      </c>
      <c r="B4678" s="7" t="s">
        <v>8070</v>
      </c>
      <c r="C4678" s="91">
        <v>44860.509985868055</v>
      </c>
      <c r="D4678" s="8">
        <f t="shared" si="360"/>
        <v>44862</v>
      </c>
      <c r="E4678" s="9" t="s">
        <v>11</v>
      </c>
      <c r="F4678" s="10"/>
      <c r="G4678" s="9" t="s">
        <v>18</v>
      </c>
      <c r="H4678" s="7" t="s">
        <v>8071</v>
      </c>
      <c r="I4678" s="9" t="s">
        <v>353</v>
      </c>
      <c r="J4678" s="88"/>
    </row>
    <row r="4679">
      <c r="A4679" s="6" t="s">
        <v>9</v>
      </c>
      <c r="B4679" s="7" t="s">
        <v>8072</v>
      </c>
      <c r="C4679" s="91">
        <v>44847.7355321412</v>
      </c>
      <c r="D4679" s="8">
        <f t="shared" si="360"/>
        <v>44851</v>
      </c>
      <c r="E4679" s="9" t="s">
        <v>11</v>
      </c>
      <c r="F4679" s="10"/>
      <c r="G4679" s="9" t="s">
        <v>18</v>
      </c>
      <c r="H4679" s="7" t="s">
        <v>8073</v>
      </c>
      <c r="I4679" s="9" t="s">
        <v>353</v>
      </c>
      <c r="J4679" s="88"/>
    </row>
    <row r="4680">
      <c r="A4680" s="6" t="s">
        <v>9</v>
      </c>
      <c r="B4680" s="7" t="s">
        <v>8074</v>
      </c>
      <c r="C4680" s="91">
        <v>44854.44302276621</v>
      </c>
      <c r="D4680" s="8">
        <f t="shared" si="360"/>
        <v>44858</v>
      </c>
      <c r="E4680" s="9" t="s">
        <v>11</v>
      </c>
      <c r="F4680" s="10"/>
      <c r="G4680" s="9" t="s">
        <v>18</v>
      </c>
      <c r="H4680" s="7" t="s">
        <v>437</v>
      </c>
      <c r="I4680" s="9" t="s">
        <v>353</v>
      </c>
      <c r="J4680" s="88"/>
    </row>
    <row r="4681">
      <c r="A4681" s="6" t="s">
        <v>9</v>
      </c>
      <c r="B4681" s="7" t="s">
        <v>8075</v>
      </c>
      <c r="C4681" s="91">
        <v>44859.7172584838</v>
      </c>
      <c r="D4681" s="8">
        <f t="shared" si="360"/>
        <v>44861</v>
      </c>
      <c r="E4681" s="9" t="s">
        <v>11</v>
      </c>
      <c r="F4681" s="10"/>
      <c r="G4681" s="9"/>
      <c r="H4681" s="11"/>
      <c r="I4681" s="9" t="s">
        <v>353</v>
      </c>
      <c r="J4681" s="88"/>
    </row>
    <row r="4682">
      <c r="A4682" s="6" t="s">
        <v>9</v>
      </c>
      <c r="B4682" s="7" t="s">
        <v>8043</v>
      </c>
      <c r="C4682" s="91">
        <v>44859.71706547454</v>
      </c>
      <c r="D4682" s="8">
        <f t="shared" si="360"/>
        <v>44861</v>
      </c>
      <c r="E4682" s="9" t="s">
        <v>11</v>
      </c>
      <c r="F4682" s="10"/>
      <c r="G4682" s="9"/>
      <c r="H4682" s="11"/>
      <c r="I4682" s="9" t="s">
        <v>353</v>
      </c>
      <c r="J4682" s="88"/>
    </row>
    <row r="4683">
      <c r="A4683" s="6" t="s">
        <v>9</v>
      </c>
      <c r="B4683" s="7" t="s">
        <v>8076</v>
      </c>
      <c r="C4683" s="91">
        <v>44854.40714940972</v>
      </c>
      <c r="D4683" s="8">
        <f t="shared" si="360"/>
        <v>44858</v>
      </c>
      <c r="E4683" s="9" t="s">
        <v>11</v>
      </c>
      <c r="F4683" s="10"/>
      <c r="G4683" s="9" t="s">
        <v>18</v>
      </c>
      <c r="H4683" s="7" t="s">
        <v>8077</v>
      </c>
      <c r="I4683" s="9" t="s">
        <v>353</v>
      </c>
      <c r="J4683" s="88"/>
    </row>
    <row r="4684">
      <c r="A4684" s="6" t="s">
        <v>9</v>
      </c>
      <c r="B4684" s="7" t="s">
        <v>8078</v>
      </c>
      <c r="C4684" s="91">
        <v>44847.736289629625</v>
      </c>
      <c r="D4684" s="8">
        <f t="shared" si="360"/>
        <v>44851</v>
      </c>
      <c r="E4684" s="9" t="s">
        <v>11</v>
      </c>
      <c r="F4684" s="10"/>
      <c r="G4684" s="9" t="s">
        <v>15</v>
      </c>
      <c r="H4684" s="7" t="s">
        <v>8079</v>
      </c>
      <c r="I4684" s="9" t="s">
        <v>353</v>
      </c>
      <c r="J4684" s="88"/>
    </row>
    <row r="4685">
      <c r="A4685" s="6" t="s">
        <v>9</v>
      </c>
      <c r="B4685" s="7" t="s">
        <v>8080</v>
      </c>
      <c r="C4685" s="91">
        <v>44854.357278634256</v>
      </c>
      <c r="D4685" s="8">
        <f t="shared" si="360"/>
        <v>44858</v>
      </c>
      <c r="E4685" s="9" t="s">
        <v>206</v>
      </c>
      <c r="F4685" s="10"/>
      <c r="G4685" s="9" t="s">
        <v>15</v>
      </c>
      <c r="H4685" s="7" t="s">
        <v>8081</v>
      </c>
      <c r="I4685" s="9" t="s">
        <v>353</v>
      </c>
      <c r="J4685" s="88"/>
    </row>
    <row r="4686">
      <c r="A4686" s="6" t="s">
        <v>9</v>
      </c>
      <c r="B4686" s="7" t="s">
        <v>8082</v>
      </c>
      <c r="C4686" s="91" t="s">
        <v>11</v>
      </c>
      <c r="D4686" s="8" t="str">
        <f t="shared" si="360"/>
        <v>-</v>
      </c>
      <c r="E4686" s="9" t="s">
        <v>88</v>
      </c>
      <c r="F4686" s="10"/>
      <c r="G4686" s="9" t="s">
        <v>15</v>
      </c>
      <c r="H4686" s="220" t="s">
        <v>3361</v>
      </c>
      <c r="I4686" s="9" t="s">
        <v>353</v>
      </c>
      <c r="J4686" s="88"/>
    </row>
    <row r="4687">
      <c r="A4687" s="6" t="s">
        <v>9</v>
      </c>
      <c r="B4687" s="7" t="s">
        <v>8083</v>
      </c>
      <c r="C4687" s="91">
        <v>44848.649771875</v>
      </c>
      <c r="D4687" s="8">
        <f t="shared" si="360"/>
        <v>44852</v>
      </c>
      <c r="E4687" s="9" t="s">
        <v>11</v>
      </c>
      <c r="F4687" s="10"/>
      <c r="G4687" s="9" t="s">
        <v>15</v>
      </c>
      <c r="H4687" s="7" t="s">
        <v>8084</v>
      </c>
      <c r="I4687" s="9" t="s">
        <v>353</v>
      </c>
      <c r="J4687" s="88"/>
    </row>
    <row r="4688">
      <c r="A4688" s="6" t="s">
        <v>9</v>
      </c>
      <c r="B4688" s="7" t="s">
        <v>8085</v>
      </c>
      <c r="C4688" s="91">
        <v>44847.49942950231</v>
      </c>
      <c r="D4688" s="8">
        <f t="shared" si="360"/>
        <v>44851</v>
      </c>
      <c r="E4688" s="9" t="s">
        <v>11</v>
      </c>
      <c r="F4688" s="10"/>
      <c r="G4688" s="9" t="s">
        <v>15</v>
      </c>
      <c r="H4688" s="7" t="s">
        <v>8086</v>
      </c>
      <c r="I4688" s="9" t="s">
        <v>353</v>
      </c>
      <c r="J4688" s="88"/>
    </row>
    <row r="4689">
      <c r="A4689" s="6" t="s">
        <v>9</v>
      </c>
      <c r="B4689" s="7" t="s">
        <v>7966</v>
      </c>
      <c r="C4689" s="91">
        <v>44817.40407748843</v>
      </c>
      <c r="D4689" s="8">
        <f t="shared" si="360"/>
        <v>44819</v>
      </c>
      <c r="E4689" s="9" t="s">
        <v>11</v>
      </c>
      <c r="F4689" s="8"/>
      <c r="G4689" s="9" t="s">
        <v>18</v>
      </c>
      <c r="H4689" s="7" t="s">
        <v>437</v>
      </c>
      <c r="I4689" s="9" t="s">
        <v>353</v>
      </c>
      <c r="J4689" s="88"/>
    </row>
    <row r="4690">
      <c r="A4690" s="223" t="s">
        <v>98</v>
      </c>
      <c r="B4690" s="9" t="s">
        <v>739</v>
      </c>
      <c r="C4690" s="91">
        <v>44858.693200231486</v>
      </c>
      <c r="D4690" s="8">
        <f t="shared" si="360"/>
        <v>44860</v>
      </c>
      <c r="E4690" s="9" t="s">
        <v>88</v>
      </c>
      <c r="F4690" s="10"/>
      <c r="G4690" s="9" t="s">
        <v>18</v>
      </c>
      <c r="H4690" s="9" t="s">
        <v>7677</v>
      </c>
      <c r="I4690" s="9" t="s">
        <v>353</v>
      </c>
      <c r="J4690" s="88"/>
    </row>
    <row r="4691">
      <c r="A4691" s="6" t="s">
        <v>9</v>
      </c>
      <c r="B4691" s="7" t="s">
        <v>8087</v>
      </c>
      <c r="C4691" s="91">
        <v>44845.65790125</v>
      </c>
      <c r="D4691" s="8">
        <f t="shared" si="360"/>
        <v>44847</v>
      </c>
      <c r="E4691" s="9" t="s">
        <v>11</v>
      </c>
      <c r="F4691" s="10"/>
      <c r="G4691" s="9" t="s">
        <v>15</v>
      </c>
      <c r="H4691" s="7" t="s">
        <v>8088</v>
      </c>
      <c r="I4691" s="9" t="s">
        <v>353</v>
      </c>
      <c r="J4691" s="88"/>
    </row>
    <row r="4692">
      <c r="A4692" s="6" t="s">
        <v>9</v>
      </c>
      <c r="B4692" s="7" t="s">
        <v>8089</v>
      </c>
      <c r="C4692" s="91">
        <v>44847.73644538195</v>
      </c>
      <c r="D4692" s="8">
        <f t="shared" si="360"/>
        <v>44851</v>
      </c>
      <c r="E4692" s="9" t="s">
        <v>11</v>
      </c>
      <c r="F4692" s="10"/>
      <c r="G4692" s="9" t="s">
        <v>15</v>
      </c>
      <c r="H4692" s="7" t="s">
        <v>8090</v>
      </c>
      <c r="I4692" s="9" t="s">
        <v>353</v>
      </c>
      <c r="J4692" s="88"/>
    </row>
    <row r="4693">
      <c r="A4693" s="223" t="s">
        <v>98</v>
      </c>
      <c r="B4693" s="9" t="s">
        <v>7874</v>
      </c>
      <c r="C4693" s="91">
        <v>44832.63967295139</v>
      </c>
      <c r="D4693" s="8">
        <f t="shared" si="360"/>
        <v>44834</v>
      </c>
      <c r="E4693" s="9" t="s">
        <v>206</v>
      </c>
      <c r="F4693" s="10"/>
      <c r="G4693" s="9" t="s">
        <v>18</v>
      </c>
      <c r="H4693" s="9" t="s">
        <v>7677</v>
      </c>
      <c r="I4693" s="9" t="s">
        <v>353</v>
      </c>
      <c r="J4693" s="88"/>
    </row>
    <row r="4694">
      <c r="A4694" s="6" t="s">
        <v>9</v>
      </c>
      <c r="B4694" s="7" t="s">
        <v>8091</v>
      </c>
      <c r="C4694" s="91">
        <v>44858.50739663195</v>
      </c>
      <c r="D4694" s="8">
        <f t="shared" si="360"/>
        <v>44860</v>
      </c>
      <c r="E4694" s="9" t="s">
        <v>11</v>
      </c>
      <c r="F4694" s="10"/>
      <c r="G4694" s="9"/>
      <c r="H4694" s="62" t="s">
        <v>8092</v>
      </c>
      <c r="I4694" s="9" t="s">
        <v>353</v>
      </c>
      <c r="J4694" s="88"/>
    </row>
    <row r="4695">
      <c r="A4695" s="6" t="s">
        <v>9</v>
      </c>
      <c r="B4695" s="7" t="s">
        <v>8093</v>
      </c>
      <c r="C4695" s="91">
        <v>44847.48026975694</v>
      </c>
      <c r="D4695" s="8">
        <f t="shared" si="360"/>
        <v>44851</v>
      </c>
      <c r="E4695" s="9" t="s">
        <v>11</v>
      </c>
      <c r="F4695" s="10"/>
      <c r="G4695" s="9" t="s">
        <v>18</v>
      </c>
      <c r="H4695" s="7" t="s">
        <v>437</v>
      </c>
      <c r="I4695" s="9" t="s">
        <v>353</v>
      </c>
      <c r="J4695" s="88"/>
    </row>
    <row r="4696">
      <c r="A4696" s="6" t="s">
        <v>9</v>
      </c>
      <c r="B4696" s="7" t="s">
        <v>7962</v>
      </c>
      <c r="C4696" s="91">
        <v>44854.35762490741</v>
      </c>
      <c r="D4696" s="8">
        <f t="shared" si="360"/>
        <v>44858</v>
      </c>
      <c r="E4696" s="9" t="s">
        <v>88</v>
      </c>
      <c r="F4696" s="10"/>
      <c r="G4696" s="9" t="s">
        <v>18</v>
      </c>
      <c r="H4696" s="7" t="s">
        <v>7677</v>
      </c>
      <c r="I4696" s="9" t="s">
        <v>353</v>
      </c>
      <c r="J4696" s="88"/>
    </row>
    <row r="4697">
      <c r="A4697" s="6" t="s">
        <v>9</v>
      </c>
      <c r="B4697" s="7" t="s">
        <v>7072</v>
      </c>
      <c r="C4697" s="91">
        <v>44848.36346494213</v>
      </c>
      <c r="D4697" s="8">
        <f t="shared" si="360"/>
        <v>44852</v>
      </c>
      <c r="E4697" s="9" t="s">
        <v>11</v>
      </c>
      <c r="F4697" s="10"/>
      <c r="G4697" s="9" t="s">
        <v>18</v>
      </c>
      <c r="H4697" s="7" t="s">
        <v>8094</v>
      </c>
      <c r="I4697" s="9" t="s">
        <v>353</v>
      </c>
      <c r="J4697" s="88"/>
    </row>
    <row r="4698">
      <c r="A4698" s="6" t="s">
        <v>9</v>
      </c>
      <c r="B4698" s="7" t="s">
        <v>8095</v>
      </c>
      <c r="C4698" s="91">
        <v>44851.43506665509</v>
      </c>
      <c r="D4698" s="8">
        <f t="shared" si="360"/>
        <v>44853</v>
      </c>
      <c r="E4698" s="9" t="s">
        <v>11</v>
      </c>
      <c r="F4698" s="10"/>
      <c r="G4698" s="9" t="s">
        <v>15</v>
      </c>
      <c r="H4698" s="7" t="s">
        <v>8096</v>
      </c>
      <c r="I4698" s="9" t="s">
        <v>353</v>
      </c>
      <c r="J4698" s="88"/>
    </row>
    <row r="4699">
      <c r="A4699" s="42" t="s">
        <v>88</v>
      </c>
      <c r="B4699" s="7" t="s">
        <v>8097</v>
      </c>
      <c r="C4699" s="91">
        <v>44817.50871055556</v>
      </c>
      <c r="D4699" s="8">
        <f t="shared" si="360"/>
        <v>44819</v>
      </c>
      <c r="E4699" s="9" t="s">
        <v>206</v>
      </c>
      <c r="F4699" s="10"/>
      <c r="G4699" s="9" t="s">
        <v>15</v>
      </c>
      <c r="H4699" s="98" t="s">
        <v>8098</v>
      </c>
      <c r="I4699" s="9" t="s">
        <v>353</v>
      </c>
      <c r="J4699" s="88"/>
    </row>
    <row r="4700">
      <c r="A4700" s="42" t="s">
        <v>88</v>
      </c>
      <c r="B4700" s="7" t="s">
        <v>8099</v>
      </c>
      <c r="C4700" s="91">
        <v>44817.51037907407</v>
      </c>
      <c r="D4700" s="8">
        <f t="shared" si="360"/>
        <v>44819</v>
      </c>
      <c r="E4700" s="9" t="s">
        <v>206</v>
      </c>
      <c r="F4700" s="10"/>
      <c r="G4700" s="9" t="s">
        <v>15</v>
      </c>
      <c r="H4700" s="9" t="s">
        <v>8100</v>
      </c>
      <c r="I4700" s="9" t="s">
        <v>353</v>
      </c>
      <c r="J4700" s="88"/>
    </row>
    <row r="4701">
      <c r="A4701" s="42" t="s">
        <v>88</v>
      </c>
      <c r="B4701" s="7" t="s">
        <v>8101</v>
      </c>
      <c r="C4701" s="91">
        <v>44816.69354820602</v>
      </c>
      <c r="D4701" s="8">
        <f t="shared" si="360"/>
        <v>44818</v>
      </c>
      <c r="E4701" s="9" t="s">
        <v>11</v>
      </c>
      <c r="F4701" s="10"/>
      <c r="G4701" s="9" t="s">
        <v>15</v>
      </c>
      <c r="H4701" s="9" t="s">
        <v>8102</v>
      </c>
      <c r="I4701" s="9" t="s">
        <v>353</v>
      </c>
      <c r="J4701" s="88"/>
    </row>
    <row r="4702">
      <c r="A4702" s="42" t="s">
        <v>88</v>
      </c>
      <c r="B4702" s="7" t="s">
        <v>8103</v>
      </c>
      <c r="C4702" s="91">
        <v>44813.39186246527</v>
      </c>
      <c r="D4702" s="8">
        <f t="shared" si="360"/>
        <v>44817</v>
      </c>
      <c r="E4702" s="9" t="s">
        <v>88</v>
      </c>
      <c r="F4702" s="10"/>
      <c r="G4702" s="9" t="s">
        <v>15</v>
      </c>
      <c r="H4702" s="9" t="s">
        <v>8104</v>
      </c>
      <c r="I4702" s="9" t="s">
        <v>353</v>
      </c>
      <c r="J4702" s="88"/>
    </row>
    <row r="4703">
      <c r="A4703" s="6" t="s">
        <v>9</v>
      </c>
      <c r="B4703" s="7" t="s">
        <v>8105</v>
      </c>
      <c r="C4703" s="91">
        <v>44854.356992905094</v>
      </c>
      <c r="D4703" s="8">
        <f t="shared" si="360"/>
        <v>44858</v>
      </c>
      <c r="E4703" s="9" t="s">
        <v>11</v>
      </c>
      <c r="F4703" s="10"/>
      <c r="G4703" s="9"/>
      <c r="H4703" s="11"/>
      <c r="I4703" s="9" t="s">
        <v>353</v>
      </c>
      <c r="J4703" s="88"/>
    </row>
    <row r="4704">
      <c r="A4704" s="6" t="s">
        <v>9</v>
      </c>
      <c r="B4704" s="7" t="s">
        <v>8106</v>
      </c>
      <c r="C4704" s="91">
        <v>44817.403746909724</v>
      </c>
      <c r="D4704" s="8">
        <f t="shared" si="360"/>
        <v>44819</v>
      </c>
      <c r="E4704" s="9" t="s">
        <v>88</v>
      </c>
      <c r="F4704" s="8"/>
      <c r="G4704" s="9" t="s">
        <v>18</v>
      </c>
      <c r="H4704" s="7" t="s">
        <v>437</v>
      </c>
      <c r="I4704" s="9" t="s">
        <v>353</v>
      </c>
      <c r="J4704" s="88"/>
    </row>
    <row r="4705">
      <c r="A4705" s="6" t="s">
        <v>9</v>
      </c>
      <c r="B4705" s="7" t="s">
        <v>8107</v>
      </c>
      <c r="C4705" s="91">
        <v>44848.363311134264</v>
      </c>
      <c r="D4705" s="8">
        <f t="shared" si="360"/>
        <v>44852</v>
      </c>
      <c r="E4705" s="9" t="s">
        <v>11</v>
      </c>
      <c r="F4705" s="10"/>
      <c r="G4705" s="9" t="s">
        <v>15</v>
      </c>
      <c r="H4705" s="7" t="s">
        <v>437</v>
      </c>
      <c r="I4705" s="9" t="s">
        <v>353</v>
      </c>
      <c r="J4705" s="88"/>
    </row>
    <row r="4706">
      <c r="A4706" s="6" t="s">
        <v>9</v>
      </c>
      <c r="B4706" s="7" t="s">
        <v>6290</v>
      </c>
      <c r="C4706" s="91">
        <v>44847.73592299769</v>
      </c>
      <c r="D4706" s="8">
        <f t="shared" si="360"/>
        <v>44851</v>
      </c>
      <c r="E4706" s="9" t="s">
        <v>11</v>
      </c>
      <c r="F4706" s="10"/>
      <c r="G4706" s="9" t="s">
        <v>18</v>
      </c>
      <c r="H4706" s="7" t="s">
        <v>8108</v>
      </c>
      <c r="I4706" s="9" t="s">
        <v>353</v>
      </c>
      <c r="J4706" s="88"/>
    </row>
    <row r="4707">
      <c r="A4707" s="6" t="s">
        <v>9</v>
      </c>
      <c r="B4707" s="7" t="s">
        <v>1083</v>
      </c>
      <c r="C4707" s="91" t="s">
        <v>11</v>
      </c>
      <c r="D4707" s="8" t="str">
        <f t="shared" si="360"/>
        <v>-</v>
      </c>
      <c r="E4707" s="9" t="s">
        <v>88</v>
      </c>
      <c r="F4707" s="8"/>
      <c r="G4707" s="9" t="s">
        <v>18</v>
      </c>
      <c r="H4707" s="220" t="s">
        <v>8109</v>
      </c>
      <c r="I4707" s="9" t="s">
        <v>353</v>
      </c>
      <c r="J4707" s="88"/>
    </row>
    <row r="4708">
      <c r="A4708" s="6" t="s">
        <v>9</v>
      </c>
      <c r="B4708" s="7" t="s">
        <v>8110</v>
      </c>
      <c r="C4708" s="91">
        <v>44845.65893237268</v>
      </c>
      <c r="D4708" s="8">
        <f t="shared" si="360"/>
        <v>44847</v>
      </c>
      <c r="E4708" s="9" t="s">
        <v>11</v>
      </c>
      <c r="F4708" s="10"/>
      <c r="G4708" s="9" t="s">
        <v>18</v>
      </c>
      <c r="H4708" s="7" t="s">
        <v>437</v>
      </c>
      <c r="I4708" s="9" t="s">
        <v>353</v>
      </c>
      <c r="J4708" s="88"/>
    </row>
    <row r="4709">
      <c r="A4709" s="6" t="s">
        <v>9</v>
      </c>
      <c r="B4709" s="7" t="s">
        <v>8111</v>
      </c>
      <c r="C4709" s="91">
        <v>44839.77053804398</v>
      </c>
      <c r="D4709" s="8">
        <f t="shared" si="360"/>
        <v>44841</v>
      </c>
      <c r="E4709" s="9" t="s">
        <v>11</v>
      </c>
      <c r="F4709" s="10"/>
      <c r="G4709" s="9" t="s">
        <v>18</v>
      </c>
      <c r="H4709" s="7" t="s">
        <v>8112</v>
      </c>
      <c r="I4709" s="9" t="s">
        <v>353</v>
      </c>
      <c r="J4709" s="88"/>
    </row>
    <row r="4710">
      <c r="A4710" s="6" t="s">
        <v>9</v>
      </c>
      <c r="B4710" s="7" t="s">
        <v>8113</v>
      </c>
      <c r="C4710" s="91">
        <v>44845.65931074074</v>
      </c>
      <c r="D4710" s="8">
        <f t="shared" si="360"/>
        <v>44847</v>
      </c>
      <c r="E4710" s="9" t="s">
        <v>11</v>
      </c>
      <c r="F4710" s="10"/>
      <c r="G4710" s="9" t="s">
        <v>18</v>
      </c>
      <c r="H4710" s="7" t="s">
        <v>8114</v>
      </c>
      <c r="I4710" s="9" t="s">
        <v>353</v>
      </c>
      <c r="J4710" s="88"/>
    </row>
    <row r="4711">
      <c r="A4711" s="6" t="s">
        <v>9</v>
      </c>
      <c r="B4711" s="7" t="s">
        <v>8115</v>
      </c>
      <c r="C4711" s="91">
        <v>44845.659130810185</v>
      </c>
      <c r="D4711" s="8">
        <f t="shared" si="360"/>
        <v>44847</v>
      </c>
      <c r="E4711" s="9" t="s">
        <v>11</v>
      </c>
      <c r="F4711" s="10"/>
      <c r="G4711" s="9" t="s">
        <v>18</v>
      </c>
      <c r="H4711" s="7" t="s">
        <v>437</v>
      </c>
      <c r="I4711" s="9" t="s">
        <v>353</v>
      </c>
      <c r="J4711" s="88"/>
    </row>
    <row r="4712">
      <c r="A4712" s="6" t="s">
        <v>9</v>
      </c>
      <c r="B4712" s="7" t="s">
        <v>7468</v>
      </c>
      <c r="C4712" s="91">
        <v>44845.65849452546</v>
      </c>
      <c r="D4712" s="8">
        <f t="shared" si="360"/>
        <v>44847</v>
      </c>
      <c r="E4712" s="9" t="s">
        <v>11</v>
      </c>
      <c r="F4712" s="10"/>
      <c r="G4712" s="9" t="s">
        <v>18</v>
      </c>
      <c r="H4712" s="7" t="s">
        <v>8116</v>
      </c>
      <c r="I4712" s="9" t="s">
        <v>353</v>
      </c>
      <c r="J4712" s="88"/>
    </row>
    <row r="4713">
      <c r="A4713" s="6" t="s">
        <v>9</v>
      </c>
      <c r="B4713" s="7" t="s">
        <v>8117</v>
      </c>
      <c r="C4713" s="91">
        <v>44845.65831878472</v>
      </c>
      <c r="D4713" s="8">
        <f t="shared" si="360"/>
        <v>44847</v>
      </c>
      <c r="E4713" s="9" t="s">
        <v>11</v>
      </c>
      <c r="F4713" s="10"/>
      <c r="G4713" s="9" t="s">
        <v>15</v>
      </c>
      <c r="H4713" s="7" t="s">
        <v>8118</v>
      </c>
      <c r="I4713" s="9" t="s">
        <v>353</v>
      </c>
      <c r="J4713" s="88"/>
    </row>
    <row r="4714">
      <c r="A4714" s="6" t="s">
        <v>9</v>
      </c>
      <c r="B4714" s="7" t="s">
        <v>8119</v>
      </c>
      <c r="C4714" s="91">
        <v>44847.4769603125</v>
      </c>
      <c r="D4714" s="8">
        <f t="shared" si="360"/>
        <v>44851</v>
      </c>
      <c r="E4714" s="9" t="s">
        <v>11</v>
      </c>
      <c r="F4714" s="10"/>
      <c r="G4714" s="9"/>
      <c r="H4714" s="11"/>
      <c r="I4714" s="9" t="s">
        <v>353</v>
      </c>
      <c r="J4714" s="88"/>
    </row>
    <row r="4715">
      <c r="A4715" s="42" t="s">
        <v>88</v>
      </c>
      <c r="B4715" s="7" t="s">
        <v>8120</v>
      </c>
      <c r="C4715" s="91">
        <v>44826.58683422454</v>
      </c>
      <c r="D4715" s="8">
        <f t="shared" si="360"/>
        <v>44830</v>
      </c>
      <c r="E4715" s="9" t="s">
        <v>11</v>
      </c>
      <c r="F4715" s="10"/>
      <c r="G4715" s="9"/>
      <c r="H4715" s="26"/>
      <c r="I4715" s="9" t="s">
        <v>353</v>
      </c>
      <c r="J4715" s="88"/>
    </row>
    <row r="4716">
      <c r="A4716" s="42" t="s">
        <v>88</v>
      </c>
      <c r="B4716" s="11" t="s">
        <v>8121</v>
      </c>
      <c r="C4716" s="91">
        <v>44817.50059791667</v>
      </c>
      <c r="D4716" s="9" t="s">
        <v>11</v>
      </c>
      <c r="E4716" s="9" t="s">
        <v>88</v>
      </c>
      <c r="F4716" s="229"/>
      <c r="G4716" s="9" t="s">
        <v>18</v>
      </c>
      <c r="H4716" s="9" t="s">
        <v>8122</v>
      </c>
      <c r="I4716" s="9" t="s">
        <v>353</v>
      </c>
      <c r="J4716" s="88"/>
    </row>
    <row r="4717">
      <c r="A4717" s="42" t="s">
        <v>88</v>
      </c>
      <c r="B4717" s="7" t="s">
        <v>8123</v>
      </c>
      <c r="C4717" s="91">
        <v>44826.61229951389</v>
      </c>
      <c r="D4717" s="8">
        <f t="shared" ref="D4717:D4780" si="361">IFERROR(_xlfn.WORKDAY.INTL(C4717, 2),"-")</f>
        <v>44830</v>
      </c>
      <c r="E4717" s="9" t="s">
        <v>11</v>
      </c>
      <c r="F4717" s="10"/>
      <c r="G4717" s="9" t="s">
        <v>18</v>
      </c>
      <c r="H4717" s="9" t="s">
        <v>8124</v>
      </c>
      <c r="I4717" s="9" t="s">
        <v>353</v>
      </c>
      <c r="J4717" s="88"/>
    </row>
    <row r="4718">
      <c r="A4718" s="6" t="s">
        <v>9</v>
      </c>
      <c r="B4718" s="7" t="s">
        <v>8125</v>
      </c>
      <c r="C4718" s="91" t="s">
        <v>11</v>
      </c>
      <c r="D4718" s="8" t="str">
        <f t="shared" si="361"/>
        <v>-</v>
      </c>
      <c r="E4718" s="9" t="s">
        <v>88</v>
      </c>
      <c r="F4718" s="10"/>
      <c r="G4718" s="9" t="s">
        <v>15</v>
      </c>
      <c r="H4718" s="7" t="s">
        <v>8126</v>
      </c>
      <c r="I4718" s="9" t="s">
        <v>353</v>
      </c>
      <c r="J4718" s="88"/>
    </row>
    <row r="4719">
      <c r="A4719" s="6" t="s">
        <v>9</v>
      </c>
      <c r="B4719" s="7" t="s">
        <v>8127</v>
      </c>
      <c r="C4719" s="91">
        <v>44790.385845439814</v>
      </c>
      <c r="D4719" s="8">
        <f t="shared" si="361"/>
        <v>44792</v>
      </c>
      <c r="E4719" s="9" t="s">
        <v>11</v>
      </c>
      <c r="F4719" s="10"/>
      <c r="G4719" s="9" t="s">
        <v>18</v>
      </c>
      <c r="H4719" s="7" t="s">
        <v>8128</v>
      </c>
      <c r="I4719" s="9" t="s">
        <v>353</v>
      </c>
      <c r="J4719" s="88"/>
    </row>
    <row r="4720">
      <c r="A4720" s="6" t="s">
        <v>9</v>
      </c>
      <c r="B4720" s="7" t="s">
        <v>8129</v>
      </c>
      <c r="C4720" s="91">
        <v>44838.516446134265</v>
      </c>
      <c r="D4720" s="8">
        <f t="shared" si="361"/>
        <v>44840</v>
      </c>
      <c r="E4720" s="9" t="s">
        <v>11</v>
      </c>
      <c r="F4720" s="10"/>
      <c r="G4720" s="9" t="s">
        <v>15</v>
      </c>
      <c r="H4720" s="7" t="s">
        <v>8130</v>
      </c>
      <c r="I4720" s="9" t="s">
        <v>353</v>
      </c>
      <c r="J4720" s="88"/>
    </row>
    <row r="4721">
      <c r="A4721" s="6" t="s">
        <v>9</v>
      </c>
      <c r="B4721" s="7" t="s">
        <v>8131</v>
      </c>
      <c r="C4721" s="91">
        <v>44844.42481269676</v>
      </c>
      <c r="D4721" s="8">
        <f t="shared" si="361"/>
        <v>44846</v>
      </c>
      <c r="E4721" s="9" t="s">
        <v>11</v>
      </c>
      <c r="F4721" s="10"/>
      <c r="G4721" s="9"/>
      <c r="H4721" s="11"/>
      <c r="I4721" s="9" t="s">
        <v>353</v>
      </c>
      <c r="J4721" s="88"/>
    </row>
    <row r="4722">
      <c r="A4722" s="6" t="s">
        <v>9</v>
      </c>
      <c r="B4722" s="7" t="s">
        <v>8132</v>
      </c>
      <c r="C4722" s="91">
        <v>44844.39645277778</v>
      </c>
      <c r="D4722" s="8">
        <f t="shared" si="361"/>
        <v>44846</v>
      </c>
      <c r="E4722" s="9" t="s">
        <v>11</v>
      </c>
      <c r="F4722" s="10"/>
      <c r="G4722" s="9" t="s">
        <v>18</v>
      </c>
      <c r="H4722" s="11"/>
      <c r="I4722" s="9" t="s">
        <v>353</v>
      </c>
      <c r="J4722" s="88"/>
    </row>
    <row r="4723">
      <c r="A4723" s="6" t="s">
        <v>9</v>
      </c>
      <c r="B4723" s="7" t="s">
        <v>8133</v>
      </c>
      <c r="C4723" s="91">
        <v>44844.342079050926</v>
      </c>
      <c r="D4723" s="8">
        <f t="shared" si="361"/>
        <v>44846</v>
      </c>
      <c r="E4723" s="9" t="s">
        <v>11</v>
      </c>
      <c r="F4723" s="10"/>
      <c r="G4723" s="9" t="s">
        <v>18</v>
      </c>
      <c r="H4723" s="7" t="s">
        <v>7246</v>
      </c>
      <c r="I4723" s="9" t="s">
        <v>353</v>
      </c>
      <c r="J4723" s="88"/>
    </row>
    <row r="4724">
      <c r="A4724" s="6" t="s">
        <v>9</v>
      </c>
      <c r="B4724" s="7" t="s">
        <v>8134</v>
      </c>
      <c r="C4724" s="91">
        <v>44833.53474681713</v>
      </c>
      <c r="D4724" s="8">
        <f t="shared" si="361"/>
        <v>44837</v>
      </c>
      <c r="E4724" s="9" t="s">
        <v>11</v>
      </c>
      <c r="F4724" s="10"/>
      <c r="G4724" s="9" t="s">
        <v>15</v>
      </c>
      <c r="H4724" s="7" t="s">
        <v>8135</v>
      </c>
      <c r="I4724" s="9" t="s">
        <v>353</v>
      </c>
      <c r="J4724" s="88"/>
    </row>
    <row r="4725">
      <c r="A4725" s="6" t="s">
        <v>9</v>
      </c>
      <c r="B4725" s="7" t="s">
        <v>8136</v>
      </c>
      <c r="C4725" s="91">
        <v>44838.529813553236</v>
      </c>
      <c r="D4725" s="8">
        <f t="shared" si="361"/>
        <v>44840</v>
      </c>
      <c r="E4725" s="9" t="s">
        <v>11</v>
      </c>
      <c r="F4725" s="10"/>
      <c r="G4725" s="9" t="s">
        <v>15</v>
      </c>
      <c r="H4725" s="7" t="s">
        <v>8137</v>
      </c>
      <c r="I4725" s="9" t="s">
        <v>353</v>
      </c>
      <c r="J4725" s="88"/>
    </row>
    <row r="4726">
      <c r="A4726" s="6" t="s">
        <v>9</v>
      </c>
      <c r="B4726" s="7" t="s">
        <v>8138</v>
      </c>
      <c r="C4726" s="91">
        <v>44838.529736655095</v>
      </c>
      <c r="D4726" s="8">
        <f t="shared" si="361"/>
        <v>44840</v>
      </c>
      <c r="E4726" s="9" t="s">
        <v>11</v>
      </c>
      <c r="F4726" s="10"/>
      <c r="G4726" s="9" t="s">
        <v>15</v>
      </c>
      <c r="H4726" s="7" t="s">
        <v>8137</v>
      </c>
      <c r="I4726" s="9" t="s">
        <v>353</v>
      </c>
      <c r="J4726" s="88"/>
    </row>
    <row r="4727">
      <c r="A4727" s="6" t="s">
        <v>9</v>
      </c>
      <c r="B4727" s="7" t="s">
        <v>8139</v>
      </c>
      <c r="C4727" s="91">
        <v>44841.379614097226</v>
      </c>
      <c r="D4727" s="8">
        <f t="shared" si="361"/>
        <v>44845</v>
      </c>
      <c r="E4727" s="9" t="s">
        <v>11</v>
      </c>
      <c r="F4727" s="10"/>
      <c r="G4727" s="9"/>
      <c r="H4727" s="7" t="s">
        <v>8140</v>
      </c>
      <c r="I4727" s="9" t="s">
        <v>353</v>
      </c>
      <c r="J4727" s="88"/>
    </row>
    <row r="4728">
      <c r="A4728" s="6" t="s">
        <v>9</v>
      </c>
      <c r="B4728" s="7" t="s">
        <v>8141</v>
      </c>
      <c r="C4728" s="91">
        <v>44841.37920873842</v>
      </c>
      <c r="D4728" s="8">
        <f t="shared" si="361"/>
        <v>44845</v>
      </c>
      <c r="E4728" s="9" t="s">
        <v>11</v>
      </c>
      <c r="F4728" s="10"/>
      <c r="G4728" s="9"/>
      <c r="H4728" s="7" t="s">
        <v>7077</v>
      </c>
      <c r="I4728" s="9" t="s">
        <v>353</v>
      </c>
      <c r="J4728" s="88"/>
    </row>
    <row r="4729">
      <c r="A4729" s="6" t="s">
        <v>9</v>
      </c>
      <c r="B4729" s="7" t="s">
        <v>8142</v>
      </c>
      <c r="C4729" s="91">
        <v>44841.37857530093</v>
      </c>
      <c r="D4729" s="8">
        <f t="shared" si="361"/>
        <v>44845</v>
      </c>
      <c r="E4729" s="9" t="s">
        <v>11</v>
      </c>
      <c r="F4729" s="10"/>
      <c r="G4729" s="9"/>
      <c r="H4729" s="11"/>
      <c r="I4729" s="9" t="s">
        <v>353</v>
      </c>
      <c r="J4729" s="88"/>
    </row>
    <row r="4730">
      <c r="A4730" s="223" t="s">
        <v>98</v>
      </c>
      <c r="B4730" s="9" t="s">
        <v>8143</v>
      </c>
      <c r="C4730" s="91">
        <v>44833.44236487268</v>
      </c>
      <c r="D4730" s="8">
        <f t="shared" si="361"/>
        <v>44837</v>
      </c>
      <c r="E4730" s="9" t="s">
        <v>11</v>
      </c>
      <c r="F4730" s="10"/>
      <c r="G4730" s="9" t="s">
        <v>18</v>
      </c>
      <c r="H4730" s="9" t="s">
        <v>7677</v>
      </c>
      <c r="I4730" s="9" t="s">
        <v>353</v>
      </c>
      <c r="J4730" s="88"/>
    </row>
    <row r="4731">
      <c r="A4731" s="223" t="s">
        <v>98</v>
      </c>
      <c r="B4731" s="9" t="s">
        <v>8144</v>
      </c>
      <c r="C4731" s="91">
        <v>44833.369923819446</v>
      </c>
      <c r="D4731" s="8">
        <f t="shared" si="361"/>
        <v>44837</v>
      </c>
      <c r="E4731" s="9" t="s">
        <v>11</v>
      </c>
      <c r="F4731" s="10"/>
      <c r="G4731" s="9" t="s">
        <v>18</v>
      </c>
      <c r="H4731" s="9" t="s">
        <v>7677</v>
      </c>
      <c r="I4731" s="9" t="s">
        <v>353</v>
      </c>
      <c r="J4731" s="88"/>
    </row>
    <row r="4732">
      <c r="A4732" s="6" t="s">
        <v>9</v>
      </c>
      <c r="B4732" s="7" t="s">
        <v>8145</v>
      </c>
      <c r="C4732" s="91">
        <v>44839.52350189815</v>
      </c>
      <c r="D4732" s="8">
        <f t="shared" si="361"/>
        <v>44841</v>
      </c>
      <c r="E4732" s="9" t="s">
        <v>11</v>
      </c>
      <c r="F4732" s="10"/>
      <c r="G4732" s="9" t="s">
        <v>15</v>
      </c>
      <c r="H4732" s="7" t="s">
        <v>8146</v>
      </c>
      <c r="I4732" s="9" t="s">
        <v>353</v>
      </c>
      <c r="J4732" s="88"/>
    </row>
    <row r="4733">
      <c r="A4733" s="6" t="s">
        <v>9</v>
      </c>
      <c r="B4733" s="7" t="s">
        <v>8147</v>
      </c>
      <c r="C4733" s="91">
        <v>44839.55405925926</v>
      </c>
      <c r="D4733" s="8">
        <f t="shared" si="361"/>
        <v>44841</v>
      </c>
      <c r="E4733" s="9" t="s">
        <v>11</v>
      </c>
      <c r="F4733" s="10"/>
      <c r="G4733" s="9"/>
      <c r="H4733" s="11"/>
      <c r="I4733" s="9" t="s">
        <v>353</v>
      </c>
      <c r="J4733" s="88"/>
    </row>
    <row r="4734">
      <c r="A4734" s="6" t="s">
        <v>9</v>
      </c>
      <c r="B4734" s="7" t="s">
        <v>8139</v>
      </c>
      <c r="C4734" s="91">
        <v>44838.659721331016</v>
      </c>
      <c r="D4734" s="8">
        <f t="shared" si="361"/>
        <v>44840</v>
      </c>
      <c r="E4734" s="9" t="s">
        <v>11</v>
      </c>
      <c r="F4734" s="10"/>
      <c r="G4734" s="9"/>
      <c r="H4734" s="7" t="s">
        <v>437</v>
      </c>
      <c r="I4734" s="9" t="s">
        <v>353</v>
      </c>
      <c r="J4734" s="88"/>
    </row>
    <row r="4735">
      <c r="A4735" s="6" t="s">
        <v>9</v>
      </c>
      <c r="B4735" s="7" t="s">
        <v>8069</v>
      </c>
      <c r="C4735" s="91">
        <v>44838.65957969907</v>
      </c>
      <c r="D4735" s="8">
        <f t="shared" si="361"/>
        <v>44840</v>
      </c>
      <c r="E4735" s="9" t="s">
        <v>11</v>
      </c>
      <c r="F4735" s="10"/>
      <c r="G4735" s="9" t="s">
        <v>18</v>
      </c>
      <c r="H4735" s="7" t="s">
        <v>8148</v>
      </c>
      <c r="I4735" s="9" t="s">
        <v>353</v>
      </c>
      <c r="J4735" s="88"/>
    </row>
    <row r="4736">
      <c r="A4736" s="6" t="s">
        <v>9</v>
      </c>
      <c r="B4736" s="7" t="s">
        <v>8149</v>
      </c>
      <c r="C4736" s="91">
        <v>44838.68710696759</v>
      </c>
      <c r="D4736" s="8">
        <f t="shared" si="361"/>
        <v>44840</v>
      </c>
      <c r="E4736" s="9" t="s">
        <v>11</v>
      </c>
      <c r="F4736" s="10"/>
      <c r="G4736" s="9"/>
      <c r="H4736" s="7" t="s">
        <v>2896</v>
      </c>
      <c r="I4736" s="9" t="s">
        <v>353</v>
      </c>
      <c r="J4736" s="88"/>
    </row>
    <row r="4737">
      <c r="A4737" s="6" t="s">
        <v>9</v>
      </c>
      <c r="B4737" s="7" t="s">
        <v>8150</v>
      </c>
      <c r="C4737" s="91">
        <v>44838.65995454861</v>
      </c>
      <c r="D4737" s="8">
        <f t="shared" si="361"/>
        <v>44840</v>
      </c>
      <c r="E4737" s="9" t="s">
        <v>11</v>
      </c>
      <c r="F4737" s="10"/>
      <c r="G4737" s="9"/>
      <c r="H4737" s="7" t="s">
        <v>2896</v>
      </c>
      <c r="I4737" s="9" t="s">
        <v>353</v>
      </c>
      <c r="J4737" s="88"/>
    </row>
    <row r="4738">
      <c r="A4738" s="6" t="s">
        <v>9</v>
      </c>
      <c r="B4738" s="7" t="s">
        <v>8151</v>
      </c>
      <c r="C4738" s="91">
        <v>44834.40743215277</v>
      </c>
      <c r="D4738" s="8">
        <f t="shared" si="361"/>
        <v>44838</v>
      </c>
      <c r="E4738" s="9" t="s">
        <v>11</v>
      </c>
      <c r="F4738" s="10"/>
      <c r="G4738" s="9" t="s">
        <v>15</v>
      </c>
      <c r="H4738" s="7" t="s">
        <v>8152</v>
      </c>
      <c r="I4738" s="9" t="s">
        <v>353</v>
      </c>
      <c r="J4738" s="88"/>
    </row>
    <row r="4739">
      <c r="A4739" s="6" t="s">
        <v>9</v>
      </c>
      <c r="B4739" s="7" t="s">
        <v>8153</v>
      </c>
      <c r="C4739" s="91">
        <v>44820.476960914355</v>
      </c>
      <c r="D4739" s="8">
        <f t="shared" si="361"/>
        <v>44824</v>
      </c>
      <c r="E4739" s="9" t="s">
        <v>88</v>
      </c>
      <c r="F4739" s="10"/>
      <c r="G4739" s="9" t="s">
        <v>15</v>
      </c>
      <c r="H4739" s="7" t="s">
        <v>8154</v>
      </c>
      <c r="I4739" s="9" t="s">
        <v>353</v>
      </c>
      <c r="J4739" s="88"/>
    </row>
    <row r="4740">
      <c r="A4740" s="6" t="s">
        <v>9</v>
      </c>
      <c r="B4740" s="7" t="s">
        <v>3192</v>
      </c>
      <c r="C4740" s="91">
        <v>44816.639181481485</v>
      </c>
      <c r="D4740" s="8">
        <f t="shared" si="361"/>
        <v>44818</v>
      </c>
      <c r="E4740" s="9" t="s">
        <v>88</v>
      </c>
      <c r="F4740" s="10"/>
      <c r="G4740" s="9" t="s">
        <v>15</v>
      </c>
      <c r="H4740" s="7" t="s">
        <v>8155</v>
      </c>
      <c r="I4740" s="9" t="s">
        <v>353</v>
      </c>
      <c r="J4740" s="88"/>
    </row>
    <row r="4741">
      <c r="A4741" s="6" t="s">
        <v>9</v>
      </c>
      <c r="B4741" s="7" t="s">
        <v>8156</v>
      </c>
      <c r="C4741" s="91">
        <v>44837.909728125</v>
      </c>
      <c r="D4741" s="8">
        <f t="shared" si="361"/>
        <v>44839</v>
      </c>
      <c r="E4741" s="9" t="s">
        <v>11</v>
      </c>
      <c r="F4741" s="10"/>
      <c r="G4741" s="9"/>
      <c r="H4741" s="11"/>
      <c r="I4741" s="9" t="s">
        <v>353</v>
      </c>
      <c r="J4741" s="88"/>
    </row>
    <row r="4742">
      <c r="A4742" s="6" t="s">
        <v>9</v>
      </c>
      <c r="B4742" s="7" t="s">
        <v>8157</v>
      </c>
      <c r="C4742" s="91">
        <v>44837.90962428241</v>
      </c>
      <c r="D4742" s="8">
        <f t="shared" si="361"/>
        <v>44839</v>
      </c>
      <c r="E4742" s="9" t="s">
        <v>11</v>
      </c>
      <c r="F4742" s="10"/>
      <c r="G4742" s="9"/>
      <c r="H4742" s="11"/>
      <c r="I4742" s="9" t="s">
        <v>353</v>
      </c>
      <c r="J4742" s="88"/>
    </row>
    <row r="4743">
      <c r="A4743" s="6" t="s">
        <v>9</v>
      </c>
      <c r="B4743" s="7" t="s">
        <v>8158</v>
      </c>
      <c r="C4743" s="91">
        <v>44837.68091394676</v>
      </c>
      <c r="D4743" s="8">
        <f t="shared" si="361"/>
        <v>44839</v>
      </c>
      <c r="E4743" s="9" t="s">
        <v>11</v>
      </c>
      <c r="F4743" s="10"/>
      <c r="G4743" s="9"/>
      <c r="H4743" s="11"/>
      <c r="I4743" s="9" t="s">
        <v>353</v>
      </c>
      <c r="J4743" s="88"/>
    </row>
    <row r="4744">
      <c r="A4744" s="6" t="s">
        <v>9</v>
      </c>
      <c r="B4744" s="7" t="s">
        <v>7227</v>
      </c>
      <c r="C4744" s="91">
        <v>44834.42518298611</v>
      </c>
      <c r="D4744" s="8">
        <f t="shared" si="361"/>
        <v>44838</v>
      </c>
      <c r="E4744" s="9" t="s">
        <v>11</v>
      </c>
      <c r="F4744" s="10"/>
      <c r="G4744" s="9" t="s">
        <v>15</v>
      </c>
      <c r="H4744" s="11"/>
      <c r="I4744" s="9" t="s">
        <v>353</v>
      </c>
      <c r="J4744" s="88"/>
    </row>
    <row r="4745">
      <c r="A4745" s="223" t="s">
        <v>98</v>
      </c>
      <c r="B4745" s="9" t="s">
        <v>8159</v>
      </c>
      <c r="C4745" s="91">
        <v>44833.369987557875</v>
      </c>
      <c r="D4745" s="8">
        <f t="shared" si="361"/>
        <v>44837</v>
      </c>
      <c r="E4745" s="9" t="s">
        <v>11</v>
      </c>
      <c r="F4745" s="10"/>
      <c r="G4745" s="9" t="s">
        <v>18</v>
      </c>
      <c r="H4745" s="9" t="s">
        <v>7677</v>
      </c>
      <c r="I4745" s="9" t="s">
        <v>353</v>
      </c>
      <c r="J4745" s="88"/>
    </row>
    <row r="4746">
      <c r="A4746" s="223" t="s">
        <v>98</v>
      </c>
      <c r="B4746" s="9" t="s">
        <v>8160</v>
      </c>
      <c r="C4746" s="91">
        <v>44827.3619133912</v>
      </c>
      <c r="D4746" s="8">
        <f t="shared" si="361"/>
        <v>44831</v>
      </c>
      <c r="E4746" s="9" t="s">
        <v>88</v>
      </c>
      <c r="F4746" s="10"/>
      <c r="G4746" s="9" t="s">
        <v>18</v>
      </c>
      <c r="H4746" s="9" t="s">
        <v>7677</v>
      </c>
      <c r="I4746" s="9" t="s">
        <v>353</v>
      </c>
      <c r="J4746" s="88"/>
    </row>
    <row r="4747">
      <c r="A4747" s="223" t="s">
        <v>98</v>
      </c>
      <c r="B4747" s="9" t="s">
        <v>8161</v>
      </c>
      <c r="C4747" s="91">
        <v>44833.474875092594</v>
      </c>
      <c r="D4747" s="8">
        <f t="shared" si="361"/>
        <v>44837</v>
      </c>
      <c r="E4747" s="9" t="s">
        <v>11</v>
      </c>
      <c r="F4747" s="10"/>
      <c r="G4747" s="9" t="s">
        <v>18</v>
      </c>
      <c r="H4747" s="26"/>
      <c r="I4747" s="9" t="s">
        <v>353</v>
      </c>
      <c r="J4747" s="88"/>
    </row>
    <row r="4748">
      <c r="A4748" s="6" t="s">
        <v>9</v>
      </c>
      <c r="B4748" s="7" t="s">
        <v>8162</v>
      </c>
      <c r="C4748" s="91">
        <v>44827.47084372686</v>
      </c>
      <c r="D4748" s="8">
        <f t="shared" si="361"/>
        <v>44831</v>
      </c>
      <c r="E4748" s="9" t="s">
        <v>88</v>
      </c>
      <c r="F4748" s="10"/>
      <c r="G4748" s="9" t="s">
        <v>18</v>
      </c>
      <c r="H4748" s="7" t="s">
        <v>8163</v>
      </c>
      <c r="I4748" s="9" t="s">
        <v>353</v>
      </c>
      <c r="J4748" s="88"/>
    </row>
    <row r="4749">
      <c r="A4749" s="6" t="s">
        <v>9</v>
      </c>
      <c r="B4749" s="7" t="s">
        <v>6954</v>
      </c>
      <c r="C4749" s="91">
        <v>44833.414669074074</v>
      </c>
      <c r="D4749" s="8">
        <f t="shared" si="361"/>
        <v>44837</v>
      </c>
      <c r="E4749" s="9" t="s">
        <v>206</v>
      </c>
      <c r="F4749" s="10"/>
      <c r="G4749" s="9" t="s">
        <v>18</v>
      </c>
      <c r="H4749" s="7" t="s">
        <v>8164</v>
      </c>
      <c r="I4749" s="9" t="s">
        <v>353</v>
      </c>
      <c r="J4749" s="88"/>
    </row>
    <row r="4750">
      <c r="A4750" s="6" t="s">
        <v>9</v>
      </c>
      <c r="B4750" s="7" t="s">
        <v>8165</v>
      </c>
      <c r="C4750" s="91">
        <v>44832.72643913195</v>
      </c>
      <c r="D4750" s="8">
        <f t="shared" si="361"/>
        <v>44834</v>
      </c>
      <c r="E4750" s="9" t="s">
        <v>11</v>
      </c>
      <c r="F4750" s="10"/>
      <c r="G4750" s="9" t="s">
        <v>220</v>
      </c>
      <c r="H4750" s="11"/>
      <c r="I4750" s="9" t="s">
        <v>353</v>
      </c>
      <c r="J4750" s="88"/>
    </row>
    <row r="4751">
      <c r="A4751" s="223" t="s">
        <v>98</v>
      </c>
      <c r="B4751" s="9" t="s">
        <v>8166</v>
      </c>
      <c r="C4751" s="91">
        <v>44832.63837260417</v>
      </c>
      <c r="D4751" s="8">
        <f t="shared" si="361"/>
        <v>44834</v>
      </c>
      <c r="E4751" s="9" t="s">
        <v>11</v>
      </c>
      <c r="F4751" s="10"/>
      <c r="G4751" s="9" t="s">
        <v>220</v>
      </c>
      <c r="H4751" s="9" t="s">
        <v>8167</v>
      </c>
      <c r="I4751" s="9" t="s">
        <v>353</v>
      </c>
      <c r="J4751" s="88"/>
    </row>
    <row r="4752">
      <c r="A4752" s="6" t="s">
        <v>9</v>
      </c>
      <c r="B4752" s="7" t="s">
        <v>8168</v>
      </c>
      <c r="C4752" s="91">
        <v>44830.59127089121</v>
      </c>
      <c r="D4752" s="8">
        <f t="shared" si="361"/>
        <v>44832</v>
      </c>
      <c r="E4752" s="9" t="s">
        <v>11</v>
      </c>
      <c r="F4752" s="10"/>
      <c r="G4752" s="9" t="s">
        <v>15</v>
      </c>
      <c r="H4752" s="7" t="s">
        <v>8169</v>
      </c>
      <c r="I4752" s="9" t="s">
        <v>353</v>
      </c>
      <c r="J4752" s="88"/>
    </row>
    <row r="4753">
      <c r="A4753" s="6" t="s">
        <v>9</v>
      </c>
      <c r="B4753" s="7" t="s">
        <v>8170</v>
      </c>
      <c r="C4753" s="91">
        <v>44817.41327505787</v>
      </c>
      <c r="D4753" s="8">
        <f t="shared" si="361"/>
        <v>44819</v>
      </c>
      <c r="E4753" s="9" t="s">
        <v>88</v>
      </c>
      <c r="F4753" s="8"/>
      <c r="G4753" s="9" t="s">
        <v>15</v>
      </c>
      <c r="H4753" s="7" t="s">
        <v>842</v>
      </c>
      <c r="I4753" s="9" t="s">
        <v>353</v>
      </c>
      <c r="J4753" s="88"/>
    </row>
    <row r="4754">
      <c r="A4754" s="6" t="s">
        <v>9</v>
      </c>
      <c r="B4754" s="7" t="s">
        <v>6290</v>
      </c>
      <c r="C4754" s="91">
        <v>44818.47088329861</v>
      </c>
      <c r="D4754" s="8">
        <f t="shared" si="361"/>
        <v>44820</v>
      </c>
      <c r="E4754" s="9" t="s">
        <v>216</v>
      </c>
      <c r="F4754" s="8"/>
      <c r="G4754" s="9" t="s">
        <v>15</v>
      </c>
      <c r="H4754" s="7" t="s">
        <v>8171</v>
      </c>
      <c r="I4754" s="9" t="s">
        <v>353</v>
      </c>
      <c r="J4754" s="88"/>
    </row>
    <row r="4755">
      <c r="A4755" s="6" t="s">
        <v>9</v>
      </c>
      <c r="B4755" s="7" t="s">
        <v>8172</v>
      </c>
      <c r="C4755" s="91">
        <v>44827.45349576389</v>
      </c>
      <c r="D4755" s="8">
        <f t="shared" si="361"/>
        <v>44831</v>
      </c>
      <c r="E4755" s="9" t="s">
        <v>88</v>
      </c>
      <c r="F4755" s="10"/>
      <c r="G4755" s="9" t="s">
        <v>18</v>
      </c>
      <c r="H4755" s="7" t="s">
        <v>8173</v>
      </c>
      <c r="I4755" s="9" t="s">
        <v>353</v>
      </c>
      <c r="J4755" s="88"/>
    </row>
    <row r="4756">
      <c r="A4756" s="223" t="s">
        <v>98</v>
      </c>
      <c r="B4756" s="225" t="s">
        <v>8174</v>
      </c>
      <c r="C4756" s="91" t="s">
        <v>11</v>
      </c>
      <c r="D4756" s="8" t="str">
        <f t="shared" si="361"/>
        <v>-</v>
      </c>
      <c r="E4756" s="9" t="s">
        <v>206</v>
      </c>
      <c r="F4756" s="10"/>
      <c r="G4756" s="9" t="s">
        <v>220</v>
      </c>
      <c r="H4756" s="225" t="s">
        <v>7804</v>
      </c>
      <c r="I4756" s="9" t="s">
        <v>353</v>
      </c>
      <c r="J4756" s="88"/>
    </row>
    <row r="4757">
      <c r="A4757" s="223" t="s">
        <v>98</v>
      </c>
      <c r="B4757" s="225" t="s">
        <v>8175</v>
      </c>
      <c r="C4757" s="91" t="s">
        <v>11</v>
      </c>
      <c r="D4757" s="8" t="str">
        <f t="shared" si="361"/>
        <v>-</v>
      </c>
      <c r="E4757" s="9" t="s">
        <v>206</v>
      </c>
      <c r="F4757" s="10"/>
      <c r="G4757" s="9" t="s">
        <v>220</v>
      </c>
      <c r="H4757" s="225" t="s">
        <v>7804</v>
      </c>
      <c r="I4757" s="9" t="s">
        <v>353</v>
      </c>
      <c r="J4757" s="88"/>
    </row>
    <row r="4758">
      <c r="A4758" s="223" t="s">
        <v>98</v>
      </c>
      <c r="B4758" s="225" t="s">
        <v>8176</v>
      </c>
      <c r="C4758" s="91" t="s">
        <v>11</v>
      </c>
      <c r="D4758" s="8" t="str">
        <f t="shared" si="361"/>
        <v>-</v>
      </c>
      <c r="E4758" s="9" t="s">
        <v>206</v>
      </c>
      <c r="F4758" s="10"/>
      <c r="G4758" s="9" t="s">
        <v>220</v>
      </c>
      <c r="H4758" s="225" t="s">
        <v>7804</v>
      </c>
      <c r="I4758" s="9" t="s">
        <v>353</v>
      </c>
      <c r="J4758" s="88"/>
    </row>
    <row r="4759">
      <c r="A4759" s="223" t="s">
        <v>98</v>
      </c>
      <c r="B4759" s="225" t="s">
        <v>8177</v>
      </c>
      <c r="C4759" s="91" t="s">
        <v>11</v>
      </c>
      <c r="D4759" s="8" t="str">
        <f t="shared" si="361"/>
        <v>-</v>
      </c>
      <c r="E4759" s="9" t="s">
        <v>206</v>
      </c>
      <c r="F4759" s="10"/>
      <c r="G4759" s="9" t="s">
        <v>220</v>
      </c>
      <c r="H4759" s="225" t="s">
        <v>7804</v>
      </c>
      <c r="I4759" s="9" t="s">
        <v>353</v>
      </c>
      <c r="J4759" s="88"/>
    </row>
    <row r="4760">
      <c r="A4760" s="223" t="s">
        <v>98</v>
      </c>
      <c r="B4760" s="225" t="s">
        <v>8178</v>
      </c>
      <c r="C4760" s="91" t="s">
        <v>11</v>
      </c>
      <c r="D4760" s="8" t="str">
        <f t="shared" si="361"/>
        <v>-</v>
      </c>
      <c r="E4760" s="9" t="s">
        <v>206</v>
      </c>
      <c r="F4760" s="10"/>
      <c r="G4760" s="9" t="s">
        <v>220</v>
      </c>
      <c r="H4760" s="225" t="s">
        <v>7804</v>
      </c>
      <c r="I4760" s="9" t="s">
        <v>353</v>
      </c>
      <c r="J4760" s="88"/>
    </row>
    <row r="4761">
      <c r="A4761" s="223" t="s">
        <v>98</v>
      </c>
      <c r="B4761" s="225" t="s">
        <v>8179</v>
      </c>
      <c r="C4761" s="91" t="s">
        <v>11</v>
      </c>
      <c r="D4761" s="8" t="str">
        <f t="shared" si="361"/>
        <v>-</v>
      </c>
      <c r="E4761" s="9" t="s">
        <v>206</v>
      </c>
      <c r="F4761" s="10"/>
      <c r="G4761" s="9" t="s">
        <v>220</v>
      </c>
      <c r="H4761" s="225" t="s">
        <v>7804</v>
      </c>
      <c r="I4761" s="9" t="s">
        <v>353</v>
      </c>
      <c r="J4761" s="88"/>
    </row>
    <row r="4762">
      <c r="A4762" s="223" t="s">
        <v>98</v>
      </c>
      <c r="B4762" s="225" t="s">
        <v>8180</v>
      </c>
      <c r="C4762" s="91" t="s">
        <v>11</v>
      </c>
      <c r="D4762" s="8" t="str">
        <f t="shared" si="361"/>
        <v>-</v>
      </c>
      <c r="E4762" s="9" t="s">
        <v>206</v>
      </c>
      <c r="F4762" s="10"/>
      <c r="G4762" s="9" t="s">
        <v>220</v>
      </c>
      <c r="H4762" s="225" t="s">
        <v>7804</v>
      </c>
      <c r="I4762" s="9" t="s">
        <v>353</v>
      </c>
      <c r="J4762" s="88"/>
    </row>
    <row r="4763">
      <c r="A4763" s="223" t="s">
        <v>98</v>
      </c>
      <c r="B4763" s="225" t="s">
        <v>8181</v>
      </c>
      <c r="C4763" s="91" t="s">
        <v>11</v>
      </c>
      <c r="D4763" s="8" t="str">
        <f t="shared" si="361"/>
        <v>-</v>
      </c>
      <c r="E4763" s="9" t="s">
        <v>206</v>
      </c>
      <c r="F4763" s="10"/>
      <c r="G4763" s="9" t="s">
        <v>220</v>
      </c>
      <c r="H4763" s="230" t="s">
        <v>7804</v>
      </c>
      <c r="I4763" s="9" t="s">
        <v>353</v>
      </c>
      <c r="J4763" s="88"/>
    </row>
    <row r="4764">
      <c r="A4764" s="223" t="s">
        <v>98</v>
      </c>
      <c r="B4764" s="9" t="s">
        <v>8182</v>
      </c>
      <c r="C4764" s="91">
        <v>44827.362513252316</v>
      </c>
      <c r="D4764" s="8">
        <f t="shared" si="361"/>
        <v>44831</v>
      </c>
      <c r="E4764" s="9" t="s">
        <v>88</v>
      </c>
      <c r="F4764" s="10"/>
      <c r="G4764" s="9" t="s">
        <v>18</v>
      </c>
      <c r="H4764" s="9" t="s">
        <v>7677</v>
      </c>
      <c r="I4764" s="9" t="s">
        <v>353</v>
      </c>
      <c r="J4764" s="88"/>
    </row>
    <row r="4765">
      <c r="A4765" s="6" t="s">
        <v>9</v>
      </c>
      <c r="B4765" s="7" t="s">
        <v>8183</v>
      </c>
      <c r="C4765" s="91">
        <v>44830.60334778935</v>
      </c>
      <c r="D4765" s="8">
        <f t="shared" si="361"/>
        <v>44832</v>
      </c>
      <c r="E4765" s="9" t="s">
        <v>88</v>
      </c>
      <c r="F4765" s="10"/>
      <c r="G4765" s="9" t="s">
        <v>15</v>
      </c>
      <c r="H4765" s="7" t="s">
        <v>8173</v>
      </c>
      <c r="I4765" s="9" t="s">
        <v>353</v>
      </c>
      <c r="J4765" s="88"/>
    </row>
    <row r="4766">
      <c r="A4766" s="223" t="s">
        <v>98</v>
      </c>
      <c r="B4766" s="9" t="s">
        <v>8184</v>
      </c>
      <c r="C4766" s="91">
        <v>44824.46660127315</v>
      </c>
      <c r="D4766" s="8">
        <f t="shared" si="361"/>
        <v>44826</v>
      </c>
      <c r="E4766" s="9" t="s">
        <v>216</v>
      </c>
      <c r="F4766" s="10"/>
      <c r="G4766" s="9" t="s">
        <v>18</v>
      </c>
      <c r="H4766" s="9" t="s">
        <v>7677</v>
      </c>
      <c r="I4766" s="9" t="s">
        <v>353</v>
      </c>
      <c r="J4766" s="88"/>
    </row>
    <row r="4767">
      <c r="A4767" s="6" t="s">
        <v>9</v>
      </c>
      <c r="B4767" s="7" t="s">
        <v>6290</v>
      </c>
      <c r="C4767" s="91" t="s">
        <v>11</v>
      </c>
      <c r="D4767" s="8" t="str">
        <f t="shared" si="361"/>
        <v>-</v>
      </c>
      <c r="E4767" s="9" t="s">
        <v>88</v>
      </c>
      <c r="F4767" s="10"/>
      <c r="G4767" s="9" t="s">
        <v>4263</v>
      </c>
      <c r="H4767" s="7" t="s">
        <v>8185</v>
      </c>
      <c r="I4767" s="9" t="s">
        <v>353</v>
      </c>
      <c r="J4767" s="88"/>
    </row>
    <row r="4768">
      <c r="A4768" s="6" t="s">
        <v>9</v>
      </c>
      <c r="B4768" s="7" t="s">
        <v>6290</v>
      </c>
      <c r="C4768" s="91" t="s">
        <v>11</v>
      </c>
      <c r="D4768" s="8" t="str">
        <f t="shared" si="361"/>
        <v>-</v>
      </c>
      <c r="E4768" s="9" t="s">
        <v>88</v>
      </c>
      <c r="F4768" s="10"/>
      <c r="G4768" s="9" t="s">
        <v>4263</v>
      </c>
      <c r="H4768" s="231" t="s">
        <v>8186</v>
      </c>
      <c r="I4768" s="9" t="s">
        <v>353</v>
      </c>
      <c r="J4768" s="88"/>
    </row>
    <row r="4769">
      <c r="A4769" s="6" t="s">
        <v>9</v>
      </c>
      <c r="B4769" s="7" t="s">
        <v>8187</v>
      </c>
      <c r="C4769" s="91">
        <v>44820.47405684028</v>
      </c>
      <c r="D4769" s="8">
        <f t="shared" si="361"/>
        <v>44824</v>
      </c>
      <c r="E4769" s="9" t="s">
        <v>88</v>
      </c>
      <c r="F4769" s="10"/>
      <c r="G4769" s="9" t="s">
        <v>15</v>
      </c>
      <c r="H4769" s="7" t="s">
        <v>8188</v>
      </c>
      <c r="I4769" s="9" t="s">
        <v>353</v>
      </c>
      <c r="J4769" s="88"/>
    </row>
    <row r="4770">
      <c r="A4770" s="6" t="s">
        <v>9</v>
      </c>
      <c r="B4770" s="7" t="s">
        <v>8189</v>
      </c>
      <c r="C4770" s="91">
        <v>44760.428422453704</v>
      </c>
      <c r="D4770" s="8">
        <f t="shared" si="361"/>
        <v>44762</v>
      </c>
      <c r="E4770" s="9" t="s">
        <v>88</v>
      </c>
      <c r="F4770" s="8"/>
      <c r="G4770" s="9" t="s">
        <v>15</v>
      </c>
      <c r="H4770" s="7" t="s">
        <v>8190</v>
      </c>
      <c r="I4770" s="9" t="s">
        <v>353</v>
      </c>
      <c r="J4770" s="88"/>
    </row>
    <row r="4771">
      <c r="A4771" s="6" t="s">
        <v>9</v>
      </c>
      <c r="B4771" s="7" t="s">
        <v>8191</v>
      </c>
      <c r="C4771" s="91">
        <v>44817.41439708333</v>
      </c>
      <c r="D4771" s="8">
        <f t="shared" si="361"/>
        <v>44819</v>
      </c>
      <c r="E4771" s="9" t="s">
        <v>88</v>
      </c>
      <c r="F4771" s="10"/>
      <c r="G4771" s="9" t="s">
        <v>15</v>
      </c>
      <c r="H4771" s="7" t="s">
        <v>8192</v>
      </c>
      <c r="I4771" s="9" t="s">
        <v>353</v>
      </c>
      <c r="J4771" s="88"/>
    </row>
    <row r="4772">
      <c r="A4772" s="6" t="s">
        <v>9</v>
      </c>
      <c r="B4772" s="7" t="s">
        <v>8193</v>
      </c>
      <c r="C4772" s="91">
        <v>44830.49359597222</v>
      </c>
      <c r="D4772" s="8">
        <f t="shared" si="361"/>
        <v>44832</v>
      </c>
      <c r="E4772" s="9" t="s">
        <v>11</v>
      </c>
      <c r="F4772" s="10"/>
      <c r="G4772" s="9" t="s">
        <v>18</v>
      </c>
      <c r="H4772" s="11"/>
      <c r="I4772" s="9" t="s">
        <v>353</v>
      </c>
      <c r="J4772" s="88"/>
    </row>
    <row r="4773">
      <c r="A4773" s="6" t="s">
        <v>9</v>
      </c>
      <c r="B4773" s="7" t="s">
        <v>8194</v>
      </c>
      <c r="C4773" s="91">
        <v>44827.66342473379</v>
      </c>
      <c r="D4773" s="8">
        <f t="shared" si="361"/>
        <v>44831</v>
      </c>
      <c r="E4773" s="9" t="s">
        <v>11</v>
      </c>
      <c r="F4773" s="10"/>
      <c r="G4773" s="9"/>
      <c r="H4773" s="11"/>
      <c r="I4773" s="9" t="s">
        <v>353</v>
      </c>
      <c r="J4773" s="88"/>
    </row>
    <row r="4774">
      <c r="A4774" s="6" t="s">
        <v>9</v>
      </c>
      <c r="B4774" s="7" t="s">
        <v>5863</v>
      </c>
      <c r="C4774" s="91">
        <v>44826.76493754629</v>
      </c>
      <c r="D4774" s="8">
        <f t="shared" si="361"/>
        <v>44830</v>
      </c>
      <c r="E4774" s="9" t="s">
        <v>11</v>
      </c>
      <c r="F4774" s="10"/>
      <c r="G4774" s="9" t="s">
        <v>18</v>
      </c>
      <c r="H4774" s="7" t="s">
        <v>437</v>
      </c>
      <c r="I4774" s="9" t="s">
        <v>353</v>
      </c>
      <c r="J4774" s="88"/>
    </row>
    <row r="4775">
      <c r="A4775" s="6" t="s">
        <v>9</v>
      </c>
      <c r="B4775" s="7" t="s">
        <v>8195</v>
      </c>
      <c r="C4775" s="91">
        <v>44827.47548476852</v>
      </c>
      <c r="D4775" s="8">
        <f t="shared" si="361"/>
        <v>44831</v>
      </c>
      <c r="E4775" s="9" t="s">
        <v>88</v>
      </c>
      <c r="F4775" s="10"/>
      <c r="G4775" s="9" t="s">
        <v>18</v>
      </c>
      <c r="H4775" s="11"/>
      <c r="I4775" s="9" t="s">
        <v>353</v>
      </c>
      <c r="J4775" s="88"/>
    </row>
    <row r="4776">
      <c r="A4776" s="6" t="s">
        <v>9</v>
      </c>
      <c r="B4776" s="7" t="s">
        <v>8196</v>
      </c>
      <c r="C4776" s="91" t="s">
        <v>11</v>
      </c>
      <c r="D4776" s="8" t="str">
        <f t="shared" si="361"/>
        <v>-</v>
      </c>
      <c r="E4776" s="9" t="s">
        <v>88</v>
      </c>
      <c r="F4776" s="10"/>
      <c r="G4776" s="9" t="s">
        <v>18</v>
      </c>
      <c r="H4776" s="220" t="s">
        <v>437</v>
      </c>
      <c r="I4776" s="9" t="s">
        <v>353</v>
      </c>
      <c r="J4776" s="88"/>
    </row>
    <row r="4777">
      <c r="A4777" s="6" t="s">
        <v>9</v>
      </c>
      <c r="B4777" s="7" t="s">
        <v>8197</v>
      </c>
      <c r="C4777" s="91">
        <v>44797.58056815973</v>
      </c>
      <c r="D4777" s="8">
        <f t="shared" si="361"/>
        <v>44799</v>
      </c>
      <c r="E4777" s="9" t="s">
        <v>88</v>
      </c>
      <c r="F4777" s="10"/>
      <c r="G4777" s="9" t="s">
        <v>18</v>
      </c>
      <c r="H4777" s="7" t="s">
        <v>8198</v>
      </c>
      <c r="I4777" s="9" t="s">
        <v>353</v>
      </c>
      <c r="J4777" s="88"/>
    </row>
    <row r="4778">
      <c r="A4778" s="42" t="s">
        <v>88</v>
      </c>
      <c r="B4778" s="7" t="s">
        <v>8199</v>
      </c>
      <c r="C4778" s="91">
        <v>44823.39191774305</v>
      </c>
      <c r="D4778" s="8">
        <f t="shared" si="361"/>
        <v>44825</v>
      </c>
      <c r="E4778" s="9" t="s">
        <v>88</v>
      </c>
      <c r="F4778" s="10"/>
      <c r="G4778" s="9" t="s">
        <v>18</v>
      </c>
      <c r="H4778" s="9" t="s">
        <v>8200</v>
      </c>
      <c r="I4778" s="9" t="s">
        <v>353</v>
      </c>
      <c r="J4778" s="88"/>
    </row>
    <row r="4779">
      <c r="A4779" s="6" t="s">
        <v>9</v>
      </c>
      <c r="B4779" s="7" t="s">
        <v>8201</v>
      </c>
      <c r="C4779" s="91">
        <v>44825.737862951384</v>
      </c>
      <c r="D4779" s="8">
        <f t="shared" si="361"/>
        <v>44827</v>
      </c>
      <c r="E4779" s="9" t="s">
        <v>11</v>
      </c>
      <c r="F4779" s="10"/>
      <c r="G4779" s="9" t="s">
        <v>18</v>
      </c>
      <c r="H4779" s="11"/>
      <c r="I4779" s="9" t="s">
        <v>353</v>
      </c>
      <c r="J4779" s="88"/>
    </row>
    <row r="4780">
      <c r="A4780" s="42" t="s">
        <v>88</v>
      </c>
      <c r="B4780" s="11"/>
      <c r="C4780" s="91" t="s">
        <v>11</v>
      </c>
      <c r="D4780" s="8" t="str">
        <f t="shared" si="361"/>
        <v>-</v>
      </c>
      <c r="E4780" s="9" t="s">
        <v>11</v>
      </c>
      <c r="F4780" s="10"/>
      <c r="G4780" s="9"/>
      <c r="H4780" s="26"/>
      <c r="I4780" s="9" t="s">
        <v>13</v>
      </c>
      <c r="J4780" s="88"/>
    </row>
    <row r="4781">
      <c r="A4781" s="88"/>
      <c r="B4781" s="89"/>
      <c r="C4781" s="90"/>
      <c r="D4781" s="89"/>
      <c r="E4781" s="89"/>
      <c r="F4781" s="89"/>
      <c r="G4781" s="89"/>
      <c r="H4781" s="87"/>
      <c r="I4781" s="89"/>
      <c r="J4781" s="88"/>
    </row>
    <row r="4782">
      <c r="A4782" s="6" t="s">
        <v>9</v>
      </c>
      <c r="B4782" s="7" t="s">
        <v>8202</v>
      </c>
      <c r="C4782" s="91">
        <v>44825.49046903935</v>
      </c>
      <c r="D4782" s="8">
        <f t="shared" ref="D4782:D4794" si="362">IFERROR(_xlfn.WORKDAY.INTL(C4782, 2),"-")</f>
        <v>44827</v>
      </c>
      <c r="E4782" s="9" t="s">
        <v>11</v>
      </c>
      <c r="F4782" s="10"/>
      <c r="G4782" s="9" t="s">
        <v>18</v>
      </c>
      <c r="H4782" s="7" t="s">
        <v>7578</v>
      </c>
      <c r="I4782" s="9" t="s">
        <v>353</v>
      </c>
      <c r="J4782" s="88"/>
    </row>
    <row r="4783">
      <c r="A4783" s="6" t="s">
        <v>9</v>
      </c>
      <c r="B4783" s="7" t="s">
        <v>6290</v>
      </c>
      <c r="C4783" s="91">
        <v>44823.35543112268</v>
      </c>
      <c r="D4783" s="8">
        <f t="shared" si="362"/>
        <v>44825</v>
      </c>
      <c r="E4783" s="9" t="s">
        <v>88</v>
      </c>
      <c r="F4783" s="8"/>
      <c r="G4783" s="9" t="s">
        <v>18</v>
      </c>
      <c r="H4783" s="7" t="s">
        <v>8203</v>
      </c>
      <c r="I4783" s="9" t="s">
        <v>353</v>
      </c>
      <c r="J4783" s="88"/>
    </row>
    <row r="4784">
      <c r="A4784" s="42" t="s">
        <v>88</v>
      </c>
      <c r="B4784" s="7" t="s">
        <v>8204</v>
      </c>
      <c r="C4784" s="91">
        <v>44809.411189606486</v>
      </c>
      <c r="D4784" s="8">
        <f t="shared" si="362"/>
        <v>44811</v>
      </c>
      <c r="E4784" s="9" t="s">
        <v>206</v>
      </c>
      <c r="F4784" s="10"/>
      <c r="G4784" s="9" t="s">
        <v>18</v>
      </c>
      <c r="H4784" s="9" t="s">
        <v>8205</v>
      </c>
      <c r="I4784" s="9" t="s">
        <v>353</v>
      </c>
      <c r="J4784" s="88"/>
    </row>
    <row r="4785">
      <c r="A4785" s="6" t="s">
        <v>9</v>
      </c>
      <c r="B4785" s="7" t="s">
        <v>6290</v>
      </c>
      <c r="C4785" s="91">
        <v>44817.412678796296</v>
      </c>
      <c r="D4785" s="8">
        <f t="shared" si="362"/>
        <v>44819</v>
      </c>
      <c r="E4785" s="9" t="s">
        <v>88</v>
      </c>
      <c r="F4785" s="10"/>
      <c r="G4785" s="9" t="s">
        <v>18</v>
      </c>
      <c r="H4785" s="7" t="s">
        <v>8206</v>
      </c>
      <c r="I4785" s="9" t="s">
        <v>353</v>
      </c>
      <c r="J4785" s="88"/>
    </row>
    <row r="4786">
      <c r="A4786" s="42" t="s">
        <v>88</v>
      </c>
      <c r="B4786" s="7" t="s">
        <v>5220</v>
      </c>
      <c r="C4786" s="91">
        <v>44802.74598746528</v>
      </c>
      <c r="D4786" s="8">
        <f t="shared" si="362"/>
        <v>44804</v>
      </c>
      <c r="E4786" s="9" t="s">
        <v>206</v>
      </c>
      <c r="F4786" s="10"/>
      <c r="G4786" s="9" t="s">
        <v>15</v>
      </c>
      <c r="H4786" s="9" t="s">
        <v>8207</v>
      </c>
      <c r="I4786" s="9" t="s">
        <v>353</v>
      </c>
      <c r="J4786" s="88"/>
    </row>
    <row r="4787">
      <c r="A4787" s="6" t="s">
        <v>9</v>
      </c>
      <c r="B4787" s="7" t="s">
        <v>6290</v>
      </c>
      <c r="C4787" s="91">
        <v>44823.35522763889</v>
      </c>
      <c r="D4787" s="8">
        <f t="shared" si="362"/>
        <v>44825</v>
      </c>
      <c r="E4787" s="9" t="s">
        <v>88</v>
      </c>
      <c r="F4787" s="8"/>
      <c r="G4787" s="9" t="s">
        <v>18</v>
      </c>
      <c r="H4787" s="7" t="s">
        <v>8208</v>
      </c>
      <c r="I4787" s="9" t="s">
        <v>353</v>
      </c>
      <c r="J4787" s="88"/>
    </row>
    <row r="4788">
      <c r="A4788" s="42" t="s">
        <v>88</v>
      </c>
      <c r="B4788" s="7" t="s">
        <v>8209</v>
      </c>
      <c r="C4788" s="91">
        <v>44810.70559005787</v>
      </c>
      <c r="D4788" s="8">
        <f t="shared" si="362"/>
        <v>44812</v>
      </c>
      <c r="E4788" s="9" t="s">
        <v>88</v>
      </c>
      <c r="F4788" s="10"/>
      <c r="G4788" s="9" t="s">
        <v>4263</v>
      </c>
      <c r="H4788" s="9" t="s">
        <v>8210</v>
      </c>
      <c r="I4788" s="9" t="s">
        <v>353</v>
      </c>
      <c r="J4788" s="88"/>
    </row>
    <row r="4789">
      <c r="A4789" s="42" t="s">
        <v>88</v>
      </c>
      <c r="B4789" s="7" t="s">
        <v>8211</v>
      </c>
      <c r="C4789" s="91">
        <v>44819.38207553241</v>
      </c>
      <c r="D4789" s="8">
        <f t="shared" si="362"/>
        <v>44823</v>
      </c>
      <c r="E4789" s="9" t="s">
        <v>11</v>
      </c>
      <c r="F4789" s="10"/>
      <c r="G4789" s="9"/>
      <c r="H4789" s="9" t="s">
        <v>8212</v>
      </c>
      <c r="I4789" s="9" t="s">
        <v>353</v>
      </c>
      <c r="J4789" s="88"/>
    </row>
    <row r="4790">
      <c r="A4790" s="42" t="s">
        <v>88</v>
      </c>
      <c r="B4790" s="7" t="s">
        <v>8213</v>
      </c>
      <c r="C4790" s="91">
        <v>44820.48258107639</v>
      </c>
      <c r="D4790" s="8">
        <f t="shared" si="362"/>
        <v>44824</v>
      </c>
      <c r="E4790" s="9" t="s">
        <v>11</v>
      </c>
      <c r="F4790" s="10"/>
      <c r="G4790" s="9"/>
      <c r="H4790" s="9" t="s">
        <v>8214</v>
      </c>
      <c r="I4790" s="9" t="s">
        <v>353</v>
      </c>
      <c r="J4790" s="88"/>
    </row>
    <row r="4791">
      <c r="A4791" s="42" t="s">
        <v>88</v>
      </c>
      <c r="B4791" s="7" t="s">
        <v>8215</v>
      </c>
      <c r="C4791" s="91">
        <v>44820.48177450232</v>
      </c>
      <c r="D4791" s="8">
        <f t="shared" si="362"/>
        <v>44824</v>
      </c>
      <c r="E4791" s="9" t="s">
        <v>11</v>
      </c>
      <c r="F4791" s="10"/>
      <c r="G4791" s="9"/>
      <c r="H4791" s="9" t="s">
        <v>8216</v>
      </c>
      <c r="I4791" s="9" t="s">
        <v>353</v>
      </c>
      <c r="J4791" s="88"/>
    </row>
    <row r="4792">
      <c r="A4792" s="42" t="s">
        <v>88</v>
      </c>
      <c r="B4792" s="7" t="s">
        <v>7539</v>
      </c>
      <c r="C4792" s="91">
        <v>44820.48153726852</v>
      </c>
      <c r="D4792" s="8">
        <f t="shared" si="362"/>
        <v>44824</v>
      </c>
      <c r="E4792" s="9" t="s">
        <v>11</v>
      </c>
      <c r="F4792" s="10"/>
      <c r="G4792" s="9"/>
      <c r="H4792" s="9" t="s">
        <v>8205</v>
      </c>
      <c r="I4792" s="9" t="s">
        <v>353</v>
      </c>
      <c r="J4792" s="88"/>
    </row>
    <row r="4793">
      <c r="A4793" s="6" t="s">
        <v>9</v>
      </c>
      <c r="B4793" s="7" t="s">
        <v>6290</v>
      </c>
      <c r="C4793" s="91">
        <v>44817.412438252315</v>
      </c>
      <c r="D4793" s="8">
        <f t="shared" si="362"/>
        <v>44819</v>
      </c>
      <c r="E4793" s="9" t="s">
        <v>216</v>
      </c>
      <c r="F4793" s="10"/>
      <c r="G4793" s="9" t="s">
        <v>18</v>
      </c>
      <c r="H4793" s="7" t="s">
        <v>8217</v>
      </c>
      <c r="I4793" s="9" t="s">
        <v>353</v>
      </c>
      <c r="J4793" s="88"/>
    </row>
    <row r="4794">
      <c r="A4794" s="6" t="s">
        <v>9</v>
      </c>
      <c r="B4794" s="7" t="s">
        <v>8218</v>
      </c>
      <c r="C4794" s="91">
        <v>44818.57596664352</v>
      </c>
      <c r="D4794" s="8">
        <f t="shared" si="362"/>
        <v>44820</v>
      </c>
      <c r="E4794" s="9" t="s">
        <v>88</v>
      </c>
      <c r="F4794" s="10"/>
      <c r="G4794" s="9" t="s">
        <v>18</v>
      </c>
      <c r="H4794" s="7" t="s">
        <v>8219</v>
      </c>
      <c r="I4794" s="9" t="s">
        <v>353</v>
      </c>
      <c r="J4794" s="88"/>
    </row>
    <row r="4795">
      <c r="A4795" s="6"/>
      <c r="B4795" s="7" t="s">
        <v>8196</v>
      </c>
      <c r="C4795" s="91" t="s">
        <v>11</v>
      </c>
      <c r="D4795" s="9" t="s">
        <v>11</v>
      </c>
      <c r="E4795" s="9" t="s">
        <v>88</v>
      </c>
      <c r="F4795" s="10"/>
      <c r="G4795" s="9" t="s">
        <v>15</v>
      </c>
      <c r="H4795" s="220" t="s">
        <v>8220</v>
      </c>
      <c r="I4795" s="9" t="s">
        <v>353</v>
      </c>
      <c r="J4795" s="88"/>
    </row>
    <row r="4796">
      <c r="A4796" s="6" t="s">
        <v>9</v>
      </c>
      <c r="B4796" s="7" t="s">
        <v>6290</v>
      </c>
      <c r="C4796" s="91">
        <v>44817.41291671296</v>
      </c>
      <c r="D4796" s="8">
        <f t="shared" ref="D4796:D4804" si="363">IFERROR(_xlfn.WORKDAY.INTL(C4796, 2),"-")</f>
        <v>44819</v>
      </c>
      <c r="E4796" s="9" t="s">
        <v>88</v>
      </c>
      <c r="F4796" s="10"/>
      <c r="G4796" s="9" t="s">
        <v>18</v>
      </c>
      <c r="H4796" s="7" t="s">
        <v>8221</v>
      </c>
      <c r="I4796" s="9" t="s">
        <v>353</v>
      </c>
      <c r="J4796" s="88"/>
    </row>
    <row r="4797">
      <c r="A4797" s="6" t="s">
        <v>9</v>
      </c>
      <c r="B4797" s="7" t="s">
        <v>8222</v>
      </c>
      <c r="C4797" s="91">
        <v>44813.39223136574</v>
      </c>
      <c r="D4797" s="8">
        <f t="shared" si="363"/>
        <v>44817</v>
      </c>
      <c r="E4797" s="9" t="s">
        <v>88</v>
      </c>
      <c r="F4797" s="10"/>
      <c r="G4797" s="9" t="s">
        <v>15</v>
      </c>
      <c r="H4797" s="7" t="s">
        <v>8223</v>
      </c>
      <c r="I4797" s="9" t="s">
        <v>353</v>
      </c>
      <c r="J4797" s="88"/>
    </row>
    <row r="4798">
      <c r="A4798" s="54" t="s">
        <v>6247</v>
      </c>
      <c r="B4798" s="9" t="s">
        <v>8224</v>
      </c>
      <c r="C4798" s="91">
        <v>44809.61912708334</v>
      </c>
      <c r="D4798" s="8">
        <f t="shared" si="363"/>
        <v>44811</v>
      </c>
      <c r="E4798" s="9" t="s">
        <v>11</v>
      </c>
      <c r="F4798" s="10"/>
      <c r="G4798" s="9" t="s">
        <v>220</v>
      </c>
      <c r="H4798" s="9" t="s">
        <v>8225</v>
      </c>
      <c r="I4798" s="9" t="s">
        <v>353</v>
      </c>
      <c r="J4798" s="88"/>
    </row>
    <row r="4799">
      <c r="A4799" s="54" t="s">
        <v>6247</v>
      </c>
      <c r="B4799" s="9" t="s">
        <v>8226</v>
      </c>
      <c r="C4799" s="91">
        <v>44812.522049756946</v>
      </c>
      <c r="D4799" s="8">
        <f t="shared" si="363"/>
        <v>44816</v>
      </c>
      <c r="E4799" s="9" t="s">
        <v>11</v>
      </c>
      <c r="F4799" s="10"/>
      <c r="G4799" s="9" t="s">
        <v>15</v>
      </c>
      <c r="H4799" s="9" t="s">
        <v>8227</v>
      </c>
      <c r="I4799" s="9" t="s">
        <v>353</v>
      </c>
      <c r="J4799" s="88"/>
    </row>
    <row r="4800">
      <c r="A4800" s="54" t="s">
        <v>6247</v>
      </c>
      <c r="B4800" s="9" t="s">
        <v>8228</v>
      </c>
      <c r="C4800" s="91">
        <v>44805.667580706024</v>
      </c>
      <c r="D4800" s="8">
        <f t="shared" si="363"/>
        <v>44809</v>
      </c>
      <c r="E4800" s="9" t="s">
        <v>11</v>
      </c>
      <c r="F4800" s="10"/>
      <c r="G4800" s="9" t="s">
        <v>15</v>
      </c>
      <c r="H4800" s="9" t="s">
        <v>8229</v>
      </c>
      <c r="I4800" s="9" t="s">
        <v>353</v>
      </c>
      <c r="J4800" s="88"/>
    </row>
    <row r="4801">
      <c r="A4801" s="34" t="s">
        <v>337</v>
      </c>
      <c r="B4801" s="232" t="s">
        <v>8230</v>
      </c>
      <c r="C4801" s="91">
        <v>44726.378095520835</v>
      </c>
      <c r="D4801" s="8">
        <f t="shared" si="363"/>
        <v>44728</v>
      </c>
      <c r="E4801" s="9" t="s">
        <v>88</v>
      </c>
      <c r="F4801" s="233"/>
      <c r="G4801" s="9" t="s">
        <v>15</v>
      </c>
      <c r="H4801" s="9" t="s">
        <v>8231</v>
      </c>
      <c r="I4801" s="9" t="s">
        <v>353</v>
      </c>
      <c r="J4801" s="88"/>
    </row>
    <row r="4802">
      <c r="A4802" s="6" t="s">
        <v>9</v>
      </c>
      <c r="B4802" s="7" t="s">
        <v>8232</v>
      </c>
      <c r="C4802" s="91">
        <v>44817.390876122685</v>
      </c>
      <c r="D4802" s="8">
        <f t="shared" si="363"/>
        <v>44819</v>
      </c>
      <c r="E4802" s="9" t="s">
        <v>206</v>
      </c>
      <c r="F4802" s="10"/>
      <c r="G4802" s="9" t="s">
        <v>18</v>
      </c>
      <c r="H4802" s="7" t="s">
        <v>8233</v>
      </c>
      <c r="I4802" s="9" t="s">
        <v>353</v>
      </c>
      <c r="J4802" s="88"/>
    </row>
    <row r="4803">
      <c r="A4803" s="42" t="s">
        <v>88</v>
      </c>
      <c r="B4803" s="7" t="s">
        <v>5366</v>
      </c>
      <c r="C4803" s="91">
        <v>44811.69567050926</v>
      </c>
      <c r="D4803" s="8">
        <f t="shared" si="363"/>
        <v>44813</v>
      </c>
      <c r="E4803" s="9" t="s">
        <v>206</v>
      </c>
      <c r="F4803" s="10"/>
      <c r="G4803" s="9" t="s">
        <v>15</v>
      </c>
      <c r="H4803" s="9" t="s">
        <v>8234</v>
      </c>
      <c r="I4803" s="9" t="s">
        <v>353</v>
      </c>
      <c r="J4803" s="88"/>
    </row>
    <row r="4804">
      <c r="A4804" s="42" t="s">
        <v>88</v>
      </c>
      <c r="B4804" s="7" t="s">
        <v>8235</v>
      </c>
      <c r="C4804" s="91">
        <v>44809.41469306713</v>
      </c>
      <c r="D4804" s="8">
        <f t="shared" si="363"/>
        <v>44811</v>
      </c>
      <c r="E4804" s="9" t="s">
        <v>88</v>
      </c>
      <c r="F4804" s="10"/>
      <c r="G4804" s="9" t="s">
        <v>4263</v>
      </c>
      <c r="H4804" s="9" t="s">
        <v>8236</v>
      </c>
      <c r="I4804" s="9" t="s">
        <v>353</v>
      </c>
      <c r="J4804" s="88"/>
    </row>
    <row r="4805">
      <c r="A4805" s="42" t="s">
        <v>88</v>
      </c>
      <c r="B4805" s="7" t="s">
        <v>8237</v>
      </c>
      <c r="C4805" s="91">
        <v>44802.495122719905</v>
      </c>
      <c r="D4805" s="8"/>
      <c r="E4805" s="9" t="s">
        <v>206</v>
      </c>
      <c r="F4805" s="10"/>
      <c r="G4805" s="9" t="s">
        <v>4263</v>
      </c>
      <c r="H4805" s="9" t="s">
        <v>8238</v>
      </c>
      <c r="I4805" s="9" t="s">
        <v>353</v>
      </c>
      <c r="J4805" s="88"/>
    </row>
    <row r="4806">
      <c r="A4806" s="6" t="s">
        <v>9</v>
      </c>
      <c r="B4806" s="9" t="s">
        <v>8239</v>
      </c>
      <c r="C4806" s="91">
        <v>44816.69294894676</v>
      </c>
      <c r="D4806" s="8">
        <f t="shared" ref="D4806:D4845" si="364">IFERROR(_xlfn.WORKDAY.INTL(C4806, 2),"-")</f>
        <v>44818</v>
      </c>
      <c r="E4806" s="9" t="s">
        <v>88</v>
      </c>
      <c r="F4806" s="10"/>
      <c r="G4806" s="9" t="s">
        <v>220</v>
      </c>
      <c r="H4806" s="7" t="s">
        <v>8240</v>
      </c>
      <c r="I4806" s="9" t="s">
        <v>353</v>
      </c>
      <c r="J4806" s="88"/>
    </row>
    <row r="4807">
      <c r="A4807" s="6" t="s">
        <v>9</v>
      </c>
      <c r="B4807" s="9" t="s">
        <v>8241</v>
      </c>
      <c r="C4807" s="91">
        <v>44812.72905589121</v>
      </c>
      <c r="D4807" s="8">
        <f t="shared" si="364"/>
        <v>44816</v>
      </c>
      <c r="E4807" s="9" t="s">
        <v>88</v>
      </c>
      <c r="F4807" s="10"/>
      <c r="G4807" s="9" t="s">
        <v>15</v>
      </c>
      <c r="H4807" s="7" t="s">
        <v>8242</v>
      </c>
      <c r="I4807" s="9" t="s">
        <v>353</v>
      </c>
      <c r="J4807" s="88"/>
    </row>
    <row r="4808">
      <c r="A4808" s="6" t="s">
        <v>9</v>
      </c>
      <c r="B4808" s="9" t="s">
        <v>8243</v>
      </c>
      <c r="C4808" s="91">
        <v>44813.45842490741</v>
      </c>
      <c r="D4808" s="8">
        <f t="shared" si="364"/>
        <v>44817</v>
      </c>
      <c r="E4808" s="9" t="s">
        <v>88</v>
      </c>
      <c r="F4808" s="10"/>
      <c r="G4808" s="9" t="s">
        <v>15</v>
      </c>
      <c r="H4808" s="7" t="s">
        <v>8244</v>
      </c>
      <c r="I4808" s="9" t="s">
        <v>353</v>
      </c>
      <c r="J4808" s="88"/>
    </row>
    <row r="4809">
      <c r="A4809" s="6" t="s">
        <v>9</v>
      </c>
      <c r="B4809" s="9" t="s">
        <v>8232</v>
      </c>
      <c r="C4809" s="91">
        <v>44813.469350370375</v>
      </c>
      <c r="D4809" s="8">
        <f t="shared" si="364"/>
        <v>44817</v>
      </c>
      <c r="E4809" s="9" t="s">
        <v>206</v>
      </c>
      <c r="F4809" s="10"/>
      <c r="G4809" s="9" t="s">
        <v>15</v>
      </c>
      <c r="H4809" s="7" t="s">
        <v>6761</v>
      </c>
      <c r="I4809" s="9" t="s">
        <v>353</v>
      </c>
      <c r="J4809" s="88"/>
    </row>
    <row r="4810">
      <c r="A4810" s="54" t="s">
        <v>6247</v>
      </c>
      <c r="B4810" s="9" t="s">
        <v>8245</v>
      </c>
      <c r="C4810" s="91">
        <v>44797.717789560185</v>
      </c>
      <c r="D4810" s="8">
        <f t="shared" si="364"/>
        <v>44799</v>
      </c>
      <c r="E4810" s="9" t="s">
        <v>11</v>
      </c>
      <c r="F4810" s="10"/>
      <c r="G4810" s="9" t="s">
        <v>15</v>
      </c>
      <c r="H4810" s="9" t="s">
        <v>437</v>
      </c>
      <c r="I4810" s="9" t="s">
        <v>353</v>
      </c>
      <c r="J4810" s="88"/>
    </row>
    <row r="4811">
      <c r="A4811" s="54" t="s">
        <v>6247</v>
      </c>
      <c r="B4811" s="9" t="s">
        <v>8246</v>
      </c>
      <c r="C4811" s="91">
        <v>44809.412096875</v>
      </c>
      <c r="D4811" s="8">
        <f t="shared" si="364"/>
        <v>44811</v>
      </c>
      <c r="E4811" s="9" t="s">
        <v>11</v>
      </c>
      <c r="F4811" s="10"/>
      <c r="G4811" s="9" t="s">
        <v>15</v>
      </c>
      <c r="H4811" s="9" t="s">
        <v>8247</v>
      </c>
      <c r="I4811" s="9" t="s">
        <v>353</v>
      </c>
      <c r="J4811" s="88"/>
    </row>
    <row r="4812">
      <c r="A4812" s="54" t="s">
        <v>6247</v>
      </c>
      <c r="B4812" s="9" t="s">
        <v>8248</v>
      </c>
      <c r="C4812" s="91">
        <v>44806.59878049769</v>
      </c>
      <c r="D4812" s="8">
        <f t="shared" si="364"/>
        <v>44810</v>
      </c>
      <c r="E4812" s="9" t="s">
        <v>11</v>
      </c>
      <c r="F4812" s="10"/>
      <c r="G4812" s="9" t="s">
        <v>220</v>
      </c>
      <c r="H4812" s="9" t="s">
        <v>8249</v>
      </c>
      <c r="I4812" s="9" t="s">
        <v>353</v>
      </c>
      <c r="J4812" s="88"/>
    </row>
    <row r="4813">
      <c r="A4813" s="54" t="s">
        <v>6247</v>
      </c>
      <c r="B4813" s="9" t="s">
        <v>8250</v>
      </c>
      <c r="C4813" s="91">
        <v>44806.598314456016</v>
      </c>
      <c r="D4813" s="8">
        <f t="shared" si="364"/>
        <v>44810</v>
      </c>
      <c r="E4813" s="9" t="s">
        <v>11</v>
      </c>
      <c r="F4813" s="10"/>
      <c r="G4813" s="9" t="s">
        <v>220</v>
      </c>
      <c r="H4813" s="9" t="s">
        <v>8251</v>
      </c>
      <c r="I4813" s="9" t="s">
        <v>353</v>
      </c>
      <c r="J4813" s="88"/>
    </row>
    <row r="4814">
      <c r="A4814" s="42" t="s">
        <v>88</v>
      </c>
      <c r="B4814" s="9" t="s">
        <v>8252</v>
      </c>
      <c r="C4814" s="91">
        <v>44809.411213796295</v>
      </c>
      <c r="D4814" s="8">
        <f t="shared" si="364"/>
        <v>44811</v>
      </c>
      <c r="E4814" s="9" t="s">
        <v>206</v>
      </c>
      <c r="F4814" s="10"/>
      <c r="G4814" s="9" t="s">
        <v>18</v>
      </c>
      <c r="H4814" s="9" t="s">
        <v>8253</v>
      </c>
      <c r="I4814" s="9" t="s">
        <v>353</v>
      </c>
      <c r="J4814" s="88"/>
    </row>
    <row r="4815">
      <c r="A4815" s="6" t="s">
        <v>9</v>
      </c>
      <c r="B4815" s="9" t="s">
        <v>8182</v>
      </c>
      <c r="C4815" s="91">
        <v>44806.45110908565</v>
      </c>
      <c r="D4815" s="8">
        <f t="shared" si="364"/>
        <v>44810</v>
      </c>
      <c r="E4815" s="9" t="s">
        <v>88</v>
      </c>
      <c r="F4815" s="10"/>
      <c r="G4815" s="9" t="s">
        <v>15</v>
      </c>
      <c r="H4815" s="7" t="s">
        <v>8254</v>
      </c>
      <c r="I4815" s="9" t="s">
        <v>353</v>
      </c>
      <c r="J4815" s="88"/>
    </row>
    <row r="4816">
      <c r="A4816" s="54" t="s">
        <v>6247</v>
      </c>
      <c r="B4816" s="9" t="s">
        <v>8255</v>
      </c>
      <c r="C4816" s="91">
        <v>44809.42818664352</v>
      </c>
      <c r="D4816" s="8">
        <f t="shared" si="364"/>
        <v>44811</v>
      </c>
      <c r="E4816" s="9" t="s">
        <v>11</v>
      </c>
      <c r="F4816" s="10"/>
      <c r="G4816" s="9" t="s">
        <v>220</v>
      </c>
      <c r="H4816" s="9" t="s">
        <v>8256</v>
      </c>
      <c r="I4816" s="9" t="s">
        <v>353</v>
      </c>
      <c r="J4816" s="88"/>
    </row>
    <row r="4817">
      <c r="A4817" s="54" t="s">
        <v>6247</v>
      </c>
      <c r="B4817" s="9" t="s">
        <v>8257</v>
      </c>
      <c r="C4817" s="91">
        <v>44809.42827240741</v>
      </c>
      <c r="D4817" s="8">
        <f t="shared" si="364"/>
        <v>44811</v>
      </c>
      <c r="E4817" s="9" t="s">
        <v>11</v>
      </c>
      <c r="F4817" s="10"/>
      <c r="G4817" s="9" t="s">
        <v>18</v>
      </c>
      <c r="H4817" s="9" t="s">
        <v>8258</v>
      </c>
      <c r="I4817" s="9" t="s">
        <v>353</v>
      </c>
      <c r="J4817" s="88"/>
    </row>
    <row r="4818">
      <c r="A4818" s="6" t="s">
        <v>9</v>
      </c>
      <c r="B4818" s="9" t="s">
        <v>8239</v>
      </c>
      <c r="C4818" s="91">
        <v>44809.39470693287</v>
      </c>
      <c r="D4818" s="8">
        <f t="shared" si="364"/>
        <v>44811</v>
      </c>
      <c r="E4818" s="9" t="s">
        <v>88</v>
      </c>
      <c r="F4818" s="10"/>
      <c r="G4818" s="9" t="s">
        <v>18</v>
      </c>
      <c r="H4818" s="9" t="s">
        <v>8259</v>
      </c>
      <c r="I4818" s="9" t="s">
        <v>353</v>
      </c>
      <c r="J4818" s="88"/>
    </row>
    <row r="4819">
      <c r="A4819" s="6" t="s">
        <v>9</v>
      </c>
      <c r="B4819" s="9" t="s">
        <v>8260</v>
      </c>
      <c r="C4819" s="91">
        <v>44806.513400578704</v>
      </c>
      <c r="D4819" s="8">
        <f t="shared" si="364"/>
        <v>44810</v>
      </c>
      <c r="E4819" s="9" t="s">
        <v>206</v>
      </c>
      <c r="F4819" s="10"/>
      <c r="G4819" s="9" t="s">
        <v>15</v>
      </c>
      <c r="H4819" s="9" t="s">
        <v>8261</v>
      </c>
      <c r="I4819" s="9" t="s">
        <v>353</v>
      </c>
      <c r="J4819" s="88"/>
    </row>
    <row r="4820">
      <c r="A4820" s="6" t="s">
        <v>9</v>
      </c>
      <c r="B4820" s="9" t="s">
        <v>4721</v>
      </c>
      <c r="C4820" s="91">
        <v>44797.352574143515</v>
      </c>
      <c r="D4820" s="8">
        <f t="shared" si="364"/>
        <v>44799</v>
      </c>
      <c r="E4820" s="9" t="s">
        <v>88</v>
      </c>
      <c r="F4820" s="10"/>
      <c r="G4820" s="9" t="s">
        <v>220</v>
      </c>
      <c r="H4820" s="9" t="s">
        <v>8262</v>
      </c>
      <c r="I4820" s="9" t="s">
        <v>353</v>
      </c>
      <c r="J4820" s="88"/>
    </row>
    <row r="4821">
      <c r="A4821" s="6" t="s">
        <v>9</v>
      </c>
      <c r="B4821" s="9" t="s">
        <v>1503</v>
      </c>
      <c r="C4821" s="91">
        <v>44805.477422662036</v>
      </c>
      <c r="D4821" s="8">
        <f t="shared" si="364"/>
        <v>44809</v>
      </c>
      <c r="E4821" s="9" t="s">
        <v>11</v>
      </c>
      <c r="F4821" s="10"/>
      <c r="G4821" s="9"/>
      <c r="H4821" s="9" t="s">
        <v>8263</v>
      </c>
      <c r="I4821" s="9" t="s">
        <v>353</v>
      </c>
      <c r="J4821" s="88"/>
    </row>
    <row r="4822">
      <c r="A4822" s="54" t="s">
        <v>6247</v>
      </c>
      <c r="B4822" s="234" t="s">
        <v>4674</v>
      </c>
      <c r="C4822" s="91" t="s">
        <v>11</v>
      </c>
      <c r="D4822" s="8" t="str">
        <f t="shared" si="364"/>
        <v>-</v>
      </c>
      <c r="E4822" s="9" t="s">
        <v>88</v>
      </c>
      <c r="F4822" s="10"/>
      <c r="G4822" s="9" t="s">
        <v>89</v>
      </c>
      <c r="H4822" s="98" t="s">
        <v>8264</v>
      </c>
      <c r="I4822" s="9" t="s">
        <v>353</v>
      </c>
      <c r="J4822" s="88"/>
    </row>
    <row r="4823">
      <c r="A4823" s="54" t="s">
        <v>6247</v>
      </c>
      <c r="B4823" s="9" t="s">
        <v>8265</v>
      </c>
      <c r="C4823" s="91">
        <v>44798.387557407405</v>
      </c>
      <c r="D4823" s="8">
        <f t="shared" si="364"/>
        <v>44802</v>
      </c>
      <c r="E4823" s="9" t="s">
        <v>11</v>
      </c>
      <c r="F4823" s="10"/>
      <c r="G4823" s="9" t="s">
        <v>18</v>
      </c>
      <c r="H4823" s="9" t="s">
        <v>8266</v>
      </c>
      <c r="I4823" s="9" t="s">
        <v>353</v>
      </c>
      <c r="J4823" s="88"/>
    </row>
    <row r="4824">
      <c r="A4824" s="54" t="s">
        <v>6247</v>
      </c>
      <c r="B4824" s="9" t="s">
        <v>8267</v>
      </c>
      <c r="C4824" s="91">
        <v>44802.75438100695</v>
      </c>
      <c r="D4824" s="8">
        <f t="shared" si="364"/>
        <v>44804</v>
      </c>
      <c r="E4824" s="9" t="s">
        <v>11</v>
      </c>
      <c r="F4824" s="10"/>
      <c r="G4824" s="9" t="s">
        <v>220</v>
      </c>
      <c r="H4824" s="9" t="s">
        <v>8268</v>
      </c>
      <c r="I4824" s="9" t="s">
        <v>353</v>
      </c>
      <c r="J4824" s="88"/>
    </row>
    <row r="4825">
      <c r="A4825" s="54" t="s">
        <v>6247</v>
      </c>
      <c r="B4825" s="9" t="s">
        <v>8269</v>
      </c>
      <c r="C4825" s="91">
        <v>44804.71535174768</v>
      </c>
      <c r="D4825" s="8">
        <f t="shared" si="364"/>
        <v>44806</v>
      </c>
      <c r="E4825" s="9" t="s">
        <v>11</v>
      </c>
      <c r="F4825" s="10"/>
      <c r="G4825" s="9" t="s">
        <v>220</v>
      </c>
      <c r="H4825" s="9" t="s">
        <v>8270</v>
      </c>
      <c r="I4825" s="9" t="s">
        <v>353</v>
      </c>
      <c r="J4825" s="88"/>
    </row>
    <row r="4826">
      <c r="A4826" s="6" t="s">
        <v>9</v>
      </c>
      <c r="B4826" s="9" t="s">
        <v>8271</v>
      </c>
      <c r="C4826" s="91">
        <v>44804.51439693287</v>
      </c>
      <c r="D4826" s="8">
        <f t="shared" si="364"/>
        <v>44806</v>
      </c>
      <c r="E4826" s="9" t="s">
        <v>88</v>
      </c>
      <c r="F4826" s="10"/>
      <c r="G4826" s="9" t="s">
        <v>15</v>
      </c>
      <c r="H4826" s="9" t="s">
        <v>8272</v>
      </c>
      <c r="I4826" s="9" t="s">
        <v>353</v>
      </c>
      <c r="J4826" s="88"/>
    </row>
    <row r="4827">
      <c r="A4827" s="54" t="s">
        <v>6247</v>
      </c>
      <c r="B4827" s="9" t="s">
        <v>8273</v>
      </c>
      <c r="C4827" s="91">
        <v>44748.62165267361</v>
      </c>
      <c r="D4827" s="8">
        <f t="shared" si="364"/>
        <v>44750</v>
      </c>
      <c r="E4827" s="9" t="s">
        <v>11</v>
      </c>
      <c r="F4827" s="10"/>
      <c r="G4827" s="9" t="s">
        <v>18</v>
      </c>
      <c r="H4827" s="235" t="s">
        <v>8274</v>
      </c>
      <c r="I4827" s="9" t="s">
        <v>353</v>
      </c>
      <c r="J4827" s="88"/>
    </row>
    <row r="4828">
      <c r="A4828" s="54" t="s">
        <v>6247</v>
      </c>
      <c r="B4828" s="9" t="s">
        <v>8275</v>
      </c>
      <c r="C4828" s="91">
        <v>44789.59518909722</v>
      </c>
      <c r="D4828" s="8">
        <f t="shared" si="364"/>
        <v>44791</v>
      </c>
      <c r="E4828" s="9" t="s">
        <v>11</v>
      </c>
      <c r="F4828" s="10"/>
      <c r="G4828" s="9" t="s">
        <v>220</v>
      </c>
      <c r="H4828" s="9" t="s">
        <v>8276</v>
      </c>
      <c r="I4828" s="9" t="s">
        <v>353</v>
      </c>
      <c r="J4828" s="88"/>
    </row>
    <row r="4829">
      <c r="A4829" s="6" t="s">
        <v>9</v>
      </c>
      <c r="B4829" s="9" t="s">
        <v>6290</v>
      </c>
      <c r="C4829" s="91">
        <v>44804.433263009254</v>
      </c>
      <c r="D4829" s="8">
        <f t="shared" si="364"/>
        <v>44806</v>
      </c>
      <c r="E4829" s="9" t="s">
        <v>11</v>
      </c>
      <c r="F4829" s="10"/>
      <c r="G4829" s="9"/>
      <c r="H4829" s="9" t="s">
        <v>8277</v>
      </c>
      <c r="I4829" s="9" t="s">
        <v>353</v>
      </c>
      <c r="J4829" s="88"/>
    </row>
    <row r="4830">
      <c r="A4830" s="6" t="s">
        <v>9</v>
      </c>
      <c r="B4830" s="9" t="s">
        <v>6290</v>
      </c>
      <c r="C4830" s="91">
        <v>44804.37374079861</v>
      </c>
      <c r="D4830" s="8">
        <f t="shared" si="364"/>
        <v>44806</v>
      </c>
      <c r="E4830" s="9" t="s">
        <v>11</v>
      </c>
      <c r="F4830" s="10"/>
      <c r="G4830" s="9"/>
      <c r="H4830" s="9" t="s">
        <v>8278</v>
      </c>
      <c r="I4830" s="9" t="s">
        <v>353</v>
      </c>
      <c r="J4830" s="88"/>
    </row>
    <row r="4831">
      <c r="A4831" s="6" t="s">
        <v>9</v>
      </c>
      <c r="B4831" s="9" t="s">
        <v>8279</v>
      </c>
      <c r="C4831" s="91">
        <v>44804.373907870366</v>
      </c>
      <c r="D4831" s="8">
        <f t="shared" si="364"/>
        <v>44806</v>
      </c>
      <c r="E4831" s="9" t="s">
        <v>11</v>
      </c>
      <c r="F4831" s="10"/>
      <c r="G4831" s="9"/>
      <c r="H4831" s="9" t="s">
        <v>8280</v>
      </c>
      <c r="I4831" s="9" t="s">
        <v>353</v>
      </c>
      <c r="J4831" s="88"/>
    </row>
    <row r="4832">
      <c r="A4832" s="54" t="s">
        <v>6247</v>
      </c>
      <c r="B4832" s="9" t="s">
        <v>5727</v>
      </c>
      <c r="C4832" s="91">
        <v>44803.719487395836</v>
      </c>
      <c r="D4832" s="8">
        <f t="shared" si="364"/>
        <v>44805</v>
      </c>
      <c r="E4832" s="9" t="s">
        <v>11</v>
      </c>
      <c r="F4832" s="10"/>
      <c r="G4832" s="9"/>
      <c r="H4832" s="9" t="s">
        <v>2896</v>
      </c>
      <c r="I4832" s="9" t="s">
        <v>353</v>
      </c>
      <c r="J4832" s="88"/>
    </row>
    <row r="4833">
      <c r="A4833" s="54" t="s">
        <v>6247</v>
      </c>
      <c r="B4833" s="236" t="s">
        <v>8281</v>
      </c>
      <c r="C4833" s="91" t="s">
        <v>11</v>
      </c>
      <c r="D4833" s="8" t="str">
        <f t="shared" si="364"/>
        <v>-</v>
      </c>
      <c r="E4833" s="9" t="s">
        <v>206</v>
      </c>
      <c r="F4833" s="10"/>
      <c r="G4833" s="9" t="s">
        <v>18</v>
      </c>
      <c r="H4833" s="98" t="s">
        <v>8282</v>
      </c>
      <c r="I4833" s="9" t="s">
        <v>353</v>
      </c>
      <c r="J4833" s="88"/>
    </row>
    <row r="4834">
      <c r="A4834" s="54" t="s">
        <v>6247</v>
      </c>
      <c r="B4834" s="237" t="s">
        <v>8283</v>
      </c>
      <c r="C4834" s="91">
        <v>44735.485938067126</v>
      </c>
      <c r="D4834" s="8">
        <f t="shared" si="364"/>
        <v>44739</v>
      </c>
      <c r="E4834" s="9" t="s">
        <v>206</v>
      </c>
      <c r="F4834" s="10"/>
      <c r="G4834" s="9" t="s">
        <v>220</v>
      </c>
      <c r="H4834" s="238" t="s">
        <v>8284</v>
      </c>
      <c r="I4834" s="9" t="s">
        <v>353</v>
      </c>
      <c r="J4834" s="88"/>
    </row>
    <row r="4835">
      <c r="A4835" s="54" t="s">
        <v>6247</v>
      </c>
      <c r="B4835" s="9" t="s">
        <v>8285</v>
      </c>
      <c r="C4835" s="91">
        <v>44797.696207280096</v>
      </c>
      <c r="D4835" s="8">
        <f t="shared" si="364"/>
        <v>44799</v>
      </c>
      <c r="E4835" s="9" t="s">
        <v>11</v>
      </c>
      <c r="F4835" s="10"/>
      <c r="G4835" s="9" t="s">
        <v>15</v>
      </c>
      <c r="H4835" s="9" t="s">
        <v>8286</v>
      </c>
      <c r="I4835" s="9" t="s">
        <v>353</v>
      </c>
      <c r="J4835" s="88"/>
    </row>
    <row r="4836">
      <c r="A4836" s="54" t="s">
        <v>6247</v>
      </c>
      <c r="B4836" s="234" t="s">
        <v>8287</v>
      </c>
      <c r="C4836" s="91" t="s">
        <v>11</v>
      </c>
      <c r="D4836" s="8" t="str">
        <f t="shared" si="364"/>
        <v>-</v>
      </c>
      <c r="E4836" s="9" t="s">
        <v>88</v>
      </c>
      <c r="F4836" s="10"/>
      <c r="G4836" s="9" t="s">
        <v>18</v>
      </c>
      <c r="H4836" s="98" t="s">
        <v>8288</v>
      </c>
      <c r="I4836" s="9" t="s">
        <v>353</v>
      </c>
      <c r="J4836" s="88"/>
    </row>
    <row r="4837">
      <c r="A4837" s="6" t="s">
        <v>9</v>
      </c>
      <c r="B4837" s="9" t="s">
        <v>8289</v>
      </c>
      <c r="C4837" s="91">
        <v>44790.41649447917</v>
      </c>
      <c r="D4837" s="8">
        <f t="shared" si="364"/>
        <v>44792</v>
      </c>
      <c r="E4837" s="9" t="s">
        <v>11</v>
      </c>
      <c r="F4837" s="10"/>
      <c r="G4837" s="9" t="s">
        <v>220</v>
      </c>
      <c r="H4837" s="9" t="s">
        <v>8290</v>
      </c>
      <c r="I4837" s="9" t="s">
        <v>353</v>
      </c>
      <c r="J4837" s="88"/>
    </row>
    <row r="4838">
      <c r="A4838" s="6" t="s">
        <v>9</v>
      </c>
      <c r="B4838" s="9" t="s">
        <v>8291</v>
      </c>
      <c r="C4838" s="91">
        <v>44802.51255799769</v>
      </c>
      <c r="D4838" s="8">
        <f t="shared" si="364"/>
        <v>44804</v>
      </c>
      <c r="E4838" s="9" t="s">
        <v>88</v>
      </c>
      <c r="F4838" s="10"/>
      <c r="G4838" s="9" t="s">
        <v>11</v>
      </c>
      <c r="H4838" s="9" t="s">
        <v>7578</v>
      </c>
      <c r="I4838" s="9" t="s">
        <v>353</v>
      </c>
      <c r="J4838" s="88"/>
    </row>
    <row r="4839">
      <c r="A4839" s="54" t="s">
        <v>6247</v>
      </c>
      <c r="B4839" s="9" t="s">
        <v>8292</v>
      </c>
      <c r="C4839" s="91">
        <v>44789.595341990746</v>
      </c>
      <c r="D4839" s="8">
        <f t="shared" si="364"/>
        <v>44791</v>
      </c>
      <c r="E4839" s="9" t="s">
        <v>11</v>
      </c>
      <c r="F4839" s="10"/>
      <c r="G4839" s="9" t="s">
        <v>15</v>
      </c>
      <c r="H4839" s="9" t="s">
        <v>8293</v>
      </c>
      <c r="I4839" s="9" t="s">
        <v>353</v>
      </c>
      <c r="J4839" s="88"/>
    </row>
    <row r="4840">
      <c r="A4840" s="6" t="s">
        <v>9</v>
      </c>
      <c r="B4840" s="9" t="s">
        <v>3081</v>
      </c>
      <c r="C4840" s="91">
        <v>44790.41584461805</v>
      </c>
      <c r="D4840" s="8">
        <f t="shared" si="364"/>
        <v>44792</v>
      </c>
      <c r="E4840" s="9" t="s">
        <v>11</v>
      </c>
      <c r="F4840" s="10"/>
      <c r="G4840" s="9" t="s">
        <v>220</v>
      </c>
      <c r="H4840" s="9" t="s">
        <v>8294</v>
      </c>
      <c r="I4840" s="9" t="s">
        <v>353</v>
      </c>
      <c r="J4840" s="88"/>
    </row>
    <row r="4841">
      <c r="A4841" s="6" t="s">
        <v>9</v>
      </c>
      <c r="B4841" s="9" t="s">
        <v>8295</v>
      </c>
      <c r="C4841" s="91">
        <v>44792.35601695602</v>
      </c>
      <c r="D4841" s="8">
        <f t="shared" si="364"/>
        <v>44796</v>
      </c>
      <c r="E4841" s="9" t="s">
        <v>88</v>
      </c>
      <c r="F4841" s="10"/>
      <c r="G4841" s="9" t="s">
        <v>220</v>
      </c>
      <c r="H4841" s="9" t="s">
        <v>8296</v>
      </c>
      <c r="I4841" s="9" t="s">
        <v>353</v>
      </c>
      <c r="J4841" s="88"/>
    </row>
    <row r="4842">
      <c r="A4842" s="6" t="s">
        <v>9</v>
      </c>
      <c r="B4842" s="9" t="s">
        <v>8297</v>
      </c>
      <c r="C4842" s="91">
        <v>44798.74704126157</v>
      </c>
      <c r="D4842" s="8">
        <f t="shared" si="364"/>
        <v>44802</v>
      </c>
      <c r="E4842" s="9" t="s">
        <v>11</v>
      </c>
      <c r="F4842" s="10"/>
      <c r="G4842" s="9" t="s">
        <v>18</v>
      </c>
      <c r="H4842" s="9" t="s">
        <v>8298</v>
      </c>
      <c r="I4842" s="9" t="s">
        <v>353</v>
      </c>
      <c r="J4842" s="88"/>
    </row>
    <row r="4843">
      <c r="A4843" s="6" t="s">
        <v>9</v>
      </c>
      <c r="B4843" s="9" t="s">
        <v>8299</v>
      </c>
      <c r="C4843" s="91">
        <v>44798.74621282407</v>
      </c>
      <c r="D4843" s="8">
        <f t="shared" si="364"/>
        <v>44802</v>
      </c>
      <c r="E4843" s="9" t="s">
        <v>11</v>
      </c>
      <c r="F4843" s="10"/>
      <c r="G4843" s="9" t="s">
        <v>18</v>
      </c>
      <c r="H4843" s="9" t="s">
        <v>8298</v>
      </c>
      <c r="I4843" s="9" t="s">
        <v>353</v>
      </c>
      <c r="J4843" s="88"/>
    </row>
    <row r="4844">
      <c r="A4844" s="54" t="s">
        <v>6247</v>
      </c>
      <c r="B4844" s="9" t="s">
        <v>8300</v>
      </c>
      <c r="C4844" s="91">
        <v>44789.501893368055</v>
      </c>
      <c r="D4844" s="8">
        <f t="shared" si="364"/>
        <v>44791</v>
      </c>
      <c r="E4844" s="9" t="s">
        <v>11</v>
      </c>
      <c r="F4844" s="10"/>
      <c r="G4844" s="9" t="s">
        <v>15</v>
      </c>
      <c r="H4844" s="9" t="s">
        <v>8301</v>
      </c>
      <c r="I4844" s="9" t="s">
        <v>353</v>
      </c>
      <c r="J4844" s="88"/>
    </row>
    <row r="4845">
      <c r="A4845" s="54" t="s">
        <v>6247</v>
      </c>
      <c r="B4845" s="9" t="s">
        <v>8302</v>
      </c>
      <c r="C4845" s="91">
        <v>44763.38540835648</v>
      </c>
      <c r="D4845" s="8">
        <f t="shared" si="364"/>
        <v>44767</v>
      </c>
      <c r="E4845" s="9" t="s">
        <v>11</v>
      </c>
      <c r="F4845" s="10"/>
      <c r="G4845" s="9" t="s">
        <v>220</v>
      </c>
      <c r="H4845" s="9" t="s">
        <v>8303</v>
      </c>
      <c r="I4845" s="9" t="s">
        <v>353</v>
      </c>
      <c r="J4845" s="88"/>
    </row>
    <row r="4846">
      <c r="A4846" s="54" t="s">
        <v>6247</v>
      </c>
      <c r="B4846" s="239" t="s">
        <v>8304</v>
      </c>
      <c r="C4846" s="91">
        <v>44719.65805996528</v>
      </c>
      <c r="D4846" s="8">
        <v>44720.0</v>
      </c>
      <c r="E4846" s="9" t="s">
        <v>88</v>
      </c>
      <c r="F4846" s="10"/>
      <c r="G4846" s="9" t="s">
        <v>15</v>
      </c>
      <c r="H4846" s="98" t="s">
        <v>8305</v>
      </c>
      <c r="I4846" s="9" t="s">
        <v>353</v>
      </c>
      <c r="J4846" s="88"/>
    </row>
    <row r="4847">
      <c r="A4847" s="54" t="s">
        <v>6247</v>
      </c>
      <c r="B4847" s="234" t="s">
        <v>8306</v>
      </c>
      <c r="C4847" s="91" t="s">
        <v>11</v>
      </c>
      <c r="D4847" s="8" t="str">
        <f t="shared" ref="D4847:D4998" si="365">IFERROR(_xlfn.WORKDAY.INTL(C4847, 2),"-")</f>
        <v>-</v>
      </c>
      <c r="E4847" s="9" t="s">
        <v>88</v>
      </c>
      <c r="F4847" s="9"/>
      <c r="G4847" s="9" t="s">
        <v>18</v>
      </c>
      <c r="H4847" s="98" t="s">
        <v>8307</v>
      </c>
      <c r="I4847" s="9" t="s">
        <v>353</v>
      </c>
      <c r="J4847" s="88"/>
    </row>
    <row r="4848">
      <c r="A4848" s="6" t="s">
        <v>9</v>
      </c>
      <c r="B4848" s="9" t="s">
        <v>6290</v>
      </c>
      <c r="C4848" s="91">
        <v>44790.38630326389</v>
      </c>
      <c r="D4848" s="8">
        <f t="shared" si="365"/>
        <v>44792</v>
      </c>
      <c r="E4848" s="9" t="s">
        <v>11</v>
      </c>
      <c r="F4848" s="10"/>
      <c r="G4848" s="9" t="s">
        <v>18</v>
      </c>
      <c r="H4848" s="9" t="s">
        <v>8308</v>
      </c>
      <c r="I4848" s="9" t="s">
        <v>353</v>
      </c>
      <c r="J4848" s="88"/>
    </row>
    <row r="4849">
      <c r="A4849" s="6" t="s">
        <v>9</v>
      </c>
      <c r="B4849" s="9" t="s">
        <v>8239</v>
      </c>
      <c r="C4849" s="91">
        <v>44797.45923525463</v>
      </c>
      <c r="D4849" s="8">
        <f t="shared" si="365"/>
        <v>44799</v>
      </c>
      <c r="E4849" s="9" t="s">
        <v>11</v>
      </c>
      <c r="F4849" s="10"/>
      <c r="G4849" s="9" t="s">
        <v>18</v>
      </c>
      <c r="H4849" s="9" t="s">
        <v>8309</v>
      </c>
      <c r="I4849" s="9" t="s">
        <v>353</v>
      </c>
      <c r="J4849" s="88"/>
    </row>
    <row r="4850">
      <c r="A4850" s="54" t="s">
        <v>6247</v>
      </c>
      <c r="B4850" s="240" t="s">
        <v>8310</v>
      </c>
      <c r="C4850" s="91" t="s">
        <v>11</v>
      </c>
      <c r="D4850" s="8" t="str">
        <f t="shared" si="365"/>
        <v>-</v>
      </c>
      <c r="E4850" s="9" t="s">
        <v>11</v>
      </c>
      <c r="F4850" s="10"/>
      <c r="G4850" s="9" t="s">
        <v>89</v>
      </c>
      <c r="H4850" s="241" t="s">
        <v>8311</v>
      </c>
      <c r="I4850" s="9" t="s">
        <v>353</v>
      </c>
      <c r="J4850" s="88"/>
    </row>
    <row r="4851">
      <c r="A4851" s="54" t="s">
        <v>6247</v>
      </c>
      <c r="B4851" s="240" t="s">
        <v>8312</v>
      </c>
      <c r="C4851" s="91" t="s">
        <v>11</v>
      </c>
      <c r="D4851" s="8" t="str">
        <f t="shared" si="365"/>
        <v>-</v>
      </c>
      <c r="E4851" s="9" t="s">
        <v>11</v>
      </c>
      <c r="F4851" s="10"/>
      <c r="G4851" s="9" t="s">
        <v>89</v>
      </c>
      <c r="H4851" s="242" t="s">
        <v>8313</v>
      </c>
      <c r="I4851" s="9" t="s">
        <v>353</v>
      </c>
      <c r="J4851" s="88"/>
    </row>
    <row r="4852">
      <c r="A4852" s="54" t="s">
        <v>6247</v>
      </c>
      <c r="B4852" s="240" t="s">
        <v>8314</v>
      </c>
      <c r="C4852" s="91" t="s">
        <v>11</v>
      </c>
      <c r="D4852" s="8" t="str">
        <f t="shared" si="365"/>
        <v>-</v>
      </c>
      <c r="E4852" s="9" t="s">
        <v>11</v>
      </c>
      <c r="F4852" s="10"/>
      <c r="G4852" s="9" t="s">
        <v>89</v>
      </c>
      <c r="H4852" s="234" t="s">
        <v>8315</v>
      </c>
      <c r="I4852" s="9" t="s">
        <v>353</v>
      </c>
      <c r="J4852" s="88"/>
    </row>
    <row r="4853">
      <c r="A4853" s="6" t="s">
        <v>9</v>
      </c>
      <c r="B4853" s="9" t="s">
        <v>6023</v>
      </c>
      <c r="C4853" s="91">
        <v>44740.38491</v>
      </c>
      <c r="D4853" s="8">
        <f t="shared" si="365"/>
        <v>44742</v>
      </c>
      <c r="E4853" s="9" t="s">
        <v>88</v>
      </c>
      <c r="F4853" s="10"/>
      <c r="G4853" s="9" t="s">
        <v>15</v>
      </c>
      <c r="H4853" s="7" t="s">
        <v>8316</v>
      </c>
      <c r="I4853" s="9" t="s">
        <v>353</v>
      </c>
      <c r="J4853" s="88"/>
    </row>
    <row r="4854">
      <c r="A4854" s="6" t="s">
        <v>9</v>
      </c>
      <c r="B4854" s="9" t="s">
        <v>6023</v>
      </c>
      <c r="C4854" s="91">
        <v>44770.524615138886</v>
      </c>
      <c r="D4854" s="8">
        <f t="shared" si="365"/>
        <v>44774</v>
      </c>
      <c r="E4854" s="9" t="s">
        <v>88</v>
      </c>
      <c r="F4854" s="10"/>
      <c r="G4854" s="9" t="s">
        <v>15</v>
      </c>
      <c r="H4854" s="9" t="s">
        <v>8317</v>
      </c>
      <c r="I4854" s="9" t="s">
        <v>353</v>
      </c>
      <c r="J4854" s="88"/>
    </row>
    <row r="4855">
      <c r="A4855" s="6" t="s">
        <v>9</v>
      </c>
      <c r="B4855" s="9" t="s">
        <v>8028</v>
      </c>
      <c r="C4855" s="91">
        <v>44790.38649160879</v>
      </c>
      <c r="D4855" s="8">
        <f t="shared" si="365"/>
        <v>44792</v>
      </c>
      <c r="E4855" s="9" t="s">
        <v>11</v>
      </c>
      <c r="F4855" s="10"/>
      <c r="G4855" s="9" t="s">
        <v>220</v>
      </c>
      <c r="H4855" s="9" t="s">
        <v>8318</v>
      </c>
      <c r="I4855" s="9" t="s">
        <v>353</v>
      </c>
      <c r="J4855" s="88"/>
    </row>
    <row r="4856">
      <c r="A4856" s="6" t="s">
        <v>9</v>
      </c>
      <c r="B4856" s="9" t="s">
        <v>8319</v>
      </c>
      <c r="C4856" s="91">
        <v>44796.37221862268</v>
      </c>
      <c r="D4856" s="8">
        <f t="shared" si="365"/>
        <v>44798</v>
      </c>
      <c r="E4856" s="9" t="s">
        <v>11</v>
      </c>
      <c r="F4856" s="10"/>
      <c r="G4856" s="9" t="s">
        <v>220</v>
      </c>
      <c r="H4856" s="9" t="s">
        <v>2896</v>
      </c>
      <c r="I4856" s="9" t="s">
        <v>353</v>
      </c>
      <c r="J4856" s="88"/>
    </row>
    <row r="4857">
      <c r="A4857" s="6" t="s">
        <v>9</v>
      </c>
      <c r="B4857" s="9" t="s">
        <v>8320</v>
      </c>
      <c r="C4857" s="91">
        <v>44792.35621046297</v>
      </c>
      <c r="D4857" s="8">
        <f t="shared" si="365"/>
        <v>44796</v>
      </c>
      <c r="E4857" s="9" t="s">
        <v>88</v>
      </c>
      <c r="F4857" s="10"/>
      <c r="G4857" s="9" t="s">
        <v>18</v>
      </c>
      <c r="H4857" s="9" t="s">
        <v>8321</v>
      </c>
      <c r="I4857" s="9" t="s">
        <v>353</v>
      </c>
      <c r="J4857" s="88"/>
    </row>
    <row r="4858">
      <c r="A4858" s="6" t="s">
        <v>9</v>
      </c>
      <c r="B4858" s="9" t="s">
        <v>3192</v>
      </c>
      <c r="C4858" s="91">
        <v>44792.35558304398</v>
      </c>
      <c r="D4858" s="8">
        <f t="shared" si="365"/>
        <v>44796</v>
      </c>
      <c r="E4858" s="9" t="s">
        <v>88</v>
      </c>
      <c r="F4858" s="10"/>
      <c r="G4858" s="9" t="s">
        <v>18</v>
      </c>
      <c r="H4858" s="9" t="s">
        <v>437</v>
      </c>
      <c r="I4858" s="9" t="s">
        <v>353</v>
      </c>
      <c r="J4858" s="88"/>
    </row>
    <row r="4859">
      <c r="A4859" s="6" t="s">
        <v>9</v>
      </c>
      <c r="B4859" s="9" t="s">
        <v>6651</v>
      </c>
      <c r="C4859" s="91">
        <v>44790.416001817124</v>
      </c>
      <c r="D4859" s="8">
        <f t="shared" si="365"/>
        <v>44792</v>
      </c>
      <c r="E4859" s="9" t="s">
        <v>11</v>
      </c>
      <c r="F4859" s="10"/>
      <c r="G4859" s="9" t="s">
        <v>18</v>
      </c>
      <c r="H4859" s="9" t="s">
        <v>8322</v>
      </c>
      <c r="I4859" s="9" t="s">
        <v>353</v>
      </c>
      <c r="J4859" s="88"/>
    </row>
    <row r="4860">
      <c r="A4860" s="6" t="s">
        <v>9</v>
      </c>
      <c r="B4860" s="9" t="s">
        <v>8323</v>
      </c>
      <c r="C4860" s="91">
        <v>44790.41562861111</v>
      </c>
      <c r="D4860" s="8">
        <f t="shared" si="365"/>
        <v>44792</v>
      </c>
      <c r="E4860" s="9" t="s">
        <v>11</v>
      </c>
      <c r="F4860" s="10"/>
      <c r="G4860" s="9" t="s">
        <v>220</v>
      </c>
      <c r="H4860" s="9" t="s">
        <v>8324</v>
      </c>
      <c r="I4860" s="9" t="s">
        <v>353</v>
      </c>
      <c r="J4860" s="88"/>
    </row>
    <row r="4861">
      <c r="A4861" s="54" t="s">
        <v>6247</v>
      </c>
      <c r="B4861" s="9" t="s">
        <v>8325</v>
      </c>
      <c r="C4861" s="91">
        <v>44790.451626435184</v>
      </c>
      <c r="D4861" s="8">
        <f t="shared" si="365"/>
        <v>44792</v>
      </c>
      <c r="E4861" s="9" t="s">
        <v>11</v>
      </c>
      <c r="F4861" s="10"/>
      <c r="G4861" s="9" t="s">
        <v>15</v>
      </c>
      <c r="H4861" s="238" t="s">
        <v>8326</v>
      </c>
      <c r="I4861" s="9" t="s">
        <v>353</v>
      </c>
      <c r="J4861" s="88"/>
    </row>
    <row r="4862">
      <c r="A4862" s="54" t="s">
        <v>6247</v>
      </c>
      <c r="B4862" s="9" t="s">
        <v>8327</v>
      </c>
      <c r="C4862" s="91">
        <v>44763.4573105787</v>
      </c>
      <c r="D4862" s="8">
        <f t="shared" si="365"/>
        <v>44767</v>
      </c>
      <c r="E4862" s="9" t="s">
        <v>11</v>
      </c>
      <c r="F4862" s="10"/>
      <c r="G4862" s="9" t="s">
        <v>18</v>
      </c>
      <c r="H4862" s="9" t="s">
        <v>8328</v>
      </c>
      <c r="I4862" s="9" t="s">
        <v>353</v>
      </c>
      <c r="J4862" s="88"/>
    </row>
    <row r="4863">
      <c r="A4863" s="54" t="s">
        <v>6247</v>
      </c>
      <c r="B4863" s="243" t="s">
        <v>8329</v>
      </c>
      <c r="C4863" s="91">
        <v>44770.36381256944</v>
      </c>
      <c r="D4863" s="8">
        <f t="shared" si="365"/>
        <v>44774</v>
      </c>
      <c r="E4863" s="9" t="s">
        <v>206</v>
      </c>
      <c r="F4863" s="233"/>
      <c r="G4863" s="9" t="s">
        <v>18</v>
      </c>
      <c r="H4863" s="238" t="s">
        <v>8330</v>
      </c>
      <c r="I4863" s="9" t="s">
        <v>353</v>
      </c>
      <c r="J4863" s="88"/>
    </row>
    <row r="4864">
      <c r="A4864" s="6" t="s">
        <v>9</v>
      </c>
      <c r="B4864" s="9" t="s">
        <v>8331</v>
      </c>
      <c r="C4864" s="91">
        <v>44791.38392472222</v>
      </c>
      <c r="D4864" s="8">
        <f t="shared" si="365"/>
        <v>44795</v>
      </c>
      <c r="E4864" s="9" t="s">
        <v>88</v>
      </c>
      <c r="F4864" s="10"/>
      <c r="G4864" s="9" t="s">
        <v>18</v>
      </c>
      <c r="H4864" s="9" t="s">
        <v>8332</v>
      </c>
      <c r="I4864" s="9" t="s">
        <v>353</v>
      </c>
      <c r="J4864" s="88"/>
    </row>
    <row r="4865">
      <c r="A4865" s="54" t="s">
        <v>6247</v>
      </c>
      <c r="B4865" s="9" t="s">
        <v>8333</v>
      </c>
      <c r="C4865" s="91">
        <v>44761.74399682871</v>
      </c>
      <c r="D4865" s="8">
        <f t="shared" si="365"/>
        <v>44763</v>
      </c>
      <c r="E4865" s="9" t="s">
        <v>11</v>
      </c>
      <c r="F4865" s="10"/>
      <c r="G4865" s="9" t="s">
        <v>220</v>
      </c>
      <c r="H4865" s="238" t="s">
        <v>8334</v>
      </c>
      <c r="I4865" s="9" t="s">
        <v>353</v>
      </c>
      <c r="J4865" s="88"/>
    </row>
    <row r="4866">
      <c r="A4866" s="54" t="s">
        <v>6247</v>
      </c>
      <c r="B4866" s="238" t="s">
        <v>8335</v>
      </c>
      <c r="C4866" s="91">
        <v>44771.3679809375</v>
      </c>
      <c r="D4866" s="8">
        <f t="shared" si="365"/>
        <v>44775</v>
      </c>
      <c r="E4866" s="9" t="s">
        <v>206</v>
      </c>
      <c r="F4866" s="10"/>
      <c r="G4866" s="9" t="s">
        <v>220</v>
      </c>
      <c r="H4866" s="244" t="s">
        <v>8336</v>
      </c>
      <c r="I4866" s="9" t="s">
        <v>353</v>
      </c>
      <c r="J4866" s="88"/>
    </row>
    <row r="4867">
      <c r="A4867" s="54" t="s">
        <v>6247</v>
      </c>
      <c r="B4867" s="9" t="s">
        <v>5880</v>
      </c>
      <c r="C4867" s="91">
        <v>44789.593488750004</v>
      </c>
      <c r="D4867" s="8">
        <f t="shared" si="365"/>
        <v>44791</v>
      </c>
      <c r="E4867" s="9" t="s">
        <v>11</v>
      </c>
      <c r="F4867" s="10"/>
      <c r="G4867" s="9" t="s">
        <v>220</v>
      </c>
      <c r="H4867" s="9" t="s">
        <v>8337</v>
      </c>
      <c r="I4867" s="9" t="s">
        <v>353</v>
      </c>
      <c r="J4867" s="88"/>
    </row>
    <row r="4868">
      <c r="A4868" s="6" t="s">
        <v>9</v>
      </c>
      <c r="B4868" s="9" t="s">
        <v>8338</v>
      </c>
      <c r="C4868" s="91">
        <v>44790.39419677084</v>
      </c>
      <c r="D4868" s="8">
        <f t="shared" si="365"/>
        <v>44792</v>
      </c>
      <c r="E4868" s="9" t="s">
        <v>11</v>
      </c>
      <c r="F4868" s="10"/>
      <c r="G4868" s="9" t="s">
        <v>18</v>
      </c>
      <c r="H4868" s="9" t="s">
        <v>8339</v>
      </c>
      <c r="I4868" s="9" t="s">
        <v>353</v>
      </c>
      <c r="J4868" s="88"/>
    </row>
    <row r="4869">
      <c r="A4869" s="6" t="s">
        <v>9</v>
      </c>
      <c r="B4869" s="9" t="s">
        <v>8340</v>
      </c>
      <c r="C4869" s="91">
        <v>44790.38553561343</v>
      </c>
      <c r="D4869" s="8">
        <f t="shared" si="365"/>
        <v>44792</v>
      </c>
      <c r="E4869" s="9" t="s">
        <v>11</v>
      </c>
      <c r="F4869" s="10"/>
      <c r="G4869" s="9" t="s">
        <v>18</v>
      </c>
      <c r="H4869" s="9" t="s">
        <v>8341</v>
      </c>
      <c r="I4869" s="9" t="s">
        <v>353</v>
      </c>
      <c r="J4869" s="88"/>
    </row>
    <row r="4870">
      <c r="A4870" s="54" t="s">
        <v>6247</v>
      </c>
      <c r="B4870" s="9" t="s">
        <v>8342</v>
      </c>
      <c r="C4870" s="91">
        <v>44770.73897670139</v>
      </c>
      <c r="D4870" s="8">
        <f t="shared" si="365"/>
        <v>44774</v>
      </c>
      <c r="E4870" s="9" t="s">
        <v>11</v>
      </c>
      <c r="F4870" s="10"/>
      <c r="G4870" s="9" t="s">
        <v>220</v>
      </c>
      <c r="H4870" s="245" t="s">
        <v>8343</v>
      </c>
      <c r="I4870" s="9" t="s">
        <v>353</v>
      </c>
      <c r="J4870" s="88"/>
    </row>
    <row r="4871">
      <c r="A4871" s="54" t="s">
        <v>6247</v>
      </c>
      <c r="B4871" s="9" t="s">
        <v>7302</v>
      </c>
      <c r="C4871" s="91">
        <v>44770.51926239583</v>
      </c>
      <c r="D4871" s="8">
        <f t="shared" si="365"/>
        <v>44774</v>
      </c>
      <c r="E4871" s="9" t="s">
        <v>206</v>
      </c>
      <c r="F4871" s="10"/>
      <c r="G4871" s="9" t="s">
        <v>220</v>
      </c>
      <c r="H4871" s="9" t="s">
        <v>8344</v>
      </c>
      <c r="I4871" s="9" t="s">
        <v>353</v>
      </c>
      <c r="J4871" s="88"/>
    </row>
    <row r="4872">
      <c r="A4872" s="54" t="s">
        <v>6247</v>
      </c>
      <c r="B4872" s="9" t="s">
        <v>7855</v>
      </c>
      <c r="C4872" s="91">
        <v>44725.51621152778</v>
      </c>
      <c r="D4872" s="8">
        <f t="shared" si="365"/>
        <v>44727</v>
      </c>
      <c r="E4872" s="9" t="s">
        <v>206</v>
      </c>
      <c r="F4872" s="238"/>
      <c r="G4872" s="9" t="s">
        <v>220</v>
      </c>
      <c r="H4872" s="9" t="s">
        <v>8345</v>
      </c>
      <c r="I4872" s="9" t="s">
        <v>353</v>
      </c>
      <c r="J4872" s="88"/>
    </row>
    <row r="4873">
      <c r="A4873" s="6" t="s">
        <v>9</v>
      </c>
      <c r="B4873" s="9" t="s">
        <v>7167</v>
      </c>
      <c r="C4873" s="91">
        <v>44735.41758079861</v>
      </c>
      <c r="D4873" s="8">
        <f t="shared" si="365"/>
        <v>44739</v>
      </c>
      <c r="E4873" s="9" t="s">
        <v>88</v>
      </c>
      <c r="F4873" s="10"/>
      <c r="G4873" s="9" t="s">
        <v>89</v>
      </c>
      <c r="H4873" s="9" t="s">
        <v>8346</v>
      </c>
      <c r="I4873" s="9" t="s">
        <v>353</v>
      </c>
      <c r="J4873" s="88"/>
    </row>
    <row r="4874">
      <c r="A4874" s="6" t="s">
        <v>9</v>
      </c>
      <c r="B4874" s="9" t="s">
        <v>8347</v>
      </c>
      <c r="C4874" s="91" t="s">
        <v>11</v>
      </c>
      <c r="D4874" s="8" t="str">
        <f t="shared" si="365"/>
        <v>-</v>
      </c>
      <c r="E4874" s="9" t="s">
        <v>88</v>
      </c>
      <c r="F4874" s="10"/>
      <c r="G4874" s="9" t="s">
        <v>89</v>
      </c>
      <c r="H4874" s="9" t="s">
        <v>8348</v>
      </c>
      <c r="I4874" s="9" t="s">
        <v>353</v>
      </c>
      <c r="J4874" s="88"/>
    </row>
    <row r="4875">
      <c r="A4875" s="6" t="s">
        <v>9</v>
      </c>
      <c r="B4875" s="9" t="s">
        <v>2814</v>
      </c>
      <c r="C4875" s="91">
        <v>44748.72403215278</v>
      </c>
      <c r="D4875" s="8">
        <f t="shared" si="365"/>
        <v>44750</v>
      </c>
      <c r="E4875" s="9" t="s">
        <v>88</v>
      </c>
      <c r="F4875" s="10"/>
      <c r="G4875" s="9" t="s">
        <v>220</v>
      </c>
      <c r="H4875" s="9" t="s">
        <v>8349</v>
      </c>
      <c r="I4875" s="9" t="s">
        <v>353</v>
      </c>
      <c r="J4875" s="88"/>
    </row>
    <row r="4876">
      <c r="A4876" s="6" t="s">
        <v>9</v>
      </c>
      <c r="B4876" s="9" t="s">
        <v>8350</v>
      </c>
      <c r="C4876" s="91">
        <v>44743.48492768519</v>
      </c>
      <c r="D4876" s="8">
        <f t="shared" si="365"/>
        <v>44747</v>
      </c>
      <c r="E4876" s="9" t="s">
        <v>88</v>
      </c>
      <c r="F4876" s="10"/>
      <c r="G4876" s="9" t="s">
        <v>15</v>
      </c>
      <c r="H4876" s="9" t="s">
        <v>8351</v>
      </c>
      <c r="I4876" s="9" t="s">
        <v>353</v>
      </c>
      <c r="J4876" s="88"/>
    </row>
    <row r="4877">
      <c r="A4877" s="54" t="s">
        <v>6247</v>
      </c>
      <c r="B4877" s="9" t="s">
        <v>6341</v>
      </c>
      <c r="C4877" s="91">
        <v>44764.49884903935</v>
      </c>
      <c r="D4877" s="8">
        <f t="shared" si="365"/>
        <v>44768</v>
      </c>
      <c r="E4877" s="9" t="s">
        <v>11</v>
      </c>
      <c r="F4877" s="10"/>
      <c r="G4877" s="9" t="s">
        <v>220</v>
      </c>
      <c r="H4877" s="9" t="s">
        <v>8352</v>
      </c>
      <c r="I4877" s="9" t="s">
        <v>353</v>
      </c>
      <c r="J4877" s="88"/>
    </row>
    <row r="4878">
      <c r="A4878" s="6" t="s">
        <v>9</v>
      </c>
      <c r="B4878" s="9" t="s">
        <v>8353</v>
      </c>
      <c r="C4878" s="91">
        <v>44740.331804155096</v>
      </c>
      <c r="D4878" s="8">
        <f t="shared" si="365"/>
        <v>44742</v>
      </c>
      <c r="E4878" s="9" t="s">
        <v>11</v>
      </c>
      <c r="F4878" s="10"/>
      <c r="G4878" s="9" t="s">
        <v>15</v>
      </c>
      <c r="H4878" s="9" t="s">
        <v>8354</v>
      </c>
      <c r="I4878" s="9" t="s">
        <v>353</v>
      </c>
      <c r="J4878" s="88"/>
    </row>
    <row r="4879">
      <c r="A4879" s="6" t="s">
        <v>9</v>
      </c>
      <c r="B4879" s="9" t="s">
        <v>6290</v>
      </c>
      <c r="C4879" s="91">
        <v>44770.52625362268</v>
      </c>
      <c r="D4879" s="8">
        <f t="shared" si="365"/>
        <v>44774</v>
      </c>
      <c r="E4879" s="9" t="s">
        <v>88</v>
      </c>
      <c r="F4879" s="10"/>
      <c r="G4879" s="9" t="s">
        <v>18</v>
      </c>
      <c r="H4879" s="9" t="s">
        <v>8355</v>
      </c>
      <c r="I4879" s="9" t="s">
        <v>353</v>
      </c>
      <c r="J4879" s="88"/>
    </row>
    <row r="4880">
      <c r="A4880" s="6" t="s">
        <v>9</v>
      </c>
      <c r="B4880" s="9" t="s">
        <v>8356</v>
      </c>
      <c r="C4880" s="91">
        <v>44748.723504050926</v>
      </c>
      <c r="D4880" s="8">
        <f t="shared" si="365"/>
        <v>44750</v>
      </c>
      <c r="E4880" s="9" t="s">
        <v>88</v>
      </c>
      <c r="F4880" s="10"/>
      <c r="G4880" s="9" t="s">
        <v>220</v>
      </c>
      <c r="H4880" s="9" t="s">
        <v>8357</v>
      </c>
      <c r="I4880" s="9" t="s">
        <v>353</v>
      </c>
      <c r="J4880" s="88"/>
    </row>
    <row r="4881">
      <c r="A4881" s="54" t="s">
        <v>6247</v>
      </c>
      <c r="B4881" s="98" t="s">
        <v>8358</v>
      </c>
      <c r="C4881" s="91">
        <v>44770.50254252314</v>
      </c>
      <c r="D4881" s="8">
        <f t="shared" si="365"/>
        <v>44774</v>
      </c>
      <c r="E4881" s="9" t="s">
        <v>206</v>
      </c>
      <c r="F4881" s="10"/>
      <c r="G4881" s="9" t="s">
        <v>15</v>
      </c>
      <c r="H4881" s="9" t="s">
        <v>8359</v>
      </c>
      <c r="I4881" s="9" t="s">
        <v>353</v>
      </c>
      <c r="J4881" s="88"/>
    </row>
    <row r="4882">
      <c r="A4882" s="54" t="s">
        <v>6247</v>
      </c>
      <c r="B4882" s="9" t="s">
        <v>8360</v>
      </c>
      <c r="C4882" s="91">
        <v>44770.50043482639</v>
      </c>
      <c r="D4882" s="8">
        <f t="shared" si="365"/>
        <v>44774</v>
      </c>
      <c r="E4882" s="9" t="s">
        <v>11</v>
      </c>
      <c r="F4882" s="10"/>
      <c r="G4882" s="9" t="s">
        <v>15</v>
      </c>
      <c r="H4882" s="9" t="s">
        <v>8361</v>
      </c>
      <c r="I4882" s="9" t="s">
        <v>353</v>
      </c>
      <c r="J4882" s="88"/>
    </row>
    <row r="4883">
      <c r="A4883" s="54" t="s">
        <v>6247</v>
      </c>
      <c r="B4883" s="9" t="s">
        <v>8362</v>
      </c>
      <c r="C4883" s="91">
        <v>44768.72667108796</v>
      </c>
      <c r="D4883" s="8">
        <f t="shared" si="365"/>
        <v>44770</v>
      </c>
      <c r="E4883" s="9" t="s">
        <v>206</v>
      </c>
      <c r="F4883" s="10"/>
      <c r="G4883" s="9" t="s">
        <v>15</v>
      </c>
      <c r="H4883" s="9" t="s">
        <v>8363</v>
      </c>
      <c r="I4883" s="9" t="s">
        <v>353</v>
      </c>
      <c r="J4883" s="88"/>
    </row>
    <row r="4884">
      <c r="A4884" s="6" t="s">
        <v>9</v>
      </c>
      <c r="B4884" s="9" t="s">
        <v>6290</v>
      </c>
      <c r="C4884" s="91">
        <v>44769.44825605324</v>
      </c>
      <c r="D4884" s="8">
        <f t="shared" si="365"/>
        <v>44771</v>
      </c>
      <c r="E4884" s="9" t="s">
        <v>11</v>
      </c>
      <c r="F4884" s="10"/>
      <c r="G4884" s="9" t="s">
        <v>18</v>
      </c>
      <c r="H4884" s="9" t="s">
        <v>8364</v>
      </c>
      <c r="I4884" s="9" t="s">
        <v>353</v>
      </c>
      <c r="J4884" s="88"/>
    </row>
    <row r="4885">
      <c r="A4885" s="6" t="s">
        <v>9</v>
      </c>
      <c r="B4885" s="9" t="s">
        <v>6290</v>
      </c>
      <c r="C4885" s="91">
        <v>44769.447922604166</v>
      </c>
      <c r="D4885" s="8">
        <f t="shared" si="365"/>
        <v>44771</v>
      </c>
      <c r="E4885" s="9" t="s">
        <v>88</v>
      </c>
      <c r="F4885" s="10"/>
      <c r="G4885" s="9" t="s">
        <v>15</v>
      </c>
      <c r="H4885" s="9" t="s">
        <v>8365</v>
      </c>
      <c r="I4885" s="9" t="s">
        <v>353</v>
      </c>
      <c r="J4885" s="88"/>
    </row>
    <row r="4886">
      <c r="A4886" s="54" t="s">
        <v>6247</v>
      </c>
      <c r="B4886" s="9" t="s">
        <v>8366</v>
      </c>
      <c r="C4886" s="91">
        <v>44760.47151054398</v>
      </c>
      <c r="D4886" s="8">
        <f t="shared" si="365"/>
        <v>44762</v>
      </c>
      <c r="E4886" s="9" t="s">
        <v>11</v>
      </c>
      <c r="F4886" s="10"/>
      <c r="G4886" s="9" t="s">
        <v>220</v>
      </c>
      <c r="H4886" s="9" t="s">
        <v>8367</v>
      </c>
      <c r="I4886" s="9" t="s">
        <v>353</v>
      </c>
      <c r="J4886" s="88"/>
    </row>
    <row r="4887">
      <c r="A4887" s="54" t="s">
        <v>6247</v>
      </c>
      <c r="B4887" s="9" t="s">
        <v>8368</v>
      </c>
      <c r="C4887" s="91">
        <v>44761.44799918981</v>
      </c>
      <c r="D4887" s="8">
        <f t="shared" si="365"/>
        <v>44763</v>
      </c>
      <c r="E4887" s="9" t="s">
        <v>11</v>
      </c>
      <c r="F4887" s="10"/>
      <c r="G4887" s="9" t="s">
        <v>15</v>
      </c>
      <c r="H4887" s="9" t="s">
        <v>8369</v>
      </c>
      <c r="I4887" s="9" t="s">
        <v>353</v>
      </c>
      <c r="J4887" s="88"/>
    </row>
    <row r="4888">
      <c r="A4888" s="54" t="s">
        <v>6247</v>
      </c>
      <c r="B4888" s="9" t="s">
        <v>6006</v>
      </c>
      <c r="C4888" s="91">
        <v>44754.5229878588</v>
      </c>
      <c r="D4888" s="8">
        <f t="shared" si="365"/>
        <v>44756</v>
      </c>
      <c r="E4888" s="9" t="s">
        <v>11</v>
      </c>
      <c r="F4888" s="10"/>
      <c r="G4888" s="9" t="s">
        <v>220</v>
      </c>
      <c r="H4888" s="9" t="s">
        <v>8370</v>
      </c>
      <c r="I4888" s="9" t="s">
        <v>353</v>
      </c>
      <c r="J4888" s="88"/>
    </row>
    <row r="4889">
      <c r="A4889" s="54" t="s">
        <v>6247</v>
      </c>
      <c r="B4889" s="9" t="s">
        <v>8371</v>
      </c>
      <c r="C4889" s="91">
        <v>44762.427239791665</v>
      </c>
      <c r="D4889" s="8">
        <f t="shared" si="365"/>
        <v>44764</v>
      </c>
      <c r="E4889" s="9" t="s">
        <v>11</v>
      </c>
      <c r="F4889" s="10"/>
      <c r="G4889" s="9" t="s">
        <v>220</v>
      </c>
      <c r="H4889" s="9" t="s">
        <v>8372</v>
      </c>
      <c r="I4889" s="9" t="s">
        <v>353</v>
      </c>
      <c r="J4889" s="88"/>
    </row>
    <row r="4890">
      <c r="A4890" s="6" t="s">
        <v>9</v>
      </c>
      <c r="B4890" s="9" t="s">
        <v>8373</v>
      </c>
      <c r="C4890" s="91">
        <v>44767.46011637732</v>
      </c>
      <c r="D4890" s="8">
        <f t="shared" si="365"/>
        <v>44769</v>
      </c>
      <c r="E4890" s="9" t="s">
        <v>88</v>
      </c>
      <c r="F4890" s="10"/>
      <c r="G4890" s="9" t="s">
        <v>18</v>
      </c>
      <c r="H4890" s="9" t="s">
        <v>8374</v>
      </c>
      <c r="I4890" s="9" t="s">
        <v>353</v>
      </c>
      <c r="J4890" s="88"/>
    </row>
    <row r="4891">
      <c r="A4891" s="54" t="s">
        <v>6247</v>
      </c>
      <c r="B4891" s="243" t="s">
        <v>8375</v>
      </c>
      <c r="C4891" s="91">
        <v>44726.76079854167</v>
      </c>
      <c r="D4891" s="8">
        <f t="shared" si="365"/>
        <v>44728</v>
      </c>
      <c r="E4891" s="9" t="s">
        <v>206</v>
      </c>
      <c r="F4891" s="10"/>
      <c r="G4891" s="9" t="s">
        <v>220</v>
      </c>
      <c r="H4891" s="98" t="s">
        <v>8376</v>
      </c>
      <c r="I4891" s="9" t="s">
        <v>353</v>
      </c>
      <c r="J4891" s="88"/>
    </row>
    <row r="4892">
      <c r="A4892" s="6" t="s">
        <v>9</v>
      </c>
      <c r="B4892" s="9" t="s">
        <v>1083</v>
      </c>
      <c r="C4892" s="91">
        <v>44767.44512521991</v>
      </c>
      <c r="D4892" s="8">
        <f t="shared" si="365"/>
        <v>44769</v>
      </c>
      <c r="E4892" s="9" t="s">
        <v>88</v>
      </c>
      <c r="F4892" s="10"/>
      <c r="G4892" s="9" t="s">
        <v>18</v>
      </c>
      <c r="H4892" s="9" t="s">
        <v>8377</v>
      </c>
      <c r="I4892" s="9" t="s">
        <v>353</v>
      </c>
      <c r="J4892" s="88"/>
    </row>
    <row r="4893">
      <c r="A4893" s="6" t="s">
        <v>9</v>
      </c>
      <c r="B4893" s="9" t="s">
        <v>6290</v>
      </c>
      <c r="C4893" s="91">
        <v>44767.4449097801</v>
      </c>
      <c r="D4893" s="8">
        <f t="shared" si="365"/>
        <v>44769</v>
      </c>
      <c r="E4893" s="9" t="s">
        <v>11</v>
      </c>
      <c r="F4893" s="10"/>
      <c r="G4893" s="9" t="s">
        <v>18</v>
      </c>
      <c r="H4893" s="9" t="s">
        <v>8378</v>
      </c>
      <c r="I4893" s="9" t="s">
        <v>353</v>
      </c>
      <c r="J4893" s="88"/>
    </row>
    <row r="4894">
      <c r="A4894" s="6" t="s">
        <v>9</v>
      </c>
      <c r="B4894" s="9" t="s">
        <v>6290</v>
      </c>
      <c r="C4894" s="91">
        <v>44763.500679351855</v>
      </c>
      <c r="D4894" s="8">
        <f t="shared" si="365"/>
        <v>44767</v>
      </c>
      <c r="E4894" s="9" t="s">
        <v>88</v>
      </c>
      <c r="F4894" s="10"/>
      <c r="G4894" s="9" t="s">
        <v>18</v>
      </c>
      <c r="H4894" s="9" t="s">
        <v>8379</v>
      </c>
      <c r="I4894" s="9" t="s">
        <v>353</v>
      </c>
      <c r="J4894" s="88"/>
    </row>
    <row r="4895">
      <c r="A4895" s="6" t="s">
        <v>9</v>
      </c>
      <c r="B4895" s="9" t="s">
        <v>8291</v>
      </c>
      <c r="C4895" s="91">
        <v>44728.69974265047</v>
      </c>
      <c r="D4895" s="8">
        <f t="shared" si="365"/>
        <v>44732</v>
      </c>
      <c r="E4895" s="9" t="s">
        <v>88</v>
      </c>
      <c r="F4895" s="10"/>
      <c r="G4895" s="9" t="s">
        <v>15</v>
      </c>
      <c r="H4895" s="9" t="s">
        <v>8380</v>
      </c>
      <c r="I4895" s="9" t="s">
        <v>353</v>
      </c>
      <c r="J4895" s="88"/>
    </row>
    <row r="4896">
      <c r="A4896" s="6" t="s">
        <v>9</v>
      </c>
      <c r="B4896" s="9" t="s">
        <v>8381</v>
      </c>
      <c r="C4896" s="91">
        <v>44760.422837708335</v>
      </c>
      <c r="D4896" s="8">
        <f t="shared" si="365"/>
        <v>44762</v>
      </c>
      <c r="E4896" s="9" t="s">
        <v>88</v>
      </c>
      <c r="F4896" s="10"/>
      <c r="G4896" s="9" t="s">
        <v>220</v>
      </c>
      <c r="H4896" s="9" t="s">
        <v>437</v>
      </c>
      <c r="I4896" s="9" t="s">
        <v>353</v>
      </c>
      <c r="J4896" s="88"/>
    </row>
    <row r="4897">
      <c r="A4897" s="54" t="s">
        <v>6247</v>
      </c>
      <c r="B4897" s="9" t="s">
        <v>8382</v>
      </c>
      <c r="C4897" s="91">
        <v>44725.389784259256</v>
      </c>
      <c r="D4897" s="8">
        <f t="shared" si="365"/>
        <v>44727</v>
      </c>
      <c r="E4897" s="9" t="s">
        <v>206</v>
      </c>
      <c r="F4897" s="10"/>
      <c r="G4897" s="9" t="s">
        <v>220</v>
      </c>
      <c r="H4897" s="98" t="s">
        <v>8383</v>
      </c>
      <c r="I4897" s="9" t="s">
        <v>353</v>
      </c>
      <c r="J4897" s="88"/>
    </row>
    <row r="4898">
      <c r="A4898" s="54" t="s">
        <v>6247</v>
      </c>
      <c r="B4898" s="9" t="s">
        <v>8384</v>
      </c>
      <c r="C4898" s="91">
        <v>44720.45574993055</v>
      </c>
      <c r="D4898" s="8">
        <f t="shared" si="365"/>
        <v>44722</v>
      </c>
      <c r="E4898" s="9" t="s">
        <v>11</v>
      </c>
      <c r="F4898" s="10"/>
      <c r="G4898" s="9" t="s">
        <v>15</v>
      </c>
      <c r="H4898" s="98"/>
      <c r="I4898" s="9" t="s">
        <v>353</v>
      </c>
      <c r="J4898" s="88"/>
    </row>
    <row r="4899">
      <c r="A4899" s="54" t="s">
        <v>6247</v>
      </c>
      <c r="B4899" s="9" t="s">
        <v>8385</v>
      </c>
      <c r="C4899" s="91">
        <v>44760.432527060184</v>
      </c>
      <c r="D4899" s="8">
        <f t="shared" si="365"/>
        <v>44762</v>
      </c>
      <c r="E4899" s="9" t="s">
        <v>88</v>
      </c>
      <c r="F4899" s="10"/>
      <c r="G4899" s="9" t="s">
        <v>15</v>
      </c>
      <c r="H4899" s="9" t="s">
        <v>8386</v>
      </c>
      <c r="I4899" s="9" t="s">
        <v>353</v>
      </c>
      <c r="J4899" s="88"/>
    </row>
    <row r="4900">
      <c r="A4900" s="54" t="s">
        <v>6247</v>
      </c>
      <c r="B4900" s="9" t="s">
        <v>7203</v>
      </c>
      <c r="C4900" s="91">
        <v>44761.69824186343</v>
      </c>
      <c r="D4900" s="8">
        <f t="shared" si="365"/>
        <v>44763</v>
      </c>
      <c r="E4900" s="9" t="s">
        <v>206</v>
      </c>
      <c r="F4900" s="10"/>
      <c r="G4900" s="9" t="s">
        <v>15</v>
      </c>
      <c r="H4900" s="9" t="s">
        <v>8387</v>
      </c>
      <c r="I4900" s="9" t="s">
        <v>353</v>
      </c>
      <c r="J4900" s="88"/>
    </row>
    <row r="4901">
      <c r="A4901" s="54" t="s">
        <v>6247</v>
      </c>
      <c r="B4901" s="234" t="s">
        <v>8388</v>
      </c>
      <c r="C4901" s="91" t="s">
        <v>11</v>
      </c>
      <c r="D4901" s="8" t="str">
        <f t="shared" si="365"/>
        <v>-</v>
      </c>
      <c r="E4901" s="9" t="s">
        <v>88</v>
      </c>
      <c r="F4901" s="10"/>
      <c r="G4901" s="9" t="s">
        <v>15</v>
      </c>
      <c r="H4901" s="98" t="s">
        <v>8389</v>
      </c>
      <c r="I4901" s="9" t="s">
        <v>353</v>
      </c>
      <c r="J4901" s="88"/>
    </row>
    <row r="4902">
      <c r="A4902" s="6" t="s">
        <v>9</v>
      </c>
      <c r="B4902" s="9" t="s">
        <v>8390</v>
      </c>
      <c r="C4902" s="91">
        <v>44760.41482822917</v>
      </c>
      <c r="D4902" s="8">
        <f t="shared" si="365"/>
        <v>44762</v>
      </c>
      <c r="E4902" s="9" t="s">
        <v>206</v>
      </c>
      <c r="F4902" s="10"/>
      <c r="G4902" s="9" t="s">
        <v>18</v>
      </c>
      <c r="H4902" s="9" t="s">
        <v>8391</v>
      </c>
      <c r="I4902" s="9" t="s">
        <v>353</v>
      </c>
      <c r="J4902" s="88"/>
    </row>
    <row r="4903">
      <c r="A4903" s="54" t="s">
        <v>6247</v>
      </c>
      <c r="B4903" s="234" t="s">
        <v>8392</v>
      </c>
      <c r="C4903" s="91" t="s">
        <v>11</v>
      </c>
      <c r="D4903" s="8" t="str">
        <f t="shared" si="365"/>
        <v>-</v>
      </c>
      <c r="E4903" s="9" t="s">
        <v>206</v>
      </c>
      <c r="F4903" s="10"/>
      <c r="G4903" s="9" t="s">
        <v>18</v>
      </c>
      <c r="H4903" s="243" t="s">
        <v>8393</v>
      </c>
      <c r="I4903" s="9" t="s">
        <v>353</v>
      </c>
      <c r="J4903" s="88"/>
    </row>
    <row r="4904">
      <c r="A4904" s="6" t="s">
        <v>9</v>
      </c>
      <c r="B4904" s="9" t="s">
        <v>8356</v>
      </c>
      <c r="C4904" s="91">
        <v>44762.40746775463</v>
      </c>
      <c r="D4904" s="8">
        <f t="shared" si="365"/>
        <v>44764</v>
      </c>
      <c r="E4904" s="9" t="s">
        <v>88</v>
      </c>
      <c r="F4904" s="10"/>
      <c r="G4904" s="9" t="s">
        <v>18</v>
      </c>
      <c r="H4904" s="9" t="s">
        <v>8394</v>
      </c>
      <c r="I4904" s="9" t="s">
        <v>353</v>
      </c>
      <c r="J4904" s="88"/>
    </row>
    <row r="4905">
      <c r="A4905" s="54" t="s">
        <v>6247</v>
      </c>
      <c r="B4905" s="234" t="s">
        <v>8395</v>
      </c>
      <c r="C4905" s="91" t="s">
        <v>11</v>
      </c>
      <c r="D4905" s="8" t="str">
        <f t="shared" si="365"/>
        <v>-</v>
      </c>
      <c r="E4905" s="9" t="s">
        <v>206</v>
      </c>
      <c r="F4905" s="10"/>
      <c r="G4905" s="9" t="s">
        <v>18</v>
      </c>
      <c r="H4905" s="98" t="s">
        <v>8396</v>
      </c>
      <c r="I4905" s="9" t="s">
        <v>353</v>
      </c>
      <c r="J4905" s="88"/>
    </row>
    <row r="4906">
      <c r="A4906" s="54" t="s">
        <v>6247</v>
      </c>
      <c r="B4906" s="98" t="s">
        <v>8397</v>
      </c>
      <c r="C4906" s="91">
        <v>44746.742889988425</v>
      </c>
      <c r="D4906" s="8">
        <f t="shared" si="365"/>
        <v>44748</v>
      </c>
      <c r="E4906" s="9" t="s">
        <v>88</v>
      </c>
      <c r="F4906" s="10"/>
      <c r="G4906" s="9" t="s">
        <v>18</v>
      </c>
      <c r="H4906" s="246" t="s">
        <v>8398</v>
      </c>
      <c r="I4906" s="9" t="s">
        <v>353</v>
      </c>
      <c r="J4906" s="88"/>
    </row>
    <row r="4907">
      <c r="A4907" s="6" t="s">
        <v>9</v>
      </c>
      <c r="B4907" s="9" t="s">
        <v>8356</v>
      </c>
      <c r="C4907" s="91">
        <v>44749.64927365741</v>
      </c>
      <c r="D4907" s="8">
        <f t="shared" si="365"/>
        <v>44753</v>
      </c>
      <c r="E4907" s="9" t="s">
        <v>88</v>
      </c>
      <c r="F4907" s="10"/>
      <c r="G4907" s="9" t="s">
        <v>18</v>
      </c>
      <c r="H4907" s="9" t="s">
        <v>8399</v>
      </c>
      <c r="I4907" s="9" t="s">
        <v>353</v>
      </c>
      <c r="J4907" s="88"/>
    </row>
    <row r="4908">
      <c r="A4908" s="6" t="s">
        <v>9</v>
      </c>
      <c r="B4908" s="9" t="s">
        <v>8400</v>
      </c>
      <c r="C4908" s="91">
        <v>44760.42946121527</v>
      </c>
      <c r="D4908" s="8">
        <f t="shared" si="365"/>
        <v>44762</v>
      </c>
      <c r="E4908" s="9" t="s">
        <v>88</v>
      </c>
      <c r="F4908" s="10"/>
      <c r="G4908" s="9" t="s">
        <v>18</v>
      </c>
      <c r="H4908" s="9" t="s">
        <v>8401</v>
      </c>
      <c r="I4908" s="9" t="s">
        <v>353</v>
      </c>
      <c r="J4908" s="88"/>
    </row>
    <row r="4909">
      <c r="A4909" s="6" t="s">
        <v>9</v>
      </c>
      <c r="B4909" s="9" t="s">
        <v>8402</v>
      </c>
      <c r="C4909" s="91">
        <v>44760.41662421296</v>
      </c>
      <c r="D4909" s="8">
        <f t="shared" si="365"/>
        <v>44762</v>
      </c>
      <c r="E4909" s="9" t="s">
        <v>88</v>
      </c>
      <c r="F4909" s="10"/>
      <c r="G4909" s="9" t="s">
        <v>15</v>
      </c>
      <c r="H4909" s="9" t="s">
        <v>8403</v>
      </c>
      <c r="I4909" s="9" t="s">
        <v>353</v>
      </c>
      <c r="J4909" s="88"/>
    </row>
    <row r="4910">
      <c r="A4910" s="54" t="s">
        <v>6247</v>
      </c>
      <c r="B4910" s="9" t="s">
        <v>8404</v>
      </c>
      <c r="C4910" s="91">
        <v>44760.38767711805</v>
      </c>
      <c r="D4910" s="8">
        <f t="shared" si="365"/>
        <v>44762</v>
      </c>
      <c r="E4910" s="9" t="s">
        <v>11</v>
      </c>
      <c r="F4910" s="10"/>
      <c r="G4910" s="9" t="s">
        <v>18</v>
      </c>
      <c r="H4910" s="9" t="s">
        <v>8370</v>
      </c>
      <c r="I4910" s="9" t="s">
        <v>353</v>
      </c>
      <c r="J4910" s="88"/>
    </row>
    <row r="4911">
      <c r="A4911" s="6" t="s">
        <v>9</v>
      </c>
      <c r="B4911" s="9" t="s">
        <v>8405</v>
      </c>
      <c r="C4911" s="91" t="s">
        <v>11</v>
      </c>
      <c r="D4911" s="8" t="str">
        <f t="shared" si="365"/>
        <v>-</v>
      </c>
      <c r="E4911" s="9" t="s">
        <v>88</v>
      </c>
      <c r="F4911" s="10"/>
      <c r="G4911" s="9" t="s">
        <v>220</v>
      </c>
      <c r="H4911" s="247" t="s">
        <v>8406</v>
      </c>
      <c r="I4911" s="9" t="s">
        <v>353</v>
      </c>
      <c r="J4911" s="88"/>
    </row>
    <row r="4912">
      <c r="A4912" s="6" t="s">
        <v>9</v>
      </c>
      <c r="B4912" s="9" t="s">
        <v>8407</v>
      </c>
      <c r="C4912" s="91">
        <v>44748.34502449074</v>
      </c>
      <c r="D4912" s="8">
        <f t="shared" si="365"/>
        <v>44750</v>
      </c>
      <c r="E4912" s="9" t="s">
        <v>88</v>
      </c>
      <c r="F4912" s="10"/>
      <c r="G4912" s="9" t="s">
        <v>15</v>
      </c>
      <c r="H4912" s="9" t="s">
        <v>8408</v>
      </c>
      <c r="I4912" s="9" t="s">
        <v>353</v>
      </c>
      <c r="J4912" s="88"/>
    </row>
    <row r="4913">
      <c r="A4913" s="6" t="s">
        <v>9</v>
      </c>
      <c r="B4913" s="9" t="s">
        <v>8409</v>
      </c>
      <c r="C4913" s="91">
        <v>44742.45407876157</v>
      </c>
      <c r="D4913" s="8">
        <f t="shared" si="365"/>
        <v>44746</v>
      </c>
      <c r="E4913" s="9" t="s">
        <v>88</v>
      </c>
      <c r="F4913" s="10"/>
      <c r="G4913" s="9" t="s">
        <v>15</v>
      </c>
      <c r="H4913" s="9" t="s">
        <v>8410</v>
      </c>
      <c r="I4913" s="9" t="s">
        <v>353</v>
      </c>
      <c r="J4913" s="88"/>
    </row>
    <row r="4914">
      <c r="A4914" s="34" t="s">
        <v>337</v>
      </c>
      <c r="B4914" s="123" t="s">
        <v>8411</v>
      </c>
      <c r="C4914" s="91">
        <v>44749.55333224537</v>
      </c>
      <c r="D4914" s="8">
        <f t="shared" si="365"/>
        <v>44753</v>
      </c>
      <c r="E4914" s="9" t="s">
        <v>206</v>
      </c>
      <c r="F4914" s="233"/>
      <c r="G4914" s="9" t="s">
        <v>15</v>
      </c>
      <c r="H4914" s="9" t="s">
        <v>8359</v>
      </c>
      <c r="I4914" s="9" t="s">
        <v>353</v>
      </c>
      <c r="J4914" s="88"/>
    </row>
    <row r="4915">
      <c r="A4915" s="34" t="s">
        <v>337</v>
      </c>
      <c r="B4915" s="248" t="s">
        <v>8412</v>
      </c>
      <c r="C4915" s="91">
        <v>44749.553274942125</v>
      </c>
      <c r="D4915" s="8">
        <f t="shared" si="365"/>
        <v>44753</v>
      </c>
      <c r="E4915" s="9" t="s">
        <v>206</v>
      </c>
      <c r="F4915" s="10"/>
      <c r="G4915" s="9" t="s">
        <v>15</v>
      </c>
      <c r="H4915" s="9" t="s">
        <v>8359</v>
      </c>
      <c r="I4915" s="9" t="s">
        <v>353</v>
      </c>
      <c r="J4915" s="88"/>
    </row>
    <row r="4916">
      <c r="A4916" s="34" t="s">
        <v>337</v>
      </c>
      <c r="B4916" s="248" t="s">
        <v>8366</v>
      </c>
      <c r="C4916" s="91">
        <v>44739.0</v>
      </c>
      <c r="D4916" s="8">
        <f t="shared" si="365"/>
        <v>44741</v>
      </c>
      <c r="E4916" s="9" t="s">
        <v>88</v>
      </c>
      <c r="F4916" s="233"/>
      <c r="G4916" s="9" t="s">
        <v>15</v>
      </c>
      <c r="H4916" s="9" t="s">
        <v>8413</v>
      </c>
      <c r="I4916" s="9" t="s">
        <v>353</v>
      </c>
      <c r="J4916" s="88"/>
    </row>
    <row r="4917">
      <c r="A4917" s="54" t="s">
        <v>6247</v>
      </c>
      <c r="B4917" s="9" t="s">
        <v>8414</v>
      </c>
      <c r="C4917" s="91">
        <v>44754.73117886574</v>
      </c>
      <c r="D4917" s="8">
        <f t="shared" si="365"/>
        <v>44756</v>
      </c>
      <c r="E4917" s="9" t="s">
        <v>11</v>
      </c>
      <c r="F4917" s="10"/>
      <c r="G4917" s="9" t="s">
        <v>220</v>
      </c>
      <c r="H4917" s="9" t="s">
        <v>8415</v>
      </c>
      <c r="I4917" s="9" t="s">
        <v>353</v>
      </c>
      <c r="J4917" s="88"/>
    </row>
    <row r="4918">
      <c r="A4918" s="54" t="s">
        <v>6247</v>
      </c>
      <c r="B4918" s="234" t="s">
        <v>8416</v>
      </c>
      <c r="C4918" s="91" t="s">
        <v>11</v>
      </c>
      <c r="D4918" s="8" t="str">
        <f t="shared" si="365"/>
        <v>-</v>
      </c>
      <c r="E4918" s="9" t="s">
        <v>206</v>
      </c>
      <c r="F4918" s="10"/>
      <c r="G4918" s="9" t="s">
        <v>15</v>
      </c>
      <c r="H4918" s="98" t="s">
        <v>2896</v>
      </c>
      <c r="I4918" s="9" t="s">
        <v>353</v>
      </c>
      <c r="J4918" s="88"/>
    </row>
    <row r="4919">
      <c r="A4919" s="54" t="s">
        <v>6247</v>
      </c>
      <c r="B4919" s="249" t="s">
        <v>8417</v>
      </c>
      <c r="C4919" s="91">
        <v>44720.64639789352</v>
      </c>
      <c r="D4919" s="8">
        <f t="shared" si="365"/>
        <v>44722</v>
      </c>
      <c r="E4919" s="9" t="s">
        <v>206</v>
      </c>
      <c r="F4919" s="10"/>
      <c r="G4919" s="9" t="s">
        <v>15</v>
      </c>
      <c r="H4919" s="243" t="s">
        <v>8418</v>
      </c>
      <c r="I4919" s="9" t="s">
        <v>353</v>
      </c>
      <c r="J4919" s="88"/>
    </row>
    <row r="4920">
      <c r="A4920" s="6" t="s">
        <v>9</v>
      </c>
      <c r="B4920" s="9" t="s">
        <v>8419</v>
      </c>
      <c r="C4920" s="91">
        <v>44760.41439197917</v>
      </c>
      <c r="D4920" s="8">
        <f t="shared" si="365"/>
        <v>44762</v>
      </c>
      <c r="E4920" s="9" t="s">
        <v>88</v>
      </c>
      <c r="F4920" s="10"/>
      <c r="G4920" s="9" t="s">
        <v>18</v>
      </c>
      <c r="H4920" s="9" t="s">
        <v>7927</v>
      </c>
      <c r="I4920" s="9" t="s">
        <v>353</v>
      </c>
      <c r="J4920" s="88"/>
    </row>
    <row r="4921">
      <c r="A4921" s="6" t="s">
        <v>9</v>
      </c>
      <c r="B4921" s="9" t="s">
        <v>6290</v>
      </c>
      <c r="C4921" s="91">
        <v>44760.41423466435</v>
      </c>
      <c r="D4921" s="8">
        <f t="shared" si="365"/>
        <v>44762</v>
      </c>
      <c r="E4921" s="9" t="s">
        <v>88</v>
      </c>
      <c r="F4921" s="10"/>
      <c r="G4921" s="9" t="s">
        <v>18</v>
      </c>
      <c r="H4921" s="9" t="s">
        <v>8420</v>
      </c>
      <c r="I4921" s="9" t="s">
        <v>353</v>
      </c>
      <c r="J4921" s="88"/>
    </row>
    <row r="4922">
      <c r="A4922" s="54" t="s">
        <v>6247</v>
      </c>
      <c r="B4922" s="9" t="s">
        <v>8421</v>
      </c>
      <c r="C4922" s="91">
        <v>44755.69149891204</v>
      </c>
      <c r="D4922" s="8">
        <f t="shared" si="365"/>
        <v>44757</v>
      </c>
      <c r="E4922" s="9" t="s">
        <v>11</v>
      </c>
      <c r="F4922" s="10"/>
      <c r="G4922" s="9"/>
      <c r="H4922" s="9" t="s">
        <v>8422</v>
      </c>
      <c r="I4922" s="9" t="s">
        <v>353</v>
      </c>
      <c r="J4922" s="88"/>
    </row>
    <row r="4923">
      <c r="A4923" s="54" t="s">
        <v>6247</v>
      </c>
      <c r="B4923" s="250" t="s">
        <v>8423</v>
      </c>
      <c r="C4923" s="91" t="s">
        <v>11</v>
      </c>
      <c r="D4923" s="8" t="str">
        <f t="shared" si="365"/>
        <v>-</v>
      </c>
      <c r="E4923" s="9" t="s">
        <v>88</v>
      </c>
      <c r="F4923" s="10"/>
      <c r="G4923" s="9" t="s">
        <v>220</v>
      </c>
      <c r="H4923" s="251" t="s">
        <v>8424</v>
      </c>
      <c r="I4923" s="9" t="s">
        <v>353</v>
      </c>
      <c r="J4923" s="88"/>
    </row>
    <row r="4924">
      <c r="A4924" s="34" t="s">
        <v>337</v>
      </c>
      <c r="B4924" s="9" t="s">
        <v>8425</v>
      </c>
      <c r="C4924" s="91">
        <v>44739.34069986111</v>
      </c>
      <c r="D4924" s="8">
        <f t="shared" si="365"/>
        <v>44741</v>
      </c>
      <c r="E4924" s="9" t="s">
        <v>88</v>
      </c>
      <c r="F4924" s="238"/>
      <c r="G4924" s="9" t="s">
        <v>220</v>
      </c>
      <c r="H4924" s="9" t="s">
        <v>8426</v>
      </c>
      <c r="I4924" s="9" t="s">
        <v>353</v>
      </c>
      <c r="J4924" s="88"/>
    </row>
    <row r="4925">
      <c r="A4925" s="34" t="s">
        <v>337</v>
      </c>
      <c r="B4925" s="9" t="s">
        <v>8427</v>
      </c>
      <c r="C4925" s="91">
        <v>44750.3792516088</v>
      </c>
      <c r="D4925" s="8">
        <f t="shared" si="365"/>
        <v>44754</v>
      </c>
      <c r="E4925" s="9" t="s">
        <v>206</v>
      </c>
      <c r="F4925" s="10"/>
      <c r="G4925" s="9" t="s">
        <v>15</v>
      </c>
      <c r="H4925" s="9" t="s">
        <v>2880</v>
      </c>
      <c r="I4925" s="9" t="s">
        <v>353</v>
      </c>
      <c r="J4925" s="88"/>
    </row>
    <row r="4926">
      <c r="A4926" s="54" t="s">
        <v>6247</v>
      </c>
      <c r="B4926" s="9" t="s">
        <v>8428</v>
      </c>
      <c r="C4926" s="91">
        <v>44753.68903570602</v>
      </c>
      <c r="D4926" s="8">
        <f t="shared" si="365"/>
        <v>44755</v>
      </c>
      <c r="E4926" s="9" t="s">
        <v>11</v>
      </c>
      <c r="F4926" s="10"/>
      <c r="G4926" s="9" t="s">
        <v>220</v>
      </c>
      <c r="H4926" s="9" t="s">
        <v>8429</v>
      </c>
      <c r="I4926" s="9" t="s">
        <v>353</v>
      </c>
      <c r="J4926" s="88"/>
    </row>
    <row r="4927">
      <c r="A4927" s="54" t="s">
        <v>6247</v>
      </c>
      <c r="B4927" s="9" t="s">
        <v>6290</v>
      </c>
      <c r="C4927" s="91">
        <v>44749.37845282408</v>
      </c>
      <c r="D4927" s="8">
        <f t="shared" si="365"/>
        <v>44753</v>
      </c>
      <c r="E4927" s="9" t="s">
        <v>88</v>
      </c>
      <c r="F4927" s="10"/>
      <c r="G4927" s="9" t="s">
        <v>18</v>
      </c>
      <c r="H4927" s="9" t="s">
        <v>8430</v>
      </c>
      <c r="I4927" s="9" t="s">
        <v>353</v>
      </c>
      <c r="J4927" s="88"/>
    </row>
    <row r="4928">
      <c r="A4928" s="54" t="s">
        <v>6247</v>
      </c>
      <c r="B4928" s="9" t="s">
        <v>8431</v>
      </c>
      <c r="C4928" s="91">
        <v>44750.47032076389</v>
      </c>
      <c r="D4928" s="8">
        <f t="shared" si="365"/>
        <v>44754</v>
      </c>
      <c r="E4928" s="9" t="s">
        <v>11</v>
      </c>
      <c r="F4928" s="10"/>
      <c r="G4928" s="9"/>
      <c r="H4928" s="9" t="s">
        <v>8432</v>
      </c>
      <c r="I4928" s="9" t="s">
        <v>353</v>
      </c>
      <c r="J4928" s="88"/>
    </row>
    <row r="4929">
      <c r="A4929" s="34" t="s">
        <v>337</v>
      </c>
      <c r="B4929" s="9" t="s">
        <v>8433</v>
      </c>
      <c r="C4929" s="91">
        <v>44750.37935628472</v>
      </c>
      <c r="D4929" s="8">
        <f t="shared" si="365"/>
        <v>44754</v>
      </c>
      <c r="E4929" s="9" t="s">
        <v>11</v>
      </c>
      <c r="F4929" s="10"/>
      <c r="G4929" s="9"/>
      <c r="H4929" s="26"/>
      <c r="I4929" s="9" t="s">
        <v>353</v>
      </c>
      <c r="J4929" s="88"/>
    </row>
    <row r="4930">
      <c r="A4930" s="54" t="s">
        <v>6247</v>
      </c>
      <c r="B4930" s="9" t="s">
        <v>8434</v>
      </c>
      <c r="C4930" s="91">
        <v>44750.36074583333</v>
      </c>
      <c r="D4930" s="8">
        <f t="shared" si="365"/>
        <v>44754</v>
      </c>
      <c r="E4930" s="9" t="s">
        <v>11</v>
      </c>
      <c r="F4930" s="10"/>
      <c r="G4930" s="9"/>
      <c r="H4930" s="9" t="s">
        <v>8435</v>
      </c>
      <c r="I4930" s="9" t="s">
        <v>353</v>
      </c>
      <c r="J4930" s="88"/>
    </row>
    <row r="4931">
      <c r="A4931" s="54" t="s">
        <v>6247</v>
      </c>
      <c r="B4931" s="9" t="s">
        <v>8436</v>
      </c>
      <c r="C4931" s="91">
        <v>44749.38172722222</v>
      </c>
      <c r="D4931" s="8">
        <f t="shared" si="365"/>
        <v>44753</v>
      </c>
      <c r="E4931" s="9" t="s">
        <v>11</v>
      </c>
      <c r="F4931" s="10"/>
      <c r="G4931" s="9" t="s">
        <v>18</v>
      </c>
      <c r="H4931" s="9" t="s">
        <v>8437</v>
      </c>
      <c r="I4931" s="9" t="s">
        <v>353</v>
      </c>
      <c r="J4931" s="88"/>
    </row>
    <row r="4932">
      <c r="A4932" s="6" t="s">
        <v>9</v>
      </c>
      <c r="B4932" s="9" t="s">
        <v>8438</v>
      </c>
      <c r="C4932" s="91">
        <v>44748.72321189815</v>
      </c>
      <c r="D4932" s="8">
        <f t="shared" si="365"/>
        <v>44750</v>
      </c>
      <c r="E4932" s="9" t="s">
        <v>88</v>
      </c>
      <c r="F4932" s="10"/>
      <c r="G4932" s="9" t="s">
        <v>220</v>
      </c>
      <c r="H4932" s="9" t="s">
        <v>8439</v>
      </c>
      <c r="I4932" s="9" t="s">
        <v>353</v>
      </c>
      <c r="J4932" s="88"/>
    </row>
    <row r="4933">
      <c r="A4933" s="54" t="s">
        <v>6247</v>
      </c>
      <c r="B4933" s="9" t="s">
        <v>8440</v>
      </c>
      <c r="C4933" s="91">
        <v>44732.49885043981</v>
      </c>
      <c r="D4933" s="8">
        <f t="shared" si="365"/>
        <v>44734</v>
      </c>
      <c r="E4933" s="9" t="s">
        <v>206</v>
      </c>
      <c r="F4933" s="10"/>
      <c r="G4933" s="9" t="s">
        <v>15</v>
      </c>
      <c r="H4933" s="98" t="s">
        <v>8441</v>
      </c>
      <c r="I4933" s="9" t="s">
        <v>353</v>
      </c>
      <c r="J4933" s="88"/>
    </row>
    <row r="4934">
      <c r="A4934" s="34" t="s">
        <v>337</v>
      </c>
      <c r="B4934" s="9" t="s">
        <v>8442</v>
      </c>
      <c r="C4934" s="91">
        <v>44713.0</v>
      </c>
      <c r="D4934" s="8">
        <f t="shared" si="365"/>
        <v>44715</v>
      </c>
      <c r="E4934" s="9" t="s">
        <v>206</v>
      </c>
      <c r="F4934" s="252"/>
      <c r="G4934" s="9" t="s">
        <v>220</v>
      </c>
      <c r="H4934" s="9" t="s">
        <v>8443</v>
      </c>
      <c r="I4934" s="9" t="s">
        <v>353</v>
      </c>
      <c r="J4934" s="88"/>
    </row>
    <row r="4935">
      <c r="A4935" s="6" t="s">
        <v>9</v>
      </c>
      <c r="B4935" s="9" t="s">
        <v>8444</v>
      </c>
      <c r="C4935" s="91">
        <v>44749.3055708912</v>
      </c>
      <c r="D4935" s="8">
        <f t="shared" si="365"/>
        <v>44753</v>
      </c>
      <c r="E4935" s="9" t="s">
        <v>88</v>
      </c>
      <c r="F4935" s="10"/>
      <c r="G4935" s="9"/>
      <c r="H4935" s="9" t="s">
        <v>8445</v>
      </c>
      <c r="I4935" s="9" t="s">
        <v>353</v>
      </c>
      <c r="J4935" s="88"/>
    </row>
    <row r="4936">
      <c r="A4936" s="6" t="s">
        <v>9</v>
      </c>
      <c r="B4936" s="9" t="s">
        <v>8446</v>
      </c>
      <c r="C4936" s="91">
        <v>44749.30296615741</v>
      </c>
      <c r="D4936" s="8">
        <f t="shared" si="365"/>
        <v>44753</v>
      </c>
      <c r="E4936" s="9" t="s">
        <v>88</v>
      </c>
      <c r="F4936" s="10"/>
      <c r="G4936" s="9"/>
      <c r="H4936" s="9" t="s">
        <v>8447</v>
      </c>
      <c r="I4936" s="9" t="s">
        <v>353</v>
      </c>
      <c r="J4936" s="88"/>
    </row>
    <row r="4937">
      <c r="A4937" s="6" t="s">
        <v>9</v>
      </c>
      <c r="B4937" s="9" t="s">
        <v>8448</v>
      </c>
      <c r="C4937" s="91">
        <v>44747.67175247685</v>
      </c>
      <c r="D4937" s="8">
        <f t="shared" si="365"/>
        <v>44749</v>
      </c>
      <c r="E4937" s="9" t="s">
        <v>11</v>
      </c>
      <c r="F4937" s="10"/>
      <c r="G4937" s="9" t="s">
        <v>220</v>
      </c>
      <c r="H4937" s="9" t="s">
        <v>8449</v>
      </c>
      <c r="I4937" s="9" t="s">
        <v>353</v>
      </c>
      <c r="J4937" s="88"/>
    </row>
    <row r="4938">
      <c r="A4938" s="34" t="s">
        <v>337</v>
      </c>
      <c r="B4938" s="9" t="s">
        <v>8093</v>
      </c>
      <c r="C4938" s="91">
        <v>44746.46923815973</v>
      </c>
      <c r="D4938" s="8">
        <f t="shared" si="365"/>
        <v>44748</v>
      </c>
      <c r="E4938" s="9" t="s">
        <v>88</v>
      </c>
      <c r="F4938" s="252"/>
      <c r="G4938" s="9" t="s">
        <v>220</v>
      </c>
      <c r="H4938" s="9" t="s">
        <v>8450</v>
      </c>
      <c r="I4938" s="9" t="s">
        <v>353</v>
      </c>
      <c r="J4938" s="88"/>
    </row>
    <row r="4939">
      <c r="A4939" s="34" t="s">
        <v>337</v>
      </c>
      <c r="B4939" s="9" t="s">
        <v>8451</v>
      </c>
      <c r="C4939" s="91">
        <v>44739.339529791665</v>
      </c>
      <c r="D4939" s="8">
        <f t="shared" si="365"/>
        <v>44741</v>
      </c>
      <c r="E4939" s="9" t="s">
        <v>88</v>
      </c>
      <c r="F4939" s="252"/>
      <c r="G4939" s="9" t="s">
        <v>220</v>
      </c>
      <c r="H4939" s="252" t="s">
        <v>8452</v>
      </c>
      <c r="I4939" s="9" t="s">
        <v>353</v>
      </c>
      <c r="J4939" s="88"/>
    </row>
    <row r="4940">
      <c r="A4940" s="6" t="s">
        <v>9</v>
      </c>
      <c r="B4940" s="9" t="s">
        <v>651</v>
      </c>
      <c r="C4940" s="91" t="s">
        <v>11</v>
      </c>
      <c r="D4940" s="8" t="str">
        <f t="shared" si="365"/>
        <v>-</v>
      </c>
      <c r="E4940" s="9" t="s">
        <v>88</v>
      </c>
      <c r="F4940" s="10"/>
      <c r="G4940" s="9" t="s">
        <v>15</v>
      </c>
      <c r="H4940" s="247" t="s">
        <v>8453</v>
      </c>
      <c r="I4940" s="9" t="s">
        <v>353</v>
      </c>
      <c r="J4940" s="88"/>
    </row>
    <row r="4941">
      <c r="A4941" s="223" t="s">
        <v>98</v>
      </c>
      <c r="B4941" s="225" t="s">
        <v>8454</v>
      </c>
      <c r="C4941" s="91" t="s">
        <v>11</v>
      </c>
      <c r="D4941" s="8" t="str">
        <f t="shared" si="365"/>
        <v>-</v>
      </c>
      <c r="E4941" s="9" t="s">
        <v>206</v>
      </c>
      <c r="F4941" s="10"/>
      <c r="G4941" s="9" t="s">
        <v>220</v>
      </c>
      <c r="H4941" s="225" t="s">
        <v>7804</v>
      </c>
      <c r="I4941" s="9" t="s">
        <v>353</v>
      </c>
      <c r="J4941" s="88"/>
    </row>
    <row r="4942">
      <c r="A4942" s="54" t="s">
        <v>6247</v>
      </c>
      <c r="B4942" s="9" t="s">
        <v>8455</v>
      </c>
      <c r="C4942" s="91">
        <v>44739.71340954861</v>
      </c>
      <c r="D4942" s="8">
        <f t="shared" si="365"/>
        <v>44741</v>
      </c>
      <c r="E4942" s="9" t="s">
        <v>206</v>
      </c>
      <c r="F4942" s="10"/>
      <c r="G4942" s="9" t="s">
        <v>220</v>
      </c>
      <c r="H4942" s="9" t="s">
        <v>8456</v>
      </c>
      <c r="I4942" s="9" t="s">
        <v>353</v>
      </c>
      <c r="J4942" s="88"/>
    </row>
    <row r="4943">
      <c r="A4943" s="54" t="s">
        <v>6247</v>
      </c>
      <c r="B4943" s="9" t="s">
        <v>8457</v>
      </c>
      <c r="C4943" s="91">
        <v>44742.662078043984</v>
      </c>
      <c r="D4943" s="8">
        <f t="shared" si="365"/>
        <v>44746</v>
      </c>
      <c r="E4943" s="9" t="s">
        <v>206</v>
      </c>
      <c r="F4943" s="10"/>
      <c r="G4943" s="9" t="s">
        <v>15</v>
      </c>
      <c r="H4943" s="9" t="s">
        <v>8458</v>
      </c>
      <c r="I4943" s="9" t="s">
        <v>353</v>
      </c>
      <c r="J4943" s="88"/>
    </row>
    <row r="4944">
      <c r="A4944" s="223" t="s">
        <v>98</v>
      </c>
      <c r="B4944" s="225" t="s">
        <v>432</v>
      </c>
      <c r="C4944" s="91" t="s">
        <v>11</v>
      </c>
      <c r="D4944" s="8" t="str">
        <f t="shared" si="365"/>
        <v>-</v>
      </c>
      <c r="E4944" s="9" t="s">
        <v>206</v>
      </c>
      <c r="F4944" s="10"/>
      <c r="G4944" s="9" t="s">
        <v>220</v>
      </c>
      <c r="H4944" s="225" t="s">
        <v>7804</v>
      </c>
      <c r="I4944" s="9" t="s">
        <v>353</v>
      </c>
      <c r="J4944" s="88"/>
    </row>
    <row r="4945">
      <c r="A4945" s="223" t="s">
        <v>98</v>
      </c>
      <c r="B4945" s="225" t="s">
        <v>6011</v>
      </c>
      <c r="C4945" s="91" t="s">
        <v>11</v>
      </c>
      <c r="D4945" s="8" t="str">
        <f t="shared" si="365"/>
        <v>-</v>
      </c>
      <c r="E4945" s="9" t="s">
        <v>206</v>
      </c>
      <c r="F4945" s="10"/>
      <c r="G4945" s="9" t="s">
        <v>220</v>
      </c>
      <c r="H4945" s="225" t="s">
        <v>7804</v>
      </c>
      <c r="I4945" s="9" t="s">
        <v>353</v>
      </c>
      <c r="J4945" s="88"/>
    </row>
    <row r="4946">
      <c r="A4946" s="223" t="s">
        <v>98</v>
      </c>
      <c r="B4946" s="225" t="s">
        <v>8459</v>
      </c>
      <c r="C4946" s="91" t="s">
        <v>11</v>
      </c>
      <c r="D4946" s="8" t="str">
        <f t="shared" si="365"/>
        <v>-</v>
      </c>
      <c r="E4946" s="9" t="s">
        <v>206</v>
      </c>
      <c r="F4946" s="10"/>
      <c r="G4946" s="9" t="s">
        <v>220</v>
      </c>
      <c r="H4946" s="225" t="s">
        <v>7804</v>
      </c>
      <c r="I4946" s="9" t="s">
        <v>353</v>
      </c>
      <c r="J4946" s="88"/>
    </row>
    <row r="4947">
      <c r="A4947" s="223" t="s">
        <v>98</v>
      </c>
      <c r="B4947" s="225" t="s">
        <v>8460</v>
      </c>
      <c r="C4947" s="91" t="s">
        <v>11</v>
      </c>
      <c r="D4947" s="8" t="str">
        <f t="shared" si="365"/>
        <v>-</v>
      </c>
      <c r="E4947" s="9" t="s">
        <v>88</v>
      </c>
      <c r="F4947" s="10"/>
      <c r="G4947" s="9" t="s">
        <v>220</v>
      </c>
      <c r="H4947" s="225" t="s">
        <v>8461</v>
      </c>
      <c r="I4947" s="9" t="s">
        <v>353</v>
      </c>
      <c r="J4947" s="88"/>
    </row>
    <row r="4948">
      <c r="A4948" s="223" t="s">
        <v>98</v>
      </c>
      <c r="B4948" s="225" t="s">
        <v>8462</v>
      </c>
      <c r="C4948" s="91" t="s">
        <v>11</v>
      </c>
      <c r="D4948" s="8" t="str">
        <f t="shared" si="365"/>
        <v>-</v>
      </c>
      <c r="E4948" s="9" t="s">
        <v>206</v>
      </c>
      <c r="F4948" s="10"/>
      <c r="G4948" s="9" t="s">
        <v>220</v>
      </c>
      <c r="H4948" s="225" t="s">
        <v>7804</v>
      </c>
      <c r="I4948" s="9" t="s">
        <v>353</v>
      </c>
      <c r="J4948" s="88"/>
    </row>
    <row r="4949">
      <c r="A4949" s="223" t="s">
        <v>98</v>
      </c>
      <c r="B4949" s="225" t="s">
        <v>8463</v>
      </c>
      <c r="C4949" s="91" t="s">
        <v>11</v>
      </c>
      <c r="D4949" s="8" t="str">
        <f t="shared" si="365"/>
        <v>-</v>
      </c>
      <c r="E4949" s="9" t="s">
        <v>206</v>
      </c>
      <c r="F4949" s="10"/>
      <c r="G4949" s="9" t="s">
        <v>220</v>
      </c>
      <c r="H4949" s="225" t="s">
        <v>8464</v>
      </c>
      <c r="I4949" s="9" t="s">
        <v>353</v>
      </c>
      <c r="J4949" s="88"/>
    </row>
    <row r="4950">
      <c r="A4950" s="223" t="s">
        <v>98</v>
      </c>
      <c r="B4950" s="225" t="s">
        <v>8465</v>
      </c>
      <c r="C4950" s="91" t="s">
        <v>11</v>
      </c>
      <c r="D4950" s="8" t="str">
        <f t="shared" si="365"/>
        <v>-</v>
      </c>
      <c r="E4950" s="9" t="s">
        <v>206</v>
      </c>
      <c r="F4950" s="10"/>
      <c r="G4950" s="9" t="s">
        <v>220</v>
      </c>
      <c r="H4950" s="225" t="s">
        <v>7804</v>
      </c>
      <c r="I4950" s="9" t="s">
        <v>353</v>
      </c>
      <c r="J4950" s="88"/>
    </row>
    <row r="4951">
      <c r="A4951" s="223" t="s">
        <v>98</v>
      </c>
      <c r="B4951" s="225" t="s">
        <v>8466</v>
      </c>
      <c r="C4951" s="91" t="s">
        <v>11</v>
      </c>
      <c r="D4951" s="8" t="str">
        <f t="shared" si="365"/>
        <v>-</v>
      </c>
      <c r="E4951" s="9" t="s">
        <v>88</v>
      </c>
      <c r="F4951" s="10"/>
      <c r="G4951" s="9" t="s">
        <v>220</v>
      </c>
      <c r="H4951" s="253" t="s">
        <v>8467</v>
      </c>
      <c r="I4951" s="9" t="s">
        <v>353</v>
      </c>
      <c r="J4951" s="88"/>
    </row>
    <row r="4952">
      <c r="A4952" s="223" t="s">
        <v>98</v>
      </c>
      <c r="B4952" s="225" t="s">
        <v>8468</v>
      </c>
      <c r="C4952" s="91" t="s">
        <v>11</v>
      </c>
      <c r="D4952" s="8" t="str">
        <f t="shared" si="365"/>
        <v>-</v>
      </c>
      <c r="E4952" s="9" t="s">
        <v>88</v>
      </c>
      <c r="F4952" s="10"/>
      <c r="G4952" s="9" t="s">
        <v>220</v>
      </c>
      <c r="H4952" s="225" t="s">
        <v>8469</v>
      </c>
      <c r="I4952" s="9" t="s">
        <v>353</v>
      </c>
      <c r="J4952" s="88"/>
    </row>
    <row r="4953">
      <c r="A4953" s="223" t="s">
        <v>98</v>
      </c>
      <c r="B4953" s="225" t="s">
        <v>8470</v>
      </c>
      <c r="C4953" s="91" t="s">
        <v>11</v>
      </c>
      <c r="D4953" s="8" t="str">
        <f t="shared" si="365"/>
        <v>-</v>
      </c>
      <c r="E4953" s="9" t="s">
        <v>206</v>
      </c>
      <c r="F4953" s="10"/>
      <c r="G4953" s="9" t="s">
        <v>220</v>
      </c>
      <c r="H4953" s="225" t="s">
        <v>7804</v>
      </c>
      <c r="I4953" s="9" t="s">
        <v>353</v>
      </c>
      <c r="J4953" s="88"/>
    </row>
    <row r="4954">
      <c r="A4954" s="223" t="s">
        <v>98</v>
      </c>
      <c r="B4954" s="225" t="s">
        <v>8471</v>
      </c>
      <c r="C4954" s="91" t="s">
        <v>11</v>
      </c>
      <c r="D4954" s="8" t="str">
        <f t="shared" si="365"/>
        <v>-</v>
      </c>
      <c r="E4954" s="9" t="s">
        <v>206</v>
      </c>
      <c r="F4954" s="10"/>
      <c r="G4954" s="9" t="s">
        <v>220</v>
      </c>
      <c r="H4954" s="225" t="s">
        <v>7804</v>
      </c>
      <c r="I4954" s="9" t="s">
        <v>353</v>
      </c>
      <c r="J4954" s="88"/>
    </row>
    <row r="4955">
      <c r="A4955" s="223" t="s">
        <v>98</v>
      </c>
      <c r="B4955" s="225" t="s">
        <v>8472</v>
      </c>
      <c r="C4955" s="91" t="s">
        <v>11</v>
      </c>
      <c r="D4955" s="8" t="str">
        <f t="shared" si="365"/>
        <v>-</v>
      </c>
      <c r="E4955" s="9" t="s">
        <v>88</v>
      </c>
      <c r="F4955" s="10"/>
      <c r="G4955" s="9" t="s">
        <v>220</v>
      </c>
      <c r="H4955" s="225" t="s">
        <v>8473</v>
      </c>
      <c r="I4955" s="9" t="s">
        <v>353</v>
      </c>
      <c r="J4955" s="88"/>
    </row>
    <row r="4956">
      <c r="A4956" s="223" t="s">
        <v>98</v>
      </c>
      <c r="B4956" s="225" t="s">
        <v>8474</v>
      </c>
      <c r="C4956" s="91" t="s">
        <v>11</v>
      </c>
      <c r="D4956" s="8" t="str">
        <f t="shared" si="365"/>
        <v>-</v>
      </c>
      <c r="E4956" s="9" t="s">
        <v>88</v>
      </c>
      <c r="F4956" s="10"/>
      <c r="G4956" s="9" t="s">
        <v>220</v>
      </c>
      <c r="H4956" s="225" t="s">
        <v>6144</v>
      </c>
      <c r="I4956" s="9" t="s">
        <v>353</v>
      </c>
      <c r="J4956" s="88"/>
    </row>
    <row r="4957">
      <c r="A4957" s="223" t="s">
        <v>98</v>
      </c>
      <c r="B4957" s="225" t="s">
        <v>8475</v>
      </c>
      <c r="C4957" s="91" t="s">
        <v>11</v>
      </c>
      <c r="D4957" s="8" t="str">
        <f t="shared" si="365"/>
        <v>-</v>
      </c>
      <c r="E4957" s="9" t="s">
        <v>88</v>
      </c>
      <c r="F4957" s="10"/>
      <c r="G4957" s="9" t="s">
        <v>220</v>
      </c>
      <c r="H4957" s="225" t="s">
        <v>8476</v>
      </c>
      <c r="I4957" s="9" t="s">
        <v>353</v>
      </c>
      <c r="J4957" s="88"/>
    </row>
    <row r="4958">
      <c r="A4958" s="223" t="s">
        <v>98</v>
      </c>
      <c r="B4958" s="225" t="s">
        <v>8477</v>
      </c>
      <c r="C4958" s="91" t="s">
        <v>11</v>
      </c>
      <c r="D4958" s="8" t="str">
        <f t="shared" si="365"/>
        <v>-</v>
      </c>
      <c r="E4958" s="9" t="s">
        <v>88</v>
      </c>
      <c r="F4958" s="10"/>
      <c r="G4958" s="9" t="s">
        <v>220</v>
      </c>
      <c r="H4958" s="225" t="s">
        <v>7804</v>
      </c>
      <c r="I4958" s="9" t="s">
        <v>353</v>
      </c>
      <c r="J4958" s="88"/>
    </row>
    <row r="4959">
      <c r="A4959" s="223" t="s">
        <v>98</v>
      </c>
      <c r="B4959" s="225" t="s">
        <v>8001</v>
      </c>
      <c r="C4959" s="91" t="s">
        <v>11</v>
      </c>
      <c r="D4959" s="8" t="str">
        <f t="shared" si="365"/>
        <v>-</v>
      </c>
      <c r="E4959" s="9" t="s">
        <v>88</v>
      </c>
      <c r="F4959" s="10"/>
      <c r="G4959" s="9" t="s">
        <v>220</v>
      </c>
      <c r="H4959" s="225" t="s">
        <v>7804</v>
      </c>
      <c r="I4959" s="9" t="s">
        <v>353</v>
      </c>
      <c r="J4959" s="88"/>
    </row>
    <row r="4960">
      <c r="A4960" s="223" t="s">
        <v>98</v>
      </c>
      <c r="B4960" s="225" t="s">
        <v>8478</v>
      </c>
      <c r="C4960" s="91" t="s">
        <v>11</v>
      </c>
      <c r="D4960" s="8" t="str">
        <f t="shared" si="365"/>
        <v>-</v>
      </c>
      <c r="E4960" s="9" t="s">
        <v>88</v>
      </c>
      <c r="F4960" s="10"/>
      <c r="G4960" s="9" t="s">
        <v>220</v>
      </c>
      <c r="H4960" s="247" t="s">
        <v>7989</v>
      </c>
      <c r="I4960" s="9" t="s">
        <v>353</v>
      </c>
      <c r="J4960" s="88"/>
    </row>
    <row r="4961">
      <c r="A4961" s="6" t="s">
        <v>9</v>
      </c>
      <c r="B4961" s="9" t="s">
        <v>8479</v>
      </c>
      <c r="C4961" s="91" t="s">
        <v>11</v>
      </c>
      <c r="D4961" s="8" t="str">
        <f t="shared" si="365"/>
        <v>-</v>
      </c>
      <c r="E4961" s="9" t="s">
        <v>88</v>
      </c>
      <c r="F4961" s="10"/>
      <c r="G4961" s="9" t="s">
        <v>15</v>
      </c>
      <c r="H4961" s="247" t="s">
        <v>8480</v>
      </c>
      <c r="I4961" s="9" t="s">
        <v>353</v>
      </c>
      <c r="J4961" s="88"/>
    </row>
    <row r="4962">
      <c r="A4962" s="34" t="s">
        <v>337</v>
      </c>
      <c r="B4962" s="9" t="s">
        <v>8481</v>
      </c>
      <c r="C4962" s="91">
        <v>44740.0</v>
      </c>
      <c r="D4962" s="8">
        <f t="shared" si="365"/>
        <v>44742</v>
      </c>
      <c r="E4962" s="9" t="s">
        <v>206</v>
      </c>
      <c r="F4962" s="10"/>
      <c r="G4962" s="9" t="s">
        <v>220</v>
      </c>
      <c r="H4962" s="9" t="s">
        <v>8482</v>
      </c>
      <c r="I4962" s="9" t="s">
        <v>353</v>
      </c>
      <c r="J4962" s="88"/>
    </row>
    <row r="4963">
      <c r="A4963" s="6" t="s">
        <v>9</v>
      </c>
      <c r="B4963" s="9" t="s">
        <v>8483</v>
      </c>
      <c r="C4963" s="91">
        <v>44742.453852719904</v>
      </c>
      <c r="D4963" s="8">
        <f t="shared" si="365"/>
        <v>44746</v>
      </c>
      <c r="E4963" s="9" t="s">
        <v>88</v>
      </c>
      <c r="F4963" s="10"/>
      <c r="G4963" s="9" t="s">
        <v>15</v>
      </c>
      <c r="H4963" s="9" t="s">
        <v>8484</v>
      </c>
      <c r="I4963" s="9" t="s">
        <v>353</v>
      </c>
      <c r="J4963" s="88"/>
    </row>
    <row r="4964">
      <c r="A4964" s="6" t="s">
        <v>9</v>
      </c>
      <c r="B4964" s="9" t="s">
        <v>6290</v>
      </c>
      <c r="C4964" s="91">
        <v>44726.458161365736</v>
      </c>
      <c r="D4964" s="8">
        <f t="shared" si="365"/>
        <v>44728</v>
      </c>
      <c r="E4964" s="9" t="s">
        <v>88</v>
      </c>
      <c r="F4964" s="10"/>
      <c r="G4964" s="9" t="s">
        <v>18</v>
      </c>
      <c r="H4964" s="9" t="s">
        <v>8485</v>
      </c>
      <c r="I4964" s="9" t="s">
        <v>353</v>
      </c>
      <c r="J4964" s="88"/>
    </row>
    <row r="4965">
      <c r="A4965" s="6" t="s">
        <v>9</v>
      </c>
      <c r="B4965" s="9" t="s">
        <v>6290</v>
      </c>
      <c r="C4965" s="91">
        <v>44742.46161791666</v>
      </c>
      <c r="D4965" s="8">
        <f t="shared" si="365"/>
        <v>44746</v>
      </c>
      <c r="E4965" s="9" t="s">
        <v>88</v>
      </c>
      <c r="F4965" s="10"/>
      <c r="G4965" s="9" t="s">
        <v>18</v>
      </c>
      <c r="H4965" s="9" t="s">
        <v>8486</v>
      </c>
      <c r="I4965" s="9" t="s">
        <v>353</v>
      </c>
      <c r="J4965" s="88"/>
    </row>
    <row r="4966">
      <c r="A4966" s="34" t="s">
        <v>337</v>
      </c>
      <c r="B4966" s="9" t="s">
        <v>8487</v>
      </c>
      <c r="C4966" s="91">
        <v>44734.43831045138</v>
      </c>
      <c r="D4966" s="8">
        <f t="shared" si="365"/>
        <v>44736</v>
      </c>
      <c r="E4966" s="9" t="s">
        <v>88</v>
      </c>
      <c r="F4966" s="10"/>
      <c r="G4966" s="9" t="s">
        <v>220</v>
      </c>
      <c r="H4966" s="9" t="s">
        <v>8488</v>
      </c>
      <c r="I4966" s="9" t="s">
        <v>353</v>
      </c>
      <c r="J4966" s="88"/>
    </row>
    <row r="4967">
      <c r="A4967" s="54" t="s">
        <v>6247</v>
      </c>
      <c r="B4967" s="9" t="s">
        <v>8489</v>
      </c>
      <c r="C4967" s="91">
        <v>44742.39373251157</v>
      </c>
      <c r="D4967" s="8">
        <f t="shared" si="365"/>
        <v>44746</v>
      </c>
      <c r="E4967" s="9" t="s">
        <v>11</v>
      </c>
      <c r="F4967" s="10"/>
      <c r="G4967" s="9"/>
      <c r="H4967" s="9" t="s">
        <v>8490</v>
      </c>
      <c r="I4967" s="9" t="s">
        <v>353</v>
      </c>
      <c r="J4967" s="88"/>
    </row>
    <row r="4968">
      <c r="A4968" s="54" t="s">
        <v>6247</v>
      </c>
      <c r="B4968" s="234" t="s">
        <v>8491</v>
      </c>
      <c r="C4968" s="91" t="s">
        <v>11</v>
      </c>
      <c r="D4968" s="8" t="str">
        <f t="shared" si="365"/>
        <v>-</v>
      </c>
      <c r="E4968" s="9" t="s">
        <v>206</v>
      </c>
      <c r="F4968" s="10"/>
      <c r="G4968" s="9" t="s">
        <v>15</v>
      </c>
      <c r="H4968" s="98" t="s">
        <v>4544</v>
      </c>
      <c r="I4968" s="9" t="s">
        <v>353</v>
      </c>
      <c r="J4968" s="88"/>
    </row>
    <row r="4969">
      <c r="A4969" s="54" t="s">
        <v>6247</v>
      </c>
      <c r="B4969" s="9" t="s">
        <v>8492</v>
      </c>
      <c r="C4969" s="91">
        <v>44734.45109253473</v>
      </c>
      <c r="D4969" s="8">
        <f t="shared" si="365"/>
        <v>44736</v>
      </c>
      <c r="E4969" s="9" t="s">
        <v>11</v>
      </c>
      <c r="F4969" s="10"/>
      <c r="G4969" s="9" t="s">
        <v>15</v>
      </c>
      <c r="H4969" s="9" t="s">
        <v>8493</v>
      </c>
      <c r="I4969" s="9" t="s">
        <v>353</v>
      </c>
      <c r="J4969" s="88"/>
    </row>
    <row r="4970">
      <c r="A4970" s="6" t="s">
        <v>9</v>
      </c>
      <c r="B4970" s="9" t="s">
        <v>8494</v>
      </c>
      <c r="C4970" s="91">
        <v>44740.388040405094</v>
      </c>
      <c r="D4970" s="8">
        <f t="shared" si="365"/>
        <v>44742</v>
      </c>
      <c r="E4970" s="9" t="s">
        <v>88</v>
      </c>
      <c r="F4970" s="10"/>
      <c r="G4970" s="9" t="s">
        <v>15</v>
      </c>
      <c r="H4970" s="9" t="s">
        <v>8495</v>
      </c>
      <c r="I4970" s="9" t="s">
        <v>353</v>
      </c>
      <c r="J4970" s="88"/>
    </row>
    <row r="4971">
      <c r="A4971" s="34" t="s">
        <v>337</v>
      </c>
      <c r="B4971" s="9" t="s">
        <v>4613</v>
      </c>
      <c r="C4971" s="91">
        <v>44736.479229375</v>
      </c>
      <c r="D4971" s="8">
        <f t="shared" si="365"/>
        <v>44740</v>
      </c>
      <c r="E4971" s="9" t="s">
        <v>206</v>
      </c>
      <c r="F4971" s="10"/>
      <c r="G4971" s="9" t="s">
        <v>220</v>
      </c>
      <c r="H4971" s="9" t="s">
        <v>8496</v>
      </c>
      <c r="I4971" s="9" t="s">
        <v>353</v>
      </c>
      <c r="J4971" s="88"/>
    </row>
    <row r="4972">
      <c r="A4972" s="34" t="s">
        <v>337</v>
      </c>
      <c r="B4972" s="9" t="s">
        <v>8481</v>
      </c>
      <c r="C4972" s="91">
        <v>44725.63268841435</v>
      </c>
      <c r="D4972" s="8">
        <f t="shared" si="365"/>
        <v>44727</v>
      </c>
      <c r="E4972" s="9" t="s">
        <v>206</v>
      </c>
      <c r="F4972" s="10"/>
      <c r="G4972" s="9" t="s">
        <v>15</v>
      </c>
      <c r="H4972" s="9" t="s">
        <v>8497</v>
      </c>
      <c r="I4972" s="9" t="s">
        <v>353</v>
      </c>
      <c r="J4972" s="88"/>
    </row>
    <row r="4973">
      <c r="A4973" s="6" t="s">
        <v>9</v>
      </c>
      <c r="B4973" s="9" t="s">
        <v>6290</v>
      </c>
      <c r="C4973" s="91">
        <v>44740.39946659722</v>
      </c>
      <c r="D4973" s="8">
        <f t="shared" si="365"/>
        <v>44742</v>
      </c>
      <c r="E4973" s="9" t="s">
        <v>88</v>
      </c>
      <c r="F4973" s="10"/>
      <c r="G4973" s="9" t="s">
        <v>18</v>
      </c>
      <c r="H4973" s="9" t="s">
        <v>8498</v>
      </c>
      <c r="I4973" s="9" t="s">
        <v>353</v>
      </c>
      <c r="J4973" s="88"/>
    </row>
    <row r="4974">
      <c r="A4974" s="34" t="s">
        <v>337</v>
      </c>
      <c r="B4974" s="9" t="s">
        <v>8499</v>
      </c>
      <c r="C4974" s="91">
        <v>44736.35645398148</v>
      </c>
      <c r="D4974" s="8">
        <f t="shared" si="365"/>
        <v>44740</v>
      </c>
      <c r="E4974" s="9" t="s">
        <v>88</v>
      </c>
      <c r="F4974" s="10"/>
      <c r="G4974" s="9" t="s">
        <v>220</v>
      </c>
      <c r="H4974" s="9" t="s">
        <v>8488</v>
      </c>
      <c r="I4974" s="9" t="s">
        <v>353</v>
      </c>
      <c r="J4974" s="88"/>
    </row>
    <row r="4975">
      <c r="A4975" s="6" t="s">
        <v>9</v>
      </c>
      <c r="B4975" s="9" t="s">
        <v>3608</v>
      </c>
      <c r="C4975" s="91">
        <v>44736.479624467596</v>
      </c>
      <c r="D4975" s="8">
        <f t="shared" si="365"/>
        <v>44740</v>
      </c>
      <c r="E4975" s="9" t="s">
        <v>88</v>
      </c>
      <c r="F4975" s="10"/>
      <c r="G4975" s="9" t="s">
        <v>18</v>
      </c>
      <c r="H4975" s="9" t="s">
        <v>8500</v>
      </c>
      <c r="I4975" s="9" t="s">
        <v>353</v>
      </c>
      <c r="J4975" s="88"/>
    </row>
    <row r="4976">
      <c r="A4976" s="54" t="s">
        <v>6247</v>
      </c>
      <c r="B4976" s="9" t="s">
        <v>8501</v>
      </c>
      <c r="C4976" s="91">
        <v>44739.72301707176</v>
      </c>
      <c r="D4976" s="8">
        <f t="shared" si="365"/>
        <v>44741</v>
      </c>
      <c r="E4976" s="9" t="s">
        <v>11</v>
      </c>
      <c r="F4976" s="10"/>
      <c r="G4976" s="9"/>
      <c r="H4976" s="9" t="s">
        <v>8502</v>
      </c>
      <c r="I4976" s="9" t="s">
        <v>353</v>
      </c>
      <c r="J4976" s="88"/>
    </row>
    <row r="4977">
      <c r="A4977" s="6" t="s">
        <v>9</v>
      </c>
      <c r="B4977" s="9" t="s">
        <v>6290</v>
      </c>
      <c r="C4977" s="91">
        <v>44740.33495790509</v>
      </c>
      <c r="D4977" s="8">
        <f t="shared" si="365"/>
        <v>44742</v>
      </c>
      <c r="E4977" s="9" t="s">
        <v>11</v>
      </c>
      <c r="F4977" s="10"/>
      <c r="G4977" s="9" t="s">
        <v>18</v>
      </c>
      <c r="H4977" s="9" t="s">
        <v>8503</v>
      </c>
      <c r="I4977" s="9" t="s">
        <v>353</v>
      </c>
      <c r="J4977" s="88"/>
    </row>
    <row r="4978">
      <c r="A4978" s="54" t="s">
        <v>6247</v>
      </c>
      <c r="B4978" s="9" t="s">
        <v>8504</v>
      </c>
      <c r="C4978" s="91">
        <v>44736.52009680556</v>
      </c>
      <c r="D4978" s="8">
        <f t="shared" si="365"/>
        <v>44740</v>
      </c>
      <c r="E4978" s="9" t="s">
        <v>11</v>
      </c>
      <c r="F4978" s="10"/>
      <c r="G4978" s="9" t="s">
        <v>220</v>
      </c>
      <c r="H4978" s="9" t="s">
        <v>8505</v>
      </c>
      <c r="I4978" s="9" t="s">
        <v>353</v>
      </c>
      <c r="J4978" s="88"/>
    </row>
    <row r="4979">
      <c r="A4979" s="54" t="s">
        <v>6247</v>
      </c>
      <c r="B4979" s="9" t="s">
        <v>8506</v>
      </c>
      <c r="C4979" s="91">
        <v>44739.645055092595</v>
      </c>
      <c r="D4979" s="8">
        <f t="shared" si="365"/>
        <v>44741</v>
      </c>
      <c r="E4979" s="9" t="s">
        <v>11</v>
      </c>
      <c r="F4979" s="10"/>
      <c r="G4979" s="9"/>
      <c r="H4979" s="9" t="s">
        <v>8507</v>
      </c>
      <c r="I4979" s="9" t="s">
        <v>353</v>
      </c>
      <c r="J4979" s="88"/>
    </row>
    <row r="4980">
      <c r="A4980" s="54" t="s">
        <v>6247</v>
      </c>
      <c r="B4980" s="9" t="s">
        <v>8508</v>
      </c>
      <c r="C4980" s="91">
        <v>44739.31987952546</v>
      </c>
      <c r="D4980" s="8">
        <f t="shared" si="365"/>
        <v>44741</v>
      </c>
      <c r="E4980" s="9" t="s">
        <v>11</v>
      </c>
      <c r="F4980" s="10"/>
      <c r="G4980" s="9" t="s">
        <v>220</v>
      </c>
      <c r="H4980" s="9" t="s">
        <v>8509</v>
      </c>
      <c r="I4980" s="9" t="s">
        <v>353</v>
      </c>
      <c r="J4980" s="88"/>
    </row>
    <row r="4981">
      <c r="A4981" s="6" t="s">
        <v>9</v>
      </c>
      <c r="B4981" s="9" t="s">
        <v>8510</v>
      </c>
      <c r="C4981" s="91">
        <v>44735.45122123843</v>
      </c>
      <c r="D4981" s="8">
        <f t="shared" si="365"/>
        <v>44739</v>
      </c>
      <c r="E4981" s="9" t="s">
        <v>88</v>
      </c>
      <c r="F4981" s="10"/>
      <c r="G4981" s="9" t="s">
        <v>15</v>
      </c>
      <c r="H4981" s="9" t="s">
        <v>8511</v>
      </c>
      <c r="I4981" s="9" t="s">
        <v>353</v>
      </c>
      <c r="J4981" s="88"/>
    </row>
    <row r="4982">
      <c r="A4982" s="54" t="s">
        <v>6247</v>
      </c>
      <c r="B4982" s="9" t="s">
        <v>8512</v>
      </c>
      <c r="C4982" s="91">
        <v>44739.337391064815</v>
      </c>
      <c r="D4982" s="8">
        <f t="shared" si="365"/>
        <v>44741</v>
      </c>
      <c r="E4982" s="9" t="s">
        <v>11</v>
      </c>
      <c r="F4982" s="10"/>
      <c r="G4982" s="9" t="s">
        <v>18</v>
      </c>
      <c r="H4982" s="9" t="s">
        <v>8513</v>
      </c>
      <c r="I4982" s="9" t="s">
        <v>353</v>
      </c>
      <c r="J4982" s="88"/>
    </row>
    <row r="4983">
      <c r="A4983" s="54" t="s">
        <v>6247</v>
      </c>
      <c r="B4983" s="9" t="s">
        <v>8514</v>
      </c>
      <c r="C4983" s="91">
        <v>44739.3201868287</v>
      </c>
      <c r="D4983" s="8">
        <f t="shared" si="365"/>
        <v>44741</v>
      </c>
      <c r="E4983" s="9" t="s">
        <v>11</v>
      </c>
      <c r="F4983" s="10"/>
      <c r="G4983" s="9"/>
      <c r="H4983" s="9" t="s">
        <v>8515</v>
      </c>
      <c r="I4983" s="9" t="s">
        <v>353</v>
      </c>
      <c r="J4983" s="88"/>
    </row>
    <row r="4984">
      <c r="A4984" s="34" t="s">
        <v>337</v>
      </c>
      <c r="B4984" s="9" t="s">
        <v>8516</v>
      </c>
      <c r="C4984" s="91">
        <v>44735.41185068287</v>
      </c>
      <c r="D4984" s="8">
        <f t="shared" si="365"/>
        <v>44739</v>
      </c>
      <c r="E4984" s="9" t="s">
        <v>206</v>
      </c>
      <c r="F4984" s="10"/>
      <c r="G4984" s="9" t="s">
        <v>15</v>
      </c>
      <c r="H4984" s="9" t="s">
        <v>8517</v>
      </c>
      <c r="I4984" s="9" t="s">
        <v>353</v>
      </c>
      <c r="J4984" s="88"/>
    </row>
    <row r="4985">
      <c r="A4985" s="34" t="s">
        <v>337</v>
      </c>
      <c r="B4985" s="9" t="s">
        <v>8518</v>
      </c>
      <c r="C4985" s="91">
        <v>44721.48401069445</v>
      </c>
      <c r="D4985" s="8">
        <f t="shared" si="365"/>
        <v>44725</v>
      </c>
      <c r="E4985" s="9" t="s">
        <v>88</v>
      </c>
      <c r="F4985" s="10"/>
      <c r="G4985" s="9" t="s">
        <v>15</v>
      </c>
      <c r="H4985" s="9" t="s">
        <v>8519</v>
      </c>
      <c r="I4985" s="9" t="s">
        <v>353</v>
      </c>
      <c r="J4985" s="88"/>
    </row>
    <row r="4986">
      <c r="A4986" s="6" t="s">
        <v>9</v>
      </c>
      <c r="B4986" s="9" t="s">
        <v>6290</v>
      </c>
      <c r="C4986" s="91" t="s">
        <v>11</v>
      </c>
      <c r="D4986" s="8" t="str">
        <f t="shared" si="365"/>
        <v>-</v>
      </c>
      <c r="E4986" s="9" t="s">
        <v>88</v>
      </c>
      <c r="F4986" s="10"/>
      <c r="G4986" s="9" t="s">
        <v>4263</v>
      </c>
      <c r="H4986" s="245" t="s">
        <v>8520</v>
      </c>
      <c r="I4986" s="9" t="s">
        <v>353</v>
      </c>
      <c r="J4986" s="88"/>
    </row>
    <row r="4987">
      <c r="A4987" s="6" t="s">
        <v>9</v>
      </c>
      <c r="B4987" s="9" t="s">
        <v>8521</v>
      </c>
      <c r="C4987" s="91">
        <v>44735.41689765046</v>
      </c>
      <c r="D4987" s="8">
        <f t="shared" si="365"/>
        <v>44739</v>
      </c>
      <c r="E4987" s="9" t="s">
        <v>88</v>
      </c>
      <c r="F4987" s="10"/>
      <c r="G4987" s="9" t="s">
        <v>18</v>
      </c>
      <c r="H4987" s="9" t="s">
        <v>8522</v>
      </c>
      <c r="I4987" s="9" t="s">
        <v>353</v>
      </c>
      <c r="J4987" s="88"/>
    </row>
    <row r="4988">
      <c r="A4988" s="54" t="s">
        <v>6247</v>
      </c>
      <c r="B4988" s="9" t="s">
        <v>8523</v>
      </c>
      <c r="C4988" s="91">
        <v>44735.45103667824</v>
      </c>
      <c r="D4988" s="8">
        <f t="shared" si="365"/>
        <v>44739</v>
      </c>
      <c r="E4988" s="9" t="s">
        <v>11</v>
      </c>
      <c r="F4988" s="10"/>
      <c r="G4988" s="9" t="s">
        <v>18</v>
      </c>
      <c r="H4988" s="9" t="s">
        <v>8524</v>
      </c>
      <c r="I4988" s="9" t="s">
        <v>353</v>
      </c>
      <c r="J4988" s="88"/>
    </row>
    <row r="4989">
      <c r="A4989" s="34" t="s">
        <v>337</v>
      </c>
      <c r="B4989" s="9" t="s">
        <v>8525</v>
      </c>
      <c r="C4989" s="91">
        <v>44721.34261443287</v>
      </c>
      <c r="D4989" s="8">
        <f t="shared" si="365"/>
        <v>44725</v>
      </c>
      <c r="E4989" s="9" t="s">
        <v>206</v>
      </c>
      <c r="F4989" s="10"/>
      <c r="G4989" s="9" t="s">
        <v>220</v>
      </c>
      <c r="H4989" s="9" t="s">
        <v>8526</v>
      </c>
      <c r="I4989" s="9" t="s">
        <v>353</v>
      </c>
      <c r="J4989" s="88"/>
    </row>
    <row r="4990">
      <c r="A4990" s="54" t="s">
        <v>6247</v>
      </c>
      <c r="B4990" s="9" t="s">
        <v>8527</v>
      </c>
      <c r="C4990" s="91">
        <v>44734.75921211806</v>
      </c>
      <c r="D4990" s="8">
        <f t="shared" si="365"/>
        <v>44736</v>
      </c>
      <c r="E4990" s="9" t="s">
        <v>11</v>
      </c>
      <c r="F4990" s="10"/>
      <c r="G4990" s="9" t="s">
        <v>18</v>
      </c>
      <c r="H4990" s="9" t="s">
        <v>8528</v>
      </c>
      <c r="I4990" s="9" t="s">
        <v>353</v>
      </c>
      <c r="J4990" s="88"/>
    </row>
    <row r="4991">
      <c r="A4991" s="6" t="s">
        <v>9</v>
      </c>
      <c r="B4991" s="9" t="s">
        <v>8510</v>
      </c>
      <c r="C4991" s="91">
        <v>44726.52134284722</v>
      </c>
      <c r="D4991" s="8">
        <f t="shared" si="365"/>
        <v>44728</v>
      </c>
      <c r="E4991" s="9" t="s">
        <v>88</v>
      </c>
      <c r="F4991" s="10"/>
      <c r="G4991" s="9" t="s">
        <v>15</v>
      </c>
      <c r="H4991" s="9" t="s">
        <v>8529</v>
      </c>
      <c r="I4991" s="9" t="s">
        <v>353</v>
      </c>
      <c r="J4991" s="88"/>
    </row>
    <row r="4992">
      <c r="A4992" s="34" t="s">
        <v>337</v>
      </c>
      <c r="B4992" s="9" t="s">
        <v>2152</v>
      </c>
      <c r="C4992" s="91">
        <v>44721.70956649305</v>
      </c>
      <c r="D4992" s="8">
        <f t="shared" si="365"/>
        <v>44725</v>
      </c>
      <c r="E4992" s="9" t="s">
        <v>206</v>
      </c>
      <c r="F4992" s="10"/>
      <c r="G4992" s="9" t="s">
        <v>220</v>
      </c>
      <c r="H4992" s="9" t="s">
        <v>8530</v>
      </c>
      <c r="I4992" s="9" t="s">
        <v>353</v>
      </c>
      <c r="J4992" s="88"/>
    </row>
    <row r="4993">
      <c r="A4993" s="34" t="s">
        <v>337</v>
      </c>
      <c r="B4993" s="9" t="s">
        <v>8531</v>
      </c>
      <c r="C4993" s="91">
        <v>44725.38714173611</v>
      </c>
      <c r="D4993" s="8">
        <f t="shared" si="365"/>
        <v>44727</v>
      </c>
      <c r="E4993" s="9" t="s">
        <v>206</v>
      </c>
      <c r="F4993" s="10"/>
      <c r="G4993" s="9" t="s">
        <v>220</v>
      </c>
      <c r="H4993" s="98" t="s">
        <v>8532</v>
      </c>
      <c r="I4993" s="9" t="s">
        <v>353</v>
      </c>
      <c r="J4993" s="88"/>
    </row>
    <row r="4994">
      <c r="A4994" s="54" t="s">
        <v>6247</v>
      </c>
      <c r="B4994" s="9" t="s">
        <v>3052</v>
      </c>
      <c r="C4994" s="91">
        <v>44733.37058747685</v>
      </c>
      <c r="D4994" s="8">
        <f t="shared" si="365"/>
        <v>44735</v>
      </c>
      <c r="E4994" s="9" t="s">
        <v>88</v>
      </c>
      <c r="F4994" s="10"/>
      <c r="G4994" s="9" t="s">
        <v>220</v>
      </c>
      <c r="H4994" s="248" t="s">
        <v>8386</v>
      </c>
      <c r="I4994" s="9" t="s">
        <v>353</v>
      </c>
      <c r="J4994" s="88"/>
    </row>
    <row r="4995">
      <c r="A4995" s="6" t="s">
        <v>9</v>
      </c>
      <c r="B4995" s="9" t="s">
        <v>8533</v>
      </c>
      <c r="C4995" s="91">
        <v>44720.0</v>
      </c>
      <c r="D4995" s="8">
        <f t="shared" si="365"/>
        <v>44722</v>
      </c>
      <c r="E4995" s="9" t="s">
        <v>88</v>
      </c>
      <c r="F4995" s="10"/>
      <c r="G4995" s="9" t="s">
        <v>220</v>
      </c>
      <c r="H4995" s="98" t="s">
        <v>5709</v>
      </c>
      <c r="I4995" s="9" t="s">
        <v>353</v>
      </c>
      <c r="J4995" s="88"/>
    </row>
    <row r="4996">
      <c r="A4996" s="34" t="s">
        <v>337</v>
      </c>
      <c r="B4996" s="9" t="s">
        <v>8533</v>
      </c>
      <c r="C4996" s="91">
        <v>44720.0</v>
      </c>
      <c r="D4996" s="8">
        <f t="shared" si="365"/>
        <v>44722</v>
      </c>
      <c r="E4996" s="9" t="s">
        <v>88</v>
      </c>
      <c r="F4996" s="10"/>
      <c r="G4996" s="9" t="s">
        <v>220</v>
      </c>
      <c r="H4996" s="98" t="s">
        <v>8534</v>
      </c>
      <c r="I4996" s="9" t="s">
        <v>353</v>
      </c>
      <c r="J4996" s="88"/>
    </row>
    <row r="4997">
      <c r="A4997" s="6" t="s">
        <v>9</v>
      </c>
      <c r="B4997" s="9" t="s">
        <v>8535</v>
      </c>
      <c r="C4997" s="91">
        <v>44727.66899821759</v>
      </c>
      <c r="D4997" s="8">
        <f t="shared" si="365"/>
        <v>44729</v>
      </c>
      <c r="E4997" s="9" t="s">
        <v>88</v>
      </c>
      <c r="F4997" s="10"/>
      <c r="G4997" s="9" t="s">
        <v>220</v>
      </c>
      <c r="H4997" s="9" t="s">
        <v>8536</v>
      </c>
      <c r="I4997" s="9" t="s">
        <v>353</v>
      </c>
      <c r="J4997" s="88"/>
    </row>
    <row r="4998">
      <c r="A4998" s="6" t="s">
        <v>9</v>
      </c>
      <c r="B4998" s="9" t="s">
        <v>8537</v>
      </c>
      <c r="C4998" s="91">
        <v>44714.0</v>
      </c>
      <c r="D4998" s="8">
        <f t="shared" si="365"/>
        <v>44718</v>
      </c>
      <c r="E4998" s="9" t="s">
        <v>88</v>
      </c>
      <c r="F4998" s="10"/>
      <c r="G4998" s="9" t="s">
        <v>220</v>
      </c>
      <c r="H4998" s="9" t="s">
        <v>437</v>
      </c>
      <c r="I4998" s="9" t="s">
        <v>353</v>
      </c>
      <c r="J4998" s="88"/>
    </row>
    <row r="4999">
      <c r="A4999" s="6" t="s">
        <v>9</v>
      </c>
      <c r="B4999" s="9" t="s">
        <v>8538</v>
      </c>
      <c r="C4999" s="91">
        <v>44714.65514952547</v>
      </c>
      <c r="D4999" s="8">
        <v>44715.0</v>
      </c>
      <c r="E4999" s="9" t="s">
        <v>206</v>
      </c>
      <c r="F4999" s="8"/>
      <c r="G4999" s="9" t="s">
        <v>15</v>
      </c>
      <c r="H4999" s="247" t="s">
        <v>437</v>
      </c>
      <c r="I4999" s="9" t="s">
        <v>353</v>
      </c>
      <c r="J4999" s="88"/>
    </row>
    <row r="5000">
      <c r="A5000" s="54" t="s">
        <v>6247</v>
      </c>
      <c r="B5000" s="9" t="s">
        <v>8539</v>
      </c>
      <c r="C5000" s="91">
        <v>44721.46655351852</v>
      </c>
      <c r="D5000" s="8">
        <f t="shared" ref="D5000:D5031" si="366">IFERROR(_xlfn.WORKDAY.INTL(C5000, 2),"-")</f>
        <v>44725</v>
      </c>
      <c r="E5000" s="9" t="s">
        <v>88</v>
      </c>
      <c r="F5000" s="10"/>
      <c r="G5000" s="9" t="s">
        <v>220</v>
      </c>
      <c r="H5000" s="248" t="s">
        <v>8540</v>
      </c>
      <c r="I5000" s="9" t="s">
        <v>353</v>
      </c>
      <c r="J5000" s="88"/>
    </row>
    <row r="5001">
      <c r="A5001" s="54" t="s">
        <v>6247</v>
      </c>
      <c r="B5001" s="9" t="s">
        <v>8541</v>
      </c>
      <c r="C5001" s="91">
        <v>44727.36414787037</v>
      </c>
      <c r="D5001" s="8">
        <f t="shared" si="366"/>
        <v>44729</v>
      </c>
      <c r="E5001" s="9" t="s">
        <v>206</v>
      </c>
      <c r="F5001" s="10"/>
      <c r="G5001" s="9" t="s">
        <v>18</v>
      </c>
      <c r="H5001" s="248" t="s">
        <v>8542</v>
      </c>
      <c r="I5001" s="9" t="s">
        <v>353</v>
      </c>
      <c r="J5001" s="88"/>
    </row>
    <row r="5002">
      <c r="A5002" s="54" t="s">
        <v>6247</v>
      </c>
      <c r="B5002" s="9" t="s">
        <v>8543</v>
      </c>
      <c r="C5002" s="91">
        <v>44732.356961157406</v>
      </c>
      <c r="D5002" s="8">
        <f t="shared" si="366"/>
        <v>44734</v>
      </c>
      <c r="E5002" s="9" t="s">
        <v>206</v>
      </c>
      <c r="F5002" s="10"/>
      <c r="G5002" s="9" t="s">
        <v>18</v>
      </c>
      <c r="H5002" s="9" t="s">
        <v>8544</v>
      </c>
      <c r="I5002" s="9" t="s">
        <v>353</v>
      </c>
      <c r="J5002" s="88"/>
    </row>
    <row r="5003">
      <c r="A5003" s="34" t="s">
        <v>337</v>
      </c>
      <c r="B5003" s="9" t="s">
        <v>3841</v>
      </c>
      <c r="C5003" s="91">
        <v>44712.0</v>
      </c>
      <c r="D5003" s="8">
        <f t="shared" si="366"/>
        <v>44714</v>
      </c>
      <c r="E5003" s="9" t="s">
        <v>88</v>
      </c>
      <c r="F5003" s="10"/>
      <c r="G5003" s="9" t="s">
        <v>220</v>
      </c>
      <c r="H5003" s="98" t="s">
        <v>8545</v>
      </c>
      <c r="I5003" s="9" t="s">
        <v>353</v>
      </c>
      <c r="J5003" s="88"/>
    </row>
    <row r="5004">
      <c r="A5004" s="6" t="s">
        <v>9</v>
      </c>
      <c r="B5004" s="9" t="s">
        <v>8546</v>
      </c>
      <c r="C5004" s="91">
        <v>44729.446959953704</v>
      </c>
      <c r="D5004" s="8">
        <f t="shared" si="366"/>
        <v>44733</v>
      </c>
      <c r="E5004" s="9" t="s">
        <v>88</v>
      </c>
      <c r="F5004" s="10"/>
      <c r="G5004" s="9" t="s">
        <v>18</v>
      </c>
      <c r="H5004" s="9" t="s">
        <v>8547</v>
      </c>
      <c r="I5004" s="9" t="s">
        <v>353</v>
      </c>
      <c r="J5004" s="88"/>
    </row>
    <row r="5005">
      <c r="A5005" s="54" t="s">
        <v>6247</v>
      </c>
      <c r="B5005" s="9" t="s">
        <v>6651</v>
      </c>
      <c r="C5005" s="91">
        <v>44728.685263368054</v>
      </c>
      <c r="D5005" s="8">
        <f t="shared" si="366"/>
        <v>44732</v>
      </c>
      <c r="E5005" s="9" t="s">
        <v>11</v>
      </c>
      <c r="F5005" s="10"/>
      <c r="G5005" s="9"/>
      <c r="H5005" s="9" t="s">
        <v>8548</v>
      </c>
      <c r="I5005" s="9" t="s">
        <v>353</v>
      </c>
      <c r="J5005" s="88"/>
    </row>
    <row r="5006">
      <c r="A5006" s="54" t="s">
        <v>6247</v>
      </c>
      <c r="B5006" s="234" t="s">
        <v>8549</v>
      </c>
      <c r="C5006" s="91" t="s">
        <v>11</v>
      </c>
      <c r="D5006" s="8" t="str">
        <f t="shared" si="366"/>
        <v>-</v>
      </c>
      <c r="E5006" s="9" t="s">
        <v>88</v>
      </c>
      <c r="F5006" s="10"/>
      <c r="G5006" s="9" t="s">
        <v>220</v>
      </c>
      <c r="H5006" s="98" t="s">
        <v>8550</v>
      </c>
      <c r="I5006" s="9" t="s">
        <v>353</v>
      </c>
      <c r="J5006" s="88"/>
    </row>
    <row r="5007">
      <c r="A5007" s="54" t="s">
        <v>6247</v>
      </c>
      <c r="B5007" s="234" t="s">
        <v>8551</v>
      </c>
      <c r="C5007" s="91" t="s">
        <v>11</v>
      </c>
      <c r="D5007" s="8" t="str">
        <f t="shared" si="366"/>
        <v>-</v>
      </c>
      <c r="E5007" s="9" t="s">
        <v>206</v>
      </c>
      <c r="F5007" s="10"/>
      <c r="G5007" s="9" t="s">
        <v>220</v>
      </c>
      <c r="H5007" s="254" t="s">
        <v>8552</v>
      </c>
      <c r="I5007" s="9" t="s">
        <v>353</v>
      </c>
      <c r="J5007" s="88"/>
    </row>
    <row r="5008">
      <c r="A5008" s="6" t="s">
        <v>9</v>
      </c>
      <c r="B5008" s="9" t="s">
        <v>8553</v>
      </c>
      <c r="C5008" s="91">
        <v>44728.72781498842</v>
      </c>
      <c r="D5008" s="8">
        <f t="shared" si="366"/>
        <v>44732</v>
      </c>
      <c r="E5008" s="9" t="s">
        <v>206</v>
      </c>
      <c r="F5008" s="10"/>
      <c r="G5008" s="9" t="s">
        <v>18</v>
      </c>
      <c r="H5008" s="9" t="s">
        <v>8554</v>
      </c>
      <c r="I5008" s="9" t="s">
        <v>353</v>
      </c>
      <c r="J5008" s="88"/>
    </row>
    <row r="5009">
      <c r="A5009" s="6" t="s">
        <v>9</v>
      </c>
      <c r="B5009" s="9" t="s">
        <v>6290</v>
      </c>
      <c r="C5009" s="91">
        <v>44728.36326846065</v>
      </c>
      <c r="D5009" s="8">
        <f t="shared" si="366"/>
        <v>44732</v>
      </c>
      <c r="E5009" s="9" t="s">
        <v>88</v>
      </c>
      <c r="F5009" s="10"/>
      <c r="G5009" s="9" t="s">
        <v>18</v>
      </c>
      <c r="H5009" s="9" t="s">
        <v>8555</v>
      </c>
      <c r="I5009" s="9" t="s">
        <v>353</v>
      </c>
      <c r="J5009" s="88"/>
    </row>
    <row r="5010">
      <c r="A5010" s="6" t="s">
        <v>9</v>
      </c>
      <c r="B5010" s="9" t="s">
        <v>8556</v>
      </c>
      <c r="C5010" s="91">
        <v>44728.699523125004</v>
      </c>
      <c r="D5010" s="8">
        <f t="shared" si="366"/>
        <v>44732</v>
      </c>
      <c r="E5010" s="9" t="s">
        <v>88</v>
      </c>
      <c r="F5010" s="10"/>
      <c r="G5010" s="9" t="s">
        <v>18</v>
      </c>
      <c r="H5010" s="9" t="s">
        <v>7067</v>
      </c>
      <c r="I5010" s="9" t="s">
        <v>353</v>
      </c>
      <c r="J5010" s="88"/>
    </row>
    <row r="5011">
      <c r="A5011" s="34" t="s">
        <v>337</v>
      </c>
      <c r="B5011" s="9" t="s">
        <v>8557</v>
      </c>
      <c r="C5011" s="91">
        <v>44728.53020680556</v>
      </c>
      <c r="D5011" s="8">
        <f t="shared" si="366"/>
        <v>44732</v>
      </c>
      <c r="E5011" s="9" t="s">
        <v>206</v>
      </c>
      <c r="F5011" s="10"/>
      <c r="G5011" s="9" t="s">
        <v>220</v>
      </c>
      <c r="H5011" s="9" t="s">
        <v>8558</v>
      </c>
      <c r="I5011" s="9" t="s">
        <v>353</v>
      </c>
      <c r="J5011" s="88"/>
    </row>
    <row r="5012">
      <c r="A5012" s="34" t="s">
        <v>337</v>
      </c>
      <c r="B5012" s="9" t="s">
        <v>8481</v>
      </c>
      <c r="C5012" s="91">
        <v>44714.66034634259</v>
      </c>
      <c r="D5012" s="8">
        <f t="shared" si="366"/>
        <v>44718</v>
      </c>
      <c r="E5012" s="9" t="s">
        <v>206</v>
      </c>
      <c r="F5012" s="10"/>
      <c r="G5012" s="9" t="s">
        <v>220</v>
      </c>
      <c r="H5012" s="98" t="s">
        <v>8559</v>
      </c>
      <c r="I5012" s="9" t="s">
        <v>353</v>
      </c>
      <c r="J5012" s="88"/>
    </row>
    <row r="5013">
      <c r="A5013" s="34" t="s">
        <v>337</v>
      </c>
      <c r="B5013" s="9" t="s">
        <v>8560</v>
      </c>
      <c r="C5013" s="91">
        <v>44721.46190497685</v>
      </c>
      <c r="D5013" s="8">
        <f t="shared" si="366"/>
        <v>44725</v>
      </c>
      <c r="E5013" s="9" t="s">
        <v>206</v>
      </c>
      <c r="F5013" s="10"/>
      <c r="G5013" s="9" t="s">
        <v>220</v>
      </c>
      <c r="H5013" s="98" t="s">
        <v>8561</v>
      </c>
      <c r="I5013" s="9" t="s">
        <v>353</v>
      </c>
      <c r="J5013" s="88"/>
    </row>
    <row r="5014">
      <c r="A5014" s="54" t="s">
        <v>6247</v>
      </c>
      <c r="B5014" s="9" t="s">
        <v>8562</v>
      </c>
      <c r="C5014" s="91">
        <v>44725.39587310185</v>
      </c>
      <c r="D5014" s="8">
        <f t="shared" si="366"/>
        <v>44727</v>
      </c>
      <c r="E5014" s="9" t="s">
        <v>206</v>
      </c>
      <c r="F5014" s="10"/>
      <c r="G5014" s="9" t="s">
        <v>220</v>
      </c>
      <c r="H5014" s="9" t="s">
        <v>8563</v>
      </c>
      <c r="I5014" s="9" t="s">
        <v>353</v>
      </c>
      <c r="J5014" s="88"/>
    </row>
    <row r="5015">
      <c r="A5015" s="6" t="s">
        <v>9</v>
      </c>
      <c r="B5015" s="9" t="s">
        <v>8564</v>
      </c>
      <c r="C5015" s="91" t="s">
        <v>11</v>
      </c>
      <c r="D5015" s="8" t="str">
        <f t="shared" si="366"/>
        <v>-</v>
      </c>
      <c r="E5015" s="9" t="s">
        <v>88</v>
      </c>
      <c r="F5015" s="10"/>
      <c r="G5015" s="9" t="s">
        <v>18</v>
      </c>
      <c r="H5015" s="225" t="s">
        <v>8565</v>
      </c>
      <c r="I5015" s="9" t="s">
        <v>353</v>
      </c>
      <c r="J5015" s="88"/>
    </row>
    <row r="5016">
      <c r="A5016" s="6" t="s">
        <v>9</v>
      </c>
      <c r="B5016" s="9" t="s">
        <v>8566</v>
      </c>
      <c r="C5016" s="91">
        <v>44728.48539230324</v>
      </c>
      <c r="D5016" s="8">
        <f t="shared" si="366"/>
        <v>44732</v>
      </c>
      <c r="E5016" s="9" t="s">
        <v>206</v>
      </c>
      <c r="F5016" s="10"/>
      <c r="G5016" s="9" t="s">
        <v>18</v>
      </c>
      <c r="H5016" s="9" t="s">
        <v>8567</v>
      </c>
      <c r="I5016" s="9" t="s">
        <v>353</v>
      </c>
      <c r="J5016" s="88"/>
    </row>
    <row r="5017">
      <c r="A5017" s="6" t="s">
        <v>9</v>
      </c>
      <c r="B5017" s="9" t="s">
        <v>8568</v>
      </c>
      <c r="C5017" s="91" t="s">
        <v>11</v>
      </c>
      <c r="D5017" s="8" t="str">
        <f t="shared" si="366"/>
        <v>-</v>
      </c>
      <c r="E5017" s="9" t="s">
        <v>88</v>
      </c>
      <c r="F5017" s="10"/>
      <c r="G5017" s="9" t="s">
        <v>18</v>
      </c>
      <c r="H5017" s="255" t="s">
        <v>8569</v>
      </c>
      <c r="I5017" s="9" t="s">
        <v>353</v>
      </c>
      <c r="J5017" s="88"/>
    </row>
    <row r="5018">
      <c r="A5018" s="6" t="s">
        <v>9</v>
      </c>
      <c r="B5018" s="9" t="s">
        <v>6290</v>
      </c>
      <c r="C5018" s="91" t="s">
        <v>11</v>
      </c>
      <c r="D5018" s="8" t="str">
        <f t="shared" si="366"/>
        <v>-</v>
      </c>
      <c r="E5018" s="9" t="s">
        <v>88</v>
      </c>
      <c r="F5018" s="10"/>
      <c r="G5018" s="9" t="s">
        <v>220</v>
      </c>
      <c r="H5018" s="247" t="s">
        <v>8570</v>
      </c>
      <c r="I5018" s="9" t="s">
        <v>353</v>
      </c>
      <c r="J5018" s="88"/>
    </row>
    <row r="5019">
      <c r="A5019" s="6" t="s">
        <v>9</v>
      </c>
      <c r="B5019" s="9" t="s">
        <v>5699</v>
      </c>
      <c r="C5019" s="91" t="s">
        <v>11</v>
      </c>
      <c r="D5019" s="8" t="str">
        <f t="shared" si="366"/>
        <v>-</v>
      </c>
      <c r="E5019" s="9" t="s">
        <v>88</v>
      </c>
      <c r="F5019" s="10"/>
      <c r="G5019" s="9" t="s">
        <v>89</v>
      </c>
      <c r="H5019" s="225" t="s">
        <v>8571</v>
      </c>
      <c r="I5019" s="9" t="s">
        <v>353</v>
      </c>
      <c r="J5019" s="88"/>
    </row>
    <row r="5020">
      <c r="A5020" s="6" t="s">
        <v>9</v>
      </c>
      <c r="B5020" s="9" t="s">
        <v>8572</v>
      </c>
      <c r="C5020" s="91" t="s">
        <v>11</v>
      </c>
      <c r="D5020" s="8" t="str">
        <f t="shared" si="366"/>
        <v>-</v>
      </c>
      <c r="E5020" s="9" t="s">
        <v>88</v>
      </c>
      <c r="F5020" s="10"/>
      <c r="G5020" s="9" t="s">
        <v>89</v>
      </c>
      <c r="H5020" s="225" t="s">
        <v>8573</v>
      </c>
      <c r="I5020" s="9" t="s">
        <v>353</v>
      </c>
      <c r="J5020" s="88"/>
    </row>
    <row r="5021">
      <c r="A5021" s="6" t="s">
        <v>9</v>
      </c>
      <c r="B5021" s="9" t="s">
        <v>8574</v>
      </c>
      <c r="C5021" s="91">
        <v>44727.68635232639</v>
      </c>
      <c r="D5021" s="8">
        <f t="shared" si="366"/>
        <v>44729</v>
      </c>
      <c r="E5021" s="9" t="s">
        <v>11</v>
      </c>
      <c r="F5021" s="10"/>
      <c r="G5021" s="9" t="s">
        <v>220</v>
      </c>
      <c r="H5021" s="9" t="s">
        <v>8575</v>
      </c>
      <c r="I5021" s="9" t="s">
        <v>353</v>
      </c>
      <c r="J5021" s="88"/>
    </row>
    <row r="5022">
      <c r="A5022" s="6" t="s">
        <v>9</v>
      </c>
      <c r="B5022" s="9" t="s">
        <v>2814</v>
      </c>
      <c r="C5022" s="91" t="s">
        <v>11</v>
      </c>
      <c r="D5022" s="8" t="str">
        <f t="shared" si="366"/>
        <v>-</v>
      </c>
      <c r="E5022" s="9" t="s">
        <v>88</v>
      </c>
      <c r="F5022" s="10"/>
      <c r="G5022" s="9" t="s">
        <v>220</v>
      </c>
      <c r="H5022" s="247" t="s">
        <v>437</v>
      </c>
      <c r="I5022" s="9" t="s">
        <v>353</v>
      </c>
      <c r="J5022" s="88"/>
    </row>
    <row r="5023">
      <c r="A5023" s="6" t="s">
        <v>9</v>
      </c>
      <c r="B5023" s="9" t="s">
        <v>8576</v>
      </c>
      <c r="C5023" s="91">
        <v>44726.0</v>
      </c>
      <c r="D5023" s="8">
        <f t="shared" si="366"/>
        <v>44728</v>
      </c>
      <c r="E5023" s="9" t="s">
        <v>11</v>
      </c>
      <c r="F5023" s="10"/>
      <c r="G5023" s="9" t="s">
        <v>220</v>
      </c>
      <c r="H5023" s="9" t="s">
        <v>8577</v>
      </c>
      <c r="I5023" s="9" t="s">
        <v>353</v>
      </c>
      <c r="J5023" s="88"/>
    </row>
    <row r="5024">
      <c r="A5024" s="6" t="s">
        <v>9</v>
      </c>
      <c r="B5024" s="9" t="s">
        <v>8578</v>
      </c>
      <c r="C5024" s="91">
        <v>44727.66895893519</v>
      </c>
      <c r="D5024" s="8">
        <f t="shared" si="366"/>
        <v>44729</v>
      </c>
      <c r="E5024" s="9" t="s">
        <v>88</v>
      </c>
      <c r="F5024" s="10"/>
      <c r="G5024" s="9" t="s">
        <v>220</v>
      </c>
      <c r="H5024" s="9" t="s">
        <v>8579</v>
      </c>
      <c r="I5024" s="9" t="s">
        <v>353</v>
      </c>
      <c r="J5024" s="88"/>
    </row>
    <row r="5025">
      <c r="A5025" s="6" t="s">
        <v>9</v>
      </c>
      <c r="B5025" s="9" t="s">
        <v>8580</v>
      </c>
      <c r="C5025" s="91">
        <v>44722.34578363426</v>
      </c>
      <c r="D5025" s="8">
        <f t="shared" si="366"/>
        <v>44726</v>
      </c>
      <c r="E5025" s="9" t="s">
        <v>88</v>
      </c>
      <c r="F5025" s="10"/>
      <c r="G5025" s="9" t="s">
        <v>220</v>
      </c>
      <c r="H5025" s="9" t="s">
        <v>437</v>
      </c>
      <c r="I5025" s="9" t="s">
        <v>353</v>
      </c>
      <c r="J5025" s="88"/>
    </row>
    <row r="5026">
      <c r="A5026" s="34" t="s">
        <v>337</v>
      </c>
      <c r="B5026" s="9" t="s">
        <v>8581</v>
      </c>
      <c r="C5026" s="91">
        <v>44720.0</v>
      </c>
      <c r="D5026" s="8">
        <f t="shared" si="366"/>
        <v>44722</v>
      </c>
      <c r="E5026" s="9" t="s">
        <v>88</v>
      </c>
      <c r="F5026" s="10"/>
      <c r="G5026" s="9" t="s">
        <v>220</v>
      </c>
      <c r="H5026" s="9" t="s">
        <v>8561</v>
      </c>
      <c r="I5026" s="9" t="s">
        <v>353</v>
      </c>
      <c r="J5026" s="88"/>
    </row>
    <row r="5027">
      <c r="A5027" s="54" t="s">
        <v>6247</v>
      </c>
      <c r="B5027" s="9" t="s">
        <v>8582</v>
      </c>
      <c r="C5027" s="91">
        <v>44725.43778796296</v>
      </c>
      <c r="D5027" s="8">
        <f t="shared" si="366"/>
        <v>44727</v>
      </c>
      <c r="E5027" s="9" t="s">
        <v>11</v>
      </c>
      <c r="F5027" s="10"/>
      <c r="G5027" s="9" t="s">
        <v>18</v>
      </c>
      <c r="H5027" s="9" t="s">
        <v>8583</v>
      </c>
      <c r="I5027" s="9" t="s">
        <v>353</v>
      </c>
      <c r="J5027" s="88"/>
    </row>
    <row r="5028">
      <c r="A5028" s="6" t="s">
        <v>9</v>
      </c>
      <c r="B5028" s="9" t="s">
        <v>8584</v>
      </c>
      <c r="C5028" s="91" t="s">
        <v>11</v>
      </c>
      <c r="D5028" s="8" t="str">
        <f t="shared" si="366"/>
        <v>-</v>
      </c>
      <c r="E5028" s="9" t="s">
        <v>88</v>
      </c>
      <c r="F5028" s="10"/>
      <c r="G5028" s="9" t="s">
        <v>220</v>
      </c>
      <c r="H5028" s="247" t="s">
        <v>8585</v>
      </c>
      <c r="I5028" s="9" t="s">
        <v>353</v>
      </c>
      <c r="J5028" s="88"/>
    </row>
    <row r="5029">
      <c r="A5029" s="6" t="s">
        <v>9</v>
      </c>
      <c r="B5029" s="9" t="s">
        <v>8586</v>
      </c>
      <c r="C5029" s="91" t="s">
        <v>11</v>
      </c>
      <c r="D5029" s="8" t="str">
        <f t="shared" si="366"/>
        <v>-</v>
      </c>
      <c r="E5029" s="9" t="s">
        <v>88</v>
      </c>
      <c r="F5029" s="10"/>
      <c r="G5029" s="9" t="s">
        <v>220</v>
      </c>
      <c r="H5029" s="9" t="s">
        <v>437</v>
      </c>
      <c r="I5029" s="9" t="s">
        <v>353</v>
      </c>
      <c r="J5029" s="88"/>
    </row>
    <row r="5030">
      <c r="A5030" s="6" t="s">
        <v>9</v>
      </c>
      <c r="B5030" s="9" t="s">
        <v>6290</v>
      </c>
      <c r="C5030" s="91" t="s">
        <v>11</v>
      </c>
      <c r="D5030" s="8" t="str">
        <f t="shared" si="366"/>
        <v>-</v>
      </c>
      <c r="E5030" s="9" t="s">
        <v>88</v>
      </c>
      <c r="F5030" s="10"/>
      <c r="G5030" s="9" t="s">
        <v>18</v>
      </c>
      <c r="H5030" s="225" t="s">
        <v>8587</v>
      </c>
      <c r="I5030" s="9" t="s">
        <v>353</v>
      </c>
      <c r="J5030" s="88"/>
    </row>
    <row r="5031">
      <c r="A5031" s="54" t="s">
        <v>6247</v>
      </c>
      <c r="B5031" s="9" t="s">
        <v>6452</v>
      </c>
      <c r="C5031" s="91">
        <v>44725.33686216435</v>
      </c>
      <c r="D5031" s="8">
        <f t="shared" si="366"/>
        <v>44727</v>
      </c>
      <c r="E5031" s="9" t="s">
        <v>88</v>
      </c>
      <c r="F5031" s="10"/>
      <c r="G5031" s="9" t="s">
        <v>18</v>
      </c>
      <c r="H5031" s="9" t="s">
        <v>8588</v>
      </c>
      <c r="I5031" s="9" t="s">
        <v>353</v>
      </c>
      <c r="J5031" s="88"/>
    </row>
    <row r="5032">
      <c r="A5032" s="34" t="s">
        <v>337</v>
      </c>
      <c r="B5032" s="9" t="s">
        <v>8589</v>
      </c>
      <c r="C5032" s="91">
        <v>44719.695594606485</v>
      </c>
      <c r="D5032" s="8">
        <v>44720.0</v>
      </c>
      <c r="E5032" s="9" t="s">
        <v>88</v>
      </c>
      <c r="F5032" s="10"/>
      <c r="G5032" s="9" t="s">
        <v>220</v>
      </c>
      <c r="H5032" s="9" t="s">
        <v>8590</v>
      </c>
      <c r="I5032" s="9" t="s">
        <v>353</v>
      </c>
      <c r="J5032" s="88"/>
    </row>
    <row r="5033">
      <c r="A5033" s="6" t="s">
        <v>9</v>
      </c>
      <c r="B5033" s="9" t="s">
        <v>8382</v>
      </c>
      <c r="C5033" s="91">
        <v>44713.0</v>
      </c>
      <c r="D5033" s="8">
        <f t="shared" ref="D5033:D5068" si="367">IFERROR(_xlfn.WORKDAY.INTL(C5033, 2),"-")</f>
        <v>44715</v>
      </c>
      <c r="E5033" s="9" t="s">
        <v>206</v>
      </c>
      <c r="F5033" s="10"/>
      <c r="G5033" s="9" t="s">
        <v>220</v>
      </c>
      <c r="H5033" s="225" t="s">
        <v>8591</v>
      </c>
      <c r="I5033" s="9" t="s">
        <v>353</v>
      </c>
      <c r="J5033" s="88"/>
    </row>
    <row r="5034">
      <c r="A5034" s="6" t="s">
        <v>9</v>
      </c>
      <c r="B5034" s="9" t="s">
        <v>8592</v>
      </c>
      <c r="C5034" s="91">
        <v>44720.35977246528</v>
      </c>
      <c r="D5034" s="8">
        <f t="shared" si="367"/>
        <v>44722</v>
      </c>
      <c r="E5034" s="9" t="s">
        <v>88</v>
      </c>
      <c r="F5034" s="10"/>
      <c r="G5034" s="9" t="s">
        <v>220</v>
      </c>
      <c r="H5034" s="9" t="s">
        <v>8593</v>
      </c>
      <c r="I5034" s="9" t="s">
        <v>353</v>
      </c>
      <c r="J5034" s="88"/>
    </row>
    <row r="5035">
      <c r="A5035" s="6" t="s">
        <v>9</v>
      </c>
      <c r="B5035" s="9" t="s">
        <v>8419</v>
      </c>
      <c r="C5035" s="91">
        <v>44722.34573680555</v>
      </c>
      <c r="D5035" s="8">
        <f t="shared" si="367"/>
        <v>44726</v>
      </c>
      <c r="E5035" s="9" t="s">
        <v>88</v>
      </c>
      <c r="F5035" s="10"/>
      <c r="G5035" s="9" t="s">
        <v>220</v>
      </c>
      <c r="H5035" s="9" t="s">
        <v>437</v>
      </c>
      <c r="I5035" s="9" t="s">
        <v>353</v>
      </c>
      <c r="J5035" s="88"/>
    </row>
    <row r="5036">
      <c r="A5036" s="54" t="s">
        <v>6247</v>
      </c>
      <c r="B5036" s="9" t="s">
        <v>8594</v>
      </c>
      <c r="C5036" s="91">
        <v>44725.398395717595</v>
      </c>
      <c r="D5036" s="8">
        <f t="shared" si="367"/>
        <v>44727</v>
      </c>
      <c r="E5036" s="9" t="s">
        <v>11</v>
      </c>
      <c r="F5036" s="10"/>
      <c r="G5036" s="9"/>
      <c r="H5036" s="9" t="s">
        <v>8595</v>
      </c>
      <c r="I5036" s="9" t="s">
        <v>353</v>
      </c>
      <c r="J5036" s="88"/>
    </row>
    <row r="5037">
      <c r="A5037" s="6" t="s">
        <v>9</v>
      </c>
      <c r="B5037" s="9" t="s">
        <v>6680</v>
      </c>
      <c r="C5037" s="91">
        <v>44720.51520618056</v>
      </c>
      <c r="D5037" s="8">
        <f t="shared" si="367"/>
        <v>44722</v>
      </c>
      <c r="E5037" s="9" t="s">
        <v>88</v>
      </c>
      <c r="F5037" s="10"/>
      <c r="G5037" s="9" t="s">
        <v>18</v>
      </c>
      <c r="H5037" s="9" t="s">
        <v>437</v>
      </c>
      <c r="I5037" s="9" t="s">
        <v>353</v>
      </c>
      <c r="J5037" s="88"/>
    </row>
    <row r="5038">
      <c r="A5038" s="54" t="s">
        <v>6247</v>
      </c>
      <c r="B5038" s="234" t="s">
        <v>8596</v>
      </c>
      <c r="C5038" s="91" t="s">
        <v>11</v>
      </c>
      <c r="D5038" s="8" t="str">
        <f t="shared" si="367"/>
        <v>-</v>
      </c>
      <c r="E5038" s="9" t="s">
        <v>206</v>
      </c>
      <c r="F5038" s="10"/>
      <c r="G5038" s="9" t="s">
        <v>220</v>
      </c>
      <c r="H5038" s="98" t="s">
        <v>8597</v>
      </c>
      <c r="I5038" s="9" t="s">
        <v>353</v>
      </c>
      <c r="J5038" s="88"/>
    </row>
    <row r="5039">
      <c r="A5039" s="54" t="s">
        <v>6247</v>
      </c>
      <c r="B5039" s="256" t="s">
        <v>8598</v>
      </c>
      <c r="C5039" s="91">
        <v>44720.50567604166</v>
      </c>
      <c r="D5039" s="8">
        <f t="shared" si="367"/>
        <v>44722</v>
      </c>
      <c r="E5039" s="9" t="s">
        <v>206</v>
      </c>
      <c r="F5039" s="10"/>
      <c r="G5039" s="9" t="s">
        <v>220</v>
      </c>
      <c r="H5039" s="254" t="s">
        <v>8599</v>
      </c>
      <c r="I5039" s="9" t="s">
        <v>353</v>
      </c>
      <c r="J5039" s="88"/>
    </row>
    <row r="5040">
      <c r="A5040" s="34" t="s">
        <v>337</v>
      </c>
      <c r="B5040" s="9" t="s">
        <v>8600</v>
      </c>
      <c r="C5040" s="91">
        <v>44712.0</v>
      </c>
      <c r="D5040" s="8">
        <f t="shared" si="367"/>
        <v>44714</v>
      </c>
      <c r="E5040" s="9" t="s">
        <v>206</v>
      </c>
      <c r="F5040" s="10"/>
      <c r="G5040" s="9" t="s">
        <v>220</v>
      </c>
      <c r="H5040" s="98" t="s">
        <v>437</v>
      </c>
      <c r="I5040" s="9" t="s">
        <v>353</v>
      </c>
      <c r="J5040" s="88"/>
    </row>
    <row r="5041">
      <c r="A5041" s="34" t="s">
        <v>337</v>
      </c>
      <c r="B5041" s="9" t="s">
        <v>8601</v>
      </c>
      <c r="C5041" s="91">
        <v>44719.612615659724</v>
      </c>
      <c r="D5041" s="8">
        <f t="shared" si="367"/>
        <v>44721</v>
      </c>
      <c r="E5041" s="9" t="s">
        <v>206</v>
      </c>
      <c r="F5041" s="10"/>
      <c r="G5041" s="9" t="s">
        <v>220</v>
      </c>
      <c r="H5041" s="9" t="s">
        <v>842</v>
      </c>
      <c r="I5041" s="9" t="s">
        <v>353</v>
      </c>
      <c r="J5041" s="88"/>
    </row>
    <row r="5042">
      <c r="A5042" s="54" t="s">
        <v>6247</v>
      </c>
      <c r="B5042" s="257" t="s">
        <v>8602</v>
      </c>
      <c r="C5042" s="91" t="s">
        <v>11</v>
      </c>
      <c r="D5042" s="8" t="str">
        <f t="shared" si="367"/>
        <v>-</v>
      </c>
      <c r="E5042" s="9" t="s">
        <v>88</v>
      </c>
      <c r="F5042" s="10"/>
      <c r="G5042" s="9" t="s">
        <v>89</v>
      </c>
      <c r="H5042" s="258" t="s">
        <v>8603</v>
      </c>
      <c r="I5042" s="9" t="s">
        <v>353</v>
      </c>
      <c r="J5042" s="88"/>
    </row>
    <row r="5043">
      <c r="A5043" s="54" t="s">
        <v>6247</v>
      </c>
      <c r="B5043" s="234" t="s">
        <v>8604</v>
      </c>
      <c r="C5043" s="91" t="s">
        <v>11</v>
      </c>
      <c r="D5043" s="8" t="str">
        <f t="shared" si="367"/>
        <v>-</v>
      </c>
      <c r="E5043" s="9" t="s">
        <v>88</v>
      </c>
      <c r="F5043" s="10"/>
      <c r="G5043" s="9" t="s">
        <v>220</v>
      </c>
      <c r="H5043" s="243" t="s">
        <v>8605</v>
      </c>
      <c r="I5043" s="9" t="s">
        <v>353</v>
      </c>
      <c r="J5043" s="88"/>
    </row>
    <row r="5044">
      <c r="A5044" s="54" t="s">
        <v>6247</v>
      </c>
      <c r="B5044" s="9" t="s">
        <v>8606</v>
      </c>
      <c r="C5044" s="91">
        <v>44715.44796320602</v>
      </c>
      <c r="D5044" s="8">
        <f t="shared" si="367"/>
        <v>44719</v>
      </c>
      <c r="E5044" s="9" t="s">
        <v>11</v>
      </c>
      <c r="F5044" s="10"/>
      <c r="G5044" s="9" t="s">
        <v>220</v>
      </c>
      <c r="H5044" s="9" t="s">
        <v>8607</v>
      </c>
      <c r="I5044" s="9" t="s">
        <v>353</v>
      </c>
      <c r="J5044" s="88"/>
    </row>
    <row r="5045">
      <c r="A5045" s="6" t="s">
        <v>9</v>
      </c>
      <c r="B5045" s="9" t="s">
        <v>8608</v>
      </c>
      <c r="C5045" s="91">
        <v>44720.46668085648</v>
      </c>
      <c r="D5045" s="8">
        <f t="shared" si="367"/>
        <v>44722</v>
      </c>
      <c r="E5045" s="9" t="s">
        <v>88</v>
      </c>
      <c r="F5045" s="10"/>
      <c r="G5045" s="9" t="s">
        <v>18</v>
      </c>
      <c r="H5045" s="9" t="s">
        <v>8313</v>
      </c>
      <c r="I5045" s="9" t="s">
        <v>353</v>
      </c>
      <c r="J5045" s="88"/>
    </row>
    <row r="5046">
      <c r="A5046" s="54" t="s">
        <v>6247</v>
      </c>
      <c r="B5046" s="9" t="s">
        <v>8609</v>
      </c>
      <c r="C5046" s="91">
        <v>44720.455651655095</v>
      </c>
      <c r="D5046" s="8">
        <f t="shared" si="367"/>
        <v>44722</v>
      </c>
      <c r="E5046" s="9" t="s">
        <v>11</v>
      </c>
      <c r="F5046" s="10"/>
      <c r="G5046" s="9" t="s">
        <v>220</v>
      </c>
      <c r="H5046" s="9" t="s">
        <v>8610</v>
      </c>
      <c r="I5046" s="9" t="s">
        <v>353</v>
      </c>
      <c r="J5046" s="88"/>
    </row>
    <row r="5047">
      <c r="A5047" s="54" t="s">
        <v>6247</v>
      </c>
      <c r="B5047" s="9" t="s">
        <v>8611</v>
      </c>
      <c r="C5047" s="91">
        <v>44720.45560122685</v>
      </c>
      <c r="D5047" s="8">
        <f t="shared" si="367"/>
        <v>44722</v>
      </c>
      <c r="E5047" s="9" t="s">
        <v>11</v>
      </c>
      <c r="F5047" s="10"/>
      <c r="G5047" s="9" t="s">
        <v>220</v>
      </c>
      <c r="H5047" s="9" t="s">
        <v>8612</v>
      </c>
      <c r="I5047" s="9" t="s">
        <v>353</v>
      </c>
      <c r="J5047" s="88"/>
    </row>
    <row r="5048">
      <c r="A5048" s="54" t="s">
        <v>6247</v>
      </c>
      <c r="B5048" s="9" t="s">
        <v>8613</v>
      </c>
      <c r="C5048" s="91">
        <v>44720.455536423615</v>
      </c>
      <c r="D5048" s="8">
        <f t="shared" si="367"/>
        <v>44722</v>
      </c>
      <c r="E5048" s="9" t="s">
        <v>11</v>
      </c>
      <c r="F5048" s="10"/>
      <c r="G5048" s="9" t="s">
        <v>220</v>
      </c>
      <c r="H5048" s="9" t="s">
        <v>8614</v>
      </c>
      <c r="I5048" s="9" t="s">
        <v>353</v>
      </c>
      <c r="J5048" s="88"/>
    </row>
    <row r="5049">
      <c r="A5049" s="54" t="s">
        <v>6247</v>
      </c>
      <c r="B5049" s="9" t="s">
        <v>8615</v>
      </c>
      <c r="C5049" s="91">
        <v>44720.455424178246</v>
      </c>
      <c r="D5049" s="8">
        <f t="shared" si="367"/>
        <v>44722</v>
      </c>
      <c r="E5049" s="9" t="s">
        <v>11</v>
      </c>
      <c r="F5049" s="10"/>
      <c r="G5049" s="9" t="s">
        <v>220</v>
      </c>
      <c r="H5049" s="9" t="s">
        <v>8614</v>
      </c>
      <c r="I5049" s="9" t="s">
        <v>353</v>
      </c>
      <c r="J5049" s="88"/>
    </row>
    <row r="5050">
      <c r="A5050" s="54" t="s">
        <v>6247</v>
      </c>
      <c r="B5050" s="9" t="s">
        <v>8616</v>
      </c>
      <c r="C5050" s="91">
        <v>44719.356674027775</v>
      </c>
      <c r="D5050" s="8">
        <f t="shared" si="367"/>
        <v>44721</v>
      </c>
      <c r="E5050" s="9" t="s">
        <v>11</v>
      </c>
      <c r="F5050" s="10"/>
      <c r="G5050" s="9" t="s">
        <v>220</v>
      </c>
      <c r="H5050" s="9" t="s">
        <v>8617</v>
      </c>
      <c r="I5050" s="9" t="s">
        <v>353</v>
      </c>
      <c r="J5050" s="88"/>
    </row>
    <row r="5051">
      <c r="A5051" s="34" t="s">
        <v>337</v>
      </c>
      <c r="B5051" s="9" t="s">
        <v>8230</v>
      </c>
      <c r="C5051" s="91">
        <v>44711.0</v>
      </c>
      <c r="D5051" s="8">
        <f t="shared" si="367"/>
        <v>44713</v>
      </c>
      <c r="E5051" s="9" t="s">
        <v>88</v>
      </c>
      <c r="F5051" s="10"/>
      <c r="G5051" s="9" t="s">
        <v>220</v>
      </c>
      <c r="H5051" s="98" t="s">
        <v>8618</v>
      </c>
      <c r="I5051" s="9" t="s">
        <v>353</v>
      </c>
      <c r="J5051" s="88"/>
    </row>
    <row r="5052">
      <c r="A5052" s="34" t="s">
        <v>337</v>
      </c>
      <c r="B5052" s="9" t="s">
        <v>8619</v>
      </c>
      <c r="C5052" s="91">
        <v>44714.6890259375</v>
      </c>
      <c r="D5052" s="8">
        <f t="shared" si="367"/>
        <v>44718</v>
      </c>
      <c r="E5052" s="9" t="s">
        <v>206</v>
      </c>
      <c r="F5052" s="8"/>
      <c r="G5052" s="9" t="s">
        <v>220</v>
      </c>
      <c r="H5052" s="9" t="s">
        <v>8620</v>
      </c>
      <c r="I5052" s="9" t="s">
        <v>353</v>
      </c>
      <c r="J5052" s="88"/>
    </row>
    <row r="5053">
      <c r="A5053" s="6" t="s">
        <v>9</v>
      </c>
      <c r="B5053" s="9" t="s">
        <v>6290</v>
      </c>
      <c r="C5053" s="91">
        <v>44719.424980138894</v>
      </c>
      <c r="D5053" s="8">
        <f t="shared" si="367"/>
        <v>44721</v>
      </c>
      <c r="E5053" s="9" t="s">
        <v>11</v>
      </c>
      <c r="F5053" s="10"/>
      <c r="G5053" s="9" t="s">
        <v>18</v>
      </c>
      <c r="H5053" s="9" t="s">
        <v>8621</v>
      </c>
      <c r="I5053" s="9" t="s">
        <v>353</v>
      </c>
      <c r="J5053" s="88"/>
    </row>
    <row r="5054">
      <c r="A5054" s="223" t="s">
        <v>98</v>
      </c>
      <c r="B5054" s="225" t="s">
        <v>8622</v>
      </c>
      <c r="C5054" s="91" t="s">
        <v>11</v>
      </c>
      <c r="D5054" s="8" t="str">
        <f t="shared" si="367"/>
        <v>-</v>
      </c>
      <c r="E5054" s="9" t="s">
        <v>206</v>
      </c>
      <c r="F5054" s="10"/>
      <c r="G5054" s="9" t="s">
        <v>220</v>
      </c>
      <c r="H5054" s="225" t="s">
        <v>7804</v>
      </c>
      <c r="I5054" s="9" t="s">
        <v>353</v>
      </c>
      <c r="J5054" s="88"/>
    </row>
    <row r="5055">
      <c r="A5055" s="223" t="s">
        <v>98</v>
      </c>
      <c r="B5055" s="225" t="s">
        <v>8623</v>
      </c>
      <c r="C5055" s="91" t="s">
        <v>11</v>
      </c>
      <c r="D5055" s="8" t="str">
        <f t="shared" si="367"/>
        <v>-</v>
      </c>
      <c r="E5055" s="9" t="s">
        <v>88</v>
      </c>
      <c r="F5055" s="10"/>
      <c r="G5055" s="9" t="s">
        <v>220</v>
      </c>
      <c r="H5055" s="225" t="s">
        <v>7804</v>
      </c>
      <c r="I5055" s="9" t="s">
        <v>353</v>
      </c>
      <c r="J5055" s="88"/>
    </row>
    <row r="5056">
      <c r="A5056" s="223" t="s">
        <v>98</v>
      </c>
      <c r="B5056" s="225" t="s">
        <v>8624</v>
      </c>
      <c r="C5056" s="91" t="s">
        <v>11</v>
      </c>
      <c r="D5056" s="8" t="str">
        <f t="shared" si="367"/>
        <v>-</v>
      </c>
      <c r="E5056" s="9" t="s">
        <v>88</v>
      </c>
      <c r="F5056" s="10"/>
      <c r="G5056" s="9" t="s">
        <v>18</v>
      </c>
      <c r="H5056" s="225" t="s">
        <v>18</v>
      </c>
      <c r="I5056" s="9" t="s">
        <v>353</v>
      </c>
      <c r="J5056" s="88"/>
    </row>
    <row r="5057">
      <c r="A5057" s="223" t="s">
        <v>98</v>
      </c>
      <c r="B5057" s="225" t="s">
        <v>7528</v>
      </c>
      <c r="C5057" s="91" t="s">
        <v>11</v>
      </c>
      <c r="D5057" s="8" t="str">
        <f t="shared" si="367"/>
        <v>-</v>
      </c>
      <c r="E5057" s="9" t="s">
        <v>206</v>
      </c>
      <c r="F5057" s="10"/>
      <c r="G5057" s="9" t="s">
        <v>18</v>
      </c>
      <c r="H5057" s="225" t="s">
        <v>18</v>
      </c>
      <c r="I5057" s="9" t="s">
        <v>353</v>
      </c>
      <c r="J5057" s="88"/>
    </row>
    <row r="5058">
      <c r="A5058" s="223" t="s">
        <v>98</v>
      </c>
      <c r="B5058" s="225" t="s">
        <v>8625</v>
      </c>
      <c r="C5058" s="91" t="s">
        <v>11</v>
      </c>
      <c r="D5058" s="8" t="str">
        <f t="shared" si="367"/>
        <v>-</v>
      </c>
      <c r="E5058" s="9" t="s">
        <v>88</v>
      </c>
      <c r="F5058" s="10"/>
      <c r="G5058" s="9" t="s">
        <v>18</v>
      </c>
      <c r="H5058" s="225" t="s">
        <v>18</v>
      </c>
      <c r="I5058" s="9" t="s">
        <v>353</v>
      </c>
      <c r="J5058" s="88"/>
    </row>
    <row r="5059">
      <c r="A5059" s="223" t="s">
        <v>98</v>
      </c>
      <c r="B5059" s="225" t="s">
        <v>8626</v>
      </c>
      <c r="C5059" s="91" t="s">
        <v>11</v>
      </c>
      <c r="D5059" s="8" t="str">
        <f t="shared" si="367"/>
        <v>-</v>
      </c>
      <c r="E5059" s="9" t="s">
        <v>88</v>
      </c>
      <c r="F5059" s="10"/>
      <c r="G5059" s="9" t="s">
        <v>18</v>
      </c>
      <c r="H5059" s="225" t="s">
        <v>18</v>
      </c>
      <c r="I5059" s="9" t="s">
        <v>353</v>
      </c>
      <c r="J5059" s="88"/>
    </row>
    <row r="5060">
      <c r="A5060" s="34" t="s">
        <v>337</v>
      </c>
      <c r="B5060" s="9" t="s">
        <v>6290</v>
      </c>
      <c r="C5060" s="91">
        <v>44711.0</v>
      </c>
      <c r="D5060" s="8">
        <f t="shared" si="367"/>
        <v>44713</v>
      </c>
      <c r="E5060" s="9" t="s">
        <v>88</v>
      </c>
      <c r="F5060" s="10"/>
      <c r="G5060" s="9" t="s">
        <v>220</v>
      </c>
      <c r="H5060" s="234" t="s">
        <v>8627</v>
      </c>
      <c r="I5060" s="9" t="s">
        <v>353</v>
      </c>
      <c r="J5060" s="88"/>
    </row>
    <row r="5061">
      <c r="A5061" s="34" t="s">
        <v>337</v>
      </c>
      <c r="B5061" s="9" t="s">
        <v>8628</v>
      </c>
      <c r="C5061" s="91">
        <v>44714.66034792824</v>
      </c>
      <c r="D5061" s="8">
        <f t="shared" si="367"/>
        <v>44718</v>
      </c>
      <c r="E5061" s="9" t="s">
        <v>88</v>
      </c>
      <c r="F5061" s="10"/>
      <c r="G5061" s="9" t="s">
        <v>220</v>
      </c>
      <c r="H5061" s="98" t="s">
        <v>842</v>
      </c>
      <c r="I5061" s="9" t="s">
        <v>353</v>
      </c>
      <c r="J5061" s="88"/>
    </row>
    <row r="5062">
      <c r="A5062" s="54" t="s">
        <v>6247</v>
      </c>
      <c r="B5062" s="234" t="s">
        <v>6651</v>
      </c>
      <c r="C5062" s="91">
        <v>44714.662151145836</v>
      </c>
      <c r="D5062" s="8">
        <f t="shared" si="367"/>
        <v>44718</v>
      </c>
      <c r="E5062" s="9" t="s">
        <v>206</v>
      </c>
      <c r="F5062" s="10"/>
      <c r="G5062" s="9" t="s">
        <v>18</v>
      </c>
      <c r="H5062" s="234" t="s">
        <v>8629</v>
      </c>
      <c r="I5062" s="9" t="s">
        <v>353</v>
      </c>
      <c r="J5062" s="88"/>
    </row>
    <row r="5063">
      <c r="A5063" s="6" t="s">
        <v>9</v>
      </c>
      <c r="B5063" s="9" t="s">
        <v>8630</v>
      </c>
      <c r="C5063" s="91" t="s">
        <v>11</v>
      </c>
      <c r="D5063" s="8" t="str">
        <f t="shared" si="367"/>
        <v>-</v>
      </c>
      <c r="E5063" s="9" t="s">
        <v>88</v>
      </c>
      <c r="F5063" s="10"/>
      <c r="G5063" s="9" t="s">
        <v>220</v>
      </c>
      <c r="H5063" s="225" t="s">
        <v>8631</v>
      </c>
      <c r="I5063" s="9" t="s">
        <v>353</v>
      </c>
      <c r="J5063" s="88"/>
    </row>
    <row r="5064">
      <c r="A5064" s="6" t="s">
        <v>9</v>
      </c>
      <c r="B5064" s="9" t="s">
        <v>8632</v>
      </c>
      <c r="C5064" s="91">
        <v>44712.0</v>
      </c>
      <c r="D5064" s="8">
        <f t="shared" si="367"/>
        <v>44714</v>
      </c>
      <c r="E5064" s="9" t="s">
        <v>206</v>
      </c>
      <c r="F5064" s="10"/>
      <c r="G5064" s="9" t="s">
        <v>220</v>
      </c>
      <c r="H5064" s="247" t="s">
        <v>437</v>
      </c>
      <c r="I5064" s="9" t="s">
        <v>353</v>
      </c>
      <c r="J5064" s="88"/>
    </row>
    <row r="5065">
      <c r="A5065" s="6" t="s">
        <v>9</v>
      </c>
      <c r="B5065" s="9" t="s">
        <v>8633</v>
      </c>
      <c r="C5065" s="91">
        <v>44712.0</v>
      </c>
      <c r="D5065" s="8">
        <f t="shared" si="367"/>
        <v>44714</v>
      </c>
      <c r="E5065" s="9" t="s">
        <v>206</v>
      </c>
      <c r="F5065" s="10"/>
      <c r="G5065" s="9" t="s">
        <v>220</v>
      </c>
      <c r="H5065" s="247" t="s">
        <v>437</v>
      </c>
      <c r="I5065" s="9" t="s">
        <v>353</v>
      </c>
      <c r="J5065" s="88"/>
    </row>
    <row r="5066">
      <c r="A5066" s="54" t="s">
        <v>6247</v>
      </c>
      <c r="B5066" s="9" t="s">
        <v>8382</v>
      </c>
      <c r="C5066" s="91">
        <v>44714.6882561574</v>
      </c>
      <c r="D5066" s="8">
        <f t="shared" si="367"/>
        <v>44718</v>
      </c>
      <c r="E5066" s="9" t="s">
        <v>206</v>
      </c>
      <c r="F5066" s="8"/>
      <c r="G5066" s="9" t="s">
        <v>18</v>
      </c>
      <c r="H5066" s="9" t="s">
        <v>8634</v>
      </c>
      <c r="I5066" s="9" t="s">
        <v>353</v>
      </c>
      <c r="J5066" s="88"/>
    </row>
    <row r="5067">
      <c r="A5067" s="54" t="s">
        <v>6247</v>
      </c>
      <c r="B5067" s="234" t="s">
        <v>8382</v>
      </c>
      <c r="C5067" s="91">
        <v>44714.662151145836</v>
      </c>
      <c r="D5067" s="8">
        <f t="shared" si="367"/>
        <v>44718</v>
      </c>
      <c r="E5067" s="9" t="s">
        <v>206</v>
      </c>
      <c r="F5067" s="8"/>
      <c r="G5067" s="9" t="s">
        <v>18</v>
      </c>
      <c r="H5067" s="98" t="s">
        <v>8635</v>
      </c>
      <c r="I5067" s="9" t="s">
        <v>353</v>
      </c>
      <c r="J5067" s="88"/>
    </row>
    <row r="5068">
      <c r="A5068" s="6" t="s">
        <v>9</v>
      </c>
      <c r="B5068" s="9" t="s">
        <v>5303</v>
      </c>
      <c r="C5068" s="91">
        <v>44714.695229282406</v>
      </c>
      <c r="D5068" s="8">
        <f t="shared" si="367"/>
        <v>44718</v>
      </c>
      <c r="E5068" s="9" t="s">
        <v>88</v>
      </c>
      <c r="F5068" s="10"/>
      <c r="G5068" s="9" t="s">
        <v>18</v>
      </c>
      <c r="H5068" s="9" t="s">
        <v>8636</v>
      </c>
      <c r="I5068" s="9" t="s">
        <v>353</v>
      </c>
      <c r="J5068" s="88"/>
    </row>
    <row r="5069">
      <c r="A5069" s="259"/>
      <c r="B5069" s="9" t="s">
        <v>8637</v>
      </c>
      <c r="C5069" s="91" t="s">
        <v>1097</v>
      </c>
      <c r="D5069" s="9" t="s">
        <v>8638</v>
      </c>
      <c r="E5069" s="9" t="s">
        <v>13</v>
      </c>
      <c r="F5069" s="9"/>
      <c r="G5069" s="91"/>
      <c r="H5069" s="9" t="s">
        <v>8639</v>
      </c>
      <c r="I5069" s="9" t="s">
        <v>353</v>
      </c>
      <c r="J5069" s="88"/>
    </row>
    <row r="5070">
      <c r="A5070" s="259"/>
      <c r="B5070" s="9" t="s">
        <v>3841</v>
      </c>
      <c r="C5070" s="91" t="s">
        <v>1489</v>
      </c>
      <c r="D5070" s="9" t="s">
        <v>8640</v>
      </c>
      <c r="E5070" s="9" t="s">
        <v>13</v>
      </c>
      <c r="F5070" s="9"/>
      <c r="G5070" s="91"/>
      <c r="H5070" s="9" t="s">
        <v>8641</v>
      </c>
      <c r="I5070" s="9" t="s">
        <v>353</v>
      </c>
      <c r="J5070" s="88"/>
    </row>
    <row r="5071">
      <c r="A5071" s="259"/>
      <c r="B5071" s="9" t="s">
        <v>8642</v>
      </c>
      <c r="C5071" s="91" t="s">
        <v>1097</v>
      </c>
      <c r="D5071" s="9" t="s">
        <v>8640</v>
      </c>
      <c r="E5071" s="9" t="s">
        <v>13</v>
      </c>
      <c r="F5071" s="9"/>
      <c r="G5071" s="91"/>
      <c r="H5071" s="9" t="s">
        <v>8643</v>
      </c>
      <c r="I5071" s="9" t="s">
        <v>353</v>
      </c>
      <c r="J5071" s="88"/>
    </row>
    <row r="5072">
      <c r="A5072" s="259"/>
      <c r="B5072" s="9" t="s">
        <v>8644</v>
      </c>
      <c r="C5072" s="91" t="s">
        <v>1097</v>
      </c>
      <c r="D5072" s="9" t="s">
        <v>8638</v>
      </c>
      <c r="E5072" s="9" t="s">
        <v>13</v>
      </c>
      <c r="F5072" s="9"/>
      <c r="G5072" s="91"/>
      <c r="H5072" s="9" t="s">
        <v>8645</v>
      </c>
      <c r="I5072" s="9" t="s">
        <v>353</v>
      </c>
      <c r="J5072" s="88"/>
    </row>
    <row r="5073">
      <c r="A5073" s="259"/>
      <c r="B5073" s="9" t="s">
        <v>8646</v>
      </c>
      <c r="C5073" s="91" t="s">
        <v>1489</v>
      </c>
      <c r="D5073" s="9" t="s">
        <v>8638</v>
      </c>
      <c r="E5073" s="9" t="s">
        <v>353</v>
      </c>
      <c r="F5073" s="9"/>
      <c r="G5073" s="9" t="s">
        <v>8647</v>
      </c>
      <c r="H5073" s="9" t="s">
        <v>8648</v>
      </c>
      <c r="I5073" s="9" t="s">
        <v>353</v>
      </c>
      <c r="J5073" s="88"/>
    </row>
    <row r="5074">
      <c r="A5074" s="259"/>
      <c r="B5074" s="9" t="s">
        <v>3841</v>
      </c>
      <c r="C5074" s="91" t="s">
        <v>1489</v>
      </c>
      <c r="D5074" s="9" t="s">
        <v>8649</v>
      </c>
      <c r="E5074" s="9" t="s">
        <v>13</v>
      </c>
      <c r="F5074" s="9"/>
      <c r="G5074" s="91"/>
      <c r="H5074" s="9" t="s">
        <v>8650</v>
      </c>
      <c r="I5074" s="9" t="s">
        <v>353</v>
      </c>
      <c r="J5074" s="88"/>
    </row>
    <row r="5075">
      <c r="A5075" s="259"/>
      <c r="B5075" s="9" t="s">
        <v>7147</v>
      </c>
      <c r="C5075" s="91" t="s">
        <v>1489</v>
      </c>
      <c r="D5075" s="9" t="s">
        <v>8640</v>
      </c>
      <c r="E5075" s="9" t="s">
        <v>13</v>
      </c>
      <c r="F5075" s="9"/>
      <c r="G5075" s="91"/>
      <c r="H5075" s="9" t="s">
        <v>8651</v>
      </c>
      <c r="I5075" s="9" t="s">
        <v>353</v>
      </c>
      <c r="J5075" s="88"/>
    </row>
    <row r="5076">
      <c r="A5076" s="259"/>
      <c r="B5076" s="9" t="s">
        <v>8652</v>
      </c>
      <c r="C5076" s="91" t="s">
        <v>1489</v>
      </c>
      <c r="D5076" s="9" t="s">
        <v>8649</v>
      </c>
      <c r="E5076" s="9" t="s">
        <v>13</v>
      </c>
      <c r="F5076" s="9"/>
      <c r="G5076" s="91"/>
      <c r="H5076" s="9" t="s">
        <v>8653</v>
      </c>
      <c r="I5076" s="9" t="s">
        <v>353</v>
      </c>
      <c r="J5076" s="88"/>
    </row>
    <row r="5077">
      <c r="A5077" s="259"/>
      <c r="B5077" s="9" t="s">
        <v>8654</v>
      </c>
      <c r="C5077" s="91" t="s">
        <v>1097</v>
      </c>
      <c r="D5077" s="9" t="s">
        <v>8649</v>
      </c>
      <c r="E5077" s="9" t="s">
        <v>13</v>
      </c>
      <c r="F5077" s="9"/>
      <c r="G5077" s="91"/>
      <c r="H5077" s="9" t="s">
        <v>8655</v>
      </c>
      <c r="I5077" s="9" t="s">
        <v>353</v>
      </c>
      <c r="J5077" s="88"/>
    </row>
    <row r="5078">
      <c r="A5078" s="259"/>
      <c r="B5078" s="9" t="s">
        <v>8656</v>
      </c>
      <c r="C5078" s="91" t="s">
        <v>1097</v>
      </c>
      <c r="D5078" s="9" t="s">
        <v>8640</v>
      </c>
      <c r="E5078" s="9" t="s">
        <v>13</v>
      </c>
      <c r="F5078" s="9"/>
      <c r="G5078" s="91"/>
      <c r="H5078" s="9" t="s">
        <v>8657</v>
      </c>
      <c r="I5078" s="9" t="s">
        <v>353</v>
      </c>
      <c r="J5078" s="88"/>
    </row>
    <row r="5079">
      <c r="A5079" s="259"/>
      <c r="B5079" s="9" t="s">
        <v>8658</v>
      </c>
      <c r="C5079" s="91" t="s">
        <v>1489</v>
      </c>
      <c r="D5079" s="9" t="s">
        <v>8649</v>
      </c>
      <c r="E5079" s="9" t="s">
        <v>13</v>
      </c>
      <c r="F5079" s="9"/>
      <c r="G5079" s="91"/>
      <c r="H5079" s="9" t="s">
        <v>8659</v>
      </c>
      <c r="I5079" s="9" t="s">
        <v>353</v>
      </c>
      <c r="J5079" s="88"/>
    </row>
    <row r="5080">
      <c r="A5080" s="259"/>
      <c r="B5080" s="9" t="s">
        <v>6290</v>
      </c>
      <c r="C5080" s="91" t="s">
        <v>1489</v>
      </c>
      <c r="D5080" s="9" t="s">
        <v>8649</v>
      </c>
      <c r="E5080" s="9" t="s">
        <v>13</v>
      </c>
      <c r="F5080" s="9"/>
      <c r="G5080" s="91"/>
      <c r="H5080" s="9" t="s">
        <v>8660</v>
      </c>
      <c r="I5080" s="9" t="s">
        <v>353</v>
      </c>
      <c r="J5080" s="88"/>
    </row>
    <row r="5081">
      <c r="A5081" s="259"/>
      <c r="B5081" s="9" t="s">
        <v>8566</v>
      </c>
      <c r="C5081" s="91" t="s">
        <v>1097</v>
      </c>
      <c r="D5081" s="9" t="s">
        <v>8649</v>
      </c>
      <c r="E5081" s="9" t="s">
        <v>13</v>
      </c>
      <c r="F5081" s="9"/>
      <c r="G5081" s="91"/>
      <c r="H5081" s="9" t="s">
        <v>8661</v>
      </c>
      <c r="I5081" s="9" t="s">
        <v>353</v>
      </c>
      <c r="J5081" s="88"/>
    </row>
    <row r="5082">
      <c r="A5082" s="259"/>
      <c r="B5082" s="9" t="s">
        <v>8111</v>
      </c>
      <c r="C5082" s="91" t="s">
        <v>1489</v>
      </c>
      <c r="D5082" s="9" t="s">
        <v>8649</v>
      </c>
      <c r="E5082" s="9" t="s">
        <v>13</v>
      </c>
      <c r="F5082" s="9"/>
      <c r="G5082" s="91"/>
      <c r="H5082" s="9" t="s">
        <v>8662</v>
      </c>
      <c r="I5082" s="9" t="s">
        <v>353</v>
      </c>
      <c r="J5082" s="88"/>
    </row>
    <row r="5083">
      <c r="A5083" s="259"/>
      <c r="B5083" s="9" t="s">
        <v>8663</v>
      </c>
      <c r="C5083" s="91" t="s">
        <v>1489</v>
      </c>
      <c r="D5083" s="9" t="s">
        <v>8649</v>
      </c>
      <c r="E5083" s="9" t="s">
        <v>13</v>
      </c>
      <c r="F5083" s="9"/>
      <c r="G5083" s="91"/>
      <c r="H5083" s="9" t="s">
        <v>8664</v>
      </c>
      <c r="I5083" s="9" t="s">
        <v>353</v>
      </c>
      <c r="J5083" s="88"/>
    </row>
    <row r="5084">
      <c r="A5084" s="259"/>
      <c r="B5084" s="9" t="s">
        <v>7528</v>
      </c>
      <c r="C5084" s="91" t="s">
        <v>1097</v>
      </c>
      <c r="D5084" s="9" t="s">
        <v>8665</v>
      </c>
      <c r="E5084" s="9" t="s">
        <v>13</v>
      </c>
      <c r="F5084" s="9"/>
      <c r="G5084" s="91"/>
      <c r="H5084" s="9" t="s">
        <v>4208</v>
      </c>
      <c r="I5084" s="9" t="s">
        <v>353</v>
      </c>
      <c r="J5084" s="88"/>
    </row>
    <row r="5085">
      <c r="A5085" s="259"/>
      <c r="B5085" s="9" t="s">
        <v>8666</v>
      </c>
      <c r="C5085" s="91" t="s">
        <v>1097</v>
      </c>
      <c r="D5085" s="9" t="s">
        <v>8665</v>
      </c>
      <c r="E5085" s="9" t="s">
        <v>13</v>
      </c>
      <c r="F5085" s="9"/>
      <c r="G5085" s="91"/>
      <c r="H5085" s="9" t="s">
        <v>7804</v>
      </c>
      <c r="I5085" s="9" t="s">
        <v>353</v>
      </c>
      <c r="J5085" s="88"/>
    </row>
    <row r="5086">
      <c r="A5086" s="259"/>
      <c r="B5086" s="9" t="s">
        <v>8667</v>
      </c>
      <c r="C5086" s="91" t="s">
        <v>1489</v>
      </c>
      <c r="D5086" s="9" t="s">
        <v>8665</v>
      </c>
      <c r="E5086" s="9" t="s">
        <v>13</v>
      </c>
      <c r="F5086" s="9"/>
      <c r="G5086" s="91"/>
      <c r="H5086" s="9" t="s">
        <v>8668</v>
      </c>
      <c r="I5086" s="9" t="s">
        <v>353</v>
      </c>
      <c r="J5086" s="88"/>
    </row>
    <row r="5087">
      <c r="A5087" s="259"/>
      <c r="B5087" s="9" t="s">
        <v>8459</v>
      </c>
      <c r="C5087" s="91" t="s">
        <v>1097</v>
      </c>
      <c r="D5087" s="9" t="s">
        <v>8665</v>
      </c>
      <c r="E5087" s="9" t="s">
        <v>13</v>
      </c>
      <c r="F5087" s="9"/>
      <c r="G5087" s="91"/>
      <c r="H5087" s="9" t="s">
        <v>7804</v>
      </c>
      <c r="I5087" s="9" t="s">
        <v>353</v>
      </c>
      <c r="J5087" s="88"/>
    </row>
    <row r="5088">
      <c r="A5088" s="259"/>
      <c r="B5088" s="9" t="s">
        <v>8669</v>
      </c>
      <c r="C5088" s="91" t="s">
        <v>1489</v>
      </c>
      <c r="D5088" s="9" t="s">
        <v>8665</v>
      </c>
      <c r="E5088" s="9" t="s">
        <v>13</v>
      </c>
      <c r="F5088" s="9"/>
      <c r="G5088" s="91"/>
      <c r="H5088" s="9" t="s">
        <v>7804</v>
      </c>
      <c r="I5088" s="9" t="s">
        <v>353</v>
      </c>
      <c r="J5088" s="88"/>
    </row>
    <row r="5089">
      <c r="A5089" s="259"/>
      <c r="B5089" s="9" t="s">
        <v>8670</v>
      </c>
      <c r="C5089" s="91" t="s">
        <v>1489</v>
      </c>
      <c r="D5089" s="9" t="s">
        <v>8665</v>
      </c>
      <c r="E5089" s="9" t="s">
        <v>13</v>
      </c>
      <c r="F5089" s="9"/>
      <c r="G5089" s="91"/>
      <c r="H5089" s="9" t="s">
        <v>8671</v>
      </c>
      <c r="I5089" s="9" t="s">
        <v>353</v>
      </c>
      <c r="J5089" s="88"/>
    </row>
    <row r="5090">
      <c r="A5090" s="259"/>
      <c r="B5090" s="9" t="s">
        <v>8672</v>
      </c>
      <c r="C5090" s="91" t="s">
        <v>1489</v>
      </c>
      <c r="D5090" s="9" t="s">
        <v>8665</v>
      </c>
      <c r="E5090" s="9" t="s">
        <v>13</v>
      </c>
      <c r="F5090" s="9"/>
      <c r="G5090" s="91"/>
      <c r="H5090" s="9" t="s">
        <v>8673</v>
      </c>
      <c r="I5090" s="9" t="s">
        <v>353</v>
      </c>
      <c r="J5090" s="88"/>
    </row>
    <row r="5091">
      <c r="A5091" s="259"/>
      <c r="B5091" s="9" t="s">
        <v>8674</v>
      </c>
      <c r="C5091" s="91" t="s">
        <v>1489</v>
      </c>
      <c r="D5091" s="9" t="s">
        <v>8638</v>
      </c>
      <c r="E5091" s="9" t="s">
        <v>13</v>
      </c>
      <c r="F5091" s="9"/>
      <c r="G5091" s="91"/>
      <c r="H5091" s="9" t="s">
        <v>8675</v>
      </c>
      <c r="I5091" s="9" t="s">
        <v>353</v>
      </c>
      <c r="J5091" s="88"/>
    </row>
    <row r="5092">
      <c r="A5092" s="259"/>
      <c r="B5092" s="9" t="s">
        <v>8676</v>
      </c>
      <c r="C5092" s="91" t="s">
        <v>1097</v>
      </c>
      <c r="D5092" s="9" t="s">
        <v>8638</v>
      </c>
      <c r="E5092" s="9" t="s">
        <v>13</v>
      </c>
      <c r="F5092" s="9"/>
      <c r="G5092" s="91"/>
      <c r="H5092" s="9" t="s">
        <v>8386</v>
      </c>
      <c r="I5092" s="9" t="s">
        <v>353</v>
      </c>
      <c r="J5092" s="88"/>
    </row>
    <row r="5093">
      <c r="A5093" s="259"/>
      <c r="B5093" s="9" t="s">
        <v>3608</v>
      </c>
      <c r="C5093" s="91" t="s">
        <v>1489</v>
      </c>
      <c r="D5093" s="9" t="s">
        <v>8649</v>
      </c>
      <c r="E5093" s="9" t="s">
        <v>13</v>
      </c>
      <c r="F5093" s="9"/>
      <c r="G5093" s="91"/>
      <c r="H5093" s="9" t="s">
        <v>8677</v>
      </c>
      <c r="I5093" s="9" t="s">
        <v>353</v>
      </c>
      <c r="J5093" s="88"/>
    </row>
    <row r="5094">
      <c r="A5094" s="259"/>
      <c r="B5094" s="9" t="s">
        <v>8678</v>
      </c>
      <c r="C5094" s="91" t="s">
        <v>1489</v>
      </c>
      <c r="D5094" s="9" t="s">
        <v>8649</v>
      </c>
      <c r="E5094" s="9" t="s">
        <v>13</v>
      </c>
      <c r="F5094" s="9"/>
      <c r="G5094" s="91"/>
      <c r="H5094" s="9" t="s">
        <v>437</v>
      </c>
      <c r="I5094" s="9" t="s">
        <v>353</v>
      </c>
      <c r="J5094" s="88"/>
    </row>
    <row r="5095">
      <c r="A5095" s="259"/>
      <c r="B5095" s="9" t="s">
        <v>2206</v>
      </c>
      <c r="C5095" s="91" t="s">
        <v>1489</v>
      </c>
      <c r="D5095" s="9" t="s">
        <v>8649</v>
      </c>
      <c r="E5095" s="9" t="s">
        <v>13</v>
      </c>
      <c r="F5095" s="9"/>
      <c r="G5095" s="91"/>
      <c r="H5095" s="9" t="s">
        <v>8679</v>
      </c>
      <c r="I5095" s="9" t="s">
        <v>353</v>
      </c>
      <c r="J5095" s="88"/>
    </row>
    <row r="5096">
      <c r="A5096" s="259"/>
      <c r="B5096" s="9" t="s">
        <v>8291</v>
      </c>
      <c r="C5096" s="91" t="s">
        <v>1489</v>
      </c>
      <c r="D5096" s="9" t="s">
        <v>8649</v>
      </c>
      <c r="E5096" s="9" t="s">
        <v>13</v>
      </c>
      <c r="F5096" s="9"/>
      <c r="G5096" s="91"/>
      <c r="H5096" s="9" t="s">
        <v>8680</v>
      </c>
      <c r="I5096" s="9" t="s">
        <v>353</v>
      </c>
      <c r="J5096" s="88"/>
    </row>
    <row r="5097">
      <c r="A5097" s="259"/>
      <c r="B5097" s="9" t="s">
        <v>8681</v>
      </c>
      <c r="C5097" s="91" t="s">
        <v>1489</v>
      </c>
      <c r="D5097" s="9" t="s">
        <v>8649</v>
      </c>
      <c r="E5097" s="9" t="s">
        <v>13</v>
      </c>
      <c r="F5097" s="9"/>
      <c r="G5097" s="91"/>
      <c r="H5097" s="9" t="s">
        <v>437</v>
      </c>
      <c r="I5097" s="9" t="s">
        <v>353</v>
      </c>
      <c r="J5097" s="88"/>
    </row>
    <row r="5098">
      <c r="A5098" s="259"/>
      <c r="B5098" s="9" t="s">
        <v>8682</v>
      </c>
      <c r="C5098" s="91" t="s">
        <v>1097</v>
      </c>
      <c r="D5098" s="9" t="s">
        <v>8638</v>
      </c>
      <c r="E5098" s="9" t="s">
        <v>13</v>
      </c>
      <c r="F5098" s="9"/>
      <c r="G5098" s="91"/>
      <c r="H5098" s="9" t="s">
        <v>8683</v>
      </c>
      <c r="I5098" s="9" t="s">
        <v>353</v>
      </c>
      <c r="J5098" s="88"/>
    </row>
    <row r="5099">
      <c r="A5099" s="259"/>
      <c r="B5099" s="238" t="s">
        <v>8684</v>
      </c>
      <c r="C5099" s="91" t="s">
        <v>1097</v>
      </c>
      <c r="D5099" s="9" t="s">
        <v>8638</v>
      </c>
      <c r="E5099" s="9" t="s">
        <v>13</v>
      </c>
      <c r="F5099" s="9"/>
      <c r="G5099" s="91"/>
      <c r="H5099" s="9" t="s">
        <v>8685</v>
      </c>
      <c r="I5099" s="9" t="s">
        <v>353</v>
      </c>
      <c r="J5099" s="88"/>
    </row>
    <row r="5100">
      <c r="A5100" s="259"/>
      <c r="B5100" s="238" t="s">
        <v>8686</v>
      </c>
      <c r="C5100" s="91" t="s">
        <v>1097</v>
      </c>
      <c r="D5100" s="9" t="s">
        <v>8638</v>
      </c>
      <c r="E5100" s="9" t="s">
        <v>13</v>
      </c>
      <c r="F5100" s="9"/>
      <c r="G5100" s="91"/>
      <c r="H5100" s="9" t="s">
        <v>8687</v>
      </c>
      <c r="I5100" s="9" t="s">
        <v>353</v>
      </c>
      <c r="J5100" s="88"/>
    </row>
    <row r="5101">
      <c r="A5101" s="259"/>
      <c r="B5101" s="9" t="s">
        <v>8688</v>
      </c>
      <c r="C5101" s="91" t="s">
        <v>1489</v>
      </c>
      <c r="D5101" s="9" t="s">
        <v>8665</v>
      </c>
      <c r="E5101" s="9" t="s">
        <v>13</v>
      </c>
      <c r="F5101" s="9"/>
      <c r="G5101" s="91"/>
      <c r="H5101" s="9" t="s">
        <v>7750</v>
      </c>
      <c r="I5101" s="9" t="s">
        <v>353</v>
      </c>
      <c r="J5101" s="88"/>
    </row>
    <row r="5102">
      <c r="A5102" s="259"/>
      <c r="B5102" s="9" t="s">
        <v>8689</v>
      </c>
      <c r="C5102" s="91" t="s">
        <v>1097</v>
      </c>
      <c r="D5102" s="9" t="s">
        <v>8665</v>
      </c>
      <c r="E5102" s="9" t="s">
        <v>13</v>
      </c>
      <c r="F5102" s="9"/>
      <c r="G5102" s="91"/>
      <c r="H5102" s="9" t="s">
        <v>7804</v>
      </c>
      <c r="I5102" s="9" t="s">
        <v>353</v>
      </c>
      <c r="J5102" s="88"/>
    </row>
    <row r="5103">
      <c r="A5103" s="259"/>
      <c r="B5103" s="9" t="s">
        <v>3726</v>
      </c>
      <c r="C5103" s="91" t="s">
        <v>1489</v>
      </c>
      <c r="D5103" s="9" t="s">
        <v>8665</v>
      </c>
      <c r="E5103" s="9" t="s">
        <v>13</v>
      </c>
      <c r="F5103" s="9"/>
      <c r="G5103" s="91"/>
      <c r="H5103" s="9" t="s">
        <v>8690</v>
      </c>
      <c r="I5103" s="9" t="s">
        <v>353</v>
      </c>
      <c r="J5103" s="88"/>
    </row>
    <row r="5104">
      <c r="A5104" s="259"/>
      <c r="B5104" s="9" t="s">
        <v>8691</v>
      </c>
      <c r="C5104" s="91" t="s">
        <v>1489</v>
      </c>
      <c r="D5104" s="9" t="s">
        <v>8665</v>
      </c>
      <c r="E5104" s="9" t="s">
        <v>13</v>
      </c>
      <c r="F5104" s="9"/>
      <c r="G5104" s="91"/>
      <c r="H5104" s="9" t="s">
        <v>8692</v>
      </c>
      <c r="I5104" s="9" t="s">
        <v>353</v>
      </c>
      <c r="J5104" s="88"/>
    </row>
    <row r="5105">
      <c r="A5105" s="259"/>
      <c r="B5105" s="9" t="s">
        <v>8693</v>
      </c>
      <c r="C5105" s="91" t="s">
        <v>1097</v>
      </c>
      <c r="D5105" s="9" t="s">
        <v>8665</v>
      </c>
      <c r="E5105" s="9" t="s">
        <v>13</v>
      </c>
      <c r="F5105" s="9"/>
      <c r="G5105" s="91"/>
      <c r="H5105" s="9" t="s">
        <v>7804</v>
      </c>
      <c r="I5105" s="9" t="s">
        <v>353</v>
      </c>
      <c r="J5105" s="88"/>
    </row>
    <row r="5106">
      <c r="A5106" s="259"/>
      <c r="B5106" s="9" t="s">
        <v>8694</v>
      </c>
      <c r="C5106" s="91" t="s">
        <v>1097</v>
      </c>
      <c r="D5106" s="9" t="s">
        <v>8665</v>
      </c>
      <c r="E5106" s="9" t="s">
        <v>353</v>
      </c>
      <c r="F5106" s="9"/>
      <c r="G5106" s="91"/>
      <c r="H5106" s="9" t="s">
        <v>7804</v>
      </c>
      <c r="I5106" s="9" t="s">
        <v>353</v>
      </c>
      <c r="J5106" s="88"/>
    </row>
    <row r="5107">
      <c r="A5107" s="259"/>
      <c r="B5107" s="9" t="s">
        <v>8695</v>
      </c>
      <c r="C5107" s="91" t="s">
        <v>1489</v>
      </c>
      <c r="D5107" s="9" t="s">
        <v>8649</v>
      </c>
      <c r="E5107" s="9" t="s">
        <v>13</v>
      </c>
      <c r="F5107" s="9"/>
      <c r="G5107" s="91"/>
      <c r="H5107" s="9" t="s">
        <v>437</v>
      </c>
      <c r="I5107" s="9" t="s">
        <v>353</v>
      </c>
      <c r="J5107" s="88"/>
    </row>
    <row r="5108">
      <c r="A5108" s="259"/>
      <c r="B5108" s="9" t="s">
        <v>8696</v>
      </c>
      <c r="C5108" s="91" t="s">
        <v>1489</v>
      </c>
      <c r="D5108" s="9" t="s">
        <v>8649</v>
      </c>
      <c r="E5108" s="9" t="s">
        <v>353</v>
      </c>
      <c r="F5108" s="9"/>
      <c r="G5108" s="91"/>
      <c r="H5108" s="9" t="s">
        <v>8697</v>
      </c>
      <c r="I5108" s="9" t="s">
        <v>353</v>
      </c>
      <c r="J5108" s="88"/>
    </row>
    <row r="5109">
      <c r="A5109" s="259"/>
      <c r="B5109" s="238" t="s">
        <v>8698</v>
      </c>
      <c r="C5109" s="91" t="s">
        <v>1489</v>
      </c>
      <c r="D5109" s="9" t="s">
        <v>8638</v>
      </c>
      <c r="E5109" s="9" t="s">
        <v>13</v>
      </c>
      <c r="F5109" s="9"/>
      <c r="G5109" s="91"/>
      <c r="H5109" s="9" t="s">
        <v>437</v>
      </c>
      <c r="I5109" s="9" t="s">
        <v>353</v>
      </c>
      <c r="J5109" s="88"/>
    </row>
    <row r="5110">
      <c r="A5110" s="259"/>
      <c r="B5110" s="9" t="s">
        <v>8699</v>
      </c>
      <c r="C5110" s="91" t="s">
        <v>1097</v>
      </c>
      <c r="D5110" s="9" t="s">
        <v>8638</v>
      </c>
      <c r="E5110" s="9" t="s">
        <v>13</v>
      </c>
      <c r="F5110" s="9"/>
      <c r="G5110" s="91"/>
      <c r="H5110" s="9" t="s">
        <v>8700</v>
      </c>
      <c r="I5110" s="9" t="s">
        <v>353</v>
      </c>
      <c r="J5110" s="88"/>
    </row>
    <row r="5111">
      <c r="A5111" s="259"/>
      <c r="B5111" s="9" t="s">
        <v>4532</v>
      </c>
      <c r="C5111" s="91" t="s">
        <v>1489</v>
      </c>
      <c r="D5111" s="9" t="s">
        <v>8638</v>
      </c>
      <c r="E5111" s="9" t="s">
        <v>13</v>
      </c>
      <c r="F5111" s="9"/>
      <c r="G5111" s="91"/>
      <c r="H5111" s="9" t="s">
        <v>8701</v>
      </c>
      <c r="I5111" s="9" t="s">
        <v>353</v>
      </c>
      <c r="J5111" s="88"/>
    </row>
    <row r="5112">
      <c r="A5112" s="259"/>
      <c r="B5112" s="9" t="s">
        <v>8702</v>
      </c>
      <c r="C5112" s="91" t="s">
        <v>1489</v>
      </c>
      <c r="D5112" s="9" t="s">
        <v>8638</v>
      </c>
      <c r="E5112" s="9" t="s">
        <v>13</v>
      </c>
      <c r="F5112" s="9"/>
      <c r="G5112" s="91"/>
      <c r="H5112" s="9" t="s">
        <v>8701</v>
      </c>
      <c r="I5112" s="9" t="s">
        <v>353</v>
      </c>
      <c r="J5112" s="88"/>
    </row>
    <row r="5113">
      <c r="A5113" s="259"/>
      <c r="B5113" s="9" t="s">
        <v>8703</v>
      </c>
      <c r="C5113" s="91" t="s">
        <v>1489</v>
      </c>
      <c r="D5113" s="9" t="s">
        <v>8649</v>
      </c>
      <c r="E5113" s="9" t="s">
        <v>13</v>
      </c>
      <c r="F5113" s="9"/>
      <c r="G5113" s="91"/>
      <c r="H5113" s="9" t="s">
        <v>8704</v>
      </c>
      <c r="I5113" s="9" t="s">
        <v>353</v>
      </c>
      <c r="J5113" s="88"/>
    </row>
    <row r="5114">
      <c r="A5114" s="259"/>
      <c r="B5114" s="9" t="s">
        <v>8705</v>
      </c>
      <c r="C5114" s="91" t="s">
        <v>1489</v>
      </c>
      <c r="D5114" s="9" t="s">
        <v>8649</v>
      </c>
      <c r="E5114" s="9" t="s">
        <v>13</v>
      </c>
      <c r="F5114" s="9"/>
      <c r="G5114" s="91"/>
      <c r="H5114" s="9" t="s">
        <v>8706</v>
      </c>
      <c r="I5114" s="9" t="s">
        <v>353</v>
      </c>
      <c r="J5114" s="88"/>
    </row>
    <row r="5115">
      <c r="A5115" s="259"/>
      <c r="B5115" s="9" t="s">
        <v>6391</v>
      </c>
      <c r="C5115" s="91" t="s">
        <v>1489</v>
      </c>
      <c r="D5115" s="9" t="s">
        <v>8649</v>
      </c>
      <c r="E5115" s="9" t="s">
        <v>13</v>
      </c>
      <c r="F5115" s="9"/>
      <c r="G5115" s="91"/>
      <c r="H5115" s="9" t="s">
        <v>8707</v>
      </c>
      <c r="I5115" s="9" t="s">
        <v>353</v>
      </c>
      <c r="J5115" s="88"/>
    </row>
    <row r="5116">
      <c r="A5116" s="259"/>
      <c r="B5116" s="9" t="s">
        <v>8279</v>
      </c>
      <c r="C5116" s="91" t="s">
        <v>1489</v>
      </c>
      <c r="D5116" s="9" t="s">
        <v>8649</v>
      </c>
      <c r="E5116" s="9" t="s">
        <v>13</v>
      </c>
      <c r="F5116" s="9"/>
      <c r="G5116" s="91"/>
      <c r="H5116" s="9" t="s">
        <v>8708</v>
      </c>
      <c r="I5116" s="9" t="s">
        <v>353</v>
      </c>
      <c r="J5116" s="88"/>
    </row>
    <row r="5117">
      <c r="A5117" s="259"/>
      <c r="B5117" s="9" t="s">
        <v>5268</v>
      </c>
      <c r="C5117" s="91" t="s">
        <v>1097</v>
      </c>
      <c r="D5117" s="9" t="s">
        <v>8649</v>
      </c>
      <c r="E5117" s="9" t="s">
        <v>13</v>
      </c>
      <c r="F5117" s="9"/>
      <c r="G5117" s="91"/>
      <c r="H5117" s="9" t="s">
        <v>18</v>
      </c>
      <c r="I5117" s="9" t="s">
        <v>353</v>
      </c>
      <c r="J5117" s="88"/>
    </row>
    <row r="5118">
      <c r="A5118" s="259"/>
      <c r="B5118" s="9" t="s">
        <v>8709</v>
      </c>
      <c r="C5118" s="91" t="s">
        <v>1489</v>
      </c>
      <c r="D5118" s="9" t="s">
        <v>8649</v>
      </c>
      <c r="E5118" s="9" t="s">
        <v>13</v>
      </c>
      <c r="F5118" s="9"/>
      <c r="G5118" s="91"/>
      <c r="H5118" s="9" t="s">
        <v>8710</v>
      </c>
      <c r="I5118" s="9" t="s">
        <v>353</v>
      </c>
      <c r="J5118" s="88"/>
    </row>
    <row r="5119">
      <c r="A5119" s="259"/>
      <c r="B5119" s="9" t="s">
        <v>8711</v>
      </c>
      <c r="C5119" s="91" t="s">
        <v>1489</v>
      </c>
      <c r="D5119" s="9" t="s">
        <v>8649</v>
      </c>
      <c r="E5119" s="9" t="s">
        <v>13</v>
      </c>
      <c r="F5119" s="9"/>
      <c r="G5119" s="91"/>
      <c r="H5119" s="9" t="s">
        <v>437</v>
      </c>
      <c r="I5119" s="9" t="s">
        <v>353</v>
      </c>
      <c r="J5119" s="88"/>
    </row>
    <row r="5120">
      <c r="A5120" s="259"/>
      <c r="B5120" s="9" t="s">
        <v>8712</v>
      </c>
      <c r="C5120" s="91" t="s">
        <v>1489</v>
      </c>
      <c r="D5120" s="9" t="s">
        <v>8638</v>
      </c>
      <c r="E5120" s="9" t="s">
        <v>13</v>
      </c>
      <c r="F5120" s="9"/>
      <c r="G5120" s="91"/>
      <c r="H5120" s="9" t="s">
        <v>8713</v>
      </c>
      <c r="I5120" s="9" t="s">
        <v>353</v>
      </c>
      <c r="J5120" s="88"/>
    </row>
    <row r="5121">
      <c r="A5121" s="259"/>
      <c r="B5121" s="9" t="s">
        <v>6347</v>
      </c>
      <c r="C5121" s="91" t="s">
        <v>1489</v>
      </c>
      <c r="D5121" s="9" t="s">
        <v>8649</v>
      </c>
      <c r="E5121" s="9" t="s">
        <v>13</v>
      </c>
      <c r="F5121" s="9"/>
      <c r="G5121" s="91"/>
      <c r="H5121" s="9" t="s">
        <v>7156</v>
      </c>
      <c r="I5121" s="9" t="s">
        <v>353</v>
      </c>
      <c r="J5121" s="88"/>
    </row>
    <row r="5122">
      <c r="A5122" s="259"/>
      <c r="B5122" s="9" t="s">
        <v>8714</v>
      </c>
      <c r="C5122" s="91" t="s">
        <v>1489</v>
      </c>
      <c r="D5122" s="9" t="s">
        <v>8649</v>
      </c>
      <c r="E5122" s="9" t="s">
        <v>13</v>
      </c>
      <c r="F5122" s="9"/>
      <c r="G5122" s="91"/>
      <c r="H5122" s="9" t="s">
        <v>8715</v>
      </c>
      <c r="I5122" s="9" t="s">
        <v>353</v>
      </c>
      <c r="J5122" s="88"/>
    </row>
    <row r="5123">
      <c r="A5123" s="259"/>
      <c r="B5123" s="9" t="s">
        <v>8716</v>
      </c>
      <c r="C5123" s="91" t="s">
        <v>1489</v>
      </c>
      <c r="D5123" s="9" t="s">
        <v>8638</v>
      </c>
      <c r="E5123" s="9" t="s">
        <v>13</v>
      </c>
      <c r="F5123" s="9"/>
      <c r="G5123" s="91"/>
      <c r="H5123" s="9" t="s">
        <v>8717</v>
      </c>
      <c r="I5123" s="9" t="s">
        <v>353</v>
      </c>
      <c r="J5123" s="88"/>
    </row>
    <row r="5124">
      <c r="A5124" s="259"/>
      <c r="B5124" s="9" t="s">
        <v>8718</v>
      </c>
      <c r="C5124" s="91" t="s">
        <v>1097</v>
      </c>
      <c r="D5124" s="9" t="s">
        <v>8638</v>
      </c>
      <c r="E5124" s="9" t="s">
        <v>13</v>
      </c>
      <c r="F5124" s="9"/>
      <c r="G5124" s="91"/>
      <c r="H5124" s="9" t="s">
        <v>8719</v>
      </c>
      <c r="I5124" s="9" t="s">
        <v>353</v>
      </c>
      <c r="J5124" s="88"/>
    </row>
    <row r="5125">
      <c r="A5125" s="259"/>
      <c r="B5125" s="9" t="s">
        <v>8720</v>
      </c>
      <c r="C5125" s="91" t="s">
        <v>1097</v>
      </c>
      <c r="D5125" s="9" t="s">
        <v>8638</v>
      </c>
      <c r="E5125" s="9" t="s">
        <v>13</v>
      </c>
      <c r="F5125" s="9"/>
      <c r="G5125" s="91"/>
      <c r="H5125" s="9" t="s">
        <v>437</v>
      </c>
      <c r="I5125" s="9" t="s">
        <v>353</v>
      </c>
      <c r="J5125" s="88"/>
    </row>
    <row r="5126">
      <c r="A5126" s="259"/>
      <c r="B5126" s="9" t="s">
        <v>8385</v>
      </c>
      <c r="C5126" s="91" t="s">
        <v>1489</v>
      </c>
      <c r="D5126" s="9" t="s">
        <v>8649</v>
      </c>
      <c r="E5126" s="9" t="s">
        <v>13</v>
      </c>
      <c r="F5126" s="9"/>
      <c r="G5126" s="91"/>
      <c r="H5126" s="9" t="s">
        <v>437</v>
      </c>
      <c r="I5126" s="9" t="s">
        <v>353</v>
      </c>
      <c r="J5126" s="88"/>
    </row>
    <row r="5127">
      <c r="A5127" s="259"/>
      <c r="B5127" s="238" t="s">
        <v>8721</v>
      </c>
      <c r="C5127" s="91" t="s">
        <v>1489</v>
      </c>
      <c r="D5127" s="9" t="s">
        <v>8638</v>
      </c>
      <c r="E5127" s="9" t="s">
        <v>13</v>
      </c>
      <c r="F5127" s="9"/>
      <c r="G5127" s="91"/>
      <c r="H5127" s="9" t="s">
        <v>8722</v>
      </c>
      <c r="I5127" s="9" t="s">
        <v>353</v>
      </c>
      <c r="J5127" s="88"/>
    </row>
    <row r="5128">
      <c r="A5128" s="259"/>
      <c r="B5128" s="9" t="s">
        <v>8723</v>
      </c>
      <c r="C5128" s="91" t="s">
        <v>1489</v>
      </c>
      <c r="D5128" s="9" t="s">
        <v>8638</v>
      </c>
      <c r="E5128" s="9" t="s">
        <v>13</v>
      </c>
      <c r="F5128" s="9"/>
      <c r="G5128" s="91"/>
      <c r="H5128" s="260" t="s">
        <v>8724</v>
      </c>
      <c r="I5128" s="9" t="s">
        <v>353</v>
      </c>
      <c r="J5128" s="88"/>
    </row>
    <row r="5129">
      <c r="A5129" s="259"/>
      <c r="B5129" s="9" t="s">
        <v>8725</v>
      </c>
      <c r="C5129" s="91" t="s">
        <v>1097</v>
      </c>
      <c r="D5129" s="9" t="s">
        <v>8638</v>
      </c>
      <c r="E5129" s="9" t="s">
        <v>13</v>
      </c>
      <c r="F5129" s="9"/>
      <c r="G5129" s="91"/>
      <c r="H5129" s="9" t="s">
        <v>8726</v>
      </c>
      <c r="I5129" s="9" t="s">
        <v>353</v>
      </c>
      <c r="J5129" s="88"/>
    </row>
    <row r="5130">
      <c r="A5130" s="259"/>
      <c r="B5130" s="9" t="s">
        <v>5452</v>
      </c>
      <c r="C5130" s="91" t="s">
        <v>1097</v>
      </c>
      <c r="D5130" s="9" t="s">
        <v>8638</v>
      </c>
      <c r="E5130" s="9" t="s">
        <v>13</v>
      </c>
      <c r="F5130" s="9"/>
      <c r="G5130" s="91"/>
      <c r="H5130" s="9" t="s">
        <v>8727</v>
      </c>
      <c r="I5130" s="9" t="s">
        <v>353</v>
      </c>
      <c r="J5130" s="88"/>
    </row>
    <row r="5131">
      <c r="A5131" s="259"/>
      <c r="B5131" s="261" t="s">
        <v>8728</v>
      </c>
      <c r="C5131" s="91" t="s">
        <v>1097</v>
      </c>
      <c r="D5131" s="9" t="s">
        <v>8638</v>
      </c>
      <c r="E5131" s="9" t="s">
        <v>13</v>
      </c>
      <c r="F5131" s="9"/>
      <c r="G5131" s="91"/>
      <c r="H5131" s="9" t="s">
        <v>8729</v>
      </c>
      <c r="I5131" s="9" t="s">
        <v>353</v>
      </c>
      <c r="J5131" s="88"/>
    </row>
    <row r="5132">
      <c r="A5132" s="259"/>
      <c r="B5132" s="9" t="s">
        <v>8730</v>
      </c>
      <c r="C5132" s="91" t="s">
        <v>1097</v>
      </c>
      <c r="D5132" s="9" t="s">
        <v>8638</v>
      </c>
      <c r="E5132" s="9" t="s">
        <v>13</v>
      </c>
      <c r="F5132" s="9"/>
      <c r="G5132" s="91"/>
      <c r="H5132" s="262" t="s">
        <v>8731</v>
      </c>
      <c r="I5132" s="9" t="s">
        <v>353</v>
      </c>
      <c r="J5132" s="88"/>
    </row>
    <row r="5133">
      <c r="A5133" s="259"/>
      <c r="B5133" s="9" t="s">
        <v>8732</v>
      </c>
      <c r="C5133" s="91" t="s">
        <v>1489</v>
      </c>
      <c r="D5133" s="9" t="s">
        <v>8649</v>
      </c>
      <c r="E5133" s="9" t="s">
        <v>13</v>
      </c>
      <c r="F5133" s="9"/>
      <c r="G5133" s="91"/>
      <c r="H5133" s="9" t="s">
        <v>8733</v>
      </c>
      <c r="I5133" s="9" t="s">
        <v>353</v>
      </c>
      <c r="J5133" s="88"/>
    </row>
    <row r="5134">
      <c r="A5134" s="259"/>
      <c r="B5134" s="9" t="s">
        <v>8734</v>
      </c>
      <c r="C5134" s="91" t="s">
        <v>1489</v>
      </c>
      <c r="D5134" s="9" t="s">
        <v>8649</v>
      </c>
      <c r="E5134" s="9" t="s">
        <v>353</v>
      </c>
      <c r="F5134" s="9"/>
      <c r="G5134" s="91"/>
      <c r="H5134" s="9" t="s">
        <v>8735</v>
      </c>
      <c r="I5134" s="9" t="s">
        <v>353</v>
      </c>
      <c r="J5134" s="88"/>
    </row>
    <row r="5135">
      <c r="A5135" s="259"/>
      <c r="B5135" s="9" t="s">
        <v>8736</v>
      </c>
      <c r="C5135" s="91" t="s">
        <v>1489</v>
      </c>
      <c r="D5135" s="9" t="s">
        <v>8649</v>
      </c>
      <c r="E5135" s="9" t="s">
        <v>13</v>
      </c>
      <c r="F5135" s="9"/>
      <c r="G5135" s="91"/>
      <c r="H5135" s="9" t="s">
        <v>437</v>
      </c>
      <c r="I5135" s="9" t="s">
        <v>353</v>
      </c>
      <c r="J5135" s="88"/>
    </row>
    <row r="5136">
      <c r="A5136" s="259"/>
      <c r="B5136" s="9" t="s">
        <v>8737</v>
      </c>
      <c r="C5136" s="91" t="s">
        <v>1489</v>
      </c>
      <c r="D5136" s="9" t="s">
        <v>8638</v>
      </c>
      <c r="E5136" s="9" t="s">
        <v>13</v>
      </c>
      <c r="F5136" s="9"/>
      <c r="G5136" s="91"/>
      <c r="H5136" s="263" t="s">
        <v>8738</v>
      </c>
      <c r="I5136" s="9" t="s">
        <v>353</v>
      </c>
      <c r="J5136" s="88"/>
    </row>
    <row r="5137">
      <c r="A5137" s="259"/>
      <c r="B5137" s="9" t="s">
        <v>8739</v>
      </c>
      <c r="C5137" s="91" t="s">
        <v>1097</v>
      </c>
      <c r="D5137" s="9" t="s">
        <v>8638</v>
      </c>
      <c r="E5137" s="9" t="s">
        <v>13</v>
      </c>
      <c r="F5137" s="9"/>
      <c r="G5137" s="91"/>
      <c r="H5137" s="9" t="s">
        <v>8701</v>
      </c>
      <c r="I5137" s="9" t="s">
        <v>353</v>
      </c>
      <c r="J5137" s="88"/>
    </row>
    <row r="5138">
      <c r="A5138" s="259"/>
      <c r="B5138" s="264" t="s">
        <v>8740</v>
      </c>
      <c r="C5138" s="91" t="s">
        <v>8741</v>
      </c>
      <c r="D5138" s="9" t="s">
        <v>8638</v>
      </c>
      <c r="E5138" s="9" t="s">
        <v>13</v>
      </c>
      <c r="F5138" s="9"/>
      <c r="G5138" s="206" t="s">
        <v>8742</v>
      </c>
      <c r="H5138" s="265" t="s">
        <v>8743</v>
      </c>
      <c r="I5138" s="9" t="s">
        <v>353</v>
      </c>
      <c r="J5138" s="88"/>
    </row>
    <row r="5139">
      <c r="A5139" s="259"/>
      <c r="B5139" s="9" t="s">
        <v>8744</v>
      </c>
      <c r="C5139" s="91" t="s">
        <v>1097</v>
      </c>
      <c r="D5139" s="9" t="s">
        <v>8638</v>
      </c>
      <c r="E5139" s="9" t="s">
        <v>13</v>
      </c>
      <c r="F5139" s="9"/>
      <c r="G5139" s="91"/>
      <c r="H5139" s="9" t="s">
        <v>8745</v>
      </c>
      <c r="I5139" s="9" t="s">
        <v>353</v>
      </c>
      <c r="J5139" s="88"/>
    </row>
    <row r="5140">
      <c r="A5140" s="259"/>
      <c r="B5140" s="9" t="s">
        <v>3563</v>
      </c>
      <c r="C5140" s="91" t="s">
        <v>1489</v>
      </c>
      <c r="D5140" s="9" t="s">
        <v>8638</v>
      </c>
      <c r="E5140" s="9" t="s">
        <v>13</v>
      </c>
      <c r="F5140" s="9"/>
      <c r="G5140" s="91"/>
      <c r="H5140" s="9" t="s">
        <v>8746</v>
      </c>
      <c r="I5140" s="9" t="s">
        <v>353</v>
      </c>
      <c r="J5140" s="88"/>
    </row>
    <row r="5141">
      <c r="A5141" s="259"/>
      <c r="B5141" s="9" t="s">
        <v>8747</v>
      </c>
      <c r="C5141" s="91" t="s">
        <v>1489</v>
      </c>
      <c r="D5141" s="9" t="s">
        <v>8638</v>
      </c>
      <c r="E5141" s="9" t="s">
        <v>13</v>
      </c>
      <c r="F5141" s="9"/>
      <c r="G5141" s="91"/>
      <c r="H5141" s="9" t="s">
        <v>8748</v>
      </c>
      <c r="I5141" s="9" t="s">
        <v>353</v>
      </c>
      <c r="J5141" s="88"/>
    </row>
    <row r="5142">
      <c r="A5142" s="259"/>
      <c r="B5142" s="9" t="s">
        <v>8749</v>
      </c>
      <c r="C5142" s="91" t="s">
        <v>1489</v>
      </c>
      <c r="D5142" s="9" t="s">
        <v>8638</v>
      </c>
      <c r="E5142" s="9" t="s">
        <v>13</v>
      </c>
      <c r="F5142" s="9"/>
      <c r="G5142" s="91"/>
      <c r="H5142" s="9" t="s">
        <v>8750</v>
      </c>
      <c r="I5142" s="9" t="s">
        <v>353</v>
      </c>
      <c r="J5142" s="88"/>
    </row>
    <row r="5143">
      <c r="A5143" s="259"/>
      <c r="B5143" s="9" t="s">
        <v>8751</v>
      </c>
      <c r="C5143" s="91" t="s">
        <v>1097</v>
      </c>
      <c r="D5143" s="9" t="s">
        <v>8638</v>
      </c>
      <c r="E5143" s="9" t="s">
        <v>13</v>
      </c>
      <c r="F5143" s="9"/>
      <c r="G5143" s="91"/>
      <c r="H5143" s="9" t="s">
        <v>8752</v>
      </c>
      <c r="I5143" s="9" t="s">
        <v>353</v>
      </c>
      <c r="J5143" s="88"/>
    </row>
    <row r="5144">
      <c r="A5144" s="259"/>
      <c r="B5144" s="9" t="s">
        <v>8753</v>
      </c>
      <c r="C5144" s="91" t="s">
        <v>8754</v>
      </c>
      <c r="D5144" s="9" t="s">
        <v>8638</v>
      </c>
      <c r="E5144" s="9" t="s">
        <v>13</v>
      </c>
      <c r="F5144" s="9"/>
      <c r="G5144" s="91"/>
      <c r="H5144" s="261" t="s">
        <v>8755</v>
      </c>
      <c r="I5144" s="9" t="s">
        <v>353</v>
      </c>
      <c r="J5144" s="88"/>
    </row>
    <row r="5145">
      <c r="A5145" s="259"/>
      <c r="B5145" s="9" t="s">
        <v>8756</v>
      </c>
      <c r="C5145" s="91" t="s">
        <v>8757</v>
      </c>
      <c r="D5145" s="9" t="s">
        <v>8638</v>
      </c>
      <c r="E5145" s="9" t="s">
        <v>13</v>
      </c>
      <c r="F5145" s="9"/>
      <c r="G5145" s="91"/>
      <c r="H5145" s="9" t="s">
        <v>8758</v>
      </c>
      <c r="I5145" s="9" t="s">
        <v>353</v>
      </c>
      <c r="J5145" s="88"/>
    </row>
    <row r="5146">
      <c r="A5146" s="259"/>
      <c r="B5146" s="9" t="s">
        <v>6290</v>
      </c>
      <c r="C5146" s="91" t="s">
        <v>1489</v>
      </c>
      <c r="D5146" s="9" t="s">
        <v>8649</v>
      </c>
      <c r="E5146" s="9" t="s">
        <v>13</v>
      </c>
      <c r="F5146" s="9"/>
      <c r="G5146" s="91"/>
      <c r="H5146" s="9" t="s">
        <v>8759</v>
      </c>
      <c r="I5146" s="9" t="s">
        <v>353</v>
      </c>
      <c r="J5146" s="88"/>
    </row>
    <row r="5147">
      <c r="A5147" s="259"/>
      <c r="B5147" s="9" t="s">
        <v>3192</v>
      </c>
      <c r="C5147" s="91" t="s">
        <v>1489</v>
      </c>
      <c r="D5147" s="9" t="s">
        <v>8649</v>
      </c>
      <c r="E5147" s="9" t="s">
        <v>13</v>
      </c>
      <c r="F5147" s="9"/>
      <c r="G5147" s="91"/>
      <c r="H5147" s="9" t="s">
        <v>8760</v>
      </c>
      <c r="I5147" s="9" t="s">
        <v>353</v>
      </c>
      <c r="J5147" s="88"/>
    </row>
    <row r="5148">
      <c r="A5148" s="259"/>
      <c r="B5148" s="9" t="s">
        <v>6290</v>
      </c>
      <c r="C5148" s="91" t="s">
        <v>1489</v>
      </c>
      <c r="D5148" s="9" t="s">
        <v>8649</v>
      </c>
      <c r="E5148" s="9" t="s">
        <v>13</v>
      </c>
      <c r="F5148" s="9"/>
      <c r="G5148" s="91"/>
      <c r="H5148" s="9" t="s">
        <v>8761</v>
      </c>
      <c r="I5148" s="9" t="s">
        <v>353</v>
      </c>
      <c r="J5148" s="88"/>
    </row>
    <row r="5149">
      <c r="A5149" s="259"/>
      <c r="B5149" s="9" t="s">
        <v>8762</v>
      </c>
      <c r="C5149" s="91" t="s">
        <v>1489</v>
      </c>
      <c r="D5149" s="9" t="s">
        <v>8649</v>
      </c>
      <c r="E5149" s="9" t="s">
        <v>13</v>
      </c>
      <c r="F5149" s="9"/>
      <c r="G5149" s="91"/>
      <c r="H5149" s="9" t="s">
        <v>437</v>
      </c>
      <c r="I5149" s="9" t="s">
        <v>353</v>
      </c>
      <c r="J5149" s="88"/>
    </row>
    <row r="5150">
      <c r="A5150" s="259"/>
      <c r="B5150" s="9" t="s">
        <v>8763</v>
      </c>
      <c r="C5150" s="91" t="s">
        <v>1489</v>
      </c>
      <c r="D5150" s="9" t="s">
        <v>8665</v>
      </c>
      <c r="E5150" s="9" t="s">
        <v>13</v>
      </c>
      <c r="F5150" s="9"/>
      <c r="G5150" s="91"/>
      <c r="H5150" s="9" t="s">
        <v>7804</v>
      </c>
      <c r="I5150" s="9" t="s">
        <v>353</v>
      </c>
      <c r="J5150" s="88"/>
    </row>
    <row r="5151">
      <c r="A5151" s="259"/>
      <c r="B5151" s="9" t="s">
        <v>8764</v>
      </c>
      <c r="C5151" s="91" t="s">
        <v>1097</v>
      </c>
      <c r="D5151" s="9" t="s">
        <v>8665</v>
      </c>
      <c r="E5151" s="9"/>
      <c r="F5151" s="9"/>
      <c r="G5151" s="91"/>
      <c r="H5151" s="9" t="s">
        <v>7804</v>
      </c>
      <c r="I5151" s="9" t="s">
        <v>353</v>
      </c>
      <c r="J5151" s="88"/>
    </row>
    <row r="5152">
      <c r="A5152" s="259"/>
      <c r="B5152" s="9" t="s">
        <v>8765</v>
      </c>
      <c r="C5152" s="91" t="s">
        <v>1489</v>
      </c>
      <c r="D5152" s="9" t="s">
        <v>8665</v>
      </c>
      <c r="E5152" s="9" t="s">
        <v>13</v>
      </c>
      <c r="F5152" s="9"/>
      <c r="G5152" s="91"/>
      <c r="H5152" s="9" t="s">
        <v>18</v>
      </c>
      <c r="I5152" s="9" t="s">
        <v>353</v>
      </c>
      <c r="J5152" s="88"/>
    </row>
    <row r="5153">
      <c r="A5153" s="259"/>
      <c r="B5153" s="9" t="s">
        <v>8766</v>
      </c>
      <c r="C5153" s="91" t="s">
        <v>1489</v>
      </c>
      <c r="D5153" s="9" t="s">
        <v>8665</v>
      </c>
      <c r="E5153" s="9" t="s">
        <v>13</v>
      </c>
      <c r="F5153" s="9"/>
      <c r="G5153" s="91"/>
      <c r="H5153" s="9" t="s">
        <v>18</v>
      </c>
      <c r="I5153" s="9" t="s">
        <v>353</v>
      </c>
      <c r="J5153" s="88"/>
    </row>
    <row r="5154">
      <c r="A5154" s="259"/>
      <c r="B5154" s="9" t="s">
        <v>8767</v>
      </c>
      <c r="C5154" s="91" t="s">
        <v>1489</v>
      </c>
      <c r="D5154" s="9" t="s">
        <v>8665</v>
      </c>
      <c r="E5154" s="9" t="s">
        <v>13</v>
      </c>
      <c r="F5154" s="9"/>
      <c r="G5154" s="91"/>
      <c r="H5154" s="9" t="s">
        <v>18</v>
      </c>
      <c r="I5154" s="9" t="s">
        <v>353</v>
      </c>
      <c r="J5154" s="88"/>
    </row>
    <row r="5155">
      <c r="A5155" s="259"/>
      <c r="B5155" s="9" t="s">
        <v>8768</v>
      </c>
      <c r="C5155" s="91" t="s">
        <v>1489</v>
      </c>
      <c r="D5155" s="9" t="s">
        <v>8665</v>
      </c>
      <c r="E5155" s="9" t="s">
        <v>13</v>
      </c>
      <c r="F5155" s="9"/>
      <c r="G5155" s="91"/>
      <c r="H5155" s="9" t="s">
        <v>7807</v>
      </c>
      <c r="I5155" s="9" t="s">
        <v>353</v>
      </c>
      <c r="J5155" s="88"/>
    </row>
    <row r="5156">
      <c r="A5156" s="259"/>
      <c r="B5156" s="9" t="s">
        <v>8769</v>
      </c>
      <c r="C5156" s="91" t="s">
        <v>1097</v>
      </c>
      <c r="D5156" s="9" t="s">
        <v>8665</v>
      </c>
      <c r="E5156" s="9" t="s">
        <v>13</v>
      </c>
      <c r="F5156" s="9"/>
      <c r="G5156" s="91"/>
      <c r="H5156" s="9" t="s">
        <v>7804</v>
      </c>
      <c r="I5156" s="9" t="s">
        <v>353</v>
      </c>
      <c r="J5156" s="88"/>
    </row>
    <row r="5157">
      <c r="A5157" s="259"/>
      <c r="B5157" s="9" t="s">
        <v>8770</v>
      </c>
      <c r="C5157" s="91" t="s">
        <v>1097</v>
      </c>
      <c r="D5157" s="9" t="s">
        <v>8665</v>
      </c>
      <c r="E5157" s="9" t="s">
        <v>13</v>
      </c>
      <c r="F5157" s="9"/>
      <c r="G5157" s="91"/>
      <c r="H5157" s="9" t="s">
        <v>7804</v>
      </c>
      <c r="I5157" s="9" t="s">
        <v>353</v>
      </c>
      <c r="J5157" s="88"/>
    </row>
    <row r="5158">
      <c r="A5158" s="259"/>
      <c r="B5158" s="9" t="s">
        <v>8771</v>
      </c>
      <c r="C5158" s="91" t="s">
        <v>1489</v>
      </c>
      <c r="D5158" s="9" t="s">
        <v>8649</v>
      </c>
      <c r="E5158" s="9" t="s">
        <v>353</v>
      </c>
      <c r="F5158" s="9"/>
      <c r="G5158" s="91"/>
      <c r="H5158" s="9" t="s">
        <v>8772</v>
      </c>
      <c r="I5158" s="9" t="s">
        <v>353</v>
      </c>
      <c r="J5158" s="88"/>
    </row>
    <row r="5159">
      <c r="A5159" s="259"/>
      <c r="B5159" s="9" t="s">
        <v>8111</v>
      </c>
      <c r="C5159" s="91" t="s">
        <v>1489</v>
      </c>
      <c r="D5159" s="9" t="s">
        <v>8649</v>
      </c>
      <c r="E5159" s="9" t="s">
        <v>13</v>
      </c>
      <c r="F5159" s="9"/>
      <c r="G5159" s="91"/>
      <c r="H5159" s="9" t="s">
        <v>8773</v>
      </c>
      <c r="I5159" s="9" t="s">
        <v>353</v>
      </c>
      <c r="J5159" s="88"/>
    </row>
    <row r="5160">
      <c r="A5160" s="259"/>
      <c r="B5160" s="9" t="s">
        <v>8774</v>
      </c>
      <c r="C5160" s="91" t="s">
        <v>1489</v>
      </c>
      <c r="D5160" s="9" t="s">
        <v>8649</v>
      </c>
      <c r="E5160" s="9" t="s">
        <v>13</v>
      </c>
      <c r="F5160" s="9"/>
      <c r="G5160" s="91"/>
      <c r="H5160" s="9" t="s">
        <v>8775</v>
      </c>
      <c r="I5160" s="9" t="s">
        <v>353</v>
      </c>
      <c r="J5160" s="88"/>
    </row>
    <row r="5161">
      <c r="A5161" s="259"/>
      <c r="B5161" s="9" t="s">
        <v>8776</v>
      </c>
      <c r="C5161" s="91" t="s">
        <v>1489</v>
      </c>
      <c r="D5161" s="9" t="s">
        <v>8649</v>
      </c>
      <c r="E5161" s="9" t="s">
        <v>13</v>
      </c>
      <c r="F5161" s="9"/>
      <c r="G5161" s="91"/>
      <c r="H5161" s="9" t="s">
        <v>8777</v>
      </c>
      <c r="I5161" s="9" t="s">
        <v>353</v>
      </c>
      <c r="J5161" s="88"/>
    </row>
    <row r="5162">
      <c r="A5162" s="259"/>
      <c r="B5162" s="9" t="s">
        <v>6290</v>
      </c>
      <c r="C5162" s="91" t="s">
        <v>1489</v>
      </c>
      <c r="D5162" s="9" t="s">
        <v>8649</v>
      </c>
      <c r="E5162" s="9" t="s">
        <v>13</v>
      </c>
      <c r="F5162" s="9"/>
      <c r="G5162" s="91"/>
      <c r="H5162" s="9" t="s">
        <v>8778</v>
      </c>
      <c r="I5162" s="9" t="s">
        <v>353</v>
      </c>
      <c r="J5162" s="88"/>
    </row>
    <row r="5163">
      <c r="A5163" s="259"/>
      <c r="B5163" s="9" t="s">
        <v>7147</v>
      </c>
      <c r="C5163" s="91" t="s">
        <v>1489</v>
      </c>
      <c r="D5163" s="9" t="s">
        <v>8649</v>
      </c>
      <c r="E5163" s="9" t="s">
        <v>13</v>
      </c>
      <c r="F5163" s="9"/>
      <c r="G5163" s="91"/>
      <c r="H5163" s="9" t="s">
        <v>437</v>
      </c>
      <c r="I5163" s="9" t="s">
        <v>353</v>
      </c>
      <c r="J5163" s="88"/>
    </row>
    <row r="5164">
      <c r="A5164" s="259"/>
      <c r="B5164" s="9" t="s">
        <v>8779</v>
      </c>
      <c r="C5164" s="91" t="s">
        <v>1489</v>
      </c>
      <c r="D5164" s="9" t="s">
        <v>8649</v>
      </c>
      <c r="E5164" s="9" t="s">
        <v>13</v>
      </c>
      <c r="F5164" s="9"/>
      <c r="G5164" s="91"/>
      <c r="H5164" s="9" t="s">
        <v>8780</v>
      </c>
      <c r="I5164" s="9" t="s">
        <v>353</v>
      </c>
      <c r="J5164" s="88"/>
    </row>
    <row r="5165">
      <c r="A5165" s="259"/>
      <c r="B5165" s="9" t="s">
        <v>8781</v>
      </c>
      <c r="C5165" s="91" t="s">
        <v>1489</v>
      </c>
      <c r="D5165" s="9" t="s">
        <v>8649</v>
      </c>
      <c r="E5165" s="9" t="s">
        <v>13</v>
      </c>
      <c r="F5165" s="9"/>
      <c r="G5165" s="91"/>
      <c r="H5165" s="9" t="s">
        <v>8782</v>
      </c>
      <c r="I5165" s="9" t="s">
        <v>353</v>
      </c>
      <c r="J5165" s="88"/>
    </row>
    <row r="5166">
      <c r="A5166" s="259"/>
      <c r="B5166" s="9" t="s">
        <v>3192</v>
      </c>
      <c r="C5166" s="91" t="s">
        <v>1489</v>
      </c>
      <c r="D5166" s="9" t="s">
        <v>8649</v>
      </c>
      <c r="E5166" s="9" t="s">
        <v>13</v>
      </c>
      <c r="F5166" s="9"/>
      <c r="G5166" s="91"/>
      <c r="H5166" s="9" t="s">
        <v>8783</v>
      </c>
      <c r="I5166" s="9" t="s">
        <v>353</v>
      </c>
      <c r="J5166" s="88"/>
    </row>
    <row r="5167">
      <c r="A5167" s="259"/>
      <c r="B5167" s="9" t="s">
        <v>6290</v>
      </c>
      <c r="C5167" s="91" t="s">
        <v>1489</v>
      </c>
      <c r="D5167" s="9" t="s">
        <v>8649</v>
      </c>
      <c r="E5167" s="9" t="s">
        <v>13</v>
      </c>
      <c r="F5167" s="9"/>
      <c r="G5167" s="91"/>
      <c r="H5167" s="9" t="s">
        <v>8784</v>
      </c>
      <c r="I5167" s="9" t="s">
        <v>353</v>
      </c>
      <c r="J5167" s="88"/>
    </row>
    <row r="5168">
      <c r="A5168" s="259"/>
      <c r="B5168" s="9" t="s">
        <v>7147</v>
      </c>
      <c r="C5168" s="91" t="s">
        <v>1489</v>
      </c>
      <c r="D5168" s="9" t="s">
        <v>8649</v>
      </c>
      <c r="E5168" s="9" t="s">
        <v>13</v>
      </c>
      <c r="F5168" s="9"/>
      <c r="G5168" s="91"/>
      <c r="H5168" s="9" t="s">
        <v>437</v>
      </c>
      <c r="I5168" s="9" t="s">
        <v>353</v>
      </c>
      <c r="J5168" s="88"/>
    </row>
    <row r="5169">
      <c r="A5169" s="259"/>
      <c r="B5169" s="9" t="s">
        <v>8785</v>
      </c>
      <c r="C5169" s="91" t="s">
        <v>1489</v>
      </c>
      <c r="D5169" s="9" t="s">
        <v>8649</v>
      </c>
      <c r="E5169" s="9" t="s">
        <v>13</v>
      </c>
      <c r="F5169" s="9"/>
      <c r="G5169" s="91"/>
      <c r="H5169" s="9" t="s">
        <v>8786</v>
      </c>
      <c r="I5169" s="9" t="s">
        <v>353</v>
      </c>
      <c r="J5169" s="88"/>
    </row>
    <row r="5170">
      <c r="A5170" s="259"/>
      <c r="B5170" s="9" t="s">
        <v>8787</v>
      </c>
      <c r="C5170" s="91" t="s">
        <v>11</v>
      </c>
      <c r="D5170" s="9" t="s">
        <v>8788</v>
      </c>
      <c r="E5170" s="9" t="s">
        <v>13</v>
      </c>
      <c r="F5170" s="9"/>
      <c r="G5170" s="91"/>
      <c r="H5170" s="9"/>
      <c r="I5170" s="9" t="s">
        <v>353</v>
      </c>
      <c r="J5170" s="88"/>
    </row>
    <row r="5171">
      <c r="A5171" s="259"/>
      <c r="B5171" s="9" t="s">
        <v>8472</v>
      </c>
      <c r="C5171" s="91" t="s">
        <v>1489</v>
      </c>
      <c r="D5171" s="9" t="s">
        <v>8665</v>
      </c>
      <c r="E5171" s="9" t="s">
        <v>13</v>
      </c>
      <c r="F5171" s="9"/>
      <c r="G5171" s="91"/>
      <c r="H5171" s="9" t="s">
        <v>18</v>
      </c>
      <c r="I5171" s="9" t="s">
        <v>353</v>
      </c>
      <c r="J5171" s="88"/>
    </row>
    <row r="5172">
      <c r="A5172" s="259"/>
      <c r="B5172" s="9" t="s">
        <v>8789</v>
      </c>
      <c r="C5172" s="91" t="s">
        <v>1489</v>
      </c>
      <c r="D5172" s="9" t="s">
        <v>8649</v>
      </c>
      <c r="E5172" s="9" t="s">
        <v>13</v>
      </c>
      <c r="F5172" s="9"/>
      <c r="G5172" s="91"/>
      <c r="H5172" s="9" t="s">
        <v>437</v>
      </c>
      <c r="I5172" s="9" t="s">
        <v>353</v>
      </c>
      <c r="J5172" s="88"/>
    </row>
    <row r="5173">
      <c r="A5173" s="259"/>
      <c r="B5173" s="9" t="s">
        <v>8790</v>
      </c>
      <c r="C5173" s="91" t="s">
        <v>8741</v>
      </c>
      <c r="D5173" s="9" t="s">
        <v>8649</v>
      </c>
      <c r="E5173" s="9" t="s">
        <v>353</v>
      </c>
      <c r="F5173" s="9"/>
      <c r="G5173" s="91"/>
      <c r="H5173" s="9" t="s">
        <v>8791</v>
      </c>
      <c r="I5173" s="9" t="s">
        <v>353</v>
      </c>
      <c r="J5173" s="88"/>
    </row>
    <row r="5174">
      <c r="A5174" s="259"/>
      <c r="B5174" s="238" t="s">
        <v>8792</v>
      </c>
      <c r="C5174" s="91" t="s">
        <v>1097</v>
      </c>
      <c r="D5174" s="9" t="s">
        <v>8638</v>
      </c>
      <c r="E5174" s="9" t="s">
        <v>13</v>
      </c>
      <c r="F5174" s="9"/>
      <c r="G5174" s="91"/>
      <c r="H5174" s="9" t="s">
        <v>8701</v>
      </c>
      <c r="I5174" s="9" t="s">
        <v>353</v>
      </c>
      <c r="J5174" s="88"/>
    </row>
    <row r="5175">
      <c r="A5175" s="259"/>
      <c r="B5175" s="9" t="s">
        <v>8793</v>
      </c>
      <c r="C5175" s="91" t="s">
        <v>1097</v>
      </c>
      <c r="D5175" s="9" t="s">
        <v>8638</v>
      </c>
      <c r="E5175" s="9" t="s">
        <v>13</v>
      </c>
      <c r="F5175" s="9"/>
      <c r="G5175" s="91"/>
      <c r="H5175" s="9" t="s">
        <v>8794</v>
      </c>
      <c r="I5175" s="9" t="s">
        <v>353</v>
      </c>
      <c r="J5175" s="88"/>
    </row>
    <row r="5176">
      <c r="A5176" s="259"/>
      <c r="B5176" s="9" t="s">
        <v>8795</v>
      </c>
      <c r="C5176" s="91" t="s">
        <v>1489</v>
      </c>
      <c r="D5176" s="9" t="s">
        <v>8638</v>
      </c>
      <c r="E5176" s="9" t="s">
        <v>13</v>
      </c>
      <c r="F5176" s="9"/>
      <c r="G5176" s="91"/>
      <c r="H5176" s="9" t="s">
        <v>8796</v>
      </c>
      <c r="I5176" s="9" t="s">
        <v>353</v>
      </c>
      <c r="J5176" s="88"/>
    </row>
    <row r="5177">
      <c r="A5177" s="259"/>
      <c r="B5177" s="9" t="s">
        <v>3192</v>
      </c>
      <c r="C5177" s="91" t="s">
        <v>1489</v>
      </c>
      <c r="D5177" s="9" t="s">
        <v>8649</v>
      </c>
      <c r="E5177" s="9" t="s">
        <v>13</v>
      </c>
      <c r="F5177" s="9"/>
      <c r="G5177" s="91"/>
      <c r="H5177" s="9" t="s">
        <v>8797</v>
      </c>
      <c r="I5177" s="9" t="s">
        <v>353</v>
      </c>
      <c r="J5177" s="88"/>
    </row>
    <row r="5178">
      <c r="A5178" s="259"/>
      <c r="B5178" s="9" t="s">
        <v>8798</v>
      </c>
      <c r="C5178" s="91" t="s">
        <v>1489</v>
      </c>
      <c r="D5178" s="9" t="s">
        <v>8649</v>
      </c>
      <c r="E5178" s="9" t="s">
        <v>13</v>
      </c>
      <c r="F5178" s="9"/>
      <c r="G5178" s="91"/>
      <c r="H5178" s="9" t="s">
        <v>8799</v>
      </c>
      <c r="I5178" s="9" t="s">
        <v>353</v>
      </c>
      <c r="J5178" s="88"/>
    </row>
    <row r="5179">
      <c r="A5179" s="259"/>
      <c r="B5179" s="9" t="s">
        <v>8800</v>
      </c>
      <c r="C5179" s="91" t="s">
        <v>1489</v>
      </c>
      <c r="D5179" s="9" t="s">
        <v>8649</v>
      </c>
      <c r="E5179" s="9" t="s">
        <v>13</v>
      </c>
      <c r="F5179" s="9"/>
      <c r="G5179" s="91"/>
      <c r="H5179" s="9" t="s">
        <v>8801</v>
      </c>
      <c r="I5179" s="9" t="s">
        <v>353</v>
      </c>
      <c r="J5179" s="88"/>
    </row>
    <row r="5180">
      <c r="A5180" s="259"/>
      <c r="B5180" s="9" t="s">
        <v>8802</v>
      </c>
      <c r="C5180" s="91" t="s">
        <v>1489</v>
      </c>
      <c r="D5180" s="9" t="s">
        <v>8649</v>
      </c>
      <c r="E5180" s="9" t="s">
        <v>353</v>
      </c>
      <c r="F5180" s="9"/>
      <c r="G5180" s="91"/>
      <c r="H5180" s="9" t="s">
        <v>8803</v>
      </c>
      <c r="I5180" s="9" t="s">
        <v>353</v>
      </c>
      <c r="J5180" s="88"/>
    </row>
    <row r="5181">
      <c r="A5181" s="259"/>
      <c r="B5181" s="9" t="s">
        <v>8804</v>
      </c>
      <c r="C5181" s="91" t="s">
        <v>1097</v>
      </c>
      <c r="D5181" s="9" t="s">
        <v>8649</v>
      </c>
      <c r="E5181" s="9" t="s">
        <v>13</v>
      </c>
      <c r="F5181" s="9"/>
      <c r="G5181" s="206"/>
      <c r="H5181" s="266" t="s">
        <v>437</v>
      </c>
      <c r="I5181" s="9" t="s">
        <v>353</v>
      </c>
      <c r="J5181" s="88"/>
    </row>
    <row r="5182">
      <c r="A5182" s="259"/>
      <c r="B5182" s="9" t="s">
        <v>8805</v>
      </c>
      <c r="C5182" s="91" t="s">
        <v>1489</v>
      </c>
      <c r="D5182" s="9" t="s">
        <v>8649</v>
      </c>
      <c r="E5182" s="9" t="s">
        <v>13</v>
      </c>
      <c r="F5182" s="9"/>
      <c r="G5182" s="91"/>
      <c r="H5182" s="9" t="s">
        <v>437</v>
      </c>
      <c r="I5182" s="9" t="s">
        <v>353</v>
      </c>
      <c r="J5182" s="88"/>
    </row>
    <row r="5183">
      <c r="A5183" s="259"/>
      <c r="B5183" s="9" t="s">
        <v>8806</v>
      </c>
      <c r="C5183" s="91" t="s">
        <v>8741</v>
      </c>
      <c r="D5183" s="9" t="s">
        <v>8649</v>
      </c>
      <c r="E5183" s="9" t="s">
        <v>13</v>
      </c>
      <c r="F5183" s="9"/>
      <c r="G5183" s="91"/>
      <c r="H5183" s="9" t="s">
        <v>8807</v>
      </c>
      <c r="I5183" s="9" t="s">
        <v>353</v>
      </c>
      <c r="J5183" s="88"/>
    </row>
    <row r="5184">
      <c r="A5184" s="259"/>
      <c r="B5184" s="9" t="s">
        <v>8808</v>
      </c>
      <c r="C5184" s="91" t="s">
        <v>1489</v>
      </c>
      <c r="D5184" s="9" t="s">
        <v>8638</v>
      </c>
      <c r="E5184" s="9" t="s">
        <v>13</v>
      </c>
      <c r="F5184" s="9"/>
      <c r="G5184" s="91"/>
      <c r="H5184" s="9" t="s">
        <v>8809</v>
      </c>
      <c r="I5184" s="9" t="s">
        <v>353</v>
      </c>
      <c r="J5184" s="88"/>
    </row>
    <row r="5185">
      <c r="A5185" s="259"/>
      <c r="B5185" s="9" t="s">
        <v>8082</v>
      </c>
      <c r="C5185" s="91" t="s">
        <v>1489</v>
      </c>
      <c r="D5185" s="9" t="s">
        <v>8649</v>
      </c>
      <c r="E5185" s="9" t="s">
        <v>13</v>
      </c>
      <c r="F5185" s="9"/>
      <c r="G5185" s="91"/>
      <c r="H5185" s="9" t="s">
        <v>8810</v>
      </c>
      <c r="I5185" s="9" t="s">
        <v>353</v>
      </c>
      <c r="J5185" s="88"/>
    </row>
    <row r="5186">
      <c r="A5186" s="259"/>
      <c r="B5186" s="9" t="s">
        <v>8811</v>
      </c>
      <c r="C5186" s="91" t="s">
        <v>1489</v>
      </c>
      <c r="D5186" s="9" t="s">
        <v>8649</v>
      </c>
      <c r="E5186" s="9" t="s">
        <v>13</v>
      </c>
      <c r="F5186" s="9"/>
      <c r="G5186" s="91"/>
      <c r="H5186" s="9" t="s">
        <v>8812</v>
      </c>
      <c r="I5186" s="9" t="s">
        <v>353</v>
      </c>
      <c r="J5186" s="88"/>
    </row>
    <row r="5187">
      <c r="A5187" s="259"/>
      <c r="B5187" s="9" t="s">
        <v>8813</v>
      </c>
      <c r="C5187" s="91" t="s">
        <v>1489</v>
      </c>
      <c r="D5187" s="9" t="s">
        <v>8649</v>
      </c>
      <c r="E5187" s="9" t="s">
        <v>353</v>
      </c>
      <c r="F5187" s="9"/>
      <c r="G5187" s="91"/>
      <c r="H5187" s="9" t="s">
        <v>8814</v>
      </c>
      <c r="I5187" s="9" t="s">
        <v>353</v>
      </c>
      <c r="J5187" s="88"/>
    </row>
    <row r="5188">
      <c r="A5188" s="259"/>
      <c r="B5188" s="9" t="s">
        <v>6290</v>
      </c>
      <c r="C5188" s="91" t="s">
        <v>1489</v>
      </c>
      <c r="D5188" s="9" t="s">
        <v>8649</v>
      </c>
      <c r="E5188" s="9" t="s">
        <v>13</v>
      </c>
      <c r="F5188" s="9"/>
      <c r="G5188" s="91"/>
      <c r="H5188" s="9" t="s">
        <v>8815</v>
      </c>
      <c r="I5188" s="9" t="s">
        <v>353</v>
      </c>
      <c r="J5188" s="88"/>
    </row>
    <row r="5189">
      <c r="A5189" s="259"/>
      <c r="B5189" s="9" t="s">
        <v>5324</v>
      </c>
      <c r="C5189" s="91" t="s">
        <v>1489</v>
      </c>
      <c r="D5189" s="9" t="s">
        <v>8649</v>
      </c>
      <c r="E5189" s="9" t="s">
        <v>13</v>
      </c>
      <c r="F5189" s="9"/>
      <c r="G5189" s="91"/>
      <c r="H5189" s="9" t="s">
        <v>8567</v>
      </c>
      <c r="I5189" s="9" t="s">
        <v>353</v>
      </c>
      <c r="J5189" s="88"/>
    </row>
    <row r="5190">
      <c r="A5190" s="259"/>
      <c r="B5190" s="9" t="s">
        <v>8816</v>
      </c>
      <c r="C5190" s="91" t="s">
        <v>1489</v>
      </c>
      <c r="D5190" s="9" t="s">
        <v>8649</v>
      </c>
      <c r="E5190" s="9" t="s">
        <v>353</v>
      </c>
      <c r="F5190" s="9"/>
      <c r="G5190" s="91"/>
      <c r="H5190" s="9" t="s">
        <v>8817</v>
      </c>
      <c r="I5190" s="9" t="s">
        <v>353</v>
      </c>
      <c r="J5190" s="88"/>
    </row>
    <row r="5191">
      <c r="A5191" s="259"/>
      <c r="B5191" s="9" t="s">
        <v>8818</v>
      </c>
      <c r="C5191" s="91" t="s">
        <v>1489</v>
      </c>
      <c r="D5191" s="9" t="s">
        <v>8649</v>
      </c>
      <c r="E5191" s="9" t="s">
        <v>353</v>
      </c>
      <c r="F5191" s="9"/>
      <c r="G5191" s="91"/>
      <c r="H5191" s="9" t="s">
        <v>437</v>
      </c>
      <c r="I5191" s="9" t="s">
        <v>353</v>
      </c>
      <c r="J5191" s="88"/>
    </row>
    <row r="5192">
      <c r="A5192" s="259"/>
      <c r="B5192" s="9" t="s">
        <v>8819</v>
      </c>
      <c r="C5192" s="91" t="s">
        <v>1489</v>
      </c>
      <c r="D5192" s="9" t="s">
        <v>8649</v>
      </c>
      <c r="E5192" s="9" t="s">
        <v>13</v>
      </c>
      <c r="F5192" s="9"/>
      <c r="G5192" s="91"/>
      <c r="H5192" s="9" t="s">
        <v>437</v>
      </c>
      <c r="I5192" s="9" t="s">
        <v>353</v>
      </c>
      <c r="J5192" s="88"/>
    </row>
    <row r="5193">
      <c r="A5193" s="259"/>
      <c r="B5193" s="267" t="s">
        <v>8820</v>
      </c>
      <c r="C5193" s="91" t="s">
        <v>8741</v>
      </c>
      <c r="D5193" s="9" t="s">
        <v>8638</v>
      </c>
      <c r="E5193" s="9" t="s">
        <v>13</v>
      </c>
      <c r="F5193" s="9"/>
      <c r="G5193" s="206"/>
      <c r="H5193" s="123" t="s">
        <v>8701</v>
      </c>
      <c r="I5193" s="9" t="s">
        <v>353</v>
      </c>
      <c r="J5193" s="88"/>
    </row>
    <row r="5194">
      <c r="A5194" s="88"/>
      <c r="B5194" s="89"/>
      <c r="C5194" s="90"/>
      <c r="D5194" s="89"/>
      <c r="E5194" s="89"/>
      <c r="F5194" s="89"/>
      <c r="G5194" s="89"/>
      <c r="H5194" s="87"/>
      <c r="I5194" s="89"/>
      <c r="J5194" s="88"/>
    </row>
    <row r="5195">
      <c r="A5195" s="259"/>
      <c r="B5195" s="9" t="s">
        <v>8821</v>
      </c>
      <c r="C5195" s="91" t="s">
        <v>1097</v>
      </c>
      <c r="D5195" s="9" t="s">
        <v>8665</v>
      </c>
      <c r="E5195" s="9" t="s">
        <v>13</v>
      </c>
      <c r="F5195" s="9"/>
      <c r="G5195" s="91"/>
      <c r="H5195" s="9" t="s">
        <v>7804</v>
      </c>
      <c r="I5195" s="9" t="s">
        <v>353</v>
      </c>
      <c r="J5195" s="88"/>
    </row>
    <row r="5196">
      <c r="A5196" s="259"/>
      <c r="B5196" s="9" t="s">
        <v>8822</v>
      </c>
      <c r="C5196" s="91" t="s">
        <v>1489</v>
      </c>
      <c r="D5196" s="9" t="s">
        <v>8665</v>
      </c>
      <c r="E5196" s="9" t="s">
        <v>13</v>
      </c>
      <c r="F5196" s="9"/>
      <c r="G5196" s="91"/>
      <c r="H5196" s="9" t="s">
        <v>7804</v>
      </c>
      <c r="I5196" s="9" t="s">
        <v>353</v>
      </c>
      <c r="J5196" s="88"/>
    </row>
    <row r="5197">
      <c r="A5197" s="259"/>
      <c r="B5197" s="9" t="s">
        <v>8823</v>
      </c>
      <c r="C5197" s="91" t="s">
        <v>1489</v>
      </c>
      <c r="D5197" s="9" t="s">
        <v>8665</v>
      </c>
      <c r="E5197" s="9" t="s">
        <v>13</v>
      </c>
      <c r="F5197" s="9"/>
      <c r="G5197" s="91"/>
      <c r="H5197" s="9" t="s">
        <v>18</v>
      </c>
      <c r="I5197" s="9" t="s">
        <v>353</v>
      </c>
      <c r="J5197" s="88"/>
    </row>
    <row r="5198">
      <c r="A5198" s="259"/>
      <c r="B5198" s="9" t="s">
        <v>8824</v>
      </c>
      <c r="C5198" s="91" t="s">
        <v>1489</v>
      </c>
      <c r="D5198" s="9" t="s">
        <v>8665</v>
      </c>
      <c r="E5198" s="9" t="s">
        <v>13</v>
      </c>
      <c r="F5198" s="9"/>
      <c r="G5198" s="91"/>
      <c r="H5198" s="9" t="s">
        <v>8825</v>
      </c>
      <c r="I5198" s="9" t="s">
        <v>353</v>
      </c>
      <c r="J5198" s="88"/>
    </row>
    <row r="5199">
      <c r="A5199" s="259"/>
      <c r="B5199" s="9" t="s">
        <v>8747</v>
      </c>
      <c r="C5199" s="91" t="s">
        <v>1489</v>
      </c>
      <c r="D5199" s="9" t="s">
        <v>8665</v>
      </c>
      <c r="E5199" s="9" t="s">
        <v>13</v>
      </c>
      <c r="F5199" s="9"/>
      <c r="G5199" s="91"/>
      <c r="H5199" s="9" t="s">
        <v>18</v>
      </c>
      <c r="I5199" s="9" t="s">
        <v>353</v>
      </c>
      <c r="J5199" s="88"/>
    </row>
    <row r="5200">
      <c r="A5200" s="259"/>
      <c r="B5200" s="9" t="s">
        <v>8826</v>
      </c>
      <c r="C5200" s="91" t="s">
        <v>1489</v>
      </c>
      <c r="D5200" s="9" t="s">
        <v>8665</v>
      </c>
      <c r="E5200" s="9" t="s">
        <v>13</v>
      </c>
      <c r="F5200" s="9"/>
      <c r="G5200" s="91"/>
      <c r="H5200" s="9" t="s">
        <v>18</v>
      </c>
      <c r="I5200" s="9" t="s">
        <v>353</v>
      </c>
      <c r="J5200" s="88"/>
    </row>
    <row r="5201">
      <c r="A5201" s="259"/>
      <c r="B5201" s="9" t="s">
        <v>8001</v>
      </c>
      <c r="C5201" s="91" t="s">
        <v>1489</v>
      </c>
      <c r="D5201" s="9" t="s">
        <v>8665</v>
      </c>
      <c r="E5201" s="9" t="s">
        <v>13</v>
      </c>
      <c r="F5201" s="9"/>
      <c r="G5201" s="91"/>
      <c r="H5201" s="9" t="s">
        <v>18</v>
      </c>
      <c r="I5201" s="9" t="s">
        <v>353</v>
      </c>
      <c r="J5201" s="88"/>
    </row>
    <row r="5202">
      <c r="A5202" s="259"/>
      <c r="B5202" s="9" t="s">
        <v>8827</v>
      </c>
      <c r="C5202" s="91" t="s">
        <v>1097</v>
      </c>
      <c r="D5202" s="9" t="s">
        <v>8665</v>
      </c>
      <c r="E5202" s="9" t="s">
        <v>13</v>
      </c>
      <c r="F5202" s="9"/>
      <c r="G5202" s="91"/>
      <c r="H5202" s="9" t="s">
        <v>7804</v>
      </c>
      <c r="I5202" s="9" t="s">
        <v>353</v>
      </c>
      <c r="J5202" s="88"/>
    </row>
    <row r="5203">
      <c r="A5203" s="259"/>
      <c r="B5203" s="9" t="s">
        <v>8828</v>
      </c>
      <c r="C5203" s="91" t="s">
        <v>1097</v>
      </c>
      <c r="D5203" s="9" t="s">
        <v>8665</v>
      </c>
      <c r="E5203" s="9" t="s">
        <v>13</v>
      </c>
      <c r="F5203" s="9"/>
      <c r="G5203" s="91"/>
      <c r="H5203" s="9" t="s">
        <v>7804</v>
      </c>
      <c r="I5203" s="9" t="s">
        <v>353</v>
      </c>
      <c r="J5203" s="88"/>
    </row>
    <row r="5204">
      <c r="A5204" s="259"/>
      <c r="B5204" s="9" t="s">
        <v>8829</v>
      </c>
      <c r="C5204" s="91" t="s">
        <v>1489</v>
      </c>
      <c r="D5204" s="9" t="s">
        <v>8665</v>
      </c>
      <c r="E5204" s="9" t="s">
        <v>13</v>
      </c>
      <c r="F5204" s="9"/>
      <c r="G5204" s="91"/>
      <c r="H5204" s="9" t="s">
        <v>7989</v>
      </c>
      <c r="I5204" s="9" t="s">
        <v>353</v>
      </c>
      <c r="J5204" s="88"/>
    </row>
    <row r="5205">
      <c r="A5205" s="259"/>
      <c r="B5205" s="9" t="s">
        <v>8830</v>
      </c>
      <c r="C5205" s="91" t="s">
        <v>1489</v>
      </c>
      <c r="D5205" s="9" t="s">
        <v>8665</v>
      </c>
      <c r="E5205" s="9" t="s">
        <v>13</v>
      </c>
      <c r="F5205" s="9"/>
      <c r="G5205" s="91"/>
      <c r="H5205" s="9" t="s">
        <v>6251</v>
      </c>
      <c r="I5205" s="9" t="s">
        <v>353</v>
      </c>
      <c r="J5205" s="88"/>
    </row>
    <row r="5206">
      <c r="A5206" s="259"/>
      <c r="B5206" s="9" t="s">
        <v>8831</v>
      </c>
      <c r="C5206" s="91" t="s">
        <v>1489</v>
      </c>
      <c r="D5206" s="9" t="s">
        <v>8665</v>
      </c>
      <c r="E5206" s="9" t="s">
        <v>13</v>
      </c>
      <c r="F5206" s="9"/>
      <c r="G5206" s="91"/>
      <c r="H5206" s="9" t="s">
        <v>6251</v>
      </c>
      <c r="I5206" s="9" t="s">
        <v>353</v>
      </c>
      <c r="J5206" s="88"/>
    </row>
    <row r="5207">
      <c r="A5207" s="259"/>
      <c r="B5207" s="9" t="s">
        <v>8832</v>
      </c>
      <c r="C5207" s="91" t="s">
        <v>1489</v>
      </c>
      <c r="D5207" s="9" t="s">
        <v>8665</v>
      </c>
      <c r="E5207" s="9" t="s">
        <v>13</v>
      </c>
      <c r="F5207" s="9"/>
      <c r="G5207" s="91"/>
      <c r="H5207" s="9" t="s">
        <v>6251</v>
      </c>
      <c r="I5207" s="9" t="s">
        <v>353</v>
      </c>
      <c r="J5207" s="88"/>
    </row>
    <row r="5208">
      <c r="A5208" s="259"/>
      <c r="B5208" s="9" t="s">
        <v>8833</v>
      </c>
      <c r="C5208" s="91" t="s">
        <v>1489</v>
      </c>
      <c r="D5208" s="9" t="s">
        <v>8665</v>
      </c>
      <c r="E5208" s="9" t="s">
        <v>13</v>
      </c>
      <c r="F5208" s="9"/>
      <c r="G5208" s="91"/>
      <c r="H5208" s="9" t="s">
        <v>6251</v>
      </c>
      <c r="I5208" s="9" t="s">
        <v>353</v>
      </c>
      <c r="J5208" s="88"/>
    </row>
    <row r="5209">
      <c r="A5209" s="259"/>
      <c r="B5209" s="9" t="s">
        <v>8834</v>
      </c>
      <c r="C5209" s="91" t="s">
        <v>1489</v>
      </c>
      <c r="D5209" s="9" t="s">
        <v>8665</v>
      </c>
      <c r="E5209" s="9" t="s">
        <v>13</v>
      </c>
      <c r="F5209" s="9"/>
      <c r="G5209" s="91"/>
      <c r="H5209" s="9" t="s">
        <v>6251</v>
      </c>
      <c r="I5209" s="9" t="s">
        <v>353</v>
      </c>
      <c r="J5209" s="88"/>
    </row>
    <row r="5210">
      <c r="A5210" s="259"/>
      <c r="B5210" s="9" t="s">
        <v>8835</v>
      </c>
      <c r="C5210" s="91" t="s">
        <v>1489</v>
      </c>
      <c r="D5210" s="9" t="s">
        <v>8665</v>
      </c>
      <c r="E5210" s="9" t="s">
        <v>13</v>
      </c>
      <c r="F5210" s="9"/>
      <c r="G5210" s="91"/>
      <c r="H5210" s="9" t="s">
        <v>6251</v>
      </c>
      <c r="I5210" s="9" t="s">
        <v>353</v>
      </c>
      <c r="J5210" s="88"/>
    </row>
    <row r="5211">
      <c r="A5211" s="259"/>
      <c r="B5211" s="9" t="s">
        <v>8836</v>
      </c>
      <c r="C5211" s="91" t="s">
        <v>1489</v>
      </c>
      <c r="D5211" s="9" t="s">
        <v>8665</v>
      </c>
      <c r="E5211" s="9" t="s">
        <v>13</v>
      </c>
      <c r="F5211" s="9"/>
      <c r="G5211" s="91"/>
      <c r="H5211" s="9" t="s">
        <v>8461</v>
      </c>
      <c r="I5211" s="9" t="s">
        <v>353</v>
      </c>
      <c r="J5211" s="88"/>
    </row>
    <row r="5212">
      <c r="A5212" s="259"/>
      <c r="B5212" s="9" t="s">
        <v>8837</v>
      </c>
      <c r="C5212" s="91" t="s">
        <v>1489</v>
      </c>
      <c r="D5212" s="9" t="s">
        <v>8649</v>
      </c>
      <c r="E5212" s="9" t="s">
        <v>13</v>
      </c>
      <c r="F5212" s="9"/>
      <c r="G5212" s="91"/>
      <c r="H5212" s="9" t="s">
        <v>437</v>
      </c>
      <c r="I5212" s="9" t="s">
        <v>353</v>
      </c>
      <c r="J5212" s="88"/>
    </row>
    <row r="5213">
      <c r="A5213" s="259"/>
      <c r="B5213" s="9" t="s">
        <v>8838</v>
      </c>
      <c r="C5213" s="91" t="s">
        <v>1489</v>
      </c>
      <c r="D5213" s="9" t="s">
        <v>8649</v>
      </c>
      <c r="E5213" s="9" t="s">
        <v>13</v>
      </c>
      <c r="F5213" s="9"/>
      <c r="G5213" s="91"/>
      <c r="H5213" s="9" t="s">
        <v>437</v>
      </c>
      <c r="I5213" s="9" t="s">
        <v>353</v>
      </c>
      <c r="J5213" s="88"/>
    </row>
    <row r="5214">
      <c r="A5214" s="259"/>
      <c r="B5214" s="9" t="s">
        <v>8839</v>
      </c>
      <c r="C5214" s="91" t="s">
        <v>1489</v>
      </c>
      <c r="D5214" s="9" t="s">
        <v>8649</v>
      </c>
      <c r="E5214" s="9" t="s">
        <v>13</v>
      </c>
      <c r="F5214" s="9"/>
      <c r="G5214" s="91"/>
      <c r="H5214" s="9" t="s">
        <v>437</v>
      </c>
      <c r="I5214" s="9" t="s">
        <v>353</v>
      </c>
      <c r="J5214" s="88"/>
    </row>
    <row r="5215">
      <c r="A5215" s="259"/>
      <c r="B5215" s="9" t="s">
        <v>8840</v>
      </c>
      <c r="C5215" s="91" t="s">
        <v>1489</v>
      </c>
      <c r="D5215" s="9" t="s">
        <v>8649</v>
      </c>
      <c r="E5215" s="9" t="s">
        <v>353</v>
      </c>
      <c r="F5215" s="9"/>
      <c r="G5215" s="91"/>
      <c r="H5215" s="9" t="s">
        <v>437</v>
      </c>
      <c r="I5215" s="9" t="s">
        <v>353</v>
      </c>
      <c r="J5215" s="88"/>
    </row>
    <row r="5216">
      <c r="A5216" s="259"/>
      <c r="B5216" s="9" t="s">
        <v>8841</v>
      </c>
      <c r="C5216" s="91" t="s">
        <v>1489</v>
      </c>
      <c r="D5216" s="9" t="s">
        <v>8638</v>
      </c>
      <c r="E5216" s="9" t="s">
        <v>13</v>
      </c>
      <c r="F5216" s="9"/>
      <c r="G5216" s="91"/>
      <c r="H5216" s="9" t="s">
        <v>8842</v>
      </c>
      <c r="I5216" s="9" t="s">
        <v>353</v>
      </c>
      <c r="J5216" s="88"/>
    </row>
    <row r="5217">
      <c r="A5217" s="259"/>
      <c r="B5217" s="9" t="s">
        <v>7147</v>
      </c>
      <c r="C5217" s="91" t="s">
        <v>1489</v>
      </c>
      <c r="D5217" s="9" t="s">
        <v>8649</v>
      </c>
      <c r="E5217" s="9" t="s">
        <v>13</v>
      </c>
      <c r="F5217" s="9"/>
      <c r="G5217" s="91"/>
      <c r="H5217" s="9" t="s">
        <v>8843</v>
      </c>
      <c r="I5217" s="9" t="s">
        <v>353</v>
      </c>
      <c r="J5217" s="88"/>
    </row>
    <row r="5218">
      <c r="A5218" s="259"/>
      <c r="B5218" s="9" t="s">
        <v>6290</v>
      </c>
      <c r="C5218" s="91" t="s">
        <v>1489</v>
      </c>
      <c r="D5218" s="9" t="s">
        <v>8649</v>
      </c>
      <c r="E5218" s="9" t="s">
        <v>13</v>
      </c>
      <c r="F5218" s="9"/>
      <c r="G5218" s="91"/>
      <c r="H5218" s="9" t="s">
        <v>437</v>
      </c>
      <c r="I5218" s="9" t="s">
        <v>353</v>
      </c>
      <c r="J5218" s="88"/>
    </row>
    <row r="5219">
      <c r="A5219" s="259"/>
      <c r="B5219" s="9" t="s">
        <v>8844</v>
      </c>
      <c r="C5219" s="91" t="s">
        <v>1097</v>
      </c>
      <c r="D5219" s="9" t="s">
        <v>8638</v>
      </c>
      <c r="E5219" s="9" t="s">
        <v>13</v>
      </c>
      <c r="F5219" s="9"/>
      <c r="G5219" s="91"/>
      <c r="H5219" s="261" t="s">
        <v>437</v>
      </c>
      <c r="I5219" s="9" t="s">
        <v>353</v>
      </c>
      <c r="J5219" s="88"/>
    </row>
    <row r="5220">
      <c r="A5220" s="259"/>
      <c r="B5220" s="9" t="s">
        <v>8845</v>
      </c>
      <c r="C5220" s="91" t="s">
        <v>1489</v>
      </c>
      <c r="D5220" s="9" t="s">
        <v>8638</v>
      </c>
      <c r="E5220" s="9" t="s">
        <v>13</v>
      </c>
      <c r="F5220" s="9"/>
      <c r="G5220" s="91"/>
      <c r="H5220" s="238" t="s">
        <v>437</v>
      </c>
      <c r="I5220" s="9" t="s">
        <v>353</v>
      </c>
      <c r="J5220" s="88"/>
    </row>
    <row r="5221">
      <c r="A5221" s="259"/>
      <c r="B5221" s="9" t="s">
        <v>8846</v>
      </c>
      <c r="C5221" s="91" t="s">
        <v>1489</v>
      </c>
      <c r="D5221" s="9" t="s">
        <v>8649</v>
      </c>
      <c r="E5221" s="9" t="s">
        <v>353</v>
      </c>
      <c r="F5221" s="9"/>
      <c r="G5221" s="91"/>
      <c r="H5221" s="9" t="s">
        <v>437</v>
      </c>
      <c r="I5221" s="9" t="s">
        <v>353</v>
      </c>
      <c r="J5221" s="88"/>
    </row>
    <row r="5222">
      <c r="A5222" s="259"/>
      <c r="B5222" s="9" t="s">
        <v>8847</v>
      </c>
      <c r="C5222" s="91" t="s">
        <v>1489</v>
      </c>
      <c r="D5222" s="9" t="s">
        <v>8665</v>
      </c>
      <c r="E5222" s="9" t="s">
        <v>13</v>
      </c>
      <c r="F5222" s="9"/>
      <c r="G5222" s="91"/>
      <c r="H5222" s="9" t="s">
        <v>6251</v>
      </c>
      <c r="I5222" s="9" t="s">
        <v>353</v>
      </c>
      <c r="J5222" s="88"/>
    </row>
    <row r="5223">
      <c r="A5223" s="259"/>
      <c r="B5223" s="9" t="s">
        <v>8848</v>
      </c>
      <c r="C5223" s="91" t="s">
        <v>1489</v>
      </c>
      <c r="D5223" s="9" t="s">
        <v>8665</v>
      </c>
      <c r="E5223" s="9" t="s">
        <v>13</v>
      </c>
      <c r="F5223" s="9"/>
      <c r="G5223" s="91"/>
      <c r="H5223" s="9" t="s">
        <v>6251</v>
      </c>
      <c r="I5223" s="9" t="s">
        <v>353</v>
      </c>
      <c r="J5223" s="88"/>
    </row>
    <row r="5224">
      <c r="A5224" s="259"/>
      <c r="B5224" s="9" t="s">
        <v>8849</v>
      </c>
      <c r="C5224" s="91" t="s">
        <v>1489</v>
      </c>
      <c r="D5224" s="9" t="s">
        <v>8665</v>
      </c>
      <c r="E5224" s="9" t="s">
        <v>13</v>
      </c>
      <c r="F5224" s="9"/>
      <c r="G5224" s="91"/>
      <c r="H5224" s="9" t="s">
        <v>6251</v>
      </c>
      <c r="I5224" s="9" t="s">
        <v>353</v>
      </c>
      <c r="J5224" s="88"/>
    </row>
    <row r="5225">
      <c r="A5225" s="259"/>
      <c r="B5225" s="9" t="s">
        <v>8850</v>
      </c>
      <c r="C5225" s="91" t="s">
        <v>1489</v>
      </c>
      <c r="D5225" s="9" t="s">
        <v>8665</v>
      </c>
      <c r="E5225" s="9" t="s">
        <v>13</v>
      </c>
      <c r="F5225" s="9"/>
      <c r="G5225" s="91"/>
      <c r="H5225" s="9" t="s">
        <v>6251</v>
      </c>
      <c r="I5225" s="9" t="s">
        <v>353</v>
      </c>
      <c r="J5225" s="88"/>
    </row>
    <row r="5226">
      <c r="A5226" s="259"/>
      <c r="B5226" s="9" t="s">
        <v>8851</v>
      </c>
      <c r="C5226" s="91" t="s">
        <v>1489</v>
      </c>
      <c r="D5226" s="9" t="s">
        <v>8665</v>
      </c>
      <c r="E5226" s="9" t="s">
        <v>13</v>
      </c>
      <c r="F5226" s="9"/>
      <c r="G5226" s="91"/>
      <c r="H5226" s="9" t="s">
        <v>6251</v>
      </c>
      <c r="I5226" s="9" t="s">
        <v>353</v>
      </c>
      <c r="J5226" s="88"/>
    </row>
    <row r="5227">
      <c r="A5227" s="259"/>
      <c r="B5227" s="9" t="s">
        <v>8852</v>
      </c>
      <c r="C5227" s="91" t="s">
        <v>1489</v>
      </c>
      <c r="D5227" s="9" t="s">
        <v>8665</v>
      </c>
      <c r="E5227" s="9" t="s">
        <v>353</v>
      </c>
      <c r="F5227" s="9"/>
      <c r="G5227" s="91"/>
      <c r="H5227" s="9" t="s">
        <v>7804</v>
      </c>
      <c r="I5227" s="9" t="s">
        <v>353</v>
      </c>
      <c r="J5227" s="88"/>
    </row>
    <row r="5228">
      <c r="A5228" s="259"/>
      <c r="B5228" s="9" t="s">
        <v>8853</v>
      </c>
      <c r="C5228" s="91" t="s">
        <v>1489</v>
      </c>
      <c r="D5228" s="9" t="s">
        <v>8665</v>
      </c>
      <c r="E5228" s="9" t="s">
        <v>13</v>
      </c>
      <c r="F5228" s="9"/>
      <c r="G5228" s="91"/>
      <c r="H5228" s="9" t="s">
        <v>18</v>
      </c>
      <c r="I5228" s="9" t="s">
        <v>353</v>
      </c>
      <c r="J5228" s="88"/>
    </row>
    <row r="5229">
      <c r="A5229" s="259"/>
      <c r="B5229" s="9" t="s">
        <v>8854</v>
      </c>
      <c r="C5229" s="91" t="s">
        <v>1097</v>
      </c>
      <c r="D5229" s="9" t="s">
        <v>8665</v>
      </c>
      <c r="E5229" s="9" t="s">
        <v>13</v>
      </c>
      <c r="F5229" s="9"/>
      <c r="G5229" s="91"/>
      <c r="H5229" s="9" t="s">
        <v>18</v>
      </c>
      <c r="I5229" s="9" t="s">
        <v>353</v>
      </c>
      <c r="J5229" s="88"/>
    </row>
    <row r="5230">
      <c r="A5230" s="259"/>
      <c r="B5230" s="9" t="s">
        <v>8855</v>
      </c>
      <c r="C5230" s="91" t="s">
        <v>1489</v>
      </c>
      <c r="D5230" s="9" t="s">
        <v>8665</v>
      </c>
      <c r="E5230" s="9" t="s">
        <v>13</v>
      </c>
      <c r="F5230" s="9"/>
      <c r="G5230" s="91"/>
      <c r="H5230" s="9" t="s">
        <v>8856</v>
      </c>
      <c r="I5230" s="9" t="s">
        <v>353</v>
      </c>
      <c r="J5230" s="88"/>
    </row>
    <row r="5231">
      <c r="A5231" s="259"/>
      <c r="B5231" s="9" t="s">
        <v>8857</v>
      </c>
      <c r="C5231" s="91" t="s">
        <v>1489</v>
      </c>
      <c r="D5231" s="9" t="s">
        <v>8665</v>
      </c>
      <c r="E5231" s="9" t="s">
        <v>13</v>
      </c>
      <c r="F5231" s="9"/>
      <c r="G5231" s="91"/>
      <c r="H5231" s="9" t="s">
        <v>18</v>
      </c>
      <c r="I5231" s="9" t="s">
        <v>353</v>
      </c>
      <c r="J5231" s="88"/>
    </row>
    <row r="5232">
      <c r="A5232" s="259"/>
      <c r="B5232" s="9" t="s">
        <v>8858</v>
      </c>
      <c r="C5232" s="91" t="s">
        <v>1097</v>
      </c>
      <c r="D5232" s="9" t="s">
        <v>8665</v>
      </c>
      <c r="E5232" s="9" t="s">
        <v>13</v>
      </c>
      <c r="F5232" s="9"/>
      <c r="G5232" s="91"/>
      <c r="H5232" s="9" t="s">
        <v>6144</v>
      </c>
      <c r="I5232" s="9" t="s">
        <v>13</v>
      </c>
      <c r="J5232" s="88"/>
    </row>
    <row r="5233">
      <c r="A5233" s="259"/>
      <c r="B5233" s="9" t="s">
        <v>8859</v>
      </c>
      <c r="C5233" s="91" t="s">
        <v>1097</v>
      </c>
      <c r="D5233" s="9" t="s">
        <v>8665</v>
      </c>
      <c r="E5233" s="9" t="s">
        <v>13</v>
      </c>
      <c r="F5233" s="9"/>
      <c r="G5233" s="91"/>
      <c r="H5233" s="9" t="s">
        <v>7989</v>
      </c>
      <c r="I5233" s="9" t="s">
        <v>353</v>
      </c>
      <c r="J5233" s="88"/>
    </row>
    <row r="5234">
      <c r="A5234" s="259"/>
      <c r="B5234" s="9" t="s">
        <v>8860</v>
      </c>
      <c r="C5234" s="91" t="s">
        <v>1097</v>
      </c>
      <c r="D5234" s="9" t="s">
        <v>8665</v>
      </c>
      <c r="E5234" s="9" t="s">
        <v>13</v>
      </c>
      <c r="F5234" s="9"/>
      <c r="G5234" s="91"/>
      <c r="H5234" s="9" t="s">
        <v>7804</v>
      </c>
      <c r="I5234" s="9" t="s">
        <v>353</v>
      </c>
      <c r="J5234" s="88"/>
    </row>
    <row r="5235">
      <c r="A5235" s="259"/>
      <c r="B5235" s="9" t="s">
        <v>8861</v>
      </c>
      <c r="C5235" s="91" t="s">
        <v>1097</v>
      </c>
      <c r="D5235" s="9" t="s">
        <v>8665</v>
      </c>
      <c r="E5235" s="9" t="s">
        <v>13</v>
      </c>
      <c r="F5235" s="9"/>
      <c r="G5235" s="91"/>
      <c r="H5235" s="9" t="s">
        <v>7804</v>
      </c>
      <c r="I5235" s="9" t="s">
        <v>353</v>
      </c>
      <c r="J5235" s="88"/>
    </row>
    <row r="5236">
      <c r="A5236" s="259"/>
      <c r="B5236" s="9" t="s">
        <v>8862</v>
      </c>
      <c r="C5236" s="91" t="s">
        <v>1097</v>
      </c>
      <c r="D5236" s="9" t="s">
        <v>8665</v>
      </c>
      <c r="E5236" s="9" t="s">
        <v>353</v>
      </c>
      <c r="F5236" s="9"/>
      <c r="G5236" s="91"/>
      <c r="H5236" s="9" t="s">
        <v>7804</v>
      </c>
      <c r="I5236" s="9" t="s">
        <v>353</v>
      </c>
      <c r="J5236" s="88"/>
    </row>
    <row r="5237">
      <c r="A5237" s="88"/>
      <c r="B5237" s="89"/>
      <c r="C5237" s="90"/>
      <c r="D5237" s="89"/>
      <c r="E5237" s="89"/>
      <c r="F5237" s="89"/>
      <c r="G5237" s="89"/>
      <c r="H5237" s="87"/>
      <c r="I5237" s="89"/>
      <c r="J5237" s="88"/>
    </row>
    <row r="5238">
      <c r="A5238" s="259"/>
      <c r="B5238" s="9" t="s">
        <v>8863</v>
      </c>
      <c r="C5238" s="91" t="s">
        <v>1097</v>
      </c>
      <c r="D5238" s="9" t="s">
        <v>8665</v>
      </c>
      <c r="E5238" s="9" t="s">
        <v>353</v>
      </c>
      <c r="F5238" s="9"/>
      <c r="G5238" s="91"/>
      <c r="H5238" s="9" t="s">
        <v>7804</v>
      </c>
      <c r="I5238" s="9" t="s">
        <v>353</v>
      </c>
      <c r="J5238" s="88"/>
    </row>
    <row r="5239">
      <c r="A5239" s="259"/>
      <c r="B5239" s="9" t="s">
        <v>8864</v>
      </c>
      <c r="C5239" s="91" t="s">
        <v>1489</v>
      </c>
      <c r="D5239" s="9" t="s">
        <v>8649</v>
      </c>
      <c r="E5239" s="9" t="s">
        <v>13</v>
      </c>
      <c r="F5239" s="9"/>
      <c r="G5239" s="91"/>
      <c r="H5239" s="9" t="s">
        <v>8865</v>
      </c>
      <c r="I5239" s="9" t="s">
        <v>353</v>
      </c>
      <c r="J5239" s="88"/>
    </row>
    <row r="5240">
      <c r="A5240" s="259"/>
      <c r="B5240" s="9" t="s">
        <v>8866</v>
      </c>
      <c r="C5240" s="91" t="s">
        <v>1489</v>
      </c>
      <c r="D5240" s="9" t="s">
        <v>8649</v>
      </c>
      <c r="E5240" s="9" t="s">
        <v>13</v>
      </c>
      <c r="F5240" s="9"/>
      <c r="G5240" s="91"/>
      <c r="H5240" s="9" t="s">
        <v>8867</v>
      </c>
      <c r="I5240" s="9" t="s">
        <v>353</v>
      </c>
      <c r="J5240" s="88"/>
    </row>
    <row r="5241">
      <c r="A5241" s="259"/>
      <c r="B5241" s="9" t="s">
        <v>8868</v>
      </c>
      <c r="C5241" s="91" t="s">
        <v>1489</v>
      </c>
      <c r="D5241" s="9" t="s">
        <v>8649</v>
      </c>
      <c r="E5241" s="9" t="s">
        <v>13</v>
      </c>
      <c r="F5241" s="9"/>
      <c r="G5241" s="91"/>
      <c r="H5241" s="9" t="s">
        <v>437</v>
      </c>
      <c r="I5241" s="9" t="s">
        <v>353</v>
      </c>
      <c r="J5241" s="88"/>
    </row>
    <row r="5242">
      <c r="A5242" s="259"/>
      <c r="B5242" s="9" t="s">
        <v>8869</v>
      </c>
      <c r="C5242" s="91" t="s">
        <v>1489</v>
      </c>
      <c r="D5242" s="9" t="s">
        <v>8649</v>
      </c>
      <c r="E5242" s="9" t="s">
        <v>13</v>
      </c>
      <c r="F5242" s="9"/>
      <c r="G5242" s="91"/>
      <c r="H5242" s="9" t="s">
        <v>8870</v>
      </c>
      <c r="I5242" s="9" t="s">
        <v>353</v>
      </c>
      <c r="J5242" s="88"/>
    </row>
    <row r="5243">
      <c r="A5243" s="259"/>
      <c r="B5243" s="9" t="s">
        <v>8871</v>
      </c>
      <c r="C5243" s="91" t="s">
        <v>1097</v>
      </c>
      <c r="D5243" s="9" t="s">
        <v>8649</v>
      </c>
      <c r="E5243" s="9" t="s">
        <v>13</v>
      </c>
      <c r="F5243" s="9"/>
      <c r="G5243" s="91"/>
      <c r="H5243" s="9" t="s">
        <v>8872</v>
      </c>
      <c r="I5243" s="9" t="s">
        <v>353</v>
      </c>
      <c r="J5243" s="88"/>
    </row>
    <row r="5244">
      <c r="A5244" s="259"/>
      <c r="B5244" s="9" t="s">
        <v>6290</v>
      </c>
      <c r="C5244" s="91" t="s">
        <v>1489</v>
      </c>
      <c r="D5244" s="9" t="s">
        <v>8649</v>
      </c>
      <c r="E5244" s="9" t="s">
        <v>13</v>
      </c>
      <c r="F5244" s="9"/>
      <c r="G5244" s="91"/>
      <c r="H5244" s="9" t="s">
        <v>8873</v>
      </c>
      <c r="I5244" s="9" t="s">
        <v>353</v>
      </c>
      <c r="J5244" s="88"/>
    </row>
    <row r="5245">
      <c r="A5245" s="259"/>
      <c r="B5245" s="9" t="s">
        <v>7147</v>
      </c>
      <c r="C5245" s="91" t="s">
        <v>1489</v>
      </c>
      <c r="D5245" s="9" t="s">
        <v>8649</v>
      </c>
      <c r="E5245" s="9" t="s">
        <v>13</v>
      </c>
      <c r="F5245" s="9"/>
      <c r="G5245" s="91"/>
      <c r="H5245" s="9" t="s">
        <v>437</v>
      </c>
      <c r="I5245" s="9" t="s">
        <v>353</v>
      </c>
      <c r="J5245" s="88"/>
    </row>
    <row r="5246">
      <c r="A5246" s="259"/>
      <c r="B5246" s="9" t="s">
        <v>3192</v>
      </c>
      <c r="C5246" s="91" t="s">
        <v>1489</v>
      </c>
      <c r="D5246" s="9" t="s">
        <v>8649</v>
      </c>
      <c r="E5246" s="9" t="s">
        <v>13</v>
      </c>
      <c r="F5246" s="9"/>
      <c r="G5246" s="91"/>
      <c r="H5246" s="9" t="s">
        <v>437</v>
      </c>
      <c r="I5246" s="9" t="s">
        <v>353</v>
      </c>
      <c r="J5246" s="88"/>
    </row>
    <row r="5247">
      <c r="A5247" s="259"/>
      <c r="B5247" s="9" t="s">
        <v>8874</v>
      </c>
      <c r="C5247" s="91" t="s">
        <v>1489</v>
      </c>
      <c r="D5247" s="9" t="s">
        <v>8638</v>
      </c>
      <c r="E5247" s="9" t="s">
        <v>13</v>
      </c>
      <c r="F5247" s="9"/>
      <c r="G5247" s="91"/>
      <c r="H5247" s="9" t="s">
        <v>437</v>
      </c>
      <c r="I5247" s="9" t="s">
        <v>353</v>
      </c>
      <c r="J5247" s="88"/>
    </row>
    <row r="5248">
      <c r="A5248" s="259"/>
      <c r="B5248" s="9" t="s">
        <v>8875</v>
      </c>
      <c r="C5248" s="91" t="s">
        <v>1489</v>
      </c>
      <c r="D5248" s="9" t="s">
        <v>8649</v>
      </c>
      <c r="E5248" s="9" t="s">
        <v>353</v>
      </c>
      <c r="F5248" s="9"/>
      <c r="G5248" s="91"/>
      <c r="H5248" s="9" t="s">
        <v>437</v>
      </c>
      <c r="I5248" s="9" t="s">
        <v>353</v>
      </c>
      <c r="J5248" s="88"/>
    </row>
    <row r="5249">
      <c r="A5249" s="259"/>
      <c r="B5249" s="9" t="s">
        <v>8876</v>
      </c>
      <c r="C5249" s="91" t="s">
        <v>1489</v>
      </c>
      <c r="D5249" s="9" t="s">
        <v>8649</v>
      </c>
      <c r="E5249" s="9" t="s">
        <v>353</v>
      </c>
      <c r="F5249" s="9"/>
      <c r="G5249" s="91"/>
      <c r="H5249" s="9" t="s">
        <v>437</v>
      </c>
      <c r="I5249" s="9" t="s">
        <v>353</v>
      </c>
      <c r="J5249" s="88"/>
    </row>
    <row r="5250">
      <c r="A5250" s="259"/>
      <c r="B5250" s="9" t="s">
        <v>8877</v>
      </c>
      <c r="C5250" s="91" t="s">
        <v>1097</v>
      </c>
      <c r="D5250" s="9" t="s">
        <v>8638</v>
      </c>
      <c r="E5250" s="9" t="s">
        <v>13</v>
      </c>
      <c r="F5250" s="9"/>
      <c r="G5250" s="91"/>
      <c r="H5250" s="9" t="s">
        <v>437</v>
      </c>
      <c r="I5250" s="9" t="s">
        <v>353</v>
      </c>
      <c r="J5250" s="88"/>
    </row>
    <row r="5251">
      <c r="A5251" s="259"/>
      <c r="B5251" s="9" t="s">
        <v>8878</v>
      </c>
      <c r="C5251" s="91" t="s">
        <v>1489</v>
      </c>
      <c r="D5251" s="9" t="s">
        <v>8649</v>
      </c>
      <c r="E5251" s="9" t="s">
        <v>353</v>
      </c>
      <c r="F5251" s="9"/>
      <c r="G5251" s="91"/>
      <c r="H5251" s="9" t="s">
        <v>437</v>
      </c>
      <c r="I5251" s="9" t="s">
        <v>353</v>
      </c>
      <c r="J5251" s="88"/>
    </row>
    <row r="5252">
      <c r="A5252" s="259"/>
      <c r="B5252" s="9" t="s">
        <v>8879</v>
      </c>
      <c r="C5252" s="91" t="s">
        <v>1489</v>
      </c>
      <c r="D5252" s="9" t="s">
        <v>8649</v>
      </c>
      <c r="E5252" s="9" t="s">
        <v>353</v>
      </c>
      <c r="F5252" s="9"/>
      <c r="G5252" s="91"/>
      <c r="H5252" s="9" t="s">
        <v>437</v>
      </c>
      <c r="I5252" s="9" t="s">
        <v>353</v>
      </c>
      <c r="J5252" s="88"/>
    </row>
    <row r="5253">
      <c r="A5253" s="259"/>
      <c r="B5253" s="9" t="s">
        <v>5821</v>
      </c>
      <c r="C5253" s="91" t="s">
        <v>1489</v>
      </c>
      <c r="D5253" s="9" t="s">
        <v>8649</v>
      </c>
      <c r="E5253" s="9" t="s">
        <v>353</v>
      </c>
      <c r="F5253" s="9"/>
      <c r="G5253" s="91"/>
      <c r="H5253" s="9" t="s">
        <v>437</v>
      </c>
      <c r="I5253" s="9" t="s">
        <v>353</v>
      </c>
      <c r="J5253" s="88"/>
    </row>
    <row r="5254">
      <c r="A5254" s="259"/>
      <c r="B5254" s="260" t="s">
        <v>8880</v>
      </c>
      <c r="C5254" s="91" t="s">
        <v>1489</v>
      </c>
      <c r="D5254" s="9" t="s">
        <v>8638</v>
      </c>
      <c r="E5254" s="9" t="s">
        <v>13</v>
      </c>
      <c r="F5254" s="9"/>
      <c r="G5254" s="9" t="s">
        <v>8647</v>
      </c>
      <c r="H5254" s="9" t="s">
        <v>8881</v>
      </c>
      <c r="I5254" s="9" t="s">
        <v>353</v>
      </c>
      <c r="J5254" s="88"/>
    </row>
    <row r="5255">
      <c r="A5255" s="259"/>
      <c r="B5255" s="9" t="s">
        <v>8882</v>
      </c>
      <c r="C5255" s="91" t="s">
        <v>1489</v>
      </c>
      <c r="D5255" s="9" t="s">
        <v>8638</v>
      </c>
      <c r="E5255" s="9" t="s">
        <v>13</v>
      </c>
      <c r="F5255" s="9"/>
      <c r="G5255" s="91"/>
      <c r="H5255" s="9" t="s">
        <v>8701</v>
      </c>
      <c r="I5255" s="9" t="s">
        <v>353</v>
      </c>
      <c r="J5255" s="88"/>
    </row>
    <row r="5256">
      <c r="A5256" s="259"/>
      <c r="B5256" s="9" t="s">
        <v>8883</v>
      </c>
      <c r="C5256" s="91" t="s">
        <v>1489</v>
      </c>
      <c r="D5256" s="9" t="s">
        <v>8649</v>
      </c>
      <c r="E5256" s="9" t="s">
        <v>13</v>
      </c>
      <c r="F5256" s="9"/>
      <c r="G5256" s="91"/>
      <c r="H5256" s="9" t="s">
        <v>437</v>
      </c>
      <c r="I5256" s="9" t="s">
        <v>353</v>
      </c>
      <c r="J5256" s="88"/>
    </row>
    <row r="5257">
      <c r="A5257" s="259"/>
      <c r="B5257" s="9" t="s">
        <v>8884</v>
      </c>
      <c r="C5257" s="91" t="s">
        <v>1489</v>
      </c>
      <c r="D5257" s="9" t="s">
        <v>8649</v>
      </c>
      <c r="E5257" s="9" t="s">
        <v>353</v>
      </c>
      <c r="F5257" s="9"/>
      <c r="G5257" s="91"/>
      <c r="H5257" s="9" t="s">
        <v>842</v>
      </c>
      <c r="I5257" s="9" t="s">
        <v>353</v>
      </c>
      <c r="J5257" s="88"/>
    </row>
    <row r="5258">
      <c r="A5258" s="259"/>
      <c r="B5258" s="9" t="s">
        <v>8885</v>
      </c>
      <c r="C5258" s="91" t="s">
        <v>1489</v>
      </c>
      <c r="D5258" s="9" t="s">
        <v>8649</v>
      </c>
      <c r="E5258" s="9" t="s">
        <v>353</v>
      </c>
      <c r="F5258" s="9"/>
      <c r="G5258" s="91"/>
      <c r="H5258" s="9" t="s">
        <v>842</v>
      </c>
      <c r="I5258" s="9" t="s">
        <v>353</v>
      </c>
      <c r="J5258" s="88"/>
    </row>
    <row r="5259">
      <c r="A5259" s="259"/>
      <c r="B5259" s="9" t="s">
        <v>8886</v>
      </c>
      <c r="C5259" s="91" t="s">
        <v>1489</v>
      </c>
      <c r="D5259" s="9" t="s">
        <v>8649</v>
      </c>
      <c r="E5259" s="9" t="s">
        <v>353</v>
      </c>
      <c r="F5259" s="9"/>
      <c r="G5259" s="91"/>
      <c r="H5259" s="9" t="s">
        <v>437</v>
      </c>
      <c r="I5259" s="9" t="s">
        <v>353</v>
      </c>
      <c r="J5259" s="88"/>
    </row>
    <row r="5260">
      <c r="A5260" s="259"/>
      <c r="B5260" s="9" t="s">
        <v>8714</v>
      </c>
      <c r="C5260" s="91" t="s">
        <v>1489</v>
      </c>
      <c r="D5260" s="9" t="s">
        <v>8649</v>
      </c>
      <c r="E5260" s="9" t="s">
        <v>353</v>
      </c>
      <c r="F5260" s="9"/>
      <c r="G5260" s="91"/>
      <c r="H5260" s="9" t="s">
        <v>437</v>
      </c>
      <c r="I5260" s="9" t="s">
        <v>353</v>
      </c>
      <c r="J5260" s="88"/>
    </row>
    <row r="5261">
      <c r="A5261" s="259"/>
      <c r="B5261" s="9" t="s">
        <v>8887</v>
      </c>
      <c r="C5261" s="91" t="s">
        <v>1097</v>
      </c>
      <c r="D5261" s="9" t="s">
        <v>8638</v>
      </c>
      <c r="E5261" s="9" t="s">
        <v>13</v>
      </c>
      <c r="F5261" s="9"/>
      <c r="G5261" s="91"/>
      <c r="H5261" s="9" t="s">
        <v>8888</v>
      </c>
      <c r="I5261" s="9" t="s">
        <v>353</v>
      </c>
      <c r="J5261" s="88"/>
    </row>
    <row r="5262">
      <c r="A5262" s="259"/>
      <c r="B5262" s="9" t="s">
        <v>8889</v>
      </c>
      <c r="C5262" s="91" t="s">
        <v>1489</v>
      </c>
      <c r="D5262" s="9" t="s">
        <v>8649</v>
      </c>
      <c r="E5262" s="9" t="s">
        <v>13</v>
      </c>
      <c r="F5262" s="9"/>
      <c r="G5262" s="91"/>
      <c r="H5262" s="9" t="s">
        <v>8890</v>
      </c>
      <c r="I5262" s="9" t="s">
        <v>353</v>
      </c>
      <c r="J5262" s="88"/>
    </row>
    <row r="5263">
      <c r="A5263" s="259"/>
      <c r="B5263" s="9" t="s">
        <v>8891</v>
      </c>
      <c r="C5263" s="91" t="s">
        <v>1489</v>
      </c>
      <c r="D5263" s="9" t="s">
        <v>8665</v>
      </c>
      <c r="E5263" s="9" t="s">
        <v>13</v>
      </c>
      <c r="F5263" s="9"/>
      <c r="G5263" s="91"/>
      <c r="H5263" s="9" t="s">
        <v>6251</v>
      </c>
      <c r="I5263" s="9" t="s">
        <v>353</v>
      </c>
      <c r="J5263" s="88"/>
    </row>
    <row r="5264">
      <c r="A5264" s="259"/>
      <c r="B5264" s="9" t="s">
        <v>8892</v>
      </c>
      <c r="C5264" s="91" t="s">
        <v>1489</v>
      </c>
      <c r="D5264" s="9" t="s">
        <v>8638</v>
      </c>
      <c r="E5264" s="9" t="s">
        <v>13</v>
      </c>
      <c r="F5264" s="9"/>
      <c r="G5264" s="91"/>
      <c r="H5264" s="9" t="s">
        <v>437</v>
      </c>
      <c r="I5264" s="9" t="s">
        <v>353</v>
      </c>
      <c r="J5264" s="88"/>
    </row>
    <row r="5265">
      <c r="A5265" s="259"/>
      <c r="B5265" s="9" t="s">
        <v>8893</v>
      </c>
      <c r="C5265" s="91" t="s">
        <v>1489</v>
      </c>
      <c r="D5265" s="9" t="s">
        <v>8649</v>
      </c>
      <c r="E5265" s="9" t="s">
        <v>353</v>
      </c>
      <c r="F5265" s="9"/>
      <c r="G5265" s="91"/>
      <c r="H5265" s="9" t="s">
        <v>437</v>
      </c>
      <c r="I5265" s="9" t="s">
        <v>353</v>
      </c>
      <c r="J5265" s="88"/>
    </row>
    <row r="5266">
      <c r="A5266" s="259"/>
      <c r="B5266" s="9" t="s">
        <v>8894</v>
      </c>
      <c r="C5266" s="91" t="s">
        <v>1489</v>
      </c>
      <c r="D5266" s="9" t="s">
        <v>8649</v>
      </c>
      <c r="E5266" s="9" t="s">
        <v>353</v>
      </c>
      <c r="F5266" s="9"/>
      <c r="G5266" s="91"/>
      <c r="H5266" s="9" t="s">
        <v>437</v>
      </c>
      <c r="I5266" s="9" t="s">
        <v>353</v>
      </c>
      <c r="J5266" s="88"/>
    </row>
    <row r="5267">
      <c r="A5267" s="259"/>
      <c r="B5267" s="9" t="s">
        <v>8868</v>
      </c>
      <c r="C5267" s="91" t="s">
        <v>1489</v>
      </c>
      <c r="D5267" s="9" t="s">
        <v>8649</v>
      </c>
      <c r="E5267" s="9" t="s">
        <v>13</v>
      </c>
      <c r="F5267" s="9"/>
      <c r="G5267" s="91"/>
      <c r="H5267" s="9" t="s">
        <v>437</v>
      </c>
      <c r="I5267" s="9" t="s">
        <v>353</v>
      </c>
      <c r="J5267" s="88"/>
    </row>
    <row r="5268">
      <c r="A5268" s="259"/>
      <c r="B5268" s="9" t="s">
        <v>2997</v>
      </c>
      <c r="C5268" s="91" t="s">
        <v>1097</v>
      </c>
      <c r="D5268" s="9" t="s">
        <v>8638</v>
      </c>
      <c r="E5268" s="9" t="s">
        <v>13</v>
      </c>
      <c r="F5268" s="9"/>
      <c r="G5268" s="9"/>
      <c r="H5268" s="9" t="s">
        <v>437</v>
      </c>
      <c r="I5268" s="9" t="s">
        <v>353</v>
      </c>
      <c r="J5268" s="88"/>
    </row>
    <row r="5269">
      <c r="A5269" s="259"/>
      <c r="B5269" s="9" t="s">
        <v>8895</v>
      </c>
      <c r="C5269" s="91" t="s">
        <v>1097</v>
      </c>
      <c r="D5269" s="9" t="s">
        <v>8638</v>
      </c>
      <c r="E5269" s="9" t="s">
        <v>13</v>
      </c>
      <c r="F5269" s="9"/>
      <c r="G5269" s="9"/>
      <c r="H5269" s="123" t="s">
        <v>8896</v>
      </c>
      <c r="I5269" s="9" t="s">
        <v>353</v>
      </c>
      <c r="J5269" s="88"/>
    </row>
    <row r="5270">
      <c r="A5270" s="259"/>
      <c r="B5270" s="9" t="s">
        <v>8897</v>
      </c>
      <c r="C5270" s="91" t="s">
        <v>1489</v>
      </c>
      <c r="D5270" s="9" t="s">
        <v>8638</v>
      </c>
      <c r="E5270" s="9" t="s">
        <v>13</v>
      </c>
      <c r="F5270" s="9"/>
      <c r="G5270" s="91"/>
      <c r="H5270" s="9" t="s">
        <v>8898</v>
      </c>
      <c r="I5270" s="9" t="s">
        <v>353</v>
      </c>
      <c r="J5270" s="88"/>
    </row>
    <row r="5271">
      <c r="A5271" s="259"/>
      <c r="B5271" s="9" t="s">
        <v>8899</v>
      </c>
      <c r="C5271" s="91" t="s">
        <v>1489</v>
      </c>
      <c r="D5271" s="9" t="s">
        <v>8649</v>
      </c>
      <c r="E5271" s="9" t="s">
        <v>13</v>
      </c>
      <c r="F5271" s="9"/>
      <c r="G5271" s="91"/>
      <c r="H5271" s="9" t="s">
        <v>437</v>
      </c>
      <c r="I5271" s="9" t="s">
        <v>353</v>
      </c>
      <c r="J5271" s="88"/>
    </row>
    <row r="5272">
      <c r="A5272" s="259"/>
      <c r="B5272" s="9" t="s">
        <v>8900</v>
      </c>
      <c r="C5272" s="91" t="s">
        <v>1489</v>
      </c>
      <c r="D5272" s="9" t="s">
        <v>8649</v>
      </c>
      <c r="E5272" s="9" t="s">
        <v>13</v>
      </c>
      <c r="F5272" s="9"/>
      <c r="G5272" s="91"/>
      <c r="H5272" s="9" t="s">
        <v>437</v>
      </c>
      <c r="I5272" s="9" t="s">
        <v>353</v>
      </c>
      <c r="J5272" s="88"/>
    </row>
    <row r="5273">
      <c r="A5273" s="259"/>
      <c r="B5273" s="9" t="s">
        <v>6290</v>
      </c>
      <c r="C5273" s="91" t="s">
        <v>1489</v>
      </c>
      <c r="D5273" s="9" t="s">
        <v>8649</v>
      </c>
      <c r="E5273" s="9" t="s">
        <v>13</v>
      </c>
      <c r="F5273" s="9"/>
      <c r="G5273" s="91"/>
      <c r="H5273" s="9" t="s">
        <v>8901</v>
      </c>
      <c r="I5273" s="9" t="s">
        <v>353</v>
      </c>
      <c r="J5273" s="88"/>
    </row>
    <row r="5274">
      <c r="A5274" s="259"/>
      <c r="B5274" s="9" t="s">
        <v>6290</v>
      </c>
      <c r="C5274" s="91" t="s">
        <v>1489</v>
      </c>
      <c r="D5274" s="9" t="s">
        <v>8649</v>
      </c>
      <c r="E5274" s="9" t="s">
        <v>13</v>
      </c>
      <c r="F5274" s="9"/>
      <c r="G5274" s="91"/>
      <c r="H5274" s="9" t="s">
        <v>8902</v>
      </c>
      <c r="I5274" s="9" t="s">
        <v>353</v>
      </c>
      <c r="J5274" s="88"/>
    </row>
    <row r="5275">
      <c r="A5275" s="259"/>
      <c r="B5275" s="9" t="s">
        <v>8903</v>
      </c>
      <c r="C5275" s="91" t="s">
        <v>1489</v>
      </c>
      <c r="D5275" s="9" t="s">
        <v>8665</v>
      </c>
      <c r="E5275" s="9" t="s">
        <v>13</v>
      </c>
      <c r="F5275" s="9"/>
      <c r="G5275" s="91"/>
      <c r="H5275" s="9" t="s">
        <v>6251</v>
      </c>
      <c r="I5275" s="9" t="s">
        <v>353</v>
      </c>
      <c r="J5275" s="88"/>
    </row>
    <row r="5276">
      <c r="A5276" s="259"/>
      <c r="B5276" s="9" t="s">
        <v>8904</v>
      </c>
      <c r="C5276" s="91" t="s">
        <v>1489</v>
      </c>
      <c r="D5276" s="9" t="s">
        <v>8665</v>
      </c>
      <c r="E5276" s="9" t="s">
        <v>13</v>
      </c>
      <c r="F5276" s="9"/>
      <c r="G5276" s="91"/>
      <c r="H5276" s="9" t="s">
        <v>6251</v>
      </c>
      <c r="I5276" s="9" t="s">
        <v>353</v>
      </c>
      <c r="J5276" s="88"/>
    </row>
    <row r="5277">
      <c r="A5277" s="259"/>
      <c r="B5277" s="9" t="s">
        <v>8905</v>
      </c>
      <c r="C5277" s="91" t="s">
        <v>1489</v>
      </c>
      <c r="D5277" s="9" t="s">
        <v>8665</v>
      </c>
      <c r="E5277" s="9" t="s">
        <v>13</v>
      </c>
      <c r="F5277" s="9"/>
      <c r="G5277" s="91"/>
      <c r="H5277" s="9" t="s">
        <v>6251</v>
      </c>
      <c r="I5277" s="9" t="s">
        <v>353</v>
      </c>
      <c r="J5277" s="88"/>
    </row>
    <row r="5278">
      <c r="A5278" s="259"/>
      <c r="B5278" s="9" t="s">
        <v>8672</v>
      </c>
      <c r="C5278" s="91" t="s">
        <v>1489</v>
      </c>
      <c r="D5278" s="9" t="s">
        <v>8665</v>
      </c>
      <c r="E5278" s="9" t="s">
        <v>13</v>
      </c>
      <c r="F5278" s="9"/>
      <c r="G5278" s="91"/>
      <c r="H5278" s="9" t="s">
        <v>18</v>
      </c>
      <c r="I5278" s="9" t="s">
        <v>353</v>
      </c>
      <c r="J5278" s="88"/>
    </row>
    <row r="5279">
      <c r="A5279" s="259"/>
      <c r="B5279" s="268" t="s">
        <v>7495</v>
      </c>
      <c r="C5279" s="91" t="s">
        <v>1097</v>
      </c>
      <c r="D5279" s="9" t="s">
        <v>8665</v>
      </c>
      <c r="E5279" s="9" t="s">
        <v>13</v>
      </c>
      <c r="F5279" s="9"/>
      <c r="G5279" s="91"/>
      <c r="H5279" s="9" t="s">
        <v>18</v>
      </c>
      <c r="I5279" s="9" t="s">
        <v>353</v>
      </c>
      <c r="J5279" s="88"/>
    </row>
    <row r="5280">
      <c r="A5280" s="259"/>
      <c r="B5280" s="9" t="s">
        <v>8906</v>
      </c>
      <c r="C5280" s="91" t="s">
        <v>11</v>
      </c>
      <c r="D5280" s="9" t="s">
        <v>8665</v>
      </c>
      <c r="E5280" s="9" t="s">
        <v>13</v>
      </c>
      <c r="F5280" s="9"/>
      <c r="G5280" s="91"/>
      <c r="H5280" s="9" t="s">
        <v>18</v>
      </c>
      <c r="I5280" s="9" t="s">
        <v>353</v>
      </c>
      <c r="J5280" s="88"/>
    </row>
    <row r="5281">
      <c r="A5281" s="259"/>
      <c r="B5281" s="9" t="s">
        <v>8907</v>
      </c>
      <c r="C5281" s="91" t="s">
        <v>1489</v>
      </c>
      <c r="D5281" s="9" t="s">
        <v>8665</v>
      </c>
      <c r="E5281" s="9" t="s">
        <v>13</v>
      </c>
      <c r="F5281" s="9"/>
      <c r="G5281" s="91"/>
      <c r="H5281" s="9" t="s">
        <v>18</v>
      </c>
      <c r="I5281" s="9" t="s">
        <v>353</v>
      </c>
      <c r="J5281" s="88"/>
    </row>
    <row r="5282">
      <c r="A5282" s="259"/>
      <c r="B5282" s="9" t="s">
        <v>7862</v>
      </c>
      <c r="C5282" s="91" t="s">
        <v>1489</v>
      </c>
      <c r="D5282" s="9" t="s">
        <v>8665</v>
      </c>
      <c r="E5282" s="9" t="s">
        <v>13</v>
      </c>
      <c r="F5282" s="9"/>
      <c r="G5282" s="91"/>
      <c r="H5282" s="9" t="s">
        <v>7989</v>
      </c>
      <c r="I5282" s="9" t="s">
        <v>353</v>
      </c>
      <c r="J5282" s="88"/>
    </row>
    <row r="5283">
      <c r="A5283" s="259"/>
      <c r="B5283" s="9" t="s">
        <v>6660</v>
      </c>
      <c r="C5283" s="91" t="s">
        <v>1489</v>
      </c>
      <c r="D5283" s="9" t="s">
        <v>8665</v>
      </c>
      <c r="E5283" s="9" t="s">
        <v>13</v>
      </c>
      <c r="F5283" s="9"/>
      <c r="G5283" s="91"/>
      <c r="H5283" s="9" t="s">
        <v>8908</v>
      </c>
      <c r="I5283" s="9" t="s">
        <v>353</v>
      </c>
      <c r="J5283" s="88"/>
    </row>
    <row r="5284">
      <c r="A5284" s="259"/>
      <c r="B5284" s="9" t="s">
        <v>8909</v>
      </c>
      <c r="C5284" s="91" t="s">
        <v>1097</v>
      </c>
      <c r="D5284" s="9" t="s">
        <v>8665</v>
      </c>
      <c r="E5284" s="9" t="s">
        <v>13</v>
      </c>
      <c r="F5284" s="9"/>
      <c r="G5284" s="91"/>
      <c r="H5284" s="9" t="s">
        <v>7804</v>
      </c>
      <c r="I5284" s="9" t="s">
        <v>353</v>
      </c>
      <c r="J5284" s="88"/>
    </row>
    <row r="5285">
      <c r="A5285" s="259"/>
      <c r="B5285" s="9" t="s">
        <v>8910</v>
      </c>
      <c r="C5285" s="91" t="s">
        <v>1489</v>
      </c>
      <c r="D5285" s="9" t="s">
        <v>8665</v>
      </c>
      <c r="E5285" s="9" t="s">
        <v>13</v>
      </c>
      <c r="F5285" s="9"/>
      <c r="G5285" s="91"/>
      <c r="H5285" s="9" t="s">
        <v>8911</v>
      </c>
      <c r="I5285" s="9" t="s">
        <v>353</v>
      </c>
      <c r="J5285" s="88"/>
    </row>
    <row r="5286">
      <c r="A5286" s="259"/>
      <c r="B5286" s="9" t="s">
        <v>8912</v>
      </c>
      <c r="C5286" s="91" t="s">
        <v>1489</v>
      </c>
      <c r="D5286" s="9" t="s">
        <v>8638</v>
      </c>
      <c r="E5286" s="9" t="s">
        <v>13</v>
      </c>
      <c r="F5286" s="9"/>
      <c r="G5286" s="9"/>
      <c r="H5286" s="9" t="s">
        <v>8701</v>
      </c>
      <c r="I5286" s="9" t="s">
        <v>353</v>
      </c>
      <c r="J5286" s="88"/>
    </row>
    <row r="5287">
      <c r="A5287" s="259"/>
      <c r="B5287" s="9" t="s">
        <v>8913</v>
      </c>
      <c r="C5287" s="91" t="s">
        <v>1489</v>
      </c>
      <c r="D5287" s="9" t="s">
        <v>8649</v>
      </c>
      <c r="E5287" s="9" t="s">
        <v>353</v>
      </c>
      <c r="F5287" s="9"/>
      <c r="G5287" s="91"/>
      <c r="H5287" s="9" t="s">
        <v>437</v>
      </c>
      <c r="I5287" s="9" t="s">
        <v>353</v>
      </c>
      <c r="J5287" s="88"/>
    </row>
    <row r="5288">
      <c r="A5288" s="259"/>
      <c r="B5288" s="9" t="s">
        <v>6880</v>
      </c>
      <c r="C5288" s="91" t="s">
        <v>1489</v>
      </c>
      <c r="D5288" s="9" t="s">
        <v>8649</v>
      </c>
      <c r="E5288" s="9" t="s">
        <v>13</v>
      </c>
      <c r="F5288" s="9"/>
      <c r="G5288" s="91"/>
      <c r="H5288" s="9" t="s">
        <v>437</v>
      </c>
      <c r="I5288" s="9" t="s">
        <v>353</v>
      </c>
      <c r="J5288" s="88"/>
    </row>
    <row r="5289">
      <c r="A5289" s="259"/>
      <c r="B5289" s="9" t="s">
        <v>6290</v>
      </c>
      <c r="C5289" s="91" t="s">
        <v>8741</v>
      </c>
      <c r="D5289" s="9" t="s">
        <v>8638</v>
      </c>
      <c r="E5289" s="9" t="s">
        <v>13</v>
      </c>
      <c r="F5289" s="9"/>
      <c r="G5289" s="91"/>
      <c r="H5289" s="9" t="s">
        <v>8914</v>
      </c>
      <c r="I5289" s="9" t="s">
        <v>353</v>
      </c>
      <c r="J5289" s="88"/>
    </row>
    <row r="5290">
      <c r="A5290" s="259"/>
      <c r="B5290" s="9" t="s">
        <v>8915</v>
      </c>
      <c r="C5290" s="91" t="s">
        <v>1489</v>
      </c>
      <c r="D5290" s="9" t="s">
        <v>8649</v>
      </c>
      <c r="E5290" s="9" t="s">
        <v>13</v>
      </c>
      <c r="F5290" s="9"/>
      <c r="G5290" s="91"/>
      <c r="H5290" s="9" t="s">
        <v>437</v>
      </c>
      <c r="I5290" s="9" t="s">
        <v>353</v>
      </c>
      <c r="J5290" s="88"/>
    </row>
    <row r="5291">
      <c r="A5291" s="259"/>
      <c r="B5291" s="9" t="s">
        <v>8916</v>
      </c>
      <c r="C5291" s="91" t="s">
        <v>1489</v>
      </c>
      <c r="D5291" s="9" t="s">
        <v>8649</v>
      </c>
      <c r="E5291" s="9" t="s">
        <v>13</v>
      </c>
      <c r="F5291" s="9"/>
      <c r="G5291" s="91"/>
      <c r="H5291" s="9" t="s">
        <v>437</v>
      </c>
      <c r="I5291" s="9" t="s">
        <v>353</v>
      </c>
      <c r="J5291" s="88"/>
    </row>
    <row r="5292">
      <c r="A5292" s="259"/>
      <c r="B5292" s="9" t="s">
        <v>8917</v>
      </c>
      <c r="C5292" s="91" t="s">
        <v>1489</v>
      </c>
      <c r="D5292" s="9" t="s">
        <v>8665</v>
      </c>
      <c r="E5292" s="9" t="s">
        <v>353</v>
      </c>
      <c r="F5292" s="9"/>
      <c r="G5292" s="91"/>
      <c r="H5292" s="9" t="s">
        <v>7804</v>
      </c>
      <c r="I5292" s="9" t="s">
        <v>353</v>
      </c>
      <c r="J5292" s="88"/>
    </row>
    <row r="5293">
      <c r="A5293" s="259"/>
      <c r="B5293" s="9" t="s">
        <v>8918</v>
      </c>
      <c r="C5293" s="91" t="s">
        <v>11</v>
      </c>
      <c r="D5293" s="9" t="s">
        <v>8665</v>
      </c>
      <c r="E5293" s="9" t="s">
        <v>13</v>
      </c>
      <c r="F5293" s="9"/>
      <c r="G5293" s="91"/>
      <c r="H5293" s="9" t="s">
        <v>18</v>
      </c>
      <c r="I5293" s="9" t="s">
        <v>353</v>
      </c>
      <c r="J5293" s="88"/>
    </row>
    <row r="5294">
      <c r="A5294" s="259"/>
      <c r="B5294" s="9" t="s">
        <v>8919</v>
      </c>
      <c r="C5294" s="91" t="s">
        <v>1097</v>
      </c>
      <c r="D5294" s="9" t="s">
        <v>8665</v>
      </c>
      <c r="E5294" s="9" t="s">
        <v>13</v>
      </c>
      <c r="F5294" s="9"/>
      <c r="G5294" s="91"/>
      <c r="H5294" s="9" t="s">
        <v>8920</v>
      </c>
      <c r="I5294" s="9" t="s">
        <v>353</v>
      </c>
      <c r="J5294" s="88"/>
    </row>
    <row r="5295">
      <c r="A5295" s="259"/>
      <c r="B5295" s="9" t="s">
        <v>8921</v>
      </c>
      <c r="C5295" s="91" t="s">
        <v>1489</v>
      </c>
      <c r="D5295" s="9" t="s">
        <v>8665</v>
      </c>
      <c r="E5295" s="9" t="s">
        <v>13</v>
      </c>
      <c r="F5295" s="9"/>
      <c r="G5295" s="91"/>
      <c r="H5295" s="9" t="s">
        <v>18</v>
      </c>
      <c r="I5295" s="9" t="s">
        <v>353</v>
      </c>
      <c r="J5295" s="88"/>
    </row>
    <row r="5296">
      <c r="A5296" s="259"/>
      <c r="B5296" s="9" t="s">
        <v>8922</v>
      </c>
      <c r="C5296" s="91" t="s">
        <v>1489</v>
      </c>
      <c r="D5296" s="9" t="s">
        <v>8665</v>
      </c>
      <c r="E5296" s="9" t="s">
        <v>13</v>
      </c>
      <c r="F5296" s="9"/>
      <c r="G5296" s="91"/>
      <c r="H5296" s="9" t="s">
        <v>7804</v>
      </c>
      <c r="I5296" s="9" t="s">
        <v>353</v>
      </c>
      <c r="J5296" s="88"/>
    </row>
    <row r="5297">
      <c r="A5297" s="259"/>
      <c r="B5297" s="9" t="s">
        <v>7147</v>
      </c>
      <c r="C5297" s="91" t="s">
        <v>1489</v>
      </c>
      <c r="D5297" s="9" t="s">
        <v>8649</v>
      </c>
      <c r="E5297" s="9" t="s">
        <v>13</v>
      </c>
      <c r="F5297" s="9"/>
      <c r="G5297" s="91"/>
      <c r="H5297" s="9" t="s">
        <v>437</v>
      </c>
      <c r="I5297" s="9" t="s">
        <v>353</v>
      </c>
      <c r="J5297" s="88"/>
    </row>
    <row r="5298">
      <c r="A5298" s="259"/>
      <c r="B5298" s="9" t="s">
        <v>7543</v>
      </c>
      <c r="C5298" s="91" t="s">
        <v>1097</v>
      </c>
      <c r="D5298" s="9" t="s">
        <v>8649</v>
      </c>
      <c r="E5298" s="9" t="s">
        <v>13</v>
      </c>
      <c r="F5298" s="9"/>
      <c r="G5298" s="91"/>
      <c r="H5298" s="9" t="s">
        <v>437</v>
      </c>
      <c r="I5298" s="9" t="s">
        <v>353</v>
      </c>
      <c r="J5298" s="88"/>
    </row>
    <row r="5299">
      <c r="A5299" s="259"/>
      <c r="B5299" s="9" t="s">
        <v>2814</v>
      </c>
      <c r="C5299" s="91" t="s">
        <v>1489</v>
      </c>
      <c r="D5299" s="9" t="s">
        <v>8649</v>
      </c>
      <c r="E5299" s="9" t="s">
        <v>13</v>
      </c>
      <c r="F5299" s="9"/>
      <c r="G5299" s="91"/>
      <c r="H5299" s="9" t="s">
        <v>8923</v>
      </c>
      <c r="I5299" s="9" t="s">
        <v>353</v>
      </c>
      <c r="J5299" s="88"/>
    </row>
    <row r="5300">
      <c r="A5300" s="259"/>
      <c r="B5300" s="9" t="s">
        <v>8924</v>
      </c>
      <c r="C5300" s="91" t="s">
        <v>1489</v>
      </c>
      <c r="D5300" s="9" t="s">
        <v>8649</v>
      </c>
      <c r="E5300" s="9" t="s">
        <v>13</v>
      </c>
      <c r="F5300" s="9"/>
      <c r="G5300" s="91"/>
      <c r="H5300" s="9" t="s">
        <v>437</v>
      </c>
      <c r="I5300" s="9" t="s">
        <v>353</v>
      </c>
      <c r="J5300" s="88"/>
    </row>
    <row r="5301">
      <c r="A5301" s="259"/>
      <c r="B5301" s="9" t="s">
        <v>8925</v>
      </c>
      <c r="C5301" s="91" t="s">
        <v>1489</v>
      </c>
      <c r="D5301" s="9" t="s">
        <v>8649</v>
      </c>
      <c r="E5301" s="9" t="s">
        <v>13</v>
      </c>
      <c r="F5301" s="9"/>
      <c r="G5301" s="91"/>
      <c r="H5301" s="9" t="s">
        <v>437</v>
      </c>
      <c r="I5301" s="9" t="s">
        <v>353</v>
      </c>
      <c r="J5301" s="88"/>
    </row>
    <row r="5302">
      <c r="A5302" s="259"/>
      <c r="B5302" s="9" t="s">
        <v>8926</v>
      </c>
      <c r="C5302" s="91" t="s">
        <v>1097</v>
      </c>
      <c r="D5302" s="9" t="s">
        <v>8649</v>
      </c>
      <c r="E5302" s="9" t="s">
        <v>13</v>
      </c>
      <c r="F5302" s="9"/>
      <c r="G5302" s="91"/>
      <c r="H5302" s="9" t="s">
        <v>437</v>
      </c>
      <c r="I5302" s="9" t="s">
        <v>353</v>
      </c>
      <c r="J5302" s="88"/>
    </row>
    <row r="5303">
      <c r="A5303" s="259"/>
      <c r="B5303" s="9" t="s">
        <v>8927</v>
      </c>
      <c r="C5303" s="91" t="s">
        <v>1097</v>
      </c>
      <c r="D5303" s="9" t="s">
        <v>8649</v>
      </c>
      <c r="E5303" s="9" t="s">
        <v>13</v>
      </c>
      <c r="F5303" s="9"/>
      <c r="G5303" s="91"/>
      <c r="H5303" s="9" t="s">
        <v>437</v>
      </c>
      <c r="I5303" s="9" t="s">
        <v>353</v>
      </c>
      <c r="J5303" s="88"/>
    </row>
    <row r="5304">
      <c r="A5304" s="259"/>
      <c r="B5304" s="9" t="s">
        <v>7377</v>
      </c>
      <c r="C5304" s="91" t="s">
        <v>1489</v>
      </c>
      <c r="D5304" s="9" t="s">
        <v>8649</v>
      </c>
      <c r="E5304" s="9" t="s">
        <v>13</v>
      </c>
      <c r="F5304" s="9"/>
      <c r="G5304" s="91"/>
      <c r="H5304" s="9" t="s">
        <v>437</v>
      </c>
      <c r="I5304" s="9" t="s">
        <v>353</v>
      </c>
      <c r="J5304" s="88"/>
    </row>
    <row r="5305">
      <c r="A5305" s="259"/>
      <c r="B5305" s="9" t="s">
        <v>8928</v>
      </c>
      <c r="C5305" s="91" t="s">
        <v>8741</v>
      </c>
      <c r="D5305" s="9" t="s">
        <v>8638</v>
      </c>
      <c r="E5305" s="9" t="s">
        <v>13</v>
      </c>
      <c r="F5305" s="9"/>
      <c r="G5305" s="91"/>
      <c r="H5305" s="9" t="s">
        <v>8929</v>
      </c>
      <c r="I5305" s="9" t="s">
        <v>353</v>
      </c>
      <c r="J5305" s="88"/>
    </row>
    <row r="5306">
      <c r="A5306" s="259"/>
      <c r="B5306" s="9" t="s">
        <v>7451</v>
      </c>
      <c r="C5306" s="91" t="s">
        <v>1489</v>
      </c>
      <c r="D5306" s="9" t="s">
        <v>8649</v>
      </c>
      <c r="E5306" s="9" t="s">
        <v>13</v>
      </c>
      <c r="F5306" s="9"/>
      <c r="G5306" s="91"/>
      <c r="H5306" s="9" t="s">
        <v>437</v>
      </c>
      <c r="I5306" s="9" t="s">
        <v>353</v>
      </c>
      <c r="J5306" s="88"/>
    </row>
    <row r="5307">
      <c r="A5307" s="259"/>
      <c r="B5307" s="9" t="s">
        <v>8930</v>
      </c>
      <c r="C5307" s="91" t="s">
        <v>1489</v>
      </c>
      <c r="D5307" s="9" t="s">
        <v>8649</v>
      </c>
      <c r="E5307" s="9" t="s">
        <v>13</v>
      </c>
      <c r="F5307" s="9"/>
      <c r="G5307" s="91"/>
      <c r="H5307" s="9" t="s">
        <v>437</v>
      </c>
      <c r="I5307" s="9" t="s">
        <v>353</v>
      </c>
      <c r="J5307" s="88"/>
    </row>
    <row r="5308">
      <c r="A5308" s="259"/>
      <c r="B5308" s="9" t="s">
        <v>8931</v>
      </c>
      <c r="C5308" s="91" t="s">
        <v>1489</v>
      </c>
      <c r="D5308" s="9" t="s">
        <v>8649</v>
      </c>
      <c r="E5308" s="9" t="s">
        <v>13</v>
      </c>
      <c r="F5308" s="9"/>
      <c r="G5308" s="91"/>
      <c r="H5308" s="9" t="s">
        <v>437</v>
      </c>
      <c r="I5308" s="9" t="s">
        <v>353</v>
      </c>
      <c r="J5308" s="88"/>
    </row>
    <row r="5309">
      <c r="A5309" s="259"/>
      <c r="B5309" s="9" t="s">
        <v>6023</v>
      </c>
      <c r="C5309" s="91" t="s">
        <v>1489</v>
      </c>
      <c r="D5309" s="9" t="s">
        <v>8649</v>
      </c>
      <c r="E5309" s="9" t="s">
        <v>13</v>
      </c>
      <c r="F5309" s="9"/>
      <c r="G5309" s="91"/>
      <c r="H5309" s="9" t="s">
        <v>437</v>
      </c>
      <c r="I5309" s="9" t="s">
        <v>353</v>
      </c>
      <c r="J5309" s="88"/>
    </row>
    <row r="5310">
      <c r="A5310" s="259"/>
      <c r="B5310" s="9" t="s">
        <v>8932</v>
      </c>
      <c r="C5310" s="91" t="s">
        <v>1097</v>
      </c>
      <c r="D5310" s="9" t="s">
        <v>8649</v>
      </c>
      <c r="E5310" s="9" t="s">
        <v>353</v>
      </c>
      <c r="F5310" s="9"/>
      <c r="G5310" s="91"/>
      <c r="H5310" s="9" t="s">
        <v>437</v>
      </c>
      <c r="I5310" s="9" t="s">
        <v>353</v>
      </c>
      <c r="J5310" s="88"/>
    </row>
    <row r="5311">
      <c r="A5311" s="259"/>
      <c r="B5311" s="9" t="s">
        <v>7931</v>
      </c>
      <c r="C5311" s="91" t="s">
        <v>1489</v>
      </c>
      <c r="D5311" s="9" t="s">
        <v>8649</v>
      </c>
      <c r="E5311" s="9" t="s">
        <v>13</v>
      </c>
      <c r="F5311" s="9"/>
      <c r="G5311" s="91"/>
      <c r="H5311" s="9" t="s">
        <v>437</v>
      </c>
      <c r="I5311" s="9" t="s">
        <v>353</v>
      </c>
      <c r="J5311" s="88"/>
    </row>
    <row r="5312">
      <c r="A5312" s="259"/>
      <c r="B5312" s="9" t="s">
        <v>8762</v>
      </c>
      <c r="C5312" s="91" t="s">
        <v>1489</v>
      </c>
      <c r="D5312" s="9" t="s">
        <v>8649</v>
      </c>
      <c r="E5312" s="9" t="s">
        <v>13</v>
      </c>
      <c r="F5312" s="9"/>
      <c r="G5312" s="91"/>
      <c r="H5312" s="9" t="s">
        <v>437</v>
      </c>
      <c r="I5312" s="9" t="s">
        <v>353</v>
      </c>
      <c r="J5312" s="88"/>
    </row>
    <row r="5313">
      <c r="A5313" s="259"/>
      <c r="B5313" s="9" t="s">
        <v>8933</v>
      </c>
      <c r="C5313" s="91" t="s">
        <v>1097</v>
      </c>
      <c r="D5313" s="9" t="s">
        <v>8649</v>
      </c>
      <c r="E5313" s="9" t="s">
        <v>13</v>
      </c>
      <c r="F5313" s="9"/>
      <c r="G5313" s="91"/>
      <c r="H5313" s="9" t="s">
        <v>437</v>
      </c>
      <c r="I5313" s="9" t="s">
        <v>353</v>
      </c>
      <c r="J5313" s="88"/>
    </row>
    <row r="5314">
      <c r="A5314" s="259"/>
      <c r="B5314" s="9" t="s">
        <v>8934</v>
      </c>
      <c r="C5314" s="91" t="s">
        <v>1489</v>
      </c>
      <c r="D5314" s="9" t="s">
        <v>8649</v>
      </c>
      <c r="E5314" s="9" t="s">
        <v>13</v>
      </c>
      <c r="F5314" s="9"/>
      <c r="G5314" s="91"/>
      <c r="H5314" s="9" t="s">
        <v>437</v>
      </c>
      <c r="I5314" s="9" t="s">
        <v>353</v>
      </c>
      <c r="J5314" s="88"/>
    </row>
    <row r="5315">
      <c r="A5315" s="259"/>
      <c r="B5315" s="9" t="s">
        <v>8935</v>
      </c>
      <c r="C5315" s="91" t="s">
        <v>1097</v>
      </c>
      <c r="D5315" s="9" t="s">
        <v>8649</v>
      </c>
      <c r="E5315" s="9" t="s">
        <v>13</v>
      </c>
      <c r="F5315" s="9"/>
      <c r="G5315" s="91"/>
      <c r="H5315" s="9" t="s">
        <v>437</v>
      </c>
      <c r="I5315" s="9" t="s">
        <v>353</v>
      </c>
      <c r="J5315" s="88"/>
    </row>
    <row r="5316">
      <c r="A5316" s="259"/>
      <c r="B5316" s="9" t="s">
        <v>8936</v>
      </c>
      <c r="C5316" s="91" t="s">
        <v>1489</v>
      </c>
      <c r="D5316" s="9" t="s">
        <v>8649</v>
      </c>
      <c r="E5316" s="9" t="s">
        <v>13</v>
      </c>
      <c r="F5316" s="9"/>
      <c r="G5316" s="91"/>
      <c r="H5316" s="9" t="s">
        <v>437</v>
      </c>
      <c r="I5316" s="9" t="s">
        <v>353</v>
      </c>
      <c r="J5316" s="88"/>
    </row>
    <row r="5317">
      <c r="A5317" s="259"/>
      <c r="B5317" s="9" t="s">
        <v>8937</v>
      </c>
      <c r="C5317" s="91" t="s">
        <v>1097</v>
      </c>
      <c r="D5317" s="9" t="s">
        <v>8638</v>
      </c>
      <c r="E5317" s="9" t="s">
        <v>13</v>
      </c>
      <c r="F5317" s="9"/>
      <c r="G5317" s="9"/>
      <c r="H5317" s="9" t="s">
        <v>8938</v>
      </c>
      <c r="I5317" s="9" t="s">
        <v>353</v>
      </c>
      <c r="J5317" s="88"/>
    </row>
    <row r="5318">
      <c r="A5318" s="259"/>
      <c r="B5318" s="9" t="s">
        <v>8939</v>
      </c>
      <c r="C5318" s="91" t="s">
        <v>1489</v>
      </c>
      <c r="D5318" s="9" t="s">
        <v>8665</v>
      </c>
      <c r="E5318" s="9" t="s">
        <v>13</v>
      </c>
      <c r="F5318" s="9"/>
      <c r="G5318" s="91"/>
      <c r="H5318" s="9" t="s">
        <v>6251</v>
      </c>
      <c r="I5318" s="9" t="s">
        <v>353</v>
      </c>
      <c r="J5318" s="88"/>
    </row>
    <row r="5319">
      <c r="A5319" s="259"/>
      <c r="B5319" s="9" t="s">
        <v>8940</v>
      </c>
      <c r="C5319" s="91" t="s">
        <v>1489</v>
      </c>
      <c r="D5319" s="9" t="s">
        <v>8665</v>
      </c>
      <c r="E5319" s="9" t="s">
        <v>13</v>
      </c>
      <c r="F5319" s="9"/>
      <c r="G5319" s="91"/>
      <c r="H5319" s="9" t="s">
        <v>6251</v>
      </c>
      <c r="I5319" s="9" t="s">
        <v>353</v>
      </c>
      <c r="J5319" s="88"/>
    </row>
    <row r="5320">
      <c r="A5320" s="259"/>
      <c r="B5320" s="9" t="s">
        <v>8941</v>
      </c>
      <c r="C5320" s="91" t="s">
        <v>1489</v>
      </c>
      <c r="D5320" s="9" t="s">
        <v>8665</v>
      </c>
      <c r="E5320" s="9" t="s">
        <v>13</v>
      </c>
      <c r="F5320" s="9"/>
      <c r="G5320" s="91"/>
      <c r="H5320" s="9" t="s">
        <v>6251</v>
      </c>
      <c r="I5320" s="9" t="s">
        <v>353</v>
      </c>
      <c r="J5320" s="88"/>
    </row>
    <row r="5321">
      <c r="A5321" s="259"/>
      <c r="B5321" s="9" t="s">
        <v>8942</v>
      </c>
      <c r="C5321" s="91" t="s">
        <v>1489</v>
      </c>
      <c r="D5321" s="9" t="s">
        <v>8665</v>
      </c>
      <c r="E5321" s="9" t="s">
        <v>13</v>
      </c>
      <c r="F5321" s="9"/>
      <c r="G5321" s="91"/>
      <c r="H5321" s="9" t="s">
        <v>6251</v>
      </c>
      <c r="I5321" s="9" t="s">
        <v>353</v>
      </c>
      <c r="J5321" s="88"/>
    </row>
    <row r="5322">
      <c r="A5322" s="259"/>
      <c r="B5322" s="9" t="s">
        <v>8943</v>
      </c>
      <c r="C5322" s="91" t="s">
        <v>1489</v>
      </c>
      <c r="D5322" s="9" t="s">
        <v>8665</v>
      </c>
      <c r="E5322" s="9" t="s">
        <v>13</v>
      </c>
      <c r="F5322" s="9"/>
      <c r="G5322" s="91"/>
      <c r="H5322" s="9" t="s">
        <v>6251</v>
      </c>
      <c r="I5322" s="9" t="s">
        <v>353</v>
      </c>
      <c r="J5322" s="88"/>
    </row>
    <row r="5323">
      <c r="A5323" s="259"/>
      <c r="B5323" s="9" t="s">
        <v>8944</v>
      </c>
      <c r="C5323" s="91" t="s">
        <v>1097</v>
      </c>
      <c r="D5323" s="9" t="s">
        <v>8665</v>
      </c>
      <c r="E5323" s="9" t="s">
        <v>13</v>
      </c>
      <c r="F5323" s="9"/>
      <c r="G5323" s="91"/>
      <c r="H5323" s="9" t="s">
        <v>7804</v>
      </c>
      <c r="I5323" s="9" t="s">
        <v>353</v>
      </c>
      <c r="J5323" s="88"/>
    </row>
    <row r="5324">
      <c r="A5324" s="259"/>
      <c r="B5324" s="9" t="s">
        <v>8945</v>
      </c>
      <c r="C5324" s="91" t="s">
        <v>1097</v>
      </c>
      <c r="D5324" s="9" t="s">
        <v>8665</v>
      </c>
      <c r="E5324" s="9" t="s">
        <v>13</v>
      </c>
      <c r="F5324" s="9"/>
      <c r="G5324" s="91"/>
      <c r="H5324" s="9" t="s">
        <v>7804</v>
      </c>
      <c r="I5324" s="9" t="s">
        <v>353</v>
      </c>
      <c r="J5324" s="88"/>
    </row>
    <row r="5325">
      <c r="A5325" s="88"/>
      <c r="B5325" s="89"/>
      <c r="C5325" s="90"/>
      <c r="D5325" s="89"/>
      <c r="E5325" s="89"/>
      <c r="F5325" s="89"/>
      <c r="G5325" s="89"/>
      <c r="H5325" s="87"/>
      <c r="I5325" s="89"/>
      <c r="J5325" s="88"/>
    </row>
    <row r="5326">
      <c r="A5326" s="259"/>
      <c r="B5326" s="9" t="s">
        <v>8946</v>
      </c>
      <c r="C5326" s="91" t="s">
        <v>1097</v>
      </c>
      <c r="D5326" s="9" t="s">
        <v>8665</v>
      </c>
      <c r="E5326" s="9" t="s">
        <v>13</v>
      </c>
      <c r="F5326" s="9"/>
      <c r="G5326" s="91"/>
      <c r="H5326" s="9" t="s">
        <v>7804</v>
      </c>
      <c r="I5326" s="9" t="s">
        <v>353</v>
      </c>
      <c r="J5326" s="88"/>
    </row>
    <row r="5327">
      <c r="A5327" s="259"/>
      <c r="B5327" s="9" t="s">
        <v>8947</v>
      </c>
      <c r="C5327" s="91" t="s">
        <v>1097</v>
      </c>
      <c r="D5327" s="9" t="s">
        <v>8665</v>
      </c>
      <c r="E5327" s="9" t="s">
        <v>13</v>
      </c>
      <c r="F5327" s="9"/>
      <c r="G5327" s="91"/>
      <c r="H5327" s="9" t="s">
        <v>7804</v>
      </c>
      <c r="I5327" s="9" t="s">
        <v>353</v>
      </c>
      <c r="J5327" s="88"/>
    </row>
    <row r="5328">
      <c r="A5328" s="259"/>
      <c r="B5328" s="9" t="s">
        <v>8948</v>
      </c>
      <c r="C5328" s="91" t="s">
        <v>1097</v>
      </c>
      <c r="D5328" s="9" t="s">
        <v>8665</v>
      </c>
      <c r="E5328" s="9" t="s">
        <v>353</v>
      </c>
      <c r="F5328" s="9"/>
      <c r="G5328" s="91"/>
      <c r="H5328" s="9" t="s">
        <v>7804</v>
      </c>
      <c r="I5328" s="9" t="s">
        <v>353</v>
      </c>
      <c r="J5328" s="88"/>
    </row>
    <row r="5329">
      <c r="A5329" s="259"/>
      <c r="B5329" s="9" t="s">
        <v>8949</v>
      </c>
      <c r="C5329" s="91" t="s">
        <v>1097</v>
      </c>
      <c r="D5329" s="9" t="s">
        <v>8665</v>
      </c>
      <c r="E5329" s="9" t="s">
        <v>13</v>
      </c>
      <c r="F5329" s="9"/>
      <c r="G5329" s="91"/>
      <c r="H5329" s="9" t="s">
        <v>8950</v>
      </c>
      <c r="I5329" s="9" t="s">
        <v>353</v>
      </c>
      <c r="J5329" s="88"/>
    </row>
    <row r="5330">
      <c r="A5330" s="259"/>
      <c r="B5330" s="9" t="s">
        <v>8951</v>
      </c>
      <c r="C5330" s="91" t="s">
        <v>8741</v>
      </c>
      <c r="D5330" s="9" t="s">
        <v>8665</v>
      </c>
      <c r="E5330" s="9" t="s">
        <v>13</v>
      </c>
      <c r="F5330" s="9"/>
      <c r="G5330" s="91"/>
      <c r="H5330" s="9" t="s">
        <v>8952</v>
      </c>
      <c r="I5330" s="9" t="s">
        <v>353</v>
      </c>
      <c r="J5330" s="88"/>
    </row>
    <row r="5331">
      <c r="A5331" s="259"/>
      <c r="B5331" s="9" t="s">
        <v>7203</v>
      </c>
      <c r="C5331" s="91" t="s">
        <v>1097</v>
      </c>
      <c r="D5331" s="9" t="s">
        <v>8638</v>
      </c>
      <c r="E5331" s="9" t="s">
        <v>13</v>
      </c>
      <c r="F5331" s="9"/>
      <c r="G5331" s="91"/>
      <c r="H5331" s="9" t="s">
        <v>8701</v>
      </c>
      <c r="I5331" s="9" t="s">
        <v>353</v>
      </c>
      <c r="J5331" s="88"/>
    </row>
    <row r="5332">
      <c r="A5332" s="259"/>
      <c r="B5332" s="9" t="s">
        <v>8953</v>
      </c>
      <c r="C5332" s="91" t="s">
        <v>1097</v>
      </c>
      <c r="D5332" s="9" t="s">
        <v>8638</v>
      </c>
      <c r="E5332" s="9" t="s">
        <v>13</v>
      </c>
      <c r="F5332" s="9"/>
      <c r="G5332" s="91"/>
      <c r="H5332" s="9" t="s">
        <v>8701</v>
      </c>
      <c r="I5332" s="9" t="s">
        <v>353</v>
      </c>
      <c r="J5332" s="88"/>
    </row>
    <row r="5333">
      <c r="A5333" s="259"/>
      <c r="B5333" s="9" t="s">
        <v>8744</v>
      </c>
      <c r="C5333" s="91" t="s">
        <v>1097</v>
      </c>
      <c r="D5333" s="9" t="s">
        <v>8665</v>
      </c>
      <c r="E5333" s="9" t="s">
        <v>13</v>
      </c>
      <c r="F5333" s="9"/>
      <c r="G5333" s="91"/>
      <c r="H5333" s="9" t="s">
        <v>18</v>
      </c>
      <c r="I5333" s="9" t="s">
        <v>353</v>
      </c>
      <c r="J5333" s="88"/>
    </row>
    <row r="5334">
      <c r="A5334" s="259"/>
      <c r="B5334" s="9" t="s">
        <v>8954</v>
      </c>
      <c r="C5334" s="91" t="s">
        <v>1489</v>
      </c>
      <c r="D5334" s="9" t="s">
        <v>8638</v>
      </c>
      <c r="E5334" s="9" t="s">
        <v>13</v>
      </c>
      <c r="F5334" s="9"/>
      <c r="G5334" s="91"/>
      <c r="H5334" s="9" t="s">
        <v>8955</v>
      </c>
      <c r="I5334" s="9" t="s">
        <v>353</v>
      </c>
      <c r="J5334" s="88"/>
    </row>
    <row r="5335">
      <c r="A5335" s="259"/>
      <c r="B5335" s="9" t="s">
        <v>8187</v>
      </c>
      <c r="C5335" s="91" t="s">
        <v>1489</v>
      </c>
      <c r="D5335" s="9" t="s">
        <v>8665</v>
      </c>
      <c r="E5335" s="9" t="s">
        <v>13</v>
      </c>
      <c r="F5335" s="9"/>
      <c r="G5335" s="91"/>
      <c r="H5335" s="9" t="s">
        <v>6251</v>
      </c>
      <c r="I5335" s="9" t="s">
        <v>353</v>
      </c>
      <c r="J5335" s="88"/>
    </row>
    <row r="5336">
      <c r="A5336" s="259"/>
      <c r="B5336" s="9" t="s">
        <v>8956</v>
      </c>
      <c r="C5336" s="91" t="s">
        <v>1489</v>
      </c>
      <c r="D5336" s="9" t="s">
        <v>8638</v>
      </c>
      <c r="E5336" s="9" t="s">
        <v>13</v>
      </c>
      <c r="F5336" s="9"/>
      <c r="G5336" s="91"/>
      <c r="H5336" s="9" t="s">
        <v>8701</v>
      </c>
      <c r="I5336" s="9" t="s">
        <v>353</v>
      </c>
      <c r="J5336" s="88"/>
    </row>
    <row r="5337">
      <c r="A5337" s="259"/>
      <c r="B5337" s="9" t="s">
        <v>8957</v>
      </c>
      <c r="C5337" s="91" t="s">
        <v>1097</v>
      </c>
      <c r="D5337" s="9" t="s">
        <v>8638</v>
      </c>
      <c r="E5337" s="9" t="s">
        <v>13</v>
      </c>
      <c r="F5337" s="9"/>
      <c r="G5337" s="91"/>
      <c r="H5337" s="9" t="s">
        <v>8731</v>
      </c>
      <c r="I5337" s="9" t="s">
        <v>353</v>
      </c>
      <c r="J5337" s="88"/>
    </row>
    <row r="5338">
      <c r="A5338" s="259"/>
      <c r="B5338" s="9" t="s">
        <v>8958</v>
      </c>
      <c r="C5338" s="91" t="s">
        <v>1489</v>
      </c>
      <c r="D5338" s="9" t="s">
        <v>8638</v>
      </c>
      <c r="E5338" s="9" t="s">
        <v>13</v>
      </c>
      <c r="F5338" s="9"/>
      <c r="G5338" s="91"/>
      <c r="H5338" s="9" t="s">
        <v>8959</v>
      </c>
      <c r="I5338" s="9" t="s">
        <v>353</v>
      </c>
      <c r="J5338" s="88"/>
    </row>
    <row r="5339">
      <c r="A5339" s="259"/>
      <c r="B5339" s="9" t="s">
        <v>8960</v>
      </c>
      <c r="C5339" s="91" t="s">
        <v>1097</v>
      </c>
      <c r="D5339" s="9" t="s">
        <v>8638</v>
      </c>
      <c r="E5339" s="9" t="s">
        <v>13</v>
      </c>
      <c r="F5339" s="9"/>
      <c r="G5339" s="91"/>
      <c r="H5339" s="9" t="s">
        <v>8961</v>
      </c>
      <c r="I5339" s="9" t="s">
        <v>353</v>
      </c>
      <c r="J5339" s="88"/>
    </row>
    <row r="5340">
      <c r="A5340" s="259"/>
      <c r="B5340" s="9" t="s">
        <v>8962</v>
      </c>
      <c r="C5340" s="91" t="s">
        <v>8741</v>
      </c>
      <c r="D5340" s="9" t="s">
        <v>8638</v>
      </c>
      <c r="E5340" s="9" t="s">
        <v>13</v>
      </c>
      <c r="F5340" s="9"/>
      <c r="G5340" s="91"/>
      <c r="H5340" s="9" t="s">
        <v>8328</v>
      </c>
      <c r="I5340" s="9" t="s">
        <v>353</v>
      </c>
      <c r="J5340" s="88"/>
    </row>
    <row r="5341">
      <c r="A5341" s="259"/>
      <c r="B5341" s="9" t="s">
        <v>8963</v>
      </c>
      <c r="C5341" s="91" t="s">
        <v>1489</v>
      </c>
      <c r="D5341" s="9" t="s">
        <v>8665</v>
      </c>
      <c r="E5341" s="9" t="s">
        <v>13</v>
      </c>
      <c r="F5341" s="9"/>
      <c r="G5341" s="91"/>
      <c r="H5341" s="9" t="s">
        <v>6251</v>
      </c>
      <c r="I5341" s="9" t="s">
        <v>353</v>
      </c>
      <c r="J5341" s="88"/>
    </row>
    <row r="5342">
      <c r="A5342" s="259"/>
      <c r="B5342" s="9" t="s">
        <v>8964</v>
      </c>
      <c r="C5342" s="91" t="s">
        <v>1489</v>
      </c>
      <c r="D5342" s="9" t="s">
        <v>8665</v>
      </c>
      <c r="E5342" s="9" t="s">
        <v>13</v>
      </c>
      <c r="F5342" s="9"/>
      <c r="G5342" s="91"/>
      <c r="H5342" s="9" t="s">
        <v>6251</v>
      </c>
      <c r="I5342" s="9" t="s">
        <v>353</v>
      </c>
      <c r="J5342" s="88"/>
    </row>
    <row r="5343">
      <c r="A5343" s="259"/>
      <c r="B5343" s="9" t="s">
        <v>8965</v>
      </c>
      <c r="C5343" s="91" t="s">
        <v>1489</v>
      </c>
      <c r="D5343" s="9" t="s">
        <v>8665</v>
      </c>
      <c r="E5343" s="9" t="s">
        <v>13</v>
      </c>
      <c r="F5343" s="9"/>
      <c r="G5343" s="91"/>
      <c r="H5343" s="9" t="s">
        <v>6251</v>
      </c>
      <c r="I5343" s="9" t="s">
        <v>353</v>
      </c>
      <c r="J5343" s="88"/>
    </row>
    <row r="5344">
      <c r="A5344" s="88"/>
      <c r="B5344" s="89"/>
      <c r="C5344" s="90"/>
      <c r="D5344" s="89"/>
      <c r="E5344" s="89"/>
      <c r="F5344" s="89"/>
      <c r="G5344" s="89"/>
      <c r="H5344" s="87"/>
      <c r="I5344" s="89"/>
      <c r="J5344" s="88"/>
    </row>
    <row r="5345">
      <c r="A5345" s="259"/>
      <c r="B5345" s="9" t="s">
        <v>8966</v>
      </c>
      <c r="C5345" s="91" t="s">
        <v>1489</v>
      </c>
      <c r="D5345" s="9" t="s">
        <v>8665</v>
      </c>
      <c r="E5345" s="9" t="s">
        <v>13</v>
      </c>
      <c r="F5345" s="9"/>
      <c r="G5345" s="91"/>
      <c r="H5345" s="9" t="s">
        <v>8967</v>
      </c>
      <c r="I5345" s="9" t="s">
        <v>353</v>
      </c>
      <c r="J5345" s="88"/>
    </row>
    <row r="5346">
      <c r="A5346" s="259"/>
      <c r="B5346" s="9" t="s">
        <v>8907</v>
      </c>
      <c r="C5346" s="91" t="s">
        <v>1489</v>
      </c>
      <c r="D5346" s="9" t="s">
        <v>8665</v>
      </c>
      <c r="E5346" s="9" t="s">
        <v>13</v>
      </c>
      <c r="F5346" s="9"/>
      <c r="G5346" s="91"/>
      <c r="H5346" s="9" t="s">
        <v>7807</v>
      </c>
      <c r="I5346" s="9" t="s">
        <v>353</v>
      </c>
      <c r="J5346" s="88"/>
    </row>
    <row r="5347">
      <c r="A5347" s="259"/>
      <c r="B5347" s="9" t="s">
        <v>7147</v>
      </c>
      <c r="C5347" s="91" t="s">
        <v>1489</v>
      </c>
      <c r="D5347" s="9" t="s">
        <v>8649</v>
      </c>
      <c r="E5347" s="9" t="s">
        <v>13</v>
      </c>
      <c r="F5347" s="9"/>
      <c r="G5347" s="91"/>
      <c r="H5347" s="9" t="s">
        <v>8968</v>
      </c>
      <c r="I5347" s="9" t="s">
        <v>353</v>
      </c>
      <c r="J5347" s="88"/>
    </row>
    <row r="5348">
      <c r="A5348" s="259"/>
      <c r="B5348" s="9" t="s">
        <v>7147</v>
      </c>
      <c r="C5348" s="91" t="s">
        <v>1489</v>
      </c>
      <c r="D5348" s="9" t="s">
        <v>8649</v>
      </c>
      <c r="E5348" s="9" t="s">
        <v>13</v>
      </c>
      <c r="F5348" s="9"/>
      <c r="G5348" s="91"/>
      <c r="H5348" s="9" t="s">
        <v>8969</v>
      </c>
      <c r="I5348" s="9" t="s">
        <v>353</v>
      </c>
      <c r="J5348" s="88"/>
    </row>
    <row r="5349">
      <c r="A5349" s="259"/>
      <c r="B5349" s="9" t="s">
        <v>4452</v>
      </c>
      <c r="C5349" s="91" t="s">
        <v>1097</v>
      </c>
      <c r="D5349" s="9" t="s">
        <v>8638</v>
      </c>
      <c r="E5349" s="9" t="s">
        <v>13</v>
      </c>
      <c r="F5349" s="9"/>
      <c r="G5349" s="91"/>
      <c r="H5349" s="9" t="s">
        <v>8701</v>
      </c>
      <c r="I5349" s="9" t="s">
        <v>353</v>
      </c>
      <c r="J5349" s="88"/>
    </row>
    <row r="5350">
      <c r="A5350" s="259"/>
      <c r="B5350" s="9" t="s">
        <v>8970</v>
      </c>
      <c r="C5350" s="91" t="s">
        <v>8741</v>
      </c>
      <c r="D5350" s="9" t="s">
        <v>8665</v>
      </c>
      <c r="E5350" s="9" t="s">
        <v>13</v>
      </c>
      <c r="F5350" s="9"/>
      <c r="G5350" s="91"/>
      <c r="H5350" s="9" t="s">
        <v>7804</v>
      </c>
      <c r="I5350" s="9" t="s">
        <v>353</v>
      </c>
      <c r="J5350" s="88"/>
    </row>
    <row r="5351">
      <c r="A5351" s="259"/>
      <c r="B5351" s="9" t="s">
        <v>8971</v>
      </c>
      <c r="C5351" s="91" t="s">
        <v>1097</v>
      </c>
      <c r="D5351" s="9" t="s">
        <v>8665</v>
      </c>
      <c r="E5351" s="9" t="s">
        <v>13</v>
      </c>
      <c r="F5351" s="9"/>
      <c r="G5351" s="91"/>
      <c r="H5351" s="9" t="s">
        <v>18</v>
      </c>
      <c r="I5351" s="9" t="s">
        <v>353</v>
      </c>
      <c r="J5351" s="88"/>
    </row>
    <row r="5352">
      <c r="A5352" s="259"/>
      <c r="B5352" s="9" t="s">
        <v>8960</v>
      </c>
      <c r="C5352" s="91" t="s">
        <v>1489</v>
      </c>
      <c r="D5352" s="9" t="s">
        <v>8665</v>
      </c>
      <c r="E5352" s="9" t="s">
        <v>13</v>
      </c>
      <c r="F5352" s="9"/>
      <c r="G5352" s="91"/>
      <c r="H5352" s="9" t="s">
        <v>18</v>
      </c>
      <c r="I5352" s="9" t="s">
        <v>353</v>
      </c>
      <c r="J5352" s="88"/>
    </row>
    <row r="5353">
      <c r="A5353" s="259"/>
      <c r="B5353" s="9" t="s">
        <v>8972</v>
      </c>
      <c r="C5353" s="91" t="s">
        <v>1489</v>
      </c>
      <c r="D5353" s="9" t="s">
        <v>8665</v>
      </c>
      <c r="E5353" s="9" t="s">
        <v>13</v>
      </c>
      <c r="F5353" s="9"/>
      <c r="G5353" s="91"/>
      <c r="H5353" s="9" t="s">
        <v>7804</v>
      </c>
      <c r="I5353" s="9" t="s">
        <v>353</v>
      </c>
      <c r="J5353" s="88"/>
    </row>
    <row r="5354">
      <c r="A5354" s="259"/>
      <c r="B5354" s="9" t="s">
        <v>8973</v>
      </c>
      <c r="C5354" s="91" t="s">
        <v>1489</v>
      </c>
      <c r="D5354" s="9" t="s">
        <v>8665</v>
      </c>
      <c r="E5354" s="9" t="s">
        <v>353</v>
      </c>
      <c r="F5354" s="9"/>
      <c r="G5354" s="91"/>
      <c r="H5354" s="9" t="s">
        <v>7804</v>
      </c>
      <c r="I5354" s="9" t="s">
        <v>353</v>
      </c>
      <c r="J5354" s="88"/>
    </row>
    <row r="5355">
      <c r="A5355" s="259"/>
      <c r="B5355" s="9" t="s">
        <v>8974</v>
      </c>
      <c r="C5355" s="91" t="s">
        <v>1489</v>
      </c>
      <c r="D5355" s="9" t="s">
        <v>8665</v>
      </c>
      <c r="E5355" s="9" t="s">
        <v>13</v>
      </c>
      <c r="F5355" s="9"/>
      <c r="G5355" s="91"/>
      <c r="H5355" s="9" t="s">
        <v>18</v>
      </c>
      <c r="I5355" s="9" t="s">
        <v>353</v>
      </c>
      <c r="J5355" s="88"/>
    </row>
    <row r="5356">
      <c r="A5356" s="259"/>
      <c r="B5356" s="9" t="s">
        <v>8975</v>
      </c>
      <c r="C5356" s="91" t="s">
        <v>1489</v>
      </c>
      <c r="D5356" s="9" t="s">
        <v>8638</v>
      </c>
      <c r="E5356" s="9" t="s">
        <v>13</v>
      </c>
      <c r="F5356" s="9"/>
      <c r="G5356" s="91"/>
      <c r="H5356" s="9" t="s">
        <v>8701</v>
      </c>
      <c r="I5356" s="9" t="s">
        <v>353</v>
      </c>
      <c r="J5356" s="88"/>
    </row>
    <row r="5357">
      <c r="A5357" s="259"/>
      <c r="B5357" s="269" t="s">
        <v>8976</v>
      </c>
      <c r="C5357" s="91" t="s">
        <v>1489</v>
      </c>
      <c r="D5357" s="9" t="s">
        <v>8665</v>
      </c>
      <c r="E5357" s="9" t="s">
        <v>13</v>
      </c>
      <c r="F5357" s="9"/>
      <c r="G5357" s="91"/>
      <c r="H5357" s="9" t="s">
        <v>7804</v>
      </c>
      <c r="I5357" s="9" t="s">
        <v>353</v>
      </c>
      <c r="J5357" s="88"/>
    </row>
    <row r="5358">
      <c r="A5358" s="259"/>
      <c r="B5358" s="9" t="s">
        <v>8977</v>
      </c>
      <c r="C5358" s="91" t="s">
        <v>1097</v>
      </c>
      <c r="D5358" s="9" t="s">
        <v>8665</v>
      </c>
      <c r="E5358" s="9" t="s">
        <v>13</v>
      </c>
      <c r="F5358" s="9"/>
      <c r="G5358" s="91"/>
      <c r="H5358" s="9" t="s">
        <v>7804</v>
      </c>
      <c r="I5358" s="9" t="s">
        <v>353</v>
      </c>
      <c r="J5358" s="88"/>
    </row>
    <row r="5359">
      <c r="A5359" s="88"/>
      <c r="B5359" s="89"/>
      <c r="C5359" s="90"/>
      <c r="D5359" s="89"/>
      <c r="E5359" s="89"/>
      <c r="F5359" s="89"/>
      <c r="G5359" s="89"/>
      <c r="H5359" s="87"/>
      <c r="I5359" s="89"/>
      <c r="J5359" s="88"/>
    </row>
    <row r="5360">
      <c r="A5360" s="259"/>
      <c r="B5360" s="9" t="s">
        <v>8978</v>
      </c>
      <c r="C5360" s="91" t="s">
        <v>1489</v>
      </c>
      <c r="D5360" s="9" t="s">
        <v>8665</v>
      </c>
      <c r="E5360" s="9" t="s">
        <v>13</v>
      </c>
      <c r="F5360" s="9"/>
      <c r="G5360" s="91"/>
      <c r="H5360" s="9" t="s">
        <v>6251</v>
      </c>
      <c r="I5360" s="9" t="s">
        <v>353</v>
      </c>
      <c r="J5360" s="88"/>
    </row>
    <row r="5361">
      <c r="A5361" s="259"/>
      <c r="B5361" s="9" t="s">
        <v>8979</v>
      </c>
      <c r="C5361" s="91" t="s">
        <v>1097</v>
      </c>
      <c r="D5361" s="9" t="s">
        <v>8665</v>
      </c>
      <c r="E5361" s="9" t="s">
        <v>13</v>
      </c>
      <c r="F5361" s="9"/>
      <c r="G5361" s="91"/>
      <c r="H5361" s="9" t="s">
        <v>7804</v>
      </c>
      <c r="I5361" s="9" t="s">
        <v>353</v>
      </c>
      <c r="J5361" s="88"/>
    </row>
    <row r="5362">
      <c r="A5362" s="259"/>
      <c r="B5362" s="9" t="s">
        <v>8980</v>
      </c>
      <c r="C5362" s="91" t="s">
        <v>1097</v>
      </c>
      <c r="D5362" s="9" t="s">
        <v>8665</v>
      </c>
      <c r="E5362" s="9" t="s">
        <v>13</v>
      </c>
      <c r="F5362" s="9"/>
      <c r="G5362" s="91"/>
      <c r="H5362" s="9" t="s">
        <v>7989</v>
      </c>
      <c r="I5362" s="9" t="s">
        <v>353</v>
      </c>
      <c r="J5362" s="88"/>
    </row>
    <row r="5363">
      <c r="A5363" s="259"/>
      <c r="B5363" s="9" t="s">
        <v>6290</v>
      </c>
      <c r="C5363" s="91" t="s">
        <v>1489</v>
      </c>
      <c r="D5363" s="9" t="s">
        <v>8649</v>
      </c>
      <c r="E5363" s="9" t="s">
        <v>13</v>
      </c>
      <c r="F5363" s="9"/>
      <c r="G5363" s="91"/>
      <c r="H5363" s="9" t="s">
        <v>8981</v>
      </c>
      <c r="I5363" s="9" t="s">
        <v>353</v>
      </c>
      <c r="J5363" s="88"/>
    </row>
    <row r="5364">
      <c r="A5364" s="259"/>
      <c r="B5364" s="9" t="s">
        <v>8232</v>
      </c>
      <c r="C5364" s="91" t="s">
        <v>1097</v>
      </c>
      <c r="D5364" s="9" t="s">
        <v>8649</v>
      </c>
      <c r="E5364" s="9" t="s">
        <v>13</v>
      </c>
      <c r="F5364" s="9"/>
      <c r="G5364" s="91"/>
      <c r="H5364" s="9" t="s">
        <v>437</v>
      </c>
      <c r="I5364" s="9" t="s">
        <v>353</v>
      </c>
      <c r="J5364" s="88"/>
    </row>
    <row r="5365">
      <c r="A5365" s="259"/>
      <c r="B5365" s="9" t="s">
        <v>7147</v>
      </c>
      <c r="C5365" s="91" t="s">
        <v>1489</v>
      </c>
      <c r="D5365" s="9" t="s">
        <v>8649</v>
      </c>
      <c r="E5365" s="9" t="s">
        <v>13</v>
      </c>
      <c r="F5365" s="9"/>
      <c r="G5365" s="91"/>
      <c r="H5365" s="9" t="s">
        <v>437</v>
      </c>
      <c r="I5365" s="9" t="s">
        <v>353</v>
      </c>
      <c r="J5365" s="88"/>
    </row>
    <row r="5366">
      <c r="A5366" s="259"/>
      <c r="B5366" s="9" t="s">
        <v>8982</v>
      </c>
      <c r="C5366" s="91" t="s">
        <v>1097</v>
      </c>
      <c r="D5366" s="9" t="s">
        <v>8665</v>
      </c>
      <c r="E5366" s="9" t="s">
        <v>13</v>
      </c>
      <c r="F5366" s="9"/>
      <c r="G5366" s="91"/>
      <c r="H5366" s="9" t="s">
        <v>18</v>
      </c>
      <c r="I5366" s="9" t="s">
        <v>353</v>
      </c>
      <c r="J5366" s="88"/>
    </row>
    <row r="5367">
      <c r="A5367" s="259"/>
      <c r="B5367" s="9" t="s">
        <v>8983</v>
      </c>
      <c r="C5367" s="91" t="s">
        <v>1489</v>
      </c>
      <c r="D5367" s="9" t="s">
        <v>8665</v>
      </c>
      <c r="E5367" s="9" t="s">
        <v>13</v>
      </c>
      <c r="F5367" s="9"/>
      <c r="G5367" s="91"/>
      <c r="H5367" s="9" t="s">
        <v>18</v>
      </c>
      <c r="I5367" s="9" t="s">
        <v>353</v>
      </c>
      <c r="J5367" s="88"/>
    </row>
    <row r="5368">
      <c r="A5368" s="259"/>
      <c r="B5368" s="9" t="s">
        <v>8984</v>
      </c>
      <c r="C5368" s="91" t="s">
        <v>1489</v>
      </c>
      <c r="D5368" s="9" t="s">
        <v>8665</v>
      </c>
      <c r="E5368" s="9" t="s">
        <v>13</v>
      </c>
      <c r="F5368" s="9"/>
      <c r="G5368" s="91"/>
      <c r="H5368" s="9" t="s">
        <v>18</v>
      </c>
      <c r="I5368" s="9" t="s">
        <v>353</v>
      </c>
      <c r="J5368" s="88"/>
    </row>
    <row r="5369">
      <c r="A5369" s="259"/>
      <c r="B5369" s="9" t="s">
        <v>8985</v>
      </c>
      <c r="C5369" s="91" t="s">
        <v>1489</v>
      </c>
      <c r="D5369" s="9" t="s">
        <v>8649</v>
      </c>
      <c r="E5369" s="9" t="s">
        <v>13</v>
      </c>
      <c r="F5369" s="9"/>
      <c r="G5369" s="91"/>
      <c r="H5369" s="9" t="s">
        <v>437</v>
      </c>
      <c r="I5369" s="9" t="s">
        <v>353</v>
      </c>
      <c r="J5369" s="88"/>
    </row>
    <row r="5370">
      <c r="A5370" s="259"/>
      <c r="B5370" s="9" t="s">
        <v>8986</v>
      </c>
      <c r="C5370" s="91" t="s">
        <v>1489</v>
      </c>
      <c r="D5370" s="9" t="s">
        <v>8649</v>
      </c>
      <c r="E5370" s="9" t="s">
        <v>13</v>
      </c>
      <c r="F5370" s="9"/>
      <c r="G5370" s="91"/>
      <c r="H5370" s="9" t="s">
        <v>8987</v>
      </c>
      <c r="I5370" s="9" t="s">
        <v>353</v>
      </c>
      <c r="J5370" s="88"/>
    </row>
    <row r="5371">
      <c r="A5371" s="259"/>
      <c r="B5371" s="9" t="s">
        <v>8988</v>
      </c>
      <c r="C5371" s="91" t="s">
        <v>1489</v>
      </c>
      <c r="D5371" s="9" t="s">
        <v>8649</v>
      </c>
      <c r="E5371" s="9" t="s">
        <v>13</v>
      </c>
      <c r="F5371" s="9"/>
      <c r="G5371" s="91"/>
      <c r="H5371" s="9" t="s">
        <v>437</v>
      </c>
      <c r="I5371" s="9" t="s">
        <v>353</v>
      </c>
      <c r="J5371" s="88"/>
    </row>
    <row r="5372">
      <c r="A5372" s="259"/>
      <c r="B5372" s="9" t="s">
        <v>8989</v>
      </c>
      <c r="C5372" s="91" t="s">
        <v>1489</v>
      </c>
      <c r="D5372" s="9" t="s">
        <v>8649</v>
      </c>
      <c r="E5372" s="9" t="s">
        <v>13</v>
      </c>
      <c r="F5372" s="9"/>
      <c r="G5372" s="91"/>
      <c r="H5372" s="9" t="s">
        <v>8990</v>
      </c>
      <c r="I5372" s="9" t="s">
        <v>353</v>
      </c>
      <c r="J5372" s="88"/>
    </row>
    <row r="5373">
      <c r="A5373" s="259"/>
      <c r="B5373" s="9" t="s">
        <v>8991</v>
      </c>
      <c r="C5373" s="91" t="s">
        <v>1489</v>
      </c>
      <c r="D5373" s="9" t="s">
        <v>8649</v>
      </c>
      <c r="E5373" s="9" t="s">
        <v>353</v>
      </c>
      <c r="F5373" s="9"/>
      <c r="G5373" s="91"/>
      <c r="H5373" s="9" t="s">
        <v>437</v>
      </c>
      <c r="I5373" s="9" t="s">
        <v>353</v>
      </c>
      <c r="J5373" s="88"/>
    </row>
    <row r="5374">
      <c r="A5374" s="259"/>
      <c r="B5374" s="9" t="s">
        <v>1198</v>
      </c>
      <c r="C5374" s="91" t="s">
        <v>1489</v>
      </c>
      <c r="D5374" s="9" t="s">
        <v>8649</v>
      </c>
      <c r="E5374" s="9" t="s">
        <v>13</v>
      </c>
      <c r="F5374" s="9"/>
      <c r="G5374" s="91"/>
      <c r="H5374" s="9" t="s">
        <v>8992</v>
      </c>
      <c r="I5374" s="9" t="s">
        <v>353</v>
      </c>
      <c r="J5374" s="88"/>
    </row>
    <row r="5375">
      <c r="A5375" s="259"/>
      <c r="B5375" s="9" t="s">
        <v>8993</v>
      </c>
      <c r="C5375" s="91" t="s">
        <v>1489</v>
      </c>
      <c r="D5375" s="9" t="s">
        <v>8665</v>
      </c>
      <c r="E5375" s="9" t="s">
        <v>13</v>
      </c>
      <c r="F5375" s="9"/>
      <c r="G5375" s="91"/>
      <c r="H5375" s="93" t="s">
        <v>8994</v>
      </c>
      <c r="I5375" s="9" t="s">
        <v>353</v>
      </c>
      <c r="J5375" s="88"/>
    </row>
    <row r="5376">
      <c r="A5376" s="259"/>
      <c r="B5376" s="9" t="s">
        <v>1245</v>
      </c>
      <c r="C5376" s="91" t="s">
        <v>1489</v>
      </c>
      <c r="D5376" s="9" t="s">
        <v>8665</v>
      </c>
      <c r="E5376" s="9" t="s">
        <v>13</v>
      </c>
      <c r="F5376" s="9"/>
      <c r="G5376" s="91"/>
      <c r="H5376" s="9" t="s">
        <v>8994</v>
      </c>
      <c r="I5376" s="9" t="s">
        <v>353</v>
      </c>
      <c r="J5376" s="88"/>
    </row>
    <row r="5377">
      <c r="A5377" s="259"/>
      <c r="B5377" s="9" t="s">
        <v>8995</v>
      </c>
      <c r="C5377" s="91" t="s">
        <v>1489</v>
      </c>
      <c r="D5377" s="9" t="s">
        <v>8665</v>
      </c>
      <c r="E5377" s="9" t="s">
        <v>13</v>
      </c>
      <c r="F5377" s="9"/>
      <c r="G5377" s="91"/>
      <c r="H5377" s="9" t="s">
        <v>18</v>
      </c>
      <c r="I5377" s="9" t="s">
        <v>353</v>
      </c>
      <c r="J5377" s="88"/>
    </row>
    <row r="5378">
      <c r="A5378" s="259"/>
      <c r="B5378" s="9" t="s">
        <v>8996</v>
      </c>
      <c r="C5378" s="91" t="s">
        <v>1097</v>
      </c>
      <c r="D5378" s="9" t="s">
        <v>8665</v>
      </c>
      <c r="E5378" s="9" t="s">
        <v>13</v>
      </c>
      <c r="F5378" s="9"/>
      <c r="G5378" s="91"/>
      <c r="H5378" s="9" t="s">
        <v>7804</v>
      </c>
      <c r="I5378" s="9" t="s">
        <v>353</v>
      </c>
      <c r="J5378" s="88"/>
    </row>
    <row r="5379">
      <c r="A5379" s="259"/>
      <c r="B5379" s="9" t="s">
        <v>8997</v>
      </c>
      <c r="C5379" s="91" t="s">
        <v>1489</v>
      </c>
      <c r="D5379" s="9" t="s">
        <v>8665</v>
      </c>
      <c r="E5379" s="9" t="s">
        <v>13</v>
      </c>
      <c r="F5379" s="9"/>
      <c r="G5379" s="91"/>
      <c r="H5379" s="9" t="s">
        <v>7804</v>
      </c>
      <c r="I5379" s="9" t="s">
        <v>353</v>
      </c>
      <c r="J5379" s="88"/>
    </row>
    <row r="5380">
      <c r="A5380" s="259"/>
      <c r="B5380" s="270" t="s">
        <v>8998</v>
      </c>
      <c r="C5380" s="91" t="s">
        <v>1489</v>
      </c>
      <c r="D5380" s="9" t="s">
        <v>8665</v>
      </c>
      <c r="E5380" s="9" t="s">
        <v>13</v>
      </c>
      <c r="F5380" s="9"/>
      <c r="G5380" s="91"/>
      <c r="H5380" s="9" t="s">
        <v>7804</v>
      </c>
      <c r="I5380" s="9" t="s">
        <v>353</v>
      </c>
      <c r="J5380" s="88"/>
    </row>
    <row r="5381">
      <c r="A5381" s="259"/>
      <c r="B5381" s="9" t="s">
        <v>8999</v>
      </c>
      <c r="C5381" s="91" t="s">
        <v>1489</v>
      </c>
      <c r="D5381" s="9" t="s">
        <v>8665</v>
      </c>
      <c r="E5381" s="9" t="s">
        <v>13</v>
      </c>
      <c r="F5381" s="9"/>
      <c r="G5381" s="91"/>
      <c r="H5381" s="9" t="s">
        <v>7804</v>
      </c>
      <c r="I5381" s="9" t="s">
        <v>353</v>
      </c>
      <c r="J5381" s="88"/>
    </row>
    <row r="5382">
      <c r="A5382" s="259"/>
      <c r="B5382" s="9" t="s">
        <v>9000</v>
      </c>
      <c r="C5382" s="91" t="s">
        <v>8741</v>
      </c>
      <c r="D5382" s="9" t="s">
        <v>8665</v>
      </c>
      <c r="E5382" s="9" t="s">
        <v>13</v>
      </c>
      <c r="F5382" s="9"/>
      <c r="G5382" s="91"/>
      <c r="H5382" s="9" t="s">
        <v>9001</v>
      </c>
      <c r="I5382" s="9" t="s">
        <v>353</v>
      </c>
      <c r="J5382" s="88"/>
    </row>
    <row r="5383">
      <c r="A5383" s="259"/>
      <c r="B5383" s="9" t="s">
        <v>9002</v>
      </c>
      <c r="C5383" s="91" t="s">
        <v>1489</v>
      </c>
      <c r="D5383" s="9" t="s">
        <v>8665</v>
      </c>
      <c r="E5383" s="9" t="s">
        <v>353</v>
      </c>
      <c r="F5383" s="9"/>
      <c r="G5383" s="91"/>
      <c r="H5383" s="9" t="s">
        <v>7804</v>
      </c>
      <c r="I5383" s="9" t="s">
        <v>353</v>
      </c>
      <c r="J5383" s="88"/>
    </row>
    <row r="5384">
      <c r="A5384" s="259"/>
      <c r="B5384" s="9" t="s">
        <v>9003</v>
      </c>
      <c r="C5384" s="91" t="s">
        <v>1489</v>
      </c>
      <c r="D5384" s="9" t="s">
        <v>8665</v>
      </c>
      <c r="E5384" s="9" t="s">
        <v>353</v>
      </c>
      <c r="F5384" s="9"/>
      <c r="G5384" s="91"/>
      <c r="H5384" s="9" t="s">
        <v>9004</v>
      </c>
      <c r="I5384" s="9" t="s">
        <v>353</v>
      </c>
      <c r="J5384" s="88"/>
    </row>
    <row r="5385">
      <c r="A5385" s="259"/>
      <c r="B5385" s="9" t="s">
        <v>9005</v>
      </c>
      <c r="C5385" s="91" t="s">
        <v>1489</v>
      </c>
      <c r="D5385" s="9" t="s">
        <v>8665</v>
      </c>
      <c r="E5385" s="9" t="s">
        <v>353</v>
      </c>
      <c r="F5385" s="9"/>
      <c r="G5385" s="91"/>
      <c r="H5385" s="9" t="s">
        <v>7804</v>
      </c>
      <c r="I5385" s="9" t="s">
        <v>353</v>
      </c>
      <c r="J5385" s="88"/>
    </row>
    <row r="5386">
      <c r="A5386" s="259"/>
      <c r="B5386" s="9" t="s">
        <v>9006</v>
      </c>
      <c r="C5386" s="91" t="s">
        <v>1097</v>
      </c>
      <c r="D5386" s="9" t="s">
        <v>8638</v>
      </c>
      <c r="E5386" s="9" t="s">
        <v>13</v>
      </c>
      <c r="F5386" s="9"/>
      <c r="G5386" s="91"/>
      <c r="H5386" s="9"/>
      <c r="I5386" s="9" t="s">
        <v>353</v>
      </c>
      <c r="J5386" s="88"/>
    </row>
    <row r="5387">
      <c r="A5387" s="259"/>
      <c r="B5387" s="9" t="s">
        <v>9007</v>
      </c>
      <c r="C5387" s="91" t="s">
        <v>1489</v>
      </c>
      <c r="D5387" s="9" t="s">
        <v>8649</v>
      </c>
      <c r="E5387" s="9" t="s">
        <v>13</v>
      </c>
      <c r="F5387" s="9"/>
      <c r="G5387" s="91"/>
      <c r="H5387" s="9" t="s">
        <v>437</v>
      </c>
      <c r="I5387" s="9" t="s">
        <v>353</v>
      </c>
      <c r="J5387" s="88"/>
    </row>
    <row r="5388">
      <c r="A5388" s="259"/>
      <c r="B5388" s="9" t="s">
        <v>9008</v>
      </c>
      <c r="C5388" s="91" t="s">
        <v>1097</v>
      </c>
      <c r="D5388" s="9" t="s">
        <v>8649</v>
      </c>
      <c r="E5388" s="9" t="s">
        <v>13</v>
      </c>
      <c r="F5388" s="9"/>
      <c r="G5388" s="91"/>
      <c r="H5388" s="9" t="s">
        <v>437</v>
      </c>
      <c r="I5388" s="9" t="s">
        <v>353</v>
      </c>
      <c r="J5388" s="88"/>
    </row>
    <row r="5389">
      <c r="A5389" s="259"/>
      <c r="B5389" s="9" t="s">
        <v>6290</v>
      </c>
      <c r="C5389" s="91" t="s">
        <v>1489</v>
      </c>
      <c r="D5389" s="9" t="s">
        <v>8649</v>
      </c>
      <c r="E5389" s="9" t="s">
        <v>13</v>
      </c>
      <c r="F5389" s="9"/>
      <c r="G5389" s="91"/>
      <c r="H5389" s="9" t="s">
        <v>9009</v>
      </c>
      <c r="I5389" s="9" t="s">
        <v>353</v>
      </c>
      <c r="J5389" s="88"/>
    </row>
    <row r="5390">
      <c r="A5390" s="259"/>
      <c r="B5390" s="9" t="s">
        <v>9010</v>
      </c>
      <c r="C5390" s="91" t="s">
        <v>1097</v>
      </c>
      <c r="D5390" s="9" t="s">
        <v>8649</v>
      </c>
      <c r="E5390" s="9" t="s">
        <v>13</v>
      </c>
      <c r="F5390" s="9"/>
      <c r="G5390" s="91"/>
      <c r="H5390" s="9" t="s">
        <v>437</v>
      </c>
      <c r="I5390" s="9" t="s">
        <v>353</v>
      </c>
      <c r="J5390" s="88"/>
    </row>
    <row r="5391">
      <c r="A5391" s="259"/>
      <c r="B5391" s="9" t="s">
        <v>9011</v>
      </c>
      <c r="C5391" s="91" t="s">
        <v>1097</v>
      </c>
      <c r="D5391" s="9" t="s">
        <v>8638</v>
      </c>
      <c r="E5391" s="9" t="s">
        <v>13</v>
      </c>
      <c r="F5391" s="9"/>
      <c r="G5391" s="91"/>
      <c r="H5391" s="9" t="s">
        <v>9012</v>
      </c>
      <c r="I5391" s="9" t="s">
        <v>353</v>
      </c>
      <c r="J5391" s="88"/>
    </row>
    <row r="5392">
      <c r="A5392" s="259"/>
      <c r="B5392" s="9" t="s">
        <v>9013</v>
      </c>
      <c r="C5392" s="91" t="s">
        <v>8741</v>
      </c>
      <c r="D5392" s="9" t="s">
        <v>8638</v>
      </c>
      <c r="E5392" s="9" t="s">
        <v>13</v>
      </c>
      <c r="F5392" s="9"/>
      <c r="G5392" s="91"/>
      <c r="H5392" s="9" t="s">
        <v>437</v>
      </c>
      <c r="I5392" s="9" t="s">
        <v>353</v>
      </c>
      <c r="J5392" s="88"/>
    </row>
    <row r="5393">
      <c r="A5393" s="259"/>
      <c r="B5393" s="9" t="s">
        <v>9014</v>
      </c>
      <c r="C5393" s="91" t="s">
        <v>1097</v>
      </c>
      <c r="D5393" s="9" t="s">
        <v>8638</v>
      </c>
      <c r="E5393" s="9" t="s">
        <v>13</v>
      </c>
      <c r="F5393" s="9"/>
      <c r="G5393" s="91"/>
      <c r="H5393" s="9" t="s">
        <v>9015</v>
      </c>
      <c r="I5393" s="9" t="s">
        <v>353</v>
      </c>
      <c r="J5393" s="88"/>
    </row>
    <row r="5394">
      <c r="A5394" s="259"/>
      <c r="B5394" s="9" t="s">
        <v>9016</v>
      </c>
      <c r="C5394" s="91" t="s">
        <v>1489</v>
      </c>
      <c r="D5394" s="9" t="s">
        <v>8649</v>
      </c>
      <c r="E5394" s="9" t="s">
        <v>13</v>
      </c>
      <c r="F5394" s="9"/>
      <c r="G5394" s="91"/>
      <c r="H5394" s="9" t="s">
        <v>9017</v>
      </c>
      <c r="I5394" s="9" t="s">
        <v>353</v>
      </c>
      <c r="J5394" s="88"/>
    </row>
    <row r="5395">
      <c r="A5395" s="259"/>
      <c r="B5395" s="9" t="s">
        <v>9018</v>
      </c>
      <c r="C5395" s="91" t="s">
        <v>1489</v>
      </c>
      <c r="D5395" s="9" t="s">
        <v>8649</v>
      </c>
      <c r="E5395" s="9" t="s">
        <v>13</v>
      </c>
      <c r="F5395" s="9"/>
      <c r="G5395" s="91">
        <v>44620.0</v>
      </c>
      <c r="H5395" s="9" t="s">
        <v>437</v>
      </c>
      <c r="I5395" s="9" t="s">
        <v>353</v>
      </c>
      <c r="J5395" s="88"/>
    </row>
    <row r="5396">
      <c r="A5396" s="259"/>
      <c r="B5396" s="9" t="s">
        <v>9019</v>
      </c>
      <c r="C5396" s="91" t="s">
        <v>1097</v>
      </c>
      <c r="D5396" s="9" t="s">
        <v>8649</v>
      </c>
      <c r="E5396" s="9" t="s">
        <v>13</v>
      </c>
      <c r="F5396" s="9"/>
      <c r="G5396" s="91"/>
      <c r="H5396" s="9" t="s">
        <v>437</v>
      </c>
      <c r="I5396" s="9" t="s">
        <v>353</v>
      </c>
      <c r="J5396" s="88"/>
    </row>
    <row r="5397">
      <c r="A5397" s="259"/>
      <c r="B5397" s="9" t="s">
        <v>7147</v>
      </c>
      <c r="C5397" s="91" t="s">
        <v>1489</v>
      </c>
      <c r="D5397" s="9" t="s">
        <v>8649</v>
      </c>
      <c r="E5397" s="9" t="s">
        <v>13</v>
      </c>
      <c r="F5397" s="9"/>
      <c r="G5397" s="91"/>
      <c r="H5397" s="9" t="s">
        <v>437</v>
      </c>
      <c r="I5397" s="9" t="s">
        <v>353</v>
      </c>
      <c r="J5397" s="88"/>
    </row>
    <row r="5398">
      <c r="A5398" s="259"/>
      <c r="B5398" s="9" t="s">
        <v>9020</v>
      </c>
      <c r="C5398" s="91" t="s">
        <v>9021</v>
      </c>
      <c r="D5398" s="9" t="s">
        <v>8638</v>
      </c>
      <c r="E5398" s="9" t="s">
        <v>13</v>
      </c>
      <c r="F5398" s="9"/>
      <c r="G5398" s="91"/>
      <c r="H5398" s="9" t="s">
        <v>9022</v>
      </c>
      <c r="I5398" s="9" t="s">
        <v>353</v>
      </c>
      <c r="J5398" s="88"/>
    </row>
    <row r="5399">
      <c r="A5399" s="259"/>
      <c r="B5399" s="9" t="s">
        <v>9023</v>
      </c>
      <c r="C5399" s="91" t="s">
        <v>8741</v>
      </c>
      <c r="D5399" s="9" t="s">
        <v>8638</v>
      </c>
      <c r="E5399" s="9" t="s">
        <v>353</v>
      </c>
      <c r="F5399" s="9"/>
      <c r="G5399" s="91"/>
      <c r="H5399" s="9" t="s">
        <v>9024</v>
      </c>
      <c r="I5399" s="9" t="s">
        <v>353</v>
      </c>
      <c r="J5399" s="88"/>
    </row>
    <row r="5400">
      <c r="A5400" s="259"/>
      <c r="B5400" s="9" t="s">
        <v>9025</v>
      </c>
      <c r="C5400" s="91" t="s">
        <v>1489</v>
      </c>
      <c r="D5400" s="9" t="s">
        <v>8649</v>
      </c>
      <c r="E5400" s="9" t="s">
        <v>13</v>
      </c>
      <c r="F5400" s="9"/>
      <c r="G5400" s="91"/>
      <c r="H5400" s="9" t="s">
        <v>9026</v>
      </c>
      <c r="I5400" s="9" t="s">
        <v>353</v>
      </c>
      <c r="J5400" s="88"/>
    </row>
    <row r="5401">
      <c r="A5401" s="259"/>
      <c r="B5401" s="9" t="s">
        <v>9027</v>
      </c>
      <c r="C5401" s="91" t="s">
        <v>1097</v>
      </c>
      <c r="D5401" s="9" t="s">
        <v>8649</v>
      </c>
      <c r="E5401" s="9" t="s">
        <v>13</v>
      </c>
      <c r="F5401" s="9"/>
      <c r="G5401" s="91"/>
      <c r="H5401" s="9" t="s">
        <v>9028</v>
      </c>
      <c r="I5401" s="9" t="s">
        <v>353</v>
      </c>
      <c r="J5401" s="88"/>
    </row>
    <row r="5402">
      <c r="A5402" s="259"/>
      <c r="B5402" s="9" t="s">
        <v>9029</v>
      </c>
      <c r="C5402" s="91" t="s">
        <v>1097</v>
      </c>
      <c r="D5402" s="9" t="s">
        <v>8649</v>
      </c>
      <c r="E5402" s="9" t="s">
        <v>13</v>
      </c>
      <c r="F5402" s="9"/>
      <c r="G5402" s="91"/>
      <c r="H5402" s="9" t="s">
        <v>9030</v>
      </c>
      <c r="I5402" s="9" t="s">
        <v>353</v>
      </c>
      <c r="J5402" s="88"/>
    </row>
    <row r="5403">
      <c r="A5403" s="259"/>
      <c r="B5403" s="9" t="s">
        <v>8935</v>
      </c>
      <c r="C5403" s="91" t="s">
        <v>1097</v>
      </c>
      <c r="D5403" s="9" t="s">
        <v>8649</v>
      </c>
      <c r="E5403" s="9" t="s">
        <v>13</v>
      </c>
      <c r="F5403" s="9"/>
      <c r="G5403" s="91"/>
      <c r="H5403" s="9" t="s">
        <v>437</v>
      </c>
      <c r="I5403" s="9" t="s">
        <v>353</v>
      </c>
      <c r="J5403" s="88"/>
    </row>
    <row r="5404">
      <c r="A5404" s="259"/>
      <c r="B5404" s="9" t="s">
        <v>9031</v>
      </c>
      <c r="C5404" s="91" t="s">
        <v>1097</v>
      </c>
      <c r="D5404" s="9" t="s">
        <v>8649</v>
      </c>
      <c r="E5404" s="9" t="s">
        <v>13</v>
      </c>
      <c r="F5404" s="9"/>
      <c r="G5404" s="91"/>
      <c r="H5404" s="9" t="s">
        <v>9032</v>
      </c>
      <c r="I5404" s="9" t="s">
        <v>353</v>
      </c>
      <c r="J5404" s="88"/>
    </row>
    <row r="5405">
      <c r="A5405" s="259"/>
      <c r="B5405" s="9" t="s">
        <v>3052</v>
      </c>
      <c r="C5405" s="91" t="s">
        <v>1489</v>
      </c>
      <c r="D5405" s="9" t="s">
        <v>8665</v>
      </c>
      <c r="E5405" s="9" t="s">
        <v>13</v>
      </c>
      <c r="F5405" s="9"/>
      <c r="G5405" s="91"/>
      <c r="H5405" s="9" t="s">
        <v>18</v>
      </c>
      <c r="I5405" s="9" t="s">
        <v>13</v>
      </c>
      <c r="J5405" s="88"/>
    </row>
    <row r="5406">
      <c r="A5406" s="259"/>
      <c r="B5406" s="9" t="s">
        <v>2843</v>
      </c>
      <c r="C5406" s="91" t="s">
        <v>9021</v>
      </c>
      <c r="D5406" s="9" t="s">
        <v>8665</v>
      </c>
      <c r="E5406" s="9" t="s">
        <v>13</v>
      </c>
      <c r="F5406" s="9"/>
      <c r="G5406" s="91"/>
      <c r="H5406" s="9" t="s">
        <v>7804</v>
      </c>
      <c r="I5406" s="9" t="s">
        <v>13</v>
      </c>
      <c r="J5406" s="88"/>
    </row>
    <row r="5407">
      <c r="A5407" s="259"/>
      <c r="B5407" s="9" t="s">
        <v>9033</v>
      </c>
      <c r="C5407" s="91" t="s">
        <v>1489</v>
      </c>
      <c r="D5407" s="9" t="s">
        <v>8638</v>
      </c>
      <c r="E5407" s="9" t="s">
        <v>13</v>
      </c>
      <c r="F5407" s="9"/>
      <c r="G5407" s="91"/>
      <c r="H5407" s="9" t="s">
        <v>4632</v>
      </c>
      <c r="I5407" s="9" t="s">
        <v>353</v>
      </c>
      <c r="J5407" s="88"/>
    </row>
    <row r="5408">
      <c r="A5408" s="259"/>
      <c r="B5408" s="9" t="s">
        <v>9034</v>
      </c>
      <c r="C5408" s="91" t="s">
        <v>1489</v>
      </c>
      <c r="D5408" s="9" t="s">
        <v>8649</v>
      </c>
      <c r="E5408" s="9" t="s">
        <v>353</v>
      </c>
      <c r="F5408" s="9"/>
      <c r="G5408" s="91">
        <v>44621.0</v>
      </c>
      <c r="H5408" s="9" t="s">
        <v>9035</v>
      </c>
      <c r="I5408" s="9" t="s">
        <v>353</v>
      </c>
      <c r="J5408" s="88"/>
    </row>
    <row r="5409">
      <c r="A5409" s="259"/>
      <c r="B5409" s="9" t="s">
        <v>3563</v>
      </c>
      <c r="C5409" s="91" t="s">
        <v>1489</v>
      </c>
      <c r="D5409" s="9" t="s">
        <v>8638</v>
      </c>
      <c r="E5409" s="9" t="s">
        <v>13</v>
      </c>
      <c r="F5409" s="9"/>
      <c r="G5409" s="91"/>
      <c r="H5409" s="9" t="s">
        <v>9036</v>
      </c>
      <c r="I5409" s="9" t="s">
        <v>353</v>
      </c>
      <c r="J5409" s="88"/>
    </row>
    <row r="5410">
      <c r="A5410" s="259"/>
      <c r="B5410" s="93" t="s">
        <v>9037</v>
      </c>
      <c r="C5410" s="91" t="s">
        <v>1489</v>
      </c>
      <c r="D5410" s="9" t="s">
        <v>8638</v>
      </c>
      <c r="E5410" s="9" t="s">
        <v>353</v>
      </c>
      <c r="F5410" s="9"/>
      <c r="G5410" s="91"/>
      <c r="H5410" s="9" t="s">
        <v>9038</v>
      </c>
      <c r="I5410" s="9" t="s">
        <v>353</v>
      </c>
      <c r="J5410" s="88"/>
    </row>
    <row r="5411">
      <c r="A5411" s="259"/>
      <c r="B5411" s="9" t="s">
        <v>7589</v>
      </c>
      <c r="C5411" s="91" t="s">
        <v>1097</v>
      </c>
      <c r="D5411" s="9" t="s">
        <v>8638</v>
      </c>
      <c r="E5411" s="9" t="s">
        <v>13</v>
      </c>
      <c r="F5411" s="9"/>
      <c r="G5411" s="91"/>
      <c r="H5411" s="9" t="s">
        <v>9039</v>
      </c>
      <c r="I5411" s="9" t="s">
        <v>353</v>
      </c>
      <c r="J5411" s="88"/>
    </row>
    <row r="5412">
      <c r="A5412" s="259"/>
      <c r="B5412" s="9" t="s">
        <v>8560</v>
      </c>
      <c r="C5412" s="91" t="s">
        <v>1097</v>
      </c>
      <c r="D5412" s="9" t="s">
        <v>8638</v>
      </c>
      <c r="E5412" s="9" t="s">
        <v>13</v>
      </c>
      <c r="F5412" s="9"/>
      <c r="G5412" s="91"/>
      <c r="H5412" s="9" t="s">
        <v>8731</v>
      </c>
      <c r="I5412" s="9" t="s">
        <v>353</v>
      </c>
      <c r="J5412" s="88"/>
    </row>
    <row r="5413">
      <c r="A5413" s="259"/>
      <c r="B5413" s="9" t="s">
        <v>7227</v>
      </c>
      <c r="C5413" s="91" t="s">
        <v>1489</v>
      </c>
      <c r="D5413" s="9" t="s">
        <v>8649</v>
      </c>
      <c r="E5413" s="9" t="s">
        <v>13</v>
      </c>
      <c r="F5413" s="9"/>
      <c r="G5413" s="91"/>
      <c r="H5413" s="9" t="s">
        <v>842</v>
      </c>
      <c r="I5413" s="9" t="s">
        <v>353</v>
      </c>
      <c r="J5413" s="88"/>
    </row>
    <row r="5414">
      <c r="A5414" s="259"/>
      <c r="B5414" s="9" t="s">
        <v>9040</v>
      </c>
      <c r="C5414" s="91" t="s">
        <v>8741</v>
      </c>
      <c r="D5414" s="9" t="s">
        <v>8649</v>
      </c>
      <c r="E5414" s="9" t="s">
        <v>353</v>
      </c>
      <c r="F5414" s="9"/>
      <c r="G5414" s="91"/>
      <c r="H5414" s="9" t="s">
        <v>9041</v>
      </c>
      <c r="I5414" s="9" t="s">
        <v>353</v>
      </c>
      <c r="J5414" s="88"/>
    </row>
    <row r="5415">
      <c r="A5415" s="259"/>
      <c r="B5415" s="9" t="s">
        <v>9042</v>
      </c>
      <c r="C5415" s="91" t="s">
        <v>1489</v>
      </c>
      <c r="D5415" s="9" t="s">
        <v>8649</v>
      </c>
      <c r="E5415" s="9" t="s">
        <v>13</v>
      </c>
      <c r="F5415" s="9"/>
      <c r="G5415" s="91"/>
      <c r="H5415" s="9" t="s">
        <v>9043</v>
      </c>
      <c r="I5415" s="9" t="s">
        <v>353</v>
      </c>
      <c r="J5415" s="88"/>
    </row>
    <row r="5416">
      <c r="A5416" s="259"/>
      <c r="B5416" s="9" t="s">
        <v>9044</v>
      </c>
      <c r="C5416" s="91" t="s">
        <v>1489</v>
      </c>
      <c r="D5416" s="9" t="s">
        <v>8649</v>
      </c>
      <c r="E5416" s="9" t="s">
        <v>13</v>
      </c>
      <c r="F5416" s="9"/>
      <c r="G5416" s="91"/>
      <c r="H5416" s="9" t="s">
        <v>9045</v>
      </c>
      <c r="I5416" s="9" t="s">
        <v>353</v>
      </c>
      <c r="J5416" s="88"/>
    </row>
    <row r="5417">
      <c r="A5417" s="259"/>
      <c r="B5417" s="9" t="s">
        <v>9046</v>
      </c>
      <c r="C5417" s="91" t="s">
        <v>1097</v>
      </c>
      <c r="D5417" s="9" t="s">
        <v>8649</v>
      </c>
      <c r="E5417" s="9" t="s">
        <v>13</v>
      </c>
      <c r="F5417" s="9"/>
      <c r="G5417" s="91"/>
      <c r="H5417" s="9" t="s">
        <v>9047</v>
      </c>
      <c r="I5417" s="9" t="s">
        <v>353</v>
      </c>
      <c r="J5417" s="88"/>
    </row>
    <row r="5418">
      <c r="A5418" s="259"/>
      <c r="B5418" s="9" t="s">
        <v>9048</v>
      </c>
      <c r="C5418" s="91" t="s">
        <v>1097</v>
      </c>
      <c r="D5418" s="9" t="s">
        <v>8638</v>
      </c>
      <c r="E5418" s="9" t="s">
        <v>13</v>
      </c>
      <c r="F5418" s="9"/>
      <c r="G5418" s="91"/>
      <c r="H5418" s="9" t="s">
        <v>9049</v>
      </c>
      <c r="I5418" s="9" t="s">
        <v>353</v>
      </c>
      <c r="J5418" s="88"/>
    </row>
    <row r="5419">
      <c r="A5419" s="259"/>
      <c r="B5419" s="9" t="s">
        <v>9050</v>
      </c>
      <c r="C5419" s="91" t="s">
        <v>1489</v>
      </c>
      <c r="D5419" s="9" t="s">
        <v>8649</v>
      </c>
      <c r="E5419" s="9" t="s">
        <v>13</v>
      </c>
      <c r="F5419" s="9"/>
      <c r="G5419" s="91"/>
      <c r="H5419" s="9" t="s">
        <v>9051</v>
      </c>
      <c r="I5419" s="9" t="s">
        <v>353</v>
      </c>
      <c r="J5419" s="88"/>
    </row>
    <row r="5420">
      <c r="A5420" s="259"/>
      <c r="B5420" s="9" t="s">
        <v>5821</v>
      </c>
      <c r="C5420" s="91" t="s">
        <v>1489</v>
      </c>
      <c r="D5420" s="9" t="s">
        <v>8649</v>
      </c>
      <c r="E5420" s="9" t="s">
        <v>13</v>
      </c>
      <c r="F5420" s="9"/>
      <c r="G5420" s="91"/>
      <c r="H5420" s="9" t="s">
        <v>9052</v>
      </c>
      <c r="I5420" s="9" t="s">
        <v>353</v>
      </c>
      <c r="J5420" s="88"/>
    </row>
    <row r="5421">
      <c r="A5421" s="259"/>
      <c r="B5421" s="9" t="s">
        <v>9053</v>
      </c>
      <c r="C5421" s="91" t="s">
        <v>1097</v>
      </c>
      <c r="D5421" s="9" t="s">
        <v>8649</v>
      </c>
      <c r="E5421" s="9" t="s">
        <v>13</v>
      </c>
      <c r="F5421" s="9"/>
      <c r="G5421" s="91"/>
      <c r="H5421" s="9" t="s">
        <v>8167</v>
      </c>
      <c r="I5421" s="9" t="s">
        <v>353</v>
      </c>
      <c r="J5421" s="88"/>
    </row>
    <row r="5422">
      <c r="A5422" s="259"/>
      <c r="B5422" s="9" t="s">
        <v>9054</v>
      </c>
      <c r="C5422" s="91" t="s">
        <v>1097</v>
      </c>
      <c r="D5422" s="9" t="s">
        <v>8649</v>
      </c>
      <c r="E5422" s="9" t="s">
        <v>13</v>
      </c>
      <c r="F5422" s="9"/>
      <c r="G5422" s="9"/>
      <c r="H5422" s="9" t="s">
        <v>9055</v>
      </c>
      <c r="I5422" s="9" t="s">
        <v>353</v>
      </c>
      <c r="J5422" s="88"/>
    </row>
    <row r="5423">
      <c r="A5423" s="259"/>
      <c r="B5423" s="9" t="s">
        <v>7515</v>
      </c>
      <c r="C5423" s="91" t="s">
        <v>1489</v>
      </c>
      <c r="D5423" s="9" t="s">
        <v>8649</v>
      </c>
      <c r="E5423" s="9" t="s">
        <v>13</v>
      </c>
      <c r="F5423" s="9"/>
      <c r="G5423" s="9"/>
      <c r="H5423" s="9" t="s">
        <v>9056</v>
      </c>
      <c r="I5423" s="9" t="s">
        <v>353</v>
      </c>
      <c r="J5423" s="88"/>
    </row>
    <row r="5424">
      <c r="A5424" s="259"/>
      <c r="B5424" s="9" t="s">
        <v>9057</v>
      </c>
      <c r="C5424" s="91" t="s">
        <v>1489</v>
      </c>
      <c r="D5424" s="9" t="s">
        <v>8649</v>
      </c>
      <c r="E5424" s="9" t="s">
        <v>13</v>
      </c>
      <c r="F5424" s="9"/>
      <c r="G5424" s="9"/>
      <c r="H5424" s="9" t="s">
        <v>9056</v>
      </c>
      <c r="I5424" s="9" t="s">
        <v>353</v>
      </c>
      <c r="J5424" s="88"/>
    </row>
    <row r="5425">
      <c r="A5425" s="259"/>
      <c r="B5425" s="9" t="s">
        <v>9058</v>
      </c>
      <c r="C5425" s="91" t="s">
        <v>8741</v>
      </c>
      <c r="D5425" s="9" t="s">
        <v>8649</v>
      </c>
      <c r="E5425" s="9" t="s">
        <v>13</v>
      </c>
      <c r="F5425" s="9"/>
      <c r="G5425" s="9"/>
      <c r="H5425" s="9" t="s">
        <v>9059</v>
      </c>
      <c r="I5425" s="9" t="s">
        <v>353</v>
      </c>
      <c r="J5425" s="88"/>
    </row>
    <row r="5426">
      <c r="A5426" s="259"/>
      <c r="B5426" s="9" t="s">
        <v>9060</v>
      </c>
      <c r="C5426" s="91" t="s">
        <v>1489</v>
      </c>
      <c r="D5426" s="9" t="s">
        <v>8665</v>
      </c>
      <c r="E5426" s="9" t="s">
        <v>13</v>
      </c>
      <c r="F5426" s="9"/>
      <c r="G5426" s="9"/>
      <c r="H5426" s="9" t="s">
        <v>18</v>
      </c>
      <c r="I5426" s="9" t="s">
        <v>353</v>
      </c>
      <c r="J5426" s="88"/>
    </row>
    <row r="5427">
      <c r="A5427" s="259"/>
      <c r="B5427" s="9" t="s">
        <v>9061</v>
      </c>
      <c r="C5427" s="91" t="s">
        <v>1489</v>
      </c>
      <c r="D5427" s="9" t="s">
        <v>8665</v>
      </c>
      <c r="E5427" s="9" t="s">
        <v>13</v>
      </c>
      <c r="F5427" s="9"/>
      <c r="G5427" s="9"/>
      <c r="H5427" s="9" t="s">
        <v>18</v>
      </c>
      <c r="I5427" s="9" t="s">
        <v>353</v>
      </c>
      <c r="J5427" s="88"/>
    </row>
    <row r="5428">
      <c r="A5428" s="259"/>
      <c r="B5428" s="9" t="s">
        <v>9062</v>
      </c>
      <c r="C5428" s="91" t="s">
        <v>1489</v>
      </c>
      <c r="D5428" s="9" t="s">
        <v>8665</v>
      </c>
      <c r="E5428" s="9" t="s">
        <v>13</v>
      </c>
      <c r="F5428" s="9"/>
      <c r="G5428" s="9"/>
      <c r="H5428" s="9" t="s">
        <v>18</v>
      </c>
      <c r="I5428" s="9" t="s">
        <v>353</v>
      </c>
      <c r="J5428" s="88"/>
    </row>
    <row r="5429">
      <c r="A5429" s="259"/>
      <c r="B5429" s="9" t="s">
        <v>9063</v>
      </c>
      <c r="C5429" s="91" t="s">
        <v>1489</v>
      </c>
      <c r="D5429" s="9" t="s">
        <v>8665</v>
      </c>
      <c r="E5429" s="9" t="s">
        <v>13</v>
      </c>
      <c r="F5429" s="9"/>
      <c r="G5429" s="9"/>
      <c r="H5429" s="9" t="s">
        <v>18</v>
      </c>
      <c r="I5429" s="9" t="s">
        <v>353</v>
      </c>
      <c r="J5429" s="88"/>
    </row>
    <row r="5430">
      <c r="A5430" s="259"/>
      <c r="B5430" s="9" t="s">
        <v>9064</v>
      </c>
      <c r="C5430" s="91" t="s">
        <v>1097</v>
      </c>
      <c r="D5430" s="9" t="s">
        <v>8665</v>
      </c>
      <c r="E5430" s="9" t="s">
        <v>13</v>
      </c>
      <c r="F5430" s="9"/>
      <c r="G5430" s="9"/>
      <c r="H5430" s="9" t="s">
        <v>6144</v>
      </c>
      <c r="I5430" s="9" t="s">
        <v>353</v>
      </c>
      <c r="J5430" s="88"/>
    </row>
    <row r="5431">
      <c r="A5431" s="259"/>
      <c r="B5431" s="9" t="s">
        <v>9065</v>
      </c>
      <c r="C5431" s="91" t="s">
        <v>1489</v>
      </c>
      <c r="D5431" s="9" t="s">
        <v>8665</v>
      </c>
      <c r="E5431" s="9" t="s">
        <v>353</v>
      </c>
      <c r="F5431" s="9"/>
      <c r="G5431" s="9"/>
      <c r="H5431" s="9" t="s">
        <v>9066</v>
      </c>
      <c r="I5431" s="9" t="s">
        <v>353</v>
      </c>
      <c r="J5431" s="88"/>
    </row>
    <row r="5432">
      <c r="A5432" s="259"/>
      <c r="B5432" s="9" t="s">
        <v>9067</v>
      </c>
      <c r="C5432" s="91" t="s">
        <v>1489</v>
      </c>
      <c r="D5432" s="9" t="s">
        <v>8665</v>
      </c>
      <c r="E5432" s="9" t="s">
        <v>13</v>
      </c>
      <c r="F5432" s="9"/>
      <c r="G5432" s="9"/>
      <c r="H5432" s="9" t="s">
        <v>7804</v>
      </c>
      <c r="I5432" s="9" t="s">
        <v>353</v>
      </c>
      <c r="J5432" s="88"/>
    </row>
    <row r="5433">
      <c r="A5433" s="259"/>
      <c r="B5433" s="9" t="s">
        <v>9068</v>
      </c>
      <c r="C5433" s="91" t="s">
        <v>1097</v>
      </c>
      <c r="D5433" s="9" t="s">
        <v>8665</v>
      </c>
      <c r="E5433" s="9" t="s">
        <v>353</v>
      </c>
      <c r="F5433" s="9"/>
      <c r="G5433" s="9"/>
      <c r="H5433" s="9" t="s">
        <v>6251</v>
      </c>
      <c r="I5433" s="9" t="s">
        <v>353</v>
      </c>
      <c r="J5433" s="88"/>
    </row>
    <row r="5434">
      <c r="A5434" s="259"/>
      <c r="B5434" s="9" t="s">
        <v>9069</v>
      </c>
      <c r="C5434" s="91" t="s">
        <v>1097</v>
      </c>
      <c r="D5434" s="9" t="s">
        <v>8665</v>
      </c>
      <c r="E5434" s="9" t="s">
        <v>353</v>
      </c>
      <c r="F5434" s="9"/>
      <c r="G5434" s="9"/>
      <c r="H5434" s="9" t="s">
        <v>7804</v>
      </c>
      <c r="I5434" s="9" t="s">
        <v>353</v>
      </c>
      <c r="J5434" s="88"/>
    </row>
    <row r="5435">
      <c r="A5435" s="259"/>
      <c r="B5435" s="9" t="s">
        <v>9070</v>
      </c>
      <c r="C5435" s="91" t="s">
        <v>1489</v>
      </c>
      <c r="D5435" s="9" t="s">
        <v>8665</v>
      </c>
      <c r="E5435" s="9" t="s">
        <v>353</v>
      </c>
      <c r="F5435" s="9"/>
      <c r="G5435" s="9"/>
      <c r="H5435" s="9" t="s">
        <v>8726</v>
      </c>
      <c r="I5435" s="9" t="s">
        <v>353</v>
      </c>
      <c r="J5435" s="88"/>
    </row>
    <row r="5436">
      <c r="A5436" s="259"/>
      <c r="B5436" s="9" t="s">
        <v>1198</v>
      </c>
      <c r="C5436" s="91" t="s">
        <v>1489</v>
      </c>
      <c r="D5436" s="9" t="s">
        <v>8649</v>
      </c>
      <c r="E5436" s="9" t="s">
        <v>13</v>
      </c>
      <c r="F5436" s="9"/>
      <c r="G5436" s="9"/>
      <c r="H5436" s="9" t="s">
        <v>437</v>
      </c>
      <c r="I5436" s="9" t="s">
        <v>353</v>
      </c>
      <c r="J5436" s="88"/>
    </row>
    <row r="5437">
      <c r="A5437" s="259"/>
      <c r="B5437" s="9" t="s">
        <v>9071</v>
      </c>
      <c r="C5437" s="91" t="s">
        <v>1097</v>
      </c>
      <c r="D5437" s="9" t="s">
        <v>8649</v>
      </c>
      <c r="E5437" s="9" t="s">
        <v>13</v>
      </c>
      <c r="F5437" s="9"/>
      <c r="G5437" s="9"/>
      <c r="H5437" s="9" t="s">
        <v>437</v>
      </c>
      <c r="I5437" s="9" t="s">
        <v>353</v>
      </c>
      <c r="J5437" s="88"/>
    </row>
    <row r="5438">
      <c r="A5438" s="259"/>
      <c r="B5438" s="9" t="s">
        <v>4678</v>
      </c>
      <c r="C5438" s="91" t="s">
        <v>1489</v>
      </c>
      <c r="D5438" s="9" t="s">
        <v>8649</v>
      </c>
      <c r="E5438" s="9" t="s">
        <v>13</v>
      </c>
      <c r="F5438" s="9"/>
      <c r="G5438" s="9"/>
      <c r="H5438" s="9" t="s">
        <v>6761</v>
      </c>
      <c r="I5438" s="9" t="s">
        <v>353</v>
      </c>
      <c r="J5438" s="88"/>
    </row>
    <row r="5439">
      <c r="A5439" s="259"/>
      <c r="B5439" s="9" t="s">
        <v>4532</v>
      </c>
      <c r="C5439" s="91" t="s">
        <v>1489</v>
      </c>
      <c r="D5439" s="9" t="s">
        <v>8665</v>
      </c>
      <c r="E5439" s="9" t="s">
        <v>13</v>
      </c>
      <c r="F5439" s="9"/>
      <c r="G5439" s="9"/>
      <c r="H5439" s="9" t="s">
        <v>18</v>
      </c>
      <c r="I5439" s="9" t="s">
        <v>353</v>
      </c>
      <c r="J5439" s="88"/>
    </row>
    <row r="5440">
      <c r="A5440" s="259"/>
      <c r="B5440" s="9" t="s">
        <v>9072</v>
      </c>
      <c r="C5440" s="91" t="s">
        <v>1489</v>
      </c>
      <c r="D5440" s="9" t="s">
        <v>8649</v>
      </c>
      <c r="E5440" s="9" t="s">
        <v>13</v>
      </c>
      <c r="F5440" s="9"/>
      <c r="G5440" s="9"/>
      <c r="H5440" s="9" t="s">
        <v>9073</v>
      </c>
      <c r="I5440" s="9" t="s">
        <v>353</v>
      </c>
      <c r="J5440" s="88"/>
    </row>
    <row r="5441">
      <c r="A5441" s="259"/>
      <c r="B5441" s="9" t="s">
        <v>9074</v>
      </c>
      <c r="C5441" s="91" t="s">
        <v>1489</v>
      </c>
      <c r="D5441" s="9" t="s">
        <v>8649</v>
      </c>
      <c r="E5441" s="9" t="s">
        <v>13</v>
      </c>
      <c r="F5441" s="9"/>
      <c r="G5441" s="9"/>
      <c r="H5441" s="9" t="s">
        <v>437</v>
      </c>
      <c r="I5441" s="9" t="s">
        <v>353</v>
      </c>
      <c r="J5441" s="88"/>
    </row>
    <row r="5442">
      <c r="A5442" s="259"/>
      <c r="B5442" s="9" t="s">
        <v>3192</v>
      </c>
      <c r="C5442" s="91" t="s">
        <v>1489</v>
      </c>
      <c r="D5442" s="9" t="s">
        <v>8649</v>
      </c>
      <c r="E5442" s="9" t="s">
        <v>13</v>
      </c>
      <c r="F5442" s="9"/>
      <c r="G5442" s="9"/>
      <c r="H5442" s="9" t="s">
        <v>437</v>
      </c>
      <c r="I5442" s="9" t="s">
        <v>353</v>
      </c>
      <c r="J5442" s="88"/>
    </row>
    <row r="5443">
      <c r="A5443" s="259"/>
      <c r="B5443" s="9" t="s">
        <v>9075</v>
      </c>
      <c r="C5443" s="91" t="s">
        <v>1489</v>
      </c>
      <c r="D5443" s="9" t="s">
        <v>8649</v>
      </c>
      <c r="E5443" s="9" t="s">
        <v>13</v>
      </c>
      <c r="F5443" s="9"/>
      <c r="G5443" s="9"/>
      <c r="H5443" s="9" t="s">
        <v>9076</v>
      </c>
      <c r="I5443" s="9" t="s">
        <v>353</v>
      </c>
      <c r="J5443" s="88"/>
    </row>
    <row r="5444">
      <c r="A5444" s="259"/>
      <c r="B5444" s="9" t="s">
        <v>1489</v>
      </c>
      <c r="C5444" s="91" t="s">
        <v>1489</v>
      </c>
      <c r="D5444" s="9" t="s">
        <v>8649</v>
      </c>
      <c r="E5444" s="9" t="s">
        <v>13</v>
      </c>
      <c r="F5444" s="9"/>
      <c r="G5444" s="9"/>
      <c r="H5444" s="9" t="s">
        <v>9077</v>
      </c>
      <c r="I5444" s="9" t="s">
        <v>353</v>
      </c>
      <c r="J5444" s="88"/>
    </row>
    <row r="5445">
      <c r="A5445" s="259"/>
      <c r="B5445" s="9" t="s">
        <v>4997</v>
      </c>
      <c r="C5445" s="91" t="s">
        <v>1097</v>
      </c>
      <c r="D5445" s="9" t="s">
        <v>8649</v>
      </c>
      <c r="E5445" s="9" t="s">
        <v>13</v>
      </c>
      <c r="F5445" s="9"/>
      <c r="G5445" s="9"/>
      <c r="H5445" s="9" t="s">
        <v>9078</v>
      </c>
      <c r="I5445" s="9" t="s">
        <v>353</v>
      </c>
      <c r="J5445" s="88"/>
    </row>
    <row r="5446">
      <c r="A5446" s="259"/>
      <c r="B5446" s="9" t="s">
        <v>9044</v>
      </c>
      <c r="C5446" s="91" t="s">
        <v>1489</v>
      </c>
      <c r="D5446" s="9" t="s">
        <v>8649</v>
      </c>
      <c r="E5446" s="9" t="s">
        <v>13</v>
      </c>
      <c r="F5446" s="9"/>
      <c r="G5446" s="9"/>
      <c r="H5446" s="9" t="s">
        <v>9079</v>
      </c>
      <c r="I5446" s="9" t="s">
        <v>353</v>
      </c>
      <c r="J5446" s="88"/>
    </row>
    <row r="5447">
      <c r="A5447" s="259"/>
      <c r="B5447" s="9" t="s">
        <v>9080</v>
      </c>
      <c r="C5447" s="91" t="s">
        <v>1489</v>
      </c>
      <c r="D5447" s="9" t="s">
        <v>8649</v>
      </c>
      <c r="E5447" s="9" t="s">
        <v>13</v>
      </c>
      <c r="F5447" s="9"/>
      <c r="G5447" s="9"/>
      <c r="H5447" s="9" t="s">
        <v>9081</v>
      </c>
      <c r="I5447" s="9" t="s">
        <v>353</v>
      </c>
      <c r="J5447" s="88"/>
    </row>
    <row r="5448">
      <c r="A5448" s="259"/>
      <c r="B5448" s="9" t="s">
        <v>9082</v>
      </c>
      <c r="C5448" s="91" t="s">
        <v>1489</v>
      </c>
      <c r="D5448" s="9" t="s">
        <v>8649</v>
      </c>
      <c r="E5448" s="9" t="s">
        <v>13</v>
      </c>
      <c r="F5448" s="9"/>
      <c r="G5448" s="9"/>
      <c r="H5448" s="9" t="s">
        <v>5808</v>
      </c>
      <c r="I5448" s="9" t="s">
        <v>353</v>
      </c>
      <c r="J5448" s="88"/>
    </row>
    <row r="5449">
      <c r="A5449" s="259"/>
      <c r="B5449" s="9" t="s">
        <v>9083</v>
      </c>
      <c r="C5449" s="91" t="s">
        <v>9021</v>
      </c>
      <c r="D5449" s="9" t="s">
        <v>8649</v>
      </c>
      <c r="E5449" s="9" t="s">
        <v>13</v>
      </c>
      <c r="F5449" s="9"/>
      <c r="G5449" s="9"/>
      <c r="H5449" s="9" t="s">
        <v>437</v>
      </c>
      <c r="I5449" s="9" t="s">
        <v>353</v>
      </c>
      <c r="J5449" s="88"/>
    </row>
    <row r="5450">
      <c r="A5450" s="259"/>
      <c r="B5450" s="9" t="s">
        <v>9084</v>
      </c>
      <c r="C5450" s="91" t="s">
        <v>1489</v>
      </c>
      <c r="D5450" s="9" t="s">
        <v>8649</v>
      </c>
      <c r="E5450" s="9" t="s">
        <v>13</v>
      </c>
      <c r="F5450" s="9"/>
      <c r="G5450" s="9"/>
      <c r="H5450" s="9" t="s">
        <v>9085</v>
      </c>
      <c r="I5450" s="9" t="s">
        <v>353</v>
      </c>
      <c r="J5450" s="88"/>
    </row>
    <row r="5451">
      <c r="A5451" s="259"/>
      <c r="B5451" s="9" t="s">
        <v>7480</v>
      </c>
      <c r="C5451" s="91" t="s">
        <v>1489</v>
      </c>
      <c r="D5451" s="9" t="s">
        <v>8649</v>
      </c>
      <c r="E5451" s="9" t="s">
        <v>353</v>
      </c>
      <c r="F5451" s="9"/>
      <c r="G5451" s="9"/>
      <c r="H5451" s="9" t="s">
        <v>437</v>
      </c>
      <c r="I5451" s="9" t="s">
        <v>353</v>
      </c>
      <c r="J5451" s="88"/>
    </row>
    <row r="5452">
      <c r="A5452" s="259"/>
      <c r="B5452" s="9" t="s">
        <v>8062</v>
      </c>
      <c r="C5452" s="91" t="s">
        <v>1489</v>
      </c>
      <c r="D5452" s="9" t="s">
        <v>8638</v>
      </c>
      <c r="E5452" s="9" t="s">
        <v>353</v>
      </c>
      <c r="F5452" s="9"/>
      <c r="G5452" s="9"/>
      <c r="H5452" s="9" t="s">
        <v>9086</v>
      </c>
      <c r="I5452" s="9" t="s">
        <v>353</v>
      </c>
      <c r="J5452" s="88"/>
    </row>
    <row r="5453">
      <c r="A5453" s="259"/>
      <c r="B5453" s="9" t="s">
        <v>9087</v>
      </c>
      <c r="C5453" s="91" t="s">
        <v>8741</v>
      </c>
      <c r="D5453" s="9" t="s">
        <v>8638</v>
      </c>
      <c r="E5453" s="9" t="s">
        <v>13</v>
      </c>
      <c r="F5453" s="9"/>
      <c r="G5453" s="9"/>
      <c r="H5453" s="9" t="s">
        <v>8701</v>
      </c>
      <c r="I5453" s="9" t="s">
        <v>353</v>
      </c>
      <c r="J5453" s="88"/>
    </row>
    <row r="5454">
      <c r="A5454" s="259"/>
      <c r="B5454" s="9" t="s">
        <v>8784</v>
      </c>
      <c r="C5454" s="91" t="s">
        <v>1489</v>
      </c>
      <c r="D5454" s="9" t="s">
        <v>8649</v>
      </c>
      <c r="E5454" s="9" t="s">
        <v>13</v>
      </c>
      <c r="F5454" s="9"/>
      <c r="G5454" s="9"/>
      <c r="H5454" s="9" t="s">
        <v>9088</v>
      </c>
      <c r="I5454" s="9" t="s">
        <v>353</v>
      </c>
      <c r="J5454" s="88"/>
    </row>
    <row r="5455">
      <c r="A5455" s="259"/>
      <c r="B5455" s="9" t="s">
        <v>9089</v>
      </c>
      <c r="C5455" s="91" t="s">
        <v>1489</v>
      </c>
      <c r="D5455" s="9" t="s">
        <v>8649</v>
      </c>
      <c r="E5455" s="9" t="s">
        <v>13</v>
      </c>
      <c r="F5455" s="9"/>
      <c r="G5455" s="9"/>
      <c r="H5455" s="9" t="s">
        <v>437</v>
      </c>
      <c r="I5455" s="9" t="s">
        <v>353</v>
      </c>
      <c r="J5455" s="88"/>
    </row>
    <row r="5456">
      <c r="A5456" s="259"/>
      <c r="B5456" s="9" t="s">
        <v>9090</v>
      </c>
      <c r="C5456" s="91" t="s">
        <v>1097</v>
      </c>
      <c r="D5456" s="9" t="s">
        <v>8649</v>
      </c>
      <c r="E5456" s="9" t="s">
        <v>13</v>
      </c>
      <c r="F5456" s="9"/>
      <c r="G5456" s="9"/>
      <c r="H5456" s="9" t="s">
        <v>437</v>
      </c>
      <c r="I5456" s="9" t="s">
        <v>353</v>
      </c>
      <c r="J5456" s="88"/>
    </row>
    <row r="5457">
      <c r="A5457" s="259"/>
      <c r="B5457" s="9" t="s">
        <v>9091</v>
      </c>
      <c r="C5457" s="91" t="s">
        <v>1489</v>
      </c>
      <c r="D5457" s="9" t="s">
        <v>8649</v>
      </c>
      <c r="E5457" s="9" t="s">
        <v>13</v>
      </c>
      <c r="F5457" s="9"/>
      <c r="G5457" s="9"/>
      <c r="H5457" s="9" t="s">
        <v>437</v>
      </c>
      <c r="I5457" s="9" t="s">
        <v>353</v>
      </c>
      <c r="J5457" s="88"/>
    </row>
    <row r="5458">
      <c r="A5458" s="259"/>
      <c r="B5458" s="9" t="s">
        <v>7543</v>
      </c>
      <c r="C5458" s="91" t="s">
        <v>1097</v>
      </c>
      <c r="D5458" s="9" t="s">
        <v>8649</v>
      </c>
      <c r="E5458" s="9" t="s">
        <v>13</v>
      </c>
      <c r="F5458" s="9"/>
      <c r="G5458" s="9"/>
      <c r="H5458" s="93" t="s">
        <v>437</v>
      </c>
      <c r="I5458" s="9" t="s">
        <v>353</v>
      </c>
      <c r="J5458" s="88"/>
    </row>
    <row r="5459">
      <c r="A5459" s="259"/>
      <c r="B5459" s="9" t="s">
        <v>9092</v>
      </c>
      <c r="C5459" s="91" t="s">
        <v>1097</v>
      </c>
      <c r="D5459" s="9" t="s">
        <v>8649</v>
      </c>
      <c r="E5459" s="9" t="s">
        <v>13</v>
      </c>
      <c r="F5459" s="9"/>
      <c r="G5459" s="9"/>
      <c r="H5459" s="9" t="s">
        <v>437</v>
      </c>
      <c r="I5459" s="9" t="s">
        <v>353</v>
      </c>
      <c r="J5459" s="88"/>
    </row>
    <row r="5460">
      <c r="A5460" s="259"/>
      <c r="B5460" s="9" t="s">
        <v>6373</v>
      </c>
      <c r="C5460" s="91" t="s">
        <v>1489</v>
      </c>
      <c r="D5460" s="9" t="s">
        <v>8649</v>
      </c>
      <c r="E5460" s="9" t="s">
        <v>13</v>
      </c>
      <c r="F5460" s="9"/>
      <c r="G5460" s="9"/>
      <c r="H5460" s="9" t="s">
        <v>842</v>
      </c>
      <c r="I5460" s="9" t="s">
        <v>353</v>
      </c>
      <c r="J5460" s="88"/>
    </row>
    <row r="5461">
      <c r="A5461" s="259"/>
      <c r="B5461" s="9" t="s">
        <v>6290</v>
      </c>
      <c r="C5461" s="91" t="s">
        <v>1489</v>
      </c>
      <c r="D5461" s="9" t="s">
        <v>8649</v>
      </c>
      <c r="E5461" s="9" t="s">
        <v>13</v>
      </c>
      <c r="F5461" s="9"/>
      <c r="G5461" s="9"/>
      <c r="H5461" s="9" t="s">
        <v>9093</v>
      </c>
      <c r="I5461" s="9" t="s">
        <v>353</v>
      </c>
      <c r="J5461" s="88"/>
    </row>
    <row r="5462">
      <c r="A5462" s="259"/>
      <c r="B5462" s="9" t="s">
        <v>9094</v>
      </c>
      <c r="C5462" s="91" t="s">
        <v>1489</v>
      </c>
      <c r="D5462" s="9" t="s">
        <v>8649</v>
      </c>
      <c r="E5462" s="9" t="s">
        <v>13</v>
      </c>
      <c r="F5462" s="9"/>
      <c r="G5462" s="9"/>
      <c r="H5462" s="9" t="s">
        <v>9095</v>
      </c>
      <c r="I5462" s="9" t="s">
        <v>353</v>
      </c>
      <c r="J5462" s="88"/>
    </row>
    <row r="5463">
      <c r="A5463" s="259"/>
      <c r="B5463" s="9" t="s">
        <v>8926</v>
      </c>
      <c r="C5463" s="91" t="s">
        <v>1097</v>
      </c>
      <c r="D5463" s="9" t="s">
        <v>8649</v>
      </c>
      <c r="E5463" s="9" t="s">
        <v>353</v>
      </c>
      <c r="F5463" s="9"/>
      <c r="G5463" s="9"/>
      <c r="H5463" s="9" t="s">
        <v>437</v>
      </c>
      <c r="I5463" s="9" t="s">
        <v>353</v>
      </c>
      <c r="J5463" s="88"/>
    </row>
    <row r="5464">
      <c r="A5464" s="259"/>
      <c r="B5464" s="9" t="s">
        <v>9096</v>
      </c>
      <c r="C5464" s="91" t="s">
        <v>8741</v>
      </c>
      <c r="D5464" s="9" t="s">
        <v>8649</v>
      </c>
      <c r="E5464" s="9" t="s">
        <v>13</v>
      </c>
      <c r="F5464" s="9"/>
      <c r="G5464" s="9"/>
      <c r="H5464" s="9" t="s">
        <v>437</v>
      </c>
      <c r="I5464" s="9" t="s">
        <v>353</v>
      </c>
      <c r="J5464" s="88"/>
    </row>
    <row r="5465">
      <c r="A5465" s="259"/>
      <c r="B5465" s="9" t="s">
        <v>9097</v>
      </c>
      <c r="C5465" s="91" t="s">
        <v>11</v>
      </c>
      <c r="D5465" s="9" t="s">
        <v>8649</v>
      </c>
      <c r="E5465" s="9" t="s">
        <v>13</v>
      </c>
      <c r="F5465" s="9"/>
      <c r="G5465" s="9"/>
      <c r="H5465" s="9" t="s">
        <v>7692</v>
      </c>
      <c r="I5465" s="9" t="s">
        <v>353</v>
      </c>
      <c r="J5465" s="88"/>
    </row>
    <row r="5466">
      <c r="A5466" s="259"/>
      <c r="B5466" s="9" t="s">
        <v>9098</v>
      </c>
      <c r="C5466" s="91" t="s">
        <v>11</v>
      </c>
      <c r="D5466" s="9" t="s">
        <v>8638</v>
      </c>
      <c r="E5466" s="9" t="s">
        <v>13</v>
      </c>
      <c r="F5466" s="9"/>
      <c r="G5466" s="9"/>
      <c r="H5466" s="9" t="s">
        <v>9099</v>
      </c>
      <c r="I5466" s="9" t="s">
        <v>353</v>
      </c>
      <c r="J5466" s="259"/>
    </row>
    <row r="5467">
      <c r="A5467" s="259"/>
      <c r="B5467" s="9" t="s">
        <v>9100</v>
      </c>
      <c r="C5467" s="91" t="s">
        <v>11</v>
      </c>
      <c r="D5467" s="9" t="s">
        <v>8638</v>
      </c>
      <c r="E5467" s="9" t="s">
        <v>13</v>
      </c>
      <c r="F5467" s="9"/>
      <c r="G5467" s="9"/>
      <c r="H5467" s="9" t="s">
        <v>9101</v>
      </c>
      <c r="I5467" s="9" t="s">
        <v>353</v>
      </c>
      <c r="J5467" s="259"/>
    </row>
    <row r="5468">
      <c r="A5468" s="259"/>
      <c r="B5468" s="9" t="s">
        <v>9102</v>
      </c>
      <c r="C5468" s="91" t="s">
        <v>11</v>
      </c>
      <c r="D5468" s="9" t="s">
        <v>8638</v>
      </c>
      <c r="E5468" s="9" t="s">
        <v>13</v>
      </c>
      <c r="F5468" s="9"/>
      <c r="G5468" s="9"/>
      <c r="H5468" s="9" t="s">
        <v>9103</v>
      </c>
      <c r="I5468" s="9" t="s">
        <v>353</v>
      </c>
      <c r="J5468" s="259"/>
    </row>
    <row r="5469">
      <c r="A5469" s="259"/>
      <c r="B5469" s="9" t="s">
        <v>9104</v>
      </c>
      <c r="C5469" s="91" t="s">
        <v>11</v>
      </c>
      <c r="D5469" s="9" t="s">
        <v>8638</v>
      </c>
      <c r="E5469" s="9" t="s">
        <v>13</v>
      </c>
      <c r="F5469" s="9"/>
      <c r="G5469" s="9"/>
      <c r="H5469" s="9" t="s">
        <v>9105</v>
      </c>
      <c r="I5469" s="9" t="s">
        <v>353</v>
      </c>
      <c r="J5469" s="259"/>
    </row>
    <row r="5470">
      <c r="A5470" s="259"/>
      <c r="B5470" s="9" t="s">
        <v>9106</v>
      </c>
      <c r="C5470" s="91" t="s">
        <v>11</v>
      </c>
      <c r="D5470" s="9" t="s">
        <v>8638</v>
      </c>
      <c r="E5470" s="9" t="s">
        <v>13</v>
      </c>
      <c r="F5470" s="9"/>
      <c r="G5470" s="9"/>
      <c r="H5470" s="9" t="s">
        <v>9107</v>
      </c>
      <c r="I5470" s="9" t="s">
        <v>353</v>
      </c>
      <c r="J5470" s="259"/>
    </row>
    <row r="5471">
      <c r="A5471" s="259"/>
      <c r="B5471" s="26"/>
      <c r="C5471" s="91" t="s">
        <v>11</v>
      </c>
      <c r="D5471" s="9" t="s">
        <v>11</v>
      </c>
      <c r="E5471" s="9" t="s">
        <v>13</v>
      </c>
      <c r="F5471" s="9"/>
      <c r="G5471" s="9"/>
      <c r="H5471" s="9"/>
      <c r="I5471" s="9" t="s">
        <v>13</v>
      </c>
      <c r="J5471" s="259"/>
    </row>
    <row r="5472">
      <c r="A5472" s="259"/>
      <c r="B5472" s="26"/>
      <c r="C5472" s="91" t="s">
        <v>11</v>
      </c>
      <c r="D5472" s="9" t="s">
        <v>11</v>
      </c>
      <c r="E5472" s="9" t="s">
        <v>13</v>
      </c>
      <c r="F5472" s="9"/>
      <c r="G5472" s="9"/>
      <c r="H5472" s="9"/>
      <c r="I5472" s="9" t="s">
        <v>13</v>
      </c>
      <c r="J5472" s="259"/>
    </row>
    <row r="5473">
      <c r="A5473" s="259"/>
      <c r="B5473" s="26"/>
      <c r="C5473" s="91" t="s">
        <v>11</v>
      </c>
      <c r="D5473" s="9" t="s">
        <v>11</v>
      </c>
      <c r="E5473" s="9" t="s">
        <v>13</v>
      </c>
      <c r="F5473" s="9"/>
      <c r="G5473" s="9"/>
      <c r="H5473" s="9"/>
      <c r="I5473" s="9" t="s">
        <v>13</v>
      </c>
      <c r="J5473" s="259"/>
    </row>
    <row r="5474">
      <c r="A5474" s="259"/>
      <c r="B5474" s="26"/>
      <c r="C5474" s="91" t="s">
        <v>11</v>
      </c>
      <c r="D5474" s="9" t="s">
        <v>11</v>
      </c>
      <c r="E5474" s="9" t="s">
        <v>13</v>
      </c>
      <c r="F5474" s="9"/>
      <c r="G5474" s="9"/>
      <c r="H5474" s="9"/>
      <c r="I5474" s="9" t="s">
        <v>13</v>
      </c>
      <c r="J5474" s="259"/>
    </row>
    <row r="5475">
      <c r="A5475" s="259"/>
      <c r="B5475" s="26"/>
      <c r="C5475" s="91" t="s">
        <v>11</v>
      </c>
      <c r="D5475" s="9" t="s">
        <v>11</v>
      </c>
      <c r="E5475" s="9" t="s">
        <v>13</v>
      </c>
      <c r="F5475" s="9"/>
      <c r="G5475" s="9"/>
      <c r="H5475" s="9"/>
      <c r="I5475" s="9" t="s">
        <v>13</v>
      </c>
      <c r="J5475" s="259"/>
    </row>
    <row r="5476">
      <c r="A5476" s="259"/>
      <c r="B5476" s="26"/>
      <c r="C5476" s="91" t="s">
        <v>11</v>
      </c>
      <c r="D5476" s="9" t="s">
        <v>11</v>
      </c>
      <c r="E5476" s="9" t="s">
        <v>13</v>
      </c>
      <c r="F5476" s="9"/>
      <c r="G5476" s="9"/>
      <c r="H5476" s="9"/>
      <c r="I5476" s="9" t="s">
        <v>13</v>
      </c>
      <c r="J5476" s="259"/>
    </row>
    <row r="5477">
      <c r="A5477" s="259"/>
      <c r="B5477" s="26"/>
      <c r="C5477" s="91" t="s">
        <v>11</v>
      </c>
      <c r="D5477" s="9" t="s">
        <v>11</v>
      </c>
      <c r="E5477" s="9" t="s">
        <v>13</v>
      </c>
      <c r="F5477" s="9"/>
      <c r="G5477" s="9"/>
      <c r="H5477" s="9"/>
      <c r="I5477" s="9" t="s">
        <v>13</v>
      </c>
      <c r="J5477" s="259"/>
    </row>
    <row r="5478">
      <c r="A5478" s="259"/>
      <c r="B5478" s="26"/>
      <c r="C5478" s="91" t="s">
        <v>11</v>
      </c>
      <c r="D5478" s="9" t="s">
        <v>11</v>
      </c>
      <c r="E5478" s="9" t="s">
        <v>13</v>
      </c>
      <c r="F5478" s="9"/>
      <c r="G5478" s="9"/>
      <c r="H5478" s="9"/>
      <c r="I5478" s="9" t="s">
        <v>13</v>
      </c>
      <c r="J5478" s="259"/>
    </row>
    <row r="5479">
      <c r="A5479" s="259"/>
      <c r="B5479" s="26"/>
      <c r="C5479" s="91" t="s">
        <v>11</v>
      </c>
      <c r="D5479" s="9" t="s">
        <v>11</v>
      </c>
      <c r="E5479" s="9" t="s">
        <v>13</v>
      </c>
      <c r="F5479" s="9"/>
      <c r="G5479" s="9"/>
      <c r="H5479" s="9"/>
      <c r="I5479" s="9" t="s">
        <v>13</v>
      </c>
      <c r="J5479" s="259"/>
    </row>
    <row r="5480">
      <c r="A5480" s="259"/>
      <c r="B5480" s="26"/>
      <c r="C5480" s="91" t="s">
        <v>11</v>
      </c>
      <c r="D5480" s="9" t="s">
        <v>11</v>
      </c>
      <c r="E5480" s="9" t="s">
        <v>13</v>
      </c>
      <c r="F5480" s="9"/>
      <c r="G5480" s="9"/>
      <c r="H5480" s="9"/>
      <c r="I5480" s="9" t="s">
        <v>13</v>
      </c>
      <c r="J5480" s="259"/>
    </row>
    <row r="5481">
      <c r="A5481" s="259"/>
      <c r="B5481" s="26"/>
      <c r="C5481" s="91" t="s">
        <v>11</v>
      </c>
      <c r="D5481" s="9" t="s">
        <v>11</v>
      </c>
      <c r="E5481" s="9" t="s">
        <v>13</v>
      </c>
      <c r="F5481" s="9"/>
      <c r="G5481" s="9"/>
      <c r="H5481" s="9"/>
      <c r="I5481" s="9" t="s">
        <v>13</v>
      </c>
      <c r="J5481" s="259"/>
    </row>
    <row r="5482">
      <c r="A5482" s="259"/>
      <c r="B5482" s="26"/>
      <c r="C5482" s="91" t="s">
        <v>11</v>
      </c>
      <c r="D5482" s="9" t="s">
        <v>11</v>
      </c>
      <c r="E5482" s="9" t="s">
        <v>13</v>
      </c>
      <c r="F5482" s="9"/>
      <c r="G5482" s="9"/>
      <c r="H5482" s="9"/>
      <c r="I5482" s="9" t="s">
        <v>13</v>
      </c>
      <c r="J5482" s="259"/>
    </row>
    <row r="5483">
      <c r="A5483" s="259"/>
      <c r="B5483" s="26"/>
      <c r="C5483" s="91" t="s">
        <v>11</v>
      </c>
      <c r="D5483" s="9" t="s">
        <v>11</v>
      </c>
      <c r="E5483" s="9" t="s">
        <v>13</v>
      </c>
      <c r="F5483" s="9"/>
      <c r="G5483" s="9"/>
      <c r="H5483" s="9"/>
      <c r="I5483" s="9" t="s">
        <v>13</v>
      </c>
      <c r="J5483" s="259"/>
    </row>
    <row r="5484">
      <c r="A5484" s="259"/>
      <c r="B5484" s="26"/>
      <c r="C5484" s="91" t="s">
        <v>11</v>
      </c>
      <c r="D5484" s="9" t="s">
        <v>11</v>
      </c>
      <c r="E5484" s="9" t="s">
        <v>13</v>
      </c>
      <c r="F5484" s="9"/>
      <c r="G5484" s="9"/>
      <c r="H5484" s="9"/>
      <c r="I5484" s="9" t="s">
        <v>13</v>
      </c>
      <c r="J5484" s="259"/>
    </row>
    <row r="5485">
      <c r="A5485" s="259"/>
      <c r="B5485" s="26"/>
      <c r="C5485" s="91" t="s">
        <v>11</v>
      </c>
      <c r="D5485" s="9" t="s">
        <v>11</v>
      </c>
      <c r="E5485" s="9" t="s">
        <v>13</v>
      </c>
      <c r="F5485" s="9"/>
      <c r="G5485" s="9"/>
      <c r="H5485" s="9"/>
      <c r="I5485" s="9" t="s">
        <v>13</v>
      </c>
      <c r="J5485" s="259"/>
    </row>
    <row r="5486">
      <c r="A5486" s="259"/>
      <c r="B5486" s="26"/>
      <c r="C5486" s="91" t="s">
        <v>11</v>
      </c>
      <c r="D5486" s="9" t="s">
        <v>11</v>
      </c>
      <c r="E5486" s="9" t="s">
        <v>13</v>
      </c>
      <c r="F5486" s="9"/>
      <c r="G5486" s="9"/>
      <c r="H5486" s="9"/>
      <c r="I5486" s="9" t="s">
        <v>13</v>
      </c>
      <c r="J5486" s="259"/>
    </row>
    <row r="5487">
      <c r="A5487" s="259"/>
      <c r="B5487" s="26"/>
      <c r="C5487" s="91" t="s">
        <v>11</v>
      </c>
      <c r="D5487" s="9" t="s">
        <v>11</v>
      </c>
      <c r="E5487" s="9" t="s">
        <v>13</v>
      </c>
      <c r="F5487" s="9"/>
      <c r="G5487" s="9"/>
      <c r="H5487" s="9"/>
      <c r="I5487" s="9" t="s">
        <v>13</v>
      </c>
      <c r="J5487" s="259"/>
    </row>
    <row r="5488">
      <c r="A5488" s="259"/>
      <c r="B5488" s="26"/>
      <c r="C5488" s="91" t="s">
        <v>11</v>
      </c>
      <c r="D5488" s="9" t="s">
        <v>11</v>
      </c>
      <c r="E5488" s="9" t="s">
        <v>13</v>
      </c>
      <c r="F5488" s="9"/>
      <c r="G5488" s="9"/>
      <c r="H5488" s="9"/>
      <c r="I5488" s="9" t="s">
        <v>13</v>
      </c>
      <c r="J5488" s="259"/>
    </row>
    <row r="5489">
      <c r="A5489" s="259"/>
      <c r="B5489" s="26"/>
      <c r="C5489" s="91" t="s">
        <v>11</v>
      </c>
      <c r="D5489" s="9" t="s">
        <v>11</v>
      </c>
      <c r="E5489" s="9" t="s">
        <v>13</v>
      </c>
      <c r="F5489" s="9"/>
      <c r="G5489" s="9"/>
      <c r="H5489" s="9"/>
      <c r="I5489" s="9" t="s">
        <v>13</v>
      </c>
      <c r="J5489" s="259"/>
    </row>
    <row r="5490">
      <c r="A5490" s="259"/>
      <c r="B5490" s="26"/>
      <c r="C5490" s="91" t="s">
        <v>11</v>
      </c>
      <c r="D5490" s="9" t="s">
        <v>11</v>
      </c>
      <c r="E5490" s="9" t="s">
        <v>13</v>
      </c>
      <c r="F5490" s="9"/>
      <c r="G5490" s="9"/>
      <c r="H5490" s="9"/>
      <c r="I5490" s="9" t="s">
        <v>13</v>
      </c>
      <c r="J5490" s="259"/>
    </row>
    <row r="5491">
      <c r="A5491" s="259"/>
      <c r="B5491" s="26"/>
      <c r="C5491" s="91" t="s">
        <v>11</v>
      </c>
      <c r="D5491" s="9" t="s">
        <v>11</v>
      </c>
      <c r="E5491" s="9" t="s">
        <v>13</v>
      </c>
      <c r="F5491" s="9"/>
      <c r="G5491" s="9"/>
      <c r="H5491" s="9"/>
      <c r="I5491" s="9" t="s">
        <v>13</v>
      </c>
      <c r="J5491" s="259"/>
    </row>
    <row r="5492">
      <c r="A5492" s="259"/>
      <c r="B5492" s="26"/>
      <c r="C5492" s="91" t="s">
        <v>11</v>
      </c>
      <c r="D5492" s="9" t="s">
        <v>11</v>
      </c>
      <c r="E5492" s="9" t="s">
        <v>13</v>
      </c>
      <c r="F5492" s="9"/>
      <c r="G5492" s="9"/>
      <c r="H5492" s="9"/>
      <c r="I5492" s="9" t="s">
        <v>13</v>
      </c>
      <c r="J5492" s="259"/>
    </row>
    <row r="5493">
      <c r="A5493" s="259"/>
      <c r="B5493" s="26"/>
      <c r="C5493" s="91" t="s">
        <v>11</v>
      </c>
      <c r="D5493" s="9" t="s">
        <v>11</v>
      </c>
      <c r="E5493" s="9" t="s">
        <v>13</v>
      </c>
      <c r="F5493" s="9"/>
      <c r="G5493" s="9"/>
      <c r="H5493" s="9"/>
      <c r="I5493" s="9" t="s">
        <v>13</v>
      </c>
      <c r="J5493" s="259"/>
    </row>
    <row r="5494">
      <c r="A5494" s="259"/>
      <c r="B5494" s="26"/>
      <c r="C5494" s="91" t="s">
        <v>11</v>
      </c>
      <c r="D5494" s="9" t="s">
        <v>11</v>
      </c>
      <c r="E5494" s="9" t="s">
        <v>13</v>
      </c>
      <c r="F5494" s="9"/>
      <c r="G5494" s="9"/>
      <c r="H5494" s="9"/>
      <c r="I5494" s="9" t="s">
        <v>13</v>
      </c>
      <c r="J5494" s="259"/>
    </row>
    <row r="5495">
      <c r="A5495" s="259"/>
      <c r="B5495" s="26"/>
      <c r="C5495" s="91" t="s">
        <v>11</v>
      </c>
      <c r="D5495" s="9" t="s">
        <v>11</v>
      </c>
      <c r="E5495" s="9" t="s">
        <v>13</v>
      </c>
      <c r="F5495" s="9"/>
      <c r="G5495" s="9"/>
      <c r="H5495" s="9"/>
      <c r="I5495" s="9" t="s">
        <v>13</v>
      </c>
      <c r="J5495" s="259"/>
    </row>
    <row r="5496">
      <c r="A5496" s="259"/>
      <c r="B5496" s="26"/>
      <c r="C5496" s="91" t="s">
        <v>11</v>
      </c>
      <c r="D5496" s="9" t="s">
        <v>11</v>
      </c>
      <c r="E5496" s="9" t="s">
        <v>13</v>
      </c>
      <c r="F5496" s="9"/>
      <c r="G5496" s="9"/>
      <c r="H5496" s="9"/>
      <c r="I5496" s="9" t="s">
        <v>13</v>
      </c>
      <c r="J5496" s="259"/>
    </row>
    <row r="5497">
      <c r="A5497" s="259"/>
      <c r="B5497" s="26"/>
      <c r="C5497" s="91" t="s">
        <v>11</v>
      </c>
      <c r="D5497" s="9" t="s">
        <v>11</v>
      </c>
      <c r="E5497" s="9" t="s">
        <v>13</v>
      </c>
      <c r="F5497" s="9"/>
      <c r="G5497" s="9"/>
      <c r="H5497" s="9"/>
      <c r="I5497" s="9" t="s">
        <v>13</v>
      </c>
      <c r="J5497" s="259"/>
    </row>
    <row r="5498">
      <c r="A5498" s="259"/>
      <c r="B5498" s="26"/>
      <c r="C5498" s="91" t="s">
        <v>11</v>
      </c>
      <c r="D5498" s="9" t="s">
        <v>11</v>
      </c>
      <c r="E5498" s="9" t="s">
        <v>13</v>
      </c>
      <c r="F5498" s="9"/>
      <c r="G5498" s="9"/>
      <c r="H5498" s="9"/>
      <c r="I5498" s="9" t="s">
        <v>13</v>
      </c>
      <c r="J5498" s="259"/>
    </row>
    <row r="5499">
      <c r="A5499" s="259"/>
      <c r="B5499" s="26"/>
      <c r="C5499" s="91" t="s">
        <v>11</v>
      </c>
      <c r="D5499" s="9" t="s">
        <v>11</v>
      </c>
      <c r="E5499" s="9" t="s">
        <v>13</v>
      </c>
      <c r="F5499" s="9"/>
      <c r="G5499" s="9"/>
      <c r="H5499" s="9"/>
      <c r="I5499" s="9" t="s">
        <v>13</v>
      </c>
      <c r="J5499" s="259"/>
    </row>
    <row r="5500">
      <c r="A5500" s="259"/>
      <c r="B5500" s="26"/>
      <c r="C5500" s="91" t="s">
        <v>11</v>
      </c>
      <c r="D5500" s="9" t="s">
        <v>11</v>
      </c>
      <c r="E5500" s="9" t="s">
        <v>13</v>
      </c>
      <c r="F5500" s="9"/>
      <c r="G5500" s="9"/>
      <c r="H5500" s="9"/>
      <c r="I5500" s="9" t="s">
        <v>13</v>
      </c>
      <c r="J5500" s="259"/>
    </row>
    <row r="5501">
      <c r="A5501" s="259"/>
      <c r="B5501" s="26"/>
      <c r="C5501" s="91" t="s">
        <v>11</v>
      </c>
      <c r="D5501" s="9" t="s">
        <v>11</v>
      </c>
      <c r="E5501" s="9" t="s">
        <v>13</v>
      </c>
      <c r="F5501" s="9"/>
      <c r="G5501" s="9"/>
      <c r="H5501" s="9"/>
      <c r="I5501" s="9" t="s">
        <v>13</v>
      </c>
      <c r="J5501" s="259"/>
    </row>
    <row r="5502">
      <c r="A5502" s="259"/>
      <c r="B5502" s="26"/>
      <c r="C5502" s="91" t="s">
        <v>11</v>
      </c>
      <c r="D5502" s="9" t="s">
        <v>11</v>
      </c>
      <c r="E5502" s="9" t="s">
        <v>13</v>
      </c>
      <c r="F5502" s="9"/>
      <c r="G5502" s="9"/>
      <c r="H5502" s="9"/>
      <c r="I5502" s="9" t="s">
        <v>13</v>
      </c>
      <c r="J5502" s="259"/>
    </row>
    <row r="5503">
      <c r="A5503" s="259"/>
      <c r="B5503" s="26"/>
      <c r="C5503" s="91" t="s">
        <v>11</v>
      </c>
      <c r="D5503" s="9" t="s">
        <v>11</v>
      </c>
      <c r="E5503" s="9" t="s">
        <v>13</v>
      </c>
      <c r="F5503" s="9"/>
      <c r="G5503" s="9"/>
      <c r="H5503" s="9"/>
      <c r="I5503" s="9" t="s">
        <v>13</v>
      </c>
      <c r="J5503" s="259"/>
    </row>
    <row r="5504">
      <c r="A5504" s="259"/>
      <c r="B5504" s="26"/>
      <c r="C5504" s="91" t="s">
        <v>11</v>
      </c>
      <c r="D5504" s="9" t="s">
        <v>11</v>
      </c>
      <c r="E5504" s="9" t="s">
        <v>13</v>
      </c>
      <c r="F5504" s="9"/>
      <c r="G5504" s="9"/>
      <c r="H5504" s="9"/>
      <c r="I5504" s="9" t="s">
        <v>13</v>
      </c>
      <c r="J5504" s="259"/>
    </row>
    <row r="5505">
      <c r="A5505" s="259"/>
      <c r="B5505" s="26"/>
      <c r="C5505" s="91" t="s">
        <v>11</v>
      </c>
      <c r="D5505" s="9" t="s">
        <v>11</v>
      </c>
      <c r="E5505" s="9" t="s">
        <v>13</v>
      </c>
      <c r="F5505" s="9"/>
      <c r="G5505" s="9"/>
      <c r="H5505" s="9"/>
      <c r="I5505" s="9" t="s">
        <v>13</v>
      </c>
      <c r="J5505" s="259"/>
    </row>
    <row r="5506">
      <c r="A5506" s="259"/>
      <c r="B5506" s="26"/>
      <c r="C5506" s="91" t="s">
        <v>11</v>
      </c>
      <c r="D5506" s="9" t="s">
        <v>11</v>
      </c>
      <c r="E5506" s="9" t="s">
        <v>13</v>
      </c>
      <c r="F5506" s="9"/>
      <c r="G5506" s="9"/>
      <c r="H5506" s="9"/>
      <c r="I5506" s="9" t="s">
        <v>13</v>
      </c>
      <c r="J5506" s="259"/>
    </row>
    <row r="5507">
      <c r="A5507" s="259"/>
      <c r="B5507" s="26"/>
      <c r="C5507" s="91" t="s">
        <v>11</v>
      </c>
      <c r="D5507" s="9" t="s">
        <v>11</v>
      </c>
      <c r="E5507" s="9" t="s">
        <v>13</v>
      </c>
      <c r="F5507" s="9"/>
      <c r="G5507" s="9"/>
      <c r="H5507" s="9"/>
      <c r="I5507" s="9" t="s">
        <v>13</v>
      </c>
      <c r="J5507" s="259"/>
    </row>
    <row r="5508">
      <c r="A5508" s="259"/>
      <c r="B5508" s="26"/>
      <c r="C5508" s="91" t="s">
        <v>11</v>
      </c>
      <c r="D5508" s="9" t="s">
        <v>11</v>
      </c>
      <c r="E5508" s="9" t="s">
        <v>13</v>
      </c>
      <c r="F5508" s="9"/>
      <c r="G5508" s="9"/>
      <c r="H5508" s="9"/>
      <c r="I5508" s="9" t="s">
        <v>13</v>
      </c>
      <c r="J5508" s="259"/>
    </row>
    <row r="5509">
      <c r="A5509" s="259"/>
      <c r="B5509" s="26"/>
      <c r="C5509" s="91" t="s">
        <v>11</v>
      </c>
      <c r="D5509" s="9" t="s">
        <v>11</v>
      </c>
      <c r="E5509" s="9" t="s">
        <v>13</v>
      </c>
      <c r="F5509" s="9"/>
      <c r="G5509" s="9"/>
      <c r="H5509" s="9"/>
      <c r="I5509" s="9" t="s">
        <v>13</v>
      </c>
      <c r="J5509" s="259"/>
    </row>
    <row r="5510">
      <c r="A5510" s="259"/>
      <c r="B5510" s="26"/>
      <c r="C5510" s="91" t="s">
        <v>11</v>
      </c>
      <c r="D5510" s="9" t="s">
        <v>11</v>
      </c>
      <c r="E5510" s="9" t="s">
        <v>13</v>
      </c>
      <c r="F5510" s="9"/>
      <c r="G5510" s="9"/>
      <c r="H5510" s="9"/>
      <c r="I5510" s="9" t="s">
        <v>13</v>
      </c>
      <c r="J5510" s="259"/>
    </row>
    <row r="5511">
      <c r="A5511" s="259"/>
      <c r="B5511" s="26"/>
      <c r="C5511" s="91" t="s">
        <v>11</v>
      </c>
      <c r="D5511" s="9" t="s">
        <v>11</v>
      </c>
      <c r="E5511" s="9" t="s">
        <v>13</v>
      </c>
      <c r="F5511" s="9"/>
      <c r="G5511" s="9"/>
      <c r="H5511" s="9"/>
      <c r="I5511" s="9" t="s">
        <v>13</v>
      </c>
      <c r="J5511" s="259"/>
    </row>
    <row r="5512">
      <c r="A5512" s="259"/>
      <c r="B5512" s="26"/>
      <c r="C5512" s="91" t="s">
        <v>11</v>
      </c>
      <c r="D5512" s="9" t="s">
        <v>11</v>
      </c>
      <c r="E5512" s="9" t="s">
        <v>13</v>
      </c>
      <c r="F5512" s="9"/>
      <c r="G5512" s="9"/>
      <c r="H5512" s="9"/>
      <c r="I5512" s="9" t="s">
        <v>13</v>
      </c>
      <c r="J5512" s="259"/>
    </row>
    <row r="5513">
      <c r="A5513" s="259"/>
      <c r="B5513" s="26"/>
      <c r="C5513" s="91" t="s">
        <v>11</v>
      </c>
      <c r="D5513" s="9" t="s">
        <v>11</v>
      </c>
      <c r="E5513" s="9" t="s">
        <v>13</v>
      </c>
      <c r="F5513" s="9"/>
      <c r="G5513" s="9"/>
      <c r="H5513" s="9"/>
      <c r="I5513" s="9" t="s">
        <v>13</v>
      </c>
      <c r="J5513" s="259"/>
    </row>
    <row r="5514">
      <c r="A5514" s="259"/>
      <c r="B5514" s="26"/>
      <c r="C5514" s="91" t="s">
        <v>11</v>
      </c>
      <c r="D5514" s="9" t="s">
        <v>11</v>
      </c>
      <c r="E5514" s="9" t="s">
        <v>13</v>
      </c>
      <c r="F5514" s="9"/>
      <c r="G5514" s="9"/>
      <c r="H5514" s="9"/>
      <c r="I5514" s="9" t="s">
        <v>13</v>
      </c>
      <c r="J5514" s="259"/>
    </row>
    <row r="5515">
      <c r="A5515" s="259"/>
      <c r="B5515" s="26"/>
      <c r="C5515" s="91" t="s">
        <v>11</v>
      </c>
      <c r="D5515" s="9" t="s">
        <v>11</v>
      </c>
      <c r="E5515" s="9" t="s">
        <v>13</v>
      </c>
      <c r="F5515" s="9"/>
      <c r="G5515" s="9"/>
      <c r="H5515" s="9"/>
      <c r="I5515" s="9" t="s">
        <v>13</v>
      </c>
      <c r="J5515" s="259"/>
    </row>
    <row r="5516">
      <c r="A5516" s="259"/>
      <c r="B5516" s="26"/>
      <c r="C5516" s="91" t="s">
        <v>11</v>
      </c>
      <c r="D5516" s="9" t="s">
        <v>11</v>
      </c>
      <c r="E5516" s="9" t="s">
        <v>13</v>
      </c>
      <c r="F5516" s="9"/>
      <c r="G5516" s="9"/>
      <c r="H5516" s="9"/>
      <c r="I5516" s="9" t="s">
        <v>13</v>
      </c>
      <c r="J5516" s="259"/>
    </row>
    <row r="5517">
      <c r="A5517" s="259"/>
      <c r="B5517" s="26"/>
      <c r="C5517" s="91" t="s">
        <v>11</v>
      </c>
      <c r="D5517" s="9" t="s">
        <v>11</v>
      </c>
      <c r="E5517" s="9" t="s">
        <v>13</v>
      </c>
      <c r="F5517" s="9"/>
      <c r="G5517" s="9"/>
      <c r="H5517" s="9"/>
      <c r="I5517" s="9" t="s">
        <v>13</v>
      </c>
      <c r="J5517" s="259"/>
    </row>
    <row r="5518">
      <c r="A5518" s="259"/>
      <c r="B5518" s="26"/>
      <c r="C5518" s="91" t="s">
        <v>11</v>
      </c>
      <c r="D5518" s="9" t="s">
        <v>11</v>
      </c>
      <c r="E5518" s="9" t="s">
        <v>13</v>
      </c>
      <c r="F5518" s="9"/>
      <c r="G5518" s="9"/>
      <c r="H5518" s="9"/>
      <c r="I5518" s="9" t="s">
        <v>13</v>
      </c>
      <c r="J5518" s="259"/>
    </row>
    <row r="5519">
      <c r="A5519" s="259"/>
      <c r="B5519" s="26"/>
      <c r="C5519" s="91" t="s">
        <v>11</v>
      </c>
      <c r="D5519" s="9" t="s">
        <v>11</v>
      </c>
      <c r="E5519" s="9" t="s">
        <v>13</v>
      </c>
      <c r="F5519" s="9"/>
      <c r="G5519" s="9"/>
      <c r="H5519" s="9"/>
      <c r="I5519" s="9" t="s">
        <v>13</v>
      </c>
      <c r="J5519" s="259"/>
    </row>
    <row r="5520">
      <c r="A5520" s="259"/>
      <c r="B5520" s="26"/>
      <c r="C5520" s="91" t="s">
        <v>11</v>
      </c>
      <c r="D5520" s="9" t="s">
        <v>11</v>
      </c>
      <c r="E5520" s="9" t="s">
        <v>13</v>
      </c>
      <c r="F5520" s="9"/>
      <c r="G5520" s="9"/>
      <c r="H5520" s="9"/>
      <c r="I5520" s="9" t="s">
        <v>13</v>
      </c>
      <c r="J5520" s="259"/>
    </row>
    <row r="5521">
      <c r="A5521" s="259"/>
      <c r="B5521" s="26"/>
      <c r="C5521" s="91" t="s">
        <v>11</v>
      </c>
      <c r="D5521" s="9" t="s">
        <v>11</v>
      </c>
      <c r="E5521" s="9" t="s">
        <v>13</v>
      </c>
      <c r="F5521" s="9"/>
      <c r="G5521" s="9"/>
      <c r="H5521" s="9"/>
      <c r="I5521" s="9" t="s">
        <v>13</v>
      </c>
      <c r="J5521" s="259"/>
    </row>
    <row r="5522">
      <c r="A5522" s="259"/>
      <c r="B5522" s="26"/>
      <c r="C5522" s="91" t="s">
        <v>11</v>
      </c>
      <c r="D5522" s="9" t="s">
        <v>11</v>
      </c>
      <c r="E5522" s="9" t="s">
        <v>13</v>
      </c>
      <c r="F5522" s="9"/>
      <c r="G5522" s="9"/>
      <c r="H5522" s="9"/>
      <c r="I5522" s="9" t="s">
        <v>13</v>
      </c>
      <c r="J5522" s="259"/>
    </row>
    <row r="5523">
      <c r="A5523" s="259"/>
      <c r="B5523" s="26"/>
      <c r="C5523" s="91" t="s">
        <v>11</v>
      </c>
      <c r="D5523" s="9" t="s">
        <v>11</v>
      </c>
      <c r="E5523" s="9" t="s">
        <v>13</v>
      </c>
      <c r="F5523" s="9"/>
      <c r="G5523" s="9"/>
      <c r="H5523" s="9"/>
      <c r="I5523" s="9" t="s">
        <v>13</v>
      </c>
      <c r="J5523" s="259"/>
    </row>
    <row r="5524">
      <c r="A5524" s="259"/>
      <c r="B5524" s="26"/>
      <c r="C5524" s="91" t="s">
        <v>11</v>
      </c>
      <c r="D5524" s="9" t="s">
        <v>11</v>
      </c>
      <c r="E5524" s="9" t="s">
        <v>13</v>
      </c>
      <c r="F5524" s="9"/>
      <c r="G5524" s="9"/>
      <c r="H5524" s="9"/>
      <c r="I5524" s="9" t="s">
        <v>13</v>
      </c>
      <c r="J5524" s="259"/>
    </row>
    <row r="5525">
      <c r="A5525" s="259"/>
      <c r="B5525" s="26"/>
      <c r="C5525" s="91" t="s">
        <v>11</v>
      </c>
      <c r="D5525" s="9" t="s">
        <v>11</v>
      </c>
      <c r="E5525" s="9" t="s">
        <v>13</v>
      </c>
      <c r="F5525" s="9"/>
      <c r="G5525" s="9"/>
      <c r="H5525" s="9"/>
      <c r="I5525" s="9" t="s">
        <v>13</v>
      </c>
      <c r="J5525" s="259"/>
    </row>
    <row r="5526">
      <c r="A5526" s="259"/>
      <c r="B5526" s="26"/>
      <c r="C5526" s="91" t="s">
        <v>11</v>
      </c>
      <c r="D5526" s="9" t="s">
        <v>11</v>
      </c>
      <c r="E5526" s="9" t="s">
        <v>13</v>
      </c>
      <c r="F5526" s="9"/>
      <c r="G5526" s="9"/>
      <c r="H5526" s="9"/>
      <c r="I5526" s="9" t="s">
        <v>13</v>
      </c>
      <c r="J5526" s="259"/>
    </row>
    <row r="5527">
      <c r="A5527" s="259"/>
      <c r="B5527" s="26"/>
      <c r="C5527" s="91" t="s">
        <v>11</v>
      </c>
      <c r="D5527" s="9" t="s">
        <v>11</v>
      </c>
      <c r="E5527" s="9" t="s">
        <v>13</v>
      </c>
      <c r="F5527" s="9"/>
      <c r="G5527" s="9"/>
      <c r="H5527" s="9"/>
      <c r="I5527" s="9" t="s">
        <v>13</v>
      </c>
      <c r="J5527" s="259"/>
    </row>
    <row r="5528">
      <c r="A5528" s="259"/>
      <c r="B5528" s="26"/>
      <c r="C5528" s="91" t="s">
        <v>11</v>
      </c>
      <c r="D5528" s="9" t="s">
        <v>11</v>
      </c>
      <c r="E5528" s="9" t="s">
        <v>13</v>
      </c>
      <c r="F5528" s="9"/>
      <c r="G5528" s="9"/>
      <c r="H5528" s="9"/>
      <c r="I5528" s="9" t="s">
        <v>13</v>
      </c>
      <c r="J5528" s="259"/>
    </row>
    <row r="5529">
      <c r="A5529" s="259"/>
      <c r="B5529" s="26"/>
      <c r="C5529" s="91" t="s">
        <v>11</v>
      </c>
      <c r="D5529" s="9" t="s">
        <v>11</v>
      </c>
      <c r="E5529" s="9" t="s">
        <v>13</v>
      </c>
      <c r="F5529" s="9"/>
      <c r="G5529" s="9"/>
      <c r="H5529" s="9"/>
      <c r="I5529" s="9" t="s">
        <v>13</v>
      </c>
      <c r="J5529" s="259"/>
    </row>
    <row r="5530">
      <c r="A5530" s="259"/>
      <c r="B5530" s="26"/>
      <c r="C5530" s="91" t="s">
        <v>11</v>
      </c>
      <c r="D5530" s="9" t="s">
        <v>11</v>
      </c>
      <c r="E5530" s="9" t="s">
        <v>13</v>
      </c>
      <c r="F5530" s="9"/>
      <c r="G5530" s="9"/>
      <c r="H5530" s="9"/>
      <c r="I5530" s="9" t="s">
        <v>13</v>
      </c>
      <c r="J5530" s="259"/>
    </row>
    <row r="5531">
      <c r="A5531" s="259"/>
      <c r="B5531" s="26"/>
      <c r="C5531" s="91" t="s">
        <v>11</v>
      </c>
      <c r="D5531" s="9" t="s">
        <v>11</v>
      </c>
      <c r="E5531" s="9" t="s">
        <v>13</v>
      </c>
      <c r="F5531" s="9"/>
      <c r="G5531" s="9"/>
      <c r="H5531" s="9"/>
      <c r="I5531" s="9" t="s">
        <v>13</v>
      </c>
      <c r="J5531" s="259"/>
    </row>
    <row r="5532">
      <c r="A5532" s="259"/>
      <c r="B5532" s="26"/>
      <c r="C5532" s="91" t="s">
        <v>11</v>
      </c>
      <c r="D5532" s="9" t="s">
        <v>11</v>
      </c>
      <c r="E5532" s="9" t="s">
        <v>13</v>
      </c>
      <c r="F5532" s="9"/>
      <c r="G5532" s="9"/>
      <c r="H5532" s="9"/>
      <c r="I5532" s="9" t="s">
        <v>13</v>
      </c>
      <c r="J5532" s="259"/>
    </row>
    <row r="5533">
      <c r="A5533" s="259"/>
      <c r="B5533" s="26"/>
      <c r="C5533" s="91" t="s">
        <v>11</v>
      </c>
      <c r="D5533" s="9" t="s">
        <v>11</v>
      </c>
      <c r="E5533" s="9" t="s">
        <v>13</v>
      </c>
      <c r="F5533" s="9"/>
      <c r="G5533" s="9"/>
      <c r="H5533" s="9"/>
      <c r="I5533" s="9" t="s">
        <v>13</v>
      </c>
      <c r="J5533" s="259"/>
    </row>
    <row r="5534">
      <c r="A5534" s="259"/>
      <c r="B5534" s="26"/>
      <c r="C5534" s="91" t="s">
        <v>11</v>
      </c>
      <c r="D5534" s="9" t="s">
        <v>11</v>
      </c>
      <c r="E5534" s="9" t="s">
        <v>13</v>
      </c>
      <c r="F5534" s="9"/>
      <c r="G5534" s="9"/>
      <c r="H5534" s="9"/>
      <c r="I5534" s="9" t="s">
        <v>13</v>
      </c>
      <c r="J5534" s="259"/>
    </row>
    <row r="5535">
      <c r="A5535" s="259"/>
      <c r="B5535" s="26"/>
      <c r="C5535" s="91" t="s">
        <v>11</v>
      </c>
      <c r="D5535" s="9" t="s">
        <v>11</v>
      </c>
      <c r="E5535" s="9" t="s">
        <v>13</v>
      </c>
      <c r="F5535" s="9"/>
      <c r="G5535" s="9"/>
      <c r="H5535" s="9"/>
      <c r="I5535" s="9" t="s">
        <v>13</v>
      </c>
      <c r="J5535" s="259"/>
    </row>
    <row r="5536">
      <c r="A5536" s="259"/>
      <c r="B5536" s="26"/>
      <c r="C5536" s="91" t="s">
        <v>11</v>
      </c>
      <c r="D5536" s="9" t="s">
        <v>11</v>
      </c>
      <c r="E5536" s="9" t="s">
        <v>13</v>
      </c>
      <c r="F5536" s="9"/>
      <c r="G5536" s="9"/>
      <c r="H5536" s="9"/>
      <c r="I5536" s="9" t="s">
        <v>13</v>
      </c>
      <c r="J5536" s="259"/>
    </row>
    <row r="5537">
      <c r="A5537" s="259"/>
      <c r="B5537" s="26"/>
      <c r="C5537" s="91" t="s">
        <v>11</v>
      </c>
      <c r="D5537" s="9" t="s">
        <v>11</v>
      </c>
      <c r="E5537" s="9" t="s">
        <v>13</v>
      </c>
      <c r="F5537" s="9"/>
      <c r="G5537" s="9"/>
      <c r="H5537" s="9"/>
      <c r="I5537" s="9" t="s">
        <v>13</v>
      </c>
      <c r="J5537" s="259"/>
    </row>
    <row r="5538">
      <c r="A5538" s="259"/>
      <c r="B5538" s="26"/>
      <c r="C5538" s="91" t="s">
        <v>11</v>
      </c>
      <c r="D5538" s="9" t="s">
        <v>11</v>
      </c>
      <c r="E5538" s="9" t="s">
        <v>13</v>
      </c>
      <c r="F5538" s="9"/>
      <c r="G5538" s="9"/>
      <c r="H5538" s="9"/>
      <c r="I5538" s="9" t="s">
        <v>13</v>
      </c>
      <c r="J5538" s="259"/>
    </row>
    <row r="5539">
      <c r="A5539" s="259"/>
      <c r="B5539" s="26"/>
      <c r="C5539" s="91" t="s">
        <v>11</v>
      </c>
      <c r="D5539" s="9" t="s">
        <v>11</v>
      </c>
      <c r="E5539" s="9" t="s">
        <v>13</v>
      </c>
      <c r="F5539" s="9"/>
      <c r="G5539" s="9"/>
      <c r="H5539" s="9"/>
      <c r="I5539" s="9" t="s">
        <v>13</v>
      </c>
      <c r="J5539" s="259"/>
    </row>
    <row r="5540">
      <c r="A5540" s="259"/>
      <c r="B5540" s="26"/>
      <c r="C5540" s="91" t="s">
        <v>11</v>
      </c>
      <c r="D5540" s="9" t="s">
        <v>11</v>
      </c>
      <c r="E5540" s="9" t="s">
        <v>13</v>
      </c>
      <c r="F5540" s="9"/>
      <c r="G5540" s="9"/>
      <c r="H5540" s="9"/>
      <c r="I5540" s="9" t="s">
        <v>13</v>
      </c>
      <c r="J5540" s="259"/>
    </row>
    <row r="5541">
      <c r="A5541" s="259"/>
      <c r="B5541" s="26"/>
      <c r="C5541" s="91" t="s">
        <v>11</v>
      </c>
      <c r="D5541" s="9" t="s">
        <v>11</v>
      </c>
      <c r="E5541" s="9" t="s">
        <v>13</v>
      </c>
      <c r="F5541" s="9"/>
      <c r="G5541" s="9"/>
      <c r="H5541" s="9"/>
      <c r="I5541" s="9" t="s">
        <v>13</v>
      </c>
      <c r="J5541" s="259"/>
    </row>
    <row r="5542">
      <c r="A5542" s="259"/>
      <c r="B5542" s="26"/>
      <c r="C5542" s="91" t="s">
        <v>11</v>
      </c>
      <c r="D5542" s="9" t="s">
        <v>11</v>
      </c>
      <c r="E5542" s="9" t="s">
        <v>13</v>
      </c>
      <c r="F5542" s="9"/>
      <c r="G5542" s="9"/>
      <c r="H5542" s="9"/>
      <c r="I5542" s="9" t="s">
        <v>13</v>
      </c>
      <c r="J5542" s="259"/>
    </row>
    <row r="5543">
      <c r="A5543" s="259"/>
      <c r="B5543" s="26"/>
      <c r="C5543" s="91" t="s">
        <v>11</v>
      </c>
      <c r="D5543" s="9" t="s">
        <v>11</v>
      </c>
      <c r="E5543" s="9" t="s">
        <v>13</v>
      </c>
      <c r="F5543" s="9"/>
      <c r="G5543" s="9"/>
      <c r="H5543" s="9"/>
      <c r="I5543" s="9" t="s">
        <v>13</v>
      </c>
      <c r="J5543" s="259"/>
    </row>
    <row r="5544">
      <c r="A5544" s="259"/>
      <c r="B5544" s="26"/>
      <c r="C5544" s="91" t="s">
        <v>11</v>
      </c>
      <c r="D5544" s="9" t="s">
        <v>11</v>
      </c>
      <c r="E5544" s="9" t="s">
        <v>13</v>
      </c>
      <c r="F5544" s="9"/>
      <c r="G5544" s="9"/>
      <c r="H5544" s="9"/>
      <c r="I5544" s="9" t="s">
        <v>13</v>
      </c>
      <c r="J5544" s="259"/>
    </row>
    <row r="5545">
      <c r="A5545" s="259"/>
      <c r="B5545" s="26"/>
      <c r="C5545" s="91" t="s">
        <v>11</v>
      </c>
      <c r="D5545" s="9" t="s">
        <v>11</v>
      </c>
      <c r="E5545" s="9" t="s">
        <v>13</v>
      </c>
      <c r="F5545" s="9"/>
      <c r="G5545" s="9"/>
      <c r="H5545" s="9"/>
      <c r="I5545" s="9" t="s">
        <v>13</v>
      </c>
      <c r="J5545" s="259"/>
    </row>
    <row r="5546">
      <c r="A5546" s="259"/>
      <c r="B5546" s="26"/>
      <c r="C5546" s="91" t="s">
        <v>11</v>
      </c>
      <c r="D5546" s="9" t="s">
        <v>11</v>
      </c>
      <c r="E5546" s="9" t="s">
        <v>13</v>
      </c>
      <c r="F5546" s="9"/>
      <c r="G5546" s="9"/>
      <c r="H5546" s="9"/>
      <c r="I5546" s="9" t="s">
        <v>13</v>
      </c>
      <c r="J5546" s="259"/>
    </row>
    <row r="5547">
      <c r="A5547" s="259"/>
      <c r="B5547" s="26"/>
      <c r="C5547" s="91" t="s">
        <v>11</v>
      </c>
      <c r="D5547" s="9" t="s">
        <v>11</v>
      </c>
      <c r="E5547" s="9" t="s">
        <v>13</v>
      </c>
      <c r="F5547" s="9"/>
      <c r="G5547" s="9"/>
      <c r="H5547" s="9"/>
      <c r="I5547" s="9" t="s">
        <v>13</v>
      </c>
      <c r="J5547" s="259"/>
    </row>
    <row r="5548">
      <c r="A5548" s="259"/>
      <c r="B5548" s="26"/>
      <c r="C5548" s="91" t="s">
        <v>11</v>
      </c>
      <c r="D5548" s="9" t="s">
        <v>11</v>
      </c>
      <c r="E5548" s="9" t="s">
        <v>13</v>
      </c>
      <c r="F5548" s="9"/>
      <c r="G5548" s="9"/>
      <c r="H5548" s="9"/>
      <c r="I5548" s="9" t="s">
        <v>13</v>
      </c>
      <c r="J5548" s="259"/>
    </row>
    <row r="5549">
      <c r="A5549" s="259"/>
      <c r="B5549" s="26"/>
      <c r="C5549" s="91" t="s">
        <v>11</v>
      </c>
      <c r="D5549" s="9" t="s">
        <v>11</v>
      </c>
      <c r="E5549" s="9" t="s">
        <v>13</v>
      </c>
      <c r="F5549" s="9"/>
      <c r="G5549" s="9"/>
      <c r="H5549" s="9"/>
      <c r="I5549" s="9" t="s">
        <v>13</v>
      </c>
      <c r="J5549" s="259"/>
    </row>
    <row r="5550">
      <c r="A5550" s="259"/>
      <c r="B5550" s="26"/>
      <c r="C5550" s="91" t="s">
        <v>11</v>
      </c>
      <c r="D5550" s="9" t="s">
        <v>11</v>
      </c>
      <c r="E5550" s="9" t="s">
        <v>13</v>
      </c>
      <c r="F5550" s="9"/>
      <c r="G5550" s="9"/>
      <c r="H5550" s="9"/>
      <c r="I5550" s="9" t="s">
        <v>13</v>
      </c>
      <c r="J5550" s="259"/>
    </row>
    <row r="5551">
      <c r="A5551" s="259"/>
      <c r="B5551" s="26"/>
      <c r="C5551" s="91" t="s">
        <v>11</v>
      </c>
      <c r="D5551" s="9" t="s">
        <v>11</v>
      </c>
      <c r="E5551" s="9" t="s">
        <v>13</v>
      </c>
      <c r="F5551" s="9"/>
      <c r="G5551" s="9"/>
      <c r="H5551" s="9"/>
      <c r="I5551" s="9" t="s">
        <v>13</v>
      </c>
      <c r="J5551" s="259"/>
    </row>
    <row r="5552">
      <c r="A5552" s="259"/>
      <c r="B5552" s="26"/>
      <c r="C5552" s="91" t="s">
        <v>11</v>
      </c>
      <c r="D5552" s="9" t="s">
        <v>11</v>
      </c>
      <c r="E5552" s="9" t="s">
        <v>13</v>
      </c>
      <c r="F5552" s="9"/>
      <c r="G5552" s="9"/>
      <c r="H5552" s="9"/>
      <c r="I5552" s="9" t="s">
        <v>13</v>
      </c>
      <c r="J5552" s="259"/>
    </row>
    <row r="5553">
      <c r="A5553" s="259"/>
      <c r="B5553" s="26"/>
      <c r="C5553" s="91" t="s">
        <v>11</v>
      </c>
      <c r="D5553" s="9" t="s">
        <v>11</v>
      </c>
      <c r="E5553" s="9" t="s">
        <v>13</v>
      </c>
      <c r="F5553" s="9"/>
      <c r="G5553" s="9"/>
      <c r="H5553" s="9"/>
      <c r="I5553" s="9" t="s">
        <v>13</v>
      </c>
      <c r="J5553" s="259"/>
    </row>
    <row r="5554">
      <c r="A5554" s="259"/>
      <c r="B5554" s="26"/>
      <c r="C5554" s="91" t="s">
        <v>11</v>
      </c>
      <c r="D5554" s="9" t="s">
        <v>11</v>
      </c>
      <c r="E5554" s="9" t="s">
        <v>13</v>
      </c>
      <c r="F5554" s="9"/>
      <c r="G5554" s="9"/>
      <c r="H5554" s="9"/>
      <c r="I5554" s="9" t="s">
        <v>13</v>
      </c>
      <c r="J5554" s="259"/>
    </row>
    <row r="5555">
      <c r="A5555" s="259"/>
      <c r="B5555" s="26"/>
      <c r="C5555" s="91" t="s">
        <v>11</v>
      </c>
      <c r="D5555" s="9" t="s">
        <v>11</v>
      </c>
      <c r="E5555" s="9" t="s">
        <v>13</v>
      </c>
      <c r="F5555" s="9"/>
      <c r="G5555" s="9"/>
      <c r="H5555" s="9"/>
      <c r="I5555" s="9" t="s">
        <v>13</v>
      </c>
      <c r="J5555" s="259"/>
    </row>
    <row r="5556">
      <c r="A5556" s="259"/>
      <c r="B5556" s="26"/>
      <c r="C5556" s="91" t="s">
        <v>11</v>
      </c>
      <c r="D5556" s="9" t="s">
        <v>11</v>
      </c>
      <c r="E5556" s="9" t="s">
        <v>13</v>
      </c>
      <c r="F5556" s="9"/>
      <c r="G5556" s="9"/>
      <c r="H5556" s="9"/>
      <c r="I5556" s="9" t="s">
        <v>13</v>
      </c>
      <c r="J5556" s="259"/>
    </row>
    <row r="5557">
      <c r="A5557" s="259"/>
      <c r="B5557" s="26"/>
      <c r="C5557" s="91" t="s">
        <v>11</v>
      </c>
      <c r="D5557" s="9" t="s">
        <v>11</v>
      </c>
      <c r="E5557" s="9" t="s">
        <v>13</v>
      </c>
      <c r="F5557" s="9"/>
      <c r="G5557" s="9"/>
      <c r="H5557" s="9"/>
      <c r="I5557" s="9" t="s">
        <v>13</v>
      </c>
      <c r="J5557" s="259"/>
    </row>
    <row r="5558">
      <c r="A5558" s="259"/>
      <c r="B5558" s="26"/>
      <c r="C5558" s="91" t="s">
        <v>11</v>
      </c>
      <c r="D5558" s="9" t="s">
        <v>11</v>
      </c>
      <c r="E5558" s="9" t="s">
        <v>13</v>
      </c>
      <c r="F5558" s="9"/>
      <c r="G5558" s="9"/>
      <c r="H5558" s="9"/>
      <c r="I5558" s="9" t="s">
        <v>13</v>
      </c>
      <c r="J5558" s="259"/>
    </row>
    <row r="5559">
      <c r="A5559" s="259"/>
      <c r="B5559" s="26"/>
      <c r="C5559" s="91" t="s">
        <v>11</v>
      </c>
      <c r="D5559" s="9" t="s">
        <v>11</v>
      </c>
      <c r="E5559" s="9" t="s">
        <v>13</v>
      </c>
      <c r="F5559" s="9"/>
      <c r="G5559" s="9"/>
      <c r="H5559" s="9"/>
      <c r="I5559" s="9" t="s">
        <v>13</v>
      </c>
      <c r="J5559" s="259"/>
    </row>
    <row r="5560">
      <c r="A5560" s="259"/>
      <c r="B5560" s="26"/>
      <c r="C5560" s="91" t="s">
        <v>11</v>
      </c>
      <c r="D5560" s="9" t="s">
        <v>11</v>
      </c>
      <c r="E5560" s="9" t="s">
        <v>13</v>
      </c>
      <c r="F5560" s="9"/>
      <c r="G5560" s="9"/>
      <c r="H5560" s="9"/>
      <c r="I5560" s="9" t="s">
        <v>13</v>
      </c>
      <c r="J5560" s="259"/>
    </row>
    <row r="5561">
      <c r="A5561" s="259"/>
      <c r="B5561" s="26"/>
      <c r="C5561" s="91" t="s">
        <v>11</v>
      </c>
      <c r="D5561" s="9" t="s">
        <v>11</v>
      </c>
      <c r="E5561" s="9" t="s">
        <v>13</v>
      </c>
      <c r="F5561" s="9"/>
      <c r="G5561" s="9"/>
      <c r="H5561" s="9"/>
      <c r="I5561" s="9" t="s">
        <v>13</v>
      </c>
      <c r="J5561" s="259"/>
    </row>
    <row r="5562">
      <c r="A5562" s="259"/>
      <c r="B5562" s="26"/>
      <c r="C5562" s="91" t="s">
        <v>11</v>
      </c>
      <c r="D5562" s="9" t="s">
        <v>11</v>
      </c>
      <c r="E5562" s="9" t="s">
        <v>13</v>
      </c>
      <c r="F5562" s="9"/>
      <c r="G5562" s="9"/>
      <c r="H5562" s="9"/>
      <c r="I5562" s="9" t="s">
        <v>13</v>
      </c>
      <c r="J5562" s="259"/>
    </row>
    <row r="5563">
      <c r="A5563" s="259"/>
      <c r="B5563" s="26"/>
      <c r="C5563" s="91" t="s">
        <v>11</v>
      </c>
      <c r="D5563" s="9" t="s">
        <v>11</v>
      </c>
      <c r="E5563" s="9" t="s">
        <v>13</v>
      </c>
      <c r="F5563" s="9"/>
      <c r="G5563" s="9"/>
      <c r="H5563" s="9"/>
      <c r="I5563" s="9" t="s">
        <v>13</v>
      </c>
      <c r="J5563" s="259"/>
    </row>
    <row r="5564">
      <c r="A5564" s="259"/>
      <c r="B5564" s="26"/>
      <c r="C5564" s="91" t="s">
        <v>11</v>
      </c>
      <c r="D5564" s="9" t="s">
        <v>11</v>
      </c>
      <c r="E5564" s="9" t="s">
        <v>13</v>
      </c>
      <c r="F5564" s="9"/>
      <c r="G5564" s="9"/>
      <c r="H5564" s="9"/>
      <c r="I5564" s="9" t="s">
        <v>13</v>
      </c>
      <c r="J5564" s="259"/>
    </row>
    <row r="5565">
      <c r="A5565" s="259"/>
      <c r="B5565" s="26"/>
      <c r="C5565" s="91" t="s">
        <v>11</v>
      </c>
      <c r="D5565" s="9" t="s">
        <v>11</v>
      </c>
      <c r="E5565" s="9" t="s">
        <v>13</v>
      </c>
      <c r="F5565" s="9"/>
      <c r="G5565" s="9"/>
      <c r="H5565" s="9"/>
      <c r="I5565" s="9" t="s">
        <v>13</v>
      </c>
      <c r="J5565" s="259"/>
    </row>
    <row r="5566">
      <c r="A5566" s="259"/>
      <c r="B5566" s="26"/>
      <c r="C5566" s="91" t="s">
        <v>11</v>
      </c>
      <c r="D5566" s="9" t="s">
        <v>11</v>
      </c>
      <c r="E5566" s="9" t="s">
        <v>13</v>
      </c>
      <c r="F5566" s="9"/>
      <c r="G5566" s="9"/>
      <c r="H5566" s="9"/>
      <c r="I5566" s="9" t="s">
        <v>13</v>
      </c>
      <c r="J5566" s="259"/>
    </row>
    <row r="5567">
      <c r="A5567" s="259"/>
      <c r="B5567" s="26"/>
      <c r="C5567" s="91" t="s">
        <v>11</v>
      </c>
      <c r="D5567" s="9" t="s">
        <v>11</v>
      </c>
      <c r="E5567" s="9" t="s">
        <v>13</v>
      </c>
      <c r="F5567" s="9"/>
      <c r="G5567" s="9"/>
      <c r="H5567" s="9"/>
      <c r="I5567" s="9" t="s">
        <v>13</v>
      </c>
      <c r="J5567" s="259"/>
    </row>
    <row r="5568">
      <c r="A5568" s="259"/>
      <c r="B5568" s="26"/>
      <c r="C5568" s="91" t="s">
        <v>11</v>
      </c>
      <c r="D5568" s="9" t="s">
        <v>11</v>
      </c>
      <c r="E5568" s="9" t="s">
        <v>13</v>
      </c>
      <c r="F5568" s="9"/>
      <c r="G5568" s="9"/>
      <c r="H5568" s="9"/>
      <c r="I5568" s="9" t="s">
        <v>13</v>
      </c>
      <c r="J5568" s="259"/>
    </row>
    <row r="5569">
      <c r="A5569" s="259"/>
      <c r="B5569" s="26"/>
      <c r="C5569" s="91" t="s">
        <v>11</v>
      </c>
      <c r="D5569" s="9" t="s">
        <v>11</v>
      </c>
      <c r="E5569" s="9" t="s">
        <v>13</v>
      </c>
      <c r="F5569" s="9"/>
      <c r="G5569" s="9"/>
      <c r="H5569" s="9"/>
      <c r="I5569" s="9" t="s">
        <v>13</v>
      </c>
      <c r="J5569" s="259"/>
    </row>
    <row r="5570">
      <c r="A5570" s="259"/>
      <c r="B5570" s="26"/>
      <c r="C5570" s="91" t="s">
        <v>11</v>
      </c>
      <c r="D5570" s="9" t="s">
        <v>11</v>
      </c>
      <c r="E5570" s="9" t="s">
        <v>13</v>
      </c>
      <c r="F5570" s="9"/>
      <c r="G5570" s="9"/>
      <c r="H5570" s="9"/>
      <c r="I5570" s="9" t="s">
        <v>13</v>
      </c>
      <c r="J5570" s="259"/>
    </row>
    <row r="5571">
      <c r="A5571" s="259"/>
      <c r="B5571" s="26"/>
      <c r="C5571" s="91" t="s">
        <v>11</v>
      </c>
      <c r="D5571" s="9" t="s">
        <v>11</v>
      </c>
      <c r="E5571" s="9" t="s">
        <v>13</v>
      </c>
      <c r="F5571" s="9"/>
      <c r="G5571" s="9"/>
      <c r="H5571" s="9"/>
      <c r="I5571" s="9" t="s">
        <v>13</v>
      </c>
      <c r="J5571" s="259"/>
    </row>
    <row r="5572">
      <c r="A5572" s="259"/>
      <c r="B5572" s="26"/>
      <c r="C5572" s="91" t="s">
        <v>11</v>
      </c>
      <c r="D5572" s="9" t="s">
        <v>11</v>
      </c>
      <c r="E5572" s="9" t="s">
        <v>13</v>
      </c>
      <c r="F5572" s="9"/>
      <c r="G5572" s="9"/>
      <c r="H5572" s="9"/>
      <c r="I5572" s="9" t="s">
        <v>13</v>
      </c>
      <c r="J5572" s="259"/>
    </row>
    <row r="5573">
      <c r="A5573" s="259"/>
      <c r="B5573" s="26"/>
      <c r="C5573" s="91" t="s">
        <v>11</v>
      </c>
      <c r="D5573" s="9" t="s">
        <v>11</v>
      </c>
      <c r="E5573" s="9" t="s">
        <v>13</v>
      </c>
      <c r="F5573" s="9"/>
      <c r="G5573" s="9"/>
      <c r="H5573" s="9"/>
      <c r="I5573" s="9" t="s">
        <v>13</v>
      </c>
      <c r="J5573" s="259"/>
    </row>
    <row r="5574">
      <c r="A5574" s="259"/>
      <c r="B5574" s="26"/>
      <c r="C5574" s="91" t="s">
        <v>11</v>
      </c>
      <c r="D5574" s="9" t="s">
        <v>11</v>
      </c>
      <c r="E5574" s="9" t="s">
        <v>13</v>
      </c>
      <c r="F5574" s="9"/>
      <c r="G5574" s="9"/>
      <c r="H5574" s="9"/>
      <c r="I5574" s="9" t="s">
        <v>13</v>
      </c>
      <c r="J5574" s="259"/>
    </row>
    <row r="5575">
      <c r="A5575" s="259"/>
      <c r="B5575" s="26"/>
      <c r="C5575" s="91" t="s">
        <v>11</v>
      </c>
      <c r="D5575" s="9" t="s">
        <v>11</v>
      </c>
      <c r="E5575" s="9" t="s">
        <v>13</v>
      </c>
      <c r="F5575" s="9"/>
      <c r="G5575" s="9"/>
      <c r="H5575" s="9"/>
      <c r="I5575" s="9" t="s">
        <v>13</v>
      </c>
      <c r="J5575" s="259"/>
    </row>
    <row r="5576">
      <c r="A5576" s="259"/>
      <c r="B5576" s="26"/>
      <c r="C5576" s="91" t="s">
        <v>11</v>
      </c>
      <c r="D5576" s="9" t="s">
        <v>11</v>
      </c>
      <c r="E5576" s="9" t="s">
        <v>13</v>
      </c>
      <c r="F5576" s="9"/>
      <c r="G5576" s="9"/>
      <c r="H5576" s="9"/>
      <c r="I5576" s="9" t="s">
        <v>13</v>
      </c>
      <c r="J5576" s="259"/>
    </row>
    <row r="5577">
      <c r="A5577" s="259"/>
      <c r="B5577" s="26"/>
      <c r="C5577" s="91" t="s">
        <v>11</v>
      </c>
      <c r="D5577" s="9" t="s">
        <v>11</v>
      </c>
      <c r="E5577" s="9" t="s">
        <v>13</v>
      </c>
      <c r="F5577" s="9"/>
      <c r="G5577" s="9"/>
      <c r="H5577" s="9"/>
      <c r="I5577" s="9" t="s">
        <v>13</v>
      </c>
      <c r="J5577" s="259"/>
    </row>
    <row r="5578">
      <c r="A5578" s="259"/>
      <c r="B5578" s="26"/>
      <c r="C5578" s="91" t="s">
        <v>11</v>
      </c>
      <c r="D5578" s="9" t="s">
        <v>11</v>
      </c>
      <c r="E5578" s="9" t="s">
        <v>13</v>
      </c>
      <c r="F5578" s="9"/>
      <c r="G5578" s="9"/>
      <c r="H5578" s="9"/>
      <c r="I5578" s="9" t="s">
        <v>13</v>
      </c>
      <c r="J5578" s="259"/>
    </row>
    <row r="5579">
      <c r="A5579" s="259"/>
      <c r="B5579" s="26"/>
      <c r="C5579" s="91" t="s">
        <v>11</v>
      </c>
      <c r="D5579" s="9" t="s">
        <v>11</v>
      </c>
      <c r="E5579" s="9" t="s">
        <v>13</v>
      </c>
      <c r="F5579" s="9"/>
      <c r="G5579" s="9"/>
      <c r="H5579" s="9"/>
      <c r="I5579" s="9" t="s">
        <v>13</v>
      </c>
      <c r="J5579" s="259"/>
    </row>
    <row r="5580">
      <c r="A5580" s="259"/>
      <c r="B5580" s="26"/>
      <c r="C5580" s="91" t="s">
        <v>11</v>
      </c>
      <c r="D5580" s="9" t="s">
        <v>11</v>
      </c>
      <c r="E5580" s="9" t="s">
        <v>13</v>
      </c>
      <c r="F5580" s="9"/>
      <c r="G5580" s="9"/>
      <c r="H5580" s="9"/>
      <c r="I5580" s="9" t="s">
        <v>13</v>
      </c>
      <c r="J5580" s="259"/>
    </row>
    <row r="5581">
      <c r="A5581" s="259"/>
      <c r="B5581" s="26"/>
      <c r="C5581" s="91" t="s">
        <v>11</v>
      </c>
      <c r="D5581" s="9" t="s">
        <v>11</v>
      </c>
      <c r="E5581" s="9" t="s">
        <v>13</v>
      </c>
      <c r="F5581" s="9"/>
      <c r="G5581" s="9"/>
      <c r="H5581" s="9"/>
      <c r="I5581" s="9" t="s">
        <v>13</v>
      </c>
      <c r="J5581" s="259"/>
    </row>
    <row r="5582">
      <c r="A5582" s="259"/>
      <c r="B5582" s="26"/>
      <c r="C5582" s="91" t="s">
        <v>11</v>
      </c>
      <c r="D5582" s="9" t="s">
        <v>11</v>
      </c>
      <c r="E5582" s="9" t="s">
        <v>13</v>
      </c>
      <c r="F5582" s="9"/>
      <c r="G5582" s="9"/>
      <c r="H5582" s="9"/>
      <c r="I5582" s="9" t="s">
        <v>13</v>
      </c>
      <c r="J5582" s="259"/>
    </row>
    <row r="5583">
      <c r="A5583" s="259"/>
      <c r="B5583" s="26"/>
      <c r="C5583" s="91" t="s">
        <v>11</v>
      </c>
      <c r="D5583" s="9" t="s">
        <v>11</v>
      </c>
      <c r="E5583" s="9" t="s">
        <v>13</v>
      </c>
      <c r="F5583" s="9"/>
      <c r="G5583" s="9"/>
      <c r="H5583" s="9"/>
      <c r="I5583" s="9" t="s">
        <v>13</v>
      </c>
      <c r="J5583" s="259"/>
    </row>
    <row r="5584">
      <c r="A5584" s="259"/>
      <c r="B5584" s="26"/>
      <c r="C5584" s="91" t="s">
        <v>11</v>
      </c>
      <c r="D5584" s="9" t="s">
        <v>11</v>
      </c>
      <c r="E5584" s="9" t="s">
        <v>13</v>
      </c>
      <c r="F5584" s="9"/>
      <c r="G5584" s="9"/>
      <c r="H5584" s="9"/>
      <c r="I5584" s="9" t="s">
        <v>13</v>
      </c>
      <c r="J5584" s="259"/>
    </row>
    <row r="5585">
      <c r="A5585" s="259"/>
      <c r="B5585" s="26"/>
      <c r="C5585" s="91" t="s">
        <v>11</v>
      </c>
      <c r="D5585" s="9" t="s">
        <v>11</v>
      </c>
      <c r="E5585" s="9" t="s">
        <v>13</v>
      </c>
      <c r="F5585" s="9"/>
      <c r="G5585" s="9"/>
      <c r="H5585" s="9"/>
      <c r="I5585" s="9" t="s">
        <v>13</v>
      </c>
      <c r="J5585" s="259"/>
    </row>
    <row r="5586">
      <c r="A5586" s="259"/>
      <c r="B5586" s="26"/>
      <c r="C5586" s="91" t="s">
        <v>11</v>
      </c>
      <c r="D5586" s="9" t="s">
        <v>11</v>
      </c>
      <c r="E5586" s="9" t="s">
        <v>13</v>
      </c>
      <c r="F5586" s="9"/>
      <c r="G5586" s="9"/>
      <c r="H5586" s="9"/>
      <c r="I5586" s="9" t="s">
        <v>13</v>
      </c>
      <c r="J5586" s="259"/>
    </row>
    <row r="5587">
      <c r="A5587" s="259"/>
      <c r="B5587" s="26"/>
      <c r="C5587" s="91" t="s">
        <v>11</v>
      </c>
      <c r="D5587" s="9" t="s">
        <v>11</v>
      </c>
      <c r="E5587" s="9" t="s">
        <v>13</v>
      </c>
      <c r="F5587" s="9"/>
      <c r="G5587" s="9"/>
      <c r="H5587" s="9"/>
      <c r="I5587" s="9" t="s">
        <v>13</v>
      </c>
      <c r="J5587" s="259"/>
    </row>
    <row r="5588">
      <c r="A5588" s="259"/>
      <c r="B5588" s="26"/>
      <c r="C5588" s="91" t="s">
        <v>11</v>
      </c>
      <c r="D5588" s="9" t="s">
        <v>11</v>
      </c>
      <c r="E5588" s="9" t="s">
        <v>13</v>
      </c>
      <c r="F5588" s="9"/>
      <c r="G5588" s="9"/>
      <c r="H5588" s="9"/>
      <c r="I5588" s="9" t="s">
        <v>13</v>
      </c>
      <c r="J5588" s="259"/>
    </row>
    <row r="5589">
      <c r="A5589" s="259"/>
      <c r="B5589" s="26"/>
      <c r="C5589" s="91" t="s">
        <v>11</v>
      </c>
      <c r="D5589" s="9" t="s">
        <v>11</v>
      </c>
      <c r="E5589" s="9" t="s">
        <v>13</v>
      </c>
      <c r="F5589" s="9"/>
      <c r="G5589" s="9"/>
      <c r="H5589" s="9"/>
      <c r="I5589" s="9" t="s">
        <v>13</v>
      </c>
      <c r="J5589" s="259"/>
    </row>
    <row r="5590">
      <c r="A5590" s="259"/>
      <c r="B5590" s="26"/>
      <c r="C5590" s="91" t="s">
        <v>11</v>
      </c>
      <c r="D5590" s="9" t="s">
        <v>11</v>
      </c>
      <c r="E5590" s="9" t="s">
        <v>13</v>
      </c>
      <c r="F5590" s="9"/>
      <c r="G5590" s="9"/>
      <c r="H5590" s="9"/>
      <c r="I5590" s="9" t="s">
        <v>13</v>
      </c>
      <c r="J5590" s="259"/>
    </row>
    <row r="5591">
      <c r="A5591" s="259"/>
      <c r="B5591" s="26"/>
      <c r="C5591" s="91" t="s">
        <v>11</v>
      </c>
      <c r="D5591" s="9" t="s">
        <v>11</v>
      </c>
      <c r="E5591" s="9" t="s">
        <v>13</v>
      </c>
      <c r="F5591" s="9"/>
      <c r="G5591" s="9"/>
      <c r="H5591" s="9"/>
      <c r="I5591" s="9" t="s">
        <v>13</v>
      </c>
      <c r="J5591" s="259"/>
    </row>
    <row r="5592">
      <c r="A5592" s="259"/>
      <c r="B5592" s="26"/>
      <c r="C5592" s="91" t="s">
        <v>11</v>
      </c>
      <c r="D5592" s="9" t="s">
        <v>11</v>
      </c>
      <c r="E5592" s="9" t="s">
        <v>13</v>
      </c>
      <c r="F5592" s="9"/>
      <c r="G5592" s="9"/>
      <c r="H5592" s="9"/>
      <c r="I5592" s="9" t="s">
        <v>13</v>
      </c>
      <c r="J5592" s="259"/>
    </row>
    <row r="5593">
      <c r="A5593" s="259"/>
      <c r="B5593" s="26"/>
      <c r="C5593" s="91" t="s">
        <v>11</v>
      </c>
      <c r="D5593" s="9" t="s">
        <v>11</v>
      </c>
      <c r="E5593" s="9" t="s">
        <v>13</v>
      </c>
      <c r="F5593" s="9"/>
      <c r="G5593" s="9"/>
      <c r="H5593" s="9"/>
      <c r="I5593" s="9" t="s">
        <v>13</v>
      </c>
      <c r="J5593" s="259"/>
    </row>
    <row r="5594">
      <c r="A5594" s="259"/>
      <c r="B5594" s="26"/>
      <c r="C5594" s="91" t="s">
        <v>11</v>
      </c>
      <c r="D5594" s="9" t="s">
        <v>11</v>
      </c>
      <c r="E5594" s="9" t="s">
        <v>13</v>
      </c>
      <c r="F5594" s="9"/>
      <c r="G5594" s="9"/>
      <c r="H5594" s="9"/>
      <c r="I5594" s="9" t="s">
        <v>13</v>
      </c>
      <c r="J5594" s="259"/>
    </row>
    <row r="5595">
      <c r="A5595" s="259"/>
      <c r="B5595" s="26"/>
      <c r="C5595" s="91" t="s">
        <v>11</v>
      </c>
      <c r="D5595" s="9" t="s">
        <v>11</v>
      </c>
      <c r="E5595" s="9" t="s">
        <v>13</v>
      </c>
      <c r="F5595" s="9"/>
      <c r="G5595" s="9"/>
      <c r="H5595" s="9"/>
      <c r="I5595" s="9" t="s">
        <v>13</v>
      </c>
      <c r="J5595" s="259"/>
    </row>
    <row r="5596">
      <c r="A5596" s="259"/>
      <c r="B5596" s="26"/>
      <c r="C5596" s="91" t="s">
        <v>11</v>
      </c>
      <c r="D5596" s="9" t="s">
        <v>11</v>
      </c>
      <c r="E5596" s="9" t="s">
        <v>13</v>
      </c>
      <c r="F5596" s="9"/>
      <c r="G5596" s="9"/>
      <c r="H5596" s="9"/>
      <c r="I5596" s="9" t="s">
        <v>13</v>
      </c>
      <c r="J5596" s="259"/>
    </row>
    <row r="5597">
      <c r="A5597" s="259"/>
      <c r="B5597" s="26"/>
      <c r="C5597" s="91" t="s">
        <v>11</v>
      </c>
      <c r="D5597" s="9" t="s">
        <v>11</v>
      </c>
      <c r="E5597" s="9" t="s">
        <v>13</v>
      </c>
      <c r="F5597" s="9"/>
      <c r="G5597" s="9"/>
      <c r="H5597" s="9"/>
      <c r="I5597" s="9" t="s">
        <v>13</v>
      </c>
      <c r="J5597" s="259"/>
    </row>
    <row r="5598">
      <c r="A5598" s="259"/>
      <c r="B5598" s="26"/>
      <c r="C5598" s="91" t="s">
        <v>11</v>
      </c>
      <c r="D5598" s="9" t="s">
        <v>11</v>
      </c>
      <c r="E5598" s="9" t="s">
        <v>13</v>
      </c>
      <c r="F5598" s="9"/>
      <c r="G5598" s="9"/>
      <c r="H5598" s="9"/>
      <c r="I5598" s="9" t="s">
        <v>13</v>
      </c>
      <c r="J5598" s="259"/>
    </row>
    <row r="5599">
      <c r="A5599" s="259"/>
      <c r="B5599" s="26"/>
      <c r="C5599" s="91" t="s">
        <v>11</v>
      </c>
      <c r="D5599" s="9" t="s">
        <v>11</v>
      </c>
      <c r="E5599" s="9" t="s">
        <v>13</v>
      </c>
      <c r="F5599" s="9"/>
      <c r="G5599" s="9"/>
      <c r="H5599" s="9"/>
      <c r="I5599" s="9" t="s">
        <v>13</v>
      </c>
      <c r="J5599" s="259"/>
    </row>
    <row r="5600">
      <c r="A5600" s="259"/>
      <c r="B5600" s="26"/>
      <c r="C5600" s="91" t="s">
        <v>11</v>
      </c>
      <c r="D5600" s="9" t="s">
        <v>11</v>
      </c>
      <c r="E5600" s="9" t="s">
        <v>13</v>
      </c>
      <c r="F5600" s="9"/>
      <c r="G5600" s="9"/>
      <c r="H5600" s="9"/>
      <c r="I5600" s="9" t="s">
        <v>13</v>
      </c>
      <c r="J5600" s="259"/>
    </row>
    <row r="5601">
      <c r="A5601" s="259"/>
      <c r="B5601" s="26"/>
      <c r="C5601" s="91" t="s">
        <v>11</v>
      </c>
      <c r="D5601" s="9" t="s">
        <v>11</v>
      </c>
      <c r="E5601" s="9" t="s">
        <v>13</v>
      </c>
      <c r="F5601" s="9"/>
      <c r="G5601" s="9"/>
      <c r="H5601" s="9"/>
      <c r="I5601" s="9" t="s">
        <v>13</v>
      </c>
      <c r="J5601" s="259"/>
    </row>
    <row r="5602">
      <c r="A5602" s="259"/>
      <c r="B5602" s="26"/>
      <c r="C5602" s="91" t="s">
        <v>11</v>
      </c>
      <c r="D5602" s="9" t="s">
        <v>11</v>
      </c>
      <c r="E5602" s="9" t="s">
        <v>13</v>
      </c>
      <c r="F5602" s="9"/>
      <c r="G5602" s="9"/>
      <c r="H5602" s="9"/>
      <c r="I5602" s="9" t="s">
        <v>13</v>
      </c>
      <c r="J5602" s="259"/>
    </row>
    <row r="5603">
      <c r="A5603" s="259"/>
      <c r="B5603" s="26"/>
      <c r="C5603" s="91" t="s">
        <v>11</v>
      </c>
      <c r="D5603" s="9" t="s">
        <v>11</v>
      </c>
      <c r="E5603" s="9" t="s">
        <v>13</v>
      </c>
      <c r="F5603" s="9"/>
      <c r="G5603" s="9"/>
      <c r="H5603" s="9"/>
      <c r="I5603" s="9" t="s">
        <v>13</v>
      </c>
      <c r="J5603" s="259"/>
    </row>
    <row r="5604">
      <c r="A5604" s="259"/>
      <c r="B5604" s="26"/>
      <c r="C5604" s="91" t="s">
        <v>11</v>
      </c>
      <c r="D5604" s="9" t="s">
        <v>11</v>
      </c>
      <c r="E5604" s="9" t="s">
        <v>13</v>
      </c>
      <c r="F5604" s="9"/>
      <c r="G5604" s="9"/>
      <c r="H5604" s="9"/>
      <c r="I5604" s="9" t="s">
        <v>13</v>
      </c>
      <c r="J5604" s="259"/>
    </row>
    <row r="5605">
      <c r="A5605" s="259"/>
      <c r="B5605" s="26"/>
      <c r="C5605" s="91" t="s">
        <v>11</v>
      </c>
      <c r="D5605" s="9" t="s">
        <v>11</v>
      </c>
      <c r="E5605" s="9" t="s">
        <v>13</v>
      </c>
      <c r="F5605" s="9"/>
      <c r="G5605" s="9"/>
      <c r="H5605" s="9"/>
      <c r="I5605" s="9" t="s">
        <v>13</v>
      </c>
      <c r="J5605" s="259"/>
    </row>
    <row r="5606">
      <c r="A5606" s="259"/>
      <c r="B5606" s="26"/>
      <c r="C5606" s="91" t="s">
        <v>11</v>
      </c>
      <c r="D5606" s="9" t="s">
        <v>11</v>
      </c>
      <c r="E5606" s="9" t="s">
        <v>13</v>
      </c>
      <c r="F5606" s="9"/>
      <c r="G5606" s="9"/>
      <c r="H5606" s="9"/>
      <c r="I5606" s="9" t="s">
        <v>13</v>
      </c>
      <c r="J5606" s="259"/>
    </row>
    <row r="5607">
      <c r="A5607" s="259"/>
      <c r="B5607" s="26"/>
      <c r="C5607" s="91" t="s">
        <v>11</v>
      </c>
      <c r="D5607" s="9" t="s">
        <v>11</v>
      </c>
      <c r="E5607" s="9" t="s">
        <v>13</v>
      </c>
      <c r="F5607" s="9"/>
      <c r="G5607" s="9"/>
      <c r="H5607" s="9"/>
      <c r="I5607" s="9" t="s">
        <v>13</v>
      </c>
      <c r="J5607" s="259"/>
    </row>
    <row r="5608">
      <c r="A5608" s="259"/>
      <c r="B5608" s="26"/>
      <c r="C5608" s="91" t="s">
        <v>11</v>
      </c>
      <c r="D5608" s="9" t="s">
        <v>11</v>
      </c>
      <c r="E5608" s="9" t="s">
        <v>13</v>
      </c>
      <c r="F5608" s="9"/>
      <c r="G5608" s="9"/>
      <c r="H5608" s="9"/>
      <c r="I5608" s="9" t="s">
        <v>13</v>
      </c>
      <c r="J5608" s="259"/>
    </row>
    <row r="5609">
      <c r="A5609" s="259"/>
      <c r="B5609" s="26"/>
      <c r="C5609" s="91" t="s">
        <v>11</v>
      </c>
      <c r="D5609" s="9" t="s">
        <v>11</v>
      </c>
      <c r="E5609" s="9" t="s">
        <v>13</v>
      </c>
      <c r="F5609" s="9"/>
      <c r="G5609" s="9"/>
      <c r="H5609" s="9"/>
      <c r="I5609" s="9" t="s">
        <v>13</v>
      </c>
      <c r="J5609" s="259"/>
    </row>
    <row r="5610">
      <c r="A5610" s="259"/>
      <c r="B5610" s="26"/>
      <c r="C5610" s="91" t="s">
        <v>11</v>
      </c>
      <c r="D5610" s="9" t="s">
        <v>11</v>
      </c>
      <c r="E5610" s="9" t="s">
        <v>13</v>
      </c>
      <c r="F5610" s="9"/>
      <c r="G5610" s="9"/>
      <c r="H5610" s="9"/>
      <c r="I5610" s="9" t="s">
        <v>13</v>
      </c>
      <c r="J5610" s="259"/>
    </row>
    <row r="5611">
      <c r="A5611" s="259"/>
      <c r="B5611" s="26"/>
      <c r="C5611" s="91" t="s">
        <v>11</v>
      </c>
      <c r="D5611" s="9" t="s">
        <v>11</v>
      </c>
      <c r="E5611" s="9" t="s">
        <v>13</v>
      </c>
      <c r="F5611" s="9"/>
      <c r="G5611" s="9"/>
      <c r="H5611" s="9"/>
      <c r="I5611" s="9" t="s">
        <v>13</v>
      </c>
      <c r="J5611" s="259"/>
    </row>
    <row r="5612">
      <c r="A5612" s="259"/>
      <c r="B5612" s="26"/>
      <c r="C5612" s="91" t="s">
        <v>11</v>
      </c>
      <c r="D5612" s="9" t="s">
        <v>11</v>
      </c>
      <c r="E5612" s="9" t="s">
        <v>13</v>
      </c>
      <c r="F5612" s="9"/>
      <c r="G5612" s="9"/>
      <c r="H5612" s="9"/>
      <c r="I5612" s="9" t="s">
        <v>13</v>
      </c>
      <c r="J5612" s="259"/>
    </row>
    <row r="5613">
      <c r="A5613" s="259"/>
      <c r="B5613" s="26"/>
      <c r="C5613" s="91" t="s">
        <v>11</v>
      </c>
      <c r="D5613" s="9" t="s">
        <v>11</v>
      </c>
      <c r="E5613" s="9" t="s">
        <v>13</v>
      </c>
      <c r="F5613" s="9"/>
      <c r="G5613" s="9"/>
      <c r="H5613" s="9"/>
      <c r="I5613" s="9" t="s">
        <v>13</v>
      </c>
      <c r="J5613" s="259"/>
    </row>
    <row r="5614">
      <c r="A5614" s="259"/>
      <c r="B5614" s="26"/>
      <c r="C5614" s="91" t="s">
        <v>11</v>
      </c>
      <c r="D5614" s="9" t="s">
        <v>11</v>
      </c>
      <c r="E5614" s="9" t="s">
        <v>13</v>
      </c>
      <c r="F5614" s="9"/>
      <c r="G5614" s="9"/>
      <c r="H5614" s="9"/>
      <c r="I5614" s="9" t="s">
        <v>13</v>
      </c>
      <c r="J5614" s="259"/>
    </row>
    <row r="5615">
      <c r="A5615" s="259"/>
      <c r="B5615" s="26"/>
      <c r="C5615" s="91" t="s">
        <v>11</v>
      </c>
      <c r="D5615" s="9" t="s">
        <v>11</v>
      </c>
      <c r="E5615" s="9" t="s">
        <v>13</v>
      </c>
      <c r="F5615" s="9"/>
      <c r="G5615" s="9"/>
      <c r="H5615" s="9"/>
      <c r="I5615" s="9" t="s">
        <v>13</v>
      </c>
      <c r="J5615" s="259"/>
    </row>
    <row r="5616">
      <c r="A5616" s="259"/>
      <c r="B5616" s="26"/>
      <c r="C5616" s="91" t="s">
        <v>11</v>
      </c>
      <c r="D5616" s="9" t="s">
        <v>11</v>
      </c>
      <c r="E5616" s="9" t="s">
        <v>13</v>
      </c>
      <c r="F5616" s="9"/>
      <c r="G5616" s="9"/>
      <c r="H5616" s="9"/>
      <c r="I5616" s="9" t="s">
        <v>13</v>
      </c>
      <c r="J5616" s="259"/>
    </row>
    <row r="5617">
      <c r="A5617" s="259"/>
      <c r="B5617" s="26"/>
      <c r="C5617" s="91" t="s">
        <v>11</v>
      </c>
      <c r="D5617" s="9" t="s">
        <v>11</v>
      </c>
      <c r="E5617" s="9" t="s">
        <v>13</v>
      </c>
      <c r="F5617" s="9"/>
      <c r="G5617" s="9"/>
      <c r="H5617" s="9"/>
      <c r="I5617" s="9" t="s">
        <v>13</v>
      </c>
      <c r="J5617" s="259"/>
    </row>
    <row r="5618">
      <c r="A5618" s="259"/>
      <c r="B5618" s="26"/>
      <c r="C5618" s="91" t="s">
        <v>11</v>
      </c>
      <c r="D5618" s="9" t="s">
        <v>11</v>
      </c>
      <c r="E5618" s="9" t="s">
        <v>13</v>
      </c>
      <c r="F5618" s="9"/>
      <c r="G5618" s="9"/>
      <c r="H5618" s="9"/>
      <c r="I5618" s="9" t="s">
        <v>13</v>
      </c>
      <c r="J5618" s="259"/>
    </row>
    <row r="5619">
      <c r="A5619" s="259"/>
      <c r="B5619" s="26"/>
      <c r="C5619" s="91" t="s">
        <v>11</v>
      </c>
      <c r="D5619" s="9" t="s">
        <v>11</v>
      </c>
      <c r="E5619" s="9" t="s">
        <v>13</v>
      </c>
      <c r="F5619" s="9"/>
      <c r="G5619" s="9"/>
      <c r="H5619" s="9"/>
      <c r="I5619" s="9" t="s">
        <v>13</v>
      </c>
      <c r="J5619" s="259"/>
    </row>
    <row r="5620">
      <c r="A5620" s="259"/>
      <c r="B5620" s="26"/>
      <c r="C5620" s="91" t="s">
        <v>11</v>
      </c>
      <c r="D5620" s="9" t="s">
        <v>11</v>
      </c>
      <c r="E5620" s="9" t="s">
        <v>13</v>
      </c>
      <c r="F5620" s="9"/>
      <c r="G5620" s="9"/>
      <c r="H5620" s="9"/>
      <c r="I5620" s="9" t="s">
        <v>13</v>
      </c>
      <c r="J5620" s="259"/>
    </row>
    <row r="5621">
      <c r="A5621" s="259"/>
      <c r="B5621" s="26"/>
      <c r="C5621" s="91" t="s">
        <v>11</v>
      </c>
      <c r="D5621" s="9" t="s">
        <v>11</v>
      </c>
      <c r="E5621" s="9" t="s">
        <v>13</v>
      </c>
      <c r="F5621" s="9"/>
      <c r="G5621" s="9"/>
      <c r="H5621" s="9"/>
      <c r="I5621" s="9" t="s">
        <v>13</v>
      </c>
      <c r="J5621" s="259"/>
    </row>
    <row r="5622">
      <c r="A5622" s="259"/>
      <c r="B5622" s="26"/>
      <c r="C5622" s="91" t="s">
        <v>11</v>
      </c>
      <c r="D5622" s="9" t="s">
        <v>11</v>
      </c>
      <c r="E5622" s="9" t="s">
        <v>13</v>
      </c>
      <c r="F5622" s="9"/>
      <c r="G5622" s="9"/>
      <c r="H5622" s="9"/>
      <c r="I5622" s="9" t="s">
        <v>13</v>
      </c>
      <c r="J5622" s="259"/>
    </row>
    <row r="5623">
      <c r="A5623" s="259"/>
      <c r="B5623" s="26"/>
      <c r="C5623" s="91" t="s">
        <v>11</v>
      </c>
      <c r="D5623" s="9" t="s">
        <v>11</v>
      </c>
      <c r="E5623" s="9" t="s">
        <v>13</v>
      </c>
      <c r="F5623" s="9"/>
      <c r="G5623" s="9"/>
      <c r="H5623" s="9"/>
      <c r="I5623" s="9" t="s">
        <v>13</v>
      </c>
      <c r="J5623" s="259"/>
    </row>
    <row r="5624">
      <c r="A5624" s="259"/>
      <c r="B5624" s="26"/>
      <c r="C5624" s="91" t="s">
        <v>11</v>
      </c>
      <c r="D5624" s="9" t="s">
        <v>11</v>
      </c>
      <c r="E5624" s="9" t="s">
        <v>13</v>
      </c>
      <c r="F5624" s="9"/>
      <c r="G5624" s="9"/>
      <c r="H5624" s="9"/>
      <c r="I5624" s="9" t="s">
        <v>13</v>
      </c>
      <c r="J5624" s="259"/>
    </row>
    <row r="5625">
      <c r="A5625" s="259"/>
      <c r="B5625" s="26"/>
      <c r="C5625" s="91" t="s">
        <v>11</v>
      </c>
      <c r="D5625" s="9" t="s">
        <v>11</v>
      </c>
      <c r="E5625" s="9" t="s">
        <v>13</v>
      </c>
      <c r="F5625" s="9"/>
      <c r="G5625" s="9"/>
      <c r="H5625" s="9"/>
      <c r="I5625" s="9" t="s">
        <v>13</v>
      </c>
      <c r="J5625" s="259"/>
    </row>
    <row r="5626">
      <c r="A5626" s="259"/>
      <c r="B5626" s="26"/>
      <c r="C5626" s="91" t="s">
        <v>11</v>
      </c>
      <c r="D5626" s="9" t="s">
        <v>11</v>
      </c>
      <c r="E5626" s="9" t="s">
        <v>13</v>
      </c>
      <c r="F5626" s="9"/>
      <c r="G5626" s="9"/>
      <c r="H5626" s="9"/>
      <c r="I5626" s="9" t="s">
        <v>13</v>
      </c>
      <c r="J5626" s="259"/>
    </row>
    <row r="5627">
      <c r="A5627" s="259"/>
      <c r="B5627" s="26"/>
      <c r="C5627" s="91" t="s">
        <v>11</v>
      </c>
      <c r="D5627" s="9" t="s">
        <v>11</v>
      </c>
      <c r="E5627" s="9" t="s">
        <v>13</v>
      </c>
      <c r="F5627" s="9"/>
      <c r="G5627" s="9"/>
      <c r="H5627" s="9"/>
      <c r="I5627" s="9" t="s">
        <v>13</v>
      </c>
      <c r="J5627" s="259"/>
    </row>
    <row r="5628">
      <c r="A5628" s="259"/>
      <c r="B5628" s="26"/>
      <c r="C5628" s="91" t="s">
        <v>11</v>
      </c>
      <c r="D5628" s="9" t="s">
        <v>11</v>
      </c>
      <c r="E5628" s="9" t="s">
        <v>13</v>
      </c>
      <c r="F5628" s="9"/>
      <c r="G5628" s="9"/>
      <c r="H5628" s="9"/>
      <c r="I5628" s="9" t="s">
        <v>13</v>
      </c>
      <c r="J5628" s="259"/>
    </row>
    <row r="5629">
      <c r="A5629" s="259"/>
      <c r="B5629" s="26"/>
      <c r="C5629" s="91" t="s">
        <v>11</v>
      </c>
      <c r="D5629" s="9" t="s">
        <v>11</v>
      </c>
      <c r="E5629" s="9" t="s">
        <v>13</v>
      </c>
      <c r="F5629" s="9"/>
      <c r="G5629" s="9"/>
      <c r="H5629" s="9"/>
      <c r="I5629" s="9" t="s">
        <v>13</v>
      </c>
      <c r="J5629" s="259"/>
    </row>
    <row r="5630">
      <c r="A5630" s="259"/>
      <c r="B5630" s="26"/>
      <c r="C5630" s="91" t="s">
        <v>11</v>
      </c>
      <c r="D5630" s="9" t="s">
        <v>11</v>
      </c>
      <c r="E5630" s="9" t="s">
        <v>13</v>
      </c>
      <c r="F5630" s="9"/>
      <c r="G5630" s="9"/>
      <c r="H5630" s="9"/>
      <c r="I5630" s="9" t="s">
        <v>13</v>
      </c>
      <c r="J5630" s="259"/>
    </row>
    <row r="5631">
      <c r="A5631" s="259"/>
      <c r="B5631" s="26"/>
      <c r="C5631" s="91" t="s">
        <v>11</v>
      </c>
      <c r="D5631" s="9" t="s">
        <v>11</v>
      </c>
      <c r="E5631" s="9" t="s">
        <v>13</v>
      </c>
      <c r="F5631" s="9"/>
      <c r="G5631" s="9"/>
      <c r="H5631" s="9"/>
      <c r="I5631" s="9" t="s">
        <v>13</v>
      </c>
      <c r="J5631" s="259"/>
    </row>
    <row r="5632">
      <c r="A5632" s="259"/>
      <c r="B5632" s="26"/>
      <c r="C5632" s="91" t="s">
        <v>11</v>
      </c>
      <c r="D5632" s="9" t="s">
        <v>11</v>
      </c>
      <c r="E5632" s="9" t="s">
        <v>13</v>
      </c>
      <c r="F5632" s="9"/>
      <c r="G5632" s="9"/>
      <c r="H5632" s="9"/>
      <c r="I5632" s="9" t="s">
        <v>13</v>
      </c>
      <c r="J5632" s="259"/>
    </row>
    <row r="5633">
      <c r="A5633" s="259"/>
      <c r="B5633" s="26"/>
      <c r="C5633" s="91" t="s">
        <v>11</v>
      </c>
      <c r="D5633" s="9" t="s">
        <v>11</v>
      </c>
      <c r="E5633" s="9" t="s">
        <v>13</v>
      </c>
      <c r="F5633" s="9"/>
      <c r="G5633" s="9"/>
      <c r="H5633" s="9"/>
      <c r="I5633" s="9" t="s">
        <v>13</v>
      </c>
      <c r="J5633" s="259"/>
    </row>
    <row r="5634">
      <c r="A5634" s="259"/>
      <c r="B5634" s="26"/>
      <c r="C5634" s="91" t="s">
        <v>11</v>
      </c>
      <c r="D5634" s="9" t="s">
        <v>11</v>
      </c>
      <c r="E5634" s="9" t="s">
        <v>13</v>
      </c>
      <c r="F5634" s="9"/>
      <c r="G5634" s="9"/>
      <c r="H5634" s="9"/>
      <c r="I5634" s="9" t="s">
        <v>13</v>
      </c>
      <c r="J5634" s="259"/>
    </row>
    <row r="5635">
      <c r="A5635" s="259"/>
      <c r="B5635" s="26"/>
      <c r="C5635" s="91" t="s">
        <v>11</v>
      </c>
      <c r="D5635" s="9" t="s">
        <v>11</v>
      </c>
      <c r="E5635" s="9" t="s">
        <v>13</v>
      </c>
      <c r="F5635" s="9"/>
      <c r="G5635" s="9"/>
      <c r="H5635" s="9"/>
      <c r="I5635" s="9" t="s">
        <v>13</v>
      </c>
      <c r="J5635" s="259"/>
    </row>
    <row r="5636">
      <c r="A5636" s="259"/>
      <c r="B5636" s="26"/>
      <c r="C5636" s="91" t="s">
        <v>11</v>
      </c>
      <c r="D5636" s="9" t="s">
        <v>11</v>
      </c>
      <c r="E5636" s="9" t="s">
        <v>13</v>
      </c>
      <c r="F5636" s="9"/>
      <c r="G5636" s="9"/>
      <c r="H5636" s="9"/>
      <c r="I5636" s="9" t="s">
        <v>13</v>
      </c>
      <c r="J5636" s="259"/>
    </row>
    <row r="5637">
      <c r="A5637" s="259"/>
      <c r="B5637" s="26"/>
      <c r="C5637" s="91" t="s">
        <v>11</v>
      </c>
      <c r="D5637" s="9" t="s">
        <v>11</v>
      </c>
      <c r="E5637" s="9" t="s">
        <v>13</v>
      </c>
      <c r="F5637" s="9"/>
      <c r="G5637" s="9"/>
      <c r="H5637" s="9"/>
      <c r="I5637" s="9" t="s">
        <v>13</v>
      </c>
      <c r="J5637" s="259"/>
    </row>
    <row r="5638">
      <c r="A5638" s="259"/>
      <c r="B5638" s="26"/>
      <c r="C5638" s="91" t="s">
        <v>11</v>
      </c>
      <c r="D5638" s="9" t="s">
        <v>11</v>
      </c>
      <c r="E5638" s="9" t="s">
        <v>13</v>
      </c>
      <c r="F5638" s="9"/>
      <c r="G5638" s="9"/>
      <c r="H5638" s="9"/>
      <c r="I5638" s="9" t="s">
        <v>13</v>
      </c>
      <c r="J5638" s="259"/>
    </row>
    <row r="5639">
      <c r="A5639" s="259"/>
      <c r="B5639" s="26"/>
      <c r="C5639" s="91" t="s">
        <v>11</v>
      </c>
      <c r="D5639" s="9" t="s">
        <v>11</v>
      </c>
      <c r="E5639" s="9" t="s">
        <v>13</v>
      </c>
      <c r="F5639" s="9"/>
      <c r="G5639" s="9"/>
      <c r="H5639" s="9"/>
      <c r="I5639" s="9" t="s">
        <v>13</v>
      </c>
      <c r="J5639" s="259"/>
    </row>
    <row r="5640">
      <c r="A5640" s="259"/>
      <c r="B5640" s="26"/>
      <c r="C5640" s="91" t="s">
        <v>11</v>
      </c>
      <c r="D5640" s="9" t="s">
        <v>11</v>
      </c>
      <c r="E5640" s="9" t="s">
        <v>13</v>
      </c>
      <c r="F5640" s="9"/>
      <c r="G5640" s="9"/>
      <c r="H5640" s="9"/>
      <c r="I5640" s="9" t="s">
        <v>13</v>
      </c>
      <c r="J5640" s="259"/>
    </row>
    <row r="5641">
      <c r="A5641" s="259"/>
      <c r="B5641" s="26"/>
      <c r="C5641" s="91" t="s">
        <v>11</v>
      </c>
      <c r="D5641" s="9" t="s">
        <v>11</v>
      </c>
      <c r="E5641" s="9" t="s">
        <v>13</v>
      </c>
      <c r="F5641" s="9"/>
      <c r="G5641" s="9"/>
      <c r="H5641" s="9"/>
      <c r="I5641" s="9" t="s">
        <v>13</v>
      </c>
      <c r="J5641" s="259"/>
    </row>
    <row r="5642">
      <c r="A5642" s="259"/>
      <c r="B5642" s="26"/>
      <c r="C5642" s="91" t="s">
        <v>11</v>
      </c>
      <c r="D5642" s="9" t="s">
        <v>11</v>
      </c>
      <c r="E5642" s="9" t="s">
        <v>13</v>
      </c>
      <c r="F5642" s="9"/>
      <c r="G5642" s="9"/>
      <c r="H5642" s="9"/>
      <c r="I5642" s="9" t="s">
        <v>13</v>
      </c>
      <c r="J5642" s="259"/>
    </row>
    <row r="5643">
      <c r="A5643" s="259"/>
      <c r="B5643" s="26"/>
      <c r="C5643" s="91" t="s">
        <v>11</v>
      </c>
      <c r="D5643" s="9" t="s">
        <v>11</v>
      </c>
      <c r="E5643" s="9" t="s">
        <v>13</v>
      </c>
      <c r="F5643" s="9"/>
      <c r="G5643" s="9"/>
      <c r="H5643" s="9"/>
      <c r="I5643" s="9" t="s">
        <v>13</v>
      </c>
      <c r="J5643" s="259"/>
    </row>
    <row r="5644">
      <c r="A5644" s="259"/>
      <c r="B5644" s="26"/>
      <c r="C5644" s="91" t="s">
        <v>11</v>
      </c>
      <c r="D5644" s="9" t="s">
        <v>11</v>
      </c>
      <c r="E5644" s="9" t="s">
        <v>13</v>
      </c>
      <c r="F5644" s="9"/>
      <c r="G5644" s="9"/>
      <c r="H5644" s="9"/>
      <c r="I5644" s="9" t="s">
        <v>13</v>
      </c>
      <c r="J5644" s="259"/>
    </row>
    <row r="5645">
      <c r="A5645" s="259"/>
      <c r="B5645" s="26"/>
      <c r="C5645" s="91" t="s">
        <v>11</v>
      </c>
      <c r="D5645" s="9" t="s">
        <v>11</v>
      </c>
      <c r="E5645" s="9" t="s">
        <v>13</v>
      </c>
      <c r="F5645" s="9"/>
      <c r="G5645" s="9"/>
      <c r="H5645" s="9"/>
      <c r="I5645" s="9" t="s">
        <v>13</v>
      </c>
      <c r="J5645" s="259"/>
    </row>
    <row r="5646">
      <c r="A5646" s="259"/>
      <c r="B5646" s="26"/>
      <c r="C5646" s="91" t="s">
        <v>11</v>
      </c>
      <c r="D5646" s="9" t="s">
        <v>11</v>
      </c>
      <c r="E5646" s="9" t="s">
        <v>13</v>
      </c>
      <c r="F5646" s="9"/>
      <c r="G5646" s="9"/>
      <c r="H5646" s="9"/>
      <c r="I5646" s="9" t="s">
        <v>13</v>
      </c>
      <c r="J5646" s="259"/>
    </row>
    <row r="5647">
      <c r="A5647" s="259"/>
      <c r="B5647" s="26"/>
      <c r="C5647" s="91" t="s">
        <v>11</v>
      </c>
      <c r="D5647" s="9" t="s">
        <v>11</v>
      </c>
      <c r="E5647" s="9" t="s">
        <v>13</v>
      </c>
      <c r="F5647" s="9"/>
      <c r="G5647" s="9"/>
      <c r="H5647" s="9"/>
      <c r="I5647" s="9" t="s">
        <v>13</v>
      </c>
      <c r="J5647" s="259"/>
    </row>
    <row r="5648">
      <c r="A5648" s="259"/>
      <c r="B5648" s="26"/>
      <c r="C5648" s="91" t="s">
        <v>11</v>
      </c>
      <c r="D5648" s="9" t="s">
        <v>11</v>
      </c>
      <c r="E5648" s="9" t="s">
        <v>13</v>
      </c>
      <c r="F5648" s="9"/>
      <c r="G5648" s="9"/>
      <c r="H5648" s="9"/>
      <c r="I5648" s="9" t="s">
        <v>13</v>
      </c>
      <c r="J5648" s="259"/>
    </row>
    <row r="5649">
      <c r="A5649" s="259"/>
      <c r="B5649" s="26"/>
      <c r="C5649" s="91" t="s">
        <v>11</v>
      </c>
      <c r="D5649" s="9" t="s">
        <v>11</v>
      </c>
      <c r="E5649" s="9" t="s">
        <v>13</v>
      </c>
      <c r="F5649" s="9"/>
      <c r="G5649" s="9"/>
      <c r="H5649" s="9"/>
      <c r="I5649" s="9" t="s">
        <v>13</v>
      </c>
      <c r="J5649" s="259"/>
    </row>
    <row r="5650">
      <c r="A5650" s="259"/>
      <c r="B5650" s="26"/>
      <c r="C5650" s="91" t="s">
        <v>11</v>
      </c>
      <c r="D5650" s="9" t="s">
        <v>11</v>
      </c>
      <c r="E5650" s="9" t="s">
        <v>13</v>
      </c>
      <c r="F5650" s="9"/>
      <c r="G5650" s="9"/>
      <c r="H5650" s="9"/>
      <c r="I5650" s="9" t="s">
        <v>13</v>
      </c>
      <c r="J5650" s="259"/>
    </row>
    <row r="5651">
      <c r="A5651" s="259"/>
      <c r="B5651" s="26"/>
      <c r="C5651" s="91" t="s">
        <v>11</v>
      </c>
      <c r="D5651" s="9" t="s">
        <v>11</v>
      </c>
      <c r="E5651" s="9" t="s">
        <v>13</v>
      </c>
      <c r="F5651" s="9"/>
      <c r="G5651" s="9"/>
      <c r="H5651" s="9"/>
      <c r="I5651" s="9" t="s">
        <v>13</v>
      </c>
      <c r="J5651" s="259"/>
    </row>
    <row r="5652">
      <c r="A5652" s="259"/>
      <c r="B5652" s="26"/>
      <c r="C5652" s="91" t="s">
        <v>11</v>
      </c>
      <c r="D5652" s="9" t="s">
        <v>11</v>
      </c>
      <c r="E5652" s="9" t="s">
        <v>13</v>
      </c>
      <c r="F5652" s="9"/>
      <c r="G5652" s="9"/>
      <c r="H5652" s="9"/>
      <c r="I5652" s="9" t="s">
        <v>13</v>
      </c>
      <c r="J5652" s="259"/>
    </row>
    <row r="5653">
      <c r="A5653" s="259"/>
      <c r="B5653" s="26"/>
      <c r="C5653" s="91" t="s">
        <v>11</v>
      </c>
      <c r="D5653" s="9" t="s">
        <v>11</v>
      </c>
      <c r="E5653" s="9" t="s">
        <v>13</v>
      </c>
      <c r="F5653" s="9"/>
      <c r="G5653" s="9"/>
      <c r="H5653" s="9"/>
      <c r="I5653" s="9" t="s">
        <v>13</v>
      </c>
      <c r="J5653" s="259"/>
    </row>
    <row r="5654">
      <c r="A5654" s="259"/>
      <c r="B5654" s="26"/>
      <c r="C5654" s="91" t="s">
        <v>11</v>
      </c>
      <c r="D5654" s="9" t="s">
        <v>11</v>
      </c>
      <c r="E5654" s="9" t="s">
        <v>13</v>
      </c>
      <c r="F5654" s="9"/>
      <c r="G5654" s="9"/>
      <c r="H5654" s="9"/>
      <c r="I5654" s="9" t="s">
        <v>13</v>
      </c>
      <c r="J5654" s="259"/>
    </row>
    <row r="5655">
      <c r="A5655" s="259"/>
      <c r="B5655" s="26"/>
      <c r="C5655" s="91" t="s">
        <v>11</v>
      </c>
      <c r="D5655" s="9" t="s">
        <v>11</v>
      </c>
      <c r="E5655" s="9" t="s">
        <v>13</v>
      </c>
      <c r="F5655" s="9"/>
      <c r="G5655" s="9"/>
      <c r="H5655" s="9"/>
      <c r="I5655" s="9" t="s">
        <v>13</v>
      </c>
      <c r="J5655" s="259"/>
    </row>
    <row r="5656">
      <c r="A5656" s="259"/>
      <c r="B5656" s="26"/>
      <c r="C5656" s="91" t="s">
        <v>11</v>
      </c>
      <c r="D5656" s="9" t="s">
        <v>11</v>
      </c>
      <c r="E5656" s="9" t="s">
        <v>13</v>
      </c>
      <c r="F5656" s="9"/>
      <c r="G5656" s="9"/>
      <c r="H5656" s="9"/>
      <c r="I5656" s="9" t="s">
        <v>13</v>
      </c>
      <c r="J5656" s="259"/>
    </row>
    <row r="5657">
      <c r="A5657" s="259"/>
      <c r="B5657" s="26"/>
      <c r="C5657" s="91" t="s">
        <v>11</v>
      </c>
      <c r="D5657" s="9" t="s">
        <v>11</v>
      </c>
      <c r="E5657" s="9" t="s">
        <v>13</v>
      </c>
      <c r="F5657" s="9"/>
      <c r="G5657" s="9"/>
      <c r="H5657" s="9"/>
      <c r="I5657" s="9" t="s">
        <v>13</v>
      </c>
      <c r="J5657" s="259"/>
    </row>
    <row r="5658">
      <c r="A5658" s="259"/>
      <c r="B5658" s="26"/>
      <c r="C5658" s="91" t="s">
        <v>11</v>
      </c>
      <c r="D5658" s="9" t="s">
        <v>11</v>
      </c>
      <c r="E5658" s="9" t="s">
        <v>13</v>
      </c>
      <c r="F5658" s="9"/>
      <c r="G5658" s="9"/>
      <c r="H5658" s="9"/>
      <c r="I5658" s="9" t="s">
        <v>13</v>
      </c>
      <c r="J5658" s="259"/>
    </row>
    <row r="5659">
      <c r="A5659" s="259"/>
      <c r="B5659" s="26"/>
      <c r="C5659" s="91" t="s">
        <v>11</v>
      </c>
      <c r="D5659" s="9" t="s">
        <v>11</v>
      </c>
      <c r="E5659" s="9" t="s">
        <v>13</v>
      </c>
      <c r="F5659" s="9"/>
      <c r="G5659" s="9"/>
      <c r="H5659" s="9"/>
      <c r="I5659" s="9" t="s">
        <v>13</v>
      </c>
      <c r="J5659" s="259"/>
    </row>
    <row r="5660">
      <c r="A5660" s="259"/>
      <c r="B5660" s="26"/>
      <c r="C5660" s="91" t="s">
        <v>11</v>
      </c>
      <c r="D5660" s="9" t="s">
        <v>11</v>
      </c>
      <c r="E5660" s="9" t="s">
        <v>13</v>
      </c>
      <c r="F5660" s="9"/>
      <c r="G5660" s="9"/>
      <c r="H5660" s="9"/>
      <c r="I5660" s="9" t="s">
        <v>13</v>
      </c>
      <c r="J5660" s="259"/>
    </row>
    <row r="5661">
      <c r="A5661" s="259"/>
      <c r="B5661" s="26"/>
      <c r="C5661" s="91" t="s">
        <v>11</v>
      </c>
      <c r="D5661" s="9" t="s">
        <v>11</v>
      </c>
      <c r="E5661" s="9" t="s">
        <v>13</v>
      </c>
      <c r="F5661" s="9"/>
      <c r="G5661" s="9"/>
      <c r="H5661" s="9"/>
      <c r="I5661" s="9" t="s">
        <v>13</v>
      </c>
      <c r="J5661" s="259"/>
    </row>
    <row r="5662">
      <c r="A5662" s="259"/>
      <c r="B5662" s="26"/>
      <c r="C5662" s="91" t="s">
        <v>11</v>
      </c>
      <c r="D5662" s="9" t="s">
        <v>11</v>
      </c>
      <c r="E5662" s="9" t="s">
        <v>13</v>
      </c>
      <c r="F5662" s="9"/>
      <c r="G5662" s="9"/>
      <c r="H5662" s="9"/>
      <c r="I5662" s="9" t="s">
        <v>13</v>
      </c>
      <c r="J5662" s="259"/>
    </row>
    <row r="5663">
      <c r="A5663" s="259"/>
      <c r="B5663" s="26"/>
      <c r="C5663" s="91" t="s">
        <v>11</v>
      </c>
      <c r="D5663" s="9" t="s">
        <v>11</v>
      </c>
      <c r="E5663" s="9" t="s">
        <v>13</v>
      </c>
      <c r="F5663" s="9"/>
      <c r="G5663" s="9"/>
      <c r="H5663" s="9"/>
      <c r="I5663" s="9" t="s">
        <v>13</v>
      </c>
      <c r="J5663" s="259"/>
    </row>
    <row r="5664">
      <c r="A5664" s="259"/>
      <c r="B5664" s="26"/>
      <c r="C5664" s="91" t="s">
        <v>11</v>
      </c>
      <c r="D5664" s="9" t="s">
        <v>11</v>
      </c>
      <c r="E5664" s="9" t="s">
        <v>13</v>
      </c>
      <c r="F5664" s="9"/>
      <c r="G5664" s="9"/>
      <c r="H5664" s="9"/>
      <c r="I5664" s="9" t="s">
        <v>13</v>
      </c>
      <c r="J5664" s="259"/>
    </row>
    <row r="5665">
      <c r="A5665" s="259"/>
      <c r="B5665" s="26"/>
      <c r="C5665" s="91" t="s">
        <v>11</v>
      </c>
      <c r="D5665" s="9" t="s">
        <v>11</v>
      </c>
      <c r="E5665" s="9" t="s">
        <v>13</v>
      </c>
      <c r="F5665" s="9"/>
      <c r="G5665" s="9"/>
      <c r="H5665" s="9"/>
      <c r="I5665" s="9" t="s">
        <v>13</v>
      </c>
      <c r="J5665" s="259"/>
    </row>
    <row r="5666">
      <c r="A5666" s="259"/>
      <c r="B5666" s="26"/>
      <c r="C5666" s="91" t="s">
        <v>11</v>
      </c>
      <c r="D5666" s="9" t="s">
        <v>11</v>
      </c>
      <c r="E5666" s="9" t="s">
        <v>13</v>
      </c>
      <c r="F5666" s="9"/>
      <c r="G5666" s="9"/>
      <c r="H5666" s="9"/>
      <c r="I5666" s="9" t="s">
        <v>13</v>
      </c>
      <c r="J5666" s="259"/>
    </row>
    <row r="5667">
      <c r="A5667" s="259"/>
      <c r="B5667" s="26"/>
      <c r="C5667" s="91" t="s">
        <v>11</v>
      </c>
      <c r="D5667" s="9" t="s">
        <v>11</v>
      </c>
      <c r="E5667" s="9" t="s">
        <v>13</v>
      </c>
      <c r="F5667" s="9"/>
      <c r="G5667" s="9"/>
      <c r="H5667" s="9"/>
      <c r="I5667" s="9" t="s">
        <v>13</v>
      </c>
      <c r="J5667" s="259"/>
    </row>
    <row r="5668">
      <c r="A5668" s="259"/>
      <c r="B5668" s="26"/>
      <c r="C5668" s="91" t="s">
        <v>11</v>
      </c>
      <c r="D5668" s="9" t="s">
        <v>11</v>
      </c>
      <c r="E5668" s="9" t="s">
        <v>13</v>
      </c>
      <c r="F5668" s="9"/>
      <c r="G5668" s="9"/>
      <c r="H5668" s="9"/>
      <c r="I5668" s="9" t="s">
        <v>13</v>
      </c>
      <c r="J5668" s="259"/>
    </row>
    <row r="5669">
      <c r="A5669" s="259"/>
      <c r="B5669" s="26"/>
      <c r="C5669" s="91" t="s">
        <v>11</v>
      </c>
      <c r="D5669" s="9" t="s">
        <v>11</v>
      </c>
      <c r="E5669" s="9" t="s">
        <v>13</v>
      </c>
      <c r="F5669" s="9"/>
      <c r="G5669" s="9"/>
      <c r="H5669" s="9"/>
      <c r="I5669" s="9" t="s">
        <v>13</v>
      </c>
      <c r="J5669" s="259"/>
    </row>
    <row r="5670">
      <c r="A5670" s="259"/>
      <c r="B5670" s="26"/>
      <c r="C5670" s="91" t="s">
        <v>11</v>
      </c>
      <c r="D5670" s="9" t="s">
        <v>11</v>
      </c>
      <c r="E5670" s="9" t="s">
        <v>13</v>
      </c>
      <c r="F5670" s="9"/>
      <c r="G5670" s="9"/>
      <c r="H5670" s="9"/>
      <c r="I5670" s="9" t="s">
        <v>13</v>
      </c>
      <c r="J5670" s="259"/>
    </row>
    <row r="5671">
      <c r="A5671" s="259"/>
      <c r="B5671" s="26"/>
      <c r="C5671" s="91" t="s">
        <v>11</v>
      </c>
      <c r="D5671" s="9" t="s">
        <v>11</v>
      </c>
      <c r="E5671" s="9" t="s">
        <v>13</v>
      </c>
      <c r="F5671" s="9"/>
      <c r="G5671" s="9"/>
      <c r="H5671" s="9"/>
      <c r="I5671" s="9" t="s">
        <v>13</v>
      </c>
      <c r="J5671" s="259"/>
    </row>
    <row r="5672">
      <c r="A5672" s="259"/>
      <c r="B5672" s="26"/>
      <c r="C5672" s="91" t="s">
        <v>11</v>
      </c>
      <c r="D5672" s="9" t="s">
        <v>11</v>
      </c>
      <c r="E5672" s="9" t="s">
        <v>13</v>
      </c>
      <c r="F5672" s="9"/>
      <c r="G5672" s="9"/>
      <c r="H5672" s="9"/>
      <c r="I5672" s="9" t="s">
        <v>13</v>
      </c>
      <c r="J5672" s="259"/>
    </row>
    <row r="5673">
      <c r="A5673" s="259"/>
      <c r="B5673" s="26"/>
      <c r="C5673" s="91" t="s">
        <v>11</v>
      </c>
      <c r="D5673" s="9" t="s">
        <v>11</v>
      </c>
      <c r="E5673" s="9" t="s">
        <v>13</v>
      </c>
      <c r="F5673" s="9"/>
      <c r="G5673" s="9"/>
      <c r="H5673" s="9"/>
      <c r="I5673" s="9" t="s">
        <v>13</v>
      </c>
      <c r="J5673" s="259"/>
    </row>
    <row r="5674">
      <c r="A5674" s="259"/>
      <c r="B5674" s="26"/>
      <c r="C5674" s="91" t="s">
        <v>11</v>
      </c>
      <c r="D5674" s="9" t="s">
        <v>11</v>
      </c>
      <c r="E5674" s="9" t="s">
        <v>13</v>
      </c>
      <c r="F5674" s="9"/>
      <c r="G5674" s="9"/>
      <c r="H5674" s="9"/>
      <c r="I5674" s="9" t="s">
        <v>13</v>
      </c>
      <c r="J5674" s="259"/>
    </row>
    <row r="5675">
      <c r="A5675" s="259"/>
      <c r="B5675" s="26"/>
      <c r="C5675" s="91" t="s">
        <v>11</v>
      </c>
      <c r="D5675" s="9" t="s">
        <v>11</v>
      </c>
      <c r="E5675" s="9" t="s">
        <v>13</v>
      </c>
      <c r="F5675" s="9"/>
      <c r="G5675" s="9"/>
      <c r="H5675" s="9"/>
      <c r="I5675" s="9" t="s">
        <v>13</v>
      </c>
      <c r="J5675" s="259"/>
    </row>
    <row r="5676">
      <c r="A5676" s="259"/>
      <c r="B5676" s="26"/>
      <c r="C5676" s="91" t="s">
        <v>11</v>
      </c>
      <c r="D5676" s="9" t="s">
        <v>11</v>
      </c>
      <c r="E5676" s="9" t="s">
        <v>13</v>
      </c>
      <c r="F5676" s="9"/>
      <c r="G5676" s="9"/>
      <c r="H5676" s="9"/>
      <c r="I5676" s="9" t="s">
        <v>13</v>
      </c>
      <c r="J5676" s="259"/>
    </row>
    <row r="5677">
      <c r="A5677" s="259"/>
      <c r="B5677" s="26"/>
      <c r="C5677" s="91" t="s">
        <v>11</v>
      </c>
      <c r="D5677" s="9" t="s">
        <v>11</v>
      </c>
      <c r="E5677" s="9" t="s">
        <v>13</v>
      </c>
      <c r="F5677" s="9"/>
      <c r="G5677" s="9"/>
      <c r="H5677" s="9"/>
      <c r="I5677" s="9" t="s">
        <v>13</v>
      </c>
      <c r="J5677" s="259"/>
    </row>
    <row r="5678">
      <c r="A5678" s="259"/>
      <c r="B5678" s="26"/>
      <c r="C5678" s="91" t="s">
        <v>11</v>
      </c>
      <c r="D5678" s="9" t="s">
        <v>11</v>
      </c>
      <c r="E5678" s="9" t="s">
        <v>13</v>
      </c>
      <c r="F5678" s="9"/>
      <c r="G5678" s="9"/>
      <c r="H5678" s="9"/>
      <c r="I5678" s="9" t="s">
        <v>13</v>
      </c>
      <c r="J5678" s="259"/>
    </row>
    <row r="5679">
      <c r="A5679" s="259"/>
      <c r="B5679" s="26"/>
      <c r="C5679" s="91" t="s">
        <v>11</v>
      </c>
      <c r="D5679" s="9" t="s">
        <v>11</v>
      </c>
      <c r="E5679" s="9" t="s">
        <v>13</v>
      </c>
      <c r="F5679" s="9"/>
      <c r="G5679" s="9"/>
      <c r="H5679" s="9"/>
      <c r="I5679" s="9" t="s">
        <v>13</v>
      </c>
      <c r="J5679" s="259"/>
    </row>
    <row r="5680">
      <c r="A5680" s="259"/>
      <c r="B5680" s="26"/>
      <c r="C5680" s="91" t="s">
        <v>11</v>
      </c>
      <c r="D5680" s="9" t="s">
        <v>11</v>
      </c>
      <c r="E5680" s="9" t="s">
        <v>13</v>
      </c>
      <c r="F5680" s="9"/>
      <c r="G5680" s="9"/>
      <c r="H5680" s="9"/>
      <c r="I5680" s="9" t="s">
        <v>13</v>
      </c>
      <c r="J5680" s="259"/>
    </row>
    <row r="5681">
      <c r="A5681" s="259"/>
      <c r="B5681" s="26"/>
      <c r="C5681" s="91" t="s">
        <v>11</v>
      </c>
      <c r="D5681" s="9" t="s">
        <v>11</v>
      </c>
      <c r="E5681" s="9" t="s">
        <v>13</v>
      </c>
      <c r="F5681" s="9"/>
      <c r="G5681" s="9"/>
      <c r="H5681" s="9"/>
      <c r="I5681" s="9" t="s">
        <v>13</v>
      </c>
      <c r="J5681" s="259"/>
    </row>
    <row r="5682">
      <c r="A5682" s="259"/>
      <c r="B5682" s="26"/>
      <c r="C5682" s="91" t="s">
        <v>11</v>
      </c>
      <c r="D5682" s="9" t="s">
        <v>11</v>
      </c>
      <c r="E5682" s="9" t="s">
        <v>13</v>
      </c>
      <c r="F5682" s="9"/>
      <c r="G5682" s="9"/>
      <c r="H5682" s="9"/>
      <c r="I5682" s="9" t="s">
        <v>13</v>
      </c>
      <c r="J5682" s="259"/>
    </row>
    <row r="5683">
      <c r="A5683" s="259"/>
      <c r="B5683" s="26"/>
      <c r="C5683" s="91" t="s">
        <v>11</v>
      </c>
      <c r="D5683" s="9" t="s">
        <v>11</v>
      </c>
      <c r="E5683" s="9" t="s">
        <v>13</v>
      </c>
      <c r="F5683" s="9"/>
      <c r="G5683" s="9"/>
      <c r="H5683" s="9"/>
      <c r="I5683" s="9" t="s">
        <v>13</v>
      </c>
      <c r="J5683" s="259"/>
    </row>
    <row r="5684">
      <c r="A5684" s="259"/>
      <c r="B5684" s="26"/>
      <c r="C5684" s="91" t="s">
        <v>11</v>
      </c>
      <c r="D5684" s="9" t="s">
        <v>11</v>
      </c>
      <c r="E5684" s="9" t="s">
        <v>13</v>
      </c>
      <c r="F5684" s="9"/>
      <c r="G5684" s="9"/>
      <c r="H5684" s="9"/>
      <c r="I5684" s="9" t="s">
        <v>13</v>
      </c>
      <c r="J5684" s="259"/>
    </row>
    <row r="5685">
      <c r="A5685" s="259"/>
      <c r="B5685" s="26"/>
      <c r="C5685" s="91" t="s">
        <v>11</v>
      </c>
      <c r="D5685" s="9" t="s">
        <v>11</v>
      </c>
      <c r="E5685" s="9" t="s">
        <v>13</v>
      </c>
      <c r="F5685" s="9"/>
      <c r="G5685" s="9"/>
      <c r="H5685" s="9"/>
      <c r="I5685" s="9" t="s">
        <v>13</v>
      </c>
      <c r="J5685" s="259"/>
    </row>
    <row r="5686">
      <c r="A5686" s="259"/>
      <c r="B5686" s="26"/>
      <c r="C5686" s="91" t="s">
        <v>11</v>
      </c>
      <c r="D5686" s="9" t="s">
        <v>11</v>
      </c>
      <c r="E5686" s="9" t="s">
        <v>13</v>
      </c>
      <c r="F5686" s="9"/>
      <c r="G5686" s="9"/>
      <c r="H5686" s="9"/>
      <c r="I5686" s="9" t="s">
        <v>13</v>
      </c>
      <c r="J5686" s="259"/>
    </row>
    <row r="5687">
      <c r="A5687" s="259"/>
      <c r="B5687" s="26"/>
      <c r="C5687" s="91" t="s">
        <v>11</v>
      </c>
      <c r="D5687" s="9" t="s">
        <v>11</v>
      </c>
      <c r="E5687" s="9" t="s">
        <v>13</v>
      </c>
      <c r="F5687" s="9"/>
      <c r="G5687" s="9"/>
      <c r="H5687" s="9"/>
      <c r="I5687" s="9" t="s">
        <v>13</v>
      </c>
      <c r="J5687" s="259"/>
    </row>
    <row r="5688">
      <c r="A5688" s="259"/>
      <c r="B5688" s="26"/>
      <c r="C5688" s="91" t="s">
        <v>11</v>
      </c>
      <c r="D5688" s="9" t="s">
        <v>11</v>
      </c>
      <c r="E5688" s="9" t="s">
        <v>13</v>
      </c>
      <c r="F5688" s="9"/>
      <c r="G5688" s="9"/>
      <c r="H5688" s="9"/>
      <c r="I5688" s="9" t="s">
        <v>13</v>
      </c>
      <c r="J5688" s="259"/>
    </row>
    <row r="5689">
      <c r="A5689" s="259"/>
      <c r="B5689" s="26"/>
      <c r="C5689" s="91" t="s">
        <v>11</v>
      </c>
      <c r="D5689" s="9" t="s">
        <v>11</v>
      </c>
      <c r="E5689" s="9" t="s">
        <v>13</v>
      </c>
      <c r="F5689" s="9"/>
      <c r="G5689" s="9"/>
      <c r="H5689" s="9"/>
      <c r="I5689" s="9" t="s">
        <v>13</v>
      </c>
      <c r="J5689" s="259"/>
    </row>
    <row r="5690">
      <c r="A5690" s="259"/>
      <c r="B5690" s="26"/>
      <c r="C5690" s="91" t="s">
        <v>11</v>
      </c>
      <c r="D5690" s="9" t="s">
        <v>11</v>
      </c>
      <c r="E5690" s="9" t="s">
        <v>13</v>
      </c>
      <c r="F5690" s="9"/>
      <c r="G5690" s="9"/>
      <c r="H5690" s="9"/>
      <c r="I5690" s="9" t="s">
        <v>13</v>
      </c>
      <c r="J5690" s="259"/>
    </row>
    <row r="5691">
      <c r="A5691" s="259"/>
      <c r="B5691" s="26"/>
      <c r="C5691" s="91" t="s">
        <v>11</v>
      </c>
      <c r="D5691" s="9" t="s">
        <v>11</v>
      </c>
      <c r="E5691" s="9" t="s">
        <v>13</v>
      </c>
      <c r="F5691" s="9"/>
      <c r="G5691" s="9"/>
      <c r="H5691" s="9"/>
      <c r="I5691" s="9" t="s">
        <v>13</v>
      </c>
      <c r="J5691" s="259"/>
    </row>
    <row r="5692">
      <c r="A5692" s="259"/>
      <c r="B5692" s="26"/>
      <c r="C5692" s="91" t="s">
        <v>11</v>
      </c>
      <c r="D5692" s="9" t="s">
        <v>11</v>
      </c>
      <c r="E5692" s="9" t="s">
        <v>13</v>
      </c>
      <c r="F5692" s="9"/>
      <c r="G5692" s="9"/>
      <c r="H5692" s="9"/>
      <c r="I5692" s="9" t="s">
        <v>13</v>
      </c>
      <c r="J5692" s="259"/>
    </row>
    <row r="5693">
      <c r="A5693" s="259"/>
      <c r="B5693" s="26"/>
      <c r="C5693" s="91" t="s">
        <v>11</v>
      </c>
      <c r="D5693" s="9" t="s">
        <v>11</v>
      </c>
      <c r="E5693" s="9" t="s">
        <v>13</v>
      </c>
      <c r="F5693" s="9"/>
      <c r="G5693" s="9"/>
      <c r="H5693" s="9"/>
      <c r="I5693" s="9" t="s">
        <v>13</v>
      </c>
      <c r="J5693" s="259"/>
    </row>
    <row r="5694">
      <c r="A5694" s="259"/>
      <c r="B5694" s="26"/>
      <c r="C5694" s="91" t="s">
        <v>11</v>
      </c>
      <c r="D5694" s="9" t="s">
        <v>11</v>
      </c>
      <c r="E5694" s="9" t="s">
        <v>13</v>
      </c>
      <c r="F5694" s="9"/>
      <c r="G5694" s="9"/>
      <c r="H5694" s="9"/>
      <c r="I5694" s="9" t="s">
        <v>13</v>
      </c>
      <c r="J5694" s="259"/>
    </row>
    <row r="5695">
      <c r="A5695" s="259"/>
      <c r="B5695" s="26"/>
      <c r="C5695" s="91" t="s">
        <v>11</v>
      </c>
      <c r="D5695" s="9" t="s">
        <v>11</v>
      </c>
      <c r="E5695" s="9" t="s">
        <v>13</v>
      </c>
      <c r="F5695" s="9"/>
      <c r="G5695" s="9"/>
      <c r="H5695" s="9"/>
      <c r="I5695" s="9" t="s">
        <v>13</v>
      </c>
      <c r="J5695" s="259"/>
    </row>
    <row r="5696">
      <c r="A5696" s="259"/>
      <c r="B5696" s="26"/>
      <c r="C5696" s="91" t="s">
        <v>11</v>
      </c>
      <c r="D5696" s="9" t="s">
        <v>11</v>
      </c>
      <c r="E5696" s="9" t="s">
        <v>13</v>
      </c>
      <c r="F5696" s="9"/>
      <c r="G5696" s="9"/>
      <c r="H5696" s="9"/>
      <c r="I5696" s="9" t="s">
        <v>13</v>
      </c>
      <c r="J5696" s="259"/>
    </row>
    <row r="5697">
      <c r="A5697" s="259"/>
      <c r="B5697" s="26"/>
      <c r="C5697" s="91" t="s">
        <v>11</v>
      </c>
      <c r="D5697" s="9" t="s">
        <v>11</v>
      </c>
      <c r="E5697" s="9" t="s">
        <v>13</v>
      </c>
      <c r="F5697" s="9"/>
      <c r="G5697" s="9"/>
      <c r="H5697" s="9"/>
      <c r="I5697" s="9" t="s">
        <v>13</v>
      </c>
      <c r="J5697" s="259"/>
    </row>
    <row r="5698">
      <c r="A5698" s="259"/>
      <c r="B5698" s="26"/>
      <c r="C5698" s="91" t="s">
        <v>11</v>
      </c>
      <c r="D5698" s="9" t="s">
        <v>11</v>
      </c>
      <c r="E5698" s="9" t="s">
        <v>13</v>
      </c>
      <c r="F5698" s="9"/>
      <c r="G5698" s="9"/>
      <c r="H5698" s="9"/>
      <c r="I5698" s="9" t="s">
        <v>13</v>
      </c>
      <c r="J5698" s="259"/>
    </row>
    <row r="5699">
      <c r="A5699" s="259"/>
      <c r="B5699" s="26"/>
      <c r="C5699" s="91" t="s">
        <v>11</v>
      </c>
      <c r="D5699" s="9" t="s">
        <v>11</v>
      </c>
      <c r="E5699" s="9" t="s">
        <v>13</v>
      </c>
      <c r="F5699" s="9"/>
      <c r="G5699" s="9"/>
      <c r="H5699" s="9"/>
      <c r="I5699" s="9" t="s">
        <v>13</v>
      </c>
      <c r="J5699" s="259"/>
    </row>
    <row r="5700">
      <c r="A5700" s="259"/>
      <c r="B5700" s="26"/>
      <c r="C5700" s="91" t="s">
        <v>11</v>
      </c>
      <c r="D5700" s="9" t="s">
        <v>11</v>
      </c>
      <c r="E5700" s="9" t="s">
        <v>13</v>
      </c>
      <c r="F5700" s="9"/>
      <c r="G5700" s="9"/>
      <c r="H5700" s="9"/>
      <c r="I5700" s="9" t="s">
        <v>13</v>
      </c>
      <c r="J5700" s="259"/>
    </row>
    <row r="5701">
      <c r="A5701" s="259"/>
      <c r="B5701" s="26"/>
      <c r="C5701" s="91" t="s">
        <v>11</v>
      </c>
      <c r="D5701" s="9" t="s">
        <v>11</v>
      </c>
      <c r="E5701" s="9" t="s">
        <v>13</v>
      </c>
      <c r="F5701" s="9"/>
      <c r="G5701" s="9"/>
      <c r="H5701" s="9"/>
      <c r="I5701" s="9" t="s">
        <v>13</v>
      </c>
      <c r="J5701" s="259"/>
    </row>
    <row r="5702">
      <c r="A5702" s="259"/>
      <c r="B5702" s="26"/>
      <c r="C5702" s="91" t="s">
        <v>11</v>
      </c>
      <c r="D5702" s="9" t="s">
        <v>11</v>
      </c>
      <c r="E5702" s="9" t="s">
        <v>13</v>
      </c>
      <c r="F5702" s="9"/>
      <c r="G5702" s="9"/>
      <c r="H5702" s="9"/>
      <c r="I5702" s="9" t="s">
        <v>13</v>
      </c>
      <c r="J5702" s="259"/>
    </row>
    <row r="5703">
      <c r="A5703" s="259"/>
      <c r="B5703" s="26"/>
      <c r="C5703" s="91" t="s">
        <v>11</v>
      </c>
      <c r="D5703" s="9" t="s">
        <v>11</v>
      </c>
      <c r="E5703" s="9" t="s">
        <v>13</v>
      </c>
      <c r="F5703" s="9"/>
      <c r="G5703" s="9"/>
      <c r="H5703" s="9"/>
      <c r="I5703" s="9" t="s">
        <v>13</v>
      </c>
      <c r="J5703" s="259"/>
    </row>
    <row r="5704">
      <c r="A5704" s="259"/>
      <c r="B5704" s="26"/>
      <c r="C5704" s="91" t="s">
        <v>11</v>
      </c>
      <c r="D5704" s="9" t="s">
        <v>11</v>
      </c>
      <c r="E5704" s="9" t="s">
        <v>13</v>
      </c>
      <c r="F5704" s="9"/>
      <c r="G5704" s="9"/>
      <c r="H5704" s="9"/>
      <c r="I5704" s="9" t="s">
        <v>13</v>
      </c>
      <c r="J5704" s="259"/>
    </row>
    <row r="5705">
      <c r="A5705" s="259"/>
      <c r="B5705" s="26"/>
      <c r="C5705" s="91" t="s">
        <v>11</v>
      </c>
      <c r="D5705" s="9" t="s">
        <v>11</v>
      </c>
      <c r="E5705" s="9" t="s">
        <v>13</v>
      </c>
      <c r="F5705" s="9"/>
      <c r="G5705" s="9"/>
      <c r="H5705" s="9"/>
      <c r="I5705" s="9" t="s">
        <v>13</v>
      </c>
      <c r="J5705" s="259"/>
    </row>
    <row r="5706">
      <c r="A5706" s="259"/>
      <c r="B5706" s="26"/>
      <c r="C5706" s="91" t="s">
        <v>11</v>
      </c>
      <c r="D5706" s="9" t="s">
        <v>11</v>
      </c>
      <c r="E5706" s="9" t="s">
        <v>13</v>
      </c>
      <c r="F5706" s="9"/>
      <c r="G5706" s="9"/>
      <c r="H5706" s="9"/>
      <c r="I5706" s="9" t="s">
        <v>13</v>
      </c>
      <c r="J5706" s="259"/>
    </row>
    <row r="5707">
      <c r="A5707" s="259"/>
      <c r="B5707" s="26"/>
      <c r="C5707" s="91" t="s">
        <v>11</v>
      </c>
      <c r="D5707" s="9" t="s">
        <v>11</v>
      </c>
      <c r="E5707" s="9" t="s">
        <v>13</v>
      </c>
      <c r="F5707" s="9"/>
      <c r="G5707" s="9"/>
      <c r="H5707" s="9"/>
      <c r="I5707" s="9" t="s">
        <v>13</v>
      </c>
      <c r="J5707" s="259"/>
    </row>
    <row r="5708">
      <c r="A5708" s="259"/>
      <c r="B5708" s="26"/>
      <c r="C5708" s="91" t="s">
        <v>11</v>
      </c>
      <c r="D5708" s="9" t="s">
        <v>11</v>
      </c>
      <c r="E5708" s="9" t="s">
        <v>13</v>
      </c>
      <c r="F5708" s="9"/>
      <c r="G5708" s="9"/>
      <c r="H5708" s="9"/>
      <c r="I5708" s="9" t="s">
        <v>13</v>
      </c>
      <c r="J5708" s="259"/>
    </row>
    <row r="5709">
      <c r="A5709" s="259"/>
      <c r="B5709" s="26"/>
      <c r="C5709" s="91" t="s">
        <v>11</v>
      </c>
      <c r="D5709" s="9" t="s">
        <v>11</v>
      </c>
      <c r="E5709" s="9" t="s">
        <v>13</v>
      </c>
      <c r="F5709" s="9"/>
      <c r="G5709" s="9"/>
      <c r="H5709" s="9"/>
      <c r="I5709" s="9" t="s">
        <v>13</v>
      </c>
      <c r="J5709" s="259"/>
    </row>
    <row r="5710">
      <c r="A5710" s="259"/>
      <c r="B5710" s="26"/>
      <c r="C5710" s="91" t="s">
        <v>11</v>
      </c>
      <c r="D5710" s="9" t="s">
        <v>11</v>
      </c>
      <c r="E5710" s="9" t="s">
        <v>13</v>
      </c>
      <c r="F5710" s="9"/>
      <c r="G5710" s="9"/>
      <c r="H5710" s="9"/>
      <c r="I5710" s="9" t="s">
        <v>13</v>
      </c>
      <c r="J5710" s="259"/>
    </row>
    <row r="5711">
      <c r="A5711" s="259"/>
      <c r="B5711" s="26"/>
      <c r="C5711" s="91" t="s">
        <v>11</v>
      </c>
      <c r="D5711" s="9" t="s">
        <v>11</v>
      </c>
      <c r="E5711" s="9" t="s">
        <v>13</v>
      </c>
      <c r="F5711" s="9"/>
      <c r="G5711" s="9"/>
      <c r="H5711" s="9"/>
      <c r="I5711" s="9" t="s">
        <v>13</v>
      </c>
      <c r="J5711" s="259"/>
    </row>
    <row r="5712">
      <c r="A5712" s="259"/>
      <c r="B5712" s="26"/>
      <c r="C5712" s="91" t="s">
        <v>11</v>
      </c>
      <c r="D5712" s="9" t="s">
        <v>11</v>
      </c>
      <c r="E5712" s="9" t="s">
        <v>13</v>
      </c>
      <c r="F5712" s="9"/>
      <c r="G5712" s="9"/>
      <c r="H5712" s="9"/>
      <c r="I5712" s="9" t="s">
        <v>13</v>
      </c>
      <c r="J5712" s="259"/>
    </row>
    <row r="5713">
      <c r="A5713" s="259"/>
      <c r="B5713" s="26"/>
      <c r="C5713" s="91" t="s">
        <v>11</v>
      </c>
      <c r="D5713" s="9" t="s">
        <v>11</v>
      </c>
      <c r="E5713" s="9" t="s">
        <v>13</v>
      </c>
      <c r="F5713" s="9"/>
      <c r="G5713" s="9"/>
      <c r="H5713" s="9"/>
      <c r="I5713" s="9" t="s">
        <v>13</v>
      </c>
      <c r="J5713" s="259"/>
    </row>
    <row r="5714">
      <c r="A5714" s="259"/>
      <c r="B5714" s="26"/>
      <c r="C5714" s="91" t="s">
        <v>11</v>
      </c>
      <c r="D5714" s="9" t="s">
        <v>11</v>
      </c>
      <c r="E5714" s="9" t="s">
        <v>13</v>
      </c>
      <c r="F5714" s="9"/>
      <c r="G5714" s="9"/>
      <c r="H5714" s="9"/>
      <c r="I5714" s="9" t="s">
        <v>13</v>
      </c>
      <c r="J5714" s="259"/>
    </row>
    <row r="5715">
      <c r="A5715" s="259"/>
      <c r="B5715" s="26"/>
      <c r="C5715" s="91" t="s">
        <v>11</v>
      </c>
      <c r="D5715" s="9" t="s">
        <v>11</v>
      </c>
      <c r="E5715" s="9" t="s">
        <v>13</v>
      </c>
      <c r="F5715" s="9"/>
      <c r="G5715" s="9"/>
      <c r="H5715" s="9"/>
      <c r="I5715" s="9" t="s">
        <v>13</v>
      </c>
      <c r="J5715" s="259"/>
    </row>
    <row r="5716">
      <c r="A5716" s="259"/>
      <c r="B5716" s="26"/>
      <c r="C5716" s="91" t="s">
        <v>11</v>
      </c>
      <c r="D5716" s="9" t="s">
        <v>11</v>
      </c>
      <c r="E5716" s="9" t="s">
        <v>13</v>
      </c>
      <c r="F5716" s="9"/>
      <c r="G5716" s="9"/>
      <c r="H5716" s="9"/>
      <c r="I5716" s="9" t="s">
        <v>13</v>
      </c>
      <c r="J5716" s="259"/>
    </row>
    <row r="5717">
      <c r="A5717" s="259"/>
      <c r="B5717" s="26"/>
      <c r="C5717" s="91" t="s">
        <v>11</v>
      </c>
      <c r="D5717" s="9" t="s">
        <v>11</v>
      </c>
      <c r="E5717" s="9" t="s">
        <v>13</v>
      </c>
      <c r="F5717" s="9"/>
      <c r="G5717" s="9"/>
      <c r="H5717" s="9"/>
      <c r="I5717" s="9" t="s">
        <v>13</v>
      </c>
      <c r="J5717" s="259"/>
    </row>
    <row r="5718">
      <c r="A5718" s="259"/>
      <c r="B5718" s="26"/>
      <c r="C5718" s="91" t="s">
        <v>11</v>
      </c>
      <c r="D5718" s="9" t="s">
        <v>11</v>
      </c>
      <c r="E5718" s="9" t="s">
        <v>13</v>
      </c>
      <c r="F5718" s="9"/>
      <c r="G5718" s="9"/>
      <c r="H5718" s="9"/>
      <c r="I5718" s="9" t="s">
        <v>13</v>
      </c>
      <c r="J5718" s="259"/>
    </row>
    <row r="5719">
      <c r="A5719" s="259"/>
      <c r="B5719" s="26"/>
      <c r="C5719" s="91" t="s">
        <v>11</v>
      </c>
      <c r="D5719" s="9" t="s">
        <v>11</v>
      </c>
      <c r="E5719" s="9" t="s">
        <v>13</v>
      </c>
      <c r="F5719" s="9"/>
      <c r="G5719" s="9"/>
      <c r="H5719" s="9"/>
      <c r="I5719" s="9" t="s">
        <v>13</v>
      </c>
      <c r="J5719" s="259"/>
    </row>
    <row r="5720">
      <c r="A5720" s="259"/>
      <c r="B5720" s="26"/>
      <c r="C5720" s="91" t="s">
        <v>11</v>
      </c>
      <c r="D5720" s="9" t="s">
        <v>11</v>
      </c>
      <c r="E5720" s="9" t="s">
        <v>13</v>
      </c>
      <c r="F5720" s="9"/>
      <c r="G5720" s="9"/>
      <c r="H5720" s="9"/>
      <c r="I5720" s="9" t="s">
        <v>13</v>
      </c>
      <c r="J5720" s="259"/>
    </row>
    <row r="5721">
      <c r="A5721" s="259"/>
      <c r="B5721" s="26"/>
      <c r="C5721" s="91" t="s">
        <v>11</v>
      </c>
      <c r="D5721" s="9" t="s">
        <v>11</v>
      </c>
      <c r="E5721" s="9" t="s">
        <v>13</v>
      </c>
      <c r="F5721" s="9"/>
      <c r="G5721" s="9"/>
      <c r="H5721" s="9"/>
      <c r="I5721" s="9" t="s">
        <v>13</v>
      </c>
      <c r="J5721" s="259"/>
    </row>
    <row r="5722">
      <c r="A5722" s="259"/>
      <c r="B5722" s="26"/>
      <c r="C5722" s="91" t="s">
        <v>11</v>
      </c>
      <c r="D5722" s="9" t="s">
        <v>11</v>
      </c>
      <c r="E5722" s="9" t="s">
        <v>13</v>
      </c>
      <c r="F5722" s="9"/>
      <c r="G5722" s="9"/>
      <c r="H5722" s="9"/>
      <c r="I5722" s="9" t="s">
        <v>13</v>
      </c>
      <c r="J5722" s="259"/>
    </row>
    <row r="5723">
      <c r="A5723" s="259"/>
      <c r="B5723" s="26"/>
      <c r="C5723" s="91" t="s">
        <v>11</v>
      </c>
      <c r="D5723" s="9" t="s">
        <v>11</v>
      </c>
      <c r="E5723" s="9" t="s">
        <v>13</v>
      </c>
      <c r="F5723" s="9"/>
      <c r="G5723" s="9"/>
      <c r="H5723" s="9"/>
      <c r="I5723" s="9" t="s">
        <v>13</v>
      </c>
      <c r="J5723" s="259"/>
    </row>
    <row r="5724">
      <c r="A5724" s="259"/>
      <c r="B5724" s="26"/>
      <c r="C5724" s="91" t="s">
        <v>11</v>
      </c>
      <c r="D5724" s="9" t="s">
        <v>11</v>
      </c>
      <c r="E5724" s="9" t="s">
        <v>13</v>
      </c>
      <c r="F5724" s="9"/>
      <c r="G5724" s="9"/>
      <c r="H5724" s="9"/>
      <c r="I5724" s="9" t="s">
        <v>13</v>
      </c>
      <c r="J5724" s="259"/>
    </row>
    <row r="5725">
      <c r="A5725" s="259"/>
      <c r="B5725" s="26"/>
      <c r="C5725" s="91" t="s">
        <v>11</v>
      </c>
      <c r="D5725" s="9" t="s">
        <v>11</v>
      </c>
      <c r="E5725" s="9" t="s">
        <v>13</v>
      </c>
      <c r="F5725" s="9"/>
      <c r="G5725" s="9"/>
      <c r="H5725" s="9"/>
      <c r="I5725" s="9" t="s">
        <v>13</v>
      </c>
      <c r="J5725" s="259"/>
    </row>
    <row r="5726">
      <c r="A5726" s="259"/>
      <c r="B5726" s="26"/>
      <c r="C5726" s="91" t="s">
        <v>11</v>
      </c>
      <c r="D5726" s="9" t="s">
        <v>11</v>
      </c>
      <c r="E5726" s="9" t="s">
        <v>13</v>
      </c>
      <c r="F5726" s="9"/>
      <c r="G5726" s="9"/>
      <c r="H5726" s="9"/>
      <c r="I5726" s="9" t="s">
        <v>13</v>
      </c>
      <c r="J5726" s="259"/>
    </row>
    <row r="5727">
      <c r="A5727" s="259"/>
      <c r="B5727" s="26"/>
      <c r="C5727" s="91" t="s">
        <v>11</v>
      </c>
      <c r="D5727" s="9" t="s">
        <v>11</v>
      </c>
      <c r="E5727" s="9" t="s">
        <v>13</v>
      </c>
      <c r="F5727" s="9"/>
      <c r="G5727" s="9"/>
      <c r="H5727" s="9"/>
      <c r="I5727" s="9" t="s">
        <v>13</v>
      </c>
      <c r="J5727" s="259"/>
    </row>
    <row r="5728">
      <c r="A5728" s="259"/>
      <c r="B5728" s="26"/>
      <c r="C5728" s="91" t="s">
        <v>11</v>
      </c>
      <c r="D5728" s="9" t="s">
        <v>11</v>
      </c>
      <c r="E5728" s="9" t="s">
        <v>13</v>
      </c>
      <c r="F5728" s="9"/>
      <c r="G5728" s="9"/>
      <c r="H5728" s="9"/>
      <c r="I5728" s="9" t="s">
        <v>13</v>
      </c>
      <c r="J5728" s="259"/>
    </row>
    <row r="5729">
      <c r="A5729" s="259"/>
      <c r="B5729" s="26"/>
      <c r="C5729" s="91" t="s">
        <v>11</v>
      </c>
      <c r="D5729" s="9" t="s">
        <v>11</v>
      </c>
      <c r="E5729" s="9" t="s">
        <v>13</v>
      </c>
      <c r="F5729" s="9"/>
      <c r="G5729" s="9"/>
      <c r="H5729" s="9"/>
      <c r="I5729" s="9" t="s">
        <v>13</v>
      </c>
      <c r="J5729" s="259"/>
    </row>
    <row r="5730">
      <c r="A5730" s="259"/>
      <c r="B5730" s="26"/>
      <c r="C5730" s="91" t="s">
        <v>11</v>
      </c>
      <c r="D5730" s="9" t="s">
        <v>11</v>
      </c>
      <c r="E5730" s="9" t="s">
        <v>13</v>
      </c>
      <c r="F5730" s="9"/>
      <c r="G5730" s="9"/>
      <c r="H5730" s="9"/>
      <c r="I5730" s="9" t="s">
        <v>13</v>
      </c>
      <c r="J5730" s="259"/>
    </row>
    <row r="5731">
      <c r="A5731" s="259"/>
      <c r="B5731" s="26"/>
      <c r="C5731" s="91" t="s">
        <v>11</v>
      </c>
      <c r="D5731" s="9" t="s">
        <v>11</v>
      </c>
      <c r="E5731" s="9" t="s">
        <v>13</v>
      </c>
      <c r="F5731" s="9"/>
      <c r="G5731" s="9"/>
      <c r="H5731" s="9"/>
      <c r="I5731" s="9" t="s">
        <v>13</v>
      </c>
      <c r="J5731" s="259"/>
    </row>
    <row r="5732">
      <c r="A5732" s="259"/>
      <c r="B5732" s="26"/>
      <c r="C5732" s="91" t="s">
        <v>11</v>
      </c>
      <c r="D5732" s="9" t="s">
        <v>11</v>
      </c>
      <c r="E5732" s="9" t="s">
        <v>13</v>
      </c>
      <c r="F5732" s="9"/>
      <c r="G5732" s="9"/>
      <c r="H5732" s="9"/>
      <c r="I5732" s="9" t="s">
        <v>13</v>
      </c>
      <c r="J5732" s="259"/>
    </row>
    <row r="5733">
      <c r="A5733" s="259"/>
      <c r="B5733" s="26"/>
      <c r="C5733" s="91" t="s">
        <v>11</v>
      </c>
      <c r="D5733" s="9" t="s">
        <v>11</v>
      </c>
      <c r="E5733" s="9" t="s">
        <v>13</v>
      </c>
      <c r="F5733" s="9"/>
      <c r="G5733" s="9"/>
      <c r="H5733" s="9"/>
      <c r="I5733" s="9" t="s">
        <v>13</v>
      </c>
      <c r="J5733" s="259"/>
    </row>
    <row r="5734">
      <c r="A5734" s="259"/>
      <c r="B5734" s="26"/>
      <c r="C5734" s="91" t="s">
        <v>11</v>
      </c>
      <c r="D5734" s="9" t="s">
        <v>11</v>
      </c>
      <c r="E5734" s="9" t="s">
        <v>13</v>
      </c>
      <c r="F5734" s="9"/>
      <c r="G5734" s="9"/>
      <c r="H5734" s="9"/>
      <c r="I5734" s="9" t="s">
        <v>13</v>
      </c>
      <c r="J5734" s="259"/>
    </row>
    <row r="5735">
      <c r="A5735" s="259"/>
      <c r="B5735" s="26"/>
      <c r="C5735" s="91" t="s">
        <v>11</v>
      </c>
      <c r="D5735" s="9" t="s">
        <v>11</v>
      </c>
      <c r="E5735" s="9" t="s">
        <v>13</v>
      </c>
      <c r="F5735" s="9"/>
      <c r="G5735" s="9"/>
      <c r="H5735" s="9"/>
      <c r="I5735" s="9" t="s">
        <v>13</v>
      </c>
      <c r="J5735" s="259"/>
    </row>
    <row r="5736">
      <c r="A5736" s="259"/>
      <c r="B5736" s="26"/>
      <c r="C5736" s="91" t="s">
        <v>11</v>
      </c>
      <c r="D5736" s="9" t="s">
        <v>11</v>
      </c>
      <c r="E5736" s="9" t="s">
        <v>13</v>
      </c>
      <c r="F5736" s="9"/>
      <c r="G5736" s="9"/>
      <c r="H5736" s="9"/>
      <c r="I5736" s="9" t="s">
        <v>13</v>
      </c>
      <c r="J5736" s="259"/>
    </row>
    <row r="5737">
      <c r="A5737" s="259"/>
      <c r="B5737" s="26"/>
      <c r="C5737" s="91" t="s">
        <v>11</v>
      </c>
      <c r="D5737" s="9" t="s">
        <v>11</v>
      </c>
      <c r="E5737" s="9" t="s">
        <v>13</v>
      </c>
      <c r="F5737" s="9"/>
      <c r="G5737" s="9"/>
      <c r="H5737" s="9"/>
      <c r="I5737" s="9" t="s">
        <v>13</v>
      </c>
      <c r="J5737" s="259"/>
    </row>
    <row r="5738">
      <c r="A5738" s="259"/>
      <c r="B5738" s="26"/>
      <c r="C5738" s="91" t="s">
        <v>11</v>
      </c>
      <c r="D5738" s="9" t="s">
        <v>11</v>
      </c>
      <c r="E5738" s="9" t="s">
        <v>13</v>
      </c>
      <c r="F5738" s="9"/>
      <c r="G5738" s="9"/>
      <c r="H5738" s="9"/>
      <c r="I5738" s="9" t="s">
        <v>13</v>
      </c>
      <c r="J5738" s="259"/>
    </row>
    <row r="5739">
      <c r="A5739" s="259"/>
      <c r="B5739" s="26"/>
      <c r="C5739" s="91" t="s">
        <v>11</v>
      </c>
      <c r="D5739" s="9" t="s">
        <v>11</v>
      </c>
      <c r="E5739" s="9" t="s">
        <v>13</v>
      </c>
      <c r="F5739" s="9"/>
      <c r="G5739" s="9"/>
      <c r="H5739" s="9"/>
      <c r="I5739" s="9" t="s">
        <v>13</v>
      </c>
      <c r="J5739" s="259"/>
    </row>
    <row r="5740">
      <c r="A5740" s="259"/>
      <c r="B5740" s="26"/>
      <c r="C5740" s="91" t="s">
        <v>11</v>
      </c>
      <c r="D5740" s="9" t="s">
        <v>11</v>
      </c>
      <c r="E5740" s="9" t="s">
        <v>13</v>
      </c>
      <c r="F5740" s="9"/>
      <c r="G5740" s="9"/>
      <c r="H5740" s="9"/>
      <c r="I5740" s="9" t="s">
        <v>13</v>
      </c>
      <c r="J5740" s="259"/>
    </row>
    <row r="5741">
      <c r="A5741" s="259"/>
      <c r="B5741" s="26"/>
      <c r="C5741" s="91" t="s">
        <v>11</v>
      </c>
      <c r="D5741" s="9" t="s">
        <v>11</v>
      </c>
      <c r="E5741" s="9" t="s">
        <v>13</v>
      </c>
      <c r="F5741" s="9"/>
      <c r="G5741" s="9"/>
      <c r="H5741" s="9"/>
      <c r="I5741" s="9" t="s">
        <v>13</v>
      </c>
      <c r="J5741" s="259"/>
    </row>
    <row r="5742">
      <c r="A5742" s="259"/>
      <c r="B5742" s="26"/>
      <c r="C5742" s="91" t="s">
        <v>11</v>
      </c>
      <c r="D5742" s="9" t="s">
        <v>11</v>
      </c>
      <c r="E5742" s="9" t="s">
        <v>13</v>
      </c>
      <c r="F5742" s="9"/>
      <c r="G5742" s="9"/>
      <c r="H5742" s="9"/>
      <c r="I5742" s="9" t="s">
        <v>13</v>
      </c>
      <c r="J5742" s="259"/>
    </row>
    <row r="5743">
      <c r="A5743" s="259"/>
      <c r="B5743" s="26"/>
      <c r="C5743" s="91" t="s">
        <v>11</v>
      </c>
      <c r="D5743" s="9" t="s">
        <v>11</v>
      </c>
      <c r="E5743" s="9" t="s">
        <v>13</v>
      </c>
      <c r="F5743" s="9"/>
      <c r="G5743" s="9"/>
      <c r="H5743" s="9"/>
      <c r="I5743" s="9" t="s">
        <v>13</v>
      </c>
      <c r="J5743" s="259"/>
    </row>
    <row r="5744">
      <c r="A5744" s="259"/>
      <c r="B5744" s="26"/>
      <c r="C5744" s="91" t="s">
        <v>11</v>
      </c>
      <c r="D5744" s="9" t="s">
        <v>11</v>
      </c>
      <c r="E5744" s="9" t="s">
        <v>13</v>
      </c>
      <c r="F5744" s="9"/>
      <c r="G5744" s="9"/>
      <c r="H5744" s="9"/>
      <c r="I5744" s="9" t="s">
        <v>13</v>
      </c>
      <c r="J5744" s="259"/>
    </row>
    <row r="5745">
      <c r="A5745" s="259"/>
      <c r="B5745" s="26"/>
      <c r="C5745" s="91" t="s">
        <v>11</v>
      </c>
      <c r="D5745" s="9" t="s">
        <v>11</v>
      </c>
      <c r="E5745" s="9" t="s">
        <v>13</v>
      </c>
      <c r="F5745" s="9"/>
      <c r="G5745" s="9"/>
      <c r="H5745" s="9"/>
      <c r="I5745" s="9" t="s">
        <v>13</v>
      </c>
      <c r="J5745" s="259"/>
    </row>
    <row r="5746">
      <c r="A5746" s="259"/>
      <c r="B5746" s="26"/>
      <c r="C5746" s="91" t="s">
        <v>11</v>
      </c>
      <c r="D5746" s="9" t="s">
        <v>11</v>
      </c>
      <c r="E5746" s="9" t="s">
        <v>13</v>
      </c>
      <c r="F5746" s="9"/>
      <c r="G5746" s="9"/>
      <c r="H5746" s="9"/>
      <c r="I5746" s="9" t="s">
        <v>13</v>
      </c>
      <c r="J5746" s="259"/>
    </row>
    <row r="5747">
      <c r="A5747" s="259"/>
      <c r="B5747" s="26"/>
      <c r="C5747" s="91" t="s">
        <v>11</v>
      </c>
      <c r="D5747" s="9" t="s">
        <v>11</v>
      </c>
      <c r="E5747" s="9" t="s">
        <v>13</v>
      </c>
      <c r="F5747" s="9"/>
      <c r="G5747" s="9"/>
      <c r="H5747" s="9"/>
      <c r="I5747" s="9" t="s">
        <v>13</v>
      </c>
      <c r="J5747" s="259"/>
    </row>
    <row r="5748">
      <c r="A5748" s="259"/>
      <c r="B5748" s="26"/>
      <c r="C5748" s="91" t="s">
        <v>11</v>
      </c>
      <c r="D5748" s="9" t="s">
        <v>11</v>
      </c>
      <c r="E5748" s="9" t="s">
        <v>13</v>
      </c>
      <c r="F5748" s="9"/>
      <c r="G5748" s="9"/>
      <c r="H5748" s="9"/>
      <c r="I5748" s="9" t="s">
        <v>13</v>
      </c>
      <c r="J5748" s="259"/>
    </row>
    <row r="5749">
      <c r="A5749" s="259"/>
      <c r="B5749" s="26"/>
      <c r="C5749" s="91" t="s">
        <v>11</v>
      </c>
      <c r="D5749" s="9" t="s">
        <v>11</v>
      </c>
      <c r="E5749" s="9" t="s">
        <v>13</v>
      </c>
      <c r="F5749" s="9"/>
      <c r="G5749" s="9"/>
      <c r="H5749" s="9"/>
      <c r="I5749" s="9" t="s">
        <v>13</v>
      </c>
      <c r="J5749" s="259"/>
    </row>
    <row r="5750">
      <c r="A5750" s="259"/>
      <c r="B5750" s="26"/>
      <c r="C5750" s="91" t="s">
        <v>11</v>
      </c>
      <c r="D5750" s="9" t="s">
        <v>11</v>
      </c>
      <c r="E5750" s="9" t="s">
        <v>13</v>
      </c>
      <c r="F5750" s="9"/>
      <c r="G5750" s="9"/>
      <c r="H5750" s="9"/>
      <c r="I5750" s="9" t="s">
        <v>13</v>
      </c>
      <c r="J5750" s="259"/>
    </row>
    <row r="5751">
      <c r="A5751" s="259"/>
      <c r="B5751" s="26"/>
      <c r="C5751" s="91" t="s">
        <v>11</v>
      </c>
      <c r="D5751" s="9" t="s">
        <v>11</v>
      </c>
      <c r="E5751" s="9" t="s">
        <v>13</v>
      </c>
      <c r="F5751" s="9"/>
      <c r="G5751" s="9"/>
      <c r="H5751" s="9"/>
      <c r="I5751" s="9" t="s">
        <v>13</v>
      </c>
      <c r="J5751" s="259"/>
    </row>
    <row r="5752">
      <c r="A5752" s="259"/>
      <c r="B5752" s="26"/>
      <c r="C5752" s="91" t="s">
        <v>11</v>
      </c>
      <c r="D5752" s="9" t="s">
        <v>11</v>
      </c>
      <c r="E5752" s="9" t="s">
        <v>13</v>
      </c>
      <c r="F5752" s="9"/>
      <c r="G5752" s="9"/>
      <c r="H5752" s="9"/>
      <c r="I5752" s="9" t="s">
        <v>13</v>
      </c>
      <c r="J5752" s="259"/>
    </row>
    <row r="5753">
      <c r="A5753" s="259"/>
      <c r="B5753" s="26"/>
      <c r="C5753" s="91" t="s">
        <v>11</v>
      </c>
      <c r="D5753" s="9" t="s">
        <v>11</v>
      </c>
      <c r="E5753" s="9" t="s">
        <v>13</v>
      </c>
      <c r="F5753" s="9"/>
      <c r="G5753" s="9"/>
      <c r="H5753" s="9"/>
      <c r="I5753" s="9" t="s">
        <v>13</v>
      </c>
      <c r="J5753" s="259"/>
    </row>
    <row r="5754">
      <c r="A5754" s="259"/>
      <c r="B5754" s="26"/>
      <c r="C5754" s="91" t="s">
        <v>11</v>
      </c>
      <c r="D5754" s="9" t="s">
        <v>11</v>
      </c>
      <c r="E5754" s="9" t="s">
        <v>13</v>
      </c>
      <c r="F5754" s="9"/>
      <c r="G5754" s="9"/>
      <c r="H5754" s="9"/>
      <c r="I5754" s="9" t="s">
        <v>13</v>
      </c>
      <c r="J5754" s="259"/>
    </row>
    <row r="5755">
      <c r="A5755" s="259"/>
      <c r="B5755" s="26"/>
      <c r="C5755" s="91" t="s">
        <v>11</v>
      </c>
      <c r="D5755" s="9" t="s">
        <v>11</v>
      </c>
      <c r="E5755" s="9" t="s">
        <v>13</v>
      </c>
      <c r="F5755" s="9"/>
      <c r="G5755" s="9"/>
      <c r="H5755" s="9"/>
      <c r="I5755" s="9" t="s">
        <v>13</v>
      </c>
      <c r="J5755" s="259"/>
    </row>
    <row r="5756">
      <c r="A5756" s="259"/>
      <c r="B5756" s="26"/>
      <c r="C5756" s="91" t="s">
        <v>11</v>
      </c>
      <c r="D5756" s="9" t="s">
        <v>11</v>
      </c>
      <c r="E5756" s="9" t="s">
        <v>13</v>
      </c>
      <c r="F5756" s="9"/>
      <c r="G5756" s="9"/>
      <c r="H5756" s="9"/>
      <c r="I5756" s="9" t="s">
        <v>13</v>
      </c>
      <c r="J5756" s="259"/>
    </row>
    <row r="5757">
      <c r="A5757" s="259"/>
      <c r="B5757" s="26"/>
      <c r="C5757" s="91" t="s">
        <v>11</v>
      </c>
      <c r="D5757" s="9" t="s">
        <v>11</v>
      </c>
      <c r="E5757" s="9" t="s">
        <v>13</v>
      </c>
      <c r="F5757" s="9"/>
      <c r="G5757" s="9"/>
      <c r="H5757" s="9"/>
      <c r="I5757" s="9" t="s">
        <v>13</v>
      </c>
      <c r="J5757" s="259"/>
    </row>
    <row r="5758">
      <c r="A5758" s="259"/>
      <c r="B5758" s="26"/>
      <c r="C5758" s="91" t="s">
        <v>11</v>
      </c>
      <c r="D5758" s="9" t="s">
        <v>11</v>
      </c>
      <c r="E5758" s="9" t="s">
        <v>13</v>
      </c>
      <c r="F5758" s="9"/>
      <c r="G5758" s="9"/>
      <c r="H5758" s="9"/>
      <c r="I5758" s="9" t="s">
        <v>13</v>
      </c>
      <c r="J5758" s="259"/>
    </row>
    <row r="5759">
      <c r="A5759" s="259"/>
      <c r="B5759" s="26"/>
      <c r="C5759" s="91" t="s">
        <v>11</v>
      </c>
      <c r="D5759" s="9" t="s">
        <v>11</v>
      </c>
      <c r="E5759" s="9" t="s">
        <v>13</v>
      </c>
      <c r="F5759" s="9"/>
      <c r="G5759" s="9"/>
      <c r="H5759" s="9"/>
      <c r="I5759" s="9" t="s">
        <v>13</v>
      </c>
      <c r="J5759" s="259"/>
    </row>
    <row r="5760">
      <c r="A5760" s="259"/>
      <c r="B5760" s="26"/>
      <c r="C5760" s="91" t="s">
        <v>11</v>
      </c>
      <c r="D5760" s="9" t="s">
        <v>11</v>
      </c>
      <c r="E5760" s="9" t="s">
        <v>13</v>
      </c>
      <c r="F5760" s="9"/>
      <c r="G5760" s="9"/>
      <c r="H5760" s="9"/>
      <c r="I5760" s="9" t="s">
        <v>13</v>
      </c>
      <c r="J5760" s="259"/>
    </row>
    <row r="5761">
      <c r="A5761" s="259"/>
      <c r="B5761" s="26"/>
      <c r="C5761" s="91" t="s">
        <v>11</v>
      </c>
      <c r="D5761" s="9" t="s">
        <v>11</v>
      </c>
      <c r="E5761" s="9" t="s">
        <v>13</v>
      </c>
      <c r="F5761" s="9"/>
      <c r="G5761" s="9"/>
      <c r="H5761" s="9"/>
      <c r="I5761" s="9" t="s">
        <v>13</v>
      </c>
      <c r="J5761" s="259"/>
    </row>
    <row r="5762">
      <c r="A5762" s="259"/>
      <c r="B5762" s="26"/>
      <c r="C5762" s="91" t="s">
        <v>11</v>
      </c>
      <c r="D5762" s="9" t="s">
        <v>11</v>
      </c>
      <c r="E5762" s="9" t="s">
        <v>13</v>
      </c>
      <c r="F5762" s="9"/>
      <c r="G5762" s="9"/>
      <c r="H5762" s="9"/>
      <c r="I5762" s="9" t="s">
        <v>13</v>
      </c>
      <c r="J5762" s="259"/>
    </row>
    <row r="5763">
      <c r="A5763" s="259"/>
      <c r="B5763" s="26"/>
      <c r="C5763" s="91" t="s">
        <v>11</v>
      </c>
      <c r="D5763" s="9" t="s">
        <v>11</v>
      </c>
      <c r="E5763" s="9" t="s">
        <v>13</v>
      </c>
      <c r="F5763" s="9"/>
      <c r="G5763" s="9"/>
      <c r="H5763" s="9"/>
      <c r="I5763" s="9" t="s">
        <v>13</v>
      </c>
      <c r="J5763" s="259"/>
    </row>
    <row r="5764">
      <c r="A5764" s="259"/>
      <c r="B5764" s="26"/>
      <c r="C5764" s="91" t="s">
        <v>11</v>
      </c>
      <c r="D5764" s="9" t="s">
        <v>11</v>
      </c>
      <c r="E5764" s="9" t="s">
        <v>13</v>
      </c>
      <c r="F5764" s="9"/>
      <c r="G5764" s="9"/>
      <c r="H5764" s="9"/>
      <c r="I5764" s="9" t="s">
        <v>13</v>
      </c>
      <c r="J5764" s="259"/>
    </row>
    <row r="5765">
      <c r="A5765" s="259"/>
      <c r="B5765" s="26"/>
      <c r="C5765" s="91" t="s">
        <v>11</v>
      </c>
      <c r="D5765" s="9" t="s">
        <v>11</v>
      </c>
      <c r="E5765" s="9" t="s">
        <v>13</v>
      </c>
      <c r="F5765" s="9"/>
      <c r="G5765" s="9"/>
      <c r="H5765" s="9"/>
      <c r="I5765" s="9" t="s">
        <v>13</v>
      </c>
      <c r="J5765" s="259"/>
    </row>
    <row r="5766">
      <c r="A5766" s="259"/>
      <c r="B5766" s="26"/>
      <c r="C5766" s="91" t="s">
        <v>11</v>
      </c>
      <c r="D5766" s="9" t="s">
        <v>11</v>
      </c>
      <c r="E5766" s="9" t="s">
        <v>13</v>
      </c>
      <c r="F5766" s="9"/>
      <c r="G5766" s="9"/>
      <c r="H5766" s="9"/>
      <c r="I5766" s="9" t="s">
        <v>13</v>
      </c>
      <c r="J5766" s="259"/>
    </row>
    <row r="5767">
      <c r="A5767" s="259"/>
      <c r="B5767" s="26"/>
      <c r="C5767" s="91" t="s">
        <v>11</v>
      </c>
      <c r="D5767" s="9" t="s">
        <v>11</v>
      </c>
      <c r="E5767" s="9" t="s">
        <v>13</v>
      </c>
      <c r="F5767" s="9"/>
      <c r="G5767" s="9"/>
      <c r="H5767" s="9"/>
      <c r="I5767" s="9" t="s">
        <v>13</v>
      </c>
      <c r="J5767" s="259"/>
    </row>
    <row r="5768">
      <c r="A5768" s="259"/>
      <c r="B5768" s="26"/>
      <c r="C5768" s="91" t="s">
        <v>11</v>
      </c>
      <c r="D5768" s="9" t="s">
        <v>11</v>
      </c>
      <c r="E5768" s="9" t="s">
        <v>13</v>
      </c>
      <c r="F5768" s="9"/>
      <c r="G5768" s="9"/>
      <c r="H5768" s="9"/>
      <c r="I5768" s="9" t="s">
        <v>13</v>
      </c>
      <c r="J5768" s="259"/>
    </row>
    <row r="5769">
      <c r="A5769" s="259"/>
      <c r="B5769" s="26"/>
      <c r="C5769" s="91" t="s">
        <v>11</v>
      </c>
      <c r="D5769" s="9" t="s">
        <v>11</v>
      </c>
      <c r="E5769" s="9" t="s">
        <v>13</v>
      </c>
      <c r="F5769" s="9"/>
      <c r="G5769" s="9"/>
      <c r="H5769" s="9"/>
      <c r="I5769" s="9" t="s">
        <v>13</v>
      </c>
      <c r="J5769" s="259"/>
    </row>
    <row r="5770">
      <c r="A5770" s="259"/>
      <c r="B5770" s="26"/>
      <c r="C5770" s="91" t="s">
        <v>11</v>
      </c>
      <c r="D5770" s="9" t="s">
        <v>11</v>
      </c>
      <c r="E5770" s="9" t="s">
        <v>13</v>
      </c>
      <c r="F5770" s="9"/>
      <c r="G5770" s="9"/>
      <c r="H5770" s="9"/>
      <c r="I5770" s="9" t="s">
        <v>13</v>
      </c>
      <c r="J5770" s="259"/>
    </row>
    <row r="5771">
      <c r="A5771" s="259"/>
      <c r="B5771" s="26"/>
      <c r="C5771" s="91" t="s">
        <v>11</v>
      </c>
      <c r="D5771" s="9" t="s">
        <v>11</v>
      </c>
      <c r="E5771" s="9" t="s">
        <v>13</v>
      </c>
      <c r="F5771" s="9"/>
      <c r="G5771" s="9"/>
      <c r="H5771" s="9"/>
      <c r="I5771" s="9" t="s">
        <v>13</v>
      </c>
      <c r="J5771" s="259"/>
    </row>
    <row r="5772">
      <c r="A5772" s="259"/>
      <c r="B5772" s="26"/>
      <c r="C5772" s="91" t="s">
        <v>11</v>
      </c>
      <c r="D5772" s="9" t="s">
        <v>11</v>
      </c>
      <c r="E5772" s="9" t="s">
        <v>13</v>
      </c>
      <c r="F5772" s="9"/>
      <c r="G5772" s="9"/>
      <c r="H5772" s="9"/>
      <c r="I5772" s="9" t="s">
        <v>13</v>
      </c>
      <c r="J5772" s="259"/>
    </row>
    <row r="5773">
      <c r="A5773" s="259"/>
      <c r="B5773" s="26"/>
      <c r="C5773" s="91" t="s">
        <v>11</v>
      </c>
      <c r="D5773" s="9" t="s">
        <v>11</v>
      </c>
      <c r="E5773" s="9" t="s">
        <v>13</v>
      </c>
      <c r="F5773" s="9"/>
      <c r="G5773" s="9"/>
      <c r="H5773" s="9"/>
      <c r="I5773" s="9" t="s">
        <v>13</v>
      </c>
      <c r="J5773" s="259"/>
    </row>
    <row r="5774">
      <c r="A5774" s="259"/>
      <c r="B5774" s="26"/>
      <c r="C5774" s="91" t="s">
        <v>11</v>
      </c>
      <c r="D5774" s="9" t="s">
        <v>11</v>
      </c>
      <c r="E5774" s="9" t="s">
        <v>13</v>
      </c>
      <c r="F5774" s="9"/>
      <c r="G5774" s="9"/>
      <c r="H5774" s="9"/>
      <c r="I5774" s="9" t="s">
        <v>13</v>
      </c>
      <c r="J5774" s="259"/>
    </row>
    <row r="5775">
      <c r="A5775" s="259"/>
      <c r="B5775" s="26"/>
      <c r="C5775" s="91" t="s">
        <v>11</v>
      </c>
      <c r="D5775" s="9" t="s">
        <v>11</v>
      </c>
      <c r="E5775" s="9" t="s">
        <v>13</v>
      </c>
      <c r="F5775" s="9"/>
      <c r="G5775" s="9"/>
      <c r="H5775" s="9"/>
      <c r="I5775" s="9" t="s">
        <v>13</v>
      </c>
      <c r="J5775" s="259"/>
    </row>
    <row r="5776">
      <c r="A5776" s="259"/>
      <c r="B5776" s="26"/>
      <c r="C5776" s="91" t="s">
        <v>11</v>
      </c>
      <c r="D5776" s="9" t="s">
        <v>11</v>
      </c>
      <c r="E5776" s="9" t="s">
        <v>13</v>
      </c>
      <c r="F5776" s="9"/>
      <c r="G5776" s="9"/>
      <c r="H5776" s="9"/>
      <c r="I5776" s="9" t="s">
        <v>13</v>
      </c>
      <c r="J5776" s="259"/>
    </row>
    <row r="5777">
      <c r="A5777" s="259"/>
      <c r="B5777" s="26"/>
      <c r="C5777" s="91" t="s">
        <v>11</v>
      </c>
      <c r="D5777" s="9" t="s">
        <v>11</v>
      </c>
      <c r="E5777" s="9" t="s">
        <v>13</v>
      </c>
      <c r="F5777" s="9"/>
      <c r="G5777" s="9"/>
      <c r="H5777" s="9"/>
      <c r="I5777" s="9" t="s">
        <v>13</v>
      </c>
      <c r="J5777" s="259"/>
    </row>
    <row r="5778">
      <c r="A5778" s="259"/>
      <c r="B5778" s="26"/>
      <c r="C5778" s="91" t="s">
        <v>11</v>
      </c>
      <c r="D5778" s="9" t="s">
        <v>11</v>
      </c>
      <c r="E5778" s="9" t="s">
        <v>13</v>
      </c>
      <c r="F5778" s="9"/>
      <c r="G5778" s="9"/>
      <c r="H5778" s="9"/>
      <c r="I5778" s="9" t="s">
        <v>13</v>
      </c>
      <c r="J5778" s="259"/>
    </row>
    <row r="5779">
      <c r="A5779" s="259"/>
      <c r="B5779" s="26"/>
      <c r="C5779" s="91" t="s">
        <v>11</v>
      </c>
      <c r="D5779" s="9" t="s">
        <v>11</v>
      </c>
      <c r="E5779" s="9" t="s">
        <v>13</v>
      </c>
      <c r="F5779" s="9"/>
      <c r="G5779" s="9"/>
      <c r="H5779" s="9"/>
      <c r="I5779" s="9" t="s">
        <v>13</v>
      </c>
      <c r="J5779" s="259"/>
    </row>
    <row r="5780">
      <c r="A5780" s="259"/>
      <c r="B5780" s="26"/>
      <c r="C5780" s="91" t="s">
        <v>11</v>
      </c>
      <c r="D5780" s="9" t="s">
        <v>11</v>
      </c>
      <c r="E5780" s="9" t="s">
        <v>13</v>
      </c>
      <c r="F5780" s="9"/>
      <c r="G5780" s="9"/>
      <c r="H5780" s="9"/>
      <c r="I5780" s="9" t="s">
        <v>13</v>
      </c>
      <c r="J5780" s="259"/>
    </row>
    <row r="5781">
      <c r="A5781" s="259"/>
      <c r="B5781" s="26"/>
      <c r="C5781" s="91" t="s">
        <v>11</v>
      </c>
      <c r="D5781" s="9" t="s">
        <v>11</v>
      </c>
      <c r="E5781" s="9" t="s">
        <v>13</v>
      </c>
      <c r="F5781" s="9"/>
      <c r="G5781" s="9"/>
      <c r="H5781" s="9"/>
      <c r="I5781" s="9" t="s">
        <v>13</v>
      </c>
      <c r="J5781" s="259"/>
    </row>
    <row r="5782">
      <c r="A5782" s="259"/>
      <c r="B5782" s="26"/>
      <c r="C5782" s="91" t="s">
        <v>11</v>
      </c>
      <c r="D5782" s="9" t="s">
        <v>11</v>
      </c>
      <c r="E5782" s="9" t="s">
        <v>13</v>
      </c>
      <c r="F5782" s="9"/>
      <c r="G5782" s="9"/>
      <c r="H5782" s="9"/>
      <c r="I5782" s="9" t="s">
        <v>13</v>
      </c>
      <c r="J5782" s="259"/>
    </row>
    <row r="5783">
      <c r="A5783" s="259"/>
      <c r="B5783" s="26"/>
      <c r="C5783" s="91" t="s">
        <v>11</v>
      </c>
      <c r="D5783" s="9" t="s">
        <v>11</v>
      </c>
      <c r="E5783" s="9" t="s">
        <v>13</v>
      </c>
      <c r="F5783" s="9"/>
      <c r="G5783" s="9"/>
      <c r="H5783" s="9"/>
      <c r="I5783" s="9" t="s">
        <v>13</v>
      </c>
      <c r="J5783" s="259"/>
    </row>
    <row r="5784">
      <c r="A5784" s="259"/>
      <c r="B5784" s="26"/>
      <c r="C5784" s="91" t="s">
        <v>11</v>
      </c>
      <c r="D5784" s="9" t="s">
        <v>11</v>
      </c>
      <c r="E5784" s="9" t="s">
        <v>13</v>
      </c>
      <c r="F5784" s="9"/>
      <c r="G5784" s="9"/>
      <c r="H5784" s="9"/>
      <c r="I5784" s="9" t="s">
        <v>13</v>
      </c>
      <c r="J5784" s="259"/>
    </row>
    <row r="5785">
      <c r="A5785" s="259"/>
      <c r="B5785" s="26"/>
      <c r="C5785" s="91" t="s">
        <v>11</v>
      </c>
      <c r="D5785" s="9" t="s">
        <v>11</v>
      </c>
      <c r="E5785" s="9" t="s">
        <v>13</v>
      </c>
      <c r="F5785" s="9"/>
      <c r="G5785" s="9"/>
      <c r="H5785" s="9"/>
      <c r="I5785" s="9" t="s">
        <v>13</v>
      </c>
      <c r="J5785" s="259"/>
    </row>
    <row r="5786">
      <c r="A5786" s="259"/>
      <c r="B5786" s="26"/>
      <c r="C5786" s="91" t="s">
        <v>11</v>
      </c>
      <c r="D5786" s="9" t="s">
        <v>11</v>
      </c>
      <c r="E5786" s="9" t="s">
        <v>13</v>
      </c>
      <c r="F5786" s="9"/>
      <c r="G5786" s="9"/>
      <c r="H5786" s="9"/>
      <c r="I5786" s="9" t="s">
        <v>13</v>
      </c>
      <c r="J5786" s="259"/>
    </row>
    <row r="5787">
      <c r="A5787" s="259"/>
      <c r="B5787" s="26"/>
      <c r="C5787" s="91" t="s">
        <v>11</v>
      </c>
      <c r="D5787" s="9" t="s">
        <v>11</v>
      </c>
      <c r="E5787" s="9" t="s">
        <v>13</v>
      </c>
      <c r="F5787" s="9"/>
      <c r="G5787" s="9"/>
      <c r="H5787" s="9"/>
      <c r="I5787" s="9" t="s">
        <v>13</v>
      </c>
      <c r="J5787" s="259"/>
    </row>
    <row r="5788">
      <c r="A5788" s="259"/>
      <c r="B5788" s="26"/>
      <c r="C5788" s="91" t="s">
        <v>11</v>
      </c>
      <c r="D5788" s="9" t="s">
        <v>11</v>
      </c>
      <c r="E5788" s="9" t="s">
        <v>13</v>
      </c>
      <c r="F5788" s="9"/>
      <c r="G5788" s="9"/>
      <c r="H5788" s="9"/>
      <c r="I5788" s="9" t="s">
        <v>13</v>
      </c>
      <c r="J5788" s="259"/>
    </row>
    <row r="5789">
      <c r="A5789" s="259"/>
      <c r="B5789" s="26"/>
      <c r="C5789" s="91" t="s">
        <v>11</v>
      </c>
      <c r="D5789" s="9" t="s">
        <v>11</v>
      </c>
      <c r="E5789" s="9" t="s">
        <v>13</v>
      </c>
      <c r="F5789" s="9"/>
      <c r="G5789" s="9"/>
      <c r="H5789" s="9"/>
      <c r="I5789" s="9" t="s">
        <v>13</v>
      </c>
      <c r="J5789" s="259"/>
    </row>
    <row r="5790">
      <c r="A5790" s="259"/>
      <c r="B5790" s="26"/>
      <c r="C5790" s="91" t="s">
        <v>11</v>
      </c>
      <c r="D5790" s="9" t="s">
        <v>11</v>
      </c>
      <c r="E5790" s="9" t="s">
        <v>13</v>
      </c>
      <c r="F5790" s="9"/>
      <c r="G5790" s="9"/>
      <c r="H5790" s="9"/>
      <c r="I5790" s="9" t="s">
        <v>13</v>
      </c>
      <c r="J5790" s="259"/>
    </row>
    <row r="5791">
      <c r="A5791" s="259"/>
      <c r="B5791" s="26"/>
      <c r="C5791" s="91" t="s">
        <v>11</v>
      </c>
      <c r="D5791" s="9" t="s">
        <v>11</v>
      </c>
      <c r="E5791" s="9" t="s">
        <v>13</v>
      </c>
      <c r="F5791" s="9"/>
      <c r="G5791" s="9"/>
      <c r="H5791" s="9"/>
      <c r="I5791" s="9" t="s">
        <v>13</v>
      </c>
      <c r="J5791" s="259"/>
    </row>
    <row r="5792">
      <c r="A5792" s="259"/>
      <c r="B5792" s="26"/>
      <c r="C5792" s="91" t="s">
        <v>11</v>
      </c>
      <c r="D5792" s="9" t="s">
        <v>11</v>
      </c>
      <c r="E5792" s="9" t="s">
        <v>13</v>
      </c>
      <c r="F5792" s="9"/>
      <c r="G5792" s="9"/>
      <c r="H5792" s="9"/>
      <c r="I5792" s="9" t="s">
        <v>13</v>
      </c>
      <c r="J5792" s="259"/>
    </row>
    <row r="5793">
      <c r="A5793" s="259"/>
      <c r="B5793" s="26"/>
      <c r="C5793" s="91" t="s">
        <v>11</v>
      </c>
      <c r="D5793" s="9" t="s">
        <v>11</v>
      </c>
      <c r="E5793" s="9" t="s">
        <v>13</v>
      </c>
      <c r="F5793" s="9"/>
      <c r="G5793" s="9"/>
      <c r="H5793" s="9"/>
      <c r="I5793" s="9" t="s">
        <v>13</v>
      </c>
      <c r="J5793" s="259"/>
    </row>
    <row r="5794">
      <c r="A5794" s="259"/>
      <c r="B5794" s="26"/>
      <c r="C5794" s="91" t="s">
        <v>11</v>
      </c>
      <c r="D5794" s="9" t="s">
        <v>11</v>
      </c>
      <c r="E5794" s="9" t="s">
        <v>13</v>
      </c>
      <c r="F5794" s="9"/>
      <c r="G5794" s="9"/>
      <c r="H5794" s="9"/>
      <c r="I5794" s="9" t="s">
        <v>13</v>
      </c>
      <c r="J5794" s="259"/>
    </row>
    <row r="5795">
      <c r="A5795" s="259"/>
      <c r="B5795" s="26"/>
      <c r="C5795" s="91" t="s">
        <v>11</v>
      </c>
      <c r="D5795" s="9" t="s">
        <v>11</v>
      </c>
      <c r="E5795" s="9" t="s">
        <v>13</v>
      </c>
      <c r="F5795" s="9"/>
      <c r="G5795" s="9"/>
      <c r="H5795" s="9"/>
      <c r="I5795" s="9" t="s">
        <v>13</v>
      </c>
      <c r="J5795" s="259"/>
    </row>
    <row r="5796">
      <c r="A5796" s="259"/>
      <c r="B5796" s="26"/>
      <c r="C5796" s="91" t="s">
        <v>11</v>
      </c>
      <c r="D5796" s="9" t="s">
        <v>11</v>
      </c>
      <c r="E5796" s="9" t="s">
        <v>13</v>
      </c>
      <c r="F5796" s="9"/>
      <c r="G5796" s="9"/>
      <c r="H5796" s="9"/>
      <c r="I5796" s="9" t="s">
        <v>13</v>
      </c>
      <c r="J5796" s="259"/>
    </row>
    <row r="5797">
      <c r="A5797" s="259"/>
      <c r="B5797" s="26"/>
      <c r="C5797" s="91" t="s">
        <v>11</v>
      </c>
      <c r="D5797" s="9" t="s">
        <v>11</v>
      </c>
      <c r="E5797" s="9" t="s">
        <v>13</v>
      </c>
      <c r="F5797" s="9"/>
      <c r="G5797" s="9"/>
      <c r="H5797" s="9"/>
      <c r="I5797" s="9" t="s">
        <v>13</v>
      </c>
      <c r="J5797" s="259"/>
    </row>
    <row r="5798">
      <c r="A5798" s="259"/>
      <c r="B5798" s="26"/>
      <c r="C5798" s="91" t="s">
        <v>11</v>
      </c>
      <c r="D5798" s="9" t="s">
        <v>11</v>
      </c>
      <c r="E5798" s="9" t="s">
        <v>13</v>
      </c>
      <c r="F5798" s="9"/>
      <c r="G5798" s="9"/>
      <c r="H5798" s="9"/>
      <c r="I5798" s="9" t="s">
        <v>13</v>
      </c>
      <c r="J5798" s="259"/>
    </row>
    <row r="5799">
      <c r="A5799" s="259"/>
      <c r="B5799" s="26"/>
      <c r="C5799" s="91" t="s">
        <v>11</v>
      </c>
      <c r="D5799" s="9" t="s">
        <v>11</v>
      </c>
      <c r="E5799" s="9" t="s">
        <v>13</v>
      </c>
      <c r="F5799" s="9"/>
      <c r="G5799" s="9"/>
      <c r="H5799" s="9"/>
      <c r="I5799" s="9" t="s">
        <v>13</v>
      </c>
      <c r="J5799" s="259"/>
    </row>
    <row r="5800">
      <c r="A5800" s="259"/>
      <c r="B5800" s="26"/>
      <c r="C5800" s="91" t="s">
        <v>11</v>
      </c>
      <c r="D5800" s="9" t="s">
        <v>11</v>
      </c>
      <c r="E5800" s="9" t="s">
        <v>13</v>
      </c>
      <c r="F5800" s="9"/>
      <c r="G5800" s="9"/>
      <c r="H5800" s="9"/>
      <c r="I5800" s="9" t="s">
        <v>13</v>
      </c>
      <c r="J5800" s="259"/>
    </row>
    <row r="5801">
      <c r="A5801" s="259"/>
      <c r="B5801" s="26"/>
      <c r="C5801" s="91" t="s">
        <v>11</v>
      </c>
      <c r="D5801" s="9" t="s">
        <v>11</v>
      </c>
      <c r="E5801" s="9" t="s">
        <v>13</v>
      </c>
      <c r="F5801" s="9"/>
      <c r="G5801" s="9"/>
      <c r="H5801" s="9"/>
      <c r="I5801" s="9" t="s">
        <v>13</v>
      </c>
      <c r="J5801" s="259"/>
    </row>
    <row r="5802">
      <c r="A5802" s="259"/>
      <c r="B5802" s="26"/>
      <c r="C5802" s="91" t="s">
        <v>11</v>
      </c>
      <c r="D5802" s="9" t="s">
        <v>11</v>
      </c>
      <c r="E5802" s="9" t="s">
        <v>13</v>
      </c>
      <c r="F5802" s="9"/>
      <c r="G5802" s="9"/>
      <c r="H5802" s="9"/>
      <c r="I5802" s="9" t="s">
        <v>13</v>
      </c>
      <c r="J5802" s="259"/>
    </row>
    <row r="5803">
      <c r="A5803" s="259"/>
      <c r="B5803" s="26"/>
      <c r="C5803" s="91" t="s">
        <v>11</v>
      </c>
      <c r="D5803" s="9" t="s">
        <v>11</v>
      </c>
      <c r="E5803" s="9" t="s">
        <v>13</v>
      </c>
      <c r="F5803" s="9"/>
      <c r="G5803" s="9"/>
      <c r="H5803" s="9"/>
      <c r="I5803" s="9" t="s">
        <v>13</v>
      </c>
      <c r="J5803" s="259"/>
    </row>
    <row r="5804">
      <c r="A5804" s="259"/>
      <c r="B5804" s="26"/>
      <c r="C5804" s="91" t="s">
        <v>11</v>
      </c>
      <c r="D5804" s="9" t="s">
        <v>11</v>
      </c>
      <c r="E5804" s="9" t="s">
        <v>13</v>
      </c>
      <c r="F5804" s="9"/>
      <c r="G5804" s="9"/>
      <c r="H5804" s="9"/>
      <c r="I5804" s="9" t="s">
        <v>13</v>
      </c>
      <c r="J5804" s="259"/>
    </row>
    <row r="5805">
      <c r="A5805" s="259"/>
      <c r="B5805" s="26"/>
      <c r="C5805" s="91" t="s">
        <v>11</v>
      </c>
      <c r="D5805" s="9" t="s">
        <v>11</v>
      </c>
      <c r="E5805" s="9" t="s">
        <v>13</v>
      </c>
      <c r="F5805" s="9"/>
      <c r="G5805" s="9"/>
      <c r="H5805" s="9"/>
      <c r="I5805" s="9" t="s">
        <v>13</v>
      </c>
      <c r="J5805" s="259"/>
    </row>
    <row r="5806">
      <c r="A5806" s="259"/>
      <c r="B5806" s="26"/>
      <c r="C5806" s="91" t="s">
        <v>11</v>
      </c>
      <c r="D5806" s="9" t="s">
        <v>11</v>
      </c>
      <c r="E5806" s="9" t="s">
        <v>13</v>
      </c>
      <c r="F5806" s="9"/>
      <c r="G5806" s="9"/>
      <c r="H5806" s="9"/>
      <c r="I5806" s="9" t="s">
        <v>13</v>
      </c>
      <c r="J5806" s="259"/>
    </row>
    <row r="5807">
      <c r="A5807" s="259"/>
      <c r="B5807" s="26"/>
      <c r="C5807" s="91" t="s">
        <v>11</v>
      </c>
      <c r="D5807" s="9" t="s">
        <v>11</v>
      </c>
      <c r="E5807" s="9" t="s">
        <v>13</v>
      </c>
      <c r="F5807" s="9"/>
      <c r="G5807" s="9"/>
      <c r="H5807" s="9"/>
      <c r="I5807" s="9" t="s">
        <v>13</v>
      </c>
      <c r="J5807" s="259"/>
    </row>
    <row r="5808">
      <c r="A5808" s="259"/>
      <c r="B5808" s="26"/>
      <c r="C5808" s="91" t="s">
        <v>11</v>
      </c>
      <c r="D5808" s="9" t="s">
        <v>11</v>
      </c>
      <c r="E5808" s="9" t="s">
        <v>13</v>
      </c>
      <c r="F5808" s="9"/>
      <c r="G5808" s="9"/>
      <c r="H5808" s="9"/>
      <c r="I5808" s="9" t="s">
        <v>13</v>
      </c>
      <c r="J5808" s="259"/>
    </row>
    <row r="5809">
      <c r="A5809" s="259"/>
      <c r="B5809" s="26"/>
      <c r="C5809" s="91" t="s">
        <v>11</v>
      </c>
      <c r="D5809" s="9" t="s">
        <v>11</v>
      </c>
      <c r="E5809" s="9" t="s">
        <v>13</v>
      </c>
      <c r="F5809" s="9"/>
      <c r="G5809" s="9"/>
      <c r="H5809" s="9"/>
      <c r="I5809" s="9" t="s">
        <v>13</v>
      </c>
      <c r="J5809" s="259"/>
    </row>
    <row r="5810">
      <c r="A5810" s="259"/>
      <c r="B5810" s="26"/>
      <c r="C5810" s="91" t="s">
        <v>11</v>
      </c>
      <c r="D5810" s="9" t="s">
        <v>11</v>
      </c>
      <c r="E5810" s="9" t="s">
        <v>13</v>
      </c>
      <c r="F5810" s="9"/>
      <c r="G5810" s="9"/>
      <c r="H5810" s="9"/>
      <c r="I5810" s="9" t="s">
        <v>13</v>
      </c>
      <c r="J5810" s="259"/>
    </row>
    <row r="5811">
      <c r="A5811" s="259"/>
      <c r="B5811" s="26"/>
      <c r="C5811" s="91" t="s">
        <v>11</v>
      </c>
      <c r="D5811" s="9" t="s">
        <v>11</v>
      </c>
      <c r="E5811" s="9" t="s">
        <v>13</v>
      </c>
      <c r="F5811" s="9"/>
      <c r="G5811" s="9"/>
      <c r="H5811" s="9"/>
      <c r="I5811" s="9" t="s">
        <v>13</v>
      </c>
      <c r="J5811" s="259"/>
    </row>
    <row r="5812">
      <c r="A5812" s="259"/>
      <c r="B5812" s="26"/>
      <c r="C5812" s="91" t="s">
        <v>11</v>
      </c>
      <c r="D5812" s="9" t="s">
        <v>11</v>
      </c>
      <c r="E5812" s="9" t="s">
        <v>13</v>
      </c>
      <c r="F5812" s="9"/>
      <c r="G5812" s="9"/>
      <c r="H5812" s="9"/>
      <c r="I5812" s="9" t="s">
        <v>13</v>
      </c>
      <c r="J5812" s="259"/>
    </row>
    <row r="5813">
      <c r="A5813" s="259"/>
      <c r="B5813" s="26"/>
      <c r="C5813" s="91" t="s">
        <v>11</v>
      </c>
      <c r="D5813" s="9" t="s">
        <v>11</v>
      </c>
      <c r="E5813" s="9" t="s">
        <v>13</v>
      </c>
      <c r="F5813" s="9"/>
      <c r="G5813" s="9"/>
      <c r="H5813" s="9"/>
      <c r="I5813" s="9" t="s">
        <v>13</v>
      </c>
      <c r="J5813" s="259"/>
    </row>
    <row r="5814">
      <c r="A5814" s="259"/>
      <c r="B5814" s="26"/>
      <c r="C5814" s="91" t="s">
        <v>11</v>
      </c>
      <c r="D5814" s="9" t="s">
        <v>11</v>
      </c>
      <c r="E5814" s="9" t="s">
        <v>13</v>
      </c>
      <c r="F5814" s="9"/>
      <c r="G5814" s="9"/>
      <c r="H5814" s="9"/>
      <c r="I5814" s="9" t="s">
        <v>13</v>
      </c>
      <c r="J5814" s="259"/>
    </row>
    <row r="5815">
      <c r="A5815" s="259"/>
      <c r="B5815" s="26"/>
      <c r="C5815" s="91" t="s">
        <v>11</v>
      </c>
      <c r="D5815" s="9" t="s">
        <v>11</v>
      </c>
      <c r="E5815" s="9" t="s">
        <v>13</v>
      </c>
      <c r="F5815" s="9"/>
      <c r="G5815" s="9"/>
      <c r="H5815" s="9"/>
      <c r="I5815" s="9" t="s">
        <v>13</v>
      </c>
      <c r="J5815" s="259"/>
    </row>
    <row r="5816">
      <c r="A5816" s="259"/>
      <c r="B5816" s="26"/>
      <c r="C5816" s="91" t="s">
        <v>11</v>
      </c>
      <c r="D5816" s="9" t="s">
        <v>11</v>
      </c>
      <c r="E5816" s="9" t="s">
        <v>13</v>
      </c>
      <c r="F5816" s="9"/>
      <c r="G5816" s="9"/>
      <c r="H5816" s="9"/>
      <c r="I5816" s="9" t="s">
        <v>13</v>
      </c>
      <c r="J5816" s="259"/>
    </row>
    <row r="5817">
      <c r="A5817" s="259"/>
      <c r="B5817" s="26"/>
      <c r="C5817" s="91" t="s">
        <v>11</v>
      </c>
      <c r="D5817" s="9" t="s">
        <v>11</v>
      </c>
      <c r="E5817" s="9" t="s">
        <v>13</v>
      </c>
      <c r="F5817" s="9"/>
      <c r="G5817" s="9"/>
      <c r="H5817" s="9"/>
      <c r="I5817" s="9" t="s">
        <v>13</v>
      </c>
      <c r="J5817" s="259"/>
    </row>
    <row r="5818">
      <c r="A5818" s="259"/>
      <c r="B5818" s="26"/>
      <c r="C5818" s="91" t="s">
        <v>11</v>
      </c>
      <c r="D5818" s="9" t="s">
        <v>11</v>
      </c>
      <c r="E5818" s="9" t="s">
        <v>13</v>
      </c>
      <c r="F5818" s="9"/>
      <c r="G5818" s="9"/>
      <c r="H5818" s="9"/>
      <c r="I5818" s="9" t="s">
        <v>13</v>
      </c>
      <c r="J5818" s="259"/>
    </row>
    <row r="5819">
      <c r="A5819" s="259"/>
      <c r="B5819" s="26"/>
      <c r="C5819" s="91" t="s">
        <v>11</v>
      </c>
      <c r="D5819" s="9" t="s">
        <v>11</v>
      </c>
      <c r="E5819" s="9" t="s">
        <v>13</v>
      </c>
      <c r="F5819" s="9"/>
      <c r="G5819" s="9"/>
      <c r="H5819" s="9"/>
      <c r="I5819" s="9" t="s">
        <v>13</v>
      </c>
      <c r="J5819" s="259"/>
    </row>
    <row r="5820">
      <c r="A5820" s="259"/>
      <c r="B5820" s="26"/>
      <c r="C5820" s="91" t="s">
        <v>11</v>
      </c>
      <c r="D5820" s="9" t="s">
        <v>11</v>
      </c>
      <c r="E5820" s="9" t="s">
        <v>13</v>
      </c>
      <c r="F5820" s="9"/>
      <c r="G5820" s="9"/>
      <c r="H5820" s="9"/>
      <c r="I5820" s="9" t="s">
        <v>13</v>
      </c>
      <c r="J5820" s="259"/>
    </row>
    <row r="5821">
      <c r="A5821" s="259"/>
      <c r="B5821" s="26"/>
      <c r="C5821" s="91" t="s">
        <v>11</v>
      </c>
      <c r="D5821" s="9" t="s">
        <v>11</v>
      </c>
      <c r="E5821" s="9" t="s">
        <v>13</v>
      </c>
      <c r="F5821" s="9"/>
      <c r="G5821" s="9"/>
      <c r="H5821" s="9"/>
      <c r="I5821" s="9" t="s">
        <v>13</v>
      </c>
      <c r="J5821" s="259"/>
    </row>
    <row r="5822">
      <c r="A5822" s="259"/>
      <c r="B5822" s="26"/>
      <c r="C5822" s="91" t="s">
        <v>11</v>
      </c>
      <c r="D5822" s="9" t="s">
        <v>11</v>
      </c>
      <c r="E5822" s="9" t="s">
        <v>13</v>
      </c>
      <c r="F5822" s="9"/>
      <c r="G5822" s="9"/>
      <c r="H5822" s="9"/>
      <c r="I5822" s="9" t="s">
        <v>13</v>
      </c>
      <c r="J5822" s="259"/>
    </row>
    <row r="5823">
      <c r="A5823" s="259"/>
      <c r="B5823" s="26"/>
      <c r="C5823" s="91" t="s">
        <v>11</v>
      </c>
      <c r="D5823" s="9" t="s">
        <v>11</v>
      </c>
      <c r="E5823" s="9" t="s">
        <v>13</v>
      </c>
      <c r="F5823" s="9"/>
      <c r="G5823" s="9"/>
      <c r="H5823" s="9"/>
      <c r="I5823" s="9" t="s">
        <v>13</v>
      </c>
      <c r="J5823" s="259"/>
    </row>
    <row r="5824">
      <c r="A5824" s="259"/>
      <c r="B5824" s="26"/>
      <c r="C5824" s="91" t="s">
        <v>11</v>
      </c>
      <c r="D5824" s="9" t="s">
        <v>11</v>
      </c>
      <c r="E5824" s="9" t="s">
        <v>13</v>
      </c>
      <c r="F5824" s="9"/>
      <c r="G5824" s="9"/>
      <c r="H5824" s="9"/>
      <c r="I5824" s="9" t="s">
        <v>13</v>
      </c>
      <c r="J5824" s="259"/>
    </row>
    <row r="5825">
      <c r="A5825" s="259"/>
      <c r="B5825" s="26"/>
      <c r="C5825" s="91" t="s">
        <v>11</v>
      </c>
      <c r="D5825" s="9" t="s">
        <v>11</v>
      </c>
      <c r="E5825" s="9" t="s">
        <v>13</v>
      </c>
      <c r="F5825" s="9"/>
      <c r="G5825" s="9"/>
      <c r="H5825" s="9"/>
      <c r="I5825" s="9" t="s">
        <v>13</v>
      </c>
      <c r="J5825" s="259"/>
    </row>
    <row r="5826">
      <c r="A5826" s="259"/>
      <c r="B5826" s="26"/>
      <c r="C5826" s="91" t="s">
        <v>11</v>
      </c>
      <c r="D5826" s="9" t="s">
        <v>11</v>
      </c>
      <c r="E5826" s="9" t="s">
        <v>13</v>
      </c>
      <c r="F5826" s="9"/>
      <c r="G5826" s="9"/>
      <c r="H5826" s="9"/>
      <c r="I5826" s="9" t="s">
        <v>13</v>
      </c>
      <c r="J5826" s="259"/>
    </row>
    <row r="5827">
      <c r="A5827" s="259"/>
      <c r="B5827" s="26"/>
      <c r="C5827" s="91" t="s">
        <v>11</v>
      </c>
      <c r="D5827" s="9" t="s">
        <v>11</v>
      </c>
      <c r="E5827" s="9" t="s">
        <v>13</v>
      </c>
      <c r="F5827" s="9"/>
      <c r="G5827" s="9"/>
      <c r="H5827" s="9"/>
      <c r="I5827" s="9" t="s">
        <v>13</v>
      </c>
      <c r="J5827" s="259"/>
    </row>
    <row r="5828">
      <c r="A5828" s="259"/>
      <c r="B5828" s="26"/>
      <c r="C5828" s="91" t="s">
        <v>11</v>
      </c>
      <c r="D5828" s="9" t="s">
        <v>11</v>
      </c>
      <c r="E5828" s="9" t="s">
        <v>13</v>
      </c>
      <c r="F5828" s="9"/>
      <c r="G5828" s="9"/>
      <c r="H5828" s="9"/>
      <c r="I5828" s="9" t="s">
        <v>13</v>
      </c>
      <c r="J5828" s="259"/>
    </row>
    <row r="5829">
      <c r="A5829" s="259"/>
      <c r="B5829" s="26"/>
      <c r="C5829" s="91" t="s">
        <v>11</v>
      </c>
      <c r="D5829" s="9" t="s">
        <v>11</v>
      </c>
      <c r="E5829" s="9" t="s">
        <v>13</v>
      </c>
      <c r="F5829" s="9"/>
      <c r="G5829" s="9"/>
      <c r="H5829" s="9"/>
      <c r="I5829" s="9" t="s">
        <v>13</v>
      </c>
      <c r="J5829" s="259"/>
    </row>
    <row r="5830">
      <c r="A5830" s="259"/>
      <c r="B5830" s="26"/>
      <c r="C5830" s="91" t="s">
        <v>11</v>
      </c>
      <c r="D5830" s="9" t="s">
        <v>11</v>
      </c>
      <c r="E5830" s="9" t="s">
        <v>13</v>
      </c>
      <c r="F5830" s="9"/>
      <c r="G5830" s="9"/>
      <c r="H5830" s="9"/>
      <c r="I5830" s="9" t="s">
        <v>13</v>
      </c>
      <c r="J5830" s="259"/>
    </row>
    <row r="5831">
      <c r="A5831" s="259"/>
      <c r="B5831" s="26"/>
      <c r="C5831" s="91" t="s">
        <v>11</v>
      </c>
      <c r="D5831" s="9" t="s">
        <v>11</v>
      </c>
      <c r="E5831" s="9" t="s">
        <v>13</v>
      </c>
      <c r="F5831" s="9"/>
      <c r="G5831" s="9"/>
      <c r="H5831" s="9"/>
      <c r="I5831" s="9" t="s">
        <v>13</v>
      </c>
      <c r="J5831" s="259"/>
    </row>
    <row r="5832">
      <c r="A5832" s="259"/>
      <c r="B5832" s="26"/>
      <c r="C5832" s="91" t="s">
        <v>11</v>
      </c>
      <c r="D5832" s="9" t="s">
        <v>11</v>
      </c>
      <c r="E5832" s="9" t="s">
        <v>13</v>
      </c>
      <c r="F5832" s="9"/>
      <c r="G5832" s="9"/>
      <c r="H5832" s="9"/>
      <c r="I5832" s="9" t="s">
        <v>13</v>
      </c>
      <c r="J5832" s="259"/>
    </row>
    <row r="5833">
      <c r="A5833" s="259"/>
      <c r="B5833" s="26"/>
      <c r="C5833" s="91" t="s">
        <v>11</v>
      </c>
      <c r="D5833" s="9" t="s">
        <v>11</v>
      </c>
      <c r="E5833" s="9" t="s">
        <v>13</v>
      </c>
      <c r="F5833" s="9"/>
      <c r="G5833" s="9"/>
      <c r="H5833" s="9"/>
      <c r="I5833" s="9" t="s">
        <v>13</v>
      </c>
      <c r="J5833" s="259"/>
    </row>
    <row r="5834">
      <c r="A5834" s="259"/>
      <c r="B5834" s="26"/>
      <c r="C5834" s="91" t="s">
        <v>11</v>
      </c>
      <c r="D5834" s="9" t="s">
        <v>11</v>
      </c>
      <c r="E5834" s="9" t="s">
        <v>13</v>
      </c>
      <c r="F5834" s="9"/>
      <c r="G5834" s="9"/>
      <c r="H5834" s="9"/>
      <c r="I5834" s="9" t="s">
        <v>13</v>
      </c>
      <c r="J5834" s="259"/>
    </row>
    <row r="5835">
      <c r="A5835" s="259"/>
      <c r="B5835" s="26"/>
      <c r="C5835" s="91" t="s">
        <v>11</v>
      </c>
      <c r="D5835" s="9" t="s">
        <v>11</v>
      </c>
      <c r="E5835" s="9" t="s">
        <v>13</v>
      </c>
      <c r="F5835" s="9"/>
      <c r="G5835" s="9"/>
      <c r="H5835" s="9"/>
      <c r="I5835" s="9" t="s">
        <v>13</v>
      </c>
      <c r="J5835" s="259"/>
    </row>
    <row r="5836">
      <c r="A5836" s="259"/>
      <c r="B5836" s="26"/>
      <c r="C5836" s="91" t="s">
        <v>11</v>
      </c>
      <c r="D5836" s="9" t="s">
        <v>11</v>
      </c>
      <c r="E5836" s="9" t="s">
        <v>13</v>
      </c>
      <c r="F5836" s="9"/>
      <c r="G5836" s="9"/>
      <c r="H5836" s="9"/>
      <c r="I5836" s="9" t="s">
        <v>13</v>
      </c>
      <c r="J5836" s="259"/>
    </row>
    <row r="5837">
      <c r="A5837" s="259"/>
      <c r="B5837" s="26"/>
      <c r="C5837" s="91" t="s">
        <v>11</v>
      </c>
      <c r="D5837" s="9" t="s">
        <v>11</v>
      </c>
      <c r="E5837" s="9" t="s">
        <v>13</v>
      </c>
      <c r="F5837" s="9"/>
      <c r="G5837" s="9"/>
      <c r="H5837" s="9"/>
      <c r="I5837" s="9" t="s">
        <v>13</v>
      </c>
      <c r="J5837" s="259"/>
    </row>
    <row r="5838">
      <c r="A5838" s="259"/>
      <c r="B5838" s="26"/>
      <c r="C5838" s="91" t="s">
        <v>11</v>
      </c>
      <c r="D5838" s="9" t="s">
        <v>11</v>
      </c>
      <c r="E5838" s="9" t="s">
        <v>13</v>
      </c>
      <c r="F5838" s="9"/>
      <c r="G5838" s="9"/>
      <c r="H5838" s="9"/>
      <c r="I5838" s="9" t="s">
        <v>13</v>
      </c>
      <c r="J5838" s="259"/>
    </row>
    <row r="5839">
      <c r="A5839" s="259"/>
      <c r="B5839" s="26"/>
      <c r="C5839" s="91" t="s">
        <v>11</v>
      </c>
      <c r="D5839" s="9" t="s">
        <v>11</v>
      </c>
      <c r="E5839" s="9" t="s">
        <v>13</v>
      </c>
      <c r="F5839" s="9"/>
      <c r="G5839" s="9"/>
      <c r="H5839" s="9"/>
      <c r="I5839" s="9" t="s">
        <v>13</v>
      </c>
      <c r="J5839" s="259"/>
    </row>
    <row r="5840">
      <c r="A5840" s="259"/>
      <c r="B5840" s="26"/>
      <c r="C5840" s="91" t="s">
        <v>11</v>
      </c>
      <c r="D5840" s="9" t="s">
        <v>11</v>
      </c>
      <c r="E5840" s="9" t="s">
        <v>13</v>
      </c>
      <c r="F5840" s="9"/>
      <c r="G5840" s="9"/>
      <c r="H5840" s="9"/>
      <c r="I5840" s="9" t="s">
        <v>13</v>
      </c>
      <c r="J5840" s="259"/>
    </row>
    <row r="5841">
      <c r="A5841" s="259"/>
      <c r="B5841" s="26"/>
      <c r="C5841" s="91" t="s">
        <v>11</v>
      </c>
      <c r="D5841" s="9" t="s">
        <v>11</v>
      </c>
      <c r="E5841" s="9" t="s">
        <v>13</v>
      </c>
      <c r="F5841" s="9"/>
      <c r="G5841" s="9"/>
      <c r="H5841" s="9"/>
      <c r="I5841" s="9" t="s">
        <v>13</v>
      </c>
      <c r="J5841" s="259"/>
    </row>
    <row r="5842">
      <c r="A5842" s="259"/>
      <c r="B5842" s="26"/>
      <c r="C5842" s="91" t="s">
        <v>11</v>
      </c>
      <c r="D5842" s="9" t="s">
        <v>11</v>
      </c>
      <c r="E5842" s="9" t="s">
        <v>13</v>
      </c>
      <c r="F5842" s="9"/>
      <c r="G5842" s="9"/>
      <c r="H5842" s="9"/>
      <c r="I5842" s="9" t="s">
        <v>13</v>
      </c>
      <c r="J5842" s="259"/>
    </row>
    <row r="5843">
      <c r="A5843" s="259"/>
      <c r="B5843" s="26"/>
      <c r="C5843" s="91" t="s">
        <v>11</v>
      </c>
      <c r="D5843" s="9" t="s">
        <v>11</v>
      </c>
      <c r="E5843" s="9" t="s">
        <v>13</v>
      </c>
      <c r="F5843" s="9"/>
      <c r="G5843" s="9"/>
      <c r="H5843" s="9"/>
      <c r="I5843" s="9" t="s">
        <v>13</v>
      </c>
      <c r="J5843" s="259"/>
    </row>
    <row r="5844">
      <c r="A5844" s="259"/>
      <c r="B5844" s="26"/>
      <c r="C5844" s="91" t="s">
        <v>11</v>
      </c>
      <c r="D5844" s="9" t="s">
        <v>11</v>
      </c>
      <c r="E5844" s="9" t="s">
        <v>13</v>
      </c>
      <c r="F5844" s="9"/>
      <c r="G5844" s="9"/>
      <c r="H5844" s="9"/>
      <c r="I5844" s="9" t="s">
        <v>13</v>
      </c>
      <c r="J5844" s="259"/>
    </row>
    <row r="5845">
      <c r="A5845" s="259"/>
      <c r="B5845" s="26"/>
      <c r="C5845" s="91" t="s">
        <v>11</v>
      </c>
      <c r="D5845" s="9" t="s">
        <v>11</v>
      </c>
      <c r="E5845" s="9" t="s">
        <v>13</v>
      </c>
      <c r="F5845" s="9"/>
      <c r="G5845" s="9"/>
      <c r="H5845" s="9"/>
      <c r="I5845" s="9" t="s">
        <v>13</v>
      </c>
      <c r="J5845" s="259"/>
    </row>
    <row r="5846">
      <c r="A5846" s="259"/>
      <c r="B5846" s="26"/>
      <c r="C5846" s="91" t="s">
        <v>11</v>
      </c>
      <c r="D5846" s="9" t="s">
        <v>11</v>
      </c>
      <c r="E5846" s="9" t="s">
        <v>13</v>
      </c>
      <c r="F5846" s="9"/>
      <c r="G5846" s="9"/>
      <c r="H5846" s="9"/>
      <c r="I5846" s="9" t="s">
        <v>13</v>
      </c>
      <c r="J5846" s="259"/>
    </row>
    <row r="5847">
      <c r="A5847" s="259"/>
      <c r="B5847" s="26"/>
      <c r="C5847" s="91" t="s">
        <v>11</v>
      </c>
      <c r="D5847" s="9" t="s">
        <v>11</v>
      </c>
      <c r="E5847" s="9" t="s">
        <v>13</v>
      </c>
      <c r="F5847" s="9"/>
      <c r="G5847" s="9"/>
      <c r="H5847" s="9"/>
      <c r="I5847" s="9" t="s">
        <v>13</v>
      </c>
      <c r="J5847" s="259"/>
    </row>
    <row r="5848">
      <c r="A5848" s="259"/>
      <c r="B5848" s="26"/>
      <c r="C5848" s="91" t="s">
        <v>11</v>
      </c>
      <c r="D5848" s="9" t="s">
        <v>11</v>
      </c>
      <c r="E5848" s="9" t="s">
        <v>13</v>
      </c>
      <c r="F5848" s="9"/>
      <c r="G5848" s="9"/>
      <c r="H5848" s="9"/>
      <c r="I5848" s="9" t="s">
        <v>13</v>
      </c>
      <c r="J5848" s="259"/>
    </row>
    <row r="5849">
      <c r="A5849" s="259"/>
      <c r="B5849" s="26"/>
      <c r="C5849" s="91" t="s">
        <v>11</v>
      </c>
      <c r="D5849" s="9" t="s">
        <v>11</v>
      </c>
      <c r="E5849" s="9" t="s">
        <v>13</v>
      </c>
      <c r="F5849" s="9"/>
      <c r="G5849" s="9"/>
      <c r="H5849" s="9"/>
      <c r="I5849" s="9" t="s">
        <v>13</v>
      </c>
      <c r="J5849" s="259"/>
    </row>
    <row r="5850">
      <c r="A5850" s="259"/>
      <c r="B5850" s="26"/>
      <c r="C5850" s="91" t="s">
        <v>11</v>
      </c>
      <c r="D5850" s="9" t="s">
        <v>11</v>
      </c>
      <c r="E5850" s="9" t="s">
        <v>13</v>
      </c>
      <c r="F5850" s="9"/>
      <c r="G5850" s="9"/>
      <c r="H5850" s="9"/>
      <c r="I5850" s="9" t="s">
        <v>13</v>
      </c>
      <c r="J5850" s="259"/>
    </row>
    <row r="5851">
      <c r="A5851" s="259"/>
      <c r="B5851" s="26"/>
      <c r="C5851" s="91" t="s">
        <v>11</v>
      </c>
      <c r="D5851" s="9" t="s">
        <v>11</v>
      </c>
      <c r="E5851" s="9" t="s">
        <v>13</v>
      </c>
      <c r="F5851" s="9"/>
      <c r="G5851" s="9"/>
      <c r="H5851" s="9"/>
      <c r="I5851" s="9" t="s">
        <v>13</v>
      </c>
      <c r="J5851" s="259"/>
    </row>
    <row r="5852">
      <c r="A5852" s="259"/>
      <c r="B5852" s="26"/>
      <c r="C5852" s="91" t="s">
        <v>11</v>
      </c>
      <c r="D5852" s="9" t="s">
        <v>11</v>
      </c>
      <c r="E5852" s="9" t="s">
        <v>13</v>
      </c>
      <c r="F5852" s="9"/>
      <c r="G5852" s="9"/>
      <c r="H5852" s="9"/>
      <c r="I5852" s="9" t="s">
        <v>13</v>
      </c>
      <c r="J5852" s="259"/>
    </row>
    <row r="5853">
      <c r="A5853" s="259"/>
      <c r="B5853" s="26"/>
      <c r="C5853" s="91" t="s">
        <v>11</v>
      </c>
      <c r="D5853" s="9" t="s">
        <v>11</v>
      </c>
      <c r="E5853" s="9" t="s">
        <v>13</v>
      </c>
      <c r="F5853" s="9"/>
      <c r="G5853" s="9"/>
      <c r="H5853" s="9"/>
      <c r="I5853" s="9" t="s">
        <v>13</v>
      </c>
      <c r="J5853" s="259"/>
    </row>
    <row r="5854">
      <c r="A5854" s="259"/>
      <c r="B5854" s="26"/>
      <c r="C5854" s="91" t="s">
        <v>11</v>
      </c>
      <c r="D5854" s="9" t="s">
        <v>11</v>
      </c>
      <c r="E5854" s="9" t="s">
        <v>13</v>
      </c>
      <c r="F5854" s="9"/>
      <c r="G5854" s="9"/>
      <c r="H5854" s="9"/>
      <c r="I5854" s="9" t="s">
        <v>13</v>
      </c>
      <c r="J5854" s="259"/>
    </row>
    <row r="5855">
      <c r="A5855" s="259"/>
      <c r="B5855" s="26"/>
      <c r="C5855" s="91" t="s">
        <v>11</v>
      </c>
      <c r="D5855" s="9" t="s">
        <v>11</v>
      </c>
      <c r="E5855" s="9" t="s">
        <v>13</v>
      </c>
      <c r="F5855" s="9"/>
      <c r="G5855" s="9"/>
      <c r="H5855" s="9"/>
      <c r="I5855" s="9" t="s">
        <v>13</v>
      </c>
      <c r="J5855" s="259"/>
    </row>
    <row r="5856">
      <c r="A5856" s="259"/>
      <c r="B5856" s="26"/>
      <c r="C5856" s="91" t="s">
        <v>11</v>
      </c>
      <c r="D5856" s="9" t="s">
        <v>11</v>
      </c>
      <c r="E5856" s="9" t="s">
        <v>13</v>
      </c>
      <c r="F5856" s="9"/>
      <c r="G5856" s="9"/>
      <c r="H5856" s="9"/>
      <c r="I5856" s="9" t="s">
        <v>13</v>
      </c>
      <c r="J5856" s="259"/>
    </row>
    <row r="5857">
      <c r="A5857" s="259"/>
      <c r="B5857" s="26"/>
      <c r="C5857" s="91" t="s">
        <v>11</v>
      </c>
      <c r="D5857" s="9" t="s">
        <v>11</v>
      </c>
      <c r="E5857" s="9" t="s">
        <v>13</v>
      </c>
      <c r="F5857" s="9"/>
      <c r="G5857" s="9"/>
      <c r="H5857" s="9"/>
      <c r="I5857" s="9" t="s">
        <v>13</v>
      </c>
      <c r="J5857" s="259"/>
    </row>
    <row r="5858">
      <c r="A5858" s="259"/>
      <c r="B5858" s="26"/>
      <c r="C5858" s="91" t="s">
        <v>11</v>
      </c>
      <c r="D5858" s="9" t="s">
        <v>11</v>
      </c>
      <c r="E5858" s="9" t="s">
        <v>13</v>
      </c>
      <c r="F5858" s="9"/>
      <c r="G5858" s="9"/>
      <c r="H5858" s="9"/>
      <c r="I5858" s="9" t="s">
        <v>13</v>
      </c>
      <c r="J5858" s="259"/>
    </row>
    <row r="5859">
      <c r="A5859" s="259"/>
      <c r="B5859" s="26"/>
      <c r="C5859" s="91" t="s">
        <v>11</v>
      </c>
      <c r="D5859" s="9" t="s">
        <v>11</v>
      </c>
      <c r="E5859" s="9" t="s">
        <v>13</v>
      </c>
      <c r="F5859" s="9"/>
      <c r="G5859" s="9"/>
      <c r="H5859" s="9"/>
      <c r="I5859" s="9" t="s">
        <v>13</v>
      </c>
      <c r="J5859" s="259"/>
    </row>
    <row r="5860">
      <c r="A5860" s="259"/>
      <c r="B5860" s="26"/>
      <c r="C5860" s="91" t="s">
        <v>11</v>
      </c>
      <c r="D5860" s="9" t="s">
        <v>11</v>
      </c>
      <c r="E5860" s="9" t="s">
        <v>13</v>
      </c>
      <c r="F5860" s="9"/>
      <c r="G5860" s="9"/>
      <c r="H5860" s="9"/>
      <c r="I5860" s="9" t="s">
        <v>13</v>
      </c>
      <c r="J5860" s="259"/>
    </row>
    <row r="5861">
      <c r="A5861" s="259"/>
      <c r="B5861" s="26"/>
      <c r="C5861" s="91" t="s">
        <v>11</v>
      </c>
      <c r="D5861" s="9" t="s">
        <v>11</v>
      </c>
      <c r="E5861" s="9" t="s">
        <v>13</v>
      </c>
      <c r="F5861" s="9"/>
      <c r="G5861" s="9"/>
      <c r="H5861" s="9"/>
      <c r="I5861" s="9" t="s">
        <v>13</v>
      </c>
      <c r="J5861" s="259"/>
    </row>
    <row r="5862">
      <c r="A5862" s="259"/>
      <c r="B5862" s="26"/>
      <c r="C5862" s="91" t="s">
        <v>11</v>
      </c>
      <c r="D5862" s="9" t="s">
        <v>11</v>
      </c>
      <c r="E5862" s="9" t="s">
        <v>13</v>
      </c>
      <c r="F5862" s="9"/>
      <c r="G5862" s="9"/>
      <c r="H5862" s="9"/>
      <c r="I5862" s="9" t="s">
        <v>13</v>
      </c>
      <c r="J5862" s="259"/>
    </row>
    <row r="5863">
      <c r="A5863" s="259"/>
      <c r="B5863" s="26"/>
      <c r="C5863" s="91" t="s">
        <v>11</v>
      </c>
      <c r="D5863" s="9" t="s">
        <v>11</v>
      </c>
      <c r="E5863" s="9" t="s">
        <v>13</v>
      </c>
      <c r="F5863" s="9"/>
      <c r="G5863" s="9"/>
      <c r="H5863" s="9"/>
      <c r="I5863" s="9" t="s">
        <v>13</v>
      </c>
      <c r="J5863" s="259"/>
    </row>
    <row r="5864">
      <c r="A5864" s="259"/>
      <c r="B5864" s="26"/>
      <c r="C5864" s="91" t="s">
        <v>11</v>
      </c>
      <c r="D5864" s="9" t="s">
        <v>11</v>
      </c>
      <c r="E5864" s="9" t="s">
        <v>13</v>
      </c>
      <c r="F5864" s="9"/>
      <c r="G5864" s="9"/>
      <c r="H5864" s="9"/>
      <c r="I5864" s="9" t="s">
        <v>13</v>
      </c>
      <c r="J5864" s="259"/>
    </row>
    <row r="5865">
      <c r="A5865" s="259"/>
      <c r="B5865" s="26"/>
      <c r="C5865" s="91" t="s">
        <v>11</v>
      </c>
      <c r="D5865" s="9" t="s">
        <v>11</v>
      </c>
      <c r="E5865" s="9" t="s">
        <v>13</v>
      </c>
      <c r="F5865" s="9"/>
      <c r="G5865" s="9"/>
      <c r="H5865" s="9"/>
      <c r="I5865" s="9" t="s">
        <v>13</v>
      </c>
      <c r="J5865" s="259"/>
    </row>
    <row r="5866">
      <c r="A5866" s="259"/>
      <c r="B5866" s="26"/>
      <c r="C5866" s="91" t="s">
        <v>11</v>
      </c>
      <c r="D5866" s="9" t="s">
        <v>11</v>
      </c>
      <c r="E5866" s="9" t="s">
        <v>13</v>
      </c>
      <c r="F5866" s="9"/>
      <c r="G5866" s="9"/>
      <c r="H5866" s="9"/>
      <c r="I5866" s="9" t="s">
        <v>13</v>
      </c>
      <c r="J5866" s="259"/>
    </row>
    <row r="5867">
      <c r="A5867" s="259"/>
      <c r="B5867" s="26"/>
      <c r="C5867" s="91" t="s">
        <v>11</v>
      </c>
      <c r="D5867" s="9" t="s">
        <v>11</v>
      </c>
      <c r="E5867" s="9" t="s">
        <v>13</v>
      </c>
      <c r="F5867" s="9"/>
      <c r="G5867" s="9"/>
      <c r="H5867" s="9"/>
      <c r="I5867" s="9" t="s">
        <v>13</v>
      </c>
      <c r="J5867" s="259"/>
    </row>
    <row r="5868">
      <c r="A5868" s="259"/>
      <c r="B5868" s="26"/>
      <c r="C5868" s="91" t="s">
        <v>11</v>
      </c>
      <c r="D5868" s="9" t="s">
        <v>11</v>
      </c>
      <c r="E5868" s="9" t="s">
        <v>13</v>
      </c>
      <c r="F5868" s="9"/>
      <c r="G5868" s="9"/>
      <c r="H5868" s="9"/>
      <c r="I5868" s="9" t="s">
        <v>13</v>
      </c>
      <c r="J5868" s="259"/>
    </row>
    <row r="5869">
      <c r="A5869" s="259"/>
      <c r="B5869" s="26"/>
      <c r="C5869" s="91" t="s">
        <v>11</v>
      </c>
      <c r="D5869" s="9" t="s">
        <v>11</v>
      </c>
      <c r="E5869" s="9" t="s">
        <v>13</v>
      </c>
      <c r="F5869" s="9"/>
      <c r="G5869" s="9"/>
      <c r="H5869" s="9"/>
      <c r="I5869" s="9" t="s">
        <v>13</v>
      </c>
      <c r="J5869" s="259"/>
    </row>
    <row r="5870">
      <c r="A5870" s="259"/>
      <c r="B5870" s="26"/>
      <c r="C5870" s="91" t="s">
        <v>11</v>
      </c>
      <c r="D5870" s="9" t="s">
        <v>11</v>
      </c>
      <c r="E5870" s="9" t="s">
        <v>13</v>
      </c>
      <c r="F5870" s="9"/>
      <c r="G5870" s="9"/>
      <c r="H5870" s="9"/>
      <c r="I5870" s="9" t="s">
        <v>13</v>
      </c>
      <c r="J5870" s="259"/>
    </row>
    <row r="5871">
      <c r="A5871" s="259"/>
      <c r="B5871" s="26"/>
      <c r="C5871" s="91" t="s">
        <v>11</v>
      </c>
      <c r="D5871" s="9" t="s">
        <v>11</v>
      </c>
      <c r="E5871" s="9" t="s">
        <v>13</v>
      </c>
      <c r="F5871" s="9"/>
      <c r="G5871" s="9"/>
      <c r="H5871" s="9"/>
      <c r="I5871" s="9" t="s">
        <v>13</v>
      </c>
      <c r="J5871" s="259"/>
    </row>
    <row r="5872">
      <c r="A5872" s="259"/>
      <c r="B5872" s="26"/>
      <c r="C5872" s="91" t="s">
        <v>11</v>
      </c>
      <c r="D5872" s="9" t="s">
        <v>11</v>
      </c>
      <c r="E5872" s="9" t="s">
        <v>13</v>
      </c>
      <c r="F5872" s="9"/>
      <c r="G5872" s="9"/>
      <c r="H5872" s="9"/>
      <c r="I5872" s="9" t="s">
        <v>13</v>
      </c>
      <c r="J5872" s="259"/>
    </row>
    <row r="5873">
      <c r="A5873" s="259"/>
      <c r="B5873" s="26"/>
      <c r="C5873" s="91" t="s">
        <v>11</v>
      </c>
      <c r="D5873" s="9" t="s">
        <v>11</v>
      </c>
      <c r="E5873" s="9" t="s">
        <v>13</v>
      </c>
      <c r="F5873" s="9"/>
      <c r="G5873" s="9"/>
      <c r="H5873" s="9"/>
      <c r="I5873" s="9" t="s">
        <v>13</v>
      </c>
      <c r="J5873" s="259"/>
    </row>
    <row r="5874">
      <c r="A5874" s="259"/>
      <c r="B5874" s="26"/>
      <c r="C5874" s="91" t="s">
        <v>11</v>
      </c>
      <c r="D5874" s="9" t="s">
        <v>11</v>
      </c>
      <c r="E5874" s="9" t="s">
        <v>13</v>
      </c>
      <c r="F5874" s="9"/>
      <c r="G5874" s="9"/>
      <c r="H5874" s="9"/>
      <c r="I5874" s="9" t="s">
        <v>13</v>
      </c>
      <c r="J5874" s="259"/>
    </row>
    <row r="5875">
      <c r="A5875" s="259"/>
      <c r="B5875" s="26"/>
      <c r="C5875" s="91" t="s">
        <v>11</v>
      </c>
      <c r="D5875" s="9" t="s">
        <v>11</v>
      </c>
      <c r="E5875" s="9" t="s">
        <v>13</v>
      </c>
      <c r="F5875" s="9"/>
      <c r="G5875" s="9"/>
      <c r="H5875" s="9"/>
      <c r="I5875" s="9" t="s">
        <v>13</v>
      </c>
      <c r="J5875" s="259"/>
    </row>
    <row r="5876">
      <c r="A5876" s="259"/>
      <c r="B5876" s="26"/>
      <c r="C5876" s="91" t="s">
        <v>11</v>
      </c>
      <c r="D5876" s="9" t="s">
        <v>11</v>
      </c>
      <c r="E5876" s="9" t="s">
        <v>13</v>
      </c>
      <c r="F5876" s="9"/>
      <c r="G5876" s="9"/>
      <c r="H5876" s="9"/>
      <c r="I5876" s="9" t="s">
        <v>13</v>
      </c>
      <c r="J5876" s="259"/>
    </row>
    <row r="5877">
      <c r="A5877" s="259"/>
      <c r="B5877" s="26"/>
      <c r="C5877" s="91" t="s">
        <v>11</v>
      </c>
      <c r="D5877" s="9" t="s">
        <v>11</v>
      </c>
      <c r="E5877" s="9" t="s">
        <v>13</v>
      </c>
      <c r="F5877" s="9"/>
      <c r="G5877" s="9"/>
      <c r="H5877" s="9"/>
      <c r="I5877" s="9" t="s">
        <v>13</v>
      </c>
      <c r="J5877" s="259"/>
    </row>
    <row r="5878">
      <c r="A5878" s="259"/>
      <c r="B5878" s="26"/>
      <c r="C5878" s="91" t="s">
        <v>11</v>
      </c>
      <c r="D5878" s="9" t="s">
        <v>11</v>
      </c>
      <c r="E5878" s="9" t="s">
        <v>13</v>
      </c>
      <c r="F5878" s="9"/>
      <c r="G5878" s="9"/>
      <c r="H5878" s="9"/>
      <c r="I5878" s="9" t="s">
        <v>13</v>
      </c>
      <c r="J5878" s="259"/>
    </row>
    <row r="5879">
      <c r="A5879" s="259"/>
      <c r="B5879" s="26"/>
      <c r="C5879" s="91" t="s">
        <v>11</v>
      </c>
      <c r="D5879" s="9" t="s">
        <v>11</v>
      </c>
      <c r="E5879" s="9" t="s">
        <v>13</v>
      </c>
      <c r="F5879" s="9"/>
      <c r="G5879" s="9"/>
      <c r="H5879" s="9"/>
      <c r="I5879" s="9" t="s">
        <v>13</v>
      </c>
      <c r="J5879" s="259"/>
    </row>
    <row r="5880">
      <c r="A5880" s="259"/>
      <c r="B5880" s="26"/>
      <c r="C5880" s="91" t="s">
        <v>11</v>
      </c>
      <c r="D5880" s="9" t="s">
        <v>11</v>
      </c>
      <c r="E5880" s="9" t="s">
        <v>13</v>
      </c>
      <c r="F5880" s="9"/>
      <c r="G5880" s="9"/>
      <c r="H5880" s="9"/>
      <c r="I5880" s="9" t="s">
        <v>13</v>
      </c>
      <c r="J5880" s="259"/>
    </row>
    <row r="5881">
      <c r="A5881" s="259"/>
      <c r="B5881" s="26"/>
      <c r="C5881" s="91" t="s">
        <v>11</v>
      </c>
      <c r="D5881" s="9" t="s">
        <v>11</v>
      </c>
      <c r="E5881" s="9" t="s">
        <v>13</v>
      </c>
      <c r="F5881" s="9"/>
      <c r="G5881" s="9"/>
      <c r="H5881" s="9"/>
      <c r="I5881" s="9" t="s">
        <v>13</v>
      </c>
      <c r="J5881" s="259"/>
    </row>
    <row r="5882">
      <c r="A5882" s="259"/>
      <c r="B5882" s="26"/>
      <c r="C5882" s="91" t="s">
        <v>11</v>
      </c>
      <c r="D5882" s="9" t="s">
        <v>11</v>
      </c>
      <c r="E5882" s="9" t="s">
        <v>13</v>
      </c>
      <c r="F5882" s="9"/>
      <c r="G5882" s="9"/>
      <c r="H5882" s="9"/>
      <c r="I5882" s="9" t="s">
        <v>13</v>
      </c>
      <c r="J5882" s="259"/>
    </row>
    <row r="5883">
      <c r="A5883" s="259"/>
      <c r="B5883" s="26"/>
      <c r="C5883" s="91" t="s">
        <v>11</v>
      </c>
      <c r="D5883" s="9" t="s">
        <v>11</v>
      </c>
      <c r="E5883" s="9" t="s">
        <v>13</v>
      </c>
      <c r="F5883" s="9"/>
      <c r="G5883" s="9"/>
      <c r="H5883" s="9"/>
      <c r="I5883" s="9" t="s">
        <v>13</v>
      </c>
      <c r="J5883" s="259"/>
    </row>
    <row r="5884">
      <c r="A5884" s="259"/>
      <c r="B5884" s="26"/>
      <c r="C5884" s="91" t="s">
        <v>11</v>
      </c>
      <c r="D5884" s="9" t="s">
        <v>11</v>
      </c>
      <c r="E5884" s="9" t="s">
        <v>13</v>
      </c>
      <c r="F5884" s="9"/>
      <c r="G5884" s="9"/>
      <c r="H5884" s="9"/>
      <c r="I5884" s="9" t="s">
        <v>13</v>
      </c>
      <c r="J5884" s="259"/>
    </row>
    <row r="5885">
      <c r="A5885" s="259"/>
      <c r="B5885" s="26"/>
      <c r="C5885" s="91" t="s">
        <v>11</v>
      </c>
      <c r="D5885" s="9" t="s">
        <v>11</v>
      </c>
      <c r="E5885" s="9" t="s">
        <v>13</v>
      </c>
      <c r="F5885" s="9"/>
      <c r="G5885" s="9"/>
      <c r="H5885" s="9"/>
      <c r="I5885" s="9" t="s">
        <v>13</v>
      </c>
      <c r="J5885" s="259"/>
    </row>
    <row r="5886">
      <c r="A5886" s="259"/>
      <c r="B5886" s="26"/>
      <c r="C5886" s="91" t="s">
        <v>11</v>
      </c>
      <c r="D5886" s="9" t="s">
        <v>11</v>
      </c>
      <c r="E5886" s="9" t="s">
        <v>13</v>
      </c>
      <c r="F5886" s="9"/>
      <c r="G5886" s="9"/>
      <c r="H5886" s="9"/>
      <c r="I5886" s="9" t="s">
        <v>13</v>
      </c>
      <c r="J5886" s="259"/>
    </row>
    <row r="5887">
      <c r="A5887" s="259"/>
      <c r="B5887" s="26"/>
      <c r="C5887" s="91" t="s">
        <v>11</v>
      </c>
      <c r="D5887" s="9" t="s">
        <v>11</v>
      </c>
      <c r="E5887" s="9" t="s">
        <v>13</v>
      </c>
      <c r="F5887" s="9"/>
      <c r="G5887" s="9"/>
      <c r="H5887" s="9"/>
      <c r="I5887" s="9" t="s">
        <v>13</v>
      </c>
      <c r="J5887" s="259"/>
    </row>
    <row r="5888">
      <c r="A5888" s="259"/>
      <c r="B5888" s="26"/>
      <c r="C5888" s="91" t="s">
        <v>11</v>
      </c>
      <c r="D5888" s="9" t="s">
        <v>11</v>
      </c>
      <c r="E5888" s="9" t="s">
        <v>13</v>
      </c>
      <c r="F5888" s="9"/>
      <c r="G5888" s="9"/>
      <c r="H5888" s="9"/>
      <c r="I5888" s="9" t="s">
        <v>13</v>
      </c>
      <c r="J5888" s="259"/>
    </row>
    <row r="5889">
      <c r="A5889" s="259"/>
      <c r="B5889" s="26"/>
      <c r="C5889" s="91" t="s">
        <v>11</v>
      </c>
      <c r="D5889" s="9" t="s">
        <v>11</v>
      </c>
      <c r="E5889" s="9" t="s">
        <v>13</v>
      </c>
      <c r="F5889" s="9"/>
      <c r="G5889" s="9"/>
      <c r="H5889" s="9"/>
      <c r="I5889" s="9" t="s">
        <v>13</v>
      </c>
      <c r="J5889" s="259"/>
    </row>
    <row r="5890">
      <c r="A5890" s="259"/>
      <c r="B5890" s="26"/>
      <c r="C5890" s="91" t="s">
        <v>11</v>
      </c>
      <c r="D5890" s="9" t="s">
        <v>11</v>
      </c>
      <c r="E5890" s="9" t="s">
        <v>13</v>
      </c>
      <c r="F5890" s="9"/>
      <c r="G5890" s="9"/>
      <c r="H5890" s="9"/>
      <c r="I5890" s="9" t="s">
        <v>13</v>
      </c>
      <c r="J5890" s="259"/>
    </row>
    <row r="5891">
      <c r="A5891" s="259"/>
      <c r="B5891" s="26"/>
      <c r="C5891" s="91" t="s">
        <v>11</v>
      </c>
      <c r="D5891" s="9" t="s">
        <v>11</v>
      </c>
      <c r="E5891" s="9" t="s">
        <v>13</v>
      </c>
      <c r="F5891" s="9"/>
      <c r="G5891" s="9"/>
      <c r="H5891" s="9"/>
      <c r="I5891" s="9" t="s">
        <v>13</v>
      </c>
      <c r="J5891" s="259"/>
    </row>
    <row r="5892">
      <c r="A5892" s="259"/>
      <c r="B5892" s="26"/>
      <c r="C5892" s="91" t="s">
        <v>11</v>
      </c>
      <c r="D5892" s="9" t="s">
        <v>11</v>
      </c>
      <c r="E5892" s="9" t="s">
        <v>13</v>
      </c>
      <c r="F5892" s="9"/>
      <c r="G5892" s="9"/>
      <c r="H5892" s="9"/>
      <c r="I5892" s="9" t="s">
        <v>13</v>
      </c>
      <c r="J5892" s="259"/>
    </row>
    <row r="5893">
      <c r="A5893" s="259"/>
      <c r="B5893" s="26"/>
      <c r="C5893" s="91" t="s">
        <v>11</v>
      </c>
      <c r="D5893" s="9" t="s">
        <v>11</v>
      </c>
      <c r="E5893" s="9" t="s">
        <v>13</v>
      </c>
      <c r="F5893" s="9"/>
      <c r="G5893" s="9"/>
      <c r="H5893" s="9"/>
      <c r="I5893" s="9" t="s">
        <v>13</v>
      </c>
      <c r="J5893" s="259"/>
    </row>
    <row r="5894">
      <c r="A5894" s="259"/>
      <c r="B5894" s="26"/>
      <c r="C5894" s="91" t="s">
        <v>11</v>
      </c>
      <c r="D5894" s="9" t="s">
        <v>11</v>
      </c>
      <c r="E5894" s="9" t="s">
        <v>13</v>
      </c>
      <c r="F5894" s="9"/>
      <c r="G5894" s="9"/>
      <c r="H5894" s="9"/>
      <c r="I5894" s="9" t="s">
        <v>13</v>
      </c>
      <c r="J5894" s="259"/>
    </row>
    <row r="5895">
      <c r="A5895" s="259"/>
      <c r="B5895" s="26"/>
      <c r="C5895" s="91" t="s">
        <v>11</v>
      </c>
      <c r="D5895" s="9" t="s">
        <v>11</v>
      </c>
      <c r="E5895" s="9" t="s">
        <v>13</v>
      </c>
      <c r="F5895" s="9"/>
      <c r="G5895" s="9"/>
      <c r="H5895" s="9"/>
      <c r="I5895" s="9" t="s">
        <v>13</v>
      </c>
      <c r="J5895" s="259"/>
    </row>
    <row r="5896">
      <c r="A5896" s="259"/>
      <c r="B5896" s="26"/>
      <c r="C5896" s="91" t="s">
        <v>11</v>
      </c>
      <c r="D5896" s="9" t="s">
        <v>11</v>
      </c>
      <c r="E5896" s="9" t="s">
        <v>13</v>
      </c>
      <c r="F5896" s="9"/>
      <c r="G5896" s="9"/>
      <c r="H5896" s="9"/>
      <c r="I5896" s="9" t="s">
        <v>13</v>
      </c>
      <c r="J5896" s="259"/>
    </row>
    <row r="5897">
      <c r="A5897" s="259"/>
      <c r="B5897" s="26"/>
      <c r="C5897" s="91" t="s">
        <v>11</v>
      </c>
      <c r="D5897" s="9" t="s">
        <v>11</v>
      </c>
      <c r="E5897" s="9" t="s">
        <v>13</v>
      </c>
      <c r="F5897" s="9"/>
      <c r="G5897" s="9"/>
      <c r="H5897" s="9"/>
      <c r="I5897" s="9" t="s">
        <v>13</v>
      </c>
      <c r="J5897" s="259"/>
    </row>
    <row r="5898">
      <c r="A5898" s="259"/>
      <c r="B5898" s="26"/>
      <c r="C5898" s="91" t="s">
        <v>11</v>
      </c>
      <c r="D5898" s="9" t="s">
        <v>11</v>
      </c>
      <c r="E5898" s="9" t="s">
        <v>13</v>
      </c>
      <c r="F5898" s="9"/>
      <c r="G5898" s="9"/>
      <c r="H5898" s="9"/>
      <c r="I5898" s="9" t="s">
        <v>13</v>
      </c>
      <c r="J5898" s="259"/>
    </row>
    <row r="5899">
      <c r="A5899" s="259"/>
      <c r="B5899" s="26"/>
      <c r="C5899" s="91" t="s">
        <v>11</v>
      </c>
      <c r="D5899" s="9" t="s">
        <v>11</v>
      </c>
      <c r="E5899" s="9" t="s">
        <v>13</v>
      </c>
      <c r="F5899" s="9"/>
      <c r="G5899" s="9"/>
      <c r="H5899" s="9"/>
      <c r="I5899" s="9" t="s">
        <v>13</v>
      </c>
      <c r="J5899" s="259"/>
    </row>
    <row r="5900">
      <c r="A5900" s="259"/>
      <c r="B5900" s="26"/>
      <c r="C5900" s="91" t="s">
        <v>11</v>
      </c>
      <c r="D5900" s="9" t="s">
        <v>11</v>
      </c>
      <c r="E5900" s="9" t="s">
        <v>13</v>
      </c>
      <c r="F5900" s="9"/>
      <c r="G5900" s="9"/>
      <c r="H5900" s="9"/>
      <c r="I5900" s="9" t="s">
        <v>13</v>
      </c>
      <c r="J5900" s="259"/>
    </row>
    <row r="5901">
      <c r="A5901" s="259"/>
      <c r="B5901" s="26"/>
      <c r="C5901" s="91" t="s">
        <v>11</v>
      </c>
      <c r="D5901" s="9" t="s">
        <v>11</v>
      </c>
      <c r="E5901" s="9" t="s">
        <v>13</v>
      </c>
      <c r="F5901" s="9"/>
      <c r="G5901" s="9"/>
      <c r="H5901" s="9"/>
      <c r="I5901" s="9" t="s">
        <v>13</v>
      </c>
      <c r="J5901" s="259"/>
    </row>
    <row r="5902">
      <c r="A5902" s="259"/>
      <c r="B5902" s="26"/>
      <c r="C5902" s="91" t="s">
        <v>11</v>
      </c>
      <c r="D5902" s="9" t="s">
        <v>11</v>
      </c>
      <c r="E5902" s="9" t="s">
        <v>13</v>
      </c>
      <c r="F5902" s="9"/>
      <c r="G5902" s="9"/>
      <c r="H5902" s="9"/>
      <c r="I5902" s="9" t="s">
        <v>13</v>
      </c>
      <c r="J5902" s="259"/>
    </row>
    <row r="5903">
      <c r="A5903" s="259"/>
      <c r="B5903" s="26"/>
      <c r="C5903" s="91" t="s">
        <v>11</v>
      </c>
      <c r="D5903" s="9" t="s">
        <v>11</v>
      </c>
      <c r="E5903" s="9" t="s">
        <v>13</v>
      </c>
      <c r="F5903" s="9"/>
      <c r="G5903" s="9"/>
      <c r="H5903" s="9"/>
      <c r="I5903" s="9" t="s">
        <v>13</v>
      </c>
      <c r="J5903" s="259"/>
    </row>
    <row r="5904">
      <c r="A5904" s="259"/>
      <c r="B5904" s="26"/>
      <c r="C5904" s="91" t="s">
        <v>11</v>
      </c>
      <c r="D5904" s="9" t="s">
        <v>11</v>
      </c>
      <c r="E5904" s="9" t="s">
        <v>13</v>
      </c>
      <c r="F5904" s="9"/>
      <c r="G5904" s="9"/>
      <c r="H5904" s="9"/>
      <c r="I5904" s="9" t="s">
        <v>13</v>
      </c>
      <c r="J5904" s="259"/>
    </row>
    <row r="5905">
      <c r="A5905" s="259"/>
      <c r="B5905" s="26"/>
      <c r="C5905" s="91" t="s">
        <v>11</v>
      </c>
      <c r="D5905" s="9" t="s">
        <v>11</v>
      </c>
      <c r="E5905" s="9" t="s">
        <v>13</v>
      </c>
      <c r="F5905" s="9"/>
      <c r="G5905" s="9"/>
      <c r="H5905" s="9"/>
      <c r="I5905" s="9" t="s">
        <v>13</v>
      </c>
      <c r="J5905" s="259"/>
    </row>
    <row r="5906">
      <c r="A5906" s="259"/>
      <c r="B5906" s="26"/>
      <c r="C5906" s="91" t="s">
        <v>11</v>
      </c>
      <c r="D5906" s="9" t="s">
        <v>11</v>
      </c>
      <c r="E5906" s="9" t="s">
        <v>13</v>
      </c>
      <c r="F5906" s="9"/>
      <c r="G5906" s="9"/>
      <c r="H5906" s="9"/>
      <c r="I5906" s="9" t="s">
        <v>13</v>
      </c>
      <c r="J5906" s="259"/>
    </row>
    <row r="5907">
      <c r="A5907" s="259"/>
      <c r="B5907" s="26"/>
      <c r="C5907" s="91" t="s">
        <v>11</v>
      </c>
      <c r="D5907" s="9" t="s">
        <v>11</v>
      </c>
      <c r="E5907" s="9" t="s">
        <v>13</v>
      </c>
      <c r="F5907" s="9"/>
      <c r="G5907" s="9"/>
      <c r="H5907" s="9"/>
      <c r="I5907" s="9" t="s">
        <v>13</v>
      </c>
      <c r="J5907" s="259"/>
    </row>
    <row r="5908">
      <c r="A5908" s="259"/>
      <c r="B5908" s="26"/>
      <c r="C5908" s="91" t="s">
        <v>11</v>
      </c>
      <c r="D5908" s="9" t="s">
        <v>11</v>
      </c>
      <c r="E5908" s="9" t="s">
        <v>13</v>
      </c>
      <c r="F5908" s="9"/>
      <c r="G5908" s="9"/>
      <c r="H5908" s="9"/>
      <c r="I5908" s="9" t="s">
        <v>13</v>
      </c>
      <c r="J5908" s="259"/>
    </row>
    <row r="5909">
      <c r="A5909" s="259"/>
      <c r="B5909" s="26"/>
      <c r="C5909" s="91" t="s">
        <v>11</v>
      </c>
      <c r="D5909" s="9" t="s">
        <v>11</v>
      </c>
      <c r="E5909" s="9" t="s">
        <v>13</v>
      </c>
      <c r="F5909" s="9"/>
      <c r="G5909" s="9"/>
      <c r="H5909" s="9"/>
      <c r="I5909" s="9" t="s">
        <v>13</v>
      </c>
      <c r="J5909" s="259"/>
    </row>
    <row r="5910">
      <c r="A5910" s="259"/>
      <c r="B5910" s="26"/>
      <c r="C5910" s="91" t="s">
        <v>11</v>
      </c>
      <c r="D5910" s="9" t="s">
        <v>11</v>
      </c>
      <c r="E5910" s="9" t="s">
        <v>13</v>
      </c>
      <c r="F5910" s="9"/>
      <c r="G5910" s="9"/>
      <c r="H5910" s="9"/>
      <c r="I5910" s="9" t="s">
        <v>13</v>
      </c>
      <c r="J5910" s="259"/>
    </row>
    <row r="5911">
      <c r="A5911" s="259"/>
      <c r="B5911" s="26"/>
      <c r="C5911" s="91" t="s">
        <v>11</v>
      </c>
      <c r="D5911" s="9" t="s">
        <v>11</v>
      </c>
      <c r="E5911" s="9" t="s">
        <v>13</v>
      </c>
      <c r="F5911" s="9"/>
      <c r="G5911" s="9"/>
      <c r="H5911" s="9"/>
      <c r="I5911" s="9" t="s">
        <v>13</v>
      </c>
      <c r="J5911" s="259"/>
    </row>
    <row r="5912">
      <c r="A5912" s="259"/>
      <c r="B5912" s="26"/>
      <c r="C5912" s="91" t="s">
        <v>11</v>
      </c>
      <c r="D5912" s="9" t="s">
        <v>11</v>
      </c>
      <c r="E5912" s="9" t="s">
        <v>13</v>
      </c>
      <c r="F5912" s="9"/>
      <c r="G5912" s="9"/>
      <c r="H5912" s="9"/>
      <c r="I5912" s="9" t="s">
        <v>13</v>
      </c>
      <c r="J5912" s="259"/>
    </row>
    <row r="5913">
      <c r="A5913" s="259"/>
      <c r="B5913" s="26"/>
      <c r="C5913" s="91" t="s">
        <v>11</v>
      </c>
      <c r="D5913" s="9" t="s">
        <v>11</v>
      </c>
      <c r="E5913" s="9" t="s">
        <v>13</v>
      </c>
      <c r="F5913" s="9"/>
      <c r="G5913" s="9"/>
      <c r="H5913" s="9"/>
      <c r="I5913" s="9" t="s">
        <v>13</v>
      </c>
      <c r="J5913" s="259"/>
    </row>
    <row r="5914">
      <c r="A5914" s="259"/>
      <c r="B5914" s="26"/>
      <c r="C5914" s="91" t="s">
        <v>11</v>
      </c>
      <c r="D5914" s="9" t="s">
        <v>11</v>
      </c>
      <c r="E5914" s="9" t="s">
        <v>13</v>
      </c>
      <c r="F5914" s="9"/>
      <c r="G5914" s="9"/>
      <c r="H5914" s="9"/>
      <c r="I5914" s="9" t="s">
        <v>13</v>
      </c>
      <c r="J5914" s="259"/>
    </row>
    <row r="5915">
      <c r="A5915" s="259"/>
      <c r="B5915" s="26"/>
      <c r="C5915" s="91" t="s">
        <v>11</v>
      </c>
      <c r="D5915" s="9" t="s">
        <v>11</v>
      </c>
      <c r="E5915" s="9" t="s">
        <v>13</v>
      </c>
      <c r="F5915" s="9"/>
      <c r="G5915" s="9"/>
      <c r="H5915" s="9"/>
      <c r="I5915" s="9" t="s">
        <v>13</v>
      </c>
      <c r="J5915" s="259"/>
    </row>
    <row r="5916">
      <c r="A5916" s="259"/>
      <c r="B5916" s="26"/>
      <c r="C5916" s="91" t="s">
        <v>11</v>
      </c>
      <c r="D5916" s="9" t="s">
        <v>11</v>
      </c>
      <c r="E5916" s="9" t="s">
        <v>13</v>
      </c>
      <c r="F5916" s="9"/>
      <c r="G5916" s="9"/>
      <c r="H5916" s="9"/>
      <c r="I5916" s="9" t="s">
        <v>13</v>
      </c>
      <c r="J5916" s="259"/>
    </row>
    <row r="5917">
      <c r="A5917" s="259"/>
      <c r="B5917" s="26"/>
      <c r="C5917" s="91" t="s">
        <v>11</v>
      </c>
      <c r="D5917" s="9" t="s">
        <v>11</v>
      </c>
      <c r="E5917" s="9" t="s">
        <v>13</v>
      </c>
      <c r="F5917" s="9"/>
      <c r="G5917" s="9"/>
      <c r="H5917" s="9"/>
      <c r="I5917" s="9" t="s">
        <v>13</v>
      </c>
      <c r="J5917" s="259"/>
    </row>
    <row r="5918">
      <c r="A5918" s="259"/>
      <c r="B5918" s="26"/>
      <c r="C5918" s="91" t="s">
        <v>11</v>
      </c>
      <c r="D5918" s="9" t="s">
        <v>11</v>
      </c>
      <c r="E5918" s="9" t="s">
        <v>13</v>
      </c>
      <c r="F5918" s="9"/>
      <c r="G5918" s="9"/>
      <c r="H5918" s="9"/>
      <c r="I5918" s="9" t="s">
        <v>13</v>
      </c>
      <c r="J5918" s="259"/>
    </row>
    <row r="5919">
      <c r="A5919" s="259"/>
      <c r="B5919" s="26"/>
      <c r="C5919" s="91" t="s">
        <v>11</v>
      </c>
      <c r="D5919" s="9" t="s">
        <v>11</v>
      </c>
      <c r="E5919" s="9" t="s">
        <v>13</v>
      </c>
      <c r="F5919" s="9"/>
      <c r="G5919" s="9"/>
      <c r="H5919" s="9"/>
      <c r="I5919" s="9" t="s">
        <v>13</v>
      </c>
      <c r="J5919" s="259"/>
    </row>
    <row r="5920">
      <c r="A5920" s="259"/>
      <c r="B5920" s="26"/>
      <c r="C5920" s="91" t="s">
        <v>11</v>
      </c>
      <c r="D5920" s="9" t="s">
        <v>11</v>
      </c>
      <c r="E5920" s="9" t="s">
        <v>13</v>
      </c>
      <c r="F5920" s="9"/>
      <c r="G5920" s="9"/>
      <c r="H5920" s="9"/>
      <c r="I5920" s="9" t="s">
        <v>13</v>
      </c>
      <c r="J5920" s="259"/>
    </row>
    <row r="5921">
      <c r="A5921" s="259"/>
      <c r="B5921" s="26"/>
      <c r="C5921" s="91" t="s">
        <v>11</v>
      </c>
      <c r="D5921" s="9" t="s">
        <v>11</v>
      </c>
      <c r="E5921" s="9" t="s">
        <v>13</v>
      </c>
      <c r="F5921" s="9"/>
      <c r="G5921" s="9"/>
      <c r="H5921" s="9"/>
      <c r="I5921" s="9" t="s">
        <v>13</v>
      </c>
      <c r="J5921" s="259"/>
    </row>
    <row r="5922">
      <c r="A5922" s="259"/>
      <c r="B5922" s="26"/>
      <c r="C5922" s="91" t="s">
        <v>11</v>
      </c>
      <c r="D5922" s="9" t="s">
        <v>11</v>
      </c>
      <c r="E5922" s="9" t="s">
        <v>13</v>
      </c>
      <c r="F5922" s="9"/>
      <c r="G5922" s="9"/>
      <c r="H5922" s="9"/>
      <c r="I5922" s="9" t="s">
        <v>13</v>
      </c>
      <c r="J5922" s="259"/>
    </row>
    <row r="5923">
      <c r="A5923" s="259"/>
      <c r="B5923" s="26"/>
      <c r="C5923" s="91" t="s">
        <v>11</v>
      </c>
      <c r="D5923" s="9" t="s">
        <v>11</v>
      </c>
      <c r="E5923" s="9" t="s">
        <v>13</v>
      </c>
      <c r="F5923" s="9"/>
      <c r="G5923" s="9"/>
      <c r="H5923" s="9"/>
      <c r="I5923" s="9" t="s">
        <v>13</v>
      </c>
      <c r="J5923" s="259"/>
    </row>
    <row r="5924">
      <c r="A5924" s="259"/>
      <c r="B5924" s="26"/>
      <c r="C5924" s="91" t="s">
        <v>11</v>
      </c>
      <c r="D5924" s="9" t="s">
        <v>11</v>
      </c>
      <c r="E5924" s="9" t="s">
        <v>13</v>
      </c>
      <c r="F5924" s="9"/>
      <c r="G5924" s="9"/>
      <c r="H5924" s="9"/>
      <c r="I5924" s="9" t="s">
        <v>13</v>
      </c>
      <c r="J5924" s="259"/>
    </row>
    <row r="5925">
      <c r="A5925" s="259"/>
      <c r="B5925" s="26"/>
      <c r="C5925" s="91" t="s">
        <v>11</v>
      </c>
      <c r="D5925" s="9" t="s">
        <v>11</v>
      </c>
      <c r="E5925" s="9" t="s">
        <v>13</v>
      </c>
      <c r="F5925" s="9"/>
      <c r="G5925" s="9"/>
      <c r="H5925" s="9"/>
      <c r="I5925" s="9" t="s">
        <v>13</v>
      </c>
      <c r="J5925" s="259"/>
    </row>
    <row r="5926">
      <c r="A5926" s="259"/>
      <c r="B5926" s="26"/>
      <c r="C5926" s="91" t="s">
        <v>11</v>
      </c>
      <c r="D5926" s="9" t="s">
        <v>11</v>
      </c>
      <c r="E5926" s="9" t="s">
        <v>13</v>
      </c>
      <c r="F5926" s="9"/>
      <c r="G5926" s="9"/>
      <c r="H5926" s="9"/>
      <c r="I5926" s="9" t="s">
        <v>13</v>
      </c>
      <c r="J5926" s="259"/>
    </row>
    <row r="5927">
      <c r="A5927" s="259"/>
      <c r="B5927" s="26"/>
      <c r="C5927" s="91" t="s">
        <v>11</v>
      </c>
      <c r="D5927" s="9" t="s">
        <v>11</v>
      </c>
      <c r="E5927" s="9" t="s">
        <v>13</v>
      </c>
      <c r="F5927" s="9"/>
      <c r="G5927" s="9"/>
      <c r="H5927" s="9"/>
      <c r="I5927" s="9" t="s">
        <v>13</v>
      </c>
      <c r="J5927" s="259"/>
    </row>
    <row r="5928">
      <c r="A5928" s="259"/>
      <c r="B5928" s="26"/>
      <c r="C5928" s="91" t="s">
        <v>11</v>
      </c>
      <c r="D5928" s="9" t="s">
        <v>11</v>
      </c>
      <c r="E5928" s="9" t="s">
        <v>13</v>
      </c>
      <c r="F5928" s="9"/>
      <c r="G5928" s="9"/>
      <c r="H5928" s="9"/>
      <c r="I5928" s="9" t="s">
        <v>13</v>
      </c>
      <c r="J5928" s="259"/>
    </row>
    <row r="5929">
      <c r="A5929" s="259"/>
      <c r="B5929" s="26"/>
      <c r="C5929" s="91" t="s">
        <v>11</v>
      </c>
      <c r="D5929" s="9" t="s">
        <v>11</v>
      </c>
      <c r="E5929" s="9" t="s">
        <v>13</v>
      </c>
      <c r="F5929" s="9"/>
      <c r="G5929" s="9"/>
      <c r="H5929" s="9"/>
      <c r="I5929" s="9" t="s">
        <v>13</v>
      </c>
      <c r="J5929" s="259"/>
    </row>
    <row r="5930">
      <c r="A5930" s="259"/>
      <c r="B5930" s="26"/>
      <c r="C5930" s="91" t="s">
        <v>11</v>
      </c>
      <c r="D5930" s="9" t="s">
        <v>11</v>
      </c>
      <c r="E5930" s="9" t="s">
        <v>13</v>
      </c>
      <c r="F5930" s="9"/>
      <c r="G5930" s="9"/>
      <c r="H5930" s="9"/>
      <c r="I5930" s="9" t="s">
        <v>13</v>
      </c>
      <c r="J5930" s="259"/>
    </row>
    <row r="5931">
      <c r="A5931" s="259"/>
      <c r="B5931" s="26"/>
      <c r="C5931" s="91" t="s">
        <v>11</v>
      </c>
      <c r="D5931" s="9" t="s">
        <v>11</v>
      </c>
      <c r="E5931" s="9" t="s">
        <v>13</v>
      </c>
      <c r="F5931" s="9"/>
      <c r="G5931" s="9"/>
      <c r="H5931" s="9"/>
      <c r="I5931" s="9" t="s">
        <v>13</v>
      </c>
      <c r="J5931" s="259"/>
    </row>
    <row r="5932">
      <c r="A5932" s="259"/>
      <c r="B5932" s="26"/>
      <c r="C5932" s="91" t="s">
        <v>11</v>
      </c>
      <c r="D5932" s="9" t="s">
        <v>11</v>
      </c>
      <c r="E5932" s="9" t="s">
        <v>13</v>
      </c>
      <c r="F5932" s="9"/>
      <c r="G5932" s="9"/>
      <c r="H5932" s="9"/>
      <c r="I5932" s="9" t="s">
        <v>13</v>
      </c>
      <c r="J5932" s="259"/>
    </row>
    <row r="5933">
      <c r="A5933" s="259"/>
      <c r="B5933" s="26"/>
      <c r="C5933" s="91" t="s">
        <v>11</v>
      </c>
      <c r="D5933" s="9" t="s">
        <v>11</v>
      </c>
      <c r="E5933" s="9" t="s">
        <v>13</v>
      </c>
      <c r="F5933" s="9"/>
      <c r="G5933" s="9"/>
      <c r="H5933" s="9"/>
      <c r="I5933" s="9" t="s">
        <v>13</v>
      </c>
      <c r="J5933" s="259"/>
    </row>
    <row r="5934">
      <c r="A5934" s="259"/>
      <c r="B5934" s="26"/>
      <c r="C5934" s="91" t="s">
        <v>11</v>
      </c>
      <c r="D5934" s="9" t="s">
        <v>11</v>
      </c>
      <c r="E5934" s="9" t="s">
        <v>13</v>
      </c>
      <c r="F5934" s="9"/>
      <c r="G5934" s="9"/>
      <c r="H5934" s="9"/>
      <c r="I5934" s="9" t="s">
        <v>13</v>
      </c>
      <c r="J5934" s="259"/>
    </row>
    <row r="5935">
      <c r="A5935" s="259"/>
      <c r="B5935" s="26"/>
      <c r="C5935" s="91" t="s">
        <v>11</v>
      </c>
      <c r="D5935" s="9" t="s">
        <v>11</v>
      </c>
      <c r="E5935" s="9" t="s">
        <v>13</v>
      </c>
      <c r="F5935" s="9"/>
      <c r="G5935" s="9"/>
      <c r="H5935" s="9"/>
      <c r="I5935" s="9" t="s">
        <v>13</v>
      </c>
      <c r="J5935" s="259"/>
    </row>
    <row r="5936">
      <c r="A5936" s="259"/>
      <c r="B5936" s="26"/>
      <c r="C5936" s="91" t="s">
        <v>11</v>
      </c>
      <c r="D5936" s="9" t="s">
        <v>11</v>
      </c>
      <c r="E5936" s="9" t="s">
        <v>13</v>
      </c>
      <c r="F5936" s="9"/>
      <c r="G5936" s="9"/>
      <c r="H5936" s="9"/>
      <c r="I5936" s="9" t="s">
        <v>13</v>
      </c>
      <c r="J5936" s="259"/>
    </row>
    <row r="5937">
      <c r="A5937" s="259"/>
      <c r="B5937" s="26"/>
      <c r="C5937" s="91" t="s">
        <v>11</v>
      </c>
      <c r="D5937" s="9" t="s">
        <v>11</v>
      </c>
      <c r="E5937" s="9" t="s">
        <v>13</v>
      </c>
      <c r="F5937" s="9"/>
      <c r="G5937" s="9"/>
      <c r="H5937" s="9"/>
      <c r="I5937" s="9" t="s">
        <v>13</v>
      </c>
      <c r="J5937" s="259"/>
    </row>
    <row r="5938">
      <c r="A5938" s="259"/>
      <c r="B5938" s="26"/>
      <c r="C5938" s="91" t="s">
        <v>11</v>
      </c>
      <c r="D5938" s="9" t="s">
        <v>11</v>
      </c>
      <c r="E5938" s="9" t="s">
        <v>13</v>
      </c>
      <c r="F5938" s="9"/>
      <c r="G5938" s="9"/>
      <c r="H5938" s="9"/>
      <c r="I5938" s="9" t="s">
        <v>13</v>
      </c>
      <c r="J5938" s="259"/>
    </row>
    <row r="5939">
      <c r="A5939" s="259"/>
      <c r="B5939" s="26"/>
      <c r="C5939" s="91" t="s">
        <v>11</v>
      </c>
      <c r="D5939" s="9" t="s">
        <v>11</v>
      </c>
      <c r="E5939" s="9" t="s">
        <v>13</v>
      </c>
      <c r="F5939" s="9"/>
      <c r="G5939" s="9"/>
      <c r="H5939" s="9"/>
      <c r="I5939" s="9" t="s">
        <v>13</v>
      </c>
      <c r="J5939" s="259"/>
    </row>
    <row r="5940">
      <c r="A5940" s="259"/>
      <c r="B5940" s="26"/>
      <c r="C5940" s="91" t="s">
        <v>11</v>
      </c>
      <c r="D5940" s="9" t="s">
        <v>11</v>
      </c>
      <c r="E5940" s="9" t="s">
        <v>13</v>
      </c>
      <c r="F5940" s="9"/>
      <c r="G5940" s="9"/>
      <c r="H5940" s="9"/>
      <c r="I5940" s="9" t="s">
        <v>13</v>
      </c>
      <c r="J5940" s="259"/>
    </row>
    <row r="5941">
      <c r="A5941" s="259"/>
      <c r="B5941" s="26"/>
      <c r="C5941" s="91" t="s">
        <v>11</v>
      </c>
      <c r="D5941" s="9" t="s">
        <v>11</v>
      </c>
      <c r="E5941" s="9" t="s">
        <v>13</v>
      </c>
      <c r="F5941" s="9"/>
      <c r="G5941" s="9"/>
      <c r="H5941" s="9"/>
      <c r="I5941" s="9" t="s">
        <v>13</v>
      </c>
      <c r="J5941" s="259"/>
    </row>
    <row r="5942">
      <c r="A5942" s="259"/>
      <c r="B5942" s="26"/>
      <c r="C5942" s="91" t="s">
        <v>11</v>
      </c>
      <c r="D5942" s="9" t="s">
        <v>11</v>
      </c>
      <c r="E5942" s="9" t="s">
        <v>13</v>
      </c>
      <c r="F5942" s="9"/>
      <c r="G5942" s="9"/>
      <c r="H5942" s="9"/>
      <c r="I5942" s="9" t="s">
        <v>13</v>
      </c>
      <c r="J5942" s="259"/>
    </row>
    <row r="5943">
      <c r="A5943" s="259"/>
      <c r="B5943" s="26"/>
      <c r="C5943" s="91" t="s">
        <v>11</v>
      </c>
      <c r="D5943" s="9" t="s">
        <v>11</v>
      </c>
      <c r="E5943" s="9" t="s">
        <v>13</v>
      </c>
      <c r="F5943" s="9"/>
      <c r="G5943" s="9"/>
      <c r="H5943" s="9"/>
      <c r="I5943" s="9" t="s">
        <v>13</v>
      </c>
      <c r="J5943" s="259"/>
    </row>
    <row r="5944">
      <c r="A5944" s="259"/>
      <c r="B5944" s="26"/>
      <c r="C5944" s="91" t="s">
        <v>11</v>
      </c>
      <c r="D5944" s="9" t="s">
        <v>11</v>
      </c>
      <c r="E5944" s="9" t="s">
        <v>13</v>
      </c>
      <c r="F5944" s="9"/>
      <c r="G5944" s="9"/>
      <c r="H5944" s="9"/>
      <c r="I5944" s="9" t="s">
        <v>13</v>
      </c>
      <c r="J5944" s="259"/>
    </row>
    <row r="5945">
      <c r="A5945" s="259"/>
      <c r="B5945" s="26"/>
      <c r="C5945" s="91" t="s">
        <v>11</v>
      </c>
      <c r="D5945" s="9" t="s">
        <v>11</v>
      </c>
      <c r="E5945" s="9" t="s">
        <v>13</v>
      </c>
      <c r="F5945" s="9"/>
      <c r="G5945" s="9"/>
      <c r="H5945" s="9"/>
      <c r="I5945" s="9" t="s">
        <v>13</v>
      </c>
      <c r="J5945" s="259"/>
    </row>
    <row r="5946">
      <c r="A5946" s="259"/>
      <c r="B5946" s="26"/>
      <c r="C5946" s="91" t="s">
        <v>11</v>
      </c>
      <c r="D5946" s="9" t="s">
        <v>11</v>
      </c>
      <c r="E5946" s="9" t="s">
        <v>13</v>
      </c>
      <c r="F5946" s="9"/>
      <c r="G5946" s="9"/>
      <c r="H5946" s="9"/>
      <c r="I5946" s="9" t="s">
        <v>13</v>
      </c>
      <c r="J5946" s="259"/>
    </row>
    <row r="5947">
      <c r="A5947" s="259"/>
      <c r="B5947" s="26"/>
      <c r="C5947" s="91" t="s">
        <v>11</v>
      </c>
      <c r="D5947" s="9" t="s">
        <v>11</v>
      </c>
      <c r="E5947" s="9" t="s">
        <v>13</v>
      </c>
      <c r="F5947" s="9"/>
      <c r="G5947" s="9"/>
      <c r="H5947" s="9"/>
      <c r="I5947" s="9" t="s">
        <v>13</v>
      </c>
      <c r="J5947" s="259"/>
    </row>
    <row r="5948">
      <c r="A5948" s="259"/>
      <c r="B5948" s="26"/>
      <c r="C5948" s="91" t="s">
        <v>11</v>
      </c>
      <c r="D5948" s="9" t="s">
        <v>11</v>
      </c>
      <c r="E5948" s="9" t="s">
        <v>13</v>
      </c>
      <c r="F5948" s="9"/>
      <c r="G5948" s="9"/>
      <c r="H5948" s="9"/>
      <c r="I5948" s="9" t="s">
        <v>13</v>
      </c>
      <c r="J5948" s="259"/>
    </row>
    <row r="5949">
      <c r="A5949" s="259"/>
      <c r="B5949" s="26"/>
      <c r="C5949" s="91" t="s">
        <v>11</v>
      </c>
      <c r="D5949" s="9" t="s">
        <v>11</v>
      </c>
      <c r="E5949" s="9" t="s">
        <v>13</v>
      </c>
      <c r="F5949" s="9"/>
      <c r="G5949" s="9"/>
      <c r="H5949" s="9"/>
      <c r="I5949" s="9" t="s">
        <v>13</v>
      </c>
      <c r="J5949" s="259"/>
    </row>
    <row r="5950">
      <c r="A5950" s="259"/>
      <c r="B5950" s="26"/>
      <c r="C5950" s="91" t="s">
        <v>11</v>
      </c>
      <c r="D5950" s="9" t="s">
        <v>11</v>
      </c>
      <c r="E5950" s="9" t="s">
        <v>13</v>
      </c>
      <c r="F5950" s="9"/>
      <c r="G5950" s="9"/>
      <c r="H5950" s="9"/>
      <c r="I5950" s="9" t="s">
        <v>13</v>
      </c>
      <c r="J5950" s="259"/>
    </row>
    <row r="5951">
      <c r="A5951" s="259"/>
      <c r="B5951" s="26"/>
      <c r="C5951" s="91" t="s">
        <v>11</v>
      </c>
      <c r="D5951" s="9" t="s">
        <v>11</v>
      </c>
      <c r="E5951" s="9" t="s">
        <v>13</v>
      </c>
      <c r="F5951" s="9"/>
      <c r="G5951" s="9"/>
      <c r="H5951" s="9"/>
      <c r="I5951" s="9" t="s">
        <v>13</v>
      </c>
      <c r="J5951" s="259"/>
    </row>
    <row r="5952">
      <c r="A5952" s="259"/>
      <c r="B5952" s="26"/>
      <c r="C5952" s="91" t="s">
        <v>11</v>
      </c>
      <c r="D5952" s="9" t="s">
        <v>11</v>
      </c>
      <c r="E5952" s="9" t="s">
        <v>13</v>
      </c>
      <c r="F5952" s="9"/>
      <c r="G5952" s="9"/>
      <c r="H5952" s="9"/>
      <c r="I5952" s="9" t="s">
        <v>13</v>
      </c>
      <c r="J5952" s="259"/>
    </row>
    <row r="5953">
      <c r="A5953" s="259"/>
      <c r="B5953" s="26"/>
      <c r="C5953" s="91" t="s">
        <v>11</v>
      </c>
      <c r="D5953" s="9" t="s">
        <v>11</v>
      </c>
      <c r="E5953" s="9" t="s">
        <v>13</v>
      </c>
      <c r="F5953" s="9"/>
      <c r="G5953" s="9"/>
      <c r="H5953" s="9"/>
      <c r="I5953" s="9" t="s">
        <v>13</v>
      </c>
      <c r="J5953" s="259"/>
    </row>
    <row r="5954">
      <c r="A5954" s="259"/>
      <c r="B5954" s="26"/>
      <c r="C5954" s="91" t="s">
        <v>11</v>
      </c>
      <c r="D5954" s="9" t="s">
        <v>11</v>
      </c>
      <c r="E5954" s="9" t="s">
        <v>13</v>
      </c>
      <c r="F5954" s="9"/>
      <c r="G5954" s="9"/>
      <c r="H5954" s="9"/>
      <c r="I5954" s="9" t="s">
        <v>13</v>
      </c>
      <c r="J5954" s="259"/>
    </row>
    <row r="5955">
      <c r="A5955" s="259"/>
      <c r="B5955" s="26"/>
      <c r="C5955" s="91" t="s">
        <v>11</v>
      </c>
      <c r="D5955" s="9" t="s">
        <v>11</v>
      </c>
      <c r="E5955" s="9" t="s">
        <v>13</v>
      </c>
      <c r="F5955" s="9"/>
      <c r="G5955" s="9"/>
      <c r="H5955" s="9"/>
      <c r="I5955" s="9" t="s">
        <v>13</v>
      </c>
      <c r="J5955" s="259"/>
    </row>
    <row r="5956">
      <c r="A5956" s="259"/>
      <c r="B5956" s="26"/>
      <c r="C5956" s="91" t="s">
        <v>11</v>
      </c>
      <c r="D5956" s="9" t="s">
        <v>11</v>
      </c>
      <c r="E5956" s="9" t="s">
        <v>13</v>
      </c>
      <c r="F5956" s="9"/>
      <c r="G5956" s="9"/>
      <c r="H5956" s="9"/>
      <c r="I5956" s="9" t="s">
        <v>13</v>
      </c>
      <c r="J5956" s="259"/>
    </row>
    <row r="5957">
      <c r="A5957" s="259"/>
      <c r="B5957" s="26"/>
      <c r="C5957" s="91" t="s">
        <v>11</v>
      </c>
      <c r="D5957" s="9" t="s">
        <v>11</v>
      </c>
      <c r="E5957" s="9" t="s">
        <v>13</v>
      </c>
      <c r="F5957" s="9"/>
      <c r="G5957" s="9"/>
      <c r="H5957" s="9"/>
      <c r="I5957" s="9" t="s">
        <v>13</v>
      </c>
      <c r="J5957" s="259"/>
    </row>
    <row r="5958">
      <c r="A5958" s="259"/>
      <c r="B5958" s="26"/>
      <c r="C5958" s="91" t="s">
        <v>11</v>
      </c>
      <c r="D5958" s="9" t="s">
        <v>11</v>
      </c>
      <c r="E5958" s="9" t="s">
        <v>13</v>
      </c>
      <c r="F5958" s="9"/>
      <c r="G5958" s="9"/>
      <c r="H5958" s="9"/>
      <c r="I5958" s="9" t="s">
        <v>13</v>
      </c>
      <c r="J5958" s="259"/>
    </row>
    <row r="5959">
      <c r="A5959" s="259"/>
      <c r="B5959" s="26"/>
      <c r="C5959" s="91" t="s">
        <v>11</v>
      </c>
      <c r="D5959" s="9" t="s">
        <v>11</v>
      </c>
      <c r="E5959" s="9" t="s">
        <v>13</v>
      </c>
      <c r="F5959" s="9"/>
      <c r="G5959" s="9"/>
      <c r="H5959" s="9"/>
      <c r="I5959" s="9" t="s">
        <v>13</v>
      </c>
      <c r="J5959" s="259"/>
    </row>
    <row r="5960">
      <c r="A5960" s="259"/>
      <c r="B5960" s="26"/>
      <c r="C5960" s="91" t="s">
        <v>11</v>
      </c>
      <c r="D5960" s="9" t="s">
        <v>11</v>
      </c>
      <c r="E5960" s="9" t="s">
        <v>13</v>
      </c>
      <c r="F5960" s="9"/>
      <c r="G5960" s="9"/>
      <c r="H5960" s="9"/>
      <c r="I5960" s="9" t="s">
        <v>13</v>
      </c>
      <c r="J5960" s="259"/>
    </row>
    <row r="5961">
      <c r="A5961" s="259"/>
      <c r="B5961" s="26"/>
      <c r="C5961" s="91" t="s">
        <v>11</v>
      </c>
      <c r="D5961" s="9" t="s">
        <v>11</v>
      </c>
      <c r="E5961" s="9" t="s">
        <v>13</v>
      </c>
      <c r="F5961" s="9"/>
      <c r="G5961" s="9"/>
      <c r="H5961" s="9"/>
      <c r="I5961" s="9" t="s">
        <v>13</v>
      </c>
      <c r="J5961" s="259"/>
    </row>
    <row r="5962">
      <c r="A5962" s="259"/>
      <c r="B5962" s="26"/>
      <c r="C5962" s="91" t="s">
        <v>11</v>
      </c>
      <c r="D5962" s="9" t="s">
        <v>11</v>
      </c>
      <c r="E5962" s="9" t="s">
        <v>13</v>
      </c>
      <c r="F5962" s="9"/>
      <c r="G5962" s="9"/>
      <c r="H5962" s="9"/>
      <c r="I5962" s="9" t="s">
        <v>13</v>
      </c>
      <c r="J5962" s="259"/>
    </row>
    <row r="5963">
      <c r="A5963" s="259"/>
      <c r="B5963" s="26"/>
      <c r="C5963" s="91" t="s">
        <v>11</v>
      </c>
      <c r="D5963" s="9" t="s">
        <v>11</v>
      </c>
      <c r="E5963" s="9" t="s">
        <v>13</v>
      </c>
      <c r="F5963" s="9"/>
      <c r="G5963" s="9"/>
      <c r="H5963" s="9"/>
      <c r="I5963" s="9" t="s">
        <v>13</v>
      </c>
      <c r="J5963" s="259"/>
    </row>
    <row r="5964">
      <c r="A5964" s="259"/>
      <c r="B5964" s="26"/>
      <c r="C5964" s="91" t="s">
        <v>11</v>
      </c>
      <c r="D5964" s="9" t="s">
        <v>11</v>
      </c>
      <c r="E5964" s="9" t="s">
        <v>13</v>
      </c>
      <c r="F5964" s="9"/>
      <c r="G5964" s="9"/>
      <c r="H5964" s="9"/>
      <c r="I5964" s="9" t="s">
        <v>13</v>
      </c>
      <c r="J5964" s="259"/>
    </row>
    <row r="5965">
      <c r="A5965" s="259"/>
      <c r="B5965" s="26"/>
      <c r="C5965" s="91" t="s">
        <v>11</v>
      </c>
      <c r="D5965" s="9" t="s">
        <v>11</v>
      </c>
      <c r="E5965" s="9" t="s">
        <v>13</v>
      </c>
      <c r="F5965" s="9"/>
      <c r="G5965" s="9"/>
      <c r="H5965" s="9"/>
      <c r="I5965" s="9" t="s">
        <v>13</v>
      </c>
      <c r="J5965" s="259"/>
    </row>
    <row r="5966">
      <c r="A5966" s="259"/>
      <c r="B5966" s="26"/>
      <c r="C5966" s="91" t="s">
        <v>11</v>
      </c>
      <c r="D5966" s="9" t="s">
        <v>11</v>
      </c>
      <c r="E5966" s="9" t="s">
        <v>13</v>
      </c>
      <c r="F5966" s="9"/>
      <c r="G5966" s="9"/>
      <c r="H5966" s="9"/>
      <c r="I5966" s="9" t="s">
        <v>13</v>
      </c>
      <c r="J5966" s="259"/>
    </row>
    <row r="5967">
      <c r="A5967" s="259"/>
      <c r="B5967" s="26"/>
      <c r="C5967" s="91" t="s">
        <v>11</v>
      </c>
      <c r="D5967" s="9" t="s">
        <v>11</v>
      </c>
      <c r="E5967" s="9" t="s">
        <v>13</v>
      </c>
      <c r="F5967" s="9"/>
      <c r="G5967" s="9"/>
      <c r="H5967" s="9"/>
      <c r="I5967" s="9" t="s">
        <v>13</v>
      </c>
      <c r="J5967" s="259"/>
    </row>
    <row r="5968">
      <c r="A5968" s="259"/>
      <c r="B5968" s="26"/>
      <c r="C5968" s="91" t="s">
        <v>11</v>
      </c>
      <c r="D5968" s="9" t="s">
        <v>11</v>
      </c>
      <c r="E5968" s="9" t="s">
        <v>13</v>
      </c>
      <c r="F5968" s="9"/>
      <c r="G5968" s="9"/>
      <c r="H5968" s="9"/>
      <c r="I5968" s="9" t="s">
        <v>13</v>
      </c>
      <c r="J5968" s="259"/>
    </row>
    <row r="5969">
      <c r="A5969" s="259"/>
      <c r="B5969" s="26"/>
      <c r="C5969" s="91" t="s">
        <v>11</v>
      </c>
      <c r="D5969" s="9" t="s">
        <v>11</v>
      </c>
      <c r="E5969" s="9" t="s">
        <v>13</v>
      </c>
      <c r="F5969" s="9"/>
      <c r="G5969" s="9"/>
      <c r="H5969" s="9"/>
      <c r="I5969" s="9" t="s">
        <v>13</v>
      </c>
      <c r="J5969" s="259"/>
    </row>
    <row r="5970">
      <c r="A5970" s="259"/>
      <c r="B5970" s="26"/>
      <c r="C5970" s="91" t="s">
        <v>11</v>
      </c>
      <c r="D5970" s="9" t="s">
        <v>11</v>
      </c>
      <c r="E5970" s="9" t="s">
        <v>13</v>
      </c>
      <c r="F5970" s="9"/>
      <c r="G5970" s="9"/>
      <c r="H5970" s="9"/>
      <c r="I5970" s="9" t="s">
        <v>13</v>
      </c>
      <c r="J5970" s="259"/>
    </row>
    <row r="5971">
      <c r="A5971" s="259"/>
      <c r="B5971" s="26"/>
      <c r="C5971" s="91" t="s">
        <v>11</v>
      </c>
      <c r="D5971" s="9" t="s">
        <v>11</v>
      </c>
      <c r="E5971" s="9" t="s">
        <v>13</v>
      </c>
      <c r="F5971" s="9"/>
      <c r="G5971" s="9"/>
      <c r="H5971" s="9"/>
      <c r="I5971" s="9" t="s">
        <v>13</v>
      </c>
      <c r="J5971" s="259"/>
    </row>
    <row r="5972">
      <c r="A5972" s="259"/>
      <c r="B5972" s="26"/>
      <c r="C5972" s="91" t="s">
        <v>11</v>
      </c>
      <c r="D5972" s="9" t="s">
        <v>11</v>
      </c>
      <c r="E5972" s="9" t="s">
        <v>13</v>
      </c>
      <c r="F5972" s="9"/>
      <c r="G5972" s="9"/>
      <c r="H5972" s="9"/>
      <c r="I5972" s="9" t="s">
        <v>13</v>
      </c>
      <c r="J5972" s="259"/>
    </row>
    <row r="5973">
      <c r="A5973" s="259"/>
      <c r="B5973" s="26"/>
      <c r="C5973" s="91" t="s">
        <v>11</v>
      </c>
      <c r="D5973" s="9" t="s">
        <v>11</v>
      </c>
      <c r="E5973" s="9" t="s">
        <v>13</v>
      </c>
      <c r="F5973" s="9"/>
      <c r="G5973" s="9"/>
      <c r="H5973" s="9"/>
      <c r="I5973" s="9" t="s">
        <v>13</v>
      </c>
      <c r="J5973" s="259"/>
    </row>
    <row r="5974">
      <c r="A5974" s="259"/>
      <c r="B5974" s="26"/>
      <c r="C5974" s="91" t="s">
        <v>11</v>
      </c>
      <c r="D5974" s="9" t="s">
        <v>11</v>
      </c>
      <c r="E5974" s="9" t="s">
        <v>13</v>
      </c>
      <c r="F5974" s="9"/>
      <c r="G5974" s="9"/>
      <c r="H5974" s="9"/>
      <c r="I5974" s="9" t="s">
        <v>13</v>
      </c>
      <c r="J5974" s="259"/>
    </row>
    <row r="5975">
      <c r="A5975" s="259"/>
      <c r="B5975" s="26"/>
      <c r="C5975" s="91" t="s">
        <v>11</v>
      </c>
      <c r="D5975" s="9" t="s">
        <v>11</v>
      </c>
      <c r="E5975" s="9" t="s">
        <v>13</v>
      </c>
      <c r="F5975" s="9"/>
      <c r="G5975" s="9"/>
      <c r="H5975" s="9"/>
      <c r="I5975" s="9" t="s">
        <v>13</v>
      </c>
      <c r="J5975" s="259"/>
    </row>
    <row r="5976">
      <c r="A5976" s="259"/>
      <c r="B5976" s="26"/>
      <c r="C5976" s="91" t="s">
        <v>11</v>
      </c>
      <c r="D5976" s="9" t="s">
        <v>11</v>
      </c>
      <c r="E5976" s="9" t="s">
        <v>13</v>
      </c>
      <c r="F5976" s="9"/>
      <c r="G5976" s="9"/>
      <c r="H5976" s="9"/>
      <c r="I5976" s="9" t="s">
        <v>13</v>
      </c>
      <c r="J5976" s="259"/>
    </row>
    <row r="5977">
      <c r="A5977" s="259"/>
      <c r="B5977" s="26"/>
      <c r="C5977" s="91" t="s">
        <v>11</v>
      </c>
      <c r="D5977" s="9" t="s">
        <v>11</v>
      </c>
      <c r="E5977" s="9" t="s">
        <v>13</v>
      </c>
      <c r="F5977" s="9"/>
      <c r="G5977" s="9"/>
      <c r="H5977" s="9"/>
      <c r="I5977" s="9" t="s">
        <v>13</v>
      </c>
      <c r="J5977" s="259"/>
    </row>
    <row r="5978">
      <c r="A5978" s="259"/>
      <c r="B5978" s="26"/>
      <c r="C5978" s="91" t="s">
        <v>11</v>
      </c>
      <c r="D5978" s="9" t="s">
        <v>11</v>
      </c>
      <c r="E5978" s="9" t="s">
        <v>13</v>
      </c>
      <c r="F5978" s="9"/>
      <c r="G5978" s="9"/>
      <c r="H5978" s="9"/>
      <c r="I5978" s="9" t="s">
        <v>13</v>
      </c>
      <c r="J5978" s="259"/>
    </row>
    <row r="5979">
      <c r="A5979" s="259"/>
      <c r="B5979" s="26"/>
      <c r="C5979" s="91" t="s">
        <v>11</v>
      </c>
      <c r="D5979" s="9" t="s">
        <v>11</v>
      </c>
      <c r="E5979" s="9" t="s">
        <v>13</v>
      </c>
      <c r="F5979" s="9"/>
      <c r="G5979" s="9"/>
      <c r="H5979" s="9"/>
      <c r="I5979" s="9" t="s">
        <v>13</v>
      </c>
      <c r="J5979" s="259"/>
    </row>
    <row r="5980">
      <c r="A5980" s="259"/>
      <c r="B5980" s="26"/>
      <c r="C5980" s="91" t="s">
        <v>11</v>
      </c>
      <c r="D5980" s="9" t="s">
        <v>11</v>
      </c>
      <c r="E5980" s="9" t="s">
        <v>13</v>
      </c>
      <c r="F5980" s="9"/>
      <c r="G5980" s="9"/>
      <c r="H5980" s="9"/>
      <c r="I5980" s="9" t="s">
        <v>13</v>
      </c>
      <c r="J5980" s="259"/>
    </row>
    <row r="5981">
      <c r="A5981" s="259"/>
      <c r="B5981" s="26"/>
      <c r="C5981" s="91" t="s">
        <v>11</v>
      </c>
      <c r="D5981" s="9" t="s">
        <v>11</v>
      </c>
      <c r="E5981" s="9" t="s">
        <v>13</v>
      </c>
      <c r="F5981" s="9"/>
      <c r="G5981" s="9"/>
      <c r="H5981" s="9"/>
      <c r="I5981" s="9" t="s">
        <v>13</v>
      </c>
      <c r="J5981" s="259"/>
    </row>
    <row r="5982">
      <c r="A5982" s="259"/>
      <c r="B5982" s="26"/>
      <c r="C5982" s="91" t="s">
        <v>11</v>
      </c>
      <c r="D5982" s="9" t="s">
        <v>11</v>
      </c>
      <c r="E5982" s="9" t="s">
        <v>13</v>
      </c>
      <c r="F5982" s="9"/>
      <c r="G5982" s="9"/>
      <c r="H5982" s="9"/>
      <c r="I5982" s="9" t="s">
        <v>13</v>
      </c>
      <c r="J5982" s="259"/>
    </row>
    <row r="5983">
      <c r="A5983" s="259"/>
      <c r="B5983" s="26"/>
      <c r="C5983" s="91" t="s">
        <v>11</v>
      </c>
      <c r="D5983" s="9" t="s">
        <v>11</v>
      </c>
      <c r="E5983" s="9" t="s">
        <v>13</v>
      </c>
      <c r="F5983" s="9"/>
      <c r="G5983" s="9"/>
      <c r="H5983" s="9"/>
      <c r="I5983" s="9" t="s">
        <v>13</v>
      </c>
      <c r="J5983" s="259"/>
    </row>
    <row r="5984">
      <c r="A5984" s="259"/>
      <c r="B5984" s="26"/>
      <c r="C5984" s="91" t="s">
        <v>11</v>
      </c>
      <c r="D5984" s="9" t="s">
        <v>11</v>
      </c>
      <c r="E5984" s="9" t="s">
        <v>13</v>
      </c>
      <c r="F5984" s="9"/>
      <c r="G5984" s="9"/>
      <c r="H5984" s="9"/>
      <c r="I5984" s="9" t="s">
        <v>13</v>
      </c>
      <c r="J5984" s="259"/>
    </row>
    <row r="5985">
      <c r="A5985" s="259"/>
      <c r="B5985" s="26"/>
      <c r="C5985" s="91" t="s">
        <v>11</v>
      </c>
      <c r="D5985" s="9" t="s">
        <v>11</v>
      </c>
      <c r="E5985" s="9" t="s">
        <v>13</v>
      </c>
      <c r="F5985" s="9"/>
      <c r="G5985" s="9"/>
      <c r="H5985" s="9"/>
      <c r="I5985" s="9" t="s">
        <v>13</v>
      </c>
      <c r="J5985" s="259"/>
    </row>
    <row r="5986">
      <c r="A5986" s="259"/>
      <c r="B5986" s="26"/>
      <c r="C5986" s="91" t="s">
        <v>11</v>
      </c>
      <c r="D5986" s="9" t="s">
        <v>11</v>
      </c>
      <c r="E5986" s="9" t="s">
        <v>13</v>
      </c>
      <c r="F5986" s="9"/>
      <c r="G5986" s="9"/>
      <c r="H5986" s="9"/>
      <c r="I5986" s="9" t="s">
        <v>13</v>
      </c>
      <c r="J5986" s="259"/>
    </row>
    <row r="5987">
      <c r="A5987" s="259"/>
      <c r="B5987" s="26"/>
      <c r="C5987" s="91" t="s">
        <v>11</v>
      </c>
      <c r="D5987" s="9" t="s">
        <v>11</v>
      </c>
      <c r="E5987" s="9" t="s">
        <v>13</v>
      </c>
      <c r="F5987" s="9"/>
      <c r="G5987" s="9"/>
      <c r="H5987" s="9"/>
      <c r="I5987" s="9" t="s">
        <v>13</v>
      </c>
      <c r="J5987" s="259"/>
    </row>
    <row r="5988">
      <c r="A5988" s="259"/>
      <c r="B5988" s="26"/>
      <c r="C5988" s="91" t="s">
        <v>11</v>
      </c>
      <c r="D5988" s="9" t="s">
        <v>11</v>
      </c>
      <c r="E5988" s="9" t="s">
        <v>13</v>
      </c>
      <c r="F5988" s="9"/>
      <c r="G5988" s="9"/>
      <c r="H5988" s="9"/>
      <c r="I5988" s="9" t="s">
        <v>13</v>
      </c>
      <c r="J5988" s="259"/>
    </row>
    <row r="5989">
      <c r="A5989" s="259"/>
      <c r="B5989" s="26"/>
      <c r="C5989" s="91" t="s">
        <v>11</v>
      </c>
      <c r="D5989" s="9" t="s">
        <v>11</v>
      </c>
      <c r="E5989" s="9" t="s">
        <v>13</v>
      </c>
      <c r="F5989" s="9"/>
      <c r="G5989" s="9"/>
      <c r="H5989" s="9"/>
      <c r="I5989" s="9" t="s">
        <v>13</v>
      </c>
      <c r="J5989" s="259"/>
    </row>
    <row r="5990">
      <c r="A5990" s="259"/>
      <c r="B5990" s="26"/>
      <c r="C5990" s="91" t="s">
        <v>11</v>
      </c>
      <c r="D5990" s="9" t="s">
        <v>11</v>
      </c>
      <c r="E5990" s="9" t="s">
        <v>13</v>
      </c>
      <c r="F5990" s="9"/>
      <c r="G5990" s="9"/>
      <c r="H5990" s="9"/>
      <c r="I5990" s="9" t="s">
        <v>13</v>
      </c>
      <c r="J5990" s="259"/>
    </row>
    <row r="5991">
      <c r="A5991" s="259"/>
      <c r="B5991" s="26"/>
      <c r="C5991" s="91" t="s">
        <v>11</v>
      </c>
      <c r="D5991" s="9" t="s">
        <v>11</v>
      </c>
      <c r="E5991" s="9" t="s">
        <v>13</v>
      </c>
      <c r="F5991" s="9"/>
      <c r="G5991" s="9"/>
      <c r="H5991" s="9"/>
      <c r="I5991" s="9" t="s">
        <v>13</v>
      </c>
      <c r="J5991" s="259"/>
    </row>
    <row r="5992">
      <c r="A5992" s="259"/>
      <c r="B5992" s="26"/>
      <c r="C5992" s="91" t="s">
        <v>11</v>
      </c>
      <c r="D5992" s="9" t="s">
        <v>11</v>
      </c>
      <c r="E5992" s="9" t="s">
        <v>13</v>
      </c>
      <c r="F5992" s="9"/>
      <c r="G5992" s="9"/>
      <c r="H5992" s="9"/>
      <c r="I5992" s="9" t="s">
        <v>13</v>
      </c>
      <c r="J5992" s="259"/>
    </row>
    <row r="5993">
      <c r="A5993" s="259"/>
      <c r="B5993" s="26"/>
      <c r="C5993" s="91" t="s">
        <v>11</v>
      </c>
      <c r="D5993" s="9" t="s">
        <v>11</v>
      </c>
      <c r="E5993" s="9" t="s">
        <v>13</v>
      </c>
      <c r="F5993" s="9"/>
      <c r="G5993" s="9"/>
      <c r="H5993" s="9"/>
      <c r="I5993" s="9" t="s">
        <v>13</v>
      </c>
      <c r="J5993" s="259"/>
    </row>
    <row r="5994">
      <c r="A5994" s="259"/>
      <c r="B5994" s="26"/>
      <c r="C5994" s="91" t="s">
        <v>11</v>
      </c>
      <c r="D5994" s="9" t="s">
        <v>11</v>
      </c>
      <c r="E5994" s="9" t="s">
        <v>13</v>
      </c>
      <c r="F5994" s="9"/>
      <c r="G5994" s="9"/>
      <c r="H5994" s="9"/>
      <c r="I5994" s="9" t="s">
        <v>13</v>
      </c>
      <c r="J5994" s="259"/>
    </row>
    <row r="5995">
      <c r="A5995" s="259"/>
      <c r="B5995" s="26"/>
      <c r="C5995" s="91" t="s">
        <v>11</v>
      </c>
      <c r="D5995" s="9" t="s">
        <v>11</v>
      </c>
      <c r="E5995" s="9" t="s">
        <v>13</v>
      </c>
      <c r="F5995" s="9"/>
      <c r="G5995" s="9"/>
      <c r="H5995" s="9"/>
      <c r="I5995" s="9" t="s">
        <v>13</v>
      </c>
      <c r="J5995" s="259"/>
    </row>
    <row r="5996">
      <c r="A5996" s="259"/>
      <c r="B5996" s="26"/>
      <c r="C5996" s="91" t="s">
        <v>11</v>
      </c>
      <c r="D5996" s="9" t="s">
        <v>11</v>
      </c>
      <c r="E5996" s="9" t="s">
        <v>13</v>
      </c>
      <c r="F5996" s="9"/>
      <c r="G5996" s="9"/>
      <c r="H5996" s="9"/>
      <c r="I5996" s="9" t="s">
        <v>13</v>
      </c>
      <c r="J5996" s="259"/>
    </row>
    <row r="5997">
      <c r="A5997" s="259"/>
      <c r="B5997" s="26"/>
      <c r="C5997" s="91" t="s">
        <v>11</v>
      </c>
      <c r="D5997" s="9" t="s">
        <v>11</v>
      </c>
      <c r="E5997" s="9" t="s">
        <v>13</v>
      </c>
      <c r="F5997" s="9"/>
      <c r="G5997" s="9"/>
      <c r="H5997" s="9"/>
      <c r="I5997" s="9" t="s">
        <v>13</v>
      </c>
      <c r="J5997" s="259"/>
    </row>
    <row r="5998">
      <c r="A5998" s="259"/>
      <c r="B5998" s="26"/>
      <c r="C5998" s="91" t="s">
        <v>11</v>
      </c>
      <c r="D5998" s="9" t="s">
        <v>11</v>
      </c>
      <c r="E5998" s="9" t="s">
        <v>13</v>
      </c>
      <c r="F5998" s="9"/>
      <c r="G5998" s="9"/>
      <c r="H5998" s="9"/>
      <c r="I5998" s="9" t="s">
        <v>13</v>
      </c>
      <c r="J5998" s="259"/>
    </row>
    <row r="5999">
      <c r="A5999" s="259"/>
      <c r="B5999" s="26"/>
      <c r="C5999" s="91" t="s">
        <v>11</v>
      </c>
      <c r="D5999" s="9" t="s">
        <v>11</v>
      </c>
      <c r="E5999" s="9" t="s">
        <v>13</v>
      </c>
      <c r="F5999" s="9"/>
      <c r="G5999" s="9"/>
      <c r="H5999" s="9"/>
      <c r="I5999" s="9" t="s">
        <v>13</v>
      </c>
      <c r="J5999" s="259"/>
    </row>
    <row r="6000">
      <c r="A6000" s="259"/>
      <c r="B6000" s="26"/>
      <c r="C6000" s="91" t="s">
        <v>11</v>
      </c>
      <c r="D6000" s="9" t="s">
        <v>11</v>
      </c>
      <c r="E6000" s="9" t="s">
        <v>13</v>
      </c>
      <c r="F6000" s="9"/>
      <c r="G6000" s="9"/>
      <c r="H6000" s="9"/>
      <c r="I6000" s="9" t="s">
        <v>13</v>
      </c>
      <c r="J6000" s="259"/>
    </row>
    <row r="6001">
      <c r="A6001" s="259"/>
      <c r="B6001" s="26"/>
      <c r="C6001" s="91" t="s">
        <v>11</v>
      </c>
      <c r="D6001" s="9" t="s">
        <v>11</v>
      </c>
      <c r="E6001" s="9" t="s">
        <v>13</v>
      </c>
      <c r="F6001" s="9"/>
      <c r="G6001" s="9"/>
      <c r="H6001" s="9"/>
      <c r="I6001" s="9" t="s">
        <v>13</v>
      </c>
      <c r="J6001" s="259"/>
    </row>
    <row r="6002">
      <c r="A6002" s="259"/>
      <c r="B6002" s="26"/>
      <c r="C6002" s="91" t="s">
        <v>11</v>
      </c>
      <c r="D6002" s="9" t="s">
        <v>11</v>
      </c>
      <c r="E6002" s="9" t="s">
        <v>13</v>
      </c>
      <c r="F6002" s="9"/>
      <c r="G6002" s="9"/>
      <c r="H6002" s="9"/>
      <c r="I6002" s="9" t="s">
        <v>13</v>
      </c>
      <c r="J6002" s="259"/>
    </row>
    <row r="6003">
      <c r="A6003" s="259"/>
      <c r="B6003" s="26"/>
      <c r="C6003" s="91" t="s">
        <v>11</v>
      </c>
      <c r="D6003" s="9" t="s">
        <v>11</v>
      </c>
      <c r="E6003" s="9" t="s">
        <v>13</v>
      </c>
      <c r="F6003" s="9"/>
      <c r="G6003" s="9"/>
      <c r="H6003" s="9"/>
      <c r="I6003" s="9" t="s">
        <v>13</v>
      </c>
      <c r="J6003" s="259"/>
    </row>
    <row r="6004">
      <c r="A6004" s="259"/>
      <c r="B6004" s="26"/>
      <c r="C6004" s="91" t="s">
        <v>11</v>
      </c>
      <c r="D6004" s="9" t="s">
        <v>11</v>
      </c>
      <c r="E6004" s="9" t="s">
        <v>13</v>
      </c>
      <c r="F6004" s="9"/>
      <c r="G6004" s="9"/>
      <c r="H6004" s="9"/>
      <c r="I6004" s="9" t="s">
        <v>13</v>
      </c>
      <c r="J6004" s="259"/>
    </row>
    <row r="6005">
      <c r="A6005" s="259"/>
      <c r="B6005" s="26"/>
      <c r="C6005" s="91" t="s">
        <v>11</v>
      </c>
      <c r="D6005" s="9" t="s">
        <v>11</v>
      </c>
      <c r="E6005" s="9" t="s">
        <v>13</v>
      </c>
      <c r="F6005" s="9"/>
      <c r="G6005" s="9"/>
      <c r="H6005" s="9"/>
      <c r="I6005" s="9" t="s">
        <v>13</v>
      </c>
      <c r="J6005" s="259"/>
    </row>
    <row r="6006">
      <c r="A6006" s="259"/>
      <c r="B6006" s="26"/>
      <c r="C6006" s="91" t="s">
        <v>11</v>
      </c>
      <c r="D6006" s="9" t="s">
        <v>11</v>
      </c>
      <c r="E6006" s="9" t="s">
        <v>13</v>
      </c>
      <c r="F6006" s="9"/>
      <c r="G6006" s="9"/>
      <c r="H6006" s="9"/>
      <c r="I6006" s="9" t="s">
        <v>13</v>
      </c>
      <c r="J6006" s="259"/>
    </row>
    <row r="6007">
      <c r="A6007" s="259"/>
      <c r="B6007" s="26"/>
      <c r="C6007" s="91" t="s">
        <v>11</v>
      </c>
      <c r="D6007" s="9" t="s">
        <v>11</v>
      </c>
      <c r="E6007" s="9" t="s">
        <v>13</v>
      </c>
      <c r="F6007" s="9"/>
      <c r="G6007" s="9"/>
      <c r="H6007" s="9"/>
      <c r="I6007" s="9" t="s">
        <v>13</v>
      </c>
      <c r="J6007" s="259"/>
    </row>
    <row r="6008">
      <c r="A6008" s="259"/>
      <c r="B6008" s="26"/>
      <c r="C6008" s="91" t="s">
        <v>11</v>
      </c>
      <c r="D6008" s="9" t="s">
        <v>11</v>
      </c>
      <c r="E6008" s="9" t="s">
        <v>13</v>
      </c>
      <c r="F6008" s="9"/>
      <c r="G6008" s="9"/>
      <c r="H6008" s="9"/>
      <c r="I6008" s="9" t="s">
        <v>13</v>
      </c>
      <c r="J6008" s="259"/>
    </row>
    <row r="6009">
      <c r="A6009" s="259"/>
      <c r="B6009" s="26"/>
      <c r="C6009" s="91" t="s">
        <v>11</v>
      </c>
      <c r="D6009" s="9" t="s">
        <v>11</v>
      </c>
      <c r="E6009" s="9" t="s">
        <v>13</v>
      </c>
      <c r="F6009" s="9"/>
      <c r="G6009" s="9"/>
      <c r="H6009" s="9"/>
      <c r="I6009" s="9" t="s">
        <v>13</v>
      </c>
      <c r="J6009" s="259"/>
    </row>
    <row r="6010">
      <c r="A6010" s="259"/>
      <c r="B6010" s="26"/>
      <c r="C6010" s="91" t="s">
        <v>11</v>
      </c>
      <c r="D6010" s="9" t="s">
        <v>11</v>
      </c>
      <c r="E6010" s="9" t="s">
        <v>13</v>
      </c>
      <c r="F6010" s="9"/>
      <c r="G6010" s="9"/>
      <c r="H6010" s="9"/>
      <c r="I6010" s="9" t="s">
        <v>13</v>
      </c>
      <c r="J6010" s="259"/>
    </row>
    <row r="6011">
      <c r="A6011" s="259"/>
      <c r="B6011" s="26"/>
      <c r="C6011" s="91" t="s">
        <v>11</v>
      </c>
      <c r="D6011" s="9" t="s">
        <v>11</v>
      </c>
      <c r="E6011" s="9" t="s">
        <v>13</v>
      </c>
      <c r="F6011" s="9"/>
      <c r="G6011" s="9"/>
      <c r="H6011" s="9"/>
      <c r="I6011" s="9" t="s">
        <v>13</v>
      </c>
      <c r="J6011" s="259"/>
    </row>
    <row r="6012">
      <c r="A6012" s="259"/>
      <c r="B6012" s="26"/>
      <c r="C6012" s="91" t="s">
        <v>11</v>
      </c>
      <c r="D6012" s="9" t="s">
        <v>11</v>
      </c>
      <c r="E6012" s="9" t="s">
        <v>13</v>
      </c>
      <c r="F6012" s="9"/>
      <c r="G6012" s="9"/>
      <c r="H6012" s="9"/>
      <c r="I6012" s="9" t="s">
        <v>13</v>
      </c>
      <c r="J6012" s="259"/>
    </row>
    <row r="6013">
      <c r="A6013" s="259"/>
      <c r="B6013" s="26"/>
      <c r="C6013" s="91" t="s">
        <v>11</v>
      </c>
      <c r="D6013" s="9" t="s">
        <v>11</v>
      </c>
      <c r="E6013" s="9" t="s">
        <v>13</v>
      </c>
      <c r="F6013" s="9"/>
      <c r="G6013" s="9"/>
      <c r="H6013" s="9"/>
      <c r="I6013" s="9" t="s">
        <v>13</v>
      </c>
      <c r="J6013" s="259"/>
    </row>
    <row r="6014">
      <c r="A6014" s="259"/>
      <c r="B6014" s="26"/>
      <c r="C6014" s="91" t="s">
        <v>11</v>
      </c>
      <c r="D6014" s="9" t="s">
        <v>11</v>
      </c>
      <c r="E6014" s="9" t="s">
        <v>13</v>
      </c>
      <c r="F6014" s="9"/>
      <c r="G6014" s="9"/>
      <c r="H6014" s="9"/>
      <c r="I6014" s="9" t="s">
        <v>13</v>
      </c>
      <c r="J6014" s="259"/>
    </row>
    <row r="6015">
      <c r="A6015" s="259"/>
      <c r="B6015" s="26"/>
      <c r="C6015" s="91" t="s">
        <v>11</v>
      </c>
      <c r="D6015" s="9" t="s">
        <v>11</v>
      </c>
      <c r="E6015" s="9" t="s">
        <v>13</v>
      </c>
      <c r="F6015" s="9"/>
      <c r="G6015" s="9"/>
      <c r="H6015" s="9"/>
      <c r="I6015" s="9" t="s">
        <v>13</v>
      </c>
      <c r="J6015" s="259"/>
    </row>
    <row r="6016">
      <c r="A6016" s="259"/>
      <c r="B6016" s="26"/>
      <c r="C6016" s="91" t="s">
        <v>11</v>
      </c>
      <c r="D6016" s="9" t="s">
        <v>11</v>
      </c>
      <c r="E6016" s="9" t="s">
        <v>13</v>
      </c>
      <c r="F6016" s="9"/>
      <c r="G6016" s="9"/>
      <c r="H6016" s="9"/>
      <c r="I6016" s="9" t="s">
        <v>13</v>
      </c>
      <c r="J6016" s="259"/>
    </row>
    <row r="6017">
      <c r="A6017" s="259"/>
      <c r="B6017" s="26"/>
      <c r="C6017" s="91" t="s">
        <v>11</v>
      </c>
      <c r="D6017" s="9" t="s">
        <v>11</v>
      </c>
      <c r="E6017" s="9" t="s">
        <v>13</v>
      </c>
      <c r="F6017" s="9"/>
      <c r="G6017" s="9"/>
      <c r="H6017" s="9"/>
      <c r="I6017" s="9" t="s">
        <v>13</v>
      </c>
      <c r="J6017" s="259"/>
    </row>
    <row r="6018">
      <c r="A6018" s="259"/>
      <c r="B6018" s="26"/>
      <c r="C6018" s="91" t="s">
        <v>11</v>
      </c>
      <c r="D6018" s="9" t="s">
        <v>11</v>
      </c>
      <c r="E6018" s="9" t="s">
        <v>13</v>
      </c>
      <c r="F6018" s="9"/>
      <c r="G6018" s="9"/>
      <c r="H6018" s="9"/>
      <c r="I6018" s="9" t="s">
        <v>13</v>
      </c>
      <c r="J6018" s="259"/>
    </row>
    <row r="6019">
      <c r="A6019" s="259"/>
      <c r="B6019" s="26"/>
      <c r="C6019" s="91" t="s">
        <v>11</v>
      </c>
      <c r="D6019" s="9" t="s">
        <v>11</v>
      </c>
      <c r="E6019" s="9" t="s">
        <v>13</v>
      </c>
      <c r="F6019" s="9"/>
      <c r="G6019" s="9"/>
      <c r="H6019" s="9"/>
      <c r="I6019" s="9" t="s">
        <v>13</v>
      </c>
      <c r="J6019" s="259"/>
    </row>
    <row r="6020">
      <c r="A6020" s="259"/>
      <c r="B6020" s="26"/>
      <c r="C6020" s="91" t="s">
        <v>11</v>
      </c>
      <c r="D6020" s="9" t="s">
        <v>11</v>
      </c>
      <c r="E6020" s="9" t="s">
        <v>13</v>
      </c>
      <c r="F6020" s="9"/>
      <c r="G6020" s="9"/>
      <c r="H6020" s="9"/>
      <c r="I6020" s="9" t="s">
        <v>13</v>
      </c>
      <c r="J6020" s="259"/>
    </row>
    <row r="6021">
      <c r="A6021" s="259"/>
      <c r="B6021" s="26"/>
      <c r="C6021" s="91" t="s">
        <v>11</v>
      </c>
      <c r="D6021" s="9" t="s">
        <v>11</v>
      </c>
      <c r="E6021" s="9" t="s">
        <v>13</v>
      </c>
      <c r="F6021" s="9"/>
      <c r="G6021" s="9"/>
      <c r="H6021" s="9"/>
      <c r="I6021" s="9" t="s">
        <v>13</v>
      </c>
      <c r="J6021" s="259"/>
    </row>
    <row r="6022">
      <c r="A6022" s="259"/>
      <c r="B6022" s="26"/>
      <c r="C6022" s="91" t="s">
        <v>11</v>
      </c>
      <c r="D6022" s="9" t="s">
        <v>11</v>
      </c>
      <c r="E6022" s="9" t="s">
        <v>13</v>
      </c>
      <c r="F6022" s="9"/>
      <c r="G6022" s="9"/>
      <c r="H6022" s="9"/>
      <c r="I6022" s="9" t="s">
        <v>13</v>
      </c>
      <c r="J6022" s="259"/>
    </row>
    <row r="6023">
      <c r="A6023" s="259"/>
      <c r="B6023" s="26"/>
      <c r="C6023" s="91" t="s">
        <v>11</v>
      </c>
      <c r="D6023" s="9" t="s">
        <v>11</v>
      </c>
      <c r="E6023" s="9" t="s">
        <v>13</v>
      </c>
      <c r="F6023" s="9"/>
      <c r="G6023" s="9"/>
      <c r="H6023" s="9"/>
      <c r="I6023" s="9" t="s">
        <v>13</v>
      </c>
      <c r="J6023" s="259"/>
    </row>
    <row r="6024">
      <c r="A6024" s="259"/>
      <c r="B6024" s="26"/>
      <c r="C6024" s="91" t="s">
        <v>11</v>
      </c>
      <c r="D6024" s="9" t="s">
        <v>11</v>
      </c>
      <c r="E6024" s="9" t="s">
        <v>13</v>
      </c>
      <c r="F6024" s="9"/>
      <c r="G6024" s="9"/>
      <c r="H6024" s="9"/>
      <c r="I6024" s="9" t="s">
        <v>13</v>
      </c>
      <c r="J6024" s="259"/>
    </row>
    <row r="6025">
      <c r="A6025" s="259"/>
      <c r="B6025" s="26"/>
      <c r="C6025" s="91" t="s">
        <v>11</v>
      </c>
      <c r="D6025" s="9" t="s">
        <v>11</v>
      </c>
      <c r="E6025" s="9" t="s">
        <v>13</v>
      </c>
      <c r="F6025" s="9"/>
      <c r="G6025" s="9"/>
      <c r="H6025" s="9"/>
      <c r="I6025" s="9" t="s">
        <v>13</v>
      </c>
      <c r="J6025" s="259"/>
    </row>
    <row r="6026">
      <c r="A6026" s="259"/>
      <c r="B6026" s="26"/>
      <c r="C6026" s="91" t="s">
        <v>11</v>
      </c>
      <c r="D6026" s="9" t="s">
        <v>11</v>
      </c>
      <c r="E6026" s="9" t="s">
        <v>13</v>
      </c>
      <c r="F6026" s="9"/>
      <c r="G6026" s="9"/>
      <c r="H6026" s="9"/>
      <c r="I6026" s="9" t="s">
        <v>13</v>
      </c>
      <c r="J6026" s="259"/>
    </row>
    <row r="6027">
      <c r="A6027" s="259"/>
      <c r="B6027" s="26"/>
      <c r="C6027" s="91" t="s">
        <v>11</v>
      </c>
      <c r="D6027" s="9" t="s">
        <v>11</v>
      </c>
      <c r="E6027" s="9" t="s">
        <v>13</v>
      </c>
      <c r="F6027" s="9"/>
      <c r="G6027" s="9"/>
      <c r="H6027" s="9"/>
      <c r="I6027" s="9" t="s">
        <v>13</v>
      </c>
      <c r="J6027" s="259"/>
    </row>
    <row r="6028">
      <c r="A6028" s="259"/>
      <c r="B6028" s="26"/>
      <c r="C6028" s="91" t="s">
        <v>11</v>
      </c>
      <c r="D6028" s="9" t="s">
        <v>11</v>
      </c>
      <c r="E6028" s="9" t="s">
        <v>13</v>
      </c>
      <c r="F6028" s="9"/>
      <c r="G6028" s="9"/>
      <c r="H6028" s="9"/>
      <c r="I6028" s="9" t="s">
        <v>13</v>
      </c>
      <c r="J6028" s="259"/>
    </row>
    <row r="6029">
      <c r="A6029" s="259"/>
      <c r="B6029" s="26"/>
      <c r="C6029" s="91" t="s">
        <v>11</v>
      </c>
      <c r="D6029" s="9" t="s">
        <v>11</v>
      </c>
      <c r="E6029" s="9" t="s">
        <v>13</v>
      </c>
      <c r="F6029" s="9"/>
      <c r="G6029" s="9"/>
      <c r="H6029" s="9"/>
      <c r="I6029" s="9" t="s">
        <v>13</v>
      </c>
      <c r="J6029" s="259"/>
    </row>
    <row r="6030">
      <c r="A6030" s="259"/>
      <c r="B6030" s="26"/>
      <c r="C6030" s="91" t="s">
        <v>11</v>
      </c>
      <c r="D6030" s="9" t="s">
        <v>11</v>
      </c>
      <c r="E6030" s="9" t="s">
        <v>13</v>
      </c>
      <c r="F6030" s="9"/>
      <c r="G6030" s="9"/>
      <c r="H6030" s="9"/>
      <c r="I6030" s="9" t="s">
        <v>13</v>
      </c>
      <c r="J6030" s="259"/>
    </row>
    <row r="6031">
      <c r="A6031" s="259"/>
      <c r="B6031" s="26"/>
      <c r="C6031" s="91" t="s">
        <v>11</v>
      </c>
      <c r="D6031" s="9" t="s">
        <v>11</v>
      </c>
      <c r="E6031" s="9" t="s">
        <v>13</v>
      </c>
      <c r="F6031" s="9"/>
      <c r="G6031" s="9"/>
      <c r="H6031" s="9"/>
      <c r="I6031" s="9" t="s">
        <v>13</v>
      </c>
      <c r="J6031" s="259"/>
    </row>
    <row r="6032">
      <c r="A6032" s="259"/>
      <c r="B6032" s="26"/>
      <c r="C6032" s="91" t="s">
        <v>11</v>
      </c>
      <c r="D6032" s="9" t="s">
        <v>11</v>
      </c>
      <c r="E6032" s="9" t="s">
        <v>13</v>
      </c>
      <c r="F6032" s="9"/>
      <c r="G6032" s="9"/>
      <c r="H6032" s="9"/>
      <c r="I6032" s="9" t="s">
        <v>13</v>
      </c>
      <c r="J6032" s="259"/>
    </row>
    <row r="6033">
      <c r="A6033" s="259"/>
      <c r="B6033" s="26"/>
      <c r="C6033" s="91" t="s">
        <v>11</v>
      </c>
      <c r="D6033" s="9" t="s">
        <v>11</v>
      </c>
      <c r="E6033" s="9" t="s">
        <v>13</v>
      </c>
      <c r="F6033" s="9"/>
      <c r="G6033" s="9"/>
      <c r="H6033" s="9"/>
      <c r="I6033" s="9" t="s">
        <v>13</v>
      </c>
      <c r="J6033" s="259"/>
    </row>
    <row r="6034">
      <c r="A6034" s="259"/>
      <c r="B6034" s="26"/>
      <c r="C6034" s="91" t="s">
        <v>11</v>
      </c>
      <c r="D6034" s="9" t="s">
        <v>11</v>
      </c>
      <c r="E6034" s="9" t="s">
        <v>13</v>
      </c>
      <c r="F6034" s="9"/>
      <c r="G6034" s="9"/>
      <c r="H6034" s="9"/>
      <c r="I6034" s="9" t="s">
        <v>13</v>
      </c>
      <c r="J6034" s="259"/>
    </row>
    <row r="6035">
      <c r="A6035" s="259"/>
      <c r="B6035" s="26"/>
      <c r="C6035" s="91" t="s">
        <v>11</v>
      </c>
      <c r="D6035" s="9" t="s">
        <v>11</v>
      </c>
      <c r="E6035" s="9" t="s">
        <v>13</v>
      </c>
      <c r="F6035" s="9"/>
      <c r="G6035" s="9"/>
      <c r="H6035" s="9"/>
      <c r="I6035" s="9" t="s">
        <v>13</v>
      </c>
      <c r="J6035" s="259"/>
    </row>
    <row r="6036">
      <c r="A6036" s="259"/>
      <c r="B6036" s="26"/>
      <c r="C6036" s="91" t="s">
        <v>11</v>
      </c>
      <c r="D6036" s="9" t="s">
        <v>11</v>
      </c>
      <c r="E6036" s="9" t="s">
        <v>13</v>
      </c>
      <c r="F6036" s="9"/>
      <c r="G6036" s="9"/>
      <c r="H6036" s="9"/>
      <c r="I6036" s="9" t="s">
        <v>13</v>
      </c>
      <c r="J6036" s="259"/>
    </row>
    <row r="6037">
      <c r="A6037" s="259"/>
      <c r="B6037" s="26"/>
      <c r="C6037" s="91" t="s">
        <v>11</v>
      </c>
      <c r="D6037" s="9" t="s">
        <v>11</v>
      </c>
      <c r="E6037" s="9" t="s">
        <v>13</v>
      </c>
      <c r="F6037" s="9"/>
      <c r="G6037" s="9"/>
      <c r="H6037" s="9"/>
      <c r="I6037" s="9" t="s">
        <v>13</v>
      </c>
      <c r="J6037" s="259"/>
    </row>
    <row r="6038">
      <c r="A6038" s="259"/>
      <c r="B6038" s="26"/>
      <c r="C6038" s="91" t="s">
        <v>11</v>
      </c>
      <c r="D6038" s="9" t="s">
        <v>11</v>
      </c>
      <c r="E6038" s="9" t="s">
        <v>13</v>
      </c>
      <c r="F6038" s="9"/>
      <c r="G6038" s="9"/>
      <c r="H6038" s="9"/>
      <c r="I6038" s="9" t="s">
        <v>13</v>
      </c>
      <c r="J6038" s="259"/>
    </row>
    <row r="6039">
      <c r="A6039" s="259"/>
      <c r="B6039" s="26"/>
      <c r="C6039" s="91" t="s">
        <v>11</v>
      </c>
      <c r="D6039" s="9" t="s">
        <v>11</v>
      </c>
      <c r="E6039" s="9" t="s">
        <v>13</v>
      </c>
      <c r="F6039" s="9"/>
      <c r="G6039" s="9"/>
      <c r="H6039" s="9"/>
      <c r="I6039" s="9" t="s">
        <v>13</v>
      </c>
      <c r="J6039" s="259"/>
    </row>
    <row r="6040">
      <c r="A6040" s="259"/>
      <c r="B6040" s="26"/>
      <c r="C6040" s="91" t="s">
        <v>11</v>
      </c>
      <c r="D6040" s="9" t="s">
        <v>11</v>
      </c>
      <c r="E6040" s="9" t="s">
        <v>13</v>
      </c>
      <c r="F6040" s="9"/>
      <c r="G6040" s="9"/>
      <c r="H6040" s="9"/>
      <c r="I6040" s="9" t="s">
        <v>13</v>
      </c>
      <c r="J6040" s="259"/>
    </row>
    <row r="6041">
      <c r="A6041" s="259"/>
      <c r="B6041" s="26"/>
      <c r="C6041" s="91" t="s">
        <v>11</v>
      </c>
      <c r="D6041" s="9" t="s">
        <v>11</v>
      </c>
      <c r="E6041" s="9" t="s">
        <v>13</v>
      </c>
      <c r="F6041" s="9"/>
      <c r="G6041" s="9"/>
      <c r="H6041" s="9"/>
      <c r="I6041" s="9" t="s">
        <v>13</v>
      </c>
      <c r="J6041" s="259"/>
    </row>
    <row r="6042">
      <c r="A6042" s="259"/>
      <c r="B6042" s="26"/>
      <c r="C6042" s="91" t="s">
        <v>11</v>
      </c>
      <c r="D6042" s="9" t="s">
        <v>11</v>
      </c>
      <c r="E6042" s="9" t="s">
        <v>13</v>
      </c>
      <c r="F6042" s="9"/>
      <c r="G6042" s="9"/>
      <c r="H6042" s="9"/>
      <c r="I6042" s="9" t="s">
        <v>13</v>
      </c>
      <c r="J6042" s="259"/>
    </row>
    <row r="6043">
      <c r="A6043" s="259"/>
      <c r="B6043" s="26"/>
      <c r="C6043" s="91" t="s">
        <v>11</v>
      </c>
      <c r="D6043" s="9" t="s">
        <v>11</v>
      </c>
      <c r="E6043" s="9" t="s">
        <v>13</v>
      </c>
      <c r="F6043" s="9"/>
      <c r="G6043" s="9"/>
      <c r="H6043" s="9"/>
      <c r="I6043" s="9" t="s">
        <v>13</v>
      </c>
      <c r="J6043" s="259"/>
    </row>
    <row r="6044">
      <c r="A6044" s="259"/>
      <c r="B6044" s="26"/>
      <c r="C6044" s="91" t="s">
        <v>11</v>
      </c>
      <c r="D6044" s="9" t="s">
        <v>11</v>
      </c>
      <c r="E6044" s="9" t="s">
        <v>13</v>
      </c>
      <c r="F6044" s="9"/>
      <c r="G6044" s="9"/>
      <c r="H6044" s="9"/>
      <c r="I6044" s="9" t="s">
        <v>13</v>
      </c>
      <c r="J6044" s="259"/>
    </row>
    <row r="6045">
      <c r="A6045" s="259"/>
      <c r="B6045" s="26"/>
      <c r="C6045" s="91" t="s">
        <v>11</v>
      </c>
      <c r="D6045" s="9" t="s">
        <v>11</v>
      </c>
      <c r="E6045" s="9" t="s">
        <v>13</v>
      </c>
      <c r="F6045" s="9"/>
      <c r="G6045" s="9"/>
      <c r="H6045" s="9"/>
      <c r="I6045" s="9" t="s">
        <v>13</v>
      </c>
      <c r="J6045" s="259"/>
    </row>
    <row r="6046">
      <c r="A6046" s="259"/>
      <c r="B6046" s="26"/>
      <c r="C6046" s="91" t="s">
        <v>11</v>
      </c>
      <c r="D6046" s="9" t="s">
        <v>11</v>
      </c>
      <c r="E6046" s="9" t="s">
        <v>13</v>
      </c>
      <c r="F6046" s="9"/>
      <c r="G6046" s="9"/>
      <c r="H6046" s="9"/>
      <c r="I6046" s="9" t="s">
        <v>13</v>
      </c>
      <c r="J6046" s="259"/>
    </row>
    <row r="6047">
      <c r="A6047" s="259"/>
      <c r="B6047" s="26"/>
      <c r="C6047" s="91" t="s">
        <v>11</v>
      </c>
      <c r="D6047" s="9" t="s">
        <v>11</v>
      </c>
      <c r="E6047" s="9" t="s">
        <v>13</v>
      </c>
      <c r="F6047" s="9"/>
      <c r="G6047" s="9"/>
      <c r="H6047" s="9"/>
      <c r="I6047" s="9" t="s">
        <v>13</v>
      </c>
      <c r="J6047" s="259"/>
    </row>
    <row r="6048">
      <c r="A6048" s="259"/>
      <c r="B6048" s="26"/>
      <c r="C6048" s="91" t="s">
        <v>11</v>
      </c>
      <c r="D6048" s="9" t="s">
        <v>11</v>
      </c>
      <c r="E6048" s="9" t="s">
        <v>13</v>
      </c>
      <c r="F6048" s="9"/>
      <c r="G6048" s="9"/>
      <c r="H6048" s="9"/>
      <c r="I6048" s="9" t="s">
        <v>13</v>
      </c>
      <c r="J6048" s="259"/>
    </row>
    <row r="6049">
      <c r="A6049" s="259"/>
      <c r="B6049" s="26"/>
      <c r="C6049" s="91" t="s">
        <v>11</v>
      </c>
      <c r="D6049" s="9" t="s">
        <v>11</v>
      </c>
      <c r="E6049" s="9" t="s">
        <v>13</v>
      </c>
      <c r="F6049" s="9"/>
      <c r="G6049" s="9"/>
      <c r="H6049" s="9"/>
      <c r="I6049" s="9" t="s">
        <v>13</v>
      </c>
      <c r="J6049" s="259"/>
    </row>
    <row r="6050">
      <c r="A6050" s="259"/>
      <c r="B6050" s="26"/>
      <c r="C6050" s="91" t="s">
        <v>11</v>
      </c>
      <c r="D6050" s="9" t="s">
        <v>11</v>
      </c>
      <c r="E6050" s="9" t="s">
        <v>13</v>
      </c>
      <c r="F6050" s="9"/>
      <c r="G6050" s="9"/>
      <c r="H6050" s="9"/>
      <c r="I6050" s="9" t="s">
        <v>13</v>
      </c>
      <c r="J6050" s="259"/>
    </row>
    <row r="6051">
      <c r="A6051" s="259"/>
      <c r="B6051" s="26"/>
      <c r="C6051" s="91" t="s">
        <v>11</v>
      </c>
      <c r="D6051" s="9" t="s">
        <v>11</v>
      </c>
      <c r="E6051" s="9" t="s">
        <v>13</v>
      </c>
      <c r="F6051" s="9"/>
      <c r="G6051" s="9"/>
      <c r="H6051" s="9"/>
      <c r="I6051" s="9" t="s">
        <v>13</v>
      </c>
      <c r="J6051" s="259"/>
    </row>
    <row r="6052">
      <c r="A6052" s="259"/>
      <c r="B6052" s="26"/>
      <c r="C6052" s="91" t="s">
        <v>11</v>
      </c>
      <c r="D6052" s="9" t="s">
        <v>11</v>
      </c>
      <c r="E6052" s="9" t="s">
        <v>13</v>
      </c>
      <c r="F6052" s="9"/>
      <c r="G6052" s="9"/>
      <c r="H6052" s="9"/>
      <c r="I6052" s="9" t="s">
        <v>13</v>
      </c>
      <c r="J6052" s="259"/>
    </row>
    <row r="6053">
      <c r="A6053" s="259"/>
      <c r="B6053" s="26"/>
      <c r="C6053" s="91" t="s">
        <v>11</v>
      </c>
      <c r="D6053" s="9" t="s">
        <v>11</v>
      </c>
      <c r="E6053" s="9" t="s">
        <v>13</v>
      </c>
      <c r="F6053" s="9"/>
      <c r="G6053" s="9"/>
      <c r="H6053" s="9"/>
      <c r="I6053" s="9" t="s">
        <v>13</v>
      </c>
      <c r="J6053" s="259"/>
    </row>
    <row r="6054">
      <c r="A6054" s="259"/>
      <c r="B6054" s="26"/>
      <c r="C6054" s="91" t="s">
        <v>11</v>
      </c>
      <c r="D6054" s="9" t="s">
        <v>11</v>
      </c>
      <c r="E6054" s="9" t="s">
        <v>13</v>
      </c>
      <c r="F6054" s="9"/>
      <c r="G6054" s="9"/>
      <c r="H6054" s="9"/>
      <c r="I6054" s="9" t="s">
        <v>13</v>
      </c>
      <c r="J6054" s="259"/>
    </row>
    <row r="6055">
      <c r="A6055" s="259"/>
      <c r="B6055" s="26"/>
      <c r="C6055" s="91" t="s">
        <v>11</v>
      </c>
      <c r="D6055" s="9" t="s">
        <v>11</v>
      </c>
      <c r="E6055" s="9" t="s">
        <v>13</v>
      </c>
      <c r="F6055" s="9"/>
      <c r="G6055" s="9"/>
      <c r="H6055" s="9"/>
      <c r="I6055" s="9" t="s">
        <v>13</v>
      </c>
      <c r="J6055" s="259"/>
    </row>
    <row r="6056">
      <c r="A6056" s="259"/>
      <c r="B6056" s="26"/>
      <c r="C6056" s="91" t="s">
        <v>11</v>
      </c>
      <c r="D6056" s="9" t="s">
        <v>11</v>
      </c>
      <c r="E6056" s="9" t="s">
        <v>13</v>
      </c>
      <c r="F6056" s="9"/>
      <c r="G6056" s="9"/>
      <c r="H6056" s="9"/>
      <c r="I6056" s="9" t="s">
        <v>13</v>
      </c>
      <c r="J6056" s="259"/>
    </row>
    <row r="6057">
      <c r="A6057" s="259"/>
      <c r="B6057" s="26"/>
      <c r="C6057" s="91" t="s">
        <v>11</v>
      </c>
      <c r="D6057" s="9" t="s">
        <v>11</v>
      </c>
      <c r="E6057" s="9" t="s">
        <v>13</v>
      </c>
      <c r="F6057" s="9"/>
      <c r="G6057" s="9"/>
      <c r="H6057" s="9"/>
      <c r="I6057" s="9" t="s">
        <v>13</v>
      </c>
      <c r="J6057" s="259"/>
    </row>
    <row r="6058">
      <c r="A6058" s="259"/>
      <c r="B6058" s="26"/>
      <c r="C6058" s="91" t="s">
        <v>11</v>
      </c>
      <c r="D6058" s="9" t="s">
        <v>11</v>
      </c>
      <c r="E6058" s="9" t="s">
        <v>13</v>
      </c>
      <c r="F6058" s="9"/>
      <c r="G6058" s="9"/>
      <c r="H6058" s="9"/>
      <c r="I6058" s="9" t="s">
        <v>13</v>
      </c>
      <c r="J6058" s="259"/>
    </row>
    <row r="6059">
      <c r="A6059" s="259"/>
      <c r="B6059" s="26"/>
      <c r="C6059" s="91" t="s">
        <v>11</v>
      </c>
      <c r="D6059" s="9" t="s">
        <v>11</v>
      </c>
      <c r="E6059" s="9" t="s">
        <v>13</v>
      </c>
      <c r="F6059" s="9"/>
      <c r="G6059" s="9"/>
      <c r="H6059" s="9"/>
      <c r="I6059" s="9" t="s">
        <v>13</v>
      </c>
      <c r="J6059" s="259"/>
    </row>
    <row r="6060">
      <c r="A6060" s="259"/>
      <c r="B6060" s="26"/>
      <c r="C6060" s="91" t="s">
        <v>11</v>
      </c>
      <c r="D6060" s="9" t="s">
        <v>11</v>
      </c>
      <c r="E6060" s="9" t="s">
        <v>13</v>
      </c>
      <c r="F6060" s="9"/>
      <c r="G6060" s="9"/>
      <c r="H6060" s="9"/>
      <c r="I6060" s="9" t="s">
        <v>13</v>
      </c>
      <c r="J6060" s="259"/>
    </row>
    <row r="6061">
      <c r="A6061" s="259"/>
      <c r="B6061" s="26"/>
      <c r="C6061" s="91" t="s">
        <v>11</v>
      </c>
      <c r="D6061" s="9" t="s">
        <v>11</v>
      </c>
      <c r="E6061" s="9" t="s">
        <v>13</v>
      </c>
      <c r="F6061" s="9"/>
      <c r="G6061" s="9"/>
      <c r="H6061" s="9"/>
      <c r="I6061" s="9" t="s">
        <v>13</v>
      </c>
      <c r="J6061" s="259"/>
    </row>
    <row r="6062">
      <c r="A6062" s="259"/>
      <c r="B6062" s="26"/>
      <c r="C6062" s="91" t="s">
        <v>11</v>
      </c>
      <c r="D6062" s="9" t="s">
        <v>11</v>
      </c>
      <c r="E6062" s="9" t="s">
        <v>13</v>
      </c>
      <c r="F6062" s="9"/>
      <c r="G6062" s="9"/>
      <c r="H6062" s="9"/>
      <c r="I6062" s="9" t="s">
        <v>13</v>
      </c>
      <c r="J6062" s="259"/>
    </row>
    <row r="6063">
      <c r="A6063" s="259"/>
      <c r="B6063" s="26"/>
      <c r="C6063" s="91" t="s">
        <v>11</v>
      </c>
      <c r="D6063" s="9" t="s">
        <v>11</v>
      </c>
      <c r="E6063" s="9" t="s">
        <v>13</v>
      </c>
      <c r="F6063" s="9"/>
      <c r="G6063" s="9"/>
      <c r="H6063" s="9"/>
      <c r="I6063" s="9" t="s">
        <v>13</v>
      </c>
      <c r="J6063" s="259"/>
    </row>
    <row r="6064">
      <c r="A6064" s="259"/>
      <c r="B6064" s="26"/>
      <c r="C6064" s="91" t="s">
        <v>11</v>
      </c>
      <c r="D6064" s="9" t="s">
        <v>11</v>
      </c>
      <c r="E6064" s="9" t="s">
        <v>13</v>
      </c>
      <c r="F6064" s="9"/>
      <c r="G6064" s="9"/>
      <c r="H6064" s="9"/>
      <c r="I6064" s="9" t="s">
        <v>13</v>
      </c>
      <c r="J6064" s="259"/>
    </row>
    <row r="6065">
      <c r="A6065" s="259"/>
      <c r="B6065" s="26"/>
      <c r="C6065" s="91" t="s">
        <v>11</v>
      </c>
      <c r="D6065" s="9" t="s">
        <v>11</v>
      </c>
      <c r="E6065" s="9" t="s">
        <v>13</v>
      </c>
      <c r="F6065" s="9"/>
      <c r="G6065" s="9"/>
      <c r="H6065" s="9"/>
      <c r="I6065" s="9" t="s">
        <v>13</v>
      </c>
      <c r="J6065" s="259"/>
    </row>
    <row r="6066">
      <c r="A6066" s="259"/>
      <c r="B6066" s="26"/>
      <c r="C6066" s="91" t="s">
        <v>11</v>
      </c>
      <c r="D6066" s="9" t="s">
        <v>11</v>
      </c>
      <c r="E6066" s="9" t="s">
        <v>13</v>
      </c>
      <c r="F6066" s="9"/>
      <c r="G6066" s="9"/>
      <c r="H6066" s="9"/>
      <c r="I6066" s="9" t="s">
        <v>13</v>
      </c>
      <c r="J6066" s="259"/>
    </row>
    <row r="6067">
      <c r="A6067" s="259"/>
      <c r="B6067" s="26"/>
      <c r="C6067" s="91" t="s">
        <v>11</v>
      </c>
      <c r="D6067" s="9" t="s">
        <v>11</v>
      </c>
      <c r="E6067" s="9" t="s">
        <v>13</v>
      </c>
      <c r="F6067" s="9"/>
      <c r="G6067" s="9"/>
      <c r="H6067" s="9"/>
      <c r="I6067" s="9" t="s">
        <v>13</v>
      </c>
      <c r="J6067" s="259"/>
    </row>
    <row r="6068">
      <c r="A6068" s="259"/>
      <c r="B6068" s="26"/>
      <c r="C6068" s="91" t="s">
        <v>11</v>
      </c>
      <c r="D6068" s="9" t="s">
        <v>11</v>
      </c>
      <c r="E6068" s="9" t="s">
        <v>13</v>
      </c>
      <c r="F6068" s="9"/>
      <c r="G6068" s="9"/>
      <c r="H6068" s="9"/>
      <c r="I6068" s="9" t="s">
        <v>13</v>
      </c>
      <c r="J6068" s="259"/>
    </row>
    <row r="6069">
      <c r="A6069" s="259"/>
      <c r="B6069" s="26"/>
      <c r="C6069" s="91" t="s">
        <v>11</v>
      </c>
      <c r="D6069" s="9" t="s">
        <v>11</v>
      </c>
      <c r="E6069" s="9" t="s">
        <v>13</v>
      </c>
      <c r="F6069" s="9"/>
      <c r="G6069" s="9"/>
      <c r="H6069" s="9"/>
      <c r="I6069" s="9" t="s">
        <v>13</v>
      </c>
      <c r="J6069" s="259"/>
    </row>
    <row r="6070">
      <c r="A6070" s="259"/>
      <c r="B6070" s="26"/>
      <c r="C6070" s="91" t="s">
        <v>11</v>
      </c>
      <c r="D6070" s="9" t="s">
        <v>11</v>
      </c>
      <c r="E6070" s="9" t="s">
        <v>13</v>
      </c>
      <c r="F6070" s="9"/>
      <c r="G6070" s="9"/>
      <c r="H6070" s="9"/>
      <c r="I6070" s="9" t="s">
        <v>13</v>
      </c>
      <c r="J6070" s="259"/>
    </row>
    <row r="6071">
      <c r="A6071" s="259"/>
      <c r="B6071" s="26"/>
      <c r="C6071" s="91" t="s">
        <v>11</v>
      </c>
      <c r="D6071" s="9" t="s">
        <v>11</v>
      </c>
      <c r="E6071" s="9" t="s">
        <v>13</v>
      </c>
      <c r="F6071" s="9"/>
      <c r="G6071" s="9"/>
      <c r="H6071" s="9"/>
      <c r="I6071" s="9" t="s">
        <v>13</v>
      </c>
      <c r="J6071" s="259"/>
    </row>
    <row r="6072">
      <c r="A6072" s="259"/>
      <c r="B6072" s="26"/>
      <c r="C6072" s="91" t="s">
        <v>11</v>
      </c>
      <c r="D6072" s="9" t="s">
        <v>11</v>
      </c>
      <c r="E6072" s="9" t="s">
        <v>13</v>
      </c>
      <c r="F6072" s="9"/>
      <c r="G6072" s="9"/>
      <c r="H6072" s="9"/>
      <c r="I6072" s="9" t="s">
        <v>13</v>
      </c>
      <c r="J6072" s="259"/>
    </row>
    <row r="6073">
      <c r="A6073" s="259"/>
      <c r="B6073" s="26"/>
      <c r="C6073" s="91" t="s">
        <v>11</v>
      </c>
      <c r="D6073" s="9" t="s">
        <v>11</v>
      </c>
      <c r="E6073" s="9" t="s">
        <v>13</v>
      </c>
      <c r="F6073" s="9"/>
      <c r="G6073" s="9"/>
      <c r="H6073" s="9"/>
      <c r="I6073" s="9" t="s">
        <v>13</v>
      </c>
      <c r="J6073" s="259"/>
    </row>
    <row r="6074">
      <c r="A6074" s="259"/>
      <c r="B6074" s="26"/>
      <c r="C6074" s="91" t="s">
        <v>11</v>
      </c>
      <c r="D6074" s="9" t="s">
        <v>11</v>
      </c>
      <c r="E6074" s="9" t="s">
        <v>13</v>
      </c>
      <c r="F6074" s="9"/>
      <c r="G6074" s="9"/>
      <c r="H6074" s="9"/>
      <c r="I6074" s="9" t="s">
        <v>13</v>
      </c>
      <c r="J6074" s="259"/>
    </row>
    <row r="6075">
      <c r="A6075" s="259"/>
      <c r="B6075" s="26"/>
      <c r="C6075" s="91" t="s">
        <v>11</v>
      </c>
      <c r="D6075" s="9" t="s">
        <v>11</v>
      </c>
      <c r="E6075" s="9" t="s">
        <v>13</v>
      </c>
      <c r="F6075" s="9"/>
      <c r="G6075" s="9"/>
      <c r="H6075" s="9"/>
      <c r="I6075" s="9" t="s">
        <v>13</v>
      </c>
      <c r="J6075" s="259"/>
    </row>
    <row r="6076">
      <c r="A6076" s="259"/>
      <c r="B6076" s="26"/>
      <c r="C6076" s="91" t="s">
        <v>11</v>
      </c>
      <c r="D6076" s="9" t="s">
        <v>11</v>
      </c>
      <c r="E6076" s="9" t="s">
        <v>13</v>
      </c>
      <c r="F6076" s="9"/>
      <c r="G6076" s="9"/>
      <c r="H6076" s="9"/>
      <c r="I6076" s="9" t="s">
        <v>13</v>
      </c>
      <c r="J6076" s="259"/>
    </row>
    <row r="6077">
      <c r="A6077" s="259"/>
      <c r="B6077" s="26"/>
      <c r="C6077" s="91" t="s">
        <v>11</v>
      </c>
      <c r="D6077" s="9" t="s">
        <v>11</v>
      </c>
      <c r="E6077" s="9" t="s">
        <v>13</v>
      </c>
      <c r="F6077" s="9"/>
      <c r="G6077" s="9"/>
      <c r="H6077" s="9"/>
      <c r="I6077" s="9" t="s">
        <v>13</v>
      </c>
      <c r="J6077" s="259"/>
    </row>
    <row r="6078">
      <c r="A6078" s="259"/>
      <c r="B6078" s="26"/>
      <c r="C6078" s="91" t="s">
        <v>11</v>
      </c>
      <c r="D6078" s="9" t="s">
        <v>11</v>
      </c>
      <c r="E6078" s="9" t="s">
        <v>13</v>
      </c>
      <c r="F6078" s="9"/>
      <c r="G6078" s="9"/>
      <c r="H6078" s="9"/>
      <c r="I6078" s="9" t="s">
        <v>13</v>
      </c>
      <c r="J6078" s="259"/>
    </row>
    <row r="6079">
      <c r="A6079" s="259"/>
      <c r="B6079" s="26"/>
      <c r="C6079" s="91" t="s">
        <v>11</v>
      </c>
      <c r="D6079" s="9" t="s">
        <v>11</v>
      </c>
      <c r="E6079" s="9" t="s">
        <v>13</v>
      </c>
      <c r="F6079" s="9"/>
      <c r="G6079" s="9"/>
      <c r="H6079" s="9"/>
      <c r="I6079" s="9" t="s">
        <v>13</v>
      </c>
      <c r="J6079" s="259"/>
    </row>
    <row r="6080">
      <c r="A6080" s="259"/>
      <c r="B6080" s="26"/>
      <c r="C6080" s="91" t="s">
        <v>11</v>
      </c>
      <c r="D6080" s="9" t="s">
        <v>11</v>
      </c>
      <c r="E6080" s="9" t="s">
        <v>13</v>
      </c>
      <c r="F6080" s="9"/>
      <c r="G6080" s="9"/>
      <c r="H6080" s="9"/>
      <c r="I6080" s="9" t="s">
        <v>13</v>
      </c>
      <c r="J6080" s="259"/>
    </row>
    <row r="6081">
      <c r="A6081" s="259"/>
      <c r="B6081" s="26"/>
      <c r="C6081" s="91" t="s">
        <v>11</v>
      </c>
      <c r="D6081" s="9" t="s">
        <v>11</v>
      </c>
      <c r="E6081" s="9" t="s">
        <v>13</v>
      </c>
      <c r="F6081" s="9"/>
      <c r="G6081" s="9"/>
      <c r="H6081" s="9"/>
      <c r="I6081" s="9" t="s">
        <v>13</v>
      </c>
      <c r="J6081" s="259"/>
    </row>
    <row r="6082">
      <c r="A6082" s="259"/>
      <c r="B6082" s="26"/>
      <c r="C6082" s="91" t="s">
        <v>11</v>
      </c>
      <c r="D6082" s="9" t="s">
        <v>11</v>
      </c>
      <c r="E6082" s="9" t="s">
        <v>13</v>
      </c>
      <c r="F6082" s="9"/>
      <c r="G6082" s="9"/>
      <c r="H6082" s="9"/>
      <c r="I6082" s="9" t="s">
        <v>13</v>
      </c>
      <c r="J6082" s="259"/>
    </row>
    <row r="6083">
      <c r="A6083" s="259"/>
      <c r="B6083" s="26"/>
      <c r="C6083" s="91" t="s">
        <v>11</v>
      </c>
      <c r="D6083" s="9" t="s">
        <v>11</v>
      </c>
      <c r="E6083" s="9" t="s">
        <v>13</v>
      </c>
      <c r="F6083" s="9"/>
      <c r="G6083" s="9"/>
      <c r="H6083" s="9"/>
      <c r="I6083" s="9" t="s">
        <v>13</v>
      </c>
      <c r="J6083" s="259"/>
    </row>
    <row r="6084">
      <c r="A6084" s="259"/>
      <c r="B6084" s="26"/>
      <c r="C6084" s="91" t="s">
        <v>11</v>
      </c>
      <c r="D6084" s="9" t="s">
        <v>11</v>
      </c>
      <c r="E6084" s="9" t="s">
        <v>13</v>
      </c>
      <c r="F6084" s="9"/>
      <c r="G6084" s="9"/>
      <c r="H6084" s="9"/>
      <c r="I6084" s="9" t="s">
        <v>13</v>
      </c>
      <c r="J6084" s="259"/>
    </row>
    <row r="6085">
      <c r="A6085" s="259"/>
      <c r="B6085" s="26"/>
      <c r="C6085" s="91" t="s">
        <v>11</v>
      </c>
      <c r="D6085" s="9" t="s">
        <v>11</v>
      </c>
      <c r="E6085" s="9" t="s">
        <v>13</v>
      </c>
      <c r="F6085" s="9"/>
      <c r="G6085" s="9"/>
      <c r="H6085" s="9"/>
      <c r="I6085" s="9" t="s">
        <v>13</v>
      </c>
      <c r="J6085" s="259"/>
    </row>
    <row r="6086">
      <c r="A6086" s="259"/>
      <c r="B6086" s="26"/>
      <c r="C6086" s="91" t="s">
        <v>11</v>
      </c>
      <c r="D6086" s="9" t="s">
        <v>11</v>
      </c>
      <c r="E6086" s="9" t="s">
        <v>13</v>
      </c>
      <c r="F6086" s="9"/>
      <c r="G6086" s="9"/>
      <c r="H6086" s="9"/>
      <c r="I6086" s="9" t="s">
        <v>13</v>
      </c>
      <c r="J6086" s="259"/>
    </row>
    <row r="6087">
      <c r="A6087" s="259"/>
      <c r="B6087" s="26"/>
      <c r="C6087" s="91" t="s">
        <v>11</v>
      </c>
      <c r="D6087" s="9" t="s">
        <v>11</v>
      </c>
      <c r="E6087" s="9" t="s">
        <v>13</v>
      </c>
      <c r="F6087" s="9"/>
      <c r="G6087" s="9"/>
      <c r="H6087" s="9"/>
      <c r="I6087" s="9" t="s">
        <v>13</v>
      </c>
      <c r="J6087" s="259"/>
    </row>
    <row r="6088">
      <c r="A6088" s="259"/>
      <c r="B6088" s="26"/>
      <c r="C6088" s="91" t="s">
        <v>11</v>
      </c>
      <c r="D6088" s="9" t="s">
        <v>11</v>
      </c>
      <c r="E6088" s="9" t="s">
        <v>13</v>
      </c>
      <c r="F6088" s="9"/>
      <c r="G6088" s="9"/>
      <c r="H6088" s="9"/>
      <c r="I6088" s="9" t="s">
        <v>13</v>
      </c>
      <c r="J6088" s="259"/>
    </row>
    <row r="6089">
      <c r="A6089" s="259"/>
      <c r="B6089" s="26"/>
      <c r="C6089" s="91" t="s">
        <v>11</v>
      </c>
      <c r="D6089" s="9" t="s">
        <v>11</v>
      </c>
      <c r="E6089" s="9" t="s">
        <v>13</v>
      </c>
      <c r="F6089" s="9"/>
      <c r="G6089" s="9"/>
      <c r="H6089" s="9"/>
      <c r="I6089" s="9" t="s">
        <v>13</v>
      </c>
      <c r="J6089" s="259"/>
    </row>
    <row r="6090">
      <c r="A6090" s="259"/>
      <c r="B6090" s="26"/>
      <c r="C6090" s="91" t="s">
        <v>11</v>
      </c>
      <c r="D6090" s="9" t="s">
        <v>11</v>
      </c>
      <c r="E6090" s="9" t="s">
        <v>13</v>
      </c>
      <c r="F6090" s="9"/>
      <c r="G6090" s="9"/>
      <c r="H6090" s="9"/>
      <c r="I6090" s="9" t="s">
        <v>13</v>
      </c>
      <c r="J6090" s="259"/>
    </row>
    <row r="6091">
      <c r="A6091" s="259"/>
      <c r="B6091" s="26"/>
      <c r="C6091" s="91" t="s">
        <v>11</v>
      </c>
      <c r="D6091" s="9" t="s">
        <v>11</v>
      </c>
      <c r="E6091" s="9" t="s">
        <v>13</v>
      </c>
      <c r="F6091" s="9"/>
      <c r="G6091" s="9"/>
      <c r="H6091" s="9"/>
      <c r="I6091" s="9" t="s">
        <v>13</v>
      </c>
      <c r="J6091" s="259"/>
    </row>
    <row r="6092">
      <c r="A6092" s="259"/>
      <c r="B6092" s="26"/>
      <c r="C6092" s="91" t="s">
        <v>11</v>
      </c>
      <c r="D6092" s="9" t="s">
        <v>11</v>
      </c>
      <c r="E6092" s="9" t="s">
        <v>13</v>
      </c>
      <c r="F6092" s="9"/>
      <c r="G6092" s="9"/>
      <c r="H6092" s="9"/>
      <c r="I6092" s="9" t="s">
        <v>13</v>
      </c>
      <c r="J6092" s="259"/>
    </row>
    <row r="6093">
      <c r="A6093" s="259"/>
      <c r="B6093" s="26"/>
      <c r="C6093" s="91" t="s">
        <v>11</v>
      </c>
      <c r="D6093" s="9" t="s">
        <v>11</v>
      </c>
      <c r="E6093" s="9" t="s">
        <v>13</v>
      </c>
      <c r="F6093" s="9"/>
      <c r="G6093" s="9"/>
      <c r="H6093" s="9"/>
      <c r="I6093" s="9" t="s">
        <v>13</v>
      </c>
      <c r="J6093" s="259"/>
    </row>
    <row r="6094">
      <c r="A6094" s="259"/>
      <c r="B6094" s="26"/>
      <c r="C6094" s="91" t="s">
        <v>11</v>
      </c>
      <c r="D6094" s="9" t="s">
        <v>11</v>
      </c>
      <c r="E6094" s="9" t="s">
        <v>13</v>
      </c>
      <c r="F6094" s="9"/>
      <c r="G6094" s="9"/>
      <c r="H6094" s="9"/>
      <c r="I6094" s="9" t="s">
        <v>13</v>
      </c>
      <c r="J6094" s="259"/>
    </row>
    <row r="6095">
      <c r="A6095" s="259"/>
      <c r="B6095" s="26"/>
      <c r="C6095" s="91" t="s">
        <v>11</v>
      </c>
      <c r="D6095" s="9" t="s">
        <v>11</v>
      </c>
      <c r="E6095" s="9" t="s">
        <v>13</v>
      </c>
      <c r="F6095" s="9"/>
      <c r="G6095" s="9"/>
      <c r="H6095" s="9"/>
      <c r="I6095" s="9" t="s">
        <v>13</v>
      </c>
      <c r="J6095" s="259"/>
    </row>
    <row r="6096">
      <c r="A6096" s="259"/>
      <c r="B6096" s="26"/>
      <c r="C6096" s="91" t="s">
        <v>11</v>
      </c>
      <c r="D6096" s="9" t="s">
        <v>11</v>
      </c>
      <c r="E6096" s="9" t="s">
        <v>13</v>
      </c>
      <c r="F6096" s="9"/>
      <c r="G6096" s="9"/>
      <c r="H6096" s="9"/>
      <c r="I6096" s="9" t="s">
        <v>13</v>
      </c>
      <c r="J6096" s="259"/>
    </row>
    <row r="6097">
      <c r="A6097" s="259"/>
      <c r="B6097" s="26"/>
      <c r="C6097" s="91" t="s">
        <v>11</v>
      </c>
      <c r="D6097" s="9" t="s">
        <v>11</v>
      </c>
      <c r="E6097" s="9" t="s">
        <v>13</v>
      </c>
      <c r="F6097" s="9"/>
      <c r="G6097" s="9"/>
      <c r="H6097" s="9"/>
      <c r="I6097" s="9" t="s">
        <v>13</v>
      </c>
      <c r="J6097" s="259"/>
    </row>
    <row r="6098">
      <c r="A6098" s="259"/>
      <c r="B6098" s="26"/>
      <c r="C6098" s="91" t="s">
        <v>11</v>
      </c>
      <c r="D6098" s="9" t="s">
        <v>11</v>
      </c>
      <c r="E6098" s="9" t="s">
        <v>13</v>
      </c>
      <c r="F6098" s="9"/>
      <c r="G6098" s="9"/>
      <c r="H6098" s="9"/>
      <c r="I6098" s="9" t="s">
        <v>13</v>
      </c>
      <c r="J6098" s="259"/>
    </row>
    <row r="6099">
      <c r="A6099" s="259"/>
      <c r="B6099" s="26"/>
      <c r="C6099" s="91" t="s">
        <v>11</v>
      </c>
      <c r="D6099" s="9" t="s">
        <v>11</v>
      </c>
      <c r="E6099" s="9" t="s">
        <v>13</v>
      </c>
      <c r="F6099" s="9"/>
      <c r="G6099" s="9"/>
      <c r="H6099" s="9"/>
      <c r="I6099" s="9" t="s">
        <v>13</v>
      </c>
      <c r="J6099" s="259"/>
    </row>
    <row r="6100">
      <c r="A6100" s="259"/>
      <c r="B6100" s="26"/>
      <c r="C6100" s="91" t="s">
        <v>11</v>
      </c>
      <c r="D6100" s="9" t="s">
        <v>11</v>
      </c>
      <c r="E6100" s="9" t="s">
        <v>13</v>
      </c>
      <c r="F6100" s="9"/>
      <c r="G6100" s="9"/>
      <c r="H6100" s="9"/>
      <c r="I6100" s="9" t="s">
        <v>13</v>
      </c>
      <c r="J6100" s="259"/>
    </row>
    <row r="6101">
      <c r="A6101" s="259"/>
      <c r="B6101" s="26"/>
      <c r="C6101" s="91" t="s">
        <v>11</v>
      </c>
      <c r="D6101" s="9" t="s">
        <v>11</v>
      </c>
      <c r="E6101" s="9" t="s">
        <v>13</v>
      </c>
      <c r="F6101" s="9"/>
      <c r="G6101" s="9"/>
      <c r="H6101" s="9"/>
      <c r="I6101" s="9" t="s">
        <v>13</v>
      </c>
      <c r="J6101" s="259"/>
    </row>
    <row r="6102">
      <c r="A6102" s="259"/>
      <c r="B6102" s="26"/>
      <c r="C6102" s="91" t="s">
        <v>11</v>
      </c>
      <c r="D6102" s="9" t="s">
        <v>11</v>
      </c>
      <c r="E6102" s="9" t="s">
        <v>13</v>
      </c>
      <c r="F6102" s="9"/>
      <c r="G6102" s="9"/>
      <c r="H6102" s="9"/>
      <c r="I6102" s="9" t="s">
        <v>13</v>
      </c>
      <c r="J6102" s="259"/>
    </row>
    <row r="6103">
      <c r="A6103" s="259"/>
      <c r="B6103" s="26"/>
      <c r="C6103" s="91" t="s">
        <v>11</v>
      </c>
      <c r="D6103" s="9" t="s">
        <v>11</v>
      </c>
      <c r="E6103" s="9" t="s">
        <v>13</v>
      </c>
      <c r="F6103" s="9"/>
      <c r="G6103" s="9"/>
      <c r="H6103" s="9"/>
      <c r="I6103" s="9" t="s">
        <v>13</v>
      </c>
      <c r="J6103" s="259"/>
    </row>
    <row r="6104">
      <c r="A6104" s="259"/>
      <c r="B6104" s="26"/>
      <c r="C6104" s="91" t="s">
        <v>11</v>
      </c>
      <c r="D6104" s="9" t="s">
        <v>11</v>
      </c>
      <c r="E6104" s="9" t="s">
        <v>13</v>
      </c>
      <c r="F6104" s="9"/>
      <c r="G6104" s="9"/>
      <c r="H6104" s="9"/>
      <c r="I6104" s="9" t="s">
        <v>13</v>
      </c>
      <c r="J6104" s="259"/>
    </row>
    <row r="6105">
      <c r="A6105" s="259"/>
      <c r="B6105" s="26"/>
      <c r="C6105" s="91" t="s">
        <v>11</v>
      </c>
      <c r="D6105" s="9" t="s">
        <v>11</v>
      </c>
      <c r="E6105" s="9" t="s">
        <v>13</v>
      </c>
      <c r="F6105" s="9"/>
      <c r="G6105" s="9"/>
      <c r="H6105" s="9"/>
      <c r="I6105" s="9" t="s">
        <v>13</v>
      </c>
      <c r="J6105" s="259"/>
    </row>
    <row r="6106">
      <c r="A6106" s="259"/>
      <c r="B6106" s="26"/>
      <c r="C6106" s="91" t="s">
        <v>11</v>
      </c>
      <c r="D6106" s="9" t="s">
        <v>11</v>
      </c>
      <c r="E6106" s="9" t="s">
        <v>13</v>
      </c>
      <c r="F6106" s="9"/>
      <c r="G6106" s="9"/>
      <c r="H6106" s="9"/>
      <c r="I6106" s="9" t="s">
        <v>13</v>
      </c>
      <c r="J6106" s="259"/>
    </row>
    <row r="6107">
      <c r="A6107" s="259"/>
      <c r="B6107" s="26"/>
      <c r="C6107" s="91" t="s">
        <v>11</v>
      </c>
      <c r="D6107" s="9" t="s">
        <v>11</v>
      </c>
      <c r="E6107" s="9" t="s">
        <v>13</v>
      </c>
      <c r="F6107" s="9"/>
      <c r="G6107" s="9"/>
      <c r="H6107" s="9"/>
      <c r="I6107" s="9" t="s">
        <v>13</v>
      </c>
      <c r="J6107" s="259"/>
    </row>
    <row r="6108">
      <c r="A6108" s="259"/>
      <c r="B6108" s="26"/>
      <c r="C6108" s="91" t="s">
        <v>11</v>
      </c>
      <c r="D6108" s="9" t="s">
        <v>11</v>
      </c>
      <c r="E6108" s="9" t="s">
        <v>13</v>
      </c>
      <c r="F6108" s="9"/>
      <c r="G6108" s="9"/>
      <c r="H6108" s="9"/>
      <c r="I6108" s="9" t="s">
        <v>13</v>
      </c>
      <c r="J6108" s="259"/>
    </row>
    <row r="6109">
      <c r="A6109" s="259"/>
      <c r="B6109" s="26"/>
      <c r="C6109" s="91" t="s">
        <v>11</v>
      </c>
      <c r="D6109" s="9" t="s">
        <v>11</v>
      </c>
      <c r="E6109" s="9" t="s">
        <v>13</v>
      </c>
      <c r="F6109" s="9"/>
      <c r="G6109" s="9"/>
      <c r="H6109" s="9"/>
      <c r="I6109" s="9" t="s">
        <v>13</v>
      </c>
      <c r="J6109" s="259"/>
    </row>
    <row r="6110">
      <c r="A6110" s="259"/>
      <c r="B6110" s="26"/>
      <c r="C6110" s="91" t="s">
        <v>11</v>
      </c>
      <c r="D6110" s="9" t="s">
        <v>11</v>
      </c>
      <c r="E6110" s="9" t="s">
        <v>13</v>
      </c>
      <c r="F6110" s="9"/>
      <c r="G6110" s="9"/>
      <c r="H6110" s="9"/>
      <c r="I6110" s="9" t="s">
        <v>13</v>
      </c>
      <c r="J6110" s="259"/>
    </row>
    <row r="6111">
      <c r="A6111" s="259"/>
      <c r="B6111" s="26"/>
      <c r="C6111" s="91" t="s">
        <v>11</v>
      </c>
      <c r="D6111" s="9" t="s">
        <v>11</v>
      </c>
      <c r="E6111" s="9" t="s">
        <v>13</v>
      </c>
      <c r="F6111" s="9"/>
      <c r="G6111" s="9"/>
      <c r="H6111" s="9"/>
      <c r="I6111" s="9" t="s">
        <v>13</v>
      </c>
      <c r="J6111" s="259"/>
    </row>
    <row r="6112">
      <c r="A6112" s="259"/>
      <c r="B6112" s="26"/>
      <c r="C6112" s="91" t="s">
        <v>11</v>
      </c>
      <c r="D6112" s="9" t="s">
        <v>11</v>
      </c>
      <c r="E6112" s="9" t="s">
        <v>13</v>
      </c>
      <c r="F6112" s="9"/>
      <c r="G6112" s="9"/>
      <c r="H6112" s="9"/>
      <c r="I6112" s="9" t="s">
        <v>13</v>
      </c>
      <c r="J6112" s="259"/>
    </row>
    <row r="6113">
      <c r="A6113" s="259"/>
      <c r="B6113" s="26"/>
      <c r="C6113" s="91" t="s">
        <v>11</v>
      </c>
      <c r="D6113" s="9" t="s">
        <v>11</v>
      </c>
      <c r="E6113" s="9" t="s">
        <v>13</v>
      </c>
      <c r="F6113" s="9"/>
      <c r="G6113" s="9"/>
      <c r="H6113" s="9"/>
      <c r="I6113" s="9" t="s">
        <v>13</v>
      </c>
      <c r="J6113" s="259"/>
    </row>
    <row r="6114">
      <c r="A6114" s="259"/>
      <c r="B6114" s="26"/>
      <c r="C6114" s="91" t="s">
        <v>11</v>
      </c>
      <c r="D6114" s="9" t="s">
        <v>11</v>
      </c>
      <c r="E6114" s="9" t="s">
        <v>13</v>
      </c>
      <c r="F6114" s="9"/>
      <c r="G6114" s="9"/>
      <c r="H6114" s="9"/>
      <c r="I6114" s="9" t="s">
        <v>13</v>
      </c>
      <c r="J6114" s="259"/>
    </row>
    <row r="6115">
      <c r="A6115" s="259"/>
      <c r="B6115" s="26"/>
      <c r="C6115" s="91" t="s">
        <v>11</v>
      </c>
      <c r="D6115" s="9" t="s">
        <v>11</v>
      </c>
      <c r="E6115" s="9" t="s">
        <v>13</v>
      </c>
      <c r="F6115" s="9"/>
      <c r="G6115" s="9"/>
      <c r="H6115" s="9"/>
      <c r="I6115" s="9" t="s">
        <v>13</v>
      </c>
      <c r="J6115" s="259"/>
    </row>
    <row r="6116">
      <c r="A6116" s="259"/>
      <c r="B6116" s="26"/>
      <c r="C6116" s="91" t="s">
        <v>11</v>
      </c>
      <c r="D6116" s="9" t="s">
        <v>11</v>
      </c>
      <c r="E6116" s="9" t="s">
        <v>13</v>
      </c>
      <c r="F6116" s="9"/>
      <c r="G6116" s="9"/>
      <c r="H6116" s="9"/>
      <c r="I6116" s="9" t="s">
        <v>13</v>
      </c>
      <c r="J6116" s="259"/>
    </row>
    <row r="6117">
      <c r="A6117" s="259"/>
      <c r="B6117" s="26"/>
      <c r="C6117" s="91" t="s">
        <v>11</v>
      </c>
      <c r="D6117" s="9" t="s">
        <v>11</v>
      </c>
      <c r="E6117" s="9" t="s">
        <v>13</v>
      </c>
      <c r="F6117" s="9"/>
      <c r="G6117" s="9"/>
      <c r="H6117" s="9"/>
      <c r="I6117" s="9" t="s">
        <v>13</v>
      </c>
      <c r="J6117" s="259"/>
    </row>
    <row r="6118">
      <c r="A6118" s="259"/>
      <c r="B6118" s="26"/>
      <c r="C6118" s="91" t="s">
        <v>11</v>
      </c>
      <c r="D6118" s="9" t="s">
        <v>11</v>
      </c>
      <c r="E6118" s="9" t="s">
        <v>13</v>
      </c>
      <c r="F6118" s="9"/>
      <c r="G6118" s="9"/>
      <c r="H6118" s="9"/>
      <c r="I6118" s="9" t="s">
        <v>13</v>
      </c>
      <c r="J6118" s="259"/>
    </row>
    <row r="6119">
      <c r="A6119" s="259"/>
      <c r="B6119" s="26"/>
      <c r="C6119" s="91" t="s">
        <v>11</v>
      </c>
      <c r="D6119" s="9" t="s">
        <v>11</v>
      </c>
      <c r="E6119" s="9" t="s">
        <v>13</v>
      </c>
      <c r="F6119" s="9"/>
      <c r="G6119" s="9"/>
      <c r="H6119" s="9"/>
      <c r="I6119" s="9" t="s">
        <v>13</v>
      </c>
      <c r="J6119" s="259"/>
    </row>
    <row r="6120">
      <c r="A6120" s="259"/>
      <c r="B6120" s="26"/>
      <c r="C6120" s="91" t="s">
        <v>11</v>
      </c>
      <c r="D6120" s="9" t="s">
        <v>11</v>
      </c>
      <c r="E6120" s="9" t="s">
        <v>13</v>
      </c>
      <c r="F6120" s="9"/>
      <c r="G6120" s="9"/>
      <c r="H6120" s="9"/>
      <c r="I6120" s="9" t="s">
        <v>13</v>
      </c>
      <c r="J6120" s="259"/>
    </row>
    <row r="6121">
      <c r="A6121" s="259"/>
      <c r="B6121" s="26"/>
      <c r="C6121" s="91" t="s">
        <v>11</v>
      </c>
      <c r="D6121" s="9" t="s">
        <v>11</v>
      </c>
      <c r="E6121" s="9" t="s">
        <v>13</v>
      </c>
      <c r="F6121" s="9"/>
      <c r="G6121" s="9"/>
      <c r="H6121" s="9"/>
      <c r="I6121" s="9" t="s">
        <v>13</v>
      </c>
      <c r="J6121" s="259"/>
    </row>
    <row r="6122">
      <c r="A6122" s="259"/>
      <c r="B6122" s="26"/>
      <c r="C6122" s="91" t="s">
        <v>11</v>
      </c>
      <c r="D6122" s="9" t="s">
        <v>11</v>
      </c>
      <c r="E6122" s="9" t="s">
        <v>13</v>
      </c>
      <c r="F6122" s="9"/>
      <c r="G6122" s="9"/>
      <c r="H6122" s="9"/>
      <c r="I6122" s="9" t="s">
        <v>13</v>
      </c>
      <c r="J6122" s="259"/>
    </row>
    <row r="6123">
      <c r="A6123" s="259"/>
      <c r="B6123" s="26"/>
      <c r="C6123" s="91" t="s">
        <v>11</v>
      </c>
      <c r="D6123" s="9" t="s">
        <v>11</v>
      </c>
      <c r="E6123" s="9" t="s">
        <v>13</v>
      </c>
      <c r="F6123" s="9"/>
      <c r="G6123" s="9"/>
      <c r="H6123" s="9"/>
      <c r="I6123" s="9" t="s">
        <v>13</v>
      </c>
      <c r="J6123" s="259"/>
    </row>
    <row r="6124">
      <c r="A6124" s="259"/>
      <c r="B6124" s="26"/>
      <c r="C6124" s="91" t="s">
        <v>11</v>
      </c>
      <c r="D6124" s="9" t="s">
        <v>11</v>
      </c>
      <c r="E6124" s="9" t="s">
        <v>13</v>
      </c>
      <c r="F6124" s="9"/>
      <c r="G6124" s="9"/>
      <c r="H6124" s="9"/>
      <c r="I6124" s="9" t="s">
        <v>13</v>
      </c>
      <c r="J6124" s="259"/>
    </row>
    <row r="6125">
      <c r="A6125" s="259"/>
      <c r="B6125" s="26"/>
      <c r="C6125" s="91" t="s">
        <v>11</v>
      </c>
      <c r="D6125" s="9" t="s">
        <v>11</v>
      </c>
      <c r="E6125" s="9" t="s">
        <v>13</v>
      </c>
      <c r="F6125" s="9"/>
      <c r="G6125" s="9"/>
      <c r="H6125" s="9"/>
      <c r="I6125" s="9" t="s">
        <v>13</v>
      </c>
      <c r="J6125" s="259"/>
    </row>
    <row r="6126">
      <c r="A6126" s="259"/>
      <c r="B6126" s="26"/>
      <c r="C6126" s="91" t="s">
        <v>11</v>
      </c>
      <c r="D6126" s="9" t="s">
        <v>11</v>
      </c>
      <c r="E6126" s="9" t="s">
        <v>13</v>
      </c>
      <c r="F6126" s="9"/>
      <c r="G6126" s="9"/>
      <c r="H6126" s="9"/>
      <c r="I6126" s="9" t="s">
        <v>13</v>
      </c>
      <c r="J6126" s="259"/>
    </row>
    <row r="6127">
      <c r="A6127" s="259"/>
      <c r="B6127" s="26"/>
      <c r="C6127" s="91" t="s">
        <v>11</v>
      </c>
      <c r="D6127" s="9" t="s">
        <v>11</v>
      </c>
      <c r="E6127" s="9" t="s">
        <v>13</v>
      </c>
      <c r="F6127" s="9"/>
      <c r="G6127" s="9"/>
      <c r="H6127" s="9"/>
      <c r="I6127" s="9" t="s">
        <v>13</v>
      </c>
      <c r="J6127" s="259"/>
    </row>
    <row r="6128">
      <c r="A6128" s="259"/>
      <c r="B6128" s="26"/>
      <c r="C6128" s="91" t="s">
        <v>11</v>
      </c>
      <c r="D6128" s="9" t="s">
        <v>11</v>
      </c>
      <c r="E6128" s="9" t="s">
        <v>13</v>
      </c>
      <c r="F6128" s="9"/>
      <c r="G6128" s="9"/>
      <c r="H6128" s="9"/>
      <c r="I6128" s="9" t="s">
        <v>13</v>
      </c>
      <c r="J6128" s="259"/>
    </row>
    <row r="6129">
      <c r="A6129" s="259"/>
      <c r="B6129" s="26"/>
      <c r="C6129" s="91" t="s">
        <v>11</v>
      </c>
      <c r="D6129" s="9" t="s">
        <v>11</v>
      </c>
      <c r="E6129" s="9" t="s">
        <v>13</v>
      </c>
      <c r="F6129" s="9"/>
      <c r="G6129" s="9"/>
      <c r="H6129" s="9"/>
      <c r="I6129" s="9" t="s">
        <v>13</v>
      </c>
      <c r="J6129" s="259"/>
    </row>
    <row r="6130">
      <c r="A6130" s="259"/>
      <c r="B6130" s="26"/>
      <c r="C6130" s="91" t="s">
        <v>11</v>
      </c>
      <c r="D6130" s="9" t="s">
        <v>11</v>
      </c>
      <c r="E6130" s="9" t="s">
        <v>13</v>
      </c>
      <c r="F6130" s="9"/>
      <c r="G6130" s="9"/>
      <c r="H6130" s="9"/>
      <c r="I6130" s="9" t="s">
        <v>13</v>
      </c>
      <c r="J6130" s="259"/>
    </row>
    <row r="6131">
      <c r="A6131" s="259"/>
      <c r="B6131" s="26"/>
      <c r="C6131" s="91" t="s">
        <v>11</v>
      </c>
      <c r="D6131" s="9" t="s">
        <v>11</v>
      </c>
      <c r="E6131" s="9" t="s">
        <v>13</v>
      </c>
      <c r="F6131" s="9"/>
      <c r="G6131" s="9"/>
      <c r="H6131" s="9"/>
      <c r="I6131" s="9" t="s">
        <v>13</v>
      </c>
      <c r="J6131" s="259"/>
    </row>
    <row r="6132">
      <c r="A6132" s="259"/>
      <c r="B6132" s="26"/>
      <c r="C6132" s="91" t="s">
        <v>11</v>
      </c>
      <c r="D6132" s="9" t="s">
        <v>11</v>
      </c>
      <c r="E6132" s="9" t="s">
        <v>13</v>
      </c>
      <c r="F6132" s="9"/>
      <c r="G6132" s="9"/>
      <c r="H6132" s="9"/>
      <c r="I6132" s="9" t="s">
        <v>13</v>
      </c>
      <c r="J6132" s="259"/>
    </row>
    <row r="6133">
      <c r="A6133" s="259"/>
      <c r="B6133" s="26"/>
      <c r="C6133" s="91" t="s">
        <v>11</v>
      </c>
      <c r="D6133" s="9" t="s">
        <v>11</v>
      </c>
      <c r="E6133" s="9" t="s">
        <v>13</v>
      </c>
      <c r="F6133" s="9"/>
      <c r="G6133" s="9"/>
      <c r="H6133" s="9"/>
      <c r="I6133" s="9" t="s">
        <v>13</v>
      </c>
      <c r="J6133" s="259"/>
    </row>
    <row r="6134">
      <c r="A6134" s="259"/>
      <c r="B6134" s="26"/>
      <c r="C6134" s="91" t="s">
        <v>11</v>
      </c>
      <c r="D6134" s="9" t="s">
        <v>11</v>
      </c>
      <c r="E6134" s="9" t="s">
        <v>13</v>
      </c>
      <c r="F6134" s="9"/>
      <c r="G6134" s="9"/>
      <c r="H6134" s="9"/>
      <c r="I6134" s="9" t="s">
        <v>13</v>
      </c>
      <c r="J6134" s="259"/>
    </row>
    <row r="6135">
      <c r="A6135" s="259"/>
      <c r="B6135" s="26"/>
      <c r="C6135" s="91" t="s">
        <v>11</v>
      </c>
      <c r="D6135" s="9" t="s">
        <v>11</v>
      </c>
      <c r="E6135" s="9" t="s">
        <v>13</v>
      </c>
      <c r="F6135" s="9"/>
      <c r="G6135" s="9"/>
      <c r="H6135" s="9"/>
      <c r="I6135" s="9" t="s">
        <v>13</v>
      </c>
      <c r="J6135" s="259"/>
    </row>
    <row r="6136">
      <c r="A6136" s="259"/>
      <c r="B6136" s="26"/>
      <c r="C6136" s="91" t="s">
        <v>11</v>
      </c>
      <c r="D6136" s="9" t="s">
        <v>11</v>
      </c>
      <c r="E6136" s="9" t="s">
        <v>13</v>
      </c>
      <c r="F6136" s="9"/>
      <c r="G6136" s="9"/>
      <c r="H6136" s="9"/>
      <c r="I6136" s="9" t="s">
        <v>13</v>
      </c>
      <c r="J6136" s="259"/>
    </row>
    <row r="6137">
      <c r="A6137" s="259"/>
      <c r="B6137" s="26"/>
      <c r="C6137" s="91" t="s">
        <v>11</v>
      </c>
      <c r="D6137" s="9" t="s">
        <v>11</v>
      </c>
      <c r="E6137" s="9" t="s">
        <v>13</v>
      </c>
      <c r="F6137" s="9"/>
      <c r="G6137" s="9"/>
      <c r="H6137" s="9"/>
      <c r="I6137" s="9" t="s">
        <v>13</v>
      </c>
      <c r="J6137" s="259"/>
    </row>
    <row r="6138">
      <c r="A6138" s="259"/>
      <c r="B6138" s="26"/>
      <c r="C6138" s="91" t="s">
        <v>11</v>
      </c>
      <c r="D6138" s="9" t="s">
        <v>11</v>
      </c>
      <c r="E6138" s="9" t="s">
        <v>13</v>
      </c>
      <c r="F6138" s="9"/>
      <c r="G6138" s="9"/>
      <c r="H6138" s="9"/>
      <c r="I6138" s="9" t="s">
        <v>13</v>
      </c>
      <c r="J6138" s="259"/>
    </row>
    <row r="6139">
      <c r="A6139" s="259"/>
      <c r="B6139" s="26"/>
      <c r="C6139" s="91" t="s">
        <v>11</v>
      </c>
      <c r="D6139" s="9" t="s">
        <v>11</v>
      </c>
      <c r="E6139" s="9" t="s">
        <v>13</v>
      </c>
      <c r="F6139" s="9"/>
      <c r="G6139" s="9"/>
      <c r="H6139" s="9"/>
      <c r="I6139" s="9" t="s">
        <v>13</v>
      </c>
      <c r="J6139" s="259"/>
    </row>
    <row r="6140">
      <c r="A6140" s="259"/>
      <c r="B6140" s="26"/>
      <c r="C6140" s="91" t="s">
        <v>11</v>
      </c>
      <c r="D6140" s="9" t="s">
        <v>11</v>
      </c>
      <c r="E6140" s="9" t="s">
        <v>13</v>
      </c>
      <c r="F6140" s="9"/>
      <c r="G6140" s="9"/>
      <c r="H6140" s="9"/>
      <c r="I6140" s="9" t="s">
        <v>13</v>
      </c>
      <c r="J6140" s="259"/>
    </row>
    <row r="6141">
      <c r="A6141" s="259"/>
      <c r="B6141" s="26"/>
      <c r="C6141" s="91" t="s">
        <v>11</v>
      </c>
      <c r="D6141" s="9" t="s">
        <v>11</v>
      </c>
      <c r="E6141" s="9" t="s">
        <v>13</v>
      </c>
      <c r="F6141" s="9"/>
      <c r="G6141" s="9"/>
      <c r="H6141" s="9"/>
      <c r="I6141" s="9" t="s">
        <v>13</v>
      </c>
      <c r="J6141" s="259"/>
    </row>
    <row r="6142">
      <c r="A6142" s="259"/>
      <c r="B6142" s="26"/>
      <c r="C6142" s="91" t="s">
        <v>11</v>
      </c>
      <c r="D6142" s="9" t="s">
        <v>11</v>
      </c>
      <c r="E6142" s="9" t="s">
        <v>13</v>
      </c>
      <c r="F6142" s="9"/>
      <c r="G6142" s="9"/>
      <c r="H6142" s="9"/>
      <c r="I6142" s="9" t="s">
        <v>13</v>
      </c>
      <c r="J6142" s="259"/>
    </row>
    <row r="6143">
      <c r="A6143" s="259"/>
      <c r="B6143" s="26"/>
      <c r="C6143" s="91" t="s">
        <v>11</v>
      </c>
      <c r="D6143" s="9" t="s">
        <v>11</v>
      </c>
      <c r="E6143" s="9" t="s">
        <v>13</v>
      </c>
      <c r="F6143" s="9"/>
      <c r="G6143" s="9"/>
      <c r="H6143" s="9"/>
      <c r="I6143" s="9" t="s">
        <v>13</v>
      </c>
      <c r="J6143" s="259"/>
    </row>
    <row r="6144">
      <c r="A6144" s="259"/>
      <c r="B6144" s="26"/>
      <c r="C6144" s="91" t="s">
        <v>11</v>
      </c>
      <c r="D6144" s="9" t="s">
        <v>11</v>
      </c>
      <c r="E6144" s="9" t="s">
        <v>13</v>
      </c>
      <c r="F6144" s="9"/>
      <c r="G6144" s="9"/>
      <c r="H6144" s="9"/>
      <c r="I6144" s="9" t="s">
        <v>13</v>
      </c>
      <c r="J6144" s="259"/>
    </row>
    <row r="6145">
      <c r="A6145" s="259"/>
      <c r="B6145" s="26"/>
      <c r="C6145" s="91" t="s">
        <v>11</v>
      </c>
      <c r="D6145" s="9" t="s">
        <v>11</v>
      </c>
      <c r="E6145" s="9" t="s">
        <v>13</v>
      </c>
      <c r="F6145" s="9"/>
      <c r="G6145" s="9"/>
      <c r="H6145" s="9"/>
      <c r="I6145" s="9" t="s">
        <v>13</v>
      </c>
      <c r="J6145" s="259"/>
    </row>
    <row r="6146">
      <c r="A6146" s="259"/>
      <c r="B6146" s="26"/>
      <c r="C6146" s="91" t="s">
        <v>11</v>
      </c>
      <c r="D6146" s="9" t="s">
        <v>11</v>
      </c>
      <c r="E6146" s="9" t="s">
        <v>13</v>
      </c>
      <c r="F6146" s="9"/>
      <c r="G6146" s="9"/>
      <c r="H6146" s="9"/>
      <c r="I6146" s="9" t="s">
        <v>13</v>
      </c>
      <c r="J6146" s="259"/>
    </row>
    <row r="6147">
      <c r="A6147" s="259"/>
      <c r="B6147" s="26"/>
      <c r="C6147" s="91" t="s">
        <v>11</v>
      </c>
      <c r="D6147" s="9" t="s">
        <v>11</v>
      </c>
      <c r="E6147" s="9" t="s">
        <v>13</v>
      </c>
      <c r="F6147" s="9"/>
      <c r="G6147" s="9"/>
      <c r="H6147" s="9"/>
      <c r="I6147" s="9" t="s">
        <v>13</v>
      </c>
      <c r="J6147" s="259"/>
    </row>
    <row r="6148">
      <c r="A6148" s="259"/>
      <c r="B6148" s="26"/>
      <c r="C6148" s="91" t="s">
        <v>11</v>
      </c>
      <c r="D6148" s="9" t="s">
        <v>11</v>
      </c>
      <c r="E6148" s="9" t="s">
        <v>13</v>
      </c>
      <c r="F6148" s="9"/>
      <c r="G6148" s="9"/>
      <c r="H6148" s="9"/>
      <c r="I6148" s="9" t="s">
        <v>13</v>
      </c>
      <c r="J6148" s="259"/>
    </row>
    <row r="6149">
      <c r="A6149" s="259"/>
      <c r="B6149" s="26"/>
      <c r="C6149" s="91" t="s">
        <v>11</v>
      </c>
      <c r="D6149" s="9" t="s">
        <v>11</v>
      </c>
      <c r="E6149" s="9" t="s">
        <v>13</v>
      </c>
      <c r="F6149" s="9"/>
      <c r="G6149" s="9"/>
      <c r="H6149" s="9"/>
      <c r="I6149" s="9" t="s">
        <v>13</v>
      </c>
      <c r="J6149" s="259"/>
    </row>
    <row r="6150">
      <c r="A6150" s="259"/>
      <c r="B6150" s="26"/>
      <c r="C6150" s="91" t="s">
        <v>11</v>
      </c>
      <c r="D6150" s="9" t="s">
        <v>11</v>
      </c>
      <c r="E6150" s="9" t="s">
        <v>13</v>
      </c>
      <c r="F6150" s="9"/>
      <c r="G6150" s="9"/>
      <c r="H6150" s="9"/>
      <c r="I6150" s="9" t="s">
        <v>13</v>
      </c>
      <c r="J6150" s="259"/>
    </row>
    <row r="6151">
      <c r="A6151" s="259"/>
      <c r="B6151" s="26"/>
      <c r="C6151" s="91" t="s">
        <v>11</v>
      </c>
      <c r="D6151" s="9" t="s">
        <v>11</v>
      </c>
      <c r="E6151" s="9" t="s">
        <v>13</v>
      </c>
      <c r="F6151" s="9"/>
      <c r="G6151" s="9"/>
      <c r="H6151" s="9"/>
      <c r="I6151" s="9" t="s">
        <v>13</v>
      </c>
      <c r="J6151" s="259"/>
    </row>
    <row r="6152">
      <c r="A6152" s="259"/>
      <c r="B6152" s="26"/>
      <c r="C6152" s="91" t="s">
        <v>11</v>
      </c>
      <c r="D6152" s="9" t="s">
        <v>11</v>
      </c>
      <c r="E6152" s="9" t="s">
        <v>13</v>
      </c>
      <c r="F6152" s="9"/>
      <c r="G6152" s="9"/>
      <c r="H6152" s="9"/>
      <c r="I6152" s="9" t="s">
        <v>13</v>
      </c>
      <c r="J6152" s="259"/>
    </row>
    <row r="6153">
      <c r="A6153" s="259"/>
      <c r="B6153" s="26"/>
      <c r="C6153" s="91" t="s">
        <v>11</v>
      </c>
      <c r="D6153" s="9" t="s">
        <v>11</v>
      </c>
      <c r="E6153" s="9" t="s">
        <v>13</v>
      </c>
      <c r="F6153" s="9"/>
      <c r="G6153" s="9"/>
      <c r="H6153" s="9"/>
      <c r="I6153" s="9" t="s">
        <v>13</v>
      </c>
      <c r="J6153" s="259"/>
    </row>
    <row r="6154">
      <c r="A6154" s="259"/>
      <c r="B6154" s="26"/>
      <c r="C6154" s="91" t="s">
        <v>11</v>
      </c>
      <c r="D6154" s="9" t="s">
        <v>11</v>
      </c>
      <c r="E6154" s="9" t="s">
        <v>13</v>
      </c>
      <c r="F6154" s="9"/>
      <c r="G6154" s="9"/>
      <c r="H6154" s="9"/>
      <c r="I6154" s="9" t="s">
        <v>13</v>
      </c>
      <c r="J6154" s="259"/>
    </row>
    <row r="6155">
      <c r="A6155" s="259"/>
      <c r="B6155" s="26"/>
      <c r="C6155" s="91" t="s">
        <v>11</v>
      </c>
      <c r="D6155" s="9" t="s">
        <v>11</v>
      </c>
      <c r="E6155" s="9" t="s">
        <v>13</v>
      </c>
      <c r="F6155" s="9"/>
      <c r="G6155" s="9"/>
      <c r="H6155" s="9"/>
      <c r="I6155" s="9" t="s">
        <v>13</v>
      </c>
      <c r="J6155" s="259"/>
    </row>
    <row r="6156">
      <c r="A6156" s="259"/>
      <c r="B6156" s="26"/>
      <c r="C6156" s="91" t="s">
        <v>11</v>
      </c>
      <c r="D6156" s="9" t="s">
        <v>11</v>
      </c>
      <c r="E6156" s="9" t="s">
        <v>13</v>
      </c>
      <c r="F6156" s="9"/>
      <c r="G6156" s="9"/>
      <c r="H6156" s="9"/>
      <c r="I6156" s="9" t="s">
        <v>13</v>
      </c>
      <c r="J6156" s="259"/>
    </row>
    <row r="6157">
      <c r="A6157" s="259"/>
      <c r="B6157" s="26"/>
      <c r="C6157" s="91" t="s">
        <v>11</v>
      </c>
      <c r="D6157" s="9" t="s">
        <v>11</v>
      </c>
      <c r="E6157" s="9" t="s">
        <v>13</v>
      </c>
      <c r="F6157" s="9"/>
      <c r="G6157" s="9"/>
      <c r="H6157" s="9"/>
      <c r="I6157" s="9" t="s">
        <v>13</v>
      </c>
      <c r="J6157" s="259"/>
    </row>
    <row r="6158">
      <c r="A6158" s="259"/>
      <c r="B6158" s="26"/>
      <c r="C6158" s="91" t="s">
        <v>11</v>
      </c>
      <c r="D6158" s="9" t="s">
        <v>11</v>
      </c>
      <c r="E6158" s="9" t="s">
        <v>13</v>
      </c>
      <c r="F6158" s="9"/>
      <c r="G6158" s="9"/>
      <c r="H6158" s="9"/>
      <c r="I6158" s="9" t="s">
        <v>13</v>
      </c>
      <c r="J6158" s="259"/>
    </row>
    <row r="6159">
      <c r="A6159" s="259"/>
      <c r="B6159" s="26"/>
      <c r="C6159" s="91" t="s">
        <v>11</v>
      </c>
      <c r="D6159" s="9" t="s">
        <v>11</v>
      </c>
      <c r="E6159" s="9" t="s">
        <v>13</v>
      </c>
      <c r="F6159" s="9"/>
      <c r="G6159" s="9"/>
      <c r="H6159" s="9"/>
      <c r="I6159" s="9" t="s">
        <v>13</v>
      </c>
      <c r="J6159" s="259"/>
    </row>
    <row r="6160">
      <c r="A6160" s="259"/>
      <c r="B6160" s="26"/>
      <c r="C6160" s="91" t="s">
        <v>11</v>
      </c>
      <c r="D6160" s="9" t="s">
        <v>11</v>
      </c>
      <c r="E6160" s="9" t="s">
        <v>13</v>
      </c>
      <c r="F6160" s="9"/>
      <c r="G6160" s="9"/>
      <c r="H6160" s="9"/>
      <c r="I6160" s="9" t="s">
        <v>13</v>
      </c>
      <c r="J6160" s="259"/>
    </row>
    <row r="6161">
      <c r="A6161" s="259"/>
      <c r="B6161" s="26"/>
      <c r="C6161" s="91" t="s">
        <v>11</v>
      </c>
      <c r="D6161" s="9" t="s">
        <v>11</v>
      </c>
      <c r="E6161" s="9" t="s">
        <v>13</v>
      </c>
      <c r="F6161" s="9"/>
      <c r="G6161" s="9"/>
      <c r="H6161" s="9"/>
      <c r="I6161" s="9" t="s">
        <v>13</v>
      </c>
      <c r="J6161" s="259"/>
    </row>
    <row r="6162">
      <c r="A6162" s="259"/>
      <c r="B6162" s="26"/>
      <c r="C6162" s="91" t="s">
        <v>11</v>
      </c>
      <c r="D6162" s="9" t="s">
        <v>11</v>
      </c>
      <c r="E6162" s="9" t="s">
        <v>13</v>
      </c>
      <c r="F6162" s="9"/>
      <c r="G6162" s="9"/>
      <c r="H6162" s="9"/>
      <c r="I6162" s="9" t="s">
        <v>13</v>
      </c>
      <c r="J6162" s="259"/>
    </row>
    <row r="6163">
      <c r="A6163" s="259"/>
      <c r="B6163" s="26"/>
      <c r="C6163" s="91" t="s">
        <v>11</v>
      </c>
      <c r="D6163" s="9" t="s">
        <v>11</v>
      </c>
      <c r="E6163" s="9" t="s">
        <v>13</v>
      </c>
      <c r="F6163" s="9"/>
      <c r="G6163" s="9"/>
      <c r="H6163" s="9"/>
      <c r="I6163" s="9" t="s">
        <v>13</v>
      </c>
      <c r="J6163" s="259"/>
    </row>
    <row r="6164">
      <c r="A6164" s="259"/>
      <c r="B6164" s="26"/>
      <c r="C6164" s="91" t="s">
        <v>11</v>
      </c>
      <c r="D6164" s="9" t="s">
        <v>11</v>
      </c>
      <c r="E6164" s="9" t="s">
        <v>13</v>
      </c>
      <c r="F6164" s="9"/>
      <c r="G6164" s="9"/>
      <c r="H6164" s="9"/>
      <c r="I6164" s="9" t="s">
        <v>13</v>
      </c>
      <c r="J6164" s="259"/>
    </row>
    <row r="6165">
      <c r="A6165" s="259"/>
      <c r="B6165" s="26"/>
      <c r="C6165" s="91" t="s">
        <v>11</v>
      </c>
      <c r="D6165" s="9" t="s">
        <v>11</v>
      </c>
      <c r="E6165" s="9" t="s">
        <v>13</v>
      </c>
      <c r="F6165" s="9"/>
      <c r="G6165" s="9"/>
      <c r="H6165" s="9"/>
      <c r="I6165" s="9" t="s">
        <v>13</v>
      </c>
      <c r="J6165" s="259"/>
    </row>
    <row r="6166">
      <c r="A6166" s="259"/>
      <c r="B6166" s="26"/>
      <c r="C6166" s="91" t="s">
        <v>11</v>
      </c>
      <c r="D6166" s="9" t="s">
        <v>11</v>
      </c>
      <c r="E6166" s="9" t="s">
        <v>13</v>
      </c>
      <c r="F6166" s="9"/>
      <c r="G6166" s="9"/>
      <c r="H6166" s="9"/>
      <c r="I6166" s="9" t="s">
        <v>13</v>
      </c>
      <c r="J6166" s="259"/>
    </row>
    <row r="6167">
      <c r="A6167" s="259"/>
      <c r="B6167" s="26"/>
      <c r="C6167" s="91" t="s">
        <v>11</v>
      </c>
      <c r="D6167" s="9" t="s">
        <v>11</v>
      </c>
      <c r="E6167" s="9" t="s">
        <v>13</v>
      </c>
      <c r="F6167" s="9"/>
      <c r="G6167" s="9"/>
      <c r="H6167" s="9"/>
      <c r="I6167" s="9" t="s">
        <v>13</v>
      </c>
      <c r="J6167" s="259"/>
    </row>
    <row r="6168">
      <c r="A6168" s="259"/>
      <c r="B6168" s="26"/>
      <c r="C6168" s="91" t="s">
        <v>11</v>
      </c>
      <c r="D6168" s="9" t="s">
        <v>11</v>
      </c>
      <c r="E6168" s="9" t="s">
        <v>13</v>
      </c>
      <c r="F6168" s="9"/>
      <c r="G6168" s="9"/>
      <c r="H6168" s="9"/>
      <c r="I6168" s="9" t="s">
        <v>13</v>
      </c>
      <c r="J6168" s="259"/>
    </row>
    <row r="6169">
      <c r="A6169" s="259"/>
      <c r="B6169" s="26"/>
      <c r="C6169" s="91" t="s">
        <v>11</v>
      </c>
      <c r="D6169" s="9" t="s">
        <v>11</v>
      </c>
      <c r="E6169" s="9" t="s">
        <v>13</v>
      </c>
      <c r="F6169" s="9"/>
      <c r="G6169" s="9"/>
      <c r="H6169" s="9"/>
      <c r="I6169" s="9" t="s">
        <v>13</v>
      </c>
      <c r="J6169" s="259"/>
    </row>
    <row r="6170">
      <c r="A6170" s="259"/>
      <c r="B6170" s="26"/>
      <c r="C6170" s="91" t="s">
        <v>11</v>
      </c>
      <c r="D6170" s="9" t="s">
        <v>11</v>
      </c>
      <c r="E6170" s="9" t="s">
        <v>13</v>
      </c>
      <c r="F6170" s="9"/>
      <c r="G6170" s="9"/>
      <c r="H6170" s="9"/>
      <c r="I6170" s="9" t="s">
        <v>13</v>
      </c>
      <c r="J6170" s="259"/>
    </row>
    <row r="6171">
      <c r="A6171" s="259"/>
      <c r="B6171" s="26"/>
      <c r="C6171" s="91" t="s">
        <v>11</v>
      </c>
      <c r="D6171" s="9" t="s">
        <v>11</v>
      </c>
      <c r="E6171" s="9" t="s">
        <v>13</v>
      </c>
      <c r="F6171" s="9"/>
      <c r="G6171" s="9"/>
      <c r="H6171" s="9"/>
      <c r="I6171" s="9" t="s">
        <v>13</v>
      </c>
      <c r="J6171" s="259"/>
    </row>
    <row r="6172">
      <c r="A6172" s="259"/>
      <c r="B6172" s="26"/>
      <c r="C6172" s="91" t="s">
        <v>11</v>
      </c>
      <c r="D6172" s="9" t="s">
        <v>11</v>
      </c>
      <c r="E6172" s="9" t="s">
        <v>13</v>
      </c>
      <c r="F6172" s="9"/>
      <c r="G6172" s="9"/>
      <c r="H6172" s="9"/>
      <c r="I6172" s="9" t="s">
        <v>13</v>
      </c>
      <c r="J6172" s="259"/>
    </row>
    <row r="6173">
      <c r="A6173" s="259"/>
      <c r="B6173" s="26"/>
      <c r="C6173" s="91" t="s">
        <v>11</v>
      </c>
      <c r="D6173" s="9" t="s">
        <v>11</v>
      </c>
      <c r="E6173" s="9" t="s">
        <v>13</v>
      </c>
      <c r="F6173" s="9"/>
      <c r="G6173" s="9"/>
      <c r="H6173" s="9"/>
      <c r="I6173" s="9" t="s">
        <v>13</v>
      </c>
      <c r="J6173" s="259"/>
    </row>
    <row r="6174">
      <c r="A6174" s="259"/>
      <c r="B6174" s="26"/>
      <c r="C6174" s="91" t="s">
        <v>11</v>
      </c>
      <c r="D6174" s="9" t="s">
        <v>11</v>
      </c>
      <c r="E6174" s="9" t="s">
        <v>13</v>
      </c>
      <c r="F6174" s="9"/>
      <c r="G6174" s="9"/>
      <c r="H6174" s="9"/>
      <c r="I6174" s="9" t="s">
        <v>13</v>
      </c>
      <c r="J6174" s="259"/>
    </row>
    <row r="6175">
      <c r="A6175" s="259"/>
      <c r="B6175" s="26"/>
      <c r="C6175" s="91" t="s">
        <v>11</v>
      </c>
      <c r="D6175" s="9" t="s">
        <v>11</v>
      </c>
      <c r="E6175" s="9" t="s">
        <v>13</v>
      </c>
      <c r="F6175" s="9"/>
      <c r="G6175" s="9"/>
      <c r="H6175" s="9"/>
      <c r="I6175" s="9" t="s">
        <v>13</v>
      </c>
      <c r="J6175" s="259"/>
    </row>
    <row r="6176">
      <c r="A6176" s="259"/>
      <c r="B6176" s="26"/>
      <c r="C6176" s="91" t="s">
        <v>11</v>
      </c>
      <c r="D6176" s="9" t="s">
        <v>11</v>
      </c>
      <c r="E6176" s="9" t="s">
        <v>13</v>
      </c>
      <c r="F6176" s="9"/>
      <c r="G6176" s="9"/>
      <c r="H6176" s="9"/>
      <c r="I6176" s="9" t="s">
        <v>13</v>
      </c>
      <c r="J6176" s="259"/>
    </row>
    <row r="6177">
      <c r="A6177" s="259"/>
      <c r="B6177" s="26"/>
      <c r="C6177" s="91" t="s">
        <v>11</v>
      </c>
      <c r="D6177" s="9" t="s">
        <v>11</v>
      </c>
      <c r="E6177" s="9" t="s">
        <v>13</v>
      </c>
      <c r="F6177" s="9"/>
      <c r="G6177" s="9"/>
      <c r="H6177" s="9"/>
      <c r="I6177" s="9" t="s">
        <v>13</v>
      </c>
      <c r="J6177" s="259"/>
    </row>
    <row r="6178">
      <c r="A6178" s="259"/>
      <c r="B6178" s="26"/>
      <c r="C6178" s="91" t="s">
        <v>11</v>
      </c>
      <c r="D6178" s="9" t="s">
        <v>11</v>
      </c>
      <c r="E6178" s="9" t="s">
        <v>13</v>
      </c>
      <c r="F6178" s="9"/>
      <c r="G6178" s="9"/>
      <c r="H6178" s="9"/>
      <c r="I6178" s="9" t="s">
        <v>13</v>
      </c>
      <c r="J6178" s="259"/>
    </row>
    <row r="6179">
      <c r="A6179" s="259"/>
      <c r="B6179" s="26"/>
      <c r="C6179" s="91" t="s">
        <v>11</v>
      </c>
      <c r="D6179" s="9" t="s">
        <v>11</v>
      </c>
      <c r="E6179" s="9" t="s">
        <v>13</v>
      </c>
      <c r="F6179" s="9"/>
      <c r="G6179" s="9"/>
      <c r="H6179" s="9"/>
      <c r="I6179" s="9" t="s">
        <v>13</v>
      </c>
      <c r="J6179" s="259"/>
    </row>
    <row r="6180">
      <c r="A6180" s="259"/>
      <c r="B6180" s="26"/>
      <c r="C6180" s="91" t="s">
        <v>11</v>
      </c>
      <c r="D6180" s="9" t="s">
        <v>11</v>
      </c>
      <c r="E6180" s="9" t="s">
        <v>13</v>
      </c>
      <c r="F6180" s="9"/>
      <c r="G6180" s="9"/>
      <c r="H6180" s="9"/>
      <c r="I6180" s="9" t="s">
        <v>13</v>
      </c>
      <c r="J6180" s="259"/>
    </row>
    <row r="6181">
      <c r="A6181" s="259"/>
      <c r="B6181" s="26"/>
      <c r="C6181" s="91" t="s">
        <v>11</v>
      </c>
      <c r="D6181" s="9" t="s">
        <v>11</v>
      </c>
      <c r="E6181" s="9" t="s">
        <v>13</v>
      </c>
      <c r="F6181" s="9"/>
      <c r="G6181" s="9"/>
      <c r="H6181" s="9"/>
      <c r="I6181" s="9" t="s">
        <v>13</v>
      </c>
      <c r="J6181" s="259"/>
    </row>
    <row r="6182">
      <c r="A6182" s="259"/>
      <c r="B6182" s="26"/>
      <c r="C6182" s="91" t="s">
        <v>11</v>
      </c>
      <c r="D6182" s="9" t="s">
        <v>11</v>
      </c>
      <c r="E6182" s="9" t="s">
        <v>13</v>
      </c>
      <c r="F6182" s="9"/>
      <c r="G6182" s="9"/>
      <c r="H6182" s="9"/>
      <c r="I6182" s="9" t="s">
        <v>13</v>
      </c>
      <c r="J6182" s="259"/>
    </row>
    <row r="6183">
      <c r="A6183" s="259"/>
      <c r="B6183" s="26"/>
      <c r="C6183" s="91" t="s">
        <v>11</v>
      </c>
      <c r="D6183" s="9" t="s">
        <v>11</v>
      </c>
      <c r="E6183" s="9" t="s">
        <v>13</v>
      </c>
      <c r="F6183" s="9"/>
      <c r="G6183" s="9"/>
      <c r="H6183" s="9"/>
      <c r="I6183" s="9" t="s">
        <v>13</v>
      </c>
      <c r="J6183" s="259"/>
    </row>
    <row r="6184">
      <c r="A6184" s="259"/>
      <c r="B6184" s="26"/>
      <c r="C6184" s="91" t="s">
        <v>11</v>
      </c>
      <c r="D6184" s="9" t="s">
        <v>11</v>
      </c>
      <c r="E6184" s="9" t="s">
        <v>13</v>
      </c>
      <c r="F6184" s="9"/>
      <c r="G6184" s="9"/>
      <c r="H6184" s="9"/>
      <c r="I6184" s="9" t="s">
        <v>13</v>
      </c>
      <c r="J6184" s="259"/>
    </row>
    <row r="6185">
      <c r="A6185" s="259"/>
      <c r="B6185" s="26"/>
      <c r="C6185" s="91" t="s">
        <v>11</v>
      </c>
      <c r="D6185" s="9" t="s">
        <v>11</v>
      </c>
      <c r="E6185" s="9" t="s">
        <v>13</v>
      </c>
      <c r="F6185" s="9"/>
      <c r="G6185" s="9"/>
      <c r="H6185" s="9"/>
      <c r="I6185" s="9" t="s">
        <v>13</v>
      </c>
      <c r="J6185" s="259"/>
    </row>
    <row r="6186">
      <c r="A6186" s="259"/>
      <c r="B6186" s="26"/>
      <c r="C6186" s="91" t="s">
        <v>11</v>
      </c>
      <c r="D6186" s="9" t="s">
        <v>11</v>
      </c>
      <c r="E6186" s="9" t="s">
        <v>13</v>
      </c>
      <c r="F6186" s="9"/>
      <c r="G6186" s="9"/>
      <c r="H6186" s="9"/>
      <c r="I6186" s="9" t="s">
        <v>13</v>
      </c>
      <c r="J6186" s="259"/>
    </row>
    <row r="6187">
      <c r="A6187" s="259"/>
      <c r="B6187" s="26"/>
      <c r="C6187" s="91" t="s">
        <v>11</v>
      </c>
      <c r="D6187" s="9" t="s">
        <v>11</v>
      </c>
      <c r="E6187" s="9" t="s">
        <v>13</v>
      </c>
      <c r="F6187" s="9"/>
      <c r="G6187" s="9"/>
      <c r="H6187" s="9"/>
      <c r="I6187" s="9" t="s">
        <v>13</v>
      </c>
      <c r="J6187" s="259"/>
    </row>
    <row r="6188">
      <c r="A6188" s="259"/>
      <c r="B6188" s="26"/>
      <c r="C6188" s="91" t="s">
        <v>11</v>
      </c>
      <c r="D6188" s="9" t="s">
        <v>11</v>
      </c>
      <c r="E6188" s="9" t="s">
        <v>13</v>
      </c>
      <c r="F6188" s="9"/>
      <c r="G6188" s="9"/>
      <c r="H6188" s="9"/>
      <c r="I6188" s="9" t="s">
        <v>13</v>
      </c>
      <c r="J6188" s="259"/>
    </row>
    <row r="6189">
      <c r="A6189" s="259"/>
      <c r="B6189" s="26"/>
      <c r="C6189" s="91" t="s">
        <v>11</v>
      </c>
      <c r="D6189" s="9" t="s">
        <v>11</v>
      </c>
      <c r="E6189" s="9" t="s">
        <v>13</v>
      </c>
      <c r="F6189" s="9"/>
      <c r="G6189" s="9"/>
      <c r="H6189" s="9"/>
      <c r="I6189" s="9" t="s">
        <v>13</v>
      </c>
      <c r="J6189" s="259"/>
    </row>
    <row r="6190">
      <c r="A6190" s="259"/>
      <c r="B6190" s="26"/>
      <c r="C6190" s="91" t="s">
        <v>11</v>
      </c>
      <c r="D6190" s="9" t="s">
        <v>11</v>
      </c>
      <c r="E6190" s="9" t="s">
        <v>13</v>
      </c>
      <c r="F6190" s="9"/>
      <c r="G6190" s="9"/>
      <c r="H6190" s="9"/>
      <c r="I6190" s="9" t="s">
        <v>13</v>
      </c>
      <c r="J6190" s="259"/>
    </row>
    <row r="6191">
      <c r="A6191" s="259"/>
      <c r="B6191" s="26"/>
      <c r="C6191" s="91" t="s">
        <v>11</v>
      </c>
      <c r="D6191" s="9" t="s">
        <v>11</v>
      </c>
      <c r="E6191" s="9" t="s">
        <v>13</v>
      </c>
      <c r="F6191" s="9"/>
      <c r="G6191" s="9"/>
      <c r="H6191" s="9"/>
      <c r="I6191" s="9" t="s">
        <v>13</v>
      </c>
      <c r="J6191" s="259"/>
    </row>
    <row r="6192">
      <c r="A6192" s="259"/>
      <c r="B6192" s="26"/>
      <c r="C6192" s="91" t="s">
        <v>11</v>
      </c>
      <c r="D6192" s="9" t="s">
        <v>11</v>
      </c>
      <c r="E6192" s="9" t="s">
        <v>13</v>
      </c>
      <c r="F6192" s="9"/>
      <c r="G6192" s="9"/>
      <c r="H6192" s="9"/>
      <c r="I6192" s="9" t="s">
        <v>13</v>
      </c>
      <c r="J6192" s="259"/>
    </row>
    <row r="6193">
      <c r="A6193" s="259"/>
      <c r="B6193" s="26"/>
      <c r="C6193" s="91" t="s">
        <v>11</v>
      </c>
      <c r="D6193" s="9" t="s">
        <v>11</v>
      </c>
      <c r="E6193" s="9" t="s">
        <v>13</v>
      </c>
      <c r="F6193" s="9"/>
      <c r="G6193" s="9"/>
      <c r="H6193" s="9"/>
      <c r="I6193" s="9" t="s">
        <v>13</v>
      </c>
      <c r="J6193" s="259"/>
    </row>
    <row r="6194">
      <c r="A6194" s="259"/>
      <c r="B6194" s="26"/>
      <c r="C6194" s="91" t="s">
        <v>11</v>
      </c>
      <c r="D6194" s="9" t="s">
        <v>11</v>
      </c>
      <c r="E6194" s="9" t="s">
        <v>13</v>
      </c>
      <c r="F6194" s="9"/>
      <c r="G6194" s="9"/>
      <c r="H6194" s="9"/>
      <c r="I6194" s="9" t="s">
        <v>13</v>
      </c>
      <c r="J6194" s="259"/>
    </row>
    <row r="6195">
      <c r="A6195" s="259"/>
      <c r="B6195" s="26"/>
      <c r="C6195" s="91" t="s">
        <v>11</v>
      </c>
      <c r="D6195" s="9" t="s">
        <v>11</v>
      </c>
      <c r="E6195" s="9" t="s">
        <v>13</v>
      </c>
      <c r="F6195" s="9"/>
      <c r="G6195" s="9"/>
      <c r="H6195" s="9"/>
      <c r="I6195" s="9" t="s">
        <v>13</v>
      </c>
      <c r="J6195" s="259"/>
    </row>
    <row r="6196">
      <c r="A6196" s="259"/>
      <c r="B6196" s="26"/>
      <c r="C6196" s="91" t="s">
        <v>11</v>
      </c>
      <c r="D6196" s="9" t="s">
        <v>11</v>
      </c>
      <c r="E6196" s="9" t="s">
        <v>13</v>
      </c>
      <c r="F6196" s="9"/>
      <c r="G6196" s="9"/>
      <c r="H6196" s="9"/>
      <c r="I6196" s="9" t="s">
        <v>13</v>
      </c>
      <c r="J6196" s="259"/>
    </row>
    <row r="6197">
      <c r="A6197" s="259"/>
      <c r="B6197" s="26"/>
      <c r="C6197" s="91" t="s">
        <v>11</v>
      </c>
      <c r="D6197" s="9" t="s">
        <v>11</v>
      </c>
      <c r="E6197" s="9" t="s">
        <v>13</v>
      </c>
      <c r="F6197" s="9"/>
      <c r="G6197" s="9"/>
      <c r="H6197" s="9"/>
      <c r="I6197" s="9" t="s">
        <v>13</v>
      </c>
      <c r="J6197" s="259"/>
    </row>
    <row r="6198">
      <c r="A6198" s="259"/>
      <c r="B6198" s="26"/>
      <c r="C6198" s="91" t="s">
        <v>11</v>
      </c>
      <c r="D6198" s="9" t="s">
        <v>11</v>
      </c>
      <c r="E6198" s="9" t="s">
        <v>13</v>
      </c>
      <c r="F6198" s="9"/>
      <c r="G6198" s="9"/>
      <c r="H6198" s="9"/>
      <c r="I6198" s="9" t="s">
        <v>13</v>
      </c>
      <c r="J6198" s="259"/>
    </row>
    <row r="6199">
      <c r="A6199" s="259"/>
      <c r="B6199" s="26"/>
      <c r="C6199" s="91" t="s">
        <v>11</v>
      </c>
      <c r="D6199" s="9" t="s">
        <v>11</v>
      </c>
      <c r="E6199" s="9" t="s">
        <v>13</v>
      </c>
      <c r="F6199" s="9"/>
      <c r="G6199" s="9"/>
      <c r="H6199" s="9"/>
      <c r="I6199" s="9" t="s">
        <v>13</v>
      </c>
      <c r="J6199" s="259"/>
    </row>
    <row r="6200">
      <c r="A6200" s="259"/>
      <c r="B6200" s="26"/>
      <c r="C6200" s="91" t="s">
        <v>11</v>
      </c>
      <c r="D6200" s="9" t="s">
        <v>11</v>
      </c>
      <c r="E6200" s="9" t="s">
        <v>13</v>
      </c>
      <c r="F6200" s="9"/>
      <c r="G6200" s="9"/>
      <c r="H6200" s="9"/>
      <c r="I6200" s="9" t="s">
        <v>13</v>
      </c>
      <c r="J6200" s="259"/>
    </row>
    <row r="6201">
      <c r="A6201" s="259"/>
      <c r="B6201" s="26"/>
      <c r="C6201" s="91" t="s">
        <v>11</v>
      </c>
      <c r="D6201" s="9" t="s">
        <v>11</v>
      </c>
      <c r="E6201" s="9" t="s">
        <v>13</v>
      </c>
      <c r="F6201" s="9"/>
      <c r="G6201" s="9"/>
      <c r="H6201" s="9"/>
      <c r="I6201" s="9" t="s">
        <v>13</v>
      </c>
      <c r="J6201" s="259"/>
    </row>
    <row r="6202">
      <c r="A6202" s="259"/>
      <c r="B6202" s="26"/>
      <c r="C6202" s="91" t="s">
        <v>11</v>
      </c>
      <c r="D6202" s="9" t="s">
        <v>11</v>
      </c>
      <c r="E6202" s="9" t="s">
        <v>13</v>
      </c>
      <c r="F6202" s="9"/>
      <c r="G6202" s="9"/>
      <c r="H6202" s="9"/>
      <c r="I6202" s="9" t="s">
        <v>13</v>
      </c>
      <c r="J6202" s="259"/>
    </row>
    <row r="6203">
      <c r="A6203" s="259"/>
      <c r="B6203" s="26"/>
      <c r="C6203" s="91" t="s">
        <v>11</v>
      </c>
      <c r="D6203" s="9" t="s">
        <v>11</v>
      </c>
      <c r="E6203" s="9" t="s">
        <v>13</v>
      </c>
      <c r="F6203" s="9"/>
      <c r="G6203" s="9"/>
      <c r="H6203" s="9"/>
      <c r="I6203" s="9" t="s">
        <v>13</v>
      </c>
      <c r="J6203" s="259"/>
    </row>
    <row r="6204">
      <c r="A6204" s="259"/>
      <c r="B6204" s="26"/>
      <c r="C6204" s="91" t="s">
        <v>11</v>
      </c>
      <c r="D6204" s="9" t="s">
        <v>11</v>
      </c>
      <c r="E6204" s="9" t="s">
        <v>13</v>
      </c>
      <c r="F6204" s="9"/>
      <c r="G6204" s="9"/>
      <c r="H6204" s="9"/>
      <c r="I6204" s="9" t="s">
        <v>13</v>
      </c>
      <c r="J6204" s="259"/>
    </row>
    <row r="6205">
      <c r="A6205" s="259"/>
      <c r="B6205" s="26"/>
      <c r="C6205" s="91" t="s">
        <v>11</v>
      </c>
      <c r="D6205" s="9" t="s">
        <v>11</v>
      </c>
      <c r="E6205" s="9" t="s">
        <v>13</v>
      </c>
      <c r="F6205" s="9"/>
      <c r="G6205" s="9"/>
      <c r="H6205" s="9"/>
      <c r="I6205" s="9" t="s">
        <v>13</v>
      </c>
      <c r="J6205" s="259"/>
    </row>
    <row r="6206">
      <c r="A6206" s="259"/>
      <c r="B6206" s="26"/>
      <c r="C6206" s="91" t="s">
        <v>11</v>
      </c>
      <c r="D6206" s="9" t="s">
        <v>11</v>
      </c>
      <c r="E6206" s="9" t="s">
        <v>13</v>
      </c>
      <c r="F6206" s="9"/>
      <c r="G6206" s="9"/>
      <c r="H6206" s="9"/>
      <c r="I6206" s="9" t="s">
        <v>13</v>
      </c>
      <c r="J6206" s="259"/>
    </row>
    <row r="6207">
      <c r="A6207" s="259"/>
      <c r="B6207" s="26"/>
      <c r="C6207" s="91" t="s">
        <v>11</v>
      </c>
      <c r="D6207" s="9" t="s">
        <v>11</v>
      </c>
      <c r="E6207" s="9" t="s">
        <v>13</v>
      </c>
      <c r="F6207" s="9"/>
      <c r="G6207" s="9"/>
      <c r="H6207" s="9"/>
      <c r="I6207" s="9" t="s">
        <v>13</v>
      </c>
      <c r="J6207" s="259"/>
    </row>
    <row r="6208">
      <c r="A6208" s="259"/>
      <c r="B6208" s="26"/>
      <c r="C6208" s="91" t="s">
        <v>11</v>
      </c>
      <c r="D6208" s="9" t="s">
        <v>11</v>
      </c>
      <c r="E6208" s="9" t="s">
        <v>13</v>
      </c>
      <c r="F6208" s="9"/>
      <c r="G6208" s="9"/>
      <c r="H6208" s="9"/>
      <c r="I6208" s="9" t="s">
        <v>13</v>
      </c>
      <c r="J6208" s="259"/>
    </row>
    <row r="6209">
      <c r="A6209" s="259"/>
      <c r="B6209" s="26"/>
      <c r="C6209" s="91" t="s">
        <v>11</v>
      </c>
      <c r="D6209" s="9" t="s">
        <v>11</v>
      </c>
      <c r="E6209" s="9" t="s">
        <v>13</v>
      </c>
      <c r="F6209" s="9"/>
      <c r="G6209" s="9"/>
      <c r="H6209" s="9"/>
      <c r="I6209" s="9" t="s">
        <v>13</v>
      </c>
      <c r="J6209" s="259"/>
    </row>
    <row r="6210">
      <c r="A6210" s="259"/>
      <c r="B6210" s="26"/>
      <c r="C6210" s="91" t="s">
        <v>11</v>
      </c>
      <c r="D6210" s="9" t="s">
        <v>11</v>
      </c>
      <c r="E6210" s="9" t="s">
        <v>13</v>
      </c>
      <c r="F6210" s="9"/>
      <c r="G6210" s="9"/>
      <c r="H6210" s="9"/>
      <c r="I6210" s="9" t="s">
        <v>13</v>
      </c>
      <c r="J6210" s="259"/>
    </row>
    <row r="6211">
      <c r="A6211" s="259"/>
      <c r="B6211" s="26"/>
      <c r="C6211" s="91" t="s">
        <v>11</v>
      </c>
      <c r="D6211" s="9" t="s">
        <v>11</v>
      </c>
      <c r="E6211" s="9" t="s">
        <v>13</v>
      </c>
      <c r="F6211" s="9"/>
      <c r="G6211" s="9"/>
      <c r="H6211" s="9"/>
      <c r="I6211" s="9" t="s">
        <v>13</v>
      </c>
      <c r="J6211" s="259"/>
    </row>
    <row r="6212">
      <c r="A6212" s="259"/>
      <c r="B6212" s="26"/>
      <c r="C6212" s="91" t="s">
        <v>11</v>
      </c>
      <c r="D6212" s="9" t="s">
        <v>11</v>
      </c>
      <c r="E6212" s="9" t="s">
        <v>13</v>
      </c>
      <c r="F6212" s="9"/>
      <c r="G6212" s="9"/>
      <c r="H6212" s="9"/>
      <c r="I6212" s="9" t="s">
        <v>13</v>
      </c>
      <c r="J6212" s="259"/>
    </row>
    <row r="6213">
      <c r="A6213" s="259"/>
      <c r="B6213" s="26"/>
      <c r="C6213" s="91" t="s">
        <v>11</v>
      </c>
      <c r="D6213" s="9" t="s">
        <v>11</v>
      </c>
      <c r="E6213" s="9" t="s">
        <v>13</v>
      </c>
      <c r="F6213" s="9"/>
      <c r="G6213" s="9"/>
      <c r="H6213" s="9"/>
      <c r="I6213" s="9" t="s">
        <v>13</v>
      </c>
      <c r="J6213" s="259"/>
    </row>
    <row r="6214">
      <c r="A6214" s="259"/>
      <c r="B6214" s="26"/>
      <c r="C6214" s="91" t="s">
        <v>11</v>
      </c>
      <c r="D6214" s="9" t="s">
        <v>11</v>
      </c>
      <c r="E6214" s="9" t="s">
        <v>13</v>
      </c>
      <c r="F6214" s="9"/>
      <c r="G6214" s="9"/>
      <c r="H6214" s="9"/>
      <c r="I6214" s="9" t="s">
        <v>13</v>
      </c>
      <c r="J6214" s="259"/>
    </row>
    <row r="6215">
      <c r="A6215" s="259"/>
      <c r="B6215" s="26"/>
      <c r="C6215" s="91" t="s">
        <v>11</v>
      </c>
      <c r="D6215" s="9" t="s">
        <v>11</v>
      </c>
      <c r="E6215" s="9" t="s">
        <v>13</v>
      </c>
      <c r="F6215" s="9"/>
      <c r="G6215" s="9"/>
      <c r="H6215" s="9"/>
      <c r="I6215" s="9" t="s">
        <v>13</v>
      </c>
      <c r="J6215" s="259"/>
    </row>
    <row r="6216">
      <c r="A6216" s="259"/>
      <c r="B6216" s="26"/>
      <c r="C6216" s="91" t="s">
        <v>11</v>
      </c>
      <c r="D6216" s="9" t="s">
        <v>11</v>
      </c>
      <c r="E6216" s="9" t="s">
        <v>13</v>
      </c>
      <c r="F6216" s="9"/>
      <c r="G6216" s="9"/>
      <c r="H6216" s="9"/>
      <c r="I6216" s="9" t="s">
        <v>13</v>
      </c>
      <c r="J6216" s="259"/>
    </row>
    <row r="6217">
      <c r="A6217" s="259"/>
      <c r="B6217" s="26"/>
      <c r="C6217" s="91" t="s">
        <v>11</v>
      </c>
      <c r="D6217" s="9" t="s">
        <v>11</v>
      </c>
      <c r="E6217" s="9" t="s">
        <v>13</v>
      </c>
      <c r="F6217" s="9"/>
      <c r="G6217" s="9"/>
      <c r="H6217" s="9"/>
      <c r="I6217" s="9" t="s">
        <v>13</v>
      </c>
      <c r="J6217" s="259"/>
    </row>
    <row r="6218">
      <c r="A6218" s="259"/>
      <c r="B6218" s="26"/>
      <c r="C6218" s="91" t="s">
        <v>11</v>
      </c>
      <c r="D6218" s="9" t="s">
        <v>11</v>
      </c>
      <c r="E6218" s="9" t="s">
        <v>13</v>
      </c>
      <c r="F6218" s="9"/>
      <c r="G6218" s="9"/>
      <c r="H6218" s="9"/>
      <c r="I6218" s="9" t="s">
        <v>13</v>
      </c>
      <c r="J6218" s="259"/>
    </row>
    <row r="6219">
      <c r="A6219" s="259"/>
      <c r="B6219" s="26"/>
      <c r="C6219" s="91" t="s">
        <v>11</v>
      </c>
      <c r="D6219" s="9" t="s">
        <v>11</v>
      </c>
      <c r="E6219" s="9" t="s">
        <v>13</v>
      </c>
      <c r="F6219" s="9"/>
      <c r="G6219" s="9"/>
      <c r="H6219" s="9"/>
      <c r="I6219" s="9" t="s">
        <v>13</v>
      </c>
      <c r="J6219" s="259"/>
    </row>
    <row r="6220">
      <c r="A6220" s="259"/>
      <c r="B6220" s="26"/>
      <c r="C6220" s="91" t="s">
        <v>11</v>
      </c>
      <c r="D6220" s="9" t="s">
        <v>11</v>
      </c>
      <c r="E6220" s="9" t="s">
        <v>13</v>
      </c>
      <c r="F6220" s="9"/>
      <c r="G6220" s="9"/>
      <c r="H6220" s="9"/>
      <c r="I6220" s="9" t="s">
        <v>13</v>
      </c>
      <c r="J6220" s="259"/>
    </row>
    <row r="6221">
      <c r="A6221" s="259"/>
      <c r="B6221" s="26"/>
      <c r="C6221" s="91" t="s">
        <v>11</v>
      </c>
      <c r="D6221" s="9" t="s">
        <v>11</v>
      </c>
      <c r="E6221" s="9" t="s">
        <v>13</v>
      </c>
      <c r="F6221" s="9"/>
      <c r="G6221" s="9"/>
      <c r="H6221" s="9"/>
      <c r="I6221" s="9" t="s">
        <v>13</v>
      </c>
      <c r="J6221" s="259"/>
    </row>
    <row r="6222">
      <c r="A6222" s="259"/>
      <c r="B6222" s="26"/>
      <c r="C6222" s="91" t="s">
        <v>11</v>
      </c>
      <c r="D6222" s="9" t="s">
        <v>11</v>
      </c>
      <c r="E6222" s="9" t="s">
        <v>13</v>
      </c>
      <c r="F6222" s="9"/>
      <c r="G6222" s="9"/>
      <c r="H6222" s="9"/>
      <c r="I6222" s="9" t="s">
        <v>13</v>
      </c>
      <c r="J6222" s="259"/>
    </row>
    <row r="6223">
      <c r="A6223" s="259"/>
      <c r="B6223" s="26"/>
      <c r="C6223" s="91" t="s">
        <v>11</v>
      </c>
      <c r="D6223" s="9" t="s">
        <v>11</v>
      </c>
      <c r="E6223" s="9" t="s">
        <v>13</v>
      </c>
      <c r="F6223" s="9"/>
      <c r="G6223" s="9"/>
      <c r="H6223" s="9"/>
      <c r="I6223" s="9" t="s">
        <v>13</v>
      </c>
      <c r="J6223" s="259"/>
    </row>
    <row r="6224">
      <c r="A6224" s="259"/>
      <c r="B6224" s="26"/>
      <c r="C6224" s="91" t="s">
        <v>11</v>
      </c>
      <c r="D6224" s="9" t="s">
        <v>11</v>
      </c>
      <c r="E6224" s="9" t="s">
        <v>13</v>
      </c>
      <c r="F6224" s="9"/>
      <c r="G6224" s="9"/>
      <c r="H6224" s="9"/>
      <c r="I6224" s="9" t="s">
        <v>13</v>
      </c>
      <c r="J6224" s="259"/>
    </row>
    <row r="6225">
      <c r="A6225" s="259"/>
      <c r="B6225" s="26"/>
      <c r="C6225" s="91" t="s">
        <v>11</v>
      </c>
      <c r="D6225" s="9" t="s">
        <v>11</v>
      </c>
      <c r="E6225" s="9" t="s">
        <v>13</v>
      </c>
      <c r="F6225" s="9"/>
      <c r="G6225" s="9"/>
      <c r="H6225" s="9"/>
      <c r="I6225" s="9" t="s">
        <v>13</v>
      </c>
      <c r="J6225" s="259"/>
    </row>
    <row r="6226">
      <c r="A6226" s="259"/>
      <c r="B6226" s="26"/>
      <c r="C6226" s="91" t="s">
        <v>11</v>
      </c>
      <c r="D6226" s="9" t="s">
        <v>11</v>
      </c>
      <c r="E6226" s="9" t="s">
        <v>13</v>
      </c>
      <c r="F6226" s="9"/>
      <c r="G6226" s="9"/>
      <c r="H6226" s="9"/>
      <c r="I6226" s="9" t="s">
        <v>13</v>
      </c>
      <c r="J6226" s="259"/>
    </row>
    <row r="6227">
      <c r="A6227" s="259"/>
      <c r="B6227" s="26"/>
      <c r="C6227" s="91" t="s">
        <v>11</v>
      </c>
      <c r="D6227" s="9" t="s">
        <v>11</v>
      </c>
      <c r="E6227" s="9" t="s">
        <v>13</v>
      </c>
      <c r="F6227" s="9"/>
      <c r="G6227" s="9"/>
      <c r="H6227" s="9"/>
      <c r="I6227" s="9" t="s">
        <v>13</v>
      </c>
      <c r="J6227" s="259"/>
    </row>
    <row r="6228">
      <c r="A6228" s="259"/>
      <c r="B6228" s="26"/>
      <c r="C6228" s="91" t="s">
        <v>11</v>
      </c>
      <c r="D6228" s="9" t="s">
        <v>11</v>
      </c>
      <c r="E6228" s="9" t="s">
        <v>13</v>
      </c>
      <c r="F6228" s="9"/>
      <c r="G6228" s="9"/>
      <c r="H6228" s="9"/>
      <c r="I6228" s="9" t="s">
        <v>13</v>
      </c>
      <c r="J6228" s="259"/>
    </row>
    <row r="6229">
      <c r="A6229" s="259"/>
      <c r="B6229" s="26"/>
      <c r="C6229" s="91" t="s">
        <v>11</v>
      </c>
      <c r="D6229" s="9" t="s">
        <v>11</v>
      </c>
      <c r="E6229" s="9" t="s">
        <v>13</v>
      </c>
      <c r="F6229" s="9"/>
      <c r="G6229" s="9"/>
      <c r="H6229" s="9"/>
      <c r="I6229" s="9" t="s">
        <v>13</v>
      </c>
      <c r="J6229" s="259"/>
    </row>
    <row r="6230">
      <c r="A6230" s="259"/>
      <c r="B6230" s="26"/>
      <c r="C6230" s="91" t="s">
        <v>11</v>
      </c>
      <c r="D6230" s="9" t="s">
        <v>11</v>
      </c>
      <c r="E6230" s="9" t="s">
        <v>13</v>
      </c>
      <c r="F6230" s="9"/>
      <c r="G6230" s="9"/>
      <c r="H6230" s="9"/>
      <c r="I6230" s="9" t="s">
        <v>13</v>
      </c>
      <c r="J6230" s="259"/>
    </row>
    <row r="6231">
      <c r="A6231" s="259"/>
      <c r="B6231" s="26"/>
      <c r="C6231" s="91" t="s">
        <v>11</v>
      </c>
      <c r="D6231" s="9" t="s">
        <v>11</v>
      </c>
      <c r="E6231" s="9" t="s">
        <v>13</v>
      </c>
      <c r="F6231" s="9"/>
      <c r="G6231" s="9"/>
      <c r="H6231" s="9"/>
      <c r="I6231" s="9" t="s">
        <v>13</v>
      </c>
      <c r="J6231" s="259"/>
    </row>
    <row r="6232">
      <c r="A6232" s="259"/>
      <c r="B6232" s="26"/>
      <c r="C6232" s="91" t="s">
        <v>11</v>
      </c>
      <c r="D6232" s="9" t="s">
        <v>11</v>
      </c>
      <c r="E6232" s="9" t="s">
        <v>13</v>
      </c>
      <c r="F6232" s="9"/>
      <c r="G6232" s="9"/>
      <c r="H6232" s="9"/>
      <c r="I6232" s="9" t="s">
        <v>13</v>
      </c>
      <c r="J6232" s="259"/>
    </row>
    <row r="6233">
      <c r="A6233" s="259"/>
      <c r="B6233" s="26"/>
      <c r="C6233" s="91" t="s">
        <v>11</v>
      </c>
      <c r="D6233" s="9" t="s">
        <v>11</v>
      </c>
      <c r="E6233" s="9" t="s">
        <v>13</v>
      </c>
      <c r="F6233" s="9"/>
      <c r="G6233" s="9"/>
      <c r="H6233" s="9"/>
      <c r="I6233" s="9" t="s">
        <v>13</v>
      </c>
      <c r="J6233" s="259"/>
    </row>
    <row r="6234">
      <c r="A6234" s="259"/>
      <c r="B6234" s="26"/>
      <c r="C6234" s="91" t="s">
        <v>11</v>
      </c>
      <c r="D6234" s="9" t="s">
        <v>11</v>
      </c>
      <c r="E6234" s="9" t="s">
        <v>13</v>
      </c>
      <c r="F6234" s="9"/>
      <c r="G6234" s="9"/>
      <c r="H6234" s="9"/>
      <c r="I6234" s="9" t="s">
        <v>13</v>
      </c>
      <c r="J6234" s="259"/>
    </row>
    <row r="6235">
      <c r="A6235" s="259"/>
      <c r="B6235" s="26"/>
      <c r="C6235" s="91" t="s">
        <v>11</v>
      </c>
      <c r="D6235" s="9" t="s">
        <v>11</v>
      </c>
      <c r="E6235" s="9" t="s">
        <v>13</v>
      </c>
      <c r="F6235" s="9"/>
      <c r="G6235" s="9"/>
      <c r="H6235" s="9"/>
      <c r="I6235" s="9" t="s">
        <v>13</v>
      </c>
      <c r="J6235" s="259"/>
    </row>
    <row r="6236">
      <c r="A6236" s="259"/>
      <c r="B6236" s="26"/>
      <c r="C6236" s="91" t="s">
        <v>11</v>
      </c>
      <c r="D6236" s="9" t="s">
        <v>11</v>
      </c>
      <c r="E6236" s="9" t="s">
        <v>13</v>
      </c>
      <c r="F6236" s="9"/>
      <c r="G6236" s="9"/>
      <c r="H6236" s="9"/>
      <c r="I6236" s="9" t="s">
        <v>13</v>
      </c>
      <c r="J6236" s="259"/>
    </row>
    <row r="6237">
      <c r="A6237" s="259"/>
      <c r="B6237" s="26"/>
      <c r="C6237" s="91" t="s">
        <v>11</v>
      </c>
      <c r="D6237" s="9" t="s">
        <v>11</v>
      </c>
      <c r="E6237" s="9" t="s">
        <v>13</v>
      </c>
      <c r="F6237" s="9"/>
      <c r="G6237" s="9"/>
      <c r="H6237" s="9"/>
      <c r="I6237" s="9" t="s">
        <v>13</v>
      </c>
      <c r="J6237" s="259"/>
    </row>
    <row r="6238">
      <c r="A6238" s="259"/>
      <c r="B6238" s="26"/>
      <c r="C6238" s="91" t="s">
        <v>11</v>
      </c>
      <c r="D6238" s="9" t="s">
        <v>11</v>
      </c>
      <c r="E6238" s="9" t="s">
        <v>13</v>
      </c>
      <c r="F6238" s="9"/>
      <c r="G6238" s="9"/>
      <c r="H6238" s="9"/>
      <c r="I6238" s="9" t="s">
        <v>13</v>
      </c>
      <c r="J6238" s="259"/>
    </row>
    <row r="6239">
      <c r="A6239" s="259"/>
      <c r="B6239" s="26"/>
      <c r="C6239" s="91" t="s">
        <v>11</v>
      </c>
      <c r="D6239" s="9" t="s">
        <v>11</v>
      </c>
      <c r="E6239" s="9" t="s">
        <v>13</v>
      </c>
      <c r="F6239" s="9"/>
      <c r="G6239" s="9"/>
      <c r="H6239" s="9"/>
      <c r="I6239" s="9" t="s">
        <v>13</v>
      </c>
      <c r="J6239" s="259"/>
    </row>
    <row r="6240">
      <c r="A6240" s="259"/>
      <c r="B6240" s="26"/>
      <c r="C6240" s="91" t="s">
        <v>11</v>
      </c>
      <c r="D6240" s="9" t="s">
        <v>11</v>
      </c>
      <c r="E6240" s="9" t="s">
        <v>13</v>
      </c>
      <c r="F6240" s="9"/>
      <c r="G6240" s="9"/>
      <c r="H6240" s="9"/>
      <c r="I6240" s="9" t="s">
        <v>13</v>
      </c>
      <c r="J6240" s="259"/>
    </row>
    <row r="6241">
      <c r="A6241" s="259"/>
      <c r="B6241" s="26"/>
      <c r="C6241" s="91" t="s">
        <v>11</v>
      </c>
      <c r="D6241" s="9" t="s">
        <v>11</v>
      </c>
      <c r="E6241" s="9" t="s">
        <v>13</v>
      </c>
      <c r="F6241" s="9"/>
      <c r="G6241" s="9"/>
      <c r="H6241" s="9"/>
      <c r="I6241" s="9" t="s">
        <v>13</v>
      </c>
      <c r="J6241" s="259"/>
    </row>
    <row r="6242">
      <c r="A6242" s="259"/>
      <c r="B6242" s="26"/>
      <c r="C6242" s="91" t="s">
        <v>11</v>
      </c>
      <c r="D6242" s="9" t="s">
        <v>11</v>
      </c>
      <c r="E6242" s="9" t="s">
        <v>13</v>
      </c>
      <c r="F6242" s="9"/>
      <c r="G6242" s="9"/>
      <c r="H6242" s="9"/>
      <c r="I6242" s="9" t="s">
        <v>13</v>
      </c>
      <c r="J6242" s="259"/>
    </row>
    <row r="6243">
      <c r="A6243" s="259"/>
      <c r="B6243" s="26"/>
      <c r="C6243" s="91" t="s">
        <v>11</v>
      </c>
      <c r="D6243" s="9" t="s">
        <v>11</v>
      </c>
      <c r="E6243" s="9" t="s">
        <v>13</v>
      </c>
      <c r="F6243" s="9"/>
      <c r="G6243" s="9"/>
      <c r="H6243" s="9"/>
      <c r="I6243" s="9" t="s">
        <v>13</v>
      </c>
      <c r="J6243" s="259"/>
    </row>
    <row r="6244">
      <c r="A6244" s="259"/>
      <c r="B6244" s="26"/>
      <c r="C6244" s="91" t="s">
        <v>11</v>
      </c>
      <c r="D6244" s="9" t="s">
        <v>11</v>
      </c>
      <c r="E6244" s="9" t="s">
        <v>13</v>
      </c>
      <c r="F6244" s="9"/>
      <c r="G6244" s="9"/>
      <c r="H6244" s="9"/>
      <c r="I6244" s="9" t="s">
        <v>13</v>
      </c>
      <c r="J6244" s="259"/>
    </row>
    <row r="6245">
      <c r="A6245" s="259"/>
      <c r="B6245" s="26"/>
      <c r="C6245" s="91" t="s">
        <v>11</v>
      </c>
      <c r="D6245" s="9" t="s">
        <v>11</v>
      </c>
      <c r="E6245" s="9" t="s">
        <v>13</v>
      </c>
      <c r="F6245" s="9"/>
      <c r="G6245" s="9"/>
      <c r="H6245" s="9"/>
      <c r="I6245" s="9" t="s">
        <v>13</v>
      </c>
      <c r="J6245" s="259"/>
    </row>
    <row r="6246">
      <c r="A6246" s="259"/>
      <c r="B6246" s="26"/>
      <c r="C6246" s="91" t="s">
        <v>11</v>
      </c>
      <c r="D6246" s="9" t="s">
        <v>11</v>
      </c>
      <c r="E6246" s="9" t="s">
        <v>13</v>
      </c>
      <c r="F6246" s="9"/>
      <c r="G6246" s="9"/>
      <c r="H6246" s="9"/>
      <c r="I6246" s="9" t="s">
        <v>13</v>
      </c>
      <c r="J6246" s="259"/>
    </row>
    <row r="6247">
      <c r="A6247" s="259"/>
      <c r="B6247" s="26"/>
      <c r="C6247" s="91" t="s">
        <v>11</v>
      </c>
      <c r="D6247" s="9" t="s">
        <v>11</v>
      </c>
      <c r="E6247" s="9" t="s">
        <v>13</v>
      </c>
      <c r="F6247" s="9"/>
      <c r="G6247" s="9"/>
      <c r="H6247" s="9"/>
      <c r="I6247" s="9" t="s">
        <v>13</v>
      </c>
      <c r="J6247" s="259"/>
    </row>
    <row r="6248">
      <c r="A6248" s="259"/>
      <c r="B6248" s="26"/>
      <c r="C6248" s="91" t="s">
        <v>11</v>
      </c>
      <c r="D6248" s="9" t="s">
        <v>11</v>
      </c>
      <c r="E6248" s="9" t="s">
        <v>13</v>
      </c>
      <c r="F6248" s="9"/>
      <c r="G6248" s="9"/>
      <c r="H6248" s="9"/>
      <c r="I6248" s="9" t="s">
        <v>13</v>
      </c>
      <c r="J6248" s="259"/>
    </row>
    <row r="6249">
      <c r="A6249" s="259"/>
      <c r="B6249" s="26"/>
      <c r="C6249" s="91" t="s">
        <v>11</v>
      </c>
      <c r="D6249" s="9" t="s">
        <v>11</v>
      </c>
      <c r="E6249" s="9" t="s">
        <v>13</v>
      </c>
      <c r="F6249" s="9"/>
      <c r="G6249" s="9"/>
      <c r="H6249" s="9"/>
      <c r="I6249" s="9" t="s">
        <v>13</v>
      </c>
      <c r="J6249" s="259"/>
    </row>
    <row r="6250">
      <c r="A6250" s="259"/>
      <c r="B6250" s="26"/>
      <c r="C6250" s="91" t="s">
        <v>11</v>
      </c>
      <c r="D6250" s="9" t="s">
        <v>11</v>
      </c>
      <c r="E6250" s="9" t="s">
        <v>13</v>
      </c>
      <c r="F6250" s="9"/>
      <c r="G6250" s="9"/>
      <c r="H6250" s="9"/>
      <c r="I6250" s="9" t="s">
        <v>13</v>
      </c>
      <c r="J6250" s="259"/>
    </row>
    <row r="6251">
      <c r="A6251" s="259"/>
      <c r="B6251" s="26"/>
      <c r="C6251" s="91" t="s">
        <v>11</v>
      </c>
      <c r="D6251" s="9" t="s">
        <v>11</v>
      </c>
      <c r="E6251" s="9" t="s">
        <v>13</v>
      </c>
      <c r="F6251" s="9"/>
      <c r="G6251" s="9"/>
      <c r="H6251" s="9"/>
      <c r="I6251" s="9" t="s">
        <v>13</v>
      </c>
      <c r="J6251" s="259"/>
    </row>
    <row r="6252">
      <c r="A6252" s="259"/>
      <c r="B6252" s="26"/>
      <c r="C6252" s="91" t="s">
        <v>11</v>
      </c>
      <c r="D6252" s="9" t="s">
        <v>11</v>
      </c>
      <c r="E6252" s="9" t="s">
        <v>13</v>
      </c>
      <c r="F6252" s="9"/>
      <c r="G6252" s="9"/>
      <c r="H6252" s="9"/>
      <c r="I6252" s="9" t="s">
        <v>13</v>
      </c>
      <c r="J6252" s="259"/>
    </row>
    <row r="6253">
      <c r="A6253" s="259"/>
      <c r="B6253" s="26"/>
      <c r="C6253" s="91" t="s">
        <v>11</v>
      </c>
      <c r="D6253" s="9" t="s">
        <v>11</v>
      </c>
      <c r="E6253" s="9" t="s">
        <v>13</v>
      </c>
      <c r="F6253" s="9"/>
      <c r="G6253" s="9"/>
      <c r="H6253" s="9"/>
      <c r="I6253" s="9" t="s">
        <v>13</v>
      </c>
      <c r="J6253" s="259"/>
    </row>
    <row r="6254">
      <c r="A6254" s="259"/>
      <c r="B6254" s="26"/>
      <c r="C6254" s="91" t="s">
        <v>11</v>
      </c>
      <c r="D6254" s="9" t="s">
        <v>11</v>
      </c>
      <c r="E6254" s="9" t="s">
        <v>13</v>
      </c>
      <c r="F6254" s="9"/>
      <c r="G6254" s="9"/>
      <c r="H6254" s="9"/>
      <c r="I6254" s="9" t="s">
        <v>13</v>
      </c>
      <c r="J6254" s="259"/>
    </row>
    <row r="6255">
      <c r="A6255" s="259"/>
      <c r="B6255" s="26"/>
      <c r="C6255" s="91" t="s">
        <v>11</v>
      </c>
      <c r="D6255" s="9" t="s">
        <v>11</v>
      </c>
      <c r="E6255" s="9" t="s">
        <v>13</v>
      </c>
      <c r="F6255" s="9"/>
      <c r="G6255" s="9"/>
      <c r="H6255" s="9"/>
      <c r="I6255" s="9" t="s">
        <v>13</v>
      </c>
      <c r="J6255" s="259"/>
    </row>
    <row r="6256">
      <c r="A6256" s="259"/>
      <c r="B6256" s="26"/>
      <c r="C6256" s="91" t="s">
        <v>11</v>
      </c>
      <c r="D6256" s="9" t="s">
        <v>11</v>
      </c>
      <c r="E6256" s="9" t="s">
        <v>13</v>
      </c>
      <c r="F6256" s="9"/>
      <c r="G6256" s="9"/>
      <c r="H6256" s="9"/>
      <c r="I6256" s="9" t="s">
        <v>13</v>
      </c>
      <c r="J6256" s="259"/>
    </row>
    <row r="6257">
      <c r="A6257" s="259"/>
      <c r="B6257" s="26"/>
      <c r="C6257" s="91" t="s">
        <v>11</v>
      </c>
      <c r="D6257" s="9" t="s">
        <v>11</v>
      </c>
      <c r="E6257" s="9" t="s">
        <v>13</v>
      </c>
      <c r="F6257" s="9"/>
      <c r="G6257" s="9"/>
      <c r="H6257" s="9"/>
      <c r="I6257" s="9" t="s">
        <v>13</v>
      </c>
      <c r="J6257" s="259"/>
    </row>
    <row r="6258">
      <c r="A6258" s="259"/>
      <c r="B6258" s="26"/>
      <c r="C6258" s="91" t="s">
        <v>11</v>
      </c>
      <c r="D6258" s="9" t="s">
        <v>11</v>
      </c>
      <c r="E6258" s="9" t="s">
        <v>13</v>
      </c>
      <c r="F6258" s="9"/>
      <c r="G6258" s="9"/>
      <c r="H6258" s="9"/>
      <c r="I6258" s="9" t="s">
        <v>13</v>
      </c>
      <c r="J6258" s="259"/>
    </row>
    <row r="6259">
      <c r="A6259" s="259"/>
      <c r="B6259" s="26"/>
      <c r="C6259" s="91" t="s">
        <v>11</v>
      </c>
      <c r="D6259" s="9" t="s">
        <v>11</v>
      </c>
      <c r="E6259" s="9" t="s">
        <v>13</v>
      </c>
      <c r="F6259" s="9"/>
      <c r="G6259" s="9"/>
      <c r="H6259" s="9"/>
      <c r="I6259" s="9" t="s">
        <v>13</v>
      </c>
      <c r="J6259" s="259"/>
    </row>
    <row r="6260">
      <c r="A6260" s="259"/>
      <c r="B6260" s="26"/>
      <c r="C6260" s="91" t="s">
        <v>11</v>
      </c>
      <c r="D6260" s="9" t="s">
        <v>11</v>
      </c>
      <c r="E6260" s="9" t="s">
        <v>13</v>
      </c>
      <c r="F6260" s="9"/>
      <c r="G6260" s="9"/>
      <c r="H6260" s="9"/>
      <c r="I6260" s="9" t="s">
        <v>13</v>
      </c>
      <c r="J6260" s="259"/>
    </row>
    <row r="6261">
      <c r="A6261" s="259"/>
      <c r="B6261" s="26"/>
      <c r="C6261" s="91" t="s">
        <v>11</v>
      </c>
      <c r="D6261" s="9" t="s">
        <v>11</v>
      </c>
      <c r="E6261" s="9" t="s">
        <v>13</v>
      </c>
      <c r="F6261" s="9"/>
      <c r="G6261" s="9"/>
      <c r="H6261" s="9"/>
      <c r="I6261" s="9" t="s">
        <v>13</v>
      </c>
      <c r="J6261" s="259"/>
    </row>
    <row r="6262">
      <c r="A6262" s="259"/>
      <c r="B6262" s="26"/>
      <c r="C6262" s="91" t="s">
        <v>11</v>
      </c>
      <c r="D6262" s="9" t="s">
        <v>11</v>
      </c>
      <c r="E6262" s="9" t="s">
        <v>13</v>
      </c>
      <c r="F6262" s="9"/>
      <c r="G6262" s="9"/>
      <c r="H6262" s="9"/>
      <c r="I6262" s="9" t="s">
        <v>13</v>
      </c>
      <c r="J6262" s="259"/>
    </row>
    <row r="6263">
      <c r="A6263" s="259"/>
      <c r="B6263" s="26"/>
      <c r="C6263" s="91" t="s">
        <v>11</v>
      </c>
      <c r="D6263" s="9" t="s">
        <v>11</v>
      </c>
      <c r="E6263" s="9" t="s">
        <v>13</v>
      </c>
      <c r="F6263" s="9"/>
      <c r="G6263" s="9"/>
      <c r="H6263" s="9"/>
      <c r="I6263" s="9" t="s">
        <v>13</v>
      </c>
      <c r="J6263" s="259"/>
    </row>
    <row r="6264">
      <c r="A6264" s="259"/>
      <c r="B6264" s="26"/>
      <c r="C6264" s="91" t="s">
        <v>11</v>
      </c>
      <c r="D6264" s="9" t="s">
        <v>11</v>
      </c>
      <c r="E6264" s="9" t="s">
        <v>13</v>
      </c>
      <c r="F6264" s="9"/>
      <c r="G6264" s="9"/>
      <c r="H6264" s="9"/>
      <c r="I6264" s="9" t="s">
        <v>13</v>
      </c>
      <c r="J6264" s="259"/>
    </row>
    <row r="6265">
      <c r="A6265" s="259"/>
      <c r="B6265" s="26"/>
      <c r="C6265" s="91" t="s">
        <v>11</v>
      </c>
      <c r="D6265" s="9" t="s">
        <v>11</v>
      </c>
      <c r="E6265" s="9" t="s">
        <v>13</v>
      </c>
      <c r="F6265" s="9"/>
      <c r="G6265" s="9"/>
      <c r="H6265" s="9"/>
      <c r="I6265" s="9" t="s">
        <v>13</v>
      </c>
      <c r="J6265" s="259"/>
    </row>
    <row r="6266">
      <c r="A6266" s="259"/>
      <c r="B6266" s="26"/>
      <c r="C6266" s="91" t="s">
        <v>11</v>
      </c>
      <c r="D6266" s="9" t="s">
        <v>11</v>
      </c>
      <c r="E6266" s="9" t="s">
        <v>13</v>
      </c>
      <c r="F6266" s="9"/>
      <c r="G6266" s="9"/>
      <c r="H6266" s="9"/>
      <c r="I6266" s="9" t="s">
        <v>13</v>
      </c>
      <c r="J6266" s="259"/>
    </row>
    <row r="6267">
      <c r="A6267" s="259"/>
      <c r="B6267" s="26"/>
      <c r="C6267" s="91" t="s">
        <v>11</v>
      </c>
      <c r="D6267" s="9" t="s">
        <v>11</v>
      </c>
      <c r="E6267" s="9" t="s">
        <v>13</v>
      </c>
      <c r="F6267" s="9"/>
      <c r="G6267" s="9"/>
      <c r="H6267" s="9"/>
      <c r="I6267" s="9" t="s">
        <v>13</v>
      </c>
      <c r="J6267" s="259"/>
    </row>
    <row r="6268">
      <c r="A6268" s="259"/>
      <c r="B6268" s="26"/>
      <c r="C6268" s="91" t="s">
        <v>11</v>
      </c>
      <c r="D6268" s="9" t="s">
        <v>11</v>
      </c>
      <c r="E6268" s="9" t="s">
        <v>13</v>
      </c>
      <c r="F6268" s="9"/>
      <c r="G6268" s="9"/>
      <c r="H6268" s="9"/>
      <c r="I6268" s="9" t="s">
        <v>13</v>
      </c>
      <c r="J6268" s="259"/>
    </row>
    <row r="6269">
      <c r="A6269" s="259"/>
      <c r="B6269" s="26"/>
      <c r="C6269" s="91" t="s">
        <v>11</v>
      </c>
      <c r="D6269" s="9" t="s">
        <v>11</v>
      </c>
      <c r="E6269" s="9" t="s">
        <v>13</v>
      </c>
      <c r="F6269" s="9"/>
      <c r="G6269" s="9"/>
      <c r="H6269" s="9"/>
      <c r="I6269" s="9" t="s">
        <v>13</v>
      </c>
      <c r="J6269" s="259"/>
    </row>
    <row r="6270">
      <c r="A6270" s="259"/>
      <c r="B6270" s="26"/>
      <c r="C6270" s="91" t="s">
        <v>11</v>
      </c>
      <c r="D6270" s="9" t="s">
        <v>11</v>
      </c>
      <c r="E6270" s="9" t="s">
        <v>13</v>
      </c>
      <c r="F6270" s="9"/>
      <c r="G6270" s="9"/>
      <c r="H6270" s="9"/>
      <c r="I6270" s="9" t="s">
        <v>13</v>
      </c>
      <c r="J6270" s="259"/>
    </row>
    <row r="6271">
      <c r="A6271" s="259"/>
      <c r="B6271" s="26"/>
      <c r="C6271" s="91" t="s">
        <v>11</v>
      </c>
      <c r="D6271" s="9" t="s">
        <v>11</v>
      </c>
      <c r="E6271" s="9" t="s">
        <v>13</v>
      </c>
      <c r="F6271" s="9"/>
      <c r="G6271" s="9"/>
      <c r="H6271" s="9"/>
      <c r="I6271" s="9" t="s">
        <v>13</v>
      </c>
      <c r="J6271" s="259"/>
    </row>
    <row r="6272">
      <c r="A6272" s="259"/>
      <c r="B6272" s="26"/>
      <c r="C6272" s="91" t="s">
        <v>11</v>
      </c>
      <c r="D6272" s="9" t="s">
        <v>11</v>
      </c>
      <c r="E6272" s="9" t="s">
        <v>13</v>
      </c>
      <c r="F6272" s="9"/>
      <c r="G6272" s="9"/>
      <c r="H6272" s="9"/>
      <c r="I6272" s="9" t="s">
        <v>13</v>
      </c>
      <c r="J6272" s="259"/>
    </row>
    <row r="6273">
      <c r="A6273" s="259"/>
      <c r="B6273" s="26"/>
      <c r="C6273" s="91" t="s">
        <v>11</v>
      </c>
      <c r="D6273" s="9" t="s">
        <v>11</v>
      </c>
      <c r="E6273" s="9" t="s">
        <v>13</v>
      </c>
      <c r="F6273" s="9"/>
      <c r="G6273" s="9"/>
      <c r="H6273" s="9"/>
      <c r="I6273" s="9" t="s">
        <v>13</v>
      </c>
      <c r="J6273" s="259"/>
    </row>
    <row r="6274">
      <c r="A6274" s="259"/>
      <c r="B6274" s="26"/>
      <c r="C6274" s="91" t="s">
        <v>11</v>
      </c>
      <c r="D6274" s="9" t="s">
        <v>11</v>
      </c>
      <c r="E6274" s="9" t="s">
        <v>13</v>
      </c>
      <c r="F6274" s="9"/>
      <c r="G6274" s="9"/>
      <c r="H6274" s="9"/>
      <c r="I6274" s="9" t="s">
        <v>13</v>
      </c>
      <c r="J6274" s="259"/>
    </row>
    <row r="6275">
      <c r="A6275" s="259"/>
      <c r="B6275" s="26"/>
      <c r="C6275" s="91" t="s">
        <v>11</v>
      </c>
      <c r="D6275" s="9" t="s">
        <v>11</v>
      </c>
      <c r="E6275" s="9" t="s">
        <v>13</v>
      </c>
      <c r="F6275" s="9"/>
      <c r="G6275" s="9"/>
      <c r="H6275" s="9"/>
      <c r="I6275" s="9" t="s">
        <v>13</v>
      </c>
      <c r="J6275" s="259"/>
    </row>
    <row r="6276">
      <c r="A6276" s="259"/>
      <c r="B6276" s="26"/>
      <c r="C6276" s="91" t="s">
        <v>11</v>
      </c>
      <c r="D6276" s="9" t="s">
        <v>11</v>
      </c>
      <c r="E6276" s="9" t="s">
        <v>13</v>
      </c>
      <c r="F6276" s="9"/>
      <c r="G6276" s="9"/>
      <c r="H6276" s="9"/>
      <c r="I6276" s="9" t="s">
        <v>13</v>
      </c>
      <c r="J6276" s="259"/>
    </row>
    <row r="6277">
      <c r="A6277" s="259"/>
      <c r="B6277" s="26"/>
      <c r="C6277" s="91" t="s">
        <v>11</v>
      </c>
      <c r="D6277" s="9" t="s">
        <v>11</v>
      </c>
      <c r="E6277" s="9" t="s">
        <v>13</v>
      </c>
      <c r="F6277" s="9"/>
      <c r="G6277" s="9"/>
      <c r="H6277" s="9"/>
      <c r="I6277" s="9" t="s">
        <v>13</v>
      </c>
      <c r="J6277" s="259"/>
    </row>
    <row r="6278">
      <c r="A6278" s="259"/>
      <c r="B6278" s="26"/>
      <c r="C6278" s="91" t="s">
        <v>11</v>
      </c>
      <c r="D6278" s="9" t="s">
        <v>11</v>
      </c>
      <c r="E6278" s="9" t="s">
        <v>13</v>
      </c>
      <c r="F6278" s="9"/>
      <c r="G6278" s="9"/>
      <c r="H6278" s="9"/>
      <c r="I6278" s="9" t="s">
        <v>13</v>
      </c>
      <c r="J6278" s="259"/>
    </row>
    <row r="6279">
      <c r="A6279" s="259"/>
      <c r="B6279" s="26"/>
      <c r="C6279" s="91" t="s">
        <v>11</v>
      </c>
      <c r="D6279" s="9" t="s">
        <v>11</v>
      </c>
      <c r="E6279" s="9" t="s">
        <v>13</v>
      </c>
      <c r="F6279" s="9"/>
      <c r="G6279" s="9"/>
      <c r="H6279" s="9"/>
      <c r="I6279" s="9" t="s">
        <v>13</v>
      </c>
      <c r="J6279" s="259"/>
    </row>
    <row r="6280">
      <c r="A6280" s="259"/>
      <c r="B6280" s="26"/>
      <c r="C6280" s="91" t="s">
        <v>11</v>
      </c>
      <c r="D6280" s="9" t="s">
        <v>11</v>
      </c>
      <c r="E6280" s="9" t="s">
        <v>13</v>
      </c>
      <c r="F6280" s="9"/>
      <c r="G6280" s="9"/>
      <c r="H6280" s="9"/>
      <c r="I6280" s="9" t="s">
        <v>13</v>
      </c>
      <c r="J6280" s="259"/>
    </row>
    <row r="6281">
      <c r="A6281" s="259"/>
      <c r="B6281" s="26"/>
      <c r="C6281" s="91" t="s">
        <v>11</v>
      </c>
      <c r="D6281" s="9" t="s">
        <v>11</v>
      </c>
      <c r="E6281" s="9" t="s">
        <v>13</v>
      </c>
      <c r="F6281" s="9"/>
      <c r="G6281" s="9"/>
      <c r="H6281" s="9"/>
      <c r="I6281" s="9" t="s">
        <v>13</v>
      </c>
      <c r="J6281" s="259"/>
    </row>
    <row r="6282">
      <c r="A6282" s="259"/>
      <c r="B6282" s="26"/>
      <c r="C6282" s="91" t="s">
        <v>11</v>
      </c>
      <c r="D6282" s="9" t="s">
        <v>11</v>
      </c>
      <c r="E6282" s="9" t="s">
        <v>13</v>
      </c>
      <c r="F6282" s="9"/>
      <c r="G6282" s="9"/>
      <c r="H6282" s="9"/>
      <c r="I6282" s="9" t="s">
        <v>13</v>
      </c>
      <c r="J6282" s="259"/>
    </row>
    <row r="6283">
      <c r="A6283" s="259"/>
      <c r="B6283" s="26"/>
      <c r="C6283" s="91" t="s">
        <v>11</v>
      </c>
      <c r="D6283" s="9" t="s">
        <v>11</v>
      </c>
      <c r="E6283" s="9" t="s">
        <v>13</v>
      </c>
      <c r="F6283" s="9"/>
      <c r="G6283" s="9"/>
      <c r="H6283" s="9"/>
      <c r="I6283" s="9" t="s">
        <v>13</v>
      </c>
      <c r="J6283" s="259"/>
    </row>
    <row r="6284">
      <c r="A6284" s="259"/>
      <c r="B6284" s="26"/>
      <c r="C6284" s="91" t="s">
        <v>11</v>
      </c>
      <c r="D6284" s="9" t="s">
        <v>11</v>
      </c>
      <c r="E6284" s="9" t="s">
        <v>13</v>
      </c>
      <c r="F6284" s="9"/>
      <c r="G6284" s="9"/>
      <c r="H6284" s="9"/>
      <c r="I6284" s="9" t="s">
        <v>13</v>
      </c>
      <c r="J6284" s="259"/>
    </row>
    <row r="6285">
      <c r="A6285" s="259"/>
      <c r="B6285" s="26"/>
      <c r="C6285" s="91" t="s">
        <v>11</v>
      </c>
      <c r="D6285" s="9" t="s">
        <v>11</v>
      </c>
      <c r="E6285" s="9" t="s">
        <v>13</v>
      </c>
      <c r="F6285" s="9"/>
      <c r="G6285" s="9"/>
      <c r="H6285" s="9"/>
      <c r="I6285" s="9" t="s">
        <v>13</v>
      </c>
      <c r="J6285" s="259"/>
    </row>
    <row r="6286">
      <c r="A6286" s="259"/>
      <c r="B6286" s="26"/>
      <c r="C6286" s="91" t="s">
        <v>11</v>
      </c>
      <c r="D6286" s="9" t="s">
        <v>11</v>
      </c>
      <c r="E6286" s="9" t="s">
        <v>13</v>
      </c>
      <c r="F6286" s="9"/>
      <c r="G6286" s="9"/>
      <c r="H6286" s="9"/>
      <c r="I6286" s="9" t="s">
        <v>13</v>
      </c>
      <c r="J6286" s="259"/>
    </row>
    <row r="6287">
      <c r="A6287" s="259"/>
      <c r="B6287" s="26"/>
      <c r="C6287" s="91" t="s">
        <v>11</v>
      </c>
      <c r="D6287" s="9" t="s">
        <v>11</v>
      </c>
      <c r="E6287" s="9" t="s">
        <v>13</v>
      </c>
      <c r="F6287" s="9"/>
      <c r="G6287" s="9"/>
      <c r="H6287" s="9"/>
      <c r="I6287" s="9" t="s">
        <v>13</v>
      </c>
      <c r="J6287" s="259"/>
    </row>
    <row r="6288">
      <c r="A6288" s="259"/>
      <c r="B6288" s="26"/>
      <c r="C6288" s="91" t="s">
        <v>11</v>
      </c>
      <c r="D6288" s="9" t="s">
        <v>11</v>
      </c>
      <c r="E6288" s="9" t="s">
        <v>13</v>
      </c>
      <c r="F6288" s="9"/>
      <c r="G6288" s="9"/>
      <c r="H6288" s="9"/>
      <c r="I6288" s="9" t="s">
        <v>13</v>
      </c>
      <c r="J6288" s="259"/>
    </row>
    <row r="6289">
      <c r="A6289" s="259"/>
      <c r="B6289" s="26"/>
      <c r="C6289" s="91" t="s">
        <v>11</v>
      </c>
      <c r="D6289" s="9" t="s">
        <v>11</v>
      </c>
      <c r="E6289" s="9" t="s">
        <v>13</v>
      </c>
      <c r="F6289" s="9"/>
      <c r="G6289" s="9"/>
      <c r="H6289" s="9"/>
      <c r="I6289" s="9" t="s">
        <v>13</v>
      </c>
      <c r="J6289" s="259"/>
    </row>
    <row r="6290">
      <c r="A6290" s="259"/>
      <c r="B6290" s="26"/>
      <c r="C6290" s="91" t="s">
        <v>11</v>
      </c>
      <c r="D6290" s="9" t="s">
        <v>11</v>
      </c>
      <c r="E6290" s="9" t="s">
        <v>13</v>
      </c>
      <c r="F6290" s="9"/>
      <c r="G6290" s="9"/>
      <c r="H6290" s="9"/>
      <c r="I6290" s="9" t="s">
        <v>13</v>
      </c>
      <c r="J6290" s="259"/>
    </row>
    <row r="6291">
      <c r="A6291" s="259"/>
      <c r="B6291" s="26"/>
      <c r="C6291" s="91" t="s">
        <v>11</v>
      </c>
      <c r="D6291" s="9" t="s">
        <v>11</v>
      </c>
      <c r="E6291" s="9" t="s">
        <v>13</v>
      </c>
      <c r="F6291" s="9"/>
      <c r="G6291" s="9"/>
      <c r="H6291" s="9"/>
      <c r="I6291" s="9" t="s">
        <v>13</v>
      </c>
      <c r="J6291" s="259"/>
    </row>
    <row r="6292">
      <c r="A6292" s="259"/>
      <c r="B6292" s="26"/>
      <c r="C6292" s="91" t="s">
        <v>11</v>
      </c>
      <c r="D6292" s="9" t="s">
        <v>11</v>
      </c>
      <c r="E6292" s="9" t="s">
        <v>13</v>
      </c>
      <c r="F6292" s="9"/>
      <c r="G6292" s="9"/>
      <c r="H6292" s="9"/>
      <c r="I6292" s="9" t="s">
        <v>13</v>
      </c>
      <c r="J6292" s="259"/>
    </row>
    <row r="6293">
      <c r="A6293" s="259"/>
      <c r="B6293" s="26"/>
      <c r="C6293" s="91" t="s">
        <v>11</v>
      </c>
      <c r="D6293" s="9" t="s">
        <v>11</v>
      </c>
      <c r="E6293" s="9" t="s">
        <v>13</v>
      </c>
      <c r="F6293" s="9"/>
      <c r="G6293" s="9"/>
      <c r="H6293" s="9"/>
      <c r="I6293" s="9" t="s">
        <v>13</v>
      </c>
      <c r="J6293" s="259"/>
    </row>
    <row r="6294">
      <c r="A6294" s="259"/>
      <c r="B6294" s="26"/>
      <c r="C6294" s="91" t="s">
        <v>11</v>
      </c>
      <c r="D6294" s="9" t="s">
        <v>11</v>
      </c>
      <c r="E6294" s="9" t="s">
        <v>13</v>
      </c>
      <c r="F6294" s="9"/>
      <c r="G6294" s="9"/>
      <c r="H6294" s="9"/>
      <c r="I6294" s="9" t="s">
        <v>13</v>
      </c>
      <c r="J6294" s="259"/>
    </row>
    <row r="6295">
      <c r="A6295" s="259"/>
      <c r="B6295" s="26"/>
      <c r="C6295" s="91" t="s">
        <v>11</v>
      </c>
      <c r="D6295" s="9" t="s">
        <v>11</v>
      </c>
      <c r="E6295" s="9" t="s">
        <v>13</v>
      </c>
      <c r="F6295" s="9"/>
      <c r="G6295" s="9"/>
      <c r="H6295" s="9"/>
      <c r="I6295" s="9" t="s">
        <v>13</v>
      </c>
      <c r="J6295" s="259"/>
    </row>
    <row r="6296">
      <c r="A6296" s="259"/>
      <c r="B6296" s="26"/>
      <c r="C6296" s="91" t="s">
        <v>11</v>
      </c>
      <c r="D6296" s="9" t="s">
        <v>11</v>
      </c>
      <c r="E6296" s="9" t="s">
        <v>13</v>
      </c>
      <c r="F6296" s="9"/>
      <c r="G6296" s="9"/>
      <c r="H6296" s="9"/>
      <c r="I6296" s="9" t="s">
        <v>13</v>
      </c>
      <c r="J6296" s="259"/>
    </row>
    <row r="6297">
      <c r="A6297" s="259"/>
      <c r="B6297" s="26"/>
      <c r="C6297" s="91" t="s">
        <v>11</v>
      </c>
      <c r="D6297" s="9" t="s">
        <v>11</v>
      </c>
      <c r="E6297" s="9" t="s">
        <v>13</v>
      </c>
      <c r="F6297" s="9"/>
      <c r="G6297" s="9"/>
      <c r="H6297" s="9"/>
      <c r="I6297" s="9" t="s">
        <v>13</v>
      </c>
      <c r="J6297" s="259"/>
    </row>
    <row r="6298">
      <c r="A6298" s="259"/>
      <c r="B6298" s="26"/>
      <c r="C6298" s="91" t="s">
        <v>11</v>
      </c>
      <c r="D6298" s="9" t="s">
        <v>11</v>
      </c>
      <c r="E6298" s="9" t="s">
        <v>13</v>
      </c>
      <c r="F6298" s="9"/>
      <c r="G6298" s="9"/>
      <c r="H6298" s="9"/>
      <c r="I6298" s="9" t="s">
        <v>13</v>
      </c>
      <c r="J6298" s="259"/>
    </row>
    <row r="6299">
      <c r="A6299" s="259"/>
      <c r="B6299" s="26"/>
      <c r="C6299" s="91" t="s">
        <v>11</v>
      </c>
      <c r="D6299" s="9" t="s">
        <v>11</v>
      </c>
      <c r="E6299" s="9" t="s">
        <v>13</v>
      </c>
      <c r="F6299" s="9"/>
      <c r="G6299" s="9"/>
      <c r="H6299" s="9"/>
      <c r="I6299" s="9" t="s">
        <v>13</v>
      </c>
      <c r="J6299" s="259"/>
    </row>
    <row r="6300">
      <c r="A6300" s="259"/>
      <c r="B6300" s="26"/>
      <c r="C6300" s="91" t="s">
        <v>11</v>
      </c>
      <c r="D6300" s="9" t="s">
        <v>11</v>
      </c>
      <c r="E6300" s="9" t="s">
        <v>13</v>
      </c>
      <c r="F6300" s="9"/>
      <c r="G6300" s="9"/>
      <c r="H6300" s="9"/>
      <c r="I6300" s="9" t="s">
        <v>13</v>
      </c>
      <c r="J6300" s="259"/>
    </row>
    <row r="6301">
      <c r="A6301" s="259"/>
      <c r="B6301" s="26"/>
      <c r="C6301" s="91" t="s">
        <v>11</v>
      </c>
      <c r="D6301" s="9" t="s">
        <v>11</v>
      </c>
      <c r="E6301" s="9" t="s">
        <v>13</v>
      </c>
      <c r="F6301" s="9"/>
      <c r="G6301" s="9"/>
      <c r="H6301" s="9"/>
      <c r="I6301" s="9" t="s">
        <v>13</v>
      </c>
      <c r="J6301" s="259"/>
    </row>
    <row r="6302">
      <c r="A6302" s="259"/>
      <c r="B6302" s="26"/>
      <c r="C6302" s="91" t="s">
        <v>11</v>
      </c>
      <c r="D6302" s="9" t="s">
        <v>11</v>
      </c>
      <c r="E6302" s="9" t="s">
        <v>13</v>
      </c>
      <c r="F6302" s="9"/>
      <c r="G6302" s="9"/>
      <c r="H6302" s="9"/>
      <c r="I6302" s="9" t="s">
        <v>13</v>
      </c>
      <c r="J6302" s="259"/>
    </row>
    <row r="6303">
      <c r="A6303" s="259"/>
      <c r="B6303" s="26"/>
      <c r="C6303" s="91" t="s">
        <v>11</v>
      </c>
      <c r="D6303" s="9" t="s">
        <v>11</v>
      </c>
      <c r="E6303" s="9" t="s">
        <v>13</v>
      </c>
      <c r="F6303" s="9"/>
      <c r="G6303" s="9"/>
      <c r="H6303" s="9"/>
      <c r="I6303" s="9" t="s">
        <v>13</v>
      </c>
      <c r="J6303" s="259"/>
    </row>
    <row r="6304">
      <c r="A6304" s="259"/>
      <c r="B6304" s="26"/>
      <c r="C6304" s="91" t="s">
        <v>11</v>
      </c>
      <c r="D6304" s="9" t="s">
        <v>11</v>
      </c>
      <c r="E6304" s="9" t="s">
        <v>13</v>
      </c>
      <c r="F6304" s="9"/>
      <c r="G6304" s="9"/>
      <c r="H6304" s="9"/>
      <c r="I6304" s="9" t="s">
        <v>13</v>
      </c>
      <c r="J6304" s="259"/>
    </row>
    <row r="6305">
      <c r="A6305" s="259"/>
      <c r="B6305" s="26"/>
      <c r="C6305" s="91" t="s">
        <v>11</v>
      </c>
      <c r="D6305" s="9" t="s">
        <v>11</v>
      </c>
      <c r="E6305" s="9" t="s">
        <v>13</v>
      </c>
      <c r="F6305" s="9"/>
      <c r="G6305" s="9"/>
      <c r="H6305" s="9"/>
      <c r="I6305" s="9" t="s">
        <v>13</v>
      </c>
      <c r="J6305" s="259"/>
    </row>
    <row r="6306">
      <c r="A6306" s="259"/>
      <c r="B6306" s="26"/>
      <c r="C6306" s="91" t="s">
        <v>11</v>
      </c>
      <c r="D6306" s="9" t="s">
        <v>11</v>
      </c>
      <c r="E6306" s="9" t="s">
        <v>13</v>
      </c>
      <c r="F6306" s="9"/>
      <c r="G6306" s="9"/>
      <c r="H6306" s="9"/>
      <c r="I6306" s="9" t="s">
        <v>13</v>
      </c>
      <c r="J6306" s="259"/>
    </row>
    <row r="6307">
      <c r="A6307" s="259"/>
      <c r="B6307" s="26"/>
      <c r="C6307" s="91" t="s">
        <v>11</v>
      </c>
      <c r="D6307" s="9" t="s">
        <v>11</v>
      </c>
      <c r="E6307" s="9" t="s">
        <v>13</v>
      </c>
      <c r="F6307" s="9"/>
      <c r="G6307" s="9"/>
      <c r="H6307" s="9"/>
      <c r="I6307" s="9" t="s">
        <v>13</v>
      </c>
      <c r="J6307" s="259"/>
    </row>
    <row r="6308">
      <c r="A6308" s="259"/>
      <c r="B6308" s="26"/>
      <c r="C6308" s="91" t="s">
        <v>11</v>
      </c>
      <c r="D6308" s="9" t="s">
        <v>11</v>
      </c>
      <c r="E6308" s="9" t="s">
        <v>13</v>
      </c>
      <c r="F6308" s="9"/>
      <c r="G6308" s="9"/>
      <c r="H6308" s="9"/>
      <c r="I6308" s="9" t="s">
        <v>13</v>
      </c>
      <c r="J6308" s="259"/>
    </row>
    <row r="6309">
      <c r="A6309" s="259"/>
      <c r="B6309" s="26"/>
      <c r="C6309" s="91" t="s">
        <v>11</v>
      </c>
      <c r="D6309" s="9" t="s">
        <v>11</v>
      </c>
      <c r="E6309" s="9" t="s">
        <v>13</v>
      </c>
      <c r="F6309" s="9"/>
      <c r="G6309" s="9"/>
      <c r="H6309" s="9"/>
      <c r="I6309" s="9" t="s">
        <v>13</v>
      </c>
      <c r="J6309" s="259"/>
    </row>
    <row r="6310">
      <c r="A6310" s="259"/>
      <c r="B6310" s="26"/>
      <c r="C6310" s="91" t="s">
        <v>11</v>
      </c>
      <c r="D6310" s="9" t="s">
        <v>11</v>
      </c>
      <c r="E6310" s="9" t="s">
        <v>13</v>
      </c>
      <c r="F6310" s="9"/>
      <c r="G6310" s="9"/>
      <c r="H6310" s="9"/>
      <c r="I6310" s="9" t="s">
        <v>13</v>
      </c>
      <c r="J6310" s="259"/>
    </row>
    <row r="6311">
      <c r="A6311" s="259"/>
      <c r="B6311" s="26"/>
      <c r="C6311" s="91" t="s">
        <v>11</v>
      </c>
      <c r="D6311" s="9" t="s">
        <v>11</v>
      </c>
      <c r="E6311" s="9" t="s">
        <v>13</v>
      </c>
      <c r="F6311" s="9"/>
      <c r="G6311" s="9"/>
      <c r="H6311" s="9"/>
      <c r="I6311" s="9" t="s">
        <v>13</v>
      </c>
      <c r="J6311" s="259"/>
    </row>
    <row r="6312">
      <c r="A6312" s="259"/>
      <c r="B6312" s="26"/>
      <c r="C6312" s="91" t="s">
        <v>11</v>
      </c>
      <c r="D6312" s="9" t="s">
        <v>11</v>
      </c>
      <c r="E6312" s="9" t="s">
        <v>13</v>
      </c>
      <c r="F6312" s="9"/>
      <c r="G6312" s="9"/>
      <c r="H6312" s="9"/>
      <c r="I6312" s="9" t="s">
        <v>13</v>
      </c>
      <c r="J6312" s="259"/>
    </row>
    <row r="6313">
      <c r="A6313" s="259"/>
      <c r="B6313" s="26"/>
      <c r="C6313" s="91" t="s">
        <v>11</v>
      </c>
      <c r="D6313" s="9" t="s">
        <v>11</v>
      </c>
      <c r="E6313" s="9" t="s">
        <v>13</v>
      </c>
      <c r="F6313" s="9"/>
      <c r="G6313" s="9"/>
      <c r="H6313" s="9"/>
      <c r="I6313" s="9" t="s">
        <v>13</v>
      </c>
      <c r="J6313" s="259"/>
    </row>
    <row r="6314">
      <c r="A6314" s="259"/>
      <c r="B6314" s="26"/>
      <c r="C6314" s="91" t="s">
        <v>11</v>
      </c>
      <c r="D6314" s="9" t="s">
        <v>11</v>
      </c>
      <c r="E6314" s="9" t="s">
        <v>13</v>
      </c>
      <c r="F6314" s="9"/>
      <c r="G6314" s="9"/>
      <c r="H6314" s="9"/>
      <c r="I6314" s="9" t="s">
        <v>13</v>
      </c>
      <c r="J6314" s="259"/>
    </row>
    <row r="6315">
      <c r="A6315" s="259"/>
      <c r="B6315" s="26"/>
      <c r="C6315" s="91" t="s">
        <v>11</v>
      </c>
      <c r="D6315" s="9" t="s">
        <v>11</v>
      </c>
      <c r="E6315" s="9" t="s">
        <v>13</v>
      </c>
      <c r="F6315" s="9"/>
      <c r="G6315" s="9"/>
      <c r="H6315" s="9"/>
      <c r="I6315" s="9" t="s">
        <v>13</v>
      </c>
      <c r="J6315" s="259"/>
    </row>
    <row r="6316">
      <c r="A6316" s="259"/>
      <c r="B6316" s="26"/>
      <c r="C6316" s="91" t="s">
        <v>11</v>
      </c>
      <c r="D6316" s="9" t="s">
        <v>11</v>
      </c>
      <c r="E6316" s="9" t="s">
        <v>13</v>
      </c>
      <c r="F6316" s="9"/>
      <c r="G6316" s="9"/>
      <c r="H6316" s="9"/>
      <c r="I6316" s="9" t="s">
        <v>13</v>
      </c>
      <c r="J6316" s="259"/>
    </row>
    <row r="6317">
      <c r="A6317" s="259"/>
      <c r="B6317" s="26"/>
      <c r="C6317" s="91" t="s">
        <v>11</v>
      </c>
      <c r="D6317" s="9" t="s">
        <v>11</v>
      </c>
      <c r="E6317" s="9" t="s">
        <v>13</v>
      </c>
      <c r="F6317" s="9"/>
      <c r="G6317" s="9"/>
      <c r="H6317" s="9"/>
      <c r="I6317" s="9" t="s">
        <v>13</v>
      </c>
      <c r="J6317" s="259"/>
    </row>
    <row r="6318">
      <c r="A6318" s="259"/>
      <c r="B6318" s="26"/>
      <c r="C6318" s="91" t="s">
        <v>11</v>
      </c>
      <c r="D6318" s="9" t="s">
        <v>11</v>
      </c>
      <c r="E6318" s="9" t="s">
        <v>13</v>
      </c>
      <c r="F6318" s="9"/>
      <c r="G6318" s="9"/>
      <c r="H6318" s="9"/>
      <c r="I6318" s="9" t="s">
        <v>13</v>
      </c>
      <c r="J6318" s="259"/>
    </row>
    <row r="6319">
      <c r="A6319" s="259"/>
      <c r="B6319" s="26"/>
      <c r="C6319" s="91" t="s">
        <v>11</v>
      </c>
      <c r="D6319" s="9" t="s">
        <v>11</v>
      </c>
      <c r="E6319" s="9" t="s">
        <v>13</v>
      </c>
      <c r="F6319" s="9"/>
      <c r="G6319" s="9"/>
      <c r="H6319" s="9"/>
      <c r="I6319" s="9" t="s">
        <v>13</v>
      </c>
      <c r="J6319" s="259"/>
    </row>
    <row r="6320">
      <c r="A6320" s="259"/>
      <c r="B6320" s="26"/>
      <c r="C6320" s="91" t="s">
        <v>11</v>
      </c>
      <c r="D6320" s="9" t="s">
        <v>11</v>
      </c>
      <c r="E6320" s="9" t="s">
        <v>13</v>
      </c>
      <c r="F6320" s="9"/>
      <c r="G6320" s="9"/>
      <c r="H6320" s="9"/>
      <c r="I6320" s="9" t="s">
        <v>13</v>
      </c>
      <c r="J6320" s="259"/>
    </row>
    <row r="6321">
      <c r="A6321" s="259"/>
      <c r="B6321" s="26"/>
      <c r="C6321" s="91" t="s">
        <v>11</v>
      </c>
      <c r="D6321" s="9" t="s">
        <v>11</v>
      </c>
      <c r="E6321" s="9" t="s">
        <v>13</v>
      </c>
      <c r="F6321" s="9"/>
      <c r="G6321" s="9"/>
      <c r="H6321" s="9"/>
      <c r="I6321" s="9" t="s">
        <v>13</v>
      </c>
      <c r="J6321" s="259"/>
    </row>
    <row r="6322">
      <c r="A6322" s="259"/>
      <c r="B6322" s="26"/>
      <c r="C6322" s="91" t="s">
        <v>11</v>
      </c>
      <c r="D6322" s="9" t="s">
        <v>11</v>
      </c>
      <c r="E6322" s="9" t="s">
        <v>13</v>
      </c>
      <c r="F6322" s="9"/>
      <c r="G6322" s="9"/>
      <c r="H6322" s="9"/>
      <c r="I6322" s="9" t="s">
        <v>13</v>
      </c>
      <c r="J6322" s="259"/>
    </row>
    <row r="6323">
      <c r="A6323" s="259"/>
      <c r="B6323" s="26"/>
      <c r="C6323" s="91" t="s">
        <v>11</v>
      </c>
      <c r="D6323" s="9" t="s">
        <v>11</v>
      </c>
      <c r="E6323" s="9" t="s">
        <v>13</v>
      </c>
      <c r="F6323" s="9"/>
      <c r="G6323" s="9"/>
      <c r="H6323" s="9"/>
      <c r="I6323" s="9" t="s">
        <v>13</v>
      </c>
      <c r="J6323" s="259"/>
    </row>
    <row r="6324">
      <c r="A6324" s="259"/>
      <c r="B6324" s="26"/>
      <c r="C6324" s="91" t="s">
        <v>11</v>
      </c>
      <c r="D6324" s="9" t="s">
        <v>11</v>
      </c>
      <c r="E6324" s="9" t="s">
        <v>13</v>
      </c>
      <c r="F6324" s="9"/>
      <c r="G6324" s="9"/>
      <c r="H6324" s="9"/>
      <c r="I6324" s="9" t="s">
        <v>13</v>
      </c>
      <c r="J6324" s="259"/>
    </row>
    <row r="6325">
      <c r="A6325" s="259"/>
      <c r="B6325" s="26"/>
      <c r="C6325" s="91" t="s">
        <v>11</v>
      </c>
      <c r="D6325" s="9" t="s">
        <v>11</v>
      </c>
      <c r="E6325" s="9" t="s">
        <v>13</v>
      </c>
      <c r="F6325" s="9"/>
      <c r="G6325" s="9"/>
      <c r="H6325" s="9"/>
      <c r="I6325" s="9" t="s">
        <v>13</v>
      </c>
      <c r="J6325" s="259"/>
    </row>
    <row r="6326">
      <c r="A6326" s="259"/>
      <c r="B6326" s="26"/>
      <c r="C6326" s="91" t="s">
        <v>11</v>
      </c>
      <c r="D6326" s="9" t="s">
        <v>11</v>
      </c>
      <c r="E6326" s="9" t="s">
        <v>13</v>
      </c>
      <c r="F6326" s="9"/>
      <c r="G6326" s="9"/>
      <c r="H6326" s="9"/>
      <c r="I6326" s="9" t="s">
        <v>13</v>
      </c>
      <c r="J6326" s="259"/>
    </row>
    <row r="6327">
      <c r="A6327" s="259"/>
      <c r="B6327" s="26"/>
      <c r="C6327" s="91" t="s">
        <v>11</v>
      </c>
      <c r="D6327" s="9" t="s">
        <v>11</v>
      </c>
      <c r="E6327" s="9" t="s">
        <v>13</v>
      </c>
      <c r="F6327" s="9"/>
      <c r="G6327" s="9"/>
      <c r="H6327" s="9"/>
      <c r="I6327" s="9" t="s">
        <v>13</v>
      </c>
      <c r="J6327" s="259"/>
    </row>
    <row r="6328">
      <c r="A6328" s="259"/>
      <c r="B6328" s="26"/>
      <c r="C6328" s="91" t="s">
        <v>11</v>
      </c>
      <c r="D6328" s="9" t="s">
        <v>11</v>
      </c>
      <c r="E6328" s="9" t="s">
        <v>13</v>
      </c>
      <c r="F6328" s="9"/>
      <c r="G6328" s="9"/>
      <c r="H6328" s="9"/>
      <c r="I6328" s="9" t="s">
        <v>13</v>
      </c>
      <c r="J6328" s="259"/>
    </row>
    <row r="6329">
      <c r="A6329" s="259"/>
      <c r="B6329" s="26"/>
      <c r="C6329" s="91" t="s">
        <v>11</v>
      </c>
      <c r="D6329" s="9" t="s">
        <v>11</v>
      </c>
      <c r="E6329" s="9" t="s">
        <v>13</v>
      </c>
      <c r="F6329" s="9"/>
      <c r="G6329" s="9"/>
      <c r="H6329" s="9"/>
      <c r="I6329" s="9" t="s">
        <v>13</v>
      </c>
      <c r="J6329" s="259"/>
    </row>
    <row r="6330">
      <c r="A6330" s="259"/>
      <c r="B6330" s="26"/>
      <c r="C6330" s="91" t="s">
        <v>11</v>
      </c>
      <c r="D6330" s="9" t="s">
        <v>11</v>
      </c>
      <c r="E6330" s="9" t="s">
        <v>13</v>
      </c>
      <c r="F6330" s="9"/>
      <c r="G6330" s="9"/>
      <c r="H6330" s="9"/>
      <c r="I6330" s="9" t="s">
        <v>13</v>
      </c>
      <c r="J6330" s="259"/>
    </row>
    <row r="6331">
      <c r="A6331" s="259"/>
      <c r="B6331" s="26"/>
      <c r="C6331" s="91" t="s">
        <v>11</v>
      </c>
      <c r="D6331" s="9" t="s">
        <v>11</v>
      </c>
      <c r="E6331" s="9" t="s">
        <v>13</v>
      </c>
      <c r="F6331" s="9"/>
      <c r="G6331" s="9"/>
      <c r="H6331" s="9"/>
      <c r="I6331" s="9" t="s">
        <v>13</v>
      </c>
      <c r="J6331" s="259"/>
    </row>
    <row r="6332">
      <c r="A6332" s="259"/>
      <c r="B6332" s="26"/>
      <c r="C6332" s="91" t="s">
        <v>11</v>
      </c>
      <c r="D6332" s="9" t="s">
        <v>11</v>
      </c>
      <c r="E6332" s="9" t="s">
        <v>13</v>
      </c>
      <c r="F6332" s="9"/>
      <c r="G6332" s="9"/>
      <c r="H6332" s="9"/>
      <c r="I6332" s="9" t="s">
        <v>13</v>
      </c>
      <c r="J6332" s="259"/>
    </row>
    <row r="6333">
      <c r="A6333" s="259"/>
      <c r="B6333" s="26"/>
      <c r="C6333" s="91" t="s">
        <v>11</v>
      </c>
      <c r="D6333" s="9" t="s">
        <v>11</v>
      </c>
      <c r="E6333" s="9" t="s">
        <v>13</v>
      </c>
      <c r="F6333" s="9"/>
      <c r="G6333" s="9"/>
      <c r="H6333" s="9"/>
      <c r="I6333" s="9" t="s">
        <v>13</v>
      </c>
      <c r="J6333" s="259"/>
    </row>
    <row r="6334">
      <c r="A6334" s="259"/>
      <c r="B6334" s="26"/>
      <c r="C6334" s="91" t="s">
        <v>11</v>
      </c>
      <c r="D6334" s="9" t="s">
        <v>11</v>
      </c>
      <c r="E6334" s="9" t="s">
        <v>13</v>
      </c>
      <c r="F6334" s="9"/>
      <c r="G6334" s="9"/>
      <c r="H6334" s="9"/>
      <c r="I6334" s="9" t="s">
        <v>13</v>
      </c>
      <c r="J6334" s="259"/>
    </row>
    <row r="6335">
      <c r="A6335" s="259"/>
      <c r="B6335" s="26"/>
      <c r="C6335" s="91" t="s">
        <v>11</v>
      </c>
      <c r="D6335" s="9" t="s">
        <v>11</v>
      </c>
      <c r="E6335" s="9" t="s">
        <v>13</v>
      </c>
      <c r="F6335" s="9"/>
      <c r="G6335" s="9"/>
      <c r="H6335" s="9"/>
      <c r="I6335" s="9" t="s">
        <v>13</v>
      </c>
      <c r="J6335" s="259"/>
    </row>
    <row r="6336">
      <c r="A6336" s="259"/>
      <c r="B6336" s="26"/>
      <c r="C6336" s="91" t="s">
        <v>11</v>
      </c>
      <c r="D6336" s="9" t="s">
        <v>11</v>
      </c>
      <c r="E6336" s="9" t="s">
        <v>13</v>
      </c>
      <c r="F6336" s="9"/>
      <c r="G6336" s="9"/>
      <c r="H6336" s="9"/>
      <c r="I6336" s="9" t="s">
        <v>13</v>
      </c>
      <c r="J6336" s="259"/>
    </row>
    <row r="6337">
      <c r="A6337" s="259"/>
      <c r="B6337" s="26"/>
      <c r="C6337" s="91" t="s">
        <v>11</v>
      </c>
      <c r="D6337" s="9" t="s">
        <v>11</v>
      </c>
      <c r="E6337" s="9" t="s">
        <v>13</v>
      </c>
      <c r="F6337" s="9"/>
      <c r="G6337" s="9"/>
      <c r="H6337" s="9"/>
      <c r="I6337" s="9" t="s">
        <v>13</v>
      </c>
      <c r="J6337" s="259"/>
    </row>
    <row r="6338">
      <c r="A6338" s="259"/>
      <c r="B6338" s="26"/>
      <c r="C6338" s="91" t="s">
        <v>11</v>
      </c>
      <c r="D6338" s="9" t="s">
        <v>11</v>
      </c>
      <c r="E6338" s="9" t="s">
        <v>13</v>
      </c>
      <c r="F6338" s="9"/>
      <c r="G6338" s="9"/>
      <c r="H6338" s="9"/>
      <c r="I6338" s="9" t="s">
        <v>13</v>
      </c>
      <c r="J6338" s="259"/>
    </row>
    <row r="6339">
      <c r="A6339" s="259"/>
      <c r="B6339" s="26"/>
      <c r="C6339" s="91" t="s">
        <v>11</v>
      </c>
      <c r="D6339" s="9" t="s">
        <v>11</v>
      </c>
      <c r="E6339" s="9" t="s">
        <v>13</v>
      </c>
      <c r="F6339" s="9"/>
      <c r="G6339" s="9"/>
      <c r="H6339" s="9"/>
      <c r="I6339" s="9" t="s">
        <v>13</v>
      </c>
      <c r="J6339" s="259"/>
    </row>
    <row r="6340">
      <c r="A6340" s="259"/>
      <c r="B6340" s="26"/>
      <c r="C6340" s="91" t="s">
        <v>11</v>
      </c>
      <c r="D6340" s="9" t="s">
        <v>11</v>
      </c>
      <c r="E6340" s="9" t="s">
        <v>13</v>
      </c>
      <c r="F6340" s="9"/>
      <c r="G6340" s="9"/>
      <c r="H6340" s="9"/>
      <c r="I6340" s="9" t="s">
        <v>13</v>
      </c>
      <c r="J6340" s="259"/>
    </row>
    <row r="6341">
      <c r="A6341" s="259"/>
      <c r="B6341" s="26"/>
      <c r="C6341" s="91" t="s">
        <v>11</v>
      </c>
      <c r="D6341" s="9" t="s">
        <v>11</v>
      </c>
      <c r="E6341" s="9" t="s">
        <v>13</v>
      </c>
      <c r="F6341" s="9"/>
      <c r="G6341" s="9"/>
      <c r="H6341" s="9"/>
      <c r="I6341" s="9" t="s">
        <v>13</v>
      </c>
      <c r="J6341" s="259"/>
    </row>
    <row r="6342">
      <c r="A6342" s="259"/>
      <c r="B6342" s="26"/>
      <c r="C6342" s="91" t="s">
        <v>11</v>
      </c>
      <c r="D6342" s="9" t="s">
        <v>11</v>
      </c>
      <c r="E6342" s="9" t="s">
        <v>13</v>
      </c>
      <c r="F6342" s="9"/>
      <c r="G6342" s="9"/>
      <c r="H6342" s="9"/>
      <c r="I6342" s="9" t="s">
        <v>13</v>
      </c>
      <c r="J6342" s="259"/>
    </row>
    <row r="6343">
      <c r="A6343" s="259"/>
      <c r="B6343" s="26"/>
      <c r="C6343" s="91" t="s">
        <v>11</v>
      </c>
      <c r="D6343" s="9" t="s">
        <v>11</v>
      </c>
      <c r="E6343" s="9" t="s">
        <v>13</v>
      </c>
      <c r="F6343" s="9"/>
      <c r="G6343" s="9"/>
      <c r="H6343" s="9"/>
      <c r="I6343" s="9" t="s">
        <v>13</v>
      </c>
      <c r="J6343" s="259"/>
    </row>
    <row r="6344">
      <c r="A6344" s="259"/>
      <c r="B6344" s="26"/>
      <c r="C6344" s="91" t="s">
        <v>11</v>
      </c>
      <c r="D6344" s="9" t="s">
        <v>11</v>
      </c>
      <c r="E6344" s="9" t="s">
        <v>13</v>
      </c>
      <c r="F6344" s="9"/>
      <c r="G6344" s="9"/>
      <c r="H6344" s="9"/>
      <c r="I6344" s="9" t="s">
        <v>13</v>
      </c>
      <c r="J6344" s="259"/>
    </row>
    <row r="6345">
      <c r="A6345" s="259"/>
      <c r="B6345" s="26"/>
      <c r="C6345" s="91" t="s">
        <v>11</v>
      </c>
      <c r="D6345" s="9" t="s">
        <v>11</v>
      </c>
      <c r="E6345" s="9" t="s">
        <v>13</v>
      </c>
      <c r="F6345" s="9"/>
      <c r="G6345" s="9"/>
      <c r="H6345" s="9"/>
      <c r="I6345" s="9" t="s">
        <v>13</v>
      </c>
      <c r="J6345" s="259"/>
    </row>
    <row r="6346">
      <c r="A6346" s="259"/>
      <c r="B6346" s="26"/>
      <c r="C6346" s="91" t="s">
        <v>11</v>
      </c>
      <c r="D6346" s="9" t="s">
        <v>11</v>
      </c>
      <c r="E6346" s="9" t="s">
        <v>13</v>
      </c>
      <c r="F6346" s="9"/>
      <c r="G6346" s="9"/>
      <c r="H6346" s="9"/>
      <c r="I6346" s="9" t="s">
        <v>13</v>
      </c>
      <c r="J6346" s="259"/>
    </row>
    <row r="6347">
      <c r="A6347" s="259"/>
      <c r="B6347" s="26"/>
      <c r="C6347" s="91" t="s">
        <v>11</v>
      </c>
      <c r="D6347" s="9" t="s">
        <v>11</v>
      </c>
      <c r="E6347" s="9" t="s">
        <v>13</v>
      </c>
      <c r="F6347" s="9"/>
      <c r="G6347" s="9"/>
      <c r="H6347" s="9"/>
      <c r="I6347" s="9" t="s">
        <v>13</v>
      </c>
      <c r="J6347" s="259"/>
    </row>
    <row r="6348">
      <c r="A6348" s="259"/>
      <c r="B6348" s="26"/>
      <c r="C6348" s="91" t="s">
        <v>11</v>
      </c>
      <c r="D6348" s="9" t="s">
        <v>11</v>
      </c>
      <c r="E6348" s="9" t="s">
        <v>13</v>
      </c>
      <c r="F6348" s="9"/>
      <c r="G6348" s="9"/>
      <c r="H6348" s="9"/>
      <c r="I6348" s="9" t="s">
        <v>13</v>
      </c>
      <c r="J6348" s="259"/>
    </row>
    <row r="6349">
      <c r="A6349" s="259"/>
      <c r="B6349" s="26"/>
      <c r="C6349" s="91" t="s">
        <v>11</v>
      </c>
      <c r="D6349" s="9" t="s">
        <v>11</v>
      </c>
      <c r="E6349" s="9" t="s">
        <v>13</v>
      </c>
      <c r="F6349" s="9"/>
      <c r="G6349" s="9"/>
      <c r="H6349" s="9"/>
      <c r="I6349" s="9" t="s">
        <v>13</v>
      </c>
      <c r="J6349" s="259"/>
    </row>
    <row r="6350">
      <c r="A6350" s="259"/>
      <c r="B6350" s="26"/>
      <c r="C6350" s="91" t="s">
        <v>11</v>
      </c>
      <c r="D6350" s="9" t="s">
        <v>11</v>
      </c>
      <c r="E6350" s="9" t="s">
        <v>13</v>
      </c>
      <c r="F6350" s="9"/>
      <c r="G6350" s="9"/>
      <c r="H6350" s="9"/>
      <c r="I6350" s="9" t="s">
        <v>13</v>
      </c>
      <c r="J6350" s="259"/>
    </row>
    <row r="6351">
      <c r="A6351" s="259"/>
      <c r="B6351" s="26"/>
      <c r="C6351" s="91" t="s">
        <v>11</v>
      </c>
      <c r="D6351" s="9" t="s">
        <v>11</v>
      </c>
      <c r="E6351" s="9" t="s">
        <v>13</v>
      </c>
      <c r="F6351" s="9"/>
      <c r="G6351" s="9"/>
      <c r="H6351" s="9"/>
      <c r="I6351" s="9" t="s">
        <v>13</v>
      </c>
      <c r="J6351" s="259"/>
    </row>
    <row r="6352">
      <c r="A6352" s="259"/>
      <c r="B6352" s="26"/>
      <c r="C6352" s="91" t="s">
        <v>11</v>
      </c>
      <c r="D6352" s="9" t="s">
        <v>11</v>
      </c>
      <c r="E6352" s="9" t="s">
        <v>13</v>
      </c>
      <c r="F6352" s="9"/>
      <c r="G6352" s="9"/>
      <c r="H6352" s="9"/>
      <c r="I6352" s="9" t="s">
        <v>13</v>
      </c>
      <c r="J6352" s="259"/>
    </row>
    <row r="6353">
      <c r="A6353" s="259"/>
      <c r="B6353" s="26"/>
      <c r="C6353" s="91" t="s">
        <v>11</v>
      </c>
      <c r="D6353" s="9" t="s">
        <v>11</v>
      </c>
      <c r="E6353" s="9" t="s">
        <v>13</v>
      </c>
      <c r="F6353" s="9"/>
      <c r="G6353" s="9"/>
      <c r="H6353" s="9"/>
      <c r="I6353" s="9" t="s">
        <v>13</v>
      </c>
      <c r="J6353" s="259"/>
    </row>
    <row r="6354">
      <c r="A6354" s="259"/>
      <c r="B6354" s="26"/>
      <c r="C6354" s="91" t="s">
        <v>11</v>
      </c>
      <c r="D6354" s="9" t="s">
        <v>11</v>
      </c>
      <c r="E6354" s="9" t="s">
        <v>13</v>
      </c>
      <c r="F6354" s="9"/>
      <c r="G6354" s="9"/>
      <c r="H6354" s="9"/>
      <c r="I6354" s="9" t="s">
        <v>13</v>
      </c>
      <c r="J6354" s="259"/>
    </row>
    <row r="6355">
      <c r="A6355" s="259"/>
      <c r="B6355" s="26"/>
      <c r="C6355" s="91" t="s">
        <v>11</v>
      </c>
      <c r="D6355" s="9" t="s">
        <v>11</v>
      </c>
      <c r="E6355" s="9" t="s">
        <v>13</v>
      </c>
      <c r="F6355" s="9"/>
      <c r="G6355" s="9"/>
      <c r="H6355" s="9"/>
      <c r="I6355" s="9" t="s">
        <v>13</v>
      </c>
      <c r="J6355" s="259"/>
    </row>
    <row r="6356">
      <c r="A6356" s="259"/>
      <c r="B6356" s="26"/>
      <c r="C6356" s="91" t="s">
        <v>11</v>
      </c>
      <c r="D6356" s="9" t="s">
        <v>11</v>
      </c>
      <c r="E6356" s="9" t="s">
        <v>13</v>
      </c>
      <c r="F6356" s="9"/>
      <c r="G6356" s="9"/>
      <c r="H6356" s="9"/>
      <c r="I6356" s="9" t="s">
        <v>13</v>
      </c>
      <c r="J6356" s="259"/>
    </row>
    <row r="6357">
      <c r="A6357" s="259"/>
      <c r="B6357" s="26"/>
      <c r="C6357" s="91" t="s">
        <v>11</v>
      </c>
      <c r="D6357" s="9" t="s">
        <v>11</v>
      </c>
      <c r="E6357" s="9" t="s">
        <v>13</v>
      </c>
      <c r="F6357" s="9"/>
      <c r="G6357" s="9"/>
      <c r="H6357" s="9"/>
      <c r="I6357" s="9" t="s">
        <v>13</v>
      </c>
      <c r="J6357" s="259"/>
    </row>
    <row r="6358">
      <c r="A6358" s="259"/>
      <c r="B6358" s="26"/>
      <c r="C6358" s="91" t="s">
        <v>11</v>
      </c>
      <c r="D6358" s="9" t="s">
        <v>11</v>
      </c>
      <c r="E6358" s="9" t="s">
        <v>13</v>
      </c>
      <c r="F6358" s="9"/>
      <c r="G6358" s="9"/>
      <c r="H6358" s="9"/>
      <c r="I6358" s="9" t="s">
        <v>13</v>
      </c>
      <c r="J6358" s="259"/>
    </row>
    <row r="6359">
      <c r="A6359" s="259"/>
      <c r="B6359" s="26"/>
      <c r="C6359" s="91" t="s">
        <v>11</v>
      </c>
      <c r="D6359" s="9" t="s">
        <v>11</v>
      </c>
      <c r="E6359" s="9" t="s">
        <v>13</v>
      </c>
      <c r="F6359" s="9"/>
      <c r="G6359" s="9"/>
      <c r="H6359" s="9"/>
      <c r="I6359" s="9" t="s">
        <v>13</v>
      </c>
      <c r="J6359" s="259"/>
    </row>
    <row r="6360">
      <c r="A6360" s="259"/>
      <c r="B6360" s="26"/>
      <c r="C6360" s="91" t="s">
        <v>11</v>
      </c>
      <c r="D6360" s="9" t="s">
        <v>11</v>
      </c>
      <c r="E6360" s="9" t="s">
        <v>13</v>
      </c>
      <c r="F6360" s="9"/>
      <c r="G6360" s="9"/>
      <c r="H6360" s="9"/>
      <c r="I6360" s="9" t="s">
        <v>13</v>
      </c>
      <c r="J6360" s="259"/>
    </row>
    <row r="6361">
      <c r="A6361" s="259"/>
      <c r="B6361" s="26"/>
      <c r="C6361" s="91" t="s">
        <v>11</v>
      </c>
      <c r="D6361" s="9" t="s">
        <v>11</v>
      </c>
      <c r="E6361" s="9" t="s">
        <v>13</v>
      </c>
      <c r="F6361" s="9"/>
      <c r="G6361" s="9"/>
      <c r="H6361" s="9"/>
      <c r="I6361" s="9" t="s">
        <v>13</v>
      </c>
      <c r="J6361" s="259"/>
    </row>
    <row r="6362">
      <c r="A6362" s="259"/>
      <c r="B6362" s="26"/>
      <c r="C6362" s="91" t="s">
        <v>11</v>
      </c>
      <c r="D6362" s="9" t="s">
        <v>11</v>
      </c>
      <c r="E6362" s="9" t="s">
        <v>13</v>
      </c>
      <c r="F6362" s="9"/>
      <c r="G6362" s="9"/>
      <c r="H6362" s="9"/>
      <c r="I6362" s="9" t="s">
        <v>13</v>
      </c>
      <c r="J6362" s="259"/>
    </row>
    <row r="6363">
      <c r="A6363" s="259"/>
      <c r="B6363" s="26"/>
      <c r="C6363" s="91" t="s">
        <v>11</v>
      </c>
      <c r="D6363" s="9" t="s">
        <v>11</v>
      </c>
      <c r="E6363" s="9" t="s">
        <v>13</v>
      </c>
      <c r="F6363" s="9"/>
      <c r="G6363" s="9"/>
      <c r="H6363" s="9"/>
      <c r="I6363" s="9" t="s">
        <v>13</v>
      </c>
      <c r="J6363" s="259"/>
    </row>
    <row r="6364">
      <c r="A6364" s="259"/>
      <c r="B6364" s="26"/>
      <c r="C6364" s="91" t="s">
        <v>11</v>
      </c>
      <c r="D6364" s="9" t="s">
        <v>11</v>
      </c>
      <c r="E6364" s="9" t="s">
        <v>13</v>
      </c>
      <c r="F6364" s="9"/>
      <c r="G6364" s="9"/>
      <c r="H6364" s="9"/>
      <c r="I6364" s="9" t="s">
        <v>13</v>
      </c>
      <c r="J6364" s="259"/>
    </row>
    <row r="6365">
      <c r="A6365" s="259"/>
      <c r="B6365" s="26"/>
      <c r="C6365" s="91" t="s">
        <v>11</v>
      </c>
      <c r="D6365" s="9" t="s">
        <v>11</v>
      </c>
      <c r="E6365" s="9" t="s">
        <v>13</v>
      </c>
      <c r="F6365" s="9"/>
      <c r="G6365" s="9"/>
      <c r="H6365" s="9"/>
      <c r="I6365" s="9" t="s">
        <v>13</v>
      </c>
      <c r="J6365" s="259"/>
    </row>
    <row r="6366">
      <c r="A6366" s="259"/>
      <c r="B6366" s="26"/>
      <c r="C6366" s="91" t="s">
        <v>11</v>
      </c>
      <c r="D6366" s="9" t="s">
        <v>11</v>
      </c>
      <c r="E6366" s="9" t="s">
        <v>13</v>
      </c>
      <c r="F6366" s="9"/>
      <c r="G6366" s="9"/>
      <c r="H6366" s="9"/>
      <c r="I6366" s="9" t="s">
        <v>13</v>
      </c>
      <c r="J6366" s="259"/>
    </row>
    <row r="6367">
      <c r="A6367" s="259"/>
      <c r="B6367" s="26"/>
      <c r="C6367" s="91" t="s">
        <v>11</v>
      </c>
      <c r="D6367" s="9" t="s">
        <v>11</v>
      </c>
      <c r="E6367" s="9" t="s">
        <v>13</v>
      </c>
      <c r="F6367" s="9"/>
      <c r="G6367" s="9"/>
      <c r="H6367" s="9"/>
      <c r="I6367" s="9" t="s">
        <v>13</v>
      </c>
      <c r="J6367" s="259"/>
    </row>
    <row r="6368">
      <c r="A6368" s="259"/>
      <c r="B6368" s="26"/>
      <c r="C6368" s="91" t="s">
        <v>11</v>
      </c>
      <c r="D6368" s="9" t="s">
        <v>11</v>
      </c>
      <c r="E6368" s="9" t="s">
        <v>13</v>
      </c>
      <c r="F6368" s="9"/>
      <c r="G6368" s="9"/>
      <c r="H6368" s="9"/>
      <c r="I6368" s="9" t="s">
        <v>13</v>
      </c>
      <c r="J6368" s="259"/>
    </row>
    <row r="6369">
      <c r="A6369" s="259"/>
      <c r="B6369" s="26"/>
      <c r="C6369" s="91" t="s">
        <v>11</v>
      </c>
      <c r="D6369" s="9" t="s">
        <v>11</v>
      </c>
      <c r="E6369" s="9" t="s">
        <v>13</v>
      </c>
      <c r="F6369" s="9"/>
      <c r="G6369" s="9"/>
      <c r="H6369" s="9"/>
      <c r="I6369" s="9" t="s">
        <v>13</v>
      </c>
      <c r="J6369" s="259"/>
    </row>
    <row r="6370">
      <c r="A6370" s="259"/>
      <c r="B6370" s="26"/>
      <c r="C6370" s="91" t="s">
        <v>11</v>
      </c>
      <c r="D6370" s="9" t="s">
        <v>11</v>
      </c>
      <c r="E6370" s="9" t="s">
        <v>13</v>
      </c>
      <c r="F6370" s="9"/>
      <c r="G6370" s="9"/>
      <c r="H6370" s="9"/>
      <c r="I6370" s="9" t="s">
        <v>13</v>
      </c>
      <c r="J6370" s="259"/>
    </row>
    <row r="6371">
      <c r="A6371" s="259"/>
      <c r="B6371" s="26"/>
      <c r="C6371" s="91" t="s">
        <v>11</v>
      </c>
      <c r="D6371" s="9" t="s">
        <v>11</v>
      </c>
      <c r="E6371" s="9" t="s">
        <v>13</v>
      </c>
      <c r="F6371" s="9"/>
      <c r="G6371" s="9"/>
      <c r="H6371" s="9"/>
      <c r="I6371" s="9" t="s">
        <v>13</v>
      </c>
      <c r="J6371" s="259"/>
    </row>
    <row r="6372">
      <c r="A6372" s="259"/>
      <c r="B6372" s="26"/>
      <c r="C6372" s="91" t="s">
        <v>11</v>
      </c>
      <c r="D6372" s="9" t="s">
        <v>11</v>
      </c>
      <c r="E6372" s="9" t="s">
        <v>13</v>
      </c>
      <c r="F6372" s="9"/>
      <c r="G6372" s="9"/>
      <c r="H6372" s="9"/>
      <c r="I6372" s="9" t="s">
        <v>13</v>
      </c>
      <c r="J6372" s="259"/>
    </row>
    <row r="6373">
      <c r="A6373" s="259"/>
      <c r="B6373" s="26"/>
      <c r="C6373" s="91" t="s">
        <v>11</v>
      </c>
      <c r="D6373" s="9" t="s">
        <v>11</v>
      </c>
      <c r="E6373" s="9" t="s">
        <v>13</v>
      </c>
      <c r="F6373" s="9"/>
      <c r="G6373" s="9"/>
      <c r="H6373" s="9"/>
      <c r="I6373" s="9" t="s">
        <v>13</v>
      </c>
      <c r="J6373" s="259"/>
    </row>
    <row r="6374">
      <c r="A6374" s="259"/>
      <c r="B6374" s="26"/>
      <c r="C6374" s="91" t="s">
        <v>11</v>
      </c>
      <c r="D6374" s="9" t="s">
        <v>11</v>
      </c>
      <c r="E6374" s="9" t="s">
        <v>13</v>
      </c>
      <c r="F6374" s="9"/>
      <c r="G6374" s="9"/>
      <c r="H6374" s="9"/>
      <c r="I6374" s="9" t="s">
        <v>13</v>
      </c>
      <c r="J6374" s="259"/>
    </row>
    <row r="6375">
      <c r="A6375" s="259"/>
      <c r="B6375" s="26"/>
      <c r="C6375" s="91" t="s">
        <v>11</v>
      </c>
      <c r="D6375" s="9" t="s">
        <v>11</v>
      </c>
      <c r="E6375" s="9" t="s">
        <v>13</v>
      </c>
      <c r="F6375" s="9"/>
      <c r="G6375" s="9"/>
      <c r="H6375" s="9"/>
      <c r="I6375" s="9" t="s">
        <v>13</v>
      </c>
      <c r="J6375" s="259"/>
    </row>
    <row r="6376">
      <c r="A6376" s="259"/>
      <c r="B6376" s="26"/>
      <c r="C6376" s="91" t="s">
        <v>11</v>
      </c>
      <c r="D6376" s="9" t="s">
        <v>11</v>
      </c>
      <c r="E6376" s="9" t="s">
        <v>13</v>
      </c>
      <c r="F6376" s="9"/>
      <c r="G6376" s="9"/>
      <c r="H6376" s="9"/>
      <c r="I6376" s="9" t="s">
        <v>13</v>
      </c>
      <c r="J6376" s="259"/>
    </row>
    <row r="6377">
      <c r="A6377" s="259"/>
      <c r="B6377" s="26"/>
      <c r="C6377" s="91" t="s">
        <v>11</v>
      </c>
      <c r="D6377" s="9" t="s">
        <v>11</v>
      </c>
      <c r="E6377" s="9" t="s">
        <v>13</v>
      </c>
      <c r="F6377" s="9"/>
      <c r="G6377" s="9"/>
      <c r="H6377" s="9"/>
      <c r="I6377" s="9" t="s">
        <v>13</v>
      </c>
      <c r="J6377" s="259"/>
    </row>
    <row r="6378">
      <c r="A6378" s="259"/>
      <c r="B6378" s="26"/>
      <c r="C6378" s="91" t="s">
        <v>11</v>
      </c>
      <c r="D6378" s="9" t="s">
        <v>11</v>
      </c>
      <c r="E6378" s="9" t="s">
        <v>13</v>
      </c>
      <c r="F6378" s="9"/>
      <c r="G6378" s="9"/>
      <c r="H6378" s="9"/>
      <c r="I6378" s="9" t="s">
        <v>13</v>
      </c>
      <c r="J6378" s="259"/>
    </row>
    <row r="6379">
      <c r="A6379" s="259"/>
      <c r="B6379" s="26"/>
      <c r="C6379" s="91" t="s">
        <v>11</v>
      </c>
      <c r="D6379" s="9" t="s">
        <v>11</v>
      </c>
      <c r="E6379" s="9" t="s">
        <v>13</v>
      </c>
      <c r="F6379" s="9"/>
      <c r="G6379" s="9"/>
      <c r="H6379" s="9"/>
      <c r="I6379" s="9" t="s">
        <v>13</v>
      </c>
      <c r="J6379" s="259"/>
    </row>
    <row r="6380">
      <c r="A6380" s="259"/>
      <c r="B6380" s="26"/>
      <c r="C6380" s="91" t="s">
        <v>11</v>
      </c>
      <c r="D6380" s="9" t="s">
        <v>11</v>
      </c>
      <c r="E6380" s="9" t="s">
        <v>13</v>
      </c>
      <c r="F6380" s="9"/>
      <c r="G6380" s="9"/>
      <c r="H6380" s="9"/>
      <c r="I6380" s="9" t="s">
        <v>13</v>
      </c>
      <c r="J6380" s="259"/>
    </row>
    <row r="6381">
      <c r="A6381" s="259"/>
      <c r="B6381" s="26"/>
      <c r="C6381" s="91" t="s">
        <v>11</v>
      </c>
      <c r="D6381" s="9" t="s">
        <v>11</v>
      </c>
      <c r="E6381" s="9" t="s">
        <v>13</v>
      </c>
      <c r="F6381" s="9"/>
      <c r="G6381" s="9"/>
      <c r="H6381" s="9"/>
      <c r="I6381" s="9" t="s">
        <v>13</v>
      </c>
      <c r="J6381" s="259"/>
    </row>
    <row r="6382">
      <c r="A6382" s="259"/>
      <c r="B6382" s="26"/>
      <c r="C6382" s="91" t="s">
        <v>11</v>
      </c>
      <c r="D6382" s="9" t="s">
        <v>11</v>
      </c>
      <c r="E6382" s="9" t="s">
        <v>13</v>
      </c>
      <c r="F6382" s="9"/>
      <c r="G6382" s="9"/>
      <c r="H6382" s="9"/>
      <c r="I6382" s="9" t="s">
        <v>13</v>
      </c>
      <c r="J6382" s="259"/>
    </row>
    <row r="6383">
      <c r="A6383" s="259"/>
      <c r="B6383" s="26"/>
      <c r="C6383" s="91" t="s">
        <v>11</v>
      </c>
      <c r="D6383" s="9" t="s">
        <v>11</v>
      </c>
      <c r="E6383" s="9" t="s">
        <v>13</v>
      </c>
      <c r="F6383" s="9"/>
      <c r="G6383" s="9"/>
      <c r="H6383" s="9"/>
      <c r="I6383" s="9" t="s">
        <v>13</v>
      </c>
      <c r="J6383" s="259"/>
    </row>
    <row r="6384">
      <c r="A6384" s="259"/>
      <c r="B6384" s="26"/>
      <c r="C6384" s="91" t="s">
        <v>11</v>
      </c>
      <c r="D6384" s="9" t="s">
        <v>11</v>
      </c>
      <c r="E6384" s="9" t="s">
        <v>13</v>
      </c>
      <c r="F6384" s="9"/>
      <c r="G6384" s="9"/>
      <c r="H6384" s="9"/>
      <c r="I6384" s="9" t="s">
        <v>13</v>
      </c>
      <c r="J6384" s="259"/>
    </row>
    <row r="6385">
      <c r="A6385" s="259"/>
      <c r="B6385" s="26"/>
      <c r="C6385" s="91" t="s">
        <v>11</v>
      </c>
      <c r="D6385" s="9" t="s">
        <v>11</v>
      </c>
      <c r="E6385" s="9" t="s">
        <v>13</v>
      </c>
      <c r="F6385" s="9"/>
      <c r="G6385" s="9"/>
      <c r="H6385" s="9"/>
      <c r="I6385" s="9" t="s">
        <v>13</v>
      </c>
      <c r="J6385" s="259"/>
    </row>
    <row r="6386">
      <c r="A6386" s="259"/>
      <c r="B6386" s="26"/>
      <c r="C6386" s="91" t="s">
        <v>11</v>
      </c>
      <c r="D6386" s="9" t="s">
        <v>11</v>
      </c>
      <c r="E6386" s="9" t="s">
        <v>13</v>
      </c>
      <c r="F6386" s="9"/>
      <c r="G6386" s="9"/>
      <c r="H6386" s="9"/>
      <c r="I6386" s="9" t="s">
        <v>13</v>
      </c>
      <c r="J6386" s="259"/>
    </row>
    <row r="6387">
      <c r="A6387" s="259"/>
      <c r="B6387" s="26"/>
      <c r="C6387" s="91" t="s">
        <v>11</v>
      </c>
      <c r="D6387" s="9" t="s">
        <v>11</v>
      </c>
      <c r="E6387" s="9" t="s">
        <v>13</v>
      </c>
      <c r="F6387" s="9"/>
      <c r="G6387" s="9"/>
      <c r="H6387" s="9"/>
      <c r="I6387" s="9" t="s">
        <v>13</v>
      </c>
      <c r="J6387" s="259"/>
    </row>
    <row r="6388">
      <c r="A6388" s="259"/>
      <c r="B6388" s="26"/>
      <c r="C6388" s="91" t="s">
        <v>11</v>
      </c>
      <c r="D6388" s="9" t="s">
        <v>11</v>
      </c>
      <c r="E6388" s="9" t="s">
        <v>13</v>
      </c>
      <c r="F6388" s="9"/>
      <c r="G6388" s="9"/>
      <c r="H6388" s="9"/>
      <c r="I6388" s="9" t="s">
        <v>13</v>
      </c>
      <c r="J6388" s="259"/>
    </row>
    <row r="6389">
      <c r="A6389" s="259"/>
      <c r="B6389" s="26"/>
      <c r="C6389" s="91" t="s">
        <v>11</v>
      </c>
      <c r="D6389" s="9" t="s">
        <v>11</v>
      </c>
      <c r="E6389" s="9" t="s">
        <v>13</v>
      </c>
      <c r="F6389" s="9"/>
      <c r="G6389" s="9"/>
      <c r="H6389" s="9"/>
      <c r="I6389" s="9" t="s">
        <v>13</v>
      </c>
      <c r="J6389" s="259"/>
    </row>
    <row r="6390">
      <c r="A6390" s="259"/>
      <c r="B6390" s="26"/>
      <c r="C6390" s="91" t="s">
        <v>11</v>
      </c>
      <c r="D6390" s="9" t="s">
        <v>11</v>
      </c>
      <c r="E6390" s="9" t="s">
        <v>13</v>
      </c>
      <c r="F6390" s="9"/>
      <c r="G6390" s="9"/>
      <c r="H6390" s="9"/>
      <c r="I6390" s="9" t="s">
        <v>13</v>
      </c>
      <c r="J6390" s="259"/>
    </row>
    <row r="6391">
      <c r="A6391" s="259"/>
      <c r="B6391" s="26"/>
      <c r="C6391" s="91" t="s">
        <v>11</v>
      </c>
      <c r="D6391" s="9" t="s">
        <v>11</v>
      </c>
      <c r="E6391" s="9" t="s">
        <v>13</v>
      </c>
      <c r="F6391" s="9"/>
      <c r="G6391" s="9"/>
      <c r="H6391" s="9"/>
      <c r="I6391" s="9" t="s">
        <v>13</v>
      </c>
      <c r="J6391" s="259"/>
    </row>
    <row r="6392">
      <c r="A6392" s="259"/>
      <c r="B6392" s="26"/>
      <c r="C6392" s="91" t="s">
        <v>11</v>
      </c>
      <c r="D6392" s="9" t="s">
        <v>11</v>
      </c>
      <c r="E6392" s="9" t="s">
        <v>13</v>
      </c>
      <c r="F6392" s="9"/>
      <c r="G6392" s="9"/>
      <c r="H6392" s="9"/>
      <c r="I6392" s="9" t="s">
        <v>13</v>
      </c>
      <c r="J6392" s="259"/>
    </row>
    <row r="6393">
      <c r="A6393" s="259"/>
      <c r="B6393" s="26"/>
      <c r="C6393" s="91" t="s">
        <v>11</v>
      </c>
      <c r="D6393" s="9" t="s">
        <v>11</v>
      </c>
      <c r="E6393" s="9" t="s">
        <v>13</v>
      </c>
      <c r="F6393" s="9"/>
      <c r="G6393" s="9"/>
      <c r="H6393" s="9"/>
      <c r="I6393" s="9" t="s">
        <v>13</v>
      </c>
      <c r="J6393" s="259"/>
    </row>
    <row r="6394">
      <c r="A6394" s="259"/>
      <c r="B6394" s="26"/>
      <c r="C6394" s="91" t="s">
        <v>11</v>
      </c>
      <c r="D6394" s="9" t="s">
        <v>11</v>
      </c>
      <c r="E6394" s="9" t="s">
        <v>13</v>
      </c>
      <c r="F6394" s="9"/>
      <c r="G6394" s="9"/>
      <c r="H6394" s="9"/>
      <c r="I6394" s="9" t="s">
        <v>13</v>
      </c>
      <c r="J6394" s="259"/>
    </row>
    <row r="6395">
      <c r="A6395" s="259"/>
      <c r="B6395" s="26"/>
      <c r="C6395" s="91" t="s">
        <v>11</v>
      </c>
      <c r="D6395" s="9" t="s">
        <v>11</v>
      </c>
      <c r="E6395" s="9" t="s">
        <v>13</v>
      </c>
      <c r="F6395" s="9"/>
      <c r="G6395" s="9"/>
      <c r="H6395" s="9"/>
      <c r="I6395" s="9" t="s">
        <v>13</v>
      </c>
      <c r="J6395" s="259"/>
    </row>
    <row r="6396">
      <c r="A6396" s="259"/>
      <c r="B6396" s="26"/>
      <c r="C6396" s="91" t="s">
        <v>11</v>
      </c>
      <c r="D6396" s="9" t="s">
        <v>11</v>
      </c>
      <c r="E6396" s="9" t="s">
        <v>13</v>
      </c>
      <c r="F6396" s="9"/>
      <c r="G6396" s="9"/>
      <c r="H6396" s="9"/>
      <c r="I6396" s="9" t="s">
        <v>13</v>
      </c>
      <c r="J6396" s="259"/>
    </row>
    <row r="6397">
      <c r="A6397" s="259"/>
      <c r="B6397" s="26"/>
      <c r="C6397" s="91" t="s">
        <v>11</v>
      </c>
      <c r="D6397" s="9" t="s">
        <v>11</v>
      </c>
      <c r="E6397" s="9" t="s">
        <v>13</v>
      </c>
      <c r="F6397" s="9"/>
      <c r="G6397" s="9"/>
      <c r="H6397" s="9"/>
      <c r="I6397" s="9" t="s">
        <v>13</v>
      </c>
      <c r="J6397" s="259"/>
    </row>
    <row r="6398">
      <c r="A6398" s="259"/>
      <c r="B6398" s="26"/>
      <c r="C6398" s="91" t="s">
        <v>11</v>
      </c>
      <c r="D6398" s="9" t="s">
        <v>11</v>
      </c>
      <c r="E6398" s="9" t="s">
        <v>13</v>
      </c>
      <c r="F6398" s="9"/>
      <c r="G6398" s="9"/>
      <c r="H6398" s="9"/>
      <c r="I6398" s="9" t="s">
        <v>13</v>
      </c>
      <c r="J6398" s="259"/>
    </row>
    <row r="6399">
      <c r="A6399" s="259"/>
      <c r="B6399" s="26"/>
      <c r="C6399" s="91" t="s">
        <v>11</v>
      </c>
      <c r="D6399" s="9" t="s">
        <v>11</v>
      </c>
      <c r="E6399" s="9" t="s">
        <v>13</v>
      </c>
      <c r="F6399" s="9"/>
      <c r="G6399" s="9"/>
      <c r="H6399" s="9"/>
      <c r="I6399" s="9" t="s">
        <v>13</v>
      </c>
      <c r="J6399" s="259"/>
    </row>
    <row r="6400">
      <c r="A6400" s="259"/>
      <c r="B6400" s="26"/>
      <c r="C6400" s="91" t="s">
        <v>11</v>
      </c>
      <c r="D6400" s="9" t="s">
        <v>11</v>
      </c>
      <c r="E6400" s="9" t="s">
        <v>13</v>
      </c>
      <c r="F6400" s="9"/>
      <c r="G6400" s="9"/>
      <c r="H6400" s="9"/>
      <c r="I6400" s="9" t="s">
        <v>13</v>
      </c>
      <c r="J6400" s="259"/>
    </row>
    <row r="6401">
      <c r="A6401" s="259"/>
      <c r="B6401" s="26"/>
      <c r="C6401" s="91" t="s">
        <v>11</v>
      </c>
      <c r="D6401" s="9" t="s">
        <v>11</v>
      </c>
      <c r="E6401" s="9" t="s">
        <v>13</v>
      </c>
      <c r="F6401" s="9"/>
      <c r="G6401" s="9"/>
      <c r="H6401" s="9"/>
      <c r="I6401" s="9" t="s">
        <v>13</v>
      </c>
      <c r="J6401" s="259"/>
    </row>
    <row r="6402">
      <c r="A6402" s="259"/>
      <c r="B6402" s="26"/>
      <c r="C6402" s="91" t="s">
        <v>11</v>
      </c>
      <c r="D6402" s="9" t="s">
        <v>11</v>
      </c>
      <c r="E6402" s="9" t="s">
        <v>13</v>
      </c>
      <c r="F6402" s="9"/>
      <c r="G6402" s="9"/>
      <c r="H6402" s="9"/>
      <c r="I6402" s="9" t="s">
        <v>13</v>
      </c>
      <c r="J6402" s="259"/>
    </row>
    <row r="6403">
      <c r="A6403" s="259"/>
      <c r="B6403" s="26"/>
      <c r="C6403" s="91" t="s">
        <v>11</v>
      </c>
      <c r="D6403" s="9" t="s">
        <v>11</v>
      </c>
      <c r="E6403" s="9" t="s">
        <v>13</v>
      </c>
      <c r="F6403" s="9"/>
      <c r="G6403" s="9"/>
      <c r="H6403" s="9"/>
      <c r="I6403" s="9" t="s">
        <v>13</v>
      </c>
      <c r="J6403" s="259"/>
    </row>
    <row r="6404">
      <c r="A6404" s="259"/>
      <c r="B6404" s="26"/>
      <c r="C6404" s="91" t="s">
        <v>11</v>
      </c>
      <c r="D6404" s="9" t="s">
        <v>11</v>
      </c>
      <c r="E6404" s="9" t="s">
        <v>13</v>
      </c>
      <c r="F6404" s="9"/>
      <c r="G6404" s="9"/>
      <c r="H6404" s="9"/>
      <c r="I6404" s="9" t="s">
        <v>13</v>
      </c>
      <c r="J6404" s="259"/>
    </row>
    <row r="6405">
      <c r="A6405" s="259"/>
      <c r="B6405" s="26"/>
      <c r="C6405" s="91" t="s">
        <v>11</v>
      </c>
      <c r="D6405" s="9" t="s">
        <v>11</v>
      </c>
      <c r="E6405" s="9" t="s">
        <v>13</v>
      </c>
      <c r="F6405" s="9"/>
      <c r="G6405" s="9"/>
      <c r="H6405" s="9"/>
      <c r="I6405" s="9" t="s">
        <v>13</v>
      </c>
      <c r="J6405" s="259"/>
    </row>
    <row r="6406">
      <c r="A6406" s="259"/>
      <c r="B6406" s="26"/>
      <c r="C6406" s="91" t="s">
        <v>11</v>
      </c>
      <c r="D6406" s="9" t="s">
        <v>11</v>
      </c>
      <c r="E6406" s="9" t="s">
        <v>13</v>
      </c>
      <c r="F6406" s="9"/>
      <c r="G6406" s="9"/>
      <c r="H6406" s="9"/>
      <c r="I6406" s="9" t="s">
        <v>13</v>
      </c>
      <c r="J6406" s="259"/>
    </row>
    <row r="6407">
      <c r="A6407" s="259"/>
      <c r="B6407" s="26"/>
      <c r="C6407" s="91" t="s">
        <v>11</v>
      </c>
      <c r="D6407" s="9" t="s">
        <v>11</v>
      </c>
      <c r="E6407" s="9" t="s">
        <v>13</v>
      </c>
      <c r="F6407" s="9"/>
      <c r="G6407" s="9"/>
      <c r="H6407" s="9"/>
      <c r="I6407" s="9" t="s">
        <v>13</v>
      </c>
      <c r="J6407" s="259"/>
    </row>
    <row r="6408">
      <c r="A6408" s="259"/>
      <c r="B6408" s="26"/>
      <c r="C6408" s="91" t="s">
        <v>11</v>
      </c>
      <c r="D6408" s="9" t="s">
        <v>11</v>
      </c>
      <c r="E6408" s="9" t="s">
        <v>13</v>
      </c>
      <c r="F6408" s="9"/>
      <c r="G6408" s="9"/>
      <c r="H6408" s="9"/>
      <c r="I6408" s="9" t="s">
        <v>13</v>
      </c>
      <c r="J6408" s="259"/>
    </row>
    <row r="6409">
      <c r="A6409" s="259"/>
      <c r="B6409" s="26"/>
      <c r="C6409" s="91" t="s">
        <v>11</v>
      </c>
      <c r="D6409" s="9" t="s">
        <v>11</v>
      </c>
      <c r="E6409" s="9" t="s">
        <v>13</v>
      </c>
      <c r="F6409" s="9"/>
      <c r="G6409" s="9"/>
      <c r="H6409" s="9"/>
      <c r="I6409" s="9" t="s">
        <v>13</v>
      </c>
      <c r="J6409" s="259"/>
    </row>
    <row r="6410">
      <c r="A6410" s="259"/>
      <c r="B6410" s="26"/>
      <c r="C6410" s="91" t="s">
        <v>11</v>
      </c>
      <c r="D6410" s="9" t="s">
        <v>11</v>
      </c>
      <c r="E6410" s="9" t="s">
        <v>13</v>
      </c>
      <c r="F6410" s="9"/>
      <c r="G6410" s="9"/>
      <c r="H6410" s="9"/>
      <c r="I6410" s="9" t="s">
        <v>13</v>
      </c>
      <c r="J6410" s="259"/>
    </row>
    <row r="6411">
      <c r="A6411" s="259"/>
      <c r="B6411" s="26"/>
      <c r="C6411" s="91" t="s">
        <v>11</v>
      </c>
      <c r="D6411" s="9" t="s">
        <v>11</v>
      </c>
      <c r="E6411" s="9" t="s">
        <v>13</v>
      </c>
      <c r="F6411" s="9"/>
      <c r="G6411" s="9"/>
      <c r="H6411" s="9"/>
      <c r="I6411" s="9" t="s">
        <v>13</v>
      </c>
      <c r="J6411" s="259"/>
    </row>
    <row r="6412">
      <c r="A6412" s="259"/>
      <c r="B6412" s="26"/>
      <c r="C6412" s="91" t="s">
        <v>11</v>
      </c>
      <c r="D6412" s="9" t="s">
        <v>11</v>
      </c>
      <c r="E6412" s="9" t="s">
        <v>13</v>
      </c>
      <c r="F6412" s="9"/>
      <c r="G6412" s="9"/>
      <c r="H6412" s="9"/>
      <c r="I6412" s="9" t="s">
        <v>13</v>
      </c>
      <c r="J6412" s="259"/>
    </row>
    <row r="6413">
      <c r="A6413" s="259"/>
      <c r="B6413" s="26"/>
      <c r="C6413" s="91" t="s">
        <v>11</v>
      </c>
      <c r="D6413" s="9" t="s">
        <v>11</v>
      </c>
      <c r="E6413" s="9" t="s">
        <v>13</v>
      </c>
      <c r="F6413" s="9"/>
      <c r="G6413" s="9"/>
      <c r="H6413" s="9"/>
      <c r="I6413" s="9" t="s">
        <v>13</v>
      </c>
      <c r="J6413" s="259"/>
    </row>
    <row r="6414">
      <c r="A6414" s="259"/>
      <c r="B6414" s="26"/>
      <c r="C6414" s="91" t="s">
        <v>11</v>
      </c>
      <c r="D6414" s="9" t="s">
        <v>11</v>
      </c>
      <c r="E6414" s="9" t="s">
        <v>13</v>
      </c>
      <c r="F6414" s="9"/>
      <c r="G6414" s="9"/>
      <c r="H6414" s="9"/>
      <c r="I6414" s="9" t="s">
        <v>13</v>
      </c>
      <c r="J6414" s="259"/>
    </row>
    <row r="6415">
      <c r="A6415" s="259"/>
      <c r="B6415" s="26"/>
      <c r="C6415" s="91" t="s">
        <v>11</v>
      </c>
      <c r="D6415" s="9" t="s">
        <v>11</v>
      </c>
      <c r="E6415" s="9" t="s">
        <v>13</v>
      </c>
      <c r="F6415" s="9"/>
      <c r="G6415" s="9"/>
      <c r="H6415" s="9"/>
      <c r="I6415" s="9" t="s">
        <v>13</v>
      </c>
      <c r="J6415" s="259"/>
    </row>
    <row r="6416">
      <c r="A6416" s="259"/>
      <c r="B6416" s="26"/>
      <c r="C6416" s="91" t="s">
        <v>11</v>
      </c>
      <c r="D6416" s="9" t="s">
        <v>11</v>
      </c>
      <c r="E6416" s="9" t="s">
        <v>13</v>
      </c>
      <c r="F6416" s="9"/>
      <c r="G6416" s="9"/>
      <c r="H6416" s="9"/>
      <c r="I6416" s="9" t="s">
        <v>13</v>
      </c>
      <c r="J6416" s="259"/>
    </row>
    <row r="6417">
      <c r="A6417" s="259"/>
      <c r="B6417" s="26"/>
      <c r="C6417" s="91" t="s">
        <v>11</v>
      </c>
      <c r="D6417" s="9" t="s">
        <v>11</v>
      </c>
      <c r="E6417" s="9" t="s">
        <v>13</v>
      </c>
      <c r="F6417" s="9"/>
      <c r="G6417" s="9"/>
      <c r="H6417" s="9"/>
      <c r="I6417" s="9" t="s">
        <v>13</v>
      </c>
      <c r="J6417" s="259"/>
    </row>
    <row r="6418">
      <c r="A6418" s="259"/>
      <c r="B6418" s="26"/>
      <c r="C6418" s="91" t="s">
        <v>11</v>
      </c>
      <c r="D6418" s="9" t="s">
        <v>11</v>
      </c>
      <c r="E6418" s="9" t="s">
        <v>13</v>
      </c>
      <c r="F6418" s="9"/>
      <c r="G6418" s="9"/>
      <c r="H6418" s="9"/>
      <c r="I6418" s="9" t="s">
        <v>13</v>
      </c>
      <c r="J6418" s="259"/>
    </row>
    <row r="6419">
      <c r="A6419" s="259"/>
      <c r="B6419" s="26"/>
      <c r="C6419" s="91" t="s">
        <v>11</v>
      </c>
      <c r="D6419" s="9" t="s">
        <v>11</v>
      </c>
      <c r="E6419" s="9" t="s">
        <v>13</v>
      </c>
      <c r="F6419" s="9"/>
      <c r="G6419" s="9"/>
      <c r="H6419" s="9"/>
      <c r="I6419" s="9" t="s">
        <v>13</v>
      </c>
      <c r="J6419" s="259"/>
    </row>
    <row r="6420">
      <c r="A6420" s="259"/>
      <c r="B6420" s="26"/>
      <c r="C6420" s="91" t="s">
        <v>11</v>
      </c>
      <c r="D6420" s="9" t="s">
        <v>11</v>
      </c>
      <c r="E6420" s="9" t="s">
        <v>13</v>
      </c>
      <c r="F6420" s="9"/>
      <c r="G6420" s="9"/>
      <c r="H6420" s="9"/>
      <c r="I6420" s="9" t="s">
        <v>13</v>
      </c>
      <c r="J6420" s="259"/>
    </row>
    <row r="6421">
      <c r="A6421" s="259"/>
      <c r="B6421" s="26"/>
      <c r="C6421" s="91" t="s">
        <v>11</v>
      </c>
      <c r="D6421" s="9" t="s">
        <v>11</v>
      </c>
      <c r="E6421" s="9" t="s">
        <v>13</v>
      </c>
      <c r="F6421" s="9"/>
      <c r="G6421" s="9"/>
      <c r="H6421" s="9"/>
      <c r="I6421" s="9" t="s">
        <v>13</v>
      </c>
      <c r="J6421" s="259"/>
    </row>
    <row r="6422">
      <c r="A6422" s="259"/>
      <c r="B6422" s="26"/>
      <c r="C6422" s="91" t="s">
        <v>11</v>
      </c>
      <c r="D6422" s="9" t="s">
        <v>11</v>
      </c>
      <c r="E6422" s="9" t="s">
        <v>13</v>
      </c>
      <c r="F6422" s="9"/>
      <c r="G6422" s="9"/>
      <c r="H6422" s="9"/>
      <c r="I6422" s="9" t="s">
        <v>13</v>
      </c>
      <c r="J6422" s="259"/>
    </row>
    <row r="6423">
      <c r="A6423" s="259"/>
      <c r="B6423" s="26"/>
      <c r="C6423" s="91" t="s">
        <v>11</v>
      </c>
      <c r="D6423" s="9" t="s">
        <v>11</v>
      </c>
      <c r="E6423" s="9" t="s">
        <v>13</v>
      </c>
      <c r="F6423" s="9"/>
      <c r="G6423" s="9"/>
      <c r="H6423" s="9"/>
      <c r="I6423" s="9" t="s">
        <v>13</v>
      </c>
      <c r="J6423" s="259"/>
    </row>
    <row r="6424">
      <c r="A6424" s="259"/>
      <c r="B6424" s="26"/>
      <c r="C6424" s="91" t="s">
        <v>11</v>
      </c>
      <c r="D6424" s="9" t="s">
        <v>11</v>
      </c>
      <c r="E6424" s="9" t="s">
        <v>13</v>
      </c>
      <c r="F6424" s="9"/>
      <c r="G6424" s="9"/>
      <c r="H6424" s="9"/>
      <c r="I6424" s="9" t="s">
        <v>13</v>
      </c>
      <c r="J6424" s="259"/>
    </row>
    <row r="6425">
      <c r="A6425" s="259"/>
      <c r="B6425" s="26"/>
      <c r="C6425" s="91" t="s">
        <v>11</v>
      </c>
      <c r="D6425" s="9" t="s">
        <v>11</v>
      </c>
      <c r="E6425" s="9" t="s">
        <v>13</v>
      </c>
      <c r="F6425" s="9"/>
      <c r="G6425" s="9"/>
      <c r="H6425" s="9"/>
      <c r="I6425" s="9" t="s">
        <v>13</v>
      </c>
      <c r="J6425" s="259"/>
    </row>
    <row r="6426">
      <c r="A6426" s="259"/>
      <c r="B6426" s="26"/>
      <c r="C6426" s="91" t="s">
        <v>11</v>
      </c>
      <c r="D6426" s="9" t="s">
        <v>11</v>
      </c>
      <c r="E6426" s="9" t="s">
        <v>13</v>
      </c>
      <c r="F6426" s="9"/>
      <c r="G6426" s="9"/>
      <c r="H6426" s="9"/>
      <c r="I6426" s="9" t="s">
        <v>13</v>
      </c>
      <c r="J6426" s="259"/>
    </row>
    <row r="6427">
      <c r="A6427" s="259"/>
      <c r="B6427" s="26"/>
      <c r="C6427" s="91" t="s">
        <v>11</v>
      </c>
      <c r="D6427" s="9" t="s">
        <v>11</v>
      </c>
      <c r="E6427" s="9" t="s">
        <v>13</v>
      </c>
      <c r="F6427" s="9"/>
      <c r="G6427" s="9"/>
      <c r="H6427" s="9"/>
      <c r="I6427" s="9" t="s">
        <v>13</v>
      </c>
      <c r="J6427" s="259"/>
    </row>
    <row r="6428">
      <c r="A6428" s="259"/>
      <c r="B6428" s="26"/>
      <c r="C6428" s="91" t="s">
        <v>11</v>
      </c>
      <c r="D6428" s="9" t="s">
        <v>11</v>
      </c>
      <c r="E6428" s="9" t="s">
        <v>13</v>
      </c>
      <c r="F6428" s="9"/>
      <c r="G6428" s="9"/>
      <c r="H6428" s="9"/>
      <c r="I6428" s="9" t="s">
        <v>13</v>
      </c>
      <c r="J6428" s="259"/>
    </row>
    <row r="6429">
      <c r="A6429" s="259"/>
      <c r="B6429" s="26"/>
      <c r="C6429" s="91" t="s">
        <v>11</v>
      </c>
      <c r="D6429" s="9" t="s">
        <v>11</v>
      </c>
      <c r="E6429" s="9" t="s">
        <v>13</v>
      </c>
      <c r="F6429" s="9"/>
      <c r="G6429" s="9"/>
      <c r="H6429" s="9"/>
      <c r="I6429" s="9" t="s">
        <v>13</v>
      </c>
      <c r="J6429" s="259"/>
    </row>
    <row r="6430">
      <c r="A6430" s="259"/>
      <c r="B6430" s="26"/>
      <c r="C6430" s="91" t="s">
        <v>11</v>
      </c>
      <c r="D6430" s="9" t="s">
        <v>11</v>
      </c>
      <c r="E6430" s="9" t="s">
        <v>13</v>
      </c>
      <c r="F6430" s="9"/>
      <c r="G6430" s="9"/>
      <c r="H6430" s="9"/>
      <c r="I6430" s="9" t="s">
        <v>13</v>
      </c>
      <c r="J6430" s="259"/>
    </row>
    <row r="6431">
      <c r="A6431" s="259"/>
      <c r="B6431" s="26"/>
      <c r="C6431" s="91" t="s">
        <v>11</v>
      </c>
      <c r="D6431" s="9" t="s">
        <v>11</v>
      </c>
      <c r="E6431" s="9" t="s">
        <v>13</v>
      </c>
      <c r="F6431" s="9"/>
      <c r="G6431" s="9"/>
      <c r="H6431" s="9"/>
      <c r="I6431" s="9" t="s">
        <v>13</v>
      </c>
      <c r="J6431" s="259"/>
    </row>
    <row r="6432">
      <c r="A6432" s="259"/>
      <c r="B6432" s="26"/>
      <c r="C6432" s="91" t="s">
        <v>11</v>
      </c>
      <c r="D6432" s="9" t="s">
        <v>11</v>
      </c>
      <c r="E6432" s="9" t="s">
        <v>13</v>
      </c>
      <c r="F6432" s="9"/>
      <c r="G6432" s="9"/>
      <c r="H6432" s="9"/>
      <c r="I6432" s="9" t="s">
        <v>13</v>
      </c>
      <c r="J6432" s="259"/>
    </row>
    <row r="6433">
      <c r="A6433" s="259"/>
      <c r="B6433" s="26"/>
      <c r="C6433" s="91" t="s">
        <v>11</v>
      </c>
      <c r="D6433" s="9" t="s">
        <v>11</v>
      </c>
      <c r="E6433" s="9" t="s">
        <v>13</v>
      </c>
      <c r="F6433" s="9"/>
      <c r="G6433" s="9"/>
      <c r="H6433" s="9"/>
      <c r="I6433" s="9" t="s">
        <v>13</v>
      </c>
      <c r="J6433" s="259"/>
    </row>
    <row r="6434">
      <c r="A6434" s="259"/>
      <c r="B6434" s="26"/>
      <c r="C6434" s="91" t="s">
        <v>11</v>
      </c>
      <c r="D6434" s="9" t="s">
        <v>11</v>
      </c>
      <c r="E6434" s="9" t="s">
        <v>13</v>
      </c>
      <c r="F6434" s="9"/>
      <c r="G6434" s="9"/>
      <c r="H6434" s="9"/>
      <c r="I6434" s="9" t="s">
        <v>13</v>
      </c>
      <c r="J6434" s="259"/>
    </row>
    <row r="6435">
      <c r="A6435" s="259"/>
      <c r="B6435" s="26"/>
      <c r="C6435" s="91" t="s">
        <v>11</v>
      </c>
      <c r="D6435" s="9" t="s">
        <v>11</v>
      </c>
      <c r="E6435" s="9" t="s">
        <v>13</v>
      </c>
      <c r="F6435" s="9"/>
      <c r="G6435" s="9"/>
      <c r="H6435" s="9"/>
      <c r="I6435" s="9" t="s">
        <v>13</v>
      </c>
      <c r="J6435" s="259"/>
    </row>
    <row r="6436">
      <c r="A6436" s="259"/>
      <c r="B6436" s="26"/>
      <c r="C6436" s="91" t="s">
        <v>11</v>
      </c>
      <c r="D6436" s="9" t="s">
        <v>11</v>
      </c>
      <c r="E6436" s="9" t="s">
        <v>13</v>
      </c>
      <c r="F6436" s="9"/>
      <c r="G6436" s="9"/>
      <c r="H6436" s="9"/>
      <c r="I6436" s="9" t="s">
        <v>13</v>
      </c>
      <c r="J6436" s="259"/>
    </row>
    <row r="6437">
      <c r="A6437" s="259"/>
      <c r="B6437" s="26"/>
      <c r="C6437" s="91" t="s">
        <v>11</v>
      </c>
      <c r="D6437" s="9" t="s">
        <v>11</v>
      </c>
      <c r="E6437" s="9" t="s">
        <v>13</v>
      </c>
      <c r="F6437" s="9"/>
      <c r="G6437" s="9"/>
      <c r="H6437" s="9"/>
      <c r="I6437" s="9" t="s">
        <v>13</v>
      </c>
      <c r="J6437" s="259"/>
    </row>
    <row r="6438">
      <c r="A6438" s="259"/>
      <c r="B6438" s="26"/>
      <c r="C6438" s="91" t="s">
        <v>11</v>
      </c>
      <c r="D6438" s="9" t="s">
        <v>11</v>
      </c>
      <c r="E6438" s="9" t="s">
        <v>13</v>
      </c>
      <c r="F6438" s="9"/>
      <c r="G6438" s="9"/>
      <c r="H6438" s="9"/>
      <c r="I6438" s="9" t="s">
        <v>13</v>
      </c>
      <c r="J6438" s="259"/>
    </row>
    <row r="6439">
      <c r="A6439" s="259"/>
      <c r="B6439" s="26"/>
      <c r="C6439" s="91" t="s">
        <v>11</v>
      </c>
      <c r="D6439" s="9" t="s">
        <v>11</v>
      </c>
      <c r="E6439" s="9" t="s">
        <v>13</v>
      </c>
      <c r="F6439" s="9"/>
      <c r="G6439" s="9"/>
      <c r="H6439" s="9"/>
      <c r="I6439" s="9" t="s">
        <v>13</v>
      </c>
      <c r="J6439" s="259"/>
    </row>
    <row r="6440">
      <c r="A6440" s="259"/>
      <c r="B6440" s="26"/>
      <c r="C6440" s="91" t="s">
        <v>11</v>
      </c>
      <c r="D6440" s="9" t="s">
        <v>11</v>
      </c>
      <c r="E6440" s="9" t="s">
        <v>13</v>
      </c>
      <c r="F6440" s="9"/>
      <c r="G6440" s="9"/>
      <c r="H6440" s="9"/>
      <c r="I6440" s="9" t="s">
        <v>13</v>
      </c>
      <c r="J6440" s="259"/>
    </row>
    <row r="6441">
      <c r="A6441" s="259"/>
      <c r="B6441" s="26"/>
      <c r="C6441" s="91"/>
      <c r="D6441" s="9" t="s">
        <v>11</v>
      </c>
      <c r="E6441" s="9" t="s">
        <v>13</v>
      </c>
      <c r="F6441" s="9"/>
      <c r="G6441" s="9"/>
      <c r="H6441" s="9"/>
      <c r="I6441" s="9" t="s">
        <v>13</v>
      </c>
      <c r="J6441" s="259"/>
    </row>
    <row r="6442">
      <c r="A6442" s="259"/>
      <c r="B6442" s="26"/>
      <c r="C6442" s="91"/>
      <c r="D6442" s="9" t="s">
        <v>11</v>
      </c>
      <c r="E6442" s="9" t="s">
        <v>13</v>
      </c>
      <c r="F6442" s="9"/>
      <c r="G6442" s="9"/>
      <c r="H6442" s="9"/>
      <c r="I6442" s="9" t="s">
        <v>13</v>
      </c>
      <c r="J6442" s="259"/>
    </row>
    <row r="6443">
      <c r="A6443" s="259"/>
      <c r="B6443" s="26"/>
      <c r="C6443" s="91"/>
      <c r="D6443" s="9" t="s">
        <v>11</v>
      </c>
      <c r="E6443" s="9" t="s">
        <v>13</v>
      </c>
      <c r="F6443" s="9"/>
      <c r="G6443" s="9"/>
      <c r="H6443" s="9"/>
      <c r="I6443" s="9" t="s">
        <v>13</v>
      </c>
      <c r="J6443" s="259"/>
    </row>
    <row r="6444">
      <c r="A6444" s="259"/>
      <c r="B6444" s="26"/>
      <c r="C6444" s="91"/>
      <c r="D6444" s="9" t="s">
        <v>11</v>
      </c>
      <c r="E6444" s="9" t="s">
        <v>13</v>
      </c>
      <c r="F6444" s="9"/>
      <c r="G6444" s="9"/>
      <c r="H6444" s="9"/>
      <c r="I6444" s="9" t="s">
        <v>13</v>
      </c>
      <c r="J6444" s="259"/>
    </row>
    <row r="6445">
      <c r="A6445" s="259"/>
      <c r="B6445" s="26"/>
      <c r="C6445" s="91"/>
      <c r="D6445" s="9" t="s">
        <v>11</v>
      </c>
      <c r="E6445" s="9" t="s">
        <v>13</v>
      </c>
      <c r="F6445" s="9"/>
      <c r="G6445" s="9"/>
      <c r="H6445" s="9"/>
      <c r="I6445" s="9" t="s">
        <v>13</v>
      </c>
      <c r="J6445" s="259"/>
    </row>
    <row r="6446">
      <c r="A6446" s="259"/>
      <c r="B6446" s="26"/>
      <c r="C6446" s="91"/>
      <c r="D6446" s="9" t="s">
        <v>11</v>
      </c>
      <c r="E6446" s="9" t="s">
        <v>13</v>
      </c>
      <c r="F6446" s="9"/>
      <c r="G6446" s="9"/>
      <c r="H6446" s="9"/>
      <c r="I6446" s="9" t="s">
        <v>13</v>
      </c>
      <c r="J6446" s="259"/>
    </row>
    <row r="6447">
      <c r="A6447" s="259"/>
      <c r="B6447" s="26"/>
      <c r="C6447" s="91"/>
      <c r="D6447" s="9" t="s">
        <v>11</v>
      </c>
      <c r="E6447" s="9" t="s">
        <v>13</v>
      </c>
      <c r="F6447" s="9"/>
      <c r="G6447" s="9"/>
      <c r="H6447" s="9"/>
      <c r="I6447" s="9" t="s">
        <v>13</v>
      </c>
      <c r="J6447" s="259"/>
    </row>
    <row r="6448">
      <c r="A6448" s="259"/>
      <c r="B6448" s="26"/>
      <c r="C6448" s="91"/>
      <c r="D6448" s="9" t="s">
        <v>11</v>
      </c>
      <c r="E6448" s="9" t="s">
        <v>13</v>
      </c>
      <c r="F6448" s="9"/>
      <c r="G6448" s="9"/>
      <c r="H6448" s="9"/>
      <c r="I6448" s="9" t="s">
        <v>13</v>
      </c>
      <c r="J6448" s="259"/>
    </row>
    <row r="6449">
      <c r="A6449" s="259"/>
      <c r="B6449" s="26"/>
      <c r="C6449" s="91"/>
      <c r="D6449" s="9" t="s">
        <v>11</v>
      </c>
      <c r="E6449" s="9" t="s">
        <v>13</v>
      </c>
      <c r="F6449" s="9"/>
      <c r="G6449" s="9"/>
      <c r="H6449" s="9"/>
      <c r="I6449" s="9" t="s">
        <v>13</v>
      </c>
      <c r="J6449" s="259"/>
    </row>
    <row r="6450">
      <c r="A6450" s="259"/>
      <c r="B6450" s="26"/>
      <c r="C6450" s="91"/>
      <c r="D6450" s="9" t="s">
        <v>11</v>
      </c>
      <c r="E6450" s="9" t="s">
        <v>13</v>
      </c>
      <c r="F6450" s="9"/>
      <c r="G6450" s="9"/>
      <c r="H6450" s="9"/>
      <c r="I6450" s="9" t="s">
        <v>13</v>
      </c>
      <c r="J6450" s="259"/>
    </row>
    <row r="6451">
      <c r="A6451" s="259"/>
      <c r="B6451" s="26"/>
      <c r="C6451" s="91"/>
      <c r="D6451" s="9" t="s">
        <v>11</v>
      </c>
      <c r="E6451" s="9" t="s">
        <v>13</v>
      </c>
      <c r="F6451" s="9"/>
      <c r="G6451" s="9"/>
      <c r="H6451" s="9"/>
      <c r="I6451" s="9" t="s">
        <v>13</v>
      </c>
      <c r="J6451" s="259"/>
    </row>
    <row r="6452">
      <c r="A6452" s="259"/>
      <c r="B6452" s="26"/>
      <c r="C6452" s="91"/>
      <c r="D6452" s="9" t="s">
        <v>11</v>
      </c>
      <c r="E6452" s="9" t="s">
        <v>13</v>
      </c>
      <c r="F6452" s="9"/>
      <c r="G6452" s="9"/>
      <c r="H6452" s="9"/>
      <c r="I6452" s="9" t="s">
        <v>13</v>
      </c>
      <c r="J6452" s="259"/>
    </row>
    <row r="6453">
      <c r="A6453" s="259"/>
      <c r="B6453" s="26"/>
      <c r="C6453" s="91"/>
      <c r="D6453" s="9" t="s">
        <v>11</v>
      </c>
      <c r="E6453" s="9" t="s">
        <v>13</v>
      </c>
      <c r="F6453" s="9"/>
      <c r="G6453" s="9"/>
      <c r="H6453" s="9"/>
      <c r="I6453" s="9" t="s">
        <v>13</v>
      </c>
      <c r="J6453" s="259"/>
    </row>
    <row r="6454">
      <c r="A6454" s="259"/>
      <c r="B6454" s="26"/>
      <c r="C6454" s="91"/>
      <c r="D6454" s="9" t="s">
        <v>11</v>
      </c>
      <c r="E6454" s="9" t="s">
        <v>13</v>
      </c>
      <c r="F6454" s="9"/>
      <c r="G6454" s="9"/>
      <c r="H6454" s="9"/>
      <c r="I6454" s="9" t="s">
        <v>13</v>
      </c>
      <c r="J6454" s="259"/>
    </row>
    <row r="6455">
      <c r="A6455" s="259"/>
      <c r="B6455" s="26"/>
      <c r="C6455" s="91"/>
      <c r="D6455" s="9" t="s">
        <v>11</v>
      </c>
      <c r="E6455" s="9" t="s">
        <v>13</v>
      </c>
      <c r="F6455" s="9"/>
      <c r="G6455" s="9"/>
      <c r="H6455" s="9"/>
      <c r="I6455" s="9" t="s">
        <v>13</v>
      </c>
      <c r="J6455" s="259"/>
    </row>
    <row r="6456">
      <c r="A6456" s="259"/>
      <c r="B6456" s="26"/>
      <c r="C6456" s="91"/>
      <c r="D6456" s="9" t="s">
        <v>11</v>
      </c>
      <c r="E6456" s="9" t="s">
        <v>13</v>
      </c>
      <c r="F6456" s="9"/>
      <c r="G6456" s="9"/>
      <c r="H6456" s="9"/>
      <c r="I6456" s="9" t="s">
        <v>13</v>
      </c>
      <c r="J6456" s="259"/>
    </row>
  </sheetData>
  <mergeCells count="1">
    <mergeCell ref="A1:J1"/>
  </mergeCells>
  <conditionalFormatting sqref="H6 H8:H11 H13:H15 H17 H29 H33:H35 H39:H40 H48 H52:H53 H57:H58 H60 H71 H73:H74 H77 H80 H82:H84 H86 H90 H92 H94 H96:H100 H102:H103 H111:H112 H115:H116 H118:H119 H121 H131 H156:H158 H160:H162 H166 H169 H173:H175 H179:H181 H183 H187:H190 H192:H197 H199:H202 H204 H208:H211 H215 H218 H222:H226 H228:H229 H231:H232 H235:H238 H241:H244 H246 H248:H249 H251:H256 H259:H262 H264 H267 H269 H274 H276 H278 H283:H284 H286:H295 H300 H305 H310 H312:H313 H319:H321 H329 H336:H338 H340:H341 H344 H346:H348 H360:H362 H364:H366 H373:H376 H378:H380 H382 H384:H388 H391 H393 H395 H397:H399 H401:H402 H407:H413 H418 H420 H424 H429 H432:H433 H437 H440:H441 H444:H446 H448:H449 H461:H462 H464:H466 H468:H469 H472:H475 H489:H490 H498:H499 H508 H516 H518 H522:H524 H528 H530:H531 H534 H544 H551:H552 H560:H565 H571:H574 H577:H578 H584 H588:H589 H591 H593:H595 H607 H619 H623 H631 H635 H641 H648:H649 H673:H674 H676 H681 H684 H686 H688 H690:H691 H695 H712 H715:H717 H719:H721 H746 H758 H760 H767:H769 H779 H791:H792 H823 H830 H836 H850:H851 H875:H877 H889 H891:H892 H925 H927 H931:H933 H935 H942 H961 H965 H968:H974 H976:H982 H1000 H1003:H1005 H1009:H1010 H1013 H1017 H1025 H1041:H1042 H1064 H1074 H1090:H1091 H1096:H1097 H1111 H1113:H1114 H1124 H1130 H1134 H1137:H1138 H1140:H1141 H1145 H1149:H1150 H1154:H1155 H1163:H1165 H1179 H1183 H1213 H1239:H1241 H1244:H1245 H1247:H1251 H1254:H1255 H1258:H1259 H1263 H1269 H1272:H1274 H1276:H1277 H1284 H1287 H1289 H1291 H1294 H1347 H1349 H1361 H1377 H1393 H1396:H1398 H1405:H1407 H1414 H1463:H1464 H1473 H1500 H1512 H1518:H1524 H1529 H1532 H1535:H1536 H1541:H1542 H1546:H1547 H1581 H1585 H1591 H1596 H1598 H1600 H1602 H1605 H1607 H1610 H1620 H1622 H1626:H1630 H1654:H1655 H1657 H1662:H1663 H1668:H1670 H1672:H1675 H1678 H1681 H1697 H1699:H1701 H1706:H1708 H1710 H1714 H1716:H1718 H1720 H1728 H1742 H1750 H1753:H1755 H1757:H1761 H1764:H1765 H1767 H1777 H1779 H1785 H1787 H1790 H1798:H1799 H1816:H1818 H1820:H1821 H1823:H1824 H1832 H1835 H1842:H1843 H1850:H1851 H1853:H1855 H1863:H1864 H1871:H1872 H1878:H1879 H1881 H1883 H1887 H1892:H1893 H1896 H1909 H1915 H1929 H1934:H1936 H1944 H1946:H1948 H1958 H1984 H1986:H1989 H1993 H2000:H2008 H2010 H2020:H2021 H2034 H2036:H2037 H2042 H2050:H2051 H2080 H2085:H2088 H2090:H2092 H2099:H2101 H2104 H2107:H2109 H2112:H2113 H2117:H2118 H2125:H2126 H2131 H2133 H2135 H2138:H2139 H2148 H2152 H2157 H2159 H2180:H2181 H2183 H2200 H2207">
    <cfRule type="containsText" dxfId="10" priority="1" operator="containsText" text="URGENT">
      <formula>NOT(ISERROR(SEARCH(("URGENT"),(H6))))</formula>
    </cfRule>
  </conditionalFormatting>
  <conditionalFormatting sqref="H6 H8:H11 H13:H15 H17:H24 H29 H33:H35 H39:H40 H48 H52:H55 H57:H58 H60:H71 H73:H74 H77 H80 H82:H90 H92 H94 H96:H100 H102:H103 H111:H116 H118:H119 H121 H123:H158 H160:H162 H166 H169 H173:H175 H179:H181 H183 H187:H197 H199:H202 H204 H208:H211 H215 H218 H222:H226 H228:H229 H231:H232 H235:H238 H241:H244 H246 H248:H249 H251:H256 H259:H262 H264 H267 H269 H274 H276 H278 H282:H284 H286:H295 H300:H302 H305:H307 H310 H312:H315 H317 H319:H321 H323 H326:H327 H329 H333:H334 H336:H341 H344 H346:H348 H350:H362 H364:H366 H373:H376 H378:H380 H382 H384:H391 H393 H395 H397:H399 H401:H402 H407:H418 H420 H422 H424 H428:H430 H432:H434 H437 H440:H441 H444:H446 H448:H449 H451 H454 H457:H462 H464:H470 H472:H476 H480:H485 H487:H493 H495:H496 H498:H500 H502:H508 H512 H514:H516 H518 H520 H522:H526 H528:H532 H534:H535 H537:H540 H542:H544 H546:H569 H571:H589 H591 H593:H596 H598 H600 H604:H605 H607 H609:H616 H619 H622:H629 H631 H635 H637:H638 H640:H642 H647:H651 H672:H674 H676 H679 H681 H683:H686 H688 H690:H691 H694:H704 H708 H710:H712 H715:H717 H719:H724 H728:H731 H733:H734 H736:H743 H746 H749 H754:H758 H760:H770 H772:H776 H779 H781 H786:H787 H789 H791:H793 H796:H797 H800:H801 H803:H806 H808:H809 H811 H816:H819 H823:H830 H836:H838 H842:H843 H849:H851 H856 H859:H860 H865 H868:H881 H885:H887 H889 H891:H899 H907:H909 H911:H923 H925:H927 H929 H931:H966 H968:H998 H1000 H1003:H1005 H1009:H1010 H1013 H1017 H1025:H1037 H1041:H1042 H1047:H1049 H1056:H1059 H1064:H1065 H1068:H1071 H1074 H1088:H1093 H1096:H1097 H1105 H1111 H1113:H1131 H1134:H1146 H1149:H1150 H1154:H1155 H1159:H1172 H1174:H1179 H1183 H1188:H1191 H1193 H1197:H1200 H1202:H1210 H1212:H1219 H1221 H1223:H1235 H1238:H1241 H1244:H1245 H1247:H1251 H1254:H1255 H1258:H1259 H1263 H1269 H1272:H1277 H1280:H1281 H1284:H1287 H1289 H1291:H1294 H1296 H1299:H1303 H1305:H1306 H1308:H1313 H1315:H1330 H1332 H1335 H1338 H1343 H1347:H1349 H1352 H1355:H1356 H1358 H1360:H1363 H1366 H1368 H1370:H1371 H1375:H1378 H1385:H1389 H1393:H1398 H1400 H1403:H1407 H1411:H1419 H1423 H1425:H1426 H1428:H1429 H1431:H1437 H1439:H1444 H1446:H1448 H1452 H1454:H1459 H1462:H1466 H1469 H1471:H1476 H1479:H1480 H1483 H1485 H1487 H1489 H1491:H1493 H1497 H1500 H1506:H1510 H1512:H1513 H1516:H1524 H1526:H1527 H1529 H1532 H1535:H1539 H1541:H1542 H1544:H1547 H1550:H1551 H1554:H1555 H1558:H1576 H1581 H1585 H1591 H1596 H1598 H1600 H1602 H1605 H1607 H1609:H1610 H1614:H1618 H1620 H1622 H1624:H1636 H1642:H1644 H1648:H1651 H1653:H1655 H1657:H1658 H1660:H1663 H1668:H1670 H1672:H1675 H1678 H1680:H1695 H1697:H1703 H1706:H1708 H1710 H1712 H1714 H1716:H1718 H1720 H1722 H1724 H1728 H1730:H1734 H1737:H1738 H1742 H1745:H1765 H1767 H1770 H1775 H1777 H1779:H1781 H1785 H1787 H1790:H1791 H1793:H1796 H1798:H1799 H1805:H1809 H1811 H1815:H1821 H1823:H1825 H1827:H1830 H1832 H1834:H1835 H1837 H1839 H1842:H1843 H1845:H1847 H1849:H1856 H1858 H1861:H1864 H1866:H1881 H1883:H1887 H1889:H1898 H1900 H1903:H1907 H1909 H1913:H1918 H1920:H1921 H1923 H1925 H1929 H1932 H1934:H1937 H1939 H1941:H1944 H1946:H1948 H1950:H1951 H1953 H1955:H1959 H1961:H1962 H1965:H1967 H1971:H1973 H1975:H1977 H1979:H1980 H1984 H1986:H1991 H1993:H1997 H2000:H2010 H2016:H2017 H2019:H2021 H2024 H2028 H2033:H2034 H2036:H2037 H2039:H2040 H2042 H2046:H2047 H2049:H2060 H2062:H2070 H2072 H2076 H2080:H2139 H2143 H2148 H2151:H2155 H2157 H2159:H2160 H2163 H2165 H2169:H2171 H2176:H2177 H2180:H2184 H2187 H2190:H2196 H2200 H2202:H2205 H2207 H2209:H2212 H2216 H2221:H2224 H2229:H2230 H2232:H2234 H2236 H2239:H2242 H2244 H2246 H2249:H2254 H2256 H2260 H2262:H2264 H2267 H2271:H2274 H2277:H2283 H2288 H2290:H2293 H2297 H2300:H2303 H2307:H2308 H2310 H2312:H2315 H2317:H2337 H2339:H2344 H2347:H2355 H2357 H2359:H2377 H2386:H2396 H2398 H2400:H2406 H2408 H2410:H2416 H2418:H2419 H2421 H2423:H2424 H2427:H2430 H2433:H2434 H2436:H2438 H2440:H2441 H2444 H2446:H2461 H2463 H2465:H2466 H2473 H2475 H2479:H2480 H2486:H2501 H2503:H2508 H2512:H2532 H2534 H2536:H2539 H2542:H2546 H2548 H2552 H2556 H2560:H2561 H2565 H2569:H2570 H2573:H2583 H2589 H2591:H2594 H2600:H2601 H2603:H2604 H2607:H2609 H2611 H2616:H2617 H2620 H2622:H2630 H2635 H2643 H2651:H2652 H2659 H2662:H2671 H2676:H2678 H2683 H2685:H2686 H2688:H2689 H2691:H2692 H2698:H2703 H2709:H2712 H2714:H2717 H2719:H2729 H2733:H2734 H2737:H2739 H2741:H2742 H2744 H2748 H2750:H2752 H2765:H2766 H2768:H2770 H2781 H2797:H2798 H2800:H2801 H2803 H2835:H2837 H2845:H2846 H2848:H2849 H2854:H2858 H2865:H2866 H2870:H2872 H2874 H2876:H2887 H2889 H2891 H2895 H2897:H2899 H2903 H2905:H2911 H2914:H2915 H2917:H2919 H2921:H2922 H2924 H2926:H2932 H2934:H2936 H2938:H2939 H2941:H2943 H2945:H2948 H2950:H2957 H2962 H2964:H2967 H2974:H2980 H2986 H2991 H2994:H2995 H2998:H2999 H3001 H3003 H3005:H3009 H3011:H3012 H3014 H3020:H3021 H3025 H3027 H3029:H3032 H3034:H3039 H3041 H3043 H3046 H3049 H3054 H3057 H3060 H3062:H3064 H3067:H3071 H3073 H3075 H3078:H3080 H3082:H3084 H3086:H3093 H3095:H3096 H3100:H3107 H3109 H3111:H3113 H3116 H3120 H3122:H3126 H3128 H3131:H3134 H3136:H3137 H3139:H3142 H3144:H3145 H3147:H3148 H3151:H3153 H3155 H3158:H3159 H3162 H3165:H3166 H3168:H3186 H3188:H3197 H3199:H3212 H3214:H3215 H3217:H3221 H3223:H3229 H3231:H3232 H3234 H3236:H3241 H3244:H3245 H3249:H3253 H3256:H3258 H3260 H3262 H3264:H3272 H3274:H3276 H3280:H3285 H3287:H3288 H3290 H3292:H3293 H3298:H3300 H3303 H3306:H3313 H3316 H3318:H3326 H3329:H3331 H3333 H3335 H3337:H3338 H3340:H3342 H3344:H3372 H3374 H3376:H3383 H3385:H3390 H3392:H3394 H3397 H3399:H3400 H3402:H3404 H3406 H3408:H3409 H3411:H3413 H3415:H3416 H3418 H3420 H3422 H3424:H3428 H3435:H3437 H3439:H3447 H3451 H3454 H3457:H3458 H3460:H3466 H3468:H3473 H3475:H3476 H3479:H3481 H3485:H3487 H3489:H3496 H3498:H3499 H3502:H3505 H3508:H3512 H3515 H3518 H3521 H3524 H3532 H3538:H3550 H3552 H3554:H3555 H3557 H3559:H3564 H3566:H3572 H3575:H3581 H3584 H3586:H3587 H3589:H3593 H3595 H3598:H3609 H3611:H3619 H3621:H3628 H3630:H3633 H3635:H3636 H3638:H3640 H3642:H3659 H3662:H3769 H3771:H3790 H3792:H4350">
    <cfRule type="containsText" dxfId="9" priority="2" operator="containsText" text="REPRISE DOSSIER CAROLE">
      <formula>NOT(ISERROR(SEARCH(("REPRISE DOSSIER CAROLE"),(H6))))</formula>
    </cfRule>
  </conditionalFormatting>
  <conditionalFormatting sqref="B4600">
    <cfRule type="expression" dxfId="1" priority="3">
      <formula>#REF!="Stand-by"</formula>
    </cfRule>
  </conditionalFormatting>
  <conditionalFormatting sqref="B4600">
    <cfRule type="expression" dxfId="4" priority="4">
      <formula>#REF!="Sur T.L."</formula>
    </cfRule>
  </conditionalFormatting>
  <conditionalFormatting sqref="G3:G307 G309:G454 G456:G569 H461 G571:G838 G840:G909 G911:G923 G925:G929 G931:G966 G968:G1065 G1067:G1131 G1133:G1210 G1212:G1219 G1221:G1303 G1305:G1336 G1338:G1426 H1414 G1428:G1429 G1431:G1476 G1478:G1480 G1482:G1485 G1487 G1489 G1491:G1493 G1497:G1510 G1512:G1513 G1516:G1651 G1653:G1658 G1660:G1724 H1668 G1726:G1734 G1736:G1770 G1772:G1825 G1827:G1835 G1837 G1839:G1918 G1920:G1921 G1923:G2021 G2023:G2028 G2030:G2060 G2062:G2165 G2167:G2224 G2227:G2254 G2256 G2258:G2274 G2277:G2283 G2285:G2396 G2398 G2400:G2461 G2463:G2671 G2673:G2729 G2733:G2742 G2744 G2748 G2750:G2932 G2934:G3186 G3188:G3234 G3236:G3272 G3274:G3331 G3333:G3406 G3408:G3481 G3483:G3496 G3498:G3512 G3514:G3619 G3621:G3628 G3630:G3660 G3662:G3769 G3771:G3790 G3792:G4396 H4346 G4399:G4496 G4504 G4507:G4529 G4532 G4534 G4548:G4569 G4571:G4575 G4577:G4586 G4588 G4590:G4595 G4597:G4599 G4602:G4604 G4606:G4609 G4611:G4614">
    <cfRule type="cellIs" dxfId="8" priority="5" operator="equal">
      <formula>"Mairie"</formula>
    </cfRule>
  </conditionalFormatting>
  <conditionalFormatting sqref="F6 F8:F11 F13:F15 F17:F24 F29 F33:F35 F39:F40 F48 F52:F55 F57:F58 F60:F71 F73:F74 F77 F80 F82:F90 F92 F94 F96:F100 F102:F103 F111:F116 F118:F119 F121 F123:F158 F160:F162 F166 F169 F173:F175 F179:F181 F183 F187:F197 F199:F202 F204 F208:F211 F215 F218 F222:F226 F228:F229 F231:F232 F235:F238 F241:F244 F246 F248:F249 F251:F256 F259:F262 F264 F267 F269 F274 F276 F278 F282:F284 F286:F295 F300:F302 F305:F307 F310 F312:F315 F317 F319:F323 F326:F327 F329 F333:F334 F336:F341 F344 F346:F348 F350:F362 F364:F366 F373:F376 F378:F380 F382 F384:F391 F393 F395 F397:F399 F401:F402 F407:F418 F420 F422 F424 F428:F430 F432:F434 F437 F440:F441 F444:F446 F448:F449 F451 F454 F457:F462 F464:F470 F472:F476 F480:F485 F487:F493 F495:F496 F498:F500 F502:F508 F512 F514:F516 F518 F520 F522:F526 F528:F532 F534:F535 F537:F540 F542:F544 F546:F569 F571:F589 F591 F593:F596 F598 F600 F604:F605 F607 F609:F616 F619 F622:F629 F631 F635 F637:F638 F640:F642 F647:F651 F672:F674 F676 F679 F681 F683:F686 F688 F690:F691 F694:F704 F708 F710:F712 F715:F717 F719:F724 F728:F731 F733:F734 F736:F743 F746 F749 F754:F758 F760:F770 F772:F776 F779 F781 F786:F787 F789 F791:F793 F796:F797 F800:F801 F803:F806 F808:F809 F811 F816:F819 F823:F830 F836:F838 F842:F843 F849:F851 F856 F859:F860 F865 F868:F881 F885:F887 F889 F891:F899 F907:F909 F911:F923 F925:F927 F929 F931:F966 F968:F998 F1000 F1003:F1005 F1009:F1010 F1013 F1017 F1025:F1037 F1041:F1042 F1047:F1049 F1056:F1059 F1064:F1065 F1068:F1071 F1074 F1088:F1093 F1096:F1097 F1105 F1111 F1113:F1131 F1134:F1146 F1149:F1150 F1154:F1155 F1159:F1172 F1174:F1179 F1183 F1188:F1191 F1193 F1197:F1200 F1202:F1210 F1212:F1219 F1221 F1223:F1235 F1238:F1241 F1244:F1245 F1247:F1251 F1254:F1255 F1258:F1259 F1263 F1269 F1272:F1277 F1280:F1281 F1284:F1287 F1289 F1291 F1294 F1296 F1299:F1303 F1305:F1313 F1315:F1330 F1332 F1335 F1338 F1343 F1347:F1349 F1352 F1355:F1356 F1358 F1360:F1363 F1366 F1368 F1370:F1371 F1375:F1378 F1385:F1389 F1393:F1398 F1400 F1403:F1407 F1411:F1419 F1423 F1425:F1426 F1428:F1429 F1431:F1437 F1439:F1444 F1446:F1448 F1452 F1454:F1459 F1462:F1466 F1469 F1471:F1476 F1479:F1480 F1483 F1485 F1487 F1489 F1491:F1493 F1497 F1500 F1506:F1510 F1512:F1513 F1516:F1524 F1526:F1527 F1529 F1532 F1535:F1539 F1541:F1542 F1544:F1547 F1550:F1551 F1554:F1555 F1558:F1576 F1581 F1585 F1591 F1596 F1598 F1600 F1602 F1605 F1607 F1609:F1610 F1614:F1618 F1620 F1622 F1624:F1636 F1642:F1644 F1648:F1651 F1653:F1655 F1657:F1658 F1660:F1663 F1668:F1670 F1672:F1675 F1678 F1680:F1695 F1697:F1703 F1706:F1708 F1710 F1714 F1716:F1718 F1720 F1722 F1724 F1728 F1730:F1734 F1737:F1738 F1742 F1745:F1747 F1750:F1765 F1767 F1775 F1777 F1779:F1781 F1785 F1787 F1790:F1791 F1793 F1798:F1799 F1805:F1809 F1811 F1815:F1821 F1823:F1825 F1827:F1830 F1832 F1834:F1835 F1837 F1839 F1842:F1843 F1845:F1847 D1849 F1849:F1855 F1861 F1863:F1864 F1866:F1879 F1881 F1883 F1885 F1887 F1889:F1893 F1895:F1898 F1900 F1903:F1907 F1909 F1913:F1915 F1925 F1929 F1932 F1934:F1937 F1939 F1941 F1943:F1944 F1946:F1948 F1950 F1953 F1955 F1958:F1959 F1961:F1962 F1971:F1973 F1975:F1977 F1979 F1984 F1986:F1990 F1993 F1996:F1997 F2000:F2010 F2016:F2017 F2019:F2021 F2024 F2028 F2033:F2034 F2036:F2037 F2042 F2050:F2060 F2062:F2067 F2080 F2083:F2094 F2096:F2097 F2099:F2101 F2103:F2118 D2106 F2122:F2123 F2125:F2126 F2131 F2133 F2135 F2138:F2139 F2148 F2152 F2157 F2159:F2160 D2163 F2163 F2165 F2169:F2171 F2180:F2183 F2187 F2190:F2194 F2196 F2200 F2202:F2204 F2207 F2210:F2211 F2232:F2234 D2233 F2236 F2239 F2242 F2246 F2249:F2254 D2250:D2251 D2253:D2254 F2256 F2260 F2262:F2263 F2267 D2271:D2273 F2271:F2274 F2277:F2283 F2288 F2290:F2291 F2293 F2297 F2307:F2308 F2310 F2312:F2315 F2319:F2332 F2336:F2337 F2339:F2342 F2344 F2347:F2350 F2352:F2355 F2357 F2359:F2376 F2387:F2395 F2400:F2404 F2408 F2410 F2414:F2416 F2418:F2419 F2423:F2424 F2427 F2429 F2433:F2434 F2438 F2440:F2441 F2444 F2446:F2450 F2452:F2458 F2463 F2465:F2466 F2473 F2486:F2489 F2491:F2493 F2503:F2507 F2512:F2529 F2536:F2539 F2542:F2543 F2545:F2546 F2552 F2556 F2560:F2561 F2565 F2569:F2570 F2573:F2578 F2580 F2582 F2589 F2591:F2594 F2600:F2601 F2603:F2604 F2607:F2608 F2611 F2617 F2620 F2622 F2624 F2627:F2628 F2635 F2643 F2651:F2652 F2662:F2671 F2676:F2678 F2685:F2686 F2689 F2700:F2701 F2703 F2709:F2712 F2714 F2716:F2717 F2719 F2721:F2729 F2733:F2734 F2738:F2739 F2741:F2742 F2744 F2748 F2750:F2751 F2766 F2803 F2835 F2837 F2845:F2846 F2856:F2857 F2866 F2874 F2876:F2887 F2889 F2891 F2897:F2899 F2905:F2907 F2910:F2911 F2914:F2915 F2918:F2919 F2921:F2922 F2926:F2927 F2931 F2934:F2935 F2938 F2943 F2945:F2946 F2948 F2950:F2953 F2955:F2956 F2964:F2967 F2975:F2980 F2986 F2991 F2995 F2999 F3003 F3007 F3011:F3012 F3014 F3020 F3025 F3027 F3029:F3030 F3032 F3034:F3035 F3037:F3038 F3041 F3043 F3046 F3054 F3060 F3062:F3064 F3067:F3069 F3071 F3073 F3075 F3078:F3080 F3082:F3084 F3086:F3089 F3091 F3093 F3100:F3107 F3109 F3112:F3113 F3116 F3120 F3124:F3125 F3128 F3131:F3134 F3136:F3137 F3144:F3145 F3147:F3148 F3152 F3155 F3158 F3162 F3166 F3168:F3169 F3171:F3173 F3176:F3181 F3183:F3184 F3186 F3188:F3189 F3191:F3193 F3195:F3197 F3199:F3212 F3214:F3215 F3217:F3221 F3224:F3229 F3236:F3241 F3244:F3245 F3249 F3251 F3256 F3258 F3264:F3272 F3274:F3276 F3280:F3281 F3283 F3285 F3290 F3292 F3298 F3303 F3306:F3307 F3309:F3313 F3316 F3318:F3319 F3321:F3324 F3329:F3331 F3333 F3335 F3337:F3338 F3340 F3342 F3344:F3346 F3348:F3356 F3358:F3367 F3369:F3371 F3374 F3376:F3377 F3379:F3383 F3385 F3389:F3390 F3392:F3394 F3399:F3400 F3402:F3404 F3409 F3415:F3416 F3418 F3420 F3422 F3424:F3427 F3435:F3437 F3439:F3440 F3442:F3445 F3454 F3458 F3460:F3466 F3468 F3475:F3476 F3479:F3481 F3485 F3487 F3491:F3492 F3496 F3498:F3499 F3502:F3505 F3508:F3512 F3515 F3518 F3521 F3524 F3538:F3540 F3542 F3544 F3546:F3550 F3552 F3554 F3559:F3562 F3564 F3566:F3568 F3570:F3572 F3575:F3576 F3579:F3581 F3584 F3586:F3587 F3589 F3593 F3595 F3598:F3608 F3611 F3617 F3619 F3621:F3624 F3626:F3628 F3630 F3632 F3635 F3638 F3643:F3646 F3649 F3651:F3652 F3655:F3659 F3662:F3664 F3668:F3670 F3673:F3674 F3676:F3677 F3679:F3682 F3684:F3690 F3693:F3697 F3699:F3700 F3702:F3711 F3717:F3718 F3729:F3733 F3735:F3737 F3740:F3758 F3762:F3766 F3773:F3783 F3786:F3789 F3793:F3796 F3800:F3809 F3814:F3820 F3826:F3844 F3847:F3851 F3856:F3888 F3890:F3895 F3898 F3901 F3903:F3907 F3911:F3926 F3928:F3938 F3940:F3944 F3946:F3948 F3950 F3953:F3954 F3956:F3961 F3963 F3966:F3970 F3974:F3977 F3980:F3988 F3990 F3992:F4003 F4005:F4010 F4012:F4024 F4027:F4044 F4049:F4053 F4055:F4057 F4059:F4061 F4063:F4064 F4066:F4085 F4087 F4089 F4092:F4095 F4099:F4100 F4102:F4109 F4112 F4114:F4115 F4118:F4120 F4122:F4126 F4128:F4134 F4136:F4138 F4140:F4158 F4160:F4166 F4169 F4171:F4172 F4174 F4176:F4178 F4180 F4183:F4190 F4192:F4194 F4203:F4211 F4214:F4224 F4226:F4227 F4229:F4233 F4243:F4245 F4247:F4260 F4263:F4273 F4275:F4276 F4278:F4295 F4299:F4300 F4303:F4307 F4310:F4313 F4315:F4319 F4321:F4328 F4330:F4338 F4340:F4343 F4346:F4349 F4352 F4357:F4361 F4363:F4364 F4366 F4369:F4381 F4383 F4386:F4392 F4399 F4401:F4404 F4406 F4408:F4409 F4411:F4426 F4428:F4429 F4432 F4437:F4439 F4441:F4442 F4446:F4452 F4454:F4457 F4459:F4463 F4465 F4467:F4468 F4471:F4472 F4475 F4477:F4482 F4484:F4486 F4488:F4491 F4494:F4496 F4508:F4510 F4514:F4517 F4519 F4527 F4534 F4548:F4549 F4554 F4561:F4563 F4567:F4569 F4571:F4572 F4575 F4577:F4584 F4586 F4588 F4591:F4595 F4597:F4599 F4602:F4604 F4606:F4608 F4611:F4614 F4617:F4618 F4621 F4623:F4628">
    <cfRule type="timePeriod" dxfId="6" priority="6" timePeriod="today"/>
  </conditionalFormatting>
  <conditionalFormatting sqref="F3:F5 F7 F16 F25:F28 F30:F32 F37:F38 F41:F47 F49:F51 F56 F59 F72 F75:F76 F78:F79 F81 F91 F93 F95 F101 F104:F110 F117 F120 F122 F159 F163:F165 F167:F168 F170:F172 F176:F178 F182 F184:F186 F198 F203 F205:F207 F212:F214 F216:F217 F219:F221 F227 F230 F233:F234 F239:F240 F245 F247 F250 F257:F258 F263 F265:F266 F268 F270:F273 F275 F277 F279:F281 F285 F296:F299 F303:F304 F309 F311 F316 F318 F324:F325 F328 F330:F332 F335 F342:F343 F345 F349 F363 F367:F372 F377 F381 F383 F392 F394 F396 F400 F403:F406 F419 F421 F423 F425:F427 F431 F435:F436 F438:F439 F442:F443 F447 F450 F452:F453 F456 F463 F471 F477:F479 F486 F494 F497 F501 F509:F511 F513 F517 F519 F521 F527 F533 F536 F541 F545 F590 F592 F597 F599 F601:F603 F606 F608 F617:F618 F620:F621 F630 F632:F634 F636 F639 F643:F646 F652:F671 F675 F677:F678 F680 F682 F687 F689 F692:F693 F704:F707 F709 F713:F714 F718 F725:F727 F732:F733 F735 F744:F745 F747:F748 F750:F753 F759 F771 F777:F778 F780 F782:F785 F788 F790 F794:F795 F798:F799 F802 F807 F810 F812:F815 F820:F822 F831:F835 F840:F841 F844:F848 F852:F855 F857:F858 F861:F864 F866:F867 F881:F884 F888 F890 F893:F894 F900:F906 F908 F928 F960 F975 F999 F1001:F1002 F1006:F1008 F1011:F1012 F1014:F1016 F1018:F1024 F1029:F1030 F1032 F1038:F1040 F1043:F1046 F1050:F1055 F1060:F1063 F1067 F1072:F1073 F1075:F1087 F1094:F1095 F1098:F1104 F1106:F1110 F1112 F1133 F1147:F1148 F1151:F1153 F1156:F1158 F1172:F1173 F1180:F1182 F1184:F1187 F1190:F1192 F1194:F1196 F1201 F1203 F1222 F1236:F1237 F1242:F1243 F1246 F1252:F1253 F1256:F1257 F1260:F1262 F1264:F1268 F1270:F1271 F1278:F1279 F1282:F1283 F1288 F1290 F1292:F1293 F1295 F1297:F1301 F1314 F1331 F1333:F1334 F1336 F1339:F1342 F1344:F1346 F1350:F1351 F1353:F1354 F1357 F1359 F1364:F1365 F1367 F1369 F1372:F1374 F1379:F1384 F1390:F1392 F1399 F1401:F1402 F1408:F1410 F1420:F1422 F1424 F1438 F1445 F1449:F1451 F1453 F1460:F1461 F1467:F1468 F1470 F1478 F1482 F1484 F1498:F1499 F1501:F1505 F1525 F1528 F1530:F1531 F1533:F1534 F1540 F1543 F1548:F1549 F1552:F1553 F1556:F1557 F1577:F1580 F1582:F1584 F1586:F1590 F1592:F1595 F1597 F1599 F1601 F1603:F1604 F1606 F1608 F1611:F1613 F1619 F1621 F1623 F1637:F1641 F1645:F1647 F1656 F1664:F1667 F1671 F1676:F1677 F1679 F1696 F1704:F1705 F1709 F1711:F1713 F1715 F1719 F1721 F1723 F1726:F1727 F1729 F1736 F1739:F1741 F1743:F1744 F1748:F1749 F1766 F1768:F1770 F1772:F1774 F1776 F1778 F1782:F1784 F1786 F1788:F1789 F1792 F1794:F1797 F1800:F1804 F1810 F1812:F1814 F1822 F1831 F1833 F1840:F1841 F1844 F1848 F1856:F1860 F1862 F1865 F1880 F1882 F1884 F1886 F1888 F1894 F1899 F1901:F1902 F1908 F1910:F1912 F1916:F1918 F1920:F1921 F1923:F1924 F1926:F1928 F1930:F1931 F1933 F1938 F1940 F1942 F1945 F1949 F1951:F1952 F1954 F1956:F1957 F1960 F1963:F1970 F1974 F1978 F1980:F1983 F1985 F1991:F1992 F1994:F1995 F1998:F1999 F2011:F2015 F2018 F2023 F2025:F2027 F2030:F2032 F2035 F2038:F2041 F2043:F2049 F2068:F2079 F2081:F2082 F2095 F2098 F2102 F2119:F2121 F2124 F2127:F2130 F2132 F2134 F2136:F2137 F2140:F2147 F2149:F2151 F2153:F2156 F2158 F2161:F2162 F2164 F2167:F2168 F2172:F2179 F2184:F2186 F2188:F2189 F2195 F2197:F2199 F2201 F2205:F2206 F2208:F2209 F2212:F2224 F2227:F2231 F2235 F2237:F2238 F2240:F2241 F2243:F2245 F2247:F2248 F2258:F2259 F2261 F2264:F2266 F2268:F2270 F2285:F2287 F2289 F2292 F2294:F2296 F2298:F2306 F2309 F2311 F2316:F2318 F2333:F2335 F2338 F2343 F2345:F2346 F2351 F2356 F2358 F2377:F2386 F2396 F2398 F2405:F2407 F2409 F2411:F2413 F2417 F2420:F2422 F2425:F2426 F2428 F2430:F2432 F2435:F2437 F2439 F2442:F2443 F2445 F2451 F2459:F2461 F2464 F2467:F2472 F2474:F2485 F2490 F2494:F2502 F2508:F2511 F2530:F2535 F2540:F2541 F2544 F2547:F2551 F2553:F2555 F2557:F2559 F2562:F2564 F2566:F2568 F2571:F2572 F2579 F2581 F2583:F2588 F2590 F2595:F2599 F2602 F2605:F2606 F2609:F2610 F2612:F2616 F2618:F2619 F2621 F2623 F2625:F2626 F2629:F2634 F2636:F2642 F2644:F2650 F2653:F2661 F2673:F2675 F2679:F2684 F2687:F2688 F2690:F2699 F2702 F2704:F2708 F2713 F2715 F2718 F2720 F2735:F2737 F2740 F2752:F2765 F2767:F2802 F2804:F2834 F2836 F2838:F2844 F2847:F2855 F2858:F2865 F2867:F2873 F2875 F2888 F2890 F2892:F2896 F2900:F2904 F2908:F2909 F2912:F2913 F2916:F2917 F2920 F2923:F2925 F2928:F2930 F2932 F2936:F2937 F2939:F2942 F2944 F2947 F2949 F2954 F2957:F2963 F2968:F2974 F2981:F2985 F2987:F2990 F2992:F2994 F2996:F2998 F3000:F3002 F3004:F3006 F3008:F3010 F3013 F3015:F3019 F3021:F3024 F3026 F3028 F3031 F3033 F3036 F3039:F3040 F3042 F3044:F3045 F3047:F3053 F3055:F3059 F3061 F3065:F3066 F3070 F3072 F3074 F3076:F3077 F3081 F3085 F3090 F3092 F3094:F3099 F3106:F3108 F3110:F3111 F3114:F3119 F3121:F3123 F3126:F3127 F3129:F3130 F3135 F3138:F3143 F3146 F3149:F3157 F3159:F3161 F3163:F3165 F3167 F3170 F3174:F3175 F3182 F3185 F3190 F3194:F3195 F3198 F3213 F3216 F3222:F3223 F3230:F3234 F3242:F3243 F3246:F3248 F3250 F3252:F3255 F3257 F3259:F3263 F3277:F3279 F3282 F3284 F3286:F3289 F3291 F3293:F3297 F3299:F3302 F3304:F3305 F3308 F3313:F3317 F3320 F3325:F3328 F3334 F3336 F3339 F3341 F3343 F3347 F3350 F3357:F3358 F3368 F3372:F3373 F3375 F3377:F3378 F3384 F3386:F3388 F3391:F3392 F3395:F3398 F3401 F3405:F3406 F3408 F3410:F3415 F3417 F3419 F3421 F3423 F3428:F3434 F3438 F3441 F3446:F3453 F3455:F3457 F3459 F3467 F3469:F3474 F3477:F3478 F3483:F3486 F3488:F3490 F3493:F3495 F3500:F3501 F3506:F3507 F3514 F3516:F3517 F3519:F3520 F3522:F3523 F3525:F3537 F3541 F3543 F3545 F3551 F3553 F3555:F3558 F3563 F3565 F3569 F3573:F3578 F3582:F3583 F3585 F3588 F3590:F3592 F3594 F3596:F3597 F3609:F3610 F3612:F3616 F3618 F3623:F3625 F3631 F3633:F3634 F3636:F3637 F3639:F3642 F3647:F3648 F3650 F3653:F3654 F3660 F3665:F3667 F3671:F3672 F3675 F3678 F3682:F3683 F3691:F3692 F3698 F3701 F3706 F3712:F3716 F3719:F3728 F3734 F3738:F3739 F3759:F3761 F3767:F3769 F3771:F3772 F3784:F3785 F3790 F3792 F3797:F3799 F3810:F3813 F3821:F3825 F3845:F3846 F3852:F3855 F3889 F3896:F3897 F3899:F3900 F3902 F3908:F3910 F3927 F3939 F3945 F3949 F3951:F3952 F3955 F3962 F3964:F3965 F3971:F3973 F3978:F3979 F3989 F3991 F4004 F4011 F4025:F4026 F4045:F4048 F4054 F4058 F4062 F4065 F4086 F4088 F4090:F4091 F4096:F4098 F4101 F4110:F4111 F4113 F4116:F4117 F4121 F4127 F4135 F4139 F4159 F4167:F4168 F4170 F4173 F4175 F4179 F4181:F4182 F4191 F4195:F4202 F4212:F4213 F4225 F4228 F4234:F4242 F4246 F4261:F4262 F4274 F4277 F4296:F4298 F4301:F4302 F4308:F4309 F4314 F4320 F4329 F4339 F4344:F4345 F4350:F4351 F4353:F4356 F4362 F4365 F4367:F4368 F4382 F4384:F4385 F4393:F4396 F4400 F4405 F4407 F4410 F4427 F4430:F4431 F4433:F4436 F4440 F4443:F4445 F4453 F4458 F4464 F4466 F4469:F4470 F4473:F4474 F4476 F4483 F4487 F4492:F4493 F4497:F4507 F4511:F4513 F4518 F4520:F4526 F4528:F4533 F4535:F4542 F4544 F4546:F4547 F4550:F4553 F4555:F4560 F4564:F4566 F4570 F4573:F4574 F4576 F4585 F4587 F4589:F4590 F4596 F4600:F4601 F4605 F4609:F4610 F4615:F4616 F4619:F4620 F4622 F4629:F4630">
    <cfRule type="timePeriod" dxfId="11" priority="7" timePeriod="today"/>
  </conditionalFormatting>
  <conditionalFormatting sqref="F3:F11 F13:F35 F37:F307 F309:F454 F456:F569 F571:F838 F840:F909 F911:F923 F925:F929 F931:F966 F968:F1065 F1067:F1131 F1133:F1210 F1212:F1219 F1221:F1303 F1305:F1336 F1338:F1426 F1428:F1429 F1431:F1476 F1478:F1480 F1482:F1485 F1487 F1489 F1491:F1493 F1497:F1510 F1512:F1513 F1516:F1651 F1653:F1658 F1660:F1724 F1726:F1734 F1736:F1770 F1772:F1825 F1827:F1835 F1837 F1839:F1918 D1849 F1920:F1921 F1923:F2021 F2023:F2028 F2030:F2060 F2062:F2165 D2106 D2163 F2167:F2224 F2227:F2254 D2233 D2250:D2251 D2253:D2254 F2256 F2258:F2274 D2271:D2273 F2277:F2283 F2285:F2396 F2398 F2400:F2461 F2463:F2671 F2673:F2729 F2733:F2742 F2744 F2748 F2750:F2932 F2934:F3186 F3188:F3234 F3236:F3272 F3274:F3331 F3333:F3406 F3408:F3481 F3483:F3496 F3498:F3512 F3514:F3619 F3621:F3628 F3630:F3660 F3662:F3769 F3771:F3790 F3792:F4396 F4399:F4542 F4544 F4546:F4630">
    <cfRule type="expression" dxfId="7" priority="8">
      <formula>AND(ISNUMBER(F3),TRUNC(F3)&lt;TODAY())</formula>
    </cfRule>
  </conditionalFormatting>
  <conditionalFormatting sqref="G3:G307 G309:G454 G456:G569 H461 G571:G838 G840:G909 G911:G923 G925:G929 G931:G966 G968:G1065 G1067:G1131 G1133:G1210 G1212:G1219 G1221:G1303 G1305:G1336 G1338:G1426 H1414 G1428:G1429 G1431:G1476 G1478:G1480 G1482:G1485 G1487 G1489 G1491:G1493 G1497:G1510 G1512:G1513 G1516:G1651 G1653:G1658 G1660:G1724 H1668 G1726:G1734 G1736:G1770 G1772:G1825 G1827:G1835 G1837 G1839:G1918 G1920:G1921 G1923:G2021 G2023:G2028 G2030:G2060 G2062:G2165 G2167:G2224 G2227:G2254 G2256 G2258:G2274 G2277:G2283 G2285:G2396 G2398 G2400:G2461 G2463:G2671 G2673:G2729 G2733:G2742 G2744 G2748 G2750:G2932 G2934:G3186 G3188:G3234 G3236:G3272 G3274:G3331 G3333:G3406 G3408:G3481 G3483:G3496 G3498:G3512 G3514:G3619 G3621:G3628 G3630:G3660 G3662:G3769 G3771:G3790 G3792:G4396 H4346 G4399:G4497 G4504 G4507:G4529 G4532:G4534 G4539:G4540 G4548:G4634 G4636:G4655 G4658:G4673 G4675:G4689 G4691:G4692 G4694:G4729 G4732:G4744 G4748:G4750 G4752:G4755 G4765 G4767:G4780 G4782:G4940 G4942:G4943 G4961:G4999">
    <cfRule type="cellIs" dxfId="5" priority="9" operator="equal">
      <formula>"Attente R."</formula>
    </cfRule>
  </conditionalFormatting>
  <conditionalFormatting sqref="G3:G307 B6:F6 H6 B8:F11 H8:H11 B13:F15 H13:H15 B17:F24 H17:H24 B29:F29 H29 B33:F35 H33:H35 B39:F40 H39:H40 B48:F48 H48 B52:F55 H52:H55 B57:F58 H57:H58 B60:F71 H60:H71 B73:F74 H73:H74 B77:F77 H77 B80:F80 H80 B82:F90 H82:H90 B92:F92 H92 B94:F94 H94 B96:F100 H96:H100 B102:F103 H102:H103 B111:F116 H111:H116 B118:F119 H118:H119 B121:F121 H121 B123:F158 H123:H158 B160:F162 H160:H162 B166:F166 H166 B169:F169 H169 B173:F175 H173:H175 B179:F181 H179:H181 B183:F183 H183 B187:F197 H187:H197 B199:F202 H199:H202 B204:F204 H204 B208:F211 H208:H211 B215:F215 H215 B218:F218 H218 B222:F226 H222:H226 B228:F229 H228:H229 B231:F232 H231:H232 B235:F238 H235:H238 B241:F244 H241:H244 B246:F246 H246 B248:F249 H248:H249 B251:F256 H251:H256 B259:F262 H259:H262 B264:F264 H264 B267:F267 H267 B269:F269 H269 B274:F274 H274 B276:F276 H276 B278:F278 H278 B282:F284 H282:H284 B286:F295 H286:H295 B300:F302 H300:H302 B305:F307 H305:H307 G309:G454 B310:F310 H310 B312:F315 H312:H315 B317:F317 H317 B319:F323 H319:H323 B326:F327 H326:H327 B329:F329 H329 B333:F334 H333:H334 B336:F341 H336:H341 B344:F344 H344 B346:F348 H346:H348 B350:F362 H350:H362 B364:F366 H364:H366 B373:F376 H373:H376 B378:F380 H378:H380 B382:F382 H382 B384:F391 H384:H391 B393:F393 H393 B395:F395 H395 B397:F399 H397:H399 B401:F402 H401:H402 B407:F418 H407:H418 B420:F420 H420 B422:F422 H422 B424:F424 H424 B428:F430 H428:H430 B432:F434 H432:H434 B437:F437 H437 B440:F441 H440:H441 B444:F446 H444:H446 B448:F449 H448:H449 B451:F451 H451 B454:F454 H454 G456:G569 B457:F462 H457:H462 B464:F470 H464:H470 B472:F476 H472:H476 B480:F485 H480:H485 B487:F493 H487:H493 B495:F496 H495:H496 B498:F500 H498:H500 B502:F508 H502:H508 B512:F512 H512 B514:F516 H514:H516 B518:F518 H518 B520:F520 H520 B522:F526 H522:H526 B528:F532 H528:H532 B534:F535 H534:H535 B537:F540 H537:H540 B542:F544 H542:H544 B546:F569 H546:H569 B571:F589 G571:G838 H571:H589 B591:F591 H591 B593:F596 H593:H596 B598:F598 H598 B600:F600 H600 B604:F605 H604:H605 B607:F607 H607 B609:F616 H609:H616 B619:F619 H619 B622:F629 H622:H629 B631:F631 H631 B635:F635 H635 B637:F638 H637:H638 B640:F642 H640:H642 B647:F651 H647:H651 B672:F674 H672:H674 B676:F676 H676 B679:F679 H679 B681:F681 H681 B683:F686 H683:H686 B688:F688 H688 B690:F691 H690:H691 B694:F704 H694:H704 B708:F708 H708 B710:F712 H710:H712 B715:F717 H715:H717 B719:F724 H719:H724 B728:F731 H728:H731 B733:F734 H733:H734 B736:F743 H736:H743 B746:F746 H746 B749:F749 H749 B754:F758 H754:H758 B760:F770 H760:H770 B772:F776 H772:H776 B779:F779 H779 B781:F781 H781 B786:F787 H786:H787 B789:F789 H789 B791:F793 H791:H793 B796:F797 H796:H797 B800:F801 H800:H801 B803:F806 H803:H806 B808:F809 H808:H809 B811:F811 H811 B816:F819 H816:H819 B823:F830 H823:H830 B836:F838 H836:H838 G840:G909 B842:F843 H842:H843 B849:F851 H849:H851 B856:F856 H856 B859:F860 H859:H860 B865:F865 H865 B868:F881 H868:H881 B885:F887 H885:H887 B889:F889 H889 B891:F899 H891:H899 B907:F909 H907:H909 B911:H923 B925:F927 G925:G929 H925:H927 B929:F929 H929 B931:H966 B968:F998 G968:G1065 H968:H998 B1000:F1000 H1000 B1003:F1005 H1003:H1005 B1009:F1010 H1009:H1010 B1013:F1013 H1013 B1017:F1017 H1017 B1025:F1037 H1025:H1037 B1041:F1042 H1041:H1042 B1047:F1049 H1047:H1049 B1056:F1059 H1056:H1059 B1064:F1065 H1064:H1065 G1067:G1131 B1068:F1071 H1068:H1071 B1074:F1074 H1074 B1088:F1093 H1088:H1093 B1096:F1097 H1096:H1097 B1105:F1105 H1105 B1111:F1111 H1111 B1113:F1131 H1113:H1131 G1133:G1210 B1134:F1146 H1134:H1146 B1149:F1150 H1149:H1150 B1154:F1155 H1154:H1155 B1159:D1172 E1159:E1179 F1159:F1172 H1159:H1172 B1174:D1179 F1174:F1179 H1174:H1179 B1183:F1183 H1183 B1188:F1191 H1188:H1191 B1193:F1193 H1193 E1195:E1200 B1197:D1200 F1197:F1200 H1197:H1200 B1202:F1210 H1202:H1210 B1212:H1219 B1221:F1221 G1221:G1303 H1221 B1223:D1235 E1223:E1251 F1223:F1235 H1223:H1235 B1238:D1241 F1238:F1241 H1238:H1241 B1244:D1245 F1244:F1245 H1244:H1245 B1247:D1251 F1247:F1251 H1247:H1251 B1254:D1255 E1254:E1265 F1254:F1255 H1254:H1255 B1258:D1259 F1258:F1259 H1258:H1259 B1263:D1263 F1263 H1263 E1267:E1287 B1269:D1269 F1269 H1269 B1272:D1277 F1272:F1277 H1272:H1277 B1280:D1281 F1280:F1281 H1280:H1281 B1284:D1287 F1284:F1287 H1284:H1287 B1289:D1289 E1289:E1303 F1289 H1289 B1291:D1294 F1291:F1294 H1291:H1294 B1296:D1296 F1296 H1296 B1299:D1303 F1299:F1303 H1299:H1303 B1305:D1313 E1305:E1333 F1305:F1313 G1305:G1336 H1305:H1313 B1315:D1330 F1315:F1330 H1315:H1330 B1332:D1332 F1332 H1332 B1335:D1335 E1335:E1336 F1335 H1335 B1338:F1338 G1338:G1426 H1338 E1340:E1344 B1343:D1343 F1343 H1343 E1346:E1353 B1347:D1349 F1347:F1349 H1347:H1349 B1352:D1352 F1352 H1352 B1355:D1356 E1355:E1372 F1355:F1356 H1355:H1356 B1358:D1358 F1358 H1358 B1360:D1363 F1360:F1363 H1360:H1363 B1366:D1366 F1366 H1366 B1368:D1368 F1368 H1368 B1370:D1371 F1370:F1371 H1370:H1371 B1375:F1378 H1375:H1378 E1381 E1384:E1426 B1385:D1389 F1385:F1389 H1385:H1389 B1393:D1398 F1393:F1398 H1393:H1398 B1400:D1400 F1400 H1400 B1403:D1407 F1403:F1407 H1403:H1407 B1411:D1419 F1411:F1419 H1411:H1419 B1423:D1423 F1423 H1423 B1425:D1426 F1425:F1426 H1425:H1426 B1428:H1429 B1431:D1437 E1431:E1476 F1431:F1437 G1431:G1476 H1431:H1437 B1439:D1444 F1439:F1444 H1439:H1444 B1446:D1448 F1446:F1448 H1446:H1448 B1452:D1452 F1452 H1452 B1454:D1459 F1454:F1459 H1454:H1459 B1462:D1466 F1462:F1466 H1462:H1466 B1469:D1469 F1469 H1469 B1471:D1476 F1471:F1476 H1471:H1476 E1478:E1480 G1478:G1480 B1479:D1480 F1479:F1480 H1479:H1480 E1482:E1485 G1482:G1485 B1483:D1483 F1483 H1483 B1485:D1485 F1485 H1485 B1487:H1487 B1489:H1489 B1491:H1493 B1497:D1497 E1497:E1510 F1497 G1497:G1510 H1497 B1500:D1500 F1500 H1500 B1506:D1510 F1506:F1510 H1506:H1510 B1512:H1513 B1516:D1524 E1516:E1651 F1516:F1524 G1516:G1651 H1516:H1524 B1526:D1527 F1526:F1527 H1526:H1527 B1529:D1529 F1529 H1529 B1532:D1532 F1532 H1532 B1535:D1539 F1535:F1539 H1535:H1539 B1541:D1542 F1541:F1542 H1541:H1542 B1544:D1547 F1544:F1547 H1544:H1547 B1550:D1551 F1550:F1551 H1550:H1551 B1554:D1555 F1554:F1555 H1554:H1555 B1558:D1576 F1558:F1576 H1558:H1576 B1581:D1581 F1581 H1581 B1585:D1585 F1585 H1585 B1591:D1591 F1591 H1591 B1596:D1596 F1596 H1596 B1598:D1598 F1598 H1598 B1600:D1600 F1600 H1600 B1602:D1602 F1602 H1602 B1605:D1605 F1605 H1605 B1607:D1607 F1607 H1607 B1609:D1610 F1609:F1610 H1609:H1610 B1614:D1618 F1614:F1618 H1614:H1618 B1620:D1620 F1620 H1620 B1622:D1622 F1622 H1622 B1624:D1636 F1624:F1636 H1624:H1636 B1642:D1644 F1642:F1644 H1642:H1644 B1648:D1651 F1648:F1651 H1648:H1651 B1653:D1655 E1653:E1658 F1653:F1655 G1653:G1658 H1653:H1655 B1657:D1658 F1657:F1658 H1657:H1658 B1660:D1663 E1660:E1724 F1660:F1663 G1660:G1724 H1660:H1663 B1668:D1670 F1668:F1670 H1668:H1670 B1672:D1675 F1672:F1675 H1672:H1675 B1678:D1678 F1678 H1678 B1680:D1695 F1680:F1695 H1680:H1695 B1697:D1703 F1697:F1703 H1697:H1703 B1706:D1708 F1706:F1708 H1706:H1708 B1710:D1710 F1710 H1710 B1712:D1712 F1712 H1712 B1714:D1714 F1714 H1714 B1716:D1718 F1716:F1718 H1716:H1718 B1720:D1720 F1720 H1720 B1722:D1722 F1722 H1722 B1724:D1724 F1724 H1724 E1726:E1734 G1726:G1734 B1728:D1728 F1728 H1728 B1730:D1734 F1730:F1734 H1730:H1734 E1736:E1770 G1736:G1770 B1737:D1738 F1737:F1738 H1737:H1738 B1742:D1742 F1742 H1742 B1745:D1765 F1745:F1765 H1745:H1765 B1767:D1767 F1767 H1767 B1770:D1770 F1770 H1770 E1772:E1825 G1772:G1825 B1775:D1775 F1775 H1775 B1777:D1777 F1777 H1777 B1779:D1781 F1779:F1781 H1779:H1781 B1785:D1785 F1785 H1785 B1787:D1787 F1787 H1787 B1790:D1791 F1790:F1791 H1790:H1791 B1793:D1796 F1793:F1796 H1793:H1796 B1798:D1799 F1798:F1799 H1798:H1799 B1805:D1809 F1805:F1809 H1805:H1809 B1811:D1811 F1811 H1811 B1815:D1821 F1815:F1821 H1815:H1821 B1823:D1825 F1823:F1825 H1823:H1825 B1827:D1830 E1827:E1835 F1827:F1830 G1827:G1835 H1827:H1830 B1832:D1832 F1832 H1832 B1834:D1835 F1834:F1835 H1834:H1835 B1837:H1837 B1839:D1839 E1839:E1918 F1839 G1839:G1918 H1839 B1842:D1843 F1842:F1843 H1842:H1843 B1845:D1847 F1845:F1847 H1845:H1847 B1849:D1856 F1849:F1856 H1849:H1856 B1858:D1858 F1858 H1858 B1861:D1864 F1861:F1864 H1861:H1864 B1866:D1881 F1866:F1881 H1866:H1881 B1883:D1887 F1883:F1887 H1883:H1887 B1889:D1898 F1889:F1898 H1889:H1898 B1900:D1900 F1900 H1900 B1903:D1907 F1903:F1907 H1903:H1907 B1909:D1909 F1909 H1909 B1913:D1918 F1913:F1918 H1913:H1918 B1920:H1921 B1923:D1923 E1923:E2021 F1923 G1923:G2021 H1923 B1925:D1925 F1925 H1925 B1929:D1929 F1929 H1929 B1932:D1932 F1932 H1932 B1934:D1937 F1934:F1937 H1934:H1937 B1939:D1939 F1939 H1939 B1941:D1944 F1941:F1944 H1941:H1944 B1946:D1948 F1946:F1948 H1946:H1948 B1950:D1951 F1950:F1951 H1950:H1951 B1953:D1953 F1953 H1953 B1955:D1959 F1955:F1959 H1955:H1959 B1961:D1962 F1961:F1962 H1961:H1962 B1965:D1967 F1965:F1967 H1965:H1967 B1971:D1973 F1971:F1973 H1971:H1973 B1975:D1977 F1975:F1977 H1975:H1977 B1979:D1980 F1979:F1980 H1979:H1980 B1984:D1984 F1984 H1984 B1986:D1991 F1986:F1991 H1986:H1991 B1993:D1997 F1993:F1997 H1993:H1997 B2000:D2010 F2000:F2010 H2000:H2010 B2016:D2017 F2016:F2017 H2016:H2017 B2019:D2021 F2019:F2021 H2019:H2021 E2023:E2028 G2023:G2028 B2024:D2024 F2024 H2024 B2028:D2028 F2028 H2028 E2030:E2060 G2030:G2060 B2033:D2034 F2033:F2034 H2033:H2034 B2036:D2037 F2036:F2037 H2036:H2037 B2039:D2040 F2039:F2040 H2039:H2040 B2042:D2042 F2042 H2042 B2046:D2047 F2046:F2047 H2046:H2047 B2049:D2060 F2049:F2060 H2049:H2060 B2062:D2070 E2062:E2165 F2062:F2070 G2062:G2165 H2062:H2070 B2072:D2072 F2072 H2072 B2076:D2076 F2076 H2076 B2080:D2139 F2080:F2139 H2080:H2139 B2143:D2143 F2143 H2143 B2148:D2148 F2148 H2148 B2151:D2155 F2151:F2155 H2151:H2155 B2157:D2157 F2157 H2157 B2159:D2160 F2159:F2160 H2159:H2160 B2163:D2163 F2163 H2163 B2165:D2165 F2165 H2165 E2167:E2224 G2167:G2224 B2169:D2171 F2169:F2171 H2169:H2171 B2176:D2177 F2176:F2177 H2176:H2177 B2180:D2184 F2180:F2184 H2180:H2184 B2187:D2187 F2187 H2187 B2190:D2196 F2190:F2196 H2190:H2196 B2200:D2200 F2200 H2200 B2202:D2205 F2202:F2205 H2202:H2205 B2207:D2207 F2207 H2207 B2209:D2212 F2209:F2212 H2209:H2212 B2216:D2216 F2216 H2216 B2221:D2224 F2221:F2224 H2221:H2224 E2227:E2254 G2227:G2254 B2229:D2230 F2229:F2230 H2229:H2230 B2232:D2234 F2232:F2234 H2232:H2234 B2236:D2236 F2236 H2236 B2239:D2242 F2239:F2242 H2239:H2242 B2244:D2244 F2244 H2244 B2246:D2246 F2246 H2246 B2249:D2254 F2249:F2254 H2249:H2254 B2256:H2256 E2258:E2274 G2258:G2274 B2260:D2260 F2260 H2260 B2262:D2264 F2262:F2264 H2262:H2264 B2267:D2267 F2267 H2267 B2271:D2274 F2271:F2274 H2271:H2274 B2277:H2283 E2285:E2396 G2285:G2396 B2288:D2288 F2288 H2288 B2290:D2293 F2290:F2293 H2290:H2293 B2297:D2297 F2297 H2297 B2300:D2303 F2300:F2303 H2300:H2303 B2307:D2308 F2307:F2308 H2307:H2308 B2310:D2310 F2310 H2310 B2312:D2315 F2312:F2315 H2312:H2315 B2317:D2337 F2317:F2337 H2317:H2337 B2339:D2344 F2339:F2344 H2339:H2344 B2347:D2355 F2347:F2355 H2347:H2355 B2357:D2357 F2357 H2357 B2359:D2377 F2359:F2377 H2359:H2377 B2386:D2396 F2386:F2396 H2386:H2396 B2398:H2398 B2400:D2406 E2400:E2461 F2400:F2406 G2400:G2461 H2400:H2406 B2408:D2408 F2408 H2408 B2410:D2416 F2410:F2416 H2410:H2416 B2418:D2419 F2418:F2419 H2418:H2419 B2421:D2421 F2421 H2421 B2423:D2424 F2423:F2424 H2423:H2424 B2427:D2430 F2427:F2430 H2427:H2430 B2433:D2434 F2433:F2434 H2433:H2434 B2436:D2438 F2436:F2438 H2436:H2438 B2440:D2441 F2440:F2441 H2440:H2441 B2444:D2444 F2444 H2444 B2446:D2461 F2446:F2461 H2446:H2461 B2463:D2463 E2463:E2671 F2463 G2463:G2671 H2463 B2465:D2466 F2465:F2466 H2465:H2466 B2473:D2473 F2473 H2473 B2475:D2475 F2475 H2475 B2479:D2480 F2479:F2480 H2479:H2480 B2486:D2501 F2486:F2501 H2486:H2501 B2503:D2508 F2503:F2508 H2503:H2508 B2512:D2532 F2512:F2532 H2512:H2532 B2534:D2534 F2534 H2534 B2536:D2539 F2536:F2539 H2536:H2539 B2542:D2546 F2542:F2546 H2542:H2546 B2548:D2548 F2548 H2548 B2552:D2552 F2552 H2552 B2556:D2556 F2556 H2556 B2560:D2561 F2560:F2561 H2560:H2561 B2565:D2565 F2565 H2565 B2569:D2570 F2569:F2570 H2569:H2570 B2573:D2583 F2573:F2583 H2573:H2583 B2589:D2589 F2589 H2589 B2591:D2594 F2591:F2594 H2591:H2594 B2600:D2601 F2600:F2601 H2600:H2601 B2603:D2604 F2603:F2604 H2603:H2604 B2607:D2609 F2607:F2609 H2607:H2609 B2611:D2611 F2611 H2611 B2616:D2617 F2616:F2617 H2616:H2617 B2620:D2620 F2620 H2620 B2622:D2630 F2622:F2630 H2622:H2630 B2635:D2635 F2635 H2635 B2643:D2643 F2643 H2643 B2651:D2652 F2651:F2652 H2651:H2652 B2659:D2659 F2659 H2659 B2662:D2671 F2662:F2671 H2662:H2671 E2673:E2729 G2673:G2729 B2676:D2678 F2676:F2678 H2676:H2678 B2683:D2683 F2683 H2683 B2685:D2686 F2685:F2686 H2685:H2686 B2688:D2689 F2688:F2689 H2688:H2689 B2691:D2692 F2691:F2692 H2691:H2692 B2698:D2703 F2698:F2703 H2698:H2703 B2709:D2712 F2709:F2712 H2709:H2712 B2714:D2717 F2714:F2717 H2714:H2717 B2719:D2729 F2719:F2729 H2719:H2729 B2733:D2734 E2733:E2742 F2733:F2734 G2733:G2742 H2733:H2734 B2737:D2739 F2737:F2739 H2737:H2739 B2741:D2742 F2741:F2742 H2741:H2742 B2744:H2744 B2748:H2748 B2750:D2752 E2750:E2932 F2750:F2752 G2750:G2932 H2750:H2752 B2765:D2766 F2765:F2766 H2765:H2766 B2768:D2770 F2768:F2770 H2768:H2770 B2781:D2781 F2781 H2781 B2797:D2798 F2797:F2798 H2797:H2798 B2800:D2801 F2800:F2801 H2800:H2801 B2803:D2803 F2803 H2803 B2835:D2837 F2835:F2837 H2835:H2837 B2845:D2846 F2845:F2846 H2845:H2846 B2848:D2849 F2848:F2849 H2848:H2849 B2854:D2858 F2854:F2858 H2854:H2858 B2865:D2866 F2865:F2866 H2865:H2866 B2870:D2872 F2870:F2872 H2870:H2872 B2874:D2874 F2874 H2874 B2876:D2887 F2876:F2887 H2876:H2887 B2889:D2889 F2889 H2889 B2891:D2891 F2891 H2891 B2895:D2895 F2895 H2895 B2897:D2899 F2897:F2899 H2897:H2899 B2903:D2903 F2903 H2903 B2905:D2911 F2905:F2911 H2905:H2911 B2914:D2915 F2914:F2915 H2914:H2915 B2917:D2919 F2917:F2919 H2917:H2919 B2921:D2922 F2921:F2922 H2921:H2922 B2924:D2924 F2924 H2924 B2926:D2932 F2926:F2932 H2926:H2932 B2934:D2936 E2934:E3186 F2934:F2936 G2934:G3186 H2934:H2936 B2938:D2939 F2938:F2939 H2938:H2939 B2941:D2943 F2941:F2943 H2941:H2943 B2945:D2948 F2945:F2948 H2945:H2948 B2950:D2957 F2950:F2957 H2950:H2957 B2962:D2962 F2962 H2962 B2964:D2967 F2964:F2967 H2964:H2967 B2974:D2980 F2974:F2980 H2974:H2980 B2986:D2986 F2986 H2986 B2991:D2991 F2991 H2991 B2994:D2995 F2994:F2995 H2994:H2995 B2998:D2999 F2998:F2999 H2998:H2999 B3001:D3001 F3001 H3001 B3003:D3003 F3003 H3003 B3005:D3009 F3005:F3009 H3005:H3009 B3011:D3012 F3011:F3012 H3011:H3012 B3014:D3014 F3014 H3014 B3020:D3021 F3020:F3021 H3020:H3021 B3025:D3025 F3025 H3025 B3027:D3027 F3027 H3027 B3029:D3032 F3029:F3032 H3029:H3032 B3034:D3039 F3034:F3039 H3034:H3039 B3041:D3041 F3041 H3041 B3043:D3043 F3043 H3043 B3046:D3046 F3046 H3046 B3049:D3049 F3049 H3049 B3054:D3054 F3054 H3054 B3057:D3057 F3057 H3057 B3060:D3060 F3060 H3060 B3062:D3064 F3062:F3064 H3062:H3064 B3067:D3071 F3067:F3071 H3067:H3071 B3073:D3073 F3073 H3073 B3075:D3075 F3075 H3075 B3078:D3080 F3078:F3080 H3078:H3080 B3082:D3084 F3082:F3084 H3082:H3084 B3086:D3093 F3086:F3093 H3086:H3093 B3095:D3096 F3095:F3096 H3095:H3096 B3100:D3107 F3100:F3107 H3100:H3107 B3109:D3109 F3109 H3109 B3111:D3113 F3111:F3113 H3111:H3113 B3116:D3116 F3116 H3116 B3120:D3120 F3120 H3120 B3122:D3126 F3122:F3126 H3122:H3126 B3128:D3128 F3128 H3128 B3131:D3134 F3131:F3134 H3131:H3134 B3136:D3137 F3136:F3137 H3136:H3137 B3139:D3142 F3139:F3142 H3139:H3142 B3144:D3145 F3144:F3145 H3144:H3145 B3147:D3148 F3147:F3148 H3147:H3148 B3151:D3153 F3151:F3153 H3151:H3153 B3155:D3155 F3155 H3155 B3158:D3159 F3158:F3159 H3158:H3159 B3162:D3162 F3162 H3162 B3165:D3166 F3165:F3166 H3165:H3166 B3168:D3186 F3168:F3186 H3168:H3186 B3188:D3197 E3188:E3234 F3188:F3197 G3188:G3234 H3188:H3197 B3199:D3212 F3199:F3212 H3199:H3212 B3214:D3215 F3214:F3215 H3214:H3215 B3217:D3221 F3217:F3221 H3217:H3221 B3223:D3229 F3223:F3229 H3223:H3229 B3231:D3232 F3231:F3232 H3231:H3232 B3234:D3234 F3234 H3234 B3236:D3241 E3236:E3272 F3236:F3241 G3236:G3272 H3236:H3241 B3244:D3245 F3244:F3245 H3244:H3245 B3249:D3253 F3249:F3253 H3249:H3253 B3256:D3258 F3256:F3258 H3256:H3258 B3260:D3260 F3260 H3260 B3262:D3262 F3262 H3262 B3264:D3272 F3264:F3272 H3264:H3272 B3274:D3276 E3274:E3331 F3274:F3276 G3274:G3331 H3274:H3276 B3280:D3285 F3280:F3285 H3280:H3285 B3287:D3288 F3287:F3288 H3287:H3288 B3290:D3290 F3290 H3290 B3292:D3293 F3292:F3293 H3292:H3293 B3298:D3300 F3298:F3300 H3298:H3300 B3303:D3303 F3303 H3303 B3306:D3307 F3306:F3307 H3306:H3313 B3309:D3313 F3309:F3313 B3316:D3316 F3316 H3316 B3318:D3326 F3318:F3326 H3318:H3326 B3329:D3331 F3329:F3331 H3329:H3331 B3333:D3333 E3333:E3344 F3333 G3333:G3344 H3333 B3335:D3335 F3335 H3335 B3337:D3338 F3337:F3338 H3337:H3338 B3340:D3342 F3340:F3342 H3340:H3342 B3344:D3344 F3344 H3344:H3372 B3346:D3356 E3346:E3406 F3346:F3356 G3346:G3406 B3358:D3372 F3358:F3372 B3374:D3374 F3374 H3374 B3376:D3383 F3376:F3383 H3376:H3383 B3385:D3390 F3385:F3390 H3385:H3390 B3392:D3394 F3392:F3394 H3392:H3394 B3397:D3397 F3397 H3397 B3399:D3400 F3399:F3400 H3399:H3400 B3402:D3404 F3402:F3404 H3402:H3404 B3406:D3406 F3406 H3406 B3408:D3409 E3408:E3481 F3408:F3409 G3408:G3481 H3408:H3409 B3411:D3413 F3411:F3413 H3411:H3413 B3415:D3416 F3415:F3416 H3415:H3416 B3418:D3418 F3418 H3418 B3420:D3420 F3420 H3420 B3422:D3422 F3422 H3422 B3424:D3428 F3424:F3428 H3424:H3428 B3435:D3437 F3435:F3437 H3435:H3437 B3439:D3447 F3439:F3447 H3439:H3447 B3451:D3451 F3451 H3451 B3454:D3454 F3454 H3454 B3457:D3458 F3457:F3458 H3457:H3458 B3460:B3473 C3460:D3466 F3460:F3466 H3460:H3466 C3468:D3473 F3468:F3473 H3468:H3473 B3475:D3476 F3475:F3476 H3475:H3476 B3479:D3481 F3479:F3481 H3479:H3481 E3483:E3496 G3483:G3496 B3485:D3487 F3485:F3487 H3485:H3487 B3489:D3496 F3489:F3496 H3489:H3496 B3498:D3499 E3498:E3512 F3498:F3499 G3498:G3512 H3498:H3499 B3502:D3505 F3502:F3505 H3502:H3505 B3508:D3512 F3508:F3512 H3508:H3512 E3514:E3619 G3514:G3619 B3515:D3515 F3515 H3515 B3518:D3518 F3518 H3518 B3521:D3521 F3521 H3521 B3524:D3524 F3524 H3524 B3532:D3532 F3532 H3532 B3538:D3550 F3538:F3550 H3538:H3550 B3552:D3552 F3552 H3552 B3554:D3555 F3554:F3555 H3554:H3555 B3557:D3557 F3557 H3557 B3559:D3564 F3559:F3564 H3559:H3564 B3566:D3572 F3566:F3572 H3566:H3572 B3575:D3581 F3575:F3581 H3575:H3581 B3584:D3584 F3584 H3584 B3586:B3593 C3586:D3587 F3586:F3587 H3586:H3587 C3589:D3593 F3589:F3593 H3589:H3593 B3595:D3595 F3595 H3595 B3598:B3619 C3598:D3609 F3598:F3609 H3598:H3609 C3611:D3619 F3611:F3619 H3611:H3619 B3621:H3628 B3630:D3633 E3630:E3660 F3630:F3633 G3630:G3660 H3630:H3633 B3635:D3636 F3635:F3636 H3635:H3636 B3638:D3640 F3638:F3640 H3638:H3640 B3642:D3659 F3642:F3659 H3642:H3659 B3662:H3769 B3771:H3790 B3792:H4396 B4399:D4409 E4399:E4496 F4399:F4409 G4399:G4497 H4399:H4409 B4411:D4482 F4411:F4482 H4411:H4482 B4484:D4496 F4484:F4496 H4484:H4496 E4498:E4502 G4504 B4507:D4521 E4507:E4530 F4507:F4521 G4507:G4529 H4507:H4521 B4523:D4529 F4523:F4529 H4523:H4529 B4532:D4532 E4532:E4534 F4532 G4532:G4534 H4532 B4534:D4534 F4534 H4534 E4539:E4542 G4539:G4540 E4544 B4548:B4599 C4548:D4614 E4548:E4628 F4548:F4614 G4548:G4634 H4548:H4614 B4601:B4614 B4617:D4621 F4617:F4621 H4617:H4621 B4623:D4628 F4623:F4628 H4623:H4628 B4631:F4634 H4631:H4634 B4636:H4655 B4658:H4673 B4675:H4689 B4691:H4692 B4694:H4729 B4732:H4744 B4748:H4750 B4752:H4755 B4765:D4765 E4765:E4780 F4765:H4765 B4767:D4780 F4767:H4780 B4782:F4797 G4782:G4940 H4782:H4797 B4802:F4809 H4802:H4809 B4814:F4815 H4814:H4815 B4818:F4821 H4818:H4821 B4826:F4826 H4826 B4829:F4831 H4829:H4831 B4837:F4838 H4837:H4838 B4840:F4843 H4840:H4843 B4848:F4849 H4848:H4849 B4853:F4860 H4853:H4860 B4864:F4864 H4864 B4868:F4869 H4868:H4869 B4873:F4876 H4873:H4876 B4878:F4880 H4878:H4880 B4884:F4885 H4884:H4885 B4890:F4890 H4890 B4892:F4896 H4892:H4896 B4902:F4902 H4902 B4904:F4904 H4904 B4907:F4909 H4907:H4909 B4911:F4913 H4911:H4913 B4920:F4921 H4920:H4921 B4932:F4932 H4932 B4935:F4937 H4935:H4937 B4940:F4940 H4940 G4942:G4943 B4961:F4961 G4961:G4999 H4961 B4963:F4965 H4963:H4965 B4970:F4970 H4970 B4973:F4973 H4973 B4975:F4975 H4975 B4977:F4977 H4977 B4981:F4981 H4981 B4986:F4987 H4986:H4987 B4991:F4991 H4991 B4995:F4995 H4995 B4997:F4999 H4997:H4999 B5004:H5004 B5008:H5010 B5015:H5025 B5028:H5028">
    <cfRule type="expression" dxfId="4" priority="10">
      <formula>$G3="Sur T.L."</formula>
    </cfRule>
  </conditionalFormatting>
  <conditionalFormatting sqref="A3:I307 A309:I454 A456:I569 A571:I838 A840:I909 A911:I923 A925:I929 A931:I966 A968:I1065 A1067:I1131 A1133:I1210 A1212:I1219 A1221:I1303 A1305:I1336 A1338:I1426 A1428:I1429 A1431:I1476 A1478:I1480 A1482:I1485 A1487:I1487 A1489:I1489 A1491:I1493 A1497:I1510 A1512:I1513 A1516:I1651 A1653:I1658 A1660:I1724 A1726:I1734 A1736:I1770 A1772:I1825 A1827:I1835 A1837:I1837 A1839:I1918 A1920:I1921 A1923:I2021 A2023:I2028 A2030:I2060 A2062:I2165 A2167:I2224 A2227:I2254 A2256:I2256 A2258:I2274 A2277:I2283 A2285:I2396 A2398:I2398 A2400:I2461 A2463:I2671 A2673:I2729 A2733:I2742 A2744:I2744 A2748:I2748 A2750:I2932 A2934:I3186 A3188:I3234 A3236:I3272 A3274:I3331 A3333:A3406 B3333:G3344 H3333:I3406 B3346:G3406 A3408:I3481 A3483:I3496 A3498:I3512 A3514:I3619 A3621:I3628 A3630:I3660 A3662:A3769 B3662:H3685 I3662:I3769 B3687:H3709 B3711:H3769 A3771:I3790 A3792:I4396 A4399:I4542 A4544:I4544 A4546:A4780 B4546:B4599 C4546:I4780 B4601:B4780 A4782:I5068">
    <cfRule type="containsText" dxfId="0" priority="11" operator="containsText" text="FAB A FAIRE">
      <formula>NOT(ISERROR(SEARCH(("FAB A FAIRE"),(A3))))</formula>
    </cfRule>
  </conditionalFormatting>
  <conditionalFormatting sqref="B3:H307 B309:H454 B456:H569 B571:H838 B840:H909 B911:H923 B925:H929 B931:H966 B968:H1065 B1067:H1131 B1133:H1210 B1212:H1219 B1221:H1303 B1305:H1336 B1338:H1426 B1428:H1429 B1431:H1476 B1478:H1480 B1482:H1485 B1487:H1487 B1489:H1489 B1491:H1493 B1497:H1510 B1512:H1513 B1516:H1651 B1653:H1658 B1660:H1724 B1726:H1734 B1736:H1770 B1772:H1825 B1827:H1835 B1837:H1837 B1839:H1918 B1920:H1921 B1923:H2021 B2023:H2028 B2030:H2060 B2062:H2165 B2167:H2224 B2227:H2254 B2256:H2256 B2258:H2274 B2277:H2283 B2285:H2396 B2398:H2398 B2400:H2461 B2463:H2671 B2673:H2729 B2733:H2742 B2744:H2744 B2748:H2748 B2750:H2932 B2934:H3186 B3188:H3234 B3236:H3272 B3274:H3331 B3333:G3344 H3333:H3406 B3346:G3406 B3408:H3481 B3483:H3496 B3498:H3512 B3514:H3619 B3621:H3628 B3630:H3660 B3662:H3769 B3771:H3790 B3792:H4396 B4399:H4542 B4544:H4544 B4546:B4599 C4546:H4780 B4601:B4780 B4782:H5068">
    <cfRule type="expression" dxfId="1" priority="12">
      <formula>$G3="Stand-by"</formula>
    </cfRule>
  </conditionalFormatting>
  <conditionalFormatting sqref="G3:G307 G309:G454 G456:G569 H461 G571:G838 G840:G909 G911:G923 G925:G929 G931:G966 G968:G1065 G1067:G1131 G1133:G1210 G1212:G1219 G1221:G1303 G1305:G1336 G1338:G1426 H1414 G1428:G1429 G1431:G1476 G1478:G1480 G1482:G1485 G1487 G1489 G1491:G1493 G1497:G1510 G1512:G1513 G1516:G1651 G1653:G1658 G1660:G1724 H1668 G1726:G1734 G1736:G1770 G1772:G1825 G1827:G1835 G1837 G1839:G1918 G1920:G1921 G1923:G2021 G2023:G2028 G2030:G2060 G2062:G2165 G2167:G2224 G2227:G2254 G2256 G2258:G2274 G2277:G2283 G2285:G2396 G2398 G2400:G2461 G2463:G2671 G2673:G2729 G2733:G2742 G2744 G2748 G2750:G2932 G2934:G3186 G3188:G3234 G3236:G3272 G3274:G3331 G3333:G3406 G3408:G3481 G3483:G3496 G3498:G3512 G3514:G3619 G3621:G3628 G3630:G3660 G3662:G3769 G3771:G3790 G3792:G4396 H4346 G4399:G4542 G4544 G4546:G4780 G4782:G5068">
    <cfRule type="cellIs" dxfId="2" priority="13" operator="equal">
      <formula>"A faire"</formula>
    </cfRule>
  </conditionalFormatting>
  <conditionalFormatting sqref="G3:G307 G309:G454 G456:G569 H461 G571:G838 G840:G909 G911:G923 G925:G929 G931:G966 G968:G1065 G1067:G1131 G1133:G1210 G1212:G1219 G1221:G1303 G1305:G1336 G1338:G1426 H1414 G1428:G1429 G1431:G1476 G1478:G1480 G1482:G1485 G1487 G1489 G1491:G1493 G1497:G1510 G1512:G1513 G1516:G1651 G1653:G1658 G1660:G1724 H1668 G1726:G1734 G1736:G1770 G1772:G1825 G1827:G1835 G1837 G1839:G1918 G1920:G1921 G1923:G2021 G2023:G2028 G2030:G2060 G2062:G2165 G2167:G2224 G2227:G2254 G2256 G2258:G2274 G2277:G2283 G2285:G2396 G2398 G2400:G2461 G2463:G2671 G2673:G2729 G2733:G2742 G2744 G2748 G2750:G2932 G2934:G3186 G3188:G3234 G3236:G3272 G3274:G3331 G3333:G3406 G3408:G3481 G3483:G3496 G3498:G3512 G3514:G3619 G3621:G3628 G3630:G3660 G3662:G3769 G3771:G3790 G3792:G4396 H4346 G4399:G4542 G4544 G4546:G4780 G4782:G5068">
    <cfRule type="cellIs" dxfId="3" priority="14" operator="equal">
      <formula>"En cours"</formula>
    </cfRule>
  </conditionalFormatting>
  <conditionalFormatting sqref="B5069:H5095">
    <cfRule type="expression" dxfId="10" priority="15">
      <formula>$D5069="Quentin"</formula>
    </cfRule>
  </conditionalFormatting>
  <conditionalFormatting sqref="C5069:C5193 C5195:C5236 C5238:C5324 C5326:C5343 C5345:C5358 C5360:C5379 C5381:C5450">
    <cfRule type="cellIs" dxfId="12" priority="16" operator="equal">
      <formula>"Andréa"</formula>
    </cfRule>
  </conditionalFormatting>
  <conditionalFormatting sqref="C5069:C5193 C5195:C5236 C5238:C5324 C5326:C5343 C5345:C5358 C5360:C5379 C5381:C5464">
    <cfRule type="expression" dxfId="13" priority="17">
      <formula>$C5069="Michael"</formula>
    </cfRule>
  </conditionalFormatting>
  <conditionalFormatting sqref="C5069:C5193 C5195:C5236 C5238:C5324 C5326:C5343 C5345:C5358 C5360:C5379 C5381:C5464">
    <cfRule type="expression" dxfId="14" priority="18">
      <formula>$C5069="Antoine"</formula>
    </cfRule>
  </conditionalFormatting>
  <conditionalFormatting sqref="C5069:C5193 C5195:C5236 C5238:C5324 C5326:C5343 C5345:C5358 C5360:C5379 C5381:C5464">
    <cfRule type="expression" dxfId="15" priority="19">
      <formula>$C5069="Manon"</formula>
    </cfRule>
  </conditionalFormatting>
  <conditionalFormatting sqref="D5069:D5193 D5195:D5236 D5238:D5324 D5326:D5343 D5345:D5358 D5360:D5379 D5381:D5464">
    <cfRule type="cellIs" dxfId="16" priority="20" operator="equal">
      <formula>"Z"</formula>
    </cfRule>
  </conditionalFormatting>
  <conditionalFormatting sqref="H5069:H5193 H5195:H5236 H5238:H5324 H5326:H5343 H5345:H5358 H5360:H5379 H5381:H5465">
    <cfRule type="containsText" dxfId="17" priority="21" operator="containsText" text="FAB A FAIRE">
      <formula>NOT(ISERROR(SEARCH(("FAB A FAIRE"),(H5069))))</formula>
    </cfRule>
  </conditionalFormatting>
  <conditionalFormatting sqref="B5069:H5193 B5195:H5236 B5238:H5324 B5326:H5343 B5345:H5358 B5360:H5379 B5381:B5470 C5381:C6440 D5381:H5470">
    <cfRule type="expression" dxfId="18" priority="22">
      <formula>$D5069="David"</formula>
    </cfRule>
  </conditionalFormatting>
  <conditionalFormatting sqref="B5069:H5193 B5195:H5236 B5238:H5324 B5326:H5343 B5345:H5358 B5360:H5379 B5381:B5470 C5381:G6456 H5381:H5470">
    <cfRule type="expression" dxfId="19" priority="23">
      <formula>$D5069="Carole"</formula>
    </cfRule>
  </conditionalFormatting>
  <conditionalFormatting sqref="B5069:H5193 B5195:H5236 B5238:H5324 B5326:H5343 B5345:H5358 B5360:H5379 B5381:B5470 C5381:G6456 H5381:H5470">
    <cfRule type="expression" dxfId="5" priority="24">
      <formula>$D5069="Jordan"</formula>
    </cfRule>
  </conditionalFormatting>
  <conditionalFormatting sqref="C5471:G6456">
    <cfRule type="expression" dxfId="20" priority="25">
      <formula>$D5471="David"</formula>
    </cfRule>
  </conditionalFormatting>
  <dataValidations>
    <dataValidation type="list" allowBlank="1" sqref="G18:G24 G54:G55 G61:G69 G85:G89 G114 G123:G130 G132:G153 G301:G302 G306:G307 G314:G315 G322:G323 G326:G327 G333:G334 G339 G350:G359 G389:G390 G417 G434 G454 G458:G460 G467 G483:G485 G487 G491 G502:G504 G514:G515 G518 G520 G537:G538 G553:G557 G568:G569 G582:G583 G615:G616 G622 G637:G638 G640 G647 G650 G676 G679 G683 G685:G686 G701:G704 G710:G711 G730:G731 G733 G739:G743 G755 G758 G761:G765 G793 G800">
      <formula1>"-,A faire,En cours,Attente R.,Stand-by,Sur T.L.,Mairie,À relancer"</formula1>
    </dataValidation>
    <dataValidation type="list" allowBlank="1" sqref="E2069 E2494 E3739 E3768 E3798 E3813 E3851 E3939 E4082 E4150 E4206 E4291:E4293 E4306 E4351 E4360 E4380 E4417 E4424 E4448 E4454 E4471:E4472 E4481:E4482 E4490 E4495 E4561 E4567 E4572 E4575:E4577 E4592 E4597 E4600 E4606 E4608 E4612:E4613 E4615:E4618 E4621:E4622 E4624:E4628 E4631:E4634 E4636:E4655 E4658:E4669 E4671:E4673 E4675:E4685 E4687:E4689 E4691:E4692 E4694:E4698 E4701:E4706 E4708:E4717 E4720:E4729 E4732:E4744 E4748:E4750 E4752:E4755 E4765:E4766 E4769 E4771:E4775 E4777:E4780 E4782:E4794 E4796:E4797 E4802:E4809 E4814:E4815 E4818:E4821 E4826 E4829:E4831 E4838 E4841:E4843 E4849 E4856:E4858">
      <formula1>"-,M,A,S"</formula1>
    </dataValidation>
    <dataValidation type="list" allowBlank="1" sqref="G943">
      <formula1>"-,A faire,En cours,Attente R.,Stand-by,Sur T.L.,Mairie,Validation BAT en cours"</formula1>
    </dataValidation>
    <dataValidation type="list" allowBlank="1" sqref="G1139">
      <formula1>"-,A faire,En cours,Attente R.,Stand-by,Sur T.L.,Mairie,Urgence"</formula1>
    </dataValidation>
    <dataValidation type="list" allowBlank="1" sqref="C5069:C5193 C5195:C5236 C5238:C5324 C5326:C5343 C5345:C5358 C5360:C5450">
      <formula1>"-,Michael,Antoine,Manon,Andréa"</formula1>
    </dataValidation>
    <dataValidation type="list" allowBlank="1" sqref="D5106 D5138 D5176 D5181 D5193 D5227 D5235:D5236 D5238 D5253 D5292 D5327:D5329 D5346 D5350 D5353:D5354 D5383:D5385 D5394 D5397 D5399 D5407 D5409:D5410 D5422 D5425 D5428:D5435 D5439 D5451:D5455 D5457 D5461:D6440 C6441:D6456">
      <formula1>"-,Carole,Jordan,David"</formula1>
    </dataValidation>
    <dataValidation type="list" allowBlank="1" sqref="G70 G113 G154:G156 G190:G191 G194 G226 G228 G237:G238 G259:G261 G282:G284 G292:G295">
      <formula1>"-,A faire,En cours,Attente R.,Stand-by,Sur T.L.,Mairie,Attente retour ST,Bloqué,FAB à faire,REFAB"</formula1>
    </dataValidation>
    <dataValidation type="list" allowBlank="1" sqref="E636 E644 E777:E778 E780 E783 E795 E810 E814 E820:E821 E847:E848 E852:E853 E855 E884 E928 E1054 E1060 E1073 E1077:E1079 E1081:E1085 E1103 E1107 E1112 E1147 E1151 E1153 E1173 E1181:E1182 E1186:E1187 E1192 E1242 E1256 E1268 E1278 E1283 E1288 E1295 E1298 E1314 E1333:E1334 E1336 E1339 E1342 E1346 E1350:E1351 E1353:E1354 E1357 E1372:E1374 E1379:E1383 E1420 E1450 E1453 E1468 E1478 E1482 E1484 E1499 E1501:E1505 E1525 E1528 E1530:E1531 E1533:E1534 E1540 E1543 E1548:E1549 E1552:E1553 E1556:E1557 E1577:E1580 E1582:E1584 E1586:E1590 E1592:E1595 E1597 E1599 E1601 E1603:E1604 E1606 E1608 E1611:E1613 E1619 E1621 E1623 E1637:E1641 E1645:E1647 E1656 E1664:E1667 E1671 E1676:E1677 E1679 E1696 E1704:E1705 E1709 E1711 E1713 E1715 E1719 E1721 E1723 E1726:E1727 E1729 E1736 E1739:E1741 E1743:E1744 E1766 E1768:E1769 E1772:E1774 E1776 E1778 E1782:E1784 E1786 E1788:E1789 E1792 E1797 E1800:E1804 E1810 E1812:E1814 E1822 E1831 E1833 E1840:E1841 E1844 E1848 E1857 E1859:E1860 E1865 E1882 E1888 E1899 E1901:E1902 E1908 E1910:E1912 E1924 E1926:E1928 E1930:E1931 E1933 E1938 E1940 E1945 E1949 E1952 E1954 E1960 E1963:E1964 E1968:E1970 E1974 E1978 E1981:E1983 E1985 E1992 E1998:E1999 E2011:E2015 E2018 E2023 E2025:E2027 E2030:E2032 E2035 E2038 E2041 E2043:E2045 E2048 E2071 E2073:E2075 E2077:E2079 E2140:E2142 E2144:E2147 E2149:E2150 E2156 E2158 E2161:E2162 E2164 E2167:E2168 E2172:E2175 E2178:E2179 E2185:E2186 E2188:E2189 E2197:E2199 E2201 E2206 E2208 E2213:E2215 E2217:E2220 E2227:E2228 E2231 E2235 E2237:E2238 E2243 E2245 E2247:E2248 E2258:E2259 E2261 E2265:E2266 E2268:E2270 E2285:E2287 E2289 E2294:E2296 E2298:E2299 E2304:E2306 E2309 E2311 E2316 E2338 E2345:E2346 E2356 E2358 E2378:E2385 E2407 E2409 E2417 E2420 E2422 E2425:E2426 E2431:E2432 E2435 E2439 E2442:E2443 E2445 E2464 E2467:E2472 E2474 E2476:E2478 E2481:E2485 E2502 E2509:E2511 E2533 E2535 E2540:E2541 E2547 E2549:E2551 E2553:E2555 E2557:E2559 E2562:E2564 E2566:E2568 E2571:E2572 E2584:E2588 E2590 E2595:E2599 E2602 E2605:E2606 E2610 E2612:E2615 E2618:E2619 E2621 E2631:E2634 E2636:E2642 E2644:E2650 E2653:E2658 E2660:E2661 E2673:E2675 E2679:E2682 E2684 E2687 E2690 E2693:E2697 E2704:E2708 E2713 E2718 E2735:E2736 E2740 E2753:E2764 E2767 E2771:E2780 E2782:E2796 E2799 E2802 E2804:E2834 E2838:E2844 E2847 E2850:E2853 E2859:E2864 E2867:E2869 E2873 E2875 E2888 E2890 E2892:E2894 E2896 E2900:E2902 E2904 E2912:E2913 E2916 E2920 E2923 E2925 E2937 E2940 E2944 E2949 E2958:E2961 E2963 E2968:E2973 E2981:E2985 E2987:E2990 E2992:E2993 E2996:E2997 E3000 E3002 E3004 E3010 E3013 E3015:E3019 E3022:E3024 E3026 E3028 E3033 E3040 E3042 E3044:E3045 E3047:E3048 E3050:E3053 E3055:E3056 E3058:E3059 E3061 E3065:E3066 E3072 E3074 E3076:E3077 E3081 E3085 E3094 E3097:E3099 E3108 E3110 E3114:E3115 E3117:E3119 E3121 E3127 E3129:E3130 E3135 E3138 E3143 E3146 E3149:E3150 E3154 E3156:E3157 E3160:E3161 E3163:E3164 E3167 E3198 E3213 E3216 E3222 E3230 E3233 E3242:E3243 E3246:E3248 E3254:E3255 E3259 E3261 E3263 E3277:E3279 E3286 E3289 E3291 E3294:E3297 E3301:E3302 E3304:E3305 E3308 E3314:E3317 E3320 E3327:E3328 E3334 E3336 E3339 E3343 E3357 E3373 E3375 E3384 E3391:E3392 E3395:E3398 E3401 E3405 E3408 E3410:E3411 E3414 E3417 E3419 E3421 E3423 E3429:E3434 E3438 E3447:E3450 E3452:E3453 E3455:E3456 E3459 E3467 E3474 E3477:E3478 E3483:E3484 E3488 E3500:E3501 E3506:E3507 E3514 E3516:E3517 E3519:E3520 E3522:E3523 E3525:E3531 E3533:E3537 E3551 E3553 E3556 E3558 E3565 E3569 E3573:E3574 E3582:E3583 E3585 E3588 E3594 E3596:E3597 E3610 E3616 E3634 E3637 E3641 E3682 E3706 E3710 E3717 E3731 E3733 E3736 E3740:E3754 E3756 E3762 E3776 E3779:E3782 E3786:E3789 E3796 E3802 E3805:E3808 E3833 E3839 E3960">
      <formula1>"-,M,A,S,L,D"</formula1>
    </dataValidation>
    <dataValidation type="list" allowBlank="1" sqref="E4172">
      <formula1>"F,M,A,S,L"</formula1>
    </dataValidation>
    <dataValidation type="list" allowBlank="1" sqref="G931">
      <formula1>"-,A faire,En cours,Attente R.,Stand-by,Sur T.L.,Mairie,Validation BAT en cours,Attente retour ST,Bloqué"</formula1>
    </dataValidation>
    <dataValidation type="list" allowBlank="1" sqref="G4497 G4499:G4503 G4505:G4506 G4531 G4533 G4535:G4540 G4544:G4546 G4635 G4656:G4657 G4674 G4690 G4693 G4730:G4731 G4745:G4747 G4751 G4756:G4764 G4766 G4941 G4944:G4960 G4964 G5000:G5068">
      <formula1>"-,A faire,En cours,Stand-by"</formula1>
    </dataValidation>
    <dataValidation type="list" allowBlank="1" sqref="G300 G305 G310 G312:G313 G317 G319:G321 G329 G338 G360:G362 G364:G365 G375 G380 G382 G385 G388 G407 G411 G413:G414 G432 G437 G440:G441 G464 G470 G476 G500 G529 G543 G546:G550 G575:G576 G579:G581 G585:G587 G604:G605 G609:G610 G613 G628:G629 G672 G694 G696 G723 G749 G754 G766 G770 G772:G773 G775:G776 G786:G787 G808 G816 G828:G829 G837:G838 G842:G843 G849 G856 G868:G869 G886:G887 G896:G897 G921:G923 G929">
      <formula1>"-,A faire,En cours,Attente R.,Stand-by,Sur T.L.,Mairie,Validation BAT en cours,Attente retour ST,Bloqué,En fabrication"</formula1>
    </dataValidation>
    <dataValidation type="list" allowBlank="1" sqref="G1131 G1136">
      <formula1>"-,A faire,En cours,Attente R.,Stand-by,Sur T.L.,Mairie,Urgence,FAB"</formula1>
    </dataValidation>
    <dataValidation type="list" allowBlank="1" sqref="E2536">
      <formula1>"-,M,A,F"</formula1>
    </dataValidation>
    <dataValidation type="list" allowBlank="1" sqref="E2714 E2716:E2717">
      <formula1>"-,M,A,D,F"</formula1>
    </dataValidation>
    <dataValidation type="list" allowBlank="1" sqref="E3485 E3509 E3660 E3737 E3814 E3818 E3826 E3830:E3832 E3834 E3837:E3838 E3844 E3847 E3849:E3850 E3857 E3864:E3866 E3870:E3872 E3875 E3878:E3881 E3886:E3888 E3890 E3893 E3898 E3901 E3903 E3914 E3916 E3918 E3920:E3922 E3924:E3925 E3933:E3934 E3941:E3944 E3946 E3948 E3953 E3957 E3961 E3963 E3966:E3970 E3974:E3977 E3980:E3988 E3990 E3992:E4003 E4005:E4010 E4012:E4024 E4027:E4036 E4038:E4044 E4049:E4053 E4055:E4057 E4059:E4061 E4063:E4064 E4066:E4078 E4080:E4081 E4083:E4085 E4087 E4089 E4092:E4095 E4099:E4100 E4102:E4109 E4112 E4114:E4115 E4118:E4120 E4122:E4126 E4128:E4134 E4136:E4138 E4140:E4149 E4151:E4158 E4160:E4166 E4169 E4171 E4174 E4176:E4178 E4180 E4183:E4190 E4192:E4194 E4203 E4207:E4211 E4214:E4222 E4224 E4226:E4227 E4231:E4233 E4243:E4245 E4247:E4260 E4263:E4273 E4275:E4276 E4278:E4290 E4294:E4295 E4299:E4300 E4303:E4305 E4307 E4310:E4313 E4315:E4319 E4321:E4328 E4330:E4338 E4340:E4343 E4346:E4349 E4352 E4357:E4359 E4361 E4363:E4364 E4366 E4369:E4379 E4381 E4383 E4387:E4392 E4399 E4401:E4404 E4406 E4408:E4416 E4418:E4423 E4425:E4426 E4428:E4429 E4432 E4437:E4439 E4441:E4442 E4446:E4447 E4449:E4452 E4455:E4457 E4459:E4463 E4465 E4467:E4468 E4475 E4477:E4480 E4483:E4486 E4488:E4489 E4491 E4494 E4496:E4498 E4503:E4506 E4508:E4521 E4523:E4542 E4546:E4560 E4562:E4566 E4568:E4571 E4573:E4574 E4578:E4591 E4593:E4596 E4598:E4599 E4601 E4603:E4605 E4607 E4609:E4611 E4614 E4619:E4620">
      <formula1>"-,M,A,S,L"</formula1>
    </dataValidation>
    <dataValidation type="list" allowBlank="1" sqref="E6 E8:E11 E13:E15 E17 E29 E33:E35 E39:E40 E48 E52:E53 E57:E58 E60 E71 E73:E74 E77 E80 E82:E84 E90 E92 E94 E96:E100 E102:E103 E111:E112 E115:E116 E118:E119 E121 E131 E157:E158 E160:E162 E166 E169 E173:E175 E179:E181 E183 E187:E189 E192:E193 E195:E197 E199:E202 E204 E208:E211 E215 E218 E222:E225 E229 E231:E232 E235:E236 E241:E244 E246 E248:E249 E251:E256 E262 E264 E267 E269 E274 E276 E278 E286:E291 E336:E337 E340:E341 E344 E346:E348 E366 E373:E374 E376 E378:E379 E384 E386:E387 E391 E393 E395 E397:E399 E401:E402 E408:E410 E412 E418 E420 E424 E429 E433 E444:E446 E448:E449 E461:E462 E465:E466 E468:E469 E472:E475 E489:E490 E498:E499 E508 E516 E522:E524 E528 E530:E531 E534 E544 E551:E552 E560:E565 E571:E574 E577:E578 E584 E588:E589 E591 E593:E595 E607 E619 E623 E631 E635 E641 E648:E649 E673:E674 E681 E684 E688 E690:E691 E695 E712 E715:E717 E719:E721 E746 E760 E767:E769 E779 E791:E792 E823 E830 E836 E850:E851 E875:E877 E889 E891:E892 E925 E927 E933 E935 E965 E968:E974 E976:E982 E1000 E1003:E1005 E1009:E1010 E1013 E1017 E1025 E1041:E1042 E1064 E1074 E1090:E1091 E1096:E1097 E1111 E1113:E1114 E1130 E1134 E1137:E1138 E1141 E1145 E1149:E1150 E1154:E1155 E1163:E1165 E1179 E1183 E1213 E1239:E1241 E1244:E1245 E1247:E1251 E1254:E1255 E1258:E1259 E1263 E1269 E1272:E1274 E1276:E1277 E1287 E1289 E1291 E1294 E1347 E1349 E1361 E1377 E1393 E1396:E1398 E1405:E1407 E1414 E1463:E1464 E1473 E1500 E1512 E1518:E1524 E1529 E1532 E1535:E1536 E1541:E1542 E1546:E1547 E1581 E1585 E1591 E1596 E1598 E1600 E1602 E1605 E1607 E1610 E1620 E1622 E1627:E1630 E1654:E1655 E1657 E1662:E1663 E1668:E1670 E1672:E1675 E1678 E1681 E1697 E1706:E1708 E1710 E1714 E1716:E1718 E1720 E1728 E1742 E1750 E1753:E1755 E1757:E1761 E1767 E1777 E1779 E1785 E1787 E1790 E1798:E1799 E1816:E1818 E1820:E1821 E1823:E1824 E1832 E1842 E1850:E1851 E1864 E1871:E1872 E1879 E1881 E1883 E1892:E1893 E1896 E1909 E1915 E1934:E1936 E1944 E1946:E1948 E1958 E1984 E1986:E1989 E2001:E2008 E2020:E2021 E2034 E2036:E2037 E2042 E2050:E2051 E2080 E2085:E2088 E2090:E2092 E2099:E2101 E2104 E2107:E2109 E2112:E2113 E2117:E2118 E2125:E2126 E2131 E2133 E2135 E2138:E2139 E2148 E2152 E2157 E2159 E2180:E2181 E2183 E2200 E2207 E2246 E2267 E2297 E2307 E2310 E2312:E2314 E2336:E2337 E2339:E2342 E2344 E2347:E2350 E2352:E2355 E2375:E2376 E2400:E2401 E2404 E2410 E2414:E2415 E2418 E2427 E2429 E2438 E2440:E2441 E2444 E2446:E2449 E2458 E2463 E2465 E2473 E2486:E2489 E2507 E2513:E2521 E2523:E2527 E2539 E2542:E2543 E2560:E2561 E2569:E2570 E2573:E2574 E2577:E2578 E2580 E2594 E2600:E2601 E2604 E2607:E2608 E2611 E2617 E2620 E2622 E2624 E2627 E2635 E2643 E2651:E2652 E2677:E2678 E2689 E2710:E2712 E2719 E2721 E2726 E2738:E2739 E2803 E2835 E2837 E2845:E2846 E2856:E2857 E2866 E2874 E2897:E2899 E2905:E2906 E2910:E2911 E2914:E2915 E2918 E2921 E2926:E2927 E2931 E2934:E2935 E2938 E2943 E2945:E2946 E2948 E2950:E2953 E2955:E2956 E2964 E2967 E2975 E2980 E2999 E3003 E3014 E3029 E3037:E3038 E3060 E3062:E3064 E3075 E3078 E3091 E3100:E3105 E3112 E3124 E3137 E3144:E3145 E3147:E3148 E3166 E3168 E3171:E3173 E3176:E3178 E3199:E3201 E3208 E3212 E3214 E3217 E3224:E3229 E3249 E3264:E3266 E3268 E3270:E3271 E3274:E3276 E3292 E3298 E3306:E3307 E3312 E3318 E3321:E3324 E3329 E3335 E3337:E3338 E3340 E3344:E3346 E3351:E3353 E3356 E3359:E3367 E3369 E3379 E3381 E3385 E3389:E3390 E3399:E3400 E3402:E3404 E3409 E3418 E3420 E3422 E3425:E3426 E3444 E3458 E3460:E3465 E3475 E3479 E3491 E3499 E3502:E3503 E3508 E3510:E3511 E3515 E3518 E3538 E3548:E3549 E3567:E3568 E3570:E3572 E3579 E3581 E3584 E3595 E3599:E3600 E3602:E3603 E3605 E3607 E3611 E3617 E3630 E3632 E3635 E3643 E3646 E3649 E3651:E3652 E3655 E3658:E3659 E3664 E3668:E3669 E3673:E3674 E3676 E3680:E3681 E3684:E3690 E3693:E3697 E3699:E3700 E3702:E3705 E3707:E3709 E3711 E3718 E3729:E3730 E3732 E3735 E3755 E3757:E3758 E3763:E3766 E3773:E3775 E3777:E3778 E3783 E3793:E3795 E3800:E3801 E3803:E3804 E3809 E3815:E3817 E3819:E3820 E3827:E3829 E3835:E3836 E3840:E3843 E3848 E3856 E3858:E3863 E3867:E3868 E3873:E3874 E3876:E3877 E3882:E3885 E3891:E3892 E3894:E3895 E3904:E3907 E3911:E3913 E3915 E3917 E3919 E3923 E3926 E3928:E3932 E3935:E3938 E3940 E3947 E3950 E3954 E3956 E3958:E3959">
      <formula1>"-,M,A,S,L,D,F"</formula1>
    </dataValidation>
    <dataValidation type="list" allowBlank="1" sqref="E2741 E2876:E2887 E2889 E2891 E2907 E2919 E2922 E2965:E2966 E2976:E2979 E2986 E2991 E2995 E3007 E3011:E3012 E3020 E3025 E3027 E3030 E3032 E3034:E3035 E3041 E3043 E3046 E3054 E3067:E3069 E3071 E3073 E3079:E3080 E3082:E3084 E3086:E3089 E3093 E3109 E3113 E3120 E3125 E3128 E3131:E3134 E3136 E3158 E3162 E3169 E3179:E3181 E3183:E3184 E3186:E3189 E3191:E3193 E3196:E3197 E3202:E3207 E3209:E3211 E3215 E3218:E3221 E3236:E3241 E3244:E3245 E3251 E3256 E3258 E3267 E3269 E3272:E3273 E3280:E3281 E3283 E3285 E3290 E3303 E3309:E3311 E3319 E3330:E3331 E3333 E3342 E3348:E3349 E3354:E3355 E3370:E3371 E3374 E3376 E3380 E3382:E3383 E3393:E3394 E3416 E3424 E3427 E3435:E3437 E3439:E3440 E3442:E3443 E3445 E3454 E3466 E3468 E3476 E3480:E3481 E3487 E3492 E3496 E3498 E3504:E3505 E3512 E3521 E3524 E3539:E3540 E3542 E3544 E3546 E3550 E3552 E3554 E3559:E3562 E3564 E3566 E3580 E3586:E3587 E3589 E3593 E3598 E3601 E3604 E3606 E3608 E3619 E3621:E3622 E3626:E3628 E3638 E3644:E3645 E3656:E3657 E3662:E3663 E3670 E3677 E3679">
      <formula1>"-,M,A,D"</formula1>
    </dataValidation>
    <dataValidation type="list" allowBlank="1" sqref="G938 G942 G945:G946 G961 G1059 G1119">
      <formula1>"-,A faire,En cours,Attente R.,Stand-by,Sur T.L.,Mairie,Urgence,Bloqué"</formula1>
    </dataValidation>
    <dataValidation type="list" allowBlank="1" sqref="C5451:C6440">
      <formula1>"-,Michael,Antoine,Manon"</formula1>
    </dataValidation>
    <dataValidation type="list" allowBlank="1" sqref="G936:G937 G939:G940">
      <formula1>"-,A faire,En cours,Attente R.,Stand-by,Sur T.L.,Mairie,Validation BAT en cours,Attente retour ST"</formula1>
    </dataValidation>
    <dataValidation type="list" allowBlank="1" sqref="G2515 G2522 G3547 G3823 G3897 G3927 G3945 G3964 G4037 G4079 G4082 G4199 G4202 G4204 G4206 G4213 G4225 G4246 G4292:G4293 G4297:G4298 G4306 G4308 G4351 G4380 G4386 G4417 G4424 G4448 G4454 G4472 G4481:G4482 G4490 G4495 G4498 G4530 G4541:G4542 G4547 G4561 G4564 G4567:G4568 G4571:G4572 G4575:G4578 G4581 G4584 G4588:G4589 G4591:G4592 G4594 G4597 G4600:G4602 G4604 G4606:G4608 G4610:G4613 G4615:G4634 G4636:G4655 G4658:G4673 G4675:G4689 G4691:G4692 G4694:G4729 G4732:G4744 G4748:G4750 G4752:G4755 G4765 G4767:G4780 G4782:G4940 G4942:G4943 G4961:G4963 G4965:G4999">
      <formula1>"-,A faire,En cours,Attente R.,Stand-by,Sur T.L."</formula1>
    </dataValidation>
    <dataValidation type="list" allowBlank="1" sqref="E3:E5 E7 E16 E18:E28 E30:E32 E37:E38 E41:E47 E49:E51 E54:E56 E59 E61:E69 E72 E75:E76 E78:E79 E81 E85 E87:E89 E91 E93 E95 E101 E104:E110 E114 E117 E120 E122:E130 E132:E153 E159 E163:E165 E167:E168 E170:E172 E176:E178 E182 E184:E186 E191 E198 E203 E205:E207 E212:E214 E216:E217 E219:E221 E227 E230 E233:E234 E239:E240 E245 E247 E250 E257:E258 E263 E265:E266 E268 E270:E273 E275 E277 E279:E281 E285 E296:E299 E301:E304 E306:E307 E309 E311 E314:E316 E318 E322 E324:E328 E330:E335 E339 E342:E343 E345 E349:E359 E363 E367:E372 E377 E381 E383 E388:E389 E392 E394 E396 E400 E403:E406 E417 E419 E421 E423 E425:E427 E431 E434:E436 E438:E439 E442:E443 E447 E450 E452:E454 E456 E458:E460 E463 E467 E470:E471 E476:E479 E483:E486 E491 E494 E497 E500:E504 E509:E511 E513 E517:E521 E527 E529 E533 E536:E538 E541 E543 E545:E547 E549 E553 E555 E557 E569 E579:E581 E585:E586 E590 E592 E597 E599 E601:E604 E606 E608 E610 E615:E618 E620:E622 E630 E632:E634 E639 E643 E645:E647 E650 E652:E671 E675 E677:E678 E680 E682 E685 E687 E689 E692:E693 E703:E707 E709 E711 E713:E714 E718 E725:E727 E730 E732 E735 E739:E740 E744:E745 E747:E748 E750:E753 E759 E761 E763:E765 E771 E782 E784:E785 E788 E790 E794 E798:E800 E802 E807 E811:E813 E815 E822 E831:E835 E840:E841 E844:E846 E854 E857:E858 E861:E864 E866:E867 E870 E874 E878 E880:E883 E888 E890 E893:E894 E899:E908 E932 E934 E941 E948:E955 E958 E960 E966 E975 E983:E985 E999 E1001:E1002 E1006:E1008 E1011:E1012 E1014:E1016 E1018:E1024 E1031:E1040 E1043:E1046 E1050:E1053 E1055 E1061:E1063 E1067 E1072 E1075:E1076 E1080 E1086:E1087 E1094:E1095 E1098:E1102 E1104 E1106 E1108:E1110 E1123 E1127 E1133 E1148 E1152 E1156:E1158 E1171 E1180 E1184:E1185 E1190 E1194:E1196 E1200:E1202 E1204:E1205 E1210 E1222:E1233 E1236:E1237 E1243 E1246 E1252:E1253 E1257 E1260:E1262 E1264:E1267 E1270:E1271 E1279 E1282 E1290 E1297 E1331 E1340:E1341 E1344:E1345 E1359 E1364:E1365 E1367 E1369 E1384 E1390:E1392 E1399 E1401:E1402 E1408:E1410 E1421:E1422 E1424 E1438 E1445 E1449 E1451 E1460:E1461 E1467 E1470 E1498 E2190:E2191 E2193:E2194 E2233:E2234 E2253 E2271 E2273 E2288 E2361 E2402 E2408 E2419 E2424 E2433:E2434 E2453:E2456 E2491 E2512 E2522 E2528:E2529 E2545:E2546 E2552 E3547 E3823 E3897 E3927 E3945 E4037 E4079 E4199 E4202 E4204:E4205 E4213 E4246 E4297:E4298 E4308 E4386 E4499:E4502 E4522 E4544:E4545 E4602 E4623 E4629:E4630 E4635 E4656:E4657 E4670 E4674 E4686 E4690 E4693 E4699:E4700 E4707 E4718:E4719 E4730:E4731 E4745:E4747 E4751 E4756:E4764 E4767:E4768 E4770 E4776 E4795 E4798:E4801 E4810:E4813 E4816:E4817 E4822:E4825 E4827:E4828 E4832:E4837 E4839:E4840 E4844:E4848 E4850:E4855 E4859:E5068">
      <formula1>"-,M,A"</formula1>
    </dataValidation>
    <dataValidation type="list" allowBlank="1" sqref="G614 G809 G865 G879 G898 G920 G926 G930">
      <formula1>"-,A faire,En cours,Attente R.,Stand-by,Sur T.L.,Mairie,Bloqué"</formula1>
    </dataValidation>
    <dataValidation type="list" allowBlank="1" sqref="G2005:G2008 G2020:G2021 G2034 G2036:G2037 G2042 G2050:G2051 G2080 G2085:G2088 G2090:G2092 G2099:G2101 G2104 G2107:G2109 G2112:G2113 G2117:G2118 G2125:G2126 G2131 G2133 G2135 G2138:G2139 G2148 G2152 G2157 G2159 G2180:G2181 G2183 G2200 G2207">
      <formula1>"-,A faire,En cours,Attente R.,Stand-by,Sur T.L.,Mairie,! Urgent !"</formula1>
    </dataValidation>
    <dataValidation type="list" allowBlank="1" sqref="E2506 E2537">
      <formula1>"-,M,A,D,F,Mag,E"</formula1>
    </dataValidation>
    <dataValidation type="list" allowBlank="1" sqref="E70 E86 E113 E154:E156 E190 E194 E226 E228 E237:E238 E259:E261 E282:E284 E292:E295 E300 E305 E310 E312:E313 E317 E319:E321 E329 E338 E360:E362 E364:E365 E375 E380 E382 E385 E390 E407 E411 E413:E414 E432 E437 E440:E441 E464 E487 E514:E515 E548 E550 E554 E556 E568 E575:E576 E582:E583 E587 E605 E609 E613:E614 E628:E629 E637:E638 E640 E672 E676 E679 E683 E694 E696 E701:E702 E710 E723 E731 E741:E743 E749 E754:E755 E758 E766 E770 E772:E773 E775:E776 E786:E787 E793 E808:E809 E816 E828:E829 E837:E838 E842:E843 E849 E856 E865 E868:E869 E879 E886:E887 E896:E898 E920:E923 E926 E929:E931 E936:E940 E942:E947 E959 E961 E963:E964 E1028 E1030 E1056:E1059 E1092 E1119 E1121:E1122 E1124:E1126 E1128 E1131 E1136 E1139:E1140 E1146 E1166:E1167 E1169 E1172 E1174 E1188 E1197:E1199 E1206:E1207 E1219 E1221 E1234:E1235 E1238 E1275 E1280:E1281 E1284:E1286 E1302:E1304 E1306:E1313 E1416:E1418 E1425:E1426 E1428:E1429 E1431 E1433:E1437 E1457:E1459 E1462 E1483 E1485 E1487 E1489 E1491:E1494 E1496:E1497 E1506:E1510 E1544:E1545 E1554:E1555 E1609 E1624:E1626 E1636 E1642 E1658 E1660:E1661 E1680 E1698:E1703 E1722 E1724 E1730:E1734 E1747 E1751:E1752 E1756 E1762:E1765 E1775 E1780:E1781 E1791 E1793 E1805:E1809 E1811 E1815 E1819 E1829:E1830 E1834:E1835 E1837 E1843 E1845:E1847 E1852:E1855 E1861 E1863 E1873:E1878 E1885 E1887 E1891 E1895 E1897:E1898 E1900 E1913:E1914 E1925 E1929 E1932 E1937 E1939 E1941 E1943 E1950 E1953 E1959 E1961 E1975 E1977 E1990 E1993 E1997 E2000 E2009:E2010 E2016:E2017 E2019 E2024 E2028 E2093 E2110:E2111 E2160 E2165 E2169:E2170 E2196 E2202:E2204 E2210:E2211 E2226 E2232 E2236 E2239 E2242 E2260 E2262:E2263 E2290:E2291 E2293 E2357 E2359 E2416 E2423 E2450 E2452 E2457 E2466 E2492:E2493 E2503:E2505">
      <formula1>"-,M,A,D,F,Mag,E,S"</formula1>
    </dataValidation>
    <dataValidation type="list" allowBlank="1" sqref="E2538 E2589 E2686">
      <formula1>"-,M,A,D,F,Mag"</formula1>
    </dataValidation>
    <dataValidation type="list" allowBlank="1" sqref="G1475">
      <formula1>"Terminé,A faire,En cours,Attente R.,Stand-by,Sur T.L.,Mairie,! Urgent !,A Relancer"</formula1>
    </dataValidation>
    <dataValidation type="list" allowBlank="1" sqref="D5069:D5095">
      <formula1>"-,Carole,Jordan,David,Quentin"</formula1>
    </dataValidation>
    <dataValidation type="list" allowBlank="1" sqref="G3:G5 G7 G16 G25:G28 G30:G32 G37:G38 G41:G47 G49:G51 G56 G59 G72 G75:G76 G78:G79 G81 G91 G93 G95 G101 G104:G110 G117 G120 G122 G159 G163:G165 G167:G168 G170:G172 G176:G178 G182 G184:G186 G198 G203 G205:G207 G212:G214 G216:G217 G219:G221 G227 G230 G233:G234 G239:G240 G245 G247 G250 G257:G258 G263 G265:G266 G268 G270:G273 G275 G277 G279:G281 G285 G296:G299 G303:G304 G309 G311 G316 G318 G324:G325 G328 G330:G332 G335 G342:G343 G345 G349 G363 G367:G372 G377 G381 G383 G392 G394 G396 G400 G403:G406 G419 G421 G423 G425:G427 G431 G435:G436 G438:G439 G442:G443 G447 G450 G452:G453 G456 G463 G471 G477:G479 G486 G494 G497 G501 G509:G511 G513 G517 G519 G521 G527 G533 G536 G541 G545 G590 G592 G597 G599 G601:G603 G606 G608 G617:G618 G620:G621 G630 G632:G634 G636 G639 G643:G646 G652:G671 G675 G677:G678 G680 G682 G687 G689 G692:G693 G705:G707 G709 G713:G714 G718 G725:G727 G732 G735 G744:G745 G747:G748 G750:G753 G759 G771 G777:G778 G780 G782:G785 G788 G790 G794:G795 G798:G799 G802 G807 G810:G815 G820:G822 G831:G835 G840:G841 G844:G848 G852:G855 G857:G858 G861:G864 G866:G867 G870 G874 G878 G880:G884 G888 G890 G893:G895 G899:G908 G928 G932 G934 G941 G944 G947:G960 G962:G964 G966 G975 G983:G985 G999 G1001:G1002 G1004 G1006:G1008 G1011:G1012 G1014:G1016 G1018:G1024 G1028:G1040 G1043:G1046 G1050:G1058 G1060:G1063 G1067 G1072:G1073 G1075:G1087 G1092 G1094:G1095 G1098:G1104 G1106:G1110 G1112 G1121:G1128 G1133 G1140 G1146:G1148 G1151:G1153 G1156:G1158 G1166:G1167 G1169 G1171:G1174 G1180:G1182 G1184:G1188 G1190:G1192 G1194:G1207 G1210 G1219 G1221:G1238 G1242:G1243 G1246 G1252:G1253 G1256:G1257 G1260:G1262 G1264:G1268 G1270:G1271 G1274:G1275 G1278:G1286 G1288 G1290 G1292:G1295 G1297:G1304 G1306:G1314 G1331 G1333:G1334 G1336 G1339:G1342 G1344:G1346 G1350:G1351 G1353:G1354 G1357 G1359 G1364:G1365 G1367 G1369 G1372:G1374 G1379:G1384 G1390:G1392 G1399 G1401:G1402 G1408:G1410 G1416:G1418 G1420:G1422 G1424:G1426 G1428:G1429 G1431 G1433:G1438 G1445 G1449:G1451 G1453 G1457:G1462 G1467:G1468 G1470 G1478 G1482:G1485 G1487 G1489 G1491:G1494 G1496:G1499 G1501:G1510 G1525:G1528 G1530:G1531 G1533:G1534 G1537:G1540 G1543:G1545 G1548:G1580 G1582:G1584 G1586:G1590 G1592:G1595 G1597 G1599 G1601 G1603:G1604 G1606 G1608:G1609 G1611:G1619 G1621 G1623:G1626 G1631:G1651 G1653 G1656 G1658 G1660:G1661 G1664:G1667 G1671 G1676:G1677 G1679:G1680 G1682:G1696 G1698:G1705 G1709 G1711:G1713 G1715 G1719 G1721:G1724 G1726:G1727 G1729:G1734 G1736:G1741 G1743:G1749 G1751:G1752 G1756 G1762:G1766 G1768:G1770 G1772:G1776 G1778 G1780:G1784 G1786 G1788:G1789 G1791:G1797 G1800:G1815 G1819 G1822 G1825 G1827:G1831 G1833:G1835 G1837 G1839:G1841 G1843:G1849 G1852:G1863 G1865:G1870 G1873:G1878 G1880 G1882 G1884:G1891 G1894:G1895 G1897:G1904 G1906:G1908 G1910:G1914 G1916:G1918 G1920:G1921 G1923:G1933 G1937:G1943 G1945 G1949:G1957 G1959:G1983 G1985 G1990:G2000 G2009:G2019 G2023:G2028 G2030:G2033 G2035 G2038:G2041 G2043:G2049 G2052:G2060 G2062:G2079 G2081:G2083 G2089 G2093:G2098 G2102:G2103 G2105:G2106 G2110:G2111 G2114:G2116 G2119:G2124 G2127:G2130 G2132 G2134 G2136:G2137 G2140:G2147 G2149:G2151 G2153:G2156 G2158 G2160:G2165 G2167:G2179 G2182 G2184:G2199 G2201:G2206 G2208:G2224 G2226:G2254 G2256 G2258:G2275 G2277:G2283 G2285:G2396 G2398:G2461 G2463:G2514 G2516:G2521 G2523:G2671 G2673:G2729 G2732:G2742 G2744 G2748 G2750:G2932 G2934:G3234 G3236:G3331 G3333:G3406 G3408:G3481 G3483:G3496 G3498:G3512 G3514:G3546 G3548:G3619 G3621:G3628 G3630:G3660 G3662:G3769 G3771:G3822 G3824:G3896 G3898:G3926 G3928:G3944 G3946:G3963 G3965:G4036 G4038:G4078 G4080:G4081 G4083:G4198 G4200:G4201 G4203 G4205 G4207:G4212 G4214:G4224 G4226:G4245 G4247:G4291 G4294:G4296 G4299:G4305 G4307 G4309:G4350 G4352:G4379 G4381:G4385 G4387:G4396 G4398:G4416 G4418:G4423 G4425:G4447 G4449:G4453 G4455:G4471 G4473:G4480 G4483:G4489 G4491:G4494 G4496 G4504 G4507:G4529 G4532 G4534 G4548:G4560 G4562:G4563 G4565:G4566 G4569:G4570 G4573:G4574 G4579:G4580 G4582:G4583 G4585:G4587 G4590 G4593 G4595:G4596 G4598:G4599 G4603 G4605 G4609 G4614">
      <formula1>"-,A faire,En cours,Attente R.,Stand-by,Sur T.L.,Mairie"</formula1>
    </dataValidation>
    <dataValidation type="list" allowBlank="1" sqref="E2192 E2249:E2252 E2254 E2256 E2272 E2274:E2275 E2277:E2283 E2315 E2320:E2332 E2403 E2556 E2565 E2575:E2576 E2582 E2591:E2593 E2603 E2628 E2662:E2671 E2676 E2685 E2700:E2701 E2703 E2766">
      <formula1>"-,Michael,Antoine,Elisabeth,Marguerite,Florent"</formula1>
    </dataValidation>
    <dataValidation type="list" allowBlank="1" sqref="E2308 E2319 E2360 E2362:E2374 E2387:E2395 E2709 E2722:E2725 E2727:E2729 E2732:E2734 E2742 E2744 E2748 E2750:E2751">
      <formula1>"-,Michael,Antoine,Elisabeth,Marguerite"</formula1>
    </dataValidation>
    <dataValidation type="list" allowBlank="1" sqref="G6 G8:G15 G17 G29 G33:G36 G39:G40 G48 G52:G53 G57:G58 G60 G71 G73:G74 G77 G80 G82:G84 G90 G92 G94 G96:G100 G102:G103 G111:G112 G115:G116 G118:G119 G121 G131 G157:G158 G160:G162 G166 G169 G173:G175 G179:G181 G183 G187:G189 G192:G193 G195:G197 G199:G202 G204 G208:G211 G215 G218 G222:G225 G229 G231:G232 G235:G236 G241:G244 G246 G248:G249 G251:G256 G262 G264 G267 G269 G274 G276 G278 G286:G291 G336:G337 G340:G341 G344 G346:G348 G366 G373:G374 G376 G378:G379 G384 G386:G387 G391 G393 G395 G397:G399 G401:G402 G408:G410 G412 G415:G416 G418 G420 G422 G424 G428:G430 G433 G444:G446 G448:G449 G451 G457 G461:G462 G465:G466 G468:G469 G472:G475 G480:G482 G488:G490 G492:G493 G495:G496 G498:G499 G505:G508 G512 G516 G522:G526 G528 G530:G532 G534:G535 G539:G540 G542 G544 G551:G552 G558:G567 G571:G574 G577:G578 G584 G588:G589 G591 G593:G596 G598 G600 G607 G611:G612 G619 G623:G627 G631 G635 G641:G642 G648:G649 G651 G673:G674 G681 G684 G688 G690:G691 G695 G697:G700 G708 G712 G715:G717 G719:G722 G724 G728:G729 G734 G736:G738 G746 G756:G757 G760 G767:G769 G774 G779 G781 G789 G791:G792 G796:G797 G801 G803:G806 G817:G819 G823:G827 G830 G836 G850:G851 G859:G860 G871:G873 G875:G877 G885 G889 G891:G892 G909 G911:G919 G925 G927 G933 G935 G965 G968:G974 G976:G982 G986:G998 G1000 G1003 G1005 G1009:G1010 G1013 G1017 G1025:G1027 G1041:G1042 G1047:G1049 G1064:G1065 G1068:G1071 G1074 G1088:G1091 G1093 G1096:G1097 G1105 G1111 G1113:G1118 G1120 G1129:G1130 G1134:G1135 G1137:G1138 G1141:G1145 G1149:G1150 G1154:G1155 G1159:G1165 G1168 G1170 G1175:G1179 G1183 G1189 G1193 G1208:G1209 G1212:G1218 G1239:G1241 G1244:G1245 G1247:G1251 G1254:G1255 G1258:G1259 G1263 G1269 G1272:G1273 G1276:G1277 G1287 G1289 G1291 G1296 G1305 G1315:G1330 G1332 G1335 G1338 G1343 G1347:G1349 G1352 G1355:G1356 G1358 G1360:G1363 G1366 G1368 G1370:G1371 G1375:G1378 G1385:G1389 G1393:G1398 G1400 G1403:G1407 G1411:G1415 G1419 G1423 G1432 G1439:G1444 G1446:G1448 G1452 G1454:G1456 G1463:G1466 G1469 G1471:G1474 G1476 G1479:G1480 G1500 G1512:G1513 G1516:G1524 G1529 G1532 G1535:G1536 G1541:G1542 G1546:G1547 G1581 G1585 G1591 G1596 G1598 G1600 G1602 G1605 G1607 G1610 G1620 G1622 G1627:G1630 G1654:G1655 G1657 G1662:G1663 G1668:G1670 G1672:G1675 G1678 G1681 G1697 G1706:G1708 G1710 G1714 G1716:G1718 G1720 G1728 G1742 G1750 G1753:G1755 G1757:G1761 G1767 G1777 G1779 G1785 G1787 G1790 G1798:G1799 G1816:G1818 G1820:G1821 G1823:G1824 G1832 G1842 G1850:G1851 G1864 G1871:G1872 G1879 G1881 G1883 G1892:G1893 G1896 G1909 G1915 G1934:G1936 G1944 G1946:G1948 G1958 G1984 G1986:G1989 G2001:G2004">
      <formula1>"-,A faire,En cours,Attente R.,Stand-by,Sur T.L.,Mairie,! Urgent !,A Relancer"</formula1>
    </dataValidation>
    <dataValidation type="list" allowBlank="1" sqref="G1905 G2084">
      <formula1>"Pause,A faire,En cours,Attente R.,Stand-by,Sur T.L.,Mairie"</formula1>
    </dataValidation>
    <dataValidation type="list" allowBlank="1" sqref="E12 E36">
      <formula1>"-,M,An,Av"</formula1>
    </dataValidation>
    <dataValidation type="list" allowBlank="1" sqref="E323 E686 E733 E762 E895 E956:E957 E962 E1029 E1191 E1203 E1292:E1293 E1299:E1301 E1712 E1748:E1749 E1770 E1794:E1796 E1856 E1858 E1862 E1880 E1884 E1886 E1894 E1916:E1918 E1920:E1921 E1923 E1942 E1951 E1956:E1957 E1965:E1967 E1980 E1991 E1994:E1995 E2039:E2040 E2046:E2047 E2049 E2068 E2070 E2072 E2076 E2081:E2082 E2095 E2098 E2102 E2119:E2121 E2124 E2127:E2130 E2132 E2134 E2136:E2137 E2143 E2151 E2153:E2155 E2176:E2177 E2184 E2195 E2205 E2209 E2212 E2216 E2221:E2224 E2229:E2230 E2240:E2241 E2244 E2264 E2292 E2300:E2303 E2317:E2318 E2333:E2335 E2343 E2351 E2377 E2386 E2396 E2398:E2399 E2405:E2406 E2411:E2413 E2421 E2428 E2430 E2436:E2437 E2451 E2459:E2461 E2475 E2479:E2480 E2490 E2495:E2501 E2508 E2530:E2532 E2534 E2544 E2548 E2579 E2581 E2583 E2609 E2616 E2623 E2625:E2626 E2629:E2630 E2659 E2683 E2688 E2691:E2692 E2698:E2699 E2702 E2715 E2720 E2737 E2752 E2765 E2768:E2770 E2781 E2797:E2798 E2800:E2801 E2836 E2848:E2849 E2854:E2855 E2858 E2865 E2870:E2872 E2895 E2903 E2908:E2909 E2917 E2924 E2928:E2930 E2932 E2936 E2939 E2941:E2942 E2947 E2954 E2957 E2962 E2974 E2994 E2998 E3001 E3005:E3006 E3008:E3009 E3021 E3031 E3036 E3039 E3049 E3057 E3070 E3090 E3092 E3095:E3096 E3106:E3107 E3111 E3116 E3122:E3123 E3126 E3139:E3142 E3151:E3153 E3155 E3159 E3165 E3170 E3174:E3175 E3182 E3185 E3190 E3194:E3195 E3223 E3231:E3232 E3234 E3250 E3252:E3253 E3257 E3260 E3262 E3282 E3284 E3287:E3288 E3293 E3299:E3300 E3313 E3325:E3326 E3341 E3347 E3350 E3358 E3368 E3372 E3377:E3378 E3386:E3388 E3406 E3412:E3413 E3415 E3428 E3441 E3446 E3451 E3457 E3469:E3473 E3486 E3489:E3490 E3493:E3495 E3532 E3541 E3543 E3545 E3555 E3557 E3563 E3575:E3578 E3590:E3592 E3609 E3612:E3615 E3618 E3623:E3625 E3631 E3633 E3636 E3639:E3640 E3642 E3647:E3648 E3650 E3653:E3654 E3665:E3667 E3671:E3672 E3675 E3678 E3683 E3691:E3692 E3698 E3701 E3712:E3716 E3719:E3728 E3734 E3738 E3759:E3761 E3767 E3769 E3771:E3772 E3784:E3785 E3790:E3792 E3797 E3799 E3810:E3812 E3821:E3822 E3824:E3825 E3845:E3846 E3852:E3855 E3869 E3889 E3896 E3899:E3900 E3902 E3908:E3910 E3949 E3951:E3952 E3955 E3962 E3964:E3965 E3971:E3973 E3978:E3979 E3989 E3991 E4004 E4011 E4025:E4026 E4045:E4048 E4054 E4058 E4062 E4065 E4086 E4088 E4090:E4091 E4096:E4098 E4101 E4110:E4111 E4113 E4116:E4117 E4121 E4127 E4135 E4139 E4159 E4167:E4168 E4170 E4173 E4175 E4179 E4181:E4182 E4191 E4195:E4198 E4200:E4201 E4212 E4223 E4225 E4228:E4230 E4234:E4242 E4261:E4262 E4274 E4277 E4296 E4301:E4302 E4309 E4314 E4320 E4329 E4339 E4344:E4345 E4350 E4353:E4356 E4362 E4365 E4367:E4368 E4382 E4384:E4385 E4393:E4396 E4398 E4400 E4405 E4407 E4427 E4430:E4431 E4433:E4436 E4440 E4443:E4445 E4453 E4458 E4464 E4466 E4469:E4470 E4473:E4474 E4476 E4487 E4492:E4493 E4507">
      <formula1>"-,M,A,S,L,F"</formula1>
    </dataValidation>
    <dataValidation type="list" allowBlank="1" sqref="D5096:D5105 D5107:D5137 D5139:D5175 D5177:D5180 D5182:D5192 D5195:D5226 D5228:D5234 D5239:D5252 D5254:D5291 D5293:D5324 D5326 D5330:D5343 D5345 D5347:D5349 D5351:D5352 D5355:D5358 D5360:D5382 D5386:D5393 D5395:D5396 D5398 D5400:D5406 D5408 D5411:D5421 D5423:D5424 D5426:D5427 D5436:D5438 D5440:D5450 D5456 D5458:D5460">
      <formula1>"Z,Carole,Jordan,David"</formula1>
    </dataValidation>
    <dataValidation type="list" allowBlank="1" sqref="E1526:E1527 E1537:E1539 E1550:E1551 E1558:E1576 E1614:E1618 E1631:E1635 E1643:E1644 E1648:E1651 E1653 E1682:E1695 E1737:E1738 E1745:E1746 E1825 E1827:E1828 E1839 E1849 E1866:E1870 E1889:E1890 E1903:E1907 E1955 E1962 E1971:E1973 E1976 E1979 E1996 E2033 E2052:E2060 E2062:E2067 E2083:E2084 E2089 E2094 E2096:E2097 E2103 E2105:E2106 E2114:E2116 E2122:E2123 E2163 E2171 E2182 E2187">
      <formula1>"-,M,A,S"</formula1>
    </dataValidation>
    <dataValidation type="list" allowBlank="1" sqref="E415:E416 E422 E428 E430 E451 E457 E480:E482 E488 E492:E493 E495:E496 E505:E507 E512 E525:E526 E532 E535 E539:E540 E542 E558:E559 E566:E567 E596 E598 E600 E611:E612 E624:E627 E642 E651 E697:E700 E708 E722 E724 E728:E729 E734 E736:E738 E756:E757 E774 E781 E789 E796:E797 E801 E803:E806 E817:E819 E824:E827 E859:E860 E871:E873 E885 E909 E911:E919 E986:E998 E1026:E1027 E1047:E1049 E1065 E1068:E1071 E1088:E1089 E1093 E1105 E1115:E1118 E1120 E1129 E1135 E1142:E1144 E1159:E1162 E1168 E1170 E1175:E1178 E1189 E1193 E1208:E1209 E1212 E1214:E1218 E1296 E1305 E1315:E1330 E1332 E1335 E1338 E1343 E1348 E1352 E1355:E1356 E1358 E1360 E1362:E1363 E1366 E1368 E1370:E1371 E1375:E1376 E1378 E1385:E1389 E1394:E1395 E1400 E1403:E1404 E1411:E1413 E1415 E1419 E1423 E1432 E1439:E1444 E1446:E1448 E1452 E1454:E1456 E1465:E1466 E1469 E1471:E1472 E1474:E1476 E1479:E1480 E1513 E1516:E1517">
      <formula1>"-,Michael,Antoine,Sophie,Avner,Marie,Marguerite,Florent"</formula1>
    </dataValidation>
  </dataValidations>
  <hyperlinks>
    <hyperlink r:id="rId1" ref="B4287"/>
    <hyperlink r:id="rId2" ref="B4289"/>
    <hyperlink r:id="rId3" ref="B4342"/>
    <hyperlink r:id="rId4" ref="H4870"/>
    <hyperlink r:id="rId5" ref="H4923"/>
    <hyperlink r:id="rId6" ref="H4986"/>
    <hyperlink r:id="rId7" ref="H5017"/>
    <hyperlink r:id="rId8" ref="B5279"/>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9108</v>
      </c>
    </row>
    <row r="2">
      <c r="A2" s="37"/>
      <c r="B2" s="38" t="s">
        <v>1</v>
      </c>
      <c r="C2" s="39" t="s">
        <v>2</v>
      </c>
      <c r="D2" s="39" t="s">
        <v>3</v>
      </c>
      <c r="E2" s="40" t="s">
        <v>4</v>
      </c>
      <c r="F2" s="39" t="s">
        <v>5</v>
      </c>
      <c r="G2" s="40" t="s">
        <v>6</v>
      </c>
      <c r="H2" s="40" t="s">
        <v>7</v>
      </c>
      <c r="I2" s="40" t="s">
        <v>8</v>
      </c>
      <c r="J2" s="41"/>
    </row>
    <row r="3">
      <c r="A3" s="42" t="s">
        <v>330</v>
      </c>
      <c r="B3" s="47"/>
      <c r="C3" s="9" t="s">
        <v>11</v>
      </c>
      <c r="D3" s="8" t="str">
        <f t="shared" ref="D3:D712" si="1">IFERROR(_xlfn.WORKDAY.INTL(C3, 2),"-")</f>
        <v>-</v>
      </c>
      <c r="E3" s="9"/>
      <c r="F3" s="10"/>
      <c r="G3" s="9"/>
      <c r="H3" s="11"/>
      <c r="I3" s="9" t="s">
        <v>13</v>
      </c>
      <c r="J3" s="44"/>
    </row>
    <row r="4">
      <c r="A4" s="42" t="s">
        <v>330</v>
      </c>
      <c r="B4" s="47"/>
      <c r="C4" s="9" t="s">
        <v>11</v>
      </c>
      <c r="D4" s="8" t="str">
        <f t="shared" si="1"/>
        <v>-</v>
      </c>
      <c r="E4" s="9"/>
      <c r="F4" s="10"/>
      <c r="G4" s="9"/>
      <c r="H4" s="11"/>
      <c r="I4" s="9" t="s">
        <v>13</v>
      </c>
      <c r="J4" s="44"/>
    </row>
    <row r="5">
      <c r="A5" s="42" t="s">
        <v>330</v>
      </c>
      <c r="B5" s="47"/>
      <c r="C5" s="9" t="s">
        <v>11</v>
      </c>
      <c r="D5" s="8" t="str">
        <f t="shared" si="1"/>
        <v>-</v>
      </c>
      <c r="E5" s="9"/>
      <c r="F5" s="10"/>
      <c r="G5" s="9"/>
      <c r="H5" s="11"/>
      <c r="I5" s="9" t="s">
        <v>13</v>
      </c>
      <c r="J5" s="44"/>
    </row>
    <row r="6">
      <c r="A6" s="42" t="s">
        <v>330</v>
      </c>
      <c r="B6" s="47"/>
      <c r="C6" s="9" t="s">
        <v>11</v>
      </c>
      <c r="D6" s="8" t="str">
        <f t="shared" si="1"/>
        <v>-</v>
      </c>
      <c r="E6" s="9"/>
      <c r="F6" s="10"/>
      <c r="G6" s="9"/>
      <c r="H6" s="11"/>
      <c r="I6" s="9" t="s">
        <v>13</v>
      </c>
      <c r="J6" s="44"/>
    </row>
    <row r="7">
      <c r="A7" s="42" t="s">
        <v>330</v>
      </c>
      <c r="B7" s="47"/>
      <c r="C7" s="9" t="s">
        <v>11</v>
      </c>
      <c r="D7" s="8" t="str">
        <f t="shared" si="1"/>
        <v>-</v>
      </c>
      <c r="E7" s="9"/>
      <c r="F7" s="10"/>
      <c r="G7" s="9"/>
      <c r="H7" s="11"/>
      <c r="I7" s="9" t="s">
        <v>13</v>
      </c>
      <c r="J7" s="44"/>
    </row>
    <row r="8">
      <c r="A8" s="42" t="s">
        <v>330</v>
      </c>
      <c r="B8" s="47"/>
      <c r="C8" s="9" t="s">
        <v>11</v>
      </c>
      <c r="D8" s="8" t="str">
        <f t="shared" si="1"/>
        <v>-</v>
      </c>
      <c r="E8" s="9"/>
      <c r="F8" s="10"/>
      <c r="G8" s="9"/>
      <c r="H8" s="11"/>
      <c r="I8" s="9" t="s">
        <v>13</v>
      </c>
      <c r="J8" s="44"/>
    </row>
    <row r="9">
      <c r="A9" s="42" t="s">
        <v>330</v>
      </c>
      <c r="B9" s="47"/>
      <c r="C9" s="9" t="s">
        <v>11</v>
      </c>
      <c r="D9" s="8" t="str">
        <f t="shared" si="1"/>
        <v>-</v>
      </c>
      <c r="E9" s="9"/>
      <c r="F9" s="10"/>
      <c r="G9" s="9"/>
      <c r="H9" s="11"/>
      <c r="I9" s="9" t="s">
        <v>13</v>
      </c>
      <c r="J9" s="44"/>
    </row>
    <row r="10">
      <c r="A10" s="42" t="s">
        <v>330</v>
      </c>
      <c r="B10" s="47"/>
      <c r="C10" s="9" t="s">
        <v>11</v>
      </c>
      <c r="D10" s="8" t="str">
        <f t="shared" si="1"/>
        <v>-</v>
      </c>
      <c r="E10" s="9"/>
      <c r="F10" s="10"/>
      <c r="G10" s="9"/>
      <c r="H10" s="11"/>
      <c r="I10" s="9" t="s">
        <v>13</v>
      </c>
      <c r="J10" s="44"/>
    </row>
    <row r="11">
      <c r="A11" s="42" t="s">
        <v>330</v>
      </c>
      <c r="B11" s="47"/>
      <c r="C11" s="9" t="s">
        <v>11</v>
      </c>
      <c r="D11" s="8" t="str">
        <f t="shared" si="1"/>
        <v>-</v>
      </c>
      <c r="E11" s="9"/>
      <c r="F11" s="10"/>
      <c r="G11" s="9"/>
      <c r="H11" s="11"/>
      <c r="I11" s="9" t="s">
        <v>13</v>
      </c>
      <c r="J11" s="44"/>
    </row>
    <row r="12">
      <c r="A12" s="42" t="s">
        <v>330</v>
      </c>
      <c r="B12" s="47"/>
      <c r="C12" s="9" t="s">
        <v>11</v>
      </c>
      <c r="D12" s="8" t="str">
        <f t="shared" si="1"/>
        <v>-</v>
      </c>
      <c r="E12" s="9"/>
      <c r="F12" s="10"/>
      <c r="G12" s="9"/>
      <c r="H12" s="11"/>
      <c r="I12" s="9" t="s">
        <v>13</v>
      </c>
      <c r="J12" s="44"/>
    </row>
    <row r="13">
      <c r="A13" s="42" t="s">
        <v>330</v>
      </c>
      <c r="B13" s="47"/>
      <c r="C13" s="9" t="s">
        <v>11</v>
      </c>
      <c r="D13" s="8" t="str">
        <f t="shared" si="1"/>
        <v>-</v>
      </c>
      <c r="E13" s="9"/>
      <c r="F13" s="10"/>
      <c r="G13" s="9"/>
      <c r="H13" s="11"/>
      <c r="I13" s="9" t="s">
        <v>13</v>
      </c>
      <c r="J13" s="44"/>
    </row>
    <row r="14">
      <c r="A14" s="42" t="s">
        <v>330</v>
      </c>
      <c r="B14" s="47"/>
      <c r="C14" s="9" t="s">
        <v>11</v>
      </c>
      <c r="D14" s="8" t="str">
        <f t="shared" si="1"/>
        <v>-</v>
      </c>
      <c r="E14" s="9"/>
      <c r="F14" s="10"/>
      <c r="G14" s="9"/>
      <c r="H14" s="11"/>
      <c r="I14" s="9" t="s">
        <v>13</v>
      </c>
      <c r="J14" s="44"/>
    </row>
    <row r="15">
      <c r="A15" s="42" t="s">
        <v>330</v>
      </c>
      <c r="B15" s="47"/>
      <c r="C15" s="9" t="s">
        <v>11</v>
      </c>
      <c r="D15" s="8" t="str">
        <f t="shared" si="1"/>
        <v>-</v>
      </c>
      <c r="E15" s="9"/>
      <c r="F15" s="10"/>
      <c r="G15" s="9"/>
      <c r="H15" s="11"/>
      <c r="I15" s="9" t="s">
        <v>13</v>
      </c>
      <c r="J15" s="44"/>
    </row>
    <row r="16">
      <c r="A16" s="42" t="s">
        <v>330</v>
      </c>
      <c r="B16" s="47"/>
      <c r="C16" s="9" t="s">
        <v>11</v>
      </c>
      <c r="D16" s="8" t="str">
        <f t="shared" si="1"/>
        <v>-</v>
      </c>
      <c r="E16" s="9"/>
      <c r="F16" s="10"/>
      <c r="G16" s="9"/>
      <c r="H16" s="11"/>
      <c r="I16" s="9" t="s">
        <v>13</v>
      </c>
      <c r="J16" s="44"/>
    </row>
    <row r="17">
      <c r="A17" s="42" t="s">
        <v>330</v>
      </c>
      <c r="B17" s="47"/>
      <c r="C17" s="9" t="s">
        <v>11</v>
      </c>
      <c r="D17" s="8" t="str">
        <f t="shared" si="1"/>
        <v>-</v>
      </c>
      <c r="E17" s="9"/>
      <c r="F17" s="10"/>
      <c r="G17" s="9"/>
      <c r="H17" s="11"/>
      <c r="I17" s="9" t="s">
        <v>13</v>
      </c>
      <c r="J17" s="44"/>
    </row>
    <row r="18">
      <c r="A18" s="42" t="s">
        <v>330</v>
      </c>
      <c r="B18" s="47"/>
      <c r="C18" s="9" t="s">
        <v>11</v>
      </c>
      <c r="D18" s="8" t="str">
        <f t="shared" si="1"/>
        <v>-</v>
      </c>
      <c r="E18" s="9"/>
      <c r="F18" s="10"/>
      <c r="G18" s="9"/>
      <c r="H18" s="11"/>
      <c r="I18" s="9" t="s">
        <v>13</v>
      </c>
      <c r="J18" s="44"/>
    </row>
    <row r="19">
      <c r="A19" s="42" t="s">
        <v>330</v>
      </c>
      <c r="B19" s="47"/>
      <c r="C19" s="9" t="s">
        <v>11</v>
      </c>
      <c r="D19" s="8" t="str">
        <f t="shared" si="1"/>
        <v>-</v>
      </c>
      <c r="E19" s="9"/>
      <c r="F19" s="10"/>
      <c r="G19" s="9"/>
      <c r="H19" s="11"/>
      <c r="I19" s="9" t="s">
        <v>13</v>
      </c>
      <c r="J19" s="44"/>
    </row>
    <row r="20">
      <c r="A20" s="42" t="s">
        <v>330</v>
      </c>
      <c r="B20" s="47"/>
      <c r="C20" s="9" t="s">
        <v>11</v>
      </c>
      <c r="D20" s="8" t="str">
        <f t="shared" si="1"/>
        <v>-</v>
      </c>
      <c r="E20" s="9"/>
      <c r="F20" s="10"/>
      <c r="G20" s="9"/>
      <c r="H20" s="11"/>
      <c r="I20" s="9" t="s">
        <v>13</v>
      </c>
      <c r="J20" s="44"/>
    </row>
    <row r="21">
      <c r="A21" s="42" t="s">
        <v>330</v>
      </c>
      <c r="B21" s="47"/>
      <c r="C21" s="9" t="s">
        <v>11</v>
      </c>
      <c r="D21" s="8" t="str">
        <f t="shared" si="1"/>
        <v>-</v>
      </c>
      <c r="E21" s="9"/>
      <c r="F21" s="10"/>
      <c r="G21" s="9"/>
      <c r="H21" s="11"/>
      <c r="I21" s="9" t="s">
        <v>13</v>
      </c>
      <c r="J21" s="44"/>
    </row>
    <row r="22">
      <c r="A22" s="42" t="s">
        <v>330</v>
      </c>
      <c r="B22" s="47"/>
      <c r="C22" s="9" t="s">
        <v>11</v>
      </c>
      <c r="D22" s="8" t="str">
        <f t="shared" si="1"/>
        <v>-</v>
      </c>
      <c r="E22" s="9"/>
      <c r="F22" s="10"/>
      <c r="G22" s="9"/>
      <c r="H22" s="11"/>
      <c r="I22" s="9" t="s">
        <v>13</v>
      </c>
      <c r="J22" s="44"/>
    </row>
    <row r="23">
      <c r="A23" s="42" t="s">
        <v>330</v>
      </c>
      <c r="B23" s="47"/>
      <c r="C23" s="9" t="s">
        <v>11</v>
      </c>
      <c r="D23" s="8" t="str">
        <f t="shared" si="1"/>
        <v>-</v>
      </c>
      <c r="E23" s="9"/>
      <c r="F23" s="10"/>
      <c r="G23" s="9"/>
      <c r="H23" s="11"/>
      <c r="I23" s="9" t="s">
        <v>13</v>
      </c>
      <c r="J23" s="44"/>
    </row>
    <row r="24">
      <c r="A24" s="42" t="s">
        <v>330</v>
      </c>
      <c r="B24" s="47"/>
      <c r="C24" s="9" t="s">
        <v>11</v>
      </c>
      <c r="D24" s="8" t="str">
        <f t="shared" si="1"/>
        <v>-</v>
      </c>
      <c r="E24" s="9"/>
      <c r="F24" s="10"/>
      <c r="G24" s="9"/>
      <c r="H24" s="11"/>
      <c r="I24" s="9" t="s">
        <v>13</v>
      </c>
      <c r="J24" s="44"/>
    </row>
    <row r="25">
      <c r="A25" s="42" t="s">
        <v>330</v>
      </c>
      <c r="B25" s="47"/>
      <c r="C25" s="9" t="s">
        <v>11</v>
      </c>
      <c r="D25" s="8" t="str">
        <f t="shared" si="1"/>
        <v>-</v>
      </c>
      <c r="E25" s="9"/>
      <c r="F25" s="10"/>
      <c r="G25" s="9"/>
      <c r="H25" s="11"/>
      <c r="I25" s="9" t="s">
        <v>13</v>
      </c>
      <c r="J25" s="44"/>
    </row>
    <row r="26">
      <c r="A26" s="42" t="s">
        <v>330</v>
      </c>
      <c r="B26" s="47"/>
      <c r="C26" s="9" t="s">
        <v>11</v>
      </c>
      <c r="D26" s="8" t="str">
        <f t="shared" si="1"/>
        <v>-</v>
      </c>
      <c r="E26" s="9"/>
      <c r="F26" s="10"/>
      <c r="G26" s="9"/>
      <c r="H26" s="11"/>
      <c r="I26" s="9" t="s">
        <v>13</v>
      </c>
      <c r="J26" s="44"/>
    </row>
    <row r="27">
      <c r="A27" s="42" t="s">
        <v>330</v>
      </c>
      <c r="B27" s="47"/>
      <c r="C27" s="9" t="s">
        <v>11</v>
      </c>
      <c r="D27" s="8" t="str">
        <f t="shared" si="1"/>
        <v>-</v>
      </c>
      <c r="E27" s="9"/>
      <c r="F27" s="10"/>
      <c r="G27" s="9"/>
      <c r="H27" s="11"/>
      <c r="I27" s="9" t="s">
        <v>13</v>
      </c>
      <c r="J27" s="44"/>
    </row>
    <row r="28">
      <c r="A28" s="42" t="s">
        <v>330</v>
      </c>
      <c r="B28" s="47"/>
      <c r="C28" s="9" t="s">
        <v>11</v>
      </c>
      <c r="D28" s="8" t="str">
        <f t="shared" si="1"/>
        <v>-</v>
      </c>
      <c r="E28" s="9"/>
      <c r="F28" s="10"/>
      <c r="G28" s="9"/>
      <c r="H28" s="11"/>
      <c r="I28" s="9" t="s">
        <v>13</v>
      </c>
      <c r="J28" s="44"/>
    </row>
    <row r="29">
      <c r="A29" s="42" t="s">
        <v>330</v>
      </c>
      <c r="B29" s="47"/>
      <c r="C29" s="9" t="s">
        <v>11</v>
      </c>
      <c r="D29" s="8" t="str">
        <f t="shared" si="1"/>
        <v>-</v>
      </c>
      <c r="E29" s="9"/>
      <c r="F29" s="10"/>
      <c r="G29" s="9"/>
      <c r="H29" s="11"/>
      <c r="I29" s="9" t="s">
        <v>13</v>
      </c>
      <c r="J29" s="44"/>
    </row>
    <row r="30">
      <c r="A30" s="42" t="s">
        <v>330</v>
      </c>
      <c r="B30" s="47"/>
      <c r="C30" s="9" t="s">
        <v>11</v>
      </c>
      <c r="D30" s="8" t="str">
        <f t="shared" si="1"/>
        <v>-</v>
      </c>
      <c r="E30" s="9"/>
      <c r="F30" s="10"/>
      <c r="G30" s="9"/>
      <c r="H30" s="11"/>
      <c r="I30" s="9" t="s">
        <v>13</v>
      </c>
      <c r="J30" s="44"/>
    </row>
    <row r="31">
      <c r="A31" s="42" t="s">
        <v>330</v>
      </c>
      <c r="B31" s="47"/>
      <c r="C31" s="9" t="s">
        <v>11</v>
      </c>
      <c r="D31" s="8" t="str">
        <f t="shared" si="1"/>
        <v>-</v>
      </c>
      <c r="E31" s="9"/>
      <c r="F31" s="10"/>
      <c r="G31" s="9"/>
      <c r="H31" s="11"/>
      <c r="I31" s="9" t="s">
        <v>13</v>
      </c>
      <c r="J31" s="44"/>
    </row>
    <row r="32">
      <c r="A32" s="42" t="s">
        <v>330</v>
      </c>
      <c r="B32" s="47"/>
      <c r="C32" s="9" t="s">
        <v>11</v>
      </c>
      <c r="D32" s="8" t="str">
        <f t="shared" si="1"/>
        <v>-</v>
      </c>
      <c r="E32" s="9"/>
      <c r="F32" s="10"/>
      <c r="G32" s="9"/>
      <c r="H32" s="11"/>
      <c r="I32" s="9" t="s">
        <v>13</v>
      </c>
      <c r="J32" s="44"/>
    </row>
    <row r="33">
      <c r="A33" s="42" t="s">
        <v>330</v>
      </c>
      <c r="B33" s="47"/>
      <c r="C33" s="9" t="s">
        <v>11</v>
      </c>
      <c r="D33" s="8" t="str">
        <f t="shared" si="1"/>
        <v>-</v>
      </c>
      <c r="E33" s="9"/>
      <c r="F33" s="10"/>
      <c r="G33" s="9"/>
      <c r="H33" s="11"/>
      <c r="I33" s="9" t="s">
        <v>13</v>
      </c>
      <c r="J33" s="44"/>
    </row>
    <row r="34">
      <c r="A34" s="42" t="s">
        <v>330</v>
      </c>
      <c r="B34" s="47"/>
      <c r="C34" s="9" t="s">
        <v>11</v>
      </c>
      <c r="D34" s="8" t="str">
        <f t="shared" si="1"/>
        <v>-</v>
      </c>
      <c r="E34" s="9"/>
      <c r="F34" s="10"/>
      <c r="G34" s="9"/>
      <c r="H34" s="11"/>
      <c r="I34" s="9" t="s">
        <v>13</v>
      </c>
      <c r="J34" s="44"/>
    </row>
    <row r="35">
      <c r="A35" s="42" t="s">
        <v>330</v>
      </c>
      <c r="B35" s="47"/>
      <c r="C35" s="9" t="s">
        <v>11</v>
      </c>
      <c r="D35" s="8" t="str">
        <f t="shared" si="1"/>
        <v>-</v>
      </c>
      <c r="E35" s="9"/>
      <c r="F35" s="10"/>
      <c r="G35" s="9"/>
      <c r="H35" s="11"/>
      <c r="I35" s="9" t="s">
        <v>13</v>
      </c>
      <c r="J35" s="44"/>
    </row>
    <row r="36">
      <c r="A36" s="42" t="s">
        <v>330</v>
      </c>
      <c r="B36" s="47"/>
      <c r="C36" s="9" t="s">
        <v>11</v>
      </c>
      <c r="D36" s="8" t="str">
        <f t="shared" si="1"/>
        <v>-</v>
      </c>
      <c r="E36" s="9"/>
      <c r="F36" s="10"/>
      <c r="G36" s="9"/>
      <c r="H36" s="11"/>
      <c r="I36" s="9" t="s">
        <v>13</v>
      </c>
      <c r="J36" s="44"/>
    </row>
    <row r="37">
      <c r="A37" s="42" t="s">
        <v>330</v>
      </c>
      <c r="B37" s="47"/>
      <c r="C37" s="9" t="s">
        <v>11</v>
      </c>
      <c r="D37" s="8" t="str">
        <f t="shared" si="1"/>
        <v>-</v>
      </c>
      <c r="E37" s="9"/>
      <c r="F37" s="10"/>
      <c r="G37" s="9"/>
      <c r="H37" s="11"/>
      <c r="I37" s="9" t="s">
        <v>13</v>
      </c>
      <c r="J37" s="44"/>
    </row>
    <row r="38">
      <c r="A38" s="42" t="s">
        <v>330</v>
      </c>
      <c r="B38" s="47"/>
      <c r="C38" s="9" t="s">
        <v>11</v>
      </c>
      <c r="D38" s="8" t="str">
        <f t="shared" si="1"/>
        <v>-</v>
      </c>
      <c r="E38" s="9"/>
      <c r="F38" s="10"/>
      <c r="G38" s="9"/>
      <c r="H38" s="11"/>
      <c r="I38" s="9" t="s">
        <v>13</v>
      </c>
      <c r="J38" s="44"/>
    </row>
    <row r="39">
      <c r="A39" s="42" t="s">
        <v>330</v>
      </c>
      <c r="B39" s="47"/>
      <c r="C39" s="9" t="s">
        <v>11</v>
      </c>
      <c r="D39" s="8" t="str">
        <f t="shared" si="1"/>
        <v>-</v>
      </c>
      <c r="E39" s="9"/>
      <c r="F39" s="10"/>
      <c r="G39" s="9"/>
      <c r="H39" s="11"/>
      <c r="I39" s="9" t="s">
        <v>13</v>
      </c>
      <c r="J39" s="44"/>
    </row>
    <row r="40">
      <c r="A40" s="42" t="s">
        <v>330</v>
      </c>
      <c r="B40" s="47"/>
      <c r="C40" s="9" t="s">
        <v>11</v>
      </c>
      <c r="D40" s="8" t="str">
        <f t="shared" si="1"/>
        <v>-</v>
      </c>
      <c r="E40" s="9"/>
      <c r="F40" s="10"/>
      <c r="G40" s="9"/>
      <c r="H40" s="11"/>
      <c r="I40" s="9" t="s">
        <v>13</v>
      </c>
      <c r="J40" s="44"/>
    </row>
    <row r="41">
      <c r="A41" s="42" t="s">
        <v>330</v>
      </c>
      <c r="B41" s="47"/>
      <c r="C41" s="9" t="s">
        <v>11</v>
      </c>
      <c r="D41" s="8" t="str">
        <f t="shared" si="1"/>
        <v>-</v>
      </c>
      <c r="E41" s="9"/>
      <c r="F41" s="10"/>
      <c r="G41" s="9"/>
      <c r="H41" s="11"/>
      <c r="I41" s="9" t="s">
        <v>13</v>
      </c>
      <c r="J41" s="44"/>
    </row>
    <row r="42">
      <c r="A42" s="42" t="s">
        <v>330</v>
      </c>
      <c r="B42" s="47"/>
      <c r="C42" s="9" t="s">
        <v>11</v>
      </c>
      <c r="D42" s="8" t="str">
        <f t="shared" si="1"/>
        <v>-</v>
      </c>
      <c r="E42" s="9"/>
      <c r="F42" s="10"/>
      <c r="G42" s="9"/>
      <c r="H42" s="11"/>
      <c r="I42" s="9" t="s">
        <v>13</v>
      </c>
      <c r="J42" s="44"/>
    </row>
    <row r="43">
      <c r="A43" s="42" t="s">
        <v>330</v>
      </c>
      <c r="B43" s="47"/>
      <c r="C43" s="9" t="s">
        <v>11</v>
      </c>
      <c r="D43" s="8" t="str">
        <f t="shared" si="1"/>
        <v>-</v>
      </c>
      <c r="E43" s="9"/>
      <c r="F43" s="10"/>
      <c r="G43" s="9"/>
      <c r="H43" s="11"/>
      <c r="I43" s="9" t="s">
        <v>13</v>
      </c>
      <c r="J43" s="44"/>
    </row>
    <row r="44">
      <c r="A44" s="42" t="s">
        <v>330</v>
      </c>
      <c r="B44" s="47"/>
      <c r="C44" s="9" t="s">
        <v>11</v>
      </c>
      <c r="D44" s="8" t="str">
        <f t="shared" si="1"/>
        <v>-</v>
      </c>
      <c r="E44" s="9"/>
      <c r="F44" s="10"/>
      <c r="G44" s="9"/>
      <c r="H44" s="11"/>
      <c r="I44" s="9" t="s">
        <v>13</v>
      </c>
      <c r="J44" s="44"/>
    </row>
    <row r="45">
      <c r="A45" s="42" t="s">
        <v>330</v>
      </c>
      <c r="B45" s="47"/>
      <c r="C45" s="9" t="s">
        <v>11</v>
      </c>
      <c r="D45" s="8" t="str">
        <f t="shared" si="1"/>
        <v>-</v>
      </c>
      <c r="E45" s="9"/>
      <c r="F45" s="10"/>
      <c r="G45" s="9"/>
      <c r="H45" s="11"/>
      <c r="I45" s="9" t="s">
        <v>13</v>
      </c>
      <c r="J45" s="44"/>
    </row>
    <row r="46">
      <c r="A46" s="42" t="s">
        <v>330</v>
      </c>
      <c r="B46" s="47"/>
      <c r="C46" s="9" t="s">
        <v>11</v>
      </c>
      <c r="D46" s="8" t="str">
        <f t="shared" si="1"/>
        <v>-</v>
      </c>
      <c r="E46" s="9"/>
      <c r="F46" s="10"/>
      <c r="G46" s="9"/>
      <c r="H46" s="11"/>
      <c r="I46" s="9" t="s">
        <v>13</v>
      </c>
      <c r="J46" s="44"/>
    </row>
    <row r="47">
      <c r="A47" s="42" t="s">
        <v>330</v>
      </c>
      <c r="B47" s="47"/>
      <c r="C47" s="9" t="s">
        <v>11</v>
      </c>
      <c r="D47" s="8" t="str">
        <f t="shared" si="1"/>
        <v>-</v>
      </c>
      <c r="E47" s="9"/>
      <c r="F47" s="10"/>
      <c r="G47" s="9"/>
      <c r="H47" s="11"/>
      <c r="I47" s="9" t="s">
        <v>13</v>
      </c>
      <c r="J47" s="44"/>
    </row>
    <row r="48">
      <c r="A48" s="42" t="s">
        <v>330</v>
      </c>
      <c r="B48" s="47"/>
      <c r="C48" s="9" t="s">
        <v>11</v>
      </c>
      <c r="D48" s="8" t="str">
        <f t="shared" si="1"/>
        <v>-</v>
      </c>
      <c r="E48" s="9"/>
      <c r="F48" s="10"/>
      <c r="G48" s="9"/>
      <c r="H48" s="11"/>
      <c r="I48" s="9" t="s">
        <v>13</v>
      </c>
      <c r="J48" s="44"/>
    </row>
    <row r="49">
      <c r="A49" s="42" t="s">
        <v>330</v>
      </c>
      <c r="B49" s="47"/>
      <c r="C49" s="9" t="s">
        <v>11</v>
      </c>
      <c r="D49" s="8" t="str">
        <f t="shared" si="1"/>
        <v>-</v>
      </c>
      <c r="E49" s="9"/>
      <c r="F49" s="10"/>
      <c r="G49" s="9"/>
      <c r="H49" s="11"/>
      <c r="I49" s="9" t="s">
        <v>13</v>
      </c>
      <c r="J49" s="44"/>
    </row>
    <row r="50">
      <c r="A50" s="42" t="s">
        <v>330</v>
      </c>
      <c r="B50" s="47"/>
      <c r="C50" s="9" t="s">
        <v>11</v>
      </c>
      <c r="D50" s="8" t="str">
        <f t="shared" si="1"/>
        <v>-</v>
      </c>
      <c r="E50" s="9"/>
      <c r="F50" s="10"/>
      <c r="G50" s="9"/>
      <c r="H50" s="11"/>
      <c r="I50" s="9" t="s">
        <v>13</v>
      </c>
      <c r="J50" s="44"/>
    </row>
    <row r="51">
      <c r="A51" s="42" t="s">
        <v>330</v>
      </c>
      <c r="B51" s="47"/>
      <c r="C51" s="9" t="s">
        <v>11</v>
      </c>
      <c r="D51" s="8" t="str">
        <f t="shared" si="1"/>
        <v>-</v>
      </c>
      <c r="E51" s="9"/>
      <c r="F51" s="10"/>
      <c r="G51" s="9"/>
      <c r="H51" s="11"/>
      <c r="I51" s="9" t="s">
        <v>13</v>
      </c>
      <c r="J51" s="44"/>
    </row>
    <row r="52">
      <c r="A52" s="42" t="s">
        <v>330</v>
      </c>
      <c r="B52" s="47"/>
      <c r="C52" s="9" t="s">
        <v>11</v>
      </c>
      <c r="D52" s="8" t="str">
        <f t="shared" si="1"/>
        <v>-</v>
      </c>
      <c r="E52" s="9"/>
      <c r="F52" s="10"/>
      <c r="G52" s="9"/>
      <c r="H52" s="11"/>
      <c r="I52" s="9" t="s">
        <v>13</v>
      </c>
      <c r="J52" s="44"/>
    </row>
    <row r="53">
      <c r="A53" s="42" t="s">
        <v>330</v>
      </c>
      <c r="B53" s="47"/>
      <c r="C53" s="9" t="s">
        <v>11</v>
      </c>
      <c r="D53" s="8" t="str">
        <f t="shared" si="1"/>
        <v>-</v>
      </c>
      <c r="E53" s="9"/>
      <c r="F53" s="10"/>
      <c r="G53" s="9"/>
      <c r="H53" s="11"/>
      <c r="I53" s="9" t="s">
        <v>13</v>
      </c>
      <c r="J53" s="44"/>
    </row>
    <row r="54">
      <c r="A54" s="42" t="s">
        <v>330</v>
      </c>
      <c r="B54" s="47"/>
      <c r="C54" s="9" t="s">
        <v>11</v>
      </c>
      <c r="D54" s="8" t="str">
        <f t="shared" si="1"/>
        <v>-</v>
      </c>
      <c r="E54" s="9"/>
      <c r="F54" s="10"/>
      <c r="G54" s="9"/>
      <c r="H54" s="11"/>
      <c r="I54" s="9" t="s">
        <v>13</v>
      </c>
      <c r="J54" s="44"/>
    </row>
    <row r="55">
      <c r="A55" s="42" t="s">
        <v>330</v>
      </c>
      <c r="B55" s="47"/>
      <c r="C55" s="9" t="s">
        <v>11</v>
      </c>
      <c r="D55" s="8" t="str">
        <f t="shared" si="1"/>
        <v>-</v>
      </c>
      <c r="E55" s="9"/>
      <c r="F55" s="10"/>
      <c r="G55" s="9"/>
      <c r="H55" s="11"/>
      <c r="I55" s="9" t="s">
        <v>13</v>
      </c>
      <c r="J55" s="44"/>
    </row>
    <row r="56">
      <c r="A56" s="42" t="s">
        <v>330</v>
      </c>
      <c r="B56" s="47"/>
      <c r="C56" s="9" t="s">
        <v>11</v>
      </c>
      <c r="D56" s="8" t="str">
        <f t="shared" si="1"/>
        <v>-</v>
      </c>
      <c r="E56" s="9"/>
      <c r="F56" s="10"/>
      <c r="G56" s="9"/>
      <c r="H56" s="11"/>
      <c r="I56" s="9" t="s">
        <v>13</v>
      </c>
      <c r="J56" s="44"/>
    </row>
    <row r="57">
      <c r="A57" s="42" t="s">
        <v>330</v>
      </c>
      <c r="B57" s="47"/>
      <c r="C57" s="9" t="s">
        <v>11</v>
      </c>
      <c r="D57" s="8" t="str">
        <f t="shared" si="1"/>
        <v>-</v>
      </c>
      <c r="E57" s="9"/>
      <c r="F57" s="10"/>
      <c r="G57" s="9"/>
      <c r="H57" s="11"/>
      <c r="I57" s="9" t="s">
        <v>13</v>
      </c>
      <c r="J57" s="44"/>
    </row>
    <row r="58">
      <c r="A58" s="42" t="s">
        <v>330</v>
      </c>
      <c r="B58" s="47"/>
      <c r="C58" s="9" t="s">
        <v>11</v>
      </c>
      <c r="D58" s="8" t="str">
        <f t="shared" si="1"/>
        <v>-</v>
      </c>
      <c r="E58" s="9"/>
      <c r="F58" s="10"/>
      <c r="G58" s="9"/>
      <c r="H58" s="11"/>
      <c r="I58" s="9" t="s">
        <v>13</v>
      </c>
      <c r="J58" s="44"/>
    </row>
    <row r="59">
      <c r="A59" s="42" t="s">
        <v>330</v>
      </c>
      <c r="B59" s="47"/>
      <c r="C59" s="9" t="s">
        <v>11</v>
      </c>
      <c r="D59" s="8" t="str">
        <f t="shared" si="1"/>
        <v>-</v>
      </c>
      <c r="E59" s="9"/>
      <c r="F59" s="10"/>
      <c r="G59" s="9"/>
      <c r="H59" s="11"/>
      <c r="I59" s="9" t="s">
        <v>13</v>
      </c>
      <c r="J59" s="44"/>
    </row>
    <row r="60">
      <c r="A60" s="42" t="s">
        <v>330</v>
      </c>
      <c r="B60" s="47"/>
      <c r="C60" s="9" t="s">
        <v>11</v>
      </c>
      <c r="D60" s="8" t="str">
        <f t="shared" si="1"/>
        <v>-</v>
      </c>
      <c r="E60" s="9"/>
      <c r="F60" s="10"/>
      <c r="G60" s="9"/>
      <c r="H60" s="11"/>
      <c r="I60" s="9" t="s">
        <v>13</v>
      </c>
      <c r="J60" s="44"/>
    </row>
    <row r="61">
      <c r="A61" s="42" t="s">
        <v>330</v>
      </c>
      <c r="B61" s="47"/>
      <c r="C61" s="9" t="s">
        <v>11</v>
      </c>
      <c r="D61" s="8" t="str">
        <f t="shared" si="1"/>
        <v>-</v>
      </c>
      <c r="E61" s="9"/>
      <c r="F61" s="10"/>
      <c r="G61" s="9"/>
      <c r="H61" s="11"/>
      <c r="I61" s="9" t="s">
        <v>13</v>
      </c>
      <c r="J61" s="44"/>
    </row>
    <row r="62">
      <c r="A62" s="42" t="s">
        <v>330</v>
      </c>
      <c r="B62" s="47"/>
      <c r="C62" s="9" t="s">
        <v>11</v>
      </c>
      <c r="D62" s="8" t="str">
        <f t="shared" si="1"/>
        <v>-</v>
      </c>
      <c r="E62" s="9"/>
      <c r="F62" s="10"/>
      <c r="G62" s="9"/>
      <c r="H62" s="11"/>
      <c r="I62" s="9" t="s">
        <v>13</v>
      </c>
      <c r="J62" s="44"/>
    </row>
    <row r="63">
      <c r="A63" s="42" t="s">
        <v>330</v>
      </c>
      <c r="B63" s="47"/>
      <c r="C63" s="9" t="s">
        <v>11</v>
      </c>
      <c r="D63" s="8" t="str">
        <f t="shared" si="1"/>
        <v>-</v>
      </c>
      <c r="E63" s="9"/>
      <c r="F63" s="10"/>
      <c r="G63" s="9"/>
      <c r="H63" s="11"/>
      <c r="I63" s="9" t="s">
        <v>13</v>
      </c>
      <c r="J63" s="44"/>
    </row>
    <row r="64">
      <c r="A64" s="42" t="s">
        <v>330</v>
      </c>
      <c r="B64" s="47"/>
      <c r="C64" s="9" t="s">
        <v>11</v>
      </c>
      <c r="D64" s="8" t="str">
        <f t="shared" si="1"/>
        <v>-</v>
      </c>
      <c r="E64" s="9"/>
      <c r="F64" s="10"/>
      <c r="G64" s="9"/>
      <c r="H64" s="11"/>
      <c r="I64" s="9" t="s">
        <v>13</v>
      </c>
      <c r="J64" s="44"/>
    </row>
    <row r="65">
      <c r="A65" s="42" t="s">
        <v>330</v>
      </c>
      <c r="B65" s="47"/>
      <c r="C65" s="9" t="s">
        <v>11</v>
      </c>
      <c r="D65" s="8" t="str">
        <f t="shared" si="1"/>
        <v>-</v>
      </c>
      <c r="E65" s="9"/>
      <c r="F65" s="10"/>
      <c r="G65" s="9"/>
      <c r="H65" s="11"/>
      <c r="I65" s="9" t="s">
        <v>13</v>
      </c>
      <c r="J65" s="44"/>
    </row>
    <row r="66">
      <c r="A66" s="42" t="s">
        <v>330</v>
      </c>
      <c r="B66" s="47"/>
      <c r="C66" s="9" t="s">
        <v>11</v>
      </c>
      <c r="D66" s="8" t="str">
        <f t="shared" si="1"/>
        <v>-</v>
      </c>
      <c r="E66" s="9"/>
      <c r="F66" s="10"/>
      <c r="G66" s="9"/>
      <c r="H66" s="11"/>
      <c r="I66" s="9" t="s">
        <v>13</v>
      </c>
      <c r="J66" s="44"/>
    </row>
    <row r="67">
      <c r="A67" s="42" t="s">
        <v>330</v>
      </c>
      <c r="B67" s="47"/>
      <c r="C67" s="9" t="s">
        <v>11</v>
      </c>
      <c r="D67" s="8" t="str">
        <f t="shared" si="1"/>
        <v>-</v>
      </c>
      <c r="E67" s="9"/>
      <c r="F67" s="10"/>
      <c r="G67" s="9"/>
      <c r="H67" s="11"/>
      <c r="I67" s="9" t="s">
        <v>13</v>
      </c>
      <c r="J67" s="44"/>
    </row>
    <row r="68">
      <c r="A68" s="42" t="s">
        <v>330</v>
      </c>
      <c r="B68" s="47"/>
      <c r="C68" s="9" t="s">
        <v>11</v>
      </c>
      <c r="D68" s="8" t="str">
        <f t="shared" si="1"/>
        <v>-</v>
      </c>
      <c r="E68" s="9"/>
      <c r="F68" s="10"/>
      <c r="G68" s="9"/>
      <c r="H68" s="11"/>
      <c r="I68" s="9" t="s">
        <v>13</v>
      </c>
      <c r="J68" s="44"/>
    </row>
    <row r="69">
      <c r="A69" s="42" t="s">
        <v>330</v>
      </c>
      <c r="B69" s="47"/>
      <c r="C69" s="9" t="s">
        <v>11</v>
      </c>
      <c r="D69" s="8" t="str">
        <f t="shared" si="1"/>
        <v>-</v>
      </c>
      <c r="E69" s="9"/>
      <c r="F69" s="10"/>
      <c r="G69" s="9"/>
      <c r="H69" s="11"/>
      <c r="I69" s="9" t="s">
        <v>13</v>
      </c>
      <c r="J69" s="44"/>
    </row>
    <row r="70">
      <c r="A70" s="42" t="s">
        <v>330</v>
      </c>
      <c r="B70" s="47"/>
      <c r="C70" s="9" t="s">
        <v>11</v>
      </c>
      <c r="D70" s="8" t="str">
        <f t="shared" si="1"/>
        <v>-</v>
      </c>
      <c r="E70" s="9"/>
      <c r="F70" s="10"/>
      <c r="G70" s="9"/>
      <c r="H70" s="11"/>
      <c r="I70" s="9" t="s">
        <v>13</v>
      </c>
      <c r="J70" s="44"/>
    </row>
    <row r="71">
      <c r="A71" s="42" t="s">
        <v>330</v>
      </c>
      <c r="B71" s="47"/>
      <c r="C71" s="9" t="s">
        <v>11</v>
      </c>
      <c r="D71" s="8" t="str">
        <f t="shared" si="1"/>
        <v>-</v>
      </c>
      <c r="E71" s="9"/>
      <c r="F71" s="10"/>
      <c r="G71" s="9"/>
      <c r="H71" s="11"/>
      <c r="I71" s="9" t="s">
        <v>13</v>
      </c>
      <c r="J71" s="44"/>
    </row>
    <row r="72">
      <c r="A72" s="42" t="s">
        <v>330</v>
      </c>
      <c r="B72" s="47"/>
      <c r="C72" s="9" t="s">
        <v>11</v>
      </c>
      <c r="D72" s="8" t="str">
        <f t="shared" si="1"/>
        <v>-</v>
      </c>
      <c r="E72" s="9"/>
      <c r="F72" s="10"/>
      <c r="G72" s="9"/>
      <c r="H72" s="11"/>
      <c r="I72" s="9" t="s">
        <v>13</v>
      </c>
      <c r="J72" s="44"/>
    </row>
    <row r="73">
      <c r="A73" s="42" t="s">
        <v>330</v>
      </c>
      <c r="B73" s="47"/>
      <c r="C73" s="9" t="s">
        <v>11</v>
      </c>
      <c r="D73" s="8" t="str">
        <f t="shared" si="1"/>
        <v>-</v>
      </c>
      <c r="E73" s="9"/>
      <c r="F73" s="10"/>
      <c r="G73" s="9"/>
      <c r="H73" s="11"/>
      <c r="I73" s="9" t="s">
        <v>13</v>
      </c>
      <c r="J73" s="44"/>
    </row>
    <row r="74">
      <c r="A74" s="42" t="s">
        <v>330</v>
      </c>
      <c r="B74" s="47"/>
      <c r="C74" s="9" t="s">
        <v>11</v>
      </c>
      <c r="D74" s="8" t="str">
        <f t="shared" si="1"/>
        <v>-</v>
      </c>
      <c r="E74" s="9"/>
      <c r="F74" s="10"/>
      <c r="G74" s="9"/>
      <c r="H74" s="11"/>
      <c r="I74" s="9" t="s">
        <v>13</v>
      </c>
      <c r="J74" s="44"/>
    </row>
    <row r="75">
      <c r="A75" s="42" t="s">
        <v>330</v>
      </c>
      <c r="B75" s="47"/>
      <c r="C75" s="9" t="s">
        <v>11</v>
      </c>
      <c r="D75" s="8" t="str">
        <f t="shared" si="1"/>
        <v>-</v>
      </c>
      <c r="E75" s="9"/>
      <c r="F75" s="10"/>
      <c r="G75" s="9"/>
      <c r="H75" s="11"/>
      <c r="I75" s="9" t="s">
        <v>13</v>
      </c>
      <c r="J75" s="44"/>
    </row>
    <row r="76">
      <c r="A76" s="42" t="s">
        <v>330</v>
      </c>
      <c r="B76" s="47"/>
      <c r="C76" s="9" t="s">
        <v>11</v>
      </c>
      <c r="D76" s="8" t="str">
        <f t="shared" si="1"/>
        <v>-</v>
      </c>
      <c r="E76" s="9"/>
      <c r="F76" s="10"/>
      <c r="G76" s="9"/>
      <c r="H76" s="11"/>
      <c r="I76" s="9" t="s">
        <v>13</v>
      </c>
      <c r="J76" s="44"/>
    </row>
    <row r="77">
      <c r="A77" s="42" t="s">
        <v>330</v>
      </c>
      <c r="B77" s="47"/>
      <c r="C77" s="9" t="s">
        <v>11</v>
      </c>
      <c r="D77" s="8" t="str">
        <f t="shared" si="1"/>
        <v>-</v>
      </c>
      <c r="E77" s="9"/>
      <c r="F77" s="10"/>
      <c r="G77" s="9"/>
      <c r="H77" s="11"/>
      <c r="I77" s="9" t="s">
        <v>13</v>
      </c>
      <c r="J77" s="44"/>
    </row>
    <row r="78">
      <c r="A78" s="42" t="s">
        <v>330</v>
      </c>
      <c r="B78" s="47"/>
      <c r="C78" s="9" t="s">
        <v>11</v>
      </c>
      <c r="D78" s="8" t="str">
        <f t="shared" si="1"/>
        <v>-</v>
      </c>
      <c r="E78" s="9"/>
      <c r="F78" s="10"/>
      <c r="G78" s="9"/>
      <c r="H78" s="11"/>
      <c r="I78" s="9" t="s">
        <v>13</v>
      </c>
      <c r="J78" s="44"/>
    </row>
    <row r="79">
      <c r="A79" s="42" t="s">
        <v>330</v>
      </c>
      <c r="B79" s="47"/>
      <c r="C79" s="9" t="s">
        <v>11</v>
      </c>
      <c r="D79" s="8" t="str">
        <f t="shared" si="1"/>
        <v>-</v>
      </c>
      <c r="E79" s="9"/>
      <c r="F79" s="10"/>
      <c r="G79" s="9"/>
      <c r="H79" s="11"/>
      <c r="I79" s="9" t="s">
        <v>13</v>
      </c>
      <c r="J79" s="44"/>
    </row>
    <row r="80">
      <c r="A80" s="42" t="s">
        <v>330</v>
      </c>
      <c r="B80" s="47"/>
      <c r="C80" s="9" t="s">
        <v>11</v>
      </c>
      <c r="D80" s="8" t="str">
        <f t="shared" si="1"/>
        <v>-</v>
      </c>
      <c r="E80" s="9"/>
      <c r="F80" s="10"/>
      <c r="G80" s="9"/>
      <c r="H80" s="11"/>
      <c r="I80" s="9" t="s">
        <v>13</v>
      </c>
      <c r="J80" s="44"/>
    </row>
    <row r="81">
      <c r="A81" s="42" t="s">
        <v>330</v>
      </c>
      <c r="B81" s="47"/>
      <c r="C81" s="9" t="s">
        <v>11</v>
      </c>
      <c r="D81" s="8" t="str">
        <f t="shared" si="1"/>
        <v>-</v>
      </c>
      <c r="E81" s="9"/>
      <c r="F81" s="10"/>
      <c r="G81" s="9"/>
      <c r="H81" s="11"/>
      <c r="I81" s="9" t="s">
        <v>13</v>
      </c>
      <c r="J81" s="44"/>
    </row>
    <row r="82">
      <c r="A82" s="42" t="s">
        <v>330</v>
      </c>
      <c r="B82" s="47"/>
      <c r="C82" s="9" t="s">
        <v>11</v>
      </c>
      <c r="D82" s="8" t="str">
        <f t="shared" si="1"/>
        <v>-</v>
      </c>
      <c r="E82" s="9"/>
      <c r="F82" s="10"/>
      <c r="G82" s="9"/>
      <c r="H82" s="11"/>
      <c r="I82" s="9" t="s">
        <v>13</v>
      </c>
      <c r="J82" s="44"/>
    </row>
    <row r="83">
      <c r="A83" s="42" t="s">
        <v>330</v>
      </c>
      <c r="B83" s="47"/>
      <c r="C83" s="9" t="s">
        <v>11</v>
      </c>
      <c r="D83" s="8" t="str">
        <f t="shared" si="1"/>
        <v>-</v>
      </c>
      <c r="E83" s="9"/>
      <c r="F83" s="10"/>
      <c r="G83" s="9"/>
      <c r="H83" s="11"/>
      <c r="I83" s="9" t="s">
        <v>13</v>
      </c>
      <c r="J83" s="44"/>
    </row>
    <row r="84">
      <c r="A84" s="42" t="s">
        <v>330</v>
      </c>
      <c r="B84" s="47"/>
      <c r="C84" s="9" t="s">
        <v>11</v>
      </c>
      <c r="D84" s="8" t="str">
        <f t="shared" si="1"/>
        <v>-</v>
      </c>
      <c r="E84" s="9"/>
      <c r="F84" s="10"/>
      <c r="G84" s="9"/>
      <c r="H84" s="11"/>
      <c r="I84" s="9" t="s">
        <v>13</v>
      </c>
      <c r="J84" s="44"/>
    </row>
    <row r="85">
      <c r="A85" s="42" t="s">
        <v>330</v>
      </c>
      <c r="B85" s="47"/>
      <c r="C85" s="9" t="s">
        <v>11</v>
      </c>
      <c r="D85" s="8" t="str">
        <f t="shared" si="1"/>
        <v>-</v>
      </c>
      <c r="E85" s="9"/>
      <c r="F85" s="10"/>
      <c r="G85" s="9"/>
      <c r="H85" s="11"/>
      <c r="I85" s="9" t="s">
        <v>13</v>
      </c>
      <c r="J85" s="44"/>
    </row>
    <row r="86">
      <c r="A86" s="42" t="s">
        <v>330</v>
      </c>
      <c r="B86" s="47"/>
      <c r="C86" s="9" t="s">
        <v>11</v>
      </c>
      <c r="D86" s="8" t="str">
        <f t="shared" si="1"/>
        <v>-</v>
      </c>
      <c r="E86" s="9"/>
      <c r="F86" s="10"/>
      <c r="G86" s="9"/>
      <c r="H86" s="11"/>
      <c r="I86" s="9" t="s">
        <v>13</v>
      </c>
      <c r="J86" s="44"/>
    </row>
    <row r="87">
      <c r="A87" s="42" t="s">
        <v>330</v>
      </c>
      <c r="B87" s="47"/>
      <c r="C87" s="9" t="s">
        <v>11</v>
      </c>
      <c r="D87" s="8" t="str">
        <f t="shared" si="1"/>
        <v>-</v>
      </c>
      <c r="E87" s="9"/>
      <c r="F87" s="10"/>
      <c r="G87" s="9"/>
      <c r="H87" s="11"/>
      <c r="I87" s="9" t="s">
        <v>13</v>
      </c>
      <c r="J87" s="44"/>
    </row>
    <row r="88">
      <c r="A88" s="42" t="s">
        <v>330</v>
      </c>
      <c r="B88" s="47"/>
      <c r="C88" s="9" t="s">
        <v>11</v>
      </c>
      <c r="D88" s="8" t="str">
        <f t="shared" si="1"/>
        <v>-</v>
      </c>
      <c r="E88" s="9"/>
      <c r="F88" s="10"/>
      <c r="G88" s="9"/>
      <c r="H88" s="11"/>
      <c r="I88" s="9" t="s">
        <v>13</v>
      </c>
      <c r="J88" s="44"/>
    </row>
    <row r="89">
      <c r="A89" s="42" t="s">
        <v>330</v>
      </c>
      <c r="B89" s="47"/>
      <c r="C89" s="9" t="s">
        <v>11</v>
      </c>
      <c r="D89" s="8" t="str">
        <f t="shared" si="1"/>
        <v>-</v>
      </c>
      <c r="E89" s="9"/>
      <c r="F89" s="10"/>
      <c r="G89" s="9"/>
      <c r="H89" s="11"/>
      <c r="I89" s="9" t="s">
        <v>13</v>
      </c>
      <c r="J89" s="44"/>
    </row>
    <row r="90">
      <c r="A90" s="42" t="s">
        <v>330</v>
      </c>
      <c r="B90" s="47"/>
      <c r="C90" s="9" t="s">
        <v>11</v>
      </c>
      <c r="D90" s="8" t="str">
        <f t="shared" si="1"/>
        <v>-</v>
      </c>
      <c r="E90" s="9"/>
      <c r="F90" s="10"/>
      <c r="G90" s="9"/>
      <c r="H90" s="11"/>
      <c r="I90" s="9" t="s">
        <v>13</v>
      </c>
      <c r="J90" s="44"/>
    </row>
    <row r="91">
      <c r="A91" s="42" t="s">
        <v>330</v>
      </c>
      <c r="B91" s="47"/>
      <c r="C91" s="9" t="s">
        <v>11</v>
      </c>
      <c r="D91" s="8" t="str">
        <f t="shared" si="1"/>
        <v>-</v>
      </c>
      <c r="E91" s="9"/>
      <c r="F91" s="10"/>
      <c r="G91" s="9"/>
      <c r="H91" s="11"/>
      <c r="I91" s="9" t="s">
        <v>13</v>
      </c>
      <c r="J91" s="44"/>
    </row>
    <row r="92">
      <c r="A92" s="42" t="s">
        <v>330</v>
      </c>
      <c r="B92" s="47"/>
      <c r="C92" s="9" t="s">
        <v>11</v>
      </c>
      <c r="D92" s="8" t="str">
        <f t="shared" si="1"/>
        <v>-</v>
      </c>
      <c r="E92" s="9"/>
      <c r="F92" s="10"/>
      <c r="G92" s="9"/>
      <c r="H92" s="11"/>
      <c r="I92" s="9" t="s">
        <v>13</v>
      </c>
      <c r="J92" s="44"/>
    </row>
    <row r="93">
      <c r="A93" s="42" t="s">
        <v>330</v>
      </c>
      <c r="B93" s="47"/>
      <c r="C93" s="9" t="s">
        <v>11</v>
      </c>
      <c r="D93" s="8" t="str">
        <f t="shared" si="1"/>
        <v>-</v>
      </c>
      <c r="E93" s="9"/>
      <c r="F93" s="10"/>
      <c r="G93" s="9"/>
      <c r="H93" s="11"/>
      <c r="I93" s="9" t="s">
        <v>13</v>
      </c>
      <c r="J93" s="44"/>
    </row>
    <row r="94">
      <c r="A94" s="42" t="s">
        <v>330</v>
      </c>
      <c r="B94" s="47"/>
      <c r="C94" s="9" t="s">
        <v>11</v>
      </c>
      <c r="D94" s="8" t="str">
        <f t="shared" si="1"/>
        <v>-</v>
      </c>
      <c r="E94" s="9"/>
      <c r="F94" s="10"/>
      <c r="G94" s="9"/>
      <c r="H94" s="11"/>
      <c r="I94" s="9" t="s">
        <v>13</v>
      </c>
      <c r="J94" s="44"/>
    </row>
    <row r="95">
      <c r="A95" s="42" t="s">
        <v>330</v>
      </c>
      <c r="B95" s="47"/>
      <c r="C95" s="9" t="s">
        <v>11</v>
      </c>
      <c r="D95" s="8" t="str">
        <f t="shared" si="1"/>
        <v>-</v>
      </c>
      <c r="E95" s="9"/>
      <c r="F95" s="10"/>
      <c r="G95" s="9"/>
      <c r="H95" s="11"/>
      <c r="I95" s="9" t="s">
        <v>13</v>
      </c>
      <c r="J95" s="44"/>
    </row>
    <row r="96">
      <c r="A96" s="42" t="s">
        <v>330</v>
      </c>
      <c r="B96" s="47"/>
      <c r="C96" s="9" t="s">
        <v>11</v>
      </c>
      <c r="D96" s="8" t="str">
        <f t="shared" si="1"/>
        <v>-</v>
      </c>
      <c r="E96" s="9"/>
      <c r="F96" s="10"/>
      <c r="G96" s="9"/>
      <c r="H96" s="11"/>
      <c r="I96" s="9" t="s">
        <v>13</v>
      </c>
      <c r="J96" s="44"/>
    </row>
    <row r="97">
      <c r="A97" s="42" t="s">
        <v>330</v>
      </c>
      <c r="B97" s="47"/>
      <c r="C97" s="9" t="s">
        <v>11</v>
      </c>
      <c r="D97" s="8" t="str">
        <f t="shared" si="1"/>
        <v>-</v>
      </c>
      <c r="E97" s="9"/>
      <c r="F97" s="10"/>
      <c r="G97" s="9"/>
      <c r="H97" s="11"/>
      <c r="I97" s="9" t="s">
        <v>13</v>
      </c>
      <c r="J97" s="44"/>
    </row>
    <row r="98">
      <c r="A98" s="42" t="s">
        <v>330</v>
      </c>
      <c r="B98" s="47"/>
      <c r="C98" s="9" t="s">
        <v>11</v>
      </c>
      <c r="D98" s="8" t="str">
        <f t="shared" si="1"/>
        <v>-</v>
      </c>
      <c r="E98" s="9"/>
      <c r="F98" s="10"/>
      <c r="G98" s="9"/>
      <c r="H98" s="11"/>
      <c r="I98" s="9" t="s">
        <v>13</v>
      </c>
      <c r="J98" s="44"/>
    </row>
    <row r="99">
      <c r="A99" s="42" t="s">
        <v>330</v>
      </c>
      <c r="B99" s="47"/>
      <c r="C99" s="9" t="s">
        <v>11</v>
      </c>
      <c r="D99" s="8" t="str">
        <f t="shared" si="1"/>
        <v>-</v>
      </c>
      <c r="E99" s="9"/>
      <c r="F99" s="10"/>
      <c r="G99" s="9"/>
      <c r="H99" s="11"/>
      <c r="I99" s="9" t="s">
        <v>13</v>
      </c>
      <c r="J99" s="44"/>
    </row>
    <row r="100">
      <c r="A100" s="42" t="s">
        <v>330</v>
      </c>
      <c r="B100" s="47"/>
      <c r="C100" s="9" t="s">
        <v>11</v>
      </c>
      <c r="D100" s="8" t="str">
        <f t="shared" si="1"/>
        <v>-</v>
      </c>
      <c r="E100" s="9"/>
      <c r="F100" s="10"/>
      <c r="G100" s="9"/>
      <c r="H100" s="11"/>
      <c r="I100" s="9" t="s">
        <v>13</v>
      </c>
      <c r="J100" s="44"/>
    </row>
    <row r="101">
      <c r="A101" s="42" t="s">
        <v>330</v>
      </c>
      <c r="B101" s="47"/>
      <c r="C101" s="9" t="s">
        <v>11</v>
      </c>
      <c r="D101" s="8" t="str">
        <f t="shared" si="1"/>
        <v>-</v>
      </c>
      <c r="E101" s="9"/>
      <c r="F101" s="10"/>
      <c r="G101" s="9"/>
      <c r="H101" s="11"/>
      <c r="I101" s="9" t="s">
        <v>13</v>
      </c>
      <c r="J101" s="44"/>
    </row>
    <row r="102">
      <c r="A102" s="42" t="s">
        <v>330</v>
      </c>
      <c r="B102" s="47"/>
      <c r="C102" s="9" t="s">
        <v>11</v>
      </c>
      <c r="D102" s="8" t="str">
        <f t="shared" si="1"/>
        <v>-</v>
      </c>
      <c r="E102" s="9"/>
      <c r="F102" s="10"/>
      <c r="G102" s="9"/>
      <c r="H102" s="11"/>
      <c r="I102" s="9" t="s">
        <v>13</v>
      </c>
      <c r="J102" s="44"/>
    </row>
    <row r="103">
      <c r="A103" s="42" t="s">
        <v>330</v>
      </c>
      <c r="B103" s="47"/>
      <c r="C103" s="9" t="s">
        <v>11</v>
      </c>
      <c r="D103" s="8" t="str">
        <f t="shared" si="1"/>
        <v>-</v>
      </c>
      <c r="E103" s="9"/>
      <c r="F103" s="10"/>
      <c r="G103" s="9"/>
      <c r="H103" s="11"/>
      <c r="I103" s="9" t="s">
        <v>13</v>
      </c>
      <c r="J103" s="44"/>
    </row>
    <row r="104">
      <c r="A104" s="42" t="s">
        <v>330</v>
      </c>
      <c r="B104" s="47"/>
      <c r="C104" s="9" t="s">
        <v>11</v>
      </c>
      <c r="D104" s="8" t="str">
        <f t="shared" si="1"/>
        <v>-</v>
      </c>
      <c r="E104" s="9"/>
      <c r="F104" s="10"/>
      <c r="G104" s="9"/>
      <c r="H104" s="11"/>
      <c r="I104" s="9" t="s">
        <v>13</v>
      </c>
      <c r="J104" s="44"/>
    </row>
    <row r="105">
      <c r="A105" s="42" t="s">
        <v>330</v>
      </c>
      <c r="B105" s="47"/>
      <c r="C105" s="9" t="s">
        <v>11</v>
      </c>
      <c r="D105" s="8" t="str">
        <f t="shared" si="1"/>
        <v>-</v>
      </c>
      <c r="E105" s="9"/>
      <c r="F105" s="10"/>
      <c r="G105" s="9"/>
      <c r="H105" s="11"/>
      <c r="I105" s="9" t="s">
        <v>13</v>
      </c>
      <c r="J105" s="44"/>
    </row>
    <row r="106">
      <c r="A106" s="42" t="s">
        <v>330</v>
      </c>
      <c r="B106" s="47"/>
      <c r="C106" s="9" t="s">
        <v>11</v>
      </c>
      <c r="D106" s="8" t="str">
        <f t="shared" si="1"/>
        <v>-</v>
      </c>
      <c r="E106" s="9"/>
      <c r="F106" s="10"/>
      <c r="G106" s="9"/>
      <c r="H106" s="11"/>
      <c r="I106" s="9" t="s">
        <v>13</v>
      </c>
      <c r="J106" s="44"/>
    </row>
    <row r="107">
      <c r="A107" s="42" t="s">
        <v>330</v>
      </c>
      <c r="B107" s="47"/>
      <c r="C107" s="9" t="s">
        <v>11</v>
      </c>
      <c r="D107" s="8" t="str">
        <f t="shared" si="1"/>
        <v>-</v>
      </c>
      <c r="E107" s="9"/>
      <c r="F107" s="10"/>
      <c r="G107" s="9"/>
      <c r="H107" s="11"/>
      <c r="I107" s="9" t="s">
        <v>13</v>
      </c>
      <c r="J107" s="44"/>
    </row>
    <row r="108">
      <c r="A108" s="42" t="s">
        <v>330</v>
      </c>
      <c r="B108" s="47"/>
      <c r="C108" s="9" t="s">
        <v>11</v>
      </c>
      <c r="D108" s="8" t="str">
        <f t="shared" si="1"/>
        <v>-</v>
      </c>
      <c r="E108" s="9"/>
      <c r="F108" s="10"/>
      <c r="G108" s="9"/>
      <c r="H108" s="11"/>
      <c r="I108" s="9" t="s">
        <v>13</v>
      </c>
      <c r="J108" s="44"/>
    </row>
    <row r="109">
      <c r="A109" s="42" t="s">
        <v>330</v>
      </c>
      <c r="B109" s="47"/>
      <c r="C109" s="9" t="s">
        <v>11</v>
      </c>
      <c r="D109" s="8" t="str">
        <f t="shared" si="1"/>
        <v>-</v>
      </c>
      <c r="E109" s="9"/>
      <c r="F109" s="10"/>
      <c r="G109" s="9"/>
      <c r="H109" s="11"/>
      <c r="I109" s="9" t="s">
        <v>13</v>
      </c>
      <c r="J109" s="44"/>
    </row>
    <row r="110">
      <c r="A110" s="42" t="s">
        <v>330</v>
      </c>
      <c r="B110" s="47"/>
      <c r="C110" s="9" t="s">
        <v>11</v>
      </c>
      <c r="D110" s="8" t="str">
        <f t="shared" si="1"/>
        <v>-</v>
      </c>
      <c r="E110" s="9"/>
      <c r="F110" s="10"/>
      <c r="G110" s="9"/>
      <c r="H110" s="11"/>
      <c r="I110" s="9" t="s">
        <v>13</v>
      </c>
      <c r="J110" s="44"/>
    </row>
    <row r="111">
      <c r="A111" s="42" t="s">
        <v>330</v>
      </c>
      <c r="B111" s="47"/>
      <c r="C111" s="9" t="s">
        <v>11</v>
      </c>
      <c r="D111" s="8" t="str">
        <f t="shared" si="1"/>
        <v>-</v>
      </c>
      <c r="E111" s="9"/>
      <c r="F111" s="10"/>
      <c r="G111" s="9"/>
      <c r="H111" s="11"/>
      <c r="I111" s="9" t="s">
        <v>13</v>
      </c>
      <c r="J111" s="44"/>
    </row>
    <row r="112">
      <c r="A112" s="42" t="s">
        <v>330</v>
      </c>
      <c r="B112" s="47"/>
      <c r="C112" s="9" t="s">
        <v>11</v>
      </c>
      <c r="D112" s="8" t="str">
        <f t="shared" si="1"/>
        <v>-</v>
      </c>
      <c r="E112" s="9"/>
      <c r="F112" s="10"/>
      <c r="G112" s="9"/>
      <c r="H112" s="11"/>
      <c r="I112" s="9" t="s">
        <v>13</v>
      </c>
      <c r="J112" s="44"/>
    </row>
    <row r="113">
      <c r="A113" s="42" t="s">
        <v>330</v>
      </c>
      <c r="B113" s="47"/>
      <c r="C113" s="9" t="s">
        <v>11</v>
      </c>
      <c r="D113" s="8" t="str">
        <f t="shared" si="1"/>
        <v>-</v>
      </c>
      <c r="E113" s="9"/>
      <c r="F113" s="10"/>
      <c r="G113" s="9"/>
      <c r="H113" s="11"/>
      <c r="I113" s="9" t="s">
        <v>13</v>
      </c>
      <c r="J113" s="44"/>
    </row>
    <row r="114">
      <c r="A114" s="42" t="s">
        <v>330</v>
      </c>
      <c r="B114" s="47"/>
      <c r="C114" s="9" t="s">
        <v>11</v>
      </c>
      <c r="D114" s="8" t="str">
        <f t="shared" si="1"/>
        <v>-</v>
      </c>
      <c r="E114" s="9"/>
      <c r="F114" s="10"/>
      <c r="G114" s="9"/>
      <c r="H114" s="11"/>
      <c r="I114" s="9" t="s">
        <v>13</v>
      </c>
      <c r="J114" s="44"/>
    </row>
    <row r="115">
      <c r="A115" s="42" t="s">
        <v>330</v>
      </c>
      <c r="B115" s="47"/>
      <c r="C115" s="9" t="s">
        <v>11</v>
      </c>
      <c r="D115" s="8" t="str">
        <f t="shared" si="1"/>
        <v>-</v>
      </c>
      <c r="E115" s="9"/>
      <c r="F115" s="10"/>
      <c r="G115" s="9"/>
      <c r="H115" s="11"/>
      <c r="I115" s="9" t="s">
        <v>13</v>
      </c>
      <c r="J115" s="44"/>
    </row>
    <row r="116">
      <c r="A116" s="42" t="s">
        <v>330</v>
      </c>
      <c r="B116" s="47"/>
      <c r="C116" s="9" t="s">
        <v>11</v>
      </c>
      <c r="D116" s="8" t="str">
        <f t="shared" si="1"/>
        <v>-</v>
      </c>
      <c r="E116" s="9"/>
      <c r="F116" s="10"/>
      <c r="G116" s="9"/>
      <c r="H116" s="11"/>
      <c r="I116" s="9" t="s">
        <v>13</v>
      </c>
      <c r="J116" s="44"/>
    </row>
    <row r="117">
      <c r="A117" s="42" t="s">
        <v>330</v>
      </c>
      <c r="B117" s="47"/>
      <c r="C117" s="9" t="s">
        <v>11</v>
      </c>
      <c r="D117" s="8" t="str">
        <f t="shared" si="1"/>
        <v>-</v>
      </c>
      <c r="E117" s="9"/>
      <c r="F117" s="10"/>
      <c r="G117" s="9"/>
      <c r="H117" s="11"/>
      <c r="I117" s="9" t="s">
        <v>13</v>
      </c>
      <c r="J117" s="44"/>
    </row>
    <row r="118">
      <c r="A118" s="42" t="s">
        <v>330</v>
      </c>
      <c r="B118" s="47"/>
      <c r="C118" s="9" t="s">
        <v>11</v>
      </c>
      <c r="D118" s="8" t="str">
        <f t="shared" si="1"/>
        <v>-</v>
      </c>
      <c r="E118" s="9"/>
      <c r="F118" s="10"/>
      <c r="G118" s="9"/>
      <c r="H118" s="11"/>
      <c r="I118" s="9" t="s">
        <v>13</v>
      </c>
      <c r="J118" s="44"/>
    </row>
    <row r="119">
      <c r="A119" s="42" t="s">
        <v>330</v>
      </c>
      <c r="B119" s="47"/>
      <c r="C119" s="9" t="s">
        <v>11</v>
      </c>
      <c r="D119" s="8" t="str">
        <f t="shared" si="1"/>
        <v>-</v>
      </c>
      <c r="E119" s="9"/>
      <c r="F119" s="10"/>
      <c r="G119" s="9"/>
      <c r="H119" s="11"/>
      <c r="I119" s="9" t="s">
        <v>13</v>
      </c>
      <c r="J119" s="44"/>
    </row>
    <row r="120">
      <c r="A120" s="42" t="s">
        <v>330</v>
      </c>
      <c r="B120" s="47"/>
      <c r="C120" s="9" t="s">
        <v>11</v>
      </c>
      <c r="D120" s="8" t="str">
        <f t="shared" si="1"/>
        <v>-</v>
      </c>
      <c r="E120" s="9"/>
      <c r="F120" s="10"/>
      <c r="G120" s="9"/>
      <c r="H120" s="11"/>
      <c r="I120" s="9" t="s">
        <v>13</v>
      </c>
      <c r="J120" s="44"/>
    </row>
    <row r="121">
      <c r="A121" s="42" t="s">
        <v>330</v>
      </c>
      <c r="B121" s="47"/>
      <c r="C121" s="9" t="s">
        <v>11</v>
      </c>
      <c r="D121" s="8" t="str">
        <f t="shared" si="1"/>
        <v>-</v>
      </c>
      <c r="E121" s="9"/>
      <c r="F121" s="10"/>
      <c r="G121" s="9"/>
      <c r="H121" s="11"/>
      <c r="I121" s="9" t="s">
        <v>13</v>
      </c>
      <c r="J121" s="44"/>
    </row>
    <row r="122">
      <c r="A122" s="42" t="s">
        <v>330</v>
      </c>
      <c r="B122" s="47"/>
      <c r="C122" s="9" t="s">
        <v>11</v>
      </c>
      <c r="D122" s="8" t="str">
        <f t="shared" si="1"/>
        <v>-</v>
      </c>
      <c r="E122" s="9"/>
      <c r="F122" s="10"/>
      <c r="G122" s="9"/>
      <c r="H122" s="11"/>
      <c r="I122" s="9" t="s">
        <v>13</v>
      </c>
      <c r="J122" s="44"/>
    </row>
    <row r="123">
      <c r="A123" s="42" t="s">
        <v>330</v>
      </c>
      <c r="B123" s="47"/>
      <c r="C123" s="9" t="s">
        <v>11</v>
      </c>
      <c r="D123" s="8" t="str">
        <f t="shared" si="1"/>
        <v>-</v>
      </c>
      <c r="E123" s="9"/>
      <c r="F123" s="10"/>
      <c r="G123" s="9"/>
      <c r="H123" s="11"/>
      <c r="I123" s="9" t="s">
        <v>13</v>
      </c>
      <c r="J123" s="44"/>
    </row>
    <row r="124">
      <c r="A124" s="42" t="s">
        <v>330</v>
      </c>
      <c r="B124" s="47"/>
      <c r="C124" s="9" t="s">
        <v>11</v>
      </c>
      <c r="D124" s="8" t="str">
        <f t="shared" si="1"/>
        <v>-</v>
      </c>
      <c r="E124" s="9"/>
      <c r="F124" s="10"/>
      <c r="G124" s="9"/>
      <c r="H124" s="11"/>
      <c r="I124" s="9" t="s">
        <v>13</v>
      </c>
      <c r="J124" s="44"/>
    </row>
    <row r="125">
      <c r="A125" s="42" t="s">
        <v>330</v>
      </c>
      <c r="B125" s="47"/>
      <c r="C125" s="9" t="s">
        <v>11</v>
      </c>
      <c r="D125" s="8" t="str">
        <f t="shared" si="1"/>
        <v>-</v>
      </c>
      <c r="E125" s="9"/>
      <c r="F125" s="10"/>
      <c r="G125" s="9"/>
      <c r="H125" s="11"/>
      <c r="I125" s="9" t="s">
        <v>13</v>
      </c>
      <c r="J125" s="44"/>
    </row>
    <row r="126">
      <c r="A126" s="42" t="s">
        <v>330</v>
      </c>
      <c r="B126" s="47"/>
      <c r="C126" s="9" t="s">
        <v>11</v>
      </c>
      <c r="D126" s="8" t="str">
        <f t="shared" si="1"/>
        <v>-</v>
      </c>
      <c r="E126" s="9"/>
      <c r="F126" s="10"/>
      <c r="G126" s="9"/>
      <c r="H126" s="11"/>
      <c r="I126" s="9" t="s">
        <v>13</v>
      </c>
      <c r="J126" s="44"/>
    </row>
    <row r="127">
      <c r="A127" s="42" t="s">
        <v>330</v>
      </c>
      <c r="B127" s="47"/>
      <c r="C127" s="9" t="s">
        <v>11</v>
      </c>
      <c r="D127" s="8" t="str">
        <f t="shared" si="1"/>
        <v>-</v>
      </c>
      <c r="E127" s="9"/>
      <c r="F127" s="10"/>
      <c r="G127" s="9"/>
      <c r="H127" s="11"/>
      <c r="I127" s="9" t="s">
        <v>13</v>
      </c>
      <c r="J127" s="44"/>
    </row>
    <row r="128">
      <c r="A128" s="42" t="s">
        <v>330</v>
      </c>
      <c r="B128" s="47"/>
      <c r="C128" s="9" t="s">
        <v>11</v>
      </c>
      <c r="D128" s="8" t="str">
        <f t="shared" si="1"/>
        <v>-</v>
      </c>
      <c r="E128" s="9"/>
      <c r="F128" s="10"/>
      <c r="G128" s="9"/>
      <c r="H128" s="11"/>
      <c r="I128" s="9" t="s">
        <v>13</v>
      </c>
      <c r="J128" s="44"/>
    </row>
    <row r="129">
      <c r="A129" s="42" t="s">
        <v>330</v>
      </c>
      <c r="B129" s="47"/>
      <c r="C129" s="9" t="s">
        <v>11</v>
      </c>
      <c r="D129" s="8" t="str">
        <f t="shared" si="1"/>
        <v>-</v>
      </c>
      <c r="E129" s="9"/>
      <c r="F129" s="10"/>
      <c r="G129" s="9"/>
      <c r="H129" s="11"/>
      <c r="I129" s="9" t="s">
        <v>13</v>
      </c>
      <c r="J129" s="44"/>
    </row>
    <row r="130">
      <c r="A130" s="42" t="s">
        <v>330</v>
      </c>
      <c r="B130" s="47"/>
      <c r="C130" s="9" t="s">
        <v>11</v>
      </c>
      <c r="D130" s="8" t="str">
        <f t="shared" si="1"/>
        <v>-</v>
      </c>
      <c r="E130" s="9"/>
      <c r="F130" s="10"/>
      <c r="G130" s="9"/>
      <c r="H130" s="11"/>
      <c r="I130" s="9" t="s">
        <v>13</v>
      </c>
      <c r="J130" s="44"/>
    </row>
    <row r="131">
      <c r="A131" s="42" t="s">
        <v>330</v>
      </c>
      <c r="B131" s="47"/>
      <c r="C131" s="9" t="s">
        <v>11</v>
      </c>
      <c r="D131" s="8" t="str">
        <f t="shared" si="1"/>
        <v>-</v>
      </c>
      <c r="E131" s="9"/>
      <c r="F131" s="10"/>
      <c r="G131" s="9"/>
      <c r="H131" s="11"/>
      <c r="I131" s="9" t="s">
        <v>13</v>
      </c>
      <c r="J131" s="44"/>
    </row>
    <row r="132">
      <c r="A132" s="42" t="s">
        <v>330</v>
      </c>
      <c r="B132" s="47"/>
      <c r="C132" s="9" t="s">
        <v>11</v>
      </c>
      <c r="D132" s="8" t="str">
        <f t="shared" si="1"/>
        <v>-</v>
      </c>
      <c r="E132" s="9"/>
      <c r="F132" s="10"/>
      <c r="G132" s="9"/>
      <c r="H132" s="11"/>
      <c r="I132" s="9" t="s">
        <v>13</v>
      </c>
      <c r="J132" s="44"/>
    </row>
    <row r="133">
      <c r="A133" s="42" t="s">
        <v>330</v>
      </c>
      <c r="B133" s="47"/>
      <c r="C133" s="9" t="s">
        <v>11</v>
      </c>
      <c r="D133" s="8" t="str">
        <f t="shared" si="1"/>
        <v>-</v>
      </c>
      <c r="E133" s="9"/>
      <c r="F133" s="10"/>
      <c r="G133" s="9"/>
      <c r="H133" s="11"/>
      <c r="I133" s="9" t="s">
        <v>13</v>
      </c>
      <c r="J133" s="44"/>
    </row>
    <row r="134">
      <c r="A134" s="42" t="s">
        <v>330</v>
      </c>
      <c r="B134" s="47"/>
      <c r="C134" s="9" t="s">
        <v>11</v>
      </c>
      <c r="D134" s="8" t="str">
        <f t="shared" si="1"/>
        <v>-</v>
      </c>
      <c r="E134" s="9"/>
      <c r="F134" s="10"/>
      <c r="G134" s="9"/>
      <c r="H134" s="11"/>
      <c r="I134" s="9" t="s">
        <v>13</v>
      </c>
      <c r="J134" s="44"/>
    </row>
    <row r="135">
      <c r="A135" s="42" t="s">
        <v>330</v>
      </c>
      <c r="B135" s="47"/>
      <c r="C135" s="9" t="s">
        <v>11</v>
      </c>
      <c r="D135" s="8" t="str">
        <f t="shared" si="1"/>
        <v>-</v>
      </c>
      <c r="E135" s="9"/>
      <c r="F135" s="10"/>
      <c r="G135" s="9"/>
      <c r="H135" s="11"/>
      <c r="I135" s="9" t="s">
        <v>13</v>
      </c>
      <c r="J135" s="44"/>
    </row>
    <row r="136">
      <c r="A136" s="42" t="s">
        <v>330</v>
      </c>
      <c r="B136" s="47"/>
      <c r="C136" s="9" t="s">
        <v>11</v>
      </c>
      <c r="D136" s="8" t="str">
        <f t="shared" si="1"/>
        <v>-</v>
      </c>
      <c r="E136" s="9"/>
      <c r="F136" s="10"/>
      <c r="G136" s="9"/>
      <c r="H136" s="11"/>
      <c r="I136" s="9" t="s">
        <v>13</v>
      </c>
      <c r="J136" s="44"/>
    </row>
    <row r="137">
      <c r="A137" s="42" t="s">
        <v>330</v>
      </c>
      <c r="B137" s="47"/>
      <c r="C137" s="9" t="s">
        <v>11</v>
      </c>
      <c r="D137" s="8" t="str">
        <f t="shared" si="1"/>
        <v>-</v>
      </c>
      <c r="E137" s="9"/>
      <c r="F137" s="10"/>
      <c r="G137" s="9"/>
      <c r="H137" s="11"/>
      <c r="I137" s="9" t="s">
        <v>13</v>
      </c>
      <c r="J137" s="44"/>
    </row>
    <row r="138">
      <c r="A138" s="42" t="s">
        <v>330</v>
      </c>
      <c r="B138" s="47"/>
      <c r="C138" s="9" t="s">
        <v>11</v>
      </c>
      <c r="D138" s="8" t="str">
        <f t="shared" si="1"/>
        <v>-</v>
      </c>
      <c r="E138" s="9"/>
      <c r="F138" s="10"/>
      <c r="G138" s="9"/>
      <c r="H138" s="11"/>
      <c r="I138" s="9" t="s">
        <v>13</v>
      </c>
      <c r="J138" s="44"/>
    </row>
    <row r="139">
      <c r="A139" s="42" t="s">
        <v>330</v>
      </c>
      <c r="B139" s="47"/>
      <c r="C139" s="9" t="s">
        <v>11</v>
      </c>
      <c r="D139" s="8" t="str">
        <f t="shared" si="1"/>
        <v>-</v>
      </c>
      <c r="E139" s="9"/>
      <c r="F139" s="10"/>
      <c r="G139" s="9"/>
      <c r="H139" s="11"/>
      <c r="I139" s="9" t="s">
        <v>13</v>
      </c>
      <c r="J139" s="44"/>
    </row>
    <row r="140">
      <c r="A140" s="42" t="s">
        <v>330</v>
      </c>
      <c r="B140" s="47"/>
      <c r="C140" s="9" t="s">
        <v>11</v>
      </c>
      <c r="D140" s="8" t="str">
        <f t="shared" si="1"/>
        <v>-</v>
      </c>
      <c r="E140" s="9"/>
      <c r="F140" s="10"/>
      <c r="G140" s="9"/>
      <c r="H140" s="11"/>
      <c r="I140" s="9" t="s">
        <v>13</v>
      </c>
      <c r="J140" s="44"/>
    </row>
    <row r="141">
      <c r="A141" s="42" t="s">
        <v>330</v>
      </c>
      <c r="B141" s="47"/>
      <c r="C141" s="9" t="s">
        <v>11</v>
      </c>
      <c r="D141" s="8" t="str">
        <f t="shared" si="1"/>
        <v>-</v>
      </c>
      <c r="E141" s="9"/>
      <c r="F141" s="10"/>
      <c r="G141" s="9"/>
      <c r="H141" s="11"/>
      <c r="I141" s="9" t="s">
        <v>13</v>
      </c>
      <c r="J141" s="44"/>
    </row>
    <row r="142">
      <c r="A142" s="42" t="s">
        <v>330</v>
      </c>
      <c r="B142" s="47"/>
      <c r="C142" s="9" t="s">
        <v>11</v>
      </c>
      <c r="D142" s="8" t="str">
        <f t="shared" si="1"/>
        <v>-</v>
      </c>
      <c r="E142" s="9"/>
      <c r="F142" s="10"/>
      <c r="G142" s="9"/>
      <c r="H142" s="11"/>
      <c r="I142" s="9" t="s">
        <v>13</v>
      </c>
      <c r="J142" s="44"/>
    </row>
    <row r="143">
      <c r="A143" s="42" t="s">
        <v>330</v>
      </c>
      <c r="B143" s="47"/>
      <c r="C143" s="9" t="s">
        <v>11</v>
      </c>
      <c r="D143" s="8" t="str">
        <f t="shared" si="1"/>
        <v>-</v>
      </c>
      <c r="E143" s="9"/>
      <c r="F143" s="10"/>
      <c r="G143" s="9"/>
      <c r="H143" s="11"/>
      <c r="I143" s="9" t="s">
        <v>13</v>
      </c>
      <c r="J143" s="44"/>
    </row>
    <row r="144">
      <c r="A144" s="42" t="s">
        <v>330</v>
      </c>
      <c r="B144" s="47"/>
      <c r="C144" s="9" t="s">
        <v>11</v>
      </c>
      <c r="D144" s="8" t="str">
        <f t="shared" si="1"/>
        <v>-</v>
      </c>
      <c r="E144" s="9"/>
      <c r="F144" s="10"/>
      <c r="G144" s="9"/>
      <c r="H144" s="11"/>
      <c r="I144" s="9" t="s">
        <v>13</v>
      </c>
      <c r="J144" s="44"/>
    </row>
    <row r="145">
      <c r="A145" s="42" t="s">
        <v>330</v>
      </c>
      <c r="B145" s="47"/>
      <c r="C145" s="9" t="s">
        <v>11</v>
      </c>
      <c r="D145" s="8" t="str">
        <f t="shared" si="1"/>
        <v>-</v>
      </c>
      <c r="E145" s="9"/>
      <c r="F145" s="10"/>
      <c r="G145" s="9"/>
      <c r="H145" s="11"/>
      <c r="I145" s="9" t="s">
        <v>13</v>
      </c>
      <c r="J145" s="44"/>
    </row>
    <row r="146">
      <c r="A146" s="42" t="s">
        <v>330</v>
      </c>
      <c r="B146" s="47"/>
      <c r="C146" s="9" t="s">
        <v>11</v>
      </c>
      <c r="D146" s="8" t="str">
        <f t="shared" si="1"/>
        <v>-</v>
      </c>
      <c r="E146" s="9"/>
      <c r="F146" s="10"/>
      <c r="G146" s="9"/>
      <c r="H146" s="11"/>
      <c r="I146" s="9" t="s">
        <v>13</v>
      </c>
      <c r="J146" s="44"/>
    </row>
    <row r="147">
      <c r="A147" s="42" t="s">
        <v>330</v>
      </c>
      <c r="B147" s="47"/>
      <c r="C147" s="9" t="s">
        <v>11</v>
      </c>
      <c r="D147" s="8" t="str">
        <f t="shared" si="1"/>
        <v>-</v>
      </c>
      <c r="E147" s="9"/>
      <c r="F147" s="10"/>
      <c r="G147" s="9"/>
      <c r="H147" s="11"/>
      <c r="I147" s="9" t="s">
        <v>13</v>
      </c>
      <c r="J147" s="44"/>
    </row>
    <row r="148">
      <c r="A148" s="42" t="s">
        <v>330</v>
      </c>
      <c r="B148" s="47"/>
      <c r="C148" s="9" t="s">
        <v>11</v>
      </c>
      <c r="D148" s="8" t="str">
        <f t="shared" si="1"/>
        <v>-</v>
      </c>
      <c r="E148" s="9"/>
      <c r="F148" s="10"/>
      <c r="G148" s="9"/>
      <c r="H148" s="11"/>
      <c r="I148" s="9" t="s">
        <v>13</v>
      </c>
      <c r="J148" s="44"/>
    </row>
    <row r="149">
      <c r="A149" s="42" t="s">
        <v>330</v>
      </c>
      <c r="B149" s="47"/>
      <c r="C149" s="9" t="s">
        <v>11</v>
      </c>
      <c r="D149" s="8" t="str">
        <f t="shared" si="1"/>
        <v>-</v>
      </c>
      <c r="E149" s="9"/>
      <c r="F149" s="10"/>
      <c r="G149" s="9"/>
      <c r="H149" s="11"/>
      <c r="I149" s="9" t="s">
        <v>13</v>
      </c>
      <c r="J149" s="44"/>
    </row>
    <row r="150">
      <c r="A150" s="42" t="s">
        <v>330</v>
      </c>
      <c r="B150" s="47"/>
      <c r="C150" s="9" t="s">
        <v>11</v>
      </c>
      <c r="D150" s="8" t="str">
        <f t="shared" si="1"/>
        <v>-</v>
      </c>
      <c r="E150" s="9"/>
      <c r="F150" s="10"/>
      <c r="G150" s="9"/>
      <c r="H150" s="11"/>
      <c r="I150" s="9" t="s">
        <v>13</v>
      </c>
      <c r="J150" s="44"/>
    </row>
    <row r="151">
      <c r="A151" s="42" t="s">
        <v>330</v>
      </c>
      <c r="B151" s="47"/>
      <c r="C151" s="9" t="s">
        <v>11</v>
      </c>
      <c r="D151" s="8" t="str">
        <f t="shared" si="1"/>
        <v>-</v>
      </c>
      <c r="E151" s="9"/>
      <c r="F151" s="10"/>
      <c r="G151" s="9"/>
      <c r="H151" s="11"/>
      <c r="I151" s="9" t="s">
        <v>13</v>
      </c>
      <c r="J151" s="44"/>
    </row>
    <row r="152">
      <c r="A152" s="42" t="s">
        <v>330</v>
      </c>
      <c r="B152" s="47"/>
      <c r="C152" s="9" t="s">
        <v>11</v>
      </c>
      <c r="D152" s="8" t="str">
        <f t="shared" si="1"/>
        <v>-</v>
      </c>
      <c r="E152" s="9"/>
      <c r="F152" s="10"/>
      <c r="G152" s="9"/>
      <c r="H152" s="11"/>
      <c r="I152" s="9" t="s">
        <v>13</v>
      </c>
      <c r="J152" s="44"/>
    </row>
    <row r="153">
      <c r="A153" s="42" t="s">
        <v>330</v>
      </c>
      <c r="B153" s="47"/>
      <c r="C153" s="9" t="s">
        <v>11</v>
      </c>
      <c r="D153" s="8" t="str">
        <f t="shared" si="1"/>
        <v>-</v>
      </c>
      <c r="E153" s="9"/>
      <c r="F153" s="10"/>
      <c r="G153" s="9"/>
      <c r="H153" s="11"/>
      <c r="I153" s="9" t="s">
        <v>13</v>
      </c>
      <c r="J153" s="44"/>
    </row>
    <row r="154">
      <c r="A154" s="42" t="s">
        <v>330</v>
      </c>
      <c r="B154" s="47"/>
      <c r="C154" s="9" t="s">
        <v>11</v>
      </c>
      <c r="D154" s="8" t="str">
        <f t="shared" si="1"/>
        <v>-</v>
      </c>
      <c r="E154" s="9"/>
      <c r="F154" s="10"/>
      <c r="G154" s="9"/>
      <c r="H154" s="11"/>
      <c r="I154" s="9" t="s">
        <v>13</v>
      </c>
      <c r="J154" s="44"/>
    </row>
    <row r="155">
      <c r="A155" s="42" t="s">
        <v>330</v>
      </c>
      <c r="B155" s="47"/>
      <c r="C155" s="9" t="s">
        <v>11</v>
      </c>
      <c r="D155" s="8" t="str">
        <f t="shared" si="1"/>
        <v>-</v>
      </c>
      <c r="E155" s="9"/>
      <c r="F155" s="10"/>
      <c r="G155" s="9"/>
      <c r="H155" s="11"/>
      <c r="I155" s="9" t="s">
        <v>13</v>
      </c>
      <c r="J155" s="44"/>
    </row>
    <row r="156">
      <c r="A156" s="42" t="s">
        <v>330</v>
      </c>
      <c r="B156" s="47"/>
      <c r="C156" s="9" t="s">
        <v>11</v>
      </c>
      <c r="D156" s="8" t="str">
        <f t="shared" si="1"/>
        <v>-</v>
      </c>
      <c r="E156" s="9"/>
      <c r="F156" s="10"/>
      <c r="G156" s="9"/>
      <c r="H156" s="11"/>
      <c r="I156" s="9" t="s">
        <v>13</v>
      </c>
      <c r="J156" s="44"/>
    </row>
    <row r="157">
      <c r="A157" s="42" t="s">
        <v>330</v>
      </c>
      <c r="B157" s="47"/>
      <c r="C157" s="9" t="s">
        <v>11</v>
      </c>
      <c r="D157" s="8" t="str">
        <f t="shared" si="1"/>
        <v>-</v>
      </c>
      <c r="E157" s="9"/>
      <c r="F157" s="10"/>
      <c r="G157" s="9"/>
      <c r="H157" s="11"/>
      <c r="I157" s="9" t="s">
        <v>13</v>
      </c>
      <c r="J157" s="44"/>
    </row>
    <row r="158">
      <c r="A158" s="42" t="s">
        <v>330</v>
      </c>
      <c r="B158" s="47"/>
      <c r="C158" s="9" t="s">
        <v>11</v>
      </c>
      <c r="D158" s="8" t="str">
        <f t="shared" si="1"/>
        <v>-</v>
      </c>
      <c r="E158" s="9"/>
      <c r="F158" s="10"/>
      <c r="G158" s="9"/>
      <c r="H158" s="11"/>
      <c r="I158" s="9" t="s">
        <v>13</v>
      </c>
      <c r="J158" s="44"/>
    </row>
    <row r="159">
      <c r="A159" s="42" t="s">
        <v>330</v>
      </c>
      <c r="B159" s="47"/>
      <c r="C159" s="9" t="s">
        <v>11</v>
      </c>
      <c r="D159" s="8" t="str">
        <f t="shared" si="1"/>
        <v>-</v>
      </c>
      <c r="E159" s="9"/>
      <c r="F159" s="10"/>
      <c r="G159" s="9"/>
      <c r="H159" s="11"/>
      <c r="I159" s="9" t="s">
        <v>13</v>
      </c>
      <c r="J159" s="44"/>
    </row>
    <row r="160">
      <c r="A160" s="42" t="s">
        <v>330</v>
      </c>
      <c r="B160" s="47"/>
      <c r="C160" s="9" t="s">
        <v>11</v>
      </c>
      <c r="D160" s="8" t="str">
        <f t="shared" si="1"/>
        <v>-</v>
      </c>
      <c r="E160" s="9"/>
      <c r="F160" s="10"/>
      <c r="G160" s="9"/>
      <c r="H160" s="11"/>
      <c r="I160" s="9" t="s">
        <v>13</v>
      </c>
      <c r="J160" s="44"/>
    </row>
    <row r="161">
      <c r="A161" s="42" t="s">
        <v>330</v>
      </c>
      <c r="B161" s="47"/>
      <c r="C161" s="9" t="s">
        <v>11</v>
      </c>
      <c r="D161" s="8" t="str">
        <f t="shared" si="1"/>
        <v>-</v>
      </c>
      <c r="E161" s="9"/>
      <c r="F161" s="10"/>
      <c r="G161" s="9"/>
      <c r="H161" s="11"/>
      <c r="I161" s="9" t="s">
        <v>13</v>
      </c>
      <c r="J161" s="44"/>
    </row>
    <row r="162">
      <c r="A162" s="42" t="s">
        <v>330</v>
      </c>
      <c r="B162" s="47"/>
      <c r="C162" s="9" t="s">
        <v>11</v>
      </c>
      <c r="D162" s="8" t="str">
        <f t="shared" si="1"/>
        <v>-</v>
      </c>
      <c r="E162" s="9"/>
      <c r="F162" s="10"/>
      <c r="G162" s="9"/>
      <c r="H162" s="11"/>
      <c r="I162" s="9" t="s">
        <v>13</v>
      </c>
      <c r="J162" s="44"/>
    </row>
    <row r="163">
      <c r="A163" s="42" t="s">
        <v>330</v>
      </c>
      <c r="B163" s="47"/>
      <c r="C163" s="9" t="s">
        <v>11</v>
      </c>
      <c r="D163" s="8" t="str">
        <f t="shared" si="1"/>
        <v>-</v>
      </c>
      <c r="E163" s="9"/>
      <c r="F163" s="10"/>
      <c r="G163" s="9"/>
      <c r="H163" s="11"/>
      <c r="I163" s="9" t="s">
        <v>13</v>
      </c>
      <c r="J163" s="44"/>
    </row>
    <row r="164">
      <c r="A164" s="42" t="s">
        <v>330</v>
      </c>
      <c r="B164" s="47"/>
      <c r="C164" s="9" t="s">
        <v>11</v>
      </c>
      <c r="D164" s="8" t="str">
        <f t="shared" si="1"/>
        <v>-</v>
      </c>
      <c r="E164" s="9"/>
      <c r="F164" s="10"/>
      <c r="G164" s="9"/>
      <c r="H164" s="11"/>
      <c r="I164" s="9" t="s">
        <v>13</v>
      </c>
      <c r="J164" s="44"/>
    </row>
    <row r="165">
      <c r="A165" s="42" t="s">
        <v>330</v>
      </c>
      <c r="B165" s="47"/>
      <c r="C165" s="9" t="s">
        <v>11</v>
      </c>
      <c r="D165" s="8" t="str">
        <f t="shared" si="1"/>
        <v>-</v>
      </c>
      <c r="E165" s="9"/>
      <c r="F165" s="10"/>
      <c r="G165" s="9"/>
      <c r="H165" s="11"/>
      <c r="I165" s="9" t="s">
        <v>13</v>
      </c>
      <c r="J165" s="44"/>
    </row>
    <row r="166">
      <c r="A166" s="42" t="s">
        <v>330</v>
      </c>
      <c r="B166" s="47"/>
      <c r="C166" s="9" t="s">
        <v>11</v>
      </c>
      <c r="D166" s="8" t="str">
        <f t="shared" si="1"/>
        <v>-</v>
      </c>
      <c r="E166" s="9"/>
      <c r="F166" s="10"/>
      <c r="G166" s="9"/>
      <c r="H166" s="11"/>
      <c r="I166" s="9" t="s">
        <v>13</v>
      </c>
      <c r="J166" s="44"/>
    </row>
    <row r="167">
      <c r="A167" s="42" t="s">
        <v>330</v>
      </c>
      <c r="B167" s="47"/>
      <c r="C167" s="9" t="s">
        <v>11</v>
      </c>
      <c r="D167" s="8" t="str">
        <f t="shared" si="1"/>
        <v>-</v>
      </c>
      <c r="E167" s="9"/>
      <c r="F167" s="10"/>
      <c r="G167" s="9"/>
      <c r="H167" s="11"/>
      <c r="I167" s="9" t="s">
        <v>13</v>
      </c>
      <c r="J167" s="44"/>
    </row>
    <row r="168">
      <c r="A168" s="42" t="s">
        <v>330</v>
      </c>
      <c r="B168" s="47"/>
      <c r="C168" s="9" t="s">
        <v>11</v>
      </c>
      <c r="D168" s="8" t="str">
        <f t="shared" si="1"/>
        <v>-</v>
      </c>
      <c r="E168" s="9"/>
      <c r="F168" s="10"/>
      <c r="G168" s="9"/>
      <c r="H168" s="11"/>
      <c r="I168" s="9" t="s">
        <v>13</v>
      </c>
      <c r="J168" s="44"/>
    </row>
    <row r="169">
      <c r="A169" s="42" t="s">
        <v>330</v>
      </c>
      <c r="B169" s="47"/>
      <c r="C169" s="9" t="s">
        <v>11</v>
      </c>
      <c r="D169" s="8" t="str">
        <f t="shared" si="1"/>
        <v>-</v>
      </c>
      <c r="E169" s="9"/>
      <c r="F169" s="10"/>
      <c r="G169" s="9"/>
      <c r="H169" s="11"/>
      <c r="I169" s="9" t="s">
        <v>13</v>
      </c>
      <c r="J169" s="44"/>
    </row>
    <row r="170">
      <c r="A170" s="42" t="s">
        <v>330</v>
      </c>
      <c r="B170" s="47"/>
      <c r="C170" s="9" t="s">
        <v>11</v>
      </c>
      <c r="D170" s="8" t="str">
        <f t="shared" si="1"/>
        <v>-</v>
      </c>
      <c r="E170" s="9"/>
      <c r="F170" s="10"/>
      <c r="G170" s="9"/>
      <c r="H170" s="11"/>
      <c r="I170" s="9" t="s">
        <v>13</v>
      </c>
      <c r="J170" s="44"/>
    </row>
    <row r="171">
      <c r="A171" s="42" t="s">
        <v>330</v>
      </c>
      <c r="B171" s="47"/>
      <c r="C171" s="9" t="s">
        <v>11</v>
      </c>
      <c r="D171" s="8" t="str">
        <f t="shared" si="1"/>
        <v>-</v>
      </c>
      <c r="E171" s="9"/>
      <c r="F171" s="10"/>
      <c r="G171" s="9"/>
      <c r="H171" s="11"/>
      <c r="I171" s="9" t="s">
        <v>13</v>
      </c>
      <c r="J171" s="44"/>
    </row>
    <row r="172">
      <c r="A172" s="42" t="s">
        <v>330</v>
      </c>
      <c r="B172" s="47"/>
      <c r="C172" s="9" t="s">
        <v>11</v>
      </c>
      <c r="D172" s="8" t="str">
        <f t="shared" si="1"/>
        <v>-</v>
      </c>
      <c r="E172" s="9"/>
      <c r="F172" s="10"/>
      <c r="G172" s="9"/>
      <c r="H172" s="11"/>
      <c r="I172" s="9" t="s">
        <v>13</v>
      </c>
      <c r="J172" s="44"/>
    </row>
    <row r="173">
      <c r="A173" s="42" t="s">
        <v>330</v>
      </c>
      <c r="B173" s="47"/>
      <c r="C173" s="9" t="s">
        <v>11</v>
      </c>
      <c r="D173" s="8" t="str">
        <f t="shared" si="1"/>
        <v>-</v>
      </c>
      <c r="E173" s="9"/>
      <c r="F173" s="10"/>
      <c r="G173" s="9"/>
      <c r="H173" s="11"/>
      <c r="I173" s="9" t="s">
        <v>13</v>
      </c>
      <c r="J173" s="44"/>
    </row>
    <row r="174">
      <c r="A174" s="42" t="s">
        <v>330</v>
      </c>
      <c r="B174" s="47"/>
      <c r="C174" s="9" t="s">
        <v>11</v>
      </c>
      <c r="D174" s="8" t="str">
        <f t="shared" si="1"/>
        <v>-</v>
      </c>
      <c r="E174" s="9"/>
      <c r="F174" s="10"/>
      <c r="G174" s="9"/>
      <c r="H174" s="11"/>
      <c r="I174" s="9" t="s">
        <v>13</v>
      </c>
      <c r="J174" s="44"/>
    </row>
    <row r="175">
      <c r="A175" s="42" t="s">
        <v>330</v>
      </c>
      <c r="B175" s="47"/>
      <c r="C175" s="9" t="s">
        <v>11</v>
      </c>
      <c r="D175" s="8" t="str">
        <f t="shared" si="1"/>
        <v>-</v>
      </c>
      <c r="E175" s="9"/>
      <c r="F175" s="10"/>
      <c r="G175" s="9"/>
      <c r="H175" s="11"/>
      <c r="I175" s="9" t="s">
        <v>13</v>
      </c>
      <c r="J175" s="44"/>
    </row>
    <row r="176">
      <c r="A176" s="42" t="s">
        <v>330</v>
      </c>
      <c r="B176" s="47"/>
      <c r="C176" s="9" t="s">
        <v>11</v>
      </c>
      <c r="D176" s="8" t="str">
        <f t="shared" si="1"/>
        <v>-</v>
      </c>
      <c r="E176" s="9"/>
      <c r="F176" s="10"/>
      <c r="G176" s="9"/>
      <c r="H176" s="11"/>
      <c r="I176" s="9" t="s">
        <v>13</v>
      </c>
      <c r="J176" s="44"/>
    </row>
    <row r="177">
      <c r="A177" s="42" t="s">
        <v>330</v>
      </c>
      <c r="B177" s="47"/>
      <c r="C177" s="9" t="s">
        <v>11</v>
      </c>
      <c r="D177" s="8" t="str">
        <f t="shared" si="1"/>
        <v>-</v>
      </c>
      <c r="E177" s="9"/>
      <c r="F177" s="10"/>
      <c r="G177" s="9"/>
      <c r="H177" s="11"/>
      <c r="I177" s="9" t="s">
        <v>13</v>
      </c>
      <c r="J177" s="44"/>
    </row>
    <row r="178">
      <c r="A178" s="42" t="s">
        <v>330</v>
      </c>
      <c r="B178" s="47"/>
      <c r="C178" s="9" t="s">
        <v>11</v>
      </c>
      <c r="D178" s="8" t="str">
        <f t="shared" si="1"/>
        <v>-</v>
      </c>
      <c r="E178" s="9"/>
      <c r="F178" s="10"/>
      <c r="G178" s="9"/>
      <c r="H178" s="11"/>
      <c r="I178" s="9" t="s">
        <v>13</v>
      </c>
      <c r="J178" s="44"/>
    </row>
    <row r="179">
      <c r="A179" s="42" t="s">
        <v>330</v>
      </c>
      <c r="B179" s="47"/>
      <c r="C179" s="9" t="s">
        <v>11</v>
      </c>
      <c r="D179" s="8" t="str">
        <f t="shared" si="1"/>
        <v>-</v>
      </c>
      <c r="E179" s="9"/>
      <c r="F179" s="10"/>
      <c r="G179" s="9"/>
      <c r="H179" s="11"/>
      <c r="I179" s="9" t="s">
        <v>13</v>
      </c>
      <c r="J179" s="44"/>
    </row>
    <row r="180">
      <c r="A180" s="42" t="s">
        <v>330</v>
      </c>
      <c r="B180" s="47"/>
      <c r="C180" s="9" t="s">
        <v>11</v>
      </c>
      <c r="D180" s="8" t="str">
        <f t="shared" si="1"/>
        <v>-</v>
      </c>
      <c r="E180" s="9"/>
      <c r="F180" s="10"/>
      <c r="G180" s="9"/>
      <c r="H180" s="11"/>
      <c r="I180" s="9" t="s">
        <v>13</v>
      </c>
      <c r="J180" s="44"/>
    </row>
    <row r="181">
      <c r="A181" s="42" t="s">
        <v>330</v>
      </c>
      <c r="B181" s="47"/>
      <c r="C181" s="9" t="s">
        <v>11</v>
      </c>
      <c r="D181" s="8" t="str">
        <f t="shared" si="1"/>
        <v>-</v>
      </c>
      <c r="E181" s="9"/>
      <c r="F181" s="10"/>
      <c r="G181" s="9"/>
      <c r="H181" s="11"/>
      <c r="I181" s="9" t="s">
        <v>13</v>
      </c>
      <c r="J181" s="44"/>
    </row>
    <row r="182">
      <c r="A182" s="42" t="s">
        <v>330</v>
      </c>
      <c r="B182" s="47"/>
      <c r="C182" s="9" t="s">
        <v>11</v>
      </c>
      <c r="D182" s="8" t="str">
        <f t="shared" si="1"/>
        <v>-</v>
      </c>
      <c r="E182" s="9"/>
      <c r="F182" s="10"/>
      <c r="G182" s="9"/>
      <c r="H182" s="11"/>
      <c r="I182" s="9" t="s">
        <v>13</v>
      </c>
      <c r="J182" s="44"/>
    </row>
    <row r="183">
      <c r="A183" s="42" t="s">
        <v>330</v>
      </c>
      <c r="B183" s="47"/>
      <c r="C183" s="9" t="s">
        <v>11</v>
      </c>
      <c r="D183" s="8" t="str">
        <f t="shared" si="1"/>
        <v>-</v>
      </c>
      <c r="E183" s="9"/>
      <c r="F183" s="10"/>
      <c r="G183" s="9"/>
      <c r="H183" s="11"/>
      <c r="I183" s="9" t="s">
        <v>13</v>
      </c>
      <c r="J183" s="44"/>
    </row>
    <row r="184">
      <c r="A184" s="42" t="s">
        <v>330</v>
      </c>
      <c r="B184" s="47"/>
      <c r="C184" s="9" t="s">
        <v>11</v>
      </c>
      <c r="D184" s="8" t="str">
        <f t="shared" si="1"/>
        <v>-</v>
      </c>
      <c r="E184" s="9"/>
      <c r="F184" s="10"/>
      <c r="G184" s="9"/>
      <c r="H184" s="11"/>
      <c r="I184" s="9" t="s">
        <v>13</v>
      </c>
      <c r="J184" s="44"/>
    </row>
    <row r="185">
      <c r="A185" s="42" t="s">
        <v>330</v>
      </c>
      <c r="B185" s="47"/>
      <c r="C185" s="9" t="s">
        <v>11</v>
      </c>
      <c r="D185" s="8" t="str">
        <f t="shared" si="1"/>
        <v>-</v>
      </c>
      <c r="E185" s="9"/>
      <c r="F185" s="10"/>
      <c r="G185" s="9"/>
      <c r="H185" s="11"/>
      <c r="I185" s="9" t="s">
        <v>13</v>
      </c>
      <c r="J185" s="44"/>
    </row>
    <row r="186">
      <c r="A186" s="42" t="s">
        <v>330</v>
      </c>
      <c r="B186" s="47"/>
      <c r="C186" s="9" t="s">
        <v>11</v>
      </c>
      <c r="D186" s="8" t="str">
        <f t="shared" si="1"/>
        <v>-</v>
      </c>
      <c r="E186" s="9"/>
      <c r="F186" s="10"/>
      <c r="G186" s="9"/>
      <c r="H186" s="11"/>
      <c r="I186" s="9" t="s">
        <v>13</v>
      </c>
      <c r="J186" s="44"/>
    </row>
    <row r="187">
      <c r="A187" s="42" t="s">
        <v>330</v>
      </c>
      <c r="B187" s="47"/>
      <c r="C187" s="9" t="s">
        <v>11</v>
      </c>
      <c r="D187" s="8" t="str">
        <f t="shared" si="1"/>
        <v>-</v>
      </c>
      <c r="E187" s="9"/>
      <c r="F187" s="10"/>
      <c r="G187" s="9"/>
      <c r="H187" s="11"/>
      <c r="I187" s="9" t="s">
        <v>13</v>
      </c>
      <c r="J187" s="44"/>
    </row>
    <row r="188">
      <c r="A188" s="42" t="s">
        <v>330</v>
      </c>
      <c r="B188" s="47"/>
      <c r="C188" s="9" t="s">
        <v>11</v>
      </c>
      <c r="D188" s="8" t="str">
        <f t="shared" si="1"/>
        <v>-</v>
      </c>
      <c r="E188" s="9"/>
      <c r="F188" s="10"/>
      <c r="G188" s="9"/>
      <c r="H188" s="11"/>
      <c r="I188" s="9" t="s">
        <v>13</v>
      </c>
      <c r="J188" s="44"/>
    </row>
    <row r="189">
      <c r="A189" s="42" t="s">
        <v>330</v>
      </c>
      <c r="B189" s="47"/>
      <c r="C189" s="9" t="s">
        <v>11</v>
      </c>
      <c r="D189" s="8" t="str">
        <f t="shared" si="1"/>
        <v>-</v>
      </c>
      <c r="E189" s="9"/>
      <c r="F189" s="10"/>
      <c r="G189" s="9"/>
      <c r="H189" s="11"/>
      <c r="I189" s="9" t="s">
        <v>13</v>
      </c>
      <c r="J189" s="44"/>
    </row>
    <row r="190">
      <c r="A190" s="42" t="s">
        <v>330</v>
      </c>
      <c r="B190" s="47"/>
      <c r="C190" s="9" t="s">
        <v>11</v>
      </c>
      <c r="D190" s="8" t="str">
        <f t="shared" si="1"/>
        <v>-</v>
      </c>
      <c r="E190" s="9"/>
      <c r="F190" s="10"/>
      <c r="G190" s="9"/>
      <c r="H190" s="11"/>
      <c r="I190" s="9" t="s">
        <v>13</v>
      </c>
      <c r="J190" s="44"/>
    </row>
    <row r="191">
      <c r="A191" s="42" t="s">
        <v>330</v>
      </c>
      <c r="B191" s="47"/>
      <c r="C191" s="9" t="s">
        <v>11</v>
      </c>
      <c r="D191" s="8" t="str">
        <f t="shared" si="1"/>
        <v>-</v>
      </c>
      <c r="E191" s="9"/>
      <c r="F191" s="10"/>
      <c r="G191" s="9"/>
      <c r="H191" s="11"/>
      <c r="I191" s="9" t="s">
        <v>13</v>
      </c>
      <c r="J191" s="44"/>
    </row>
    <row r="192">
      <c r="A192" s="42" t="s">
        <v>330</v>
      </c>
      <c r="B192" s="47"/>
      <c r="C192" s="9" t="s">
        <v>11</v>
      </c>
      <c r="D192" s="8" t="str">
        <f t="shared" si="1"/>
        <v>-</v>
      </c>
      <c r="E192" s="9"/>
      <c r="F192" s="10"/>
      <c r="G192" s="9"/>
      <c r="H192" s="11"/>
      <c r="I192" s="9" t="s">
        <v>13</v>
      </c>
      <c r="J192" s="44"/>
    </row>
    <row r="193">
      <c r="A193" s="42" t="s">
        <v>330</v>
      </c>
      <c r="B193" s="47"/>
      <c r="C193" s="9" t="s">
        <v>11</v>
      </c>
      <c r="D193" s="8" t="str">
        <f t="shared" si="1"/>
        <v>-</v>
      </c>
      <c r="E193" s="9"/>
      <c r="F193" s="10"/>
      <c r="G193" s="9"/>
      <c r="H193" s="11"/>
      <c r="I193" s="9" t="s">
        <v>13</v>
      </c>
      <c r="J193" s="44"/>
    </row>
    <row r="194">
      <c r="A194" s="42" t="s">
        <v>330</v>
      </c>
      <c r="B194" s="47"/>
      <c r="C194" s="9" t="s">
        <v>11</v>
      </c>
      <c r="D194" s="8" t="str">
        <f t="shared" si="1"/>
        <v>-</v>
      </c>
      <c r="E194" s="9"/>
      <c r="F194" s="10"/>
      <c r="G194" s="9"/>
      <c r="H194" s="11"/>
      <c r="I194" s="9" t="s">
        <v>13</v>
      </c>
      <c r="J194" s="44"/>
    </row>
    <row r="195">
      <c r="A195" s="42" t="s">
        <v>330</v>
      </c>
      <c r="B195" s="47"/>
      <c r="C195" s="9" t="s">
        <v>11</v>
      </c>
      <c r="D195" s="8" t="str">
        <f t="shared" si="1"/>
        <v>-</v>
      </c>
      <c r="E195" s="9"/>
      <c r="F195" s="10"/>
      <c r="G195" s="9"/>
      <c r="H195" s="11"/>
      <c r="I195" s="9" t="s">
        <v>13</v>
      </c>
      <c r="J195" s="44"/>
    </row>
    <row r="196">
      <c r="A196" s="42" t="s">
        <v>330</v>
      </c>
      <c r="B196" s="47"/>
      <c r="C196" s="9" t="s">
        <v>11</v>
      </c>
      <c r="D196" s="8" t="str">
        <f t="shared" si="1"/>
        <v>-</v>
      </c>
      <c r="E196" s="9"/>
      <c r="F196" s="10"/>
      <c r="G196" s="9"/>
      <c r="H196" s="11"/>
      <c r="I196" s="9" t="s">
        <v>13</v>
      </c>
      <c r="J196" s="44"/>
    </row>
    <row r="197">
      <c r="A197" s="42" t="s">
        <v>330</v>
      </c>
      <c r="B197" s="47"/>
      <c r="C197" s="9" t="s">
        <v>11</v>
      </c>
      <c r="D197" s="8" t="str">
        <f t="shared" si="1"/>
        <v>-</v>
      </c>
      <c r="E197" s="9"/>
      <c r="F197" s="10"/>
      <c r="G197" s="9"/>
      <c r="H197" s="11"/>
      <c r="I197" s="9" t="s">
        <v>13</v>
      </c>
      <c r="J197" s="44"/>
    </row>
    <row r="198">
      <c r="A198" s="42" t="s">
        <v>330</v>
      </c>
      <c r="B198" s="47"/>
      <c r="C198" s="9" t="s">
        <v>11</v>
      </c>
      <c r="D198" s="8" t="str">
        <f t="shared" si="1"/>
        <v>-</v>
      </c>
      <c r="E198" s="9"/>
      <c r="F198" s="10"/>
      <c r="G198" s="9"/>
      <c r="H198" s="11"/>
      <c r="I198" s="9" t="s">
        <v>13</v>
      </c>
      <c r="J198" s="44"/>
    </row>
    <row r="199">
      <c r="A199" s="42" t="s">
        <v>330</v>
      </c>
      <c r="B199" s="47"/>
      <c r="C199" s="9" t="s">
        <v>11</v>
      </c>
      <c r="D199" s="8" t="str">
        <f t="shared" si="1"/>
        <v>-</v>
      </c>
      <c r="E199" s="9"/>
      <c r="F199" s="10"/>
      <c r="G199" s="9"/>
      <c r="H199" s="11"/>
      <c r="I199" s="9" t="s">
        <v>13</v>
      </c>
      <c r="J199" s="44"/>
    </row>
    <row r="200">
      <c r="A200" s="42" t="s">
        <v>330</v>
      </c>
      <c r="B200" s="47"/>
      <c r="C200" s="9" t="s">
        <v>11</v>
      </c>
      <c r="D200" s="8" t="str">
        <f t="shared" si="1"/>
        <v>-</v>
      </c>
      <c r="E200" s="9"/>
      <c r="F200" s="10"/>
      <c r="G200" s="9"/>
      <c r="H200" s="11"/>
      <c r="I200" s="9" t="s">
        <v>13</v>
      </c>
      <c r="J200" s="44"/>
    </row>
    <row r="201">
      <c r="A201" s="42" t="s">
        <v>330</v>
      </c>
      <c r="B201" s="47"/>
      <c r="C201" s="9" t="s">
        <v>11</v>
      </c>
      <c r="D201" s="8" t="str">
        <f t="shared" si="1"/>
        <v>-</v>
      </c>
      <c r="E201" s="9"/>
      <c r="F201" s="10"/>
      <c r="G201" s="9"/>
      <c r="H201" s="11"/>
      <c r="I201" s="9" t="s">
        <v>13</v>
      </c>
      <c r="J201" s="44"/>
    </row>
    <row r="202">
      <c r="A202" s="42" t="s">
        <v>330</v>
      </c>
      <c r="B202" s="47"/>
      <c r="C202" s="9" t="s">
        <v>11</v>
      </c>
      <c r="D202" s="8" t="str">
        <f t="shared" si="1"/>
        <v>-</v>
      </c>
      <c r="E202" s="9"/>
      <c r="F202" s="10"/>
      <c r="G202" s="9"/>
      <c r="H202" s="11"/>
      <c r="I202" s="9" t="s">
        <v>13</v>
      </c>
      <c r="J202" s="44"/>
    </row>
    <row r="203">
      <c r="A203" s="42" t="s">
        <v>330</v>
      </c>
      <c r="B203" s="47"/>
      <c r="C203" s="9" t="s">
        <v>11</v>
      </c>
      <c r="D203" s="8" t="str">
        <f t="shared" si="1"/>
        <v>-</v>
      </c>
      <c r="E203" s="9"/>
      <c r="F203" s="10"/>
      <c r="G203" s="9"/>
      <c r="H203" s="11"/>
      <c r="I203" s="9" t="s">
        <v>13</v>
      </c>
      <c r="J203" s="44"/>
    </row>
    <row r="204">
      <c r="A204" s="42" t="s">
        <v>330</v>
      </c>
      <c r="B204" s="47"/>
      <c r="C204" s="9" t="s">
        <v>11</v>
      </c>
      <c r="D204" s="8" t="str">
        <f t="shared" si="1"/>
        <v>-</v>
      </c>
      <c r="E204" s="9"/>
      <c r="F204" s="10"/>
      <c r="G204" s="9"/>
      <c r="H204" s="11"/>
      <c r="I204" s="9" t="s">
        <v>13</v>
      </c>
      <c r="J204" s="44"/>
    </row>
    <row r="205">
      <c r="A205" s="42" t="s">
        <v>330</v>
      </c>
      <c r="B205" s="47"/>
      <c r="C205" s="9" t="s">
        <v>11</v>
      </c>
      <c r="D205" s="8" t="str">
        <f t="shared" si="1"/>
        <v>-</v>
      </c>
      <c r="E205" s="9"/>
      <c r="F205" s="10"/>
      <c r="G205" s="9"/>
      <c r="H205" s="11"/>
      <c r="I205" s="9" t="s">
        <v>13</v>
      </c>
      <c r="J205" s="44"/>
    </row>
    <row r="206">
      <c r="A206" s="42" t="s">
        <v>330</v>
      </c>
      <c r="B206" s="47"/>
      <c r="C206" s="9" t="s">
        <v>11</v>
      </c>
      <c r="D206" s="8" t="str">
        <f t="shared" si="1"/>
        <v>-</v>
      </c>
      <c r="E206" s="9"/>
      <c r="F206" s="10"/>
      <c r="G206" s="9"/>
      <c r="H206" s="11"/>
      <c r="I206" s="9" t="s">
        <v>13</v>
      </c>
      <c r="J206" s="44"/>
    </row>
    <row r="207">
      <c r="A207" s="42" t="s">
        <v>330</v>
      </c>
      <c r="B207" s="47"/>
      <c r="C207" s="9" t="s">
        <v>11</v>
      </c>
      <c r="D207" s="8" t="str">
        <f t="shared" si="1"/>
        <v>-</v>
      </c>
      <c r="E207" s="9"/>
      <c r="F207" s="10"/>
      <c r="G207" s="9"/>
      <c r="H207" s="11"/>
      <c r="I207" s="9" t="s">
        <v>13</v>
      </c>
      <c r="J207" s="44"/>
    </row>
    <row r="208">
      <c r="A208" s="42" t="s">
        <v>330</v>
      </c>
      <c r="B208" s="47"/>
      <c r="C208" s="9" t="s">
        <v>11</v>
      </c>
      <c r="D208" s="8" t="str">
        <f t="shared" si="1"/>
        <v>-</v>
      </c>
      <c r="E208" s="9"/>
      <c r="F208" s="10"/>
      <c r="G208" s="9"/>
      <c r="H208" s="11"/>
      <c r="I208" s="9" t="s">
        <v>13</v>
      </c>
      <c r="J208" s="44"/>
    </row>
    <row r="209">
      <c r="A209" s="42" t="s">
        <v>330</v>
      </c>
      <c r="B209" s="47"/>
      <c r="C209" s="9" t="s">
        <v>11</v>
      </c>
      <c r="D209" s="8" t="str">
        <f t="shared" si="1"/>
        <v>-</v>
      </c>
      <c r="E209" s="9"/>
      <c r="F209" s="10"/>
      <c r="G209" s="9"/>
      <c r="H209" s="11"/>
      <c r="I209" s="9" t="s">
        <v>13</v>
      </c>
      <c r="J209" s="44"/>
    </row>
    <row r="210">
      <c r="A210" s="42" t="s">
        <v>330</v>
      </c>
      <c r="B210" s="47"/>
      <c r="C210" s="9" t="s">
        <v>11</v>
      </c>
      <c r="D210" s="8" t="str">
        <f t="shared" si="1"/>
        <v>-</v>
      </c>
      <c r="E210" s="9"/>
      <c r="F210" s="10"/>
      <c r="G210" s="9"/>
      <c r="H210" s="11"/>
      <c r="I210" s="9" t="s">
        <v>13</v>
      </c>
      <c r="J210" s="44"/>
    </row>
    <row r="211">
      <c r="A211" s="42" t="s">
        <v>330</v>
      </c>
      <c r="B211" s="47"/>
      <c r="C211" s="9" t="s">
        <v>11</v>
      </c>
      <c r="D211" s="8" t="str">
        <f t="shared" si="1"/>
        <v>-</v>
      </c>
      <c r="E211" s="9"/>
      <c r="F211" s="10"/>
      <c r="G211" s="9"/>
      <c r="H211" s="11"/>
      <c r="I211" s="9" t="s">
        <v>13</v>
      </c>
      <c r="J211" s="44"/>
    </row>
    <row r="212">
      <c r="A212" s="42" t="s">
        <v>330</v>
      </c>
      <c r="B212" s="47"/>
      <c r="C212" s="9" t="s">
        <v>11</v>
      </c>
      <c r="D212" s="8" t="str">
        <f t="shared" si="1"/>
        <v>-</v>
      </c>
      <c r="E212" s="9"/>
      <c r="F212" s="10"/>
      <c r="G212" s="9"/>
      <c r="H212" s="11"/>
      <c r="I212" s="9" t="s">
        <v>13</v>
      </c>
      <c r="J212" s="44"/>
    </row>
    <row r="213">
      <c r="A213" s="42" t="s">
        <v>330</v>
      </c>
      <c r="B213" s="47"/>
      <c r="C213" s="9" t="s">
        <v>11</v>
      </c>
      <c r="D213" s="8" t="str">
        <f t="shared" si="1"/>
        <v>-</v>
      </c>
      <c r="E213" s="9"/>
      <c r="F213" s="10"/>
      <c r="G213" s="9"/>
      <c r="H213" s="11"/>
      <c r="I213" s="9" t="s">
        <v>13</v>
      </c>
      <c r="J213" s="44"/>
    </row>
    <row r="214">
      <c r="A214" s="42" t="s">
        <v>330</v>
      </c>
      <c r="B214" s="47"/>
      <c r="C214" s="9" t="s">
        <v>11</v>
      </c>
      <c r="D214" s="8" t="str">
        <f t="shared" si="1"/>
        <v>-</v>
      </c>
      <c r="E214" s="9"/>
      <c r="F214" s="10"/>
      <c r="G214" s="9"/>
      <c r="H214" s="11"/>
      <c r="I214" s="9" t="s">
        <v>13</v>
      </c>
      <c r="J214" s="44"/>
    </row>
    <row r="215">
      <c r="A215" s="42" t="s">
        <v>330</v>
      </c>
      <c r="B215" s="47"/>
      <c r="C215" s="9" t="s">
        <v>11</v>
      </c>
      <c r="D215" s="8" t="str">
        <f t="shared" si="1"/>
        <v>-</v>
      </c>
      <c r="E215" s="9"/>
      <c r="F215" s="10"/>
      <c r="G215" s="9"/>
      <c r="H215" s="11"/>
      <c r="I215" s="9" t="s">
        <v>13</v>
      </c>
      <c r="J215" s="44"/>
    </row>
    <row r="216">
      <c r="A216" s="42" t="s">
        <v>330</v>
      </c>
      <c r="B216" s="47"/>
      <c r="C216" s="9" t="s">
        <v>11</v>
      </c>
      <c r="D216" s="8" t="str">
        <f t="shared" si="1"/>
        <v>-</v>
      </c>
      <c r="E216" s="9"/>
      <c r="F216" s="10"/>
      <c r="G216" s="9"/>
      <c r="H216" s="11"/>
      <c r="I216" s="9" t="s">
        <v>13</v>
      </c>
      <c r="J216" s="44"/>
    </row>
    <row r="217">
      <c r="A217" s="42" t="s">
        <v>330</v>
      </c>
      <c r="B217" s="47"/>
      <c r="C217" s="9" t="s">
        <v>11</v>
      </c>
      <c r="D217" s="8" t="str">
        <f t="shared" si="1"/>
        <v>-</v>
      </c>
      <c r="E217" s="9"/>
      <c r="F217" s="10"/>
      <c r="G217" s="9"/>
      <c r="H217" s="11"/>
      <c r="I217" s="9" t="s">
        <v>13</v>
      </c>
      <c r="J217" s="44"/>
    </row>
    <row r="218">
      <c r="A218" s="42" t="s">
        <v>330</v>
      </c>
      <c r="B218" s="47"/>
      <c r="C218" s="9" t="s">
        <v>11</v>
      </c>
      <c r="D218" s="8" t="str">
        <f t="shared" si="1"/>
        <v>-</v>
      </c>
      <c r="E218" s="9"/>
      <c r="F218" s="10"/>
      <c r="G218" s="9"/>
      <c r="H218" s="11"/>
      <c r="I218" s="9" t="s">
        <v>13</v>
      </c>
      <c r="J218" s="44"/>
    </row>
    <row r="219">
      <c r="A219" s="42" t="s">
        <v>330</v>
      </c>
      <c r="B219" s="47"/>
      <c r="C219" s="9" t="s">
        <v>11</v>
      </c>
      <c r="D219" s="8" t="str">
        <f t="shared" si="1"/>
        <v>-</v>
      </c>
      <c r="E219" s="9"/>
      <c r="F219" s="10"/>
      <c r="G219" s="9"/>
      <c r="H219" s="11"/>
      <c r="I219" s="9" t="s">
        <v>13</v>
      </c>
      <c r="J219" s="44"/>
    </row>
    <row r="220">
      <c r="A220" s="42" t="s">
        <v>330</v>
      </c>
      <c r="B220" s="47"/>
      <c r="C220" s="9" t="s">
        <v>11</v>
      </c>
      <c r="D220" s="8" t="str">
        <f t="shared" si="1"/>
        <v>-</v>
      </c>
      <c r="E220" s="9"/>
      <c r="F220" s="10"/>
      <c r="G220" s="9"/>
      <c r="H220" s="11"/>
      <c r="I220" s="9" t="s">
        <v>13</v>
      </c>
      <c r="J220" s="44"/>
    </row>
    <row r="221">
      <c r="A221" s="42" t="s">
        <v>330</v>
      </c>
      <c r="B221" s="47"/>
      <c r="C221" s="9" t="s">
        <v>11</v>
      </c>
      <c r="D221" s="8" t="str">
        <f t="shared" si="1"/>
        <v>-</v>
      </c>
      <c r="E221" s="9"/>
      <c r="F221" s="10"/>
      <c r="G221" s="9"/>
      <c r="H221" s="11"/>
      <c r="I221" s="9" t="s">
        <v>13</v>
      </c>
      <c r="J221" s="44"/>
    </row>
    <row r="222">
      <c r="A222" s="42" t="s">
        <v>330</v>
      </c>
      <c r="B222" s="47"/>
      <c r="C222" s="9" t="s">
        <v>11</v>
      </c>
      <c r="D222" s="8" t="str">
        <f t="shared" si="1"/>
        <v>-</v>
      </c>
      <c r="E222" s="9"/>
      <c r="F222" s="10"/>
      <c r="G222" s="9"/>
      <c r="H222" s="11"/>
      <c r="I222" s="9" t="s">
        <v>13</v>
      </c>
      <c r="J222" s="44"/>
    </row>
    <row r="223">
      <c r="A223" s="42" t="s">
        <v>330</v>
      </c>
      <c r="B223" s="47"/>
      <c r="C223" s="9" t="s">
        <v>11</v>
      </c>
      <c r="D223" s="8" t="str">
        <f t="shared" si="1"/>
        <v>-</v>
      </c>
      <c r="E223" s="9"/>
      <c r="F223" s="10"/>
      <c r="G223" s="9"/>
      <c r="H223" s="11"/>
      <c r="I223" s="9" t="s">
        <v>13</v>
      </c>
      <c r="J223" s="44"/>
    </row>
    <row r="224">
      <c r="A224" s="42" t="s">
        <v>330</v>
      </c>
      <c r="B224" s="47"/>
      <c r="C224" s="9" t="s">
        <v>11</v>
      </c>
      <c r="D224" s="8" t="str">
        <f t="shared" si="1"/>
        <v>-</v>
      </c>
      <c r="E224" s="9"/>
      <c r="F224" s="10"/>
      <c r="G224" s="9"/>
      <c r="H224" s="11"/>
      <c r="I224" s="9" t="s">
        <v>13</v>
      </c>
      <c r="J224" s="44"/>
    </row>
    <row r="225">
      <c r="A225" s="42" t="s">
        <v>330</v>
      </c>
      <c r="B225" s="47"/>
      <c r="C225" s="9" t="s">
        <v>11</v>
      </c>
      <c r="D225" s="8" t="str">
        <f t="shared" si="1"/>
        <v>-</v>
      </c>
      <c r="E225" s="9"/>
      <c r="F225" s="10"/>
      <c r="G225" s="9"/>
      <c r="H225" s="11"/>
      <c r="I225" s="9" t="s">
        <v>13</v>
      </c>
      <c r="J225" s="44"/>
    </row>
    <row r="226">
      <c r="A226" s="42" t="s">
        <v>330</v>
      </c>
      <c r="B226" s="47"/>
      <c r="C226" s="9" t="s">
        <v>11</v>
      </c>
      <c r="D226" s="8" t="str">
        <f t="shared" si="1"/>
        <v>-</v>
      </c>
      <c r="E226" s="9"/>
      <c r="F226" s="10"/>
      <c r="G226" s="9"/>
      <c r="H226" s="11"/>
      <c r="I226" s="9" t="s">
        <v>13</v>
      </c>
      <c r="J226" s="44"/>
    </row>
    <row r="227">
      <c r="A227" s="42" t="s">
        <v>330</v>
      </c>
      <c r="B227" s="47"/>
      <c r="C227" s="9" t="s">
        <v>11</v>
      </c>
      <c r="D227" s="8" t="str">
        <f t="shared" si="1"/>
        <v>-</v>
      </c>
      <c r="E227" s="9"/>
      <c r="F227" s="10"/>
      <c r="G227" s="9"/>
      <c r="H227" s="11"/>
      <c r="I227" s="9" t="s">
        <v>13</v>
      </c>
      <c r="J227" s="44"/>
    </row>
    <row r="228">
      <c r="A228" s="42" t="s">
        <v>330</v>
      </c>
      <c r="B228" s="47"/>
      <c r="C228" s="9" t="s">
        <v>11</v>
      </c>
      <c r="D228" s="8" t="str">
        <f t="shared" si="1"/>
        <v>-</v>
      </c>
      <c r="E228" s="9"/>
      <c r="F228" s="10"/>
      <c r="G228" s="9"/>
      <c r="H228" s="11"/>
      <c r="I228" s="9" t="s">
        <v>13</v>
      </c>
      <c r="J228" s="44"/>
    </row>
    <row r="229">
      <c r="A229" s="42" t="s">
        <v>330</v>
      </c>
      <c r="B229" s="47"/>
      <c r="C229" s="9" t="s">
        <v>11</v>
      </c>
      <c r="D229" s="8" t="str">
        <f t="shared" si="1"/>
        <v>-</v>
      </c>
      <c r="E229" s="9"/>
      <c r="F229" s="10"/>
      <c r="G229" s="9"/>
      <c r="H229" s="11"/>
      <c r="I229" s="9" t="s">
        <v>13</v>
      </c>
      <c r="J229" s="44"/>
    </row>
    <row r="230">
      <c r="A230" s="42" t="s">
        <v>330</v>
      </c>
      <c r="B230" s="47"/>
      <c r="C230" s="9" t="s">
        <v>11</v>
      </c>
      <c r="D230" s="8" t="str">
        <f t="shared" si="1"/>
        <v>-</v>
      </c>
      <c r="E230" s="9"/>
      <c r="F230" s="10"/>
      <c r="G230" s="9"/>
      <c r="H230" s="11"/>
      <c r="I230" s="9" t="s">
        <v>13</v>
      </c>
      <c r="J230" s="44"/>
    </row>
    <row r="231">
      <c r="A231" s="42" t="s">
        <v>330</v>
      </c>
      <c r="B231" s="47"/>
      <c r="C231" s="9" t="s">
        <v>11</v>
      </c>
      <c r="D231" s="8" t="str">
        <f t="shared" si="1"/>
        <v>-</v>
      </c>
      <c r="E231" s="9"/>
      <c r="F231" s="10"/>
      <c r="G231" s="9"/>
      <c r="H231" s="11"/>
      <c r="I231" s="9" t="s">
        <v>13</v>
      </c>
      <c r="J231" s="44"/>
    </row>
    <row r="232">
      <c r="A232" s="42" t="s">
        <v>330</v>
      </c>
      <c r="B232" s="47"/>
      <c r="C232" s="9" t="s">
        <v>11</v>
      </c>
      <c r="D232" s="8" t="str">
        <f t="shared" si="1"/>
        <v>-</v>
      </c>
      <c r="E232" s="9"/>
      <c r="F232" s="10"/>
      <c r="G232" s="9"/>
      <c r="H232" s="11"/>
      <c r="I232" s="9" t="s">
        <v>13</v>
      </c>
      <c r="J232" s="44"/>
    </row>
    <row r="233">
      <c r="A233" s="42" t="s">
        <v>330</v>
      </c>
      <c r="B233" s="47"/>
      <c r="C233" s="9" t="s">
        <v>11</v>
      </c>
      <c r="D233" s="8" t="str">
        <f t="shared" si="1"/>
        <v>-</v>
      </c>
      <c r="E233" s="9"/>
      <c r="F233" s="10"/>
      <c r="G233" s="9"/>
      <c r="H233" s="11"/>
      <c r="I233" s="9" t="s">
        <v>13</v>
      </c>
      <c r="J233" s="44"/>
    </row>
    <row r="234">
      <c r="A234" s="42" t="s">
        <v>330</v>
      </c>
      <c r="B234" s="47"/>
      <c r="C234" s="9" t="s">
        <v>11</v>
      </c>
      <c r="D234" s="8" t="str">
        <f t="shared" si="1"/>
        <v>-</v>
      </c>
      <c r="E234" s="9"/>
      <c r="F234" s="10"/>
      <c r="G234" s="9"/>
      <c r="H234" s="11"/>
      <c r="I234" s="9" t="s">
        <v>13</v>
      </c>
      <c r="J234" s="44"/>
    </row>
    <row r="235">
      <c r="A235" s="42" t="s">
        <v>330</v>
      </c>
      <c r="B235" s="47"/>
      <c r="C235" s="9" t="s">
        <v>11</v>
      </c>
      <c r="D235" s="8" t="str">
        <f t="shared" si="1"/>
        <v>-</v>
      </c>
      <c r="E235" s="9"/>
      <c r="F235" s="10"/>
      <c r="G235" s="9"/>
      <c r="H235" s="11"/>
      <c r="I235" s="9" t="s">
        <v>13</v>
      </c>
      <c r="J235" s="44"/>
    </row>
    <row r="236">
      <c r="A236" s="42" t="s">
        <v>330</v>
      </c>
      <c r="B236" s="47"/>
      <c r="C236" s="9" t="s">
        <v>11</v>
      </c>
      <c r="D236" s="8" t="str">
        <f t="shared" si="1"/>
        <v>-</v>
      </c>
      <c r="E236" s="9"/>
      <c r="F236" s="10"/>
      <c r="G236" s="9"/>
      <c r="H236" s="11"/>
      <c r="I236" s="9" t="s">
        <v>13</v>
      </c>
      <c r="J236" s="44"/>
    </row>
    <row r="237">
      <c r="A237" s="42" t="s">
        <v>330</v>
      </c>
      <c r="B237" s="47"/>
      <c r="C237" s="9" t="s">
        <v>11</v>
      </c>
      <c r="D237" s="8" t="str">
        <f t="shared" si="1"/>
        <v>-</v>
      </c>
      <c r="E237" s="9"/>
      <c r="F237" s="10"/>
      <c r="G237" s="9"/>
      <c r="H237" s="11"/>
      <c r="I237" s="9" t="s">
        <v>13</v>
      </c>
      <c r="J237" s="44"/>
    </row>
    <row r="238">
      <c r="A238" s="42" t="s">
        <v>330</v>
      </c>
      <c r="B238" s="47"/>
      <c r="C238" s="9" t="s">
        <v>11</v>
      </c>
      <c r="D238" s="8" t="str">
        <f t="shared" si="1"/>
        <v>-</v>
      </c>
      <c r="E238" s="9"/>
      <c r="F238" s="10"/>
      <c r="G238" s="9"/>
      <c r="H238" s="11"/>
      <c r="I238" s="9" t="s">
        <v>13</v>
      </c>
      <c r="J238" s="44"/>
    </row>
    <row r="239">
      <c r="A239" s="42" t="s">
        <v>330</v>
      </c>
      <c r="B239" s="47"/>
      <c r="C239" s="9" t="s">
        <v>11</v>
      </c>
      <c r="D239" s="8" t="str">
        <f t="shared" si="1"/>
        <v>-</v>
      </c>
      <c r="E239" s="9"/>
      <c r="F239" s="10"/>
      <c r="G239" s="9"/>
      <c r="H239" s="11"/>
      <c r="I239" s="9" t="s">
        <v>13</v>
      </c>
      <c r="J239" s="44"/>
    </row>
    <row r="240">
      <c r="A240" s="42" t="s">
        <v>330</v>
      </c>
      <c r="B240" s="47"/>
      <c r="C240" s="9" t="s">
        <v>11</v>
      </c>
      <c r="D240" s="8" t="str">
        <f t="shared" si="1"/>
        <v>-</v>
      </c>
      <c r="E240" s="9"/>
      <c r="F240" s="10"/>
      <c r="G240" s="9"/>
      <c r="H240" s="11"/>
      <c r="I240" s="9" t="s">
        <v>13</v>
      </c>
      <c r="J240" s="44"/>
    </row>
    <row r="241">
      <c r="A241" s="42" t="s">
        <v>330</v>
      </c>
      <c r="B241" s="47"/>
      <c r="C241" s="9" t="s">
        <v>11</v>
      </c>
      <c r="D241" s="8" t="str">
        <f t="shared" si="1"/>
        <v>-</v>
      </c>
      <c r="E241" s="9"/>
      <c r="F241" s="10"/>
      <c r="G241" s="9"/>
      <c r="H241" s="11"/>
      <c r="I241" s="9" t="s">
        <v>13</v>
      </c>
      <c r="J241" s="44"/>
    </row>
    <row r="242">
      <c r="A242" s="42" t="s">
        <v>330</v>
      </c>
      <c r="B242" s="47"/>
      <c r="C242" s="9" t="s">
        <v>11</v>
      </c>
      <c r="D242" s="8" t="str">
        <f t="shared" si="1"/>
        <v>-</v>
      </c>
      <c r="E242" s="9"/>
      <c r="F242" s="10"/>
      <c r="G242" s="9"/>
      <c r="H242" s="11"/>
      <c r="I242" s="9" t="s">
        <v>13</v>
      </c>
      <c r="J242" s="44"/>
    </row>
    <row r="243">
      <c r="A243" s="42" t="s">
        <v>330</v>
      </c>
      <c r="B243" s="47"/>
      <c r="C243" s="9" t="s">
        <v>11</v>
      </c>
      <c r="D243" s="8" t="str">
        <f t="shared" si="1"/>
        <v>-</v>
      </c>
      <c r="E243" s="9"/>
      <c r="F243" s="10"/>
      <c r="G243" s="9"/>
      <c r="H243" s="11"/>
      <c r="I243" s="9" t="s">
        <v>13</v>
      </c>
      <c r="J243" s="44"/>
    </row>
    <row r="244">
      <c r="A244" s="42" t="s">
        <v>330</v>
      </c>
      <c r="B244" s="47"/>
      <c r="C244" s="9" t="s">
        <v>11</v>
      </c>
      <c r="D244" s="8" t="str">
        <f t="shared" si="1"/>
        <v>-</v>
      </c>
      <c r="E244" s="9"/>
      <c r="F244" s="10"/>
      <c r="G244" s="9"/>
      <c r="H244" s="11"/>
      <c r="I244" s="9" t="s">
        <v>13</v>
      </c>
      <c r="J244" s="44"/>
    </row>
    <row r="245">
      <c r="A245" s="42" t="s">
        <v>330</v>
      </c>
      <c r="B245" s="47"/>
      <c r="C245" s="9" t="s">
        <v>11</v>
      </c>
      <c r="D245" s="8" t="str">
        <f t="shared" si="1"/>
        <v>-</v>
      </c>
      <c r="E245" s="9"/>
      <c r="F245" s="10"/>
      <c r="G245" s="9"/>
      <c r="H245" s="11"/>
      <c r="I245" s="9" t="s">
        <v>13</v>
      </c>
      <c r="J245" s="44"/>
    </row>
    <row r="246">
      <c r="A246" s="42" t="s">
        <v>330</v>
      </c>
      <c r="B246" s="47"/>
      <c r="C246" s="9" t="s">
        <v>11</v>
      </c>
      <c r="D246" s="8" t="str">
        <f t="shared" si="1"/>
        <v>-</v>
      </c>
      <c r="E246" s="9"/>
      <c r="F246" s="10"/>
      <c r="G246" s="9"/>
      <c r="H246" s="11"/>
      <c r="I246" s="9" t="s">
        <v>13</v>
      </c>
      <c r="J246" s="44"/>
    </row>
    <row r="247">
      <c r="A247" s="42" t="s">
        <v>330</v>
      </c>
      <c r="B247" s="47"/>
      <c r="C247" s="9" t="s">
        <v>11</v>
      </c>
      <c r="D247" s="8" t="str">
        <f t="shared" si="1"/>
        <v>-</v>
      </c>
      <c r="E247" s="9"/>
      <c r="F247" s="10"/>
      <c r="G247" s="9"/>
      <c r="H247" s="11"/>
      <c r="I247" s="9" t="s">
        <v>13</v>
      </c>
      <c r="J247" s="44"/>
    </row>
    <row r="248">
      <c r="A248" s="42" t="s">
        <v>330</v>
      </c>
      <c r="B248" s="47"/>
      <c r="C248" s="9" t="s">
        <v>11</v>
      </c>
      <c r="D248" s="8" t="str">
        <f t="shared" si="1"/>
        <v>-</v>
      </c>
      <c r="E248" s="9"/>
      <c r="F248" s="10"/>
      <c r="G248" s="9"/>
      <c r="H248" s="11"/>
      <c r="I248" s="9" t="s">
        <v>13</v>
      </c>
      <c r="J248" s="44"/>
    </row>
    <row r="249">
      <c r="A249" s="42" t="s">
        <v>330</v>
      </c>
      <c r="B249" s="47"/>
      <c r="C249" s="9" t="s">
        <v>11</v>
      </c>
      <c r="D249" s="8" t="str">
        <f t="shared" si="1"/>
        <v>-</v>
      </c>
      <c r="E249" s="9"/>
      <c r="F249" s="10"/>
      <c r="G249" s="9"/>
      <c r="H249" s="11"/>
      <c r="I249" s="9" t="s">
        <v>13</v>
      </c>
      <c r="J249" s="44"/>
    </row>
    <row r="250">
      <c r="A250" s="42" t="s">
        <v>330</v>
      </c>
      <c r="B250" s="47"/>
      <c r="C250" s="9" t="s">
        <v>11</v>
      </c>
      <c r="D250" s="8" t="str">
        <f t="shared" si="1"/>
        <v>-</v>
      </c>
      <c r="E250" s="9"/>
      <c r="F250" s="10"/>
      <c r="G250" s="9"/>
      <c r="H250" s="11"/>
      <c r="I250" s="9" t="s">
        <v>13</v>
      </c>
      <c r="J250" s="44"/>
    </row>
    <row r="251">
      <c r="A251" s="42" t="s">
        <v>330</v>
      </c>
      <c r="B251" s="47"/>
      <c r="C251" s="9" t="s">
        <v>11</v>
      </c>
      <c r="D251" s="8" t="str">
        <f t="shared" si="1"/>
        <v>-</v>
      </c>
      <c r="E251" s="9"/>
      <c r="F251" s="10"/>
      <c r="G251" s="9"/>
      <c r="H251" s="11"/>
      <c r="I251" s="9" t="s">
        <v>13</v>
      </c>
      <c r="J251" s="44"/>
    </row>
    <row r="252">
      <c r="A252" s="42" t="s">
        <v>330</v>
      </c>
      <c r="B252" s="47"/>
      <c r="C252" s="9" t="s">
        <v>11</v>
      </c>
      <c r="D252" s="8" t="str">
        <f t="shared" si="1"/>
        <v>-</v>
      </c>
      <c r="E252" s="9"/>
      <c r="F252" s="10"/>
      <c r="G252" s="9"/>
      <c r="H252" s="11"/>
      <c r="I252" s="9" t="s">
        <v>13</v>
      </c>
      <c r="J252" s="44"/>
    </row>
    <row r="253">
      <c r="A253" s="42" t="s">
        <v>330</v>
      </c>
      <c r="B253" s="47"/>
      <c r="C253" s="9" t="s">
        <v>11</v>
      </c>
      <c r="D253" s="8" t="str">
        <f t="shared" si="1"/>
        <v>-</v>
      </c>
      <c r="E253" s="9"/>
      <c r="F253" s="10"/>
      <c r="G253" s="9"/>
      <c r="H253" s="11"/>
      <c r="I253" s="9" t="s">
        <v>13</v>
      </c>
      <c r="J253" s="44"/>
    </row>
    <row r="254">
      <c r="A254" s="42" t="s">
        <v>330</v>
      </c>
      <c r="B254" s="47"/>
      <c r="C254" s="9" t="s">
        <v>11</v>
      </c>
      <c r="D254" s="8" t="str">
        <f t="shared" si="1"/>
        <v>-</v>
      </c>
      <c r="E254" s="9"/>
      <c r="F254" s="10"/>
      <c r="G254" s="9"/>
      <c r="H254" s="11"/>
      <c r="I254" s="9" t="s">
        <v>13</v>
      </c>
      <c r="J254" s="44"/>
    </row>
    <row r="255">
      <c r="A255" s="42" t="s">
        <v>330</v>
      </c>
      <c r="B255" s="47"/>
      <c r="C255" s="9" t="s">
        <v>11</v>
      </c>
      <c r="D255" s="8" t="str">
        <f t="shared" si="1"/>
        <v>-</v>
      </c>
      <c r="E255" s="9"/>
      <c r="F255" s="10"/>
      <c r="G255" s="9"/>
      <c r="H255" s="11"/>
      <c r="I255" s="9" t="s">
        <v>13</v>
      </c>
      <c r="J255" s="44"/>
    </row>
    <row r="256">
      <c r="A256" s="42" t="s">
        <v>330</v>
      </c>
      <c r="B256" s="47"/>
      <c r="C256" s="9" t="s">
        <v>11</v>
      </c>
      <c r="D256" s="8" t="str">
        <f t="shared" si="1"/>
        <v>-</v>
      </c>
      <c r="E256" s="9"/>
      <c r="F256" s="10"/>
      <c r="G256" s="9"/>
      <c r="H256" s="11"/>
      <c r="I256" s="9" t="s">
        <v>13</v>
      </c>
      <c r="J256" s="44"/>
    </row>
    <row r="257">
      <c r="A257" s="42" t="s">
        <v>330</v>
      </c>
      <c r="B257" s="47"/>
      <c r="C257" s="9" t="s">
        <v>11</v>
      </c>
      <c r="D257" s="8" t="str">
        <f t="shared" si="1"/>
        <v>-</v>
      </c>
      <c r="E257" s="9"/>
      <c r="F257" s="10"/>
      <c r="G257" s="9"/>
      <c r="H257" s="11"/>
      <c r="I257" s="9" t="s">
        <v>13</v>
      </c>
      <c r="J257" s="44"/>
    </row>
    <row r="258">
      <c r="A258" s="42" t="s">
        <v>330</v>
      </c>
      <c r="B258" s="47"/>
      <c r="C258" s="9" t="s">
        <v>11</v>
      </c>
      <c r="D258" s="8" t="str">
        <f t="shared" si="1"/>
        <v>-</v>
      </c>
      <c r="E258" s="9"/>
      <c r="F258" s="10"/>
      <c r="G258" s="9"/>
      <c r="H258" s="11"/>
      <c r="I258" s="9" t="s">
        <v>13</v>
      </c>
      <c r="J258" s="44"/>
    </row>
    <row r="259">
      <c r="A259" s="42" t="s">
        <v>330</v>
      </c>
      <c r="B259" s="47"/>
      <c r="C259" s="9" t="s">
        <v>11</v>
      </c>
      <c r="D259" s="8" t="str">
        <f t="shared" si="1"/>
        <v>-</v>
      </c>
      <c r="E259" s="9"/>
      <c r="F259" s="10"/>
      <c r="G259" s="9"/>
      <c r="H259" s="11"/>
      <c r="I259" s="9" t="s">
        <v>13</v>
      </c>
      <c r="J259" s="44"/>
    </row>
    <row r="260">
      <c r="A260" s="42" t="s">
        <v>330</v>
      </c>
      <c r="B260" s="47"/>
      <c r="C260" s="9" t="s">
        <v>11</v>
      </c>
      <c r="D260" s="8" t="str">
        <f t="shared" si="1"/>
        <v>-</v>
      </c>
      <c r="E260" s="9"/>
      <c r="F260" s="10"/>
      <c r="G260" s="9"/>
      <c r="H260" s="11"/>
      <c r="I260" s="9" t="s">
        <v>13</v>
      </c>
      <c r="J260" s="44"/>
    </row>
    <row r="261">
      <c r="A261" s="42" t="s">
        <v>330</v>
      </c>
      <c r="B261" s="47"/>
      <c r="C261" s="9" t="s">
        <v>11</v>
      </c>
      <c r="D261" s="8" t="str">
        <f t="shared" si="1"/>
        <v>-</v>
      </c>
      <c r="E261" s="9"/>
      <c r="F261" s="10"/>
      <c r="G261" s="9"/>
      <c r="H261" s="11"/>
      <c r="I261" s="9" t="s">
        <v>13</v>
      </c>
      <c r="J261" s="44"/>
    </row>
    <row r="262">
      <c r="A262" s="42" t="s">
        <v>330</v>
      </c>
      <c r="B262" s="47"/>
      <c r="C262" s="9" t="s">
        <v>11</v>
      </c>
      <c r="D262" s="8" t="str">
        <f t="shared" si="1"/>
        <v>-</v>
      </c>
      <c r="E262" s="9"/>
      <c r="F262" s="10"/>
      <c r="G262" s="9"/>
      <c r="H262" s="11"/>
      <c r="I262" s="9" t="s">
        <v>13</v>
      </c>
      <c r="J262" s="44"/>
    </row>
    <row r="263">
      <c r="A263" s="42" t="s">
        <v>330</v>
      </c>
      <c r="B263" s="47"/>
      <c r="C263" s="9" t="s">
        <v>11</v>
      </c>
      <c r="D263" s="8" t="str">
        <f t="shared" si="1"/>
        <v>-</v>
      </c>
      <c r="E263" s="9"/>
      <c r="F263" s="10"/>
      <c r="G263" s="9"/>
      <c r="H263" s="11"/>
      <c r="I263" s="9" t="s">
        <v>13</v>
      </c>
      <c r="J263" s="44"/>
    </row>
    <row r="264">
      <c r="A264" s="42" t="s">
        <v>330</v>
      </c>
      <c r="B264" s="47"/>
      <c r="C264" s="9" t="s">
        <v>11</v>
      </c>
      <c r="D264" s="8" t="str">
        <f t="shared" si="1"/>
        <v>-</v>
      </c>
      <c r="E264" s="9"/>
      <c r="F264" s="10"/>
      <c r="G264" s="9"/>
      <c r="H264" s="11"/>
      <c r="I264" s="9" t="s">
        <v>13</v>
      </c>
      <c r="J264" s="44"/>
    </row>
    <row r="265">
      <c r="A265" s="42" t="s">
        <v>330</v>
      </c>
      <c r="B265" s="47"/>
      <c r="C265" s="9" t="s">
        <v>11</v>
      </c>
      <c r="D265" s="8" t="str">
        <f t="shared" si="1"/>
        <v>-</v>
      </c>
      <c r="E265" s="9"/>
      <c r="F265" s="10"/>
      <c r="G265" s="9"/>
      <c r="H265" s="11"/>
      <c r="I265" s="9" t="s">
        <v>13</v>
      </c>
      <c r="J265" s="44"/>
    </row>
    <row r="266">
      <c r="A266" s="42" t="s">
        <v>330</v>
      </c>
      <c r="B266" s="47"/>
      <c r="C266" s="9" t="s">
        <v>11</v>
      </c>
      <c r="D266" s="8" t="str">
        <f t="shared" si="1"/>
        <v>-</v>
      </c>
      <c r="E266" s="9"/>
      <c r="F266" s="10"/>
      <c r="G266" s="9"/>
      <c r="H266" s="11"/>
      <c r="I266" s="9" t="s">
        <v>13</v>
      </c>
      <c r="J266" s="44"/>
    </row>
    <row r="267">
      <c r="A267" s="42" t="s">
        <v>330</v>
      </c>
      <c r="B267" s="47"/>
      <c r="C267" s="9" t="s">
        <v>11</v>
      </c>
      <c r="D267" s="8" t="str">
        <f t="shared" si="1"/>
        <v>-</v>
      </c>
      <c r="E267" s="9"/>
      <c r="F267" s="10"/>
      <c r="G267" s="9"/>
      <c r="H267" s="11"/>
      <c r="I267" s="9" t="s">
        <v>13</v>
      </c>
      <c r="J267" s="44"/>
    </row>
    <row r="268">
      <c r="A268" s="42" t="s">
        <v>330</v>
      </c>
      <c r="B268" s="47"/>
      <c r="C268" s="9" t="s">
        <v>11</v>
      </c>
      <c r="D268" s="8" t="str">
        <f t="shared" si="1"/>
        <v>-</v>
      </c>
      <c r="E268" s="9"/>
      <c r="F268" s="10"/>
      <c r="G268" s="9"/>
      <c r="H268" s="11"/>
      <c r="I268" s="9" t="s">
        <v>13</v>
      </c>
      <c r="J268" s="44"/>
    </row>
    <row r="269">
      <c r="A269" s="42" t="s">
        <v>330</v>
      </c>
      <c r="B269" s="47"/>
      <c r="C269" s="9" t="s">
        <v>11</v>
      </c>
      <c r="D269" s="8" t="str">
        <f t="shared" si="1"/>
        <v>-</v>
      </c>
      <c r="E269" s="9"/>
      <c r="F269" s="10"/>
      <c r="G269" s="9"/>
      <c r="H269" s="11"/>
      <c r="I269" s="9" t="s">
        <v>13</v>
      </c>
      <c r="J269" s="44"/>
    </row>
    <row r="270">
      <c r="A270" s="42" t="s">
        <v>330</v>
      </c>
      <c r="B270" s="47"/>
      <c r="C270" s="9" t="s">
        <v>11</v>
      </c>
      <c r="D270" s="8" t="str">
        <f t="shared" si="1"/>
        <v>-</v>
      </c>
      <c r="E270" s="9"/>
      <c r="F270" s="10"/>
      <c r="G270" s="9"/>
      <c r="H270" s="11"/>
      <c r="I270" s="9" t="s">
        <v>13</v>
      </c>
      <c r="J270" s="44"/>
    </row>
    <row r="271">
      <c r="A271" s="42" t="s">
        <v>330</v>
      </c>
      <c r="B271" s="47"/>
      <c r="C271" s="9" t="s">
        <v>11</v>
      </c>
      <c r="D271" s="8" t="str">
        <f t="shared" si="1"/>
        <v>-</v>
      </c>
      <c r="E271" s="9"/>
      <c r="F271" s="10"/>
      <c r="G271" s="9"/>
      <c r="H271" s="11"/>
      <c r="I271" s="9" t="s">
        <v>13</v>
      </c>
      <c r="J271" s="44"/>
    </row>
    <row r="272">
      <c r="A272" s="42" t="s">
        <v>330</v>
      </c>
      <c r="B272" s="47"/>
      <c r="C272" s="9" t="s">
        <v>11</v>
      </c>
      <c r="D272" s="8" t="str">
        <f t="shared" si="1"/>
        <v>-</v>
      </c>
      <c r="E272" s="9"/>
      <c r="F272" s="10"/>
      <c r="G272" s="9"/>
      <c r="H272" s="11"/>
      <c r="I272" s="9" t="s">
        <v>13</v>
      </c>
      <c r="J272" s="44"/>
    </row>
    <row r="273">
      <c r="A273" s="42" t="s">
        <v>330</v>
      </c>
      <c r="B273" s="47"/>
      <c r="C273" s="9" t="s">
        <v>11</v>
      </c>
      <c r="D273" s="8" t="str">
        <f t="shared" si="1"/>
        <v>-</v>
      </c>
      <c r="E273" s="9"/>
      <c r="F273" s="10"/>
      <c r="G273" s="9"/>
      <c r="H273" s="11"/>
      <c r="I273" s="9" t="s">
        <v>13</v>
      </c>
      <c r="J273" s="44"/>
    </row>
    <row r="274">
      <c r="A274" s="42" t="s">
        <v>330</v>
      </c>
      <c r="B274" s="47"/>
      <c r="C274" s="9" t="s">
        <v>11</v>
      </c>
      <c r="D274" s="8" t="str">
        <f t="shared" si="1"/>
        <v>-</v>
      </c>
      <c r="E274" s="9"/>
      <c r="F274" s="10"/>
      <c r="G274" s="9"/>
      <c r="H274" s="11"/>
      <c r="I274" s="9" t="s">
        <v>13</v>
      </c>
      <c r="J274" s="44"/>
    </row>
    <row r="275">
      <c r="A275" s="42" t="s">
        <v>330</v>
      </c>
      <c r="B275" s="47"/>
      <c r="C275" s="9" t="s">
        <v>11</v>
      </c>
      <c r="D275" s="8" t="str">
        <f t="shared" si="1"/>
        <v>-</v>
      </c>
      <c r="E275" s="9"/>
      <c r="F275" s="10"/>
      <c r="G275" s="9"/>
      <c r="H275" s="11"/>
      <c r="I275" s="9" t="s">
        <v>13</v>
      </c>
      <c r="J275" s="44"/>
    </row>
    <row r="276">
      <c r="A276" s="42" t="s">
        <v>330</v>
      </c>
      <c r="B276" s="47"/>
      <c r="C276" s="9" t="s">
        <v>11</v>
      </c>
      <c r="D276" s="8" t="str">
        <f t="shared" si="1"/>
        <v>-</v>
      </c>
      <c r="E276" s="9"/>
      <c r="F276" s="10"/>
      <c r="G276" s="9"/>
      <c r="H276" s="11"/>
      <c r="I276" s="9" t="s">
        <v>13</v>
      </c>
      <c r="J276" s="44"/>
    </row>
    <row r="277">
      <c r="A277" s="42" t="s">
        <v>330</v>
      </c>
      <c r="B277" s="47"/>
      <c r="C277" s="9" t="s">
        <v>11</v>
      </c>
      <c r="D277" s="8" t="str">
        <f t="shared" si="1"/>
        <v>-</v>
      </c>
      <c r="E277" s="9"/>
      <c r="F277" s="10"/>
      <c r="G277" s="9"/>
      <c r="H277" s="11"/>
      <c r="I277" s="9" t="s">
        <v>13</v>
      </c>
      <c r="J277" s="44"/>
    </row>
    <row r="278">
      <c r="A278" s="42" t="s">
        <v>330</v>
      </c>
      <c r="B278" s="47"/>
      <c r="C278" s="9" t="s">
        <v>11</v>
      </c>
      <c r="D278" s="8" t="str">
        <f t="shared" si="1"/>
        <v>-</v>
      </c>
      <c r="E278" s="9"/>
      <c r="F278" s="10"/>
      <c r="G278" s="9"/>
      <c r="H278" s="11"/>
      <c r="I278" s="9" t="s">
        <v>13</v>
      </c>
      <c r="J278" s="44"/>
    </row>
    <row r="279">
      <c r="A279" s="42" t="s">
        <v>330</v>
      </c>
      <c r="B279" s="47"/>
      <c r="C279" s="9" t="s">
        <v>11</v>
      </c>
      <c r="D279" s="8" t="str">
        <f t="shared" si="1"/>
        <v>-</v>
      </c>
      <c r="E279" s="9"/>
      <c r="F279" s="10"/>
      <c r="G279" s="9"/>
      <c r="H279" s="11"/>
      <c r="I279" s="9" t="s">
        <v>13</v>
      </c>
      <c r="J279" s="44"/>
    </row>
    <row r="280">
      <c r="A280" s="42" t="s">
        <v>330</v>
      </c>
      <c r="B280" s="47"/>
      <c r="C280" s="9" t="s">
        <v>11</v>
      </c>
      <c r="D280" s="8" t="str">
        <f t="shared" si="1"/>
        <v>-</v>
      </c>
      <c r="E280" s="9"/>
      <c r="F280" s="10"/>
      <c r="G280" s="9"/>
      <c r="H280" s="11"/>
      <c r="I280" s="9" t="s">
        <v>13</v>
      </c>
      <c r="J280" s="44"/>
    </row>
    <row r="281">
      <c r="A281" s="42" t="s">
        <v>330</v>
      </c>
      <c r="B281" s="47"/>
      <c r="C281" s="9" t="s">
        <v>11</v>
      </c>
      <c r="D281" s="8" t="str">
        <f t="shared" si="1"/>
        <v>-</v>
      </c>
      <c r="E281" s="9"/>
      <c r="F281" s="10"/>
      <c r="G281" s="9"/>
      <c r="H281" s="11"/>
      <c r="I281" s="9" t="s">
        <v>13</v>
      </c>
      <c r="J281" s="44"/>
    </row>
    <row r="282">
      <c r="A282" s="42" t="s">
        <v>330</v>
      </c>
      <c r="B282" s="47"/>
      <c r="C282" s="9" t="s">
        <v>11</v>
      </c>
      <c r="D282" s="8" t="str">
        <f t="shared" si="1"/>
        <v>-</v>
      </c>
      <c r="E282" s="9"/>
      <c r="F282" s="10"/>
      <c r="G282" s="9"/>
      <c r="H282" s="11"/>
      <c r="I282" s="9" t="s">
        <v>13</v>
      </c>
      <c r="J282" s="44"/>
    </row>
    <row r="283">
      <c r="A283" s="42" t="s">
        <v>330</v>
      </c>
      <c r="B283" s="47"/>
      <c r="C283" s="9" t="s">
        <v>11</v>
      </c>
      <c r="D283" s="8" t="str">
        <f t="shared" si="1"/>
        <v>-</v>
      </c>
      <c r="E283" s="9"/>
      <c r="F283" s="10"/>
      <c r="G283" s="9"/>
      <c r="H283" s="11"/>
      <c r="I283" s="9" t="s">
        <v>13</v>
      </c>
      <c r="J283" s="44"/>
    </row>
    <row r="284">
      <c r="A284" s="42" t="s">
        <v>330</v>
      </c>
      <c r="B284" s="47"/>
      <c r="C284" s="9" t="s">
        <v>11</v>
      </c>
      <c r="D284" s="8" t="str">
        <f t="shared" si="1"/>
        <v>-</v>
      </c>
      <c r="E284" s="9"/>
      <c r="F284" s="10"/>
      <c r="G284" s="9"/>
      <c r="H284" s="11"/>
      <c r="I284" s="9" t="s">
        <v>13</v>
      </c>
      <c r="J284" s="44"/>
    </row>
    <row r="285">
      <c r="A285" s="42" t="s">
        <v>330</v>
      </c>
      <c r="B285" s="47"/>
      <c r="C285" s="9" t="s">
        <v>11</v>
      </c>
      <c r="D285" s="8" t="str">
        <f t="shared" si="1"/>
        <v>-</v>
      </c>
      <c r="E285" s="9"/>
      <c r="F285" s="10"/>
      <c r="G285" s="9"/>
      <c r="H285" s="11"/>
      <c r="I285" s="9" t="s">
        <v>13</v>
      </c>
      <c r="J285" s="44"/>
    </row>
    <row r="286">
      <c r="A286" s="42" t="s">
        <v>330</v>
      </c>
      <c r="B286" s="47"/>
      <c r="C286" s="9" t="s">
        <v>11</v>
      </c>
      <c r="D286" s="8" t="str">
        <f t="shared" si="1"/>
        <v>-</v>
      </c>
      <c r="E286" s="9"/>
      <c r="F286" s="10"/>
      <c r="G286" s="9"/>
      <c r="H286" s="11"/>
      <c r="I286" s="9" t="s">
        <v>13</v>
      </c>
      <c r="J286" s="44"/>
    </row>
    <row r="287">
      <c r="A287" s="42" t="s">
        <v>330</v>
      </c>
      <c r="B287" s="47"/>
      <c r="C287" s="9" t="s">
        <v>11</v>
      </c>
      <c r="D287" s="8" t="str">
        <f t="shared" si="1"/>
        <v>-</v>
      </c>
      <c r="E287" s="9"/>
      <c r="F287" s="10"/>
      <c r="G287" s="9"/>
      <c r="H287" s="11"/>
      <c r="I287" s="9" t="s">
        <v>13</v>
      </c>
      <c r="J287" s="44"/>
    </row>
    <row r="288">
      <c r="A288" s="42" t="s">
        <v>330</v>
      </c>
      <c r="B288" s="47"/>
      <c r="C288" s="9" t="s">
        <v>11</v>
      </c>
      <c r="D288" s="8" t="str">
        <f t="shared" si="1"/>
        <v>-</v>
      </c>
      <c r="E288" s="9"/>
      <c r="F288" s="10"/>
      <c r="G288" s="9"/>
      <c r="H288" s="11"/>
      <c r="I288" s="9" t="s">
        <v>13</v>
      </c>
      <c r="J288" s="44"/>
    </row>
    <row r="289">
      <c r="A289" s="42" t="s">
        <v>330</v>
      </c>
      <c r="B289" s="47"/>
      <c r="C289" s="9" t="s">
        <v>11</v>
      </c>
      <c r="D289" s="8" t="str">
        <f t="shared" si="1"/>
        <v>-</v>
      </c>
      <c r="E289" s="9"/>
      <c r="F289" s="10"/>
      <c r="G289" s="9"/>
      <c r="H289" s="11"/>
      <c r="I289" s="9" t="s">
        <v>13</v>
      </c>
      <c r="J289" s="44"/>
    </row>
    <row r="290">
      <c r="A290" s="42" t="s">
        <v>330</v>
      </c>
      <c r="B290" s="47"/>
      <c r="C290" s="9" t="s">
        <v>11</v>
      </c>
      <c r="D290" s="8" t="str">
        <f t="shared" si="1"/>
        <v>-</v>
      </c>
      <c r="E290" s="9"/>
      <c r="F290" s="10"/>
      <c r="G290" s="9"/>
      <c r="H290" s="11"/>
      <c r="I290" s="9" t="s">
        <v>13</v>
      </c>
      <c r="J290" s="44"/>
    </row>
    <row r="291">
      <c r="A291" s="42" t="s">
        <v>330</v>
      </c>
      <c r="B291" s="47"/>
      <c r="C291" s="9" t="s">
        <v>11</v>
      </c>
      <c r="D291" s="8" t="str">
        <f t="shared" si="1"/>
        <v>-</v>
      </c>
      <c r="E291" s="9"/>
      <c r="F291" s="10"/>
      <c r="G291" s="9"/>
      <c r="H291" s="11"/>
      <c r="I291" s="9" t="s">
        <v>13</v>
      </c>
      <c r="J291" s="44"/>
    </row>
    <row r="292">
      <c r="A292" s="42" t="s">
        <v>330</v>
      </c>
      <c r="B292" s="47"/>
      <c r="C292" s="9" t="s">
        <v>11</v>
      </c>
      <c r="D292" s="8" t="str">
        <f t="shared" si="1"/>
        <v>-</v>
      </c>
      <c r="E292" s="9"/>
      <c r="F292" s="10"/>
      <c r="G292" s="9"/>
      <c r="H292" s="11"/>
      <c r="I292" s="9" t="s">
        <v>13</v>
      </c>
      <c r="J292" s="44"/>
    </row>
    <row r="293">
      <c r="A293" s="42" t="s">
        <v>330</v>
      </c>
      <c r="B293" s="47"/>
      <c r="C293" s="9" t="s">
        <v>11</v>
      </c>
      <c r="D293" s="8" t="str">
        <f t="shared" si="1"/>
        <v>-</v>
      </c>
      <c r="E293" s="9"/>
      <c r="F293" s="10"/>
      <c r="G293" s="9"/>
      <c r="H293" s="11"/>
      <c r="I293" s="9" t="s">
        <v>13</v>
      </c>
      <c r="J293" s="44"/>
    </row>
    <row r="294">
      <c r="A294" s="42" t="s">
        <v>330</v>
      </c>
      <c r="B294" s="47"/>
      <c r="C294" s="9" t="s">
        <v>11</v>
      </c>
      <c r="D294" s="8" t="str">
        <f t="shared" si="1"/>
        <v>-</v>
      </c>
      <c r="E294" s="9"/>
      <c r="F294" s="10"/>
      <c r="G294" s="9"/>
      <c r="H294" s="11"/>
      <c r="I294" s="9" t="s">
        <v>13</v>
      </c>
      <c r="J294" s="44"/>
    </row>
    <row r="295">
      <c r="A295" s="42" t="s">
        <v>330</v>
      </c>
      <c r="B295" s="47"/>
      <c r="C295" s="9" t="s">
        <v>11</v>
      </c>
      <c r="D295" s="8" t="str">
        <f t="shared" si="1"/>
        <v>-</v>
      </c>
      <c r="E295" s="9"/>
      <c r="F295" s="10"/>
      <c r="G295" s="9"/>
      <c r="H295" s="11"/>
      <c r="I295" s="9" t="s">
        <v>13</v>
      </c>
      <c r="J295" s="44"/>
    </row>
    <row r="296">
      <c r="A296" s="42" t="s">
        <v>330</v>
      </c>
      <c r="B296" s="47"/>
      <c r="C296" s="9" t="s">
        <v>11</v>
      </c>
      <c r="D296" s="8" t="str">
        <f t="shared" si="1"/>
        <v>-</v>
      </c>
      <c r="E296" s="9"/>
      <c r="F296" s="10"/>
      <c r="G296" s="9"/>
      <c r="H296" s="11"/>
      <c r="I296" s="9" t="s">
        <v>13</v>
      </c>
      <c r="J296" s="44"/>
    </row>
    <row r="297">
      <c r="A297" s="42" t="s">
        <v>330</v>
      </c>
      <c r="B297" s="47"/>
      <c r="C297" s="9" t="s">
        <v>11</v>
      </c>
      <c r="D297" s="8" t="str">
        <f t="shared" si="1"/>
        <v>-</v>
      </c>
      <c r="E297" s="9"/>
      <c r="F297" s="10"/>
      <c r="G297" s="9"/>
      <c r="H297" s="11"/>
      <c r="I297" s="9" t="s">
        <v>13</v>
      </c>
      <c r="J297" s="44"/>
    </row>
    <row r="298">
      <c r="A298" s="42" t="s">
        <v>330</v>
      </c>
      <c r="B298" s="47"/>
      <c r="C298" s="9" t="s">
        <v>11</v>
      </c>
      <c r="D298" s="8" t="str">
        <f t="shared" si="1"/>
        <v>-</v>
      </c>
      <c r="E298" s="9"/>
      <c r="F298" s="10"/>
      <c r="G298" s="9"/>
      <c r="H298" s="11"/>
      <c r="I298" s="9" t="s">
        <v>13</v>
      </c>
      <c r="J298" s="44"/>
    </row>
    <row r="299">
      <c r="A299" s="42" t="s">
        <v>330</v>
      </c>
      <c r="B299" s="47"/>
      <c r="C299" s="9" t="s">
        <v>11</v>
      </c>
      <c r="D299" s="8" t="str">
        <f t="shared" si="1"/>
        <v>-</v>
      </c>
      <c r="E299" s="9"/>
      <c r="F299" s="10"/>
      <c r="G299" s="9"/>
      <c r="H299" s="11"/>
      <c r="I299" s="9" t="s">
        <v>13</v>
      </c>
      <c r="J299" s="44"/>
    </row>
    <row r="300">
      <c r="A300" s="42" t="s">
        <v>330</v>
      </c>
      <c r="B300" s="47"/>
      <c r="C300" s="9" t="s">
        <v>11</v>
      </c>
      <c r="D300" s="8" t="str">
        <f t="shared" si="1"/>
        <v>-</v>
      </c>
      <c r="E300" s="9"/>
      <c r="F300" s="10"/>
      <c r="G300" s="9"/>
      <c r="H300" s="11"/>
      <c r="I300" s="9" t="s">
        <v>13</v>
      </c>
      <c r="J300" s="44"/>
    </row>
    <row r="301">
      <c r="A301" s="42" t="s">
        <v>330</v>
      </c>
      <c r="B301" s="47"/>
      <c r="C301" s="9" t="s">
        <v>11</v>
      </c>
      <c r="D301" s="8" t="str">
        <f t="shared" si="1"/>
        <v>-</v>
      </c>
      <c r="E301" s="9"/>
      <c r="F301" s="10"/>
      <c r="G301" s="9"/>
      <c r="H301" s="11"/>
      <c r="I301" s="9" t="s">
        <v>13</v>
      </c>
      <c r="J301" s="44"/>
    </row>
    <row r="302">
      <c r="A302" s="42" t="s">
        <v>330</v>
      </c>
      <c r="B302" s="47"/>
      <c r="C302" s="9" t="s">
        <v>11</v>
      </c>
      <c r="D302" s="8" t="str">
        <f t="shared" si="1"/>
        <v>-</v>
      </c>
      <c r="E302" s="9"/>
      <c r="F302" s="10"/>
      <c r="G302" s="9"/>
      <c r="H302" s="11"/>
      <c r="I302" s="9" t="s">
        <v>13</v>
      </c>
      <c r="J302" s="44"/>
    </row>
    <row r="303">
      <c r="A303" s="42" t="s">
        <v>330</v>
      </c>
      <c r="B303" s="47"/>
      <c r="C303" s="9" t="s">
        <v>11</v>
      </c>
      <c r="D303" s="8" t="str">
        <f t="shared" si="1"/>
        <v>-</v>
      </c>
      <c r="E303" s="9"/>
      <c r="F303" s="10"/>
      <c r="G303" s="9"/>
      <c r="H303" s="11"/>
      <c r="I303" s="9" t="s">
        <v>13</v>
      </c>
      <c r="J303" s="44"/>
    </row>
    <row r="304">
      <c r="A304" s="42" t="s">
        <v>330</v>
      </c>
      <c r="B304" s="47"/>
      <c r="C304" s="9" t="s">
        <v>11</v>
      </c>
      <c r="D304" s="8" t="str">
        <f t="shared" si="1"/>
        <v>-</v>
      </c>
      <c r="E304" s="9"/>
      <c r="F304" s="10"/>
      <c r="G304" s="9"/>
      <c r="H304" s="11"/>
      <c r="I304" s="9" t="s">
        <v>13</v>
      </c>
      <c r="J304" s="44"/>
    </row>
    <row r="305">
      <c r="A305" s="42" t="s">
        <v>330</v>
      </c>
      <c r="B305" s="47"/>
      <c r="C305" s="9" t="s">
        <v>11</v>
      </c>
      <c r="D305" s="8" t="str">
        <f t="shared" si="1"/>
        <v>-</v>
      </c>
      <c r="E305" s="9"/>
      <c r="F305" s="10"/>
      <c r="G305" s="9"/>
      <c r="H305" s="11"/>
      <c r="I305" s="9" t="s">
        <v>13</v>
      </c>
      <c r="J305" s="44"/>
    </row>
    <row r="306">
      <c r="A306" s="42" t="s">
        <v>330</v>
      </c>
      <c r="B306" s="47"/>
      <c r="C306" s="9" t="s">
        <v>11</v>
      </c>
      <c r="D306" s="8" t="str">
        <f t="shared" si="1"/>
        <v>-</v>
      </c>
      <c r="E306" s="9"/>
      <c r="F306" s="10"/>
      <c r="G306" s="9"/>
      <c r="H306" s="11"/>
      <c r="I306" s="9" t="s">
        <v>13</v>
      </c>
      <c r="J306" s="44"/>
    </row>
    <row r="307">
      <c r="A307" s="42" t="s">
        <v>330</v>
      </c>
      <c r="B307" s="47"/>
      <c r="C307" s="9" t="s">
        <v>11</v>
      </c>
      <c r="D307" s="8" t="str">
        <f t="shared" si="1"/>
        <v>-</v>
      </c>
      <c r="E307" s="9"/>
      <c r="F307" s="10"/>
      <c r="G307" s="9"/>
      <c r="H307" s="11"/>
      <c r="I307" s="9" t="s">
        <v>13</v>
      </c>
      <c r="J307" s="44"/>
    </row>
    <row r="308">
      <c r="A308" s="42" t="s">
        <v>330</v>
      </c>
      <c r="B308" s="47"/>
      <c r="C308" s="9" t="s">
        <v>11</v>
      </c>
      <c r="D308" s="8" t="str">
        <f t="shared" si="1"/>
        <v>-</v>
      </c>
      <c r="E308" s="9"/>
      <c r="F308" s="10"/>
      <c r="G308" s="9"/>
      <c r="H308" s="11"/>
      <c r="I308" s="9" t="s">
        <v>13</v>
      </c>
      <c r="J308" s="44"/>
    </row>
    <row r="309">
      <c r="A309" s="42" t="s">
        <v>330</v>
      </c>
      <c r="B309" s="47"/>
      <c r="C309" s="9" t="s">
        <v>11</v>
      </c>
      <c r="D309" s="8" t="str">
        <f t="shared" si="1"/>
        <v>-</v>
      </c>
      <c r="E309" s="9"/>
      <c r="F309" s="10"/>
      <c r="G309" s="9"/>
      <c r="H309" s="11"/>
      <c r="I309" s="9" t="s">
        <v>13</v>
      </c>
      <c r="J309" s="44"/>
    </row>
    <row r="310">
      <c r="A310" s="42" t="s">
        <v>330</v>
      </c>
      <c r="B310" s="47"/>
      <c r="C310" s="9" t="s">
        <v>11</v>
      </c>
      <c r="D310" s="8" t="str">
        <f t="shared" si="1"/>
        <v>-</v>
      </c>
      <c r="E310" s="9"/>
      <c r="F310" s="10"/>
      <c r="G310" s="9"/>
      <c r="H310" s="11"/>
      <c r="I310" s="9" t="s">
        <v>13</v>
      </c>
      <c r="J310" s="44"/>
    </row>
    <row r="311">
      <c r="A311" s="42" t="s">
        <v>330</v>
      </c>
      <c r="B311" s="47"/>
      <c r="C311" s="9" t="s">
        <v>11</v>
      </c>
      <c r="D311" s="8" t="str">
        <f t="shared" si="1"/>
        <v>-</v>
      </c>
      <c r="E311" s="9"/>
      <c r="F311" s="10"/>
      <c r="G311" s="9"/>
      <c r="H311" s="11"/>
      <c r="I311" s="9" t="s">
        <v>13</v>
      </c>
      <c r="J311" s="44"/>
    </row>
    <row r="312">
      <c r="A312" s="42" t="s">
        <v>330</v>
      </c>
      <c r="B312" s="47"/>
      <c r="C312" s="9" t="s">
        <v>11</v>
      </c>
      <c r="D312" s="8" t="str">
        <f t="shared" si="1"/>
        <v>-</v>
      </c>
      <c r="E312" s="9"/>
      <c r="F312" s="10"/>
      <c r="G312" s="9"/>
      <c r="H312" s="11"/>
      <c r="I312" s="9" t="s">
        <v>13</v>
      </c>
      <c r="J312" s="44"/>
    </row>
    <row r="313">
      <c r="A313" s="42" t="s">
        <v>330</v>
      </c>
      <c r="B313" s="47"/>
      <c r="C313" s="9" t="s">
        <v>11</v>
      </c>
      <c r="D313" s="8" t="str">
        <f t="shared" si="1"/>
        <v>-</v>
      </c>
      <c r="E313" s="9"/>
      <c r="F313" s="10"/>
      <c r="G313" s="9"/>
      <c r="H313" s="11"/>
      <c r="I313" s="9" t="s">
        <v>13</v>
      </c>
      <c r="J313" s="44"/>
    </row>
    <row r="314">
      <c r="A314" s="42" t="s">
        <v>330</v>
      </c>
      <c r="B314" s="47"/>
      <c r="C314" s="9" t="s">
        <v>11</v>
      </c>
      <c r="D314" s="8" t="str">
        <f t="shared" si="1"/>
        <v>-</v>
      </c>
      <c r="E314" s="9"/>
      <c r="F314" s="10"/>
      <c r="G314" s="9"/>
      <c r="H314" s="11"/>
      <c r="I314" s="9" t="s">
        <v>13</v>
      </c>
      <c r="J314" s="44"/>
    </row>
    <row r="315">
      <c r="A315" s="42" t="s">
        <v>330</v>
      </c>
      <c r="B315" s="47"/>
      <c r="C315" s="9" t="s">
        <v>11</v>
      </c>
      <c r="D315" s="8" t="str">
        <f t="shared" si="1"/>
        <v>-</v>
      </c>
      <c r="E315" s="9"/>
      <c r="F315" s="10"/>
      <c r="G315" s="9"/>
      <c r="H315" s="11"/>
      <c r="I315" s="9" t="s">
        <v>13</v>
      </c>
      <c r="J315" s="44"/>
    </row>
    <row r="316">
      <c r="A316" s="42" t="s">
        <v>330</v>
      </c>
      <c r="B316" s="47"/>
      <c r="C316" s="9" t="s">
        <v>11</v>
      </c>
      <c r="D316" s="8" t="str">
        <f t="shared" si="1"/>
        <v>-</v>
      </c>
      <c r="E316" s="9"/>
      <c r="F316" s="10"/>
      <c r="G316" s="9"/>
      <c r="H316" s="11"/>
      <c r="I316" s="9" t="s">
        <v>13</v>
      </c>
      <c r="J316" s="44"/>
    </row>
    <row r="317">
      <c r="A317" s="42" t="s">
        <v>330</v>
      </c>
      <c r="B317" s="47"/>
      <c r="C317" s="9" t="s">
        <v>11</v>
      </c>
      <c r="D317" s="8" t="str">
        <f t="shared" si="1"/>
        <v>-</v>
      </c>
      <c r="E317" s="9"/>
      <c r="F317" s="10"/>
      <c r="G317" s="9"/>
      <c r="H317" s="11"/>
      <c r="I317" s="9" t="s">
        <v>13</v>
      </c>
      <c r="J317" s="44"/>
    </row>
    <row r="318">
      <c r="A318" s="42" t="s">
        <v>330</v>
      </c>
      <c r="B318" s="47"/>
      <c r="C318" s="9" t="s">
        <v>11</v>
      </c>
      <c r="D318" s="8" t="str">
        <f t="shared" si="1"/>
        <v>-</v>
      </c>
      <c r="E318" s="9"/>
      <c r="F318" s="10"/>
      <c r="G318" s="9"/>
      <c r="H318" s="11"/>
      <c r="I318" s="9" t="s">
        <v>13</v>
      </c>
      <c r="J318" s="44"/>
    </row>
    <row r="319">
      <c r="A319" s="42" t="s">
        <v>330</v>
      </c>
      <c r="B319" s="47"/>
      <c r="C319" s="9" t="s">
        <v>11</v>
      </c>
      <c r="D319" s="8" t="str">
        <f t="shared" si="1"/>
        <v>-</v>
      </c>
      <c r="E319" s="9"/>
      <c r="F319" s="10"/>
      <c r="G319" s="9"/>
      <c r="H319" s="11"/>
      <c r="I319" s="9" t="s">
        <v>13</v>
      </c>
      <c r="J319" s="44"/>
    </row>
    <row r="320">
      <c r="A320" s="42" t="s">
        <v>330</v>
      </c>
      <c r="B320" s="47"/>
      <c r="C320" s="9" t="s">
        <v>11</v>
      </c>
      <c r="D320" s="8" t="str">
        <f t="shared" si="1"/>
        <v>-</v>
      </c>
      <c r="E320" s="9"/>
      <c r="F320" s="10"/>
      <c r="G320" s="9"/>
      <c r="H320" s="11"/>
      <c r="I320" s="9" t="s">
        <v>13</v>
      </c>
      <c r="J320" s="44"/>
    </row>
    <row r="321">
      <c r="A321" s="42" t="s">
        <v>330</v>
      </c>
      <c r="B321" s="47"/>
      <c r="C321" s="9" t="s">
        <v>11</v>
      </c>
      <c r="D321" s="8" t="str">
        <f t="shared" si="1"/>
        <v>-</v>
      </c>
      <c r="E321" s="9"/>
      <c r="F321" s="10"/>
      <c r="G321" s="9"/>
      <c r="H321" s="11"/>
      <c r="I321" s="9" t="s">
        <v>13</v>
      </c>
      <c r="J321" s="44"/>
    </row>
    <row r="322">
      <c r="A322" s="42" t="s">
        <v>330</v>
      </c>
      <c r="B322" s="47"/>
      <c r="C322" s="9" t="s">
        <v>11</v>
      </c>
      <c r="D322" s="8" t="str">
        <f t="shared" si="1"/>
        <v>-</v>
      </c>
      <c r="E322" s="9"/>
      <c r="F322" s="10"/>
      <c r="G322" s="9"/>
      <c r="H322" s="11"/>
      <c r="I322" s="9" t="s">
        <v>13</v>
      </c>
      <c r="J322" s="44"/>
    </row>
    <row r="323">
      <c r="A323" s="42" t="s">
        <v>330</v>
      </c>
      <c r="B323" s="47"/>
      <c r="C323" s="9" t="s">
        <v>11</v>
      </c>
      <c r="D323" s="8" t="str">
        <f t="shared" si="1"/>
        <v>-</v>
      </c>
      <c r="E323" s="9"/>
      <c r="F323" s="10"/>
      <c r="G323" s="9"/>
      <c r="H323" s="11"/>
      <c r="I323" s="9" t="s">
        <v>13</v>
      </c>
      <c r="J323" s="44"/>
    </row>
    <row r="324">
      <c r="A324" s="42" t="s">
        <v>330</v>
      </c>
      <c r="B324" s="47"/>
      <c r="C324" s="9" t="s">
        <v>11</v>
      </c>
      <c r="D324" s="8" t="str">
        <f t="shared" si="1"/>
        <v>-</v>
      </c>
      <c r="E324" s="9"/>
      <c r="F324" s="10"/>
      <c r="G324" s="9"/>
      <c r="H324" s="11"/>
      <c r="I324" s="9" t="s">
        <v>13</v>
      </c>
      <c r="J324" s="44"/>
    </row>
    <row r="325">
      <c r="A325" s="42" t="s">
        <v>330</v>
      </c>
      <c r="B325" s="47"/>
      <c r="C325" s="9" t="s">
        <v>11</v>
      </c>
      <c r="D325" s="8" t="str">
        <f t="shared" si="1"/>
        <v>-</v>
      </c>
      <c r="E325" s="9"/>
      <c r="F325" s="10"/>
      <c r="G325" s="9"/>
      <c r="H325" s="11"/>
      <c r="I325" s="9" t="s">
        <v>13</v>
      </c>
      <c r="J325" s="44"/>
    </row>
    <row r="326">
      <c r="A326" s="42" t="s">
        <v>330</v>
      </c>
      <c r="B326" s="47"/>
      <c r="C326" s="9" t="s">
        <v>11</v>
      </c>
      <c r="D326" s="8" t="str">
        <f t="shared" si="1"/>
        <v>-</v>
      </c>
      <c r="E326" s="9"/>
      <c r="F326" s="10"/>
      <c r="G326" s="9"/>
      <c r="H326" s="11"/>
      <c r="I326" s="9" t="s">
        <v>13</v>
      </c>
      <c r="J326" s="44"/>
    </row>
    <row r="327">
      <c r="A327" s="42" t="s">
        <v>330</v>
      </c>
      <c r="B327" s="47"/>
      <c r="C327" s="9" t="s">
        <v>11</v>
      </c>
      <c r="D327" s="8" t="str">
        <f t="shared" si="1"/>
        <v>-</v>
      </c>
      <c r="E327" s="9"/>
      <c r="F327" s="10"/>
      <c r="G327" s="9"/>
      <c r="H327" s="11"/>
      <c r="I327" s="9" t="s">
        <v>13</v>
      </c>
      <c r="J327" s="44"/>
    </row>
    <row r="328">
      <c r="A328" s="42" t="s">
        <v>330</v>
      </c>
      <c r="B328" s="47"/>
      <c r="C328" s="9" t="s">
        <v>11</v>
      </c>
      <c r="D328" s="8" t="str">
        <f t="shared" si="1"/>
        <v>-</v>
      </c>
      <c r="E328" s="9"/>
      <c r="F328" s="10"/>
      <c r="G328" s="9"/>
      <c r="H328" s="11"/>
      <c r="I328" s="9" t="s">
        <v>13</v>
      </c>
      <c r="J328" s="44"/>
    </row>
    <row r="329">
      <c r="A329" s="42" t="s">
        <v>330</v>
      </c>
      <c r="B329" s="47"/>
      <c r="C329" s="9" t="s">
        <v>11</v>
      </c>
      <c r="D329" s="8" t="str">
        <f t="shared" si="1"/>
        <v>-</v>
      </c>
      <c r="E329" s="9"/>
      <c r="F329" s="10"/>
      <c r="G329" s="9"/>
      <c r="H329" s="11"/>
      <c r="I329" s="9" t="s">
        <v>13</v>
      </c>
      <c r="J329" s="44"/>
    </row>
    <row r="330">
      <c r="A330" s="42" t="s">
        <v>330</v>
      </c>
      <c r="B330" s="47"/>
      <c r="C330" s="9" t="s">
        <v>11</v>
      </c>
      <c r="D330" s="8" t="str">
        <f t="shared" si="1"/>
        <v>-</v>
      </c>
      <c r="E330" s="9"/>
      <c r="F330" s="10"/>
      <c r="G330" s="9"/>
      <c r="H330" s="11"/>
      <c r="I330" s="9" t="s">
        <v>13</v>
      </c>
      <c r="J330" s="44"/>
    </row>
    <row r="331">
      <c r="A331" s="42" t="s">
        <v>330</v>
      </c>
      <c r="B331" s="47"/>
      <c r="C331" s="9" t="s">
        <v>11</v>
      </c>
      <c r="D331" s="8" t="str">
        <f t="shared" si="1"/>
        <v>-</v>
      </c>
      <c r="E331" s="9"/>
      <c r="F331" s="10"/>
      <c r="G331" s="9"/>
      <c r="H331" s="11"/>
      <c r="I331" s="9" t="s">
        <v>13</v>
      </c>
      <c r="J331" s="44"/>
    </row>
    <row r="332">
      <c r="A332" s="42" t="s">
        <v>330</v>
      </c>
      <c r="B332" s="47"/>
      <c r="C332" s="9" t="s">
        <v>11</v>
      </c>
      <c r="D332" s="8" t="str">
        <f t="shared" si="1"/>
        <v>-</v>
      </c>
      <c r="E332" s="9"/>
      <c r="F332" s="10"/>
      <c r="G332" s="9"/>
      <c r="H332" s="11"/>
      <c r="I332" s="9" t="s">
        <v>13</v>
      </c>
      <c r="J332" s="44"/>
    </row>
    <row r="333">
      <c r="A333" s="42" t="s">
        <v>330</v>
      </c>
      <c r="B333" s="47"/>
      <c r="C333" s="9" t="s">
        <v>11</v>
      </c>
      <c r="D333" s="8" t="str">
        <f t="shared" si="1"/>
        <v>-</v>
      </c>
      <c r="E333" s="9"/>
      <c r="F333" s="10"/>
      <c r="G333" s="9"/>
      <c r="H333" s="11"/>
      <c r="I333" s="9" t="s">
        <v>13</v>
      </c>
      <c r="J333" s="44"/>
    </row>
    <row r="334">
      <c r="A334" s="42" t="s">
        <v>330</v>
      </c>
      <c r="B334" s="47"/>
      <c r="C334" s="9" t="s">
        <v>11</v>
      </c>
      <c r="D334" s="8" t="str">
        <f t="shared" si="1"/>
        <v>-</v>
      </c>
      <c r="E334" s="9"/>
      <c r="F334" s="10"/>
      <c r="G334" s="9"/>
      <c r="H334" s="11"/>
      <c r="I334" s="9" t="s">
        <v>13</v>
      </c>
      <c r="J334" s="44"/>
    </row>
    <row r="335">
      <c r="A335" s="42" t="s">
        <v>330</v>
      </c>
      <c r="B335" s="47"/>
      <c r="C335" s="9" t="s">
        <v>11</v>
      </c>
      <c r="D335" s="8" t="str">
        <f t="shared" si="1"/>
        <v>-</v>
      </c>
      <c r="E335" s="9"/>
      <c r="F335" s="10"/>
      <c r="G335" s="9"/>
      <c r="H335" s="11"/>
      <c r="I335" s="9" t="s">
        <v>13</v>
      </c>
      <c r="J335" s="44"/>
    </row>
    <row r="336">
      <c r="A336" s="42" t="s">
        <v>330</v>
      </c>
      <c r="B336" s="47"/>
      <c r="C336" s="9" t="s">
        <v>11</v>
      </c>
      <c r="D336" s="8" t="str">
        <f t="shared" si="1"/>
        <v>-</v>
      </c>
      <c r="E336" s="9"/>
      <c r="F336" s="10"/>
      <c r="G336" s="9"/>
      <c r="H336" s="11"/>
      <c r="I336" s="9" t="s">
        <v>13</v>
      </c>
      <c r="J336" s="44"/>
    </row>
    <row r="337">
      <c r="A337" s="42" t="s">
        <v>330</v>
      </c>
      <c r="B337" s="47"/>
      <c r="C337" s="9" t="s">
        <v>11</v>
      </c>
      <c r="D337" s="8" t="str">
        <f t="shared" si="1"/>
        <v>-</v>
      </c>
      <c r="E337" s="9"/>
      <c r="F337" s="10"/>
      <c r="G337" s="9"/>
      <c r="H337" s="11"/>
      <c r="I337" s="9" t="s">
        <v>13</v>
      </c>
      <c r="J337" s="44"/>
    </row>
    <row r="338">
      <c r="A338" s="42" t="s">
        <v>330</v>
      </c>
      <c r="B338" s="47"/>
      <c r="C338" s="9" t="s">
        <v>11</v>
      </c>
      <c r="D338" s="8" t="str">
        <f t="shared" si="1"/>
        <v>-</v>
      </c>
      <c r="E338" s="9"/>
      <c r="F338" s="10"/>
      <c r="G338" s="9"/>
      <c r="H338" s="11"/>
      <c r="I338" s="9" t="s">
        <v>13</v>
      </c>
      <c r="J338" s="44"/>
    </row>
    <row r="339">
      <c r="A339" s="42" t="s">
        <v>330</v>
      </c>
      <c r="B339" s="47"/>
      <c r="C339" s="9" t="s">
        <v>11</v>
      </c>
      <c r="D339" s="8" t="str">
        <f t="shared" si="1"/>
        <v>-</v>
      </c>
      <c r="E339" s="9"/>
      <c r="F339" s="10"/>
      <c r="G339" s="9"/>
      <c r="H339" s="11"/>
      <c r="I339" s="9" t="s">
        <v>13</v>
      </c>
      <c r="J339" s="44"/>
    </row>
    <row r="340">
      <c r="A340" s="42" t="s">
        <v>330</v>
      </c>
      <c r="B340" s="47"/>
      <c r="C340" s="9" t="s">
        <v>11</v>
      </c>
      <c r="D340" s="8" t="str">
        <f t="shared" si="1"/>
        <v>-</v>
      </c>
      <c r="E340" s="9"/>
      <c r="F340" s="10"/>
      <c r="G340" s="9"/>
      <c r="H340" s="11"/>
      <c r="I340" s="9" t="s">
        <v>13</v>
      </c>
      <c r="J340" s="44"/>
    </row>
    <row r="341">
      <c r="A341" s="42" t="s">
        <v>330</v>
      </c>
      <c r="B341" s="47"/>
      <c r="C341" s="9" t="s">
        <v>11</v>
      </c>
      <c r="D341" s="8" t="str">
        <f t="shared" si="1"/>
        <v>-</v>
      </c>
      <c r="E341" s="9"/>
      <c r="F341" s="10"/>
      <c r="G341" s="9"/>
      <c r="H341" s="11"/>
      <c r="I341" s="9" t="s">
        <v>13</v>
      </c>
      <c r="J341" s="44"/>
    </row>
    <row r="342">
      <c r="A342" s="42" t="s">
        <v>330</v>
      </c>
      <c r="B342" s="47"/>
      <c r="C342" s="9" t="s">
        <v>11</v>
      </c>
      <c r="D342" s="8" t="str">
        <f t="shared" si="1"/>
        <v>-</v>
      </c>
      <c r="E342" s="9"/>
      <c r="F342" s="10"/>
      <c r="G342" s="9"/>
      <c r="H342" s="11"/>
      <c r="I342" s="9" t="s">
        <v>13</v>
      </c>
      <c r="J342" s="44"/>
    </row>
    <row r="343">
      <c r="A343" s="42" t="s">
        <v>330</v>
      </c>
      <c r="B343" s="47"/>
      <c r="C343" s="9" t="s">
        <v>11</v>
      </c>
      <c r="D343" s="8" t="str">
        <f t="shared" si="1"/>
        <v>-</v>
      </c>
      <c r="E343" s="9"/>
      <c r="F343" s="10"/>
      <c r="G343" s="9"/>
      <c r="H343" s="11"/>
      <c r="I343" s="9" t="s">
        <v>13</v>
      </c>
      <c r="J343" s="44"/>
    </row>
    <row r="344">
      <c r="A344" s="42" t="s">
        <v>330</v>
      </c>
      <c r="B344" s="47"/>
      <c r="C344" s="9" t="s">
        <v>11</v>
      </c>
      <c r="D344" s="8" t="str">
        <f t="shared" si="1"/>
        <v>-</v>
      </c>
      <c r="E344" s="9"/>
      <c r="F344" s="10"/>
      <c r="G344" s="9"/>
      <c r="H344" s="11"/>
      <c r="I344" s="9" t="s">
        <v>13</v>
      </c>
      <c r="J344" s="44"/>
    </row>
    <row r="345">
      <c r="A345" s="42" t="s">
        <v>330</v>
      </c>
      <c r="B345" s="47"/>
      <c r="C345" s="9" t="s">
        <v>11</v>
      </c>
      <c r="D345" s="8" t="str">
        <f t="shared" si="1"/>
        <v>-</v>
      </c>
      <c r="E345" s="9"/>
      <c r="F345" s="10"/>
      <c r="G345" s="9"/>
      <c r="H345" s="11"/>
      <c r="I345" s="9" t="s">
        <v>13</v>
      </c>
      <c r="J345" s="44"/>
    </row>
    <row r="346">
      <c r="A346" s="42" t="s">
        <v>330</v>
      </c>
      <c r="B346" s="47"/>
      <c r="C346" s="9" t="s">
        <v>11</v>
      </c>
      <c r="D346" s="8" t="str">
        <f t="shared" si="1"/>
        <v>-</v>
      </c>
      <c r="E346" s="9"/>
      <c r="F346" s="10"/>
      <c r="G346" s="9"/>
      <c r="H346" s="11"/>
      <c r="I346" s="9" t="s">
        <v>13</v>
      </c>
      <c r="J346" s="44"/>
    </row>
    <row r="347">
      <c r="A347" s="42" t="s">
        <v>330</v>
      </c>
      <c r="B347" s="47"/>
      <c r="C347" s="9" t="s">
        <v>11</v>
      </c>
      <c r="D347" s="8" t="str">
        <f t="shared" si="1"/>
        <v>-</v>
      </c>
      <c r="E347" s="9"/>
      <c r="F347" s="10"/>
      <c r="G347" s="9"/>
      <c r="H347" s="11"/>
      <c r="I347" s="9" t="s">
        <v>13</v>
      </c>
      <c r="J347" s="44"/>
    </row>
    <row r="348">
      <c r="A348" s="42" t="s">
        <v>330</v>
      </c>
      <c r="B348" s="47"/>
      <c r="C348" s="9" t="s">
        <v>11</v>
      </c>
      <c r="D348" s="8" t="str">
        <f t="shared" si="1"/>
        <v>-</v>
      </c>
      <c r="E348" s="9"/>
      <c r="F348" s="10"/>
      <c r="G348" s="9"/>
      <c r="H348" s="11"/>
      <c r="I348" s="9" t="s">
        <v>13</v>
      </c>
      <c r="J348" s="44"/>
    </row>
    <row r="349">
      <c r="A349" s="42" t="s">
        <v>330</v>
      </c>
      <c r="B349" s="47"/>
      <c r="C349" s="9" t="s">
        <v>11</v>
      </c>
      <c r="D349" s="8" t="str">
        <f t="shared" si="1"/>
        <v>-</v>
      </c>
      <c r="E349" s="9"/>
      <c r="F349" s="10"/>
      <c r="G349" s="9"/>
      <c r="H349" s="11"/>
      <c r="I349" s="9" t="s">
        <v>13</v>
      </c>
      <c r="J349" s="44"/>
    </row>
    <row r="350">
      <c r="A350" s="42" t="s">
        <v>330</v>
      </c>
      <c r="B350" s="47"/>
      <c r="C350" s="9" t="s">
        <v>11</v>
      </c>
      <c r="D350" s="8" t="str">
        <f t="shared" si="1"/>
        <v>-</v>
      </c>
      <c r="E350" s="9"/>
      <c r="F350" s="10"/>
      <c r="G350" s="9"/>
      <c r="H350" s="11"/>
      <c r="I350" s="9" t="s">
        <v>13</v>
      </c>
      <c r="J350" s="44"/>
    </row>
    <row r="351">
      <c r="A351" s="42" t="s">
        <v>330</v>
      </c>
      <c r="B351" s="47"/>
      <c r="C351" s="9" t="s">
        <v>11</v>
      </c>
      <c r="D351" s="8" t="str">
        <f t="shared" si="1"/>
        <v>-</v>
      </c>
      <c r="E351" s="9"/>
      <c r="F351" s="10"/>
      <c r="G351" s="9"/>
      <c r="H351" s="11"/>
      <c r="I351" s="9" t="s">
        <v>13</v>
      </c>
      <c r="J351" s="44"/>
    </row>
    <row r="352">
      <c r="A352" s="42" t="s">
        <v>330</v>
      </c>
      <c r="B352" s="47"/>
      <c r="C352" s="9" t="s">
        <v>11</v>
      </c>
      <c r="D352" s="8" t="str">
        <f t="shared" si="1"/>
        <v>-</v>
      </c>
      <c r="E352" s="9"/>
      <c r="F352" s="10"/>
      <c r="G352" s="9"/>
      <c r="H352" s="11"/>
      <c r="I352" s="9" t="s">
        <v>13</v>
      </c>
      <c r="J352" s="44"/>
    </row>
    <row r="353">
      <c r="A353" s="42" t="s">
        <v>330</v>
      </c>
      <c r="B353" s="47"/>
      <c r="C353" s="9" t="s">
        <v>11</v>
      </c>
      <c r="D353" s="8" t="str">
        <f t="shared" si="1"/>
        <v>-</v>
      </c>
      <c r="E353" s="9"/>
      <c r="F353" s="10"/>
      <c r="G353" s="9"/>
      <c r="H353" s="11"/>
      <c r="I353" s="9" t="s">
        <v>13</v>
      </c>
      <c r="J353" s="44"/>
    </row>
    <row r="354">
      <c r="A354" s="42" t="s">
        <v>330</v>
      </c>
      <c r="B354" s="47"/>
      <c r="C354" s="9" t="s">
        <v>11</v>
      </c>
      <c r="D354" s="8" t="str">
        <f t="shared" si="1"/>
        <v>-</v>
      </c>
      <c r="E354" s="9"/>
      <c r="F354" s="10"/>
      <c r="G354" s="9"/>
      <c r="H354" s="11"/>
      <c r="I354" s="9" t="s">
        <v>13</v>
      </c>
      <c r="J354" s="44"/>
    </row>
    <row r="355">
      <c r="A355" s="42" t="s">
        <v>330</v>
      </c>
      <c r="B355" s="47"/>
      <c r="C355" s="9" t="s">
        <v>11</v>
      </c>
      <c r="D355" s="8" t="str">
        <f t="shared" si="1"/>
        <v>-</v>
      </c>
      <c r="E355" s="9"/>
      <c r="F355" s="10"/>
      <c r="G355" s="9"/>
      <c r="H355" s="11"/>
      <c r="I355" s="9" t="s">
        <v>13</v>
      </c>
      <c r="J355" s="44"/>
    </row>
    <row r="356">
      <c r="A356" s="42" t="s">
        <v>330</v>
      </c>
      <c r="B356" s="47"/>
      <c r="C356" s="9" t="s">
        <v>11</v>
      </c>
      <c r="D356" s="8" t="str">
        <f t="shared" si="1"/>
        <v>-</v>
      </c>
      <c r="E356" s="9"/>
      <c r="F356" s="10"/>
      <c r="G356" s="9"/>
      <c r="H356" s="11"/>
      <c r="I356" s="9" t="s">
        <v>13</v>
      </c>
      <c r="J356" s="44"/>
    </row>
    <row r="357">
      <c r="A357" s="42" t="s">
        <v>330</v>
      </c>
      <c r="B357" s="47"/>
      <c r="C357" s="9" t="s">
        <v>11</v>
      </c>
      <c r="D357" s="8" t="str">
        <f t="shared" si="1"/>
        <v>-</v>
      </c>
      <c r="E357" s="9"/>
      <c r="F357" s="10"/>
      <c r="G357" s="9"/>
      <c r="H357" s="11"/>
      <c r="I357" s="9" t="s">
        <v>13</v>
      </c>
      <c r="J357" s="44"/>
    </row>
    <row r="358">
      <c r="A358" s="42" t="s">
        <v>330</v>
      </c>
      <c r="B358" s="47"/>
      <c r="C358" s="9" t="s">
        <v>11</v>
      </c>
      <c r="D358" s="8" t="str">
        <f t="shared" si="1"/>
        <v>-</v>
      </c>
      <c r="E358" s="9"/>
      <c r="F358" s="10"/>
      <c r="G358" s="9"/>
      <c r="H358" s="11"/>
      <c r="I358" s="9" t="s">
        <v>13</v>
      </c>
      <c r="J358" s="44"/>
    </row>
    <row r="359">
      <c r="A359" s="42" t="s">
        <v>330</v>
      </c>
      <c r="B359" s="47"/>
      <c r="C359" s="9" t="s">
        <v>11</v>
      </c>
      <c r="D359" s="8" t="str">
        <f t="shared" si="1"/>
        <v>-</v>
      </c>
      <c r="E359" s="9"/>
      <c r="F359" s="10"/>
      <c r="G359" s="9"/>
      <c r="H359" s="11"/>
      <c r="I359" s="9" t="s">
        <v>13</v>
      </c>
      <c r="J359" s="44"/>
    </row>
    <row r="360">
      <c r="A360" s="42" t="s">
        <v>330</v>
      </c>
      <c r="B360" s="47"/>
      <c r="C360" s="9" t="s">
        <v>11</v>
      </c>
      <c r="D360" s="8" t="str">
        <f t="shared" si="1"/>
        <v>-</v>
      </c>
      <c r="E360" s="9"/>
      <c r="F360" s="10"/>
      <c r="G360" s="9"/>
      <c r="H360" s="11"/>
      <c r="I360" s="9" t="s">
        <v>13</v>
      </c>
      <c r="J360" s="44"/>
    </row>
    <row r="361">
      <c r="A361" s="42" t="s">
        <v>330</v>
      </c>
      <c r="B361" s="47"/>
      <c r="C361" s="9" t="s">
        <v>11</v>
      </c>
      <c r="D361" s="8" t="str">
        <f t="shared" si="1"/>
        <v>-</v>
      </c>
      <c r="E361" s="9"/>
      <c r="F361" s="10"/>
      <c r="G361" s="9"/>
      <c r="H361" s="11"/>
      <c r="I361" s="9" t="s">
        <v>13</v>
      </c>
      <c r="J361" s="44"/>
    </row>
    <row r="362">
      <c r="A362" s="42" t="s">
        <v>330</v>
      </c>
      <c r="B362" s="47"/>
      <c r="C362" s="9" t="s">
        <v>11</v>
      </c>
      <c r="D362" s="8" t="str">
        <f t="shared" si="1"/>
        <v>-</v>
      </c>
      <c r="E362" s="9"/>
      <c r="F362" s="10"/>
      <c r="G362" s="9"/>
      <c r="H362" s="11"/>
      <c r="I362" s="9" t="s">
        <v>13</v>
      </c>
      <c r="J362" s="44"/>
    </row>
    <row r="363">
      <c r="A363" s="42" t="s">
        <v>330</v>
      </c>
      <c r="B363" s="47"/>
      <c r="C363" s="9" t="s">
        <v>11</v>
      </c>
      <c r="D363" s="8" t="str">
        <f t="shared" si="1"/>
        <v>-</v>
      </c>
      <c r="E363" s="9"/>
      <c r="F363" s="10"/>
      <c r="G363" s="9"/>
      <c r="H363" s="11"/>
      <c r="I363" s="9" t="s">
        <v>13</v>
      </c>
      <c r="J363" s="44"/>
    </row>
    <row r="364">
      <c r="A364" s="42" t="s">
        <v>330</v>
      </c>
      <c r="B364" s="47"/>
      <c r="C364" s="9" t="s">
        <v>11</v>
      </c>
      <c r="D364" s="8" t="str">
        <f t="shared" si="1"/>
        <v>-</v>
      </c>
      <c r="E364" s="9"/>
      <c r="F364" s="10"/>
      <c r="G364" s="9"/>
      <c r="H364" s="11"/>
      <c r="I364" s="9" t="s">
        <v>13</v>
      </c>
      <c r="J364" s="44"/>
    </row>
    <row r="365">
      <c r="A365" s="42" t="s">
        <v>330</v>
      </c>
      <c r="B365" s="47"/>
      <c r="C365" s="9" t="s">
        <v>11</v>
      </c>
      <c r="D365" s="8" t="str">
        <f t="shared" si="1"/>
        <v>-</v>
      </c>
      <c r="E365" s="9"/>
      <c r="F365" s="10"/>
      <c r="G365" s="9"/>
      <c r="H365" s="11"/>
      <c r="I365" s="9" t="s">
        <v>13</v>
      </c>
      <c r="J365" s="44"/>
    </row>
    <row r="366">
      <c r="A366" s="42" t="s">
        <v>330</v>
      </c>
      <c r="B366" s="47"/>
      <c r="C366" s="9" t="s">
        <v>11</v>
      </c>
      <c r="D366" s="8" t="str">
        <f t="shared" si="1"/>
        <v>-</v>
      </c>
      <c r="E366" s="9"/>
      <c r="F366" s="10"/>
      <c r="G366" s="9"/>
      <c r="H366" s="11"/>
      <c r="I366" s="9" t="s">
        <v>13</v>
      </c>
      <c r="J366" s="44"/>
    </row>
    <row r="367">
      <c r="A367" s="42" t="s">
        <v>330</v>
      </c>
      <c r="B367" s="47"/>
      <c r="C367" s="9" t="s">
        <v>11</v>
      </c>
      <c r="D367" s="8" t="str">
        <f t="shared" si="1"/>
        <v>-</v>
      </c>
      <c r="E367" s="9"/>
      <c r="F367" s="10"/>
      <c r="G367" s="9"/>
      <c r="H367" s="11"/>
      <c r="I367" s="9" t="s">
        <v>13</v>
      </c>
      <c r="J367" s="44"/>
    </row>
    <row r="368">
      <c r="A368" s="42" t="s">
        <v>330</v>
      </c>
      <c r="B368" s="47"/>
      <c r="C368" s="9" t="s">
        <v>11</v>
      </c>
      <c r="D368" s="8" t="str">
        <f t="shared" si="1"/>
        <v>-</v>
      </c>
      <c r="E368" s="9"/>
      <c r="F368" s="10"/>
      <c r="G368" s="9"/>
      <c r="H368" s="11"/>
      <c r="I368" s="9" t="s">
        <v>13</v>
      </c>
      <c r="J368" s="44"/>
    </row>
    <row r="369">
      <c r="A369" s="42" t="s">
        <v>330</v>
      </c>
      <c r="B369" s="47"/>
      <c r="C369" s="9" t="s">
        <v>11</v>
      </c>
      <c r="D369" s="8" t="str">
        <f t="shared" si="1"/>
        <v>-</v>
      </c>
      <c r="E369" s="9"/>
      <c r="F369" s="10"/>
      <c r="G369" s="9"/>
      <c r="H369" s="11"/>
      <c r="I369" s="9" t="s">
        <v>13</v>
      </c>
      <c r="J369" s="44"/>
    </row>
    <row r="370">
      <c r="A370" s="42" t="s">
        <v>330</v>
      </c>
      <c r="B370" s="47"/>
      <c r="C370" s="9" t="s">
        <v>11</v>
      </c>
      <c r="D370" s="8" t="str">
        <f t="shared" si="1"/>
        <v>-</v>
      </c>
      <c r="E370" s="9"/>
      <c r="F370" s="10"/>
      <c r="G370" s="9"/>
      <c r="H370" s="11"/>
      <c r="I370" s="9" t="s">
        <v>13</v>
      </c>
      <c r="J370" s="44"/>
    </row>
    <row r="371">
      <c r="A371" s="42" t="s">
        <v>330</v>
      </c>
      <c r="B371" s="47"/>
      <c r="C371" s="9" t="s">
        <v>11</v>
      </c>
      <c r="D371" s="8" t="str">
        <f t="shared" si="1"/>
        <v>-</v>
      </c>
      <c r="E371" s="9"/>
      <c r="F371" s="10"/>
      <c r="G371" s="9"/>
      <c r="H371" s="11"/>
      <c r="I371" s="9" t="s">
        <v>13</v>
      </c>
      <c r="J371" s="44"/>
    </row>
    <row r="372">
      <c r="A372" s="42" t="s">
        <v>330</v>
      </c>
      <c r="B372" s="47"/>
      <c r="C372" s="9" t="s">
        <v>11</v>
      </c>
      <c r="D372" s="8" t="str">
        <f t="shared" si="1"/>
        <v>-</v>
      </c>
      <c r="E372" s="9"/>
      <c r="F372" s="10"/>
      <c r="G372" s="9"/>
      <c r="H372" s="11"/>
      <c r="I372" s="9" t="s">
        <v>13</v>
      </c>
      <c r="J372" s="44"/>
    </row>
    <row r="373">
      <c r="A373" s="42" t="s">
        <v>330</v>
      </c>
      <c r="B373" s="47"/>
      <c r="C373" s="9" t="s">
        <v>11</v>
      </c>
      <c r="D373" s="8" t="str">
        <f t="shared" si="1"/>
        <v>-</v>
      </c>
      <c r="E373" s="9"/>
      <c r="F373" s="10"/>
      <c r="G373" s="9"/>
      <c r="H373" s="11"/>
      <c r="I373" s="9" t="s">
        <v>13</v>
      </c>
      <c r="J373" s="44"/>
    </row>
    <row r="374">
      <c r="A374" s="42" t="s">
        <v>330</v>
      </c>
      <c r="B374" s="47"/>
      <c r="C374" s="9" t="s">
        <v>11</v>
      </c>
      <c r="D374" s="8" t="str">
        <f t="shared" si="1"/>
        <v>-</v>
      </c>
      <c r="E374" s="9"/>
      <c r="F374" s="10"/>
      <c r="G374" s="9"/>
      <c r="H374" s="11"/>
      <c r="I374" s="9" t="s">
        <v>13</v>
      </c>
      <c r="J374" s="44"/>
    </row>
    <row r="375">
      <c r="A375" s="42" t="s">
        <v>330</v>
      </c>
      <c r="B375" s="47"/>
      <c r="C375" s="9" t="s">
        <v>11</v>
      </c>
      <c r="D375" s="8" t="str">
        <f t="shared" si="1"/>
        <v>-</v>
      </c>
      <c r="E375" s="9"/>
      <c r="F375" s="10"/>
      <c r="G375" s="9"/>
      <c r="H375" s="11"/>
      <c r="I375" s="9" t="s">
        <v>13</v>
      </c>
      <c r="J375" s="44"/>
    </row>
    <row r="376">
      <c r="A376" s="42" t="s">
        <v>330</v>
      </c>
      <c r="B376" s="47"/>
      <c r="C376" s="9" t="s">
        <v>11</v>
      </c>
      <c r="D376" s="8" t="str">
        <f t="shared" si="1"/>
        <v>-</v>
      </c>
      <c r="E376" s="9"/>
      <c r="F376" s="10"/>
      <c r="G376" s="9"/>
      <c r="H376" s="11"/>
      <c r="I376" s="9" t="s">
        <v>13</v>
      </c>
      <c r="J376" s="44"/>
    </row>
    <row r="377">
      <c r="A377" s="42" t="s">
        <v>330</v>
      </c>
      <c r="B377" s="47"/>
      <c r="C377" s="9" t="s">
        <v>11</v>
      </c>
      <c r="D377" s="8" t="str">
        <f t="shared" si="1"/>
        <v>-</v>
      </c>
      <c r="E377" s="9"/>
      <c r="F377" s="10"/>
      <c r="G377" s="9"/>
      <c r="H377" s="11"/>
      <c r="I377" s="9" t="s">
        <v>13</v>
      </c>
      <c r="J377" s="44"/>
    </row>
    <row r="378">
      <c r="A378" s="42" t="s">
        <v>330</v>
      </c>
      <c r="B378" s="47"/>
      <c r="C378" s="9" t="s">
        <v>11</v>
      </c>
      <c r="D378" s="8" t="str">
        <f t="shared" si="1"/>
        <v>-</v>
      </c>
      <c r="E378" s="9"/>
      <c r="F378" s="10"/>
      <c r="G378" s="9"/>
      <c r="H378" s="11"/>
      <c r="I378" s="9" t="s">
        <v>13</v>
      </c>
      <c r="J378" s="44"/>
    </row>
    <row r="379">
      <c r="A379" s="42" t="s">
        <v>330</v>
      </c>
      <c r="B379" s="47"/>
      <c r="C379" s="9" t="s">
        <v>11</v>
      </c>
      <c r="D379" s="8" t="str">
        <f t="shared" si="1"/>
        <v>-</v>
      </c>
      <c r="E379" s="9"/>
      <c r="F379" s="10"/>
      <c r="G379" s="9"/>
      <c r="H379" s="11"/>
      <c r="I379" s="9" t="s">
        <v>13</v>
      </c>
      <c r="J379" s="44"/>
    </row>
    <row r="380">
      <c r="A380" s="42" t="s">
        <v>330</v>
      </c>
      <c r="B380" s="47"/>
      <c r="C380" s="9" t="s">
        <v>11</v>
      </c>
      <c r="D380" s="8" t="str">
        <f t="shared" si="1"/>
        <v>-</v>
      </c>
      <c r="E380" s="9"/>
      <c r="F380" s="10"/>
      <c r="G380" s="9"/>
      <c r="H380" s="11"/>
      <c r="I380" s="9" t="s">
        <v>13</v>
      </c>
      <c r="J380" s="44"/>
    </row>
    <row r="381">
      <c r="A381" s="42" t="s">
        <v>330</v>
      </c>
      <c r="B381" s="47"/>
      <c r="C381" s="9" t="s">
        <v>11</v>
      </c>
      <c r="D381" s="8" t="str">
        <f t="shared" si="1"/>
        <v>-</v>
      </c>
      <c r="E381" s="9"/>
      <c r="F381" s="10"/>
      <c r="G381" s="9"/>
      <c r="H381" s="11"/>
      <c r="I381" s="9" t="s">
        <v>13</v>
      </c>
      <c r="J381" s="44"/>
    </row>
    <row r="382">
      <c r="A382" s="42" t="s">
        <v>330</v>
      </c>
      <c r="B382" s="47"/>
      <c r="C382" s="9" t="s">
        <v>11</v>
      </c>
      <c r="D382" s="8" t="str">
        <f t="shared" si="1"/>
        <v>-</v>
      </c>
      <c r="E382" s="9"/>
      <c r="F382" s="10"/>
      <c r="G382" s="9"/>
      <c r="H382" s="11"/>
      <c r="I382" s="9" t="s">
        <v>13</v>
      </c>
      <c r="J382" s="44"/>
    </row>
    <row r="383">
      <c r="A383" s="42" t="s">
        <v>330</v>
      </c>
      <c r="B383" s="47"/>
      <c r="C383" s="9" t="s">
        <v>11</v>
      </c>
      <c r="D383" s="8" t="str">
        <f t="shared" si="1"/>
        <v>-</v>
      </c>
      <c r="E383" s="9"/>
      <c r="F383" s="10"/>
      <c r="G383" s="9"/>
      <c r="H383" s="11"/>
      <c r="I383" s="9" t="s">
        <v>13</v>
      </c>
      <c r="J383" s="44"/>
    </row>
    <row r="384">
      <c r="A384" s="42" t="s">
        <v>330</v>
      </c>
      <c r="B384" s="47"/>
      <c r="C384" s="9" t="s">
        <v>11</v>
      </c>
      <c r="D384" s="8" t="str">
        <f t="shared" si="1"/>
        <v>-</v>
      </c>
      <c r="E384" s="9"/>
      <c r="F384" s="10"/>
      <c r="G384" s="9"/>
      <c r="H384" s="11"/>
      <c r="I384" s="9" t="s">
        <v>13</v>
      </c>
      <c r="J384" s="44"/>
    </row>
    <row r="385">
      <c r="A385" s="42" t="s">
        <v>330</v>
      </c>
      <c r="B385" s="47"/>
      <c r="C385" s="9" t="s">
        <v>11</v>
      </c>
      <c r="D385" s="8" t="str">
        <f t="shared" si="1"/>
        <v>-</v>
      </c>
      <c r="E385" s="9"/>
      <c r="F385" s="10"/>
      <c r="G385" s="9"/>
      <c r="H385" s="11"/>
      <c r="I385" s="9" t="s">
        <v>13</v>
      </c>
      <c r="J385" s="44"/>
    </row>
    <row r="386">
      <c r="A386" s="42" t="s">
        <v>330</v>
      </c>
      <c r="B386" s="47"/>
      <c r="C386" s="9" t="s">
        <v>11</v>
      </c>
      <c r="D386" s="8" t="str">
        <f t="shared" si="1"/>
        <v>-</v>
      </c>
      <c r="E386" s="9"/>
      <c r="F386" s="10"/>
      <c r="G386" s="9"/>
      <c r="H386" s="11"/>
      <c r="I386" s="9" t="s">
        <v>13</v>
      </c>
      <c r="J386" s="44"/>
    </row>
    <row r="387">
      <c r="A387" s="42" t="s">
        <v>330</v>
      </c>
      <c r="B387" s="47"/>
      <c r="C387" s="9" t="s">
        <v>11</v>
      </c>
      <c r="D387" s="8" t="str">
        <f t="shared" si="1"/>
        <v>-</v>
      </c>
      <c r="E387" s="9"/>
      <c r="F387" s="10"/>
      <c r="G387" s="9"/>
      <c r="H387" s="11"/>
      <c r="I387" s="9" t="s">
        <v>13</v>
      </c>
      <c r="J387" s="44"/>
    </row>
    <row r="388">
      <c r="A388" s="42" t="s">
        <v>330</v>
      </c>
      <c r="B388" s="47"/>
      <c r="C388" s="9" t="s">
        <v>11</v>
      </c>
      <c r="D388" s="8" t="str">
        <f t="shared" si="1"/>
        <v>-</v>
      </c>
      <c r="E388" s="9"/>
      <c r="F388" s="10"/>
      <c r="G388" s="9"/>
      <c r="H388" s="11"/>
      <c r="I388" s="9" t="s">
        <v>13</v>
      </c>
      <c r="J388" s="44"/>
    </row>
    <row r="389">
      <c r="A389" s="42" t="s">
        <v>330</v>
      </c>
      <c r="B389" s="47"/>
      <c r="C389" s="9" t="s">
        <v>11</v>
      </c>
      <c r="D389" s="8" t="str">
        <f t="shared" si="1"/>
        <v>-</v>
      </c>
      <c r="E389" s="9"/>
      <c r="F389" s="10"/>
      <c r="G389" s="9"/>
      <c r="H389" s="11"/>
      <c r="I389" s="9" t="s">
        <v>13</v>
      </c>
      <c r="J389" s="44"/>
    </row>
    <row r="390">
      <c r="A390" s="42" t="s">
        <v>330</v>
      </c>
      <c r="B390" s="47"/>
      <c r="C390" s="9" t="s">
        <v>11</v>
      </c>
      <c r="D390" s="8" t="str">
        <f t="shared" si="1"/>
        <v>-</v>
      </c>
      <c r="E390" s="9"/>
      <c r="F390" s="10"/>
      <c r="G390" s="9"/>
      <c r="H390" s="11"/>
      <c r="I390" s="9" t="s">
        <v>13</v>
      </c>
      <c r="J390" s="44"/>
    </row>
    <row r="391">
      <c r="A391" s="42" t="s">
        <v>330</v>
      </c>
      <c r="B391" s="47"/>
      <c r="C391" s="9" t="s">
        <v>11</v>
      </c>
      <c r="D391" s="8" t="str">
        <f t="shared" si="1"/>
        <v>-</v>
      </c>
      <c r="E391" s="9"/>
      <c r="F391" s="10"/>
      <c r="G391" s="9"/>
      <c r="H391" s="11"/>
      <c r="I391" s="9" t="s">
        <v>13</v>
      </c>
      <c r="J391" s="44"/>
    </row>
    <row r="392">
      <c r="A392" s="42" t="s">
        <v>330</v>
      </c>
      <c r="B392" s="47"/>
      <c r="C392" s="9" t="s">
        <v>11</v>
      </c>
      <c r="D392" s="8" t="str">
        <f t="shared" si="1"/>
        <v>-</v>
      </c>
      <c r="E392" s="9"/>
      <c r="F392" s="10"/>
      <c r="G392" s="9"/>
      <c r="H392" s="11"/>
      <c r="I392" s="9" t="s">
        <v>13</v>
      </c>
      <c r="J392" s="44"/>
    </row>
    <row r="393">
      <c r="A393" s="42" t="s">
        <v>330</v>
      </c>
      <c r="B393" s="47"/>
      <c r="C393" s="9" t="s">
        <v>11</v>
      </c>
      <c r="D393" s="8" t="str">
        <f t="shared" si="1"/>
        <v>-</v>
      </c>
      <c r="E393" s="9"/>
      <c r="F393" s="10"/>
      <c r="G393" s="9"/>
      <c r="H393" s="11"/>
      <c r="I393" s="9" t="s">
        <v>13</v>
      </c>
      <c r="J393" s="44"/>
    </row>
    <row r="394">
      <c r="A394" s="42" t="s">
        <v>330</v>
      </c>
      <c r="B394" s="47"/>
      <c r="C394" s="9" t="s">
        <v>11</v>
      </c>
      <c r="D394" s="8" t="str">
        <f t="shared" si="1"/>
        <v>-</v>
      </c>
      <c r="E394" s="9"/>
      <c r="F394" s="10"/>
      <c r="G394" s="9"/>
      <c r="H394" s="11"/>
      <c r="I394" s="9" t="s">
        <v>13</v>
      </c>
      <c r="J394" s="44"/>
    </row>
    <row r="395">
      <c r="A395" s="42" t="s">
        <v>330</v>
      </c>
      <c r="B395" s="47"/>
      <c r="C395" s="9" t="s">
        <v>11</v>
      </c>
      <c r="D395" s="8" t="str">
        <f t="shared" si="1"/>
        <v>-</v>
      </c>
      <c r="E395" s="9"/>
      <c r="F395" s="10"/>
      <c r="G395" s="9"/>
      <c r="H395" s="11"/>
      <c r="I395" s="9" t="s">
        <v>13</v>
      </c>
      <c r="J395" s="44"/>
    </row>
    <row r="396">
      <c r="A396" s="42" t="s">
        <v>330</v>
      </c>
      <c r="B396" s="47"/>
      <c r="C396" s="9" t="s">
        <v>11</v>
      </c>
      <c r="D396" s="8" t="str">
        <f t="shared" si="1"/>
        <v>-</v>
      </c>
      <c r="E396" s="9"/>
      <c r="F396" s="10"/>
      <c r="G396" s="9"/>
      <c r="H396" s="11"/>
      <c r="I396" s="9" t="s">
        <v>13</v>
      </c>
      <c r="J396" s="44"/>
    </row>
    <row r="397">
      <c r="A397" s="42" t="s">
        <v>330</v>
      </c>
      <c r="B397" s="47"/>
      <c r="C397" s="9" t="s">
        <v>11</v>
      </c>
      <c r="D397" s="8" t="str">
        <f t="shared" si="1"/>
        <v>-</v>
      </c>
      <c r="E397" s="9"/>
      <c r="F397" s="10"/>
      <c r="G397" s="9"/>
      <c r="H397" s="11"/>
      <c r="I397" s="9" t="s">
        <v>13</v>
      </c>
      <c r="J397" s="44"/>
    </row>
    <row r="398">
      <c r="A398" s="42" t="s">
        <v>330</v>
      </c>
      <c r="B398" s="47"/>
      <c r="C398" s="9" t="s">
        <v>11</v>
      </c>
      <c r="D398" s="8" t="str">
        <f t="shared" si="1"/>
        <v>-</v>
      </c>
      <c r="E398" s="9"/>
      <c r="F398" s="10"/>
      <c r="G398" s="9"/>
      <c r="H398" s="11"/>
      <c r="I398" s="9" t="s">
        <v>13</v>
      </c>
      <c r="J398" s="44"/>
    </row>
    <row r="399">
      <c r="A399" s="42" t="s">
        <v>330</v>
      </c>
      <c r="B399" s="47"/>
      <c r="C399" s="9" t="s">
        <v>11</v>
      </c>
      <c r="D399" s="8" t="str">
        <f t="shared" si="1"/>
        <v>-</v>
      </c>
      <c r="E399" s="9"/>
      <c r="F399" s="10"/>
      <c r="G399" s="9"/>
      <c r="H399" s="11"/>
      <c r="I399" s="9" t="s">
        <v>13</v>
      </c>
      <c r="J399" s="44"/>
    </row>
    <row r="400">
      <c r="A400" s="42" t="s">
        <v>330</v>
      </c>
      <c r="B400" s="47"/>
      <c r="C400" s="9" t="s">
        <v>11</v>
      </c>
      <c r="D400" s="8" t="str">
        <f t="shared" si="1"/>
        <v>-</v>
      </c>
      <c r="E400" s="9"/>
      <c r="F400" s="10"/>
      <c r="G400" s="9"/>
      <c r="H400" s="11"/>
      <c r="I400" s="9" t="s">
        <v>13</v>
      </c>
      <c r="J400" s="44"/>
    </row>
    <row r="401">
      <c r="A401" s="42" t="s">
        <v>330</v>
      </c>
      <c r="B401" s="47"/>
      <c r="C401" s="9" t="s">
        <v>11</v>
      </c>
      <c r="D401" s="8" t="str">
        <f t="shared" si="1"/>
        <v>-</v>
      </c>
      <c r="E401" s="9"/>
      <c r="F401" s="10"/>
      <c r="G401" s="9"/>
      <c r="H401" s="11"/>
      <c r="I401" s="9" t="s">
        <v>13</v>
      </c>
      <c r="J401" s="44"/>
    </row>
    <row r="402">
      <c r="A402" s="42" t="s">
        <v>330</v>
      </c>
      <c r="B402" s="47"/>
      <c r="C402" s="9" t="s">
        <v>11</v>
      </c>
      <c r="D402" s="8" t="str">
        <f t="shared" si="1"/>
        <v>-</v>
      </c>
      <c r="E402" s="9"/>
      <c r="F402" s="10"/>
      <c r="G402" s="9"/>
      <c r="H402" s="11"/>
      <c r="I402" s="9" t="s">
        <v>13</v>
      </c>
      <c r="J402" s="44"/>
    </row>
    <row r="403">
      <c r="A403" s="42" t="s">
        <v>330</v>
      </c>
      <c r="B403" s="47"/>
      <c r="C403" s="9" t="s">
        <v>11</v>
      </c>
      <c r="D403" s="8" t="str">
        <f t="shared" si="1"/>
        <v>-</v>
      </c>
      <c r="E403" s="9"/>
      <c r="F403" s="10"/>
      <c r="G403" s="9"/>
      <c r="H403" s="11"/>
      <c r="I403" s="9" t="s">
        <v>13</v>
      </c>
      <c r="J403" s="44"/>
    </row>
    <row r="404">
      <c r="A404" s="42" t="s">
        <v>330</v>
      </c>
      <c r="B404" s="47"/>
      <c r="C404" s="9" t="s">
        <v>11</v>
      </c>
      <c r="D404" s="8" t="str">
        <f t="shared" si="1"/>
        <v>-</v>
      </c>
      <c r="E404" s="9"/>
      <c r="F404" s="10"/>
      <c r="G404" s="9"/>
      <c r="H404" s="11"/>
      <c r="I404" s="9" t="s">
        <v>13</v>
      </c>
      <c r="J404" s="44"/>
    </row>
    <row r="405">
      <c r="A405" s="42" t="s">
        <v>330</v>
      </c>
      <c r="B405" s="47"/>
      <c r="C405" s="9" t="s">
        <v>11</v>
      </c>
      <c r="D405" s="8" t="str">
        <f t="shared" si="1"/>
        <v>-</v>
      </c>
      <c r="E405" s="9"/>
      <c r="F405" s="10"/>
      <c r="G405" s="9"/>
      <c r="H405" s="11"/>
      <c r="I405" s="9" t="s">
        <v>13</v>
      </c>
      <c r="J405" s="44"/>
    </row>
    <row r="406">
      <c r="A406" s="42" t="s">
        <v>330</v>
      </c>
      <c r="B406" s="47"/>
      <c r="C406" s="9" t="s">
        <v>11</v>
      </c>
      <c r="D406" s="8" t="str">
        <f t="shared" si="1"/>
        <v>-</v>
      </c>
      <c r="E406" s="9"/>
      <c r="F406" s="10"/>
      <c r="G406" s="9"/>
      <c r="H406" s="11"/>
      <c r="I406" s="9" t="s">
        <v>13</v>
      </c>
      <c r="J406" s="44"/>
    </row>
    <row r="407">
      <c r="A407" s="42" t="s">
        <v>330</v>
      </c>
      <c r="B407" s="47"/>
      <c r="C407" s="9" t="s">
        <v>11</v>
      </c>
      <c r="D407" s="8" t="str">
        <f t="shared" si="1"/>
        <v>-</v>
      </c>
      <c r="E407" s="9"/>
      <c r="F407" s="10"/>
      <c r="G407" s="9"/>
      <c r="H407" s="11"/>
      <c r="I407" s="9" t="s">
        <v>13</v>
      </c>
      <c r="J407" s="44"/>
    </row>
    <row r="408">
      <c r="A408" s="42" t="s">
        <v>330</v>
      </c>
      <c r="B408" s="47"/>
      <c r="C408" s="9" t="s">
        <v>11</v>
      </c>
      <c r="D408" s="8" t="str">
        <f t="shared" si="1"/>
        <v>-</v>
      </c>
      <c r="E408" s="9"/>
      <c r="F408" s="10"/>
      <c r="G408" s="9"/>
      <c r="H408" s="11"/>
      <c r="I408" s="9" t="s">
        <v>13</v>
      </c>
      <c r="J408" s="44"/>
    </row>
    <row r="409">
      <c r="A409" s="42" t="s">
        <v>330</v>
      </c>
      <c r="B409" s="47"/>
      <c r="C409" s="9" t="s">
        <v>11</v>
      </c>
      <c r="D409" s="8" t="str">
        <f t="shared" si="1"/>
        <v>-</v>
      </c>
      <c r="E409" s="9"/>
      <c r="F409" s="10"/>
      <c r="G409" s="9"/>
      <c r="H409" s="11"/>
      <c r="I409" s="9" t="s">
        <v>13</v>
      </c>
      <c r="J409" s="44"/>
    </row>
    <row r="410">
      <c r="A410" s="42" t="s">
        <v>330</v>
      </c>
      <c r="B410" s="47"/>
      <c r="C410" s="9" t="s">
        <v>11</v>
      </c>
      <c r="D410" s="8" t="str">
        <f t="shared" si="1"/>
        <v>-</v>
      </c>
      <c r="E410" s="9"/>
      <c r="F410" s="10"/>
      <c r="G410" s="9"/>
      <c r="H410" s="11"/>
      <c r="I410" s="9" t="s">
        <v>13</v>
      </c>
      <c r="J410" s="44"/>
    </row>
    <row r="411">
      <c r="A411" s="42" t="s">
        <v>330</v>
      </c>
      <c r="B411" s="47"/>
      <c r="C411" s="9" t="s">
        <v>11</v>
      </c>
      <c r="D411" s="8" t="str">
        <f t="shared" si="1"/>
        <v>-</v>
      </c>
      <c r="E411" s="9"/>
      <c r="F411" s="10"/>
      <c r="G411" s="9"/>
      <c r="H411" s="11"/>
      <c r="I411" s="9" t="s">
        <v>13</v>
      </c>
      <c r="J411" s="44"/>
    </row>
    <row r="412">
      <c r="A412" s="42" t="s">
        <v>330</v>
      </c>
      <c r="B412" s="47"/>
      <c r="C412" s="9" t="s">
        <v>11</v>
      </c>
      <c r="D412" s="8" t="str">
        <f t="shared" si="1"/>
        <v>-</v>
      </c>
      <c r="E412" s="9"/>
      <c r="F412" s="10"/>
      <c r="G412" s="9"/>
      <c r="H412" s="11"/>
      <c r="I412" s="9" t="s">
        <v>13</v>
      </c>
      <c r="J412" s="44"/>
    </row>
    <row r="413">
      <c r="A413" s="42" t="s">
        <v>330</v>
      </c>
      <c r="B413" s="47"/>
      <c r="C413" s="9" t="s">
        <v>11</v>
      </c>
      <c r="D413" s="8" t="str">
        <f t="shared" si="1"/>
        <v>-</v>
      </c>
      <c r="E413" s="9"/>
      <c r="F413" s="10"/>
      <c r="G413" s="9"/>
      <c r="H413" s="11"/>
      <c r="I413" s="9" t="s">
        <v>13</v>
      </c>
      <c r="J413" s="44"/>
    </row>
    <row r="414">
      <c r="A414" s="42" t="s">
        <v>330</v>
      </c>
      <c r="B414" s="47"/>
      <c r="C414" s="9" t="s">
        <v>11</v>
      </c>
      <c r="D414" s="8" t="str">
        <f t="shared" si="1"/>
        <v>-</v>
      </c>
      <c r="E414" s="9"/>
      <c r="F414" s="10"/>
      <c r="G414" s="9"/>
      <c r="H414" s="11"/>
      <c r="I414" s="9" t="s">
        <v>13</v>
      </c>
      <c r="J414" s="44"/>
    </row>
    <row r="415">
      <c r="A415" s="42" t="s">
        <v>330</v>
      </c>
      <c r="B415" s="47"/>
      <c r="C415" s="9" t="s">
        <v>11</v>
      </c>
      <c r="D415" s="8" t="str">
        <f t="shared" si="1"/>
        <v>-</v>
      </c>
      <c r="E415" s="9"/>
      <c r="F415" s="10"/>
      <c r="G415" s="9"/>
      <c r="H415" s="11"/>
      <c r="I415" s="9" t="s">
        <v>13</v>
      </c>
      <c r="J415" s="44"/>
    </row>
    <row r="416">
      <c r="A416" s="42" t="s">
        <v>330</v>
      </c>
      <c r="B416" s="47"/>
      <c r="C416" s="9" t="s">
        <v>11</v>
      </c>
      <c r="D416" s="8" t="str">
        <f t="shared" si="1"/>
        <v>-</v>
      </c>
      <c r="E416" s="9"/>
      <c r="F416" s="10"/>
      <c r="G416" s="9"/>
      <c r="H416" s="11"/>
      <c r="I416" s="9" t="s">
        <v>13</v>
      </c>
      <c r="J416" s="44"/>
    </row>
    <row r="417">
      <c r="A417" s="42" t="s">
        <v>330</v>
      </c>
      <c r="B417" s="47"/>
      <c r="C417" s="9" t="s">
        <v>11</v>
      </c>
      <c r="D417" s="8" t="str">
        <f t="shared" si="1"/>
        <v>-</v>
      </c>
      <c r="E417" s="9"/>
      <c r="F417" s="10"/>
      <c r="G417" s="9"/>
      <c r="H417" s="11"/>
      <c r="I417" s="9" t="s">
        <v>13</v>
      </c>
      <c r="J417" s="44"/>
    </row>
    <row r="418">
      <c r="A418" s="42" t="s">
        <v>330</v>
      </c>
      <c r="B418" s="47"/>
      <c r="C418" s="9" t="s">
        <v>11</v>
      </c>
      <c r="D418" s="8" t="str">
        <f t="shared" si="1"/>
        <v>-</v>
      </c>
      <c r="E418" s="9"/>
      <c r="F418" s="10"/>
      <c r="G418" s="9"/>
      <c r="H418" s="11"/>
      <c r="I418" s="9" t="s">
        <v>13</v>
      </c>
      <c r="J418" s="44"/>
    </row>
    <row r="419">
      <c r="A419" s="42" t="s">
        <v>330</v>
      </c>
      <c r="B419" s="47"/>
      <c r="C419" s="9" t="s">
        <v>11</v>
      </c>
      <c r="D419" s="8" t="str">
        <f t="shared" si="1"/>
        <v>-</v>
      </c>
      <c r="E419" s="9"/>
      <c r="F419" s="10"/>
      <c r="G419" s="9"/>
      <c r="H419" s="11"/>
      <c r="I419" s="9" t="s">
        <v>13</v>
      </c>
      <c r="J419" s="44"/>
    </row>
    <row r="420">
      <c r="A420" s="42" t="s">
        <v>330</v>
      </c>
      <c r="B420" s="47"/>
      <c r="C420" s="9" t="s">
        <v>11</v>
      </c>
      <c r="D420" s="8" t="str">
        <f t="shared" si="1"/>
        <v>-</v>
      </c>
      <c r="E420" s="9"/>
      <c r="F420" s="10"/>
      <c r="G420" s="9"/>
      <c r="H420" s="11"/>
      <c r="I420" s="9" t="s">
        <v>13</v>
      </c>
      <c r="J420" s="44"/>
    </row>
    <row r="421">
      <c r="A421" s="42" t="s">
        <v>330</v>
      </c>
      <c r="B421" s="47"/>
      <c r="C421" s="9" t="s">
        <v>11</v>
      </c>
      <c r="D421" s="8" t="str">
        <f t="shared" si="1"/>
        <v>-</v>
      </c>
      <c r="E421" s="9"/>
      <c r="F421" s="10"/>
      <c r="G421" s="9"/>
      <c r="H421" s="11"/>
      <c r="I421" s="9" t="s">
        <v>13</v>
      </c>
      <c r="J421" s="44"/>
    </row>
    <row r="422">
      <c r="A422" s="42" t="s">
        <v>330</v>
      </c>
      <c r="B422" s="47"/>
      <c r="C422" s="9" t="s">
        <v>11</v>
      </c>
      <c r="D422" s="8" t="str">
        <f t="shared" si="1"/>
        <v>-</v>
      </c>
      <c r="E422" s="9"/>
      <c r="F422" s="10"/>
      <c r="G422" s="9"/>
      <c r="H422" s="11"/>
      <c r="I422" s="9" t="s">
        <v>13</v>
      </c>
      <c r="J422" s="44"/>
    </row>
    <row r="423">
      <c r="A423" s="42" t="s">
        <v>330</v>
      </c>
      <c r="B423" s="47"/>
      <c r="C423" s="9" t="s">
        <v>11</v>
      </c>
      <c r="D423" s="8" t="str">
        <f t="shared" si="1"/>
        <v>-</v>
      </c>
      <c r="E423" s="9"/>
      <c r="F423" s="10"/>
      <c r="G423" s="9"/>
      <c r="H423" s="11"/>
      <c r="I423" s="9" t="s">
        <v>13</v>
      </c>
      <c r="J423" s="44"/>
    </row>
    <row r="424">
      <c r="A424" s="42" t="s">
        <v>330</v>
      </c>
      <c r="B424" s="47"/>
      <c r="C424" s="9" t="s">
        <v>11</v>
      </c>
      <c r="D424" s="8" t="str">
        <f t="shared" si="1"/>
        <v>-</v>
      </c>
      <c r="E424" s="9"/>
      <c r="F424" s="10"/>
      <c r="G424" s="9"/>
      <c r="H424" s="11"/>
      <c r="I424" s="9" t="s">
        <v>13</v>
      </c>
      <c r="J424" s="44"/>
    </row>
    <row r="425">
      <c r="A425" s="42" t="s">
        <v>330</v>
      </c>
      <c r="B425" s="47"/>
      <c r="C425" s="9" t="s">
        <v>11</v>
      </c>
      <c r="D425" s="8" t="str">
        <f t="shared" si="1"/>
        <v>-</v>
      </c>
      <c r="E425" s="9"/>
      <c r="F425" s="10"/>
      <c r="G425" s="9"/>
      <c r="H425" s="11"/>
      <c r="I425" s="9" t="s">
        <v>13</v>
      </c>
      <c r="J425" s="44"/>
    </row>
    <row r="426">
      <c r="A426" s="42" t="s">
        <v>330</v>
      </c>
      <c r="B426" s="47"/>
      <c r="C426" s="9" t="s">
        <v>11</v>
      </c>
      <c r="D426" s="8" t="str">
        <f t="shared" si="1"/>
        <v>-</v>
      </c>
      <c r="E426" s="9"/>
      <c r="F426" s="10"/>
      <c r="G426" s="9"/>
      <c r="H426" s="11"/>
      <c r="I426" s="9" t="s">
        <v>13</v>
      </c>
      <c r="J426" s="44"/>
    </row>
    <row r="427">
      <c r="A427" s="42" t="s">
        <v>330</v>
      </c>
      <c r="B427" s="47"/>
      <c r="C427" s="9" t="s">
        <v>11</v>
      </c>
      <c r="D427" s="8" t="str">
        <f t="shared" si="1"/>
        <v>-</v>
      </c>
      <c r="E427" s="9"/>
      <c r="F427" s="10"/>
      <c r="G427" s="9"/>
      <c r="H427" s="11"/>
      <c r="I427" s="9" t="s">
        <v>13</v>
      </c>
      <c r="J427" s="44"/>
    </row>
    <row r="428">
      <c r="A428" s="42" t="s">
        <v>330</v>
      </c>
      <c r="B428" s="47"/>
      <c r="C428" s="9" t="s">
        <v>11</v>
      </c>
      <c r="D428" s="8" t="str">
        <f t="shared" si="1"/>
        <v>-</v>
      </c>
      <c r="E428" s="9"/>
      <c r="F428" s="10"/>
      <c r="G428" s="9"/>
      <c r="H428" s="11"/>
      <c r="I428" s="9" t="s">
        <v>13</v>
      </c>
      <c r="J428" s="44"/>
    </row>
    <row r="429">
      <c r="A429" s="42" t="s">
        <v>330</v>
      </c>
      <c r="B429" s="47"/>
      <c r="C429" s="9" t="s">
        <v>11</v>
      </c>
      <c r="D429" s="8" t="str">
        <f t="shared" si="1"/>
        <v>-</v>
      </c>
      <c r="E429" s="9"/>
      <c r="F429" s="10"/>
      <c r="G429" s="9"/>
      <c r="H429" s="11"/>
      <c r="I429" s="9" t="s">
        <v>13</v>
      </c>
      <c r="J429" s="44"/>
    </row>
    <row r="430">
      <c r="A430" s="42" t="s">
        <v>330</v>
      </c>
      <c r="B430" s="47"/>
      <c r="C430" s="9" t="s">
        <v>11</v>
      </c>
      <c r="D430" s="8" t="str">
        <f t="shared" si="1"/>
        <v>-</v>
      </c>
      <c r="E430" s="9"/>
      <c r="F430" s="10"/>
      <c r="G430" s="9"/>
      <c r="H430" s="11"/>
      <c r="I430" s="9" t="s">
        <v>13</v>
      </c>
      <c r="J430" s="44"/>
    </row>
    <row r="431">
      <c r="A431" s="42" t="s">
        <v>330</v>
      </c>
      <c r="B431" s="47"/>
      <c r="C431" s="9" t="s">
        <v>11</v>
      </c>
      <c r="D431" s="8" t="str">
        <f t="shared" si="1"/>
        <v>-</v>
      </c>
      <c r="E431" s="9"/>
      <c r="F431" s="10"/>
      <c r="G431" s="9"/>
      <c r="H431" s="11"/>
      <c r="I431" s="9" t="s">
        <v>13</v>
      </c>
      <c r="J431" s="44"/>
    </row>
    <row r="432">
      <c r="A432" s="42" t="s">
        <v>330</v>
      </c>
      <c r="B432" s="47"/>
      <c r="C432" s="9" t="s">
        <v>11</v>
      </c>
      <c r="D432" s="8" t="str">
        <f t="shared" si="1"/>
        <v>-</v>
      </c>
      <c r="E432" s="9"/>
      <c r="F432" s="10"/>
      <c r="G432" s="9"/>
      <c r="H432" s="11"/>
      <c r="I432" s="9" t="s">
        <v>13</v>
      </c>
      <c r="J432" s="44"/>
    </row>
    <row r="433">
      <c r="A433" s="42" t="s">
        <v>330</v>
      </c>
      <c r="B433" s="47"/>
      <c r="C433" s="9" t="s">
        <v>11</v>
      </c>
      <c r="D433" s="8" t="str">
        <f t="shared" si="1"/>
        <v>-</v>
      </c>
      <c r="E433" s="9"/>
      <c r="F433" s="10"/>
      <c r="G433" s="9"/>
      <c r="H433" s="11"/>
      <c r="I433" s="9" t="s">
        <v>13</v>
      </c>
      <c r="J433" s="44"/>
    </row>
    <row r="434">
      <c r="A434" s="42" t="s">
        <v>330</v>
      </c>
      <c r="B434" s="47"/>
      <c r="C434" s="9" t="s">
        <v>11</v>
      </c>
      <c r="D434" s="8" t="str">
        <f t="shared" si="1"/>
        <v>-</v>
      </c>
      <c r="E434" s="9"/>
      <c r="F434" s="10"/>
      <c r="G434" s="9"/>
      <c r="H434" s="11"/>
      <c r="I434" s="9" t="s">
        <v>13</v>
      </c>
      <c r="J434" s="44"/>
    </row>
    <row r="435">
      <c r="A435" s="42" t="s">
        <v>330</v>
      </c>
      <c r="B435" s="47"/>
      <c r="C435" s="9" t="s">
        <v>11</v>
      </c>
      <c r="D435" s="8" t="str">
        <f t="shared" si="1"/>
        <v>-</v>
      </c>
      <c r="E435" s="9"/>
      <c r="F435" s="10"/>
      <c r="G435" s="9"/>
      <c r="H435" s="11"/>
      <c r="I435" s="9" t="s">
        <v>13</v>
      </c>
      <c r="J435" s="44"/>
    </row>
    <row r="436">
      <c r="A436" s="42" t="s">
        <v>330</v>
      </c>
      <c r="B436" s="47"/>
      <c r="C436" s="9" t="s">
        <v>11</v>
      </c>
      <c r="D436" s="8" t="str">
        <f t="shared" si="1"/>
        <v>-</v>
      </c>
      <c r="E436" s="9"/>
      <c r="F436" s="10"/>
      <c r="G436" s="9"/>
      <c r="H436" s="11"/>
      <c r="I436" s="9" t="s">
        <v>13</v>
      </c>
      <c r="J436" s="44"/>
    </row>
    <row r="437">
      <c r="A437" s="42" t="s">
        <v>330</v>
      </c>
      <c r="B437" s="47"/>
      <c r="C437" s="9" t="s">
        <v>11</v>
      </c>
      <c r="D437" s="8" t="str">
        <f t="shared" si="1"/>
        <v>-</v>
      </c>
      <c r="E437" s="9"/>
      <c r="F437" s="10"/>
      <c r="G437" s="9"/>
      <c r="H437" s="11"/>
      <c r="I437" s="9" t="s">
        <v>13</v>
      </c>
      <c r="J437" s="44"/>
    </row>
    <row r="438">
      <c r="A438" s="42" t="s">
        <v>330</v>
      </c>
      <c r="B438" s="47"/>
      <c r="C438" s="9" t="s">
        <v>11</v>
      </c>
      <c r="D438" s="8" t="str">
        <f t="shared" si="1"/>
        <v>-</v>
      </c>
      <c r="E438" s="9"/>
      <c r="F438" s="10"/>
      <c r="G438" s="9"/>
      <c r="H438" s="11"/>
      <c r="I438" s="9" t="s">
        <v>13</v>
      </c>
      <c r="J438" s="44"/>
    </row>
    <row r="439">
      <c r="A439" s="42" t="s">
        <v>330</v>
      </c>
      <c r="B439" s="47"/>
      <c r="C439" s="9" t="s">
        <v>11</v>
      </c>
      <c r="D439" s="8" t="str">
        <f t="shared" si="1"/>
        <v>-</v>
      </c>
      <c r="E439" s="9"/>
      <c r="F439" s="10"/>
      <c r="G439" s="9"/>
      <c r="H439" s="11"/>
      <c r="I439" s="9" t="s">
        <v>13</v>
      </c>
      <c r="J439" s="44"/>
    </row>
    <row r="440">
      <c r="A440" s="42" t="s">
        <v>330</v>
      </c>
      <c r="B440" s="47"/>
      <c r="C440" s="9" t="s">
        <v>11</v>
      </c>
      <c r="D440" s="8" t="str">
        <f t="shared" si="1"/>
        <v>-</v>
      </c>
      <c r="E440" s="9"/>
      <c r="F440" s="10"/>
      <c r="G440" s="9"/>
      <c r="H440" s="11"/>
      <c r="I440" s="9" t="s">
        <v>13</v>
      </c>
      <c r="J440" s="44"/>
    </row>
    <row r="441">
      <c r="A441" s="42" t="s">
        <v>330</v>
      </c>
      <c r="B441" s="47"/>
      <c r="C441" s="9" t="s">
        <v>11</v>
      </c>
      <c r="D441" s="8" t="str">
        <f t="shared" si="1"/>
        <v>-</v>
      </c>
      <c r="E441" s="9"/>
      <c r="F441" s="10"/>
      <c r="G441" s="9"/>
      <c r="H441" s="11"/>
      <c r="I441" s="9" t="s">
        <v>13</v>
      </c>
      <c r="J441" s="44"/>
    </row>
    <row r="442">
      <c r="A442" s="42" t="s">
        <v>330</v>
      </c>
      <c r="B442" s="47"/>
      <c r="C442" s="9" t="s">
        <v>11</v>
      </c>
      <c r="D442" s="8" t="str">
        <f t="shared" si="1"/>
        <v>-</v>
      </c>
      <c r="E442" s="9"/>
      <c r="F442" s="10"/>
      <c r="G442" s="9"/>
      <c r="H442" s="11"/>
      <c r="I442" s="9" t="s">
        <v>13</v>
      </c>
      <c r="J442" s="44"/>
    </row>
    <row r="443">
      <c r="A443" s="42" t="s">
        <v>330</v>
      </c>
      <c r="B443" s="47"/>
      <c r="C443" s="9" t="s">
        <v>11</v>
      </c>
      <c r="D443" s="8" t="str">
        <f t="shared" si="1"/>
        <v>-</v>
      </c>
      <c r="E443" s="9"/>
      <c r="F443" s="10"/>
      <c r="G443" s="9"/>
      <c r="H443" s="11"/>
      <c r="I443" s="9" t="s">
        <v>13</v>
      </c>
      <c r="J443" s="44"/>
    </row>
    <row r="444">
      <c r="A444" s="42" t="s">
        <v>330</v>
      </c>
      <c r="B444" s="47"/>
      <c r="C444" s="9" t="s">
        <v>11</v>
      </c>
      <c r="D444" s="8" t="str">
        <f t="shared" si="1"/>
        <v>-</v>
      </c>
      <c r="E444" s="9"/>
      <c r="F444" s="10"/>
      <c r="G444" s="9"/>
      <c r="H444" s="11"/>
      <c r="I444" s="9" t="s">
        <v>13</v>
      </c>
      <c r="J444" s="44"/>
    </row>
    <row r="445">
      <c r="A445" s="42" t="s">
        <v>330</v>
      </c>
      <c r="B445" s="47"/>
      <c r="C445" s="9" t="s">
        <v>11</v>
      </c>
      <c r="D445" s="8" t="str">
        <f t="shared" si="1"/>
        <v>-</v>
      </c>
      <c r="E445" s="9"/>
      <c r="F445" s="10"/>
      <c r="G445" s="9"/>
      <c r="H445" s="11"/>
      <c r="I445" s="9" t="s">
        <v>13</v>
      </c>
      <c r="J445" s="44"/>
    </row>
    <row r="446">
      <c r="A446" s="42" t="s">
        <v>330</v>
      </c>
      <c r="B446" s="47"/>
      <c r="C446" s="9" t="s">
        <v>11</v>
      </c>
      <c r="D446" s="8" t="str">
        <f t="shared" si="1"/>
        <v>-</v>
      </c>
      <c r="E446" s="9"/>
      <c r="F446" s="10"/>
      <c r="G446" s="9"/>
      <c r="H446" s="11"/>
      <c r="I446" s="9" t="s">
        <v>13</v>
      </c>
      <c r="J446" s="44"/>
    </row>
    <row r="447">
      <c r="A447" s="42" t="s">
        <v>330</v>
      </c>
      <c r="B447" s="47"/>
      <c r="C447" s="9" t="s">
        <v>11</v>
      </c>
      <c r="D447" s="8" t="str">
        <f t="shared" si="1"/>
        <v>-</v>
      </c>
      <c r="E447" s="9"/>
      <c r="F447" s="10"/>
      <c r="G447" s="9"/>
      <c r="H447" s="11"/>
      <c r="I447" s="9" t="s">
        <v>13</v>
      </c>
      <c r="J447" s="44"/>
    </row>
    <row r="448">
      <c r="A448" s="42" t="s">
        <v>330</v>
      </c>
      <c r="B448" s="47"/>
      <c r="C448" s="9" t="s">
        <v>11</v>
      </c>
      <c r="D448" s="8" t="str">
        <f t="shared" si="1"/>
        <v>-</v>
      </c>
      <c r="E448" s="9"/>
      <c r="F448" s="10"/>
      <c r="G448" s="9"/>
      <c r="H448" s="11"/>
      <c r="I448" s="9" t="s">
        <v>13</v>
      </c>
      <c r="J448" s="44"/>
    </row>
    <row r="449">
      <c r="A449" s="42" t="s">
        <v>330</v>
      </c>
      <c r="B449" s="47"/>
      <c r="C449" s="9" t="s">
        <v>11</v>
      </c>
      <c r="D449" s="8" t="str">
        <f t="shared" si="1"/>
        <v>-</v>
      </c>
      <c r="E449" s="9"/>
      <c r="F449" s="10"/>
      <c r="G449" s="9"/>
      <c r="H449" s="11"/>
      <c r="I449" s="9" t="s">
        <v>13</v>
      </c>
      <c r="J449" s="44"/>
    </row>
    <row r="450">
      <c r="A450" s="42" t="s">
        <v>330</v>
      </c>
      <c r="B450" s="47"/>
      <c r="C450" s="9" t="s">
        <v>11</v>
      </c>
      <c r="D450" s="8" t="str">
        <f t="shared" si="1"/>
        <v>-</v>
      </c>
      <c r="E450" s="9"/>
      <c r="F450" s="10"/>
      <c r="G450" s="9"/>
      <c r="H450" s="11"/>
      <c r="I450" s="9" t="s">
        <v>13</v>
      </c>
      <c r="J450" s="44"/>
    </row>
    <row r="451">
      <c r="A451" s="42" t="s">
        <v>330</v>
      </c>
      <c r="B451" s="47"/>
      <c r="C451" s="9" t="s">
        <v>11</v>
      </c>
      <c r="D451" s="8" t="str">
        <f t="shared" si="1"/>
        <v>-</v>
      </c>
      <c r="E451" s="9"/>
      <c r="F451" s="10"/>
      <c r="G451" s="9"/>
      <c r="H451" s="11"/>
      <c r="I451" s="9" t="s">
        <v>13</v>
      </c>
      <c r="J451" s="44"/>
    </row>
    <row r="452">
      <c r="A452" s="42" t="s">
        <v>330</v>
      </c>
      <c r="B452" s="47"/>
      <c r="C452" s="9" t="s">
        <v>11</v>
      </c>
      <c r="D452" s="8" t="str">
        <f t="shared" si="1"/>
        <v>-</v>
      </c>
      <c r="E452" s="9"/>
      <c r="F452" s="10"/>
      <c r="G452" s="9"/>
      <c r="H452" s="11"/>
      <c r="I452" s="9" t="s">
        <v>13</v>
      </c>
      <c r="J452" s="44"/>
    </row>
    <row r="453">
      <c r="A453" s="42" t="s">
        <v>330</v>
      </c>
      <c r="B453" s="47"/>
      <c r="C453" s="9" t="s">
        <v>11</v>
      </c>
      <c r="D453" s="8" t="str">
        <f t="shared" si="1"/>
        <v>-</v>
      </c>
      <c r="E453" s="9"/>
      <c r="F453" s="10"/>
      <c r="G453" s="9"/>
      <c r="H453" s="11"/>
      <c r="I453" s="9" t="s">
        <v>13</v>
      </c>
      <c r="J453" s="44"/>
    </row>
    <row r="454">
      <c r="A454" s="42" t="s">
        <v>330</v>
      </c>
      <c r="B454" s="47"/>
      <c r="C454" s="9" t="s">
        <v>11</v>
      </c>
      <c r="D454" s="8" t="str">
        <f t="shared" si="1"/>
        <v>-</v>
      </c>
      <c r="E454" s="9"/>
      <c r="F454" s="10"/>
      <c r="G454" s="9"/>
      <c r="H454" s="11"/>
      <c r="I454" s="9" t="s">
        <v>13</v>
      </c>
      <c r="J454" s="44"/>
    </row>
    <row r="455">
      <c r="A455" s="42" t="s">
        <v>330</v>
      </c>
      <c r="B455" s="47"/>
      <c r="C455" s="9" t="s">
        <v>11</v>
      </c>
      <c r="D455" s="8" t="str">
        <f t="shared" si="1"/>
        <v>-</v>
      </c>
      <c r="E455" s="9"/>
      <c r="F455" s="10"/>
      <c r="G455" s="9"/>
      <c r="H455" s="11"/>
      <c r="I455" s="9" t="s">
        <v>13</v>
      </c>
      <c r="J455" s="44"/>
    </row>
    <row r="456">
      <c r="A456" s="42" t="s">
        <v>330</v>
      </c>
      <c r="B456" s="47"/>
      <c r="C456" s="9" t="s">
        <v>11</v>
      </c>
      <c r="D456" s="8" t="str">
        <f t="shared" si="1"/>
        <v>-</v>
      </c>
      <c r="E456" s="9"/>
      <c r="F456" s="10"/>
      <c r="G456" s="9"/>
      <c r="H456" s="11"/>
      <c r="I456" s="9" t="s">
        <v>13</v>
      </c>
      <c r="J456" s="44"/>
    </row>
    <row r="457">
      <c r="A457" s="42" t="s">
        <v>330</v>
      </c>
      <c r="B457" s="47"/>
      <c r="C457" s="9" t="s">
        <v>11</v>
      </c>
      <c r="D457" s="8" t="str">
        <f t="shared" si="1"/>
        <v>-</v>
      </c>
      <c r="E457" s="9"/>
      <c r="F457" s="10"/>
      <c r="G457" s="9"/>
      <c r="H457" s="11"/>
      <c r="I457" s="9" t="s">
        <v>13</v>
      </c>
      <c r="J457" s="44"/>
    </row>
    <row r="458">
      <c r="A458" s="42" t="s">
        <v>330</v>
      </c>
      <c r="B458" s="47"/>
      <c r="C458" s="9" t="s">
        <v>11</v>
      </c>
      <c r="D458" s="8" t="str">
        <f t="shared" si="1"/>
        <v>-</v>
      </c>
      <c r="E458" s="9"/>
      <c r="F458" s="10"/>
      <c r="G458" s="9"/>
      <c r="H458" s="11"/>
      <c r="I458" s="9" t="s">
        <v>13</v>
      </c>
      <c r="J458" s="44"/>
    </row>
    <row r="459">
      <c r="A459" s="42" t="s">
        <v>330</v>
      </c>
      <c r="B459" s="47"/>
      <c r="C459" s="9" t="s">
        <v>11</v>
      </c>
      <c r="D459" s="8" t="str">
        <f t="shared" si="1"/>
        <v>-</v>
      </c>
      <c r="E459" s="9"/>
      <c r="F459" s="10"/>
      <c r="G459" s="9"/>
      <c r="H459" s="11"/>
      <c r="I459" s="9" t="s">
        <v>13</v>
      </c>
      <c r="J459" s="44"/>
    </row>
    <row r="460">
      <c r="A460" s="42" t="s">
        <v>330</v>
      </c>
      <c r="B460" s="47"/>
      <c r="C460" s="9" t="s">
        <v>11</v>
      </c>
      <c r="D460" s="8" t="str">
        <f t="shared" si="1"/>
        <v>-</v>
      </c>
      <c r="E460" s="9"/>
      <c r="F460" s="10"/>
      <c r="G460" s="9"/>
      <c r="H460" s="11"/>
      <c r="I460" s="9" t="s">
        <v>13</v>
      </c>
      <c r="J460" s="44"/>
    </row>
    <row r="461">
      <c r="A461" s="42" t="s">
        <v>330</v>
      </c>
      <c r="B461" s="47"/>
      <c r="C461" s="9" t="s">
        <v>11</v>
      </c>
      <c r="D461" s="8" t="str">
        <f t="shared" si="1"/>
        <v>-</v>
      </c>
      <c r="E461" s="9"/>
      <c r="F461" s="10"/>
      <c r="G461" s="9"/>
      <c r="H461" s="11"/>
      <c r="I461" s="9" t="s">
        <v>13</v>
      </c>
      <c r="J461" s="44"/>
    </row>
    <row r="462">
      <c r="A462" s="42" t="s">
        <v>330</v>
      </c>
      <c r="B462" s="47"/>
      <c r="C462" s="9" t="s">
        <v>11</v>
      </c>
      <c r="D462" s="8" t="str">
        <f t="shared" si="1"/>
        <v>-</v>
      </c>
      <c r="E462" s="9"/>
      <c r="F462" s="10"/>
      <c r="G462" s="9"/>
      <c r="H462" s="11"/>
      <c r="I462" s="9" t="s">
        <v>13</v>
      </c>
      <c r="J462" s="44"/>
    </row>
    <row r="463">
      <c r="A463" s="42" t="s">
        <v>330</v>
      </c>
      <c r="B463" s="47"/>
      <c r="C463" s="9" t="s">
        <v>11</v>
      </c>
      <c r="D463" s="8" t="str">
        <f t="shared" si="1"/>
        <v>-</v>
      </c>
      <c r="E463" s="9"/>
      <c r="F463" s="10"/>
      <c r="G463" s="9"/>
      <c r="H463" s="11"/>
      <c r="I463" s="9" t="s">
        <v>13</v>
      </c>
      <c r="J463" s="44"/>
    </row>
    <row r="464">
      <c r="A464" s="42" t="s">
        <v>330</v>
      </c>
      <c r="B464" s="47"/>
      <c r="C464" s="9" t="s">
        <v>11</v>
      </c>
      <c r="D464" s="8" t="str">
        <f t="shared" si="1"/>
        <v>-</v>
      </c>
      <c r="E464" s="9"/>
      <c r="F464" s="10"/>
      <c r="G464" s="9"/>
      <c r="H464" s="11"/>
      <c r="I464" s="9" t="s">
        <v>13</v>
      </c>
      <c r="J464" s="44"/>
    </row>
    <row r="465">
      <c r="A465" s="42" t="s">
        <v>330</v>
      </c>
      <c r="B465" s="47"/>
      <c r="C465" s="9" t="s">
        <v>11</v>
      </c>
      <c r="D465" s="8" t="str">
        <f t="shared" si="1"/>
        <v>-</v>
      </c>
      <c r="E465" s="9"/>
      <c r="F465" s="10"/>
      <c r="G465" s="9"/>
      <c r="H465" s="11"/>
      <c r="I465" s="9" t="s">
        <v>13</v>
      </c>
      <c r="J465" s="44"/>
    </row>
    <row r="466">
      <c r="A466" s="42" t="s">
        <v>330</v>
      </c>
      <c r="B466" s="47"/>
      <c r="C466" s="9" t="s">
        <v>11</v>
      </c>
      <c r="D466" s="8" t="str">
        <f t="shared" si="1"/>
        <v>-</v>
      </c>
      <c r="E466" s="9"/>
      <c r="F466" s="10"/>
      <c r="G466" s="9"/>
      <c r="H466" s="11"/>
      <c r="I466" s="9" t="s">
        <v>13</v>
      </c>
      <c r="J466" s="44"/>
    </row>
    <row r="467">
      <c r="A467" s="42" t="s">
        <v>330</v>
      </c>
      <c r="B467" s="47"/>
      <c r="C467" s="9" t="s">
        <v>11</v>
      </c>
      <c r="D467" s="8" t="str">
        <f t="shared" si="1"/>
        <v>-</v>
      </c>
      <c r="E467" s="9"/>
      <c r="F467" s="10"/>
      <c r="G467" s="9"/>
      <c r="H467" s="11"/>
      <c r="I467" s="9" t="s">
        <v>13</v>
      </c>
      <c r="J467" s="44"/>
    </row>
    <row r="468">
      <c r="A468" s="42" t="s">
        <v>330</v>
      </c>
      <c r="B468" s="47"/>
      <c r="C468" s="9" t="s">
        <v>11</v>
      </c>
      <c r="D468" s="8" t="str">
        <f t="shared" si="1"/>
        <v>-</v>
      </c>
      <c r="E468" s="9"/>
      <c r="F468" s="10"/>
      <c r="G468" s="9"/>
      <c r="H468" s="11"/>
      <c r="I468" s="9" t="s">
        <v>13</v>
      </c>
      <c r="J468" s="44"/>
    </row>
    <row r="469">
      <c r="A469" s="42" t="s">
        <v>330</v>
      </c>
      <c r="B469" s="47"/>
      <c r="C469" s="9" t="s">
        <v>11</v>
      </c>
      <c r="D469" s="8" t="str">
        <f t="shared" si="1"/>
        <v>-</v>
      </c>
      <c r="E469" s="9"/>
      <c r="F469" s="10"/>
      <c r="G469" s="9"/>
      <c r="H469" s="11"/>
      <c r="I469" s="9" t="s">
        <v>13</v>
      </c>
      <c r="J469" s="44"/>
    </row>
    <row r="470">
      <c r="A470" s="42" t="s">
        <v>330</v>
      </c>
      <c r="B470" s="47"/>
      <c r="C470" s="9" t="s">
        <v>11</v>
      </c>
      <c r="D470" s="8" t="str">
        <f t="shared" si="1"/>
        <v>-</v>
      </c>
      <c r="E470" s="9"/>
      <c r="F470" s="10"/>
      <c r="G470" s="9"/>
      <c r="H470" s="11"/>
      <c r="I470" s="9" t="s">
        <v>13</v>
      </c>
      <c r="J470" s="44"/>
    </row>
    <row r="471">
      <c r="A471" s="42" t="s">
        <v>330</v>
      </c>
      <c r="B471" s="47"/>
      <c r="C471" s="9" t="s">
        <v>11</v>
      </c>
      <c r="D471" s="8" t="str">
        <f t="shared" si="1"/>
        <v>-</v>
      </c>
      <c r="E471" s="9"/>
      <c r="F471" s="10"/>
      <c r="G471" s="9"/>
      <c r="H471" s="11"/>
      <c r="I471" s="9" t="s">
        <v>13</v>
      </c>
      <c r="J471" s="44"/>
    </row>
    <row r="472">
      <c r="A472" s="42" t="s">
        <v>330</v>
      </c>
      <c r="B472" s="47"/>
      <c r="C472" s="9" t="s">
        <v>11</v>
      </c>
      <c r="D472" s="8" t="str">
        <f t="shared" si="1"/>
        <v>-</v>
      </c>
      <c r="E472" s="9"/>
      <c r="F472" s="10"/>
      <c r="G472" s="9"/>
      <c r="H472" s="11"/>
      <c r="I472" s="9" t="s">
        <v>13</v>
      </c>
      <c r="J472" s="44"/>
    </row>
    <row r="473">
      <c r="A473" s="42" t="s">
        <v>330</v>
      </c>
      <c r="B473" s="47"/>
      <c r="C473" s="9" t="s">
        <v>11</v>
      </c>
      <c r="D473" s="8" t="str">
        <f t="shared" si="1"/>
        <v>-</v>
      </c>
      <c r="E473" s="9"/>
      <c r="F473" s="10"/>
      <c r="G473" s="9"/>
      <c r="H473" s="11"/>
      <c r="I473" s="9" t="s">
        <v>13</v>
      </c>
      <c r="J473" s="44"/>
    </row>
    <row r="474">
      <c r="A474" s="42" t="s">
        <v>330</v>
      </c>
      <c r="B474" s="47"/>
      <c r="C474" s="9" t="s">
        <v>11</v>
      </c>
      <c r="D474" s="8" t="str">
        <f t="shared" si="1"/>
        <v>-</v>
      </c>
      <c r="E474" s="9"/>
      <c r="F474" s="10"/>
      <c r="G474" s="9"/>
      <c r="H474" s="11"/>
      <c r="I474" s="9" t="s">
        <v>13</v>
      </c>
      <c r="J474" s="44"/>
    </row>
    <row r="475">
      <c r="A475" s="42" t="s">
        <v>330</v>
      </c>
      <c r="B475" s="47"/>
      <c r="C475" s="9" t="s">
        <v>11</v>
      </c>
      <c r="D475" s="8" t="str">
        <f t="shared" si="1"/>
        <v>-</v>
      </c>
      <c r="E475" s="9"/>
      <c r="F475" s="10"/>
      <c r="G475" s="9"/>
      <c r="H475" s="11"/>
      <c r="I475" s="9" t="s">
        <v>13</v>
      </c>
      <c r="J475" s="44"/>
    </row>
    <row r="476">
      <c r="A476" s="42" t="s">
        <v>330</v>
      </c>
      <c r="B476" s="47"/>
      <c r="C476" s="9" t="s">
        <v>11</v>
      </c>
      <c r="D476" s="8" t="str">
        <f t="shared" si="1"/>
        <v>-</v>
      </c>
      <c r="E476" s="9"/>
      <c r="F476" s="10"/>
      <c r="G476" s="9"/>
      <c r="H476" s="11"/>
      <c r="I476" s="9" t="s">
        <v>13</v>
      </c>
      <c r="J476" s="44"/>
    </row>
    <row r="477">
      <c r="A477" s="42" t="s">
        <v>330</v>
      </c>
      <c r="B477" s="47"/>
      <c r="C477" s="9" t="s">
        <v>11</v>
      </c>
      <c r="D477" s="8" t="str">
        <f t="shared" si="1"/>
        <v>-</v>
      </c>
      <c r="E477" s="9"/>
      <c r="F477" s="10"/>
      <c r="G477" s="9"/>
      <c r="H477" s="11"/>
      <c r="I477" s="9" t="s">
        <v>13</v>
      </c>
      <c r="J477" s="44"/>
    </row>
    <row r="478">
      <c r="A478" s="42" t="s">
        <v>330</v>
      </c>
      <c r="B478" s="47"/>
      <c r="C478" s="9" t="s">
        <v>11</v>
      </c>
      <c r="D478" s="8" t="str">
        <f t="shared" si="1"/>
        <v>-</v>
      </c>
      <c r="E478" s="9"/>
      <c r="F478" s="10"/>
      <c r="G478" s="9"/>
      <c r="H478" s="11"/>
      <c r="I478" s="9" t="s">
        <v>13</v>
      </c>
      <c r="J478" s="44"/>
    </row>
    <row r="479">
      <c r="A479" s="42" t="s">
        <v>330</v>
      </c>
      <c r="B479" s="47"/>
      <c r="C479" s="9" t="s">
        <v>11</v>
      </c>
      <c r="D479" s="8" t="str">
        <f t="shared" si="1"/>
        <v>-</v>
      </c>
      <c r="E479" s="9"/>
      <c r="F479" s="10"/>
      <c r="G479" s="9"/>
      <c r="H479" s="11"/>
      <c r="I479" s="9" t="s">
        <v>13</v>
      </c>
      <c r="J479" s="44"/>
    </row>
    <row r="480">
      <c r="A480" s="42" t="s">
        <v>330</v>
      </c>
      <c r="B480" s="47"/>
      <c r="C480" s="9" t="s">
        <v>11</v>
      </c>
      <c r="D480" s="8" t="str">
        <f t="shared" si="1"/>
        <v>-</v>
      </c>
      <c r="E480" s="9"/>
      <c r="F480" s="10"/>
      <c r="G480" s="9"/>
      <c r="H480" s="11"/>
      <c r="I480" s="9" t="s">
        <v>13</v>
      </c>
      <c r="J480" s="44"/>
    </row>
    <row r="481">
      <c r="A481" s="42" t="s">
        <v>330</v>
      </c>
      <c r="B481" s="47"/>
      <c r="C481" s="9" t="s">
        <v>11</v>
      </c>
      <c r="D481" s="8" t="str">
        <f t="shared" si="1"/>
        <v>-</v>
      </c>
      <c r="E481" s="9"/>
      <c r="F481" s="10"/>
      <c r="G481" s="9"/>
      <c r="H481" s="11"/>
      <c r="I481" s="9" t="s">
        <v>13</v>
      </c>
      <c r="J481" s="44"/>
    </row>
    <row r="482">
      <c r="A482" s="42" t="s">
        <v>330</v>
      </c>
      <c r="B482" s="47"/>
      <c r="C482" s="9" t="s">
        <v>11</v>
      </c>
      <c r="D482" s="8" t="str">
        <f t="shared" si="1"/>
        <v>-</v>
      </c>
      <c r="E482" s="9"/>
      <c r="F482" s="10"/>
      <c r="G482" s="9"/>
      <c r="H482" s="11"/>
      <c r="I482" s="9" t="s">
        <v>13</v>
      </c>
      <c r="J482" s="44"/>
    </row>
    <row r="483">
      <c r="A483" s="42" t="s">
        <v>330</v>
      </c>
      <c r="B483" s="47"/>
      <c r="C483" s="9" t="s">
        <v>11</v>
      </c>
      <c r="D483" s="8" t="str">
        <f t="shared" si="1"/>
        <v>-</v>
      </c>
      <c r="E483" s="9"/>
      <c r="F483" s="10"/>
      <c r="G483" s="9"/>
      <c r="H483" s="11"/>
      <c r="I483" s="9" t="s">
        <v>13</v>
      </c>
      <c r="J483" s="44"/>
    </row>
    <row r="484">
      <c r="A484" s="42" t="s">
        <v>330</v>
      </c>
      <c r="B484" s="47"/>
      <c r="C484" s="9" t="s">
        <v>11</v>
      </c>
      <c r="D484" s="8" t="str">
        <f t="shared" si="1"/>
        <v>-</v>
      </c>
      <c r="E484" s="9"/>
      <c r="F484" s="10"/>
      <c r="G484" s="9"/>
      <c r="H484" s="11"/>
      <c r="I484" s="9" t="s">
        <v>13</v>
      </c>
      <c r="J484" s="44"/>
    </row>
    <row r="485">
      <c r="A485" s="42" t="s">
        <v>330</v>
      </c>
      <c r="B485" s="47"/>
      <c r="C485" s="9" t="s">
        <v>11</v>
      </c>
      <c r="D485" s="8" t="str">
        <f t="shared" si="1"/>
        <v>-</v>
      </c>
      <c r="E485" s="9"/>
      <c r="F485" s="10"/>
      <c r="G485" s="9"/>
      <c r="H485" s="11"/>
      <c r="I485" s="9" t="s">
        <v>13</v>
      </c>
      <c r="J485" s="44"/>
    </row>
    <row r="486">
      <c r="A486" s="42" t="s">
        <v>330</v>
      </c>
      <c r="B486" s="47"/>
      <c r="C486" s="9" t="s">
        <v>11</v>
      </c>
      <c r="D486" s="8" t="str">
        <f t="shared" si="1"/>
        <v>-</v>
      </c>
      <c r="E486" s="9"/>
      <c r="F486" s="10"/>
      <c r="G486" s="9"/>
      <c r="H486" s="11"/>
      <c r="I486" s="9" t="s">
        <v>13</v>
      </c>
      <c r="J486" s="44"/>
    </row>
    <row r="487">
      <c r="A487" s="42" t="s">
        <v>330</v>
      </c>
      <c r="B487" s="47"/>
      <c r="C487" s="9" t="s">
        <v>11</v>
      </c>
      <c r="D487" s="8" t="str">
        <f t="shared" si="1"/>
        <v>-</v>
      </c>
      <c r="E487" s="9"/>
      <c r="F487" s="10"/>
      <c r="G487" s="9"/>
      <c r="H487" s="11"/>
      <c r="I487" s="9" t="s">
        <v>13</v>
      </c>
      <c r="J487" s="44"/>
    </row>
    <row r="488">
      <c r="A488" s="42" t="s">
        <v>330</v>
      </c>
      <c r="B488" s="47"/>
      <c r="C488" s="9" t="s">
        <v>11</v>
      </c>
      <c r="D488" s="8" t="str">
        <f t="shared" si="1"/>
        <v>-</v>
      </c>
      <c r="E488" s="9"/>
      <c r="F488" s="10"/>
      <c r="G488" s="9"/>
      <c r="H488" s="11"/>
      <c r="I488" s="9" t="s">
        <v>13</v>
      </c>
      <c r="J488" s="44"/>
    </row>
    <row r="489">
      <c r="A489" s="42" t="s">
        <v>330</v>
      </c>
      <c r="B489" s="47"/>
      <c r="C489" s="9" t="s">
        <v>11</v>
      </c>
      <c r="D489" s="8" t="str">
        <f t="shared" si="1"/>
        <v>-</v>
      </c>
      <c r="E489" s="9"/>
      <c r="F489" s="10"/>
      <c r="G489" s="9"/>
      <c r="H489" s="11"/>
      <c r="I489" s="9" t="s">
        <v>13</v>
      </c>
      <c r="J489" s="44"/>
    </row>
    <row r="490">
      <c r="A490" s="42" t="s">
        <v>330</v>
      </c>
      <c r="B490" s="47"/>
      <c r="C490" s="9" t="s">
        <v>11</v>
      </c>
      <c r="D490" s="8" t="str">
        <f t="shared" si="1"/>
        <v>-</v>
      </c>
      <c r="E490" s="9"/>
      <c r="F490" s="10"/>
      <c r="G490" s="9"/>
      <c r="H490" s="11"/>
      <c r="I490" s="9" t="s">
        <v>13</v>
      </c>
      <c r="J490" s="44"/>
    </row>
    <row r="491">
      <c r="A491" s="42" t="s">
        <v>330</v>
      </c>
      <c r="B491" s="47"/>
      <c r="C491" s="9" t="s">
        <v>11</v>
      </c>
      <c r="D491" s="8" t="str">
        <f t="shared" si="1"/>
        <v>-</v>
      </c>
      <c r="E491" s="9"/>
      <c r="F491" s="10"/>
      <c r="G491" s="9"/>
      <c r="H491" s="11"/>
      <c r="I491" s="9" t="s">
        <v>13</v>
      </c>
      <c r="J491" s="44"/>
    </row>
    <row r="492">
      <c r="A492" s="42" t="s">
        <v>330</v>
      </c>
      <c r="B492" s="47"/>
      <c r="C492" s="9" t="s">
        <v>11</v>
      </c>
      <c r="D492" s="8" t="str">
        <f t="shared" si="1"/>
        <v>-</v>
      </c>
      <c r="E492" s="9"/>
      <c r="F492" s="10"/>
      <c r="G492" s="9"/>
      <c r="H492" s="11"/>
      <c r="I492" s="9" t="s">
        <v>13</v>
      </c>
      <c r="J492" s="44"/>
    </row>
    <row r="493">
      <c r="A493" s="42" t="s">
        <v>330</v>
      </c>
      <c r="B493" s="47"/>
      <c r="C493" s="9" t="s">
        <v>11</v>
      </c>
      <c r="D493" s="8" t="str">
        <f t="shared" si="1"/>
        <v>-</v>
      </c>
      <c r="E493" s="9"/>
      <c r="F493" s="10"/>
      <c r="G493" s="9"/>
      <c r="H493" s="11"/>
      <c r="I493" s="9" t="s">
        <v>13</v>
      </c>
      <c r="J493" s="44"/>
    </row>
    <row r="494">
      <c r="A494" s="42" t="s">
        <v>330</v>
      </c>
      <c r="B494" s="47"/>
      <c r="C494" s="9" t="s">
        <v>11</v>
      </c>
      <c r="D494" s="8" t="str">
        <f t="shared" si="1"/>
        <v>-</v>
      </c>
      <c r="E494" s="9"/>
      <c r="F494" s="10"/>
      <c r="G494" s="9"/>
      <c r="H494" s="11"/>
      <c r="I494" s="9" t="s">
        <v>13</v>
      </c>
      <c r="J494" s="44"/>
    </row>
    <row r="495">
      <c r="A495" s="42" t="s">
        <v>330</v>
      </c>
      <c r="B495" s="47"/>
      <c r="C495" s="9" t="s">
        <v>11</v>
      </c>
      <c r="D495" s="8" t="str">
        <f t="shared" si="1"/>
        <v>-</v>
      </c>
      <c r="E495" s="9"/>
      <c r="F495" s="10"/>
      <c r="G495" s="9"/>
      <c r="H495" s="11"/>
      <c r="I495" s="9" t="s">
        <v>13</v>
      </c>
      <c r="J495" s="44"/>
    </row>
    <row r="496">
      <c r="A496" s="42" t="s">
        <v>330</v>
      </c>
      <c r="B496" s="47"/>
      <c r="C496" s="9" t="s">
        <v>11</v>
      </c>
      <c r="D496" s="8" t="str">
        <f t="shared" si="1"/>
        <v>-</v>
      </c>
      <c r="E496" s="9"/>
      <c r="F496" s="10"/>
      <c r="G496" s="9"/>
      <c r="H496" s="11"/>
      <c r="I496" s="9" t="s">
        <v>13</v>
      </c>
      <c r="J496" s="44"/>
    </row>
    <row r="497">
      <c r="A497" s="42" t="s">
        <v>330</v>
      </c>
      <c r="B497" s="47"/>
      <c r="C497" s="9" t="s">
        <v>11</v>
      </c>
      <c r="D497" s="8" t="str">
        <f t="shared" si="1"/>
        <v>-</v>
      </c>
      <c r="E497" s="9"/>
      <c r="F497" s="10"/>
      <c r="G497" s="9"/>
      <c r="H497" s="11"/>
      <c r="I497" s="9" t="s">
        <v>13</v>
      </c>
      <c r="J497" s="44"/>
    </row>
    <row r="498">
      <c r="A498" s="42" t="s">
        <v>330</v>
      </c>
      <c r="B498" s="47"/>
      <c r="C498" s="9" t="s">
        <v>11</v>
      </c>
      <c r="D498" s="8" t="str">
        <f t="shared" si="1"/>
        <v>-</v>
      </c>
      <c r="E498" s="9"/>
      <c r="F498" s="10"/>
      <c r="G498" s="9"/>
      <c r="H498" s="11"/>
      <c r="I498" s="9" t="s">
        <v>13</v>
      </c>
      <c r="J498" s="44"/>
    </row>
    <row r="499">
      <c r="A499" s="42" t="s">
        <v>330</v>
      </c>
      <c r="B499" s="47"/>
      <c r="C499" s="9" t="s">
        <v>11</v>
      </c>
      <c r="D499" s="8" t="str">
        <f t="shared" si="1"/>
        <v>-</v>
      </c>
      <c r="E499" s="9"/>
      <c r="F499" s="10"/>
      <c r="G499" s="9"/>
      <c r="H499" s="11"/>
      <c r="I499" s="9" t="s">
        <v>13</v>
      </c>
      <c r="J499" s="44"/>
    </row>
    <row r="500">
      <c r="A500" s="42" t="s">
        <v>330</v>
      </c>
      <c r="B500" s="47"/>
      <c r="C500" s="9" t="s">
        <v>11</v>
      </c>
      <c r="D500" s="8" t="str">
        <f t="shared" si="1"/>
        <v>-</v>
      </c>
      <c r="E500" s="9"/>
      <c r="F500" s="10"/>
      <c r="G500" s="9"/>
      <c r="H500" s="11"/>
      <c r="I500" s="9" t="s">
        <v>13</v>
      </c>
      <c r="J500" s="44"/>
    </row>
    <row r="501">
      <c r="A501" s="42" t="s">
        <v>330</v>
      </c>
      <c r="B501" s="47"/>
      <c r="C501" s="9" t="s">
        <v>11</v>
      </c>
      <c r="D501" s="8" t="str">
        <f t="shared" si="1"/>
        <v>-</v>
      </c>
      <c r="E501" s="9"/>
      <c r="F501" s="10"/>
      <c r="G501" s="9"/>
      <c r="H501" s="11"/>
      <c r="I501" s="9" t="s">
        <v>13</v>
      </c>
      <c r="J501" s="44"/>
    </row>
    <row r="502">
      <c r="A502" s="42" t="s">
        <v>330</v>
      </c>
      <c r="B502" s="47"/>
      <c r="C502" s="9" t="s">
        <v>11</v>
      </c>
      <c r="D502" s="8" t="str">
        <f t="shared" si="1"/>
        <v>-</v>
      </c>
      <c r="E502" s="9"/>
      <c r="F502" s="10"/>
      <c r="G502" s="9"/>
      <c r="H502" s="11"/>
      <c r="I502" s="9" t="s">
        <v>13</v>
      </c>
      <c r="J502" s="44"/>
    </row>
    <row r="503">
      <c r="A503" s="42" t="s">
        <v>330</v>
      </c>
      <c r="B503" s="47"/>
      <c r="C503" s="9" t="s">
        <v>11</v>
      </c>
      <c r="D503" s="8" t="str">
        <f t="shared" si="1"/>
        <v>-</v>
      </c>
      <c r="E503" s="9"/>
      <c r="F503" s="10"/>
      <c r="G503" s="9"/>
      <c r="H503" s="11"/>
      <c r="I503" s="9" t="s">
        <v>13</v>
      </c>
      <c r="J503" s="44"/>
    </row>
    <row r="504">
      <c r="A504" s="42" t="s">
        <v>330</v>
      </c>
      <c r="B504" s="47"/>
      <c r="C504" s="9" t="s">
        <v>11</v>
      </c>
      <c r="D504" s="8" t="str">
        <f t="shared" si="1"/>
        <v>-</v>
      </c>
      <c r="E504" s="9"/>
      <c r="F504" s="10"/>
      <c r="G504" s="9"/>
      <c r="H504" s="11"/>
      <c r="I504" s="9" t="s">
        <v>13</v>
      </c>
      <c r="J504" s="44"/>
    </row>
    <row r="505">
      <c r="A505" s="42" t="s">
        <v>330</v>
      </c>
      <c r="B505" s="47"/>
      <c r="C505" s="9" t="s">
        <v>11</v>
      </c>
      <c r="D505" s="8" t="str">
        <f t="shared" si="1"/>
        <v>-</v>
      </c>
      <c r="E505" s="9"/>
      <c r="F505" s="10"/>
      <c r="G505" s="9"/>
      <c r="H505" s="11"/>
      <c r="I505" s="9" t="s">
        <v>13</v>
      </c>
      <c r="J505" s="44"/>
    </row>
    <row r="506">
      <c r="A506" s="42" t="s">
        <v>330</v>
      </c>
      <c r="B506" s="47"/>
      <c r="C506" s="9" t="s">
        <v>11</v>
      </c>
      <c r="D506" s="8" t="str">
        <f t="shared" si="1"/>
        <v>-</v>
      </c>
      <c r="E506" s="9"/>
      <c r="F506" s="10"/>
      <c r="G506" s="9"/>
      <c r="H506" s="11"/>
      <c r="I506" s="9" t="s">
        <v>13</v>
      </c>
      <c r="J506" s="44"/>
    </row>
    <row r="507">
      <c r="A507" s="42" t="s">
        <v>330</v>
      </c>
      <c r="B507" s="47"/>
      <c r="C507" s="9" t="s">
        <v>11</v>
      </c>
      <c r="D507" s="8" t="str">
        <f t="shared" si="1"/>
        <v>-</v>
      </c>
      <c r="E507" s="9"/>
      <c r="F507" s="10"/>
      <c r="G507" s="9"/>
      <c r="H507" s="11"/>
      <c r="I507" s="9" t="s">
        <v>13</v>
      </c>
      <c r="J507" s="44"/>
    </row>
    <row r="508">
      <c r="A508" s="42" t="s">
        <v>330</v>
      </c>
      <c r="B508" s="47"/>
      <c r="C508" s="9" t="s">
        <v>11</v>
      </c>
      <c r="D508" s="8" t="str">
        <f t="shared" si="1"/>
        <v>-</v>
      </c>
      <c r="E508" s="9"/>
      <c r="F508" s="10"/>
      <c r="G508" s="9"/>
      <c r="H508" s="11"/>
      <c r="I508" s="9" t="s">
        <v>13</v>
      </c>
      <c r="J508" s="44"/>
    </row>
    <row r="509">
      <c r="A509" s="42" t="s">
        <v>330</v>
      </c>
      <c r="B509" s="47"/>
      <c r="C509" s="9" t="s">
        <v>11</v>
      </c>
      <c r="D509" s="8" t="str">
        <f t="shared" si="1"/>
        <v>-</v>
      </c>
      <c r="E509" s="9"/>
      <c r="F509" s="10"/>
      <c r="G509" s="9"/>
      <c r="H509" s="11"/>
      <c r="I509" s="9" t="s">
        <v>13</v>
      </c>
      <c r="J509" s="44"/>
    </row>
    <row r="510">
      <c r="A510" s="42" t="s">
        <v>330</v>
      </c>
      <c r="B510" s="47"/>
      <c r="C510" s="9" t="s">
        <v>11</v>
      </c>
      <c r="D510" s="8" t="str">
        <f t="shared" si="1"/>
        <v>-</v>
      </c>
      <c r="E510" s="9"/>
      <c r="F510" s="10"/>
      <c r="G510" s="9"/>
      <c r="H510" s="11"/>
      <c r="I510" s="9" t="s">
        <v>13</v>
      </c>
      <c r="J510" s="44"/>
    </row>
    <row r="511">
      <c r="A511" s="42" t="s">
        <v>330</v>
      </c>
      <c r="B511" s="47"/>
      <c r="C511" s="9" t="s">
        <v>11</v>
      </c>
      <c r="D511" s="8" t="str">
        <f t="shared" si="1"/>
        <v>-</v>
      </c>
      <c r="E511" s="9"/>
      <c r="F511" s="10"/>
      <c r="G511" s="9"/>
      <c r="H511" s="11"/>
      <c r="I511" s="9" t="s">
        <v>13</v>
      </c>
      <c r="J511" s="44"/>
    </row>
    <row r="512">
      <c r="A512" s="42" t="s">
        <v>330</v>
      </c>
      <c r="B512" s="47"/>
      <c r="C512" s="9" t="s">
        <v>11</v>
      </c>
      <c r="D512" s="8" t="str">
        <f t="shared" si="1"/>
        <v>-</v>
      </c>
      <c r="E512" s="9"/>
      <c r="F512" s="10"/>
      <c r="G512" s="9"/>
      <c r="H512" s="11"/>
      <c r="I512" s="9" t="s">
        <v>13</v>
      </c>
      <c r="J512" s="44"/>
    </row>
    <row r="513">
      <c r="A513" s="42" t="s">
        <v>330</v>
      </c>
      <c r="B513" s="47"/>
      <c r="C513" s="9" t="s">
        <v>11</v>
      </c>
      <c r="D513" s="8" t="str">
        <f t="shared" si="1"/>
        <v>-</v>
      </c>
      <c r="E513" s="9"/>
      <c r="F513" s="10"/>
      <c r="G513" s="9"/>
      <c r="H513" s="11"/>
      <c r="I513" s="9" t="s">
        <v>13</v>
      </c>
      <c r="J513" s="44"/>
    </row>
    <row r="514">
      <c r="A514" s="42" t="s">
        <v>330</v>
      </c>
      <c r="B514" s="47"/>
      <c r="C514" s="9" t="s">
        <v>11</v>
      </c>
      <c r="D514" s="8" t="str">
        <f t="shared" si="1"/>
        <v>-</v>
      </c>
      <c r="E514" s="9"/>
      <c r="F514" s="10"/>
      <c r="G514" s="9"/>
      <c r="H514" s="11"/>
      <c r="I514" s="9" t="s">
        <v>13</v>
      </c>
      <c r="J514" s="44"/>
    </row>
    <row r="515">
      <c r="A515" s="42" t="s">
        <v>330</v>
      </c>
      <c r="B515" s="47"/>
      <c r="C515" s="9" t="s">
        <v>11</v>
      </c>
      <c r="D515" s="8" t="str">
        <f t="shared" si="1"/>
        <v>-</v>
      </c>
      <c r="E515" s="9"/>
      <c r="F515" s="10"/>
      <c r="G515" s="9"/>
      <c r="H515" s="11"/>
      <c r="I515" s="9" t="s">
        <v>13</v>
      </c>
      <c r="J515" s="44"/>
    </row>
    <row r="516">
      <c r="A516" s="42" t="s">
        <v>330</v>
      </c>
      <c r="B516" s="47"/>
      <c r="C516" s="9" t="s">
        <v>11</v>
      </c>
      <c r="D516" s="8" t="str">
        <f t="shared" si="1"/>
        <v>-</v>
      </c>
      <c r="E516" s="9"/>
      <c r="F516" s="10"/>
      <c r="G516" s="9"/>
      <c r="H516" s="11"/>
      <c r="I516" s="9" t="s">
        <v>13</v>
      </c>
      <c r="J516" s="44"/>
    </row>
    <row r="517">
      <c r="A517" s="42" t="s">
        <v>330</v>
      </c>
      <c r="B517" s="47"/>
      <c r="C517" s="9" t="s">
        <v>11</v>
      </c>
      <c r="D517" s="8" t="str">
        <f t="shared" si="1"/>
        <v>-</v>
      </c>
      <c r="E517" s="9"/>
      <c r="F517" s="10"/>
      <c r="G517" s="9"/>
      <c r="H517" s="11"/>
      <c r="I517" s="9" t="s">
        <v>13</v>
      </c>
      <c r="J517" s="44"/>
    </row>
    <row r="518">
      <c r="A518" s="42" t="s">
        <v>330</v>
      </c>
      <c r="B518" s="47"/>
      <c r="C518" s="9" t="s">
        <v>11</v>
      </c>
      <c r="D518" s="8" t="str">
        <f t="shared" si="1"/>
        <v>-</v>
      </c>
      <c r="E518" s="9"/>
      <c r="F518" s="10"/>
      <c r="G518" s="9"/>
      <c r="H518" s="11"/>
      <c r="I518" s="9" t="s">
        <v>13</v>
      </c>
      <c r="J518" s="44"/>
    </row>
    <row r="519">
      <c r="A519" s="42" t="s">
        <v>330</v>
      </c>
      <c r="B519" s="47"/>
      <c r="C519" s="9" t="s">
        <v>11</v>
      </c>
      <c r="D519" s="8" t="str">
        <f t="shared" si="1"/>
        <v>-</v>
      </c>
      <c r="E519" s="9"/>
      <c r="F519" s="10"/>
      <c r="G519" s="9"/>
      <c r="H519" s="11"/>
      <c r="I519" s="9" t="s">
        <v>13</v>
      </c>
      <c r="J519" s="44"/>
    </row>
    <row r="520">
      <c r="A520" s="42" t="s">
        <v>330</v>
      </c>
      <c r="B520" s="47"/>
      <c r="C520" s="9" t="s">
        <v>11</v>
      </c>
      <c r="D520" s="8" t="str">
        <f t="shared" si="1"/>
        <v>-</v>
      </c>
      <c r="E520" s="9"/>
      <c r="F520" s="10"/>
      <c r="G520" s="9"/>
      <c r="H520" s="11"/>
      <c r="I520" s="9" t="s">
        <v>13</v>
      </c>
      <c r="J520" s="44"/>
    </row>
    <row r="521">
      <c r="A521" s="42" t="s">
        <v>330</v>
      </c>
      <c r="B521" s="47"/>
      <c r="C521" s="9" t="s">
        <v>11</v>
      </c>
      <c r="D521" s="8" t="str">
        <f t="shared" si="1"/>
        <v>-</v>
      </c>
      <c r="E521" s="9"/>
      <c r="F521" s="10"/>
      <c r="G521" s="9"/>
      <c r="H521" s="11"/>
      <c r="I521" s="9" t="s">
        <v>13</v>
      </c>
      <c r="J521" s="44"/>
    </row>
    <row r="522">
      <c r="A522" s="42" t="s">
        <v>330</v>
      </c>
      <c r="B522" s="47"/>
      <c r="C522" s="9" t="s">
        <v>11</v>
      </c>
      <c r="D522" s="8" t="str">
        <f t="shared" si="1"/>
        <v>-</v>
      </c>
      <c r="E522" s="9"/>
      <c r="F522" s="10"/>
      <c r="G522" s="9"/>
      <c r="H522" s="11"/>
      <c r="I522" s="9" t="s">
        <v>13</v>
      </c>
      <c r="J522" s="44"/>
    </row>
    <row r="523">
      <c r="A523" s="42" t="s">
        <v>330</v>
      </c>
      <c r="B523" s="47"/>
      <c r="C523" s="9" t="s">
        <v>11</v>
      </c>
      <c r="D523" s="8" t="str">
        <f t="shared" si="1"/>
        <v>-</v>
      </c>
      <c r="E523" s="9"/>
      <c r="F523" s="10"/>
      <c r="G523" s="9"/>
      <c r="H523" s="11"/>
      <c r="I523" s="9" t="s">
        <v>13</v>
      </c>
      <c r="J523" s="44"/>
    </row>
    <row r="524">
      <c r="A524" s="42" t="s">
        <v>330</v>
      </c>
      <c r="B524" s="47"/>
      <c r="C524" s="9" t="s">
        <v>11</v>
      </c>
      <c r="D524" s="8" t="str">
        <f t="shared" si="1"/>
        <v>-</v>
      </c>
      <c r="E524" s="9"/>
      <c r="F524" s="10"/>
      <c r="G524" s="9"/>
      <c r="H524" s="11"/>
      <c r="I524" s="9" t="s">
        <v>13</v>
      </c>
      <c r="J524" s="44"/>
    </row>
    <row r="525">
      <c r="A525" s="42" t="s">
        <v>330</v>
      </c>
      <c r="B525" s="47"/>
      <c r="C525" s="9" t="s">
        <v>11</v>
      </c>
      <c r="D525" s="8" t="str">
        <f t="shared" si="1"/>
        <v>-</v>
      </c>
      <c r="E525" s="9"/>
      <c r="F525" s="10"/>
      <c r="G525" s="9"/>
      <c r="H525" s="11"/>
      <c r="I525" s="9" t="s">
        <v>13</v>
      </c>
      <c r="J525" s="44"/>
    </row>
    <row r="526">
      <c r="A526" s="42" t="s">
        <v>330</v>
      </c>
      <c r="B526" s="47"/>
      <c r="C526" s="9" t="s">
        <v>11</v>
      </c>
      <c r="D526" s="8" t="str">
        <f t="shared" si="1"/>
        <v>-</v>
      </c>
      <c r="E526" s="9"/>
      <c r="F526" s="10"/>
      <c r="G526" s="9"/>
      <c r="H526" s="11"/>
      <c r="I526" s="9" t="s">
        <v>13</v>
      </c>
      <c r="J526" s="44"/>
    </row>
    <row r="527">
      <c r="A527" s="42" t="s">
        <v>330</v>
      </c>
      <c r="B527" s="47"/>
      <c r="C527" s="9" t="s">
        <v>11</v>
      </c>
      <c r="D527" s="8" t="str">
        <f t="shared" si="1"/>
        <v>-</v>
      </c>
      <c r="E527" s="9"/>
      <c r="F527" s="10"/>
      <c r="G527" s="9"/>
      <c r="H527" s="11"/>
      <c r="I527" s="9" t="s">
        <v>13</v>
      </c>
      <c r="J527" s="44"/>
    </row>
    <row r="528">
      <c r="A528" s="42" t="s">
        <v>330</v>
      </c>
      <c r="B528" s="47"/>
      <c r="C528" s="9" t="s">
        <v>11</v>
      </c>
      <c r="D528" s="8" t="str">
        <f t="shared" si="1"/>
        <v>-</v>
      </c>
      <c r="E528" s="9"/>
      <c r="F528" s="10"/>
      <c r="G528" s="9"/>
      <c r="H528" s="11"/>
      <c r="I528" s="9" t="s">
        <v>13</v>
      </c>
      <c r="J528" s="44"/>
    </row>
    <row r="529">
      <c r="A529" s="42" t="s">
        <v>330</v>
      </c>
      <c r="B529" s="47"/>
      <c r="C529" s="9" t="s">
        <v>11</v>
      </c>
      <c r="D529" s="8" t="str">
        <f t="shared" si="1"/>
        <v>-</v>
      </c>
      <c r="E529" s="9"/>
      <c r="F529" s="10"/>
      <c r="G529" s="9"/>
      <c r="H529" s="11"/>
      <c r="I529" s="9" t="s">
        <v>13</v>
      </c>
      <c r="J529" s="44"/>
    </row>
    <row r="530">
      <c r="A530" s="42" t="s">
        <v>330</v>
      </c>
      <c r="B530" s="47"/>
      <c r="C530" s="9" t="s">
        <v>11</v>
      </c>
      <c r="D530" s="8" t="str">
        <f t="shared" si="1"/>
        <v>-</v>
      </c>
      <c r="E530" s="9"/>
      <c r="F530" s="10"/>
      <c r="G530" s="9"/>
      <c r="H530" s="11"/>
      <c r="I530" s="9" t="s">
        <v>13</v>
      </c>
      <c r="J530" s="44"/>
    </row>
    <row r="531">
      <c r="A531" s="42" t="s">
        <v>330</v>
      </c>
      <c r="B531" s="47"/>
      <c r="C531" s="9" t="s">
        <v>11</v>
      </c>
      <c r="D531" s="8" t="str">
        <f t="shared" si="1"/>
        <v>-</v>
      </c>
      <c r="E531" s="9"/>
      <c r="F531" s="10"/>
      <c r="G531" s="9"/>
      <c r="H531" s="11"/>
      <c r="I531" s="9" t="s">
        <v>13</v>
      </c>
      <c r="J531" s="44"/>
    </row>
    <row r="532">
      <c r="A532" s="42" t="s">
        <v>330</v>
      </c>
      <c r="B532" s="47"/>
      <c r="C532" s="9" t="s">
        <v>11</v>
      </c>
      <c r="D532" s="8" t="str">
        <f t="shared" si="1"/>
        <v>-</v>
      </c>
      <c r="E532" s="9"/>
      <c r="F532" s="10"/>
      <c r="G532" s="9"/>
      <c r="H532" s="11"/>
      <c r="I532" s="9" t="s">
        <v>13</v>
      </c>
      <c r="J532" s="44"/>
    </row>
    <row r="533">
      <c r="A533" s="42" t="s">
        <v>330</v>
      </c>
      <c r="B533" s="47"/>
      <c r="C533" s="9" t="s">
        <v>11</v>
      </c>
      <c r="D533" s="8" t="str">
        <f t="shared" si="1"/>
        <v>-</v>
      </c>
      <c r="E533" s="9"/>
      <c r="F533" s="10"/>
      <c r="G533" s="9"/>
      <c r="H533" s="11"/>
      <c r="I533" s="9" t="s">
        <v>13</v>
      </c>
      <c r="J533" s="44"/>
    </row>
    <row r="534">
      <c r="A534" s="42" t="s">
        <v>330</v>
      </c>
      <c r="B534" s="47"/>
      <c r="C534" s="9" t="s">
        <v>11</v>
      </c>
      <c r="D534" s="8" t="str">
        <f t="shared" si="1"/>
        <v>-</v>
      </c>
      <c r="E534" s="9"/>
      <c r="F534" s="10"/>
      <c r="G534" s="9"/>
      <c r="H534" s="11"/>
      <c r="I534" s="9" t="s">
        <v>13</v>
      </c>
      <c r="J534" s="44"/>
    </row>
    <row r="535">
      <c r="A535" s="42" t="s">
        <v>330</v>
      </c>
      <c r="B535" s="47"/>
      <c r="C535" s="9" t="s">
        <v>11</v>
      </c>
      <c r="D535" s="8" t="str">
        <f t="shared" si="1"/>
        <v>-</v>
      </c>
      <c r="E535" s="9"/>
      <c r="F535" s="10"/>
      <c r="G535" s="9"/>
      <c r="H535" s="11"/>
      <c r="I535" s="9" t="s">
        <v>13</v>
      </c>
      <c r="J535" s="44"/>
    </row>
    <row r="536">
      <c r="A536" s="42" t="s">
        <v>330</v>
      </c>
      <c r="B536" s="47"/>
      <c r="C536" s="9" t="s">
        <v>11</v>
      </c>
      <c r="D536" s="8" t="str">
        <f t="shared" si="1"/>
        <v>-</v>
      </c>
      <c r="E536" s="9"/>
      <c r="F536" s="10"/>
      <c r="G536" s="9"/>
      <c r="H536" s="11"/>
      <c r="I536" s="9" t="s">
        <v>13</v>
      </c>
      <c r="J536" s="44"/>
    </row>
    <row r="537">
      <c r="A537" s="42" t="s">
        <v>330</v>
      </c>
      <c r="B537" s="47"/>
      <c r="C537" s="9" t="s">
        <v>11</v>
      </c>
      <c r="D537" s="8" t="str">
        <f t="shared" si="1"/>
        <v>-</v>
      </c>
      <c r="E537" s="9"/>
      <c r="F537" s="10"/>
      <c r="G537" s="9"/>
      <c r="H537" s="11"/>
      <c r="I537" s="9" t="s">
        <v>13</v>
      </c>
      <c r="J537" s="44"/>
    </row>
    <row r="538">
      <c r="A538" s="42" t="s">
        <v>330</v>
      </c>
      <c r="B538" s="47"/>
      <c r="C538" s="9" t="s">
        <v>11</v>
      </c>
      <c r="D538" s="8" t="str">
        <f t="shared" si="1"/>
        <v>-</v>
      </c>
      <c r="E538" s="9"/>
      <c r="F538" s="10"/>
      <c r="G538" s="9"/>
      <c r="H538" s="11"/>
      <c r="I538" s="9" t="s">
        <v>13</v>
      </c>
      <c r="J538" s="44"/>
    </row>
    <row r="539">
      <c r="A539" s="42" t="s">
        <v>330</v>
      </c>
      <c r="B539" s="47"/>
      <c r="C539" s="9" t="s">
        <v>11</v>
      </c>
      <c r="D539" s="8" t="str">
        <f t="shared" si="1"/>
        <v>-</v>
      </c>
      <c r="E539" s="9"/>
      <c r="F539" s="10"/>
      <c r="G539" s="9"/>
      <c r="H539" s="11"/>
      <c r="I539" s="9" t="s">
        <v>13</v>
      </c>
      <c r="J539" s="44"/>
    </row>
    <row r="540">
      <c r="A540" s="42" t="s">
        <v>330</v>
      </c>
      <c r="B540" s="47"/>
      <c r="C540" s="9" t="s">
        <v>11</v>
      </c>
      <c r="D540" s="8" t="str">
        <f t="shared" si="1"/>
        <v>-</v>
      </c>
      <c r="E540" s="9"/>
      <c r="F540" s="10"/>
      <c r="G540" s="9"/>
      <c r="H540" s="11"/>
      <c r="I540" s="9" t="s">
        <v>13</v>
      </c>
      <c r="J540" s="44"/>
    </row>
    <row r="541">
      <c r="A541" s="42" t="s">
        <v>330</v>
      </c>
      <c r="B541" s="47"/>
      <c r="C541" s="9" t="s">
        <v>11</v>
      </c>
      <c r="D541" s="8" t="str">
        <f t="shared" si="1"/>
        <v>-</v>
      </c>
      <c r="E541" s="9"/>
      <c r="F541" s="10"/>
      <c r="G541" s="9"/>
      <c r="H541" s="11"/>
      <c r="I541" s="9" t="s">
        <v>13</v>
      </c>
      <c r="J541" s="44"/>
    </row>
    <row r="542">
      <c r="A542" s="42" t="s">
        <v>330</v>
      </c>
      <c r="B542" s="47"/>
      <c r="C542" s="9" t="s">
        <v>11</v>
      </c>
      <c r="D542" s="8" t="str">
        <f t="shared" si="1"/>
        <v>-</v>
      </c>
      <c r="E542" s="9"/>
      <c r="F542" s="10"/>
      <c r="G542" s="9"/>
      <c r="H542" s="11"/>
      <c r="I542" s="9" t="s">
        <v>13</v>
      </c>
      <c r="J542" s="44"/>
    </row>
    <row r="543">
      <c r="A543" s="42" t="s">
        <v>330</v>
      </c>
      <c r="B543" s="47"/>
      <c r="C543" s="9" t="s">
        <v>11</v>
      </c>
      <c r="D543" s="8" t="str">
        <f t="shared" si="1"/>
        <v>-</v>
      </c>
      <c r="E543" s="9"/>
      <c r="F543" s="10"/>
      <c r="G543" s="9"/>
      <c r="H543" s="11"/>
      <c r="I543" s="9" t="s">
        <v>13</v>
      </c>
      <c r="J543" s="44"/>
    </row>
    <row r="544">
      <c r="A544" s="42" t="s">
        <v>330</v>
      </c>
      <c r="B544" s="47"/>
      <c r="C544" s="9" t="s">
        <v>11</v>
      </c>
      <c r="D544" s="8" t="str">
        <f t="shared" si="1"/>
        <v>-</v>
      </c>
      <c r="E544" s="9"/>
      <c r="F544" s="10"/>
      <c r="G544" s="9"/>
      <c r="H544" s="11"/>
      <c r="I544" s="9" t="s">
        <v>13</v>
      </c>
      <c r="J544" s="44"/>
    </row>
    <row r="545">
      <c r="A545" s="42" t="s">
        <v>330</v>
      </c>
      <c r="B545" s="47"/>
      <c r="C545" s="9" t="s">
        <v>11</v>
      </c>
      <c r="D545" s="8" t="str">
        <f t="shared" si="1"/>
        <v>-</v>
      </c>
      <c r="E545" s="9"/>
      <c r="F545" s="10"/>
      <c r="G545" s="9"/>
      <c r="H545" s="11"/>
      <c r="I545" s="9" t="s">
        <v>13</v>
      </c>
      <c r="J545" s="44"/>
    </row>
    <row r="546">
      <c r="A546" s="42" t="s">
        <v>330</v>
      </c>
      <c r="B546" s="47"/>
      <c r="C546" s="9" t="s">
        <v>11</v>
      </c>
      <c r="D546" s="8" t="str">
        <f t="shared" si="1"/>
        <v>-</v>
      </c>
      <c r="E546" s="9"/>
      <c r="F546" s="10"/>
      <c r="G546" s="9"/>
      <c r="H546" s="11"/>
      <c r="I546" s="9" t="s">
        <v>13</v>
      </c>
      <c r="J546" s="44"/>
    </row>
    <row r="547">
      <c r="A547" s="42" t="s">
        <v>330</v>
      </c>
      <c r="B547" s="47"/>
      <c r="C547" s="9" t="s">
        <v>11</v>
      </c>
      <c r="D547" s="8" t="str">
        <f t="shared" si="1"/>
        <v>-</v>
      </c>
      <c r="E547" s="9"/>
      <c r="F547" s="10"/>
      <c r="G547" s="9"/>
      <c r="H547" s="11"/>
      <c r="I547" s="9" t="s">
        <v>13</v>
      </c>
      <c r="J547" s="44"/>
    </row>
    <row r="548">
      <c r="A548" s="42" t="s">
        <v>330</v>
      </c>
      <c r="B548" s="47"/>
      <c r="C548" s="9" t="s">
        <v>11</v>
      </c>
      <c r="D548" s="8" t="str">
        <f t="shared" si="1"/>
        <v>-</v>
      </c>
      <c r="E548" s="9"/>
      <c r="F548" s="10"/>
      <c r="G548" s="9"/>
      <c r="H548" s="11"/>
      <c r="I548" s="9" t="s">
        <v>13</v>
      </c>
      <c r="J548" s="44"/>
    </row>
    <row r="549">
      <c r="A549" s="42" t="s">
        <v>330</v>
      </c>
      <c r="B549" s="47"/>
      <c r="C549" s="9" t="s">
        <v>11</v>
      </c>
      <c r="D549" s="8" t="str">
        <f t="shared" si="1"/>
        <v>-</v>
      </c>
      <c r="E549" s="9"/>
      <c r="F549" s="10"/>
      <c r="G549" s="9"/>
      <c r="H549" s="11"/>
      <c r="I549" s="9" t="s">
        <v>13</v>
      </c>
      <c r="J549" s="44"/>
    </row>
    <row r="550">
      <c r="A550" s="42" t="s">
        <v>330</v>
      </c>
      <c r="B550" s="47"/>
      <c r="C550" s="9" t="s">
        <v>11</v>
      </c>
      <c r="D550" s="8" t="str">
        <f t="shared" si="1"/>
        <v>-</v>
      </c>
      <c r="E550" s="9"/>
      <c r="F550" s="10"/>
      <c r="G550" s="9"/>
      <c r="H550" s="11"/>
      <c r="I550" s="9" t="s">
        <v>13</v>
      </c>
      <c r="J550" s="44"/>
    </row>
    <row r="551">
      <c r="A551" s="42" t="s">
        <v>330</v>
      </c>
      <c r="B551" s="47"/>
      <c r="C551" s="9" t="s">
        <v>11</v>
      </c>
      <c r="D551" s="8" t="str">
        <f t="shared" si="1"/>
        <v>-</v>
      </c>
      <c r="E551" s="9"/>
      <c r="F551" s="10"/>
      <c r="G551" s="9"/>
      <c r="H551" s="11"/>
      <c r="I551" s="9" t="s">
        <v>13</v>
      </c>
      <c r="J551" s="44"/>
    </row>
    <row r="552">
      <c r="A552" s="42" t="s">
        <v>330</v>
      </c>
      <c r="B552" s="47"/>
      <c r="C552" s="9" t="s">
        <v>11</v>
      </c>
      <c r="D552" s="8" t="str">
        <f t="shared" si="1"/>
        <v>-</v>
      </c>
      <c r="E552" s="9"/>
      <c r="F552" s="10"/>
      <c r="G552" s="9"/>
      <c r="H552" s="11"/>
      <c r="I552" s="9" t="s">
        <v>13</v>
      </c>
      <c r="J552" s="44"/>
    </row>
    <row r="553">
      <c r="A553" s="42" t="s">
        <v>330</v>
      </c>
      <c r="B553" s="47"/>
      <c r="C553" s="9" t="s">
        <v>11</v>
      </c>
      <c r="D553" s="8" t="str">
        <f t="shared" si="1"/>
        <v>-</v>
      </c>
      <c r="E553" s="9"/>
      <c r="F553" s="10"/>
      <c r="G553" s="9"/>
      <c r="H553" s="11"/>
      <c r="I553" s="9" t="s">
        <v>13</v>
      </c>
      <c r="J553" s="44"/>
    </row>
    <row r="554">
      <c r="A554" s="42" t="s">
        <v>330</v>
      </c>
      <c r="B554" s="47"/>
      <c r="C554" s="9" t="s">
        <v>11</v>
      </c>
      <c r="D554" s="8" t="str">
        <f t="shared" si="1"/>
        <v>-</v>
      </c>
      <c r="E554" s="9"/>
      <c r="F554" s="10"/>
      <c r="G554" s="9"/>
      <c r="H554" s="11"/>
      <c r="I554" s="9" t="s">
        <v>13</v>
      </c>
      <c r="J554" s="44"/>
    </row>
    <row r="555">
      <c r="A555" s="42" t="s">
        <v>330</v>
      </c>
      <c r="B555" s="47"/>
      <c r="C555" s="9" t="s">
        <v>11</v>
      </c>
      <c r="D555" s="8" t="str">
        <f t="shared" si="1"/>
        <v>-</v>
      </c>
      <c r="E555" s="9"/>
      <c r="F555" s="10"/>
      <c r="G555" s="9"/>
      <c r="H555" s="11"/>
      <c r="I555" s="9" t="s">
        <v>13</v>
      </c>
      <c r="J555" s="44"/>
    </row>
    <row r="556">
      <c r="A556" s="42" t="s">
        <v>330</v>
      </c>
      <c r="B556" s="47"/>
      <c r="C556" s="9" t="s">
        <v>11</v>
      </c>
      <c r="D556" s="8" t="str">
        <f t="shared" si="1"/>
        <v>-</v>
      </c>
      <c r="E556" s="9"/>
      <c r="F556" s="10"/>
      <c r="G556" s="9"/>
      <c r="H556" s="11"/>
      <c r="I556" s="9" t="s">
        <v>13</v>
      </c>
      <c r="J556" s="44"/>
    </row>
    <row r="557">
      <c r="A557" s="42" t="s">
        <v>330</v>
      </c>
      <c r="B557" s="47"/>
      <c r="C557" s="9" t="s">
        <v>11</v>
      </c>
      <c r="D557" s="8" t="str">
        <f t="shared" si="1"/>
        <v>-</v>
      </c>
      <c r="E557" s="9"/>
      <c r="F557" s="10"/>
      <c r="G557" s="9"/>
      <c r="H557" s="11"/>
      <c r="I557" s="9" t="s">
        <v>13</v>
      </c>
      <c r="J557" s="44"/>
    </row>
    <row r="558">
      <c r="A558" s="42" t="s">
        <v>330</v>
      </c>
      <c r="B558" s="47"/>
      <c r="C558" s="9" t="s">
        <v>11</v>
      </c>
      <c r="D558" s="8" t="str">
        <f t="shared" si="1"/>
        <v>-</v>
      </c>
      <c r="E558" s="9"/>
      <c r="F558" s="10"/>
      <c r="G558" s="9"/>
      <c r="H558" s="11"/>
      <c r="I558" s="9" t="s">
        <v>13</v>
      </c>
      <c r="J558" s="44"/>
    </row>
    <row r="559">
      <c r="A559" s="42" t="s">
        <v>330</v>
      </c>
      <c r="B559" s="47"/>
      <c r="C559" s="9" t="s">
        <v>11</v>
      </c>
      <c r="D559" s="8" t="str">
        <f t="shared" si="1"/>
        <v>-</v>
      </c>
      <c r="E559" s="9"/>
      <c r="F559" s="10"/>
      <c r="G559" s="9"/>
      <c r="H559" s="11"/>
      <c r="I559" s="9" t="s">
        <v>13</v>
      </c>
      <c r="J559" s="44"/>
    </row>
    <row r="560">
      <c r="A560" s="42" t="s">
        <v>330</v>
      </c>
      <c r="B560" s="47"/>
      <c r="C560" s="9" t="s">
        <v>11</v>
      </c>
      <c r="D560" s="8" t="str">
        <f t="shared" si="1"/>
        <v>-</v>
      </c>
      <c r="E560" s="9"/>
      <c r="F560" s="10"/>
      <c r="G560" s="9"/>
      <c r="H560" s="11"/>
      <c r="I560" s="9" t="s">
        <v>13</v>
      </c>
      <c r="J560" s="44"/>
    </row>
    <row r="561">
      <c r="A561" s="42" t="s">
        <v>330</v>
      </c>
      <c r="B561" s="47"/>
      <c r="C561" s="9" t="s">
        <v>11</v>
      </c>
      <c r="D561" s="8" t="str">
        <f t="shared" si="1"/>
        <v>-</v>
      </c>
      <c r="E561" s="9"/>
      <c r="F561" s="10"/>
      <c r="G561" s="9"/>
      <c r="H561" s="11"/>
      <c r="I561" s="9" t="s">
        <v>13</v>
      </c>
      <c r="J561" s="44"/>
    </row>
    <row r="562">
      <c r="A562" s="42" t="s">
        <v>330</v>
      </c>
      <c r="B562" s="47"/>
      <c r="C562" s="9" t="s">
        <v>11</v>
      </c>
      <c r="D562" s="8" t="str">
        <f t="shared" si="1"/>
        <v>-</v>
      </c>
      <c r="E562" s="9"/>
      <c r="F562" s="10"/>
      <c r="G562" s="9"/>
      <c r="H562" s="11"/>
      <c r="I562" s="9" t="s">
        <v>13</v>
      </c>
      <c r="J562" s="44"/>
    </row>
    <row r="563">
      <c r="A563" s="42" t="s">
        <v>330</v>
      </c>
      <c r="B563" s="47"/>
      <c r="C563" s="9" t="s">
        <v>11</v>
      </c>
      <c r="D563" s="8" t="str">
        <f t="shared" si="1"/>
        <v>-</v>
      </c>
      <c r="E563" s="9"/>
      <c r="F563" s="10"/>
      <c r="G563" s="9"/>
      <c r="H563" s="11"/>
      <c r="I563" s="9" t="s">
        <v>13</v>
      </c>
      <c r="J563" s="44"/>
    </row>
    <row r="564">
      <c r="A564" s="42" t="s">
        <v>330</v>
      </c>
      <c r="B564" s="47"/>
      <c r="C564" s="9" t="s">
        <v>11</v>
      </c>
      <c r="D564" s="8" t="str">
        <f t="shared" si="1"/>
        <v>-</v>
      </c>
      <c r="E564" s="9"/>
      <c r="F564" s="10"/>
      <c r="G564" s="9"/>
      <c r="H564" s="11"/>
      <c r="I564" s="9" t="s">
        <v>13</v>
      </c>
      <c r="J564" s="44"/>
    </row>
    <row r="565">
      <c r="A565" s="42" t="s">
        <v>330</v>
      </c>
      <c r="B565" s="47"/>
      <c r="C565" s="9" t="s">
        <v>11</v>
      </c>
      <c r="D565" s="8" t="str">
        <f t="shared" si="1"/>
        <v>-</v>
      </c>
      <c r="E565" s="9"/>
      <c r="F565" s="10"/>
      <c r="G565" s="9"/>
      <c r="H565" s="11"/>
      <c r="I565" s="9" t="s">
        <v>13</v>
      </c>
      <c r="J565" s="44"/>
    </row>
    <row r="566">
      <c r="A566" s="42" t="s">
        <v>330</v>
      </c>
      <c r="B566" s="47"/>
      <c r="C566" s="9" t="s">
        <v>11</v>
      </c>
      <c r="D566" s="8" t="str">
        <f t="shared" si="1"/>
        <v>-</v>
      </c>
      <c r="E566" s="9"/>
      <c r="F566" s="10"/>
      <c r="G566" s="9"/>
      <c r="H566" s="11"/>
      <c r="I566" s="9" t="s">
        <v>13</v>
      </c>
      <c r="J566" s="44"/>
    </row>
    <row r="567">
      <c r="A567" s="42" t="s">
        <v>330</v>
      </c>
      <c r="B567" s="47"/>
      <c r="C567" s="9" t="s">
        <v>11</v>
      </c>
      <c r="D567" s="8" t="str">
        <f t="shared" si="1"/>
        <v>-</v>
      </c>
      <c r="E567" s="9"/>
      <c r="F567" s="10"/>
      <c r="G567" s="9"/>
      <c r="H567" s="11"/>
      <c r="I567" s="9" t="s">
        <v>13</v>
      </c>
      <c r="J567" s="44"/>
    </row>
    <row r="568">
      <c r="A568" s="42" t="s">
        <v>330</v>
      </c>
      <c r="B568" s="47"/>
      <c r="C568" s="9" t="s">
        <v>11</v>
      </c>
      <c r="D568" s="8" t="str">
        <f t="shared" si="1"/>
        <v>-</v>
      </c>
      <c r="E568" s="9"/>
      <c r="F568" s="10"/>
      <c r="G568" s="9"/>
      <c r="H568" s="11"/>
      <c r="I568" s="9" t="s">
        <v>13</v>
      </c>
      <c r="J568" s="44"/>
    </row>
    <row r="569">
      <c r="A569" s="42" t="s">
        <v>330</v>
      </c>
      <c r="B569" s="47"/>
      <c r="C569" s="9" t="s">
        <v>11</v>
      </c>
      <c r="D569" s="8" t="str">
        <f t="shared" si="1"/>
        <v>-</v>
      </c>
      <c r="E569" s="9"/>
      <c r="F569" s="10"/>
      <c r="G569" s="9"/>
      <c r="H569" s="11"/>
      <c r="I569" s="9" t="s">
        <v>13</v>
      </c>
      <c r="J569" s="44"/>
    </row>
    <row r="570">
      <c r="A570" s="42" t="s">
        <v>330</v>
      </c>
      <c r="B570" s="47"/>
      <c r="C570" s="9" t="s">
        <v>11</v>
      </c>
      <c r="D570" s="8" t="str">
        <f t="shared" si="1"/>
        <v>-</v>
      </c>
      <c r="E570" s="9"/>
      <c r="F570" s="10"/>
      <c r="G570" s="9"/>
      <c r="H570" s="11"/>
      <c r="I570" s="9" t="s">
        <v>13</v>
      </c>
      <c r="J570" s="44"/>
    </row>
    <row r="571">
      <c r="A571" s="42" t="s">
        <v>330</v>
      </c>
      <c r="B571" s="47"/>
      <c r="C571" s="9" t="s">
        <v>11</v>
      </c>
      <c r="D571" s="8" t="str">
        <f t="shared" si="1"/>
        <v>-</v>
      </c>
      <c r="E571" s="9"/>
      <c r="F571" s="10"/>
      <c r="G571" s="9"/>
      <c r="H571" s="11"/>
      <c r="I571" s="9" t="s">
        <v>13</v>
      </c>
      <c r="J571" s="44"/>
    </row>
    <row r="572">
      <c r="A572" s="42" t="s">
        <v>330</v>
      </c>
      <c r="B572" s="47"/>
      <c r="C572" s="9" t="s">
        <v>11</v>
      </c>
      <c r="D572" s="8" t="str">
        <f t="shared" si="1"/>
        <v>-</v>
      </c>
      <c r="E572" s="9"/>
      <c r="F572" s="10"/>
      <c r="G572" s="9"/>
      <c r="H572" s="11"/>
      <c r="I572" s="9" t="s">
        <v>13</v>
      </c>
      <c r="J572" s="44"/>
    </row>
    <row r="573">
      <c r="A573" s="42" t="s">
        <v>330</v>
      </c>
      <c r="B573" s="47"/>
      <c r="C573" s="9" t="s">
        <v>11</v>
      </c>
      <c r="D573" s="8" t="str">
        <f t="shared" si="1"/>
        <v>-</v>
      </c>
      <c r="E573" s="9"/>
      <c r="F573" s="10"/>
      <c r="G573" s="9"/>
      <c r="H573" s="11"/>
      <c r="I573" s="9" t="s">
        <v>13</v>
      </c>
      <c r="J573" s="44"/>
    </row>
    <row r="574">
      <c r="A574" s="42" t="s">
        <v>330</v>
      </c>
      <c r="B574" s="47"/>
      <c r="C574" s="9" t="s">
        <v>11</v>
      </c>
      <c r="D574" s="8" t="str">
        <f t="shared" si="1"/>
        <v>-</v>
      </c>
      <c r="E574" s="9"/>
      <c r="F574" s="10"/>
      <c r="G574" s="9"/>
      <c r="H574" s="11"/>
      <c r="I574" s="9" t="s">
        <v>13</v>
      </c>
      <c r="J574" s="44"/>
    </row>
    <row r="575">
      <c r="A575" s="42" t="s">
        <v>330</v>
      </c>
      <c r="B575" s="47"/>
      <c r="C575" s="9" t="s">
        <v>11</v>
      </c>
      <c r="D575" s="8" t="str">
        <f t="shared" si="1"/>
        <v>-</v>
      </c>
      <c r="E575" s="9"/>
      <c r="F575" s="10"/>
      <c r="G575" s="9"/>
      <c r="H575" s="11"/>
      <c r="I575" s="9" t="s">
        <v>13</v>
      </c>
      <c r="J575" s="44"/>
    </row>
    <row r="576">
      <c r="A576" s="42" t="s">
        <v>330</v>
      </c>
      <c r="B576" s="47"/>
      <c r="C576" s="9" t="s">
        <v>11</v>
      </c>
      <c r="D576" s="8" t="str">
        <f t="shared" si="1"/>
        <v>-</v>
      </c>
      <c r="E576" s="9"/>
      <c r="F576" s="10"/>
      <c r="G576" s="9"/>
      <c r="H576" s="11"/>
      <c r="I576" s="9" t="s">
        <v>13</v>
      </c>
      <c r="J576" s="44"/>
    </row>
    <row r="577">
      <c r="A577" s="42" t="s">
        <v>330</v>
      </c>
      <c r="B577" s="47"/>
      <c r="C577" s="9" t="s">
        <v>11</v>
      </c>
      <c r="D577" s="8" t="str">
        <f t="shared" si="1"/>
        <v>-</v>
      </c>
      <c r="E577" s="9"/>
      <c r="F577" s="10"/>
      <c r="G577" s="9"/>
      <c r="H577" s="11"/>
      <c r="I577" s="9" t="s">
        <v>13</v>
      </c>
      <c r="J577" s="44"/>
    </row>
    <row r="578">
      <c r="A578" s="42" t="s">
        <v>330</v>
      </c>
      <c r="B578" s="47"/>
      <c r="C578" s="9" t="s">
        <v>11</v>
      </c>
      <c r="D578" s="8" t="str">
        <f t="shared" si="1"/>
        <v>-</v>
      </c>
      <c r="E578" s="9"/>
      <c r="F578" s="10"/>
      <c r="G578" s="9"/>
      <c r="H578" s="11"/>
      <c r="I578" s="9" t="s">
        <v>13</v>
      </c>
      <c r="J578" s="44"/>
    </row>
    <row r="579">
      <c r="A579" s="42" t="s">
        <v>330</v>
      </c>
      <c r="B579" s="47"/>
      <c r="C579" s="9" t="s">
        <v>11</v>
      </c>
      <c r="D579" s="8" t="str">
        <f t="shared" si="1"/>
        <v>-</v>
      </c>
      <c r="E579" s="9"/>
      <c r="F579" s="10"/>
      <c r="G579" s="9"/>
      <c r="H579" s="11"/>
      <c r="I579" s="9" t="s">
        <v>13</v>
      </c>
      <c r="J579" s="44"/>
    </row>
    <row r="580">
      <c r="A580" s="42" t="s">
        <v>330</v>
      </c>
      <c r="B580" s="47"/>
      <c r="C580" s="9" t="s">
        <v>11</v>
      </c>
      <c r="D580" s="8" t="str">
        <f t="shared" si="1"/>
        <v>-</v>
      </c>
      <c r="E580" s="9"/>
      <c r="F580" s="10"/>
      <c r="G580" s="9"/>
      <c r="H580" s="11"/>
      <c r="I580" s="9" t="s">
        <v>13</v>
      </c>
      <c r="J580" s="44"/>
    </row>
    <row r="581">
      <c r="A581" s="42" t="s">
        <v>330</v>
      </c>
      <c r="B581" s="47"/>
      <c r="C581" s="9" t="s">
        <v>11</v>
      </c>
      <c r="D581" s="8" t="str">
        <f t="shared" si="1"/>
        <v>-</v>
      </c>
      <c r="E581" s="9"/>
      <c r="F581" s="10"/>
      <c r="G581" s="9"/>
      <c r="H581" s="11"/>
      <c r="I581" s="9" t="s">
        <v>13</v>
      </c>
      <c r="J581" s="44"/>
    </row>
    <row r="582">
      <c r="A582" s="42" t="s">
        <v>330</v>
      </c>
      <c r="B582" s="47"/>
      <c r="C582" s="9" t="s">
        <v>11</v>
      </c>
      <c r="D582" s="8" t="str">
        <f t="shared" si="1"/>
        <v>-</v>
      </c>
      <c r="E582" s="9"/>
      <c r="F582" s="10"/>
      <c r="G582" s="9"/>
      <c r="H582" s="11"/>
      <c r="I582" s="9" t="s">
        <v>13</v>
      </c>
      <c r="J582" s="44"/>
    </row>
    <row r="583">
      <c r="A583" s="42" t="s">
        <v>330</v>
      </c>
      <c r="B583" s="47"/>
      <c r="C583" s="9" t="s">
        <v>11</v>
      </c>
      <c r="D583" s="8" t="str">
        <f t="shared" si="1"/>
        <v>-</v>
      </c>
      <c r="E583" s="9"/>
      <c r="F583" s="10"/>
      <c r="G583" s="9"/>
      <c r="H583" s="11"/>
      <c r="I583" s="9" t="s">
        <v>13</v>
      </c>
      <c r="J583" s="44"/>
    </row>
    <row r="584">
      <c r="A584" s="42" t="s">
        <v>330</v>
      </c>
      <c r="B584" s="47"/>
      <c r="C584" s="9" t="s">
        <v>11</v>
      </c>
      <c r="D584" s="8" t="str">
        <f t="shared" si="1"/>
        <v>-</v>
      </c>
      <c r="E584" s="9"/>
      <c r="F584" s="10"/>
      <c r="G584" s="9"/>
      <c r="H584" s="11"/>
      <c r="I584" s="9" t="s">
        <v>13</v>
      </c>
      <c r="J584" s="44"/>
    </row>
    <row r="585">
      <c r="A585" s="42" t="s">
        <v>330</v>
      </c>
      <c r="B585" s="47"/>
      <c r="C585" s="9" t="s">
        <v>11</v>
      </c>
      <c r="D585" s="8" t="str">
        <f t="shared" si="1"/>
        <v>-</v>
      </c>
      <c r="E585" s="9"/>
      <c r="F585" s="10"/>
      <c r="G585" s="9"/>
      <c r="H585" s="11"/>
      <c r="I585" s="9" t="s">
        <v>13</v>
      </c>
      <c r="J585" s="44"/>
    </row>
    <row r="586">
      <c r="A586" s="42" t="s">
        <v>330</v>
      </c>
      <c r="B586" s="47"/>
      <c r="C586" s="9" t="s">
        <v>11</v>
      </c>
      <c r="D586" s="8" t="str">
        <f t="shared" si="1"/>
        <v>-</v>
      </c>
      <c r="E586" s="9"/>
      <c r="F586" s="10"/>
      <c r="G586" s="9"/>
      <c r="H586" s="11"/>
      <c r="I586" s="9" t="s">
        <v>13</v>
      </c>
      <c r="J586" s="44"/>
    </row>
    <row r="587">
      <c r="A587" s="42" t="s">
        <v>330</v>
      </c>
      <c r="B587" s="47"/>
      <c r="C587" s="9" t="s">
        <v>11</v>
      </c>
      <c r="D587" s="8" t="str">
        <f t="shared" si="1"/>
        <v>-</v>
      </c>
      <c r="E587" s="9"/>
      <c r="F587" s="10"/>
      <c r="G587" s="9"/>
      <c r="H587" s="11"/>
      <c r="I587" s="9" t="s">
        <v>13</v>
      </c>
      <c r="J587" s="44"/>
    </row>
    <row r="588">
      <c r="A588" s="42" t="s">
        <v>330</v>
      </c>
      <c r="B588" s="47"/>
      <c r="C588" s="9" t="s">
        <v>11</v>
      </c>
      <c r="D588" s="8" t="str">
        <f t="shared" si="1"/>
        <v>-</v>
      </c>
      <c r="E588" s="9"/>
      <c r="F588" s="10"/>
      <c r="G588" s="9"/>
      <c r="H588" s="11"/>
      <c r="I588" s="9" t="s">
        <v>13</v>
      </c>
      <c r="J588" s="44"/>
    </row>
    <row r="589">
      <c r="A589" s="42" t="s">
        <v>330</v>
      </c>
      <c r="B589" s="47"/>
      <c r="C589" s="9" t="s">
        <v>11</v>
      </c>
      <c r="D589" s="8" t="str">
        <f t="shared" si="1"/>
        <v>-</v>
      </c>
      <c r="E589" s="9"/>
      <c r="F589" s="10"/>
      <c r="G589" s="9"/>
      <c r="H589" s="11"/>
      <c r="I589" s="9" t="s">
        <v>13</v>
      </c>
      <c r="J589" s="44"/>
    </row>
    <row r="590">
      <c r="A590" s="42" t="s">
        <v>330</v>
      </c>
      <c r="B590" s="47"/>
      <c r="C590" s="9" t="s">
        <v>11</v>
      </c>
      <c r="D590" s="8" t="str">
        <f t="shared" si="1"/>
        <v>-</v>
      </c>
      <c r="E590" s="9"/>
      <c r="F590" s="10"/>
      <c r="G590" s="9"/>
      <c r="H590" s="11"/>
      <c r="I590" s="9" t="s">
        <v>13</v>
      </c>
      <c r="J590" s="44"/>
    </row>
    <row r="591">
      <c r="A591" s="42" t="s">
        <v>330</v>
      </c>
      <c r="B591" s="47"/>
      <c r="C591" s="9" t="s">
        <v>11</v>
      </c>
      <c r="D591" s="8" t="str">
        <f t="shared" si="1"/>
        <v>-</v>
      </c>
      <c r="E591" s="9"/>
      <c r="F591" s="10"/>
      <c r="G591" s="9"/>
      <c r="H591" s="11"/>
      <c r="I591" s="9" t="s">
        <v>13</v>
      </c>
      <c r="J591" s="44"/>
    </row>
    <row r="592">
      <c r="A592" s="42" t="s">
        <v>330</v>
      </c>
      <c r="B592" s="47"/>
      <c r="C592" s="9" t="s">
        <v>11</v>
      </c>
      <c r="D592" s="8" t="str">
        <f t="shared" si="1"/>
        <v>-</v>
      </c>
      <c r="E592" s="9"/>
      <c r="F592" s="10"/>
      <c r="G592" s="9"/>
      <c r="H592" s="11"/>
      <c r="I592" s="9" t="s">
        <v>13</v>
      </c>
      <c r="J592" s="44"/>
    </row>
    <row r="593">
      <c r="A593" s="42" t="s">
        <v>330</v>
      </c>
      <c r="B593" s="47"/>
      <c r="C593" s="9" t="s">
        <v>11</v>
      </c>
      <c r="D593" s="8" t="str">
        <f t="shared" si="1"/>
        <v>-</v>
      </c>
      <c r="E593" s="9"/>
      <c r="F593" s="10"/>
      <c r="G593" s="9"/>
      <c r="H593" s="11"/>
      <c r="I593" s="9" t="s">
        <v>13</v>
      </c>
      <c r="J593" s="44"/>
    </row>
    <row r="594">
      <c r="A594" s="42" t="s">
        <v>330</v>
      </c>
      <c r="B594" s="47"/>
      <c r="C594" s="9" t="s">
        <v>11</v>
      </c>
      <c r="D594" s="8" t="str">
        <f t="shared" si="1"/>
        <v>-</v>
      </c>
      <c r="E594" s="9"/>
      <c r="F594" s="10"/>
      <c r="G594" s="9"/>
      <c r="H594" s="11"/>
      <c r="I594" s="9" t="s">
        <v>13</v>
      </c>
      <c r="J594" s="44"/>
    </row>
    <row r="595">
      <c r="A595" s="42" t="s">
        <v>330</v>
      </c>
      <c r="B595" s="47"/>
      <c r="C595" s="9" t="s">
        <v>11</v>
      </c>
      <c r="D595" s="8" t="str">
        <f t="shared" si="1"/>
        <v>-</v>
      </c>
      <c r="E595" s="9"/>
      <c r="F595" s="10"/>
      <c r="G595" s="9"/>
      <c r="H595" s="11"/>
      <c r="I595" s="9" t="s">
        <v>13</v>
      </c>
      <c r="J595" s="44"/>
    </row>
    <row r="596">
      <c r="A596" s="42" t="s">
        <v>330</v>
      </c>
      <c r="B596" s="47"/>
      <c r="C596" s="9" t="s">
        <v>11</v>
      </c>
      <c r="D596" s="8" t="str">
        <f t="shared" si="1"/>
        <v>-</v>
      </c>
      <c r="E596" s="9"/>
      <c r="F596" s="10"/>
      <c r="G596" s="9"/>
      <c r="H596" s="11"/>
      <c r="I596" s="9" t="s">
        <v>13</v>
      </c>
      <c r="J596" s="44"/>
    </row>
    <row r="597">
      <c r="A597" s="42" t="s">
        <v>330</v>
      </c>
      <c r="B597" s="47"/>
      <c r="C597" s="9" t="s">
        <v>11</v>
      </c>
      <c r="D597" s="8" t="str">
        <f t="shared" si="1"/>
        <v>-</v>
      </c>
      <c r="E597" s="9"/>
      <c r="F597" s="10"/>
      <c r="G597" s="9"/>
      <c r="H597" s="11"/>
      <c r="I597" s="9" t="s">
        <v>13</v>
      </c>
      <c r="J597" s="44"/>
    </row>
    <row r="598">
      <c r="A598" s="42" t="s">
        <v>330</v>
      </c>
      <c r="B598" s="47"/>
      <c r="C598" s="9" t="s">
        <v>11</v>
      </c>
      <c r="D598" s="8" t="str">
        <f t="shared" si="1"/>
        <v>-</v>
      </c>
      <c r="E598" s="9"/>
      <c r="F598" s="10"/>
      <c r="G598" s="9"/>
      <c r="H598" s="11"/>
      <c r="I598" s="9" t="s">
        <v>13</v>
      </c>
      <c r="J598" s="44"/>
    </row>
    <row r="599">
      <c r="A599" s="42" t="s">
        <v>330</v>
      </c>
      <c r="B599" s="47"/>
      <c r="C599" s="9" t="s">
        <v>11</v>
      </c>
      <c r="D599" s="8" t="str">
        <f t="shared" si="1"/>
        <v>-</v>
      </c>
      <c r="E599" s="9"/>
      <c r="F599" s="10"/>
      <c r="G599" s="9"/>
      <c r="H599" s="11"/>
      <c r="I599" s="9" t="s">
        <v>13</v>
      </c>
      <c r="J599" s="44"/>
    </row>
    <row r="600">
      <c r="A600" s="42" t="s">
        <v>330</v>
      </c>
      <c r="B600" s="47"/>
      <c r="C600" s="9" t="s">
        <v>11</v>
      </c>
      <c r="D600" s="8" t="str">
        <f t="shared" si="1"/>
        <v>-</v>
      </c>
      <c r="E600" s="9"/>
      <c r="F600" s="10"/>
      <c r="G600" s="9"/>
      <c r="H600" s="11"/>
      <c r="I600" s="9" t="s">
        <v>13</v>
      </c>
      <c r="J600" s="44"/>
    </row>
    <row r="601">
      <c r="A601" s="42" t="s">
        <v>330</v>
      </c>
      <c r="B601" s="47"/>
      <c r="C601" s="9" t="s">
        <v>11</v>
      </c>
      <c r="D601" s="8" t="str">
        <f t="shared" si="1"/>
        <v>-</v>
      </c>
      <c r="E601" s="9"/>
      <c r="F601" s="10"/>
      <c r="G601" s="9"/>
      <c r="H601" s="11"/>
      <c r="I601" s="9" t="s">
        <v>13</v>
      </c>
      <c r="J601" s="44"/>
    </row>
    <row r="602">
      <c r="A602" s="42" t="s">
        <v>330</v>
      </c>
      <c r="B602" s="47"/>
      <c r="C602" s="9" t="s">
        <v>11</v>
      </c>
      <c r="D602" s="8" t="str">
        <f t="shared" si="1"/>
        <v>-</v>
      </c>
      <c r="E602" s="9"/>
      <c r="F602" s="10"/>
      <c r="G602" s="9"/>
      <c r="H602" s="11"/>
      <c r="I602" s="9" t="s">
        <v>13</v>
      </c>
      <c r="J602" s="44"/>
    </row>
    <row r="603">
      <c r="A603" s="42" t="s">
        <v>330</v>
      </c>
      <c r="B603" s="47"/>
      <c r="C603" s="9" t="s">
        <v>11</v>
      </c>
      <c r="D603" s="8" t="str">
        <f t="shared" si="1"/>
        <v>-</v>
      </c>
      <c r="E603" s="9"/>
      <c r="F603" s="10"/>
      <c r="G603" s="9"/>
      <c r="H603" s="11"/>
      <c r="I603" s="9" t="s">
        <v>13</v>
      </c>
      <c r="J603" s="44"/>
    </row>
    <row r="604">
      <c r="A604" s="42" t="s">
        <v>330</v>
      </c>
      <c r="B604" s="47"/>
      <c r="C604" s="9" t="s">
        <v>11</v>
      </c>
      <c r="D604" s="8" t="str">
        <f t="shared" si="1"/>
        <v>-</v>
      </c>
      <c r="E604" s="9"/>
      <c r="F604" s="10"/>
      <c r="G604" s="9"/>
      <c r="H604" s="11"/>
      <c r="I604" s="9" t="s">
        <v>13</v>
      </c>
      <c r="J604" s="44"/>
    </row>
    <row r="605">
      <c r="A605" s="42" t="s">
        <v>330</v>
      </c>
      <c r="B605" s="47"/>
      <c r="C605" s="9" t="s">
        <v>11</v>
      </c>
      <c r="D605" s="8" t="str">
        <f t="shared" si="1"/>
        <v>-</v>
      </c>
      <c r="E605" s="9"/>
      <c r="F605" s="10"/>
      <c r="G605" s="9"/>
      <c r="H605" s="11"/>
      <c r="I605" s="9" t="s">
        <v>13</v>
      </c>
      <c r="J605" s="44"/>
    </row>
    <row r="606">
      <c r="A606" s="42" t="s">
        <v>330</v>
      </c>
      <c r="B606" s="47"/>
      <c r="C606" s="9" t="s">
        <v>11</v>
      </c>
      <c r="D606" s="8" t="str">
        <f t="shared" si="1"/>
        <v>-</v>
      </c>
      <c r="E606" s="9"/>
      <c r="F606" s="10"/>
      <c r="G606" s="9"/>
      <c r="H606" s="11"/>
      <c r="I606" s="9" t="s">
        <v>13</v>
      </c>
      <c r="J606" s="44"/>
    </row>
    <row r="607">
      <c r="A607" s="42" t="s">
        <v>330</v>
      </c>
      <c r="B607" s="47"/>
      <c r="C607" s="9" t="s">
        <v>11</v>
      </c>
      <c r="D607" s="8" t="str">
        <f t="shared" si="1"/>
        <v>-</v>
      </c>
      <c r="E607" s="9"/>
      <c r="F607" s="10"/>
      <c r="G607" s="9"/>
      <c r="H607" s="11"/>
      <c r="I607" s="9" t="s">
        <v>13</v>
      </c>
      <c r="J607" s="44"/>
    </row>
    <row r="608">
      <c r="A608" s="42" t="s">
        <v>330</v>
      </c>
      <c r="B608" s="47"/>
      <c r="C608" s="9" t="s">
        <v>11</v>
      </c>
      <c r="D608" s="8" t="str">
        <f t="shared" si="1"/>
        <v>-</v>
      </c>
      <c r="E608" s="9"/>
      <c r="F608" s="10"/>
      <c r="G608" s="9"/>
      <c r="H608" s="11"/>
      <c r="I608" s="9" t="s">
        <v>13</v>
      </c>
      <c r="J608" s="44"/>
    </row>
    <row r="609">
      <c r="A609" s="42" t="s">
        <v>330</v>
      </c>
      <c r="B609" s="47"/>
      <c r="C609" s="9" t="s">
        <v>11</v>
      </c>
      <c r="D609" s="8" t="str">
        <f t="shared" si="1"/>
        <v>-</v>
      </c>
      <c r="E609" s="9"/>
      <c r="F609" s="10"/>
      <c r="G609" s="9"/>
      <c r="H609" s="11"/>
      <c r="I609" s="9" t="s">
        <v>13</v>
      </c>
      <c r="J609" s="44"/>
    </row>
    <row r="610">
      <c r="A610" s="42" t="s">
        <v>330</v>
      </c>
      <c r="B610" s="47"/>
      <c r="C610" s="9" t="s">
        <v>11</v>
      </c>
      <c r="D610" s="8" t="str">
        <f t="shared" si="1"/>
        <v>-</v>
      </c>
      <c r="E610" s="9"/>
      <c r="F610" s="10"/>
      <c r="G610" s="9"/>
      <c r="H610" s="11"/>
      <c r="I610" s="9" t="s">
        <v>13</v>
      </c>
      <c r="J610" s="44"/>
    </row>
    <row r="611">
      <c r="A611" s="42" t="s">
        <v>330</v>
      </c>
      <c r="B611" s="47"/>
      <c r="C611" s="9" t="s">
        <v>11</v>
      </c>
      <c r="D611" s="8" t="str">
        <f t="shared" si="1"/>
        <v>-</v>
      </c>
      <c r="E611" s="9"/>
      <c r="F611" s="10"/>
      <c r="G611" s="9"/>
      <c r="H611" s="11"/>
      <c r="I611" s="9" t="s">
        <v>13</v>
      </c>
      <c r="J611" s="44"/>
    </row>
    <row r="612">
      <c r="A612" s="42" t="s">
        <v>330</v>
      </c>
      <c r="B612" s="47"/>
      <c r="C612" s="9" t="s">
        <v>11</v>
      </c>
      <c r="D612" s="8" t="str">
        <f t="shared" si="1"/>
        <v>-</v>
      </c>
      <c r="E612" s="9"/>
      <c r="F612" s="10"/>
      <c r="G612" s="9"/>
      <c r="H612" s="11"/>
      <c r="I612" s="9" t="s">
        <v>13</v>
      </c>
      <c r="J612" s="44"/>
    </row>
    <row r="613">
      <c r="A613" s="42" t="s">
        <v>330</v>
      </c>
      <c r="B613" s="47"/>
      <c r="C613" s="9" t="s">
        <v>11</v>
      </c>
      <c r="D613" s="8" t="str">
        <f t="shared" si="1"/>
        <v>-</v>
      </c>
      <c r="E613" s="9"/>
      <c r="F613" s="10"/>
      <c r="G613" s="9"/>
      <c r="H613" s="11"/>
      <c r="I613" s="9" t="s">
        <v>13</v>
      </c>
      <c r="J613" s="44"/>
    </row>
    <row r="614">
      <c r="A614" s="42" t="s">
        <v>330</v>
      </c>
      <c r="B614" s="47"/>
      <c r="C614" s="9" t="s">
        <v>11</v>
      </c>
      <c r="D614" s="8" t="str">
        <f t="shared" si="1"/>
        <v>-</v>
      </c>
      <c r="E614" s="9"/>
      <c r="F614" s="10"/>
      <c r="G614" s="9"/>
      <c r="H614" s="11"/>
      <c r="I614" s="9" t="s">
        <v>13</v>
      </c>
      <c r="J614" s="44"/>
    </row>
    <row r="615">
      <c r="A615" s="42" t="s">
        <v>330</v>
      </c>
      <c r="B615" s="47"/>
      <c r="C615" s="9" t="s">
        <v>11</v>
      </c>
      <c r="D615" s="8" t="str">
        <f t="shared" si="1"/>
        <v>-</v>
      </c>
      <c r="E615" s="9"/>
      <c r="F615" s="10"/>
      <c r="G615" s="9"/>
      <c r="H615" s="11"/>
      <c r="I615" s="9" t="s">
        <v>13</v>
      </c>
      <c r="J615" s="44"/>
    </row>
    <row r="616">
      <c r="A616" s="42" t="s">
        <v>330</v>
      </c>
      <c r="B616" s="47"/>
      <c r="C616" s="9" t="s">
        <v>11</v>
      </c>
      <c r="D616" s="8" t="str">
        <f t="shared" si="1"/>
        <v>-</v>
      </c>
      <c r="E616" s="9"/>
      <c r="F616" s="10"/>
      <c r="G616" s="9"/>
      <c r="H616" s="11"/>
      <c r="I616" s="9" t="s">
        <v>13</v>
      </c>
      <c r="J616" s="44"/>
    </row>
    <row r="617">
      <c r="A617" s="42" t="s">
        <v>330</v>
      </c>
      <c r="B617" s="47"/>
      <c r="C617" s="9" t="s">
        <v>11</v>
      </c>
      <c r="D617" s="8" t="str">
        <f t="shared" si="1"/>
        <v>-</v>
      </c>
      <c r="E617" s="9"/>
      <c r="F617" s="10"/>
      <c r="G617" s="9"/>
      <c r="H617" s="11"/>
      <c r="I617" s="9" t="s">
        <v>13</v>
      </c>
      <c r="J617" s="44"/>
    </row>
    <row r="618">
      <c r="A618" s="42" t="s">
        <v>330</v>
      </c>
      <c r="B618" s="47"/>
      <c r="C618" s="9" t="s">
        <v>11</v>
      </c>
      <c r="D618" s="8" t="str">
        <f t="shared" si="1"/>
        <v>-</v>
      </c>
      <c r="E618" s="9"/>
      <c r="F618" s="10"/>
      <c r="G618" s="9"/>
      <c r="H618" s="11"/>
      <c r="I618" s="9" t="s">
        <v>13</v>
      </c>
      <c r="J618" s="44"/>
    </row>
    <row r="619">
      <c r="A619" s="42" t="s">
        <v>330</v>
      </c>
      <c r="B619" s="47"/>
      <c r="C619" s="9" t="s">
        <v>11</v>
      </c>
      <c r="D619" s="8" t="str">
        <f t="shared" si="1"/>
        <v>-</v>
      </c>
      <c r="E619" s="9"/>
      <c r="F619" s="10"/>
      <c r="G619" s="9"/>
      <c r="H619" s="11"/>
      <c r="I619" s="9" t="s">
        <v>13</v>
      </c>
      <c r="J619" s="44"/>
    </row>
    <row r="620">
      <c r="A620" s="42" t="s">
        <v>330</v>
      </c>
      <c r="B620" s="47"/>
      <c r="C620" s="9" t="s">
        <v>11</v>
      </c>
      <c r="D620" s="8" t="str">
        <f t="shared" si="1"/>
        <v>-</v>
      </c>
      <c r="E620" s="9"/>
      <c r="F620" s="10"/>
      <c r="G620" s="9"/>
      <c r="H620" s="11"/>
      <c r="I620" s="9" t="s">
        <v>13</v>
      </c>
      <c r="J620" s="44"/>
    </row>
    <row r="621">
      <c r="A621" s="42" t="s">
        <v>330</v>
      </c>
      <c r="B621" s="47"/>
      <c r="C621" s="9" t="s">
        <v>11</v>
      </c>
      <c r="D621" s="8" t="str">
        <f t="shared" si="1"/>
        <v>-</v>
      </c>
      <c r="E621" s="9"/>
      <c r="F621" s="10"/>
      <c r="G621" s="9"/>
      <c r="H621" s="11"/>
      <c r="I621" s="9" t="s">
        <v>13</v>
      </c>
      <c r="J621" s="44"/>
    </row>
    <row r="622">
      <c r="A622" s="42" t="s">
        <v>330</v>
      </c>
      <c r="B622" s="47"/>
      <c r="C622" s="9" t="s">
        <v>11</v>
      </c>
      <c r="D622" s="8" t="str">
        <f t="shared" si="1"/>
        <v>-</v>
      </c>
      <c r="E622" s="9"/>
      <c r="F622" s="10"/>
      <c r="G622" s="9"/>
      <c r="H622" s="11"/>
      <c r="I622" s="9" t="s">
        <v>13</v>
      </c>
      <c r="J622" s="44"/>
    </row>
    <row r="623">
      <c r="A623" s="42" t="s">
        <v>330</v>
      </c>
      <c r="B623" s="47"/>
      <c r="C623" s="9" t="s">
        <v>11</v>
      </c>
      <c r="D623" s="8" t="str">
        <f t="shared" si="1"/>
        <v>-</v>
      </c>
      <c r="E623" s="9"/>
      <c r="F623" s="10"/>
      <c r="G623" s="9"/>
      <c r="H623" s="11"/>
      <c r="I623" s="9" t="s">
        <v>13</v>
      </c>
      <c r="J623" s="44"/>
    </row>
    <row r="624">
      <c r="A624" s="42" t="s">
        <v>330</v>
      </c>
      <c r="B624" s="47"/>
      <c r="C624" s="9" t="s">
        <v>11</v>
      </c>
      <c r="D624" s="8" t="str">
        <f t="shared" si="1"/>
        <v>-</v>
      </c>
      <c r="E624" s="9"/>
      <c r="F624" s="10"/>
      <c r="G624" s="9"/>
      <c r="H624" s="11"/>
      <c r="I624" s="9" t="s">
        <v>13</v>
      </c>
      <c r="J624" s="44"/>
    </row>
    <row r="625">
      <c r="A625" s="42" t="s">
        <v>330</v>
      </c>
      <c r="B625" s="47"/>
      <c r="C625" s="9" t="s">
        <v>11</v>
      </c>
      <c r="D625" s="8" t="str">
        <f t="shared" si="1"/>
        <v>-</v>
      </c>
      <c r="E625" s="9"/>
      <c r="F625" s="10"/>
      <c r="G625" s="9"/>
      <c r="H625" s="11"/>
      <c r="I625" s="9" t="s">
        <v>13</v>
      </c>
      <c r="J625" s="44"/>
    </row>
    <row r="626">
      <c r="A626" s="42" t="s">
        <v>330</v>
      </c>
      <c r="B626" s="47"/>
      <c r="C626" s="9" t="s">
        <v>11</v>
      </c>
      <c r="D626" s="8" t="str">
        <f t="shared" si="1"/>
        <v>-</v>
      </c>
      <c r="E626" s="9"/>
      <c r="F626" s="10"/>
      <c r="G626" s="9"/>
      <c r="H626" s="11"/>
      <c r="I626" s="9" t="s">
        <v>13</v>
      </c>
      <c r="J626" s="44"/>
    </row>
    <row r="627">
      <c r="A627" s="42" t="s">
        <v>330</v>
      </c>
      <c r="B627" s="47"/>
      <c r="C627" s="9" t="s">
        <v>11</v>
      </c>
      <c r="D627" s="8" t="str">
        <f t="shared" si="1"/>
        <v>-</v>
      </c>
      <c r="E627" s="9"/>
      <c r="F627" s="10"/>
      <c r="G627" s="9"/>
      <c r="H627" s="11"/>
      <c r="I627" s="9" t="s">
        <v>13</v>
      </c>
      <c r="J627" s="44"/>
    </row>
    <row r="628">
      <c r="A628" s="42" t="s">
        <v>330</v>
      </c>
      <c r="B628" s="47"/>
      <c r="C628" s="9" t="s">
        <v>11</v>
      </c>
      <c r="D628" s="8" t="str">
        <f t="shared" si="1"/>
        <v>-</v>
      </c>
      <c r="E628" s="9"/>
      <c r="F628" s="10"/>
      <c r="G628" s="9"/>
      <c r="H628" s="11"/>
      <c r="I628" s="9" t="s">
        <v>13</v>
      </c>
      <c r="J628" s="44"/>
    </row>
    <row r="629">
      <c r="A629" s="42" t="s">
        <v>330</v>
      </c>
      <c r="B629" s="47"/>
      <c r="C629" s="9" t="s">
        <v>11</v>
      </c>
      <c r="D629" s="8" t="str">
        <f t="shared" si="1"/>
        <v>-</v>
      </c>
      <c r="E629" s="9"/>
      <c r="F629" s="10"/>
      <c r="G629" s="9"/>
      <c r="H629" s="11"/>
      <c r="I629" s="9" t="s">
        <v>13</v>
      </c>
      <c r="J629" s="44"/>
    </row>
    <row r="630">
      <c r="A630" s="42" t="s">
        <v>330</v>
      </c>
      <c r="B630" s="47"/>
      <c r="C630" s="9" t="s">
        <v>11</v>
      </c>
      <c r="D630" s="8" t="str">
        <f t="shared" si="1"/>
        <v>-</v>
      </c>
      <c r="E630" s="9"/>
      <c r="F630" s="10"/>
      <c r="G630" s="9"/>
      <c r="H630" s="11"/>
      <c r="I630" s="9" t="s">
        <v>13</v>
      </c>
      <c r="J630" s="44"/>
    </row>
    <row r="631">
      <c r="A631" s="42" t="s">
        <v>330</v>
      </c>
      <c r="B631" s="47"/>
      <c r="C631" s="9" t="s">
        <v>11</v>
      </c>
      <c r="D631" s="8" t="str">
        <f t="shared" si="1"/>
        <v>-</v>
      </c>
      <c r="E631" s="9"/>
      <c r="F631" s="10"/>
      <c r="G631" s="9"/>
      <c r="H631" s="11"/>
      <c r="I631" s="9" t="s">
        <v>13</v>
      </c>
      <c r="J631" s="44"/>
    </row>
    <row r="632">
      <c r="A632" s="42" t="s">
        <v>330</v>
      </c>
      <c r="B632" s="47"/>
      <c r="C632" s="9" t="s">
        <v>11</v>
      </c>
      <c r="D632" s="8" t="str">
        <f t="shared" si="1"/>
        <v>-</v>
      </c>
      <c r="E632" s="9"/>
      <c r="F632" s="10"/>
      <c r="G632" s="9"/>
      <c r="H632" s="11"/>
      <c r="I632" s="9" t="s">
        <v>13</v>
      </c>
      <c r="J632" s="44"/>
    </row>
    <row r="633">
      <c r="A633" s="42" t="s">
        <v>330</v>
      </c>
      <c r="B633" s="47"/>
      <c r="C633" s="9" t="s">
        <v>11</v>
      </c>
      <c r="D633" s="8" t="str">
        <f t="shared" si="1"/>
        <v>-</v>
      </c>
      <c r="E633" s="9"/>
      <c r="F633" s="10"/>
      <c r="G633" s="9"/>
      <c r="H633" s="11"/>
      <c r="I633" s="9" t="s">
        <v>13</v>
      </c>
      <c r="J633" s="44"/>
    </row>
    <row r="634">
      <c r="A634" s="42" t="s">
        <v>330</v>
      </c>
      <c r="B634" s="47"/>
      <c r="C634" s="9" t="s">
        <v>11</v>
      </c>
      <c r="D634" s="8" t="str">
        <f t="shared" si="1"/>
        <v>-</v>
      </c>
      <c r="E634" s="9"/>
      <c r="F634" s="10"/>
      <c r="G634" s="9"/>
      <c r="H634" s="11"/>
      <c r="I634" s="9" t="s">
        <v>13</v>
      </c>
      <c r="J634" s="44"/>
    </row>
    <row r="635">
      <c r="A635" s="42" t="s">
        <v>330</v>
      </c>
      <c r="B635" s="47"/>
      <c r="C635" s="9" t="s">
        <v>11</v>
      </c>
      <c r="D635" s="8" t="str">
        <f t="shared" si="1"/>
        <v>-</v>
      </c>
      <c r="E635" s="9"/>
      <c r="F635" s="10"/>
      <c r="G635" s="9"/>
      <c r="H635" s="11"/>
      <c r="I635" s="9" t="s">
        <v>13</v>
      </c>
      <c r="J635" s="44"/>
    </row>
    <row r="636">
      <c r="A636" s="42" t="s">
        <v>330</v>
      </c>
      <c r="B636" s="47"/>
      <c r="C636" s="9" t="s">
        <v>11</v>
      </c>
      <c r="D636" s="8" t="str">
        <f t="shared" si="1"/>
        <v>-</v>
      </c>
      <c r="E636" s="9"/>
      <c r="F636" s="10"/>
      <c r="G636" s="9"/>
      <c r="H636" s="11"/>
      <c r="I636" s="9" t="s">
        <v>13</v>
      </c>
      <c r="J636" s="44"/>
    </row>
    <row r="637">
      <c r="A637" s="42" t="s">
        <v>330</v>
      </c>
      <c r="B637" s="47"/>
      <c r="C637" s="9" t="s">
        <v>11</v>
      </c>
      <c r="D637" s="8" t="str">
        <f t="shared" si="1"/>
        <v>-</v>
      </c>
      <c r="E637" s="9"/>
      <c r="F637" s="10"/>
      <c r="G637" s="9"/>
      <c r="H637" s="11"/>
      <c r="I637" s="9" t="s">
        <v>13</v>
      </c>
      <c r="J637" s="44"/>
    </row>
    <row r="638">
      <c r="A638" s="42" t="s">
        <v>330</v>
      </c>
      <c r="B638" s="47"/>
      <c r="C638" s="9" t="s">
        <v>11</v>
      </c>
      <c r="D638" s="8" t="str">
        <f t="shared" si="1"/>
        <v>-</v>
      </c>
      <c r="E638" s="9"/>
      <c r="F638" s="10"/>
      <c r="G638" s="9"/>
      <c r="H638" s="11"/>
      <c r="I638" s="9" t="s">
        <v>13</v>
      </c>
      <c r="J638" s="44"/>
    </row>
    <row r="639">
      <c r="A639" s="42" t="s">
        <v>330</v>
      </c>
      <c r="B639" s="47"/>
      <c r="C639" s="9" t="s">
        <v>11</v>
      </c>
      <c r="D639" s="8" t="str">
        <f t="shared" si="1"/>
        <v>-</v>
      </c>
      <c r="E639" s="9"/>
      <c r="F639" s="10"/>
      <c r="G639" s="9"/>
      <c r="H639" s="11"/>
      <c r="I639" s="9" t="s">
        <v>13</v>
      </c>
      <c r="J639" s="44"/>
    </row>
    <row r="640">
      <c r="A640" s="42" t="s">
        <v>330</v>
      </c>
      <c r="B640" s="47"/>
      <c r="C640" s="9" t="s">
        <v>11</v>
      </c>
      <c r="D640" s="8" t="str">
        <f t="shared" si="1"/>
        <v>-</v>
      </c>
      <c r="E640" s="9"/>
      <c r="F640" s="10"/>
      <c r="G640" s="9"/>
      <c r="H640" s="11"/>
      <c r="I640" s="9" t="s">
        <v>13</v>
      </c>
      <c r="J640" s="44"/>
    </row>
    <row r="641">
      <c r="A641" s="42" t="s">
        <v>330</v>
      </c>
      <c r="B641" s="47"/>
      <c r="C641" s="9" t="s">
        <v>11</v>
      </c>
      <c r="D641" s="8" t="str">
        <f t="shared" si="1"/>
        <v>-</v>
      </c>
      <c r="E641" s="9"/>
      <c r="F641" s="10"/>
      <c r="G641" s="9"/>
      <c r="H641" s="11"/>
      <c r="I641" s="9" t="s">
        <v>13</v>
      </c>
      <c r="J641" s="44"/>
    </row>
    <row r="642">
      <c r="A642" s="42" t="s">
        <v>330</v>
      </c>
      <c r="B642" s="47"/>
      <c r="C642" s="9" t="s">
        <v>11</v>
      </c>
      <c r="D642" s="8" t="str">
        <f t="shared" si="1"/>
        <v>-</v>
      </c>
      <c r="E642" s="9"/>
      <c r="F642" s="10"/>
      <c r="G642" s="9"/>
      <c r="H642" s="11"/>
      <c r="I642" s="9" t="s">
        <v>13</v>
      </c>
      <c r="J642" s="44"/>
    </row>
    <row r="643">
      <c r="A643" s="42" t="s">
        <v>330</v>
      </c>
      <c r="B643" s="47"/>
      <c r="C643" s="9" t="s">
        <v>11</v>
      </c>
      <c r="D643" s="8" t="str">
        <f t="shared" si="1"/>
        <v>-</v>
      </c>
      <c r="E643" s="9"/>
      <c r="F643" s="10"/>
      <c r="G643" s="9"/>
      <c r="H643" s="11"/>
      <c r="I643" s="9" t="s">
        <v>13</v>
      </c>
      <c r="J643" s="44"/>
    </row>
    <row r="644">
      <c r="A644" s="42" t="s">
        <v>330</v>
      </c>
      <c r="B644" s="47"/>
      <c r="C644" s="9" t="s">
        <v>11</v>
      </c>
      <c r="D644" s="8" t="str">
        <f t="shared" si="1"/>
        <v>-</v>
      </c>
      <c r="E644" s="9"/>
      <c r="F644" s="10"/>
      <c r="G644" s="9"/>
      <c r="H644" s="11"/>
      <c r="I644" s="9" t="s">
        <v>13</v>
      </c>
      <c r="J644" s="44"/>
    </row>
    <row r="645">
      <c r="A645" s="42" t="s">
        <v>330</v>
      </c>
      <c r="B645" s="47"/>
      <c r="C645" s="9" t="s">
        <v>11</v>
      </c>
      <c r="D645" s="8" t="str">
        <f t="shared" si="1"/>
        <v>-</v>
      </c>
      <c r="E645" s="9"/>
      <c r="F645" s="10"/>
      <c r="G645" s="9"/>
      <c r="H645" s="11"/>
      <c r="I645" s="9" t="s">
        <v>13</v>
      </c>
      <c r="J645" s="44"/>
    </row>
    <row r="646">
      <c r="A646" s="42" t="s">
        <v>330</v>
      </c>
      <c r="B646" s="47"/>
      <c r="C646" s="9" t="s">
        <v>11</v>
      </c>
      <c r="D646" s="8" t="str">
        <f t="shared" si="1"/>
        <v>-</v>
      </c>
      <c r="E646" s="9"/>
      <c r="F646" s="10"/>
      <c r="G646" s="9"/>
      <c r="H646" s="11"/>
      <c r="I646" s="9" t="s">
        <v>13</v>
      </c>
      <c r="J646" s="44"/>
    </row>
    <row r="647">
      <c r="A647" s="42" t="s">
        <v>330</v>
      </c>
      <c r="B647" s="47"/>
      <c r="C647" s="9" t="s">
        <v>11</v>
      </c>
      <c r="D647" s="8" t="str">
        <f t="shared" si="1"/>
        <v>-</v>
      </c>
      <c r="E647" s="9"/>
      <c r="F647" s="10"/>
      <c r="G647" s="9"/>
      <c r="H647" s="11"/>
      <c r="I647" s="9" t="s">
        <v>13</v>
      </c>
      <c r="J647" s="44"/>
    </row>
    <row r="648">
      <c r="A648" s="42" t="s">
        <v>330</v>
      </c>
      <c r="B648" s="47"/>
      <c r="C648" s="9" t="s">
        <v>11</v>
      </c>
      <c r="D648" s="8" t="str">
        <f t="shared" si="1"/>
        <v>-</v>
      </c>
      <c r="E648" s="9"/>
      <c r="F648" s="10"/>
      <c r="G648" s="9"/>
      <c r="H648" s="11"/>
      <c r="I648" s="9" t="s">
        <v>13</v>
      </c>
      <c r="J648" s="44"/>
    </row>
    <row r="649">
      <c r="A649" s="42" t="s">
        <v>330</v>
      </c>
      <c r="B649" s="47"/>
      <c r="C649" s="9" t="s">
        <v>11</v>
      </c>
      <c r="D649" s="8" t="str">
        <f t="shared" si="1"/>
        <v>-</v>
      </c>
      <c r="E649" s="9"/>
      <c r="F649" s="10"/>
      <c r="G649" s="9"/>
      <c r="H649" s="11"/>
      <c r="I649" s="9" t="s">
        <v>13</v>
      </c>
      <c r="J649" s="44"/>
    </row>
    <row r="650">
      <c r="A650" s="42" t="s">
        <v>330</v>
      </c>
      <c r="B650" s="47"/>
      <c r="C650" s="9" t="s">
        <v>11</v>
      </c>
      <c r="D650" s="8" t="str">
        <f t="shared" si="1"/>
        <v>-</v>
      </c>
      <c r="E650" s="9"/>
      <c r="F650" s="10"/>
      <c r="G650" s="9"/>
      <c r="H650" s="11"/>
      <c r="I650" s="9" t="s">
        <v>13</v>
      </c>
      <c r="J650" s="44"/>
    </row>
    <row r="651">
      <c r="A651" s="42" t="s">
        <v>330</v>
      </c>
      <c r="B651" s="47"/>
      <c r="C651" s="9" t="s">
        <v>11</v>
      </c>
      <c r="D651" s="8" t="str">
        <f t="shared" si="1"/>
        <v>-</v>
      </c>
      <c r="E651" s="9"/>
      <c r="F651" s="10"/>
      <c r="G651" s="9"/>
      <c r="H651" s="11"/>
      <c r="I651" s="9" t="s">
        <v>13</v>
      </c>
      <c r="J651" s="44"/>
    </row>
    <row r="652">
      <c r="A652" s="42" t="s">
        <v>330</v>
      </c>
      <c r="B652" s="47"/>
      <c r="C652" s="9" t="s">
        <v>11</v>
      </c>
      <c r="D652" s="8" t="str">
        <f t="shared" si="1"/>
        <v>-</v>
      </c>
      <c r="E652" s="9"/>
      <c r="F652" s="10"/>
      <c r="G652" s="9"/>
      <c r="H652" s="11"/>
      <c r="I652" s="9" t="s">
        <v>13</v>
      </c>
      <c r="J652" s="44"/>
    </row>
    <row r="653">
      <c r="A653" s="42" t="s">
        <v>330</v>
      </c>
      <c r="B653" s="47"/>
      <c r="C653" s="9" t="s">
        <v>11</v>
      </c>
      <c r="D653" s="8" t="str">
        <f t="shared" si="1"/>
        <v>-</v>
      </c>
      <c r="E653" s="9"/>
      <c r="F653" s="10"/>
      <c r="G653" s="9"/>
      <c r="H653" s="11"/>
      <c r="I653" s="9" t="s">
        <v>13</v>
      </c>
      <c r="J653" s="44"/>
    </row>
    <row r="654">
      <c r="A654" s="42" t="s">
        <v>330</v>
      </c>
      <c r="B654" s="47"/>
      <c r="C654" s="9" t="s">
        <v>11</v>
      </c>
      <c r="D654" s="8" t="str">
        <f t="shared" si="1"/>
        <v>-</v>
      </c>
      <c r="E654" s="9"/>
      <c r="F654" s="10"/>
      <c r="G654" s="9"/>
      <c r="H654" s="11"/>
      <c r="I654" s="9" t="s">
        <v>13</v>
      </c>
      <c r="J654" s="44"/>
    </row>
    <row r="655">
      <c r="A655" s="42" t="s">
        <v>330</v>
      </c>
      <c r="B655" s="47"/>
      <c r="C655" s="9" t="s">
        <v>11</v>
      </c>
      <c r="D655" s="8" t="str">
        <f t="shared" si="1"/>
        <v>-</v>
      </c>
      <c r="E655" s="9"/>
      <c r="F655" s="10"/>
      <c r="G655" s="9"/>
      <c r="H655" s="11"/>
      <c r="I655" s="9" t="s">
        <v>13</v>
      </c>
      <c r="J655" s="44"/>
    </row>
    <row r="656">
      <c r="A656" s="42" t="s">
        <v>330</v>
      </c>
      <c r="B656" s="47"/>
      <c r="C656" s="9" t="s">
        <v>11</v>
      </c>
      <c r="D656" s="8" t="str">
        <f t="shared" si="1"/>
        <v>-</v>
      </c>
      <c r="E656" s="9"/>
      <c r="F656" s="10"/>
      <c r="G656" s="9"/>
      <c r="H656" s="11"/>
      <c r="I656" s="9" t="s">
        <v>13</v>
      </c>
      <c r="J656" s="44"/>
    </row>
    <row r="657">
      <c r="A657" s="42" t="s">
        <v>330</v>
      </c>
      <c r="B657" s="47"/>
      <c r="C657" s="9" t="s">
        <v>11</v>
      </c>
      <c r="D657" s="8" t="str">
        <f t="shared" si="1"/>
        <v>-</v>
      </c>
      <c r="E657" s="9"/>
      <c r="F657" s="10"/>
      <c r="G657" s="9"/>
      <c r="H657" s="11"/>
      <c r="I657" s="9" t="s">
        <v>13</v>
      </c>
      <c r="J657" s="44"/>
    </row>
    <row r="658">
      <c r="A658" s="42" t="s">
        <v>330</v>
      </c>
      <c r="B658" s="47"/>
      <c r="C658" s="9" t="s">
        <v>11</v>
      </c>
      <c r="D658" s="8" t="str">
        <f t="shared" si="1"/>
        <v>-</v>
      </c>
      <c r="E658" s="9"/>
      <c r="F658" s="10"/>
      <c r="G658" s="9"/>
      <c r="H658" s="11"/>
      <c r="I658" s="9" t="s">
        <v>13</v>
      </c>
      <c r="J658" s="44"/>
    </row>
    <row r="659">
      <c r="A659" s="42" t="s">
        <v>330</v>
      </c>
      <c r="B659" s="47"/>
      <c r="C659" s="9" t="s">
        <v>11</v>
      </c>
      <c r="D659" s="8" t="str">
        <f t="shared" si="1"/>
        <v>-</v>
      </c>
      <c r="E659" s="9"/>
      <c r="F659" s="10"/>
      <c r="G659" s="9"/>
      <c r="H659" s="11"/>
      <c r="I659" s="9" t="s">
        <v>13</v>
      </c>
      <c r="J659" s="44"/>
    </row>
    <row r="660">
      <c r="A660" s="42" t="s">
        <v>330</v>
      </c>
      <c r="B660" s="47"/>
      <c r="C660" s="9" t="s">
        <v>11</v>
      </c>
      <c r="D660" s="8" t="str">
        <f t="shared" si="1"/>
        <v>-</v>
      </c>
      <c r="E660" s="9"/>
      <c r="F660" s="10"/>
      <c r="G660" s="9"/>
      <c r="H660" s="11"/>
      <c r="I660" s="9" t="s">
        <v>13</v>
      </c>
      <c r="J660" s="44"/>
    </row>
    <row r="661">
      <c r="A661" s="42" t="s">
        <v>330</v>
      </c>
      <c r="B661" s="47"/>
      <c r="C661" s="9" t="s">
        <v>11</v>
      </c>
      <c r="D661" s="8" t="str">
        <f t="shared" si="1"/>
        <v>-</v>
      </c>
      <c r="E661" s="9"/>
      <c r="F661" s="10"/>
      <c r="G661" s="9"/>
      <c r="H661" s="11"/>
      <c r="I661" s="9" t="s">
        <v>13</v>
      </c>
      <c r="J661" s="44"/>
    </row>
    <row r="662">
      <c r="A662" s="42" t="s">
        <v>330</v>
      </c>
      <c r="B662" s="47"/>
      <c r="C662" s="9" t="s">
        <v>11</v>
      </c>
      <c r="D662" s="8" t="str">
        <f t="shared" si="1"/>
        <v>-</v>
      </c>
      <c r="E662" s="9"/>
      <c r="F662" s="10"/>
      <c r="G662" s="9"/>
      <c r="H662" s="11"/>
      <c r="I662" s="9" t="s">
        <v>13</v>
      </c>
      <c r="J662" s="44"/>
    </row>
    <row r="663">
      <c r="A663" s="42" t="s">
        <v>330</v>
      </c>
      <c r="B663" s="47"/>
      <c r="C663" s="9" t="s">
        <v>11</v>
      </c>
      <c r="D663" s="8" t="str">
        <f t="shared" si="1"/>
        <v>-</v>
      </c>
      <c r="E663" s="9"/>
      <c r="F663" s="10"/>
      <c r="G663" s="9"/>
      <c r="H663" s="11"/>
      <c r="I663" s="9" t="s">
        <v>13</v>
      </c>
      <c r="J663" s="44"/>
    </row>
    <row r="664">
      <c r="A664" s="42" t="s">
        <v>330</v>
      </c>
      <c r="B664" s="47"/>
      <c r="C664" s="9" t="s">
        <v>11</v>
      </c>
      <c r="D664" s="8" t="str">
        <f t="shared" si="1"/>
        <v>-</v>
      </c>
      <c r="E664" s="9"/>
      <c r="F664" s="10"/>
      <c r="G664" s="9"/>
      <c r="H664" s="11"/>
      <c r="I664" s="9" t="s">
        <v>13</v>
      </c>
      <c r="J664" s="44"/>
    </row>
    <row r="665">
      <c r="A665" s="42" t="s">
        <v>330</v>
      </c>
      <c r="B665" s="47"/>
      <c r="C665" s="9" t="s">
        <v>11</v>
      </c>
      <c r="D665" s="8" t="str">
        <f t="shared" si="1"/>
        <v>-</v>
      </c>
      <c r="E665" s="9"/>
      <c r="F665" s="10"/>
      <c r="G665" s="9"/>
      <c r="H665" s="11"/>
      <c r="I665" s="9" t="s">
        <v>13</v>
      </c>
      <c r="J665" s="44"/>
    </row>
    <row r="666">
      <c r="A666" s="42" t="s">
        <v>330</v>
      </c>
      <c r="B666" s="47"/>
      <c r="C666" s="9" t="s">
        <v>11</v>
      </c>
      <c r="D666" s="8" t="str">
        <f t="shared" si="1"/>
        <v>-</v>
      </c>
      <c r="E666" s="9"/>
      <c r="F666" s="10"/>
      <c r="G666" s="9"/>
      <c r="H666" s="11"/>
      <c r="I666" s="9" t="s">
        <v>13</v>
      </c>
      <c r="J666" s="44"/>
    </row>
    <row r="667">
      <c r="A667" s="42" t="s">
        <v>330</v>
      </c>
      <c r="B667" s="47"/>
      <c r="C667" s="9" t="s">
        <v>11</v>
      </c>
      <c r="D667" s="8" t="str">
        <f t="shared" si="1"/>
        <v>-</v>
      </c>
      <c r="E667" s="9"/>
      <c r="F667" s="10"/>
      <c r="G667" s="9"/>
      <c r="H667" s="11"/>
      <c r="I667" s="9" t="s">
        <v>13</v>
      </c>
      <c r="J667" s="44"/>
    </row>
    <row r="668">
      <c r="A668" s="42" t="s">
        <v>330</v>
      </c>
      <c r="B668" s="47"/>
      <c r="C668" s="9" t="s">
        <v>11</v>
      </c>
      <c r="D668" s="8" t="str">
        <f t="shared" si="1"/>
        <v>-</v>
      </c>
      <c r="E668" s="9"/>
      <c r="F668" s="10"/>
      <c r="G668" s="9"/>
      <c r="H668" s="11"/>
      <c r="I668" s="9" t="s">
        <v>13</v>
      </c>
      <c r="J668" s="44"/>
    </row>
    <row r="669">
      <c r="A669" s="42" t="s">
        <v>330</v>
      </c>
      <c r="B669" s="47"/>
      <c r="C669" s="9" t="s">
        <v>11</v>
      </c>
      <c r="D669" s="8" t="str">
        <f t="shared" si="1"/>
        <v>-</v>
      </c>
      <c r="E669" s="9"/>
      <c r="F669" s="10"/>
      <c r="G669" s="9"/>
      <c r="H669" s="11"/>
      <c r="I669" s="9" t="s">
        <v>13</v>
      </c>
      <c r="J669" s="44"/>
    </row>
    <row r="670">
      <c r="A670" s="42" t="s">
        <v>330</v>
      </c>
      <c r="B670" s="47"/>
      <c r="C670" s="9" t="s">
        <v>11</v>
      </c>
      <c r="D670" s="8" t="str">
        <f t="shared" si="1"/>
        <v>-</v>
      </c>
      <c r="E670" s="9"/>
      <c r="F670" s="10"/>
      <c r="G670" s="9"/>
      <c r="H670" s="11"/>
      <c r="I670" s="9" t="s">
        <v>13</v>
      </c>
      <c r="J670" s="44"/>
    </row>
    <row r="671">
      <c r="A671" s="42" t="s">
        <v>330</v>
      </c>
      <c r="B671" s="47"/>
      <c r="C671" s="9" t="s">
        <v>11</v>
      </c>
      <c r="D671" s="8" t="str">
        <f t="shared" si="1"/>
        <v>-</v>
      </c>
      <c r="E671" s="9"/>
      <c r="F671" s="10"/>
      <c r="G671" s="9"/>
      <c r="H671" s="11"/>
      <c r="I671" s="9" t="s">
        <v>13</v>
      </c>
      <c r="J671" s="44"/>
    </row>
    <row r="672">
      <c r="A672" s="42" t="s">
        <v>330</v>
      </c>
      <c r="B672" s="47"/>
      <c r="C672" s="9" t="s">
        <v>11</v>
      </c>
      <c r="D672" s="8" t="str">
        <f t="shared" si="1"/>
        <v>-</v>
      </c>
      <c r="E672" s="9"/>
      <c r="F672" s="10"/>
      <c r="G672" s="9"/>
      <c r="H672" s="11"/>
      <c r="I672" s="9" t="s">
        <v>13</v>
      </c>
      <c r="J672" s="44"/>
    </row>
    <row r="673">
      <c r="A673" s="42" t="s">
        <v>330</v>
      </c>
      <c r="B673" s="47"/>
      <c r="C673" s="9" t="s">
        <v>11</v>
      </c>
      <c r="D673" s="8" t="str">
        <f t="shared" si="1"/>
        <v>-</v>
      </c>
      <c r="E673" s="9"/>
      <c r="F673" s="10"/>
      <c r="G673" s="9"/>
      <c r="H673" s="11"/>
      <c r="I673" s="9" t="s">
        <v>13</v>
      </c>
      <c r="J673" s="44"/>
    </row>
    <row r="674">
      <c r="A674" s="42" t="s">
        <v>330</v>
      </c>
      <c r="B674" s="47"/>
      <c r="C674" s="9" t="s">
        <v>11</v>
      </c>
      <c r="D674" s="8" t="str">
        <f t="shared" si="1"/>
        <v>-</v>
      </c>
      <c r="E674" s="9"/>
      <c r="F674" s="10"/>
      <c r="G674" s="9"/>
      <c r="H674" s="11"/>
      <c r="I674" s="9" t="s">
        <v>13</v>
      </c>
      <c r="J674" s="44"/>
    </row>
    <row r="675">
      <c r="A675" s="42" t="s">
        <v>330</v>
      </c>
      <c r="B675" s="47"/>
      <c r="C675" s="9" t="s">
        <v>11</v>
      </c>
      <c r="D675" s="8" t="str">
        <f t="shared" si="1"/>
        <v>-</v>
      </c>
      <c r="E675" s="9"/>
      <c r="F675" s="10"/>
      <c r="G675" s="9"/>
      <c r="H675" s="11"/>
      <c r="I675" s="9" t="s">
        <v>13</v>
      </c>
      <c r="J675" s="44"/>
    </row>
    <row r="676">
      <c r="A676" s="42" t="s">
        <v>330</v>
      </c>
      <c r="B676" s="47"/>
      <c r="C676" s="9" t="s">
        <v>11</v>
      </c>
      <c r="D676" s="8" t="str">
        <f t="shared" si="1"/>
        <v>-</v>
      </c>
      <c r="E676" s="9"/>
      <c r="F676" s="10"/>
      <c r="G676" s="9"/>
      <c r="H676" s="11"/>
      <c r="I676" s="9" t="s">
        <v>13</v>
      </c>
      <c r="J676" s="44"/>
    </row>
    <row r="677">
      <c r="A677" s="42" t="s">
        <v>330</v>
      </c>
      <c r="B677" s="47"/>
      <c r="C677" s="9" t="s">
        <v>11</v>
      </c>
      <c r="D677" s="8" t="str">
        <f t="shared" si="1"/>
        <v>-</v>
      </c>
      <c r="E677" s="9"/>
      <c r="F677" s="10"/>
      <c r="G677" s="9"/>
      <c r="H677" s="11"/>
      <c r="I677" s="9" t="s">
        <v>13</v>
      </c>
      <c r="J677" s="44"/>
    </row>
    <row r="678">
      <c r="A678" s="42" t="s">
        <v>330</v>
      </c>
      <c r="B678" s="47"/>
      <c r="C678" s="9" t="s">
        <v>11</v>
      </c>
      <c r="D678" s="8" t="str">
        <f t="shared" si="1"/>
        <v>-</v>
      </c>
      <c r="E678" s="9"/>
      <c r="F678" s="10"/>
      <c r="G678" s="9"/>
      <c r="H678" s="11"/>
      <c r="I678" s="9" t="s">
        <v>13</v>
      </c>
      <c r="J678" s="44"/>
    </row>
    <row r="679">
      <c r="A679" s="42" t="s">
        <v>330</v>
      </c>
      <c r="B679" s="47"/>
      <c r="C679" s="9" t="s">
        <v>11</v>
      </c>
      <c r="D679" s="8" t="str">
        <f t="shared" si="1"/>
        <v>-</v>
      </c>
      <c r="E679" s="9"/>
      <c r="F679" s="10"/>
      <c r="G679" s="9"/>
      <c r="H679" s="11"/>
      <c r="I679" s="9" t="s">
        <v>13</v>
      </c>
      <c r="J679" s="44"/>
    </row>
    <row r="680">
      <c r="A680" s="42" t="s">
        <v>330</v>
      </c>
      <c r="B680" s="47"/>
      <c r="C680" s="9" t="s">
        <v>11</v>
      </c>
      <c r="D680" s="8" t="str">
        <f t="shared" si="1"/>
        <v>-</v>
      </c>
      <c r="E680" s="9"/>
      <c r="F680" s="10"/>
      <c r="G680" s="9"/>
      <c r="H680" s="11"/>
      <c r="I680" s="9" t="s">
        <v>13</v>
      </c>
      <c r="J680" s="44"/>
    </row>
    <row r="681">
      <c r="A681" s="42" t="s">
        <v>330</v>
      </c>
      <c r="B681" s="47"/>
      <c r="C681" s="9" t="s">
        <v>11</v>
      </c>
      <c r="D681" s="8" t="str">
        <f t="shared" si="1"/>
        <v>-</v>
      </c>
      <c r="E681" s="9"/>
      <c r="F681" s="10"/>
      <c r="G681" s="9"/>
      <c r="H681" s="11"/>
      <c r="I681" s="9" t="s">
        <v>13</v>
      </c>
      <c r="J681" s="44"/>
    </row>
    <row r="682">
      <c r="A682" s="42" t="s">
        <v>330</v>
      </c>
      <c r="B682" s="47"/>
      <c r="C682" s="9" t="s">
        <v>11</v>
      </c>
      <c r="D682" s="8" t="str">
        <f t="shared" si="1"/>
        <v>-</v>
      </c>
      <c r="E682" s="9"/>
      <c r="F682" s="10"/>
      <c r="G682" s="9"/>
      <c r="H682" s="11"/>
      <c r="I682" s="9" t="s">
        <v>13</v>
      </c>
      <c r="J682" s="44"/>
    </row>
    <row r="683">
      <c r="A683" s="42" t="s">
        <v>330</v>
      </c>
      <c r="B683" s="47"/>
      <c r="C683" s="9" t="s">
        <v>11</v>
      </c>
      <c r="D683" s="8" t="str">
        <f t="shared" si="1"/>
        <v>-</v>
      </c>
      <c r="E683" s="9"/>
      <c r="F683" s="10"/>
      <c r="G683" s="9"/>
      <c r="H683" s="11"/>
      <c r="I683" s="9" t="s">
        <v>13</v>
      </c>
      <c r="J683" s="44"/>
    </row>
    <row r="684">
      <c r="A684" s="42" t="s">
        <v>330</v>
      </c>
      <c r="B684" s="47"/>
      <c r="C684" s="9" t="s">
        <v>11</v>
      </c>
      <c r="D684" s="8" t="str">
        <f t="shared" si="1"/>
        <v>-</v>
      </c>
      <c r="E684" s="9"/>
      <c r="F684" s="10"/>
      <c r="G684" s="9"/>
      <c r="H684" s="11"/>
      <c r="I684" s="9" t="s">
        <v>13</v>
      </c>
      <c r="J684" s="44"/>
    </row>
    <row r="685">
      <c r="A685" s="42" t="s">
        <v>330</v>
      </c>
      <c r="B685" s="47"/>
      <c r="C685" s="9" t="s">
        <v>11</v>
      </c>
      <c r="D685" s="8" t="str">
        <f t="shared" si="1"/>
        <v>-</v>
      </c>
      <c r="E685" s="9"/>
      <c r="F685" s="10"/>
      <c r="G685" s="9"/>
      <c r="H685" s="11"/>
      <c r="I685" s="9" t="s">
        <v>13</v>
      </c>
      <c r="J685" s="44"/>
    </row>
    <row r="686">
      <c r="A686" s="42" t="s">
        <v>330</v>
      </c>
      <c r="B686" s="47"/>
      <c r="C686" s="9" t="s">
        <v>11</v>
      </c>
      <c r="D686" s="8" t="str">
        <f t="shared" si="1"/>
        <v>-</v>
      </c>
      <c r="E686" s="9"/>
      <c r="F686" s="10"/>
      <c r="G686" s="9"/>
      <c r="H686" s="11"/>
      <c r="I686" s="9" t="s">
        <v>13</v>
      </c>
      <c r="J686" s="44"/>
    </row>
    <row r="687">
      <c r="A687" s="42" t="s">
        <v>330</v>
      </c>
      <c r="B687" s="47"/>
      <c r="C687" s="9" t="s">
        <v>11</v>
      </c>
      <c r="D687" s="8" t="str">
        <f t="shared" si="1"/>
        <v>-</v>
      </c>
      <c r="E687" s="9"/>
      <c r="F687" s="10"/>
      <c r="G687" s="9"/>
      <c r="H687" s="11"/>
      <c r="I687" s="9" t="s">
        <v>13</v>
      </c>
      <c r="J687" s="44"/>
    </row>
    <row r="688">
      <c r="A688" s="42" t="s">
        <v>330</v>
      </c>
      <c r="B688" s="47"/>
      <c r="C688" s="9" t="s">
        <v>11</v>
      </c>
      <c r="D688" s="8" t="str">
        <f t="shared" si="1"/>
        <v>-</v>
      </c>
      <c r="E688" s="9"/>
      <c r="F688" s="10"/>
      <c r="G688" s="9"/>
      <c r="H688" s="11"/>
      <c r="I688" s="9" t="s">
        <v>13</v>
      </c>
      <c r="J688" s="44"/>
    </row>
    <row r="689">
      <c r="A689" s="42" t="s">
        <v>330</v>
      </c>
      <c r="B689" s="47"/>
      <c r="C689" s="9" t="s">
        <v>11</v>
      </c>
      <c r="D689" s="8" t="str">
        <f t="shared" si="1"/>
        <v>-</v>
      </c>
      <c r="E689" s="9"/>
      <c r="F689" s="10"/>
      <c r="G689" s="9"/>
      <c r="H689" s="11"/>
      <c r="I689" s="9" t="s">
        <v>13</v>
      </c>
      <c r="J689" s="44"/>
    </row>
    <row r="690">
      <c r="A690" s="42" t="s">
        <v>330</v>
      </c>
      <c r="B690" s="47"/>
      <c r="C690" s="9" t="s">
        <v>11</v>
      </c>
      <c r="D690" s="8" t="str">
        <f t="shared" si="1"/>
        <v>-</v>
      </c>
      <c r="E690" s="9"/>
      <c r="F690" s="10"/>
      <c r="G690" s="9"/>
      <c r="H690" s="11"/>
      <c r="I690" s="9" t="s">
        <v>13</v>
      </c>
      <c r="J690" s="44"/>
    </row>
    <row r="691">
      <c r="A691" s="42" t="s">
        <v>330</v>
      </c>
      <c r="B691" s="47"/>
      <c r="C691" s="9" t="s">
        <v>11</v>
      </c>
      <c r="D691" s="8" t="str">
        <f t="shared" si="1"/>
        <v>-</v>
      </c>
      <c r="E691" s="9"/>
      <c r="F691" s="10"/>
      <c r="G691" s="9"/>
      <c r="H691" s="11"/>
      <c r="I691" s="9" t="s">
        <v>13</v>
      </c>
      <c r="J691" s="44"/>
    </row>
    <row r="692">
      <c r="A692" s="42" t="s">
        <v>330</v>
      </c>
      <c r="B692" s="47"/>
      <c r="C692" s="9" t="s">
        <v>11</v>
      </c>
      <c r="D692" s="8" t="str">
        <f t="shared" si="1"/>
        <v>-</v>
      </c>
      <c r="E692" s="9"/>
      <c r="F692" s="10"/>
      <c r="G692" s="9"/>
      <c r="H692" s="11"/>
      <c r="I692" s="9" t="s">
        <v>13</v>
      </c>
      <c r="J692" s="44"/>
    </row>
    <row r="693">
      <c r="A693" s="42" t="s">
        <v>330</v>
      </c>
      <c r="B693" s="47"/>
      <c r="C693" s="9" t="s">
        <v>11</v>
      </c>
      <c r="D693" s="8" t="str">
        <f t="shared" si="1"/>
        <v>-</v>
      </c>
      <c r="E693" s="9"/>
      <c r="F693" s="10"/>
      <c r="G693" s="9"/>
      <c r="H693" s="11"/>
      <c r="I693" s="9" t="s">
        <v>13</v>
      </c>
      <c r="J693" s="44"/>
    </row>
    <row r="694">
      <c r="A694" s="42" t="s">
        <v>330</v>
      </c>
      <c r="B694" s="47"/>
      <c r="C694" s="9" t="s">
        <v>11</v>
      </c>
      <c r="D694" s="8" t="str">
        <f t="shared" si="1"/>
        <v>-</v>
      </c>
      <c r="E694" s="9"/>
      <c r="F694" s="10"/>
      <c r="G694" s="9"/>
      <c r="H694" s="11"/>
      <c r="I694" s="9" t="s">
        <v>13</v>
      </c>
      <c r="J694" s="44"/>
    </row>
    <row r="695">
      <c r="A695" s="42" t="s">
        <v>330</v>
      </c>
      <c r="B695" s="47"/>
      <c r="C695" s="9" t="s">
        <v>11</v>
      </c>
      <c r="D695" s="8" t="str">
        <f t="shared" si="1"/>
        <v>-</v>
      </c>
      <c r="E695" s="9"/>
      <c r="F695" s="10"/>
      <c r="G695" s="9"/>
      <c r="H695" s="11"/>
      <c r="I695" s="9" t="s">
        <v>13</v>
      </c>
      <c r="J695" s="44"/>
    </row>
    <row r="696">
      <c r="A696" s="42" t="s">
        <v>330</v>
      </c>
      <c r="B696" s="47"/>
      <c r="C696" s="9" t="s">
        <v>11</v>
      </c>
      <c r="D696" s="8" t="str">
        <f t="shared" si="1"/>
        <v>-</v>
      </c>
      <c r="E696" s="9"/>
      <c r="F696" s="10"/>
      <c r="G696" s="9"/>
      <c r="H696" s="11"/>
      <c r="I696" s="9" t="s">
        <v>13</v>
      </c>
      <c r="J696" s="44"/>
    </row>
    <row r="697">
      <c r="A697" s="42" t="s">
        <v>330</v>
      </c>
      <c r="B697" s="47"/>
      <c r="C697" s="9" t="s">
        <v>11</v>
      </c>
      <c r="D697" s="8" t="str">
        <f t="shared" si="1"/>
        <v>-</v>
      </c>
      <c r="E697" s="9"/>
      <c r="F697" s="10"/>
      <c r="G697" s="9"/>
      <c r="H697" s="11"/>
      <c r="I697" s="9" t="s">
        <v>13</v>
      </c>
      <c r="J697" s="44"/>
    </row>
    <row r="698">
      <c r="A698" s="42" t="s">
        <v>330</v>
      </c>
      <c r="B698" s="47"/>
      <c r="C698" s="9" t="s">
        <v>11</v>
      </c>
      <c r="D698" s="8" t="str">
        <f t="shared" si="1"/>
        <v>-</v>
      </c>
      <c r="E698" s="9"/>
      <c r="F698" s="10"/>
      <c r="G698" s="9"/>
      <c r="H698" s="11"/>
      <c r="I698" s="9" t="s">
        <v>13</v>
      </c>
      <c r="J698" s="44"/>
    </row>
    <row r="699">
      <c r="A699" s="42" t="s">
        <v>330</v>
      </c>
      <c r="B699" s="47"/>
      <c r="C699" s="9" t="s">
        <v>11</v>
      </c>
      <c r="D699" s="8" t="str">
        <f t="shared" si="1"/>
        <v>-</v>
      </c>
      <c r="E699" s="9"/>
      <c r="F699" s="10"/>
      <c r="G699" s="9"/>
      <c r="H699" s="11"/>
      <c r="I699" s="9" t="s">
        <v>13</v>
      </c>
      <c r="J699" s="44"/>
    </row>
    <row r="700">
      <c r="A700" s="42" t="s">
        <v>330</v>
      </c>
      <c r="B700" s="47"/>
      <c r="C700" s="9" t="s">
        <v>11</v>
      </c>
      <c r="D700" s="8" t="str">
        <f t="shared" si="1"/>
        <v>-</v>
      </c>
      <c r="E700" s="9"/>
      <c r="F700" s="10"/>
      <c r="G700" s="9"/>
      <c r="H700" s="11"/>
      <c r="I700" s="9" t="s">
        <v>13</v>
      </c>
      <c r="J700" s="44"/>
    </row>
    <row r="701">
      <c r="A701" s="42" t="s">
        <v>330</v>
      </c>
      <c r="B701" s="47"/>
      <c r="C701" s="9" t="s">
        <v>11</v>
      </c>
      <c r="D701" s="8" t="str">
        <f t="shared" si="1"/>
        <v>-</v>
      </c>
      <c r="E701" s="9"/>
      <c r="F701" s="10"/>
      <c r="G701" s="9"/>
      <c r="H701" s="11"/>
      <c r="I701" s="9" t="s">
        <v>13</v>
      </c>
      <c r="J701" s="44"/>
    </row>
    <row r="702">
      <c r="A702" s="42" t="s">
        <v>330</v>
      </c>
      <c r="B702" s="47"/>
      <c r="C702" s="9" t="s">
        <v>11</v>
      </c>
      <c r="D702" s="8" t="str">
        <f t="shared" si="1"/>
        <v>-</v>
      </c>
      <c r="E702" s="9"/>
      <c r="F702" s="10"/>
      <c r="G702" s="9"/>
      <c r="H702" s="11"/>
      <c r="I702" s="9" t="s">
        <v>13</v>
      </c>
      <c r="J702" s="44"/>
    </row>
    <row r="703">
      <c r="A703" s="42" t="s">
        <v>330</v>
      </c>
      <c r="B703" s="47"/>
      <c r="C703" s="9" t="s">
        <v>11</v>
      </c>
      <c r="D703" s="8" t="str">
        <f t="shared" si="1"/>
        <v>-</v>
      </c>
      <c r="E703" s="9"/>
      <c r="F703" s="10"/>
      <c r="G703" s="9"/>
      <c r="H703" s="11"/>
      <c r="I703" s="9" t="s">
        <v>13</v>
      </c>
      <c r="J703" s="44"/>
    </row>
    <row r="704">
      <c r="A704" s="42" t="s">
        <v>330</v>
      </c>
      <c r="B704" s="47"/>
      <c r="C704" s="9" t="s">
        <v>11</v>
      </c>
      <c r="D704" s="8" t="str">
        <f t="shared" si="1"/>
        <v>-</v>
      </c>
      <c r="E704" s="9"/>
      <c r="F704" s="10"/>
      <c r="G704" s="9"/>
      <c r="H704" s="11"/>
      <c r="I704" s="9" t="s">
        <v>13</v>
      </c>
      <c r="J704" s="44"/>
    </row>
    <row r="705">
      <c r="A705" s="42" t="s">
        <v>330</v>
      </c>
      <c r="B705" s="47"/>
      <c r="C705" s="9" t="s">
        <v>11</v>
      </c>
      <c r="D705" s="8" t="str">
        <f t="shared" si="1"/>
        <v>-</v>
      </c>
      <c r="E705" s="9"/>
      <c r="F705" s="10"/>
      <c r="G705" s="9"/>
      <c r="H705" s="11"/>
      <c r="I705" s="9" t="s">
        <v>13</v>
      </c>
      <c r="J705" s="44"/>
    </row>
    <row r="706">
      <c r="A706" s="42" t="s">
        <v>330</v>
      </c>
      <c r="B706" s="47"/>
      <c r="C706" s="9" t="s">
        <v>11</v>
      </c>
      <c r="D706" s="8" t="str">
        <f t="shared" si="1"/>
        <v>-</v>
      </c>
      <c r="E706" s="9"/>
      <c r="F706" s="10"/>
      <c r="G706" s="9"/>
      <c r="H706" s="11"/>
      <c r="I706" s="9" t="s">
        <v>13</v>
      </c>
      <c r="J706" s="44"/>
    </row>
    <row r="707">
      <c r="A707" s="42" t="s">
        <v>330</v>
      </c>
      <c r="B707" s="47"/>
      <c r="C707" s="9" t="s">
        <v>11</v>
      </c>
      <c r="D707" s="8" t="str">
        <f t="shared" si="1"/>
        <v>-</v>
      </c>
      <c r="E707" s="9"/>
      <c r="F707" s="10"/>
      <c r="G707" s="9"/>
      <c r="H707" s="11"/>
      <c r="I707" s="9" t="s">
        <v>13</v>
      </c>
      <c r="J707" s="44"/>
    </row>
    <row r="708">
      <c r="A708" s="42" t="s">
        <v>330</v>
      </c>
      <c r="B708" s="47"/>
      <c r="C708" s="9" t="s">
        <v>11</v>
      </c>
      <c r="D708" s="8" t="str">
        <f t="shared" si="1"/>
        <v>-</v>
      </c>
      <c r="E708" s="9"/>
      <c r="F708" s="10"/>
      <c r="G708" s="9"/>
      <c r="H708" s="11"/>
      <c r="I708" s="9" t="s">
        <v>13</v>
      </c>
      <c r="J708" s="44"/>
    </row>
    <row r="709">
      <c r="A709" s="42" t="s">
        <v>330</v>
      </c>
      <c r="B709" s="47"/>
      <c r="C709" s="9" t="s">
        <v>11</v>
      </c>
      <c r="D709" s="8" t="str">
        <f t="shared" si="1"/>
        <v>-</v>
      </c>
      <c r="E709" s="9"/>
      <c r="F709" s="10"/>
      <c r="G709" s="9"/>
      <c r="H709" s="11"/>
      <c r="I709" s="9" t="s">
        <v>13</v>
      </c>
      <c r="J709" s="44"/>
    </row>
    <row r="710">
      <c r="A710" s="42" t="s">
        <v>330</v>
      </c>
      <c r="B710" s="47"/>
      <c r="C710" s="9" t="s">
        <v>11</v>
      </c>
      <c r="D710" s="8" t="str">
        <f t="shared" si="1"/>
        <v>-</v>
      </c>
      <c r="E710" s="9"/>
      <c r="F710" s="10"/>
      <c r="G710" s="9"/>
      <c r="H710" s="11"/>
      <c r="I710" s="9" t="s">
        <v>13</v>
      </c>
      <c r="J710" s="44"/>
    </row>
    <row r="711">
      <c r="A711" s="42" t="s">
        <v>330</v>
      </c>
      <c r="B711" s="47"/>
      <c r="C711" s="9" t="s">
        <v>11</v>
      </c>
      <c r="D711" s="8" t="str">
        <f t="shared" si="1"/>
        <v>-</v>
      </c>
      <c r="E711" s="9"/>
      <c r="F711" s="10"/>
      <c r="G711" s="9"/>
      <c r="H711" s="11"/>
      <c r="I711" s="9" t="s">
        <v>13</v>
      </c>
      <c r="J711" s="44"/>
    </row>
    <row r="712">
      <c r="A712" s="42" t="s">
        <v>330</v>
      </c>
      <c r="B712" s="47"/>
      <c r="C712" s="9" t="s">
        <v>11</v>
      </c>
      <c r="D712" s="8" t="str">
        <f t="shared" si="1"/>
        <v>-</v>
      </c>
      <c r="E712" s="9"/>
      <c r="F712" s="10"/>
      <c r="G712" s="9"/>
      <c r="H712" s="11"/>
      <c r="I712" s="9" t="s">
        <v>13</v>
      </c>
      <c r="J712" s="44"/>
    </row>
  </sheetData>
  <mergeCells count="1">
    <mergeCell ref="A1:J1"/>
  </mergeCells>
  <conditionalFormatting sqref="A1:J712">
    <cfRule type="containsText" dxfId="0" priority="1" operator="containsText" text="FAB A FAIRE">
      <formula>NOT(ISERROR(SEARCH(("FAB A FAIRE"),(A1))))</formula>
    </cfRule>
  </conditionalFormatting>
  <conditionalFormatting sqref="B3:H712">
    <cfRule type="expression" dxfId="1" priority="2">
      <formula>$G3="Stand-by"</formula>
    </cfRule>
  </conditionalFormatting>
  <conditionalFormatting sqref="G2:G712">
    <cfRule type="cellIs" dxfId="2" priority="3" operator="equal">
      <formula>"A faire"</formula>
    </cfRule>
  </conditionalFormatting>
  <conditionalFormatting sqref="G2:G712">
    <cfRule type="cellIs" dxfId="3" priority="4" operator="equal">
      <formula>"En cours"</formula>
    </cfRule>
  </conditionalFormatting>
  <conditionalFormatting sqref="B3:H712">
    <cfRule type="expression" dxfId="4" priority="5">
      <formula>$G3="Sur T.L."</formula>
    </cfRule>
  </conditionalFormatting>
  <conditionalFormatting sqref="G2:G712">
    <cfRule type="cellIs" dxfId="5" priority="6" operator="equal">
      <formula>"Attente R."</formula>
    </cfRule>
  </conditionalFormatting>
  <conditionalFormatting sqref="F2:F712">
    <cfRule type="timePeriod" dxfId="6" priority="7" timePeriod="today"/>
  </conditionalFormatting>
  <conditionalFormatting sqref="F2:F712">
    <cfRule type="expression" dxfId="7" priority="8">
      <formula>AND(ISNUMBER(F2),TRUNC(F2)&lt;TODAY())</formula>
    </cfRule>
  </conditionalFormatting>
  <conditionalFormatting sqref="G2:G712">
    <cfRule type="cellIs" dxfId="8" priority="9" operator="equal">
      <formula>"Mairie"</formula>
    </cfRule>
  </conditionalFormatting>
  <conditionalFormatting sqref="H2:H712">
    <cfRule type="containsText" dxfId="9" priority="10" operator="containsText" text="REPRISE DOSSIER CAROLE">
      <formula>NOT(ISERROR(SEARCH(("REPRISE DOSSIER CAROLE"),(H2))))</formula>
    </cfRule>
  </conditionalFormatting>
  <dataValidations>
    <dataValidation type="list" allowBlank="1" sqref="G3:G712">
      <formula1>"-,A faire,En cours,Attente R.,Stand-by,Sur T.L.,Mairie,! Urgent !,A Relancer"</formula1>
    </dataValidation>
    <dataValidation type="list" allowBlank="1" sqref="E3:E712">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68E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36" t="s">
        <v>9108</v>
      </c>
    </row>
    <row r="2">
      <c r="A2" s="37"/>
      <c r="B2" s="38" t="s">
        <v>1</v>
      </c>
      <c r="C2" s="39" t="s">
        <v>2</v>
      </c>
      <c r="D2" s="39" t="s">
        <v>3</v>
      </c>
      <c r="E2" s="40" t="s">
        <v>4</v>
      </c>
      <c r="F2" s="39" t="s">
        <v>5</v>
      </c>
      <c r="G2" s="40" t="s">
        <v>6</v>
      </c>
      <c r="H2" s="40" t="s">
        <v>7</v>
      </c>
      <c r="I2" s="40" t="s">
        <v>8</v>
      </c>
      <c r="J2" s="41"/>
    </row>
    <row r="3">
      <c r="A3" s="42" t="s">
        <v>206</v>
      </c>
      <c r="B3" s="47"/>
      <c r="C3" s="9" t="s">
        <v>11</v>
      </c>
      <c r="D3" s="8" t="str">
        <f t="shared" ref="D3:D738" si="1">IFERROR(_xlfn.WORKDAY.INTL(C3, 2),"-")</f>
        <v>-</v>
      </c>
      <c r="E3" s="9"/>
      <c r="F3" s="10"/>
      <c r="G3" s="9"/>
      <c r="H3" s="11"/>
      <c r="I3" s="9" t="s">
        <v>13</v>
      </c>
      <c r="J3" s="44"/>
    </row>
    <row r="4">
      <c r="A4" s="42" t="s">
        <v>206</v>
      </c>
      <c r="B4" s="47"/>
      <c r="C4" s="9" t="s">
        <v>11</v>
      </c>
      <c r="D4" s="8" t="str">
        <f t="shared" si="1"/>
        <v>-</v>
      </c>
      <c r="E4" s="9"/>
      <c r="F4" s="10"/>
      <c r="G4" s="9"/>
      <c r="H4" s="11"/>
      <c r="I4" s="9" t="s">
        <v>13</v>
      </c>
      <c r="J4" s="44"/>
    </row>
    <row r="5">
      <c r="A5" s="42" t="s">
        <v>206</v>
      </c>
      <c r="B5" s="47"/>
      <c r="C5" s="9" t="s">
        <v>11</v>
      </c>
      <c r="D5" s="8" t="str">
        <f t="shared" si="1"/>
        <v>-</v>
      </c>
      <c r="E5" s="9"/>
      <c r="F5" s="10"/>
      <c r="G5" s="9"/>
      <c r="H5" s="11"/>
      <c r="I5" s="9" t="s">
        <v>13</v>
      </c>
      <c r="J5" s="44"/>
    </row>
    <row r="6">
      <c r="A6" s="42" t="s">
        <v>206</v>
      </c>
      <c r="B6" s="47"/>
      <c r="C6" s="9" t="s">
        <v>11</v>
      </c>
      <c r="D6" s="8" t="str">
        <f t="shared" si="1"/>
        <v>-</v>
      </c>
      <c r="E6" s="9"/>
      <c r="F6" s="10"/>
      <c r="G6" s="9"/>
      <c r="H6" s="11"/>
      <c r="I6" s="9" t="s">
        <v>13</v>
      </c>
      <c r="J6" s="44"/>
    </row>
    <row r="7">
      <c r="A7" s="42" t="s">
        <v>206</v>
      </c>
      <c r="B7" s="47"/>
      <c r="C7" s="9" t="s">
        <v>11</v>
      </c>
      <c r="D7" s="8" t="str">
        <f t="shared" si="1"/>
        <v>-</v>
      </c>
      <c r="E7" s="9"/>
      <c r="F7" s="10"/>
      <c r="G7" s="9"/>
      <c r="H7" s="11"/>
      <c r="I7" s="9" t="s">
        <v>13</v>
      </c>
      <c r="J7" s="44"/>
    </row>
    <row r="8">
      <c r="A8" s="42" t="s">
        <v>206</v>
      </c>
      <c r="B8" s="47"/>
      <c r="C8" s="9" t="s">
        <v>11</v>
      </c>
      <c r="D8" s="8" t="str">
        <f t="shared" si="1"/>
        <v>-</v>
      </c>
      <c r="E8" s="9"/>
      <c r="F8" s="10"/>
      <c r="G8" s="9"/>
      <c r="H8" s="11"/>
      <c r="I8" s="9" t="s">
        <v>13</v>
      </c>
      <c r="J8" s="44"/>
    </row>
    <row r="9">
      <c r="A9" s="42" t="s">
        <v>206</v>
      </c>
      <c r="B9" s="47"/>
      <c r="C9" s="9" t="s">
        <v>11</v>
      </c>
      <c r="D9" s="8" t="str">
        <f t="shared" si="1"/>
        <v>-</v>
      </c>
      <c r="E9" s="9"/>
      <c r="F9" s="10"/>
      <c r="G9" s="9"/>
      <c r="H9" s="11"/>
      <c r="I9" s="9" t="s">
        <v>13</v>
      </c>
      <c r="J9" s="44"/>
    </row>
    <row r="10">
      <c r="A10" s="42" t="s">
        <v>206</v>
      </c>
      <c r="B10" s="47"/>
      <c r="C10" s="9" t="s">
        <v>11</v>
      </c>
      <c r="D10" s="8" t="str">
        <f t="shared" si="1"/>
        <v>-</v>
      </c>
      <c r="E10" s="9"/>
      <c r="F10" s="10"/>
      <c r="G10" s="9"/>
      <c r="H10" s="11"/>
      <c r="I10" s="9" t="s">
        <v>13</v>
      </c>
      <c r="J10" s="44"/>
    </row>
    <row r="11">
      <c r="A11" s="42" t="s">
        <v>206</v>
      </c>
      <c r="B11" s="47"/>
      <c r="C11" s="9" t="s">
        <v>11</v>
      </c>
      <c r="D11" s="8" t="str">
        <f t="shared" si="1"/>
        <v>-</v>
      </c>
      <c r="E11" s="9"/>
      <c r="F11" s="10"/>
      <c r="G11" s="9"/>
      <c r="H11" s="11"/>
      <c r="I11" s="9" t="s">
        <v>13</v>
      </c>
      <c r="J11" s="44"/>
    </row>
    <row r="12">
      <c r="A12" s="42" t="s">
        <v>206</v>
      </c>
      <c r="B12" s="47"/>
      <c r="C12" s="9" t="s">
        <v>11</v>
      </c>
      <c r="D12" s="8" t="str">
        <f t="shared" si="1"/>
        <v>-</v>
      </c>
      <c r="E12" s="9"/>
      <c r="F12" s="10"/>
      <c r="G12" s="9"/>
      <c r="H12" s="11"/>
      <c r="I12" s="9" t="s">
        <v>13</v>
      </c>
      <c r="J12" s="44"/>
    </row>
    <row r="13">
      <c r="A13" s="42" t="s">
        <v>206</v>
      </c>
      <c r="B13" s="47"/>
      <c r="C13" s="9" t="s">
        <v>11</v>
      </c>
      <c r="D13" s="8" t="str">
        <f t="shared" si="1"/>
        <v>-</v>
      </c>
      <c r="E13" s="9"/>
      <c r="F13" s="10"/>
      <c r="G13" s="9"/>
      <c r="H13" s="11"/>
      <c r="I13" s="9" t="s">
        <v>13</v>
      </c>
      <c r="J13" s="44"/>
    </row>
    <row r="14">
      <c r="A14" s="42" t="s">
        <v>206</v>
      </c>
      <c r="B14" s="47"/>
      <c r="C14" s="9" t="s">
        <v>11</v>
      </c>
      <c r="D14" s="8" t="str">
        <f t="shared" si="1"/>
        <v>-</v>
      </c>
      <c r="E14" s="9"/>
      <c r="F14" s="10"/>
      <c r="G14" s="9"/>
      <c r="H14" s="11"/>
      <c r="I14" s="9" t="s">
        <v>13</v>
      </c>
      <c r="J14" s="44"/>
    </row>
    <row r="15">
      <c r="A15" s="42" t="s">
        <v>206</v>
      </c>
      <c r="B15" s="47"/>
      <c r="C15" s="9" t="s">
        <v>11</v>
      </c>
      <c r="D15" s="8" t="str">
        <f t="shared" si="1"/>
        <v>-</v>
      </c>
      <c r="E15" s="9"/>
      <c r="F15" s="10"/>
      <c r="G15" s="9"/>
      <c r="H15" s="11"/>
      <c r="I15" s="9" t="s">
        <v>13</v>
      </c>
      <c r="J15" s="44"/>
    </row>
    <row r="16">
      <c r="A16" s="42" t="s">
        <v>206</v>
      </c>
      <c r="B16" s="47"/>
      <c r="C16" s="9" t="s">
        <v>11</v>
      </c>
      <c r="D16" s="8" t="str">
        <f t="shared" si="1"/>
        <v>-</v>
      </c>
      <c r="E16" s="9"/>
      <c r="F16" s="10"/>
      <c r="G16" s="9"/>
      <c r="H16" s="11"/>
      <c r="I16" s="9" t="s">
        <v>13</v>
      </c>
      <c r="J16" s="44"/>
    </row>
    <row r="17">
      <c r="A17" s="42" t="s">
        <v>206</v>
      </c>
      <c r="B17" s="47"/>
      <c r="C17" s="9" t="s">
        <v>11</v>
      </c>
      <c r="D17" s="8" t="str">
        <f t="shared" si="1"/>
        <v>-</v>
      </c>
      <c r="E17" s="9"/>
      <c r="F17" s="10"/>
      <c r="G17" s="9"/>
      <c r="H17" s="11"/>
      <c r="I17" s="9" t="s">
        <v>13</v>
      </c>
      <c r="J17" s="44"/>
    </row>
    <row r="18">
      <c r="A18" s="42" t="s">
        <v>206</v>
      </c>
      <c r="B18" s="47"/>
      <c r="C18" s="9" t="s">
        <v>11</v>
      </c>
      <c r="D18" s="8" t="str">
        <f t="shared" si="1"/>
        <v>-</v>
      </c>
      <c r="E18" s="9"/>
      <c r="F18" s="10"/>
      <c r="G18" s="9"/>
      <c r="H18" s="11"/>
      <c r="I18" s="9" t="s">
        <v>13</v>
      </c>
      <c r="J18" s="44"/>
    </row>
    <row r="19">
      <c r="A19" s="42" t="s">
        <v>206</v>
      </c>
      <c r="B19" s="47"/>
      <c r="C19" s="9" t="s">
        <v>11</v>
      </c>
      <c r="D19" s="8" t="str">
        <f t="shared" si="1"/>
        <v>-</v>
      </c>
      <c r="E19" s="9"/>
      <c r="F19" s="10"/>
      <c r="G19" s="9"/>
      <c r="H19" s="11"/>
      <c r="I19" s="9" t="s">
        <v>13</v>
      </c>
      <c r="J19" s="44"/>
    </row>
    <row r="20">
      <c r="A20" s="42" t="s">
        <v>206</v>
      </c>
      <c r="B20" s="47"/>
      <c r="C20" s="9" t="s">
        <v>11</v>
      </c>
      <c r="D20" s="8" t="str">
        <f t="shared" si="1"/>
        <v>-</v>
      </c>
      <c r="E20" s="9"/>
      <c r="F20" s="10"/>
      <c r="G20" s="9"/>
      <c r="H20" s="11"/>
      <c r="I20" s="9" t="s">
        <v>13</v>
      </c>
      <c r="J20" s="44"/>
    </row>
    <row r="21">
      <c r="A21" s="42" t="s">
        <v>206</v>
      </c>
      <c r="B21" s="47"/>
      <c r="C21" s="9" t="s">
        <v>11</v>
      </c>
      <c r="D21" s="8" t="str">
        <f t="shared" si="1"/>
        <v>-</v>
      </c>
      <c r="E21" s="9"/>
      <c r="F21" s="10"/>
      <c r="G21" s="9"/>
      <c r="H21" s="11"/>
      <c r="I21" s="9" t="s">
        <v>13</v>
      </c>
      <c r="J21" s="44"/>
    </row>
    <row r="22">
      <c r="A22" s="42" t="s">
        <v>206</v>
      </c>
      <c r="B22" s="47"/>
      <c r="C22" s="9" t="s">
        <v>11</v>
      </c>
      <c r="D22" s="8" t="str">
        <f t="shared" si="1"/>
        <v>-</v>
      </c>
      <c r="E22" s="9"/>
      <c r="F22" s="10"/>
      <c r="G22" s="9"/>
      <c r="H22" s="11"/>
      <c r="I22" s="9" t="s">
        <v>13</v>
      </c>
      <c r="J22" s="44"/>
    </row>
    <row r="23">
      <c r="A23" s="42" t="s">
        <v>206</v>
      </c>
      <c r="B23" s="47"/>
      <c r="C23" s="9" t="s">
        <v>11</v>
      </c>
      <c r="D23" s="8" t="str">
        <f t="shared" si="1"/>
        <v>-</v>
      </c>
      <c r="E23" s="9"/>
      <c r="F23" s="10"/>
      <c r="G23" s="9"/>
      <c r="H23" s="11"/>
      <c r="I23" s="9" t="s">
        <v>13</v>
      </c>
      <c r="J23" s="44"/>
    </row>
    <row r="24">
      <c r="A24" s="42" t="s">
        <v>206</v>
      </c>
      <c r="B24" s="47"/>
      <c r="C24" s="9" t="s">
        <v>11</v>
      </c>
      <c r="D24" s="8" t="str">
        <f t="shared" si="1"/>
        <v>-</v>
      </c>
      <c r="E24" s="9"/>
      <c r="F24" s="10"/>
      <c r="G24" s="9"/>
      <c r="H24" s="11"/>
      <c r="I24" s="9" t="s">
        <v>13</v>
      </c>
      <c r="J24" s="44"/>
    </row>
    <row r="25">
      <c r="A25" s="42" t="s">
        <v>206</v>
      </c>
      <c r="B25" s="47"/>
      <c r="C25" s="9" t="s">
        <v>11</v>
      </c>
      <c r="D25" s="8" t="str">
        <f t="shared" si="1"/>
        <v>-</v>
      </c>
      <c r="E25" s="9"/>
      <c r="F25" s="10"/>
      <c r="G25" s="9"/>
      <c r="H25" s="11"/>
      <c r="I25" s="9" t="s">
        <v>13</v>
      </c>
      <c r="J25" s="44"/>
    </row>
    <row r="26">
      <c r="A26" s="42" t="s">
        <v>206</v>
      </c>
      <c r="B26" s="47"/>
      <c r="C26" s="9" t="s">
        <v>11</v>
      </c>
      <c r="D26" s="8" t="str">
        <f t="shared" si="1"/>
        <v>-</v>
      </c>
      <c r="E26" s="9"/>
      <c r="F26" s="10"/>
      <c r="G26" s="9"/>
      <c r="H26" s="11"/>
      <c r="I26" s="9" t="s">
        <v>13</v>
      </c>
      <c r="J26" s="44"/>
    </row>
    <row r="27">
      <c r="A27" s="42" t="s">
        <v>206</v>
      </c>
      <c r="B27" s="47"/>
      <c r="C27" s="9" t="s">
        <v>11</v>
      </c>
      <c r="D27" s="8" t="str">
        <f t="shared" si="1"/>
        <v>-</v>
      </c>
      <c r="E27" s="9"/>
      <c r="F27" s="10"/>
      <c r="G27" s="9"/>
      <c r="H27" s="11"/>
      <c r="I27" s="9" t="s">
        <v>13</v>
      </c>
      <c r="J27" s="44"/>
    </row>
    <row r="28">
      <c r="A28" s="42" t="s">
        <v>206</v>
      </c>
      <c r="B28" s="47"/>
      <c r="C28" s="9" t="s">
        <v>11</v>
      </c>
      <c r="D28" s="8" t="str">
        <f t="shared" si="1"/>
        <v>-</v>
      </c>
      <c r="E28" s="9"/>
      <c r="F28" s="10"/>
      <c r="G28" s="9"/>
      <c r="H28" s="11"/>
      <c r="I28" s="9" t="s">
        <v>13</v>
      </c>
      <c r="J28" s="44"/>
    </row>
    <row r="29">
      <c r="A29" s="42" t="s">
        <v>206</v>
      </c>
      <c r="B29" s="47"/>
      <c r="C29" s="9" t="s">
        <v>11</v>
      </c>
      <c r="D29" s="8" t="str">
        <f t="shared" si="1"/>
        <v>-</v>
      </c>
      <c r="E29" s="9"/>
      <c r="F29" s="10"/>
      <c r="G29" s="9"/>
      <c r="H29" s="11"/>
      <c r="I29" s="9" t="s">
        <v>13</v>
      </c>
      <c r="J29" s="44"/>
    </row>
    <row r="30">
      <c r="A30" s="42" t="s">
        <v>206</v>
      </c>
      <c r="B30" s="47"/>
      <c r="C30" s="9" t="s">
        <v>11</v>
      </c>
      <c r="D30" s="8" t="str">
        <f t="shared" si="1"/>
        <v>-</v>
      </c>
      <c r="E30" s="9"/>
      <c r="F30" s="10"/>
      <c r="G30" s="9"/>
      <c r="H30" s="11"/>
      <c r="I30" s="9" t="s">
        <v>13</v>
      </c>
      <c r="J30" s="44"/>
    </row>
    <row r="31">
      <c r="A31" s="42" t="s">
        <v>206</v>
      </c>
      <c r="B31" s="47"/>
      <c r="C31" s="9" t="s">
        <v>11</v>
      </c>
      <c r="D31" s="8" t="str">
        <f t="shared" si="1"/>
        <v>-</v>
      </c>
      <c r="E31" s="9"/>
      <c r="F31" s="10"/>
      <c r="G31" s="9"/>
      <c r="H31" s="11"/>
      <c r="I31" s="9" t="s">
        <v>13</v>
      </c>
      <c r="J31" s="44"/>
    </row>
    <row r="32">
      <c r="A32" s="42" t="s">
        <v>206</v>
      </c>
      <c r="B32" s="47"/>
      <c r="C32" s="9" t="s">
        <v>11</v>
      </c>
      <c r="D32" s="8" t="str">
        <f t="shared" si="1"/>
        <v>-</v>
      </c>
      <c r="E32" s="9"/>
      <c r="F32" s="10"/>
      <c r="G32" s="9"/>
      <c r="H32" s="11"/>
      <c r="I32" s="9" t="s">
        <v>13</v>
      </c>
      <c r="J32" s="44"/>
    </row>
    <row r="33">
      <c r="A33" s="42" t="s">
        <v>206</v>
      </c>
      <c r="B33" s="47"/>
      <c r="C33" s="9" t="s">
        <v>11</v>
      </c>
      <c r="D33" s="8" t="str">
        <f t="shared" si="1"/>
        <v>-</v>
      </c>
      <c r="E33" s="9"/>
      <c r="F33" s="10"/>
      <c r="G33" s="9"/>
      <c r="H33" s="11"/>
      <c r="I33" s="9" t="s">
        <v>13</v>
      </c>
      <c r="J33" s="44"/>
    </row>
    <row r="34">
      <c r="A34" s="42" t="s">
        <v>206</v>
      </c>
      <c r="B34" s="47"/>
      <c r="C34" s="9" t="s">
        <v>11</v>
      </c>
      <c r="D34" s="8" t="str">
        <f t="shared" si="1"/>
        <v>-</v>
      </c>
      <c r="E34" s="9"/>
      <c r="F34" s="10"/>
      <c r="G34" s="9"/>
      <c r="H34" s="11"/>
      <c r="I34" s="9" t="s">
        <v>13</v>
      </c>
      <c r="J34" s="44"/>
    </row>
    <row r="35">
      <c r="A35" s="42" t="s">
        <v>206</v>
      </c>
      <c r="B35" s="47"/>
      <c r="C35" s="9" t="s">
        <v>11</v>
      </c>
      <c r="D35" s="8" t="str">
        <f t="shared" si="1"/>
        <v>-</v>
      </c>
      <c r="E35" s="9"/>
      <c r="F35" s="10"/>
      <c r="G35" s="9"/>
      <c r="H35" s="11"/>
      <c r="I35" s="9" t="s">
        <v>13</v>
      </c>
      <c r="J35" s="44"/>
    </row>
    <row r="36">
      <c r="A36" s="42" t="s">
        <v>206</v>
      </c>
      <c r="B36" s="47"/>
      <c r="C36" s="9" t="s">
        <v>11</v>
      </c>
      <c r="D36" s="8" t="str">
        <f t="shared" si="1"/>
        <v>-</v>
      </c>
      <c r="E36" s="9"/>
      <c r="F36" s="10"/>
      <c r="G36" s="9"/>
      <c r="H36" s="11"/>
      <c r="I36" s="9" t="s">
        <v>13</v>
      </c>
      <c r="J36" s="44"/>
    </row>
    <row r="37">
      <c r="A37" s="42" t="s">
        <v>206</v>
      </c>
      <c r="B37" s="47"/>
      <c r="C37" s="9" t="s">
        <v>11</v>
      </c>
      <c r="D37" s="8" t="str">
        <f t="shared" si="1"/>
        <v>-</v>
      </c>
      <c r="E37" s="9"/>
      <c r="F37" s="10"/>
      <c r="G37" s="9"/>
      <c r="H37" s="11"/>
      <c r="I37" s="9" t="s">
        <v>13</v>
      </c>
      <c r="J37" s="44"/>
    </row>
    <row r="38">
      <c r="A38" s="42" t="s">
        <v>206</v>
      </c>
      <c r="B38" s="47"/>
      <c r="C38" s="9" t="s">
        <v>11</v>
      </c>
      <c r="D38" s="8" t="str">
        <f t="shared" si="1"/>
        <v>-</v>
      </c>
      <c r="E38" s="9"/>
      <c r="F38" s="10"/>
      <c r="G38" s="9"/>
      <c r="H38" s="11"/>
      <c r="I38" s="9" t="s">
        <v>13</v>
      </c>
      <c r="J38" s="44"/>
    </row>
    <row r="39">
      <c r="A39" s="42" t="s">
        <v>206</v>
      </c>
      <c r="B39" s="47"/>
      <c r="C39" s="9" t="s">
        <v>11</v>
      </c>
      <c r="D39" s="8" t="str">
        <f t="shared" si="1"/>
        <v>-</v>
      </c>
      <c r="E39" s="9"/>
      <c r="F39" s="10"/>
      <c r="G39" s="9"/>
      <c r="H39" s="11"/>
      <c r="I39" s="9" t="s">
        <v>13</v>
      </c>
      <c r="J39" s="44"/>
    </row>
    <row r="40">
      <c r="A40" s="42" t="s">
        <v>206</v>
      </c>
      <c r="B40" s="47"/>
      <c r="C40" s="9" t="s">
        <v>11</v>
      </c>
      <c r="D40" s="8" t="str">
        <f t="shared" si="1"/>
        <v>-</v>
      </c>
      <c r="E40" s="9"/>
      <c r="F40" s="10"/>
      <c r="G40" s="9"/>
      <c r="H40" s="11"/>
      <c r="I40" s="9" t="s">
        <v>13</v>
      </c>
      <c r="J40" s="44"/>
    </row>
    <row r="41">
      <c r="A41" s="42" t="s">
        <v>206</v>
      </c>
      <c r="B41" s="47"/>
      <c r="C41" s="9" t="s">
        <v>11</v>
      </c>
      <c r="D41" s="8" t="str">
        <f t="shared" si="1"/>
        <v>-</v>
      </c>
      <c r="E41" s="9"/>
      <c r="F41" s="10"/>
      <c r="G41" s="9"/>
      <c r="H41" s="11"/>
      <c r="I41" s="9" t="s">
        <v>13</v>
      </c>
      <c r="J41" s="44"/>
    </row>
    <row r="42">
      <c r="A42" s="42" t="s">
        <v>206</v>
      </c>
      <c r="B42" s="47"/>
      <c r="C42" s="9" t="s">
        <v>11</v>
      </c>
      <c r="D42" s="8" t="str">
        <f t="shared" si="1"/>
        <v>-</v>
      </c>
      <c r="E42" s="9"/>
      <c r="F42" s="10"/>
      <c r="G42" s="9"/>
      <c r="H42" s="11"/>
      <c r="I42" s="9" t="s">
        <v>13</v>
      </c>
      <c r="J42" s="44"/>
    </row>
    <row r="43">
      <c r="A43" s="42" t="s">
        <v>206</v>
      </c>
      <c r="B43" s="47"/>
      <c r="C43" s="9" t="s">
        <v>11</v>
      </c>
      <c r="D43" s="8" t="str">
        <f t="shared" si="1"/>
        <v>-</v>
      </c>
      <c r="E43" s="9"/>
      <c r="F43" s="10"/>
      <c r="G43" s="9"/>
      <c r="H43" s="11"/>
      <c r="I43" s="9" t="s">
        <v>13</v>
      </c>
      <c r="J43" s="44"/>
    </row>
    <row r="44">
      <c r="A44" s="42" t="s">
        <v>206</v>
      </c>
      <c r="B44" s="47"/>
      <c r="C44" s="9" t="s">
        <v>11</v>
      </c>
      <c r="D44" s="8" t="str">
        <f t="shared" si="1"/>
        <v>-</v>
      </c>
      <c r="E44" s="9"/>
      <c r="F44" s="10"/>
      <c r="G44" s="9"/>
      <c r="H44" s="11"/>
      <c r="I44" s="9" t="s">
        <v>13</v>
      </c>
      <c r="J44" s="44"/>
    </row>
    <row r="45">
      <c r="A45" s="42" t="s">
        <v>206</v>
      </c>
      <c r="B45" s="47"/>
      <c r="C45" s="9" t="s">
        <v>11</v>
      </c>
      <c r="D45" s="8" t="str">
        <f t="shared" si="1"/>
        <v>-</v>
      </c>
      <c r="E45" s="9"/>
      <c r="F45" s="10"/>
      <c r="G45" s="9"/>
      <c r="H45" s="11"/>
      <c r="I45" s="9" t="s">
        <v>13</v>
      </c>
      <c r="J45" s="44"/>
    </row>
    <row r="46">
      <c r="A46" s="42" t="s">
        <v>206</v>
      </c>
      <c r="B46" s="47"/>
      <c r="C46" s="9" t="s">
        <v>11</v>
      </c>
      <c r="D46" s="8" t="str">
        <f t="shared" si="1"/>
        <v>-</v>
      </c>
      <c r="E46" s="9"/>
      <c r="F46" s="10"/>
      <c r="G46" s="9"/>
      <c r="H46" s="11"/>
      <c r="I46" s="9" t="s">
        <v>13</v>
      </c>
      <c r="J46" s="44"/>
    </row>
    <row r="47">
      <c r="A47" s="42" t="s">
        <v>206</v>
      </c>
      <c r="B47" s="47"/>
      <c r="C47" s="9" t="s">
        <v>11</v>
      </c>
      <c r="D47" s="8" t="str">
        <f t="shared" si="1"/>
        <v>-</v>
      </c>
      <c r="E47" s="9"/>
      <c r="F47" s="10"/>
      <c r="G47" s="9"/>
      <c r="H47" s="11"/>
      <c r="I47" s="9" t="s">
        <v>13</v>
      </c>
      <c r="J47" s="44"/>
    </row>
    <row r="48">
      <c r="A48" s="42" t="s">
        <v>206</v>
      </c>
      <c r="B48" s="47"/>
      <c r="C48" s="9" t="s">
        <v>11</v>
      </c>
      <c r="D48" s="8" t="str">
        <f t="shared" si="1"/>
        <v>-</v>
      </c>
      <c r="E48" s="9"/>
      <c r="F48" s="10"/>
      <c r="G48" s="9"/>
      <c r="H48" s="11"/>
      <c r="I48" s="9" t="s">
        <v>13</v>
      </c>
      <c r="J48" s="44"/>
    </row>
    <row r="49">
      <c r="A49" s="42" t="s">
        <v>206</v>
      </c>
      <c r="B49" s="47"/>
      <c r="C49" s="9" t="s">
        <v>11</v>
      </c>
      <c r="D49" s="8" t="str">
        <f t="shared" si="1"/>
        <v>-</v>
      </c>
      <c r="E49" s="9"/>
      <c r="F49" s="10"/>
      <c r="G49" s="9"/>
      <c r="H49" s="11"/>
      <c r="I49" s="9" t="s">
        <v>13</v>
      </c>
      <c r="J49" s="44"/>
    </row>
    <row r="50">
      <c r="A50" s="42" t="s">
        <v>206</v>
      </c>
      <c r="B50" s="47"/>
      <c r="C50" s="9" t="s">
        <v>11</v>
      </c>
      <c r="D50" s="8" t="str">
        <f t="shared" si="1"/>
        <v>-</v>
      </c>
      <c r="E50" s="9"/>
      <c r="F50" s="10"/>
      <c r="G50" s="9"/>
      <c r="H50" s="11"/>
      <c r="I50" s="9" t="s">
        <v>13</v>
      </c>
      <c r="J50" s="44"/>
    </row>
    <row r="51">
      <c r="A51" s="42" t="s">
        <v>206</v>
      </c>
      <c r="B51" s="47"/>
      <c r="C51" s="9" t="s">
        <v>11</v>
      </c>
      <c r="D51" s="8" t="str">
        <f t="shared" si="1"/>
        <v>-</v>
      </c>
      <c r="E51" s="9"/>
      <c r="F51" s="10"/>
      <c r="G51" s="9"/>
      <c r="H51" s="11"/>
      <c r="I51" s="9" t="s">
        <v>13</v>
      </c>
      <c r="J51" s="44"/>
    </row>
    <row r="52">
      <c r="A52" s="42" t="s">
        <v>206</v>
      </c>
      <c r="B52" s="47"/>
      <c r="C52" s="9" t="s">
        <v>11</v>
      </c>
      <c r="D52" s="8" t="str">
        <f t="shared" si="1"/>
        <v>-</v>
      </c>
      <c r="E52" s="9"/>
      <c r="F52" s="10"/>
      <c r="G52" s="9"/>
      <c r="H52" s="11"/>
      <c r="I52" s="9" t="s">
        <v>13</v>
      </c>
      <c r="J52" s="44"/>
    </row>
    <row r="53">
      <c r="A53" s="42" t="s">
        <v>206</v>
      </c>
      <c r="B53" s="47"/>
      <c r="C53" s="9" t="s">
        <v>11</v>
      </c>
      <c r="D53" s="8" t="str">
        <f t="shared" si="1"/>
        <v>-</v>
      </c>
      <c r="E53" s="9"/>
      <c r="F53" s="10"/>
      <c r="G53" s="9"/>
      <c r="H53" s="11"/>
      <c r="I53" s="9" t="s">
        <v>13</v>
      </c>
      <c r="J53" s="44"/>
    </row>
    <row r="54">
      <c r="A54" s="42" t="s">
        <v>206</v>
      </c>
      <c r="B54" s="47"/>
      <c r="C54" s="9" t="s">
        <v>11</v>
      </c>
      <c r="D54" s="8" t="str">
        <f t="shared" si="1"/>
        <v>-</v>
      </c>
      <c r="E54" s="9"/>
      <c r="F54" s="10"/>
      <c r="G54" s="9"/>
      <c r="H54" s="11"/>
      <c r="I54" s="9" t="s">
        <v>13</v>
      </c>
      <c r="J54" s="44"/>
    </row>
    <row r="55">
      <c r="A55" s="42" t="s">
        <v>206</v>
      </c>
      <c r="B55" s="47"/>
      <c r="C55" s="9" t="s">
        <v>11</v>
      </c>
      <c r="D55" s="8" t="str">
        <f t="shared" si="1"/>
        <v>-</v>
      </c>
      <c r="E55" s="9"/>
      <c r="F55" s="10"/>
      <c r="G55" s="9"/>
      <c r="H55" s="11"/>
      <c r="I55" s="9" t="s">
        <v>13</v>
      </c>
      <c r="J55" s="44"/>
    </row>
    <row r="56">
      <c r="A56" s="42" t="s">
        <v>206</v>
      </c>
      <c r="B56" s="47"/>
      <c r="C56" s="9" t="s">
        <v>11</v>
      </c>
      <c r="D56" s="8" t="str">
        <f t="shared" si="1"/>
        <v>-</v>
      </c>
      <c r="E56" s="9"/>
      <c r="F56" s="10"/>
      <c r="G56" s="9"/>
      <c r="H56" s="11"/>
      <c r="I56" s="9" t="s">
        <v>13</v>
      </c>
      <c r="J56" s="44"/>
    </row>
    <row r="57">
      <c r="A57" s="42" t="s">
        <v>206</v>
      </c>
      <c r="B57" s="47"/>
      <c r="C57" s="9" t="s">
        <v>11</v>
      </c>
      <c r="D57" s="8" t="str">
        <f t="shared" si="1"/>
        <v>-</v>
      </c>
      <c r="E57" s="9"/>
      <c r="F57" s="10"/>
      <c r="G57" s="9"/>
      <c r="H57" s="11"/>
      <c r="I57" s="9" t="s">
        <v>13</v>
      </c>
      <c r="J57" s="44"/>
    </row>
    <row r="58">
      <c r="A58" s="42" t="s">
        <v>206</v>
      </c>
      <c r="B58" s="47"/>
      <c r="C58" s="9" t="s">
        <v>11</v>
      </c>
      <c r="D58" s="8" t="str">
        <f t="shared" si="1"/>
        <v>-</v>
      </c>
      <c r="E58" s="9"/>
      <c r="F58" s="10"/>
      <c r="G58" s="9"/>
      <c r="H58" s="11"/>
      <c r="I58" s="9" t="s">
        <v>13</v>
      </c>
      <c r="J58" s="44"/>
    </row>
    <row r="59">
      <c r="A59" s="42" t="s">
        <v>206</v>
      </c>
      <c r="B59" s="47"/>
      <c r="C59" s="9" t="s">
        <v>11</v>
      </c>
      <c r="D59" s="8" t="str">
        <f t="shared" si="1"/>
        <v>-</v>
      </c>
      <c r="E59" s="9"/>
      <c r="F59" s="10"/>
      <c r="G59" s="9"/>
      <c r="H59" s="11"/>
      <c r="I59" s="9" t="s">
        <v>13</v>
      </c>
      <c r="J59" s="44"/>
    </row>
    <row r="60">
      <c r="A60" s="42" t="s">
        <v>206</v>
      </c>
      <c r="B60" s="47"/>
      <c r="C60" s="9" t="s">
        <v>11</v>
      </c>
      <c r="D60" s="8" t="str">
        <f t="shared" si="1"/>
        <v>-</v>
      </c>
      <c r="E60" s="9"/>
      <c r="F60" s="10"/>
      <c r="G60" s="9"/>
      <c r="H60" s="11"/>
      <c r="I60" s="9" t="s">
        <v>13</v>
      </c>
      <c r="J60" s="44"/>
    </row>
    <row r="61">
      <c r="A61" s="42" t="s">
        <v>206</v>
      </c>
      <c r="B61" s="47"/>
      <c r="C61" s="9" t="s">
        <v>11</v>
      </c>
      <c r="D61" s="8" t="str">
        <f t="shared" si="1"/>
        <v>-</v>
      </c>
      <c r="E61" s="9"/>
      <c r="F61" s="10"/>
      <c r="G61" s="9"/>
      <c r="H61" s="11"/>
      <c r="I61" s="9" t="s">
        <v>13</v>
      </c>
      <c r="J61" s="44"/>
    </row>
    <row r="62">
      <c r="A62" s="42" t="s">
        <v>206</v>
      </c>
      <c r="B62" s="47"/>
      <c r="C62" s="9" t="s">
        <v>11</v>
      </c>
      <c r="D62" s="8" t="str">
        <f t="shared" si="1"/>
        <v>-</v>
      </c>
      <c r="E62" s="9"/>
      <c r="F62" s="10"/>
      <c r="G62" s="9"/>
      <c r="H62" s="11"/>
      <c r="I62" s="9" t="s">
        <v>13</v>
      </c>
      <c r="J62" s="44"/>
    </row>
    <row r="63">
      <c r="A63" s="42" t="s">
        <v>206</v>
      </c>
      <c r="B63" s="47"/>
      <c r="C63" s="9" t="s">
        <v>11</v>
      </c>
      <c r="D63" s="8" t="str">
        <f t="shared" si="1"/>
        <v>-</v>
      </c>
      <c r="E63" s="9"/>
      <c r="F63" s="10"/>
      <c r="G63" s="9"/>
      <c r="H63" s="11"/>
      <c r="I63" s="9" t="s">
        <v>13</v>
      </c>
      <c r="J63" s="44"/>
    </row>
    <row r="64">
      <c r="A64" s="42" t="s">
        <v>206</v>
      </c>
      <c r="B64" s="47"/>
      <c r="C64" s="9" t="s">
        <v>11</v>
      </c>
      <c r="D64" s="8" t="str">
        <f t="shared" si="1"/>
        <v>-</v>
      </c>
      <c r="E64" s="9"/>
      <c r="F64" s="10"/>
      <c r="G64" s="9"/>
      <c r="H64" s="11"/>
      <c r="I64" s="9" t="s">
        <v>13</v>
      </c>
      <c r="J64" s="44"/>
    </row>
    <row r="65">
      <c r="A65" s="42" t="s">
        <v>206</v>
      </c>
      <c r="B65" s="47"/>
      <c r="C65" s="9" t="s">
        <v>11</v>
      </c>
      <c r="D65" s="8" t="str">
        <f t="shared" si="1"/>
        <v>-</v>
      </c>
      <c r="E65" s="9"/>
      <c r="F65" s="10"/>
      <c r="G65" s="9"/>
      <c r="H65" s="11"/>
      <c r="I65" s="9" t="s">
        <v>13</v>
      </c>
      <c r="J65" s="44"/>
    </row>
    <row r="66">
      <c r="A66" s="42" t="s">
        <v>206</v>
      </c>
      <c r="B66" s="47"/>
      <c r="C66" s="9" t="s">
        <v>11</v>
      </c>
      <c r="D66" s="8" t="str">
        <f t="shared" si="1"/>
        <v>-</v>
      </c>
      <c r="E66" s="9"/>
      <c r="F66" s="10"/>
      <c r="G66" s="9"/>
      <c r="H66" s="11"/>
      <c r="I66" s="9" t="s">
        <v>13</v>
      </c>
      <c r="J66" s="44"/>
    </row>
    <row r="67">
      <c r="A67" s="42" t="s">
        <v>206</v>
      </c>
      <c r="B67" s="47"/>
      <c r="C67" s="9" t="s">
        <v>11</v>
      </c>
      <c r="D67" s="8" t="str">
        <f t="shared" si="1"/>
        <v>-</v>
      </c>
      <c r="E67" s="9"/>
      <c r="F67" s="10"/>
      <c r="G67" s="9"/>
      <c r="H67" s="11"/>
      <c r="I67" s="9" t="s">
        <v>13</v>
      </c>
      <c r="J67" s="44"/>
    </row>
    <row r="68">
      <c r="A68" s="42" t="s">
        <v>206</v>
      </c>
      <c r="B68" s="47"/>
      <c r="C68" s="9" t="s">
        <v>11</v>
      </c>
      <c r="D68" s="8" t="str">
        <f t="shared" si="1"/>
        <v>-</v>
      </c>
      <c r="E68" s="9"/>
      <c r="F68" s="10"/>
      <c r="G68" s="9"/>
      <c r="H68" s="11"/>
      <c r="I68" s="9" t="s">
        <v>13</v>
      </c>
      <c r="J68" s="44"/>
    </row>
    <row r="69">
      <c r="A69" s="42" t="s">
        <v>206</v>
      </c>
      <c r="B69" s="47"/>
      <c r="C69" s="9" t="s">
        <v>11</v>
      </c>
      <c r="D69" s="8" t="str">
        <f t="shared" si="1"/>
        <v>-</v>
      </c>
      <c r="E69" s="9"/>
      <c r="F69" s="10"/>
      <c r="G69" s="9"/>
      <c r="H69" s="11"/>
      <c r="I69" s="9" t="s">
        <v>13</v>
      </c>
      <c r="J69" s="44"/>
    </row>
    <row r="70">
      <c r="A70" s="42" t="s">
        <v>206</v>
      </c>
      <c r="B70" s="47"/>
      <c r="C70" s="9" t="s">
        <v>11</v>
      </c>
      <c r="D70" s="8" t="str">
        <f t="shared" si="1"/>
        <v>-</v>
      </c>
      <c r="E70" s="9"/>
      <c r="F70" s="10"/>
      <c r="G70" s="9"/>
      <c r="H70" s="11"/>
      <c r="I70" s="9" t="s">
        <v>13</v>
      </c>
      <c r="J70" s="44"/>
    </row>
    <row r="71">
      <c r="A71" s="42" t="s">
        <v>206</v>
      </c>
      <c r="B71" s="47"/>
      <c r="C71" s="9" t="s">
        <v>11</v>
      </c>
      <c r="D71" s="8" t="str">
        <f t="shared" si="1"/>
        <v>-</v>
      </c>
      <c r="E71" s="9"/>
      <c r="F71" s="10"/>
      <c r="G71" s="9"/>
      <c r="H71" s="11"/>
      <c r="I71" s="9" t="s">
        <v>13</v>
      </c>
      <c r="J71" s="44"/>
    </row>
    <row r="72">
      <c r="A72" s="42" t="s">
        <v>206</v>
      </c>
      <c r="B72" s="47"/>
      <c r="C72" s="9" t="s">
        <v>11</v>
      </c>
      <c r="D72" s="8" t="str">
        <f t="shared" si="1"/>
        <v>-</v>
      </c>
      <c r="E72" s="9"/>
      <c r="F72" s="10"/>
      <c r="G72" s="9"/>
      <c r="H72" s="11"/>
      <c r="I72" s="9" t="s">
        <v>13</v>
      </c>
      <c r="J72" s="44"/>
    </row>
    <row r="73">
      <c r="A73" s="42" t="s">
        <v>206</v>
      </c>
      <c r="B73" s="47"/>
      <c r="C73" s="9" t="s">
        <v>11</v>
      </c>
      <c r="D73" s="8" t="str">
        <f t="shared" si="1"/>
        <v>-</v>
      </c>
      <c r="E73" s="9"/>
      <c r="F73" s="10"/>
      <c r="G73" s="9"/>
      <c r="H73" s="11"/>
      <c r="I73" s="9" t="s">
        <v>13</v>
      </c>
      <c r="J73" s="44"/>
    </row>
    <row r="74">
      <c r="A74" s="42" t="s">
        <v>206</v>
      </c>
      <c r="B74" s="47"/>
      <c r="C74" s="9" t="s">
        <v>11</v>
      </c>
      <c r="D74" s="8" t="str">
        <f t="shared" si="1"/>
        <v>-</v>
      </c>
      <c r="E74" s="9"/>
      <c r="F74" s="10"/>
      <c r="G74" s="9"/>
      <c r="H74" s="11"/>
      <c r="I74" s="9" t="s">
        <v>13</v>
      </c>
      <c r="J74" s="44"/>
    </row>
    <row r="75">
      <c r="A75" s="42" t="s">
        <v>206</v>
      </c>
      <c r="B75" s="47"/>
      <c r="C75" s="9" t="s">
        <v>11</v>
      </c>
      <c r="D75" s="8" t="str">
        <f t="shared" si="1"/>
        <v>-</v>
      </c>
      <c r="E75" s="9"/>
      <c r="F75" s="10"/>
      <c r="G75" s="9"/>
      <c r="H75" s="11"/>
      <c r="I75" s="9" t="s">
        <v>13</v>
      </c>
      <c r="J75" s="44"/>
    </row>
    <row r="76">
      <c r="A76" s="42" t="s">
        <v>206</v>
      </c>
      <c r="B76" s="47"/>
      <c r="C76" s="9" t="s">
        <v>11</v>
      </c>
      <c r="D76" s="8" t="str">
        <f t="shared" si="1"/>
        <v>-</v>
      </c>
      <c r="E76" s="9"/>
      <c r="F76" s="10"/>
      <c r="G76" s="9"/>
      <c r="H76" s="11"/>
      <c r="I76" s="9" t="s">
        <v>13</v>
      </c>
      <c r="J76" s="44"/>
    </row>
    <row r="77">
      <c r="A77" s="42" t="s">
        <v>206</v>
      </c>
      <c r="B77" s="47"/>
      <c r="C77" s="9" t="s">
        <v>11</v>
      </c>
      <c r="D77" s="8" t="str">
        <f t="shared" si="1"/>
        <v>-</v>
      </c>
      <c r="E77" s="9"/>
      <c r="F77" s="10"/>
      <c r="G77" s="9"/>
      <c r="H77" s="11"/>
      <c r="I77" s="9" t="s">
        <v>13</v>
      </c>
      <c r="J77" s="44"/>
    </row>
    <row r="78">
      <c r="A78" s="42" t="s">
        <v>206</v>
      </c>
      <c r="B78" s="47"/>
      <c r="C78" s="9" t="s">
        <v>11</v>
      </c>
      <c r="D78" s="8" t="str">
        <f t="shared" si="1"/>
        <v>-</v>
      </c>
      <c r="E78" s="9"/>
      <c r="F78" s="10"/>
      <c r="G78" s="9"/>
      <c r="H78" s="11"/>
      <c r="I78" s="9" t="s">
        <v>13</v>
      </c>
      <c r="J78" s="44"/>
    </row>
    <row r="79">
      <c r="A79" s="42" t="s">
        <v>206</v>
      </c>
      <c r="B79" s="47"/>
      <c r="C79" s="9" t="s">
        <v>11</v>
      </c>
      <c r="D79" s="8" t="str">
        <f t="shared" si="1"/>
        <v>-</v>
      </c>
      <c r="E79" s="9"/>
      <c r="F79" s="10"/>
      <c r="G79" s="9"/>
      <c r="H79" s="11"/>
      <c r="I79" s="9" t="s">
        <v>13</v>
      </c>
      <c r="J79" s="44"/>
    </row>
    <row r="80">
      <c r="A80" s="42" t="s">
        <v>206</v>
      </c>
      <c r="B80" s="47"/>
      <c r="C80" s="9" t="s">
        <v>11</v>
      </c>
      <c r="D80" s="8" t="str">
        <f t="shared" si="1"/>
        <v>-</v>
      </c>
      <c r="E80" s="9"/>
      <c r="F80" s="10"/>
      <c r="G80" s="9"/>
      <c r="H80" s="11"/>
      <c r="I80" s="9" t="s">
        <v>13</v>
      </c>
      <c r="J80" s="44"/>
    </row>
    <row r="81">
      <c r="A81" s="42" t="s">
        <v>206</v>
      </c>
      <c r="B81" s="47"/>
      <c r="C81" s="9" t="s">
        <v>11</v>
      </c>
      <c r="D81" s="8" t="str">
        <f t="shared" si="1"/>
        <v>-</v>
      </c>
      <c r="E81" s="9"/>
      <c r="F81" s="10"/>
      <c r="G81" s="9"/>
      <c r="H81" s="11"/>
      <c r="I81" s="9" t="s">
        <v>13</v>
      </c>
      <c r="J81" s="44"/>
    </row>
    <row r="82">
      <c r="A82" s="42" t="s">
        <v>206</v>
      </c>
      <c r="B82" s="47"/>
      <c r="C82" s="9" t="s">
        <v>11</v>
      </c>
      <c r="D82" s="8" t="str">
        <f t="shared" si="1"/>
        <v>-</v>
      </c>
      <c r="E82" s="9"/>
      <c r="F82" s="10"/>
      <c r="G82" s="9"/>
      <c r="H82" s="11"/>
      <c r="I82" s="9" t="s">
        <v>13</v>
      </c>
      <c r="J82" s="44"/>
    </row>
    <row r="83">
      <c r="A83" s="42" t="s">
        <v>206</v>
      </c>
      <c r="B83" s="47"/>
      <c r="C83" s="9" t="s">
        <v>11</v>
      </c>
      <c r="D83" s="8" t="str">
        <f t="shared" si="1"/>
        <v>-</v>
      </c>
      <c r="E83" s="9"/>
      <c r="F83" s="10"/>
      <c r="G83" s="9"/>
      <c r="H83" s="11"/>
      <c r="I83" s="9" t="s">
        <v>13</v>
      </c>
      <c r="J83" s="44"/>
    </row>
    <row r="84">
      <c r="A84" s="42" t="s">
        <v>206</v>
      </c>
      <c r="B84" s="47"/>
      <c r="C84" s="9" t="s">
        <v>11</v>
      </c>
      <c r="D84" s="8" t="str">
        <f t="shared" si="1"/>
        <v>-</v>
      </c>
      <c r="E84" s="9"/>
      <c r="F84" s="10"/>
      <c r="G84" s="9"/>
      <c r="H84" s="11"/>
      <c r="I84" s="9" t="s">
        <v>13</v>
      </c>
      <c r="J84" s="44"/>
    </row>
    <row r="85">
      <c r="A85" s="42" t="s">
        <v>206</v>
      </c>
      <c r="B85" s="47"/>
      <c r="C85" s="9" t="s">
        <v>11</v>
      </c>
      <c r="D85" s="8" t="str">
        <f t="shared" si="1"/>
        <v>-</v>
      </c>
      <c r="E85" s="9"/>
      <c r="F85" s="10"/>
      <c r="G85" s="9"/>
      <c r="H85" s="11"/>
      <c r="I85" s="9" t="s">
        <v>13</v>
      </c>
      <c r="J85" s="44"/>
    </row>
    <row r="86">
      <c r="A86" s="42" t="s">
        <v>206</v>
      </c>
      <c r="B86" s="47"/>
      <c r="C86" s="9" t="s">
        <v>11</v>
      </c>
      <c r="D86" s="8" t="str">
        <f t="shared" si="1"/>
        <v>-</v>
      </c>
      <c r="E86" s="9"/>
      <c r="F86" s="10"/>
      <c r="G86" s="9"/>
      <c r="H86" s="11"/>
      <c r="I86" s="9" t="s">
        <v>13</v>
      </c>
      <c r="J86" s="44"/>
    </row>
    <row r="87">
      <c r="A87" s="42" t="s">
        <v>206</v>
      </c>
      <c r="B87" s="47"/>
      <c r="C87" s="9" t="s">
        <v>11</v>
      </c>
      <c r="D87" s="8" t="str">
        <f t="shared" si="1"/>
        <v>-</v>
      </c>
      <c r="E87" s="9"/>
      <c r="F87" s="10"/>
      <c r="G87" s="9"/>
      <c r="H87" s="11"/>
      <c r="I87" s="9" t="s">
        <v>13</v>
      </c>
      <c r="J87" s="44"/>
    </row>
    <row r="88">
      <c r="A88" s="42" t="s">
        <v>206</v>
      </c>
      <c r="B88" s="47"/>
      <c r="C88" s="9" t="s">
        <v>11</v>
      </c>
      <c r="D88" s="8" t="str">
        <f t="shared" si="1"/>
        <v>-</v>
      </c>
      <c r="E88" s="9"/>
      <c r="F88" s="10"/>
      <c r="G88" s="9"/>
      <c r="H88" s="11"/>
      <c r="I88" s="9" t="s">
        <v>13</v>
      </c>
      <c r="J88" s="44"/>
    </row>
    <row r="89">
      <c r="A89" s="42" t="s">
        <v>206</v>
      </c>
      <c r="B89" s="47"/>
      <c r="C89" s="9" t="s">
        <v>11</v>
      </c>
      <c r="D89" s="8" t="str">
        <f t="shared" si="1"/>
        <v>-</v>
      </c>
      <c r="E89" s="9"/>
      <c r="F89" s="10"/>
      <c r="G89" s="9"/>
      <c r="H89" s="11"/>
      <c r="I89" s="9" t="s">
        <v>13</v>
      </c>
      <c r="J89" s="44"/>
    </row>
    <row r="90">
      <c r="A90" s="42" t="s">
        <v>206</v>
      </c>
      <c r="B90" s="47"/>
      <c r="C90" s="9" t="s">
        <v>11</v>
      </c>
      <c r="D90" s="8" t="str">
        <f t="shared" si="1"/>
        <v>-</v>
      </c>
      <c r="E90" s="9"/>
      <c r="F90" s="10"/>
      <c r="G90" s="9"/>
      <c r="H90" s="11"/>
      <c r="I90" s="9" t="s">
        <v>13</v>
      </c>
      <c r="J90" s="44"/>
    </row>
    <row r="91">
      <c r="A91" s="42" t="s">
        <v>206</v>
      </c>
      <c r="B91" s="47"/>
      <c r="C91" s="9" t="s">
        <v>11</v>
      </c>
      <c r="D91" s="8" t="str">
        <f t="shared" si="1"/>
        <v>-</v>
      </c>
      <c r="E91" s="9"/>
      <c r="F91" s="10"/>
      <c r="G91" s="9"/>
      <c r="H91" s="11"/>
      <c r="I91" s="9" t="s">
        <v>13</v>
      </c>
      <c r="J91" s="44"/>
    </row>
    <row r="92">
      <c r="A92" s="42" t="s">
        <v>206</v>
      </c>
      <c r="B92" s="47"/>
      <c r="C92" s="9" t="s">
        <v>11</v>
      </c>
      <c r="D92" s="8" t="str">
        <f t="shared" si="1"/>
        <v>-</v>
      </c>
      <c r="E92" s="9"/>
      <c r="F92" s="10"/>
      <c r="G92" s="9"/>
      <c r="H92" s="11"/>
      <c r="I92" s="9" t="s">
        <v>13</v>
      </c>
      <c r="J92" s="44"/>
    </row>
    <row r="93">
      <c r="A93" s="42" t="s">
        <v>206</v>
      </c>
      <c r="B93" s="47"/>
      <c r="C93" s="9" t="s">
        <v>11</v>
      </c>
      <c r="D93" s="8" t="str">
        <f t="shared" si="1"/>
        <v>-</v>
      </c>
      <c r="E93" s="9"/>
      <c r="F93" s="10"/>
      <c r="G93" s="9"/>
      <c r="H93" s="11"/>
      <c r="I93" s="9" t="s">
        <v>13</v>
      </c>
      <c r="J93" s="44"/>
    </row>
    <row r="94">
      <c r="A94" s="42" t="s">
        <v>206</v>
      </c>
      <c r="B94" s="47"/>
      <c r="C94" s="9" t="s">
        <v>11</v>
      </c>
      <c r="D94" s="8" t="str">
        <f t="shared" si="1"/>
        <v>-</v>
      </c>
      <c r="E94" s="9"/>
      <c r="F94" s="10"/>
      <c r="G94" s="9"/>
      <c r="H94" s="11"/>
      <c r="I94" s="9" t="s">
        <v>13</v>
      </c>
      <c r="J94" s="44"/>
    </row>
    <row r="95">
      <c r="A95" s="42" t="s">
        <v>206</v>
      </c>
      <c r="B95" s="47"/>
      <c r="C95" s="9" t="s">
        <v>11</v>
      </c>
      <c r="D95" s="8" t="str">
        <f t="shared" si="1"/>
        <v>-</v>
      </c>
      <c r="E95" s="9"/>
      <c r="F95" s="10"/>
      <c r="G95" s="9"/>
      <c r="H95" s="11"/>
      <c r="I95" s="9" t="s">
        <v>13</v>
      </c>
      <c r="J95" s="44"/>
    </row>
    <row r="96">
      <c r="A96" s="42" t="s">
        <v>206</v>
      </c>
      <c r="B96" s="47"/>
      <c r="C96" s="9" t="s">
        <v>11</v>
      </c>
      <c r="D96" s="8" t="str">
        <f t="shared" si="1"/>
        <v>-</v>
      </c>
      <c r="E96" s="9"/>
      <c r="F96" s="10"/>
      <c r="G96" s="9"/>
      <c r="H96" s="11"/>
      <c r="I96" s="9" t="s">
        <v>13</v>
      </c>
      <c r="J96" s="44"/>
    </row>
    <row r="97">
      <c r="A97" s="42" t="s">
        <v>206</v>
      </c>
      <c r="B97" s="47"/>
      <c r="C97" s="9" t="s">
        <v>11</v>
      </c>
      <c r="D97" s="8" t="str">
        <f t="shared" si="1"/>
        <v>-</v>
      </c>
      <c r="E97" s="9"/>
      <c r="F97" s="10"/>
      <c r="G97" s="9"/>
      <c r="H97" s="11"/>
      <c r="I97" s="9" t="s">
        <v>13</v>
      </c>
      <c r="J97" s="44"/>
    </row>
    <row r="98">
      <c r="A98" s="42" t="s">
        <v>206</v>
      </c>
      <c r="B98" s="47"/>
      <c r="C98" s="9" t="s">
        <v>11</v>
      </c>
      <c r="D98" s="8" t="str">
        <f t="shared" si="1"/>
        <v>-</v>
      </c>
      <c r="E98" s="9"/>
      <c r="F98" s="10"/>
      <c r="G98" s="9"/>
      <c r="H98" s="11"/>
      <c r="I98" s="9" t="s">
        <v>13</v>
      </c>
      <c r="J98" s="44"/>
    </row>
    <row r="99">
      <c r="A99" s="42" t="s">
        <v>206</v>
      </c>
      <c r="B99" s="47"/>
      <c r="C99" s="9" t="s">
        <v>11</v>
      </c>
      <c r="D99" s="8" t="str">
        <f t="shared" si="1"/>
        <v>-</v>
      </c>
      <c r="E99" s="9"/>
      <c r="F99" s="10"/>
      <c r="G99" s="9"/>
      <c r="H99" s="11"/>
      <c r="I99" s="9" t="s">
        <v>13</v>
      </c>
      <c r="J99" s="44"/>
    </row>
    <row r="100">
      <c r="A100" s="42" t="s">
        <v>206</v>
      </c>
      <c r="B100" s="47"/>
      <c r="C100" s="9" t="s">
        <v>11</v>
      </c>
      <c r="D100" s="8" t="str">
        <f t="shared" si="1"/>
        <v>-</v>
      </c>
      <c r="E100" s="9"/>
      <c r="F100" s="10"/>
      <c r="G100" s="9"/>
      <c r="H100" s="11"/>
      <c r="I100" s="9" t="s">
        <v>13</v>
      </c>
      <c r="J100" s="44"/>
    </row>
    <row r="101">
      <c r="A101" s="42" t="s">
        <v>206</v>
      </c>
      <c r="B101" s="47"/>
      <c r="C101" s="9" t="s">
        <v>11</v>
      </c>
      <c r="D101" s="8" t="str">
        <f t="shared" si="1"/>
        <v>-</v>
      </c>
      <c r="E101" s="9"/>
      <c r="F101" s="10"/>
      <c r="G101" s="9"/>
      <c r="H101" s="11"/>
      <c r="I101" s="9" t="s">
        <v>13</v>
      </c>
      <c r="J101" s="44"/>
    </row>
    <row r="102">
      <c r="A102" s="42" t="s">
        <v>206</v>
      </c>
      <c r="B102" s="47"/>
      <c r="C102" s="9" t="s">
        <v>11</v>
      </c>
      <c r="D102" s="8" t="str">
        <f t="shared" si="1"/>
        <v>-</v>
      </c>
      <c r="E102" s="9"/>
      <c r="F102" s="10"/>
      <c r="G102" s="9"/>
      <c r="H102" s="11"/>
      <c r="I102" s="9" t="s">
        <v>13</v>
      </c>
      <c r="J102" s="44"/>
    </row>
    <row r="103">
      <c r="A103" s="42" t="s">
        <v>206</v>
      </c>
      <c r="B103" s="47"/>
      <c r="C103" s="9" t="s">
        <v>11</v>
      </c>
      <c r="D103" s="8" t="str">
        <f t="shared" si="1"/>
        <v>-</v>
      </c>
      <c r="E103" s="9"/>
      <c r="F103" s="10"/>
      <c r="G103" s="9"/>
      <c r="H103" s="11"/>
      <c r="I103" s="9" t="s">
        <v>13</v>
      </c>
      <c r="J103" s="44"/>
    </row>
    <row r="104">
      <c r="A104" s="42" t="s">
        <v>206</v>
      </c>
      <c r="B104" s="47"/>
      <c r="C104" s="9" t="s">
        <v>11</v>
      </c>
      <c r="D104" s="8" t="str">
        <f t="shared" si="1"/>
        <v>-</v>
      </c>
      <c r="E104" s="9"/>
      <c r="F104" s="10"/>
      <c r="G104" s="9"/>
      <c r="H104" s="11"/>
      <c r="I104" s="9" t="s">
        <v>13</v>
      </c>
      <c r="J104" s="44"/>
    </row>
    <row r="105">
      <c r="A105" s="42" t="s">
        <v>206</v>
      </c>
      <c r="B105" s="47"/>
      <c r="C105" s="9" t="s">
        <v>11</v>
      </c>
      <c r="D105" s="8" t="str">
        <f t="shared" si="1"/>
        <v>-</v>
      </c>
      <c r="E105" s="9"/>
      <c r="F105" s="10"/>
      <c r="G105" s="9"/>
      <c r="H105" s="11"/>
      <c r="I105" s="9" t="s">
        <v>13</v>
      </c>
      <c r="J105" s="44"/>
    </row>
    <row r="106">
      <c r="A106" s="42" t="s">
        <v>206</v>
      </c>
      <c r="B106" s="47"/>
      <c r="C106" s="9" t="s">
        <v>11</v>
      </c>
      <c r="D106" s="8" t="str">
        <f t="shared" si="1"/>
        <v>-</v>
      </c>
      <c r="E106" s="9"/>
      <c r="F106" s="10"/>
      <c r="G106" s="9"/>
      <c r="H106" s="11"/>
      <c r="I106" s="9" t="s">
        <v>13</v>
      </c>
      <c r="J106" s="44"/>
    </row>
    <row r="107">
      <c r="A107" s="42" t="s">
        <v>206</v>
      </c>
      <c r="B107" s="47"/>
      <c r="C107" s="9" t="s">
        <v>11</v>
      </c>
      <c r="D107" s="8" t="str">
        <f t="shared" si="1"/>
        <v>-</v>
      </c>
      <c r="E107" s="9"/>
      <c r="F107" s="10"/>
      <c r="G107" s="9"/>
      <c r="H107" s="11"/>
      <c r="I107" s="9" t="s">
        <v>13</v>
      </c>
      <c r="J107" s="44"/>
    </row>
    <row r="108">
      <c r="A108" s="42" t="s">
        <v>206</v>
      </c>
      <c r="B108" s="47"/>
      <c r="C108" s="9" t="s">
        <v>11</v>
      </c>
      <c r="D108" s="8" t="str">
        <f t="shared" si="1"/>
        <v>-</v>
      </c>
      <c r="E108" s="9"/>
      <c r="F108" s="10"/>
      <c r="G108" s="9"/>
      <c r="H108" s="11"/>
      <c r="I108" s="9" t="s">
        <v>13</v>
      </c>
      <c r="J108" s="44"/>
    </row>
    <row r="109">
      <c r="A109" s="42" t="s">
        <v>206</v>
      </c>
      <c r="B109" s="47"/>
      <c r="C109" s="9" t="s">
        <v>11</v>
      </c>
      <c r="D109" s="8" t="str">
        <f t="shared" si="1"/>
        <v>-</v>
      </c>
      <c r="E109" s="9"/>
      <c r="F109" s="10"/>
      <c r="G109" s="9"/>
      <c r="H109" s="11"/>
      <c r="I109" s="9" t="s">
        <v>13</v>
      </c>
      <c r="J109" s="44"/>
    </row>
    <row r="110">
      <c r="A110" s="42" t="s">
        <v>206</v>
      </c>
      <c r="B110" s="47"/>
      <c r="C110" s="9" t="s">
        <v>11</v>
      </c>
      <c r="D110" s="8" t="str">
        <f t="shared" si="1"/>
        <v>-</v>
      </c>
      <c r="E110" s="9"/>
      <c r="F110" s="10"/>
      <c r="G110" s="9"/>
      <c r="H110" s="11"/>
      <c r="I110" s="9" t="s">
        <v>13</v>
      </c>
      <c r="J110" s="44"/>
    </row>
    <row r="111">
      <c r="A111" s="42" t="s">
        <v>206</v>
      </c>
      <c r="B111" s="47"/>
      <c r="C111" s="9" t="s">
        <v>11</v>
      </c>
      <c r="D111" s="8" t="str">
        <f t="shared" si="1"/>
        <v>-</v>
      </c>
      <c r="E111" s="9"/>
      <c r="F111" s="10"/>
      <c r="G111" s="9"/>
      <c r="H111" s="11"/>
      <c r="I111" s="9" t="s">
        <v>13</v>
      </c>
      <c r="J111" s="44"/>
    </row>
    <row r="112">
      <c r="A112" s="42" t="s">
        <v>206</v>
      </c>
      <c r="B112" s="47"/>
      <c r="C112" s="9" t="s">
        <v>11</v>
      </c>
      <c r="D112" s="8" t="str">
        <f t="shared" si="1"/>
        <v>-</v>
      </c>
      <c r="E112" s="9"/>
      <c r="F112" s="10"/>
      <c r="G112" s="9"/>
      <c r="H112" s="11"/>
      <c r="I112" s="9" t="s">
        <v>13</v>
      </c>
      <c r="J112" s="44"/>
    </row>
    <row r="113">
      <c r="A113" s="42" t="s">
        <v>206</v>
      </c>
      <c r="B113" s="47"/>
      <c r="C113" s="9" t="s">
        <v>11</v>
      </c>
      <c r="D113" s="8" t="str">
        <f t="shared" si="1"/>
        <v>-</v>
      </c>
      <c r="E113" s="9"/>
      <c r="F113" s="10"/>
      <c r="G113" s="9"/>
      <c r="H113" s="11"/>
      <c r="I113" s="9" t="s">
        <v>13</v>
      </c>
      <c r="J113" s="44"/>
    </row>
    <row r="114">
      <c r="A114" s="42" t="s">
        <v>206</v>
      </c>
      <c r="B114" s="47"/>
      <c r="C114" s="9" t="s">
        <v>11</v>
      </c>
      <c r="D114" s="8" t="str">
        <f t="shared" si="1"/>
        <v>-</v>
      </c>
      <c r="E114" s="9"/>
      <c r="F114" s="10"/>
      <c r="G114" s="9"/>
      <c r="H114" s="11"/>
      <c r="I114" s="9" t="s">
        <v>13</v>
      </c>
      <c r="J114" s="44"/>
    </row>
    <row r="115">
      <c r="A115" s="42" t="s">
        <v>206</v>
      </c>
      <c r="B115" s="47"/>
      <c r="C115" s="9" t="s">
        <v>11</v>
      </c>
      <c r="D115" s="8" t="str">
        <f t="shared" si="1"/>
        <v>-</v>
      </c>
      <c r="E115" s="9"/>
      <c r="F115" s="10"/>
      <c r="G115" s="9"/>
      <c r="H115" s="11"/>
      <c r="I115" s="9" t="s">
        <v>13</v>
      </c>
      <c r="J115" s="44"/>
    </row>
    <row r="116">
      <c r="A116" s="42" t="s">
        <v>206</v>
      </c>
      <c r="B116" s="47"/>
      <c r="C116" s="9" t="s">
        <v>11</v>
      </c>
      <c r="D116" s="8" t="str">
        <f t="shared" si="1"/>
        <v>-</v>
      </c>
      <c r="E116" s="9"/>
      <c r="F116" s="10"/>
      <c r="G116" s="9"/>
      <c r="H116" s="11"/>
      <c r="I116" s="9" t="s">
        <v>13</v>
      </c>
      <c r="J116" s="44"/>
    </row>
    <row r="117">
      <c r="A117" s="42" t="s">
        <v>206</v>
      </c>
      <c r="B117" s="47"/>
      <c r="C117" s="9" t="s">
        <v>11</v>
      </c>
      <c r="D117" s="8" t="str">
        <f t="shared" si="1"/>
        <v>-</v>
      </c>
      <c r="E117" s="9"/>
      <c r="F117" s="10"/>
      <c r="G117" s="9"/>
      <c r="H117" s="11"/>
      <c r="I117" s="9" t="s">
        <v>13</v>
      </c>
      <c r="J117" s="44"/>
    </row>
    <row r="118">
      <c r="A118" s="42" t="s">
        <v>206</v>
      </c>
      <c r="B118" s="47"/>
      <c r="C118" s="9" t="s">
        <v>11</v>
      </c>
      <c r="D118" s="8" t="str">
        <f t="shared" si="1"/>
        <v>-</v>
      </c>
      <c r="E118" s="9"/>
      <c r="F118" s="10"/>
      <c r="G118" s="9"/>
      <c r="H118" s="11"/>
      <c r="I118" s="9" t="s">
        <v>13</v>
      </c>
      <c r="J118" s="44"/>
    </row>
    <row r="119">
      <c r="A119" s="42" t="s">
        <v>206</v>
      </c>
      <c r="B119" s="47"/>
      <c r="C119" s="9" t="s">
        <v>11</v>
      </c>
      <c r="D119" s="8" t="str">
        <f t="shared" si="1"/>
        <v>-</v>
      </c>
      <c r="E119" s="9"/>
      <c r="F119" s="10"/>
      <c r="G119" s="9"/>
      <c r="H119" s="11"/>
      <c r="I119" s="9" t="s">
        <v>13</v>
      </c>
      <c r="J119" s="44"/>
    </row>
    <row r="120">
      <c r="A120" s="42" t="s">
        <v>206</v>
      </c>
      <c r="B120" s="47"/>
      <c r="C120" s="9" t="s">
        <v>11</v>
      </c>
      <c r="D120" s="8" t="str">
        <f t="shared" si="1"/>
        <v>-</v>
      </c>
      <c r="E120" s="9"/>
      <c r="F120" s="10"/>
      <c r="G120" s="9"/>
      <c r="H120" s="11"/>
      <c r="I120" s="9" t="s">
        <v>13</v>
      </c>
      <c r="J120" s="44"/>
    </row>
    <row r="121">
      <c r="A121" s="42" t="s">
        <v>206</v>
      </c>
      <c r="B121" s="47"/>
      <c r="C121" s="9" t="s">
        <v>11</v>
      </c>
      <c r="D121" s="8" t="str">
        <f t="shared" si="1"/>
        <v>-</v>
      </c>
      <c r="E121" s="9"/>
      <c r="F121" s="10"/>
      <c r="G121" s="9"/>
      <c r="H121" s="11"/>
      <c r="I121" s="9" t="s">
        <v>13</v>
      </c>
      <c r="J121" s="44"/>
    </row>
    <row r="122">
      <c r="A122" s="42" t="s">
        <v>206</v>
      </c>
      <c r="B122" s="47"/>
      <c r="C122" s="9" t="s">
        <v>11</v>
      </c>
      <c r="D122" s="8" t="str">
        <f t="shared" si="1"/>
        <v>-</v>
      </c>
      <c r="E122" s="9"/>
      <c r="F122" s="10"/>
      <c r="G122" s="9"/>
      <c r="H122" s="11"/>
      <c r="I122" s="9" t="s">
        <v>13</v>
      </c>
      <c r="J122" s="44"/>
    </row>
    <row r="123">
      <c r="A123" s="42" t="s">
        <v>206</v>
      </c>
      <c r="B123" s="47"/>
      <c r="C123" s="9" t="s">
        <v>11</v>
      </c>
      <c r="D123" s="8" t="str">
        <f t="shared" si="1"/>
        <v>-</v>
      </c>
      <c r="E123" s="9"/>
      <c r="F123" s="10"/>
      <c r="G123" s="9"/>
      <c r="H123" s="11"/>
      <c r="I123" s="9" t="s">
        <v>13</v>
      </c>
      <c r="J123" s="44"/>
    </row>
    <row r="124">
      <c r="A124" s="42" t="s">
        <v>206</v>
      </c>
      <c r="B124" s="47"/>
      <c r="C124" s="9" t="s">
        <v>11</v>
      </c>
      <c r="D124" s="8" t="str">
        <f t="shared" si="1"/>
        <v>-</v>
      </c>
      <c r="E124" s="9"/>
      <c r="F124" s="10"/>
      <c r="G124" s="9"/>
      <c r="H124" s="11"/>
      <c r="I124" s="9" t="s">
        <v>13</v>
      </c>
      <c r="J124" s="44"/>
    </row>
    <row r="125">
      <c r="A125" s="42" t="s">
        <v>206</v>
      </c>
      <c r="B125" s="47"/>
      <c r="C125" s="9" t="s">
        <v>11</v>
      </c>
      <c r="D125" s="8" t="str">
        <f t="shared" si="1"/>
        <v>-</v>
      </c>
      <c r="E125" s="9"/>
      <c r="F125" s="10"/>
      <c r="G125" s="9"/>
      <c r="H125" s="11"/>
      <c r="I125" s="9" t="s">
        <v>13</v>
      </c>
      <c r="J125" s="44"/>
    </row>
    <row r="126">
      <c r="A126" s="42" t="s">
        <v>206</v>
      </c>
      <c r="B126" s="47"/>
      <c r="C126" s="9" t="s">
        <v>11</v>
      </c>
      <c r="D126" s="8" t="str">
        <f t="shared" si="1"/>
        <v>-</v>
      </c>
      <c r="E126" s="9"/>
      <c r="F126" s="10"/>
      <c r="G126" s="9"/>
      <c r="H126" s="11"/>
      <c r="I126" s="9" t="s">
        <v>13</v>
      </c>
      <c r="J126" s="44"/>
    </row>
    <row r="127">
      <c r="A127" s="42" t="s">
        <v>206</v>
      </c>
      <c r="B127" s="47"/>
      <c r="C127" s="9" t="s">
        <v>11</v>
      </c>
      <c r="D127" s="8" t="str">
        <f t="shared" si="1"/>
        <v>-</v>
      </c>
      <c r="E127" s="9"/>
      <c r="F127" s="10"/>
      <c r="G127" s="9"/>
      <c r="H127" s="11"/>
      <c r="I127" s="9" t="s">
        <v>13</v>
      </c>
      <c r="J127" s="44"/>
    </row>
    <row r="128">
      <c r="A128" s="42" t="s">
        <v>206</v>
      </c>
      <c r="B128" s="47"/>
      <c r="C128" s="9" t="s">
        <v>11</v>
      </c>
      <c r="D128" s="8" t="str">
        <f t="shared" si="1"/>
        <v>-</v>
      </c>
      <c r="E128" s="9"/>
      <c r="F128" s="10"/>
      <c r="G128" s="9"/>
      <c r="H128" s="11"/>
      <c r="I128" s="9" t="s">
        <v>13</v>
      </c>
      <c r="J128" s="44"/>
    </row>
    <row r="129">
      <c r="A129" s="42" t="s">
        <v>206</v>
      </c>
      <c r="B129" s="47"/>
      <c r="C129" s="9" t="s">
        <v>11</v>
      </c>
      <c r="D129" s="8" t="str">
        <f t="shared" si="1"/>
        <v>-</v>
      </c>
      <c r="E129" s="9"/>
      <c r="F129" s="10"/>
      <c r="G129" s="9"/>
      <c r="H129" s="11"/>
      <c r="I129" s="9" t="s">
        <v>13</v>
      </c>
      <c r="J129" s="44"/>
    </row>
    <row r="130">
      <c r="A130" s="42" t="s">
        <v>206</v>
      </c>
      <c r="B130" s="47"/>
      <c r="C130" s="9" t="s">
        <v>11</v>
      </c>
      <c r="D130" s="8" t="str">
        <f t="shared" si="1"/>
        <v>-</v>
      </c>
      <c r="E130" s="9"/>
      <c r="F130" s="10"/>
      <c r="G130" s="9"/>
      <c r="H130" s="11"/>
      <c r="I130" s="9" t="s">
        <v>13</v>
      </c>
      <c r="J130" s="44"/>
    </row>
    <row r="131">
      <c r="A131" s="42" t="s">
        <v>206</v>
      </c>
      <c r="B131" s="47"/>
      <c r="C131" s="9" t="s">
        <v>11</v>
      </c>
      <c r="D131" s="8" t="str">
        <f t="shared" si="1"/>
        <v>-</v>
      </c>
      <c r="E131" s="9"/>
      <c r="F131" s="10"/>
      <c r="G131" s="9"/>
      <c r="H131" s="11"/>
      <c r="I131" s="9" t="s">
        <v>13</v>
      </c>
      <c r="J131" s="44"/>
    </row>
    <row r="132">
      <c r="A132" s="42" t="s">
        <v>206</v>
      </c>
      <c r="B132" s="47"/>
      <c r="C132" s="9" t="s">
        <v>11</v>
      </c>
      <c r="D132" s="8" t="str">
        <f t="shared" si="1"/>
        <v>-</v>
      </c>
      <c r="E132" s="9"/>
      <c r="F132" s="10"/>
      <c r="G132" s="9"/>
      <c r="H132" s="11"/>
      <c r="I132" s="9" t="s">
        <v>13</v>
      </c>
      <c r="J132" s="44"/>
    </row>
    <row r="133">
      <c r="A133" s="42" t="s">
        <v>206</v>
      </c>
      <c r="B133" s="47"/>
      <c r="C133" s="9" t="s">
        <v>11</v>
      </c>
      <c r="D133" s="8" t="str">
        <f t="shared" si="1"/>
        <v>-</v>
      </c>
      <c r="E133" s="9"/>
      <c r="F133" s="10"/>
      <c r="G133" s="9"/>
      <c r="H133" s="11"/>
      <c r="I133" s="9" t="s">
        <v>13</v>
      </c>
      <c r="J133" s="44"/>
    </row>
    <row r="134">
      <c r="A134" s="42" t="s">
        <v>206</v>
      </c>
      <c r="B134" s="47"/>
      <c r="C134" s="9" t="s">
        <v>11</v>
      </c>
      <c r="D134" s="8" t="str">
        <f t="shared" si="1"/>
        <v>-</v>
      </c>
      <c r="E134" s="9"/>
      <c r="F134" s="10"/>
      <c r="G134" s="9"/>
      <c r="H134" s="11"/>
      <c r="I134" s="9" t="s">
        <v>13</v>
      </c>
      <c r="J134" s="44"/>
    </row>
    <row r="135">
      <c r="A135" s="42" t="s">
        <v>206</v>
      </c>
      <c r="B135" s="47"/>
      <c r="C135" s="9" t="s">
        <v>11</v>
      </c>
      <c r="D135" s="8" t="str">
        <f t="shared" si="1"/>
        <v>-</v>
      </c>
      <c r="E135" s="9"/>
      <c r="F135" s="10"/>
      <c r="G135" s="9"/>
      <c r="H135" s="11"/>
      <c r="I135" s="9" t="s">
        <v>13</v>
      </c>
      <c r="J135" s="44"/>
    </row>
    <row r="136">
      <c r="A136" s="42" t="s">
        <v>206</v>
      </c>
      <c r="B136" s="47"/>
      <c r="C136" s="9" t="s">
        <v>11</v>
      </c>
      <c r="D136" s="8" t="str">
        <f t="shared" si="1"/>
        <v>-</v>
      </c>
      <c r="E136" s="9"/>
      <c r="F136" s="10"/>
      <c r="G136" s="9"/>
      <c r="H136" s="11"/>
      <c r="I136" s="9" t="s">
        <v>13</v>
      </c>
      <c r="J136" s="44"/>
    </row>
    <row r="137">
      <c r="A137" s="42" t="s">
        <v>206</v>
      </c>
      <c r="B137" s="47"/>
      <c r="C137" s="9" t="s">
        <v>11</v>
      </c>
      <c r="D137" s="8" t="str">
        <f t="shared" si="1"/>
        <v>-</v>
      </c>
      <c r="E137" s="9"/>
      <c r="F137" s="10"/>
      <c r="G137" s="9"/>
      <c r="H137" s="11"/>
      <c r="I137" s="9" t="s">
        <v>13</v>
      </c>
      <c r="J137" s="44"/>
    </row>
    <row r="138">
      <c r="A138" s="42" t="s">
        <v>206</v>
      </c>
      <c r="B138" s="47"/>
      <c r="C138" s="9" t="s">
        <v>11</v>
      </c>
      <c r="D138" s="8" t="str">
        <f t="shared" si="1"/>
        <v>-</v>
      </c>
      <c r="E138" s="9"/>
      <c r="F138" s="10"/>
      <c r="G138" s="9"/>
      <c r="H138" s="11"/>
      <c r="I138" s="9" t="s">
        <v>13</v>
      </c>
      <c r="J138" s="44"/>
    </row>
    <row r="139">
      <c r="A139" s="42" t="s">
        <v>206</v>
      </c>
      <c r="B139" s="47"/>
      <c r="C139" s="9" t="s">
        <v>11</v>
      </c>
      <c r="D139" s="8" t="str">
        <f t="shared" si="1"/>
        <v>-</v>
      </c>
      <c r="E139" s="9"/>
      <c r="F139" s="10"/>
      <c r="G139" s="9"/>
      <c r="H139" s="11"/>
      <c r="I139" s="9" t="s">
        <v>13</v>
      </c>
      <c r="J139" s="44"/>
    </row>
    <row r="140">
      <c r="A140" s="42" t="s">
        <v>206</v>
      </c>
      <c r="B140" s="47"/>
      <c r="C140" s="9" t="s">
        <v>11</v>
      </c>
      <c r="D140" s="8" t="str">
        <f t="shared" si="1"/>
        <v>-</v>
      </c>
      <c r="E140" s="9"/>
      <c r="F140" s="10"/>
      <c r="G140" s="9"/>
      <c r="H140" s="11"/>
      <c r="I140" s="9" t="s">
        <v>13</v>
      </c>
      <c r="J140" s="44"/>
    </row>
    <row r="141">
      <c r="A141" s="42" t="s">
        <v>206</v>
      </c>
      <c r="B141" s="47"/>
      <c r="C141" s="9" t="s">
        <v>11</v>
      </c>
      <c r="D141" s="8" t="str">
        <f t="shared" si="1"/>
        <v>-</v>
      </c>
      <c r="E141" s="9"/>
      <c r="F141" s="10"/>
      <c r="G141" s="9"/>
      <c r="H141" s="11"/>
      <c r="I141" s="9" t="s">
        <v>13</v>
      </c>
      <c r="J141" s="44"/>
    </row>
    <row r="142">
      <c r="A142" s="42" t="s">
        <v>206</v>
      </c>
      <c r="B142" s="47"/>
      <c r="C142" s="9" t="s">
        <v>11</v>
      </c>
      <c r="D142" s="8" t="str">
        <f t="shared" si="1"/>
        <v>-</v>
      </c>
      <c r="E142" s="9"/>
      <c r="F142" s="10"/>
      <c r="G142" s="9"/>
      <c r="H142" s="11"/>
      <c r="I142" s="9" t="s">
        <v>13</v>
      </c>
      <c r="J142" s="44"/>
    </row>
    <row r="143">
      <c r="A143" s="42" t="s">
        <v>206</v>
      </c>
      <c r="B143" s="47"/>
      <c r="C143" s="9" t="s">
        <v>11</v>
      </c>
      <c r="D143" s="8" t="str">
        <f t="shared" si="1"/>
        <v>-</v>
      </c>
      <c r="E143" s="9"/>
      <c r="F143" s="10"/>
      <c r="G143" s="9"/>
      <c r="H143" s="11"/>
      <c r="I143" s="9" t="s">
        <v>13</v>
      </c>
      <c r="J143" s="44"/>
    </row>
    <row r="144">
      <c r="A144" s="42" t="s">
        <v>206</v>
      </c>
      <c r="B144" s="47"/>
      <c r="C144" s="9" t="s">
        <v>11</v>
      </c>
      <c r="D144" s="8" t="str">
        <f t="shared" si="1"/>
        <v>-</v>
      </c>
      <c r="E144" s="9"/>
      <c r="F144" s="10"/>
      <c r="G144" s="9"/>
      <c r="H144" s="11"/>
      <c r="I144" s="9" t="s">
        <v>13</v>
      </c>
      <c r="J144" s="44"/>
    </row>
    <row r="145">
      <c r="A145" s="42" t="s">
        <v>206</v>
      </c>
      <c r="B145" s="47"/>
      <c r="C145" s="9" t="s">
        <v>11</v>
      </c>
      <c r="D145" s="8" t="str">
        <f t="shared" si="1"/>
        <v>-</v>
      </c>
      <c r="E145" s="9"/>
      <c r="F145" s="10"/>
      <c r="G145" s="9"/>
      <c r="H145" s="11"/>
      <c r="I145" s="9" t="s">
        <v>13</v>
      </c>
      <c r="J145" s="44"/>
    </row>
    <row r="146">
      <c r="A146" s="42" t="s">
        <v>206</v>
      </c>
      <c r="B146" s="47"/>
      <c r="C146" s="9" t="s">
        <v>11</v>
      </c>
      <c r="D146" s="8" t="str">
        <f t="shared" si="1"/>
        <v>-</v>
      </c>
      <c r="E146" s="9"/>
      <c r="F146" s="10"/>
      <c r="G146" s="9"/>
      <c r="H146" s="11"/>
      <c r="I146" s="9" t="s">
        <v>13</v>
      </c>
      <c r="J146" s="44"/>
    </row>
    <row r="147">
      <c r="A147" s="42" t="s">
        <v>206</v>
      </c>
      <c r="B147" s="47"/>
      <c r="C147" s="9" t="s">
        <v>11</v>
      </c>
      <c r="D147" s="8" t="str">
        <f t="shared" si="1"/>
        <v>-</v>
      </c>
      <c r="E147" s="9"/>
      <c r="F147" s="10"/>
      <c r="G147" s="9"/>
      <c r="H147" s="11"/>
      <c r="I147" s="9" t="s">
        <v>13</v>
      </c>
      <c r="J147" s="44"/>
    </row>
    <row r="148">
      <c r="A148" s="42" t="s">
        <v>206</v>
      </c>
      <c r="B148" s="47"/>
      <c r="C148" s="9" t="s">
        <v>11</v>
      </c>
      <c r="D148" s="8" t="str">
        <f t="shared" si="1"/>
        <v>-</v>
      </c>
      <c r="E148" s="9"/>
      <c r="F148" s="10"/>
      <c r="G148" s="9"/>
      <c r="H148" s="11"/>
      <c r="I148" s="9" t="s">
        <v>13</v>
      </c>
      <c r="J148" s="44"/>
    </row>
    <row r="149">
      <c r="A149" s="42" t="s">
        <v>206</v>
      </c>
      <c r="B149" s="47"/>
      <c r="C149" s="9" t="s">
        <v>11</v>
      </c>
      <c r="D149" s="8" t="str">
        <f t="shared" si="1"/>
        <v>-</v>
      </c>
      <c r="E149" s="9"/>
      <c r="F149" s="10"/>
      <c r="G149" s="9"/>
      <c r="H149" s="11"/>
      <c r="I149" s="9" t="s">
        <v>13</v>
      </c>
      <c r="J149" s="44"/>
    </row>
    <row r="150">
      <c r="A150" s="42" t="s">
        <v>206</v>
      </c>
      <c r="B150" s="47"/>
      <c r="C150" s="9" t="s">
        <v>11</v>
      </c>
      <c r="D150" s="8" t="str">
        <f t="shared" si="1"/>
        <v>-</v>
      </c>
      <c r="E150" s="9"/>
      <c r="F150" s="10"/>
      <c r="G150" s="9"/>
      <c r="H150" s="11"/>
      <c r="I150" s="9" t="s">
        <v>13</v>
      </c>
      <c r="J150" s="44"/>
    </row>
    <row r="151">
      <c r="A151" s="42" t="s">
        <v>206</v>
      </c>
      <c r="B151" s="47"/>
      <c r="C151" s="9" t="s">
        <v>11</v>
      </c>
      <c r="D151" s="8" t="str">
        <f t="shared" si="1"/>
        <v>-</v>
      </c>
      <c r="E151" s="9"/>
      <c r="F151" s="10"/>
      <c r="G151" s="9"/>
      <c r="H151" s="11"/>
      <c r="I151" s="9" t="s">
        <v>13</v>
      </c>
      <c r="J151" s="44"/>
    </row>
    <row r="152">
      <c r="A152" s="42" t="s">
        <v>206</v>
      </c>
      <c r="B152" s="47"/>
      <c r="C152" s="9" t="s">
        <v>11</v>
      </c>
      <c r="D152" s="8" t="str">
        <f t="shared" si="1"/>
        <v>-</v>
      </c>
      <c r="E152" s="9"/>
      <c r="F152" s="10"/>
      <c r="G152" s="9"/>
      <c r="H152" s="11"/>
      <c r="I152" s="9" t="s">
        <v>13</v>
      </c>
      <c r="J152" s="44"/>
    </row>
    <row r="153">
      <c r="A153" s="42" t="s">
        <v>206</v>
      </c>
      <c r="B153" s="47"/>
      <c r="C153" s="9" t="s">
        <v>11</v>
      </c>
      <c r="D153" s="8" t="str">
        <f t="shared" si="1"/>
        <v>-</v>
      </c>
      <c r="E153" s="9"/>
      <c r="F153" s="10"/>
      <c r="G153" s="9"/>
      <c r="H153" s="11"/>
      <c r="I153" s="9" t="s">
        <v>13</v>
      </c>
      <c r="J153" s="44"/>
    </row>
    <row r="154">
      <c r="A154" s="42" t="s">
        <v>206</v>
      </c>
      <c r="B154" s="47"/>
      <c r="C154" s="9" t="s">
        <v>11</v>
      </c>
      <c r="D154" s="8" t="str">
        <f t="shared" si="1"/>
        <v>-</v>
      </c>
      <c r="E154" s="9"/>
      <c r="F154" s="10"/>
      <c r="G154" s="9"/>
      <c r="H154" s="11"/>
      <c r="I154" s="9" t="s">
        <v>13</v>
      </c>
      <c r="J154" s="44"/>
    </row>
    <row r="155">
      <c r="A155" s="42" t="s">
        <v>206</v>
      </c>
      <c r="B155" s="47"/>
      <c r="C155" s="9" t="s">
        <v>11</v>
      </c>
      <c r="D155" s="8" t="str">
        <f t="shared" si="1"/>
        <v>-</v>
      </c>
      <c r="E155" s="9"/>
      <c r="F155" s="10"/>
      <c r="G155" s="9"/>
      <c r="H155" s="11"/>
      <c r="I155" s="9" t="s">
        <v>13</v>
      </c>
      <c r="J155" s="44"/>
    </row>
    <row r="156">
      <c r="A156" s="42" t="s">
        <v>206</v>
      </c>
      <c r="B156" s="47"/>
      <c r="C156" s="9" t="s">
        <v>11</v>
      </c>
      <c r="D156" s="8" t="str">
        <f t="shared" si="1"/>
        <v>-</v>
      </c>
      <c r="E156" s="9"/>
      <c r="F156" s="10"/>
      <c r="G156" s="9"/>
      <c r="H156" s="11"/>
      <c r="I156" s="9" t="s">
        <v>13</v>
      </c>
      <c r="J156" s="44"/>
    </row>
    <row r="157">
      <c r="A157" s="42" t="s">
        <v>206</v>
      </c>
      <c r="B157" s="47"/>
      <c r="C157" s="9" t="s">
        <v>11</v>
      </c>
      <c r="D157" s="8" t="str">
        <f t="shared" si="1"/>
        <v>-</v>
      </c>
      <c r="E157" s="9"/>
      <c r="F157" s="10"/>
      <c r="G157" s="9"/>
      <c r="H157" s="11"/>
      <c r="I157" s="9" t="s">
        <v>13</v>
      </c>
      <c r="J157" s="44"/>
    </row>
    <row r="158">
      <c r="A158" s="42" t="s">
        <v>206</v>
      </c>
      <c r="B158" s="47"/>
      <c r="C158" s="9" t="s">
        <v>11</v>
      </c>
      <c r="D158" s="8" t="str">
        <f t="shared" si="1"/>
        <v>-</v>
      </c>
      <c r="E158" s="9"/>
      <c r="F158" s="10"/>
      <c r="G158" s="9"/>
      <c r="H158" s="11"/>
      <c r="I158" s="9" t="s">
        <v>13</v>
      </c>
      <c r="J158" s="44"/>
    </row>
    <row r="159">
      <c r="A159" s="42" t="s">
        <v>206</v>
      </c>
      <c r="B159" s="47"/>
      <c r="C159" s="9" t="s">
        <v>11</v>
      </c>
      <c r="D159" s="8" t="str">
        <f t="shared" si="1"/>
        <v>-</v>
      </c>
      <c r="E159" s="9"/>
      <c r="F159" s="10"/>
      <c r="G159" s="9"/>
      <c r="H159" s="11"/>
      <c r="I159" s="9" t="s">
        <v>13</v>
      </c>
      <c r="J159" s="44"/>
    </row>
    <row r="160">
      <c r="A160" s="42" t="s">
        <v>206</v>
      </c>
      <c r="B160" s="47"/>
      <c r="C160" s="9" t="s">
        <v>11</v>
      </c>
      <c r="D160" s="8" t="str">
        <f t="shared" si="1"/>
        <v>-</v>
      </c>
      <c r="E160" s="9"/>
      <c r="F160" s="10"/>
      <c r="G160" s="9"/>
      <c r="H160" s="11"/>
      <c r="I160" s="9" t="s">
        <v>13</v>
      </c>
      <c r="J160" s="44"/>
    </row>
    <row r="161">
      <c r="A161" s="42" t="s">
        <v>206</v>
      </c>
      <c r="B161" s="47"/>
      <c r="C161" s="9" t="s">
        <v>11</v>
      </c>
      <c r="D161" s="8" t="str">
        <f t="shared" si="1"/>
        <v>-</v>
      </c>
      <c r="E161" s="9"/>
      <c r="F161" s="10"/>
      <c r="G161" s="9"/>
      <c r="H161" s="11"/>
      <c r="I161" s="9" t="s">
        <v>13</v>
      </c>
      <c r="J161" s="44"/>
    </row>
    <row r="162">
      <c r="A162" s="42" t="s">
        <v>206</v>
      </c>
      <c r="B162" s="47"/>
      <c r="C162" s="9" t="s">
        <v>11</v>
      </c>
      <c r="D162" s="8" t="str">
        <f t="shared" si="1"/>
        <v>-</v>
      </c>
      <c r="E162" s="9"/>
      <c r="F162" s="10"/>
      <c r="G162" s="9"/>
      <c r="H162" s="11"/>
      <c r="I162" s="9" t="s">
        <v>13</v>
      </c>
      <c r="J162" s="44"/>
    </row>
    <row r="163">
      <c r="A163" s="42" t="s">
        <v>206</v>
      </c>
      <c r="B163" s="47"/>
      <c r="C163" s="9" t="s">
        <v>11</v>
      </c>
      <c r="D163" s="8" t="str">
        <f t="shared" si="1"/>
        <v>-</v>
      </c>
      <c r="E163" s="9"/>
      <c r="F163" s="10"/>
      <c r="G163" s="9"/>
      <c r="H163" s="11"/>
      <c r="I163" s="9" t="s">
        <v>13</v>
      </c>
      <c r="J163" s="44"/>
    </row>
    <row r="164">
      <c r="A164" s="42" t="s">
        <v>206</v>
      </c>
      <c r="B164" s="47"/>
      <c r="C164" s="9" t="s">
        <v>11</v>
      </c>
      <c r="D164" s="8" t="str">
        <f t="shared" si="1"/>
        <v>-</v>
      </c>
      <c r="E164" s="9"/>
      <c r="F164" s="10"/>
      <c r="G164" s="9"/>
      <c r="H164" s="11"/>
      <c r="I164" s="9" t="s">
        <v>13</v>
      </c>
      <c r="J164" s="44"/>
    </row>
    <row r="165">
      <c r="A165" s="42" t="s">
        <v>206</v>
      </c>
      <c r="B165" s="47"/>
      <c r="C165" s="9" t="s">
        <v>11</v>
      </c>
      <c r="D165" s="8" t="str">
        <f t="shared" si="1"/>
        <v>-</v>
      </c>
      <c r="E165" s="9"/>
      <c r="F165" s="10"/>
      <c r="G165" s="9"/>
      <c r="H165" s="11"/>
      <c r="I165" s="9" t="s">
        <v>13</v>
      </c>
      <c r="J165" s="44"/>
    </row>
    <row r="166">
      <c r="A166" s="42" t="s">
        <v>206</v>
      </c>
      <c r="B166" s="47"/>
      <c r="C166" s="9" t="s">
        <v>11</v>
      </c>
      <c r="D166" s="8" t="str">
        <f t="shared" si="1"/>
        <v>-</v>
      </c>
      <c r="E166" s="9"/>
      <c r="F166" s="10"/>
      <c r="G166" s="9"/>
      <c r="H166" s="11"/>
      <c r="I166" s="9" t="s">
        <v>13</v>
      </c>
      <c r="J166" s="44"/>
    </row>
    <row r="167">
      <c r="A167" s="42" t="s">
        <v>206</v>
      </c>
      <c r="B167" s="47"/>
      <c r="C167" s="9" t="s">
        <v>11</v>
      </c>
      <c r="D167" s="8" t="str">
        <f t="shared" si="1"/>
        <v>-</v>
      </c>
      <c r="E167" s="9"/>
      <c r="F167" s="10"/>
      <c r="G167" s="9"/>
      <c r="H167" s="11"/>
      <c r="I167" s="9" t="s">
        <v>13</v>
      </c>
      <c r="J167" s="44"/>
    </row>
    <row r="168">
      <c r="A168" s="42" t="s">
        <v>206</v>
      </c>
      <c r="B168" s="47"/>
      <c r="C168" s="9" t="s">
        <v>11</v>
      </c>
      <c r="D168" s="8" t="str">
        <f t="shared" si="1"/>
        <v>-</v>
      </c>
      <c r="E168" s="9"/>
      <c r="F168" s="10"/>
      <c r="G168" s="9"/>
      <c r="H168" s="11"/>
      <c r="I168" s="9" t="s">
        <v>13</v>
      </c>
      <c r="J168" s="44"/>
    </row>
    <row r="169">
      <c r="A169" s="42" t="s">
        <v>206</v>
      </c>
      <c r="B169" s="47"/>
      <c r="C169" s="9" t="s">
        <v>11</v>
      </c>
      <c r="D169" s="8" t="str">
        <f t="shared" si="1"/>
        <v>-</v>
      </c>
      <c r="E169" s="9"/>
      <c r="F169" s="10"/>
      <c r="G169" s="9"/>
      <c r="H169" s="11"/>
      <c r="I169" s="9" t="s">
        <v>13</v>
      </c>
      <c r="J169" s="44"/>
    </row>
    <row r="170">
      <c r="A170" s="42" t="s">
        <v>206</v>
      </c>
      <c r="B170" s="47"/>
      <c r="C170" s="9" t="s">
        <v>11</v>
      </c>
      <c r="D170" s="8" t="str">
        <f t="shared" si="1"/>
        <v>-</v>
      </c>
      <c r="E170" s="9"/>
      <c r="F170" s="10"/>
      <c r="G170" s="9"/>
      <c r="H170" s="11"/>
      <c r="I170" s="9" t="s">
        <v>13</v>
      </c>
      <c r="J170" s="44"/>
    </row>
    <row r="171">
      <c r="A171" s="42" t="s">
        <v>206</v>
      </c>
      <c r="B171" s="47"/>
      <c r="C171" s="9" t="s">
        <v>11</v>
      </c>
      <c r="D171" s="8" t="str">
        <f t="shared" si="1"/>
        <v>-</v>
      </c>
      <c r="E171" s="9"/>
      <c r="F171" s="10"/>
      <c r="G171" s="9"/>
      <c r="H171" s="11"/>
      <c r="I171" s="9" t="s">
        <v>13</v>
      </c>
      <c r="J171" s="44"/>
    </row>
    <row r="172">
      <c r="A172" s="42" t="s">
        <v>206</v>
      </c>
      <c r="B172" s="47"/>
      <c r="C172" s="9" t="s">
        <v>11</v>
      </c>
      <c r="D172" s="8" t="str">
        <f t="shared" si="1"/>
        <v>-</v>
      </c>
      <c r="E172" s="9"/>
      <c r="F172" s="10"/>
      <c r="G172" s="9"/>
      <c r="H172" s="11"/>
      <c r="I172" s="9" t="s">
        <v>13</v>
      </c>
      <c r="J172" s="44"/>
    </row>
    <row r="173">
      <c r="A173" s="42" t="s">
        <v>206</v>
      </c>
      <c r="B173" s="47"/>
      <c r="C173" s="9" t="s">
        <v>11</v>
      </c>
      <c r="D173" s="8" t="str">
        <f t="shared" si="1"/>
        <v>-</v>
      </c>
      <c r="E173" s="9"/>
      <c r="F173" s="10"/>
      <c r="G173" s="9"/>
      <c r="H173" s="11"/>
      <c r="I173" s="9" t="s">
        <v>13</v>
      </c>
      <c r="J173" s="44"/>
    </row>
    <row r="174">
      <c r="A174" s="42" t="s">
        <v>206</v>
      </c>
      <c r="B174" s="47"/>
      <c r="C174" s="9" t="s">
        <v>11</v>
      </c>
      <c r="D174" s="8" t="str">
        <f t="shared" si="1"/>
        <v>-</v>
      </c>
      <c r="E174" s="9"/>
      <c r="F174" s="10"/>
      <c r="G174" s="9"/>
      <c r="H174" s="11"/>
      <c r="I174" s="9" t="s">
        <v>13</v>
      </c>
      <c r="J174" s="44"/>
    </row>
    <row r="175">
      <c r="A175" s="42" t="s">
        <v>206</v>
      </c>
      <c r="B175" s="47"/>
      <c r="C175" s="9" t="s">
        <v>11</v>
      </c>
      <c r="D175" s="8" t="str">
        <f t="shared" si="1"/>
        <v>-</v>
      </c>
      <c r="E175" s="9"/>
      <c r="F175" s="10"/>
      <c r="G175" s="9"/>
      <c r="H175" s="11"/>
      <c r="I175" s="9" t="s">
        <v>13</v>
      </c>
      <c r="J175" s="44"/>
    </row>
    <row r="176">
      <c r="A176" s="42" t="s">
        <v>206</v>
      </c>
      <c r="B176" s="47"/>
      <c r="C176" s="9" t="s">
        <v>11</v>
      </c>
      <c r="D176" s="8" t="str">
        <f t="shared" si="1"/>
        <v>-</v>
      </c>
      <c r="E176" s="9"/>
      <c r="F176" s="10"/>
      <c r="G176" s="9"/>
      <c r="H176" s="11"/>
      <c r="I176" s="9" t="s">
        <v>13</v>
      </c>
      <c r="J176" s="44"/>
    </row>
    <row r="177">
      <c r="A177" s="42" t="s">
        <v>206</v>
      </c>
      <c r="B177" s="47"/>
      <c r="C177" s="9" t="s">
        <v>11</v>
      </c>
      <c r="D177" s="8" t="str">
        <f t="shared" si="1"/>
        <v>-</v>
      </c>
      <c r="E177" s="9"/>
      <c r="F177" s="10"/>
      <c r="G177" s="9"/>
      <c r="H177" s="11"/>
      <c r="I177" s="9" t="s">
        <v>13</v>
      </c>
      <c r="J177" s="44"/>
    </row>
    <row r="178">
      <c r="A178" s="42" t="s">
        <v>206</v>
      </c>
      <c r="B178" s="47"/>
      <c r="C178" s="9" t="s">
        <v>11</v>
      </c>
      <c r="D178" s="8" t="str">
        <f t="shared" si="1"/>
        <v>-</v>
      </c>
      <c r="E178" s="9"/>
      <c r="F178" s="10"/>
      <c r="G178" s="9"/>
      <c r="H178" s="11"/>
      <c r="I178" s="9" t="s">
        <v>13</v>
      </c>
      <c r="J178" s="44"/>
    </row>
    <row r="179">
      <c r="A179" s="42" t="s">
        <v>206</v>
      </c>
      <c r="B179" s="47"/>
      <c r="C179" s="9" t="s">
        <v>11</v>
      </c>
      <c r="D179" s="8" t="str">
        <f t="shared" si="1"/>
        <v>-</v>
      </c>
      <c r="E179" s="9"/>
      <c r="F179" s="10"/>
      <c r="G179" s="9"/>
      <c r="H179" s="11"/>
      <c r="I179" s="9" t="s">
        <v>13</v>
      </c>
      <c r="J179" s="44"/>
    </row>
    <row r="180">
      <c r="A180" s="42" t="s">
        <v>206</v>
      </c>
      <c r="B180" s="47"/>
      <c r="C180" s="9" t="s">
        <v>11</v>
      </c>
      <c r="D180" s="8" t="str">
        <f t="shared" si="1"/>
        <v>-</v>
      </c>
      <c r="E180" s="9"/>
      <c r="F180" s="10"/>
      <c r="G180" s="9"/>
      <c r="H180" s="11"/>
      <c r="I180" s="9" t="s">
        <v>13</v>
      </c>
      <c r="J180" s="44"/>
    </row>
    <row r="181">
      <c r="A181" s="42" t="s">
        <v>206</v>
      </c>
      <c r="B181" s="47"/>
      <c r="C181" s="9" t="s">
        <v>11</v>
      </c>
      <c r="D181" s="8" t="str">
        <f t="shared" si="1"/>
        <v>-</v>
      </c>
      <c r="E181" s="9"/>
      <c r="F181" s="10"/>
      <c r="G181" s="9"/>
      <c r="H181" s="11"/>
      <c r="I181" s="9" t="s">
        <v>13</v>
      </c>
      <c r="J181" s="44"/>
    </row>
    <row r="182">
      <c r="A182" s="42" t="s">
        <v>206</v>
      </c>
      <c r="B182" s="47"/>
      <c r="C182" s="9" t="s">
        <v>11</v>
      </c>
      <c r="D182" s="8" t="str">
        <f t="shared" si="1"/>
        <v>-</v>
      </c>
      <c r="E182" s="9"/>
      <c r="F182" s="10"/>
      <c r="G182" s="9"/>
      <c r="H182" s="11"/>
      <c r="I182" s="9" t="s">
        <v>13</v>
      </c>
      <c r="J182" s="44"/>
    </row>
    <row r="183">
      <c r="A183" s="42" t="s">
        <v>206</v>
      </c>
      <c r="B183" s="47"/>
      <c r="C183" s="9" t="s">
        <v>11</v>
      </c>
      <c r="D183" s="8" t="str">
        <f t="shared" si="1"/>
        <v>-</v>
      </c>
      <c r="E183" s="9"/>
      <c r="F183" s="10"/>
      <c r="G183" s="9"/>
      <c r="H183" s="11"/>
      <c r="I183" s="9" t="s">
        <v>13</v>
      </c>
      <c r="J183" s="44"/>
    </row>
    <row r="184">
      <c r="A184" s="42" t="s">
        <v>206</v>
      </c>
      <c r="B184" s="47"/>
      <c r="C184" s="9" t="s">
        <v>11</v>
      </c>
      <c r="D184" s="8" t="str">
        <f t="shared" si="1"/>
        <v>-</v>
      </c>
      <c r="E184" s="9"/>
      <c r="F184" s="10"/>
      <c r="G184" s="9"/>
      <c r="H184" s="11"/>
      <c r="I184" s="9" t="s">
        <v>13</v>
      </c>
      <c r="J184" s="44"/>
    </row>
    <row r="185">
      <c r="A185" s="42" t="s">
        <v>206</v>
      </c>
      <c r="B185" s="47"/>
      <c r="C185" s="9" t="s">
        <v>11</v>
      </c>
      <c r="D185" s="8" t="str">
        <f t="shared" si="1"/>
        <v>-</v>
      </c>
      <c r="E185" s="9"/>
      <c r="F185" s="10"/>
      <c r="G185" s="9"/>
      <c r="H185" s="11"/>
      <c r="I185" s="9" t="s">
        <v>13</v>
      </c>
      <c r="J185" s="44"/>
    </row>
    <row r="186">
      <c r="A186" s="42" t="s">
        <v>206</v>
      </c>
      <c r="B186" s="47"/>
      <c r="C186" s="9" t="s">
        <v>11</v>
      </c>
      <c r="D186" s="8" t="str">
        <f t="shared" si="1"/>
        <v>-</v>
      </c>
      <c r="E186" s="9"/>
      <c r="F186" s="10"/>
      <c r="G186" s="9"/>
      <c r="H186" s="11"/>
      <c r="I186" s="9" t="s">
        <v>13</v>
      </c>
      <c r="J186" s="44"/>
    </row>
    <row r="187">
      <c r="A187" s="42" t="s">
        <v>206</v>
      </c>
      <c r="B187" s="47"/>
      <c r="C187" s="9" t="s">
        <v>11</v>
      </c>
      <c r="D187" s="8" t="str">
        <f t="shared" si="1"/>
        <v>-</v>
      </c>
      <c r="E187" s="9"/>
      <c r="F187" s="10"/>
      <c r="G187" s="9"/>
      <c r="H187" s="11"/>
      <c r="I187" s="9" t="s">
        <v>13</v>
      </c>
      <c r="J187" s="44"/>
    </row>
    <row r="188">
      <c r="A188" s="42" t="s">
        <v>206</v>
      </c>
      <c r="B188" s="47"/>
      <c r="C188" s="9" t="s">
        <v>11</v>
      </c>
      <c r="D188" s="8" t="str">
        <f t="shared" si="1"/>
        <v>-</v>
      </c>
      <c r="E188" s="9"/>
      <c r="F188" s="10"/>
      <c r="G188" s="9"/>
      <c r="H188" s="11"/>
      <c r="I188" s="9" t="s">
        <v>13</v>
      </c>
      <c r="J188" s="44"/>
    </row>
    <row r="189">
      <c r="A189" s="42" t="s">
        <v>206</v>
      </c>
      <c r="B189" s="47"/>
      <c r="C189" s="9" t="s">
        <v>11</v>
      </c>
      <c r="D189" s="8" t="str">
        <f t="shared" si="1"/>
        <v>-</v>
      </c>
      <c r="E189" s="9"/>
      <c r="F189" s="10"/>
      <c r="G189" s="9"/>
      <c r="H189" s="11"/>
      <c r="I189" s="9" t="s">
        <v>13</v>
      </c>
      <c r="J189" s="44"/>
    </row>
    <row r="190">
      <c r="A190" s="42" t="s">
        <v>206</v>
      </c>
      <c r="B190" s="47"/>
      <c r="C190" s="9" t="s">
        <v>11</v>
      </c>
      <c r="D190" s="8" t="str">
        <f t="shared" si="1"/>
        <v>-</v>
      </c>
      <c r="E190" s="9"/>
      <c r="F190" s="10"/>
      <c r="G190" s="9"/>
      <c r="H190" s="11"/>
      <c r="I190" s="9" t="s">
        <v>13</v>
      </c>
      <c r="J190" s="44"/>
    </row>
    <row r="191">
      <c r="A191" s="42" t="s">
        <v>206</v>
      </c>
      <c r="B191" s="47"/>
      <c r="C191" s="9" t="s">
        <v>11</v>
      </c>
      <c r="D191" s="8" t="str">
        <f t="shared" si="1"/>
        <v>-</v>
      </c>
      <c r="E191" s="9"/>
      <c r="F191" s="10"/>
      <c r="G191" s="9"/>
      <c r="H191" s="11"/>
      <c r="I191" s="9" t="s">
        <v>13</v>
      </c>
      <c r="J191" s="44"/>
    </row>
    <row r="192">
      <c r="A192" s="42" t="s">
        <v>206</v>
      </c>
      <c r="B192" s="47"/>
      <c r="C192" s="9" t="s">
        <v>11</v>
      </c>
      <c r="D192" s="8" t="str">
        <f t="shared" si="1"/>
        <v>-</v>
      </c>
      <c r="E192" s="9"/>
      <c r="F192" s="10"/>
      <c r="G192" s="9"/>
      <c r="H192" s="11"/>
      <c r="I192" s="9" t="s">
        <v>13</v>
      </c>
      <c r="J192" s="44"/>
    </row>
    <row r="193">
      <c r="A193" s="42" t="s">
        <v>206</v>
      </c>
      <c r="B193" s="47"/>
      <c r="C193" s="9" t="s">
        <v>11</v>
      </c>
      <c r="D193" s="8" t="str">
        <f t="shared" si="1"/>
        <v>-</v>
      </c>
      <c r="E193" s="9"/>
      <c r="F193" s="10"/>
      <c r="G193" s="9"/>
      <c r="H193" s="11"/>
      <c r="I193" s="9" t="s">
        <v>13</v>
      </c>
      <c r="J193" s="44"/>
    </row>
    <row r="194">
      <c r="A194" s="42" t="s">
        <v>206</v>
      </c>
      <c r="B194" s="47"/>
      <c r="C194" s="9" t="s">
        <v>11</v>
      </c>
      <c r="D194" s="8" t="str">
        <f t="shared" si="1"/>
        <v>-</v>
      </c>
      <c r="E194" s="9"/>
      <c r="F194" s="10"/>
      <c r="G194" s="9"/>
      <c r="H194" s="11"/>
      <c r="I194" s="9" t="s">
        <v>13</v>
      </c>
      <c r="J194" s="44"/>
    </row>
    <row r="195">
      <c r="A195" s="42" t="s">
        <v>206</v>
      </c>
      <c r="B195" s="47"/>
      <c r="C195" s="9" t="s">
        <v>11</v>
      </c>
      <c r="D195" s="8" t="str">
        <f t="shared" si="1"/>
        <v>-</v>
      </c>
      <c r="E195" s="9"/>
      <c r="F195" s="10"/>
      <c r="G195" s="9"/>
      <c r="H195" s="11"/>
      <c r="I195" s="9" t="s">
        <v>13</v>
      </c>
      <c r="J195" s="44"/>
    </row>
    <row r="196">
      <c r="A196" s="42" t="s">
        <v>206</v>
      </c>
      <c r="B196" s="47"/>
      <c r="C196" s="9" t="s">
        <v>11</v>
      </c>
      <c r="D196" s="8" t="str">
        <f t="shared" si="1"/>
        <v>-</v>
      </c>
      <c r="E196" s="9"/>
      <c r="F196" s="10"/>
      <c r="G196" s="9"/>
      <c r="H196" s="11"/>
      <c r="I196" s="9" t="s">
        <v>13</v>
      </c>
      <c r="J196" s="44"/>
    </row>
    <row r="197">
      <c r="A197" s="42" t="s">
        <v>206</v>
      </c>
      <c r="B197" s="47"/>
      <c r="C197" s="9" t="s">
        <v>11</v>
      </c>
      <c r="D197" s="8" t="str">
        <f t="shared" si="1"/>
        <v>-</v>
      </c>
      <c r="E197" s="9"/>
      <c r="F197" s="10"/>
      <c r="G197" s="9"/>
      <c r="H197" s="11"/>
      <c r="I197" s="9" t="s">
        <v>13</v>
      </c>
      <c r="J197" s="44"/>
    </row>
    <row r="198">
      <c r="A198" s="42" t="s">
        <v>206</v>
      </c>
      <c r="B198" s="47"/>
      <c r="C198" s="9" t="s">
        <v>11</v>
      </c>
      <c r="D198" s="8" t="str">
        <f t="shared" si="1"/>
        <v>-</v>
      </c>
      <c r="E198" s="9"/>
      <c r="F198" s="10"/>
      <c r="G198" s="9"/>
      <c r="H198" s="11"/>
      <c r="I198" s="9" t="s">
        <v>13</v>
      </c>
      <c r="J198" s="44"/>
    </row>
    <row r="199">
      <c r="A199" s="42" t="s">
        <v>206</v>
      </c>
      <c r="B199" s="47"/>
      <c r="C199" s="9" t="s">
        <v>11</v>
      </c>
      <c r="D199" s="8" t="str">
        <f t="shared" si="1"/>
        <v>-</v>
      </c>
      <c r="E199" s="9"/>
      <c r="F199" s="10"/>
      <c r="G199" s="9"/>
      <c r="H199" s="11"/>
      <c r="I199" s="9" t="s">
        <v>13</v>
      </c>
      <c r="J199" s="44"/>
    </row>
    <row r="200">
      <c r="A200" s="42" t="s">
        <v>206</v>
      </c>
      <c r="B200" s="47"/>
      <c r="C200" s="9" t="s">
        <v>11</v>
      </c>
      <c r="D200" s="8" t="str">
        <f t="shared" si="1"/>
        <v>-</v>
      </c>
      <c r="E200" s="9"/>
      <c r="F200" s="10"/>
      <c r="G200" s="9"/>
      <c r="H200" s="11"/>
      <c r="I200" s="9" t="s">
        <v>13</v>
      </c>
      <c r="J200" s="44"/>
    </row>
    <row r="201">
      <c r="A201" s="42" t="s">
        <v>206</v>
      </c>
      <c r="B201" s="47"/>
      <c r="C201" s="9" t="s">
        <v>11</v>
      </c>
      <c r="D201" s="8" t="str">
        <f t="shared" si="1"/>
        <v>-</v>
      </c>
      <c r="E201" s="9"/>
      <c r="F201" s="10"/>
      <c r="G201" s="9"/>
      <c r="H201" s="11"/>
      <c r="I201" s="9" t="s">
        <v>13</v>
      </c>
      <c r="J201" s="44"/>
    </row>
    <row r="202">
      <c r="A202" s="42" t="s">
        <v>206</v>
      </c>
      <c r="B202" s="47"/>
      <c r="C202" s="9" t="s">
        <v>11</v>
      </c>
      <c r="D202" s="8" t="str">
        <f t="shared" si="1"/>
        <v>-</v>
      </c>
      <c r="E202" s="9"/>
      <c r="F202" s="10"/>
      <c r="G202" s="9"/>
      <c r="H202" s="11"/>
      <c r="I202" s="9" t="s">
        <v>13</v>
      </c>
      <c r="J202" s="44"/>
    </row>
    <row r="203">
      <c r="A203" s="42" t="s">
        <v>206</v>
      </c>
      <c r="B203" s="47"/>
      <c r="C203" s="9" t="s">
        <v>11</v>
      </c>
      <c r="D203" s="8" t="str">
        <f t="shared" si="1"/>
        <v>-</v>
      </c>
      <c r="E203" s="9"/>
      <c r="F203" s="10"/>
      <c r="G203" s="9"/>
      <c r="H203" s="11"/>
      <c r="I203" s="9" t="s">
        <v>13</v>
      </c>
      <c r="J203" s="44"/>
    </row>
    <row r="204">
      <c r="A204" s="42" t="s">
        <v>206</v>
      </c>
      <c r="B204" s="47"/>
      <c r="C204" s="9" t="s">
        <v>11</v>
      </c>
      <c r="D204" s="8" t="str">
        <f t="shared" si="1"/>
        <v>-</v>
      </c>
      <c r="E204" s="9"/>
      <c r="F204" s="10"/>
      <c r="G204" s="9"/>
      <c r="H204" s="11"/>
      <c r="I204" s="9" t="s">
        <v>13</v>
      </c>
      <c r="J204" s="44"/>
    </row>
    <row r="205">
      <c r="A205" s="42" t="s">
        <v>206</v>
      </c>
      <c r="B205" s="47"/>
      <c r="C205" s="9" t="s">
        <v>11</v>
      </c>
      <c r="D205" s="8" t="str">
        <f t="shared" si="1"/>
        <v>-</v>
      </c>
      <c r="E205" s="9"/>
      <c r="F205" s="10"/>
      <c r="G205" s="9"/>
      <c r="H205" s="11"/>
      <c r="I205" s="9" t="s">
        <v>13</v>
      </c>
      <c r="J205" s="44"/>
    </row>
    <row r="206">
      <c r="A206" s="42" t="s">
        <v>206</v>
      </c>
      <c r="B206" s="47"/>
      <c r="C206" s="9" t="s">
        <v>11</v>
      </c>
      <c r="D206" s="8" t="str">
        <f t="shared" si="1"/>
        <v>-</v>
      </c>
      <c r="E206" s="9"/>
      <c r="F206" s="10"/>
      <c r="G206" s="9"/>
      <c r="H206" s="11"/>
      <c r="I206" s="9" t="s">
        <v>13</v>
      </c>
      <c r="J206" s="44"/>
    </row>
    <row r="207">
      <c r="A207" s="42" t="s">
        <v>206</v>
      </c>
      <c r="B207" s="47"/>
      <c r="C207" s="9" t="s">
        <v>11</v>
      </c>
      <c r="D207" s="8" t="str">
        <f t="shared" si="1"/>
        <v>-</v>
      </c>
      <c r="E207" s="9"/>
      <c r="F207" s="10"/>
      <c r="G207" s="9"/>
      <c r="H207" s="11"/>
      <c r="I207" s="9" t="s">
        <v>13</v>
      </c>
      <c r="J207" s="44"/>
    </row>
    <row r="208">
      <c r="A208" s="42" t="s">
        <v>206</v>
      </c>
      <c r="B208" s="47"/>
      <c r="C208" s="9" t="s">
        <v>11</v>
      </c>
      <c r="D208" s="8" t="str">
        <f t="shared" si="1"/>
        <v>-</v>
      </c>
      <c r="E208" s="9"/>
      <c r="F208" s="10"/>
      <c r="G208" s="9"/>
      <c r="H208" s="11"/>
      <c r="I208" s="9" t="s">
        <v>13</v>
      </c>
      <c r="J208" s="44"/>
    </row>
    <row r="209">
      <c r="A209" s="42" t="s">
        <v>206</v>
      </c>
      <c r="B209" s="47"/>
      <c r="C209" s="9" t="s">
        <v>11</v>
      </c>
      <c r="D209" s="8" t="str">
        <f t="shared" si="1"/>
        <v>-</v>
      </c>
      <c r="E209" s="9"/>
      <c r="F209" s="10"/>
      <c r="G209" s="9"/>
      <c r="H209" s="11"/>
      <c r="I209" s="9" t="s">
        <v>13</v>
      </c>
      <c r="J209" s="44"/>
    </row>
    <row r="210">
      <c r="A210" s="42" t="s">
        <v>206</v>
      </c>
      <c r="B210" s="47"/>
      <c r="C210" s="9" t="s">
        <v>11</v>
      </c>
      <c r="D210" s="8" t="str">
        <f t="shared" si="1"/>
        <v>-</v>
      </c>
      <c r="E210" s="9"/>
      <c r="F210" s="10"/>
      <c r="G210" s="9"/>
      <c r="H210" s="11"/>
      <c r="I210" s="9" t="s">
        <v>13</v>
      </c>
      <c r="J210" s="44"/>
    </row>
    <row r="211">
      <c r="A211" s="42" t="s">
        <v>206</v>
      </c>
      <c r="B211" s="47"/>
      <c r="C211" s="9" t="s">
        <v>11</v>
      </c>
      <c r="D211" s="8" t="str">
        <f t="shared" si="1"/>
        <v>-</v>
      </c>
      <c r="E211" s="9"/>
      <c r="F211" s="10"/>
      <c r="G211" s="9"/>
      <c r="H211" s="11"/>
      <c r="I211" s="9" t="s">
        <v>13</v>
      </c>
      <c r="J211" s="44"/>
    </row>
    <row r="212">
      <c r="A212" s="42" t="s">
        <v>206</v>
      </c>
      <c r="B212" s="47"/>
      <c r="C212" s="9" t="s">
        <v>11</v>
      </c>
      <c r="D212" s="8" t="str">
        <f t="shared" si="1"/>
        <v>-</v>
      </c>
      <c r="E212" s="9"/>
      <c r="F212" s="10"/>
      <c r="G212" s="9"/>
      <c r="H212" s="11"/>
      <c r="I212" s="9" t="s">
        <v>13</v>
      </c>
      <c r="J212" s="44"/>
    </row>
    <row r="213">
      <c r="A213" s="42" t="s">
        <v>206</v>
      </c>
      <c r="B213" s="47"/>
      <c r="C213" s="9" t="s">
        <v>11</v>
      </c>
      <c r="D213" s="8" t="str">
        <f t="shared" si="1"/>
        <v>-</v>
      </c>
      <c r="E213" s="9"/>
      <c r="F213" s="10"/>
      <c r="G213" s="9"/>
      <c r="H213" s="11"/>
      <c r="I213" s="9" t="s">
        <v>13</v>
      </c>
      <c r="J213" s="44"/>
    </row>
    <row r="214">
      <c r="A214" s="42" t="s">
        <v>206</v>
      </c>
      <c r="B214" s="47"/>
      <c r="C214" s="9" t="s">
        <v>11</v>
      </c>
      <c r="D214" s="8" t="str">
        <f t="shared" si="1"/>
        <v>-</v>
      </c>
      <c r="E214" s="9"/>
      <c r="F214" s="10"/>
      <c r="G214" s="9"/>
      <c r="H214" s="11"/>
      <c r="I214" s="9" t="s">
        <v>13</v>
      </c>
      <c r="J214" s="44"/>
    </row>
    <row r="215">
      <c r="A215" s="42" t="s">
        <v>206</v>
      </c>
      <c r="B215" s="47"/>
      <c r="C215" s="9" t="s">
        <v>11</v>
      </c>
      <c r="D215" s="8" t="str">
        <f t="shared" si="1"/>
        <v>-</v>
      </c>
      <c r="E215" s="9"/>
      <c r="F215" s="10"/>
      <c r="G215" s="9"/>
      <c r="H215" s="11"/>
      <c r="I215" s="9" t="s">
        <v>13</v>
      </c>
      <c r="J215" s="44"/>
    </row>
    <row r="216">
      <c r="A216" s="42" t="s">
        <v>206</v>
      </c>
      <c r="B216" s="47"/>
      <c r="C216" s="9" t="s">
        <v>11</v>
      </c>
      <c r="D216" s="8" t="str">
        <f t="shared" si="1"/>
        <v>-</v>
      </c>
      <c r="E216" s="9"/>
      <c r="F216" s="10"/>
      <c r="G216" s="9"/>
      <c r="H216" s="11"/>
      <c r="I216" s="9" t="s">
        <v>13</v>
      </c>
      <c r="J216" s="44"/>
    </row>
    <row r="217">
      <c r="A217" s="42" t="s">
        <v>206</v>
      </c>
      <c r="B217" s="47"/>
      <c r="C217" s="9" t="s">
        <v>11</v>
      </c>
      <c r="D217" s="8" t="str">
        <f t="shared" si="1"/>
        <v>-</v>
      </c>
      <c r="E217" s="9"/>
      <c r="F217" s="10"/>
      <c r="G217" s="9"/>
      <c r="H217" s="11"/>
      <c r="I217" s="9" t="s">
        <v>13</v>
      </c>
      <c r="J217" s="44"/>
    </row>
    <row r="218">
      <c r="A218" s="42" t="s">
        <v>206</v>
      </c>
      <c r="B218" s="47"/>
      <c r="C218" s="9" t="s">
        <v>11</v>
      </c>
      <c r="D218" s="8" t="str">
        <f t="shared" si="1"/>
        <v>-</v>
      </c>
      <c r="E218" s="9"/>
      <c r="F218" s="10"/>
      <c r="G218" s="9"/>
      <c r="H218" s="11"/>
      <c r="I218" s="9" t="s">
        <v>13</v>
      </c>
      <c r="J218" s="44"/>
    </row>
    <row r="219">
      <c r="A219" s="42" t="s">
        <v>206</v>
      </c>
      <c r="B219" s="47"/>
      <c r="C219" s="9" t="s">
        <v>11</v>
      </c>
      <c r="D219" s="8" t="str">
        <f t="shared" si="1"/>
        <v>-</v>
      </c>
      <c r="E219" s="9"/>
      <c r="F219" s="10"/>
      <c r="G219" s="9"/>
      <c r="H219" s="11"/>
      <c r="I219" s="9" t="s">
        <v>13</v>
      </c>
      <c r="J219" s="44"/>
    </row>
    <row r="220">
      <c r="A220" s="42" t="s">
        <v>206</v>
      </c>
      <c r="B220" s="47"/>
      <c r="C220" s="9" t="s">
        <v>11</v>
      </c>
      <c r="D220" s="8" t="str">
        <f t="shared" si="1"/>
        <v>-</v>
      </c>
      <c r="E220" s="9"/>
      <c r="F220" s="10"/>
      <c r="G220" s="9"/>
      <c r="H220" s="11"/>
      <c r="I220" s="9" t="s">
        <v>13</v>
      </c>
      <c r="J220" s="44"/>
    </row>
    <row r="221">
      <c r="A221" s="42" t="s">
        <v>206</v>
      </c>
      <c r="B221" s="47"/>
      <c r="C221" s="9" t="s">
        <v>11</v>
      </c>
      <c r="D221" s="8" t="str">
        <f t="shared" si="1"/>
        <v>-</v>
      </c>
      <c r="E221" s="9"/>
      <c r="F221" s="10"/>
      <c r="G221" s="9"/>
      <c r="H221" s="11"/>
      <c r="I221" s="9" t="s">
        <v>13</v>
      </c>
      <c r="J221" s="44"/>
    </row>
    <row r="222">
      <c r="A222" s="42" t="s">
        <v>206</v>
      </c>
      <c r="B222" s="47"/>
      <c r="C222" s="9" t="s">
        <v>11</v>
      </c>
      <c r="D222" s="8" t="str">
        <f t="shared" si="1"/>
        <v>-</v>
      </c>
      <c r="E222" s="9"/>
      <c r="F222" s="10"/>
      <c r="G222" s="9"/>
      <c r="H222" s="11"/>
      <c r="I222" s="9" t="s">
        <v>13</v>
      </c>
      <c r="J222" s="44"/>
    </row>
    <row r="223">
      <c r="A223" s="42" t="s">
        <v>206</v>
      </c>
      <c r="B223" s="47"/>
      <c r="C223" s="9" t="s">
        <v>11</v>
      </c>
      <c r="D223" s="8" t="str">
        <f t="shared" si="1"/>
        <v>-</v>
      </c>
      <c r="E223" s="9"/>
      <c r="F223" s="10"/>
      <c r="G223" s="9"/>
      <c r="H223" s="11"/>
      <c r="I223" s="9" t="s">
        <v>13</v>
      </c>
      <c r="J223" s="44"/>
    </row>
    <row r="224">
      <c r="A224" s="42" t="s">
        <v>206</v>
      </c>
      <c r="B224" s="47"/>
      <c r="C224" s="9" t="s">
        <v>11</v>
      </c>
      <c r="D224" s="8" t="str">
        <f t="shared" si="1"/>
        <v>-</v>
      </c>
      <c r="E224" s="9"/>
      <c r="F224" s="10"/>
      <c r="G224" s="9"/>
      <c r="H224" s="11"/>
      <c r="I224" s="9" t="s">
        <v>13</v>
      </c>
      <c r="J224" s="44"/>
    </row>
    <row r="225">
      <c r="A225" s="42" t="s">
        <v>206</v>
      </c>
      <c r="B225" s="47"/>
      <c r="C225" s="9" t="s">
        <v>11</v>
      </c>
      <c r="D225" s="8" t="str">
        <f t="shared" si="1"/>
        <v>-</v>
      </c>
      <c r="E225" s="9"/>
      <c r="F225" s="10"/>
      <c r="G225" s="9"/>
      <c r="H225" s="11"/>
      <c r="I225" s="9" t="s">
        <v>13</v>
      </c>
      <c r="J225" s="44"/>
    </row>
    <row r="226">
      <c r="A226" s="42" t="s">
        <v>206</v>
      </c>
      <c r="B226" s="47"/>
      <c r="C226" s="9" t="s">
        <v>11</v>
      </c>
      <c r="D226" s="8" t="str">
        <f t="shared" si="1"/>
        <v>-</v>
      </c>
      <c r="E226" s="9"/>
      <c r="F226" s="10"/>
      <c r="G226" s="9"/>
      <c r="H226" s="11"/>
      <c r="I226" s="9" t="s">
        <v>13</v>
      </c>
      <c r="J226" s="44"/>
    </row>
    <row r="227">
      <c r="A227" s="42" t="s">
        <v>206</v>
      </c>
      <c r="B227" s="47"/>
      <c r="C227" s="9" t="s">
        <v>11</v>
      </c>
      <c r="D227" s="8" t="str">
        <f t="shared" si="1"/>
        <v>-</v>
      </c>
      <c r="E227" s="9"/>
      <c r="F227" s="10"/>
      <c r="G227" s="9"/>
      <c r="H227" s="11"/>
      <c r="I227" s="9" t="s">
        <v>13</v>
      </c>
      <c r="J227" s="44"/>
    </row>
    <row r="228">
      <c r="A228" s="42" t="s">
        <v>206</v>
      </c>
      <c r="B228" s="47"/>
      <c r="C228" s="9" t="s">
        <v>11</v>
      </c>
      <c r="D228" s="8" t="str">
        <f t="shared" si="1"/>
        <v>-</v>
      </c>
      <c r="E228" s="9"/>
      <c r="F228" s="10"/>
      <c r="G228" s="9"/>
      <c r="H228" s="11"/>
      <c r="I228" s="9" t="s">
        <v>13</v>
      </c>
      <c r="J228" s="44"/>
    </row>
    <row r="229">
      <c r="A229" s="42" t="s">
        <v>206</v>
      </c>
      <c r="B229" s="47"/>
      <c r="C229" s="9" t="s">
        <v>11</v>
      </c>
      <c r="D229" s="8" t="str">
        <f t="shared" si="1"/>
        <v>-</v>
      </c>
      <c r="E229" s="9"/>
      <c r="F229" s="10"/>
      <c r="G229" s="9"/>
      <c r="H229" s="11"/>
      <c r="I229" s="9" t="s">
        <v>13</v>
      </c>
      <c r="J229" s="44"/>
    </row>
    <row r="230">
      <c r="A230" s="42" t="s">
        <v>206</v>
      </c>
      <c r="B230" s="47"/>
      <c r="C230" s="9" t="s">
        <v>11</v>
      </c>
      <c r="D230" s="8" t="str">
        <f t="shared" si="1"/>
        <v>-</v>
      </c>
      <c r="E230" s="9"/>
      <c r="F230" s="10"/>
      <c r="G230" s="9"/>
      <c r="H230" s="11"/>
      <c r="I230" s="9" t="s">
        <v>13</v>
      </c>
      <c r="J230" s="44"/>
    </row>
    <row r="231">
      <c r="A231" s="42" t="s">
        <v>206</v>
      </c>
      <c r="B231" s="47"/>
      <c r="C231" s="9" t="s">
        <v>11</v>
      </c>
      <c r="D231" s="8" t="str">
        <f t="shared" si="1"/>
        <v>-</v>
      </c>
      <c r="E231" s="9"/>
      <c r="F231" s="10"/>
      <c r="G231" s="9"/>
      <c r="H231" s="11"/>
      <c r="I231" s="9" t="s">
        <v>13</v>
      </c>
      <c r="J231" s="44"/>
    </row>
    <row r="232">
      <c r="A232" s="42" t="s">
        <v>206</v>
      </c>
      <c r="B232" s="47"/>
      <c r="C232" s="9" t="s">
        <v>11</v>
      </c>
      <c r="D232" s="8" t="str">
        <f t="shared" si="1"/>
        <v>-</v>
      </c>
      <c r="E232" s="9"/>
      <c r="F232" s="10"/>
      <c r="G232" s="9"/>
      <c r="H232" s="11"/>
      <c r="I232" s="9" t="s">
        <v>13</v>
      </c>
      <c r="J232" s="44"/>
    </row>
    <row r="233">
      <c r="A233" s="42" t="s">
        <v>206</v>
      </c>
      <c r="B233" s="47"/>
      <c r="C233" s="9" t="s">
        <v>11</v>
      </c>
      <c r="D233" s="8" t="str">
        <f t="shared" si="1"/>
        <v>-</v>
      </c>
      <c r="E233" s="9"/>
      <c r="F233" s="10"/>
      <c r="G233" s="9"/>
      <c r="H233" s="11"/>
      <c r="I233" s="9" t="s">
        <v>13</v>
      </c>
      <c r="J233" s="44"/>
    </row>
    <row r="234">
      <c r="A234" s="42" t="s">
        <v>206</v>
      </c>
      <c r="B234" s="47"/>
      <c r="C234" s="9" t="s">
        <v>11</v>
      </c>
      <c r="D234" s="8" t="str">
        <f t="shared" si="1"/>
        <v>-</v>
      </c>
      <c r="E234" s="9"/>
      <c r="F234" s="10"/>
      <c r="G234" s="9"/>
      <c r="H234" s="11"/>
      <c r="I234" s="9" t="s">
        <v>13</v>
      </c>
      <c r="J234" s="44"/>
    </row>
    <row r="235">
      <c r="A235" s="42" t="s">
        <v>206</v>
      </c>
      <c r="B235" s="47"/>
      <c r="C235" s="9" t="s">
        <v>11</v>
      </c>
      <c r="D235" s="8" t="str">
        <f t="shared" si="1"/>
        <v>-</v>
      </c>
      <c r="E235" s="9"/>
      <c r="F235" s="10"/>
      <c r="G235" s="9"/>
      <c r="H235" s="11"/>
      <c r="I235" s="9" t="s">
        <v>13</v>
      </c>
      <c r="J235" s="44"/>
    </row>
    <row r="236">
      <c r="A236" s="42" t="s">
        <v>206</v>
      </c>
      <c r="B236" s="47"/>
      <c r="C236" s="9" t="s">
        <v>11</v>
      </c>
      <c r="D236" s="8" t="str">
        <f t="shared" si="1"/>
        <v>-</v>
      </c>
      <c r="E236" s="9"/>
      <c r="F236" s="10"/>
      <c r="G236" s="9"/>
      <c r="H236" s="11"/>
      <c r="I236" s="9" t="s">
        <v>13</v>
      </c>
      <c r="J236" s="44"/>
    </row>
    <row r="237">
      <c r="A237" s="42" t="s">
        <v>206</v>
      </c>
      <c r="B237" s="47"/>
      <c r="C237" s="9" t="s">
        <v>11</v>
      </c>
      <c r="D237" s="8" t="str">
        <f t="shared" si="1"/>
        <v>-</v>
      </c>
      <c r="E237" s="9"/>
      <c r="F237" s="10"/>
      <c r="G237" s="9"/>
      <c r="H237" s="11"/>
      <c r="I237" s="9" t="s">
        <v>13</v>
      </c>
      <c r="J237" s="44"/>
    </row>
    <row r="238">
      <c r="A238" s="42" t="s">
        <v>206</v>
      </c>
      <c r="B238" s="47"/>
      <c r="C238" s="9" t="s">
        <v>11</v>
      </c>
      <c r="D238" s="8" t="str">
        <f t="shared" si="1"/>
        <v>-</v>
      </c>
      <c r="E238" s="9"/>
      <c r="F238" s="10"/>
      <c r="G238" s="9"/>
      <c r="H238" s="11"/>
      <c r="I238" s="9" t="s">
        <v>13</v>
      </c>
      <c r="J238" s="44"/>
    </row>
    <row r="239">
      <c r="A239" s="42" t="s">
        <v>206</v>
      </c>
      <c r="B239" s="47"/>
      <c r="C239" s="9" t="s">
        <v>11</v>
      </c>
      <c r="D239" s="8" t="str">
        <f t="shared" si="1"/>
        <v>-</v>
      </c>
      <c r="E239" s="9"/>
      <c r="F239" s="10"/>
      <c r="G239" s="9"/>
      <c r="H239" s="11"/>
      <c r="I239" s="9" t="s">
        <v>13</v>
      </c>
      <c r="J239" s="44"/>
    </row>
    <row r="240">
      <c r="A240" s="42" t="s">
        <v>206</v>
      </c>
      <c r="B240" s="47"/>
      <c r="C240" s="9" t="s">
        <v>11</v>
      </c>
      <c r="D240" s="8" t="str">
        <f t="shared" si="1"/>
        <v>-</v>
      </c>
      <c r="E240" s="9"/>
      <c r="F240" s="10"/>
      <c r="G240" s="9"/>
      <c r="H240" s="11"/>
      <c r="I240" s="9" t="s">
        <v>13</v>
      </c>
      <c r="J240" s="44"/>
    </row>
    <row r="241">
      <c r="A241" s="42" t="s">
        <v>206</v>
      </c>
      <c r="B241" s="47"/>
      <c r="C241" s="9" t="s">
        <v>11</v>
      </c>
      <c r="D241" s="8" t="str">
        <f t="shared" si="1"/>
        <v>-</v>
      </c>
      <c r="E241" s="9"/>
      <c r="F241" s="10"/>
      <c r="G241" s="9"/>
      <c r="H241" s="11"/>
      <c r="I241" s="9" t="s">
        <v>13</v>
      </c>
      <c r="J241" s="44"/>
    </row>
    <row r="242">
      <c r="A242" s="42" t="s">
        <v>206</v>
      </c>
      <c r="B242" s="47"/>
      <c r="C242" s="9" t="s">
        <v>11</v>
      </c>
      <c r="D242" s="8" t="str">
        <f t="shared" si="1"/>
        <v>-</v>
      </c>
      <c r="E242" s="9"/>
      <c r="F242" s="10"/>
      <c r="G242" s="9"/>
      <c r="H242" s="11"/>
      <c r="I242" s="9" t="s">
        <v>13</v>
      </c>
      <c r="J242" s="44"/>
    </row>
    <row r="243">
      <c r="A243" s="42" t="s">
        <v>206</v>
      </c>
      <c r="B243" s="47"/>
      <c r="C243" s="9" t="s">
        <v>11</v>
      </c>
      <c r="D243" s="8" t="str">
        <f t="shared" si="1"/>
        <v>-</v>
      </c>
      <c r="E243" s="9"/>
      <c r="F243" s="10"/>
      <c r="G243" s="9"/>
      <c r="H243" s="11"/>
      <c r="I243" s="9" t="s">
        <v>13</v>
      </c>
      <c r="J243" s="44"/>
    </row>
    <row r="244">
      <c r="A244" s="42" t="s">
        <v>206</v>
      </c>
      <c r="B244" s="47"/>
      <c r="C244" s="9" t="s">
        <v>11</v>
      </c>
      <c r="D244" s="8" t="str">
        <f t="shared" si="1"/>
        <v>-</v>
      </c>
      <c r="E244" s="9"/>
      <c r="F244" s="10"/>
      <c r="G244" s="9"/>
      <c r="H244" s="11"/>
      <c r="I244" s="9" t="s">
        <v>13</v>
      </c>
      <c r="J244" s="44"/>
    </row>
    <row r="245">
      <c r="A245" s="42" t="s">
        <v>206</v>
      </c>
      <c r="B245" s="47"/>
      <c r="C245" s="9" t="s">
        <v>11</v>
      </c>
      <c r="D245" s="8" t="str">
        <f t="shared" si="1"/>
        <v>-</v>
      </c>
      <c r="E245" s="9"/>
      <c r="F245" s="10"/>
      <c r="G245" s="9"/>
      <c r="H245" s="11"/>
      <c r="I245" s="9" t="s">
        <v>13</v>
      </c>
      <c r="J245" s="44"/>
    </row>
    <row r="246">
      <c r="A246" s="42" t="s">
        <v>206</v>
      </c>
      <c r="B246" s="47"/>
      <c r="C246" s="9" t="s">
        <v>11</v>
      </c>
      <c r="D246" s="8" t="str">
        <f t="shared" si="1"/>
        <v>-</v>
      </c>
      <c r="E246" s="9"/>
      <c r="F246" s="10"/>
      <c r="G246" s="9"/>
      <c r="H246" s="11"/>
      <c r="I246" s="9" t="s">
        <v>13</v>
      </c>
      <c r="J246" s="44"/>
    </row>
    <row r="247">
      <c r="A247" s="42" t="s">
        <v>206</v>
      </c>
      <c r="B247" s="47"/>
      <c r="C247" s="9" t="s">
        <v>11</v>
      </c>
      <c r="D247" s="8" t="str">
        <f t="shared" si="1"/>
        <v>-</v>
      </c>
      <c r="E247" s="9"/>
      <c r="F247" s="10"/>
      <c r="G247" s="9"/>
      <c r="H247" s="11"/>
      <c r="I247" s="9" t="s">
        <v>13</v>
      </c>
      <c r="J247" s="44"/>
    </row>
    <row r="248">
      <c r="A248" s="42" t="s">
        <v>206</v>
      </c>
      <c r="B248" s="47"/>
      <c r="C248" s="9" t="s">
        <v>11</v>
      </c>
      <c r="D248" s="8" t="str">
        <f t="shared" si="1"/>
        <v>-</v>
      </c>
      <c r="E248" s="9"/>
      <c r="F248" s="10"/>
      <c r="G248" s="9"/>
      <c r="H248" s="11"/>
      <c r="I248" s="9" t="s">
        <v>13</v>
      </c>
      <c r="J248" s="44"/>
    </row>
    <row r="249">
      <c r="A249" s="42" t="s">
        <v>206</v>
      </c>
      <c r="B249" s="47"/>
      <c r="C249" s="9" t="s">
        <v>11</v>
      </c>
      <c r="D249" s="8" t="str">
        <f t="shared" si="1"/>
        <v>-</v>
      </c>
      <c r="E249" s="9"/>
      <c r="F249" s="10"/>
      <c r="G249" s="9"/>
      <c r="H249" s="11"/>
      <c r="I249" s="9" t="s">
        <v>13</v>
      </c>
      <c r="J249" s="44"/>
    </row>
    <row r="250">
      <c r="A250" s="42" t="s">
        <v>206</v>
      </c>
      <c r="B250" s="47"/>
      <c r="C250" s="9" t="s">
        <v>11</v>
      </c>
      <c r="D250" s="8" t="str">
        <f t="shared" si="1"/>
        <v>-</v>
      </c>
      <c r="E250" s="9"/>
      <c r="F250" s="10"/>
      <c r="G250" s="9"/>
      <c r="H250" s="11"/>
      <c r="I250" s="9" t="s">
        <v>13</v>
      </c>
      <c r="J250" s="44"/>
    </row>
    <row r="251">
      <c r="A251" s="42" t="s">
        <v>206</v>
      </c>
      <c r="B251" s="47"/>
      <c r="C251" s="9" t="s">
        <v>11</v>
      </c>
      <c r="D251" s="8" t="str">
        <f t="shared" si="1"/>
        <v>-</v>
      </c>
      <c r="E251" s="9"/>
      <c r="F251" s="10"/>
      <c r="G251" s="9"/>
      <c r="H251" s="11"/>
      <c r="I251" s="9" t="s">
        <v>13</v>
      </c>
      <c r="J251" s="44"/>
    </row>
    <row r="252">
      <c r="A252" s="42" t="s">
        <v>206</v>
      </c>
      <c r="B252" s="47"/>
      <c r="C252" s="9" t="s">
        <v>11</v>
      </c>
      <c r="D252" s="8" t="str">
        <f t="shared" si="1"/>
        <v>-</v>
      </c>
      <c r="E252" s="9"/>
      <c r="F252" s="10"/>
      <c r="G252" s="9"/>
      <c r="H252" s="11"/>
      <c r="I252" s="9" t="s">
        <v>13</v>
      </c>
      <c r="J252" s="44"/>
    </row>
    <row r="253">
      <c r="A253" s="42" t="s">
        <v>206</v>
      </c>
      <c r="B253" s="47"/>
      <c r="C253" s="9" t="s">
        <v>11</v>
      </c>
      <c r="D253" s="8" t="str">
        <f t="shared" si="1"/>
        <v>-</v>
      </c>
      <c r="E253" s="9"/>
      <c r="F253" s="10"/>
      <c r="G253" s="9"/>
      <c r="H253" s="11"/>
      <c r="I253" s="9" t="s">
        <v>13</v>
      </c>
      <c r="J253" s="44"/>
    </row>
    <row r="254">
      <c r="A254" s="42" t="s">
        <v>206</v>
      </c>
      <c r="B254" s="47"/>
      <c r="C254" s="9" t="s">
        <v>11</v>
      </c>
      <c r="D254" s="8" t="str">
        <f t="shared" si="1"/>
        <v>-</v>
      </c>
      <c r="E254" s="9"/>
      <c r="F254" s="10"/>
      <c r="G254" s="9"/>
      <c r="H254" s="11"/>
      <c r="I254" s="9" t="s">
        <v>13</v>
      </c>
      <c r="J254" s="44"/>
    </row>
    <row r="255">
      <c r="A255" s="42" t="s">
        <v>206</v>
      </c>
      <c r="B255" s="47"/>
      <c r="C255" s="9" t="s">
        <v>11</v>
      </c>
      <c r="D255" s="8" t="str">
        <f t="shared" si="1"/>
        <v>-</v>
      </c>
      <c r="E255" s="9"/>
      <c r="F255" s="10"/>
      <c r="G255" s="9"/>
      <c r="H255" s="11"/>
      <c r="I255" s="9" t="s">
        <v>13</v>
      </c>
      <c r="J255" s="44"/>
    </row>
    <row r="256">
      <c r="A256" s="42" t="s">
        <v>206</v>
      </c>
      <c r="B256" s="47"/>
      <c r="C256" s="9" t="s">
        <v>11</v>
      </c>
      <c r="D256" s="8" t="str">
        <f t="shared" si="1"/>
        <v>-</v>
      </c>
      <c r="E256" s="9"/>
      <c r="F256" s="10"/>
      <c r="G256" s="9"/>
      <c r="H256" s="11"/>
      <c r="I256" s="9" t="s">
        <v>13</v>
      </c>
      <c r="J256" s="44"/>
    </row>
    <row r="257">
      <c r="A257" s="42" t="s">
        <v>206</v>
      </c>
      <c r="B257" s="47"/>
      <c r="C257" s="9" t="s">
        <v>11</v>
      </c>
      <c r="D257" s="8" t="str">
        <f t="shared" si="1"/>
        <v>-</v>
      </c>
      <c r="E257" s="9"/>
      <c r="F257" s="10"/>
      <c r="G257" s="9"/>
      <c r="H257" s="11"/>
      <c r="I257" s="9" t="s">
        <v>13</v>
      </c>
      <c r="J257" s="44"/>
    </row>
    <row r="258">
      <c r="A258" s="42" t="s">
        <v>206</v>
      </c>
      <c r="B258" s="47"/>
      <c r="C258" s="9" t="s">
        <v>11</v>
      </c>
      <c r="D258" s="8" t="str">
        <f t="shared" si="1"/>
        <v>-</v>
      </c>
      <c r="E258" s="9"/>
      <c r="F258" s="10"/>
      <c r="G258" s="9"/>
      <c r="H258" s="11"/>
      <c r="I258" s="9" t="s">
        <v>13</v>
      </c>
      <c r="J258" s="44"/>
    </row>
    <row r="259">
      <c r="A259" s="42" t="s">
        <v>206</v>
      </c>
      <c r="B259" s="47"/>
      <c r="C259" s="9" t="s">
        <v>11</v>
      </c>
      <c r="D259" s="8" t="str">
        <f t="shared" si="1"/>
        <v>-</v>
      </c>
      <c r="E259" s="9"/>
      <c r="F259" s="10"/>
      <c r="G259" s="9"/>
      <c r="H259" s="11"/>
      <c r="I259" s="9" t="s">
        <v>13</v>
      </c>
      <c r="J259" s="44"/>
    </row>
    <row r="260">
      <c r="A260" s="42" t="s">
        <v>206</v>
      </c>
      <c r="B260" s="47"/>
      <c r="C260" s="9" t="s">
        <v>11</v>
      </c>
      <c r="D260" s="8" t="str">
        <f t="shared" si="1"/>
        <v>-</v>
      </c>
      <c r="E260" s="9"/>
      <c r="F260" s="10"/>
      <c r="G260" s="9"/>
      <c r="H260" s="11"/>
      <c r="I260" s="9" t="s">
        <v>13</v>
      </c>
      <c r="J260" s="44"/>
    </row>
    <row r="261">
      <c r="A261" s="42" t="s">
        <v>206</v>
      </c>
      <c r="B261" s="47"/>
      <c r="C261" s="9" t="s">
        <v>11</v>
      </c>
      <c r="D261" s="8" t="str">
        <f t="shared" si="1"/>
        <v>-</v>
      </c>
      <c r="E261" s="9"/>
      <c r="F261" s="10"/>
      <c r="G261" s="9"/>
      <c r="H261" s="11"/>
      <c r="I261" s="9" t="s">
        <v>13</v>
      </c>
      <c r="J261" s="44"/>
    </row>
    <row r="262">
      <c r="A262" s="42" t="s">
        <v>206</v>
      </c>
      <c r="B262" s="47"/>
      <c r="C262" s="9" t="s">
        <v>11</v>
      </c>
      <c r="D262" s="8" t="str">
        <f t="shared" si="1"/>
        <v>-</v>
      </c>
      <c r="E262" s="9"/>
      <c r="F262" s="10"/>
      <c r="G262" s="9"/>
      <c r="H262" s="11"/>
      <c r="I262" s="9" t="s">
        <v>13</v>
      </c>
      <c r="J262" s="44"/>
    </row>
    <row r="263">
      <c r="A263" s="42" t="s">
        <v>206</v>
      </c>
      <c r="B263" s="47"/>
      <c r="C263" s="9" t="s">
        <v>11</v>
      </c>
      <c r="D263" s="8" t="str">
        <f t="shared" si="1"/>
        <v>-</v>
      </c>
      <c r="E263" s="9"/>
      <c r="F263" s="10"/>
      <c r="G263" s="9"/>
      <c r="H263" s="11"/>
      <c r="I263" s="9" t="s">
        <v>13</v>
      </c>
      <c r="J263" s="44"/>
    </row>
    <row r="264">
      <c r="A264" s="42" t="s">
        <v>206</v>
      </c>
      <c r="B264" s="47"/>
      <c r="C264" s="9" t="s">
        <v>11</v>
      </c>
      <c r="D264" s="8" t="str">
        <f t="shared" si="1"/>
        <v>-</v>
      </c>
      <c r="E264" s="9"/>
      <c r="F264" s="10"/>
      <c r="G264" s="9"/>
      <c r="H264" s="11"/>
      <c r="I264" s="9" t="s">
        <v>13</v>
      </c>
      <c r="J264" s="44"/>
    </row>
    <row r="265">
      <c r="A265" s="42" t="s">
        <v>206</v>
      </c>
      <c r="B265" s="47"/>
      <c r="C265" s="9" t="s">
        <v>11</v>
      </c>
      <c r="D265" s="8" t="str">
        <f t="shared" si="1"/>
        <v>-</v>
      </c>
      <c r="E265" s="9"/>
      <c r="F265" s="10"/>
      <c r="G265" s="9"/>
      <c r="H265" s="11"/>
      <c r="I265" s="9" t="s">
        <v>13</v>
      </c>
      <c r="J265" s="44"/>
    </row>
    <row r="266">
      <c r="A266" s="42" t="s">
        <v>206</v>
      </c>
      <c r="B266" s="47"/>
      <c r="C266" s="9" t="s">
        <v>11</v>
      </c>
      <c r="D266" s="8" t="str">
        <f t="shared" si="1"/>
        <v>-</v>
      </c>
      <c r="E266" s="9"/>
      <c r="F266" s="10"/>
      <c r="G266" s="9"/>
      <c r="H266" s="11"/>
      <c r="I266" s="9" t="s">
        <v>13</v>
      </c>
      <c r="J266" s="44"/>
    </row>
    <row r="267">
      <c r="A267" s="42" t="s">
        <v>206</v>
      </c>
      <c r="B267" s="47"/>
      <c r="C267" s="9" t="s">
        <v>11</v>
      </c>
      <c r="D267" s="8" t="str">
        <f t="shared" si="1"/>
        <v>-</v>
      </c>
      <c r="E267" s="9"/>
      <c r="F267" s="10"/>
      <c r="G267" s="9"/>
      <c r="H267" s="11"/>
      <c r="I267" s="9" t="s">
        <v>13</v>
      </c>
      <c r="J267" s="44"/>
    </row>
    <row r="268">
      <c r="A268" s="42" t="s">
        <v>206</v>
      </c>
      <c r="B268" s="47"/>
      <c r="C268" s="9" t="s">
        <v>11</v>
      </c>
      <c r="D268" s="8" t="str">
        <f t="shared" si="1"/>
        <v>-</v>
      </c>
      <c r="E268" s="9"/>
      <c r="F268" s="10"/>
      <c r="G268" s="9"/>
      <c r="H268" s="11"/>
      <c r="I268" s="9" t="s">
        <v>13</v>
      </c>
      <c r="J268" s="44"/>
    </row>
    <row r="269">
      <c r="A269" s="42" t="s">
        <v>206</v>
      </c>
      <c r="B269" s="47"/>
      <c r="C269" s="9" t="s">
        <v>11</v>
      </c>
      <c r="D269" s="8" t="str">
        <f t="shared" si="1"/>
        <v>-</v>
      </c>
      <c r="E269" s="9"/>
      <c r="F269" s="10"/>
      <c r="G269" s="9"/>
      <c r="H269" s="11"/>
      <c r="I269" s="9" t="s">
        <v>13</v>
      </c>
      <c r="J269" s="44"/>
    </row>
    <row r="270">
      <c r="A270" s="42" t="s">
        <v>206</v>
      </c>
      <c r="B270" s="47"/>
      <c r="C270" s="9" t="s">
        <v>11</v>
      </c>
      <c r="D270" s="8" t="str">
        <f t="shared" si="1"/>
        <v>-</v>
      </c>
      <c r="E270" s="9"/>
      <c r="F270" s="10"/>
      <c r="G270" s="9"/>
      <c r="H270" s="11"/>
      <c r="I270" s="9" t="s">
        <v>13</v>
      </c>
      <c r="J270" s="44"/>
    </row>
    <row r="271">
      <c r="A271" s="42" t="s">
        <v>206</v>
      </c>
      <c r="B271" s="47"/>
      <c r="C271" s="9" t="s">
        <v>11</v>
      </c>
      <c r="D271" s="8" t="str">
        <f t="shared" si="1"/>
        <v>-</v>
      </c>
      <c r="E271" s="9"/>
      <c r="F271" s="10"/>
      <c r="G271" s="9"/>
      <c r="H271" s="11"/>
      <c r="I271" s="9" t="s">
        <v>13</v>
      </c>
      <c r="J271" s="44"/>
    </row>
    <row r="272">
      <c r="A272" s="42" t="s">
        <v>206</v>
      </c>
      <c r="B272" s="47"/>
      <c r="C272" s="9" t="s">
        <v>11</v>
      </c>
      <c r="D272" s="8" t="str">
        <f t="shared" si="1"/>
        <v>-</v>
      </c>
      <c r="E272" s="9"/>
      <c r="F272" s="10"/>
      <c r="G272" s="9"/>
      <c r="H272" s="11"/>
      <c r="I272" s="9" t="s">
        <v>13</v>
      </c>
      <c r="J272" s="44"/>
    </row>
    <row r="273">
      <c r="A273" s="42" t="s">
        <v>206</v>
      </c>
      <c r="B273" s="47"/>
      <c r="C273" s="9" t="s">
        <v>11</v>
      </c>
      <c r="D273" s="8" t="str">
        <f t="shared" si="1"/>
        <v>-</v>
      </c>
      <c r="E273" s="9"/>
      <c r="F273" s="10"/>
      <c r="G273" s="9"/>
      <c r="H273" s="11"/>
      <c r="I273" s="9" t="s">
        <v>13</v>
      </c>
      <c r="J273" s="44"/>
    </row>
    <row r="274">
      <c r="A274" s="42" t="s">
        <v>206</v>
      </c>
      <c r="B274" s="47"/>
      <c r="C274" s="9" t="s">
        <v>11</v>
      </c>
      <c r="D274" s="8" t="str">
        <f t="shared" si="1"/>
        <v>-</v>
      </c>
      <c r="E274" s="9"/>
      <c r="F274" s="10"/>
      <c r="G274" s="9"/>
      <c r="H274" s="11"/>
      <c r="I274" s="9" t="s">
        <v>13</v>
      </c>
      <c r="J274" s="44"/>
    </row>
    <row r="275">
      <c r="A275" s="42" t="s">
        <v>206</v>
      </c>
      <c r="B275" s="47"/>
      <c r="C275" s="9" t="s">
        <v>11</v>
      </c>
      <c r="D275" s="8" t="str">
        <f t="shared" si="1"/>
        <v>-</v>
      </c>
      <c r="E275" s="9"/>
      <c r="F275" s="10"/>
      <c r="G275" s="9"/>
      <c r="H275" s="11"/>
      <c r="I275" s="9" t="s">
        <v>13</v>
      </c>
      <c r="J275" s="44"/>
    </row>
    <row r="276">
      <c r="A276" s="42" t="s">
        <v>206</v>
      </c>
      <c r="B276" s="47"/>
      <c r="C276" s="9" t="s">
        <v>11</v>
      </c>
      <c r="D276" s="8" t="str">
        <f t="shared" si="1"/>
        <v>-</v>
      </c>
      <c r="E276" s="9"/>
      <c r="F276" s="10"/>
      <c r="G276" s="9"/>
      <c r="H276" s="11"/>
      <c r="I276" s="9" t="s">
        <v>13</v>
      </c>
      <c r="J276" s="44"/>
    </row>
    <row r="277">
      <c r="A277" s="42" t="s">
        <v>206</v>
      </c>
      <c r="B277" s="47"/>
      <c r="C277" s="9" t="s">
        <v>11</v>
      </c>
      <c r="D277" s="8" t="str">
        <f t="shared" si="1"/>
        <v>-</v>
      </c>
      <c r="E277" s="9"/>
      <c r="F277" s="10"/>
      <c r="G277" s="9"/>
      <c r="H277" s="11"/>
      <c r="I277" s="9" t="s">
        <v>13</v>
      </c>
      <c r="J277" s="44"/>
    </row>
    <row r="278">
      <c r="A278" s="42" t="s">
        <v>206</v>
      </c>
      <c r="B278" s="47"/>
      <c r="C278" s="9" t="s">
        <v>11</v>
      </c>
      <c r="D278" s="8" t="str">
        <f t="shared" si="1"/>
        <v>-</v>
      </c>
      <c r="E278" s="9"/>
      <c r="F278" s="10"/>
      <c r="G278" s="9"/>
      <c r="H278" s="11"/>
      <c r="I278" s="9" t="s">
        <v>13</v>
      </c>
      <c r="J278" s="44"/>
    </row>
    <row r="279">
      <c r="A279" s="42" t="s">
        <v>206</v>
      </c>
      <c r="B279" s="47"/>
      <c r="C279" s="9" t="s">
        <v>11</v>
      </c>
      <c r="D279" s="8" t="str">
        <f t="shared" si="1"/>
        <v>-</v>
      </c>
      <c r="E279" s="9"/>
      <c r="F279" s="10"/>
      <c r="G279" s="9"/>
      <c r="H279" s="11"/>
      <c r="I279" s="9" t="s">
        <v>13</v>
      </c>
      <c r="J279" s="44"/>
    </row>
    <row r="280">
      <c r="A280" s="42" t="s">
        <v>206</v>
      </c>
      <c r="B280" s="47"/>
      <c r="C280" s="9" t="s">
        <v>11</v>
      </c>
      <c r="D280" s="8" t="str">
        <f t="shared" si="1"/>
        <v>-</v>
      </c>
      <c r="E280" s="9"/>
      <c r="F280" s="10"/>
      <c r="G280" s="9"/>
      <c r="H280" s="11"/>
      <c r="I280" s="9" t="s">
        <v>13</v>
      </c>
      <c r="J280" s="44"/>
    </row>
    <row r="281">
      <c r="A281" s="42" t="s">
        <v>206</v>
      </c>
      <c r="B281" s="47"/>
      <c r="C281" s="9" t="s">
        <v>11</v>
      </c>
      <c r="D281" s="8" t="str">
        <f t="shared" si="1"/>
        <v>-</v>
      </c>
      <c r="E281" s="9"/>
      <c r="F281" s="10"/>
      <c r="G281" s="9"/>
      <c r="H281" s="11"/>
      <c r="I281" s="9" t="s">
        <v>13</v>
      </c>
      <c r="J281" s="44"/>
    </row>
    <row r="282">
      <c r="A282" s="42" t="s">
        <v>206</v>
      </c>
      <c r="B282" s="47"/>
      <c r="C282" s="9" t="s">
        <v>11</v>
      </c>
      <c r="D282" s="8" t="str">
        <f t="shared" si="1"/>
        <v>-</v>
      </c>
      <c r="E282" s="9"/>
      <c r="F282" s="10"/>
      <c r="G282" s="9"/>
      <c r="H282" s="11"/>
      <c r="I282" s="9" t="s">
        <v>13</v>
      </c>
      <c r="J282" s="44"/>
    </row>
    <row r="283">
      <c r="A283" s="42" t="s">
        <v>206</v>
      </c>
      <c r="B283" s="47"/>
      <c r="C283" s="9" t="s">
        <v>11</v>
      </c>
      <c r="D283" s="8" t="str">
        <f t="shared" si="1"/>
        <v>-</v>
      </c>
      <c r="E283" s="9"/>
      <c r="F283" s="10"/>
      <c r="G283" s="9"/>
      <c r="H283" s="11"/>
      <c r="I283" s="9" t="s">
        <v>13</v>
      </c>
      <c r="J283" s="44"/>
    </row>
    <row r="284">
      <c r="A284" s="42" t="s">
        <v>206</v>
      </c>
      <c r="B284" s="47"/>
      <c r="C284" s="9" t="s">
        <v>11</v>
      </c>
      <c r="D284" s="8" t="str">
        <f t="shared" si="1"/>
        <v>-</v>
      </c>
      <c r="E284" s="9"/>
      <c r="F284" s="10"/>
      <c r="G284" s="9"/>
      <c r="H284" s="11"/>
      <c r="I284" s="9" t="s">
        <v>13</v>
      </c>
      <c r="J284" s="44"/>
    </row>
    <row r="285">
      <c r="A285" s="42" t="s">
        <v>206</v>
      </c>
      <c r="B285" s="47"/>
      <c r="C285" s="9" t="s">
        <v>11</v>
      </c>
      <c r="D285" s="8" t="str">
        <f t="shared" si="1"/>
        <v>-</v>
      </c>
      <c r="E285" s="9"/>
      <c r="F285" s="10"/>
      <c r="G285" s="9"/>
      <c r="H285" s="11"/>
      <c r="I285" s="9" t="s">
        <v>13</v>
      </c>
      <c r="J285" s="44"/>
    </row>
    <row r="286">
      <c r="A286" s="42" t="s">
        <v>206</v>
      </c>
      <c r="B286" s="47"/>
      <c r="C286" s="9" t="s">
        <v>11</v>
      </c>
      <c r="D286" s="8" t="str">
        <f t="shared" si="1"/>
        <v>-</v>
      </c>
      <c r="E286" s="9"/>
      <c r="F286" s="10"/>
      <c r="G286" s="9"/>
      <c r="H286" s="11"/>
      <c r="I286" s="9" t="s">
        <v>13</v>
      </c>
      <c r="J286" s="44"/>
    </row>
    <row r="287">
      <c r="A287" s="42" t="s">
        <v>206</v>
      </c>
      <c r="B287" s="47"/>
      <c r="C287" s="9" t="s">
        <v>11</v>
      </c>
      <c r="D287" s="8" t="str">
        <f t="shared" si="1"/>
        <v>-</v>
      </c>
      <c r="E287" s="9"/>
      <c r="F287" s="10"/>
      <c r="G287" s="9"/>
      <c r="H287" s="11"/>
      <c r="I287" s="9" t="s">
        <v>13</v>
      </c>
      <c r="J287" s="44"/>
    </row>
    <row r="288">
      <c r="A288" s="42" t="s">
        <v>206</v>
      </c>
      <c r="B288" s="47"/>
      <c r="C288" s="9" t="s">
        <v>11</v>
      </c>
      <c r="D288" s="8" t="str">
        <f t="shared" si="1"/>
        <v>-</v>
      </c>
      <c r="E288" s="9"/>
      <c r="F288" s="10"/>
      <c r="G288" s="9"/>
      <c r="H288" s="11"/>
      <c r="I288" s="9" t="s">
        <v>13</v>
      </c>
      <c r="J288" s="44"/>
    </row>
    <row r="289">
      <c r="A289" s="42" t="s">
        <v>206</v>
      </c>
      <c r="B289" s="47"/>
      <c r="C289" s="9" t="s">
        <v>11</v>
      </c>
      <c r="D289" s="8" t="str">
        <f t="shared" si="1"/>
        <v>-</v>
      </c>
      <c r="E289" s="9"/>
      <c r="F289" s="10"/>
      <c r="G289" s="9"/>
      <c r="H289" s="11"/>
      <c r="I289" s="9" t="s">
        <v>13</v>
      </c>
      <c r="J289" s="44"/>
    </row>
    <row r="290">
      <c r="A290" s="42" t="s">
        <v>206</v>
      </c>
      <c r="B290" s="47"/>
      <c r="C290" s="9" t="s">
        <v>11</v>
      </c>
      <c r="D290" s="8" t="str">
        <f t="shared" si="1"/>
        <v>-</v>
      </c>
      <c r="E290" s="9"/>
      <c r="F290" s="10"/>
      <c r="G290" s="9"/>
      <c r="H290" s="11"/>
      <c r="I290" s="9" t="s">
        <v>13</v>
      </c>
      <c r="J290" s="44"/>
    </row>
    <row r="291">
      <c r="A291" s="42" t="s">
        <v>206</v>
      </c>
      <c r="B291" s="47"/>
      <c r="C291" s="9" t="s">
        <v>11</v>
      </c>
      <c r="D291" s="8" t="str">
        <f t="shared" si="1"/>
        <v>-</v>
      </c>
      <c r="E291" s="9"/>
      <c r="F291" s="10"/>
      <c r="G291" s="9"/>
      <c r="H291" s="11"/>
      <c r="I291" s="9" t="s">
        <v>13</v>
      </c>
      <c r="J291" s="44"/>
    </row>
    <row r="292">
      <c r="A292" s="42" t="s">
        <v>206</v>
      </c>
      <c r="B292" s="47"/>
      <c r="C292" s="9" t="s">
        <v>11</v>
      </c>
      <c r="D292" s="8" t="str">
        <f t="shared" si="1"/>
        <v>-</v>
      </c>
      <c r="E292" s="9"/>
      <c r="F292" s="10"/>
      <c r="G292" s="9"/>
      <c r="H292" s="11"/>
      <c r="I292" s="9" t="s">
        <v>13</v>
      </c>
      <c r="J292" s="44"/>
    </row>
    <row r="293">
      <c r="A293" s="42" t="s">
        <v>206</v>
      </c>
      <c r="B293" s="47"/>
      <c r="C293" s="9" t="s">
        <v>11</v>
      </c>
      <c r="D293" s="8" t="str">
        <f t="shared" si="1"/>
        <v>-</v>
      </c>
      <c r="E293" s="9"/>
      <c r="F293" s="10"/>
      <c r="G293" s="9"/>
      <c r="H293" s="11"/>
      <c r="I293" s="9" t="s">
        <v>13</v>
      </c>
      <c r="J293" s="44"/>
    </row>
    <row r="294">
      <c r="A294" s="42" t="s">
        <v>206</v>
      </c>
      <c r="B294" s="47"/>
      <c r="C294" s="9" t="s">
        <v>11</v>
      </c>
      <c r="D294" s="8" t="str">
        <f t="shared" si="1"/>
        <v>-</v>
      </c>
      <c r="E294" s="9"/>
      <c r="F294" s="10"/>
      <c r="G294" s="9"/>
      <c r="H294" s="11"/>
      <c r="I294" s="9" t="s">
        <v>13</v>
      </c>
      <c r="J294" s="44"/>
    </row>
    <row r="295">
      <c r="A295" s="42" t="s">
        <v>206</v>
      </c>
      <c r="B295" s="47"/>
      <c r="C295" s="9" t="s">
        <v>11</v>
      </c>
      <c r="D295" s="8" t="str">
        <f t="shared" si="1"/>
        <v>-</v>
      </c>
      <c r="E295" s="9"/>
      <c r="F295" s="10"/>
      <c r="G295" s="9"/>
      <c r="H295" s="11"/>
      <c r="I295" s="9" t="s">
        <v>13</v>
      </c>
      <c r="J295" s="44"/>
    </row>
    <row r="296">
      <c r="A296" s="42" t="s">
        <v>206</v>
      </c>
      <c r="B296" s="47"/>
      <c r="C296" s="9" t="s">
        <v>11</v>
      </c>
      <c r="D296" s="8" t="str">
        <f t="shared" si="1"/>
        <v>-</v>
      </c>
      <c r="E296" s="9"/>
      <c r="F296" s="10"/>
      <c r="G296" s="9"/>
      <c r="H296" s="11"/>
      <c r="I296" s="9" t="s">
        <v>13</v>
      </c>
      <c r="J296" s="44"/>
    </row>
    <row r="297">
      <c r="A297" s="42" t="s">
        <v>206</v>
      </c>
      <c r="B297" s="47"/>
      <c r="C297" s="9" t="s">
        <v>11</v>
      </c>
      <c r="D297" s="8" t="str">
        <f t="shared" si="1"/>
        <v>-</v>
      </c>
      <c r="E297" s="9"/>
      <c r="F297" s="10"/>
      <c r="G297" s="9"/>
      <c r="H297" s="11"/>
      <c r="I297" s="9" t="s">
        <v>13</v>
      </c>
      <c r="J297" s="44"/>
    </row>
    <row r="298">
      <c r="A298" s="42" t="s">
        <v>206</v>
      </c>
      <c r="B298" s="47"/>
      <c r="C298" s="9" t="s">
        <v>11</v>
      </c>
      <c r="D298" s="8" t="str">
        <f t="shared" si="1"/>
        <v>-</v>
      </c>
      <c r="E298" s="9"/>
      <c r="F298" s="10"/>
      <c r="G298" s="9"/>
      <c r="H298" s="11"/>
      <c r="I298" s="9" t="s">
        <v>13</v>
      </c>
      <c r="J298" s="44"/>
    </row>
    <row r="299">
      <c r="A299" s="42" t="s">
        <v>206</v>
      </c>
      <c r="B299" s="47"/>
      <c r="C299" s="9" t="s">
        <v>11</v>
      </c>
      <c r="D299" s="8" t="str">
        <f t="shared" si="1"/>
        <v>-</v>
      </c>
      <c r="E299" s="9"/>
      <c r="F299" s="10"/>
      <c r="G299" s="9"/>
      <c r="H299" s="11"/>
      <c r="I299" s="9" t="s">
        <v>13</v>
      </c>
      <c r="J299" s="44"/>
    </row>
    <row r="300">
      <c r="A300" s="42" t="s">
        <v>206</v>
      </c>
      <c r="B300" s="47"/>
      <c r="C300" s="9" t="s">
        <v>11</v>
      </c>
      <c r="D300" s="8" t="str">
        <f t="shared" si="1"/>
        <v>-</v>
      </c>
      <c r="E300" s="9"/>
      <c r="F300" s="10"/>
      <c r="G300" s="9"/>
      <c r="H300" s="11"/>
      <c r="I300" s="9" t="s">
        <v>13</v>
      </c>
      <c r="J300" s="44"/>
    </row>
    <row r="301">
      <c r="A301" s="42" t="s">
        <v>206</v>
      </c>
      <c r="B301" s="47"/>
      <c r="C301" s="9" t="s">
        <v>11</v>
      </c>
      <c r="D301" s="8" t="str">
        <f t="shared" si="1"/>
        <v>-</v>
      </c>
      <c r="E301" s="9"/>
      <c r="F301" s="10"/>
      <c r="G301" s="9"/>
      <c r="H301" s="11"/>
      <c r="I301" s="9" t="s">
        <v>13</v>
      </c>
      <c r="J301" s="44"/>
    </row>
    <row r="302">
      <c r="A302" s="42" t="s">
        <v>206</v>
      </c>
      <c r="B302" s="47"/>
      <c r="C302" s="9" t="s">
        <v>11</v>
      </c>
      <c r="D302" s="8" t="str">
        <f t="shared" si="1"/>
        <v>-</v>
      </c>
      <c r="E302" s="9"/>
      <c r="F302" s="10"/>
      <c r="G302" s="9"/>
      <c r="H302" s="11"/>
      <c r="I302" s="9" t="s">
        <v>13</v>
      </c>
      <c r="J302" s="44"/>
    </row>
    <row r="303">
      <c r="A303" s="42" t="s">
        <v>206</v>
      </c>
      <c r="B303" s="47"/>
      <c r="C303" s="9" t="s">
        <v>11</v>
      </c>
      <c r="D303" s="8" t="str">
        <f t="shared" si="1"/>
        <v>-</v>
      </c>
      <c r="E303" s="9"/>
      <c r="F303" s="10"/>
      <c r="G303" s="9"/>
      <c r="H303" s="11"/>
      <c r="I303" s="9" t="s">
        <v>13</v>
      </c>
      <c r="J303" s="44"/>
    </row>
    <row r="304">
      <c r="A304" s="42" t="s">
        <v>206</v>
      </c>
      <c r="B304" s="47"/>
      <c r="C304" s="9" t="s">
        <v>11</v>
      </c>
      <c r="D304" s="8" t="str">
        <f t="shared" si="1"/>
        <v>-</v>
      </c>
      <c r="E304" s="9"/>
      <c r="F304" s="10"/>
      <c r="G304" s="9"/>
      <c r="H304" s="11"/>
      <c r="I304" s="9" t="s">
        <v>13</v>
      </c>
      <c r="J304" s="44"/>
    </row>
    <row r="305">
      <c r="A305" s="42" t="s">
        <v>206</v>
      </c>
      <c r="B305" s="47"/>
      <c r="C305" s="9" t="s">
        <v>11</v>
      </c>
      <c r="D305" s="8" t="str">
        <f t="shared" si="1"/>
        <v>-</v>
      </c>
      <c r="E305" s="9"/>
      <c r="F305" s="10"/>
      <c r="G305" s="9"/>
      <c r="H305" s="11"/>
      <c r="I305" s="9" t="s">
        <v>13</v>
      </c>
      <c r="J305" s="44"/>
    </row>
    <row r="306">
      <c r="A306" s="42" t="s">
        <v>206</v>
      </c>
      <c r="B306" s="47"/>
      <c r="C306" s="9" t="s">
        <v>11</v>
      </c>
      <c r="D306" s="8" t="str">
        <f t="shared" si="1"/>
        <v>-</v>
      </c>
      <c r="E306" s="9"/>
      <c r="F306" s="10"/>
      <c r="G306" s="9"/>
      <c r="H306" s="11"/>
      <c r="I306" s="9" t="s">
        <v>13</v>
      </c>
      <c r="J306" s="44"/>
    </row>
    <row r="307">
      <c r="A307" s="42" t="s">
        <v>206</v>
      </c>
      <c r="B307" s="47"/>
      <c r="C307" s="9" t="s">
        <v>11</v>
      </c>
      <c r="D307" s="8" t="str">
        <f t="shared" si="1"/>
        <v>-</v>
      </c>
      <c r="E307" s="9"/>
      <c r="F307" s="10"/>
      <c r="G307" s="9"/>
      <c r="H307" s="11"/>
      <c r="I307" s="9" t="s">
        <v>13</v>
      </c>
      <c r="J307" s="44"/>
    </row>
    <row r="308">
      <c r="A308" s="42" t="s">
        <v>206</v>
      </c>
      <c r="B308" s="47"/>
      <c r="C308" s="9" t="s">
        <v>11</v>
      </c>
      <c r="D308" s="8" t="str">
        <f t="shared" si="1"/>
        <v>-</v>
      </c>
      <c r="E308" s="9"/>
      <c r="F308" s="10"/>
      <c r="G308" s="9"/>
      <c r="H308" s="11"/>
      <c r="I308" s="9" t="s">
        <v>13</v>
      </c>
      <c r="J308" s="44"/>
    </row>
    <row r="309">
      <c r="A309" s="42" t="s">
        <v>206</v>
      </c>
      <c r="B309" s="47"/>
      <c r="C309" s="9" t="s">
        <v>11</v>
      </c>
      <c r="D309" s="8" t="str">
        <f t="shared" si="1"/>
        <v>-</v>
      </c>
      <c r="E309" s="9"/>
      <c r="F309" s="10"/>
      <c r="G309" s="9"/>
      <c r="H309" s="11"/>
      <c r="I309" s="9" t="s">
        <v>13</v>
      </c>
      <c r="J309" s="44"/>
    </row>
    <row r="310">
      <c r="A310" s="42" t="s">
        <v>206</v>
      </c>
      <c r="B310" s="47"/>
      <c r="C310" s="9" t="s">
        <v>11</v>
      </c>
      <c r="D310" s="8" t="str">
        <f t="shared" si="1"/>
        <v>-</v>
      </c>
      <c r="E310" s="9"/>
      <c r="F310" s="10"/>
      <c r="G310" s="9"/>
      <c r="H310" s="11"/>
      <c r="I310" s="9" t="s">
        <v>13</v>
      </c>
      <c r="J310" s="44"/>
    </row>
    <row r="311">
      <c r="A311" s="42" t="s">
        <v>206</v>
      </c>
      <c r="B311" s="47"/>
      <c r="C311" s="9" t="s">
        <v>11</v>
      </c>
      <c r="D311" s="8" t="str">
        <f t="shared" si="1"/>
        <v>-</v>
      </c>
      <c r="E311" s="9"/>
      <c r="F311" s="10"/>
      <c r="G311" s="9"/>
      <c r="H311" s="11"/>
      <c r="I311" s="9" t="s">
        <v>13</v>
      </c>
      <c r="J311" s="44"/>
    </row>
    <row r="312">
      <c r="A312" s="42" t="s">
        <v>206</v>
      </c>
      <c r="B312" s="47"/>
      <c r="C312" s="9" t="s">
        <v>11</v>
      </c>
      <c r="D312" s="8" t="str">
        <f t="shared" si="1"/>
        <v>-</v>
      </c>
      <c r="E312" s="9"/>
      <c r="F312" s="10"/>
      <c r="G312" s="9"/>
      <c r="H312" s="11"/>
      <c r="I312" s="9" t="s">
        <v>13</v>
      </c>
      <c r="J312" s="44"/>
    </row>
    <row r="313">
      <c r="A313" s="42" t="s">
        <v>206</v>
      </c>
      <c r="B313" s="47"/>
      <c r="C313" s="9" t="s">
        <v>11</v>
      </c>
      <c r="D313" s="8" t="str">
        <f t="shared" si="1"/>
        <v>-</v>
      </c>
      <c r="E313" s="9"/>
      <c r="F313" s="10"/>
      <c r="G313" s="9"/>
      <c r="H313" s="11"/>
      <c r="I313" s="9" t="s">
        <v>13</v>
      </c>
      <c r="J313" s="44"/>
    </row>
    <row r="314">
      <c r="A314" s="42" t="s">
        <v>206</v>
      </c>
      <c r="B314" s="47"/>
      <c r="C314" s="9" t="s">
        <v>11</v>
      </c>
      <c r="D314" s="8" t="str">
        <f t="shared" si="1"/>
        <v>-</v>
      </c>
      <c r="E314" s="9"/>
      <c r="F314" s="10"/>
      <c r="G314" s="9"/>
      <c r="H314" s="11"/>
      <c r="I314" s="9" t="s">
        <v>13</v>
      </c>
      <c r="J314" s="44"/>
    </row>
    <row r="315">
      <c r="A315" s="42" t="s">
        <v>206</v>
      </c>
      <c r="B315" s="47"/>
      <c r="C315" s="9" t="s">
        <v>11</v>
      </c>
      <c r="D315" s="8" t="str">
        <f t="shared" si="1"/>
        <v>-</v>
      </c>
      <c r="E315" s="9"/>
      <c r="F315" s="10"/>
      <c r="G315" s="9"/>
      <c r="H315" s="11"/>
      <c r="I315" s="9" t="s">
        <v>13</v>
      </c>
      <c r="J315" s="44"/>
    </row>
    <row r="316">
      <c r="A316" s="42" t="s">
        <v>206</v>
      </c>
      <c r="B316" s="47"/>
      <c r="C316" s="9" t="s">
        <v>11</v>
      </c>
      <c r="D316" s="8" t="str">
        <f t="shared" si="1"/>
        <v>-</v>
      </c>
      <c r="E316" s="9"/>
      <c r="F316" s="10"/>
      <c r="G316" s="9"/>
      <c r="H316" s="11"/>
      <c r="I316" s="9" t="s">
        <v>13</v>
      </c>
      <c r="J316" s="44"/>
    </row>
    <row r="317">
      <c r="A317" s="42" t="s">
        <v>206</v>
      </c>
      <c r="B317" s="47"/>
      <c r="C317" s="9" t="s">
        <v>11</v>
      </c>
      <c r="D317" s="8" t="str">
        <f t="shared" si="1"/>
        <v>-</v>
      </c>
      <c r="E317" s="9"/>
      <c r="F317" s="10"/>
      <c r="G317" s="9"/>
      <c r="H317" s="11"/>
      <c r="I317" s="9" t="s">
        <v>13</v>
      </c>
      <c r="J317" s="44"/>
    </row>
    <row r="318">
      <c r="A318" s="42" t="s">
        <v>206</v>
      </c>
      <c r="B318" s="47"/>
      <c r="C318" s="9" t="s">
        <v>11</v>
      </c>
      <c r="D318" s="8" t="str">
        <f t="shared" si="1"/>
        <v>-</v>
      </c>
      <c r="E318" s="9"/>
      <c r="F318" s="10"/>
      <c r="G318" s="9"/>
      <c r="H318" s="11"/>
      <c r="I318" s="9" t="s">
        <v>13</v>
      </c>
      <c r="J318" s="44"/>
    </row>
    <row r="319">
      <c r="A319" s="42" t="s">
        <v>206</v>
      </c>
      <c r="B319" s="47"/>
      <c r="C319" s="9" t="s">
        <v>11</v>
      </c>
      <c r="D319" s="8" t="str">
        <f t="shared" si="1"/>
        <v>-</v>
      </c>
      <c r="E319" s="9"/>
      <c r="F319" s="10"/>
      <c r="G319" s="9"/>
      <c r="H319" s="11"/>
      <c r="I319" s="9" t="s">
        <v>13</v>
      </c>
      <c r="J319" s="44"/>
    </row>
    <row r="320">
      <c r="A320" s="42" t="s">
        <v>206</v>
      </c>
      <c r="B320" s="47"/>
      <c r="C320" s="9" t="s">
        <v>11</v>
      </c>
      <c r="D320" s="8" t="str">
        <f t="shared" si="1"/>
        <v>-</v>
      </c>
      <c r="E320" s="9"/>
      <c r="F320" s="10"/>
      <c r="G320" s="9"/>
      <c r="H320" s="11"/>
      <c r="I320" s="9" t="s">
        <v>13</v>
      </c>
      <c r="J320" s="44"/>
    </row>
    <row r="321">
      <c r="A321" s="42" t="s">
        <v>206</v>
      </c>
      <c r="B321" s="47"/>
      <c r="C321" s="9" t="s">
        <v>11</v>
      </c>
      <c r="D321" s="8" t="str">
        <f t="shared" si="1"/>
        <v>-</v>
      </c>
      <c r="E321" s="9"/>
      <c r="F321" s="10"/>
      <c r="G321" s="9"/>
      <c r="H321" s="11"/>
      <c r="I321" s="9" t="s">
        <v>13</v>
      </c>
      <c r="J321" s="44"/>
    </row>
    <row r="322">
      <c r="A322" s="42" t="s">
        <v>206</v>
      </c>
      <c r="B322" s="47"/>
      <c r="C322" s="9" t="s">
        <v>11</v>
      </c>
      <c r="D322" s="8" t="str">
        <f t="shared" si="1"/>
        <v>-</v>
      </c>
      <c r="E322" s="9"/>
      <c r="F322" s="10"/>
      <c r="G322" s="9"/>
      <c r="H322" s="11"/>
      <c r="I322" s="9" t="s">
        <v>13</v>
      </c>
      <c r="J322" s="44"/>
    </row>
    <row r="323">
      <c r="A323" s="42" t="s">
        <v>206</v>
      </c>
      <c r="B323" s="47"/>
      <c r="C323" s="9" t="s">
        <v>11</v>
      </c>
      <c r="D323" s="8" t="str">
        <f t="shared" si="1"/>
        <v>-</v>
      </c>
      <c r="E323" s="9"/>
      <c r="F323" s="10"/>
      <c r="G323" s="9"/>
      <c r="H323" s="11"/>
      <c r="I323" s="9" t="s">
        <v>13</v>
      </c>
      <c r="J323" s="44"/>
    </row>
    <row r="324">
      <c r="A324" s="42" t="s">
        <v>206</v>
      </c>
      <c r="B324" s="47"/>
      <c r="C324" s="9" t="s">
        <v>11</v>
      </c>
      <c r="D324" s="8" t="str">
        <f t="shared" si="1"/>
        <v>-</v>
      </c>
      <c r="E324" s="9"/>
      <c r="F324" s="10"/>
      <c r="G324" s="9"/>
      <c r="H324" s="11"/>
      <c r="I324" s="9" t="s">
        <v>13</v>
      </c>
      <c r="J324" s="44"/>
    </row>
    <row r="325">
      <c r="A325" s="42" t="s">
        <v>206</v>
      </c>
      <c r="B325" s="47"/>
      <c r="C325" s="9" t="s">
        <v>11</v>
      </c>
      <c r="D325" s="8" t="str">
        <f t="shared" si="1"/>
        <v>-</v>
      </c>
      <c r="E325" s="9"/>
      <c r="F325" s="10"/>
      <c r="G325" s="9"/>
      <c r="H325" s="11"/>
      <c r="I325" s="9" t="s">
        <v>13</v>
      </c>
      <c r="J325" s="44"/>
    </row>
    <row r="326">
      <c r="A326" s="42" t="s">
        <v>206</v>
      </c>
      <c r="B326" s="47"/>
      <c r="C326" s="9" t="s">
        <v>11</v>
      </c>
      <c r="D326" s="8" t="str">
        <f t="shared" si="1"/>
        <v>-</v>
      </c>
      <c r="E326" s="9"/>
      <c r="F326" s="10"/>
      <c r="G326" s="9"/>
      <c r="H326" s="11"/>
      <c r="I326" s="9" t="s">
        <v>13</v>
      </c>
      <c r="J326" s="44"/>
    </row>
    <row r="327">
      <c r="A327" s="42" t="s">
        <v>206</v>
      </c>
      <c r="B327" s="47"/>
      <c r="C327" s="9" t="s">
        <v>11</v>
      </c>
      <c r="D327" s="8" t="str">
        <f t="shared" si="1"/>
        <v>-</v>
      </c>
      <c r="E327" s="9"/>
      <c r="F327" s="10"/>
      <c r="G327" s="9"/>
      <c r="H327" s="11"/>
      <c r="I327" s="9" t="s">
        <v>13</v>
      </c>
      <c r="J327" s="44"/>
    </row>
    <row r="328">
      <c r="A328" s="42" t="s">
        <v>206</v>
      </c>
      <c r="B328" s="47"/>
      <c r="C328" s="9" t="s">
        <v>11</v>
      </c>
      <c r="D328" s="8" t="str">
        <f t="shared" si="1"/>
        <v>-</v>
      </c>
      <c r="E328" s="9"/>
      <c r="F328" s="10"/>
      <c r="G328" s="9"/>
      <c r="H328" s="11"/>
      <c r="I328" s="9" t="s">
        <v>13</v>
      </c>
      <c r="J328" s="44"/>
    </row>
    <row r="329">
      <c r="A329" s="42" t="s">
        <v>206</v>
      </c>
      <c r="B329" s="47"/>
      <c r="C329" s="9" t="s">
        <v>11</v>
      </c>
      <c r="D329" s="8" t="str">
        <f t="shared" si="1"/>
        <v>-</v>
      </c>
      <c r="E329" s="9"/>
      <c r="F329" s="10"/>
      <c r="G329" s="9"/>
      <c r="H329" s="11"/>
      <c r="I329" s="9" t="s">
        <v>13</v>
      </c>
      <c r="J329" s="44"/>
    </row>
    <row r="330">
      <c r="A330" s="42" t="s">
        <v>206</v>
      </c>
      <c r="B330" s="47"/>
      <c r="C330" s="9" t="s">
        <v>11</v>
      </c>
      <c r="D330" s="8" t="str">
        <f t="shared" si="1"/>
        <v>-</v>
      </c>
      <c r="E330" s="9"/>
      <c r="F330" s="10"/>
      <c r="G330" s="9"/>
      <c r="H330" s="11"/>
      <c r="I330" s="9" t="s">
        <v>13</v>
      </c>
      <c r="J330" s="44"/>
    </row>
    <row r="331">
      <c r="A331" s="42" t="s">
        <v>206</v>
      </c>
      <c r="B331" s="47"/>
      <c r="C331" s="9" t="s">
        <v>11</v>
      </c>
      <c r="D331" s="8" t="str">
        <f t="shared" si="1"/>
        <v>-</v>
      </c>
      <c r="E331" s="9"/>
      <c r="F331" s="10"/>
      <c r="G331" s="9"/>
      <c r="H331" s="11"/>
      <c r="I331" s="9" t="s">
        <v>13</v>
      </c>
      <c r="J331" s="44"/>
    </row>
    <row r="332">
      <c r="A332" s="42" t="s">
        <v>206</v>
      </c>
      <c r="B332" s="47"/>
      <c r="C332" s="9" t="s">
        <v>11</v>
      </c>
      <c r="D332" s="8" t="str">
        <f t="shared" si="1"/>
        <v>-</v>
      </c>
      <c r="E332" s="9"/>
      <c r="F332" s="10"/>
      <c r="G332" s="9"/>
      <c r="H332" s="11"/>
      <c r="I332" s="9" t="s">
        <v>13</v>
      </c>
      <c r="J332" s="44"/>
    </row>
    <row r="333">
      <c r="A333" s="42" t="s">
        <v>206</v>
      </c>
      <c r="B333" s="47"/>
      <c r="C333" s="9" t="s">
        <v>11</v>
      </c>
      <c r="D333" s="8" t="str">
        <f t="shared" si="1"/>
        <v>-</v>
      </c>
      <c r="E333" s="9"/>
      <c r="F333" s="10"/>
      <c r="G333" s="9"/>
      <c r="H333" s="11"/>
      <c r="I333" s="9" t="s">
        <v>13</v>
      </c>
      <c r="J333" s="44"/>
    </row>
    <row r="334">
      <c r="A334" s="42" t="s">
        <v>206</v>
      </c>
      <c r="B334" s="47"/>
      <c r="C334" s="9" t="s">
        <v>11</v>
      </c>
      <c r="D334" s="8" t="str">
        <f t="shared" si="1"/>
        <v>-</v>
      </c>
      <c r="E334" s="9"/>
      <c r="F334" s="10"/>
      <c r="G334" s="9"/>
      <c r="H334" s="11"/>
      <c r="I334" s="9" t="s">
        <v>13</v>
      </c>
      <c r="J334" s="44"/>
    </row>
    <row r="335">
      <c r="A335" s="42" t="s">
        <v>206</v>
      </c>
      <c r="B335" s="47"/>
      <c r="C335" s="9" t="s">
        <v>11</v>
      </c>
      <c r="D335" s="8" t="str">
        <f t="shared" si="1"/>
        <v>-</v>
      </c>
      <c r="E335" s="9"/>
      <c r="F335" s="10"/>
      <c r="G335" s="9"/>
      <c r="H335" s="11"/>
      <c r="I335" s="9" t="s">
        <v>13</v>
      </c>
      <c r="J335" s="44"/>
    </row>
    <row r="336">
      <c r="A336" s="42" t="s">
        <v>206</v>
      </c>
      <c r="B336" s="47"/>
      <c r="C336" s="9" t="s">
        <v>11</v>
      </c>
      <c r="D336" s="8" t="str">
        <f t="shared" si="1"/>
        <v>-</v>
      </c>
      <c r="E336" s="9"/>
      <c r="F336" s="10"/>
      <c r="G336" s="9"/>
      <c r="H336" s="11"/>
      <c r="I336" s="9" t="s">
        <v>13</v>
      </c>
      <c r="J336" s="44"/>
    </row>
    <row r="337">
      <c r="A337" s="42" t="s">
        <v>206</v>
      </c>
      <c r="B337" s="47"/>
      <c r="C337" s="9" t="s">
        <v>11</v>
      </c>
      <c r="D337" s="8" t="str">
        <f t="shared" si="1"/>
        <v>-</v>
      </c>
      <c r="E337" s="9"/>
      <c r="F337" s="10"/>
      <c r="G337" s="9"/>
      <c r="H337" s="11"/>
      <c r="I337" s="9" t="s">
        <v>13</v>
      </c>
      <c r="J337" s="44"/>
    </row>
    <row r="338">
      <c r="A338" s="42" t="s">
        <v>206</v>
      </c>
      <c r="B338" s="47"/>
      <c r="C338" s="9" t="s">
        <v>11</v>
      </c>
      <c r="D338" s="8" t="str">
        <f t="shared" si="1"/>
        <v>-</v>
      </c>
      <c r="E338" s="9"/>
      <c r="F338" s="10"/>
      <c r="G338" s="9"/>
      <c r="H338" s="11"/>
      <c r="I338" s="9" t="s">
        <v>13</v>
      </c>
      <c r="J338" s="44"/>
    </row>
    <row r="339">
      <c r="A339" s="42" t="s">
        <v>206</v>
      </c>
      <c r="B339" s="47"/>
      <c r="C339" s="9" t="s">
        <v>11</v>
      </c>
      <c r="D339" s="8" t="str">
        <f t="shared" si="1"/>
        <v>-</v>
      </c>
      <c r="E339" s="9"/>
      <c r="F339" s="10"/>
      <c r="G339" s="9"/>
      <c r="H339" s="11"/>
      <c r="I339" s="9" t="s">
        <v>13</v>
      </c>
      <c r="J339" s="44"/>
    </row>
    <row r="340">
      <c r="A340" s="42" t="s">
        <v>206</v>
      </c>
      <c r="B340" s="47"/>
      <c r="C340" s="9" t="s">
        <v>11</v>
      </c>
      <c r="D340" s="8" t="str">
        <f t="shared" si="1"/>
        <v>-</v>
      </c>
      <c r="E340" s="9"/>
      <c r="F340" s="10"/>
      <c r="G340" s="9"/>
      <c r="H340" s="11"/>
      <c r="I340" s="9" t="s">
        <v>13</v>
      </c>
      <c r="J340" s="44"/>
    </row>
    <row r="341">
      <c r="A341" s="42" t="s">
        <v>206</v>
      </c>
      <c r="B341" s="47"/>
      <c r="C341" s="9" t="s">
        <v>11</v>
      </c>
      <c r="D341" s="8" t="str">
        <f t="shared" si="1"/>
        <v>-</v>
      </c>
      <c r="E341" s="9"/>
      <c r="F341" s="10"/>
      <c r="G341" s="9"/>
      <c r="H341" s="11"/>
      <c r="I341" s="9" t="s">
        <v>13</v>
      </c>
      <c r="J341" s="44"/>
    </row>
    <row r="342">
      <c r="A342" s="42" t="s">
        <v>206</v>
      </c>
      <c r="B342" s="47"/>
      <c r="C342" s="9" t="s">
        <v>11</v>
      </c>
      <c r="D342" s="8" t="str">
        <f t="shared" si="1"/>
        <v>-</v>
      </c>
      <c r="E342" s="9"/>
      <c r="F342" s="10"/>
      <c r="G342" s="9"/>
      <c r="H342" s="11"/>
      <c r="I342" s="9" t="s">
        <v>13</v>
      </c>
      <c r="J342" s="44"/>
    </row>
    <row r="343">
      <c r="A343" s="42" t="s">
        <v>206</v>
      </c>
      <c r="B343" s="47"/>
      <c r="C343" s="9" t="s">
        <v>11</v>
      </c>
      <c r="D343" s="8" t="str">
        <f t="shared" si="1"/>
        <v>-</v>
      </c>
      <c r="E343" s="9"/>
      <c r="F343" s="10"/>
      <c r="G343" s="9"/>
      <c r="H343" s="11"/>
      <c r="I343" s="9" t="s">
        <v>13</v>
      </c>
      <c r="J343" s="44"/>
    </row>
    <row r="344">
      <c r="A344" s="42" t="s">
        <v>206</v>
      </c>
      <c r="B344" s="47"/>
      <c r="C344" s="9" t="s">
        <v>11</v>
      </c>
      <c r="D344" s="8" t="str">
        <f t="shared" si="1"/>
        <v>-</v>
      </c>
      <c r="E344" s="9"/>
      <c r="F344" s="10"/>
      <c r="G344" s="9"/>
      <c r="H344" s="11"/>
      <c r="I344" s="9" t="s">
        <v>13</v>
      </c>
      <c r="J344" s="44"/>
    </row>
    <row r="345">
      <c r="A345" s="42" t="s">
        <v>206</v>
      </c>
      <c r="B345" s="47"/>
      <c r="C345" s="9" t="s">
        <v>11</v>
      </c>
      <c r="D345" s="8" t="str">
        <f t="shared" si="1"/>
        <v>-</v>
      </c>
      <c r="E345" s="9"/>
      <c r="F345" s="10"/>
      <c r="G345" s="9"/>
      <c r="H345" s="11"/>
      <c r="I345" s="9" t="s">
        <v>13</v>
      </c>
      <c r="J345" s="44"/>
    </row>
    <row r="346">
      <c r="A346" s="42" t="s">
        <v>206</v>
      </c>
      <c r="B346" s="47"/>
      <c r="C346" s="9" t="s">
        <v>11</v>
      </c>
      <c r="D346" s="8" t="str">
        <f t="shared" si="1"/>
        <v>-</v>
      </c>
      <c r="E346" s="9"/>
      <c r="F346" s="10"/>
      <c r="G346" s="9"/>
      <c r="H346" s="11"/>
      <c r="I346" s="9" t="s">
        <v>13</v>
      </c>
      <c r="J346" s="44"/>
    </row>
    <row r="347">
      <c r="A347" s="42" t="s">
        <v>206</v>
      </c>
      <c r="B347" s="47"/>
      <c r="C347" s="9" t="s">
        <v>11</v>
      </c>
      <c r="D347" s="8" t="str">
        <f t="shared" si="1"/>
        <v>-</v>
      </c>
      <c r="E347" s="9"/>
      <c r="F347" s="10"/>
      <c r="G347" s="9"/>
      <c r="H347" s="11"/>
      <c r="I347" s="9" t="s">
        <v>13</v>
      </c>
      <c r="J347" s="44"/>
    </row>
    <row r="348">
      <c r="A348" s="42" t="s">
        <v>206</v>
      </c>
      <c r="B348" s="47"/>
      <c r="C348" s="9" t="s">
        <v>11</v>
      </c>
      <c r="D348" s="8" t="str">
        <f t="shared" si="1"/>
        <v>-</v>
      </c>
      <c r="E348" s="9"/>
      <c r="F348" s="10"/>
      <c r="G348" s="9"/>
      <c r="H348" s="11"/>
      <c r="I348" s="9" t="s">
        <v>13</v>
      </c>
      <c r="J348" s="44"/>
    </row>
    <row r="349">
      <c r="A349" s="42" t="s">
        <v>206</v>
      </c>
      <c r="B349" s="47"/>
      <c r="C349" s="9" t="s">
        <v>11</v>
      </c>
      <c r="D349" s="8" t="str">
        <f t="shared" si="1"/>
        <v>-</v>
      </c>
      <c r="E349" s="9"/>
      <c r="F349" s="10"/>
      <c r="G349" s="9"/>
      <c r="H349" s="11"/>
      <c r="I349" s="9" t="s">
        <v>13</v>
      </c>
      <c r="J349" s="44"/>
    </row>
    <row r="350">
      <c r="A350" s="42" t="s">
        <v>206</v>
      </c>
      <c r="B350" s="47"/>
      <c r="C350" s="9" t="s">
        <v>11</v>
      </c>
      <c r="D350" s="8" t="str">
        <f t="shared" si="1"/>
        <v>-</v>
      </c>
      <c r="E350" s="9"/>
      <c r="F350" s="10"/>
      <c r="G350" s="9"/>
      <c r="H350" s="11"/>
      <c r="I350" s="9" t="s">
        <v>13</v>
      </c>
      <c r="J350" s="44"/>
    </row>
    <row r="351">
      <c r="A351" s="42" t="s">
        <v>206</v>
      </c>
      <c r="B351" s="47"/>
      <c r="C351" s="9" t="s">
        <v>11</v>
      </c>
      <c r="D351" s="8" t="str">
        <f t="shared" si="1"/>
        <v>-</v>
      </c>
      <c r="E351" s="9"/>
      <c r="F351" s="10"/>
      <c r="G351" s="9"/>
      <c r="H351" s="11"/>
      <c r="I351" s="9" t="s">
        <v>13</v>
      </c>
      <c r="J351" s="44"/>
    </row>
    <row r="352">
      <c r="A352" s="42" t="s">
        <v>206</v>
      </c>
      <c r="B352" s="47"/>
      <c r="C352" s="9" t="s">
        <v>11</v>
      </c>
      <c r="D352" s="8" t="str">
        <f t="shared" si="1"/>
        <v>-</v>
      </c>
      <c r="E352" s="9"/>
      <c r="F352" s="10"/>
      <c r="G352" s="9"/>
      <c r="H352" s="11"/>
      <c r="I352" s="9" t="s">
        <v>13</v>
      </c>
      <c r="J352" s="44"/>
    </row>
    <row r="353">
      <c r="A353" s="42" t="s">
        <v>206</v>
      </c>
      <c r="B353" s="47"/>
      <c r="C353" s="9" t="s">
        <v>11</v>
      </c>
      <c r="D353" s="8" t="str">
        <f t="shared" si="1"/>
        <v>-</v>
      </c>
      <c r="E353" s="9"/>
      <c r="F353" s="10"/>
      <c r="G353" s="9"/>
      <c r="H353" s="11"/>
      <c r="I353" s="9" t="s">
        <v>13</v>
      </c>
      <c r="J353" s="44"/>
    </row>
    <row r="354">
      <c r="A354" s="42" t="s">
        <v>206</v>
      </c>
      <c r="B354" s="47"/>
      <c r="C354" s="9" t="s">
        <v>11</v>
      </c>
      <c r="D354" s="8" t="str">
        <f t="shared" si="1"/>
        <v>-</v>
      </c>
      <c r="E354" s="9"/>
      <c r="F354" s="10"/>
      <c r="G354" s="9"/>
      <c r="H354" s="11"/>
      <c r="I354" s="9" t="s">
        <v>13</v>
      </c>
      <c r="J354" s="44"/>
    </row>
    <row r="355">
      <c r="A355" s="42" t="s">
        <v>206</v>
      </c>
      <c r="B355" s="47"/>
      <c r="C355" s="9" t="s">
        <v>11</v>
      </c>
      <c r="D355" s="8" t="str">
        <f t="shared" si="1"/>
        <v>-</v>
      </c>
      <c r="E355" s="9"/>
      <c r="F355" s="10"/>
      <c r="G355" s="9"/>
      <c r="H355" s="11"/>
      <c r="I355" s="9" t="s">
        <v>13</v>
      </c>
      <c r="J355" s="44"/>
    </row>
    <row r="356">
      <c r="A356" s="42" t="s">
        <v>206</v>
      </c>
      <c r="B356" s="47"/>
      <c r="C356" s="9" t="s">
        <v>11</v>
      </c>
      <c r="D356" s="8" t="str">
        <f t="shared" si="1"/>
        <v>-</v>
      </c>
      <c r="E356" s="9"/>
      <c r="F356" s="10"/>
      <c r="G356" s="9"/>
      <c r="H356" s="11"/>
      <c r="I356" s="9" t="s">
        <v>13</v>
      </c>
      <c r="J356" s="44"/>
    </row>
    <row r="357">
      <c r="A357" s="42" t="s">
        <v>206</v>
      </c>
      <c r="B357" s="47"/>
      <c r="C357" s="9" t="s">
        <v>11</v>
      </c>
      <c r="D357" s="8" t="str">
        <f t="shared" si="1"/>
        <v>-</v>
      </c>
      <c r="E357" s="9"/>
      <c r="F357" s="10"/>
      <c r="G357" s="9"/>
      <c r="H357" s="11"/>
      <c r="I357" s="9" t="s">
        <v>13</v>
      </c>
      <c r="J357" s="44"/>
    </row>
    <row r="358">
      <c r="A358" s="42" t="s">
        <v>206</v>
      </c>
      <c r="B358" s="47"/>
      <c r="C358" s="9" t="s">
        <v>11</v>
      </c>
      <c r="D358" s="8" t="str">
        <f t="shared" si="1"/>
        <v>-</v>
      </c>
      <c r="E358" s="9"/>
      <c r="F358" s="10"/>
      <c r="G358" s="9"/>
      <c r="H358" s="11"/>
      <c r="I358" s="9" t="s">
        <v>13</v>
      </c>
      <c r="J358" s="44"/>
    </row>
    <row r="359">
      <c r="A359" s="42" t="s">
        <v>206</v>
      </c>
      <c r="B359" s="47"/>
      <c r="C359" s="9" t="s">
        <v>11</v>
      </c>
      <c r="D359" s="8" t="str">
        <f t="shared" si="1"/>
        <v>-</v>
      </c>
      <c r="E359" s="9"/>
      <c r="F359" s="10"/>
      <c r="G359" s="9"/>
      <c r="H359" s="11"/>
      <c r="I359" s="9" t="s">
        <v>13</v>
      </c>
      <c r="J359" s="44"/>
    </row>
    <row r="360">
      <c r="A360" s="42" t="s">
        <v>206</v>
      </c>
      <c r="B360" s="47"/>
      <c r="C360" s="9" t="s">
        <v>11</v>
      </c>
      <c r="D360" s="8" t="str">
        <f t="shared" si="1"/>
        <v>-</v>
      </c>
      <c r="E360" s="9"/>
      <c r="F360" s="10"/>
      <c r="G360" s="9"/>
      <c r="H360" s="11"/>
      <c r="I360" s="9" t="s">
        <v>13</v>
      </c>
      <c r="J360" s="44"/>
    </row>
    <row r="361">
      <c r="A361" s="42" t="s">
        <v>206</v>
      </c>
      <c r="B361" s="47"/>
      <c r="C361" s="9" t="s">
        <v>11</v>
      </c>
      <c r="D361" s="8" t="str">
        <f t="shared" si="1"/>
        <v>-</v>
      </c>
      <c r="E361" s="9"/>
      <c r="F361" s="10"/>
      <c r="G361" s="9"/>
      <c r="H361" s="11"/>
      <c r="I361" s="9" t="s">
        <v>13</v>
      </c>
      <c r="J361" s="44"/>
    </row>
    <row r="362">
      <c r="A362" s="42" t="s">
        <v>206</v>
      </c>
      <c r="B362" s="47"/>
      <c r="C362" s="9" t="s">
        <v>11</v>
      </c>
      <c r="D362" s="8" t="str">
        <f t="shared" si="1"/>
        <v>-</v>
      </c>
      <c r="E362" s="9"/>
      <c r="F362" s="10"/>
      <c r="G362" s="9"/>
      <c r="H362" s="11"/>
      <c r="I362" s="9" t="s">
        <v>13</v>
      </c>
      <c r="J362" s="44"/>
    </row>
    <row r="363">
      <c r="A363" s="42" t="s">
        <v>206</v>
      </c>
      <c r="B363" s="47"/>
      <c r="C363" s="9" t="s">
        <v>11</v>
      </c>
      <c r="D363" s="8" t="str">
        <f t="shared" si="1"/>
        <v>-</v>
      </c>
      <c r="E363" s="9"/>
      <c r="F363" s="10"/>
      <c r="G363" s="9"/>
      <c r="H363" s="11"/>
      <c r="I363" s="9" t="s">
        <v>13</v>
      </c>
      <c r="J363" s="44"/>
    </row>
    <row r="364">
      <c r="A364" s="42" t="s">
        <v>206</v>
      </c>
      <c r="B364" s="47"/>
      <c r="C364" s="9" t="s">
        <v>11</v>
      </c>
      <c r="D364" s="8" t="str">
        <f t="shared" si="1"/>
        <v>-</v>
      </c>
      <c r="E364" s="9"/>
      <c r="F364" s="10"/>
      <c r="G364" s="9"/>
      <c r="H364" s="11"/>
      <c r="I364" s="9" t="s">
        <v>13</v>
      </c>
      <c r="J364" s="44"/>
    </row>
    <row r="365">
      <c r="A365" s="42" t="s">
        <v>206</v>
      </c>
      <c r="B365" s="47"/>
      <c r="C365" s="9" t="s">
        <v>11</v>
      </c>
      <c r="D365" s="8" t="str">
        <f t="shared" si="1"/>
        <v>-</v>
      </c>
      <c r="E365" s="9"/>
      <c r="F365" s="10"/>
      <c r="G365" s="9"/>
      <c r="H365" s="11"/>
      <c r="I365" s="9" t="s">
        <v>13</v>
      </c>
      <c r="J365" s="44"/>
    </row>
    <row r="366">
      <c r="A366" s="42" t="s">
        <v>206</v>
      </c>
      <c r="B366" s="47"/>
      <c r="C366" s="9" t="s">
        <v>11</v>
      </c>
      <c r="D366" s="8" t="str">
        <f t="shared" si="1"/>
        <v>-</v>
      </c>
      <c r="E366" s="9"/>
      <c r="F366" s="10"/>
      <c r="G366" s="9"/>
      <c r="H366" s="11"/>
      <c r="I366" s="9" t="s">
        <v>13</v>
      </c>
      <c r="J366" s="44"/>
    </row>
    <row r="367">
      <c r="A367" s="42" t="s">
        <v>206</v>
      </c>
      <c r="B367" s="47"/>
      <c r="C367" s="9" t="s">
        <v>11</v>
      </c>
      <c r="D367" s="8" t="str">
        <f t="shared" si="1"/>
        <v>-</v>
      </c>
      <c r="E367" s="9"/>
      <c r="F367" s="10"/>
      <c r="G367" s="9"/>
      <c r="H367" s="11"/>
      <c r="I367" s="9" t="s">
        <v>13</v>
      </c>
      <c r="J367" s="44"/>
    </row>
    <row r="368">
      <c r="A368" s="42" t="s">
        <v>206</v>
      </c>
      <c r="B368" s="47"/>
      <c r="C368" s="9" t="s">
        <v>11</v>
      </c>
      <c r="D368" s="8" t="str">
        <f t="shared" si="1"/>
        <v>-</v>
      </c>
      <c r="E368" s="9"/>
      <c r="F368" s="10"/>
      <c r="G368" s="9"/>
      <c r="H368" s="11"/>
      <c r="I368" s="9" t="s">
        <v>13</v>
      </c>
      <c r="J368" s="44"/>
    </row>
    <row r="369">
      <c r="A369" s="42" t="s">
        <v>206</v>
      </c>
      <c r="B369" s="47"/>
      <c r="C369" s="9" t="s">
        <v>11</v>
      </c>
      <c r="D369" s="8" t="str">
        <f t="shared" si="1"/>
        <v>-</v>
      </c>
      <c r="E369" s="9"/>
      <c r="F369" s="10"/>
      <c r="G369" s="9"/>
      <c r="H369" s="11"/>
      <c r="I369" s="9" t="s">
        <v>13</v>
      </c>
      <c r="J369" s="44"/>
    </row>
    <row r="370">
      <c r="A370" s="42" t="s">
        <v>206</v>
      </c>
      <c r="B370" s="47"/>
      <c r="C370" s="9" t="s">
        <v>11</v>
      </c>
      <c r="D370" s="8" t="str">
        <f t="shared" si="1"/>
        <v>-</v>
      </c>
      <c r="E370" s="9"/>
      <c r="F370" s="10"/>
      <c r="G370" s="9"/>
      <c r="H370" s="11"/>
      <c r="I370" s="9" t="s">
        <v>13</v>
      </c>
      <c r="J370" s="44"/>
    </row>
    <row r="371">
      <c r="A371" s="42" t="s">
        <v>206</v>
      </c>
      <c r="B371" s="47"/>
      <c r="C371" s="9" t="s">
        <v>11</v>
      </c>
      <c r="D371" s="8" t="str">
        <f t="shared" si="1"/>
        <v>-</v>
      </c>
      <c r="E371" s="9"/>
      <c r="F371" s="10"/>
      <c r="G371" s="9"/>
      <c r="H371" s="11"/>
      <c r="I371" s="9" t="s">
        <v>13</v>
      </c>
      <c r="J371" s="44"/>
    </row>
    <row r="372">
      <c r="A372" s="42" t="s">
        <v>206</v>
      </c>
      <c r="B372" s="47"/>
      <c r="C372" s="9" t="s">
        <v>11</v>
      </c>
      <c r="D372" s="8" t="str">
        <f t="shared" si="1"/>
        <v>-</v>
      </c>
      <c r="E372" s="9"/>
      <c r="F372" s="10"/>
      <c r="G372" s="9"/>
      <c r="H372" s="11"/>
      <c r="I372" s="9" t="s">
        <v>13</v>
      </c>
      <c r="J372" s="44"/>
    </row>
    <row r="373">
      <c r="A373" s="42" t="s">
        <v>206</v>
      </c>
      <c r="B373" s="47"/>
      <c r="C373" s="9" t="s">
        <v>11</v>
      </c>
      <c r="D373" s="8" t="str">
        <f t="shared" si="1"/>
        <v>-</v>
      </c>
      <c r="E373" s="9"/>
      <c r="F373" s="10"/>
      <c r="G373" s="9"/>
      <c r="H373" s="11"/>
      <c r="I373" s="9" t="s">
        <v>13</v>
      </c>
      <c r="J373" s="44"/>
    </row>
    <row r="374">
      <c r="A374" s="42" t="s">
        <v>206</v>
      </c>
      <c r="B374" s="47"/>
      <c r="C374" s="9" t="s">
        <v>11</v>
      </c>
      <c r="D374" s="8" t="str">
        <f t="shared" si="1"/>
        <v>-</v>
      </c>
      <c r="E374" s="9"/>
      <c r="F374" s="10"/>
      <c r="G374" s="9"/>
      <c r="H374" s="11"/>
      <c r="I374" s="9" t="s">
        <v>13</v>
      </c>
      <c r="J374" s="44"/>
    </row>
    <row r="375">
      <c r="A375" s="42" t="s">
        <v>206</v>
      </c>
      <c r="B375" s="47"/>
      <c r="C375" s="9" t="s">
        <v>11</v>
      </c>
      <c r="D375" s="8" t="str">
        <f t="shared" si="1"/>
        <v>-</v>
      </c>
      <c r="E375" s="9"/>
      <c r="F375" s="10"/>
      <c r="G375" s="9"/>
      <c r="H375" s="11"/>
      <c r="I375" s="9" t="s">
        <v>13</v>
      </c>
      <c r="J375" s="44"/>
    </row>
    <row r="376">
      <c r="A376" s="42" t="s">
        <v>206</v>
      </c>
      <c r="B376" s="47"/>
      <c r="C376" s="9" t="s">
        <v>11</v>
      </c>
      <c r="D376" s="8" t="str">
        <f t="shared" si="1"/>
        <v>-</v>
      </c>
      <c r="E376" s="9"/>
      <c r="F376" s="10"/>
      <c r="G376" s="9"/>
      <c r="H376" s="11"/>
      <c r="I376" s="9" t="s">
        <v>13</v>
      </c>
      <c r="J376" s="44"/>
    </row>
    <row r="377">
      <c r="A377" s="42" t="s">
        <v>206</v>
      </c>
      <c r="B377" s="47"/>
      <c r="C377" s="9" t="s">
        <v>11</v>
      </c>
      <c r="D377" s="8" t="str">
        <f t="shared" si="1"/>
        <v>-</v>
      </c>
      <c r="E377" s="9"/>
      <c r="F377" s="10"/>
      <c r="G377" s="9"/>
      <c r="H377" s="11"/>
      <c r="I377" s="9" t="s">
        <v>13</v>
      </c>
      <c r="J377" s="44"/>
    </row>
    <row r="378">
      <c r="A378" s="42" t="s">
        <v>206</v>
      </c>
      <c r="B378" s="47"/>
      <c r="C378" s="9" t="s">
        <v>11</v>
      </c>
      <c r="D378" s="8" t="str">
        <f t="shared" si="1"/>
        <v>-</v>
      </c>
      <c r="E378" s="9"/>
      <c r="F378" s="10"/>
      <c r="G378" s="9"/>
      <c r="H378" s="11"/>
      <c r="I378" s="9" t="s">
        <v>13</v>
      </c>
      <c r="J378" s="44"/>
    </row>
    <row r="379">
      <c r="A379" s="42" t="s">
        <v>206</v>
      </c>
      <c r="B379" s="47"/>
      <c r="C379" s="9" t="s">
        <v>11</v>
      </c>
      <c r="D379" s="8" t="str">
        <f t="shared" si="1"/>
        <v>-</v>
      </c>
      <c r="E379" s="9"/>
      <c r="F379" s="10"/>
      <c r="G379" s="9"/>
      <c r="H379" s="11"/>
      <c r="I379" s="9" t="s">
        <v>13</v>
      </c>
      <c r="J379" s="44"/>
    </row>
    <row r="380">
      <c r="A380" s="42" t="s">
        <v>206</v>
      </c>
      <c r="B380" s="47"/>
      <c r="C380" s="9" t="s">
        <v>11</v>
      </c>
      <c r="D380" s="8" t="str">
        <f t="shared" si="1"/>
        <v>-</v>
      </c>
      <c r="E380" s="9"/>
      <c r="F380" s="10"/>
      <c r="G380" s="9"/>
      <c r="H380" s="11"/>
      <c r="I380" s="9" t="s">
        <v>13</v>
      </c>
      <c r="J380" s="44"/>
    </row>
    <row r="381">
      <c r="A381" s="42" t="s">
        <v>206</v>
      </c>
      <c r="B381" s="47"/>
      <c r="C381" s="9" t="s">
        <v>11</v>
      </c>
      <c r="D381" s="8" t="str">
        <f t="shared" si="1"/>
        <v>-</v>
      </c>
      <c r="E381" s="9"/>
      <c r="F381" s="10"/>
      <c r="G381" s="9"/>
      <c r="H381" s="11"/>
      <c r="I381" s="9" t="s">
        <v>13</v>
      </c>
      <c r="J381" s="44"/>
    </row>
    <row r="382">
      <c r="A382" s="42" t="s">
        <v>206</v>
      </c>
      <c r="B382" s="47"/>
      <c r="C382" s="9" t="s">
        <v>11</v>
      </c>
      <c r="D382" s="8" t="str">
        <f t="shared" si="1"/>
        <v>-</v>
      </c>
      <c r="E382" s="9"/>
      <c r="F382" s="10"/>
      <c r="G382" s="9"/>
      <c r="H382" s="11"/>
      <c r="I382" s="9" t="s">
        <v>13</v>
      </c>
      <c r="J382" s="44"/>
    </row>
    <row r="383">
      <c r="A383" s="42" t="s">
        <v>206</v>
      </c>
      <c r="B383" s="47"/>
      <c r="C383" s="9" t="s">
        <v>11</v>
      </c>
      <c r="D383" s="8" t="str">
        <f t="shared" si="1"/>
        <v>-</v>
      </c>
      <c r="E383" s="9"/>
      <c r="F383" s="10"/>
      <c r="G383" s="9"/>
      <c r="H383" s="11"/>
      <c r="I383" s="9" t="s">
        <v>13</v>
      </c>
      <c r="J383" s="44"/>
    </row>
    <row r="384">
      <c r="A384" s="42" t="s">
        <v>206</v>
      </c>
      <c r="B384" s="47"/>
      <c r="C384" s="9" t="s">
        <v>11</v>
      </c>
      <c r="D384" s="8" t="str">
        <f t="shared" si="1"/>
        <v>-</v>
      </c>
      <c r="E384" s="9"/>
      <c r="F384" s="10"/>
      <c r="G384" s="9"/>
      <c r="H384" s="11"/>
      <c r="I384" s="9" t="s">
        <v>13</v>
      </c>
      <c r="J384" s="44"/>
    </row>
    <row r="385">
      <c r="A385" s="42" t="s">
        <v>206</v>
      </c>
      <c r="B385" s="47"/>
      <c r="C385" s="9" t="s">
        <v>11</v>
      </c>
      <c r="D385" s="8" t="str">
        <f t="shared" si="1"/>
        <v>-</v>
      </c>
      <c r="E385" s="9"/>
      <c r="F385" s="10"/>
      <c r="G385" s="9"/>
      <c r="H385" s="11"/>
      <c r="I385" s="9" t="s">
        <v>13</v>
      </c>
      <c r="J385" s="44"/>
    </row>
    <row r="386">
      <c r="A386" s="42" t="s">
        <v>206</v>
      </c>
      <c r="B386" s="47"/>
      <c r="C386" s="9" t="s">
        <v>11</v>
      </c>
      <c r="D386" s="8" t="str">
        <f t="shared" si="1"/>
        <v>-</v>
      </c>
      <c r="E386" s="9"/>
      <c r="F386" s="10"/>
      <c r="G386" s="9"/>
      <c r="H386" s="11"/>
      <c r="I386" s="9" t="s">
        <v>13</v>
      </c>
      <c r="J386" s="44"/>
    </row>
    <row r="387">
      <c r="A387" s="42" t="s">
        <v>206</v>
      </c>
      <c r="B387" s="47"/>
      <c r="C387" s="9" t="s">
        <v>11</v>
      </c>
      <c r="D387" s="8" t="str">
        <f t="shared" si="1"/>
        <v>-</v>
      </c>
      <c r="E387" s="9"/>
      <c r="F387" s="10"/>
      <c r="G387" s="9"/>
      <c r="H387" s="11"/>
      <c r="I387" s="9" t="s">
        <v>13</v>
      </c>
      <c r="J387" s="44"/>
    </row>
    <row r="388">
      <c r="A388" s="42" t="s">
        <v>206</v>
      </c>
      <c r="B388" s="47"/>
      <c r="C388" s="9" t="s">
        <v>11</v>
      </c>
      <c r="D388" s="8" t="str">
        <f t="shared" si="1"/>
        <v>-</v>
      </c>
      <c r="E388" s="9"/>
      <c r="F388" s="10"/>
      <c r="G388" s="9"/>
      <c r="H388" s="11"/>
      <c r="I388" s="9" t="s">
        <v>13</v>
      </c>
      <c r="J388" s="44"/>
    </row>
    <row r="389">
      <c r="A389" s="42" t="s">
        <v>206</v>
      </c>
      <c r="B389" s="47"/>
      <c r="C389" s="9" t="s">
        <v>11</v>
      </c>
      <c r="D389" s="8" t="str">
        <f t="shared" si="1"/>
        <v>-</v>
      </c>
      <c r="E389" s="9"/>
      <c r="F389" s="10"/>
      <c r="G389" s="9"/>
      <c r="H389" s="11"/>
      <c r="I389" s="9" t="s">
        <v>13</v>
      </c>
      <c r="J389" s="44"/>
    </row>
    <row r="390">
      <c r="A390" s="42" t="s">
        <v>206</v>
      </c>
      <c r="B390" s="47"/>
      <c r="C390" s="9" t="s">
        <v>11</v>
      </c>
      <c r="D390" s="8" t="str">
        <f t="shared" si="1"/>
        <v>-</v>
      </c>
      <c r="E390" s="9"/>
      <c r="F390" s="10"/>
      <c r="G390" s="9"/>
      <c r="H390" s="11"/>
      <c r="I390" s="9" t="s">
        <v>13</v>
      </c>
      <c r="J390" s="44"/>
    </row>
    <row r="391">
      <c r="A391" s="42" t="s">
        <v>206</v>
      </c>
      <c r="B391" s="47"/>
      <c r="C391" s="9" t="s">
        <v>11</v>
      </c>
      <c r="D391" s="8" t="str">
        <f t="shared" si="1"/>
        <v>-</v>
      </c>
      <c r="E391" s="9"/>
      <c r="F391" s="10"/>
      <c r="G391" s="9"/>
      <c r="H391" s="11"/>
      <c r="I391" s="9" t="s">
        <v>13</v>
      </c>
      <c r="J391" s="44"/>
    </row>
    <row r="392">
      <c r="A392" s="42" t="s">
        <v>206</v>
      </c>
      <c r="B392" s="47"/>
      <c r="C392" s="9" t="s">
        <v>11</v>
      </c>
      <c r="D392" s="8" t="str">
        <f t="shared" si="1"/>
        <v>-</v>
      </c>
      <c r="E392" s="9"/>
      <c r="F392" s="10"/>
      <c r="G392" s="9"/>
      <c r="H392" s="11"/>
      <c r="I392" s="9" t="s">
        <v>13</v>
      </c>
      <c r="J392" s="44"/>
    </row>
    <row r="393">
      <c r="A393" s="42" t="s">
        <v>206</v>
      </c>
      <c r="B393" s="47"/>
      <c r="C393" s="9" t="s">
        <v>11</v>
      </c>
      <c r="D393" s="8" t="str">
        <f t="shared" si="1"/>
        <v>-</v>
      </c>
      <c r="E393" s="9"/>
      <c r="F393" s="10"/>
      <c r="G393" s="9"/>
      <c r="H393" s="11"/>
      <c r="I393" s="9" t="s">
        <v>13</v>
      </c>
      <c r="J393" s="44"/>
    </row>
    <row r="394">
      <c r="A394" s="42" t="s">
        <v>206</v>
      </c>
      <c r="B394" s="47"/>
      <c r="C394" s="9" t="s">
        <v>11</v>
      </c>
      <c r="D394" s="8" t="str">
        <f t="shared" si="1"/>
        <v>-</v>
      </c>
      <c r="E394" s="9"/>
      <c r="F394" s="10"/>
      <c r="G394" s="9"/>
      <c r="H394" s="11"/>
      <c r="I394" s="9" t="s">
        <v>13</v>
      </c>
      <c r="J394" s="44"/>
    </row>
    <row r="395">
      <c r="A395" s="42" t="s">
        <v>206</v>
      </c>
      <c r="B395" s="47"/>
      <c r="C395" s="9" t="s">
        <v>11</v>
      </c>
      <c r="D395" s="8" t="str">
        <f t="shared" si="1"/>
        <v>-</v>
      </c>
      <c r="E395" s="9"/>
      <c r="F395" s="10"/>
      <c r="G395" s="9"/>
      <c r="H395" s="11"/>
      <c r="I395" s="9" t="s">
        <v>13</v>
      </c>
      <c r="J395" s="44"/>
    </row>
    <row r="396">
      <c r="A396" s="42" t="s">
        <v>206</v>
      </c>
      <c r="B396" s="47"/>
      <c r="C396" s="9" t="s">
        <v>11</v>
      </c>
      <c r="D396" s="8" t="str">
        <f t="shared" si="1"/>
        <v>-</v>
      </c>
      <c r="E396" s="9"/>
      <c r="F396" s="10"/>
      <c r="G396" s="9"/>
      <c r="H396" s="11"/>
      <c r="I396" s="9" t="s">
        <v>13</v>
      </c>
      <c r="J396" s="44"/>
    </row>
    <row r="397">
      <c r="A397" s="42" t="s">
        <v>206</v>
      </c>
      <c r="B397" s="47"/>
      <c r="C397" s="9" t="s">
        <v>11</v>
      </c>
      <c r="D397" s="8" t="str">
        <f t="shared" si="1"/>
        <v>-</v>
      </c>
      <c r="E397" s="9"/>
      <c r="F397" s="10"/>
      <c r="G397" s="9"/>
      <c r="H397" s="11"/>
      <c r="I397" s="9" t="s">
        <v>13</v>
      </c>
      <c r="J397" s="44"/>
    </row>
    <row r="398">
      <c r="A398" s="42" t="s">
        <v>206</v>
      </c>
      <c r="B398" s="47"/>
      <c r="C398" s="9" t="s">
        <v>11</v>
      </c>
      <c r="D398" s="8" t="str">
        <f t="shared" si="1"/>
        <v>-</v>
      </c>
      <c r="E398" s="9"/>
      <c r="F398" s="10"/>
      <c r="G398" s="9"/>
      <c r="H398" s="11"/>
      <c r="I398" s="9" t="s">
        <v>13</v>
      </c>
      <c r="J398" s="44"/>
    </row>
    <row r="399">
      <c r="A399" s="42" t="s">
        <v>206</v>
      </c>
      <c r="B399" s="47"/>
      <c r="C399" s="9" t="s">
        <v>11</v>
      </c>
      <c r="D399" s="8" t="str">
        <f t="shared" si="1"/>
        <v>-</v>
      </c>
      <c r="E399" s="9"/>
      <c r="F399" s="10"/>
      <c r="G399" s="9"/>
      <c r="H399" s="11"/>
      <c r="I399" s="9" t="s">
        <v>13</v>
      </c>
      <c r="J399" s="44"/>
    </row>
    <row r="400">
      <c r="A400" s="42" t="s">
        <v>206</v>
      </c>
      <c r="B400" s="47"/>
      <c r="C400" s="9" t="s">
        <v>11</v>
      </c>
      <c r="D400" s="8" t="str">
        <f t="shared" si="1"/>
        <v>-</v>
      </c>
      <c r="E400" s="9"/>
      <c r="F400" s="10"/>
      <c r="G400" s="9"/>
      <c r="H400" s="11"/>
      <c r="I400" s="9" t="s">
        <v>13</v>
      </c>
      <c r="J400" s="44"/>
    </row>
    <row r="401">
      <c r="A401" s="42" t="s">
        <v>206</v>
      </c>
      <c r="B401" s="47"/>
      <c r="C401" s="9" t="s">
        <v>11</v>
      </c>
      <c r="D401" s="8" t="str">
        <f t="shared" si="1"/>
        <v>-</v>
      </c>
      <c r="E401" s="9"/>
      <c r="F401" s="10"/>
      <c r="G401" s="9"/>
      <c r="H401" s="11"/>
      <c r="I401" s="9" t="s">
        <v>13</v>
      </c>
      <c r="J401" s="44"/>
    </row>
    <row r="402">
      <c r="A402" s="42" t="s">
        <v>206</v>
      </c>
      <c r="B402" s="47"/>
      <c r="C402" s="9" t="s">
        <v>11</v>
      </c>
      <c r="D402" s="8" t="str">
        <f t="shared" si="1"/>
        <v>-</v>
      </c>
      <c r="E402" s="9"/>
      <c r="F402" s="10"/>
      <c r="G402" s="9"/>
      <c r="H402" s="11"/>
      <c r="I402" s="9" t="s">
        <v>13</v>
      </c>
      <c r="J402" s="44"/>
    </row>
    <row r="403">
      <c r="A403" s="42" t="s">
        <v>206</v>
      </c>
      <c r="B403" s="47"/>
      <c r="C403" s="9" t="s">
        <v>11</v>
      </c>
      <c r="D403" s="8" t="str">
        <f t="shared" si="1"/>
        <v>-</v>
      </c>
      <c r="E403" s="9"/>
      <c r="F403" s="10"/>
      <c r="G403" s="9"/>
      <c r="H403" s="11"/>
      <c r="I403" s="9" t="s">
        <v>13</v>
      </c>
      <c r="J403" s="44"/>
    </row>
    <row r="404">
      <c r="A404" s="42" t="s">
        <v>206</v>
      </c>
      <c r="B404" s="47"/>
      <c r="C404" s="9" t="s">
        <v>11</v>
      </c>
      <c r="D404" s="8" t="str">
        <f t="shared" si="1"/>
        <v>-</v>
      </c>
      <c r="E404" s="9"/>
      <c r="F404" s="10"/>
      <c r="G404" s="9"/>
      <c r="H404" s="11"/>
      <c r="I404" s="9" t="s">
        <v>13</v>
      </c>
      <c r="J404" s="44"/>
    </row>
    <row r="405">
      <c r="A405" s="42" t="s">
        <v>206</v>
      </c>
      <c r="B405" s="47"/>
      <c r="C405" s="9" t="s">
        <v>11</v>
      </c>
      <c r="D405" s="8" t="str">
        <f t="shared" si="1"/>
        <v>-</v>
      </c>
      <c r="E405" s="9"/>
      <c r="F405" s="10"/>
      <c r="G405" s="9"/>
      <c r="H405" s="11"/>
      <c r="I405" s="9" t="s">
        <v>13</v>
      </c>
      <c r="J405" s="44"/>
    </row>
    <row r="406">
      <c r="A406" s="42" t="s">
        <v>206</v>
      </c>
      <c r="B406" s="47"/>
      <c r="C406" s="9" t="s">
        <v>11</v>
      </c>
      <c r="D406" s="8" t="str">
        <f t="shared" si="1"/>
        <v>-</v>
      </c>
      <c r="E406" s="9"/>
      <c r="F406" s="10"/>
      <c r="G406" s="9"/>
      <c r="H406" s="11"/>
      <c r="I406" s="9" t="s">
        <v>13</v>
      </c>
      <c r="J406" s="44"/>
    </row>
    <row r="407">
      <c r="A407" s="42" t="s">
        <v>206</v>
      </c>
      <c r="B407" s="47"/>
      <c r="C407" s="9" t="s">
        <v>11</v>
      </c>
      <c r="D407" s="8" t="str">
        <f t="shared" si="1"/>
        <v>-</v>
      </c>
      <c r="E407" s="9"/>
      <c r="F407" s="10"/>
      <c r="G407" s="9"/>
      <c r="H407" s="11"/>
      <c r="I407" s="9" t="s">
        <v>13</v>
      </c>
      <c r="J407" s="44"/>
    </row>
    <row r="408">
      <c r="A408" s="42" t="s">
        <v>206</v>
      </c>
      <c r="B408" s="47"/>
      <c r="C408" s="9" t="s">
        <v>11</v>
      </c>
      <c r="D408" s="8" t="str">
        <f t="shared" si="1"/>
        <v>-</v>
      </c>
      <c r="E408" s="9"/>
      <c r="F408" s="10"/>
      <c r="G408" s="9"/>
      <c r="H408" s="11"/>
      <c r="I408" s="9" t="s">
        <v>13</v>
      </c>
      <c r="J408" s="44"/>
    </row>
    <row r="409">
      <c r="A409" s="42" t="s">
        <v>206</v>
      </c>
      <c r="B409" s="47"/>
      <c r="C409" s="9" t="s">
        <v>11</v>
      </c>
      <c r="D409" s="8" t="str">
        <f t="shared" si="1"/>
        <v>-</v>
      </c>
      <c r="E409" s="9"/>
      <c r="F409" s="10"/>
      <c r="G409" s="9"/>
      <c r="H409" s="11"/>
      <c r="I409" s="9" t="s">
        <v>13</v>
      </c>
      <c r="J409" s="44"/>
    </row>
    <row r="410">
      <c r="A410" s="42" t="s">
        <v>206</v>
      </c>
      <c r="B410" s="47"/>
      <c r="C410" s="9" t="s">
        <v>11</v>
      </c>
      <c r="D410" s="8" t="str">
        <f t="shared" si="1"/>
        <v>-</v>
      </c>
      <c r="E410" s="9"/>
      <c r="F410" s="10"/>
      <c r="G410" s="9"/>
      <c r="H410" s="11"/>
      <c r="I410" s="9" t="s">
        <v>13</v>
      </c>
      <c r="J410" s="44"/>
    </row>
    <row r="411">
      <c r="A411" s="42" t="s">
        <v>206</v>
      </c>
      <c r="B411" s="47"/>
      <c r="C411" s="9" t="s">
        <v>11</v>
      </c>
      <c r="D411" s="8" t="str">
        <f t="shared" si="1"/>
        <v>-</v>
      </c>
      <c r="E411" s="9"/>
      <c r="F411" s="10"/>
      <c r="G411" s="9"/>
      <c r="H411" s="11"/>
      <c r="I411" s="9" t="s">
        <v>13</v>
      </c>
      <c r="J411" s="44"/>
    </row>
    <row r="412">
      <c r="A412" s="42" t="s">
        <v>206</v>
      </c>
      <c r="B412" s="47"/>
      <c r="C412" s="9" t="s">
        <v>11</v>
      </c>
      <c r="D412" s="8" t="str">
        <f t="shared" si="1"/>
        <v>-</v>
      </c>
      <c r="E412" s="9"/>
      <c r="F412" s="10"/>
      <c r="G412" s="9"/>
      <c r="H412" s="11"/>
      <c r="I412" s="9" t="s">
        <v>13</v>
      </c>
      <c r="J412" s="44"/>
    </row>
    <row r="413">
      <c r="A413" s="42" t="s">
        <v>206</v>
      </c>
      <c r="B413" s="47"/>
      <c r="C413" s="9" t="s">
        <v>11</v>
      </c>
      <c r="D413" s="8" t="str">
        <f t="shared" si="1"/>
        <v>-</v>
      </c>
      <c r="E413" s="9"/>
      <c r="F413" s="10"/>
      <c r="G413" s="9"/>
      <c r="H413" s="11"/>
      <c r="I413" s="9" t="s">
        <v>13</v>
      </c>
      <c r="J413" s="44"/>
    </row>
    <row r="414">
      <c r="A414" s="42" t="s">
        <v>206</v>
      </c>
      <c r="B414" s="47"/>
      <c r="C414" s="9" t="s">
        <v>11</v>
      </c>
      <c r="D414" s="8" t="str">
        <f t="shared" si="1"/>
        <v>-</v>
      </c>
      <c r="E414" s="9"/>
      <c r="F414" s="10"/>
      <c r="G414" s="9"/>
      <c r="H414" s="11"/>
      <c r="I414" s="9" t="s">
        <v>13</v>
      </c>
      <c r="J414" s="44"/>
    </row>
    <row r="415">
      <c r="A415" s="42" t="s">
        <v>206</v>
      </c>
      <c r="B415" s="47"/>
      <c r="C415" s="9" t="s">
        <v>11</v>
      </c>
      <c r="D415" s="8" t="str">
        <f t="shared" si="1"/>
        <v>-</v>
      </c>
      <c r="E415" s="9"/>
      <c r="F415" s="10"/>
      <c r="G415" s="9"/>
      <c r="H415" s="11"/>
      <c r="I415" s="9" t="s">
        <v>13</v>
      </c>
      <c r="J415" s="44"/>
    </row>
    <row r="416">
      <c r="A416" s="42" t="s">
        <v>206</v>
      </c>
      <c r="B416" s="47"/>
      <c r="C416" s="9" t="s">
        <v>11</v>
      </c>
      <c r="D416" s="8" t="str">
        <f t="shared" si="1"/>
        <v>-</v>
      </c>
      <c r="E416" s="9"/>
      <c r="F416" s="10"/>
      <c r="G416" s="9"/>
      <c r="H416" s="11"/>
      <c r="I416" s="9" t="s">
        <v>13</v>
      </c>
      <c r="J416" s="44"/>
    </row>
    <row r="417">
      <c r="A417" s="42" t="s">
        <v>206</v>
      </c>
      <c r="B417" s="47"/>
      <c r="C417" s="9" t="s">
        <v>11</v>
      </c>
      <c r="D417" s="8" t="str">
        <f t="shared" si="1"/>
        <v>-</v>
      </c>
      <c r="E417" s="9"/>
      <c r="F417" s="10"/>
      <c r="G417" s="9"/>
      <c r="H417" s="11"/>
      <c r="I417" s="9" t="s">
        <v>13</v>
      </c>
      <c r="J417" s="44"/>
    </row>
    <row r="418">
      <c r="A418" s="42" t="s">
        <v>206</v>
      </c>
      <c r="B418" s="47"/>
      <c r="C418" s="9" t="s">
        <v>11</v>
      </c>
      <c r="D418" s="8" t="str">
        <f t="shared" si="1"/>
        <v>-</v>
      </c>
      <c r="E418" s="9"/>
      <c r="F418" s="10"/>
      <c r="G418" s="9"/>
      <c r="H418" s="11"/>
      <c r="I418" s="9" t="s">
        <v>13</v>
      </c>
      <c r="J418" s="44"/>
    </row>
    <row r="419">
      <c r="A419" s="42" t="s">
        <v>206</v>
      </c>
      <c r="B419" s="47"/>
      <c r="C419" s="9" t="s">
        <v>11</v>
      </c>
      <c r="D419" s="8" t="str">
        <f t="shared" si="1"/>
        <v>-</v>
      </c>
      <c r="E419" s="9"/>
      <c r="F419" s="10"/>
      <c r="G419" s="9"/>
      <c r="H419" s="11"/>
      <c r="I419" s="9" t="s">
        <v>13</v>
      </c>
      <c r="J419" s="44"/>
    </row>
    <row r="420">
      <c r="A420" s="42" t="s">
        <v>206</v>
      </c>
      <c r="B420" s="47"/>
      <c r="C420" s="9" t="s">
        <v>11</v>
      </c>
      <c r="D420" s="8" t="str">
        <f t="shared" si="1"/>
        <v>-</v>
      </c>
      <c r="E420" s="9"/>
      <c r="F420" s="10"/>
      <c r="G420" s="9"/>
      <c r="H420" s="11"/>
      <c r="I420" s="9" t="s">
        <v>13</v>
      </c>
      <c r="J420" s="44"/>
    </row>
    <row r="421">
      <c r="A421" s="42" t="s">
        <v>206</v>
      </c>
      <c r="B421" s="47"/>
      <c r="C421" s="9" t="s">
        <v>11</v>
      </c>
      <c r="D421" s="8" t="str">
        <f t="shared" si="1"/>
        <v>-</v>
      </c>
      <c r="E421" s="9"/>
      <c r="F421" s="10"/>
      <c r="G421" s="9"/>
      <c r="H421" s="11"/>
      <c r="I421" s="9" t="s">
        <v>13</v>
      </c>
      <c r="J421" s="44"/>
    </row>
    <row r="422">
      <c r="A422" s="42" t="s">
        <v>206</v>
      </c>
      <c r="B422" s="47"/>
      <c r="C422" s="9" t="s">
        <v>11</v>
      </c>
      <c r="D422" s="8" t="str">
        <f t="shared" si="1"/>
        <v>-</v>
      </c>
      <c r="E422" s="9"/>
      <c r="F422" s="10"/>
      <c r="G422" s="9"/>
      <c r="H422" s="11"/>
      <c r="I422" s="9" t="s">
        <v>13</v>
      </c>
      <c r="J422" s="44"/>
    </row>
    <row r="423">
      <c r="A423" s="42" t="s">
        <v>206</v>
      </c>
      <c r="B423" s="47"/>
      <c r="C423" s="9" t="s">
        <v>11</v>
      </c>
      <c r="D423" s="8" t="str">
        <f t="shared" si="1"/>
        <v>-</v>
      </c>
      <c r="E423" s="9"/>
      <c r="F423" s="10"/>
      <c r="G423" s="9"/>
      <c r="H423" s="11"/>
      <c r="I423" s="9" t="s">
        <v>13</v>
      </c>
      <c r="J423" s="44"/>
    </row>
    <row r="424">
      <c r="A424" s="42" t="s">
        <v>206</v>
      </c>
      <c r="B424" s="47"/>
      <c r="C424" s="9" t="s">
        <v>11</v>
      </c>
      <c r="D424" s="8" t="str">
        <f t="shared" si="1"/>
        <v>-</v>
      </c>
      <c r="E424" s="9"/>
      <c r="F424" s="10"/>
      <c r="G424" s="9"/>
      <c r="H424" s="11"/>
      <c r="I424" s="9" t="s">
        <v>13</v>
      </c>
      <c r="J424" s="44"/>
    </row>
    <row r="425">
      <c r="A425" s="42" t="s">
        <v>206</v>
      </c>
      <c r="B425" s="47"/>
      <c r="C425" s="9" t="s">
        <v>11</v>
      </c>
      <c r="D425" s="8" t="str">
        <f t="shared" si="1"/>
        <v>-</v>
      </c>
      <c r="E425" s="9"/>
      <c r="F425" s="10"/>
      <c r="G425" s="9"/>
      <c r="H425" s="11"/>
      <c r="I425" s="9" t="s">
        <v>13</v>
      </c>
      <c r="J425" s="44"/>
    </row>
    <row r="426">
      <c r="A426" s="42" t="s">
        <v>206</v>
      </c>
      <c r="B426" s="47"/>
      <c r="C426" s="9" t="s">
        <v>11</v>
      </c>
      <c r="D426" s="8" t="str">
        <f t="shared" si="1"/>
        <v>-</v>
      </c>
      <c r="E426" s="9"/>
      <c r="F426" s="10"/>
      <c r="G426" s="9"/>
      <c r="H426" s="11"/>
      <c r="I426" s="9" t="s">
        <v>13</v>
      </c>
      <c r="J426" s="44"/>
    </row>
    <row r="427">
      <c r="A427" s="42" t="s">
        <v>206</v>
      </c>
      <c r="B427" s="47"/>
      <c r="C427" s="9" t="s">
        <v>11</v>
      </c>
      <c r="D427" s="8" t="str">
        <f t="shared" si="1"/>
        <v>-</v>
      </c>
      <c r="E427" s="9"/>
      <c r="F427" s="10"/>
      <c r="G427" s="9"/>
      <c r="H427" s="11"/>
      <c r="I427" s="9" t="s">
        <v>13</v>
      </c>
      <c r="J427" s="44"/>
    </row>
    <row r="428">
      <c r="A428" s="42" t="s">
        <v>206</v>
      </c>
      <c r="B428" s="47"/>
      <c r="C428" s="9" t="s">
        <v>11</v>
      </c>
      <c r="D428" s="8" t="str">
        <f t="shared" si="1"/>
        <v>-</v>
      </c>
      <c r="E428" s="9"/>
      <c r="F428" s="10"/>
      <c r="G428" s="9"/>
      <c r="H428" s="11"/>
      <c r="I428" s="9" t="s">
        <v>13</v>
      </c>
      <c r="J428" s="44"/>
    </row>
    <row r="429">
      <c r="A429" s="42" t="s">
        <v>206</v>
      </c>
      <c r="B429" s="47"/>
      <c r="C429" s="9" t="s">
        <v>11</v>
      </c>
      <c r="D429" s="8" t="str">
        <f t="shared" si="1"/>
        <v>-</v>
      </c>
      <c r="E429" s="9"/>
      <c r="F429" s="10"/>
      <c r="G429" s="9"/>
      <c r="H429" s="11"/>
      <c r="I429" s="9" t="s">
        <v>13</v>
      </c>
      <c r="J429" s="44"/>
    </row>
    <row r="430">
      <c r="A430" s="42" t="s">
        <v>206</v>
      </c>
      <c r="B430" s="47"/>
      <c r="C430" s="9" t="s">
        <v>11</v>
      </c>
      <c r="D430" s="8" t="str">
        <f t="shared" si="1"/>
        <v>-</v>
      </c>
      <c r="E430" s="9"/>
      <c r="F430" s="10"/>
      <c r="G430" s="9"/>
      <c r="H430" s="11"/>
      <c r="I430" s="9" t="s">
        <v>13</v>
      </c>
      <c r="J430" s="44"/>
    </row>
    <row r="431">
      <c r="A431" s="42" t="s">
        <v>206</v>
      </c>
      <c r="B431" s="47"/>
      <c r="C431" s="9" t="s">
        <v>11</v>
      </c>
      <c r="D431" s="8" t="str">
        <f t="shared" si="1"/>
        <v>-</v>
      </c>
      <c r="E431" s="9"/>
      <c r="F431" s="10"/>
      <c r="G431" s="9"/>
      <c r="H431" s="11"/>
      <c r="I431" s="9" t="s">
        <v>13</v>
      </c>
      <c r="J431" s="44"/>
    </row>
    <row r="432">
      <c r="A432" s="42" t="s">
        <v>206</v>
      </c>
      <c r="B432" s="47"/>
      <c r="C432" s="9" t="s">
        <v>11</v>
      </c>
      <c r="D432" s="8" t="str">
        <f t="shared" si="1"/>
        <v>-</v>
      </c>
      <c r="E432" s="9"/>
      <c r="F432" s="10"/>
      <c r="G432" s="9"/>
      <c r="H432" s="11"/>
      <c r="I432" s="9" t="s">
        <v>13</v>
      </c>
      <c r="J432" s="44"/>
    </row>
    <row r="433">
      <c r="A433" s="42" t="s">
        <v>206</v>
      </c>
      <c r="B433" s="47"/>
      <c r="C433" s="9" t="s">
        <v>11</v>
      </c>
      <c r="D433" s="8" t="str">
        <f t="shared" si="1"/>
        <v>-</v>
      </c>
      <c r="E433" s="9"/>
      <c r="F433" s="10"/>
      <c r="G433" s="9"/>
      <c r="H433" s="11"/>
      <c r="I433" s="9" t="s">
        <v>13</v>
      </c>
      <c r="J433" s="44"/>
    </row>
    <row r="434">
      <c r="A434" s="42" t="s">
        <v>206</v>
      </c>
      <c r="B434" s="47"/>
      <c r="C434" s="9" t="s">
        <v>11</v>
      </c>
      <c r="D434" s="8" t="str">
        <f t="shared" si="1"/>
        <v>-</v>
      </c>
      <c r="E434" s="9"/>
      <c r="F434" s="10"/>
      <c r="G434" s="9"/>
      <c r="H434" s="11"/>
      <c r="I434" s="9" t="s">
        <v>13</v>
      </c>
      <c r="J434" s="44"/>
    </row>
    <row r="435">
      <c r="A435" s="42" t="s">
        <v>206</v>
      </c>
      <c r="B435" s="47"/>
      <c r="C435" s="9" t="s">
        <v>11</v>
      </c>
      <c r="D435" s="8" t="str">
        <f t="shared" si="1"/>
        <v>-</v>
      </c>
      <c r="E435" s="9"/>
      <c r="F435" s="10"/>
      <c r="G435" s="9"/>
      <c r="H435" s="11"/>
      <c r="I435" s="9" t="s">
        <v>13</v>
      </c>
      <c r="J435" s="44"/>
    </row>
    <row r="436">
      <c r="A436" s="42" t="s">
        <v>206</v>
      </c>
      <c r="B436" s="47"/>
      <c r="C436" s="9" t="s">
        <v>11</v>
      </c>
      <c r="D436" s="8" t="str">
        <f t="shared" si="1"/>
        <v>-</v>
      </c>
      <c r="E436" s="9"/>
      <c r="F436" s="10"/>
      <c r="G436" s="9"/>
      <c r="H436" s="11"/>
      <c r="I436" s="9" t="s">
        <v>13</v>
      </c>
      <c r="J436" s="44"/>
    </row>
    <row r="437">
      <c r="A437" s="42" t="s">
        <v>206</v>
      </c>
      <c r="B437" s="47"/>
      <c r="C437" s="9" t="s">
        <v>11</v>
      </c>
      <c r="D437" s="8" t="str">
        <f t="shared" si="1"/>
        <v>-</v>
      </c>
      <c r="E437" s="9"/>
      <c r="F437" s="10"/>
      <c r="G437" s="9"/>
      <c r="H437" s="11"/>
      <c r="I437" s="9" t="s">
        <v>13</v>
      </c>
      <c r="J437" s="44"/>
    </row>
    <row r="438">
      <c r="A438" s="42" t="s">
        <v>206</v>
      </c>
      <c r="B438" s="47"/>
      <c r="C438" s="9" t="s">
        <v>11</v>
      </c>
      <c r="D438" s="8" t="str">
        <f t="shared" si="1"/>
        <v>-</v>
      </c>
      <c r="E438" s="9"/>
      <c r="F438" s="10"/>
      <c r="G438" s="9"/>
      <c r="H438" s="11"/>
      <c r="I438" s="9" t="s">
        <v>13</v>
      </c>
      <c r="J438" s="44"/>
    </row>
    <row r="439">
      <c r="A439" s="42" t="s">
        <v>206</v>
      </c>
      <c r="B439" s="47"/>
      <c r="C439" s="9" t="s">
        <v>11</v>
      </c>
      <c r="D439" s="8" t="str">
        <f t="shared" si="1"/>
        <v>-</v>
      </c>
      <c r="E439" s="9"/>
      <c r="F439" s="10"/>
      <c r="G439" s="9"/>
      <c r="H439" s="11"/>
      <c r="I439" s="9" t="s">
        <v>13</v>
      </c>
      <c r="J439" s="44"/>
    </row>
    <row r="440">
      <c r="A440" s="42" t="s">
        <v>206</v>
      </c>
      <c r="B440" s="47"/>
      <c r="C440" s="9" t="s">
        <v>11</v>
      </c>
      <c r="D440" s="8" t="str">
        <f t="shared" si="1"/>
        <v>-</v>
      </c>
      <c r="E440" s="9"/>
      <c r="F440" s="10"/>
      <c r="G440" s="9"/>
      <c r="H440" s="11"/>
      <c r="I440" s="9" t="s">
        <v>13</v>
      </c>
      <c r="J440" s="44"/>
    </row>
    <row r="441">
      <c r="A441" s="42" t="s">
        <v>206</v>
      </c>
      <c r="B441" s="47"/>
      <c r="C441" s="9" t="s">
        <v>11</v>
      </c>
      <c r="D441" s="8" t="str">
        <f t="shared" si="1"/>
        <v>-</v>
      </c>
      <c r="E441" s="9"/>
      <c r="F441" s="10"/>
      <c r="G441" s="9"/>
      <c r="H441" s="11"/>
      <c r="I441" s="9" t="s">
        <v>13</v>
      </c>
      <c r="J441" s="44"/>
    </row>
    <row r="442">
      <c r="A442" s="42" t="s">
        <v>206</v>
      </c>
      <c r="B442" s="47"/>
      <c r="C442" s="9" t="s">
        <v>11</v>
      </c>
      <c r="D442" s="8" t="str">
        <f t="shared" si="1"/>
        <v>-</v>
      </c>
      <c r="E442" s="9"/>
      <c r="F442" s="10"/>
      <c r="G442" s="9"/>
      <c r="H442" s="11"/>
      <c r="I442" s="9" t="s">
        <v>13</v>
      </c>
      <c r="J442" s="44"/>
    </row>
    <row r="443">
      <c r="A443" s="42" t="s">
        <v>206</v>
      </c>
      <c r="B443" s="47"/>
      <c r="C443" s="9" t="s">
        <v>11</v>
      </c>
      <c r="D443" s="8" t="str">
        <f t="shared" si="1"/>
        <v>-</v>
      </c>
      <c r="E443" s="9"/>
      <c r="F443" s="10"/>
      <c r="G443" s="9"/>
      <c r="H443" s="11"/>
      <c r="I443" s="9" t="s">
        <v>13</v>
      </c>
      <c r="J443" s="44"/>
    </row>
    <row r="444">
      <c r="A444" s="42" t="s">
        <v>206</v>
      </c>
      <c r="B444" s="47"/>
      <c r="C444" s="9" t="s">
        <v>11</v>
      </c>
      <c r="D444" s="8" t="str">
        <f t="shared" si="1"/>
        <v>-</v>
      </c>
      <c r="E444" s="9"/>
      <c r="F444" s="10"/>
      <c r="G444" s="9"/>
      <c r="H444" s="11"/>
      <c r="I444" s="9" t="s">
        <v>13</v>
      </c>
      <c r="J444" s="44"/>
    </row>
    <row r="445">
      <c r="A445" s="42" t="s">
        <v>206</v>
      </c>
      <c r="B445" s="47"/>
      <c r="C445" s="9" t="s">
        <v>11</v>
      </c>
      <c r="D445" s="8" t="str">
        <f t="shared" si="1"/>
        <v>-</v>
      </c>
      <c r="E445" s="9"/>
      <c r="F445" s="10"/>
      <c r="G445" s="9"/>
      <c r="H445" s="11"/>
      <c r="I445" s="9" t="s">
        <v>13</v>
      </c>
      <c r="J445" s="44"/>
    </row>
    <row r="446">
      <c r="A446" s="42" t="s">
        <v>206</v>
      </c>
      <c r="B446" s="47"/>
      <c r="C446" s="9" t="s">
        <v>11</v>
      </c>
      <c r="D446" s="8" t="str">
        <f t="shared" si="1"/>
        <v>-</v>
      </c>
      <c r="E446" s="9"/>
      <c r="F446" s="10"/>
      <c r="G446" s="9"/>
      <c r="H446" s="11"/>
      <c r="I446" s="9" t="s">
        <v>13</v>
      </c>
      <c r="J446" s="44"/>
    </row>
    <row r="447">
      <c r="A447" s="42" t="s">
        <v>206</v>
      </c>
      <c r="B447" s="47"/>
      <c r="C447" s="9" t="s">
        <v>11</v>
      </c>
      <c r="D447" s="8" t="str">
        <f t="shared" si="1"/>
        <v>-</v>
      </c>
      <c r="E447" s="9"/>
      <c r="F447" s="10"/>
      <c r="G447" s="9"/>
      <c r="H447" s="11"/>
      <c r="I447" s="9" t="s">
        <v>13</v>
      </c>
      <c r="J447" s="44"/>
    </row>
    <row r="448">
      <c r="A448" s="42" t="s">
        <v>206</v>
      </c>
      <c r="B448" s="47"/>
      <c r="C448" s="9" t="s">
        <v>11</v>
      </c>
      <c r="D448" s="8" t="str">
        <f t="shared" si="1"/>
        <v>-</v>
      </c>
      <c r="E448" s="9"/>
      <c r="F448" s="10"/>
      <c r="G448" s="9"/>
      <c r="H448" s="11"/>
      <c r="I448" s="9" t="s">
        <v>13</v>
      </c>
      <c r="J448" s="44"/>
    </row>
    <row r="449">
      <c r="A449" s="42" t="s">
        <v>206</v>
      </c>
      <c r="B449" s="47"/>
      <c r="C449" s="9" t="s">
        <v>11</v>
      </c>
      <c r="D449" s="8" t="str">
        <f t="shared" si="1"/>
        <v>-</v>
      </c>
      <c r="E449" s="9"/>
      <c r="F449" s="10"/>
      <c r="G449" s="9"/>
      <c r="H449" s="11"/>
      <c r="I449" s="9" t="s">
        <v>13</v>
      </c>
      <c r="J449" s="44"/>
    </row>
    <row r="450">
      <c r="A450" s="42" t="s">
        <v>206</v>
      </c>
      <c r="B450" s="47"/>
      <c r="C450" s="9" t="s">
        <v>11</v>
      </c>
      <c r="D450" s="8" t="str">
        <f t="shared" si="1"/>
        <v>-</v>
      </c>
      <c r="E450" s="9"/>
      <c r="F450" s="10"/>
      <c r="G450" s="9"/>
      <c r="H450" s="11"/>
      <c r="I450" s="9" t="s">
        <v>13</v>
      </c>
      <c r="J450" s="44"/>
    </row>
    <row r="451">
      <c r="A451" s="42" t="s">
        <v>206</v>
      </c>
      <c r="B451" s="47"/>
      <c r="C451" s="9" t="s">
        <v>11</v>
      </c>
      <c r="D451" s="8" t="str">
        <f t="shared" si="1"/>
        <v>-</v>
      </c>
      <c r="E451" s="9"/>
      <c r="F451" s="10"/>
      <c r="G451" s="9"/>
      <c r="H451" s="11"/>
      <c r="I451" s="9" t="s">
        <v>13</v>
      </c>
      <c r="J451" s="44"/>
    </row>
    <row r="452">
      <c r="A452" s="42" t="s">
        <v>206</v>
      </c>
      <c r="B452" s="47"/>
      <c r="C452" s="9" t="s">
        <v>11</v>
      </c>
      <c r="D452" s="8" t="str">
        <f t="shared" si="1"/>
        <v>-</v>
      </c>
      <c r="E452" s="9"/>
      <c r="F452" s="10"/>
      <c r="G452" s="9"/>
      <c r="H452" s="11"/>
      <c r="I452" s="9" t="s">
        <v>13</v>
      </c>
      <c r="J452" s="44"/>
    </row>
    <row r="453">
      <c r="A453" s="42" t="s">
        <v>206</v>
      </c>
      <c r="B453" s="47"/>
      <c r="C453" s="9" t="s">
        <v>11</v>
      </c>
      <c r="D453" s="8" t="str">
        <f t="shared" si="1"/>
        <v>-</v>
      </c>
      <c r="E453" s="9"/>
      <c r="F453" s="10"/>
      <c r="G453" s="9"/>
      <c r="H453" s="11"/>
      <c r="I453" s="9" t="s">
        <v>13</v>
      </c>
      <c r="J453" s="44"/>
    </row>
    <row r="454">
      <c r="A454" s="42" t="s">
        <v>206</v>
      </c>
      <c r="B454" s="47"/>
      <c r="C454" s="9" t="s">
        <v>11</v>
      </c>
      <c r="D454" s="8" t="str">
        <f t="shared" si="1"/>
        <v>-</v>
      </c>
      <c r="E454" s="9"/>
      <c r="F454" s="10"/>
      <c r="G454" s="9"/>
      <c r="H454" s="11"/>
      <c r="I454" s="9" t="s">
        <v>13</v>
      </c>
      <c r="J454" s="44"/>
    </row>
    <row r="455">
      <c r="A455" s="42" t="s">
        <v>206</v>
      </c>
      <c r="B455" s="47"/>
      <c r="C455" s="9" t="s">
        <v>11</v>
      </c>
      <c r="D455" s="8" t="str">
        <f t="shared" si="1"/>
        <v>-</v>
      </c>
      <c r="E455" s="9"/>
      <c r="F455" s="10"/>
      <c r="G455" s="9"/>
      <c r="H455" s="11"/>
      <c r="I455" s="9" t="s">
        <v>13</v>
      </c>
      <c r="J455" s="44"/>
    </row>
    <row r="456">
      <c r="A456" s="42" t="s">
        <v>206</v>
      </c>
      <c r="B456" s="47"/>
      <c r="C456" s="9" t="s">
        <v>11</v>
      </c>
      <c r="D456" s="8" t="str">
        <f t="shared" si="1"/>
        <v>-</v>
      </c>
      <c r="E456" s="9"/>
      <c r="F456" s="10"/>
      <c r="G456" s="9"/>
      <c r="H456" s="11"/>
      <c r="I456" s="9" t="s">
        <v>13</v>
      </c>
      <c r="J456" s="44"/>
    </row>
    <row r="457">
      <c r="A457" s="42" t="s">
        <v>206</v>
      </c>
      <c r="B457" s="47"/>
      <c r="C457" s="9" t="s">
        <v>11</v>
      </c>
      <c r="D457" s="8" t="str">
        <f t="shared" si="1"/>
        <v>-</v>
      </c>
      <c r="E457" s="9"/>
      <c r="F457" s="10"/>
      <c r="G457" s="9"/>
      <c r="H457" s="11"/>
      <c r="I457" s="9" t="s">
        <v>13</v>
      </c>
      <c r="J457" s="44"/>
    </row>
    <row r="458">
      <c r="A458" s="42" t="s">
        <v>206</v>
      </c>
      <c r="B458" s="47"/>
      <c r="C458" s="9" t="s">
        <v>11</v>
      </c>
      <c r="D458" s="8" t="str">
        <f t="shared" si="1"/>
        <v>-</v>
      </c>
      <c r="E458" s="9"/>
      <c r="F458" s="10"/>
      <c r="G458" s="9"/>
      <c r="H458" s="11"/>
      <c r="I458" s="9" t="s">
        <v>13</v>
      </c>
      <c r="J458" s="44"/>
    </row>
    <row r="459">
      <c r="A459" s="42" t="s">
        <v>206</v>
      </c>
      <c r="B459" s="47"/>
      <c r="C459" s="9" t="s">
        <v>11</v>
      </c>
      <c r="D459" s="8" t="str">
        <f t="shared" si="1"/>
        <v>-</v>
      </c>
      <c r="E459" s="9"/>
      <c r="F459" s="10"/>
      <c r="G459" s="9"/>
      <c r="H459" s="11"/>
      <c r="I459" s="9" t="s">
        <v>13</v>
      </c>
      <c r="J459" s="44"/>
    </row>
    <row r="460">
      <c r="A460" s="42" t="s">
        <v>206</v>
      </c>
      <c r="B460" s="47"/>
      <c r="C460" s="9" t="s">
        <v>11</v>
      </c>
      <c r="D460" s="8" t="str">
        <f t="shared" si="1"/>
        <v>-</v>
      </c>
      <c r="E460" s="9"/>
      <c r="F460" s="10"/>
      <c r="G460" s="9"/>
      <c r="H460" s="11"/>
      <c r="I460" s="9" t="s">
        <v>13</v>
      </c>
      <c r="J460" s="44"/>
    </row>
    <row r="461">
      <c r="A461" s="42" t="s">
        <v>206</v>
      </c>
      <c r="B461" s="47"/>
      <c r="C461" s="9" t="s">
        <v>11</v>
      </c>
      <c r="D461" s="8" t="str">
        <f t="shared" si="1"/>
        <v>-</v>
      </c>
      <c r="E461" s="9"/>
      <c r="F461" s="10"/>
      <c r="G461" s="9"/>
      <c r="H461" s="11"/>
      <c r="I461" s="9" t="s">
        <v>13</v>
      </c>
      <c r="J461" s="44"/>
    </row>
    <row r="462">
      <c r="A462" s="42" t="s">
        <v>206</v>
      </c>
      <c r="B462" s="47"/>
      <c r="C462" s="9" t="s">
        <v>11</v>
      </c>
      <c r="D462" s="8" t="str">
        <f t="shared" si="1"/>
        <v>-</v>
      </c>
      <c r="E462" s="9"/>
      <c r="F462" s="10"/>
      <c r="G462" s="9"/>
      <c r="H462" s="11"/>
      <c r="I462" s="9" t="s">
        <v>13</v>
      </c>
      <c r="J462" s="44"/>
    </row>
    <row r="463">
      <c r="A463" s="42" t="s">
        <v>206</v>
      </c>
      <c r="B463" s="47"/>
      <c r="C463" s="9" t="s">
        <v>11</v>
      </c>
      <c r="D463" s="8" t="str">
        <f t="shared" si="1"/>
        <v>-</v>
      </c>
      <c r="E463" s="9"/>
      <c r="F463" s="10"/>
      <c r="G463" s="9"/>
      <c r="H463" s="11"/>
      <c r="I463" s="9" t="s">
        <v>13</v>
      </c>
      <c r="J463" s="44"/>
    </row>
    <row r="464">
      <c r="A464" s="42" t="s">
        <v>206</v>
      </c>
      <c r="B464" s="47"/>
      <c r="C464" s="9" t="s">
        <v>11</v>
      </c>
      <c r="D464" s="8" t="str">
        <f t="shared" si="1"/>
        <v>-</v>
      </c>
      <c r="E464" s="9"/>
      <c r="F464" s="10"/>
      <c r="G464" s="9"/>
      <c r="H464" s="11"/>
      <c r="I464" s="9" t="s">
        <v>13</v>
      </c>
      <c r="J464" s="44"/>
    </row>
    <row r="465">
      <c r="A465" s="42" t="s">
        <v>206</v>
      </c>
      <c r="B465" s="47"/>
      <c r="C465" s="9" t="s">
        <v>11</v>
      </c>
      <c r="D465" s="8" t="str">
        <f t="shared" si="1"/>
        <v>-</v>
      </c>
      <c r="E465" s="9"/>
      <c r="F465" s="10"/>
      <c r="G465" s="9"/>
      <c r="H465" s="11"/>
      <c r="I465" s="9" t="s">
        <v>13</v>
      </c>
      <c r="J465" s="44"/>
    </row>
    <row r="466">
      <c r="A466" s="42" t="s">
        <v>206</v>
      </c>
      <c r="B466" s="47"/>
      <c r="C466" s="9" t="s">
        <v>11</v>
      </c>
      <c r="D466" s="8" t="str">
        <f t="shared" si="1"/>
        <v>-</v>
      </c>
      <c r="E466" s="9"/>
      <c r="F466" s="10"/>
      <c r="G466" s="9"/>
      <c r="H466" s="11"/>
      <c r="I466" s="9" t="s">
        <v>13</v>
      </c>
      <c r="J466" s="44"/>
    </row>
    <row r="467">
      <c r="A467" s="42" t="s">
        <v>206</v>
      </c>
      <c r="B467" s="47"/>
      <c r="C467" s="9" t="s">
        <v>11</v>
      </c>
      <c r="D467" s="8" t="str">
        <f t="shared" si="1"/>
        <v>-</v>
      </c>
      <c r="E467" s="9"/>
      <c r="F467" s="10"/>
      <c r="G467" s="9"/>
      <c r="H467" s="11"/>
      <c r="I467" s="9" t="s">
        <v>13</v>
      </c>
      <c r="J467" s="44"/>
    </row>
    <row r="468">
      <c r="A468" s="42" t="s">
        <v>206</v>
      </c>
      <c r="B468" s="47"/>
      <c r="C468" s="9" t="s">
        <v>11</v>
      </c>
      <c r="D468" s="8" t="str">
        <f t="shared" si="1"/>
        <v>-</v>
      </c>
      <c r="E468" s="9"/>
      <c r="F468" s="10"/>
      <c r="G468" s="9"/>
      <c r="H468" s="11"/>
      <c r="I468" s="9" t="s">
        <v>13</v>
      </c>
      <c r="J468" s="44"/>
    </row>
    <row r="469">
      <c r="A469" s="42" t="s">
        <v>206</v>
      </c>
      <c r="B469" s="47"/>
      <c r="C469" s="9" t="s">
        <v>11</v>
      </c>
      <c r="D469" s="8" t="str">
        <f t="shared" si="1"/>
        <v>-</v>
      </c>
      <c r="E469" s="9"/>
      <c r="F469" s="10"/>
      <c r="G469" s="9"/>
      <c r="H469" s="11"/>
      <c r="I469" s="9" t="s">
        <v>13</v>
      </c>
      <c r="J469" s="44"/>
    </row>
    <row r="470">
      <c r="A470" s="42" t="s">
        <v>206</v>
      </c>
      <c r="B470" s="47"/>
      <c r="C470" s="9" t="s">
        <v>11</v>
      </c>
      <c r="D470" s="8" t="str">
        <f t="shared" si="1"/>
        <v>-</v>
      </c>
      <c r="E470" s="9"/>
      <c r="F470" s="10"/>
      <c r="G470" s="9"/>
      <c r="H470" s="11"/>
      <c r="I470" s="9" t="s">
        <v>13</v>
      </c>
      <c r="J470" s="44"/>
    </row>
    <row r="471">
      <c r="A471" s="42" t="s">
        <v>206</v>
      </c>
      <c r="B471" s="47"/>
      <c r="C471" s="9" t="s">
        <v>11</v>
      </c>
      <c r="D471" s="8" t="str">
        <f t="shared" si="1"/>
        <v>-</v>
      </c>
      <c r="E471" s="9"/>
      <c r="F471" s="10"/>
      <c r="G471" s="9"/>
      <c r="H471" s="11"/>
      <c r="I471" s="9" t="s">
        <v>13</v>
      </c>
      <c r="J471" s="44"/>
    </row>
    <row r="472">
      <c r="A472" s="42" t="s">
        <v>206</v>
      </c>
      <c r="B472" s="47"/>
      <c r="C472" s="9" t="s">
        <v>11</v>
      </c>
      <c r="D472" s="8" t="str">
        <f t="shared" si="1"/>
        <v>-</v>
      </c>
      <c r="E472" s="9"/>
      <c r="F472" s="10"/>
      <c r="G472" s="9"/>
      <c r="H472" s="11"/>
      <c r="I472" s="9" t="s">
        <v>13</v>
      </c>
      <c r="J472" s="44"/>
    </row>
    <row r="473">
      <c r="A473" s="42" t="s">
        <v>206</v>
      </c>
      <c r="B473" s="47"/>
      <c r="C473" s="9" t="s">
        <v>11</v>
      </c>
      <c r="D473" s="8" t="str">
        <f t="shared" si="1"/>
        <v>-</v>
      </c>
      <c r="E473" s="9"/>
      <c r="F473" s="10"/>
      <c r="G473" s="9"/>
      <c r="H473" s="11"/>
      <c r="I473" s="9" t="s">
        <v>13</v>
      </c>
      <c r="J473" s="44"/>
    </row>
    <row r="474">
      <c r="A474" s="42" t="s">
        <v>206</v>
      </c>
      <c r="B474" s="47"/>
      <c r="C474" s="9" t="s">
        <v>11</v>
      </c>
      <c r="D474" s="8" t="str">
        <f t="shared" si="1"/>
        <v>-</v>
      </c>
      <c r="E474" s="9"/>
      <c r="F474" s="10"/>
      <c r="G474" s="9"/>
      <c r="H474" s="11"/>
      <c r="I474" s="9" t="s">
        <v>13</v>
      </c>
      <c r="J474" s="44"/>
    </row>
    <row r="475">
      <c r="A475" s="42" t="s">
        <v>206</v>
      </c>
      <c r="B475" s="47"/>
      <c r="C475" s="9" t="s">
        <v>11</v>
      </c>
      <c r="D475" s="8" t="str">
        <f t="shared" si="1"/>
        <v>-</v>
      </c>
      <c r="E475" s="9"/>
      <c r="F475" s="10"/>
      <c r="G475" s="9"/>
      <c r="H475" s="11"/>
      <c r="I475" s="9" t="s">
        <v>13</v>
      </c>
      <c r="J475" s="44"/>
    </row>
    <row r="476">
      <c r="A476" s="42" t="s">
        <v>206</v>
      </c>
      <c r="B476" s="47"/>
      <c r="C476" s="9" t="s">
        <v>11</v>
      </c>
      <c r="D476" s="8" t="str">
        <f t="shared" si="1"/>
        <v>-</v>
      </c>
      <c r="E476" s="9"/>
      <c r="F476" s="10"/>
      <c r="G476" s="9"/>
      <c r="H476" s="11"/>
      <c r="I476" s="9" t="s">
        <v>13</v>
      </c>
      <c r="J476" s="44"/>
    </row>
    <row r="477">
      <c r="A477" s="42" t="s">
        <v>206</v>
      </c>
      <c r="B477" s="47"/>
      <c r="C477" s="9" t="s">
        <v>11</v>
      </c>
      <c r="D477" s="8" t="str">
        <f t="shared" si="1"/>
        <v>-</v>
      </c>
      <c r="E477" s="9"/>
      <c r="F477" s="10"/>
      <c r="G477" s="9"/>
      <c r="H477" s="11"/>
      <c r="I477" s="9" t="s">
        <v>13</v>
      </c>
      <c r="J477" s="44"/>
    </row>
    <row r="478">
      <c r="A478" s="42" t="s">
        <v>206</v>
      </c>
      <c r="B478" s="47"/>
      <c r="C478" s="9" t="s">
        <v>11</v>
      </c>
      <c r="D478" s="8" t="str">
        <f t="shared" si="1"/>
        <v>-</v>
      </c>
      <c r="E478" s="9"/>
      <c r="F478" s="10"/>
      <c r="G478" s="9"/>
      <c r="H478" s="11"/>
      <c r="I478" s="9" t="s">
        <v>13</v>
      </c>
      <c r="J478" s="44"/>
    </row>
    <row r="479">
      <c r="A479" s="42" t="s">
        <v>206</v>
      </c>
      <c r="B479" s="47"/>
      <c r="C479" s="9" t="s">
        <v>11</v>
      </c>
      <c r="D479" s="8" t="str">
        <f t="shared" si="1"/>
        <v>-</v>
      </c>
      <c r="E479" s="9"/>
      <c r="F479" s="10"/>
      <c r="G479" s="9"/>
      <c r="H479" s="11"/>
      <c r="I479" s="9" t="s">
        <v>13</v>
      </c>
      <c r="J479" s="44"/>
    </row>
    <row r="480">
      <c r="A480" s="42" t="s">
        <v>206</v>
      </c>
      <c r="B480" s="47"/>
      <c r="C480" s="9" t="s">
        <v>11</v>
      </c>
      <c r="D480" s="8" t="str">
        <f t="shared" si="1"/>
        <v>-</v>
      </c>
      <c r="E480" s="9"/>
      <c r="F480" s="10"/>
      <c r="G480" s="9"/>
      <c r="H480" s="11"/>
      <c r="I480" s="9" t="s">
        <v>13</v>
      </c>
      <c r="J480" s="44"/>
    </row>
    <row r="481">
      <c r="A481" s="42" t="s">
        <v>206</v>
      </c>
      <c r="B481" s="47"/>
      <c r="C481" s="9" t="s">
        <v>11</v>
      </c>
      <c r="D481" s="8" t="str">
        <f t="shared" si="1"/>
        <v>-</v>
      </c>
      <c r="E481" s="9"/>
      <c r="F481" s="10"/>
      <c r="G481" s="9"/>
      <c r="H481" s="11"/>
      <c r="I481" s="9" t="s">
        <v>13</v>
      </c>
      <c r="J481" s="44"/>
    </row>
    <row r="482">
      <c r="A482" s="42" t="s">
        <v>206</v>
      </c>
      <c r="B482" s="47"/>
      <c r="C482" s="9" t="s">
        <v>11</v>
      </c>
      <c r="D482" s="8" t="str">
        <f t="shared" si="1"/>
        <v>-</v>
      </c>
      <c r="E482" s="9"/>
      <c r="F482" s="10"/>
      <c r="G482" s="9"/>
      <c r="H482" s="11"/>
      <c r="I482" s="9" t="s">
        <v>13</v>
      </c>
      <c r="J482" s="44"/>
    </row>
    <row r="483">
      <c r="A483" s="42" t="s">
        <v>206</v>
      </c>
      <c r="B483" s="47"/>
      <c r="C483" s="9" t="s">
        <v>11</v>
      </c>
      <c r="D483" s="8" t="str">
        <f t="shared" si="1"/>
        <v>-</v>
      </c>
      <c r="E483" s="9"/>
      <c r="F483" s="10"/>
      <c r="G483" s="9"/>
      <c r="H483" s="11"/>
      <c r="I483" s="9" t="s">
        <v>13</v>
      </c>
      <c r="J483" s="44"/>
    </row>
    <row r="484">
      <c r="A484" s="42" t="s">
        <v>206</v>
      </c>
      <c r="B484" s="47"/>
      <c r="C484" s="9" t="s">
        <v>11</v>
      </c>
      <c r="D484" s="8" t="str">
        <f t="shared" si="1"/>
        <v>-</v>
      </c>
      <c r="E484" s="9"/>
      <c r="F484" s="10"/>
      <c r="G484" s="9"/>
      <c r="H484" s="11"/>
      <c r="I484" s="9" t="s">
        <v>13</v>
      </c>
      <c r="J484" s="44"/>
    </row>
    <row r="485">
      <c r="A485" s="42" t="s">
        <v>206</v>
      </c>
      <c r="B485" s="47"/>
      <c r="C485" s="9" t="s">
        <v>11</v>
      </c>
      <c r="D485" s="8" t="str">
        <f t="shared" si="1"/>
        <v>-</v>
      </c>
      <c r="E485" s="9"/>
      <c r="F485" s="10"/>
      <c r="G485" s="9"/>
      <c r="H485" s="11"/>
      <c r="I485" s="9" t="s">
        <v>13</v>
      </c>
      <c r="J485" s="44"/>
    </row>
    <row r="486">
      <c r="A486" s="42" t="s">
        <v>206</v>
      </c>
      <c r="B486" s="47"/>
      <c r="C486" s="9" t="s">
        <v>11</v>
      </c>
      <c r="D486" s="8" t="str">
        <f t="shared" si="1"/>
        <v>-</v>
      </c>
      <c r="E486" s="9"/>
      <c r="F486" s="10"/>
      <c r="G486" s="9"/>
      <c r="H486" s="11"/>
      <c r="I486" s="9" t="s">
        <v>13</v>
      </c>
      <c r="J486" s="44"/>
    </row>
    <row r="487">
      <c r="A487" s="42" t="s">
        <v>206</v>
      </c>
      <c r="B487" s="47"/>
      <c r="C487" s="9" t="s">
        <v>11</v>
      </c>
      <c r="D487" s="8" t="str">
        <f t="shared" si="1"/>
        <v>-</v>
      </c>
      <c r="E487" s="9"/>
      <c r="F487" s="10"/>
      <c r="G487" s="9"/>
      <c r="H487" s="11"/>
      <c r="I487" s="9" t="s">
        <v>13</v>
      </c>
      <c r="J487" s="44"/>
    </row>
    <row r="488">
      <c r="A488" s="42" t="s">
        <v>206</v>
      </c>
      <c r="B488" s="47"/>
      <c r="C488" s="9" t="s">
        <v>11</v>
      </c>
      <c r="D488" s="8" t="str">
        <f t="shared" si="1"/>
        <v>-</v>
      </c>
      <c r="E488" s="9"/>
      <c r="F488" s="10"/>
      <c r="G488" s="9"/>
      <c r="H488" s="11"/>
      <c r="I488" s="9" t="s">
        <v>13</v>
      </c>
      <c r="J488" s="44"/>
    </row>
    <row r="489">
      <c r="A489" s="42" t="s">
        <v>206</v>
      </c>
      <c r="B489" s="47"/>
      <c r="C489" s="9" t="s">
        <v>11</v>
      </c>
      <c r="D489" s="8" t="str">
        <f t="shared" si="1"/>
        <v>-</v>
      </c>
      <c r="E489" s="9"/>
      <c r="F489" s="10"/>
      <c r="G489" s="9"/>
      <c r="H489" s="11"/>
      <c r="I489" s="9" t="s">
        <v>13</v>
      </c>
      <c r="J489" s="44"/>
    </row>
    <row r="490">
      <c r="A490" s="42" t="s">
        <v>206</v>
      </c>
      <c r="B490" s="47"/>
      <c r="C490" s="9" t="s">
        <v>11</v>
      </c>
      <c r="D490" s="8" t="str">
        <f t="shared" si="1"/>
        <v>-</v>
      </c>
      <c r="E490" s="9"/>
      <c r="F490" s="10"/>
      <c r="G490" s="9"/>
      <c r="H490" s="11"/>
      <c r="I490" s="9" t="s">
        <v>13</v>
      </c>
      <c r="J490" s="44"/>
    </row>
    <row r="491">
      <c r="A491" s="42" t="s">
        <v>206</v>
      </c>
      <c r="B491" s="47"/>
      <c r="C491" s="9" t="s">
        <v>11</v>
      </c>
      <c r="D491" s="8" t="str">
        <f t="shared" si="1"/>
        <v>-</v>
      </c>
      <c r="E491" s="9"/>
      <c r="F491" s="10"/>
      <c r="G491" s="9"/>
      <c r="H491" s="11"/>
      <c r="I491" s="9" t="s">
        <v>13</v>
      </c>
      <c r="J491" s="44"/>
    </row>
    <row r="492">
      <c r="A492" s="42" t="s">
        <v>206</v>
      </c>
      <c r="B492" s="47"/>
      <c r="C492" s="9" t="s">
        <v>11</v>
      </c>
      <c r="D492" s="8" t="str">
        <f t="shared" si="1"/>
        <v>-</v>
      </c>
      <c r="E492" s="9"/>
      <c r="F492" s="10"/>
      <c r="G492" s="9"/>
      <c r="H492" s="11"/>
      <c r="I492" s="9" t="s">
        <v>13</v>
      </c>
      <c r="J492" s="44"/>
    </row>
    <row r="493">
      <c r="A493" s="42" t="s">
        <v>206</v>
      </c>
      <c r="B493" s="47"/>
      <c r="C493" s="9" t="s">
        <v>11</v>
      </c>
      <c r="D493" s="8" t="str">
        <f t="shared" si="1"/>
        <v>-</v>
      </c>
      <c r="E493" s="9"/>
      <c r="F493" s="10"/>
      <c r="G493" s="9"/>
      <c r="H493" s="11"/>
      <c r="I493" s="9" t="s">
        <v>13</v>
      </c>
      <c r="J493" s="44"/>
    </row>
    <row r="494">
      <c r="A494" s="42" t="s">
        <v>206</v>
      </c>
      <c r="B494" s="47"/>
      <c r="C494" s="9" t="s">
        <v>11</v>
      </c>
      <c r="D494" s="8" t="str">
        <f t="shared" si="1"/>
        <v>-</v>
      </c>
      <c r="E494" s="9"/>
      <c r="F494" s="10"/>
      <c r="G494" s="9"/>
      <c r="H494" s="11"/>
      <c r="I494" s="9" t="s">
        <v>13</v>
      </c>
      <c r="J494" s="44"/>
    </row>
    <row r="495">
      <c r="A495" s="42" t="s">
        <v>206</v>
      </c>
      <c r="B495" s="47"/>
      <c r="C495" s="9" t="s">
        <v>11</v>
      </c>
      <c r="D495" s="8" t="str">
        <f t="shared" si="1"/>
        <v>-</v>
      </c>
      <c r="E495" s="9"/>
      <c r="F495" s="10"/>
      <c r="G495" s="9"/>
      <c r="H495" s="11"/>
      <c r="I495" s="9" t="s">
        <v>13</v>
      </c>
      <c r="J495" s="44"/>
    </row>
    <row r="496">
      <c r="A496" s="42" t="s">
        <v>206</v>
      </c>
      <c r="B496" s="47"/>
      <c r="C496" s="9" t="s">
        <v>11</v>
      </c>
      <c r="D496" s="8" t="str">
        <f t="shared" si="1"/>
        <v>-</v>
      </c>
      <c r="E496" s="9"/>
      <c r="F496" s="10"/>
      <c r="G496" s="9"/>
      <c r="H496" s="11"/>
      <c r="I496" s="9" t="s">
        <v>13</v>
      </c>
      <c r="J496" s="44"/>
    </row>
    <row r="497">
      <c r="A497" s="42" t="s">
        <v>206</v>
      </c>
      <c r="B497" s="47"/>
      <c r="C497" s="9" t="s">
        <v>11</v>
      </c>
      <c r="D497" s="8" t="str">
        <f t="shared" si="1"/>
        <v>-</v>
      </c>
      <c r="E497" s="9"/>
      <c r="F497" s="10"/>
      <c r="G497" s="9"/>
      <c r="H497" s="11"/>
      <c r="I497" s="9" t="s">
        <v>13</v>
      </c>
      <c r="J497" s="44"/>
    </row>
    <row r="498">
      <c r="A498" s="42" t="s">
        <v>206</v>
      </c>
      <c r="B498" s="47"/>
      <c r="C498" s="9" t="s">
        <v>11</v>
      </c>
      <c r="D498" s="8" t="str">
        <f t="shared" si="1"/>
        <v>-</v>
      </c>
      <c r="E498" s="9"/>
      <c r="F498" s="10"/>
      <c r="G498" s="9"/>
      <c r="H498" s="11"/>
      <c r="I498" s="9" t="s">
        <v>13</v>
      </c>
      <c r="J498" s="44"/>
    </row>
    <row r="499">
      <c r="A499" s="42" t="s">
        <v>206</v>
      </c>
      <c r="B499" s="47"/>
      <c r="C499" s="9" t="s">
        <v>11</v>
      </c>
      <c r="D499" s="8" t="str">
        <f t="shared" si="1"/>
        <v>-</v>
      </c>
      <c r="E499" s="9"/>
      <c r="F499" s="10"/>
      <c r="G499" s="9"/>
      <c r="H499" s="11"/>
      <c r="I499" s="9" t="s">
        <v>13</v>
      </c>
      <c r="J499" s="44"/>
    </row>
    <row r="500">
      <c r="A500" s="42" t="s">
        <v>206</v>
      </c>
      <c r="B500" s="47"/>
      <c r="C500" s="9" t="s">
        <v>11</v>
      </c>
      <c r="D500" s="8" t="str">
        <f t="shared" si="1"/>
        <v>-</v>
      </c>
      <c r="E500" s="9"/>
      <c r="F500" s="10"/>
      <c r="G500" s="9"/>
      <c r="H500" s="11"/>
      <c r="I500" s="9" t="s">
        <v>13</v>
      </c>
      <c r="J500" s="44"/>
    </row>
    <row r="501">
      <c r="A501" s="42" t="s">
        <v>206</v>
      </c>
      <c r="B501" s="47"/>
      <c r="C501" s="9" t="s">
        <v>11</v>
      </c>
      <c r="D501" s="8" t="str">
        <f t="shared" si="1"/>
        <v>-</v>
      </c>
      <c r="E501" s="9"/>
      <c r="F501" s="10"/>
      <c r="G501" s="9"/>
      <c r="H501" s="11"/>
      <c r="I501" s="9" t="s">
        <v>13</v>
      </c>
      <c r="J501" s="44"/>
    </row>
    <row r="502">
      <c r="A502" s="42" t="s">
        <v>206</v>
      </c>
      <c r="B502" s="47"/>
      <c r="C502" s="9" t="s">
        <v>11</v>
      </c>
      <c r="D502" s="8" t="str">
        <f t="shared" si="1"/>
        <v>-</v>
      </c>
      <c r="E502" s="9"/>
      <c r="F502" s="10"/>
      <c r="G502" s="9"/>
      <c r="H502" s="11"/>
      <c r="I502" s="9" t="s">
        <v>13</v>
      </c>
      <c r="J502" s="44"/>
    </row>
    <row r="503">
      <c r="A503" s="42" t="s">
        <v>206</v>
      </c>
      <c r="B503" s="47"/>
      <c r="C503" s="9" t="s">
        <v>11</v>
      </c>
      <c r="D503" s="8" t="str">
        <f t="shared" si="1"/>
        <v>-</v>
      </c>
      <c r="E503" s="9"/>
      <c r="F503" s="10"/>
      <c r="G503" s="9"/>
      <c r="H503" s="11"/>
      <c r="I503" s="9" t="s">
        <v>13</v>
      </c>
      <c r="J503" s="44"/>
    </row>
    <row r="504">
      <c r="A504" s="42" t="s">
        <v>206</v>
      </c>
      <c r="B504" s="47"/>
      <c r="C504" s="9" t="s">
        <v>11</v>
      </c>
      <c r="D504" s="8" t="str">
        <f t="shared" si="1"/>
        <v>-</v>
      </c>
      <c r="E504" s="9"/>
      <c r="F504" s="10"/>
      <c r="G504" s="9"/>
      <c r="H504" s="11"/>
      <c r="I504" s="9" t="s">
        <v>13</v>
      </c>
      <c r="J504" s="44"/>
    </row>
    <row r="505">
      <c r="A505" s="42" t="s">
        <v>206</v>
      </c>
      <c r="B505" s="47"/>
      <c r="C505" s="9" t="s">
        <v>11</v>
      </c>
      <c r="D505" s="8" t="str">
        <f t="shared" si="1"/>
        <v>-</v>
      </c>
      <c r="E505" s="9"/>
      <c r="F505" s="10"/>
      <c r="G505" s="9"/>
      <c r="H505" s="11"/>
      <c r="I505" s="9" t="s">
        <v>13</v>
      </c>
      <c r="J505" s="44"/>
    </row>
    <row r="506">
      <c r="A506" s="42" t="s">
        <v>206</v>
      </c>
      <c r="B506" s="47"/>
      <c r="C506" s="9" t="s">
        <v>11</v>
      </c>
      <c r="D506" s="8" t="str">
        <f t="shared" si="1"/>
        <v>-</v>
      </c>
      <c r="E506" s="9"/>
      <c r="F506" s="10"/>
      <c r="G506" s="9"/>
      <c r="H506" s="11"/>
      <c r="I506" s="9" t="s">
        <v>13</v>
      </c>
      <c r="J506" s="44"/>
    </row>
    <row r="507">
      <c r="A507" s="42" t="s">
        <v>206</v>
      </c>
      <c r="B507" s="47"/>
      <c r="C507" s="9" t="s">
        <v>11</v>
      </c>
      <c r="D507" s="8" t="str">
        <f t="shared" si="1"/>
        <v>-</v>
      </c>
      <c r="E507" s="9"/>
      <c r="F507" s="10"/>
      <c r="G507" s="9"/>
      <c r="H507" s="11"/>
      <c r="I507" s="9" t="s">
        <v>13</v>
      </c>
      <c r="J507" s="44"/>
    </row>
    <row r="508">
      <c r="A508" s="42" t="s">
        <v>206</v>
      </c>
      <c r="B508" s="47"/>
      <c r="C508" s="9" t="s">
        <v>11</v>
      </c>
      <c r="D508" s="8" t="str">
        <f t="shared" si="1"/>
        <v>-</v>
      </c>
      <c r="E508" s="9"/>
      <c r="F508" s="10"/>
      <c r="G508" s="9"/>
      <c r="H508" s="11"/>
      <c r="I508" s="9" t="s">
        <v>13</v>
      </c>
      <c r="J508" s="44"/>
    </row>
    <row r="509">
      <c r="A509" s="42" t="s">
        <v>206</v>
      </c>
      <c r="B509" s="47"/>
      <c r="C509" s="9" t="s">
        <v>11</v>
      </c>
      <c r="D509" s="8" t="str">
        <f t="shared" si="1"/>
        <v>-</v>
      </c>
      <c r="E509" s="9"/>
      <c r="F509" s="10"/>
      <c r="G509" s="9"/>
      <c r="H509" s="11"/>
      <c r="I509" s="9" t="s">
        <v>13</v>
      </c>
      <c r="J509" s="44"/>
    </row>
    <row r="510">
      <c r="A510" s="42" t="s">
        <v>206</v>
      </c>
      <c r="B510" s="47"/>
      <c r="C510" s="9" t="s">
        <v>11</v>
      </c>
      <c r="D510" s="8" t="str">
        <f t="shared" si="1"/>
        <v>-</v>
      </c>
      <c r="E510" s="9"/>
      <c r="F510" s="10"/>
      <c r="G510" s="9"/>
      <c r="H510" s="11"/>
      <c r="I510" s="9" t="s">
        <v>13</v>
      </c>
      <c r="J510" s="44"/>
    </row>
    <row r="511">
      <c r="A511" s="42" t="s">
        <v>206</v>
      </c>
      <c r="B511" s="47"/>
      <c r="C511" s="9" t="s">
        <v>11</v>
      </c>
      <c r="D511" s="8" t="str">
        <f t="shared" si="1"/>
        <v>-</v>
      </c>
      <c r="E511" s="9"/>
      <c r="F511" s="10"/>
      <c r="G511" s="9"/>
      <c r="H511" s="11"/>
      <c r="I511" s="9" t="s">
        <v>13</v>
      </c>
      <c r="J511" s="44"/>
    </row>
    <row r="512">
      <c r="A512" s="42" t="s">
        <v>206</v>
      </c>
      <c r="B512" s="47"/>
      <c r="C512" s="9" t="s">
        <v>11</v>
      </c>
      <c r="D512" s="8" t="str">
        <f t="shared" si="1"/>
        <v>-</v>
      </c>
      <c r="E512" s="9"/>
      <c r="F512" s="10"/>
      <c r="G512" s="9"/>
      <c r="H512" s="11"/>
      <c r="I512" s="9" t="s">
        <v>13</v>
      </c>
      <c r="J512" s="44"/>
    </row>
    <row r="513">
      <c r="A513" s="42" t="s">
        <v>206</v>
      </c>
      <c r="B513" s="47"/>
      <c r="C513" s="9" t="s">
        <v>11</v>
      </c>
      <c r="D513" s="8" t="str">
        <f t="shared" si="1"/>
        <v>-</v>
      </c>
      <c r="E513" s="9"/>
      <c r="F513" s="10"/>
      <c r="G513" s="9"/>
      <c r="H513" s="11"/>
      <c r="I513" s="9" t="s">
        <v>13</v>
      </c>
      <c r="J513" s="44"/>
    </row>
    <row r="514">
      <c r="A514" s="42" t="s">
        <v>206</v>
      </c>
      <c r="B514" s="47"/>
      <c r="C514" s="9" t="s">
        <v>11</v>
      </c>
      <c r="D514" s="8" t="str">
        <f t="shared" si="1"/>
        <v>-</v>
      </c>
      <c r="E514" s="9"/>
      <c r="F514" s="10"/>
      <c r="G514" s="9"/>
      <c r="H514" s="11"/>
      <c r="I514" s="9" t="s">
        <v>13</v>
      </c>
      <c r="J514" s="44"/>
    </row>
    <row r="515">
      <c r="A515" s="42" t="s">
        <v>206</v>
      </c>
      <c r="B515" s="47"/>
      <c r="C515" s="9" t="s">
        <v>11</v>
      </c>
      <c r="D515" s="8" t="str">
        <f t="shared" si="1"/>
        <v>-</v>
      </c>
      <c r="E515" s="9"/>
      <c r="F515" s="10"/>
      <c r="G515" s="9"/>
      <c r="H515" s="11"/>
      <c r="I515" s="9" t="s">
        <v>13</v>
      </c>
      <c r="J515" s="44"/>
    </row>
    <row r="516">
      <c r="A516" s="42" t="s">
        <v>206</v>
      </c>
      <c r="B516" s="47"/>
      <c r="C516" s="9" t="s">
        <v>11</v>
      </c>
      <c r="D516" s="8" t="str">
        <f t="shared" si="1"/>
        <v>-</v>
      </c>
      <c r="E516" s="9"/>
      <c r="F516" s="10"/>
      <c r="G516" s="9"/>
      <c r="H516" s="11"/>
      <c r="I516" s="9" t="s">
        <v>13</v>
      </c>
      <c r="J516" s="44"/>
    </row>
    <row r="517">
      <c r="A517" s="42" t="s">
        <v>206</v>
      </c>
      <c r="B517" s="47"/>
      <c r="C517" s="9" t="s">
        <v>11</v>
      </c>
      <c r="D517" s="8" t="str">
        <f t="shared" si="1"/>
        <v>-</v>
      </c>
      <c r="E517" s="9"/>
      <c r="F517" s="10"/>
      <c r="G517" s="9"/>
      <c r="H517" s="11"/>
      <c r="I517" s="9" t="s">
        <v>13</v>
      </c>
      <c r="J517" s="44"/>
    </row>
    <row r="518">
      <c r="A518" s="42" t="s">
        <v>206</v>
      </c>
      <c r="B518" s="47"/>
      <c r="C518" s="9" t="s">
        <v>11</v>
      </c>
      <c r="D518" s="8" t="str">
        <f t="shared" si="1"/>
        <v>-</v>
      </c>
      <c r="E518" s="9"/>
      <c r="F518" s="10"/>
      <c r="G518" s="9"/>
      <c r="H518" s="11"/>
      <c r="I518" s="9" t="s">
        <v>13</v>
      </c>
      <c r="J518" s="44"/>
    </row>
    <row r="519">
      <c r="A519" s="42" t="s">
        <v>206</v>
      </c>
      <c r="B519" s="47"/>
      <c r="C519" s="9" t="s">
        <v>11</v>
      </c>
      <c r="D519" s="8" t="str">
        <f t="shared" si="1"/>
        <v>-</v>
      </c>
      <c r="E519" s="9"/>
      <c r="F519" s="10"/>
      <c r="G519" s="9"/>
      <c r="H519" s="11"/>
      <c r="I519" s="9" t="s">
        <v>13</v>
      </c>
      <c r="J519" s="44"/>
    </row>
    <row r="520">
      <c r="A520" s="42" t="s">
        <v>206</v>
      </c>
      <c r="B520" s="47"/>
      <c r="C520" s="9" t="s">
        <v>11</v>
      </c>
      <c r="D520" s="8" t="str">
        <f t="shared" si="1"/>
        <v>-</v>
      </c>
      <c r="E520" s="9"/>
      <c r="F520" s="10"/>
      <c r="G520" s="9"/>
      <c r="H520" s="11"/>
      <c r="I520" s="9" t="s">
        <v>13</v>
      </c>
      <c r="J520" s="44"/>
    </row>
    <row r="521">
      <c r="A521" s="42" t="s">
        <v>206</v>
      </c>
      <c r="B521" s="47"/>
      <c r="C521" s="9" t="s">
        <v>11</v>
      </c>
      <c r="D521" s="8" t="str">
        <f t="shared" si="1"/>
        <v>-</v>
      </c>
      <c r="E521" s="9"/>
      <c r="F521" s="10"/>
      <c r="G521" s="9"/>
      <c r="H521" s="11"/>
      <c r="I521" s="9" t="s">
        <v>13</v>
      </c>
      <c r="J521" s="44"/>
    </row>
    <row r="522">
      <c r="A522" s="42" t="s">
        <v>206</v>
      </c>
      <c r="B522" s="47"/>
      <c r="C522" s="9" t="s">
        <v>11</v>
      </c>
      <c r="D522" s="8" t="str">
        <f t="shared" si="1"/>
        <v>-</v>
      </c>
      <c r="E522" s="9"/>
      <c r="F522" s="10"/>
      <c r="G522" s="9"/>
      <c r="H522" s="11"/>
      <c r="I522" s="9" t="s">
        <v>13</v>
      </c>
      <c r="J522" s="44"/>
    </row>
    <row r="523">
      <c r="A523" s="42" t="s">
        <v>206</v>
      </c>
      <c r="B523" s="47"/>
      <c r="C523" s="9" t="s">
        <v>11</v>
      </c>
      <c r="D523" s="8" t="str">
        <f t="shared" si="1"/>
        <v>-</v>
      </c>
      <c r="E523" s="9"/>
      <c r="F523" s="10"/>
      <c r="G523" s="9"/>
      <c r="H523" s="11"/>
      <c r="I523" s="9" t="s">
        <v>13</v>
      </c>
      <c r="J523" s="44"/>
    </row>
    <row r="524">
      <c r="A524" s="42" t="s">
        <v>206</v>
      </c>
      <c r="B524" s="47"/>
      <c r="C524" s="9" t="s">
        <v>11</v>
      </c>
      <c r="D524" s="8" t="str">
        <f t="shared" si="1"/>
        <v>-</v>
      </c>
      <c r="E524" s="9"/>
      <c r="F524" s="10"/>
      <c r="G524" s="9"/>
      <c r="H524" s="11"/>
      <c r="I524" s="9" t="s">
        <v>13</v>
      </c>
      <c r="J524" s="44"/>
    </row>
    <row r="525">
      <c r="A525" s="42" t="s">
        <v>206</v>
      </c>
      <c r="B525" s="47"/>
      <c r="C525" s="9" t="s">
        <v>11</v>
      </c>
      <c r="D525" s="8" t="str">
        <f t="shared" si="1"/>
        <v>-</v>
      </c>
      <c r="E525" s="9"/>
      <c r="F525" s="10"/>
      <c r="G525" s="9"/>
      <c r="H525" s="11"/>
      <c r="I525" s="9" t="s">
        <v>13</v>
      </c>
      <c r="J525" s="44"/>
    </row>
    <row r="526">
      <c r="A526" s="42" t="s">
        <v>206</v>
      </c>
      <c r="B526" s="47"/>
      <c r="C526" s="9" t="s">
        <v>11</v>
      </c>
      <c r="D526" s="8" t="str">
        <f t="shared" si="1"/>
        <v>-</v>
      </c>
      <c r="E526" s="9"/>
      <c r="F526" s="10"/>
      <c r="G526" s="9"/>
      <c r="H526" s="11"/>
      <c r="I526" s="9" t="s">
        <v>13</v>
      </c>
      <c r="J526" s="44"/>
    </row>
    <row r="527">
      <c r="A527" s="42" t="s">
        <v>206</v>
      </c>
      <c r="B527" s="47"/>
      <c r="C527" s="9" t="s">
        <v>11</v>
      </c>
      <c r="D527" s="8" t="str">
        <f t="shared" si="1"/>
        <v>-</v>
      </c>
      <c r="E527" s="9"/>
      <c r="F527" s="10"/>
      <c r="G527" s="9"/>
      <c r="H527" s="11"/>
      <c r="I527" s="9" t="s">
        <v>13</v>
      </c>
      <c r="J527" s="44"/>
    </row>
    <row r="528">
      <c r="A528" s="42" t="s">
        <v>206</v>
      </c>
      <c r="B528" s="47"/>
      <c r="C528" s="9" t="s">
        <v>11</v>
      </c>
      <c r="D528" s="8" t="str">
        <f t="shared" si="1"/>
        <v>-</v>
      </c>
      <c r="E528" s="9"/>
      <c r="F528" s="10"/>
      <c r="G528" s="9"/>
      <c r="H528" s="11"/>
      <c r="I528" s="9" t="s">
        <v>13</v>
      </c>
      <c r="J528" s="44"/>
    </row>
    <row r="529">
      <c r="A529" s="42" t="s">
        <v>206</v>
      </c>
      <c r="B529" s="47"/>
      <c r="C529" s="9" t="s">
        <v>11</v>
      </c>
      <c r="D529" s="8" t="str">
        <f t="shared" si="1"/>
        <v>-</v>
      </c>
      <c r="E529" s="9"/>
      <c r="F529" s="10"/>
      <c r="G529" s="9"/>
      <c r="H529" s="11"/>
      <c r="I529" s="9" t="s">
        <v>13</v>
      </c>
      <c r="J529" s="44"/>
    </row>
    <row r="530">
      <c r="A530" s="42" t="s">
        <v>206</v>
      </c>
      <c r="B530" s="47"/>
      <c r="C530" s="9" t="s">
        <v>11</v>
      </c>
      <c r="D530" s="8" t="str">
        <f t="shared" si="1"/>
        <v>-</v>
      </c>
      <c r="E530" s="9"/>
      <c r="F530" s="10"/>
      <c r="G530" s="9"/>
      <c r="H530" s="11"/>
      <c r="I530" s="9" t="s">
        <v>13</v>
      </c>
      <c r="J530" s="44"/>
    </row>
    <row r="531">
      <c r="A531" s="42" t="s">
        <v>206</v>
      </c>
      <c r="B531" s="47"/>
      <c r="C531" s="9" t="s">
        <v>11</v>
      </c>
      <c r="D531" s="8" t="str">
        <f t="shared" si="1"/>
        <v>-</v>
      </c>
      <c r="E531" s="9"/>
      <c r="F531" s="10"/>
      <c r="G531" s="9"/>
      <c r="H531" s="11"/>
      <c r="I531" s="9" t="s">
        <v>13</v>
      </c>
      <c r="J531" s="44"/>
    </row>
    <row r="532">
      <c r="A532" s="42" t="s">
        <v>206</v>
      </c>
      <c r="B532" s="47"/>
      <c r="C532" s="9" t="s">
        <v>11</v>
      </c>
      <c r="D532" s="8" t="str">
        <f t="shared" si="1"/>
        <v>-</v>
      </c>
      <c r="E532" s="9"/>
      <c r="F532" s="10"/>
      <c r="G532" s="9"/>
      <c r="H532" s="11"/>
      <c r="I532" s="9" t="s">
        <v>13</v>
      </c>
      <c r="J532" s="44"/>
    </row>
    <row r="533">
      <c r="A533" s="42" t="s">
        <v>206</v>
      </c>
      <c r="B533" s="47"/>
      <c r="C533" s="9" t="s">
        <v>11</v>
      </c>
      <c r="D533" s="8" t="str">
        <f t="shared" si="1"/>
        <v>-</v>
      </c>
      <c r="E533" s="9"/>
      <c r="F533" s="10"/>
      <c r="G533" s="9"/>
      <c r="H533" s="11"/>
      <c r="I533" s="9" t="s">
        <v>13</v>
      </c>
      <c r="J533" s="44"/>
    </row>
    <row r="534">
      <c r="A534" s="42" t="s">
        <v>206</v>
      </c>
      <c r="B534" s="47"/>
      <c r="C534" s="9" t="s">
        <v>11</v>
      </c>
      <c r="D534" s="8" t="str">
        <f t="shared" si="1"/>
        <v>-</v>
      </c>
      <c r="E534" s="9"/>
      <c r="F534" s="10"/>
      <c r="G534" s="9"/>
      <c r="H534" s="11"/>
      <c r="I534" s="9" t="s">
        <v>13</v>
      </c>
      <c r="J534" s="44"/>
    </row>
    <row r="535">
      <c r="A535" s="42" t="s">
        <v>206</v>
      </c>
      <c r="B535" s="47"/>
      <c r="C535" s="9" t="s">
        <v>11</v>
      </c>
      <c r="D535" s="8" t="str">
        <f t="shared" si="1"/>
        <v>-</v>
      </c>
      <c r="E535" s="9"/>
      <c r="F535" s="10"/>
      <c r="G535" s="9"/>
      <c r="H535" s="11"/>
      <c r="I535" s="9" t="s">
        <v>13</v>
      </c>
      <c r="J535" s="44"/>
    </row>
    <row r="536">
      <c r="A536" s="42" t="s">
        <v>206</v>
      </c>
      <c r="B536" s="47"/>
      <c r="C536" s="9" t="s">
        <v>11</v>
      </c>
      <c r="D536" s="8" t="str">
        <f t="shared" si="1"/>
        <v>-</v>
      </c>
      <c r="E536" s="9"/>
      <c r="F536" s="10"/>
      <c r="G536" s="9"/>
      <c r="H536" s="11"/>
      <c r="I536" s="9" t="s">
        <v>13</v>
      </c>
      <c r="J536" s="44"/>
    </row>
    <row r="537">
      <c r="A537" s="42" t="s">
        <v>206</v>
      </c>
      <c r="B537" s="47"/>
      <c r="C537" s="9" t="s">
        <v>11</v>
      </c>
      <c r="D537" s="8" t="str">
        <f t="shared" si="1"/>
        <v>-</v>
      </c>
      <c r="E537" s="9"/>
      <c r="F537" s="10"/>
      <c r="G537" s="9"/>
      <c r="H537" s="11"/>
      <c r="I537" s="9" t="s">
        <v>13</v>
      </c>
      <c r="J537" s="44"/>
    </row>
    <row r="538">
      <c r="A538" s="42" t="s">
        <v>206</v>
      </c>
      <c r="B538" s="47"/>
      <c r="C538" s="9" t="s">
        <v>11</v>
      </c>
      <c r="D538" s="8" t="str">
        <f t="shared" si="1"/>
        <v>-</v>
      </c>
      <c r="E538" s="9"/>
      <c r="F538" s="10"/>
      <c r="G538" s="9"/>
      <c r="H538" s="11"/>
      <c r="I538" s="9" t="s">
        <v>13</v>
      </c>
      <c r="J538" s="44"/>
    </row>
    <row r="539">
      <c r="A539" s="42" t="s">
        <v>206</v>
      </c>
      <c r="B539" s="47"/>
      <c r="C539" s="9" t="s">
        <v>11</v>
      </c>
      <c r="D539" s="8" t="str">
        <f t="shared" si="1"/>
        <v>-</v>
      </c>
      <c r="E539" s="9"/>
      <c r="F539" s="10"/>
      <c r="G539" s="9"/>
      <c r="H539" s="11"/>
      <c r="I539" s="9" t="s">
        <v>13</v>
      </c>
      <c r="J539" s="44"/>
    </row>
    <row r="540">
      <c r="A540" s="42" t="s">
        <v>206</v>
      </c>
      <c r="B540" s="47"/>
      <c r="C540" s="9" t="s">
        <v>11</v>
      </c>
      <c r="D540" s="8" t="str">
        <f t="shared" si="1"/>
        <v>-</v>
      </c>
      <c r="E540" s="9"/>
      <c r="F540" s="10"/>
      <c r="G540" s="9"/>
      <c r="H540" s="11"/>
      <c r="I540" s="9" t="s">
        <v>13</v>
      </c>
      <c r="J540" s="44"/>
    </row>
    <row r="541">
      <c r="A541" s="42" t="s">
        <v>206</v>
      </c>
      <c r="B541" s="47"/>
      <c r="C541" s="9" t="s">
        <v>11</v>
      </c>
      <c r="D541" s="8" t="str">
        <f t="shared" si="1"/>
        <v>-</v>
      </c>
      <c r="E541" s="9"/>
      <c r="F541" s="10"/>
      <c r="G541" s="9"/>
      <c r="H541" s="11"/>
      <c r="I541" s="9" t="s">
        <v>13</v>
      </c>
      <c r="J541" s="44"/>
    </row>
    <row r="542">
      <c r="A542" s="42" t="s">
        <v>206</v>
      </c>
      <c r="B542" s="47"/>
      <c r="C542" s="9" t="s">
        <v>11</v>
      </c>
      <c r="D542" s="8" t="str">
        <f t="shared" si="1"/>
        <v>-</v>
      </c>
      <c r="E542" s="9"/>
      <c r="F542" s="10"/>
      <c r="G542" s="9"/>
      <c r="H542" s="11"/>
      <c r="I542" s="9" t="s">
        <v>13</v>
      </c>
      <c r="J542" s="44"/>
    </row>
    <row r="543">
      <c r="A543" s="42" t="s">
        <v>206</v>
      </c>
      <c r="B543" s="47"/>
      <c r="C543" s="9" t="s">
        <v>11</v>
      </c>
      <c r="D543" s="8" t="str">
        <f t="shared" si="1"/>
        <v>-</v>
      </c>
      <c r="E543" s="9"/>
      <c r="F543" s="10"/>
      <c r="G543" s="9"/>
      <c r="H543" s="11"/>
      <c r="I543" s="9" t="s">
        <v>13</v>
      </c>
      <c r="J543" s="44"/>
    </row>
    <row r="544">
      <c r="A544" s="42" t="s">
        <v>206</v>
      </c>
      <c r="B544" s="47"/>
      <c r="C544" s="9" t="s">
        <v>11</v>
      </c>
      <c r="D544" s="8" t="str">
        <f t="shared" si="1"/>
        <v>-</v>
      </c>
      <c r="E544" s="9"/>
      <c r="F544" s="10"/>
      <c r="G544" s="9"/>
      <c r="H544" s="11"/>
      <c r="I544" s="9" t="s">
        <v>13</v>
      </c>
      <c r="J544" s="44"/>
    </row>
    <row r="545">
      <c r="A545" s="42" t="s">
        <v>206</v>
      </c>
      <c r="B545" s="47"/>
      <c r="C545" s="9" t="s">
        <v>11</v>
      </c>
      <c r="D545" s="8" t="str">
        <f t="shared" si="1"/>
        <v>-</v>
      </c>
      <c r="E545" s="9"/>
      <c r="F545" s="10"/>
      <c r="G545" s="9"/>
      <c r="H545" s="11"/>
      <c r="I545" s="9" t="s">
        <v>13</v>
      </c>
      <c r="J545" s="44"/>
    </row>
    <row r="546">
      <c r="A546" s="42" t="s">
        <v>206</v>
      </c>
      <c r="B546" s="47"/>
      <c r="C546" s="9" t="s">
        <v>11</v>
      </c>
      <c r="D546" s="8" t="str">
        <f t="shared" si="1"/>
        <v>-</v>
      </c>
      <c r="E546" s="9"/>
      <c r="F546" s="10"/>
      <c r="G546" s="9"/>
      <c r="H546" s="11"/>
      <c r="I546" s="9" t="s">
        <v>13</v>
      </c>
      <c r="J546" s="44"/>
    </row>
    <row r="547">
      <c r="A547" s="42" t="s">
        <v>206</v>
      </c>
      <c r="B547" s="47"/>
      <c r="C547" s="9" t="s">
        <v>11</v>
      </c>
      <c r="D547" s="8" t="str">
        <f t="shared" si="1"/>
        <v>-</v>
      </c>
      <c r="E547" s="9"/>
      <c r="F547" s="10"/>
      <c r="G547" s="9"/>
      <c r="H547" s="11"/>
      <c r="I547" s="9" t="s">
        <v>13</v>
      </c>
      <c r="J547" s="44"/>
    </row>
    <row r="548">
      <c r="A548" s="42" t="s">
        <v>206</v>
      </c>
      <c r="B548" s="47"/>
      <c r="C548" s="9" t="s">
        <v>11</v>
      </c>
      <c r="D548" s="8" t="str">
        <f t="shared" si="1"/>
        <v>-</v>
      </c>
      <c r="E548" s="9"/>
      <c r="F548" s="10"/>
      <c r="G548" s="9"/>
      <c r="H548" s="11"/>
      <c r="I548" s="9" t="s">
        <v>13</v>
      </c>
      <c r="J548" s="44"/>
    </row>
    <row r="549">
      <c r="A549" s="42" t="s">
        <v>206</v>
      </c>
      <c r="B549" s="47"/>
      <c r="C549" s="9" t="s">
        <v>11</v>
      </c>
      <c r="D549" s="8" t="str">
        <f t="shared" si="1"/>
        <v>-</v>
      </c>
      <c r="E549" s="9"/>
      <c r="F549" s="10"/>
      <c r="G549" s="9"/>
      <c r="H549" s="11"/>
      <c r="I549" s="9" t="s">
        <v>13</v>
      </c>
      <c r="J549" s="44"/>
    </row>
    <row r="550">
      <c r="A550" s="42" t="s">
        <v>206</v>
      </c>
      <c r="B550" s="47"/>
      <c r="C550" s="9" t="s">
        <v>11</v>
      </c>
      <c r="D550" s="8" t="str">
        <f t="shared" si="1"/>
        <v>-</v>
      </c>
      <c r="E550" s="9"/>
      <c r="F550" s="10"/>
      <c r="G550" s="9"/>
      <c r="H550" s="11"/>
      <c r="I550" s="9" t="s">
        <v>13</v>
      </c>
      <c r="J550" s="44"/>
    </row>
    <row r="551">
      <c r="A551" s="42" t="s">
        <v>206</v>
      </c>
      <c r="B551" s="47"/>
      <c r="C551" s="9" t="s">
        <v>11</v>
      </c>
      <c r="D551" s="8" t="str">
        <f t="shared" si="1"/>
        <v>-</v>
      </c>
      <c r="E551" s="9"/>
      <c r="F551" s="10"/>
      <c r="G551" s="9"/>
      <c r="H551" s="11"/>
      <c r="I551" s="9" t="s">
        <v>13</v>
      </c>
      <c r="J551" s="44"/>
    </row>
    <row r="552">
      <c r="A552" s="42" t="s">
        <v>206</v>
      </c>
      <c r="B552" s="47"/>
      <c r="C552" s="9" t="s">
        <v>11</v>
      </c>
      <c r="D552" s="8" t="str">
        <f t="shared" si="1"/>
        <v>-</v>
      </c>
      <c r="E552" s="9"/>
      <c r="F552" s="10"/>
      <c r="G552" s="9"/>
      <c r="H552" s="11"/>
      <c r="I552" s="9" t="s">
        <v>13</v>
      </c>
      <c r="J552" s="44"/>
    </row>
    <row r="553">
      <c r="A553" s="42" t="s">
        <v>206</v>
      </c>
      <c r="B553" s="47"/>
      <c r="C553" s="9" t="s">
        <v>11</v>
      </c>
      <c r="D553" s="8" t="str">
        <f t="shared" si="1"/>
        <v>-</v>
      </c>
      <c r="E553" s="9"/>
      <c r="F553" s="10"/>
      <c r="G553" s="9"/>
      <c r="H553" s="11"/>
      <c r="I553" s="9" t="s">
        <v>13</v>
      </c>
      <c r="J553" s="44"/>
    </row>
    <row r="554">
      <c r="A554" s="42" t="s">
        <v>206</v>
      </c>
      <c r="B554" s="47"/>
      <c r="C554" s="9" t="s">
        <v>11</v>
      </c>
      <c r="D554" s="8" t="str">
        <f t="shared" si="1"/>
        <v>-</v>
      </c>
      <c r="E554" s="9"/>
      <c r="F554" s="10"/>
      <c r="G554" s="9"/>
      <c r="H554" s="11"/>
      <c r="I554" s="9" t="s">
        <v>13</v>
      </c>
      <c r="J554" s="44"/>
    </row>
    <row r="555">
      <c r="A555" s="42" t="s">
        <v>206</v>
      </c>
      <c r="B555" s="47"/>
      <c r="C555" s="9" t="s">
        <v>11</v>
      </c>
      <c r="D555" s="8" t="str">
        <f t="shared" si="1"/>
        <v>-</v>
      </c>
      <c r="E555" s="9"/>
      <c r="F555" s="10"/>
      <c r="G555" s="9"/>
      <c r="H555" s="11"/>
      <c r="I555" s="9" t="s">
        <v>13</v>
      </c>
      <c r="J555" s="44"/>
    </row>
    <row r="556">
      <c r="A556" s="42" t="s">
        <v>206</v>
      </c>
      <c r="B556" s="47"/>
      <c r="C556" s="9" t="s">
        <v>11</v>
      </c>
      <c r="D556" s="8" t="str">
        <f t="shared" si="1"/>
        <v>-</v>
      </c>
      <c r="E556" s="9"/>
      <c r="F556" s="10"/>
      <c r="G556" s="9"/>
      <c r="H556" s="11"/>
      <c r="I556" s="9" t="s">
        <v>13</v>
      </c>
      <c r="J556" s="44"/>
    </row>
    <row r="557">
      <c r="A557" s="42" t="s">
        <v>206</v>
      </c>
      <c r="B557" s="47"/>
      <c r="C557" s="9" t="s">
        <v>11</v>
      </c>
      <c r="D557" s="8" t="str">
        <f t="shared" si="1"/>
        <v>-</v>
      </c>
      <c r="E557" s="9"/>
      <c r="F557" s="10"/>
      <c r="G557" s="9"/>
      <c r="H557" s="11"/>
      <c r="I557" s="9" t="s">
        <v>13</v>
      </c>
      <c r="J557" s="44"/>
    </row>
    <row r="558">
      <c r="A558" s="42" t="s">
        <v>206</v>
      </c>
      <c r="B558" s="47"/>
      <c r="C558" s="9" t="s">
        <v>11</v>
      </c>
      <c r="D558" s="8" t="str">
        <f t="shared" si="1"/>
        <v>-</v>
      </c>
      <c r="E558" s="9"/>
      <c r="F558" s="10"/>
      <c r="G558" s="9"/>
      <c r="H558" s="11"/>
      <c r="I558" s="9" t="s">
        <v>13</v>
      </c>
      <c r="J558" s="44"/>
    </row>
    <row r="559">
      <c r="A559" s="42" t="s">
        <v>206</v>
      </c>
      <c r="B559" s="47"/>
      <c r="C559" s="9" t="s">
        <v>11</v>
      </c>
      <c r="D559" s="8" t="str">
        <f t="shared" si="1"/>
        <v>-</v>
      </c>
      <c r="E559" s="9"/>
      <c r="F559" s="10"/>
      <c r="G559" s="9"/>
      <c r="H559" s="11"/>
      <c r="I559" s="9" t="s">
        <v>13</v>
      </c>
      <c r="J559" s="44"/>
    </row>
    <row r="560">
      <c r="A560" s="42" t="s">
        <v>206</v>
      </c>
      <c r="B560" s="47"/>
      <c r="C560" s="9" t="s">
        <v>11</v>
      </c>
      <c r="D560" s="8" t="str">
        <f t="shared" si="1"/>
        <v>-</v>
      </c>
      <c r="E560" s="9"/>
      <c r="F560" s="10"/>
      <c r="G560" s="9"/>
      <c r="H560" s="11"/>
      <c r="I560" s="9" t="s">
        <v>13</v>
      </c>
      <c r="J560" s="44"/>
    </row>
    <row r="561">
      <c r="A561" s="42" t="s">
        <v>206</v>
      </c>
      <c r="B561" s="47"/>
      <c r="C561" s="9" t="s">
        <v>11</v>
      </c>
      <c r="D561" s="8" t="str">
        <f t="shared" si="1"/>
        <v>-</v>
      </c>
      <c r="E561" s="9"/>
      <c r="F561" s="10"/>
      <c r="G561" s="9"/>
      <c r="H561" s="11"/>
      <c r="I561" s="9" t="s">
        <v>13</v>
      </c>
      <c r="J561" s="44"/>
    </row>
    <row r="562">
      <c r="A562" s="42" t="s">
        <v>206</v>
      </c>
      <c r="B562" s="47"/>
      <c r="C562" s="9" t="s">
        <v>11</v>
      </c>
      <c r="D562" s="8" t="str">
        <f t="shared" si="1"/>
        <v>-</v>
      </c>
      <c r="E562" s="9"/>
      <c r="F562" s="10"/>
      <c r="G562" s="9"/>
      <c r="H562" s="11"/>
      <c r="I562" s="9" t="s">
        <v>13</v>
      </c>
      <c r="J562" s="44"/>
    </row>
    <row r="563">
      <c r="A563" s="42" t="s">
        <v>206</v>
      </c>
      <c r="B563" s="47"/>
      <c r="C563" s="9" t="s">
        <v>11</v>
      </c>
      <c r="D563" s="8" t="str">
        <f t="shared" si="1"/>
        <v>-</v>
      </c>
      <c r="E563" s="9"/>
      <c r="F563" s="10"/>
      <c r="G563" s="9"/>
      <c r="H563" s="11"/>
      <c r="I563" s="9" t="s">
        <v>13</v>
      </c>
      <c r="J563" s="44"/>
    </row>
    <row r="564">
      <c r="A564" s="42" t="s">
        <v>206</v>
      </c>
      <c r="B564" s="47"/>
      <c r="C564" s="9" t="s">
        <v>11</v>
      </c>
      <c r="D564" s="8" t="str">
        <f t="shared" si="1"/>
        <v>-</v>
      </c>
      <c r="E564" s="9"/>
      <c r="F564" s="10"/>
      <c r="G564" s="9"/>
      <c r="H564" s="11"/>
      <c r="I564" s="9" t="s">
        <v>13</v>
      </c>
      <c r="J564" s="44"/>
    </row>
    <row r="565">
      <c r="A565" s="42" t="s">
        <v>206</v>
      </c>
      <c r="B565" s="47"/>
      <c r="C565" s="9" t="s">
        <v>11</v>
      </c>
      <c r="D565" s="8" t="str">
        <f t="shared" si="1"/>
        <v>-</v>
      </c>
      <c r="E565" s="9"/>
      <c r="F565" s="10"/>
      <c r="G565" s="9"/>
      <c r="H565" s="11"/>
      <c r="I565" s="9" t="s">
        <v>13</v>
      </c>
      <c r="J565" s="44"/>
    </row>
    <row r="566">
      <c r="A566" s="42" t="s">
        <v>206</v>
      </c>
      <c r="B566" s="47"/>
      <c r="C566" s="9" t="s">
        <v>11</v>
      </c>
      <c r="D566" s="8" t="str">
        <f t="shared" si="1"/>
        <v>-</v>
      </c>
      <c r="E566" s="9"/>
      <c r="F566" s="10"/>
      <c r="G566" s="9"/>
      <c r="H566" s="11"/>
      <c r="I566" s="9" t="s">
        <v>13</v>
      </c>
      <c r="J566" s="44"/>
    </row>
    <row r="567">
      <c r="A567" s="42" t="s">
        <v>206</v>
      </c>
      <c r="B567" s="47"/>
      <c r="C567" s="9" t="s">
        <v>11</v>
      </c>
      <c r="D567" s="8" t="str">
        <f t="shared" si="1"/>
        <v>-</v>
      </c>
      <c r="E567" s="9"/>
      <c r="F567" s="10"/>
      <c r="G567" s="9"/>
      <c r="H567" s="11"/>
      <c r="I567" s="9" t="s">
        <v>13</v>
      </c>
      <c r="J567" s="44"/>
    </row>
    <row r="568">
      <c r="A568" s="42" t="s">
        <v>206</v>
      </c>
      <c r="B568" s="47"/>
      <c r="C568" s="9" t="s">
        <v>11</v>
      </c>
      <c r="D568" s="8" t="str">
        <f t="shared" si="1"/>
        <v>-</v>
      </c>
      <c r="E568" s="9"/>
      <c r="F568" s="10"/>
      <c r="G568" s="9"/>
      <c r="H568" s="11"/>
      <c r="I568" s="9" t="s">
        <v>13</v>
      </c>
      <c r="J568" s="44"/>
    </row>
    <row r="569">
      <c r="A569" s="42" t="s">
        <v>206</v>
      </c>
      <c r="B569" s="47"/>
      <c r="C569" s="9" t="s">
        <v>11</v>
      </c>
      <c r="D569" s="8" t="str">
        <f t="shared" si="1"/>
        <v>-</v>
      </c>
      <c r="E569" s="9"/>
      <c r="F569" s="10"/>
      <c r="G569" s="9"/>
      <c r="H569" s="11"/>
      <c r="I569" s="9" t="s">
        <v>13</v>
      </c>
      <c r="J569" s="44"/>
    </row>
    <row r="570">
      <c r="A570" s="42" t="s">
        <v>206</v>
      </c>
      <c r="B570" s="47"/>
      <c r="C570" s="9" t="s">
        <v>11</v>
      </c>
      <c r="D570" s="8" t="str">
        <f t="shared" si="1"/>
        <v>-</v>
      </c>
      <c r="E570" s="9"/>
      <c r="F570" s="10"/>
      <c r="G570" s="9"/>
      <c r="H570" s="11"/>
      <c r="I570" s="9" t="s">
        <v>13</v>
      </c>
      <c r="J570" s="44"/>
    </row>
    <row r="571">
      <c r="A571" s="42" t="s">
        <v>206</v>
      </c>
      <c r="B571" s="47"/>
      <c r="C571" s="9" t="s">
        <v>11</v>
      </c>
      <c r="D571" s="8" t="str">
        <f t="shared" si="1"/>
        <v>-</v>
      </c>
      <c r="E571" s="9"/>
      <c r="F571" s="10"/>
      <c r="G571" s="9"/>
      <c r="H571" s="11"/>
      <c r="I571" s="9" t="s">
        <v>13</v>
      </c>
      <c r="J571" s="44"/>
    </row>
    <row r="572">
      <c r="A572" s="42" t="s">
        <v>206</v>
      </c>
      <c r="B572" s="47"/>
      <c r="C572" s="9" t="s">
        <v>11</v>
      </c>
      <c r="D572" s="8" t="str">
        <f t="shared" si="1"/>
        <v>-</v>
      </c>
      <c r="E572" s="9"/>
      <c r="F572" s="10"/>
      <c r="G572" s="9"/>
      <c r="H572" s="11"/>
      <c r="I572" s="9" t="s">
        <v>13</v>
      </c>
      <c r="J572" s="44"/>
    </row>
    <row r="573">
      <c r="A573" s="42" t="s">
        <v>206</v>
      </c>
      <c r="B573" s="47"/>
      <c r="C573" s="9" t="s">
        <v>11</v>
      </c>
      <c r="D573" s="8" t="str">
        <f t="shared" si="1"/>
        <v>-</v>
      </c>
      <c r="E573" s="9"/>
      <c r="F573" s="10"/>
      <c r="G573" s="9"/>
      <c r="H573" s="11"/>
      <c r="I573" s="9" t="s">
        <v>13</v>
      </c>
      <c r="J573" s="44"/>
    </row>
    <row r="574">
      <c r="A574" s="42" t="s">
        <v>206</v>
      </c>
      <c r="B574" s="47"/>
      <c r="C574" s="9" t="s">
        <v>11</v>
      </c>
      <c r="D574" s="8" t="str">
        <f t="shared" si="1"/>
        <v>-</v>
      </c>
      <c r="E574" s="9"/>
      <c r="F574" s="10"/>
      <c r="G574" s="9"/>
      <c r="H574" s="11"/>
      <c r="I574" s="9" t="s">
        <v>13</v>
      </c>
      <c r="J574" s="44"/>
    </row>
    <row r="575">
      <c r="A575" s="42" t="s">
        <v>206</v>
      </c>
      <c r="B575" s="47"/>
      <c r="C575" s="9" t="s">
        <v>11</v>
      </c>
      <c r="D575" s="8" t="str">
        <f t="shared" si="1"/>
        <v>-</v>
      </c>
      <c r="E575" s="9"/>
      <c r="F575" s="10"/>
      <c r="G575" s="9"/>
      <c r="H575" s="11"/>
      <c r="I575" s="9" t="s">
        <v>13</v>
      </c>
      <c r="J575" s="44"/>
    </row>
    <row r="576">
      <c r="A576" s="42" t="s">
        <v>206</v>
      </c>
      <c r="B576" s="47"/>
      <c r="C576" s="9" t="s">
        <v>11</v>
      </c>
      <c r="D576" s="8" t="str">
        <f t="shared" si="1"/>
        <v>-</v>
      </c>
      <c r="E576" s="9"/>
      <c r="F576" s="10"/>
      <c r="G576" s="9"/>
      <c r="H576" s="11"/>
      <c r="I576" s="9" t="s">
        <v>13</v>
      </c>
      <c r="J576" s="44"/>
    </row>
    <row r="577">
      <c r="A577" s="42" t="s">
        <v>206</v>
      </c>
      <c r="B577" s="47"/>
      <c r="C577" s="9" t="s">
        <v>11</v>
      </c>
      <c r="D577" s="8" t="str">
        <f t="shared" si="1"/>
        <v>-</v>
      </c>
      <c r="E577" s="9"/>
      <c r="F577" s="10"/>
      <c r="G577" s="9"/>
      <c r="H577" s="11"/>
      <c r="I577" s="9" t="s">
        <v>13</v>
      </c>
      <c r="J577" s="44"/>
    </row>
    <row r="578">
      <c r="A578" s="42" t="s">
        <v>206</v>
      </c>
      <c r="B578" s="47"/>
      <c r="C578" s="9" t="s">
        <v>11</v>
      </c>
      <c r="D578" s="8" t="str">
        <f t="shared" si="1"/>
        <v>-</v>
      </c>
      <c r="E578" s="9"/>
      <c r="F578" s="10"/>
      <c r="G578" s="9"/>
      <c r="H578" s="11"/>
      <c r="I578" s="9" t="s">
        <v>13</v>
      </c>
      <c r="J578" s="44"/>
    </row>
    <row r="579">
      <c r="A579" s="42" t="s">
        <v>206</v>
      </c>
      <c r="B579" s="47"/>
      <c r="C579" s="9" t="s">
        <v>11</v>
      </c>
      <c r="D579" s="8" t="str">
        <f t="shared" si="1"/>
        <v>-</v>
      </c>
      <c r="E579" s="9"/>
      <c r="F579" s="10"/>
      <c r="G579" s="9"/>
      <c r="H579" s="11"/>
      <c r="I579" s="9" t="s">
        <v>13</v>
      </c>
      <c r="J579" s="44"/>
    </row>
    <row r="580">
      <c r="A580" s="42" t="s">
        <v>206</v>
      </c>
      <c r="B580" s="47"/>
      <c r="C580" s="9" t="s">
        <v>11</v>
      </c>
      <c r="D580" s="8" t="str">
        <f t="shared" si="1"/>
        <v>-</v>
      </c>
      <c r="E580" s="9"/>
      <c r="F580" s="10"/>
      <c r="G580" s="9"/>
      <c r="H580" s="11"/>
      <c r="I580" s="9" t="s">
        <v>13</v>
      </c>
      <c r="J580" s="44"/>
    </row>
    <row r="581">
      <c r="A581" s="42" t="s">
        <v>206</v>
      </c>
      <c r="B581" s="47"/>
      <c r="C581" s="9" t="s">
        <v>11</v>
      </c>
      <c r="D581" s="8" t="str">
        <f t="shared" si="1"/>
        <v>-</v>
      </c>
      <c r="E581" s="9"/>
      <c r="F581" s="10"/>
      <c r="G581" s="9"/>
      <c r="H581" s="11"/>
      <c r="I581" s="9" t="s">
        <v>13</v>
      </c>
      <c r="J581" s="44"/>
    </row>
    <row r="582">
      <c r="A582" s="42" t="s">
        <v>206</v>
      </c>
      <c r="B582" s="47"/>
      <c r="C582" s="9" t="s">
        <v>11</v>
      </c>
      <c r="D582" s="8" t="str">
        <f t="shared" si="1"/>
        <v>-</v>
      </c>
      <c r="E582" s="9"/>
      <c r="F582" s="10"/>
      <c r="G582" s="9"/>
      <c r="H582" s="11"/>
      <c r="I582" s="9" t="s">
        <v>13</v>
      </c>
      <c r="J582" s="44"/>
    </row>
    <row r="583">
      <c r="A583" s="42" t="s">
        <v>206</v>
      </c>
      <c r="B583" s="47"/>
      <c r="C583" s="9" t="s">
        <v>11</v>
      </c>
      <c r="D583" s="8" t="str">
        <f t="shared" si="1"/>
        <v>-</v>
      </c>
      <c r="E583" s="9"/>
      <c r="F583" s="10"/>
      <c r="G583" s="9"/>
      <c r="H583" s="11"/>
      <c r="I583" s="9" t="s">
        <v>13</v>
      </c>
      <c r="J583" s="44"/>
    </row>
    <row r="584">
      <c r="A584" s="42" t="s">
        <v>206</v>
      </c>
      <c r="B584" s="47"/>
      <c r="C584" s="9" t="s">
        <v>11</v>
      </c>
      <c r="D584" s="8" t="str">
        <f t="shared" si="1"/>
        <v>-</v>
      </c>
      <c r="E584" s="9"/>
      <c r="F584" s="10"/>
      <c r="G584" s="9"/>
      <c r="H584" s="11"/>
      <c r="I584" s="9" t="s">
        <v>13</v>
      </c>
      <c r="J584" s="44"/>
    </row>
    <row r="585">
      <c r="A585" s="42" t="s">
        <v>206</v>
      </c>
      <c r="B585" s="47"/>
      <c r="C585" s="9" t="s">
        <v>11</v>
      </c>
      <c r="D585" s="8" t="str">
        <f t="shared" si="1"/>
        <v>-</v>
      </c>
      <c r="E585" s="9"/>
      <c r="F585" s="10"/>
      <c r="G585" s="9"/>
      <c r="H585" s="11"/>
      <c r="I585" s="9" t="s">
        <v>13</v>
      </c>
      <c r="J585" s="44"/>
    </row>
    <row r="586">
      <c r="A586" s="42" t="s">
        <v>206</v>
      </c>
      <c r="B586" s="47"/>
      <c r="C586" s="9" t="s">
        <v>11</v>
      </c>
      <c r="D586" s="8" t="str">
        <f t="shared" si="1"/>
        <v>-</v>
      </c>
      <c r="E586" s="9"/>
      <c r="F586" s="10"/>
      <c r="G586" s="9"/>
      <c r="H586" s="11"/>
      <c r="I586" s="9" t="s">
        <v>13</v>
      </c>
      <c r="J586" s="44"/>
    </row>
    <row r="587">
      <c r="A587" s="42" t="s">
        <v>206</v>
      </c>
      <c r="B587" s="47"/>
      <c r="C587" s="9" t="s">
        <v>11</v>
      </c>
      <c r="D587" s="8" t="str">
        <f t="shared" si="1"/>
        <v>-</v>
      </c>
      <c r="E587" s="9"/>
      <c r="F587" s="10"/>
      <c r="G587" s="9"/>
      <c r="H587" s="11"/>
      <c r="I587" s="9" t="s">
        <v>13</v>
      </c>
      <c r="J587" s="44"/>
    </row>
    <row r="588">
      <c r="A588" s="42" t="s">
        <v>206</v>
      </c>
      <c r="B588" s="47"/>
      <c r="C588" s="9" t="s">
        <v>11</v>
      </c>
      <c r="D588" s="8" t="str">
        <f t="shared" si="1"/>
        <v>-</v>
      </c>
      <c r="E588" s="9"/>
      <c r="F588" s="10"/>
      <c r="G588" s="9"/>
      <c r="H588" s="11"/>
      <c r="I588" s="9" t="s">
        <v>13</v>
      </c>
      <c r="J588" s="44"/>
    </row>
    <row r="589">
      <c r="A589" s="42" t="s">
        <v>206</v>
      </c>
      <c r="B589" s="47"/>
      <c r="C589" s="9" t="s">
        <v>11</v>
      </c>
      <c r="D589" s="8" t="str">
        <f t="shared" si="1"/>
        <v>-</v>
      </c>
      <c r="E589" s="9"/>
      <c r="F589" s="10"/>
      <c r="G589" s="9"/>
      <c r="H589" s="11"/>
      <c r="I589" s="9" t="s">
        <v>13</v>
      </c>
      <c r="J589" s="44"/>
    </row>
    <row r="590">
      <c r="A590" s="42" t="s">
        <v>206</v>
      </c>
      <c r="B590" s="47"/>
      <c r="C590" s="9" t="s">
        <v>11</v>
      </c>
      <c r="D590" s="8" t="str">
        <f t="shared" si="1"/>
        <v>-</v>
      </c>
      <c r="E590" s="9"/>
      <c r="F590" s="10"/>
      <c r="G590" s="9"/>
      <c r="H590" s="11"/>
      <c r="I590" s="9" t="s">
        <v>13</v>
      </c>
      <c r="J590" s="44"/>
    </row>
    <row r="591">
      <c r="A591" s="42" t="s">
        <v>206</v>
      </c>
      <c r="B591" s="47"/>
      <c r="C591" s="9" t="s">
        <v>11</v>
      </c>
      <c r="D591" s="8" t="str">
        <f t="shared" si="1"/>
        <v>-</v>
      </c>
      <c r="E591" s="9"/>
      <c r="F591" s="10"/>
      <c r="G591" s="9"/>
      <c r="H591" s="11"/>
      <c r="I591" s="9" t="s">
        <v>13</v>
      </c>
      <c r="J591" s="44"/>
    </row>
    <row r="592">
      <c r="A592" s="42" t="s">
        <v>206</v>
      </c>
      <c r="B592" s="47"/>
      <c r="C592" s="9" t="s">
        <v>11</v>
      </c>
      <c r="D592" s="8" t="str">
        <f t="shared" si="1"/>
        <v>-</v>
      </c>
      <c r="E592" s="9"/>
      <c r="F592" s="10"/>
      <c r="G592" s="9"/>
      <c r="H592" s="11"/>
      <c r="I592" s="9" t="s">
        <v>13</v>
      </c>
      <c r="J592" s="44"/>
    </row>
    <row r="593">
      <c r="A593" s="42" t="s">
        <v>206</v>
      </c>
      <c r="B593" s="47"/>
      <c r="C593" s="9" t="s">
        <v>11</v>
      </c>
      <c r="D593" s="8" t="str">
        <f t="shared" si="1"/>
        <v>-</v>
      </c>
      <c r="E593" s="9"/>
      <c r="F593" s="10"/>
      <c r="G593" s="9"/>
      <c r="H593" s="11"/>
      <c r="I593" s="9" t="s">
        <v>13</v>
      </c>
      <c r="J593" s="44"/>
    </row>
    <row r="594">
      <c r="A594" s="42" t="s">
        <v>206</v>
      </c>
      <c r="B594" s="47"/>
      <c r="C594" s="9" t="s">
        <v>11</v>
      </c>
      <c r="D594" s="8" t="str">
        <f t="shared" si="1"/>
        <v>-</v>
      </c>
      <c r="E594" s="9"/>
      <c r="F594" s="10"/>
      <c r="G594" s="9"/>
      <c r="H594" s="11"/>
      <c r="I594" s="9" t="s">
        <v>13</v>
      </c>
      <c r="J594" s="44"/>
    </row>
    <row r="595">
      <c r="A595" s="42" t="s">
        <v>206</v>
      </c>
      <c r="B595" s="47"/>
      <c r="C595" s="9" t="s">
        <v>11</v>
      </c>
      <c r="D595" s="8" t="str">
        <f t="shared" si="1"/>
        <v>-</v>
      </c>
      <c r="E595" s="9"/>
      <c r="F595" s="10"/>
      <c r="G595" s="9"/>
      <c r="H595" s="11"/>
      <c r="I595" s="9" t="s">
        <v>13</v>
      </c>
      <c r="J595" s="44"/>
    </row>
    <row r="596">
      <c r="A596" s="42" t="s">
        <v>206</v>
      </c>
      <c r="B596" s="47"/>
      <c r="C596" s="9" t="s">
        <v>11</v>
      </c>
      <c r="D596" s="8" t="str">
        <f t="shared" si="1"/>
        <v>-</v>
      </c>
      <c r="E596" s="9"/>
      <c r="F596" s="10"/>
      <c r="G596" s="9"/>
      <c r="H596" s="11"/>
      <c r="I596" s="9" t="s">
        <v>13</v>
      </c>
      <c r="J596" s="44"/>
    </row>
    <row r="597">
      <c r="A597" s="42" t="s">
        <v>206</v>
      </c>
      <c r="B597" s="47"/>
      <c r="C597" s="9" t="s">
        <v>11</v>
      </c>
      <c r="D597" s="8" t="str">
        <f t="shared" si="1"/>
        <v>-</v>
      </c>
      <c r="E597" s="9"/>
      <c r="F597" s="10"/>
      <c r="G597" s="9"/>
      <c r="H597" s="11"/>
      <c r="I597" s="9" t="s">
        <v>13</v>
      </c>
      <c r="J597" s="44"/>
    </row>
    <row r="598">
      <c r="A598" s="42" t="s">
        <v>206</v>
      </c>
      <c r="B598" s="47"/>
      <c r="C598" s="9" t="s">
        <v>11</v>
      </c>
      <c r="D598" s="8" t="str">
        <f t="shared" si="1"/>
        <v>-</v>
      </c>
      <c r="E598" s="9"/>
      <c r="F598" s="10"/>
      <c r="G598" s="9"/>
      <c r="H598" s="11"/>
      <c r="I598" s="9" t="s">
        <v>13</v>
      </c>
      <c r="J598" s="44"/>
    </row>
    <row r="599">
      <c r="A599" s="42" t="s">
        <v>206</v>
      </c>
      <c r="B599" s="47"/>
      <c r="C599" s="9" t="s">
        <v>11</v>
      </c>
      <c r="D599" s="8" t="str">
        <f t="shared" si="1"/>
        <v>-</v>
      </c>
      <c r="E599" s="9"/>
      <c r="F599" s="10"/>
      <c r="G599" s="9"/>
      <c r="H599" s="11"/>
      <c r="I599" s="9" t="s">
        <v>13</v>
      </c>
      <c r="J599" s="44"/>
    </row>
    <row r="600">
      <c r="A600" s="42" t="s">
        <v>206</v>
      </c>
      <c r="B600" s="47"/>
      <c r="C600" s="9" t="s">
        <v>11</v>
      </c>
      <c r="D600" s="8" t="str">
        <f t="shared" si="1"/>
        <v>-</v>
      </c>
      <c r="E600" s="9"/>
      <c r="F600" s="10"/>
      <c r="G600" s="9"/>
      <c r="H600" s="11"/>
      <c r="I600" s="9" t="s">
        <v>13</v>
      </c>
      <c r="J600" s="44"/>
    </row>
    <row r="601">
      <c r="A601" s="42" t="s">
        <v>206</v>
      </c>
      <c r="B601" s="47"/>
      <c r="C601" s="9" t="s">
        <v>11</v>
      </c>
      <c r="D601" s="8" t="str">
        <f t="shared" si="1"/>
        <v>-</v>
      </c>
      <c r="E601" s="9"/>
      <c r="F601" s="10"/>
      <c r="G601" s="9"/>
      <c r="H601" s="11"/>
      <c r="I601" s="9" t="s">
        <v>13</v>
      </c>
      <c r="J601" s="44"/>
    </row>
    <row r="602">
      <c r="A602" s="42" t="s">
        <v>206</v>
      </c>
      <c r="B602" s="47"/>
      <c r="C602" s="9" t="s">
        <v>11</v>
      </c>
      <c r="D602" s="8" t="str">
        <f t="shared" si="1"/>
        <v>-</v>
      </c>
      <c r="E602" s="9"/>
      <c r="F602" s="10"/>
      <c r="G602" s="9"/>
      <c r="H602" s="11"/>
      <c r="I602" s="9" t="s">
        <v>13</v>
      </c>
      <c r="J602" s="44"/>
    </row>
    <row r="603">
      <c r="A603" s="42" t="s">
        <v>206</v>
      </c>
      <c r="B603" s="47"/>
      <c r="C603" s="9" t="s">
        <v>11</v>
      </c>
      <c r="D603" s="8" t="str">
        <f t="shared" si="1"/>
        <v>-</v>
      </c>
      <c r="E603" s="9"/>
      <c r="F603" s="10"/>
      <c r="G603" s="9"/>
      <c r="H603" s="11"/>
      <c r="I603" s="9" t="s">
        <v>13</v>
      </c>
      <c r="J603" s="44"/>
    </row>
    <row r="604">
      <c r="A604" s="42" t="s">
        <v>206</v>
      </c>
      <c r="B604" s="47"/>
      <c r="C604" s="9" t="s">
        <v>11</v>
      </c>
      <c r="D604" s="8" t="str">
        <f t="shared" si="1"/>
        <v>-</v>
      </c>
      <c r="E604" s="9"/>
      <c r="F604" s="10"/>
      <c r="G604" s="9"/>
      <c r="H604" s="11"/>
      <c r="I604" s="9" t="s">
        <v>13</v>
      </c>
      <c r="J604" s="44"/>
    </row>
    <row r="605">
      <c r="A605" s="42" t="s">
        <v>206</v>
      </c>
      <c r="B605" s="47"/>
      <c r="C605" s="9" t="s">
        <v>11</v>
      </c>
      <c r="D605" s="8" t="str">
        <f t="shared" si="1"/>
        <v>-</v>
      </c>
      <c r="E605" s="9"/>
      <c r="F605" s="10"/>
      <c r="G605" s="9"/>
      <c r="H605" s="11"/>
      <c r="I605" s="9" t="s">
        <v>13</v>
      </c>
      <c r="J605" s="44"/>
    </row>
    <row r="606">
      <c r="A606" s="42" t="s">
        <v>206</v>
      </c>
      <c r="B606" s="47"/>
      <c r="C606" s="9" t="s">
        <v>11</v>
      </c>
      <c r="D606" s="8" t="str">
        <f t="shared" si="1"/>
        <v>-</v>
      </c>
      <c r="E606" s="9"/>
      <c r="F606" s="10"/>
      <c r="G606" s="9"/>
      <c r="H606" s="11"/>
      <c r="I606" s="9" t="s">
        <v>13</v>
      </c>
      <c r="J606" s="44"/>
    </row>
    <row r="607">
      <c r="A607" s="42" t="s">
        <v>206</v>
      </c>
      <c r="B607" s="47"/>
      <c r="C607" s="9" t="s">
        <v>11</v>
      </c>
      <c r="D607" s="8" t="str">
        <f t="shared" si="1"/>
        <v>-</v>
      </c>
      <c r="E607" s="9"/>
      <c r="F607" s="10"/>
      <c r="G607" s="9"/>
      <c r="H607" s="11"/>
      <c r="I607" s="9" t="s">
        <v>13</v>
      </c>
      <c r="J607" s="44"/>
    </row>
    <row r="608">
      <c r="A608" s="42" t="s">
        <v>206</v>
      </c>
      <c r="B608" s="47"/>
      <c r="C608" s="9" t="s">
        <v>11</v>
      </c>
      <c r="D608" s="8" t="str">
        <f t="shared" si="1"/>
        <v>-</v>
      </c>
      <c r="E608" s="9"/>
      <c r="F608" s="10"/>
      <c r="G608" s="9"/>
      <c r="H608" s="11"/>
      <c r="I608" s="9" t="s">
        <v>13</v>
      </c>
      <c r="J608" s="44"/>
    </row>
    <row r="609">
      <c r="A609" s="42" t="s">
        <v>206</v>
      </c>
      <c r="B609" s="47"/>
      <c r="C609" s="9" t="s">
        <v>11</v>
      </c>
      <c r="D609" s="8" t="str">
        <f t="shared" si="1"/>
        <v>-</v>
      </c>
      <c r="E609" s="9"/>
      <c r="F609" s="10"/>
      <c r="G609" s="9"/>
      <c r="H609" s="11"/>
      <c r="I609" s="9" t="s">
        <v>13</v>
      </c>
      <c r="J609" s="44"/>
    </row>
    <row r="610">
      <c r="A610" s="42" t="s">
        <v>206</v>
      </c>
      <c r="B610" s="47"/>
      <c r="C610" s="9" t="s">
        <v>11</v>
      </c>
      <c r="D610" s="8" t="str">
        <f t="shared" si="1"/>
        <v>-</v>
      </c>
      <c r="E610" s="9"/>
      <c r="F610" s="10"/>
      <c r="G610" s="9"/>
      <c r="H610" s="11"/>
      <c r="I610" s="9" t="s">
        <v>13</v>
      </c>
      <c r="J610" s="44"/>
    </row>
    <row r="611">
      <c r="A611" s="42" t="s">
        <v>206</v>
      </c>
      <c r="B611" s="47"/>
      <c r="C611" s="9" t="s">
        <v>11</v>
      </c>
      <c r="D611" s="8" t="str">
        <f t="shared" si="1"/>
        <v>-</v>
      </c>
      <c r="E611" s="9"/>
      <c r="F611" s="10"/>
      <c r="G611" s="9"/>
      <c r="H611" s="11"/>
      <c r="I611" s="9" t="s">
        <v>13</v>
      </c>
      <c r="J611" s="44"/>
    </row>
    <row r="612">
      <c r="A612" s="42" t="s">
        <v>206</v>
      </c>
      <c r="B612" s="47"/>
      <c r="C612" s="9" t="s">
        <v>11</v>
      </c>
      <c r="D612" s="8" t="str">
        <f t="shared" si="1"/>
        <v>-</v>
      </c>
      <c r="E612" s="9"/>
      <c r="F612" s="10"/>
      <c r="G612" s="9"/>
      <c r="H612" s="11"/>
      <c r="I612" s="9" t="s">
        <v>13</v>
      </c>
      <c r="J612" s="44"/>
    </row>
    <row r="613">
      <c r="A613" s="42" t="s">
        <v>206</v>
      </c>
      <c r="B613" s="47"/>
      <c r="C613" s="9" t="s">
        <v>11</v>
      </c>
      <c r="D613" s="8" t="str">
        <f t="shared" si="1"/>
        <v>-</v>
      </c>
      <c r="E613" s="9"/>
      <c r="F613" s="10"/>
      <c r="G613" s="9"/>
      <c r="H613" s="11"/>
      <c r="I613" s="9" t="s">
        <v>13</v>
      </c>
      <c r="J613" s="44"/>
    </row>
    <row r="614">
      <c r="A614" s="42" t="s">
        <v>206</v>
      </c>
      <c r="B614" s="47"/>
      <c r="C614" s="9" t="s">
        <v>11</v>
      </c>
      <c r="D614" s="8" t="str">
        <f t="shared" si="1"/>
        <v>-</v>
      </c>
      <c r="E614" s="9"/>
      <c r="F614" s="10"/>
      <c r="G614" s="9"/>
      <c r="H614" s="11"/>
      <c r="I614" s="9" t="s">
        <v>13</v>
      </c>
      <c r="J614" s="44"/>
    </row>
    <row r="615">
      <c r="A615" s="42" t="s">
        <v>206</v>
      </c>
      <c r="B615" s="47"/>
      <c r="C615" s="9" t="s">
        <v>11</v>
      </c>
      <c r="D615" s="8" t="str">
        <f t="shared" si="1"/>
        <v>-</v>
      </c>
      <c r="E615" s="9"/>
      <c r="F615" s="10"/>
      <c r="G615" s="9"/>
      <c r="H615" s="11"/>
      <c r="I615" s="9" t="s">
        <v>13</v>
      </c>
      <c r="J615" s="44"/>
    </row>
    <row r="616">
      <c r="A616" s="42" t="s">
        <v>206</v>
      </c>
      <c r="B616" s="47"/>
      <c r="C616" s="9" t="s">
        <v>11</v>
      </c>
      <c r="D616" s="8" t="str">
        <f t="shared" si="1"/>
        <v>-</v>
      </c>
      <c r="E616" s="9"/>
      <c r="F616" s="10"/>
      <c r="G616" s="9"/>
      <c r="H616" s="11"/>
      <c r="I616" s="9" t="s">
        <v>13</v>
      </c>
      <c r="J616" s="44"/>
    </row>
    <row r="617">
      <c r="A617" s="42" t="s">
        <v>206</v>
      </c>
      <c r="B617" s="47"/>
      <c r="C617" s="9" t="s">
        <v>11</v>
      </c>
      <c r="D617" s="8" t="str">
        <f t="shared" si="1"/>
        <v>-</v>
      </c>
      <c r="E617" s="9"/>
      <c r="F617" s="10"/>
      <c r="G617" s="9"/>
      <c r="H617" s="11"/>
      <c r="I617" s="9" t="s">
        <v>13</v>
      </c>
      <c r="J617" s="44"/>
    </row>
    <row r="618">
      <c r="A618" s="42" t="s">
        <v>206</v>
      </c>
      <c r="B618" s="47"/>
      <c r="C618" s="9" t="s">
        <v>11</v>
      </c>
      <c r="D618" s="8" t="str">
        <f t="shared" si="1"/>
        <v>-</v>
      </c>
      <c r="E618" s="9"/>
      <c r="F618" s="10"/>
      <c r="G618" s="9"/>
      <c r="H618" s="11"/>
      <c r="I618" s="9" t="s">
        <v>13</v>
      </c>
      <c r="J618" s="44"/>
    </row>
    <row r="619">
      <c r="A619" s="42" t="s">
        <v>206</v>
      </c>
      <c r="B619" s="47"/>
      <c r="C619" s="9" t="s">
        <v>11</v>
      </c>
      <c r="D619" s="8" t="str">
        <f t="shared" si="1"/>
        <v>-</v>
      </c>
      <c r="E619" s="9"/>
      <c r="F619" s="10"/>
      <c r="G619" s="9"/>
      <c r="H619" s="11"/>
      <c r="I619" s="9" t="s">
        <v>13</v>
      </c>
      <c r="J619" s="44"/>
    </row>
    <row r="620">
      <c r="A620" s="42" t="s">
        <v>206</v>
      </c>
      <c r="B620" s="47"/>
      <c r="C620" s="9" t="s">
        <v>11</v>
      </c>
      <c r="D620" s="8" t="str">
        <f t="shared" si="1"/>
        <v>-</v>
      </c>
      <c r="E620" s="9"/>
      <c r="F620" s="10"/>
      <c r="G620" s="9"/>
      <c r="H620" s="11"/>
      <c r="I620" s="9" t="s">
        <v>13</v>
      </c>
      <c r="J620" s="44"/>
    </row>
    <row r="621">
      <c r="A621" s="42" t="s">
        <v>206</v>
      </c>
      <c r="B621" s="47"/>
      <c r="C621" s="9" t="s">
        <v>11</v>
      </c>
      <c r="D621" s="8" t="str">
        <f t="shared" si="1"/>
        <v>-</v>
      </c>
      <c r="E621" s="9"/>
      <c r="F621" s="10"/>
      <c r="G621" s="9"/>
      <c r="H621" s="11"/>
      <c r="I621" s="9" t="s">
        <v>13</v>
      </c>
      <c r="J621" s="44"/>
    </row>
    <row r="622">
      <c r="A622" s="42" t="s">
        <v>206</v>
      </c>
      <c r="B622" s="47"/>
      <c r="C622" s="9" t="s">
        <v>11</v>
      </c>
      <c r="D622" s="8" t="str">
        <f t="shared" si="1"/>
        <v>-</v>
      </c>
      <c r="E622" s="9"/>
      <c r="F622" s="10"/>
      <c r="G622" s="9"/>
      <c r="H622" s="11"/>
      <c r="I622" s="9" t="s">
        <v>13</v>
      </c>
      <c r="J622" s="44"/>
    </row>
    <row r="623">
      <c r="A623" s="42" t="s">
        <v>206</v>
      </c>
      <c r="B623" s="47"/>
      <c r="C623" s="9" t="s">
        <v>11</v>
      </c>
      <c r="D623" s="8" t="str">
        <f t="shared" si="1"/>
        <v>-</v>
      </c>
      <c r="E623" s="9"/>
      <c r="F623" s="10"/>
      <c r="G623" s="9"/>
      <c r="H623" s="11"/>
      <c r="I623" s="9" t="s">
        <v>13</v>
      </c>
      <c r="J623" s="44"/>
    </row>
    <row r="624">
      <c r="A624" s="42" t="s">
        <v>206</v>
      </c>
      <c r="B624" s="47"/>
      <c r="C624" s="9" t="s">
        <v>11</v>
      </c>
      <c r="D624" s="8" t="str">
        <f t="shared" si="1"/>
        <v>-</v>
      </c>
      <c r="E624" s="9"/>
      <c r="F624" s="10"/>
      <c r="G624" s="9"/>
      <c r="H624" s="11"/>
      <c r="I624" s="9" t="s">
        <v>13</v>
      </c>
      <c r="J624" s="44"/>
    </row>
    <row r="625">
      <c r="A625" s="42" t="s">
        <v>206</v>
      </c>
      <c r="B625" s="47"/>
      <c r="C625" s="9" t="s">
        <v>11</v>
      </c>
      <c r="D625" s="8" t="str">
        <f t="shared" si="1"/>
        <v>-</v>
      </c>
      <c r="E625" s="9"/>
      <c r="F625" s="10"/>
      <c r="G625" s="9"/>
      <c r="H625" s="11"/>
      <c r="I625" s="9" t="s">
        <v>13</v>
      </c>
      <c r="J625" s="44"/>
    </row>
    <row r="626">
      <c r="A626" s="42" t="s">
        <v>206</v>
      </c>
      <c r="B626" s="47"/>
      <c r="C626" s="9" t="s">
        <v>11</v>
      </c>
      <c r="D626" s="8" t="str">
        <f t="shared" si="1"/>
        <v>-</v>
      </c>
      <c r="E626" s="9"/>
      <c r="F626" s="10"/>
      <c r="G626" s="9"/>
      <c r="H626" s="11"/>
      <c r="I626" s="9" t="s">
        <v>13</v>
      </c>
      <c r="J626" s="44"/>
    </row>
    <row r="627">
      <c r="A627" s="42" t="s">
        <v>206</v>
      </c>
      <c r="B627" s="47"/>
      <c r="C627" s="9" t="s">
        <v>11</v>
      </c>
      <c r="D627" s="8" t="str">
        <f t="shared" si="1"/>
        <v>-</v>
      </c>
      <c r="E627" s="9"/>
      <c r="F627" s="10"/>
      <c r="G627" s="9"/>
      <c r="H627" s="11"/>
      <c r="I627" s="9" t="s">
        <v>13</v>
      </c>
      <c r="J627" s="44"/>
    </row>
    <row r="628">
      <c r="A628" s="42" t="s">
        <v>206</v>
      </c>
      <c r="B628" s="47"/>
      <c r="C628" s="9" t="s">
        <v>11</v>
      </c>
      <c r="D628" s="8" t="str">
        <f t="shared" si="1"/>
        <v>-</v>
      </c>
      <c r="E628" s="9"/>
      <c r="F628" s="10"/>
      <c r="G628" s="9"/>
      <c r="H628" s="11"/>
      <c r="I628" s="9" t="s">
        <v>13</v>
      </c>
      <c r="J628" s="44"/>
    </row>
    <row r="629">
      <c r="A629" s="42" t="s">
        <v>206</v>
      </c>
      <c r="B629" s="47"/>
      <c r="C629" s="9" t="s">
        <v>11</v>
      </c>
      <c r="D629" s="8" t="str">
        <f t="shared" si="1"/>
        <v>-</v>
      </c>
      <c r="E629" s="9"/>
      <c r="F629" s="10"/>
      <c r="G629" s="9"/>
      <c r="H629" s="11"/>
      <c r="I629" s="9" t="s">
        <v>13</v>
      </c>
      <c r="J629" s="44"/>
    </row>
    <row r="630">
      <c r="A630" s="42" t="s">
        <v>206</v>
      </c>
      <c r="B630" s="47"/>
      <c r="C630" s="9" t="s">
        <v>11</v>
      </c>
      <c r="D630" s="8" t="str">
        <f t="shared" si="1"/>
        <v>-</v>
      </c>
      <c r="E630" s="9"/>
      <c r="F630" s="10"/>
      <c r="G630" s="9"/>
      <c r="H630" s="11"/>
      <c r="I630" s="9" t="s">
        <v>13</v>
      </c>
      <c r="J630" s="44"/>
    </row>
    <row r="631">
      <c r="A631" s="42" t="s">
        <v>206</v>
      </c>
      <c r="B631" s="47"/>
      <c r="C631" s="9" t="s">
        <v>11</v>
      </c>
      <c r="D631" s="8" t="str">
        <f t="shared" si="1"/>
        <v>-</v>
      </c>
      <c r="E631" s="9"/>
      <c r="F631" s="10"/>
      <c r="G631" s="9"/>
      <c r="H631" s="11"/>
      <c r="I631" s="9" t="s">
        <v>13</v>
      </c>
      <c r="J631" s="44"/>
    </row>
    <row r="632">
      <c r="A632" s="42" t="s">
        <v>206</v>
      </c>
      <c r="B632" s="47"/>
      <c r="C632" s="9" t="s">
        <v>11</v>
      </c>
      <c r="D632" s="8" t="str">
        <f t="shared" si="1"/>
        <v>-</v>
      </c>
      <c r="E632" s="9"/>
      <c r="F632" s="10"/>
      <c r="G632" s="9"/>
      <c r="H632" s="11"/>
      <c r="I632" s="9" t="s">
        <v>13</v>
      </c>
      <c r="J632" s="44"/>
    </row>
    <row r="633">
      <c r="A633" s="42" t="s">
        <v>206</v>
      </c>
      <c r="B633" s="47"/>
      <c r="C633" s="9" t="s">
        <v>11</v>
      </c>
      <c r="D633" s="8" t="str">
        <f t="shared" si="1"/>
        <v>-</v>
      </c>
      <c r="E633" s="9"/>
      <c r="F633" s="10"/>
      <c r="G633" s="9"/>
      <c r="H633" s="11"/>
      <c r="I633" s="9" t="s">
        <v>13</v>
      </c>
      <c r="J633" s="44"/>
    </row>
    <row r="634">
      <c r="A634" s="42" t="s">
        <v>206</v>
      </c>
      <c r="B634" s="47"/>
      <c r="C634" s="9" t="s">
        <v>11</v>
      </c>
      <c r="D634" s="8" t="str">
        <f t="shared" si="1"/>
        <v>-</v>
      </c>
      <c r="E634" s="9"/>
      <c r="F634" s="10"/>
      <c r="G634" s="9"/>
      <c r="H634" s="11"/>
      <c r="I634" s="9" t="s">
        <v>13</v>
      </c>
      <c r="J634" s="44"/>
    </row>
    <row r="635">
      <c r="A635" s="42" t="s">
        <v>206</v>
      </c>
      <c r="B635" s="47"/>
      <c r="C635" s="9" t="s">
        <v>11</v>
      </c>
      <c r="D635" s="8" t="str">
        <f t="shared" si="1"/>
        <v>-</v>
      </c>
      <c r="E635" s="9"/>
      <c r="F635" s="10"/>
      <c r="G635" s="9"/>
      <c r="H635" s="11"/>
      <c r="I635" s="9" t="s">
        <v>13</v>
      </c>
      <c r="J635" s="44"/>
    </row>
    <row r="636">
      <c r="A636" s="42" t="s">
        <v>206</v>
      </c>
      <c r="B636" s="47"/>
      <c r="C636" s="9" t="s">
        <v>11</v>
      </c>
      <c r="D636" s="8" t="str">
        <f t="shared" si="1"/>
        <v>-</v>
      </c>
      <c r="E636" s="9"/>
      <c r="F636" s="10"/>
      <c r="G636" s="9"/>
      <c r="H636" s="11"/>
      <c r="I636" s="9" t="s">
        <v>13</v>
      </c>
      <c r="J636" s="44"/>
    </row>
    <row r="637">
      <c r="A637" s="42" t="s">
        <v>206</v>
      </c>
      <c r="B637" s="47"/>
      <c r="C637" s="9" t="s">
        <v>11</v>
      </c>
      <c r="D637" s="8" t="str">
        <f t="shared" si="1"/>
        <v>-</v>
      </c>
      <c r="E637" s="9"/>
      <c r="F637" s="10"/>
      <c r="G637" s="9"/>
      <c r="H637" s="11"/>
      <c r="I637" s="9" t="s">
        <v>13</v>
      </c>
      <c r="J637" s="44"/>
    </row>
    <row r="638">
      <c r="A638" s="42" t="s">
        <v>206</v>
      </c>
      <c r="B638" s="47"/>
      <c r="C638" s="9" t="s">
        <v>11</v>
      </c>
      <c r="D638" s="8" t="str">
        <f t="shared" si="1"/>
        <v>-</v>
      </c>
      <c r="E638" s="9"/>
      <c r="F638" s="10"/>
      <c r="G638" s="9"/>
      <c r="H638" s="11"/>
      <c r="I638" s="9" t="s">
        <v>13</v>
      </c>
      <c r="J638" s="44"/>
    </row>
    <row r="639">
      <c r="A639" s="42" t="s">
        <v>206</v>
      </c>
      <c r="B639" s="47"/>
      <c r="C639" s="9" t="s">
        <v>11</v>
      </c>
      <c r="D639" s="8" t="str">
        <f t="shared" si="1"/>
        <v>-</v>
      </c>
      <c r="E639" s="9"/>
      <c r="F639" s="10"/>
      <c r="G639" s="9"/>
      <c r="H639" s="11"/>
      <c r="I639" s="9" t="s">
        <v>13</v>
      </c>
      <c r="J639" s="44"/>
    </row>
    <row r="640">
      <c r="A640" s="42" t="s">
        <v>206</v>
      </c>
      <c r="B640" s="47"/>
      <c r="C640" s="9" t="s">
        <v>11</v>
      </c>
      <c r="D640" s="8" t="str">
        <f t="shared" si="1"/>
        <v>-</v>
      </c>
      <c r="E640" s="9"/>
      <c r="F640" s="10"/>
      <c r="G640" s="9"/>
      <c r="H640" s="11"/>
      <c r="I640" s="9" t="s">
        <v>13</v>
      </c>
      <c r="J640" s="44"/>
    </row>
    <row r="641">
      <c r="A641" s="42" t="s">
        <v>206</v>
      </c>
      <c r="B641" s="47"/>
      <c r="C641" s="9" t="s">
        <v>11</v>
      </c>
      <c r="D641" s="8" t="str">
        <f t="shared" si="1"/>
        <v>-</v>
      </c>
      <c r="E641" s="9"/>
      <c r="F641" s="10"/>
      <c r="G641" s="9"/>
      <c r="H641" s="11"/>
      <c r="I641" s="9" t="s">
        <v>13</v>
      </c>
      <c r="J641" s="44"/>
    </row>
    <row r="642">
      <c r="A642" s="42" t="s">
        <v>206</v>
      </c>
      <c r="B642" s="47"/>
      <c r="C642" s="9" t="s">
        <v>11</v>
      </c>
      <c r="D642" s="8" t="str">
        <f t="shared" si="1"/>
        <v>-</v>
      </c>
      <c r="E642" s="9"/>
      <c r="F642" s="10"/>
      <c r="G642" s="9"/>
      <c r="H642" s="11"/>
      <c r="I642" s="9" t="s">
        <v>13</v>
      </c>
      <c r="J642" s="44"/>
    </row>
    <row r="643">
      <c r="A643" s="42" t="s">
        <v>206</v>
      </c>
      <c r="B643" s="47"/>
      <c r="C643" s="9" t="s">
        <v>11</v>
      </c>
      <c r="D643" s="8" t="str">
        <f t="shared" si="1"/>
        <v>-</v>
      </c>
      <c r="E643" s="9"/>
      <c r="F643" s="10"/>
      <c r="G643" s="9"/>
      <c r="H643" s="11"/>
      <c r="I643" s="9" t="s">
        <v>13</v>
      </c>
      <c r="J643" s="44"/>
    </row>
    <row r="644">
      <c r="A644" s="42" t="s">
        <v>206</v>
      </c>
      <c r="B644" s="47"/>
      <c r="C644" s="9" t="s">
        <v>11</v>
      </c>
      <c r="D644" s="8" t="str">
        <f t="shared" si="1"/>
        <v>-</v>
      </c>
      <c r="E644" s="9"/>
      <c r="F644" s="10"/>
      <c r="G644" s="9"/>
      <c r="H644" s="11"/>
      <c r="I644" s="9" t="s">
        <v>13</v>
      </c>
      <c r="J644" s="44"/>
    </row>
    <row r="645">
      <c r="A645" s="42" t="s">
        <v>206</v>
      </c>
      <c r="B645" s="47"/>
      <c r="C645" s="9" t="s">
        <v>11</v>
      </c>
      <c r="D645" s="8" t="str">
        <f t="shared" si="1"/>
        <v>-</v>
      </c>
      <c r="E645" s="9"/>
      <c r="F645" s="10"/>
      <c r="G645" s="9"/>
      <c r="H645" s="11"/>
      <c r="I645" s="9" t="s">
        <v>13</v>
      </c>
      <c r="J645" s="44"/>
    </row>
    <row r="646">
      <c r="A646" s="42" t="s">
        <v>206</v>
      </c>
      <c r="B646" s="47"/>
      <c r="C646" s="9" t="s">
        <v>11</v>
      </c>
      <c r="D646" s="8" t="str">
        <f t="shared" si="1"/>
        <v>-</v>
      </c>
      <c r="E646" s="9"/>
      <c r="F646" s="10"/>
      <c r="G646" s="9"/>
      <c r="H646" s="11"/>
      <c r="I646" s="9" t="s">
        <v>13</v>
      </c>
      <c r="J646" s="44"/>
    </row>
    <row r="647">
      <c r="A647" s="42" t="s">
        <v>206</v>
      </c>
      <c r="B647" s="47"/>
      <c r="C647" s="9" t="s">
        <v>11</v>
      </c>
      <c r="D647" s="8" t="str">
        <f t="shared" si="1"/>
        <v>-</v>
      </c>
      <c r="E647" s="9"/>
      <c r="F647" s="10"/>
      <c r="G647" s="9"/>
      <c r="H647" s="11"/>
      <c r="I647" s="9" t="s">
        <v>13</v>
      </c>
      <c r="J647" s="44"/>
    </row>
    <row r="648">
      <c r="A648" s="42" t="s">
        <v>206</v>
      </c>
      <c r="B648" s="47"/>
      <c r="C648" s="9" t="s">
        <v>11</v>
      </c>
      <c r="D648" s="8" t="str">
        <f t="shared" si="1"/>
        <v>-</v>
      </c>
      <c r="E648" s="9"/>
      <c r="F648" s="10"/>
      <c r="G648" s="9"/>
      <c r="H648" s="11"/>
      <c r="I648" s="9" t="s">
        <v>13</v>
      </c>
      <c r="J648" s="44"/>
    </row>
    <row r="649">
      <c r="A649" s="42" t="s">
        <v>206</v>
      </c>
      <c r="B649" s="47"/>
      <c r="C649" s="9" t="s">
        <v>11</v>
      </c>
      <c r="D649" s="8" t="str">
        <f t="shared" si="1"/>
        <v>-</v>
      </c>
      <c r="E649" s="9"/>
      <c r="F649" s="10"/>
      <c r="G649" s="9"/>
      <c r="H649" s="11"/>
      <c r="I649" s="9" t="s">
        <v>13</v>
      </c>
      <c r="J649" s="44"/>
    </row>
    <row r="650">
      <c r="A650" s="42" t="s">
        <v>206</v>
      </c>
      <c r="B650" s="47"/>
      <c r="C650" s="9" t="s">
        <v>11</v>
      </c>
      <c r="D650" s="8" t="str">
        <f t="shared" si="1"/>
        <v>-</v>
      </c>
      <c r="E650" s="9"/>
      <c r="F650" s="10"/>
      <c r="G650" s="9"/>
      <c r="H650" s="11"/>
      <c r="I650" s="9" t="s">
        <v>13</v>
      </c>
      <c r="J650" s="44"/>
    </row>
    <row r="651">
      <c r="A651" s="42" t="s">
        <v>206</v>
      </c>
      <c r="B651" s="47"/>
      <c r="C651" s="9" t="s">
        <v>11</v>
      </c>
      <c r="D651" s="8" t="str">
        <f t="shared" si="1"/>
        <v>-</v>
      </c>
      <c r="E651" s="9"/>
      <c r="F651" s="10"/>
      <c r="G651" s="9"/>
      <c r="H651" s="11"/>
      <c r="I651" s="9" t="s">
        <v>13</v>
      </c>
      <c r="J651" s="44"/>
    </row>
    <row r="652">
      <c r="A652" s="42" t="s">
        <v>206</v>
      </c>
      <c r="B652" s="47"/>
      <c r="C652" s="9" t="s">
        <v>11</v>
      </c>
      <c r="D652" s="8" t="str">
        <f t="shared" si="1"/>
        <v>-</v>
      </c>
      <c r="E652" s="9"/>
      <c r="F652" s="10"/>
      <c r="G652" s="9"/>
      <c r="H652" s="11"/>
      <c r="I652" s="9" t="s">
        <v>13</v>
      </c>
      <c r="J652" s="44"/>
    </row>
    <row r="653">
      <c r="A653" s="42" t="s">
        <v>206</v>
      </c>
      <c r="B653" s="47"/>
      <c r="C653" s="9" t="s">
        <v>11</v>
      </c>
      <c r="D653" s="8" t="str">
        <f t="shared" si="1"/>
        <v>-</v>
      </c>
      <c r="E653" s="9"/>
      <c r="F653" s="10"/>
      <c r="G653" s="9"/>
      <c r="H653" s="11"/>
      <c r="I653" s="9" t="s">
        <v>13</v>
      </c>
      <c r="J653" s="44"/>
    </row>
    <row r="654">
      <c r="A654" s="42" t="s">
        <v>206</v>
      </c>
      <c r="B654" s="47"/>
      <c r="C654" s="9" t="s">
        <v>11</v>
      </c>
      <c r="D654" s="8" t="str">
        <f t="shared" si="1"/>
        <v>-</v>
      </c>
      <c r="E654" s="9"/>
      <c r="F654" s="10"/>
      <c r="G654" s="9"/>
      <c r="H654" s="11"/>
      <c r="I654" s="9" t="s">
        <v>13</v>
      </c>
      <c r="J654" s="44"/>
    </row>
    <row r="655">
      <c r="A655" s="42" t="s">
        <v>206</v>
      </c>
      <c r="B655" s="47"/>
      <c r="C655" s="9" t="s">
        <v>11</v>
      </c>
      <c r="D655" s="8" t="str">
        <f t="shared" si="1"/>
        <v>-</v>
      </c>
      <c r="E655" s="9"/>
      <c r="F655" s="10"/>
      <c r="G655" s="9"/>
      <c r="H655" s="11"/>
      <c r="I655" s="9" t="s">
        <v>13</v>
      </c>
      <c r="J655" s="44"/>
    </row>
    <row r="656">
      <c r="A656" s="42" t="s">
        <v>206</v>
      </c>
      <c r="B656" s="47"/>
      <c r="C656" s="9" t="s">
        <v>11</v>
      </c>
      <c r="D656" s="8" t="str">
        <f t="shared" si="1"/>
        <v>-</v>
      </c>
      <c r="E656" s="9"/>
      <c r="F656" s="10"/>
      <c r="G656" s="9"/>
      <c r="H656" s="11"/>
      <c r="I656" s="9" t="s">
        <v>13</v>
      </c>
      <c r="J656" s="44"/>
    </row>
    <row r="657">
      <c r="A657" s="42" t="s">
        <v>206</v>
      </c>
      <c r="B657" s="47"/>
      <c r="C657" s="9" t="s">
        <v>11</v>
      </c>
      <c r="D657" s="8" t="str">
        <f t="shared" si="1"/>
        <v>-</v>
      </c>
      <c r="E657" s="9"/>
      <c r="F657" s="10"/>
      <c r="G657" s="9"/>
      <c r="H657" s="11"/>
      <c r="I657" s="9" t="s">
        <v>13</v>
      </c>
      <c r="J657" s="44"/>
    </row>
    <row r="658">
      <c r="A658" s="42" t="s">
        <v>206</v>
      </c>
      <c r="B658" s="47"/>
      <c r="C658" s="9" t="s">
        <v>11</v>
      </c>
      <c r="D658" s="8" t="str">
        <f t="shared" si="1"/>
        <v>-</v>
      </c>
      <c r="E658" s="9"/>
      <c r="F658" s="10"/>
      <c r="G658" s="9"/>
      <c r="H658" s="11"/>
      <c r="I658" s="9" t="s">
        <v>13</v>
      </c>
      <c r="J658" s="44"/>
    </row>
    <row r="659">
      <c r="A659" s="42" t="s">
        <v>206</v>
      </c>
      <c r="B659" s="47"/>
      <c r="C659" s="9" t="s">
        <v>11</v>
      </c>
      <c r="D659" s="8" t="str">
        <f t="shared" si="1"/>
        <v>-</v>
      </c>
      <c r="E659" s="9"/>
      <c r="F659" s="10"/>
      <c r="G659" s="9"/>
      <c r="H659" s="11"/>
      <c r="I659" s="9" t="s">
        <v>13</v>
      </c>
      <c r="J659" s="44"/>
    </row>
    <row r="660">
      <c r="A660" s="42" t="s">
        <v>206</v>
      </c>
      <c r="B660" s="47"/>
      <c r="C660" s="9" t="s">
        <v>11</v>
      </c>
      <c r="D660" s="8" t="str">
        <f t="shared" si="1"/>
        <v>-</v>
      </c>
      <c r="E660" s="9"/>
      <c r="F660" s="10"/>
      <c r="G660" s="9"/>
      <c r="H660" s="11"/>
      <c r="I660" s="9" t="s">
        <v>13</v>
      </c>
      <c r="J660" s="44"/>
    </row>
    <row r="661">
      <c r="A661" s="42" t="s">
        <v>206</v>
      </c>
      <c r="B661" s="47"/>
      <c r="C661" s="9" t="s">
        <v>11</v>
      </c>
      <c r="D661" s="8" t="str">
        <f t="shared" si="1"/>
        <v>-</v>
      </c>
      <c r="E661" s="9"/>
      <c r="F661" s="10"/>
      <c r="G661" s="9"/>
      <c r="H661" s="11"/>
      <c r="I661" s="9" t="s">
        <v>13</v>
      </c>
      <c r="J661" s="44"/>
    </row>
    <row r="662">
      <c r="A662" s="42" t="s">
        <v>206</v>
      </c>
      <c r="B662" s="47"/>
      <c r="C662" s="9" t="s">
        <v>11</v>
      </c>
      <c r="D662" s="8" t="str">
        <f t="shared" si="1"/>
        <v>-</v>
      </c>
      <c r="E662" s="9"/>
      <c r="F662" s="10"/>
      <c r="G662" s="9"/>
      <c r="H662" s="11"/>
      <c r="I662" s="9" t="s">
        <v>13</v>
      </c>
      <c r="J662" s="44"/>
    </row>
    <row r="663">
      <c r="A663" s="42" t="s">
        <v>206</v>
      </c>
      <c r="B663" s="47"/>
      <c r="C663" s="9" t="s">
        <v>11</v>
      </c>
      <c r="D663" s="8" t="str">
        <f t="shared" si="1"/>
        <v>-</v>
      </c>
      <c r="E663" s="9"/>
      <c r="F663" s="10"/>
      <c r="G663" s="9"/>
      <c r="H663" s="11"/>
      <c r="I663" s="9" t="s">
        <v>13</v>
      </c>
      <c r="J663" s="44"/>
    </row>
    <row r="664">
      <c r="A664" s="42" t="s">
        <v>206</v>
      </c>
      <c r="B664" s="47"/>
      <c r="C664" s="9" t="s">
        <v>11</v>
      </c>
      <c r="D664" s="8" t="str">
        <f t="shared" si="1"/>
        <v>-</v>
      </c>
      <c r="E664" s="9"/>
      <c r="F664" s="10"/>
      <c r="G664" s="9"/>
      <c r="H664" s="11"/>
      <c r="I664" s="9" t="s">
        <v>13</v>
      </c>
      <c r="J664" s="44"/>
    </row>
    <row r="665">
      <c r="A665" s="42" t="s">
        <v>206</v>
      </c>
      <c r="B665" s="47"/>
      <c r="C665" s="9" t="s">
        <v>11</v>
      </c>
      <c r="D665" s="8" t="str">
        <f t="shared" si="1"/>
        <v>-</v>
      </c>
      <c r="E665" s="9"/>
      <c r="F665" s="10"/>
      <c r="G665" s="9"/>
      <c r="H665" s="11"/>
      <c r="I665" s="9" t="s">
        <v>13</v>
      </c>
      <c r="J665" s="44"/>
    </row>
    <row r="666">
      <c r="A666" s="42" t="s">
        <v>206</v>
      </c>
      <c r="B666" s="47"/>
      <c r="C666" s="9" t="s">
        <v>11</v>
      </c>
      <c r="D666" s="8" t="str">
        <f t="shared" si="1"/>
        <v>-</v>
      </c>
      <c r="E666" s="9"/>
      <c r="F666" s="10"/>
      <c r="G666" s="9"/>
      <c r="H666" s="11"/>
      <c r="I666" s="9" t="s">
        <v>13</v>
      </c>
      <c r="J666" s="44"/>
    </row>
    <row r="667">
      <c r="A667" s="42" t="s">
        <v>206</v>
      </c>
      <c r="B667" s="47"/>
      <c r="C667" s="9" t="s">
        <v>11</v>
      </c>
      <c r="D667" s="8" t="str">
        <f t="shared" si="1"/>
        <v>-</v>
      </c>
      <c r="E667" s="9"/>
      <c r="F667" s="10"/>
      <c r="G667" s="9"/>
      <c r="H667" s="11"/>
      <c r="I667" s="9" t="s">
        <v>13</v>
      </c>
      <c r="J667" s="44"/>
    </row>
    <row r="668">
      <c r="A668" s="42" t="s">
        <v>206</v>
      </c>
      <c r="B668" s="47"/>
      <c r="C668" s="9" t="s">
        <v>11</v>
      </c>
      <c r="D668" s="8" t="str">
        <f t="shared" si="1"/>
        <v>-</v>
      </c>
      <c r="E668" s="9"/>
      <c r="F668" s="10"/>
      <c r="G668" s="9"/>
      <c r="H668" s="11"/>
      <c r="I668" s="9" t="s">
        <v>13</v>
      </c>
      <c r="J668" s="44"/>
    </row>
    <row r="669">
      <c r="A669" s="42" t="s">
        <v>206</v>
      </c>
      <c r="B669" s="47"/>
      <c r="C669" s="9" t="s">
        <v>11</v>
      </c>
      <c r="D669" s="8" t="str">
        <f t="shared" si="1"/>
        <v>-</v>
      </c>
      <c r="E669" s="9"/>
      <c r="F669" s="10"/>
      <c r="G669" s="9"/>
      <c r="H669" s="11"/>
      <c r="I669" s="9" t="s">
        <v>13</v>
      </c>
      <c r="J669" s="44"/>
    </row>
    <row r="670">
      <c r="A670" s="42" t="s">
        <v>206</v>
      </c>
      <c r="B670" s="47"/>
      <c r="C670" s="9" t="s">
        <v>11</v>
      </c>
      <c r="D670" s="8" t="str">
        <f t="shared" si="1"/>
        <v>-</v>
      </c>
      <c r="E670" s="9"/>
      <c r="F670" s="10"/>
      <c r="G670" s="9"/>
      <c r="H670" s="11"/>
      <c r="I670" s="9" t="s">
        <v>13</v>
      </c>
      <c r="J670" s="44"/>
    </row>
    <row r="671">
      <c r="A671" s="42" t="s">
        <v>206</v>
      </c>
      <c r="B671" s="47"/>
      <c r="C671" s="9" t="s">
        <v>11</v>
      </c>
      <c r="D671" s="8" t="str">
        <f t="shared" si="1"/>
        <v>-</v>
      </c>
      <c r="E671" s="9"/>
      <c r="F671" s="10"/>
      <c r="G671" s="9"/>
      <c r="H671" s="11"/>
      <c r="I671" s="9" t="s">
        <v>13</v>
      </c>
      <c r="J671" s="44"/>
    </row>
    <row r="672">
      <c r="A672" s="42" t="s">
        <v>206</v>
      </c>
      <c r="B672" s="47"/>
      <c r="C672" s="9" t="s">
        <v>11</v>
      </c>
      <c r="D672" s="8" t="str">
        <f t="shared" si="1"/>
        <v>-</v>
      </c>
      <c r="E672" s="9"/>
      <c r="F672" s="10"/>
      <c r="G672" s="9"/>
      <c r="H672" s="11"/>
      <c r="I672" s="9" t="s">
        <v>13</v>
      </c>
      <c r="J672" s="44"/>
    </row>
    <row r="673">
      <c r="A673" s="42" t="s">
        <v>206</v>
      </c>
      <c r="B673" s="47"/>
      <c r="C673" s="9" t="s">
        <v>11</v>
      </c>
      <c r="D673" s="8" t="str">
        <f t="shared" si="1"/>
        <v>-</v>
      </c>
      <c r="E673" s="9"/>
      <c r="F673" s="10"/>
      <c r="G673" s="9"/>
      <c r="H673" s="11"/>
      <c r="I673" s="9" t="s">
        <v>13</v>
      </c>
      <c r="J673" s="44"/>
    </row>
    <row r="674">
      <c r="A674" s="42" t="s">
        <v>206</v>
      </c>
      <c r="B674" s="47"/>
      <c r="C674" s="9" t="s">
        <v>11</v>
      </c>
      <c r="D674" s="8" t="str">
        <f t="shared" si="1"/>
        <v>-</v>
      </c>
      <c r="E674" s="9"/>
      <c r="F674" s="10"/>
      <c r="G674" s="9"/>
      <c r="H674" s="11"/>
      <c r="I674" s="9" t="s">
        <v>13</v>
      </c>
      <c r="J674" s="44"/>
    </row>
    <row r="675">
      <c r="A675" s="42" t="s">
        <v>206</v>
      </c>
      <c r="B675" s="47"/>
      <c r="C675" s="9" t="s">
        <v>11</v>
      </c>
      <c r="D675" s="8" t="str">
        <f t="shared" si="1"/>
        <v>-</v>
      </c>
      <c r="E675" s="9"/>
      <c r="F675" s="10"/>
      <c r="G675" s="9"/>
      <c r="H675" s="11"/>
      <c r="I675" s="9" t="s">
        <v>13</v>
      </c>
      <c r="J675" s="44"/>
    </row>
    <row r="676">
      <c r="A676" s="42" t="s">
        <v>206</v>
      </c>
      <c r="B676" s="47"/>
      <c r="C676" s="9" t="s">
        <v>11</v>
      </c>
      <c r="D676" s="8" t="str">
        <f t="shared" si="1"/>
        <v>-</v>
      </c>
      <c r="E676" s="9"/>
      <c r="F676" s="10"/>
      <c r="G676" s="9"/>
      <c r="H676" s="11"/>
      <c r="I676" s="9" t="s">
        <v>13</v>
      </c>
      <c r="J676" s="44"/>
    </row>
    <row r="677">
      <c r="A677" s="42" t="s">
        <v>206</v>
      </c>
      <c r="B677" s="47"/>
      <c r="C677" s="9" t="s">
        <v>11</v>
      </c>
      <c r="D677" s="8" t="str">
        <f t="shared" si="1"/>
        <v>-</v>
      </c>
      <c r="E677" s="9"/>
      <c r="F677" s="10"/>
      <c r="G677" s="9"/>
      <c r="H677" s="11"/>
      <c r="I677" s="9" t="s">
        <v>13</v>
      </c>
      <c r="J677" s="44"/>
    </row>
    <row r="678">
      <c r="A678" s="42" t="s">
        <v>206</v>
      </c>
      <c r="B678" s="47"/>
      <c r="C678" s="9" t="s">
        <v>11</v>
      </c>
      <c r="D678" s="8" t="str">
        <f t="shared" si="1"/>
        <v>-</v>
      </c>
      <c r="E678" s="9"/>
      <c r="F678" s="10"/>
      <c r="G678" s="9"/>
      <c r="H678" s="11"/>
      <c r="I678" s="9" t="s">
        <v>13</v>
      </c>
      <c r="J678" s="44"/>
    </row>
    <row r="679">
      <c r="A679" s="42" t="s">
        <v>206</v>
      </c>
      <c r="B679" s="47"/>
      <c r="C679" s="9" t="s">
        <v>11</v>
      </c>
      <c r="D679" s="8" t="str">
        <f t="shared" si="1"/>
        <v>-</v>
      </c>
      <c r="E679" s="9"/>
      <c r="F679" s="10"/>
      <c r="G679" s="9"/>
      <c r="H679" s="11"/>
      <c r="I679" s="9" t="s">
        <v>13</v>
      </c>
      <c r="J679" s="44"/>
    </row>
    <row r="680">
      <c r="A680" s="42" t="s">
        <v>206</v>
      </c>
      <c r="B680" s="47"/>
      <c r="C680" s="9" t="s">
        <v>11</v>
      </c>
      <c r="D680" s="8" t="str">
        <f t="shared" si="1"/>
        <v>-</v>
      </c>
      <c r="E680" s="9"/>
      <c r="F680" s="10"/>
      <c r="G680" s="9"/>
      <c r="H680" s="11"/>
      <c r="I680" s="9" t="s">
        <v>13</v>
      </c>
      <c r="J680" s="44"/>
    </row>
    <row r="681">
      <c r="A681" s="42" t="s">
        <v>206</v>
      </c>
      <c r="B681" s="47"/>
      <c r="C681" s="9" t="s">
        <v>11</v>
      </c>
      <c r="D681" s="8" t="str">
        <f t="shared" si="1"/>
        <v>-</v>
      </c>
      <c r="E681" s="9"/>
      <c r="F681" s="10"/>
      <c r="G681" s="9"/>
      <c r="H681" s="11"/>
      <c r="I681" s="9" t="s">
        <v>13</v>
      </c>
      <c r="J681" s="44"/>
    </row>
    <row r="682">
      <c r="A682" s="42" t="s">
        <v>206</v>
      </c>
      <c r="B682" s="47"/>
      <c r="C682" s="9" t="s">
        <v>11</v>
      </c>
      <c r="D682" s="8" t="str">
        <f t="shared" si="1"/>
        <v>-</v>
      </c>
      <c r="E682" s="9"/>
      <c r="F682" s="10"/>
      <c r="G682" s="9"/>
      <c r="H682" s="11"/>
      <c r="I682" s="9" t="s">
        <v>13</v>
      </c>
      <c r="J682" s="44"/>
    </row>
    <row r="683">
      <c r="A683" s="42" t="s">
        <v>206</v>
      </c>
      <c r="B683" s="47"/>
      <c r="C683" s="9" t="s">
        <v>11</v>
      </c>
      <c r="D683" s="8" t="str">
        <f t="shared" si="1"/>
        <v>-</v>
      </c>
      <c r="E683" s="9"/>
      <c r="F683" s="10"/>
      <c r="G683" s="9"/>
      <c r="H683" s="11"/>
      <c r="I683" s="9" t="s">
        <v>13</v>
      </c>
      <c r="J683" s="44"/>
    </row>
    <row r="684">
      <c r="A684" s="42" t="s">
        <v>206</v>
      </c>
      <c r="B684" s="47"/>
      <c r="C684" s="9" t="s">
        <v>11</v>
      </c>
      <c r="D684" s="8" t="str">
        <f t="shared" si="1"/>
        <v>-</v>
      </c>
      <c r="E684" s="9"/>
      <c r="F684" s="10"/>
      <c r="G684" s="9"/>
      <c r="H684" s="11"/>
      <c r="I684" s="9" t="s">
        <v>13</v>
      </c>
      <c r="J684" s="44"/>
    </row>
    <row r="685">
      <c r="A685" s="42" t="s">
        <v>206</v>
      </c>
      <c r="B685" s="47"/>
      <c r="C685" s="9" t="s">
        <v>11</v>
      </c>
      <c r="D685" s="8" t="str">
        <f t="shared" si="1"/>
        <v>-</v>
      </c>
      <c r="E685" s="9"/>
      <c r="F685" s="10"/>
      <c r="G685" s="9"/>
      <c r="H685" s="11"/>
      <c r="I685" s="9" t="s">
        <v>13</v>
      </c>
      <c r="J685" s="44"/>
    </row>
    <row r="686">
      <c r="A686" s="42" t="s">
        <v>206</v>
      </c>
      <c r="B686" s="47"/>
      <c r="C686" s="9" t="s">
        <v>11</v>
      </c>
      <c r="D686" s="8" t="str">
        <f t="shared" si="1"/>
        <v>-</v>
      </c>
      <c r="E686" s="9"/>
      <c r="F686" s="10"/>
      <c r="G686" s="9"/>
      <c r="H686" s="11"/>
      <c r="I686" s="9" t="s">
        <v>13</v>
      </c>
      <c r="J686" s="44"/>
    </row>
    <row r="687">
      <c r="A687" s="42" t="s">
        <v>206</v>
      </c>
      <c r="B687" s="47"/>
      <c r="C687" s="9" t="s">
        <v>11</v>
      </c>
      <c r="D687" s="8" t="str">
        <f t="shared" si="1"/>
        <v>-</v>
      </c>
      <c r="E687" s="9"/>
      <c r="F687" s="10"/>
      <c r="G687" s="9"/>
      <c r="H687" s="11"/>
      <c r="I687" s="9" t="s">
        <v>13</v>
      </c>
      <c r="J687" s="44"/>
    </row>
    <row r="688">
      <c r="A688" s="42" t="s">
        <v>206</v>
      </c>
      <c r="B688" s="47"/>
      <c r="C688" s="9" t="s">
        <v>11</v>
      </c>
      <c r="D688" s="8" t="str">
        <f t="shared" si="1"/>
        <v>-</v>
      </c>
      <c r="E688" s="9"/>
      <c r="F688" s="10"/>
      <c r="G688" s="9"/>
      <c r="H688" s="11"/>
      <c r="I688" s="9" t="s">
        <v>13</v>
      </c>
      <c r="J688" s="44"/>
    </row>
    <row r="689">
      <c r="A689" s="42" t="s">
        <v>206</v>
      </c>
      <c r="B689" s="47"/>
      <c r="C689" s="9" t="s">
        <v>11</v>
      </c>
      <c r="D689" s="8" t="str">
        <f t="shared" si="1"/>
        <v>-</v>
      </c>
      <c r="E689" s="9"/>
      <c r="F689" s="10"/>
      <c r="G689" s="9"/>
      <c r="H689" s="11"/>
      <c r="I689" s="9" t="s">
        <v>13</v>
      </c>
      <c r="J689" s="44"/>
    </row>
    <row r="690">
      <c r="A690" s="42" t="s">
        <v>206</v>
      </c>
      <c r="B690" s="47"/>
      <c r="C690" s="9" t="s">
        <v>11</v>
      </c>
      <c r="D690" s="8" t="str">
        <f t="shared" si="1"/>
        <v>-</v>
      </c>
      <c r="E690" s="9"/>
      <c r="F690" s="10"/>
      <c r="G690" s="9"/>
      <c r="H690" s="11"/>
      <c r="I690" s="9" t="s">
        <v>13</v>
      </c>
      <c r="J690" s="44"/>
    </row>
    <row r="691">
      <c r="A691" s="42" t="s">
        <v>206</v>
      </c>
      <c r="B691" s="47"/>
      <c r="C691" s="9" t="s">
        <v>11</v>
      </c>
      <c r="D691" s="8" t="str">
        <f t="shared" si="1"/>
        <v>-</v>
      </c>
      <c r="E691" s="9"/>
      <c r="F691" s="10"/>
      <c r="G691" s="9"/>
      <c r="H691" s="11"/>
      <c r="I691" s="9" t="s">
        <v>13</v>
      </c>
      <c r="J691" s="44"/>
    </row>
    <row r="692">
      <c r="A692" s="42" t="s">
        <v>206</v>
      </c>
      <c r="B692" s="47"/>
      <c r="C692" s="9" t="s">
        <v>11</v>
      </c>
      <c r="D692" s="8" t="str">
        <f t="shared" si="1"/>
        <v>-</v>
      </c>
      <c r="E692" s="9"/>
      <c r="F692" s="10"/>
      <c r="G692" s="9"/>
      <c r="H692" s="11"/>
      <c r="I692" s="9" t="s">
        <v>13</v>
      </c>
      <c r="J692" s="44"/>
    </row>
    <row r="693">
      <c r="A693" s="42" t="s">
        <v>206</v>
      </c>
      <c r="B693" s="47"/>
      <c r="C693" s="9" t="s">
        <v>11</v>
      </c>
      <c r="D693" s="8" t="str">
        <f t="shared" si="1"/>
        <v>-</v>
      </c>
      <c r="E693" s="9"/>
      <c r="F693" s="10"/>
      <c r="G693" s="9"/>
      <c r="H693" s="11"/>
      <c r="I693" s="9" t="s">
        <v>13</v>
      </c>
      <c r="J693" s="44"/>
    </row>
    <row r="694">
      <c r="A694" s="42" t="s">
        <v>206</v>
      </c>
      <c r="B694" s="47"/>
      <c r="C694" s="9" t="s">
        <v>11</v>
      </c>
      <c r="D694" s="8" t="str">
        <f t="shared" si="1"/>
        <v>-</v>
      </c>
      <c r="E694" s="9"/>
      <c r="F694" s="10"/>
      <c r="G694" s="9"/>
      <c r="H694" s="11"/>
      <c r="I694" s="9" t="s">
        <v>13</v>
      </c>
      <c r="J694" s="44"/>
    </row>
    <row r="695">
      <c r="A695" s="42" t="s">
        <v>206</v>
      </c>
      <c r="B695" s="47"/>
      <c r="C695" s="9" t="s">
        <v>11</v>
      </c>
      <c r="D695" s="8" t="str">
        <f t="shared" si="1"/>
        <v>-</v>
      </c>
      <c r="E695" s="9"/>
      <c r="F695" s="10"/>
      <c r="G695" s="9"/>
      <c r="H695" s="11"/>
      <c r="I695" s="9" t="s">
        <v>13</v>
      </c>
      <c r="J695" s="44"/>
    </row>
    <row r="696">
      <c r="A696" s="42" t="s">
        <v>206</v>
      </c>
      <c r="B696" s="47"/>
      <c r="C696" s="9" t="s">
        <v>11</v>
      </c>
      <c r="D696" s="8" t="str">
        <f t="shared" si="1"/>
        <v>-</v>
      </c>
      <c r="E696" s="9"/>
      <c r="F696" s="10"/>
      <c r="G696" s="9"/>
      <c r="H696" s="11"/>
      <c r="I696" s="9" t="s">
        <v>13</v>
      </c>
      <c r="J696" s="44"/>
    </row>
    <row r="697">
      <c r="A697" s="42" t="s">
        <v>206</v>
      </c>
      <c r="B697" s="47"/>
      <c r="C697" s="9" t="s">
        <v>11</v>
      </c>
      <c r="D697" s="8" t="str">
        <f t="shared" si="1"/>
        <v>-</v>
      </c>
      <c r="E697" s="9"/>
      <c r="F697" s="10"/>
      <c r="G697" s="9"/>
      <c r="H697" s="11"/>
      <c r="I697" s="9" t="s">
        <v>13</v>
      </c>
      <c r="J697" s="44"/>
    </row>
    <row r="698">
      <c r="A698" s="42" t="s">
        <v>206</v>
      </c>
      <c r="B698" s="47"/>
      <c r="C698" s="9" t="s">
        <v>11</v>
      </c>
      <c r="D698" s="8" t="str">
        <f t="shared" si="1"/>
        <v>-</v>
      </c>
      <c r="E698" s="9"/>
      <c r="F698" s="10"/>
      <c r="G698" s="9"/>
      <c r="H698" s="11"/>
      <c r="I698" s="9" t="s">
        <v>13</v>
      </c>
      <c r="J698" s="44"/>
    </row>
    <row r="699">
      <c r="A699" s="42" t="s">
        <v>206</v>
      </c>
      <c r="B699" s="47"/>
      <c r="C699" s="9" t="s">
        <v>11</v>
      </c>
      <c r="D699" s="8" t="str">
        <f t="shared" si="1"/>
        <v>-</v>
      </c>
      <c r="E699" s="9"/>
      <c r="F699" s="10"/>
      <c r="G699" s="9"/>
      <c r="H699" s="11"/>
      <c r="I699" s="9" t="s">
        <v>13</v>
      </c>
      <c r="J699" s="44"/>
    </row>
    <row r="700">
      <c r="A700" s="42" t="s">
        <v>206</v>
      </c>
      <c r="B700" s="47"/>
      <c r="C700" s="9" t="s">
        <v>11</v>
      </c>
      <c r="D700" s="8" t="str">
        <f t="shared" si="1"/>
        <v>-</v>
      </c>
      <c r="E700" s="9"/>
      <c r="F700" s="10"/>
      <c r="G700" s="9"/>
      <c r="H700" s="11"/>
      <c r="I700" s="9" t="s">
        <v>13</v>
      </c>
      <c r="J700" s="44"/>
    </row>
    <row r="701">
      <c r="A701" s="42" t="s">
        <v>206</v>
      </c>
      <c r="B701" s="47"/>
      <c r="C701" s="9" t="s">
        <v>11</v>
      </c>
      <c r="D701" s="8" t="str">
        <f t="shared" si="1"/>
        <v>-</v>
      </c>
      <c r="E701" s="9"/>
      <c r="F701" s="10"/>
      <c r="G701" s="9"/>
      <c r="H701" s="11"/>
      <c r="I701" s="9" t="s">
        <v>13</v>
      </c>
      <c r="J701" s="44"/>
    </row>
    <row r="702">
      <c r="A702" s="42" t="s">
        <v>206</v>
      </c>
      <c r="B702" s="47"/>
      <c r="C702" s="9" t="s">
        <v>11</v>
      </c>
      <c r="D702" s="8" t="str">
        <f t="shared" si="1"/>
        <v>-</v>
      </c>
      <c r="E702" s="9"/>
      <c r="F702" s="10"/>
      <c r="G702" s="9"/>
      <c r="H702" s="11"/>
      <c r="I702" s="9" t="s">
        <v>13</v>
      </c>
      <c r="J702" s="44"/>
    </row>
    <row r="703">
      <c r="A703" s="42" t="s">
        <v>206</v>
      </c>
      <c r="B703" s="47"/>
      <c r="C703" s="9" t="s">
        <v>11</v>
      </c>
      <c r="D703" s="8" t="str">
        <f t="shared" si="1"/>
        <v>-</v>
      </c>
      <c r="E703" s="9"/>
      <c r="F703" s="10"/>
      <c r="G703" s="9"/>
      <c r="H703" s="11"/>
      <c r="I703" s="9" t="s">
        <v>13</v>
      </c>
      <c r="J703" s="44"/>
    </row>
    <row r="704">
      <c r="A704" s="42" t="s">
        <v>206</v>
      </c>
      <c r="B704" s="47"/>
      <c r="C704" s="9" t="s">
        <v>11</v>
      </c>
      <c r="D704" s="8" t="str">
        <f t="shared" si="1"/>
        <v>-</v>
      </c>
      <c r="E704" s="9"/>
      <c r="F704" s="10"/>
      <c r="G704" s="9"/>
      <c r="H704" s="11"/>
      <c r="I704" s="9" t="s">
        <v>13</v>
      </c>
      <c r="J704" s="44"/>
    </row>
    <row r="705">
      <c r="A705" s="42" t="s">
        <v>206</v>
      </c>
      <c r="B705" s="47"/>
      <c r="C705" s="9" t="s">
        <v>11</v>
      </c>
      <c r="D705" s="8" t="str">
        <f t="shared" si="1"/>
        <v>-</v>
      </c>
      <c r="E705" s="9"/>
      <c r="F705" s="10"/>
      <c r="G705" s="9"/>
      <c r="H705" s="11"/>
      <c r="I705" s="9" t="s">
        <v>13</v>
      </c>
      <c r="J705" s="44"/>
    </row>
    <row r="706">
      <c r="A706" s="42" t="s">
        <v>206</v>
      </c>
      <c r="B706" s="47"/>
      <c r="C706" s="9" t="s">
        <v>11</v>
      </c>
      <c r="D706" s="8" t="str">
        <f t="shared" si="1"/>
        <v>-</v>
      </c>
      <c r="E706" s="9"/>
      <c r="F706" s="10"/>
      <c r="G706" s="9"/>
      <c r="H706" s="11"/>
      <c r="I706" s="9" t="s">
        <v>13</v>
      </c>
      <c r="J706" s="44"/>
    </row>
    <row r="707">
      <c r="A707" s="42" t="s">
        <v>206</v>
      </c>
      <c r="B707" s="47"/>
      <c r="C707" s="9" t="s">
        <v>11</v>
      </c>
      <c r="D707" s="8" t="str">
        <f t="shared" si="1"/>
        <v>-</v>
      </c>
      <c r="E707" s="9"/>
      <c r="F707" s="10"/>
      <c r="G707" s="9"/>
      <c r="H707" s="11"/>
      <c r="I707" s="9" t="s">
        <v>13</v>
      </c>
      <c r="J707" s="44"/>
    </row>
    <row r="708">
      <c r="A708" s="42" t="s">
        <v>206</v>
      </c>
      <c r="B708" s="47"/>
      <c r="C708" s="9" t="s">
        <v>11</v>
      </c>
      <c r="D708" s="8" t="str">
        <f t="shared" si="1"/>
        <v>-</v>
      </c>
      <c r="E708" s="9"/>
      <c r="F708" s="10"/>
      <c r="G708" s="9"/>
      <c r="H708" s="11"/>
      <c r="I708" s="9" t="s">
        <v>13</v>
      </c>
      <c r="J708" s="44"/>
    </row>
    <row r="709">
      <c r="A709" s="42" t="s">
        <v>206</v>
      </c>
      <c r="B709" s="47"/>
      <c r="C709" s="9" t="s">
        <v>11</v>
      </c>
      <c r="D709" s="8" t="str">
        <f t="shared" si="1"/>
        <v>-</v>
      </c>
      <c r="E709" s="9"/>
      <c r="F709" s="10"/>
      <c r="G709" s="9"/>
      <c r="H709" s="11"/>
      <c r="I709" s="9" t="s">
        <v>13</v>
      </c>
      <c r="J709" s="44"/>
    </row>
    <row r="710">
      <c r="A710" s="42" t="s">
        <v>206</v>
      </c>
      <c r="B710" s="47"/>
      <c r="C710" s="9" t="s">
        <v>11</v>
      </c>
      <c r="D710" s="8" t="str">
        <f t="shared" si="1"/>
        <v>-</v>
      </c>
      <c r="E710" s="9"/>
      <c r="F710" s="10"/>
      <c r="G710" s="9"/>
      <c r="H710" s="11"/>
      <c r="I710" s="9" t="s">
        <v>13</v>
      </c>
      <c r="J710" s="44"/>
    </row>
    <row r="711">
      <c r="A711" s="42" t="s">
        <v>206</v>
      </c>
      <c r="B711" s="47"/>
      <c r="C711" s="9" t="s">
        <v>11</v>
      </c>
      <c r="D711" s="8" t="str">
        <f t="shared" si="1"/>
        <v>-</v>
      </c>
      <c r="E711" s="9"/>
      <c r="F711" s="10"/>
      <c r="G711" s="9"/>
      <c r="H711" s="11"/>
      <c r="I711" s="9" t="s">
        <v>13</v>
      </c>
      <c r="J711" s="44"/>
    </row>
    <row r="712">
      <c r="A712" s="42" t="s">
        <v>206</v>
      </c>
      <c r="B712" s="47"/>
      <c r="C712" s="9" t="s">
        <v>11</v>
      </c>
      <c r="D712" s="8" t="str">
        <f t="shared" si="1"/>
        <v>-</v>
      </c>
      <c r="E712" s="9"/>
      <c r="F712" s="10"/>
      <c r="G712" s="9"/>
      <c r="H712" s="11"/>
      <c r="I712" s="9" t="s">
        <v>13</v>
      </c>
      <c r="J712" s="44"/>
    </row>
    <row r="713">
      <c r="A713" s="42" t="s">
        <v>206</v>
      </c>
      <c r="B713" s="47"/>
      <c r="C713" s="9" t="s">
        <v>11</v>
      </c>
      <c r="D713" s="8" t="str">
        <f t="shared" si="1"/>
        <v>-</v>
      </c>
      <c r="E713" s="9"/>
      <c r="F713" s="10"/>
      <c r="G713" s="9"/>
      <c r="H713" s="11"/>
      <c r="I713" s="9" t="s">
        <v>13</v>
      </c>
      <c r="J713" s="44"/>
    </row>
    <row r="714">
      <c r="A714" s="42" t="s">
        <v>206</v>
      </c>
      <c r="B714" s="47"/>
      <c r="C714" s="9" t="s">
        <v>11</v>
      </c>
      <c r="D714" s="8" t="str">
        <f t="shared" si="1"/>
        <v>-</v>
      </c>
      <c r="E714" s="9"/>
      <c r="F714" s="10"/>
      <c r="G714" s="9"/>
      <c r="H714" s="11"/>
      <c r="I714" s="9" t="s">
        <v>13</v>
      </c>
      <c r="J714" s="44"/>
    </row>
    <row r="715">
      <c r="A715" s="42" t="s">
        <v>206</v>
      </c>
      <c r="B715" s="47"/>
      <c r="C715" s="9" t="s">
        <v>11</v>
      </c>
      <c r="D715" s="8" t="str">
        <f t="shared" si="1"/>
        <v>-</v>
      </c>
      <c r="E715" s="9"/>
      <c r="F715" s="10"/>
      <c r="G715" s="9"/>
      <c r="H715" s="11"/>
      <c r="I715" s="9" t="s">
        <v>13</v>
      </c>
      <c r="J715" s="44"/>
    </row>
    <row r="716">
      <c r="A716" s="42" t="s">
        <v>206</v>
      </c>
      <c r="B716" s="47"/>
      <c r="C716" s="9" t="s">
        <v>11</v>
      </c>
      <c r="D716" s="8" t="str">
        <f t="shared" si="1"/>
        <v>-</v>
      </c>
      <c r="E716" s="9"/>
      <c r="F716" s="10"/>
      <c r="G716" s="9"/>
      <c r="H716" s="11"/>
      <c r="I716" s="9" t="s">
        <v>13</v>
      </c>
      <c r="J716" s="44"/>
    </row>
    <row r="717">
      <c r="A717" s="42" t="s">
        <v>206</v>
      </c>
      <c r="B717" s="47"/>
      <c r="C717" s="9" t="s">
        <v>11</v>
      </c>
      <c r="D717" s="8" t="str">
        <f t="shared" si="1"/>
        <v>-</v>
      </c>
      <c r="E717" s="9"/>
      <c r="F717" s="10"/>
      <c r="G717" s="9"/>
      <c r="H717" s="11"/>
      <c r="I717" s="9" t="s">
        <v>13</v>
      </c>
      <c r="J717" s="44"/>
    </row>
    <row r="718">
      <c r="A718" s="42" t="s">
        <v>206</v>
      </c>
      <c r="B718" s="47"/>
      <c r="C718" s="9" t="s">
        <v>11</v>
      </c>
      <c r="D718" s="8" t="str">
        <f t="shared" si="1"/>
        <v>-</v>
      </c>
      <c r="E718" s="9"/>
      <c r="F718" s="10"/>
      <c r="G718" s="9"/>
      <c r="H718" s="11"/>
      <c r="I718" s="9" t="s">
        <v>13</v>
      </c>
      <c r="J718" s="44"/>
    </row>
    <row r="719">
      <c r="A719" s="42" t="s">
        <v>206</v>
      </c>
      <c r="B719" s="47"/>
      <c r="C719" s="9" t="s">
        <v>11</v>
      </c>
      <c r="D719" s="8" t="str">
        <f t="shared" si="1"/>
        <v>-</v>
      </c>
      <c r="E719" s="9"/>
      <c r="F719" s="10"/>
      <c r="G719" s="9"/>
      <c r="H719" s="11"/>
      <c r="I719" s="9" t="s">
        <v>13</v>
      </c>
      <c r="J719" s="44"/>
    </row>
    <row r="720">
      <c r="A720" s="42" t="s">
        <v>206</v>
      </c>
      <c r="B720" s="47"/>
      <c r="C720" s="9" t="s">
        <v>11</v>
      </c>
      <c r="D720" s="8" t="str">
        <f t="shared" si="1"/>
        <v>-</v>
      </c>
      <c r="E720" s="9"/>
      <c r="F720" s="10"/>
      <c r="G720" s="9"/>
      <c r="H720" s="11"/>
      <c r="I720" s="9" t="s">
        <v>13</v>
      </c>
      <c r="J720" s="44"/>
    </row>
    <row r="721">
      <c r="A721" s="42" t="s">
        <v>206</v>
      </c>
      <c r="B721" s="47"/>
      <c r="C721" s="9" t="s">
        <v>11</v>
      </c>
      <c r="D721" s="8" t="str">
        <f t="shared" si="1"/>
        <v>-</v>
      </c>
      <c r="E721" s="9"/>
      <c r="F721" s="10"/>
      <c r="G721" s="9"/>
      <c r="H721" s="11"/>
      <c r="I721" s="9" t="s">
        <v>13</v>
      </c>
      <c r="J721" s="44"/>
    </row>
    <row r="722">
      <c r="A722" s="42" t="s">
        <v>206</v>
      </c>
      <c r="B722" s="47"/>
      <c r="C722" s="9" t="s">
        <v>11</v>
      </c>
      <c r="D722" s="8" t="str">
        <f t="shared" si="1"/>
        <v>-</v>
      </c>
      <c r="E722" s="9"/>
      <c r="F722" s="10"/>
      <c r="G722" s="9"/>
      <c r="H722" s="11"/>
      <c r="I722" s="9" t="s">
        <v>13</v>
      </c>
      <c r="J722" s="44"/>
    </row>
    <row r="723">
      <c r="A723" s="42" t="s">
        <v>206</v>
      </c>
      <c r="B723" s="47"/>
      <c r="C723" s="9" t="s">
        <v>11</v>
      </c>
      <c r="D723" s="8" t="str">
        <f t="shared" si="1"/>
        <v>-</v>
      </c>
      <c r="E723" s="9"/>
      <c r="F723" s="10"/>
      <c r="G723" s="9"/>
      <c r="H723" s="11"/>
      <c r="I723" s="9" t="s">
        <v>13</v>
      </c>
      <c r="J723" s="44"/>
    </row>
    <row r="724">
      <c r="A724" s="42" t="s">
        <v>206</v>
      </c>
      <c r="B724" s="47"/>
      <c r="C724" s="9" t="s">
        <v>11</v>
      </c>
      <c r="D724" s="8" t="str">
        <f t="shared" si="1"/>
        <v>-</v>
      </c>
      <c r="E724" s="9"/>
      <c r="F724" s="10"/>
      <c r="G724" s="9"/>
      <c r="H724" s="11"/>
      <c r="I724" s="9" t="s">
        <v>13</v>
      </c>
      <c r="J724" s="44"/>
    </row>
    <row r="725">
      <c r="A725" s="42" t="s">
        <v>206</v>
      </c>
      <c r="B725" s="47"/>
      <c r="C725" s="9" t="s">
        <v>11</v>
      </c>
      <c r="D725" s="8" t="str">
        <f t="shared" si="1"/>
        <v>-</v>
      </c>
      <c r="E725" s="9"/>
      <c r="F725" s="10"/>
      <c r="G725" s="9"/>
      <c r="H725" s="11"/>
      <c r="I725" s="9" t="s">
        <v>13</v>
      </c>
      <c r="J725" s="44"/>
    </row>
    <row r="726">
      <c r="A726" s="42" t="s">
        <v>206</v>
      </c>
      <c r="B726" s="47"/>
      <c r="C726" s="9" t="s">
        <v>11</v>
      </c>
      <c r="D726" s="8" t="str">
        <f t="shared" si="1"/>
        <v>-</v>
      </c>
      <c r="E726" s="9"/>
      <c r="F726" s="10"/>
      <c r="G726" s="9"/>
      <c r="H726" s="11"/>
      <c r="I726" s="9" t="s">
        <v>13</v>
      </c>
      <c r="J726" s="44"/>
    </row>
    <row r="727">
      <c r="A727" s="42" t="s">
        <v>206</v>
      </c>
      <c r="B727" s="47"/>
      <c r="C727" s="9" t="s">
        <v>11</v>
      </c>
      <c r="D727" s="8" t="str">
        <f t="shared" si="1"/>
        <v>-</v>
      </c>
      <c r="E727" s="9"/>
      <c r="F727" s="10"/>
      <c r="G727" s="9"/>
      <c r="H727" s="11"/>
      <c r="I727" s="9" t="s">
        <v>13</v>
      </c>
      <c r="J727" s="44"/>
    </row>
    <row r="728">
      <c r="A728" s="42" t="s">
        <v>206</v>
      </c>
      <c r="B728" s="47"/>
      <c r="C728" s="9" t="s">
        <v>11</v>
      </c>
      <c r="D728" s="8" t="str">
        <f t="shared" si="1"/>
        <v>-</v>
      </c>
      <c r="E728" s="9"/>
      <c r="F728" s="10"/>
      <c r="G728" s="9"/>
      <c r="H728" s="11"/>
      <c r="I728" s="9" t="s">
        <v>13</v>
      </c>
      <c r="J728" s="44"/>
    </row>
    <row r="729">
      <c r="A729" s="42" t="s">
        <v>206</v>
      </c>
      <c r="B729" s="47"/>
      <c r="C729" s="9" t="s">
        <v>11</v>
      </c>
      <c r="D729" s="8" t="str">
        <f t="shared" si="1"/>
        <v>-</v>
      </c>
      <c r="E729" s="9"/>
      <c r="F729" s="10"/>
      <c r="G729" s="9"/>
      <c r="H729" s="11"/>
      <c r="I729" s="9" t="s">
        <v>13</v>
      </c>
      <c r="J729" s="44"/>
    </row>
    <row r="730">
      <c r="A730" s="42" t="s">
        <v>206</v>
      </c>
      <c r="B730" s="47"/>
      <c r="C730" s="9" t="s">
        <v>11</v>
      </c>
      <c r="D730" s="8" t="str">
        <f t="shared" si="1"/>
        <v>-</v>
      </c>
      <c r="E730" s="9"/>
      <c r="F730" s="10"/>
      <c r="G730" s="9"/>
      <c r="H730" s="11"/>
      <c r="I730" s="9" t="s">
        <v>13</v>
      </c>
      <c r="J730" s="44"/>
    </row>
    <row r="731">
      <c r="A731" s="42" t="s">
        <v>206</v>
      </c>
      <c r="B731" s="47"/>
      <c r="C731" s="9" t="s">
        <v>11</v>
      </c>
      <c r="D731" s="8" t="str">
        <f t="shared" si="1"/>
        <v>-</v>
      </c>
      <c r="E731" s="9"/>
      <c r="F731" s="10"/>
      <c r="G731" s="9"/>
      <c r="H731" s="11"/>
      <c r="I731" s="9" t="s">
        <v>13</v>
      </c>
      <c r="J731" s="44"/>
    </row>
    <row r="732">
      <c r="A732" s="42" t="s">
        <v>206</v>
      </c>
      <c r="B732" s="47"/>
      <c r="C732" s="9" t="s">
        <v>11</v>
      </c>
      <c r="D732" s="8" t="str">
        <f t="shared" si="1"/>
        <v>-</v>
      </c>
      <c r="E732" s="9"/>
      <c r="F732" s="10"/>
      <c r="G732" s="9"/>
      <c r="H732" s="11"/>
      <c r="I732" s="9" t="s">
        <v>13</v>
      </c>
      <c r="J732" s="44"/>
    </row>
    <row r="733">
      <c r="A733" s="42" t="s">
        <v>206</v>
      </c>
      <c r="B733" s="47"/>
      <c r="C733" s="9" t="s">
        <v>11</v>
      </c>
      <c r="D733" s="8" t="str">
        <f t="shared" si="1"/>
        <v>-</v>
      </c>
      <c r="E733" s="9"/>
      <c r="F733" s="10"/>
      <c r="G733" s="9"/>
      <c r="H733" s="11"/>
      <c r="I733" s="9" t="s">
        <v>13</v>
      </c>
      <c r="J733" s="44"/>
    </row>
    <row r="734">
      <c r="A734" s="42" t="s">
        <v>206</v>
      </c>
      <c r="B734" s="47"/>
      <c r="C734" s="9" t="s">
        <v>11</v>
      </c>
      <c r="D734" s="8" t="str">
        <f t="shared" si="1"/>
        <v>-</v>
      </c>
      <c r="E734" s="9"/>
      <c r="F734" s="10"/>
      <c r="G734" s="9"/>
      <c r="H734" s="11"/>
      <c r="I734" s="9" t="s">
        <v>13</v>
      </c>
      <c r="J734" s="44"/>
    </row>
    <row r="735">
      <c r="A735" s="42" t="s">
        <v>206</v>
      </c>
      <c r="B735" s="47"/>
      <c r="C735" s="9" t="s">
        <v>11</v>
      </c>
      <c r="D735" s="8" t="str">
        <f t="shared" si="1"/>
        <v>-</v>
      </c>
      <c r="E735" s="9"/>
      <c r="F735" s="10"/>
      <c r="G735" s="9"/>
      <c r="H735" s="11"/>
      <c r="I735" s="9" t="s">
        <v>13</v>
      </c>
      <c r="J735" s="44"/>
    </row>
    <row r="736">
      <c r="A736" s="42" t="s">
        <v>206</v>
      </c>
      <c r="B736" s="47"/>
      <c r="C736" s="9" t="s">
        <v>11</v>
      </c>
      <c r="D736" s="8" t="str">
        <f t="shared" si="1"/>
        <v>-</v>
      </c>
      <c r="E736" s="9"/>
      <c r="F736" s="10"/>
      <c r="G736" s="9"/>
      <c r="H736" s="11"/>
      <c r="I736" s="9" t="s">
        <v>13</v>
      </c>
      <c r="J736" s="44"/>
    </row>
    <row r="737">
      <c r="A737" s="42" t="s">
        <v>206</v>
      </c>
      <c r="B737" s="47"/>
      <c r="C737" s="9" t="s">
        <v>11</v>
      </c>
      <c r="D737" s="8" t="str">
        <f t="shared" si="1"/>
        <v>-</v>
      </c>
      <c r="E737" s="9"/>
      <c r="F737" s="10"/>
      <c r="G737" s="9"/>
      <c r="H737" s="11"/>
      <c r="I737" s="9" t="s">
        <v>13</v>
      </c>
      <c r="J737" s="44"/>
    </row>
    <row r="738">
      <c r="A738" s="42" t="s">
        <v>206</v>
      </c>
      <c r="B738" s="47"/>
      <c r="C738" s="9" t="s">
        <v>11</v>
      </c>
      <c r="D738" s="8" t="str">
        <f t="shared" si="1"/>
        <v>-</v>
      </c>
      <c r="E738" s="9"/>
      <c r="F738" s="10"/>
      <c r="G738" s="9"/>
      <c r="H738" s="11"/>
      <c r="I738" s="9" t="s">
        <v>13</v>
      </c>
      <c r="J738" s="44"/>
    </row>
  </sheetData>
  <mergeCells count="1">
    <mergeCell ref="A1:J1"/>
  </mergeCells>
  <conditionalFormatting sqref="A1:J738">
    <cfRule type="containsText" dxfId="0" priority="1" operator="containsText" text="FAB A FAIRE">
      <formula>NOT(ISERROR(SEARCH(("FAB A FAIRE"),(A1))))</formula>
    </cfRule>
  </conditionalFormatting>
  <conditionalFormatting sqref="B3:H738">
    <cfRule type="expression" dxfId="1" priority="2">
      <formula>$G3="Stand-by"</formula>
    </cfRule>
  </conditionalFormatting>
  <conditionalFormatting sqref="G2:G738">
    <cfRule type="cellIs" dxfId="2" priority="3" operator="equal">
      <formula>"A faire"</formula>
    </cfRule>
  </conditionalFormatting>
  <conditionalFormatting sqref="G2:G738">
    <cfRule type="cellIs" dxfId="3" priority="4" operator="equal">
      <formula>"En cours"</formula>
    </cfRule>
  </conditionalFormatting>
  <conditionalFormatting sqref="B3:H738">
    <cfRule type="expression" dxfId="4" priority="5">
      <formula>$G3="Sur T.L."</formula>
    </cfRule>
  </conditionalFormatting>
  <conditionalFormatting sqref="G2:G738">
    <cfRule type="cellIs" dxfId="5" priority="6" operator="equal">
      <formula>"Attente R."</formula>
    </cfRule>
  </conditionalFormatting>
  <conditionalFormatting sqref="F2:F738">
    <cfRule type="timePeriod" dxfId="6" priority="7" timePeriod="today"/>
  </conditionalFormatting>
  <conditionalFormatting sqref="F2:F738">
    <cfRule type="expression" dxfId="7" priority="8">
      <formula>AND(ISNUMBER(F2),TRUNC(F2)&lt;TODAY())</formula>
    </cfRule>
  </conditionalFormatting>
  <conditionalFormatting sqref="G2:G738">
    <cfRule type="cellIs" dxfId="8" priority="9" operator="equal">
      <formula>"Mairie"</formula>
    </cfRule>
  </conditionalFormatting>
  <conditionalFormatting sqref="H2:H738">
    <cfRule type="containsText" dxfId="9" priority="10" operator="containsText" text="REPRISE DOSSIER CAROLE">
      <formula>NOT(ISERROR(SEARCH(("REPRISE DOSSIER CAROLE"),(H2))))</formula>
    </cfRule>
  </conditionalFormatting>
  <dataValidations>
    <dataValidation type="list" allowBlank="1" sqref="G3:G738">
      <formula1>"-,A faire,En cours,Attente R.,Stand-by,Sur T.L.,Mairie,! Urgent !,A Relancer"</formula1>
    </dataValidation>
    <dataValidation type="list" allowBlank="1" sqref="E3:E738">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61.5"/>
    <col customWidth="1" min="3" max="3" width="9.38"/>
    <col customWidth="1" min="4" max="4" width="12.13"/>
    <col customWidth="1" min="5" max="5" width="13.13"/>
    <col customWidth="1" min="6" max="6" width="6.38"/>
    <col customWidth="1" min="7" max="7" width="11.88"/>
    <col customWidth="1" min="8" max="8" width="68.63"/>
    <col customWidth="1" min="9" max="9" width="11.63"/>
    <col customWidth="1" min="10" max="10" width="2.63"/>
  </cols>
  <sheetData>
    <row r="1" ht="24.0" customHeight="1">
      <c r="A1" s="271" t="s">
        <v>9109</v>
      </c>
    </row>
    <row r="2">
      <c r="A2" s="272"/>
      <c r="B2" s="273" t="s">
        <v>1</v>
      </c>
      <c r="C2" s="274" t="s">
        <v>2</v>
      </c>
      <c r="D2" s="274" t="s">
        <v>3</v>
      </c>
      <c r="E2" s="275" t="s">
        <v>4</v>
      </c>
      <c r="F2" s="274" t="s">
        <v>5</v>
      </c>
      <c r="G2" s="275" t="s">
        <v>6</v>
      </c>
      <c r="H2" s="275" t="s">
        <v>7</v>
      </c>
      <c r="I2" s="275" t="s">
        <v>8</v>
      </c>
      <c r="J2" s="276"/>
    </row>
    <row r="3">
      <c r="A3" s="145" t="s">
        <v>2721</v>
      </c>
      <c r="B3" s="47"/>
      <c r="C3" s="9" t="s">
        <v>11</v>
      </c>
      <c r="D3" s="8" t="str">
        <f t="shared" ref="D3:D713" si="1">IFERROR(_xlfn.WORKDAY.INTL(C3, 2),"-")</f>
        <v>-</v>
      </c>
      <c r="E3" s="9"/>
      <c r="F3" s="10"/>
      <c r="G3" s="9"/>
      <c r="H3" s="11"/>
      <c r="I3" s="9" t="s">
        <v>13</v>
      </c>
      <c r="J3" s="277"/>
    </row>
    <row r="4">
      <c r="A4" s="145" t="s">
        <v>2721</v>
      </c>
      <c r="B4" s="47"/>
      <c r="C4" s="9" t="s">
        <v>11</v>
      </c>
      <c r="D4" s="8" t="str">
        <f t="shared" si="1"/>
        <v>-</v>
      </c>
      <c r="E4" s="9"/>
      <c r="F4" s="10"/>
      <c r="G4" s="9"/>
      <c r="H4" s="11"/>
      <c r="I4" s="9" t="s">
        <v>13</v>
      </c>
      <c r="J4" s="277"/>
    </row>
    <row r="5">
      <c r="A5" s="145" t="s">
        <v>2721</v>
      </c>
      <c r="B5" s="47"/>
      <c r="C5" s="9" t="s">
        <v>11</v>
      </c>
      <c r="D5" s="8" t="str">
        <f t="shared" si="1"/>
        <v>-</v>
      </c>
      <c r="E5" s="9"/>
      <c r="F5" s="10"/>
      <c r="G5" s="9"/>
      <c r="H5" s="11"/>
      <c r="I5" s="9" t="s">
        <v>13</v>
      </c>
      <c r="J5" s="277"/>
    </row>
    <row r="6">
      <c r="A6" s="145" t="s">
        <v>2721</v>
      </c>
      <c r="B6" s="47"/>
      <c r="C6" s="9" t="s">
        <v>11</v>
      </c>
      <c r="D6" s="8" t="str">
        <f t="shared" si="1"/>
        <v>-</v>
      </c>
      <c r="E6" s="9"/>
      <c r="F6" s="10"/>
      <c r="G6" s="9"/>
      <c r="H6" s="11"/>
      <c r="I6" s="9" t="s">
        <v>13</v>
      </c>
      <c r="J6" s="277"/>
    </row>
    <row r="7">
      <c r="A7" s="145" t="s">
        <v>2721</v>
      </c>
      <c r="B7" s="47"/>
      <c r="C7" s="9" t="s">
        <v>11</v>
      </c>
      <c r="D7" s="8" t="str">
        <f t="shared" si="1"/>
        <v>-</v>
      </c>
      <c r="E7" s="9"/>
      <c r="F7" s="10"/>
      <c r="G7" s="9"/>
      <c r="H7" s="11"/>
      <c r="I7" s="9" t="s">
        <v>13</v>
      </c>
      <c r="J7" s="277"/>
    </row>
    <row r="8">
      <c r="A8" s="145" t="s">
        <v>2721</v>
      </c>
      <c r="B8" s="47"/>
      <c r="C8" s="9" t="s">
        <v>11</v>
      </c>
      <c r="D8" s="8" t="str">
        <f t="shared" si="1"/>
        <v>-</v>
      </c>
      <c r="E8" s="9"/>
      <c r="F8" s="10"/>
      <c r="G8" s="9"/>
      <c r="H8" s="11"/>
      <c r="I8" s="9" t="s">
        <v>13</v>
      </c>
      <c r="J8" s="277"/>
    </row>
    <row r="9">
      <c r="A9" s="145" t="s">
        <v>2721</v>
      </c>
      <c r="B9" s="47"/>
      <c r="C9" s="9" t="s">
        <v>11</v>
      </c>
      <c r="D9" s="8" t="str">
        <f t="shared" si="1"/>
        <v>-</v>
      </c>
      <c r="E9" s="9"/>
      <c r="F9" s="10"/>
      <c r="G9" s="9"/>
      <c r="H9" s="11"/>
      <c r="I9" s="9" t="s">
        <v>13</v>
      </c>
      <c r="J9" s="277"/>
    </row>
    <row r="10">
      <c r="A10" s="145" t="s">
        <v>2721</v>
      </c>
      <c r="B10" s="47"/>
      <c r="C10" s="9" t="s">
        <v>11</v>
      </c>
      <c r="D10" s="8" t="str">
        <f t="shared" si="1"/>
        <v>-</v>
      </c>
      <c r="E10" s="9"/>
      <c r="F10" s="10"/>
      <c r="G10" s="9"/>
      <c r="H10" s="11"/>
      <c r="I10" s="9" t="s">
        <v>13</v>
      </c>
      <c r="J10" s="277"/>
    </row>
    <row r="11">
      <c r="A11" s="145" t="s">
        <v>2721</v>
      </c>
      <c r="B11" s="47"/>
      <c r="C11" s="9" t="s">
        <v>11</v>
      </c>
      <c r="D11" s="8" t="str">
        <f t="shared" si="1"/>
        <v>-</v>
      </c>
      <c r="E11" s="9"/>
      <c r="F11" s="10"/>
      <c r="G11" s="9"/>
      <c r="H11" s="11"/>
      <c r="I11" s="9" t="s">
        <v>13</v>
      </c>
      <c r="J11" s="277"/>
    </row>
    <row r="12">
      <c r="A12" s="145" t="s">
        <v>2721</v>
      </c>
      <c r="B12" s="47"/>
      <c r="C12" s="9" t="s">
        <v>11</v>
      </c>
      <c r="D12" s="8" t="str">
        <f t="shared" si="1"/>
        <v>-</v>
      </c>
      <c r="E12" s="9"/>
      <c r="F12" s="10"/>
      <c r="G12" s="9"/>
      <c r="H12" s="11"/>
      <c r="I12" s="9" t="s">
        <v>13</v>
      </c>
      <c r="J12" s="277"/>
    </row>
    <row r="13">
      <c r="A13" s="145" t="s">
        <v>2721</v>
      </c>
      <c r="B13" s="47"/>
      <c r="C13" s="9" t="s">
        <v>11</v>
      </c>
      <c r="D13" s="8" t="str">
        <f t="shared" si="1"/>
        <v>-</v>
      </c>
      <c r="E13" s="9"/>
      <c r="F13" s="10"/>
      <c r="G13" s="9"/>
      <c r="H13" s="11"/>
      <c r="I13" s="9" t="s">
        <v>13</v>
      </c>
      <c r="J13" s="277"/>
    </row>
    <row r="14">
      <c r="A14" s="145" t="s">
        <v>2721</v>
      </c>
      <c r="B14" s="47"/>
      <c r="C14" s="9" t="s">
        <v>11</v>
      </c>
      <c r="D14" s="8" t="str">
        <f t="shared" si="1"/>
        <v>-</v>
      </c>
      <c r="E14" s="9"/>
      <c r="F14" s="10"/>
      <c r="G14" s="9"/>
      <c r="H14" s="11"/>
      <c r="I14" s="9" t="s">
        <v>13</v>
      </c>
      <c r="J14" s="277"/>
    </row>
    <row r="15">
      <c r="A15" s="145" t="s">
        <v>2721</v>
      </c>
      <c r="B15" s="47"/>
      <c r="C15" s="9" t="s">
        <v>11</v>
      </c>
      <c r="D15" s="8" t="str">
        <f t="shared" si="1"/>
        <v>-</v>
      </c>
      <c r="E15" s="9"/>
      <c r="F15" s="10"/>
      <c r="G15" s="9"/>
      <c r="H15" s="11"/>
      <c r="I15" s="9" t="s">
        <v>13</v>
      </c>
      <c r="J15" s="277"/>
    </row>
    <row r="16">
      <c r="A16" s="145" t="s">
        <v>2721</v>
      </c>
      <c r="B16" s="47"/>
      <c r="C16" s="9" t="s">
        <v>11</v>
      </c>
      <c r="D16" s="8" t="str">
        <f t="shared" si="1"/>
        <v>-</v>
      </c>
      <c r="E16" s="9"/>
      <c r="F16" s="10"/>
      <c r="G16" s="9"/>
      <c r="H16" s="11"/>
      <c r="I16" s="9" t="s">
        <v>13</v>
      </c>
      <c r="J16" s="277"/>
    </row>
    <row r="17">
      <c r="A17" s="145" t="s">
        <v>2721</v>
      </c>
      <c r="B17" s="47"/>
      <c r="C17" s="9" t="s">
        <v>11</v>
      </c>
      <c r="D17" s="8" t="str">
        <f t="shared" si="1"/>
        <v>-</v>
      </c>
      <c r="E17" s="9"/>
      <c r="F17" s="10"/>
      <c r="G17" s="9"/>
      <c r="H17" s="11"/>
      <c r="I17" s="9" t="s">
        <v>13</v>
      </c>
      <c r="J17" s="277"/>
    </row>
    <row r="18">
      <c r="A18" s="145" t="s">
        <v>2721</v>
      </c>
      <c r="B18" s="47"/>
      <c r="C18" s="9" t="s">
        <v>11</v>
      </c>
      <c r="D18" s="8" t="str">
        <f t="shared" si="1"/>
        <v>-</v>
      </c>
      <c r="E18" s="9"/>
      <c r="F18" s="10"/>
      <c r="G18" s="9"/>
      <c r="H18" s="11"/>
      <c r="I18" s="9" t="s">
        <v>13</v>
      </c>
      <c r="J18" s="277"/>
    </row>
    <row r="19">
      <c r="A19" s="145" t="s">
        <v>2721</v>
      </c>
      <c r="B19" s="47"/>
      <c r="C19" s="9" t="s">
        <v>11</v>
      </c>
      <c r="D19" s="8" t="str">
        <f t="shared" si="1"/>
        <v>-</v>
      </c>
      <c r="E19" s="9"/>
      <c r="F19" s="10"/>
      <c r="G19" s="9"/>
      <c r="H19" s="11"/>
      <c r="I19" s="9" t="s">
        <v>13</v>
      </c>
      <c r="J19" s="277"/>
    </row>
    <row r="20">
      <c r="A20" s="145" t="s">
        <v>2721</v>
      </c>
      <c r="B20" s="47"/>
      <c r="C20" s="9" t="s">
        <v>11</v>
      </c>
      <c r="D20" s="8" t="str">
        <f t="shared" si="1"/>
        <v>-</v>
      </c>
      <c r="E20" s="9"/>
      <c r="F20" s="10"/>
      <c r="G20" s="9"/>
      <c r="H20" s="11"/>
      <c r="I20" s="9" t="s">
        <v>13</v>
      </c>
      <c r="J20" s="277"/>
    </row>
    <row r="21">
      <c r="A21" s="145" t="s">
        <v>2721</v>
      </c>
      <c r="B21" s="47"/>
      <c r="C21" s="9" t="s">
        <v>11</v>
      </c>
      <c r="D21" s="8" t="str">
        <f t="shared" si="1"/>
        <v>-</v>
      </c>
      <c r="E21" s="9"/>
      <c r="F21" s="10"/>
      <c r="G21" s="9"/>
      <c r="H21" s="11"/>
      <c r="I21" s="9" t="s">
        <v>13</v>
      </c>
      <c r="J21" s="277"/>
    </row>
    <row r="22">
      <c r="A22" s="145" t="s">
        <v>2721</v>
      </c>
      <c r="B22" s="47"/>
      <c r="C22" s="9" t="s">
        <v>11</v>
      </c>
      <c r="D22" s="8" t="str">
        <f t="shared" si="1"/>
        <v>-</v>
      </c>
      <c r="E22" s="9"/>
      <c r="F22" s="10"/>
      <c r="G22" s="9"/>
      <c r="H22" s="11"/>
      <c r="I22" s="9" t="s">
        <v>13</v>
      </c>
      <c r="J22" s="277"/>
    </row>
    <row r="23">
      <c r="A23" s="145" t="s">
        <v>2721</v>
      </c>
      <c r="B23" s="47"/>
      <c r="C23" s="9" t="s">
        <v>11</v>
      </c>
      <c r="D23" s="8" t="str">
        <f t="shared" si="1"/>
        <v>-</v>
      </c>
      <c r="E23" s="9"/>
      <c r="F23" s="10"/>
      <c r="G23" s="9"/>
      <c r="H23" s="11"/>
      <c r="I23" s="9" t="s">
        <v>13</v>
      </c>
      <c r="J23" s="277"/>
    </row>
    <row r="24">
      <c r="A24" s="145" t="s">
        <v>2721</v>
      </c>
      <c r="B24" s="47"/>
      <c r="C24" s="9" t="s">
        <v>11</v>
      </c>
      <c r="D24" s="8" t="str">
        <f t="shared" si="1"/>
        <v>-</v>
      </c>
      <c r="E24" s="9"/>
      <c r="F24" s="10"/>
      <c r="G24" s="9"/>
      <c r="H24" s="11"/>
      <c r="I24" s="9" t="s">
        <v>13</v>
      </c>
      <c r="J24" s="277"/>
    </row>
    <row r="25">
      <c r="A25" s="145" t="s">
        <v>2721</v>
      </c>
      <c r="B25" s="47"/>
      <c r="C25" s="9" t="s">
        <v>11</v>
      </c>
      <c r="D25" s="8" t="str">
        <f t="shared" si="1"/>
        <v>-</v>
      </c>
      <c r="E25" s="9"/>
      <c r="F25" s="10"/>
      <c r="G25" s="9"/>
      <c r="H25" s="11"/>
      <c r="I25" s="9" t="s">
        <v>13</v>
      </c>
      <c r="J25" s="277"/>
    </row>
    <row r="26">
      <c r="A26" s="145" t="s">
        <v>2721</v>
      </c>
      <c r="B26" s="47"/>
      <c r="C26" s="9" t="s">
        <v>11</v>
      </c>
      <c r="D26" s="8" t="str">
        <f t="shared" si="1"/>
        <v>-</v>
      </c>
      <c r="E26" s="9"/>
      <c r="F26" s="10"/>
      <c r="G26" s="9"/>
      <c r="H26" s="11"/>
      <c r="I26" s="9" t="s">
        <v>13</v>
      </c>
      <c r="J26" s="277"/>
    </row>
    <row r="27">
      <c r="A27" s="145" t="s">
        <v>2721</v>
      </c>
      <c r="B27" s="47"/>
      <c r="C27" s="9" t="s">
        <v>11</v>
      </c>
      <c r="D27" s="8" t="str">
        <f t="shared" si="1"/>
        <v>-</v>
      </c>
      <c r="E27" s="9"/>
      <c r="F27" s="10"/>
      <c r="G27" s="9"/>
      <c r="H27" s="11"/>
      <c r="I27" s="9" t="s">
        <v>13</v>
      </c>
      <c r="J27" s="277"/>
    </row>
    <row r="28">
      <c r="A28" s="145" t="s">
        <v>2721</v>
      </c>
      <c r="B28" s="47"/>
      <c r="C28" s="9" t="s">
        <v>11</v>
      </c>
      <c r="D28" s="8" t="str">
        <f t="shared" si="1"/>
        <v>-</v>
      </c>
      <c r="E28" s="9"/>
      <c r="F28" s="10"/>
      <c r="G28" s="9"/>
      <c r="H28" s="11"/>
      <c r="I28" s="9" t="s">
        <v>13</v>
      </c>
      <c r="J28" s="277"/>
    </row>
    <row r="29">
      <c r="A29" s="145" t="s">
        <v>2721</v>
      </c>
      <c r="B29" s="47"/>
      <c r="C29" s="9" t="s">
        <v>11</v>
      </c>
      <c r="D29" s="8" t="str">
        <f t="shared" si="1"/>
        <v>-</v>
      </c>
      <c r="E29" s="9"/>
      <c r="F29" s="10"/>
      <c r="G29" s="9"/>
      <c r="H29" s="11"/>
      <c r="I29" s="9" t="s">
        <v>13</v>
      </c>
      <c r="J29" s="277"/>
    </row>
    <row r="30">
      <c r="A30" s="145" t="s">
        <v>2721</v>
      </c>
      <c r="B30" s="47"/>
      <c r="C30" s="9" t="s">
        <v>11</v>
      </c>
      <c r="D30" s="8" t="str">
        <f t="shared" si="1"/>
        <v>-</v>
      </c>
      <c r="E30" s="9"/>
      <c r="F30" s="10"/>
      <c r="G30" s="9"/>
      <c r="H30" s="11"/>
      <c r="I30" s="9" t="s">
        <v>13</v>
      </c>
      <c r="J30" s="277"/>
    </row>
    <row r="31">
      <c r="A31" s="145" t="s">
        <v>2721</v>
      </c>
      <c r="B31" s="47"/>
      <c r="C31" s="9" t="s">
        <v>11</v>
      </c>
      <c r="D31" s="8" t="str">
        <f t="shared" si="1"/>
        <v>-</v>
      </c>
      <c r="E31" s="9"/>
      <c r="F31" s="10"/>
      <c r="G31" s="9"/>
      <c r="H31" s="11"/>
      <c r="I31" s="9" t="s">
        <v>13</v>
      </c>
      <c r="J31" s="277"/>
    </row>
    <row r="32">
      <c r="A32" s="145" t="s">
        <v>2721</v>
      </c>
      <c r="B32" s="47"/>
      <c r="C32" s="9" t="s">
        <v>11</v>
      </c>
      <c r="D32" s="8" t="str">
        <f t="shared" si="1"/>
        <v>-</v>
      </c>
      <c r="E32" s="9"/>
      <c r="F32" s="10"/>
      <c r="G32" s="9"/>
      <c r="H32" s="11"/>
      <c r="I32" s="9" t="s">
        <v>13</v>
      </c>
      <c r="J32" s="277"/>
    </row>
    <row r="33">
      <c r="A33" s="145" t="s">
        <v>2721</v>
      </c>
      <c r="B33" s="47"/>
      <c r="C33" s="9" t="s">
        <v>11</v>
      </c>
      <c r="D33" s="8" t="str">
        <f t="shared" si="1"/>
        <v>-</v>
      </c>
      <c r="E33" s="9"/>
      <c r="F33" s="10"/>
      <c r="G33" s="9"/>
      <c r="H33" s="11"/>
      <c r="I33" s="9" t="s">
        <v>13</v>
      </c>
      <c r="J33" s="277"/>
    </row>
    <row r="34">
      <c r="A34" s="145" t="s">
        <v>2721</v>
      </c>
      <c r="B34" s="47"/>
      <c r="C34" s="9" t="s">
        <v>11</v>
      </c>
      <c r="D34" s="8" t="str">
        <f t="shared" si="1"/>
        <v>-</v>
      </c>
      <c r="E34" s="9"/>
      <c r="F34" s="10"/>
      <c r="G34" s="9"/>
      <c r="H34" s="11"/>
      <c r="I34" s="9" t="s">
        <v>13</v>
      </c>
      <c r="J34" s="277"/>
    </row>
    <row r="35">
      <c r="A35" s="145" t="s">
        <v>2721</v>
      </c>
      <c r="B35" s="47"/>
      <c r="C35" s="9" t="s">
        <v>11</v>
      </c>
      <c r="D35" s="8" t="str">
        <f t="shared" si="1"/>
        <v>-</v>
      </c>
      <c r="E35" s="9"/>
      <c r="F35" s="10"/>
      <c r="G35" s="9"/>
      <c r="H35" s="11"/>
      <c r="I35" s="9" t="s">
        <v>13</v>
      </c>
      <c r="J35" s="277"/>
    </row>
    <row r="36">
      <c r="A36" s="145" t="s">
        <v>2721</v>
      </c>
      <c r="B36" s="47"/>
      <c r="C36" s="9" t="s">
        <v>11</v>
      </c>
      <c r="D36" s="8" t="str">
        <f t="shared" si="1"/>
        <v>-</v>
      </c>
      <c r="E36" s="9"/>
      <c r="F36" s="10"/>
      <c r="G36" s="9"/>
      <c r="H36" s="11"/>
      <c r="I36" s="9" t="s">
        <v>13</v>
      </c>
      <c r="J36" s="277"/>
    </row>
    <row r="37">
      <c r="A37" s="145" t="s">
        <v>2721</v>
      </c>
      <c r="B37" s="47"/>
      <c r="C37" s="9" t="s">
        <v>11</v>
      </c>
      <c r="D37" s="8" t="str">
        <f t="shared" si="1"/>
        <v>-</v>
      </c>
      <c r="E37" s="9"/>
      <c r="F37" s="10"/>
      <c r="G37" s="9"/>
      <c r="H37" s="11"/>
      <c r="I37" s="9" t="s">
        <v>13</v>
      </c>
      <c r="J37" s="277"/>
    </row>
    <row r="38">
      <c r="A38" s="145" t="s">
        <v>2721</v>
      </c>
      <c r="B38" s="47"/>
      <c r="C38" s="9" t="s">
        <v>11</v>
      </c>
      <c r="D38" s="8" t="str">
        <f t="shared" si="1"/>
        <v>-</v>
      </c>
      <c r="E38" s="9"/>
      <c r="F38" s="10"/>
      <c r="G38" s="9"/>
      <c r="H38" s="11"/>
      <c r="I38" s="9" t="s">
        <v>13</v>
      </c>
      <c r="J38" s="277"/>
    </row>
    <row r="39">
      <c r="A39" s="145" t="s">
        <v>2721</v>
      </c>
      <c r="B39" s="47"/>
      <c r="C39" s="9" t="s">
        <v>11</v>
      </c>
      <c r="D39" s="8" t="str">
        <f t="shared" si="1"/>
        <v>-</v>
      </c>
      <c r="E39" s="9"/>
      <c r="F39" s="10"/>
      <c r="G39" s="9"/>
      <c r="H39" s="11"/>
      <c r="I39" s="9" t="s">
        <v>13</v>
      </c>
      <c r="J39" s="277"/>
    </row>
    <row r="40">
      <c r="A40" s="145" t="s">
        <v>2721</v>
      </c>
      <c r="B40" s="47"/>
      <c r="C40" s="9" t="s">
        <v>11</v>
      </c>
      <c r="D40" s="8" t="str">
        <f t="shared" si="1"/>
        <v>-</v>
      </c>
      <c r="E40" s="9"/>
      <c r="F40" s="10"/>
      <c r="G40" s="9"/>
      <c r="H40" s="11"/>
      <c r="I40" s="9" t="s">
        <v>13</v>
      </c>
      <c r="J40" s="277"/>
    </row>
    <row r="41">
      <c r="A41" s="145" t="s">
        <v>2721</v>
      </c>
      <c r="B41" s="47"/>
      <c r="C41" s="9" t="s">
        <v>11</v>
      </c>
      <c r="D41" s="8" t="str">
        <f t="shared" si="1"/>
        <v>-</v>
      </c>
      <c r="E41" s="9"/>
      <c r="F41" s="10"/>
      <c r="G41" s="9"/>
      <c r="H41" s="11"/>
      <c r="I41" s="9" t="s">
        <v>13</v>
      </c>
      <c r="J41" s="277"/>
    </row>
    <row r="42">
      <c r="A42" s="145" t="s">
        <v>2721</v>
      </c>
      <c r="B42" s="47"/>
      <c r="C42" s="9" t="s">
        <v>11</v>
      </c>
      <c r="D42" s="8" t="str">
        <f t="shared" si="1"/>
        <v>-</v>
      </c>
      <c r="E42" s="9"/>
      <c r="F42" s="10"/>
      <c r="G42" s="9"/>
      <c r="H42" s="11"/>
      <c r="I42" s="9" t="s">
        <v>13</v>
      </c>
      <c r="J42" s="277"/>
    </row>
    <row r="43">
      <c r="A43" s="145" t="s">
        <v>2721</v>
      </c>
      <c r="B43" s="47"/>
      <c r="C43" s="9" t="s">
        <v>11</v>
      </c>
      <c r="D43" s="8" t="str">
        <f t="shared" si="1"/>
        <v>-</v>
      </c>
      <c r="E43" s="9"/>
      <c r="F43" s="10"/>
      <c r="G43" s="9"/>
      <c r="H43" s="11"/>
      <c r="I43" s="9" t="s">
        <v>13</v>
      </c>
      <c r="J43" s="277"/>
    </row>
    <row r="44">
      <c r="A44" s="145" t="s">
        <v>2721</v>
      </c>
      <c r="B44" s="47"/>
      <c r="C44" s="9" t="s">
        <v>11</v>
      </c>
      <c r="D44" s="8" t="str">
        <f t="shared" si="1"/>
        <v>-</v>
      </c>
      <c r="E44" s="9"/>
      <c r="F44" s="10"/>
      <c r="G44" s="9"/>
      <c r="H44" s="11"/>
      <c r="I44" s="9" t="s">
        <v>13</v>
      </c>
      <c r="J44" s="277"/>
    </row>
    <row r="45">
      <c r="A45" s="145" t="s">
        <v>2721</v>
      </c>
      <c r="B45" s="47"/>
      <c r="C45" s="9" t="s">
        <v>11</v>
      </c>
      <c r="D45" s="8" t="str">
        <f t="shared" si="1"/>
        <v>-</v>
      </c>
      <c r="E45" s="9"/>
      <c r="F45" s="10"/>
      <c r="G45" s="9"/>
      <c r="H45" s="11"/>
      <c r="I45" s="9" t="s">
        <v>13</v>
      </c>
      <c r="J45" s="277"/>
    </row>
    <row r="46">
      <c r="A46" s="145" t="s">
        <v>2721</v>
      </c>
      <c r="B46" s="47"/>
      <c r="C46" s="9" t="s">
        <v>11</v>
      </c>
      <c r="D46" s="8" t="str">
        <f t="shared" si="1"/>
        <v>-</v>
      </c>
      <c r="E46" s="9"/>
      <c r="F46" s="10"/>
      <c r="G46" s="9"/>
      <c r="H46" s="11"/>
      <c r="I46" s="9" t="s">
        <v>13</v>
      </c>
      <c r="J46" s="277"/>
    </row>
    <row r="47">
      <c r="A47" s="145" t="s">
        <v>2721</v>
      </c>
      <c r="B47" s="47"/>
      <c r="C47" s="9" t="s">
        <v>11</v>
      </c>
      <c r="D47" s="8" t="str">
        <f t="shared" si="1"/>
        <v>-</v>
      </c>
      <c r="E47" s="9"/>
      <c r="F47" s="10"/>
      <c r="G47" s="9"/>
      <c r="H47" s="11"/>
      <c r="I47" s="9" t="s">
        <v>13</v>
      </c>
      <c r="J47" s="277"/>
    </row>
    <row r="48">
      <c r="A48" s="145" t="s">
        <v>2721</v>
      </c>
      <c r="B48" s="47"/>
      <c r="C48" s="9" t="s">
        <v>11</v>
      </c>
      <c r="D48" s="8" t="str">
        <f t="shared" si="1"/>
        <v>-</v>
      </c>
      <c r="E48" s="9"/>
      <c r="F48" s="10"/>
      <c r="G48" s="9"/>
      <c r="H48" s="11"/>
      <c r="I48" s="9" t="s">
        <v>13</v>
      </c>
      <c r="J48" s="277"/>
    </row>
    <row r="49">
      <c r="A49" s="145" t="s">
        <v>2721</v>
      </c>
      <c r="B49" s="47"/>
      <c r="C49" s="9" t="s">
        <v>11</v>
      </c>
      <c r="D49" s="8" t="str">
        <f t="shared" si="1"/>
        <v>-</v>
      </c>
      <c r="E49" s="9"/>
      <c r="F49" s="10"/>
      <c r="G49" s="9"/>
      <c r="H49" s="11"/>
      <c r="I49" s="9" t="s">
        <v>13</v>
      </c>
      <c r="J49" s="277"/>
    </row>
    <row r="50">
      <c r="A50" s="145" t="s">
        <v>2721</v>
      </c>
      <c r="B50" s="47"/>
      <c r="C50" s="9" t="s">
        <v>11</v>
      </c>
      <c r="D50" s="8" t="str">
        <f t="shared" si="1"/>
        <v>-</v>
      </c>
      <c r="E50" s="9"/>
      <c r="F50" s="10"/>
      <c r="G50" s="9"/>
      <c r="H50" s="11"/>
      <c r="I50" s="9" t="s">
        <v>13</v>
      </c>
      <c r="J50" s="277"/>
    </row>
    <row r="51">
      <c r="A51" s="145" t="s">
        <v>2721</v>
      </c>
      <c r="B51" s="47"/>
      <c r="C51" s="9" t="s">
        <v>11</v>
      </c>
      <c r="D51" s="8" t="str">
        <f t="shared" si="1"/>
        <v>-</v>
      </c>
      <c r="E51" s="9"/>
      <c r="F51" s="10"/>
      <c r="G51" s="9"/>
      <c r="H51" s="11"/>
      <c r="I51" s="9" t="s">
        <v>13</v>
      </c>
      <c r="J51" s="277"/>
    </row>
    <row r="52">
      <c r="A52" s="145" t="s">
        <v>2721</v>
      </c>
      <c r="B52" s="47"/>
      <c r="C52" s="9" t="s">
        <v>11</v>
      </c>
      <c r="D52" s="8" t="str">
        <f t="shared" si="1"/>
        <v>-</v>
      </c>
      <c r="E52" s="9"/>
      <c r="F52" s="10"/>
      <c r="G52" s="9"/>
      <c r="H52" s="11"/>
      <c r="I52" s="9" t="s">
        <v>13</v>
      </c>
      <c r="J52" s="277"/>
    </row>
    <row r="53">
      <c r="A53" s="145" t="s">
        <v>2721</v>
      </c>
      <c r="B53" s="47"/>
      <c r="C53" s="9" t="s">
        <v>11</v>
      </c>
      <c r="D53" s="8" t="str">
        <f t="shared" si="1"/>
        <v>-</v>
      </c>
      <c r="E53" s="9"/>
      <c r="F53" s="10"/>
      <c r="G53" s="9"/>
      <c r="H53" s="11"/>
      <c r="I53" s="9" t="s">
        <v>13</v>
      </c>
      <c r="J53" s="277"/>
    </row>
    <row r="54">
      <c r="A54" s="145" t="s">
        <v>2721</v>
      </c>
      <c r="B54" s="47"/>
      <c r="C54" s="9" t="s">
        <v>11</v>
      </c>
      <c r="D54" s="8" t="str">
        <f t="shared" si="1"/>
        <v>-</v>
      </c>
      <c r="E54" s="9"/>
      <c r="F54" s="10"/>
      <c r="G54" s="9"/>
      <c r="H54" s="11"/>
      <c r="I54" s="9" t="s">
        <v>13</v>
      </c>
      <c r="J54" s="277"/>
    </row>
    <row r="55">
      <c r="A55" s="145" t="s">
        <v>2721</v>
      </c>
      <c r="B55" s="47"/>
      <c r="C55" s="9" t="s">
        <v>11</v>
      </c>
      <c r="D55" s="8" t="str">
        <f t="shared" si="1"/>
        <v>-</v>
      </c>
      <c r="E55" s="9"/>
      <c r="F55" s="10"/>
      <c r="G55" s="9"/>
      <c r="H55" s="11"/>
      <c r="I55" s="9" t="s">
        <v>13</v>
      </c>
      <c r="J55" s="277"/>
    </row>
    <row r="56">
      <c r="A56" s="145" t="s">
        <v>2721</v>
      </c>
      <c r="B56" s="47"/>
      <c r="C56" s="9" t="s">
        <v>11</v>
      </c>
      <c r="D56" s="8" t="str">
        <f t="shared" si="1"/>
        <v>-</v>
      </c>
      <c r="E56" s="9"/>
      <c r="F56" s="10"/>
      <c r="G56" s="9"/>
      <c r="H56" s="11"/>
      <c r="I56" s="9" t="s">
        <v>13</v>
      </c>
      <c r="J56" s="277"/>
    </row>
    <row r="57">
      <c r="A57" s="145" t="s">
        <v>2721</v>
      </c>
      <c r="B57" s="47"/>
      <c r="C57" s="9" t="s">
        <v>11</v>
      </c>
      <c r="D57" s="8" t="str">
        <f t="shared" si="1"/>
        <v>-</v>
      </c>
      <c r="E57" s="9"/>
      <c r="F57" s="10"/>
      <c r="G57" s="9"/>
      <c r="H57" s="11"/>
      <c r="I57" s="9" t="s">
        <v>13</v>
      </c>
      <c r="J57" s="277"/>
    </row>
    <row r="58">
      <c r="A58" s="145" t="s">
        <v>2721</v>
      </c>
      <c r="B58" s="47"/>
      <c r="C58" s="9" t="s">
        <v>11</v>
      </c>
      <c r="D58" s="8" t="str">
        <f t="shared" si="1"/>
        <v>-</v>
      </c>
      <c r="E58" s="9"/>
      <c r="F58" s="10"/>
      <c r="G58" s="9"/>
      <c r="H58" s="11"/>
      <c r="I58" s="9" t="s">
        <v>13</v>
      </c>
      <c r="J58" s="277"/>
    </row>
    <row r="59">
      <c r="A59" s="145" t="s">
        <v>2721</v>
      </c>
      <c r="B59" s="47"/>
      <c r="C59" s="9" t="s">
        <v>11</v>
      </c>
      <c r="D59" s="8" t="str">
        <f t="shared" si="1"/>
        <v>-</v>
      </c>
      <c r="E59" s="9"/>
      <c r="F59" s="10"/>
      <c r="G59" s="9"/>
      <c r="H59" s="11"/>
      <c r="I59" s="9" t="s">
        <v>13</v>
      </c>
      <c r="J59" s="277"/>
    </row>
    <row r="60">
      <c r="A60" s="145" t="s">
        <v>2721</v>
      </c>
      <c r="B60" s="47"/>
      <c r="C60" s="9" t="s">
        <v>11</v>
      </c>
      <c r="D60" s="8" t="str">
        <f t="shared" si="1"/>
        <v>-</v>
      </c>
      <c r="E60" s="9"/>
      <c r="F60" s="10"/>
      <c r="G60" s="9"/>
      <c r="H60" s="11"/>
      <c r="I60" s="9" t="s">
        <v>13</v>
      </c>
      <c r="J60" s="277"/>
    </row>
    <row r="61">
      <c r="A61" s="145" t="s">
        <v>2721</v>
      </c>
      <c r="B61" s="47"/>
      <c r="C61" s="9" t="s">
        <v>11</v>
      </c>
      <c r="D61" s="8" t="str">
        <f t="shared" si="1"/>
        <v>-</v>
      </c>
      <c r="E61" s="9"/>
      <c r="F61" s="10"/>
      <c r="G61" s="9"/>
      <c r="H61" s="11"/>
      <c r="I61" s="9" t="s">
        <v>13</v>
      </c>
      <c r="J61" s="277"/>
    </row>
    <row r="62">
      <c r="A62" s="145" t="s">
        <v>2721</v>
      </c>
      <c r="B62" s="47"/>
      <c r="C62" s="9" t="s">
        <v>11</v>
      </c>
      <c r="D62" s="8" t="str">
        <f t="shared" si="1"/>
        <v>-</v>
      </c>
      <c r="E62" s="9"/>
      <c r="F62" s="10"/>
      <c r="G62" s="9"/>
      <c r="H62" s="11"/>
      <c r="I62" s="9" t="s">
        <v>13</v>
      </c>
      <c r="J62" s="277"/>
    </row>
    <row r="63">
      <c r="A63" s="145" t="s">
        <v>2721</v>
      </c>
      <c r="B63" s="47"/>
      <c r="C63" s="9" t="s">
        <v>11</v>
      </c>
      <c r="D63" s="8" t="str">
        <f t="shared" si="1"/>
        <v>-</v>
      </c>
      <c r="E63" s="9"/>
      <c r="F63" s="10"/>
      <c r="G63" s="9"/>
      <c r="H63" s="11"/>
      <c r="I63" s="9" t="s">
        <v>13</v>
      </c>
      <c r="J63" s="277"/>
    </row>
    <row r="64">
      <c r="A64" s="145" t="s">
        <v>2721</v>
      </c>
      <c r="B64" s="47"/>
      <c r="C64" s="9" t="s">
        <v>11</v>
      </c>
      <c r="D64" s="8" t="str">
        <f t="shared" si="1"/>
        <v>-</v>
      </c>
      <c r="E64" s="9"/>
      <c r="F64" s="10"/>
      <c r="G64" s="9"/>
      <c r="H64" s="11"/>
      <c r="I64" s="9" t="s">
        <v>13</v>
      </c>
      <c r="J64" s="277"/>
    </row>
    <row r="65">
      <c r="A65" s="145" t="s">
        <v>2721</v>
      </c>
      <c r="B65" s="47"/>
      <c r="C65" s="9" t="s">
        <v>11</v>
      </c>
      <c r="D65" s="8" t="str">
        <f t="shared" si="1"/>
        <v>-</v>
      </c>
      <c r="E65" s="9"/>
      <c r="F65" s="10"/>
      <c r="G65" s="9"/>
      <c r="H65" s="11"/>
      <c r="I65" s="9" t="s">
        <v>13</v>
      </c>
      <c r="J65" s="277"/>
    </row>
    <row r="66">
      <c r="A66" s="145" t="s">
        <v>2721</v>
      </c>
      <c r="B66" s="47"/>
      <c r="C66" s="9" t="s">
        <v>11</v>
      </c>
      <c r="D66" s="8" t="str">
        <f t="shared" si="1"/>
        <v>-</v>
      </c>
      <c r="E66" s="9"/>
      <c r="F66" s="10"/>
      <c r="G66" s="9"/>
      <c r="H66" s="11"/>
      <c r="I66" s="9" t="s">
        <v>13</v>
      </c>
      <c r="J66" s="277"/>
    </row>
    <row r="67">
      <c r="A67" s="145" t="s">
        <v>2721</v>
      </c>
      <c r="B67" s="47"/>
      <c r="C67" s="9" t="s">
        <v>11</v>
      </c>
      <c r="D67" s="8" t="str">
        <f t="shared" si="1"/>
        <v>-</v>
      </c>
      <c r="E67" s="9"/>
      <c r="F67" s="10"/>
      <c r="G67" s="9"/>
      <c r="H67" s="11"/>
      <c r="I67" s="9" t="s">
        <v>13</v>
      </c>
      <c r="J67" s="277"/>
    </row>
    <row r="68">
      <c r="A68" s="145" t="s">
        <v>2721</v>
      </c>
      <c r="B68" s="47"/>
      <c r="C68" s="9" t="s">
        <v>11</v>
      </c>
      <c r="D68" s="8" t="str">
        <f t="shared" si="1"/>
        <v>-</v>
      </c>
      <c r="E68" s="9"/>
      <c r="F68" s="10"/>
      <c r="G68" s="9"/>
      <c r="H68" s="11"/>
      <c r="I68" s="9" t="s">
        <v>13</v>
      </c>
      <c r="J68" s="277"/>
    </row>
    <row r="69">
      <c r="A69" s="145" t="s">
        <v>2721</v>
      </c>
      <c r="B69" s="47"/>
      <c r="C69" s="9" t="s">
        <v>11</v>
      </c>
      <c r="D69" s="8" t="str">
        <f t="shared" si="1"/>
        <v>-</v>
      </c>
      <c r="E69" s="9"/>
      <c r="F69" s="10"/>
      <c r="G69" s="9"/>
      <c r="H69" s="11"/>
      <c r="I69" s="9" t="s">
        <v>13</v>
      </c>
      <c r="J69" s="277"/>
    </row>
    <row r="70">
      <c r="A70" s="145" t="s">
        <v>2721</v>
      </c>
      <c r="B70" s="47"/>
      <c r="C70" s="9" t="s">
        <v>11</v>
      </c>
      <c r="D70" s="8" t="str">
        <f t="shared" si="1"/>
        <v>-</v>
      </c>
      <c r="E70" s="9"/>
      <c r="F70" s="10"/>
      <c r="G70" s="9"/>
      <c r="H70" s="11"/>
      <c r="I70" s="9" t="s">
        <v>13</v>
      </c>
      <c r="J70" s="277"/>
    </row>
    <row r="71">
      <c r="A71" s="145" t="s">
        <v>2721</v>
      </c>
      <c r="B71" s="47"/>
      <c r="C71" s="9" t="s">
        <v>11</v>
      </c>
      <c r="D71" s="8" t="str">
        <f t="shared" si="1"/>
        <v>-</v>
      </c>
      <c r="E71" s="9"/>
      <c r="F71" s="10"/>
      <c r="G71" s="9"/>
      <c r="H71" s="11"/>
      <c r="I71" s="9" t="s">
        <v>13</v>
      </c>
      <c r="J71" s="277"/>
    </row>
    <row r="72">
      <c r="A72" s="145" t="s">
        <v>2721</v>
      </c>
      <c r="B72" s="47"/>
      <c r="C72" s="9" t="s">
        <v>11</v>
      </c>
      <c r="D72" s="8" t="str">
        <f t="shared" si="1"/>
        <v>-</v>
      </c>
      <c r="E72" s="9"/>
      <c r="F72" s="10"/>
      <c r="G72" s="9"/>
      <c r="H72" s="11"/>
      <c r="I72" s="9" t="s">
        <v>13</v>
      </c>
      <c r="J72" s="277"/>
    </row>
    <row r="73">
      <c r="A73" s="145" t="s">
        <v>2721</v>
      </c>
      <c r="B73" s="47"/>
      <c r="C73" s="9" t="s">
        <v>11</v>
      </c>
      <c r="D73" s="8" t="str">
        <f t="shared" si="1"/>
        <v>-</v>
      </c>
      <c r="E73" s="9"/>
      <c r="F73" s="10"/>
      <c r="G73" s="9"/>
      <c r="H73" s="11"/>
      <c r="I73" s="9" t="s">
        <v>13</v>
      </c>
      <c r="J73" s="277"/>
    </row>
    <row r="74">
      <c r="A74" s="145" t="s">
        <v>2721</v>
      </c>
      <c r="B74" s="47"/>
      <c r="C74" s="9" t="s">
        <v>11</v>
      </c>
      <c r="D74" s="8" t="str">
        <f t="shared" si="1"/>
        <v>-</v>
      </c>
      <c r="E74" s="9"/>
      <c r="F74" s="10"/>
      <c r="G74" s="9"/>
      <c r="H74" s="11"/>
      <c r="I74" s="9" t="s">
        <v>13</v>
      </c>
      <c r="J74" s="277"/>
    </row>
    <row r="75">
      <c r="A75" s="145" t="s">
        <v>2721</v>
      </c>
      <c r="B75" s="47"/>
      <c r="C75" s="9" t="s">
        <v>11</v>
      </c>
      <c r="D75" s="8" t="str">
        <f t="shared" si="1"/>
        <v>-</v>
      </c>
      <c r="E75" s="9"/>
      <c r="F75" s="10"/>
      <c r="G75" s="9"/>
      <c r="H75" s="11"/>
      <c r="I75" s="9" t="s">
        <v>13</v>
      </c>
      <c r="J75" s="277"/>
    </row>
    <row r="76">
      <c r="A76" s="145" t="s">
        <v>2721</v>
      </c>
      <c r="B76" s="47"/>
      <c r="C76" s="9" t="s">
        <v>11</v>
      </c>
      <c r="D76" s="8" t="str">
        <f t="shared" si="1"/>
        <v>-</v>
      </c>
      <c r="E76" s="9"/>
      <c r="F76" s="10"/>
      <c r="G76" s="9"/>
      <c r="H76" s="11"/>
      <c r="I76" s="9" t="s">
        <v>13</v>
      </c>
      <c r="J76" s="277"/>
    </row>
    <row r="77">
      <c r="A77" s="145" t="s">
        <v>2721</v>
      </c>
      <c r="B77" s="47"/>
      <c r="C77" s="9" t="s">
        <v>11</v>
      </c>
      <c r="D77" s="8" t="str">
        <f t="shared" si="1"/>
        <v>-</v>
      </c>
      <c r="E77" s="9"/>
      <c r="F77" s="10"/>
      <c r="G77" s="9"/>
      <c r="H77" s="11"/>
      <c r="I77" s="9" t="s">
        <v>13</v>
      </c>
      <c r="J77" s="277"/>
    </row>
    <row r="78">
      <c r="A78" s="145" t="s">
        <v>2721</v>
      </c>
      <c r="B78" s="47"/>
      <c r="C78" s="9" t="s">
        <v>11</v>
      </c>
      <c r="D78" s="8" t="str">
        <f t="shared" si="1"/>
        <v>-</v>
      </c>
      <c r="E78" s="9"/>
      <c r="F78" s="10"/>
      <c r="G78" s="9"/>
      <c r="H78" s="11"/>
      <c r="I78" s="9" t="s">
        <v>13</v>
      </c>
      <c r="J78" s="277"/>
    </row>
    <row r="79">
      <c r="A79" s="145" t="s">
        <v>2721</v>
      </c>
      <c r="B79" s="47"/>
      <c r="C79" s="9" t="s">
        <v>11</v>
      </c>
      <c r="D79" s="8" t="str">
        <f t="shared" si="1"/>
        <v>-</v>
      </c>
      <c r="E79" s="9"/>
      <c r="F79" s="10"/>
      <c r="G79" s="9"/>
      <c r="H79" s="11"/>
      <c r="I79" s="9" t="s">
        <v>13</v>
      </c>
      <c r="J79" s="277"/>
    </row>
    <row r="80">
      <c r="A80" s="145" t="s">
        <v>2721</v>
      </c>
      <c r="B80" s="47"/>
      <c r="C80" s="9" t="s">
        <v>11</v>
      </c>
      <c r="D80" s="8" t="str">
        <f t="shared" si="1"/>
        <v>-</v>
      </c>
      <c r="E80" s="9"/>
      <c r="F80" s="10"/>
      <c r="G80" s="9"/>
      <c r="H80" s="11"/>
      <c r="I80" s="9" t="s">
        <v>13</v>
      </c>
      <c r="J80" s="277"/>
    </row>
    <row r="81">
      <c r="A81" s="145" t="s">
        <v>2721</v>
      </c>
      <c r="B81" s="47"/>
      <c r="C81" s="9" t="s">
        <v>11</v>
      </c>
      <c r="D81" s="8" t="str">
        <f t="shared" si="1"/>
        <v>-</v>
      </c>
      <c r="E81" s="9"/>
      <c r="F81" s="10"/>
      <c r="G81" s="9"/>
      <c r="H81" s="11"/>
      <c r="I81" s="9" t="s">
        <v>13</v>
      </c>
      <c r="J81" s="277"/>
    </row>
    <row r="82">
      <c r="A82" s="145" t="s">
        <v>2721</v>
      </c>
      <c r="B82" s="47"/>
      <c r="C82" s="9" t="s">
        <v>11</v>
      </c>
      <c r="D82" s="8" t="str">
        <f t="shared" si="1"/>
        <v>-</v>
      </c>
      <c r="E82" s="9"/>
      <c r="F82" s="10"/>
      <c r="G82" s="9"/>
      <c r="H82" s="11"/>
      <c r="I82" s="9" t="s">
        <v>13</v>
      </c>
      <c r="J82" s="277"/>
    </row>
    <row r="83">
      <c r="A83" s="145" t="s">
        <v>2721</v>
      </c>
      <c r="B83" s="47"/>
      <c r="C83" s="9" t="s">
        <v>11</v>
      </c>
      <c r="D83" s="8" t="str">
        <f t="shared" si="1"/>
        <v>-</v>
      </c>
      <c r="E83" s="9"/>
      <c r="F83" s="10"/>
      <c r="G83" s="9"/>
      <c r="H83" s="11"/>
      <c r="I83" s="9" t="s">
        <v>13</v>
      </c>
      <c r="J83" s="277"/>
    </row>
    <row r="84">
      <c r="A84" s="145" t="s">
        <v>2721</v>
      </c>
      <c r="B84" s="47"/>
      <c r="C84" s="9" t="s">
        <v>11</v>
      </c>
      <c r="D84" s="8" t="str">
        <f t="shared" si="1"/>
        <v>-</v>
      </c>
      <c r="E84" s="9"/>
      <c r="F84" s="10"/>
      <c r="G84" s="9"/>
      <c r="H84" s="11"/>
      <c r="I84" s="9" t="s">
        <v>13</v>
      </c>
      <c r="J84" s="277"/>
    </row>
    <row r="85">
      <c r="A85" s="145" t="s">
        <v>2721</v>
      </c>
      <c r="B85" s="47"/>
      <c r="C85" s="9" t="s">
        <v>11</v>
      </c>
      <c r="D85" s="8" t="str">
        <f t="shared" si="1"/>
        <v>-</v>
      </c>
      <c r="E85" s="9"/>
      <c r="F85" s="10"/>
      <c r="G85" s="9"/>
      <c r="H85" s="11"/>
      <c r="I85" s="9" t="s">
        <v>13</v>
      </c>
      <c r="J85" s="277"/>
    </row>
    <row r="86">
      <c r="A86" s="145" t="s">
        <v>2721</v>
      </c>
      <c r="B86" s="47"/>
      <c r="C86" s="9" t="s">
        <v>11</v>
      </c>
      <c r="D86" s="8" t="str">
        <f t="shared" si="1"/>
        <v>-</v>
      </c>
      <c r="E86" s="9"/>
      <c r="F86" s="10"/>
      <c r="G86" s="9"/>
      <c r="H86" s="11"/>
      <c r="I86" s="9" t="s">
        <v>13</v>
      </c>
      <c r="J86" s="277"/>
    </row>
    <row r="87">
      <c r="A87" s="145" t="s">
        <v>2721</v>
      </c>
      <c r="B87" s="47"/>
      <c r="C87" s="9" t="s">
        <v>11</v>
      </c>
      <c r="D87" s="8" t="str">
        <f t="shared" si="1"/>
        <v>-</v>
      </c>
      <c r="E87" s="9"/>
      <c r="F87" s="10"/>
      <c r="G87" s="9"/>
      <c r="H87" s="11"/>
      <c r="I87" s="9" t="s">
        <v>13</v>
      </c>
      <c r="J87" s="277"/>
    </row>
    <row r="88">
      <c r="A88" s="145" t="s">
        <v>2721</v>
      </c>
      <c r="B88" s="47"/>
      <c r="C88" s="9" t="s">
        <v>11</v>
      </c>
      <c r="D88" s="8" t="str">
        <f t="shared" si="1"/>
        <v>-</v>
      </c>
      <c r="E88" s="9"/>
      <c r="F88" s="10"/>
      <c r="G88" s="9"/>
      <c r="H88" s="11"/>
      <c r="I88" s="9" t="s">
        <v>13</v>
      </c>
      <c r="J88" s="277"/>
    </row>
    <row r="89">
      <c r="A89" s="145" t="s">
        <v>2721</v>
      </c>
      <c r="B89" s="47"/>
      <c r="C89" s="9" t="s">
        <v>11</v>
      </c>
      <c r="D89" s="8" t="str">
        <f t="shared" si="1"/>
        <v>-</v>
      </c>
      <c r="E89" s="9"/>
      <c r="F89" s="10"/>
      <c r="G89" s="9"/>
      <c r="H89" s="11"/>
      <c r="I89" s="9" t="s">
        <v>13</v>
      </c>
      <c r="J89" s="277"/>
    </row>
    <row r="90">
      <c r="A90" s="145" t="s">
        <v>2721</v>
      </c>
      <c r="B90" s="47"/>
      <c r="C90" s="9" t="s">
        <v>11</v>
      </c>
      <c r="D90" s="8" t="str">
        <f t="shared" si="1"/>
        <v>-</v>
      </c>
      <c r="E90" s="9"/>
      <c r="F90" s="10"/>
      <c r="G90" s="9"/>
      <c r="H90" s="11"/>
      <c r="I90" s="9" t="s">
        <v>13</v>
      </c>
      <c r="J90" s="277"/>
    </row>
    <row r="91">
      <c r="A91" s="145" t="s">
        <v>2721</v>
      </c>
      <c r="B91" s="47"/>
      <c r="C91" s="9" t="s">
        <v>11</v>
      </c>
      <c r="D91" s="8" t="str">
        <f t="shared" si="1"/>
        <v>-</v>
      </c>
      <c r="E91" s="9"/>
      <c r="F91" s="10"/>
      <c r="G91" s="9"/>
      <c r="H91" s="11"/>
      <c r="I91" s="9" t="s">
        <v>13</v>
      </c>
      <c r="J91" s="277"/>
    </row>
    <row r="92">
      <c r="A92" s="145" t="s">
        <v>2721</v>
      </c>
      <c r="B92" s="47"/>
      <c r="C92" s="9" t="s">
        <v>11</v>
      </c>
      <c r="D92" s="8" t="str">
        <f t="shared" si="1"/>
        <v>-</v>
      </c>
      <c r="E92" s="9"/>
      <c r="F92" s="10"/>
      <c r="G92" s="9"/>
      <c r="H92" s="11"/>
      <c r="I92" s="9" t="s">
        <v>13</v>
      </c>
      <c r="J92" s="277"/>
    </row>
    <row r="93">
      <c r="A93" s="145" t="s">
        <v>2721</v>
      </c>
      <c r="B93" s="47"/>
      <c r="C93" s="9" t="s">
        <v>11</v>
      </c>
      <c r="D93" s="8" t="str">
        <f t="shared" si="1"/>
        <v>-</v>
      </c>
      <c r="E93" s="9"/>
      <c r="F93" s="10"/>
      <c r="G93" s="9"/>
      <c r="H93" s="11"/>
      <c r="I93" s="9" t="s">
        <v>13</v>
      </c>
      <c r="J93" s="277"/>
    </row>
    <row r="94">
      <c r="A94" s="145" t="s">
        <v>2721</v>
      </c>
      <c r="B94" s="47"/>
      <c r="C94" s="9" t="s">
        <v>11</v>
      </c>
      <c r="D94" s="8" t="str">
        <f t="shared" si="1"/>
        <v>-</v>
      </c>
      <c r="E94" s="9"/>
      <c r="F94" s="10"/>
      <c r="G94" s="9"/>
      <c r="H94" s="11"/>
      <c r="I94" s="9" t="s">
        <v>13</v>
      </c>
      <c r="J94" s="277"/>
    </row>
    <row r="95">
      <c r="A95" s="145" t="s">
        <v>2721</v>
      </c>
      <c r="B95" s="47"/>
      <c r="C95" s="9" t="s">
        <v>11</v>
      </c>
      <c r="D95" s="8" t="str">
        <f t="shared" si="1"/>
        <v>-</v>
      </c>
      <c r="E95" s="9"/>
      <c r="F95" s="10"/>
      <c r="G95" s="9"/>
      <c r="H95" s="11"/>
      <c r="I95" s="9" t="s">
        <v>13</v>
      </c>
      <c r="J95" s="277"/>
    </row>
    <row r="96">
      <c r="A96" s="145" t="s">
        <v>2721</v>
      </c>
      <c r="B96" s="47"/>
      <c r="C96" s="9" t="s">
        <v>11</v>
      </c>
      <c r="D96" s="8" t="str">
        <f t="shared" si="1"/>
        <v>-</v>
      </c>
      <c r="E96" s="9"/>
      <c r="F96" s="10"/>
      <c r="G96" s="9"/>
      <c r="H96" s="11"/>
      <c r="I96" s="9" t="s">
        <v>13</v>
      </c>
      <c r="J96" s="277"/>
    </row>
    <row r="97">
      <c r="A97" s="145" t="s">
        <v>2721</v>
      </c>
      <c r="B97" s="47"/>
      <c r="C97" s="9" t="s">
        <v>11</v>
      </c>
      <c r="D97" s="8" t="str">
        <f t="shared" si="1"/>
        <v>-</v>
      </c>
      <c r="E97" s="9"/>
      <c r="F97" s="10"/>
      <c r="G97" s="9"/>
      <c r="H97" s="11"/>
      <c r="I97" s="9" t="s">
        <v>13</v>
      </c>
      <c r="J97" s="277"/>
    </row>
    <row r="98">
      <c r="A98" s="145" t="s">
        <v>2721</v>
      </c>
      <c r="B98" s="47"/>
      <c r="C98" s="9" t="s">
        <v>11</v>
      </c>
      <c r="D98" s="8" t="str">
        <f t="shared" si="1"/>
        <v>-</v>
      </c>
      <c r="E98" s="9"/>
      <c r="F98" s="10"/>
      <c r="G98" s="9"/>
      <c r="H98" s="11"/>
      <c r="I98" s="9" t="s">
        <v>13</v>
      </c>
      <c r="J98" s="277"/>
    </row>
    <row r="99">
      <c r="A99" s="145" t="s">
        <v>2721</v>
      </c>
      <c r="B99" s="47"/>
      <c r="C99" s="9" t="s">
        <v>11</v>
      </c>
      <c r="D99" s="8" t="str">
        <f t="shared" si="1"/>
        <v>-</v>
      </c>
      <c r="E99" s="9"/>
      <c r="F99" s="10"/>
      <c r="G99" s="9"/>
      <c r="H99" s="11"/>
      <c r="I99" s="9" t="s">
        <v>13</v>
      </c>
      <c r="J99" s="277"/>
    </row>
    <row r="100">
      <c r="A100" s="145" t="s">
        <v>2721</v>
      </c>
      <c r="B100" s="47"/>
      <c r="C100" s="9" t="s">
        <v>11</v>
      </c>
      <c r="D100" s="8" t="str">
        <f t="shared" si="1"/>
        <v>-</v>
      </c>
      <c r="E100" s="9"/>
      <c r="F100" s="10"/>
      <c r="G100" s="9"/>
      <c r="H100" s="11"/>
      <c r="I100" s="9" t="s">
        <v>13</v>
      </c>
      <c r="J100" s="277"/>
    </row>
    <row r="101">
      <c r="A101" s="145" t="s">
        <v>2721</v>
      </c>
      <c r="B101" s="47"/>
      <c r="C101" s="9" t="s">
        <v>11</v>
      </c>
      <c r="D101" s="8" t="str">
        <f t="shared" si="1"/>
        <v>-</v>
      </c>
      <c r="E101" s="9"/>
      <c r="F101" s="10"/>
      <c r="G101" s="9"/>
      <c r="H101" s="11"/>
      <c r="I101" s="9" t="s">
        <v>13</v>
      </c>
      <c r="J101" s="277"/>
    </row>
    <row r="102">
      <c r="A102" s="145" t="s">
        <v>2721</v>
      </c>
      <c r="B102" s="47"/>
      <c r="C102" s="9" t="s">
        <v>11</v>
      </c>
      <c r="D102" s="8" t="str">
        <f t="shared" si="1"/>
        <v>-</v>
      </c>
      <c r="E102" s="9"/>
      <c r="F102" s="10"/>
      <c r="G102" s="9"/>
      <c r="H102" s="11"/>
      <c r="I102" s="9" t="s">
        <v>13</v>
      </c>
      <c r="J102" s="277"/>
    </row>
    <row r="103">
      <c r="A103" s="145" t="s">
        <v>2721</v>
      </c>
      <c r="B103" s="47"/>
      <c r="C103" s="9" t="s">
        <v>11</v>
      </c>
      <c r="D103" s="8" t="str">
        <f t="shared" si="1"/>
        <v>-</v>
      </c>
      <c r="E103" s="9"/>
      <c r="F103" s="10"/>
      <c r="G103" s="9"/>
      <c r="H103" s="11"/>
      <c r="I103" s="9" t="s">
        <v>13</v>
      </c>
      <c r="J103" s="277"/>
    </row>
    <row r="104">
      <c r="A104" s="145" t="s">
        <v>2721</v>
      </c>
      <c r="B104" s="47"/>
      <c r="C104" s="9" t="s">
        <v>11</v>
      </c>
      <c r="D104" s="8" t="str">
        <f t="shared" si="1"/>
        <v>-</v>
      </c>
      <c r="E104" s="9"/>
      <c r="F104" s="10"/>
      <c r="G104" s="9"/>
      <c r="H104" s="11"/>
      <c r="I104" s="9" t="s">
        <v>13</v>
      </c>
      <c r="J104" s="277"/>
    </row>
    <row r="105">
      <c r="A105" s="145" t="s">
        <v>2721</v>
      </c>
      <c r="B105" s="47"/>
      <c r="C105" s="9" t="s">
        <v>11</v>
      </c>
      <c r="D105" s="8" t="str">
        <f t="shared" si="1"/>
        <v>-</v>
      </c>
      <c r="E105" s="9"/>
      <c r="F105" s="10"/>
      <c r="G105" s="9"/>
      <c r="H105" s="11"/>
      <c r="I105" s="9" t="s">
        <v>13</v>
      </c>
      <c r="J105" s="277"/>
    </row>
    <row r="106">
      <c r="A106" s="145" t="s">
        <v>2721</v>
      </c>
      <c r="B106" s="47"/>
      <c r="C106" s="9" t="s">
        <v>11</v>
      </c>
      <c r="D106" s="8" t="str">
        <f t="shared" si="1"/>
        <v>-</v>
      </c>
      <c r="E106" s="9"/>
      <c r="F106" s="10"/>
      <c r="G106" s="9"/>
      <c r="H106" s="11"/>
      <c r="I106" s="9" t="s">
        <v>13</v>
      </c>
      <c r="J106" s="277"/>
    </row>
    <row r="107">
      <c r="A107" s="145" t="s">
        <v>2721</v>
      </c>
      <c r="B107" s="47"/>
      <c r="C107" s="9" t="s">
        <v>11</v>
      </c>
      <c r="D107" s="8" t="str">
        <f t="shared" si="1"/>
        <v>-</v>
      </c>
      <c r="E107" s="9"/>
      <c r="F107" s="10"/>
      <c r="G107" s="9"/>
      <c r="H107" s="11"/>
      <c r="I107" s="9" t="s">
        <v>13</v>
      </c>
      <c r="J107" s="277"/>
    </row>
    <row r="108">
      <c r="A108" s="145" t="s">
        <v>2721</v>
      </c>
      <c r="B108" s="47"/>
      <c r="C108" s="9" t="s">
        <v>11</v>
      </c>
      <c r="D108" s="8" t="str">
        <f t="shared" si="1"/>
        <v>-</v>
      </c>
      <c r="E108" s="9"/>
      <c r="F108" s="10"/>
      <c r="G108" s="9"/>
      <c r="H108" s="11"/>
      <c r="I108" s="9" t="s">
        <v>13</v>
      </c>
      <c r="J108" s="277"/>
    </row>
    <row r="109">
      <c r="A109" s="145" t="s">
        <v>2721</v>
      </c>
      <c r="B109" s="47"/>
      <c r="C109" s="9" t="s">
        <v>11</v>
      </c>
      <c r="D109" s="8" t="str">
        <f t="shared" si="1"/>
        <v>-</v>
      </c>
      <c r="E109" s="9"/>
      <c r="F109" s="10"/>
      <c r="G109" s="9"/>
      <c r="H109" s="11"/>
      <c r="I109" s="9" t="s">
        <v>13</v>
      </c>
      <c r="J109" s="277"/>
    </row>
    <row r="110">
      <c r="A110" s="145" t="s">
        <v>2721</v>
      </c>
      <c r="B110" s="47"/>
      <c r="C110" s="9" t="s">
        <v>11</v>
      </c>
      <c r="D110" s="8" t="str">
        <f t="shared" si="1"/>
        <v>-</v>
      </c>
      <c r="E110" s="9"/>
      <c r="F110" s="10"/>
      <c r="G110" s="9"/>
      <c r="H110" s="11"/>
      <c r="I110" s="9" t="s">
        <v>13</v>
      </c>
      <c r="J110" s="277"/>
    </row>
    <row r="111">
      <c r="A111" s="145" t="s">
        <v>2721</v>
      </c>
      <c r="B111" s="47"/>
      <c r="C111" s="9" t="s">
        <v>11</v>
      </c>
      <c r="D111" s="8" t="str">
        <f t="shared" si="1"/>
        <v>-</v>
      </c>
      <c r="E111" s="9"/>
      <c r="F111" s="10"/>
      <c r="G111" s="9"/>
      <c r="H111" s="11"/>
      <c r="I111" s="9" t="s">
        <v>13</v>
      </c>
      <c r="J111" s="277"/>
    </row>
    <row r="112">
      <c r="A112" s="145" t="s">
        <v>2721</v>
      </c>
      <c r="B112" s="47"/>
      <c r="C112" s="9" t="s">
        <v>11</v>
      </c>
      <c r="D112" s="8" t="str">
        <f t="shared" si="1"/>
        <v>-</v>
      </c>
      <c r="E112" s="9"/>
      <c r="F112" s="10"/>
      <c r="G112" s="9"/>
      <c r="H112" s="11"/>
      <c r="I112" s="9" t="s">
        <v>13</v>
      </c>
      <c r="J112" s="277"/>
    </row>
    <row r="113">
      <c r="A113" s="145" t="s">
        <v>2721</v>
      </c>
      <c r="B113" s="47"/>
      <c r="C113" s="9" t="s">
        <v>11</v>
      </c>
      <c r="D113" s="8" t="str">
        <f t="shared" si="1"/>
        <v>-</v>
      </c>
      <c r="E113" s="9"/>
      <c r="F113" s="10"/>
      <c r="G113" s="9"/>
      <c r="H113" s="11"/>
      <c r="I113" s="9" t="s">
        <v>13</v>
      </c>
      <c r="J113" s="277"/>
    </row>
    <row r="114">
      <c r="A114" s="145" t="s">
        <v>2721</v>
      </c>
      <c r="B114" s="47"/>
      <c r="C114" s="9" t="s">
        <v>11</v>
      </c>
      <c r="D114" s="8" t="str">
        <f t="shared" si="1"/>
        <v>-</v>
      </c>
      <c r="E114" s="9"/>
      <c r="F114" s="10"/>
      <c r="G114" s="9"/>
      <c r="H114" s="11"/>
      <c r="I114" s="9" t="s">
        <v>13</v>
      </c>
      <c r="J114" s="277"/>
    </row>
    <row r="115">
      <c r="A115" s="145" t="s">
        <v>2721</v>
      </c>
      <c r="B115" s="47"/>
      <c r="C115" s="9" t="s">
        <v>11</v>
      </c>
      <c r="D115" s="8" t="str">
        <f t="shared" si="1"/>
        <v>-</v>
      </c>
      <c r="E115" s="9"/>
      <c r="F115" s="10"/>
      <c r="G115" s="9"/>
      <c r="H115" s="11"/>
      <c r="I115" s="9" t="s">
        <v>13</v>
      </c>
      <c r="J115" s="277"/>
    </row>
    <row r="116">
      <c r="A116" s="145" t="s">
        <v>2721</v>
      </c>
      <c r="B116" s="47"/>
      <c r="C116" s="9" t="s">
        <v>11</v>
      </c>
      <c r="D116" s="8" t="str">
        <f t="shared" si="1"/>
        <v>-</v>
      </c>
      <c r="E116" s="9"/>
      <c r="F116" s="10"/>
      <c r="G116" s="9"/>
      <c r="H116" s="11"/>
      <c r="I116" s="9" t="s">
        <v>13</v>
      </c>
      <c r="J116" s="277"/>
    </row>
    <row r="117">
      <c r="A117" s="145" t="s">
        <v>2721</v>
      </c>
      <c r="B117" s="47"/>
      <c r="C117" s="9" t="s">
        <v>11</v>
      </c>
      <c r="D117" s="8" t="str">
        <f t="shared" si="1"/>
        <v>-</v>
      </c>
      <c r="E117" s="9"/>
      <c r="F117" s="10"/>
      <c r="G117" s="9"/>
      <c r="H117" s="11"/>
      <c r="I117" s="9" t="s">
        <v>13</v>
      </c>
      <c r="J117" s="277"/>
    </row>
    <row r="118">
      <c r="A118" s="145" t="s">
        <v>2721</v>
      </c>
      <c r="B118" s="47"/>
      <c r="C118" s="9" t="s">
        <v>11</v>
      </c>
      <c r="D118" s="8" t="str">
        <f t="shared" si="1"/>
        <v>-</v>
      </c>
      <c r="E118" s="9"/>
      <c r="F118" s="10"/>
      <c r="G118" s="9"/>
      <c r="H118" s="11"/>
      <c r="I118" s="9" t="s">
        <v>13</v>
      </c>
      <c r="J118" s="277"/>
    </row>
    <row r="119">
      <c r="A119" s="145" t="s">
        <v>2721</v>
      </c>
      <c r="B119" s="47"/>
      <c r="C119" s="9" t="s">
        <v>11</v>
      </c>
      <c r="D119" s="8" t="str">
        <f t="shared" si="1"/>
        <v>-</v>
      </c>
      <c r="E119" s="9"/>
      <c r="F119" s="10"/>
      <c r="G119" s="9"/>
      <c r="H119" s="11"/>
      <c r="I119" s="9" t="s">
        <v>13</v>
      </c>
      <c r="J119" s="277"/>
    </row>
    <row r="120">
      <c r="A120" s="145" t="s">
        <v>2721</v>
      </c>
      <c r="B120" s="47"/>
      <c r="C120" s="9" t="s">
        <v>11</v>
      </c>
      <c r="D120" s="8" t="str">
        <f t="shared" si="1"/>
        <v>-</v>
      </c>
      <c r="E120" s="9"/>
      <c r="F120" s="10"/>
      <c r="G120" s="9"/>
      <c r="H120" s="11"/>
      <c r="I120" s="9" t="s">
        <v>13</v>
      </c>
      <c r="J120" s="277"/>
    </row>
    <row r="121">
      <c r="A121" s="145" t="s">
        <v>2721</v>
      </c>
      <c r="B121" s="47"/>
      <c r="C121" s="9" t="s">
        <v>11</v>
      </c>
      <c r="D121" s="8" t="str">
        <f t="shared" si="1"/>
        <v>-</v>
      </c>
      <c r="E121" s="9"/>
      <c r="F121" s="10"/>
      <c r="G121" s="9"/>
      <c r="H121" s="11"/>
      <c r="I121" s="9" t="s">
        <v>13</v>
      </c>
      <c r="J121" s="277"/>
    </row>
    <row r="122">
      <c r="A122" s="145" t="s">
        <v>2721</v>
      </c>
      <c r="B122" s="47"/>
      <c r="C122" s="9" t="s">
        <v>11</v>
      </c>
      <c r="D122" s="8" t="str">
        <f t="shared" si="1"/>
        <v>-</v>
      </c>
      <c r="E122" s="9"/>
      <c r="F122" s="10"/>
      <c r="G122" s="9"/>
      <c r="H122" s="11"/>
      <c r="I122" s="9" t="s">
        <v>13</v>
      </c>
      <c r="J122" s="277"/>
    </row>
    <row r="123">
      <c r="A123" s="145" t="s">
        <v>2721</v>
      </c>
      <c r="B123" s="47"/>
      <c r="C123" s="9" t="s">
        <v>11</v>
      </c>
      <c r="D123" s="8" t="str">
        <f t="shared" si="1"/>
        <v>-</v>
      </c>
      <c r="E123" s="9"/>
      <c r="F123" s="10"/>
      <c r="G123" s="9"/>
      <c r="H123" s="11"/>
      <c r="I123" s="9" t="s">
        <v>13</v>
      </c>
      <c r="J123" s="277"/>
    </row>
    <row r="124">
      <c r="A124" s="145" t="s">
        <v>2721</v>
      </c>
      <c r="B124" s="47"/>
      <c r="C124" s="9" t="s">
        <v>11</v>
      </c>
      <c r="D124" s="8" t="str">
        <f t="shared" si="1"/>
        <v>-</v>
      </c>
      <c r="E124" s="9"/>
      <c r="F124" s="10"/>
      <c r="G124" s="9"/>
      <c r="H124" s="11"/>
      <c r="I124" s="9" t="s">
        <v>13</v>
      </c>
      <c r="J124" s="277"/>
    </row>
    <row r="125">
      <c r="A125" s="145" t="s">
        <v>2721</v>
      </c>
      <c r="B125" s="47"/>
      <c r="C125" s="9" t="s">
        <v>11</v>
      </c>
      <c r="D125" s="8" t="str">
        <f t="shared" si="1"/>
        <v>-</v>
      </c>
      <c r="E125" s="9"/>
      <c r="F125" s="10"/>
      <c r="G125" s="9"/>
      <c r="H125" s="11"/>
      <c r="I125" s="9" t="s">
        <v>13</v>
      </c>
      <c r="J125" s="277"/>
    </row>
    <row r="126">
      <c r="A126" s="145" t="s">
        <v>2721</v>
      </c>
      <c r="B126" s="47"/>
      <c r="C126" s="9" t="s">
        <v>11</v>
      </c>
      <c r="D126" s="8" t="str">
        <f t="shared" si="1"/>
        <v>-</v>
      </c>
      <c r="E126" s="9"/>
      <c r="F126" s="10"/>
      <c r="G126" s="9"/>
      <c r="H126" s="11"/>
      <c r="I126" s="9" t="s">
        <v>13</v>
      </c>
      <c r="J126" s="277"/>
    </row>
    <row r="127">
      <c r="A127" s="145" t="s">
        <v>2721</v>
      </c>
      <c r="B127" s="47"/>
      <c r="C127" s="9" t="s">
        <v>11</v>
      </c>
      <c r="D127" s="8" t="str">
        <f t="shared" si="1"/>
        <v>-</v>
      </c>
      <c r="E127" s="9"/>
      <c r="F127" s="10"/>
      <c r="G127" s="9"/>
      <c r="H127" s="11"/>
      <c r="I127" s="9" t="s">
        <v>13</v>
      </c>
      <c r="J127" s="277"/>
    </row>
    <row r="128">
      <c r="A128" s="145" t="s">
        <v>2721</v>
      </c>
      <c r="B128" s="47"/>
      <c r="C128" s="9" t="s">
        <v>11</v>
      </c>
      <c r="D128" s="8" t="str">
        <f t="shared" si="1"/>
        <v>-</v>
      </c>
      <c r="E128" s="9"/>
      <c r="F128" s="10"/>
      <c r="G128" s="9"/>
      <c r="H128" s="11"/>
      <c r="I128" s="9" t="s">
        <v>13</v>
      </c>
      <c r="J128" s="277"/>
    </row>
    <row r="129">
      <c r="A129" s="145" t="s">
        <v>2721</v>
      </c>
      <c r="B129" s="47"/>
      <c r="C129" s="9" t="s">
        <v>11</v>
      </c>
      <c r="D129" s="8" t="str">
        <f t="shared" si="1"/>
        <v>-</v>
      </c>
      <c r="E129" s="9"/>
      <c r="F129" s="10"/>
      <c r="G129" s="9"/>
      <c r="H129" s="11"/>
      <c r="I129" s="9" t="s">
        <v>13</v>
      </c>
      <c r="J129" s="277"/>
    </row>
    <row r="130">
      <c r="A130" s="145" t="s">
        <v>2721</v>
      </c>
      <c r="B130" s="47"/>
      <c r="C130" s="9" t="s">
        <v>11</v>
      </c>
      <c r="D130" s="8" t="str">
        <f t="shared" si="1"/>
        <v>-</v>
      </c>
      <c r="E130" s="9"/>
      <c r="F130" s="10"/>
      <c r="G130" s="9"/>
      <c r="H130" s="11"/>
      <c r="I130" s="9" t="s">
        <v>13</v>
      </c>
      <c r="J130" s="277"/>
    </row>
    <row r="131">
      <c r="A131" s="145" t="s">
        <v>2721</v>
      </c>
      <c r="B131" s="47"/>
      <c r="C131" s="9" t="s">
        <v>11</v>
      </c>
      <c r="D131" s="8" t="str">
        <f t="shared" si="1"/>
        <v>-</v>
      </c>
      <c r="E131" s="9"/>
      <c r="F131" s="10"/>
      <c r="G131" s="9"/>
      <c r="H131" s="11"/>
      <c r="I131" s="9" t="s">
        <v>13</v>
      </c>
      <c r="J131" s="277"/>
    </row>
    <row r="132">
      <c r="A132" s="145" t="s">
        <v>2721</v>
      </c>
      <c r="B132" s="47"/>
      <c r="C132" s="9" t="s">
        <v>11</v>
      </c>
      <c r="D132" s="8" t="str">
        <f t="shared" si="1"/>
        <v>-</v>
      </c>
      <c r="E132" s="9"/>
      <c r="F132" s="10"/>
      <c r="G132" s="9"/>
      <c r="H132" s="11"/>
      <c r="I132" s="9" t="s">
        <v>13</v>
      </c>
      <c r="J132" s="277"/>
    </row>
    <row r="133">
      <c r="A133" s="145" t="s">
        <v>2721</v>
      </c>
      <c r="B133" s="47"/>
      <c r="C133" s="9" t="s">
        <v>11</v>
      </c>
      <c r="D133" s="8" t="str">
        <f t="shared" si="1"/>
        <v>-</v>
      </c>
      <c r="E133" s="9"/>
      <c r="F133" s="10"/>
      <c r="G133" s="9"/>
      <c r="H133" s="11"/>
      <c r="I133" s="9" t="s">
        <v>13</v>
      </c>
      <c r="J133" s="277"/>
    </row>
    <row r="134">
      <c r="A134" s="145" t="s">
        <v>2721</v>
      </c>
      <c r="B134" s="47"/>
      <c r="C134" s="9" t="s">
        <v>11</v>
      </c>
      <c r="D134" s="8" t="str">
        <f t="shared" si="1"/>
        <v>-</v>
      </c>
      <c r="E134" s="9"/>
      <c r="F134" s="10"/>
      <c r="G134" s="9"/>
      <c r="H134" s="11"/>
      <c r="I134" s="9" t="s">
        <v>13</v>
      </c>
      <c r="J134" s="277"/>
    </row>
    <row r="135">
      <c r="A135" s="145" t="s">
        <v>2721</v>
      </c>
      <c r="B135" s="47"/>
      <c r="C135" s="9" t="s">
        <v>11</v>
      </c>
      <c r="D135" s="8" t="str">
        <f t="shared" si="1"/>
        <v>-</v>
      </c>
      <c r="E135" s="9"/>
      <c r="F135" s="10"/>
      <c r="G135" s="9"/>
      <c r="H135" s="11"/>
      <c r="I135" s="9" t="s">
        <v>13</v>
      </c>
      <c r="J135" s="277"/>
    </row>
    <row r="136">
      <c r="A136" s="145" t="s">
        <v>2721</v>
      </c>
      <c r="B136" s="47"/>
      <c r="C136" s="9" t="s">
        <v>11</v>
      </c>
      <c r="D136" s="8" t="str">
        <f t="shared" si="1"/>
        <v>-</v>
      </c>
      <c r="E136" s="9"/>
      <c r="F136" s="10"/>
      <c r="G136" s="9"/>
      <c r="H136" s="11"/>
      <c r="I136" s="9" t="s">
        <v>13</v>
      </c>
      <c r="J136" s="277"/>
    </row>
    <row r="137">
      <c r="A137" s="145" t="s">
        <v>2721</v>
      </c>
      <c r="B137" s="47"/>
      <c r="C137" s="9" t="s">
        <v>11</v>
      </c>
      <c r="D137" s="8" t="str">
        <f t="shared" si="1"/>
        <v>-</v>
      </c>
      <c r="E137" s="9"/>
      <c r="F137" s="10"/>
      <c r="G137" s="9"/>
      <c r="H137" s="11"/>
      <c r="I137" s="9" t="s">
        <v>13</v>
      </c>
      <c r="J137" s="277"/>
    </row>
    <row r="138">
      <c r="A138" s="145" t="s">
        <v>2721</v>
      </c>
      <c r="B138" s="47"/>
      <c r="C138" s="9" t="s">
        <v>11</v>
      </c>
      <c r="D138" s="8" t="str">
        <f t="shared" si="1"/>
        <v>-</v>
      </c>
      <c r="E138" s="9"/>
      <c r="F138" s="10"/>
      <c r="G138" s="9"/>
      <c r="H138" s="11"/>
      <c r="I138" s="9" t="s">
        <v>13</v>
      </c>
      <c r="J138" s="277"/>
    </row>
    <row r="139">
      <c r="A139" s="145" t="s">
        <v>2721</v>
      </c>
      <c r="B139" s="47"/>
      <c r="C139" s="9" t="s">
        <v>11</v>
      </c>
      <c r="D139" s="8" t="str">
        <f t="shared" si="1"/>
        <v>-</v>
      </c>
      <c r="E139" s="9"/>
      <c r="F139" s="10"/>
      <c r="G139" s="9"/>
      <c r="H139" s="11"/>
      <c r="I139" s="9" t="s">
        <v>13</v>
      </c>
      <c r="J139" s="277"/>
    </row>
    <row r="140">
      <c r="A140" s="145" t="s">
        <v>2721</v>
      </c>
      <c r="B140" s="47"/>
      <c r="C140" s="9" t="s">
        <v>11</v>
      </c>
      <c r="D140" s="8" t="str">
        <f t="shared" si="1"/>
        <v>-</v>
      </c>
      <c r="E140" s="9"/>
      <c r="F140" s="10"/>
      <c r="G140" s="9"/>
      <c r="H140" s="11"/>
      <c r="I140" s="9" t="s">
        <v>13</v>
      </c>
      <c r="J140" s="277"/>
    </row>
    <row r="141">
      <c r="A141" s="145" t="s">
        <v>2721</v>
      </c>
      <c r="B141" s="47"/>
      <c r="C141" s="9" t="s">
        <v>11</v>
      </c>
      <c r="D141" s="8" t="str">
        <f t="shared" si="1"/>
        <v>-</v>
      </c>
      <c r="E141" s="9"/>
      <c r="F141" s="10"/>
      <c r="G141" s="9"/>
      <c r="H141" s="11"/>
      <c r="I141" s="9" t="s">
        <v>13</v>
      </c>
      <c r="J141" s="277"/>
    </row>
    <row r="142">
      <c r="A142" s="145" t="s">
        <v>2721</v>
      </c>
      <c r="B142" s="47"/>
      <c r="C142" s="9" t="s">
        <v>11</v>
      </c>
      <c r="D142" s="8" t="str">
        <f t="shared" si="1"/>
        <v>-</v>
      </c>
      <c r="E142" s="9"/>
      <c r="F142" s="10"/>
      <c r="G142" s="9"/>
      <c r="H142" s="11"/>
      <c r="I142" s="9" t="s">
        <v>13</v>
      </c>
      <c r="J142" s="277"/>
    </row>
    <row r="143">
      <c r="A143" s="145" t="s">
        <v>2721</v>
      </c>
      <c r="B143" s="47"/>
      <c r="C143" s="9" t="s">
        <v>11</v>
      </c>
      <c r="D143" s="8" t="str">
        <f t="shared" si="1"/>
        <v>-</v>
      </c>
      <c r="E143" s="9"/>
      <c r="F143" s="10"/>
      <c r="G143" s="9"/>
      <c r="H143" s="11"/>
      <c r="I143" s="9" t="s">
        <v>13</v>
      </c>
      <c r="J143" s="277"/>
    </row>
    <row r="144">
      <c r="A144" s="145" t="s">
        <v>2721</v>
      </c>
      <c r="B144" s="47"/>
      <c r="C144" s="9" t="s">
        <v>11</v>
      </c>
      <c r="D144" s="8" t="str">
        <f t="shared" si="1"/>
        <v>-</v>
      </c>
      <c r="E144" s="9"/>
      <c r="F144" s="10"/>
      <c r="G144" s="9"/>
      <c r="H144" s="11"/>
      <c r="I144" s="9" t="s">
        <v>13</v>
      </c>
      <c r="J144" s="277"/>
    </row>
    <row r="145">
      <c r="A145" s="145" t="s">
        <v>2721</v>
      </c>
      <c r="B145" s="47"/>
      <c r="C145" s="9" t="s">
        <v>11</v>
      </c>
      <c r="D145" s="8" t="str">
        <f t="shared" si="1"/>
        <v>-</v>
      </c>
      <c r="E145" s="9"/>
      <c r="F145" s="10"/>
      <c r="G145" s="9"/>
      <c r="H145" s="11"/>
      <c r="I145" s="9" t="s">
        <v>13</v>
      </c>
      <c r="J145" s="277"/>
    </row>
    <row r="146">
      <c r="A146" s="145" t="s">
        <v>2721</v>
      </c>
      <c r="B146" s="47"/>
      <c r="C146" s="9" t="s">
        <v>11</v>
      </c>
      <c r="D146" s="8" t="str">
        <f t="shared" si="1"/>
        <v>-</v>
      </c>
      <c r="E146" s="9"/>
      <c r="F146" s="10"/>
      <c r="G146" s="9"/>
      <c r="H146" s="11"/>
      <c r="I146" s="9" t="s">
        <v>13</v>
      </c>
      <c r="J146" s="277"/>
    </row>
    <row r="147">
      <c r="A147" s="145" t="s">
        <v>2721</v>
      </c>
      <c r="B147" s="47"/>
      <c r="C147" s="9" t="s">
        <v>11</v>
      </c>
      <c r="D147" s="8" t="str">
        <f t="shared" si="1"/>
        <v>-</v>
      </c>
      <c r="E147" s="9"/>
      <c r="F147" s="10"/>
      <c r="G147" s="9"/>
      <c r="H147" s="11"/>
      <c r="I147" s="9" t="s">
        <v>13</v>
      </c>
      <c r="J147" s="277"/>
    </row>
    <row r="148">
      <c r="A148" s="145" t="s">
        <v>2721</v>
      </c>
      <c r="B148" s="47"/>
      <c r="C148" s="9" t="s">
        <v>11</v>
      </c>
      <c r="D148" s="8" t="str">
        <f t="shared" si="1"/>
        <v>-</v>
      </c>
      <c r="E148" s="9"/>
      <c r="F148" s="10"/>
      <c r="G148" s="9"/>
      <c r="H148" s="11"/>
      <c r="I148" s="9" t="s">
        <v>13</v>
      </c>
      <c r="J148" s="277"/>
    </row>
    <row r="149">
      <c r="A149" s="145" t="s">
        <v>2721</v>
      </c>
      <c r="B149" s="47"/>
      <c r="C149" s="9" t="s">
        <v>11</v>
      </c>
      <c r="D149" s="8" t="str">
        <f t="shared" si="1"/>
        <v>-</v>
      </c>
      <c r="E149" s="9"/>
      <c r="F149" s="10"/>
      <c r="G149" s="9"/>
      <c r="H149" s="11"/>
      <c r="I149" s="9" t="s">
        <v>13</v>
      </c>
      <c r="J149" s="277"/>
    </row>
    <row r="150">
      <c r="A150" s="145" t="s">
        <v>2721</v>
      </c>
      <c r="B150" s="47"/>
      <c r="C150" s="9" t="s">
        <v>11</v>
      </c>
      <c r="D150" s="8" t="str">
        <f t="shared" si="1"/>
        <v>-</v>
      </c>
      <c r="E150" s="9"/>
      <c r="F150" s="10"/>
      <c r="G150" s="9"/>
      <c r="H150" s="11"/>
      <c r="I150" s="9" t="s">
        <v>13</v>
      </c>
      <c r="J150" s="277"/>
    </row>
    <row r="151">
      <c r="A151" s="145" t="s">
        <v>2721</v>
      </c>
      <c r="B151" s="47"/>
      <c r="C151" s="9" t="s">
        <v>11</v>
      </c>
      <c r="D151" s="8" t="str">
        <f t="shared" si="1"/>
        <v>-</v>
      </c>
      <c r="E151" s="9"/>
      <c r="F151" s="10"/>
      <c r="G151" s="9"/>
      <c r="H151" s="11"/>
      <c r="I151" s="9" t="s">
        <v>13</v>
      </c>
      <c r="J151" s="277"/>
    </row>
    <row r="152">
      <c r="A152" s="145" t="s">
        <v>2721</v>
      </c>
      <c r="B152" s="47"/>
      <c r="C152" s="9" t="s">
        <v>11</v>
      </c>
      <c r="D152" s="8" t="str">
        <f t="shared" si="1"/>
        <v>-</v>
      </c>
      <c r="E152" s="9"/>
      <c r="F152" s="10"/>
      <c r="G152" s="9"/>
      <c r="H152" s="11"/>
      <c r="I152" s="9" t="s">
        <v>13</v>
      </c>
      <c r="J152" s="277"/>
    </row>
    <row r="153">
      <c r="A153" s="145" t="s">
        <v>2721</v>
      </c>
      <c r="B153" s="47"/>
      <c r="C153" s="9" t="s">
        <v>11</v>
      </c>
      <c r="D153" s="8" t="str">
        <f t="shared" si="1"/>
        <v>-</v>
      </c>
      <c r="E153" s="9"/>
      <c r="F153" s="10"/>
      <c r="G153" s="9"/>
      <c r="H153" s="11"/>
      <c r="I153" s="9" t="s">
        <v>13</v>
      </c>
      <c r="J153" s="277"/>
    </row>
    <row r="154">
      <c r="A154" s="145" t="s">
        <v>2721</v>
      </c>
      <c r="B154" s="47"/>
      <c r="C154" s="9" t="s">
        <v>11</v>
      </c>
      <c r="D154" s="8" t="str">
        <f t="shared" si="1"/>
        <v>-</v>
      </c>
      <c r="E154" s="9"/>
      <c r="F154" s="10"/>
      <c r="G154" s="9"/>
      <c r="H154" s="11"/>
      <c r="I154" s="9" t="s">
        <v>13</v>
      </c>
      <c r="J154" s="277"/>
    </row>
    <row r="155">
      <c r="A155" s="145" t="s">
        <v>2721</v>
      </c>
      <c r="B155" s="47"/>
      <c r="C155" s="9" t="s">
        <v>11</v>
      </c>
      <c r="D155" s="8" t="str">
        <f t="shared" si="1"/>
        <v>-</v>
      </c>
      <c r="E155" s="9"/>
      <c r="F155" s="10"/>
      <c r="G155" s="9"/>
      <c r="H155" s="11"/>
      <c r="I155" s="9" t="s">
        <v>13</v>
      </c>
      <c r="J155" s="277"/>
    </row>
    <row r="156">
      <c r="A156" s="145" t="s">
        <v>2721</v>
      </c>
      <c r="B156" s="47"/>
      <c r="C156" s="9" t="s">
        <v>11</v>
      </c>
      <c r="D156" s="8" t="str">
        <f t="shared" si="1"/>
        <v>-</v>
      </c>
      <c r="E156" s="9"/>
      <c r="F156" s="10"/>
      <c r="G156" s="9"/>
      <c r="H156" s="11"/>
      <c r="I156" s="9" t="s">
        <v>13</v>
      </c>
      <c r="J156" s="277"/>
    </row>
    <row r="157">
      <c r="A157" s="145" t="s">
        <v>2721</v>
      </c>
      <c r="B157" s="47"/>
      <c r="C157" s="9" t="s">
        <v>11</v>
      </c>
      <c r="D157" s="8" t="str">
        <f t="shared" si="1"/>
        <v>-</v>
      </c>
      <c r="E157" s="9"/>
      <c r="F157" s="10"/>
      <c r="G157" s="9"/>
      <c r="H157" s="11"/>
      <c r="I157" s="9" t="s">
        <v>13</v>
      </c>
      <c r="J157" s="277"/>
    </row>
    <row r="158">
      <c r="A158" s="145" t="s">
        <v>2721</v>
      </c>
      <c r="B158" s="47"/>
      <c r="C158" s="9" t="s">
        <v>11</v>
      </c>
      <c r="D158" s="8" t="str">
        <f t="shared" si="1"/>
        <v>-</v>
      </c>
      <c r="E158" s="9"/>
      <c r="F158" s="10"/>
      <c r="G158" s="9"/>
      <c r="H158" s="11"/>
      <c r="I158" s="9" t="s">
        <v>13</v>
      </c>
      <c r="J158" s="277"/>
    </row>
    <row r="159">
      <c r="A159" s="145" t="s">
        <v>2721</v>
      </c>
      <c r="B159" s="47"/>
      <c r="C159" s="9" t="s">
        <v>11</v>
      </c>
      <c r="D159" s="8" t="str">
        <f t="shared" si="1"/>
        <v>-</v>
      </c>
      <c r="E159" s="9"/>
      <c r="F159" s="10"/>
      <c r="G159" s="9"/>
      <c r="H159" s="11"/>
      <c r="I159" s="9" t="s">
        <v>13</v>
      </c>
      <c r="J159" s="277"/>
    </row>
    <row r="160">
      <c r="A160" s="145" t="s">
        <v>2721</v>
      </c>
      <c r="B160" s="47"/>
      <c r="C160" s="9" t="s">
        <v>11</v>
      </c>
      <c r="D160" s="8" t="str">
        <f t="shared" si="1"/>
        <v>-</v>
      </c>
      <c r="E160" s="9"/>
      <c r="F160" s="10"/>
      <c r="G160" s="9"/>
      <c r="H160" s="11"/>
      <c r="I160" s="9" t="s">
        <v>13</v>
      </c>
      <c r="J160" s="277"/>
    </row>
    <row r="161">
      <c r="A161" s="145" t="s">
        <v>2721</v>
      </c>
      <c r="B161" s="47"/>
      <c r="C161" s="9" t="s">
        <v>11</v>
      </c>
      <c r="D161" s="8" t="str">
        <f t="shared" si="1"/>
        <v>-</v>
      </c>
      <c r="E161" s="9"/>
      <c r="F161" s="10"/>
      <c r="G161" s="9"/>
      <c r="H161" s="11"/>
      <c r="I161" s="9" t="s">
        <v>13</v>
      </c>
      <c r="J161" s="277"/>
    </row>
    <row r="162">
      <c r="A162" s="145" t="s">
        <v>2721</v>
      </c>
      <c r="B162" s="47"/>
      <c r="C162" s="9" t="s">
        <v>11</v>
      </c>
      <c r="D162" s="8" t="str">
        <f t="shared" si="1"/>
        <v>-</v>
      </c>
      <c r="E162" s="9"/>
      <c r="F162" s="10"/>
      <c r="G162" s="9"/>
      <c r="H162" s="11"/>
      <c r="I162" s="9" t="s">
        <v>13</v>
      </c>
      <c r="J162" s="277"/>
    </row>
    <row r="163">
      <c r="A163" s="145" t="s">
        <v>2721</v>
      </c>
      <c r="B163" s="47"/>
      <c r="C163" s="9" t="s">
        <v>11</v>
      </c>
      <c r="D163" s="8" t="str">
        <f t="shared" si="1"/>
        <v>-</v>
      </c>
      <c r="E163" s="9"/>
      <c r="F163" s="10"/>
      <c r="G163" s="9"/>
      <c r="H163" s="11"/>
      <c r="I163" s="9" t="s">
        <v>13</v>
      </c>
      <c r="J163" s="277"/>
    </row>
    <row r="164">
      <c r="A164" s="145" t="s">
        <v>2721</v>
      </c>
      <c r="B164" s="47"/>
      <c r="C164" s="9" t="s">
        <v>11</v>
      </c>
      <c r="D164" s="8" t="str">
        <f t="shared" si="1"/>
        <v>-</v>
      </c>
      <c r="E164" s="9"/>
      <c r="F164" s="10"/>
      <c r="G164" s="9"/>
      <c r="H164" s="11"/>
      <c r="I164" s="9" t="s">
        <v>13</v>
      </c>
      <c r="J164" s="277"/>
    </row>
    <row r="165">
      <c r="A165" s="145" t="s">
        <v>2721</v>
      </c>
      <c r="B165" s="47"/>
      <c r="C165" s="9" t="s">
        <v>11</v>
      </c>
      <c r="D165" s="8" t="str">
        <f t="shared" si="1"/>
        <v>-</v>
      </c>
      <c r="E165" s="9"/>
      <c r="F165" s="10"/>
      <c r="G165" s="9"/>
      <c r="H165" s="11"/>
      <c r="I165" s="9" t="s">
        <v>13</v>
      </c>
      <c r="J165" s="277"/>
    </row>
    <row r="166">
      <c r="A166" s="145" t="s">
        <v>2721</v>
      </c>
      <c r="B166" s="47"/>
      <c r="C166" s="9" t="s">
        <v>11</v>
      </c>
      <c r="D166" s="8" t="str">
        <f t="shared" si="1"/>
        <v>-</v>
      </c>
      <c r="E166" s="9"/>
      <c r="F166" s="10"/>
      <c r="G166" s="9"/>
      <c r="H166" s="11"/>
      <c r="I166" s="9" t="s">
        <v>13</v>
      </c>
      <c r="J166" s="277"/>
    </row>
    <row r="167">
      <c r="A167" s="145" t="s">
        <v>2721</v>
      </c>
      <c r="B167" s="47"/>
      <c r="C167" s="9" t="s">
        <v>11</v>
      </c>
      <c r="D167" s="8" t="str">
        <f t="shared" si="1"/>
        <v>-</v>
      </c>
      <c r="E167" s="9"/>
      <c r="F167" s="10"/>
      <c r="G167" s="9"/>
      <c r="H167" s="11"/>
      <c r="I167" s="9" t="s">
        <v>13</v>
      </c>
      <c r="J167" s="277"/>
    </row>
    <row r="168">
      <c r="A168" s="145" t="s">
        <v>2721</v>
      </c>
      <c r="B168" s="47"/>
      <c r="C168" s="9" t="s">
        <v>11</v>
      </c>
      <c r="D168" s="8" t="str">
        <f t="shared" si="1"/>
        <v>-</v>
      </c>
      <c r="E168" s="9"/>
      <c r="F168" s="10"/>
      <c r="G168" s="9"/>
      <c r="H168" s="11"/>
      <c r="I168" s="9" t="s">
        <v>13</v>
      </c>
      <c r="J168" s="277"/>
    </row>
    <row r="169">
      <c r="A169" s="145" t="s">
        <v>2721</v>
      </c>
      <c r="B169" s="47"/>
      <c r="C169" s="9" t="s">
        <v>11</v>
      </c>
      <c r="D169" s="8" t="str">
        <f t="shared" si="1"/>
        <v>-</v>
      </c>
      <c r="E169" s="9"/>
      <c r="F169" s="10"/>
      <c r="G169" s="9"/>
      <c r="H169" s="11"/>
      <c r="I169" s="9" t="s">
        <v>13</v>
      </c>
      <c r="J169" s="277"/>
    </row>
    <row r="170">
      <c r="A170" s="145" t="s">
        <v>2721</v>
      </c>
      <c r="B170" s="47"/>
      <c r="C170" s="9" t="s">
        <v>11</v>
      </c>
      <c r="D170" s="8" t="str">
        <f t="shared" si="1"/>
        <v>-</v>
      </c>
      <c r="E170" s="9"/>
      <c r="F170" s="10"/>
      <c r="G170" s="9"/>
      <c r="H170" s="11"/>
      <c r="I170" s="9" t="s">
        <v>13</v>
      </c>
      <c r="J170" s="277"/>
    </row>
    <row r="171">
      <c r="A171" s="145" t="s">
        <v>2721</v>
      </c>
      <c r="B171" s="47"/>
      <c r="C171" s="9" t="s">
        <v>11</v>
      </c>
      <c r="D171" s="8" t="str">
        <f t="shared" si="1"/>
        <v>-</v>
      </c>
      <c r="E171" s="9"/>
      <c r="F171" s="10"/>
      <c r="G171" s="9"/>
      <c r="H171" s="11"/>
      <c r="I171" s="9" t="s">
        <v>13</v>
      </c>
      <c r="J171" s="277"/>
    </row>
    <row r="172">
      <c r="A172" s="145" t="s">
        <v>2721</v>
      </c>
      <c r="B172" s="47"/>
      <c r="C172" s="9" t="s">
        <v>11</v>
      </c>
      <c r="D172" s="8" t="str">
        <f t="shared" si="1"/>
        <v>-</v>
      </c>
      <c r="E172" s="9"/>
      <c r="F172" s="10"/>
      <c r="G172" s="9"/>
      <c r="H172" s="11"/>
      <c r="I172" s="9" t="s">
        <v>13</v>
      </c>
      <c r="J172" s="277"/>
    </row>
    <row r="173">
      <c r="A173" s="145" t="s">
        <v>2721</v>
      </c>
      <c r="B173" s="47"/>
      <c r="C173" s="9" t="s">
        <v>11</v>
      </c>
      <c r="D173" s="8" t="str">
        <f t="shared" si="1"/>
        <v>-</v>
      </c>
      <c r="E173" s="9"/>
      <c r="F173" s="10"/>
      <c r="G173" s="9"/>
      <c r="H173" s="11"/>
      <c r="I173" s="9" t="s">
        <v>13</v>
      </c>
      <c r="J173" s="277"/>
    </row>
    <row r="174">
      <c r="A174" s="145" t="s">
        <v>2721</v>
      </c>
      <c r="B174" s="47"/>
      <c r="C174" s="9" t="s">
        <v>11</v>
      </c>
      <c r="D174" s="8" t="str">
        <f t="shared" si="1"/>
        <v>-</v>
      </c>
      <c r="E174" s="9"/>
      <c r="F174" s="10"/>
      <c r="G174" s="9"/>
      <c r="H174" s="11"/>
      <c r="I174" s="9" t="s">
        <v>13</v>
      </c>
      <c r="J174" s="277"/>
    </row>
    <row r="175">
      <c r="A175" s="145" t="s">
        <v>2721</v>
      </c>
      <c r="B175" s="47"/>
      <c r="C175" s="9" t="s">
        <v>11</v>
      </c>
      <c r="D175" s="8" t="str">
        <f t="shared" si="1"/>
        <v>-</v>
      </c>
      <c r="E175" s="9"/>
      <c r="F175" s="10"/>
      <c r="G175" s="9"/>
      <c r="H175" s="11"/>
      <c r="I175" s="9" t="s">
        <v>13</v>
      </c>
      <c r="J175" s="277"/>
    </row>
    <row r="176">
      <c r="A176" s="145" t="s">
        <v>2721</v>
      </c>
      <c r="B176" s="47"/>
      <c r="C176" s="9" t="s">
        <v>11</v>
      </c>
      <c r="D176" s="8" t="str">
        <f t="shared" si="1"/>
        <v>-</v>
      </c>
      <c r="E176" s="9"/>
      <c r="F176" s="10"/>
      <c r="G176" s="9"/>
      <c r="H176" s="11"/>
      <c r="I176" s="9" t="s">
        <v>13</v>
      </c>
      <c r="J176" s="277"/>
    </row>
    <row r="177">
      <c r="A177" s="145" t="s">
        <v>2721</v>
      </c>
      <c r="B177" s="47"/>
      <c r="C177" s="9" t="s">
        <v>11</v>
      </c>
      <c r="D177" s="8" t="str">
        <f t="shared" si="1"/>
        <v>-</v>
      </c>
      <c r="E177" s="9"/>
      <c r="F177" s="10"/>
      <c r="G177" s="9"/>
      <c r="H177" s="11"/>
      <c r="I177" s="9" t="s">
        <v>13</v>
      </c>
      <c r="J177" s="277"/>
    </row>
    <row r="178">
      <c r="A178" s="145" t="s">
        <v>2721</v>
      </c>
      <c r="B178" s="47"/>
      <c r="C178" s="9" t="s">
        <v>11</v>
      </c>
      <c r="D178" s="8" t="str">
        <f t="shared" si="1"/>
        <v>-</v>
      </c>
      <c r="E178" s="9"/>
      <c r="F178" s="10"/>
      <c r="G178" s="9"/>
      <c r="H178" s="11"/>
      <c r="I178" s="9" t="s">
        <v>13</v>
      </c>
      <c r="J178" s="277"/>
    </row>
    <row r="179">
      <c r="A179" s="145" t="s">
        <v>2721</v>
      </c>
      <c r="B179" s="47"/>
      <c r="C179" s="9" t="s">
        <v>11</v>
      </c>
      <c r="D179" s="8" t="str">
        <f t="shared" si="1"/>
        <v>-</v>
      </c>
      <c r="E179" s="9"/>
      <c r="F179" s="10"/>
      <c r="G179" s="9"/>
      <c r="H179" s="11"/>
      <c r="I179" s="9" t="s">
        <v>13</v>
      </c>
      <c r="J179" s="277"/>
    </row>
    <row r="180">
      <c r="A180" s="145" t="s">
        <v>2721</v>
      </c>
      <c r="B180" s="47"/>
      <c r="C180" s="9" t="s">
        <v>11</v>
      </c>
      <c r="D180" s="8" t="str">
        <f t="shared" si="1"/>
        <v>-</v>
      </c>
      <c r="E180" s="9"/>
      <c r="F180" s="10"/>
      <c r="G180" s="9"/>
      <c r="H180" s="11"/>
      <c r="I180" s="9" t="s">
        <v>13</v>
      </c>
      <c r="J180" s="277"/>
    </row>
    <row r="181">
      <c r="A181" s="145" t="s">
        <v>2721</v>
      </c>
      <c r="B181" s="47"/>
      <c r="C181" s="9" t="s">
        <v>11</v>
      </c>
      <c r="D181" s="8" t="str">
        <f t="shared" si="1"/>
        <v>-</v>
      </c>
      <c r="E181" s="9"/>
      <c r="F181" s="10"/>
      <c r="G181" s="9"/>
      <c r="H181" s="11"/>
      <c r="I181" s="9" t="s">
        <v>13</v>
      </c>
      <c r="J181" s="277"/>
    </row>
    <row r="182">
      <c r="A182" s="145" t="s">
        <v>2721</v>
      </c>
      <c r="B182" s="47"/>
      <c r="C182" s="9" t="s">
        <v>11</v>
      </c>
      <c r="D182" s="8" t="str">
        <f t="shared" si="1"/>
        <v>-</v>
      </c>
      <c r="E182" s="9"/>
      <c r="F182" s="10"/>
      <c r="G182" s="9"/>
      <c r="H182" s="11"/>
      <c r="I182" s="9" t="s">
        <v>13</v>
      </c>
      <c r="J182" s="277"/>
    </row>
    <row r="183">
      <c r="A183" s="145" t="s">
        <v>2721</v>
      </c>
      <c r="B183" s="47"/>
      <c r="C183" s="9" t="s">
        <v>11</v>
      </c>
      <c r="D183" s="8" t="str">
        <f t="shared" si="1"/>
        <v>-</v>
      </c>
      <c r="E183" s="9"/>
      <c r="F183" s="10"/>
      <c r="G183" s="9"/>
      <c r="H183" s="11"/>
      <c r="I183" s="9" t="s">
        <v>13</v>
      </c>
      <c r="J183" s="277"/>
    </row>
    <row r="184">
      <c r="A184" s="145" t="s">
        <v>2721</v>
      </c>
      <c r="B184" s="47"/>
      <c r="C184" s="9" t="s">
        <v>11</v>
      </c>
      <c r="D184" s="8" t="str">
        <f t="shared" si="1"/>
        <v>-</v>
      </c>
      <c r="E184" s="9"/>
      <c r="F184" s="10"/>
      <c r="G184" s="9"/>
      <c r="H184" s="11"/>
      <c r="I184" s="9" t="s">
        <v>13</v>
      </c>
      <c r="J184" s="277"/>
    </row>
    <row r="185">
      <c r="A185" s="145" t="s">
        <v>2721</v>
      </c>
      <c r="B185" s="47"/>
      <c r="C185" s="9" t="s">
        <v>11</v>
      </c>
      <c r="D185" s="8" t="str">
        <f t="shared" si="1"/>
        <v>-</v>
      </c>
      <c r="E185" s="9"/>
      <c r="F185" s="10"/>
      <c r="G185" s="9"/>
      <c r="H185" s="11"/>
      <c r="I185" s="9" t="s">
        <v>13</v>
      </c>
      <c r="J185" s="277"/>
    </row>
    <row r="186">
      <c r="A186" s="145" t="s">
        <v>2721</v>
      </c>
      <c r="B186" s="47"/>
      <c r="C186" s="9" t="s">
        <v>11</v>
      </c>
      <c r="D186" s="8" t="str">
        <f t="shared" si="1"/>
        <v>-</v>
      </c>
      <c r="E186" s="9"/>
      <c r="F186" s="10"/>
      <c r="G186" s="9"/>
      <c r="H186" s="11"/>
      <c r="I186" s="9" t="s">
        <v>13</v>
      </c>
      <c r="J186" s="277"/>
    </row>
    <row r="187">
      <c r="A187" s="145" t="s">
        <v>2721</v>
      </c>
      <c r="B187" s="47"/>
      <c r="C187" s="9" t="s">
        <v>11</v>
      </c>
      <c r="D187" s="8" t="str">
        <f t="shared" si="1"/>
        <v>-</v>
      </c>
      <c r="E187" s="9"/>
      <c r="F187" s="10"/>
      <c r="G187" s="9"/>
      <c r="H187" s="11"/>
      <c r="I187" s="9" t="s">
        <v>13</v>
      </c>
      <c r="J187" s="277"/>
    </row>
    <row r="188">
      <c r="A188" s="145" t="s">
        <v>2721</v>
      </c>
      <c r="B188" s="47"/>
      <c r="C188" s="9" t="s">
        <v>11</v>
      </c>
      <c r="D188" s="8" t="str">
        <f t="shared" si="1"/>
        <v>-</v>
      </c>
      <c r="E188" s="9"/>
      <c r="F188" s="10"/>
      <c r="G188" s="9"/>
      <c r="H188" s="11"/>
      <c r="I188" s="9" t="s">
        <v>13</v>
      </c>
      <c r="J188" s="277"/>
    </row>
    <row r="189">
      <c r="A189" s="145" t="s">
        <v>2721</v>
      </c>
      <c r="B189" s="47"/>
      <c r="C189" s="9" t="s">
        <v>11</v>
      </c>
      <c r="D189" s="8" t="str">
        <f t="shared" si="1"/>
        <v>-</v>
      </c>
      <c r="E189" s="9"/>
      <c r="F189" s="10"/>
      <c r="G189" s="9"/>
      <c r="H189" s="11"/>
      <c r="I189" s="9" t="s">
        <v>13</v>
      </c>
      <c r="J189" s="277"/>
    </row>
    <row r="190">
      <c r="A190" s="145" t="s">
        <v>2721</v>
      </c>
      <c r="B190" s="47"/>
      <c r="C190" s="9" t="s">
        <v>11</v>
      </c>
      <c r="D190" s="8" t="str">
        <f t="shared" si="1"/>
        <v>-</v>
      </c>
      <c r="E190" s="9"/>
      <c r="F190" s="10"/>
      <c r="G190" s="9"/>
      <c r="H190" s="11"/>
      <c r="I190" s="9" t="s">
        <v>13</v>
      </c>
      <c r="J190" s="277"/>
    </row>
    <row r="191">
      <c r="A191" s="145" t="s">
        <v>2721</v>
      </c>
      <c r="B191" s="47"/>
      <c r="C191" s="9" t="s">
        <v>11</v>
      </c>
      <c r="D191" s="8" t="str">
        <f t="shared" si="1"/>
        <v>-</v>
      </c>
      <c r="E191" s="9"/>
      <c r="F191" s="10"/>
      <c r="G191" s="9"/>
      <c r="H191" s="11"/>
      <c r="I191" s="9" t="s">
        <v>13</v>
      </c>
      <c r="J191" s="277"/>
    </row>
    <row r="192">
      <c r="A192" s="145" t="s">
        <v>2721</v>
      </c>
      <c r="B192" s="47"/>
      <c r="C192" s="9" t="s">
        <v>11</v>
      </c>
      <c r="D192" s="8" t="str">
        <f t="shared" si="1"/>
        <v>-</v>
      </c>
      <c r="E192" s="9"/>
      <c r="F192" s="10"/>
      <c r="G192" s="9"/>
      <c r="H192" s="11"/>
      <c r="I192" s="9" t="s">
        <v>13</v>
      </c>
      <c r="J192" s="277"/>
    </row>
    <row r="193">
      <c r="A193" s="145" t="s">
        <v>2721</v>
      </c>
      <c r="B193" s="47"/>
      <c r="C193" s="9" t="s">
        <v>11</v>
      </c>
      <c r="D193" s="8" t="str">
        <f t="shared" si="1"/>
        <v>-</v>
      </c>
      <c r="E193" s="9"/>
      <c r="F193" s="10"/>
      <c r="G193" s="9"/>
      <c r="H193" s="11"/>
      <c r="I193" s="9" t="s">
        <v>13</v>
      </c>
      <c r="J193" s="277"/>
    </row>
    <row r="194">
      <c r="A194" s="145" t="s">
        <v>2721</v>
      </c>
      <c r="B194" s="47"/>
      <c r="C194" s="9" t="s">
        <v>11</v>
      </c>
      <c r="D194" s="8" t="str">
        <f t="shared" si="1"/>
        <v>-</v>
      </c>
      <c r="E194" s="9"/>
      <c r="F194" s="10"/>
      <c r="G194" s="9"/>
      <c r="H194" s="11"/>
      <c r="I194" s="9" t="s">
        <v>13</v>
      </c>
      <c r="J194" s="277"/>
    </row>
    <row r="195">
      <c r="A195" s="145" t="s">
        <v>2721</v>
      </c>
      <c r="B195" s="47"/>
      <c r="C195" s="9" t="s">
        <v>11</v>
      </c>
      <c r="D195" s="8" t="str">
        <f t="shared" si="1"/>
        <v>-</v>
      </c>
      <c r="E195" s="9"/>
      <c r="F195" s="10"/>
      <c r="G195" s="9"/>
      <c r="H195" s="11"/>
      <c r="I195" s="9" t="s">
        <v>13</v>
      </c>
      <c r="J195" s="277"/>
    </row>
    <row r="196">
      <c r="A196" s="145" t="s">
        <v>2721</v>
      </c>
      <c r="B196" s="47"/>
      <c r="C196" s="9" t="s">
        <v>11</v>
      </c>
      <c r="D196" s="8" t="str">
        <f t="shared" si="1"/>
        <v>-</v>
      </c>
      <c r="E196" s="9"/>
      <c r="F196" s="10"/>
      <c r="G196" s="9"/>
      <c r="H196" s="11"/>
      <c r="I196" s="9" t="s">
        <v>13</v>
      </c>
      <c r="J196" s="277"/>
    </row>
    <row r="197">
      <c r="A197" s="145" t="s">
        <v>2721</v>
      </c>
      <c r="B197" s="47"/>
      <c r="C197" s="9" t="s">
        <v>11</v>
      </c>
      <c r="D197" s="8" t="str">
        <f t="shared" si="1"/>
        <v>-</v>
      </c>
      <c r="E197" s="9"/>
      <c r="F197" s="10"/>
      <c r="G197" s="9"/>
      <c r="H197" s="11"/>
      <c r="I197" s="9" t="s">
        <v>13</v>
      </c>
      <c r="J197" s="277"/>
    </row>
    <row r="198">
      <c r="A198" s="145" t="s">
        <v>2721</v>
      </c>
      <c r="B198" s="47"/>
      <c r="C198" s="9" t="s">
        <v>11</v>
      </c>
      <c r="D198" s="8" t="str">
        <f t="shared" si="1"/>
        <v>-</v>
      </c>
      <c r="E198" s="9"/>
      <c r="F198" s="10"/>
      <c r="G198" s="9"/>
      <c r="H198" s="11"/>
      <c r="I198" s="9" t="s">
        <v>13</v>
      </c>
      <c r="J198" s="277"/>
    </row>
    <row r="199">
      <c r="A199" s="145" t="s">
        <v>2721</v>
      </c>
      <c r="B199" s="47"/>
      <c r="C199" s="9" t="s">
        <v>11</v>
      </c>
      <c r="D199" s="8" t="str">
        <f t="shared" si="1"/>
        <v>-</v>
      </c>
      <c r="E199" s="9"/>
      <c r="F199" s="10"/>
      <c r="G199" s="9"/>
      <c r="H199" s="11"/>
      <c r="I199" s="9" t="s">
        <v>13</v>
      </c>
      <c r="J199" s="277"/>
    </row>
    <row r="200">
      <c r="A200" s="145" t="s">
        <v>2721</v>
      </c>
      <c r="B200" s="47"/>
      <c r="C200" s="9" t="s">
        <v>11</v>
      </c>
      <c r="D200" s="8" t="str">
        <f t="shared" si="1"/>
        <v>-</v>
      </c>
      <c r="E200" s="9"/>
      <c r="F200" s="10"/>
      <c r="G200" s="9"/>
      <c r="H200" s="11"/>
      <c r="I200" s="9" t="s">
        <v>13</v>
      </c>
      <c r="J200" s="277"/>
    </row>
    <row r="201">
      <c r="A201" s="145" t="s">
        <v>2721</v>
      </c>
      <c r="B201" s="47"/>
      <c r="C201" s="9" t="s">
        <v>11</v>
      </c>
      <c r="D201" s="8" t="str">
        <f t="shared" si="1"/>
        <v>-</v>
      </c>
      <c r="E201" s="9"/>
      <c r="F201" s="10"/>
      <c r="G201" s="9"/>
      <c r="H201" s="11"/>
      <c r="I201" s="9" t="s">
        <v>13</v>
      </c>
      <c r="J201" s="277"/>
    </row>
    <row r="202">
      <c r="A202" s="145" t="s">
        <v>2721</v>
      </c>
      <c r="B202" s="47"/>
      <c r="C202" s="9" t="s">
        <v>11</v>
      </c>
      <c r="D202" s="8" t="str">
        <f t="shared" si="1"/>
        <v>-</v>
      </c>
      <c r="E202" s="9"/>
      <c r="F202" s="10"/>
      <c r="G202" s="9"/>
      <c r="H202" s="11"/>
      <c r="I202" s="9" t="s">
        <v>13</v>
      </c>
      <c r="J202" s="277"/>
    </row>
    <row r="203">
      <c r="A203" s="145" t="s">
        <v>2721</v>
      </c>
      <c r="B203" s="47"/>
      <c r="C203" s="9" t="s">
        <v>11</v>
      </c>
      <c r="D203" s="8" t="str">
        <f t="shared" si="1"/>
        <v>-</v>
      </c>
      <c r="E203" s="9"/>
      <c r="F203" s="10"/>
      <c r="G203" s="9"/>
      <c r="H203" s="11"/>
      <c r="I203" s="9" t="s">
        <v>13</v>
      </c>
      <c r="J203" s="277"/>
    </row>
    <row r="204">
      <c r="A204" s="145" t="s">
        <v>2721</v>
      </c>
      <c r="B204" s="47"/>
      <c r="C204" s="9" t="s">
        <v>11</v>
      </c>
      <c r="D204" s="8" t="str">
        <f t="shared" si="1"/>
        <v>-</v>
      </c>
      <c r="E204" s="9"/>
      <c r="F204" s="10"/>
      <c r="G204" s="9"/>
      <c r="H204" s="11"/>
      <c r="I204" s="9" t="s">
        <v>13</v>
      </c>
      <c r="J204" s="277"/>
    </row>
    <row r="205">
      <c r="A205" s="145" t="s">
        <v>2721</v>
      </c>
      <c r="B205" s="47"/>
      <c r="C205" s="9" t="s">
        <v>11</v>
      </c>
      <c r="D205" s="8" t="str">
        <f t="shared" si="1"/>
        <v>-</v>
      </c>
      <c r="E205" s="9"/>
      <c r="F205" s="10"/>
      <c r="G205" s="9"/>
      <c r="H205" s="11"/>
      <c r="I205" s="9" t="s">
        <v>13</v>
      </c>
      <c r="J205" s="277"/>
    </row>
    <row r="206">
      <c r="A206" s="145" t="s">
        <v>2721</v>
      </c>
      <c r="B206" s="47"/>
      <c r="C206" s="9" t="s">
        <v>11</v>
      </c>
      <c r="D206" s="8" t="str">
        <f t="shared" si="1"/>
        <v>-</v>
      </c>
      <c r="E206" s="9"/>
      <c r="F206" s="10"/>
      <c r="G206" s="9"/>
      <c r="H206" s="11"/>
      <c r="I206" s="9" t="s">
        <v>13</v>
      </c>
      <c r="J206" s="277"/>
    </row>
    <row r="207">
      <c r="A207" s="145" t="s">
        <v>2721</v>
      </c>
      <c r="B207" s="47"/>
      <c r="C207" s="9" t="s">
        <v>11</v>
      </c>
      <c r="D207" s="8" t="str">
        <f t="shared" si="1"/>
        <v>-</v>
      </c>
      <c r="E207" s="9"/>
      <c r="F207" s="10"/>
      <c r="G207" s="9"/>
      <c r="H207" s="11"/>
      <c r="I207" s="9" t="s">
        <v>13</v>
      </c>
      <c r="J207" s="277"/>
    </row>
    <row r="208">
      <c r="A208" s="145" t="s">
        <v>2721</v>
      </c>
      <c r="B208" s="47"/>
      <c r="C208" s="9" t="s">
        <v>11</v>
      </c>
      <c r="D208" s="8" t="str">
        <f t="shared" si="1"/>
        <v>-</v>
      </c>
      <c r="E208" s="9"/>
      <c r="F208" s="10"/>
      <c r="G208" s="9"/>
      <c r="H208" s="11"/>
      <c r="I208" s="9" t="s">
        <v>13</v>
      </c>
      <c r="J208" s="277"/>
    </row>
    <row r="209">
      <c r="A209" s="145" t="s">
        <v>2721</v>
      </c>
      <c r="B209" s="47"/>
      <c r="C209" s="9" t="s">
        <v>11</v>
      </c>
      <c r="D209" s="8" t="str">
        <f t="shared" si="1"/>
        <v>-</v>
      </c>
      <c r="E209" s="9"/>
      <c r="F209" s="10"/>
      <c r="G209" s="9"/>
      <c r="H209" s="11"/>
      <c r="I209" s="9" t="s">
        <v>13</v>
      </c>
      <c r="J209" s="277"/>
    </row>
    <row r="210">
      <c r="A210" s="145" t="s">
        <v>2721</v>
      </c>
      <c r="B210" s="47"/>
      <c r="C210" s="9" t="s">
        <v>11</v>
      </c>
      <c r="D210" s="8" t="str">
        <f t="shared" si="1"/>
        <v>-</v>
      </c>
      <c r="E210" s="9"/>
      <c r="F210" s="10"/>
      <c r="G210" s="9"/>
      <c r="H210" s="11"/>
      <c r="I210" s="9" t="s">
        <v>13</v>
      </c>
      <c r="J210" s="277"/>
    </row>
    <row r="211">
      <c r="A211" s="145" t="s">
        <v>2721</v>
      </c>
      <c r="B211" s="47"/>
      <c r="C211" s="9" t="s">
        <v>11</v>
      </c>
      <c r="D211" s="8" t="str">
        <f t="shared" si="1"/>
        <v>-</v>
      </c>
      <c r="E211" s="9"/>
      <c r="F211" s="10"/>
      <c r="G211" s="9"/>
      <c r="H211" s="11"/>
      <c r="I211" s="9" t="s">
        <v>13</v>
      </c>
      <c r="J211" s="277"/>
    </row>
    <row r="212">
      <c r="A212" s="145" t="s">
        <v>2721</v>
      </c>
      <c r="B212" s="47"/>
      <c r="C212" s="9" t="s">
        <v>11</v>
      </c>
      <c r="D212" s="8" t="str">
        <f t="shared" si="1"/>
        <v>-</v>
      </c>
      <c r="E212" s="9"/>
      <c r="F212" s="10"/>
      <c r="G212" s="9"/>
      <c r="H212" s="11"/>
      <c r="I212" s="9" t="s">
        <v>13</v>
      </c>
      <c r="J212" s="277"/>
    </row>
    <row r="213">
      <c r="A213" s="145" t="s">
        <v>2721</v>
      </c>
      <c r="B213" s="47"/>
      <c r="C213" s="9" t="s">
        <v>11</v>
      </c>
      <c r="D213" s="8" t="str">
        <f t="shared" si="1"/>
        <v>-</v>
      </c>
      <c r="E213" s="9"/>
      <c r="F213" s="10"/>
      <c r="G213" s="9"/>
      <c r="H213" s="11"/>
      <c r="I213" s="9" t="s">
        <v>13</v>
      </c>
      <c r="J213" s="277"/>
    </row>
    <row r="214">
      <c r="A214" s="145" t="s">
        <v>2721</v>
      </c>
      <c r="B214" s="47"/>
      <c r="C214" s="9" t="s">
        <v>11</v>
      </c>
      <c r="D214" s="8" t="str">
        <f t="shared" si="1"/>
        <v>-</v>
      </c>
      <c r="E214" s="9"/>
      <c r="F214" s="10"/>
      <c r="G214" s="9"/>
      <c r="H214" s="11"/>
      <c r="I214" s="9" t="s">
        <v>13</v>
      </c>
      <c r="J214" s="277"/>
    </row>
    <row r="215">
      <c r="A215" s="145" t="s">
        <v>2721</v>
      </c>
      <c r="B215" s="47"/>
      <c r="C215" s="9" t="s">
        <v>11</v>
      </c>
      <c r="D215" s="8" t="str">
        <f t="shared" si="1"/>
        <v>-</v>
      </c>
      <c r="E215" s="9"/>
      <c r="F215" s="10"/>
      <c r="G215" s="9"/>
      <c r="H215" s="11"/>
      <c r="I215" s="9" t="s">
        <v>13</v>
      </c>
      <c r="J215" s="277"/>
    </row>
    <row r="216">
      <c r="A216" s="145" t="s">
        <v>2721</v>
      </c>
      <c r="B216" s="47"/>
      <c r="C216" s="9" t="s">
        <v>11</v>
      </c>
      <c r="D216" s="8" t="str">
        <f t="shared" si="1"/>
        <v>-</v>
      </c>
      <c r="E216" s="9"/>
      <c r="F216" s="10"/>
      <c r="G216" s="9"/>
      <c r="H216" s="11"/>
      <c r="I216" s="9" t="s">
        <v>13</v>
      </c>
      <c r="J216" s="277"/>
    </row>
    <row r="217">
      <c r="A217" s="145" t="s">
        <v>2721</v>
      </c>
      <c r="B217" s="47"/>
      <c r="C217" s="9" t="s">
        <v>11</v>
      </c>
      <c r="D217" s="8" t="str">
        <f t="shared" si="1"/>
        <v>-</v>
      </c>
      <c r="E217" s="9"/>
      <c r="F217" s="10"/>
      <c r="G217" s="9"/>
      <c r="H217" s="11"/>
      <c r="I217" s="9" t="s">
        <v>13</v>
      </c>
      <c r="J217" s="277"/>
    </row>
    <row r="218">
      <c r="A218" s="145" t="s">
        <v>2721</v>
      </c>
      <c r="B218" s="47"/>
      <c r="C218" s="9" t="s">
        <v>11</v>
      </c>
      <c r="D218" s="8" t="str">
        <f t="shared" si="1"/>
        <v>-</v>
      </c>
      <c r="E218" s="9"/>
      <c r="F218" s="10"/>
      <c r="G218" s="9"/>
      <c r="H218" s="11"/>
      <c r="I218" s="9" t="s">
        <v>13</v>
      </c>
      <c r="J218" s="277"/>
    </row>
    <row r="219">
      <c r="A219" s="145" t="s">
        <v>2721</v>
      </c>
      <c r="B219" s="47"/>
      <c r="C219" s="9" t="s">
        <v>11</v>
      </c>
      <c r="D219" s="8" t="str">
        <f t="shared" si="1"/>
        <v>-</v>
      </c>
      <c r="E219" s="9"/>
      <c r="F219" s="10"/>
      <c r="G219" s="9"/>
      <c r="H219" s="11"/>
      <c r="I219" s="9" t="s">
        <v>13</v>
      </c>
      <c r="J219" s="277"/>
    </row>
    <row r="220">
      <c r="A220" s="145" t="s">
        <v>2721</v>
      </c>
      <c r="B220" s="47"/>
      <c r="C220" s="9" t="s">
        <v>11</v>
      </c>
      <c r="D220" s="8" t="str">
        <f t="shared" si="1"/>
        <v>-</v>
      </c>
      <c r="E220" s="9"/>
      <c r="F220" s="10"/>
      <c r="G220" s="9"/>
      <c r="H220" s="11"/>
      <c r="I220" s="9" t="s">
        <v>13</v>
      </c>
      <c r="J220" s="277"/>
    </row>
    <row r="221">
      <c r="A221" s="145" t="s">
        <v>2721</v>
      </c>
      <c r="B221" s="47"/>
      <c r="C221" s="9" t="s">
        <v>11</v>
      </c>
      <c r="D221" s="8" t="str">
        <f t="shared" si="1"/>
        <v>-</v>
      </c>
      <c r="E221" s="9"/>
      <c r="F221" s="10"/>
      <c r="G221" s="9"/>
      <c r="H221" s="11"/>
      <c r="I221" s="9" t="s">
        <v>13</v>
      </c>
      <c r="J221" s="277"/>
    </row>
    <row r="222">
      <c r="A222" s="145" t="s">
        <v>2721</v>
      </c>
      <c r="B222" s="47"/>
      <c r="C222" s="9" t="s">
        <v>11</v>
      </c>
      <c r="D222" s="8" t="str">
        <f t="shared" si="1"/>
        <v>-</v>
      </c>
      <c r="E222" s="9"/>
      <c r="F222" s="10"/>
      <c r="G222" s="9"/>
      <c r="H222" s="11"/>
      <c r="I222" s="9" t="s">
        <v>13</v>
      </c>
      <c r="J222" s="277"/>
    </row>
    <row r="223">
      <c r="A223" s="145" t="s">
        <v>2721</v>
      </c>
      <c r="B223" s="47"/>
      <c r="C223" s="9" t="s">
        <v>11</v>
      </c>
      <c r="D223" s="8" t="str">
        <f t="shared" si="1"/>
        <v>-</v>
      </c>
      <c r="E223" s="9"/>
      <c r="F223" s="10"/>
      <c r="G223" s="9"/>
      <c r="H223" s="11"/>
      <c r="I223" s="9" t="s">
        <v>13</v>
      </c>
      <c r="J223" s="277"/>
    </row>
    <row r="224">
      <c r="A224" s="145" t="s">
        <v>2721</v>
      </c>
      <c r="B224" s="47"/>
      <c r="C224" s="9" t="s">
        <v>11</v>
      </c>
      <c r="D224" s="8" t="str">
        <f t="shared" si="1"/>
        <v>-</v>
      </c>
      <c r="E224" s="9"/>
      <c r="F224" s="10"/>
      <c r="G224" s="9"/>
      <c r="H224" s="11"/>
      <c r="I224" s="9" t="s">
        <v>13</v>
      </c>
      <c r="J224" s="277"/>
    </row>
    <row r="225">
      <c r="A225" s="145" t="s">
        <v>2721</v>
      </c>
      <c r="B225" s="47"/>
      <c r="C225" s="9" t="s">
        <v>11</v>
      </c>
      <c r="D225" s="8" t="str">
        <f t="shared" si="1"/>
        <v>-</v>
      </c>
      <c r="E225" s="9"/>
      <c r="F225" s="10"/>
      <c r="G225" s="9"/>
      <c r="H225" s="11"/>
      <c r="I225" s="9" t="s">
        <v>13</v>
      </c>
      <c r="J225" s="277"/>
    </row>
    <row r="226">
      <c r="A226" s="145" t="s">
        <v>2721</v>
      </c>
      <c r="B226" s="47"/>
      <c r="C226" s="9" t="s">
        <v>11</v>
      </c>
      <c r="D226" s="8" t="str">
        <f t="shared" si="1"/>
        <v>-</v>
      </c>
      <c r="E226" s="9"/>
      <c r="F226" s="10"/>
      <c r="G226" s="9"/>
      <c r="H226" s="11"/>
      <c r="I226" s="9" t="s">
        <v>13</v>
      </c>
      <c r="J226" s="277"/>
    </row>
    <row r="227">
      <c r="A227" s="145" t="s">
        <v>2721</v>
      </c>
      <c r="B227" s="47"/>
      <c r="C227" s="9" t="s">
        <v>11</v>
      </c>
      <c r="D227" s="8" t="str">
        <f t="shared" si="1"/>
        <v>-</v>
      </c>
      <c r="E227" s="9"/>
      <c r="F227" s="10"/>
      <c r="G227" s="9"/>
      <c r="H227" s="11"/>
      <c r="I227" s="9" t="s">
        <v>13</v>
      </c>
      <c r="J227" s="277"/>
    </row>
    <row r="228">
      <c r="A228" s="145" t="s">
        <v>2721</v>
      </c>
      <c r="B228" s="47"/>
      <c r="C228" s="9" t="s">
        <v>11</v>
      </c>
      <c r="D228" s="8" t="str">
        <f t="shared" si="1"/>
        <v>-</v>
      </c>
      <c r="E228" s="9"/>
      <c r="F228" s="10"/>
      <c r="G228" s="9"/>
      <c r="H228" s="11"/>
      <c r="I228" s="9" t="s">
        <v>13</v>
      </c>
      <c r="J228" s="277"/>
    </row>
    <row r="229">
      <c r="A229" s="145" t="s">
        <v>2721</v>
      </c>
      <c r="B229" s="47"/>
      <c r="C229" s="9" t="s">
        <v>11</v>
      </c>
      <c r="D229" s="8" t="str">
        <f t="shared" si="1"/>
        <v>-</v>
      </c>
      <c r="E229" s="9"/>
      <c r="F229" s="10"/>
      <c r="G229" s="9"/>
      <c r="H229" s="11"/>
      <c r="I229" s="9" t="s">
        <v>13</v>
      </c>
      <c r="J229" s="277"/>
    </row>
    <row r="230">
      <c r="A230" s="145" t="s">
        <v>2721</v>
      </c>
      <c r="B230" s="47"/>
      <c r="C230" s="9" t="s">
        <v>11</v>
      </c>
      <c r="D230" s="8" t="str">
        <f t="shared" si="1"/>
        <v>-</v>
      </c>
      <c r="E230" s="9"/>
      <c r="F230" s="10"/>
      <c r="G230" s="9"/>
      <c r="H230" s="11"/>
      <c r="I230" s="9" t="s">
        <v>13</v>
      </c>
      <c r="J230" s="277"/>
    </row>
    <row r="231">
      <c r="A231" s="145" t="s">
        <v>2721</v>
      </c>
      <c r="B231" s="47"/>
      <c r="C231" s="9" t="s">
        <v>11</v>
      </c>
      <c r="D231" s="8" t="str">
        <f t="shared" si="1"/>
        <v>-</v>
      </c>
      <c r="E231" s="9"/>
      <c r="F231" s="10"/>
      <c r="G231" s="9"/>
      <c r="H231" s="11"/>
      <c r="I231" s="9" t="s">
        <v>13</v>
      </c>
      <c r="J231" s="277"/>
    </row>
    <row r="232">
      <c r="A232" s="145" t="s">
        <v>2721</v>
      </c>
      <c r="B232" s="47"/>
      <c r="C232" s="9" t="s">
        <v>11</v>
      </c>
      <c r="D232" s="8" t="str">
        <f t="shared" si="1"/>
        <v>-</v>
      </c>
      <c r="E232" s="9"/>
      <c r="F232" s="10"/>
      <c r="G232" s="9"/>
      <c r="H232" s="11"/>
      <c r="I232" s="9" t="s">
        <v>13</v>
      </c>
      <c r="J232" s="277"/>
    </row>
    <row r="233">
      <c r="A233" s="145" t="s">
        <v>2721</v>
      </c>
      <c r="B233" s="47"/>
      <c r="C233" s="9" t="s">
        <v>11</v>
      </c>
      <c r="D233" s="8" t="str">
        <f t="shared" si="1"/>
        <v>-</v>
      </c>
      <c r="E233" s="9"/>
      <c r="F233" s="10"/>
      <c r="G233" s="9"/>
      <c r="H233" s="11"/>
      <c r="I233" s="9" t="s">
        <v>13</v>
      </c>
      <c r="J233" s="277"/>
    </row>
    <row r="234">
      <c r="A234" s="145" t="s">
        <v>2721</v>
      </c>
      <c r="B234" s="47"/>
      <c r="C234" s="9" t="s">
        <v>11</v>
      </c>
      <c r="D234" s="8" t="str">
        <f t="shared" si="1"/>
        <v>-</v>
      </c>
      <c r="E234" s="9"/>
      <c r="F234" s="10"/>
      <c r="G234" s="9"/>
      <c r="H234" s="11"/>
      <c r="I234" s="9" t="s">
        <v>13</v>
      </c>
      <c r="J234" s="277"/>
    </row>
    <row r="235">
      <c r="A235" s="145" t="s">
        <v>2721</v>
      </c>
      <c r="B235" s="47"/>
      <c r="C235" s="9" t="s">
        <v>11</v>
      </c>
      <c r="D235" s="8" t="str">
        <f t="shared" si="1"/>
        <v>-</v>
      </c>
      <c r="E235" s="9"/>
      <c r="F235" s="10"/>
      <c r="G235" s="9"/>
      <c r="H235" s="11"/>
      <c r="I235" s="9" t="s">
        <v>13</v>
      </c>
      <c r="J235" s="277"/>
    </row>
    <row r="236">
      <c r="A236" s="145" t="s">
        <v>2721</v>
      </c>
      <c r="B236" s="47"/>
      <c r="C236" s="9" t="s">
        <v>11</v>
      </c>
      <c r="D236" s="8" t="str">
        <f t="shared" si="1"/>
        <v>-</v>
      </c>
      <c r="E236" s="9"/>
      <c r="F236" s="10"/>
      <c r="G236" s="9"/>
      <c r="H236" s="11"/>
      <c r="I236" s="9" t="s">
        <v>13</v>
      </c>
      <c r="J236" s="277"/>
    </row>
    <row r="237">
      <c r="A237" s="145" t="s">
        <v>2721</v>
      </c>
      <c r="B237" s="47"/>
      <c r="C237" s="9" t="s">
        <v>11</v>
      </c>
      <c r="D237" s="8" t="str">
        <f t="shared" si="1"/>
        <v>-</v>
      </c>
      <c r="E237" s="9"/>
      <c r="F237" s="10"/>
      <c r="G237" s="9"/>
      <c r="H237" s="11"/>
      <c r="I237" s="9" t="s">
        <v>13</v>
      </c>
      <c r="J237" s="277"/>
    </row>
    <row r="238">
      <c r="A238" s="145" t="s">
        <v>2721</v>
      </c>
      <c r="B238" s="47"/>
      <c r="C238" s="9" t="s">
        <v>11</v>
      </c>
      <c r="D238" s="8" t="str">
        <f t="shared" si="1"/>
        <v>-</v>
      </c>
      <c r="E238" s="9"/>
      <c r="F238" s="10"/>
      <c r="G238" s="9"/>
      <c r="H238" s="11"/>
      <c r="I238" s="9" t="s">
        <v>13</v>
      </c>
      <c r="J238" s="277"/>
    </row>
    <row r="239">
      <c r="A239" s="145" t="s">
        <v>2721</v>
      </c>
      <c r="B239" s="47"/>
      <c r="C239" s="9" t="s">
        <v>11</v>
      </c>
      <c r="D239" s="8" t="str">
        <f t="shared" si="1"/>
        <v>-</v>
      </c>
      <c r="E239" s="9"/>
      <c r="F239" s="10"/>
      <c r="G239" s="9"/>
      <c r="H239" s="11"/>
      <c r="I239" s="9" t="s">
        <v>13</v>
      </c>
      <c r="J239" s="277"/>
    </row>
    <row r="240">
      <c r="A240" s="145" t="s">
        <v>2721</v>
      </c>
      <c r="B240" s="47"/>
      <c r="C240" s="9" t="s">
        <v>11</v>
      </c>
      <c r="D240" s="8" t="str">
        <f t="shared" si="1"/>
        <v>-</v>
      </c>
      <c r="E240" s="9"/>
      <c r="F240" s="10"/>
      <c r="G240" s="9"/>
      <c r="H240" s="11"/>
      <c r="I240" s="9" t="s">
        <v>13</v>
      </c>
      <c r="J240" s="277"/>
    </row>
    <row r="241">
      <c r="A241" s="145" t="s">
        <v>2721</v>
      </c>
      <c r="B241" s="47"/>
      <c r="C241" s="9" t="s">
        <v>11</v>
      </c>
      <c r="D241" s="8" t="str">
        <f t="shared" si="1"/>
        <v>-</v>
      </c>
      <c r="E241" s="9"/>
      <c r="F241" s="10"/>
      <c r="G241" s="9"/>
      <c r="H241" s="11"/>
      <c r="I241" s="9" t="s">
        <v>13</v>
      </c>
      <c r="J241" s="277"/>
    </row>
    <row r="242">
      <c r="A242" s="145" t="s">
        <v>2721</v>
      </c>
      <c r="B242" s="47"/>
      <c r="C242" s="9" t="s">
        <v>11</v>
      </c>
      <c r="D242" s="8" t="str">
        <f t="shared" si="1"/>
        <v>-</v>
      </c>
      <c r="E242" s="9"/>
      <c r="F242" s="10"/>
      <c r="G242" s="9"/>
      <c r="H242" s="11"/>
      <c r="I242" s="9" t="s">
        <v>13</v>
      </c>
      <c r="J242" s="277"/>
    </row>
    <row r="243">
      <c r="A243" s="145" t="s">
        <v>2721</v>
      </c>
      <c r="B243" s="47"/>
      <c r="C243" s="9" t="s">
        <v>11</v>
      </c>
      <c r="D243" s="8" t="str">
        <f t="shared" si="1"/>
        <v>-</v>
      </c>
      <c r="E243" s="9"/>
      <c r="F243" s="10"/>
      <c r="G243" s="9"/>
      <c r="H243" s="11"/>
      <c r="I243" s="9" t="s">
        <v>13</v>
      </c>
      <c r="J243" s="277"/>
    </row>
    <row r="244">
      <c r="A244" s="145" t="s">
        <v>2721</v>
      </c>
      <c r="B244" s="47"/>
      <c r="C244" s="9" t="s">
        <v>11</v>
      </c>
      <c r="D244" s="8" t="str">
        <f t="shared" si="1"/>
        <v>-</v>
      </c>
      <c r="E244" s="9"/>
      <c r="F244" s="10"/>
      <c r="G244" s="9"/>
      <c r="H244" s="11"/>
      <c r="I244" s="9" t="s">
        <v>13</v>
      </c>
      <c r="J244" s="277"/>
    </row>
    <row r="245">
      <c r="A245" s="145" t="s">
        <v>2721</v>
      </c>
      <c r="B245" s="47"/>
      <c r="C245" s="9" t="s">
        <v>11</v>
      </c>
      <c r="D245" s="8" t="str">
        <f t="shared" si="1"/>
        <v>-</v>
      </c>
      <c r="E245" s="9"/>
      <c r="F245" s="10"/>
      <c r="G245" s="9"/>
      <c r="H245" s="11"/>
      <c r="I245" s="9" t="s">
        <v>13</v>
      </c>
      <c r="J245" s="277"/>
    </row>
    <row r="246">
      <c r="A246" s="145" t="s">
        <v>2721</v>
      </c>
      <c r="B246" s="47"/>
      <c r="C246" s="9" t="s">
        <v>11</v>
      </c>
      <c r="D246" s="8" t="str">
        <f t="shared" si="1"/>
        <v>-</v>
      </c>
      <c r="E246" s="9"/>
      <c r="F246" s="10"/>
      <c r="G246" s="9"/>
      <c r="H246" s="11"/>
      <c r="I246" s="9" t="s">
        <v>13</v>
      </c>
      <c r="J246" s="277"/>
    </row>
    <row r="247">
      <c r="A247" s="145" t="s">
        <v>2721</v>
      </c>
      <c r="B247" s="47"/>
      <c r="C247" s="9" t="s">
        <v>11</v>
      </c>
      <c r="D247" s="8" t="str">
        <f t="shared" si="1"/>
        <v>-</v>
      </c>
      <c r="E247" s="9"/>
      <c r="F247" s="10"/>
      <c r="G247" s="9"/>
      <c r="H247" s="11"/>
      <c r="I247" s="9" t="s">
        <v>13</v>
      </c>
      <c r="J247" s="277"/>
    </row>
    <row r="248">
      <c r="A248" s="145" t="s">
        <v>2721</v>
      </c>
      <c r="B248" s="47"/>
      <c r="C248" s="9" t="s">
        <v>11</v>
      </c>
      <c r="D248" s="8" t="str">
        <f t="shared" si="1"/>
        <v>-</v>
      </c>
      <c r="E248" s="9"/>
      <c r="F248" s="10"/>
      <c r="G248" s="9"/>
      <c r="H248" s="11"/>
      <c r="I248" s="9" t="s">
        <v>13</v>
      </c>
      <c r="J248" s="277"/>
    </row>
    <row r="249">
      <c r="A249" s="145" t="s">
        <v>2721</v>
      </c>
      <c r="B249" s="47"/>
      <c r="C249" s="9" t="s">
        <v>11</v>
      </c>
      <c r="D249" s="8" t="str">
        <f t="shared" si="1"/>
        <v>-</v>
      </c>
      <c r="E249" s="9"/>
      <c r="F249" s="10"/>
      <c r="G249" s="9"/>
      <c r="H249" s="11"/>
      <c r="I249" s="9" t="s">
        <v>13</v>
      </c>
      <c r="J249" s="277"/>
    </row>
    <row r="250">
      <c r="A250" s="145" t="s">
        <v>2721</v>
      </c>
      <c r="B250" s="47"/>
      <c r="C250" s="9" t="s">
        <v>11</v>
      </c>
      <c r="D250" s="8" t="str">
        <f t="shared" si="1"/>
        <v>-</v>
      </c>
      <c r="E250" s="9"/>
      <c r="F250" s="10"/>
      <c r="G250" s="9"/>
      <c r="H250" s="11"/>
      <c r="I250" s="9" t="s">
        <v>13</v>
      </c>
      <c r="J250" s="277"/>
    </row>
    <row r="251">
      <c r="A251" s="145" t="s">
        <v>2721</v>
      </c>
      <c r="B251" s="47"/>
      <c r="C251" s="9" t="s">
        <v>11</v>
      </c>
      <c r="D251" s="8" t="str">
        <f t="shared" si="1"/>
        <v>-</v>
      </c>
      <c r="E251" s="9"/>
      <c r="F251" s="10"/>
      <c r="G251" s="9"/>
      <c r="H251" s="11"/>
      <c r="I251" s="9" t="s">
        <v>13</v>
      </c>
      <c r="J251" s="277"/>
    </row>
    <row r="252">
      <c r="A252" s="145" t="s">
        <v>2721</v>
      </c>
      <c r="B252" s="47"/>
      <c r="C252" s="9" t="s">
        <v>11</v>
      </c>
      <c r="D252" s="8" t="str">
        <f t="shared" si="1"/>
        <v>-</v>
      </c>
      <c r="E252" s="9"/>
      <c r="F252" s="10"/>
      <c r="G252" s="9"/>
      <c r="H252" s="11"/>
      <c r="I252" s="9" t="s">
        <v>13</v>
      </c>
      <c r="J252" s="277"/>
    </row>
    <row r="253">
      <c r="A253" s="145" t="s">
        <v>2721</v>
      </c>
      <c r="B253" s="47"/>
      <c r="C253" s="9" t="s">
        <v>11</v>
      </c>
      <c r="D253" s="8" t="str">
        <f t="shared" si="1"/>
        <v>-</v>
      </c>
      <c r="E253" s="9"/>
      <c r="F253" s="10"/>
      <c r="G253" s="9"/>
      <c r="H253" s="11"/>
      <c r="I253" s="9" t="s">
        <v>13</v>
      </c>
      <c r="J253" s="277"/>
    </row>
    <row r="254">
      <c r="A254" s="145" t="s">
        <v>2721</v>
      </c>
      <c r="B254" s="47"/>
      <c r="C254" s="9" t="s">
        <v>11</v>
      </c>
      <c r="D254" s="8" t="str">
        <f t="shared" si="1"/>
        <v>-</v>
      </c>
      <c r="E254" s="9"/>
      <c r="F254" s="10"/>
      <c r="G254" s="9"/>
      <c r="H254" s="11"/>
      <c r="I254" s="9" t="s">
        <v>13</v>
      </c>
      <c r="J254" s="277"/>
    </row>
    <row r="255">
      <c r="A255" s="145" t="s">
        <v>2721</v>
      </c>
      <c r="B255" s="47"/>
      <c r="C255" s="9" t="s">
        <v>11</v>
      </c>
      <c r="D255" s="8" t="str">
        <f t="shared" si="1"/>
        <v>-</v>
      </c>
      <c r="E255" s="9"/>
      <c r="F255" s="10"/>
      <c r="G255" s="9"/>
      <c r="H255" s="11"/>
      <c r="I255" s="9" t="s">
        <v>13</v>
      </c>
      <c r="J255" s="277"/>
    </row>
    <row r="256">
      <c r="A256" s="145" t="s">
        <v>2721</v>
      </c>
      <c r="B256" s="47"/>
      <c r="C256" s="9" t="s">
        <v>11</v>
      </c>
      <c r="D256" s="8" t="str">
        <f t="shared" si="1"/>
        <v>-</v>
      </c>
      <c r="E256" s="9"/>
      <c r="F256" s="10"/>
      <c r="G256" s="9"/>
      <c r="H256" s="11"/>
      <c r="I256" s="9" t="s">
        <v>13</v>
      </c>
      <c r="J256" s="277"/>
    </row>
    <row r="257">
      <c r="A257" s="145" t="s">
        <v>2721</v>
      </c>
      <c r="B257" s="47"/>
      <c r="C257" s="9" t="s">
        <v>11</v>
      </c>
      <c r="D257" s="8" t="str">
        <f t="shared" si="1"/>
        <v>-</v>
      </c>
      <c r="E257" s="9"/>
      <c r="F257" s="10"/>
      <c r="G257" s="9"/>
      <c r="H257" s="11"/>
      <c r="I257" s="9" t="s">
        <v>13</v>
      </c>
      <c r="J257" s="277"/>
    </row>
    <row r="258">
      <c r="A258" s="145" t="s">
        <v>2721</v>
      </c>
      <c r="B258" s="47"/>
      <c r="C258" s="9" t="s">
        <v>11</v>
      </c>
      <c r="D258" s="8" t="str">
        <f t="shared" si="1"/>
        <v>-</v>
      </c>
      <c r="E258" s="9"/>
      <c r="F258" s="10"/>
      <c r="G258" s="9"/>
      <c r="H258" s="11"/>
      <c r="I258" s="9" t="s">
        <v>13</v>
      </c>
      <c r="J258" s="277"/>
    </row>
    <row r="259">
      <c r="A259" s="145" t="s">
        <v>2721</v>
      </c>
      <c r="B259" s="47"/>
      <c r="C259" s="9" t="s">
        <v>11</v>
      </c>
      <c r="D259" s="8" t="str">
        <f t="shared" si="1"/>
        <v>-</v>
      </c>
      <c r="E259" s="9"/>
      <c r="F259" s="10"/>
      <c r="G259" s="9"/>
      <c r="H259" s="11"/>
      <c r="I259" s="9" t="s">
        <v>13</v>
      </c>
      <c r="J259" s="277"/>
    </row>
    <row r="260">
      <c r="A260" s="145" t="s">
        <v>2721</v>
      </c>
      <c r="B260" s="47"/>
      <c r="C260" s="9" t="s">
        <v>11</v>
      </c>
      <c r="D260" s="8" t="str">
        <f t="shared" si="1"/>
        <v>-</v>
      </c>
      <c r="E260" s="9"/>
      <c r="F260" s="10"/>
      <c r="G260" s="9"/>
      <c r="H260" s="11"/>
      <c r="I260" s="9" t="s">
        <v>13</v>
      </c>
      <c r="J260" s="277"/>
    </row>
    <row r="261">
      <c r="A261" s="145" t="s">
        <v>2721</v>
      </c>
      <c r="B261" s="47"/>
      <c r="C261" s="9" t="s">
        <v>11</v>
      </c>
      <c r="D261" s="8" t="str">
        <f t="shared" si="1"/>
        <v>-</v>
      </c>
      <c r="E261" s="9"/>
      <c r="F261" s="10"/>
      <c r="G261" s="9"/>
      <c r="H261" s="11"/>
      <c r="I261" s="9" t="s">
        <v>13</v>
      </c>
      <c r="J261" s="277"/>
    </row>
    <row r="262">
      <c r="A262" s="145" t="s">
        <v>2721</v>
      </c>
      <c r="B262" s="47"/>
      <c r="C262" s="9" t="s">
        <v>11</v>
      </c>
      <c r="D262" s="8" t="str">
        <f t="shared" si="1"/>
        <v>-</v>
      </c>
      <c r="E262" s="9"/>
      <c r="F262" s="10"/>
      <c r="G262" s="9"/>
      <c r="H262" s="11"/>
      <c r="I262" s="9" t="s">
        <v>13</v>
      </c>
      <c r="J262" s="277"/>
    </row>
    <row r="263">
      <c r="A263" s="145" t="s">
        <v>2721</v>
      </c>
      <c r="B263" s="47"/>
      <c r="C263" s="9" t="s">
        <v>11</v>
      </c>
      <c r="D263" s="8" t="str">
        <f t="shared" si="1"/>
        <v>-</v>
      </c>
      <c r="E263" s="9"/>
      <c r="F263" s="10"/>
      <c r="G263" s="9"/>
      <c r="H263" s="11"/>
      <c r="I263" s="9" t="s">
        <v>13</v>
      </c>
      <c r="J263" s="277"/>
    </row>
    <row r="264">
      <c r="A264" s="145" t="s">
        <v>2721</v>
      </c>
      <c r="B264" s="47"/>
      <c r="C264" s="9" t="s">
        <v>11</v>
      </c>
      <c r="D264" s="8" t="str">
        <f t="shared" si="1"/>
        <v>-</v>
      </c>
      <c r="E264" s="9"/>
      <c r="F264" s="10"/>
      <c r="G264" s="9"/>
      <c r="H264" s="11"/>
      <c r="I264" s="9" t="s">
        <v>13</v>
      </c>
      <c r="J264" s="277"/>
    </row>
    <row r="265">
      <c r="A265" s="145" t="s">
        <v>2721</v>
      </c>
      <c r="B265" s="47"/>
      <c r="C265" s="9" t="s">
        <v>11</v>
      </c>
      <c r="D265" s="8" t="str">
        <f t="shared" si="1"/>
        <v>-</v>
      </c>
      <c r="E265" s="9"/>
      <c r="F265" s="10"/>
      <c r="G265" s="9"/>
      <c r="H265" s="11"/>
      <c r="I265" s="9" t="s">
        <v>13</v>
      </c>
      <c r="J265" s="277"/>
    </row>
    <row r="266">
      <c r="A266" s="145" t="s">
        <v>2721</v>
      </c>
      <c r="B266" s="47"/>
      <c r="C266" s="9" t="s">
        <v>11</v>
      </c>
      <c r="D266" s="8" t="str">
        <f t="shared" si="1"/>
        <v>-</v>
      </c>
      <c r="E266" s="9"/>
      <c r="F266" s="10"/>
      <c r="G266" s="9"/>
      <c r="H266" s="11"/>
      <c r="I266" s="9" t="s">
        <v>13</v>
      </c>
      <c r="J266" s="277"/>
    </row>
    <row r="267">
      <c r="A267" s="145" t="s">
        <v>2721</v>
      </c>
      <c r="B267" s="47"/>
      <c r="C267" s="9" t="s">
        <v>11</v>
      </c>
      <c r="D267" s="8" t="str">
        <f t="shared" si="1"/>
        <v>-</v>
      </c>
      <c r="E267" s="9"/>
      <c r="F267" s="10"/>
      <c r="G267" s="9"/>
      <c r="H267" s="11"/>
      <c r="I267" s="9" t="s">
        <v>13</v>
      </c>
      <c r="J267" s="277"/>
    </row>
    <row r="268">
      <c r="A268" s="145" t="s">
        <v>2721</v>
      </c>
      <c r="B268" s="47"/>
      <c r="C268" s="9" t="s">
        <v>11</v>
      </c>
      <c r="D268" s="8" t="str">
        <f t="shared" si="1"/>
        <v>-</v>
      </c>
      <c r="E268" s="9"/>
      <c r="F268" s="10"/>
      <c r="G268" s="9"/>
      <c r="H268" s="11"/>
      <c r="I268" s="9" t="s">
        <v>13</v>
      </c>
      <c r="J268" s="277"/>
    </row>
    <row r="269">
      <c r="A269" s="145" t="s">
        <v>2721</v>
      </c>
      <c r="B269" s="47"/>
      <c r="C269" s="9" t="s">
        <v>11</v>
      </c>
      <c r="D269" s="8" t="str">
        <f t="shared" si="1"/>
        <v>-</v>
      </c>
      <c r="E269" s="9"/>
      <c r="F269" s="10"/>
      <c r="G269" s="9"/>
      <c r="H269" s="11"/>
      <c r="I269" s="9" t="s">
        <v>13</v>
      </c>
      <c r="J269" s="277"/>
    </row>
    <row r="270">
      <c r="A270" s="145" t="s">
        <v>2721</v>
      </c>
      <c r="B270" s="47"/>
      <c r="C270" s="9" t="s">
        <v>11</v>
      </c>
      <c r="D270" s="8" t="str">
        <f t="shared" si="1"/>
        <v>-</v>
      </c>
      <c r="E270" s="9"/>
      <c r="F270" s="10"/>
      <c r="G270" s="9"/>
      <c r="H270" s="11"/>
      <c r="I270" s="9" t="s">
        <v>13</v>
      </c>
      <c r="J270" s="277"/>
    </row>
    <row r="271">
      <c r="A271" s="145" t="s">
        <v>2721</v>
      </c>
      <c r="B271" s="47"/>
      <c r="C271" s="9" t="s">
        <v>11</v>
      </c>
      <c r="D271" s="8" t="str">
        <f t="shared" si="1"/>
        <v>-</v>
      </c>
      <c r="E271" s="9"/>
      <c r="F271" s="10"/>
      <c r="G271" s="9"/>
      <c r="H271" s="11"/>
      <c r="I271" s="9" t="s">
        <v>13</v>
      </c>
      <c r="J271" s="277"/>
    </row>
    <row r="272">
      <c r="A272" s="145" t="s">
        <v>2721</v>
      </c>
      <c r="B272" s="47"/>
      <c r="C272" s="9" t="s">
        <v>11</v>
      </c>
      <c r="D272" s="8" t="str">
        <f t="shared" si="1"/>
        <v>-</v>
      </c>
      <c r="E272" s="9"/>
      <c r="F272" s="10"/>
      <c r="G272" s="9"/>
      <c r="H272" s="11"/>
      <c r="I272" s="9" t="s">
        <v>13</v>
      </c>
      <c r="J272" s="277"/>
    </row>
    <row r="273">
      <c r="A273" s="145" t="s">
        <v>2721</v>
      </c>
      <c r="B273" s="47"/>
      <c r="C273" s="9" t="s">
        <v>11</v>
      </c>
      <c r="D273" s="8" t="str">
        <f t="shared" si="1"/>
        <v>-</v>
      </c>
      <c r="E273" s="9"/>
      <c r="F273" s="10"/>
      <c r="G273" s="9"/>
      <c r="H273" s="11"/>
      <c r="I273" s="9" t="s">
        <v>13</v>
      </c>
      <c r="J273" s="277"/>
    </row>
    <row r="274">
      <c r="A274" s="145" t="s">
        <v>2721</v>
      </c>
      <c r="B274" s="47"/>
      <c r="C274" s="9" t="s">
        <v>11</v>
      </c>
      <c r="D274" s="8" t="str">
        <f t="shared" si="1"/>
        <v>-</v>
      </c>
      <c r="E274" s="9"/>
      <c r="F274" s="10"/>
      <c r="G274" s="9"/>
      <c r="H274" s="11"/>
      <c r="I274" s="9" t="s">
        <v>13</v>
      </c>
      <c r="J274" s="277"/>
    </row>
    <row r="275">
      <c r="A275" s="145" t="s">
        <v>2721</v>
      </c>
      <c r="B275" s="47"/>
      <c r="C275" s="9" t="s">
        <v>11</v>
      </c>
      <c r="D275" s="8" t="str">
        <f t="shared" si="1"/>
        <v>-</v>
      </c>
      <c r="E275" s="9"/>
      <c r="F275" s="10"/>
      <c r="G275" s="9"/>
      <c r="H275" s="11"/>
      <c r="I275" s="9" t="s">
        <v>13</v>
      </c>
      <c r="J275" s="277"/>
    </row>
    <row r="276">
      <c r="A276" s="145" t="s">
        <v>2721</v>
      </c>
      <c r="B276" s="47"/>
      <c r="C276" s="9" t="s">
        <v>11</v>
      </c>
      <c r="D276" s="8" t="str">
        <f t="shared" si="1"/>
        <v>-</v>
      </c>
      <c r="E276" s="9"/>
      <c r="F276" s="10"/>
      <c r="G276" s="9"/>
      <c r="H276" s="11"/>
      <c r="I276" s="9" t="s">
        <v>13</v>
      </c>
      <c r="J276" s="277"/>
    </row>
    <row r="277">
      <c r="A277" s="145" t="s">
        <v>2721</v>
      </c>
      <c r="B277" s="47"/>
      <c r="C277" s="9" t="s">
        <v>11</v>
      </c>
      <c r="D277" s="8" t="str">
        <f t="shared" si="1"/>
        <v>-</v>
      </c>
      <c r="E277" s="9"/>
      <c r="F277" s="10"/>
      <c r="G277" s="9"/>
      <c r="H277" s="11"/>
      <c r="I277" s="9" t="s">
        <v>13</v>
      </c>
      <c r="J277" s="277"/>
    </row>
    <row r="278">
      <c r="A278" s="145" t="s">
        <v>2721</v>
      </c>
      <c r="B278" s="47"/>
      <c r="C278" s="9" t="s">
        <v>11</v>
      </c>
      <c r="D278" s="8" t="str">
        <f t="shared" si="1"/>
        <v>-</v>
      </c>
      <c r="E278" s="9"/>
      <c r="F278" s="10"/>
      <c r="G278" s="9"/>
      <c r="H278" s="11"/>
      <c r="I278" s="9" t="s">
        <v>13</v>
      </c>
      <c r="J278" s="277"/>
    </row>
    <row r="279">
      <c r="A279" s="145" t="s">
        <v>2721</v>
      </c>
      <c r="B279" s="47"/>
      <c r="C279" s="9" t="s">
        <v>11</v>
      </c>
      <c r="D279" s="8" t="str">
        <f t="shared" si="1"/>
        <v>-</v>
      </c>
      <c r="E279" s="9"/>
      <c r="F279" s="10"/>
      <c r="G279" s="9"/>
      <c r="H279" s="11"/>
      <c r="I279" s="9" t="s">
        <v>13</v>
      </c>
      <c r="J279" s="277"/>
    </row>
    <row r="280">
      <c r="A280" s="145" t="s">
        <v>2721</v>
      </c>
      <c r="B280" s="47"/>
      <c r="C280" s="9" t="s">
        <v>11</v>
      </c>
      <c r="D280" s="8" t="str">
        <f t="shared" si="1"/>
        <v>-</v>
      </c>
      <c r="E280" s="9"/>
      <c r="F280" s="10"/>
      <c r="G280" s="9"/>
      <c r="H280" s="11"/>
      <c r="I280" s="9" t="s">
        <v>13</v>
      </c>
      <c r="J280" s="277"/>
    </row>
    <row r="281">
      <c r="A281" s="145" t="s">
        <v>2721</v>
      </c>
      <c r="B281" s="47"/>
      <c r="C281" s="9" t="s">
        <v>11</v>
      </c>
      <c r="D281" s="8" t="str">
        <f t="shared" si="1"/>
        <v>-</v>
      </c>
      <c r="E281" s="9"/>
      <c r="F281" s="10"/>
      <c r="G281" s="9"/>
      <c r="H281" s="11"/>
      <c r="I281" s="9" t="s">
        <v>13</v>
      </c>
      <c r="J281" s="277"/>
    </row>
    <row r="282">
      <c r="A282" s="145" t="s">
        <v>2721</v>
      </c>
      <c r="B282" s="47"/>
      <c r="C282" s="9" t="s">
        <v>11</v>
      </c>
      <c r="D282" s="8" t="str">
        <f t="shared" si="1"/>
        <v>-</v>
      </c>
      <c r="E282" s="9"/>
      <c r="F282" s="10"/>
      <c r="G282" s="9"/>
      <c r="H282" s="11"/>
      <c r="I282" s="9" t="s">
        <v>13</v>
      </c>
      <c r="J282" s="277"/>
    </row>
    <row r="283">
      <c r="A283" s="145" t="s">
        <v>2721</v>
      </c>
      <c r="B283" s="47"/>
      <c r="C283" s="9" t="s">
        <v>11</v>
      </c>
      <c r="D283" s="8" t="str">
        <f t="shared" si="1"/>
        <v>-</v>
      </c>
      <c r="E283" s="9"/>
      <c r="F283" s="10"/>
      <c r="G283" s="9"/>
      <c r="H283" s="11"/>
      <c r="I283" s="9" t="s">
        <v>13</v>
      </c>
      <c r="J283" s="277"/>
    </row>
    <row r="284">
      <c r="A284" s="145" t="s">
        <v>2721</v>
      </c>
      <c r="B284" s="47"/>
      <c r="C284" s="9" t="s">
        <v>11</v>
      </c>
      <c r="D284" s="8" t="str">
        <f t="shared" si="1"/>
        <v>-</v>
      </c>
      <c r="E284" s="9"/>
      <c r="F284" s="10"/>
      <c r="G284" s="9"/>
      <c r="H284" s="11"/>
      <c r="I284" s="9" t="s">
        <v>13</v>
      </c>
      <c r="J284" s="277"/>
    </row>
    <row r="285">
      <c r="A285" s="145" t="s">
        <v>2721</v>
      </c>
      <c r="B285" s="47"/>
      <c r="C285" s="9" t="s">
        <v>11</v>
      </c>
      <c r="D285" s="8" t="str">
        <f t="shared" si="1"/>
        <v>-</v>
      </c>
      <c r="E285" s="9"/>
      <c r="F285" s="10"/>
      <c r="G285" s="9"/>
      <c r="H285" s="11"/>
      <c r="I285" s="9" t="s">
        <v>13</v>
      </c>
      <c r="J285" s="277"/>
    </row>
    <row r="286">
      <c r="A286" s="145" t="s">
        <v>2721</v>
      </c>
      <c r="B286" s="47"/>
      <c r="C286" s="9" t="s">
        <v>11</v>
      </c>
      <c r="D286" s="8" t="str">
        <f t="shared" si="1"/>
        <v>-</v>
      </c>
      <c r="E286" s="9"/>
      <c r="F286" s="10"/>
      <c r="G286" s="9"/>
      <c r="H286" s="11"/>
      <c r="I286" s="9" t="s">
        <v>13</v>
      </c>
      <c r="J286" s="277"/>
    </row>
    <row r="287">
      <c r="A287" s="145" t="s">
        <v>2721</v>
      </c>
      <c r="B287" s="47"/>
      <c r="C287" s="9" t="s">
        <v>11</v>
      </c>
      <c r="D287" s="8" t="str">
        <f t="shared" si="1"/>
        <v>-</v>
      </c>
      <c r="E287" s="9"/>
      <c r="F287" s="10"/>
      <c r="G287" s="9"/>
      <c r="H287" s="11"/>
      <c r="I287" s="9" t="s">
        <v>13</v>
      </c>
      <c r="J287" s="277"/>
    </row>
    <row r="288">
      <c r="A288" s="145" t="s">
        <v>2721</v>
      </c>
      <c r="B288" s="47"/>
      <c r="C288" s="9" t="s">
        <v>11</v>
      </c>
      <c r="D288" s="8" t="str">
        <f t="shared" si="1"/>
        <v>-</v>
      </c>
      <c r="E288" s="9"/>
      <c r="F288" s="10"/>
      <c r="G288" s="9"/>
      <c r="H288" s="11"/>
      <c r="I288" s="9" t="s">
        <v>13</v>
      </c>
      <c r="J288" s="277"/>
    </row>
    <row r="289">
      <c r="A289" s="145" t="s">
        <v>2721</v>
      </c>
      <c r="B289" s="47"/>
      <c r="C289" s="9" t="s">
        <v>11</v>
      </c>
      <c r="D289" s="8" t="str">
        <f t="shared" si="1"/>
        <v>-</v>
      </c>
      <c r="E289" s="9"/>
      <c r="F289" s="10"/>
      <c r="G289" s="9"/>
      <c r="H289" s="11"/>
      <c r="I289" s="9" t="s">
        <v>13</v>
      </c>
      <c r="J289" s="277"/>
    </row>
    <row r="290">
      <c r="A290" s="145" t="s">
        <v>2721</v>
      </c>
      <c r="B290" s="47"/>
      <c r="C290" s="9" t="s">
        <v>11</v>
      </c>
      <c r="D290" s="8" t="str">
        <f t="shared" si="1"/>
        <v>-</v>
      </c>
      <c r="E290" s="9"/>
      <c r="F290" s="10"/>
      <c r="G290" s="9"/>
      <c r="H290" s="11"/>
      <c r="I290" s="9" t="s">
        <v>13</v>
      </c>
      <c r="J290" s="277"/>
    </row>
    <row r="291">
      <c r="A291" s="145" t="s">
        <v>2721</v>
      </c>
      <c r="B291" s="47"/>
      <c r="C291" s="9" t="s">
        <v>11</v>
      </c>
      <c r="D291" s="8" t="str">
        <f t="shared" si="1"/>
        <v>-</v>
      </c>
      <c r="E291" s="9"/>
      <c r="F291" s="10"/>
      <c r="G291" s="9"/>
      <c r="H291" s="11"/>
      <c r="I291" s="9" t="s">
        <v>13</v>
      </c>
      <c r="J291" s="277"/>
    </row>
    <row r="292">
      <c r="A292" s="145" t="s">
        <v>2721</v>
      </c>
      <c r="B292" s="47"/>
      <c r="C292" s="9" t="s">
        <v>11</v>
      </c>
      <c r="D292" s="8" t="str">
        <f t="shared" si="1"/>
        <v>-</v>
      </c>
      <c r="E292" s="9"/>
      <c r="F292" s="10"/>
      <c r="G292" s="9"/>
      <c r="H292" s="11"/>
      <c r="I292" s="9" t="s">
        <v>13</v>
      </c>
      <c r="J292" s="277"/>
    </row>
    <row r="293">
      <c r="A293" s="145" t="s">
        <v>2721</v>
      </c>
      <c r="B293" s="47"/>
      <c r="C293" s="9" t="s">
        <v>11</v>
      </c>
      <c r="D293" s="8" t="str">
        <f t="shared" si="1"/>
        <v>-</v>
      </c>
      <c r="E293" s="9"/>
      <c r="F293" s="10"/>
      <c r="G293" s="9"/>
      <c r="H293" s="11"/>
      <c r="I293" s="9" t="s">
        <v>13</v>
      </c>
      <c r="J293" s="277"/>
    </row>
    <row r="294">
      <c r="A294" s="145" t="s">
        <v>2721</v>
      </c>
      <c r="B294" s="47"/>
      <c r="C294" s="9" t="s">
        <v>11</v>
      </c>
      <c r="D294" s="8" t="str">
        <f t="shared" si="1"/>
        <v>-</v>
      </c>
      <c r="E294" s="9"/>
      <c r="F294" s="10"/>
      <c r="G294" s="9"/>
      <c r="H294" s="11"/>
      <c r="I294" s="9" t="s">
        <v>13</v>
      </c>
      <c r="J294" s="277"/>
    </row>
    <row r="295">
      <c r="A295" s="145" t="s">
        <v>2721</v>
      </c>
      <c r="B295" s="47"/>
      <c r="C295" s="9" t="s">
        <v>11</v>
      </c>
      <c r="D295" s="8" t="str">
        <f t="shared" si="1"/>
        <v>-</v>
      </c>
      <c r="E295" s="9"/>
      <c r="F295" s="10"/>
      <c r="G295" s="9"/>
      <c r="H295" s="11"/>
      <c r="I295" s="9" t="s">
        <v>13</v>
      </c>
      <c r="J295" s="277"/>
    </row>
    <row r="296">
      <c r="A296" s="145" t="s">
        <v>2721</v>
      </c>
      <c r="B296" s="47"/>
      <c r="C296" s="9" t="s">
        <v>11</v>
      </c>
      <c r="D296" s="8" t="str">
        <f t="shared" si="1"/>
        <v>-</v>
      </c>
      <c r="E296" s="9"/>
      <c r="F296" s="10"/>
      <c r="G296" s="9"/>
      <c r="H296" s="11"/>
      <c r="I296" s="9" t="s">
        <v>13</v>
      </c>
      <c r="J296" s="277"/>
    </row>
    <row r="297">
      <c r="A297" s="145" t="s">
        <v>2721</v>
      </c>
      <c r="B297" s="47"/>
      <c r="C297" s="9" t="s">
        <v>11</v>
      </c>
      <c r="D297" s="8" t="str">
        <f t="shared" si="1"/>
        <v>-</v>
      </c>
      <c r="E297" s="9"/>
      <c r="F297" s="10"/>
      <c r="G297" s="9"/>
      <c r="H297" s="11"/>
      <c r="I297" s="9" t="s">
        <v>13</v>
      </c>
      <c r="J297" s="277"/>
    </row>
    <row r="298">
      <c r="A298" s="145" t="s">
        <v>2721</v>
      </c>
      <c r="B298" s="47"/>
      <c r="C298" s="9" t="s">
        <v>11</v>
      </c>
      <c r="D298" s="8" t="str">
        <f t="shared" si="1"/>
        <v>-</v>
      </c>
      <c r="E298" s="9"/>
      <c r="F298" s="10"/>
      <c r="G298" s="9"/>
      <c r="H298" s="11"/>
      <c r="I298" s="9" t="s">
        <v>13</v>
      </c>
      <c r="J298" s="277"/>
    </row>
    <row r="299">
      <c r="A299" s="145" t="s">
        <v>2721</v>
      </c>
      <c r="B299" s="47"/>
      <c r="C299" s="9" t="s">
        <v>11</v>
      </c>
      <c r="D299" s="8" t="str">
        <f t="shared" si="1"/>
        <v>-</v>
      </c>
      <c r="E299" s="9"/>
      <c r="F299" s="10"/>
      <c r="G299" s="9"/>
      <c r="H299" s="11"/>
      <c r="I299" s="9" t="s">
        <v>13</v>
      </c>
      <c r="J299" s="277"/>
    </row>
    <row r="300">
      <c r="A300" s="145" t="s">
        <v>2721</v>
      </c>
      <c r="B300" s="47"/>
      <c r="C300" s="9" t="s">
        <v>11</v>
      </c>
      <c r="D300" s="8" t="str">
        <f t="shared" si="1"/>
        <v>-</v>
      </c>
      <c r="E300" s="9"/>
      <c r="F300" s="10"/>
      <c r="G300" s="9"/>
      <c r="H300" s="11"/>
      <c r="I300" s="9" t="s">
        <v>13</v>
      </c>
      <c r="J300" s="277"/>
    </row>
    <row r="301">
      <c r="A301" s="145" t="s">
        <v>2721</v>
      </c>
      <c r="B301" s="47"/>
      <c r="C301" s="9" t="s">
        <v>11</v>
      </c>
      <c r="D301" s="8" t="str">
        <f t="shared" si="1"/>
        <v>-</v>
      </c>
      <c r="E301" s="9"/>
      <c r="F301" s="10"/>
      <c r="G301" s="9"/>
      <c r="H301" s="11"/>
      <c r="I301" s="9" t="s">
        <v>13</v>
      </c>
      <c r="J301" s="277"/>
    </row>
    <row r="302">
      <c r="A302" s="145" t="s">
        <v>2721</v>
      </c>
      <c r="B302" s="47"/>
      <c r="C302" s="9" t="s">
        <v>11</v>
      </c>
      <c r="D302" s="8" t="str">
        <f t="shared" si="1"/>
        <v>-</v>
      </c>
      <c r="E302" s="9"/>
      <c r="F302" s="10"/>
      <c r="G302" s="9"/>
      <c r="H302" s="11"/>
      <c r="I302" s="9" t="s">
        <v>13</v>
      </c>
      <c r="J302" s="277"/>
    </row>
    <row r="303">
      <c r="A303" s="145" t="s">
        <v>2721</v>
      </c>
      <c r="B303" s="47"/>
      <c r="C303" s="9" t="s">
        <v>11</v>
      </c>
      <c r="D303" s="8" t="str">
        <f t="shared" si="1"/>
        <v>-</v>
      </c>
      <c r="E303" s="9"/>
      <c r="F303" s="10"/>
      <c r="G303" s="9"/>
      <c r="H303" s="11"/>
      <c r="I303" s="9" t="s">
        <v>13</v>
      </c>
      <c r="J303" s="277"/>
    </row>
    <row r="304">
      <c r="A304" s="145" t="s">
        <v>2721</v>
      </c>
      <c r="B304" s="47"/>
      <c r="C304" s="9" t="s">
        <v>11</v>
      </c>
      <c r="D304" s="8" t="str">
        <f t="shared" si="1"/>
        <v>-</v>
      </c>
      <c r="E304" s="9"/>
      <c r="F304" s="10"/>
      <c r="G304" s="9"/>
      <c r="H304" s="11"/>
      <c r="I304" s="9" t="s">
        <v>13</v>
      </c>
      <c r="J304" s="277"/>
    </row>
    <row r="305">
      <c r="A305" s="145" t="s">
        <v>2721</v>
      </c>
      <c r="B305" s="47"/>
      <c r="C305" s="9" t="s">
        <v>11</v>
      </c>
      <c r="D305" s="8" t="str">
        <f t="shared" si="1"/>
        <v>-</v>
      </c>
      <c r="E305" s="9"/>
      <c r="F305" s="10"/>
      <c r="G305" s="9"/>
      <c r="H305" s="11"/>
      <c r="I305" s="9" t="s">
        <v>13</v>
      </c>
      <c r="J305" s="277"/>
    </row>
    <row r="306">
      <c r="A306" s="145" t="s">
        <v>2721</v>
      </c>
      <c r="B306" s="47"/>
      <c r="C306" s="9" t="s">
        <v>11</v>
      </c>
      <c r="D306" s="8" t="str">
        <f t="shared" si="1"/>
        <v>-</v>
      </c>
      <c r="E306" s="9"/>
      <c r="F306" s="10"/>
      <c r="G306" s="9"/>
      <c r="H306" s="11"/>
      <c r="I306" s="9" t="s">
        <v>13</v>
      </c>
      <c r="J306" s="277"/>
    </row>
    <row r="307">
      <c r="A307" s="145" t="s">
        <v>2721</v>
      </c>
      <c r="B307" s="47"/>
      <c r="C307" s="9" t="s">
        <v>11</v>
      </c>
      <c r="D307" s="8" t="str">
        <f t="shared" si="1"/>
        <v>-</v>
      </c>
      <c r="E307" s="9"/>
      <c r="F307" s="10"/>
      <c r="G307" s="9"/>
      <c r="H307" s="11"/>
      <c r="I307" s="9" t="s">
        <v>13</v>
      </c>
      <c r="J307" s="277"/>
    </row>
    <row r="308">
      <c r="A308" s="145" t="s">
        <v>2721</v>
      </c>
      <c r="B308" s="47"/>
      <c r="C308" s="9" t="s">
        <v>11</v>
      </c>
      <c r="D308" s="8" t="str">
        <f t="shared" si="1"/>
        <v>-</v>
      </c>
      <c r="E308" s="9"/>
      <c r="F308" s="10"/>
      <c r="G308" s="9"/>
      <c r="H308" s="11"/>
      <c r="I308" s="9" t="s">
        <v>13</v>
      </c>
      <c r="J308" s="277"/>
    </row>
    <row r="309">
      <c r="A309" s="145" t="s">
        <v>2721</v>
      </c>
      <c r="B309" s="47"/>
      <c r="C309" s="9" t="s">
        <v>11</v>
      </c>
      <c r="D309" s="8" t="str">
        <f t="shared" si="1"/>
        <v>-</v>
      </c>
      <c r="E309" s="9"/>
      <c r="F309" s="10"/>
      <c r="G309" s="9"/>
      <c r="H309" s="11"/>
      <c r="I309" s="9" t="s">
        <v>13</v>
      </c>
      <c r="J309" s="277"/>
    </row>
    <row r="310">
      <c r="A310" s="145" t="s">
        <v>2721</v>
      </c>
      <c r="B310" s="47"/>
      <c r="C310" s="9" t="s">
        <v>11</v>
      </c>
      <c r="D310" s="8" t="str">
        <f t="shared" si="1"/>
        <v>-</v>
      </c>
      <c r="E310" s="9"/>
      <c r="F310" s="10"/>
      <c r="G310" s="9"/>
      <c r="H310" s="11"/>
      <c r="I310" s="9" t="s">
        <v>13</v>
      </c>
      <c r="J310" s="277"/>
    </row>
    <row r="311">
      <c r="A311" s="145" t="s">
        <v>2721</v>
      </c>
      <c r="B311" s="47"/>
      <c r="C311" s="9" t="s">
        <v>11</v>
      </c>
      <c r="D311" s="8" t="str">
        <f t="shared" si="1"/>
        <v>-</v>
      </c>
      <c r="E311" s="9"/>
      <c r="F311" s="10"/>
      <c r="G311" s="9"/>
      <c r="H311" s="11"/>
      <c r="I311" s="9" t="s">
        <v>13</v>
      </c>
      <c r="J311" s="277"/>
    </row>
    <row r="312">
      <c r="A312" s="145" t="s">
        <v>2721</v>
      </c>
      <c r="B312" s="47"/>
      <c r="C312" s="9" t="s">
        <v>11</v>
      </c>
      <c r="D312" s="8" t="str">
        <f t="shared" si="1"/>
        <v>-</v>
      </c>
      <c r="E312" s="9"/>
      <c r="F312" s="10"/>
      <c r="G312" s="9"/>
      <c r="H312" s="11"/>
      <c r="I312" s="9" t="s">
        <v>13</v>
      </c>
      <c r="J312" s="277"/>
    </row>
    <row r="313">
      <c r="A313" s="145" t="s">
        <v>2721</v>
      </c>
      <c r="B313" s="47"/>
      <c r="C313" s="9" t="s">
        <v>11</v>
      </c>
      <c r="D313" s="8" t="str">
        <f t="shared" si="1"/>
        <v>-</v>
      </c>
      <c r="E313" s="9"/>
      <c r="F313" s="10"/>
      <c r="G313" s="9"/>
      <c r="H313" s="11"/>
      <c r="I313" s="9" t="s">
        <v>13</v>
      </c>
      <c r="J313" s="277"/>
    </row>
    <row r="314">
      <c r="A314" s="145" t="s">
        <v>2721</v>
      </c>
      <c r="B314" s="47"/>
      <c r="C314" s="9" t="s">
        <v>11</v>
      </c>
      <c r="D314" s="8" t="str">
        <f t="shared" si="1"/>
        <v>-</v>
      </c>
      <c r="E314" s="9"/>
      <c r="F314" s="10"/>
      <c r="G314" s="9"/>
      <c r="H314" s="11"/>
      <c r="I314" s="9" t="s">
        <v>13</v>
      </c>
      <c r="J314" s="277"/>
    </row>
    <row r="315">
      <c r="A315" s="145" t="s">
        <v>2721</v>
      </c>
      <c r="B315" s="47"/>
      <c r="C315" s="9" t="s">
        <v>11</v>
      </c>
      <c r="D315" s="8" t="str">
        <f t="shared" si="1"/>
        <v>-</v>
      </c>
      <c r="E315" s="9"/>
      <c r="F315" s="10"/>
      <c r="G315" s="9"/>
      <c r="H315" s="11"/>
      <c r="I315" s="9" t="s">
        <v>13</v>
      </c>
      <c r="J315" s="277"/>
    </row>
    <row r="316">
      <c r="A316" s="145" t="s">
        <v>2721</v>
      </c>
      <c r="B316" s="47"/>
      <c r="C316" s="9" t="s">
        <v>11</v>
      </c>
      <c r="D316" s="8" t="str">
        <f t="shared" si="1"/>
        <v>-</v>
      </c>
      <c r="E316" s="9"/>
      <c r="F316" s="10"/>
      <c r="G316" s="9"/>
      <c r="H316" s="11"/>
      <c r="I316" s="9" t="s">
        <v>13</v>
      </c>
      <c r="J316" s="277"/>
    </row>
    <row r="317">
      <c r="A317" s="145" t="s">
        <v>2721</v>
      </c>
      <c r="B317" s="47"/>
      <c r="C317" s="9" t="s">
        <v>11</v>
      </c>
      <c r="D317" s="8" t="str">
        <f t="shared" si="1"/>
        <v>-</v>
      </c>
      <c r="E317" s="9"/>
      <c r="F317" s="10"/>
      <c r="G317" s="9"/>
      <c r="H317" s="11"/>
      <c r="I317" s="9" t="s">
        <v>13</v>
      </c>
      <c r="J317" s="277"/>
    </row>
    <row r="318">
      <c r="A318" s="145" t="s">
        <v>2721</v>
      </c>
      <c r="B318" s="47"/>
      <c r="C318" s="9" t="s">
        <v>11</v>
      </c>
      <c r="D318" s="8" t="str">
        <f t="shared" si="1"/>
        <v>-</v>
      </c>
      <c r="E318" s="9"/>
      <c r="F318" s="10"/>
      <c r="G318" s="9"/>
      <c r="H318" s="11"/>
      <c r="I318" s="9" t="s">
        <v>13</v>
      </c>
      <c r="J318" s="277"/>
    </row>
    <row r="319">
      <c r="A319" s="145" t="s">
        <v>2721</v>
      </c>
      <c r="B319" s="47"/>
      <c r="C319" s="9" t="s">
        <v>11</v>
      </c>
      <c r="D319" s="8" t="str">
        <f t="shared" si="1"/>
        <v>-</v>
      </c>
      <c r="E319" s="9"/>
      <c r="F319" s="10"/>
      <c r="G319" s="9"/>
      <c r="H319" s="11"/>
      <c r="I319" s="9" t="s">
        <v>13</v>
      </c>
      <c r="J319" s="277"/>
    </row>
    <row r="320">
      <c r="A320" s="145" t="s">
        <v>2721</v>
      </c>
      <c r="B320" s="47"/>
      <c r="C320" s="9" t="s">
        <v>11</v>
      </c>
      <c r="D320" s="8" t="str">
        <f t="shared" si="1"/>
        <v>-</v>
      </c>
      <c r="E320" s="9"/>
      <c r="F320" s="10"/>
      <c r="G320" s="9"/>
      <c r="H320" s="11"/>
      <c r="I320" s="9" t="s">
        <v>13</v>
      </c>
      <c r="J320" s="277"/>
    </row>
    <row r="321">
      <c r="A321" s="145" t="s">
        <v>2721</v>
      </c>
      <c r="B321" s="47"/>
      <c r="C321" s="9" t="s">
        <v>11</v>
      </c>
      <c r="D321" s="8" t="str">
        <f t="shared" si="1"/>
        <v>-</v>
      </c>
      <c r="E321" s="9"/>
      <c r="F321" s="10"/>
      <c r="G321" s="9"/>
      <c r="H321" s="11"/>
      <c r="I321" s="9" t="s">
        <v>13</v>
      </c>
      <c r="J321" s="277"/>
    </row>
    <row r="322">
      <c r="A322" s="145" t="s">
        <v>2721</v>
      </c>
      <c r="B322" s="47"/>
      <c r="C322" s="9" t="s">
        <v>11</v>
      </c>
      <c r="D322" s="8" t="str">
        <f t="shared" si="1"/>
        <v>-</v>
      </c>
      <c r="E322" s="9"/>
      <c r="F322" s="10"/>
      <c r="G322" s="9"/>
      <c r="H322" s="11"/>
      <c r="I322" s="9" t="s">
        <v>13</v>
      </c>
      <c r="J322" s="277"/>
    </row>
    <row r="323">
      <c r="A323" s="145" t="s">
        <v>2721</v>
      </c>
      <c r="B323" s="47"/>
      <c r="C323" s="9" t="s">
        <v>11</v>
      </c>
      <c r="D323" s="8" t="str">
        <f t="shared" si="1"/>
        <v>-</v>
      </c>
      <c r="E323" s="9"/>
      <c r="F323" s="10"/>
      <c r="G323" s="9"/>
      <c r="H323" s="11"/>
      <c r="I323" s="9" t="s">
        <v>13</v>
      </c>
      <c r="J323" s="277"/>
    </row>
    <row r="324">
      <c r="A324" s="145" t="s">
        <v>2721</v>
      </c>
      <c r="B324" s="47"/>
      <c r="C324" s="9" t="s">
        <v>11</v>
      </c>
      <c r="D324" s="8" t="str">
        <f t="shared" si="1"/>
        <v>-</v>
      </c>
      <c r="E324" s="9"/>
      <c r="F324" s="10"/>
      <c r="G324" s="9"/>
      <c r="H324" s="11"/>
      <c r="I324" s="9" t="s">
        <v>13</v>
      </c>
      <c r="J324" s="277"/>
    </row>
    <row r="325">
      <c r="A325" s="145" t="s">
        <v>2721</v>
      </c>
      <c r="B325" s="47"/>
      <c r="C325" s="9" t="s">
        <v>11</v>
      </c>
      <c r="D325" s="8" t="str">
        <f t="shared" si="1"/>
        <v>-</v>
      </c>
      <c r="E325" s="9"/>
      <c r="F325" s="10"/>
      <c r="G325" s="9"/>
      <c r="H325" s="11"/>
      <c r="I325" s="9" t="s">
        <v>13</v>
      </c>
      <c r="J325" s="277"/>
    </row>
    <row r="326">
      <c r="A326" s="145" t="s">
        <v>2721</v>
      </c>
      <c r="B326" s="47"/>
      <c r="C326" s="9" t="s">
        <v>11</v>
      </c>
      <c r="D326" s="8" t="str">
        <f t="shared" si="1"/>
        <v>-</v>
      </c>
      <c r="E326" s="9"/>
      <c r="F326" s="10"/>
      <c r="G326" s="9"/>
      <c r="H326" s="11"/>
      <c r="I326" s="9" t="s">
        <v>13</v>
      </c>
      <c r="J326" s="277"/>
    </row>
    <row r="327">
      <c r="A327" s="145" t="s">
        <v>2721</v>
      </c>
      <c r="B327" s="47"/>
      <c r="C327" s="9" t="s">
        <v>11</v>
      </c>
      <c r="D327" s="8" t="str">
        <f t="shared" si="1"/>
        <v>-</v>
      </c>
      <c r="E327" s="9"/>
      <c r="F327" s="10"/>
      <c r="G327" s="9"/>
      <c r="H327" s="11"/>
      <c r="I327" s="9" t="s">
        <v>13</v>
      </c>
      <c r="J327" s="277"/>
    </row>
    <row r="328">
      <c r="A328" s="145" t="s">
        <v>2721</v>
      </c>
      <c r="B328" s="47"/>
      <c r="C328" s="9" t="s">
        <v>11</v>
      </c>
      <c r="D328" s="8" t="str">
        <f t="shared" si="1"/>
        <v>-</v>
      </c>
      <c r="E328" s="9"/>
      <c r="F328" s="10"/>
      <c r="G328" s="9"/>
      <c r="H328" s="11"/>
      <c r="I328" s="9" t="s">
        <v>13</v>
      </c>
      <c r="J328" s="277"/>
    </row>
    <row r="329">
      <c r="A329" s="145" t="s">
        <v>2721</v>
      </c>
      <c r="B329" s="47"/>
      <c r="C329" s="9" t="s">
        <v>11</v>
      </c>
      <c r="D329" s="8" t="str">
        <f t="shared" si="1"/>
        <v>-</v>
      </c>
      <c r="E329" s="9"/>
      <c r="F329" s="10"/>
      <c r="G329" s="9"/>
      <c r="H329" s="11"/>
      <c r="I329" s="9" t="s">
        <v>13</v>
      </c>
      <c r="J329" s="277"/>
    </row>
    <row r="330">
      <c r="A330" s="145" t="s">
        <v>2721</v>
      </c>
      <c r="B330" s="47"/>
      <c r="C330" s="9" t="s">
        <v>11</v>
      </c>
      <c r="D330" s="8" t="str">
        <f t="shared" si="1"/>
        <v>-</v>
      </c>
      <c r="E330" s="9"/>
      <c r="F330" s="10"/>
      <c r="G330" s="9"/>
      <c r="H330" s="11"/>
      <c r="I330" s="9" t="s">
        <v>13</v>
      </c>
      <c r="J330" s="277"/>
    </row>
    <row r="331">
      <c r="A331" s="145" t="s">
        <v>2721</v>
      </c>
      <c r="B331" s="47"/>
      <c r="C331" s="9" t="s">
        <v>11</v>
      </c>
      <c r="D331" s="8" t="str">
        <f t="shared" si="1"/>
        <v>-</v>
      </c>
      <c r="E331" s="9"/>
      <c r="F331" s="10"/>
      <c r="G331" s="9"/>
      <c r="H331" s="11"/>
      <c r="I331" s="9" t="s">
        <v>13</v>
      </c>
      <c r="J331" s="277"/>
    </row>
    <row r="332">
      <c r="A332" s="145" t="s">
        <v>2721</v>
      </c>
      <c r="B332" s="47"/>
      <c r="C332" s="9" t="s">
        <v>11</v>
      </c>
      <c r="D332" s="8" t="str">
        <f t="shared" si="1"/>
        <v>-</v>
      </c>
      <c r="E332" s="9"/>
      <c r="F332" s="10"/>
      <c r="G332" s="9"/>
      <c r="H332" s="11"/>
      <c r="I332" s="9" t="s">
        <v>13</v>
      </c>
      <c r="J332" s="277"/>
    </row>
    <row r="333">
      <c r="A333" s="145" t="s">
        <v>2721</v>
      </c>
      <c r="B333" s="47"/>
      <c r="C333" s="9" t="s">
        <v>11</v>
      </c>
      <c r="D333" s="8" t="str">
        <f t="shared" si="1"/>
        <v>-</v>
      </c>
      <c r="E333" s="9"/>
      <c r="F333" s="10"/>
      <c r="G333" s="9"/>
      <c r="H333" s="11"/>
      <c r="I333" s="9" t="s">
        <v>13</v>
      </c>
      <c r="J333" s="277"/>
    </row>
    <row r="334">
      <c r="A334" s="145" t="s">
        <v>2721</v>
      </c>
      <c r="B334" s="47"/>
      <c r="C334" s="9" t="s">
        <v>11</v>
      </c>
      <c r="D334" s="8" t="str">
        <f t="shared" si="1"/>
        <v>-</v>
      </c>
      <c r="E334" s="9"/>
      <c r="F334" s="10"/>
      <c r="G334" s="9"/>
      <c r="H334" s="11"/>
      <c r="I334" s="9" t="s">
        <v>13</v>
      </c>
      <c r="J334" s="277"/>
    </row>
    <row r="335">
      <c r="A335" s="145" t="s">
        <v>2721</v>
      </c>
      <c r="B335" s="47"/>
      <c r="C335" s="9" t="s">
        <v>11</v>
      </c>
      <c r="D335" s="8" t="str">
        <f t="shared" si="1"/>
        <v>-</v>
      </c>
      <c r="E335" s="9"/>
      <c r="F335" s="10"/>
      <c r="G335" s="9"/>
      <c r="H335" s="11"/>
      <c r="I335" s="9" t="s">
        <v>13</v>
      </c>
      <c r="J335" s="277"/>
    </row>
    <row r="336">
      <c r="A336" s="145" t="s">
        <v>2721</v>
      </c>
      <c r="B336" s="47"/>
      <c r="C336" s="9" t="s">
        <v>11</v>
      </c>
      <c r="D336" s="8" t="str">
        <f t="shared" si="1"/>
        <v>-</v>
      </c>
      <c r="E336" s="9"/>
      <c r="F336" s="10"/>
      <c r="G336" s="9"/>
      <c r="H336" s="11"/>
      <c r="I336" s="9" t="s">
        <v>13</v>
      </c>
      <c r="J336" s="277"/>
    </row>
    <row r="337">
      <c r="A337" s="145" t="s">
        <v>2721</v>
      </c>
      <c r="B337" s="47"/>
      <c r="C337" s="9" t="s">
        <v>11</v>
      </c>
      <c r="D337" s="8" t="str">
        <f t="shared" si="1"/>
        <v>-</v>
      </c>
      <c r="E337" s="9"/>
      <c r="F337" s="10"/>
      <c r="G337" s="9"/>
      <c r="H337" s="11"/>
      <c r="I337" s="9" t="s">
        <v>13</v>
      </c>
      <c r="J337" s="277"/>
    </row>
    <row r="338">
      <c r="A338" s="145" t="s">
        <v>2721</v>
      </c>
      <c r="B338" s="47"/>
      <c r="C338" s="9" t="s">
        <v>11</v>
      </c>
      <c r="D338" s="8" t="str">
        <f t="shared" si="1"/>
        <v>-</v>
      </c>
      <c r="E338" s="9"/>
      <c r="F338" s="10"/>
      <c r="G338" s="9"/>
      <c r="H338" s="11"/>
      <c r="I338" s="9" t="s">
        <v>13</v>
      </c>
      <c r="J338" s="277"/>
    </row>
    <row r="339">
      <c r="A339" s="145" t="s">
        <v>2721</v>
      </c>
      <c r="B339" s="47"/>
      <c r="C339" s="9" t="s">
        <v>11</v>
      </c>
      <c r="D339" s="8" t="str">
        <f t="shared" si="1"/>
        <v>-</v>
      </c>
      <c r="E339" s="9"/>
      <c r="F339" s="10"/>
      <c r="G339" s="9"/>
      <c r="H339" s="11"/>
      <c r="I339" s="9" t="s">
        <v>13</v>
      </c>
      <c r="J339" s="277"/>
    </row>
    <row r="340">
      <c r="A340" s="145" t="s">
        <v>2721</v>
      </c>
      <c r="B340" s="47"/>
      <c r="C340" s="9" t="s">
        <v>11</v>
      </c>
      <c r="D340" s="8" t="str">
        <f t="shared" si="1"/>
        <v>-</v>
      </c>
      <c r="E340" s="9"/>
      <c r="F340" s="10"/>
      <c r="G340" s="9"/>
      <c r="H340" s="11"/>
      <c r="I340" s="9" t="s">
        <v>13</v>
      </c>
      <c r="J340" s="277"/>
    </row>
    <row r="341">
      <c r="A341" s="145" t="s">
        <v>2721</v>
      </c>
      <c r="B341" s="47"/>
      <c r="C341" s="9" t="s">
        <v>11</v>
      </c>
      <c r="D341" s="8" t="str">
        <f t="shared" si="1"/>
        <v>-</v>
      </c>
      <c r="E341" s="9"/>
      <c r="F341" s="10"/>
      <c r="G341" s="9"/>
      <c r="H341" s="11"/>
      <c r="I341" s="9" t="s">
        <v>13</v>
      </c>
      <c r="J341" s="277"/>
    </row>
    <row r="342">
      <c r="A342" s="145" t="s">
        <v>2721</v>
      </c>
      <c r="B342" s="47"/>
      <c r="C342" s="9" t="s">
        <v>11</v>
      </c>
      <c r="D342" s="8" t="str">
        <f t="shared" si="1"/>
        <v>-</v>
      </c>
      <c r="E342" s="9"/>
      <c r="F342" s="10"/>
      <c r="G342" s="9"/>
      <c r="H342" s="11"/>
      <c r="I342" s="9" t="s">
        <v>13</v>
      </c>
      <c r="J342" s="277"/>
    </row>
    <row r="343">
      <c r="A343" s="145" t="s">
        <v>2721</v>
      </c>
      <c r="B343" s="47"/>
      <c r="C343" s="9" t="s">
        <v>11</v>
      </c>
      <c r="D343" s="8" t="str">
        <f t="shared" si="1"/>
        <v>-</v>
      </c>
      <c r="E343" s="9"/>
      <c r="F343" s="10"/>
      <c r="G343" s="9"/>
      <c r="H343" s="11"/>
      <c r="I343" s="9" t="s">
        <v>13</v>
      </c>
      <c r="J343" s="277"/>
    </row>
    <row r="344">
      <c r="A344" s="145" t="s">
        <v>2721</v>
      </c>
      <c r="B344" s="47"/>
      <c r="C344" s="9" t="s">
        <v>11</v>
      </c>
      <c r="D344" s="8" t="str">
        <f t="shared" si="1"/>
        <v>-</v>
      </c>
      <c r="E344" s="9"/>
      <c r="F344" s="10"/>
      <c r="G344" s="9"/>
      <c r="H344" s="11"/>
      <c r="I344" s="9" t="s">
        <v>13</v>
      </c>
      <c r="J344" s="277"/>
    </row>
    <row r="345">
      <c r="A345" s="145" t="s">
        <v>2721</v>
      </c>
      <c r="B345" s="47"/>
      <c r="C345" s="9" t="s">
        <v>11</v>
      </c>
      <c r="D345" s="8" t="str">
        <f t="shared" si="1"/>
        <v>-</v>
      </c>
      <c r="E345" s="9"/>
      <c r="F345" s="10"/>
      <c r="G345" s="9"/>
      <c r="H345" s="11"/>
      <c r="I345" s="9" t="s">
        <v>13</v>
      </c>
      <c r="J345" s="277"/>
    </row>
    <row r="346">
      <c r="A346" s="145" t="s">
        <v>2721</v>
      </c>
      <c r="B346" s="47"/>
      <c r="C346" s="9" t="s">
        <v>11</v>
      </c>
      <c r="D346" s="8" t="str">
        <f t="shared" si="1"/>
        <v>-</v>
      </c>
      <c r="E346" s="9"/>
      <c r="F346" s="10"/>
      <c r="G346" s="9"/>
      <c r="H346" s="11"/>
      <c r="I346" s="9" t="s">
        <v>13</v>
      </c>
      <c r="J346" s="277"/>
    </row>
    <row r="347">
      <c r="A347" s="145" t="s">
        <v>2721</v>
      </c>
      <c r="B347" s="47"/>
      <c r="C347" s="9" t="s">
        <v>11</v>
      </c>
      <c r="D347" s="8" t="str">
        <f t="shared" si="1"/>
        <v>-</v>
      </c>
      <c r="E347" s="9"/>
      <c r="F347" s="10"/>
      <c r="G347" s="9"/>
      <c r="H347" s="11"/>
      <c r="I347" s="9" t="s">
        <v>13</v>
      </c>
      <c r="J347" s="277"/>
    </row>
    <row r="348">
      <c r="A348" s="145" t="s">
        <v>2721</v>
      </c>
      <c r="B348" s="47"/>
      <c r="C348" s="9" t="s">
        <v>11</v>
      </c>
      <c r="D348" s="8" t="str">
        <f t="shared" si="1"/>
        <v>-</v>
      </c>
      <c r="E348" s="9"/>
      <c r="F348" s="10"/>
      <c r="G348" s="9"/>
      <c r="H348" s="11"/>
      <c r="I348" s="9" t="s">
        <v>13</v>
      </c>
      <c r="J348" s="277"/>
    </row>
    <row r="349">
      <c r="A349" s="145" t="s">
        <v>2721</v>
      </c>
      <c r="B349" s="47"/>
      <c r="C349" s="9" t="s">
        <v>11</v>
      </c>
      <c r="D349" s="8" t="str">
        <f t="shared" si="1"/>
        <v>-</v>
      </c>
      <c r="E349" s="9"/>
      <c r="F349" s="10"/>
      <c r="G349" s="9"/>
      <c r="H349" s="11"/>
      <c r="I349" s="9" t="s">
        <v>13</v>
      </c>
      <c r="J349" s="277"/>
    </row>
    <row r="350">
      <c r="A350" s="145" t="s">
        <v>2721</v>
      </c>
      <c r="B350" s="47"/>
      <c r="C350" s="9" t="s">
        <v>11</v>
      </c>
      <c r="D350" s="8" t="str">
        <f t="shared" si="1"/>
        <v>-</v>
      </c>
      <c r="E350" s="9"/>
      <c r="F350" s="10"/>
      <c r="G350" s="9"/>
      <c r="H350" s="11"/>
      <c r="I350" s="9" t="s">
        <v>13</v>
      </c>
      <c r="J350" s="277"/>
    </row>
    <row r="351">
      <c r="A351" s="145" t="s">
        <v>2721</v>
      </c>
      <c r="B351" s="47"/>
      <c r="C351" s="9" t="s">
        <v>11</v>
      </c>
      <c r="D351" s="8" t="str">
        <f t="shared" si="1"/>
        <v>-</v>
      </c>
      <c r="E351" s="9"/>
      <c r="F351" s="10"/>
      <c r="G351" s="9"/>
      <c r="H351" s="11"/>
      <c r="I351" s="9" t="s">
        <v>13</v>
      </c>
      <c r="J351" s="277"/>
    </row>
    <row r="352">
      <c r="A352" s="145" t="s">
        <v>2721</v>
      </c>
      <c r="B352" s="47"/>
      <c r="C352" s="9" t="s">
        <v>11</v>
      </c>
      <c r="D352" s="8" t="str">
        <f t="shared" si="1"/>
        <v>-</v>
      </c>
      <c r="E352" s="9"/>
      <c r="F352" s="10"/>
      <c r="G352" s="9"/>
      <c r="H352" s="11"/>
      <c r="I352" s="9" t="s">
        <v>13</v>
      </c>
      <c r="J352" s="277"/>
    </row>
    <row r="353">
      <c r="A353" s="145" t="s">
        <v>2721</v>
      </c>
      <c r="B353" s="47"/>
      <c r="C353" s="9" t="s">
        <v>11</v>
      </c>
      <c r="D353" s="8" t="str">
        <f t="shared" si="1"/>
        <v>-</v>
      </c>
      <c r="E353" s="9"/>
      <c r="F353" s="10"/>
      <c r="G353" s="9"/>
      <c r="H353" s="11"/>
      <c r="I353" s="9" t="s">
        <v>13</v>
      </c>
      <c r="J353" s="277"/>
    </row>
    <row r="354">
      <c r="A354" s="145" t="s">
        <v>2721</v>
      </c>
      <c r="B354" s="47"/>
      <c r="C354" s="9" t="s">
        <v>11</v>
      </c>
      <c r="D354" s="8" t="str">
        <f t="shared" si="1"/>
        <v>-</v>
      </c>
      <c r="E354" s="9"/>
      <c r="F354" s="10"/>
      <c r="G354" s="9"/>
      <c r="H354" s="11"/>
      <c r="I354" s="9" t="s">
        <v>13</v>
      </c>
      <c r="J354" s="277"/>
    </row>
    <row r="355">
      <c r="A355" s="145" t="s">
        <v>2721</v>
      </c>
      <c r="B355" s="47"/>
      <c r="C355" s="9" t="s">
        <v>11</v>
      </c>
      <c r="D355" s="8" t="str">
        <f t="shared" si="1"/>
        <v>-</v>
      </c>
      <c r="E355" s="9"/>
      <c r="F355" s="10"/>
      <c r="G355" s="9"/>
      <c r="H355" s="11"/>
      <c r="I355" s="9" t="s">
        <v>13</v>
      </c>
      <c r="J355" s="277"/>
    </row>
    <row r="356">
      <c r="A356" s="145" t="s">
        <v>2721</v>
      </c>
      <c r="B356" s="47"/>
      <c r="C356" s="9" t="s">
        <v>11</v>
      </c>
      <c r="D356" s="8" t="str">
        <f t="shared" si="1"/>
        <v>-</v>
      </c>
      <c r="E356" s="9"/>
      <c r="F356" s="10"/>
      <c r="G356" s="9"/>
      <c r="H356" s="11"/>
      <c r="I356" s="9" t="s">
        <v>13</v>
      </c>
      <c r="J356" s="277"/>
    </row>
    <row r="357">
      <c r="A357" s="145" t="s">
        <v>2721</v>
      </c>
      <c r="B357" s="47"/>
      <c r="C357" s="9" t="s">
        <v>11</v>
      </c>
      <c r="D357" s="8" t="str">
        <f t="shared" si="1"/>
        <v>-</v>
      </c>
      <c r="E357" s="9"/>
      <c r="F357" s="10"/>
      <c r="G357" s="9"/>
      <c r="H357" s="11"/>
      <c r="I357" s="9" t="s">
        <v>13</v>
      </c>
      <c r="J357" s="277"/>
    </row>
    <row r="358">
      <c r="A358" s="145" t="s">
        <v>2721</v>
      </c>
      <c r="B358" s="47"/>
      <c r="C358" s="9" t="s">
        <v>11</v>
      </c>
      <c r="D358" s="8" t="str">
        <f t="shared" si="1"/>
        <v>-</v>
      </c>
      <c r="E358" s="9"/>
      <c r="F358" s="10"/>
      <c r="G358" s="9"/>
      <c r="H358" s="11"/>
      <c r="I358" s="9" t="s">
        <v>13</v>
      </c>
      <c r="J358" s="277"/>
    </row>
    <row r="359">
      <c r="A359" s="145" t="s">
        <v>2721</v>
      </c>
      <c r="B359" s="47"/>
      <c r="C359" s="9" t="s">
        <v>11</v>
      </c>
      <c r="D359" s="8" t="str">
        <f t="shared" si="1"/>
        <v>-</v>
      </c>
      <c r="E359" s="9"/>
      <c r="F359" s="10"/>
      <c r="G359" s="9"/>
      <c r="H359" s="11"/>
      <c r="I359" s="9" t="s">
        <v>13</v>
      </c>
      <c r="J359" s="277"/>
    </row>
    <row r="360">
      <c r="A360" s="145" t="s">
        <v>2721</v>
      </c>
      <c r="B360" s="47"/>
      <c r="C360" s="9" t="s">
        <v>11</v>
      </c>
      <c r="D360" s="8" t="str">
        <f t="shared" si="1"/>
        <v>-</v>
      </c>
      <c r="E360" s="9"/>
      <c r="F360" s="10"/>
      <c r="G360" s="9"/>
      <c r="H360" s="11"/>
      <c r="I360" s="9" t="s">
        <v>13</v>
      </c>
      <c r="J360" s="277"/>
    </row>
    <row r="361">
      <c r="A361" s="145" t="s">
        <v>2721</v>
      </c>
      <c r="B361" s="47"/>
      <c r="C361" s="9" t="s">
        <v>11</v>
      </c>
      <c r="D361" s="8" t="str">
        <f t="shared" si="1"/>
        <v>-</v>
      </c>
      <c r="E361" s="9"/>
      <c r="F361" s="10"/>
      <c r="G361" s="9"/>
      <c r="H361" s="11"/>
      <c r="I361" s="9" t="s">
        <v>13</v>
      </c>
      <c r="J361" s="277"/>
    </row>
    <row r="362">
      <c r="A362" s="145" t="s">
        <v>2721</v>
      </c>
      <c r="B362" s="47"/>
      <c r="C362" s="9" t="s">
        <v>11</v>
      </c>
      <c r="D362" s="8" t="str">
        <f t="shared" si="1"/>
        <v>-</v>
      </c>
      <c r="E362" s="9"/>
      <c r="F362" s="10"/>
      <c r="G362" s="9"/>
      <c r="H362" s="11"/>
      <c r="I362" s="9" t="s">
        <v>13</v>
      </c>
      <c r="J362" s="277"/>
    </row>
    <row r="363">
      <c r="A363" s="145" t="s">
        <v>2721</v>
      </c>
      <c r="B363" s="47"/>
      <c r="C363" s="9" t="s">
        <v>11</v>
      </c>
      <c r="D363" s="8" t="str">
        <f t="shared" si="1"/>
        <v>-</v>
      </c>
      <c r="E363" s="9"/>
      <c r="F363" s="10"/>
      <c r="G363" s="9"/>
      <c r="H363" s="11"/>
      <c r="I363" s="9" t="s">
        <v>13</v>
      </c>
      <c r="J363" s="277"/>
    </row>
    <row r="364">
      <c r="A364" s="145" t="s">
        <v>2721</v>
      </c>
      <c r="B364" s="47"/>
      <c r="C364" s="9" t="s">
        <v>11</v>
      </c>
      <c r="D364" s="8" t="str">
        <f t="shared" si="1"/>
        <v>-</v>
      </c>
      <c r="E364" s="9"/>
      <c r="F364" s="10"/>
      <c r="G364" s="9"/>
      <c r="H364" s="11"/>
      <c r="I364" s="9" t="s">
        <v>13</v>
      </c>
      <c r="J364" s="277"/>
    </row>
    <row r="365">
      <c r="A365" s="145" t="s">
        <v>2721</v>
      </c>
      <c r="B365" s="47"/>
      <c r="C365" s="9" t="s">
        <v>11</v>
      </c>
      <c r="D365" s="8" t="str">
        <f t="shared" si="1"/>
        <v>-</v>
      </c>
      <c r="E365" s="9"/>
      <c r="F365" s="10"/>
      <c r="G365" s="9"/>
      <c r="H365" s="11"/>
      <c r="I365" s="9" t="s">
        <v>13</v>
      </c>
      <c r="J365" s="277"/>
    </row>
    <row r="366">
      <c r="A366" s="145" t="s">
        <v>2721</v>
      </c>
      <c r="B366" s="47"/>
      <c r="C366" s="9" t="s">
        <v>11</v>
      </c>
      <c r="D366" s="8" t="str">
        <f t="shared" si="1"/>
        <v>-</v>
      </c>
      <c r="E366" s="9"/>
      <c r="F366" s="10"/>
      <c r="G366" s="9"/>
      <c r="H366" s="11"/>
      <c r="I366" s="9" t="s">
        <v>13</v>
      </c>
      <c r="J366" s="277"/>
    </row>
    <row r="367">
      <c r="A367" s="145" t="s">
        <v>2721</v>
      </c>
      <c r="B367" s="47"/>
      <c r="C367" s="9" t="s">
        <v>11</v>
      </c>
      <c r="D367" s="8" t="str">
        <f t="shared" si="1"/>
        <v>-</v>
      </c>
      <c r="E367" s="9"/>
      <c r="F367" s="10"/>
      <c r="G367" s="9"/>
      <c r="H367" s="11"/>
      <c r="I367" s="9" t="s">
        <v>13</v>
      </c>
      <c r="J367" s="277"/>
    </row>
    <row r="368">
      <c r="A368" s="145" t="s">
        <v>2721</v>
      </c>
      <c r="B368" s="47"/>
      <c r="C368" s="9" t="s">
        <v>11</v>
      </c>
      <c r="D368" s="8" t="str">
        <f t="shared" si="1"/>
        <v>-</v>
      </c>
      <c r="E368" s="9"/>
      <c r="F368" s="10"/>
      <c r="G368" s="9"/>
      <c r="H368" s="11"/>
      <c r="I368" s="9" t="s">
        <v>13</v>
      </c>
      <c r="J368" s="277"/>
    </row>
    <row r="369">
      <c r="A369" s="145" t="s">
        <v>2721</v>
      </c>
      <c r="B369" s="47"/>
      <c r="C369" s="9" t="s">
        <v>11</v>
      </c>
      <c r="D369" s="8" t="str">
        <f t="shared" si="1"/>
        <v>-</v>
      </c>
      <c r="E369" s="9"/>
      <c r="F369" s="10"/>
      <c r="G369" s="9"/>
      <c r="H369" s="11"/>
      <c r="I369" s="9" t="s">
        <v>13</v>
      </c>
      <c r="J369" s="277"/>
    </row>
    <row r="370">
      <c r="A370" s="145" t="s">
        <v>2721</v>
      </c>
      <c r="B370" s="47"/>
      <c r="C370" s="9" t="s">
        <v>11</v>
      </c>
      <c r="D370" s="8" t="str">
        <f t="shared" si="1"/>
        <v>-</v>
      </c>
      <c r="E370" s="9"/>
      <c r="F370" s="10"/>
      <c r="G370" s="9"/>
      <c r="H370" s="11"/>
      <c r="I370" s="9" t="s">
        <v>13</v>
      </c>
      <c r="J370" s="277"/>
    </row>
    <row r="371">
      <c r="A371" s="145" t="s">
        <v>2721</v>
      </c>
      <c r="B371" s="47"/>
      <c r="C371" s="9" t="s">
        <v>11</v>
      </c>
      <c r="D371" s="8" t="str">
        <f t="shared" si="1"/>
        <v>-</v>
      </c>
      <c r="E371" s="9"/>
      <c r="F371" s="10"/>
      <c r="G371" s="9"/>
      <c r="H371" s="11"/>
      <c r="I371" s="9" t="s">
        <v>13</v>
      </c>
      <c r="J371" s="277"/>
    </row>
    <row r="372">
      <c r="A372" s="145" t="s">
        <v>2721</v>
      </c>
      <c r="B372" s="47"/>
      <c r="C372" s="9" t="s">
        <v>11</v>
      </c>
      <c r="D372" s="8" t="str">
        <f t="shared" si="1"/>
        <v>-</v>
      </c>
      <c r="E372" s="9"/>
      <c r="F372" s="10"/>
      <c r="G372" s="9"/>
      <c r="H372" s="11"/>
      <c r="I372" s="9" t="s">
        <v>13</v>
      </c>
      <c r="J372" s="277"/>
    </row>
    <row r="373">
      <c r="A373" s="145" t="s">
        <v>2721</v>
      </c>
      <c r="B373" s="47"/>
      <c r="C373" s="9" t="s">
        <v>11</v>
      </c>
      <c r="D373" s="8" t="str">
        <f t="shared" si="1"/>
        <v>-</v>
      </c>
      <c r="E373" s="9"/>
      <c r="F373" s="10"/>
      <c r="G373" s="9"/>
      <c r="H373" s="11"/>
      <c r="I373" s="9" t="s">
        <v>13</v>
      </c>
      <c r="J373" s="277"/>
    </row>
    <row r="374">
      <c r="A374" s="145" t="s">
        <v>2721</v>
      </c>
      <c r="B374" s="47"/>
      <c r="C374" s="9" t="s">
        <v>11</v>
      </c>
      <c r="D374" s="8" t="str">
        <f t="shared" si="1"/>
        <v>-</v>
      </c>
      <c r="E374" s="9"/>
      <c r="F374" s="10"/>
      <c r="G374" s="9"/>
      <c r="H374" s="11"/>
      <c r="I374" s="9" t="s">
        <v>13</v>
      </c>
      <c r="J374" s="277"/>
    </row>
    <row r="375">
      <c r="A375" s="145" t="s">
        <v>2721</v>
      </c>
      <c r="B375" s="47"/>
      <c r="C375" s="9" t="s">
        <v>11</v>
      </c>
      <c r="D375" s="8" t="str">
        <f t="shared" si="1"/>
        <v>-</v>
      </c>
      <c r="E375" s="9"/>
      <c r="F375" s="10"/>
      <c r="G375" s="9"/>
      <c r="H375" s="11"/>
      <c r="I375" s="9" t="s">
        <v>13</v>
      </c>
      <c r="J375" s="277"/>
    </row>
    <row r="376">
      <c r="A376" s="145" t="s">
        <v>2721</v>
      </c>
      <c r="B376" s="47"/>
      <c r="C376" s="9" t="s">
        <v>11</v>
      </c>
      <c r="D376" s="8" t="str">
        <f t="shared" si="1"/>
        <v>-</v>
      </c>
      <c r="E376" s="9"/>
      <c r="F376" s="10"/>
      <c r="G376" s="9"/>
      <c r="H376" s="11"/>
      <c r="I376" s="9" t="s">
        <v>13</v>
      </c>
      <c r="J376" s="277"/>
    </row>
    <row r="377">
      <c r="A377" s="145" t="s">
        <v>2721</v>
      </c>
      <c r="B377" s="47"/>
      <c r="C377" s="9" t="s">
        <v>11</v>
      </c>
      <c r="D377" s="8" t="str">
        <f t="shared" si="1"/>
        <v>-</v>
      </c>
      <c r="E377" s="9"/>
      <c r="F377" s="10"/>
      <c r="G377" s="9"/>
      <c r="H377" s="11"/>
      <c r="I377" s="9" t="s">
        <v>13</v>
      </c>
      <c r="J377" s="277"/>
    </row>
    <row r="378">
      <c r="A378" s="145" t="s">
        <v>2721</v>
      </c>
      <c r="B378" s="47"/>
      <c r="C378" s="9" t="s">
        <v>11</v>
      </c>
      <c r="D378" s="8" t="str">
        <f t="shared" si="1"/>
        <v>-</v>
      </c>
      <c r="E378" s="9"/>
      <c r="F378" s="10"/>
      <c r="G378" s="9"/>
      <c r="H378" s="11"/>
      <c r="I378" s="9" t="s">
        <v>13</v>
      </c>
      <c r="J378" s="277"/>
    </row>
    <row r="379">
      <c r="A379" s="145" t="s">
        <v>2721</v>
      </c>
      <c r="B379" s="47"/>
      <c r="C379" s="9" t="s">
        <v>11</v>
      </c>
      <c r="D379" s="8" t="str">
        <f t="shared" si="1"/>
        <v>-</v>
      </c>
      <c r="E379" s="9"/>
      <c r="F379" s="10"/>
      <c r="G379" s="9"/>
      <c r="H379" s="11"/>
      <c r="I379" s="9" t="s">
        <v>13</v>
      </c>
      <c r="J379" s="277"/>
    </row>
    <row r="380">
      <c r="A380" s="145" t="s">
        <v>2721</v>
      </c>
      <c r="B380" s="47"/>
      <c r="C380" s="9" t="s">
        <v>11</v>
      </c>
      <c r="D380" s="8" t="str">
        <f t="shared" si="1"/>
        <v>-</v>
      </c>
      <c r="E380" s="9"/>
      <c r="F380" s="10"/>
      <c r="G380" s="9"/>
      <c r="H380" s="11"/>
      <c r="I380" s="9" t="s">
        <v>13</v>
      </c>
      <c r="J380" s="277"/>
    </row>
    <row r="381">
      <c r="A381" s="145" t="s">
        <v>2721</v>
      </c>
      <c r="B381" s="47"/>
      <c r="C381" s="9" t="s">
        <v>11</v>
      </c>
      <c r="D381" s="8" t="str">
        <f t="shared" si="1"/>
        <v>-</v>
      </c>
      <c r="E381" s="9"/>
      <c r="F381" s="10"/>
      <c r="G381" s="9"/>
      <c r="H381" s="11"/>
      <c r="I381" s="9" t="s">
        <v>13</v>
      </c>
      <c r="J381" s="277"/>
    </row>
    <row r="382">
      <c r="A382" s="145" t="s">
        <v>2721</v>
      </c>
      <c r="B382" s="47"/>
      <c r="C382" s="9" t="s">
        <v>11</v>
      </c>
      <c r="D382" s="8" t="str">
        <f t="shared" si="1"/>
        <v>-</v>
      </c>
      <c r="E382" s="9"/>
      <c r="F382" s="10"/>
      <c r="G382" s="9"/>
      <c r="H382" s="11"/>
      <c r="I382" s="9" t="s">
        <v>13</v>
      </c>
      <c r="J382" s="277"/>
    </row>
    <row r="383">
      <c r="A383" s="145" t="s">
        <v>2721</v>
      </c>
      <c r="B383" s="47"/>
      <c r="C383" s="9" t="s">
        <v>11</v>
      </c>
      <c r="D383" s="8" t="str">
        <f t="shared" si="1"/>
        <v>-</v>
      </c>
      <c r="E383" s="9"/>
      <c r="F383" s="10"/>
      <c r="G383" s="9"/>
      <c r="H383" s="11"/>
      <c r="I383" s="9" t="s">
        <v>13</v>
      </c>
      <c r="J383" s="277"/>
    </row>
    <row r="384">
      <c r="A384" s="145" t="s">
        <v>2721</v>
      </c>
      <c r="B384" s="47"/>
      <c r="C384" s="9" t="s">
        <v>11</v>
      </c>
      <c r="D384" s="8" t="str">
        <f t="shared" si="1"/>
        <v>-</v>
      </c>
      <c r="E384" s="9"/>
      <c r="F384" s="10"/>
      <c r="G384" s="9"/>
      <c r="H384" s="11"/>
      <c r="I384" s="9" t="s">
        <v>13</v>
      </c>
      <c r="J384" s="277"/>
    </row>
    <row r="385">
      <c r="A385" s="145" t="s">
        <v>2721</v>
      </c>
      <c r="B385" s="47"/>
      <c r="C385" s="9" t="s">
        <v>11</v>
      </c>
      <c r="D385" s="8" t="str">
        <f t="shared" si="1"/>
        <v>-</v>
      </c>
      <c r="E385" s="9"/>
      <c r="F385" s="10"/>
      <c r="G385" s="9"/>
      <c r="H385" s="11"/>
      <c r="I385" s="9" t="s">
        <v>13</v>
      </c>
      <c r="J385" s="277"/>
    </row>
    <row r="386">
      <c r="A386" s="145" t="s">
        <v>2721</v>
      </c>
      <c r="B386" s="47"/>
      <c r="C386" s="9" t="s">
        <v>11</v>
      </c>
      <c r="D386" s="8" t="str">
        <f t="shared" si="1"/>
        <v>-</v>
      </c>
      <c r="E386" s="9"/>
      <c r="F386" s="10"/>
      <c r="G386" s="9"/>
      <c r="H386" s="11"/>
      <c r="I386" s="9" t="s">
        <v>13</v>
      </c>
      <c r="J386" s="277"/>
    </row>
    <row r="387">
      <c r="A387" s="145" t="s">
        <v>2721</v>
      </c>
      <c r="B387" s="47"/>
      <c r="C387" s="9" t="s">
        <v>11</v>
      </c>
      <c r="D387" s="8" t="str">
        <f t="shared" si="1"/>
        <v>-</v>
      </c>
      <c r="E387" s="9"/>
      <c r="F387" s="10"/>
      <c r="G387" s="9"/>
      <c r="H387" s="11"/>
      <c r="I387" s="9" t="s">
        <v>13</v>
      </c>
      <c r="J387" s="277"/>
    </row>
    <row r="388">
      <c r="A388" s="145" t="s">
        <v>2721</v>
      </c>
      <c r="B388" s="47"/>
      <c r="C388" s="9" t="s">
        <v>11</v>
      </c>
      <c r="D388" s="8" t="str">
        <f t="shared" si="1"/>
        <v>-</v>
      </c>
      <c r="E388" s="9"/>
      <c r="F388" s="10"/>
      <c r="G388" s="9"/>
      <c r="H388" s="11"/>
      <c r="I388" s="9" t="s">
        <v>13</v>
      </c>
      <c r="J388" s="277"/>
    </row>
    <row r="389">
      <c r="A389" s="145" t="s">
        <v>2721</v>
      </c>
      <c r="B389" s="47"/>
      <c r="C389" s="9" t="s">
        <v>11</v>
      </c>
      <c r="D389" s="8" t="str">
        <f t="shared" si="1"/>
        <v>-</v>
      </c>
      <c r="E389" s="9"/>
      <c r="F389" s="10"/>
      <c r="G389" s="9"/>
      <c r="H389" s="11"/>
      <c r="I389" s="9" t="s">
        <v>13</v>
      </c>
      <c r="J389" s="277"/>
    </row>
    <row r="390">
      <c r="A390" s="145" t="s">
        <v>2721</v>
      </c>
      <c r="B390" s="47"/>
      <c r="C390" s="9" t="s">
        <v>11</v>
      </c>
      <c r="D390" s="8" t="str">
        <f t="shared" si="1"/>
        <v>-</v>
      </c>
      <c r="E390" s="9"/>
      <c r="F390" s="10"/>
      <c r="G390" s="9"/>
      <c r="H390" s="11"/>
      <c r="I390" s="9" t="s">
        <v>13</v>
      </c>
      <c r="J390" s="277"/>
    </row>
    <row r="391">
      <c r="A391" s="145" t="s">
        <v>2721</v>
      </c>
      <c r="B391" s="47"/>
      <c r="C391" s="9" t="s">
        <v>11</v>
      </c>
      <c r="D391" s="8" t="str">
        <f t="shared" si="1"/>
        <v>-</v>
      </c>
      <c r="E391" s="9"/>
      <c r="F391" s="10"/>
      <c r="G391" s="9"/>
      <c r="H391" s="11"/>
      <c r="I391" s="9" t="s">
        <v>13</v>
      </c>
      <c r="J391" s="277"/>
    </row>
    <row r="392">
      <c r="A392" s="145" t="s">
        <v>2721</v>
      </c>
      <c r="B392" s="47"/>
      <c r="C392" s="9" t="s">
        <v>11</v>
      </c>
      <c r="D392" s="8" t="str">
        <f t="shared" si="1"/>
        <v>-</v>
      </c>
      <c r="E392" s="9"/>
      <c r="F392" s="10"/>
      <c r="G392" s="9"/>
      <c r="H392" s="11"/>
      <c r="I392" s="9" t="s">
        <v>13</v>
      </c>
      <c r="J392" s="277"/>
    </row>
    <row r="393">
      <c r="A393" s="145" t="s">
        <v>2721</v>
      </c>
      <c r="B393" s="47"/>
      <c r="C393" s="9" t="s">
        <v>11</v>
      </c>
      <c r="D393" s="8" t="str">
        <f t="shared" si="1"/>
        <v>-</v>
      </c>
      <c r="E393" s="9"/>
      <c r="F393" s="10"/>
      <c r="G393" s="9"/>
      <c r="H393" s="11"/>
      <c r="I393" s="9" t="s">
        <v>13</v>
      </c>
      <c r="J393" s="277"/>
    </row>
    <row r="394">
      <c r="A394" s="145" t="s">
        <v>2721</v>
      </c>
      <c r="B394" s="47"/>
      <c r="C394" s="9" t="s">
        <v>11</v>
      </c>
      <c r="D394" s="8" t="str">
        <f t="shared" si="1"/>
        <v>-</v>
      </c>
      <c r="E394" s="9"/>
      <c r="F394" s="10"/>
      <c r="G394" s="9"/>
      <c r="H394" s="11"/>
      <c r="I394" s="9" t="s">
        <v>13</v>
      </c>
      <c r="J394" s="277"/>
    </row>
    <row r="395">
      <c r="A395" s="145" t="s">
        <v>2721</v>
      </c>
      <c r="B395" s="47"/>
      <c r="C395" s="9" t="s">
        <v>11</v>
      </c>
      <c r="D395" s="8" t="str">
        <f t="shared" si="1"/>
        <v>-</v>
      </c>
      <c r="E395" s="9"/>
      <c r="F395" s="10"/>
      <c r="G395" s="9"/>
      <c r="H395" s="11"/>
      <c r="I395" s="9" t="s">
        <v>13</v>
      </c>
      <c r="J395" s="277"/>
    </row>
    <row r="396">
      <c r="A396" s="145" t="s">
        <v>2721</v>
      </c>
      <c r="B396" s="47"/>
      <c r="C396" s="9" t="s">
        <v>11</v>
      </c>
      <c r="D396" s="8" t="str">
        <f t="shared" si="1"/>
        <v>-</v>
      </c>
      <c r="E396" s="9"/>
      <c r="F396" s="10"/>
      <c r="G396" s="9"/>
      <c r="H396" s="11"/>
      <c r="I396" s="9" t="s">
        <v>13</v>
      </c>
      <c r="J396" s="277"/>
    </row>
    <row r="397">
      <c r="A397" s="145" t="s">
        <v>2721</v>
      </c>
      <c r="B397" s="47"/>
      <c r="C397" s="9" t="s">
        <v>11</v>
      </c>
      <c r="D397" s="8" t="str">
        <f t="shared" si="1"/>
        <v>-</v>
      </c>
      <c r="E397" s="9"/>
      <c r="F397" s="10"/>
      <c r="G397" s="9"/>
      <c r="H397" s="11"/>
      <c r="I397" s="9" t="s">
        <v>13</v>
      </c>
      <c r="J397" s="277"/>
    </row>
    <row r="398">
      <c r="A398" s="145" t="s">
        <v>2721</v>
      </c>
      <c r="B398" s="47"/>
      <c r="C398" s="9" t="s">
        <v>11</v>
      </c>
      <c r="D398" s="8" t="str">
        <f t="shared" si="1"/>
        <v>-</v>
      </c>
      <c r="E398" s="9"/>
      <c r="F398" s="10"/>
      <c r="G398" s="9"/>
      <c r="H398" s="11"/>
      <c r="I398" s="9" t="s">
        <v>13</v>
      </c>
      <c r="J398" s="277"/>
    </row>
    <row r="399">
      <c r="A399" s="145" t="s">
        <v>2721</v>
      </c>
      <c r="B399" s="47"/>
      <c r="C399" s="9" t="s">
        <v>11</v>
      </c>
      <c r="D399" s="8" t="str">
        <f t="shared" si="1"/>
        <v>-</v>
      </c>
      <c r="E399" s="9"/>
      <c r="F399" s="10"/>
      <c r="G399" s="9"/>
      <c r="H399" s="11"/>
      <c r="I399" s="9" t="s">
        <v>13</v>
      </c>
      <c r="J399" s="277"/>
    </row>
    <row r="400">
      <c r="A400" s="145" t="s">
        <v>2721</v>
      </c>
      <c r="B400" s="47"/>
      <c r="C400" s="9" t="s">
        <v>11</v>
      </c>
      <c r="D400" s="8" t="str">
        <f t="shared" si="1"/>
        <v>-</v>
      </c>
      <c r="E400" s="9"/>
      <c r="F400" s="10"/>
      <c r="G400" s="9"/>
      <c r="H400" s="11"/>
      <c r="I400" s="9" t="s">
        <v>13</v>
      </c>
      <c r="J400" s="277"/>
    </row>
    <row r="401">
      <c r="A401" s="145" t="s">
        <v>2721</v>
      </c>
      <c r="B401" s="47"/>
      <c r="C401" s="9" t="s">
        <v>11</v>
      </c>
      <c r="D401" s="8" t="str">
        <f t="shared" si="1"/>
        <v>-</v>
      </c>
      <c r="E401" s="9"/>
      <c r="F401" s="10"/>
      <c r="G401" s="9"/>
      <c r="H401" s="11"/>
      <c r="I401" s="9" t="s">
        <v>13</v>
      </c>
      <c r="J401" s="277"/>
    </row>
    <row r="402">
      <c r="A402" s="145" t="s">
        <v>2721</v>
      </c>
      <c r="B402" s="47"/>
      <c r="C402" s="9" t="s">
        <v>11</v>
      </c>
      <c r="D402" s="8" t="str">
        <f t="shared" si="1"/>
        <v>-</v>
      </c>
      <c r="E402" s="9"/>
      <c r="F402" s="10"/>
      <c r="G402" s="9"/>
      <c r="H402" s="11"/>
      <c r="I402" s="9" t="s">
        <v>13</v>
      </c>
      <c r="J402" s="277"/>
    </row>
    <row r="403">
      <c r="A403" s="145" t="s">
        <v>2721</v>
      </c>
      <c r="B403" s="47"/>
      <c r="C403" s="9" t="s">
        <v>11</v>
      </c>
      <c r="D403" s="8" t="str">
        <f t="shared" si="1"/>
        <v>-</v>
      </c>
      <c r="E403" s="9"/>
      <c r="F403" s="10"/>
      <c r="G403" s="9"/>
      <c r="H403" s="11"/>
      <c r="I403" s="9" t="s">
        <v>13</v>
      </c>
      <c r="J403" s="277"/>
    </row>
    <row r="404">
      <c r="A404" s="145" t="s">
        <v>2721</v>
      </c>
      <c r="B404" s="47"/>
      <c r="C404" s="9" t="s">
        <v>11</v>
      </c>
      <c r="D404" s="8" t="str">
        <f t="shared" si="1"/>
        <v>-</v>
      </c>
      <c r="E404" s="9"/>
      <c r="F404" s="10"/>
      <c r="G404" s="9"/>
      <c r="H404" s="11"/>
      <c r="I404" s="9" t="s">
        <v>13</v>
      </c>
      <c r="J404" s="277"/>
    </row>
    <row r="405">
      <c r="A405" s="145" t="s">
        <v>2721</v>
      </c>
      <c r="B405" s="47"/>
      <c r="C405" s="9" t="s">
        <v>11</v>
      </c>
      <c r="D405" s="8" t="str">
        <f t="shared" si="1"/>
        <v>-</v>
      </c>
      <c r="E405" s="9"/>
      <c r="F405" s="10"/>
      <c r="G405" s="9"/>
      <c r="H405" s="11"/>
      <c r="I405" s="9" t="s">
        <v>13</v>
      </c>
      <c r="J405" s="277"/>
    </row>
    <row r="406">
      <c r="A406" s="145" t="s">
        <v>2721</v>
      </c>
      <c r="B406" s="47"/>
      <c r="C406" s="9" t="s">
        <v>11</v>
      </c>
      <c r="D406" s="8" t="str">
        <f t="shared" si="1"/>
        <v>-</v>
      </c>
      <c r="E406" s="9"/>
      <c r="F406" s="10"/>
      <c r="G406" s="9"/>
      <c r="H406" s="11"/>
      <c r="I406" s="9" t="s">
        <v>13</v>
      </c>
      <c r="J406" s="277"/>
    </row>
    <row r="407">
      <c r="A407" s="145" t="s">
        <v>2721</v>
      </c>
      <c r="B407" s="47"/>
      <c r="C407" s="9" t="s">
        <v>11</v>
      </c>
      <c r="D407" s="8" t="str">
        <f t="shared" si="1"/>
        <v>-</v>
      </c>
      <c r="E407" s="9"/>
      <c r="F407" s="10"/>
      <c r="G407" s="9"/>
      <c r="H407" s="11"/>
      <c r="I407" s="9" t="s">
        <v>13</v>
      </c>
      <c r="J407" s="277"/>
    </row>
    <row r="408">
      <c r="A408" s="145" t="s">
        <v>2721</v>
      </c>
      <c r="B408" s="47"/>
      <c r="C408" s="9" t="s">
        <v>11</v>
      </c>
      <c r="D408" s="8" t="str">
        <f t="shared" si="1"/>
        <v>-</v>
      </c>
      <c r="E408" s="9"/>
      <c r="F408" s="10"/>
      <c r="G408" s="9"/>
      <c r="H408" s="11"/>
      <c r="I408" s="9" t="s">
        <v>13</v>
      </c>
      <c r="J408" s="277"/>
    </row>
    <row r="409">
      <c r="A409" s="145" t="s">
        <v>2721</v>
      </c>
      <c r="B409" s="47"/>
      <c r="C409" s="9" t="s">
        <v>11</v>
      </c>
      <c r="D409" s="8" t="str">
        <f t="shared" si="1"/>
        <v>-</v>
      </c>
      <c r="E409" s="9"/>
      <c r="F409" s="10"/>
      <c r="G409" s="9"/>
      <c r="H409" s="11"/>
      <c r="I409" s="9" t="s">
        <v>13</v>
      </c>
      <c r="J409" s="277"/>
    </row>
    <row r="410">
      <c r="A410" s="145" t="s">
        <v>2721</v>
      </c>
      <c r="B410" s="47"/>
      <c r="C410" s="9" t="s">
        <v>11</v>
      </c>
      <c r="D410" s="8" t="str">
        <f t="shared" si="1"/>
        <v>-</v>
      </c>
      <c r="E410" s="9"/>
      <c r="F410" s="10"/>
      <c r="G410" s="9"/>
      <c r="H410" s="11"/>
      <c r="I410" s="9" t="s">
        <v>13</v>
      </c>
      <c r="J410" s="277"/>
    </row>
    <row r="411">
      <c r="A411" s="145" t="s">
        <v>2721</v>
      </c>
      <c r="B411" s="47"/>
      <c r="C411" s="9" t="s">
        <v>11</v>
      </c>
      <c r="D411" s="8" t="str">
        <f t="shared" si="1"/>
        <v>-</v>
      </c>
      <c r="E411" s="9"/>
      <c r="F411" s="10"/>
      <c r="G411" s="9"/>
      <c r="H411" s="11"/>
      <c r="I411" s="9" t="s">
        <v>13</v>
      </c>
      <c r="J411" s="277"/>
    </row>
    <row r="412">
      <c r="A412" s="145" t="s">
        <v>2721</v>
      </c>
      <c r="B412" s="47"/>
      <c r="C412" s="9" t="s">
        <v>11</v>
      </c>
      <c r="D412" s="8" t="str">
        <f t="shared" si="1"/>
        <v>-</v>
      </c>
      <c r="E412" s="9"/>
      <c r="F412" s="10"/>
      <c r="G412" s="9"/>
      <c r="H412" s="11"/>
      <c r="I412" s="9" t="s">
        <v>13</v>
      </c>
      <c r="J412" s="277"/>
    </row>
    <row r="413">
      <c r="A413" s="145" t="s">
        <v>2721</v>
      </c>
      <c r="B413" s="47"/>
      <c r="C413" s="9" t="s">
        <v>11</v>
      </c>
      <c r="D413" s="8" t="str">
        <f t="shared" si="1"/>
        <v>-</v>
      </c>
      <c r="E413" s="9"/>
      <c r="F413" s="10"/>
      <c r="G413" s="9"/>
      <c r="H413" s="11"/>
      <c r="I413" s="9" t="s">
        <v>13</v>
      </c>
      <c r="J413" s="277"/>
    </row>
    <row r="414">
      <c r="A414" s="145" t="s">
        <v>2721</v>
      </c>
      <c r="B414" s="47"/>
      <c r="C414" s="9" t="s">
        <v>11</v>
      </c>
      <c r="D414" s="8" t="str">
        <f t="shared" si="1"/>
        <v>-</v>
      </c>
      <c r="E414" s="9"/>
      <c r="F414" s="10"/>
      <c r="G414" s="9"/>
      <c r="H414" s="11"/>
      <c r="I414" s="9" t="s">
        <v>13</v>
      </c>
      <c r="J414" s="277"/>
    </row>
    <row r="415">
      <c r="A415" s="145" t="s">
        <v>2721</v>
      </c>
      <c r="B415" s="47"/>
      <c r="C415" s="9" t="s">
        <v>11</v>
      </c>
      <c r="D415" s="8" t="str">
        <f t="shared" si="1"/>
        <v>-</v>
      </c>
      <c r="E415" s="9"/>
      <c r="F415" s="10"/>
      <c r="G415" s="9"/>
      <c r="H415" s="11"/>
      <c r="I415" s="9" t="s">
        <v>13</v>
      </c>
      <c r="J415" s="277"/>
    </row>
    <row r="416">
      <c r="A416" s="145" t="s">
        <v>2721</v>
      </c>
      <c r="B416" s="47"/>
      <c r="C416" s="9" t="s">
        <v>11</v>
      </c>
      <c r="D416" s="8" t="str">
        <f t="shared" si="1"/>
        <v>-</v>
      </c>
      <c r="E416" s="9"/>
      <c r="F416" s="10"/>
      <c r="G416" s="9"/>
      <c r="H416" s="11"/>
      <c r="I416" s="9" t="s">
        <v>13</v>
      </c>
      <c r="J416" s="277"/>
    </row>
    <row r="417">
      <c r="A417" s="145" t="s">
        <v>2721</v>
      </c>
      <c r="B417" s="47"/>
      <c r="C417" s="9" t="s">
        <v>11</v>
      </c>
      <c r="D417" s="8" t="str">
        <f t="shared" si="1"/>
        <v>-</v>
      </c>
      <c r="E417" s="9"/>
      <c r="F417" s="10"/>
      <c r="G417" s="9"/>
      <c r="H417" s="11"/>
      <c r="I417" s="9" t="s">
        <v>13</v>
      </c>
      <c r="J417" s="277"/>
    </row>
    <row r="418">
      <c r="A418" s="145" t="s">
        <v>2721</v>
      </c>
      <c r="B418" s="47"/>
      <c r="C418" s="9" t="s">
        <v>11</v>
      </c>
      <c r="D418" s="8" t="str">
        <f t="shared" si="1"/>
        <v>-</v>
      </c>
      <c r="E418" s="9"/>
      <c r="F418" s="10"/>
      <c r="G418" s="9"/>
      <c r="H418" s="11"/>
      <c r="I418" s="9" t="s">
        <v>13</v>
      </c>
      <c r="J418" s="277"/>
    </row>
    <row r="419">
      <c r="A419" s="145" t="s">
        <v>2721</v>
      </c>
      <c r="B419" s="47"/>
      <c r="C419" s="9" t="s">
        <v>11</v>
      </c>
      <c r="D419" s="8" t="str">
        <f t="shared" si="1"/>
        <v>-</v>
      </c>
      <c r="E419" s="9"/>
      <c r="F419" s="10"/>
      <c r="G419" s="9"/>
      <c r="H419" s="11"/>
      <c r="I419" s="9" t="s">
        <v>13</v>
      </c>
      <c r="J419" s="277"/>
    </row>
    <row r="420">
      <c r="A420" s="145" t="s">
        <v>2721</v>
      </c>
      <c r="B420" s="47"/>
      <c r="C420" s="9" t="s">
        <v>11</v>
      </c>
      <c r="D420" s="8" t="str">
        <f t="shared" si="1"/>
        <v>-</v>
      </c>
      <c r="E420" s="9"/>
      <c r="F420" s="10"/>
      <c r="G420" s="9"/>
      <c r="H420" s="11"/>
      <c r="I420" s="9" t="s">
        <v>13</v>
      </c>
      <c r="J420" s="277"/>
    </row>
    <row r="421">
      <c r="A421" s="145" t="s">
        <v>2721</v>
      </c>
      <c r="B421" s="47"/>
      <c r="C421" s="9" t="s">
        <v>11</v>
      </c>
      <c r="D421" s="8" t="str">
        <f t="shared" si="1"/>
        <v>-</v>
      </c>
      <c r="E421" s="9"/>
      <c r="F421" s="10"/>
      <c r="G421" s="9"/>
      <c r="H421" s="11"/>
      <c r="I421" s="9" t="s">
        <v>13</v>
      </c>
      <c r="J421" s="277"/>
    </row>
    <row r="422">
      <c r="A422" s="145" t="s">
        <v>2721</v>
      </c>
      <c r="B422" s="47"/>
      <c r="C422" s="9" t="s">
        <v>11</v>
      </c>
      <c r="D422" s="8" t="str">
        <f t="shared" si="1"/>
        <v>-</v>
      </c>
      <c r="E422" s="9"/>
      <c r="F422" s="10"/>
      <c r="G422" s="9"/>
      <c r="H422" s="11"/>
      <c r="I422" s="9" t="s">
        <v>13</v>
      </c>
      <c r="J422" s="277"/>
    </row>
    <row r="423">
      <c r="A423" s="145" t="s">
        <v>2721</v>
      </c>
      <c r="B423" s="47"/>
      <c r="C423" s="9" t="s">
        <v>11</v>
      </c>
      <c r="D423" s="8" t="str">
        <f t="shared" si="1"/>
        <v>-</v>
      </c>
      <c r="E423" s="9"/>
      <c r="F423" s="10"/>
      <c r="G423" s="9"/>
      <c r="H423" s="11"/>
      <c r="I423" s="9" t="s">
        <v>13</v>
      </c>
      <c r="J423" s="277"/>
    </row>
    <row r="424">
      <c r="A424" s="145" t="s">
        <v>2721</v>
      </c>
      <c r="B424" s="47"/>
      <c r="C424" s="9" t="s">
        <v>11</v>
      </c>
      <c r="D424" s="8" t="str">
        <f t="shared" si="1"/>
        <v>-</v>
      </c>
      <c r="E424" s="9"/>
      <c r="F424" s="10"/>
      <c r="G424" s="9"/>
      <c r="H424" s="11"/>
      <c r="I424" s="9" t="s">
        <v>13</v>
      </c>
      <c r="J424" s="277"/>
    </row>
    <row r="425">
      <c r="A425" s="145" t="s">
        <v>2721</v>
      </c>
      <c r="B425" s="47"/>
      <c r="C425" s="9" t="s">
        <v>11</v>
      </c>
      <c r="D425" s="8" t="str">
        <f t="shared" si="1"/>
        <v>-</v>
      </c>
      <c r="E425" s="9"/>
      <c r="F425" s="10"/>
      <c r="G425" s="9"/>
      <c r="H425" s="11"/>
      <c r="I425" s="9" t="s">
        <v>13</v>
      </c>
      <c r="J425" s="277"/>
    </row>
    <row r="426">
      <c r="A426" s="145" t="s">
        <v>2721</v>
      </c>
      <c r="B426" s="47"/>
      <c r="C426" s="9" t="s">
        <v>11</v>
      </c>
      <c r="D426" s="8" t="str">
        <f t="shared" si="1"/>
        <v>-</v>
      </c>
      <c r="E426" s="9"/>
      <c r="F426" s="10"/>
      <c r="G426" s="9"/>
      <c r="H426" s="11"/>
      <c r="I426" s="9" t="s">
        <v>13</v>
      </c>
      <c r="J426" s="277"/>
    </row>
    <row r="427">
      <c r="A427" s="145" t="s">
        <v>2721</v>
      </c>
      <c r="B427" s="47"/>
      <c r="C427" s="9" t="s">
        <v>11</v>
      </c>
      <c r="D427" s="8" t="str">
        <f t="shared" si="1"/>
        <v>-</v>
      </c>
      <c r="E427" s="9"/>
      <c r="F427" s="10"/>
      <c r="G427" s="9"/>
      <c r="H427" s="11"/>
      <c r="I427" s="9" t="s">
        <v>13</v>
      </c>
      <c r="J427" s="277"/>
    </row>
    <row r="428">
      <c r="A428" s="145" t="s">
        <v>2721</v>
      </c>
      <c r="B428" s="47"/>
      <c r="C428" s="9" t="s">
        <v>11</v>
      </c>
      <c r="D428" s="8" t="str">
        <f t="shared" si="1"/>
        <v>-</v>
      </c>
      <c r="E428" s="9"/>
      <c r="F428" s="10"/>
      <c r="G428" s="9"/>
      <c r="H428" s="11"/>
      <c r="I428" s="9" t="s">
        <v>13</v>
      </c>
      <c r="J428" s="277"/>
    </row>
    <row r="429">
      <c r="A429" s="145" t="s">
        <v>2721</v>
      </c>
      <c r="B429" s="47"/>
      <c r="C429" s="9" t="s">
        <v>11</v>
      </c>
      <c r="D429" s="8" t="str">
        <f t="shared" si="1"/>
        <v>-</v>
      </c>
      <c r="E429" s="9"/>
      <c r="F429" s="10"/>
      <c r="G429" s="9"/>
      <c r="H429" s="11"/>
      <c r="I429" s="9" t="s">
        <v>13</v>
      </c>
      <c r="J429" s="277"/>
    </row>
    <row r="430">
      <c r="A430" s="145" t="s">
        <v>2721</v>
      </c>
      <c r="B430" s="47"/>
      <c r="C430" s="9" t="s">
        <v>11</v>
      </c>
      <c r="D430" s="8" t="str">
        <f t="shared" si="1"/>
        <v>-</v>
      </c>
      <c r="E430" s="9"/>
      <c r="F430" s="10"/>
      <c r="G430" s="9"/>
      <c r="H430" s="11"/>
      <c r="I430" s="9" t="s">
        <v>13</v>
      </c>
      <c r="J430" s="277"/>
    </row>
    <row r="431">
      <c r="A431" s="145" t="s">
        <v>2721</v>
      </c>
      <c r="B431" s="47"/>
      <c r="C431" s="9" t="s">
        <v>11</v>
      </c>
      <c r="D431" s="8" t="str">
        <f t="shared" si="1"/>
        <v>-</v>
      </c>
      <c r="E431" s="9"/>
      <c r="F431" s="10"/>
      <c r="G431" s="9"/>
      <c r="H431" s="11"/>
      <c r="I431" s="9" t="s">
        <v>13</v>
      </c>
      <c r="J431" s="277"/>
    </row>
    <row r="432">
      <c r="A432" s="145" t="s">
        <v>2721</v>
      </c>
      <c r="B432" s="47"/>
      <c r="C432" s="9" t="s">
        <v>11</v>
      </c>
      <c r="D432" s="8" t="str">
        <f t="shared" si="1"/>
        <v>-</v>
      </c>
      <c r="E432" s="9"/>
      <c r="F432" s="10"/>
      <c r="G432" s="9"/>
      <c r="H432" s="11"/>
      <c r="I432" s="9" t="s">
        <v>13</v>
      </c>
      <c r="J432" s="277"/>
    </row>
    <row r="433">
      <c r="A433" s="145" t="s">
        <v>2721</v>
      </c>
      <c r="B433" s="47"/>
      <c r="C433" s="9" t="s">
        <v>11</v>
      </c>
      <c r="D433" s="8" t="str">
        <f t="shared" si="1"/>
        <v>-</v>
      </c>
      <c r="E433" s="9"/>
      <c r="F433" s="10"/>
      <c r="G433" s="9"/>
      <c r="H433" s="11"/>
      <c r="I433" s="9" t="s">
        <v>13</v>
      </c>
      <c r="J433" s="277"/>
    </row>
    <row r="434">
      <c r="A434" s="145" t="s">
        <v>2721</v>
      </c>
      <c r="B434" s="47"/>
      <c r="C434" s="9" t="s">
        <v>11</v>
      </c>
      <c r="D434" s="8" t="str">
        <f t="shared" si="1"/>
        <v>-</v>
      </c>
      <c r="E434" s="9"/>
      <c r="F434" s="10"/>
      <c r="G434" s="9"/>
      <c r="H434" s="11"/>
      <c r="I434" s="9" t="s">
        <v>13</v>
      </c>
      <c r="J434" s="277"/>
    </row>
    <row r="435">
      <c r="A435" s="145" t="s">
        <v>2721</v>
      </c>
      <c r="B435" s="47"/>
      <c r="C435" s="9" t="s">
        <v>11</v>
      </c>
      <c r="D435" s="8" t="str">
        <f t="shared" si="1"/>
        <v>-</v>
      </c>
      <c r="E435" s="9"/>
      <c r="F435" s="10"/>
      <c r="G435" s="9"/>
      <c r="H435" s="11"/>
      <c r="I435" s="9" t="s">
        <v>13</v>
      </c>
      <c r="J435" s="277"/>
    </row>
    <row r="436">
      <c r="A436" s="145" t="s">
        <v>2721</v>
      </c>
      <c r="B436" s="47"/>
      <c r="C436" s="9" t="s">
        <v>11</v>
      </c>
      <c r="D436" s="8" t="str">
        <f t="shared" si="1"/>
        <v>-</v>
      </c>
      <c r="E436" s="9"/>
      <c r="F436" s="10"/>
      <c r="G436" s="9"/>
      <c r="H436" s="11"/>
      <c r="I436" s="9" t="s">
        <v>13</v>
      </c>
      <c r="J436" s="277"/>
    </row>
    <row r="437">
      <c r="A437" s="145" t="s">
        <v>2721</v>
      </c>
      <c r="B437" s="47"/>
      <c r="C437" s="9" t="s">
        <v>11</v>
      </c>
      <c r="D437" s="8" t="str">
        <f t="shared" si="1"/>
        <v>-</v>
      </c>
      <c r="E437" s="9"/>
      <c r="F437" s="10"/>
      <c r="G437" s="9"/>
      <c r="H437" s="11"/>
      <c r="I437" s="9" t="s">
        <v>13</v>
      </c>
      <c r="J437" s="277"/>
    </row>
    <row r="438">
      <c r="A438" s="145" t="s">
        <v>2721</v>
      </c>
      <c r="B438" s="47"/>
      <c r="C438" s="9" t="s">
        <v>11</v>
      </c>
      <c r="D438" s="8" t="str">
        <f t="shared" si="1"/>
        <v>-</v>
      </c>
      <c r="E438" s="9"/>
      <c r="F438" s="10"/>
      <c r="G438" s="9"/>
      <c r="H438" s="11"/>
      <c r="I438" s="9" t="s">
        <v>13</v>
      </c>
      <c r="J438" s="277"/>
    </row>
    <row r="439">
      <c r="A439" s="145" t="s">
        <v>2721</v>
      </c>
      <c r="B439" s="47"/>
      <c r="C439" s="9" t="s">
        <v>11</v>
      </c>
      <c r="D439" s="8" t="str">
        <f t="shared" si="1"/>
        <v>-</v>
      </c>
      <c r="E439" s="9"/>
      <c r="F439" s="10"/>
      <c r="G439" s="9"/>
      <c r="H439" s="11"/>
      <c r="I439" s="9" t="s">
        <v>13</v>
      </c>
      <c r="J439" s="277"/>
    </row>
    <row r="440">
      <c r="A440" s="145" t="s">
        <v>2721</v>
      </c>
      <c r="B440" s="47"/>
      <c r="C440" s="9" t="s">
        <v>11</v>
      </c>
      <c r="D440" s="8" t="str">
        <f t="shared" si="1"/>
        <v>-</v>
      </c>
      <c r="E440" s="9"/>
      <c r="F440" s="10"/>
      <c r="G440" s="9"/>
      <c r="H440" s="11"/>
      <c r="I440" s="9" t="s">
        <v>13</v>
      </c>
      <c r="J440" s="277"/>
    </row>
    <row r="441">
      <c r="A441" s="145" t="s">
        <v>2721</v>
      </c>
      <c r="B441" s="47"/>
      <c r="C441" s="9" t="s">
        <v>11</v>
      </c>
      <c r="D441" s="8" t="str">
        <f t="shared" si="1"/>
        <v>-</v>
      </c>
      <c r="E441" s="9"/>
      <c r="F441" s="10"/>
      <c r="G441" s="9"/>
      <c r="H441" s="11"/>
      <c r="I441" s="9" t="s">
        <v>13</v>
      </c>
      <c r="J441" s="277"/>
    </row>
    <row r="442">
      <c r="A442" s="145" t="s">
        <v>2721</v>
      </c>
      <c r="B442" s="47"/>
      <c r="C442" s="9" t="s">
        <v>11</v>
      </c>
      <c r="D442" s="8" t="str">
        <f t="shared" si="1"/>
        <v>-</v>
      </c>
      <c r="E442" s="9"/>
      <c r="F442" s="10"/>
      <c r="G442" s="9"/>
      <c r="H442" s="11"/>
      <c r="I442" s="9" t="s">
        <v>13</v>
      </c>
      <c r="J442" s="277"/>
    </row>
    <row r="443">
      <c r="A443" s="145" t="s">
        <v>2721</v>
      </c>
      <c r="B443" s="47"/>
      <c r="C443" s="9" t="s">
        <v>11</v>
      </c>
      <c r="D443" s="8" t="str">
        <f t="shared" si="1"/>
        <v>-</v>
      </c>
      <c r="E443" s="9"/>
      <c r="F443" s="10"/>
      <c r="G443" s="9"/>
      <c r="H443" s="11"/>
      <c r="I443" s="9" t="s">
        <v>13</v>
      </c>
      <c r="J443" s="277"/>
    </row>
    <row r="444">
      <c r="A444" s="145" t="s">
        <v>2721</v>
      </c>
      <c r="B444" s="47"/>
      <c r="C444" s="9" t="s">
        <v>11</v>
      </c>
      <c r="D444" s="8" t="str">
        <f t="shared" si="1"/>
        <v>-</v>
      </c>
      <c r="E444" s="9"/>
      <c r="F444" s="10"/>
      <c r="G444" s="9"/>
      <c r="H444" s="11"/>
      <c r="I444" s="9" t="s">
        <v>13</v>
      </c>
      <c r="J444" s="277"/>
    </row>
    <row r="445">
      <c r="A445" s="145" t="s">
        <v>2721</v>
      </c>
      <c r="B445" s="47"/>
      <c r="C445" s="9" t="s">
        <v>11</v>
      </c>
      <c r="D445" s="8" t="str">
        <f t="shared" si="1"/>
        <v>-</v>
      </c>
      <c r="E445" s="9"/>
      <c r="F445" s="10"/>
      <c r="G445" s="9"/>
      <c r="H445" s="11"/>
      <c r="I445" s="9" t="s">
        <v>13</v>
      </c>
      <c r="J445" s="277"/>
    </row>
    <row r="446">
      <c r="A446" s="145" t="s">
        <v>2721</v>
      </c>
      <c r="B446" s="47"/>
      <c r="C446" s="9" t="s">
        <v>11</v>
      </c>
      <c r="D446" s="8" t="str">
        <f t="shared" si="1"/>
        <v>-</v>
      </c>
      <c r="E446" s="9"/>
      <c r="F446" s="10"/>
      <c r="G446" s="9"/>
      <c r="H446" s="11"/>
      <c r="I446" s="9" t="s">
        <v>13</v>
      </c>
      <c r="J446" s="277"/>
    </row>
    <row r="447">
      <c r="A447" s="145" t="s">
        <v>2721</v>
      </c>
      <c r="B447" s="47"/>
      <c r="C447" s="9" t="s">
        <v>11</v>
      </c>
      <c r="D447" s="8" t="str">
        <f t="shared" si="1"/>
        <v>-</v>
      </c>
      <c r="E447" s="9"/>
      <c r="F447" s="10"/>
      <c r="G447" s="9"/>
      <c r="H447" s="11"/>
      <c r="I447" s="9" t="s">
        <v>13</v>
      </c>
      <c r="J447" s="277"/>
    </row>
    <row r="448">
      <c r="A448" s="145" t="s">
        <v>2721</v>
      </c>
      <c r="B448" s="47"/>
      <c r="C448" s="9" t="s">
        <v>11</v>
      </c>
      <c r="D448" s="8" t="str">
        <f t="shared" si="1"/>
        <v>-</v>
      </c>
      <c r="E448" s="9"/>
      <c r="F448" s="10"/>
      <c r="G448" s="9"/>
      <c r="H448" s="11"/>
      <c r="I448" s="9" t="s">
        <v>13</v>
      </c>
      <c r="J448" s="277"/>
    </row>
    <row r="449">
      <c r="A449" s="145" t="s">
        <v>2721</v>
      </c>
      <c r="B449" s="47"/>
      <c r="C449" s="9" t="s">
        <v>11</v>
      </c>
      <c r="D449" s="8" t="str">
        <f t="shared" si="1"/>
        <v>-</v>
      </c>
      <c r="E449" s="9"/>
      <c r="F449" s="10"/>
      <c r="G449" s="9"/>
      <c r="H449" s="11"/>
      <c r="I449" s="9" t="s">
        <v>13</v>
      </c>
      <c r="J449" s="277"/>
    </row>
    <row r="450">
      <c r="A450" s="145" t="s">
        <v>2721</v>
      </c>
      <c r="B450" s="47"/>
      <c r="C450" s="9" t="s">
        <v>11</v>
      </c>
      <c r="D450" s="8" t="str">
        <f t="shared" si="1"/>
        <v>-</v>
      </c>
      <c r="E450" s="9"/>
      <c r="F450" s="10"/>
      <c r="G450" s="9"/>
      <c r="H450" s="11"/>
      <c r="I450" s="9" t="s">
        <v>13</v>
      </c>
      <c r="J450" s="277"/>
    </row>
    <row r="451">
      <c r="A451" s="145" t="s">
        <v>2721</v>
      </c>
      <c r="B451" s="47"/>
      <c r="C451" s="9" t="s">
        <v>11</v>
      </c>
      <c r="D451" s="8" t="str">
        <f t="shared" si="1"/>
        <v>-</v>
      </c>
      <c r="E451" s="9"/>
      <c r="F451" s="10"/>
      <c r="G451" s="9"/>
      <c r="H451" s="11"/>
      <c r="I451" s="9" t="s">
        <v>13</v>
      </c>
      <c r="J451" s="277"/>
    </row>
    <row r="452">
      <c r="A452" s="145" t="s">
        <v>2721</v>
      </c>
      <c r="B452" s="47"/>
      <c r="C452" s="9" t="s">
        <v>11</v>
      </c>
      <c r="D452" s="8" t="str">
        <f t="shared" si="1"/>
        <v>-</v>
      </c>
      <c r="E452" s="9"/>
      <c r="F452" s="10"/>
      <c r="G452" s="9"/>
      <c r="H452" s="11"/>
      <c r="I452" s="9" t="s">
        <v>13</v>
      </c>
      <c r="J452" s="277"/>
    </row>
    <row r="453">
      <c r="A453" s="145" t="s">
        <v>2721</v>
      </c>
      <c r="B453" s="47"/>
      <c r="C453" s="9" t="s">
        <v>11</v>
      </c>
      <c r="D453" s="8" t="str">
        <f t="shared" si="1"/>
        <v>-</v>
      </c>
      <c r="E453" s="9"/>
      <c r="F453" s="10"/>
      <c r="G453" s="9"/>
      <c r="H453" s="11"/>
      <c r="I453" s="9" t="s">
        <v>13</v>
      </c>
      <c r="J453" s="277"/>
    </row>
    <row r="454">
      <c r="A454" s="145" t="s">
        <v>2721</v>
      </c>
      <c r="B454" s="47"/>
      <c r="C454" s="9" t="s">
        <v>11</v>
      </c>
      <c r="D454" s="8" t="str">
        <f t="shared" si="1"/>
        <v>-</v>
      </c>
      <c r="E454" s="9"/>
      <c r="F454" s="10"/>
      <c r="G454" s="9"/>
      <c r="H454" s="11"/>
      <c r="I454" s="9" t="s">
        <v>13</v>
      </c>
      <c r="J454" s="277"/>
    </row>
    <row r="455">
      <c r="A455" s="145" t="s">
        <v>2721</v>
      </c>
      <c r="B455" s="47"/>
      <c r="C455" s="9" t="s">
        <v>11</v>
      </c>
      <c r="D455" s="8" t="str">
        <f t="shared" si="1"/>
        <v>-</v>
      </c>
      <c r="E455" s="9"/>
      <c r="F455" s="10"/>
      <c r="G455" s="9"/>
      <c r="H455" s="11"/>
      <c r="I455" s="9" t="s">
        <v>13</v>
      </c>
      <c r="J455" s="277"/>
    </row>
    <row r="456">
      <c r="A456" s="145" t="s">
        <v>2721</v>
      </c>
      <c r="B456" s="47"/>
      <c r="C456" s="9" t="s">
        <v>11</v>
      </c>
      <c r="D456" s="8" t="str">
        <f t="shared" si="1"/>
        <v>-</v>
      </c>
      <c r="E456" s="9"/>
      <c r="F456" s="10"/>
      <c r="G456" s="9"/>
      <c r="H456" s="11"/>
      <c r="I456" s="9" t="s">
        <v>13</v>
      </c>
      <c r="J456" s="277"/>
    </row>
    <row r="457">
      <c r="A457" s="145" t="s">
        <v>2721</v>
      </c>
      <c r="B457" s="47"/>
      <c r="C457" s="9" t="s">
        <v>11</v>
      </c>
      <c r="D457" s="8" t="str">
        <f t="shared" si="1"/>
        <v>-</v>
      </c>
      <c r="E457" s="9"/>
      <c r="F457" s="10"/>
      <c r="G457" s="9"/>
      <c r="H457" s="11"/>
      <c r="I457" s="9" t="s">
        <v>13</v>
      </c>
      <c r="J457" s="277"/>
    </row>
    <row r="458">
      <c r="A458" s="145" t="s">
        <v>2721</v>
      </c>
      <c r="B458" s="47"/>
      <c r="C458" s="9" t="s">
        <v>11</v>
      </c>
      <c r="D458" s="8" t="str">
        <f t="shared" si="1"/>
        <v>-</v>
      </c>
      <c r="E458" s="9"/>
      <c r="F458" s="10"/>
      <c r="G458" s="9"/>
      <c r="H458" s="11"/>
      <c r="I458" s="9" t="s">
        <v>13</v>
      </c>
      <c r="J458" s="277"/>
    </row>
    <row r="459">
      <c r="A459" s="145" t="s">
        <v>2721</v>
      </c>
      <c r="B459" s="47"/>
      <c r="C459" s="9" t="s">
        <v>11</v>
      </c>
      <c r="D459" s="8" t="str">
        <f t="shared" si="1"/>
        <v>-</v>
      </c>
      <c r="E459" s="9"/>
      <c r="F459" s="10"/>
      <c r="G459" s="9"/>
      <c r="H459" s="11"/>
      <c r="I459" s="9" t="s">
        <v>13</v>
      </c>
      <c r="J459" s="277"/>
    </row>
    <row r="460">
      <c r="A460" s="145" t="s">
        <v>2721</v>
      </c>
      <c r="B460" s="47"/>
      <c r="C460" s="9" t="s">
        <v>11</v>
      </c>
      <c r="D460" s="8" t="str">
        <f t="shared" si="1"/>
        <v>-</v>
      </c>
      <c r="E460" s="9"/>
      <c r="F460" s="10"/>
      <c r="G460" s="9"/>
      <c r="H460" s="11"/>
      <c r="I460" s="9" t="s">
        <v>13</v>
      </c>
      <c r="J460" s="277"/>
    </row>
    <row r="461">
      <c r="A461" s="145" t="s">
        <v>2721</v>
      </c>
      <c r="B461" s="47"/>
      <c r="C461" s="9" t="s">
        <v>11</v>
      </c>
      <c r="D461" s="8" t="str">
        <f t="shared" si="1"/>
        <v>-</v>
      </c>
      <c r="E461" s="9"/>
      <c r="F461" s="10"/>
      <c r="G461" s="9"/>
      <c r="H461" s="11"/>
      <c r="I461" s="9" t="s">
        <v>13</v>
      </c>
      <c r="J461" s="277"/>
    </row>
    <row r="462">
      <c r="A462" s="145" t="s">
        <v>2721</v>
      </c>
      <c r="B462" s="47"/>
      <c r="C462" s="9" t="s">
        <v>11</v>
      </c>
      <c r="D462" s="8" t="str">
        <f t="shared" si="1"/>
        <v>-</v>
      </c>
      <c r="E462" s="9"/>
      <c r="F462" s="10"/>
      <c r="G462" s="9"/>
      <c r="H462" s="11"/>
      <c r="I462" s="9" t="s">
        <v>13</v>
      </c>
      <c r="J462" s="277"/>
    </row>
    <row r="463">
      <c r="A463" s="145" t="s">
        <v>2721</v>
      </c>
      <c r="B463" s="47"/>
      <c r="C463" s="9" t="s">
        <v>11</v>
      </c>
      <c r="D463" s="8" t="str">
        <f t="shared" si="1"/>
        <v>-</v>
      </c>
      <c r="E463" s="9"/>
      <c r="F463" s="10"/>
      <c r="G463" s="9"/>
      <c r="H463" s="11"/>
      <c r="I463" s="9" t="s">
        <v>13</v>
      </c>
      <c r="J463" s="277"/>
    </row>
    <row r="464">
      <c r="A464" s="145" t="s">
        <v>2721</v>
      </c>
      <c r="B464" s="47"/>
      <c r="C464" s="9" t="s">
        <v>11</v>
      </c>
      <c r="D464" s="8" t="str">
        <f t="shared" si="1"/>
        <v>-</v>
      </c>
      <c r="E464" s="9"/>
      <c r="F464" s="10"/>
      <c r="G464" s="9"/>
      <c r="H464" s="11"/>
      <c r="I464" s="9" t="s">
        <v>13</v>
      </c>
      <c r="J464" s="277"/>
    </row>
    <row r="465">
      <c r="A465" s="145" t="s">
        <v>2721</v>
      </c>
      <c r="B465" s="47"/>
      <c r="C465" s="9" t="s">
        <v>11</v>
      </c>
      <c r="D465" s="8" t="str">
        <f t="shared" si="1"/>
        <v>-</v>
      </c>
      <c r="E465" s="9"/>
      <c r="F465" s="10"/>
      <c r="G465" s="9"/>
      <c r="H465" s="11"/>
      <c r="I465" s="9" t="s">
        <v>13</v>
      </c>
      <c r="J465" s="277"/>
    </row>
    <row r="466">
      <c r="A466" s="145" t="s">
        <v>2721</v>
      </c>
      <c r="B466" s="47"/>
      <c r="C466" s="9" t="s">
        <v>11</v>
      </c>
      <c r="D466" s="8" t="str">
        <f t="shared" si="1"/>
        <v>-</v>
      </c>
      <c r="E466" s="9"/>
      <c r="F466" s="10"/>
      <c r="G466" s="9"/>
      <c r="H466" s="11"/>
      <c r="I466" s="9" t="s">
        <v>13</v>
      </c>
      <c r="J466" s="277"/>
    </row>
    <row r="467">
      <c r="A467" s="145" t="s">
        <v>2721</v>
      </c>
      <c r="B467" s="47"/>
      <c r="C467" s="9" t="s">
        <v>11</v>
      </c>
      <c r="D467" s="8" t="str">
        <f t="shared" si="1"/>
        <v>-</v>
      </c>
      <c r="E467" s="9"/>
      <c r="F467" s="10"/>
      <c r="G467" s="9"/>
      <c r="H467" s="11"/>
      <c r="I467" s="9" t="s">
        <v>13</v>
      </c>
      <c r="J467" s="277"/>
    </row>
    <row r="468">
      <c r="A468" s="145" t="s">
        <v>2721</v>
      </c>
      <c r="B468" s="47"/>
      <c r="C468" s="9" t="s">
        <v>11</v>
      </c>
      <c r="D468" s="8" t="str">
        <f t="shared" si="1"/>
        <v>-</v>
      </c>
      <c r="E468" s="9"/>
      <c r="F468" s="10"/>
      <c r="G468" s="9"/>
      <c r="H468" s="11"/>
      <c r="I468" s="9" t="s">
        <v>13</v>
      </c>
      <c r="J468" s="277"/>
    </row>
    <row r="469">
      <c r="A469" s="145" t="s">
        <v>2721</v>
      </c>
      <c r="B469" s="47"/>
      <c r="C469" s="9" t="s">
        <v>11</v>
      </c>
      <c r="D469" s="8" t="str">
        <f t="shared" si="1"/>
        <v>-</v>
      </c>
      <c r="E469" s="9"/>
      <c r="F469" s="10"/>
      <c r="G469" s="9"/>
      <c r="H469" s="11"/>
      <c r="I469" s="9" t="s">
        <v>13</v>
      </c>
      <c r="J469" s="277"/>
    </row>
    <row r="470">
      <c r="A470" s="145" t="s">
        <v>2721</v>
      </c>
      <c r="B470" s="47"/>
      <c r="C470" s="9" t="s">
        <v>11</v>
      </c>
      <c r="D470" s="8" t="str">
        <f t="shared" si="1"/>
        <v>-</v>
      </c>
      <c r="E470" s="9"/>
      <c r="F470" s="10"/>
      <c r="G470" s="9"/>
      <c r="H470" s="11"/>
      <c r="I470" s="9" t="s">
        <v>13</v>
      </c>
      <c r="J470" s="277"/>
    </row>
    <row r="471">
      <c r="A471" s="145" t="s">
        <v>2721</v>
      </c>
      <c r="B471" s="47"/>
      <c r="C471" s="9" t="s">
        <v>11</v>
      </c>
      <c r="D471" s="8" t="str">
        <f t="shared" si="1"/>
        <v>-</v>
      </c>
      <c r="E471" s="9"/>
      <c r="F471" s="10"/>
      <c r="G471" s="9"/>
      <c r="H471" s="11"/>
      <c r="I471" s="9" t="s">
        <v>13</v>
      </c>
      <c r="J471" s="277"/>
    </row>
    <row r="472">
      <c r="A472" s="145" t="s">
        <v>2721</v>
      </c>
      <c r="B472" s="47"/>
      <c r="C472" s="9" t="s">
        <v>11</v>
      </c>
      <c r="D472" s="8" t="str">
        <f t="shared" si="1"/>
        <v>-</v>
      </c>
      <c r="E472" s="9"/>
      <c r="F472" s="10"/>
      <c r="G472" s="9"/>
      <c r="H472" s="11"/>
      <c r="I472" s="9" t="s">
        <v>13</v>
      </c>
      <c r="J472" s="277"/>
    </row>
    <row r="473">
      <c r="A473" s="145" t="s">
        <v>2721</v>
      </c>
      <c r="B473" s="47"/>
      <c r="C473" s="9" t="s">
        <v>11</v>
      </c>
      <c r="D473" s="8" t="str">
        <f t="shared" si="1"/>
        <v>-</v>
      </c>
      <c r="E473" s="9"/>
      <c r="F473" s="10"/>
      <c r="G473" s="9"/>
      <c r="H473" s="11"/>
      <c r="I473" s="9" t="s">
        <v>13</v>
      </c>
      <c r="J473" s="277"/>
    </row>
    <row r="474">
      <c r="A474" s="145" t="s">
        <v>2721</v>
      </c>
      <c r="B474" s="47"/>
      <c r="C474" s="9" t="s">
        <v>11</v>
      </c>
      <c r="D474" s="8" t="str">
        <f t="shared" si="1"/>
        <v>-</v>
      </c>
      <c r="E474" s="9"/>
      <c r="F474" s="10"/>
      <c r="G474" s="9"/>
      <c r="H474" s="11"/>
      <c r="I474" s="9" t="s">
        <v>13</v>
      </c>
      <c r="J474" s="277"/>
    </row>
    <row r="475">
      <c r="A475" s="145" t="s">
        <v>2721</v>
      </c>
      <c r="B475" s="47"/>
      <c r="C475" s="9" t="s">
        <v>11</v>
      </c>
      <c r="D475" s="8" t="str">
        <f t="shared" si="1"/>
        <v>-</v>
      </c>
      <c r="E475" s="9"/>
      <c r="F475" s="10"/>
      <c r="G475" s="9"/>
      <c r="H475" s="11"/>
      <c r="I475" s="9" t="s">
        <v>13</v>
      </c>
      <c r="J475" s="277"/>
    </row>
    <row r="476">
      <c r="A476" s="145" t="s">
        <v>2721</v>
      </c>
      <c r="B476" s="47"/>
      <c r="C476" s="9" t="s">
        <v>11</v>
      </c>
      <c r="D476" s="8" t="str">
        <f t="shared" si="1"/>
        <v>-</v>
      </c>
      <c r="E476" s="9"/>
      <c r="F476" s="10"/>
      <c r="G476" s="9"/>
      <c r="H476" s="11"/>
      <c r="I476" s="9" t="s">
        <v>13</v>
      </c>
      <c r="J476" s="277"/>
    </row>
    <row r="477">
      <c r="A477" s="145" t="s">
        <v>2721</v>
      </c>
      <c r="B477" s="47"/>
      <c r="C477" s="9" t="s">
        <v>11</v>
      </c>
      <c r="D477" s="8" t="str">
        <f t="shared" si="1"/>
        <v>-</v>
      </c>
      <c r="E477" s="9"/>
      <c r="F477" s="10"/>
      <c r="G477" s="9"/>
      <c r="H477" s="11"/>
      <c r="I477" s="9" t="s">
        <v>13</v>
      </c>
      <c r="J477" s="277"/>
    </row>
    <row r="478">
      <c r="A478" s="145" t="s">
        <v>2721</v>
      </c>
      <c r="B478" s="47"/>
      <c r="C478" s="9" t="s">
        <v>11</v>
      </c>
      <c r="D478" s="8" t="str">
        <f t="shared" si="1"/>
        <v>-</v>
      </c>
      <c r="E478" s="9"/>
      <c r="F478" s="10"/>
      <c r="G478" s="9"/>
      <c r="H478" s="11"/>
      <c r="I478" s="9" t="s">
        <v>13</v>
      </c>
      <c r="J478" s="277"/>
    </row>
    <row r="479">
      <c r="A479" s="145" t="s">
        <v>2721</v>
      </c>
      <c r="B479" s="47"/>
      <c r="C479" s="9" t="s">
        <v>11</v>
      </c>
      <c r="D479" s="8" t="str">
        <f t="shared" si="1"/>
        <v>-</v>
      </c>
      <c r="E479" s="9"/>
      <c r="F479" s="10"/>
      <c r="G479" s="9"/>
      <c r="H479" s="11"/>
      <c r="I479" s="9" t="s">
        <v>13</v>
      </c>
      <c r="J479" s="277"/>
    </row>
    <row r="480">
      <c r="A480" s="145" t="s">
        <v>2721</v>
      </c>
      <c r="B480" s="47"/>
      <c r="C480" s="9" t="s">
        <v>11</v>
      </c>
      <c r="D480" s="8" t="str">
        <f t="shared" si="1"/>
        <v>-</v>
      </c>
      <c r="E480" s="9"/>
      <c r="F480" s="10"/>
      <c r="G480" s="9"/>
      <c r="H480" s="11"/>
      <c r="I480" s="9" t="s">
        <v>13</v>
      </c>
      <c r="J480" s="277"/>
    </row>
    <row r="481">
      <c r="A481" s="145" t="s">
        <v>2721</v>
      </c>
      <c r="B481" s="47"/>
      <c r="C481" s="9" t="s">
        <v>11</v>
      </c>
      <c r="D481" s="8" t="str">
        <f t="shared" si="1"/>
        <v>-</v>
      </c>
      <c r="E481" s="9"/>
      <c r="F481" s="10"/>
      <c r="G481" s="9"/>
      <c r="H481" s="11"/>
      <c r="I481" s="9" t="s">
        <v>13</v>
      </c>
      <c r="J481" s="277"/>
    </row>
    <row r="482">
      <c r="A482" s="145" t="s">
        <v>2721</v>
      </c>
      <c r="B482" s="47"/>
      <c r="C482" s="9" t="s">
        <v>11</v>
      </c>
      <c r="D482" s="8" t="str">
        <f t="shared" si="1"/>
        <v>-</v>
      </c>
      <c r="E482" s="9"/>
      <c r="F482" s="10"/>
      <c r="G482" s="9"/>
      <c r="H482" s="11"/>
      <c r="I482" s="9" t="s">
        <v>13</v>
      </c>
      <c r="J482" s="277"/>
    </row>
    <row r="483">
      <c r="A483" s="145" t="s">
        <v>2721</v>
      </c>
      <c r="B483" s="47"/>
      <c r="C483" s="9" t="s">
        <v>11</v>
      </c>
      <c r="D483" s="8" t="str">
        <f t="shared" si="1"/>
        <v>-</v>
      </c>
      <c r="E483" s="9"/>
      <c r="F483" s="10"/>
      <c r="G483" s="9"/>
      <c r="H483" s="11"/>
      <c r="I483" s="9" t="s">
        <v>13</v>
      </c>
      <c r="J483" s="277"/>
    </row>
    <row r="484">
      <c r="A484" s="145" t="s">
        <v>2721</v>
      </c>
      <c r="B484" s="47"/>
      <c r="C484" s="9" t="s">
        <v>11</v>
      </c>
      <c r="D484" s="8" t="str">
        <f t="shared" si="1"/>
        <v>-</v>
      </c>
      <c r="E484" s="9"/>
      <c r="F484" s="10"/>
      <c r="G484" s="9"/>
      <c r="H484" s="11"/>
      <c r="I484" s="9" t="s">
        <v>13</v>
      </c>
      <c r="J484" s="277"/>
    </row>
    <row r="485">
      <c r="A485" s="145" t="s">
        <v>2721</v>
      </c>
      <c r="B485" s="47"/>
      <c r="C485" s="9" t="s">
        <v>11</v>
      </c>
      <c r="D485" s="8" t="str">
        <f t="shared" si="1"/>
        <v>-</v>
      </c>
      <c r="E485" s="9"/>
      <c r="F485" s="10"/>
      <c r="G485" s="9"/>
      <c r="H485" s="11"/>
      <c r="I485" s="9" t="s">
        <v>13</v>
      </c>
      <c r="J485" s="277"/>
    </row>
    <row r="486">
      <c r="A486" s="145" t="s">
        <v>2721</v>
      </c>
      <c r="B486" s="47"/>
      <c r="C486" s="9" t="s">
        <v>11</v>
      </c>
      <c r="D486" s="8" t="str">
        <f t="shared" si="1"/>
        <v>-</v>
      </c>
      <c r="E486" s="9"/>
      <c r="F486" s="10"/>
      <c r="G486" s="9"/>
      <c r="H486" s="11"/>
      <c r="I486" s="9" t="s">
        <v>13</v>
      </c>
      <c r="J486" s="277"/>
    </row>
    <row r="487">
      <c r="A487" s="145" t="s">
        <v>2721</v>
      </c>
      <c r="B487" s="47"/>
      <c r="C487" s="9" t="s">
        <v>11</v>
      </c>
      <c r="D487" s="8" t="str">
        <f t="shared" si="1"/>
        <v>-</v>
      </c>
      <c r="E487" s="9"/>
      <c r="F487" s="10"/>
      <c r="G487" s="9"/>
      <c r="H487" s="11"/>
      <c r="I487" s="9" t="s">
        <v>13</v>
      </c>
      <c r="J487" s="277"/>
    </row>
    <row r="488">
      <c r="A488" s="145" t="s">
        <v>2721</v>
      </c>
      <c r="B488" s="47"/>
      <c r="C488" s="9" t="s">
        <v>11</v>
      </c>
      <c r="D488" s="8" t="str">
        <f t="shared" si="1"/>
        <v>-</v>
      </c>
      <c r="E488" s="9"/>
      <c r="F488" s="10"/>
      <c r="G488" s="9"/>
      <c r="H488" s="11"/>
      <c r="I488" s="9" t="s">
        <v>13</v>
      </c>
      <c r="J488" s="277"/>
    </row>
    <row r="489">
      <c r="A489" s="145" t="s">
        <v>2721</v>
      </c>
      <c r="B489" s="47"/>
      <c r="C489" s="9" t="s">
        <v>11</v>
      </c>
      <c r="D489" s="8" t="str">
        <f t="shared" si="1"/>
        <v>-</v>
      </c>
      <c r="E489" s="9"/>
      <c r="F489" s="10"/>
      <c r="G489" s="9"/>
      <c r="H489" s="11"/>
      <c r="I489" s="9" t="s">
        <v>13</v>
      </c>
      <c r="J489" s="277"/>
    </row>
    <row r="490">
      <c r="A490" s="145" t="s">
        <v>2721</v>
      </c>
      <c r="B490" s="47"/>
      <c r="C490" s="9" t="s">
        <v>11</v>
      </c>
      <c r="D490" s="8" t="str">
        <f t="shared" si="1"/>
        <v>-</v>
      </c>
      <c r="E490" s="9"/>
      <c r="F490" s="10"/>
      <c r="G490" s="9"/>
      <c r="H490" s="11"/>
      <c r="I490" s="9" t="s">
        <v>13</v>
      </c>
      <c r="J490" s="277"/>
    </row>
    <row r="491">
      <c r="A491" s="145" t="s">
        <v>2721</v>
      </c>
      <c r="B491" s="47"/>
      <c r="C491" s="9" t="s">
        <v>11</v>
      </c>
      <c r="D491" s="8" t="str">
        <f t="shared" si="1"/>
        <v>-</v>
      </c>
      <c r="E491" s="9"/>
      <c r="F491" s="10"/>
      <c r="G491" s="9"/>
      <c r="H491" s="11"/>
      <c r="I491" s="9" t="s">
        <v>13</v>
      </c>
      <c r="J491" s="277"/>
    </row>
    <row r="492">
      <c r="A492" s="145" t="s">
        <v>2721</v>
      </c>
      <c r="B492" s="47"/>
      <c r="C492" s="9" t="s">
        <v>11</v>
      </c>
      <c r="D492" s="8" t="str">
        <f t="shared" si="1"/>
        <v>-</v>
      </c>
      <c r="E492" s="9"/>
      <c r="F492" s="10"/>
      <c r="G492" s="9"/>
      <c r="H492" s="11"/>
      <c r="I492" s="9" t="s">
        <v>13</v>
      </c>
      <c r="J492" s="277"/>
    </row>
    <row r="493">
      <c r="A493" s="145" t="s">
        <v>2721</v>
      </c>
      <c r="B493" s="47"/>
      <c r="C493" s="9" t="s">
        <v>11</v>
      </c>
      <c r="D493" s="8" t="str">
        <f t="shared" si="1"/>
        <v>-</v>
      </c>
      <c r="E493" s="9"/>
      <c r="F493" s="10"/>
      <c r="G493" s="9"/>
      <c r="H493" s="11"/>
      <c r="I493" s="9" t="s">
        <v>13</v>
      </c>
      <c r="J493" s="277"/>
    </row>
    <row r="494">
      <c r="A494" s="145" t="s">
        <v>2721</v>
      </c>
      <c r="B494" s="47"/>
      <c r="C494" s="9" t="s">
        <v>11</v>
      </c>
      <c r="D494" s="8" t="str">
        <f t="shared" si="1"/>
        <v>-</v>
      </c>
      <c r="E494" s="9"/>
      <c r="F494" s="10"/>
      <c r="G494" s="9"/>
      <c r="H494" s="11"/>
      <c r="I494" s="9" t="s">
        <v>13</v>
      </c>
      <c r="J494" s="277"/>
    </row>
    <row r="495">
      <c r="A495" s="145" t="s">
        <v>2721</v>
      </c>
      <c r="B495" s="47"/>
      <c r="C495" s="9" t="s">
        <v>11</v>
      </c>
      <c r="D495" s="8" t="str">
        <f t="shared" si="1"/>
        <v>-</v>
      </c>
      <c r="E495" s="9"/>
      <c r="F495" s="10"/>
      <c r="G495" s="9"/>
      <c r="H495" s="11"/>
      <c r="I495" s="9" t="s">
        <v>13</v>
      </c>
      <c r="J495" s="277"/>
    </row>
    <row r="496">
      <c r="A496" s="145" t="s">
        <v>2721</v>
      </c>
      <c r="B496" s="47"/>
      <c r="C496" s="9" t="s">
        <v>11</v>
      </c>
      <c r="D496" s="8" t="str">
        <f t="shared" si="1"/>
        <v>-</v>
      </c>
      <c r="E496" s="9"/>
      <c r="F496" s="10"/>
      <c r="G496" s="9"/>
      <c r="H496" s="11"/>
      <c r="I496" s="9" t="s">
        <v>13</v>
      </c>
      <c r="J496" s="277"/>
    </row>
    <row r="497">
      <c r="A497" s="145" t="s">
        <v>2721</v>
      </c>
      <c r="B497" s="47"/>
      <c r="C497" s="9" t="s">
        <v>11</v>
      </c>
      <c r="D497" s="8" t="str">
        <f t="shared" si="1"/>
        <v>-</v>
      </c>
      <c r="E497" s="9"/>
      <c r="F497" s="10"/>
      <c r="G497" s="9"/>
      <c r="H497" s="11"/>
      <c r="I497" s="9" t="s">
        <v>13</v>
      </c>
      <c r="J497" s="277"/>
    </row>
    <row r="498">
      <c r="A498" s="145" t="s">
        <v>2721</v>
      </c>
      <c r="B498" s="47"/>
      <c r="C498" s="9" t="s">
        <v>11</v>
      </c>
      <c r="D498" s="8" t="str">
        <f t="shared" si="1"/>
        <v>-</v>
      </c>
      <c r="E498" s="9"/>
      <c r="F498" s="10"/>
      <c r="G498" s="9"/>
      <c r="H498" s="11"/>
      <c r="I498" s="9" t="s">
        <v>13</v>
      </c>
      <c r="J498" s="277"/>
    </row>
    <row r="499">
      <c r="A499" s="145" t="s">
        <v>2721</v>
      </c>
      <c r="B499" s="47"/>
      <c r="C499" s="9" t="s">
        <v>11</v>
      </c>
      <c r="D499" s="8" t="str">
        <f t="shared" si="1"/>
        <v>-</v>
      </c>
      <c r="E499" s="9"/>
      <c r="F499" s="10"/>
      <c r="G499" s="9"/>
      <c r="H499" s="11"/>
      <c r="I499" s="9" t="s">
        <v>13</v>
      </c>
      <c r="J499" s="277"/>
    </row>
    <row r="500">
      <c r="A500" s="145" t="s">
        <v>2721</v>
      </c>
      <c r="B500" s="47"/>
      <c r="C500" s="9" t="s">
        <v>11</v>
      </c>
      <c r="D500" s="8" t="str">
        <f t="shared" si="1"/>
        <v>-</v>
      </c>
      <c r="E500" s="9"/>
      <c r="F500" s="10"/>
      <c r="G500" s="9"/>
      <c r="H500" s="11"/>
      <c r="I500" s="9" t="s">
        <v>13</v>
      </c>
      <c r="J500" s="277"/>
    </row>
    <row r="501">
      <c r="A501" s="145" t="s">
        <v>2721</v>
      </c>
      <c r="B501" s="47"/>
      <c r="C501" s="9" t="s">
        <v>11</v>
      </c>
      <c r="D501" s="8" t="str">
        <f t="shared" si="1"/>
        <v>-</v>
      </c>
      <c r="E501" s="9"/>
      <c r="F501" s="10"/>
      <c r="G501" s="9"/>
      <c r="H501" s="11"/>
      <c r="I501" s="9" t="s">
        <v>13</v>
      </c>
      <c r="J501" s="277"/>
    </row>
    <row r="502">
      <c r="A502" s="145" t="s">
        <v>2721</v>
      </c>
      <c r="B502" s="47"/>
      <c r="C502" s="9" t="s">
        <v>11</v>
      </c>
      <c r="D502" s="8" t="str">
        <f t="shared" si="1"/>
        <v>-</v>
      </c>
      <c r="E502" s="9"/>
      <c r="F502" s="10"/>
      <c r="G502" s="9"/>
      <c r="H502" s="11"/>
      <c r="I502" s="9" t="s">
        <v>13</v>
      </c>
      <c r="J502" s="277"/>
    </row>
    <row r="503">
      <c r="A503" s="145" t="s">
        <v>2721</v>
      </c>
      <c r="B503" s="47"/>
      <c r="C503" s="9" t="s">
        <v>11</v>
      </c>
      <c r="D503" s="8" t="str">
        <f t="shared" si="1"/>
        <v>-</v>
      </c>
      <c r="E503" s="9"/>
      <c r="F503" s="10"/>
      <c r="G503" s="9"/>
      <c r="H503" s="11"/>
      <c r="I503" s="9" t="s">
        <v>13</v>
      </c>
      <c r="J503" s="277"/>
    </row>
    <row r="504">
      <c r="A504" s="145" t="s">
        <v>2721</v>
      </c>
      <c r="B504" s="47"/>
      <c r="C504" s="9" t="s">
        <v>11</v>
      </c>
      <c r="D504" s="8" t="str">
        <f t="shared" si="1"/>
        <v>-</v>
      </c>
      <c r="E504" s="9"/>
      <c r="F504" s="10"/>
      <c r="G504" s="9"/>
      <c r="H504" s="11"/>
      <c r="I504" s="9" t="s">
        <v>13</v>
      </c>
      <c r="J504" s="277"/>
    </row>
    <row r="505">
      <c r="A505" s="145" t="s">
        <v>2721</v>
      </c>
      <c r="B505" s="47"/>
      <c r="C505" s="9" t="s">
        <v>11</v>
      </c>
      <c r="D505" s="8" t="str">
        <f t="shared" si="1"/>
        <v>-</v>
      </c>
      <c r="E505" s="9"/>
      <c r="F505" s="10"/>
      <c r="G505" s="9"/>
      <c r="H505" s="11"/>
      <c r="I505" s="9" t="s">
        <v>13</v>
      </c>
      <c r="J505" s="277"/>
    </row>
    <row r="506">
      <c r="A506" s="145" t="s">
        <v>2721</v>
      </c>
      <c r="B506" s="47"/>
      <c r="C506" s="9" t="s">
        <v>11</v>
      </c>
      <c r="D506" s="8" t="str">
        <f t="shared" si="1"/>
        <v>-</v>
      </c>
      <c r="E506" s="9"/>
      <c r="F506" s="10"/>
      <c r="G506" s="9"/>
      <c r="H506" s="11"/>
      <c r="I506" s="9" t="s">
        <v>13</v>
      </c>
      <c r="J506" s="277"/>
    </row>
    <row r="507">
      <c r="A507" s="145" t="s">
        <v>2721</v>
      </c>
      <c r="B507" s="47"/>
      <c r="C507" s="9" t="s">
        <v>11</v>
      </c>
      <c r="D507" s="8" t="str">
        <f t="shared" si="1"/>
        <v>-</v>
      </c>
      <c r="E507" s="9"/>
      <c r="F507" s="10"/>
      <c r="G507" s="9"/>
      <c r="H507" s="11"/>
      <c r="I507" s="9" t="s">
        <v>13</v>
      </c>
      <c r="J507" s="277"/>
    </row>
    <row r="508">
      <c r="A508" s="145" t="s">
        <v>2721</v>
      </c>
      <c r="B508" s="47"/>
      <c r="C508" s="9" t="s">
        <v>11</v>
      </c>
      <c r="D508" s="8" t="str">
        <f t="shared" si="1"/>
        <v>-</v>
      </c>
      <c r="E508" s="9"/>
      <c r="F508" s="10"/>
      <c r="G508" s="9"/>
      <c r="H508" s="11"/>
      <c r="I508" s="9" t="s">
        <v>13</v>
      </c>
      <c r="J508" s="277"/>
    </row>
    <row r="509">
      <c r="A509" s="145" t="s">
        <v>2721</v>
      </c>
      <c r="B509" s="47"/>
      <c r="C509" s="9" t="s">
        <v>11</v>
      </c>
      <c r="D509" s="8" t="str">
        <f t="shared" si="1"/>
        <v>-</v>
      </c>
      <c r="E509" s="9"/>
      <c r="F509" s="10"/>
      <c r="G509" s="9"/>
      <c r="H509" s="11"/>
      <c r="I509" s="9" t="s">
        <v>13</v>
      </c>
      <c r="J509" s="277"/>
    </row>
    <row r="510">
      <c r="A510" s="145" t="s">
        <v>2721</v>
      </c>
      <c r="B510" s="47"/>
      <c r="C510" s="9" t="s">
        <v>11</v>
      </c>
      <c r="D510" s="8" t="str">
        <f t="shared" si="1"/>
        <v>-</v>
      </c>
      <c r="E510" s="9"/>
      <c r="F510" s="10"/>
      <c r="G510" s="9"/>
      <c r="H510" s="11"/>
      <c r="I510" s="9" t="s">
        <v>13</v>
      </c>
      <c r="J510" s="277"/>
    </row>
    <row r="511">
      <c r="A511" s="145" t="s">
        <v>2721</v>
      </c>
      <c r="B511" s="47"/>
      <c r="C511" s="9" t="s">
        <v>11</v>
      </c>
      <c r="D511" s="8" t="str">
        <f t="shared" si="1"/>
        <v>-</v>
      </c>
      <c r="E511" s="9"/>
      <c r="F511" s="10"/>
      <c r="G511" s="9"/>
      <c r="H511" s="11"/>
      <c r="I511" s="9" t="s">
        <v>13</v>
      </c>
      <c r="J511" s="277"/>
    </row>
    <row r="512">
      <c r="A512" s="145" t="s">
        <v>2721</v>
      </c>
      <c r="B512" s="47"/>
      <c r="C512" s="9" t="s">
        <v>11</v>
      </c>
      <c r="D512" s="8" t="str">
        <f t="shared" si="1"/>
        <v>-</v>
      </c>
      <c r="E512" s="9"/>
      <c r="F512" s="10"/>
      <c r="G512" s="9"/>
      <c r="H512" s="11"/>
      <c r="I512" s="9" t="s">
        <v>13</v>
      </c>
      <c r="J512" s="277"/>
    </row>
    <row r="513">
      <c r="A513" s="145" t="s">
        <v>2721</v>
      </c>
      <c r="B513" s="47"/>
      <c r="C513" s="9" t="s">
        <v>11</v>
      </c>
      <c r="D513" s="8" t="str">
        <f t="shared" si="1"/>
        <v>-</v>
      </c>
      <c r="E513" s="9"/>
      <c r="F513" s="10"/>
      <c r="G513" s="9"/>
      <c r="H513" s="11"/>
      <c r="I513" s="9" t="s">
        <v>13</v>
      </c>
      <c r="J513" s="277"/>
    </row>
    <row r="514">
      <c r="A514" s="145" t="s">
        <v>2721</v>
      </c>
      <c r="B514" s="47"/>
      <c r="C514" s="9" t="s">
        <v>11</v>
      </c>
      <c r="D514" s="8" t="str">
        <f t="shared" si="1"/>
        <v>-</v>
      </c>
      <c r="E514" s="9"/>
      <c r="F514" s="10"/>
      <c r="G514" s="9"/>
      <c r="H514" s="11"/>
      <c r="I514" s="9" t="s">
        <v>13</v>
      </c>
      <c r="J514" s="277"/>
    </row>
    <row r="515">
      <c r="A515" s="145" t="s">
        <v>2721</v>
      </c>
      <c r="B515" s="47"/>
      <c r="C515" s="9" t="s">
        <v>11</v>
      </c>
      <c r="D515" s="8" t="str">
        <f t="shared" si="1"/>
        <v>-</v>
      </c>
      <c r="E515" s="9"/>
      <c r="F515" s="10"/>
      <c r="G515" s="9"/>
      <c r="H515" s="11"/>
      <c r="I515" s="9" t="s">
        <v>13</v>
      </c>
      <c r="J515" s="277"/>
    </row>
    <row r="516">
      <c r="A516" s="145" t="s">
        <v>2721</v>
      </c>
      <c r="B516" s="47"/>
      <c r="C516" s="9" t="s">
        <v>11</v>
      </c>
      <c r="D516" s="8" t="str">
        <f t="shared" si="1"/>
        <v>-</v>
      </c>
      <c r="E516" s="9"/>
      <c r="F516" s="10"/>
      <c r="G516" s="9"/>
      <c r="H516" s="11"/>
      <c r="I516" s="9" t="s">
        <v>13</v>
      </c>
      <c r="J516" s="277"/>
    </row>
    <row r="517">
      <c r="A517" s="145" t="s">
        <v>2721</v>
      </c>
      <c r="B517" s="47"/>
      <c r="C517" s="9" t="s">
        <v>11</v>
      </c>
      <c r="D517" s="8" t="str">
        <f t="shared" si="1"/>
        <v>-</v>
      </c>
      <c r="E517" s="9"/>
      <c r="F517" s="10"/>
      <c r="G517" s="9"/>
      <c r="H517" s="11"/>
      <c r="I517" s="9" t="s">
        <v>13</v>
      </c>
      <c r="J517" s="277"/>
    </row>
    <row r="518">
      <c r="A518" s="145" t="s">
        <v>2721</v>
      </c>
      <c r="B518" s="47"/>
      <c r="C518" s="9" t="s">
        <v>11</v>
      </c>
      <c r="D518" s="8" t="str">
        <f t="shared" si="1"/>
        <v>-</v>
      </c>
      <c r="E518" s="9"/>
      <c r="F518" s="10"/>
      <c r="G518" s="9"/>
      <c r="H518" s="11"/>
      <c r="I518" s="9" t="s">
        <v>13</v>
      </c>
      <c r="J518" s="277"/>
    </row>
    <row r="519">
      <c r="A519" s="145" t="s">
        <v>2721</v>
      </c>
      <c r="B519" s="47"/>
      <c r="C519" s="9" t="s">
        <v>11</v>
      </c>
      <c r="D519" s="8" t="str">
        <f t="shared" si="1"/>
        <v>-</v>
      </c>
      <c r="E519" s="9"/>
      <c r="F519" s="10"/>
      <c r="G519" s="9"/>
      <c r="H519" s="11"/>
      <c r="I519" s="9" t="s">
        <v>13</v>
      </c>
      <c r="J519" s="277"/>
    </row>
    <row r="520">
      <c r="A520" s="145" t="s">
        <v>2721</v>
      </c>
      <c r="B520" s="47"/>
      <c r="C520" s="9" t="s">
        <v>11</v>
      </c>
      <c r="D520" s="8" t="str">
        <f t="shared" si="1"/>
        <v>-</v>
      </c>
      <c r="E520" s="9"/>
      <c r="F520" s="10"/>
      <c r="G520" s="9"/>
      <c r="H520" s="11"/>
      <c r="I520" s="9" t="s">
        <v>13</v>
      </c>
      <c r="J520" s="277"/>
    </row>
    <row r="521">
      <c r="A521" s="145" t="s">
        <v>2721</v>
      </c>
      <c r="B521" s="47"/>
      <c r="C521" s="9" t="s">
        <v>11</v>
      </c>
      <c r="D521" s="8" t="str">
        <f t="shared" si="1"/>
        <v>-</v>
      </c>
      <c r="E521" s="9"/>
      <c r="F521" s="10"/>
      <c r="G521" s="9"/>
      <c r="H521" s="11"/>
      <c r="I521" s="9" t="s">
        <v>13</v>
      </c>
      <c r="J521" s="277"/>
    </row>
    <row r="522">
      <c r="A522" s="145" t="s">
        <v>2721</v>
      </c>
      <c r="B522" s="47"/>
      <c r="C522" s="9" t="s">
        <v>11</v>
      </c>
      <c r="D522" s="8" t="str">
        <f t="shared" si="1"/>
        <v>-</v>
      </c>
      <c r="E522" s="9"/>
      <c r="F522" s="10"/>
      <c r="G522" s="9"/>
      <c r="H522" s="11"/>
      <c r="I522" s="9" t="s">
        <v>13</v>
      </c>
      <c r="J522" s="277"/>
    </row>
    <row r="523">
      <c r="A523" s="145" t="s">
        <v>2721</v>
      </c>
      <c r="B523" s="47"/>
      <c r="C523" s="9" t="s">
        <v>11</v>
      </c>
      <c r="D523" s="8" t="str">
        <f t="shared" si="1"/>
        <v>-</v>
      </c>
      <c r="E523" s="9"/>
      <c r="F523" s="10"/>
      <c r="G523" s="9"/>
      <c r="H523" s="11"/>
      <c r="I523" s="9" t="s">
        <v>13</v>
      </c>
      <c r="J523" s="277"/>
    </row>
    <row r="524">
      <c r="A524" s="145" t="s">
        <v>2721</v>
      </c>
      <c r="B524" s="47"/>
      <c r="C524" s="9" t="s">
        <v>11</v>
      </c>
      <c r="D524" s="8" t="str">
        <f t="shared" si="1"/>
        <v>-</v>
      </c>
      <c r="E524" s="9"/>
      <c r="F524" s="10"/>
      <c r="G524" s="9"/>
      <c r="H524" s="11"/>
      <c r="I524" s="9" t="s">
        <v>13</v>
      </c>
      <c r="J524" s="277"/>
    </row>
    <row r="525">
      <c r="A525" s="145" t="s">
        <v>2721</v>
      </c>
      <c r="B525" s="47"/>
      <c r="C525" s="9" t="s">
        <v>11</v>
      </c>
      <c r="D525" s="8" t="str">
        <f t="shared" si="1"/>
        <v>-</v>
      </c>
      <c r="E525" s="9"/>
      <c r="F525" s="10"/>
      <c r="G525" s="9"/>
      <c r="H525" s="11"/>
      <c r="I525" s="9" t="s">
        <v>13</v>
      </c>
      <c r="J525" s="277"/>
    </row>
    <row r="526">
      <c r="A526" s="145" t="s">
        <v>2721</v>
      </c>
      <c r="B526" s="47"/>
      <c r="C526" s="9" t="s">
        <v>11</v>
      </c>
      <c r="D526" s="8" t="str">
        <f t="shared" si="1"/>
        <v>-</v>
      </c>
      <c r="E526" s="9"/>
      <c r="F526" s="10"/>
      <c r="G526" s="9"/>
      <c r="H526" s="11"/>
      <c r="I526" s="9" t="s">
        <v>13</v>
      </c>
      <c r="J526" s="277"/>
    </row>
    <row r="527">
      <c r="A527" s="145" t="s">
        <v>2721</v>
      </c>
      <c r="B527" s="47"/>
      <c r="C527" s="9" t="s">
        <v>11</v>
      </c>
      <c r="D527" s="8" t="str">
        <f t="shared" si="1"/>
        <v>-</v>
      </c>
      <c r="E527" s="9"/>
      <c r="F527" s="10"/>
      <c r="G527" s="9"/>
      <c r="H527" s="11"/>
      <c r="I527" s="9" t="s">
        <v>13</v>
      </c>
      <c r="J527" s="277"/>
    </row>
    <row r="528">
      <c r="A528" s="145" t="s">
        <v>2721</v>
      </c>
      <c r="B528" s="47"/>
      <c r="C528" s="9" t="s">
        <v>11</v>
      </c>
      <c r="D528" s="8" t="str">
        <f t="shared" si="1"/>
        <v>-</v>
      </c>
      <c r="E528" s="9"/>
      <c r="F528" s="10"/>
      <c r="G528" s="9"/>
      <c r="H528" s="11"/>
      <c r="I528" s="9" t="s">
        <v>13</v>
      </c>
      <c r="J528" s="277"/>
    </row>
    <row r="529">
      <c r="A529" s="145" t="s">
        <v>2721</v>
      </c>
      <c r="B529" s="47"/>
      <c r="C529" s="9" t="s">
        <v>11</v>
      </c>
      <c r="D529" s="8" t="str">
        <f t="shared" si="1"/>
        <v>-</v>
      </c>
      <c r="E529" s="9"/>
      <c r="F529" s="10"/>
      <c r="G529" s="9"/>
      <c r="H529" s="11"/>
      <c r="I529" s="9" t="s">
        <v>13</v>
      </c>
      <c r="J529" s="277"/>
    </row>
    <row r="530">
      <c r="A530" s="145" t="s">
        <v>2721</v>
      </c>
      <c r="B530" s="47"/>
      <c r="C530" s="9" t="s">
        <v>11</v>
      </c>
      <c r="D530" s="8" t="str">
        <f t="shared" si="1"/>
        <v>-</v>
      </c>
      <c r="E530" s="9"/>
      <c r="F530" s="10"/>
      <c r="G530" s="9"/>
      <c r="H530" s="11"/>
      <c r="I530" s="9" t="s">
        <v>13</v>
      </c>
      <c r="J530" s="277"/>
    </row>
    <row r="531">
      <c r="A531" s="145" t="s">
        <v>2721</v>
      </c>
      <c r="B531" s="47"/>
      <c r="C531" s="9" t="s">
        <v>11</v>
      </c>
      <c r="D531" s="8" t="str">
        <f t="shared" si="1"/>
        <v>-</v>
      </c>
      <c r="E531" s="9"/>
      <c r="F531" s="10"/>
      <c r="G531" s="9"/>
      <c r="H531" s="11"/>
      <c r="I531" s="9" t="s">
        <v>13</v>
      </c>
      <c r="J531" s="277"/>
    </row>
    <row r="532">
      <c r="A532" s="145" t="s">
        <v>2721</v>
      </c>
      <c r="B532" s="47"/>
      <c r="C532" s="9" t="s">
        <v>11</v>
      </c>
      <c r="D532" s="8" t="str">
        <f t="shared" si="1"/>
        <v>-</v>
      </c>
      <c r="E532" s="9"/>
      <c r="F532" s="10"/>
      <c r="G532" s="9"/>
      <c r="H532" s="11"/>
      <c r="I532" s="9" t="s">
        <v>13</v>
      </c>
      <c r="J532" s="277"/>
    </row>
    <row r="533">
      <c r="A533" s="145" t="s">
        <v>2721</v>
      </c>
      <c r="B533" s="47"/>
      <c r="C533" s="9" t="s">
        <v>11</v>
      </c>
      <c r="D533" s="8" t="str">
        <f t="shared" si="1"/>
        <v>-</v>
      </c>
      <c r="E533" s="9"/>
      <c r="F533" s="10"/>
      <c r="G533" s="9"/>
      <c r="H533" s="11"/>
      <c r="I533" s="9" t="s">
        <v>13</v>
      </c>
      <c r="J533" s="277"/>
    </row>
    <row r="534">
      <c r="A534" s="145" t="s">
        <v>2721</v>
      </c>
      <c r="B534" s="47"/>
      <c r="C534" s="9" t="s">
        <v>11</v>
      </c>
      <c r="D534" s="8" t="str">
        <f t="shared" si="1"/>
        <v>-</v>
      </c>
      <c r="E534" s="9"/>
      <c r="F534" s="10"/>
      <c r="G534" s="9"/>
      <c r="H534" s="11"/>
      <c r="I534" s="9" t="s">
        <v>13</v>
      </c>
      <c r="J534" s="277"/>
    </row>
    <row r="535">
      <c r="A535" s="145" t="s">
        <v>2721</v>
      </c>
      <c r="B535" s="47"/>
      <c r="C535" s="9" t="s">
        <v>11</v>
      </c>
      <c r="D535" s="8" t="str">
        <f t="shared" si="1"/>
        <v>-</v>
      </c>
      <c r="E535" s="9"/>
      <c r="F535" s="10"/>
      <c r="G535" s="9"/>
      <c r="H535" s="11"/>
      <c r="I535" s="9" t="s">
        <v>13</v>
      </c>
      <c r="J535" s="277"/>
    </row>
    <row r="536">
      <c r="A536" s="145" t="s">
        <v>2721</v>
      </c>
      <c r="B536" s="47"/>
      <c r="C536" s="9" t="s">
        <v>11</v>
      </c>
      <c r="D536" s="8" t="str">
        <f t="shared" si="1"/>
        <v>-</v>
      </c>
      <c r="E536" s="9"/>
      <c r="F536" s="10"/>
      <c r="G536" s="9"/>
      <c r="H536" s="11"/>
      <c r="I536" s="9" t="s">
        <v>13</v>
      </c>
      <c r="J536" s="277"/>
    </row>
    <row r="537">
      <c r="A537" s="145" t="s">
        <v>2721</v>
      </c>
      <c r="B537" s="47"/>
      <c r="C537" s="9" t="s">
        <v>11</v>
      </c>
      <c r="D537" s="8" t="str">
        <f t="shared" si="1"/>
        <v>-</v>
      </c>
      <c r="E537" s="9"/>
      <c r="F537" s="10"/>
      <c r="G537" s="9"/>
      <c r="H537" s="11"/>
      <c r="I537" s="9" t="s">
        <v>13</v>
      </c>
      <c r="J537" s="277"/>
    </row>
    <row r="538">
      <c r="A538" s="145" t="s">
        <v>2721</v>
      </c>
      <c r="B538" s="47"/>
      <c r="C538" s="9" t="s">
        <v>11</v>
      </c>
      <c r="D538" s="8" t="str">
        <f t="shared" si="1"/>
        <v>-</v>
      </c>
      <c r="E538" s="9"/>
      <c r="F538" s="10"/>
      <c r="G538" s="9"/>
      <c r="H538" s="11"/>
      <c r="I538" s="9" t="s">
        <v>13</v>
      </c>
      <c r="J538" s="277"/>
    </row>
    <row r="539">
      <c r="A539" s="145" t="s">
        <v>2721</v>
      </c>
      <c r="B539" s="47"/>
      <c r="C539" s="9" t="s">
        <v>11</v>
      </c>
      <c r="D539" s="8" t="str">
        <f t="shared" si="1"/>
        <v>-</v>
      </c>
      <c r="E539" s="9"/>
      <c r="F539" s="10"/>
      <c r="G539" s="9"/>
      <c r="H539" s="11"/>
      <c r="I539" s="9" t="s">
        <v>13</v>
      </c>
      <c r="J539" s="277"/>
    </row>
    <row r="540">
      <c r="A540" s="145" t="s">
        <v>2721</v>
      </c>
      <c r="B540" s="47"/>
      <c r="C540" s="9" t="s">
        <v>11</v>
      </c>
      <c r="D540" s="8" t="str">
        <f t="shared" si="1"/>
        <v>-</v>
      </c>
      <c r="E540" s="9"/>
      <c r="F540" s="10"/>
      <c r="G540" s="9"/>
      <c r="H540" s="11"/>
      <c r="I540" s="9" t="s">
        <v>13</v>
      </c>
      <c r="J540" s="277"/>
    </row>
    <row r="541">
      <c r="A541" s="145" t="s">
        <v>2721</v>
      </c>
      <c r="B541" s="47"/>
      <c r="C541" s="9" t="s">
        <v>11</v>
      </c>
      <c r="D541" s="8" t="str">
        <f t="shared" si="1"/>
        <v>-</v>
      </c>
      <c r="E541" s="9"/>
      <c r="F541" s="10"/>
      <c r="G541" s="9"/>
      <c r="H541" s="11"/>
      <c r="I541" s="9" t="s">
        <v>13</v>
      </c>
      <c r="J541" s="277"/>
    </row>
    <row r="542">
      <c r="A542" s="145" t="s">
        <v>2721</v>
      </c>
      <c r="B542" s="47"/>
      <c r="C542" s="9" t="s">
        <v>11</v>
      </c>
      <c r="D542" s="8" t="str">
        <f t="shared" si="1"/>
        <v>-</v>
      </c>
      <c r="E542" s="9"/>
      <c r="F542" s="10"/>
      <c r="G542" s="9"/>
      <c r="H542" s="11"/>
      <c r="I542" s="9" t="s">
        <v>13</v>
      </c>
      <c r="J542" s="277"/>
    </row>
    <row r="543">
      <c r="A543" s="145" t="s">
        <v>2721</v>
      </c>
      <c r="B543" s="47"/>
      <c r="C543" s="9" t="s">
        <v>11</v>
      </c>
      <c r="D543" s="8" t="str">
        <f t="shared" si="1"/>
        <v>-</v>
      </c>
      <c r="E543" s="9"/>
      <c r="F543" s="10"/>
      <c r="G543" s="9"/>
      <c r="H543" s="11"/>
      <c r="I543" s="9" t="s">
        <v>13</v>
      </c>
      <c r="J543" s="277"/>
    </row>
    <row r="544">
      <c r="A544" s="145" t="s">
        <v>2721</v>
      </c>
      <c r="B544" s="47"/>
      <c r="C544" s="9" t="s">
        <v>11</v>
      </c>
      <c r="D544" s="8" t="str">
        <f t="shared" si="1"/>
        <v>-</v>
      </c>
      <c r="E544" s="9"/>
      <c r="F544" s="10"/>
      <c r="G544" s="9"/>
      <c r="H544" s="11"/>
      <c r="I544" s="9" t="s">
        <v>13</v>
      </c>
      <c r="J544" s="277"/>
    </row>
    <row r="545">
      <c r="A545" s="145" t="s">
        <v>2721</v>
      </c>
      <c r="B545" s="47"/>
      <c r="C545" s="9" t="s">
        <v>11</v>
      </c>
      <c r="D545" s="8" t="str">
        <f t="shared" si="1"/>
        <v>-</v>
      </c>
      <c r="E545" s="9"/>
      <c r="F545" s="10"/>
      <c r="G545" s="9"/>
      <c r="H545" s="11"/>
      <c r="I545" s="9" t="s">
        <v>13</v>
      </c>
      <c r="J545" s="277"/>
    </row>
    <row r="546">
      <c r="A546" s="145" t="s">
        <v>2721</v>
      </c>
      <c r="B546" s="47"/>
      <c r="C546" s="9" t="s">
        <v>11</v>
      </c>
      <c r="D546" s="8" t="str">
        <f t="shared" si="1"/>
        <v>-</v>
      </c>
      <c r="E546" s="9"/>
      <c r="F546" s="10"/>
      <c r="G546" s="9"/>
      <c r="H546" s="11"/>
      <c r="I546" s="9" t="s">
        <v>13</v>
      </c>
      <c r="J546" s="277"/>
    </row>
    <row r="547">
      <c r="A547" s="145" t="s">
        <v>2721</v>
      </c>
      <c r="B547" s="47"/>
      <c r="C547" s="9" t="s">
        <v>11</v>
      </c>
      <c r="D547" s="8" t="str">
        <f t="shared" si="1"/>
        <v>-</v>
      </c>
      <c r="E547" s="9"/>
      <c r="F547" s="10"/>
      <c r="G547" s="9"/>
      <c r="H547" s="11"/>
      <c r="I547" s="9" t="s">
        <v>13</v>
      </c>
      <c r="J547" s="277"/>
    </row>
    <row r="548">
      <c r="A548" s="145" t="s">
        <v>2721</v>
      </c>
      <c r="B548" s="47"/>
      <c r="C548" s="9" t="s">
        <v>11</v>
      </c>
      <c r="D548" s="8" t="str">
        <f t="shared" si="1"/>
        <v>-</v>
      </c>
      <c r="E548" s="9"/>
      <c r="F548" s="10"/>
      <c r="G548" s="9"/>
      <c r="H548" s="11"/>
      <c r="I548" s="9" t="s">
        <v>13</v>
      </c>
      <c r="J548" s="277"/>
    </row>
    <row r="549">
      <c r="A549" s="145" t="s">
        <v>2721</v>
      </c>
      <c r="B549" s="47"/>
      <c r="C549" s="9" t="s">
        <v>11</v>
      </c>
      <c r="D549" s="8" t="str">
        <f t="shared" si="1"/>
        <v>-</v>
      </c>
      <c r="E549" s="9"/>
      <c r="F549" s="10"/>
      <c r="G549" s="9"/>
      <c r="H549" s="11"/>
      <c r="I549" s="9" t="s">
        <v>13</v>
      </c>
      <c r="J549" s="277"/>
    </row>
    <row r="550">
      <c r="A550" s="145" t="s">
        <v>2721</v>
      </c>
      <c r="B550" s="47"/>
      <c r="C550" s="9" t="s">
        <v>11</v>
      </c>
      <c r="D550" s="8" t="str">
        <f t="shared" si="1"/>
        <v>-</v>
      </c>
      <c r="E550" s="9"/>
      <c r="F550" s="10"/>
      <c r="G550" s="9"/>
      <c r="H550" s="11"/>
      <c r="I550" s="9" t="s">
        <v>13</v>
      </c>
      <c r="J550" s="277"/>
    </row>
    <row r="551">
      <c r="A551" s="145" t="s">
        <v>2721</v>
      </c>
      <c r="B551" s="47"/>
      <c r="C551" s="9" t="s">
        <v>11</v>
      </c>
      <c r="D551" s="8" t="str">
        <f t="shared" si="1"/>
        <v>-</v>
      </c>
      <c r="E551" s="9"/>
      <c r="F551" s="10"/>
      <c r="G551" s="9"/>
      <c r="H551" s="11"/>
      <c r="I551" s="9" t="s">
        <v>13</v>
      </c>
      <c r="J551" s="277"/>
    </row>
    <row r="552">
      <c r="A552" s="145" t="s">
        <v>2721</v>
      </c>
      <c r="B552" s="47"/>
      <c r="C552" s="9" t="s">
        <v>11</v>
      </c>
      <c r="D552" s="8" t="str">
        <f t="shared" si="1"/>
        <v>-</v>
      </c>
      <c r="E552" s="9"/>
      <c r="F552" s="10"/>
      <c r="G552" s="9"/>
      <c r="H552" s="11"/>
      <c r="I552" s="9" t="s">
        <v>13</v>
      </c>
      <c r="J552" s="277"/>
    </row>
    <row r="553">
      <c r="A553" s="145" t="s">
        <v>2721</v>
      </c>
      <c r="B553" s="47"/>
      <c r="C553" s="9" t="s">
        <v>11</v>
      </c>
      <c r="D553" s="8" t="str">
        <f t="shared" si="1"/>
        <v>-</v>
      </c>
      <c r="E553" s="9"/>
      <c r="F553" s="10"/>
      <c r="G553" s="9"/>
      <c r="H553" s="11"/>
      <c r="I553" s="9" t="s">
        <v>13</v>
      </c>
      <c r="J553" s="277"/>
    </row>
    <row r="554">
      <c r="A554" s="145" t="s">
        <v>2721</v>
      </c>
      <c r="B554" s="47"/>
      <c r="C554" s="9" t="s">
        <v>11</v>
      </c>
      <c r="D554" s="8" t="str">
        <f t="shared" si="1"/>
        <v>-</v>
      </c>
      <c r="E554" s="9"/>
      <c r="F554" s="10"/>
      <c r="G554" s="9"/>
      <c r="H554" s="11"/>
      <c r="I554" s="9" t="s">
        <v>13</v>
      </c>
      <c r="J554" s="277"/>
    </row>
    <row r="555">
      <c r="A555" s="145" t="s">
        <v>2721</v>
      </c>
      <c r="B555" s="47"/>
      <c r="C555" s="9" t="s">
        <v>11</v>
      </c>
      <c r="D555" s="8" t="str">
        <f t="shared" si="1"/>
        <v>-</v>
      </c>
      <c r="E555" s="9"/>
      <c r="F555" s="10"/>
      <c r="G555" s="9"/>
      <c r="H555" s="11"/>
      <c r="I555" s="9" t="s">
        <v>13</v>
      </c>
      <c r="J555" s="277"/>
    </row>
    <row r="556">
      <c r="A556" s="145" t="s">
        <v>2721</v>
      </c>
      <c r="B556" s="47"/>
      <c r="C556" s="9" t="s">
        <v>11</v>
      </c>
      <c r="D556" s="8" t="str">
        <f t="shared" si="1"/>
        <v>-</v>
      </c>
      <c r="E556" s="9"/>
      <c r="F556" s="10"/>
      <c r="G556" s="9"/>
      <c r="H556" s="11"/>
      <c r="I556" s="9" t="s">
        <v>13</v>
      </c>
      <c r="J556" s="277"/>
    </row>
    <row r="557">
      <c r="A557" s="145" t="s">
        <v>2721</v>
      </c>
      <c r="B557" s="47"/>
      <c r="C557" s="9" t="s">
        <v>11</v>
      </c>
      <c r="D557" s="8" t="str">
        <f t="shared" si="1"/>
        <v>-</v>
      </c>
      <c r="E557" s="9"/>
      <c r="F557" s="10"/>
      <c r="G557" s="9"/>
      <c r="H557" s="11"/>
      <c r="I557" s="9" t="s">
        <v>13</v>
      </c>
      <c r="J557" s="277"/>
    </row>
    <row r="558">
      <c r="A558" s="145" t="s">
        <v>2721</v>
      </c>
      <c r="B558" s="47"/>
      <c r="C558" s="9" t="s">
        <v>11</v>
      </c>
      <c r="D558" s="8" t="str">
        <f t="shared" si="1"/>
        <v>-</v>
      </c>
      <c r="E558" s="9"/>
      <c r="F558" s="10"/>
      <c r="G558" s="9"/>
      <c r="H558" s="11"/>
      <c r="I558" s="9" t="s">
        <v>13</v>
      </c>
      <c r="J558" s="277"/>
    </row>
    <row r="559">
      <c r="A559" s="145" t="s">
        <v>2721</v>
      </c>
      <c r="B559" s="47"/>
      <c r="C559" s="9" t="s">
        <v>11</v>
      </c>
      <c r="D559" s="8" t="str">
        <f t="shared" si="1"/>
        <v>-</v>
      </c>
      <c r="E559" s="9"/>
      <c r="F559" s="10"/>
      <c r="G559" s="9"/>
      <c r="H559" s="11"/>
      <c r="I559" s="9" t="s">
        <v>13</v>
      </c>
      <c r="J559" s="277"/>
    </row>
    <row r="560">
      <c r="A560" s="145" t="s">
        <v>2721</v>
      </c>
      <c r="B560" s="47"/>
      <c r="C560" s="9" t="s">
        <v>11</v>
      </c>
      <c r="D560" s="8" t="str">
        <f t="shared" si="1"/>
        <v>-</v>
      </c>
      <c r="E560" s="9"/>
      <c r="F560" s="10"/>
      <c r="G560" s="9"/>
      <c r="H560" s="11"/>
      <c r="I560" s="9" t="s">
        <v>13</v>
      </c>
      <c r="J560" s="277"/>
    </row>
    <row r="561">
      <c r="A561" s="145" t="s">
        <v>2721</v>
      </c>
      <c r="B561" s="47"/>
      <c r="C561" s="9" t="s">
        <v>11</v>
      </c>
      <c r="D561" s="8" t="str">
        <f t="shared" si="1"/>
        <v>-</v>
      </c>
      <c r="E561" s="9"/>
      <c r="F561" s="10"/>
      <c r="G561" s="9"/>
      <c r="H561" s="11"/>
      <c r="I561" s="9" t="s">
        <v>13</v>
      </c>
      <c r="J561" s="277"/>
    </row>
    <row r="562">
      <c r="A562" s="145" t="s">
        <v>2721</v>
      </c>
      <c r="B562" s="47"/>
      <c r="C562" s="9" t="s">
        <v>11</v>
      </c>
      <c r="D562" s="8" t="str">
        <f t="shared" si="1"/>
        <v>-</v>
      </c>
      <c r="E562" s="9"/>
      <c r="F562" s="10"/>
      <c r="G562" s="9"/>
      <c r="H562" s="11"/>
      <c r="I562" s="9" t="s">
        <v>13</v>
      </c>
      <c r="J562" s="277"/>
    </row>
    <row r="563">
      <c r="A563" s="145" t="s">
        <v>2721</v>
      </c>
      <c r="B563" s="47"/>
      <c r="C563" s="9" t="s">
        <v>11</v>
      </c>
      <c r="D563" s="8" t="str">
        <f t="shared" si="1"/>
        <v>-</v>
      </c>
      <c r="E563" s="9"/>
      <c r="F563" s="10"/>
      <c r="G563" s="9"/>
      <c r="H563" s="11"/>
      <c r="I563" s="9" t="s">
        <v>13</v>
      </c>
      <c r="J563" s="277"/>
    </row>
    <row r="564">
      <c r="A564" s="145" t="s">
        <v>2721</v>
      </c>
      <c r="B564" s="47"/>
      <c r="C564" s="9" t="s">
        <v>11</v>
      </c>
      <c r="D564" s="8" t="str">
        <f t="shared" si="1"/>
        <v>-</v>
      </c>
      <c r="E564" s="9"/>
      <c r="F564" s="10"/>
      <c r="G564" s="9"/>
      <c r="H564" s="11"/>
      <c r="I564" s="9" t="s">
        <v>13</v>
      </c>
      <c r="J564" s="277"/>
    </row>
    <row r="565">
      <c r="A565" s="145" t="s">
        <v>2721</v>
      </c>
      <c r="B565" s="47"/>
      <c r="C565" s="9" t="s">
        <v>11</v>
      </c>
      <c r="D565" s="8" t="str">
        <f t="shared" si="1"/>
        <v>-</v>
      </c>
      <c r="E565" s="9"/>
      <c r="F565" s="10"/>
      <c r="G565" s="9"/>
      <c r="H565" s="11"/>
      <c r="I565" s="9" t="s">
        <v>13</v>
      </c>
      <c r="J565" s="277"/>
    </row>
    <row r="566">
      <c r="A566" s="145" t="s">
        <v>2721</v>
      </c>
      <c r="B566" s="47"/>
      <c r="C566" s="9" t="s">
        <v>11</v>
      </c>
      <c r="D566" s="8" t="str">
        <f t="shared" si="1"/>
        <v>-</v>
      </c>
      <c r="E566" s="9"/>
      <c r="F566" s="10"/>
      <c r="G566" s="9"/>
      <c r="H566" s="11"/>
      <c r="I566" s="9" t="s">
        <v>13</v>
      </c>
      <c r="J566" s="277"/>
    </row>
    <row r="567">
      <c r="A567" s="145" t="s">
        <v>2721</v>
      </c>
      <c r="B567" s="47"/>
      <c r="C567" s="9" t="s">
        <v>11</v>
      </c>
      <c r="D567" s="8" t="str">
        <f t="shared" si="1"/>
        <v>-</v>
      </c>
      <c r="E567" s="9"/>
      <c r="F567" s="10"/>
      <c r="G567" s="9"/>
      <c r="H567" s="11"/>
      <c r="I567" s="9" t="s">
        <v>13</v>
      </c>
      <c r="J567" s="277"/>
    </row>
    <row r="568">
      <c r="A568" s="145" t="s">
        <v>2721</v>
      </c>
      <c r="B568" s="47"/>
      <c r="C568" s="9" t="s">
        <v>11</v>
      </c>
      <c r="D568" s="8" t="str">
        <f t="shared" si="1"/>
        <v>-</v>
      </c>
      <c r="E568" s="9"/>
      <c r="F568" s="10"/>
      <c r="G568" s="9"/>
      <c r="H568" s="11"/>
      <c r="I568" s="9" t="s">
        <v>13</v>
      </c>
      <c r="J568" s="277"/>
    </row>
    <row r="569">
      <c r="A569" s="145" t="s">
        <v>2721</v>
      </c>
      <c r="B569" s="47"/>
      <c r="C569" s="9" t="s">
        <v>11</v>
      </c>
      <c r="D569" s="8" t="str">
        <f t="shared" si="1"/>
        <v>-</v>
      </c>
      <c r="E569" s="9"/>
      <c r="F569" s="10"/>
      <c r="G569" s="9"/>
      <c r="H569" s="11"/>
      <c r="I569" s="9" t="s">
        <v>13</v>
      </c>
      <c r="J569" s="277"/>
    </row>
    <row r="570">
      <c r="A570" s="145" t="s">
        <v>2721</v>
      </c>
      <c r="B570" s="47"/>
      <c r="C570" s="9" t="s">
        <v>11</v>
      </c>
      <c r="D570" s="8" t="str">
        <f t="shared" si="1"/>
        <v>-</v>
      </c>
      <c r="E570" s="9"/>
      <c r="F570" s="10"/>
      <c r="G570" s="9"/>
      <c r="H570" s="11"/>
      <c r="I570" s="9" t="s">
        <v>13</v>
      </c>
      <c r="J570" s="277"/>
    </row>
    <row r="571">
      <c r="A571" s="145" t="s">
        <v>2721</v>
      </c>
      <c r="B571" s="47"/>
      <c r="C571" s="9" t="s">
        <v>11</v>
      </c>
      <c r="D571" s="8" t="str">
        <f t="shared" si="1"/>
        <v>-</v>
      </c>
      <c r="E571" s="9"/>
      <c r="F571" s="10"/>
      <c r="G571" s="9"/>
      <c r="H571" s="11"/>
      <c r="I571" s="9" t="s">
        <v>13</v>
      </c>
      <c r="J571" s="277"/>
    </row>
    <row r="572">
      <c r="A572" s="145" t="s">
        <v>2721</v>
      </c>
      <c r="B572" s="47"/>
      <c r="C572" s="9" t="s">
        <v>11</v>
      </c>
      <c r="D572" s="8" t="str">
        <f t="shared" si="1"/>
        <v>-</v>
      </c>
      <c r="E572" s="9"/>
      <c r="F572" s="10"/>
      <c r="G572" s="9"/>
      <c r="H572" s="11"/>
      <c r="I572" s="9" t="s">
        <v>13</v>
      </c>
      <c r="J572" s="277"/>
    </row>
    <row r="573">
      <c r="A573" s="145" t="s">
        <v>2721</v>
      </c>
      <c r="B573" s="47"/>
      <c r="C573" s="9" t="s">
        <v>11</v>
      </c>
      <c r="D573" s="8" t="str">
        <f t="shared" si="1"/>
        <v>-</v>
      </c>
      <c r="E573" s="9"/>
      <c r="F573" s="10"/>
      <c r="G573" s="9"/>
      <c r="H573" s="11"/>
      <c r="I573" s="9" t="s">
        <v>13</v>
      </c>
      <c r="J573" s="277"/>
    </row>
    <row r="574">
      <c r="A574" s="145" t="s">
        <v>2721</v>
      </c>
      <c r="B574" s="47"/>
      <c r="C574" s="9" t="s">
        <v>11</v>
      </c>
      <c r="D574" s="8" t="str">
        <f t="shared" si="1"/>
        <v>-</v>
      </c>
      <c r="E574" s="9"/>
      <c r="F574" s="10"/>
      <c r="G574" s="9"/>
      <c r="H574" s="11"/>
      <c r="I574" s="9" t="s">
        <v>13</v>
      </c>
      <c r="J574" s="277"/>
    </row>
    <row r="575">
      <c r="A575" s="145" t="s">
        <v>2721</v>
      </c>
      <c r="B575" s="47"/>
      <c r="C575" s="9" t="s">
        <v>11</v>
      </c>
      <c r="D575" s="8" t="str">
        <f t="shared" si="1"/>
        <v>-</v>
      </c>
      <c r="E575" s="9"/>
      <c r="F575" s="10"/>
      <c r="G575" s="9"/>
      <c r="H575" s="11"/>
      <c r="I575" s="9" t="s">
        <v>13</v>
      </c>
      <c r="J575" s="277"/>
    </row>
    <row r="576">
      <c r="A576" s="145" t="s">
        <v>2721</v>
      </c>
      <c r="B576" s="47"/>
      <c r="C576" s="9" t="s">
        <v>11</v>
      </c>
      <c r="D576" s="8" t="str">
        <f t="shared" si="1"/>
        <v>-</v>
      </c>
      <c r="E576" s="9"/>
      <c r="F576" s="10"/>
      <c r="G576" s="9"/>
      <c r="H576" s="11"/>
      <c r="I576" s="9" t="s">
        <v>13</v>
      </c>
      <c r="J576" s="277"/>
    </row>
    <row r="577">
      <c r="A577" s="145" t="s">
        <v>2721</v>
      </c>
      <c r="B577" s="47"/>
      <c r="C577" s="9" t="s">
        <v>11</v>
      </c>
      <c r="D577" s="8" t="str">
        <f t="shared" si="1"/>
        <v>-</v>
      </c>
      <c r="E577" s="9"/>
      <c r="F577" s="10"/>
      <c r="G577" s="9"/>
      <c r="H577" s="11"/>
      <c r="I577" s="9" t="s">
        <v>13</v>
      </c>
      <c r="J577" s="277"/>
    </row>
    <row r="578">
      <c r="A578" s="145" t="s">
        <v>2721</v>
      </c>
      <c r="B578" s="47"/>
      <c r="C578" s="9" t="s">
        <v>11</v>
      </c>
      <c r="D578" s="8" t="str">
        <f t="shared" si="1"/>
        <v>-</v>
      </c>
      <c r="E578" s="9"/>
      <c r="F578" s="10"/>
      <c r="G578" s="9"/>
      <c r="H578" s="11"/>
      <c r="I578" s="9" t="s">
        <v>13</v>
      </c>
      <c r="J578" s="277"/>
    </row>
    <row r="579">
      <c r="A579" s="145" t="s">
        <v>2721</v>
      </c>
      <c r="B579" s="47"/>
      <c r="C579" s="9" t="s">
        <v>11</v>
      </c>
      <c r="D579" s="8" t="str">
        <f t="shared" si="1"/>
        <v>-</v>
      </c>
      <c r="E579" s="9"/>
      <c r="F579" s="10"/>
      <c r="G579" s="9"/>
      <c r="H579" s="11"/>
      <c r="I579" s="9" t="s">
        <v>13</v>
      </c>
      <c r="J579" s="277"/>
    </row>
    <row r="580">
      <c r="A580" s="145" t="s">
        <v>2721</v>
      </c>
      <c r="B580" s="47"/>
      <c r="C580" s="9" t="s">
        <v>11</v>
      </c>
      <c r="D580" s="8" t="str">
        <f t="shared" si="1"/>
        <v>-</v>
      </c>
      <c r="E580" s="9"/>
      <c r="F580" s="10"/>
      <c r="G580" s="9"/>
      <c r="H580" s="11"/>
      <c r="I580" s="9" t="s">
        <v>13</v>
      </c>
      <c r="J580" s="277"/>
    </row>
    <row r="581">
      <c r="A581" s="145" t="s">
        <v>2721</v>
      </c>
      <c r="B581" s="47"/>
      <c r="C581" s="9" t="s">
        <v>11</v>
      </c>
      <c r="D581" s="8" t="str">
        <f t="shared" si="1"/>
        <v>-</v>
      </c>
      <c r="E581" s="9"/>
      <c r="F581" s="10"/>
      <c r="G581" s="9"/>
      <c r="H581" s="11"/>
      <c r="I581" s="9" t="s">
        <v>13</v>
      </c>
      <c r="J581" s="277"/>
    </row>
    <row r="582">
      <c r="A582" s="145" t="s">
        <v>2721</v>
      </c>
      <c r="B582" s="47"/>
      <c r="C582" s="9" t="s">
        <v>11</v>
      </c>
      <c r="D582" s="8" t="str">
        <f t="shared" si="1"/>
        <v>-</v>
      </c>
      <c r="E582" s="9"/>
      <c r="F582" s="10"/>
      <c r="G582" s="9"/>
      <c r="H582" s="11"/>
      <c r="I582" s="9" t="s">
        <v>13</v>
      </c>
      <c r="J582" s="277"/>
    </row>
    <row r="583">
      <c r="A583" s="145" t="s">
        <v>2721</v>
      </c>
      <c r="B583" s="47"/>
      <c r="C583" s="9" t="s">
        <v>11</v>
      </c>
      <c r="D583" s="8" t="str">
        <f t="shared" si="1"/>
        <v>-</v>
      </c>
      <c r="E583" s="9"/>
      <c r="F583" s="10"/>
      <c r="G583" s="9"/>
      <c r="H583" s="11"/>
      <c r="I583" s="9" t="s">
        <v>13</v>
      </c>
      <c r="J583" s="277"/>
    </row>
    <row r="584">
      <c r="A584" s="145" t="s">
        <v>2721</v>
      </c>
      <c r="B584" s="47"/>
      <c r="C584" s="9" t="s">
        <v>11</v>
      </c>
      <c r="D584" s="8" t="str">
        <f t="shared" si="1"/>
        <v>-</v>
      </c>
      <c r="E584" s="9"/>
      <c r="F584" s="10"/>
      <c r="G584" s="9"/>
      <c r="H584" s="11"/>
      <c r="I584" s="9" t="s">
        <v>13</v>
      </c>
      <c r="J584" s="277"/>
    </row>
    <row r="585">
      <c r="A585" s="145" t="s">
        <v>2721</v>
      </c>
      <c r="B585" s="47"/>
      <c r="C585" s="9" t="s">
        <v>11</v>
      </c>
      <c r="D585" s="8" t="str">
        <f t="shared" si="1"/>
        <v>-</v>
      </c>
      <c r="E585" s="9"/>
      <c r="F585" s="10"/>
      <c r="G585" s="9"/>
      <c r="H585" s="11"/>
      <c r="I585" s="9" t="s">
        <v>13</v>
      </c>
      <c r="J585" s="277"/>
    </row>
    <row r="586">
      <c r="A586" s="145" t="s">
        <v>2721</v>
      </c>
      <c r="B586" s="47"/>
      <c r="C586" s="9" t="s">
        <v>11</v>
      </c>
      <c r="D586" s="8" t="str">
        <f t="shared" si="1"/>
        <v>-</v>
      </c>
      <c r="E586" s="9"/>
      <c r="F586" s="10"/>
      <c r="G586" s="9"/>
      <c r="H586" s="11"/>
      <c r="I586" s="9" t="s">
        <v>13</v>
      </c>
      <c r="J586" s="277"/>
    </row>
    <row r="587">
      <c r="A587" s="145" t="s">
        <v>2721</v>
      </c>
      <c r="B587" s="47"/>
      <c r="C587" s="9" t="s">
        <v>11</v>
      </c>
      <c r="D587" s="8" t="str">
        <f t="shared" si="1"/>
        <v>-</v>
      </c>
      <c r="E587" s="9"/>
      <c r="F587" s="10"/>
      <c r="G587" s="9"/>
      <c r="H587" s="11"/>
      <c r="I587" s="9" t="s">
        <v>13</v>
      </c>
      <c r="J587" s="277"/>
    </row>
    <row r="588">
      <c r="A588" s="145" t="s">
        <v>2721</v>
      </c>
      <c r="B588" s="47"/>
      <c r="C588" s="9" t="s">
        <v>11</v>
      </c>
      <c r="D588" s="8" t="str">
        <f t="shared" si="1"/>
        <v>-</v>
      </c>
      <c r="E588" s="9"/>
      <c r="F588" s="10"/>
      <c r="G588" s="9"/>
      <c r="H588" s="11"/>
      <c r="I588" s="9" t="s">
        <v>13</v>
      </c>
      <c r="J588" s="277"/>
    </row>
    <row r="589">
      <c r="A589" s="145" t="s">
        <v>2721</v>
      </c>
      <c r="B589" s="47"/>
      <c r="C589" s="9" t="s">
        <v>11</v>
      </c>
      <c r="D589" s="8" t="str">
        <f t="shared" si="1"/>
        <v>-</v>
      </c>
      <c r="E589" s="9"/>
      <c r="F589" s="10"/>
      <c r="G589" s="9"/>
      <c r="H589" s="11"/>
      <c r="I589" s="9" t="s">
        <v>13</v>
      </c>
      <c r="J589" s="277"/>
    </row>
    <row r="590">
      <c r="A590" s="145" t="s">
        <v>2721</v>
      </c>
      <c r="B590" s="47"/>
      <c r="C590" s="9" t="s">
        <v>11</v>
      </c>
      <c r="D590" s="8" t="str">
        <f t="shared" si="1"/>
        <v>-</v>
      </c>
      <c r="E590" s="9"/>
      <c r="F590" s="10"/>
      <c r="G590" s="9"/>
      <c r="H590" s="11"/>
      <c r="I590" s="9" t="s">
        <v>13</v>
      </c>
      <c r="J590" s="277"/>
    </row>
    <row r="591">
      <c r="A591" s="145" t="s">
        <v>2721</v>
      </c>
      <c r="B591" s="47"/>
      <c r="C591" s="9" t="s">
        <v>11</v>
      </c>
      <c r="D591" s="8" t="str">
        <f t="shared" si="1"/>
        <v>-</v>
      </c>
      <c r="E591" s="9"/>
      <c r="F591" s="10"/>
      <c r="G591" s="9"/>
      <c r="H591" s="11"/>
      <c r="I591" s="9" t="s">
        <v>13</v>
      </c>
      <c r="J591" s="277"/>
    </row>
    <row r="592">
      <c r="A592" s="145" t="s">
        <v>2721</v>
      </c>
      <c r="B592" s="47"/>
      <c r="C592" s="9" t="s">
        <v>11</v>
      </c>
      <c r="D592" s="8" t="str">
        <f t="shared" si="1"/>
        <v>-</v>
      </c>
      <c r="E592" s="9"/>
      <c r="F592" s="10"/>
      <c r="G592" s="9"/>
      <c r="H592" s="11"/>
      <c r="I592" s="9" t="s">
        <v>13</v>
      </c>
      <c r="J592" s="277"/>
    </row>
    <row r="593">
      <c r="A593" s="145" t="s">
        <v>2721</v>
      </c>
      <c r="B593" s="47"/>
      <c r="C593" s="9" t="s">
        <v>11</v>
      </c>
      <c r="D593" s="8" t="str">
        <f t="shared" si="1"/>
        <v>-</v>
      </c>
      <c r="E593" s="9"/>
      <c r="F593" s="10"/>
      <c r="G593" s="9"/>
      <c r="H593" s="11"/>
      <c r="I593" s="9" t="s">
        <v>13</v>
      </c>
      <c r="J593" s="277"/>
    </row>
    <row r="594">
      <c r="A594" s="145" t="s">
        <v>2721</v>
      </c>
      <c r="B594" s="47"/>
      <c r="C594" s="9" t="s">
        <v>11</v>
      </c>
      <c r="D594" s="8" t="str">
        <f t="shared" si="1"/>
        <v>-</v>
      </c>
      <c r="E594" s="9"/>
      <c r="F594" s="10"/>
      <c r="G594" s="9"/>
      <c r="H594" s="11"/>
      <c r="I594" s="9" t="s">
        <v>13</v>
      </c>
      <c r="J594" s="277"/>
    </row>
    <row r="595">
      <c r="A595" s="145" t="s">
        <v>2721</v>
      </c>
      <c r="B595" s="47"/>
      <c r="C595" s="9" t="s">
        <v>11</v>
      </c>
      <c r="D595" s="8" t="str">
        <f t="shared" si="1"/>
        <v>-</v>
      </c>
      <c r="E595" s="9"/>
      <c r="F595" s="10"/>
      <c r="G595" s="9"/>
      <c r="H595" s="11"/>
      <c r="I595" s="9" t="s">
        <v>13</v>
      </c>
      <c r="J595" s="277"/>
    </row>
    <row r="596">
      <c r="A596" s="145" t="s">
        <v>2721</v>
      </c>
      <c r="B596" s="47"/>
      <c r="C596" s="9" t="s">
        <v>11</v>
      </c>
      <c r="D596" s="8" t="str">
        <f t="shared" si="1"/>
        <v>-</v>
      </c>
      <c r="E596" s="9"/>
      <c r="F596" s="10"/>
      <c r="G596" s="9"/>
      <c r="H596" s="11"/>
      <c r="I596" s="9" t="s">
        <v>13</v>
      </c>
      <c r="J596" s="277"/>
    </row>
    <row r="597">
      <c r="A597" s="145" t="s">
        <v>2721</v>
      </c>
      <c r="B597" s="47"/>
      <c r="C597" s="9" t="s">
        <v>11</v>
      </c>
      <c r="D597" s="8" t="str">
        <f t="shared" si="1"/>
        <v>-</v>
      </c>
      <c r="E597" s="9"/>
      <c r="F597" s="10"/>
      <c r="G597" s="9"/>
      <c r="H597" s="11"/>
      <c r="I597" s="9" t="s">
        <v>13</v>
      </c>
      <c r="J597" s="277"/>
    </row>
    <row r="598">
      <c r="A598" s="145" t="s">
        <v>2721</v>
      </c>
      <c r="B598" s="47"/>
      <c r="C598" s="9" t="s">
        <v>11</v>
      </c>
      <c r="D598" s="8" t="str">
        <f t="shared" si="1"/>
        <v>-</v>
      </c>
      <c r="E598" s="9"/>
      <c r="F598" s="10"/>
      <c r="G598" s="9"/>
      <c r="H598" s="11"/>
      <c r="I598" s="9" t="s">
        <v>13</v>
      </c>
      <c r="J598" s="277"/>
    </row>
    <row r="599">
      <c r="A599" s="145" t="s">
        <v>2721</v>
      </c>
      <c r="B599" s="47"/>
      <c r="C599" s="9" t="s">
        <v>11</v>
      </c>
      <c r="D599" s="8" t="str">
        <f t="shared" si="1"/>
        <v>-</v>
      </c>
      <c r="E599" s="9"/>
      <c r="F599" s="10"/>
      <c r="G599" s="9"/>
      <c r="H599" s="11"/>
      <c r="I599" s="9" t="s">
        <v>13</v>
      </c>
      <c r="J599" s="277"/>
    </row>
    <row r="600">
      <c r="A600" s="145" t="s">
        <v>2721</v>
      </c>
      <c r="B600" s="47"/>
      <c r="C600" s="9" t="s">
        <v>11</v>
      </c>
      <c r="D600" s="8" t="str">
        <f t="shared" si="1"/>
        <v>-</v>
      </c>
      <c r="E600" s="9"/>
      <c r="F600" s="10"/>
      <c r="G600" s="9"/>
      <c r="H600" s="11"/>
      <c r="I600" s="9" t="s">
        <v>13</v>
      </c>
      <c r="J600" s="277"/>
    </row>
    <row r="601">
      <c r="A601" s="145" t="s">
        <v>2721</v>
      </c>
      <c r="B601" s="47"/>
      <c r="C601" s="9" t="s">
        <v>11</v>
      </c>
      <c r="D601" s="8" t="str">
        <f t="shared" si="1"/>
        <v>-</v>
      </c>
      <c r="E601" s="9"/>
      <c r="F601" s="10"/>
      <c r="G601" s="9"/>
      <c r="H601" s="11"/>
      <c r="I601" s="9" t="s">
        <v>13</v>
      </c>
      <c r="J601" s="277"/>
    </row>
    <row r="602">
      <c r="A602" s="145" t="s">
        <v>2721</v>
      </c>
      <c r="B602" s="47"/>
      <c r="C602" s="9" t="s">
        <v>11</v>
      </c>
      <c r="D602" s="8" t="str">
        <f t="shared" si="1"/>
        <v>-</v>
      </c>
      <c r="E602" s="9"/>
      <c r="F602" s="10"/>
      <c r="G602" s="9"/>
      <c r="H602" s="11"/>
      <c r="I602" s="9" t="s">
        <v>13</v>
      </c>
      <c r="J602" s="277"/>
    </row>
    <row r="603">
      <c r="A603" s="145" t="s">
        <v>2721</v>
      </c>
      <c r="B603" s="47"/>
      <c r="C603" s="9" t="s">
        <v>11</v>
      </c>
      <c r="D603" s="8" t="str">
        <f t="shared" si="1"/>
        <v>-</v>
      </c>
      <c r="E603" s="9"/>
      <c r="F603" s="10"/>
      <c r="G603" s="9"/>
      <c r="H603" s="11"/>
      <c r="I603" s="9" t="s">
        <v>13</v>
      </c>
      <c r="J603" s="277"/>
    </row>
    <row r="604">
      <c r="A604" s="145" t="s">
        <v>2721</v>
      </c>
      <c r="B604" s="47"/>
      <c r="C604" s="9" t="s">
        <v>11</v>
      </c>
      <c r="D604" s="8" t="str">
        <f t="shared" si="1"/>
        <v>-</v>
      </c>
      <c r="E604" s="9"/>
      <c r="F604" s="10"/>
      <c r="G604" s="9"/>
      <c r="H604" s="11"/>
      <c r="I604" s="9" t="s">
        <v>13</v>
      </c>
      <c r="J604" s="277"/>
    </row>
    <row r="605">
      <c r="A605" s="145" t="s">
        <v>2721</v>
      </c>
      <c r="B605" s="47"/>
      <c r="C605" s="9" t="s">
        <v>11</v>
      </c>
      <c r="D605" s="8" t="str">
        <f t="shared" si="1"/>
        <v>-</v>
      </c>
      <c r="E605" s="9"/>
      <c r="F605" s="10"/>
      <c r="G605" s="9"/>
      <c r="H605" s="11"/>
      <c r="I605" s="9" t="s">
        <v>13</v>
      </c>
      <c r="J605" s="277"/>
    </row>
    <row r="606">
      <c r="A606" s="145" t="s">
        <v>2721</v>
      </c>
      <c r="B606" s="47"/>
      <c r="C606" s="9" t="s">
        <v>11</v>
      </c>
      <c r="D606" s="8" t="str">
        <f t="shared" si="1"/>
        <v>-</v>
      </c>
      <c r="E606" s="9"/>
      <c r="F606" s="10"/>
      <c r="G606" s="9"/>
      <c r="H606" s="11"/>
      <c r="I606" s="9" t="s">
        <v>13</v>
      </c>
      <c r="J606" s="277"/>
    </row>
    <row r="607">
      <c r="A607" s="145" t="s">
        <v>2721</v>
      </c>
      <c r="B607" s="47"/>
      <c r="C607" s="9" t="s">
        <v>11</v>
      </c>
      <c r="D607" s="8" t="str">
        <f t="shared" si="1"/>
        <v>-</v>
      </c>
      <c r="E607" s="9"/>
      <c r="F607" s="10"/>
      <c r="G607" s="9"/>
      <c r="H607" s="11"/>
      <c r="I607" s="9" t="s">
        <v>13</v>
      </c>
      <c r="J607" s="277"/>
    </row>
    <row r="608">
      <c r="A608" s="145" t="s">
        <v>2721</v>
      </c>
      <c r="B608" s="47"/>
      <c r="C608" s="9" t="s">
        <v>11</v>
      </c>
      <c r="D608" s="8" t="str">
        <f t="shared" si="1"/>
        <v>-</v>
      </c>
      <c r="E608" s="9"/>
      <c r="F608" s="10"/>
      <c r="G608" s="9"/>
      <c r="H608" s="11"/>
      <c r="I608" s="9" t="s">
        <v>13</v>
      </c>
      <c r="J608" s="277"/>
    </row>
    <row r="609">
      <c r="A609" s="145" t="s">
        <v>2721</v>
      </c>
      <c r="B609" s="47"/>
      <c r="C609" s="9" t="s">
        <v>11</v>
      </c>
      <c r="D609" s="8" t="str">
        <f t="shared" si="1"/>
        <v>-</v>
      </c>
      <c r="E609" s="9"/>
      <c r="F609" s="10"/>
      <c r="G609" s="9"/>
      <c r="H609" s="11"/>
      <c r="I609" s="9" t="s">
        <v>13</v>
      </c>
      <c r="J609" s="277"/>
    </row>
    <row r="610">
      <c r="A610" s="145" t="s">
        <v>2721</v>
      </c>
      <c r="B610" s="47"/>
      <c r="C610" s="9" t="s">
        <v>11</v>
      </c>
      <c r="D610" s="8" t="str">
        <f t="shared" si="1"/>
        <v>-</v>
      </c>
      <c r="E610" s="9"/>
      <c r="F610" s="10"/>
      <c r="G610" s="9"/>
      <c r="H610" s="11"/>
      <c r="I610" s="9" t="s">
        <v>13</v>
      </c>
      <c r="J610" s="277"/>
    </row>
    <row r="611">
      <c r="A611" s="145" t="s">
        <v>2721</v>
      </c>
      <c r="B611" s="47"/>
      <c r="C611" s="9" t="s">
        <v>11</v>
      </c>
      <c r="D611" s="8" t="str">
        <f t="shared" si="1"/>
        <v>-</v>
      </c>
      <c r="E611" s="9"/>
      <c r="F611" s="10"/>
      <c r="G611" s="9"/>
      <c r="H611" s="11"/>
      <c r="I611" s="9" t="s">
        <v>13</v>
      </c>
      <c r="J611" s="277"/>
    </row>
    <row r="612">
      <c r="A612" s="145" t="s">
        <v>2721</v>
      </c>
      <c r="B612" s="47"/>
      <c r="C612" s="9" t="s">
        <v>11</v>
      </c>
      <c r="D612" s="8" t="str">
        <f t="shared" si="1"/>
        <v>-</v>
      </c>
      <c r="E612" s="9"/>
      <c r="F612" s="10"/>
      <c r="G612" s="9"/>
      <c r="H612" s="11"/>
      <c r="I612" s="9" t="s">
        <v>13</v>
      </c>
      <c r="J612" s="277"/>
    </row>
    <row r="613">
      <c r="A613" s="145" t="s">
        <v>2721</v>
      </c>
      <c r="B613" s="47"/>
      <c r="C613" s="9" t="s">
        <v>11</v>
      </c>
      <c r="D613" s="8" t="str">
        <f t="shared" si="1"/>
        <v>-</v>
      </c>
      <c r="E613" s="9"/>
      <c r="F613" s="10"/>
      <c r="G613" s="9"/>
      <c r="H613" s="11"/>
      <c r="I613" s="9" t="s">
        <v>13</v>
      </c>
      <c r="J613" s="277"/>
    </row>
    <row r="614">
      <c r="A614" s="145" t="s">
        <v>2721</v>
      </c>
      <c r="B614" s="47"/>
      <c r="C614" s="9" t="s">
        <v>11</v>
      </c>
      <c r="D614" s="8" t="str">
        <f t="shared" si="1"/>
        <v>-</v>
      </c>
      <c r="E614" s="9"/>
      <c r="F614" s="10"/>
      <c r="G614" s="9"/>
      <c r="H614" s="11"/>
      <c r="I614" s="9" t="s">
        <v>13</v>
      </c>
      <c r="J614" s="277"/>
    </row>
    <row r="615">
      <c r="A615" s="145" t="s">
        <v>2721</v>
      </c>
      <c r="B615" s="47"/>
      <c r="C615" s="9" t="s">
        <v>11</v>
      </c>
      <c r="D615" s="8" t="str">
        <f t="shared" si="1"/>
        <v>-</v>
      </c>
      <c r="E615" s="9"/>
      <c r="F615" s="10"/>
      <c r="G615" s="9"/>
      <c r="H615" s="11"/>
      <c r="I615" s="9" t="s">
        <v>13</v>
      </c>
      <c r="J615" s="277"/>
    </row>
    <row r="616">
      <c r="A616" s="145" t="s">
        <v>2721</v>
      </c>
      <c r="B616" s="47"/>
      <c r="C616" s="9" t="s">
        <v>11</v>
      </c>
      <c r="D616" s="8" t="str">
        <f t="shared" si="1"/>
        <v>-</v>
      </c>
      <c r="E616" s="9"/>
      <c r="F616" s="10"/>
      <c r="G616" s="9"/>
      <c r="H616" s="11"/>
      <c r="I616" s="9" t="s">
        <v>13</v>
      </c>
      <c r="J616" s="277"/>
    </row>
    <row r="617">
      <c r="A617" s="145" t="s">
        <v>2721</v>
      </c>
      <c r="B617" s="47"/>
      <c r="C617" s="9" t="s">
        <v>11</v>
      </c>
      <c r="D617" s="8" t="str">
        <f t="shared" si="1"/>
        <v>-</v>
      </c>
      <c r="E617" s="9"/>
      <c r="F617" s="10"/>
      <c r="G617" s="9"/>
      <c r="H617" s="11"/>
      <c r="I617" s="9" t="s">
        <v>13</v>
      </c>
      <c r="J617" s="277"/>
    </row>
    <row r="618">
      <c r="A618" s="145" t="s">
        <v>2721</v>
      </c>
      <c r="B618" s="47"/>
      <c r="C618" s="9" t="s">
        <v>11</v>
      </c>
      <c r="D618" s="8" t="str">
        <f t="shared" si="1"/>
        <v>-</v>
      </c>
      <c r="E618" s="9"/>
      <c r="F618" s="10"/>
      <c r="G618" s="9"/>
      <c r="H618" s="11"/>
      <c r="I618" s="9" t="s">
        <v>13</v>
      </c>
      <c r="J618" s="277"/>
    </row>
    <row r="619">
      <c r="A619" s="145" t="s">
        <v>2721</v>
      </c>
      <c r="B619" s="47"/>
      <c r="C619" s="9" t="s">
        <v>11</v>
      </c>
      <c r="D619" s="8" t="str">
        <f t="shared" si="1"/>
        <v>-</v>
      </c>
      <c r="E619" s="9"/>
      <c r="F619" s="10"/>
      <c r="G619" s="9"/>
      <c r="H619" s="11"/>
      <c r="I619" s="9" t="s">
        <v>13</v>
      </c>
      <c r="J619" s="277"/>
    </row>
    <row r="620">
      <c r="A620" s="145" t="s">
        <v>2721</v>
      </c>
      <c r="B620" s="47"/>
      <c r="C620" s="9" t="s">
        <v>11</v>
      </c>
      <c r="D620" s="8" t="str">
        <f t="shared" si="1"/>
        <v>-</v>
      </c>
      <c r="E620" s="9"/>
      <c r="F620" s="10"/>
      <c r="G620" s="9"/>
      <c r="H620" s="11"/>
      <c r="I620" s="9" t="s">
        <v>13</v>
      </c>
      <c r="J620" s="277"/>
    </row>
    <row r="621">
      <c r="A621" s="145" t="s">
        <v>2721</v>
      </c>
      <c r="B621" s="47"/>
      <c r="C621" s="9" t="s">
        <v>11</v>
      </c>
      <c r="D621" s="8" t="str">
        <f t="shared" si="1"/>
        <v>-</v>
      </c>
      <c r="E621" s="9"/>
      <c r="F621" s="10"/>
      <c r="G621" s="9"/>
      <c r="H621" s="11"/>
      <c r="I621" s="9" t="s">
        <v>13</v>
      </c>
      <c r="J621" s="277"/>
    </row>
    <row r="622">
      <c r="A622" s="145" t="s">
        <v>2721</v>
      </c>
      <c r="B622" s="47"/>
      <c r="C622" s="9" t="s">
        <v>11</v>
      </c>
      <c r="D622" s="8" t="str">
        <f t="shared" si="1"/>
        <v>-</v>
      </c>
      <c r="E622" s="9"/>
      <c r="F622" s="10"/>
      <c r="G622" s="9"/>
      <c r="H622" s="11"/>
      <c r="I622" s="9" t="s">
        <v>13</v>
      </c>
      <c r="J622" s="277"/>
    </row>
    <row r="623">
      <c r="A623" s="145" t="s">
        <v>2721</v>
      </c>
      <c r="B623" s="47"/>
      <c r="C623" s="9" t="s">
        <v>11</v>
      </c>
      <c r="D623" s="8" t="str">
        <f t="shared" si="1"/>
        <v>-</v>
      </c>
      <c r="E623" s="9"/>
      <c r="F623" s="10"/>
      <c r="G623" s="9"/>
      <c r="H623" s="11"/>
      <c r="I623" s="9" t="s">
        <v>13</v>
      </c>
      <c r="J623" s="277"/>
    </row>
    <row r="624">
      <c r="A624" s="145" t="s">
        <v>2721</v>
      </c>
      <c r="B624" s="47"/>
      <c r="C624" s="9" t="s">
        <v>11</v>
      </c>
      <c r="D624" s="8" t="str">
        <f t="shared" si="1"/>
        <v>-</v>
      </c>
      <c r="E624" s="9"/>
      <c r="F624" s="10"/>
      <c r="G624" s="9"/>
      <c r="H624" s="11"/>
      <c r="I624" s="9" t="s">
        <v>13</v>
      </c>
      <c r="J624" s="277"/>
    </row>
    <row r="625">
      <c r="A625" s="145" t="s">
        <v>2721</v>
      </c>
      <c r="B625" s="47"/>
      <c r="C625" s="9" t="s">
        <v>11</v>
      </c>
      <c r="D625" s="8" t="str">
        <f t="shared" si="1"/>
        <v>-</v>
      </c>
      <c r="E625" s="9"/>
      <c r="F625" s="10"/>
      <c r="G625" s="9"/>
      <c r="H625" s="11"/>
      <c r="I625" s="9" t="s">
        <v>13</v>
      </c>
      <c r="J625" s="277"/>
    </row>
    <row r="626">
      <c r="A626" s="145" t="s">
        <v>2721</v>
      </c>
      <c r="B626" s="47"/>
      <c r="C626" s="9" t="s">
        <v>11</v>
      </c>
      <c r="D626" s="8" t="str">
        <f t="shared" si="1"/>
        <v>-</v>
      </c>
      <c r="E626" s="9"/>
      <c r="F626" s="10"/>
      <c r="G626" s="9"/>
      <c r="H626" s="11"/>
      <c r="I626" s="9" t="s">
        <v>13</v>
      </c>
      <c r="J626" s="277"/>
    </row>
    <row r="627">
      <c r="A627" s="145" t="s">
        <v>2721</v>
      </c>
      <c r="B627" s="47"/>
      <c r="C627" s="9" t="s">
        <v>11</v>
      </c>
      <c r="D627" s="8" t="str">
        <f t="shared" si="1"/>
        <v>-</v>
      </c>
      <c r="E627" s="9"/>
      <c r="F627" s="10"/>
      <c r="G627" s="9"/>
      <c r="H627" s="11"/>
      <c r="I627" s="9" t="s">
        <v>13</v>
      </c>
      <c r="J627" s="277"/>
    </row>
    <row r="628">
      <c r="A628" s="145" t="s">
        <v>2721</v>
      </c>
      <c r="B628" s="47"/>
      <c r="C628" s="9" t="s">
        <v>11</v>
      </c>
      <c r="D628" s="8" t="str">
        <f t="shared" si="1"/>
        <v>-</v>
      </c>
      <c r="E628" s="9"/>
      <c r="F628" s="10"/>
      <c r="G628" s="9"/>
      <c r="H628" s="11"/>
      <c r="I628" s="9" t="s">
        <v>13</v>
      </c>
      <c r="J628" s="277"/>
    </row>
    <row r="629">
      <c r="A629" s="145" t="s">
        <v>2721</v>
      </c>
      <c r="B629" s="47"/>
      <c r="C629" s="9" t="s">
        <v>11</v>
      </c>
      <c r="D629" s="8" t="str">
        <f t="shared" si="1"/>
        <v>-</v>
      </c>
      <c r="E629" s="9"/>
      <c r="F629" s="10"/>
      <c r="G629" s="9"/>
      <c r="H629" s="11"/>
      <c r="I629" s="9" t="s">
        <v>13</v>
      </c>
      <c r="J629" s="277"/>
    </row>
    <row r="630">
      <c r="A630" s="145" t="s">
        <v>2721</v>
      </c>
      <c r="B630" s="47"/>
      <c r="C630" s="9" t="s">
        <v>11</v>
      </c>
      <c r="D630" s="8" t="str">
        <f t="shared" si="1"/>
        <v>-</v>
      </c>
      <c r="E630" s="9"/>
      <c r="F630" s="10"/>
      <c r="G630" s="9"/>
      <c r="H630" s="11"/>
      <c r="I630" s="9" t="s">
        <v>13</v>
      </c>
      <c r="J630" s="277"/>
    </row>
    <row r="631">
      <c r="A631" s="145" t="s">
        <v>2721</v>
      </c>
      <c r="B631" s="47"/>
      <c r="C631" s="9" t="s">
        <v>11</v>
      </c>
      <c r="D631" s="8" t="str">
        <f t="shared" si="1"/>
        <v>-</v>
      </c>
      <c r="E631" s="9"/>
      <c r="F631" s="10"/>
      <c r="G631" s="9"/>
      <c r="H631" s="11"/>
      <c r="I631" s="9" t="s">
        <v>13</v>
      </c>
      <c r="J631" s="277"/>
    </row>
    <row r="632">
      <c r="A632" s="145" t="s">
        <v>2721</v>
      </c>
      <c r="B632" s="47"/>
      <c r="C632" s="9" t="s">
        <v>11</v>
      </c>
      <c r="D632" s="8" t="str">
        <f t="shared" si="1"/>
        <v>-</v>
      </c>
      <c r="E632" s="9"/>
      <c r="F632" s="10"/>
      <c r="G632" s="9"/>
      <c r="H632" s="11"/>
      <c r="I632" s="9" t="s">
        <v>13</v>
      </c>
      <c r="J632" s="277"/>
    </row>
    <row r="633">
      <c r="A633" s="145" t="s">
        <v>2721</v>
      </c>
      <c r="B633" s="47"/>
      <c r="C633" s="9" t="s">
        <v>11</v>
      </c>
      <c r="D633" s="8" t="str">
        <f t="shared" si="1"/>
        <v>-</v>
      </c>
      <c r="E633" s="9"/>
      <c r="F633" s="10"/>
      <c r="G633" s="9"/>
      <c r="H633" s="11"/>
      <c r="I633" s="9" t="s">
        <v>13</v>
      </c>
      <c r="J633" s="277"/>
    </row>
    <row r="634">
      <c r="A634" s="145" t="s">
        <v>2721</v>
      </c>
      <c r="B634" s="47"/>
      <c r="C634" s="9" t="s">
        <v>11</v>
      </c>
      <c r="D634" s="8" t="str">
        <f t="shared" si="1"/>
        <v>-</v>
      </c>
      <c r="E634" s="9"/>
      <c r="F634" s="10"/>
      <c r="G634" s="9"/>
      <c r="H634" s="11"/>
      <c r="I634" s="9" t="s">
        <v>13</v>
      </c>
      <c r="J634" s="277"/>
    </row>
    <row r="635">
      <c r="A635" s="145" t="s">
        <v>2721</v>
      </c>
      <c r="B635" s="47"/>
      <c r="C635" s="9" t="s">
        <v>11</v>
      </c>
      <c r="D635" s="8" t="str">
        <f t="shared" si="1"/>
        <v>-</v>
      </c>
      <c r="E635" s="9"/>
      <c r="F635" s="10"/>
      <c r="G635" s="9"/>
      <c r="H635" s="11"/>
      <c r="I635" s="9" t="s">
        <v>13</v>
      </c>
      <c r="J635" s="277"/>
    </row>
    <row r="636">
      <c r="A636" s="145" t="s">
        <v>2721</v>
      </c>
      <c r="B636" s="47"/>
      <c r="C636" s="9" t="s">
        <v>11</v>
      </c>
      <c r="D636" s="8" t="str">
        <f t="shared" si="1"/>
        <v>-</v>
      </c>
      <c r="E636" s="9"/>
      <c r="F636" s="10"/>
      <c r="G636" s="9"/>
      <c r="H636" s="11"/>
      <c r="I636" s="9" t="s">
        <v>13</v>
      </c>
      <c r="J636" s="277"/>
    </row>
    <row r="637">
      <c r="A637" s="145" t="s">
        <v>2721</v>
      </c>
      <c r="B637" s="47"/>
      <c r="C637" s="9" t="s">
        <v>11</v>
      </c>
      <c r="D637" s="8" t="str">
        <f t="shared" si="1"/>
        <v>-</v>
      </c>
      <c r="E637" s="9"/>
      <c r="F637" s="10"/>
      <c r="G637" s="9"/>
      <c r="H637" s="11"/>
      <c r="I637" s="9" t="s">
        <v>13</v>
      </c>
      <c r="J637" s="277"/>
    </row>
    <row r="638">
      <c r="A638" s="145" t="s">
        <v>2721</v>
      </c>
      <c r="B638" s="47"/>
      <c r="C638" s="9" t="s">
        <v>11</v>
      </c>
      <c r="D638" s="8" t="str">
        <f t="shared" si="1"/>
        <v>-</v>
      </c>
      <c r="E638" s="9"/>
      <c r="F638" s="10"/>
      <c r="G638" s="9"/>
      <c r="H638" s="11"/>
      <c r="I638" s="9" t="s">
        <v>13</v>
      </c>
      <c r="J638" s="277"/>
    </row>
    <row r="639">
      <c r="A639" s="145" t="s">
        <v>2721</v>
      </c>
      <c r="B639" s="47"/>
      <c r="C639" s="9" t="s">
        <v>11</v>
      </c>
      <c r="D639" s="8" t="str">
        <f t="shared" si="1"/>
        <v>-</v>
      </c>
      <c r="E639" s="9"/>
      <c r="F639" s="10"/>
      <c r="G639" s="9"/>
      <c r="H639" s="11"/>
      <c r="I639" s="9" t="s">
        <v>13</v>
      </c>
      <c r="J639" s="277"/>
    </row>
    <row r="640">
      <c r="A640" s="145" t="s">
        <v>2721</v>
      </c>
      <c r="B640" s="47"/>
      <c r="C640" s="9" t="s">
        <v>11</v>
      </c>
      <c r="D640" s="8" t="str">
        <f t="shared" si="1"/>
        <v>-</v>
      </c>
      <c r="E640" s="9"/>
      <c r="F640" s="10"/>
      <c r="G640" s="9"/>
      <c r="H640" s="11"/>
      <c r="I640" s="9" t="s">
        <v>13</v>
      </c>
      <c r="J640" s="277"/>
    </row>
    <row r="641">
      <c r="A641" s="145" t="s">
        <v>2721</v>
      </c>
      <c r="B641" s="47"/>
      <c r="C641" s="9" t="s">
        <v>11</v>
      </c>
      <c r="D641" s="8" t="str">
        <f t="shared" si="1"/>
        <v>-</v>
      </c>
      <c r="E641" s="9"/>
      <c r="F641" s="10"/>
      <c r="G641" s="9"/>
      <c r="H641" s="11"/>
      <c r="I641" s="9" t="s">
        <v>13</v>
      </c>
      <c r="J641" s="277"/>
    </row>
    <row r="642">
      <c r="A642" s="145" t="s">
        <v>2721</v>
      </c>
      <c r="B642" s="47"/>
      <c r="C642" s="9" t="s">
        <v>11</v>
      </c>
      <c r="D642" s="8" t="str">
        <f t="shared" si="1"/>
        <v>-</v>
      </c>
      <c r="E642" s="9"/>
      <c r="F642" s="10"/>
      <c r="G642" s="9"/>
      <c r="H642" s="11"/>
      <c r="I642" s="9" t="s">
        <v>13</v>
      </c>
      <c r="J642" s="277"/>
    </row>
    <row r="643">
      <c r="A643" s="145" t="s">
        <v>2721</v>
      </c>
      <c r="B643" s="47"/>
      <c r="C643" s="9" t="s">
        <v>11</v>
      </c>
      <c r="D643" s="8" t="str">
        <f t="shared" si="1"/>
        <v>-</v>
      </c>
      <c r="E643" s="9"/>
      <c r="F643" s="10"/>
      <c r="G643" s="9"/>
      <c r="H643" s="11"/>
      <c r="I643" s="9" t="s">
        <v>13</v>
      </c>
      <c r="J643" s="277"/>
    </row>
    <row r="644">
      <c r="A644" s="145" t="s">
        <v>2721</v>
      </c>
      <c r="B644" s="47"/>
      <c r="C644" s="9" t="s">
        <v>11</v>
      </c>
      <c r="D644" s="8" t="str">
        <f t="shared" si="1"/>
        <v>-</v>
      </c>
      <c r="E644" s="9"/>
      <c r="F644" s="10"/>
      <c r="G644" s="9"/>
      <c r="H644" s="11"/>
      <c r="I644" s="9" t="s">
        <v>13</v>
      </c>
      <c r="J644" s="277"/>
    </row>
    <row r="645">
      <c r="A645" s="145" t="s">
        <v>2721</v>
      </c>
      <c r="B645" s="47"/>
      <c r="C645" s="9" t="s">
        <v>11</v>
      </c>
      <c r="D645" s="8" t="str">
        <f t="shared" si="1"/>
        <v>-</v>
      </c>
      <c r="E645" s="9"/>
      <c r="F645" s="10"/>
      <c r="G645" s="9"/>
      <c r="H645" s="11"/>
      <c r="I645" s="9" t="s">
        <v>13</v>
      </c>
      <c r="J645" s="277"/>
    </row>
    <row r="646">
      <c r="A646" s="145" t="s">
        <v>2721</v>
      </c>
      <c r="B646" s="47"/>
      <c r="C646" s="9" t="s">
        <v>11</v>
      </c>
      <c r="D646" s="8" t="str">
        <f t="shared" si="1"/>
        <v>-</v>
      </c>
      <c r="E646" s="9"/>
      <c r="F646" s="10"/>
      <c r="G646" s="9"/>
      <c r="H646" s="11"/>
      <c r="I646" s="9" t="s">
        <v>13</v>
      </c>
      <c r="J646" s="277"/>
    </row>
    <row r="647">
      <c r="A647" s="145" t="s">
        <v>2721</v>
      </c>
      <c r="B647" s="47"/>
      <c r="C647" s="9" t="s">
        <v>11</v>
      </c>
      <c r="D647" s="8" t="str">
        <f t="shared" si="1"/>
        <v>-</v>
      </c>
      <c r="E647" s="9"/>
      <c r="F647" s="10"/>
      <c r="G647" s="9"/>
      <c r="H647" s="11"/>
      <c r="I647" s="9" t="s">
        <v>13</v>
      </c>
      <c r="J647" s="277"/>
    </row>
    <row r="648">
      <c r="A648" s="145" t="s">
        <v>2721</v>
      </c>
      <c r="B648" s="47"/>
      <c r="C648" s="9" t="s">
        <v>11</v>
      </c>
      <c r="D648" s="8" t="str">
        <f t="shared" si="1"/>
        <v>-</v>
      </c>
      <c r="E648" s="9"/>
      <c r="F648" s="10"/>
      <c r="G648" s="9"/>
      <c r="H648" s="11"/>
      <c r="I648" s="9" t="s">
        <v>13</v>
      </c>
      <c r="J648" s="277"/>
    </row>
    <row r="649">
      <c r="A649" s="145" t="s">
        <v>2721</v>
      </c>
      <c r="B649" s="47"/>
      <c r="C649" s="9" t="s">
        <v>11</v>
      </c>
      <c r="D649" s="8" t="str">
        <f t="shared" si="1"/>
        <v>-</v>
      </c>
      <c r="E649" s="9"/>
      <c r="F649" s="10"/>
      <c r="G649" s="9"/>
      <c r="H649" s="11"/>
      <c r="I649" s="9" t="s">
        <v>13</v>
      </c>
      <c r="J649" s="277"/>
    </row>
    <row r="650">
      <c r="A650" s="145" t="s">
        <v>2721</v>
      </c>
      <c r="B650" s="47"/>
      <c r="C650" s="9" t="s">
        <v>11</v>
      </c>
      <c r="D650" s="8" t="str">
        <f t="shared" si="1"/>
        <v>-</v>
      </c>
      <c r="E650" s="9"/>
      <c r="F650" s="10"/>
      <c r="G650" s="9"/>
      <c r="H650" s="11"/>
      <c r="I650" s="9" t="s">
        <v>13</v>
      </c>
      <c r="J650" s="277"/>
    </row>
    <row r="651">
      <c r="A651" s="145" t="s">
        <v>2721</v>
      </c>
      <c r="B651" s="47"/>
      <c r="C651" s="9" t="s">
        <v>11</v>
      </c>
      <c r="D651" s="8" t="str">
        <f t="shared" si="1"/>
        <v>-</v>
      </c>
      <c r="E651" s="9"/>
      <c r="F651" s="10"/>
      <c r="G651" s="9"/>
      <c r="H651" s="11"/>
      <c r="I651" s="9" t="s">
        <v>13</v>
      </c>
      <c r="J651" s="277"/>
    </row>
    <row r="652">
      <c r="A652" s="145" t="s">
        <v>2721</v>
      </c>
      <c r="B652" s="47"/>
      <c r="C652" s="9" t="s">
        <v>11</v>
      </c>
      <c r="D652" s="8" t="str">
        <f t="shared" si="1"/>
        <v>-</v>
      </c>
      <c r="E652" s="9"/>
      <c r="F652" s="10"/>
      <c r="G652" s="9"/>
      <c r="H652" s="11"/>
      <c r="I652" s="9" t="s">
        <v>13</v>
      </c>
      <c r="J652" s="277"/>
    </row>
    <row r="653">
      <c r="A653" s="145" t="s">
        <v>2721</v>
      </c>
      <c r="B653" s="47"/>
      <c r="C653" s="9" t="s">
        <v>11</v>
      </c>
      <c r="D653" s="8" t="str">
        <f t="shared" si="1"/>
        <v>-</v>
      </c>
      <c r="E653" s="9"/>
      <c r="F653" s="10"/>
      <c r="G653" s="9"/>
      <c r="H653" s="11"/>
      <c r="I653" s="9" t="s">
        <v>13</v>
      </c>
      <c r="J653" s="277"/>
    </row>
    <row r="654">
      <c r="A654" s="145" t="s">
        <v>2721</v>
      </c>
      <c r="B654" s="47"/>
      <c r="C654" s="9" t="s">
        <v>11</v>
      </c>
      <c r="D654" s="8" t="str">
        <f t="shared" si="1"/>
        <v>-</v>
      </c>
      <c r="E654" s="9"/>
      <c r="F654" s="10"/>
      <c r="G654" s="9"/>
      <c r="H654" s="11"/>
      <c r="I654" s="9" t="s">
        <v>13</v>
      </c>
      <c r="J654" s="277"/>
    </row>
    <row r="655">
      <c r="A655" s="145" t="s">
        <v>2721</v>
      </c>
      <c r="B655" s="47"/>
      <c r="C655" s="9" t="s">
        <v>11</v>
      </c>
      <c r="D655" s="8" t="str">
        <f t="shared" si="1"/>
        <v>-</v>
      </c>
      <c r="E655" s="9"/>
      <c r="F655" s="10"/>
      <c r="G655" s="9"/>
      <c r="H655" s="11"/>
      <c r="I655" s="9" t="s">
        <v>13</v>
      </c>
      <c r="J655" s="277"/>
    </row>
    <row r="656">
      <c r="A656" s="145" t="s">
        <v>2721</v>
      </c>
      <c r="B656" s="47"/>
      <c r="C656" s="9" t="s">
        <v>11</v>
      </c>
      <c r="D656" s="8" t="str">
        <f t="shared" si="1"/>
        <v>-</v>
      </c>
      <c r="E656" s="9"/>
      <c r="F656" s="10"/>
      <c r="G656" s="9"/>
      <c r="H656" s="11"/>
      <c r="I656" s="9" t="s">
        <v>13</v>
      </c>
      <c r="J656" s="277"/>
    </row>
    <row r="657">
      <c r="A657" s="145" t="s">
        <v>2721</v>
      </c>
      <c r="B657" s="47"/>
      <c r="C657" s="9" t="s">
        <v>11</v>
      </c>
      <c r="D657" s="8" t="str">
        <f t="shared" si="1"/>
        <v>-</v>
      </c>
      <c r="E657" s="9"/>
      <c r="F657" s="10"/>
      <c r="G657" s="9"/>
      <c r="H657" s="11"/>
      <c r="I657" s="9" t="s">
        <v>13</v>
      </c>
      <c r="J657" s="277"/>
    </row>
    <row r="658">
      <c r="A658" s="145" t="s">
        <v>2721</v>
      </c>
      <c r="B658" s="47"/>
      <c r="C658" s="9" t="s">
        <v>11</v>
      </c>
      <c r="D658" s="8" t="str">
        <f t="shared" si="1"/>
        <v>-</v>
      </c>
      <c r="E658" s="9"/>
      <c r="F658" s="10"/>
      <c r="G658" s="9"/>
      <c r="H658" s="11"/>
      <c r="I658" s="9" t="s">
        <v>13</v>
      </c>
      <c r="J658" s="277"/>
    </row>
    <row r="659">
      <c r="A659" s="145" t="s">
        <v>2721</v>
      </c>
      <c r="B659" s="47"/>
      <c r="C659" s="9" t="s">
        <v>11</v>
      </c>
      <c r="D659" s="8" t="str">
        <f t="shared" si="1"/>
        <v>-</v>
      </c>
      <c r="E659" s="9"/>
      <c r="F659" s="10"/>
      <c r="G659" s="9"/>
      <c r="H659" s="11"/>
      <c r="I659" s="9" t="s">
        <v>13</v>
      </c>
      <c r="J659" s="277"/>
    </row>
    <row r="660">
      <c r="A660" s="145" t="s">
        <v>2721</v>
      </c>
      <c r="B660" s="47"/>
      <c r="C660" s="9" t="s">
        <v>11</v>
      </c>
      <c r="D660" s="8" t="str">
        <f t="shared" si="1"/>
        <v>-</v>
      </c>
      <c r="E660" s="9"/>
      <c r="F660" s="10"/>
      <c r="G660" s="9"/>
      <c r="H660" s="11"/>
      <c r="I660" s="9" t="s">
        <v>13</v>
      </c>
      <c r="J660" s="277"/>
    </row>
    <row r="661">
      <c r="A661" s="145" t="s">
        <v>2721</v>
      </c>
      <c r="B661" s="47"/>
      <c r="C661" s="9" t="s">
        <v>11</v>
      </c>
      <c r="D661" s="8" t="str">
        <f t="shared" si="1"/>
        <v>-</v>
      </c>
      <c r="E661" s="9"/>
      <c r="F661" s="10"/>
      <c r="G661" s="9"/>
      <c r="H661" s="11"/>
      <c r="I661" s="9" t="s">
        <v>13</v>
      </c>
      <c r="J661" s="277"/>
    </row>
    <row r="662">
      <c r="A662" s="145" t="s">
        <v>2721</v>
      </c>
      <c r="B662" s="47"/>
      <c r="C662" s="9" t="s">
        <v>11</v>
      </c>
      <c r="D662" s="8" t="str">
        <f t="shared" si="1"/>
        <v>-</v>
      </c>
      <c r="E662" s="9"/>
      <c r="F662" s="10"/>
      <c r="G662" s="9"/>
      <c r="H662" s="11"/>
      <c r="I662" s="9" t="s">
        <v>13</v>
      </c>
      <c r="J662" s="277"/>
    </row>
    <row r="663">
      <c r="A663" s="145" t="s">
        <v>2721</v>
      </c>
      <c r="B663" s="47"/>
      <c r="C663" s="9" t="s">
        <v>11</v>
      </c>
      <c r="D663" s="8" t="str">
        <f t="shared" si="1"/>
        <v>-</v>
      </c>
      <c r="E663" s="9"/>
      <c r="F663" s="10"/>
      <c r="G663" s="9"/>
      <c r="H663" s="11"/>
      <c r="I663" s="9" t="s">
        <v>13</v>
      </c>
      <c r="J663" s="277"/>
    </row>
    <row r="664">
      <c r="A664" s="145" t="s">
        <v>2721</v>
      </c>
      <c r="B664" s="47"/>
      <c r="C664" s="9" t="s">
        <v>11</v>
      </c>
      <c r="D664" s="8" t="str">
        <f t="shared" si="1"/>
        <v>-</v>
      </c>
      <c r="E664" s="9"/>
      <c r="F664" s="10"/>
      <c r="G664" s="9"/>
      <c r="H664" s="11"/>
      <c r="I664" s="9" t="s">
        <v>13</v>
      </c>
      <c r="J664" s="277"/>
    </row>
    <row r="665">
      <c r="A665" s="145" t="s">
        <v>2721</v>
      </c>
      <c r="B665" s="47"/>
      <c r="C665" s="9" t="s">
        <v>11</v>
      </c>
      <c r="D665" s="8" t="str">
        <f t="shared" si="1"/>
        <v>-</v>
      </c>
      <c r="E665" s="9"/>
      <c r="F665" s="10"/>
      <c r="G665" s="9"/>
      <c r="H665" s="11"/>
      <c r="I665" s="9" t="s">
        <v>13</v>
      </c>
      <c r="J665" s="277"/>
    </row>
    <row r="666">
      <c r="A666" s="145" t="s">
        <v>2721</v>
      </c>
      <c r="B666" s="47"/>
      <c r="C666" s="9" t="s">
        <v>11</v>
      </c>
      <c r="D666" s="8" t="str">
        <f t="shared" si="1"/>
        <v>-</v>
      </c>
      <c r="E666" s="9"/>
      <c r="F666" s="10"/>
      <c r="G666" s="9"/>
      <c r="H666" s="11"/>
      <c r="I666" s="9" t="s">
        <v>13</v>
      </c>
      <c r="J666" s="277"/>
    </row>
    <row r="667">
      <c r="A667" s="145" t="s">
        <v>2721</v>
      </c>
      <c r="B667" s="47"/>
      <c r="C667" s="9" t="s">
        <v>11</v>
      </c>
      <c r="D667" s="8" t="str">
        <f t="shared" si="1"/>
        <v>-</v>
      </c>
      <c r="E667" s="9"/>
      <c r="F667" s="10"/>
      <c r="G667" s="9"/>
      <c r="H667" s="11"/>
      <c r="I667" s="9" t="s">
        <v>13</v>
      </c>
      <c r="J667" s="277"/>
    </row>
    <row r="668">
      <c r="A668" s="145" t="s">
        <v>2721</v>
      </c>
      <c r="B668" s="47"/>
      <c r="C668" s="9" t="s">
        <v>11</v>
      </c>
      <c r="D668" s="8" t="str">
        <f t="shared" si="1"/>
        <v>-</v>
      </c>
      <c r="E668" s="9"/>
      <c r="F668" s="10"/>
      <c r="G668" s="9"/>
      <c r="H668" s="11"/>
      <c r="I668" s="9" t="s">
        <v>13</v>
      </c>
      <c r="J668" s="277"/>
    </row>
    <row r="669">
      <c r="A669" s="145" t="s">
        <v>2721</v>
      </c>
      <c r="B669" s="47"/>
      <c r="C669" s="9" t="s">
        <v>11</v>
      </c>
      <c r="D669" s="8" t="str">
        <f t="shared" si="1"/>
        <v>-</v>
      </c>
      <c r="E669" s="9"/>
      <c r="F669" s="10"/>
      <c r="G669" s="9"/>
      <c r="H669" s="11"/>
      <c r="I669" s="9" t="s">
        <v>13</v>
      </c>
      <c r="J669" s="277"/>
    </row>
    <row r="670">
      <c r="A670" s="145" t="s">
        <v>2721</v>
      </c>
      <c r="B670" s="47"/>
      <c r="C670" s="9" t="s">
        <v>11</v>
      </c>
      <c r="D670" s="8" t="str">
        <f t="shared" si="1"/>
        <v>-</v>
      </c>
      <c r="E670" s="9"/>
      <c r="F670" s="10"/>
      <c r="G670" s="9"/>
      <c r="H670" s="11"/>
      <c r="I670" s="9" t="s">
        <v>13</v>
      </c>
      <c r="J670" s="277"/>
    </row>
    <row r="671">
      <c r="A671" s="145" t="s">
        <v>2721</v>
      </c>
      <c r="B671" s="47"/>
      <c r="C671" s="9" t="s">
        <v>11</v>
      </c>
      <c r="D671" s="8" t="str">
        <f t="shared" si="1"/>
        <v>-</v>
      </c>
      <c r="E671" s="9"/>
      <c r="F671" s="10"/>
      <c r="G671" s="9"/>
      <c r="H671" s="11"/>
      <c r="I671" s="9" t="s">
        <v>13</v>
      </c>
      <c r="J671" s="277"/>
    </row>
    <row r="672">
      <c r="A672" s="145" t="s">
        <v>2721</v>
      </c>
      <c r="B672" s="47"/>
      <c r="C672" s="9" t="s">
        <v>11</v>
      </c>
      <c r="D672" s="8" t="str">
        <f t="shared" si="1"/>
        <v>-</v>
      </c>
      <c r="E672" s="9"/>
      <c r="F672" s="10"/>
      <c r="G672" s="9"/>
      <c r="H672" s="11"/>
      <c r="I672" s="9" t="s">
        <v>13</v>
      </c>
      <c r="J672" s="277"/>
    </row>
    <row r="673">
      <c r="A673" s="145" t="s">
        <v>2721</v>
      </c>
      <c r="B673" s="47"/>
      <c r="C673" s="9" t="s">
        <v>11</v>
      </c>
      <c r="D673" s="8" t="str">
        <f t="shared" si="1"/>
        <v>-</v>
      </c>
      <c r="E673" s="9"/>
      <c r="F673" s="10"/>
      <c r="G673" s="9"/>
      <c r="H673" s="11"/>
      <c r="I673" s="9" t="s">
        <v>13</v>
      </c>
      <c r="J673" s="277"/>
    </row>
    <row r="674">
      <c r="A674" s="145" t="s">
        <v>2721</v>
      </c>
      <c r="B674" s="47"/>
      <c r="C674" s="9" t="s">
        <v>11</v>
      </c>
      <c r="D674" s="8" t="str">
        <f t="shared" si="1"/>
        <v>-</v>
      </c>
      <c r="E674" s="9"/>
      <c r="F674" s="10"/>
      <c r="G674" s="9"/>
      <c r="H674" s="11"/>
      <c r="I674" s="9" t="s">
        <v>13</v>
      </c>
      <c r="J674" s="277"/>
    </row>
    <row r="675">
      <c r="A675" s="145" t="s">
        <v>2721</v>
      </c>
      <c r="B675" s="47"/>
      <c r="C675" s="9" t="s">
        <v>11</v>
      </c>
      <c r="D675" s="8" t="str">
        <f t="shared" si="1"/>
        <v>-</v>
      </c>
      <c r="E675" s="9"/>
      <c r="F675" s="10"/>
      <c r="G675" s="9"/>
      <c r="H675" s="11"/>
      <c r="I675" s="9" t="s">
        <v>13</v>
      </c>
      <c r="J675" s="277"/>
    </row>
    <row r="676">
      <c r="A676" s="145" t="s">
        <v>2721</v>
      </c>
      <c r="B676" s="47"/>
      <c r="C676" s="9" t="s">
        <v>11</v>
      </c>
      <c r="D676" s="8" t="str">
        <f t="shared" si="1"/>
        <v>-</v>
      </c>
      <c r="E676" s="9"/>
      <c r="F676" s="10"/>
      <c r="G676" s="9"/>
      <c r="H676" s="11"/>
      <c r="I676" s="9" t="s">
        <v>13</v>
      </c>
      <c r="J676" s="277"/>
    </row>
    <row r="677">
      <c r="A677" s="145" t="s">
        <v>2721</v>
      </c>
      <c r="B677" s="47"/>
      <c r="C677" s="9" t="s">
        <v>11</v>
      </c>
      <c r="D677" s="8" t="str">
        <f t="shared" si="1"/>
        <v>-</v>
      </c>
      <c r="E677" s="9"/>
      <c r="F677" s="10"/>
      <c r="G677" s="9"/>
      <c r="H677" s="11"/>
      <c r="I677" s="9" t="s">
        <v>13</v>
      </c>
      <c r="J677" s="277"/>
    </row>
    <row r="678">
      <c r="A678" s="145" t="s">
        <v>2721</v>
      </c>
      <c r="B678" s="47"/>
      <c r="C678" s="9" t="s">
        <v>11</v>
      </c>
      <c r="D678" s="8" t="str">
        <f t="shared" si="1"/>
        <v>-</v>
      </c>
      <c r="E678" s="9"/>
      <c r="F678" s="10"/>
      <c r="G678" s="9"/>
      <c r="H678" s="11"/>
      <c r="I678" s="9" t="s">
        <v>13</v>
      </c>
      <c r="J678" s="277"/>
    </row>
    <row r="679">
      <c r="A679" s="145" t="s">
        <v>2721</v>
      </c>
      <c r="B679" s="47"/>
      <c r="C679" s="9" t="s">
        <v>11</v>
      </c>
      <c r="D679" s="8" t="str">
        <f t="shared" si="1"/>
        <v>-</v>
      </c>
      <c r="E679" s="9"/>
      <c r="F679" s="10"/>
      <c r="G679" s="9"/>
      <c r="H679" s="11"/>
      <c r="I679" s="9" t="s">
        <v>13</v>
      </c>
      <c r="J679" s="277"/>
    </row>
    <row r="680">
      <c r="A680" s="145" t="s">
        <v>2721</v>
      </c>
      <c r="B680" s="47"/>
      <c r="C680" s="9" t="s">
        <v>11</v>
      </c>
      <c r="D680" s="8" t="str">
        <f t="shared" si="1"/>
        <v>-</v>
      </c>
      <c r="E680" s="9"/>
      <c r="F680" s="10"/>
      <c r="G680" s="9"/>
      <c r="H680" s="11"/>
      <c r="I680" s="9" t="s">
        <v>13</v>
      </c>
      <c r="J680" s="277"/>
    </row>
    <row r="681">
      <c r="A681" s="145" t="s">
        <v>2721</v>
      </c>
      <c r="B681" s="47"/>
      <c r="C681" s="9" t="s">
        <v>11</v>
      </c>
      <c r="D681" s="8" t="str">
        <f t="shared" si="1"/>
        <v>-</v>
      </c>
      <c r="E681" s="9"/>
      <c r="F681" s="10"/>
      <c r="G681" s="9"/>
      <c r="H681" s="11"/>
      <c r="I681" s="9" t="s">
        <v>13</v>
      </c>
      <c r="J681" s="277"/>
    </row>
    <row r="682">
      <c r="A682" s="145" t="s">
        <v>2721</v>
      </c>
      <c r="B682" s="47"/>
      <c r="C682" s="9" t="s">
        <v>11</v>
      </c>
      <c r="D682" s="8" t="str">
        <f t="shared" si="1"/>
        <v>-</v>
      </c>
      <c r="E682" s="9"/>
      <c r="F682" s="10"/>
      <c r="G682" s="9"/>
      <c r="H682" s="11"/>
      <c r="I682" s="9" t="s">
        <v>13</v>
      </c>
      <c r="J682" s="277"/>
    </row>
    <row r="683">
      <c r="A683" s="145" t="s">
        <v>2721</v>
      </c>
      <c r="B683" s="47"/>
      <c r="C683" s="9" t="s">
        <v>11</v>
      </c>
      <c r="D683" s="8" t="str">
        <f t="shared" si="1"/>
        <v>-</v>
      </c>
      <c r="E683" s="9"/>
      <c r="F683" s="10"/>
      <c r="G683" s="9"/>
      <c r="H683" s="11"/>
      <c r="I683" s="9" t="s">
        <v>13</v>
      </c>
      <c r="J683" s="277"/>
    </row>
    <row r="684">
      <c r="A684" s="145" t="s">
        <v>2721</v>
      </c>
      <c r="B684" s="47"/>
      <c r="C684" s="9" t="s">
        <v>11</v>
      </c>
      <c r="D684" s="8" t="str">
        <f t="shared" si="1"/>
        <v>-</v>
      </c>
      <c r="E684" s="9"/>
      <c r="F684" s="10"/>
      <c r="G684" s="9"/>
      <c r="H684" s="11"/>
      <c r="I684" s="9" t="s">
        <v>13</v>
      </c>
      <c r="J684" s="277"/>
    </row>
    <row r="685">
      <c r="A685" s="145" t="s">
        <v>2721</v>
      </c>
      <c r="B685" s="47"/>
      <c r="C685" s="9" t="s">
        <v>11</v>
      </c>
      <c r="D685" s="8" t="str">
        <f t="shared" si="1"/>
        <v>-</v>
      </c>
      <c r="E685" s="9"/>
      <c r="F685" s="10"/>
      <c r="G685" s="9"/>
      <c r="H685" s="11"/>
      <c r="I685" s="9" t="s">
        <v>13</v>
      </c>
      <c r="J685" s="277"/>
    </row>
    <row r="686">
      <c r="A686" s="145" t="s">
        <v>2721</v>
      </c>
      <c r="B686" s="47"/>
      <c r="C686" s="9" t="s">
        <v>11</v>
      </c>
      <c r="D686" s="8" t="str">
        <f t="shared" si="1"/>
        <v>-</v>
      </c>
      <c r="E686" s="9"/>
      <c r="F686" s="10"/>
      <c r="G686" s="9"/>
      <c r="H686" s="11"/>
      <c r="I686" s="9" t="s">
        <v>13</v>
      </c>
      <c r="J686" s="277"/>
    </row>
    <row r="687">
      <c r="A687" s="145" t="s">
        <v>2721</v>
      </c>
      <c r="B687" s="47"/>
      <c r="C687" s="9" t="s">
        <v>11</v>
      </c>
      <c r="D687" s="8" t="str">
        <f t="shared" si="1"/>
        <v>-</v>
      </c>
      <c r="E687" s="9"/>
      <c r="F687" s="10"/>
      <c r="G687" s="9"/>
      <c r="H687" s="11"/>
      <c r="I687" s="9" t="s">
        <v>13</v>
      </c>
      <c r="J687" s="277"/>
    </row>
    <row r="688">
      <c r="A688" s="145" t="s">
        <v>2721</v>
      </c>
      <c r="B688" s="47"/>
      <c r="C688" s="9" t="s">
        <v>11</v>
      </c>
      <c r="D688" s="8" t="str">
        <f t="shared" si="1"/>
        <v>-</v>
      </c>
      <c r="E688" s="9"/>
      <c r="F688" s="10"/>
      <c r="G688" s="9"/>
      <c r="H688" s="11"/>
      <c r="I688" s="9" t="s">
        <v>13</v>
      </c>
      <c r="J688" s="277"/>
    </row>
    <row r="689">
      <c r="A689" s="145" t="s">
        <v>2721</v>
      </c>
      <c r="B689" s="47"/>
      <c r="C689" s="9" t="s">
        <v>11</v>
      </c>
      <c r="D689" s="8" t="str">
        <f t="shared" si="1"/>
        <v>-</v>
      </c>
      <c r="E689" s="9"/>
      <c r="F689" s="10"/>
      <c r="G689" s="9"/>
      <c r="H689" s="11"/>
      <c r="I689" s="9" t="s">
        <v>13</v>
      </c>
      <c r="J689" s="277"/>
    </row>
    <row r="690">
      <c r="A690" s="145" t="s">
        <v>2721</v>
      </c>
      <c r="B690" s="47"/>
      <c r="C690" s="9" t="s">
        <v>11</v>
      </c>
      <c r="D690" s="8" t="str">
        <f t="shared" si="1"/>
        <v>-</v>
      </c>
      <c r="E690" s="9"/>
      <c r="F690" s="10"/>
      <c r="G690" s="9"/>
      <c r="H690" s="11"/>
      <c r="I690" s="9" t="s">
        <v>13</v>
      </c>
      <c r="J690" s="277"/>
    </row>
    <row r="691">
      <c r="A691" s="145" t="s">
        <v>2721</v>
      </c>
      <c r="B691" s="47"/>
      <c r="C691" s="9" t="s">
        <v>11</v>
      </c>
      <c r="D691" s="8" t="str">
        <f t="shared" si="1"/>
        <v>-</v>
      </c>
      <c r="E691" s="9"/>
      <c r="F691" s="10"/>
      <c r="G691" s="9"/>
      <c r="H691" s="11"/>
      <c r="I691" s="9" t="s">
        <v>13</v>
      </c>
      <c r="J691" s="277"/>
    </row>
    <row r="692">
      <c r="A692" s="145" t="s">
        <v>2721</v>
      </c>
      <c r="B692" s="47"/>
      <c r="C692" s="9" t="s">
        <v>11</v>
      </c>
      <c r="D692" s="8" t="str">
        <f t="shared" si="1"/>
        <v>-</v>
      </c>
      <c r="E692" s="9"/>
      <c r="F692" s="10"/>
      <c r="G692" s="9"/>
      <c r="H692" s="11"/>
      <c r="I692" s="9" t="s">
        <v>13</v>
      </c>
      <c r="J692" s="277"/>
    </row>
    <row r="693">
      <c r="A693" s="145" t="s">
        <v>2721</v>
      </c>
      <c r="B693" s="47"/>
      <c r="C693" s="9" t="s">
        <v>11</v>
      </c>
      <c r="D693" s="8" t="str">
        <f t="shared" si="1"/>
        <v>-</v>
      </c>
      <c r="E693" s="9"/>
      <c r="F693" s="10"/>
      <c r="G693" s="9"/>
      <c r="H693" s="11"/>
      <c r="I693" s="9" t="s">
        <v>13</v>
      </c>
      <c r="J693" s="277"/>
    </row>
    <row r="694">
      <c r="A694" s="145" t="s">
        <v>2721</v>
      </c>
      <c r="B694" s="47"/>
      <c r="C694" s="9" t="s">
        <v>11</v>
      </c>
      <c r="D694" s="8" t="str">
        <f t="shared" si="1"/>
        <v>-</v>
      </c>
      <c r="E694" s="9"/>
      <c r="F694" s="10"/>
      <c r="G694" s="9"/>
      <c r="H694" s="11"/>
      <c r="I694" s="9" t="s">
        <v>13</v>
      </c>
      <c r="J694" s="277"/>
    </row>
    <row r="695">
      <c r="A695" s="145" t="s">
        <v>2721</v>
      </c>
      <c r="B695" s="47"/>
      <c r="C695" s="9" t="s">
        <v>11</v>
      </c>
      <c r="D695" s="8" t="str">
        <f t="shared" si="1"/>
        <v>-</v>
      </c>
      <c r="E695" s="9"/>
      <c r="F695" s="10"/>
      <c r="G695" s="9"/>
      <c r="H695" s="11"/>
      <c r="I695" s="9" t="s">
        <v>13</v>
      </c>
      <c r="J695" s="277"/>
    </row>
    <row r="696">
      <c r="A696" s="145" t="s">
        <v>2721</v>
      </c>
      <c r="B696" s="47"/>
      <c r="C696" s="9" t="s">
        <v>11</v>
      </c>
      <c r="D696" s="8" t="str">
        <f t="shared" si="1"/>
        <v>-</v>
      </c>
      <c r="E696" s="9"/>
      <c r="F696" s="10"/>
      <c r="G696" s="9"/>
      <c r="H696" s="11"/>
      <c r="I696" s="9" t="s">
        <v>13</v>
      </c>
      <c r="J696" s="277"/>
    </row>
    <row r="697">
      <c r="A697" s="145" t="s">
        <v>2721</v>
      </c>
      <c r="B697" s="47"/>
      <c r="C697" s="9" t="s">
        <v>11</v>
      </c>
      <c r="D697" s="8" t="str">
        <f t="shared" si="1"/>
        <v>-</v>
      </c>
      <c r="E697" s="9"/>
      <c r="F697" s="10"/>
      <c r="G697" s="9"/>
      <c r="H697" s="11"/>
      <c r="I697" s="9" t="s">
        <v>13</v>
      </c>
      <c r="J697" s="277"/>
    </row>
    <row r="698">
      <c r="A698" s="145" t="s">
        <v>2721</v>
      </c>
      <c r="B698" s="47"/>
      <c r="C698" s="9" t="s">
        <v>11</v>
      </c>
      <c r="D698" s="8" t="str">
        <f t="shared" si="1"/>
        <v>-</v>
      </c>
      <c r="E698" s="9"/>
      <c r="F698" s="10"/>
      <c r="G698" s="9"/>
      <c r="H698" s="11"/>
      <c r="I698" s="9" t="s">
        <v>13</v>
      </c>
      <c r="J698" s="277"/>
    </row>
    <row r="699">
      <c r="A699" s="145" t="s">
        <v>2721</v>
      </c>
      <c r="B699" s="47"/>
      <c r="C699" s="9" t="s">
        <v>11</v>
      </c>
      <c r="D699" s="8" t="str">
        <f t="shared" si="1"/>
        <v>-</v>
      </c>
      <c r="E699" s="9"/>
      <c r="F699" s="10"/>
      <c r="G699" s="9"/>
      <c r="H699" s="11"/>
      <c r="I699" s="9" t="s">
        <v>13</v>
      </c>
      <c r="J699" s="277"/>
    </row>
    <row r="700">
      <c r="A700" s="145" t="s">
        <v>2721</v>
      </c>
      <c r="B700" s="47"/>
      <c r="C700" s="9" t="s">
        <v>11</v>
      </c>
      <c r="D700" s="8" t="str">
        <f t="shared" si="1"/>
        <v>-</v>
      </c>
      <c r="E700" s="9"/>
      <c r="F700" s="10"/>
      <c r="G700" s="9"/>
      <c r="H700" s="11"/>
      <c r="I700" s="9" t="s">
        <v>13</v>
      </c>
      <c r="J700" s="277"/>
    </row>
    <row r="701">
      <c r="A701" s="145" t="s">
        <v>2721</v>
      </c>
      <c r="B701" s="47"/>
      <c r="C701" s="9" t="s">
        <v>11</v>
      </c>
      <c r="D701" s="8" t="str">
        <f t="shared" si="1"/>
        <v>-</v>
      </c>
      <c r="E701" s="9"/>
      <c r="F701" s="10"/>
      <c r="G701" s="9"/>
      <c r="H701" s="11"/>
      <c r="I701" s="9" t="s">
        <v>13</v>
      </c>
      <c r="J701" s="277"/>
    </row>
    <row r="702">
      <c r="A702" s="145" t="s">
        <v>2721</v>
      </c>
      <c r="B702" s="47"/>
      <c r="C702" s="9" t="s">
        <v>11</v>
      </c>
      <c r="D702" s="8" t="str">
        <f t="shared" si="1"/>
        <v>-</v>
      </c>
      <c r="E702" s="9"/>
      <c r="F702" s="10"/>
      <c r="G702" s="9"/>
      <c r="H702" s="11"/>
      <c r="I702" s="9" t="s">
        <v>13</v>
      </c>
      <c r="J702" s="277"/>
    </row>
    <row r="703">
      <c r="A703" s="145" t="s">
        <v>2721</v>
      </c>
      <c r="B703" s="47"/>
      <c r="C703" s="9" t="s">
        <v>11</v>
      </c>
      <c r="D703" s="8" t="str">
        <f t="shared" si="1"/>
        <v>-</v>
      </c>
      <c r="E703" s="9"/>
      <c r="F703" s="10"/>
      <c r="G703" s="9"/>
      <c r="H703" s="11"/>
      <c r="I703" s="9" t="s">
        <v>13</v>
      </c>
      <c r="J703" s="277"/>
    </row>
    <row r="704">
      <c r="A704" s="145" t="s">
        <v>2721</v>
      </c>
      <c r="B704" s="47"/>
      <c r="C704" s="9" t="s">
        <v>11</v>
      </c>
      <c r="D704" s="8" t="str">
        <f t="shared" si="1"/>
        <v>-</v>
      </c>
      <c r="E704" s="9"/>
      <c r="F704" s="10"/>
      <c r="G704" s="9"/>
      <c r="H704" s="11"/>
      <c r="I704" s="9" t="s">
        <v>13</v>
      </c>
      <c r="J704" s="277"/>
    </row>
    <row r="705">
      <c r="A705" s="145" t="s">
        <v>2721</v>
      </c>
      <c r="B705" s="47"/>
      <c r="C705" s="9" t="s">
        <v>11</v>
      </c>
      <c r="D705" s="8" t="str">
        <f t="shared" si="1"/>
        <v>-</v>
      </c>
      <c r="E705" s="9"/>
      <c r="F705" s="10"/>
      <c r="G705" s="9"/>
      <c r="H705" s="11"/>
      <c r="I705" s="9" t="s">
        <v>13</v>
      </c>
      <c r="J705" s="277"/>
    </row>
    <row r="706">
      <c r="A706" s="145" t="s">
        <v>2721</v>
      </c>
      <c r="B706" s="47"/>
      <c r="C706" s="9" t="s">
        <v>11</v>
      </c>
      <c r="D706" s="8" t="str">
        <f t="shared" si="1"/>
        <v>-</v>
      </c>
      <c r="E706" s="9"/>
      <c r="F706" s="10"/>
      <c r="G706" s="9"/>
      <c r="H706" s="11"/>
      <c r="I706" s="9" t="s">
        <v>13</v>
      </c>
      <c r="J706" s="277"/>
    </row>
    <row r="707">
      <c r="A707" s="145" t="s">
        <v>2721</v>
      </c>
      <c r="B707" s="47"/>
      <c r="C707" s="9" t="s">
        <v>11</v>
      </c>
      <c r="D707" s="8" t="str">
        <f t="shared" si="1"/>
        <v>-</v>
      </c>
      <c r="E707" s="9"/>
      <c r="F707" s="10"/>
      <c r="G707" s="9"/>
      <c r="H707" s="11"/>
      <c r="I707" s="9" t="s">
        <v>13</v>
      </c>
      <c r="J707" s="277"/>
    </row>
    <row r="708">
      <c r="A708" s="145" t="s">
        <v>2721</v>
      </c>
      <c r="B708" s="47"/>
      <c r="C708" s="9" t="s">
        <v>11</v>
      </c>
      <c r="D708" s="8" t="str">
        <f t="shared" si="1"/>
        <v>-</v>
      </c>
      <c r="E708" s="9"/>
      <c r="F708" s="10"/>
      <c r="G708" s="9"/>
      <c r="H708" s="11"/>
      <c r="I708" s="9" t="s">
        <v>13</v>
      </c>
      <c r="J708" s="277"/>
    </row>
    <row r="709">
      <c r="A709" s="145" t="s">
        <v>2721</v>
      </c>
      <c r="B709" s="47"/>
      <c r="C709" s="9" t="s">
        <v>11</v>
      </c>
      <c r="D709" s="8" t="str">
        <f t="shared" si="1"/>
        <v>-</v>
      </c>
      <c r="E709" s="9"/>
      <c r="F709" s="10"/>
      <c r="G709" s="9"/>
      <c r="H709" s="11"/>
      <c r="I709" s="9" t="s">
        <v>13</v>
      </c>
      <c r="J709" s="277"/>
    </row>
    <row r="710">
      <c r="A710" s="145" t="s">
        <v>2721</v>
      </c>
      <c r="B710" s="47"/>
      <c r="C710" s="9" t="s">
        <v>11</v>
      </c>
      <c r="D710" s="8" t="str">
        <f t="shared" si="1"/>
        <v>-</v>
      </c>
      <c r="E710" s="9"/>
      <c r="F710" s="10"/>
      <c r="G710" s="9"/>
      <c r="H710" s="11"/>
      <c r="I710" s="9" t="s">
        <v>13</v>
      </c>
      <c r="J710" s="277"/>
    </row>
    <row r="711">
      <c r="A711" s="145" t="s">
        <v>2721</v>
      </c>
      <c r="B711" s="47"/>
      <c r="C711" s="9" t="s">
        <v>11</v>
      </c>
      <c r="D711" s="8" t="str">
        <f t="shared" si="1"/>
        <v>-</v>
      </c>
      <c r="E711" s="9"/>
      <c r="F711" s="10"/>
      <c r="G711" s="9"/>
      <c r="H711" s="11"/>
      <c r="I711" s="9" t="s">
        <v>13</v>
      </c>
      <c r="J711" s="277"/>
    </row>
    <row r="712">
      <c r="A712" s="145" t="s">
        <v>2721</v>
      </c>
      <c r="B712" s="47"/>
      <c r="C712" s="9" t="s">
        <v>11</v>
      </c>
      <c r="D712" s="8" t="str">
        <f t="shared" si="1"/>
        <v>-</v>
      </c>
      <c r="E712" s="9"/>
      <c r="F712" s="10"/>
      <c r="G712" s="9"/>
      <c r="H712" s="11"/>
      <c r="I712" s="9" t="s">
        <v>13</v>
      </c>
      <c r="J712" s="277"/>
    </row>
    <row r="713">
      <c r="A713" s="145" t="s">
        <v>2721</v>
      </c>
      <c r="B713" s="47"/>
      <c r="C713" s="9" t="s">
        <v>11</v>
      </c>
      <c r="D713" s="8" t="str">
        <f t="shared" si="1"/>
        <v>-</v>
      </c>
      <c r="E713" s="9"/>
      <c r="F713" s="10"/>
      <c r="G713" s="9"/>
      <c r="H713" s="11"/>
      <c r="I713" s="9" t="s">
        <v>13</v>
      </c>
      <c r="J713" s="277"/>
    </row>
  </sheetData>
  <mergeCells count="1">
    <mergeCell ref="A1:J1"/>
  </mergeCells>
  <conditionalFormatting sqref="A1:J713">
    <cfRule type="containsText" dxfId="0" priority="1" operator="containsText" text="FAB A FAIRE">
      <formula>NOT(ISERROR(SEARCH(("FAB A FAIRE"),(A1))))</formula>
    </cfRule>
  </conditionalFormatting>
  <conditionalFormatting sqref="B3:H713">
    <cfRule type="expression" dxfId="1" priority="2">
      <formula>$G3="Stand-by"</formula>
    </cfRule>
  </conditionalFormatting>
  <conditionalFormatting sqref="G2:G713">
    <cfRule type="cellIs" dxfId="2" priority="3" operator="equal">
      <formula>"A faire"</formula>
    </cfRule>
  </conditionalFormatting>
  <conditionalFormatting sqref="G2:G713">
    <cfRule type="cellIs" dxfId="3" priority="4" operator="equal">
      <formula>"En cours"</formula>
    </cfRule>
  </conditionalFormatting>
  <conditionalFormatting sqref="B3:H713">
    <cfRule type="expression" dxfId="4" priority="5">
      <formula>$G3="Sur T.L."</formula>
    </cfRule>
  </conditionalFormatting>
  <conditionalFormatting sqref="G2:G713">
    <cfRule type="cellIs" dxfId="5" priority="6" operator="equal">
      <formula>"Attente R."</formula>
    </cfRule>
  </conditionalFormatting>
  <conditionalFormatting sqref="F2:F713">
    <cfRule type="timePeriod" dxfId="6" priority="7" timePeriod="today"/>
  </conditionalFormatting>
  <conditionalFormatting sqref="F2:F713">
    <cfRule type="expression" dxfId="7" priority="8">
      <formula>AND(ISNUMBER(F2),TRUNC(F2)&lt;TODAY())</formula>
    </cfRule>
  </conditionalFormatting>
  <conditionalFormatting sqref="G2:G713">
    <cfRule type="cellIs" dxfId="8" priority="9" operator="equal">
      <formula>"Mairie"</formula>
    </cfRule>
  </conditionalFormatting>
  <conditionalFormatting sqref="H2:H713">
    <cfRule type="containsText" dxfId="9" priority="10" operator="containsText" text="REPRISE DOSSIER CAROLE">
      <formula>NOT(ISERROR(SEARCH(("REPRISE DOSSIER CAROLE"),(H2))))</formula>
    </cfRule>
  </conditionalFormatting>
  <dataValidations>
    <dataValidation type="list" allowBlank="1" sqref="G3:G713">
      <formula1>"-,A faire,En cours,Attente R.,Stand-by,Sur T.L.,Mairie,! Urgent !,A Relancer"</formula1>
    </dataValidation>
    <dataValidation type="list" allowBlank="1" sqref="E3:E713">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6.0"/>
    <col customWidth="1" min="3" max="3" width="9.38"/>
    <col customWidth="1" min="4" max="4" width="12.13"/>
    <col customWidth="1" min="5" max="5" width="13.13"/>
    <col customWidth="1" min="6" max="6" width="6.38"/>
    <col customWidth="1" min="7" max="7" width="11.88"/>
    <col customWidth="1" min="8" max="8" width="32.63"/>
    <col customWidth="1" min="9" max="9" width="14.63"/>
    <col customWidth="1" min="10" max="10" width="65.88"/>
    <col customWidth="1" min="11" max="11" width="11.63"/>
    <col customWidth="1" min="12" max="12" width="2.38"/>
  </cols>
  <sheetData>
    <row r="1" ht="24.0" customHeight="1">
      <c r="A1" s="278" t="s">
        <v>9110</v>
      </c>
    </row>
    <row r="2">
      <c r="A2" s="279"/>
      <c r="B2" s="280" t="s">
        <v>1</v>
      </c>
      <c r="C2" s="281" t="s">
        <v>2</v>
      </c>
      <c r="D2" s="281" t="s">
        <v>3</v>
      </c>
      <c r="E2" s="282" t="s">
        <v>4</v>
      </c>
      <c r="F2" s="281" t="s">
        <v>5</v>
      </c>
      <c r="G2" s="282" t="s">
        <v>6</v>
      </c>
      <c r="H2" s="282" t="s">
        <v>9111</v>
      </c>
      <c r="I2" s="282" t="s">
        <v>9112</v>
      </c>
      <c r="J2" s="282" t="s">
        <v>7</v>
      </c>
      <c r="K2" s="282" t="s">
        <v>8</v>
      </c>
      <c r="L2" s="279"/>
    </row>
    <row r="3">
      <c r="A3" s="146" t="s">
        <v>94</v>
      </c>
      <c r="B3" s="47"/>
      <c r="C3" s="148" t="s">
        <v>11</v>
      </c>
      <c r="D3" s="148" t="str">
        <f t="shared" ref="D3:D692" si="1">IFERROR(_xlfn.WORKDAY.INTL(C3, 2),"-")</f>
        <v>-</v>
      </c>
      <c r="E3" s="9"/>
      <c r="F3" s="10"/>
      <c r="G3" s="9"/>
      <c r="H3" s="11"/>
      <c r="I3" s="11"/>
      <c r="J3" s="11"/>
      <c r="K3" s="9" t="s">
        <v>13</v>
      </c>
      <c r="L3" s="283"/>
    </row>
    <row r="4">
      <c r="A4" s="146" t="s">
        <v>94</v>
      </c>
      <c r="B4" s="47"/>
      <c r="C4" s="148" t="s">
        <v>11</v>
      </c>
      <c r="D4" s="148" t="str">
        <f t="shared" si="1"/>
        <v>-</v>
      </c>
      <c r="E4" s="9"/>
      <c r="F4" s="10"/>
      <c r="G4" s="9"/>
      <c r="H4" s="11"/>
      <c r="I4" s="11"/>
      <c r="J4" s="11"/>
      <c r="K4" s="9" t="s">
        <v>13</v>
      </c>
      <c r="L4" s="283"/>
    </row>
    <row r="5">
      <c r="A5" s="146" t="s">
        <v>94</v>
      </c>
      <c r="B5" s="47"/>
      <c r="C5" s="148" t="s">
        <v>11</v>
      </c>
      <c r="D5" s="148" t="str">
        <f t="shared" si="1"/>
        <v>-</v>
      </c>
      <c r="E5" s="9"/>
      <c r="F5" s="10"/>
      <c r="G5" s="9"/>
      <c r="H5" s="11"/>
      <c r="I5" s="11"/>
      <c r="J5" s="11"/>
      <c r="K5" s="9" t="s">
        <v>13</v>
      </c>
      <c r="L5" s="283"/>
    </row>
    <row r="6">
      <c r="A6" s="146" t="s">
        <v>94</v>
      </c>
      <c r="B6" s="47"/>
      <c r="C6" s="148" t="s">
        <v>11</v>
      </c>
      <c r="D6" s="148" t="str">
        <f t="shared" si="1"/>
        <v>-</v>
      </c>
      <c r="E6" s="9"/>
      <c r="F6" s="10"/>
      <c r="G6" s="9"/>
      <c r="H6" s="11"/>
      <c r="I6" s="11"/>
      <c r="J6" s="11"/>
      <c r="K6" s="9" t="s">
        <v>13</v>
      </c>
      <c r="L6" s="283"/>
    </row>
    <row r="7">
      <c r="A7" s="146" t="s">
        <v>94</v>
      </c>
      <c r="B7" s="47"/>
      <c r="C7" s="148" t="s">
        <v>11</v>
      </c>
      <c r="D7" s="148" t="str">
        <f t="shared" si="1"/>
        <v>-</v>
      </c>
      <c r="E7" s="9"/>
      <c r="F7" s="10"/>
      <c r="G7" s="9"/>
      <c r="H7" s="11"/>
      <c r="I7" s="11"/>
      <c r="J7" s="11"/>
      <c r="K7" s="9" t="s">
        <v>13</v>
      </c>
      <c r="L7" s="283"/>
    </row>
    <row r="8">
      <c r="A8" s="146" t="s">
        <v>94</v>
      </c>
      <c r="B8" s="47"/>
      <c r="C8" s="148" t="s">
        <v>11</v>
      </c>
      <c r="D8" s="148" t="str">
        <f t="shared" si="1"/>
        <v>-</v>
      </c>
      <c r="E8" s="9"/>
      <c r="F8" s="10"/>
      <c r="G8" s="9"/>
      <c r="H8" s="11"/>
      <c r="I8" s="11"/>
      <c r="J8" s="11"/>
      <c r="K8" s="9" t="s">
        <v>13</v>
      </c>
      <c r="L8" s="283"/>
    </row>
    <row r="9">
      <c r="A9" s="146" t="s">
        <v>94</v>
      </c>
      <c r="B9" s="47"/>
      <c r="C9" s="148" t="s">
        <v>11</v>
      </c>
      <c r="D9" s="148" t="str">
        <f t="shared" si="1"/>
        <v>-</v>
      </c>
      <c r="E9" s="9"/>
      <c r="F9" s="10"/>
      <c r="G9" s="9"/>
      <c r="H9" s="11"/>
      <c r="I9" s="11"/>
      <c r="J9" s="11"/>
      <c r="K9" s="9" t="s">
        <v>13</v>
      </c>
      <c r="L9" s="283"/>
    </row>
    <row r="10">
      <c r="A10" s="146" t="s">
        <v>94</v>
      </c>
      <c r="B10" s="47"/>
      <c r="C10" s="148" t="s">
        <v>11</v>
      </c>
      <c r="D10" s="148" t="str">
        <f t="shared" si="1"/>
        <v>-</v>
      </c>
      <c r="E10" s="9"/>
      <c r="F10" s="10"/>
      <c r="G10" s="9"/>
      <c r="H10" s="11"/>
      <c r="I10" s="11"/>
      <c r="J10" s="11"/>
      <c r="K10" s="9" t="s">
        <v>13</v>
      </c>
      <c r="L10" s="283"/>
    </row>
    <row r="11">
      <c r="A11" s="146" t="s">
        <v>94</v>
      </c>
      <c r="B11" s="47"/>
      <c r="C11" s="148" t="s">
        <v>11</v>
      </c>
      <c r="D11" s="148" t="str">
        <f t="shared" si="1"/>
        <v>-</v>
      </c>
      <c r="E11" s="9"/>
      <c r="F11" s="10"/>
      <c r="G11" s="9"/>
      <c r="H11" s="11"/>
      <c r="I11" s="11"/>
      <c r="J11" s="11"/>
      <c r="K11" s="9" t="s">
        <v>13</v>
      </c>
      <c r="L11" s="283"/>
    </row>
    <row r="12">
      <c r="A12" s="146" t="s">
        <v>94</v>
      </c>
      <c r="B12" s="47"/>
      <c r="C12" s="148" t="s">
        <v>11</v>
      </c>
      <c r="D12" s="148" t="str">
        <f t="shared" si="1"/>
        <v>-</v>
      </c>
      <c r="E12" s="9"/>
      <c r="F12" s="10"/>
      <c r="G12" s="9"/>
      <c r="H12" s="11"/>
      <c r="I12" s="11"/>
      <c r="J12" s="11"/>
      <c r="K12" s="9" t="s">
        <v>13</v>
      </c>
      <c r="L12" s="283"/>
    </row>
    <row r="13">
      <c r="A13" s="146" t="s">
        <v>94</v>
      </c>
      <c r="B13" s="47"/>
      <c r="C13" s="148" t="s">
        <v>11</v>
      </c>
      <c r="D13" s="148" t="str">
        <f t="shared" si="1"/>
        <v>-</v>
      </c>
      <c r="E13" s="9"/>
      <c r="F13" s="10"/>
      <c r="G13" s="9"/>
      <c r="H13" s="11"/>
      <c r="I13" s="11"/>
      <c r="J13" s="11"/>
      <c r="K13" s="9" t="s">
        <v>13</v>
      </c>
      <c r="L13" s="283"/>
    </row>
    <row r="14">
      <c r="A14" s="146" t="s">
        <v>94</v>
      </c>
      <c r="B14" s="47"/>
      <c r="C14" s="148" t="s">
        <v>11</v>
      </c>
      <c r="D14" s="148" t="str">
        <f t="shared" si="1"/>
        <v>-</v>
      </c>
      <c r="E14" s="9"/>
      <c r="F14" s="10"/>
      <c r="G14" s="9"/>
      <c r="H14" s="11"/>
      <c r="I14" s="11"/>
      <c r="J14" s="11"/>
      <c r="K14" s="9" t="s">
        <v>13</v>
      </c>
      <c r="L14" s="283"/>
    </row>
    <row r="15">
      <c r="A15" s="146" t="s">
        <v>94</v>
      </c>
      <c r="B15" s="47"/>
      <c r="C15" s="148" t="s">
        <v>11</v>
      </c>
      <c r="D15" s="148" t="str">
        <f t="shared" si="1"/>
        <v>-</v>
      </c>
      <c r="E15" s="9"/>
      <c r="F15" s="10"/>
      <c r="G15" s="9"/>
      <c r="H15" s="11"/>
      <c r="I15" s="11"/>
      <c r="J15" s="11"/>
      <c r="K15" s="9" t="s">
        <v>13</v>
      </c>
      <c r="L15" s="283"/>
    </row>
    <row r="16">
      <c r="A16" s="146" t="s">
        <v>94</v>
      </c>
      <c r="B16" s="47"/>
      <c r="C16" s="148" t="s">
        <v>11</v>
      </c>
      <c r="D16" s="148" t="str">
        <f t="shared" si="1"/>
        <v>-</v>
      </c>
      <c r="E16" s="9"/>
      <c r="F16" s="10"/>
      <c r="G16" s="9"/>
      <c r="H16" s="11"/>
      <c r="I16" s="11"/>
      <c r="J16" s="11"/>
      <c r="K16" s="9" t="s">
        <v>13</v>
      </c>
      <c r="L16" s="283"/>
    </row>
    <row r="17">
      <c r="A17" s="146" t="s">
        <v>94</v>
      </c>
      <c r="B17" s="47"/>
      <c r="C17" s="148" t="s">
        <v>11</v>
      </c>
      <c r="D17" s="148" t="str">
        <f t="shared" si="1"/>
        <v>-</v>
      </c>
      <c r="E17" s="9"/>
      <c r="F17" s="10"/>
      <c r="G17" s="9"/>
      <c r="H17" s="11"/>
      <c r="I17" s="11"/>
      <c r="J17" s="11"/>
      <c r="K17" s="9" t="s">
        <v>13</v>
      </c>
      <c r="L17" s="283"/>
    </row>
    <row r="18">
      <c r="A18" s="146" t="s">
        <v>94</v>
      </c>
      <c r="B18" s="47"/>
      <c r="C18" s="148" t="s">
        <v>11</v>
      </c>
      <c r="D18" s="148" t="str">
        <f t="shared" si="1"/>
        <v>-</v>
      </c>
      <c r="E18" s="9"/>
      <c r="F18" s="10"/>
      <c r="G18" s="9"/>
      <c r="H18" s="11"/>
      <c r="I18" s="11"/>
      <c r="J18" s="11"/>
      <c r="K18" s="9" t="s">
        <v>13</v>
      </c>
      <c r="L18" s="283"/>
    </row>
    <row r="19">
      <c r="A19" s="146" t="s">
        <v>94</v>
      </c>
      <c r="B19" s="47"/>
      <c r="C19" s="148" t="s">
        <v>11</v>
      </c>
      <c r="D19" s="148" t="str">
        <f t="shared" si="1"/>
        <v>-</v>
      </c>
      <c r="E19" s="9"/>
      <c r="F19" s="10"/>
      <c r="G19" s="9"/>
      <c r="H19" s="11"/>
      <c r="I19" s="11"/>
      <c r="J19" s="11"/>
      <c r="K19" s="9" t="s">
        <v>13</v>
      </c>
      <c r="L19" s="283"/>
    </row>
    <row r="20">
      <c r="A20" s="146" t="s">
        <v>94</v>
      </c>
      <c r="B20" s="47"/>
      <c r="C20" s="148" t="s">
        <v>11</v>
      </c>
      <c r="D20" s="148" t="str">
        <f t="shared" si="1"/>
        <v>-</v>
      </c>
      <c r="E20" s="9"/>
      <c r="F20" s="10"/>
      <c r="G20" s="9"/>
      <c r="H20" s="11"/>
      <c r="I20" s="11"/>
      <c r="J20" s="11"/>
      <c r="K20" s="9" t="s">
        <v>13</v>
      </c>
      <c r="L20" s="283"/>
    </row>
    <row r="21">
      <c r="A21" s="146" t="s">
        <v>94</v>
      </c>
      <c r="B21" s="47"/>
      <c r="C21" s="148" t="s">
        <v>11</v>
      </c>
      <c r="D21" s="148" t="str">
        <f t="shared" si="1"/>
        <v>-</v>
      </c>
      <c r="E21" s="9"/>
      <c r="F21" s="10"/>
      <c r="G21" s="9"/>
      <c r="H21" s="11"/>
      <c r="I21" s="11"/>
      <c r="J21" s="11"/>
      <c r="K21" s="9" t="s">
        <v>13</v>
      </c>
      <c r="L21" s="283"/>
    </row>
    <row r="22">
      <c r="A22" s="146" t="s">
        <v>94</v>
      </c>
      <c r="B22" s="47"/>
      <c r="C22" s="148" t="s">
        <v>11</v>
      </c>
      <c r="D22" s="148" t="str">
        <f t="shared" si="1"/>
        <v>-</v>
      </c>
      <c r="E22" s="9"/>
      <c r="F22" s="10"/>
      <c r="G22" s="9"/>
      <c r="H22" s="11"/>
      <c r="I22" s="11"/>
      <c r="J22" s="11"/>
      <c r="K22" s="9" t="s">
        <v>13</v>
      </c>
      <c r="L22" s="283"/>
    </row>
    <row r="23">
      <c r="A23" s="146" t="s">
        <v>94</v>
      </c>
      <c r="B23" s="47"/>
      <c r="C23" s="148" t="s">
        <v>11</v>
      </c>
      <c r="D23" s="148" t="str">
        <f t="shared" si="1"/>
        <v>-</v>
      </c>
      <c r="E23" s="9"/>
      <c r="F23" s="10"/>
      <c r="G23" s="9"/>
      <c r="H23" s="11"/>
      <c r="I23" s="11"/>
      <c r="J23" s="11"/>
      <c r="K23" s="9" t="s">
        <v>13</v>
      </c>
      <c r="L23" s="283"/>
    </row>
    <row r="24">
      <c r="A24" s="146" t="s">
        <v>94</v>
      </c>
      <c r="B24" s="47"/>
      <c r="C24" s="148" t="s">
        <v>11</v>
      </c>
      <c r="D24" s="148" t="str">
        <f t="shared" si="1"/>
        <v>-</v>
      </c>
      <c r="E24" s="9"/>
      <c r="F24" s="10"/>
      <c r="G24" s="9"/>
      <c r="H24" s="11"/>
      <c r="I24" s="11"/>
      <c r="J24" s="11"/>
      <c r="K24" s="9" t="s">
        <v>13</v>
      </c>
      <c r="L24" s="283"/>
    </row>
    <row r="25">
      <c r="A25" s="146" t="s">
        <v>94</v>
      </c>
      <c r="B25" s="47"/>
      <c r="C25" s="148" t="s">
        <v>11</v>
      </c>
      <c r="D25" s="148" t="str">
        <f t="shared" si="1"/>
        <v>-</v>
      </c>
      <c r="E25" s="9"/>
      <c r="F25" s="10"/>
      <c r="G25" s="9"/>
      <c r="H25" s="11"/>
      <c r="I25" s="11"/>
      <c r="J25" s="11"/>
      <c r="K25" s="9" t="s">
        <v>13</v>
      </c>
      <c r="L25" s="283"/>
    </row>
    <row r="26">
      <c r="A26" s="146" t="s">
        <v>94</v>
      </c>
      <c r="B26" s="47"/>
      <c r="C26" s="148" t="s">
        <v>11</v>
      </c>
      <c r="D26" s="148" t="str">
        <f t="shared" si="1"/>
        <v>-</v>
      </c>
      <c r="E26" s="9"/>
      <c r="F26" s="10"/>
      <c r="G26" s="9"/>
      <c r="H26" s="11"/>
      <c r="I26" s="11"/>
      <c r="J26" s="11"/>
      <c r="K26" s="9" t="s">
        <v>13</v>
      </c>
      <c r="L26" s="283"/>
    </row>
    <row r="27">
      <c r="A27" s="146" t="s">
        <v>94</v>
      </c>
      <c r="B27" s="47"/>
      <c r="C27" s="148" t="s">
        <v>11</v>
      </c>
      <c r="D27" s="148" t="str">
        <f t="shared" si="1"/>
        <v>-</v>
      </c>
      <c r="E27" s="9"/>
      <c r="F27" s="10"/>
      <c r="G27" s="9"/>
      <c r="H27" s="11"/>
      <c r="I27" s="11"/>
      <c r="J27" s="11"/>
      <c r="K27" s="9" t="s">
        <v>13</v>
      </c>
      <c r="L27" s="283"/>
    </row>
    <row r="28">
      <c r="A28" s="146" t="s">
        <v>94</v>
      </c>
      <c r="B28" s="47"/>
      <c r="C28" s="148" t="s">
        <v>11</v>
      </c>
      <c r="D28" s="148" t="str">
        <f t="shared" si="1"/>
        <v>-</v>
      </c>
      <c r="E28" s="9"/>
      <c r="F28" s="10"/>
      <c r="G28" s="9"/>
      <c r="H28" s="11"/>
      <c r="I28" s="11"/>
      <c r="J28" s="11"/>
      <c r="K28" s="9" t="s">
        <v>13</v>
      </c>
      <c r="L28" s="283"/>
    </row>
    <row r="29">
      <c r="A29" s="146" t="s">
        <v>94</v>
      </c>
      <c r="B29" s="47"/>
      <c r="C29" s="148" t="s">
        <v>11</v>
      </c>
      <c r="D29" s="148" t="str">
        <f t="shared" si="1"/>
        <v>-</v>
      </c>
      <c r="E29" s="9"/>
      <c r="F29" s="10"/>
      <c r="G29" s="9"/>
      <c r="H29" s="11"/>
      <c r="I29" s="11"/>
      <c r="J29" s="11"/>
      <c r="K29" s="9" t="s">
        <v>13</v>
      </c>
      <c r="L29" s="283"/>
    </row>
    <row r="30">
      <c r="A30" s="146" t="s">
        <v>94</v>
      </c>
      <c r="B30" s="47"/>
      <c r="C30" s="148" t="s">
        <v>11</v>
      </c>
      <c r="D30" s="148" t="str">
        <f t="shared" si="1"/>
        <v>-</v>
      </c>
      <c r="E30" s="9"/>
      <c r="F30" s="10"/>
      <c r="G30" s="9"/>
      <c r="H30" s="11"/>
      <c r="I30" s="11"/>
      <c r="J30" s="11"/>
      <c r="K30" s="9" t="s">
        <v>13</v>
      </c>
      <c r="L30" s="283"/>
    </row>
    <row r="31">
      <c r="A31" s="146" t="s">
        <v>94</v>
      </c>
      <c r="B31" s="47"/>
      <c r="C31" s="148" t="s">
        <v>11</v>
      </c>
      <c r="D31" s="148" t="str">
        <f t="shared" si="1"/>
        <v>-</v>
      </c>
      <c r="E31" s="9"/>
      <c r="F31" s="10"/>
      <c r="G31" s="9"/>
      <c r="H31" s="11"/>
      <c r="I31" s="11"/>
      <c r="J31" s="11"/>
      <c r="K31" s="9" t="s">
        <v>13</v>
      </c>
      <c r="L31" s="283"/>
    </row>
    <row r="32">
      <c r="A32" s="146" t="s">
        <v>94</v>
      </c>
      <c r="B32" s="47"/>
      <c r="C32" s="148" t="s">
        <v>11</v>
      </c>
      <c r="D32" s="148" t="str">
        <f t="shared" si="1"/>
        <v>-</v>
      </c>
      <c r="E32" s="9"/>
      <c r="F32" s="10"/>
      <c r="G32" s="9"/>
      <c r="H32" s="11"/>
      <c r="I32" s="11"/>
      <c r="J32" s="11"/>
      <c r="K32" s="9" t="s">
        <v>13</v>
      </c>
      <c r="L32" s="283"/>
    </row>
    <row r="33">
      <c r="A33" s="146" t="s">
        <v>94</v>
      </c>
      <c r="B33" s="47"/>
      <c r="C33" s="148" t="s">
        <v>11</v>
      </c>
      <c r="D33" s="148" t="str">
        <f t="shared" si="1"/>
        <v>-</v>
      </c>
      <c r="E33" s="9"/>
      <c r="F33" s="10"/>
      <c r="G33" s="9"/>
      <c r="H33" s="11"/>
      <c r="I33" s="11"/>
      <c r="J33" s="11"/>
      <c r="K33" s="9" t="s">
        <v>13</v>
      </c>
      <c r="L33" s="283"/>
    </row>
    <row r="34">
      <c r="A34" s="146" t="s">
        <v>94</v>
      </c>
      <c r="B34" s="47"/>
      <c r="C34" s="148" t="s">
        <v>11</v>
      </c>
      <c r="D34" s="148" t="str">
        <f t="shared" si="1"/>
        <v>-</v>
      </c>
      <c r="E34" s="9"/>
      <c r="F34" s="10"/>
      <c r="G34" s="9"/>
      <c r="H34" s="11"/>
      <c r="I34" s="11"/>
      <c r="J34" s="11"/>
      <c r="K34" s="9" t="s">
        <v>13</v>
      </c>
      <c r="L34" s="283"/>
    </row>
    <row r="35">
      <c r="A35" s="146" t="s">
        <v>94</v>
      </c>
      <c r="B35" s="47"/>
      <c r="C35" s="148" t="s">
        <v>11</v>
      </c>
      <c r="D35" s="148" t="str">
        <f t="shared" si="1"/>
        <v>-</v>
      </c>
      <c r="E35" s="9"/>
      <c r="F35" s="10"/>
      <c r="G35" s="9"/>
      <c r="H35" s="11"/>
      <c r="I35" s="11"/>
      <c r="J35" s="11"/>
      <c r="K35" s="9" t="s">
        <v>13</v>
      </c>
      <c r="L35" s="283"/>
    </row>
    <row r="36">
      <c r="A36" s="146" t="s">
        <v>94</v>
      </c>
      <c r="B36" s="47"/>
      <c r="C36" s="148" t="s">
        <v>11</v>
      </c>
      <c r="D36" s="148" t="str">
        <f t="shared" si="1"/>
        <v>-</v>
      </c>
      <c r="E36" s="9"/>
      <c r="F36" s="10"/>
      <c r="G36" s="9"/>
      <c r="H36" s="11"/>
      <c r="I36" s="11"/>
      <c r="J36" s="11"/>
      <c r="K36" s="9" t="s">
        <v>13</v>
      </c>
      <c r="L36" s="283"/>
    </row>
    <row r="37">
      <c r="A37" s="146" t="s">
        <v>94</v>
      </c>
      <c r="B37" s="47"/>
      <c r="C37" s="148" t="s">
        <v>11</v>
      </c>
      <c r="D37" s="148" t="str">
        <f t="shared" si="1"/>
        <v>-</v>
      </c>
      <c r="E37" s="9"/>
      <c r="F37" s="10"/>
      <c r="G37" s="9"/>
      <c r="H37" s="11"/>
      <c r="I37" s="11"/>
      <c r="J37" s="11"/>
      <c r="K37" s="9" t="s">
        <v>13</v>
      </c>
      <c r="L37" s="283"/>
    </row>
    <row r="38">
      <c r="A38" s="146" t="s">
        <v>94</v>
      </c>
      <c r="B38" s="47"/>
      <c r="C38" s="148" t="s">
        <v>11</v>
      </c>
      <c r="D38" s="148" t="str">
        <f t="shared" si="1"/>
        <v>-</v>
      </c>
      <c r="E38" s="9"/>
      <c r="F38" s="10"/>
      <c r="G38" s="9"/>
      <c r="H38" s="11"/>
      <c r="I38" s="11"/>
      <c r="J38" s="11"/>
      <c r="K38" s="9" t="s">
        <v>13</v>
      </c>
      <c r="L38" s="283"/>
    </row>
    <row r="39">
      <c r="A39" s="146" t="s">
        <v>94</v>
      </c>
      <c r="B39" s="47"/>
      <c r="C39" s="148" t="s">
        <v>11</v>
      </c>
      <c r="D39" s="148" t="str">
        <f t="shared" si="1"/>
        <v>-</v>
      </c>
      <c r="E39" s="9"/>
      <c r="F39" s="10"/>
      <c r="G39" s="9"/>
      <c r="H39" s="11"/>
      <c r="I39" s="11"/>
      <c r="J39" s="11"/>
      <c r="K39" s="9" t="s">
        <v>13</v>
      </c>
      <c r="L39" s="283"/>
    </row>
    <row r="40">
      <c r="A40" s="146" t="s">
        <v>94</v>
      </c>
      <c r="B40" s="47"/>
      <c r="C40" s="148" t="s">
        <v>11</v>
      </c>
      <c r="D40" s="148" t="str">
        <f t="shared" si="1"/>
        <v>-</v>
      </c>
      <c r="E40" s="9"/>
      <c r="F40" s="10"/>
      <c r="G40" s="9"/>
      <c r="H40" s="11"/>
      <c r="I40" s="11"/>
      <c r="J40" s="11"/>
      <c r="K40" s="9" t="s">
        <v>13</v>
      </c>
      <c r="L40" s="283"/>
    </row>
    <row r="41">
      <c r="A41" s="146" t="s">
        <v>94</v>
      </c>
      <c r="B41" s="47"/>
      <c r="C41" s="148" t="s">
        <v>11</v>
      </c>
      <c r="D41" s="148" t="str">
        <f t="shared" si="1"/>
        <v>-</v>
      </c>
      <c r="E41" s="9"/>
      <c r="F41" s="10"/>
      <c r="G41" s="9"/>
      <c r="H41" s="11"/>
      <c r="I41" s="11"/>
      <c r="J41" s="11"/>
      <c r="K41" s="9" t="s">
        <v>13</v>
      </c>
      <c r="L41" s="283"/>
    </row>
    <row r="42">
      <c r="A42" s="146" t="s">
        <v>94</v>
      </c>
      <c r="B42" s="47"/>
      <c r="C42" s="148" t="s">
        <v>11</v>
      </c>
      <c r="D42" s="148" t="str">
        <f t="shared" si="1"/>
        <v>-</v>
      </c>
      <c r="E42" s="9"/>
      <c r="F42" s="10"/>
      <c r="G42" s="9"/>
      <c r="H42" s="11"/>
      <c r="I42" s="11"/>
      <c r="J42" s="11"/>
      <c r="K42" s="9" t="s">
        <v>13</v>
      </c>
      <c r="L42" s="283"/>
    </row>
    <row r="43">
      <c r="A43" s="146" t="s">
        <v>94</v>
      </c>
      <c r="B43" s="47"/>
      <c r="C43" s="148" t="s">
        <v>11</v>
      </c>
      <c r="D43" s="148" t="str">
        <f t="shared" si="1"/>
        <v>-</v>
      </c>
      <c r="E43" s="9"/>
      <c r="F43" s="10"/>
      <c r="G43" s="9"/>
      <c r="H43" s="11"/>
      <c r="I43" s="11"/>
      <c r="J43" s="11"/>
      <c r="K43" s="9" t="s">
        <v>13</v>
      </c>
      <c r="L43" s="283"/>
    </row>
    <row r="44">
      <c r="A44" s="146" t="s">
        <v>94</v>
      </c>
      <c r="B44" s="47"/>
      <c r="C44" s="148" t="s">
        <v>11</v>
      </c>
      <c r="D44" s="148" t="str">
        <f t="shared" si="1"/>
        <v>-</v>
      </c>
      <c r="E44" s="9"/>
      <c r="F44" s="10"/>
      <c r="G44" s="9"/>
      <c r="H44" s="11"/>
      <c r="I44" s="11"/>
      <c r="J44" s="11"/>
      <c r="K44" s="9" t="s">
        <v>13</v>
      </c>
      <c r="L44" s="283"/>
    </row>
    <row r="45">
      <c r="A45" s="146" t="s">
        <v>94</v>
      </c>
      <c r="B45" s="47"/>
      <c r="C45" s="148" t="s">
        <v>11</v>
      </c>
      <c r="D45" s="148" t="str">
        <f t="shared" si="1"/>
        <v>-</v>
      </c>
      <c r="E45" s="9"/>
      <c r="F45" s="10"/>
      <c r="G45" s="9"/>
      <c r="H45" s="11"/>
      <c r="I45" s="11"/>
      <c r="J45" s="11"/>
      <c r="K45" s="9" t="s">
        <v>13</v>
      </c>
      <c r="L45" s="283"/>
    </row>
    <row r="46">
      <c r="A46" s="146" t="s">
        <v>94</v>
      </c>
      <c r="B46" s="47"/>
      <c r="C46" s="148" t="s">
        <v>11</v>
      </c>
      <c r="D46" s="148" t="str">
        <f t="shared" si="1"/>
        <v>-</v>
      </c>
      <c r="E46" s="9"/>
      <c r="F46" s="10"/>
      <c r="G46" s="9"/>
      <c r="H46" s="11"/>
      <c r="I46" s="11"/>
      <c r="J46" s="11"/>
      <c r="K46" s="9" t="s">
        <v>13</v>
      </c>
      <c r="L46" s="283"/>
    </row>
    <row r="47">
      <c r="A47" s="146" t="s">
        <v>94</v>
      </c>
      <c r="B47" s="47"/>
      <c r="C47" s="148" t="s">
        <v>11</v>
      </c>
      <c r="D47" s="148" t="str">
        <f t="shared" si="1"/>
        <v>-</v>
      </c>
      <c r="E47" s="9"/>
      <c r="F47" s="10"/>
      <c r="G47" s="9"/>
      <c r="H47" s="11"/>
      <c r="I47" s="11"/>
      <c r="J47" s="11"/>
      <c r="K47" s="9" t="s">
        <v>13</v>
      </c>
      <c r="L47" s="283"/>
    </row>
    <row r="48">
      <c r="A48" s="146" t="s">
        <v>94</v>
      </c>
      <c r="B48" s="47"/>
      <c r="C48" s="148" t="s">
        <v>11</v>
      </c>
      <c r="D48" s="148" t="str">
        <f t="shared" si="1"/>
        <v>-</v>
      </c>
      <c r="E48" s="9"/>
      <c r="F48" s="10"/>
      <c r="G48" s="9"/>
      <c r="H48" s="11"/>
      <c r="I48" s="11"/>
      <c r="J48" s="11"/>
      <c r="K48" s="9" t="s">
        <v>13</v>
      </c>
      <c r="L48" s="283"/>
    </row>
    <row r="49">
      <c r="A49" s="146" t="s">
        <v>94</v>
      </c>
      <c r="B49" s="47"/>
      <c r="C49" s="148" t="s">
        <v>11</v>
      </c>
      <c r="D49" s="148" t="str">
        <f t="shared" si="1"/>
        <v>-</v>
      </c>
      <c r="E49" s="9"/>
      <c r="F49" s="10"/>
      <c r="G49" s="9"/>
      <c r="H49" s="11"/>
      <c r="I49" s="11"/>
      <c r="J49" s="11"/>
      <c r="K49" s="9" t="s">
        <v>13</v>
      </c>
      <c r="L49" s="283"/>
    </row>
    <row r="50">
      <c r="A50" s="146" t="s">
        <v>94</v>
      </c>
      <c r="B50" s="47"/>
      <c r="C50" s="148" t="s">
        <v>11</v>
      </c>
      <c r="D50" s="148" t="str">
        <f t="shared" si="1"/>
        <v>-</v>
      </c>
      <c r="E50" s="9"/>
      <c r="F50" s="10"/>
      <c r="G50" s="9"/>
      <c r="H50" s="11"/>
      <c r="I50" s="11"/>
      <c r="J50" s="11"/>
      <c r="K50" s="9" t="s">
        <v>13</v>
      </c>
      <c r="L50" s="283"/>
    </row>
    <row r="51">
      <c r="A51" s="146" t="s">
        <v>94</v>
      </c>
      <c r="B51" s="47"/>
      <c r="C51" s="148" t="s">
        <v>11</v>
      </c>
      <c r="D51" s="148" t="str">
        <f t="shared" si="1"/>
        <v>-</v>
      </c>
      <c r="E51" s="9"/>
      <c r="F51" s="10"/>
      <c r="G51" s="9"/>
      <c r="H51" s="11"/>
      <c r="I51" s="11"/>
      <c r="J51" s="11"/>
      <c r="K51" s="9" t="s">
        <v>13</v>
      </c>
      <c r="L51" s="283"/>
    </row>
    <row r="52">
      <c r="A52" s="146" t="s">
        <v>94</v>
      </c>
      <c r="B52" s="47"/>
      <c r="C52" s="148" t="s">
        <v>11</v>
      </c>
      <c r="D52" s="148" t="str">
        <f t="shared" si="1"/>
        <v>-</v>
      </c>
      <c r="E52" s="9"/>
      <c r="F52" s="10"/>
      <c r="G52" s="9"/>
      <c r="H52" s="11"/>
      <c r="I52" s="11"/>
      <c r="J52" s="11"/>
      <c r="K52" s="9" t="s">
        <v>13</v>
      </c>
      <c r="L52" s="283"/>
    </row>
    <row r="53">
      <c r="A53" s="146" t="s">
        <v>94</v>
      </c>
      <c r="B53" s="47"/>
      <c r="C53" s="148" t="s">
        <v>11</v>
      </c>
      <c r="D53" s="148" t="str">
        <f t="shared" si="1"/>
        <v>-</v>
      </c>
      <c r="E53" s="9"/>
      <c r="F53" s="10"/>
      <c r="G53" s="9"/>
      <c r="H53" s="11"/>
      <c r="I53" s="11"/>
      <c r="J53" s="11"/>
      <c r="K53" s="9" t="s">
        <v>13</v>
      </c>
      <c r="L53" s="283"/>
    </row>
    <row r="54">
      <c r="A54" s="146" t="s">
        <v>94</v>
      </c>
      <c r="B54" s="47"/>
      <c r="C54" s="148" t="s">
        <v>11</v>
      </c>
      <c r="D54" s="148" t="str">
        <f t="shared" si="1"/>
        <v>-</v>
      </c>
      <c r="E54" s="9"/>
      <c r="F54" s="10"/>
      <c r="G54" s="9"/>
      <c r="H54" s="11"/>
      <c r="I54" s="11"/>
      <c r="J54" s="11"/>
      <c r="K54" s="9" t="s">
        <v>13</v>
      </c>
      <c r="L54" s="283"/>
    </row>
    <row r="55">
      <c r="A55" s="146" t="s">
        <v>94</v>
      </c>
      <c r="B55" s="47"/>
      <c r="C55" s="148" t="s">
        <v>11</v>
      </c>
      <c r="D55" s="148" t="str">
        <f t="shared" si="1"/>
        <v>-</v>
      </c>
      <c r="E55" s="9"/>
      <c r="F55" s="10"/>
      <c r="G55" s="9"/>
      <c r="H55" s="11"/>
      <c r="I55" s="11"/>
      <c r="J55" s="11"/>
      <c r="K55" s="9" t="s">
        <v>13</v>
      </c>
      <c r="L55" s="283"/>
    </row>
    <row r="56">
      <c r="A56" s="146" t="s">
        <v>94</v>
      </c>
      <c r="B56" s="47"/>
      <c r="C56" s="148" t="s">
        <v>11</v>
      </c>
      <c r="D56" s="148" t="str">
        <f t="shared" si="1"/>
        <v>-</v>
      </c>
      <c r="E56" s="9"/>
      <c r="F56" s="10"/>
      <c r="G56" s="9"/>
      <c r="H56" s="11"/>
      <c r="I56" s="11"/>
      <c r="J56" s="11"/>
      <c r="K56" s="9" t="s">
        <v>13</v>
      </c>
      <c r="L56" s="283"/>
    </row>
    <row r="57">
      <c r="A57" s="146" t="s">
        <v>94</v>
      </c>
      <c r="B57" s="47"/>
      <c r="C57" s="148" t="s">
        <v>11</v>
      </c>
      <c r="D57" s="148" t="str">
        <f t="shared" si="1"/>
        <v>-</v>
      </c>
      <c r="E57" s="9"/>
      <c r="F57" s="10"/>
      <c r="G57" s="9"/>
      <c r="H57" s="11"/>
      <c r="I57" s="11"/>
      <c r="J57" s="11"/>
      <c r="K57" s="9" t="s">
        <v>13</v>
      </c>
      <c r="L57" s="283"/>
    </row>
    <row r="58">
      <c r="A58" s="146" t="s">
        <v>94</v>
      </c>
      <c r="B58" s="47"/>
      <c r="C58" s="148" t="s">
        <v>11</v>
      </c>
      <c r="D58" s="148" t="str">
        <f t="shared" si="1"/>
        <v>-</v>
      </c>
      <c r="E58" s="9"/>
      <c r="F58" s="10"/>
      <c r="G58" s="9"/>
      <c r="H58" s="11"/>
      <c r="I58" s="11"/>
      <c r="J58" s="11"/>
      <c r="K58" s="9" t="s">
        <v>13</v>
      </c>
      <c r="L58" s="283"/>
    </row>
    <row r="59">
      <c r="A59" s="146" t="s">
        <v>94</v>
      </c>
      <c r="B59" s="47"/>
      <c r="C59" s="148" t="s">
        <v>11</v>
      </c>
      <c r="D59" s="148" t="str">
        <f t="shared" si="1"/>
        <v>-</v>
      </c>
      <c r="E59" s="9"/>
      <c r="F59" s="10"/>
      <c r="G59" s="9"/>
      <c r="H59" s="11"/>
      <c r="I59" s="11"/>
      <c r="J59" s="11"/>
      <c r="K59" s="9" t="s">
        <v>13</v>
      </c>
      <c r="L59" s="283"/>
    </row>
    <row r="60">
      <c r="A60" s="146" t="s">
        <v>94</v>
      </c>
      <c r="B60" s="47"/>
      <c r="C60" s="148" t="s">
        <v>11</v>
      </c>
      <c r="D60" s="148" t="str">
        <f t="shared" si="1"/>
        <v>-</v>
      </c>
      <c r="E60" s="9"/>
      <c r="F60" s="10"/>
      <c r="G60" s="9"/>
      <c r="H60" s="11"/>
      <c r="I60" s="11"/>
      <c r="J60" s="11"/>
      <c r="K60" s="9" t="s">
        <v>13</v>
      </c>
      <c r="L60" s="283"/>
    </row>
    <row r="61">
      <c r="A61" s="146" t="s">
        <v>94</v>
      </c>
      <c r="B61" s="47"/>
      <c r="C61" s="148" t="s">
        <v>11</v>
      </c>
      <c r="D61" s="148" t="str">
        <f t="shared" si="1"/>
        <v>-</v>
      </c>
      <c r="E61" s="9"/>
      <c r="F61" s="10"/>
      <c r="G61" s="9"/>
      <c r="H61" s="11"/>
      <c r="I61" s="11"/>
      <c r="J61" s="11"/>
      <c r="K61" s="9" t="s">
        <v>13</v>
      </c>
      <c r="L61" s="283"/>
    </row>
    <row r="62">
      <c r="A62" s="146" t="s">
        <v>94</v>
      </c>
      <c r="B62" s="47"/>
      <c r="C62" s="148" t="s">
        <v>11</v>
      </c>
      <c r="D62" s="148" t="str">
        <f t="shared" si="1"/>
        <v>-</v>
      </c>
      <c r="E62" s="9"/>
      <c r="F62" s="10"/>
      <c r="G62" s="9"/>
      <c r="H62" s="11"/>
      <c r="I62" s="11"/>
      <c r="J62" s="11"/>
      <c r="K62" s="9" t="s">
        <v>13</v>
      </c>
      <c r="L62" s="283"/>
    </row>
    <row r="63">
      <c r="A63" s="146" t="s">
        <v>94</v>
      </c>
      <c r="B63" s="47"/>
      <c r="C63" s="148" t="s">
        <v>11</v>
      </c>
      <c r="D63" s="148" t="str">
        <f t="shared" si="1"/>
        <v>-</v>
      </c>
      <c r="E63" s="9"/>
      <c r="F63" s="10"/>
      <c r="G63" s="9"/>
      <c r="H63" s="11"/>
      <c r="I63" s="11"/>
      <c r="J63" s="11"/>
      <c r="K63" s="9" t="s">
        <v>13</v>
      </c>
      <c r="L63" s="283"/>
    </row>
    <row r="64">
      <c r="A64" s="146" t="s">
        <v>94</v>
      </c>
      <c r="B64" s="47"/>
      <c r="C64" s="148" t="s">
        <v>11</v>
      </c>
      <c r="D64" s="148" t="str">
        <f t="shared" si="1"/>
        <v>-</v>
      </c>
      <c r="E64" s="9"/>
      <c r="F64" s="10"/>
      <c r="G64" s="9"/>
      <c r="H64" s="11"/>
      <c r="I64" s="11"/>
      <c r="J64" s="11"/>
      <c r="K64" s="9" t="s">
        <v>13</v>
      </c>
      <c r="L64" s="283"/>
    </row>
    <row r="65">
      <c r="A65" s="146" t="s">
        <v>94</v>
      </c>
      <c r="B65" s="47"/>
      <c r="C65" s="148" t="s">
        <v>11</v>
      </c>
      <c r="D65" s="148" t="str">
        <f t="shared" si="1"/>
        <v>-</v>
      </c>
      <c r="E65" s="9"/>
      <c r="F65" s="10"/>
      <c r="G65" s="9"/>
      <c r="H65" s="11"/>
      <c r="I65" s="11"/>
      <c r="J65" s="11"/>
      <c r="K65" s="9" t="s">
        <v>13</v>
      </c>
      <c r="L65" s="283"/>
    </row>
    <row r="66">
      <c r="A66" s="146" t="s">
        <v>94</v>
      </c>
      <c r="B66" s="47"/>
      <c r="C66" s="148" t="s">
        <v>11</v>
      </c>
      <c r="D66" s="148" t="str">
        <f t="shared" si="1"/>
        <v>-</v>
      </c>
      <c r="E66" s="9"/>
      <c r="F66" s="10"/>
      <c r="G66" s="9"/>
      <c r="H66" s="11"/>
      <c r="I66" s="11"/>
      <c r="J66" s="11"/>
      <c r="K66" s="9" t="s">
        <v>13</v>
      </c>
      <c r="L66" s="283"/>
    </row>
    <row r="67">
      <c r="A67" s="146" t="s">
        <v>94</v>
      </c>
      <c r="B67" s="47"/>
      <c r="C67" s="148" t="s">
        <v>11</v>
      </c>
      <c r="D67" s="148" t="str">
        <f t="shared" si="1"/>
        <v>-</v>
      </c>
      <c r="E67" s="9"/>
      <c r="F67" s="10"/>
      <c r="G67" s="9"/>
      <c r="H67" s="11"/>
      <c r="I67" s="11"/>
      <c r="J67" s="11"/>
      <c r="K67" s="9" t="s">
        <v>13</v>
      </c>
      <c r="L67" s="283"/>
    </row>
    <row r="68">
      <c r="A68" s="146" t="s">
        <v>94</v>
      </c>
      <c r="B68" s="47"/>
      <c r="C68" s="148" t="s">
        <v>11</v>
      </c>
      <c r="D68" s="148" t="str">
        <f t="shared" si="1"/>
        <v>-</v>
      </c>
      <c r="E68" s="9"/>
      <c r="F68" s="10"/>
      <c r="G68" s="9"/>
      <c r="H68" s="11"/>
      <c r="I68" s="11"/>
      <c r="J68" s="11"/>
      <c r="K68" s="9" t="s">
        <v>13</v>
      </c>
      <c r="L68" s="283"/>
    </row>
    <row r="69">
      <c r="A69" s="146" t="s">
        <v>94</v>
      </c>
      <c r="B69" s="47"/>
      <c r="C69" s="148" t="s">
        <v>11</v>
      </c>
      <c r="D69" s="148" t="str">
        <f t="shared" si="1"/>
        <v>-</v>
      </c>
      <c r="E69" s="9"/>
      <c r="F69" s="10"/>
      <c r="G69" s="9"/>
      <c r="H69" s="11"/>
      <c r="I69" s="11"/>
      <c r="J69" s="11"/>
      <c r="K69" s="9" t="s">
        <v>13</v>
      </c>
      <c r="L69" s="283"/>
    </row>
    <row r="70">
      <c r="A70" s="146" t="s">
        <v>94</v>
      </c>
      <c r="B70" s="47"/>
      <c r="C70" s="148" t="s">
        <v>11</v>
      </c>
      <c r="D70" s="148" t="str">
        <f t="shared" si="1"/>
        <v>-</v>
      </c>
      <c r="E70" s="9"/>
      <c r="F70" s="10"/>
      <c r="G70" s="9"/>
      <c r="H70" s="11"/>
      <c r="I70" s="11"/>
      <c r="J70" s="11"/>
      <c r="K70" s="9" t="s">
        <v>13</v>
      </c>
      <c r="L70" s="283"/>
    </row>
    <row r="71">
      <c r="A71" s="146" t="s">
        <v>94</v>
      </c>
      <c r="B71" s="47"/>
      <c r="C71" s="148" t="s">
        <v>11</v>
      </c>
      <c r="D71" s="148" t="str">
        <f t="shared" si="1"/>
        <v>-</v>
      </c>
      <c r="E71" s="9"/>
      <c r="F71" s="10"/>
      <c r="G71" s="9"/>
      <c r="H71" s="11"/>
      <c r="I71" s="11"/>
      <c r="J71" s="11"/>
      <c r="K71" s="9" t="s">
        <v>13</v>
      </c>
      <c r="L71" s="283"/>
    </row>
    <row r="72">
      <c r="A72" s="146" t="s">
        <v>94</v>
      </c>
      <c r="B72" s="47"/>
      <c r="C72" s="148" t="s">
        <v>11</v>
      </c>
      <c r="D72" s="148" t="str">
        <f t="shared" si="1"/>
        <v>-</v>
      </c>
      <c r="E72" s="9"/>
      <c r="F72" s="10"/>
      <c r="G72" s="9"/>
      <c r="H72" s="11"/>
      <c r="I72" s="11"/>
      <c r="J72" s="11"/>
      <c r="K72" s="9" t="s">
        <v>13</v>
      </c>
      <c r="L72" s="283"/>
    </row>
    <row r="73">
      <c r="A73" s="146" t="s">
        <v>94</v>
      </c>
      <c r="B73" s="47"/>
      <c r="C73" s="148" t="s">
        <v>11</v>
      </c>
      <c r="D73" s="148" t="str">
        <f t="shared" si="1"/>
        <v>-</v>
      </c>
      <c r="E73" s="9"/>
      <c r="F73" s="10"/>
      <c r="G73" s="9"/>
      <c r="H73" s="11"/>
      <c r="I73" s="11"/>
      <c r="J73" s="11"/>
      <c r="K73" s="9" t="s">
        <v>13</v>
      </c>
      <c r="L73" s="283"/>
    </row>
    <row r="74">
      <c r="A74" s="146" t="s">
        <v>94</v>
      </c>
      <c r="B74" s="47"/>
      <c r="C74" s="148" t="s">
        <v>11</v>
      </c>
      <c r="D74" s="148" t="str">
        <f t="shared" si="1"/>
        <v>-</v>
      </c>
      <c r="E74" s="9"/>
      <c r="F74" s="10"/>
      <c r="G74" s="9"/>
      <c r="H74" s="11"/>
      <c r="I74" s="11"/>
      <c r="J74" s="11"/>
      <c r="K74" s="9" t="s">
        <v>13</v>
      </c>
      <c r="L74" s="283"/>
    </row>
    <row r="75">
      <c r="A75" s="146" t="s">
        <v>94</v>
      </c>
      <c r="B75" s="47"/>
      <c r="C75" s="148" t="s">
        <v>11</v>
      </c>
      <c r="D75" s="148" t="str">
        <f t="shared" si="1"/>
        <v>-</v>
      </c>
      <c r="E75" s="9"/>
      <c r="F75" s="10"/>
      <c r="G75" s="9"/>
      <c r="H75" s="11"/>
      <c r="I75" s="11"/>
      <c r="J75" s="11"/>
      <c r="K75" s="9" t="s">
        <v>13</v>
      </c>
      <c r="L75" s="283"/>
    </row>
    <row r="76">
      <c r="A76" s="146" t="s">
        <v>94</v>
      </c>
      <c r="B76" s="47"/>
      <c r="C76" s="148" t="s">
        <v>11</v>
      </c>
      <c r="D76" s="148" t="str">
        <f t="shared" si="1"/>
        <v>-</v>
      </c>
      <c r="E76" s="9"/>
      <c r="F76" s="10"/>
      <c r="G76" s="9"/>
      <c r="H76" s="11"/>
      <c r="I76" s="11"/>
      <c r="J76" s="11"/>
      <c r="K76" s="9" t="s">
        <v>13</v>
      </c>
      <c r="L76" s="283"/>
    </row>
    <row r="77">
      <c r="A77" s="146" t="s">
        <v>94</v>
      </c>
      <c r="B77" s="47"/>
      <c r="C77" s="148" t="s">
        <v>11</v>
      </c>
      <c r="D77" s="148" t="str">
        <f t="shared" si="1"/>
        <v>-</v>
      </c>
      <c r="E77" s="9"/>
      <c r="F77" s="10"/>
      <c r="G77" s="9"/>
      <c r="H77" s="11"/>
      <c r="I77" s="11"/>
      <c r="J77" s="11"/>
      <c r="K77" s="9" t="s">
        <v>13</v>
      </c>
      <c r="L77" s="283"/>
    </row>
    <row r="78">
      <c r="A78" s="146" t="s">
        <v>94</v>
      </c>
      <c r="B78" s="47"/>
      <c r="C78" s="148" t="s">
        <v>11</v>
      </c>
      <c r="D78" s="148" t="str">
        <f t="shared" si="1"/>
        <v>-</v>
      </c>
      <c r="E78" s="9"/>
      <c r="F78" s="10"/>
      <c r="G78" s="9"/>
      <c r="H78" s="11"/>
      <c r="I78" s="11"/>
      <c r="J78" s="11"/>
      <c r="K78" s="9" t="s">
        <v>13</v>
      </c>
      <c r="L78" s="283"/>
    </row>
    <row r="79">
      <c r="A79" s="146" t="s">
        <v>94</v>
      </c>
      <c r="B79" s="47"/>
      <c r="C79" s="148" t="s">
        <v>11</v>
      </c>
      <c r="D79" s="148" t="str">
        <f t="shared" si="1"/>
        <v>-</v>
      </c>
      <c r="E79" s="9"/>
      <c r="F79" s="10"/>
      <c r="G79" s="9"/>
      <c r="H79" s="11"/>
      <c r="I79" s="11"/>
      <c r="J79" s="11"/>
      <c r="K79" s="9" t="s">
        <v>13</v>
      </c>
      <c r="L79" s="283"/>
    </row>
    <row r="80">
      <c r="A80" s="146" t="s">
        <v>94</v>
      </c>
      <c r="B80" s="47"/>
      <c r="C80" s="148" t="s">
        <v>11</v>
      </c>
      <c r="D80" s="148" t="str">
        <f t="shared" si="1"/>
        <v>-</v>
      </c>
      <c r="E80" s="9"/>
      <c r="F80" s="10"/>
      <c r="G80" s="9"/>
      <c r="H80" s="11"/>
      <c r="I80" s="11"/>
      <c r="J80" s="11"/>
      <c r="K80" s="9" t="s">
        <v>13</v>
      </c>
      <c r="L80" s="283"/>
    </row>
    <row r="81">
      <c r="A81" s="146" t="s">
        <v>94</v>
      </c>
      <c r="B81" s="47"/>
      <c r="C81" s="148" t="s">
        <v>11</v>
      </c>
      <c r="D81" s="148" t="str">
        <f t="shared" si="1"/>
        <v>-</v>
      </c>
      <c r="E81" s="9"/>
      <c r="F81" s="10"/>
      <c r="G81" s="9"/>
      <c r="H81" s="11"/>
      <c r="I81" s="11"/>
      <c r="J81" s="11"/>
      <c r="K81" s="9" t="s">
        <v>13</v>
      </c>
      <c r="L81" s="283"/>
    </row>
    <row r="82">
      <c r="A82" s="146" t="s">
        <v>94</v>
      </c>
      <c r="B82" s="47"/>
      <c r="C82" s="148" t="s">
        <v>11</v>
      </c>
      <c r="D82" s="148" t="str">
        <f t="shared" si="1"/>
        <v>-</v>
      </c>
      <c r="E82" s="9"/>
      <c r="F82" s="10"/>
      <c r="G82" s="9"/>
      <c r="H82" s="11"/>
      <c r="I82" s="11"/>
      <c r="J82" s="11"/>
      <c r="K82" s="9" t="s">
        <v>13</v>
      </c>
      <c r="L82" s="283"/>
    </row>
    <row r="83">
      <c r="A83" s="146" t="s">
        <v>94</v>
      </c>
      <c r="B83" s="47"/>
      <c r="C83" s="148" t="s">
        <v>11</v>
      </c>
      <c r="D83" s="148" t="str">
        <f t="shared" si="1"/>
        <v>-</v>
      </c>
      <c r="E83" s="9"/>
      <c r="F83" s="10"/>
      <c r="G83" s="9"/>
      <c r="H83" s="11"/>
      <c r="I83" s="11"/>
      <c r="J83" s="11"/>
      <c r="K83" s="9" t="s">
        <v>13</v>
      </c>
      <c r="L83" s="283"/>
    </row>
    <row r="84">
      <c r="A84" s="146" t="s">
        <v>94</v>
      </c>
      <c r="B84" s="47"/>
      <c r="C84" s="148" t="s">
        <v>11</v>
      </c>
      <c r="D84" s="148" t="str">
        <f t="shared" si="1"/>
        <v>-</v>
      </c>
      <c r="E84" s="9"/>
      <c r="F84" s="10"/>
      <c r="G84" s="9"/>
      <c r="H84" s="11"/>
      <c r="I84" s="11"/>
      <c r="J84" s="11"/>
      <c r="K84" s="9" t="s">
        <v>13</v>
      </c>
      <c r="L84" s="283"/>
    </row>
    <row r="85">
      <c r="A85" s="146" t="s">
        <v>94</v>
      </c>
      <c r="B85" s="47"/>
      <c r="C85" s="148" t="s">
        <v>11</v>
      </c>
      <c r="D85" s="148" t="str">
        <f t="shared" si="1"/>
        <v>-</v>
      </c>
      <c r="E85" s="9"/>
      <c r="F85" s="10"/>
      <c r="G85" s="9"/>
      <c r="H85" s="11"/>
      <c r="I85" s="11"/>
      <c r="J85" s="11"/>
      <c r="K85" s="9" t="s">
        <v>13</v>
      </c>
      <c r="L85" s="283"/>
    </row>
    <row r="86">
      <c r="A86" s="146" t="s">
        <v>94</v>
      </c>
      <c r="B86" s="47"/>
      <c r="C86" s="148" t="s">
        <v>11</v>
      </c>
      <c r="D86" s="148" t="str">
        <f t="shared" si="1"/>
        <v>-</v>
      </c>
      <c r="E86" s="9"/>
      <c r="F86" s="10"/>
      <c r="G86" s="9"/>
      <c r="H86" s="11"/>
      <c r="I86" s="11"/>
      <c r="J86" s="11"/>
      <c r="K86" s="9" t="s">
        <v>13</v>
      </c>
      <c r="L86" s="283"/>
    </row>
    <row r="87">
      <c r="A87" s="146" t="s">
        <v>94</v>
      </c>
      <c r="B87" s="47"/>
      <c r="C87" s="148" t="s">
        <v>11</v>
      </c>
      <c r="D87" s="148" t="str">
        <f t="shared" si="1"/>
        <v>-</v>
      </c>
      <c r="E87" s="9"/>
      <c r="F87" s="10"/>
      <c r="G87" s="9"/>
      <c r="H87" s="11"/>
      <c r="I87" s="11"/>
      <c r="J87" s="11"/>
      <c r="K87" s="9" t="s">
        <v>13</v>
      </c>
      <c r="L87" s="283"/>
    </row>
    <row r="88">
      <c r="A88" s="146" t="s">
        <v>94</v>
      </c>
      <c r="B88" s="47"/>
      <c r="C88" s="148" t="s">
        <v>11</v>
      </c>
      <c r="D88" s="148" t="str">
        <f t="shared" si="1"/>
        <v>-</v>
      </c>
      <c r="E88" s="9"/>
      <c r="F88" s="10"/>
      <c r="G88" s="9"/>
      <c r="H88" s="11"/>
      <c r="I88" s="11"/>
      <c r="J88" s="11"/>
      <c r="K88" s="9" t="s">
        <v>13</v>
      </c>
      <c r="L88" s="283"/>
    </row>
    <row r="89">
      <c r="A89" s="146" t="s">
        <v>94</v>
      </c>
      <c r="B89" s="47"/>
      <c r="C89" s="148" t="s">
        <v>11</v>
      </c>
      <c r="D89" s="148" t="str">
        <f t="shared" si="1"/>
        <v>-</v>
      </c>
      <c r="E89" s="9"/>
      <c r="F89" s="10"/>
      <c r="G89" s="9"/>
      <c r="H89" s="11"/>
      <c r="I89" s="11"/>
      <c r="J89" s="11"/>
      <c r="K89" s="9" t="s">
        <v>13</v>
      </c>
      <c r="L89" s="283"/>
    </row>
    <row r="90">
      <c r="A90" s="146" t="s">
        <v>94</v>
      </c>
      <c r="B90" s="47"/>
      <c r="C90" s="148" t="s">
        <v>11</v>
      </c>
      <c r="D90" s="148" t="str">
        <f t="shared" si="1"/>
        <v>-</v>
      </c>
      <c r="E90" s="9"/>
      <c r="F90" s="10"/>
      <c r="G90" s="9"/>
      <c r="H90" s="11"/>
      <c r="I90" s="11"/>
      <c r="J90" s="11"/>
      <c r="K90" s="9" t="s">
        <v>13</v>
      </c>
      <c r="L90" s="283"/>
    </row>
    <row r="91">
      <c r="A91" s="146" t="s">
        <v>94</v>
      </c>
      <c r="B91" s="47"/>
      <c r="C91" s="148" t="s">
        <v>11</v>
      </c>
      <c r="D91" s="148" t="str">
        <f t="shared" si="1"/>
        <v>-</v>
      </c>
      <c r="E91" s="9"/>
      <c r="F91" s="10"/>
      <c r="G91" s="9"/>
      <c r="H91" s="11"/>
      <c r="I91" s="11"/>
      <c r="J91" s="11"/>
      <c r="K91" s="9" t="s">
        <v>13</v>
      </c>
      <c r="L91" s="283"/>
    </row>
    <row r="92">
      <c r="A92" s="146" t="s">
        <v>94</v>
      </c>
      <c r="B92" s="47"/>
      <c r="C92" s="148" t="s">
        <v>11</v>
      </c>
      <c r="D92" s="148" t="str">
        <f t="shared" si="1"/>
        <v>-</v>
      </c>
      <c r="E92" s="9"/>
      <c r="F92" s="10"/>
      <c r="G92" s="9"/>
      <c r="H92" s="11"/>
      <c r="I92" s="11"/>
      <c r="J92" s="11"/>
      <c r="K92" s="9" t="s">
        <v>13</v>
      </c>
      <c r="L92" s="283"/>
    </row>
    <row r="93">
      <c r="A93" s="146" t="s">
        <v>94</v>
      </c>
      <c r="B93" s="47"/>
      <c r="C93" s="148" t="s">
        <v>11</v>
      </c>
      <c r="D93" s="148" t="str">
        <f t="shared" si="1"/>
        <v>-</v>
      </c>
      <c r="E93" s="9"/>
      <c r="F93" s="10"/>
      <c r="G93" s="9"/>
      <c r="H93" s="11"/>
      <c r="I93" s="11"/>
      <c r="J93" s="11"/>
      <c r="K93" s="9" t="s">
        <v>13</v>
      </c>
      <c r="L93" s="283"/>
    </row>
    <row r="94">
      <c r="A94" s="146" t="s">
        <v>94</v>
      </c>
      <c r="B94" s="47"/>
      <c r="C94" s="148" t="s">
        <v>11</v>
      </c>
      <c r="D94" s="148" t="str">
        <f t="shared" si="1"/>
        <v>-</v>
      </c>
      <c r="E94" s="9"/>
      <c r="F94" s="10"/>
      <c r="G94" s="9"/>
      <c r="H94" s="11"/>
      <c r="I94" s="11"/>
      <c r="J94" s="11"/>
      <c r="K94" s="9" t="s">
        <v>13</v>
      </c>
      <c r="L94" s="283"/>
    </row>
    <row r="95">
      <c r="A95" s="146" t="s">
        <v>94</v>
      </c>
      <c r="B95" s="47"/>
      <c r="C95" s="148" t="s">
        <v>11</v>
      </c>
      <c r="D95" s="148" t="str">
        <f t="shared" si="1"/>
        <v>-</v>
      </c>
      <c r="E95" s="9"/>
      <c r="F95" s="10"/>
      <c r="G95" s="9"/>
      <c r="H95" s="11"/>
      <c r="I95" s="11"/>
      <c r="J95" s="11"/>
      <c r="K95" s="9" t="s">
        <v>13</v>
      </c>
      <c r="L95" s="283"/>
    </row>
    <row r="96">
      <c r="A96" s="146" t="s">
        <v>94</v>
      </c>
      <c r="B96" s="47"/>
      <c r="C96" s="148" t="s">
        <v>11</v>
      </c>
      <c r="D96" s="148" t="str">
        <f t="shared" si="1"/>
        <v>-</v>
      </c>
      <c r="E96" s="9"/>
      <c r="F96" s="10"/>
      <c r="G96" s="9"/>
      <c r="H96" s="11"/>
      <c r="I96" s="11"/>
      <c r="J96" s="11"/>
      <c r="K96" s="9" t="s">
        <v>13</v>
      </c>
      <c r="L96" s="283"/>
    </row>
    <row r="97">
      <c r="A97" s="146" t="s">
        <v>94</v>
      </c>
      <c r="B97" s="47"/>
      <c r="C97" s="148" t="s">
        <v>11</v>
      </c>
      <c r="D97" s="148" t="str">
        <f t="shared" si="1"/>
        <v>-</v>
      </c>
      <c r="E97" s="9"/>
      <c r="F97" s="10"/>
      <c r="G97" s="9"/>
      <c r="H97" s="11"/>
      <c r="I97" s="11"/>
      <c r="J97" s="11"/>
      <c r="K97" s="9" t="s">
        <v>13</v>
      </c>
      <c r="L97" s="283"/>
    </row>
    <row r="98">
      <c r="A98" s="146" t="s">
        <v>94</v>
      </c>
      <c r="B98" s="47"/>
      <c r="C98" s="148" t="s">
        <v>11</v>
      </c>
      <c r="D98" s="148" t="str">
        <f t="shared" si="1"/>
        <v>-</v>
      </c>
      <c r="E98" s="9"/>
      <c r="F98" s="10"/>
      <c r="G98" s="9"/>
      <c r="H98" s="11"/>
      <c r="I98" s="11"/>
      <c r="J98" s="11"/>
      <c r="K98" s="9" t="s">
        <v>13</v>
      </c>
      <c r="L98" s="283"/>
    </row>
    <row r="99">
      <c r="A99" s="146" t="s">
        <v>94</v>
      </c>
      <c r="B99" s="47"/>
      <c r="C99" s="148" t="s">
        <v>11</v>
      </c>
      <c r="D99" s="148" t="str">
        <f t="shared" si="1"/>
        <v>-</v>
      </c>
      <c r="E99" s="9"/>
      <c r="F99" s="10"/>
      <c r="G99" s="9"/>
      <c r="H99" s="11"/>
      <c r="I99" s="11"/>
      <c r="J99" s="11"/>
      <c r="K99" s="9" t="s">
        <v>13</v>
      </c>
      <c r="L99" s="283"/>
    </row>
    <row r="100">
      <c r="A100" s="146" t="s">
        <v>94</v>
      </c>
      <c r="B100" s="47"/>
      <c r="C100" s="148" t="s">
        <v>11</v>
      </c>
      <c r="D100" s="148" t="str">
        <f t="shared" si="1"/>
        <v>-</v>
      </c>
      <c r="E100" s="9"/>
      <c r="F100" s="10"/>
      <c r="G100" s="9"/>
      <c r="H100" s="11"/>
      <c r="I100" s="11"/>
      <c r="J100" s="11"/>
      <c r="K100" s="9" t="s">
        <v>13</v>
      </c>
      <c r="L100" s="283"/>
    </row>
    <row r="101">
      <c r="A101" s="146" t="s">
        <v>94</v>
      </c>
      <c r="B101" s="47"/>
      <c r="C101" s="148" t="s">
        <v>11</v>
      </c>
      <c r="D101" s="148" t="str">
        <f t="shared" si="1"/>
        <v>-</v>
      </c>
      <c r="E101" s="9"/>
      <c r="F101" s="10"/>
      <c r="G101" s="9"/>
      <c r="H101" s="11"/>
      <c r="I101" s="11"/>
      <c r="J101" s="11"/>
      <c r="K101" s="9" t="s">
        <v>13</v>
      </c>
      <c r="L101" s="283"/>
    </row>
    <row r="102">
      <c r="A102" s="146" t="s">
        <v>94</v>
      </c>
      <c r="B102" s="47"/>
      <c r="C102" s="148" t="s">
        <v>11</v>
      </c>
      <c r="D102" s="148" t="str">
        <f t="shared" si="1"/>
        <v>-</v>
      </c>
      <c r="E102" s="9"/>
      <c r="F102" s="10"/>
      <c r="G102" s="9"/>
      <c r="H102" s="11"/>
      <c r="I102" s="11"/>
      <c r="J102" s="11"/>
      <c r="K102" s="9" t="s">
        <v>13</v>
      </c>
      <c r="L102" s="283"/>
    </row>
    <row r="103">
      <c r="A103" s="146" t="s">
        <v>94</v>
      </c>
      <c r="B103" s="47"/>
      <c r="C103" s="148" t="s">
        <v>11</v>
      </c>
      <c r="D103" s="148" t="str">
        <f t="shared" si="1"/>
        <v>-</v>
      </c>
      <c r="E103" s="9"/>
      <c r="F103" s="10"/>
      <c r="G103" s="9"/>
      <c r="H103" s="11"/>
      <c r="I103" s="11"/>
      <c r="J103" s="11"/>
      <c r="K103" s="9" t="s">
        <v>13</v>
      </c>
      <c r="L103" s="283"/>
    </row>
    <row r="104">
      <c r="A104" s="146" t="s">
        <v>94</v>
      </c>
      <c r="B104" s="47"/>
      <c r="C104" s="148" t="s">
        <v>11</v>
      </c>
      <c r="D104" s="148" t="str">
        <f t="shared" si="1"/>
        <v>-</v>
      </c>
      <c r="E104" s="9"/>
      <c r="F104" s="10"/>
      <c r="G104" s="9"/>
      <c r="H104" s="11"/>
      <c r="I104" s="11"/>
      <c r="J104" s="11"/>
      <c r="K104" s="9" t="s">
        <v>13</v>
      </c>
      <c r="L104" s="283"/>
    </row>
    <row r="105">
      <c r="A105" s="146" t="s">
        <v>94</v>
      </c>
      <c r="B105" s="47"/>
      <c r="C105" s="148" t="s">
        <v>11</v>
      </c>
      <c r="D105" s="148" t="str">
        <f t="shared" si="1"/>
        <v>-</v>
      </c>
      <c r="E105" s="9"/>
      <c r="F105" s="10"/>
      <c r="G105" s="9"/>
      <c r="H105" s="11"/>
      <c r="I105" s="11"/>
      <c r="J105" s="11"/>
      <c r="K105" s="9" t="s">
        <v>13</v>
      </c>
      <c r="L105" s="283"/>
    </row>
    <row r="106">
      <c r="A106" s="146" t="s">
        <v>94</v>
      </c>
      <c r="B106" s="47"/>
      <c r="C106" s="148" t="s">
        <v>11</v>
      </c>
      <c r="D106" s="148" t="str">
        <f t="shared" si="1"/>
        <v>-</v>
      </c>
      <c r="E106" s="9"/>
      <c r="F106" s="10"/>
      <c r="G106" s="9"/>
      <c r="H106" s="11"/>
      <c r="I106" s="11"/>
      <c r="J106" s="11"/>
      <c r="K106" s="9" t="s">
        <v>13</v>
      </c>
      <c r="L106" s="283"/>
    </row>
    <row r="107">
      <c r="A107" s="146" t="s">
        <v>94</v>
      </c>
      <c r="B107" s="47"/>
      <c r="C107" s="148" t="s">
        <v>11</v>
      </c>
      <c r="D107" s="148" t="str">
        <f t="shared" si="1"/>
        <v>-</v>
      </c>
      <c r="E107" s="9"/>
      <c r="F107" s="10"/>
      <c r="G107" s="9"/>
      <c r="H107" s="11"/>
      <c r="I107" s="11"/>
      <c r="J107" s="11"/>
      <c r="K107" s="9" t="s">
        <v>13</v>
      </c>
      <c r="L107" s="283"/>
    </row>
    <row r="108">
      <c r="A108" s="146" t="s">
        <v>94</v>
      </c>
      <c r="B108" s="47"/>
      <c r="C108" s="148" t="s">
        <v>11</v>
      </c>
      <c r="D108" s="148" t="str">
        <f t="shared" si="1"/>
        <v>-</v>
      </c>
      <c r="E108" s="9"/>
      <c r="F108" s="10"/>
      <c r="G108" s="9"/>
      <c r="H108" s="11"/>
      <c r="I108" s="11"/>
      <c r="J108" s="11"/>
      <c r="K108" s="9" t="s">
        <v>13</v>
      </c>
      <c r="L108" s="283"/>
    </row>
    <row r="109">
      <c r="A109" s="146" t="s">
        <v>94</v>
      </c>
      <c r="B109" s="47"/>
      <c r="C109" s="148" t="s">
        <v>11</v>
      </c>
      <c r="D109" s="148" t="str">
        <f t="shared" si="1"/>
        <v>-</v>
      </c>
      <c r="E109" s="9"/>
      <c r="F109" s="10"/>
      <c r="G109" s="9"/>
      <c r="H109" s="11"/>
      <c r="I109" s="11"/>
      <c r="J109" s="11"/>
      <c r="K109" s="9" t="s">
        <v>13</v>
      </c>
      <c r="L109" s="283"/>
    </row>
    <row r="110">
      <c r="A110" s="146" t="s">
        <v>94</v>
      </c>
      <c r="B110" s="47"/>
      <c r="C110" s="148" t="s">
        <v>11</v>
      </c>
      <c r="D110" s="148" t="str">
        <f t="shared" si="1"/>
        <v>-</v>
      </c>
      <c r="E110" s="9"/>
      <c r="F110" s="10"/>
      <c r="G110" s="9"/>
      <c r="H110" s="11"/>
      <c r="I110" s="11"/>
      <c r="J110" s="11"/>
      <c r="K110" s="9" t="s">
        <v>13</v>
      </c>
      <c r="L110" s="283"/>
    </row>
    <row r="111">
      <c r="A111" s="146" t="s">
        <v>94</v>
      </c>
      <c r="B111" s="47"/>
      <c r="C111" s="148" t="s">
        <v>11</v>
      </c>
      <c r="D111" s="148" t="str">
        <f t="shared" si="1"/>
        <v>-</v>
      </c>
      <c r="E111" s="9"/>
      <c r="F111" s="10"/>
      <c r="G111" s="9"/>
      <c r="H111" s="11"/>
      <c r="I111" s="11"/>
      <c r="J111" s="11"/>
      <c r="K111" s="9" t="s">
        <v>13</v>
      </c>
      <c r="L111" s="283"/>
    </row>
    <row r="112">
      <c r="A112" s="146" t="s">
        <v>94</v>
      </c>
      <c r="B112" s="47"/>
      <c r="C112" s="148" t="s">
        <v>11</v>
      </c>
      <c r="D112" s="148" t="str">
        <f t="shared" si="1"/>
        <v>-</v>
      </c>
      <c r="E112" s="9"/>
      <c r="F112" s="10"/>
      <c r="G112" s="9"/>
      <c r="H112" s="11"/>
      <c r="I112" s="11"/>
      <c r="J112" s="11"/>
      <c r="K112" s="9" t="s">
        <v>13</v>
      </c>
      <c r="L112" s="283"/>
    </row>
    <row r="113">
      <c r="A113" s="146" t="s">
        <v>94</v>
      </c>
      <c r="B113" s="47"/>
      <c r="C113" s="148" t="s">
        <v>11</v>
      </c>
      <c r="D113" s="148" t="str">
        <f t="shared" si="1"/>
        <v>-</v>
      </c>
      <c r="E113" s="9"/>
      <c r="F113" s="10"/>
      <c r="G113" s="9"/>
      <c r="H113" s="11"/>
      <c r="I113" s="11"/>
      <c r="J113" s="11"/>
      <c r="K113" s="9" t="s">
        <v>13</v>
      </c>
      <c r="L113" s="283"/>
    </row>
    <row r="114">
      <c r="A114" s="146" t="s">
        <v>94</v>
      </c>
      <c r="B114" s="47"/>
      <c r="C114" s="148" t="s">
        <v>11</v>
      </c>
      <c r="D114" s="148" t="str">
        <f t="shared" si="1"/>
        <v>-</v>
      </c>
      <c r="E114" s="9"/>
      <c r="F114" s="10"/>
      <c r="G114" s="9"/>
      <c r="H114" s="11"/>
      <c r="I114" s="11"/>
      <c r="J114" s="11"/>
      <c r="K114" s="9" t="s">
        <v>13</v>
      </c>
      <c r="L114" s="283"/>
    </row>
    <row r="115">
      <c r="A115" s="146" t="s">
        <v>94</v>
      </c>
      <c r="B115" s="47"/>
      <c r="C115" s="148" t="s">
        <v>11</v>
      </c>
      <c r="D115" s="148" t="str">
        <f t="shared" si="1"/>
        <v>-</v>
      </c>
      <c r="E115" s="9"/>
      <c r="F115" s="10"/>
      <c r="G115" s="9"/>
      <c r="H115" s="11"/>
      <c r="I115" s="11"/>
      <c r="J115" s="11"/>
      <c r="K115" s="9" t="s">
        <v>13</v>
      </c>
      <c r="L115" s="283"/>
    </row>
    <row r="116">
      <c r="A116" s="146" t="s">
        <v>94</v>
      </c>
      <c r="B116" s="47"/>
      <c r="C116" s="148" t="s">
        <v>11</v>
      </c>
      <c r="D116" s="148" t="str">
        <f t="shared" si="1"/>
        <v>-</v>
      </c>
      <c r="E116" s="9"/>
      <c r="F116" s="10"/>
      <c r="G116" s="9"/>
      <c r="H116" s="11"/>
      <c r="I116" s="11"/>
      <c r="J116" s="11"/>
      <c r="K116" s="9" t="s">
        <v>13</v>
      </c>
      <c r="L116" s="283"/>
    </row>
    <row r="117">
      <c r="A117" s="146" t="s">
        <v>94</v>
      </c>
      <c r="B117" s="47"/>
      <c r="C117" s="148" t="s">
        <v>11</v>
      </c>
      <c r="D117" s="148" t="str">
        <f t="shared" si="1"/>
        <v>-</v>
      </c>
      <c r="E117" s="9"/>
      <c r="F117" s="10"/>
      <c r="G117" s="9"/>
      <c r="H117" s="11"/>
      <c r="I117" s="11"/>
      <c r="J117" s="11"/>
      <c r="K117" s="9" t="s">
        <v>13</v>
      </c>
      <c r="L117" s="283"/>
    </row>
    <row r="118">
      <c r="A118" s="146" t="s">
        <v>94</v>
      </c>
      <c r="B118" s="47"/>
      <c r="C118" s="148" t="s">
        <v>11</v>
      </c>
      <c r="D118" s="148" t="str">
        <f t="shared" si="1"/>
        <v>-</v>
      </c>
      <c r="E118" s="9"/>
      <c r="F118" s="10"/>
      <c r="G118" s="9"/>
      <c r="H118" s="11"/>
      <c r="I118" s="11"/>
      <c r="J118" s="11"/>
      <c r="K118" s="9" t="s">
        <v>13</v>
      </c>
      <c r="L118" s="283"/>
    </row>
    <row r="119">
      <c r="A119" s="146" t="s">
        <v>94</v>
      </c>
      <c r="B119" s="47"/>
      <c r="C119" s="148" t="s">
        <v>11</v>
      </c>
      <c r="D119" s="148" t="str">
        <f t="shared" si="1"/>
        <v>-</v>
      </c>
      <c r="E119" s="9"/>
      <c r="F119" s="10"/>
      <c r="G119" s="9"/>
      <c r="H119" s="11"/>
      <c r="I119" s="11"/>
      <c r="J119" s="11"/>
      <c r="K119" s="9" t="s">
        <v>13</v>
      </c>
      <c r="L119" s="283"/>
    </row>
    <row r="120">
      <c r="A120" s="146" t="s">
        <v>94</v>
      </c>
      <c r="B120" s="47"/>
      <c r="C120" s="148" t="s">
        <v>11</v>
      </c>
      <c r="D120" s="148" t="str">
        <f t="shared" si="1"/>
        <v>-</v>
      </c>
      <c r="E120" s="9"/>
      <c r="F120" s="10"/>
      <c r="G120" s="9"/>
      <c r="H120" s="11"/>
      <c r="I120" s="11"/>
      <c r="J120" s="11"/>
      <c r="K120" s="9" t="s">
        <v>13</v>
      </c>
      <c r="L120" s="283"/>
    </row>
    <row r="121">
      <c r="A121" s="146" t="s">
        <v>94</v>
      </c>
      <c r="B121" s="47"/>
      <c r="C121" s="148" t="s">
        <v>11</v>
      </c>
      <c r="D121" s="148" t="str">
        <f t="shared" si="1"/>
        <v>-</v>
      </c>
      <c r="E121" s="9"/>
      <c r="F121" s="10"/>
      <c r="G121" s="9"/>
      <c r="H121" s="11"/>
      <c r="I121" s="11"/>
      <c r="J121" s="11"/>
      <c r="K121" s="9" t="s">
        <v>13</v>
      </c>
      <c r="L121" s="283"/>
    </row>
    <row r="122">
      <c r="A122" s="146" t="s">
        <v>94</v>
      </c>
      <c r="B122" s="47"/>
      <c r="C122" s="148" t="s">
        <v>11</v>
      </c>
      <c r="D122" s="148" t="str">
        <f t="shared" si="1"/>
        <v>-</v>
      </c>
      <c r="E122" s="9"/>
      <c r="F122" s="10"/>
      <c r="G122" s="9"/>
      <c r="H122" s="11"/>
      <c r="I122" s="11"/>
      <c r="J122" s="11"/>
      <c r="K122" s="9" t="s">
        <v>13</v>
      </c>
      <c r="L122" s="283"/>
    </row>
    <row r="123">
      <c r="A123" s="146" t="s">
        <v>94</v>
      </c>
      <c r="B123" s="47"/>
      <c r="C123" s="148" t="s">
        <v>11</v>
      </c>
      <c r="D123" s="148" t="str">
        <f t="shared" si="1"/>
        <v>-</v>
      </c>
      <c r="E123" s="9"/>
      <c r="F123" s="10"/>
      <c r="G123" s="9"/>
      <c r="H123" s="11"/>
      <c r="I123" s="11"/>
      <c r="J123" s="11"/>
      <c r="K123" s="9" t="s">
        <v>13</v>
      </c>
      <c r="L123" s="283"/>
    </row>
    <row r="124">
      <c r="A124" s="146" t="s">
        <v>94</v>
      </c>
      <c r="B124" s="47"/>
      <c r="C124" s="148" t="s">
        <v>11</v>
      </c>
      <c r="D124" s="148" t="str">
        <f t="shared" si="1"/>
        <v>-</v>
      </c>
      <c r="E124" s="9"/>
      <c r="F124" s="10"/>
      <c r="G124" s="9"/>
      <c r="H124" s="11"/>
      <c r="I124" s="11"/>
      <c r="J124" s="11"/>
      <c r="K124" s="9" t="s">
        <v>13</v>
      </c>
      <c r="L124" s="283"/>
    </row>
    <row r="125">
      <c r="A125" s="146" t="s">
        <v>94</v>
      </c>
      <c r="B125" s="47"/>
      <c r="C125" s="148" t="s">
        <v>11</v>
      </c>
      <c r="D125" s="148" t="str">
        <f t="shared" si="1"/>
        <v>-</v>
      </c>
      <c r="E125" s="9"/>
      <c r="F125" s="10"/>
      <c r="G125" s="9"/>
      <c r="H125" s="11"/>
      <c r="I125" s="11"/>
      <c r="J125" s="11"/>
      <c r="K125" s="9" t="s">
        <v>13</v>
      </c>
      <c r="L125" s="283"/>
    </row>
    <row r="126">
      <c r="A126" s="146" t="s">
        <v>94</v>
      </c>
      <c r="B126" s="47"/>
      <c r="C126" s="148" t="s">
        <v>11</v>
      </c>
      <c r="D126" s="148" t="str">
        <f t="shared" si="1"/>
        <v>-</v>
      </c>
      <c r="E126" s="9"/>
      <c r="F126" s="10"/>
      <c r="G126" s="9"/>
      <c r="H126" s="11"/>
      <c r="I126" s="11"/>
      <c r="J126" s="11"/>
      <c r="K126" s="9" t="s">
        <v>13</v>
      </c>
      <c r="L126" s="283"/>
    </row>
    <row r="127">
      <c r="A127" s="146" t="s">
        <v>94</v>
      </c>
      <c r="B127" s="47"/>
      <c r="C127" s="148" t="s">
        <v>11</v>
      </c>
      <c r="D127" s="148" t="str">
        <f t="shared" si="1"/>
        <v>-</v>
      </c>
      <c r="E127" s="9"/>
      <c r="F127" s="10"/>
      <c r="G127" s="9"/>
      <c r="H127" s="11"/>
      <c r="I127" s="11"/>
      <c r="J127" s="11"/>
      <c r="K127" s="9" t="s">
        <v>13</v>
      </c>
      <c r="L127" s="283"/>
    </row>
    <row r="128">
      <c r="A128" s="146" t="s">
        <v>94</v>
      </c>
      <c r="B128" s="47"/>
      <c r="C128" s="148" t="s">
        <v>11</v>
      </c>
      <c r="D128" s="148" t="str">
        <f t="shared" si="1"/>
        <v>-</v>
      </c>
      <c r="E128" s="9"/>
      <c r="F128" s="10"/>
      <c r="G128" s="9"/>
      <c r="H128" s="11"/>
      <c r="I128" s="11"/>
      <c r="J128" s="11"/>
      <c r="K128" s="9" t="s">
        <v>13</v>
      </c>
      <c r="L128" s="283"/>
    </row>
    <row r="129">
      <c r="A129" s="146" t="s">
        <v>94</v>
      </c>
      <c r="B129" s="47"/>
      <c r="C129" s="148" t="s">
        <v>11</v>
      </c>
      <c r="D129" s="148" t="str">
        <f t="shared" si="1"/>
        <v>-</v>
      </c>
      <c r="E129" s="9"/>
      <c r="F129" s="10"/>
      <c r="G129" s="9"/>
      <c r="H129" s="11"/>
      <c r="I129" s="11"/>
      <c r="J129" s="11"/>
      <c r="K129" s="9" t="s">
        <v>13</v>
      </c>
      <c r="L129" s="283"/>
    </row>
    <row r="130">
      <c r="A130" s="146" t="s">
        <v>94</v>
      </c>
      <c r="B130" s="47"/>
      <c r="C130" s="148" t="s">
        <v>11</v>
      </c>
      <c r="D130" s="148" t="str">
        <f t="shared" si="1"/>
        <v>-</v>
      </c>
      <c r="E130" s="9"/>
      <c r="F130" s="10"/>
      <c r="G130" s="9"/>
      <c r="H130" s="11"/>
      <c r="I130" s="11"/>
      <c r="J130" s="11"/>
      <c r="K130" s="9" t="s">
        <v>13</v>
      </c>
      <c r="L130" s="283"/>
    </row>
    <row r="131">
      <c r="A131" s="146" t="s">
        <v>94</v>
      </c>
      <c r="B131" s="47"/>
      <c r="C131" s="148" t="s">
        <v>11</v>
      </c>
      <c r="D131" s="148" t="str">
        <f t="shared" si="1"/>
        <v>-</v>
      </c>
      <c r="E131" s="9"/>
      <c r="F131" s="10"/>
      <c r="G131" s="9"/>
      <c r="H131" s="11"/>
      <c r="I131" s="11"/>
      <c r="J131" s="11"/>
      <c r="K131" s="9" t="s">
        <v>13</v>
      </c>
      <c r="L131" s="283"/>
    </row>
    <row r="132">
      <c r="A132" s="146" t="s">
        <v>94</v>
      </c>
      <c r="B132" s="47"/>
      <c r="C132" s="148" t="s">
        <v>11</v>
      </c>
      <c r="D132" s="148" t="str">
        <f t="shared" si="1"/>
        <v>-</v>
      </c>
      <c r="E132" s="9"/>
      <c r="F132" s="10"/>
      <c r="G132" s="9"/>
      <c r="H132" s="11"/>
      <c r="I132" s="11"/>
      <c r="J132" s="11"/>
      <c r="K132" s="9" t="s">
        <v>13</v>
      </c>
      <c r="L132" s="283"/>
    </row>
    <row r="133">
      <c r="A133" s="146" t="s">
        <v>94</v>
      </c>
      <c r="B133" s="47"/>
      <c r="C133" s="148" t="s">
        <v>11</v>
      </c>
      <c r="D133" s="148" t="str">
        <f t="shared" si="1"/>
        <v>-</v>
      </c>
      <c r="E133" s="9"/>
      <c r="F133" s="10"/>
      <c r="G133" s="9"/>
      <c r="H133" s="11"/>
      <c r="I133" s="11"/>
      <c r="J133" s="11"/>
      <c r="K133" s="9" t="s">
        <v>13</v>
      </c>
      <c r="L133" s="283"/>
    </row>
    <row r="134">
      <c r="A134" s="146" t="s">
        <v>94</v>
      </c>
      <c r="B134" s="47"/>
      <c r="C134" s="148" t="s">
        <v>11</v>
      </c>
      <c r="D134" s="148" t="str">
        <f t="shared" si="1"/>
        <v>-</v>
      </c>
      <c r="E134" s="9"/>
      <c r="F134" s="10"/>
      <c r="G134" s="9"/>
      <c r="H134" s="11"/>
      <c r="I134" s="11"/>
      <c r="J134" s="11"/>
      <c r="K134" s="9" t="s">
        <v>13</v>
      </c>
      <c r="L134" s="283"/>
    </row>
    <row r="135">
      <c r="A135" s="146" t="s">
        <v>94</v>
      </c>
      <c r="B135" s="47"/>
      <c r="C135" s="148" t="s">
        <v>11</v>
      </c>
      <c r="D135" s="148" t="str">
        <f t="shared" si="1"/>
        <v>-</v>
      </c>
      <c r="E135" s="9"/>
      <c r="F135" s="10"/>
      <c r="G135" s="9"/>
      <c r="H135" s="11"/>
      <c r="I135" s="11"/>
      <c r="J135" s="11"/>
      <c r="K135" s="9" t="s">
        <v>13</v>
      </c>
      <c r="L135" s="283"/>
    </row>
    <row r="136">
      <c r="A136" s="146" t="s">
        <v>94</v>
      </c>
      <c r="B136" s="47"/>
      <c r="C136" s="148" t="s">
        <v>11</v>
      </c>
      <c r="D136" s="148" t="str">
        <f t="shared" si="1"/>
        <v>-</v>
      </c>
      <c r="E136" s="9"/>
      <c r="F136" s="10"/>
      <c r="G136" s="9"/>
      <c r="H136" s="11"/>
      <c r="I136" s="11"/>
      <c r="J136" s="11"/>
      <c r="K136" s="9" t="s">
        <v>13</v>
      </c>
      <c r="L136" s="283"/>
    </row>
    <row r="137">
      <c r="A137" s="146" t="s">
        <v>94</v>
      </c>
      <c r="B137" s="47"/>
      <c r="C137" s="148" t="s">
        <v>11</v>
      </c>
      <c r="D137" s="148" t="str">
        <f t="shared" si="1"/>
        <v>-</v>
      </c>
      <c r="E137" s="9"/>
      <c r="F137" s="10"/>
      <c r="G137" s="9"/>
      <c r="H137" s="11"/>
      <c r="I137" s="11"/>
      <c r="J137" s="11"/>
      <c r="K137" s="9" t="s">
        <v>13</v>
      </c>
      <c r="L137" s="283"/>
    </row>
    <row r="138">
      <c r="A138" s="146" t="s">
        <v>94</v>
      </c>
      <c r="B138" s="47"/>
      <c r="C138" s="148" t="s">
        <v>11</v>
      </c>
      <c r="D138" s="148" t="str">
        <f t="shared" si="1"/>
        <v>-</v>
      </c>
      <c r="E138" s="9"/>
      <c r="F138" s="10"/>
      <c r="G138" s="9"/>
      <c r="H138" s="11"/>
      <c r="I138" s="11"/>
      <c r="J138" s="11"/>
      <c r="K138" s="9" t="s">
        <v>13</v>
      </c>
      <c r="L138" s="283"/>
    </row>
    <row r="139">
      <c r="A139" s="146" t="s">
        <v>94</v>
      </c>
      <c r="B139" s="47"/>
      <c r="C139" s="148" t="s">
        <v>11</v>
      </c>
      <c r="D139" s="148" t="str">
        <f t="shared" si="1"/>
        <v>-</v>
      </c>
      <c r="E139" s="9"/>
      <c r="F139" s="10"/>
      <c r="G139" s="9"/>
      <c r="H139" s="11"/>
      <c r="I139" s="11"/>
      <c r="J139" s="11"/>
      <c r="K139" s="9" t="s">
        <v>13</v>
      </c>
      <c r="L139" s="283"/>
    </row>
    <row r="140">
      <c r="A140" s="146" t="s">
        <v>94</v>
      </c>
      <c r="B140" s="47"/>
      <c r="C140" s="148" t="s">
        <v>11</v>
      </c>
      <c r="D140" s="148" t="str">
        <f t="shared" si="1"/>
        <v>-</v>
      </c>
      <c r="E140" s="9"/>
      <c r="F140" s="10"/>
      <c r="G140" s="9"/>
      <c r="H140" s="11"/>
      <c r="I140" s="11"/>
      <c r="J140" s="11"/>
      <c r="K140" s="9" t="s">
        <v>13</v>
      </c>
      <c r="L140" s="283"/>
    </row>
    <row r="141">
      <c r="A141" s="146" t="s">
        <v>94</v>
      </c>
      <c r="B141" s="47"/>
      <c r="C141" s="148" t="s">
        <v>11</v>
      </c>
      <c r="D141" s="148" t="str">
        <f t="shared" si="1"/>
        <v>-</v>
      </c>
      <c r="E141" s="9"/>
      <c r="F141" s="10"/>
      <c r="G141" s="9"/>
      <c r="H141" s="11"/>
      <c r="I141" s="11"/>
      <c r="J141" s="11"/>
      <c r="K141" s="9" t="s">
        <v>13</v>
      </c>
      <c r="L141" s="283"/>
    </row>
    <row r="142">
      <c r="A142" s="146" t="s">
        <v>94</v>
      </c>
      <c r="B142" s="47"/>
      <c r="C142" s="148" t="s">
        <v>11</v>
      </c>
      <c r="D142" s="148" t="str">
        <f t="shared" si="1"/>
        <v>-</v>
      </c>
      <c r="E142" s="9"/>
      <c r="F142" s="10"/>
      <c r="G142" s="9"/>
      <c r="H142" s="11"/>
      <c r="I142" s="11"/>
      <c r="J142" s="11"/>
      <c r="K142" s="9" t="s">
        <v>13</v>
      </c>
      <c r="L142" s="283"/>
    </row>
    <row r="143">
      <c r="A143" s="146" t="s">
        <v>94</v>
      </c>
      <c r="B143" s="47"/>
      <c r="C143" s="148" t="s">
        <v>11</v>
      </c>
      <c r="D143" s="148" t="str">
        <f t="shared" si="1"/>
        <v>-</v>
      </c>
      <c r="E143" s="9"/>
      <c r="F143" s="10"/>
      <c r="G143" s="9"/>
      <c r="H143" s="11"/>
      <c r="I143" s="11"/>
      <c r="J143" s="11"/>
      <c r="K143" s="9" t="s">
        <v>13</v>
      </c>
      <c r="L143" s="283"/>
    </row>
    <row r="144">
      <c r="A144" s="146" t="s">
        <v>94</v>
      </c>
      <c r="B144" s="47"/>
      <c r="C144" s="148" t="s">
        <v>11</v>
      </c>
      <c r="D144" s="148" t="str">
        <f t="shared" si="1"/>
        <v>-</v>
      </c>
      <c r="E144" s="9"/>
      <c r="F144" s="10"/>
      <c r="G144" s="9"/>
      <c r="H144" s="11"/>
      <c r="I144" s="11"/>
      <c r="J144" s="11"/>
      <c r="K144" s="9" t="s">
        <v>13</v>
      </c>
      <c r="L144" s="283"/>
    </row>
    <row r="145">
      <c r="A145" s="146" t="s">
        <v>94</v>
      </c>
      <c r="B145" s="47"/>
      <c r="C145" s="148" t="s">
        <v>11</v>
      </c>
      <c r="D145" s="148" t="str">
        <f t="shared" si="1"/>
        <v>-</v>
      </c>
      <c r="E145" s="9"/>
      <c r="F145" s="10"/>
      <c r="G145" s="9"/>
      <c r="H145" s="11"/>
      <c r="I145" s="11"/>
      <c r="J145" s="11"/>
      <c r="K145" s="9" t="s">
        <v>13</v>
      </c>
      <c r="L145" s="283"/>
    </row>
    <row r="146">
      <c r="A146" s="146" t="s">
        <v>94</v>
      </c>
      <c r="B146" s="47"/>
      <c r="C146" s="148" t="s">
        <v>11</v>
      </c>
      <c r="D146" s="148" t="str">
        <f t="shared" si="1"/>
        <v>-</v>
      </c>
      <c r="E146" s="9"/>
      <c r="F146" s="10"/>
      <c r="G146" s="9"/>
      <c r="H146" s="11"/>
      <c r="I146" s="11"/>
      <c r="J146" s="11"/>
      <c r="K146" s="9" t="s">
        <v>13</v>
      </c>
      <c r="L146" s="283"/>
    </row>
    <row r="147">
      <c r="A147" s="146" t="s">
        <v>94</v>
      </c>
      <c r="B147" s="47"/>
      <c r="C147" s="148" t="s">
        <v>11</v>
      </c>
      <c r="D147" s="148" t="str">
        <f t="shared" si="1"/>
        <v>-</v>
      </c>
      <c r="E147" s="9"/>
      <c r="F147" s="10"/>
      <c r="G147" s="9"/>
      <c r="H147" s="11"/>
      <c r="I147" s="11"/>
      <c r="J147" s="11"/>
      <c r="K147" s="9" t="s">
        <v>13</v>
      </c>
      <c r="L147" s="283"/>
    </row>
    <row r="148">
      <c r="A148" s="146" t="s">
        <v>94</v>
      </c>
      <c r="B148" s="47"/>
      <c r="C148" s="148" t="s">
        <v>11</v>
      </c>
      <c r="D148" s="148" t="str">
        <f t="shared" si="1"/>
        <v>-</v>
      </c>
      <c r="E148" s="9"/>
      <c r="F148" s="10"/>
      <c r="G148" s="9"/>
      <c r="H148" s="11"/>
      <c r="I148" s="11"/>
      <c r="J148" s="11"/>
      <c r="K148" s="9" t="s">
        <v>13</v>
      </c>
      <c r="L148" s="283"/>
    </row>
    <row r="149">
      <c r="A149" s="146" t="s">
        <v>94</v>
      </c>
      <c r="B149" s="47"/>
      <c r="C149" s="148" t="s">
        <v>11</v>
      </c>
      <c r="D149" s="148" t="str">
        <f t="shared" si="1"/>
        <v>-</v>
      </c>
      <c r="E149" s="9"/>
      <c r="F149" s="10"/>
      <c r="G149" s="9"/>
      <c r="H149" s="11"/>
      <c r="I149" s="11"/>
      <c r="J149" s="11"/>
      <c r="K149" s="9" t="s">
        <v>13</v>
      </c>
      <c r="L149" s="283"/>
    </row>
    <row r="150">
      <c r="A150" s="146" t="s">
        <v>94</v>
      </c>
      <c r="B150" s="47"/>
      <c r="C150" s="148" t="s">
        <v>11</v>
      </c>
      <c r="D150" s="148" t="str">
        <f t="shared" si="1"/>
        <v>-</v>
      </c>
      <c r="E150" s="9"/>
      <c r="F150" s="10"/>
      <c r="G150" s="9"/>
      <c r="H150" s="11"/>
      <c r="I150" s="11"/>
      <c r="J150" s="11"/>
      <c r="K150" s="9" t="s">
        <v>13</v>
      </c>
      <c r="L150" s="283"/>
    </row>
    <row r="151">
      <c r="A151" s="146" t="s">
        <v>94</v>
      </c>
      <c r="B151" s="47"/>
      <c r="C151" s="148" t="s">
        <v>11</v>
      </c>
      <c r="D151" s="148" t="str">
        <f t="shared" si="1"/>
        <v>-</v>
      </c>
      <c r="E151" s="9"/>
      <c r="F151" s="10"/>
      <c r="G151" s="9"/>
      <c r="H151" s="11"/>
      <c r="I151" s="11"/>
      <c r="J151" s="11"/>
      <c r="K151" s="9" t="s">
        <v>13</v>
      </c>
      <c r="L151" s="283"/>
    </row>
    <row r="152">
      <c r="A152" s="146" t="s">
        <v>94</v>
      </c>
      <c r="B152" s="47"/>
      <c r="C152" s="148" t="s">
        <v>11</v>
      </c>
      <c r="D152" s="148" t="str">
        <f t="shared" si="1"/>
        <v>-</v>
      </c>
      <c r="E152" s="9"/>
      <c r="F152" s="10"/>
      <c r="G152" s="9"/>
      <c r="H152" s="11"/>
      <c r="I152" s="11"/>
      <c r="J152" s="11"/>
      <c r="K152" s="9" t="s">
        <v>13</v>
      </c>
      <c r="L152" s="283"/>
    </row>
    <row r="153">
      <c r="A153" s="146" t="s">
        <v>94</v>
      </c>
      <c r="B153" s="47"/>
      <c r="C153" s="148" t="s">
        <v>11</v>
      </c>
      <c r="D153" s="148" t="str">
        <f t="shared" si="1"/>
        <v>-</v>
      </c>
      <c r="E153" s="9"/>
      <c r="F153" s="10"/>
      <c r="G153" s="9"/>
      <c r="H153" s="11"/>
      <c r="I153" s="11"/>
      <c r="J153" s="11"/>
      <c r="K153" s="9" t="s">
        <v>13</v>
      </c>
      <c r="L153" s="283"/>
    </row>
    <row r="154">
      <c r="A154" s="146" t="s">
        <v>94</v>
      </c>
      <c r="B154" s="47"/>
      <c r="C154" s="148" t="s">
        <v>11</v>
      </c>
      <c r="D154" s="148" t="str">
        <f t="shared" si="1"/>
        <v>-</v>
      </c>
      <c r="E154" s="9"/>
      <c r="F154" s="10"/>
      <c r="G154" s="9"/>
      <c r="H154" s="11"/>
      <c r="I154" s="11"/>
      <c r="J154" s="11"/>
      <c r="K154" s="9" t="s">
        <v>13</v>
      </c>
      <c r="L154" s="283"/>
    </row>
    <row r="155">
      <c r="A155" s="146" t="s">
        <v>94</v>
      </c>
      <c r="B155" s="47"/>
      <c r="C155" s="148" t="s">
        <v>11</v>
      </c>
      <c r="D155" s="148" t="str">
        <f t="shared" si="1"/>
        <v>-</v>
      </c>
      <c r="E155" s="9"/>
      <c r="F155" s="10"/>
      <c r="G155" s="9"/>
      <c r="H155" s="11"/>
      <c r="I155" s="11"/>
      <c r="J155" s="11"/>
      <c r="K155" s="9" t="s">
        <v>13</v>
      </c>
      <c r="L155" s="283"/>
    </row>
    <row r="156">
      <c r="A156" s="146" t="s">
        <v>94</v>
      </c>
      <c r="B156" s="47"/>
      <c r="C156" s="148" t="s">
        <v>11</v>
      </c>
      <c r="D156" s="148" t="str">
        <f t="shared" si="1"/>
        <v>-</v>
      </c>
      <c r="E156" s="9"/>
      <c r="F156" s="10"/>
      <c r="G156" s="9"/>
      <c r="H156" s="11"/>
      <c r="I156" s="11"/>
      <c r="J156" s="11"/>
      <c r="K156" s="9" t="s">
        <v>13</v>
      </c>
      <c r="L156" s="283"/>
    </row>
    <row r="157">
      <c r="A157" s="146" t="s">
        <v>94</v>
      </c>
      <c r="B157" s="47"/>
      <c r="C157" s="148" t="s">
        <v>11</v>
      </c>
      <c r="D157" s="148" t="str">
        <f t="shared" si="1"/>
        <v>-</v>
      </c>
      <c r="E157" s="9"/>
      <c r="F157" s="10"/>
      <c r="G157" s="9"/>
      <c r="H157" s="11"/>
      <c r="I157" s="11"/>
      <c r="J157" s="11"/>
      <c r="K157" s="9" t="s">
        <v>13</v>
      </c>
      <c r="L157" s="283"/>
    </row>
    <row r="158">
      <c r="A158" s="146" t="s">
        <v>94</v>
      </c>
      <c r="B158" s="47"/>
      <c r="C158" s="148" t="s">
        <v>11</v>
      </c>
      <c r="D158" s="148" t="str">
        <f t="shared" si="1"/>
        <v>-</v>
      </c>
      <c r="E158" s="9"/>
      <c r="F158" s="10"/>
      <c r="G158" s="9"/>
      <c r="H158" s="11"/>
      <c r="I158" s="11"/>
      <c r="J158" s="11"/>
      <c r="K158" s="9" t="s">
        <v>13</v>
      </c>
      <c r="L158" s="283"/>
    </row>
    <row r="159">
      <c r="A159" s="146" t="s">
        <v>94</v>
      </c>
      <c r="B159" s="47"/>
      <c r="C159" s="148" t="s">
        <v>11</v>
      </c>
      <c r="D159" s="148" t="str">
        <f t="shared" si="1"/>
        <v>-</v>
      </c>
      <c r="E159" s="9"/>
      <c r="F159" s="10"/>
      <c r="G159" s="9"/>
      <c r="H159" s="11"/>
      <c r="I159" s="11"/>
      <c r="J159" s="11"/>
      <c r="K159" s="9" t="s">
        <v>13</v>
      </c>
      <c r="L159" s="283"/>
    </row>
    <row r="160">
      <c r="A160" s="146" t="s">
        <v>94</v>
      </c>
      <c r="B160" s="47"/>
      <c r="C160" s="148" t="s">
        <v>11</v>
      </c>
      <c r="D160" s="148" t="str">
        <f t="shared" si="1"/>
        <v>-</v>
      </c>
      <c r="E160" s="9"/>
      <c r="F160" s="10"/>
      <c r="G160" s="9"/>
      <c r="H160" s="11"/>
      <c r="I160" s="11"/>
      <c r="J160" s="11"/>
      <c r="K160" s="9" t="s">
        <v>13</v>
      </c>
      <c r="L160" s="283"/>
    </row>
    <row r="161">
      <c r="A161" s="146" t="s">
        <v>94</v>
      </c>
      <c r="B161" s="47"/>
      <c r="C161" s="148" t="s">
        <v>11</v>
      </c>
      <c r="D161" s="148" t="str">
        <f t="shared" si="1"/>
        <v>-</v>
      </c>
      <c r="E161" s="9"/>
      <c r="F161" s="10"/>
      <c r="G161" s="9"/>
      <c r="H161" s="11"/>
      <c r="I161" s="11"/>
      <c r="J161" s="11"/>
      <c r="K161" s="9" t="s">
        <v>13</v>
      </c>
      <c r="L161" s="283"/>
    </row>
    <row r="162">
      <c r="A162" s="146" t="s">
        <v>94</v>
      </c>
      <c r="B162" s="47"/>
      <c r="C162" s="148" t="s">
        <v>11</v>
      </c>
      <c r="D162" s="148" t="str">
        <f t="shared" si="1"/>
        <v>-</v>
      </c>
      <c r="E162" s="9"/>
      <c r="F162" s="10"/>
      <c r="G162" s="9"/>
      <c r="H162" s="11"/>
      <c r="I162" s="11"/>
      <c r="J162" s="11"/>
      <c r="K162" s="9" t="s">
        <v>13</v>
      </c>
      <c r="L162" s="283"/>
    </row>
    <row r="163">
      <c r="A163" s="146" t="s">
        <v>94</v>
      </c>
      <c r="B163" s="47"/>
      <c r="C163" s="148" t="s">
        <v>11</v>
      </c>
      <c r="D163" s="148" t="str">
        <f t="shared" si="1"/>
        <v>-</v>
      </c>
      <c r="E163" s="9"/>
      <c r="F163" s="10"/>
      <c r="G163" s="9"/>
      <c r="H163" s="11"/>
      <c r="I163" s="11"/>
      <c r="J163" s="11"/>
      <c r="K163" s="9" t="s">
        <v>13</v>
      </c>
      <c r="L163" s="283"/>
    </row>
    <row r="164">
      <c r="A164" s="146" t="s">
        <v>94</v>
      </c>
      <c r="B164" s="47"/>
      <c r="C164" s="148" t="s">
        <v>11</v>
      </c>
      <c r="D164" s="148" t="str">
        <f t="shared" si="1"/>
        <v>-</v>
      </c>
      <c r="E164" s="9"/>
      <c r="F164" s="10"/>
      <c r="G164" s="9"/>
      <c r="H164" s="11"/>
      <c r="I164" s="11"/>
      <c r="J164" s="11"/>
      <c r="K164" s="9" t="s">
        <v>13</v>
      </c>
      <c r="L164" s="283"/>
    </row>
    <row r="165">
      <c r="A165" s="146" t="s">
        <v>94</v>
      </c>
      <c r="B165" s="47"/>
      <c r="C165" s="148" t="s">
        <v>11</v>
      </c>
      <c r="D165" s="148" t="str">
        <f t="shared" si="1"/>
        <v>-</v>
      </c>
      <c r="E165" s="9"/>
      <c r="F165" s="10"/>
      <c r="G165" s="9"/>
      <c r="H165" s="11"/>
      <c r="I165" s="11"/>
      <c r="J165" s="11"/>
      <c r="K165" s="9" t="s">
        <v>13</v>
      </c>
      <c r="L165" s="283"/>
    </row>
    <row r="166">
      <c r="A166" s="146" t="s">
        <v>94</v>
      </c>
      <c r="B166" s="47"/>
      <c r="C166" s="148" t="s">
        <v>11</v>
      </c>
      <c r="D166" s="148" t="str">
        <f t="shared" si="1"/>
        <v>-</v>
      </c>
      <c r="E166" s="9"/>
      <c r="F166" s="10"/>
      <c r="G166" s="9"/>
      <c r="H166" s="11"/>
      <c r="I166" s="11"/>
      <c r="J166" s="11"/>
      <c r="K166" s="9" t="s">
        <v>13</v>
      </c>
      <c r="L166" s="283"/>
    </row>
    <row r="167">
      <c r="A167" s="146" t="s">
        <v>94</v>
      </c>
      <c r="B167" s="47"/>
      <c r="C167" s="148" t="s">
        <v>11</v>
      </c>
      <c r="D167" s="148" t="str">
        <f t="shared" si="1"/>
        <v>-</v>
      </c>
      <c r="E167" s="9"/>
      <c r="F167" s="10"/>
      <c r="G167" s="9"/>
      <c r="H167" s="11"/>
      <c r="I167" s="11"/>
      <c r="J167" s="11"/>
      <c r="K167" s="9" t="s">
        <v>13</v>
      </c>
      <c r="L167" s="283"/>
    </row>
    <row r="168">
      <c r="A168" s="146" t="s">
        <v>94</v>
      </c>
      <c r="B168" s="47"/>
      <c r="C168" s="148" t="s">
        <v>11</v>
      </c>
      <c r="D168" s="148" t="str">
        <f t="shared" si="1"/>
        <v>-</v>
      </c>
      <c r="E168" s="9"/>
      <c r="F168" s="10"/>
      <c r="G168" s="9"/>
      <c r="H168" s="11"/>
      <c r="I168" s="11"/>
      <c r="J168" s="11"/>
      <c r="K168" s="9" t="s">
        <v>13</v>
      </c>
      <c r="L168" s="283"/>
    </row>
    <row r="169">
      <c r="A169" s="146" t="s">
        <v>94</v>
      </c>
      <c r="B169" s="47"/>
      <c r="C169" s="148" t="s">
        <v>11</v>
      </c>
      <c r="D169" s="148" t="str">
        <f t="shared" si="1"/>
        <v>-</v>
      </c>
      <c r="E169" s="9"/>
      <c r="F169" s="10"/>
      <c r="G169" s="9"/>
      <c r="H169" s="11"/>
      <c r="I169" s="11"/>
      <c r="J169" s="11"/>
      <c r="K169" s="9" t="s">
        <v>13</v>
      </c>
      <c r="L169" s="283"/>
    </row>
    <row r="170">
      <c r="A170" s="146" t="s">
        <v>94</v>
      </c>
      <c r="B170" s="47"/>
      <c r="C170" s="148" t="s">
        <v>11</v>
      </c>
      <c r="D170" s="148" t="str">
        <f t="shared" si="1"/>
        <v>-</v>
      </c>
      <c r="E170" s="9"/>
      <c r="F170" s="10"/>
      <c r="G170" s="9"/>
      <c r="H170" s="11"/>
      <c r="I170" s="11"/>
      <c r="J170" s="11"/>
      <c r="K170" s="9" t="s">
        <v>13</v>
      </c>
      <c r="L170" s="283"/>
    </row>
    <row r="171">
      <c r="A171" s="146" t="s">
        <v>94</v>
      </c>
      <c r="B171" s="47"/>
      <c r="C171" s="148" t="s">
        <v>11</v>
      </c>
      <c r="D171" s="148" t="str">
        <f t="shared" si="1"/>
        <v>-</v>
      </c>
      <c r="E171" s="9"/>
      <c r="F171" s="10"/>
      <c r="G171" s="9"/>
      <c r="H171" s="11"/>
      <c r="I171" s="11"/>
      <c r="J171" s="11"/>
      <c r="K171" s="9" t="s">
        <v>13</v>
      </c>
      <c r="L171" s="283"/>
    </row>
    <row r="172">
      <c r="A172" s="146" t="s">
        <v>94</v>
      </c>
      <c r="B172" s="47"/>
      <c r="C172" s="148" t="s">
        <v>11</v>
      </c>
      <c r="D172" s="148" t="str">
        <f t="shared" si="1"/>
        <v>-</v>
      </c>
      <c r="E172" s="9"/>
      <c r="F172" s="10"/>
      <c r="G172" s="9"/>
      <c r="H172" s="11"/>
      <c r="I172" s="11"/>
      <c r="J172" s="11"/>
      <c r="K172" s="9" t="s">
        <v>13</v>
      </c>
      <c r="L172" s="283"/>
    </row>
    <row r="173">
      <c r="A173" s="146" t="s">
        <v>94</v>
      </c>
      <c r="B173" s="47"/>
      <c r="C173" s="148" t="s">
        <v>11</v>
      </c>
      <c r="D173" s="148" t="str">
        <f t="shared" si="1"/>
        <v>-</v>
      </c>
      <c r="E173" s="9"/>
      <c r="F173" s="10"/>
      <c r="G173" s="9"/>
      <c r="H173" s="11"/>
      <c r="I173" s="11"/>
      <c r="J173" s="11"/>
      <c r="K173" s="9" t="s">
        <v>13</v>
      </c>
      <c r="L173" s="283"/>
    </row>
    <row r="174">
      <c r="A174" s="146" t="s">
        <v>94</v>
      </c>
      <c r="B174" s="47"/>
      <c r="C174" s="148" t="s">
        <v>11</v>
      </c>
      <c r="D174" s="148" t="str">
        <f t="shared" si="1"/>
        <v>-</v>
      </c>
      <c r="E174" s="9"/>
      <c r="F174" s="10"/>
      <c r="G174" s="9"/>
      <c r="H174" s="11"/>
      <c r="I174" s="11"/>
      <c r="J174" s="11"/>
      <c r="K174" s="9" t="s">
        <v>13</v>
      </c>
      <c r="L174" s="283"/>
    </row>
    <row r="175">
      <c r="A175" s="146" t="s">
        <v>94</v>
      </c>
      <c r="B175" s="47"/>
      <c r="C175" s="148" t="s">
        <v>11</v>
      </c>
      <c r="D175" s="148" t="str">
        <f t="shared" si="1"/>
        <v>-</v>
      </c>
      <c r="E175" s="9"/>
      <c r="F175" s="10"/>
      <c r="G175" s="9"/>
      <c r="H175" s="11"/>
      <c r="I175" s="11"/>
      <c r="J175" s="11"/>
      <c r="K175" s="9" t="s">
        <v>13</v>
      </c>
      <c r="L175" s="283"/>
    </row>
    <row r="176">
      <c r="A176" s="146" t="s">
        <v>94</v>
      </c>
      <c r="B176" s="47"/>
      <c r="C176" s="148" t="s">
        <v>11</v>
      </c>
      <c r="D176" s="148" t="str">
        <f t="shared" si="1"/>
        <v>-</v>
      </c>
      <c r="E176" s="9"/>
      <c r="F176" s="10"/>
      <c r="G176" s="9"/>
      <c r="H176" s="11"/>
      <c r="I176" s="11"/>
      <c r="J176" s="11"/>
      <c r="K176" s="9" t="s">
        <v>13</v>
      </c>
      <c r="L176" s="283"/>
    </row>
    <row r="177">
      <c r="A177" s="146" t="s">
        <v>94</v>
      </c>
      <c r="B177" s="47"/>
      <c r="C177" s="148" t="s">
        <v>11</v>
      </c>
      <c r="D177" s="148" t="str">
        <f t="shared" si="1"/>
        <v>-</v>
      </c>
      <c r="E177" s="9"/>
      <c r="F177" s="10"/>
      <c r="G177" s="9"/>
      <c r="H177" s="11"/>
      <c r="I177" s="11"/>
      <c r="J177" s="11"/>
      <c r="K177" s="9" t="s">
        <v>13</v>
      </c>
      <c r="L177" s="283"/>
    </row>
    <row r="178">
      <c r="A178" s="146" t="s">
        <v>94</v>
      </c>
      <c r="B178" s="47"/>
      <c r="C178" s="148" t="s">
        <v>11</v>
      </c>
      <c r="D178" s="148" t="str">
        <f t="shared" si="1"/>
        <v>-</v>
      </c>
      <c r="E178" s="9"/>
      <c r="F178" s="10"/>
      <c r="G178" s="9"/>
      <c r="H178" s="11"/>
      <c r="I178" s="11"/>
      <c r="J178" s="11"/>
      <c r="K178" s="9" t="s">
        <v>13</v>
      </c>
      <c r="L178" s="283"/>
    </row>
    <row r="179">
      <c r="A179" s="146" t="s">
        <v>94</v>
      </c>
      <c r="B179" s="47"/>
      <c r="C179" s="148" t="s">
        <v>11</v>
      </c>
      <c r="D179" s="148" t="str">
        <f t="shared" si="1"/>
        <v>-</v>
      </c>
      <c r="E179" s="9"/>
      <c r="F179" s="10"/>
      <c r="G179" s="9"/>
      <c r="H179" s="11"/>
      <c r="I179" s="11"/>
      <c r="J179" s="11"/>
      <c r="K179" s="9" t="s">
        <v>13</v>
      </c>
      <c r="L179" s="283"/>
    </row>
    <row r="180">
      <c r="A180" s="146" t="s">
        <v>94</v>
      </c>
      <c r="B180" s="47"/>
      <c r="C180" s="148" t="s">
        <v>11</v>
      </c>
      <c r="D180" s="148" t="str">
        <f t="shared" si="1"/>
        <v>-</v>
      </c>
      <c r="E180" s="9"/>
      <c r="F180" s="10"/>
      <c r="G180" s="9"/>
      <c r="H180" s="11"/>
      <c r="I180" s="11"/>
      <c r="J180" s="11"/>
      <c r="K180" s="9" t="s">
        <v>13</v>
      </c>
      <c r="L180" s="283"/>
    </row>
    <row r="181">
      <c r="A181" s="146" t="s">
        <v>94</v>
      </c>
      <c r="B181" s="47"/>
      <c r="C181" s="148" t="s">
        <v>11</v>
      </c>
      <c r="D181" s="148" t="str">
        <f t="shared" si="1"/>
        <v>-</v>
      </c>
      <c r="E181" s="9"/>
      <c r="F181" s="10"/>
      <c r="G181" s="9"/>
      <c r="H181" s="11"/>
      <c r="I181" s="11"/>
      <c r="J181" s="11"/>
      <c r="K181" s="9" t="s">
        <v>13</v>
      </c>
      <c r="L181" s="283"/>
    </row>
    <row r="182">
      <c r="A182" s="146" t="s">
        <v>94</v>
      </c>
      <c r="B182" s="47"/>
      <c r="C182" s="148" t="s">
        <v>11</v>
      </c>
      <c r="D182" s="148" t="str">
        <f t="shared" si="1"/>
        <v>-</v>
      </c>
      <c r="E182" s="9"/>
      <c r="F182" s="10"/>
      <c r="G182" s="9"/>
      <c r="H182" s="11"/>
      <c r="I182" s="11"/>
      <c r="J182" s="11"/>
      <c r="K182" s="9" t="s">
        <v>13</v>
      </c>
      <c r="L182" s="283"/>
    </row>
    <row r="183">
      <c r="A183" s="146" t="s">
        <v>94</v>
      </c>
      <c r="B183" s="47"/>
      <c r="C183" s="148" t="s">
        <v>11</v>
      </c>
      <c r="D183" s="148" t="str">
        <f t="shared" si="1"/>
        <v>-</v>
      </c>
      <c r="E183" s="9"/>
      <c r="F183" s="10"/>
      <c r="G183" s="9"/>
      <c r="H183" s="11"/>
      <c r="I183" s="11"/>
      <c r="J183" s="11"/>
      <c r="K183" s="9" t="s">
        <v>13</v>
      </c>
      <c r="L183" s="283"/>
    </row>
    <row r="184">
      <c r="A184" s="146" t="s">
        <v>94</v>
      </c>
      <c r="B184" s="47"/>
      <c r="C184" s="148" t="s">
        <v>11</v>
      </c>
      <c r="D184" s="148" t="str">
        <f t="shared" si="1"/>
        <v>-</v>
      </c>
      <c r="E184" s="9"/>
      <c r="F184" s="10"/>
      <c r="G184" s="9"/>
      <c r="H184" s="11"/>
      <c r="I184" s="11"/>
      <c r="J184" s="11"/>
      <c r="K184" s="9" t="s">
        <v>13</v>
      </c>
      <c r="L184" s="283"/>
    </row>
    <row r="185">
      <c r="A185" s="146" t="s">
        <v>94</v>
      </c>
      <c r="B185" s="47"/>
      <c r="C185" s="148" t="s">
        <v>11</v>
      </c>
      <c r="D185" s="148" t="str">
        <f t="shared" si="1"/>
        <v>-</v>
      </c>
      <c r="E185" s="9"/>
      <c r="F185" s="10"/>
      <c r="G185" s="9"/>
      <c r="H185" s="11"/>
      <c r="I185" s="11"/>
      <c r="J185" s="11"/>
      <c r="K185" s="9" t="s">
        <v>13</v>
      </c>
      <c r="L185" s="283"/>
    </row>
    <row r="186">
      <c r="A186" s="146" t="s">
        <v>94</v>
      </c>
      <c r="B186" s="47"/>
      <c r="C186" s="148" t="s">
        <v>11</v>
      </c>
      <c r="D186" s="148" t="str">
        <f t="shared" si="1"/>
        <v>-</v>
      </c>
      <c r="E186" s="9"/>
      <c r="F186" s="10"/>
      <c r="G186" s="9"/>
      <c r="H186" s="11"/>
      <c r="I186" s="11"/>
      <c r="J186" s="11"/>
      <c r="K186" s="9" t="s">
        <v>13</v>
      </c>
      <c r="L186" s="283"/>
    </row>
    <row r="187">
      <c r="A187" s="146" t="s">
        <v>94</v>
      </c>
      <c r="B187" s="47"/>
      <c r="C187" s="148" t="s">
        <v>11</v>
      </c>
      <c r="D187" s="148" t="str">
        <f t="shared" si="1"/>
        <v>-</v>
      </c>
      <c r="E187" s="9"/>
      <c r="F187" s="10"/>
      <c r="G187" s="9"/>
      <c r="H187" s="11"/>
      <c r="I187" s="11"/>
      <c r="J187" s="11"/>
      <c r="K187" s="9" t="s">
        <v>13</v>
      </c>
      <c r="L187" s="283"/>
    </row>
    <row r="188">
      <c r="A188" s="146" t="s">
        <v>94</v>
      </c>
      <c r="B188" s="47"/>
      <c r="C188" s="148" t="s">
        <v>11</v>
      </c>
      <c r="D188" s="148" t="str">
        <f t="shared" si="1"/>
        <v>-</v>
      </c>
      <c r="E188" s="9"/>
      <c r="F188" s="10"/>
      <c r="G188" s="9"/>
      <c r="H188" s="11"/>
      <c r="I188" s="11"/>
      <c r="J188" s="11"/>
      <c r="K188" s="9" t="s">
        <v>13</v>
      </c>
      <c r="L188" s="283"/>
    </row>
    <row r="189">
      <c r="A189" s="146" t="s">
        <v>94</v>
      </c>
      <c r="B189" s="47"/>
      <c r="C189" s="148" t="s">
        <v>11</v>
      </c>
      <c r="D189" s="148" t="str">
        <f t="shared" si="1"/>
        <v>-</v>
      </c>
      <c r="E189" s="9"/>
      <c r="F189" s="10"/>
      <c r="G189" s="9"/>
      <c r="H189" s="11"/>
      <c r="I189" s="11"/>
      <c r="J189" s="11"/>
      <c r="K189" s="9" t="s">
        <v>13</v>
      </c>
      <c r="L189" s="283"/>
    </row>
    <row r="190">
      <c r="A190" s="146" t="s">
        <v>94</v>
      </c>
      <c r="B190" s="47"/>
      <c r="C190" s="148" t="s">
        <v>11</v>
      </c>
      <c r="D190" s="148" t="str">
        <f t="shared" si="1"/>
        <v>-</v>
      </c>
      <c r="E190" s="9"/>
      <c r="F190" s="10"/>
      <c r="G190" s="9"/>
      <c r="H190" s="11"/>
      <c r="I190" s="11"/>
      <c r="J190" s="11"/>
      <c r="K190" s="9" t="s">
        <v>13</v>
      </c>
      <c r="L190" s="283"/>
    </row>
    <row r="191">
      <c r="A191" s="146" t="s">
        <v>94</v>
      </c>
      <c r="B191" s="47"/>
      <c r="C191" s="148" t="s">
        <v>11</v>
      </c>
      <c r="D191" s="148" t="str">
        <f t="shared" si="1"/>
        <v>-</v>
      </c>
      <c r="E191" s="9"/>
      <c r="F191" s="10"/>
      <c r="G191" s="9"/>
      <c r="H191" s="11"/>
      <c r="I191" s="11"/>
      <c r="J191" s="11"/>
      <c r="K191" s="9" t="s">
        <v>13</v>
      </c>
      <c r="L191" s="283"/>
    </row>
    <row r="192">
      <c r="A192" s="146" t="s">
        <v>94</v>
      </c>
      <c r="B192" s="47"/>
      <c r="C192" s="148" t="s">
        <v>11</v>
      </c>
      <c r="D192" s="148" t="str">
        <f t="shared" si="1"/>
        <v>-</v>
      </c>
      <c r="E192" s="9"/>
      <c r="F192" s="10"/>
      <c r="G192" s="9"/>
      <c r="H192" s="11"/>
      <c r="I192" s="11"/>
      <c r="J192" s="11"/>
      <c r="K192" s="9" t="s">
        <v>13</v>
      </c>
      <c r="L192" s="283"/>
    </row>
    <row r="193">
      <c r="A193" s="146" t="s">
        <v>94</v>
      </c>
      <c r="B193" s="47"/>
      <c r="C193" s="148" t="s">
        <v>11</v>
      </c>
      <c r="D193" s="148" t="str">
        <f t="shared" si="1"/>
        <v>-</v>
      </c>
      <c r="E193" s="9"/>
      <c r="F193" s="10"/>
      <c r="G193" s="9"/>
      <c r="H193" s="11"/>
      <c r="I193" s="11"/>
      <c r="J193" s="11"/>
      <c r="K193" s="9" t="s">
        <v>13</v>
      </c>
      <c r="L193" s="283"/>
    </row>
    <row r="194">
      <c r="A194" s="146" t="s">
        <v>94</v>
      </c>
      <c r="B194" s="47"/>
      <c r="C194" s="148" t="s">
        <v>11</v>
      </c>
      <c r="D194" s="148" t="str">
        <f t="shared" si="1"/>
        <v>-</v>
      </c>
      <c r="E194" s="9"/>
      <c r="F194" s="10"/>
      <c r="G194" s="9"/>
      <c r="H194" s="11"/>
      <c r="I194" s="11"/>
      <c r="J194" s="11"/>
      <c r="K194" s="9" t="s">
        <v>13</v>
      </c>
      <c r="L194" s="283"/>
    </row>
    <row r="195">
      <c r="A195" s="146" t="s">
        <v>94</v>
      </c>
      <c r="B195" s="47"/>
      <c r="C195" s="148" t="s">
        <v>11</v>
      </c>
      <c r="D195" s="148" t="str">
        <f t="shared" si="1"/>
        <v>-</v>
      </c>
      <c r="E195" s="9"/>
      <c r="F195" s="10"/>
      <c r="G195" s="9"/>
      <c r="H195" s="11"/>
      <c r="I195" s="11"/>
      <c r="J195" s="11"/>
      <c r="K195" s="9" t="s">
        <v>13</v>
      </c>
      <c r="L195" s="283"/>
    </row>
    <row r="196">
      <c r="A196" s="146" t="s">
        <v>94</v>
      </c>
      <c r="B196" s="47"/>
      <c r="C196" s="148" t="s">
        <v>11</v>
      </c>
      <c r="D196" s="148" t="str">
        <f t="shared" si="1"/>
        <v>-</v>
      </c>
      <c r="E196" s="9"/>
      <c r="F196" s="10"/>
      <c r="G196" s="9"/>
      <c r="H196" s="11"/>
      <c r="I196" s="11"/>
      <c r="J196" s="11"/>
      <c r="K196" s="9" t="s">
        <v>13</v>
      </c>
      <c r="L196" s="283"/>
    </row>
    <row r="197">
      <c r="A197" s="146" t="s">
        <v>94</v>
      </c>
      <c r="B197" s="47"/>
      <c r="C197" s="148" t="s">
        <v>11</v>
      </c>
      <c r="D197" s="148" t="str">
        <f t="shared" si="1"/>
        <v>-</v>
      </c>
      <c r="E197" s="9"/>
      <c r="F197" s="10"/>
      <c r="G197" s="9"/>
      <c r="H197" s="11"/>
      <c r="I197" s="11"/>
      <c r="J197" s="11"/>
      <c r="K197" s="9" t="s">
        <v>13</v>
      </c>
      <c r="L197" s="283"/>
    </row>
    <row r="198">
      <c r="A198" s="146" t="s">
        <v>94</v>
      </c>
      <c r="B198" s="47"/>
      <c r="C198" s="148" t="s">
        <v>11</v>
      </c>
      <c r="D198" s="148" t="str">
        <f t="shared" si="1"/>
        <v>-</v>
      </c>
      <c r="E198" s="9"/>
      <c r="F198" s="10"/>
      <c r="G198" s="9"/>
      <c r="H198" s="11"/>
      <c r="I198" s="11"/>
      <c r="J198" s="11"/>
      <c r="K198" s="9" t="s">
        <v>13</v>
      </c>
      <c r="L198" s="283"/>
    </row>
    <row r="199">
      <c r="A199" s="146" t="s">
        <v>94</v>
      </c>
      <c r="B199" s="47"/>
      <c r="C199" s="148" t="s">
        <v>11</v>
      </c>
      <c r="D199" s="148" t="str">
        <f t="shared" si="1"/>
        <v>-</v>
      </c>
      <c r="E199" s="9"/>
      <c r="F199" s="10"/>
      <c r="G199" s="9"/>
      <c r="H199" s="11"/>
      <c r="I199" s="11"/>
      <c r="J199" s="11"/>
      <c r="K199" s="9" t="s">
        <v>13</v>
      </c>
      <c r="L199" s="283"/>
    </row>
    <row r="200">
      <c r="A200" s="146" t="s">
        <v>94</v>
      </c>
      <c r="B200" s="47"/>
      <c r="C200" s="148" t="s">
        <v>11</v>
      </c>
      <c r="D200" s="148" t="str">
        <f t="shared" si="1"/>
        <v>-</v>
      </c>
      <c r="E200" s="9"/>
      <c r="F200" s="10"/>
      <c r="G200" s="9"/>
      <c r="H200" s="11"/>
      <c r="I200" s="11"/>
      <c r="J200" s="11"/>
      <c r="K200" s="9" t="s">
        <v>13</v>
      </c>
      <c r="L200" s="283"/>
    </row>
    <row r="201">
      <c r="A201" s="146" t="s">
        <v>94</v>
      </c>
      <c r="B201" s="47"/>
      <c r="C201" s="148" t="s">
        <v>11</v>
      </c>
      <c r="D201" s="148" t="str">
        <f t="shared" si="1"/>
        <v>-</v>
      </c>
      <c r="E201" s="9"/>
      <c r="F201" s="10"/>
      <c r="G201" s="9"/>
      <c r="H201" s="11"/>
      <c r="I201" s="11"/>
      <c r="J201" s="11"/>
      <c r="K201" s="9" t="s">
        <v>13</v>
      </c>
      <c r="L201" s="283"/>
    </row>
    <row r="202">
      <c r="A202" s="146" t="s">
        <v>94</v>
      </c>
      <c r="B202" s="47"/>
      <c r="C202" s="148" t="s">
        <v>11</v>
      </c>
      <c r="D202" s="148" t="str">
        <f t="shared" si="1"/>
        <v>-</v>
      </c>
      <c r="E202" s="9"/>
      <c r="F202" s="10"/>
      <c r="G202" s="9"/>
      <c r="H202" s="11"/>
      <c r="I202" s="11"/>
      <c r="J202" s="11"/>
      <c r="K202" s="9" t="s">
        <v>13</v>
      </c>
      <c r="L202" s="283"/>
    </row>
    <row r="203">
      <c r="A203" s="146" t="s">
        <v>94</v>
      </c>
      <c r="B203" s="47"/>
      <c r="C203" s="148" t="s">
        <v>11</v>
      </c>
      <c r="D203" s="148" t="str">
        <f t="shared" si="1"/>
        <v>-</v>
      </c>
      <c r="E203" s="9"/>
      <c r="F203" s="10"/>
      <c r="G203" s="9"/>
      <c r="H203" s="11"/>
      <c r="I203" s="11"/>
      <c r="J203" s="11"/>
      <c r="K203" s="9" t="s">
        <v>13</v>
      </c>
      <c r="L203" s="283"/>
    </row>
    <row r="204">
      <c r="A204" s="146" t="s">
        <v>94</v>
      </c>
      <c r="B204" s="47"/>
      <c r="C204" s="148" t="s">
        <v>11</v>
      </c>
      <c r="D204" s="148" t="str">
        <f t="shared" si="1"/>
        <v>-</v>
      </c>
      <c r="E204" s="9"/>
      <c r="F204" s="10"/>
      <c r="G204" s="9"/>
      <c r="H204" s="11"/>
      <c r="I204" s="11"/>
      <c r="J204" s="11"/>
      <c r="K204" s="9" t="s">
        <v>13</v>
      </c>
      <c r="L204" s="283"/>
    </row>
    <row r="205">
      <c r="A205" s="146" t="s">
        <v>94</v>
      </c>
      <c r="B205" s="47"/>
      <c r="C205" s="148" t="s">
        <v>11</v>
      </c>
      <c r="D205" s="148" t="str">
        <f t="shared" si="1"/>
        <v>-</v>
      </c>
      <c r="E205" s="9"/>
      <c r="F205" s="10"/>
      <c r="G205" s="9"/>
      <c r="H205" s="11"/>
      <c r="I205" s="11"/>
      <c r="J205" s="11"/>
      <c r="K205" s="9" t="s">
        <v>13</v>
      </c>
      <c r="L205" s="283"/>
    </row>
    <row r="206">
      <c r="A206" s="146" t="s">
        <v>94</v>
      </c>
      <c r="B206" s="47"/>
      <c r="C206" s="148" t="s">
        <v>11</v>
      </c>
      <c r="D206" s="148" t="str">
        <f t="shared" si="1"/>
        <v>-</v>
      </c>
      <c r="E206" s="9"/>
      <c r="F206" s="10"/>
      <c r="G206" s="9"/>
      <c r="H206" s="11"/>
      <c r="I206" s="11"/>
      <c r="J206" s="11"/>
      <c r="K206" s="9" t="s">
        <v>13</v>
      </c>
      <c r="L206" s="283"/>
    </row>
    <row r="207">
      <c r="A207" s="146" t="s">
        <v>94</v>
      </c>
      <c r="B207" s="47"/>
      <c r="C207" s="148" t="s">
        <v>11</v>
      </c>
      <c r="D207" s="148" t="str">
        <f t="shared" si="1"/>
        <v>-</v>
      </c>
      <c r="E207" s="9"/>
      <c r="F207" s="10"/>
      <c r="G207" s="9"/>
      <c r="H207" s="11"/>
      <c r="I207" s="11"/>
      <c r="J207" s="11"/>
      <c r="K207" s="9" t="s">
        <v>13</v>
      </c>
      <c r="L207" s="283"/>
    </row>
    <row r="208">
      <c r="A208" s="146" t="s">
        <v>94</v>
      </c>
      <c r="B208" s="47"/>
      <c r="C208" s="148" t="s">
        <v>11</v>
      </c>
      <c r="D208" s="148" t="str">
        <f t="shared" si="1"/>
        <v>-</v>
      </c>
      <c r="E208" s="9"/>
      <c r="F208" s="10"/>
      <c r="G208" s="9"/>
      <c r="H208" s="11"/>
      <c r="I208" s="11"/>
      <c r="J208" s="11"/>
      <c r="K208" s="9" t="s">
        <v>13</v>
      </c>
      <c r="L208" s="283"/>
    </row>
    <row r="209">
      <c r="A209" s="146" t="s">
        <v>94</v>
      </c>
      <c r="B209" s="47"/>
      <c r="C209" s="148" t="s">
        <v>11</v>
      </c>
      <c r="D209" s="148" t="str">
        <f t="shared" si="1"/>
        <v>-</v>
      </c>
      <c r="E209" s="9"/>
      <c r="F209" s="10"/>
      <c r="G209" s="9"/>
      <c r="H209" s="11"/>
      <c r="I209" s="11"/>
      <c r="J209" s="11"/>
      <c r="K209" s="9" t="s">
        <v>13</v>
      </c>
      <c r="L209" s="283"/>
    </row>
    <row r="210">
      <c r="A210" s="146" t="s">
        <v>94</v>
      </c>
      <c r="B210" s="47"/>
      <c r="C210" s="148" t="s">
        <v>11</v>
      </c>
      <c r="D210" s="148" t="str">
        <f t="shared" si="1"/>
        <v>-</v>
      </c>
      <c r="E210" s="9"/>
      <c r="F210" s="10"/>
      <c r="G210" s="9"/>
      <c r="H210" s="11"/>
      <c r="I210" s="11"/>
      <c r="J210" s="11"/>
      <c r="K210" s="9" t="s">
        <v>13</v>
      </c>
      <c r="L210" s="283"/>
    </row>
    <row r="211">
      <c r="A211" s="146" t="s">
        <v>94</v>
      </c>
      <c r="B211" s="47"/>
      <c r="C211" s="148" t="s">
        <v>11</v>
      </c>
      <c r="D211" s="148" t="str">
        <f t="shared" si="1"/>
        <v>-</v>
      </c>
      <c r="E211" s="9"/>
      <c r="F211" s="10"/>
      <c r="G211" s="9"/>
      <c r="H211" s="11"/>
      <c r="I211" s="11"/>
      <c r="J211" s="11"/>
      <c r="K211" s="9" t="s">
        <v>13</v>
      </c>
      <c r="L211" s="283"/>
    </row>
    <row r="212">
      <c r="A212" s="146" t="s">
        <v>94</v>
      </c>
      <c r="B212" s="47"/>
      <c r="C212" s="148" t="s">
        <v>11</v>
      </c>
      <c r="D212" s="148" t="str">
        <f t="shared" si="1"/>
        <v>-</v>
      </c>
      <c r="E212" s="9"/>
      <c r="F212" s="10"/>
      <c r="G212" s="9"/>
      <c r="H212" s="11"/>
      <c r="I212" s="11"/>
      <c r="J212" s="11"/>
      <c r="K212" s="9" t="s">
        <v>13</v>
      </c>
      <c r="L212" s="283"/>
    </row>
    <row r="213">
      <c r="A213" s="146" t="s">
        <v>94</v>
      </c>
      <c r="B213" s="47"/>
      <c r="C213" s="148" t="s">
        <v>11</v>
      </c>
      <c r="D213" s="148" t="str">
        <f t="shared" si="1"/>
        <v>-</v>
      </c>
      <c r="E213" s="9"/>
      <c r="F213" s="10"/>
      <c r="G213" s="9"/>
      <c r="H213" s="11"/>
      <c r="I213" s="11"/>
      <c r="J213" s="11"/>
      <c r="K213" s="9" t="s">
        <v>13</v>
      </c>
      <c r="L213" s="283"/>
    </row>
    <row r="214">
      <c r="A214" s="146" t="s">
        <v>94</v>
      </c>
      <c r="B214" s="47"/>
      <c r="C214" s="148" t="s">
        <v>11</v>
      </c>
      <c r="D214" s="148" t="str">
        <f t="shared" si="1"/>
        <v>-</v>
      </c>
      <c r="E214" s="9"/>
      <c r="F214" s="10"/>
      <c r="G214" s="9"/>
      <c r="H214" s="11"/>
      <c r="I214" s="11"/>
      <c r="J214" s="11"/>
      <c r="K214" s="9" t="s">
        <v>13</v>
      </c>
      <c r="L214" s="283"/>
    </row>
    <row r="215">
      <c r="A215" s="146" t="s">
        <v>94</v>
      </c>
      <c r="B215" s="47"/>
      <c r="C215" s="148" t="s">
        <v>11</v>
      </c>
      <c r="D215" s="148" t="str">
        <f t="shared" si="1"/>
        <v>-</v>
      </c>
      <c r="E215" s="9"/>
      <c r="F215" s="10"/>
      <c r="G215" s="9"/>
      <c r="H215" s="11"/>
      <c r="I215" s="11"/>
      <c r="J215" s="11"/>
      <c r="K215" s="9" t="s">
        <v>13</v>
      </c>
      <c r="L215" s="283"/>
    </row>
    <row r="216">
      <c r="A216" s="146" t="s">
        <v>94</v>
      </c>
      <c r="B216" s="47"/>
      <c r="C216" s="148" t="s">
        <v>11</v>
      </c>
      <c r="D216" s="148" t="str">
        <f t="shared" si="1"/>
        <v>-</v>
      </c>
      <c r="E216" s="9"/>
      <c r="F216" s="10"/>
      <c r="G216" s="9"/>
      <c r="H216" s="11"/>
      <c r="I216" s="11"/>
      <c r="J216" s="11"/>
      <c r="K216" s="9" t="s">
        <v>13</v>
      </c>
      <c r="L216" s="283"/>
    </row>
    <row r="217">
      <c r="A217" s="146" t="s">
        <v>94</v>
      </c>
      <c r="B217" s="47"/>
      <c r="C217" s="148" t="s">
        <v>11</v>
      </c>
      <c r="D217" s="148" t="str">
        <f t="shared" si="1"/>
        <v>-</v>
      </c>
      <c r="E217" s="9"/>
      <c r="F217" s="10"/>
      <c r="G217" s="9"/>
      <c r="H217" s="11"/>
      <c r="I217" s="11"/>
      <c r="J217" s="11"/>
      <c r="K217" s="9" t="s">
        <v>13</v>
      </c>
      <c r="L217" s="283"/>
    </row>
    <row r="218">
      <c r="A218" s="146" t="s">
        <v>94</v>
      </c>
      <c r="B218" s="47"/>
      <c r="C218" s="148" t="s">
        <v>11</v>
      </c>
      <c r="D218" s="148" t="str">
        <f t="shared" si="1"/>
        <v>-</v>
      </c>
      <c r="E218" s="9"/>
      <c r="F218" s="10"/>
      <c r="G218" s="9"/>
      <c r="H218" s="11"/>
      <c r="I218" s="11"/>
      <c r="J218" s="11"/>
      <c r="K218" s="9" t="s">
        <v>13</v>
      </c>
      <c r="L218" s="283"/>
    </row>
    <row r="219">
      <c r="A219" s="146" t="s">
        <v>94</v>
      </c>
      <c r="B219" s="47"/>
      <c r="C219" s="148" t="s">
        <v>11</v>
      </c>
      <c r="D219" s="148" t="str">
        <f t="shared" si="1"/>
        <v>-</v>
      </c>
      <c r="E219" s="9"/>
      <c r="F219" s="10"/>
      <c r="G219" s="9"/>
      <c r="H219" s="11"/>
      <c r="I219" s="11"/>
      <c r="J219" s="11"/>
      <c r="K219" s="9" t="s">
        <v>13</v>
      </c>
      <c r="L219" s="283"/>
    </row>
    <row r="220">
      <c r="A220" s="146" t="s">
        <v>94</v>
      </c>
      <c r="B220" s="47"/>
      <c r="C220" s="148" t="s">
        <v>11</v>
      </c>
      <c r="D220" s="148" t="str">
        <f t="shared" si="1"/>
        <v>-</v>
      </c>
      <c r="E220" s="9"/>
      <c r="F220" s="10"/>
      <c r="G220" s="9"/>
      <c r="H220" s="11"/>
      <c r="I220" s="11"/>
      <c r="J220" s="11"/>
      <c r="K220" s="9" t="s">
        <v>13</v>
      </c>
      <c r="L220" s="283"/>
    </row>
    <row r="221">
      <c r="A221" s="146" t="s">
        <v>94</v>
      </c>
      <c r="B221" s="47"/>
      <c r="C221" s="148" t="s">
        <v>11</v>
      </c>
      <c r="D221" s="148" t="str">
        <f t="shared" si="1"/>
        <v>-</v>
      </c>
      <c r="E221" s="9"/>
      <c r="F221" s="10"/>
      <c r="G221" s="9"/>
      <c r="H221" s="11"/>
      <c r="I221" s="11"/>
      <c r="J221" s="11"/>
      <c r="K221" s="9" t="s">
        <v>13</v>
      </c>
      <c r="L221" s="283"/>
    </row>
    <row r="222">
      <c r="A222" s="146" t="s">
        <v>94</v>
      </c>
      <c r="B222" s="47"/>
      <c r="C222" s="148" t="s">
        <v>11</v>
      </c>
      <c r="D222" s="148" t="str">
        <f t="shared" si="1"/>
        <v>-</v>
      </c>
      <c r="E222" s="9"/>
      <c r="F222" s="10"/>
      <c r="G222" s="9"/>
      <c r="H222" s="11"/>
      <c r="I222" s="11"/>
      <c r="J222" s="11"/>
      <c r="K222" s="9" t="s">
        <v>13</v>
      </c>
      <c r="L222" s="283"/>
    </row>
    <row r="223">
      <c r="A223" s="146" t="s">
        <v>94</v>
      </c>
      <c r="B223" s="47"/>
      <c r="C223" s="148" t="s">
        <v>11</v>
      </c>
      <c r="D223" s="148" t="str">
        <f t="shared" si="1"/>
        <v>-</v>
      </c>
      <c r="E223" s="9"/>
      <c r="F223" s="10"/>
      <c r="G223" s="9"/>
      <c r="H223" s="11"/>
      <c r="I223" s="11"/>
      <c r="J223" s="11"/>
      <c r="K223" s="9" t="s">
        <v>13</v>
      </c>
      <c r="L223" s="283"/>
    </row>
    <row r="224">
      <c r="A224" s="146" t="s">
        <v>94</v>
      </c>
      <c r="B224" s="47"/>
      <c r="C224" s="148" t="s">
        <v>11</v>
      </c>
      <c r="D224" s="148" t="str">
        <f t="shared" si="1"/>
        <v>-</v>
      </c>
      <c r="E224" s="9"/>
      <c r="F224" s="10"/>
      <c r="G224" s="9"/>
      <c r="H224" s="11"/>
      <c r="I224" s="11"/>
      <c r="J224" s="11"/>
      <c r="K224" s="9" t="s">
        <v>13</v>
      </c>
      <c r="L224" s="283"/>
    </row>
    <row r="225">
      <c r="A225" s="146" t="s">
        <v>94</v>
      </c>
      <c r="B225" s="47"/>
      <c r="C225" s="148" t="s">
        <v>11</v>
      </c>
      <c r="D225" s="148" t="str">
        <f t="shared" si="1"/>
        <v>-</v>
      </c>
      <c r="E225" s="9"/>
      <c r="F225" s="10"/>
      <c r="G225" s="9"/>
      <c r="H225" s="11"/>
      <c r="I225" s="11"/>
      <c r="J225" s="11"/>
      <c r="K225" s="9" t="s">
        <v>13</v>
      </c>
      <c r="L225" s="283"/>
    </row>
    <row r="226">
      <c r="A226" s="146" t="s">
        <v>94</v>
      </c>
      <c r="B226" s="47"/>
      <c r="C226" s="148" t="s">
        <v>11</v>
      </c>
      <c r="D226" s="148" t="str">
        <f t="shared" si="1"/>
        <v>-</v>
      </c>
      <c r="E226" s="9"/>
      <c r="F226" s="10"/>
      <c r="G226" s="9"/>
      <c r="H226" s="11"/>
      <c r="I226" s="11"/>
      <c r="J226" s="11"/>
      <c r="K226" s="9" t="s">
        <v>13</v>
      </c>
      <c r="L226" s="283"/>
    </row>
    <row r="227">
      <c r="A227" s="146" t="s">
        <v>94</v>
      </c>
      <c r="B227" s="47"/>
      <c r="C227" s="148" t="s">
        <v>11</v>
      </c>
      <c r="D227" s="148" t="str">
        <f t="shared" si="1"/>
        <v>-</v>
      </c>
      <c r="E227" s="9"/>
      <c r="F227" s="10"/>
      <c r="G227" s="9"/>
      <c r="H227" s="11"/>
      <c r="I227" s="11"/>
      <c r="J227" s="11"/>
      <c r="K227" s="9" t="s">
        <v>13</v>
      </c>
      <c r="L227" s="283"/>
    </row>
    <row r="228">
      <c r="A228" s="146" t="s">
        <v>94</v>
      </c>
      <c r="B228" s="47"/>
      <c r="C228" s="148" t="s">
        <v>11</v>
      </c>
      <c r="D228" s="148" t="str">
        <f t="shared" si="1"/>
        <v>-</v>
      </c>
      <c r="E228" s="9"/>
      <c r="F228" s="10"/>
      <c r="G228" s="9"/>
      <c r="H228" s="11"/>
      <c r="I228" s="11"/>
      <c r="J228" s="11"/>
      <c r="K228" s="9" t="s">
        <v>13</v>
      </c>
      <c r="L228" s="283"/>
    </row>
    <row r="229">
      <c r="A229" s="146" t="s">
        <v>94</v>
      </c>
      <c r="B229" s="47"/>
      <c r="C229" s="148" t="s">
        <v>11</v>
      </c>
      <c r="D229" s="148" t="str">
        <f t="shared" si="1"/>
        <v>-</v>
      </c>
      <c r="E229" s="9"/>
      <c r="F229" s="10"/>
      <c r="G229" s="9"/>
      <c r="H229" s="11"/>
      <c r="I229" s="11"/>
      <c r="J229" s="11"/>
      <c r="K229" s="9" t="s">
        <v>13</v>
      </c>
      <c r="L229" s="283"/>
    </row>
    <row r="230">
      <c r="A230" s="146" t="s">
        <v>94</v>
      </c>
      <c r="B230" s="47"/>
      <c r="C230" s="148" t="s">
        <v>11</v>
      </c>
      <c r="D230" s="148" t="str">
        <f t="shared" si="1"/>
        <v>-</v>
      </c>
      <c r="E230" s="9"/>
      <c r="F230" s="10"/>
      <c r="G230" s="9"/>
      <c r="H230" s="11"/>
      <c r="I230" s="11"/>
      <c r="J230" s="11"/>
      <c r="K230" s="9" t="s">
        <v>13</v>
      </c>
      <c r="L230" s="283"/>
    </row>
    <row r="231">
      <c r="A231" s="146" t="s">
        <v>94</v>
      </c>
      <c r="B231" s="47"/>
      <c r="C231" s="148" t="s">
        <v>11</v>
      </c>
      <c r="D231" s="148" t="str">
        <f t="shared" si="1"/>
        <v>-</v>
      </c>
      <c r="E231" s="9"/>
      <c r="F231" s="10"/>
      <c r="G231" s="9"/>
      <c r="H231" s="11"/>
      <c r="I231" s="11"/>
      <c r="J231" s="11"/>
      <c r="K231" s="9" t="s">
        <v>13</v>
      </c>
      <c r="L231" s="283"/>
    </row>
    <row r="232">
      <c r="A232" s="146" t="s">
        <v>94</v>
      </c>
      <c r="B232" s="47"/>
      <c r="C232" s="148" t="s">
        <v>11</v>
      </c>
      <c r="D232" s="148" t="str">
        <f t="shared" si="1"/>
        <v>-</v>
      </c>
      <c r="E232" s="9"/>
      <c r="F232" s="10"/>
      <c r="G232" s="9"/>
      <c r="H232" s="11"/>
      <c r="I232" s="11"/>
      <c r="J232" s="11"/>
      <c r="K232" s="9" t="s">
        <v>13</v>
      </c>
      <c r="L232" s="283"/>
    </row>
    <row r="233">
      <c r="A233" s="146" t="s">
        <v>94</v>
      </c>
      <c r="B233" s="47"/>
      <c r="C233" s="148" t="s">
        <v>11</v>
      </c>
      <c r="D233" s="148" t="str">
        <f t="shared" si="1"/>
        <v>-</v>
      </c>
      <c r="E233" s="9"/>
      <c r="F233" s="10"/>
      <c r="G233" s="9"/>
      <c r="H233" s="11"/>
      <c r="I233" s="11"/>
      <c r="J233" s="11"/>
      <c r="K233" s="9" t="s">
        <v>13</v>
      </c>
      <c r="L233" s="283"/>
    </row>
    <row r="234">
      <c r="A234" s="146" t="s">
        <v>94</v>
      </c>
      <c r="B234" s="47"/>
      <c r="C234" s="148" t="s">
        <v>11</v>
      </c>
      <c r="D234" s="148" t="str">
        <f t="shared" si="1"/>
        <v>-</v>
      </c>
      <c r="E234" s="9"/>
      <c r="F234" s="10"/>
      <c r="G234" s="9"/>
      <c r="H234" s="11"/>
      <c r="I234" s="11"/>
      <c r="J234" s="11"/>
      <c r="K234" s="9" t="s">
        <v>13</v>
      </c>
      <c r="L234" s="283"/>
    </row>
    <row r="235">
      <c r="A235" s="146" t="s">
        <v>94</v>
      </c>
      <c r="B235" s="47"/>
      <c r="C235" s="148" t="s">
        <v>11</v>
      </c>
      <c r="D235" s="148" t="str">
        <f t="shared" si="1"/>
        <v>-</v>
      </c>
      <c r="E235" s="9"/>
      <c r="F235" s="10"/>
      <c r="G235" s="9"/>
      <c r="H235" s="11"/>
      <c r="I235" s="11"/>
      <c r="J235" s="11"/>
      <c r="K235" s="9" t="s">
        <v>13</v>
      </c>
      <c r="L235" s="283"/>
    </row>
    <row r="236">
      <c r="A236" s="146" t="s">
        <v>94</v>
      </c>
      <c r="B236" s="47"/>
      <c r="C236" s="148" t="s">
        <v>11</v>
      </c>
      <c r="D236" s="148" t="str">
        <f t="shared" si="1"/>
        <v>-</v>
      </c>
      <c r="E236" s="9"/>
      <c r="F236" s="10"/>
      <c r="G236" s="9"/>
      <c r="H236" s="11"/>
      <c r="I236" s="11"/>
      <c r="J236" s="11"/>
      <c r="K236" s="9" t="s">
        <v>13</v>
      </c>
      <c r="L236" s="283"/>
    </row>
    <row r="237">
      <c r="A237" s="146" t="s">
        <v>94</v>
      </c>
      <c r="B237" s="47"/>
      <c r="C237" s="148" t="s">
        <v>11</v>
      </c>
      <c r="D237" s="148" t="str">
        <f t="shared" si="1"/>
        <v>-</v>
      </c>
      <c r="E237" s="9"/>
      <c r="F237" s="10"/>
      <c r="G237" s="9"/>
      <c r="H237" s="11"/>
      <c r="I237" s="11"/>
      <c r="J237" s="11"/>
      <c r="K237" s="9" t="s">
        <v>13</v>
      </c>
      <c r="L237" s="283"/>
    </row>
    <row r="238">
      <c r="A238" s="146" t="s">
        <v>94</v>
      </c>
      <c r="B238" s="47"/>
      <c r="C238" s="148" t="s">
        <v>11</v>
      </c>
      <c r="D238" s="148" t="str">
        <f t="shared" si="1"/>
        <v>-</v>
      </c>
      <c r="E238" s="9"/>
      <c r="F238" s="10"/>
      <c r="G238" s="9"/>
      <c r="H238" s="11"/>
      <c r="I238" s="11"/>
      <c r="J238" s="11"/>
      <c r="K238" s="9" t="s">
        <v>13</v>
      </c>
      <c r="L238" s="283"/>
    </row>
    <row r="239">
      <c r="A239" s="146" t="s">
        <v>94</v>
      </c>
      <c r="B239" s="47"/>
      <c r="C239" s="148" t="s">
        <v>11</v>
      </c>
      <c r="D239" s="148" t="str">
        <f t="shared" si="1"/>
        <v>-</v>
      </c>
      <c r="E239" s="9"/>
      <c r="F239" s="10"/>
      <c r="G239" s="9"/>
      <c r="H239" s="11"/>
      <c r="I239" s="11"/>
      <c r="J239" s="11"/>
      <c r="K239" s="9" t="s">
        <v>13</v>
      </c>
      <c r="L239" s="283"/>
    </row>
    <row r="240">
      <c r="A240" s="146" t="s">
        <v>94</v>
      </c>
      <c r="B240" s="47"/>
      <c r="C240" s="148" t="s">
        <v>11</v>
      </c>
      <c r="D240" s="148" t="str">
        <f t="shared" si="1"/>
        <v>-</v>
      </c>
      <c r="E240" s="9"/>
      <c r="F240" s="10"/>
      <c r="G240" s="9"/>
      <c r="H240" s="11"/>
      <c r="I240" s="11"/>
      <c r="J240" s="11"/>
      <c r="K240" s="9" t="s">
        <v>13</v>
      </c>
      <c r="L240" s="283"/>
    </row>
    <row r="241">
      <c r="A241" s="146" t="s">
        <v>94</v>
      </c>
      <c r="B241" s="47"/>
      <c r="C241" s="148" t="s">
        <v>11</v>
      </c>
      <c r="D241" s="148" t="str">
        <f t="shared" si="1"/>
        <v>-</v>
      </c>
      <c r="E241" s="9"/>
      <c r="F241" s="10"/>
      <c r="G241" s="9"/>
      <c r="H241" s="11"/>
      <c r="I241" s="11"/>
      <c r="J241" s="11"/>
      <c r="K241" s="9" t="s">
        <v>13</v>
      </c>
      <c r="L241" s="283"/>
    </row>
    <row r="242">
      <c r="A242" s="146" t="s">
        <v>94</v>
      </c>
      <c r="B242" s="47"/>
      <c r="C242" s="148" t="s">
        <v>11</v>
      </c>
      <c r="D242" s="148" t="str">
        <f t="shared" si="1"/>
        <v>-</v>
      </c>
      <c r="E242" s="9"/>
      <c r="F242" s="10"/>
      <c r="G242" s="9"/>
      <c r="H242" s="11"/>
      <c r="I242" s="11"/>
      <c r="J242" s="11"/>
      <c r="K242" s="9" t="s">
        <v>13</v>
      </c>
      <c r="L242" s="283"/>
    </row>
    <row r="243">
      <c r="A243" s="146" t="s">
        <v>94</v>
      </c>
      <c r="B243" s="47"/>
      <c r="C243" s="148" t="s">
        <v>11</v>
      </c>
      <c r="D243" s="148" t="str">
        <f t="shared" si="1"/>
        <v>-</v>
      </c>
      <c r="E243" s="9"/>
      <c r="F243" s="10"/>
      <c r="G243" s="9"/>
      <c r="H243" s="11"/>
      <c r="I243" s="11"/>
      <c r="J243" s="11"/>
      <c r="K243" s="9" t="s">
        <v>13</v>
      </c>
      <c r="L243" s="283"/>
    </row>
    <row r="244">
      <c r="A244" s="146" t="s">
        <v>94</v>
      </c>
      <c r="B244" s="47"/>
      <c r="C244" s="148" t="s">
        <v>11</v>
      </c>
      <c r="D244" s="148" t="str">
        <f t="shared" si="1"/>
        <v>-</v>
      </c>
      <c r="E244" s="9"/>
      <c r="F244" s="10"/>
      <c r="G244" s="9"/>
      <c r="H244" s="11"/>
      <c r="I244" s="11"/>
      <c r="J244" s="11"/>
      <c r="K244" s="9" t="s">
        <v>13</v>
      </c>
      <c r="L244" s="283"/>
    </row>
    <row r="245">
      <c r="A245" s="146" t="s">
        <v>94</v>
      </c>
      <c r="B245" s="47"/>
      <c r="C245" s="148" t="s">
        <v>11</v>
      </c>
      <c r="D245" s="148" t="str">
        <f t="shared" si="1"/>
        <v>-</v>
      </c>
      <c r="E245" s="9"/>
      <c r="F245" s="10"/>
      <c r="G245" s="9"/>
      <c r="H245" s="11"/>
      <c r="I245" s="11"/>
      <c r="J245" s="11"/>
      <c r="K245" s="9" t="s">
        <v>13</v>
      </c>
      <c r="L245" s="283"/>
    </row>
    <row r="246">
      <c r="A246" s="146" t="s">
        <v>94</v>
      </c>
      <c r="B246" s="47"/>
      <c r="C246" s="148" t="s">
        <v>11</v>
      </c>
      <c r="D246" s="148" t="str">
        <f t="shared" si="1"/>
        <v>-</v>
      </c>
      <c r="E246" s="9"/>
      <c r="F246" s="10"/>
      <c r="G246" s="9"/>
      <c r="H246" s="11"/>
      <c r="I246" s="11"/>
      <c r="J246" s="11"/>
      <c r="K246" s="9" t="s">
        <v>13</v>
      </c>
      <c r="L246" s="283"/>
    </row>
    <row r="247">
      <c r="A247" s="146" t="s">
        <v>94</v>
      </c>
      <c r="B247" s="47"/>
      <c r="C247" s="148" t="s">
        <v>11</v>
      </c>
      <c r="D247" s="148" t="str">
        <f t="shared" si="1"/>
        <v>-</v>
      </c>
      <c r="E247" s="9"/>
      <c r="F247" s="10"/>
      <c r="G247" s="9"/>
      <c r="H247" s="11"/>
      <c r="I247" s="11"/>
      <c r="J247" s="11"/>
      <c r="K247" s="9" t="s">
        <v>13</v>
      </c>
      <c r="L247" s="283"/>
    </row>
    <row r="248">
      <c r="A248" s="146" t="s">
        <v>94</v>
      </c>
      <c r="B248" s="47"/>
      <c r="C248" s="148" t="s">
        <v>11</v>
      </c>
      <c r="D248" s="148" t="str">
        <f t="shared" si="1"/>
        <v>-</v>
      </c>
      <c r="E248" s="9"/>
      <c r="F248" s="10"/>
      <c r="G248" s="9"/>
      <c r="H248" s="11"/>
      <c r="I248" s="11"/>
      <c r="J248" s="11"/>
      <c r="K248" s="9" t="s">
        <v>13</v>
      </c>
      <c r="L248" s="283"/>
    </row>
    <row r="249">
      <c r="A249" s="146" t="s">
        <v>94</v>
      </c>
      <c r="B249" s="47"/>
      <c r="C249" s="148" t="s">
        <v>11</v>
      </c>
      <c r="D249" s="148" t="str">
        <f t="shared" si="1"/>
        <v>-</v>
      </c>
      <c r="E249" s="9"/>
      <c r="F249" s="10"/>
      <c r="G249" s="9"/>
      <c r="H249" s="11"/>
      <c r="I249" s="11"/>
      <c r="J249" s="11"/>
      <c r="K249" s="9" t="s">
        <v>13</v>
      </c>
      <c r="L249" s="283"/>
    </row>
    <row r="250">
      <c r="A250" s="146" t="s">
        <v>94</v>
      </c>
      <c r="B250" s="47"/>
      <c r="C250" s="148" t="s">
        <v>11</v>
      </c>
      <c r="D250" s="148" t="str">
        <f t="shared" si="1"/>
        <v>-</v>
      </c>
      <c r="E250" s="9"/>
      <c r="F250" s="10"/>
      <c r="G250" s="9"/>
      <c r="H250" s="11"/>
      <c r="I250" s="11"/>
      <c r="J250" s="11"/>
      <c r="K250" s="9" t="s">
        <v>13</v>
      </c>
      <c r="L250" s="283"/>
    </row>
    <row r="251">
      <c r="A251" s="146" t="s">
        <v>94</v>
      </c>
      <c r="B251" s="47"/>
      <c r="C251" s="148" t="s">
        <v>11</v>
      </c>
      <c r="D251" s="148" t="str">
        <f t="shared" si="1"/>
        <v>-</v>
      </c>
      <c r="E251" s="9"/>
      <c r="F251" s="10"/>
      <c r="G251" s="9"/>
      <c r="H251" s="11"/>
      <c r="I251" s="11"/>
      <c r="J251" s="11"/>
      <c r="K251" s="9" t="s">
        <v>13</v>
      </c>
      <c r="L251" s="283"/>
    </row>
    <row r="252">
      <c r="A252" s="146" t="s">
        <v>94</v>
      </c>
      <c r="B252" s="47"/>
      <c r="C252" s="148" t="s">
        <v>11</v>
      </c>
      <c r="D252" s="148" t="str">
        <f t="shared" si="1"/>
        <v>-</v>
      </c>
      <c r="E252" s="9"/>
      <c r="F252" s="10"/>
      <c r="G252" s="9"/>
      <c r="H252" s="11"/>
      <c r="I252" s="11"/>
      <c r="J252" s="11"/>
      <c r="K252" s="9" t="s">
        <v>13</v>
      </c>
      <c r="L252" s="283"/>
    </row>
    <row r="253">
      <c r="A253" s="146" t="s">
        <v>94</v>
      </c>
      <c r="B253" s="47"/>
      <c r="C253" s="148" t="s">
        <v>11</v>
      </c>
      <c r="D253" s="148" t="str">
        <f t="shared" si="1"/>
        <v>-</v>
      </c>
      <c r="E253" s="9"/>
      <c r="F253" s="10"/>
      <c r="G253" s="9"/>
      <c r="H253" s="11"/>
      <c r="I253" s="11"/>
      <c r="J253" s="11"/>
      <c r="K253" s="9" t="s">
        <v>13</v>
      </c>
      <c r="L253" s="283"/>
    </row>
    <row r="254">
      <c r="A254" s="146" t="s">
        <v>94</v>
      </c>
      <c r="B254" s="47"/>
      <c r="C254" s="148" t="s">
        <v>11</v>
      </c>
      <c r="D254" s="148" t="str">
        <f t="shared" si="1"/>
        <v>-</v>
      </c>
      <c r="E254" s="9"/>
      <c r="F254" s="10"/>
      <c r="G254" s="9"/>
      <c r="H254" s="11"/>
      <c r="I254" s="11"/>
      <c r="J254" s="11"/>
      <c r="K254" s="9" t="s">
        <v>13</v>
      </c>
      <c r="L254" s="283"/>
    </row>
    <row r="255">
      <c r="A255" s="146" t="s">
        <v>94</v>
      </c>
      <c r="B255" s="47"/>
      <c r="C255" s="148" t="s">
        <v>11</v>
      </c>
      <c r="D255" s="148" t="str">
        <f t="shared" si="1"/>
        <v>-</v>
      </c>
      <c r="E255" s="9"/>
      <c r="F255" s="10"/>
      <c r="G255" s="9"/>
      <c r="H255" s="11"/>
      <c r="I255" s="11"/>
      <c r="J255" s="11"/>
      <c r="K255" s="9" t="s">
        <v>13</v>
      </c>
      <c r="L255" s="283"/>
    </row>
    <row r="256">
      <c r="A256" s="146" t="s">
        <v>94</v>
      </c>
      <c r="B256" s="47"/>
      <c r="C256" s="148" t="s">
        <v>11</v>
      </c>
      <c r="D256" s="148" t="str">
        <f t="shared" si="1"/>
        <v>-</v>
      </c>
      <c r="E256" s="9"/>
      <c r="F256" s="10"/>
      <c r="G256" s="9"/>
      <c r="H256" s="11"/>
      <c r="I256" s="11"/>
      <c r="J256" s="11"/>
      <c r="K256" s="9" t="s">
        <v>13</v>
      </c>
      <c r="L256" s="283"/>
    </row>
    <row r="257">
      <c r="A257" s="146" t="s">
        <v>94</v>
      </c>
      <c r="B257" s="47"/>
      <c r="C257" s="148" t="s">
        <v>11</v>
      </c>
      <c r="D257" s="148" t="str">
        <f t="shared" si="1"/>
        <v>-</v>
      </c>
      <c r="E257" s="9"/>
      <c r="F257" s="10"/>
      <c r="G257" s="9"/>
      <c r="H257" s="11"/>
      <c r="I257" s="11"/>
      <c r="J257" s="11"/>
      <c r="K257" s="9" t="s">
        <v>13</v>
      </c>
      <c r="L257" s="283"/>
    </row>
    <row r="258">
      <c r="A258" s="146" t="s">
        <v>94</v>
      </c>
      <c r="B258" s="47"/>
      <c r="C258" s="148" t="s">
        <v>11</v>
      </c>
      <c r="D258" s="148" t="str">
        <f t="shared" si="1"/>
        <v>-</v>
      </c>
      <c r="E258" s="9"/>
      <c r="F258" s="10"/>
      <c r="G258" s="9"/>
      <c r="H258" s="11"/>
      <c r="I258" s="11"/>
      <c r="J258" s="11"/>
      <c r="K258" s="9" t="s">
        <v>13</v>
      </c>
      <c r="L258" s="283"/>
    </row>
    <row r="259">
      <c r="A259" s="146" t="s">
        <v>94</v>
      </c>
      <c r="B259" s="47"/>
      <c r="C259" s="148" t="s">
        <v>11</v>
      </c>
      <c r="D259" s="148" t="str">
        <f t="shared" si="1"/>
        <v>-</v>
      </c>
      <c r="E259" s="9"/>
      <c r="F259" s="10"/>
      <c r="G259" s="9"/>
      <c r="H259" s="11"/>
      <c r="I259" s="11"/>
      <c r="J259" s="11"/>
      <c r="K259" s="9" t="s">
        <v>13</v>
      </c>
      <c r="L259" s="283"/>
    </row>
    <row r="260">
      <c r="A260" s="146" t="s">
        <v>94</v>
      </c>
      <c r="B260" s="47"/>
      <c r="C260" s="148" t="s">
        <v>11</v>
      </c>
      <c r="D260" s="148" t="str">
        <f t="shared" si="1"/>
        <v>-</v>
      </c>
      <c r="E260" s="9"/>
      <c r="F260" s="10"/>
      <c r="G260" s="9"/>
      <c r="H260" s="11"/>
      <c r="I260" s="11"/>
      <c r="J260" s="11"/>
      <c r="K260" s="9" t="s">
        <v>13</v>
      </c>
      <c r="L260" s="283"/>
    </row>
    <row r="261">
      <c r="A261" s="146" t="s">
        <v>94</v>
      </c>
      <c r="B261" s="47"/>
      <c r="C261" s="148" t="s">
        <v>11</v>
      </c>
      <c r="D261" s="148" t="str">
        <f t="shared" si="1"/>
        <v>-</v>
      </c>
      <c r="E261" s="9"/>
      <c r="F261" s="10"/>
      <c r="G261" s="9"/>
      <c r="H261" s="11"/>
      <c r="I261" s="11"/>
      <c r="J261" s="11"/>
      <c r="K261" s="9" t="s">
        <v>13</v>
      </c>
      <c r="L261" s="283"/>
    </row>
    <row r="262">
      <c r="A262" s="146" t="s">
        <v>94</v>
      </c>
      <c r="B262" s="47"/>
      <c r="C262" s="148" t="s">
        <v>11</v>
      </c>
      <c r="D262" s="148" t="str">
        <f t="shared" si="1"/>
        <v>-</v>
      </c>
      <c r="E262" s="9"/>
      <c r="F262" s="10"/>
      <c r="G262" s="9"/>
      <c r="H262" s="11"/>
      <c r="I262" s="11"/>
      <c r="J262" s="11"/>
      <c r="K262" s="9" t="s">
        <v>13</v>
      </c>
      <c r="L262" s="283"/>
    </row>
    <row r="263">
      <c r="A263" s="146" t="s">
        <v>94</v>
      </c>
      <c r="B263" s="47"/>
      <c r="C263" s="148" t="s">
        <v>11</v>
      </c>
      <c r="D263" s="148" t="str">
        <f t="shared" si="1"/>
        <v>-</v>
      </c>
      <c r="E263" s="9"/>
      <c r="F263" s="10"/>
      <c r="G263" s="9"/>
      <c r="H263" s="11"/>
      <c r="I263" s="11"/>
      <c r="J263" s="11"/>
      <c r="K263" s="9" t="s">
        <v>13</v>
      </c>
      <c r="L263" s="283"/>
    </row>
    <row r="264">
      <c r="A264" s="146" t="s">
        <v>94</v>
      </c>
      <c r="B264" s="47"/>
      <c r="C264" s="148" t="s">
        <v>11</v>
      </c>
      <c r="D264" s="148" t="str">
        <f t="shared" si="1"/>
        <v>-</v>
      </c>
      <c r="E264" s="9"/>
      <c r="F264" s="10"/>
      <c r="G264" s="9"/>
      <c r="H264" s="11"/>
      <c r="I264" s="11"/>
      <c r="J264" s="11"/>
      <c r="K264" s="9" t="s">
        <v>13</v>
      </c>
      <c r="L264" s="283"/>
    </row>
    <row r="265">
      <c r="A265" s="146" t="s">
        <v>94</v>
      </c>
      <c r="B265" s="47"/>
      <c r="C265" s="148" t="s">
        <v>11</v>
      </c>
      <c r="D265" s="148" t="str">
        <f t="shared" si="1"/>
        <v>-</v>
      </c>
      <c r="E265" s="9"/>
      <c r="F265" s="10"/>
      <c r="G265" s="9"/>
      <c r="H265" s="11"/>
      <c r="I265" s="11"/>
      <c r="J265" s="11"/>
      <c r="K265" s="9" t="s">
        <v>13</v>
      </c>
      <c r="L265" s="283"/>
    </row>
    <row r="266">
      <c r="A266" s="146" t="s">
        <v>94</v>
      </c>
      <c r="B266" s="47"/>
      <c r="C266" s="148" t="s">
        <v>11</v>
      </c>
      <c r="D266" s="148" t="str">
        <f t="shared" si="1"/>
        <v>-</v>
      </c>
      <c r="E266" s="9"/>
      <c r="F266" s="10"/>
      <c r="G266" s="9"/>
      <c r="H266" s="11"/>
      <c r="I266" s="11"/>
      <c r="J266" s="11"/>
      <c r="K266" s="9" t="s">
        <v>13</v>
      </c>
      <c r="L266" s="283"/>
    </row>
    <row r="267">
      <c r="A267" s="146" t="s">
        <v>94</v>
      </c>
      <c r="B267" s="47"/>
      <c r="C267" s="148" t="s">
        <v>11</v>
      </c>
      <c r="D267" s="148" t="str">
        <f t="shared" si="1"/>
        <v>-</v>
      </c>
      <c r="E267" s="9"/>
      <c r="F267" s="10"/>
      <c r="G267" s="9"/>
      <c r="H267" s="11"/>
      <c r="I267" s="11"/>
      <c r="J267" s="11"/>
      <c r="K267" s="9" t="s">
        <v>13</v>
      </c>
      <c r="L267" s="283"/>
    </row>
    <row r="268">
      <c r="A268" s="146" t="s">
        <v>94</v>
      </c>
      <c r="B268" s="47"/>
      <c r="C268" s="148" t="s">
        <v>11</v>
      </c>
      <c r="D268" s="148" t="str">
        <f t="shared" si="1"/>
        <v>-</v>
      </c>
      <c r="E268" s="9"/>
      <c r="F268" s="10"/>
      <c r="G268" s="9"/>
      <c r="H268" s="11"/>
      <c r="I268" s="11"/>
      <c r="J268" s="11"/>
      <c r="K268" s="9" t="s">
        <v>13</v>
      </c>
      <c r="L268" s="283"/>
    </row>
    <row r="269">
      <c r="A269" s="146" t="s">
        <v>94</v>
      </c>
      <c r="B269" s="47"/>
      <c r="C269" s="148" t="s">
        <v>11</v>
      </c>
      <c r="D269" s="148" t="str">
        <f t="shared" si="1"/>
        <v>-</v>
      </c>
      <c r="E269" s="9"/>
      <c r="F269" s="10"/>
      <c r="G269" s="9"/>
      <c r="H269" s="11"/>
      <c r="I269" s="11"/>
      <c r="J269" s="11"/>
      <c r="K269" s="9" t="s">
        <v>13</v>
      </c>
      <c r="L269" s="283"/>
    </row>
    <row r="270">
      <c r="A270" s="146" t="s">
        <v>94</v>
      </c>
      <c r="B270" s="47"/>
      <c r="C270" s="148" t="s">
        <v>11</v>
      </c>
      <c r="D270" s="148" t="str">
        <f t="shared" si="1"/>
        <v>-</v>
      </c>
      <c r="E270" s="9"/>
      <c r="F270" s="10"/>
      <c r="G270" s="9"/>
      <c r="H270" s="11"/>
      <c r="I270" s="11"/>
      <c r="J270" s="11"/>
      <c r="K270" s="9" t="s">
        <v>13</v>
      </c>
      <c r="L270" s="283"/>
    </row>
    <row r="271">
      <c r="A271" s="146" t="s">
        <v>94</v>
      </c>
      <c r="B271" s="47"/>
      <c r="C271" s="148" t="s">
        <v>11</v>
      </c>
      <c r="D271" s="148" t="str">
        <f t="shared" si="1"/>
        <v>-</v>
      </c>
      <c r="E271" s="9"/>
      <c r="F271" s="10"/>
      <c r="G271" s="9"/>
      <c r="H271" s="11"/>
      <c r="I271" s="11"/>
      <c r="J271" s="11"/>
      <c r="K271" s="9" t="s">
        <v>13</v>
      </c>
      <c r="L271" s="283"/>
    </row>
    <row r="272">
      <c r="A272" s="146" t="s">
        <v>94</v>
      </c>
      <c r="B272" s="47"/>
      <c r="C272" s="148" t="s">
        <v>11</v>
      </c>
      <c r="D272" s="148" t="str">
        <f t="shared" si="1"/>
        <v>-</v>
      </c>
      <c r="E272" s="9"/>
      <c r="F272" s="10"/>
      <c r="G272" s="9"/>
      <c r="H272" s="11"/>
      <c r="I272" s="11"/>
      <c r="J272" s="11"/>
      <c r="K272" s="9" t="s">
        <v>13</v>
      </c>
      <c r="L272" s="283"/>
    </row>
    <row r="273">
      <c r="A273" s="146" t="s">
        <v>94</v>
      </c>
      <c r="B273" s="47"/>
      <c r="C273" s="148" t="s">
        <v>11</v>
      </c>
      <c r="D273" s="148" t="str">
        <f t="shared" si="1"/>
        <v>-</v>
      </c>
      <c r="E273" s="9"/>
      <c r="F273" s="10"/>
      <c r="G273" s="9"/>
      <c r="H273" s="11"/>
      <c r="I273" s="11"/>
      <c r="J273" s="11"/>
      <c r="K273" s="9" t="s">
        <v>13</v>
      </c>
      <c r="L273" s="283"/>
    </row>
    <row r="274">
      <c r="A274" s="146" t="s">
        <v>94</v>
      </c>
      <c r="B274" s="47"/>
      <c r="C274" s="148" t="s">
        <v>11</v>
      </c>
      <c r="D274" s="148" t="str">
        <f t="shared" si="1"/>
        <v>-</v>
      </c>
      <c r="E274" s="9"/>
      <c r="F274" s="10"/>
      <c r="G274" s="9"/>
      <c r="H274" s="11"/>
      <c r="I274" s="11"/>
      <c r="J274" s="11"/>
      <c r="K274" s="9" t="s">
        <v>13</v>
      </c>
      <c r="L274" s="283"/>
    </row>
    <row r="275">
      <c r="A275" s="146" t="s">
        <v>94</v>
      </c>
      <c r="B275" s="47"/>
      <c r="C275" s="148" t="s">
        <v>11</v>
      </c>
      <c r="D275" s="148" t="str">
        <f t="shared" si="1"/>
        <v>-</v>
      </c>
      <c r="E275" s="9"/>
      <c r="F275" s="10"/>
      <c r="G275" s="9"/>
      <c r="H275" s="11"/>
      <c r="I275" s="11"/>
      <c r="J275" s="11"/>
      <c r="K275" s="9" t="s">
        <v>13</v>
      </c>
      <c r="L275" s="283"/>
    </row>
    <row r="276">
      <c r="A276" s="146" t="s">
        <v>94</v>
      </c>
      <c r="B276" s="47"/>
      <c r="C276" s="148" t="s">
        <v>11</v>
      </c>
      <c r="D276" s="148" t="str">
        <f t="shared" si="1"/>
        <v>-</v>
      </c>
      <c r="E276" s="9"/>
      <c r="F276" s="10"/>
      <c r="G276" s="9"/>
      <c r="H276" s="11"/>
      <c r="I276" s="11"/>
      <c r="J276" s="11"/>
      <c r="K276" s="9" t="s">
        <v>13</v>
      </c>
      <c r="L276" s="283"/>
    </row>
    <row r="277">
      <c r="A277" s="146" t="s">
        <v>94</v>
      </c>
      <c r="B277" s="47"/>
      <c r="C277" s="148" t="s">
        <v>11</v>
      </c>
      <c r="D277" s="148" t="str">
        <f t="shared" si="1"/>
        <v>-</v>
      </c>
      <c r="E277" s="9"/>
      <c r="F277" s="10"/>
      <c r="G277" s="9"/>
      <c r="H277" s="11"/>
      <c r="I277" s="11"/>
      <c r="J277" s="11"/>
      <c r="K277" s="9" t="s">
        <v>13</v>
      </c>
      <c r="L277" s="283"/>
    </row>
    <row r="278">
      <c r="A278" s="146" t="s">
        <v>94</v>
      </c>
      <c r="B278" s="47"/>
      <c r="C278" s="148" t="s">
        <v>11</v>
      </c>
      <c r="D278" s="148" t="str">
        <f t="shared" si="1"/>
        <v>-</v>
      </c>
      <c r="E278" s="9"/>
      <c r="F278" s="10"/>
      <c r="G278" s="9"/>
      <c r="H278" s="11"/>
      <c r="I278" s="11"/>
      <c r="J278" s="11"/>
      <c r="K278" s="9" t="s">
        <v>13</v>
      </c>
      <c r="L278" s="283"/>
    </row>
    <row r="279">
      <c r="A279" s="146" t="s">
        <v>94</v>
      </c>
      <c r="B279" s="47"/>
      <c r="C279" s="148" t="s">
        <v>11</v>
      </c>
      <c r="D279" s="148" t="str">
        <f t="shared" si="1"/>
        <v>-</v>
      </c>
      <c r="E279" s="9"/>
      <c r="F279" s="10"/>
      <c r="G279" s="9"/>
      <c r="H279" s="11"/>
      <c r="I279" s="11"/>
      <c r="J279" s="11"/>
      <c r="K279" s="9" t="s">
        <v>13</v>
      </c>
      <c r="L279" s="283"/>
    </row>
    <row r="280">
      <c r="A280" s="146" t="s">
        <v>94</v>
      </c>
      <c r="B280" s="47"/>
      <c r="C280" s="148" t="s">
        <v>11</v>
      </c>
      <c r="D280" s="148" t="str">
        <f t="shared" si="1"/>
        <v>-</v>
      </c>
      <c r="E280" s="9"/>
      <c r="F280" s="10"/>
      <c r="G280" s="9"/>
      <c r="H280" s="11"/>
      <c r="I280" s="11"/>
      <c r="J280" s="11"/>
      <c r="K280" s="9" t="s">
        <v>13</v>
      </c>
      <c r="L280" s="283"/>
    </row>
    <row r="281">
      <c r="A281" s="146" t="s">
        <v>94</v>
      </c>
      <c r="B281" s="47"/>
      <c r="C281" s="148" t="s">
        <v>11</v>
      </c>
      <c r="D281" s="148" t="str">
        <f t="shared" si="1"/>
        <v>-</v>
      </c>
      <c r="E281" s="9"/>
      <c r="F281" s="10"/>
      <c r="G281" s="9"/>
      <c r="H281" s="11"/>
      <c r="I281" s="11"/>
      <c r="J281" s="11"/>
      <c r="K281" s="9" t="s">
        <v>13</v>
      </c>
      <c r="L281" s="283"/>
    </row>
    <row r="282">
      <c r="A282" s="146" t="s">
        <v>94</v>
      </c>
      <c r="B282" s="47"/>
      <c r="C282" s="148" t="s">
        <v>11</v>
      </c>
      <c r="D282" s="148" t="str">
        <f t="shared" si="1"/>
        <v>-</v>
      </c>
      <c r="E282" s="9"/>
      <c r="F282" s="10"/>
      <c r="G282" s="9"/>
      <c r="H282" s="11"/>
      <c r="I282" s="11"/>
      <c r="J282" s="11"/>
      <c r="K282" s="9" t="s">
        <v>13</v>
      </c>
      <c r="L282" s="283"/>
    </row>
    <row r="283">
      <c r="A283" s="146" t="s">
        <v>94</v>
      </c>
      <c r="B283" s="47"/>
      <c r="C283" s="148" t="s">
        <v>11</v>
      </c>
      <c r="D283" s="148" t="str">
        <f t="shared" si="1"/>
        <v>-</v>
      </c>
      <c r="E283" s="9"/>
      <c r="F283" s="10"/>
      <c r="G283" s="9"/>
      <c r="H283" s="11"/>
      <c r="I283" s="11"/>
      <c r="J283" s="11"/>
      <c r="K283" s="9" t="s">
        <v>13</v>
      </c>
      <c r="L283" s="283"/>
    </row>
    <row r="284">
      <c r="A284" s="146" t="s">
        <v>94</v>
      </c>
      <c r="B284" s="47"/>
      <c r="C284" s="148" t="s">
        <v>11</v>
      </c>
      <c r="D284" s="148" t="str">
        <f t="shared" si="1"/>
        <v>-</v>
      </c>
      <c r="E284" s="9"/>
      <c r="F284" s="10"/>
      <c r="G284" s="9"/>
      <c r="H284" s="11"/>
      <c r="I284" s="11"/>
      <c r="J284" s="11"/>
      <c r="K284" s="9" t="s">
        <v>13</v>
      </c>
      <c r="L284" s="283"/>
    </row>
    <row r="285">
      <c r="A285" s="146" t="s">
        <v>94</v>
      </c>
      <c r="B285" s="47"/>
      <c r="C285" s="148" t="s">
        <v>11</v>
      </c>
      <c r="D285" s="148" t="str">
        <f t="shared" si="1"/>
        <v>-</v>
      </c>
      <c r="E285" s="9"/>
      <c r="F285" s="10"/>
      <c r="G285" s="9"/>
      <c r="H285" s="11"/>
      <c r="I285" s="11"/>
      <c r="J285" s="11"/>
      <c r="K285" s="9" t="s">
        <v>13</v>
      </c>
      <c r="L285" s="283"/>
    </row>
    <row r="286">
      <c r="A286" s="146" t="s">
        <v>94</v>
      </c>
      <c r="B286" s="47"/>
      <c r="C286" s="148" t="s">
        <v>11</v>
      </c>
      <c r="D286" s="148" t="str">
        <f t="shared" si="1"/>
        <v>-</v>
      </c>
      <c r="E286" s="9"/>
      <c r="F286" s="10"/>
      <c r="G286" s="9"/>
      <c r="H286" s="11"/>
      <c r="I286" s="11"/>
      <c r="J286" s="11"/>
      <c r="K286" s="9" t="s">
        <v>13</v>
      </c>
      <c r="L286" s="283"/>
    </row>
    <row r="287">
      <c r="A287" s="146" t="s">
        <v>94</v>
      </c>
      <c r="B287" s="47"/>
      <c r="C287" s="148" t="s">
        <v>11</v>
      </c>
      <c r="D287" s="148" t="str">
        <f t="shared" si="1"/>
        <v>-</v>
      </c>
      <c r="E287" s="9"/>
      <c r="F287" s="10"/>
      <c r="G287" s="9"/>
      <c r="H287" s="11"/>
      <c r="I287" s="11"/>
      <c r="J287" s="11"/>
      <c r="K287" s="9" t="s">
        <v>13</v>
      </c>
      <c r="L287" s="283"/>
    </row>
    <row r="288">
      <c r="A288" s="146" t="s">
        <v>94</v>
      </c>
      <c r="B288" s="47"/>
      <c r="C288" s="148" t="s">
        <v>11</v>
      </c>
      <c r="D288" s="148" t="str">
        <f t="shared" si="1"/>
        <v>-</v>
      </c>
      <c r="E288" s="9"/>
      <c r="F288" s="10"/>
      <c r="G288" s="9"/>
      <c r="H288" s="11"/>
      <c r="I288" s="11"/>
      <c r="J288" s="11"/>
      <c r="K288" s="9" t="s">
        <v>13</v>
      </c>
      <c r="L288" s="283"/>
    </row>
    <row r="289">
      <c r="A289" s="146" t="s">
        <v>94</v>
      </c>
      <c r="B289" s="47"/>
      <c r="C289" s="148" t="s">
        <v>11</v>
      </c>
      <c r="D289" s="148" t="str">
        <f t="shared" si="1"/>
        <v>-</v>
      </c>
      <c r="E289" s="9"/>
      <c r="F289" s="10"/>
      <c r="G289" s="9"/>
      <c r="H289" s="11"/>
      <c r="I289" s="11"/>
      <c r="J289" s="11"/>
      <c r="K289" s="9" t="s">
        <v>13</v>
      </c>
      <c r="L289" s="283"/>
    </row>
    <row r="290">
      <c r="A290" s="146" t="s">
        <v>94</v>
      </c>
      <c r="B290" s="47"/>
      <c r="C290" s="148" t="s">
        <v>11</v>
      </c>
      <c r="D290" s="148" t="str">
        <f t="shared" si="1"/>
        <v>-</v>
      </c>
      <c r="E290" s="9"/>
      <c r="F290" s="10"/>
      <c r="G290" s="9"/>
      <c r="H290" s="11"/>
      <c r="I290" s="11"/>
      <c r="J290" s="11"/>
      <c r="K290" s="9" t="s">
        <v>13</v>
      </c>
      <c r="L290" s="283"/>
    </row>
    <row r="291">
      <c r="A291" s="146" t="s">
        <v>94</v>
      </c>
      <c r="B291" s="47"/>
      <c r="C291" s="148" t="s">
        <v>11</v>
      </c>
      <c r="D291" s="148" t="str">
        <f t="shared" si="1"/>
        <v>-</v>
      </c>
      <c r="E291" s="9"/>
      <c r="F291" s="10"/>
      <c r="G291" s="9"/>
      <c r="H291" s="11"/>
      <c r="I291" s="11"/>
      <c r="J291" s="11"/>
      <c r="K291" s="9" t="s">
        <v>13</v>
      </c>
      <c r="L291" s="283"/>
    </row>
    <row r="292">
      <c r="A292" s="146" t="s">
        <v>94</v>
      </c>
      <c r="B292" s="47"/>
      <c r="C292" s="148" t="s">
        <v>11</v>
      </c>
      <c r="D292" s="148" t="str">
        <f t="shared" si="1"/>
        <v>-</v>
      </c>
      <c r="E292" s="9"/>
      <c r="F292" s="10"/>
      <c r="G292" s="9"/>
      <c r="H292" s="11"/>
      <c r="I292" s="11"/>
      <c r="J292" s="11"/>
      <c r="K292" s="9" t="s">
        <v>13</v>
      </c>
      <c r="L292" s="283"/>
    </row>
    <row r="293">
      <c r="A293" s="146" t="s">
        <v>94</v>
      </c>
      <c r="B293" s="47"/>
      <c r="C293" s="148" t="s">
        <v>11</v>
      </c>
      <c r="D293" s="148" t="str">
        <f t="shared" si="1"/>
        <v>-</v>
      </c>
      <c r="E293" s="9"/>
      <c r="F293" s="10"/>
      <c r="G293" s="9"/>
      <c r="H293" s="11"/>
      <c r="I293" s="11"/>
      <c r="J293" s="11"/>
      <c r="K293" s="9" t="s">
        <v>13</v>
      </c>
      <c r="L293" s="283"/>
    </row>
    <row r="294">
      <c r="A294" s="146" t="s">
        <v>94</v>
      </c>
      <c r="B294" s="47"/>
      <c r="C294" s="148" t="s">
        <v>11</v>
      </c>
      <c r="D294" s="148" t="str">
        <f t="shared" si="1"/>
        <v>-</v>
      </c>
      <c r="E294" s="9"/>
      <c r="F294" s="10"/>
      <c r="G294" s="9"/>
      <c r="H294" s="11"/>
      <c r="I294" s="11"/>
      <c r="J294" s="11"/>
      <c r="K294" s="9" t="s">
        <v>13</v>
      </c>
      <c r="L294" s="283"/>
    </row>
    <row r="295">
      <c r="A295" s="146" t="s">
        <v>94</v>
      </c>
      <c r="B295" s="47"/>
      <c r="C295" s="148" t="s">
        <v>11</v>
      </c>
      <c r="D295" s="148" t="str">
        <f t="shared" si="1"/>
        <v>-</v>
      </c>
      <c r="E295" s="9"/>
      <c r="F295" s="10"/>
      <c r="G295" s="9"/>
      <c r="H295" s="11"/>
      <c r="I295" s="11"/>
      <c r="J295" s="11"/>
      <c r="K295" s="9" t="s">
        <v>13</v>
      </c>
      <c r="L295" s="283"/>
    </row>
    <row r="296">
      <c r="A296" s="146" t="s">
        <v>94</v>
      </c>
      <c r="B296" s="47"/>
      <c r="C296" s="148" t="s">
        <v>11</v>
      </c>
      <c r="D296" s="148" t="str">
        <f t="shared" si="1"/>
        <v>-</v>
      </c>
      <c r="E296" s="9"/>
      <c r="F296" s="10"/>
      <c r="G296" s="9"/>
      <c r="H296" s="11"/>
      <c r="I296" s="11"/>
      <c r="J296" s="11"/>
      <c r="K296" s="9" t="s">
        <v>13</v>
      </c>
      <c r="L296" s="283"/>
    </row>
    <row r="297">
      <c r="A297" s="146" t="s">
        <v>94</v>
      </c>
      <c r="B297" s="47"/>
      <c r="C297" s="148" t="s">
        <v>11</v>
      </c>
      <c r="D297" s="148" t="str">
        <f t="shared" si="1"/>
        <v>-</v>
      </c>
      <c r="E297" s="9"/>
      <c r="F297" s="10"/>
      <c r="G297" s="9"/>
      <c r="H297" s="11"/>
      <c r="I297" s="11"/>
      <c r="J297" s="11"/>
      <c r="K297" s="9" t="s">
        <v>13</v>
      </c>
      <c r="L297" s="283"/>
    </row>
    <row r="298">
      <c r="A298" s="146" t="s">
        <v>94</v>
      </c>
      <c r="B298" s="47"/>
      <c r="C298" s="148" t="s">
        <v>11</v>
      </c>
      <c r="D298" s="148" t="str">
        <f t="shared" si="1"/>
        <v>-</v>
      </c>
      <c r="E298" s="9"/>
      <c r="F298" s="10"/>
      <c r="G298" s="9"/>
      <c r="H298" s="11"/>
      <c r="I298" s="11"/>
      <c r="J298" s="11"/>
      <c r="K298" s="9" t="s">
        <v>13</v>
      </c>
      <c r="L298" s="283"/>
    </row>
    <row r="299">
      <c r="A299" s="146" t="s">
        <v>94</v>
      </c>
      <c r="B299" s="47"/>
      <c r="C299" s="148" t="s">
        <v>11</v>
      </c>
      <c r="D299" s="148" t="str">
        <f t="shared" si="1"/>
        <v>-</v>
      </c>
      <c r="E299" s="9"/>
      <c r="F299" s="10"/>
      <c r="G299" s="9"/>
      <c r="H299" s="11"/>
      <c r="I299" s="11"/>
      <c r="J299" s="11"/>
      <c r="K299" s="9" t="s">
        <v>13</v>
      </c>
      <c r="L299" s="283"/>
    </row>
    <row r="300">
      <c r="A300" s="146" t="s">
        <v>94</v>
      </c>
      <c r="B300" s="47"/>
      <c r="C300" s="148" t="s">
        <v>11</v>
      </c>
      <c r="D300" s="148" t="str">
        <f t="shared" si="1"/>
        <v>-</v>
      </c>
      <c r="E300" s="9"/>
      <c r="F300" s="10"/>
      <c r="G300" s="9"/>
      <c r="H300" s="11"/>
      <c r="I300" s="11"/>
      <c r="J300" s="11"/>
      <c r="K300" s="9" t="s">
        <v>13</v>
      </c>
      <c r="L300" s="283"/>
    </row>
    <row r="301">
      <c r="A301" s="146" t="s">
        <v>94</v>
      </c>
      <c r="B301" s="47"/>
      <c r="C301" s="148" t="s">
        <v>11</v>
      </c>
      <c r="D301" s="148" t="str">
        <f t="shared" si="1"/>
        <v>-</v>
      </c>
      <c r="E301" s="9"/>
      <c r="F301" s="10"/>
      <c r="G301" s="9"/>
      <c r="H301" s="11"/>
      <c r="I301" s="11"/>
      <c r="J301" s="11"/>
      <c r="K301" s="9" t="s">
        <v>13</v>
      </c>
      <c r="L301" s="283"/>
    </row>
    <row r="302">
      <c r="A302" s="146" t="s">
        <v>94</v>
      </c>
      <c r="B302" s="47"/>
      <c r="C302" s="148" t="s">
        <v>11</v>
      </c>
      <c r="D302" s="148" t="str">
        <f t="shared" si="1"/>
        <v>-</v>
      </c>
      <c r="E302" s="9"/>
      <c r="F302" s="10"/>
      <c r="G302" s="9"/>
      <c r="H302" s="11"/>
      <c r="I302" s="11"/>
      <c r="J302" s="11"/>
      <c r="K302" s="9" t="s">
        <v>13</v>
      </c>
      <c r="L302" s="283"/>
    </row>
    <row r="303">
      <c r="A303" s="146" t="s">
        <v>94</v>
      </c>
      <c r="B303" s="47"/>
      <c r="C303" s="148" t="s">
        <v>11</v>
      </c>
      <c r="D303" s="148" t="str">
        <f t="shared" si="1"/>
        <v>-</v>
      </c>
      <c r="E303" s="9"/>
      <c r="F303" s="10"/>
      <c r="G303" s="9"/>
      <c r="H303" s="11"/>
      <c r="I303" s="11"/>
      <c r="J303" s="11"/>
      <c r="K303" s="9" t="s">
        <v>13</v>
      </c>
      <c r="L303" s="283"/>
    </row>
    <row r="304">
      <c r="A304" s="146" t="s">
        <v>94</v>
      </c>
      <c r="B304" s="47"/>
      <c r="C304" s="148" t="s">
        <v>11</v>
      </c>
      <c r="D304" s="148" t="str">
        <f t="shared" si="1"/>
        <v>-</v>
      </c>
      <c r="E304" s="9"/>
      <c r="F304" s="10"/>
      <c r="G304" s="9"/>
      <c r="H304" s="11"/>
      <c r="I304" s="11"/>
      <c r="J304" s="11"/>
      <c r="K304" s="9" t="s">
        <v>13</v>
      </c>
      <c r="L304" s="283"/>
    </row>
    <row r="305">
      <c r="A305" s="146" t="s">
        <v>94</v>
      </c>
      <c r="B305" s="47"/>
      <c r="C305" s="148" t="s">
        <v>11</v>
      </c>
      <c r="D305" s="148" t="str">
        <f t="shared" si="1"/>
        <v>-</v>
      </c>
      <c r="E305" s="9"/>
      <c r="F305" s="10"/>
      <c r="G305" s="9"/>
      <c r="H305" s="11"/>
      <c r="I305" s="11"/>
      <c r="J305" s="11"/>
      <c r="K305" s="9" t="s">
        <v>13</v>
      </c>
      <c r="L305" s="283"/>
    </row>
    <row r="306">
      <c r="A306" s="146" t="s">
        <v>94</v>
      </c>
      <c r="B306" s="47"/>
      <c r="C306" s="148" t="s">
        <v>11</v>
      </c>
      <c r="D306" s="148" t="str">
        <f t="shared" si="1"/>
        <v>-</v>
      </c>
      <c r="E306" s="9"/>
      <c r="F306" s="10"/>
      <c r="G306" s="9"/>
      <c r="H306" s="11"/>
      <c r="I306" s="11"/>
      <c r="J306" s="11"/>
      <c r="K306" s="9" t="s">
        <v>13</v>
      </c>
      <c r="L306" s="283"/>
    </row>
    <row r="307">
      <c r="A307" s="146" t="s">
        <v>94</v>
      </c>
      <c r="B307" s="47"/>
      <c r="C307" s="148" t="s">
        <v>11</v>
      </c>
      <c r="D307" s="148" t="str">
        <f t="shared" si="1"/>
        <v>-</v>
      </c>
      <c r="E307" s="9"/>
      <c r="F307" s="10"/>
      <c r="G307" s="9"/>
      <c r="H307" s="11"/>
      <c r="I307" s="11"/>
      <c r="J307" s="11"/>
      <c r="K307" s="9" t="s">
        <v>13</v>
      </c>
      <c r="L307" s="283"/>
    </row>
    <row r="308">
      <c r="A308" s="146" t="s">
        <v>94</v>
      </c>
      <c r="B308" s="47"/>
      <c r="C308" s="148" t="s">
        <v>11</v>
      </c>
      <c r="D308" s="148" t="str">
        <f t="shared" si="1"/>
        <v>-</v>
      </c>
      <c r="E308" s="9"/>
      <c r="F308" s="10"/>
      <c r="G308" s="9"/>
      <c r="H308" s="11"/>
      <c r="I308" s="11"/>
      <c r="J308" s="11"/>
      <c r="K308" s="9" t="s">
        <v>13</v>
      </c>
      <c r="L308" s="283"/>
    </row>
    <row r="309">
      <c r="A309" s="146" t="s">
        <v>94</v>
      </c>
      <c r="B309" s="47"/>
      <c r="C309" s="148" t="s">
        <v>11</v>
      </c>
      <c r="D309" s="148" t="str">
        <f t="shared" si="1"/>
        <v>-</v>
      </c>
      <c r="E309" s="9"/>
      <c r="F309" s="10"/>
      <c r="G309" s="9"/>
      <c r="H309" s="11"/>
      <c r="I309" s="11"/>
      <c r="J309" s="11"/>
      <c r="K309" s="9" t="s">
        <v>13</v>
      </c>
      <c r="L309" s="283"/>
    </row>
    <row r="310">
      <c r="A310" s="146" t="s">
        <v>94</v>
      </c>
      <c r="B310" s="47"/>
      <c r="C310" s="148" t="s">
        <v>11</v>
      </c>
      <c r="D310" s="148" t="str">
        <f t="shared" si="1"/>
        <v>-</v>
      </c>
      <c r="E310" s="9"/>
      <c r="F310" s="10"/>
      <c r="G310" s="9"/>
      <c r="H310" s="11"/>
      <c r="I310" s="11"/>
      <c r="J310" s="11"/>
      <c r="K310" s="9" t="s">
        <v>13</v>
      </c>
      <c r="L310" s="283"/>
    </row>
    <row r="311">
      <c r="A311" s="146" t="s">
        <v>94</v>
      </c>
      <c r="B311" s="47"/>
      <c r="C311" s="148" t="s">
        <v>11</v>
      </c>
      <c r="D311" s="148" t="str">
        <f t="shared" si="1"/>
        <v>-</v>
      </c>
      <c r="E311" s="9"/>
      <c r="F311" s="10"/>
      <c r="G311" s="9"/>
      <c r="H311" s="11"/>
      <c r="I311" s="11"/>
      <c r="J311" s="11"/>
      <c r="K311" s="9" t="s">
        <v>13</v>
      </c>
      <c r="L311" s="283"/>
    </row>
    <row r="312">
      <c r="A312" s="146" t="s">
        <v>94</v>
      </c>
      <c r="B312" s="47"/>
      <c r="C312" s="148" t="s">
        <v>11</v>
      </c>
      <c r="D312" s="148" t="str">
        <f t="shared" si="1"/>
        <v>-</v>
      </c>
      <c r="E312" s="9"/>
      <c r="F312" s="10"/>
      <c r="G312" s="9"/>
      <c r="H312" s="11"/>
      <c r="I312" s="11"/>
      <c r="J312" s="11"/>
      <c r="K312" s="9" t="s">
        <v>13</v>
      </c>
      <c r="L312" s="283"/>
    </row>
    <row r="313">
      <c r="A313" s="146" t="s">
        <v>94</v>
      </c>
      <c r="B313" s="47"/>
      <c r="C313" s="148" t="s">
        <v>11</v>
      </c>
      <c r="D313" s="148" t="str">
        <f t="shared" si="1"/>
        <v>-</v>
      </c>
      <c r="E313" s="9"/>
      <c r="F313" s="10"/>
      <c r="G313" s="9"/>
      <c r="H313" s="11"/>
      <c r="I313" s="11"/>
      <c r="J313" s="11"/>
      <c r="K313" s="9" t="s">
        <v>13</v>
      </c>
      <c r="L313" s="283"/>
    </row>
    <row r="314">
      <c r="A314" s="146" t="s">
        <v>94</v>
      </c>
      <c r="B314" s="47"/>
      <c r="C314" s="148" t="s">
        <v>11</v>
      </c>
      <c r="D314" s="148" t="str">
        <f t="shared" si="1"/>
        <v>-</v>
      </c>
      <c r="E314" s="9"/>
      <c r="F314" s="10"/>
      <c r="G314" s="9"/>
      <c r="H314" s="11"/>
      <c r="I314" s="11"/>
      <c r="J314" s="11"/>
      <c r="K314" s="9" t="s">
        <v>13</v>
      </c>
      <c r="L314" s="283"/>
    </row>
    <row r="315">
      <c r="A315" s="146" t="s">
        <v>94</v>
      </c>
      <c r="B315" s="47"/>
      <c r="C315" s="148" t="s">
        <v>11</v>
      </c>
      <c r="D315" s="148" t="str">
        <f t="shared" si="1"/>
        <v>-</v>
      </c>
      <c r="E315" s="9"/>
      <c r="F315" s="10"/>
      <c r="G315" s="9"/>
      <c r="H315" s="11"/>
      <c r="I315" s="11"/>
      <c r="J315" s="11"/>
      <c r="K315" s="9" t="s">
        <v>13</v>
      </c>
      <c r="L315" s="283"/>
    </row>
    <row r="316">
      <c r="A316" s="146" t="s">
        <v>94</v>
      </c>
      <c r="B316" s="47"/>
      <c r="C316" s="148" t="s">
        <v>11</v>
      </c>
      <c r="D316" s="148" t="str">
        <f t="shared" si="1"/>
        <v>-</v>
      </c>
      <c r="E316" s="9"/>
      <c r="F316" s="10"/>
      <c r="G316" s="9"/>
      <c r="H316" s="11"/>
      <c r="I316" s="11"/>
      <c r="J316" s="11"/>
      <c r="K316" s="9" t="s">
        <v>13</v>
      </c>
      <c r="L316" s="283"/>
    </row>
    <row r="317">
      <c r="A317" s="146" t="s">
        <v>94</v>
      </c>
      <c r="B317" s="47"/>
      <c r="C317" s="148" t="s">
        <v>11</v>
      </c>
      <c r="D317" s="148" t="str">
        <f t="shared" si="1"/>
        <v>-</v>
      </c>
      <c r="E317" s="9"/>
      <c r="F317" s="10"/>
      <c r="G317" s="9"/>
      <c r="H317" s="11"/>
      <c r="I317" s="11"/>
      <c r="J317" s="11"/>
      <c r="K317" s="9" t="s">
        <v>13</v>
      </c>
      <c r="L317" s="283"/>
    </row>
    <row r="318">
      <c r="A318" s="146" t="s">
        <v>94</v>
      </c>
      <c r="B318" s="47"/>
      <c r="C318" s="148" t="s">
        <v>11</v>
      </c>
      <c r="D318" s="148" t="str">
        <f t="shared" si="1"/>
        <v>-</v>
      </c>
      <c r="E318" s="9"/>
      <c r="F318" s="10"/>
      <c r="G318" s="9"/>
      <c r="H318" s="11"/>
      <c r="I318" s="11"/>
      <c r="J318" s="11"/>
      <c r="K318" s="9" t="s">
        <v>13</v>
      </c>
      <c r="L318" s="283"/>
    </row>
    <row r="319">
      <c r="A319" s="146" t="s">
        <v>94</v>
      </c>
      <c r="B319" s="47"/>
      <c r="C319" s="148" t="s">
        <v>11</v>
      </c>
      <c r="D319" s="148" t="str">
        <f t="shared" si="1"/>
        <v>-</v>
      </c>
      <c r="E319" s="9"/>
      <c r="F319" s="10"/>
      <c r="G319" s="9"/>
      <c r="H319" s="11"/>
      <c r="I319" s="11"/>
      <c r="J319" s="11"/>
      <c r="K319" s="9" t="s">
        <v>13</v>
      </c>
      <c r="L319" s="283"/>
    </row>
    <row r="320">
      <c r="A320" s="146" t="s">
        <v>94</v>
      </c>
      <c r="B320" s="47"/>
      <c r="C320" s="148" t="s">
        <v>11</v>
      </c>
      <c r="D320" s="148" t="str">
        <f t="shared" si="1"/>
        <v>-</v>
      </c>
      <c r="E320" s="9"/>
      <c r="F320" s="10"/>
      <c r="G320" s="9"/>
      <c r="H320" s="11"/>
      <c r="I320" s="11"/>
      <c r="J320" s="11"/>
      <c r="K320" s="9" t="s">
        <v>13</v>
      </c>
      <c r="L320" s="283"/>
    </row>
    <row r="321">
      <c r="A321" s="146" t="s">
        <v>94</v>
      </c>
      <c r="B321" s="47"/>
      <c r="C321" s="148" t="s">
        <v>11</v>
      </c>
      <c r="D321" s="148" t="str">
        <f t="shared" si="1"/>
        <v>-</v>
      </c>
      <c r="E321" s="9"/>
      <c r="F321" s="10"/>
      <c r="G321" s="9"/>
      <c r="H321" s="11"/>
      <c r="I321" s="11"/>
      <c r="J321" s="11"/>
      <c r="K321" s="9" t="s">
        <v>13</v>
      </c>
      <c r="L321" s="283"/>
    </row>
    <row r="322">
      <c r="A322" s="146" t="s">
        <v>94</v>
      </c>
      <c r="B322" s="47"/>
      <c r="C322" s="148" t="s">
        <v>11</v>
      </c>
      <c r="D322" s="148" t="str">
        <f t="shared" si="1"/>
        <v>-</v>
      </c>
      <c r="E322" s="9"/>
      <c r="F322" s="10"/>
      <c r="G322" s="9"/>
      <c r="H322" s="11"/>
      <c r="I322" s="11"/>
      <c r="J322" s="11"/>
      <c r="K322" s="9" t="s">
        <v>13</v>
      </c>
      <c r="L322" s="283"/>
    </row>
    <row r="323">
      <c r="A323" s="146" t="s">
        <v>94</v>
      </c>
      <c r="B323" s="47"/>
      <c r="C323" s="148" t="s">
        <v>11</v>
      </c>
      <c r="D323" s="148" t="str">
        <f t="shared" si="1"/>
        <v>-</v>
      </c>
      <c r="E323" s="9"/>
      <c r="F323" s="10"/>
      <c r="G323" s="9"/>
      <c r="H323" s="11"/>
      <c r="I323" s="11"/>
      <c r="J323" s="11"/>
      <c r="K323" s="9" t="s">
        <v>13</v>
      </c>
      <c r="L323" s="283"/>
    </row>
    <row r="324">
      <c r="A324" s="146" t="s">
        <v>94</v>
      </c>
      <c r="B324" s="47"/>
      <c r="C324" s="148" t="s">
        <v>11</v>
      </c>
      <c r="D324" s="148" t="str">
        <f t="shared" si="1"/>
        <v>-</v>
      </c>
      <c r="E324" s="9"/>
      <c r="F324" s="10"/>
      <c r="G324" s="9"/>
      <c r="H324" s="11"/>
      <c r="I324" s="11"/>
      <c r="J324" s="11"/>
      <c r="K324" s="9" t="s">
        <v>13</v>
      </c>
      <c r="L324" s="283"/>
    </row>
    <row r="325">
      <c r="A325" s="146" t="s">
        <v>94</v>
      </c>
      <c r="B325" s="47"/>
      <c r="C325" s="148" t="s">
        <v>11</v>
      </c>
      <c r="D325" s="148" t="str">
        <f t="shared" si="1"/>
        <v>-</v>
      </c>
      <c r="E325" s="9"/>
      <c r="F325" s="10"/>
      <c r="G325" s="9"/>
      <c r="H325" s="11"/>
      <c r="I325" s="11"/>
      <c r="J325" s="11"/>
      <c r="K325" s="9" t="s">
        <v>13</v>
      </c>
      <c r="L325" s="283"/>
    </row>
    <row r="326">
      <c r="A326" s="146" t="s">
        <v>94</v>
      </c>
      <c r="B326" s="47"/>
      <c r="C326" s="148" t="s">
        <v>11</v>
      </c>
      <c r="D326" s="148" t="str">
        <f t="shared" si="1"/>
        <v>-</v>
      </c>
      <c r="E326" s="9"/>
      <c r="F326" s="10"/>
      <c r="G326" s="9"/>
      <c r="H326" s="11"/>
      <c r="I326" s="11"/>
      <c r="J326" s="11"/>
      <c r="K326" s="9" t="s">
        <v>13</v>
      </c>
      <c r="L326" s="283"/>
    </row>
    <row r="327">
      <c r="A327" s="146" t="s">
        <v>94</v>
      </c>
      <c r="B327" s="47"/>
      <c r="C327" s="148" t="s">
        <v>11</v>
      </c>
      <c r="D327" s="148" t="str">
        <f t="shared" si="1"/>
        <v>-</v>
      </c>
      <c r="E327" s="9"/>
      <c r="F327" s="10"/>
      <c r="G327" s="9"/>
      <c r="H327" s="11"/>
      <c r="I327" s="11"/>
      <c r="J327" s="11"/>
      <c r="K327" s="9" t="s">
        <v>13</v>
      </c>
      <c r="L327" s="283"/>
    </row>
    <row r="328">
      <c r="A328" s="146" t="s">
        <v>94</v>
      </c>
      <c r="B328" s="47"/>
      <c r="C328" s="148" t="s">
        <v>11</v>
      </c>
      <c r="D328" s="148" t="str">
        <f t="shared" si="1"/>
        <v>-</v>
      </c>
      <c r="E328" s="9"/>
      <c r="F328" s="10"/>
      <c r="G328" s="9"/>
      <c r="H328" s="11"/>
      <c r="I328" s="11"/>
      <c r="J328" s="11"/>
      <c r="K328" s="9" t="s">
        <v>13</v>
      </c>
      <c r="L328" s="283"/>
    </row>
    <row r="329">
      <c r="A329" s="146" t="s">
        <v>94</v>
      </c>
      <c r="B329" s="47"/>
      <c r="C329" s="148" t="s">
        <v>11</v>
      </c>
      <c r="D329" s="148" t="str">
        <f t="shared" si="1"/>
        <v>-</v>
      </c>
      <c r="E329" s="9"/>
      <c r="F329" s="10"/>
      <c r="G329" s="9"/>
      <c r="H329" s="11"/>
      <c r="I329" s="11"/>
      <c r="J329" s="11"/>
      <c r="K329" s="9" t="s">
        <v>13</v>
      </c>
      <c r="L329" s="283"/>
    </row>
    <row r="330">
      <c r="A330" s="146" t="s">
        <v>94</v>
      </c>
      <c r="B330" s="47"/>
      <c r="C330" s="148" t="s">
        <v>11</v>
      </c>
      <c r="D330" s="148" t="str">
        <f t="shared" si="1"/>
        <v>-</v>
      </c>
      <c r="E330" s="9"/>
      <c r="F330" s="10"/>
      <c r="G330" s="9"/>
      <c r="H330" s="11"/>
      <c r="I330" s="11"/>
      <c r="J330" s="11"/>
      <c r="K330" s="9" t="s">
        <v>13</v>
      </c>
      <c r="L330" s="283"/>
    </row>
    <row r="331">
      <c r="A331" s="146" t="s">
        <v>94</v>
      </c>
      <c r="B331" s="47"/>
      <c r="C331" s="148" t="s">
        <v>11</v>
      </c>
      <c r="D331" s="148" t="str">
        <f t="shared" si="1"/>
        <v>-</v>
      </c>
      <c r="E331" s="9"/>
      <c r="F331" s="10"/>
      <c r="G331" s="9"/>
      <c r="H331" s="11"/>
      <c r="I331" s="11"/>
      <c r="J331" s="11"/>
      <c r="K331" s="9" t="s">
        <v>13</v>
      </c>
      <c r="L331" s="283"/>
    </row>
    <row r="332">
      <c r="A332" s="146" t="s">
        <v>94</v>
      </c>
      <c r="B332" s="47"/>
      <c r="C332" s="148" t="s">
        <v>11</v>
      </c>
      <c r="D332" s="148" t="str">
        <f t="shared" si="1"/>
        <v>-</v>
      </c>
      <c r="E332" s="9"/>
      <c r="F332" s="10"/>
      <c r="G332" s="9"/>
      <c r="H332" s="11"/>
      <c r="I332" s="11"/>
      <c r="J332" s="11"/>
      <c r="K332" s="9" t="s">
        <v>13</v>
      </c>
      <c r="L332" s="283"/>
    </row>
    <row r="333">
      <c r="A333" s="146" t="s">
        <v>94</v>
      </c>
      <c r="B333" s="47"/>
      <c r="C333" s="148" t="s">
        <v>11</v>
      </c>
      <c r="D333" s="148" t="str">
        <f t="shared" si="1"/>
        <v>-</v>
      </c>
      <c r="E333" s="9"/>
      <c r="F333" s="10"/>
      <c r="G333" s="9"/>
      <c r="H333" s="11"/>
      <c r="I333" s="11"/>
      <c r="J333" s="11"/>
      <c r="K333" s="9" t="s">
        <v>13</v>
      </c>
      <c r="L333" s="283"/>
    </row>
    <row r="334">
      <c r="A334" s="146" t="s">
        <v>94</v>
      </c>
      <c r="B334" s="47"/>
      <c r="C334" s="148" t="s">
        <v>11</v>
      </c>
      <c r="D334" s="148" t="str">
        <f t="shared" si="1"/>
        <v>-</v>
      </c>
      <c r="E334" s="9"/>
      <c r="F334" s="10"/>
      <c r="G334" s="9"/>
      <c r="H334" s="11"/>
      <c r="I334" s="11"/>
      <c r="J334" s="11"/>
      <c r="K334" s="9" t="s">
        <v>13</v>
      </c>
      <c r="L334" s="283"/>
    </row>
    <row r="335">
      <c r="A335" s="146" t="s">
        <v>94</v>
      </c>
      <c r="B335" s="47"/>
      <c r="C335" s="148" t="s">
        <v>11</v>
      </c>
      <c r="D335" s="148" t="str">
        <f t="shared" si="1"/>
        <v>-</v>
      </c>
      <c r="E335" s="9"/>
      <c r="F335" s="10"/>
      <c r="G335" s="9"/>
      <c r="H335" s="11"/>
      <c r="I335" s="11"/>
      <c r="J335" s="11"/>
      <c r="K335" s="9" t="s">
        <v>13</v>
      </c>
      <c r="L335" s="283"/>
    </row>
    <row r="336">
      <c r="A336" s="146" t="s">
        <v>94</v>
      </c>
      <c r="B336" s="47"/>
      <c r="C336" s="148" t="s">
        <v>11</v>
      </c>
      <c r="D336" s="148" t="str">
        <f t="shared" si="1"/>
        <v>-</v>
      </c>
      <c r="E336" s="9"/>
      <c r="F336" s="10"/>
      <c r="G336" s="9"/>
      <c r="H336" s="11"/>
      <c r="I336" s="11"/>
      <c r="J336" s="11"/>
      <c r="K336" s="9" t="s">
        <v>13</v>
      </c>
      <c r="L336" s="283"/>
    </row>
    <row r="337">
      <c r="A337" s="146" t="s">
        <v>94</v>
      </c>
      <c r="B337" s="47"/>
      <c r="C337" s="148" t="s">
        <v>11</v>
      </c>
      <c r="D337" s="148" t="str">
        <f t="shared" si="1"/>
        <v>-</v>
      </c>
      <c r="E337" s="9"/>
      <c r="F337" s="10"/>
      <c r="G337" s="9"/>
      <c r="H337" s="11"/>
      <c r="I337" s="11"/>
      <c r="J337" s="11"/>
      <c r="K337" s="9" t="s">
        <v>13</v>
      </c>
      <c r="L337" s="283"/>
    </row>
    <row r="338">
      <c r="A338" s="146" t="s">
        <v>94</v>
      </c>
      <c r="B338" s="47"/>
      <c r="C338" s="148" t="s">
        <v>11</v>
      </c>
      <c r="D338" s="148" t="str">
        <f t="shared" si="1"/>
        <v>-</v>
      </c>
      <c r="E338" s="9"/>
      <c r="F338" s="10"/>
      <c r="G338" s="9"/>
      <c r="H338" s="11"/>
      <c r="I338" s="11"/>
      <c r="J338" s="11"/>
      <c r="K338" s="9" t="s">
        <v>13</v>
      </c>
      <c r="L338" s="283"/>
    </row>
    <row r="339">
      <c r="A339" s="146" t="s">
        <v>94</v>
      </c>
      <c r="B339" s="47"/>
      <c r="C339" s="148" t="s">
        <v>11</v>
      </c>
      <c r="D339" s="148" t="str">
        <f t="shared" si="1"/>
        <v>-</v>
      </c>
      <c r="E339" s="9"/>
      <c r="F339" s="10"/>
      <c r="G339" s="9"/>
      <c r="H339" s="11"/>
      <c r="I339" s="11"/>
      <c r="J339" s="11"/>
      <c r="K339" s="9" t="s">
        <v>13</v>
      </c>
      <c r="L339" s="283"/>
    </row>
    <row r="340">
      <c r="A340" s="146" t="s">
        <v>94</v>
      </c>
      <c r="B340" s="47"/>
      <c r="C340" s="148" t="s">
        <v>11</v>
      </c>
      <c r="D340" s="148" t="str">
        <f t="shared" si="1"/>
        <v>-</v>
      </c>
      <c r="E340" s="9"/>
      <c r="F340" s="10"/>
      <c r="G340" s="9"/>
      <c r="H340" s="11"/>
      <c r="I340" s="11"/>
      <c r="J340" s="11"/>
      <c r="K340" s="9" t="s">
        <v>13</v>
      </c>
      <c r="L340" s="283"/>
    </row>
    <row r="341">
      <c r="A341" s="146" t="s">
        <v>94</v>
      </c>
      <c r="B341" s="47"/>
      <c r="C341" s="148" t="s">
        <v>11</v>
      </c>
      <c r="D341" s="148" t="str">
        <f t="shared" si="1"/>
        <v>-</v>
      </c>
      <c r="E341" s="9"/>
      <c r="F341" s="10"/>
      <c r="G341" s="9"/>
      <c r="H341" s="11"/>
      <c r="I341" s="11"/>
      <c r="J341" s="11"/>
      <c r="K341" s="9" t="s">
        <v>13</v>
      </c>
      <c r="L341" s="283"/>
    </row>
    <row r="342">
      <c r="A342" s="146" t="s">
        <v>94</v>
      </c>
      <c r="B342" s="47"/>
      <c r="C342" s="148" t="s">
        <v>11</v>
      </c>
      <c r="D342" s="148" t="str">
        <f t="shared" si="1"/>
        <v>-</v>
      </c>
      <c r="E342" s="9"/>
      <c r="F342" s="10"/>
      <c r="G342" s="9"/>
      <c r="H342" s="11"/>
      <c r="I342" s="11"/>
      <c r="J342" s="11"/>
      <c r="K342" s="9" t="s">
        <v>13</v>
      </c>
      <c r="L342" s="283"/>
    </row>
    <row r="343">
      <c r="A343" s="146" t="s">
        <v>94</v>
      </c>
      <c r="B343" s="47"/>
      <c r="C343" s="148" t="s">
        <v>11</v>
      </c>
      <c r="D343" s="148" t="str">
        <f t="shared" si="1"/>
        <v>-</v>
      </c>
      <c r="E343" s="9"/>
      <c r="F343" s="10"/>
      <c r="G343" s="9"/>
      <c r="H343" s="11"/>
      <c r="I343" s="11"/>
      <c r="J343" s="11"/>
      <c r="K343" s="9" t="s">
        <v>13</v>
      </c>
      <c r="L343" s="283"/>
    </row>
    <row r="344">
      <c r="A344" s="146" t="s">
        <v>94</v>
      </c>
      <c r="B344" s="47"/>
      <c r="C344" s="148" t="s">
        <v>11</v>
      </c>
      <c r="D344" s="148" t="str">
        <f t="shared" si="1"/>
        <v>-</v>
      </c>
      <c r="E344" s="9"/>
      <c r="F344" s="10"/>
      <c r="G344" s="9"/>
      <c r="H344" s="11"/>
      <c r="I344" s="11"/>
      <c r="J344" s="11"/>
      <c r="K344" s="9" t="s">
        <v>13</v>
      </c>
      <c r="L344" s="283"/>
    </row>
    <row r="345">
      <c r="A345" s="146" t="s">
        <v>94</v>
      </c>
      <c r="B345" s="47"/>
      <c r="C345" s="148" t="s">
        <v>11</v>
      </c>
      <c r="D345" s="148" t="str">
        <f t="shared" si="1"/>
        <v>-</v>
      </c>
      <c r="E345" s="9"/>
      <c r="F345" s="10"/>
      <c r="G345" s="9"/>
      <c r="H345" s="11"/>
      <c r="I345" s="11"/>
      <c r="J345" s="11"/>
      <c r="K345" s="9" t="s">
        <v>13</v>
      </c>
      <c r="L345" s="283"/>
    </row>
    <row r="346">
      <c r="A346" s="146" t="s">
        <v>94</v>
      </c>
      <c r="B346" s="47"/>
      <c r="C346" s="148" t="s">
        <v>11</v>
      </c>
      <c r="D346" s="148" t="str">
        <f t="shared" si="1"/>
        <v>-</v>
      </c>
      <c r="E346" s="9"/>
      <c r="F346" s="10"/>
      <c r="G346" s="9"/>
      <c r="H346" s="11"/>
      <c r="I346" s="11"/>
      <c r="J346" s="11"/>
      <c r="K346" s="9" t="s">
        <v>13</v>
      </c>
      <c r="L346" s="283"/>
    </row>
    <row r="347">
      <c r="A347" s="146" t="s">
        <v>94</v>
      </c>
      <c r="B347" s="47"/>
      <c r="C347" s="148" t="s">
        <v>11</v>
      </c>
      <c r="D347" s="148" t="str">
        <f t="shared" si="1"/>
        <v>-</v>
      </c>
      <c r="E347" s="9"/>
      <c r="F347" s="10"/>
      <c r="G347" s="9"/>
      <c r="H347" s="11"/>
      <c r="I347" s="11"/>
      <c r="J347" s="11"/>
      <c r="K347" s="9" t="s">
        <v>13</v>
      </c>
      <c r="L347" s="283"/>
    </row>
    <row r="348">
      <c r="A348" s="146" t="s">
        <v>94</v>
      </c>
      <c r="B348" s="47"/>
      <c r="C348" s="148" t="s">
        <v>11</v>
      </c>
      <c r="D348" s="148" t="str">
        <f t="shared" si="1"/>
        <v>-</v>
      </c>
      <c r="E348" s="9"/>
      <c r="F348" s="10"/>
      <c r="G348" s="9"/>
      <c r="H348" s="11"/>
      <c r="I348" s="11"/>
      <c r="J348" s="11"/>
      <c r="K348" s="9" t="s">
        <v>13</v>
      </c>
      <c r="L348" s="283"/>
    </row>
    <row r="349">
      <c r="A349" s="146" t="s">
        <v>94</v>
      </c>
      <c r="B349" s="47"/>
      <c r="C349" s="148" t="s">
        <v>11</v>
      </c>
      <c r="D349" s="148" t="str">
        <f t="shared" si="1"/>
        <v>-</v>
      </c>
      <c r="E349" s="9"/>
      <c r="F349" s="10"/>
      <c r="G349" s="9"/>
      <c r="H349" s="11"/>
      <c r="I349" s="11"/>
      <c r="J349" s="11"/>
      <c r="K349" s="9" t="s">
        <v>13</v>
      </c>
      <c r="L349" s="283"/>
    </row>
    <row r="350">
      <c r="A350" s="146" t="s">
        <v>94</v>
      </c>
      <c r="B350" s="47"/>
      <c r="C350" s="148" t="s">
        <v>11</v>
      </c>
      <c r="D350" s="148" t="str">
        <f t="shared" si="1"/>
        <v>-</v>
      </c>
      <c r="E350" s="9"/>
      <c r="F350" s="10"/>
      <c r="G350" s="9"/>
      <c r="H350" s="11"/>
      <c r="I350" s="11"/>
      <c r="J350" s="11"/>
      <c r="K350" s="9" t="s">
        <v>13</v>
      </c>
      <c r="L350" s="283"/>
    </row>
    <row r="351">
      <c r="A351" s="146" t="s">
        <v>94</v>
      </c>
      <c r="B351" s="47"/>
      <c r="C351" s="148" t="s">
        <v>11</v>
      </c>
      <c r="D351" s="148" t="str">
        <f t="shared" si="1"/>
        <v>-</v>
      </c>
      <c r="E351" s="9"/>
      <c r="F351" s="10"/>
      <c r="G351" s="9"/>
      <c r="H351" s="11"/>
      <c r="I351" s="11"/>
      <c r="J351" s="11"/>
      <c r="K351" s="9" t="s">
        <v>13</v>
      </c>
      <c r="L351" s="283"/>
    </row>
    <row r="352">
      <c r="A352" s="146" t="s">
        <v>94</v>
      </c>
      <c r="B352" s="47"/>
      <c r="C352" s="148" t="s">
        <v>11</v>
      </c>
      <c r="D352" s="148" t="str">
        <f t="shared" si="1"/>
        <v>-</v>
      </c>
      <c r="E352" s="9"/>
      <c r="F352" s="10"/>
      <c r="G352" s="9"/>
      <c r="H352" s="11"/>
      <c r="I352" s="11"/>
      <c r="J352" s="11"/>
      <c r="K352" s="9" t="s">
        <v>13</v>
      </c>
      <c r="L352" s="283"/>
    </row>
    <row r="353">
      <c r="A353" s="146" t="s">
        <v>94</v>
      </c>
      <c r="B353" s="47"/>
      <c r="C353" s="148" t="s">
        <v>11</v>
      </c>
      <c r="D353" s="148" t="str">
        <f t="shared" si="1"/>
        <v>-</v>
      </c>
      <c r="E353" s="9"/>
      <c r="F353" s="10"/>
      <c r="G353" s="9"/>
      <c r="H353" s="11"/>
      <c r="I353" s="11"/>
      <c r="J353" s="11"/>
      <c r="K353" s="9" t="s">
        <v>13</v>
      </c>
      <c r="L353" s="283"/>
    </row>
    <row r="354">
      <c r="A354" s="146" t="s">
        <v>94</v>
      </c>
      <c r="B354" s="47"/>
      <c r="C354" s="148" t="s">
        <v>11</v>
      </c>
      <c r="D354" s="148" t="str">
        <f t="shared" si="1"/>
        <v>-</v>
      </c>
      <c r="E354" s="9"/>
      <c r="F354" s="10"/>
      <c r="G354" s="9"/>
      <c r="H354" s="11"/>
      <c r="I354" s="11"/>
      <c r="J354" s="11"/>
      <c r="K354" s="9" t="s">
        <v>13</v>
      </c>
      <c r="L354" s="283"/>
    </row>
    <row r="355">
      <c r="A355" s="146" t="s">
        <v>94</v>
      </c>
      <c r="B355" s="47"/>
      <c r="C355" s="148" t="s">
        <v>11</v>
      </c>
      <c r="D355" s="148" t="str">
        <f t="shared" si="1"/>
        <v>-</v>
      </c>
      <c r="E355" s="9"/>
      <c r="F355" s="10"/>
      <c r="G355" s="9"/>
      <c r="H355" s="11"/>
      <c r="I355" s="11"/>
      <c r="J355" s="11"/>
      <c r="K355" s="9" t="s">
        <v>13</v>
      </c>
      <c r="L355" s="283"/>
    </row>
    <row r="356">
      <c r="A356" s="146" t="s">
        <v>94</v>
      </c>
      <c r="B356" s="47"/>
      <c r="C356" s="148" t="s">
        <v>11</v>
      </c>
      <c r="D356" s="148" t="str">
        <f t="shared" si="1"/>
        <v>-</v>
      </c>
      <c r="E356" s="9"/>
      <c r="F356" s="10"/>
      <c r="G356" s="9"/>
      <c r="H356" s="11"/>
      <c r="I356" s="11"/>
      <c r="J356" s="11"/>
      <c r="K356" s="9" t="s">
        <v>13</v>
      </c>
      <c r="L356" s="283"/>
    </row>
    <row r="357">
      <c r="A357" s="146" t="s">
        <v>94</v>
      </c>
      <c r="B357" s="47"/>
      <c r="C357" s="148" t="s">
        <v>11</v>
      </c>
      <c r="D357" s="148" t="str">
        <f t="shared" si="1"/>
        <v>-</v>
      </c>
      <c r="E357" s="9"/>
      <c r="F357" s="10"/>
      <c r="G357" s="9"/>
      <c r="H357" s="11"/>
      <c r="I357" s="11"/>
      <c r="J357" s="11"/>
      <c r="K357" s="9" t="s">
        <v>13</v>
      </c>
      <c r="L357" s="283"/>
    </row>
    <row r="358">
      <c r="A358" s="146" t="s">
        <v>94</v>
      </c>
      <c r="B358" s="47"/>
      <c r="C358" s="148" t="s">
        <v>11</v>
      </c>
      <c r="D358" s="148" t="str">
        <f t="shared" si="1"/>
        <v>-</v>
      </c>
      <c r="E358" s="9"/>
      <c r="F358" s="10"/>
      <c r="G358" s="9"/>
      <c r="H358" s="11"/>
      <c r="I358" s="11"/>
      <c r="J358" s="11"/>
      <c r="K358" s="9" t="s">
        <v>13</v>
      </c>
      <c r="L358" s="283"/>
    </row>
    <row r="359">
      <c r="A359" s="146" t="s">
        <v>94</v>
      </c>
      <c r="B359" s="47"/>
      <c r="C359" s="148" t="s">
        <v>11</v>
      </c>
      <c r="D359" s="148" t="str">
        <f t="shared" si="1"/>
        <v>-</v>
      </c>
      <c r="E359" s="9"/>
      <c r="F359" s="10"/>
      <c r="G359" s="9"/>
      <c r="H359" s="11"/>
      <c r="I359" s="11"/>
      <c r="J359" s="11"/>
      <c r="K359" s="9" t="s">
        <v>13</v>
      </c>
      <c r="L359" s="283"/>
    </row>
    <row r="360">
      <c r="A360" s="146" t="s">
        <v>94</v>
      </c>
      <c r="B360" s="47"/>
      <c r="C360" s="148" t="s">
        <v>11</v>
      </c>
      <c r="D360" s="148" t="str">
        <f t="shared" si="1"/>
        <v>-</v>
      </c>
      <c r="E360" s="9"/>
      <c r="F360" s="10"/>
      <c r="G360" s="9"/>
      <c r="H360" s="11"/>
      <c r="I360" s="11"/>
      <c r="J360" s="11"/>
      <c r="K360" s="9" t="s">
        <v>13</v>
      </c>
      <c r="L360" s="283"/>
    </row>
    <row r="361">
      <c r="A361" s="146" t="s">
        <v>94</v>
      </c>
      <c r="B361" s="47"/>
      <c r="C361" s="148" t="s">
        <v>11</v>
      </c>
      <c r="D361" s="148" t="str">
        <f t="shared" si="1"/>
        <v>-</v>
      </c>
      <c r="E361" s="9"/>
      <c r="F361" s="10"/>
      <c r="G361" s="9"/>
      <c r="H361" s="11"/>
      <c r="I361" s="11"/>
      <c r="J361" s="11"/>
      <c r="K361" s="9" t="s">
        <v>13</v>
      </c>
      <c r="L361" s="283"/>
    </row>
    <row r="362">
      <c r="A362" s="146" t="s">
        <v>94</v>
      </c>
      <c r="B362" s="47"/>
      <c r="C362" s="148" t="s">
        <v>11</v>
      </c>
      <c r="D362" s="148" t="str">
        <f t="shared" si="1"/>
        <v>-</v>
      </c>
      <c r="E362" s="9"/>
      <c r="F362" s="10"/>
      <c r="G362" s="9"/>
      <c r="H362" s="11"/>
      <c r="I362" s="11"/>
      <c r="J362" s="11"/>
      <c r="K362" s="9" t="s">
        <v>13</v>
      </c>
      <c r="L362" s="283"/>
    </row>
    <row r="363">
      <c r="A363" s="146" t="s">
        <v>94</v>
      </c>
      <c r="B363" s="47"/>
      <c r="C363" s="148" t="s">
        <v>11</v>
      </c>
      <c r="D363" s="148" t="str">
        <f t="shared" si="1"/>
        <v>-</v>
      </c>
      <c r="E363" s="9"/>
      <c r="F363" s="10"/>
      <c r="G363" s="9"/>
      <c r="H363" s="11"/>
      <c r="I363" s="11"/>
      <c r="J363" s="11"/>
      <c r="K363" s="9" t="s">
        <v>13</v>
      </c>
      <c r="L363" s="283"/>
    </row>
    <row r="364">
      <c r="A364" s="146" t="s">
        <v>94</v>
      </c>
      <c r="B364" s="47"/>
      <c r="C364" s="148" t="s">
        <v>11</v>
      </c>
      <c r="D364" s="148" t="str">
        <f t="shared" si="1"/>
        <v>-</v>
      </c>
      <c r="E364" s="9"/>
      <c r="F364" s="10"/>
      <c r="G364" s="9"/>
      <c r="H364" s="11"/>
      <c r="I364" s="11"/>
      <c r="J364" s="11"/>
      <c r="K364" s="9" t="s">
        <v>13</v>
      </c>
      <c r="L364" s="283"/>
    </row>
    <row r="365">
      <c r="A365" s="146" t="s">
        <v>94</v>
      </c>
      <c r="B365" s="47"/>
      <c r="C365" s="148" t="s">
        <v>11</v>
      </c>
      <c r="D365" s="148" t="str">
        <f t="shared" si="1"/>
        <v>-</v>
      </c>
      <c r="E365" s="9"/>
      <c r="F365" s="10"/>
      <c r="G365" s="9"/>
      <c r="H365" s="11"/>
      <c r="I365" s="11"/>
      <c r="J365" s="11"/>
      <c r="K365" s="9" t="s">
        <v>13</v>
      </c>
      <c r="L365" s="283"/>
    </row>
    <row r="366">
      <c r="A366" s="146" t="s">
        <v>94</v>
      </c>
      <c r="B366" s="47"/>
      <c r="C366" s="148" t="s">
        <v>11</v>
      </c>
      <c r="D366" s="148" t="str">
        <f t="shared" si="1"/>
        <v>-</v>
      </c>
      <c r="E366" s="9"/>
      <c r="F366" s="10"/>
      <c r="G366" s="9"/>
      <c r="H366" s="11"/>
      <c r="I366" s="11"/>
      <c r="J366" s="11"/>
      <c r="K366" s="9" t="s">
        <v>13</v>
      </c>
      <c r="L366" s="283"/>
    </row>
    <row r="367">
      <c r="A367" s="146" t="s">
        <v>94</v>
      </c>
      <c r="B367" s="47"/>
      <c r="C367" s="148" t="s">
        <v>11</v>
      </c>
      <c r="D367" s="148" t="str">
        <f t="shared" si="1"/>
        <v>-</v>
      </c>
      <c r="E367" s="9"/>
      <c r="F367" s="10"/>
      <c r="G367" s="9"/>
      <c r="H367" s="11"/>
      <c r="I367" s="11"/>
      <c r="J367" s="11"/>
      <c r="K367" s="9" t="s">
        <v>13</v>
      </c>
      <c r="L367" s="283"/>
    </row>
    <row r="368">
      <c r="A368" s="146" t="s">
        <v>94</v>
      </c>
      <c r="B368" s="47"/>
      <c r="C368" s="148" t="s">
        <v>11</v>
      </c>
      <c r="D368" s="148" t="str">
        <f t="shared" si="1"/>
        <v>-</v>
      </c>
      <c r="E368" s="9"/>
      <c r="F368" s="10"/>
      <c r="G368" s="9"/>
      <c r="H368" s="11"/>
      <c r="I368" s="11"/>
      <c r="J368" s="11"/>
      <c r="K368" s="9" t="s">
        <v>13</v>
      </c>
      <c r="L368" s="283"/>
    </row>
    <row r="369">
      <c r="A369" s="146" t="s">
        <v>94</v>
      </c>
      <c r="B369" s="47"/>
      <c r="C369" s="148" t="s">
        <v>11</v>
      </c>
      <c r="D369" s="148" t="str">
        <f t="shared" si="1"/>
        <v>-</v>
      </c>
      <c r="E369" s="9"/>
      <c r="F369" s="10"/>
      <c r="G369" s="9"/>
      <c r="H369" s="11"/>
      <c r="I369" s="11"/>
      <c r="J369" s="11"/>
      <c r="K369" s="9" t="s">
        <v>13</v>
      </c>
      <c r="L369" s="283"/>
    </row>
    <row r="370">
      <c r="A370" s="146" t="s">
        <v>94</v>
      </c>
      <c r="B370" s="47"/>
      <c r="C370" s="148" t="s">
        <v>11</v>
      </c>
      <c r="D370" s="148" t="str">
        <f t="shared" si="1"/>
        <v>-</v>
      </c>
      <c r="E370" s="9"/>
      <c r="F370" s="10"/>
      <c r="G370" s="9"/>
      <c r="H370" s="11"/>
      <c r="I370" s="11"/>
      <c r="J370" s="11"/>
      <c r="K370" s="9" t="s">
        <v>13</v>
      </c>
      <c r="L370" s="283"/>
    </row>
    <row r="371">
      <c r="A371" s="146" t="s">
        <v>94</v>
      </c>
      <c r="B371" s="47"/>
      <c r="C371" s="148" t="s">
        <v>11</v>
      </c>
      <c r="D371" s="148" t="str">
        <f t="shared" si="1"/>
        <v>-</v>
      </c>
      <c r="E371" s="9"/>
      <c r="F371" s="10"/>
      <c r="G371" s="9"/>
      <c r="H371" s="11"/>
      <c r="I371" s="11"/>
      <c r="J371" s="11"/>
      <c r="K371" s="9" t="s">
        <v>13</v>
      </c>
      <c r="L371" s="283"/>
    </row>
    <row r="372">
      <c r="A372" s="146" t="s">
        <v>94</v>
      </c>
      <c r="B372" s="47"/>
      <c r="C372" s="148" t="s">
        <v>11</v>
      </c>
      <c r="D372" s="148" t="str">
        <f t="shared" si="1"/>
        <v>-</v>
      </c>
      <c r="E372" s="9"/>
      <c r="F372" s="10"/>
      <c r="G372" s="9"/>
      <c r="H372" s="11"/>
      <c r="I372" s="11"/>
      <c r="J372" s="11"/>
      <c r="K372" s="9" t="s">
        <v>13</v>
      </c>
      <c r="L372" s="283"/>
    </row>
    <row r="373">
      <c r="A373" s="146" t="s">
        <v>94</v>
      </c>
      <c r="B373" s="47"/>
      <c r="C373" s="148" t="s">
        <v>11</v>
      </c>
      <c r="D373" s="148" t="str">
        <f t="shared" si="1"/>
        <v>-</v>
      </c>
      <c r="E373" s="9"/>
      <c r="F373" s="10"/>
      <c r="G373" s="9"/>
      <c r="H373" s="11"/>
      <c r="I373" s="11"/>
      <c r="J373" s="11"/>
      <c r="K373" s="9" t="s">
        <v>13</v>
      </c>
      <c r="L373" s="283"/>
    </row>
    <row r="374">
      <c r="A374" s="146" t="s">
        <v>94</v>
      </c>
      <c r="B374" s="47"/>
      <c r="C374" s="148" t="s">
        <v>11</v>
      </c>
      <c r="D374" s="148" t="str">
        <f t="shared" si="1"/>
        <v>-</v>
      </c>
      <c r="E374" s="9"/>
      <c r="F374" s="10"/>
      <c r="G374" s="9"/>
      <c r="H374" s="11"/>
      <c r="I374" s="11"/>
      <c r="J374" s="11"/>
      <c r="K374" s="9" t="s">
        <v>13</v>
      </c>
      <c r="L374" s="283"/>
    </row>
    <row r="375">
      <c r="A375" s="146" t="s">
        <v>94</v>
      </c>
      <c r="B375" s="47"/>
      <c r="C375" s="148" t="s">
        <v>11</v>
      </c>
      <c r="D375" s="148" t="str">
        <f t="shared" si="1"/>
        <v>-</v>
      </c>
      <c r="E375" s="9"/>
      <c r="F375" s="10"/>
      <c r="G375" s="9"/>
      <c r="H375" s="11"/>
      <c r="I375" s="11"/>
      <c r="J375" s="11"/>
      <c r="K375" s="9" t="s">
        <v>13</v>
      </c>
      <c r="L375" s="283"/>
    </row>
    <row r="376">
      <c r="A376" s="146" t="s">
        <v>94</v>
      </c>
      <c r="B376" s="47"/>
      <c r="C376" s="148" t="s">
        <v>11</v>
      </c>
      <c r="D376" s="148" t="str">
        <f t="shared" si="1"/>
        <v>-</v>
      </c>
      <c r="E376" s="9"/>
      <c r="F376" s="10"/>
      <c r="G376" s="9"/>
      <c r="H376" s="11"/>
      <c r="I376" s="11"/>
      <c r="J376" s="11"/>
      <c r="K376" s="9" t="s">
        <v>13</v>
      </c>
      <c r="L376" s="283"/>
    </row>
    <row r="377">
      <c r="A377" s="146" t="s">
        <v>94</v>
      </c>
      <c r="B377" s="47"/>
      <c r="C377" s="148" t="s">
        <v>11</v>
      </c>
      <c r="D377" s="148" t="str">
        <f t="shared" si="1"/>
        <v>-</v>
      </c>
      <c r="E377" s="9"/>
      <c r="F377" s="10"/>
      <c r="G377" s="9"/>
      <c r="H377" s="11"/>
      <c r="I377" s="11"/>
      <c r="J377" s="11"/>
      <c r="K377" s="9" t="s">
        <v>13</v>
      </c>
      <c r="L377" s="283"/>
    </row>
    <row r="378">
      <c r="A378" s="146" t="s">
        <v>94</v>
      </c>
      <c r="B378" s="47"/>
      <c r="C378" s="148" t="s">
        <v>11</v>
      </c>
      <c r="D378" s="148" t="str">
        <f t="shared" si="1"/>
        <v>-</v>
      </c>
      <c r="E378" s="9"/>
      <c r="F378" s="10"/>
      <c r="G378" s="9"/>
      <c r="H378" s="11"/>
      <c r="I378" s="11"/>
      <c r="J378" s="11"/>
      <c r="K378" s="9" t="s">
        <v>13</v>
      </c>
      <c r="L378" s="283"/>
    </row>
    <row r="379">
      <c r="A379" s="146" t="s">
        <v>94</v>
      </c>
      <c r="B379" s="47"/>
      <c r="C379" s="148" t="s">
        <v>11</v>
      </c>
      <c r="D379" s="148" t="str">
        <f t="shared" si="1"/>
        <v>-</v>
      </c>
      <c r="E379" s="9"/>
      <c r="F379" s="10"/>
      <c r="G379" s="9"/>
      <c r="H379" s="11"/>
      <c r="I379" s="11"/>
      <c r="J379" s="11"/>
      <c r="K379" s="9" t="s">
        <v>13</v>
      </c>
      <c r="L379" s="283"/>
    </row>
    <row r="380">
      <c r="A380" s="146" t="s">
        <v>94</v>
      </c>
      <c r="B380" s="47"/>
      <c r="C380" s="148" t="s">
        <v>11</v>
      </c>
      <c r="D380" s="148" t="str">
        <f t="shared" si="1"/>
        <v>-</v>
      </c>
      <c r="E380" s="9"/>
      <c r="F380" s="10"/>
      <c r="G380" s="9"/>
      <c r="H380" s="11"/>
      <c r="I380" s="11"/>
      <c r="J380" s="11"/>
      <c r="K380" s="9" t="s">
        <v>13</v>
      </c>
      <c r="L380" s="283"/>
    </row>
    <row r="381">
      <c r="A381" s="146" t="s">
        <v>94</v>
      </c>
      <c r="B381" s="47"/>
      <c r="C381" s="148" t="s">
        <v>11</v>
      </c>
      <c r="D381" s="148" t="str">
        <f t="shared" si="1"/>
        <v>-</v>
      </c>
      <c r="E381" s="9"/>
      <c r="F381" s="10"/>
      <c r="G381" s="9"/>
      <c r="H381" s="11"/>
      <c r="I381" s="11"/>
      <c r="J381" s="11"/>
      <c r="K381" s="9" t="s">
        <v>13</v>
      </c>
      <c r="L381" s="283"/>
    </row>
    <row r="382">
      <c r="A382" s="146" t="s">
        <v>94</v>
      </c>
      <c r="B382" s="47"/>
      <c r="C382" s="148" t="s">
        <v>11</v>
      </c>
      <c r="D382" s="148" t="str">
        <f t="shared" si="1"/>
        <v>-</v>
      </c>
      <c r="E382" s="9"/>
      <c r="F382" s="10"/>
      <c r="G382" s="9"/>
      <c r="H382" s="11"/>
      <c r="I382" s="11"/>
      <c r="J382" s="11"/>
      <c r="K382" s="9" t="s">
        <v>13</v>
      </c>
      <c r="L382" s="283"/>
    </row>
    <row r="383">
      <c r="A383" s="146" t="s">
        <v>94</v>
      </c>
      <c r="B383" s="47"/>
      <c r="C383" s="148" t="s">
        <v>11</v>
      </c>
      <c r="D383" s="148" t="str">
        <f t="shared" si="1"/>
        <v>-</v>
      </c>
      <c r="E383" s="9"/>
      <c r="F383" s="10"/>
      <c r="G383" s="9"/>
      <c r="H383" s="11"/>
      <c r="I383" s="11"/>
      <c r="J383" s="11"/>
      <c r="K383" s="9" t="s">
        <v>13</v>
      </c>
      <c r="L383" s="283"/>
    </row>
    <row r="384">
      <c r="A384" s="146" t="s">
        <v>94</v>
      </c>
      <c r="B384" s="47"/>
      <c r="C384" s="148" t="s">
        <v>11</v>
      </c>
      <c r="D384" s="148" t="str">
        <f t="shared" si="1"/>
        <v>-</v>
      </c>
      <c r="E384" s="9"/>
      <c r="F384" s="10"/>
      <c r="G384" s="9"/>
      <c r="H384" s="11"/>
      <c r="I384" s="11"/>
      <c r="J384" s="11"/>
      <c r="K384" s="9" t="s">
        <v>13</v>
      </c>
      <c r="L384" s="283"/>
    </row>
    <row r="385">
      <c r="A385" s="146" t="s">
        <v>94</v>
      </c>
      <c r="B385" s="47"/>
      <c r="C385" s="148" t="s">
        <v>11</v>
      </c>
      <c r="D385" s="148" t="str">
        <f t="shared" si="1"/>
        <v>-</v>
      </c>
      <c r="E385" s="9"/>
      <c r="F385" s="10"/>
      <c r="G385" s="9"/>
      <c r="H385" s="11"/>
      <c r="I385" s="11"/>
      <c r="J385" s="11"/>
      <c r="K385" s="9" t="s">
        <v>13</v>
      </c>
      <c r="L385" s="283"/>
    </row>
    <row r="386">
      <c r="A386" s="146" t="s">
        <v>94</v>
      </c>
      <c r="B386" s="47"/>
      <c r="C386" s="148" t="s">
        <v>11</v>
      </c>
      <c r="D386" s="148" t="str">
        <f t="shared" si="1"/>
        <v>-</v>
      </c>
      <c r="E386" s="9"/>
      <c r="F386" s="10"/>
      <c r="G386" s="9"/>
      <c r="H386" s="11"/>
      <c r="I386" s="11"/>
      <c r="J386" s="11"/>
      <c r="K386" s="9" t="s">
        <v>13</v>
      </c>
      <c r="L386" s="283"/>
    </row>
    <row r="387">
      <c r="A387" s="146" t="s">
        <v>94</v>
      </c>
      <c r="B387" s="47"/>
      <c r="C387" s="148" t="s">
        <v>11</v>
      </c>
      <c r="D387" s="148" t="str">
        <f t="shared" si="1"/>
        <v>-</v>
      </c>
      <c r="E387" s="9"/>
      <c r="F387" s="10"/>
      <c r="G387" s="9"/>
      <c r="H387" s="11"/>
      <c r="I387" s="11"/>
      <c r="J387" s="11"/>
      <c r="K387" s="9" t="s">
        <v>13</v>
      </c>
      <c r="L387" s="283"/>
    </row>
    <row r="388">
      <c r="A388" s="146" t="s">
        <v>94</v>
      </c>
      <c r="B388" s="47"/>
      <c r="C388" s="148" t="s">
        <v>11</v>
      </c>
      <c r="D388" s="148" t="str">
        <f t="shared" si="1"/>
        <v>-</v>
      </c>
      <c r="E388" s="9"/>
      <c r="F388" s="10"/>
      <c r="G388" s="9"/>
      <c r="H388" s="11"/>
      <c r="I388" s="11"/>
      <c r="J388" s="11"/>
      <c r="K388" s="9" t="s">
        <v>13</v>
      </c>
      <c r="L388" s="283"/>
    </row>
    <row r="389">
      <c r="A389" s="146" t="s">
        <v>94</v>
      </c>
      <c r="B389" s="47"/>
      <c r="C389" s="148" t="s">
        <v>11</v>
      </c>
      <c r="D389" s="148" t="str">
        <f t="shared" si="1"/>
        <v>-</v>
      </c>
      <c r="E389" s="9"/>
      <c r="F389" s="10"/>
      <c r="G389" s="9"/>
      <c r="H389" s="11"/>
      <c r="I389" s="11"/>
      <c r="J389" s="11"/>
      <c r="K389" s="9" t="s">
        <v>13</v>
      </c>
      <c r="L389" s="283"/>
    </row>
    <row r="390">
      <c r="A390" s="146" t="s">
        <v>94</v>
      </c>
      <c r="B390" s="47"/>
      <c r="C390" s="148" t="s">
        <v>11</v>
      </c>
      <c r="D390" s="148" t="str">
        <f t="shared" si="1"/>
        <v>-</v>
      </c>
      <c r="E390" s="9"/>
      <c r="F390" s="10"/>
      <c r="G390" s="9"/>
      <c r="H390" s="11"/>
      <c r="I390" s="11"/>
      <c r="J390" s="11"/>
      <c r="K390" s="9" t="s">
        <v>13</v>
      </c>
      <c r="L390" s="283"/>
    </row>
    <row r="391">
      <c r="A391" s="146" t="s">
        <v>94</v>
      </c>
      <c r="B391" s="47"/>
      <c r="C391" s="148" t="s">
        <v>11</v>
      </c>
      <c r="D391" s="148" t="str">
        <f t="shared" si="1"/>
        <v>-</v>
      </c>
      <c r="E391" s="9"/>
      <c r="F391" s="10"/>
      <c r="G391" s="9"/>
      <c r="H391" s="11"/>
      <c r="I391" s="11"/>
      <c r="J391" s="11"/>
      <c r="K391" s="9" t="s">
        <v>13</v>
      </c>
      <c r="L391" s="283"/>
    </row>
    <row r="392">
      <c r="A392" s="146" t="s">
        <v>94</v>
      </c>
      <c r="B392" s="47"/>
      <c r="C392" s="148" t="s">
        <v>11</v>
      </c>
      <c r="D392" s="148" t="str">
        <f t="shared" si="1"/>
        <v>-</v>
      </c>
      <c r="E392" s="9"/>
      <c r="F392" s="10"/>
      <c r="G392" s="9"/>
      <c r="H392" s="11"/>
      <c r="I392" s="11"/>
      <c r="J392" s="11"/>
      <c r="K392" s="9" t="s">
        <v>13</v>
      </c>
      <c r="L392" s="283"/>
    </row>
    <row r="393">
      <c r="A393" s="146" t="s">
        <v>94</v>
      </c>
      <c r="B393" s="47"/>
      <c r="C393" s="148" t="s">
        <v>11</v>
      </c>
      <c r="D393" s="148" t="str">
        <f t="shared" si="1"/>
        <v>-</v>
      </c>
      <c r="E393" s="9"/>
      <c r="F393" s="10"/>
      <c r="G393" s="9"/>
      <c r="H393" s="11"/>
      <c r="I393" s="11"/>
      <c r="J393" s="11"/>
      <c r="K393" s="9" t="s">
        <v>13</v>
      </c>
      <c r="L393" s="283"/>
    </row>
    <row r="394">
      <c r="A394" s="146" t="s">
        <v>94</v>
      </c>
      <c r="B394" s="47"/>
      <c r="C394" s="148" t="s">
        <v>11</v>
      </c>
      <c r="D394" s="148" t="str">
        <f t="shared" si="1"/>
        <v>-</v>
      </c>
      <c r="E394" s="9"/>
      <c r="F394" s="10"/>
      <c r="G394" s="9"/>
      <c r="H394" s="11"/>
      <c r="I394" s="11"/>
      <c r="J394" s="11"/>
      <c r="K394" s="9" t="s">
        <v>13</v>
      </c>
      <c r="L394" s="283"/>
    </row>
    <row r="395">
      <c r="A395" s="146" t="s">
        <v>94</v>
      </c>
      <c r="B395" s="47"/>
      <c r="C395" s="148" t="s">
        <v>11</v>
      </c>
      <c r="D395" s="148" t="str">
        <f t="shared" si="1"/>
        <v>-</v>
      </c>
      <c r="E395" s="9"/>
      <c r="F395" s="10"/>
      <c r="G395" s="9"/>
      <c r="H395" s="11"/>
      <c r="I395" s="11"/>
      <c r="J395" s="11"/>
      <c r="K395" s="9" t="s">
        <v>13</v>
      </c>
      <c r="L395" s="283"/>
    </row>
    <row r="396">
      <c r="A396" s="146" t="s">
        <v>94</v>
      </c>
      <c r="B396" s="47"/>
      <c r="C396" s="148" t="s">
        <v>11</v>
      </c>
      <c r="D396" s="148" t="str">
        <f t="shared" si="1"/>
        <v>-</v>
      </c>
      <c r="E396" s="9"/>
      <c r="F396" s="10"/>
      <c r="G396" s="9"/>
      <c r="H396" s="11"/>
      <c r="I396" s="11"/>
      <c r="J396" s="11"/>
      <c r="K396" s="9" t="s">
        <v>13</v>
      </c>
      <c r="L396" s="283"/>
    </row>
    <row r="397">
      <c r="A397" s="146" t="s">
        <v>94</v>
      </c>
      <c r="B397" s="47"/>
      <c r="C397" s="148" t="s">
        <v>11</v>
      </c>
      <c r="D397" s="148" t="str">
        <f t="shared" si="1"/>
        <v>-</v>
      </c>
      <c r="E397" s="9"/>
      <c r="F397" s="10"/>
      <c r="G397" s="9"/>
      <c r="H397" s="11"/>
      <c r="I397" s="11"/>
      <c r="J397" s="11"/>
      <c r="K397" s="9" t="s">
        <v>13</v>
      </c>
      <c r="L397" s="283"/>
    </row>
    <row r="398">
      <c r="A398" s="146" t="s">
        <v>94</v>
      </c>
      <c r="B398" s="47"/>
      <c r="C398" s="148" t="s">
        <v>11</v>
      </c>
      <c r="D398" s="148" t="str">
        <f t="shared" si="1"/>
        <v>-</v>
      </c>
      <c r="E398" s="9"/>
      <c r="F398" s="10"/>
      <c r="G398" s="9"/>
      <c r="H398" s="11"/>
      <c r="I398" s="11"/>
      <c r="J398" s="11"/>
      <c r="K398" s="9" t="s">
        <v>13</v>
      </c>
      <c r="L398" s="283"/>
    </row>
    <row r="399">
      <c r="A399" s="146" t="s">
        <v>94</v>
      </c>
      <c r="B399" s="47"/>
      <c r="C399" s="148" t="s">
        <v>11</v>
      </c>
      <c r="D399" s="148" t="str">
        <f t="shared" si="1"/>
        <v>-</v>
      </c>
      <c r="E399" s="9"/>
      <c r="F399" s="10"/>
      <c r="G399" s="9"/>
      <c r="H399" s="11"/>
      <c r="I399" s="11"/>
      <c r="J399" s="11"/>
      <c r="K399" s="9" t="s">
        <v>13</v>
      </c>
      <c r="L399" s="283"/>
    </row>
    <row r="400">
      <c r="A400" s="146" t="s">
        <v>94</v>
      </c>
      <c r="B400" s="47"/>
      <c r="C400" s="148" t="s">
        <v>11</v>
      </c>
      <c r="D400" s="148" t="str">
        <f t="shared" si="1"/>
        <v>-</v>
      </c>
      <c r="E400" s="9"/>
      <c r="F400" s="10"/>
      <c r="G400" s="9"/>
      <c r="H400" s="11"/>
      <c r="I400" s="11"/>
      <c r="J400" s="11"/>
      <c r="K400" s="9" t="s">
        <v>13</v>
      </c>
      <c r="L400" s="283"/>
    </row>
    <row r="401">
      <c r="A401" s="146" t="s">
        <v>94</v>
      </c>
      <c r="B401" s="47"/>
      <c r="C401" s="148" t="s">
        <v>11</v>
      </c>
      <c r="D401" s="148" t="str">
        <f t="shared" si="1"/>
        <v>-</v>
      </c>
      <c r="E401" s="9"/>
      <c r="F401" s="10"/>
      <c r="G401" s="9"/>
      <c r="H401" s="11"/>
      <c r="I401" s="11"/>
      <c r="J401" s="11"/>
      <c r="K401" s="9" t="s">
        <v>13</v>
      </c>
      <c r="L401" s="283"/>
    </row>
    <row r="402">
      <c r="A402" s="146" t="s">
        <v>94</v>
      </c>
      <c r="B402" s="47"/>
      <c r="C402" s="148" t="s">
        <v>11</v>
      </c>
      <c r="D402" s="148" t="str">
        <f t="shared" si="1"/>
        <v>-</v>
      </c>
      <c r="E402" s="9"/>
      <c r="F402" s="10"/>
      <c r="G402" s="9"/>
      <c r="H402" s="11"/>
      <c r="I402" s="11"/>
      <c r="J402" s="11"/>
      <c r="K402" s="9" t="s">
        <v>13</v>
      </c>
      <c r="L402" s="283"/>
    </row>
    <row r="403">
      <c r="A403" s="146" t="s">
        <v>94</v>
      </c>
      <c r="B403" s="47"/>
      <c r="C403" s="148" t="s">
        <v>11</v>
      </c>
      <c r="D403" s="148" t="str">
        <f t="shared" si="1"/>
        <v>-</v>
      </c>
      <c r="E403" s="9"/>
      <c r="F403" s="10"/>
      <c r="G403" s="9"/>
      <c r="H403" s="11"/>
      <c r="I403" s="11"/>
      <c r="J403" s="11"/>
      <c r="K403" s="9" t="s">
        <v>13</v>
      </c>
      <c r="L403" s="283"/>
    </row>
    <row r="404">
      <c r="A404" s="146" t="s">
        <v>94</v>
      </c>
      <c r="B404" s="47"/>
      <c r="C404" s="148" t="s">
        <v>11</v>
      </c>
      <c r="D404" s="148" t="str">
        <f t="shared" si="1"/>
        <v>-</v>
      </c>
      <c r="E404" s="9"/>
      <c r="F404" s="10"/>
      <c r="G404" s="9"/>
      <c r="H404" s="11"/>
      <c r="I404" s="11"/>
      <c r="J404" s="11"/>
      <c r="K404" s="9" t="s">
        <v>13</v>
      </c>
      <c r="L404" s="283"/>
    </row>
    <row r="405">
      <c r="A405" s="146" t="s">
        <v>94</v>
      </c>
      <c r="B405" s="47"/>
      <c r="C405" s="148" t="s">
        <v>11</v>
      </c>
      <c r="D405" s="148" t="str">
        <f t="shared" si="1"/>
        <v>-</v>
      </c>
      <c r="E405" s="9"/>
      <c r="F405" s="10"/>
      <c r="G405" s="9"/>
      <c r="H405" s="11"/>
      <c r="I405" s="11"/>
      <c r="J405" s="11"/>
      <c r="K405" s="9" t="s">
        <v>13</v>
      </c>
      <c r="L405" s="283"/>
    </row>
    <row r="406">
      <c r="A406" s="146" t="s">
        <v>94</v>
      </c>
      <c r="B406" s="47"/>
      <c r="C406" s="148" t="s">
        <v>11</v>
      </c>
      <c r="D406" s="148" t="str">
        <f t="shared" si="1"/>
        <v>-</v>
      </c>
      <c r="E406" s="9"/>
      <c r="F406" s="10"/>
      <c r="G406" s="9"/>
      <c r="H406" s="11"/>
      <c r="I406" s="11"/>
      <c r="J406" s="11"/>
      <c r="K406" s="9" t="s">
        <v>13</v>
      </c>
      <c r="L406" s="283"/>
    </row>
    <row r="407">
      <c r="A407" s="146" t="s">
        <v>94</v>
      </c>
      <c r="B407" s="47"/>
      <c r="C407" s="148" t="s">
        <v>11</v>
      </c>
      <c r="D407" s="148" t="str">
        <f t="shared" si="1"/>
        <v>-</v>
      </c>
      <c r="E407" s="9"/>
      <c r="F407" s="10"/>
      <c r="G407" s="9"/>
      <c r="H407" s="11"/>
      <c r="I407" s="11"/>
      <c r="J407" s="11"/>
      <c r="K407" s="9" t="s">
        <v>13</v>
      </c>
      <c r="L407" s="283"/>
    </row>
    <row r="408">
      <c r="A408" s="146" t="s">
        <v>94</v>
      </c>
      <c r="B408" s="47"/>
      <c r="C408" s="148" t="s">
        <v>11</v>
      </c>
      <c r="D408" s="148" t="str">
        <f t="shared" si="1"/>
        <v>-</v>
      </c>
      <c r="E408" s="9"/>
      <c r="F408" s="10"/>
      <c r="G408" s="9"/>
      <c r="H408" s="11"/>
      <c r="I408" s="11"/>
      <c r="J408" s="11"/>
      <c r="K408" s="9" t="s">
        <v>13</v>
      </c>
      <c r="L408" s="283"/>
    </row>
    <row r="409">
      <c r="A409" s="146" t="s">
        <v>94</v>
      </c>
      <c r="B409" s="47"/>
      <c r="C409" s="148" t="s">
        <v>11</v>
      </c>
      <c r="D409" s="148" t="str">
        <f t="shared" si="1"/>
        <v>-</v>
      </c>
      <c r="E409" s="9"/>
      <c r="F409" s="10"/>
      <c r="G409" s="9"/>
      <c r="H409" s="11"/>
      <c r="I409" s="11"/>
      <c r="J409" s="11"/>
      <c r="K409" s="9" t="s">
        <v>13</v>
      </c>
      <c r="L409" s="283"/>
    </row>
    <row r="410">
      <c r="A410" s="146" t="s">
        <v>94</v>
      </c>
      <c r="B410" s="47"/>
      <c r="C410" s="148" t="s">
        <v>11</v>
      </c>
      <c r="D410" s="148" t="str">
        <f t="shared" si="1"/>
        <v>-</v>
      </c>
      <c r="E410" s="9"/>
      <c r="F410" s="10"/>
      <c r="G410" s="9"/>
      <c r="H410" s="11"/>
      <c r="I410" s="11"/>
      <c r="J410" s="11"/>
      <c r="K410" s="9" t="s">
        <v>13</v>
      </c>
      <c r="L410" s="283"/>
    </row>
    <row r="411">
      <c r="A411" s="146" t="s">
        <v>94</v>
      </c>
      <c r="B411" s="47"/>
      <c r="C411" s="148" t="s">
        <v>11</v>
      </c>
      <c r="D411" s="148" t="str">
        <f t="shared" si="1"/>
        <v>-</v>
      </c>
      <c r="E411" s="9"/>
      <c r="F411" s="10"/>
      <c r="G411" s="9"/>
      <c r="H411" s="11"/>
      <c r="I411" s="11"/>
      <c r="J411" s="11"/>
      <c r="K411" s="9" t="s">
        <v>13</v>
      </c>
      <c r="L411" s="283"/>
    </row>
    <row r="412">
      <c r="A412" s="146" t="s">
        <v>94</v>
      </c>
      <c r="B412" s="47"/>
      <c r="C412" s="148" t="s">
        <v>11</v>
      </c>
      <c r="D412" s="148" t="str">
        <f t="shared" si="1"/>
        <v>-</v>
      </c>
      <c r="E412" s="9"/>
      <c r="F412" s="10"/>
      <c r="G412" s="9"/>
      <c r="H412" s="11"/>
      <c r="I412" s="11"/>
      <c r="J412" s="11"/>
      <c r="K412" s="9" t="s">
        <v>13</v>
      </c>
      <c r="L412" s="283"/>
    </row>
    <row r="413">
      <c r="A413" s="146" t="s">
        <v>94</v>
      </c>
      <c r="B413" s="47"/>
      <c r="C413" s="148" t="s">
        <v>11</v>
      </c>
      <c r="D413" s="148" t="str">
        <f t="shared" si="1"/>
        <v>-</v>
      </c>
      <c r="E413" s="9"/>
      <c r="F413" s="10"/>
      <c r="G413" s="9"/>
      <c r="H413" s="11"/>
      <c r="I413" s="11"/>
      <c r="J413" s="11"/>
      <c r="K413" s="9" t="s">
        <v>13</v>
      </c>
      <c r="L413" s="283"/>
    </row>
    <row r="414">
      <c r="A414" s="146" t="s">
        <v>94</v>
      </c>
      <c r="B414" s="47"/>
      <c r="C414" s="148" t="s">
        <v>11</v>
      </c>
      <c r="D414" s="148" t="str">
        <f t="shared" si="1"/>
        <v>-</v>
      </c>
      <c r="E414" s="9"/>
      <c r="F414" s="10"/>
      <c r="G414" s="9"/>
      <c r="H414" s="11"/>
      <c r="I414" s="11"/>
      <c r="J414" s="11"/>
      <c r="K414" s="9" t="s">
        <v>13</v>
      </c>
      <c r="L414" s="283"/>
    </row>
    <row r="415">
      <c r="A415" s="146" t="s">
        <v>94</v>
      </c>
      <c r="B415" s="47"/>
      <c r="C415" s="148" t="s">
        <v>11</v>
      </c>
      <c r="D415" s="148" t="str">
        <f t="shared" si="1"/>
        <v>-</v>
      </c>
      <c r="E415" s="9"/>
      <c r="F415" s="10"/>
      <c r="G415" s="9"/>
      <c r="H415" s="11"/>
      <c r="I415" s="11"/>
      <c r="J415" s="11"/>
      <c r="K415" s="9" t="s">
        <v>13</v>
      </c>
      <c r="L415" s="283"/>
    </row>
    <row r="416">
      <c r="A416" s="146" t="s">
        <v>94</v>
      </c>
      <c r="B416" s="47"/>
      <c r="C416" s="148" t="s">
        <v>11</v>
      </c>
      <c r="D416" s="148" t="str">
        <f t="shared" si="1"/>
        <v>-</v>
      </c>
      <c r="E416" s="9"/>
      <c r="F416" s="10"/>
      <c r="G416" s="9"/>
      <c r="H416" s="11"/>
      <c r="I416" s="11"/>
      <c r="J416" s="11"/>
      <c r="K416" s="9" t="s">
        <v>13</v>
      </c>
      <c r="L416" s="283"/>
    </row>
    <row r="417">
      <c r="A417" s="146" t="s">
        <v>94</v>
      </c>
      <c r="B417" s="47"/>
      <c r="C417" s="148" t="s">
        <v>11</v>
      </c>
      <c r="D417" s="148" t="str">
        <f t="shared" si="1"/>
        <v>-</v>
      </c>
      <c r="E417" s="9"/>
      <c r="F417" s="10"/>
      <c r="G417" s="9"/>
      <c r="H417" s="11"/>
      <c r="I417" s="11"/>
      <c r="J417" s="11"/>
      <c r="K417" s="9" t="s">
        <v>13</v>
      </c>
      <c r="L417" s="283"/>
    </row>
    <row r="418">
      <c r="A418" s="146" t="s">
        <v>94</v>
      </c>
      <c r="B418" s="47"/>
      <c r="C418" s="148" t="s">
        <v>11</v>
      </c>
      <c r="D418" s="148" t="str">
        <f t="shared" si="1"/>
        <v>-</v>
      </c>
      <c r="E418" s="9"/>
      <c r="F418" s="10"/>
      <c r="G418" s="9"/>
      <c r="H418" s="11"/>
      <c r="I418" s="11"/>
      <c r="J418" s="11"/>
      <c r="K418" s="9" t="s">
        <v>13</v>
      </c>
      <c r="L418" s="283"/>
    </row>
    <row r="419">
      <c r="A419" s="146" t="s">
        <v>94</v>
      </c>
      <c r="B419" s="47"/>
      <c r="C419" s="148" t="s">
        <v>11</v>
      </c>
      <c r="D419" s="148" t="str">
        <f t="shared" si="1"/>
        <v>-</v>
      </c>
      <c r="E419" s="9"/>
      <c r="F419" s="10"/>
      <c r="G419" s="9"/>
      <c r="H419" s="11"/>
      <c r="I419" s="11"/>
      <c r="J419" s="11"/>
      <c r="K419" s="9" t="s">
        <v>13</v>
      </c>
      <c r="L419" s="283"/>
    </row>
    <row r="420">
      <c r="A420" s="146" t="s">
        <v>94</v>
      </c>
      <c r="B420" s="47"/>
      <c r="C420" s="148" t="s">
        <v>11</v>
      </c>
      <c r="D420" s="148" t="str">
        <f t="shared" si="1"/>
        <v>-</v>
      </c>
      <c r="E420" s="9"/>
      <c r="F420" s="10"/>
      <c r="G420" s="9"/>
      <c r="H420" s="11"/>
      <c r="I420" s="11"/>
      <c r="J420" s="11"/>
      <c r="K420" s="9" t="s">
        <v>13</v>
      </c>
      <c r="L420" s="283"/>
    </row>
    <row r="421">
      <c r="A421" s="146" t="s">
        <v>94</v>
      </c>
      <c r="B421" s="47"/>
      <c r="C421" s="148" t="s">
        <v>11</v>
      </c>
      <c r="D421" s="148" t="str">
        <f t="shared" si="1"/>
        <v>-</v>
      </c>
      <c r="E421" s="9"/>
      <c r="F421" s="10"/>
      <c r="G421" s="9"/>
      <c r="H421" s="11"/>
      <c r="I421" s="11"/>
      <c r="J421" s="11"/>
      <c r="K421" s="9" t="s">
        <v>13</v>
      </c>
      <c r="L421" s="283"/>
    </row>
    <row r="422">
      <c r="A422" s="146" t="s">
        <v>94</v>
      </c>
      <c r="B422" s="47"/>
      <c r="C422" s="148" t="s">
        <v>11</v>
      </c>
      <c r="D422" s="148" t="str">
        <f t="shared" si="1"/>
        <v>-</v>
      </c>
      <c r="E422" s="9"/>
      <c r="F422" s="10"/>
      <c r="G422" s="9"/>
      <c r="H422" s="11"/>
      <c r="I422" s="11"/>
      <c r="J422" s="11"/>
      <c r="K422" s="9" t="s">
        <v>13</v>
      </c>
      <c r="L422" s="283"/>
    </row>
    <row r="423">
      <c r="A423" s="146" t="s">
        <v>94</v>
      </c>
      <c r="B423" s="47"/>
      <c r="C423" s="148" t="s">
        <v>11</v>
      </c>
      <c r="D423" s="148" t="str">
        <f t="shared" si="1"/>
        <v>-</v>
      </c>
      <c r="E423" s="9"/>
      <c r="F423" s="10"/>
      <c r="G423" s="9"/>
      <c r="H423" s="11"/>
      <c r="I423" s="11"/>
      <c r="J423" s="11"/>
      <c r="K423" s="9" t="s">
        <v>13</v>
      </c>
      <c r="L423" s="283"/>
    </row>
    <row r="424">
      <c r="A424" s="146" t="s">
        <v>94</v>
      </c>
      <c r="B424" s="47"/>
      <c r="C424" s="148" t="s">
        <v>11</v>
      </c>
      <c r="D424" s="148" t="str">
        <f t="shared" si="1"/>
        <v>-</v>
      </c>
      <c r="E424" s="9"/>
      <c r="F424" s="10"/>
      <c r="G424" s="9"/>
      <c r="H424" s="11"/>
      <c r="I424" s="11"/>
      <c r="J424" s="11"/>
      <c r="K424" s="9" t="s">
        <v>13</v>
      </c>
      <c r="L424" s="283"/>
    </row>
    <row r="425">
      <c r="A425" s="146" t="s">
        <v>94</v>
      </c>
      <c r="B425" s="47"/>
      <c r="C425" s="148" t="s">
        <v>11</v>
      </c>
      <c r="D425" s="148" t="str">
        <f t="shared" si="1"/>
        <v>-</v>
      </c>
      <c r="E425" s="9"/>
      <c r="F425" s="10"/>
      <c r="G425" s="9"/>
      <c r="H425" s="11"/>
      <c r="I425" s="11"/>
      <c r="J425" s="11"/>
      <c r="K425" s="9" t="s">
        <v>13</v>
      </c>
      <c r="L425" s="283"/>
    </row>
    <row r="426">
      <c r="A426" s="146" t="s">
        <v>94</v>
      </c>
      <c r="B426" s="47"/>
      <c r="C426" s="148" t="s">
        <v>11</v>
      </c>
      <c r="D426" s="148" t="str">
        <f t="shared" si="1"/>
        <v>-</v>
      </c>
      <c r="E426" s="9"/>
      <c r="F426" s="10"/>
      <c r="G426" s="9"/>
      <c r="H426" s="11"/>
      <c r="I426" s="11"/>
      <c r="J426" s="11"/>
      <c r="K426" s="9" t="s">
        <v>13</v>
      </c>
      <c r="L426" s="283"/>
    </row>
    <row r="427">
      <c r="A427" s="146" t="s">
        <v>94</v>
      </c>
      <c r="B427" s="47"/>
      <c r="C427" s="148" t="s">
        <v>11</v>
      </c>
      <c r="D427" s="148" t="str">
        <f t="shared" si="1"/>
        <v>-</v>
      </c>
      <c r="E427" s="9"/>
      <c r="F427" s="10"/>
      <c r="G427" s="9"/>
      <c r="H427" s="11"/>
      <c r="I427" s="11"/>
      <c r="J427" s="11"/>
      <c r="K427" s="9" t="s">
        <v>13</v>
      </c>
      <c r="L427" s="283"/>
    </row>
    <row r="428">
      <c r="A428" s="146" t="s">
        <v>94</v>
      </c>
      <c r="B428" s="47"/>
      <c r="C428" s="148" t="s">
        <v>11</v>
      </c>
      <c r="D428" s="148" t="str">
        <f t="shared" si="1"/>
        <v>-</v>
      </c>
      <c r="E428" s="9"/>
      <c r="F428" s="10"/>
      <c r="G428" s="9"/>
      <c r="H428" s="11"/>
      <c r="I428" s="11"/>
      <c r="J428" s="11"/>
      <c r="K428" s="9" t="s">
        <v>13</v>
      </c>
      <c r="L428" s="283"/>
    </row>
    <row r="429">
      <c r="A429" s="146" t="s">
        <v>94</v>
      </c>
      <c r="B429" s="47"/>
      <c r="C429" s="148" t="s">
        <v>11</v>
      </c>
      <c r="D429" s="148" t="str">
        <f t="shared" si="1"/>
        <v>-</v>
      </c>
      <c r="E429" s="9"/>
      <c r="F429" s="10"/>
      <c r="G429" s="9"/>
      <c r="H429" s="11"/>
      <c r="I429" s="11"/>
      <c r="J429" s="11"/>
      <c r="K429" s="9" t="s">
        <v>13</v>
      </c>
      <c r="L429" s="283"/>
    </row>
    <row r="430">
      <c r="A430" s="146" t="s">
        <v>94</v>
      </c>
      <c r="B430" s="47"/>
      <c r="C430" s="148" t="s">
        <v>11</v>
      </c>
      <c r="D430" s="148" t="str">
        <f t="shared" si="1"/>
        <v>-</v>
      </c>
      <c r="E430" s="9"/>
      <c r="F430" s="10"/>
      <c r="G430" s="9"/>
      <c r="H430" s="11"/>
      <c r="I430" s="11"/>
      <c r="J430" s="11"/>
      <c r="K430" s="9" t="s">
        <v>13</v>
      </c>
      <c r="L430" s="283"/>
    </row>
    <row r="431">
      <c r="A431" s="146" t="s">
        <v>94</v>
      </c>
      <c r="B431" s="47"/>
      <c r="C431" s="148" t="s">
        <v>11</v>
      </c>
      <c r="D431" s="148" t="str">
        <f t="shared" si="1"/>
        <v>-</v>
      </c>
      <c r="E431" s="9"/>
      <c r="F431" s="10"/>
      <c r="G431" s="9"/>
      <c r="H431" s="11"/>
      <c r="I431" s="11"/>
      <c r="J431" s="11"/>
      <c r="K431" s="9" t="s">
        <v>13</v>
      </c>
      <c r="L431" s="283"/>
    </row>
    <row r="432">
      <c r="A432" s="146" t="s">
        <v>94</v>
      </c>
      <c r="B432" s="47"/>
      <c r="C432" s="148" t="s">
        <v>11</v>
      </c>
      <c r="D432" s="148" t="str">
        <f t="shared" si="1"/>
        <v>-</v>
      </c>
      <c r="E432" s="9"/>
      <c r="F432" s="10"/>
      <c r="G432" s="9"/>
      <c r="H432" s="11"/>
      <c r="I432" s="11"/>
      <c r="J432" s="11"/>
      <c r="K432" s="9" t="s">
        <v>13</v>
      </c>
      <c r="L432" s="283"/>
    </row>
    <row r="433">
      <c r="A433" s="146" t="s">
        <v>94</v>
      </c>
      <c r="B433" s="47"/>
      <c r="C433" s="148" t="s">
        <v>11</v>
      </c>
      <c r="D433" s="148" t="str">
        <f t="shared" si="1"/>
        <v>-</v>
      </c>
      <c r="E433" s="9"/>
      <c r="F433" s="10"/>
      <c r="G433" s="9"/>
      <c r="H433" s="11"/>
      <c r="I433" s="11"/>
      <c r="J433" s="11"/>
      <c r="K433" s="9" t="s">
        <v>13</v>
      </c>
      <c r="L433" s="283"/>
    </row>
    <row r="434">
      <c r="A434" s="146" t="s">
        <v>94</v>
      </c>
      <c r="B434" s="47"/>
      <c r="C434" s="148" t="s">
        <v>11</v>
      </c>
      <c r="D434" s="148" t="str">
        <f t="shared" si="1"/>
        <v>-</v>
      </c>
      <c r="E434" s="9"/>
      <c r="F434" s="10"/>
      <c r="G434" s="9"/>
      <c r="H434" s="11"/>
      <c r="I434" s="11"/>
      <c r="J434" s="11"/>
      <c r="K434" s="9" t="s">
        <v>13</v>
      </c>
      <c r="L434" s="283"/>
    </row>
    <row r="435">
      <c r="A435" s="146" t="s">
        <v>94</v>
      </c>
      <c r="B435" s="47"/>
      <c r="C435" s="148" t="s">
        <v>11</v>
      </c>
      <c r="D435" s="148" t="str">
        <f t="shared" si="1"/>
        <v>-</v>
      </c>
      <c r="E435" s="9"/>
      <c r="F435" s="10"/>
      <c r="G435" s="9"/>
      <c r="H435" s="11"/>
      <c r="I435" s="11"/>
      <c r="J435" s="11"/>
      <c r="K435" s="9" t="s">
        <v>13</v>
      </c>
      <c r="L435" s="283"/>
    </row>
    <row r="436">
      <c r="A436" s="146" t="s">
        <v>94</v>
      </c>
      <c r="B436" s="47"/>
      <c r="C436" s="148" t="s">
        <v>11</v>
      </c>
      <c r="D436" s="148" t="str">
        <f t="shared" si="1"/>
        <v>-</v>
      </c>
      <c r="E436" s="9"/>
      <c r="F436" s="10"/>
      <c r="G436" s="9"/>
      <c r="H436" s="11"/>
      <c r="I436" s="11"/>
      <c r="J436" s="11"/>
      <c r="K436" s="9" t="s">
        <v>13</v>
      </c>
      <c r="L436" s="283"/>
    </row>
    <row r="437">
      <c r="A437" s="146" t="s">
        <v>94</v>
      </c>
      <c r="B437" s="47"/>
      <c r="C437" s="148" t="s">
        <v>11</v>
      </c>
      <c r="D437" s="148" t="str">
        <f t="shared" si="1"/>
        <v>-</v>
      </c>
      <c r="E437" s="9"/>
      <c r="F437" s="10"/>
      <c r="G437" s="9"/>
      <c r="H437" s="11"/>
      <c r="I437" s="11"/>
      <c r="J437" s="11"/>
      <c r="K437" s="9" t="s">
        <v>13</v>
      </c>
      <c r="L437" s="283"/>
    </row>
    <row r="438">
      <c r="A438" s="146" t="s">
        <v>94</v>
      </c>
      <c r="B438" s="47"/>
      <c r="C438" s="148" t="s">
        <v>11</v>
      </c>
      <c r="D438" s="148" t="str">
        <f t="shared" si="1"/>
        <v>-</v>
      </c>
      <c r="E438" s="9"/>
      <c r="F438" s="10"/>
      <c r="G438" s="9"/>
      <c r="H438" s="11"/>
      <c r="I438" s="11"/>
      <c r="J438" s="11"/>
      <c r="K438" s="9" t="s">
        <v>13</v>
      </c>
      <c r="L438" s="283"/>
    </row>
    <row r="439">
      <c r="A439" s="146" t="s">
        <v>94</v>
      </c>
      <c r="B439" s="47"/>
      <c r="C439" s="148" t="s">
        <v>11</v>
      </c>
      <c r="D439" s="148" t="str">
        <f t="shared" si="1"/>
        <v>-</v>
      </c>
      <c r="E439" s="9"/>
      <c r="F439" s="10"/>
      <c r="G439" s="9"/>
      <c r="H439" s="11"/>
      <c r="I439" s="11"/>
      <c r="J439" s="11"/>
      <c r="K439" s="9" t="s">
        <v>13</v>
      </c>
      <c r="L439" s="283"/>
    </row>
    <row r="440">
      <c r="A440" s="146" t="s">
        <v>94</v>
      </c>
      <c r="B440" s="47"/>
      <c r="C440" s="148" t="s">
        <v>11</v>
      </c>
      <c r="D440" s="148" t="str">
        <f t="shared" si="1"/>
        <v>-</v>
      </c>
      <c r="E440" s="9"/>
      <c r="F440" s="10"/>
      <c r="G440" s="9"/>
      <c r="H440" s="11"/>
      <c r="I440" s="11"/>
      <c r="J440" s="11"/>
      <c r="K440" s="9" t="s">
        <v>13</v>
      </c>
      <c r="L440" s="283"/>
    </row>
    <row r="441">
      <c r="A441" s="146" t="s">
        <v>94</v>
      </c>
      <c r="B441" s="47"/>
      <c r="C441" s="148" t="s">
        <v>11</v>
      </c>
      <c r="D441" s="148" t="str">
        <f t="shared" si="1"/>
        <v>-</v>
      </c>
      <c r="E441" s="9"/>
      <c r="F441" s="10"/>
      <c r="G441" s="9"/>
      <c r="H441" s="11"/>
      <c r="I441" s="11"/>
      <c r="J441" s="11"/>
      <c r="K441" s="9" t="s">
        <v>13</v>
      </c>
      <c r="L441" s="283"/>
    </row>
    <row r="442">
      <c r="A442" s="146" t="s">
        <v>94</v>
      </c>
      <c r="B442" s="47"/>
      <c r="C442" s="148" t="s">
        <v>11</v>
      </c>
      <c r="D442" s="148" t="str">
        <f t="shared" si="1"/>
        <v>-</v>
      </c>
      <c r="E442" s="9"/>
      <c r="F442" s="10"/>
      <c r="G442" s="9"/>
      <c r="H442" s="11"/>
      <c r="I442" s="11"/>
      <c r="J442" s="11"/>
      <c r="K442" s="9" t="s">
        <v>13</v>
      </c>
      <c r="L442" s="283"/>
    </row>
    <row r="443">
      <c r="A443" s="146" t="s">
        <v>94</v>
      </c>
      <c r="B443" s="47"/>
      <c r="C443" s="148" t="s">
        <v>11</v>
      </c>
      <c r="D443" s="148" t="str">
        <f t="shared" si="1"/>
        <v>-</v>
      </c>
      <c r="E443" s="9"/>
      <c r="F443" s="10"/>
      <c r="G443" s="9"/>
      <c r="H443" s="11"/>
      <c r="I443" s="11"/>
      <c r="J443" s="11"/>
      <c r="K443" s="9" t="s">
        <v>13</v>
      </c>
      <c r="L443" s="283"/>
    </row>
    <row r="444">
      <c r="A444" s="146" t="s">
        <v>94</v>
      </c>
      <c r="B444" s="47"/>
      <c r="C444" s="148" t="s">
        <v>11</v>
      </c>
      <c r="D444" s="148" t="str">
        <f t="shared" si="1"/>
        <v>-</v>
      </c>
      <c r="E444" s="9"/>
      <c r="F444" s="10"/>
      <c r="G444" s="9"/>
      <c r="H444" s="11"/>
      <c r="I444" s="11"/>
      <c r="J444" s="11"/>
      <c r="K444" s="9" t="s">
        <v>13</v>
      </c>
      <c r="L444" s="283"/>
    </row>
    <row r="445">
      <c r="A445" s="146" t="s">
        <v>94</v>
      </c>
      <c r="B445" s="47"/>
      <c r="C445" s="148" t="s">
        <v>11</v>
      </c>
      <c r="D445" s="148" t="str">
        <f t="shared" si="1"/>
        <v>-</v>
      </c>
      <c r="E445" s="9"/>
      <c r="F445" s="10"/>
      <c r="G445" s="9"/>
      <c r="H445" s="11"/>
      <c r="I445" s="11"/>
      <c r="J445" s="11"/>
      <c r="K445" s="9" t="s">
        <v>13</v>
      </c>
      <c r="L445" s="283"/>
    </row>
    <row r="446">
      <c r="A446" s="146" t="s">
        <v>94</v>
      </c>
      <c r="B446" s="47"/>
      <c r="C446" s="148" t="s">
        <v>11</v>
      </c>
      <c r="D446" s="148" t="str">
        <f t="shared" si="1"/>
        <v>-</v>
      </c>
      <c r="E446" s="9"/>
      <c r="F446" s="10"/>
      <c r="G446" s="9"/>
      <c r="H446" s="11"/>
      <c r="I446" s="11"/>
      <c r="J446" s="11"/>
      <c r="K446" s="9" t="s">
        <v>13</v>
      </c>
      <c r="L446" s="283"/>
    </row>
    <row r="447">
      <c r="A447" s="146" t="s">
        <v>94</v>
      </c>
      <c r="B447" s="47"/>
      <c r="C447" s="148" t="s">
        <v>11</v>
      </c>
      <c r="D447" s="148" t="str">
        <f t="shared" si="1"/>
        <v>-</v>
      </c>
      <c r="E447" s="9"/>
      <c r="F447" s="10"/>
      <c r="G447" s="9"/>
      <c r="H447" s="11"/>
      <c r="I447" s="11"/>
      <c r="J447" s="11"/>
      <c r="K447" s="9" t="s">
        <v>13</v>
      </c>
      <c r="L447" s="283"/>
    </row>
    <row r="448">
      <c r="A448" s="146" t="s">
        <v>94</v>
      </c>
      <c r="B448" s="47"/>
      <c r="C448" s="148" t="s">
        <v>11</v>
      </c>
      <c r="D448" s="148" t="str">
        <f t="shared" si="1"/>
        <v>-</v>
      </c>
      <c r="E448" s="9"/>
      <c r="F448" s="10"/>
      <c r="G448" s="9"/>
      <c r="H448" s="11"/>
      <c r="I448" s="11"/>
      <c r="J448" s="11"/>
      <c r="K448" s="9" t="s">
        <v>13</v>
      </c>
      <c r="L448" s="283"/>
    </row>
    <row r="449">
      <c r="A449" s="146" t="s">
        <v>94</v>
      </c>
      <c r="B449" s="47"/>
      <c r="C449" s="148" t="s">
        <v>11</v>
      </c>
      <c r="D449" s="148" t="str">
        <f t="shared" si="1"/>
        <v>-</v>
      </c>
      <c r="E449" s="9"/>
      <c r="F449" s="10"/>
      <c r="G449" s="9"/>
      <c r="H449" s="11"/>
      <c r="I449" s="11"/>
      <c r="J449" s="11"/>
      <c r="K449" s="9" t="s">
        <v>13</v>
      </c>
      <c r="L449" s="283"/>
    </row>
    <row r="450">
      <c r="A450" s="146" t="s">
        <v>94</v>
      </c>
      <c r="B450" s="47"/>
      <c r="C450" s="148" t="s">
        <v>11</v>
      </c>
      <c r="D450" s="148" t="str">
        <f t="shared" si="1"/>
        <v>-</v>
      </c>
      <c r="E450" s="9"/>
      <c r="F450" s="10"/>
      <c r="G450" s="9"/>
      <c r="H450" s="11"/>
      <c r="I450" s="11"/>
      <c r="J450" s="11"/>
      <c r="K450" s="9" t="s">
        <v>13</v>
      </c>
      <c r="L450" s="283"/>
    </row>
    <row r="451">
      <c r="A451" s="146" t="s">
        <v>94</v>
      </c>
      <c r="B451" s="47"/>
      <c r="C451" s="148" t="s">
        <v>11</v>
      </c>
      <c r="D451" s="148" t="str">
        <f t="shared" si="1"/>
        <v>-</v>
      </c>
      <c r="E451" s="9"/>
      <c r="F451" s="10"/>
      <c r="G451" s="9"/>
      <c r="H451" s="11"/>
      <c r="I451" s="11"/>
      <c r="J451" s="11"/>
      <c r="K451" s="9" t="s">
        <v>13</v>
      </c>
      <c r="L451" s="283"/>
    </row>
    <row r="452">
      <c r="A452" s="146" t="s">
        <v>94</v>
      </c>
      <c r="B452" s="47"/>
      <c r="C452" s="148" t="s">
        <v>11</v>
      </c>
      <c r="D452" s="148" t="str">
        <f t="shared" si="1"/>
        <v>-</v>
      </c>
      <c r="E452" s="9"/>
      <c r="F452" s="10"/>
      <c r="G452" s="9"/>
      <c r="H452" s="11"/>
      <c r="I452" s="11"/>
      <c r="J452" s="11"/>
      <c r="K452" s="9" t="s">
        <v>13</v>
      </c>
      <c r="L452" s="283"/>
    </row>
    <row r="453">
      <c r="A453" s="146" t="s">
        <v>94</v>
      </c>
      <c r="B453" s="47"/>
      <c r="C453" s="148" t="s">
        <v>11</v>
      </c>
      <c r="D453" s="148" t="str">
        <f t="shared" si="1"/>
        <v>-</v>
      </c>
      <c r="E453" s="9"/>
      <c r="F453" s="10"/>
      <c r="G453" s="9"/>
      <c r="H453" s="11"/>
      <c r="I453" s="11"/>
      <c r="J453" s="11"/>
      <c r="K453" s="9" t="s">
        <v>13</v>
      </c>
      <c r="L453" s="283"/>
    </row>
    <row r="454">
      <c r="A454" s="146" t="s">
        <v>94</v>
      </c>
      <c r="B454" s="47"/>
      <c r="C454" s="148" t="s">
        <v>11</v>
      </c>
      <c r="D454" s="148" t="str">
        <f t="shared" si="1"/>
        <v>-</v>
      </c>
      <c r="E454" s="9"/>
      <c r="F454" s="10"/>
      <c r="G454" s="9"/>
      <c r="H454" s="11"/>
      <c r="I454" s="11"/>
      <c r="J454" s="11"/>
      <c r="K454" s="9" t="s">
        <v>13</v>
      </c>
      <c r="L454" s="283"/>
    </row>
    <row r="455">
      <c r="A455" s="146" t="s">
        <v>94</v>
      </c>
      <c r="B455" s="47"/>
      <c r="C455" s="148" t="s">
        <v>11</v>
      </c>
      <c r="D455" s="148" t="str">
        <f t="shared" si="1"/>
        <v>-</v>
      </c>
      <c r="E455" s="9"/>
      <c r="F455" s="10"/>
      <c r="G455" s="9"/>
      <c r="H455" s="11"/>
      <c r="I455" s="11"/>
      <c r="J455" s="11"/>
      <c r="K455" s="9" t="s">
        <v>13</v>
      </c>
      <c r="L455" s="283"/>
    </row>
    <row r="456">
      <c r="A456" s="146" t="s">
        <v>94</v>
      </c>
      <c r="B456" s="47"/>
      <c r="C456" s="148" t="s">
        <v>11</v>
      </c>
      <c r="D456" s="148" t="str">
        <f t="shared" si="1"/>
        <v>-</v>
      </c>
      <c r="E456" s="9"/>
      <c r="F456" s="10"/>
      <c r="G456" s="9"/>
      <c r="H456" s="11"/>
      <c r="I456" s="11"/>
      <c r="J456" s="11"/>
      <c r="K456" s="9" t="s">
        <v>13</v>
      </c>
      <c r="L456" s="283"/>
    </row>
    <row r="457">
      <c r="A457" s="146" t="s">
        <v>94</v>
      </c>
      <c r="B457" s="47"/>
      <c r="C457" s="148" t="s">
        <v>11</v>
      </c>
      <c r="D457" s="148" t="str">
        <f t="shared" si="1"/>
        <v>-</v>
      </c>
      <c r="E457" s="9"/>
      <c r="F457" s="10"/>
      <c r="G457" s="9"/>
      <c r="H457" s="11"/>
      <c r="I457" s="11"/>
      <c r="J457" s="11"/>
      <c r="K457" s="9" t="s">
        <v>13</v>
      </c>
      <c r="L457" s="283"/>
    </row>
    <row r="458">
      <c r="A458" s="146" t="s">
        <v>94</v>
      </c>
      <c r="B458" s="47"/>
      <c r="C458" s="148" t="s">
        <v>11</v>
      </c>
      <c r="D458" s="148" t="str">
        <f t="shared" si="1"/>
        <v>-</v>
      </c>
      <c r="E458" s="9"/>
      <c r="F458" s="10"/>
      <c r="G458" s="9"/>
      <c r="H458" s="11"/>
      <c r="I458" s="11"/>
      <c r="J458" s="11"/>
      <c r="K458" s="9" t="s">
        <v>13</v>
      </c>
      <c r="L458" s="283"/>
    </row>
    <row r="459">
      <c r="A459" s="146" t="s">
        <v>94</v>
      </c>
      <c r="B459" s="47"/>
      <c r="C459" s="148" t="s">
        <v>11</v>
      </c>
      <c r="D459" s="148" t="str">
        <f t="shared" si="1"/>
        <v>-</v>
      </c>
      <c r="E459" s="9"/>
      <c r="F459" s="10"/>
      <c r="G459" s="9"/>
      <c r="H459" s="11"/>
      <c r="I459" s="11"/>
      <c r="J459" s="11"/>
      <c r="K459" s="9" t="s">
        <v>13</v>
      </c>
      <c r="L459" s="283"/>
    </row>
    <row r="460">
      <c r="A460" s="146" t="s">
        <v>94</v>
      </c>
      <c r="B460" s="47"/>
      <c r="C460" s="148" t="s">
        <v>11</v>
      </c>
      <c r="D460" s="148" t="str">
        <f t="shared" si="1"/>
        <v>-</v>
      </c>
      <c r="E460" s="9"/>
      <c r="F460" s="10"/>
      <c r="G460" s="9"/>
      <c r="H460" s="11"/>
      <c r="I460" s="11"/>
      <c r="J460" s="11"/>
      <c r="K460" s="9" t="s">
        <v>13</v>
      </c>
      <c r="L460" s="283"/>
    </row>
    <row r="461">
      <c r="A461" s="146" t="s">
        <v>94</v>
      </c>
      <c r="B461" s="47"/>
      <c r="C461" s="148" t="s">
        <v>11</v>
      </c>
      <c r="D461" s="148" t="str">
        <f t="shared" si="1"/>
        <v>-</v>
      </c>
      <c r="E461" s="9"/>
      <c r="F461" s="10"/>
      <c r="G461" s="9"/>
      <c r="H461" s="11"/>
      <c r="I461" s="11"/>
      <c r="J461" s="11"/>
      <c r="K461" s="9" t="s">
        <v>13</v>
      </c>
      <c r="L461" s="283"/>
    </row>
    <row r="462">
      <c r="A462" s="146" t="s">
        <v>94</v>
      </c>
      <c r="B462" s="47"/>
      <c r="C462" s="148" t="s">
        <v>11</v>
      </c>
      <c r="D462" s="148" t="str">
        <f t="shared" si="1"/>
        <v>-</v>
      </c>
      <c r="E462" s="9"/>
      <c r="F462" s="10"/>
      <c r="G462" s="9"/>
      <c r="H462" s="11"/>
      <c r="I462" s="11"/>
      <c r="J462" s="11"/>
      <c r="K462" s="9" t="s">
        <v>13</v>
      </c>
      <c r="L462" s="283"/>
    </row>
    <row r="463">
      <c r="A463" s="146" t="s">
        <v>94</v>
      </c>
      <c r="B463" s="47"/>
      <c r="C463" s="148" t="s">
        <v>11</v>
      </c>
      <c r="D463" s="148" t="str">
        <f t="shared" si="1"/>
        <v>-</v>
      </c>
      <c r="E463" s="9"/>
      <c r="F463" s="10"/>
      <c r="G463" s="9"/>
      <c r="H463" s="11"/>
      <c r="I463" s="11"/>
      <c r="J463" s="11"/>
      <c r="K463" s="9" t="s">
        <v>13</v>
      </c>
      <c r="L463" s="283"/>
    </row>
    <row r="464">
      <c r="A464" s="146" t="s">
        <v>94</v>
      </c>
      <c r="B464" s="47"/>
      <c r="C464" s="148" t="s">
        <v>11</v>
      </c>
      <c r="D464" s="148" t="str">
        <f t="shared" si="1"/>
        <v>-</v>
      </c>
      <c r="E464" s="9"/>
      <c r="F464" s="10"/>
      <c r="G464" s="9"/>
      <c r="H464" s="11"/>
      <c r="I464" s="11"/>
      <c r="J464" s="11"/>
      <c r="K464" s="9" t="s">
        <v>13</v>
      </c>
      <c r="L464" s="283"/>
    </row>
    <row r="465">
      <c r="A465" s="146" t="s">
        <v>94</v>
      </c>
      <c r="B465" s="47"/>
      <c r="C465" s="148" t="s">
        <v>11</v>
      </c>
      <c r="D465" s="148" t="str">
        <f t="shared" si="1"/>
        <v>-</v>
      </c>
      <c r="E465" s="9"/>
      <c r="F465" s="10"/>
      <c r="G465" s="9"/>
      <c r="H465" s="11"/>
      <c r="I465" s="11"/>
      <c r="J465" s="11"/>
      <c r="K465" s="9" t="s">
        <v>13</v>
      </c>
      <c r="L465" s="283"/>
    </row>
    <row r="466">
      <c r="A466" s="146" t="s">
        <v>94</v>
      </c>
      <c r="B466" s="47"/>
      <c r="C466" s="148" t="s">
        <v>11</v>
      </c>
      <c r="D466" s="148" t="str">
        <f t="shared" si="1"/>
        <v>-</v>
      </c>
      <c r="E466" s="9"/>
      <c r="F466" s="10"/>
      <c r="G466" s="9"/>
      <c r="H466" s="11"/>
      <c r="I466" s="11"/>
      <c r="J466" s="11"/>
      <c r="K466" s="9" t="s">
        <v>13</v>
      </c>
      <c r="L466" s="283"/>
    </row>
    <row r="467">
      <c r="A467" s="146" t="s">
        <v>94</v>
      </c>
      <c r="B467" s="47"/>
      <c r="C467" s="148" t="s">
        <v>11</v>
      </c>
      <c r="D467" s="148" t="str">
        <f t="shared" si="1"/>
        <v>-</v>
      </c>
      <c r="E467" s="9"/>
      <c r="F467" s="10"/>
      <c r="G467" s="9"/>
      <c r="H467" s="11"/>
      <c r="I467" s="11"/>
      <c r="J467" s="11"/>
      <c r="K467" s="9" t="s">
        <v>13</v>
      </c>
      <c r="L467" s="283"/>
    </row>
    <row r="468">
      <c r="A468" s="146" t="s">
        <v>94</v>
      </c>
      <c r="B468" s="47"/>
      <c r="C468" s="148" t="s">
        <v>11</v>
      </c>
      <c r="D468" s="148" t="str">
        <f t="shared" si="1"/>
        <v>-</v>
      </c>
      <c r="E468" s="9"/>
      <c r="F468" s="10"/>
      <c r="G468" s="9"/>
      <c r="H468" s="11"/>
      <c r="I468" s="11"/>
      <c r="J468" s="11"/>
      <c r="K468" s="9" t="s">
        <v>13</v>
      </c>
      <c r="L468" s="283"/>
    </row>
    <row r="469">
      <c r="A469" s="146" t="s">
        <v>94</v>
      </c>
      <c r="B469" s="47"/>
      <c r="C469" s="148" t="s">
        <v>11</v>
      </c>
      <c r="D469" s="148" t="str">
        <f t="shared" si="1"/>
        <v>-</v>
      </c>
      <c r="E469" s="9"/>
      <c r="F469" s="10"/>
      <c r="G469" s="9"/>
      <c r="H469" s="11"/>
      <c r="I469" s="11"/>
      <c r="J469" s="11"/>
      <c r="K469" s="9" t="s">
        <v>13</v>
      </c>
      <c r="L469" s="283"/>
    </row>
    <row r="470">
      <c r="A470" s="146" t="s">
        <v>94</v>
      </c>
      <c r="B470" s="47"/>
      <c r="C470" s="148" t="s">
        <v>11</v>
      </c>
      <c r="D470" s="148" t="str">
        <f t="shared" si="1"/>
        <v>-</v>
      </c>
      <c r="E470" s="9"/>
      <c r="F470" s="10"/>
      <c r="G470" s="9"/>
      <c r="H470" s="11"/>
      <c r="I470" s="11"/>
      <c r="J470" s="11"/>
      <c r="K470" s="9" t="s">
        <v>13</v>
      </c>
      <c r="L470" s="283"/>
    </row>
    <row r="471">
      <c r="A471" s="146" t="s">
        <v>94</v>
      </c>
      <c r="B471" s="47"/>
      <c r="C471" s="148" t="s">
        <v>11</v>
      </c>
      <c r="D471" s="148" t="str">
        <f t="shared" si="1"/>
        <v>-</v>
      </c>
      <c r="E471" s="9"/>
      <c r="F471" s="10"/>
      <c r="G471" s="9"/>
      <c r="H471" s="11"/>
      <c r="I471" s="11"/>
      <c r="J471" s="11"/>
      <c r="K471" s="9" t="s">
        <v>13</v>
      </c>
      <c r="L471" s="283"/>
    </row>
    <row r="472">
      <c r="A472" s="146" t="s">
        <v>94</v>
      </c>
      <c r="B472" s="47"/>
      <c r="C472" s="148" t="s">
        <v>11</v>
      </c>
      <c r="D472" s="148" t="str">
        <f t="shared" si="1"/>
        <v>-</v>
      </c>
      <c r="E472" s="9"/>
      <c r="F472" s="10"/>
      <c r="G472" s="9"/>
      <c r="H472" s="11"/>
      <c r="I472" s="11"/>
      <c r="J472" s="11"/>
      <c r="K472" s="9" t="s">
        <v>13</v>
      </c>
      <c r="L472" s="283"/>
    </row>
    <row r="473">
      <c r="A473" s="146" t="s">
        <v>94</v>
      </c>
      <c r="B473" s="47"/>
      <c r="C473" s="148" t="s">
        <v>11</v>
      </c>
      <c r="D473" s="148" t="str">
        <f t="shared" si="1"/>
        <v>-</v>
      </c>
      <c r="E473" s="9"/>
      <c r="F473" s="10"/>
      <c r="G473" s="9"/>
      <c r="H473" s="11"/>
      <c r="I473" s="11"/>
      <c r="J473" s="11"/>
      <c r="K473" s="9" t="s">
        <v>13</v>
      </c>
      <c r="L473" s="283"/>
    </row>
    <row r="474">
      <c r="A474" s="146" t="s">
        <v>94</v>
      </c>
      <c r="B474" s="47"/>
      <c r="C474" s="148" t="s">
        <v>11</v>
      </c>
      <c r="D474" s="148" t="str">
        <f t="shared" si="1"/>
        <v>-</v>
      </c>
      <c r="E474" s="9"/>
      <c r="F474" s="10"/>
      <c r="G474" s="9"/>
      <c r="H474" s="11"/>
      <c r="I474" s="11"/>
      <c r="J474" s="11"/>
      <c r="K474" s="9" t="s">
        <v>13</v>
      </c>
      <c r="L474" s="283"/>
    </row>
    <row r="475">
      <c r="A475" s="146" t="s">
        <v>94</v>
      </c>
      <c r="B475" s="47"/>
      <c r="C475" s="148" t="s">
        <v>11</v>
      </c>
      <c r="D475" s="148" t="str">
        <f t="shared" si="1"/>
        <v>-</v>
      </c>
      <c r="E475" s="9"/>
      <c r="F475" s="10"/>
      <c r="G475" s="9"/>
      <c r="H475" s="11"/>
      <c r="I475" s="11"/>
      <c r="J475" s="11"/>
      <c r="K475" s="9" t="s">
        <v>13</v>
      </c>
      <c r="L475" s="283"/>
    </row>
    <row r="476">
      <c r="A476" s="146" t="s">
        <v>94</v>
      </c>
      <c r="B476" s="47"/>
      <c r="C476" s="148" t="s">
        <v>11</v>
      </c>
      <c r="D476" s="148" t="str">
        <f t="shared" si="1"/>
        <v>-</v>
      </c>
      <c r="E476" s="9"/>
      <c r="F476" s="10"/>
      <c r="G476" s="9"/>
      <c r="H476" s="11"/>
      <c r="I476" s="11"/>
      <c r="J476" s="11"/>
      <c r="K476" s="9" t="s">
        <v>13</v>
      </c>
      <c r="L476" s="283"/>
    </row>
    <row r="477">
      <c r="A477" s="146" t="s">
        <v>94</v>
      </c>
      <c r="B477" s="47"/>
      <c r="C477" s="148" t="s">
        <v>11</v>
      </c>
      <c r="D477" s="148" t="str">
        <f t="shared" si="1"/>
        <v>-</v>
      </c>
      <c r="E477" s="9"/>
      <c r="F477" s="10"/>
      <c r="G477" s="9"/>
      <c r="H477" s="11"/>
      <c r="I477" s="11"/>
      <c r="J477" s="11"/>
      <c r="K477" s="9" t="s">
        <v>13</v>
      </c>
      <c r="L477" s="283"/>
    </row>
    <row r="478">
      <c r="A478" s="146" t="s">
        <v>94</v>
      </c>
      <c r="B478" s="47"/>
      <c r="C478" s="148" t="s">
        <v>11</v>
      </c>
      <c r="D478" s="148" t="str">
        <f t="shared" si="1"/>
        <v>-</v>
      </c>
      <c r="E478" s="9"/>
      <c r="F478" s="10"/>
      <c r="G478" s="9"/>
      <c r="H478" s="11"/>
      <c r="I478" s="11"/>
      <c r="J478" s="11"/>
      <c r="K478" s="9" t="s">
        <v>13</v>
      </c>
      <c r="L478" s="283"/>
    </row>
    <row r="479">
      <c r="A479" s="146" t="s">
        <v>94</v>
      </c>
      <c r="B479" s="47"/>
      <c r="C479" s="148" t="s">
        <v>11</v>
      </c>
      <c r="D479" s="148" t="str">
        <f t="shared" si="1"/>
        <v>-</v>
      </c>
      <c r="E479" s="9"/>
      <c r="F479" s="10"/>
      <c r="G479" s="9"/>
      <c r="H479" s="11"/>
      <c r="I479" s="11"/>
      <c r="J479" s="11"/>
      <c r="K479" s="9" t="s">
        <v>13</v>
      </c>
      <c r="L479" s="283"/>
    </row>
    <row r="480">
      <c r="A480" s="146" t="s">
        <v>94</v>
      </c>
      <c r="B480" s="47"/>
      <c r="C480" s="148" t="s">
        <v>11</v>
      </c>
      <c r="D480" s="148" t="str">
        <f t="shared" si="1"/>
        <v>-</v>
      </c>
      <c r="E480" s="9"/>
      <c r="F480" s="10"/>
      <c r="G480" s="9"/>
      <c r="H480" s="11"/>
      <c r="I480" s="11"/>
      <c r="J480" s="11"/>
      <c r="K480" s="9" t="s">
        <v>13</v>
      </c>
      <c r="L480" s="283"/>
    </row>
    <row r="481">
      <c r="A481" s="146" t="s">
        <v>94</v>
      </c>
      <c r="B481" s="47"/>
      <c r="C481" s="148" t="s">
        <v>11</v>
      </c>
      <c r="D481" s="148" t="str">
        <f t="shared" si="1"/>
        <v>-</v>
      </c>
      <c r="E481" s="9"/>
      <c r="F481" s="10"/>
      <c r="G481" s="9"/>
      <c r="H481" s="11"/>
      <c r="I481" s="11"/>
      <c r="J481" s="11"/>
      <c r="K481" s="9" t="s">
        <v>13</v>
      </c>
      <c r="L481" s="283"/>
    </row>
    <row r="482">
      <c r="A482" s="146" t="s">
        <v>94</v>
      </c>
      <c r="B482" s="47"/>
      <c r="C482" s="148" t="s">
        <v>11</v>
      </c>
      <c r="D482" s="148" t="str">
        <f t="shared" si="1"/>
        <v>-</v>
      </c>
      <c r="E482" s="9"/>
      <c r="F482" s="10"/>
      <c r="G482" s="9"/>
      <c r="H482" s="11"/>
      <c r="I482" s="11"/>
      <c r="J482" s="11"/>
      <c r="K482" s="9" t="s">
        <v>13</v>
      </c>
      <c r="L482" s="283"/>
    </row>
    <row r="483">
      <c r="A483" s="146" t="s">
        <v>94</v>
      </c>
      <c r="B483" s="47"/>
      <c r="C483" s="148" t="s">
        <v>11</v>
      </c>
      <c r="D483" s="148" t="str">
        <f t="shared" si="1"/>
        <v>-</v>
      </c>
      <c r="E483" s="9"/>
      <c r="F483" s="10"/>
      <c r="G483" s="9"/>
      <c r="H483" s="11"/>
      <c r="I483" s="11"/>
      <c r="J483" s="11"/>
      <c r="K483" s="9" t="s">
        <v>13</v>
      </c>
      <c r="L483" s="283"/>
    </row>
    <row r="484">
      <c r="A484" s="146" t="s">
        <v>94</v>
      </c>
      <c r="B484" s="47"/>
      <c r="C484" s="148" t="s">
        <v>11</v>
      </c>
      <c r="D484" s="148" t="str">
        <f t="shared" si="1"/>
        <v>-</v>
      </c>
      <c r="E484" s="9"/>
      <c r="F484" s="10"/>
      <c r="G484" s="9"/>
      <c r="H484" s="11"/>
      <c r="I484" s="11"/>
      <c r="J484" s="11"/>
      <c r="K484" s="9" t="s">
        <v>13</v>
      </c>
      <c r="L484" s="283"/>
    </row>
    <row r="485">
      <c r="A485" s="146" t="s">
        <v>94</v>
      </c>
      <c r="B485" s="47"/>
      <c r="C485" s="148" t="s">
        <v>11</v>
      </c>
      <c r="D485" s="148" t="str">
        <f t="shared" si="1"/>
        <v>-</v>
      </c>
      <c r="E485" s="9"/>
      <c r="F485" s="10"/>
      <c r="G485" s="9"/>
      <c r="H485" s="11"/>
      <c r="I485" s="11"/>
      <c r="J485" s="11"/>
      <c r="K485" s="9" t="s">
        <v>13</v>
      </c>
      <c r="L485" s="283"/>
    </row>
    <row r="486">
      <c r="A486" s="146" t="s">
        <v>94</v>
      </c>
      <c r="B486" s="47"/>
      <c r="C486" s="148" t="s">
        <v>11</v>
      </c>
      <c r="D486" s="148" t="str">
        <f t="shared" si="1"/>
        <v>-</v>
      </c>
      <c r="E486" s="9"/>
      <c r="F486" s="10"/>
      <c r="G486" s="9"/>
      <c r="H486" s="11"/>
      <c r="I486" s="11"/>
      <c r="J486" s="11"/>
      <c r="K486" s="9" t="s">
        <v>13</v>
      </c>
      <c r="L486" s="283"/>
    </row>
    <row r="487">
      <c r="A487" s="146" t="s">
        <v>94</v>
      </c>
      <c r="B487" s="47"/>
      <c r="C487" s="148" t="s">
        <v>11</v>
      </c>
      <c r="D487" s="148" t="str">
        <f t="shared" si="1"/>
        <v>-</v>
      </c>
      <c r="E487" s="9"/>
      <c r="F487" s="10"/>
      <c r="G487" s="9"/>
      <c r="H487" s="11"/>
      <c r="I487" s="11"/>
      <c r="J487" s="11"/>
      <c r="K487" s="9" t="s">
        <v>13</v>
      </c>
      <c r="L487" s="283"/>
    </row>
    <row r="488">
      <c r="A488" s="146" t="s">
        <v>94</v>
      </c>
      <c r="B488" s="47"/>
      <c r="C488" s="148" t="s">
        <v>11</v>
      </c>
      <c r="D488" s="148" t="str">
        <f t="shared" si="1"/>
        <v>-</v>
      </c>
      <c r="E488" s="9"/>
      <c r="F488" s="10"/>
      <c r="G488" s="9"/>
      <c r="H488" s="11"/>
      <c r="I488" s="11"/>
      <c r="J488" s="11"/>
      <c r="K488" s="9" t="s">
        <v>13</v>
      </c>
      <c r="L488" s="283"/>
    </row>
    <row r="489">
      <c r="A489" s="146" t="s">
        <v>94</v>
      </c>
      <c r="B489" s="47"/>
      <c r="C489" s="148" t="s">
        <v>11</v>
      </c>
      <c r="D489" s="148" t="str">
        <f t="shared" si="1"/>
        <v>-</v>
      </c>
      <c r="E489" s="9"/>
      <c r="F489" s="10"/>
      <c r="G489" s="9"/>
      <c r="H489" s="11"/>
      <c r="I489" s="11"/>
      <c r="J489" s="11"/>
      <c r="K489" s="9" t="s">
        <v>13</v>
      </c>
      <c r="L489" s="283"/>
    </row>
    <row r="490">
      <c r="A490" s="146" t="s">
        <v>94</v>
      </c>
      <c r="B490" s="47"/>
      <c r="C490" s="148" t="s">
        <v>11</v>
      </c>
      <c r="D490" s="148" t="str">
        <f t="shared" si="1"/>
        <v>-</v>
      </c>
      <c r="E490" s="9"/>
      <c r="F490" s="10"/>
      <c r="G490" s="9"/>
      <c r="H490" s="11"/>
      <c r="I490" s="11"/>
      <c r="J490" s="11"/>
      <c r="K490" s="9" t="s">
        <v>13</v>
      </c>
      <c r="L490" s="283"/>
    </row>
    <row r="491">
      <c r="A491" s="146" t="s">
        <v>94</v>
      </c>
      <c r="B491" s="47"/>
      <c r="C491" s="148" t="s">
        <v>11</v>
      </c>
      <c r="D491" s="148" t="str">
        <f t="shared" si="1"/>
        <v>-</v>
      </c>
      <c r="E491" s="9"/>
      <c r="F491" s="10"/>
      <c r="G491" s="9"/>
      <c r="H491" s="11"/>
      <c r="I491" s="11"/>
      <c r="J491" s="11"/>
      <c r="K491" s="9" t="s">
        <v>13</v>
      </c>
      <c r="L491" s="283"/>
    </row>
    <row r="492">
      <c r="A492" s="146" t="s">
        <v>94</v>
      </c>
      <c r="B492" s="47"/>
      <c r="C492" s="148" t="s">
        <v>11</v>
      </c>
      <c r="D492" s="148" t="str">
        <f t="shared" si="1"/>
        <v>-</v>
      </c>
      <c r="E492" s="9"/>
      <c r="F492" s="10"/>
      <c r="G492" s="9"/>
      <c r="H492" s="11"/>
      <c r="I492" s="11"/>
      <c r="J492" s="11"/>
      <c r="K492" s="9" t="s">
        <v>13</v>
      </c>
      <c r="L492" s="283"/>
    </row>
    <row r="493">
      <c r="A493" s="146" t="s">
        <v>94</v>
      </c>
      <c r="B493" s="47"/>
      <c r="C493" s="148" t="s">
        <v>11</v>
      </c>
      <c r="D493" s="148" t="str">
        <f t="shared" si="1"/>
        <v>-</v>
      </c>
      <c r="E493" s="9"/>
      <c r="F493" s="10"/>
      <c r="G493" s="9"/>
      <c r="H493" s="11"/>
      <c r="I493" s="11"/>
      <c r="J493" s="11"/>
      <c r="K493" s="9" t="s">
        <v>13</v>
      </c>
      <c r="L493" s="283"/>
    </row>
    <row r="494">
      <c r="A494" s="146" t="s">
        <v>94</v>
      </c>
      <c r="B494" s="47"/>
      <c r="C494" s="148" t="s">
        <v>11</v>
      </c>
      <c r="D494" s="148" t="str">
        <f t="shared" si="1"/>
        <v>-</v>
      </c>
      <c r="E494" s="9"/>
      <c r="F494" s="10"/>
      <c r="G494" s="9"/>
      <c r="H494" s="11"/>
      <c r="I494" s="11"/>
      <c r="J494" s="11"/>
      <c r="K494" s="9" t="s">
        <v>13</v>
      </c>
      <c r="L494" s="283"/>
    </row>
    <row r="495">
      <c r="A495" s="146" t="s">
        <v>94</v>
      </c>
      <c r="B495" s="47"/>
      <c r="C495" s="148" t="s">
        <v>11</v>
      </c>
      <c r="D495" s="148" t="str">
        <f t="shared" si="1"/>
        <v>-</v>
      </c>
      <c r="E495" s="9"/>
      <c r="F495" s="10"/>
      <c r="G495" s="9"/>
      <c r="H495" s="11"/>
      <c r="I495" s="11"/>
      <c r="J495" s="11"/>
      <c r="K495" s="9" t="s">
        <v>13</v>
      </c>
      <c r="L495" s="283"/>
    </row>
    <row r="496">
      <c r="A496" s="146" t="s">
        <v>94</v>
      </c>
      <c r="B496" s="47"/>
      <c r="C496" s="148" t="s">
        <v>11</v>
      </c>
      <c r="D496" s="148" t="str">
        <f t="shared" si="1"/>
        <v>-</v>
      </c>
      <c r="E496" s="9"/>
      <c r="F496" s="10"/>
      <c r="G496" s="9"/>
      <c r="H496" s="11"/>
      <c r="I496" s="11"/>
      <c r="J496" s="11"/>
      <c r="K496" s="9" t="s">
        <v>13</v>
      </c>
      <c r="L496" s="283"/>
    </row>
    <row r="497">
      <c r="A497" s="146" t="s">
        <v>94</v>
      </c>
      <c r="B497" s="47"/>
      <c r="C497" s="148" t="s">
        <v>11</v>
      </c>
      <c r="D497" s="148" t="str">
        <f t="shared" si="1"/>
        <v>-</v>
      </c>
      <c r="E497" s="9"/>
      <c r="F497" s="10"/>
      <c r="G497" s="9"/>
      <c r="H497" s="11"/>
      <c r="I497" s="11"/>
      <c r="J497" s="11"/>
      <c r="K497" s="9" t="s">
        <v>13</v>
      </c>
      <c r="L497" s="283"/>
    </row>
    <row r="498">
      <c r="A498" s="146" t="s">
        <v>94</v>
      </c>
      <c r="B498" s="47"/>
      <c r="C498" s="148" t="s">
        <v>11</v>
      </c>
      <c r="D498" s="148" t="str">
        <f t="shared" si="1"/>
        <v>-</v>
      </c>
      <c r="E498" s="9"/>
      <c r="F498" s="10"/>
      <c r="G498" s="9"/>
      <c r="H498" s="11"/>
      <c r="I498" s="11"/>
      <c r="J498" s="11"/>
      <c r="K498" s="9" t="s">
        <v>13</v>
      </c>
      <c r="L498" s="283"/>
    </row>
    <row r="499">
      <c r="A499" s="146" t="s">
        <v>94</v>
      </c>
      <c r="B499" s="47"/>
      <c r="C499" s="148" t="s">
        <v>11</v>
      </c>
      <c r="D499" s="148" t="str">
        <f t="shared" si="1"/>
        <v>-</v>
      </c>
      <c r="E499" s="9"/>
      <c r="F499" s="10"/>
      <c r="G499" s="9"/>
      <c r="H499" s="11"/>
      <c r="I499" s="11"/>
      <c r="J499" s="11"/>
      <c r="K499" s="9" t="s">
        <v>13</v>
      </c>
      <c r="L499" s="283"/>
    </row>
    <row r="500">
      <c r="A500" s="146" t="s">
        <v>94</v>
      </c>
      <c r="B500" s="47"/>
      <c r="C500" s="148" t="s">
        <v>11</v>
      </c>
      <c r="D500" s="148" t="str">
        <f t="shared" si="1"/>
        <v>-</v>
      </c>
      <c r="E500" s="9"/>
      <c r="F500" s="10"/>
      <c r="G500" s="9"/>
      <c r="H500" s="11"/>
      <c r="I500" s="11"/>
      <c r="J500" s="11"/>
      <c r="K500" s="9" t="s">
        <v>13</v>
      </c>
      <c r="L500" s="283"/>
    </row>
    <row r="501">
      <c r="A501" s="146" t="s">
        <v>94</v>
      </c>
      <c r="B501" s="47"/>
      <c r="C501" s="148" t="s">
        <v>11</v>
      </c>
      <c r="D501" s="148" t="str">
        <f t="shared" si="1"/>
        <v>-</v>
      </c>
      <c r="E501" s="9"/>
      <c r="F501" s="10"/>
      <c r="G501" s="9"/>
      <c r="H501" s="11"/>
      <c r="I501" s="11"/>
      <c r="J501" s="11"/>
      <c r="K501" s="9" t="s">
        <v>13</v>
      </c>
      <c r="L501" s="283"/>
    </row>
    <row r="502">
      <c r="A502" s="146" t="s">
        <v>94</v>
      </c>
      <c r="B502" s="47"/>
      <c r="C502" s="148" t="s">
        <v>11</v>
      </c>
      <c r="D502" s="148" t="str">
        <f t="shared" si="1"/>
        <v>-</v>
      </c>
      <c r="E502" s="9"/>
      <c r="F502" s="10"/>
      <c r="G502" s="9"/>
      <c r="H502" s="11"/>
      <c r="I502" s="11"/>
      <c r="J502" s="11"/>
      <c r="K502" s="9" t="s">
        <v>13</v>
      </c>
      <c r="L502" s="283"/>
    </row>
    <row r="503">
      <c r="A503" s="146" t="s">
        <v>94</v>
      </c>
      <c r="B503" s="47"/>
      <c r="C503" s="148" t="s">
        <v>11</v>
      </c>
      <c r="D503" s="148" t="str">
        <f t="shared" si="1"/>
        <v>-</v>
      </c>
      <c r="E503" s="9"/>
      <c r="F503" s="10"/>
      <c r="G503" s="9"/>
      <c r="H503" s="11"/>
      <c r="I503" s="11"/>
      <c r="J503" s="11"/>
      <c r="K503" s="9" t="s">
        <v>13</v>
      </c>
      <c r="L503" s="283"/>
    </row>
    <row r="504">
      <c r="A504" s="146" t="s">
        <v>94</v>
      </c>
      <c r="B504" s="47"/>
      <c r="C504" s="148" t="s">
        <v>11</v>
      </c>
      <c r="D504" s="148" t="str">
        <f t="shared" si="1"/>
        <v>-</v>
      </c>
      <c r="E504" s="9"/>
      <c r="F504" s="10"/>
      <c r="G504" s="9"/>
      <c r="H504" s="11"/>
      <c r="I504" s="11"/>
      <c r="J504" s="11"/>
      <c r="K504" s="9" t="s">
        <v>13</v>
      </c>
      <c r="L504" s="283"/>
    </row>
    <row r="505">
      <c r="A505" s="146" t="s">
        <v>94</v>
      </c>
      <c r="B505" s="47"/>
      <c r="C505" s="148" t="s">
        <v>11</v>
      </c>
      <c r="D505" s="148" t="str">
        <f t="shared" si="1"/>
        <v>-</v>
      </c>
      <c r="E505" s="9"/>
      <c r="F505" s="10"/>
      <c r="G505" s="9"/>
      <c r="H505" s="11"/>
      <c r="I505" s="11"/>
      <c r="J505" s="11"/>
      <c r="K505" s="9" t="s">
        <v>13</v>
      </c>
      <c r="L505" s="283"/>
    </row>
    <row r="506">
      <c r="A506" s="146" t="s">
        <v>94</v>
      </c>
      <c r="B506" s="47"/>
      <c r="C506" s="148" t="s">
        <v>11</v>
      </c>
      <c r="D506" s="148" t="str">
        <f t="shared" si="1"/>
        <v>-</v>
      </c>
      <c r="E506" s="9"/>
      <c r="F506" s="10"/>
      <c r="G506" s="9"/>
      <c r="H506" s="11"/>
      <c r="I506" s="11"/>
      <c r="J506" s="11"/>
      <c r="K506" s="9" t="s">
        <v>13</v>
      </c>
      <c r="L506" s="283"/>
    </row>
    <row r="507">
      <c r="A507" s="146" t="s">
        <v>94</v>
      </c>
      <c r="B507" s="47"/>
      <c r="C507" s="148" t="s">
        <v>11</v>
      </c>
      <c r="D507" s="148" t="str">
        <f t="shared" si="1"/>
        <v>-</v>
      </c>
      <c r="E507" s="9"/>
      <c r="F507" s="10"/>
      <c r="G507" s="9"/>
      <c r="H507" s="11"/>
      <c r="I507" s="11"/>
      <c r="J507" s="11"/>
      <c r="K507" s="9" t="s">
        <v>13</v>
      </c>
      <c r="L507" s="283"/>
    </row>
    <row r="508">
      <c r="A508" s="146" t="s">
        <v>94</v>
      </c>
      <c r="B508" s="47"/>
      <c r="C508" s="148" t="s">
        <v>11</v>
      </c>
      <c r="D508" s="148" t="str">
        <f t="shared" si="1"/>
        <v>-</v>
      </c>
      <c r="E508" s="9"/>
      <c r="F508" s="10"/>
      <c r="G508" s="9"/>
      <c r="H508" s="11"/>
      <c r="I508" s="11"/>
      <c r="J508" s="11"/>
      <c r="K508" s="9" t="s">
        <v>13</v>
      </c>
      <c r="L508" s="283"/>
    </row>
    <row r="509">
      <c r="A509" s="146" t="s">
        <v>94</v>
      </c>
      <c r="B509" s="47"/>
      <c r="C509" s="148" t="s">
        <v>11</v>
      </c>
      <c r="D509" s="148" t="str">
        <f t="shared" si="1"/>
        <v>-</v>
      </c>
      <c r="E509" s="9"/>
      <c r="F509" s="10"/>
      <c r="G509" s="9"/>
      <c r="H509" s="11"/>
      <c r="I509" s="11"/>
      <c r="J509" s="11"/>
      <c r="K509" s="9" t="s">
        <v>13</v>
      </c>
      <c r="L509" s="283"/>
    </row>
    <row r="510">
      <c r="A510" s="146" t="s">
        <v>94</v>
      </c>
      <c r="B510" s="47"/>
      <c r="C510" s="148" t="s">
        <v>11</v>
      </c>
      <c r="D510" s="148" t="str">
        <f t="shared" si="1"/>
        <v>-</v>
      </c>
      <c r="E510" s="9"/>
      <c r="F510" s="10"/>
      <c r="G510" s="9"/>
      <c r="H510" s="11"/>
      <c r="I510" s="11"/>
      <c r="J510" s="11"/>
      <c r="K510" s="9" t="s">
        <v>13</v>
      </c>
      <c r="L510" s="283"/>
    </row>
    <row r="511">
      <c r="A511" s="146" t="s">
        <v>94</v>
      </c>
      <c r="B511" s="47"/>
      <c r="C511" s="148" t="s">
        <v>11</v>
      </c>
      <c r="D511" s="148" t="str">
        <f t="shared" si="1"/>
        <v>-</v>
      </c>
      <c r="E511" s="9"/>
      <c r="F511" s="10"/>
      <c r="G511" s="9"/>
      <c r="H511" s="11"/>
      <c r="I511" s="11"/>
      <c r="J511" s="11"/>
      <c r="K511" s="9" t="s">
        <v>13</v>
      </c>
      <c r="L511" s="283"/>
    </row>
    <row r="512">
      <c r="A512" s="146" t="s">
        <v>94</v>
      </c>
      <c r="B512" s="47"/>
      <c r="C512" s="148" t="s">
        <v>11</v>
      </c>
      <c r="D512" s="148" t="str">
        <f t="shared" si="1"/>
        <v>-</v>
      </c>
      <c r="E512" s="9"/>
      <c r="F512" s="10"/>
      <c r="G512" s="9"/>
      <c r="H512" s="11"/>
      <c r="I512" s="11"/>
      <c r="J512" s="11"/>
      <c r="K512" s="9" t="s">
        <v>13</v>
      </c>
      <c r="L512" s="283"/>
    </row>
    <row r="513">
      <c r="A513" s="146" t="s">
        <v>94</v>
      </c>
      <c r="B513" s="47"/>
      <c r="C513" s="148" t="s">
        <v>11</v>
      </c>
      <c r="D513" s="148" t="str">
        <f t="shared" si="1"/>
        <v>-</v>
      </c>
      <c r="E513" s="9"/>
      <c r="F513" s="10"/>
      <c r="G513" s="9"/>
      <c r="H513" s="11"/>
      <c r="I513" s="11"/>
      <c r="J513" s="11"/>
      <c r="K513" s="9" t="s">
        <v>13</v>
      </c>
      <c r="L513" s="283"/>
    </row>
    <row r="514">
      <c r="A514" s="146" t="s">
        <v>94</v>
      </c>
      <c r="B514" s="47"/>
      <c r="C514" s="148" t="s">
        <v>11</v>
      </c>
      <c r="D514" s="148" t="str">
        <f t="shared" si="1"/>
        <v>-</v>
      </c>
      <c r="E514" s="9"/>
      <c r="F514" s="10"/>
      <c r="G514" s="9"/>
      <c r="H514" s="11"/>
      <c r="I514" s="11"/>
      <c r="J514" s="11"/>
      <c r="K514" s="9" t="s">
        <v>13</v>
      </c>
      <c r="L514" s="283"/>
    </row>
    <row r="515">
      <c r="A515" s="146" t="s">
        <v>94</v>
      </c>
      <c r="B515" s="47"/>
      <c r="C515" s="148" t="s">
        <v>11</v>
      </c>
      <c r="D515" s="148" t="str">
        <f t="shared" si="1"/>
        <v>-</v>
      </c>
      <c r="E515" s="9"/>
      <c r="F515" s="10"/>
      <c r="G515" s="9"/>
      <c r="H515" s="11"/>
      <c r="I515" s="11"/>
      <c r="J515" s="11"/>
      <c r="K515" s="9" t="s">
        <v>13</v>
      </c>
      <c r="L515" s="283"/>
    </row>
    <row r="516">
      <c r="A516" s="146" t="s">
        <v>94</v>
      </c>
      <c r="B516" s="47"/>
      <c r="C516" s="148" t="s">
        <v>11</v>
      </c>
      <c r="D516" s="148" t="str">
        <f t="shared" si="1"/>
        <v>-</v>
      </c>
      <c r="E516" s="9"/>
      <c r="F516" s="10"/>
      <c r="G516" s="9"/>
      <c r="H516" s="11"/>
      <c r="I516" s="11"/>
      <c r="J516" s="11"/>
      <c r="K516" s="9" t="s">
        <v>13</v>
      </c>
      <c r="L516" s="283"/>
    </row>
    <row r="517">
      <c r="A517" s="146" t="s">
        <v>94</v>
      </c>
      <c r="B517" s="47"/>
      <c r="C517" s="148" t="s">
        <v>11</v>
      </c>
      <c r="D517" s="148" t="str">
        <f t="shared" si="1"/>
        <v>-</v>
      </c>
      <c r="E517" s="9"/>
      <c r="F517" s="10"/>
      <c r="G517" s="9"/>
      <c r="H517" s="11"/>
      <c r="I517" s="11"/>
      <c r="J517" s="11"/>
      <c r="K517" s="9" t="s">
        <v>13</v>
      </c>
      <c r="L517" s="283"/>
    </row>
    <row r="518">
      <c r="A518" s="146" t="s">
        <v>94</v>
      </c>
      <c r="B518" s="47"/>
      <c r="C518" s="148" t="s">
        <v>11</v>
      </c>
      <c r="D518" s="148" t="str">
        <f t="shared" si="1"/>
        <v>-</v>
      </c>
      <c r="E518" s="9"/>
      <c r="F518" s="10"/>
      <c r="G518" s="9"/>
      <c r="H518" s="11"/>
      <c r="I518" s="11"/>
      <c r="J518" s="11"/>
      <c r="K518" s="9" t="s">
        <v>13</v>
      </c>
      <c r="L518" s="283"/>
    </row>
    <row r="519">
      <c r="A519" s="146" t="s">
        <v>94</v>
      </c>
      <c r="B519" s="47"/>
      <c r="C519" s="148" t="s">
        <v>11</v>
      </c>
      <c r="D519" s="148" t="str">
        <f t="shared" si="1"/>
        <v>-</v>
      </c>
      <c r="E519" s="9"/>
      <c r="F519" s="10"/>
      <c r="G519" s="9"/>
      <c r="H519" s="11"/>
      <c r="I519" s="11"/>
      <c r="J519" s="11"/>
      <c r="K519" s="9" t="s">
        <v>13</v>
      </c>
      <c r="L519" s="283"/>
    </row>
    <row r="520">
      <c r="A520" s="146" t="s">
        <v>94</v>
      </c>
      <c r="B520" s="47"/>
      <c r="C520" s="148" t="s">
        <v>11</v>
      </c>
      <c r="D520" s="148" t="str">
        <f t="shared" si="1"/>
        <v>-</v>
      </c>
      <c r="E520" s="9"/>
      <c r="F520" s="10"/>
      <c r="G520" s="9"/>
      <c r="H520" s="11"/>
      <c r="I520" s="11"/>
      <c r="J520" s="11"/>
      <c r="K520" s="9" t="s">
        <v>13</v>
      </c>
      <c r="L520" s="283"/>
    </row>
    <row r="521">
      <c r="A521" s="146" t="s">
        <v>94</v>
      </c>
      <c r="B521" s="47"/>
      <c r="C521" s="148" t="s">
        <v>11</v>
      </c>
      <c r="D521" s="148" t="str">
        <f t="shared" si="1"/>
        <v>-</v>
      </c>
      <c r="E521" s="9"/>
      <c r="F521" s="10"/>
      <c r="G521" s="9"/>
      <c r="H521" s="11"/>
      <c r="I521" s="11"/>
      <c r="J521" s="11"/>
      <c r="K521" s="9" t="s">
        <v>13</v>
      </c>
      <c r="L521" s="283"/>
    </row>
    <row r="522">
      <c r="A522" s="146" t="s">
        <v>94</v>
      </c>
      <c r="B522" s="47"/>
      <c r="C522" s="148" t="s">
        <v>11</v>
      </c>
      <c r="D522" s="148" t="str">
        <f t="shared" si="1"/>
        <v>-</v>
      </c>
      <c r="E522" s="9"/>
      <c r="F522" s="10"/>
      <c r="G522" s="9"/>
      <c r="H522" s="11"/>
      <c r="I522" s="11"/>
      <c r="J522" s="11"/>
      <c r="K522" s="9" t="s">
        <v>13</v>
      </c>
      <c r="L522" s="283"/>
    </row>
    <row r="523">
      <c r="A523" s="146" t="s">
        <v>94</v>
      </c>
      <c r="B523" s="47"/>
      <c r="C523" s="148" t="s">
        <v>11</v>
      </c>
      <c r="D523" s="148" t="str">
        <f t="shared" si="1"/>
        <v>-</v>
      </c>
      <c r="E523" s="9"/>
      <c r="F523" s="10"/>
      <c r="G523" s="9"/>
      <c r="H523" s="11"/>
      <c r="I523" s="11"/>
      <c r="J523" s="11"/>
      <c r="K523" s="9" t="s">
        <v>13</v>
      </c>
      <c r="L523" s="283"/>
    </row>
    <row r="524">
      <c r="A524" s="146" t="s">
        <v>94</v>
      </c>
      <c r="B524" s="47"/>
      <c r="C524" s="148" t="s">
        <v>11</v>
      </c>
      <c r="D524" s="148" t="str">
        <f t="shared" si="1"/>
        <v>-</v>
      </c>
      <c r="E524" s="9"/>
      <c r="F524" s="10"/>
      <c r="G524" s="9"/>
      <c r="H524" s="11"/>
      <c r="I524" s="11"/>
      <c r="J524" s="11"/>
      <c r="K524" s="9" t="s">
        <v>13</v>
      </c>
      <c r="L524" s="283"/>
    </row>
    <row r="525">
      <c r="A525" s="146" t="s">
        <v>94</v>
      </c>
      <c r="B525" s="47"/>
      <c r="C525" s="148" t="s">
        <v>11</v>
      </c>
      <c r="D525" s="148" t="str">
        <f t="shared" si="1"/>
        <v>-</v>
      </c>
      <c r="E525" s="9"/>
      <c r="F525" s="10"/>
      <c r="G525" s="9"/>
      <c r="H525" s="11"/>
      <c r="I525" s="11"/>
      <c r="J525" s="11"/>
      <c r="K525" s="9" t="s">
        <v>13</v>
      </c>
      <c r="L525" s="283"/>
    </row>
    <row r="526">
      <c r="A526" s="146" t="s">
        <v>94</v>
      </c>
      <c r="B526" s="47"/>
      <c r="C526" s="148" t="s">
        <v>11</v>
      </c>
      <c r="D526" s="148" t="str">
        <f t="shared" si="1"/>
        <v>-</v>
      </c>
      <c r="E526" s="9"/>
      <c r="F526" s="10"/>
      <c r="G526" s="9"/>
      <c r="H526" s="11"/>
      <c r="I526" s="11"/>
      <c r="J526" s="11"/>
      <c r="K526" s="9" t="s">
        <v>13</v>
      </c>
      <c r="L526" s="283"/>
    </row>
    <row r="527">
      <c r="A527" s="146" t="s">
        <v>94</v>
      </c>
      <c r="B527" s="47"/>
      <c r="C527" s="148" t="s">
        <v>11</v>
      </c>
      <c r="D527" s="148" t="str">
        <f t="shared" si="1"/>
        <v>-</v>
      </c>
      <c r="E527" s="9"/>
      <c r="F527" s="10"/>
      <c r="G527" s="9"/>
      <c r="H527" s="11"/>
      <c r="I527" s="11"/>
      <c r="J527" s="11"/>
      <c r="K527" s="9" t="s">
        <v>13</v>
      </c>
      <c r="L527" s="283"/>
    </row>
    <row r="528">
      <c r="A528" s="146" t="s">
        <v>94</v>
      </c>
      <c r="B528" s="47"/>
      <c r="C528" s="148" t="s">
        <v>11</v>
      </c>
      <c r="D528" s="148" t="str">
        <f t="shared" si="1"/>
        <v>-</v>
      </c>
      <c r="E528" s="9"/>
      <c r="F528" s="10"/>
      <c r="G528" s="9"/>
      <c r="H528" s="11"/>
      <c r="I528" s="11"/>
      <c r="J528" s="11"/>
      <c r="K528" s="9" t="s">
        <v>13</v>
      </c>
      <c r="L528" s="283"/>
    </row>
    <row r="529">
      <c r="A529" s="146" t="s">
        <v>94</v>
      </c>
      <c r="B529" s="47"/>
      <c r="C529" s="148" t="s">
        <v>11</v>
      </c>
      <c r="D529" s="148" t="str">
        <f t="shared" si="1"/>
        <v>-</v>
      </c>
      <c r="E529" s="9"/>
      <c r="F529" s="10"/>
      <c r="G529" s="9"/>
      <c r="H529" s="11"/>
      <c r="I529" s="11"/>
      <c r="J529" s="11"/>
      <c r="K529" s="9" t="s">
        <v>13</v>
      </c>
      <c r="L529" s="283"/>
    </row>
    <row r="530">
      <c r="A530" s="146" t="s">
        <v>94</v>
      </c>
      <c r="B530" s="47"/>
      <c r="C530" s="148" t="s">
        <v>11</v>
      </c>
      <c r="D530" s="148" t="str">
        <f t="shared" si="1"/>
        <v>-</v>
      </c>
      <c r="E530" s="9"/>
      <c r="F530" s="10"/>
      <c r="G530" s="9"/>
      <c r="H530" s="11"/>
      <c r="I530" s="11"/>
      <c r="J530" s="11"/>
      <c r="K530" s="9" t="s">
        <v>13</v>
      </c>
      <c r="L530" s="283"/>
    </row>
    <row r="531">
      <c r="A531" s="146" t="s">
        <v>94</v>
      </c>
      <c r="B531" s="47"/>
      <c r="C531" s="148" t="s">
        <v>11</v>
      </c>
      <c r="D531" s="148" t="str">
        <f t="shared" si="1"/>
        <v>-</v>
      </c>
      <c r="E531" s="9"/>
      <c r="F531" s="10"/>
      <c r="G531" s="9"/>
      <c r="H531" s="11"/>
      <c r="I531" s="11"/>
      <c r="J531" s="11"/>
      <c r="K531" s="9" t="s">
        <v>13</v>
      </c>
      <c r="L531" s="283"/>
    </row>
    <row r="532">
      <c r="A532" s="146" t="s">
        <v>94</v>
      </c>
      <c r="B532" s="47"/>
      <c r="C532" s="148" t="s">
        <v>11</v>
      </c>
      <c r="D532" s="148" t="str">
        <f t="shared" si="1"/>
        <v>-</v>
      </c>
      <c r="E532" s="9"/>
      <c r="F532" s="10"/>
      <c r="G532" s="9"/>
      <c r="H532" s="11"/>
      <c r="I532" s="11"/>
      <c r="J532" s="11"/>
      <c r="K532" s="9" t="s">
        <v>13</v>
      </c>
      <c r="L532" s="283"/>
    </row>
    <row r="533">
      <c r="A533" s="146" t="s">
        <v>94</v>
      </c>
      <c r="B533" s="47"/>
      <c r="C533" s="148" t="s">
        <v>11</v>
      </c>
      <c r="D533" s="148" t="str">
        <f t="shared" si="1"/>
        <v>-</v>
      </c>
      <c r="E533" s="9"/>
      <c r="F533" s="10"/>
      <c r="G533" s="9"/>
      <c r="H533" s="11"/>
      <c r="I533" s="11"/>
      <c r="J533" s="11"/>
      <c r="K533" s="9" t="s">
        <v>13</v>
      </c>
      <c r="L533" s="283"/>
    </row>
    <row r="534">
      <c r="A534" s="146" t="s">
        <v>94</v>
      </c>
      <c r="B534" s="47"/>
      <c r="C534" s="148" t="s">
        <v>11</v>
      </c>
      <c r="D534" s="148" t="str">
        <f t="shared" si="1"/>
        <v>-</v>
      </c>
      <c r="E534" s="9"/>
      <c r="F534" s="10"/>
      <c r="G534" s="9"/>
      <c r="H534" s="11"/>
      <c r="I534" s="11"/>
      <c r="J534" s="11"/>
      <c r="K534" s="9" t="s">
        <v>13</v>
      </c>
      <c r="L534" s="283"/>
    </row>
    <row r="535">
      <c r="A535" s="146" t="s">
        <v>94</v>
      </c>
      <c r="B535" s="47"/>
      <c r="C535" s="148" t="s">
        <v>11</v>
      </c>
      <c r="D535" s="148" t="str">
        <f t="shared" si="1"/>
        <v>-</v>
      </c>
      <c r="E535" s="9"/>
      <c r="F535" s="10"/>
      <c r="G535" s="9"/>
      <c r="H535" s="11"/>
      <c r="I535" s="11"/>
      <c r="J535" s="11"/>
      <c r="K535" s="9" t="s">
        <v>13</v>
      </c>
      <c r="L535" s="283"/>
    </row>
    <row r="536">
      <c r="A536" s="146" t="s">
        <v>94</v>
      </c>
      <c r="B536" s="47"/>
      <c r="C536" s="148" t="s">
        <v>11</v>
      </c>
      <c r="D536" s="148" t="str">
        <f t="shared" si="1"/>
        <v>-</v>
      </c>
      <c r="E536" s="9"/>
      <c r="F536" s="10"/>
      <c r="G536" s="9"/>
      <c r="H536" s="11"/>
      <c r="I536" s="11"/>
      <c r="J536" s="11"/>
      <c r="K536" s="9" t="s">
        <v>13</v>
      </c>
      <c r="L536" s="283"/>
    </row>
    <row r="537">
      <c r="A537" s="146" t="s">
        <v>94</v>
      </c>
      <c r="B537" s="47"/>
      <c r="C537" s="148" t="s">
        <v>11</v>
      </c>
      <c r="D537" s="148" t="str">
        <f t="shared" si="1"/>
        <v>-</v>
      </c>
      <c r="E537" s="9"/>
      <c r="F537" s="10"/>
      <c r="G537" s="9"/>
      <c r="H537" s="11"/>
      <c r="I537" s="11"/>
      <c r="J537" s="11"/>
      <c r="K537" s="9" t="s">
        <v>13</v>
      </c>
      <c r="L537" s="283"/>
    </row>
    <row r="538">
      <c r="A538" s="146" t="s">
        <v>94</v>
      </c>
      <c r="B538" s="47"/>
      <c r="C538" s="148" t="s">
        <v>11</v>
      </c>
      <c r="D538" s="148" t="str">
        <f t="shared" si="1"/>
        <v>-</v>
      </c>
      <c r="E538" s="9"/>
      <c r="F538" s="10"/>
      <c r="G538" s="9"/>
      <c r="H538" s="11"/>
      <c r="I538" s="11"/>
      <c r="J538" s="11"/>
      <c r="K538" s="9" t="s">
        <v>13</v>
      </c>
      <c r="L538" s="283"/>
    </row>
    <row r="539">
      <c r="A539" s="146" t="s">
        <v>94</v>
      </c>
      <c r="B539" s="47"/>
      <c r="C539" s="148" t="s">
        <v>11</v>
      </c>
      <c r="D539" s="148" t="str">
        <f t="shared" si="1"/>
        <v>-</v>
      </c>
      <c r="E539" s="9"/>
      <c r="F539" s="10"/>
      <c r="G539" s="9"/>
      <c r="H539" s="11"/>
      <c r="I539" s="11"/>
      <c r="J539" s="11"/>
      <c r="K539" s="9" t="s">
        <v>13</v>
      </c>
      <c r="L539" s="283"/>
    </row>
    <row r="540">
      <c r="A540" s="146" t="s">
        <v>94</v>
      </c>
      <c r="B540" s="47"/>
      <c r="C540" s="148" t="s">
        <v>11</v>
      </c>
      <c r="D540" s="148" t="str">
        <f t="shared" si="1"/>
        <v>-</v>
      </c>
      <c r="E540" s="9"/>
      <c r="F540" s="10"/>
      <c r="G540" s="9"/>
      <c r="H540" s="11"/>
      <c r="I540" s="11"/>
      <c r="J540" s="11"/>
      <c r="K540" s="9" t="s">
        <v>13</v>
      </c>
      <c r="L540" s="283"/>
    </row>
    <row r="541">
      <c r="A541" s="146" t="s">
        <v>94</v>
      </c>
      <c r="B541" s="47"/>
      <c r="C541" s="148" t="s">
        <v>11</v>
      </c>
      <c r="D541" s="148" t="str">
        <f t="shared" si="1"/>
        <v>-</v>
      </c>
      <c r="E541" s="9"/>
      <c r="F541" s="10"/>
      <c r="G541" s="9"/>
      <c r="H541" s="11"/>
      <c r="I541" s="11"/>
      <c r="J541" s="11"/>
      <c r="K541" s="9" t="s">
        <v>13</v>
      </c>
      <c r="L541" s="283"/>
    </row>
    <row r="542">
      <c r="A542" s="146" t="s">
        <v>94</v>
      </c>
      <c r="B542" s="47"/>
      <c r="C542" s="148" t="s">
        <v>11</v>
      </c>
      <c r="D542" s="148" t="str">
        <f t="shared" si="1"/>
        <v>-</v>
      </c>
      <c r="E542" s="9"/>
      <c r="F542" s="10"/>
      <c r="G542" s="9"/>
      <c r="H542" s="11"/>
      <c r="I542" s="11"/>
      <c r="J542" s="11"/>
      <c r="K542" s="9" t="s">
        <v>13</v>
      </c>
      <c r="L542" s="283"/>
    </row>
    <row r="543">
      <c r="A543" s="146" t="s">
        <v>94</v>
      </c>
      <c r="B543" s="47"/>
      <c r="C543" s="148" t="s">
        <v>11</v>
      </c>
      <c r="D543" s="148" t="str">
        <f t="shared" si="1"/>
        <v>-</v>
      </c>
      <c r="E543" s="9"/>
      <c r="F543" s="10"/>
      <c r="G543" s="9"/>
      <c r="H543" s="11"/>
      <c r="I543" s="11"/>
      <c r="J543" s="11"/>
      <c r="K543" s="9" t="s">
        <v>13</v>
      </c>
      <c r="L543" s="283"/>
    </row>
    <row r="544">
      <c r="A544" s="146" t="s">
        <v>94</v>
      </c>
      <c r="B544" s="47"/>
      <c r="C544" s="148" t="s">
        <v>11</v>
      </c>
      <c r="D544" s="148" t="str">
        <f t="shared" si="1"/>
        <v>-</v>
      </c>
      <c r="E544" s="9"/>
      <c r="F544" s="10"/>
      <c r="G544" s="9"/>
      <c r="H544" s="11"/>
      <c r="I544" s="11"/>
      <c r="J544" s="11"/>
      <c r="K544" s="9" t="s">
        <v>13</v>
      </c>
      <c r="L544" s="283"/>
    </row>
    <row r="545">
      <c r="A545" s="146" t="s">
        <v>94</v>
      </c>
      <c r="B545" s="47"/>
      <c r="C545" s="148" t="s">
        <v>11</v>
      </c>
      <c r="D545" s="148" t="str">
        <f t="shared" si="1"/>
        <v>-</v>
      </c>
      <c r="E545" s="9"/>
      <c r="F545" s="10"/>
      <c r="G545" s="9"/>
      <c r="H545" s="11"/>
      <c r="I545" s="11"/>
      <c r="J545" s="11"/>
      <c r="K545" s="9" t="s">
        <v>13</v>
      </c>
      <c r="L545" s="283"/>
    </row>
    <row r="546">
      <c r="A546" s="146" t="s">
        <v>94</v>
      </c>
      <c r="B546" s="47"/>
      <c r="C546" s="148" t="s">
        <v>11</v>
      </c>
      <c r="D546" s="148" t="str">
        <f t="shared" si="1"/>
        <v>-</v>
      </c>
      <c r="E546" s="9"/>
      <c r="F546" s="10"/>
      <c r="G546" s="9"/>
      <c r="H546" s="11"/>
      <c r="I546" s="11"/>
      <c r="J546" s="11"/>
      <c r="K546" s="9" t="s">
        <v>13</v>
      </c>
      <c r="L546" s="283"/>
    </row>
    <row r="547">
      <c r="A547" s="146" t="s">
        <v>94</v>
      </c>
      <c r="B547" s="47"/>
      <c r="C547" s="148" t="s">
        <v>11</v>
      </c>
      <c r="D547" s="148" t="str">
        <f t="shared" si="1"/>
        <v>-</v>
      </c>
      <c r="E547" s="9"/>
      <c r="F547" s="10"/>
      <c r="G547" s="9"/>
      <c r="H547" s="11"/>
      <c r="I547" s="11"/>
      <c r="J547" s="11"/>
      <c r="K547" s="9" t="s">
        <v>13</v>
      </c>
      <c r="L547" s="283"/>
    </row>
    <row r="548">
      <c r="A548" s="146" t="s">
        <v>94</v>
      </c>
      <c r="B548" s="47"/>
      <c r="C548" s="148" t="s">
        <v>11</v>
      </c>
      <c r="D548" s="148" t="str">
        <f t="shared" si="1"/>
        <v>-</v>
      </c>
      <c r="E548" s="9"/>
      <c r="F548" s="10"/>
      <c r="G548" s="9"/>
      <c r="H548" s="11"/>
      <c r="I548" s="11"/>
      <c r="J548" s="11"/>
      <c r="K548" s="9" t="s">
        <v>13</v>
      </c>
      <c r="L548" s="283"/>
    </row>
    <row r="549">
      <c r="A549" s="146" t="s">
        <v>94</v>
      </c>
      <c r="B549" s="47"/>
      <c r="C549" s="148" t="s">
        <v>11</v>
      </c>
      <c r="D549" s="148" t="str">
        <f t="shared" si="1"/>
        <v>-</v>
      </c>
      <c r="E549" s="9"/>
      <c r="F549" s="10"/>
      <c r="G549" s="9"/>
      <c r="H549" s="11"/>
      <c r="I549" s="11"/>
      <c r="J549" s="11"/>
      <c r="K549" s="9" t="s">
        <v>13</v>
      </c>
      <c r="L549" s="283"/>
    </row>
    <row r="550">
      <c r="A550" s="146" t="s">
        <v>94</v>
      </c>
      <c r="B550" s="47"/>
      <c r="C550" s="148" t="s">
        <v>11</v>
      </c>
      <c r="D550" s="148" t="str">
        <f t="shared" si="1"/>
        <v>-</v>
      </c>
      <c r="E550" s="9"/>
      <c r="F550" s="10"/>
      <c r="G550" s="9"/>
      <c r="H550" s="11"/>
      <c r="I550" s="11"/>
      <c r="J550" s="11"/>
      <c r="K550" s="9" t="s">
        <v>13</v>
      </c>
      <c r="L550" s="283"/>
    </row>
    <row r="551">
      <c r="A551" s="146" t="s">
        <v>94</v>
      </c>
      <c r="B551" s="47"/>
      <c r="C551" s="148" t="s">
        <v>11</v>
      </c>
      <c r="D551" s="148" t="str">
        <f t="shared" si="1"/>
        <v>-</v>
      </c>
      <c r="E551" s="9"/>
      <c r="F551" s="10"/>
      <c r="G551" s="9"/>
      <c r="H551" s="11"/>
      <c r="I551" s="11"/>
      <c r="J551" s="11"/>
      <c r="K551" s="9" t="s">
        <v>13</v>
      </c>
      <c r="L551" s="283"/>
    </row>
    <row r="552">
      <c r="A552" s="146" t="s">
        <v>94</v>
      </c>
      <c r="B552" s="47"/>
      <c r="C552" s="148" t="s">
        <v>11</v>
      </c>
      <c r="D552" s="148" t="str">
        <f t="shared" si="1"/>
        <v>-</v>
      </c>
      <c r="E552" s="9"/>
      <c r="F552" s="10"/>
      <c r="G552" s="9"/>
      <c r="H552" s="11"/>
      <c r="I552" s="11"/>
      <c r="J552" s="11"/>
      <c r="K552" s="9" t="s">
        <v>13</v>
      </c>
      <c r="L552" s="283"/>
    </row>
    <row r="553">
      <c r="A553" s="146" t="s">
        <v>94</v>
      </c>
      <c r="B553" s="47"/>
      <c r="C553" s="148" t="s">
        <v>11</v>
      </c>
      <c r="D553" s="148" t="str">
        <f t="shared" si="1"/>
        <v>-</v>
      </c>
      <c r="E553" s="9"/>
      <c r="F553" s="10"/>
      <c r="G553" s="9"/>
      <c r="H553" s="11"/>
      <c r="I553" s="11"/>
      <c r="J553" s="11"/>
      <c r="K553" s="9" t="s">
        <v>13</v>
      </c>
      <c r="L553" s="283"/>
    </row>
    <row r="554">
      <c r="A554" s="146" t="s">
        <v>94</v>
      </c>
      <c r="B554" s="47"/>
      <c r="C554" s="148" t="s">
        <v>11</v>
      </c>
      <c r="D554" s="148" t="str">
        <f t="shared" si="1"/>
        <v>-</v>
      </c>
      <c r="E554" s="9"/>
      <c r="F554" s="10"/>
      <c r="G554" s="9"/>
      <c r="H554" s="11"/>
      <c r="I554" s="11"/>
      <c r="J554" s="11"/>
      <c r="K554" s="9" t="s">
        <v>13</v>
      </c>
      <c r="L554" s="283"/>
    </row>
    <row r="555">
      <c r="A555" s="146" t="s">
        <v>94</v>
      </c>
      <c r="B555" s="47"/>
      <c r="C555" s="148" t="s">
        <v>11</v>
      </c>
      <c r="D555" s="148" t="str">
        <f t="shared" si="1"/>
        <v>-</v>
      </c>
      <c r="E555" s="9"/>
      <c r="F555" s="10"/>
      <c r="G555" s="9"/>
      <c r="H555" s="11"/>
      <c r="I555" s="11"/>
      <c r="J555" s="11"/>
      <c r="K555" s="9" t="s">
        <v>13</v>
      </c>
      <c r="L555" s="283"/>
    </row>
    <row r="556">
      <c r="A556" s="146" t="s">
        <v>94</v>
      </c>
      <c r="B556" s="47"/>
      <c r="C556" s="148" t="s">
        <v>11</v>
      </c>
      <c r="D556" s="148" t="str">
        <f t="shared" si="1"/>
        <v>-</v>
      </c>
      <c r="E556" s="9"/>
      <c r="F556" s="10"/>
      <c r="G556" s="9"/>
      <c r="H556" s="11"/>
      <c r="I556" s="11"/>
      <c r="J556" s="11"/>
      <c r="K556" s="9" t="s">
        <v>13</v>
      </c>
      <c r="L556" s="283"/>
    </row>
    <row r="557">
      <c r="A557" s="146" t="s">
        <v>94</v>
      </c>
      <c r="B557" s="47"/>
      <c r="C557" s="148" t="s">
        <v>11</v>
      </c>
      <c r="D557" s="148" t="str">
        <f t="shared" si="1"/>
        <v>-</v>
      </c>
      <c r="E557" s="9"/>
      <c r="F557" s="10"/>
      <c r="G557" s="9"/>
      <c r="H557" s="11"/>
      <c r="I557" s="11"/>
      <c r="J557" s="11"/>
      <c r="K557" s="9" t="s">
        <v>13</v>
      </c>
      <c r="L557" s="283"/>
    </row>
    <row r="558">
      <c r="A558" s="146" t="s">
        <v>94</v>
      </c>
      <c r="B558" s="47"/>
      <c r="C558" s="148" t="s">
        <v>11</v>
      </c>
      <c r="D558" s="148" t="str">
        <f t="shared" si="1"/>
        <v>-</v>
      </c>
      <c r="E558" s="9"/>
      <c r="F558" s="10"/>
      <c r="G558" s="9"/>
      <c r="H558" s="11"/>
      <c r="I558" s="11"/>
      <c r="J558" s="11"/>
      <c r="K558" s="9" t="s">
        <v>13</v>
      </c>
      <c r="L558" s="283"/>
    </row>
    <row r="559">
      <c r="A559" s="146" t="s">
        <v>94</v>
      </c>
      <c r="B559" s="47"/>
      <c r="C559" s="148" t="s">
        <v>11</v>
      </c>
      <c r="D559" s="148" t="str">
        <f t="shared" si="1"/>
        <v>-</v>
      </c>
      <c r="E559" s="9"/>
      <c r="F559" s="10"/>
      <c r="G559" s="9"/>
      <c r="H559" s="11"/>
      <c r="I559" s="11"/>
      <c r="J559" s="11"/>
      <c r="K559" s="9" t="s">
        <v>13</v>
      </c>
      <c r="L559" s="283"/>
    </row>
    <row r="560">
      <c r="A560" s="146" t="s">
        <v>94</v>
      </c>
      <c r="B560" s="47"/>
      <c r="C560" s="148" t="s">
        <v>11</v>
      </c>
      <c r="D560" s="148" t="str">
        <f t="shared" si="1"/>
        <v>-</v>
      </c>
      <c r="E560" s="9"/>
      <c r="F560" s="10"/>
      <c r="G560" s="9"/>
      <c r="H560" s="11"/>
      <c r="I560" s="11"/>
      <c r="J560" s="11"/>
      <c r="K560" s="9" t="s">
        <v>13</v>
      </c>
      <c r="L560" s="283"/>
    </row>
    <row r="561">
      <c r="A561" s="146" t="s">
        <v>94</v>
      </c>
      <c r="B561" s="47"/>
      <c r="C561" s="148" t="s">
        <v>11</v>
      </c>
      <c r="D561" s="148" t="str">
        <f t="shared" si="1"/>
        <v>-</v>
      </c>
      <c r="E561" s="9"/>
      <c r="F561" s="10"/>
      <c r="G561" s="9"/>
      <c r="H561" s="11"/>
      <c r="I561" s="11"/>
      <c r="J561" s="11"/>
      <c r="K561" s="9" t="s">
        <v>13</v>
      </c>
      <c r="L561" s="283"/>
    </row>
    <row r="562">
      <c r="A562" s="146" t="s">
        <v>94</v>
      </c>
      <c r="B562" s="47"/>
      <c r="C562" s="148" t="s">
        <v>11</v>
      </c>
      <c r="D562" s="148" t="str">
        <f t="shared" si="1"/>
        <v>-</v>
      </c>
      <c r="E562" s="9"/>
      <c r="F562" s="10"/>
      <c r="G562" s="9"/>
      <c r="H562" s="11"/>
      <c r="I562" s="11"/>
      <c r="J562" s="11"/>
      <c r="K562" s="9" t="s">
        <v>13</v>
      </c>
      <c r="L562" s="283"/>
    </row>
    <row r="563">
      <c r="A563" s="146" t="s">
        <v>94</v>
      </c>
      <c r="B563" s="47"/>
      <c r="C563" s="148" t="s">
        <v>11</v>
      </c>
      <c r="D563" s="148" t="str">
        <f t="shared" si="1"/>
        <v>-</v>
      </c>
      <c r="E563" s="9"/>
      <c r="F563" s="10"/>
      <c r="G563" s="9"/>
      <c r="H563" s="11"/>
      <c r="I563" s="11"/>
      <c r="J563" s="11"/>
      <c r="K563" s="9" t="s">
        <v>13</v>
      </c>
      <c r="L563" s="283"/>
    </row>
    <row r="564">
      <c r="A564" s="146" t="s">
        <v>94</v>
      </c>
      <c r="B564" s="47"/>
      <c r="C564" s="148" t="s">
        <v>11</v>
      </c>
      <c r="D564" s="148" t="str">
        <f t="shared" si="1"/>
        <v>-</v>
      </c>
      <c r="E564" s="9"/>
      <c r="F564" s="10"/>
      <c r="G564" s="9"/>
      <c r="H564" s="11"/>
      <c r="I564" s="11"/>
      <c r="J564" s="11"/>
      <c r="K564" s="9" t="s">
        <v>13</v>
      </c>
      <c r="L564" s="283"/>
    </row>
    <row r="565">
      <c r="A565" s="146" t="s">
        <v>94</v>
      </c>
      <c r="B565" s="47"/>
      <c r="C565" s="148" t="s">
        <v>11</v>
      </c>
      <c r="D565" s="148" t="str">
        <f t="shared" si="1"/>
        <v>-</v>
      </c>
      <c r="E565" s="9"/>
      <c r="F565" s="10"/>
      <c r="G565" s="9"/>
      <c r="H565" s="11"/>
      <c r="I565" s="11"/>
      <c r="J565" s="11"/>
      <c r="K565" s="9" t="s">
        <v>13</v>
      </c>
      <c r="L565" s="283"/>
    </row>
    <row r="566">
      <c r="A566" s="146" t="s">
        <v>94</v>
      </c>
      <c r="B566" s="47"/>
      <c r="C566" s="148" t="s">
        <v>11</v>
      </c>
      <c r="D566" s="148" t="str">
        <f t="shared" si="1"/>
        <v>-</v>
      </c>
      <c r="E566" s="9"/>
      <c r="F566" s="10"/>
      <c r="G566" s="9"/>
      <c r="H566" s="11"/>
      <c r="I566" s="11"/>
      <c r="J566" s="11"/>
      <c r="K566" s="9" t="s">
        <v>13</v>
      </c>
      <c r="L566" s="283"/>
    </row>
    <row r="567">
      <c r="A567" s="146" t="s">
        <v>94</v>
      </c>
      <c r="B567" s="47"/>
      <c r="C567" s="148" t="s">
        <v>11</v>
      </c>
      <c r="D567" s="148" t="str">
        <f t="shared" si="1"/>
        <v>-</v>
      </c>
      <c r="E567" s="9"/>
      <c r="F567" s="10"/>
      <c r="G567" s="9"/>
      <c r="H567" s="11"/>
      <c r="I567" s="11"/>
      <c r="J567" s="11"/>
      <c r="K567" s="9" t="s">
        <v>13</v>
      </c>
      <c r="L567" s="283"/>
    </row>
    <row r="568">
      <c r="A568" s="146" t="s">
        <v>94</v>
      </c>
      <c r="B568" s="47"/>
      <c r="C568" s="148" t="s">
        <v>11</v>
      </c>
      <c r="D568" s="148" t="str">
        <f t="shared" si="1"/>
        <v>-</v>
      </c>
      <c r="E568" s="9"/>
      <c r="F568" s="10"/>
      <c r="G568" s="9"/>
      <c r="H568" s="11"/>
      <c r="I568" s="11"/>
      <c r="J568" s="11"/>
      <c r="K568" s="9" t="s">
        <v>13</v>
      </c>
      <c r="L568" s="283"/>
    </row>
    <row r="569">
      <c r="A569" s="146" t="s">
        <v>94</v>
      </c>
      <c r="B569" s="47"/>
      <c r="C569" s="148" t="s">
        <v>11</v>
      </c>
      <c r="D569" s="148" t="str">
        <f t="shared" si="1"/>
        <v>-</v>
      </c>
      <c r="E569" s="9"/>
      <c r="F569" s="10"/>
      <c r="G569" s="9"/>
      <c r="H569" s="11"/>
      <c r="I569" s="11"/>
      <c r="J569" s="11"/>
      <c r="K569" s="9" t="s">
        <v>13</v>
      </c>
      <c r="L569" s="283"/>
    </row>
    <row r="570">
      <c r="A570" s="146" t="s">
        <v>94</v>
      </c>
      <c r="B570" s="47"/>
      <c r="C570" s="148" t="s">
        <v>11</v>
      </c>
      <c r="D570" s="148" t="str">
        <f t="shared" si="1"/>
        <v>-</v>
      </c>
      <c r="E570" s="9"/>
      <c r="F570" s="10"/>
      <c r="G570" s="9"/>
      <c r="H570" s="11"/>
      <c r="I570" s="11"/>
      <c r="J570" s="11"/>
      <c r="K570" s="9" t="s">
        <v>13</v>
      </c>
      <c r="L570" s="283"/>
    </row>
    <row r="571">
      <c r="A571" s="146" t="s">
        <v>94</v>
      </c>
      <c r="B571" s="47"/>
      <c r="C571" s="148" t="s">
        <v>11</v>
      </c>
      <c r="D571" s="148" t="str">
        <f t="shared" si="1"/>
        <v>-</v>
      </c>
      <c r="E571" s="9"/>
      <c r="F571" s="10"/>
      <c r="G571" s="9"/>
      <c r="H571" s="11"/>
      <c r="I571" s="11"/>
      <c r="J571" s="11"/>
      <c r="K571" s="9" t="s">
        <v>13</v>
      </c>
      <c r="L571" s="283"/>
    </row>
    <row r="572">
      <c r="A572" s="146" t="s">
        <v>94</v>
      </c>
      <c r="B572" s="47"/>
      <c r="C572" s="148" t="s">
        <v>11</v>
      </c>
      <c r="D572" s="148" t="str">
        <f t="shared" si="1"/>
        <v>-</v>
      </c>
      <c r="E572" s="9"/>
      <c r="F572" s="10"/>
      <c r="G572" s="9"/>
      <c r="H572" s="11"/>
      <c r="I572" s="11"/>
      <c r="J572" s="11"/>
      <c r="K572" s="9" t="s">
        <v>13</v>
      </c>
      <c r="L572" s="283"/>
    </row>
    <row r="573">
      <c r="A573" s="146" t="s">
        <v>94</v>
      </c>
      <c r="B573" s="47"/>
      <c r="C573" s="148" t="s">
        <v>11</v>
      </c>
      <c r="D573" s="148" t="str">
        <f t="shared" si="1"/>
        <v>-</v>
      </c>
      <c r="E573" s="9"/>
      <c r="F573" s="10"/>
      <c r="G573" s="9"/>
      <c r="H573" s="11"/>
      <c r="I573" s="11"/>
      <c r="J573" s="11"/>
      <c r="K573" s="9" t="s">
        <v>13</v>
      </c>
      <c r="L573" s="283"/>
    </row>
    <row r="574">
      <c r="A574" s="146" t="s">
        <v>94</v>
      </c>
      <c r="B574" s="47"/>
      <c r="C574" s="148" t="s">
        <v>11</v>
      </c>
      <c r="D574" s="148" t="str">
        <f t="shared" si="1"/>
        <v>-</v>
      </c>
      <c r="E574" s="9"/>
      <c r="F574" s="10"/>
      <c r="G574" s="9"/>
      <c r="H574" s="11"/>
      <c r="I574" s="11"/>
      <c r="J574" s="11"/>
      <c r="K574" s="9" t="s">
        <v>13</v>
      </c>
      <c r="L574" s="283"/>
    </row>
    <row r="575">
      <c r="A575" s="146" t="s">
        <v>94</v>
      </c>
      <c r="B575" s="47"/>
      <c r="C575" s="148" t="s">
        <v>11</v>
      </c>
      <c r="D575" s="148" t="str">
        <f t="shared" si="1"/>
        <v>-</v>
      </c>
      <c r="E575" s="9"/>
      <c r="F575" s="10"/>
      <c r="G575" s="9"/>
      <c r="H575" s="11"/>
      <c r="I575" s="11"/>
      <c r="J575" s="11"/>
      <c r="K575" s="9" t="s">
        <v>13</v>
      </c>
      <c r="L575" s="283"/>
    </row>
    <row r="576">
      <c r="A576" s="146" t="s">
        <v>94</v>
      </c>
      <c r="B576" s="47"/>
      <c r="C576" s="148" t="s">
        <v>11</v>
      </c>
      <c r="D576" s="148" t="str">
        <f t="shared" si="1"/>
        <v>-</v>
      </c>
      <c r="E576" s="9"/>
      <c r="F576" s="10"/>
      <c r="G576" s="9"/>
      <c r="H576" s="11"/>
      <c r="I576" s="11"/>
      <c r="J576" s="11"/>
      <c r="K576" s="9" t="s">
        <v>13</v>
      </c>
      <c r="L576" s="283"/>
    </row>
    <row r="577">
      <c r="A577" s="146" t="s">
        <v>94</v>
      </c>
      <c r="B577" s="47"/>
      <c r="C577" s="148" t="s">
        <v>11</v>
      </c>
      <c r="D577" s="148" t="str">
        <f t="shared" si="1"/>
        <v>-</v>
      </c>
      <c r="E577" s="9"/>
      <c r="F577" s="10"/>
      <c r="G577" s="9"/>
      <c r="H577" s="11"/>
      <c r="I577" s="11"/>
      <c r="J577" s="11"/>
      <c r="K577" s="9" t="s">
        <v>13</v>
      </c>
      <c r="L577" s="283"/>
    </row>
    <row r="578">
      <c r="A578" s="146" t="s">
        <v>94</v>
      </c>
      <c r="B578" s="47"/>
      <c r="C578" s="148" t="s">
        <v>11</v>
      </c>
      <c r="D578" s="148" t="str">
        <f t="shared" si="1"/>
        <v>-</v>
      </c>
      <c r="E578" s="9"/>
      <c r="F578" s="10"/>
      <c r="G578" s="9"/>
      <c r="H578" s="11"/>
      <c r="I578" s="11"/>
      <c r="J578" s="11"/>
      <c r="K578" s="9" t="s">
        <v>13</v>
      </c>
      <c r="L578" s="283"/>
    </row>
    <row r="579">
      <c r="A579" s="146" t="s">
        <v>94</v>
      </c>
      <c r="B579" s="47"/>
      <c r="C579" s="148" t="s">
        <v>11</v>
      </c>
      <c r="D579" s="148" t="str">
        <f t="shared" si="1"/>
        <v>-</v>
      </c>
      <c r="E579" s="9"/>
      <c r="F579" s="10"/>
      <c r="G579" s="9"/>
      <c r="H579" s="11"/>
      <c r="I579" s="11"/>
      <c r="J579" s="11"/>
      <c r="K579" s="9" t="s">
        <v>13</v>
      </c>
      <c r="L579" s="283"/>
    </row>
    <row r="580">
      <c r="A580" s="146" t="s">
        <v>94</v>
      </c>
      <c r="B580" s="47"/>
      <c r="C580" s="148" t="s">
        <v>11</v>
      </c>
      <c r="D580" s="148" t="str">
        <f t="shared" si="1"/>
        <v>-</v>
      </c>
      <c r="E580" s="9"/>
      <c r="F580" s="10"/>
      <c r="G580" s="9"/>
      <c r="H580" s="11"/>
      <c r="I580" s="11"/>
      <c r="J580" s="11"/>
      <c r="K580" s="9" t="s">
        <v>13</v>
      </c>
      <c r="L580" s="283"/>
    </row>
    <row r="581">
      <c r="A581" s="146" t="s">
        <v>94</v>
      </c>
      <c r="B581" s="47"/>
      <c r="C581" s="148" t="s">
        <v>11</v>
      </c>
      <c r="D581" s="148" t="str">
        <f t="shared" si="1"/>
        <v>-</v>
      </c>
      <c r="E581" s="9"/>
      <c r="F581" s="10"/>
      <c r="G581" s="9"/>
      <c r="H581" s="11"/>
      <c r="I581" s="11"/>
      <c r="J581" s="11"/>
      <c r="K581" s="9" t="s">
        <v>13</v>
      </c>
      <c r="L581" s="283"/>
    </row>
    <row r="582">
      <c r="A582" s="146" t="s">
        <v>94</v>
      </c>
      <c r="B582" s="47"/>
      <c r="C582" s="148" t="s">
        <v>11</v>
      </c>
      <c r="D582" s="148" t="str">
        <f t="shared" si="1"/>
        <v>-</v>
      </c>
      <c r="E582" s="9"/>
      <c r="F582" s="10"/>
      <c r="G582" s="9"/>
      <c r="H582" s="11"/>
      <c r="I582" s="11"/>
      <c r="J582" s="11"/>
      <c r="K582" s="9" t="s">
        <v>13</v>
      </c>
      <c r="L582" s="283"/>
    </row>
    <row r="583">
      <c r="A583" s="146" t="s">
        <v>94</v>
      </c>
      <c r="B583" s="47"/>
      <c r="C583" s="148" t="s">
        <v>11</v>
      </c>
      <c r="D583" s="148" t="str">
        <f t="shared" si="1"/>
        <v>-</v>
      </c>
      <c r="E583" s="9"/>
      <c r="F583" s="10"/>
      <c r="G583" s="9"/>
      <c r="H583" s="11"/>
      <c r="I583" s="11"/>
      <c r="J583" s="11"/>
      <c r="K583" s="9" t="s">
        <v>13</v>
      </c>
      <c r="L583" s="283"/>
    </row>
    <row r="584">
      <c r="A584" s="146" t="s">
        <v>94</v>
      </c>
      <c r="B584" s="47"/>
      <c r="C584" s="148" t="s">
        <v>11</v>
      </c>
      <c r="D584" s="148" t="str">
        <f t="shared" si="1"/>
        <v>-</v>
      </c>
      <c r="E584" s="9"/>
      <c r="F584" s="10"/>
      <c r="G584" s="9"/>
      <c r="H584" s="11"/>
      <c r="I584" s="11"/>
      <c r="J584" s="11"/>
      <c r="K584" s="9" t="s">
        <v>13</v>
      </c>
      <c r="L584" s="283"/>
    </row>
    <row r="585">
      <c r="A585" s="146" t="s">
        <v>94</v>
      </c>
      <c r="B585" s="47"/>
      <c r="C585" s="148" t="s">
        <v>11</v>
      </c>
      <c r="D585" s="148" t="str">
        <f t="shared" si="1"/>
        <v>-</v>
      </c>
      <c r="E585" s="9"/>
      <c r="F585" s="10"/>
      <c r="G585" s="9"/>
      <c r="H585" s="11"/>
      <c r="I585" s="11"/>
      <c r="J585" s="11"/>
      <c r="K585" s="9" t="s">
        <v>13</v>
      </c>
      <c r="L585" s="283"/>
    </row>
    <row r="586">
      <c r="A586" s="146" t="s">
        <v>94</v>
      </c>
      <c r="B586" s="47"/>
      <c r="C586" s="148" t="s">
        <v>11</v>
      </c>
      <c r="D586" s="148" t="str">
        <f t="shared" si="1"/>
        <v>-</v>
      </c>
      <c r="E586" s="9"/>
      <c r="F586" s="10"/>
      <c r="G586" s="9"/>
      <c r="H586" s="11"/>
      <c r="I586" s="11"/>
      <c r="J586" s="11"/>
      <c r="K586" s="9" t="s">
        <v>13</v>
      </c>
      <c r="L586" s="283"/>
    </row>
    <row r="587">
      <c r="A587" s="146" t="s">
        <v>94</v>
      </c>
      <c r="B587" s="47"/>
      <c r="C587" s="148" t="s">
        <v>11</v>
      </c>
      <c r="D587" s="148" t="str">
        <f t="shared" si="1"/>
        <v>-</v>
      </c>
      <c r="E587" s="9"/>
      <c r="F587" s="10"/>
      <c r="G587" s="9"/>
      <c r="H587" s="11"/>
      <c r="I587" s="11"/>
      <c r="J587" s="11"/>
      <c r="K587" s="9" t="s">
        <v>13</v>
      </c>
      <c r="L587" s="283"/>
    </row>
    <row r="588">
      <c r="A588" s="146" t="s">
        <v>94</v>
      </c>
      <c r="B588" s="47"/>
      <c r="C588" s="148" t="s">
        <v>11</v>
      </c>
      <c r="D588" s="148" t="str">
        <f t="shared" si="1"/>
        <v>-</v>
      </c>
      <c r="E588" s="9"/>
      <c r="F588" s="10"/>
      <c r="G588" s="9"/>
      <c r="H588" s="11"/>
      <c r="I588" s="11"/>
      <c r="J588" s="11"/>
      <c r="K588" s="9" t="s">
        <v>13</v>
      </c>
      <c r="L588" s="283"/>
    </row>
    <row r="589">
      <c r="A589" s="146" t="s">
        <v>94</v>
      </c>
      <c r="B589" s="47"/>
      <c r="C589" s="148" t="s">
        <v>11</v>
      </c>
      <c r="D589" s="148" t="str">
        <f t="shared" si="1"/>
        <v>-</v>
      </c>
      <c r="E589" s="9"/>
      <c r="F589" s="10"/>
      <c r="G589" s="9"/>
      <c r="H589" s="11"/>
      <c r="I589" s="11"/>
      <c r="J589" s="11"/>
      <c r="K589" s="9" t="s">
        <v>13</v>
      </c>
      <c r="L589" s="283"/>
    </row>
    <row r="590">
      <c r="A590" s="146" t="s">
        <v>94</v>
      </c>
      <c r="B590" s="47"/>
      <c r="C590" s="148" t="s">
        <v>11</v>
      </c>
      <c r="D590" s="148" t="str">
        <f t="shared" si="1"/>
        <v>-</v>
      </c>
      <c r="E590" s="9"/>
      <c r="F590" s="10"/>
      <c r="G590" s="9"/>
      <c r="H590" s="11"/>
      <c r="I590" s="11"/>
      <c r="J590" s="11"/>
      <c r="K590" s="9" t="s">
        <v>13</v>
      </c>
      <c r="L590" s="283"/>
    </row>
    <row r="591">
      <c r="A591" s="146" t="s">
        <v>94</v>
      </c>
      <c r="B591" s="47"/>
      <c r="C591" s="148" t="s">
        <v>11</v>
      </c>
      <c r="D591" s="148" t="str">
        <f t="shared" si="1"/>
        <v>-</v>
      </c>
      <c r="E591" s="9"/>
      <c r="F591" s="10"/>
      <c r="G591" s="9"/>
      <c r="H591" s="11"/>
      <c r="I591" s="11"/>
      <c r="J591" s="11"/>
      <c r="K591" s="9" t="s">
        <v>13</v>
      </c>
      <c r="L591" s="283"/>
    </row>
    <row r="592">
      <c r="A592" s="146" t="s">
        <v>94</v>
      </c>
      <c r="B592" s="47"/>
      <c r="C592" s="148" t="s">
        <v>11</v>
      </c>
      <c r="D592" s="148" t="str">
        <f t="shared" si="1"/>
        <v>-</v>
      </c>
      <c r="E592" s="9"/>
      <c r="F592" s="10"/>
      <c r="G592" s="9"/>
      <c r="H592" s="11"/>
      <c r="I592" s="11"/>
      <c r="J592" s="11"/>
      <c r="K592" s="9" t="s">
        <v>13</v>
      </c>
      <c r="L592" s="283"/>
    </row>
    <row r="593">
      <c r="A593" s="146" t="s">
        <v>94</v>
      </c>
      <c r="B593" s="47"/>
      <c r="C593" s="148" t="s">
        <v>11</v>
      </c>
      <c r="D593" s="148" t="str">
        <f t="shared" si="1"/>
        <v>-</v>
      </c>
      <c r="E593" s="9"/>
      <c r="F593" s="10"/>
      <c r="G593" s="9"/>
      <c r="H593" s="11"/>
      <c r="I593" s="11"/>
      <c r="J593" s="11"/>
      <c r="K593" s="9" t="s">
        <v>13</v>
      </c>
      <c r="L593" s="283"/>
    </row>
    <row r="594">
      <c r="A594" s="146" t="s">
        <v>94</v>
      </c>
      <c r="B594" s="47"/>
      <c r="C594" s="148" t="s">
        <v>11</v>
      </c>
      <c r="D594" s="148" t="str">
        <f t="shared" si="1"/>
        <v>-</v>
      </c>
      <c r="E594" s="9"/>
      <c r="F594" s="10"/>
      <c r="G594" s="9"/>
      <c r="H594" s="11"/>
      <c r="I594" s="11"/>
      <c r="J594" s="11"/>
      <c r="K594" s="9" t="s">
        <v>13</v>
      </c>
      <c r="L594" s="283"/>
    </row>
    <row r="595">
      <c r="A595" s="146" t="s">
        <v>94</v>
      </c>
      <c r="B595" s="47"/>
      <c r="C595" s="148" t="s">
        <v>11</v>
      </c>
      <c r="D595" s="148" t="str">
        <f t="shared" si="1"/>
        <v>-</v>
      </c>
      <c r="E595" s="9"/>
      <c r="F595" s="10"/>
      <c r="G595" s="9"/>
      <c r="H595" s="11"/>
      <c r="I595" s="11"/>
      <c r="J595" s="11"/>
      <c r="K595" s="9" t="s">
        <v>13</v>
      </c>
      <c r="L595" s="283"/>
    </row>
    <row r="596">
      <c r="A596" s="146" t="s">
        <v>94</v>
      </c>
      <c r="B596" s="47"/>
      <c r="C596" s="148" t="s">
        <v>11</v>
      </c>
      <c r="D596" s="148" t="str">
        <f t="shared" si="1"/>
        <v>-</v>
      </c>
      <c r="E596" s="9"/>
      <c r="F596" s="10"/>
      <c r="G596" s="9"/>
      <c r="H596" s="11"/>
      <c r="I596" s="11"/>
      <c r="J596" s="11"/>
      <c r="K596" s="9" t="s">
        <v>13</v>
      </c>
      <c r="L596" s="283"/>
    </row>
    <row r="597">
      <c r="A597" s="146" t="s">
        <v>94</v>
      </c>
      <c r="B597" s="47"/>
      <c r="C597" s="148" t="s">
        <v>11</v>
      </c>
      <c r="D597" s="148" t="str">
        <f t="shared" si="1"/>
        <v>-</v>
      </c>
      <c r="E597" s="9"/>
      <c r="F597" s="10"/>
      <c r="G597" s="9"/>
      <c r="H597" s="11"/>
      <c r="I597" s="11"/>
      <c r="J597" s="11"/>
      <c r="K597" s="9" t="s">
        <v>13</v>
      </c>
      <c r="L597" s="283"/>
    </row>
    <row r="598">
      <c r="A598" s="146" t="s">
        <v>94</v>
      </c>
      <c r="B598" s="47"/>
      <c r="C598" s="148" t="s">
        <v>11</v>
      </c>
      <c r="D598" s="148" t="str">
        <f t="shared" si="1"/>
        <v>-</v>
      </c>
      <c r="E598" s="9"/>
      <c r="F598" s="10"/>
      <c r="G598" s="9"/>
      <c r="H598" s="11"/>
      <c r="I598" s="11"/>
      <c r="J598" s="11"/>
      <c r="K598" s="9" t="s">
        <v>13</v>
      </c>
      <c r="L598" s="283"/>
    </row>
    <row r="599">
      <c r="A599" s="146" t="s">
        <v>94</v>
      </c>
      <c r="B599" s="47"/>
      <c r="C599" s="148" t="s">
        <v>11</v>
      </c>
      <c r="D599" s="148" t="str">
        <f t="shared" si="1"/>
        <v>-</v>
      </c>
      <c r="E599" s="9"/>
      <c r="F599" s="10"/>
      <c r="G599" s="9"/>
      <c r="H599" s="11"/>
      <c r="I599" s="11"/>
      <c r="J599" s="11"/>
      <c r="K599" s="9" t="s">
        <v>13</v>
      </c>
      <c r="L599" s="283"/>
    </row>
    <row r="600">
      <c r="A600" s="146" t="s">
        <v>94</v>
      </c>
      <c r="B600" s="47"/>
      <c r="C600" s="148" t="s">
        <v>11</v>
      </c>
      <c r="D600" s="148" t="str">
        <f t="shared" si="1"/>
        <v>-</v>
      </c>
      <c r="E600" s="9"/>
      <c r="F600" s="10"/>
      <c r="G600" s="9"/>
      <c r="H600" s="11"/>
      <c r="I600" s="11"/>
      <c r="J600" s="11"/>
      <c r="K600" s="9" t="s">
        <v>13</v>
      </c>
      <c r="L600" s="283"/>
    </row>
    <row r="601">
      <c r="A601" s="146" t="s">
        <v>94</v>
      </c>
      <c r="B601" s="47"/>
      <c r="C601" s="148" t="s">
        <v>11</v>
      </c>
      <c r="D601" s="148" t="str">
        <f t="shared" si="1"/>
        <v>-</v>
      </c>
      <c r="E601" s="9"/>
      <c r="F601" s="10"/>
      <c r="G601" s="9"/>
      <c r="H601" s="11"/>
      <c r="I601" s="11"/>
      <c r="J601" s="11"/>
      <c r="K601" s="9" t="s">
        <v>13</v>
      </c>
      <c r="L601" s="283"/>
    </row>
    <row r="602">
      <c r="A602" s="146" t="s">
        <v>94</v>
      </c>
      <c r="B602" s="47"/>
      <c r="C602" s="148" t="s">
        <v>11</v>
      </c>
      <c r="D602" s="148" t="str">
        <f t="shared" si="1"/>
        <v>-</v>
      </c>
      <c r="E602" s="9"/>
      <c r="F602" s="10"/>
      <c r="G602" s="9"/>
      <c r="H602" s="11"/>
      <c r="I602" s="11"/>
      <c r="J602" s="11"/>
      <c r="K602" s="9" t="s">
        <v>13</v>
      </c>
      <c r="L602" s="283"/>
    </row>
    <row r="603">
      <c r="A603" s="146" t="s">
        <v>94</v>
      </c>
      <c r="B603" s="47"/>
      <c r="C603" s="148" t="s">
        <v>11</v>
      </c>
      <c r="D603" s="148" t="str">
        <f t="shared" si="1"/>
        <v>-</v>
      </c>
      <c r="E603" s="9"/>
      <c r="F603" s="10"/>
      <c r="G603" s="9"/>
      <c r="H603" s="11"/>
      <c r="I603" s="11"/>
      <c r="J603" s="11"/>
      <c r="K603" s="9" t="s">
        <v>13</v>
      </c>
      <c r="L603" s="283"/>
    </row>
    <row r="604">
      <c r="A604" s="146" t="s">
        <v>94</v>
      </c>
      <c r="B604" s="47"/>
      <c r="C604" s="148" t="s">
        <v>11</v>
      </c>
      <c r="D604" s="148" t="str">
        <f t="shared" si="1"/>
        <v>-</v>
      </c>
      <c r="E604" s="9"/>
      <c r="F604" s="10"/>
      <c r="G604" s="9"/>
      <c r="H604" s="11"/>
      <c r="I604" s="11"/>
      <c r="J604" s="11"/>
      <c r="K604" s="9" t="s">
        <v>13</v>
      </c>
      <c r="L604" s="283"/>
    </row>
    <row r="605">
      <c r="A605" s="146" t="s">
        <v>94</v>
      </c>
      <c r="B605" s="47"/>
      <c r="C605" s="148" t="s">
        <v>11</v>
      </c>
      <c r="D605" s="148" t="str">
        <f t="shared" si="1"/>
        <v>-</v>
      </c>
      <c r="E605" s="9"/>
      <c r="F605" s="10"/>
      <c r="G605" s="9"/>
      <c r="H605" s="11"/>
      <c r="I605" s="11"/>
      <c r="J605" s="11"/>
      <c r="K605" s="9" t="s">
        <v>13</v>
      </c>
      <c r="L605" s="283"/>
    </row>
    <row r="606">
      <c r="A606" s="146" t="s">
        <v>94</v>
      </c>
      <c r="B606" s="47"/>
      <c r="C606" s="148" t="s">
        <v>11</v>
      </c>
      <c r="D606" s="148" t="str">
        <f t="shared" si="1"/>
        <v>-</v>
      </c>
      <c r="E606" s="9"/>
      <c r="F606" s="10"/>
      <c r="G606" s="9"/>
      <c r="H606" s="11"/>
      <c r="I606" s="11"/>
      <c r="J606" s="11"/>
      <c r="K606" s="9" t="s">
        <v>13</v>
      </c>
      <c r="L606" s="283"/>
    </row>
    <row r="607">
      <c r="A607" s="146" t="s">
        <v>94</v>
      </c>
      <c r="B607" s="47"/>
      <c r="C607" s="148" t="s">
        <v>11</v>
      </c>
      <c r="D607" s="148" t="str">
        <f t="shared" si="1"/>
        <v>-</v>
      </c>
      <c r="E607" s="9"/>
      <c r="F607" s="10"/>
      <c r="G607" s="9"/>
      <c r="H607" s="11"/>
      <c r="I607" s="11"/>
      <c r="J607" s="11"/>
      <c r="K607" s="9" t="s">
        <v>13</v>
      </c>
      <c r="L607" s="283"/>
    </row>
    <row r="608">
      <c r="A608" s="146" t="s">
        <v>94</v>
      </c>
      <c r="B608" s="47"/>
      <c r="C608" s="148" t="s">
        <v>11</v>
      </c>
      <c r="D608" s="148" t="str">
        <f t="shared" si="1"/>
        <v>-</v>
      </c>
      <c r="E608" s="9"/>
      <c r="F608" s="10"/>
      <c r="G608" s="9"/>
      <c r="H608" s="11"/>
      <c r="I608" s="11"/>
      <c r="J608" s="11"/>
      <c r="K608" s="9" t="s">
        <v>13</v>
      </c>
      <c r="L608" s="283"/>
    </row>
    <row r="609">
      <c r="A609" s="146" t="s">
        <v>94</v>
      </c>
      <c r="B609" s="47"/>
      <c r="C609" s="148" t="s">
        <v>11</v>
      </c>
      <c r="D609" s="148" t="str">
        <f t="shared" si="1"/>
        <v>-</v>
      </c>
      <c r="E609" s="9"/>
      <c r="F609" s="10"/>
      <c r="G609" s="9"/>
      <c r="H609" s="11"/>
      <c r="I609" s="11"/>
      <c r="J609" s="11"/>
      <c r="K609" s="9" t="s">
        <v>13</v>
      </c>
      <c r="L609" s="283"/>
    </row>
    <row r="610">
      <c r="A610" s="146" t="s">
        <v>94</v>
      </c>
      <c r="B610" s="47"/>
      <c r="C610" s="148" t="s">
        <v>11</v>
      </c>
      <c r="D610" s="148" t="str">
        <f t="shared" si="1"/>
        <v>-</v>
      </c>
      <c r="E610" s="9"/>
      <c r="F610" s="10"/>
      <c r="G610" s="9"/>
      <c r="H610" s="11"/>
      <c r="I610" s="11"/>
      <c r="J610" s="11"/>
      <c r="K610" s="9" t="s">
        <v>13</v>
      </c>
      <c r="L610" s="283"/>
    </row>
    <row r="611">
      <c r="A611" s="146" t="s">
        <v>94</v>
      </c>
      <c r="B611" s="47"/>
      <c r="C611" s="148" t="s">
        <v>11</v>
      </c>
      <c r="D611" s="148" t="str">
        <f t="shared" si="1"/>
        <v>-</v>
      </c>
      <c r="E611" s="9"/>
      <c r="F611" s="10"/>
      <c r="G611" s="9"/>
      <c r="H611" s="11"/>
      <c r="I611" s="11"/>
      <c r="J611" s="11"/>
      <c r="K611" s="9" t="s">
        <v>13</v>
      </c>
      <c r="L611" s="283"/>
    </row>
    <row r="612">
      <c r="A612" s="146" t="s">
        <v>94</v>
      </c>
      <c r="B612" s="47"/>
      <c r="C612" s="148" t="s">
        <v>11</v>
      </c>
      <c r="D612" s="148" t="str">
        <f t="shared" si="1"/>
        <v>-</v>
      </c>
      <c r="E612" s="9"/>
      <c r="F612" s="10"/>
      <c r="G612" s="9"/>
      <c r="H612" s="11"/>
      <c r="I612" s="11"/>
      <c r="J612" s="11"/>
      <c r="K612" s="9" t="s">
        <v>13</v>
      </c>
      <c r="L612" s="283"/>
    </row>
    <row r="613">
      <c r="A613" s="146" t="s">
        <v>94</v>
      </c>
      <c r="B613" s="47"/>
      <c r="C613" s="148" t="s">
        <v>11</v>
      </c>
      <c r="D613" s="148" t="str">
        <f t="shared" si="1"/>
        <v>-</v>
      </c>
      <c r="E613" s="9"/>
      <c r="F613" s="10"/>
      <c r="G613" s="9"/>
      <c r="H613" s="11"/>
      <c r="I613" s="11"/>
      <c r="J613" s="11"/>
      <c r="K613" s="9" t="s">
        <v>13</v>
      </c>
      <c r="L613" s="283"/>
    </row>
    <row r="614">
      <c r="A614" s="146" t="s">
        <v>94</v>
      </c>
      <c r="B614" s="47"/>
      <c r="C614" s="148" t="s">
        <v>11</v>
      </c>
      <c r="D614" s="148" t="str">
        <f t="shared" si="1"/>
        <v>-</v>
      </c>
      <c r="E614" s="9"/>
      <c r="F614" s="10"/>
      <c r="G614" s="9"/>
      <c r="H614" s="11"/>
      <c r="I614" s="11"/>
      <c r="J614" s="11"/>
      <c r="K614" s="9" t="s">
        <v>13</v>
      </c>
      <c r="L614" s="283"/>
    </row>
    <row r="615">
      <c r="A615" s="146" t="s">
        <v>94</v>
      </c>
      <c r="B615" s="47"/>
      <c r="C615" s="148" t="s">
        <v>11</v>
      </c>
      <c r="D615" s="148" t="str">
        <f t="shared" si="1"/>
        <v>-</v>
      </c>
      <c r="E615" s="9"/>
      <c r="F615" s="10"/>
      <c r="G615" s="9"/>
      <c r="H615" s="11"/>
      <c r="I615" s="11"/>
      <c r="J615" s="11"/>
      <c r="K615" s="9" t="s">
        <v>13</v>
      </c>
      <c r="L615" s="283"/>
    </row>
    <row r="616">
      <c r="A616" s="146" t="s">
        <v>94</v>
      </c>
      <c r="B616" s="47"/>
      <c r="C616" s="148" t="s">
        <v>11</v>
      </c>
      <c r="D616" s="148" t="str">
        <f t="shared" si="1"/>
        <v>-</v>
      </c>
      <c r="E616" s="9"/>
      <c r="F616" s="10"/>
      <c r="G616" s="9"/>
      <c r="H616" s="11"/>
      <c r="I616" s="11"/>
      <c r="J616" s="11"/>
      <c r="K616" s="9" t="s">
        <v>13</v>
      </c>
      <c r="L616" s="283"/>
    </row>
    <row r="617">
      <c r="A617" s="146" t="s">
        <v>94</v>
      </c>
      <c r="B617" s="47"/>
      <c r="C617" s="148" t="s">
        <v>11</v>
      </c>
      <c r="D617" s="148" t="str">
        <f t="shared" si="1"/>
        <v>-</v>
      </c>
      <c r="E617" s="9"/>
      <c r="F617" s="10"/>
      <c r="G617" s="9"/>
      <c r="H617" s="11"/>
      <c r="I617" s="11"/>
      <c r="J617" s="11"/>
      <c r="K617" s="9" t="s">
        <v>13</v>
      </c>
      <c r="L617" s="283"/>
    </row>
    <row r="618">
      <c r="A618" s="146" t="s">
        <v>94</v>
      </c>
      <c r="B618" s="47"/>
      <c r="C618" s="148" t="s">
        <v>11</v>
      </c>
      <c r="D618" s="148" t="str">
        <f t="shared" si="1"/>
        <v>-</v>
      </c>
      <c r="E618" s="9"/>
      <c r="F618" s="10"/>
      <c r="G618" s="9"/>
      <c r="H618" s="11"/>
      <c r="I618" s="11"/>
      <c r="J618" s="11"/>
      <c r="K618" s="9" t="s">
        <v>13</v>
      </c>
      <c r="L618" s="283"/>
    </row>
    <row r="619">
      <c r="A619" s="146" t="s">
        <v>94</v>
      </c>
      <c r="B619" s="47"/>
      <c r="C619" s="148" t="s">
        <v>11</v>
      </c>
      <c r="D619" s="148" t="str">
        <f t="shared" si="1"/>
        <v>-</v>
      </c>
      <c r="E619" s="9"/>
      <c r="F619" s="10"/>
      <c r="G619" s="9"/>
      <c r="H619" s="11"/>
      <c r="I619" s="11"/>
      <c r="J619" s="11"/>
      <c r="K619" s="9" t="s">
        <v>13</v>
      </c>
      <c r="L619" s="283"/>
    </row>
    <row r="620">
      <c r="A620" s="146" t="s">
        <v>94</v>
      </c>
      <c r="B620" s="47"/>
      <c r="C620" s="148" t="s">
        <v>11</v>
      </c>
      <c r="D620" s="148" t="str">
        <f t="shared" si="1"/>
        <v>-</v>
      </c>
      <c r="E620" s="9"/>
      <c r="F620" s="10"/>
      <c r="G620" s="9"/>
      <c r="H620" s="11"/>
      <c r="I620" s="11"/>
      <c r="J620" s="11"/>
      <c r="K620" s="9" t="s">
        <v>13</v>
      </c>
      <c r="L620" s="283"/>
    </row>
    <row r="621">
      <c r="A621" s="146" t="s">
        <v>94</v>
      </c>
      <c r="B621" s="47"/>
      <c r="C621" s="148" t="s">
        <v>11</v>
      </c>
      <c r="D621" s="148" t="str">
        <f t="shared" si="1"/>
        <v>-</v>
      </c>
      <c r="E621" s="9"/>
      <c r="F621" s="10"/>
      <c r="G621" s="9"/>
      <c r="H621" s="11"/>
      <c r="I621" s="11"/>
      <c r="J621" s="11"/>
      <c r="K621" s="9" t="s">
        <v>13</v>
      </c>
      <c r="L621" s="283"/>
    </row>
    <row r="622">
      <c r="A622" s="146" t="s">
        <v>94</v>
      </c>
      <c r="B622" s="47"/>
      <c r="C622" s="148" t="s">
        <v>11</v>
      </c>
      <c r="D622" s="148" t="str">
        <f t="shared" si="1"/>
        <v>-</v>
      </c>
      <c r="E622" s="9"/>
      <c r="F622" s="10"/>
      <c r="G622" s="9"/>
      <c r="H622" s="11"/>
      <c r="I622" s="11"/>
      <c r="J622" s="11"/>
      <c r="K622" s="9" t="s">
        <v>13</v>
      </c>
      <c r="L622" s="283"/>
    </row>
    <row r="623">
      <c r="A623" s="146" t="s">
        <v>94</v>
      </c>
      <c r="B623" s="47"/>
      <c r="C623" s="148" t="s">
        <v>11</v>
      </c>
      <c r="D623" s="148" t="str">
        <f t="shared" si="1"/>
        <v>-</v>
      </c>
      <c r="E623" s="9"/>
      <c r="F623" s="10"/>
      <c r="G623" s="9"/>
      <c r="H623" s="11"/>
      <c r="I623" s="11"/>
      <c r="J623" s="11"/>
      <c r="K623" s="9" t="s">
        <v>13</v>
      </c>
      <c r="L623" s="283"/>
    </row>
    <row r="624">
      <c r="A624" s="146" t="s">
        <v>94</v>
      </c>
      <c r="B624" s="47"/>
      <c r="C624" s="148" t="s">
        <v>11</v>
      </c>
      <c r="D624" s="148" t="str">
        <f t="shared" si="1"/>
        <v>-</v>
      </c>
      <c r="E624" s="9"/>
      <c r="F624" s="10"/>
      <c r="G624" s="9"/>
      <c r="H624" s="11"/>
      <c r="I624" s="11"/>
      <c r="J624" s="11"/>
      <c r="K624" s="9" t="s">
        <v>13</v>
      </c>
      <c r="L624" s="283"/>
    </row>
    <row r="625">
      <c r="A625" s="146" t="s">
        <v>94</v>
      </c>
      <c r="B625" s="47"/>
      <c r="C625" s="148" t="s">
        <v>11</v>
      </c>
      <c r="D625" s="148" t="str">
        <f t="shared" si="1"/>
        <v>-</v>
      </c>
      <c r="E625" s="9"/>
      <c r="F625" s="10"/>
      <c r="G625" s="9"/>
      <c r="H625" s="11"/>
      <c r="I625" s="11"/>
      <c r="J625" s="11"/>
      <c r="K625" s="9" t="s">
        <v>13</v>
      </c>
      <c r="L625" s="283"/>
    </row>
    <row r="626">
      <c r="A626" s="146" t="s">
        <v>94</v>
      </c>
      <c r="B626" s="47"/>
      <c r="C626" s="148" t="s">
        <v>11</v>
      </c>
      <c r="D626" s="148" t="str">
        <f t="shared" si="1"/>
        <v>-</v>
      </c>
      <c r="E626" s="9"/>
      <c r="F626" s="10"/>
      <c r="G626" s="9"/>
      <c r="H626" s="11"/>
      <c r="I626" s="11"/>
      <c r="J626" s="11"/>
      <c r="K626" s="9" t="s">
        <v>13</v>
      </c>
      <c r="L626" s="283"/>
    </row>
    <row r="627">
      <c r="A627" s="146" t="s">
        <v>94</v>
      </c>
      <c r="B627" s="47"/>
      <c r="C627" s="148" t="s">
        <v>11</v>
      </c>
      <c r="D627" s="148" t="str">
        <f t="shared" si="1"/>
        <v>-</v>
      </c>
      <c r="E627" s="9"/>
      <c r="F627" s="10"/>
      <c r="G627" s="9"/>
      <c r="H627" s="11"/>
      <c r="I627" s="11"/>
      <c r="J627" s="11"/>
      <c r="K627" s="9" t="s">
        <v>13</v>
      </c>
      <c r="L627" s="283"/>
    </row>
    <row r="628">
      <c r="A628" s="146" t="s">
        <v>94</v>
      </c>
      <c r="B628" s="47"/>
      <c r="C628" s="148" t="s">
        <v>11</v>
      </c>
      <c r="D628" s="148" t="str">
        <f t="shared" si="1"/>
        <v>-</v>
      </c>
      <c r="E628" s="9"/>
      <c r="F628" s="10"/>
      <c r="G628" s="9"/>
      <c r="H628" s="11"/>
      <c r="I628" s="11"/>
      <c r="J628" s="11"/>
      <c r="K628" s="9" t="s">
        <v>13</v>
      </c>
      <c r="L628" s="283"/>
    </row>
    <row r="629">
      <c r="A629" s="146" t="s">
        <v>94</v>
      </c>
      <c r="B629" s="47"/>
      <c r="C629" s="148" t="s">
        <v>11</v>
      </c>
      <c r="D629" s="148" t="str">
        <f t="shared" si="1"/>
        <v>-</v>
      </c>
      <c r="E629" s="9"/>
      <c r="F629" s="10"/>
      <c r="G629" s="9"/>
      <c r="H629" s="11"/>
      <c r="I629" s="11"/>
      <c r="J629" s="11"/>
      <c r="K629" s="9" t="s">
        <v>13</v>
      </c>
      <c r="L629" s="283"/>
    </row>
    <row r="630">
      <c r="A630" s="146" t="s">
        <v>94</v>
      </c>
      <c r="B630" s="47"/>
      <c r="C630" s="148" t="s">
        <v>11</v>
      </c>
      <c r="D630" s="148" t="str">
        <f t="shared" si="1"/>
        <v>-</v>
      </c>
      <c r="E630" s="9"/>
      <c r="F630" s="10"/>
      <c r="G630" s="9"/>
      <c r="H630" s="11"/>
      <c r="I630" s="11"/>
      <c r="J630" s="11"/>
      <c r="K630" s="9" t="s">
        <v>13</v>
      </c>
      <c r="L630" s="283"/>
    </row>
    <row r="631">
      <c r="A631" s="146" t="s">
        <v>94</v>
      </c>
      <c r="B631" s="47"/>
      <c r="C631" s="148" t="s">
        <v>11</v>
      </c>
      <c r="D631" s="148" t="str">
        <f t="shared" si="1"/>
        <v>-</v>
      </c>
      <c r="E631" s="9"/>
      <c r="F631" s="10"/>
      <c r="G631" s="9"/>
      <c r="H631" s="11"/>
      <c r="I631" s="11"/>
      <c r="J631" s="11"/>
      <c r="K631" s="9" t="s">
        <v>13</v>
      </c>
      <c r="L631" s="283"/>
    </row>
    <row r="632">
      <c r="A632" s="146" t="s">
        <v>94</v>
      </c>
      <c r="B632" s="47"/>
      <c r="C632" s="148" t="s">
        <v>11</v>
      </c>
      <c r="D632" s="148" t="str">
        <f t="shared" si="1"/>
        <v>-</v>
      </c>
      <c r="E632" s="9"/>
      <c r="F632" s="10"/>
      <c r="G632" s="9"/>
      <c r="H632" s="11"/>
      <c r="I632" s="11"/>
      <c r="J632" s="11"/>
      <c r="K632" s="9" t="s">
        <v>13</v>
      </c>
      <c r="L632" s="283"/>
    </row>
    <row r="633">
      <c r="A633" s="146" t="s">
        <v>94</v>
      </c>
      <c r="B633" s="47"/>
      <c r="C633" s="148" t="s">
        <v>11</v>
      </c>
      <c r="D633" s="148" t="str">
        <f t="shared" si="1"/>
        <v>-</v>
      </c>
      <c r="E633" s="9"/>
      <c r="F633" s="10"/>
      <c r="G633" s="9"/>
      <c r="H633" s="11"/>
      <c r="I633" s="11"/>
      <c r="J633" s="11"/>
      <c r="K633" s="9" t="s">
        <v>13</v>
      </c>
      <c r="L633" s="283"/>
    </row>
    <row r="634">
      <c r="A634" s="146" t="s">
        <v>94</v>
      </c>
      <c r="B634" s="47"/>
      <c r="C634" s="148" t="s">
        <v>11</v>
      </c>
      <c r="D634" s="148" t="str">
        <f t="shared" si="1"/>
        <v>-</v>
      </c>
      <c r="E634" s="9"/>
      <c r="F634" s="10"/>
      <c r="G634" s="9"/>
      <c r="H634" s="11"/>
      <c r="I634" s="11"/>
      <c r="J634" s="11"/>
      <c r="K634" s="9" t="s">
        <v>13</v>
      </c>
      <c r="L634" s="283"/>
    </row>
    <row r="635">
      <c r="A635" s="146" t="s">
        <v>94</v>
      </c>
      <c r="B635" s="47"/>
      <c r="C635" s="148" t="s">
        <v>11</v>
      </c>
      <c r="D635" s="148" t="str">
        <f t="shared" si="1"/>
        <v>-</v>
      </c>
      <c r="E635" s="9"/>
      <c r="F635" s="10"/>
      <c r="G635" s="9"/>
      <c r="H635" s="11"/>
      <c r="I635" s="11"/>
      <c r="J635" s="11"/>
      <c r="K635" s="9" t="s">
        <v>13</v>
      </c>
      <c r="L635" s="283"/>
    </row>
    <row r="636">
      <c r="A636" s="146" t="s">
        <v>94</v>
      </c>
      <c r="B636" s="47"/>
      <c r="C636" s="148" t="s">
        <v>11</v>
      </c>
      <c r="D636" s="148" t="str">
        <f t="shared" si="1"/>
        <v>-</v>
      </c>
      <c r="E636" s="9"/>
      <c r="F636" s="10"/>
      <c r="G636" s="9"/>
      <c r="H636" s="11"/>
      <c r="I636" s="11"/>
      <c r="J636" s="11"/>
      <c r="K636" s="9" t="s">
        <v>13</v>
      </c>
      <c r="L636" s="283"/>
    </row>
    <row r="637">
      <c r="A637" s="146" t="s">
        <v>94</v>
      </c>
      <c r="B637" s="47"/>
      <c r="C637" s="148" t="s">
        <v>11</v>
      </c>
      <c r="D637" s="148" t="str">
        <f t="shared" si="1"/>
        <v>-</v>
      </c>
      <c r="E637" s="9"/>
      <c r="F637" s="10"/>
      <c r="G637" s="9"/>
      <c r="H637" s="11"/>
      <c r="I637" s="11"/>
      <c r="J637" s="11"/>
      <c r="K637" s="9" t="s">
        <v>13</v>
      </c>
      <c r="L637" s="283"/>
    </row>
    <row r="638">
      <c r="A638" s="146" t="s">
        <v>94</v>
      </c>
      <c r="B638" s="47"/>
      <c r="C638" s="148" t="s">
        <v>11</v>
      </c>
      <c r="D638" s="148" t="str">
        <f t="shared" si="1"/>
        <v>-</v>
      </c>
      <c r="E638" s="9"/>
      <c r="F638" s="10"/>
      <c r="G638" s="9"/>
      <c r="H638" s="11"/>
      <c r="I638" s="11"/>
      <c r="J638" s="11"/>
      <c r="K638" s="9" t="s">
        <v>13</v>
      </c>
      <c r="L638" s="283"/>
    </row>
    <row r="639">
      <c r="A639" s="146" t="s">
        <v>94</v>
      </c>
      <c r="B639" s="47"/>
      <c r="C639" s="148" t="s">
        <v>11</v>
      </c>
      <c r="D639" s="148" t="str">
        <f t="shared" si="1"/>
        <v>-</v>
      </c>
      <c r="E639" s="9"/>
      <c r="F639" s="10"/>
      <c r="G639" s="9"/>
      <c r="H639" s="11"/>
      <c r="I639" s="11"/>
      <c r="J639" s="11"/>
      <c r="K639" s="9" t="s">
        <v>13</v>
      </c>
      <c r="L639" s="283"/>
    </row>
    <row r="640">
      <c r="A640" s="146" t="s">
        <v>94</v>
      </c>
      <c r="B640" s="47"/>
      <c r="C640" s="148" t="s">
        <v>11</v>
      </c>
      <c r="D640" s="148" t="str">
        <f t="shared" si="1"/>
        <v>-</v>
      </c>
      <c r="E640" s="9"/>
      <c r="F640" s="10"/>
      <c r="G640" s="9"/>
      <c r="H640" s="11"/>
      <c r="I640" s="11"/>
      <c r="J640" s="11"/>
      <c r="K640" s="9" t="s">
        <v>13</v>
      </c>
      <c r="L640" s="283"/>
    </row>
    <row r="641">
      <c r="A641" s="146" t="s">
        <v>94</v>
      </c>
      <c r="B641" s="47"/>
      <c r="C641" s="148" t="s">
        <v>11</v>
      </c>
      <c r="D641" s="148" t="str">
        <f t="shared" si="1"/>
        <v>-</v>
      </c>
      <c r="E641" s="9"/>
      <c r="F641" s="10"/>
      <c r="G641" s="9"/>
      <c r="H641" s="11"/>
      <c r="I641" s="11"/>
      <c r="J641" s="11"/>
      <c r="K641" s="9" t="s">
        <v>13</v>
      </c>
      <c r="L641" s="283"/>
    </row>
    <row r="642">
      <c r="A642" s="146" t="s">
        <v>94</v>
      </c>
      <c r="B642" s="47"/>
      <c r="C642" s="148" t="s">
        <v>11</v>
      </c>
      <c r="D642" s="148" t="str">
        <f t="shared" si="1"/>
        <v>-</v>
      </c>
      <c r="E642" s="9"/>
      <c r="F642" s="10"/>
      <c r="G642" s="9"/>
      <c r="H642" s="11"/>
      <c r="I642" s="11"/>
      <c r="J642" s="11"/>
      <c r="K642" s="9" t="s">
        <v>13</v>
      </c>
      <c r="L642" s="283"/>
    </row>
    <row r="643">
      <c r="A643" s="146" t="s">
        <v>94</v>
      </c>
      <c r="B643" s="47"/>
      <c r="C643" s="148" t="s">
        <v>11</v>
      </c>
      <c r="D643" s="148" t="str">
        <f t="shared" si="1"/>
        <v>-</v>
      </c>
      <c r="E643" s="9"/>
      <c r="F643" s="10"/>
      <c r="G643" s="9"/>
      <c r="H643" s="11"/>
      <c r="I643" s="11"/>
      <c r="J643" s="11"/>
      <c r="K643" s="9" t="s">
        <v>13</v>
      </c>
      <c r="L643" s="283"/>
    </row>
    <row r="644">
      <c r="A644" s="146" t="s">
        <v>94</v>
      </c>
      <c r="B644" s="47"/>
      <c r="C644" s="148" t="s">
        <v>11</v>
      </c>
      <c r="D644" s="148" t="str">
        <f t="shared" si="1"/>
        <v>-</v>
      </c>
      <c r="E644" s="9"/>
      <c r="F644" s="10"/>
      <c r="G644" s="9"/>
      <c r="H644" s="11"/>
      <c r="I644" s="11"/>
      <c r="J644" s="11"/>
      <c r="K644" s="9" t="s">
        <v>13</v>
      </c>
      <c r="L644" s="283"/>
    </row>
    <row r="645">
      <c r="A645" s="146" t="s">
        <v>94</v>
      </c>
      <c r="B645" s="47"/>
      <c r="C645" s="148" t="s">
        <v>11</v>
      </c>
      <c r="D645" s="148" t="str">
        <f t="shared" si="1"/>
        <v>-</v>
      </c>
      <c r="E645" s="9"/>
      <c r="F645" s="10"/>
      <c r="G645" s="9"/>
      <c r="H645" s="11"/>
      <c r="I645" s="11"/>
      <c r="J645" s="11"/>
      <c r="K645" s="9" t="s">
        <v>13</v>
      </c>
      <c r="L645" s="283"/>
    </row>
    <row r="646">
      <c r="A646" s="146" t="s">
        <v>94</v>
      </c>
      <c r="B646" s="47"/>
      <c r="C646" s="148" t="s">
        <v>11</v>
      </c>
      <c r="D646" s="148" t="str">
        <f t="shared" si="1"/>
        <v>-</v>
      </c>
      <c r="E646" s="9"/>
      <c r="F646" s="10"/>
      <c r="G646" s="9"/>
      <c r="H646" s="11"/>
      <c r="I646" s="11"/>
      <c r="J646" s="11"/>
      <c r="K646" s="9" t="s">
        <v>13</v>
      </c>
      <c r="L646" s="283"/>
    </row>
    <row r="647">
      <c r="A647" s="146" t="s">
        <v>94</v>
      </c>
      <c r="B647" s="47"/>
      <c r="C647" s="148" t="s">
        <v>11</v>
      </c>
      <c r="D647" s="148" t="str">
        <f t="shared" si="1"/>
        <v>-</v>
      </c>
      <c r="E647" s="9"/>
      <c r="F647" s="10"/>
      <c r="G647" s="9"/>
      <c r="H647" s="11"/>
      <c r="I647" s="11"/>
      <c r="J647" s="11"/>
      <c r="K647" s="9" t="s">
        <v>13</v>
      </c>
      <c r="L647" s="283"/>
    </row>
    <row r="648">
      <c r="A648" s="146" t="s">
        <v>94</v>
      </c>
      <c r="B648" s="47"/>
      <c r="C648" s="148" t="s">
        <v>11</v>
      </c>
      <c r="D648" s="148" t="str">
        <f t="shared" si="1"/>
        <v>-</v>
      </c>
      <c r="E648" s="9"/>
      <c r="F648" s="10"/>
      <c r="G648" s="9"/>
      <c r="H648" s="11"/>
      <c r="I648" s="11"/>
      <c r="J648" s="11"/>
      <c r="K648" s="9" t="s">
        <v>13</v>
      </c>
      <c r="L648" s="283"/>
    </row>
    <row r="649">
      <c r="A649" s="146" t="s">
        <v>94</v>
      </c>
      <c r="B649" s="47"/>
      <c r="C649" s="148" t="s">
        <v>11</v>
      </c>
      <c r="D649" s="148" t="str">
        <f t="shared" si="1"/>
        <v>-</v>
      </c>
      <c r="E649" s="9"/>
      <c r="F649" s="10"/>
      <c r="G649" s="9"/>
      <c r="H649" s="11"/>
      <c r="I649" s="11"/>
      <c r="J649" s="11"/>
      <c r="K649" s="9" t="s">
        <v>13</v>
      </c>
      <c r="L649" s="283"/>
    </row>
    <row r="650">
      <c r="A650" s="146" t="s">
        <v>94</v>
      </c>
      <c r="B650" s="47"/>
      <c r="C650" s="148" t="s">
        <v>11</v>
      </c>
      <c r="D650" s="148" t="str">
        <f t="shared" si="1"/>
        <v>-</v>
      </c>
      <c r="E650" s="9"/>
      <c r="F650" s="10"/>
      <c r="G650" s="9"/>
      <c r="H650" s="11"/>
      <c r="I650" s="11"/>
      <c r="J650" s="11"/>
      <c r="K650" s="9" t="s">
        <v>13</v>
      </c>
      <c r="L650" s="283"/>
    </row>
    <row r="651">
      <c r="A651" s="146" t="s">
        <v>94</v>
      </c>
      <c r="B651" s="47"/>
      <c r="C651" s="148" t="s">
        <v>11</v>
      </c>
      <c r="D651" s="148" t="str">
        <f t="shared" si="1"/>
        <v>-</v>
      </c>
      <c r="E651" s="9"/>
      <c r="F651" s="10"/>
      <c r="G651" s="9"/>
      <c r="H651" s="11"/>
      <c r="I651" s="11"/>
      <c r="J651" s="11"/>
      <c r="K651" s="9" t="s">
        <v>13</v>
      </c>
      <c r="L651" s="283"/>
    </row>
    <row r="652">
      <c r="A652" s="146" t="s">
        <v>94</v>
      </c>
      <c r="B652" s="47"/>
      <c r="C652" s="148" t="s">
        <v>11</v>
      </c>
      <c r="D652" s="148" t="str">
        <f t="shared" si="1"/>
        <v>-</v>
      </c>
      <c r="E652" s="9"/>
      <c r="F652" s="10"/>
      <c r="G652" s="9"/>
      <c r="H652" s="11"/>
      <c r="I652" s="11"/>
      <c r="J652" s="11"/>
      <c r="K652" s="9" t="s">
        <v>13</v>
      </c>
      <c r="L652" s="283"/>
    </row>
    <row r="653">
      <c r="A653" s="146" t="s">
        <v>94</v>
      </c>
      <c r="B653" s="47"/>
      <c r="C653" s="148" t="s">
        <v>11</v>
      </c>
      <c r="D653" s="148" t="str">
        <f t="shared" si="1"/>
        <v>-</v>
      </c>
      <c r="E653" s="9"/>
      <c r="F653" s="10"/>
      <c r="G653" s="9"/>
      <c r="H653" s="11"/>
      <c r="I653" s="11"/>
      <c r="J653" s="11"/>
      <c r="K653" s="9" t="s">
        <v>13</v>
      </c>
      <c r="L653" s="283"/>
    </row>
    <row r="654">
      <c r="A654" s="146" t="s">
        <v>94</v>
      </c>
      <c r="B654" s="47"/>
      <c r="C654" s="148" t="s">
        <v>11</v>
      </c>
      <c r="D654" s="148" t="str">
        <f t="shared" si="1"/>
        <v>-</v>
      </c>
      <c r="E654" s="9"/>
      <c r="F654" s="10"/>
      <c r="G654" s="9"/>
      <c r="H654" s="11"/>
      <c r="I654" s="11"/>
      <c r="J654" s="11"/>
      <c r="K654" s="9" t="s">
        <v>13</v>
      </c>
      <c r="L654" s="283"/>
    </row>
    <row r="655">
      <c r="A655" s="146" t="s">
        <v>94</v>
      </c>
      <c r="B655" s="47"/>
      <c r="C655" s="148" t="s">
        <v>11</v>
      </c>
      <c r="D655" s="148" t="str">
        <f t="shared" si="1"/>
        <v>-</v>
      </c>
      <c r="E655" s="9"/>
      <c r="F655" s="10"/>
      <c r="G655" s="9"/>
      <c r="H655" s="11"/>
      <c r="I655" s="11"/>
      <c r="J655" s="11"/>
      <c r="K655" s="9" t="s">
        <v>13</v>
      </c>
      <c r="L655" s="283"/>
    </row>
    <row r="656">
      <c r="A656" s="146" t="s">
        <v>94</v>
      </c>
      <c r="B656" s="47"/>
      <c r="C656" s="148" t="s">
        <v>11</v>
      </c>
      <c r="D656" s="148" t="str">
        <f t="shared" si="1"/>
        <v>-</v>
      </c>
      <c r="E656" s="9"/>
      <c r="F656" s="10"/>
      <c r="G656" s="9"/>
      <c r="H656" s="11"/>
      <c r="I656" s="11"/>
      <c r="J656" s="11"/>
      <c r="K656" s="9" t="s">
        <v>13</v>
      </c>
      <c r="L656" s="283"/>
    </row>
    <row r="657">
      <c r="A657" s="146" t="s">
        <v>94</v>
      </c>
      <c r="B657" s="47"/>
      <c r="C657" s="148" t="s">
        <v>11</v>
      </c>
      <c r="D657" s="148" t="str">
        <f t="shared" si="1"/>
        <v>-</v>
      </c>
      <c r="E657" s="9"/>
      <c r="F657" s="10"/>
      <c r="G657" s="9"/>
      <c r="H657" s="11"/>
      <c r="I657" s="11"/>
      <c r="J657" s="11"/>
      <c r="K657" s="9" t="s">
        <v>13</v>
      </c>
      <c r="L657" s="283"/>
    </row>
    <row r="658">
      <c r="A658" s="146" t="s">
        <v>94</v>
      </c>
      <c r="B658" s="47"/>
      <c r="C658" s="148" t="s">
        <v>11</v>
      </c>
      <c r="D658" s="148" t="str">
        <f t="shared" si="1"/>
        <v>-</v>
      </c>
      <c r="E658" s="9"/>
      <c r="F658" s="10"/>
      <c r="G658" s="9"/>
      <c r="H658" s="11"/>
      <c r="I658" s="11"/>
      <c r="J658" s="11"/>
      <c r="K658" s="9" t="s">
        <v>13</v>
      </c>
      <c r="L658" s="283"/>
    </row>
    <row r="659">
      <c r="A659" s="146" t="s">
        <v>94</v>
      </c>
      <c r="B659" s="47"/>
      <c r="C659" s="148" t="s">
        <v>11</v>
      </c>
      <c r="D659" s="148" t="str">
        <f t="shared" si="1"/>
        <v>-</v>
      </c>
      <c r="E659" s="9"/>
      <c r="F659" s="10"/>
      <c r="G659" s="9"/>
      <c r="H659" s="11"/>
      <c r="I659" s="11"/>
      <c r="J659" s="11"/>
      <c r="K659" s="9" t="s">
        <v>13</v>
      </c>
      <c r="L659" s="283"/>
    </row>
    <row r="660">
      <c r="A660" s="146" t="s">
        <v>94</v>
      </c>
      <c r="B660" s="47"/>
      <c r="C660" s="148" t="s">
        <v>11</v>
      </c>
      <c r="D660" s="148" t="str">
        <f t="shared" si="1"/>
        <v>-</v>
      </c>
      <c r="E660" s="9"/>
      <c r="F660" s="10"/>
      <c r="G660" s="9"/>
      <c r="H660" s="11"/>
      <c r="I660" s="11"/>
      <c r="J660" s="11"/>
      <c r="K660" s="9" t="s">
        <v>13</v>
      </c>
      <c r="L660" s="283"/>
    </row>
    <row r="661">
      <c r="A661" s="146" t="s">
        <v>94</v>
      </c>
      <c r="B661" s="47"/>
      <c r="C661" s="148" t="s">
        <v>11</v>
      </c>
      <c r="D661" s="148" t="str">
        <f t="shared" si="1"/>
        <v>-</v>
      </c>
      <c r="E661" s="9"/>
      <c r="F661" s="10"/>
      <c r="G661" s="9"/>
      <c r="H661" s="11"/>
      <c r="I661" s="11"/>
      <c r="J661" s="11"/>
      <c r="K661" s="9" t="s">
        <v>13</v>
      </c>
      <c r="L661" s="283"/>
    </row>
    <row r="662">
      <c r="A662" s="146" t="s">
        <v>94</v>
      </c>
      <c r="B662" s="47"/>
      <c r="C662" s="148" t="s">
        <v>11</v>
      </c>
      <c r="D662" s="148" t="str">
        <f t="shared" si="1"/>
        <v>-</v>
      </c>
      <c r="E662" s="9"/>
      <c r="F662" s="10"/>
      <c r="G662" s="9"/>
      <c r="H662" s="11"/>
      <c r="I662" s="11"/>
      <c r="J662" s="11"/>
      <c r="K662" s="9" t="s">
        <v>13</v>
      </c>
      <c r="L662" s="283"/>
    </row>
    <row r="663">
      <c r="A663" s="146" t="s">
        <v>94</v>
      </c>
      <c r="B663" s="47"/>
      <c r="C663" s="148" t="s">
        <v>11</v>
      </c>
      <c r="D663" s="148" t="str">
        <f t="shared" si="1"/>
        <v>-</v>
      </c>
      <c r="E663" s="9"/>
      <c r="F663" s="10"/>
      <c r="G663" s="9"/>
      <c r="H663" s="11"/>
      <c r="I663" s="11"/>
      <c r="J663" s="11"/>
      <c r="K663" s="9" t="s">
        <v>13</v>
      </c>
      <c r="L663" s="283"/>
    </row>
    <row r="664">
      <c r="A664" s="146" t="s">
        <v>94</v>
      </c>
      <c r="B664" s="47"/>
      <c r="C664" s="148" t="s">
        <v>11</v>
      </c>
      <c r="D664" s="148" t="str">
        <f t="shared" si="1"/>
        <v>-</v>
      </c>
      <c r="E664" s="9"/>
      <c r="F664" s="10"/>
      <c r="G664" s="9"/>
      <c r="H664" s="11"/>
      <c r="I664" s="11"/>
      <c r="J664" s="11"/>
      <c r="K664" s="9" t="s">
        <v>13</v>
      </c>
      <c r="L664" s="283"/>
    </row>
    <row r="665">
      <c r="A665" s="146" t="s">
        <v>94</v>
      </c>
      <c r="B665" s="47"/>
      <c r="C665" s="148" t="s">
        <v>11</v>
      </c>
      <c r="D665" s="148" t="str">
        <f t="shared" si="1"/>
        <v>-</v>
      </c>
      <c r="E665" s="9"/>
      <c r="F665" s="10"/>
      <c r="G665" s="9"/>
      <c r="H665" s="11"/>
      <c r="I665" s="11"/>
      <c r="J665" s="11"/>
      <c r="K665" s="9" t="s">
        <v>13</v>
      </c>
      <c r="L665" s="283"/>
    </row>
    <row r="666">
      <c r="A666" s="146" t="s">
        <v>94</v>
      </c>
      <c r="B666" s="47"/>
      <c r="C666" s="148" t="s">
        <v>11</v>
      </c>
      <c r="D666" s="148" t="str">
        <f t="shared" si="1"/>
        <v>-</v>
      </c>
      <c r="E666" s="9"/>
      <c r="F666" s="10"/>
      <c r="G666" s="9"/>
      <c r="H666" s="11"/>
      <c r="I666" s="11"/>
      <c r="J666" s="11"/>
      <c r="K666" s="9" t="s">
        <v>13</v>
      </c>
      <c r="L666" s="283"/>
    </row>
    <row r="667">
      <c r="A667" s="146" t="s">
        <v>94</v>
      </c>
      <c r="B667" s="47"/>
      <c r="C667" s="148" t="s">
        <v>11</v>
      </c>
      <c r="D667" s="148" t="str">
        <f t="shared" si="1"/>
        <v>-</v>
      </c>
      <c r="E667" s="9"/>
      <c r="F667" s="10"/>
      <c r="G667" s="9"/>
      <c r="H667" s="11"/>
      <c r="I667" s="11"/>
      <c r="J667" s="11"/>
      <c r="K667" s="9" t="s">
        <v>13</v>
      </c>
      <c r="L667" s="283"/>
    </row>
    <row r="668">
      <c r="A668" s="146" t="s">
        <v>94</v>
      </c>
      <c r="B668" s="47"/>
      <c r="C668" s="148" t="s">
        <v>11</v>
      </c>
      <c r="D668" s="148" t="str">
        <f t="shared" si="1"/>
        <v>-</v>
      </c>
      <c r="E668" s="9"/>
      <c r="F668" s="10"/>
      <c r="G668" s="9"/>
      <c r="H668" s="11"/>
      <c r="I668" s="11"/>
      <c r="J668" s="11"/>
      <c r="K668" s="9" t="s">
        <v>13</v>
      </c>
      <c r="L668" s="283"/>
    </row>
    <row r="669">
      <c r="A669" s="146" t="s">
        <v>94</v>
      </c>
      <c r="B669" s="47"/>
      <c r="C669" s="148" t="s">
        <v>11</v>
      </c>
      <c r="D669" s="148" t="str">
        <f t="shared" si="1"/>
        <v>-</v>
      </c>
      <c r="E669" s="9"/>
      <c r="F669" s="10"/>
      <c r="G669" s="9"/>
      <c r="H669" s="11"/>
      <c r="I669" s="11"/>
      <c r="J669" s="11"/>
      <c r="K669" s="9" t="s">
        <v>13</v>
      </c>
      <c r="L669" s="283"/>
    </row>
    <row r="670">
      <c r="A670" s="146" t="s">
        <v>94</v>
      </c>
      <c r="B670" s="47"/>
      <c r="C670" s="148" t="s">
        <v>11</v>
      </c>
      <c r="D670" s="148" t="str">
        <f t="shared" si="1"/>
        <v>-</v>
      </c>
      <c r="E670" s="9"/>
      <c r="F670" s="10"/>
      <c r="G670" s="9"/>
      <c r="H670" s="11"/>
      <c r="I670" s="11"/>
      <c r="J670" s="11"/>
      <c r="K670" s="9" t="s">
        <v>13</v>
      </c>
      <c r="L670" s="283"/>
    </row>
    <row r="671">
      <c r="A671" s="146" t="s">
        <v>94</v>
      </c>
      <c r="B671" s="47"/>
      <c r="C671" s="148" t="s">
        <v>11</v>
      </c>
      <c r="D671" s="148" t="str">
        <f t="shared" si="1"/>
        <v>-</v>
      </c>
      <c r="E671" s="9"/>
      <c r="F671" s="10"/>
      <c r="G671" s="9"/>
      <c r="H671" s="11"/>
      <c r="I671" s="11"/>
      <c r="J671" s="11"/>
      <c r="K671" s="9" t="s">
        <v>13</v>
      </c>
      <c r="L671" s="283"/>
    </row>
    <row r="672">
      <c r="A672" s="146" t="s">
        <v>94</v>
      </c>
      <c r="B672" s="47"/>
      <c r="C672" s="148" t="s">
        <v>11</v>
      </c>
      <c r="D672" s="148" t="str">
        <f t="shared" si="1"/>
        <v>-</v>
      </c>
      <c r="E672" s="9"/>
      <c r="F672" s="10"/>
      <c r="G672" s="9"/>
      <c r="H672" s="11"/>
      <c r="I672" s="11"/>
      <c r="J672" s="11"/>
      <c r="K672" s="9" t="s">
        <v>13</v>
      </c>
      <c r="L672" s="283"/>
    </row>
    <row r="673">
      <c r="A673" s="146" t="s">
        <v>94</v>
      </c>
      <c r="B673" s="47"/>
      <c r="C673" s="148" t="s">
        <v>11</v>
      </c>
      <c r="D673" s="148" t="str">
        <f t="shared" si="1"/>
        <v>-</v>
      </c>
      <c r="E673" s="9"/>
      <c r="F673" s="10"/>
      <c r="G673" s="9"/>
      <c r="H673" s="11"/>
      <c r="I673" s="11"/>
      <c r="J673" s="11"/>
      <c r="K673" s="9" t="s">
        <v>13</v>
      </c>
      <c r="L673" s="283"/>
    </row>
    <row r="674">
      <c r="A674" s="146" t="s">
        <v>94</v>
      </c>
      <c r="B674" s="47"/>
      <c r="C674" s="148" t="s">
        <v>11</v>
      </c>
      <c r="D674" s="148" t="str">
        <f t="shared" si="1"/>
        <v>-</v>
      </c>
      <c r="E674" s="9"/>
      <c r="F674" s="10"/>
      <c r="G674" s="9"/>
      <c r="H674" s="11"/>
      <c r="I674" s="11"/>
      <c r="J674" s="11"/>
      <c r="K674" s="9" t="s">
        <v>13</v>
      </c>
      <c r="L674" s="283"/>
    </row>
    <row r="675">
      <c r="A675" s="146" t="s">
        <v>94</v>
      </c>
      <c r="B675" s="47"/>
      <c r="C675" s="148" t="s">
        <v>11</v>
      </c>
      <c r="D675" s="148" t="str">
        <f t="shared" si="1"/>
        <v>-</v>
      </c>
      <c r="E675" s="9"/>
      <c r="F675" s="10"/>
      <c r="G675" s="9"/>
      <c r="H675" s="11"/>
      <c r="I675" s="11"/>
      <c r="J675" s="11"/>
      <c r="K675" s="9" t="s">
        <v>13</v>
      </c>
      <c r="L675" s="283"/>
    </row>
    <row r="676">
      <c r="A676" s="146" t="s">
        <v>94</v>
      </c>
      <c r="B676" s="47"/>
      <c r="C676" s="148" t="s">
        <v>11</v>
      </c>
      <c r="D676" s="148" t="str">
        <f t="shared" si="1"/>
        <v>-</v>
      </c>
      <c r="E676" s="9"/>
      <c r="F676" s="10"/>
      <c r="G676" s="9"/>
      <c r="H676" s="11"/>
      <c r="I676" s="11"/>
      <c r="J676" s="11"/>
      <c r="K676" s="9" t="s">
        <v>13</v>
      </c>
      <c r="L676" s="283"/>
    </row>
    <row r="677">
      <c r="A677" s="146" t="s">
        <v>94</v>
      </c>
      <c r="B677" s="47"/>
      <c r="C677" s="148" t="s">
        <v>11</v>
      </c>
      <c r="D677" s="148" t="str">
        <f t="shared" si="1"/>
        <v>-</v>
      </c>
      <c r="E677" s="9"/>
      <c r="F677" s="10"/>
      <c r="G677" s="9"/>
      <c r="H677" s="11"/>
      <c r="I677" s="11"/>
      <c r="J677" s="11"/>
      <c r="K677" s="9" t="s">
        <v>13</v>
      </c>
      <c r="L677" s="283"/>
    </row>
    <row r="678">
      <c r="A678" s="146" t="s">
        <v>94</v>
      </c>
      <c r="B678" s="47"/>
      <c r="C678" s="148" t="s">
        <v>11</v>
      </c>
      <c r="D678" s="148" t="str">
        <f t="shared" si="1"/>
        <v>-</v>
      </c>
      <c r="E678" s="9"/>
      <c r="F678" s="10"/>
      <c r="G678" s="9"/>
      <c r="H678" s="11"/>
      <c r="I678" s="11"/>
      <c r="J678" s="11"/>
      <c r="K678" s="9" t="s">
        <v>13</v>
      </c>
      <c r="L678" s="283"/>
    </row>
    <row r="679">
      <c r="A679" s="146" t="s">
        <v>94</v>
      </c>
      <c r="B679" s="47"/>
      <c r="C679" s="148" t="s">
        <v>11</v>
      </c>
      <c r="D679" s="148" t="str">
        <f t="shared" si="1"/>
        <v>-</v>
      </c>
      <c r="E679" s="9"/>
      <c r="F679" s="10"/>
      <c r="G679" s="9"/>
      <c r="H679" s="11"/>
      <c r="I679" s="11"/>
      <c r="J679" s="11"/>
      <c r="K679" s="9" t="s">
        <v>13</v>
      </c>
      <c r="L679" s="283"/>
    </row>
    <row r="680">
      <c r="A680" s="146" t="s">
        <v>94</v>
      </c>
      <c r="B680" s="47"/>
      <c r="C680" s="148" t="s">
        <v>11</v>
      </c>
      <c r="D680" s="148" t="str">
        <f t="shared" si="1"/>
        <v>-</v>
      </c>
      <c r="E680" s="9"/>
      <c r="F680" s="10"/>
      <c r="G680" s="9"/>
      <c r="H680" s="11"/>
      <c r="I680" s="11"/>
      <c r="J680" s="11"/>
      <c r="K680" s="9" t="s">
        <v>13</v>
      </c>
      <c r="L680" s="283"/>
    </row>
    <row r="681">
      <c r="A681" s="146" t="s">
        <v>94</v>
      </c>
      <c r="B681" s="47"/>
      <c r="C681" s="148" t="s">
        <v>11</v>
      </c>
      <c r="D681" s="148" t="str">
        <f t="shared" si="1"/>
        <v>-</v>
      </c>
      <c r="E681" s="9"/>
      <c r="F681" s="10"/>
      <c r="G681" s="9"/>
      <c r="H681" s="11"/>
      <c r="I681" s="11"/>
      <c r="J681" s="11"/>
      <c r="K681" s="9" t="s">
        <v>13</v>
      </c>
      <c r="L681" s="283"/>
    </row>
    <row r="682">
      <c r="A682" s="146" t="s">
        <v>94</v>
      </c>
      <c r="B682" s="47"/>
      <c r="C682" s="148" t="s">
        <v>11</v>
      </c>
      <c r="D682" s="148" t="str">
        <f t="shared" si="1"/>
        <v>-</v>
      </c>
      <c r="E682" s="9"/>
      <c r="F682" s="10"/>
      <c r="G682" s="9"/>
      <c r="H682" s="11"/>
      <c r="I682" s="11"/>
      <c r="J682" s="11"/>
      <c r="K682" s="9" t="s">
        <v>13</v>
      </c>
      <c r="L682" s="283"/>
    </row>
    <row r="683">
      <c r="A683" s="146" t="s">
        <v>94</v>
      </c>
      <c r="B683" s="47"/>
      <c r="C683" s="148" t="s">
        <v>11</v>
      </c>
      <c r="D683" s="148" t="str">
        <f t="shared" si="1"/>
        <v>-</v>
      </c>
      <c r="E683" s="9"/>
      <c r="F683" s="10"/>
      <c r="G683" s="9"/>
      <c r="H683" s="11"/>
      <c r="I683" s="11"/>
      <c r="J683" s="11"/>
      <c r="K683" s="9" t="s">
        <v>13</v>
      </c>
      <c r="L683" s="283"/>
    </row>
    <row r="684">
      <c r="A684" s="146" t="s">
        <v>94</v>
      </c>
      <c r="B684" s="47"/>
      <c r="C684" s="148" t="s">
        <v>11</v>
      </c>
      <c r="D684" s="148" t="str">
        <f t="shared" si="1"/>
        <v>-</v>
      </c>
      <c r="E684" s="9"/>
      <c r="F684" s="10"/>
      <c r="G684" s="9"/>
      <c r="H684" s="11"/>
      <c r="I684" s="11"/>
      <c r="J684" s="11"/>
      <c r="K684" s="9" t="s">
        <v>13</v>
      </c>
      <c r="L684" s="283"/>
    </row>
    <row r="685">
      <c r="A685" s="146" t="s">
        <v>94</v>
      </c>
      <c r="B685" s="47"/>
      <c r="C685" s="148" t="s">
        <v>11</v>
      </c>
      <c r="D685" s="148" t="str">
        <f t="shared" si="1"/>
        <v>-</v>
      </c>
      <c r="E685" s="9"/>
      <c r="F685" s="10"/>
      <c r="G685" s="9"/>
      <c r="H685" s="11"/>
      <c r="I685" s="11"/>
      <c r="J685" s="11"/>
      <c r="K685" s="9" t="s">
        <v>13</v>
      </c>
      <c r="L685" s="283"/>
    </row>
    <row r="686">
      <c r="A686" s="146" t="s">
        <v>94</v>
      </c>
      <c r="B686" s="47"/>
      <c r="C686" s="148" t="s">
        <v>11</v>
      </c>
      <c r="D686" s="148" t="str">
        <f t="shared" si="1"/>
        <v>-</v>
      </c>
      <c r="E686" s="9"/>
      <c r="F686" s="10"/>
      <c r="G686" s="9"/>
      <c r="H686" s="11"/>
      <c r="I686" s="11"/>
      <c r="J686" s="11"/>
      <c r="K686" s="9" t="s">
        <v>13</v>
      </c>
      <c r="L686" s="283"/>
    </row>
    <row r="687">
      <c r="A687" s="146" t="s">
        <v>94</v>
      </c>
      <c r="B687" s="47"/>
      <c r="C687" s="148" t="s">
        <v>11</v>
      </c>
      <c r="D687" s="148" t="str">
        <f t="shared" si="1"/>
        <v>-</v>
      </c>
      <c r="E687" s="9"/>
      <c r="F687" s="10"/>
      <c r="G687" s="9"/>
      <c r="H687" s="11"/>
      <c r="I687" s="11"/>
      <c r="J687" s="11"/>
      <c r="K687" s="9" t="s">
        <v>13</v>
      </c>
      <c r="L687" s="283"/>
    </row>
    <row r="688">
      <c r="A688" s="146" t="s">
        <v>94</v>
      </c>
      <c r="B688" s="47"/>
      <c r="C688" s="148" t="s">
        <v>11</v>
      </c>
      <c r="D688" s="148" t="str">
        <f t="shared" si="1"/>
        <v>-</v>
      </c>
      <c r="E688" s="9"/>
      <c r="F688" s="10"/>
      <c r="G688" s="9"/>
      <c r="H688" s="11"/>
      <c r="I688" s="11"/>
      <c r="J688" s="11"/>
      <c r="K688" s="9" t="s">
        <v>13</v>
      </c>
      <c r="L688" s="283"/>
    </row>
    <row r="689">
      <c r="A689" s="146" t="s">
        <v>94</v>
      </c>
      <c r="B689" s="47"/>
      <c r="C689" s="148" t="s">
        <v>11</v>
      </c>
      <c r="D689" s="148" t="str">
        <f t="shared" si="1"/>
        <v>-</v>
      </c>
      <c r="E689" s="9"/>
      <c r="F689" s="10"/>
      <c r="G689" s="9"/>
      <c r="H689" s="11"/>
      <c r="I689" s="11"/>
      <c r="J689" s="11"/>
      <c r="K689" s="9" t="s">
        <v>13</v>
      </c>
      <c r="L689" s="283"/>
    </row>
    <row r="690">
      <c r="A690" s="146" t="s">
        <v>94</v>
      </c>
      <c r="B690" s="47"/>
      <c r="C690" s="148" t="s">
        <v>11</v>
      </c>
      <c r="D690" s="148" t="str">
        <f t="shared" si="1"/>
        <v>-</v>
      </c>
      <c r="E690" s="9"/>
      <c r="F690" s="10"/>
      <c r="G690" s="9"/>
      <c r="H690" s="11"/>
      <c r="I690" s="11"/>
      <c r="J690" s="11"/>
      <c r="K690" s="9" t="s">
        <v>13</v>
      </c>
      <c r="L690" s="283"/>
    </row>
    <row r="691">
      <c r="A691" s="146" t="s">
        <v>94</v>
      </c>
      <c r="B691" s="47"/>
      <c r="C691" s="148" t="s">
        <v>11</v>
      </c>
      <c r="D691" s="148" t="str">
        <f t="shared" si="1"/>
        <v>-</v>
      </c>
      <c r="E691" s="9"/>
      <c r="F691" s="10"/>
      <c r="G691" s="9"/>
      <c r="H691" s="11"/>
      <c r="I691" s="11"/>
      <c r="J691" s="11"/>
      <c r="K691" s="9" t="s">
        <v>13</v>
      </c>
      <c r="L691" s="283"/>
    </row>
    <row r="692">
      <c r="A692" s="146" t="s">
        <v>94</v>
      </c>
      <c r="B692" s="47"/>
      <c r="C692" s="148" t="s">
        <v>11</v>
      </c>
      <c r="D692" s="148" t="str">
        <f t="shared" si="1"/>
        <v>-</v>
      </c>
      <c r="E692" s="9"/>
      <c r="F692" s="10"/>
      <c r="G692" s="9"/>
      <c r="H692" s="11"/>
      <c r="I692" s="11"/>
      <c r="J692" s="11"/>
      <c r="K692" s="9" t="s">
        <v>13</v>
      </c>
      <c r="L692" s="283"/>
    </row>
  </sheetData>
  <mergeCells count="1">
    <mergeCell ref="A1:L1"/>
  </mergeCells>
  <conditionalFormatting sqref="A1:L692">
    <cfRule type="containsText" dxfId="0" priority="1" operator="containsText" text="FAB A FAIRE">
      <formula>NOT(ISERROR(SEARCH(("FAB A FAIRE"),(A1))))</formula>
    </cfRule>
  </conditionalFormatting>
  <conditionalFormatting sqref="B3:J692">
    <cfRule type="expression" dxfId="1" priority="2">
      <formula>$G3="Stand-by"</formula>
    </cfRule>
  </conditionalFormatting>
  <conditionalFormatting sqref="G2:G692">
    <cfRule type="cellIs" dxfId="2" priority="3" operator="equal">
      <formula>"A faire"</formula>
    </cfRule>
  </conditionalFormatting>
  <conditionalFormatting sqref="G2:G692">
    <cfRule type="cellIs" dxfId="3" priority="4" operator="equal">
      <formula>"En cours"</formula>
    </cfRule>
  </conditionalFormatting>
  <conditionalFormatting sqref="B3:J692">
    <cfRule type="expression" dxfId="4" priority="5">
      <formula>$G3="Sur T.L."</formula>
    </cfRule>
  </conditionalFormatting>
  <conditionalFormatting sqref="G2:G692">
    <cfRule type="cellIs" dxfId="5" priority="6" operator="equal">
      <formula>"Attente R."</formula>
    </cfRule>
  </conditionalFormatting>
  <conditionalFormatting sqref="F2:F692">
    <cfRule type="timePeriod" dxfId="6" priority="7" timePeriod="today"/>
  </conditionalFormatting>
  <conditionalFormatting sqref="F2:F692">
    <cfRule type="expression" dxfId="7" priority="8">
      <formula>AND(ISNUMBER(F2),TRUNC(F2)&lt;TODAY())</formula>
    </cfRule>
  </conditionalFormatting>
  <conditionalFormatting sqref="G2:G692">
    <cfRule type="cellIs" dxfId="8" priority="9" operator="equal">
      <formula>"Mairie"</formula>
    </cfRule>
  </conditionalFormatting>
  <conditionalFormatting sqref="H2:J692">
    <cfRule type="containsText" dxfId="9" priority="10" operator="containsText" text="REPRISE DOSSIER CAROLE">
      <formula>NOT(ISERROR(SEARCH(("REPRISE DOSSIER CAROLE"),(H2))))</formula>
    </cfRule>
  </conditionalFormatting>
  <dataValidations>
    <dataValidation type="list" allowBlank="1" sqref="G3:G692">
      <formula1>"-,A faire,En cours,Attente R.,Stand-by,Sur T.L.,Mairie,! Urgent !,A Relancer"</formula1>
    </dataValidation>
    <dataValidation type="list" allowBlank="1" sqref="E3:E692">
      <formula1>"-,Michael,Antoine,Sophie,Avner,Marie,Marguerite,Florent"</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84"/>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286"/>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8649</v>
      </c>
      <c r="B3" s="289">
        <f>COUNTA(JORDAN!B3:B21)</f>
        <v>41</v>
      </c>
      <c r="C3" s="286"/>
      <c r="D3" s="286"/>
      <c r="E3" s="286"/>
      <c r="F3" s="286"/>
      <c r="G3" s="286"/>
      <c r="H3" s="286"/>
      <c r="I3" s="288"/>
      <c r="J3" s="286">
        <f>SUM(L3+K3)</f>
        <v>342</v>
      </c>
      <c r="K3" s="289">
        <f>COUNTIF(ARCHIVE!A1:Y1522,"J")</f>
        <v>342</v>
      </c>
      <c r="L3" s="289"/>
      <c r="M3" s="286"/>
      <c r="N3" s="286"/>
      <c r="O3" s="286"/>
      <c r="P3" s="286"/>
      <c r="Q3" s="284"/>
      <c r="R3" s="289">
        <f t="shared" ref="R3:R12" si="1">SUM(B3+J3)</f>
        <v>383</v>
      </c>
      <c r="S3" s="286"/>
      <c r="T3" s="286"/>
      <c r="U3" s="286"/>
      <c r="V3" s="286"/>
      <c r="W3" s="286"/>
      <c r="X3" s="286"/>
      <c r="Y3" s="284"/>
    </row>
    <row r="4">
      <c r="A4" s="290" t="s">
        <v>9113</v>
      </c>
      <c r="B4" s="286">
        <f>COUNTA(HUGO!B3:B21)</f>
        <v>0</v>
      </c>
      <c r="C4" s="286"/>
      <c r="D4" s="286"/>
      <c r="E4" s="286"/>
      <c r="F4" s="286"/>
      <c r="G4" s="286"/>
      <c r="H4" s="286"/>
      <c r="I4" s="288"/>
      <c r="J4" s="286">
        <f>SUM(L8+K4)</f>
        <v>5</v>
      </c>
      <c r="K4" s="287">
        <f>COUNTIF(ARCHIVE!A1:A1522,"H")</f>
        <v>5</v>
      </c>
      <c r="L4" s="287"/>
      <c r="M4" s="286"/>
      <c r="N4" s="286"/>
      <c r="O4" s="286"/>
      <c r="P4" s="286"/>
      <c r="Q4" s="284"/>
      <c r="R4" s="289">
        <f t="shared" si="1"/>
        <v>5</v>
      </c>
      <c r="S4" s="286"/>
      <c r="T4" s="286"/>
      <c r="U4" s="286"/>
      <c r="V4" s="286"/>
      <c r="W4" s="286"/>
      <c r="X4" s="286"/>
      <c r="Y4" s="284"/>
    </row>
    <row r="5">
      <c r="A5" s="290" t="s">
        <v>8665</v>
      </c>
      <c r="B5" s="286">
        <f>COUNTA(CAROLE!B3:B21)</f>
        <v>60</v>
      </c>
      <c r="C5" s="286"/>
      <c r="D5" s="286"/>
      <c r="E5" s="286"/>
      <c r="F5" s="286"/>
      <c r="G5" s="286"/>
      <c r="H5" s="286"/>
      <c r="I5" s="288"/>
      <c r="J5" s="286">
        <f>SUM(L13+K5)</f>
        <v>493</v>
      </c>
      <c r="K5" s="287">
        <f>COUNTIF(ARCHIVE!A1:A1522,"C")</f>
        <v>493</v>
      </c>
      <c r="L5" s="287"/>
      <c r="M5" s="286"/>
      <c r="N5" s="286"/>
      <c r="O5" s="286"/>
      <c r="P5" s="286"/>
      <c r="Q5" s="284"/>
      <c r="R5" s="289">
        <f t="shared" si="1"/>
        <v>553</v>
      </c>
      <c r="S5" s="286"/>
      <c r="T5" s="286"/>
      <c r="U5" s="286"/>
      <c r="V5" s="286"/>
      <c r="W5" s="286"/>
      <c r="X5" s="286"/>
      <c r="Y5" s="284"/>
    </row>
    <row r="6">
      <c r="A6" s="290" t="s">
        <v>9114</v>
      </c>
      <c r="B6" s="286">
        <f>COUNTA(MARIE!B3:B21)</f>
        <v>0</v>
      </c>
      <c r="C6" s="286"/>
      <c r="D6" s="286"/>
      <c r="E6" s="286"/>
      <c r="F6" s="286"/>
      <c r="G6" s="286"/>
      <c r="H6" s="286"/>
      <c r="I6" s="284"/>
      <c r="J6" s="286">
        <f t="shared" ref="J6:J11" si="2">SUM(L15+K6)</f>
        <v>126</v>
      </c>
      <c r="K6" s="287">
        <f>COUNTIF(ARCHIVE!A1:A1522,"Ma")</f>
        <v>126</v>
      </c>
      <c r="L6" s="287"/>
      <c r="M6" s="286"/>
      <c r="N6" s="286"/>
      <c r="O6" s="286"/>
      <c r="P6" s="286"/>
      <c r="Q6" s="284"/>
      <c r="R6" s="289">
        <f t="shared" si="1"/>
        <v>126</v>
      </c>
      <c r="S6" s="286"/>
      <c r="T6" s="286"/>
      <c r="U6" s="286"/>
      <c r="V6" s="286"/>
      <c r="W6" s="286"/>
      <c r="X6" s="286"/>
      <c r="Y6" s="284"/>
    </row>
    <row r="7">
      <c r="A7" s="290" t="s">
        <v>9115</v>
      </c>
      <c r="B7" s="286">
        <f>COUNTA(JULIETTE!B3:B21)</f>
        <v>45</v>
      </c>
      <c r="C7" s="286"/>
      <c r="D7" s="286"/>
      <c r="E7" s="286"/>
      <c r="F7" s="286"/>
      <c r="G7" s="286"/>
      <c r="H7" s="286"/>
      <c r="I7" s="284"/>
      <c r="J7" s="286">
        <f t="shared" si="2"/>
        <v>241</v>
      </c>
      <c r="K7" s="287">
        <f>COUNTIF(ARCHIVE!A1:A1522,"JU")</f>
        <v>241</v>
      </c>
      <c r="L7" s="287"/>
      <c r="M7" s="286"/>
      <c r="N7" s="286"/>
      <c r="O7" s="286"/>
      <c r="P7" s="286"/>
      <c r="Q7" s="284"/>
      <c r="R7" s="289">
        <f t="shared" si="1"/>
        <v>286</v>
      </c>
      <c r="S7" s="286"/>
      <c r="T7" s="286"/>
      <c r="U7" s="286"/>
      <c r="V7" s="286"/>
      <c r="W7" s="286"/>
      <c r="X7" s="286"/>
      <c r="Y7" s="284"/>
    </row>
    <row r="8">
      <c r="A8" s="290" t="s">
        <v>9116</v>
      </c>
      <c r="B8" s="286">
        <f>COUNTA(LUCIE!B3:B21)</f>
        <v>0</v>
      </c>
      <c r="C8" s="286"/>
      <c r="D8" s="286"/>
      <c r="E8" s="286"/>
      <c r="F8" s="286"/>
      <c r="G8" s="286"/>
      <c r="H8" s="286"/>
      <c r="I8" s="284"/>
      <c r="J8" s="286">
        <f t="shared" si="2"/>
        <v>17</v>
      </c>
      <c r="K8" s="287">
        <f>COUNTIF(ARCHIVE!A1:A1523,"L")</f>
        <v>17</v>
      </c>
      <c r="L8" s="287"/>
      <c r="M8" s="286"/>
      <c r="N8" s="286"/>
      <c r="O8" s="286"/>
      <c r="P8" s="286"/>
      <c r="Q8" s="284"/>
      <c r="R8" s="289">
        <f t="shared" si="1"/>
        <v>17</v>
      </c>
      <c r="S8" s="286"/>
      <c r="T8" s="286"/>
      <c r="U8" s="286"/>
      <c r="V8" s="286"/>
      <c r="W8" s="286"/>
      <c r="X8" s="286"/>
      <c r="Y8" s="284"/>
    </row>
    <row r="9">
      <c r="A9" s="290" t="s">
        <v>9117</v>
      </c>
      <c r="B9" s="286">
        <f>COUNTA(PAUL!B3:B21)</f>
        <v>0</v>
      </c>
      <c r="C9" s="286"/>
      <c r="D9" s="286"/>
      <c r="E9" s="286"/>
      <c r="F9" s="286"/>
      <c r="G9" s="286"/>
      <c r="H9" s="286"/>
      <c r="I9" s="284"/>
      <c r="J9" s="286">
        <f t="shared" si="2"/>
        <v>19</v>
      </c>
      <c r="K9" s="287">
        <f>COUNTIF(ARCHIVE!A1:A1524,"P")</f>
        <v>19</v>
      </c>
      <c r="L9" s="287"/>
      <c r="M9" s="286"/>
      <c r="N9" s="286"/>
      <c r="O9" s="286"/>
      <c r="P9" s="286"/>
      <c r="Q9" s="284"/>
      <c r="R9" s="289">
        <f t="shared" si="1"/>
        <v>19</v>
      </c>
      <c r="S9" s="286"/>
      <c r="T9" s="286"/>
      <c r="U9" s="286"/>
      <c r="V9" s="286"/>
      <c r="W9" s="286"/>
      <c r="X9" s="286"/>
      <c r="Y9" s="284"/>
    </row>
    <row r="10">
      <c r="A10" s="290" t="s">
        <v>9118</v>
      </c>
      <c r="B10" s="286">
        <f>COUNTA(MARION!B3:B21)</f>
        <v>0</v>
      </c>
      <c r="C10" s="291"/>
      <c r="D10" s="286"/>
      <c r="E10" s="286"/>
      <c r="F10" s="286"/>
      <c r="G10" s="286"/>
      <c r="H10" s="286"/>
      <c r="I10" s="284"/>
      <c r="J10" s="286">
        <f t="shared" si="2"/>
        <v>164</v>
      </c>
      <c r="K10" s="287">
        <f>COUNTIF(ARCHIVE!A1:A1525,"Ar")</f>
        <v>164</v>
      </c>
      <c r="L10" s="287"/>
      <c r="M10" s="286"/>
      <c r="N10" s="286"/>
      <c r="O10" s="286"/>
      <c r="P10" s="286"/>
      <c r="Q10" s="284"/>
      <c r="R10" s="289">
        <f t="shared" si="1"/>
        <v>164</v>
      </c>
      <c r="S10" s="286"/>
      <c r="T10" s="286"/>
      <c r="U10" s="286"/>
      <c r="V10" s="286"/>
      <c r="W10" s="286"/>
      <c r="X10" s="286"/>
      <c r="Y10" s="284"/>
    </row>
    <row r="11">
      <c r="A11" s="290" t="s">
        <v>9119</v>
      </c>
      <c r="B11" s="286">
        <f>COUNTA(FRANK!B3:B21)</f>
        <v>0</v>
      </c>
      <c r="C11" s="286"/>
      <c r="D11" s="286"/>
      <c r="E11" s="286"/>
      <c r="F11" s="286"/>
      <c r="G11" s="286"/>
      <c r="H11" s="286"/>
      <c r="I11" s="284"/>
      <c r="J11" s="286">
        <f t="shared" si="2"/>
        <v>24</v>
      </c>
      <c r="K11" s="287">
        <f>COUNTIF(ARCHIVE!A1:A1526,"F")</f>
        <v>24</v>
      </c>
      <c r="L11" s="287"/>
      <c r="M11" s="286"/>
      <c r="N11" s="286"/>
      <c r="O11" s="286"/>
      <c r="P11" s="286"/>
      <c r="Q11" s="284"/>
      <c r="R11" s="289">
        <f t="shared" si="1"/>
        <v>24</v>
      </c>
      <c r="S11" s="286"/>
      <c r="T11" s="286"/>
      <c r="U11" s="286"/>
      <c r="V11" s="286"/>
      <c r="W11" s="286"/>
      <c r="X11" s="286"/>
      <c r="Y11" s="284"/>
    </row>
    <row r="12">
      <c r="A12" s="290" t="s">
        <v>8640</v>
      </c>
      <c r="B12" s="291">
        <f>COUNTA(QUENTIN!B3:B21)</f>
        <v>6</v>
      </c>
      <c r="C12" s="286"/>
      <c r="D12" s="286"/>
      <c r="E12" s="286"/>
      <c r="F12" s="286"/>
      <c r="G12" s="286"/>
      <c r="H12" s="286"/>
      <c r="I12" s="284"/>
      <c r="J12" s="286">
        <f>SUM(L7+K12)</f>
        <v>2</v>
      </c>
      <c r="K12" s="287">
        <f>COUNTIF(ARCHIVE!A1:A1522,"Q")</f>
        <v>2</v>
      </c>
      <c r="L12" s="287"/>
      <c r="M12" s="286"/>
      <c r="N12" s="286"/>
      <c r="O12" s="286"/>
      <c r="P12" s="286"/>
      <c r="Q12" s="284"/>
      <c r="R12" s="289">
        <f t="shared" si="1"/>
        <v>8</v>
      </c>
      <c r="S12" s="286"/>
      <c r="T12" s="286"/>
      <c r="U12" s="286"/>
      <c r="V12" s="286"/>
      <c r="W12" s="286"/>
      <c r="X12" s="286"/>
      <c r="Y12" s="284"/>
    </row>
    <row r="13">
      <c r="A13" s="292"/>
      <c r="C13" s="286"/>
      <c r="D13" s="286"/>
      <c r="E13" s="286"/>
      <c r="F13" s="286"/>
      <c r="G13" s="286"/>
      <c r="H13" s="286"/>
      <c r="I13" s="284"/>
      <c r="L13" s="287"/>
      <c r="M13" s="286"/>
      <c r="N13" s="286"/>
      <c r="O13" s="286"/>
      <c r="P13" s="286"/>
      <c r="Q13" s="284"/>
      <c r="R13" s="286"/>
      <c r="S13" s="286"/>
      <c r="T13" s="286"/>
      <c r="U13" s="286"/>
      <c r="V13" s="286"/>
      <c r="W13" s="286"/>
      <c r="X13" s="286"/>
      <c r="Y13" s="284"/>
    </row>
    <row r="14">
      <c r="A14" s="290"/>
      <c r="B14" s="286"/>
      <c r="C14" s="286"/>
      <c r="D14" s="286"/>
      <c r="E14" s="286"/>
      <c r="F14" s="286"/>
      <c r="G14" s="286"/>
      <c r="H14" s="286"/>
      <c r="I14" s="284"/>
      <c r="J14" s="286"/>
      <c r="K14" s="287"/>
      <c r="L14" s="287"/>
      <c r="M14" s="286"/>
      <c r="N14" s="286"/>
      <c r="O14" s="286"/>
      <c r="P14" s="286"/>
      <c r="Q14" s="284"/>
      <c r="R14" s="286"/>
      <c r="S14" s="286"/>
      <c r="T14" s="286"/>
      <c r="U14" s="286"/>
      <c r="V14" s="286"/>
      <c r="W14" s="286"/>
      <c r="X14" s="286"/>
      <c r="Y14" s="284"/>
    </row>
    <row r="15">
      <c r="A15" s="292"/>
      <c r="C15" s="286"/>
      <c r="D15" s="286"/>
      <c r="E15" s="286"/>
      <c r="F15" s="286"/>
      <c r="G15" s="286"/>
      <c r="H15" s="286"/>
      <c r="I15" s="284"/>
      <c r="L15" s="287"/>
      <c r="M15" s="286"/>
      <c r="N15" s="286"/>
      <c r="O15" s="286"/>
      <c r="P15" s="286"/>
      <c r="Q15" s="284"/>
      <c r="R15" s="286"/>
      <c r="S15" s="286"/>
      <c r="T15" s="286"/>
      <c r="U15" s="286"/>
      <c r="V15" s="286"/>
      <c r="W15" s="286"/>
      <c r="X15" s="286"/>
      <c r="Y15" s="284"/>
    </row>
    <row r="16">
      <c r="A16" s="292"/>
      <c r="C16" s="286"/>
      <c r="D16" s="286"/>
      <c r="E16" s="286"/>
      <c r="F16" s="286"/>
      <c r="G16" s="286"/>
      <c r="H16" s="286"/>
      <c r="I16" s="284"/>
      <c r="L16" s="287"/>
      <c r="M16" s="286"/>
      <c r="N16" s="286"/>
      <c r="O16" s="286"/>
      <c r="P16" s="286"/>
      <c r="Q16" s="284"/>
      <c r="R16" s="286"/>
      <c r="S16" s="286"/>
      <c r="T16" s="286"/>
      <c r="U16" s="286"/>
      <c r="V16" s="286"/>
      <c r="W16" s="286"/>
      <c r="X16" s="286"/>
      <c r="Y16" s="284"/>
    </row>
    <row r="17">
      <c r="A17" s="284"/>
      <c r="B17" s="286"/>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286"/>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286"/>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84"/>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294">
        <f>TODAY()</f>
        <v>46013</v>
      </c>
      <c r="C21" s="295">
        <v>45658.0</v>
      </c>
      <c r="D21" s="296" t="s">
        <v>9120</v>
      </c>
      <c r="F21" s="297">
        <f>NETWORKDAYS(C21, B21,)</f>
        <v>254</v>
      </c>
      <c r="G21" s="298"/>
      <c r="H21" s="299"/>
      <c r="I21" s="299"/>
      <c r="J21" s="284"/>
      <c r="K21" s="296" t="s">
        <v>9121</v>
      </c>
      <c r="M21" s="300">
        <f>SUM(R:R)</f>
        <v>1585</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99"/>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301"/>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8649</v>
      </c>
      <c r="B3" s="302">
        <f>COUNTA(JORDAN!B3:B21)</f>
        <v>41</v>
      </c>
      <c r="C3" s="286"/>
      <c r="D3" s="286"/>
      <c r="E3" s="286"/>
      <c r="F3" s="286"/>
      <c r="G3" s="286"/>
      <c r="H3" s="286"/>
      <c r="I3" s="288"/>
      <c r="J3" s="286">
        <f>SUM(L3+K3)</f>
        <v>676</v>
      </c>
      <c r="K3" s="289">
        <f>COUNTIF(ARCHIVE!A1:A3179,"J")</f>
        <v>676</v>
      </c>
      <c r="L3" s="289"/>
      <c r="M3" s="286"/>
      <c r="N3" s="286"/>
      <c r="O3" s="286"/>
      <c r="P3" s="286"/>
      <c r="Q3" s="284"/>
      <c r="R3" s="289">
        <f>SUM(B3+J3)</f>
        <v>717</v>
      </c>
      <c r="S3" s="286"/>
      <c r="T3" s="286"/>
      <c r="U3" s="286"/>
      <c r="V3" s="286"/>
      <c r="W3" s="286"/>
      <c r="X3" s="286"/>
      <c r="Y3" s="284"/>
    </row>
    <row r="4">
      <c r="A4" s="288"/>
      <c r="B4" s="302"/>
      <c r="C4" s="286"/>
      <c r="D4" s="286"/>
      <c r="E4" s="286"/>
      <c r="F4" s="286"/>
      <c r="G4" s="286"/>
      <c r="H4" s="286"/>
      <c r="I4" s="288"/>
      <c r="J4" s="286"/>
      <c r="K4" s="289"/>
      <c r="L4" s="287"/>
      <c r="M4" s="286"/>
      <c r="N4" s="286"/>
      <c r="O4" s="286"/>
      <c r="P4" s="286"/>
      <c r="Q4" s="284"/>
      <c r="R4" s="289"/>
      <c r="S4" s="286"/>
      <c r="T4" s="286"/>
      <c r="U4" s="286"/>
      <c r="V4" s="286"/>
      <c r="W4" s="286"/>
      <c r="X4" s="286"/>
      <c r="Y4" s="284"/>
    </row>
    <row r="5">
      <c r="A5" s="288"/>
      <c r="B5" s="302"/>
      <c r="C5" s="286"/>
      <c r="D5" s="286"/>
      <c r="E5" s="286"/>
      <c r="F5" s="286"/>
      <c r="G5" s="286"/>
      <c r="H5" s="286"/>
      <c r="I5" s="288"/>
      <c r="J5" s="286"/>
      <c r="K5" s="289"/>
      <c r="L5" s="287"/>
      <c r="M5" s="286"/>
      <c r="N5" s="286"/>
      <c r="O5" s="286"/>
      <c r="P5" s="286"/>
      <c r="Q5" s="284"/>
      <c r="R5" s="289"/>
      <c r="S5" s="286"/>
      <c r="T5" s="286"/>
      <c r="U5" s="286"/>
      <c r="V5" s="286"/>
      <c r="W5" s="286"/>
      <c r="X5" s="286"/>
      <c r="Y5" s="284"/>
    </row>
    <row r="6">
      <c r="A6" s="290"/>
      <c r="B6" s="301"/>
      <c r="C6" s="286"/>
      <c r="D6" s="286"/>
      <c r="E6" s="286"/>
      <c r="F6" s="286"/>
      <c r="G6" s="286"/>
      <c r="H6" s="286"/>
      <c r="I6" s="284"/>
      <c r="J6" s="286"/>
      <c r="K6" s="289"/>
      <c r="L6" s="287"/>
      <c r="M6" s="286"/>
      <c r="N6" s="286"/>
      <c r="O6" s="286"/>
      <c r="P6" s="286"/>
      <c r="Q6" s="284"/>
      <c r="R6" s="289"/>
      <c r="S6" s="286"/>
      <c r="T6" s="286"/>
      <c r="U6" s="286"/>
      <c r="V6" s="286"/>
      <c r="W6" s="286"/>
      <c r="X6" s="286"/>
      <c r="Y6" s="284"/>
    </row>
    <row r="7">
      <c r="A7" s="290"/>
      <c r="B7" s="301"/>
      <c r="C7" s="286"/>
      <c r="D7" s="286"/>
      <c r="E7" s="286"/>
      <c r="F7" s="286"/>
      <c r="G7" s="286"/>
      <c r="H7" s="286"/>
      <c r="I7" s="284"/>
      <c r="J7" s="286"/>
      <c r="K7" s="287"/>
      <c r="L7" s="287"/>
      <c r="M7" s="286"/>
      <c r="N7" s="286"/>
      <c r="O7" s="286"/>
      <c r="P7" s="286"/>
      <c r="Q7" s="284"/>
      <c r="R7" s="289"/>
      <c r="S7" s="286"/>
      <c r="T7" s="286"/>
      <c r="U7" s="286"/>
      <c r="V7" s="286"/>
      <c r="W7" s="286"/>
      <c r="X7" s="286"/>
      <c r="Y7" s="284"/>
    </row>
    <row r="8">
      <c r="A8" s="290" t="s">
        <v>9113</v>
      </c>
      <c r="B8" s="301">
        <f>COUNTA(HUGO!B3:B21)</f>
        <v>0</v>
      </c>
      <c r="C8" s="286"/>
      <c r="D8" s="286"/>
      <c r="E8" s="286"/>
      <c r="F8" s="286"/>
      <c r="G8" s="286"/>
      <c r="H8" s="286"/>
      <c r="I8" s="284"/>
      <c r="J8" s="286">
        <f t="shared" ref="J8:J16" si="1">SUM(L8+K8)</f>
        <v>232</v>
      </c>
      <c r="K8" s="287">
        <f>COUNTIF(ARCHIVE!A1:A3179,"H")</f>
        <v>232</v>
      </c>
      <c r="L8" s="287"/>
      <c r="M8" s="286"/>
      <c r="N8" s="286"/>
      <c r="O8" s="286"/>
      <c r="P8" s="286"/>
      <c r="Q8" s="284"/>
      <c r="R8" s="289">
        <f t="shared" ref="R8:R16" si="2">SUM(B8+J8)</f>
        <v>232</v>
      </c>
      <c r="S8" s="286"/>
      <c r="T8" s="286"/>
      <c r="U8" s="286"/>
      <c r="V8" s="286"/>
      <c r="W8" s="286"/>
      <c r="X8" s="286"/>
      <c r="Y8" s="284"/>
    </row>
    <row r="9">
      <c r="A9" s="290" t="s">
        <v>9122</v>
      </c>
      <c r="B9" s="301">
        <f>COUNTA(GUILLAUME!B3:B21)</f>
        <v>0</v>
      </c>
      <c r="C9" s="286"/>
      <c r="D9" s="286"/>
      <c r="E9" s="286"/>
      <c r="F9" s="286"/>
      <c r="G9" s="286"/>
      <c r="H9" s="286"/>
      <c r="I9" s="284"/>
      <c r="J9" s="286">
        <f t="shared" si="1"/>
        <v>0</v>
      </c>
      <c r="K9" s="287">
        <f>COUNTIF(ARCHIVE!A1:A3179,"G")</f>
        <v>0</v>
      </c>
      <c r="L9" s="287"/>
      <c r="M9" s="286"/>
      <c r="N9" s="286"/>
      <c r="O9" s="286"/>
      <c r="P9" s="286"/>
      <c r="Q9" s="284"/>
      <c r="R9" s="289">
        <f t="shared" si="2"/>
        <v>0</v>
      </c>
      <c r="S9" s="286"/>
      <c r="T9" s="286"/>
      <c r="U9" s="286"/>
      <c r="V9" s="286"/>
      <c r="W9" s="286"/>
      <c r="X9" s="286"/>
      <c r="Y9" s="284"/>
    </row>
    <row r="10">
      <c r="A10" s="290"/>
      <c r="B10" s="301"/>
      <c r="C10" s="291"/>
      <c r="D10" s="286"/>
      <c r="E10" s="286"/>
      <c r="F10" s="286"/>
      <c r="G10" s="286"/>
      <c r="H10" s="286"/>
      <c r="I10" s="284"/>
      <c r="J10" s="286">
        <f t="shared" si="1"/>
        <v>0</v>
      </c>
      <c r="K10" s="287">
        <f>COUNTIF(ARCHIVE!A1:A3179,"JB")</f>
        <v>0</v>
      </c>
      <c r="L10" s="287"/>
      <c r="M10" s="286"/>
      <c r="N10" s="286"/>
      <c r="O10" s="286"/>
      <c r="P10" s="286"/>
      <c r="Q10" s="284"/>
      <c r="R10" s="286">
        <f t="shared" si="2"/>
        <v>0</v>
      </c>
      <c r="S10" s="286"/>
      <c r="T10" s="286"/>
      <c r="U10" s="286"/>
      <c r="V10" s="286"/>
      <c r="W10" s="286"/>
      <c r="X10" s="286"/>
      <c r="Y10" s="284"/>
    </row>
    <row r="11">
      <c r="A11" s="290" t="s">
        <v>9123</v>
      </c>
      <c r="B11" s="301">
        <f>COUNTA(LAURIE!B3:B21)</f>
        <v>0</v>
      </c>
      <c r="C11" s="286"/>
      <c r="D11" s="286"/>
      <c r="E11" s="286"/>
      <c r="F11" s="286"/>
      <c r="G11" s="286"/>
      <c r="H11" s="286"/>
      <c r="I11" s="284"/>
      <c r="J11" s="286">
        <f t="shared" si="1"/>
        <v>79</v>
      </c>
      <c r="K11" s="287">
        <f>COUNTIF(ARCHIVE!A1:A3179,"L")</f>
        <v>79</v>
      </c>
      <c r="L11" s="287"/>
      <c r="M11" s="286"/>
      <c r="N11" s="286"/>
      <c r="O11" s="286"/>
      <c r="P11" s="286"/>
      <c r="Q11" s="284"/>
      <c r="R11" s="289">
        <f t="shared" si="2"/>
        <v>79</v>
      </c>
      <c r="S11" s="286"/>
      <c r="T11" s="286"/>
      <c r="U11" s="286"/>
      <c r="V11" s="286"/>
      <c r="W11" s="286"/>
      <c r="X11" s="286"/>
      <c r="Y11" s="284"/>
    </row>
    <row r="12">
      <c r="A12" s="290" t="s">
        <v>9124</v>
      </c>
      <c r="B12" s="303">
        <v>0.0</v>
      </c>
      <c r="C12" s="286"/>
      <c r="D12" s="286"/>
      <c r="E12" s="286"/>
      <c r="F12" s="286"/>
      <c r="G12" s="286"/>
      <c r="H12" s="286"/>
      <c r="I12" s="284"/>
      <c r="J12" s="286">
        <f t="shared" si="1"/>
        <v>50</v>
      </c>
      <c r="K12" s="287">
        <f>COUNTIF(ARCHIVE!A1:A3179,"V")</f>
        <v>50</v>
      </c>
      <c r="L12" s="287"/>
      <c r="M12" s="286"/>
      <c r="N12" s="286"/>
      <c r="O12" s="286"/>
      <c r="P12" s="286"/>
      <c r="Q12" s="284"/>
      <c r="R12" s="286">
        <f t="shared" si="2"/>
        <v>50</v>
      </c>
      <c r="S12" s="286"/>
      <c r="T12" s="286"/>
      <c r="U12" s="286"/>
      <c r="V12" s="286"/>
      <c r="W12" s="286"/>
      <c r="X12" s="286"/>
      <c r="Y12" s="284"/>
    </row>
    <row r="13">
      <c r="A13" s="290" t="s">
        <v>8665</v>
      </c>
      <c r="B13" s="301">
        <f>COUNTA(CAROLE!B3:B21)</f>
        <v>60</v>
      </c>
      <c r="C13" s="286"/>
      <c r="D13" s="286"/>
      <c r="E13" s="286"/>
      <c r="F13" s="286"/>
      <c r="G13" s="286"/>
      <c r="H13" s="286"/>
      <c r="I13" s="284"/>
      <c r="J13" s="286">
        <f t="shared" si="1"/>
        <v>1091</v>
      </c>
      <c r="K13" s="287">
        <f>COUNTIF(ARCHIVE!A1:A3179,"C")</f>
        <v>1091</v>
      </c>
      <c r="L13" s="287"/>
      <c r="M13" s="286"/>
      <c r="N13" s="286"/>
      <c r="O13" s="286"/>
      <c r="P13" s="286"/>
      <c r="Q13" s="284"/>
      <c r="R13" s="286">
        <f t="shared" si="2"/>
        <v>1151</v>
      </c>
      <c r="S13" s="286"/>
      <c r="T13" s="286"/>
      <c r="U13" s="286"/>
      <c r="V13" s="286"/>
      <c r="W13" s="286"/>
      <c r="X13" s="286"/>
      <c r="Y13" s="284"/>
    </row>
    <row r="14">
      <c r="A14" s="290" t="s">
        <v>9125</v>
      </c>
      <c r="B14" s="301">
        <f>COUNTA(AUDREY!B3:B21)</f>
        <v>15</v>
      </c>
      <c r="C14" s="286"/>
      <c r="D14" s="286"/>
      <c r="E14" s="286"/>
      <c r="F14" s="286"/>
      <c r="G14" s="286"/>
      <c r="H14" s="286"/>
      <c r="I14" s="284"/>
      <c r="J14" s="286">
        <f t="shared" si="1"/>
        <v>242</v>
      </c>
      <c r="K14" s="287">
        <f>COUNTIF(ARCHIVE!A1:A3179,"A")</f>
        <v>242</v>
      </c>
      <c r="L14" s="287"/>
      <c r="M14" s="286"/>
      <c r="N14" s="286"/>
      <c r="O14" s="286"/>
      <c r="P14" s="286"/>
      <c r="Q14" s="284"/>
      <c r="R14" s="286">
        <f t="shared" si="2"/>
        <v>257</v>
      </c>
      <c r="S14" s="286"/>
      <c r="T14" s="286"/>
      <c r="U14" s="286"/>
      <c r="V14" s="286"/>
      <c r="W14" s="286"/>
      <c r="X14" s="286"/>
      <c r="Y14" s="284"/>
    </row>
    <row r="15">
      <c r="A15" s="290" t="s">
        <v>9114</v>
      </c>
      <c r="B15" s="301">
        <f>COUNTA(MARIE!B3:B21)</f>
        <v>0</v>
      </c>
      <c r="C15" s="286"/>
      <c r="D15" s="286"/>
      <c r="E15" s="286"/>
      <c r="F15" s="286"/>
      <c r="G15" s="286"/>
      <c r="H15" s="286"/>
      <c r="I15" s="284"/>
      <c r="J15" s="286">
        <f t="shared" si="1"/>
        <v>154</v>
      </c>
      <c r="K15" s="287">
        <f>COUNTIF(ARCHIVE!A1:A3179,"Ma")</f>
        <v>154</v>
      </c>
      <c r="L15" s="287"/>
      <c r="M15" s="286"/>
      <c r="N15" s="286"/>
      <c r="O15" s="286"/>
      <c r="P15" s="286"/>
      <c r="Q15" s="284"/>
      <c r="R15" s="286">
        <f t="shared" si="2"/>
        <v>154</v>
      </c>
      <c r="S15" s="286"/>
      <c r="T15" s="286"/>
      <c r="U15" s="286"/>
      <c r="V15" s="286"/>
      <c r="W15" s="286"/>
      <c r="X15" s="286"/>
      <c r="Y15" s="284"/>
    </row>
    <row r="16">
      <c r="A16" s="290" t="s">
        <v>9115</v>
      </c>
      <c r="B16" s="301">
        <f>COUNTA(JULIETTE!B3:B21)</f>
        <v>45</v>
      </c>
      <c r="C16" s="286"/>
      <c r="D16" s="286"/>
      <c r="E16" s="286"/>
      <c r="F16" s="286"/>
      <c r="G16" s="286"/>
      <c r="H16" s="286"/>
      <c r="I16" s="284"/>
      <c r="J16" s="286">
        <f t="shared" si="1"/>
        <v>313</v>
      </c>
      <c r="K16" s="287">
        <f>COUNTIF(ARCHIVE!A1:A3179,"JU")</f>
        <v>313</v>
      </c>
      <c r="L16" s="287"/>
      <c r="M16" s="286"/>
      <c r="N16" s="286"/>
      <c r="O16" s="286"/>
      <c r="P16" s="286"/>
      <c r="Q16" s="284"/>
      <c r="R16" s="286">
        <f t="shared" si="2"/>
        <v>358</v>
      </c>
      <c r="S16" s="286"/>
      <c r="T16" s="286"/>
      <c r="U16" s="286"/>
      <c r="V16" s="286"/>
      <c r="W16" s="286"/>
      <c r="X16" s="286"/>
      <c r="Y16" s="284"/>
    </row>
    <row r="17">
      <c r="A17" s="284"/>
      <c r="B17" s="301"/>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301"/>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301"/>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99"/>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304">
        <v>45658.0</v>
      </c>
      <c r="C21" s="295">
        <v>45300.0</v>
      </c>
      <c r="D21" s="296" t="s">
        <v>9120</v>
      </c>
      <c r="F21" s="297">
        <f>NETWORKDAYS(C21, B21,)</f>
        <v>257</v>
      </c>
      <c r="G21" s="298"/>
      <c r="H21" s="299"/>
      <c r="I21" s="299"/>
      <c r="J21" s="284"/>
      <c r="K21" s="296" t="s">
        <v>9121</v>
      </c>
      <c r="M21" s="300">
        <f>SUM(R:R)</f>
        <v>2998</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2" max="2" width="19.75"/>
    <col customWidth="1" min="6" max="6" width="2.63"/>
  </cols>
  <sheetData>
    <row r="1" ht="15.0" customHeight="1">
      <c r="A1" s="305"/>
      <c r="B1" s="305"/>
      <c r="C1" s="305"/>
      <c r="D1" s="305"/>
      <c r="E1" s="305"/>
      <c r="F1" s="305"/>
    </row>
    <row r="2">
      <c r="A2" s="305"/>
      <c r="B2" s="306" t="s">
        <v>9126</v>
      </c>
      <c r="D2" s="306"/>
      <c r="E2" s="306"/>
      <c r="F2" s="305"/>
    </row>
    <row r="3">
      <c r="A3" s="307"/>
      <c r="B3" s="308" t="s">
        <v>9127</v>
      </c>
      <c r="C3" s="309" t="s">
        <v>8649</v>
      </c>
      <c r="D3" s="310" t="s">
        <v>8665</v>
      </c>
      <c r="E3" s="311" t="s">
        <v>9115</v>
      </c>
      <c r="F3" s="305"/>
    </row>
    <row r="4">
      <c r="A4" s="307"/>
      <c r="B4" s="312" t="s">
        <v>7153</v>
      </c>
      <c r="C4" s="313" t="b">
        <v>0</v>
      </c>
      <c r="D4" s="314" t="b">
        <v>0</v>
      </c>
      <c r="E4" s="312" t="b">
        <v>1</v>
      </c>
      <c r="F4" s="305"/>
    </row>
    <row r="5">
      <c r="A5" s="307"/>
      <c r="B5" s="312" t="s">
        <v>9128</v>
      </c>
      <c r="C5" s="313" t="b">
        <v>0</v>
      </c>
      <c r="D5" s="314" t="b">
        <v>0</v>
      </c>
      <c r="E5" s="312" t="b">
        <v>1</v>
      </c>
      <c r="F5" s="305"/>
    </row>
    <row r="6">
      <c r="A6" s="307"/>
      <c r="B6" s="315" t="s">
        <v>9129</v>
      </c>
      <c r="C6" s="316" t="b">
        <v>0</v>
      </c>
      <c r="D6" s="315" t="b">
        <v>0</v>
      </c>
      <c r="E6" s="317" t="b">
        <v>0</v>
      </c>
      <c r="F6" s="305"/>
    </row>
    <row r="7">
      <c r="A7" s="307"/>
      <c r="B7" s="316" t="s">
        <v>9130</v>
      </c>
      <c r="C7" s="316" t="b">
        <v>1</v>
      </c>
      <c r="D7" s="315" t="b">
        <v>0</v>
      </c>
      <c r="E7" s="312" t="b">
        <v>0</v>
      </c>
      <c r="F7" s="305"/>
    </row>
    <row r="8">
      <c r="A8" s="307"/>
      <c r="B8" s="316" t="s">
        <v>9131</v>
      </c>
      <c r="C8" s="316" t="b">
        <v>1</v>
      </c>
      <c r="D8" s="314" t="b">
        <v>0</v>
      </c>
      <c r="E8" s="317" t="b">
        <v>0</v>
      </c>
      <c r="F8" s="305"/>
    </row>
    <row r="9">
      <c r="A9" s="307"/>
      <c r="B9" s="316" t="s">
        <v>9132</v>
      </c>
      <c r="C9" s="316" t="b">
        <v>0</v>
      </c>
      <c r="D9" s="314" t="b">
        <v>0</v>
      </c>
      <c r="E9" s="317" t="b">
        <v>0</v>
      </c>
      <c r="F9" s="305"/>
    </row>
    <row r="10">
      <c r="A10" s="307"/>
      <c r="B10" s="315" t="s">
        <v>9133</v>
      </c>
      <c r="C10" s="313" t="b">
        <v>0</v>
      </c>
      <c r="D10" s="315" t="b">
        <v>1</v>
      </c>
      <c r="E10" s="317" t="b">
        <v>0</v>
      </c>
      <c r="F10" s="305"/>
    </row>
    <row r="11">
      <c r="A11" s="307"/>
      <c r="B11" s="312" t="s">
        <v>9134</v>
      </c>
      <c r="C11" s="316" t="b">
        <v>0</v>
      </c>
      <c r="D11" s="314" t="b">
        <v>0</v>
      </c>
      <c r="E11" s="312" t="b">
        <v>1</v>
      </c>
      <c r="F11" s="305"/>
    </row>
    <row r="12">
      <c r="A12" s="307"/>
      <c r="B12" s="315" t="s">
        <v>6967</v>
      </c>
      <c r="C12" s="316" t="b">
        <v>0</v>
      </c>
      <c r="D12" s="315" t="b">
        <v>1</v>
      </c>
      <c r="E12" s="312" t="b">
        <v>0</v>
      </c>
      <c r="F12" s="305"/>
    </row>
    <row r="13">
      <c r="A13" s="307"/>
      <c r="B13" s="315" t="s">
        <v>9135</v>
      </c>
      <c r="C13" s="313" t="b">
        <v>0</v>
      </c>
      <c r="D13" s="315" t="b">
        <v>1</v>
      </c>
      <c r="E13" s="312" t="b">
        <v>0</v>
      </c>
      <c r="F13" s="305"/>
    </row>
    <row r="14">
      <c r="A14" s="307"/>
      <c r="B14" s="316" t="s">
        <v>7818</v>
      </c>
      <c r="C14" s="316" t="b">
        <v>1</v>
      </c>
      <c r="D14" s="315" t="b">
        <v>0</v>
      </c>
      <c r="E14" s="312" t="b">
        <v>0</v>
      </c>
      <c r="F14" s="305"/>
    </row>
    <row r="15">
      <c r="A15" s="307"/>
      <c r="B15" s="315" t="s">
        <v>1964</v>
      </c>
      <c r="C15" s="316" t="b">
        <v>0</v>
      </c>
      <c r="D15" s="315" t="b">
        <v>1</v>
      </c>
      <c r="E15" s="312" t="b">
        <v>0</v>
      </c>
      <c r="F15" s="305"/>
    </row>
    <row r="16">
      <c r="A16" s="307"/>
      <c r="B16" s="316" t="s">
        <v>9136</v>
      </c>
      <c r="C16" s="316" t="b">
        <v>1</v>
      </c>
      <c r="D16" s="314" t="b">
        <v>0</v>
      </c>
      <c r="E16" s="317" t="b">
        <v>0</v>
      </c>
      <c r="F16" s="305"/>
    </row>
    <row r="17">
      <c r="A17" s="307"/>
      <c r="B17" s="316" t="s">
        <v>7501</v>
      </c>
      <c r="C17" s="316" t="b">
        <v>0</v>
      </c>
      <c r="D17" s="315" t="b">
        <v>0</v>
      </c>
      <c r="E17" s="312" t="b">
        <v>0</v>
      </c>
      <c r="F17" s="305"/>
    </row>
    <row r="18">
      <c r="A18" s="305"/>
      <c r="B18" s="315" t="s">
        <v>9137</v>
      </c>
      <c r="C18" s="316" t="b">
        <v>0</v>
      </c>
      <c r="D18" s="315" t="b">
        <v>1</v>
      </c>
      <c r="E18" s="312" t="b">
        <v>0</v>
      </c>
      <c r="F18" s="305"/>
    </row>
    <row r="19">
      <c r="A19" s="305"/>
      <c r="B19" s="315" t="s">
        <v>3608</v>
      </c>
      <c r="C19" s="316" t="b">
        <v>0</v>
      </c>
      <c r="D19" s="315" t="b">
        <v>0</v>
      </c>
      <c r="E19" s="317" t="b">
        <v>0</v>
      </c>
      <c r="F19" s="305"/>
    </row>
    <row r="20">
      <c r="A20" s="305"/>
      <c r="B20" s="315" t="s">
        <v>7044</v>
      </c>
      <c r="C20" s="313" t="b">
        <v>0</v>
      </c>
      <c r="D20" s="315" t="b">
        <v>0</v>
      </c>
      <c r="E20" s="312" t="b">
        <v>0</v>
      </c>
      <c r="F20" s="305"/>
    </row>
    <row r="21">
      <c r="A21" s="305"/>
      <c r="B21" s="315" t="s">
        <v>4274</v>
      </c>
      <c r="C21" s="313" t="b">
        <v>0</v>
      </c>
      <c r="D21" s="315" t="b">
        <v>0</v>
      </c>
      <c r="E21" s="312" t="b">
        <v>0</v>
      </c>
      <c r="F21" s="305"/>
    </row>
    <row r="22">
      <c r="A22" s="305"/>
      <c r="B22" s="315" t="s">
        <v>9138</v>
      </c>
      <c r="C22" s="313" t="b">
        <v>0</v>
      </c>
      <c r="D22" s="315" t="b">
        <v>1</v>
      </c>
      <c r="E22" s="312" t="b">
        <v>0</v>
      </c>
      <c r="F22" s="305"/>
    </row>
    <row r="23">
      <c r="A23" s="305"/>
      <c r="B23" s="315" t="s">
        <v>9139</v>
      </c>
      <c r="C23" s="313" t="b">
        <v>0</v>
      </c>
      <c r="D23" s="315" t="b">
        <v>1</v>
      </c>
      <c r="E23" s="312" t="b">
        <v>0</v>
      </c>
      <c r="F23" s="305"/>
    </row>
    <row r="24">
      <c r="A24" s="305"/>
      <c r="B24" s="316" t="s">
        <v>7589</v>
      </c>
      <c r="C24" s="316" t="b">
        <v>1</v>
      </c>
      <c r="D24" s="314" t="b">
        <v>0</v>
      </c>
      <c r="E24" s="317" t="b">
        <v>0</v>
      </c>
      <c r="F24" s="305"/>
    </row>
    <row r="25">
      <c r="A25" s="305"/>
      <c r="B25" s="316" t="s">
        <v>9140</v>
      </c>
      <c r="C25" s="316" t="b">
        <v>0</v>
      </c>
      <c r="D25" s="314" t="b">
        <v>0</v>
      </c>
      <c r="E25" s="317" t="b">
        <v>0</v>
      </c>
      <c r="F25" s="305"/>
    </row>
    <row r="26">
      <c r="A26" s="305"/>
      <c r="B26" s="316" t="s">
        <v>6651</v>
      </c>
      <c r="C26" s="316" t="b">
        <v>0</v>
      </c>
      <c r="D26" s="314" t="b">
        <v>0</v>
      </c>
      <c r="E26" s="317" t="b">
        <v>0</v>
      </c>
      <c r="F26" s="305"/>
    </row>
    <row r="27">
      <c r="A27" s="305"/>
      <c r="B27" s="312" t="s">
        <v>7855</v>
      </c>
      <c r="C27" s="313" t="b">
        <v>0</v>
      </c>
      <c r="D27" s="314" t="b">
        <v>0</v>
      </c>
      <c r="E27" s="312" t="b">
        <v>0</v>
      </c>
      <c r="F27" s="305"/>
    </row>
    <row r="28">
      <c r="A28" s="305"/>
      <c r="B28" s="315" t="s">
        <v>9141</v>
      </c>
      <c r="C28" s="313" t="b">
        <v>0</v>
      </c>
      <c r="D28" s="315" t="b">
        <v>1</v>
      </c>
      <c r="E28" s="312" t="b">
        <v>0</v>
      </c>
      <c r="F28" s="305"/>
    </row>
    <row r="29">
      <c r="A29" s="305"/>
      <c r="B29" s="312" t="s">
        <v>4903</v>
      </c>
      <c r="C29" s="313" t="b">
        <v>0</v>
      </c>
      <c r="D29" s="315" t="b">
        <v>0</v>
      </c>
      <c r="E29" s="312" t="b">
        <v>1</v>
      </c>
      <c r="F29" s="305"/>
    </row>
    <row r="30">
      <c r="A30" s="305"/>
      <c r="B30" s="316" t="s">
        <v>9142</v>
      </c>
      <c r="C30" s="316" t="b">
        <v>1</v>
      </c>
      <c r="D30" s="315" t="b">
        <v>0</v>
      </c>
      <c r="E30" s="312" t="b">
        <v>0</v>
      </c>
      <c r="F30" s="305"/>
    </row>
    <row r="31">
      <c r="A31" s="305"/>
      <c r="B31" s="318" t="s">
        <v>9143</v>
      </c>
      <c r="C31" s="316" t="b">
        <v>1</v>
      </c>
      <c r="D31" s="314" t="b">
        <v>0</v>
      </c>
      <c r="E31" s="312" t="b">
        <v>1</v>
      </c>
      <c r="F31" s="305"/>
    </row>
    <row r="32">
      <c r="A32" s="305"/>
      <c r="B32" s="312" t="s">
        <v>9144</v>
      </c>
      <c r="C32" s="313" t="b">
        <v>0</v>
      </c>
      <c r="D32" s="314" t="b">
        <v>0</v>
      </c>
      <c r="E32" s="312" t="b">
        <v>0</v>
      </c>
      <c r="F32" s="305"/>
    </row>
    <row r="33">
      <c r="A33" s="305"/>
      <c r="B33" s="312" t="s">
        <v>4721</v>
      </c>
      <c r="C33" s="313" t="b">
        <v>0</v>
      </c>
      <c r="D33" s="314" t="b">
        <v>0</v>
      </c>
      <c r="E33" s="312" t="b">
        <v>0</v>
      </c>
      <c r="F33" s="305"/>
    </row>
    <row r="34">
      <c r="A34" s="305"/>
      <c r="B34" s="316" t="s">
        <v>9145</v>
      </c>
      <c r="C34" s="316" t="b">
        <v>1</v>
      </c>
      <c r="D34" s="314" t="b">
        <v>0</v>
      </c>
      <c r="E34" s="312" t="b">
        <v>0</v>
      </c>
      <c r="F34" s="305"/>
    </row>
    <row r="35">
      <c r="A35" s="305"/>
      <c r="B35" s="319" t="s">
        <v>9146</v>
      </c>
      <c r="C35" s="313" t="b">
        <v>0</v>
      </c>
      <c r="D35" s="314" t="b">
        <v>0</v>
      </c>
      <c r="E35" s="312" t="b">
        <v>0</v>
      </c>
      <c r="F35" s="305"/>
    </row>
    <row r="36">
      <c r="A36" s="305"/>
      <c r="B36" s="315" t="s">
        <v>9147</v>
      </c>
      <c r="C36" s="313" t="b">
        <v>0</v>
      </c>
      <c r="D36" s="315" t="b">
        <v>1</v>
      </c>
      <c r="E36" s="317" t="b">
        <v>0</v>
      </c>
      <c r="F36" s="305"/>
    </row>
    <row r="37">
      <c r="A37" s="305"/>
      <c r="B37" s="319" t="s">
        <v>9148</v>
      </c>
      <c r="C37" s="313" t="b">
        <v>0</v>
      </c>
      <c r="D37" s="314" t="b">
        <v>0</v>
      </c>
      <c r="E37" s="312" t="b">
        <v>1</v>
      </c>
      <c r="F37" s="305"/>
    </row>
    <row r="38">
      <c r="A38" s="305"/>
      <c r="B38" s="315" t="s">
        <v>9149</v>
      </c>
      <c r="C38" s="313" t="b">
        <v>0</v>
      </c>
      <c r="D38" s="315" t="b">
        <v>0</v>
      </c>
      <c r="E38" s="317" t="b">
        <v>0</v>
      </c>
      <c r="F38" s="305"/>
    </row>
    <row r="39">
      <c r="A39" s="305"/>
      <c r="B39" s="312" t="s">
        <v>9150</v>
      </c>
      <c r="C39" s="313" t="b">
        <v>0</v>
      </c>
      <c r="D39" s="314" t="b">
        <v>0</v>
      </c>
      <c r="E39" s="312" t="b">
        <v>0</v>
      </c>
      <c r="F39" s="305"/>
    </row>
    <row r="40">
      <c r="A40" s="305"/>
      <c r="B40" s="312" t="s">
        <v>9151</v>
      </c>
      <c r="C40" s="313" t="b">
        <v>0</v>
      </c>
      <c r="D40" s="314" t="b">
        <v>0</v>
      </c>
      <c r="E40" s="312" t="b">
        <v>1</v>
      </c>
      <c r="F40" s="305"/>
    </row>
    <row r="41">
      <c r="A41" s="305"/>
      <c r="B41" s="312" t="s">
        <v>9152</v>
      </c>
      <c r="C41" s="313" t="b">
        <v>0</v>
      </c>
      <c r="D41" s="314" t="b">
        <v>0</v>
      </c>
      <c r="E41" s="312" t="b">
        <v>1</v>
      </c>
      <c r="F41" s="305"/>
    </row>
    <row r="42">
      <c r="A42" s="305"/>
      <c r="B42" s="312" t="s">
        <v>9153</v>
      </c>
      <c r="C42" s="313" t="b">
        <v>0</v>
      </c>
      <c r="D42" s="314" t="b">
        <v>0</v>
      </c>
      <c r="E42" s="312" t="b">
        <v>1</v>
      </c>
      <c r="F42" s="305"/>
    </row>
    <row r="43">
      <c r="A43" s="305"/>
      <c r="B43" s="316" t="s">
        <v>9154</v>
      </c>
      <c r="C43" s="316" t="b">
        <v>1</v>
      </c>
      <c r="D43" s="314" t="b">
        <v>0</v>
      </c>
      <c r="E43" s="317" t="b">
        <v>0</v>
      </c>
      <c r="F43" s="305"/>
    </row>
    <row r="44">
      <c r="A44" s="305"/>
      <c r="B44" s="320"/>
      <c r="C44" s="313" t="b">
        <v>0</v>
      </c>
      <c r="D44" s="314" t="b">
        <v>0</v>
      </c>
      <c r="E44" s="317" t="b">
        <v>0</v>
      </c>
      <c r="F44" s="305"/>
    </row>
    <row r="45">
      <c r="A45" s="305"/>
      <c r="B45" s="320"/>
      <c r="C45" s="313" t="b">
        <v>0</v>
      </c>
      <c r="D45" s="314" t="b">
        <v>0</v>
      </c>
      <c r="E45" s="317" t="b">
        <v>0</v>
      </c>
      <c r="F45" s="305"/>
    </row>
    <row r="46">
      <c r="A46" s="305"/>
      <c r="B46" s="320"/>
      <c r="C46" s="313" t="b">
        <v>0</v>
      </c>
      <c r="D46" s="314" t="b">
        <v>0</v>
      </c>
      <c r="E46" s="317" t="b">
        <v>0</v>
      </c>
      <c r="F46" s="305"/>
    </row>
    <row r="47">
      <c r="A47" s="305"/>
      <c r="B47" s="320"/>
      <c r="C47" s="313" t="b">
        <v>0</v>
      </c>
      <c r="D47" s="314" t="b">
        <v>0</v>
      </c>
      <c r="E47" s="317" t="b">
        <v>0</v>
      </c>
      <c r="F47" s="305"/>
    </row>
  </sheetData>
  <mergeCells count="1">
    <mergeCell ref="B2:C2"/>
  </mergeCells>
  <printOptions gridLines="1" horizontalCentered="1"/>
  <pageMargins bottom="0.75" footer="0.0" header="0.0" left="0.7" right="0.7" top="0.75"/>
  <pageSetup fitToWidth="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3.13"/>
    <col customWidth="1" min="3" max="3" width="9.38"/>
    <col customWidth="1" min="4" max="4" width="12.13"/>
    <col customWidth="1" min="5" max="5" width="6.88"/>
    <col customWidth="1" min="6" max="6" width="6.38"/>
    <col customWidth="1" min="7" max="7" width="11.88"/>
    <col customWidth="1" min="8" max="8" width="101.38"/>
    <col customWidth="1" min="9" max="9" width="11.63"/>
    <col customWidth="1" min="10" max="11" width="2.63"/>
  </cols>
  <sheetData>
    <row r="1" ht="24.0" customHeight="1">
      <c r="A1" s="14" t="s">
        <v>6565</v>
      </c>
      <c r="K1" s="14"/>
    </row>
    <row r="2">
      <c r="A2" s="321"/>
      <c r="B2" s="16" t="s">
        <v>1</v>
      </c>
      <c r="C2" s="17" t="s">
        <v>2</v>
      </c>
      <c r="D2" s="17" t="s">
        <v>3</v>
      </c>
      <c r="E2" s="18" t="s">
        <v>4</v>
      </c>
      <c r="F2" s="17" t="s">
        <v>5</v>
      </c>
      <c r="G2" s="18" t="s">
        <v>6</v>
      </c>
      <c r="H2" s="18" t="s">
        <v>7</v>
      </c>
      <c r="I2" s="18" t="s">
        <v>8</v>
      </c>
      <c r="J2" s="19"/>
      <c r="K2" s="19"/>
    </row>
    <row r="3">
      <c r="A3" s="210" t="s">
        <v>6565</v>
      </c>
      <c r="B3" s="11"/>
      <c r="C3" s="8" t="s">
        <v>11</v>
      </c>
      <c r="D3" s="8" t="str">
        <f t="shared" ref="D3:D278" si="1">IFERROR(_xlfn.WORKDAY.INTL(C3, 2),"-")</f>
        <v>-</v>
      </c>
      <c r="E3" s="9" t="s">
        <v>11</v>
      </c>
      <c r="F3" s="10"/>
      <c r="G3" s="9"/>
      <c r="H3" s="11"/>
      <c r="I3" s="9" t="s">
        <v>13</v>
      </c>
      <c r="J3" s="21"/>
      <c r="K3" s="21"/>
    </row>
    <row r="4">
      <c r="A4" s="210" t="s">
        <v>6565</v>
      </c>
      <c r="B4" s="11"/>
      <c r="C4" s="8" t="s">
        <v>11</v>
      </c>
      <c r="D4" s="8" t="str">
        <f t="shared" si="1"/>
        <v>-</v>
      </c>
      <c r="E4" s="9" t="s">
        <v>11</v>
      </c>
      <c r="F4" s="10"/>
      <c r="G4" s="9"/>
      <c r="H4" s="11"/>
      <c r="I4" s="9" t="s">
        <v>13</v>
      </c>
      <c r="J4" s="21"/>
      <c r="K4" s="21"/>
    </row>
    <row r="5">
      <c r="A5" s="210" t="s">
        <v>6565</v>
      </c>
      <c r="B5" s="11"/>
      <c r="C5" s="8" t="s">
        <v>11</v>
      </c>
      <c r="D5" s="8" t="str">
        <f t="shared" si="1"/>
        <v>-</v>
      </c>
      <c r="E5" s="9" t="s">
        <v>11</v>
      </c>
      <c r="F5" s="10"/>
      <c r="G5" s="9"/>
      <c r="H5" s="11"/>
      <c r="I5" s="9" t="s">
        <v>13</v>
      </c>
      <c r="J5" s="21"/>
      <c r="K5" s="21"/>
    </row>
    <row r="6">
      <c r="A6" s="210" t="s">
        <v>6565</v>
      </c>
      <c r="B6" s="11"/>
      <c r="C6" s="8" t="s">
        <v>11</v>
      </c>
      <c r="D6" s="8" t="str">
        <f t="shared" si="1"/>
        <v>-</v>
      </c>
      <c r="E6" s="9" t="s">
        <v>11</v>
      </c>
      <c r="F6" s="10"/>
      <c r="G6" s="9"/>
      <c r="H6" s="11"/>
      <c r="I6" s="9" t="s">
        <v>13</v>
      </c>
      <c r="J6" s="21"/>
      <c r="K6" s="21"/>
    </row>
    <row r="7">
      <c r="A7" s="210" t="s">
        <v>6565</v>
      </c>
      <c r="B7" s="11"/>
      <c r="C7" s="8" t="s">
        <v>11</v>
      </c>
      <c r="D7" s="8" t="str">
        <f t="shared" si="1"/>
        <v>-</v>
      </c>
      <c r="E7" s="9" t="s">
        <v>11</v>
      </c>
      <c r="F7" s="10"/>
      <c r="G7" s="9"/>
      <c r="H7" s="11"/>
      <c r="I7" s="9" t="s">
        <v>13</v>
      </c>
      <c r="J7" s="21"/>
      <c r="K7" s="21"/>
    </row>
    <row r="8">
      <c r="A8" s="210" t="s">
        <v>6565</v>
      </c>
      <c r="B8" s="11"/>
      <c r="C8" s="8" t="s">
        <v>11</v>
      </c>
      <c r="D8" s="8" t="str">
        <f t="shared" si="1"/>
        <v>-</v>
      </c>
      <c r="E8" s="9" t="s">
        <v>11</v>
      </c>
      <c r="F8" s="10"/>
      <c r="G8" s="9"/>
      <c r="H8" s="11"/>
      <c r="I8" s="9" t="s">
        <v>13</v>
      </c>
      <c r="J8" s="21"/>
      <c r="K8" s="21"/>
    </row>
    <row r="9">
      <c r="A9" s="210" t="s">
        <v>6565</v>
      </c>
      <c r="B9" s="11"/>
      <c r="C9" s="8" t="s">
        <v>11</v>
      </c>
      <c r="D9" s="8" t="str">
        <f t="shared" si="1"/>
        <v>-</v>
      </c>
      <c r="E9" s="9" t="s">
        <v>11</v>
      </c>
      <c r="F9" s="10"/>
      <c r="G9" s="9"/>
      <c r="H9" s="11"/>
      <c r="I9" s="9" t="s">
        <v>13</v>
      </c>
      <c r="J9" s="21"/>
      <c r="K9" s="21"/>
    </row>
    <row r="10">
      <c r="A10" s="210" t="s">
        <v>6565</v>
      </c>
      <c r="B10" s="11"/>
      <c r="C10" s="8" t="s">
        <v>11</v>
      </c>
      <c r="D10" s="8" t="str">
        <f t="shared" si="1"/>
        <v>-</v>
      </c>
      <c r="E10" s="9" t="s">
        <v>11</v>
      </c>
      <c r="F10" s="10"/>
      <c r="G10" s="9"/>
      <c r="H10" s="11"/>
      <c r="I10" s="9" t="s">
        <v>13</v>
      </c>
      <c r="J10" s="21"/>
      <c r="K10" s="21"/>
    </row>
    <row r="11">
      <c r="A11" s="210" t="s">
        <v>6565</v>
      </c>
      <c r="B11" s="11"/>
      <c r="C11" s="8" t="s">
        <v>11</v>
      </c>
      <c r="D11" s="8" t="str">
        <f t="shared" si="1"/>
        <v>-</v>
      </c>
      <c r="E11" s="9" t="s">
        <v>11</v>
      </c>
      <c r="F11" s="10"/>
      <c r="G11" s="9"/>
      <c r="H11" s="11"/>
      <c r="I11" s="9" t="s">
        <v>13</v>
      </c>
      <c r="J11" s="21"/>
      <c r="K11" s="21"/>
    </row>
    <row r="12">
      <c r="A12" s="210" t="s">
        <v>6565</v>
      </c>
      <c r="B12" s="11"/>
      <c r="C12" s="8" t="s">
        <v>11</v>
      </c>
      <c r="D12" s="8" t="str">
        <f t="shared" si="1"/>
        <v>-</v>
      </c>
      <c r="E12" s="9" t="s">
        <v>11</v>
      </c>
      <c r="F12" s="10"/>
      <c r="G12" s="9"/>
      <c r="H12" s="11"/>
      <c r="I12" s="9" t="s">
        <v>13</v>
      </c>
      <c r="J12" s="21"/>
      <c r="K12" s="21"/>
    </row>
    <row r="13">
      <c r="A13" s="210" t="s">
        <v>6565</v>
      </c>
      <c r="B13" s="11"/>
      <c r="C13" s="8" t="s">
        <v>11</v>
      </c>
      <c r="D13" s="8" t="str">
        <f t="shared" si="1"/>
        <v>-</v>
      </c>
      <c r="E13" s="9" t="s">
        <v>11</v>
      </c>
      <c r="F13" s="10"/>
      <c r="G13" s="9"/>
      <c r="H13" s="11"/>
      <c r="I13" s="9" t="s">
        <v>13</v>
      </c>
      <c r="J13" s="21"/>
      <c r="K13" s="21"/>
    </row>
    <row r="14">
      <c r="A14" s="210" t="s">
        <v>6565</v>
      </c>
      <c r="B14" s="11"/>
      <c r="C14" s="8" t="s">
        <v>11</v>
      </c>
      <c r="D14" s="8" t="str">
        <f t="shared" si="1"/>
        <v>-</v>
      </c>
      <c r="E14" s="9" t="s">
        <v>11</v>
      </c>
      <c r="F14" s="10"/>
      <c r="G14" s="9"/>
      <c r="H14" s="11"/>
      <c r="I14" s="9" t="s">
        <v>13</v>
      </c>
      <c r="J14" s="21"/>
      <c r="K14" s="21"/>
    </row>
    <row r="15">
      <c r="A15" s="210" t="s">
        <v>6565</v>
      </c>
      <c r="B15" s="11"/>
      <c r="C15" s="8" t="s">
        <v>11</v>
      </c>
      <c r="D15" s="8" t="str">
        <f t="shared" si="1"/>
        <v>-</v>
      </c>
      <c r="E15" s="9" t="s">
        <v>11</v>
      </c>
      <c r="F15" s="10"/>
      <c r="G15" s="9"/>
      <c r="H15" s="11"/>
      <c r="I15" s="9" t="s">
        <v>13</v>
      </c>
      <c r="J15" s="21"/>
      <c r="K15" s="21"/>
    </row>
    <row r="16">
      <c r="A16" s="210" t="s">
        <v>6565</v>
      </c>
      <c r="B16" s="11"/>
      <c r="C16" s="8" t="s">
        <v>11</v>
      </c>
      <c r="D16" s="8" t="str">
        <f t="shared" si="1"/>
        <v>-</v>
      </c>
      <c r="E16" s="9" t="s">
        <v>11</v>
      </c>
      <c r="F16" s="10"/>
      <c r="G16" s="9"/>
      <c r="H16" s="11"/>
      <c r="I16" s="9" t="s">
        <v>13</v>
      </c>
      <c r="J16" s="21"/>
      <c r="K16" s="21"/>
    </row>
    <row r="17">
      <c r="A17" s="210" t="s">
        <v>6565</v>
      </c>
      <c r="B17" s="11"/>
      <c r="C17" s="8" t="s">
        <v>11</v>
      </c>
      <c r="D17" s="8" t="str">
        <f t="shared" si="1"/>
        <v>-</v>
      </c>
      <c r="E17" s="9" t="s">
        <v>11</v>
      </c>
      <c r="F17" s="10"/>
      <c r="G17" s="9"/>
      <c r="H17" s="11"/>
      <c r="I17" s="9" t="s">
        <v>13</v>
      </c>
      <c r="J17" s="21"/>
      <c r="K17" s="21"/>
    </row>
    <row r="18">
      <c r="A18" s="210" t="s">
        <v>6565</v>
      </c>
      <c r="B18" s="11"/>
      <c r="C18" s="8" t="s">
        <v>11</v>
      </c>
      <c r="D18" s="8" t="str">
        <f t="shared" si="1"/>
        <v>-</v>
      </c>
      <c r="E18" s="9" t="s">
        <v>11</v>
      </c>
      <c r="F18" s="10"/>
      <c r="G18" s="9"/>
      <c r="H18" s="11"/>
      <c r="I18" s="9" t="s">
        <v>13</v>
      </c>
      <c r="J18" s="21"/>
      <c r="K18" s="21"/>
    </row>
    <row r="19">
      <c r="A19" s="210" t="s">
        <v>6565</v>
      </c>
      <c r="B19" s="11"/>
      <c r="C19" s="8" t="s">
        <v>11</v>
      </c>
      <c r="D19" s="8" t="str">
        <f t="shared" si="1"/>
        <v>-</v>
      </c>
      <c r="E19" s="9" t="s">
        <v>11</v>
      </c>
      <c r="F19" s="10"/>
      <c r="G19" s="9"/>
      <c r="H19" s="11"/>
      <c r="I19" s="9" t="s">
        <v>13</v>
      </c>
      <c r="J19" s="21"/>
      <c r="K19" s="21"/>
    </row>
    <row r="20">
      <c r="A20" s="210" t="s">
        <v>6565</v>
      </c>
      <c r="B20" s="11"/>
      <c r="C20" s="8" t="s">
        <v>11</v>
      </c>
      <c r="D20" s="8" t="str">
        <f t="shared" si="1"/>
        <v>-</v>
      </c>
      <c r="E20" s="9" t="s">
        <v>11</v>
      </c>
      <c r="F20" s="10"/>
      <c r="G20" s="9"/>
      <c r="H20" s="11"/>
      <c r="I20" s="9" t="s">
        <v>13</v>
      </c>
      <c r="J20" s="21"/>
      <c r="K20" s="21"/>
    </row>
    <row r="21">
      <c r="A21" s="210" t="s">
        <v>6565</v>
      </c>
      <c r="B21" s="11"/>
      <c r="C21" s="8" t="s">
        <v>11</v>
      </c>
      <c r="D21" s="8" t="str">
        <f t="shared" si="1"/>
        <v>-</v>
      </c>
      <c r="E21" s="9" t="s">
        <v>11</v>
      </c>
      <c r="F21" s="10"/>
      <c r="G21" s="9"/>
      <c r="H21" s="11"/>
      <c r="I21" s="9" t="s">
        <v>13</v>
      </c>
      <c r="J21" s="21"/>
      <c r="K21" s="21"/>
    </row>
    <row r="22">
      <c r="A22" s="210" t="s">
        <v>6565</v>
      </c>
      <c r="B22" s="11"/>
      <c r="C22" s="8" t="s">
        <v>11</v>
      </c>
      <c r="D22" s="8" t="str">
        <f t="shared" si="1"/>
        <v>-</v>
      </c>
      <c r="E22" s="9" t="s">
        <v>11</v>
      </c>
      <c r="F22" s="10"/>
      <c r="G22" s="9"/>
      <c r="H22" s="11"/>
      <c r="I22" s="9" t="s">
        <v>13</v>
      </c>
      <c r="J22" s="21"/>
      <c r="K22" s="21"/>
    </row>
    <row r="23">
      <c r="A23" s="210" t="s">
        <v>6565</v>
      </c>
      <c r="B23" s="11"/>
      <c r="C23" s="8" t="s">
        <v>11</v>
      </c>
      <c r="D23" s="8" t="str">
        <f t="shared" si="1"/>
        <v>-</v>
      </c>
      <c r="E23" s="9" t="s">
        <v>11</v>
      </c>
      <c r="F23" s="10"/>
      <c r="G23" s="9"/>
      <c r="H23" s="11"/>
      <c r="I23" s="9" t="s">
        <v>13</v>
      </c>
      <c r="J23" s="21"/>
      <c r="K23" s="21"/>
    </row>
    <row r="24">
      <c r="A24" s="210" t="s">
        <v>6565</v>
      </c>
      <c r="B24" s="11"/>
      <c r="C24" s="8" t="s">
        <v>11</v>
      </c>
      <c r="D24" s="8" t="str">
        <f t="shared" si="1"/>
        <v>-</v>
      </c>
      <c r="E24" s="9" t="s">
        <v>11</v>
      </c>
      <c r="F24" s="10"/>
      <c r="G24" s="9"/>
      <c r="H24" s="11"/>
      <c r="I24" s="9" t="s">
        <v>13</v>
      </c>
      <c r="J24" s="21"/>
      <c r="K24" s="21"/>
    </row>
    <row r="25">
      <c r="A25" s="210" t="s">
        <v>6565</v>
      </c>
      <c r="B25" s="11"/>
      <c r="C25" s="8" t="s">
        <v>11</v>
      </c>
      <c r="D25" s="8" t="str">
        <f t="shared" si="1"/>
        <v>-</v>
      </c>
      <c r="E25" s="9" t="s">
        <v>11</v>
      </c>
      <c r="F25" s="10"/>
      <c r="G25" s="9"/>
      <c r="H25" s="11"/>
      <c r="I25" s="9" t="s">
        <v>13</v>
      </c>
      <c r="J25" s="21"/>
      <c r="K25" s="21"/>
    </row>
    <row r="26">
      <c r="A26" s="210" t="s">
        <v>6565</v>
      </c>
      <c r="B26" s="11"/>
      <c r="C26" s="8" t="s">
        <v>11</v>
      </c>
      <c r="D26" s="8" t="str">
        <f t="shared" si="1"/>
        <v>-</v>
      </c>
      <c r="E26" s="9" t="s">
        <v>11</v>
      </c>
      <c r="F26" s="10"/>
      <c r="G26" s="9"/>
      <c r="H26" s="11"/>
      <c r="I26" s="9" t="s">
        <v>13</v>
      </c>
      <c r="J26" s="21"/>
      <c r="K26" s="21"/>
    </row>
    <row r="27">
      <c r="A27" s="210" t="s">
        <v>6565</v>
      </c>
      <c r="B27" s="11"/>
      <c r="C27" s="8" t="s">
        <v>11</v>
      </c>
      <c r="D27" s="8" t="str">
        <f t="shared" si="1"/>
        <v>-</v>
      </c>
      <c r="E27" s="9" t="s">
        <v>11</v>
      </c>
      <c r="F27" s="10"/>
      <c r="G27" s="9"/>
      <c r="H27" s="11"/>
      <c r="I27" s="9" t="s">
        <v>13</v>
      </c>
      <c r="J27" s="21"/>
      <c r="K27" s="21"/>
    </row>
    <row r="28">
      <c r="A28" s="210" t="s">
        <v>6565</v>
      </c>
      <c r="B28" s="11"/>
      <c r="C28" s="8" t="s">
        <v>11</v>
      </c>
      <c r="D28" s="8" t="str">
        <f t="shared" si="1"/>
        <v>-</v>
      </c>
      <c r="E28" s="9" t="s">
        <v>11</v>
      </c>
      <c r="F28" s="10"/>
      <c r="G28" s="9"/>
      <c r="H28" s="11"/>
      <c r="I28" s="9" t="s">
        <v>13</v>
      </c>
      <c r="J28" s="21"/>
      <c r="K28" s="21"/>
    </row>
    <row r="29">
      <c r="A29" s="210" t="s">
        <v>6565</v>
      </c>
      <c r="B29" s="11"/>
      <c r="C29" s="8" t="s">
        <v>11</v>
      </c>
      <c r="D29" s="8" t="str">
        <f t="shared" si="1"/>
        <v>-</v>
      </c>
      <c r="E29" s="9" t="s">
        <v>11</v>
      </c>
      <c r="F29" s="10"/>
      <c r="G29" s="9"/>
      <c r="H29" s="11"/>
      <c r="I29" s="9" t="s">
        <v>13</v>
      </c>
      <c r="J29" s="21"/>
      <c r="K29" s="21"/>
    </row>
    <row r="30">
      <c r="A30" s="210" t="s">
        <v>6565</v>
      </c>
      <c r="B30" s="11"/>
      <c r="C30" s="8" t="s">
        <v>11</v>
      </c>
      <c r="D30" s="8" t="str">
        <f t="shared" si="1"/>
        <v>-</v>
      </c>
      <c r="E30" s="9" t="s">
        <v>11</v>
      </c>
      <c r="F30" s="10"/>
      <c r="G30" s="9"/>
      <c r="H30" s="11"/>
      <c r="I30" s="9" t="s">
        <v>13</v>
      </c>
      <c r="J30" s="21"/>
      <c r="K30" s="21"/>
    </row>
    <row r="31">
      <c r="A31" s="210" t="s">
        <v>6565</v>
      </c>
      <c r="B31" s="11"/>
      <c r="C31" s="8" t="s">
        <v>11</v>
      </c>
      <c r="D31" s="8" t="str">
        <f t="shared" si="1"/>
        <v>-</v>
      </c>
      <c r="E31" s="9" t="s">
        <v>11</v>
      </c>
      <c r="F31" s="10"/>
      <c r="G31" s="9"/>
      <c r="H31" s="11"/>
      <c r="I31" s="9" t="s">
        <v>13</v>
      </c>
      <c r="J31" s="21"/>
      <c r="K31" s="21"/>
    </row>
    <row r="32">
      <c r="A32" s="210" t="s">
        <v>6565</v>
      </c>
      <c r="B32" s="11"/>
      <c r="C32" s="8" t="s">
        <v>11</v>
      </c>
      <c r="D32" s="8" t="str">
        <f t="shared" si="1"/>
        <v>-</v>
      </c>
      <c r="E32" s="9" t="s">
        <v>11</v>
      </c>
      <c r="F32" s="10"/>
      <c r="G32" s="9"/>
      <c r="H32" s="11"/>
      <c r="I32" s="9" t="s">
        <v>13</v>
      </c>
      <c r="J32" s="21"/>
      <c r="K32" s="21"/>
    </row>
    <row r="33">
      <c r="A33" s="210" t="s">
        <v>6565</v>
      </c>
      <c r="B33" s="11"/>
      <c r="C33" s="8" t="s">
        <v>11</v>
      </c>
      <c r="D33" s="8" t="str">
        <f t="shared" si="1"/>
        <v>-</v>
      </c>
      <c r="E33" s="9" t="s">
        <v>11</v>
      </c>
      <c r="F33" s="10"/>
      <c r="G33" s="9"/>
      <c r="H33" s="11"/>
      <c r="I33" s="9" t="s">
        <v>13</v>
      </c>
      <c r="J33" s="21"/>
      <c r="K33" s="21"/>
    </row>
    <row r="34">
      <c r="A34" s="210" t="s">
        <v>6565</v>
      </c>
      <c r="B34" s="11"/>
      <c r="C34" s="8" t="s">
        <v>11</v>
      </c>
      <c r="D34" s="8" t="str">
        <f t="shared" si="1"/>
        <v>-</v>
      </c>
      <c r="E34" s="9" t="s">
        <v>11</v>
      </c>
      <c r="F34" s="10"/>
      <c r="G34" s="9"/>
      <c r="H34" s="11"/>
      <c r="I34" s="9" t="s">
        <v>13</v>
      </c>
      <c r="J34" s="21"/>
      <c r="K34" s="21"/>
    </row>
    <row r="35">
      <c r="A35" s="210" t="s">
        <v>6565</v>
      </c>
      <c r="B35" s="11"/>
      <c r="C35" s="8" t="s">
        <v>11</v>
      </c>
      <c r="D35" s="8" t="str">
        <f t="shared" si="1"/>
        <v>-</v>
      </c>
      <c r="E35" s="9" t="s">
        <v>11</v>
      </c>
      <c r="F35" s="10"/>
      <c r="G35" s="9"/>
      <c r="H35" s="11"/>
      <c r="I35" s="9" t="s">
        <v>13</v>
      </c>
      <c r="J35" s="21"/>
      <c r="K35" s="21"/>
    </row>
    <row r="36">
      <c r="A36" s="210" t="s">
        <v>6565</v>
      </c>
      <c r="B36" s="11"/>
      <c r="C36" s="8" t="s">
        <v>11</v>
      </c>
      <c r="D36" s="8" t="str">
        <f t="shared" si="1"/>
        <v>-</v>
      </c>
      <c r="E36" s="9" t="s">
        <v>11</v>
      </c>
      <c r="F36" s="10"/>
      <c r="G36" s="9"/>
      <c r="H36" s="11"/>
      <c r="I36" s="9" t="s">
        <v>13</v>
      </c>
      <c r="J36" s="21"/>
      <c r="K36" s="21"/>
    </row>
    <row r="37">
      <c r="A37" s="210" t="s">
        <v>6565</v>
      </c>
      <c r="B37" s="11"/>
      <c r="C37" s="8" t="s">
        <v>11</v>
      </c>
      <c r="D37" s="8" t="str">
        <f t="shared" si="1"/>
        <v>-</v>
      </c>
      <c r="E37" s="9" t="s">
        <v>11</v>
      </c>
      <c r="F37" s="10"/>
      <c r="G37" s="9"/>
      <c r="H37" s="11"/>
      <c r="I37" s="9" t="s">
        <v>13</v>
      </c>
      <c r="J37" s="21"/>
      <c r="K37" s="21"/>
    </row>
    <row r="38">
      <c r="A38" s="210" t="s">
        <v>6565</v>
      </c>
      <c r="B38" s="11"/>
      <c r="C38" s="8" t="s">
        <v>11</v>
      </c>
      <c r="D38" s="8" t="str">
        <f t="shared" si="1"/>
        <v>-</v>
      </c>
      <c r="E38" s="9" t="s">
        <v>11</v>
      </c>
      <c r="F38" s="10"/>
      <c r="G38" s="9"/>
      <c r="H38" s="11"/>
      <c r="I38" s="9" t="s">
        <v>13</v>
      </c>
      <c r="J38" s="21"/>
      <c r="K38" s="21"/>
    </row>
    <row r="39">
      <c r="A39" s="210" t="s">
        <v>6565</v>
      </c>
      <c r="B39" s="11"/>
      <c r="C39" s="8" t="s">
        <v>11</v>
      </c>
      <c r="D39" s="8" t="str">
        <f t="shared" si="1"/>
        <v>-</v>
      </c>
      <c r="E39" s="9" t="s">
        <v>11</v>
      </c>
      <c r="F39" s="10"/>
      <c r="G39" s="9"/>
      <c r="H39" s="11"/>
      <c r="I39" s="9" t="s">
        <v>13</v>
      </c>
      <c r="J39" s="21"/>
      <c r="K39" s="21"/>
    </row>
    <row r="40">
      <c r="A40" s="210" t="s">
        <v>6565</v>
      </c>
      <c r="B40" s="11"/>
      <c r="C40" s="8" t="s">
        <v>11</v>
      </c>
      <c r="D40" s="8" t="str">
        <f t="shared" si="1"/>
        <v>-</v>
      </c>
      <c r="E40" s="9" t="s">
        <v>11</v>
      </c>
      <c r="F40" s="10"/>
      <c r="G40" s="9"/>
      <c r="H40" s="11"/>
      <c r="I40" s="9" t="s">
        <v>13</v>
      </c>
      <c r="J40" s="21"/>
      <c r="K40" s="21"/>
    </row>
    <row r="41">
      <c r="A41" s="210" t="s">
        <v>6565</v>
      </c>
      <c r="B41" s="11"/>
      <c r="C41" s="8" t="s">
        <v>11</v>
      </c>
      <c r="D41" s="8" t="str">
        <f t="shared" si="1"/>
        <v>-</v>
      </c>
      <c r="E41" s="9" t="s">
        <v>11</v>
      </c>
      <c r="F41" s="10"/>
      <c r="G41" s="9"/>
      <c r="H41" s="11"/>
      <c r="I41" s="9" t="s">
        <v>13</v>
      </c>
      <c r="J41" s="21"/>
      <c r="K41" s="21"/>
    </row>
    <row r="42">
      <c r="A42" s="210" t="s">
        <v>6565</v>
      </c>
      <c r="B42" s="11"/>
      <c r="C42" s="8" t="s">
        <v>11</v>
      </c>
      <c r="D42" s="8" t="str">
        <f t="shared" si="1"/>
        <v>-</v>
      </c>
      <c r="E42" s="9" t="s">
        <v>11</v>
      </c>
      <c r="F42" s="10"/>
      <c r="G42" s="9"/>
      <c r="H42" s="11"/>
      <c r="I42" s="9" t="s">
        <v>13</v>
      </c>
      <c r="J42" s="21"/>
      <c r="K42" s="21"/>
    </row>
    <row r="43">
      <c r="A43" s="210" t="s">
        <v>6565</v>
      </c>
      <c r="B43" s="11"/>
      <c r="C43" s="8" t="s">
        <v>11</v>
      </c>
      <c r="D43" s="8" t="str">
        <f t="shared" si="1"/>
        <v>-</v>
      </c>
      <c r="E43" s="9" t="s">
        <v>11</v>
      </c>
      <c r="F43" s="10"/>
      <c r="G43" s="9"/>
      <c r="H43" s="11"/>
      <c r="I43" s="9" t="s">
        <v>13</v>
      </c>
      <c r="J43" s="21"/>
      <c r="K43" s="21"/>
    </row>
    <row r="44">
      <c r="A44" s="210" t="s">
        <v>6565</v>
      </c>
      <c r="B44" s="11"/>
      <c r="C44" s="8" t="s">
        <v>11</v>
      </c>
      <c r="D44" s="8" t="str">
        <f t="shared" si="1"/>
        <v>-</v>
      </c>
      <c r="E44" s="9" t="s">
        <v>11</v>
      </c>
      <c r="F44" s="10"/>
      <c r="G44" s="9"/>
      <c r="H44" s="11"/>
      <c r="I44" s="9" t="s">
        <v>13</v>
      </c>
      <c r="J44" s="21"/>
      <c r="K44" s="21"/>
    </row>
    <row r="45">
      <c r="A45" s="210" t="s">
        <v>6565</v>
      </c>
      <c r="B45" s="11"/>
      <c r="C45" s="8" t="s">
        <v>11</v>
      </c>
      <c r="D45" s="8" t="str">
        <f t="shared" si="1"/>
        <v>-</v>
      </c>
      <c r="E45" s="9" t="s">
        <v>11</v>
      </c>
      <c r="F45" s="10"/>
      <c r="G45" s="9"/>
      <c r="H45" s="11"/>
      <c r="I45" s="9" t="s">
        <v>13</v>
      </c>
      <c r="J45" s="21"/>
      <c r="K45" s="21"/>
    </row>
    <row r="46">
      <c r="A46" s="210" t="s">
        <v>6565</v>
      </c>
      <c r="B46" s="11"/>
      <c r="C46" s="8" t="s">
        <v>11</v>
      </c>
      <c r="D46" s="8" t="str">
        <f t="shared" si="1"/>
        <v>-</v>
      </c>
      <c r="E46" s="9" t="s">
        <v>11</v>
      </c>
      <c r="F46" s="10"/>
      <c r="G46" s="9"/>
      <c r="H46" s="11"/>
      <c r="I46" s="9" t="s">
        <v>13</v>
      </c>
      <c r="J46" s="21"/>
      <c r="K46" s="21"/>
    </row>
    <row r="47">
      <c r="A47" s="210" t="s">
        <v>6565</v>
      </c>
      <c r="B47" s="11"/>
      <c r="C47" s="8" t="s">
        <v>11</v>
      </c>
      <c r="D47" s="8" t="str">
        <f t="shared" si="1"/>
        <v>-</v>
      </c>
      <c r="E47" s="9" t="s">
        <v>11</v>
      </c>
      <c r="F47" s="10"/>
      <c r="G47" s="9"/>
      <c r="H47" s="11"/>
      <c r="I47" s="9" t="s">
        <v>13</v>
      </c>
      <c r="J47" s="21"/>
      <c r="K47" s="21"/>
    </row>
    <row r="48">
      <c r="A48" s="210" t="s">
        <v>6565</v>
      </c>
      <c r="B48" s="11"/>
      <c r="C48" s="8" t="s">
        <v>11</v>
      </c>
      <c r="D48" s="8" t="str">
        <f t="shared" si="1"/>
        <v>-</v>
      </c>
      <c r="E48" s="9" t="s">
        <v>11</v>
      </c>
      <c r="F48" s="10"/>
      <c r="G48" s="9"/>
      <c r="H48" s="11"/>
      <c r="I48" s="9" t="s">
        <v>13</v>
      </c>
      <c r="J48" s="21"/>
      <c r="K48" s="21"/>
    </row>
    <row r="49">
      <c r="A49" s="210" t="s">
        <v>6565</v>
      </c>
      <c r="B49" s="11"/>
      <c r="C49" s="8" t="s">
        <v>11</v>
      </c>
      <c r="D49" s="8" t="str">
        <f t="shared" si="1"/>
        <v>-</v>
      </c>
      <c r="E49" s="9" t="s">
        <v>11</v>
      </c>
      <c r="F49" s="10"/>
      <c r="G49" s="9"/>
      <c r="H49" s="11"/>
      <c r="I49" s="9" t="s">
        <v>13</v>
      </c>
      <c r="J49" s="21"/>
      <c r="K49" s="21"/>
    </row>
    <row r="50">
      <c r="A50" s="210" t="s">
        <v>6565</v>
      </c>
      <c r="B50" s="11"/>
      <c r="C50" s="8" t="s">
        <v>11</v>
      </c>
      <c r="D50" s="8" t="str">
        <f t="shared" si="1"/>
        <v>-</v>
      </c>
      <c r="E50" s="9" t="s">
        <v>11</v>
      </c>
      <c r="F50" s="10"/>
      <c r="G50" s="9"/>
      <c r="H50" s="11"/>
      <c r="I50" s="9" t="s">
        <v>13</v>
      </c>
      <c r="J50" s="21"/>
      <c r="K50" s="21"/>
    </row>
    <row r="51">
      <c r="A51" s="210" t="s">
        <v>6565</v>
      </c>
      <c r="B51" s="11"/>
      <c r="C51" s="8" t="s">
        <v>11</v>
      </c>
      <c r="D51" s="8" t="str">
        <f t="shared" si="1"/>
        <v>-</v>
      </c>
      <c r="E51" s="9" t="s">
        <v>11</v>
      </c>
      <c r="F51" s="10"/>
      <c r="G51" s="9"/>
      <c r="H51" s="11"/>
      <c r="I51" s="9" t="s">
        <v>13</v>
      </c>
      <c r="J51" s="21"/>
      <c r="K51" s="21"/>
    </row>
    <row r="52">
      <c r="A52" s="210" t="s">
        <v>6565</v>
      </c>
      <c r="B52" s="11"/>
      <c r="C52" s="8" t="s">
        <v>11</v>
      </c>
      <c r="D52" s="8" t="str">
        <f t="shared" si="1"/>
        <v>-</v>
      </c>
      <c r="E52" s="9" t="s">
        <v>11</v>
      </c>
      <c r="F52" s="10"/>
      <c r="G52" s="9"/>
      <c r="H52" s="11"/>
      <c r="I52" s="9" t="s">
        <v>13</v>
      </c>
      <c r="J52" s="21"/>
      <c r="K52" s="21"/>
    </row>
    <row r="53">
      <c r="A53" s="210" t="s">
        <v>6565</v>
      </c>
      <c r="B53" s="11"/>
      <c r="C53" s="8" t="s">
        <v>11</v>
      </c>
      <c r="D53" s="8" t="str">
        <f t="shared" si="1"/>
        <v>-</v>
      </c>
      <c r="E53" s="9" t="s">
        <v>11</v>
      </c>
      <c r="F53" s="10"/>
      <c r="G53" s="9"/>
      <c r="H53" s="11"/>
      <c r="I53" s="9" t="s">
        <v>13</v>
      </c>
      <c r="J53" s="21"/>
      <c r="K53" s="21"/>
    </row>
    <row r="54">
      <c r="A54" s="210" t="s">
        <v>6565</v>
      </c>
      <c r="B54" s="11"/>
      <c r="C54" s="8" t="s">
        <v>11</v>
      </c>
      <c r="D54" s="8" t="str">
        <f t="shared" si="1"/>
        <v>-</v>
      </c>
      <c r="E54" s="9" t="s">
        <v>11</v>
      </c>
      <c r="F54" s="10"/>
      <c r="G54" s="9"/>
      <c r="H54" s="11"/>
      <c r="I54" s="9" t="s">
        <v>13</v>
      </c>
      <c r="J54" s="21"/>
      <c r="K54" s="21"/>
    </row>
    <row r="55">
      <c r="A55" s="210" t="s">
        <v>6565</v>
      </c>
      <c r="B55" s="11"/>
      <c r="C55" s="8" t="s">
        <v>11</v>
      </c>
      <c r="D55" s="8" t="str">
        <f t="shared" si="1"/>
        <v>-</v>
      </c>
      <c r="E55" s="9" t="s">
        <v>11</v>
      </c>
      <c r="F55" s="10"/>
      <c r="G55" s="9"/>
      <c r="H55" s="11"/>
      <c r="I55" s="9" t="s">
        <v>13</v>
      </c>
      <c r="J55" s="21"/>
      <c r="K55" s="21"/>
    </row>
    <row r="56">
      <c r="A56" s="210" t="s">
        <v>6565</v>
      </c>
      <c r="B56" s="11"/>
      <c r="C56" s="8" t="s">
        <v>11</v>
      </c>
      <c r="D56" s="8" t="str">
        <f t="shared" si="1"/>
        <v>-</v>
      </c>
      <c r="E56" s="9" t="s">
        <v>11</v>
      </c>
      <c r="F56" s="10"/>
      <c r="G56" s="9"/>
      <c r="H56" s="11"/>
      <c r="I56" s="9" t="s">
        <v>13</v>
      </c>
      <c r="J56" s="21"/>
      <c r="K56" s="21"/>
    </row>
    <row r="57">
      <c r="A57" s="210" t="s">
        <v>6565</v>
      </c>
      <c r="B57" s="11"/>
      <c r="C57" s="8" t="s">
        <v>11</v>
      </c>
      <c r="D57" s="8" t="str">
        <f t="shared" si="1"/>
        <v>-</v>
      </c>
      <c r="E57" s="9" t="s">
        <v>11</v>
      </c>
      <c r="F57" s="10"/>
      <c r="G57" s="9"/>
      <c r="H57" s="11"/>
      <c r="I57" s="9" t="s">
        <v>13</v>
      </c>
      <c r="J57" s="21"/>
      <c r="K57" s="21"/>
    </row>
    <row r="58">
      <c r="A58" s="210" t="s">
        <v>6565</v>
      </c>
      <c r="B58" s="11"/>
      <c r="C58" s="8" t="s">
        <v>11</v>
      </c>
      <c r="D58" s="8" t="str">
        <f t="shared" si="1"/>
        <v>-</v>
      </c>
      <c r="E58" s="9" t="s">
        <v>11</v>
      </c>
      <c r="F58" s="10"/>
      <c r="G58" s="9"/>
      <c r="H58" s="11"/>
      <c r="I58" s="9" t="s">
        <v>13</v>
      </c>
      <c r="J58" s="21"/>
      <c r="K58" s="21"/>
    </row>
    <row r="59">
      <c r="A59" s="210" t="s">
        <v>6565</v>
      </c>
      <c r="B59" s="11"/>
      <c r="C59" s="8" t="s">
        <v>11</v>
      </c>
      <c r="D59" s="8" t="str">
        <f t="shared" si="1"/>
        <v>-</v>
      </c>
      <c r="E59" s="9" t="s">
        <v>11</v>
      </c>
      <c r="F59" s="10"/>
      <c r="G59" s="9"/>
      <c r="H59" s="11"/>
      <c r="I59" s="9" t="s">
        <v>13</v>
      </c>
      <c r="J59" s="21"/>
      <c r="K59" s="21"/>
    </row>
    <row r="60">
      <c r="A60" s="210" t="s">
        <v>6565</v>
      </c>
      <c r="B60" s="11"/>
      <c r="C60" s="8" t="s">
        <v>11</v>
      </c>
      <c r="D60" s="8" t="str">
        <f t="shared" si="1"/>
        <v>-</v>
      </c>
      <c r="E60" s="9" t="s">
        <v>11</v>
      </c>
      <c r="F60" s="10"/>
      <c r="G60" s="9"/>
      <c r="H60" s="11"/>
      <c r="I60" s="9" t="s">
        <v>13</v>
      </c>
      <c r="J60" s="21"/>
      <c r="K60" s="21"/>
    </row>
    <row r="61">
      <c r="A61" s="210" t="s">
        <v>6565</v>
      </c>
      <c r="B61" s="11"/>
      <c r="C61" s="8" t="s">
        <v>11</v>
      </c>
      <c r="D61" s="8" t="str">
        <f t="shared" si="1"/>
        <v>-</v>
      </c>
      <c r="E61" s="9" t="s">
        <v>11</v>
      </c>
      <c r="F61" s="10"/>
      <c r="G61" s="9"/>
      <c r="H61" s="11"/>
      <c r="I61" s="9" t="s">
        <v>13</v>
      </c>
      <c r="J61" s="21"/>
      <c r="K61" s="21"/>
    </row>
    <row r="62">
      <c r="A62" s="210" t="s">
        <v>6565</v>
      </c>
      <c r="B62" s="11"/>
      <c r="C62" s="8" t="s">
        <v>11</v>
      </c>
      <c r="D62" s="8" t="str">
        <f t="shared" si="1"/>
        <v>-</v>
      </c>
      <c r="E62" s="9" t="s">
        <v>11</v>
      </c>
      <c r="F62" s="10"/>
      <c r="G62" s="9"/>
      <c r="H62" s="11"/>
      <c r="I62" s="9" t="s">
        <v>13</v>
      </c>
      <c r="J62" s="21"/>
      <c r="K62" s="21"/>
    </row>
    <row r="63">
      <c r="A63" s="210" t="s">
        <v>6565</v>
      </c>
      <c r="B63" s="11"/>
      <c r="C63" s="8" t="s">
        <v>11</v>
      </c>
      <c r="D63" s="8" t="str">
        <f t="shared" si="1"/>
        <v>-</v>
      </c>
      <c r="E63" s="9" t="s">
        <v>11</v>
      </c>
      <c r="F63" s="10"/>
      <c r="G63" s="9"/>
      <c r="H63" s="11"/>
      <c r="I63" s="9" t="s">
        <v>13</v>
      </c>
      <c r="J63" s="21"/>
      <c r="K63" s="21"/>
    </row>
    <row r="64">
      <c r="A64" s="210" t="s">
        <v>6565</v>
      </c>
      <c r="B64" s="11"/>
      <c r="C64" s="8" t="s">
        <v>11</v>
      </c>
      <c r="D64" s="8" t="str">
        <f t="shared" si="1"/>
        <v>-</v>
      </c>
      <c r="E64" s="9" t="s">
        <v>11</v>
      </c>
      <c r="F64" s="10"/>
      <c r="G64" s="9"/>
      <c r="H64" s="11"/>
      <c r="I64" s="9" t="s">
        <v>13</v>
      </c>
      <c r="J64" s="21"/>
      <c r="K64" s="21"/>
    </row>
    <row r="65">
      <c r="A65" s="210" t="s">
        <v>6565</v>
      </c>
      <c r="B65" s="11"/>
      <c r="C65" s="8" t="s">
        <v>11</v>
      </c>
      <c r="D65" s="8" t="str">
        <f t="shared" si="1"/>
        <v>-</v>
      </c>
      <c r="E65" s="9" t="s">
        <v>11</v>
      </c>
      <c r="F65" s="10"/>
      <c r="G65" s="9"/>
      <c r="H65" s="11"/>
      <c r="I65" s="9" t="s">
        <v>13</v>
      </c>
      <c r="J65" s="21"/>
      <c r="K65" s="21"/>
    </row>
    <row r="66">
      <c r="A66" s="210" t="s">
        <v>6565</v>
      </c>
      <c r="B66" s="11"/>
      <c r="C66" s="8" t="s">
        <v>11</v>
      </c>
      <c r="D66" s="8" t="str">
        <f t="shared" si="1"/>
        <v>-</v>
      </c>
      <c r="E66" s="9" t="s">
        <v>11</v>
      </c>
      <c r="F66" s="10"/>
      <c r="G66" s="9"/>
      <c r="H66" s="11"/>
      <c r="I66" s="9" t="s">
        <v>13</v>
      </c>
      <c r="J66" s="21"/>
      <c r="K66" s="21"/>
    </row>
    <row r="67">
      <c r="A67" s="210" t="s">
        <v>6565</v>
      </c>
      <c r="B67" s="11"/>
      <c r="C67" s="8" t="s">
        <v>11</v>
      </c>
      <c r="D67" s="8" t="str">
        <f t="shared" si="1"/>
        <v>-</v>
      </c>
      <c r="E67" s="9" t="s">
        <v>11</v>
      </c>
      <c r="F67" s="10"/>
      <c r="G67" s="9"/>
      <c r="H67" s="11"/>
      <c r="I67" s="9" t="s">
        <v>13</v>
      </c>
      <c r="J67" s="21"/>
      <c r="K67" s="21"/>
    </row>
    <row r="68">
      <c r="A68" s="210" t="s">
        <v>6565</v>
      </c>
      <c r="B68" s="11"/>
      <c r="C68" s="8" t="s">
        <v>11</v>
      </c>
      <c r="D68" s="8" t="str">
        <f t="shared" si="1"/>
        <v>-</v>
      </c>
      <c r="E68" s="9" t="s">
        <v>11</v>
      </c>
      <c r="F68" s="10"/>
      <c r="G68" s="9"/>
      <c r="H68" s="11"/>
      <c r="I68" s="9" t="s">
        <v>13</v>
      </c>
      <c r="J68" s="21"/>
      <c r="K68" s="21"/>
    </row>
    <row r="69">
      <c r="A69" s="210" t="s">
        <v>6565</v>
      </c>
      <c r="B69" s="11"/>
      <c r="C69" s="8" t="s">
        <v>11</v>
      </c>
      <c r="D69" s="8" t="str">
        <f t="shared" si="1"/>
        <v>-</v>
      </c>
      <c r="E69" s="9" t="s">
        <v>11</v>
      </c>
      <c r="F69" s="10"/>
      <c r="G69" s="9"/>
      <c r="H69" s="11"/>
      <c r="I69" s="9" t="s">
        <v>13</v>
      </c>
      <c r="J69" s="21"/>
      <c r="K69" s="21"/>
    </row>
    <row r="70">
      <c r="A70" s="210" t="s">
        <v>6565</v>
      </c>
      <c r="B70" s="11"/>
      <c r="C70" s="8" t="s">
        <v>11</v>
      </c>
      <c r="D70" s="8" t="str">
        <f t="shared" si="1"/>
        <v>-</v>
      </c>
      <c r="E70" s="9" t="s">
        <v>11</v>
      </c>
      <c r="F70" s="10"/>
      <c r="G70" s="9"/>
      <c r="H70" s="11"/>
      <c r="I70" s="9" t="s">
        <v>13</v>
      </c>
      <c r="J70" s="21"/>
      <c r="K70" s="21"/>
    </row>
    <row r="71">
      <c r="A71" s="210" t="s">
        <v>6565</v>
      </c>
      <c r="B71" s="11"/>
      <c r="C71" s="8" t="s">
        <v>11</v>
      </c>
      <c r="D71" s="8" t="str">
        <f t="shared" si="1"/>
        <v>-</v>
      </c>
      <c r="E71" s="9" t="s">
        <v>11</v>
      </c>
      <c r="F71" s="10"/>
      <c r="G71" s="9"/>
      <c r="H71" s="11"/>
      <c r="I71" s="9" t="s">
        <v>13</v>
      </c>
      <c r="J71" s="21"/>
      <c r="K71" s="21"/>
    </row>
    <row r="72">
      <c r="A72" s="210" t="s">
        <v>6565</v>
      </c>
      <c r="B72" s="11"/>
      <c r="C72" s="8" t="s">
        <v>11</v>
      </c>
      <c r="D72" s="8" t="str">
        <f t="shared" si="1"/>
        <v>-</v>
      </c>
      <c r="E72" s="9" t="s">
        <v>11</v>
      </c>
      <c r="F72" s="10"/>
      <c r="G72" s="9"/>
      <c r="H72" s="11"/>
      <c r="I72" s="9" t="s">
        <v>13</v>
      </c>
      <c r="J72" s="21"/>
      <c r="K72" s="21"/>
    </row>
    <row r="73">
      <c r="A73" s="210" t="s">
        <v>6565</v>
      </c>
      <c r="B73" s="11"/>
      <c r="C73" s="8" t="s">
        <v>11</v>
      </c>
      <c r="D73" s="8" t="str">
        <f t="shared" si="1"/>
        <v>-</v>
      </c>
      <c r="E73" s="9" t="s">
        <v>11</v>
      </c>
      <c r="F73" s="10"/>
      <c r="G73" s="9"/>
      <c r="H73" s="11"/>
      <c r="I73" s="9" t="s">
        <v>13</v>
      </c>
      <c r="J73" s="21"/>
      <c r="K73" s="21"/>
    </row>
    <row r="74">
      <c r="A74" s="210" t="s">
        <v>6565</v>
      </c>
      <c r="B74" s="11"/>
      <c r="C74" s="8" t="s">
        <v>11</v>
      </c>
      <c r="D74" s="8" t="str">
        <f t="shared" si="1"/>
        <v>-</v>
      </c>
      <c r="E74" s="9" t="s">
        <v>11</v>
      </c>
      <c r="F74" s="10"/>
      <c r="G74" s="9"/>
      <c r="H74" s="11"/>
      <c r="I74" s="9" t="s">
        <v>13</v>
      </c>
      <c r="J74" s="21"/>
      <c r="K74" s="21"/>
    </row>
    <row r="75">
      <c r="A75" s="210" t="s">
        <v>6565</v>
      </c>
      <c r="B75" s="11"/>
      <c r="C75" s="8" t="s">
        <v>11</v>
      </c>
      <c r="D75" s="8" t="str">
        <f t="shared" si="1"/>
        <v>-</v>
      </c>
      <c r="E75" s="9" t="s">
        <v>11</v>
      </c>
      <c r="F75" s="10"/>
      <c r="G75" s="9"/>
      <c r="H75" s="11"/>
      <c r="I75" s="9" t="s">
        <v>13</v>
      </c>
      <c r="J75" s="21"/>
      <c r="K75" s="21"/>
    </row>
    <row r="76">
      <c r="A76" s="210" t="s">
        <v>6565</v>
      </c>
      <c r="B76" s="11"/>
      <c r="C76" s="8" t="s">
        <v>11</v>
      </c>
      <c r="D76" s="8" t="str">
        <f t="shared" si="1"/>
        <v>-</v>
      </c>
      <c r="E76" s="9" t="s">
        <v>11</v>
      </c>
      <c r="F76" s="10"/>
      <c r="G76" s="9"/>
      <c r="H76" s="11"/>
      <c r="I76" s="9" t="s">
        <v>13</v>
      </c>
      <c r="J76" s="21"/>
      <c r="K76" s="21"/>
    </row>
    <row r="77">
      <c r="A77" s="210" t="s">
        <v>6565</v>
      </c>
      <c r="B77" s="11"/>
      <c r="C77" s="8" t="s">
        <v>11</v>
      </c>
      <c r="D77" s="8" t="str">
        <f t="shared" si="1"/>
        <v>-</v>
      </c>
      <c r="E77" s="9" t="s">
        <v>11</v>
      </c>
      <c r="F77" s="10"/>
      <c r="G77" s="9"/>
      <c r="H77" s="11"/>
      <c r="I77" s="9" t="s">
        <v>13</v>
      </c>
      <c r="J77" s="21"/>
      <c r="K77" s="21"/>
    </row>
    <row r="78">
      <c r="A78" s="210" t="s">
        <v>6565</v>
      </c>
      <c r="B78" s="11"/>
      <c r="C78" s="8" t="s">
        <v>11</v>
      </c>
      <c r="D78" s="8" t="str">
        <f t="shared" si="1"/>
        <v>-</v>
      </c>
      <c r="E78" s="9" t="s">
        <v>11</v>
      </c>
      <c r="F78" s="10"/>
      <c r="G78" s="9"/>
      <c r="H78" s="11"/>
      <c r="I78" s="9" t="s">
        <v>13</v>
      </c>
      <c r="J78" s="21"/>
      <c r="K78" s="21"/>
    </row>
    <row r="79">
      <c r="A79" s="210" t="s">
        <v>6565</v>
      </c>
      <c r="B79" s="11"/>
      <c r="C79" s="8" t="s">
        <v>11</v>
      </c>
      <c r="D79" s="8" t="str">
        <f t="shared" si="1"/>
        <v>-</v>
      </c>
      <c r="E79" s="9" t="s">
        <v>11</v>
      </c>
      <c r="F79" s="10"/>
      <c r="G79" s="9"/>
      <c r="H79" s="11"/>
      <c r="I79" s="9" t="s">
        <v>13</v>
      </c>
      <c r="J79" s="21"/>
      <c r="K79" s="21"/>
    </row>
    <row r="80">
      <c r="A80" s="210" t="s">
        <v>6565</v>
      </c>
      <c r="B80" s="11"/>
      <c r="C80" s="8" t="s">
        <v>11</v>
      </c>
      <c r="D80" s="8" t="str">
        <f t="shared" si="1"/>
        <v>-</v>
      </c>
      <c r="E80" s="9" t="s">
        <v>11</v>
      </c>
      <c r="F80" s="10"/>
      <c r="G80" s="9"/>
      <c r="H80" s="11"/>
      <c r="I80" s="9" t="s">
        <v>13</v>
      </c>
      <c r="J80" s="21"/>
      <c r="K80" s="21"/>
    </row>
    <row r="81">
      <c r="A81" s="210" t="s">
        <v>6565</v>
      </c>
      <c r="B81" s="11"/>
      <c r="C81" s="8" t="s">
        <v>11</v>
      </c>
      <c r="D81" s="8" t="str">
        <f t="shared" si="1"/>
        <v>-</v>
      </c>
      <c r="E81" s="9" t="s">
        <v>11</v>
      </c>
      <c r="F81" s="10"/>
      <c r="G81" s="9"/>
      <c r="H81" s="11"/>
      <c r="I81" s="9" t="s">
        <v>13</v>
      </c>
      <c r="J81" s="21"/>
      <c r="K81" s="21"/>
    </row>
    <row r="82">
      <c r="A82" s="210" t="s">
        <v>6565</v>
      </c>
      <c r="B82" s="11"/>
      <c r="C82" s="8" t="s">
        <v>11</v>
      </c>
      <c r="D82" s="8" t="str">
        <f t="shared" si="1"/>
        <v>-</v>
      </c>
      <c r="E82" s="9" t="s">
        <v>11</v>
      </c>
      <c r="F82" s="10"/>
      <c r="G82" s="9"/>
      <c r="H82" s="11"/>
      <c r="I82" s="9" t="s">
        <v>13</v>
      </c>
      <c r="J82" s="21"/>
      <c r="K82" s="21"/>
    </row>
    <row r="83">
      <c r="A83" s="210" t="s">
        <v>6565</v>
      </c>
      <c r="B83" s="11"/>
      <c r="C83" s="8" t="s">
        <v>11</v>
      </c>
      <c r="D83" s="8" t="str">
        <f t="shared" si="1"/>
        <v>-</v>
      </c>
      <c r="E83" s="9" t="s">
        <v>11</v>
      </c>
      <c r="F83" s="10"/>
      <c r="G83" s="9"/>
      <c r="H83" s="11"/>
      <c r="I83" s="9" t="s">
        <v>13</v>
      </c>
      <c r="J83" s="21"/>
      <c r="K83" s="21"/>
    </row>
    <row r="84">
      <c r="A84" s="210" t="s">
        <v>6565</v>
      </c>
      <c r="B84" s="11"/>
      <c r="C84" s="8" t="s">
        <v>11</v>
      </c>
      <c r="D84" s="8" t="str">
        <f t="shared" si="1"/>
        <v>-</v>
      </c>
      <c r="E84" s="9" t="s">
        <v>11</v>
      </c>
      <c r="F84" s="10"/>
      <c r="G84" s="9"/>
      <c r="H84" s="11"/>
      <c r="I84" s="9" t="s">
        <v>13</v>
      </c>
      <c r="J84" s="21"/>
      <c r="K84" s="21"/>
    </row>
    <row r="85">
      <c r="A85" s="210" t="s">
        <v>6565</v>
      </c>
      <c r="B85" s="11"/>
      <c r="C85" s="8" t="s">
        <v>11</v>
      </c>
      <c r="D85" s="8" t="str">
        <f t="shared" si="1"/>
        <v>-</v>
      </c>
      <c r="E85" s="9" t="s">
        <v>11</v>
      </c>
      <c r="F85" s="10"/>
      <c r="G85" s="9"/>
      <c r="H85" s="11"/>
      <c r="I85" s="9" t="s">
        <v>13</v>
      </c>
      <c r="J85" s="21"/>
      <c r="K85" s="21"/>
    </row>
    <row r="86">
      <c r="A86" s="210" t="s">
        <v>6565</v>
      </c>
      <c r="B86" s="11"/>
      <c r="C86" s="8" t="s">
        <v>11</v>
      </c>
      <c r="D86" s="8" t="str">
        <f t="shared" si="1"/>
        <v>-</v>
      </c>
      <c r="E86" s="9" t="s">
        <v>11</v>
      </c>
      <c r="F86" s="10"/>
      <c r="G86" s="9"/>
      <c r="H86" s="11"/>
      <c r="I86" s="9" t="s">
        <v>13</v>
      </c>
      <c r="J86" s="21"/>
      <c r="K86" s="21"/>
    </row>
    <row r="87">
      <c r="A87" s="210" t="s">
        <v>6565</v>
      </c>
      <c r="B87" s="11"/>
      <c r="C87" s="8" t="s">
        <v>11</v>
      </c>
      <c r="D87" s="8" t="str">
        <f t="shared" si="1"/>
        <v>-</v>
      </c>
      <c r="E87" s="9" t="s">
        <v>11</v>
      </c>
      <c r="F87" s="10"/>
      <c r="G87" s="9"/>
      <c r="H87" s="11"/>
      <c r="I87" s="9" t="s">
        <v>13</v>
      </c>
      <c r="J87" s="21"/>
      <c r="K87" s="21"/>
    </row>
    <row r="88">
      <c r="A88" s="210" t="s">
        <v>6565</v>
      </c>
      <c r="B88" s="11"/>
      <c r="C88" s="8" t="s">
        <v>11</v>
      </c>
      <c r="D88" s="8" t="str">
        <f t="shared" si="1"/>
        <v>-</v>
      </c>
      <c r="E88" s="9" t="s">
        <v>11</v>
      </c>
      <c r="F88" s="10"/>
      <c r="G88" s="9"/>
      <c r="H88" s="11"/>
      <c r="I88" s="9" t="s">
        <v>13</v>
      </c>
      <c r="J88" s="21"/>
      <c r="K88" s="21"/>
    </row>
    <row r="89">
      <c r="A89" s="210" t="s">
        <v>6565</v>
      </c>
      <c r="B89" s="11"/>
      <c r="C89" s="8" t="s">
        <v>11</v>
      </c>
      <c r="D89" s="8" t="str">
        <f t="shared" si="1"/>
        <v>-</v>
      </c>
      <c r="E89" s="9" t="s">
        <v>11</v>
      </c>
      <c r="F89" s="10"/>
      <c r="G89" s="9"/>
      <c r="H89" s="11"/>
      <c r="I89" s="9" t="s">
        <v>13</v>
      </c>
      <c r="J89" s="21"/>
      <c r="K89" s="21"/>
    </row>
    <row r="90">
      <c r="A90" s="210" t="s">
        <v>6565</v>
      </c>
      <c r="B90" s="11"/>
      <c r="C90" s="8" t="s">
        <v>11</v>
      </c>
      <c r="D90" s="8" t="str">
        <f t="shared" si="1"/>
        <v>-</v>
      </c>
      <c r="E90" s="9" t="s">
        <v>11</v>
      </c>
      <c r="F90" s="10"/>
      <c r="G90" s="9"/>
      <c r="H90" s="11"/>
      <c r="I90" s="9" t="s">
        <v>13</v>
      </c>
      <c r="J90" s="21"/>
      <c r="K90" s="21"/>
    </row>
    <row r="91">
      <c r="A91" s="210" t="s">
        <v>6565</v>
      </c>
      <c r="B91" s="11"/>
      <c r="C91" s="8" t="s">
        <v>11</v>
      </c>
      <c r="D91" s="8" t="str">
        <f t="shared" si="1"/>
        <v>-</v>
      </c>
      <c r="E91" s="9" t="s">
        <v>11</v>
      </c>
      <c r="F91" s="10"/>
      <c r="G91" s="9"/>
      <c r="H91" s="11"/>
      <c r="I91" s="9" t="s">
        <v>13</v>
      </c>
      <c r="J91" s="21"/>
      <c r="K91" s="21"/>
    </row>
    <row r="92">
      <c r="A92" s="210" t="s">
        <v>6565</v>
      </c>
      <c r="B92" s="11"/>
      <c r="C92" s="8" t="s">
        <v>11</v>
      </c>
      <c r="D92" s="8" t="str">
        <f t="shared" si="1"/>
        <v>-</v>
      </c>
      <c r="E92" s="9" t="s">
        <v>11</v>
      </c>
      <c r="F92" s="10"/>
      <c r="G92" s="9"/>
      <c r="H92" s="11"/>
      <c r="I92" s="9" t="s">
        <v>13</v>
      </c>
      <c r="J92" s="21"/>
      <c r="K92" s="21"/>
    </row>
    <row r="93">
      <c r="A93" s="210" t="s">
        <v>6565</v>
      </c>
      <c r="B93" s="11"/>
      <c r="C93" s="8" t="s">
        <v>11</v>
      </c>
      <c r="D93" s="8" t="str">
        <f t="shared" si="1"/>
        <v>-</v>
      </c>
      <c r="E93" s="9" t="s">
        <v>11</v>
      </c>
      <c r="F93" s="10"/>
      <c r="G93" s="9"/>
      <c r="H93" s="11"/>
      <c r="I93" s="9" t="s">
        <v>13</v>
      </c>
      <c r="J93" s="21"/>
      <c r="K93" s="21"/>
    </row>
    <row r="94">
      <c r="A94" s="210" t="s">
        <v>6565</v>
      </c>
      <c r="B94" s="11"/>
      <c r="C94" s="8" t="s">
        <v>11</v>
      </c>
      <c r="D94" s="8" t="str">
        <f t="shared" si="1"/>
        <v>-</v>
      </c>
      <c r="E94" s="9" t="s">
        <v>11</v>
      </c>
      <c r="F94" s="10"/>
      <c r="G94" s="9"/>
      <c r="H94" s="11"/>
      <c r="I94" s="9" t="s">
        <v>13</v>
      </c>
      <c r="J94" s="21"/>
      <c r="K94" s="21"/>
    </row>
    <row r="95">
      <c r="A95" s="210" t="s">
        <v>6565</v>
      </c>
      <c r="B95" s="11"/>
      <c r="C95" s="8" t="s">
        <v>11</v>
      </c>
      <c r="D95" s="8" t="str">
        <f t="shared" si="1"/>
        <v>-</v>
      </c>
      <c r="E95" s="9" t="s">
        <v>11</v>
      </c>
      <c r="F95" s="10"/>
      <c r="G95" s="9"/>
      <c r="H95" s="11"/>
      <c r="I95" s="9" t="s">
        <v>13</v>
      </c>
      <c r="J95" s="21"/>
      <c r="K95" s="21"/>
    </row>
    <row r="96">
      <c r="A96" s="210" t="s">
        <v>6565</v>
      </c>
      <c r="B96" s="11"/>
      <c r="C96" s="8" t="s">
        <v>11</v>
      </c>
      <c r="D96" s="8" t="str">
        <f t="shared" si="1"/>
        <v>-</v>
      </c>
      <c r="E96" s="9" t="s">
        <v>11</v>
      </c>
      <c r="F96" s="10"/>
      <c r="G96" s="9"/>
      <c r="H96" s="11"/>
      <c r="I96" s="9" t="s">
        <v>13</v>
      </c>
      <c r="J96" s="21"/>
      <c r="K96" s="21"/>
    </row>
    <row r="97">
      <c r="A97" s="210" t="s">
        <v>6565</v>
      </c>
      <c r="B97" s="11"/>
      <c r="C97" s="8" t="s">
        <v>11</v>
      </c>
      <c r="D97" s="8" t="str">
        <f t="shared" si="1"/>
        <v>-</v>
      </c>
      <c r="E97" s="9" t="s">
        <v>11</v>
      </c>
      <c r="F97" s="10"/>
      <c r="G97" s="9"/>
      <c r="H97" s="11"/>
      <c r="I97" s="9" t="s">
        <v>13</v>
      </c>
      <c r="J97" s="21"/>
      <c r="K97" s="21"/>
    </row>
    <row r="98">
      <c r="A98" s="210" t="s">
        <v>6565</v>
      </c>
      <c r="B98" s="11"/>
      <c r="C98" s="8" t="s">
        <v>11</v>
      </c>
      <c r="D98" s="8" t="str">
        <f t="shared" si="1"/>
        <v>-</v>
      </c>
      <c r="E98" s="9" t="s">
        <v>11</v>
      </c>
      <c r="F98" s="10"/>
      <c r="G98" s="9"/>
      <c r="H98" s="11"/>
      <c r="I98" s="9" t="s">
        <v>13</v>
      </c>
      <c r="J98" s="21"/>
      <c r="K98" s="21"/>
    </row>
    <row r="99">
      <c r="A99" s="210" t="s">
        <v>6565</v>
      </c>
      <c r="B99" s="11"/>
      <c r="C99" s="8" t="s">
        <v>11</v>
      </c>
      <c r="D99" s="8" t="str">
        <f t="shared" si="1"/>
        <v>-</v>
      </c>
      <c r="E99" s="9" t="s">
        <v>11</v>
      </c>
      <c r="F99" s="10"/>
      <c r="G99" s="9"/>
      <c r="H99" s="11"/>
      <c r="I99" s="9" t="s">
        <v>13</v>
      </c>
      <c r="J99" s="21"/>
      <c r="K99" s="21"/>
    </row>
    <row r="100">
      <c r="A100" s="210" t="s">
        <v>6565</v>
      </c>
      <c r="B100" s="11"/>
      <c r="C100" s="8" t="s">
        <v>11</v>
      </c>
      <c r="D100" s="8" t="str">
        <f t="shared" si="1"/>
        <v>-</v>
      </c>
      <c r="E100" s="9" t="s">
        <v>11</v>
      </c>
      <c r="F100" s="10"/>
      <c r="G100" s="9"/>
      <c r="H100" s="11"/>
      <c r="I100" s="9" t="s">
        <v>13</v>
      </c>
      <c r="J100" s="21"/>
      <c r="K100" s="21"/>
    </row>
    <row r="101">
      <c r="A101" s="210" t="s">
        <v>6565</v>
      </c>
      <c r="B101" s="11"/>
      <c r="C101" s="8" t="s">
        <v>11</v>
      </c>
      <c r="D101" s="8" t="str">
        <f t="shared" si="1"/>
        <v>-</v>
      </c>
      <c r="E101" s="9" t="s">
        <v>11</v>
      </c>
      <c r="F101" s="10"/>
      <c r="G101" s="9"/>
      <c r="H101" s="11"/>
      <c r="I101" s="9" t="s">
        <v>13</v>
      </c>
      <c r="J101" s="21"/>
      <c r="K101" s="21"/>
    </row>
    <row r="102">
      <c r="A102" s="210" t="s">
        <v>6565</v>
      </c>
      <c r="B102" s="11"/>
      <c r="C102" s="8" t="s">
        <v>11</v>
      </c>
      <c r="D102" s="8" t="str">
        <f t="shared" si="1"/>
        <v>-</v>
      </c>
      <c r="E102" s="9" t="s">
        <v>11</v>
      </c>
      <c r="F102" s="10"/>
      <c r="G102" s="9"/>
      <c r="H102" s="11"/>
      <c r="I102" s="9" t="s">
        <v>13</v>
      </c>
      <c r="J102" s="21"/>
      <c r="K102" s="21"/>
    </row>
    <row r="103">
      <c r="A103" s="210" t="s">
        <v>6565</v>
      </c>
      <c r="B103" s="11"/>
      <c r="C103" s="8" t="s">
        <v>11</v>
      </c>
      <c r="D103" s="8" t="str">
        <f t="shared" si="1"/>
        <v>-</v>
      </c>
      <c r="E103" s="9" t="s">
        <v>11</v>
      </c>
      <c r="F103" s="10"/>
      <c r="G103" s="9"/>
      <c r="H103" s="11"/>
      <c r="I103" s="9" t="s">
        <v>13</v>
      </c>
      <c r="J103" s="21"/>
      <c r="K103" s="21"/>
    </row>
    <row r="104">
      <c r="A104" s="210" t="s">
        <v>6565</v>
      </c>
      <c r="B104" s="11"/>
      <c r="C104" s="8" t="s">
        <v>11</v>
      </c>
      <c r="D104" s="8" t="str">
        <f t="shared" si="1"/>
        <v>-</v>
      </c>
      <c r="E104" s="9" t="s">
        <v>11</v>
      </c>
      <c r="F104" s="10"/>
      <c r="G104" s="9"/>
      <c r="H104" s="11"/>
      <c r="I104" s="9" t="s">
        <v>13</v>
      </c>
      <c r="J104" s="21"/>
      <c r="K104" s="21"/>
    </row>
    <row r="105">
      <c r="A105" s="210" t="s">
        <v>6565</v>
      </c>
      <c r="B105" s="11"/>
      <c r="C105" s="8" t="s">
        <v>11</v>
      </c>
      <c r="D105" s="8" t="str">
        <f t="shared" si="1"/>
        <v>-</v>
      </c>
      <c r="E105" s="9" t="s">
        <v>11</v>
      </c>
      <c r="F105" s="10"/>
      <c r="G105" s="9"/>
      <c r="H105" s="11"/>
      <c r="I105" s="9" t="s">
        <v>13</v>
      </c>
      <c r="J105" s="21"/>
      <c r="K105" s="21"/>
    </row>
    <row r="106">
      <c r="A106" s="210" t="s">
        <v>6565</v>
      </c>
      <c r="B106" s="11"/>
      <c r="C106" s="8" t="s">
        <v>11</v>
      </c>
      <c r="D106" s="8" t="str">
        <f t="shared" si="1"/>
        <v>-</v>
      </c>
      <c r="E106" s="9" t="s">
        <v>11</v>
      </c>
      <c r="F106" s="10"/>
      <c r="G106" s="9"/>
      <c r="H106" s="11"/>
      <c r="I106" s="9" t="s">
        <v>13</v>
      </c>
      <c r="J106" s="21"/>
      <c r="K106" s="21"/>
    </row>
    <row r="107">
      <c r="A107" s="210" t="s">
        <v>6565</v>
      </c>
      <c r="B107" s="11"/>
      <c r="C107" s="8" t="s">
        <v>11</v>
      </c>
      <c r="D107" s="8" t="str">
        <f t="shared" si="1"/>
        <v>-</v>
      </c>
      <c r="E107" s="9" t="s">
        <v>11</v>
      </c>
      <c r="F107" s="10"/>
      <c r="G107" s="9"/>
      <c r="H107" s="11"/>
      <c r="I107" s="9" t="s">
        <v>13</v>
      </c>
      <c r="J107" s="21"/>
      <c r="K107" s="21"/>
    </row>
    <row r="108">
      <c r="A108" s="210" t="s">
        <v>6565</v>
      </c>
      <c r="B108" s="11"/>
      <c r="C108" s="8" t="s">
        <v>11</v>
      </c>
      <c r="D108" s="8" t="str">
        <f t="shared" si="1"/>
        <v>-</v>
      </c>
      <c r="E108" s="9" t="s">
        <v>11</v>
      </c>
      <c r="F108" s="10"/>
      <c r="G108" s="9"/>
      <c r="H108" s="11"/>
      <c r="I108" s="9" t="s">
        <v>13</v>
      </c>
      <c r="J108" s="21"/>
      <c r="K108" s="21"/>
    </row>
    <row r="109">
      <c r="A109" s="210" t="s">
        <v>6565</v>
      </c>
      <c r="B109" s="11"/>
      <c r="C109" s="8" t="s">
        <v>11</v>
      </c>
      <c r="D109" s="8" t="str">
        <f t="shared" si="1"/>
        <v>-</v>
      </c>
      <c r="E109" s="9" t="s">
        <v>11</v>
      </c>
      <c r="F109" s="10"/>
      <c r="G109" s="9"/>
      <c r="H109" s="11"/>
      <c r="I109" s="9" t="s">
        <v>13</v>
      </c>
      <c r="J109" s="21"/>
      <c r="K109" s="21"/>
    </row>
    <row r="110">
      <c r="A110" s="210" t="s">
        <v>6565</v>
      </c>
      <c r="B110" s="11"/>
      <c r="C110" s="8" t="s">
        <v>11</v>
      </c>
      <c r="D110" s="8" t="str">
        <f t="shared" si="1"/>
        <v>-</v>
      </c>
      <c r="E110" s="9" t="s">
        <v>11</v>
      </c>
      <c r="F110" s="10"/>
      <c r="G110" s="9"/>
      <c r="H110" s="11"/>
      <c r="I110" s="9" t="s">
        <v>13</v>
      </c>
      <c r="J110" s="21"/>
      <c r="K110" s="21"/>
    </row>
    <row r="111">
      <c r="A111" s="210" t="s">
        <v>6565</v>
      </c>
      <c r="B111" s="11"/>
      <c r="C111" s="8" t="s">
        <v>11</v>
      </c>
      <c r="D111" s="8" t="str">
        <f t="shared" si="1"/>
        <v>-</v>
      </c>
      <c r="E111" s="9" t="s">
        <v>11</v>
      </c>
      <c r="F111" s="10"/>
      <c r="G111" s="9"/>
      <c r="H111" s="11"/>
      <c r="I111" s="9" t="s">
        <v>13</v>
      </c>
      <c r="J111" s="21"/>
      <c r="K111" s="21"/>
    </row>
    <row r="112">
      <c r="A112" s="210" t="s">
        <v>6565</v>
      </c>
      <c r="B112" s="11"/>
      <c r="C112" s="8" t="s">
        <v>11</v>
      </c>
      <c r="D112" s="8" t="str">
        <f t="shared" si="1"/>
        <v>-</v>
      </c>
      <c r="E112" s="9" t="s">
        <v>11</v>
      </c>
      <c r="F112" s="10"/>
      <c r="G112" s="9"/>
      <c r="H112" s="11"/>
      <c r="I112" s="9" t="s">
        <v>13</v>
      </c>
      <c r="J112" s="21"/>
      <c r="K112" s="21"/>
    </row>
    <row r="113">
      <c r="A113" s="210" t="s">
        <v>6565</v>
      </c>
      <c r="B113" s="11"/>
      <c r="C113" s="8" t="s">
        <v>11</v>
      </c>
      <c r="D113" s="8" t="str">
        <f t="shared" si="1"/>
        <v>-</v>
      </c>
      <c r="E113" s="9" t="s">
        <v>11</v>
      </c>
      <c r="F113" s="10"/>
      <c r="G113" s="9"/>
      <c r="H113" s="11"/>
      <c r="I113" s="9" t="s">
        <v>13</v>
      </c>
      <c r="J113" s="21"/>
      <c r="K113" s="21"/>
    </row>
    <row r="114">
      <c r="A114" s="210" t="s">
        <v>6565</v>
      </c>
      <c r="B114" s="11"/>
      <c r="C114" s="8" t="s">
        <v>11</v>
      </c>
      <c r="D114" s="8" t="str">
        <f t="shared" si="1"/>
        <v>-</v>
      </c>
      <c r="E114" s="9" t="s">
        <v>11</v>
      </c>
      <c r="F114" s="10"/>
      <c r="G114" s="9"/>
      <c r="H114" s="11"/>
      <c r="I114" s="9" t="s">
        <v>13</v>
      </c>
      <c r="J114" s="21"/>
      <c r="K114" s="21"/>
    </row>
    <row r="115">
      <c r="A115" s="210" t="s">
        <v>6565</v>
      </c>
      <c r="B115" s="11"/>
      <c r="C115" s="8" t="s">
        <v>11</v>
      </c>
      <c r="D115" s="8" t="str">
        <f t="shared" si="1"/>
        <v>-</v>
      </c>
      <c r="E115" s="9" t="s">
        <v>11</v>
      </c>
      <c r="F115" s="10"/>
      <c r="G115" s="9"/>
      <c r="H115" s="11"/>
      <c r="I115" s="9" t="s">
        <v>13</v>
      </c>
      <c r="J115" s="21"/>
      <c r="K115" s="21"/>
    </row>
    <row r="116">
      <c r="A116" s="210" t="s">
        <v>6565</v>
      </c>
      <c r="B116" s="11"/>
      <c r="C116" s="8" t="s">
        <v>11</v>
      </c>
      <c r="D116" s="8" t="str">
        <f t="shared" si="1"/>
        <v>-</v>
      </c>
      <c r="E116" s="9" t="s">
        <v>11</v>
      </c>
      <c r="F116" s="10"/>
      <c r="G116" s="9"/>
      <c r="H116" s="11"/>
      <c r="I116" s="9" t="s">
        <v>13</v>
      </c>
      <c r="J116" s="21"/>
      <c r="K116" s="21"/>
    </row>
    <row r="117">
      <c r="A117" s="210" t="s">
        <v>6565</v>
      </c>
      <c r="B117" s="11"/>
      <c r="C117" s="8" t="s">
        <v>11</v>
      </c>
      <c r="D117" s="8" t="str">
        <f t="shared" si="1"/>
        <v>-</v>
      </c>
      <c r="E117" s="9" t="s">
        <v>11</v>
      </c>
      <c r="F117" s="10"/>
      <c r="G117" s="9"/>
      <c r="H117" s="11"/>
      <c r="I117" s="9" t="s">
        <v>13</v>
      </c>
      <c r="J117" s="21"/>
      <c r="K117" s="21"/>
    </row>
    <row r="118">
      <c r="A118" s="210" t="s">
        <v>6565</v>
      </c>
      <c r="B118" s="11"/>
      <c r="C118" s="8" t="s">
        <v>11</v>
      </c>
      <c r="D118" s="8" t="str">
        <f t="shared" si="1"/>
        <v>-</v>
      </c>
      <c r="E118" s="9" t="s">
        <v>11</v>
      </c>
      <c r="F118" s="10"/>
      <c r="G118" s="9"/>
      <c r="H118" s="11"/>
      <c r="I118" s="9" t="s">
        <v>13</v>
      </c>
      <c r="J118" s="21"/>
      <c r="K118" s="21"/>
    </row>
    <row r="119">
      <c r="A119" s="210" t="s">
        <v>6565</v>
      </c>
      <c r="B119" s="11"/>
      <c r="C119" s="8" t="s">
        <v>11</v>
      </c>
      <c r="D119" s="8" t="str">
        <f t="shared" si="1"/>
        <v>-</v>
      </c>
      <c r="E119" s="9" t="s">
        <v>11</v>
      </c>
      <c r="F119" s="10"/>
      <c r="G119" s="9"/>
      <c r="H119" s="11"/>
      <c r="I119" s="9" t="s">
        <v>13</v>
      </c>
      <c r="J119" s="21"/>
      <c r="K119" s="21"/>
    </row>
    <row r="120">
      <c r="A120" s="210" t="s">
        <v>6565</v>
      </c>
      <c r="B120" s="11"/>
      <c r="C120" s="8" t="s">
        <v>11</v>
      </c>
      <c r="D120" s="8" t="str">
        <f t="shared" si="1"/>
        <v>-</v>
      </c>
      <c r="E120" s="9" t="s">
        <v>11</v>
      </c>
      <c r="F120" s="10"/>
      <c r="G120" s="9"/>
      <c r="H120" s="11"/>
      <c r="I120" s="9" t="s">
        <v>13</v>
      </c>
      <c r="J120" s="21"/>
      <c r="K120" s="21"/>
    </row>
    <row r="121">
      <c r="A121" s="210" t="s">
        <v>6565</v>
      </c>
      <c r="B121" s="11"/>
      <c r="C121" s="8" t="s">
        <v>11</v>
      </c>
      <c r="D121" s="8" t="str">
        <f t="shared" si="1"/>
        <v>-</v>
      </c>
      <c r="E121" s="9" t="s">
        <v>11</v>
      </c>
      <c r="F121" s="10"/>
      <c r="G121" s="9"/>
      <c r="H121" s="11"/>
      <c r="I121" s="9" t="s">
        <v>13</v>
      </c>
      <c r="J121" s="21"/>
      <c r="K121" s="21"/>
    </row>
    <row r="122">
      <c r="A122" s="210" t="s">
        <v>6565</v>
      </c>
      <c r="B122" s="11"/>
      <c r="C122" s="8" t="s">
        <v>11</v>
      </c>
      <c r="D122" s="8" t="str">
        <f t="shared" si="1"/>
        <v>-</v>
      </c>
      <c r="E122" s="9" t="s">
        <v>11</v>
      </c>
      <c r="F122" s="10"/>
      <c r="G122" s="9"/>
      <c r="H122" s="11"/>
      <c r="I122" s="9" t="s">
        <v>13</v>
      </c>
      <c r="J122" s="21"/>
      <c r="K122" s="21"/>
    </row>
    <row r="123">
      <c r="A123" s="210" t="s">
        <v>6565</v>
      </c>
      <c r="B123" s="11"/>
      <c r="C123" s="8" t="s">
        <v>11</v>
      </c>
      <c r="D123" s="8" t="str">
        <f t="shared" si="1"/>
        <v>-</v>
      </c>
      <c r="E123" s="9" t="s">
        <v>11</v>
      </c>
      <c r="F123" s="10"/>
      <c r="G123" s="9"/>
      <c r="H123" s="11"/>
      <c r="I123" s="9" t="s">
        <v>13</v>
      </c>
      <c r="J123" s="21"/>
      <c r="K123" s="21"/>
    </row>
    <row r="124">
      <c r="A124" s="210" t="s">
        <v>6565</v>
      </c>
      <c r="B124" s="11"/>
      <c r="C124" s="8" t="s">
        <v>11</v>
      </c>
      <c r="D124" s="8" t="str">
        <f t="shared" si="1"/>
        <v>-</v>
      </c>
      <c r="E124" s="9" t="s">
        <v>11</v>
      </c>
      <c r="F124" s="10"/>
      <c r="G124" s="9"/>
      <c r="H124" s="11"/>
      <c r="I124" s="9" t="s">
        <v>13</v>
      </c>
      <c r="J124" s="21"/>
      <c r="K124" s="21"/>
    </row>
    <row r="125">
      <c r="A125" s="210" t="s">
        <v>6565</v>
      </c>
      <c r="B125" s="11"/>
      <c r="C125" s="8" t="s">
        <v>11</v>
      </c>
      <c r="D125" s="8" t="str">
        <f t="shared" si="1"/>
        <v>-</v>
      </c>
      <c r="E125" s="9" t="s">
        <v>11</v>
      </c>
      <c r="F125" s="10"/>
      <c r="G125" s="9"/>
      <c r="H125" s="11"/>
      <c r="I125" s="9" t="s">
        <v>13</v>
      </c>
      <c r="J125" s="21"/>
      <c r="K125" s="21"/>
    </row>
    <row r="126">
      <c r="A126" s="210" t="s">
        <v>6565</v>
      </c>
      <c r="B126" s="11"/>
      <c r="C126" s="8" t="s">
        <v>11</v>
      </c>
      <c r="D126" s="8" t="str">
        <f t="shared" si="1"/>
        <v>-</v>
      </c>
      <c r="E126" s="9" t="s">
        <v>11</v>
      </c>
      <c r="F126" s="10"/>
      <c r="G126" s="9"/>
      <c r="H126" s="11"/>
      <c r="I126" s="9" t="s">
        <v>13</v>
      </c>
      <c r="J126" s="21"/>
      <c r="K126" s="21"/>
    </row>
    <row r="127">
      <c r="A127" s="210" t="s">
        <v>6565</v>
      </c>
      <c r="B127" s="11"/>
      <c r="C127" s="8" t="s">
        <v>11</v>
      </c>
      <c r="D127" s="8" t="str">
        <f t="shared" si="1"/>
        <v>-</v>
      </c>
      <c r="E127" s="9" t="s">
        <v>11</v>
      </c>
      <c r="F127" s="10"/>
      <c r="G127" s="9"/>
      <c r="H127" s="11"/>
      <c r="I127" s="9" t="s">
        <v>13</v>
      </c>
      <c r="J127" s="21"/>
      <c r="K127" s="21"/>
    </row>
    <row r="128">
      <c r="A128" s="210" t="s">
        <v>6565</v>
      </c>
      <c r="B128" s="11"/>
      <c r="C128" s="8" t="s">
        <v>11</v>
      </c>
      <c r="D128" s="8" t="str">
        <f t="shared" si="1"/>
        <v>-</v>
      </c>
      <c r="E128" s="9" t="s">
        <v>11</v>
      </c>
      <c r="F128" s="10"/>
      <c r="G128" s="9"/>
      <c r="H128" s="11"/>
      <c r="I128" s="9" t="s">
        <v>13</v>
      </c>
      <c r="J128" s="21"/>
      <c r="K128" s="21"/>
    </row>
    <row r="129">
      <c r="A129" s="210" t="s">
        <v>6565</v>
      </c>
      <c r="B129" s="11"/>
      <c r="C129" s="8" t="s">
        <v>11</v>
      </c>
      <c r="D129" s="8" t="str">
        <f t="shared" si="1"/>
        <v>-</v>
      </c>
      <c r="E129" s="9" t="s">
        <v>11</v>
      </c>
      <c r="F129" s="10"/>
      <c r="G129" s="9"/>
      <c r="H129" s="11"/>
      <c r="I129" s="9" t="s">
        <v>13</v>
      </c>
      <c r="J129" s="21"/>
      <c r="K129" s="21"/>
    </row>
    <row r="130">
      <c r="A130" s="210" t="s">
        <v>6565</v>
      </c>
      <c r="B130" s="11"/>
      <c r="C130" s="8" t="s">
        <v>11</v>
      </c>
      <c r="D130" s="8" t="str">
        <f t="shared" si="1"/>
        <v>-</v>
      </c>
      <c r="E130" s="9" t="s">
        <v>11</v>
      </c>
      <c r="F130" s="10"/>
      <c r="G130" s="9"/>
      <c r="H130" s="11"/>
      <c r="I130" s="9" t="s">
        <v>13</v>
      </c>
      <c r="J130" s="21"/>
      <c r="K130" s="21"/>
    </row>
    <row r="131">
      <c r="A131" s="210" t="s">
        <v>6565</v>
      </c>
      <c r="B131" s="11"/>
      <c r="C131" s="8" t="s">
        <v>11</v>
      </c>
      <c r="D131" s="8" t="str">
        <f t="shared" si="1"/>
        <v>-</v>
      </c>
      <c r="E131" s="9" t="s">
        <v>11</v>
      </c>
      <c r="F131" s="10"/>
      <c r="G131" s="9"/>
      <c r="H131" s="11"/>
      <c r="I131" s="9" t="s">
        <v>13</v>
      </c>
      <c r="J131" s="21"/>
      <c r="K131" s="21"/>
    </row>
    <row r="132">
      <c r="A132" s="210" t="s">
        <v>6565</v>
      </c>
      <c r="B132" s="11"/>
      <c r="C132" s="8" t="s">
        <v>11</v>
      </c>
      <c r="D132" s="8" t="str">
        <f t="shared" si="1"/>
        <v>-</v>
      </c>
      <c r="E132" s="9" t="s">
        <v>11</v>
      </c>
      <c r="F132" s="10"/>
      <c r="G132" s="9"/>
      <c r="H132" s="11"/>
      <c r="I132" s="9" t="s">
        <v>13</v>
      </c>
      <c r="J132" s="21"/>
      <c r="K132" s="21"/>
    </row>
    <row r="133">
      <c r="A133" s="210" t="s">
        <v>6565</v>
      </c>
      <c r="B133" s="11"/>
      <c r="C133" s="8" t="s">
        <v>11</v>
      </c>
      <c r="D133" s="8" t="str">
        <f t="shared" si="1"/>
        <v>-</v>
      </c>
      <c r="E133" s="9" t="s">
        <v>11</v>
      </c>
      <c r="F133" s="10"/>
      <c r="G133" s="9"/>
      <c r="H133" s="11"/>
      <c r="I133" s="9" t="s">
        <v>13</v>
      </c>
      <c r="J133" s="21"/>
      <c r="K133" s="21"/>
    </row>
    <row r="134">
      <c r="A134" s="210" t="s">
        <v>6565</v>
      </c>
      <c r="B134" s="11"/>
      <c r="C134" s="8" t="s">
        <v>11</v>
      </c>
      <c r="D134" s="8" t="str">
        <f t="shared" si="1"/>
        <v>-</v>
      </c>
      <c r="E134" s="9" t="s">
        <v>11</v>
      </c>
      <c r="F134" s="10"/>
      <c r="G134" s="9"/>
      <c r="H134" s="11"/>
      <c r="I134" s="9" t="s">
        <v>13</v>
      </c>
      <c r="J134" s="21"/>
      <c r="K134" s="21"/>
    </row>
    <row r="135">
      <c r="A135" s="210" t="s">
        <v>6565</v>
      </c>
      <c r="B135" s="11"/>
      <c r="C135" s="8" t="s">
        <v>11</v>
      </c>
      <c r="D135" s="8" t="str">
        <f t="shared" si="1"/>
        <v>-</v>
      </c>
      <c r="E135" s="9" t="s">
        <v>11</v>
      </c>
      <c r="F135" s="10"/>
      <c r="G135" s="9"/>
      <c r="H135" s="11"/>
      <c r="I135" s="9" t="s">
        <v>13</v>
      </c>
      <c r="J135" s="21"/>
      <c r="K135" s="21"/>
    </row>
    <row r="136">
      <c r="A136" s="210" t="s">
        <v>6565</v>
      </c>
      <c r="B136" s="11"/>
      <c r="C136" s="8" t="s">
        <v>11</v>
      </c>
      <c r="D136" s="8" t="str">
        <f t="shared" si="1"/>
        <v>-</v>
      </c>
      <c r="E136" s="9" t="s">
        <v>11</v>
      </c>
      <c r="F136" s="10"/>
      <c r="G136" s="9"/>
      <c r="H136" s="11"/>
      <c r="I136" s="9" t="s">
        <v>13</v>
      </c>
      <c r="J136" s="21"/>
      <c r="K136" s="21"/>
    </row>
    <row r="137">
      <c r="A137" s="210" t="s">
        <v>6565</v>
      </c>
      <c r="B137" s="11"/>
      <c r="C137" s="8" t="s">
        <v>11</v>
      </c>
      <c r="D137" s="8" t="str">
        <f t="shared" si="1"/>
        <v>-</v>
      </c>
      <c r="E137" s="9" t="s">
        <v>11</v>
      </c>
      <c r="F137" s="10"/>
      <c r="G137" s="9"/>
      <c r="H137" s="11"/>
      <c r="I137" s="9" t="s">
        <v>13</v>
      </c>
      <c r="J137" s="21"/>
      <c r="K137" s="21"/>
    </row>
    <row r="138">
      <c r="A138" s="210" t="s">
        <v>6565</v>
      </c>
      <c r="B138" s="11"/>
      <c r="C138" s="8" t="s">
        <v>11</v>
      </c>
      <c r="D138" s="8" t="str">
        <f t="shared" si="1"/>
        <v>-</v>
      </c>
      <c r="E138" s="9" t="s">
        <v>11</v>
      </c>
      <c r="F138" s="10"/>
      <c r="G138" s="9"/>
      <c r="H138" s="11"/>
      <c r="I138" s="9" t="s">
        <v>13</v>
      </c>
      <c r="J138" s="21"/>
      <c r="K138" s="21"/>
    </row>
    <row r="139">
      <c r="A139" s="210" t="s">
        <v>6565</v>
      </c>
      <c r="B139" s="11"/>
      <c r="C139" s="8" t="s">
        <v>11</v>
      </c>
      <c r="D139" s="8" t="str">
        <f t="shared" si="1"/>
        <v>-</v>
      </c>
      <c r="E139" s="9" t="s">
        <v>11</v>
      </c>
      <c r="F139" s="10"/>
      <c r="G139" s="9"/>
      <c r="H139" s="11"/>
      <c r="I139" s="9" t="s">
        <v>13</v>
      </c>
      <c r="J139" s="21"/>
      <c r="K139" s="21"/>
    </row>
    <row r="140">
      <c r="A140" s="210" t="s">
        <v>6565</v>
      </c>
      <c r="B140" s="11"/>
      <c r="C140" s="8" t="s">
        <v>11</v>
      </c>
      <c r="D140" s="8" t="str">
        <f t="shared" si="1"/>
        <v>-</v>
      </c>
      <c r="E140" s="9" t="s">
        <v>11</v>
      </c>
      <c r="F140" s="10"/>
      <c r="G140" s="9"/>
      <c r="H140" s="11"/>
      <c r="I140" s="9" t="s">
        <v>13</v>
      </c>
      <c r="J140" s="21"/>
      <c r="K140" s="21"/>
    </row>
    <row r="141">
      <c r="A141" s="210" t="s">
        <v>6565</v>
      </c>
      <c r="B141" s="11"/>
      <c r="C141" s="8" t="s">
        <v>11</v>
      </c>
      <c r="D141" s="8" t="str">
        <f t="shared" si="1"/>
        <v>-</v>
      </c>
      <c r="E141" s="9" t="s">
        <v>11</v>
      </c>
      <c r="F141" s="10"/>
      <c r="G141" s="9"/>
      <c r="H141" s="11"/>
      <c r="I141" s="9" t="s">
        <v>13</v>
      </c>
      <c r="J141" s="21"/>
      <c r="K141" s="21"/>
    </row>
    <row r="142">
      <c r="A142" s="210" t="s">
        <v>6565</v>
      </c>
      <c r="B142" s="11"/>
      <c r="C142" s="8" t="s">
        <v>11</v>
      </c>
      <c r="D142" s="8" t="str">
        <f t="shared" si="1"/>
        <v>-</v>
      </c>
      <c r="E142" s="9" t="s">
        <v>11</v>
      </c>
      <c r="F142" s="10"/>
      <c r="G142" s="9"/>
      <c r="H142" s="11"/>
      <c r="I142" s="9" t="s">
        <v>13</v>
      </c>
      <c r="J142" s="21"/>
      <c r="K142" s="21"/>
    </row>
    <row r="143">
      <c r="A143" s="210" t="s">
        <v>6565</v>
      </c>
      <c r="B143" s="11"/>
      <c r="C143" s="8" t="s">
        <v>11</v>
      </c>
      <c r="D143" s="8" t="str">
        <f t="shared" si="1"/>
        <v>-</v>
      </c>
      <c r="E143" s="9" t="s">
        <v>11</v>
      </c>
      <c r="F143" s="10"/>
      <c r="G143" s="9"/>
      <c r="H143" s="11"/>
      <c r="I143" s="9" t="s">
        <v>13</v>
      </c>
      <c r="J143" s="21"/>
      <c r="K143" s="21"/>
    </row>
    <row r="144">
      <c r="A144" s="210" t="s">
        <v>6565</v>
      </c>
      <c r="B144" s="11"/>
      <c r="C144" s="8" t="s">
        <v>11</v>
      </c>
      <c r="D144" s="8" t="str">
        <f t="shared" si="1"/>
        <v>-</v>
      </c>
      <c r="E144" s="9" t="s">
        <v>11</v>
      </c>
      <c r="F144" s="10"/>
      <c r="G144" s="9"/>
      <c r="H144" s="11"/>
      <c r="I144" s="9" t="s">
        <v>13</v>
      </c>
      <c r="J144" s="21"/>
      <c r="K144" s="21"/>
    </row>
    <row r="145">
      <c r="A145" s="210" t="s">
        <v>6565</v>
      </c>
      <c r="B145" s="11"/>
      <c r="C145" s="8" t="s">
        <v>11</v>
      </c>
      <c r="D145" s="8" t="str">
        <f t="shared" si="1"/>
        <v>-</v>
      </c>
      <c r="E145" s="9" t="s">
        <v>11</v>
      </c>
      <c r="F145" s="10"/>
      <c r="G145" s="9"/>
      <c r="H145" s="11"/>
      <c r="I145" s="9" t="s">
        <v>13</v>
      </c>
      <c r="J145" s="21"/>
      <c r="K145" s="21"/>
    </row>
    <row r="146">
      <c r="A146" s="210" t="s">
        <v>6565</v>
      </c>
      <c r="B146" s="11"/>
      <c r="C146" s="8" t="s">
        <v>11</v>
      </c>
      <c r="D146" s="8" t="str">
        <f t="shared" si="1"/>
        <v>-</v>
      </c>
      <c r="E146" s="9" t="s">
        <v>11</v>
      </c>
      <c r="F146" s="10"/>
      <c r="G146" s="9"/>
      <c r="H146" s="11"/>
      <c r="I146" s="9" t="s">
        <v>13</v>
      </c>
      <c r="J146" s="21"/>
      <c r="K146" s="21"/>
    </row>
    <row r="147">
      <c r="A147" s="210" t="s">
        <v>6565</v>
      </c>
      <c r="B147" s="11"/>
      <c r="C147" s="8" t="s">
        <v>11</v>
      </c>
      <c r="D147" s="8" t="str">
        <f t="shared" si="1"/>
        <v>-</v>
      </c>
      <c r="E147" s="9" t="s">
        <v>11</v>
      </c>
      <c r="F147" s="10"/>
      <c r="G147" s="9"/>
      <c r="H147" s="11"/>
      <c r="I147" s="9" t="s">
        <v>13</v>
      </c>
      <c r="J147" s="21"/>
      <c r="K147" s="21"/>
    </row>
    <row r="148">
      <c r="A148" s="210" t="s">
        <v>6565</v>
      </c>
      <c r="B148" s="11"/>
      <c r="C148" s="8" t="s">
        <v>11</v>
      </c>
      <c r="D148" s="8" t="str">
        <f t="shared" si="1"/>
        <v>-</v>
      </c>
      <c r="E148" s="9" t="s">
        <v>11</v>
      </c>
      <c r="F148" s="10"/>
      <c r="G148" s="9"/>
      <c r="H148" s="11"/>
      <c r="I148" s="9" t="s">
        <v>13</v>
      </c>
      <c r="J148" s="21"/>
      <c r="K148" s="21"/>
    </row>
    <row r="149">
      <c r="A149" s="210" t="s">
        <v>6565</v>
      </c>
      <c r="B149" s="11"/>
      <c r="C149" s="8" t="s">
        <v>11</v>
      </c>
      <c r="D149" s="8" t="str">
        <f t="shared" si="1"/>
        <v>-</v>
      </c>
      <c r="E149" s="9" t="s">
        <v>11</v>
      </c>
      <c r="F149" s="10"/>
      <c r="G149" s="9"/>
      <c r="H149" s="11"/>
      <c r="I149" s="9" t="s">
        <v>13</v>
      </c>
      <c r="J149" s="21"/>
      <c r="K149" s="21"/>
    </row>
    <row r="150">
      <c r="A150" s="210" t="s">
        <v>6565</v>
      </c>
      <c r="B150" s="11"/>
      <c r="C150" s="8" t="s">
        <v>11</v>
      </c>
      <c r="D150" s="8" t="str">
        <f t="shared" si="1"/>
        <v>-</v>
      </c>
      <c r="E150" s="9" t="s">
        <v>11</v>
      </c>
      <c r="F150" s="10"/>
      <c r="G150" s="9"/>
      <c r="H150" s="11"/>
      <c r="I150" s="9" t="s">
        <v>13</v>
      </c>
      <c r="J150" s="21"/>
      <c r="K150" s="21"/>
    </row>
    <row r="151">
      <c r="A151" s="210" t="s">
        <v>6565</v>
      </c>
      <c r="B151" s="11"/>
      <c r="C151" s="8" t="s">
        <v>11</v>
      </c>
      <c r="D151" s="8" t="str">
        <f t="shared" si="1"/>
        <v>-</v>
      </c>
      <c r="E151" s="9" t="s">
        <v>11</v>
      </c>
      <c r="F151" s="10"/>
      <c r="G151" s="9"/>
      <c r="H151" s="11"/>
      <c r="I151" s="9" t="s">
        <v>13</v>
      </c>
      <c r="J151" s="21"/>
      <c r="K151" s="21"/>
    </row>
    <row r="152">
      <c r="A152" s="210" t="s">
        <v>6565</v>
      </c>
      <c r="B152" s="11"/>
      <c r="C152" s="8" t="s">
        <v>11</v>
      </c>
      <c r="D152" s="8" t="str">
        <f t="shared" si="1"/>
        <v>-</v>
      </c>
      <c r="E152" s="9" t="s">
        <v>11</v>
      </c>
      <c r="F152" s="10"/>
      <c r="G152" s="9"/>
      <c r="H152" s="11"/>
      <c r="I152" s="9" t="s">
        <v>13</v>
      </c>
      <c r="J152" s="21"/>
      <c r="K152" s="21"/>
    </row>
    <row r="153">
      <c r="A153" s="210" t="s">
        <v>6565</v>
      </c>
      <c r="B153" s="11"/>
      <c r="C153" s="8" t="s">
        <v>11</v>
      </c>
      <c r="D153" s="8" t="str">
        <f t="shared" si="1"/>
        <v>-</v>
      </c>
      <c r="E153" s="9" t="s">
        <v>11</v>
      </c>
      <c r="F153" s="10"/>
      <c r="G153" s="9"/>
      <c r="H153" s="11"/>
      <c r="I153" s="9" t="s">
        <v>13</v>
      </c>
      <c r="J153" s="21"/>
      <c r="K153" s="21"/>
    </row>
    <row r="154">
      <c r="A154" s="210" t="s">
        <v>6565</v>
      </c>
      <c r="B154" s="11"/>
      <c r="C154" s="8" t="s">
        <v>11</v>
      </c>
      <c r="D154" s="8" t="str">
        <f t="shared" si="1"/>
        <v>-</v>
      </c>
      <c r="E154" s="9" t="s">
        <v>11</v>
      </c>
      <c r="F154" s="10"/>
      <c r="G154" s="9"/>
      <c r="H154" s="11"/>
      <c r="I154" s="9" t="s">
        <v>13</v>
      </c>
      <c r="J154" s="21"/>
      <c r="K154" s="21"/>
    </row>
    <row r="155">
      <c r="A155" s="210" t="s">
        <v>6565</v>
      </c>
      <c r="B155" s="11"/>
      <c r="C155" s="8" t="s">
        <v>11</v>
      </c>
      <c r="D155" s="8" t="str">
        <f t="shared" si="1"/>
        <v>-</v>
      </c>
      <c r="E155" s="9" t="s">
        <v>11</v>
      </c>
      <c r="F155" s="10"/>
      <c r="G155" s="9"/>
      <c r="H155" s="11"/>
      <c r="I155" s="9" t="s">
        <v>13</v>
      </c>
      <c r="J155" s="21"/>
      <c r="K155" s="21"/>
    </row>
    <row r="156">
      <c r="A156" s="210" t="s">
        <v>6565</v>
      </c>
      <c r="B156" s="11"/>
      <c r="C156" s="8" t="s">
        <v>11</v>
      </c>
      <c r="D156" s="8" t="str">
        <f t="shared" si="1"/>
        <v>-</v>
      </c>
      <c r="E156" s="9" t="s">
        <v>11</v>
      </c>
      <c r="F156" s="10"/>
      <c r="G156" s="9"/>
      <c r="H156" s="11"/>
      <c r="I156" s="9" t="s">
        <v>13</v>
      </c>
      <c r="J156" s="21"/>
      <c r="K156" s="21"/>
    </row>
    <row r="157">
      <c r="A157" s="210" t="s">
        <v>6565</v>
      </c>
      <c r="B157" s="11"/>
      <c r="C157" s="8" t="s">
        <v>11</v>
      </c>
      <c r="D157" s="8" t="str">
        <f t="shared" si="1"/>
        <v>-</v>
      </c>
      <c r="E157" s="9" t="s">
        <v>11</v>
      </c>
      <c r="F157" s="10"/>
      <c r="G157" s="9"/>
      <c r="H157" s="11"/>
      <c r="I157" s="9" t="s">
        <v>13</v>
      </c>
      <c r="J157" s="21"/>
      <c r="K157" s="21"/>
    </row>
    <row r="158">
      <c r="A158" s="210" t="s">
        <v>6565</v>
      </c>
      <c r="B158" s="11"/>
      <c r="C158" s="8" t="s">
        <v>11</v>
      </c>
      <c r="D158" s="8" t="str">
        <f t="shared" si="1"/>
        <v>-</v>
      </c>
      <c r="E158" s="9" t="s">
        <v>11</v>
      </c>
      <c r="F158" s="10"/>
      <c r="G158" s="9"/>
      <c r="H158" s="11"/>
      <c r="I158" s="9" t="s">
        <v>13</v>
      </c>
      <c r="J158" s="21"/>
      <c r="K158" s="21"/>
    </row>
    <row r="159">
      <c r="A159" s="210" t="s">
        <v>6565</v>
      </c>
      <c r="B159" s="11"/>
      <c r="C159" s="8" t="s">
        <v>11</v>
      </c>
      <c r="D159" s="8" t="str">
        <f t="shared" si="1"/>
        <v>-</v>
      </c>
      <c r="E159" s="9" t="s">
        <v>11</v>
      </c>
      <c r="F159" s="10"/>
      <c r="G159" s="9"/>
      <c r="H159" s="11"/>
      <c r="I159" s="9" t="s">
        <v>13</v>
      </c>
      <c r="J159" s="21"/>
      <c r="K159" s="21"/>
    </row>
    <row r="160">
      <c r="A160" s="210" t="s">
        <v>6565</v>
      </c>
      <c r="B160" s="11"/>
      <c r="C160" s="8" t="s">
        <v>11</v>
      </c>
      <c r="D160" s="8" t="str">
        <f t="shared" si="1"/>
        <v>-</v>
      </c>
      <c r="E160" s="9" t="s">
        <v>11</v>
      </c>
      <c r="F160" s="10"/>
      <c r="G160" s="9"/>
      <c r="H160" s="11"/>
      <c r="I160" s="9" t="s">
        <v>13</v>
      </c>
      <c r="J160" s="21"/>
      <c r="K160" s="21"/>
    </row>
    <row r="161">
      <c r="A161" s="210" t="s">
        <v>6565</v>
      </c>
      <c r="B161" s="11"/>
      <c r="C161" s="8" t="s">
        <v>11</v>
      </c>
      <c r="D161" s="8" t="str">
        <f t="shared" si="1"/>
        <v>-</v>
      </c>
      <c r="E161" s="9" t="s">
        <v>11</v>
      </c>
      <c r="F161" s="10"/>
      <c r="G161" s="9"/>
      <c r="H161" s="11"/>
      <c r="I161" s="9" t="s">
        <v>13</v>
      </c>
      <c r="J161" s="21"/>
      <c r="K161" s="21"/>
    </row>
    <row r="162">
      <c r="A162" s="210" t="s">
        <v>6565</v>
      </c>
      <c r="B162" s="11"/>
      <c r="C162" s="8" t="s">
        <v>11</v>
      </c>
      <c r="D162" s="8" t="str">
        <f t="shared" si="1"/>
        <v>-</v>
      </c>
      <c r="E162" s="9" t="s">
        <v>11</v>
      </c>
      <c r="F162" s="10"/>
      <c r="G162" s="9"/>
      <c r="H162" s="11"/>
      <c r="I162" s="9" t="s">
        <v>13</v>
      </c>
      <c r="J162" s="21"/>
      <c r="K162" s="21"/>
    </row>
    <row r="163">
      <c r="A163" s="210" t="s">
        <v>6565</v>
      </c>
      <c r="B163" s="11"/>
      <c r="C163" s="8" t="s">
        <v>11</v>
      </c>
      <c r="D163" s="8" t="str">
        <f t="shared" si="1"/>
        <v>-</v>
      </c>
      <c r="E163" s="9" t="s">
        <v>11</v>
      </c>
      <c r="F163" s="10"/>
      <c r="G163" s="9"/>
      <c r="H163" s="11"/>
      <c r="I163" s="9" t="s">
        <v>13</v>
      </c>
      <c r="J163" s="21"/>
      <c r="K163" s="21"/>
    </row>
    <row r="164">
      <c r="A164" s="210" t="s">
        <v>6565</v>
      </c>
      <c r="B164" s="11"/>
      <c r="C164" s="8" t="s">
        <v>11</v>
      </c>
      <c r="D164" s="8" t="str">
        <f t="shared" si="1"/>
        <v>-</v>
      </c>
      <c r="E164" s="9" t="s">
        <v>11</v>
      </c>
      <c r="F164" s="10"/>
      <c r="G164" s="9"/>
      <c r="H164" s="11"/>
      <c r="I164" s="9" t="s">
        <v>13</v>
      </c>
      <c r="J164" s="21"/>
      <c r="K164" s="21"/>
    </row>
    <row r="165">
      <c r="A165" s="210" t="s">
        <v>6565</v>
      </c>
      <c r="B165" s="11"/>
      <c r="C165" s="8" t="s">
        <v>11</v>
      </c>
      <c r="D165" s="8" t="str">
        <f t="shared" si="1"/>
        <v>-</v>
      </c>
      <c r="E165" s="9" t="s">
        <v>11</v>
      </c>
      <c r="F165" s="10"/>
      <c r="G165" s="9"/>
      <c r="H165" s="11"/>
      <c r="I165" s="9" t="s">
        <v>13</v>
      </c>
      <c r="J165" s="21"/>
      <c r="K165" s="21"/>
    </row>
    <row r="166">
      <c r="A166" s="210" t="s">
        <v>6565</v>
      </c>
      <c r="B166" s="11"/>
      <c r="C166" s="8" t="s">
        <v>11</v>
      </c>
      <c r="D166" s="8" t="str">
        <f t="shared" si="1"/>
        <v>-</v>
      </c>
      <c r="E166" s="9" t="s">
        <v>11</v>
      </c>
      <c r="F166" s="10"/>
      <c r="G166" s="9"/>
      <c r="H166" s="11"/>
      <c r="I166" s="9" t="s">
        <v>13</v>
      </c>
      <c r="J166" s="21"/>
      <c r="K166" s="21"/>
    </row>
    <row r="167">
      <c r="A167" s="210" t="s">
        <v>6565</v>
      </c>
      <c r="B167" s="11"/>
      <c r="C167" s="8" t="s">
        <v>11</v>
      </c>
      <c r="D167" s="8" t="str">
        <f t="shared" si="1"/>
        <v>-</v>
      </c>
      <c r="E167" s="9" t="s">
        <v>11</v>
      </c>
      <c r="F167" s="10"/>
      <c r="G167" s="9"/>
      <c r="H167" s="11"/>
      <c r="I167" s="9" t="s">
        <v>13</v>
      </c>
      <c r="J167" s="21"/>
      <c r="K167" s="21"/>
    </row>
    <row r="168">
      <c r="A168" s="210" t="s">
        <v>6565</v>
      </c>
      <c r="B168" s="11"/>
      <c r="C168" s="8" t="s">
        <v>11</v>
      </c>
      <c r="D168" s="8" t="str">
        <f t="shared" si="1"/>
        <v>-</v>
      </c>
      <c r="E168" s="9" t="s">
        <v>11</v>
      </c>
      <c r="F168" s="10"/>
      <c r="G168" s="9"/>
      <c r="H168" s="11"/>
      <c r="I168" s="9" t="s">
        <v>13</v>
      </c>
      <c r="J168" s="21"/>
      <c r="K168" s="21"/>
    </row>
    <row r="169">
      <c r="A169" s="210" t="s">
        <v>6565</v>
      </c>
      <c r="B169" s="11"/>
      <c r="C169" s="8" t="s">
        <v>11</v>
      </c>
      <c r="D169" s="8" t="str">
        <f t="shared" si="1"/>
        <v>-</v>
      </c>
      <c r="E169" s="9" t="s">
        <v>11</v>
      </c>
      <c r="F169" s="10"/>
      <c r="G169" s="9"/>
      <c r="H169" s="11"/>
      <c r="I169" s="9" t="s">
        <v>13</v>
      </c>
      <c r="J169" s="21"/>
      <c r="K169" s="21"/>
    </row>
    <row r="170">
      <c r="A170" s="210" t="s">
        <v>6565</v>
      </c>
      <c r="B170" s="11"/>
      <c r="C170" s="8" t="s">
        <v>11</v>
      </c>
      <c r="D170" s="8" t="str">
        <f t="shared" si="1"/>
        <v>-</v>
      </c>
      <c r="E170" s="9" t="s">
        <v>11</v>
      </c>
      <c r="F170" s="10"/>
      <c r="G170" s="9"/>
      <c r="H170" s="11"/>
      <c r="I170" s="9" t="s">
        <v>13</v>
      </c>
      <c r="J170" s="21"/>
      <c r="K170" s="21"/>
    </row>
    <row r="171">
      <c r="A171" s="210" t="s">
        <v>6565</v>
      </c>
      <c r="B171" s="11"/>
      <c r="C171" s="8" t="s">
        <v>11</v>
      </c>
      <c r="D171" s="8" t="str">
        <f t="shared" si="1"/>
        <v>-</v>
      </c>
      <c r="E171" s="9" t="s">
        <v>11</v>
      </c>
      <c r="F171" s="10"/>
      <c r="G171" s="9"/>
      <c r="H171" s="11"/>
      <c r="I171" s="9" t="s">
        <v>13</v>
      </c>
      <c r="J171" s="21"/>
      <c r="K171" s="21"/>
    </row>
    <row r="172">
      <c r="A172" s="210" t="s">
        <v>6565</v>
      </c>
      <c r="B172" s="11"/>
      <c r="C172" s="8" t="s">
        <v>11</v>
      </c>
      <c r="D172" s="8" t="str">
        <f t="shared" si="1"/>
        <v>-</v>
      </c>
      <c r="E172" s="9" t="s">
        <v>11</v>
      </c>
      <c r="F172" s="10"/>
      <c r="G172" s="9"/>
      <c r="H172" s="11"/>
      <c r="I172" s="9" t="s">
        <v>13</v>
      </c>
      <c r="J172" s="21"/>
      <c r="K172" s="21"/>
    </row>
    <row r="173">
      <c r="A173" s="210" t="s">
        <v>6565</v>
      </c>
      <c r="B173" s="11"/>
      <c r="C173" s="8" t="s">
        <v>11</v>
      </c>
      <c r="D173" s="8" t="str">
        <f t="shared" si="1"/>
        <v>-</v>
      </c>
      <c r="E173" s="9" t="s">
        <v>11</v>
      </c>
      <c r="F173" s="10"/>
      <c r="G173" s="9"/>
      <c r="H173" s="11"/>
      <c r="I173" s="9" t="s">
        <v>13</v>
      </c>
      <c r="J173" s="21"/>
      <c r="K173" s="21"/>
    </row>
    <row r="174">
      <c r="A174" s="210" t="s">
        <v>6565</v>
      </c>
      <c r="B174" s="11"/>
      <c r="C174" s="8" t="s">
        <v>11</v>
      </c>
      <c r="D174" s="8" t="str">
        <f t="shared" si="1"/>
        <v>-</v>
      </c>
      <c r="E174" s="9" t="s">
        <v>11</v>
      </c>
      <c r="F174" s="10"/>
      <c r="G174" s="9"/>
      <c r="H174" s="11"/>
      <c r="I174" s="9" t="s">
        <v>13</v>
      </c>
      <c r="J174" s="21"/>
      <c r="K174" s="21"/>
    </row>
    <row r="175">
      <c r="A175" s="210" t="s">
        <v>6565</v>
      </c>
      <c r="B175" s="11"/>
      <c r="C175" s="8" t="s">
        <v>11</v>
      </c>
      <c r="D175" s="8" t="str">
        <f t="shared" si="1"/>
        <v>-</v>
      </c>
      <c r="E175" s="9" t="s">
        <v>11</v>
      </c>
      <c r="F175" s="10"/>
      <c r="G175" s="9"/>
      <c r="H175" s="11"/>
      <c r="I175" s="9" t="s">
        <v>13</v>
      </c>
      <c r="J175" s="21"/>
      <c r="K175" s="21"/>
    </row>
    <row r="176">
      <c r="A176" s="210" t="s">
        <v>6565</v>
      </c>
      <c r="B176" s="11"/>
      <c r="C176" s="8" t="s">
        <v>11</v>
      </c>
      <c r="D176" s="8" t="str">
        <f t="shared" si="1"/>
        <v>-</v>
      </c>
      <c r="E176" s="9" t="s">
        <v>11</v>
      </c>
      <c r="F176" s="10"/>
      <c r="G176" s="9"/>
      <c r="H176" s="11"/>
      <c r="I176" s="9" t="s">
        <v>13</v>
      </c>
      <c r="J176" s="21"/>
      <c r="K176" s="21"/>
    </row>
    <row r="177">
      <c r="A177" s="210" t="s">
        <v>6565</v>
      </c>
      <c r="B177" s="11"/>
      <c r="C177" s="8" t="s">
        <v>11</v>
      </c>
      <c r="D177" s="8" t="str">
        <f t="shared" si="1"/>
        <v>-</v>
      </c>
      <c r="E177" s="9" t="s">
        <v>11</v>
      </c>
      <c r="F177" s="10"/>
      <c r="G177" s="9"/>
      <c r="H177" s="11"/>
      <c r="I177" s="9" t="s">
        <v>13</v>
      </c>
      <c r="J177" s="21"/>
      <c r="K177" s="21"/>
    </row>
    <row r="178">
      <c r="A178" s="210" t="s">
        <v>6565</v>
      </c>
      <c r="B178" s="11"/>
      <c r="C178" s="8" t="s">
        <v>11</v>
      </c>
      <c r="D178" s="8" t="str">
        <f t="shared" si="1"/>
        <v>-</v>
      </c>
      <c r="E178" s="9" t="s">
        <v>11</v>
      </c>
      <c r="F178" s="10"/>
      <c r="G178" s="9"/>
      <c r="H178" s="11"/>
      <c r="I178" s="9" t="s">
        <v>13</v>
      </c>
      <c r="J178" s="21"/>
      <c r="K178" s="21"/>
    </row>
    <row r="179">
      <c r="A179" s="210" t="s">
        <v>6565</v>
      </c>
      <c r="B179" s="11"/>
      <c r="C179" s="8" t="s">
        <v>11</v>
      </c>
      <c r="D179" s="8" t="str">
        <f t="shared" si="1"/>
        <v>-</v>
      </c>
      <c r="E179" s="9" t="s">
        <v>11</v>
      </c>
      <c r="F179" s="10"/>
      <c r="G179" s="9"/>
      <c r="H179" s="11"/>
      <c r="I179" s="9" t="s">
        <v>13</v>
      </c>
      <c r="J179" s="21"/>
      <c r="K179" s="21"/>
    </row>
    <row r="180">
      <c r="A180" s="210" t="s">
        <v>6565</v>
      </c>
      <c r="B180" s="11"/>
      <c r="C180" s="8" t="s">
        <v>11</v>
      </c>
      <c r="D180" s="8" t="str">
        <f t="shared" si="1"/>
        <v>-</v>
      </c>
      <c r="E180" s="9" t="s">
        <v>11</v>
      </c>
      <c r="F180" s="10"/>
      <c r="G180" s="9"/>
      <c r="H180" s="11"/>
      <c r="I180" s="9" t="s">
        <v>13</v>
      </c>
      <c r="J180" s="21"/>
      <c r="K180" s="21"/>
    </row>
    <row r="181">
      <c r="A181" s="210" t="s">
        <v>6565</v>
      </c>
      <c r="B181" s="11"/>
      <c r="C181" s="8" t="s">
        <v>11</v>
      </c>
      <c r="D181" s="8" t="str">
        <f t="shared" si="1"/>
        <v>-</v>
      </c>
      <c r="E181" s="9" t="s">
        <v>11</v>
      </c>
      <c r="F181" s="10"/>
      <c r="G181" s="9"/>
      <c r="H181" s="11"/>
      <c r="I181" s="9" t="s">
        <v>13</v>
      </c>
      <c r="J181" s="21"/>
      <c r="K181" s="21"/>
    </row>
    <row r="182">
      <c r="A182" s="210" t="s">
        <v>6565</v>
      </c>
      <c r="B182" s="11"/>
      <c r="C182" s="8" t="s">
        <v>11</v>
      </c>
      <c r="D182" s="8" t="str">
        <f t="shared" si="1"/>
        <v>-</v>
      </c>
      <c r="E182" s="9" t="s">
        <v>11</v>
      </c>
      <c r="F182" s="10"/>
      <c r="G182" s="9"/>
      <c r="H182" s="11"/>
      <c r="I182" s="9" t="s">
        <v>13</v>
      </c>
      <c r="J182" s="21"/>
      <c r="K182" s="21"/>
    </row>
    <row r="183">
      <c r="A183" s="210" t="s">
        <v>6565</v>
      </c>
      <c r="B183" s="11"/>
      <c r="C183" s="8" t="s">
        <v>11</v>
      </c>
      <c r="D183" s="8" t="str">
        <f t="shared" si="1"/>
        <v>-</v>
      </c>
      <c r="E183" s="9" t="s">
        <v>11</v>
      </c>
      <c r="F183" s="10"/>
      <c r="G183" s="9"/>
      <c r="H183" s="11"/>
      <c r="I183" s="9" t="s">
        <v>13</v>
      </c>
      <c r="J183" s="21"/>
      <c r="K183" s="21"/>
    </row>
    <row r="184">
      <c r="A184" s="210" t="s">
        <v>6565</v>
      </c>
      <c r="B184" s="11"/>
      <c r="C184" s="8" t="s">
        <v>11</v>
      </c>
      <c r="D184" s="8" t="str">
        <f t="shared" si="1"/>
        <v>-</v>
      </c>
      <c r="E184" s="9" t="s">
        <v>11</v>
      </c>
      <c r="F184" s="10"/>
      <c r="G184" s="9"/>
      <c r="H184" s="11"/>
      <c r="I184" s="9" t="s">
        <v>13</v>
      </c>
      <c r="J184" s="21"/>
      <c r="K184" s="21"/>
    </row>
    <row r="185">
      <c r="A185" s="210" t="s">
        <v>6565</v>
      </c>
      <c r="B185" s="11"/>
      <c r="C185" s="8" t="s">
        <v>11</v>
      </c>
      <c r="D185" s="8" t="str">
        <f t="shared" si="1"/>
        <v>-</v>
      </c>
      <c r="E185" s="9" t="s">
        <v>11</v>
      </c>
      <c r="F185" s="10"/>
      <c r="G185" s="9"/>
      <c r="H185" s="11"/>
      <c r="I185" s="9" t="s">
        <v>13</v>
      </c>
      <c r="J185" s="21"/>
      <c r="K185" s="21"/>
    </row>
    <row r="186">
      <c r="A186" s="210" t="s">
        <v>6565</v>
      </c>
      <c r="B186" s="11"/>
      <c r="C186" s="8" t="s">
        <v>11</v>
      </c>
      <c r="D186" s="8" t="str">
        <f t="shared" si="1"/>
        <v>-</v>
      </c>
      <c r="E186" s="9" t="s">
        <v>11</v>
      </c>
      <c r="F186" s="10"/>
      <c r="G186" s="9"/>
      <c r="H186" s="11"/>
      <c r="I186" s="9" t="s">
        <v>13</v>
      </c>
      <c r="J186" s="21"/>
      <c r="K186" s="21"/>
    </row>
    <row r="187">
      <c r="A187" s="210" t="s">
        <v>6565</v>
      </c>
      <c r="B187" s="11"/>
      <c r="C187" s="8" t="s">
        <v>11</v>
      </c>
      <c r="D187" s="8" t="str">
        <f t="shared" si="1"/>
        <v>-</v>
      </c>
      <c r="E187" s="9" t="s">
        <v>11</v>
      </c>
      <c r="F187" s="10"/>
      <c r="G187" s="9"/>
      <c r="H187" s="11"/>
      <c r="I187" s="9" t="s">
        <v>13</v>
      </c>
      <c r="J187" s="21"/>
      <c r="K187" s="21"/>
    </row>
    <row r="188">
      <c r="A188" s="210" t="s">
        <v>6565</v>
      </c>
      <c r="B188" s="11"/>
      <c r="C188" s="8" t="s">
        <v>11</v>
      </c>
      <c r="D188" s="8" t="str">
        <f t="shared" si="1"/>
        <v>-</v>
      </c>
      <c r="E188" s="9" t="s">
        <v>11</v>
      </c>
      <c r="F188" s="10"/>
      <c r="G188" s="9"/>
      <c r="H188" s="11"/>
      <c r="I188" s="9" t="s">
        <v>13</v>
      </c>
      <c r="J188" s="21"/>
      <c r="K188" s="21"/>
    </row>
    <row r="189">
      <c r="A189" s="210" t="s">
        <v>6565</v>
      </c>
      <c r="B189" s="11"/>
      <c r="C189" s="8" t="s">
        <v>11</v>
      </c>
      <c r="D189" s="8" t="str">
        <f t="shared" si="1"/>
        <v>-</v>
      </c>
      <c r="E189" s="9" t="s">
        <v>11</v>
      </c>
      <c r="F189" s="10"/>
      <c r="G189" s="9"/>
      <c r="H189" s="11"/>
      <c r="I189" s="9" t="s">
        <v>13</v>
      </c>
      <c r="J189" s="21"/>
      <c r="K189" s="21"/>
    </row>
    <row r="190">
      <c r="A190" s="210" t="s">
        <v>6565</v>
      </c>
      <c r="B190" s="11"/>
      <c r="C190" s="8" t="s">
        <v>11</v>
      </c>
      <c r="D190" s="8" t="str">
        <f t="shared" si="1"/>
        <v>-</v>
      </c>
      <c r="E190" s="9" t="s">
        <v>11</v>
      </c>
      <c r="F190" s="10"/>
      <c r="G190" s="9"/>
      <c r="H190" s="11"/>
      <c r="I190" s="9" t="s">
        <v>13</v>
      </c>
      <c r="J190" s="21"/>
      <c r="K190" s="21"/>
    </row>
    <row r="191">
      <c r="A191" s="210" t="s">
        <v>6565</v>
      </c>
      <c r="B191" s="11"/>
      <c r="C191" s="8" t="s">
        <v>11</v>
      </c>
      <c r="D191" s="8" t="str">
        <f t="shared" si="1"/>
        <v>-</v>
      </c>
      <c r="E191" s="9" t="s">
        <v>11</v>
      </c>
      <c r="F191" s="10"/>
      <c r="G191" s="9"/>
      <c r="H191" s="11"/>
      <c r="I191" s="9" t="s">
        <v>13</v>
      </c>
      <c r="J191" s="21"/>
      <c r="K191" s="21"/>
    </row>
    <row r="192">
      <c r="A192" s="210" t="s">
        <v>6565</v>
      </c>
      <c r="B192" s="11"/>
      <c r="C192" s="8" t="s">
        <v>11</v>
      </c>
      <c r="D192" s="8" t="str">
        <f t="shared" si="1"/>
        <v>-</v>
      </c>
      <c r="E192" s="9" t="s">
        <v>11</v>
      </c>
      <c r="F192" s="10"/>
      <c r="G192" s="9"/>
      <c r="H192" s="11"/>
      <c r="I192" s="9" t="s">
        <v>13</v>
      </c>
      <c r="J192" s="21"/>
      <c r="K192" s="21"/>
    </row>
    <row r="193">
      <c r="A193" s="210" t="s">
        <v>6565</v>
      </c>
      <c r="B193" s="11"/>
      <c r="C193" s="8" t="s">
        <v>11</v>
      </c>
      <c r="D193" s="8" t="str">
        <f t="shared" si="1"/>
        <v>-</v>
      </c>
      <c r="E193" s="9" t="s">
        <v>11</v>
      </c>
      <c r="F193" s="10"/>
      <c r="G193" s="9"/>
      <c r="H193" s="11"/>
      <c r="I193" s="9" t="s">
        <v>13</v>
      </c>
      <c r="J193" s="21"/>
      <c r="K193" s="21"/>
    </row>
    <row r="194">
      <c r="A194" s="210" t="s">
        <v>6565</v>
      </c>
      <c r="B194" s="11"/>
      <c r="C194" s="8" t="s">
        <v>11</v>
      </c>
      <c r="D194" s="8" t="str">
        <f t="shared" si="1"/>
        <v>-</v>
      </c>
      <c r="E194" s="9" t="s">
        <v>11</v>
      </c>
      <c r="F194" s="10"/>
      <c r="G194" s="9"/>
      <c r="H194" s="11"/>
      <c r="I194" s="9" t="s">
        <v>13</v>
      </c>
      <c r="J194" s="21"/>
      <c r="K194" s="21"/>
    </row>
    <row r="195">
      <c r="A195" s="210" t="s">
        <v>6565</v>
      </c>
      <c r="B195" s="11"/>
      <c r="C195" s="8" t="s">
        <v>11</v>
      </c>
      <c r="D195" s="8" t="str">
        <f t="shared" si="1"/>
        <v>-</v>
      </c>
      <c r="E195" s="9" t="s">
        <v>11</v>
      </c>
      <c r="F195" s="10"/>
      <c r="G195" s="9"/>
      <c r="H195" s="11"/>
      <c r="I195" s="9" t="s">
        <v>13</v>
      </c>
      <c r="J195" s="21"/>
      <c r="K195" s="21"/>
    </row>
    <row r="196">
      <c r="A196" s="210" t="s">
        <v>6565</v>
      </c>
      <c r="B196" s="11"/>
      <c r="C196" s="8" t="s">
        <v>11</v>
      </c>
      <c r="D196" s="8" t="str">
        <f t="shared" si="1"/>
        <v>-</v>
      </c>
      <c r="E196" s="9" t="s">
        <v>11</v>
      </c>
      <c r="F196" s="10"/>
      <c r="G196" s="9"/>
      <c r="H196" s="11"/>
      <c r="I196" s="9" t="s">
        <v>13</v>
      </c>
      <c r="J196" s="21"/>
      <c r="K196" s="21"/>
    </row>
    <row r="197">
      <c r="A197" s="210" t="s">
        <v>6565</v>
      </c>
      <c r="B197" s="11"/>
      <c r="C197" s="8" t="s">
        <v>11</v>
      </c>
      <c r="D197" s="8" t="str">
        <f t="shared" si="1"/>
        <v>-</v>
      </c>
      <c r="E197" s="9" t="s">
        <v>11</v>
      </c>
      <c r="F197" s="10"/>
      <c r="G197" s="9"/>
      <c r="H197" s="11"/>
      <c r="I197" s="9" t="s">
        <v>13</v>
      </c>
      <c r="J197" s="21"/>
      <c r="K197" s="21"/>
    </row>
    <row r="198">
      <c r="A198" s="210" t="s">
        <v>6565</v>
      </c>
      <c r="B198" s="11"/>
      <c r="C198" s="8" t="s">
        <v>11</v>
      </c>
      <c r="D198" s="8" t="str">
        <f t="shared" si="1"/>
        <v>-</v>
      </c>
      <c r="E198" s="9" t="s">
        <v>11</v>
      </c>
      <c r="F198" s="10"/>
      <c r="G198" s="9"/>
      <c r="H198" s="11"/>
      <c r="I198" s="9" t="s">
        <v>13</v>
      </c>
      <c r="J198" s="21"/>
      <c r="K198" s="21"/>
    </row>
    <row r="199">
      <c r="A199" s="210" t="s">
        <v>6565</v>
      </c>
      <c r="B199" s="11"/>
      <c r="C199" s="8" t="s">
        <v>11</v>
      </c>
      <c r="D199" s="8" t="str">
        <f t="shared" si="1"/>
        <v>-</v>
      </c>
      <c r="E199" s="9" t="s">
        <v>11</v>
      </c>
      <c r="F199" s="10"/>
      <c r="G199" s="9"/>
      <c r="H199" s="11"/>
      <c r="I199" s="9" t="s">
        <v>13</v>
      </c>
      <c r="J199" s="21"/>
      <c r="K199" s="21"/>
    </row>
    <row r="200">
      <c r="A200" s="210" t="s">
        <v>6565</v>
      </c>
      <c r="B200" s="11"/>
      <c r="C200" s="8" t="s">
        <v>11</v>
      </c>
      <c r="D200" s="8" t="str">
        <f t="shared" si="1"/>
        <v>-</v>
      </c>
      <c r="E200" s="9" t="s">
        <v>11</v>
      </c>
      <c r="F200" s="10"/>
      <c r="G200" s="9"/>
      <c r="H200" s="11"/>
      <c r="I200" s="9" t="s">
        <v>13</v>
      </c>
      <c r="J200" s="21"/>
      <c r="K200" s="21"/>
    </row>
    <row r="201">
      <c r="A201" s="210" t="s">
        <v>6565</v>
      </c>
      <c r="B201" s="11"/>
      <c r="C201" s="8" t="s">
        <v>11</v>
      </c>
      <c r="D201" s="8" t="str">
        <f t="shared" si="1"/>
        <v>-</v>
      </c>
      <c r="E201" s="9" t="s">
        <v>11</v>
      </c>
      <c r="F201" s="10"/>
      <c r="G201" s="9"/>
      <c r="H201" s="11"/>
      <c r="I201" s="9" t="s">
        <v>13</v>
      </c>
      <c r="J201" s="21"/>
      <c r="K201" s="21"/>
    </row>
    <row r="202">
      <c r="A202" s="210" t="s">
        <v>6565</v>
      </c>
      <c r="B202" s="11"/>
      <c r="C202" s="8" t="s">
        <v>11</v>
      </c>
      <c r="D202" s="8" t="str">
        <f t="shared" si="1"/>
        <v>-</v>
      </c>
      <c r="E202" s="9" t="s">
        <v>11</v>
      </c>
      <c r="F202" s="10"/>
      <c r="G202" s="9"/>
      <c r="H202" s="11"/>
      <c r="I202" s="9" t="s">
        <v>13</v>
      </c>
      <c r="J202" s="21"/>
      <c r="K202" s="21"/>
    </row>
    <row r="203">
      <c r="A203" s="210" t="s">
        <v>6565</v>
      </c>
      <c r="B203" s="11"/>
      <c r="C203" s="8" t="s">
        <v>11</v>
      </c>
      <c r="D203" s="8" t="str">
        <f t="shared" si="1"/>
        <v>-</v>
      </c>
      <c r="E203" s="9" t="s">
        <v>11</v>
      </c>
      <c r="F203" s="10"/>
      <c r="G203" s="9"/>
      <c r="H203" s="11"/>
      <c r="I203" s="9" t="s">
        <v>13</v>
      </c>
      <c r="J203" s="21"/>
      <c r="K203" s="21"/>
    </row>
    <row r="204">
      <c r="A204" s="210" t="s">
        <v>6565</v>
      </c>
      <c r="B204" s="11"/>
      <c r="C204" s="8" t="s">
        <v>11</v>
      </c>
      <c r="D204" s="8" t="str">
        <f t="shared" si="1"/>
        <v>-</v>
      </c>
      <c r="E204" s="9" t="s">
        <v>11</v>
      </c>
      <c r="F204" s="10"/>
      <c r="G204" s="9"/>
      <c r="H204" s="11"/>
      <c r="I204" s="9" t="s">
        <v>13</v>
      </c>
      <c r="J204" s="21"/>
      <c r="K204" s="21"/>
    </row>
    <row r="205">
      <c r="A205" s="210" t="s">
        <v>6565</v>
      </c>
      <c r="B205" s="11"/>
      <c r="C205" s="8" t="s">
        <v>11</v>
      </c>
      <c r="D205" s="8" t="str">
        <f t="shared" si="1"/>
        <v>-</v>
      </c>
      <c r="E205" s="9" t="s">
        <v>11</v>
      </c>
      <c r="F205" s="10"/>
      <c r="G205" s="9"/>
      <c r="H205" s="11"/>
      <c r="I205" s="9" t="s">
        <v>13</v>
      </c>
      <c r="J205" s="21"/>
      <c r="K205" s="21"/>
    </row>
    <row r="206">
      <c r="A206" s="210" t="s">
        <v>6565</v>
      </c>
      <c r="B206" s="11"/>
      <c r="C206" s="8" t="s">
        <v>11</v>
      </c>
      <c r="D206" s="8" t="str">
        <f t="shared" si="1"/>
        <v>-</v>
      </c>
      <c r="E206" s="9" t="s">
        <v>11</v>
      </c>
      <c r="F206" s="10"/>
      <c r="G206" s="9"/>
      <c r="H206" s="11"/>
      <c r="I206" s="9" t="s">
        <v>13</v>
      </c>
      <c r="J206" s="21"/>
      <c r="K206" s="21"/>
    </row>
    <row r="207">
      <c r="A207" s="210" t="s">
        <v>6565</v>
      </c>
      <c r="B207" s="11"/>
      <c r="C207" s="8" t="s">
        <v>11</v>
      </c>
      <c r="D207" s="8" t="str">
        <f t="shared" si="1"/>
        <v>-</v>
      </c>
      <c r="E207" s="9" t="s">
        <v>11</v>
      </c>
      <c r="F207" s="10"/>
      <c r="G207" s="9"/>
      <c r="H207" s="11"/>
      <c r="I207" s="9" t="s">
        <v>13</v>
      </c>
      <c r="J207" s="21"/>
      <c r="K207" s="21"/>
    </row>
    <row r="208">
      <c r="A208" s="210" t="s">
        <v>6565</v>
      </c>
      <c r="B208" s="11"/>
      <c r="C208" s="8" t="s">
        <v>11</v>
      </c>
      <c r="D208" s="8" t="str">
        <f t="shared" si="1"/>
        <v>-</v>
      </c>
      <c r="E208" s="9" t="s">
        <v>11</v>
      </c>
      <c r="F208" s="10"/>
      <c r="G208" s="9"/>
      <c r="H208" s="11"/>
      <c r="I208" s="9" t="s">
        <v>13</v>
      </c>
      <c r="J208" s="21"/>
      <c r="K208" s="21"/>
    </row>
    <row r="209">
      <c r="A209" s="210" t="s">
        <v>6565</v>
      </c>
      <c r="B209" s="11"/>
      <c r="C209" s="8" t="s">
        <v>11</v>
      </c>
      <c r="D209" s="8" t="str">
        <f t="shared" si="1"/>
        <v>-</v>
      </c>
      <c r="E209" s="9" t="s">
        <v>11</v>
      </c>
      <c r="F209" s="10"/>
      <c r="G209" s="9"/>
      <c r="H209" s="11"/>
      <c r="I209" s="9" t="s">
        <v>13</v>
      </c>
      <c r="J209" s="21"/>
      <c r="K209" s="21"/>
    </row>
    <row r="210">
      <c r="A210" s="210" t="s">
        <v>6565</v>
      </c>
      <c r="B210" s="11"/>
      <c r="C210" s="8" t="s">
        <v>11</v>
      </c>
      <c r="D210" s="8" t="str">
        <f t="shared" si="1"/>
        <v>-</v>
      </c>
      <c r="E210" s="9" t="s">
        <v>11</v>
      </c>
      <c r="F210" s="10"/>
      <c r="G210" s="9"/>
      <c r="H210" s="11"/>
      <c r="I210" s="9" t="s">
        <v>13</v>
      </c>
      <c r="J210" s="21"/>
      <c r="K210" s="21"/>
    </row>
    <row r="211">
      <c r="A211" s="210" t="s">
        <v>6565</v>
      </c>
      <c r="B211" s="11"/>
      <c r="C211" s="8" t="s">
        <v>11</v>
      </c>
      <c r="D211" s="8" t="str">
        <f t="shared" si="1"/>
        <v>-</v>
      </c>
      <c r="E211" s="9" t="s">
        <v>11</v>
      </c>
      <c r="F211" s="10"/>
      <c r="G211" s="9"/>
      <c r="H211" s="11"/>
      <c r="I211" s="9" t="s">
        <v>13</v>
      </c>
      <c r="J211" s="21"/>
      <c r="K211" s="21"/>
    </row>
    <row r="212">
      <c r="A212" s="210" t="s">
        <v>6565</v>
      </c>
      <c r="B212" s="11"/>
      <c r="C212" s="8" t="s">
        <v>11</v>
      </c>
      <c r="D212" s="8" t="str">
        <f t="shared" si="1"/>
        <v>-</v>
      </c>
      <c r="E212" s="9" t="s">
        <v>11</v>
      </c>
      <c r="F212" s="10"/>
      <c r="G212" s="9"/>
      <c r="H212" s="11"/>
      <c r="I212" s="9" t="s">
        <v>13</v>
      </c>
      <c r="J212" s="21"/>
      <c r="K212" s="21"/>
    </row>
    <row r="213">
      <c r="A213" s="210" t="s">
        <v>6565</v>
      </c>
      <c r="B213" s="11"/>
      <c r="C213" s="8" t="s">
        <v>11</v>
      </c>
      <c r="D213" s="8" t="str">
        <f t="shared" si="1"/>
        <v>-</v>
      </c>
      <c r="E213" s="9" t="s">
        <v>11</v>
      </c>
      <c r="F213" s="10"/>
      <c r="G213" s="9"/>
      <c r="H213" s="11"/>
      <c r="I213" s="9" t="s">
        <v>13</v>
      </c>
      <c r="J213" s="21"/>
      <c r="K213" s="21"/>
    </row>
    <row r="214">
      <c r="A214" s="210" t="s">
        <v>6565</v>
      </c>
      <c r="B214" s="11"/>
      <c r="C214" s="8" t="s">
        <v>11</v>
      </c>
      <c r="D214" s="8" t="str">
        <f t="shared" si="1"/>
        <v>-</v>
      </c>
      <c r="E214" s="9" t="s">
        <v>11</v>
      </c>
      <c r="F214" s="10"/>
      <c r="G214" s="9"/>
      <c r="H214" s="11"/>
      <c r="I214" s="9" t="s">
        <v>13</v>
      </c>
      <c r="J214" s="21"/>
      <c r="K214" s="21"/>
    </row>
    <row r="215">
      <c r="A215" s="210" t="s">
        <v>6565</v>
      </c>
      <c r="B215" s="11"/>
      <c r="C215" s="8" t="s">
        <v>11</v>
      </c>
      <c r="D215" s="8" t="str">
        <f t="shared" si="1"/>
        <v>-</v>
      </c>
      <c r="E215" s="9" t="s">
        <v>11</v>
      </c>
      <c r="F215" s="10"/>
      <c r="G215" s="9"/>
      <c r="H215" s="11"/>
      <c r="I215" s="9" t="s">
        <v>13</v>
      </c>
      <c r="J215" s="21"/>
      <c r="K215" s="21"/>
    </row>
    <row r="216">
      <c r="A216" s="210" t="s">
        <v>6565</v>
      </c>
      <c r="B216" s="11"/>
      <c r="C216" s="8" t="s">
        <v>11</v>
      </c>
      <c r="D216" s="8" t="str">
        <f t="shared" si="1"/>
        <v>-</v>
      </c>
      <c r="E216" s="9" t="s">
        <v>11</v>
      </c>
      <c r="F216" s="10"/>
      <c r="G216" s="9"/>
      <c r="H216" s="11"/>
      <c r="I216" s="9" t="s">
        <v>13</v>
      </c>
      <c r="J216" s="21"/>
      <c r="K216" s="21"/>
    </row>
    <row r="217">
      <c r="A217" s="210" t="s">
        <v>6565</v>
      </c>
      <c r="B217" s="11"/>
      <c r="C217" s="8" t="s">
        <v>11</v>
      </c>
      <c r="D217" s="8" t="str">
        <f t="shared" si="1"/>
        <v>-</v>
      </c>
      <c r="E217" s="9" t="s">
        <v>11</v>
      </c>
      <c r="F217" s="10"/>
      <c r="G217" s="9"/>
      <c r="H217" s="11"/>
      <c r="I217" s="9" t="s">
        <v>13</v>
      </c>
      <c r="J217" s="21"/>
      <c r="K217" s="21"/>
    </row>
    <row r="218">
      <c r="A218" s="210" t="s">
        <v>6565</v>
      </c>
      <c r="B218" s="11"/>
      <c r="C218" s="8" t="s">
        <v>11</v>
      </c>
      <c r="D218" s="8" t="str">
        <f t="shared" si="1"/>
        <v>-</v>
      </c>
      <c r="E218" s="9" t="s">
        <v>11</v>
      </c>
      <c r="F218" s="10"/>
      <c r="G218" s="9"/>
      <c r="H218" s="11"/>
      <c r="I218" s="9" t="s">
        <v>13</v>
      </c>
      <c r="J218" s="21"/>
      <c r="K218" s="21"/>
    </row>
    <row r="219">
      <c r="A219" s="210" t="s">
        <v>6565</v>
      </c>
      <c r="B219" s="11"/>
      <c r="C219" s="8" t="s">
        <v>11</v>
      </c>
      <c r="D219" s="8" t="str">
        <f t="shared" si="1"/>
        <v>-</v>
      </c>
      <c r="E219" s="9" t="s">
        <v>11</v>
      </c>
      <c r="F219" s="10"/>
      <c r="G219" s="9"/>
      <c r="H219" s="11"/>
      <c r="I219" s="9" t="s">
        <v>13</v>
      </c>
      <c r="J219" s="21"/>
      <c r="K219" s="21"/>
    </row>
    <row r="220">
      <c r="A220" s="210" t="s">
        <v>6565</v>
      </c>
      <c r="B220" s="11"/>
      <c r="C220" s="8" t="s">
        <v>11</v>
      </c>
      <c r="D220" s="8" t="str">
        <f t="shared" si="1"/>
        <v>-</v>
      </c>
      <c r="E220" s="9" t="s">
        <v>11</v>
      </c>
      <c r="F220" s="10"/>
      <c r="G220" s="9"/>
      <c r="H220" s="11"/>
      <c r="I220" s="9" t="s">
        <v>13</v>
      </c>
      <c r="J220" s="21"/>
      <c r="K220" s="21"/>
    </row>
    <row r="221">
      <c r="A221" s="210" t="s">
        <v>6565</v>
      </c>
      <c r="B221" s="11"/>
      <c r="C221" s="8" t="s">
        <v>11</v>
      </c>
      <c r="D221" s="8" t="str">
        <f t="shared" si="1"/>
        <v>-</v>
      </c>
      <c r="E221" s="9" t="s">
        <v>11</v>
      </c>
      <c r="F221" s="10"/>
      <c r="G221" s="9"/>
      <c r="H221" s="11"/>
      <c r="I221" s="9" t="s">
        <v>13</v>
      </c>
      <c r="J221" s="21"/>
      <c r="K221" s="21"/>
    </row>
    <row r="222">
      <c r="A222" s="210" t="s">
        <v>6565</v>
      </c>
      <c r="B222" s="11"/>
      <c r="C222" s="8" t="s">
        <v>11</v>
      </c>
      <c r="D222" s="8" t="str">
        <f t="shared" si="1"/>
        <v>-</v>
      </c>
      <c r="E222" s="9" t="s">
        <v>11</v>
      </c>
      <c r="F222" s="10"/>
      <c r="G222" s="9"/>
      <c r="H222" s="11"/>
      <c r="I222" s="9" t="s">
        <v>13</v>
      </c>
      <c r="J222" s="21"/>
      <c r="K222" s="21"/>
    </row>
    <row r="223">
      <c r="A223" s="210" t="s">
        <v>6565</v>
      </c>
      <c r="B223" s="11"/>
      <c r="C223" s="8" t="s">
        <v>11</v>
      </c>
      <c r="D223" s="8" t="str">
        <f t="shared" si="1"/>
        <v>-</v>
      </c>
      <c r="E223" s="9" t="s">
        <v>11</v>
      </c>
      <c r="F223" s="10"/>
      <c r="G223" s="9"/>
      <c r="H223" s="11"/>
      <c r="I223" s="9" t="s">
        <v>13</v>
      </c>
      <c r="J223" s="21"/>
      <c r="K223" s="21"/>
    </row>
    <row r="224">
      <c r="A224" s="210" t="s">
        <v>6565</v>
      </c>
      <c r="B224" s="11"/>
      <c r="C224" s="8" t="s">
        <v>11</v>
      </c>
      <c r="D224" s="8" t="str">
        <f t="shared" si="1"/>
        <v>-</v>
      </c>
      <c r="E224" s="9" t="s">
        <v>11</v>
      </c>
      <c r="F224" s="10"/>
      <c r="G224" s="9"/>
      <c r="H224" s="11"/>
      <c r="I224" s="9" t="s">
        <v>13</v>
      </c>
      <c r="J224" s="21"/>
      <c r="K224" s="21"/>
    </row>
    <row r="225">
      <c r="A225" s="210" t="s">
        <v>6565</v>
      </c>
      <c r="B225" s="11"/>
      <c r="C225" s="8" t="s">
        <v>11</v>
      </c>
      <c r="D225" s="8" t="str">
        <f t="shared" si="1"/>
        <v>-</v>
      </c>
      <c r="E225" s="9" t="s">
        <v>11</v>
      </c>
      <c r="F225" s="10"/>
      <c r="G225" s="9"/>
      <c r="H225" s="11"/>
      <c r="I225" s="9" t="s">
        <v>13</v>
      </c>
      <c r="J225" s="21"/>
      <c r="K225" s="21"/>
    </row>
    <row r="226">
      <c r="A226" s="210" t="s">
        <v>6565</v>
      </c>
      <c r="B226" s="11"/>
      <c r="C226" s="8" t="s">
        <v>11</v>
      </c>
      <c r="D226" s="8" t="str">
        <f t="shared" si="1"/>
        <v>-</v>
      </c>
      <c r="E226" s="9" t="s">
        <v>11</v>
      </c>
      <c r="F226" s="10"/>
      <c r="G226" s="9"/>
      <c r="H226" s="11"/>
      <c r="I226" s="9" t="s">
        <v>13</v>
      </c>
      <c r="J226" s="21"/>
      <c r="K226" s="21"/>
    </row>
    <row r="227">
      <c r="A227" s="210" t="s">
        <v>6565</v>
      </c>
      <c r="B227" s="11"/>
      <c r="C227" s="8" t="s">
        <v>11</v>
      </c>
      <c r="D227" s="8" t="str">
        <f t="shared" si="1"/>
        <v>-</v>
      </c>
      <c r="E227" s="9" t="s">
        <v>11</v>
      </c>
      <c r="F227" s="10"/>
      <c r="G227" s="9"/>
      <c r="H227" s="11"/>
      <c r="I227" s="9" t="s">
        <v>13</v>
      </c>
      <c r="J227" s="21"/>
      <c r="K227" s="21"/>
    </row>
    <row r="228">
      <c r="A228" s="210" t="s">
        <v>6565</v>
      </c>
      <c r="B228" s="11"/>
      <c r="C228" s="8" t="s">
        <v>11</v>
      </c>
      <c r="D228" s="8" t="str">
        <f t="shared" si="1"/>
        <v>-</v>
      </c>
      <c r="E228" s="9" t="s">
        <v>11</v>
      </c>
      <c r="F228" s="10"/>
      <c r="G228" s="9"/>
      <c r="H228" s="11"/>
      <c r="I228" s="9" t="s">
        <v>13</v>
      </c>
      <c r="J228" s="21"/>
      <c r="K228" s="21"/>
    </row>
    <row r="229">
      <c r="A229" s="210" t="s">
        <v>6565</v>
      </c>
      <c r="B229" s="11"/>
      <c r="C229" s="8" t="s">
        <v>11</v>
      </c>
      <c r="D229" s="8" t="str">
        <f t="shared" si="1"/>
        <v>-</v>
      </c>
      <c r="E229" s="9" t="s">
        <v>11</v>
      </c>
      <c r="F229" s="10"/>
      <c r="G229" s="9"/>
      <c r="H229" s="11"/>
      <c r="I229" s="9" t="s">
        <v>13</v>
      </c>
      <c r="J229" s="21"/>
      <c r="K229" s="21"/>
    </row>
    <row r="230">
      <c r="A230" s="210" t="s">
        <v>6565</v>
      </c>
      <c r="B230" s="11"/>
      <c r="C230" s="8" t="s">
        <v>11</v>
      </c>
      <c r="D230" s="8" t="str">
        <f t="shared" si="1"/>
        <v>-</v>
      </c>
      <c r="E230" s="9" t="s">
        <v>11</v>
      </c>
      <c r="F230" s="10"/>
      <c r="G230" s="9"/>
      <c r="H230" s="11"/>
      <c r="I230" s="9" t="s">
        <v>13</v>
      </c>
      <c r="J230" s="21"/>
      <c r="K230" s="21"/>
    </row>
    <row r="231">
      <c r="A231" s="210" t="s">
        <v>6565</v>
      </c>
      <c r="B231" s="11"/>
      <c r="C231" s="8" t="s">
        <v>11</v>
      </c>
      <c r="D231" s="8" t="str">
        <f t="shared" si="1"/>
        <v>-</v>
      </c>
      <c r="E231" s="9" t="s">
        <v>11</v>
      </c>
      <c r="F231" s="10"/>
      <c r="G231" s="9"/>
      <c r="H231" s="11"/>
      <c r="I231" s="9" t="s">
        <v>13</v>
      </c>
      <c r="J231" s="21"/>
      <c r="K231" s="21"/>
    </row>
    <row r="232">
      <c r="A232" s="210" t="s">
        <v>6565</v>
      </c>
      <c r="B232" s="11"/>
      <c r="C232" s="8" t="s">
        <v>11</v>
      </c>
      <c r="D232" s="8" t="str">
        <f t="shared" si="1"/>
        <v>-</v>
      </c>
      <c r="E232" s="9" t="s">
        <v>11</v>
      </c>
      <c r="F232" s="10"/>
      <c r="G232" s="9"/>
      <c r="H232" s="11"/>
      <c r="I232" s="9" t="s">
        <v>13</v>
      </c>
      <c r="J232" s="21"/>
      <c r="K232" s="21"/>
    </row>
    <row r="233">
      <c r="A233" s="210" t="s">
        <v>6565</v>
      </c>
      <c r="B233" s="11"/>
      <c r="C233" s="8" t="s">
        <v>11</v>
      </c>
      <c r="D233" s="8" t="str">
        <f t="shared" si="1"/>
        <v>-</v>
      </c>
      <c r="E233" s="9" t="s">
        <v>11</v>
      </c>
      <c r="F233" s="10"/>
      <c r="G233" s="9"/>
      <c r="H233" s="11"/>
      <c r="I233" s="9" t="s">
        <v>13</v>
      </c>
      <c r="J233" s="21"/>
      <c r="K233" s="21"/>
    </row>
    <row r="234">
      <c r="A234" s="210" t="s">
        <v>6565</v>
      </c>
      <c r="B234" s="11"/>
      <c r="C234" s="8" t="s">
        <v>11</v>
      </c>
      <c r="D234" s="8" t="str">
        <f t="shared" si="1"/>
        <v>-</v>
      </c>
      <c r="E234" s="9" t="s">
        <v>11</v>
      </c>
      <c r="F234" s="10"/>
      <c r="G234" s="9"/>
      <c r="H234" s="11"/>
      <c r="I234" s="9" t="s">
        <v>13</v>
      </c>
      <c r="J234" s="21"/>
      <c r="K234" s="21"/>
    </row>
    <row r="235">
      <c r="A235" s="210" t="s">
        <v>6565</v>
      </c>
      <c r="B235" s="11"/>
      <c r="C235" s="8" t="s">
        <v>11</v>
      </c>
      <c r="D235" s="8" t="str">
        <f t="shared" si="1"/>
        <v>-</v>
      </c>
      <c r="E235" s="9" t="s">
        <v>11</v>
      </c>
      <c r="F235" s="10"/>
      <c r="G235" s="9"/>
      <c r="H235" s="11"/>
      <c r="I235" s="9" t="s">
        <v>13</v>
      </c>
      <c r="J235" s="21"/>
      <c r="K235" s="21"/>
    </row>
    <row r="236">
      <c r="A236" s="210" t="s">
        <v>6565</v>
      </c>
      <c r="B236" s="11"/>
      <c r="C236" s="8" t="s">
        <v>11</v>
      </c>
      <c r="D236" s="8" t="str">
        <f t="shared" si="1"/>
        <v>-</v>
      </c>
      <c r="E236" s="9" t="s">
        <v>11</v>
      </c>
      <c r="F236" s="10"/>
      <c r="G236" s="9"/>
      <c r="H236" s="11"/>
      <c r="I236" s="9" t="s">
        <v>13</v>
      </c>
      <c r="J236" s="21"/>
      <c r="K236" s="21"/>
    </row>
    <row r="237">
      <c r="A237" s="210" t="s">
        <v>6565</v>
      </c>
      <c r="B237" s="11"/>
      <c r="C237" s="8" t="s">
        <v>11</v>
      </c>
      <c r="D237" s="8" t="str">
        <f t="shared" si="1"/>
        <v>-</v>
      </c>
      <c r="E237" s="9" t="s">
        <v>11</v>
      </c>
      <c r="F237" s="10"/>
      <c r="G237" s="9"/>
      <c r="H237" s="11"/>
      <c r="I237" s="9" t="s">
        <v>13</v>
      </c>
      <c r="J237" s="21"/>
      <c r="K237" s="21"/>
    </row>
    <row r="238">
      <c r="A238" s="210" t="s">
        <v>6565</v>
      </c>
      <c r="B238" s="11"/>
      <c r="C238" s="8" t="s">
        <v>11</v>
      </c>
      <c r="D238" s="8" t="str">
        <f t="shared" si="1"/>
        <v>-</v>
      </c>
      <c r="E238" s="9" t="s">
        <v>11</v>
      </c>
      <c r="F238" s="10"/>
      <c r="G238" s="9"/>
      <c r="H238" s="11"/>
      <c r="I238" s="9" t="s">
        <v>13</v>
      </c>
      <c r="J238" s="21"/>
      <c r="K238" s="21"/>
    </row>
    <row r="239">
      <c r="A239" s="210" t="s">
        <v>6565</v>
      </c>
      <c r="B239" s="11"/>
      <c r="C239" s="8" t="s">
        <v>11</v>
      </c>
      <c r="D239" s="8" t="str">
        <f t="shared" si="1"/>
        <v>-</v>
      </c>
      <c r="E239" s="9" t="s">
        <v>11</v>
      </c>
      <c r="F239" s="10"/>
      <c r="G239" s="9"/>
      <c r="H239" s="11"/>
      <c r="I239" s="9" t="s">
        <v>13</v>
      </c>
      <c r="J239" s="21"/>
      <c r="K239" s="21"/>
    </row>
    <row r="240">
      <c r="A240" s="210" t="s">
        <v>6565</v>
      </c>
      <c r="B240" s="11"/>
      <c r="C240" s="8" t="s">
        <v>11</v>
      </c>
      <c r="D240" s="8" t="str">
        <f t="shared" si="1"/>
        <v>-</v>
      </c>
      <c r="E240" s="9" t="s">
        <v>11</v>
      </c>
      <c r="F240" s="10"/>
      <c r="G240" s="9"/>
      <c r="H240" s="11"/>
      <c r="I240" s="9" t="s">
        <v>13</v>
      </c>
      <c r="J240" s="21"/>
      <c r="K240" s="21"/>
    </row>
    <row r="241">
      <c r="A241" s="210" t="s">
        <v>6565</v>
      </c>
      <c r="B241" s="11"/>
      <c r="C241" s="8" t="s">
        <v>11</v>
      </c>
      <c r="D241" s="8" t="str">
        <f t="shared" si="1"/>
        <v>-</v>
      </c>
      <c r="E241" s="9" t="s">
        <v>11</v>
      </c>
      <c r="F241" s="10"/>
      <c r="G241" s="9"/>
      <c r="H241" s="11"/>
      <c r="I241" s="9" t="s">
        <v>13</v>
      </c>
      <c r="J241" s="21"/>
      <c r="K241" s="21"/>
    </row>
    <row r="242">
      <c r="A242" s="210" t="s">
        <v>6565</v>
      </c>
      <c r="B242" s="11"/>
      <c r="C242" s="8" t="s">
        <v>11</v>
      </c>
      <c r="D242" s="8" t="str">
        <f t="shared" si="1"/>
        <v>-</v>
      </c>
      <c r="E242" s="9" t="s">
        <v>11</v>
      </c>
      <c r="F242" s="10"/>
      <c r="G242" s="9"/>
      <c r="H242" s="11"/>
      <c r="I242" s="9" t="s">
        <v>13</v>
      </c>
      <c r="J242" s="21"/>
      <c r="K242" s="21"/>
    </row>
    <row r="243">
      <c r="A243" s="210" t="s">
        <v>6565</v>
      </c>
      <c r="B243" s="11"/>
      <c r="C243" s="8" t="s">
        <v>11</v>
      </c>
      <c r="D243" s="8" t="str">
        <f t="shared" si="1"/>
        <v>-</v>
      </c>
      <c r="E243" s="9" t="s">
        <v>11</v>
      </c>
      <c r="F243" s="10"/>
      <c r="G243" s="9"/>
      <c r="H243" s="11"/>
      <c r="I243" s="9" t="s">
        <v>13</v>
      </c>
      <c r="J243" s="21"/>
      <c r="K243" s="21"/>
    </row>
    <row r="244">
      <c r="A244" s="210" t="s">
        <v>6565</v>
      </c>
      <c r="B244" s="11"/>
      <c r="C244" s="8" t="s">
        <v>11</v>
      </c>
      <c r="D244" s="8" t="str">
        <f t="shared" si="1"/>
        <v>-</v>
      </c>
      <c r="E244" s="9" t="s">
        <v>11</v>
      </c>
      <c r="F244" s="10"/>
      <c r="G244" s="9"/>
      <c r="H244" s="11"/>
      <c r="I244" s="9" t="s">
        <v>13</v>
      </c>
      <c r="J244" s="21"/>
      <c r="K244" s="21"/>
    </row>
    <row r="245">
      <c r="A245" s="210" t="s">
        <v>6565</v>
      </c>
      <c r="B245" s="11"/>
      <c r="C245" s="8" t="s">
        <v>11</v>
      </c>
      <c r="D245" s="8" t="str">
        <f t="shared" si="1"/>
        <v>-</v>
      </c>
      <c r="E245" s="9" t="s">
        <v>11</v>
      </c>
      <c r="F245" s="10"/>
      <c r="G245" s="9"/>
      <c r="H245" s="11"/>
      <c r="I245" s="9" t="s">
        <v>13</v>
      </c>
      <c r="J245" s="21"/>
      <c r="K245" s="21"/>
    </row>
    <row r="246">
      <c r="A246" s="210" t="s">
        <v>6565</v>
      </c>
      <c r="B246" s="11"/>
      <c r="C246" s="8" t="s">
        <v>11</v>
      </c>
      <c r="D246" s="8" t="str">
        <f t="shared" si="1"/>
        <v>-</v>
      </c>
      <c r="E246" s="9" t="s">
        <v>11</v>
      </c>
      <c r="F246" s="10"/>
      <c r="G246" s="9"/>
      <c r="H246" s="11"/>
      <c r="I246" s="9" t="s">
        <v>13</v>
      </c>
      <c r="J246" s="21"/>
      <c r="K246" s="21"/>
    </row>
    <row r="247">
      <c r="A247" s="210" t="s">
        <v>6565</v>
      </c>
      <c r="B247" s="11"/>
      <c r="C247" s="8" t="s">
        <v>11</v>
      </c>
      <c r="D247" s="8" t="str">
        <f t="shared" si="1"/>
        <v>-</v>
      </c>
      <c r="E247" s="9" t="s">
        <v>11</v>
      </c>
      <c r="F247" s="10"/>
      <c r="G247" s="9"/>
      <c r="H247" s="11"/>
      <c r="I247" s="9" t="s">
        <v>13</v>
      </c>
      <c r="J247" s="21"/>
      <c r="K247" s="21"/>
    </row>
    <row r="248">
      <c r="A248" s="210" t="s">
        <v>6565</v>
      </c>
      <c r="B248" s="11"/>
      <c r="C248" s="8" t="s">
        <v>11</v>
      </c>
      <c r="D248" s="8" t="str">
        <f t="shared" si="1"/>
        <v>-</v>
      </c>
      <c r="E248" s="9" t="s">
        <v>11</v>
      </c>
      <c r="F248" s="10"/>
      <c r="G248" s="9"/>
      <c r="H248" s="11"/>
      <c r="I248" s="9" t="s">
        <v>13</v>
      </c>
      <c r="J248" s="21"/>
      <c r="K248" s="21"/>
    </row>
    <row r="249">
      <c r="A249" s="210" t="s">
        <v>6565</v>
      </c>
      <c r="B249" s="11"/>
      <c r="C249" s="8" t="s">
        <v>11</v>
      </c>
      <c r="D249" s="8" t="str">
        <f t="shared" si="1"/>
        <v>-</v>
      </c>
      <c r="E249" s="9" t="s">
        <v>11</v>
      </c>
      <c r="F249" s="10"/>
      <c r="G249" s="9"/>
      <c r="H249" s="11"/>
      <c r="I249" s="9" t="s">
        <v>13</v>
      </c>
      <c r="J249" s="21"/>
      <c r="K249" s="21"/>
    </row>
    <row r="250">
      <c r="A250" s="210" t="s">
        <v>6565</v>
      </c>
      <c r="B250" s="11"/>
      <c r="C250" s="8" t="s">
        <v>11</v>
      </c>
      <c r="D250" s="8" t="str">
        <f t="shared" si="1"/>
        <v>-</v>
      </c>
      <c r="E250" s="9" t="s">
        <v>11</v>
      </c>
      <c r="F250" s="10"/>
      <c r="G250" s="9"/>
      <c r="H250" s="11"/>
      <c r="I250" s="9" t="s">
        <v>13</v>
      </c>
      <c r="J250" s="21"/>
      <c r="K250" s="21"/>
    </row>
    <row r="251">
      <c r="A251" s="210" t="s">
        <v>6565</v>
      </c>
      <c r="B251" s="11"/>
      <c r="C251" s="8" t="s">
        <v>11</v>
      </c>
      <c r="D251" s="8" t="str">
        <f t="shared" si="1"/>
        <v>-</v>
      </c>
      <c r="E251" s="9" t="s">
        <v>11</v>
      </c>
      <c r="F251" s="10"/>
      <c r="G251" s="9"/>
      <c r="H251" s="11"/>
      <c r="I251" s="9" t="s">
        <v>13</v>
      </c>
      <c r="J251" s="21"/>
      <c r="K251" s="21"/>
    </row>
    <row r="252">
      <c r="A252" s="210" t="s">
        <v>6565</v>
      </c>
      <c r="B252" s="11"/>
      <c r="C252" s="8" t="s">
        <v>11</v>
      </c>
      <c r="D252" s="8" t="str">
        <f t="shared" si="1"/>
        <v>-</v>
      </c>
      <c r="E252" s="9" t="s">
        <v>11</v>
      </c>
      <c r="F252" s="10"/>
      <c r="G252" s="9"/>
      <c r="H252" s="11"/>
      <c r="I252" s="9" t="s">
        <v>13</v>
      </c>
      <c r="J252" s="21"/>
      <c r="K252" s="21"/>
    </row>
    <row r="253">
      <c r="A253" s="210" t="s">
        <v>6565</v>
      </c>
      <c r="B253" s="11"/>
      <c r="C253" s="8" t="s">
        <v>11</v>
      </c>
      <c r="D253" s="8" t="str">
        <f t="shared" si="1"/>
        <v>-</v>
      </c>
      <c r="E253" s="9" t="s">
        <v>11</v>
      </c>
      <c r="F253" s="10"/>
      <c r="G253" s="9"/>
      <c r="H253" s="11"/>
      <c r="I253" s="9" t="s">
        <v>13</v>
      </c>
      <c r="J253" s="21"/>
      <c r="K253" s="21"/>
    </row>
    <row r="254">
      <c r="A254" s="210" t="s">
        <v>6565</v>
      </c>
      <c r="B254" s="11"/>
      <c r="C254" s="8" t="s">
        <v>11</v>
      </c>
      <c r="D254" s="8" t="str">
        <f t="shared" si="1"/>
        <v>-</v>
      </c>
      <c r="E254" s="9" t="s">
        <v>11</v>
      </c>
      <c r="F254" s="10"/>
      <c r="G254" s="9"/>
      <c r="H254" s="11"/>
      <c r="I254" s="9" t="s">
        <v>13</v>
      </c>
      <c r="J254" s="21"/>
      <c r="K254" s="21"/>
    </row>
    <row r="255">
      <c r="A255" s="210" t="s">
        <v>6565</v>
      </c>
      <c r="B255" s="11"/>
      <c r="C255" s="8" t="s">
        <v>11</v>
      </c>
      <c r="D255" s="8" t="str">
        <f t="shared" si="1"/>
        <v>-</v>
      </c>
      <c r="E255" s="9" t="s">
        <v>11</v>
      </c>
      <c r="F255" s="10"/>
      <c r="G255" s="9"/>
      <c r="H255" s="11"/>
      <c r="I255" s="9" t="s">
        <v>13</v>
      </c>
      <c r="J255" s="21"/>
      <c r="K255" s="21"/>
    </row>
    <row r="256">
      <c r="A256" s="210" t="s">
        <v>6565</v>
      </c>
      <c r="B256" s="11"/>
      <c r="C256" s="8" t="s">
        <v>11</v>
      </c>
      <c r="D256" s="8" t="str">
        <f t="shared" si="1"/>
        <v>-</v>
      </c>
      <c r="E256" s="9" t="s">
        <v>11</v>
      </c>
      <c r="F256" s="10"/>
      <c r="G256" s="9"/>
      <c r="H256" s="11"/>
      <c r="I256" s="9" t="s">
        <v>13</v>
      </c>
      <c r="J256" s="21"/>
      <c r="K256" s="21"/>
    </row>
    <row r="257">
      <c r="A257" s="210" t="s">
        <v>6565</v>
      </c>
      <c r="B257" s="11"/>
      <c r="C257" s="8" t="s">
        <v>11</v>
      </c>
      <c r="D257" s="8" t="str">
        <f t="shared" si="1"/>
        <v>-</v>
      </c>
      <c r="E257" s="9" t="s">
        <v>11</v>
      </c>
      <c r="F257" s="10"/>
      <c r="G257" s="9"/>
      <c r="H257" s="11"/>
      <c r="I257" s="9" t="s">
        <v>13</v>
      </c>
      <c r="J257" s="21"/>
      <c r="K257" s="21"/>
    </row>
    <row r="258">
      <c r="A258" s="210" t="s">
        <v>6565</v>
      </c>
      <c r="B258" s="11"/>
      <c r="C258" s="8" t="s">
        <v>11</v>
      </c>
      <c r="D258" s="8" t="str">
        <f t="shared" si="1"/>
        <v>-</v>
      </c>
      <c r="E258" s="9" t="s">
        <v>11</v>
      </c>
      <c r="F258" s="10"/>
      <c r="G258" s="9"/>
      <c r="H258" s="11"/>
      <c r="I258" s="9" t="s">
        <v>13</v>
      </c>
      <c r="J258" s="21"/>
      <c r="K258" s="21"/>
    </row>
    <row r="259">
      <c r="A259" s="210" t="s">
        <v>6565</v>
      </c>
      <c r="B259" s="11"/>
      <c r="C259" s="8" t="s">
        <v>11</v>
      </c>
      <c r="D259" s="8" t="str">
        <f t="shared" si="1"/>
        <v>-</v>
      </c>
      <c r="E259" s="9" t="s">
        <v>11</v>
      </c>
      <c r="F259" s="10"/>
      <c r="G259" s="9"/>
      <c r="H259" s="11"/>
      <c r="I259" s="9" t="s">
        <v>13</v>
      </c>
      <c r="J259" s="21"/>
      <c r="K259" s="21"/>
    </row>
    <row r="260">
      <c r="A260" s="210" t="s">
        <v>6565</v>
      </c>
      <c r="B260" s="11"/>
      <c r="C260" s="8" t="s">
        <v>11</v>
      </c>
      <c r="D260" s="8" t="str">
        <f t="shared" si="1"/>
        <v>-</v>
      </c>
      <c r="E260" s="9" t="s">
        <v>11</v>
      </c>
      <c r="F260" s="10"/>
      <c r="G260" s="9"/>
      <c r="H260" s="11"/>
      <c r="I260" s="9" t="s">
        <v>13</v>
      </c>
      <c r="J260" s="21"/>
      <c r="K260" s="21"/>
    </row>
    <row r="261">
      <c r="A261" s="210" t="s">
        <v>6565</v>
      </c>
      <c r="B261" s="11"/>
      <c r="C261" s="8" t="s">
        <v>11</v>
      </c>
      <c r="D261" s="8" t="str">
        <f t="shared" si="1"/>
        <v>-</v>
      </c>
      <c r="E261" s="9" t="s">
        <v>11</v>
      </c>
      <c r="F261" s="10"/>
      <c r="G261" s="9"/>
      <c r="H261" s="11"/>
      <c r="I261" s="9" t="s">
        <v>13</v>
      </c>
      <c r="J261" s="21"/>
      <c r="K261" s="21"/>
    </row>
    <row r="262">
      <c r="A262" s="210" t="s">
        <v>6565</v>
      </c>
      <c r="B262" s="11"/>
      <c r="C262" s="8" t="s">
        <v>11</v>
      </c>
      <c r="D262" s="8" t="str">
        <f t="shared" si="1"/>
        <v>-</v>
      </c>
      <c r="E262" s="9" t="s">
        <v>11</v>
      </c>
      <c r="F262" s="10"/>
      <c r="G262" s="9"/>
      <c r="H262" s="11"/>
      <c r="I262" s="9" t="s">
        <v>13</v>
      </c>
      <c r="J262" s="21"/>
      <c r="K262" s="21"/>
    </row>
    <row r="263">
      <c r="A263" s="210" t="s">
        <v>6565</v>
      </c>
      <c r="B263" s="11"/>
      <c r="C263" s="8" t="s">
        <v>11</v>
      </c>
      <c r="D263" s="8" t="str">
        <f t="shared" si="1"/>
        <v>-</v>
      </c>
      <c r="E263" s="9" t="s">
        <v>11</v>
      </c>
      <c r="F263" s="10"/>
      <c r="G263" s="9"/>
      <c r="H263" s="11"/>
      <c r="I263" s="9" t="s">
        <v>13</v>
      </c>
      <c r="J263" s="21"/>
      <c r="K263" s="21"/>
    </row>
    <row r="264">
      <c r="A264" s="210" t="s">
        <v>6565</v>
      </c>
      <c r="B264" s="11"/>
      <c r="C264" s="8" t="s">
        <v>11</v>
      </c>
      <c r="D264" s="8" t="str">
        <f t="shared" si="1"/>
        <v>-</v>
      </c>
      <c r="E264" s="9" t="s">
        <v>11</v>
      </c>
      <c r="F264" s="10"/>
      <c r="G264" s="9"/>
      <c r="H264" s="11"/>
      <c r="I264" s="9" t="s">
        <v>13</v>
      </c>
      <c r="J264" s="21"/>
      <c r="K264" s="21"/>
    </row>
    <row r="265">
      <c r="A265" s="210" t="s">
        <v>6565</v>
      </c>
      <c r="B265" s="11"/>
      <c r="C265" s="8" t="s">
        <v>11</v>
      </c>
      <c r="D265" s="8" t="str">
        <f t="shared" si="1"/>
        <v>-</v>
      </c>
      <c r="E265" s="9" t="s">
        <v>11</v>
      </c>
      <c r="F265" s="10"/>
      <c r="G265" s="9"/>
      <c r="H265" s="11"/>
      <c r="I265" s="9" t="s">
        <v>13</v>
      </c>
      <c r="J265" s="21"/>
      <c r="K265" s="21"/>
    </row>
    <row r="266">
      <c r="A266" s="210" t="s">
        <v>6565</v>
      </c>
      <c r="B266" s="11"/>
      <c r="C266" s="8" t="s">
        <v>11</v>
      </c>
      <c r="D266" s="8" t="str">
        <f t="shared" si="1"/>
        <v>-</v>
      </c>
      <c r="E266" s="9" t="s">
        <v>11</v>
      </c>
      <c r="F266" s="10"/>
      <c r="G266" s="9"/>
      <c r="H266" s="11"/>
      <c r="I266" s="9" t="s">
        <v>13</v>
      </c>
      <c r="J266" s="21"/>
      <c r="K266" s="21"/>
    </row>
    <row r="267">
      <c r="A267" s="210" t="s">
        <v>6565</v>
      </c>
      <c r="B267" s="11"/>
      <c r="C267" s="8" t="s">
        <v>11</v>
      </c>
      <c r="D267" s="8" t="str">
        <f t="shared" si="1"/>
        <v>-</v>
      </c>
      <c r="E267" s="9" t="s">
        <v>11</v>
      </c>
      <c r="F267" s="10"/>
      <c r="G267" s="9"/>
      <c r="H267" s="11"/>
      <c r="I267" s="9" t="s">
        <v>13</v>
      </c>
      <c r="J267" s="21"/>
      <c r="K267" s="21"/>
    </row>
    <row r="268">
      <c r="A268" s="210" t="s">
        <v>6565</v>
      </c>
      <c r="B268" s="11"/>
      <c r="C268" s="8" t="s">
        <v>11</v>
      </c>
      <c r="D268" s="8" t="str">
        <f t="shared" si="1"/>
        <v>-</v>
      </c>
      <c r="E268" s="9" t="s">
        <v>11</v>
      </c>
      <c r="F268" s="10"/>
      <c r="G268" s="9"/>
      <c r="H268" s="11"/>
      <c r="I268" s="9" t="s">
        <v>13</v>
      </c>
      <c r="J268" s="21"/>
      <c r="K268" s="21"/>
    </row>
    <row r="269">
      <c r="A269" s="210" t="s">
        <v>6565</v>
      </c>
      <c r="B269" s="11"/>
      <c r="C269" s="8" t="s">
        <v>11</v>
      </c>
      <c r="D269" s="8" t="str">
        <f t="shared" si="1"/>
        <v>-</v>
      </c>
      <c r="E269" s="9" t="s">
        <v>11</v>
      </c>
      <c r="F269" s="10"/>
      <c r="G269" s="9"/>
      <c r="H269" s="11"/>
      <c r="I269" s="9" t="s">
        <v>13</v>
      </c>
      <c r="J269" s="21"/>
      <c r="K269" s="21"/>
    </row>
    <row r="270">
      <c r="A270" s="210" t="s">
        <v>6565</v>
      </c>
      <c r="B270" s="11"/>
      <c r="C270" s="8" t="s">
        <v>11</v>
      </c>
      <c r="D270" s="8" t="str">
        <f t="shared" si="1"/>
        <v>-</v>
      </c>
      <c r="E270" s="9" t="s">
        <v>11</v>
      </c>
      <c r="F270" s="10"/>
      <c r="G270" s="9"/>
      <c r="H270" s="11"/>
      <c r="I270" s="9" t="s">
        <v>13</v>
      </c>
      <c r="J270" s="21"/>
      <c r="K270" s="21"/>
    </row>
    <row r="271">
      <c r="A271" s="210" t="s">
        <v>6565</v>
      </c>
      <c r="B271" s="11"/>
      <c r="C271" s="8" t="s">
        <v>11</v>
      </c>
      <c r="D271" s="8" t="str">
        <f t="shared" si="1"/>
        <v>-</v>
      </c>
      <c r="E271" s="9" t="s">
        <v>11</v>
      </c>
      <c r="F271" s="10"/>
      <c r="G271" s="9"/>
      <c r="H271" s="11"/>
      <c r="I271" s="9" t="s">
        <v>13</v>
      </c>
      <c r="J271" s="21"/>
      <c r="K271" s="21"/>
    </row>
    <row r="272">
      <c r="A272" s="210" t="s">
        <v>6565</v>
      </c>
      <c r="B272" s="11"/>
      <c r="C272" s="8" t="s">
        <v>11</v>
      </c>
      <c r="D272" s="8" t="str">
        <f t="shared" si="1"/>
        <v>-</v>
      </c>
      <c r="E272" s="9" t="s">
        <v>11</v>
      </c>
      <c r="F272" s="10"/>
      <c r="G272" s="9"/>
      <c r="H272" s="11"/>
      <c r="I272" s="9" t="s">
        <v>13</v>
      </c>
      <c r="J272" s="21"/>
      <c r="K272" s="21"/>
    </row>
    <row r="273">
      <c r="A273" s="210" t="s">
        <v>6565</v>
      </c>
      <c r="B273" s="11"/>
      <c r="C273" s="8" t="s">
        <v>11</v>
      </c>
      <c r="D273" s="8" t="str">
        <f t="shared" si="1"/>
        <v>-</v>
      </c>
      <c r="E273" s="9" t="s">
        <v>11</v>
      </c>
      <c r="F273" s="10"/>
      <c r="G273" s="9"/>
      <c r="H273" s="11"/>
      <c r="I273" s="9" t="s">
        <v>13</v>
      </c>
      <c r="J273" s="21"/>
      <c r="K273" s="21"/>
    </row>
    <row r="274">
      <c r="A274" s="210" t="s">
        <v>6565</v>
      </c>
      <c r="B274" s="11"/>
      <c r="C274" s="8" t="s">
        <v>11</v>
      </c>
      <c r="D274" s="8" t="str">
        <f t="shared" si="1"/>
        <v>-</v>
      </c>
      <c r="E274" s="9" t="s">
        <v>11</v>
      </c>
      <c r="F274" s="10"/>
      <c r="G274" s="9"/>
      <c r="H274" s="11"/>
      <c r="I274" s="9" t="s">
        <v>13</v>
      </c>
      <c r="J274" s="21"/>
      <c r="K274" s="21"/>
    </row>
    <row r="275">
      <c r="A275" s="210" t="s">
        <v>6565</v>
      </c>
      <c r="B275" s="11"/>
      <c r="C275" s="8" t="s">
        <v>11</v>
      </c>
      <c r="D275" s="8" t="str">
        <f t="shared" si="1"/>
        <v>-</v>
      </c>
      <c r="E275" s="9" t="s">
        <v>11</v>
      </c>
      <c r="F275" s="10"/>
      <c r="G275" s="9"/>
      <c r="H275" s="11"/>
      <c r="I275" s="9" t="s">
        <v>13</v>
      </c>
      <c r="J275" s="21"/>
      <c r="K275" s="21"/>
    </row>
    <row r="276">
      <c r="A276" s="210" t="s">
        <v>6565</v>
      </c>
      <c r="B276" s="11"/>
      <c r="C276" s="8" t="s">
        <v>11</v>
      </c>
      <c r="D276" s="8" t="str">
        <f t="shared" si="1"/>
        <v>-</v>
      </c>
      <c r="E276" s="9" t="s">
        <v>11</v>
      </c>
      <c r="F276" s="10"/>
      <c r="G276" s="9"/>
      <c r="H276" s="11"/>
      <c r="I276" s="9" t="s">
        <v>13</v>
      </c>
      <c r="J276" s="21"/>
      <c r="K276" s="21"/>
    </row>
    <row r="277">
      <c r="A277" s="210" t="s">
        <v>6565</v>
      </c>
      <c r="B277" s="11"/>
      <c r="C277" s="8" t="s">
        <v>11</v>
      </c>
      <c r="D277" s="8" t="str">
        <f t="shared" si="1"/>
        <v>-</v>
      </c>
      <c r="E277" s="9" t="s">
        <v>11</v>
      </c>
      <c r="F277" s="10"/>
      <c r="G277" s="9"/>
      <c r="H277" s="11"/>
      <c r="I277" s="9" t="s">
        <v>13</v>
      </c>
      <c r="J277" s="21"/>
      <c r="K277" s="21"/>
    </row>
    <row r="278">
      <c r="A278" s="210" t="s">
        <v>6565</v>
      </c>
      <c r="B278" s="11"/>
      <c r="C278" s="8" t="s">
        <v>11</v>
      </c>
      <c r="D278" s="8" t="str">
        <f t="shared" si="1"/>
        <v>-</v>
      </c>
      <c r="E278" s="9" t="s">
        <v>11</v>
      </c>
      <c r="F278" s="10"/>
      <c r="G278" s="9"/>
      <c r="H278" s="11"/>
      <c r="I278" s="9" t="s">
        <v>13</v>
      </c>
      <c r="J278" s="21"/>
      <c r="K278" s="21"/>
    </row>
    <row r="279">
      <c r="A279" s="210" t="s">
        <v>6565</v>
      </c>
      <c r="B279" s="11"/>
      <c r="C279" s="8"/>
      <c r="D279" s="8"/>
      <c r="E279" s="9"/>
      <c r="F279" s="10"/>
      <c r="G279" s="9"/>
      <c r="H279" s="11"/>
      <c r="I279" s="9"/>
      <c r="J279" s="21"/>
      <c r="K279" s="21"/>
    </row>
  </sheetData>
  <mergeCells count="1">
    <mergeCell ref="A1:J1"/>
  </mergeCells>
  <conditionalFormatting sqref="A1:K279">
    <cfRule type="containsText" dxfId="0" priority="1" operator="containsText" text="FAB A FAIRE">
      <formula>NOT(ISERROR(SEARCH(("FAB A FAIRE"),(A1))))</formula>
    </cfRule>
  </conditionalFormatting>
  <conditionalFormatting sqref="B3:H279">
    <cfRule type="expression" dxfId="1" priority="2">
      <formula>$G3="Stand-by"</formula>
    </cfRule>
  </conditionalFormatting>
  <conditionalFormatting sqref="G2:G279">
    <cfRule type="cellIs" dxfId="2" priority="3" operator="equal">
      <formula>"A faire"</formula>
    </cfRule>
  </conditionalFormatting>
  <conditionalFormatting sqref="G2:G279">
    <cfRule type="cellIs" dxfId="3" priority="4" operator="equal">
      <formula>"En cours"</formula>
    </cfRule>
  </conditionalFormatting>
  <conditionalFormatting sqref="B3:H279">
    <cfRule type="expression" dxfId="4" priority="5">
      <formula>$G3="Sur T.L."</formula>
    </cfRule>
  </conditionalFormatting>
  <conditionalFormatting sqref="G2:G279">
    <cfRule type="cellIs" dxfId="5" priority="6" operator="equal">
      <formula>"Attente R."</formula>
    </cfRule>
  </conditionalFormatting>
  <conditionalFormatting sqref="F2:F279">
    <cfRule type="timePeriod" dxfId="6" priority="7" timePeriod="today"/>
  </conditionalFormatting>
  <conditionalFormatting sqref="F2:F279">
    <cfRule type="expression" dxfId="7" priority="8">
      <formula>AND(ISNUMBER(F2),TRUNC(F2)&lt;TODAY())</formula>
    </cfRule>
  </conditionalFormatting>
  <conditionalFormatting sqref="G2:G279">
    <cfRule type="cellIs" dxfId="8" priority="9" operator="equal">
      <formula>"Mairie"</formula>
    </cfRule>
  </conditionalFormatting>
  <conditionalFormatting sqref="H2:H279">
    <cfRule type="containsText" dxfId="9" priority="10" operator="containsText" text="REPRISE DOSSIER CAROLE">
      <formula>NOT(ISERROR(SEARCH(("REPRISE DOSSIER CAROLE"),(H2))))</formula>
    </cfRule>
  </conditionalFormatting>
  <dataValidations>
    <dataValidation type="list" allowBlank="1" sqref="G3:G279">
      <formula1>"-,A faire,En cours,Attente R.,Stand-by,Sur T.L.,Mairie"</formula1>
    </dataValidation>
    <dataValidation type="list" allowBlank="1" sqref="E279">
      <formula1>"-,M,A"</formula1>
    </dataValidation>
    <dataValidation type="list" allowBlank="1" sqref="E3:E278">
      <formula1>"-,M,A,S,L,D"</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8.25"/>
    <col customWidth="1" min="3" max="3" width="9.38"/>
    <col customWidth="1" min="4" max="4" width="12.13"/>
    <col customWidth="1" min="5" max="5" width="6.88"/>
    <col customWidth="1" min="6" max="6" width="8.63"/>
    <col customWidth="1" min="7" max="7" width="11.88"/>
    <col customWidth="1" min="8" max="8" width="101.38"/>
    <col customWidth="1" min="9" max="9" width="11.63"/>
    <col customWidth="1" min="10" max="10" width="2.63"/>
  </cols>
  <sheetData>
    <row r="1" ht="24.0" customHeight="1">
      <c r="A1" s="36" t="s">
        <v>9155</v>
      </c>
    </row>
    <row r="2">
      <c r="A2" s="37"/>
      <c r="B2" s="69" t="s">
        <v>1</v>
      </c>
      <c r="C2" s="39" t="s">
        <v>2</v>
      </c>
      <c r="D2" s="39" t="s">
        <v>3</v>
      </c>
      <c r="E2" s="40" t="s">
        <v>4</v>
      </c>
      <c r="F2" s="39" t="s">
        <v>5</v>
      </c>
      <c r="G2" s="40" t="s">
        <v>6</v>
      </c>
      <c r="H2" s="40" t="s">
        <v>7</v>
      </c>
      <c r="I2" s="40" t="s">
        <v>8</v>
      </c>
      <c r="J2" s="41"/>
    </row>
    <row r="3">
      <c r="A3" s="42" t="s">
        <v>88</v>
      </c>
      <c r="B3" s="11" t="s">
        <v>9156</v>
      </c>
      <c r="C3" s="8">
        <v>44817.50007491898</v>
      </c>
      <c r="D3" s="9" t="s">
        <v>11</v>
      </c>
      <c r="E3" s="9" t="s">
        <v>88</v>
      </c>
      <c r="F3" s="10"/>
      <c r="G3" s="9" t="s">
        <v>18</v>
      </c>
      <c r="H3" s="98" t="s">
        <v>9157</v>
      </c>
      <c r="I3" s="9" t="s">
        <v>13</v>
      </c>
      <c r="J3" s="44"/>
    </row>
    <row r="4">
      <c r="A4" s="42" t="s">
        <v>88</v>
      </c>
      <c r="B4" s="322" t="s">
        <v>9158</v>
      </c>
      <c r="C4" s="8">
        <v>44817.49405354167</v>
      </c>
      <c r="D4" s="9" t="s">
        <v>11</v>
      </c>
      <c r="E4" s="9" t="s">
        <v>88</v>
      </c>
      <c r="F4" s="8"/>
      <c r="G4" s="9" t="s">
        <v>18</v>
      </c>
      <c r="H4" s="9" t="s">
        <v>9159</v>
      </c>
      <c r="I4" s="9" t="s">
        <v>13</v>
      </c>
      <c r="J4" s="44"/>
    </row>
    <row r="5">
      <c r="A5" s="42" t="s">
        <v>88</v>
      </c>
      <c r="B5" s="11" t="s">
        <v>9160</v>
      </c>
      <c r="C5" s="8">
        <v>44817.50182592592</v>
      </c>
      <c r="D5" s="9" t="s">
        <v>11</v>
      </c>
      <c r="E5" s="9" t="s">
        <v>88</v>
      </c>
      <c r="F5" s="10"/>
      <c r="G5" s="9" t="s">
        <v>18</v>
      </c>
      <c r="H5" s="98" t="s">
        <v>9161</v>
      </c>
      <c r="I5" s="9" t="s">
        <v>13</v>
      </c>
      <c r="J5" s="44"/>
    </row>
    <row r="6">
      <c r="A6" s="42" t="s">
        <v>88</v>
      </c>
      <c r="B6" s="11"/>
      <c r="C6" s="8" t="s">
        <v>11</v>
      </c>
      <c r="D6" s="8" t="str">
        <f t="shared" ref="D6:D826" si="1">IFERROR(_xlfn.WORKDAY.INTL(C6, 2),"-")</f>
        <v>-</v>
      </c>
      <c r="E6" s="9" t="s">
        <v>11</v>
      </c>
      <c r="F6" s="10"/>
      <c r="G6" s="9"/>
      <c r="H6" s="26"/>
      <c r="I6" s="9" t="s">
        <v>13</v>
      </c>
      <c r="J6" s="44"/>
    </row>
    <row r="7">
      <c r="A7" s="42" t="s">
        <v>88</v>
      </c>
      <c r="B7" s="11"/>
      <c r="C7" s="8" t="s">
        <v>11</v>
      </c>
      <c r="D7" s="8" t="str">
        <f t="shared" si="1"/>
        <v>-</v>
      </c>
      <c r="E7" s="9" t="s">
        <v>11</v>
      </c>
      <c r="F7" s="10"/>
      <c r="G7" s="9"/>
      <c r="H7" s="26"/>
      <c r="I7" s="9" t="s">
        <v>13</v>
      </c>
      <c r="J7" s="44"/>
    </row>
    <row r="8">
      <c r="A8" s="42" t="s">
        <v>88</v>
      </c>
      <c r="B8" s="11"/>
      <c r="C8" s="8" t="s">
        <v>11</v>
      </c>
      <c r="D8" s="8" t="str">
        <f t="shared" si="1"/>
        <v>-</v>
      </c>
      <c r="E8" s="9" t="s">
        <v>11</v>
      </c>
      <c r="F8" s="10"/>
      <c r="G8" s="9"/>
      <c r="H8" s="26"/>
      <c r="I8" s="9" t="s">
        <v>13</v>
      </c>
      <c r="J8" s="44"/>
    </row>
    <row r="9">
      <c r="A9" s="42" t="s">
        <v>88</v>
      </c>
      <c r="B9" s="11"/>
      <c r="C9" s="8" t="s">
        <v>11</v>
      </c>
      <c r="D9" s="8" t="str">
        <f t="shared" si="1"/>
        <v>-</v>
      </c>
      <c r="E9" s="9" t="s">
        <v>11</v>
      </c>
      <c r="F9" s="10"/>
      <c r="G9" s="9"/>
      <c r="H9" s="26"/>
      <c r="I9" s="9" t="s">
        <v>13</v>
      </c>
      <c r="J9" s="44"/>
    </row>
    <row r="10">
      <c r="A10" s="42" t="s">
        <v>88</v>
      </c>
      <c r="B10" s="11"/>
      <c r="C10" s="8" t="s">
        <v>11</v>
      </c>
      <c r="D10" s="8" t="str">
        <f t="shared" si="1"/>
        <v>-</v>
      </c>
      <c r="E10" s="9" t="s">
        <v>11</v>
      </c>
      <c r="F10" s="10"/>
      <c r="G10" s="9"/>
      <c r="H10" s="26"/>
      <c r="I10" s="9" t="s">
        <v>13</v>
      </c>
      <c r="J10" s="44"/>
    </row>
    <row r="11">
      <c r="A11" s="42" t="s">
        <v>88</v>
      </c>
      <c r="B11" s="11"/>
      <c r="C11" s="8" t="s">
        <v>11</v>
      </c>
      <c r="D11" s="8" t="str">
        <f t="shared" si="1"/>
        <v>-</v>
      </c>
      <c r="E11" s="9" t="s">
        <v>11</v>
      </c>
      <c r="F11" s="10"/>
      <c r="G11" s="9"/>
      <c r="H11" s="26"/>
      <c r="I11" s="9" t="s">
        <v>13</v>
      </c>
      <c r="J11" s="44"/>
    </row>
    <row r="12">
      <c r="A12" s="42" t="s">
        <v>88</v>
      </c>
      <c r="B12" s="11"/>
      <c r="C12" s="8" t="s">
        <v>11</v>
      </c>
      <c r="D12" s="8" t="str">
        <f t="shared" si="1"/>
        <v>-</v>
      </c>
      <c r="E12" s="9" t="s">
        <v>11</v>
      </c>
      <c r="F12" s="10"/>
      <c r="G12" s="9"/>
      <c r="H12" s="26"/>
      <c r="I12" s="9" t="s">
        <v>13</v>
      </c>
      <c r="J12" s="44"/>
    </row>
    <row r="13">
      <c r="A13" s="42" t="s">
        <v>88</v>
      </c>
      <c r="B13" s="11"/>
      <c r="C13" s="8" t="s">
        <v>11</v>
      </c>
      <c r="D13" s="8" t="str">
        <f t="shared" si="1"/>
        <v>-</v>
      </c>
      <c r="E13" s="9" t="s">
        <v>11</v>
      </c>
      <c r="F13" s="10"/>
      <c r="G13" s="9"/>
      <c r="H13" s="26"/>
      <c r="I13" s="9" t="s">
        <v>13</v>
      </c>
      <c r="J13" s="44"/>
    </row>
    <row r="14">
      <c r="A14" s="42" t="s">
        <v>88</v>
      </c>
      <c r="B14" s="11"/>
      <c r="C14" s="8" t="s">
        <v>11</v>
      </c>
      <c r="D14" s="8" t="str">
        <f t="shared" si="1"/>
        <v>-</v>
      </c>
      <c r="E14" s="9" t="s">
        <v>11</v>
      </c>
      <c r="F14" s="10"/>
      <c r="G14" s="9"/>
      <c r="H14" s="26"/>
      <c r="I14" s="9" t="s">
        <v>13</v>
      </c>
      <c r="J14" s="44"/>
    </row>
    <row r="15">
      <c r="A15" s="42" t="s">
        <v>88</v>
      </c>
      <c r="B15" s="11"/>
      <c r="C15" s="8" t="s">
        <v>11</v>
      </c>
      <c r="D15" s="8" t="str">
        <f t="shared" si="1"/>
        <v>-</v>
      </c>
      <c r="E15" s="9" t="s">
        <v>11</v>
      </c>
      <c r="F15" s="10"/>
      <c r="G15" s="9"/>
      <c r="H15" s="26"/>
      <c r="I15" s="9" t="s">
        <v>13</v>
      </c>
      <c r="J15" s="44"/>
    </row>
    <row r="16">
      <c r="A16" s="42" t="s">
        <v>88</v>
      </c>
      <c r="B16" s="11"/>
      <c r="C16" s="8" t="s">
        <v>11</v>
      </c>
      <c r="D16" s="8" t="str">
        <f t="shared" si="1"/>
        <v>-</v>
      </c>
      <c r="E16" s="9" t="s">
        <v>11</v>
      </c>
      <c r="F16" s="10"/>
      <c r="G16" s="9"/>
      <c r="H16" s="26"/>
      <c r="I16" s="9" t="s">
        <v>13</v>
      </c>
      <c r="J16" s="44"/>
    </row>
    <row r="17">
      <c r="A17" s="42" t="s">
        <v>88</v>
      </c>
      <c r="B17" s="11"/>
      <c r="C17" s="8" t="s">
        <v>11</v>
      </c>
      <c r="D17" s="8" t="str">
        <f t="shared" si="1"/>
        <v>-</v>
      </c>
      <c r="E17" s="9" t="s">
        <v>11</v>
      </c>
      <c r="F17" s="10"/>
      <c r="G17" s="9"/>
      <c r="H17" s="26"/>
      <c r="I17" s="9" t="s">
        <v>13</v>
      </c>
      <c r="J17" s="44"/>
    </row>
    <row r="18">
      <c r="A18" s="42" t="s">
        <v>88</v>
      </c>
      <c r="B18" s="11"/>
      <c r="C18" s="8" t="s">
        <v>11</v>
      </c>
      <c r="D18" s="8" t="str">
        <f t="shared" si="1"/>
        <v>-</v>
      </c>
      <c r="E18" s="9" t="s">
        <v>11</v>
      </c>
      <c r="F18" s="10"/>
      <c r="G18" s="9"/>
      <c r="H18" s="26"/>
      <c r="I18" s="9" t="s">
        <v>13</v>
      </c>
      <c r="J18" s="44"/>
    </row>
    <row r="19">
      <c r="A19" s="42" t="s">
        <v>88</v>
      </c>
      <c r="B19" s="11"/>
      <c r="C19" s="8" t="s">
        <v>11</v>
      </c>
      <c r="D19" s="8" t="str">
        <f t="shared" si="1"/>
        <v>-</v>
      </c>
      <c r="E19" s="9" t="s">
        <v>11</v>
      </c>
      <c r="F19" s="10"/>
      <c r="G19" s="9"/>
      <c r="H19" s="26"/>
      <c r="I19" s="9" t="s">
        <v>13</v>
      </c>
      <c r="J19" s="44"/>
    </row>
    <row r="20">
      <c r="A20" s="42" t="s">
        <v>88</v>
      </c>
      <c r="B20" s="11"/>
      <c r="C20" s="8" t="s">
        <v>11</v>
      </c>
      <c r="D20" s="8" t="str">
        <f t="shared" si="1"/>
        <v>-</v>
      </c>
      <c r="E20" s="9" t="s">
        <v>11</v>
      </c>
      <c r="F20" s="10"/>
      <c r="G20" s="9"/>
      <c r="H20" s="26"/>
      <c r="I20" s="9" t="s">
        <v>13</v>
      </c>
      <c r="J20" s="44"/>
    </row>
    <row r="21">
      <c r="A21" s="42" t="s">
        <v>88</v>
      </c>
      <c r="B21" s="11"/>
      <c r="C21" s="8" t="s">
        <v>11</v>
      </c>
      <c r="D21" s="8" t="str">
        <f t="shared" si="1"/>
        <v>-</v>
      </c>
      <c r="E21" s="9" t="s">
        <v>11</v>
      </c>
      <c r="F21" s="10"/>
      <c r="G21" s="9"/>
      <c r="H21" s="26"/>
      <c r="I21" s="9" t="s">
        <v>13</v>
      </c>
      <c r="J21" s="44"/>
    </row>
    <row r="22">
      <c r="A22" s="42" t="s">
        <v>88</v>
      </c>
      <c r="B22" s="11"/>
      <c r="C22" s="8" t="s">
        <v>11</v>
      </c>
      <c r="D22" s="8" t="str">
        <f t="shared" si="1"/>
        <v>-</v>
      </c>
      <c r="E22" s="9" t="s">
        <v>11</v>
      </c>
      <c r="F22" s="10"/>
      <c r="G22" s="9"/>
      <c r="H22" s="26"/>
      <c r="I22" s="9" t="s">
        <v>13</v>
      </c>
      <c r="J22" s="44"/>
    </row>
    <row r="23">
      <c r="A23" s="42" t="s">
        <v>88</v>
      </c>
      <c r="B23" s="11"/>
      <c r="C23" s="8" t="s">
        <v>11</v>
      </c>
      <c r="D23" s="8" t="str">
        <f t="shared" si="1"/>
        <v>-</v>
      </c>
      <c r="E23" s="9" t="s">
        <v>11</v>
      </c>
      <c r="F23" s="10"/>
      <c r="G23" s="9"/>
      <c r="H23" s="26"/>
      <c r="I23" s="9" t="s">
        <v>13</v>
      </c>
      <c r="J23" s="44"/>
    </row>
    <row r="24">
      <c r="A24" s="42" t="s">
        <v>88</v>
      </c>
      <c r="B24" s="11"/>
      <c r="C24" s="8" t="s">
        <v>11</v>
      </c>
      <c r="D24" s="8" t="str">
        <f t="shared" si="1"/>
        <v>-</v>
      </c>
      <c r="E24" s="9" t="s">
        <v>11</v>
      </c>
      <c r="F24" s="10"/>
      <c r="G24" s="9"/>
      <c r="H24" s="26"/>
      <c r="I24" s="9" t="s">
        <v>13</v>
      </c>
      <c r="J24" s="44"/>
    </row>
    <row r="25">
      <c r="A25" s="42" t="s">
        <v>88</v>
      </c>
      <c r="B25" s="11"/>
      <c r="C25" s="8" t="s">
        <v>11</v>
      </c>
      <c r="D25" s="8" t="str">
        <f t="shared" si="1"/>
        <v>-</v>
      </c>
      <c r="E25" s="9" t="s">
        <v>11</v>
      </c>
      <c r="F25" s="10"/>
      <c r="G25" s="9"/>
      <c r="H25" s="26"/>
      <c r="I25" s="9" t="s">
        <v>13</v>
      </c>
      <c r="J25" s="44"/>
    </row>
    <row r="26">
      <c r="A26" s="42" t="s">
        <v>88</v>
      </c>
      <c r="B26" s="11"/>
      <c r="C26" s="8" t="s">
        <v>11</v>
      </c>
      <c r="D26" s="8" t="str">
        <f t="shared" si="1"/>
        <v>-</v>
      </c>
      <c r="E26" s="9" t="s">
        <v>11</v>
      </c>
      <c r="F26" s="10"/>
      <c r="G26" s="9"/>
      <c r="H26" s="26"/>
      <c r="I26" s="9" t="s">
        <v>13</v>
      </c>
      <c r="J26" s="44"/>
    </row>
    <row r="27">
      <c r="A27" s="42" t="s">
        <v>88</v>
      </c>
      <c r="B27" s="11"/>
      <c r="C27" s="8" t="s">
        <v>11</v>
      </c>
      <c r="D27" s="8" t="str">
        <f t="shared" si="1"/>
        <v>-</v>
      </c>
      <c r="E27" s="9" t="s">
        <v>11</v>
      </c>
      <c r="F27" s="10"/>
      <c r="G27" s="9"/>
      <c r="H27" s="26"/>
      <c r="I27" s="9" t="s">
        <v>13</v>
      </c>
      <c r="J27" s="44"/>
    </row>
    <row r="28">
      <c r="A28" s="42" t="s">
        <v>88</v>
      </c>
      <c r="B28" s="11"/>
      <c r="C28" s="8" t="s">
        <v>11</v>
      </c>
      <c r="D28" s="8" t="str">
        <f t="shared" si="1"/>
        <v>-</v>
      </c>
      <c r="E28" s="9" t="s">
        <v>11</v>
      </c>
      <c r="F28" s="10"/>
      <c r="G28" s="9"/>
      <c r="H28" s="26"/>
      <c r="I28" s="9" t="s">
        <v>13</v>
      </c>
      <c r="J28" s="44"/>
    </row>
    <row r="29">
      <c r="A29" s="42" t="s">
        <v>88</v>
      </c>
      <c r="B29" s="11"/>
      <c r="C29" s="8" t="s">
        <v>11</v>
      </c>
      <c r="D29" s="8" t="str">
        <f t="shared" si="1"/>
        <v>-</v>
      </c>
      <c r="E29" s="9" t="s">
        <v>11</v>
      </c>
      <c r="F29" s="10"/>
      <c r="G29" s="9"/>
      <c r="H29" s="26"/>
      <c r="I29" s="9" t="s">
        <v>13</v>
      </c>
      <c r="J29" s="44"/>
    </row>
    <row r="30">
      <c r="A30" s="42" t="s">
        <v>88</v>
      </c>
      <c r="B30" s="11"/>
      <c r="C30" s="8" t="s">
        <v>11</v>
      </c>
      <c r="D30" s="8" t="str">
        <f t="shared" si="1"/>
        <v>-</v>
      </c>
      <c r="E30" s="9" t="s">
        <v>11</v>
      </c>
      <c r="F30" s="10"/>
      <c r="G30" s="9"/>
      <c r="H30" s="26"/>
      <c r="I30" s="9" t="s">
        <v>13</v>
      </c>
      <c r="J30" s="44"/>
    </row>
    <row r="31">
      <c r="A31" s="42" t="s">
        <v>88</v>
      </c>
      <c r="B31" s="11"/>
      <c r="C31" s="8" t="s">
        <v>11</v>
      </c>
      <c r="D31" s="8" t="str">
        <f t="shared" si="1"/>
        <v>-</v>
      </c>
      <c r="E31" s="9" t="s">
        <v>11</v>
      </c>
      <c r="F31" s="10"/>
      <c r="G31" s="9"/>
      <c r="H31" s="26"/>
      <c r="I31" s="9" t="s">
        <v>13</v>
      </c>
      <c r="J31" s="44"/>
    </row>
    <row r="32">
      <c r="A32" s="42" t="s">
        <v>88</v>
      </c>
      <c r="B32" s="11"/>
      <c r="C32" s="8" t="s">
        <v>11</v>
      </c>
      <c r="D32" s="8" t="str">
        <f t="shared" si="1"/>
        <v>-</v>
      </c>
      <c r="E32" s="9" t="s">
        <v>11</v>
      </c>
      <c r="F32" s="10"/>
      <c r="G32" s="9"/>
      <c r="H32" s="26"/>
      <c r="I32" s="9" t="s">
        <v>13</v>
      </c>
      <c r="J32" s="44"/>
    </row>
    <row r="33">
      <c r="A33" s="42" t="s">
        <v>88</v>
      </c>
      <c r="B33" s="11"/>
      <c r="C33" s="8" t="s">
        <v>11</v>
      </c>
      <c r="D33" s="8" t="str">
        <f t="shared" si="1"/>
        <v>-</v>
      </c>
      <c r="E33" s="9" t="s">
        <v>11</v>
      </c>
      <c r="F33" s="10"/>
      <c r="G33" s="9"/>
      <c r="H33" s="26"/>
      <c r="I33" s="9" t="s">
        <v>13</v>
      </c>
      <c r="J33" s="44"/>
    </row>
    <row r="34">
      <c r="A34" s="42" t="s">
        <v>88</v>
      </c>
      <c r="B34" s="11"/>
      <c r="C34" s="8" t="s">
        <v>11</v>
      </c>
      <c r="D34" s="8" t="str">
        <f t="shared" si="1"/>
        <v>-</v>
      </c>
      <c r="E34" s="9" t="s">
        <v>11</v>
      </c>
      <c r="F34" s="10"/>
      <c r="G34" s="9"/>
      <c r="H34" s="26"/>
      <c r="I34" s="9" t="s">
        <v>13</v>
      </c>
      <c r="J34" s="44"/>
    </row>
    <row r="35">
      <c r="A35" s="42" t="s">
        <v>88</v>
      </c>
      <c r="B35" s="11"/>
      <c r="C35" s="8" t="s">
        <v>11</v>
      </c>
      <c r="D35" s="8" t="str">
        <f t="shared" si="1"/>
        <v>-</v>
      </c>
      <c r="E35" s="9" t="s">
        <v>11</v>
      </c>
      <c r="F35" s="10"/>
      <c r="G35" s="9"/>
      <c r="H35" s="26"/>
      <c r="I35" s="9" t="s">
        <v>13</v>
      </c>
      <c r="J35" s="44"/>
    </row>
    <row r="36">
      <c r="A36" s="42" t="s">
        <v>88</v>
      </c>
      <c r="B36" s="11"/>
      <c r="C36" s="8" t="s">
        <v>11</v>
      </c>
      <c r="D36" s="8" t="str">
        <f t="shared" si="1"/>
        <v>-</v>
      </c>
      <c r="E36" s="9" t="s">
        <v>11</v>
      </c>
      <c r="F36" s="10"/>
      <c r="G36" s="9"/>
      <c r="H36" s="26"/>
      <c r="I36" s="9" t="s">
        <v>13</v>
      </c>
      <c r="J36" s="44"/>
    </row>
    <row r="37">
      <c r="A37" s="42" t="s">
        <v>88</v>
      </c>
      <c r="B37" s="11"/>
      <c r="C37" s="8" t="s">
        <v>11</v>
      </c>
      <c r="D37" s="8" t="str">
        <f t="shared" si="1"/>
        <v>-</v>
      </c>
      <c r="E37" s="9" t="s">
        <v>11</v>
      </c>
      <c r="F37" s="10"/>
      <c r="G37" s="9"/>
      <c r="H37" s="26"/>
      <c r="I37" s="9" t="s">
        <v>13</v>
      </c>
      <c r="J37" s="44"/>
    </row>
    <row r="38">
      <c r="A38" s="42" t="s">
        <v>88</v>
      </c>
      <c r="B38" s="11"/>
      <c r="C38" s="8" t="s">
        <v>11</v>
      </c>
      <c r="D38" s="8" t="str">
        <f t="shared" si="1"/>
        <v>-</v>
      </c>
      <c r="E38" s="9" t="s">
        <v>11</v>
      </c>
      <c r="F38" s="10"/>
      <c r="G38" s="9"/>
      <c r="H38" s="26"/>
      <c r="I38" s="9" t="s">
        <v>13</v>
      </c>
      <c r="J38" s="44"/>
    </row>
    <row r="39">
      <c r="A39" s="42" t="s">
        <v>88</v>
      </c>
      <c r="B39" s="11"/>
      <c r="C39" s="8" t="s">
        <v>11</v>
      </c>
      <c r="D39" s="8" t="str">
        <f t="shared" si="1"/>
        <v>-</v>
      </c>
      <c r="E39" s="9" t="s">
        <v>11</v>
      </c>
      <c r="F39" s="10"/>
      <c r="G39" s="9"/>
      <c r="H39" s="26"/>
      <c r="I39" s="9" t="s">
        <v>13</v>
      </c>
      <c r="J39" s="44"/>
    </row>
    <row r="40">
      <c r="A40" s="42" t="s">
        <v>88</v>
      </c>
      <c r="B40" s="11"/>
      <c r="C40" s="8" t="s">
        <v>11</v>
      </c>
      <c r="D40" s="8" t="str">
        <f t="shared" si="1"/>
        <v>-</v>
      </c>
      <c r="E40" s="9" t="s">
        <v>11</v>
      </c>
      <c r="F40" s="10"/>
      <c r="G40" s="9"/>
      <c r="H40" s="26"/>
      <c r="I40" s="9" t="s">
        <v>13</v>
      </c>
      <c r="J40" s="44"/>
    </row>
    <row r="41">
      <c r="A41" s="42" t="s">
        <v>88</v>
      </c>
      <c r="B41" s="11"/>
      <c r="C41" s="8" t="s">
        <v>11</v>
      </c>
      <c r="D41" s="8" t="str">
        <f t="shared" si="1"/>
        <v>-</v>
      </c>
      <c r="E41" s="9" t="s">
        <v>11</v>
      </c>
      <c r="F41" s="10"/>
      <c r="G41" s="9"/>
      <c r="H41" s="26"/>
      <c r="I41" s="9" t="s">
        <v>13</v>
      </c>
      <c r="J41" s="44"/>
    </row>
    <row r="42">
      <c r="A42" s="42" t="s">
        <v>88</v>
      </c>
      <c r="B42" s="11"/>
      <c r="C42" s="8" t="s">
        <v>11</v>
      </c>
      <c r="D42" s="8" t="str">
        <f t="shared" si="1"/>
        <v>-</v>
      </c>
      <c r="E42" s="9" t="s">
        <v>11</v>
      </c>
      <c r="F42" s="10"/>
      <c r="G42" s="9"/>
      <c r="H42" s="26"/>
      <c r="I42" s="9" t="s">
        <v>13</v>
      </c>
      <c r="J42" s="44"/>
    </row>
    <row r="43">
      <c r="A43" s="42" t="s">
        <v>88</v>
      </c>
      <c r="B43" s="11"/>
      <c r="C43" s="8" t="s">
        <v>11</v>
      </c>
      <c r="D43" s="8" t="str">
        <f t="shared" si="1"/>
        <v>-</v>
      </c>
      <c r="E43" s="9" t="s">
        <v>11</v>
      </c>
      <c r="F43" s="10"/>
      <c r="G43" s="9"/>
      <c r="H43" s="26"/>
      <c r="I43" s="9" t="s">
        <v>13</v>
      </c>
      <c r="J43" s="44"/>
    </row>
    <row r="44">
      <c r="A44" s="42" t="s">
        <v>88</v>
      </c>
      <c r="B44" s="11"/>
      <c r="C44" s="8" t="s">
        <v>11</v>
      </c>
      <c r="D44" s="8" t="str">
        <f t="shared" si="1"/>
        <v>-</v>
      </c>
      <c r="E44" s="9" t="s">
        <v>11</v>
      </c>
      <c r="F44" s="10"/>
      <c r="G44" s="9"/>
      <c r="H44" s="26"/>
      <c r="I44" s="9" t="s">
        <v>13</v>
      </c>
      <c r="J44" s="44"/>
    </row>
    <row r="45">
      <c r="A45" s="42" t="s">
        <v>88</v>
      </c>
      <c r="B45" s="11"/>
      <c r="C45" s="8" t="s">
        <v>11</v>
      </c>
      <c r="D45" s="8" t="str">
        <f t="shared" si="1"/>
        <v>-</v>
      </c>
      <c r="E45" s="9" t="s">
        <v>11</v>
      </c>
      <c r="F45" s="10"/>
      <c r="G45" s="9"/>
      <c r="H45" s="26"/>
      <c r="I45" s="9" t="s">
        <v>13</v>
      </c>
      <c r="J45" s="44"/>
    </row>
    <row r="46">
      <c r="A46" s="42" t="s">
        <v>88</v>
      </c>
      <c r="B46" s="11"/>
      <c r="C46" s="8" t="s">
        <v>11</v>
      </c>
      <c r="D46" s="8" t="str">
        <f t="shared" si="1"/>
        <v>-</v>
      </c>
      <c r="E46" s="9" t="s">
        <v>11</v>
      </c>
      <c r="F46" s="10"/>
      <c r="G46" s="9"/>
      <c r="H46" s="26"/>
      <c r="I46" s="9" t="s">
        <v>13</v>
      </c>
      <c r="J46" s="44"/>
    </row>
    <row r="47">
      <c r="A47" s="42" t="s">
        <v>88</v>
      </c>
      <c r="B47" s="11"/>
      <c r="C47" s="8" t="s">
        <v>11</v>
      </c>
      <c r="D47" s="8" t="str">
        <f t="shared" si="1"/>
        <v>-</v>
      </c>
      <c r="E47" s="9" t="s">
        <v>11</v>
      </c>
      <c r="F47" s="10"/>
      <c r="G47" s="9"/>
      <c r="H47" s="26"/>
      <c r="I47" s="9" t="s">
        <v>13</v>
      </c>
      <c r="J47" s="44"/>
    </row>
    <row r="48">
      <c r="A48" s="42" t="s">
        <v>88</v>
      </c>
      <c r="B48" s="11"/>
      <c r="C48" s="8" t="s">
        <v>11</v>
      </c>
      <c r="D48" s="8" t="str">
        <f t="shared" si="1"/>
        <v>-</v>
      </c>
      <c r="E48" s="9" t="s">
        <v>11</v>
      </c>
      <c r="F48" s="10"/>
      <c r="G48" s="9"/>
      <c r="H48" s="26"/>
      <c r="I48" s="9" t="s">
        <v>13</v>
      </c>
      <c r="J48" s="44"/>
    </row>
    <row r="49">
      <c r="A49" s="42" t="s">
        <v>88</v>
      </c>
      <c r="B49" s="11"/>
      <c r="C49" s="8" t="s">
        <v>11</v>
      </c>
      <c r="D49" s="8" t="str">
        <f t="shared" si="1"/>
        <v>-</v>
      </c>
      <c r="E49" s="9" t="s">
        <v>11</v>
      </c>
      <c r="F49" s="10"/>
      <c r="G49" s="9"/>
      <c r="H49" s="26"/>
      <c r="I49" s="9" t="s">
        <v>13</v>
      </c>
      <c r="J49" s="44"/>
    </row>
    <row r="50">
      <c r="A50" s="42" t="s">
        <v>88</v>
      </c>
      <c r="B50" s="11"/>
      <c r="C50" s="8" t="s">
        <v>11</v>
      </c>
      <c r="D50" s="8" t="str">
        <f t="shared" si="1"/>
        <v>-</v>
      </c>
      <c r="E50" s="9" t="s">
        <v>11</v>
      </c>
      <c r="F50" s="10"/>
      <c r="G50" s="9"/>
      <c r="H50" s="26"/>
      <c r="I50" s="9" t="s">
        <v>13</v>
      </c>
      <c r="J50" s="44"/>
    </row>
    <row r="51">
      <c r="A51" s="42" t="s">
        <v>88</v>
      </c>
      <c r="B51" s="11"/>
      <c r="C51" s="8" t="s">
        <v>11</v>
      </c>
      <c r="D51" s="8" t="str">
        <f t="shared" si="1"/>
        <v>-</v>
      </c>
      <c r="E51" s="9" t="s">
        <v>11</v>
      </c>
      <c r="F51" s="10"/>
      <c r="G51" s="9"/>
      <c r="H51" s="26"/>
      <c r="I51" s="9" t="s">
        <v>13</v>
      </c>
      <c r="J51" s="44"/>
    </row>
    <row r="52">
      <c r="A52" s="42" t="s">
        <v>88</v>
      </c>
      <c r="B52" s="11"/>
      <c r="C52" s="8" t="s">
        <v>11</v>
      </c>
      <c r="D52" s="8" t="str">
        <f t="shared" si="1"/>
        <v>-</v>
      </c>
      <c r="E52" s="9" t="s">
        <v>11</v>
      </c>
      <c r="F52" s="10"/>
      <c r="G52" s="9"/>
      <c r="H52" s="26"/>
      <c r="I52" s="9" t="s">
        <v>13</v>
      </c>
      <c r="J52" s="44"/>
    </row>
    <row r="53">
      <c r="A53" s="42" t="s">
        <v>88</v>
      </c>
      <c r="B53" s="11"/>
      <c r="C53" s="8" t="s">
        <v>11</v>
      </c>
      <c r="D53" s="8" t="str">
        <f t="shared" si="1"/>
        <v>-</v>
      </c>
      <c r="E53" s="9" t="s">
        <v>11</v>
      </c>
      <c r="F53" s="10"/>
      <c r="G53" s="9"/>
      <c r="H53" s="26"/>
      <c r="I53" s="9" t="s">
        <v>13</v>
      </c>
      <c r="J53" s="44"/>
    </row>
    <row r="54">
      <c r="A54" s="42" t="s">
        <v>88</v>
      </c>
      <c r="B54" s="11"/>
      <c r="C54" s="8" t="s">
        <v>11</v>
      </c>
      <c r="D54" s="8" t="str">
        <f t="shared" si="1"/>
        <v>-</v>
      </c>
      <c r="E54" s="9" t="s">
        <v>11</v>
      </c>
      <c r="F54" s="10"/>
      <c r="G54" s="9"/>
      <c r="H54" s="26"/>
      <c r="I54" s="9" t="s">
        <v>13</v>
      </c>
      <c r="J54" s="44"/>
    </row>
    <row r="55">
      <c r="A55" s="42" t="s">
        <v>88</v>
      </c>
      <c r="B55" s="11"/>
      <c r="C55" s="8" t="s">
        <v>11</v>
      </c>
      <c r="D55" s="8" t="str">
        <f t="shared" si="1"/>
        <v>-</v>
      </c>
      <c r="E55" s="9" t="s">
        <v>11</v>
      </c>
      <c r="F55" s="10"/>
      <c r="G55" s="9"/>
      <c r="H55" s="26"/>
      <c r="I55" s="9" t="s">
        <v>13</v>
      </c>
      <c r="J55" s="44"/>
    </row>
    <row r="56">
      <c r="A56" s="42" t="s">
        <v>88</v>
      </c>
      <c r="B56" s="11"/>
      <c r="C56" s="8" t="s">
        <v>11</v>
      </c>
      <c r="D56" s="8" t="str">
        <f t="shared" si="1"/>
        <v>-</v>
      </c>
      <c r="E56" s="9" t="s">
        <v>11</v>
      </c>
      <c r="F56" s="10"/>
      <c r="G56" s="9"/>
      <c r="H56" s="26"/>
      <c r="I56" s="9" t="s">
        <v>13</v>
      </c>
      <c r="J56" s="44"/>
    </row>
    <row r="57">
      <c r="A57" s="42" t="s">
        <v>88</v>
      </c>
      <c r="B57" s="11"/>
      <c r="C57" s="8" t="s">
        <v>11</v>
      </c>
      <c r="D57" s="8" t="str">
        <f t="shared" si="1"/>
        <v>-</v>
      </c>
      <c r="E57" s="9" t="s">
        <v>11</v>
      </c>
      <c r="F57" s="10"/>
      <c r="G57" s="9"/>
      <c r="H57" s="26"/>
      <c r="I57" s="9" t="s">
        <v>13</v>
      </c>
      <c r="J57" s="44"/>
    </row>
    <row r="58">
      <c r="A58" s="42" t="s">
        <v>88</v>
      </c>
      <c r="B58" s="11"/>
      <c r="C58" s="8" t="s">
        <v>11</v>
      </c>
      <c r="D58" s="8" t="str">
        <f t="shared" si="1"/>
        <v>-</v>
      </c>
      <c r="E58" s="9" t="s">
        <v>11</v>
      </c>
      <c r="F58" s="10"/>
      <c r="G58" s="9"/>
      <c r="H58" s="26"/>
      <c r="I58" s="9" t="s">
        <v>13</v>
      </c>
      <c r="J58" s="44"/>
    </row>
    <row r="59">
      <c r="A59" s="42" t="s">
        <v>88</v>
      </c>
      <c r="B59" s="11"/>
      <c r="C59" s="8" t="s">
        <v>11</v>
      </c>
      <c r="D59" s="8" t="str">
        <f t="shared" si="1"/>
        <v>-</v>
      </c>
      <c r="E59" s="9" t="s">
        <v>11</v>
      </c>
      <c r="F59" s="10"/>
      <c r="G59" s="9"/>
      <c r="H59" s="26"/>
      <c r="I59" s="9" t="s">
        <v>13</v>
      </c>
      <c r="J59" s="44"/>
    </row>
    <row r="60">
      <c r="A60" s="42" t="s">
        <v>88</v>
      </c>
      <c r="B60" s="11"/>
      <c r="C60" s="8" t="s">
        <v>11</v>
      </c>
      <c r="D60" s="8" t="str">
        <f t="shared" si="1"/>
        <v>-</v>
      </c>
      <c r="E60" s="9" t="s">
        <v>11</v>
      </c>
      <c r="F60" s="10"/>
      <c r="G60" s="9"/>
      <c r="H60" s="26"/>
      <c r="I60" s="9" t="s">
        <v>13</v>
      </c>
      <c r="J60" s="44"/>
    </row>
    <row r="61">
      <c r="A61" s="42" t="s">
        <v>88</v>
      </c>
      <c r="B61" s="11"/>
      <c r="C61" s="8" t="s">
        <v>11</v>
      </c>
      <c r="D61" s="8" t="str">
        <f t="shared" si="1"/>
        <v>-</v>
      </c>
      <c r="E61" s="9" t="s">
        <v>11</v>
      </c>
      <c r="F61" s="10"/>
      <c r="G61" s="9"/>
      <c r="H61" s="26"/>
      <c r="I61" s="9" t="s">
        <v>13</v>
      </c>
      <c r="J61" s="44"/>
    </row>
    <row r="62">
      <c r="A62" s="42" t="s">
        <v>88</v>
      </c>
      <c r="B62" s="11"/>
      <c r="C62" s="8" t="s">
        <v>11</v>
      </c>
      <c r="D62" s="8" t="str">
        <f t="shared" si="1"/>
        <v>-</v>
      </c>
      <c r="E62" s="9" t="s">
        <v>11</v>
      </c>
      <c r="F62" s="10"/>
      <c r="G62" s="9"/>
      <c r="H62" s="26"/>
      <c r="I62" s="9" t="s">
        <v>13</v>
      </c>
      <c r="J62" s="44"/>
    </row>
    <row r="63">
      <c r="A63" s="42" t="s">
        <v>88</v>
      </c>
      <c r="B63" s="11"/>
      <c r="C63" s="8" t="s">
        <v>11</v>
      </c>
      <c r="D63" s="8" t="str">
        <f t="shared" si="1"/>
        <v>-</v>
      </c>
      <c r="E63" s="9" t="s">
        <v>11</v>
      </c>
      <c r="F63" s="10"/>
      <c r="G63" s="9"/>
      <c r="H63" s="26"/>
      <c r="I63" s="9" t="s">
        <v>13</v>
      </c>
      <c r="J63" s="44"/>
    </row>
    <row r="64">
      <c r="A64" s="42" t="s">
        <v>88</v>
      </c>
      <c r="B64" s="11"/>
      <c r="C64" s="8" t="s">
        <v>11</v>
      </c>
      <c r="D64" s="8" t="str">
        <f t="shared" si="1"/>
        <v>-</v>
      </c>
      <c r="E64" s="9" t="s">
        <v>11</v>
      </c>
      <c r="F64" s="10"/>
      <c r="G64" s="9"/>
      <c r="H64" s="26"/>
      <c r="I64" s="9" t="s">
        <v>13</v>
      </c>
      <c r="J64" s="44"/>
    </row>
    <row r="65">
      <c r="A65" s="42" t="s">
        <v>88</v>
      </c>
      <c r="B65" s="11"/>
      <c r="C65" s="8" t="s">
        <v>11</v>
      </c>
      <c r="D65" s="8" t="str">
        <f t="shared" si="1"/>
        <v>-</v>
      </c>
      <c r="E65" s="9" t="s">
        <v>11</v>
      </c>
      <c r="F65" s="10"/>
      <c r="G65" s="9"/>
      <c r="H65" s="26"/>
      <c r="I65" s="9" t="s">
        <v>13</v>
      </c>
      <c r="J65" s="44"/>
    </row>
    <row r="66">
      <c r="A66" s="42" t="s">
        <v>88</v>
      </c>
      <c r="B66" s="11"/>
      <c r="C66" s="8" t="s">
        <v>11</v>
      </c>
      <c r="D66" s="8" t="str">
        <f t="shared" si="1"/>
        <v>-</v>
      </c>
      <c r="E66" s="9" t="s">
        <v>11</v>
      </c>
      <c r="F66" s="10"/>
      <c r="G66" s="9"/>
      <c r="H66" s="26"/>
      <c r="I66" s="9" t="s">
        <v>13</v>
      </c>
      <c r="J66" s="44"/>
    </row>
    <row r="67">
      <c r="A67" s="42" t="s">
        <v>88</v>
      </c>
      <c r="B67" s="11"/>
      <c r="C67" s="8" t="s">
        <v>11</v>
      </c>
      <c r="D67" s="8" t="str">
        <f t="shared" si="1"/>
        <v>-</v>
      </c>
      <c r="E67" s="9" t="s">
        <v>11</v>
      </c>
      <c r="F67" s="10"/>
      <c r="G67" s="9"/>
      <c r="H67" s="26"/>
      <c r="I67" s="9" t="s">
        <v>13</v>
      </c>
      <c r="J67" s="44"/>
    </row>
    <row r="68">
      <c r="A68" s="42" t="s">
        <v>88</v>
      </c>
      <c r="B68" s="11"/>
      <c r="C68" s="8" t="s">
        <v>11</v>
      </c>
      <c r="D68" s="8" t="str">
        <f t="shared" si="1"/>
        <v>-</v>
      </c>
      <c r="E68" s="9" t="s">
        <v>11</v>
      </c>
      <c r="F68" s="10"/>
      <c r="G68" s="9"/>
      <c r="H68" s="26"/>
      <c r="I68" s="9" t="s">
        <v>13</v>
      </c>
      <c r="J68" s="44"/>
    </row>
    <row r="69">
      <c r="A69" s="42" t="s">
        <v>88</v>
      </c>
      <c r="B69" s="11"/>
      <c r="C69" s="8" t="s">
        <v>11</v>
      </c>
      <c r="D69" s="8" t="str">
        <f t="shared" si="1"/>
        <v>-</v>
      </c>
      <c r="E69" s="9" t="s">
        <v>11</v>
      </c>
      <c r="F69" s="10"/>
      <c r="G69" s="9"/>
      <c r="H69" s="26"/>
      <c r="I69" s="9" t="s">
        <v>13</v>
      </c>
      <c r="J69" s="44"/>
    </row>
    <row r="70">
      <c r="A70" s="42" t="s">
        <v>88</v>
      </c>
      <c r="B70" s="11"/>
      <c r="C70" s="8" t="s">
        <v>11</v>
      </c>
      <c r="D70" s="8" t="str">
        <f t="shared" si="1"/>
        <v>-</v>
      </c>
      <c r="E70" s="9" t="s">
        <v>11</v>
      </c>
      <c r="F70" s="10"/>
      <c r="G70" s="9"/>
      <c r="H70" s="26"/>
      <c r="I70" s="9" t="s">
        <v>13</v>
      </c>
      <c r="J70" s="44"/>
    </row>
    <row r="71">
      <c r="A71" s="42" t="s">
        <v>88</v>
      </c>
      <c r="B71" s="11"/>
      <c r="C71" s="8" t="s">
        <v>11</v>
      </c>
      <c r="D71" s="8" t="str">
        <f t="shared" si="1"/>
        <v>-</v>
      </c>
      <c r="E71" s="9" t="s">
        <v>11</v>
      </c>
      <c r="F71" s="10"/>
      <c r="G71" s="9"/>
      <c r="H71" s="26"/>
      <c r="I71" s="9" t="s">
        <v>13</v>
      </c>
      <c r="J71" s="44"/>
    </row>
    <row r="72">
      <c r="A72" s="42" t="s">
        <v>88</v>
      </c>
      <c r="B72" s="11"/>
      <c r="C72" s="8" t="s">
        <v>11</v>
      </c>
      <c r="D72" s="8" t="str">
        <f t="shared" si="1"/>
        <v>-</v>
      </c>
      <c r="E72" s="9" t="s">
        <v>11</v>
      </c>
      <c r="F72" s="10"/>
      <c r="G72" s="9"/>
      <c r="H72" s="26"/>
      <c r="I72" s="9" t="s">
        <v>13</v>
      </c>
      <c r="J72" s="44"/>
    </row>
    <row r="73">
      <c r="A73" s="42" t="s">
        <v>88</v>
      </c>
      <c r="B73" s="11"/>
      <c r="C73" s="8" t="s">
        <v>11</v>
      </c>
      <c r="D73" s="8" t="str">
        <f t="shared" si="1"/>
        <v>-</v>
      </c>
      <c r="E73" s="9" t="s">
        <v>11</v>
      </c>
      <c r="F73" s="10"/>
      <c r="G73" s="9"/>
      <c r="H73" s="26"/>
      <c r="I73" s="9" t="s">
        <v>13</v>
      </c>
      <c r="J73" s="44"/>
    </row>
    <row r="74">
      <c r="A74" s="42" t="s">
        <v>88</v>
      </c>
      <c r="B74" s="11"/>
      <c r="C74" s="8" t="s">
        <v>11</v>
      </c>
      <c r="D74" s="8" t="str">
        <f t="shared" si="1"/>
        <v>-</v>
      </c>
      <c r="E74" s="9" t="s">
        <v>11</v>
      </c>
      <c r="F74" s="10"/>
      <c r="G74" s="9"/>
      <c r="H74" s="26"/>
      <c r="I74" s="9" t="s">
        <v>13</v>
      </c>
      <c r="J74" s="44"/>
    </row>
    <row r="75">
      <c r="A75" s="42" t="s">
        <v>88</v>
      </c>
      <c r="B75" s="11"/>
      <c r="C75" s="8" t="s">
        <v>11</v>
      </c>
      <c r="D75" s="8" t="str">
        <f t="shared" si="1"/>
        <v>-</v>
      </c>
      <c r="E75" s="9" t="s">
        <v>11</v>
      </c>
      <c r="F75" s="10"/>
      <c r="G75" s="9"/>
      <c r="H75" s="26"/>
      <c r="I75" s="9" t="s">
        <v>13</v>
      </c>
      <c r="J75" s="44"/>
    </row>
    <row r="76">
      <c r="A76" s="42" t="s">
        <v>88</v>
      </c>
      <c r="B76" s="11"/>
      <c r="C76" s="8" t="s">
        <v>11</v>
      </c>
      <c r="D76" s="8" t="str">
        <f t="shared" si="1"/>
        <v>-</v>
      </c>
      <c r="E76" s="9" t="s">
        <v>11</v>
      </c>
      <c r="F76" s="10"/>
      <c r="G76" s="9"/>
      <c r="H76" s="26"/>
      <c r="I76" s="9" t="s">
        <v>13</v>
      </c>
      <c r="J76" s="44"/>
    </row>
    <row r="77">
      <c r="A77" s="42" t="s">
        <v>88</v>
      </c>
      <c r="B77" s="11"/>
      <c r="C77" s="8" t="s">
        <v>11</v>
      </c>
      <c r="D77" s="8" t="str">
        <f t="shared" si="1"/>
        <v>-</v>
      </c>
      <c r="E77" s="9" t="s">
        <v>11</v>
      </c>
      <c r="F77" s="10"/>
      <c r="G77" s="9"/>
      <c r="H77" s="26"/>
      <c r="I77" s="9" t="s">
        <v>13</v>
      </c>
      <c r="J77" s="44"/>
    </row>
    <row r="78">
      <c r="A78" s="42" t="s">
        <v>88</v>
      </c>
      <c r="B78" s="11"/>
      <c r="C78" s="8" t="s">
        <v>11</v>
      </c>
      <c r="D78" s="8" t="str">
        <f t="shared" si="1"/>
        <v>-</v>
      </c>
      <c r="E78" s="9" t="s">
        <v>11</v>
      </c>
      <c r="F78" s="10"/>
      <c r="G78" s="9"/>
      <c r="H78" s="26"/>
      <c r="I78" s="9" t="s">
        <v>13</v>
      </c>
      <c r="J78" s="44"/>
    </row>
    <row r="79">
      <c r="A79" s="42" t="s">
        <v>88</v>
      </c>
      <c r="B79" s="11"/>
      <c r="C79" s="8" t="s">
        <v>11</v>
      </c>
      <c r="D79" s="8" t="str">
        <f t="shared" si="1"/>
        <v>-</v>
      </c>
      <c r="E79" s="9" t="s">
        <v>11</v>
      </c>
      <c r="F79" s="10"/>
      <c r="G79" s="9"/>
      <c r="H79" s="26"/>
      <c r="I79" s="9" t="s">
        <v>13</v>
      </c>
      <c r="J79" s="44"/>
    </row>
    <row r="80">
      <c r="A80" s="42" t="s">
        <v>88</v>
      </c>
      <c r="B80" s="11"/>
      <c r="C80" s="8" t="s">
        <v>11</v>
      </c>
      <c r="D80" s="8" t="str">
        <f t="shared" si="1"/>
        <v>-</v>
      </c>
      <c r="E80" s="9" t="s">
        <v>11</v>
      </c>
      <c r="F80" s="10"/>
      <c r="G80" s="9"/>
      <c r="H80" s="26"/>
      <c r="I80" s="9" t="s">
        <v>13</v>
      </c>
      <c r="J80" s="44"/>
    </row>
    <row r="81">
      <c r="A81" s="42" t="s">
        <v>88</v>
      </c>
      <c r="B81" s="11"/>
      <c r="C81" s="8" t="s">
        <v>11</v>
      </c>
      <c r="D81" s="8" t="str">
        <f t="shared" si="1"/>
        <v>-</v>
      </c>
      <c r="E81" s="9" t="s">
        <v>11</v>
      </c>
      <c r="F81" s="10"/>
      <c r="G81" s="9"/>
      <c r="H81" s="26"/>
      <c r="I81" s="9" t="s">
        <v>13</v>
      </c>
      <c r="J81" s="44"/>
    </row>
    <row r="82">
      <c r="A82" s="42" t="s">
        <v>88</v>
      </c>
      <c r="B82" s="11"/>
      <c r="C82" s="8" t="s">
        <v>11</v>
      </c>
      <c r="D82" s="8" t="str">
        <f t="shared" si="1"/>
        <v>-</v>
      </c>
      <c r="E82" s="9" t="s">
        <v>11</v>
      </c>
      <c r="F82" s="10"/>
      <c r="G82" s="9"/>
      <c r="H82" s="26"/>
      <c r="I82" s="9" t="s">
        <v>13</v>
      </c>
      <c r="J82" s="44"/>
    </row>
    <row r="83">
      <c r="A83" s="42" t="s">
        <v>88</v>
      </c>
      <c r="B83" s="11"/>
      <c r="C83" s="8" t="s">
        <v>11</v>
      </c>
      <c r="D83" s="8" t="str">
        <f t="shared" si="1"/>
        <v>-</v>
      </c>
      <c r="E83" s="9" t="s">
        <v>11</v>
      </c>
      <c r="F83" s="10"/>
      <c r="G83" s="9"/>
      <c r="H83" s="26"/>
      <c r="I83" s="9" t="s">
        <v>13</v>
      </c>
      <c r="J83" s="44"/>
    </row>
    <row r="84">
      <c r="A84" s="42" t="s">
        <v>88</v>
      </c>
      <c r="B84" s="11"/>
      <c r="C84" s="8" t="s">
        <v>11</v>
      </c>
      <c r="D84" s="8" t="str">
        <f t="shared" si="1"/>
        <v>-</v>
      </c>
      <c r="E84" s="9" t="s">
        <v>11</v>
      </c>
      <c r="F84" s="10"/>
      <c r="G84" s="9"/>
      <c r="H84" s="26"/>
      <c r="I84" s="9" t="s">
        <v>13</v>
      </c>
      <c r="J84" s="44"/>
    </row>
    <row r="85">
      <c r="A85" s="42" t="s">
        <v>88</v>
      </c>
      <c r="B85" s="11"/>
      <c r="C85" s="8" t="s">
        <v>11</v>
      </c>
      <c r="D85" s="8" t="str">
        <f t="shared" si="1"/>
        <v>-</v>
      </c>
      <c r="E85" s="9" t="s">
        <v>11</v>
      </c>
      <c r="F85" s="10"/>
      <c r="G85" s="9"/>
      <c r="H85" s="26"/>
      <c r="I85" s="9" t="s">
        <v>13</v>
      </c>
      <c r="J85" s="44"/>
    </row>
    <row r="86">
      <c r="A86" s="42" t="s">
        <v>88</v>
      </c>
      <c r="B86" s="11"/>
      <c r="C86" s="8" t="s">
        <v>11</v>
      </c>
      <c r="D86" s="8" t="str">
        <f t="shared" si="1"/>
        <v>-</v>
      </c>
      <c r="E86" s="9" t="s">
        <v>11</v>
      </c>
      <c r="F86" s="10"/>
      <c r="G86" s="9"/>
      <c r="H86" s="26"/>
      <c r="I86" s="9" t="s">
        <v>13</v>
      </c>
      <c r="J86" s="44"/>
    </row>
    <row r="87">
      <c r="A87" s="42" t="s">
        <v>88</v>
      </c>
      <c r="B87" s="11"/>
      <c r="C87" s="8" t="s">
        <v>11</v>
      </c>
      <c r="D87" s="8" t="str">
        <f t="shared" si="1"/>
        <v>-</v>
      </c>
      <c r="E87" s="9" t="s">
        <v>11</v>
      </c>
      <c r="F87" s="10"/>
      <c r="G87" s="9"/>
      <c r="H87" s="26"/>
      <c r="I87" s="9" t="s">
        <v>13</v>
      </c>
      <c r="J87" s="44"/>
    </row>
    <row r="88">
      <c r="A88" s="42" t="s">
        <v>88</v>
      </c>
      <c r="B88" s="11"/>
      <c r="C88" s="8" t="s">
        <v>11</v>
      </c>
      <c r="D88" s="8" t="str">
        <f t="shared" si="1"/>
        <v>-</v>
      </c>
      <c r="E88" s="9" t="s">
        <v>11</v>
      </c>
      <c r="F88" s="10"/>
      <c r="G88" s="9"/>
      <c r="H88" s="26"/>
      <c r="I88" s="9" t="s">
        <v>13</v>
      </c>
      <c r="J88" s="44"/>
    </row>
    <row r="89">
      <c r="A89" s="42" t="s">
        <v>88</v>
      </c>
      <c r="B89" s="11"/>
      <c r="C89" s="8" t="s">
        <v>11</v>
      </c>
      <c r="D89" s="8" t="str">
        <f t="shared" si="1"/>
        <v>-</v>
      </c>
      <c r="E89" s="9" t="s">
        <v>11</v>
      </c>
      <c r="F89" s="10"/>
      <c r="G89" s="9"/>
      <c r="H89" s="26"/>
      <c r="I89" s="9" t="s">
        <v>13</v>
      </c>
      <c r="J89" s="44"/>
    </row>
    <row r="90">
      <c r="A90" s="42" t="s">
        <v>88</v>
      </c>
      <c r="B90" s="11"/>
      <c r="C90" s="8" t="s">
        <v>11</v>
      </c>
      <c r="D90" s="8" t="str">
        <f t="shared" si="1"/>
        <v>-</v>
      </c>
      <c r="E90" s="9" t="s">
        <v>11</v>
      </c>
      <c r="F90" s="10"/>
      <c r="G90" s="9"/>
      <c r="H90" s="26"/>
      <c r="I90" s="9" t="s">
        <v>13</v>
      </c>
      <c r="J90" s="44"/>
    </row>
    <row r="91">
      <c r="A91" s="42" t="s">
        <v>88</v>
      </c>
      <c r="B91" s="11"/>
      <c r="C91" s="8" t="s">
        <v>11</v>
      </c>
      <c r="D91" s="8" t="str">
        <f t="shared" si="1"/>
        <v>-</v>
      </c>
      <c r="E91" s="9" t="s">
        <v>11</v>
      </c>
      <c r="F91" s="10"/>
      <c r="G91" s="9"/>
      <c r="H91" s="26"/>
      <c r="I91" s="9" t="s">
        <v>13</v>
      </c>
      <c r="J91" s="44"/>
    </row>
    <row r="92">
      <c r="A92" s="42" t="s">
        <v>88</v>
      </c>
      <c r="B92" s="11"/>
      <c r="C92" s="8" t="s">
        <v>11</v>
      </c>
      <c r="D92" s="8" t="str">
        <f t="shared" si="1"/>
        <v>-</v>
      </c>
      <c r="E92" s="9" t="s">
        <v>11</v>
      </c>
      <c r="F92" s="10"/>
      <c r="G92" s="9"/>
      <c r="H92" s="26"/>
      <c r="I92" s="9" t="s">
        <v>13</v>
      </c>
      <c r="J92" s="44"/>
    </row>
    <row r="93">
      <c r="A93" s="42" t="s">
        <v>88</v>
      </c>
      <c r="B93" s="11"/>
      <c r="C93" s="8" t="s">
        <v>11</v>
      </c>
      <c r="D93" s="8" t="str">
        <f t="shared" si="1"/>
        <v>-</v>
      </c>
      <c r="E93" s="9" t="s">
        <v>11</v>
      </c>
      <c r="F93" s="10"/>
      <c r="G93" s="9"/>
      <c r="H93" s="26"/>
      <c r="I93" s="9" t="s">
        <v>13</v>
      </c>
      <c r="J93" s="44"/>
    </row>
    <row r="94">
      <c r="A94" s="42" t="s">
        <v>88</v>
      </c>
      <c r="B94" s="11"/>
      <c r="C94" s="8" t="s">
        <v>11</v>
      </c>
      <c r="D94" s="8" t="str">
        <f t="shared" si="1"/>
        <v>-</v>
      </c>
      <c r="E94" s="9" t="s">
        <v>11</v>
      </c>
      <c r="F94" s="10"/>
      <c r="G94" s="9"/>
      <c r="H94" s="26"/>
      <c r="I94" s="9" t="s">
        <v>13</v>
      </c>
      <c r="J94" s="44"/>
    </row>
    <row r="95">
      <c r="A95" s="42" t="s">
        <v>88</v>
      </c>
      <c r="B95" s="11"/>
      <c r="C95" s="8" t="s">
        <v>11</v>
      </c>
      <c r="D95" s="8" t="str">
        <f t="shared" si="1"/>
        <v>-</v>
      </c>
      <c r="E95" s="9" t="s">
        <v>11</v>
      </c>
      <c r="F95" s="10"/>
      <c r="G95" s="9"/>
      <c r="H95" s="26"/>
      <c r="I95" s="9" t="s">
        <v>13</v>
      </c>
      <c r="J95" s="44"/>
    </row>
    <row r="96">
      <c r="A96" s="42" t="s">
        <v>88</v>
      </c>
      <c r="B96" s="11"/>
      <c r="C96" s="8" t="s">
        <v>11</v>
      </c>
      <c r="D96" s="8" t="str">
        <f t="shared" si="1"/>
        <v>-</v>
      </c>
      <c r="E96" s="9" t="s">
        <v>11</v>
      </c>
      <c r="F96" s="10"/>
      <c r="G96" s="9"/>
      <c r="H96" s="26"/>
      <c r="I96" s="9" t="s">
        <v>13</v>
      </c>
      <c r="J96" s="44"/>
    </row>
    <row r="97">
      <c r="A97" s="42" t="s">
        <v>88</v>
      </c>
      <c r="B97" s="11"/>
      <c r="C97" s="8" t="s">
        <v>11</v>
      </c>
      <c r="D97" s="8" t="str">
        <f t="shared" si="1"/>
        <v>-</v>
      </c>
      <c r="E97" s="9" t="s">
        <v>11</v>
      </c>
      <c r="F97" s="10"/>
      <c r="G97" s="9"/>
      <c r="H97" s="26"/>
      <c r="I97" s="9" t="s">
        <v>13</v>
      </c>
      <c r="J97" s="44"/>
    </row>
    <row r="98">
      <c r="A98" s="42" t="s">
        <v>88</v>
      </c>
      <c r="B98" s="11"/>
      <c r="C98" s="8" t="s">
        <v>11</v>
      </c>
      <c r="D98" s="8" t="str">
        <f t="shared" si="1"/>
        <v>-</v>
      </c>
      <c r="E98" s="9" t="s">
        <v>11</v>
      </c>
      <c r="F98" s="10"/>
      <c r="G98" s="9"/>
      <c r="H98" s="26"/>
      <c r="I98" s="9" t="s">
        <v>13</v>
      </c>
      <c r="J98" s="44"/>
    </row>
    <row r="99">
      <c r="A99" s="42" t="s">
        <v>88</v>
      </c>
      <c r="B99" s="11"/>
      <c r="C99" s="8" t="s">
        <v>11</v>
      </c>
      <c r="D99" s="8" t="str">
        <f t="shared" si="1"/>
        <v>-</v>
      </c>
      <c r="E99" s="9" t="s">
        <v>11</v>
      </c>
      <c r="F99" s="10"/>
      <c r="G99" s="9"/>
      <c r="H99" s="26"/>
      <c r="I99" s="9" t="s">
        <v>13</v>
      </c>
      <c r="J99" s="44"/>
    </row>
    <row r="100">
      <c r="A100" s="42" t="s">
        <v>88</v>
      </c>
      <c r="B100" s="11"/>
      <c r="C100" s="8" t="s">
        <v>11</v>
      </c>
      <c r="D100" s="8" t="str">
        <f t="shared" si="1"/>
        <v>-</v>
      </c>
      <c r="E100" s="9" t="s">
        <v>11</v>
      </c>
      <c r="F100" s="10"/>
      <c r="G100" s="9"/>
      <c r="H100" s="26"/>
      <c r="I100" s="9" t="s">
        <v>13</v>
      </c>
      <c r="J100" s="44"/>
    </row>
    <row r="101">
      <c r="A101" s="42" t="s">
        <v>88</v>
      </c>
      <c r="B101" s="11"/>
      <c r="C101" s="8" t="s">
        <v>11</v>
      </c>
      <c r="D101" s="8" t="str">
        <f t="shared" si="1"/>
        <v>-</v>
      </c>
      <c r="E101" s="9" t="s">
        <v>11</v>
      </c>
      <c r="F101" s="10"/>
      <c r="G101" s="9"/>
      <c r="H101" s="26"/>
      <c r="I101" s="9" t="s">
        <v>13</v>
      </c>
      <c r="J101" s="44"/>
    </row>
    <row r="102">
      <c r="A102" s="42" t="s">
        <v>88</v>
      </c>
      <c r="B102" s="11"/>
      <c r="C102" s="8" t="s">
        <v>11</v>
      </c>
      <c r="D102" s="8" t="str">
        <f t="shared" si="1"/>
        <v>-</v>
      </c>
      <c r="E102" s="9" t="s">
        <v>11</v>
      </c>
      <c r="F102" s="10"/>
      <c r="G102" s="9"/>
      <c r="H102" s="26"/>
      <c r="I102" s="9" t="s">
        <v>13</v>
      </c>
      <c r="J102" s="44"/>
    </row>
    <row r="103">
      <c r="A103" s="42" t="s">
        <v>88</v>
      </c>
      <c r="B103" s="11"/>
      <c r="C103" s="8" t="s">
        <v>11</v>
      </c>
      <c r="D103" s="8" t="str">
        <f t="shared" si="1"/>
        <v>-</v>
      </c>
      <c r="E103" s="9" t="s">
        <v>11</v>
      </c>
      <c r="F103" s="10"/>
      <c r="G103" s="9"/>
      <c r="H103" s="26"/>
      <c r="I103" s="9" t="s">
        <v>13</v>
      </c>
      <c r="J103" s="44"/>
    </row>
    <row r="104">
      <c r="A104" s="42" t="s">
        <v>88</v>
      </c>
      <c r="B104" s="11"/>
      <c r="C104" s="8" t="s">
        <v>11</v>
      </c>
      <c r="D104" s="8" t="str">
        <f t="shared" si="1"/>
        <v>-</v>
      </c>
      <c r="E104" s="9" t="s">
        <v>11</v>
      </c>
      <c r="F104" s="10"/>
      <c r="G104" s="9"/>
      <c r="H104" s="26"/>
      <c r="I104" s="9" t="s">
        <v>13</v>
      </c>
      <c r="J104" s="44"/>
    </row>
    <row r="105">
      <c r="A105" s="42" t="s">
        <v>88</v>
      </c>
      <c r="B105" s="11"/>
      <c r="C105" s="8" t="s">
        <v>11</v>
      </c>
      <c r="D105" s="8" t="str">
        <f t="shared" si="1"/>
        <v>-</v>
      </c>
      <c r="E105" s="9" t="s">
        <v>11</v>
      </c>
      <c r="F105" s="10"/>
      <c r="G105" s="9"/>
      <c r="H105" s="26"/>
      <c r="I105" s="9" t="s">
        <v>13</v>
      </c>
      <c r="J105" s="44"/>
    </row>
    <row r="106">
      <c r="A106" s="42" t="s">
        <v>88</v>
      </c>
      <c r="B106" s="11"/>
      <c r="C106" s="8" t="s">
        <v>11</v>
      </c>
      <c r="D106" s="8" t="str">
        <f t="shared" si="1"/>
        <v>-</v>
      </c>
      <c r="E106" s="9" t="s">
        <v>11</v>
      </c>
      <c r="F106" s="10"/>
      <c r="G106" s="9"/>
      <c r="H106" s="26"/>
      <c r="I106" s="9" t="s">
        <v>13</v>
      </c>
      <c r="J106" s="44"/>
    </row>
    <row r="107">
      <c r="A107" s="42" t="s">
        <v>88</v>
      </c>
      <c r="B107" s="11"/>
      <c r="C107" s="8" t="s">
        <v>11</v>
      </c>
      <c r="D107" s="8" t="str">
        <f t="shared" si="1"/>
        <v>-</v>
      </c>
      <c r="E107" s="9" t="s">
        <v>11</v>
      </c>
      <c r="F107" s="10"/>
      <c r="G107" s="9"/>
      <c r="H107" s="26"/>
      <c r="I107" s="9" t="s">
        <v>13</v>
      </c>
      <c r="J107" s="44"/>
    </row>
    <row r="108">
      <c r="A108" s="42" t="s">
        <v>88</v>
      </c>
      <c r="B108" s="11"/>
      <c r="C108" s="8" t="s">
        <v>11</v>
      </c>
      <c r="D108" s="8" t="str">
        <f t="shared" si="1"/>
        <v>-</v>
      </c>
      <c r="E108" s="9" t="s">
        <v>11</v>
      </c>
      <c r="F108" s="10"/>
      <c r="G108" s="9"/>
      <c r="H108" s="26"/>
      <c r="I108" s="9" t="s">
        <v>13</v>
      </c>
      <c r="J108" s="44"/>
    </row>
    <row r="109">
      <c r="A109" s="42" t="s">
        <v>88</v>
      </c>
      <c r="B109" s="11"/>
      <c r="C109" s="8" t="s">
        <v>11</v>
      </c>
      <c r="D109" s="8" t="str">
        <f t="shared" si="1"/>
        <v>-</v>
      </c>
      <c r="E109" s="9" t="s">
        <v>11</v>
      </c>
      <c r="F109" s="10"/>
      <c r="G109" s="9"/>
      <c r="H109" s="26"/>
      <c r="I109" s="9" t="s">
        <v>13</v>
      </c>
      <c r="J109" s="44"/>
    </row>
    <row r="110">
      <c r="A110" s="42" t="s">
        <v>88</v>
      </c>
      <c r="B110" s="11"/>
      <c r="C110" s="8" t="s">
        <v>11</v>
      </c>
      <c r="D110" s="8" t="str">
        <f t="shared" si="1"/>
        <v>-</v>
      </c>
      <c r="E110" s="9" t="s">
        <v>11</v>
      </c>
      <c r="F110" s="10"/>
      <c r="G110" s="9"/>
      <c r="H110" s="26"/>
      <c r="I110" s="9" t="s">
        <v>13</v>
      </c>
      <c r="J110" s="44"/>
    </row>
    <row r="111">
      <c r="A111" s="42" t="s">
        <v>88</v>
      </c>
      <c r="B111" s="11"/>
      <c r="C111" s="8" t="s">
        <v>11</v>
      </c>
      <c r="D111" s="8" t="str">
        <f t="shared" si="1"/>
        <v>-</v>
      </c>
      <c r="E111" s="9" t="s">
        <v>11</v>
      </c>
      <c r="F111" s="10"/>
      <c r="G111" s="9"/>
      <c r="H111" s="26"/>
      <c r="I111" s="9" t="s">
        <v>13</v>
      </c>
      <c r="J111" s="44"/>
    </row>
    <row r="112">
      <c r="A112" s="42" t="s">
        <v>88</v>
      </c>
      <c r="B112" s="11"/>
      <c r="C112" s="8" t="s">
        <v>11</v>
      </c>
      <c r="D112" s="8" t="str">
        <f t="shared" si="1"/>
        <v>-</v>
      </c>
      <c r="E112" s="9" t="s">
        <v>11</v>
      </c>
      <c r="F112" s="10"/>
      <c r="G112" s="9"/>
      <c r="H112" s="26"/>
      <c r="I112" s="9" t="s">
        <v>13</v>
      </c>
      <c r="J112" s="44"/>
    </row>
    <row r="113">
      <c r="A113" s="42" t="s">
        <v>88</v>
      </c>
      <c r="B113" s="11"/>
      <c r="C113" s="8" t="s">
        <v>11</v>
      </c>
      <c r="D113" s="8" t="str">
        <f t="shared" si="1"/>
        <v>-</v>
      </c>
      <c r="E113" s="9" t="s">
        <v>11</v>
      </c>
      <c r="F113" s="10"/>
      <c r="G113" s="9"/>
      <c r="H113" s="26"/>
      <c r="I113" s="9" t="s">
        <v>13</v>
      </c>
      <c r="J113" s="44"/>
    </row>
    <row r="114">
      <c r="A114" s="42" t="s">
        <v>88</v>
      </c>
      <c r="B114" s="11"/>
      <c r="C114" s="8" t="s">
        <v>11</v>
      </c>
      <c r="D114" s="8" t="str">
        <f t="shared" si="1"/>
        <v>-</v>
      </c>
      <c r="E114" s="9" t="s">
        <v>11</v>
      </c>
      <c r="F114" s="10"/>
      <c r="G114" s="9"/>
      <c r="H114" s="26"/>
      <c r="I114" s="9" t="s">
        <v>13</v>
      </c>
      <c r="J114" s="44"/>
    </row>
    <row r="115">
      <c r="A115" s="42" t="s">
        <v>88</v>
      </c>
      <c r="B115" s="11"/>
      <c r="C115" s="8" t="s">
        <v>11</v>
      </c>
      <c r="D115" s="8" t="str">
        <f t="shared" si="1"/>
        <v>-</v>
      </c>
      <c r="E115" s="9" t="s">
        <v>11</v>
      </c>
      <c r="F115" s="10"/>
      <c r="G115" s="9"/>
      <c r="H115" s="26"/>
      <c r="I115" s="9" t="s">
        <v>13</v>
      </c>
      <c r="J115" s="44"/>
    </row>
    <row r="116">
      <c r="A116" s="42" t="s">
        <v>88</v>
      </c>
      <c r="B116" s="11"/>
      <c r="C116" s="8" t="s">
        <v>11</v>
      </c>
      <c r="D116" s="8" t="str">
        <f t="shared" si="1"/>
        <v>-</v>
      </c>
      <c r="E116" s="9" t="s">
        <v>11</v>
      </c>
      <c r="F116" s="10"/>
      <c r="G116" s="9"/>
      <c r="H116" s="26"/>
      <c r="I116" s="9" t="s">
        <v>13</v>
      </c>
      <c r="J116" s="44"/>
    </row>
    <row r="117">
      <c r="A117" s="42" t="s">
        <v>88</v>
      </c>
      <c r="B117" s="11"/>
      <c r="C117" s="8" t="s">
        <v>11</v>
      </c>
      <c r="D117" s="8" t="str">
        <f t="shared" si="1"/>
        <v>-</v>
      </c>
      <c r="E117" s="9" t="s">
        <v>11</v>
      </c>
      <c r="F117" s="10"/>
      <c r="G117" s="9"/>
      <c r="H117" s="26"/>
      <c r="I117" s="9" t="s">
        <v>13</v>
      </c>
      <c r="J117" s="44"/>
    </row>
    <row r="118">
      <c r="A118" s="42" t="s">
        <v>88</v>
      </c>
      <c r="B118" s="11"/>
      <c r="C118" s="8" t="s">
        <v>11</v>
      </c>
      <c r="D118" s="8" t="str">
        <f t="shared" si="1"/>
        <v>-</v>
      </c>
      <c r="E118" s="9" t="s">
        <v>11</v>
      </c>
      <c r="F118" s="10"/>
      <c r="G118" s="9"/>
      <c r="H118" s="26"/>
      <c r="I118" s="9" t="s">
        <v>13</v>
      </c>
      <c r="J118" s="44"/>
    </row>
    <row r="119">
      <c r="A119" s="42" t="s">
        <v>88</v>
      </c>
      <c r="B119" s="11"/>
      <c r="C119" s="8" t="s">
        <v>11</v>
      </c>
      <c r="D119" s="8" t="str">
        <f t="shared" si="1"/>
        <v>-</v>
      </c>
      <c r="E119" s="9" t="s">
        <v>11</v>
      </c>
      <c r="F119" s="10"/>
      <c r="G119" s="9"/>
      <c r="H119" s="26"/>
      <c r="I119" s="9" t="s">
        <v>13</v>
      </c>
      <c r="J119" s="44"/>
    </row>
    <row r="120">
      <c r="A120" s="42" t="s">
        <v>88</v>
      </c>
      <c r="B120" s="11"/>
      <c r="C120" s="8" t="s">
        <v>11</v>
      </c>
      <c r="D120" s="8" t="str">
        <f t="shared" si="1"/>
        <v>-</v>
      </c>
      <c r="E120" s="9" t="s">
        <v>11</v>
      </c>
      <c r="F120" s="10"/>
      <c r="G120" s="9"/>
      <c r="H120" s="26"/>
      <c r="I120" s="9" t="s">
        <v>13</v>
      </c>
      <c r="J120" s="44"/>
    </row>
    <row r="121">
      <c r="A121" s="42" t="s">
        <v>88</v>
      </c>
      <c r="B121" s="11"/>
      <c r="C121" s="8" t="s">
        <v>11</v>
      </c>
      <c r="D121" s="8" t="str">
        <f t="shared" si="1"/>
        <v>-</v>
      </c>
      <c r="E121" s="9" t="s">
        <v>11</v>
      </c>
      <c r="F121" s="10"/>
      <c r="G121" s="9"/>
      <c r="H121" s="26"/>
      <c r="I121" s="9" t="s">
        <v>13</v>
      </c>
      <c r="J121" s="44"/>
    </row>
    <row r="122">
      <c r="A122" s="42" t="s">
        <v>88</v>
      </c>
      <c r="B122" s="11"/>
      <c r="C122" s="8" t="s">
        <v>11</v>
      </c>
      <c r="D122" s="8" t="str">
        <f t="shared" si="1"/>
        <v>-</v>
      </c>
      <c r="E122" s="9" t="s">
        <v>11</v>
      </c>
      <c r="F122" s="10"/>
      <c r="G122" s="9"/>
      <c r="H122" s="26"/>
      <c r="I122" s="9" t="s">
        <v>13</v>
      </c>
      <c r="J122" s="44"/>
    </row>
    <row r="123">
      <c r="A123" s="42" t="s">
        <v>88</v>
      </c>
      <c r="B123" s="11"/>
      <c r="C123" s="8" t="s">
        <v>11</v>
      </c>
      <c r="D123" s="8" t="str">
        <f t="shared" si="1"/>
        <v>-</v>
      </c>
      <c r="E123" s="9" t="s">
        <v>11</v>
      </c>
      <c r="F123" s="10"/>
      <c r="G123" s="9"/>
      <c r="H123" s="26"/>
      <c r="I123" s="9" t="s">
        <v>13</v>
      </c>
      <c r="J123" s="44"/>
    </row>
    <row r="124">
      <c r="A124" s="42" t="s">
        <v>88</v>
      </c>
      <c r="B124" s="11"/>
      <c r="C124" s="8" t="s">
        <v>11</v>
      </c>
      <c r="D124" s="8" t="str">
        <f t="shared" si="1"/>
        <v>-</v>
      </c>
      <c r="E124" s="9" t="s">
        <v>11</v>
      </c>
      <c r="F124" s="10"/>
      <c r="G124" s="9"/>
      <c r="H124" s="26"/>
      <c r="I124" s="9" t="s">
        <v>13</v>
      </c>
      <c r="J124" s="44"/>
    </row>
    <row r="125">
      <c r="A125" s="42" t="s">
        <v>88</v>
      </c>
      <c r="B125" s="11"/>
      <c r="C125" s="8" t="s">
        <v>11</v>
      </c>
      <c r="D125" s="8" t="str">
        <f t="shared" si="1"/>
        <v>-</v>
      </c>
      <c r="E125" s="9" t="s">
        <v>11</v>
      </c>
      <c r="F125" s="10"/>
      <c r="G125" s="9"/>
      <c r="H125" s="26"/>
      <c r="I125" s="9" t="s">
        <v>13</v>
      </c>
      <c r="J125" s="44"/>
    </row>
    <row r="126">
      <c r="A126" s="42" t="s">
        <v>88</v>
      </c>
      <c r="B126" s="11"/>
      <c r="C126" s="8" t="s">
        <v>11</v>
      </c>
      <c r="D126" s="8" t="str">
        <f t="shared" si="1"/>
        <v>-</v>
      </c>
      <c r="E126" s="9" t="s">
        <v>11</v>
      </c>
      <c r="F126" s="10"/>
      <c r="G126" s="9"/>
      <c r="H126" s="26"/>
      <c r="I126" s="9" t="s">
        <v>13</v>
      </c>
      <c r="J126" s="44"/>
    </row>
    <row r="127">
      <c r="A127" s="42" t="s">
        <v>88</v>
      </c>
      <c r="B127" s="11"/>
      <c r="C127" s="8" t="s">
        <v>11</v>
      </c>
      <c r="D127" s="8" t="str">
        <f t="shared" si="1"/>
        <v>-</v>
      </c>
      <c r="E127" s="9" t="s">
        <v>11</v>
      </c>
      <c r="F127" s="10"/>
      <c r="G127" s="9"/>
      <c r="H127" s="26"/>
      <c r="I127" s="9" t="s">
        <v>13</v>
      </c>
      <c r="J127" s="44"/>
    </row>
    <row r="128">
      <c r="A128" s="42" t="s">
        <v>88</v>
      </c>
      <c r="B128" s="11"/>
      <c r="C128" s="8" t="s">
        <v>11</v>
      </c>
      <c r="D128" s="8" t="str">
        <f t="shared" si="1"/>
        <v>-</v>
      </c>
      <c r="E128" s="9" t="s">
        <v>11</v>
      </c>
      <c r="F128" s="10"/>
      <c r="G128" s="9"/>
      <c r="H128" s="26"/>
      <c r="I128" s="9" t="s">
        <v>13</v>
      </c>
      <c r="J128" s="44"/>
    </row>
    <row r="129">
      <c r="A129" s="42" t="s">
        <v>88</v>
      </c>
      <c r="B129" s="11"/>
      <c r="C129" s="8" t="s">
        <v>11</v>
      </c>
      <c r="D129" s="8" t="str">
        <f t="shared" si="1"/>
        <v>-</v>
      </c>
      <c r="E129" s="9" t="s">
        <v>11</v>
      </c>
      <c r="F129" s="10"/>
      <c r="G129" s="9"/>
      <c r="H129" s="26"/>
      <c r="I129" s="9" t="s">
        <v>13</v>
      </c>
      <c r="J129" s="44"/>
    </row>
    <row r="130">
      <c r="A130" s="42" t="s">
        <v>88</v>
      </c>
      <c r="B130" s="11"/>
      <c r="C130" s="8" t="s">
        <v>11</v>
      </c>
      <c r="D130" s="8" t="str">
        <f t="shared" si="1"/>
        <v>-</v>
      </c>
      <c r="E130" s="9" t="s">
        <v>11</v>
      </c>
      <c r="F130" s="10"/>
      <c r="G130" s="9"/>
      <c r="H130" s="26"/>
      <c r="I130" s="9" t="s">
        <v>13</v>
      </c>
      <c r="J130" s="44"/>
    </row>
    <row r="131">
      <c r="A131" s="42" t="s">
        <v>88</v>
      </c>
      <c r="B131" s="11"/>
      <c r="C131" s="8" t="s">
        <v>11</v>
      </c>
      <c r="D131" s="8" t="str">
        <f t="shared" si="1"/>
        <v>-</v>
      </c>
      <c r="E131" s="9" t="s">
        <v>11</v>
      </c>
      <c r="F131" s="10"/>
      <c r="G131" s="9"/>
      <c r="H131" s="26"/>
      <c r="I131" s="9" t="s">
        <v>13</v>
      </c>
      <c r="J131" s="44"/>
    </row>
    <row r="132">
      <c r="A132" s="42" t="s">
        <v>88</v>
      </c>
      <c r="B132" s="11"/>
      <c r="C132" s="8" t="s">
        <v>11</v>
      </c>
      <c r="D132" s="8" t="str">
        <f t="shared" si="1"/>
        <v>-</v>
      </c>
      <c r="E132" s="9" t="s">
        <v>11</v>
      </c>
      <c r="F132" s="10"/>
      <c r="G132" s="9"/>
      <c r="H132" s="26"/>
      <c r="I132" s="9" t="s">
        <v>13</v>
      </c>
      <c r="J132" s="44"/>
    </row>
    <row r="133">
      <c r="A133" s="42" t="s">
        <v>88</v>
      </c>
      <c r="B133" s="11"/>
      <c r="C133" s="8" t="s">
        <v>11</v>
      </c>
      <c r="D133" s="8" t="str">
        <f t="shared" si="1"/>
        <v>-</v>
      </c>
      <c r="E133" s="9" t="s">
        <v>11</v>
      </c>
      <c r="F133" s="10"/>
      <c r="G133" s="9"/>
      <c r="H133" s="26"/>
      <c r="I133" s="9" t="s">
        <v>13</v>
      </c>
      <c r="J133" s="44"/>
    </row>
    <row r="134">
      <c r="A134" s="42" t="s">
        <v>88</v>
      </c>
      <c r="B134" s="11"/>
      <c r="C134" s="8" t="s">
        <v>11</v>
      </c>
      <c r="D134" s="8" t="str">
        <f t="shared" si="1"/>
        <v>-</v>
      </c>
      <c r="E134" s="9" t="s">
        <v>11</v>
      </c>
      <c r="F134" s="10"/>
      <c r="G134" s="9"/>
      <c r="H134" s="26"/>
      <c r="I134" s="9" t="s">
        <v>13</v>
      </c>
      <c r="J134" s="44"/>
    </row>
    <row r="135">
      <c r="A135" s="42" t="s">
        <v>88</v>
      </c>
      <c r="B135" s="11"/>
      <c r="C135" s="8" t="s">
        <v>11</v>
      </c>
      <c r="D135" s="8" t="str">
        <f t="shared" si="1"/>
        <v>-</v>
      </c>
      <c r="E135" s="9" t="s">
        <v>11</v>
      </c>
      <c r="F135" s="10"/>
      <c r="G135" s="9"/>
      <c r="H135" s="26"/>
      <c r="I135" s="9" t="s">
        <v>13</v>
      </c>
      <c r="J135" s="44"/>
    </row>
    <row r="136">
      <c r="A136" s="42" t="s">
        <v>88</v>
      </c>
      <c r="B136" s="11"/>
      <c r="C136" s="8" t="s">
        <v>11</v>
      </c>
      <c r="D136" s="8" t="str">
        <f t="shared" si="1"/>
        <v>-</v>
      </c>
      <c r="E136" s="9" t="s">
        <v>11</v>
      </c>
      <c r="F136" s="10"/>
      <c r="G136" s="9"/>
      <c r="H136" s="26"/>
      <c r="I136" s="9" t="s">
        <v>13</v>
      </c>
      <c r="J136" s="44"/>
    </row>
    <row r="137">
      <c r="A137" s="42" t="s">
        <v>88</v>
      </c>
      <c r="B137" s="11"/>
      <c r="C137" s="8" t="s">
        <v>11</v>
      </c>
      <c r="D137" s="8" t="str">
        <f t="shared" si="1"/>
        <v>-</v>
      </c>
      <c r="E137" s="9" t="s">
        <v>11</v>
      </c>
      <c r="F137" s="10"/>
      <c r="G137" s="9"/>
      <c r="H137" s="26"/>
      <c r="I137" s="9" t="s">
        <v>13</v>
      </c>
      <c r="J137" s="44"/>
    </row>
    <row r="138">
      <c r="A138" s="42" t="s">
        <v>88</v>
      </c>
      <c r="B138" s="11"/>
      <c r="C138" s="8" t="s">
        <v>11</v>
      </c>
      <c r="D138" s="8" t="str">
        <f t="shared" si="1"/>
        <v>-</v>
      </c>
      <c r="E138" s="9" t="s">
        <v>11</v>
      </c>
      <c r="F138" s="10"/>
      <c r="G138" s="9"/>
      <c r="H138" s="26"/>
      <c r="I138" s="9" t="s">
        <v>13</v>
      </c>
      <c r="J138" s="44"/>
    </row>
    <row r="139">
      <c r="A139" s="42" t="s">
        <v>88</v>
      </c>
      <c r="B139" s="11"/>
      <c r="C139" s="8" t="s">
        <v>11</v>
      </c>
      <c r="D139" s="8" t="str">
        <f t="shared" si="1"/>
        <v>-</v>
      </c>
      <c r="E139" s="9" t="s">
        <v>11</v>
      </c>
      <c r="F139" s="10"/>
      <c r="G139" s="9"/>
      <c r="H139" s="26"/>
      <c r="I139" s="9" t="s">
        <v>13</v>
      </c>
      <c r="J139" s="44"/>
    </row>
    <row r="140">
      <c r="A140" s="42" t="s">
        <v>88</v>
      </c>
      <c r="B140" s="11"/>
      <c r="C140" s="8" t="s">
        <v>11</v>
      </c>
      <c r="D140" s="8" t="str">
        <f t="shared" si="1"/>
        <v>-</v>
      </c>
      <c r="E140" s="9" t="s">
        <v>11</v>
      </c>
      <c r="F140" s="10"/>
      <c r="G140" s="9"/>
      <c r="H140" s="26"/>
      <c r="I140" s="9" t="s">
        <v>13</v>
      </c>
      <c r="J140" s="44"/>
    </row>
    <row r="141">
      <c r="A141" s="42" t="s">
        <v>88</v>
      </c>
      <c r="B141" s="11"/>
      <c r="C141" s="8" t="s">
        <v>11</v>
      </c>
      <c r="D141" s="8" t="str">
        <f t="shared" si="1"/>
        <v>-</v>
      </c>
      <c r="E141" s="9" t="s">
        <v>11</v>
      </c>
      <c r="F141" s="10"/>
      <c r="G141" s="9"/>
      <c r="H141" s="26"/>
      <c r="I141" s="9" t="s">
        <v>13</v>
      </c>
      <c r="J141" s="44"/>
    </row>
    <row r="142">
      <c r="A142" s="42" t="s">
        <v>88</v>
      </c>
      <c r="B142" s="11"/>
      <c r="C142" s="8" t="s">
        <v>11</v>
      </c>
      <c r="D142" s="8" t="str">
        <f t="shared" si="1"/>
        <v>-</v>
      </c>
      <c r="E142" s="9" t="s">
        <v>11</v>
      </c>
      <c r="F142" s="10"/>
      <c r="G142" s="9"/>
      <c r="H142" s="26"/>
      <c r="I142" s="9" t="s">
        <v>13</v>
      </c>
      <c r="J142" s="44"/>
    </row>
    <row r="143">
      <c r="A143" s="42" t="s">
        <v>88</v>
      </c>
      <c r="B143" s="11"/>
      <c r="C143" s="8" t="s">
        <v>11</v>
      </c>
      <c r="D143" s="8" t="str">
        <f t="shared" si="1"/>
        <v>-</v>
      </c>
      <c r="E143" s="9" t="s">
        <v>11</v>
      </c>
      <c r="F143" s="10"/>
      <c r="G143" s="9"/>
      <c r="H143" s="26"/>
      <c r="I143" s="9" t="s">
        <v>13</v>
      </c>
      <c r="J143" s="44"/>
    </row>
    <row r="144">
      <c r="A144" s="42" t="s">
        <v>88</v>
      </c>
      <c r="B144" s="11"/>
      <c r="C144" s="8" t="s">
        <v>11</v>
      </c>
      <c r="D144" s="8" t="str">
        <f t="shared" si="1"/>
        <v>-</v>
      </c>
      <c r="E144" s="9" t="s">
        <v>11</v>
      </c>
      <c r="F144" s="10"/>
      <c r="G144" s="9"/>
      <c r="H144" s="26"/>
      <c r="I144" s="9" t="s">
        <v>13</v>
      </c>
      <c r="J144" s="44"/>
    </row>
    <row r="145">
      <c r="A145" s="42" t="s">
        <v>88</v>
      </c>
      <c r="B145" s="11"/>
      <c r="C145" s="8" t="s">
        <v>11</v>
      </c>
      <c r="D145" s="8" t="str">
        <f t="shared" si="1"/>
        <v>-</v>
      </c>
      <c r="E145" s="9" t="s">
        <v>11</v>
      </c>
      <c r="F145" s="10"/>
      <c r="G145" s="9"/>
      <c r="H145" s="26"/>
      <c r="I145" s="9" t="s">
        <v>13</v>
      </c>
      <c r="J145" s="44"/>
    </row>
    <row r="146">
      <c r="A146" s="42" t="s">
        <v>88</v>
      </c>
      <c r="B146" s="11"/>
      <c r="C146" s="8" t="s">
        <v>11</v>
      </c>
      <c r="D146" s="8" t="str">
        <f t="shared" si="1"/>
        <v>-</v>
      </c>
      <c r="E146" s="9" t="s">
        <v>11</v>
      </c>
      <c r="F146" s="10"/>
      <c r="G146" s="9"/>
      <c r="H146" s="26"/>
      <c r="I146" s="9" t="s">
        <v>13</v>
      </c>
      <c r="J146" s="44"/>
    </row>
    <row r="147">
      <c r="A147" s="42" t="s">
        <v>88</v>
      </c>
      <c r="B147" s="11"/>
      <c r="C147" s="8" t="s">
        <v>11</v>
      </c>
      <c r="D147" s="8" t="str">
        <f t="shared" si="1"/>
        <v>-</v>
      </c>
      <c r="E147" s="9" t="s">
        <v>11</v>
      </c>
      <c r="F147" s="10"/>
      <c r="G147" s="9"/>
      <c r="H147" s="26"/>
      <c r="I147" s="9" t="s">
        <v>13</v>
      </c>
      <c r="J147" s="44"/>
    </row>
    <row r="148">
      <c r="A148" s="42" t="s">
        <v>88</v>
      </c>
      <c r="B148" s="11"/>
      <c r="C148" s="8" t="s">
        <v>11</v>
      </c>
      <c r="D148" s="8" t="str">
        <f t="shared" si="1"/>
        <v>-</v>
      </c>
      <c r="E148" s="9" t="s">
        <v>11</v>
      </c>
      <c r="F148" s="10"/>
      <c r="G148" s="9"/>
      <c r="H148" s="26"/>
      <c r="I148" s="9" t="s">
        <v>13</v>
      </c>
      <c r="J148" s="44"/>
    </row>
    <row r="149">
      <c r="A149" s="42" t="s">
        <v>88</v>
      </c>
      <c r="B149" s="11"/>
      <c r="C149" s="8" t="s">
        <v>11</v>
      </c>
      <c r="D149" s="8" t="str">
        <f t="shared" si="1"/>
        <v>-</v>
      </c>
      <c r="E149" s="9" t="s">
        <v>11</v>
      </c>
      <c r="F149" s="10"/>
      <c r="G149" s="9"/>
      <c r="H149" s="26"/>
      <c r="I149" s="9" t="s">
        <v>13</v>
      </c>
      <c r="J149" s="44"/>
    </row>
    <row r="150">
      <c r="A150" s="42" t="s">
        <v>88</v>
      </c>
      <c r="B150" s="11"/>
      <c r="C150" s="8" t="s">
        <v>11</v>
      </c>
      <c r="D150" s="8" t="str">
        <f t="shared" si="1"/>
        <v>-</v>
      </c>
      <c r="E150" s="9" t="s">
        <v>11</v>
      </c>
      <c r="F150" s="10"/>
      <c r="G150" s="9"/>
      <c r="H150" s="26"/>
      <c r="I150" s="9" t="s">
        <v>13</v>
      </c>
      <c r="J150" s="44"/>
    </row>
    <row r="151">
      <c r="A151" s="42" t="s">
        <v>88</v>
      </c>
      <c r="B151" s="11"/>
      <c r="C151" s="8" t="s">
        <v>11</v>
      </c>
      <c r="D151" s="8" t="str">
        <f t="shared" si="1"/>
        <v>-</v>
      </c>
      <c r="E151" s="9" t="s">
        <v>11</v>
      </c>
      <c r="F151" s="10"/>
      <c r="G151" s="9"/>
      <c r="H151" s="26"/>
      <c r="I151" s="9" t="s">
        <v>13</v>
      </c>
      <c r="J151" s="44"/>
    </row>
    <row r="152">
      <c r="A152" s="42" t="s">
        <v>88</v>
      </c>
      <c r="B152" s="11"/>
      <c r="C152" s="8" t="s">
        <v>11</v>
      </c>
      <c r="D152" s="8" t="str">
        <f t="shared" si="1"/>
        <v>-</v>
      </c>
      <c r="E152" s="9" t="s">
        <v>11</v>
      </c>
      <c r="F152" s="10"/>
      <c r="G152" s="9"/>
      <c r="H152" s="26"/>
      <c r="I152" s="9" t="s">
        <v>13</v>
      </c>
      <c r="J152" s="44"/>
    </row>
    <row r="153">
      <c r="A153" s="42" t="s">
        <v>88</v>
      </c>
      <c r="B153" s="11"/>
      <c r="C153" s="8" t="s">
        <v>11</v>
      </c>
      <c r="D153" s="8" t="str">
        <f t="shared" si="1"/>
        <v>-</v>
      </c>
      <c r="E153" s="9" t="s">
        <v>11</v>
      </c>
      <c r="F153" s="10"/>
      <c r="G153" s="9"/>
      <c r="H153" s="26"/>
      <c r="I153" s="9" t="s">
        <v>13</v>
      </c>
      <c r="J153" s="44"/>
    </row>
    <row r="154">
      <c r="A154" s="42" t="s">
        <v>88</v>
      </c>
      <c r="B154" s="11"/>
      <c r="C154" s="8" t="s">
        <v>11</v>
      </c>
      <c r="D154" s="8" t="str">
        <f t="shared" si="1"/>
        <v>-</v>
      </c>
      <c r="E154" s="9" t="s">
        <v>11</v>
      </c>
      <c r="F154" s="10"/>
      <c r="G154" s="9"/>
      <c r="H154" s="26"/>
      <c r="I154" s="9" t="s">
        <v>13</v>
      </c>
      <c r="J154" s="44"/>
    </row>
    <row r="155">
      <c r="A155" s="42" t="s">
        <v>88</v>
      </c>
      <c r="B155" s="11"/>
      <c r="C155" s="8" t="s">
        <v>11</v>
      </c>
      <c r="D155" s="8" t="str">
        <f t="shared" si="1"/>
        <v>-</v>
      </c>
      <c r="E155" s="9" t="s">
        <v>11</v>
      </c>
      <c r="F155" s="10"/>
      <c r="G155" s="9"/>
      <c r="H155" s="26"/>
      <c r="I155" s="9" t="s">
        <v>13</v>
      </c>
      <c r="J155" s="44"/>
    </row>
    <row r="156">
      <c r="A156" s="42" t="s">
        <v>88</v>
      </c>
      <c r="B156" s="11"/>
      <c r="C156" s="8" t="s">
        <v>11</v>
      </c>
      <c r="D156" s="8" t="str">
        <f t="shared" si="1"/>
        <v>-</v>
      </c>
      <c r="E156" s="9" t="s">
        <v>11</v>
      </c>
      <c r="F156" s="10"/>
      <c r="G156" s="9"/>
      <c r="H156" s="26"/>
      <c r="I156" s="9" t="s">
        <v>13</v>
      </c>
      <c r="J156" s="44"/>
    </row>
    <row r="157">
      <c r="A157" s="42" t="s">
        <v>88</v>
      </c>
      <c r="B157" s="11"/>
      <c r="C157" s="8" t="s">
        <v>11</v>
      </c>
      <c r="D157" s="8" t="str">
        <f t="shared" si="1"/>
        <v>-</v>
      </c>
      <c r="E157" s="9" t="s">
        <v>11</v>
      </c>
      <c r="F157" s="10"/>
      <c r="G157" s="9"/>
      <c r="H157" s="26"/>
      <c r="I157" s="9" t="s">
        <v>13</v>
      </c>
      <c r="J157" s="44"/>
    </row>
    <row r="158">
      <c r="A158" s="42" t="s">
        <v>88</v>
      </c>
      <c r="B158" s="11"/>
      <c r="C158" s="8" t="s">
        <v>11</v>
      </c>
      <c r="D158" s="8" t="str">
        <f t="shared" si="1"/>
        <v>-</v>
      </c>
      <c r="E158" s="9" t="s">
        <v>11</v>
      </c>
      <c r="F158" s="10"/>
      <c r="G158" s="9"/>
      <c r="H158" s="26"/>
      <c r="I158" s="9" t="s">
        <v>13</v>
      </c>
      <c r="J158" s="44"/>
    </row>
    <row r="159">
      <c r="A159" s="42" t="s">
        <v>88</v>
      </c>
      <c r="B159" s="11"/>
      <c r="C159" s="8" t="s">
        <v>11</v>
      </c>
      <c r="D159" s="8" t="str">
        <f t="shared" si="1"/>
        <v>-</v>
      </c>
      <c r="E159" s="9" t="s">
        <v>11</v>
      </c>
      <c r="F159" s="10"/>
      <c r="G159" s="9"/>
      <c r="H159" s="26"/>
      <c r="I159" s="9" t="s">
        <v>13</v>
      </c>
      <c r="J159" s="44"/>
    </row>
    <row r="160">
      <c r="A160" s="42" t="s">
        <v>88</v>
      </c>
      <c r="B160" s="11"/>
      <c r="C160" s="8" t="s">
        <v>11</v>
      </c>
      <c r="D160" s="8" t="str">
        <f t="shared" si="1"/>
        <v>-</v>
      </c>
      <c r="E160" s="9" t="s">
        <v>11</v>
      </c>
      <c r="F160" s="10"/>
      <c r="G160" s="9"/>
      <c r="H160" s="26"/>
      <c r="I160" s="9" t="s">
        <v>13</v>
      </c>
      <c r="J160" s="44"/>
    </row>
    <row r="161">
      <c r="A161" s="42" t="s">
        <v>88</v>
      </c>
      <c r="B161" s="11"/>
      <c r="C161" s="8" t="s">
        <v>11</v>
      </c>
      <c r="D161" s="8" t="str">
        <f t="shared" si="1"/>
        <v>-</v>
      </c>
      <c r="E161" s="9" t="s">
        <v>11</v>
      </c>
      <c r="F161" s="10"/>
      <c r="G161" s="9"/>
      <c r="H161" s="26"/>
      <c r="I161" s="9" t="s">
        <v>13</v>
      </c>
      <c r="J161" s="44"/>
    </row>
    <row r="162">
      <c r="A162" s="42" t="s">
        <v>88</v>
      </c>
      <c r="B162" s="11"/>
      <c r="C162" s="8" t="s">
        <v>11</v>
      </c>
      <c r="D162" s="8" t="str">
        <f t="shared" si="1"/>
        <v>-</v>
      </c>
      <c r="E162" s="9" t="s">
        <v>11</v>
      </c>
      <c r="F162" s="10"/>
      <c r="G162" s="9"/>
      <c r="H162" s="26"/>
      <c r="I162" s="9" t="s">
        <v>13</v>
      </c>
      <c r="J162" s="44"/>
    </row>
    <row r="163">
      <c r="A163" s="42" t="s">
        <v>88</v>
      </c>
      <c r="B163" s="11"/>
      <c r="C163" s="8" t="s">
        <v>11</v>
      </c>
      <c r="D163" s="8" t="str">
        <f t="shared" si="1"/>
        <v>-</v>
      </c>
      <c r="E163" s="9" t="s">
        <v>11</v>
      </c>
      <c r="F163" s="10"/>
      <c r="G163" s="9"/>
      <c r="H163" s="26"/>
      <c r="I163" s="9" t="s">
        <v>13</v>
      </c>
      <c r="J163" s="44"/>
    </row>
    <row r="164">
      <c r="A164" s="42" t="s">
        <v>88</v>
      </c>
      <c r="B164" s="11"/>
      <c r="C164" s="8" t="s">
        <v>11</v>
      </c>
      <c r="D164" s="8" t="str">
        <f t="shared" si="1"/>
        <v>-</v>
      </c>
      <c r="E164" s="9" t="s">
        <v>11</v>
      </c>
      <c r="F164" s="10"/>
      <c r="G164" s="9"/>
      <c r="H164" s="26"/>
      <c r="I164" s="9" t="s">
        <v>13</v>
      </c>
      <c r="J164" s="44"/>
    </row>
    <row r="165">
      <c r="A165" s="42" t="s">
        <v>88</v>
      </c>
      <c r="B165" s="11"/>
      <c r="C165" s="8" t="s">
        <v>11</v>
      </c>
      <c r="D165" s="8" t="str">
        <f t="shared" si="1"/>
        <v>-</v>
      </c>
      <c r="E165" s="9" t="s">
        <v>11</v>
      </c>
      <c r="F165" s="10"/>
      <c r="G165" s="9"/>
      <c r="H165" s="26"/>
      <c r="I165" s="9" t="s">
        <v>13</v>
      </c>
      <c r="J165" s="44"/>
    </row>
    <row r="166">
      <c r="A166" s="42" t="s">
        <v>88</v>
      </c>
      <c r="B166" s="11"/>
      <c r="C166" s="8" t="s">
        <v>11</v>
      </c>
      <c r="D166" s="8" t="str">
        <f t="shared" si="1"/>
        <v>-</v>
      </c>
      <c r="E166" s="9" t="s">
        <v>11</v>
      </c>
      <c r="F166" s="10"/>
      <c r="G166" s="9"/>
      <c r="H166" s="26"/>
      <c r="I166" s="9" t="s">
        <v>13</v>
      </c>
      <c r="J166" s="44"/>
    </row>
    <row r="167">
      <c r="A167" s="42" t="s">
        <v>88</v>
      </c>
      <c r="B167" s="11"/>
      <c r="C167" s="8" t="s">
        <v>11</v>
      </c>
      <c r="D167" s="8" t="str">
        <f t="shared" si="1"/>
        <v>-</v>
      </c>
      <c r="E167" s="9" t="s">
        <v>11</v>
      </c>
      <c r="F167" s="10"/>
      <c r="G167" s="9"/>
      <c r="H167" s="26"/>
      <c r="I167" s="9" t="s">
        <v>13</v>
      </c>
      <c r="J167" s="44"/>
    </row>
    <row r="168">
      <c r="A168" s="42" t="s">
        <v>88</v>
      </c>
      <c r="B168" s="11"/>
      <c r="C168" s="8" t="s">
        <v>11</v>
      </c>
      <c r="D168" s="8" t="str">
        <f t="shared" si="1"/>
        <v>-</v>
      </c>
      <c r="E168" s="9" t="s">
        <v>11</v>
      </c>
      <c r="F168" s="10"/>
      <c r="G168" s="9"/>
      <c r="H168" s="26"/>
      <c r="I168" s="9" t="s">
        <v>13</v>
      </c>
      <c r="J168" s="44"/>
    </row>
    <row r="169">
      <c r="A169" s="42" t="s">
        <v>88</v>
      </c>
      <c r="B169" s="11"/>
      <c r="C169" s="8" t="s">
        <v>11</v>
      </c>
      <c r="D169" s="8" t="str">
        <f t="shared" si="1"/>
        <v>-</v>
      </c>
      <c r="E169" s="9" t="s">
        <v>11</v>
      </c>
      <c r="F169" s="10"/>
      <c r="G169" s="9"/>
      <c r="H169" s="26"/>
      <c r="I169" s="9" t="s">
        <v>13</v>
      </c>
      <c r="J169" s="44"/>
    </row>
    <row r="170">
      <c r="A170" s="42" t="s">
        <v>88</v>
      </c>
      <c r="B170" s="11"/>
      <c r="C170" s="8" t="s">
        <v>11</v>
      </c>
      <c r="D170" s="8" t="str">
        <f t="shared" si="1"/>
        <v>-</v>
      </c>
      <c r="E170" s="9" t="s">
        <v>11</v>
      </c>
      <c r="F170" s="10"/>
      <c r="G170" s="9"/>
      <c r="H170" s="26"/>
      <c r="I170" s="9" t="s">
        <v>13</v>
      </c>
      <c r="J170" s="44"/>
    </row>
    <row r="171">
      <c r="A171" s="42" t="s">
        <v>88</v>
      </c>
      <c r="B171" s="11"/>
      <c r="C171" s="8" t="s">
        <v>11</v>
      </c>
      <c r="D171" s="8" t="str">
        <f t="shared" si="1"/>
        <v>-</v>
      </c>
      <c r="E171" s="9" t="s">
        <v>11</v>
      </c>
      <c r="F171" s="10"/>
      <c r="G171" s="9"/>
      <c r="H171" s="26"/>
      <c r="I171" s="9" t="s">
        <v>13</v>
      </c>
      <c r="J171" s="44"/>
    </row>
    <row r="172">
      <c r="A172" s="42" t="s">
        <v>88</v>
      </c>
      <c r="B172" s="11"/>
      <c r="C172" s="8" t="s">
        <v>11</v>
      </c>
      <c r="D172" s="8" t="str">
        <f t="shared" si="1"/>
        <v>-</v>
      </c>
      <c r="E172" s="9" t="s">
        <v>11</v>
      </c>
      <c r="F172" s="10"/>
      <c r="G172" s="9"/>
      <c r="H172" s="26"/>
      <c r="I172" s="9" t="s">
        <v>13</v>
      </c>
      <c r="J172" s="44"/>
    </row>
    <row r="173">
      <c r="A173" s="42" t="s">
        <v>88</v>
      </c>
      <c r="B173" s="11"/>
      <c r="C173" s="8" t="s">
        <v>11</v>
      </c>
      <c r="D173" s="8" t="str">
        <f t="shared" si="1"/>
        <v>-</v>
      </c>
      <c r="E173" s="9" t="s">
        <v>11</v>
      </c>
      <c r="F173" s="10"/>
      <c r="G173" s="9"/>
      <c r="H173" s="26"/>
      <c r="I173" s="9" t="s">
        <v>13</v>
      </c>
      <c r="J173" s="44"/>
    </row>
    <row r="174">
      <c r="A174" s="42" t="s">
        <v>88</v>
      </c>
      <c r="B174" s="11"/>
      <c r="C174" s="8" t="s">
        <v>11</v>
      </c>
      <c r="D174" s="8" t="str">
        <f t="shared" si="1"/>
        <v>-</v>
      </c>
      <c r="E174" s="9" t="s">
        <v>11</v>
      </c>
      <c r="F174" s="10"/>
      <c r="G174" s="9"/>
      <c r="H174" s="26"/>
      <c r="I174" s="9" t="s">
        <v>13</v>
      </c>
      <c r="J174" s="44"/>
    </row>
    <row r="175">
      <c r="A175" s="42" t="s">
        <v>88</v>
      </c>
      <c r="B175" s="11"/>
      <c r="C175" s="8" t="s">
        <v>11</v>
      </c>
      <c r="D175" s="8" t="str">
        <f t="shared" si="1"/>
        <v>-</v>
      </c>
      <c r="E175" s="9" t="s">
        <v>11</v>
      </c>
      <c r="F175" s="10"/>
      <c r="G175" s="9"/>
      <c r="H175" s="26"/>
      <c r="I175" s="9" t="s">
        <v>13</v>
      </c>
      <c r="J175" s="44"/>
    </row>
    <row r="176">
      <c r="A176" s="42" t="s">
        <v>88</v>
      </c>
      <c r="B176" s="11"/>
      <c r="C176" s="8" t="s">
        <v>11</v>
      </c>
      <c r="D176" s="8" t="str">
        <f t="shared" si="1"/>
        <v>-</v>
      </c>
      <c r="E176" s="9" t="s">
        <v>11</v>
      </c>
      <c r="F176" s="10"/>
      <c r="G176" s="9"/>
      <c r="H176" s="26"/>
      <c r="I176" s="9" t="s">
        <v>13</v>
      </c>
      <c r="J176" s="44"/>
    </row>
    <row r="177">
      <c r="A177" s="42" t="s">
        <v>88</v>
      </c>
      <c r="B177" s="11"/>
      <c r="C177" s="8" t="s">
        <v>11</v>
      </c>
      <c r="D177" s="8" t="str">
        <f t="shared" si="1"/>
        <v>-</v>
      </c>
      <c r="E177" s="9" t="s">
        <v>11</v>
      </c>
      <c r="F177" s="10"/>
      <c r="G177" s="9"/>
      <c r="H177" s="26"/>
      <c r="I177" s="9" t="s">
        <v>13</v>
      </c>
      <c r="J177" s="44"/>
    </row>
    <row r="178">
      <c r="A178" s="42" t="s">
        <v>88</v>
      </c>
      <c r="B178" s="11"/>
      <c r="C178" s="8" t="s">
        <v>11</v>
      </c>
      <c r="D178" s="8" t="str">
        <f t="shared" si="1"/>
        <v>-</v>
      </c>
      <c r="E178" s="9" t="s">
        <v>11</v>
      </c>
      <c r="F178" s="10"/>
      <c r="G178" s="9"/>
      <c r="H178" s="26"/>
      <c r="I178" s="9" t="s">
        <v>13</v>
      </c>
      <c r="J178" s="44"/>
    </row>
    <row r="179">
      <c r="A179" s="42" t="s">
        <v>88</v>
      </c>
      <c r="B179" s="11"/>
      <c r="C179" s="8" t="s">
        <v>11</v>
      </c>
      <c r="D179" s="8" t="str">
        <f t="shared" si="1"/>
        <v>-</v>
      </c>
      <c r="E179" s="9" t="s">
        <v>11</v>
      </c>
      <c r="F179" s="10"/>
      <c r="G179" s="9"/>
      <c r="H179" s="26"/>
      <c r="I179" s="9" t="s">
        <v>13</v>
      </c>
      <c r="J179" s="44"/>
    </row>
    <row r="180">
      <c r="A180" s="42" t="s">
        <v>88</v>
      </c>
      <c r="B180" s="11"/>
      <c r="C180" s="8" t="s">
        <v>11</v>
      </c>
      <c r="D180" s="8" t="str">
        <f t="shared" si="1"/>
        <v>-</v>
      </c>
      <c r="E180" s="9" t="s">
        <v>11</v>
      </c>
      <c r="F180" s="10"/>
      <c r="G180" s="9"/>
      <c r="H180" s="26"/>
      <c r="I180" s="9" t="s">
        <v>13</v>
      </c>
      <c r="J180" s="44"/>
    </row>
    <row r="181">
      <c r="A181" s="42" t="s">
        <v>88</v>
      </c>
      <c r="B181" s="11"/>
      <c r="C181" s="8" t="s">
        <v>11</v>
      </c>
      <c r="D181" s="8" t="str">
        <f t="shared" si="1"/>
        <v>-</v>
      </c>
      <c r="E181" s="9" t="s">
        <v>11</v>
      </c>
      <c r="F181" s="10"/>
      <c r="G181" s="9"/>
      <c r="H181" s="26"/>
      <c r="I181" s="9" t="s">
        <v>13</v>
      </c>
      <c r="J181" s="44"/>
    </row>
    <row r="182">
      <c r="A182" s="42" t="s">
        <v>88</v>
      </c>
      <c r="B182" s="11"/>
      <c r="C182" s="8" t="s">
        <v>11</v>
      </c>
      <c r="D182" s="8" t="str">
        <f t="shared" si="1"/>
        <v>-</v>
      </c>
      <c r="E182" s="9" t="s">
        <v>11</v>
      </c>
      <c r="F182" s="10"/>
      <c r="G182" s="9"/>
      <c r="H182" s="26"/>
      <c r="I182" s="9" t="s">
        <v>13</v>
      </c>
      <c r="J182" s="44"/>
    </row>
    <row r="183">
      <c r="A183" s="42" t="s">
        <v>88</v>
      </c>
      <c r="B183" s="11"/>
      <c r="C183" s="8" t="s">
        <v>11</v>
      </c>
      <c r="D183" s="8" t="str">
        <f t="shared" si="1"/>
        <v>-</v>
      </c>
      <c r="E183" s="9" t="s">
        <v>11</v>
      </c>
      <c r="F183" s="10"/>
      <c r="G183" s="9"/>
      <c r="H183" s="26"/>
      <c r="I183" s="9" t="s">
        <v>13</v>
      </c>
      <c r="J183" s="44"/>
    </row>
    <row r="184">
      <c r="A184" s="42" t="s">
        <v>88</v>
      </c>
      <c r="B184" s="11"/>
      <c r="C184" s="8" t="s">
        <v>11</v>
      </c>
      <c r="D184" s="8" t="str">
        <f t="shared" si="1"/>
        <v>-</v>
      </c>
      <c r="E184" s="9" t="s">
        <v>11</v>
      </c>
      <c r="F184" s="10"/>
      <c r="G184" s="9"/>
      <c r="H184" s="26"/>
      <c r="I184" s="9" t="s">
        <v>13</v>
      </c>
      <c r="J184" s="44"/>
    </row>
    <row r="185">
      <c r="A185" s="42" t="s">
        <v>88</v>
      </c>
      <c r="B185" s="11"/>
      <c r="C185" s="8" t="s">
        <v>11</v>
      </c>
      <c r="D185" s="8" t="str">
        <f t="shared" si="1"/>
        <v>-</v>
      </c>
      <c r="E185" s="9" t="s">
        <v>11</v>
      </c>
      <c r="F185" s="10"/>
      <c r="G185" s="9"/>
      <c r="H185" s="26"/>
      <c r="I185" s="9" t="s">
        <v>13</v>
      </c>
      <c r="J185" s="44"/>
    </row>
    <row r="186">
      <c r="A186" s="42" t="s">
        <v>88</v>
      </c>
      <c r="B186" s="11"/>
      <c r="C186" s="8" t="s">
        <v>11</v>
      </c>
      <c r="D186" s="8" t="str">
        <f t="shared" si="1"/>
        <v>-</v>
      </c>
      <c r="E186" s="9" t="s">
        <v>11</v>
      </c>
      <c r="F186" s="10"/>
      <c r="G186" s="9"/>
      <c r="H186" s="26"/>
      <c r="I186" s="9" t="s">
        <v>13</v>
      </c>
      <c r="J186" s="44"/>
    </row>
    <row r="187">
      <c r="A187" s="42" t="s">
        <v>88</v>
      </c>
      <c r="B187" s="11"/>
      <c r="C187" s="8" t="s">
        <v>11</v>
      </c>
      <c r="D187" s="8" t="str">
        <f t="shared" si="1"/>
        <v>-</v>
      </c>
      <c r="E187" s="9" t="s">
        <v>11</v>
      </c>
      <c r="F187" s="10"/>
      <c r="G187" s="9"/>
      <c r="H187" s="26"/>
      <c r="I187" s="9" t="s">
        <v>13</v>
      </c>
      <c r="J187" s="44"/>
    </row>
    <row r="188">
      <c r="A188" s="42" t="s">
        <v>88</v>
      </c>
      <c r="B188" s="11"/>
      <c r="C188" s="8" t="s">
        <v>11</v>
      </c>
      <c r="D188" s="8" t="str">
        <f t="shared" si="1"/>
        <v>-</v>
      </c>
      <c r="E188" s="9" t="s">
        <v>11</v>
      </c>
      <c r="F188" s="10"/>
      <c r="G188" s="9"/>
      <c r="H188" s="26"/>
      <c r="I188" s="9" t="s">
        <v>13</v>
      </c>
      <c r="J188" s="44"/>
    </row>
    <row r="189">
      <c r="A189" s="42" t="s">
        <v>88</v>
      </c>
      <c r="B189" s="11"/>
      <c r="C189" s="8" t="s">
        <v>11</v>
      </c>
      <c r="D189" s="8" t="str">
        <f t="shared" si="1"/>
        <v>-</v>
      </c>
      <c r="E189" s="9" t="s">
        <v>11</v>
      </c>
      <c r="F189" s="10"/>
      <c r="G189" s="9"/>
      <c r="H189" s="26"/>
      <c r="I189" s="9" t="s">
        <v>13</v>
      </c>
      <c r="J189" s="44"/>
    </row>
    <row r="190">
      <c r="A190" s="42" t="s">
        <v>88</v>
      </c>
      <c r="B190" s="11"/>
      <c r="C190" s="8" t="s">
        <v>11</v>
      </c>
      <c r="D190" s="8" t="str">
        <f t="shared" si="1"/>
        <v>-</v>
      </c>
      <c r="E190" s="9" t="s">
        <v>11</v>
      </c>
      <c r="F190" s="10"/>
      <c r="G190" s="9"/>
      <c r="H190" s="26"/>
      <c r="I190" s="9" t="s">
        <v>13</v>
      </c>
      <c r="J190" s="44"/>
    </row>
    <row r="191">
      <c r="A191" s="42" t="s">
        <v>88</v>
      </c>
      <c r="B191" s="11"/>
      <c r="C191" s="8" t="s">
        <v>11</v>
      </c>
      <c r="D191" s="8" t="str">
        <f t="shared" si="1"/>
        <v>-</v>
      </c>
      <c r="E191" s="9" t="s">
        <v>11</v>
      </c>
      <c r="F191" s="10"/>
      <c r="G191" s="9"/>
      <c r="H191" s="26"/>
      <c r="I191" s="9" t="s">
        <v>13</v>
      </c>
      <c r="J191" s="44"/>
    </row>
    <row r="192">
      <c r="A192" s="42" t="s">
        <v>88</v>
      </c>
      <c r="B192" s="11"/>
      <c r="C192" s="8" t="s">
        <v>11</v>
      </c>
      <c r="D192" s="8" t="str">
        <f t="shared" si="1"/>
        <v>-</v>
      </c>
      <c r="E192" s="9" t="s">
        <v>11</v>
      </c>
      <c r="F192" s="10"/>
      <c r="G192" s="9"/>
      <c r="H192" s="26"/>
      <c r="I192" s="9" t="s">
        <v>13</v>
      </c>
      <c r="J192" s="44"/>
    </row>
    <row r="193">
      <c r="A193" s="42" t="s">
        <v>88</v>
      </c>
      <c r="B193" s="11"/>
      <c r="C193" s="8" t="s">
        <v>11</v>
      </c>
      <c r="D193" s="8" t="str">
        <f t="shared" si="1"/>
        <v>-</v>
      </c>
      <c r="E193" s="9" t="s">
        <v>11</v>
      </c>
      <c r="F193" s="10"/>
      <c r="G193" s="9"/>
      <c r="H193" s="26"/>
      <c r="I193" s="9" t="s">
        <v>13</v>
      </c>
      <c r="J193" s="44"/>
    </row>
    <row r="194">
      <c r="A194" s="42" t="s">
        <v>88</v>
      </c>
      <c r="B194" s="11"/>
      <c r="C194" s="8" t="s">
        <v>11</v>
      </c>
      <c r="D194" s="8" t="str">
        <f t="shared" si="1"/>
        <v>-</v>
      </c>
      <c r="E194" s="9" t="s">
        <v>11</v>
      </c>
      <c r="F194" s="10"/>
      <c r="G194" s="9"/>
      <c r="H194" s="26"/>
      <c r="I194" s="9" t="s">
        <v>13</v>
      </c>
      <c r="J194" s="44"/>
    </row>
    <row r="195">
      <c r="A195" s="42" t="s">
        <v>88</v>
      </c>
      <c r="B195" s="11"/>
      <c r="C195" s="8" t="s">
        <v>11</v>
      </c>
      <c r="D195" s="8" t="str">
        <f t="shared" si="1"/>
        <v>-</v>
      </c>
      <c r="E195" s="9" t="s">
        <v>11</v>
      </c>
      <c r="F195" s="10"/>
      <c r="G195" s="9"/>
      <c r="H195" s="26"/>
      <c r="I195" s="9" t="s">
        <v>13</v>
      </c>
      <c r="J195" s="44"/>
    </row>
    <row r="196">
      <c r="A196" s="42" t="s">
        <v>88</v>
      </c>
      <c r="B196" s="11"/>
      <c r="C196" s="8" t="s">
        <v>11</v>
      </c>
      <c r="D196" s="8" t="str">
        <f t="shared" si="1"/>
        <v>-</v>
      </c>
      <c r="E196" s="9" t="s">
        <v>11</v>
      </c>
      <c r="F196" s="10"/>
      <c r="G196" s="9"/>
      <c r="H196" s="26"/>
      <c r="I196" s="9" t="s">
        <v>13</v>
      </c>
      <c r="J196" s="44"/>
    </row>
    <row r="197">
      <c r="A197" s="42" t="s">
        <v>88</v>
      </c>
      <c r="B197" s="11"/>
      <c r="C197" s="8" t="s">
        <v>11</v>
      </c>
      <c r="D197" s="8" t="str">
        <f t="shared" si="1"/>
        <v>-</v>
      </c>
      <c r="E197" s="9" t="s">
        <v>11</v>
      </c>
      <c r="F197" s="10"/>
      <c r="G197" s="9"/>
      <c r="H197" s="26"/>
      <c r="I197" s="9" t="s">
        <v>13</v>
      </c>
      <c r="J197" s="44"/>
    </row>
    <row r="198">
      <c r="A198" s="42" t="s">
        <v>88</v>
      </c>
      <c r="B198" s="11"/>
      <c r="C198" s="8" t="s">
        <v>11</v>
      </c>
      <c r="D198" s="8" t="str">
        <f t="shared" si="1"/>
        <v>-</v>
      </c>
      <c r="E198" s="9" t="s">
        <v>11</v>
      </c>
      <c r="F198" s="10"/>
      <c r="G198" s="9"/>
      <c r="H198" s="26"/>
      <c r="I198" s="9" t="s">
        <v>13</v>
      </c>
      <c r="J198" s="44"/>
    </row>
    <row r="199">
      <c r="A199" s="42" t="s">
        <v>88</v>
      </c>
      <c r="B199" s="11"/>
      <c r="C199" s="8" t="s">
        <v>11</v>
      </c>
      <c r="D199" s="8" t="str">
        <f t="shared" si="1"/>
        <v>-</v>
      </c>
      <c r="E199" s="9" t="s">
        <v>11</v>
      </c>
      <c r="F199" s="10"/>
      <c r="G199" s="9"/>
      <c r="H199" s="26"/>
      <c r="I199" s="9" t="s">
        <v>13</v>
      </c>
      <c r="J199" s="44"/>
    </row>
    <row r="200">
      <c r="A200" s="42" t="s">
        <v>88</v>
      </c>
      <c r="B200" s="11"/>
      <c r="C200" s="8" t="s">
        <v>11</v>
      </c>
      <c r="D200" s="8" t="str">
        <f t="shared" si="1"/>
        <v>-</v>
      </c>
      <c r="E200" s="9" t="s">
        <v>11</v>
      </c>
      <c r="F200" s="10"/>
      <c r="G200" s="9"/>
      <c r="H200" s="26"/>
      <c r="I200" s="9" t="s">
        <v>13</v>
      </c>
      <c r="J200" s="44"/>
    </row>
    <row r="201">
      <c r="A201" s="42" t="s">
        <v>88</v>
      </c>
      <c r="B201" s="11"/>
      <c r="C201" s="8" t="s">
        <v>11</v>
      </c>
      <c r="D201" s="8" t="str">
        <f t="shared" si="1"/>
        <v>-</v>
      </c>
      <c r="E201" s="9" t="s">
        <v>11</v>
      </c>
      <c r="F201" s="10"/>
      <c r="G201" s="9"/>
      <c r="H201" s="26"/>
      <c r="I201" s="9" t="s">
        <v>13</v>
      </c>
      <c r="J201" s="44"/>
    </row>
    <row r="202">
      <c r="A202" s="42" t="s">
        <v>88</v>
      </c>
      <c r="B202" s="11"/>
      <c r="C202" s="8" t="s">
        <v>11</v>
      </c>
      <c r="D202" s="8" t="str">
        <f t="shared" si="1"/>
        <v>-</v>
      </c>
      <c r="E202" s="9" t="s">
        <v>11</v>
      </c>
      <c r="F202" s="10"/>
      <c r="G202" s="9"/>
      <c r="H202" s="26"/>
      <c r="I202" s="9" t="s">
        <v>13</v>
      </c>
      <c r="J202" s="44"/>
    </row>
    <row r="203">
      <c r="A203" s="42" t="s">
        <v>88</v>
      </c>
      <c r="B203" s="11"/>
      <c r="C203" s="8" t="s">
        <v>11</v>
      </c>
      <c r="D203" s="8" t="str">
        <f t="shared" si="1"/>
        <v>-</v>
      </c>
      <c r="E203" s="9" t="s">
        <v>11</v>
      </c>
      <c r="F203" s="10"/>
      <c r="G203" s="9"/>
      <c r="H203" s="26"/>
      <c r="I203" s="9" t="s">
        <v>13</v>
      </c>
      <c r="J203" s="44"/>
    </row>
    <row r="204">
      <c r="A204" s="42" t="s">
        <v>88</v>
      </c>
      <c r="B204" s="11"/>
      <c r="C204" s="8" t="s">
        <v>11</v>
      </c>
      <c r="D204" s="8" t="str">
        <f t="shared" si="1"/>
        <v>-</v>
      </c>
      <c r="E204" s="9" t="s">
        <v>11</v>
      </c>
      <c r="F204" s="10"/>
      <c r="G204" s="9"/>
      <c r="H204" s="26"/>
      <c r="I204" s="9" t="s">
        <v>13</v>
      </c>
      <c r="J204" s="44"/>
    </row>
    <row r="205">
      <c r="A205" s="42" t="s">
        <v>88</v>
      </c>
      <c r="B205" s="11"/>
      <c r="C205" s="8" t="s">
        <v>11</v>
      </c>
      <c r="D205" s="8" t="str">
        <f t="shared" si="1"/>
        <v>-</v>
      </c>
      <c r="E205" s="9" t="s">
        <v>11</v>
      </c>
      <c r="F205" s="10"/>
      <c r="G205" s="9"/>
      <c r="H205" s="26"/>
      <c r="I205" s="9" t="s">
        <v>13</v>
      </c>
      <c r="J205" s="44"/>
    </row>
    <row r="206">
      <c r="A206" s="42" t="s">
        <v>88</v>
      </c>
      <c r="B206" s="11"/>
      <c r="C206" s="8" t="s">
        <v>11</v>
      </c>
      <c r="D206" s="8" t="str">
        <f t="shared" si="1"/>
        <v>-</v>
      </c>
      <c r="E206" s="9" t="s">
        <v>11</v>
      </c>
      <c r="F206" s="10"/>
      <c r="G206" s="9"/>
      <c r="H206" s="26"/>
      <c r="I206" s="9" t="s">
        <v>13</v>
      </c>
      <c r="J206" s="44"/>
    </row>
    <row r="207">
      <c r="A207" s="42" t="s">
        <v>88</v>
      </c>
      <c r="B207" s="11"/>
      <c r="C207" s="8" t="s">
        <v>11</v>
      </c>
      <c r="D207" s="8" t="str">
        <f t="shared" si="1"/>
        <v>-</v>
      </c>
      <c r="E207" s="9" t="s">
        <v>11</v>
      </c>
      <c r="F207" s="10"/>
      <c r="G207" s="9"/>
      <c r="H207" s="26"/>
      <c r="I207" s="9" t="s">
        <v>13</v>
      </c>
      <c r="J207" s="44"/>
    </row>
    <row r="208">
      <c r="A208" s="42" t="s">
        <v>88</v>
      </c>
      <c r="B208" s="11"/>
      <c r="C208" s="8" t="s">
        <v>11</v>
      </c>
      <c r="D208" s="8" t="str">
        <f t="shared" si="1"/>
        <v>-</v>
      </c>
      <c r="E208" s="9" t="s">
        <v>11</v>
      </c>
      <c r="F208" s="10"/>
      <c r="G208" s="9"/>
      <c r="H208" s="26"/>
      <c r="I208" s="9" t="s">
        <v>13</v>
      </c>
      <c r="J208" s="44"/>
    </row>
    <row r="209">
      <c r="A209" s="42" t="s">
        <v>88</v>
      </c>
      <c r="B209" s="11"/>
      <c r="C209" s="8" t="s">
        <v>11</v>
      </c>
      <c r="D209" s="8" t="str">
        <f t="shared" si="1"/>
        <v>-</v>
      </c>
      <c r="E209" s="9" t="s">
        <v>11</v>
      </c>
      <c r="F209" s="10"/>
      <c r="G209" s="9"/>
      <c r="H209" s="26"/>
      <c r="I209" s="9" t="s">
        <v>13</v>
      </c>
      <c r="J209" s="44"/>
    </row>
    <row r="210">
      <c r="A210" s="42" t="s">
        <v>88</v>
      </c>
      <c r="B210" s="11"/>
      <c r="C210" s="8" t="s">
        <v>11</v>
      </c>
      <c r="D210" s="8" t="str">
        <f t="shared" si="1"/>
        <v>-</v>
      </c>
      <c r="E210" s="9" t="s">
        <v>11</v>
      </c>
      <c r="F210" s="10"/>
      <c r="G210" s="9"/>
      <c r="H210" s="26"/>
      <c r="I210" s="9" t="s">
        <v>13</v>
      </c>
      <c r="J210" s="44"/>
    </row>
    <row r="211">
      <c r="A211" s="42" t="s">
        <v>88</v>
      </c>
      <c r="B211" s="11"/>
      <c r="C211" s="8" t="s">
        <v>11</v>
      </c>
      <c r="D211" s="8" t="str">
        <f t="shared" si="1"/>
        <v>-</v>
      </c>
      <c r="E211" s="9" t="s">
        <v>11</v>
      </c>
      <c r="F211" s="10"/>
      <c r="G211" s="9"/>
      <c r="H211" s="26"/>
      <c r="I211" s="9" t="s">
        <v>13</v>
      </c>
      <c r="J211" s="44"/>
    </row>
    <row r="212">
      <c r="A212" s="42" t="s">
        <v>88</v>
      </c>
      <c r="B212" s="11"/>
      <c r="C212" s="8" t="s">
        <v>11</v>
      </c>
      <c r="D212" s="8" t="str">
        <f t="shared" si="1"/>
        <v>-</v>
      </c>
      <c r="E212" s="9" t="s">
        <v>11</v>
      </c>
      <c r="F212" s="10"/>
      <c r="G212" s="9"/>
      <c r="H212" s="26"/>
      <c r="I212" s="9" t="s">
        <v>13</v>
      </c>
      <c r="J212" s="44"/>
    </row>
    <row r="213">
      <c r="A213" s="42" t="s">
        <v>88</v>
      </c>
      <c r="B213" s="11"/>
      <c r="C213" s="8" t="s">
        <v>11</v>
      </c>
      <c r="D213" s="8" t="str">
        <f t="shared" si="1"/>
        <v>-</v>
      </c>
      <c r="E213" s="9" t="s">
        <v>11</v>
      </c>
      <c r="F213" s="10"/>
      <c r="G213" s="9"/>
      <c r="H213" s="26"/>
      <c r="I213" s="9" t="s">
        <v>13</v>
      </c>
      <c r="J213" s="44"/>
    </row>
    <row r="214">
      <c r="A214" s="42" t="s">
        <v>88</v>
      </c>
      <c r="B214" s="11"/>
      <c r="C214" s="8" t="s">
        <v>11</v>
      </c>
      <c r="D214" s="8" t="str">
        <f t="shared" si="1"/>
        <v>-</v>
      </c>
      <c r="E214" s="9" t="s">
        <v>11</v>
      </c>
      <c r="F214" s="10"/>
      <c r="G214" s="9"/>
      <c r="H214" s="26"/>
      <c r="I214" s="9" t="s">
        <v>13</v>
      </c>
      <c r="J214" s="44"/>
    </row>
    <row r="215">
      <c r="A215" s="42" t="s">
        <v>88</v>
      </c>
      <c r="B215" s="11"/>
      <c r="C215" s="8" t="s">
        <v>11</v>
      </c>
      <c r="D215" s="8" t="str">
        <f t="shared" si="1"/>
        <v>-</v>
      </c>
      <c r="E215" s="9" t="s">
        <v>11</v>
      </c>
      <c r="F215" s="10"/>
      <c r="G215" s="9"/>
      <c r="H215" s="26"/>
      <c r="I215" s="9" t="s">
        <v>13</v>
      </c>
      <c r="J215" s="44"/>
    </row>
    <row r="216">
      <c r="A216" s="42" t="s">
        <v>88</v>
      </c>
      <c r="B216" s="11"/>
      <c r="C216" s="8" t="s">
        <v>11</v>
      </c>
      <c r="D216" s="8" t="str">
        <f t="shared" si="1"/>
        <v>-</v>
      </c>
      <c r="E216" s="9" t="s">
        <v>11</v>
      </c>
      <c r="F216" s="10"/>
      <c r="G216" s="9"/>
      <c r="H216" s="26"/>
      <c r="I216" s="9" t="s">
        <v>13</v>
      </c>
      <c r="J216" s="44"/>
    </row>
    <row r="217">
      <c r="A217" s="42" t="s">
        <v>88</v>
      </c>
      <c r="B217" s="11"/>
      <c r="C217" s="8" t="s">
        <v>11</v>
      </c>
      <c r="D217" s="8" t="str">
        <f t="shared" si="1"/>
        <v>-</v>
      </c>
      <c r="E217" s="9" t="s">
        <v>11</v>
      </c>
      <c r="F217" s="10"/>
      <c r="G217" s="9"/>
      <c r="H217" s="26"/>
      <c r="I217" s="9" t="s">
        <v>13</v>
      </c>
      <c r="J217" s="44"/>
    </row>
    <row r="218">
      <c r="A218" s="42" t="s">
        <v>88</v>
      </c>
      <c r="B218" s="11"/>
      <c r="C218" s="8" t="s">
        <v>11</v>
      </c>
      <c r="D218" s="8" t="str">
        <f t="shared" si="1"/>
        <v>-</v>
      </c>
      <c r="E218" s="9" t="s">
        <v>11</v>
      </c>
      <c r="F218" s="10"/>
      <c r="G218" s="9"/>
      <c r="H218" s="26"/>
      <c r="I218" s="9" t="s">
        <v>13</v>
      </c>
      <c r="J218" s="44"/>
    </row>
    <row r="219">
      <c r="A219" s="42" t="s">
        <v>88</v>
      </c>
      <c r="B219" s="11"/>
      <c r="C219" s="8" t="s">
        <v>11</v>
      </c>
      <c r="D219" s="8" t="str">
        <f t="shared" si="1"/>
        <v>-</v>
      </c>
      <c r="E219" s="9" t="s">
        <v>11</v>
      </c>
      <c r="F219" s="10"/>
      <c r="G219" s="9"/>
      <c r="H219" s="26"/>
      <c r="I219" s="9" t="s">
        <v>13</v>
      </c>
      <c r="J219" s="44"/>
    </row>
    <row r="220">
      <c r="A220" s="42" t="s">
        <v>88</v>
      </c>
      <c r="B220" s="11"/>
      <c r="C220" s="8" t="s">
        <v>11</v>
      </c>
      <c r="D220" s="8" t="str">
        <f t="shared" si="1"/>
        <v>-</v>
      </c>
      <c r="E220" s="9" t="s">
        <v>11</v>
      </c>
      <c r="F220" s="10"/>
      <c r="G220" s="9"/>
      <c r="H220" s="26"/>
      <c r="I220" s="9" t="s">
        <v>13</v>
      </c>
      <c r="J220" s="44"/>
    </row>
    <row r="221">
      <c r="A221" s="42" t="s">
        <v>88</v>
      </c>
      <c r="B221" s="11"/>
      <c r="C221" s="8" t="s">
        <v>11</v>
      </c>
      <c r="D221" s="8" t="str">
        <f t="shared" si="1"/>
        <v>-</v>
      </c>
      <c r="E221" s="9" t="s">
        <v>11</v>
      </c>
      <c r="F221" s="10"/>
      <c r="G221" s="9"/>
      <c r="H221" s="26"/>
      <c r="I221" s="9" t="s">
        <v>13</v>
      </c>
      <c r="J221" s="44"/>
    </row>
    <row r="222">
      <c r="A222" s="42" t="s">
        <v>88</v>
      </c>
      <c r="B222" s="11"/>
      <c r="C222" s="8" t="s">
        <v>11</v>
      </c>
      <c r="D222" s="8" t="str">
        <f t="shared" si="1"/>
        <v>-</v>
      </c>
      <c r="E222" s="9" t="s">
        <v>11</v>
      </c>
      <c r="F222" s="10"/>
      <c r="G222" s="9"/>
      <c r="H222" s="26"/>
      <c r="I222" s="9" t="s">
        <v>13</v>
      </c>
      <c r="J222" s="44"/>
    </row>
    <row r="223">
      <c r="A223" s="42" t="s">
        <v>88</v>
      </c>
      <c r="B223" s="11"/>
      <c r="C223" s="8" t="s">
        <v>11</v>
      </c>
      <c r="D223" s="8" t="str">
        <f t="shared" si="1"/>
        <v>-</v>
      </c>
      <c r="E223" s="9" t="s">
        <v>11</v>
      </c>
      <c r="F223" s="10"/>
      <c r="G223" s="9"/>
      <c r="H223" s="26"/>
      <c r="I223" s="9" t="s">
        <v>13</v>
      </c>
      <c r="J223" s="44"/>
    </row>
    <row r="224">
      <c r="A224" s="42" t="s">
        <v>88</v>
      </c>
      <c r="B224" s="11"/>
      <c r="C224" s="8" t="s">
        <v>11</v>
      </c>
      <c r="D224" s="8" t="str">
        <f t="shared" si="1"/>
        <v>-</v>
      </c>
      <c r="E224" s="9" t="s">
        <v>11</v>
      </c>
      <c r="F224" s="10"/>
      <c r="G224" s="9"/>
      <c r="H224" s="26"/>
      <c r="I224" s="9" t="s">
        <v>13</v>
      </c>
      <c r="J224" s="44"/>
    </row>
    <row r="225">
      <c r="A225" s="42" t="s">
        <v>88</v>
      </c>
      <c r="B225" s="11"/>
      <c r="C225" s="8" t="s">
        <v>11</v>
      </c>
      <c r="D225" s="8" t="str">
        <f t="shared" si="1"/>
        <v>-</v>
      </c>
      <c r="E225" s="9" t="s">
        <v>11</v>
      </c>
      <c r="F225" s="10"/>
      <c r="G225" s="9"/>
      <c r="H225" s="26"/>
      <c r="I225" s="9" t="s">
        <v>13</v>
      </c>
      <c r="J225" s="44"/>
    </row>
    <row r="226">
      <c r="A226" s="42" t="s">
        <v>88</v>
      </c>
      <c r="B226" s="11"/>
      <c r="C226" s="8" t="s">
        <v>11</v>
      </c>
      <c r="D226" s="8" t="str">
        <f t="shared" si="1"/>
        <v>-</v>
      </c>
      <c r="E226" s="9" t="s">
        <v>11</v>
      </c>
      <c r="F226" s="10"/>
      <c r="G226" s="9"/>
      <c r="H226" s="26"/>
      <c r="I226" s="9" t="s">
        <v>13</v>
      </c>
      <c r="J226" s="44"/>
    </row>
    <row r="227">
      <c r="A227" s="42" t="s">
        <v>88</v>
      </c>
      <c r="B227" s="11"/>
      <c r="C227" s="8" t="s">
        <v>11</v>
      </c>
      <c r="D227" s="8" t="str">
        <f t="shared" si="1"/>
        <v>-</v>
      </c>
      <c r="E227" s="9" t="s">
        <v>11</v>
      </c>
      <c r="F227" s="10"/>
      <c r="G227" s="9"/>
      <c r="H227" s="26"/>
      <c r="I227" s="9" t="s">
        <v>13</v>
      </c>
      <c r="J227" s="44"/>
    </row>
    <row r="228">
      <c r="A228" s="42" t="s">
        <v>88</v>
      </c>
      <c r="B228" s="11"/>
      <c r="C228" s="8" t="s">
        <v>11</v>
      </c>
      <c r="D228" s="8" t="str">
        <f t="shared" si="1"/>
        <v>-</v>
      </c>
      <c r="E228" s="9" t="s">
        <v>11</v>
      </c>
      <c r="F228" s="10"/>
      <c r="G228" s="9"/>
      <c r="H228" s="26"/>
      <c r="I228" s="9" t="s">
        <v>13</v>
      </c>
      <c r="J228" s="44"/>
    </row>
    <row r="229">
      <c r="A229" s="42" t="s">
        <v>88</v>
      </c>
      <c r="B229" s="11"/>
      <c r="C229" s="8" t="s">
        <v>11</v>
      </c>
      <c r="D229" s="8" t="str">
        <f t="shared" si="1"/>
        <v>-</v>
      </c>
      <c r="E229" s="9" t="s">
        <v>11</v>
      </c>
      <c r="F229" s="10"/>
      <c r="G229" s="9"/>
      <c r="H229" s="26"/>
      <c r="I229" s="9" t="s">
        <v>13</v>
      </c>
      <c r="J229" s="44"/>
    </row>
    <row r="230">
      <c r="A230" s="42" t="s">
        <v>88</v>
      </c>
      <c r="B230" s="11"/>
      <c r="C230" s="8" t="s">
        <v>11</v>
      </c>
      <c r="D230" s="8" t="str">
        <f t="shared" si="1"/>
        <v>-</v>
      </c>
      <c r="E230" s="9" t="s">
        <v>11</v>
      </c>
      <c r="F230" s="10"/>
      <c r="G230" s="9"/>
      <c r="H230" s="26"/>
      <c r="I230" s="9" t="s">
        <v>13</v>
      </c>
      <c r="J230" s="44"/>
    </row>
    <row r="231">
      <c r="A231" s="42" t="s">
        <v>88</v>
      </c>
      <c r="B231" s="11"/>
      <c r="C231" s="8" t="s">
        <v>11</v>
      </c>
      <c r="D231" s="8" t="str">
        <f t="shared" si="1"/>
        <v>-</v>
      </c>
      <c r="E231" s="9" t="s">
        <v>11</v>
      </c>
      <c r="F231" s="10"/>
      <c r="G231" s="9"/>
      <c r="H231" s="26"/>
      <c r="I231" s="9" t="s">
        <v>13</v>
      </c>
      <c r="J231" s="44"/>
    </row>
    <row r="232">
      <c r="A232" s="42" t="s">
        <v>88</v>
      </c>
      <c r="B232" s="11"/>
      <c r="C232" s="8" t="s">
        <v>11</v>
      </c>
      <c r="D232" s="8" t="str">
        <f t="shared" si="1"/>
        <v>-</v>
      </c>
      <c r="E232" s="9" t="s">
        <v>11</v>
      </c>
      <c r="F232" s="10"/>
      <c r="G232" s="9"/>
      <c r="H232" s="26"/>
      <c r="I232" s="9" t="s">
        <v>13</v>
      </c>
      <c r="J232" s="44"/>
    </row>
    <row r="233">
      <c r="A233" s="42" t="s">
        <v>88</v>
      </c>
      <c r="B233" s="11"/>
      <c r="C233" s="8" t="s">
        <v>11</v>
      </c>
      <c r="D233" s="8" t="str">
        <f t="shared" si="1"/>
        <v>-</v>
      </c>
      <c r="E233" s="9" t="s">
        <v>11</v>
      </c>
      <c r="F233" s="10"/>
      <c r="G233" s="9"/>
      <c r="H233" s="26"/>
      <c r="I233" s="9" t="s">
        <v>13</v>
      </c>
      <c r="J233" s="44"/>
    </row>
    <row r="234">
      <c r="A234" s="42" t="s">
        <v>88</v>
      </c>
      <c r="B234" s="11"/>
      <c r="C234" s="8" t="s">
        <v>11</v>
      </c>
      <c r="D234" s="8" t="str">
        <f t="shared" si="1"/>
        <v>-</v>
      </c>
      <c r="E234" s="9" t="s">
        <v>11</v>
      </c>
      <c r="F234" s="10"/>
      <c r="G234" s="9"/>
      <c r="H234" s="26"/>
      <c r="I234" s="9" t="s">
        <v>13</v>
      </c>
      <c r="J234" s="44"/>
    </row>
    <row r="235">
      <c r="A235" s="42" t="s">
        <v>88</v>
      </c>
      <c r="B235" s="11"/>
      <c r="C235" s="8" t="s">
        <v>11</v>
      </c>
      <c r="D235" s="8" t="str">
        <f t="shared" si="1"/>
        <v>-</v>
      </c>
      <c r="E235" s="9" t="s">
        <v>11</v>
      </c>
      <c r="F235" s="10"/>
      <c r="G235" s="9"/>
      <c r="H235" s="26"/>
      <c r="I235" s="9" t="s">
        <v>13</v>
      </c>
      <c r="J235" s="44"/>
    </row>
    <row r="236">
      <c r="A236" s="42" t="s">
        <v>88</v>
      </c>
      <c r="B236" s="11"/>
      <c r="C236" s="8" t="s">
        <v>11</v>
      </c>
      <c r="D236" s="8" t="str">
        <f t="shared" si="1"/>
        <v>-</v>
      </c>
      <c r="E236" s="9" t="s">
        <v>11</v>
      </c>
      <c r="F236" s="10"/>
      <c r="G236" s="9"/>
      <c r="H236" s="26"/>
      <c r="I236" s="9" t="s">
        <v>13</v>
      </c>
      <c r="J236" s="44"/>
    </row>
    <row r="237">
      <c r="A237" s="42" t="s">
        <v>88</v>
      </c>
      <c r="B237" s="11"/>
      <c r="C237" s="8" t="s">
        <v>11</v>
      </c>
      <c r="D237" s="8" t="str">
        <f t="shared" si="1"/>
        <v>-</v>
      </c>
      <c r="E237" s="9" t="s">
        <v>11</v>
      </c>
      <c r="F237" s="10"/>
      <c r="G237" s="9"/>
      <c r="H237" s="26"/>
      <c r="I237" s="9" t="s">
        <v>13</v>
      </c>
      <c r="J237" s="44"/>
    </row>
    <row r="238">
      <c r="A238" s="42" t="s">
        <v>88</v>
      </c>
      <c r="B238" s="11"/>
      <c r="C238" s="8" t="s">
        <v>11</v>
      </c>
      <c r="D238" s="8" t="str">
        <f t="shared" si="1"/>
        <v>-</v>
      </c>
      <c r="E238" s="9" t="s">
        <v>11</v>
      </c>
      <c r="F238" s="10"/>
      <c r="G238" s="9"/>
      <c r="H238" s="26"/>
      <c r="I238" s="9" t="s">
        <v>13</v>
      </c>
      <c r="J238" s="44"/>
    </row>
    <row r="239">
      <c r="A239" s="42" t="s">
        <v>88</v>
      </c>
      <c r="B239" s="11"/>
      <c r="C239" s="8" t="s">
        <v>11</v>
      </c>
      <c r="D239" s="8" t="str">
        <f t="shared" si="1"/>
        <v>-</v>
      </c>
      <c r="E239" s="9" t="s">
        <v>11</v>
      </c>
      <c r="F239" s="10"/>
      <c r="G239" s="9"/>
      <c r="H239" s="26"/>
      <c r="I239" s="9" t="s">
        <v>13</v>
      </c>
      <c r="J239" s="44"/>
    </row>
    <row r="240">
      <c r="A240" s="42" t="s">
        <v>88</v>
      </c>
      <c r="B240" s="11"/>
      <c r="C240" s="8" t="s">
        <v>11</v>
      </c>
      <c r="D240" s="8" t="str">
        <f t="shared" si="1"/>
        <v>-</v>
      </c>
      <c r="E240" s="9" t="s">
        <v>11</v>
      </c>
      <c r="F240" s="10"/>
      <c r="G240" s="9"/>
      <c r="H240" s="26"/>
      <c r="I240" s="9" t="s">
        <v>13</v>
      </c>
      <c r="J240" s="44"/>
    </row>
    <row r="241">
      <c r="A241" s="42" t="s">
        <v>88</v>
      </c>
      <c r="B241" s="11"/>
      <c r="C241" s="8" t="s">
        <v>11</v>
      </c>
      <c r="D241" s="8" t="str">
        <f t="shared" si="1"/>
        <v>-</v>
      </c>
      <c r="E241" s="9" t="s">
        <v>11</v>
      </c>
      <c r="F241" s="10"/>
      <c r="G241" s="9"/>
      <c r="H241" s="26"/>
      <c r="I241" s="9" t="s">
        <v>13</v>
      </c>
      <c r="J241" s="44"/>
    </row>
    <row r="242">
      <c r="A242" s="42" t="s">
        <v>88</v>
      </c>
      <c r="B242" s="11"/>
      <c r="C242" s="8" t="s">
        <v>11</v>
      </c>
      <c r="D242" s="8" t="str">
        <f t="shared" si="1"/>
        <v>-</v>
      </c>
      <c r="E242" s="9" t="s">
        <v>11</v>
      </c>
      <c r="F242" s="10"/>
      <c r="G242" s="9"/>
      <c r="H242" s="26"/>
      <c r="I242" s="9" t="s">
        <v>13</v>
      </c>
      <c r="J242" s="44"/>
    </row>
    <row r="243">
      <c r="A243" s="42" t="s">
        <v>88</v>
      </c>
      <c r="B243" s="11"/>
      <c r="C243" s="8" t="s">
        <v>11</v>
      </c>
      <c r="D243" s="8" t="str">
        <f t="shared" si="1"/>
        <v>-</v>
      </c>
      <c r="E243" s="9" t="s">
        <v>11</v>
      </c>
      <c r="F243" s="10"/>
      <c r="G243" s="9"/>
      <c r="H243" s="26"/>
      <c r="I243" s="9" t="s">
        <v>13</v>
      </c>
      <c r="J243" s="44"/>
    </row>
    <row r="244">
      <c r="A244" s="42" t="s">
        <v>88</v>
      </c>
      <c r="B244" s="11"/>
      <c r="C244" s="8" t="s">
        <v>11</v>
      </c>
      <c r="D244" s="8" t="str">
        <f t="shared" si="1"/>
        <v>-</v>
      </c>
      <c r="E244" s="9" t="s">
        <v>11</v>
      </c>
      <c r="F244" s="10"/>
      <c r="G244" s="9"/>
      <c r="H244" s="26"/>
      <c r="I244" s="9" t="s">
        <v>13</v>
      </c>
      <c r="J244" s="44"/>
    </row>
    <row r="245">
      <c r="A245" s="42" t="s">
        <v>88</v>
      </c>
      <c r="B245" s="11"/>
      <c r="C245" s="8" t="s">
        <v>11</v>
      </c>
      <c r="D245" s="8" t="str">
        <f t="shared" si="1"/>
        <v>-</v>
      </c>
      <c r="E245" s="9" t="s">
        <v>11</v>
      </c>
      <c r="F245" s="10"/>
      <c r="G245" s="9"/>
      <c r="H245" s="26"/>
      <c r="I245" s="9" t="s">
        <v>13</v>
      </c>
      <c r="J245" s="44"/>
    </row>
    <row r="246">
      <c r="A246" s="42" t="s">
        <v>88</v>
      </c>
      <c r="B246" s="11"/>
      <c r="C246" s="8" t="s">
        <v>11</v>
      </c>
      <c r="D246" s="8" t="str">
        <f t="shared" si="1"/>
        <v>-</v>
      </c>
      <c r="E246" s="9" t="s">
        <v>11</v>
      </c>
      <c r="F246" s="10"/>
      <c r="G246" s="9"/>
      <c r="H246" s="26"/>
      <c r="I246" s="9" t="s">
        <v>13</v>
      </c>
      <c r="J246" s="44"/>
    </row>
    <row r="247">
      <c r="A247" s="42" t="s">
        <v>88</v>
      </c>
      <c r="B247" s="11"/>
      <c r="C247" s="8" t="s">
        <v>11</v>
      </c>
      <c r="D247" s="8" t="str">
        <f t="shared" si="1"/>
        <v>-</v>
      </c>
      <c r="E247" s="9" t="s">
        <v>11</v>
      </c>
      <c r="F247" s="10"/>
      <c r="G247" s="9"/>
      <c r="H247" s="26"/>
      <c r="I247" s="9" t="s">
        <v>13</v>
      </c>
      <c r="J247" s="44"/>
    </row>
    <row r="248">
      <c r="A248" s="42" t="s">
        <v>88</v>
      </c>
      <c r="B248" s="11"/>
      <c r="C248" s="8" t="s">
        <v>11</v>
      </c>
      <c r="D248" s="8" t="str">
        <f t="shared" si="1"/>
        <v>-</v>
      </c>
      <c r="E248" s="9" t="s">
        <v>11</v>
      </c>
      <c r="F248" s="10"/>
      <c r="G248" s="9"/>
      <c r="H248" s="26"/>
      <c r="I248" s="9" t="s">
        <v>13</v>
      </c>
      <c r="J248" s="44"/>
    </row>
    <row r="249">
      <c r="A249" s="42" t="s">
        <v>88</v>
      </c>
      <c r="B249" s="11"/>
      <c r="C249" s="8" t="s">
        <v>11</v>
      </c>
      <c r="D249" s="8" t="str">
        <f t="shared" si="1"/>
        <v>-</v>
      </c>
      <c r="E249" s="9" t="s">
        <v>11</v>
      </c>
      <c r="F249" s="10"/>
      <c r="G249" s="9"/>
      <c r="H249" s="26"/>
      <c r="I249" s="9" t="s">
        <v>13</v>
      </c>
      <c r="J249" s="44"/>
    </row>
    <row r="250">
      <c r="A250" s="42" t="s">
        <v>88</v>
      </c>
      <c r="B250" s="11"/>
      <c r="C250" s="8" t="s">
        <v>11</v>
      </c>
      <c r="D250" s="8" t="str">
        <f t="shared" si="1"/>
        <v>-</v>
      </c>
      <c r="E250" s="9" t="s">
        <v>11</v>
      </c>
      <c r="F250" s="10"/>
      <c r="G250" s="9"/>
      <c r="H250" s="26"/>
      <c r="I250" s="9" t="s">
        <v>13</v>
      </c>
      <c r="J250" s="44"/>
    </row>
    <row r="251">
      <c r="A251" s="42" t="s">
        <v>88</v>
      </c>
      <c r="B251" s="11"/>
      <c r="C251" s="8" t="s">
        <v>11</v>
      </c>
      <c r="D251" s="8" t="str">
        <f t="shared" si="1"/>
        <v>-</v>
      </c>
      <c r="E251" s="9" t="s">
        <v>11</v>
      </c>
      <c r="F251" s="10"/>
      <c r="G251" s="9"/>
      <c r="H251" s="26"/>
      <c r="I251" s="9" t="s">
        <v>13</v>
      </c>
      <c r="J251" s="44"/>
    </row>
    <row r="252">
      <c r="A252" s="42" t="s">
        <v>88</v>
      </c>
      <c r="B252" s="11"/>
      <c r="C252" s="8" t="s">
        <v>11</v>
      </c>
      <c r="D252" s="8" t="str">
        <f t="shared" si="1"/>
        <v>-</v>
      </c>
      <c r="E252" s="9" t="s">
        <v>11</v>
      </c>
      <c r="F252" s="10"/>
      <c r="G252" s="9"/>
      <c r="H252" s="26"/>
      <c r="I252" s="9" t="s">
        <v>13</v>
      </c>
      <c r="J252" s="44"/>
    </row>
    <row r="253">
      <c r="A253" s="42" t="s">
        <v>88</v>
      </c>
      <c r="B253" s="11"/>
      <c r="C253" s="8" t="s">
        <v>11</v>
      </c>
      <c r="D253" s="8" t="str">
        <f t="shared" si="1"/>
        <v>-</v>
      </c>
      <c r="E253" s="9" t="s">
        <v>11</v>
      </c>
      <c r="F253" s="10"/>
      <c r="G253" s="9"/>
      <c r="H253" s="26"/>
      <c r="I253" s="9" t="s">
        <v>13</v>
      </c>
      <c r="J253" s="44"/>
    </row>
    <row r="254">
      <c r="A254" s="42" t="s">
        <v>88</v>
      </c>
      <c r="B254" s="11"/>
      <c r="C254" s="8" t="s">
        <v>11</v>
      </c>
      <c r="D254" s="8" t="str">
        <f t="shared" si="1"/>
        <v>-</v>
      </c>
      <c r="E254" s="9" t="s">
        <v>11</v>
      </c>
      <c r="F254" s="10"/>
      <c r="G254" s="9"/>
      <c r="H254" s="26"/>
      <c r="I254" s="9" t="s">
        <v>13</v>
      </c>
      <c r="J254" s="44"/>
    </row>
    <row r="255">
      <c r="A255" s="42" t="s">
        <v>88</v>
      </c>
      <c r="B255" s="11"/>
      <c r="C255" s="8" t="s">
        <v>11</v>
      </c>
      <c r="D255" s="8" t="str">
        <f t="shared" si="1"/>
        <v>-</v>
      </c>
      <c r="E255" s="9" t="s">
        <v>11</v>
      </c>
      <c r="F255" s="10"/>
      <c r="G255" s="9"/>
      <c r="H255" s="26"/>
      <c r="I255" s="9" t="s">
        <v>13</v>
      </c>
      <c r="J255" s="44"/>
    </row>
    <row r="256">
      <c r="A256" s="42" t="s">
        <v>88</v>
      </c>
      <c r="B256" s="11"/>
      <c r="C256" s="8" t="s">
        <v>11</v>
      </c>
      <c r="D256" s="8" t="str">
        <f t="shared" si="1"/>
        <v>-</v>
      </c>
      <c r="E256" s="9" t="s">
        <v>11</v>
      </c>
      <c r="F256" s="10"/>
      <c r="G256" s="9"/>
      <c r="H256" s="26"/>
      <c r="I256" s="9" t="s">
        <v>13</v>
      </c>
      <c r="J256" s="44"/>
    </row>
    <row r="257">
      <c r="A257" s="42" t="s">
        <v>88</v>
      </c>
      <c r="B257" s="11"/>
      <c r="C257" s="8" t="s">
        <v>11</v>
      </c>
      <c r="D257" s="8" t="str">
        <f t="shared" si="1"/>
        <v>-</v>
      </c>
      <c r="E257" s="9" t="s">
        <v>11</v>
      </c>
      <c r="F257" s="10"/>
      <c r="G257" s="9"/>
      <c r="H257" s="26"/>
      <c r="I257" s="9" t="s">
        <v>13</v>
      </c>
      <c r="J257" s="44"/>
    </row>
    <row r="258">
      <c r="A258" s="42" t="s">
        <v>88</v>
      </c>
      <c r="B258" s="11"/>
      <c r="C258" s="8" t="s">
        <v>11</v>
      </c>
      <c r="D258" s="8" t="str">
        <f t="shared" si="1"/>
        <v>-</v>
      </c>
      <c r="E258" s="9" t="s">
        <v>11</v>
      </c>
      <c r="F258" s="10"/>
      <c r="G258" s="9"/>
      <c r="H258" s="26"/>
      <c r="I258" s="9" t="s">
        <v>13</v>
      </c>
      <c r="J258" s="44"/>
    </row>
    <row r="259">
      <c r="A259" s="42" t="s">
        <v>88</v>
      </c>
      <c r="B259" s="11"/>
      <c r="C259" s="8" t="s">
        <v>11</v>
      </c>
      <c r="D259" s="8" t="str">
        <f t="shared" si="1"/>
        <v>-</v>
      </c>
      <c r="E259" s="9" t="s">
        <v>11</v>
      </c>
      <c r="F259" s="10"/>
      <c r="G259" s="9"/>
      <c r="H259" s="26"/>
      <c r="I259" s="9" t="s">
        <v>13</v>
      </c>
      <c r="J259" s="44"/>
    </row>
    <row r="260">
      <c r="A260" s="42" t="s">
        <v>88</v>
      </c>
      <c r="B260" s="11"/>
      <c r="C260" s="8" t="s">
        <v>11</v>
      </c>
      <c r="D260" s="8" t="str">
        <f t="shared" si="1"/>
        <v>-</v>
      </c>
      <c r="E260" s="9" t="s">
        <v>11</v>
      </c>
      <c r="F260" s="10"/>
      <c r="G260" s="9"/>
      <c r="H260" s="26"/>
      <c r="I260" s="9" t="s">
        <v>13</v>
      </c>
      <c r="J260" s="44"/>
    </row>
    <row r="261">
      <c r="A261" s="42" t="s">
        <v>88</v>
      </c>
      <c r="B261" s="11"/>
      <c r="C261" s="8" t="s">
        <v>11</v>
      </c>
      <c r="D261" s="8" t="str">
        <f t="shared" si="1"/>
        <v>-</v>
      </c>
      <c r="E261" s="9" t="s">
        <v>11</v>
      </c>
      <c r="F261" s="10"/>
      <c r="G261" s="9"/>
      <c r="H261" s="26"/>
      <c r="I261" s="9" t="s">
        <v>13</v>
      </c>
      <c r="J261" s="44"/>
    </row>
    <row r="262">
      <c r="A262" s="42" t="s">
        <v>88</v>
      </c>
      <c r="B262" s="11"/>
      <c r="C262" s="8" t="s">
        <v>11</v>
      </c>
      <c r="D262" s="8" t="str">
        <f t="shared" si="1"/>
        <v>-</v>
      </c>
      <c r="E262" s="9" t="s">
        <v>11</v>
      </c>
      <c r="F262" s="10"/>
      <c r="G262" s="9"/>
      <c r="H262" s="26"/>
      <c r="I262" s="9" t="s">
        <v>13</v>
      </c>
      <c r="J262" s="44"/>
    </row>
    <row r="263">
      <c r="A263" s="42" t="s">
        <v>88</v>
      </c>
      <c r="B263" s="11"/>
      <c r="C263" s="8" t="s">
        <v>11</v>
      </c>
      <c r="D263" s="8" t="str">
        <f t="shared" si="1"/>
        <v>-</v>
      </c>
      <c r="E263" s="9" t="s">
        <v>11</v>
      </c>
      <c r="F263" s="10"/>
      <c r="G263" s="9"/>
      <c r="H263" s="26"/>
      <c r="I263" s="9" t="s">
        <v>13</v>
      </c>
      <c r="J263" s="44"/>
    </row>
    <row r="264">
      <c r="A264" s="42" t="s">
        <v>88</v>
      </c>
      <c r="B264" s="11"/>
      <c r="C264" s="8" t="s">
        <v>11</v>
      </c>
      <c r="D264" s="8" t="str">
        <f t="shared" si="1"/>
        <v>-</v>
      </c>
      <c r="E264" s="9" t="s">
        <v>11</v>
      </c>
      <c r="F264" s="10"/>
      <c r="G264" s="9"/>
      <c r="H264" s="26"/>
      <c r="I264" s="9" t="s">
        <v>13</v>
      </c>
      <c r="J264" s="44"/>
    </row>
    <row r="265">
      <c r="A265" s="42" t="s">
        <v>88</v>
      </c>
      <c r="B265" s="11"/>
      <c r="C265" s="8" t="s">
        <v>11</v>
      </c>
      <c r="D265" s="8" t="str">
        <f t="shared" si="1"/>
        <v>-</v>
      </c>
      <c r="E265" s="9" t="s">
        <v>11</v>
      </c>
      <c r="F265" s="10"/>
      <c r="G265" s="9"/>
      <c r="H265" s="26"/>
      <c r="I265" s="9" t="s">
        <v>13</v>
      </c>
      <c r="J265" s="44"/>
    </row>
    <row r="266">
      <c r="A266" s="42" t="s">
        <v>88</v>
      </c>
      <c r="B266" s="11"/>
      <c r="C266" s="8" t="s">
        <v>11</v>
      </c>
      <c r="D266" s="8" t="str">
        <f t="shared" si="1"/>
        <v>-</v>
      </c>
      <c r="E266" s="9" t="s">
        <v>11</v>
      </c>
      <c r="F266" s="10"/>
      <c r="G266" s="9"/>
      <c r="H266" s="26"/>
      <c r="I266" s="9" t="s">
        <v>13</v>
      </c>
      <c r="J266" s="44"/>
    </row>
    <row r="267">
      <c r="A267" s="42" t="s">
        <v>88</v>
      </c>
      <c r="B267" s="11"/>
      <c r="C267" s="8" t="s">
        <v>11</v>
      </c>
      <c r="D267" s="8" t="str">
        <f t="shared" si="1"/>
        <v>-</v>
      </c>
      <c r="E267" s="9" t="s">
        <v>11</v>
      </c>
      <c r="F267" s="10"/>
      <c r="G267" s="9"/>
      <c r="H267" s="26"/>
      <c r="I267" s="9" t="s">
        <v>13</v>
      </c>
      <c r="J267" s="44"/>
    </row>
    <row r="268">
      <c r="A268" s="42" t="s">
        <v>88</v>
      </c>
      <c r="B268" s="11"/>
      <c r="C268" s="8" t="s">
        <v>11</v>
      </c>
      <c r="D268" s="8" t="str">
        <f t="shared" si="1"/>
        <v>-</v>
      </c>
      <c r="E268" s="9" t="s">
        <v>11</v>
      </c>
      <c r="F268" s="10"/>
      <c r="G268" s="9"/>
      <c r="H268" s="26"/>
      <c r="I268" s="9" t="s">
        <v>13</v>
      </c>
      <c r="J268" s="44"/>
    </row>
    <row r="269">
      <c r="A269" s="42" t="s">
        <v>88</v>
      </c>
      <c r="B269" s="11"/>
      <c r="C269" s="8" t="s">
        <v>11</v>
      </c>
      <c r="D269" s="8" t="str">
        <f t="shared" si="1"/>
        <v>-</v>
      </c>
      <c r="E269" s="9" t="s">
        <v>11</v>
      </c>
      <c r="F269" s="10"/>
      <c r="G269" s="9"/>
      <c r="H269" s="26"/>
      <c r="I269" s="9" t="s">
        <v>13</v>
      </c>
      <c r="J269" s="44"/>
    </row>
    <row r="270">
      <c r="A270" s="42" t="s">
        <v>88</v>
      </c>
      <c r="B270" s="11"/>
      <c r="C270" s="8" t="s">
        <v>11</v>
      </c>
      <c r="D270" s="8" t="str">
        <f t="shared" si="1"/>
        <v>-</v>
      </c>
      <c r="E270" s="9" t="s">
        <v>11</v>
      </c>
      <c r="F270" s="10"/>
      <c r="G270" s="9"/>
      <c r="H270" s="26"/>
      <c r="I270" s="9" t="s">
        <v>13</v>
      </c>
      <c r="J270" s="44"/>
    </row>
    <row r="271">
      <c r="A271" s="42" t="s">
        <v>88</v>
      </c>
      <c r="B271" s="11"/>
      <c r="C271" s="8" t="s">
        <v>11</v>
      </c>
      <c r="D271" s="8" t="str">
        <f t="shared" si="1"/>
        <v>-</v>
      </c>
      <c r="E271" s="9" t="s">
        <v>11</v>
      </c>
      <c r="F271" s="10"/>
      <c r="G271" s="9"/>
      <c r="H271" s="26"/>
      <c r="I271" s="9" t="s">
        <v>13</v>
      </c>
      <c r="J271" s="44"/>
    </row>
    <row r="272">
      <c r="A272" s="42" t="s">
        <v>88</v>
      </c>
      <c r="B272" s="11"/>
      <c r="C272" s="8" t="s">
        <v>11</v>
      </c>
      <c r="D272" s="8" t="str">
        <f t="shared" si="1"/>
        <v>-</v>
      </c>
      <c r="E272" s="9" t="s">
        <v>11</v>
      </c>
      <c r="F272" s="10"/>
      <c r="G272" s="9"/>
      <c r="H272" s="26"/>
      <c r="I272" s="9" t="s">
        <v>13</v>
      </c>
      <c r="J272" s="44"/>
    </row>
    <row r="273">
      <c r="A273" s="42" t="s">
        <v>88</v>
      </c>
      <c r="B273" s="11"/>
      <c r="C273" s="8" t="s">
        <v>11</v>
      </c>
      <c r="D273" s="8" t="str">
        <f t="shared" si="1"/>
        <v>-</v>
      </c>
      <c r="E273" s="9" t="s">
        <v>11</v>
      </c>
      <c r="F273" s="10"/>
      <c r="G273" s="9"/>
      <c r="H273" s="26"/>
      <c r="I273" s="9" t="s">
        <v>13</v>
      </c>
      <c r="J273" s="44"/>
    </row>
    <row r="274">
      <c r="A274" s="42" t="s">
        <v>88</v>
      </c>
      <c r="B274" s="11"/>
      <c r="C274" s="8" t="s">
        <v>11</v>
      </c>
      <c r="D274" s="8" t="str">
        <f t="shared" si="1"/>
        <v>-</v>
      </c>
      <c r="E274" s="9" t="s">
        <v>11</v>
      </c>
      <c r="F274" s="10"/>
      <c r="G274" s="9"/>
      <c r="H274" s="26"/>
      <c r="I274" s="9" t="s">
        <v>13</v>
      </c>
      <c r="J274" s="44"/>
    </row>
    <row r="275">
      <c r="A275" s="42" t="s">
        <v>88</v>
      </c>
      <c r="B275" s="11"/>
      <c r="C275" s="8" t="s">
        <v>11</v>
      </c>
      <c r="D275" s="8" t="str">
        <f t="shared" si="1"/>
        <v>-</v>
      </c>
      <c r="E275" s="9" t="s">
        <v>11</v>
      </c>
      <c r="F275" s="10"/>
      <c r="G275" s="9"/>
      <c r="H275" s="26"/>
      <c r="I275" s="9" t="s">
        <v>13</v>
      </c>
      <c r="J275" s="44"/>
    </row>
    <row r="276">
      <c r="A276" s="42" t="s">
        <v>88</v>
      </c>
      <c r="B276" s="11"/>
      <c r="C276" s="8" t="s">
        <v>11</v>
      </c>
      <c r="D276" s="8" t="str">
        <f t="shared" si="1"/>
        <v>-</v>
      </c>
      <c r="E276" s="9" t="s">
        <v>11</v>
      </c>
      <c r="F276" s="10"/>
      <c r="G276" s="9"/>
      <c r="H276" s="26"/>
      <c r="I276" s="9" t="s">
        <v>13</v>
      </c>
      <c r="J276" s="44"/>
    </row>
    <row r="277">
      <c r="A277" s="42" t="s">
        <v>88</v>
      </c>
      <c r="B277" s="11"/>
      <c r="C277" s="8" t="s">
        <v>11</v>
      </c>
      <c r="D277" s="8" t="str">
        <f t="shared" si="1"/>
        <v>-</v>
      </c>
      <c r="E277" s="9" t="s">
        <v>11</v>
      </c>
      <c r="F277" s="10"/>
      <c r="G277" s="9"/>
      <c r="H277" s="26"/>
      <c r="I277" s="9" t="s">
        <v>13</v>
      </c>
      <c r="J277" s="44"/>
    </row>
    <row r="278">
      <c r="A278" s="42" t="s">
        <v>88</v>
      </c>
      <c r="B278" s="11"/>
      <c r="C278" s="8" t="s">
        <v>11</v>
      </c>
      <c r="D278" s="8" t="str">
        <f t="shared" si="1"/>
        <v>-</v>
      </c>
      <c r="E278" s="9" t="s">
        <v>11</v>
      </c>
      <c r="F278" s="10"/>
      <c r="G278" s="9"/>
      <c r="H278" s="26"/>
      <c r="I278" s="9" t="s">
        <v>13</v>
      </c>
      <c r="J278" s="44"/>
    </row>
    <row r="279">
      <c r="A279" s="42" t="s">
        <v>88</v>
      </c>
      <c r="B279" s="11"/>
      <c r="C279" s="8" t="s">
        <v>11</v>
      </c>
      <c r="D279" s="8" t="str">
        <f t="shared" si="1"/>
        <v>-</v>
      </c>
      <c r="E279" s="9" t="s">
        <v>11</v>
      </c>
      <c r="F279" s="10"/>
      <c r="G279" s="9"/>
      <c r="H279" s="26"/>
      <c r="I279" s="9" t="s">
        <v>13</v>
      </c>
      <c r="J279" s="44"/>
    </row>
    <row r="280">
      <c r="A280" s="42" t="s">
        <v>88</v>
      </c>
      <c r="B280" s="11"/>
      <c r="C280" s="8" t="s">
        <v>11</v>
      </c>
      <c r="D280" s="8" t="str">
        <f t="shared" si="1"/>
        <v>-</v>
      </c>
      <c r="E280" s="9" t="s">
        <v>11</v>
      </c>
      <c r="F280" s="10"/>
      <c r="G280" s="9"/>
      <c r="H280" s="26"/>
      <c r="I280" s="9" t="s">
        <v>13</v>
      </c>
      <c r="J280" s="44"/>
    </row>
    <row r="281">
      <c r="A281" s="42" t="s">
        <v>88</v>
      </c>
      <c r="B281" s="11"/>
      <c r="C281" s="8" t="s">
        <v>11</v>
      </c>
      <c r="D281" s="8" t="str">
        <f t="shared" si="1"/>
        <v>-</v>
      </c>
      <c r="E281" s="9" t="s">
        <v>11</v>
      </c>
      <c r="F281" s="10"/>
      <c r="G281" s="9"/>
      <c r="H281" s="26"/>
      <c r="I281" s="9" t="s">
        <v>13</v>
      </c>
      <c r="J281" s="44"/>
    </row>
    <row r="282">
      <c r="A282" s="42" t="s">
        <v>88</v>
      </c>
      <c r="B282" s="11"/>
      <c r="C282" s="8" t="s">
        <v>11</v>
      </c>
      <c r="D282" s="8" t="str">
        <f t="shared" si="1"/>
        <v>-</v>
      </c>
      <c r="E282" s="9" t="s">
        <v>11</v>
      </c>
      <c r="F282" s="10"/>
      <c r="G282" s="9"/>
      <c r="H282" s="26"/>
      <c r="I282" s="9" t="s">
        <v>13</v>
      </c>
      <c r="J282" s="44"/>
    </row>
    <row r="283">
      <c r="A283" s="42" t="s">
        <v>88</v>
      </c>
      <c r="B283" s="11"/>
      <c r="C283" s="8" t="s">
        <v>11</v>
      </c>
      <c r="D283" s="8" t="str">
        <f t="shared" si="1"/>
        <v>-</v>
      </c>
      <c r="E283" s="9" t="s">
        <v>11</v>
      </c>
      <c r="F283" s="10"/>
      <c r="G283" s="9"/>
      <c r="H283" s="26"/>
      <c r="I283" s="9" t="s">
        <v>13</v>
      </c>
      <c r="J283" s="44"/>
    </row>
    <row r="284">
      <c r="A284" s="42" t="s">
        <v>88</v>
      </c>
      <c r="B284" s="11"/>
      <c r="C284" s="8" t="s">
        <v>11</v>
      </c>
      <c r="D284" s="8" t="str">
        <f t="shared" si="1"/>
        <v>-</v>
      </c>
      <c r="E284" s="9" t="s">
        <v>11</v>
      </c>
      <c r="F284" s="10"/>
      <c r="G284" s="9"/>
      <c r="H284" s="26"/>
      <c r="I284" s="9" t="s">
        <v>13</v>
      </c>
      <c r="J284" s="44"/>
    </row>
    <row r="285">
      <c r="A285" s="42" t="s">
        <v>88</v>
      </c>
      <c r="B285" s="11"/>
      <c r="C285" s="8" t="s">
        <v>11</v>
      </c>
      <c r="D285" s="8" t="str">
        <f t="shared" si="1"/>
        <v>-</v>
      </c>
      <c r="E285" s="9" t="s">
        <v>11</v>
      </c>
      <c r="F285" s="10"/>
      <c r="G285" s="9"/>
      <c r="H285" s="26"/>
      <c r="I285" s="9" t="s">
        <v>13</v>
      </c>
      <c r="J285" s="44"/>
    </row>
    <row r="286">
      <c r="A286" s="42" t="s">
        <v>88</v>
      </c>
      <c r="B286" s="11"/>
      <c r="C286" s="8" t="s">
        <v>11</v>
      </c>
      <c r="D286" s="8" t="str">
        <f t="shared" si="1"/>
        <v>-</v>
      </c>
      <c r="E286" s="9" t="s">
        <v>11</v>
      </c>
      <c r="F286" s="10"/>
      <c r="G286" s="9"/>
      <c r="H286" s="26"/>
      <c r="I286" s="9" t="s">
        <v>13</v>
      </c>
      <c r="J286" s="44"/>
    </row>
    <row r="287">
      <c r="A287" s="42" t="s">
        <v>88</v>
      </c>
      <c r="B287" s="11"/>
      <c r="C287" s="8" t="s">
        <v>11</v>
      </c>
      <c r="D287" s="8" t="str">
        <f t="shared" si="1"/>
        <v>-</v>
      </c>
      <c r="E287" s="9" t="s">
        <v>11</v>
      </c>
      <c r="F287" s="10"/>
      <c r="G287" s="9"/>
      <c r="H287" s="26"/>
      <c r="I287" s="9" t="s">
        <v>13</v>
      </c>
      <c r="J287" s="44"/>
    </row>
    <row r="288">
      <c r="A288" s="42" t="s">
        <v>88</v>
      </c>
      <c r="B288" s="11"/>
      <c r="C288" s="8" t="s">
        <v>11</v>
      </c>
      <c r="D288" s="8" t="str">
        <f t="shared" si="1"/>
        <v>-</v>
      </c>
      <c r="E288" s="9" t="s">
        <v>11</v>
      </c>
      <c r="F288" s="10"/>
      <c r="G288" s="9"/>
      <c r="H288" s="26"/>
      <c r="I288" s="9" t="s">
        <v>13</v>
      </c>
      <c r="J288" s="44"/>
    </row>
    <row r="289">
      <c r="A289" s="42" t="s">
        <v>88</v>
      </c>
      <c r="B289" s="11"/>
      <c r="C289" s="8" t="s">
        <v>11</v>
      </c>
      <c r="D289" s="8" t="str">
        <f t="shared" si="1"/>
        <v>-</v>
      </c>
      <c r="E289" s="9" t="s">
        <v>11</v>
      </c>
      <c r="F289" s="10"/>
      <c r="G289" s="9"/>
      <c r="H289" s="26"/>
      <c r="I289" s="9" t="s">
        <v>13</v>
      </c>
      <c r="J289" s="44"/>
    </row>
    <row r="290">
      <c r="A290" s="42" t="s">
        <v>88</v>
      </c>
      <c r="B290" s="11"/>
      <c r="C290" s="8" t="s">
        <v>11</v>
      </c>
      <c r="D290" s="8" t="str">
        <f t="shared" si="1"/>
        <v>-</v>
      </c>
      <c r="E290" s="9" t="s">
        <v>11</v>
      </c>
      <c r="F290" s="10"/>
      <c r="G290" s="9"/>
      <c r="H290" s="26"/>
      <c r="I290" s="9" t="s">
        <v>13</v>
      </c>
      <c r="J290" s="44"/>
    </row>
    <row r="291">
      <c r="A291" s="42" t="s">
        <v>88</v>
      </c>
      <c r="B291" s="11"/>
      <c r="C291" s="8" t="s">
        <v>11</v>
      </c>
      <c r="D291" s="8" t="str">
        <f t="shared" si="1"/>
        <v>-</v>
      </c>
      <c r="E291" s="9" t="s">
        <v>11</v>
      </c>
      <c r="F291" s="10"/>
      <c r="G291" s="9"/>
      <c r="H291" s="26"/>
      <c r="I291" s="9" t="s">
        <v>13</v>
      </c>
      <c r="J291" s="44"/>
    </row>
    <row r="292">
      <c r="A292" s="42" t="s">
        <v>88</v>
      </c>
      <c r="B292" s="11"/>
      <c r="C292" s="8" t="s">
        <v>11</v>
      </c>
      <c r="D292" s="8" t="str">
        <f t="shared" si="1"/>
        <v>-</v>
      </c>
      <c r="E292" s="9" t="s">
        <v>11</v>
      </c>
      <c r="F292" s="10"/>
      <c r="G292" s="9"/>
      <c r="H292" s="26"/>
      <c r="I292" s="9" t="s">
        <v>13</v>
      </c>
      <c r="J292" s="44"/>
    </row>
    <row r="293">
      <c r="A293" s="42" t="s">
        <v>88</v>
      </c>
      <c r="B293" s="11"/>
      <c r="C293" s="8" t="s">
        <v>11</v>
      </c>
      <c r="D293" s="8" t="str">
        <f t="shared" si="1"/>
        <v>-</v>
      </c>
      <c r="E293" s="9" t="s">
        <v>11</v>
      </c>
      <c r="F293" s="10"/>
      <c r="G293" s="9"/>
      <c r="H293" s="26"/>
      <c r="I293" s="9" t="s">
        <v>13</v>
      </c>
      <c r="J293" s="44"/>
    </row>
    <row r="294">
      <c r="A294" s="42" t="s">
        <v>88</v>
      </c>
      <c r="B294" s="11"/>
      <c r="C294" s="8" t="s">
        <v>11</v>
      </c>
      <c r="D294" s="8" t="str">
        <f t="shared" si="1"/>
        <v>-</v>
      </c>
      <c r="E294" s="9" t="s">
        <v>11</v>
      </c>
      <c r="F294" s="10"/>
      <c r="G294" s="9"/>
      <c r="H294" s="26"/>
      <c r="I294" s="9" t="s">
        <v>13</v>
      </c>
      <c r="J294" s="44"/>
    </row>
    <row r="295">
      <c r="A295" s="42" t="s">
        <v>88</v>
      </c>
      <c r="B295" s="11"/>
      <c r="C295" s="8" t="s">
        <v>11</v>
      </c>
      <c r="D295" s="8" t="str">
        <f t="shared" si="1"/>
        <v>-</v>
      </c>
      <c r="E295" s="9" t="s">
        <v>11</v>
      </c>
      <c r="F295" s="10"/>
      <c r="G295" s="9"/>
      <c r="H295" s="26"/>
      <c r="I295" s="9" t="s">
        <v>13</v>
      </c>
      <c r="J295" s="44"/>
    </row>
    <row r="296">
      <c r="A296" s="42" t="s">
        <v>88</v>
      </c>
      <c r="B296" s="11"/>
      <c r="C296" s="8" t="s">
        <v>11</v>
      </c>
      <c r="D296" s="8" t="str">
        <f t="shared" si="1"/>
        <v>-</v>
      </c>
      <c r="E296" s="9" t="s">
        <v>11</v>
      </c>
      <c r="F296" s="10"/>
      <c r="G296" s="9"/>
      <c r="H296" s="26"/>
      <c r="I296" s="9" t="s">
        <v>13</v>
      </c>
      <c r="J296" s="44"/>
    </row>
    <row r="297">
      <c r="A297" s="42" t="s">
        <v>88</v>
      </c>
      <c r="B297" s="11"/>
      <c r="C297" s="8" t="s">
        <v>11</v>
      </c>
      <c r="D297" s="8" t="str">
        <f t="shared" si="1"/>
        <v>-</v>
      </c>
      <c r="E297" s="9" t="s">
        <v>11</v>
      </c>
      <c r="F297" s="10"/>
      <c r="G297" s="9"/>
      <c r="H297" s="26"/>
      <c r="I297" s="9" t="s">
        <v>13</v>
      </c>
      <c r="J297" s="44"/>
    </row>
    <row r="298">
      <c r="A298" s="42" t="s">
        <v>88</v>
      </c>
      <c r="B298" s="11"/>
      <c r="C298" s="8" t="s">
        <v>11</v>
      </c>
      <c r="D298" s="8" t="str">
        <f t="shared" si="1"/>
        <v>-</v>
      </c>
      <c r="E298" s="9" t="s">
        <v>11</v>
      </c>
      <c r="F298" s="10"/>
      <c r="G298" s="9"/>
      <c r="H298" s="26"/>
      <c r="I298" s="9" t="s">
        <v>13</v>
      </c>
      <c r="J298" s="44"/>
    </row>
    <row r="299">
      <c r="A299" s="42" t="s">
        <v>88</v>
      </c>
      <c r="B299" s="11"/>
      <c r="C299" s="8" t="s">
        <v>11</v>
      </c>
      <c r="D299" s="8" t="str">
        <f t="shared" si="1"/>
        <v>-</v>
      </c>
      <c r="E299" s="9" t="s">
        <v>11</v>
      </c>
      <c r="F299" s="10"/>
      <c r="G299" s="9"/>
      <c r="H299" s="26"/>
      <c r="I299" s="9" t="s">
        <v>13</v>
      </c>
      <c r="J299" s="44"/>
    </row>
    <row r="300">
      <c r="A300" s="42" t="s">
        <v>88</v>
      </c>
      <c r="B300" s="11"/>
      <c r="C300" s="8" t="s">
        <v>11</v>
      </c>
      <c r="D300" s="8" t="str">
        <f t="shared" si="1"/>
        <v>-</v>
      </c>
      <c r="E300" s="9" t="s">
        <v>11</v>
      </c>
      <c r="F300" s="10"/>
      <c r="G300" s="9"/>
      <c r="H300" s="26"/>
      <c r="I300" s="9" t="s">
        <v>13</v>
      </c>
      <c r="J300" s="44"/>
    </row>
    <row r="301">
      <c r="A301" s="42" t="s">
        <v>88</v>
      </c>
      <c r="B301" s="11"/>
      <c r="C301" s="8" t="s">
        <v>11</v>
      </c>
      <c r="D301" s="8" t="str">
        <f t="shared" si="1"/>
        <v>-</v>
      </c>
      <c r="E301" s="9" t="s">
        <v>11</v>
      </c>
      <c r="F301" s="10"/>
      <c r="G301" s="9"/>
      <c r="H301" s="26"/>
      <c r="I301" s="9" t="s">
        <v>13</v>
      </c>
      <c r="J301" s="44"/>
    </row>
    <row r="302">
      <c r="A302" s="42" t="s">
        <v>88</v>
      </c>
      <c r="B302" s="11"/>
      <c r="C302" s="8" t="s">
        <v>11</v>
      </c>
      <c r="D302" s="8" t="str">
        <f t="shared" si="1"/>
        <v>-</v>
      </c>
      <c r="E302" s="9" t="s">
        <v>11</v>
      </c>
      <c r="F302" s="10"/>
      <c r="G302" s="9"/>
      <c r="H302" s="26"/>
      <c r="I302" s="9" t="s">
        <v>13</v>
      </c>
      <c r="J302" s="44"/>
    </row>
    <row r="303">
      <c r="A303" s="42" t="s">
        <v>88</v>
      </c>
      <c r="B303" s="11"/>
      <c r="C303" s="8" t="s">
        <v>11</v>
      </c>
      <c r="D303" s="8" t="str">
        <f t="shared" si="1"/>
        <v>-</v>
      </c>
      <c r="E303" s="9" t="s">
        <v>11</v>
      </c>
      <c r="F303" s="10"/>
      <c r="G303" s="9"/>
      <c r="H303" s="26"/>
      <c r="I303" s="9" t="s">
        <v>13</v>
      </c>
      <c r="J303" s="44"/>
    </row>
    <row r="304">
      <c r="A304" s="42" t="s">
        <v>88</v>
      </c>
      <c r="B304" s="11"/>
      <c r="C304" s="8" t="s">
        <v>11</v>
      </c>
      <c r="D304" s="8" t="str">
        <f t="shared" si="1"/>
        <v>-</v>
      </c>
      <c r="E304" s="9" t="s">
        <v>11</v>
      </c>
      <c r="F304" s="10"/>
      <c r="G304" s="9"/>
      <c r="H304" s="26"/>
      <c r="I304" s="9" t="s">
        <v>13</v>
      </c>
      <c r="J304" s="44"/>
    </row>
    <row r="305">
      <c r="A305" s="42" t="s">
        <v>88</v>
      </c>
      <c r="B305" s="11"/>
      <c r="C305" s="8" t="s">
        <v>11</v>
      </c>
      <c r="D305" s="8" t="str">
        <f t="shared" si="1"/>
        <v>-</v>
      </c>
      <c r="E305" s="9" t="s">
        <v>11</v>
      </c>
      <c r="F305" s="10"/>
      <c r="G305" s="9"/>
      <c r="H305" s="26"/>
      <c r="I305" s="9" t="s">
        <v>13</v>
      </c>
      <c r="J305" s="44"/>
    </row>
    <row r="306">
      <c r="A306" s="42" t="s">
        <v>88</v>
      </c>
      <c r="B306" s="11"/>
      <c r="C306" s="8" t="s">
        <v>11</v>
      </c>
      <c r="D306" s="8" t="str">
        <f t="shared" si="1"/>
        <v>-</v>
      </c>
      <c r="E306" s="9" t="s">
        <v>11</v>
      </c>
      <c r="F306" s="10"/>
      <c r="G306" s="9"/>
      <c r="H306" s="26"/>
      <c r="I306" s="9" t="s">
        <v>13</v>
      </c>
      <c r="J306" s="44"/>
    </row>
    <row r="307">
      <c r="A307" s="42" t="s">
        <v>88</v>
      </c>
      <c r="B307" s="11"/>
      <c r="C307" s="8" t="s">
        <v>11</v>
      </c>
      <c r="D307" s="8" t="str">
        <f t="shared" si="1"/>
        <v>-</v>
      </c>
      <c r="E307" s="9" t="s">
        <v>11</v>
      </c>
      <c r="F307" s="10"/>
      <c r="G307" s="9"/>
      <c r="H307" s="26"/>
      <c r="I307" s="9" t="s">
        <v>13</v>
      </c>
      <c r="J307" s="44"/>
    </row>
    <row r="308">
      <c r="A308" s="42" t="s">
        <v>88</v>
      </c>
      <c r="B308" s="11"/>
      <c r="C308" s="8" t="s">
        <v>11</v>
      </c>
      <c r="D308" s="8" t="str">
        <f t="shared" si="1"/>
        <v>-</v>
      </c>
      <c r="E308" s="9" t="s">
        <v>11</v>
      </c>
      <c r="F308" s="10"/>
      <c r="G308" s="9"/>
      <c r="H308" s="26"/>
      <c r="I308" s="9" t="s">
        <v>13</v>
      </c>
      <c r="J308" s="44"/>
    </row>
    <row r="309">
      <c r="A309" s="42" t="s">
        <v>88</v>
      </c>
      <c r="B309" s="11"/>
      <c r="C309" s="8" t="s">
        <v>11</v>
      </c>
      <c r="D309" s="8" t="str">
        <f t="shared" si="1"/>
        <v>-</v>
      </c>
      <c r="E309" s="9" t="s">
        <v>11</v>
      </c>
      <c r="F309" s="10"/>
      <c r="G309" s="9"/>
      <c r="H309" s="26"/>
      <c r="I309" s="9" t="s">
        <v>13</v>
      </c>
      <c r="J309" s="44"/>
    </row>
    <row r="310">
      <c r="A310" s="42" t="s">
        <v>88</v>
      </c>
      <c r="B310" s="11"/>
      <c r="C310" s="8" t="s">
        <v>11</v>
      </c>
      <c r="D310" s="8" t="str">
        <f t="shared" si="1"/>
        <v>-</v>
      </c>
      <c r="E310" s="9" t="s">
        <v>11</v>
      </c>
      <c r="F310" s="10"/>
      <c r="G310" s="9"/>
      <c r="H310" s="26"/>
      <c r="I310" s="9" t="s">
        <v>13</v>
      </c>
      <c r="J310" s="44"/>
    </row>
    <row r="311">
      <c r="A311" s="42" t="s">
        <v>88</v>
      </c>
      <c r="B311" s="11"/>
      <c r="C311" s="8" t="s">
        <v>11</v>
      </c>
      <c r="D311" s="8" t="str">
        <f t="shared" si="1"/>
        <v>-</v>
      </c>
      <c r="E311" s="9" t="s">
        <v>11</v>
      </c>
      <c r="F311" s="10"/>
      <c r="G311" s="9"/>
      <c r="H311" s="26"/>
      <c r="I311" s="9" t="s">
        <v>13</v>
      </c>
      <c r="J311" s="44"/>
    </row>
    <row r="312">
      <c r="A312" s="42" t="s">
        <v>88</v>
      </c>
      <c r="B312" s="11"/>
      <c r="C312" s="8" t="s">
        <v>11</v>
      </c>
      <c r="D312" s="8" t="str">
        <f t="shared" si="1"/>
        <v>-</v>
      </c>
      <c r="E312" s="9" t="s">
        <v>11</v>
      </c>
      <c r="F312" s="10"/>
      <c r="G312" s="9"/>
      <c r="H312" s="26"/>
      <c r="I312" s="9" t="s">
        <v>13</v>
      </c>
      <c r="J312" s="44"/>
    </row>
    <row r="313">
      <c r="A313" s="42" t="s">
        <v>88</v>
      </c>
      <c r="B313" s="11"/>
      <c r="C313" s="8" t="s">
        <v>11</v>
      </c>
      <c r="D313" s="8" t="str">
        <f t="shared" si="1"/>
        <v>-</v>
      </c>
      <c r="E313" s="9" t="s">
        <v>11</v>
      </c>
      <c r="F313" s="10"/>
      <c r="G313" s="9"/>
      <c r="H313" s="26"/>
      <c r="I313" s="9" t="s">
        <v>13</v>
      </c>
      <c r="J313" s="44"/>
    </row>
    <row r="314">
      <c r="A314" s="42" t="s">
        <v>88</v>
      </c>
      <c r="B314" s="11"/>
      <c r="C314" s="8" t="s">
        <v>11</v>
      </c>
      <c r="D314" s="8" t="str">
        <f t="shared" si="1"/>
        <v>-</v>
      </c>
      <c r="E314" s="9" t="s">
        <v>11</v>
      </c>
      <c r="F314" s="10"/>
      <c r="G314" s="9"/>
      <c r="H314" s="26"/>
      <c r="I314" s="9" t="s">
        <v>13</v>
      </c>
      <c r="J314" s="44"/>
    </row>
    <row r="315">
      <c r="A315" s="42" t="s">
        <v>88</v>
      </c>
      <c r="B315" s="11"/>
      <c r="C315" s="8" t="s">
        <v>11</v>
      </c>
      <c r="D315" s="8" t="str">
        <f t="shared" si="1"/>
        <v>-</v>
      </c>
      <c r="E315" s="9" t="s">
        <v>11</v>
      </c>
      <c r="F315" s="10"/>
      <c r="G315" s="9"/>
      <c r="H315" s="26"/>
      <c r="I315" s="9" t="s">
        <v>13</v>
      </c>
      <c r="J315" s="44"/>
    </row>
    <row r="316">
      <c r="A316" s="42" t="s">
        <v>88</v>
      </c>
      <c r="B316" s="11"/>
      <c r="C316" s="8" t="s">
        <v>11</v>
      </c>
      <c r="D316" s="8" t="str">
        <f t="shared" si="1"/>
        <v>-</v>
      </c>
      <c r="E316" s="9" t="s">
        <v>11</v>
      </c>
      <c r="F316" s="10"/>
      <c r="G316" s="9"/>
      <c r="H316" s="26"/>
      <c r="I316" s="9" t="s">
        <v>13</v>
      </c>
      <c r="J316" s="44"/>
    </row>
    <row r="317">
      <c r="A317" s="42" t="s">
        <v>88</v>
      </c>
      <c r="B317" s="11"/>
      <c r="C317" s="8" t="s">
        <v>11</v>
      </c>
      <c r="D317" s="8" t="str">
        <f t="shared" si="1"/>
        <v>-</v>
      </c>
      <c r="E317" s="9" t="s">
        <v>11</v>
      </c>
      <c r="F317" s="10"/>
      <c r="G317" s="9"/>
      <c r="H317" s="26"/>
      <c r="I317" s="9" t="s">
        <v>13</v>
      </c>
      <c r="J317" s="44"/>
    </row>
    <row r="318">
      <c r="A318" s="42" t="s">
        <v>88</v>
      </c>
      <c r="B318" s="11"/>
      <c r="C318" s="8" t="s">
        <v>11</v>
      </c>
      <c r="D318" s="8" t="str">
        <f t="shared" si="1"/>
        <v>-</v>
      </c>
      <c r="E318" s="9" t="s">
        <v>11</v>
      </c>
      <c r="F318" s="10"/>
      <c r="G318" s="9"/>
      <c r="H318" s="26"/>
      <c r="I318" s="9" t="s">
        <v>13</v>
      </c>
      <c r="J318" s="44"/>
    </row>
    <row r="319">
      <c r="A319" s="42" t="s">
        <v>88</v>
      </c>
      <c r="B319" s="11"/>
      <c r="C319" s="8" t="s">
        <v>11</v>
      </c>
      <c r="D319" s="8" t="str">
        <f t="shared" si="1"/>
        <v>-</v>
      </c>
      <c r="E319" s="9" t="s">
        <v>11</v>
      </c>
      <c r="F319" s="10"/>
      <c r="G319" s="9"/>
      <c r="H319" s="26"/>
      <c r="I319" s="9" t="s">
        <v>13</v>
      </c>
      <c r="J319" s="44"/>
    </row>
    <row r="320">
      <c r="A320" s="42" t="s">
        <v>88</v>
      </c>
      <c r="B320" s="11"/>
      <c r="C320" s="8" t="s">
        <v>11</v>
      </c>
      <c r="D320" s="8" t="str">
        <f t="shared" si="1"/>
        <v>-</v>
      </c>
      <c r="E320" s="9" t="s">
        <v>11</v>
      </c>
      <c r="F320" s="10"/>
      <c r="G320" s="9"/>
      <c r="H320" s="26"/>
      <c r="I320" s="9" t="s">
        <v>13</v>
      </c>
      <c r="J320" s="44"/>
    </row>
    <row r="321">
      <c r="A321" s="42" t="s">
        <v>88</v>
      </c>
      <c r="B321" s="11"/>
      <c r="C321" s="8" t="s">
        <v>11</v>
      </c>
      <c r="D321" s="8" t="str">
        <f t="shared" si="1"/>
        <v>-</v>
      </c>
      <c r="E321" s="9" t="s">
        <v>11</v>
      </c>
      <c r="F321" s="10"/>
      <c r="G321" s="9"/>
      <c r="H321" s="26"/>
      <c r="I321" s="9" t="s">
        <v>13</v>
      </c>
      <c r="J321" s="44"/>
    </row>
    <row r="322">
      <c r="A322" s="42" t="s">
        <v>88</v>
      </c>
      <c r="B322" s="11"/>
      <c r="C322" s="8" t="s">
        <v>11</v>
      </c>
      <c r="D322" s="8" t="str">
        <f t="shared" si="1"/>
        <v>-</v>
      </c>
      <c r="E322" s="9" t="s">
        <v>11</v>
      </c>
      <c r="F322" s="10"/>
      <c r="G322" s="9"/>
      <c r="H322" s="26"/>
      <c r="I322" s="9" t="s">
        <v>13</v>
      </c>
      <c r="J322" s="44"/>
    </row>
    <row r="323">
      <c r="A323" s="42" t="s">
        <v>88</v>
      </c>
      <c r="B323" s="11"/>
      <c r="C323" s="8" t="s">
        <v>11</v>
      </c>
      <c r="D323" s="8" t="str">
        <f t="shared" si="1"/>
        <v>-</v>
      </c>
      <c r="E323" s="9" t="s">
        <v>11</v>
      </c>
      <c r="F323" s="10"/>
      <c r="G323" s="9"/>
      <c r="H323" s="26"/>
      <c r="I323" s="9" t="s">
        <v>13</v>
      </c>
      <c r="J323" s="44"/>
    </row>
    <row r="324">
      <c r="A324" s="42" t="s">
        <v>88</v>
      </c>
      <c r="B324" s="11"/>
      <c r="C324" s="8" t="s">
        <v>11</v>
      </c>
      <c r="D324" s="8" t="str">
        <f t="shared" si="1"/>
        <v>-</v>
      </c>
      <c r="E324" s="9" t="s">
        <v>11</v>
      </c>
      <c r="F324" s="10"/>
      <c r="G324" s="9"/>
      <c r="H324" s="26"/>
      <c r="I324" s="9" t="s">
        <v>13</v>
      </c>
      <c r="J324" s="44"/>
    </row>
    <row r="325">
      <c r="A325" s="42" t="s">
        <v>88</v>
      </c>
      <c r="B325" s="11"/>
      <c r="C325" s="8" t="s">
        <v>11</v>
      </c>
      <c r="D325" s="8" t="str">
        <f t="shared" si="1"/>
        <v>-</v>
      </c>
      <c r="E325" s="9" t="s">
        <v>11</v>
      </c>
      <c r="F325" s="10"/>
      <c r="G325" s="9"/>
      <c r="H325" s="26"/>
      <c r="I325" s="9" t="s">
        <v>13</v>
      </c>
      <c r="J325" s="44"/>
    </row>
    <row r="326">
      <c r="A326" s="42" t="s">
        <v>88</v>
      </c>
      <c r="B326" s="11"/>
      <c r="C326" s="8" t="s">
        <v>11</v>
      </c>
      <c r="D326" s="8" t="str">
        <f t="shared" si="1"/>
        <v>-</v>
      </c>
      <c r="E326" s="9" t="s">
        <v>11</v>
      </c>
      <c r="F326" s="10"/>
      <c r="G326" s="9"/>
      <c r="H326" s="26"/>
      <c r="I326" s="9" t="s">
        <v>13</v>
      </c>
      <c r="J326" s="44"/>
    </row>
    <row r="327">
      <c r="A327" s="42" t="s">
        <v>88</v>
      </c>
      <c r="B327" s="11"/>
      <c r="C327" s="8" t="s">
        <v>11</v>
      </c>
      <c r="D327" s="8" t="str">
        <f t="shared" si="1"/>
        <v>-</v>
      </c>
      <c r="E327" s="9" t="s">
        <v>11</v>
      </c>
      <c r="F327" s="10"/>
      <c r="G327" s="9"/>
      <c r="H327" s="26"/>
      <c r="I327" s="9" t="s">
        <v>13</v>
      </c>
      <c r="J327" s="44"/>
    </row>
    <row r="328">
      <c r="A328" s="42" t="s">
        <v>88</v>
      </c>
      <c r="B328" s="11"/>
      <c r="C328" s="8" t="s">
        <v>11</v>
      </c>
      <c r="D328" s="8" t="str">
        <f t="shared" si="1"/>
        <v>-</v>
      </c>
      <c r="E328" s="9" t="s">
        <v>11</v>
      </c>
      <c r="F328" s="10"/>
      <c r="G328" s="9"/>
      <c r="H328" s="26"/>
      <c r="I328" s="9" t="s">
        <v>13</v>
      </c>
      <c r="J328" s="44"/>
    </row>
    <row r="329">
      <c r="A329" s="42" t="s">
        <v>88</v>
      </c>
      <c r="B329" s="11"/>
      <c r="C329" s="8" t="s">
        <v>11</v>
      </c>
      <c r="D329" s="8" t="str">
        <f t="shared" si="1"/>
        <v>-</v>
      </c>
      <c r="E329" s="9" t="s">
        <v>11</v>
      </c>
      <c r="F329" s="10"/>
      <c r="G329" s="9"/>
      <c r="H329" s="26"/>
      <c r="I329" s="9" t="s">
        <v>13</v>
      </c>
      <c r="J329" s="44"/>
    </row>
    <row r="330">
      <c r="A330" s="42" t="s">
        <v>88</v>
      </c>
      <c r="B330" s="11"/>
      <c r="C330" s="8" t="s">
        <v>11</v>
      </c>
      <c r="D330" s="8" t="str">
        <f t="shared" si="1"/>
        <v>-</v>
      </c>
      <c r="E330" s="9" t="s">
        <v>11</v>
      </c>
      <c r="F330" s="10"/>
      <c r="G330" s="9"/>
      <c r="H330" s="26"/>
      <c r="I330" s="9" t="s">
        <v>13</v>
      </c>
      <c r="J330" s="44"/>
    </row>
    <row r="331">
      <c r="A331" s="42" t="s">
        <v>88</v>
      </c>
      <c r="B331" s="11"/>
      <c r="C331" s="8" t="s">
        <v>11</v>
      </c>
      <c r="D331" s="8" t="str">
        <f t="shared" si="1"/>
        <v>-</v>
      </c>
      <c r="E331" s="9" t="s">
        <v>11</v>
      </c>
      <c r="F331" s="10"/>
      <c r="G331" s="9"/>
      <c r="H331" s="26"/>
      <c r="I331" s="9" t="s">
        <v>13</v>
      </c>
      <c r="J331" s="44"/>
    </row>
    <row r="332">
      <c r="A332" s="42" t="s">
        <v>88</v>
      </c>
      <c r="B332" s="11"/>
      <c r="C332" s="8" t="s">
        <v>11</v>
      </c>
      <c r="D332" s="8" t="str">
        <f t="shared" si="1"/>
        <v>-</v>
      </c>
      <c r="E332" s="9" t="s">
        <v>11</v>
      </c>
      <c r="F332" s="10"/>
      <c r="G332" s="9"/>
      <c r="H332" s="26"/>
      <c r="I332" s="9" t="s">
        <v>13</v>
      </c>
      <c r="J332" s="44"/>
    </row>
    <row r="333">
      <c r="A333" s="42" t="s">
        <v>88</v>
      </c>
      <c r="B333" s="11"/>
      <c r="C333" s="8" t="s">
        <v>11</v>
      </c>
      <c r="D333" s="8" t="str">
        <f t="shared" si="1"/>
        <v>-</v>
      </c>
      <c r="E333" s="9" t="s">
        <v>11</v>
      </c>
      <c r="F333" s="10"/>
      <c r="G333" s="9"/>
      <c r="H333" s="26"/>
      <c r="I333" s="9" t="s">
        <v>13</v>
      </c>
      <c r="J333" s="44"/>
    </row>
    <row r="334">
      <c r="A334" s="42" t="s">
        <v>88</v>
      </c>
      <c r="B334" s="11"/>
      <c r="C334" s="8" t="s">
        <v>11</v>
      </c>
      <c r="D334" s="8" t="str">
        <f t="shared" si="1"/>
        <v>-</v>
      </c>
      <c r="E334" s="9" t="s">
        <v>11</v>
      </c>
      <c r="F334" s="10"/>
      <c r="G334" s="9"/>
      <c r="H334" s="26"/>
      <c r="I334" s="9" t="s">
        <v>13</v>
      </c>
      <c r="J334" s="44"/>
    </row>
    <row r="335">
      <c r="A335" s="42" t="s">
        <v>88</v>
      </c>
      <c r="B335" s="11"/>
      <c r="C335" s="8" t="s">
        <v>11</v>
      </c>
      <c r="D335" s="8" t="str">
        <f t="shared" si="1"/>
        <v>-</v>
      </c>
      <c r="E335" s="9" t="s">
        <v>11</v>
      </c>
      <c r="F335" s="10"/>
      <c r="G335" s="9"/>
      <c r="H335" s="26"/>
      <c r="I335" s="9" t="s">
        <v>13</v>
      </c>
      <c r="J335" s="44"/>
    </row>
    <row r="336">
      <c r="A336" s="42" t="s">
        <v>88</v>
      </c>
      <c r="B336" s="11"/>
      <c r="C336" s="8" t="s">
        <v>11</v>
      </c>
      <c r="D336" s="8" t="str">
        <f t="shared" si="1"/>
        <v>-</v>
      </c>
      <c r="E336" s="9" t="s">
        <v>11</v>
      </c>
      <c r="F336" s="10"/>
      <c r="G336" s="9"/>
      <c r="H336" s="26"/>
      <c r="I336" s="9" t="s">
        <v>13</v>
      </c>
      <c r="J336" s="44"/>
    </row>
    <row r="337">
      <c r="A337" s="42" t="s">
        <v>88</v>
      </c>
      <c r="B337" s="11"/>
      <c r="C337" s="8" t="s">
        <v>11</v>
      </c>
      <c r="D337" s="8" t="str">
        <f t="shared" si="1"/>
        <v>-</v>
      </c>
      <c r="E337" s="9" t="s">
        <v>11</v>
      </c>
      <c r="F337" s="10"/>
      <c r="G337" s="9"/>
      <c r="H337" s="26"/>
      <c r="I337" s="9" t="s">
        <v>13</v>
      </c>
      <c r="J337" s="44"/>
    </row>
    <row r="338">
      <c r="A338" s="42" t="s">
        <v>88</v>
      </c>
      <c r="B338" s="11"/>
      <c r="C338" s="8" t="s">
        <v>11</v>
      </c>
      <c r="D338" s="8" t="str">
        <f t="shared" si="1"/>
        <v>-</v>
      </c>
      <c r="E338" s="9" t="s">
        <v>11</v>
      </c>
      <c r="F338" s="10"/>
      <c r="G338" s="9"/>
      <c r="H338" s="26"/>
      <c r="I338" s="9" t="s">
        <v>13</v>
      </c>
      <c r="J338" s="44"/>
    </row>
    <row r="339">
      <c r="A339" s="42" t="s">
        <v>88</v>
      </c>
      <c r="B339" s="11"/>
      <c r="C339" s="8" t="s">
        <v>11</v>
      </c>
      <c r="D339" s="8" t="str">
        <f t="shared" si="1"/>
        <v>-</v>
      </c>
      <c r="E339" s="9" t="s">
        <v>11</v>
      </c>
      <c r="F339" s="10"/>
      <c r="G339" s="9"/>
      <c r="H339" s="26"/>
      <c r="I339" s="9" t="s">
        <v>13</v>
      </c>
      <c r="J339" s="44"/>
    </row>
    <row r="340">
      <c r="A340" s="42" t="s">
        <v>88</v>
      </c>
      <c r="B340" s="11"/>
      <c r="C340" s="8" t="s">
        <v>11</v>
      </c>
      <c r="D340" s="8" t="str">
        <f t="shared" si="1"/>
        <v>-</v>
      </c>
      <c r="E340" s="9" t="s">
        <v>11</v>
      </c>
      <c r="F340" s="10"/>
      <c r="G340" s="9"/>
      <c r="H340" s="26"/>
      <c r="I340" s="9" t="s">
        <v>13</v>
      </c>
      <c r="J340" s="44"/>
    </row>
    <row r="341">
      <c r="A341" s="42" t="s">
        <v>88</v>
      </c>
      <c r="B341" s="11"/>
      <c r="C341" s="8" t="s">
        <v>11</v>
      </c>
      <c r="D341" s="8" t="str">
        <f t="shared" si="1"/>
        <v>-</v>
      </c>
      <c r="E341" s="9" t="s">
        <v>11</v>
      </c>
      <c r="F341" s="10"/>
      <c r="G341" s="9"/>
      <c r="H341" s="26"/>
      <c r="I341" s="9" t="s">
        <v>13</v>
      </c>
      <c r="J341" s="44"/>
    </row>
    <row r="342">
      <c r="A342" s="42" t="s">
        <v>88</v>
      </c>
      <c r="B342" s="11"/>
      <c r="C342" s="8" t="s">
        <v>11</v>
      </c>
      <c r="D342" s="8" t="str">
        <f t="shared" si="1"/>
        <v>-</v>
      </c>
      <c r="E342" s="9" t="s">
        <v>11</v>
      </c>
      <c r="F342" s="10"/>
      <c r="G342" s="9"/>
      <c r="H342" s="26"/>
      <c r="I342" s="9" t="s">
        <v>13</v>
      </c>
      <c r="J342" s="44"/>
    </row>
    <row r="343">
      <c r="A343" s="42" t="s">
        <v>88</v>
      </c>
      <c r="B343" s="11"/>
      <c r="C343" s="8" t="s">
        <v>11</v>
      </c>
      <c r="D343" s="8" t="str">
        <f t="shared" si="1"/>
        <v>-</v>
      </c>
      <c r="E343" s="9" t="s">
        <v>11</v>
      </c>
      <c r="F343" s="10"/>
      <c r="G343" s="9"/>
      <c r="H343" s="26"/>
      <c r="I343" s="9" t="s">
        <v>13</v>
      </c>
      <c r="J343" s="44"/>
    </row>
    <row r="344">
      <c r="A344" s="42" t="s">
        <v>88</v>
      </c>
      <c r="B344" s="11"/>
      <c r="C344" s="8" t="s">
        <v>11</v>
      </c>
      <c r="D344" s="8" t="str">
        <f t="shared" si="1"/>
        <v>-</v>
      </c>
      <c r="E344" s="9" t="s">
        <v>11</v>
      </c>
      <c r="F344" s="10"/>
      <c r="G344" s="9"/>
      <c r="H344" s="26"/>
      <c r="I344" s="9" t="s">
        <v>13</v>
      </c>
      <c r="J344" s="44"/>
    </row>
    <row r="345">
      <c r="A345" s="42" t="s">
        <v>88</v>
      </c>
      <c r="B345" s="11"/>
      <c r="C345" s="8" t="s">
        <v>11</v>
      </c>
      <c r="D345" s="8" t="str">
        <f t="shared" si="1"/>
        <v>-</v>
      </c>
      <c r="E345" s="9" t="s">
        <v>11</v>
      </c>
      <c r="F345" s="10"/>
      <c r="G345" s="9"/>
      <c r="H345" s="26"/>
      <c r="I345" s="9" t="s">
        <v>13</v>
      </c>
      <c r="J345" s="44"/>
    </row>
    <row r="346">
      <c r="A346" s="42" t="s">
        <v>88</v>
      </c>
      <c r="B346" s="11"/>
      <c r="C346" s="8" t="s">
        <v>11</v>
      </c>
      <c r="D346" s="8" t="str">
        <f t="shared" si="1"/>
        <v>-</v>
      </c>
      <c r="E346" s="9" t="s">
        <v>11</v>
      </c>
      <c r="F346" s="10"/>
      <c r="G346" s="9"/>
      <c r="H346" s="26"/>
      <c r="I346" s="9" t="s">
        <v>13</v>
      </c>
      <c r="J346" s="44"/>
    </row>
    <row r="347">
      <c r="A347" s="42" t="s">
        <v>88</v>
      </c>
      <c r="B347" s="11"/>
      <c r="C347" s="8" t="s">
        <v>11</v>
      </c>
      <c r="D347" s="8" t="str">
        <f t="shared" si="1"/>
        <v>-</v>
      </c>
      <c r="E347" s="9" t="s">
        <v>11</v>
      </c>
      <c r="F347" s="10"/>
      <c r="G347" s="9"/>
      <c r="H347" s="26"/>
      <c r="I347" s="9" t="s">
        <v>13</v>
      </c>
      <c r="J347" s="44"/>
    </row>
    <row r="348">
      <c r="A348" s="42" t="s">
        <v>88</v>
      </c>
      <c r="B348" s="11"/>
      <c r="C348" s="8" t="s">
        <v>11</v>
      </c>
      <c r="D348" s="8" t="str">
        <f t="shared" si="1"/>
        <v>-</v>
      </c>
      <c r="E348" s="9" t="s">
        <v>11</v>
      </c>
      <c r="F348" s="10"/>
      <c r="G348" s="9"/>
      <c r="H348" s="26"/>
      <c r="I348" s="9" t="s">
        <v>13</v>
      </c>
      <c r="J348" s="44"/>
    </row>
    <row r="349">
      <c r="A349" s="42" t="s">
        <v>88</v>
      </c>
      <c r="B349" s="11"/>
      <c r="C349" s="8" t="s">
        <v>11</v>
      </c>
      <c r="D349" s="8" t="str">
        <f t="shared" si="1"/>
        <v>-</v>
      </c>
      <c r="E349" s="9" t="s">
        <v>11</v>
      </c>
      <c r="F349" s="10"/>
      <c r="G349" s="9"/>
      <c r="H349" s="26"/>
      <c r="I349" s="9" t="s">
        <v>13</v>
      </c>
      <c r="J349" s="44"/>
    </row>
    <row r="350">
      <c r="A350" s="42" t="s">
        <v>88</v>
      </c>
      <c r="B350" s="11"/>
      <c r="C350" s="8" t="s">
        <v>11</v>
      </c>
      <c r="D350" s="8" t="str">
        <f t="shared" si="1"/>
        <v>-</v>
      </c>
      <c r="E350" s="9" t="s">
        <v>11</v>
      </c>
      <c r="F350" s="10"/>
      <c r="G350" s="9"/>
      <c r="H350" s="26"/>
      <c r="I350" s="9" t="s">
        <v>13</v>
      </c>
      <c r="J350" s="44"/>
    </row>
    <row r="351">
      <c r="A351" s="42" t="s">
        <v>88</v>
      </c>
      <c r="B351" s="11"/>
      <c r="C351" s="8" t="s">
        <v>11</v>
      </c>
      <c r="D351" s="8" t="str">
        <f t="shared" si="1"/>
        <v>-</v>
      </c>
      <c r="E351" s="9" t="s">
        <v>11</v>
      </c>
      <c r="F351" s="10"/>
      <c r="G351" s="9"/>
      <c r="H351" s="26"/>
      <c r="I351" s="9" t="s">
        <v>13</v>
      </c>
      <c r="J351" s="44"/>
    </row>
    <row r="352">
      <c r="A352" s="42" t="s">
        <v>88</v>
      </c>
      <c r="B352" s="11"/>
      <c r="C352" s="8" t="s">
        <v>11</v>
      </c>
      <c r="D352" s="8" t="str">
        <f t="shared" si="1"/>
        <v>-</v>
      </c>
      <c r="E352" s="9" t="s">
        <v>11</v>
      </c>
      <c r="F352" s="10"/>
      <c r="G352" s="9"/>
      <c r="H352" s="26"/>
      <c r="I352" s="9" t="s">
        <v>13</v>
      </c>
      <c r="J352" s="44"/>
    </row>
    <row r="353">
      <c r="A353" s="42" t="s">
        <v>88</v>
      </c>
      <c r="B353" s="11"/>
      <c r="C353" s="8" t="s">
        <v>11</v>
      </c>
      <c r="D353" s="8" t="str">
        <f t="shared" si="1"/>
        <v>-</v>
      </c>
      <c r="E353" s="9" t="s">
        <v>11</v>
      </c>
      <c r="F353" s="10"/>
      <c r="G353" s="9"/>
      <c r="H353" s="26"/>
      <c r="I353" s="9" t="s">
        <v>13</v>
      </c>
      <c r="J353" s="44"/>
    </row>
    <row r="354">
      <c r="A354" s="42" t="s">
        <v>88</v>
      </c>
      <c r="B354" s="11"/>
      <c r="C354" s="8" t="s">
        <v>11</v>
      </c>
      <c r="D354" s="8" t="str">
        <f t="shared" si="1"/>
        <v>-</v>
      </c>
      <c r="E354" s="9" t="s">
        <v>11</v>
      </c>
      <c r="F354" s="10"/>
      <c r="G354" s="9"/>
      <c r="H354" s="26"/>
      <c r="I354" s="9" t="s">
        <v>13</v>
      </c>
      <c r="J354" s="44"/>
    </row>
    <row r="355">
      <c r="A355" s="42" t="s">
        <v>88</v>
      </c>
      <c r="B355" s="11"/>
      <c r="C355" s="8" t="s">
        <v>11</v>
      </c>
      <c r="D355" s="8" t="str">
        <f t="shared" si="1"/>
        <v>-</v>
      </c>
      <c r="E355" s="9" t="s">
        <v>11</v>
      </c>
      <c r="F355" s="10"/>
      <c r="G355" s="9"/>
      <c r="H355" s="26"/>
      <c r="I355" s="9" t="s">
        <v>13</v>
      </c>
      <c r="J355" s="44"/>
    </row>
    <row r="356">
      <c r="A356" s="42" t="s">
        <v>88</v>
      </c>
      <c r="B356" s="11"/>
      <c r="C356" s="8" t="s">
        <v>11</v>
      </c>
      <c r="D356" s="8" t="str">
        <f t="shared" si="1"/>
        <v>-</v>
      </c>
      <c r="E356" s="9" t="s">
        <v>11</v>
      </c>
      <c r="F356" s="10"/>
      <c r="G356" s="9"/>
      <c r="H356" s="26"/>
      <c r="I356" s="9" t="s">
        <v>13</v>
      </c>
      <c r="J356" s="44"/>
    </row>
    <row r="357">
      <c r="A357" s="42" t="s">
        <v>88</v>
      </c>
      <c r="B357" s="11"/>
      <c r="C357" s="8" t="s">
        <v>11</v>
      </c>
      <c r="D357" s="8" t="str">
        <f t="shared" si="1"/>
        <v>-</v>
      </c>
      <c r="E357" s="9" t="s">
        <v>11</v>
      </c>
      <c r="F357" s="10"/>
      <c r="G357" s="9"/>
      <c r="H357" s="26"/>
      <c r="I357" s="9" t="s">
        <v>13</v>
      </c>
      <c r="J357" s="44"/>
    </row>
    <row r="358">
      <c r="A358" s="42" t="s">
        <v>88</v>
      </c>
      <c r="B358" s="11"/>
      <c r="C358" s="8" t="s">
        <v>11</v>
      </c>
      <c r="D358" s="8" t="str">
        <f t="shared" si="1"/>
        <v>-</v>
      </c>
      <c r="E358" s="9" t="s">
        <v>11</v>
      </c>
      <c r="F358" s="10"/>
      <c r="G358" s="9"/>
      <c r="H358" s="26"/>
      <c r="I358" s="9" t="s">
        <v>13</v>
      </c>
      <c r="J358" s="44"/>
    </row>
    <row r="359">
      <c r="A359" s="42" t="s">
        <v>88</v>
      </c>
      <c r="B359" s="11"/>
      <c r="C359" s="8" t="s">
        <v>11</v>
      </c>
      <c r="D359" s="8" t="str">
        <f t="shared" si="1"/>
        <v>-</v>
      </c>
      <c r="E359" s="9" t="s">
        <v>11</v>
      </c>
      <c r="F359" s="10"/>
      <c r="G359" s="9"/>
      <c r="H359" s="26"/>
      <c r="I359" s="9" t="s">
        <v>13</v>
      </c>
      <c r="J359" s="44"/>
    </row>
    <row r="360">
      <c r="A360" s="42" t="s">
        <v>88</v>
      </c>
      <c r="B360" s="11"/>
      <c r="C360" s="8" t="s">
        <v>11</v>
      </c>
      <c r="D360" s="8" t="str">
        <f t="shared" si="1"/>
        <v>-</v>
      </c>
      <c r="E360" s="9" t="s">
        <v>11</v>
      </c>
      <c r="F360" s="10"/>
      <c r="G360" s="9"/>
      <c r="H360" s="26"/>
      <c r="I360" s="9" t="s">
        <v>13</v>
      </c>
      <c r="J360" s="44"/>
    </row>
    <row r="361">
      <c r="A361" s="42" t="s">
        <v>88</v>
      </c>
      <c r="B361" s="11"/>
      <c r="C361" s="8" t="s">
        <v>11</v>
      </c>
      <c r="D361" s="8" t="str">
        <f t="shared" si="1"/>
        <v>-</v>
      </c>
      <c r="E361" s="9" t="s">
        <v>11</v>
      </c>
      <c r="F361" s="10"/>
      <c r="G361" s="9"/>
      <c r="H361" s="26"/>
      <c r="I361" s="9" t="s">
        <v>13</v>
      </c>
      <c r="J361" s="44"/>
    </row>
    <row r="362">
      <c r="A362" s="42" t="s">
        <v>88</v>
      </c>
      <c r="B362" s="11"/>
      <c r="C362" s="8" t="s">
        <v>11</v>
      </c>
      <c r="D362" s="8" t="str">
        <f t="shared" si="1"/>
        <v>-</v>
      </c>
      <c r="E362" s="9" t="s">
        <v>11</v>
      </c>
      <c r="F362" s="10"/>
      <c r="G362" s="9"/>
      <c r="H362" s="26"/>
      <c r="I362" s="9" t="s">
        <v>13</v>
      </c>
      <c r="J362" s="44"/>
    </row>
    <row r="363">
      <c r="A363" s="42" t="s">
        <v>88</v>
      </c>
      <c r="B363" s="11"/>
      <c r="C363" s="8" t="s">
        <v>11</v>
      </c>
      <c r="D363" s="8" t="str">
        <f t="shared" si="1"/>
        <v>-</v>
      </c>
      <c r="E363" s="9" t="s">
        <v>11</v>
      </c>
      <c r="F363" s="10"/>
      <c r="G363" s="9"/>
      <c r="H363" s="26"/>
      <c r="I363" s="9" t="s">
        <v>13</v>
      </c>
      <c r="J363" s="44"/>
    </row>
    <row r="364">
      <c r="A364" s="42" t="s">
        <v>88</v>
      </c>
      <c r="B364" s="11"/>
      <c r="C364" s="8" t="s">
        <v>11</v>
      </c>
      <c r="D364" s="8" t="str">
        <f t="shared" si="1"/>
        <v>-</v>
      </c>
      <c r="E364" s="9" t="s">
        <v>11</v>
      </c>
      <c r="F364" s="10"/>
      <c r="G364" s="9"/>
      <c r="H364" s="26"/>
      <c r="I364" s="9" t="s">
        <v>13</v>
      </c>
      <c r="J364" s="44"/>
    </row>
    <row r="365">
      <c r="A365" s="42" t="s">
        <v>88</v>
      </c>
      <c r="B365" s="11"/>
      <c r="C365" s="8" t="s">
        <v>11</v>
      </c>
      <c r="D365" s="8" t="str">
        <f t="shared" si="1"/>
        <v>-</v>
      </c>
      <c r="E365" s="9" t="s">
        <v>11</v>
      </c>
      <c r="F365" s="10"/>
      <c r="G365" s="9"/>
      <c r="H365" s="26"/>
      <c r="I365" s="9" t="s">
        <v>13</v>
      </c>
      <c r="J365" s="44"/>
    </row>
    <row r="366">
      <c r="A366" s="42" t="s">
        <v>88</v>
      </c>
      <c r="B366" s="11"/>
      <c r="C366" s="8" t="s">
        <v>11</v>
      </c>
      <c r="D366" s="8" t="str">
        <f t="shared" si="1"/>
        <v>-</v>
      </c>
      <c r="E366" s="9" t="s">
        <v>11</v>
      </c>
      <c r="F366" s="10"/>
      <c r="G366" s="9"/>
      <c r="H366" s="26"/>
      <c r="I366" s="9" t="s">
        <v>13</v>
      </c>
      <c r="J366" s="44"/>
    </row>
    <row r="367">
      <c r="A367" s="42" t="s">
        <v>88</v>
      </c>
      <c r="B367" s="11"/>
      <c r="C367" s="8" t="s">
        <v>11</v>
      </c>
      <c r="D367" s="8" t="str">
        <f t="shared" si="1"/>
        <v>-</v>
      </c>
      <c r="E367" s="9" t="s">
        <v>11</v>
      </c>
      <c r="F367" s="10"/>
      <c r="G367" s="9"/>
      <c r="H367" s="26"/>
      <c r="I367" s="9" t="s">
        <v>13</v>
      </c>
      <c r="J367" s="44"/>
    </row>
    <row r="368">
      <c r="A368" s="42" t="s">
        <v>88</v>
      </c>
      <c r="B368" s="11"/>
      <c r="C368" s="8" t="s">
        <v>11</v>
      </c>
      <c r="D368" s="8" t="str">
        <f t="shared" si="1"/>
        <v>-</v>
      </c>
      <c r="E368" s="9" t="s">
        <v>11</v>
      </c>
      <c r="F368" s="10"/>
      <c r="G368" s="9"/>
      <c r="H368" s="26"/>
      <c r="I368" s="9" t="s">
        <v>13</v>
      </c>
      <c r="J368" s="44"/>
    </row>
    <row r="369">
      <c r="A369" s="42" t="s">
        <v>88</v>
      </c>
      <c r="B369" s="11"/>
      <c r="C369" s="8" t="s">
        <v>11</v>
      </c>
      <c r="D369" s="8" t="str">
        <f t="shared" si="1"/>
        <v>-</v>
      </c>
      <c r="E369" s="9" t="s">
        <v>11</v>
      </c>
      <c r="F369" s="10"/>
      <c r="G369" s="9"/>
      <c r="H369" s="26"/>
      <c r="I369" s="9" t="s">
        <v>13</v>
      </c>
      <c r="J369" s="44"/>
    </row>
    <row r="370">
      <c r="A370" s="42" t="s">
        <v>88</v>
      </c>
      <c r="B370" s="11"/>
      <c r="C370" s="8" t="s">
        <v>11</v>
      </c>
      <c r="D370" s="8" t="str">
        <f t="shared" si="1"/>
        <v>-</v>
      </c>
      <c r="E370" s="9" t="s">
        <v>11</v>
      </c>
      <c r="F370" s="10"/>
      <c r="G370" s="9"/>
      <c r="H370" s="26"/>
      <c r="I370" s="9" t="s">
        <v>13</v>
      </c>
      <c r="J370" s="44"/>
    </row>
    <row r="371">
      <c r="A371" s="42" t="s">
        <v>88</v>
      </c>
      <c r="B371" s="11"/>
      <c r="C371" s="8" t="s">
        <v>11</v>
      </c>
      <c r="D371" s="8" t="str">
        <f t="shared" si="1"/>
        <v>-</v>
      </c>
      <c r="E371" s="9" t="s">
        <v>11</v>
      </c>
      <c r="F371" s="10"/>
      <c r="G371" s="9"/>
      <c r="H371" s="26"/>
      <c r="I371" s="9" t="s">
        <v>13</v>
      </c>
      <c r="J371" s="44"/>
    </row>
    <row r="372">
      <c r="A372" s="42" t="s">
        <v>88</v>
      </c>
      <c r="B372" s="11"/>
      <c r="C372" s="8" t="s">
        <v>11</v>
      </c>
      <c r="D372" s="8" t="str">
        <f t="shared" si="1"/>
        <v>-</v>
      </c>
      <c r="E372" s="9" t="s">
        <v>11</v>
      </c>
      <c r="F372" s="10"/>
      <c r="G372" s="9"/>
      <c r="H372" s="26"/>
      <c r="I372" s="9" t="s">
        <v>13</v>
      </c>
      <c r="J372" s="44"/>
    </row>
    <row r="373">
      <c r="A373" s="42" t="s">
        <v>88</v>
      </c>
      <c r="B373" s="11"/>
      <c r="C373" s="8" t="s">
        <v>11</v>
      </c>
      <c r="D373" s="8" t="str">
        <f t="shared" si="1"/>
        <v>-</v>
      </c>
      <c r="E373" s="9" t="s">
        <v>11</v>
      </c>
      <c r="F373" s="10"/>
      <c r="G373" s="9"/>
      <c r="H373" s="26"/>
      <c r="I373" s="9" t="s">
        <v>13</v>
      </c>
      <c r="J373" s="44"/>
    </row>
    <row r="374">
      <c r="A374" s="42" t="s">
        <v>88</v>
      </c>
      <c r="B374" s="11"/>
      <c r="C374" s="8" t="s">
        <v>11</v>
      </c>
      <c r="D374" s="8" t="str">
        <f t="shared" si="1"/>
        <v>-</v>
      </c>
      <c r="E374" s="9" t="s">
        <v>11</v>
      </c>
      <c r="F374" s="10"/>
      <c r="G374" s="9"/>
      <c r="H374" s="26"/>
      <c r="I374" s="9" t="s">
        <v>13</v>
      </c>
      <c r="J374" s="44"/>
    </row>
    <row r="375">
      <c r="A375" s="42" t="s">
        <v>88</v>
      </c>
      <c r="B375" s="11"/>
      <c r="C375" s="8" t="s">
        <v>11</v>
      </c>
      <c r="D375" s="8" t="str">
        <f t="shared" si="1"/>
        <v>-</v>
      </c>
      <c r="E375" s="9" t="s">
        <v>11</v>
      </c>
      <c r="F375" s="10"/>
      <c r="G375" s="9"/>
      <c r="H375" s="26"/>
      <c r="I375" s="9" t="s">
        <v>13</v>
      </c>
      <c r="J375" s="44"/>
    </row>
    <row r="376">
      <c r="A376" s="42" t="s">
        <v>88</v>
      </c>
      <c r="B376" s="11"/>
      <c r="C376" s="8" t="s">
        <v>11</v>
      </c>
      <c r="D376" s="8" t="str">
        <f t="shared" si="1"/>
        <v>-</v>
      </c>
      <c r="E376" s="9" t="s">
        <v>11</v>
      </c>
      <c r="F376" s="10"/>
      <c r="G376" s="9"/>
      <c r="H376" s="26"/>
      <c r="I376" s="9" t="s">
        <v>13</v>
      </c>
      <c r="J376" s="44"/>
    </row>
    <row r="377">
      <c r="A377" s="42" t="s">
        <v>88</v>
      </c>
      <c r="B377" s="11"/>
      <c r="C377" s="8" t="s">
        <v>11</v>
      </c>
      <c r="D377" s="8" t="str">
        <f t="shared" si="1"/>
        <v>-</v>
      </c>
      <c r="E377" s="9" t="s">
        <v>11</v>
      </c>
      <c r="F377" s="10"/>
      <c r="G377" s="9"/>
      <c r="H377" s="26"/>
      <c r="I377" s="9" t="s">
        <v>13</v>
      </c>
      <c r="J377" s="44"/>
    </row>
    <row r="378">
      <c r="A378" s="42" t="s">
        <v>88</v>
      </c>
      <c r="B378" s="11"/>
      <c r="C378" s="8" t="s">
        <v>11</v>
      </c>
      <c r="D378" s="8" t="str">
        <f t="shared" si="1"/>
        <v>-</v>
      </c>
      <c r="E378" s="9" t="s">
        <v>11</v>
      </c>
      <c r="F378" s="10"/>
      <c r="G378" s="9"/>
      <c r="H378" s="26"/>
      <c r="I378" s="9" t="s">
        <v>13</v>
      </c>
      <c r="J378" s="44"/>
    </row>
    <row r="379">
      <c r="A379" s="42" t="s">
        <v>88</v>
      </c>
      <c r="B379" s="11"/>
      <c r="C379" s="8" t="s">
        <v>11</v>
      </c>
      <c r="D379" s="8" t="str">
        <f t="shared" si="1"/>
        <v>-</v>
      </c>
      <c r="E379" s="9" t="s">
        <v>11</v>
      </c>
      <c r="F379" s="10"/>
      <c r="G379" s="9"/>
      <c r="H379" s="26"/>
      <c r="I379" s="9" t="s">
        <v>13</v>
      </c>
      <c r="J379" s="44"/>
    </row>
    <row r="380">
      <c r="A380" s="42" t="s">
        <v>88</v>
      </c>
      <c r="B380" s="11"/>
      <c r="C380" s="8" t="s">
        <v>11</v>
      </c>
      <c r="D380" s="8" t="str">
        <f t="shared" si="1"/>
        <v>-</v>
      </c>
      <c r="E380" s="9" t="s">
        <v>11</v>
      </c>
      <c r="F380" s="10"/>
      <c r="G380" s="9"/>
      <c r="H380" s="26"/>
      <c r="I380" s="9" t="s">
        <v>13</v>
      </c>
      <c r="J380" s="44"/>
    </row>
    <row r="381">
      <c r="A381" s="42" t="s">
        <v>88</v>
      </c>
      <c r="B381" s="11"/>
      <c r="C381" s="8" t="s">
        <v>11</v>
      </c>
      <c r="D381" s="8" t="str">
        <f t="shared" si="1"/>
        <v>-</v>
      </c>
      <c r="E381" s="9" t="s">
        <v>11</v>
      </c>
      <c r="F381" s="10"/>
      <c r="G381" s="9"/>
      <c r="H381" s="26"/>
      <c r="I381" s="9" t="s">
        <v>13</v>
      </c>
      <c r="J381" s="44"/>
    </row>
    <row r="382">
      <c r="A382" s="42" t="s">
        <v>88</v>
      </c>
      <c r="B382" s="11"/>
      <c r="C382" s="8" t="s">
        <v>11</v>
      </c>
      <c r="D382" s="8" t="str">
        <f t="shared" si="1"/>
        <v>-</v>
      </c>
      <c r="E382" s="9" t="s">
        <v>11</v>
      </c>
      <c r="F382" s="10"/>
      <c r="G382" s="9"/>
      <c r="H382" s="26"/>
      <c r="I382" s="9" t="s">
        <v>13</v>
      </c>
      <c r="J382" s="44"/>
    </row>
    <row r="383">
      <c r="A383" s="42" t="s">
        <v>88</v>
      </c>
      <c r="B383" s="11"/>
      <c r="C383" s="8" t="s">
        <v>11</v>
      </c>
      <c r="D383" s="8" t="str">
        <f t="shared" si="1"/>
        <v>-</v>
      </c>
      <c r="E383" s="9" t="s">
        <v>11</v>
      </c>
      <c r="F383" s="10"/>
      <c r="G383" s="9"/>
      <c r="H383" s="26"/>
      <c r="I383" s="9" t="s">
        <v>13</v>
      </c>
      <c r="J383" s="44"/>
    </row>
    <row r="384">
      <c r="A384" s="42" t="s">
        <v>88</v>
      </c>
      <c r="B384" s="11"/>
      <c r="C384" s="8" t="s">
        <v>11</v>
      </c>
      <c r="D384" s="8" t="str">
        <f t="shared" si="1"/>
        <v>-</v>
      </c>
      <c r="E384" s="9" t="s">
        <v>11</v>
      </c>
      <c r="F384" s="10"/>
      <c r="G384" s="9"/>
      <c r="H384" s="26"/>
      <c r="I384" s="9" t="s">
        <v>13</v>
      </c>
      <c r="J384" s="44"/>
    </row>
    <row r="385">
      <c r="A385" s="42" t="s">
        <v>88</v>
      </c>
      <c r="B385" s="11"/>
      <c r="C385" s="8" t="s">
        <v>11</v>
      </c>
      <c r="D385" s="8" t="str">
        <f t="shared" si="1"/>
        <v>-</v>
      </c>
      <c r="E385" s="9" t="s">
        <v>11</v>
      </c>
      <c r="F385" s="10"/>
      <c r="G385" s="9"/>
      <c r="H385" s="26"/>
      <c r="I385" s="9" t="s">
        <v>13</v>
      </c>
      <c r="J385" s="44"/>
    </row>
    <row r="386">
      <c r="A386" s="42" t="s">
        <v>88</v>
      </c>
      <c r="B386" s="11"/>
      <c r="C386" s="8" t="s">
        <v>11</v>
      </c>
      <c r="D386" s="8" t="str">
        <f t="shared" si="1"/>
        <v>-</v>
      </c>
      <c r="E386" s="9" t="s">
        <v>11</v>
      </c>
      <c r="F386" s="10"/>
      <c r="G386" s="9"/>
      <c r="H386" s="26"/>
      <c r="I386" s="9" t="s">
        <v>13</v>
      </c>
      <c r="J386" s="44"/>
    </row>
    <row r="387">
      <c r="A387" s="42" t="s">
        <v>88</v>
      </c>
      <c r="B387" s="11"/>
      <c r="C387" s="8" t="s">
        <v>11</v>
      </c>
      <c r="D387" s="8" t="str">
        <f t="shared" si="1"/>
        <v>-</v>
      </c>
      <c r="E387" s="9" t="s">
        <v>11</v>
      </c>
      <c r="F387" s="10"/>
      <c r="G387" s="9"/>
      <c r="H387" s="26"/>
      <c r="I387" s="9" t="s">
        <v>13</v>
      </c>
      <c r="J387" s="44"/>
    </row>
    <row r="388">
      <c r="A388" s="42" t="s">
        <v>88</v>
      </c>
      <c r="B388" s="11"/>
      <c r="C388" s="8" t="s">
        <v>11</v>
      </c>
      <c r="D388" s="8" t="str">
        <f t="shared" si="1"/>
        <v>-</v>
      </c>
      <c r="E388" s="9" t="s">
        <v>11</v>
      </c>
      <c r="F388" s="10"/>
      <c r="G388" s="9"/>
      <c r="H388" s="26"/>
      <c r="I388" s="9" t="s">
        <v>13</v>
      </c>
      <c r="J388" s="44"/>
    </row>
    <row r="389">
      <c r="A389" s="42" t="s">
        <v>88</v>
      </c>
      <c r="B389" s="11"/>
      <c r="C389" s="8" t="s">
        <v>11</v>
      </c>
      <c r="D389" s="8" t="str">
        <f t="shared" si="1"/>
        <v>-</v>
      </c>
      <c r="E389" s="9" t="s">
        <v>11</v>
      </c>
      <c r="F389" s="10"/>
      <c r="G389" s="9"/>
      <c r="H389" s="26"/>
      <c r="I389" s="9" t="s">
        <v>13</v>
      </c>
      <c r="J389" s="44"/>
    </row>
    <row r="390">
      <c r="A390" s="42" t="s">
        <v>88</v>
      </c>
      <c r="B390" s="11"/>
      <c r="C390" s="8" t="s">
        <v>11</v>
      </c>
      <c r="D390" s="8" t="str">
        <f t="shared" si="1"/>
        <v>-</v>
      </c>
      <c r="E390" s="9" t="s">
        <v>11</v>
      </c>
      <c r="F390" s="10"/>
      <c r="G390" s="9"/>
      <c r="H390" s="26"/>
      <c r="I390" s="9" t="s">
        <v>13</v>
      </c>
      <c r="J390" s="44"/>
    </row>
    <row r="391">
      <c r="A391" s="42" t="s">
        <v>88</v>
      </c>
      <c r="B391" s="11"/>
      <c r="C391" s="8" t="s">
        <v>11</v>
      </c>
      <c r="D391" s="8" t="str">
        <f t="shared" si="1"/>
        <v>-</v>
      </c>
      <c r="E391" s="9" t="s">
        <v>11</v>
      </c>
      <c r="F391" s="10"/>
      <c r="G391" s="9"/>
      <c r="H391" s="26"/>
      <c r="I391" s="9" t="s">
        <v>13</v>
      </c>
      <c r="J391" s="44"/>
    </row>
    <row r="392">
      <c r="A392" s="42" t="s">
        <v>88</v>
      </c>
      <c r="B392" s="11"/>
      <c r="C392" s="8" t="s">
        <v>11</v>
      </c>
      <c r="D392" s="8" t="str">
        <f t="shared" si="1"/>
        <v>-</v>
      </c>
      <c r="E392" s="9" t="s">
        <v>11</v>
      </c>
      <c r="F392" s="10"/>
      <c r="G392" s="9"/>
      <c r="H392" s="26"/>
      <c r="I392" s="9" t="s">
        <v>13</v>
      </c>
      <c r="J392" s="44"/>
    </row>
    <row r="393">
      <c r="A393" s="42" t="s">
        <v>88</v>
      </c>
      <c r="B393" s="11"/>
      <c r="C393" s="8" t="s">
        <v>11</v>
      </c>
      <c r="D393" s="8" t="str">
        <f t="shared" si="1"/>
        <v>-</v>
      </c>
      <c r="E393" s="9" t="s">
        <v>11</v>
      </c>
      <c r="F393" s="10"/>
      <c r="G393" s="9"/>
      <c r="H393" s="26"/>
      <c r="I393" s="9" t="s">
        <v>13</v>
      </c>
      <c r="J393" s="44"/>
    </row>
    <row r="394">
      <c r="A394" s="42" t="s">
        <v>88</v>
      </c>
      <c r="B394" s="11"/>
      <c r="C394" s="8" t="s">
        <v>11</v>
      </c>
      <c r="D394" s="8" t="str">
        <f t="shared" si="1"/>
        <v>-</v>
      </c>
      <c r="E394" s="9" t="s">
        <v>11</v>
      </c>
      <c r="F394" s="10"/>
      <c r="G394" s="9"/>
      <c r="H394" s="26"/>
      <c r="I394" s="9" t="s">
        <v>13</v>
      </c>
      <c r="J394" s="44"/>
    </row>
    <row r="395">
      <c r="A395" s="42" t="s">
        <v>88</v>
      </c>
      <c r="B395" s="11"/>
      <c r="C395" s="8" t="s">
        <v>11</v>
      </c>
      <c r="D395" s="8" t="str">
        <f t="shared" si="1"/>
        <v>-</v>
      </c>
      <c r="E395" s="9" t="s">
        <v>11</v>
      </c>
      <c r="F395" s="10"/>
      <c r="G395" s="9"/>
      <c r="H395" s="26"/>
      <c r="I395" s="9" t="s">
        <v>13</v>
      </c>
      <c r="J395" s="44"/>
    </row>
    <row r="396">
      <c r="A396" s="42" t="s">
        <v>88</v>
      </c>
      <c r="B396" s="11"/>
      <c r="C396" s="8" t="s">
        <v>11</v>
      </c>
      <c r="D396" s="8" t="str">
        <f t="shared" si="1"/>
        <v>-</v>
      </c>
      <c r="E396" s="9" t="s">
        <v>11</v>
      </c>
      <c r="F396" s="10"/>
      <c r="G396" s="9"/>
      <c r="H396" s="26"/>
      <c r="I396" s="9" t="s">
        <v>13</v>
      </c>
      <c r="J396" s="44"/>
    </row>
    <row r="397">
      <c r="A397" s="42" t="s">
        <v>88</v>
      </c>
      <c r="B397" s="11"/>
      <c r="C397" s="8" t="s">
        <v>11</v>
      </c>
      <c r="D397" s="8" t="str">
        <f t="shared" si="1"/>
        <v>-</v>
      </c>
      <c r="E397" s="9" t="s">
        <v>11</v>
      </c>
      <c r="F397" s="10"/>
      <c r="G397" s="9"/>
      <c r="H397" s="26"/>
      <c r="I397" s="9" t="s">
        <v>13</v>
      </c>
      <c r="J397" s="44"/>
    </row>
    <row r="398">
      <c r="A398" s="42" t="s">
        <v>88</v>
      </c>
      <c r="B398" s="11"/>
      <c r="C398" s="8" t="s">
        <v>11</v>
      </c>
      <c r="D398" s="8" t="str">
        <f t="shared" si="1"/>
        <v>-</v>
      </c>
      <c r="E398" s="9" t="s">
        <v>11</v>
      </c>
      <c r="F398" s="10"/>
      <c r="G398" s="9"/>
      <c r="H398" s="26"/>
      <c r="I398" s="9" t="s">
        <v>13</v>
      </c>
      <c r="J398" s="44"/>
    </row>
    <row r="399">
      <c r="A399" s="42" t="s">
        <v>88</v>
      </c>
      <c r="B399" s="11"/>
      <c r="C399" s="8" t="s">
        <v>11</v>
      </c>
      <c r="D399" s="8" t="str">
        <f t="shared" si="1"/>
        <v>-</v>
      </c>
      <c r="E399" s="9" t="s">
        <v>11</v>
      </c>
      <c r="F399" s="10"/>
      <c r="G399" s="9"/>
      <c r="H399" s="26"/>
      <c r="I399" s="9" t="s">
        <v>13</v>
      </c>
      <c r="J399" s="44"/>
    </row>
    <row r="400">
      <c r="A400" s="42" t="s">
        <v>88</v>
      </c>
      <c r="B400" s="11"/>
      <c r="C400" s="8" t="s">
        <v>11</v>
      </c>
      <c r="D400" s="8" t="str">
        <f t="shared" si="1"/>
        <v>-</v>
      </c>
      <c r="E400" s="9" t="s">
        <v>11</v>
      </c>
      <c r="F400" s="10"/>
      <c r="G400" s="9"/>
      <c r="H400" s="26"/>
      <c r="I400" s="9" t="s">
        <v>13</v>
      </c>
      <c r="J400" s="44"/>
    </row>
    <row r="401">
      <c r="A401" s="42" t="s">
        <v>88</v>
      </c>
      <c r="B401" s="11"/>
      <c r="C401" s="8" t="s">
        <v>11</v>
      </c>
      <c r="D401" s="8" t="str">
        <f t="shared" si="1"/>
        <v>-</v>
      </c>
      <c r="E401" s="9" t="s">
        <v>11</v>
      </c>
      <c r="F401" s="10"/>
      <c r="G401" s="9"/>
      <c r="H401" s="26"/>
      <c r="I401" s="9" t="s">
        <v>13</v>
      </c>
      <c r="J401" s="44"/>
    </row>
    <row r="402">
      <c r="A402" s="42" t="s">
        <v>88</v>
      </c>
      <c r="B402" s="11"/>
      <c r="C402" s="8" t="s">
        <v>11</v>
      </c>
      <c r="D402" s="8" t="str">
        <f t="shared" si="1"/>
        <v>-</v>
      </c>
      <c r="E402" s="9" t="s">
        <v>11</v>
      </c>
      <c r="F402" s="10"/>
      <c r="G402" s="9"/>
      <c r="H402" s="26"/>
      <c r="I402" s="9" t="s">
        <v>13</v>
      </c>
      <c r="J402" s="44"/>
    </row>
    <row r="403">
      <c r="A403" s="42" t="s">
        <v>88</v>
      </c>
      <c r="B403" s="11"/>
      <c r="C403" s="8" t="s">
        <v>11</v>
      </c>
      <c r="D403" s="8" t="str">
        <f t="shared" si="1"/>
        <v>-</v>
      </c>
      <c r="E403" s="9" t="s">
        <v>11</v>
      </c>
      <c r="F403" s="10"/>
      <c r="G403" s="9"/>
      <c r="H403" s="26"/>
      <c r="I403" s="9" t="s">
        <v>13</v>
      </c>
      <c r="J403" s="44"/>
    </row>
    <row r="404">
      <c r="A404" s="42" t="s">
        <v>88</v>
      </c>
      <c r="B404" s="11"/>
      <c r="C404" s="8" t="s">
        <v>11</v>
      </c>
      <c r="D404" s="8" t="str">
        <f t="shared" si="1"/>
        <v>-</v>
      </c>
      <c r="E404" s="9" t="s">
        <v>11</v>
      </c>
      <c r="F404" s="10"/>
      <c r="G404" s="9"/>
      <c r="H404" s="26"/>
      <c r="I404" s="9" t="s">
        <v>13</v>
      </c>
      <c r="J404" s="44"/>
    </row>
    <row r="405">
      <c r="A405" s="42" t="s">
        <v>88</v>
      </c>
      <c r="B405" s="11"/>
      <c r="C405" s="8" t="s">
        <v>11</v>
      </c>
      <c r="D405" s="8" t="str">
        <f t="shared" si="1"/>
        <v>-</v>
      </c>
      <c r="E405" s="9" t="s">
        <v>11</v>
      </c>
      <c r="F405" s="10"/>
      <c r="G405" s="9"/>
      <c r="H405" s="26"/>
      <c r="I405" s="9" t="s">
        <v>13</v>
      </c>
      <c r="J405" s="44"/>
    </row>
    <row r="406">
      <c r="A406" s="42" t="s">
        <v>88</v>
      </c>
      <c r="B406" s="11"/>
      <c r="C406" s="8" t="s">
        <v>11</v>
      </c>
      <c r="D406" s="8" t="str">
        <f t="shared" si="1"/>
        <v>-</v>
      </c>
      <c r="E406" s="9" t="s">
        <v>11</v>
      </c>
      <c r="F406" s="10"/>
      <c r="G406" s="9"/>
      <c r="H406" s="26"/>
      <c r="I406" s="9" t="s">
        <v>13</v>
      </c>
      <c r="J406" s="44"/>
    </row>
    <row r="407">
      <c r="A407" s="42" t="s">
        <v>88</v>
      </c>
      <c r="B407" s="11"/>
      <c r="C407" s="8" t="s">
        <v>11</v>
      </c>
      <c r="D407" s="8" t="str">
        <f t="shared" si="1"/>
        <v>-</v>
      </c>
      <c r="E407" s="9" t="s">
        <v>11</v>
      </c>
      <c r="F407" s="10"/>
      <c r="G407" s="9"/>
      <c r="H407" s="26"/>
      <c r="I407" s="9" t="s">
        <v>13</v>
      </c>
      <c r="J407" s="44"/>
    </row>
    <row r="408">
      <c r="A408" s="42" t="s">
        <v>88</v>
      </c>
      <c r="B408" s="11"/>
      <c r="C408" s="8" t="s">
        <v>11</v>
      </c>
      <c r="D408" s="8" t="str">
        <f t="shared" si="1"/>
        <v>-</v>
      </c>
      <c r="E408" s="9" t="s">
        <v>11</v>
      </c>
      <c r="F408" s="10"/>
      <c r="G408" s="9"/>
      <c r="H408" s="26"/>
      <c r="I408" s="9" t="s">
        <v>13</v>
      </c>
      <c r="J408" s="44"/>
    </row>
    <row r="409">
      <c r="A409" s="42" t="s">
        <v>88</v>
      </c>
      <c r="B409" s="11"/>
      <c r="C409" s="8" t="s">
        <v>11</v>
      </c>
      <c r="D409" s="8" t="str">
        <f t="shared" si="1"/>
        <v>-</v>
      </c>
      <c r="E409" s="9" t="s">
        <v>11</v>
      </c>
      <c r="F409" s="10"/>
      <c r="G409" s="9"/>
      <c r="H409" s="26"/>
      <c r="I409" s="9" t="s">
        <v>13</v>
      </c>
      <c r="J409" s="44"/>
    </row>
    <row r="410">
      <c r="A410" s="42" t="s">
        <v>88</v>
      </c>
      <c r="B410" s="11"/>
      <c r="C410" s="8" t="s">
        <v>11</v>
      </c>
      <c r="D410" s="8" t="str">
        <f t="shared" si="1"/>
        <v>-</v>
      </c>
      <c r="E410" s="9" t="s">
        <v>11</v>
      </c>
      <c r="F410" s="10"/>
      <c r="G410" s="9"/>
      <c r="H410" s="26"/>
      <c r="I410" s="9" t="s">
        <v>13</v>
      </c>
      <c r="J410" s="44"/>
    </row>
    <row r="411">
      <c r="A411" s="42" t="s">
        <v>88</v>
      </c>
      <c r="B411" s="11"/>
      <c r="C411" s="8" t="s">
        <v>11</v>
      </c>
      <c r="D411" s="8" t="str">
        <f t="shared" si="1"/>
        <v>-</v>
      </c>
      <c r="E411" s="9" t="s">
        <v>11</v>
      </c>
      <c r="F411" s="10"/>
      <c r="G411" s="9"/>
      <c r="H411" s="26"/>
      <c r="I411" s="9" t="s">
        <v>13</v>
      </c>
      <c r="J411" s="44"/>
    </row>
    <row r="412">
      <c r="A412" s="42" t="s">
        <v>88</v>
      </c>
      <c r="B412" s="11"/>
      <c r="C412" s="8" t="s">
        <v>11</v>
      </c>
      <c r="D412" s="8" t="str">
        <f t="shared" si="1"/>
        <v>-</v>
      </c>
      <c r="E412" s="9" t="s">
        <v>11</v>
      </c>
      <c r="F412" s="10"/>
      <c r="G412" s="9"/>
      <c r="H412" s="26"/>
      <c r="I412" s="9" t="s">
        <v>13</v>
      </c>
      <c r="J412" s="44"/>
    </row>
    <row r="413">
      <c r="A413" s="42" t="s">
        <v>88</v>
      </c>
      <c r="B413" s="11"/>
      <c r="C413" s="8" t="s">
        <v>11</v>
      </c>
      <c r="D413" s="8" t="str">
        <f t="shared" si="1"/>
        <v>-</v>
      </c>
      <c r="E413" s="9" t="s">
        <v>11</v>
      </c>
      <c r="F413" s="10"/>
      <c r="G413" s="9"/>
      <c r="H413" s="26"/>
      <c r="I413" s="9" t="s">
        <v>13</v>
      </c>
      <c r="J413" s="44"/>
    </row>
    <row r="414">
      <c r="A414" s="42" t="s">
        <v>88</v>
      </c>
      <c r="B414" s="11"/>
      <c r="C414" s="8" t="s">
        <v>11</v>
      </c>
      <c r="D414" s="8" t="str">
        <f t="shared" si="1"/>
        <v>-</v>
      </c>
      <c r="E414" s="9" t="s">
        <v>11</v>
      </c>
      <c r="F414" s="10"/>
      <c r="G414" s="9"/>
      <c r="H414" s="26"/>
      <c r="I414" s="9" t="s">
        <v>13</v>
      </c>
      <c r="J414" s="44"/>
    </row>
    <row r="415">
      <c r="A415" s="42" t="s">
        <v>88</v>
      </c>
      <c r="B415" s="11"/>
      <c r="C415" s="8" t="s">
        <v>11</v>
      </c>
      <c r="D415" s="8" t="str">
        <f t="shared" si="1"/>
        <v>-</v>
      </c>
      <c r="E415" s="9" t="s">
        <v>11</v>
      </c>
      <c r="F415" s="10"/>
      <c r="G415" s="9"/>
      <c r="H415" s="26"/>
      <c r="I415" s="9" t="s">
        <v>13</v>
      </c>
      <c r="J415" s="44"/>
    </row>
    <row r="416">
      <c r="A416" s="42" t="s">
        <v>88</v>
      </c>
      <c r="B416" s="11"/>
      <c r="C416" s="8" t="s">
        <v>11</v>
      </c>
      <c r="D416" s="8" t="str">
        <f t="shared" si="1"/>
        <v>-</v>
      </c>
      <c r="E416" s="9" t="s">
        <v>11</v>
      </c>
      <c r="F416" s="10"/>
      <c r="G416" s="9"/>
      <c r="H416" s="26"/>
      <c r="I416" s="9" t="s">
        <v>13</v>
      </c>
      <c r="J416" s="44"/>
    </row>
    <row r="417">
      <c r="A417" s="42" t="s">
        <v>88</v>
      </c>
      <c r="B417" s="11"/>
      <c r="C417" s="8" t="s">
        <v>11</v>
      </c>
      <c r="D417" s="8" t="str">
        <f t="shared" si="1"/>
        <v>-</v>
      </c>
      <c r="E417" s="9" t="s">
        <v>11</v>
      </c>
      <c r="F417" s="10"/>
      <c r="G417" s="9"/>
      <c r="H417" s="26"/>
      <c r="I417" s="9" t="s">
        <v>13</v>
      </c>
      <c r="J417" s="44"/>
    </row>
    <row r="418">
      <c r="A418" s="42" t="s">
        <v>88</v>
      </c>
      <c r="B418" s="11"/>
      <c r="C418" s="8" t="s">
        <v>11</v>
      </c>
      <c r="D418" s="8" t="str">
        <f t="shared" si="1"/>
        <v>-</v>
      </c>
      <c r="E418" s="9" t="s">
        <v>11</v>
      </c>
      <c r="F418" s="10"/>
      <c r="G418" s="9"/>
      <c r="H418" s="26"/>
      <c r="I418" s="9" t="s">
        <v>13</v>
      </c>
      <c r="J418" s="44"/>
    </row>
    <row r="419">
      <c r="A419" s="42" t="s">
        <v>88</v>
      </c>
      <c r="B419" s="11"/>
      <c r="C419" s="8" t="s">
        <v>11</v>
      </c>
      <c r="D419" s="8" t="str">
        <f t="shared" si="1"/>
        <v>-</v>
      </c>
      <c r="E419" s="9" t="s">
        <v>11</v>
      </c>
      <c r="F419" s="10"/>
      <c r="G419" s="9"/>
      <c r="H419" s="26"/>
      <c r="I419" s="9" t="s">
        <v>13</v>
      </c>
      <c r="J419" s="44"/>
    </row>
    <row r="420">
      <c r="A420" s="42" t="s">
        <v>88</v>
      </c>
      <c r="B420" s="11"/>
      <c r="C420" s="8" t="s">
        <v>11</v>
      </c>
      <c r="D420" s="8" t="str">
        <f t="shared" si="1"/>
        <v>-</v>
      </c>
      <c r="E420" s="9" t="s">
        <v>11</v>
      </c>
      <c r="F420" s="10"/>
      <c r="G420" s="9"/>
      <c r="H420" s="26"/>
      <c r="I420" s="9" t="s">
        <v>13</v>
      </c>
      <c r="J420" s="44"/>
    </row>
    <row r="421">
      <c r="A421" s="42" t="s">
        <v>88</v>
      </c>
      <c r="B421" s="11"/>
      <c r="C421" s="8" t="s">
        <v>11</v>
      </c>
      <c r="D421" s="8" t="str">
        <f t="shared" si="1"/>
        <v>-</v>
      </c>
      <c r="E421" s="9" t="s">
        <v>11</v>
      </c>
      <c r="F421" s="10"/>
      <c r="G421" s="9"/>
      <c r="H421" s="26"/>
      <c r="I421" s="9" t="s">
        <v>13</v>
      </c>
      <c r="J421" s="44"/>
    </row>
    <row r="422">
      <c r="A422" s="42" t="s">
        <v>88</v>
      </c>
      <c r="B422" s="11"/>
      <c r="C422" s="8" t="s">
        <v>11</v>
      </c>
      <c r="D422" s="8" t="str">
        <f t="shared" si="1"/>
        <v>-</v>
      </c>
      <c r="E422" s="9" t="s">
        <v>11</v>
      </c>
      <c r="F422" s="10"/>
      <c r="G422" s="9"/>
      <c r="H422" s="26"/>
      <c r="I422" s="9" t="s">
        <v>13</v>
      </c>
      <c r="J422" s="44"/>
    </row>
    <row r="423">
      <c r="A423" s="42" t="s">
        <v>88</v>
      </c>
      <c r="B423" s="11"/>
      <c r="C423" s="8" t="s">
        <v>11</v>
      </c>
      <c r="D423" s="8" t="str">
        <f t="shared" si="1"/>
        <v>-</v>
      </c>
      <c r="E423" s="9" t="s">
        <v>11</v>
      </c>
      <c r="F423" s="10"/>
      <c r="G423" s="9"/>
      <c r="H423" s="26"/>
      <c r="I423" s="9" t="s">
        <v>13</v>
      </c>
      <c r="J423" s="44"/>
    </row>
    <row r="424">
      <c r="A424" s="42" t="s">
        <v>88</v>
      </c>
      <c r="B424" s="11"/>
      <c r="C424" s="8" t="s">
        <v>11</v>
      </c>
      <c r="D424" s="8" t="str">
        <f t="shared" si="1"/>
        <v>-</v>
      </c>
      <c r="E424" s="9" t="s">
        <v>11</v>
      </c>
      <c r="F424" s="10"/>
      <c r="G424" s="9"/>
      <c r="H424" s="26"/>
      <c r="I424" s="9" t="s">
        <v>13</v>
      </c>
      <c r="J424" s="44"/>
    </row>
    <row r="425">
      <c r="A425" s="42" t="s">
        <v>88</v>
      </c>
      <c r="B425" s="11"/>
      <c r="C425" s="8" t="s">
        <v>11</v>
      </c>
      <c r="D425" s="8" t="str">
        <f t="shared" si="1"/>
        <v>-</v>
      </c>
      <c r="E425" s="9" t="s">
        <v>11</v>
      </c>
      <c r="F425" s="10"/>
      <c r="G425" s="9"/>
      <c r="H425" s="26"/>
      <c r="I425" s="9" t="s">
        <v>13</v>
      </c>
      <c r="J425" s="44"/>
    </row>
    <row r="426">
      <c r="A426" s="42" t="s">
        <v>88</v>
      </c>
      <c r="B426" s="11"/>
      <c r="C426" s="8" t="s">
        <v>11</v>
      </c>
      <c r="D426" s="8" t="str">
        <f t="shared" si="1"/>
        <v>-</v>
      </c>
      <c r="E426" s="9" t="s">
        <v>11</v>
      </c>
      <c r="F426" s="10"/>
      <c r="G426" s="9"/>
      <c r="H426" s="26"/>
      <c r="I426" s="9" t="s">
        <v>13</v>
      </c>
      <c r="J426" s="44"/>
    </row>
    <row r="427">
      <c r="A427" s="42" t="s">
        <v>88</v>
      </c>
      <c r="B427" s="11"/>
      <c r="C427" s="8" t="s">
        <v>11</v>
      </c>
      <c r="D427" s="8" t="str">
        <f t="shared" si="1"/>
        <v>-</v>
      </c>
      <c r="E427" s="9" t="s">
        <v>11</v>
      </c>
      <c r="F427" s="10"/>
      <c r="G427" s="9"/>
      <c r="H427" s="26"/>
      <c r="I427" s="9" t="s">
        <v>13</v>
      </c>
      <c r="J427" s="44"/>
    </row>
    <row r="428">
      <c r="A428" s="42" t="s">
        <v>88</v>
      </c>
      <c r="B428" s="11"/>
      <c r="C428" s="8" t="s">
        <v>11</v>
      </c>
      <c r="D428" s="8" t="str">
        <f t="shared" si="1"/>
        <v>-</v>
      </c>
      <c r="E428" s="9" t="s">
        <v>11</v>
      </c>
      <c r="F428" s="10"/>
      <c r="G428" s="9"/>
      <c r="H428" s="26"/>
      <c r="I428" s="9" t="s">
        <v>13</v>
      </c>
      <c r="J428" s="44"/>
    </row>
    <row r="429">
      <c r="A429" s="42" t="s">
        <v>88</v>
      </c>
      <c r="B429" s="11"/>
      <c r="C429" s="8" t="s">
        <v>11</v>
      </c>
      <c r="D429" s="8" t="str">
        <f t="shared" si="1"/>
        <v>-</v>
      </c>
      <c r="E429" s="9" t="s">
        <v>11</v>
      </c>
      <c r="F429" s="10"/>
      <c r="G429" s="9"/>
      <c r="H429" s="26"/>
      <c r="I429" s="9" t="s">
        <v>13</v>
      </c>
      <c r="J429" s="44"/>
    </row>
    <row r="430">
      <c r="A430" s="42" t="s">
        <v>88</v>
      </c>
      <c r="B430" s="11"/>
      <c r="C430" s="8" t="s">
        <v>11</v>
      </c>
      <c r="D430" s="8" t="str">
        <f t="shared" si="1"/>
        <v>-</v>
      </c>
      <c r="E430" s="9" t="s">
        <v>11</v>
      </c>
      <c r="F430" s="10"/>
      <c r="G430" s="9"/>
      <c r="H430" s="26"/>
      <c r="I430" s="9" t="s">
        <v>13</v>
      </c>
      <c r="J430" s="44"/>
    </row>
    <row r="431">
      <c r="A431" s="42" t="s">
        <v>88</v>
      </c>
      <c r="B431" s="11"/>
      <c r="C431" s="8" t="s">
        <v>11</v>
      </c>
      <c r="D431" s="8" t="str">
        <f t="shared" si="1"/>
        <v>-</v>
      </c>
      <c r="E431" s="9" t="s">
        <v>11</v>
      </c>
      <c r="F431" s="10"/>
      <c r="G431" s="9"/>
      <c r="H431" s="26"/>
      <c r="I431" s="9" t="s">
        <v>13</v>
      </c>
      <c r="J431" s="44"/>
    </row>
    <row r="432">
      <c r="A432" s="42" t="s">
        <v>88</v>
      </c>
      <c r="B432" s="11"/>
      <c r="C432" s="8" t="s">
        <v>11</v>
      </c>
      <c r="D432" s="8" t="str">
        <f t="shared" si="1"/>
        <v>-</v>
      </c>
      <c r="E432" s="9" t="s">
        <v>11</v>
      </c>
      <c r="F432" s="10"/>
      <c r="G432" s="9"/>
      <c r="H432" s="26"/>
      <c r="I432" s="9" t="s">
        <v>13</v>
      </c>
      <c r="J432" s="44"/>
    </row>
    <row r="433">
      <c r="A433" s="42" t="s">
        <v>88</v>
      </c>
      <c r="B433" s="11"/>
      <c r="C433" s="8" t="s">
        <v>11</v>
      </c>
      <c r="D433" s="8" t="str">
        <f t="shared" si="1"/>
        <v>-</v>
      </c>
      <c r="E433" s="9" t="s">
        <v>11</v>
      </c>
      <c r="F433" s="10"/>
      <c r="G433" s="9"/>
      <c r="H433" s="26"/>
      <c r="I433" s="9" t="s">
        <v>13</v>
      </c>
      <c r="J433" s="44"/>
    </row>
    <row r="434">
      <c r="A434" s="42" t="s">
        <v>88</v>
      </c>
      <c r="B434" s="11"/>
      <c r="C434" s="8" t="s">
        <v>11</v>
      </c>
      <c r="D434" s="8" t="str">
        <f t="shared" si="1"/>
        <v>-</v>
      </c>
      <c r="E434" s="9" t="s">
        <v>11</v>
      </c>
      <c r="F434" s="10"/>
      <c r="G434" s="9"/>
      <c r="H434" s="26"/>
      <c r="I434" s="9" t="s">
        <v>13</v>
      </c>
      <c r="J434" s="44"/>
    </row>
    <row r="435">
      <c r="A435" s="42" t="s">
        <v>88</v>
      </c>
      <c r="B435" s="11"/>
      <c r="C435" s="8" t="s">
        <v>11</v>
      </c>
      <c r="D435" s="8" t="str">
        <f t="shared" si="1"/>
        <v>-</v>
      </c>
      <c r="E435" s="9" t="s">
        <v>11</v>
      </c>
      <c r="F435" s="10"/>
      <c r="G435" s="9"/>
      <c r="H435" s="26"/>
      <c r="I435" s="9" t="s">
        <v>13</v>
      </c>
      <c r="J435" s="44"/>
    </row>
    <row r="436">
      <c r="A436" s="42" t="s">
        <v>88</v>
      </c>
      <c r="B436" s="11"/>
      <c r="C436" s="8" t="s">
        <v>11</v>
      </c>
      <c r="D436" s="8" t="str">
        <f t="shared" si="1"/>
        <v>-</v>
      </c>
      <c r="E436" s="9" t="s">
        <v>11</v>
      </c>
      <c r="F436" s="10"/>
      <c r="G436" s="9"/>
      <c r="H436" s="26"/>
      <c r="I436" s="9" t="s">
        <v>13</v>
      </c>
      <c r="J436" s="44"/>
    </row>
    <row r="437">
      <c r="A437" s="42" t="s">
        <v>88</v>
      </c>
      <c r="B437" s="11"/>
      <c r="C437" s="8" t="s">
        <v>11</v>
      </c>
      <c r="D437" s="8" t="str">
        <f t="shared" si="1"/>
        <v>-</v>
      </c>
      <c r="E437" s="9" t="s">
        <v>11</v>
      </c>
      <c r="F437" s="10"/>
      <c r="G437" s="9"/>
      <c r="H437" s="26"/>
      <c r="I437" s="9" t="s">
        <v>13</v>
      </c>
      <c r="J437" s="44"/>
    </row>
    <row r="438">
      <c r="A438" s="42" t="s">
        <v>88</v>
      </c>
      <c r="B438" s="11"/>
      <c r="C438" s="8" t="s">
        <v>11</v>
      </c>
      <c r="D438" s="8" t="str">
        <f t="shared" si="1"/>
        <v>-</v>
      </c>
      <c r="E438" s="9" t="s">
        <v>11</v>
      </c>
      <c r="F438" s="10"/>
      <c r="G438" s="9"/>
      <c r="H438" s="26"/>
      <c r="I438" s="9" t="s">
        <v>13</v>
      </c>
      <c r="J438" s="44"/>
    </row>
    <row r="439">
      <c r="A439" s="42" t="s">
        <v>88</v>
      </c>
      <c r="B439" s="11"/>
      <c r="C439" s="8" t="s">
        <v>11</v>
      </c>
      <c r="D439" s="8" t="str">
        <f t="shared" si="1"/>
        <v>-</v>
      </c>
      <c r="E439" s="9" t="s">
        <v>11</v>
      </c>
      <c r="F439" s="10"/>
      <c r="G439" s="9"/>
      <c r="H439" s="26"/>
      <c r="I439" s="9" t="s">
        <v>13</v>
      </c>
      <c r="J439" s="44"/>
    </row>
    <row r="440">
      <c r="A440" s="42" t="s">
        <v>88</v>
      </c>
      <c r="B440" s="11"/>
      <c r="C440" s="8" t="s">
        <v>11</v>
      </c>
      <c r="D440" s="8" t="str">
        <f t="shared" si="1"/>
        <v>-</v>
      </c>
      <c r="E440" s="9" t="s">
        <v>11</v>
      </c>
      <c r="F440" s="10"/>
      <c r="G440" s="9"/>
      <c r="H440" s="26"/>
      <c r="I440" s="9" t="s">
        <v>13</v>
      </c>
      <c r="J440" s="44"/>
    </row>
    <row r="441">
      <c r="A441" s="42" t="s">
        <v>88</v>
      </c>
      <c r="B441" s="11"/>
      <c r="C441" s="8" t="s">
        <v>11</v>
      </c>
      <c r="D441" s="8" t="str">
        <f t="shared" si="1"/>
        <v>-</v>
      </c>
      <c r="E441" s="9" t="s">
        <v>11</v>
      </c>
      <c r="F441" s="10"/>
      <c r="G441" s="9"/>
      <c r="H441" s="26"/>
      <c r="I441" s="9" t="s">
        <v>13</v>
      </c>
      <c r="J441" s="44"/>
    </row>
    <row r="442">
      <c r="A442" s="42" t="s">
        <v>88</v>
      </c>
      <c r="B442" s="11"/>
      <c r="C442" s="8" t="s">
        <v>11</v>
      </c>
      <c r="D442" s="8" t="str">
        <f t="shared" si="1"/>
        <v>-</v>
      </c>
      <c r="E442" s="9" t="s">
        <v>11</v>
      </c>
      <c r="F442" s="10"/>
      <c r="G442" s="9"/>
      <c r="H442" s="26"/>
      <c r="I442" s="9" t="s">
        <v>13</v>
      </c>
      <c r="J442" s="44"/>
    </row>
    <row r="443">
      <c r="A443" s="42" t="s">
        <v>88</v>
      </c>
      <c r="B443" s="11"/>
      <c r="C443" s="8" t="s">
        <v>11</v>
      </c>
      <c r="D443" s="8" t="str">
        <f t="shared" si="1"/>
        <v>-</v>
      </c>
      <c r="E443" s="9" t="s">
        <v>11</v>
      </c>
      <c r="F443" s="10"/>
      <c r="G443" s="9"/>
      <c r="H443" s="26"/>
      <c r="I443" s="9" t="s">
        <v>13</v>
      </c>
      <c r="J443" s="44"/>
    </row>
    <row r="444">
      <c r="A444" s="42" t="s">
        <v>88</v>
      </c>
      <c r="B444" s="11"/>
      <c r="C444" s="8" t="s">
        <v>11</v>
      </c>
      <c r="D444" s="8" t="str">
        <f t="shared" si="1"/>
        <v>-</v>
      </c>
      <c r="E444" s="9" t="s">
        <v>11</v>
      </c>
      <c r="F444" s="10"/>
      <c r="G444" s="9"/>
      <c r="H444" s="26"/>
      <c r="I444" s="9" t="s">
        <v>13</v>
      </c>
      <c r="J444" s="44"/>
    </row>
    <row r="445">
      <c r="A445" s="42" t="s">
        <v>88</v>
      </c>
      <c r="B445" s="11"/>
      <c r="C445" s="8" t="s">
        <v>11</v>
      </c>
      <c r="D445" s="8" t="str">
        <f t="shared" si="1"/>
        <v>-</v>
      </c>
      <c r="E445" s="9" t="s">
        <v>11</v>
      </c>
      <c r="F445" s="10"/>
      <c r="G445" s="9"/>
      <c r="H445" s="26"/>
      <c r="I445" s="9" t="s">
        <v>13</v>
      </c>
      <c r="J445" s="44"/>
    </row>
    <row r="446">
      <c r="A446" s="42" t="s">
        <v>88</v>
      </c>
      <c r="B446" s="11"/>
      <c r="C446" s="8" t="s">
        <v>11</v>
      </c>
      <c r="D446" s="8" t="str">
        <f t="shared" si="1"/>
        <v>-</v>
      </c>
      <c r="E446" s="9" t="s">
        <v>11</v>
      </c>
      <c r="F446" s="10"/>
      <c r="G446" s="9"/>
      <c r="H446" s="26"/>
      <c r="I446" s="9" t="s">
        <v>13</v>
      </c>
      <c r="J446" s="44"/>
    </row>
    <row r="447">
      <c r="A447" s="42" t="s">
        <v>88</v>
      </c>
      <c r="B447" s="11"/>
      <c r="C447" s="8" t="s">
        <v>11</v>
      </c>
      <c r="D447" s="8" t="str">
        <f t="shared" si="1"/>
        <v>-</v>
      </c>
      <c r="E447" s="9" t="s">
        <v>11</v>
      </c>
      <c r="F447" s="10"/>
      <c r="G447" s="9"/>
      <c r="H447" s="26"/>
      <c r="I447" s="9" t="s">
        <v>13</v>
      </c>
      <c r="J447" s="44"/>
    </row>
    <row r="448">
      <c r="A448" s="42" t="s">
        <v>88</v>
      </c>
      <c r="B448" s="11"/>
      <c r="C448" s="8" t="s">
        <v>11</v>
      </c>
      <c r="D448" s="8" t="str">
        <f t="shared" si="1"/>
        <v>-</v>
      </c>
      <c r="E448" s="9" t="s">
        <v>11</v>
      </c>
      <c r="F448" s="10"/>
      <c r="G448" s="9"/>
      <c r="H448" s="26"/>
      <c r="I448" s="9" t="s">
        <v>13</v>
      </c>
      <c r="J448" s="44"/>
    </row>
    <row r="449">
      <c r="A449" s="42" t="s">
        <v>88</v>
      </c>
      <c r="B449" s="11"/>
      <c r="C449" s="8" t="s">
        <v>11</v>
      </c>
      <c r="D449" s="8" t="str">
        <f t="shared" si="1"/>
        <v>-</v>
      </c>
      <c r="E449" s="9" t="s">
        <v>11</v>
      </c>
      <c r="F449" s="10"/>
      <c r="G449" s="9"/>
      <c r="H449" s="26"/>
      <c r="I449" s="9" t="s">
        <v>13</v>
      </c>
      <c r="J449" s="44"/>
    </row>
    <row r="450">
      <c r="A450" s="42" t="s">
        <v>88</v>
      </c>
      <c r="B450" s="11"/>
      <c r="C450" s="8" t="s">
        <v>11</v>
      </c>
      <c r="D450" s="8" t="str">
        <f t="shared" si="1"/>
        <v>-</v>
      </c>
      <c r="E450" s="9" t="s">
        <v>11</v>
      </c>
      <c r="F450" s="10"/>
      <c r="G450" s="9"/>
      <c r="H450" s="26"/>
      <c r="I450" s="9" t="s">
        <v>13</v>
      </c>
      <c r="J450" s="44"/>
    </row>
    <row r="451">
      <c r="A451" s="42" t="s">
        <v>88</v>
      </c>
      <c r="B451" s="11"/>
      <c r="C451" s="8" t="s">
        <v>11</v>
      </c>
      <c r="D451" s="8" t="str">
        <f t="shared" si="1"/>
        <v>-</v>
      </c>
      <c r="E451" s="9" t="s">
        <v>11</v>
      </c>
      <c r="F451" s="10"/>
      <c r="G451" s="9"/>
      <c r="H451" s="26"/>
      <c r="I451" s="9" t="s">
        <v>13</v>
      </c>
      <c r="J451" s="44"/>
    </row>
    <row r="452">
      <c r="A452" s="42" t="s">
        <v>88</v>
      </c>
      <c r="B452" s="11"/>
      <c r="C452" s="8" t="s">
        <v>11</v>
      </c>
      <c r="D452" s="8" t="str">
        <f t="shared" si="1"/>
        <v>-</v>
      </c>
      <c r="E452" s="9" t="s">
        <v>11</v>
      </c>
      <c r="F452" s="10"/>
      <c r="G452" s="9"/>
      <c r="H452" s="26"/>
      <c r="I452" s="9" t="s">
        <v>13</v>
      </c>
      <c r="J452" s="44"/>
    </row>
    <row r="453">
      <c r="A453" s="42" t="s">
        <v>88</v>
      </c>
      <c r="B453" s="11"/>
      <c r="C453" s="8" t="s">
        <v>11</v>
      </c>
      <c r="D453" s="8" t="str">
        <f t="shared" si="1"/>
        <v>-</v>
      </c>
      <c r="E453" s="9" t="s">
        <v>11</v>
      </c>
      <c r="F453" s="10"/>
      <c r="G453" s="9"/>
      <c r="H453" s="26"/>
      <c r="I453" s="9" t="s">
        <v>13</v>
      </c>
      <c r="J453" s="44"/>
    </row>
    <row r="454">
      <c r="A454" s="42" t="s">
        <v>88</v>
      </c>
      <c r="B454" s="11"/>
      <c r="C454" s="8" t="s">
        <v>11</v>
      </c>
      <c r="D454" s="8" t="str">
        <f t="shared" si="1"/>
        <v>-</v>
      </c>
      <c r="E454" s="9" t="s">
        <v>11</v>
      </c>
      <c r="F454" s="10"/>
      <c r="G454" s="9"/>
      <c r="H454" s="26"/>
      <c r="I454" s="9" t="s">
        <v>13</v>
      </c>
      <c r="J454" s="44"/>
    </row>
    <row r="455">
      <c r="A455" s="42" t="s">
        <v>88</v>
      </c>
      <c r="B455" s="11"/>
      <c r="C455" s="8" t="s">
        <v>11</v>
      </c>
      <c r="D455" s="8" t="str">
        <f t="shared" si="1"/>
        <v>-</v>
      </c>
      <c r="E455" s="9" t="s">
        <v>11</v>
      </c>
      <c r="F455" s="10"/>
      <c r="G455" s="9"/>
      <c r="H455" s="26"/>
      <c r="I455" s="9" t="s">
        <v>13</v>
      </c>
      <c r="J455" s="44"/>
    </row>
    <row r="456">
      <c r="A456" s="42" t="s">
        <v>88</v>
      </c>
      <c r="B456" s="11"/>
      <c r="C456" s="8" t="s">
        <v>11</v>
      </c>
      <c r="D456" s="8" t="str">
        <f t="shared" si="1"/>
        <v>-</v>
      </c>
      <c r="E456" s="9" t="s">
        <v>11</v>
      </c>
      <c r="F456" s="10"/>
      <c r="G456" s="9"/>
      <c r="H456" s="26"/>
      <c r="I456" s="9" t="s">
        <v>13</v>
      </c>
      <c r="J456" s="44"/>
    </row>
    <row r="457">
      <c r="A457" s="42" t="s">
        <v>88</v>
      </c>
      <c r="B457" s="11"/>
      <c r="C457" s="8" t="s">
        <v>11</v>
      </c>
      <c r="D457" s="8" t="str">
        <f t="shared" si="1"/>
        <v>-</v>
      </c>
      <c r="E457" s="9" t="s">
        <v>11</v>
      </c>
      <c r="F457" s="10"/>
      <c r="G457" s="9"/>
      <c r="H457" s="26"/>
      <c r="I457" s="9" t="s">
        <v>13</v>
      </c>
      <c r="J457" s="44"/>
    </row>
    <row r="458">
      <c r="A458" s="42" t="s">
        <v>88</v>
      </c>
      <c r="B458" s="11"/>
      <c r="C458" s="8" t="s">
        <v>11</v>
      </c>
      <c r="D458" s="8" t="str">
        <f t="shared" si="1"/>
        <v>-</v>
      </c>
      <c r="E458" s="9" t="s">
        <v>11</v>
      </c>
      <c r="F458" s="10"/>
      <c r="G458" s="9"/>
      <c r="H458" s="26"/>
      <c r="I458" s="9" t="s">
        <v>13</v>
      </c>
      <c r="J458" s="44"/>
    </row>
    <row r="459">
      <c r="A459" s="42" t="s">
        <v>88</v>
      </c>
      <c r="B459" s="11"/>
      <c r="C459" s="8" t="s">
        <v>11</v>
      </c>
      <c r="D459" s="8" t="str">
        <f t="shared" si="1"/>
        <v>-</v>
      </c>
      <c r="E459" s="9" t="s">
        <v>11</v>
      </c>
      <c r="F459" s="10"/>
      <c r="G459" s="9"/>
      <c r="H459" s="26"/>
      <c r="I459" s="9" t="s">
        <v>13</v>
      </c>
      <c r="J459" s="44"/>
    </row>
    <row r="460">
      <c r="A460" s="42" t="s">
        <v>88</v>
      </c>
      <c r="B460" s="11"/>
      <c r="C460" s="8" t="s">
        <v>11</v>
      </c>
      <c r="D460" s="8" t="str">
        <f t="shared" si="1"/>
        <v>-</v>
      </c>
      <c r="E460" s="9" t="s">
        <v>11</v>
      </c>
      <c r="F460" s="10"/>
      <c r="G460" s="9"/>
      <c r="H460" s="26"/>
      <c r="I460" s="9" t="s">
        <v>13</v>
      </c>
      <c r="J460" s="44"/>
    </row>
    <row r="461">
      <c r="A461" s="42" t="s">
        <v>88</v>
      </c>
      <c r="B461" s="11"/>
      <c r="C461" s="8" t="s">
        <v>11</v>
      </c>
      <c r="D461" s="8" t="str">
        <f t="shared" si="1"/>
        <v>-</v>
      </c>
      <c r="E461" s="9" t="s">
        <v>11</v>
      </c>
      <c r="F461" s="10"/>
      <c r="G461" s="9"/>
      <c r="H461" s="26"/>
      <c r="I461" s="9" t="s">
        <v>13</v>
      </c>
      <c r="J461" s="44"/>
    </row>
    <row r="462">
      <c r="A462" s="42" t="s">
        <v>88</v>
      </c>
      <c r="B462" s="11"/>
      <c r="C462" s="8" t="s">
        <v>11</v>
      </c>
      <c r="D462" s="8" t="str">
        <f t="shared" si="1"/>
        <v>-</v>
      </c>
      <c r="E462" s="9" t="s">
        <v>11</v>
      </c>
      <c r="F462" s="10"/>
      <c r="G462" s="9"/>
      <c r="H462" s="26"/>
      <c r="I462" s="9" t="s">
        <v>13</v>
      </c>
      <c r="J462" s="44"/>
    </row>
    <row r="463">
      <c r="A463" s="42" t="s">
        <v>88</v>
      </c>
      <c r="B463" s="11"/>
      <c r="C463" s="8" t="s">
        <v>11</v>
      </c>
      <c r="D463" s="8" t="str">
        <f t="shared" si="1"/>
        <v>-</v>
      </c>
      <c r="E463" s="9" t="s">
        <v>11</v>
      </c>
      <c r="F463" s="10"/>
      <c r="G463" s="9"/>
      <c r="H463" s="26"/>
      <c r="I463" s="9" t="s">
        <v>13</v>
      </c>
      <c r="J463" s="44"/>
    </row>
    <row r="464">
      <c r="A464" s="42" t="s">
        <v>88</v>
      </c>
      <c r="B464" s="11"/>
      <c r="C464" s="8" t="s">
        <v>11</v>
      </c>
      <c r="D464" s="8" t="str">
        <f t="shared" si="1"/>
        <v>-</v>
      </c>
      <c r="E464" s="9" t="s">
        <v>11</v>
      </c>
      <c r="F464" s="10"/>
      <c r="G464" s="9"/>
      <c r="H464" s="26"/>
      <c r="I464" s="9" t="s">
        <v>13</v>
      </c>
      <c r="J464" s="44"/>
    </row>
    <row r="465">
      <c r="A465" s="42" t="s">
        <v>88</v>
      </c>
      <c r="B465" s="11"/>
      <c r="C465" s="8" t="s">
        <v>11</v>
      </c>
      <c r="D465" s="8" t="str">
        <f t="shared" si="1"/>
        <v>-</v>
      </c>
      <c r="E465" s="9" t="s">
        <v>11</v>
      </c>
      <c r="F465" s="10"/>
      <c r="G465" s="9"/>
      <c r="H465" s="26"/>
      <c r="I465" s="9" t="s">
        <v>13</v>
      </c>
      <c r="J465" s="44"/>
    </row>
    <row r="466">
      <c r="A466" s="42" t="s">
        <v>88</v>
      </c>
      <c r="B466" s="11"/>
      <c r="C466" s="8" t="s">
        <v>11</v>
      </c>
      <c r="D466" s="8" t="str">
        <f t="shared" si="1"/>
        <v>-</v>
      </c>
      <c r="E466" s="9" t="s">
        <v>11</v>
      </c>
      <c r="F466" s="10"/>
      <c r="G466" s="9"/>
      <c r="H466" s="26"/>
      <c r="I466" s="9" t="s">
        <v>13</v>
      </c>
      <c r="J466" s="44"/>
    </row>
    <row r="467">
      <c r="A467" s="42" t="s">
        <v>88</v>
      </c>
      <c r="B467" s="11"/>
      <c r="C467" s="8" t="s">
        <v>11</v>
      </c>
      <c r="D467" s="8" t="str">
        <f t="shared" si="1"/>
        <v>-</v>
      </c>
      <c r="E467" s="9" t="s">
        <v>11</v>
      </c>
      <c r="F467" s="10"/>
      <c r="G467" s="9"/>
      <c r="H467" s="26"/>
      <c r="I467" s="9" t="s">
        <v>13</v>
      </c>
      <c r="J467" s="44"/>
    </row>
    <row r="468">
      <c r="A468" s="42" t="s">
        <v>88</v>
      </c>
      <c r="B468" s="11"/>
      <c r="C468" s="8" t="s">
        <v>11</v>
      </c>
      <c r="D468" s="8" t="str">
        <f t="shared" si="1"/>
        <v>-</v>
      </c>
      <c r="E468" s="9" t="s">
        <v>11</v>
      </c>
      <c r="F468" s="10"/>
      <c r="G468" s="9"/>
      <c r="H468" s="26"/>
      <c r="I468" s="9" t="s">
        <v>13</v>
      </c>
      <c r="J468" s="44"/>
    </row>
    <row r="469">
      <c r="A469" s="42" t="s">
        <v>88</v>
      </c>
      <c r="B469" s="11"/>
      <c r="C469" s="8" t="s">
        <v>11</v>
      </c>
      <c r="D469" s="8" t="str">
        <f t="shared" si="1"/>
        <v>-</v>
      </c>
      <c r="E469" s="9" t="s">
        <v>11</v>
      </c>
      <c r="F469" s="10"/>
      <c r="G469" s="9"/>
      <c r="H469" s="26"/>
      <c r="I469" s="9" t="s">
        <v>13</v>
      </c>
      <c r="J469" s="44"/>
    </row>
    <row r="470">
      <c r="A470" s="42" t="s">
        <v>88</v>
      </c>
      <c r="B470" s="11"/>
      <c r="C470" s="8" t="s">
        <v>11</v>
      </c>
      <c r="D470" s="8" t="str">
        <f t="shared" si="1"/>
        <v>-</v>
      </c>
      <c r="E470" s="9" t="s">
        <v>11</v>
      </c>
      <c r="F470" s="10"/>
      <c r="G470" s="9"/>
      <c r="H470" s="26"/>
      <c r="I470" s="9" t="s">
        <v>13</v>
      </c>
      <c r="J470" s="44"/>
    </row>
    <row r="471">
      <c r="A471" s="42" t="s">
        <v>88</v>
      </c>
      <c r="B471" s="11"/>
      <c r="C471" s="8" t="s">
        <v>11</v>
      </c>
      <c r="D471" s="8" t="str">
        <f t="shared" si="1"/>
        <v>-</v>
      </c>
      <c r="E471" s="9" t="s">
        <v>11</v>
      </c>
      <c r="F471" s="10"/>
      <c r="G471" s="9"/>
      <c r="H471" s="26"/>
      <c r="I471" s="9" t="s">
        <v>13</v>
      </c>
      <c r="J471" s="44"/>
    </row>
    <row r="472">
      <c r="A472" s="42" t="s">
        <v>88</v>
      </c>
      <c r="B472" s="11"/>
      <c r="C472" s="8" t="s">
        <v>11</v>
      </c>
      <c r="D472" s="8" t="str">
        <f t="shared" si="1"/>
        <v>-</v>
      </c>
      <c r="E472" s="9" t="s">
        <v>11</v>
      </c>
      <c r="F472" s="10"/>
      <c r="G472" s="9"/>
      <c r="H472" s="26"/>
      <c r="I472" s="9" t="s">
        <v>13</v>
      </c>
      <c r="J472" s="44"/>
    </row>
    <row r="473">
      <c r="A473" s="42" t="s">
        <v>88</v>
      </c>
      <c r="B473" s="11"/>
      <c r="C473" s="8" t="s">
        <v>11</v>
      </c>
      <c r="D473" s="8" t="str">
        <f t="shared" si="1"/>
        <v>-</v>
      </c>
      <c r="E473" s="9" t="s">
        <v>11</v>
      </c>
      <c r="F473" s="10"/>
      <c r="G473" s="9"/>
      <c r="H473" s="26"/>
      <c r="I473" s="9" t="s">
        <v>13</v>
      </c>
      <c r="J473" s="44"/>
    </row>
    <row r="474">
      <c r="A474" s="42" t="s">
        <v>88</v>
      </c>
      <c r="B474" s="11"/>
      <c r="C474" s="8" t="s">
        <v>11</v>
      </c>
      <c r="D474" s="8" t="str">
        <f t="shared" si="1"/>
        <v>-</v>
      </c>
      <c r="E474" s="9" t="s">
        <v>11</v>
      </c>
      <c r="F474" s="10"/>
      <c r="G474" s="9"/>
      <c r="H474" s="26"/>
      <c r="I474" s="9" t="s">
        <v>13</v>
      </c>
      <c r="J474" s="44"/>
    </row>
    <row r="475">
      <c r="A475" s="42" t="s">
        <v>88</v>
      </c>
      <c r="B475" s="11"/>
      <c r="C475" s="8" t="s">
        <v>11</v>
      </c>
      <c r="D475" s="8" t="str">
        <f t="shared" si="1"/>
        <v>-</v>
      </c>
      <c r="E475" s="9" t="s">
        <v>11</v>
      </c>
      <c r="F475" s="10"/>
      <c r="G475" s="9"/>
      <c r="H475" s="26"/>
      <c r="I475" s="9" t="s">
        <v>13</v>
      </c>
      <c r="J475" s="44"/>
    </row>
    <row r="476">
      <c r="A476" s="42" t="s">
        <v>88</v>
      </c>
      <c r="B476" s="11"/>
      <c r="C476" s="8" t="s">
        <v>11</v>
      </c>
      <c r="D476" s="8" t="str">
        <f t="shared" si="1"/>
        <v>-</v>
      </c>
      <c r="E476" s="9" t="s">
        <v>11</v>
      </c>
      <c r="F476" s="10"/>
      <c r="G476" s="9"/>
      <c r="H476" s="26"/>
      <c r="I476" s="9" t="s">
        <v>13</v>
      </c>
      <c r="J476" s="44"/>
    </row>
    <row r="477">
      <c r="A477" s="42" t="s">
        <v>88</v>
      </c>
      <c r="B477" s="11"/>
      <c r="C477" s="8" t="s">
        <v>11</v>
      </c>
      <c r="D477" s="8" t="str">
        <f t="shared" si="1"/>
        <v>-</v>
      </c>
      <c r="E477" s="9" t="s">
        <v>11</v>
      </c>
      <c r="F477" s="10"/>
      <c r="G477" s="9"/>
      <c r="H477" s="26"/>
      <c r="I477" s="9" t="s">
        <v>13</v>
      </c>
      <c r="J477" s="44"/>
    </row>
    <row r="478">
      <c r="A478" s="42" t="s">
        <v>88</v>
      </c>
      <c r="B478" s="11"/>
      <c r="C478" s="8" t="s">
        <v>11</v>
      </c>
      <c r="D478" s="8" t="str">
        <f t="shared" si="1"/>
        <v>-</v>
      </c>
      <c r="E478" s="9" t="s">
        <v>11</v>
      </c>
      <c r="F478" s="10"/>
      <c r="G478" s="9"/>
      <c r="H478" s="26"/>
      <c r="I478" s="9" t="s">
        <v>13</v>
      </c>
      <c r="J478" s="44"/>
    </row>
    <row r="479">
      <c r="A479" s="42" t="s">
        <v>88</v>
      </c>
      <c r="B479" s="11"/>
      <c r="C479" s="8" t="s">
        <v>11</v>
      </c>
      <c r="D479" s="8" t="str">
        <f t="shared" si="1"/>
        <v>-</v>
      </c>
      <c r="E479" s="9" t="s">
        <v>11</v>
      </c>
      <c r="F479" s="10"/>
      <c r="G479" s="9"/>
      <c r="H479" s="26"/>
      <c r="I479" s="9" t="s">
        <v>13</v>
      </c>
      <c r="J479" s="44"/>
    </row>
    <row r="480">
      <c r="A480" s="42" t="s">
        <v>88</v>
      </c>
      <c r="B480" s="11"/>
      <c r="C480" s="8" t="s">
        <v>11</v>
      </c>
      <c r="D480" s="8" t="str">
        <f t="shared" si="1"/>
        <v>-</v>
      </c>
      <c r="E480" s="9" t="s">
        <v>11</v>
      </c>
      <c r="F480" s="10"/>
      <c r="G480" s="9"/>
      <c r="H480" s="26"/>
      <c r="I480" s="9" t="s">
        <v>13</v>
      </c>
      <c r="J480" s="44"/>
    </row>
    <row r="481">
      <c r="A481" s="42" t="s">
        <v>88</v>
      </c>
      <c r="B481" s="11"/>
      <c r="C481" s="8" t="s">
        <v>11</v>
      </c>
      <c r="D481" s="8" t="str">
        <f t="shared" si="1"/>
        <v>-</v>
      </c>
      <c r="E481" s="9" t="s">
        <v>11</v>
      </c>
      <c r="F481" s="10"/>
      <c r="G481" s="9"/>
      <c r="H481" s="26"/>
      <c r="I481" s="9" t="s">
        <v>13</v>
      </c>
      <c r="J481" s="44"/>
    </row>
    <row r="482">
      <c r="A482" s="42" t="s">
        <v>88</v>
      </c>
      <c r="B482" s="11"/>
      <c r="C482" s="8" t="s">
        <v>11</v>
      </c>
      <c r="D482" s="8" t="str">
        <f t="shared" si="1"/>
        <v>-</v>
      </c>
      <c r="E482" s="9" t="s">
        <v>11</v>
      </c>
      <c r="F482" s="10"/>
      <c r="G482" s="9"/>
      <c r="H482" s="26"/>
      <c r="I482" s="9" t="s">
        <v>13</v>
      </c>
      <c r="J482" s="44"/>
    </row>
    <row r="483">
      <c r="A483" s="42" t="s">
        <v>88</v>
      </c>
      <c r="B483" s="11"/>
      <c r="C483" s="8" t="s">
        <v>11</v>
      </c>
      <c r="D483" s="8" t="str">
        <f t="shared" si="1"/>
        <v>-</v>
      </c>
      <c r="E483" s="9" t="s">
        <v>11</v>
      </c>
      <c r="F483" s="10"/>
      <c r="G483" s="9"/>
      <c r="H483" s="26"/>
      <c r="I483" s="9" t="s">
        <v>13</v>
      </c>
      <c r="J483" s="44"/>
    </row>
    <row r="484">
      <c r="A484" s="42" t="s">
        <v>88</v>
      </c>
      <c r="B484" s="11"/>
      <c r="C484" s="8" t="s">
        <v>11</v>
      </c>
      <c r="D484" s="8" t="str">
        <f t="shared" si="1"/>
        <v>-</v>
      </c>
      <c r="E484" s="9" t="s">
        <v>11</v>
      </c>
      <c r="F484" s="10"/>
      <c r="G484" s="9"/>
      <c r="H484" s="26"/>
      <c r="I484" s="9" t="s">
        <v>13</v>
      </c>
      <c r="J484" s="44"/>
    </row>
    <row r="485">
      <c r="A485" s="42" t="s">
        <v>88</v>
      </c>
      <c r="B485" s="11"/>
      <c r="C485" s="8" t="s">
        <v>11</v>
      </c>
      <c r="D485" s="8" t="str">
        <f t="shared" si="1"/>
        <v>-</v>
      </c>
      <c r="E485" s="9" t="s">
        <v>11</v>
      </c>
      <c r="F485" s="10"/>
      <c r="G485" s="9"/>
      <c r="H485" s="26"/>
      <c r="I485" s="9" t="s">
        <v>13</v>
      </c>
      <c r="J485" s="44"/>
    </row>
    <row r="486">
      <c r="A486" s="42" t="s">
        <v>88</v>
      </c>
      <c r="B486" s="11"/>
      <c r="C486" s="8" t="s">
        <v>11</v>
      </c>
      <c r="D486" s="8" t="str">
        <f t="shared" si="1"/>
        <v>-</v>
      </c>
      <c r="E486" s="9" t="s">
        <v>11</v>
      </c>
      <c r="F486" s="10"/>
      <c r="G486" s="9"/>
      <c r="H486" s="26"/>
      <c r="I486" s="9" t="s">
        <v>13</v>
      </c>
      <c r="J486" s="44"/>
    </row>
    <row r="487">
      <c r="A487" s="42" t="s">
        <v>88</v>
      </c>
      <c r="B487" s="11"/>
      <c r="C487" s="8" t="s">
        <v>11</v>
      </c>
      <c r="D487" s="8" t="str">
        <f t="shared" si="1"/>
        <v>-</v>
      </c>
      <c r="E487" s="9" t="s">
        <v>11</v>
      </c>
      <c r="F487" s="10"/>
      <c r="G487" s="9"/>
      <c r="H487" s="26"/>
      <c r="I487" s="9" t="s">
        <v>13</v>
      </c>
      <c r="J487" s="44"/>
    </row>
    <row r="488">
      <c r="A488" s="42" t="s">
        <v>88</v>
      </c>
      <c r="B488" s="11"/>
      <c r="C488" s="8" t="s">
        <v>11</v>
      </c>
      <c r="D488" s="8" t="str">
        <f t="shared" si="1"/>
        <v>-</v>
      </c>
      <c r="E488" s="9" t="s">
        <v>11</v>
      </c>
      <c r="F488" s="10"/>
      <c r="G488" s="9"/>
      <c r="H488" s="26"/>
      <c r="I488" s="9" t="s">
        <v>13</v>
      </c>
      <c r="J488" s="44"/>
    </row>
    <row r="489">
      <c r="A489" s="42" t="s">
        <v>88</v>
      </c>
      <c r="B489" s="11"/>
      <c r="C489" s="8" t="s">
        <v>11</v>
      </c>
      <c r="D489" s="8" t="str">
        <f t="shared" si="1"/>
        <v>-</v>
      </c>
      <c r="E489" s="9" t="s">
        <v>11</v>
      </c>
      <c r="F489" s="10"/>
      <c r="G489" s="9"/>
      <c r="H489" s="26"/>
      <c r="I489" s="9" t="s">
        <v>13</v>
      </c>
      <c r="J489" s="44"/>
    </row>
    <row r="490">
      <c r="A490" s="42" t="s">
        <v>88</v>
      </c>
      <c r="B490" s="11"/>
      <c r="C490" s="8" t="s">
        <v>11</v>
      </c>
      <c r="D490" s="8" t="str">
        <f t="shared" si="1"/>
        <v>-</v>
      </c>
      <c r="E490" s="9" t="s">
        <v>11</v>
      </c>
      <c r="F490" s="10"/>
      <c r="G490" s="9"/>
      <c r="H490" s="26"/>
      <c r="I490" s="9" t="s">
        <v>13</v>
      </c>
      <c r="J490" s="44"/>
    </row>
    <row r="491">
      <c r="A491" s="42" t="s">
        <v>88</v>
      </c>
      <c r="B491" s="11"/>
      <c r="C491" s="8" t="s">
        <v>11</v>
      </c>
      <c r="D491" s="8" t="str">
        <f t="shared" si="1"/>
        <v>-</v>
      </c>
      <c r="E491" s="9" t="s">
        <v>11</v>
      </c>
      <c r="F491" s="10"/>
      <c r="G491" s="9"/>
      <c r="H491" s="26"/>
      <c r="I491" s="9" t="s">
        <v>13</v>
      </c>
      <c r="J491" s="44"/>
    </row>
    <row r="492">
      <c r="A492" s="42" t="s">
        <v>88</v>
      </c>
      <c r="B492" s="11"/>
      <c r="C492" s="8" t="s">
        <v>11</v>
      </c>
      <c r="D492" s="8" t="str">
        <f t="shared" si="1"/>
        <v>-</v>
      </c>
      <c r="E492" s="9" t="s">
        <v>11</v>
      </c>
      <c r="F492" s="10"/>
      <c r="G492" s="9"/>
      <c r="H492" s="26"/>
      <c r="I492" s="9" t="s">
        <v>13</v>
      </c>
      <c r="J492" s="44"/>
    </row>
    <row r="493">
      <c r="A493" s="42" t="s">
        <v>88</v>
      </c>
      <c r="B493" s="11"/>
      <c r="C493" s="8" t="s">
        <v>11</v>
      </c>
      <c r="D493" s="8" t="str">
        <f t="shared" si="1"/>
        <v>-</v>
      </c>
      <c r="E493" s="9" t="s">
        <v>11</v>
      </c>
      <c r="F493" s="10"/>
      <c r="G493" s="9"/>
      <c r="H493" s="26"/>
      <c r="I493" s="9" t="s">
        <v>13</v>
      </c>
      <c r="J493" s="44"/>
    </row>
    <row r="494">
      <c r="A494" s="42" t="s">
        <v>88</v>
      </c>
      <c r="B494" s="11"/>
      <c r="C494" s="8" t="s">
        <v>11</v>
      </c>
      <c r="D494" s="8" t="str">
        <f t="shared" si="1"/>
        <v>-</v>
      </c>
      <c r="E494" s="9" t="s">
        <v>11</v>
      </c>
      <c r="F494" s="10"/>
      <c r="G494" s="9"/>
      <c r="H494" s="26"/>
      <c r="I494" s="9" t="s">
        <v>13</v>
      </c>
      <c r="J494" s="44"/>
    </row>
    <row r="495">
      <c r="A495" s="42" t="s">
        <v>88</v>
      </c>
      <c r="B495" s="11"/>
      <c r="C495" s="8" t="s">
        <v>11</v>
      </c>
      <c r="D495" s="8" t="str">
        <f t="shared" si="1"/>
        <v>-</v>
      </c>
      <c r="E495" s="9" t="s">
        <v>11</v>
      </c>
      <c r="F495" s="10"/>
      <c r="G495" s="9"/>
      <c r="H495" s="26"/>
      <c r="I495" s="9" t="s">
        <v>13</v>
      </c>
      <c r="J495" s="44"/>
    </row>
    <row r="496">
      <c r="A496" s="42" t="s">
        <v>88</v>
      </c>
      <c r="B496" s="11"/>
      <c r="C496" s="8" t="s">
        <v>11</v>
      </c>
      <c r="D496" s="8" t="str">
        <f t="shared" si="1"/>
        <v>-</v>
      </c>
      <c r="E496" s="9" t="s">
        <v>11</v>
      </c>
      <c r="F496" s="10"/>
      <c r="G496" s="9"/>
      <c r="H496" s="26"/>
      <c r="I496" s="9" t="s">
        <v>13</v>
      </c>
      <c r="J496" s="44"/>
    </row>
    <row r="497">
      <c r="A497" s="42" t="s">
        <v>88</v>
      </c>
      <c r="B497" s="11"/>
      <c r="C497" s="8" t="s">
        <v>11</v>
      </c>
      <c r="D497" s="8" t="str">
        <f t="shared" si="1"/>
        <v>-</v>
      </c>
      <c r="E497" s="9" t="s">
        <v>11</v>
      </c>
      <c r="F497" s="10"/>
      <c r="G497" s="9"/>
      <c r="H497" s="26"/>
      <c r="I497" s="9" t="s">
        <v>13</v>
      </c>
      <c r="J497" s="44"/>
    </row>
    <row r="498">
      <c r="A498" s="42" t="s">
        <v>88</v>
      </c>
      <c r="B498" s="11"/>
      <c r="C498" s="8" t="s">
        <v>11</v>
      </c>
      <c r="D498" s="8" t="str">
        <f t="shared" si="1"/>
        <v>-</v>
      </c>
      <c r="E498" s="9" t="s">
        <v>11</v>
      </c>
      <c r="F498" s="10"/>
      <c r="G498" s="9"/>
      <c r="H498" s="26"/>
      <c r="I498" s="9" t="s">
        <v>13</v>
      </c>
      <c r="J498" s="44"/>
    </row>
    <row r="499">
      <c r="A499" s="42" t="s">
        <v>88</v>
      </c>
      <c r="B499" s="11"/>
      <c r="C499" s="8" t="s">
        <v>11</v>
      </c>
      <c r="D499" s="8" t="str">
        <f t="shared" si="1"/>
        <v>-</v>
      </c>
      <c r="E499" s="9" t="s">
        <v>11</v>
      </c>
      <c r="F499" s="10"/>
      <c r="G499" s="9"/>
      <c r="H499" s="26"/>
      <c r="I499" s="9" t="s">
        <v>13</v>
      </c>
      <c r="J499" s="44"/>
    </row>
    <row r="500">
      <c r="A500" s="42" t="s">
        <v>88</v>
      </c>
      <c r="B500" s="11"/>
      <c r="C500" s="8" t="s">
        <v>11</v>
      </c>
      <c r="D500" s="8" t="str">
        <f t="shared" si="1"/>
        <v>-</v>
      </c>
      <c r="E500" s="9" t="s">
        <v>11</v>
      </c>
      <c r="F500" s="10"/>
      <c r="G500" s="9"/>
      <c r="H500" s="26"/>
      <c r="I500" s="9" t="s">
        <v>13</v>
      </c>
      <c r="J500" s="44"/>
    </row>
    <row r="501">
      <c r="A501" s="42" t="s">
        <v>88</v>
      </c>
      <c r="B501" s="11"/>
      <c r="C501" s="8" t="s">
        <v>11</v>
      </c>
      <c r="D501" s="8" t="str">
        <f t="shared" si="1"/>
        <v>-</v>
      </c>
      <c r="E501" s="9" t="s">
        <v>11</v>
      </c>
      <c r="F501" s="10"/>
      <c r="G501" s="9"/>
      <c r="H501" s="26"/>
      <c r="I501" s="9" t="s">
        <v>13</v>
      </c>
      <c r="J501" s="44"/>
    </row>
    <row r="502">
      <c r="A502" s="42" t="s">
        <v>88</v>
      </c>
      <c r="B502" s="11"/>
      <c r="C502" s="8" t="s">
        <v>11</v>
      </c>
      <c r="D502" s="8" t="str">
        <f t="shared" si="1"/>
        <v>-</v>
      </c>
      <c r="E502" s="9" t="s">
        <v>11</v>
      </c>
      <c r="F502" s="10"/>
      <c r="G502" s="9"/>
      <c r="H502" s="26"/>
      <c r="I502" s="9" t="s">
        <v>13</v>
      </c>
      <c r="J502" s="44"/>
    </row>
    <row r="503">
      <c r="A503" s="42" t="s">
        <v>88</v>
      </c>
      <c r="B503" s="11"/>
      <c r="C503" s="8" t="s">
        <v>11</v>
      </c>
      <c r="D503" s="8" t="str">
        <f t="shared" si="1"/>
        <v>-</v>
      </c>
      <c r="E503" s="9" t="s">
        <v>11</v>
      </c>
      <c r="F503" s="10"/>
      <c r="G503" s="9"/>
      <c r="H503" s="26"/>
      <c r="I503" s="9" t="s">
        <v>13</v>
      </c>
      <c r="J503" s="44"/>
    </row>
    <row r="504">
      <c r="A504" s="42" t="s">
        <v>88</v>
      </c>
      <c r="B504" s="11"/>
      <c r="C504" s="8" t="s">
        <v>11</v>
      </c>
      <c r="D504" s="8" t="str">
        <f t="shared" si="1"/>
        <v>-</v>
      </c>
      <c r="E504" s="9" t="s">
        <v>11</v>
      </c>
      <c r="F504" s="10"/>
      <c r="G504" s="9"/>
      <c r="H504" s="26"/>
      <c r="I504" s="9" t="s">
        <v>13</v>
      </c>
      <c r="J504" s="44"/>
    </row>
    <row r="505">
      <c r="A505" s="42" t="s">
        <v>88</v>
      </c>
      <c r="B505" s="11"/>
      <c r="C505" s="8" t="s">
        <v>11</v>
      </c>
      <c r="D505" s="8" t="str">
        <f t="shared" si="1"/>
        <v>-</v>
      </c>
      <c r="E505" s="9" t="s">
        <v>11</v>
      </c>
      <c r="F505" s="10"/>
      <c r="G505" s="9"/>
      <c r="H505" s="26"/>
      <c r="I505" s="9" t="s">
        <v>13</v>
      </c>
      <c r="J505" s="44"/>
    </row>
    <row r="506">
      <c r="A506" s="42" t="s">
        <v>88</v>
      </c>
      <c r="B506" s="11"/>
      <c r="C506" s="8" t="s">
        <v>11</v>
      </c>
      <c r="D506" s="8" t="str">
        <f t="shared" si="1"/>
        <v>-</v>
      </c>
      <c r="E506" s="9" t="s">
        <v>11</v>
      </c>
      <c r="F506" s="10"/>
      <c r="G506" s="9"/>
      <c r="H506" s="26"/>
      <c r="I506" s="9" t="s">
        <v>13</v>
      </c>
      <c r="J506" s="44"/>
    </row>
    <row r="507">
      <c r="A507" s="42" t="s">
        <v>88</v>
      </c>
      <c r="B507" s="11"/>
      <c r="C507" s="8" t="s">
        <v>11</v>
      </c>
      <c r="D507" s="8" t="str">
        <f t="shared" si="1"/>
        <v>-</v>
      </c>
      <c r="E507" s="9" t="s">
        <v>11</v>
      </c>
      <c r="F507" s="10"/>
      <c r="G507" s="9"/>
      <c r="H507" s="26"/>
      <c r="I507" s="9" t="s">
        <v>13</v>
      </c>
      <c r="J507" s="44"/>
    </row>
    <row r="508">
      <c r="A508" s="42" t="s">
        <v>88</v>
      </c>
      <c r="B508" s="11"/>
      <c r="C508" s="8" t="s">
        <v>11</v>
      </c>
      <c r="D508" s="8" t="str">
        <f t="shared" si="1"/>
        <v>-</v>
      </c>
      <c r="E508" s="9" t="s">
        <v>11</v>
      </c>
      <c r="F508" s="10"/>
      <c r="G508" s="9"/>
      <c r="H508" s="26"/>
      <c r="I508" s="9" t="s">
        <v>13</v>
      </c>
      <c r="J508" s="44"/>
    </row>
    <row r="509">
      <c r="A509" s="42" t="s">
        <v>88</v>
      </c>
      <c r="B509" s="11"/>
      <c r="C509" s="8" t="s">
        <v>11</v>
      </c>
      <c r="D509" s="8" t="str">
        <f t="shared" si="1"/>
        <v>-</v>
      </c>
      <c r="E509" s="9" t="s">
        <v>11</v>
      </c>
      <c r="F509" s="10"/>
      <c r="G509" s="9"/>
      <c r="H509" s="26"/>
      <c r="I509" s="9" t="s">
        <v>13</v>
      </c>
      <c r="J509" s="44"/>
    </row>
    <row r="510">
      <c r="A510" s="42" t="s">
        <v>88</v>
      </c>
      <c r="B510" s="11"/>
      <c r="C510" s="8" t="s">
        <v>11</v>
      </c>
      <c r="D510" s="8" t="str">
        <f t="shared" si="1"/>
        <v>-</v>
      </c>
      <c r="E510" s="9" t="s">
        <v>11</v>
      </c>
      <c r="F510" s="10"/>
      <c r="G510" s="9"/>
      <c r="H510" s="26"/>
      <c r="I510" s="9" t="s">
        <v>13</v>
      </c>
      <c r="J510" s="44"/>
    </row>
    <row r="511">
      <c r="A511" s="42" t="s">
        <v>88</v>
      </c>
      <c r="B511" s="11"/>
      <c r="C511" s="8" t="s">
        <v>11</v>
      </c>
      <c r="D511" s="8" t="str">
        <f t="shared" si="1"/>
        <v>-</v>
      </c>
      <c r="E511" s="9" t="s">
        <v>11</v>
      </c>
      <c r="F511" s="10"/>
      <c r="G511" s="9"/>
      <c r="H511" s="26"/>
      <c r="I511" s="9" t="s">
        <v>13</v>
      </c>
      <c r="J511" s="44"/>
    </row>
    <row r="512">
      <c r="A512" s="42" t="s">
        <v>88</v>
      </c>
      <c r="B512" s="11"/>
      <c r="C512" s="8" t="s">
        <v>11</v>
      </c>
      <c r="D512" s="8" t="str">
        <f t="shared" si="1"/>
        <v>-</v>
      </c>
      <c r="E512" s="9" t="s">
        <v>11</v>
      </c>
      <c r="F512" s="10"/>
      <c r="G512" s="9"/>
      <c r="H512" s="26"/>
      <c r="I512" s="9" t="s">
        <v>13</v>
      </c>
      <c r="J512" s="44"/>
    </row>
    <row r="513">
      <c r="A513" s="42" t="s">
        <v>88</v>
      </c>
      <c r="B513" s="11"/>
      <c r="C513" s="8" t="s">
        <v>11</v>
      </c>
      <c r="D513" s="8" t="str">
        <f t="shared" si="1"/>
        <v>-</v>
      </c>
      <c r="E513" s="9" t="s">
        <v>11</v>
      </c>
      <c r="F513" s="10"/>
      <c r="G513" s="9"/>
      <c r="H513" s="26"/>
      <c r="I513" s="9" t="s">
        <v>13</v>
      </c>
      <c r="J513" s="44"/>
    </row>
    <row r="514">
      <c r="A514" s="42" t="s">
        <v>88</v>
      </c>
      <c r="B514" s="11"/>
      <c r="C514" s="8" t="s">
        <v>11</v>
      </c>
      <c r="D514" s="8" t="str">
        <f t="shared" si="1"/>
        <v>-</v>
      </c>
      <c r="E514" s="9" t="s">
        <v>11</v>
      </c>
      <c r="F514" s="10"/>
      <c r="G514" s="9"/>
      <c r="H514" s="26"/>
      <c r="I514" s="9" t="s">
        <v>13</v>
      </c>
      <c r="J514" s="44"/>
    </row>
    <row r="515">
      <c r="A515" s="42" t="s">
        <v>88</v>
      </c>
      <c r="B515" s="11"/>
      <c r="C515" s="8" t="s">
        <v>11</v>
      </c>
      <c r="D515" s="8" t="str">
        <f t="shared" si="1"/>
        <v>-</v>
      </c>
      <c r="E515" s="9" t="s">
        <v>11</v>
      </c>
      <c r="F515" s="10"/>
      <c r="G515" s="9"/>
      <c r="H515" s="26"/>
      <c r="I515" s="9" t="s">
        <v>13</v>
      </c>
      <c r="J515" s="44"/>
    </row>
    <row r="516">
      <c r="A516" s="42" t="s">
        <v>88</v>
      </c>
      <c r="B516" s="11"/>
      <c r="C516" s="8" t="s">
        <v>11</v>
      </c>
      <c r="D516" s="8" t="str">
        <f t="shared" si="1"/>
        <v>-</v>
      </c>
      <c r="E516" s="9" t="s">
        <v>11</v>
      </c>
      <c r="F516" s="10"/>
      <c r="G516" s="9"/>
      <c r="H516" s="26"/>
      <c r="I516" s="9" t="s">
        <v>13</v>
      </c>
      <c r="J516" s="44"/>
    </row>
    <row r="517">
      <c r="A517" s="42" t="s">
        <v>88</v>
      </c>
      <c r="B517" s="11"/>
      <c r="C517" s="8" t="s">
        <v>11</v>
      </c>
      <c r="D517" s="8" t="str">
        <f t="shared" si="1"/>
        <v>-</v>
      </c>
      <c r="E517" s="9" t="s">
        <v>11</v>
      </c>
      <c r="F517" s="10"/>
      <c r="G517" s="9"/>
      <c r="H517" s="26"/>
      <c r="I517" s="9" t="s">
        <v>13</v>
      </c>
      <c r="J517" s="44"/>
    </row>
    <row r="518">
      <c r="A518" s="42" t="s">
        <v>88</v>
      </c>
      <c r="B518" s="11"/>
      <c r="C518" s="8" t="s">
        <v>11</v>
      </c>
      <c r="D518" s="8" t="str">
        <f t="shared" si="1"/>
        <v>-</v>
      </c>
      <c r="E518" s="9" t="s">
        <v>11</v>
      </c>
      <c r="F518" s="10"/>
      <c r="G518" s="9"/>
      <c r="H518" s="26"/>
      <c r="I518" s="9" t="s">
        <v>13</v>
      </c>
      <c r="J518" s="44"/>
    </row>
    <row r="519">
      <c r="A519" s="42" t="s">
        <v>88</v>
      </c>
      <c r="B519" s="11"/>
      <c r="C519" s="8" t="s">
        <v>11</v>
      </c>
      <c r="D519" s="8" t="str">
        <f t="shared" si="1"/>
        <v>-</v>
      </c>
      <c r="E519" s="9" t="s">
        <v>11</v>
      </c>
      <c r="F519" s="10"/>
      <c r="G519" s="9"/>
      <c r="H519" s="26"/>
      <c r="I519" s="9" t="s">
        <v>13</v>
      </c>
      <c r="J519" s="44"/>
    </row>
    <row r="520">
      <c r="A520" s="42" t="s">
        <v>88</v>
      </c>
      <c r="B520" s="11"/>
      <c r="C520" s="8" t="s">
        <v>11</v>
      </c>
      <c r="D520" s="8" t="str">
        <f t="shared" si="1"/>
        <v>-</v>
      </c>
      <c r="E520" s="9" t="s">
        <v>11</v>
      </c>
      <c r="F520" s="10"/>
      <c r="G520" s="9"/>
      <c r="H520" s="26"/>
      <c r="I520" s="9" t="s">
        <v>13</v>
      </c>
      <c r="J520" s="44"/>
    </row>
    <row r="521">
      <c r="A521" s="42" t="s">
        <v>88</v>
      </c>
      <c r="B521" s="11"/>
      <c r="C521" s="8" t="s">
        <v>11</v>
      </c>
      <c r="D521" s="8" t="str">
        <f t="shared" si="1"/>
        <v>-</v>
      </c>
      <c r="E521" s="9" t="s">
        <v>11</v>
      </c>
      <c r="F521" s="10"/>
      <c r="G521" s="9"/>
      <c r="H521" s="26"/>
      <c r="I521" s="9" t="s">
        <v>13</v>
      </c>
      <c r="J521" s="44"/>
    </row>
    <row r="522">
      <c r="A522" s="42" t="s">
        <v>88</v>
      </c>
      <c r="B522" s="11"/>
      <c r="C522" s="8" t="s">
        <v>11</v>
      </c>
      <c r="D522" s="8" t="str">
        <f t="shared" si="1"/>
        <v>-</v>
      </c>
      <c r="E522" s="9" t="s">
        <v>11</v>
      </c>
      <c r="F522" s="10"/>
      <c r="G522" s="9"/>
      <c r="H522" s="26"/>
      <c r="I522" s="9" t="s">
        <v>13</v>
      </c>
      <c r="J522" s="44"/>
    </row>
    <row r="523">
      <c r="A523" s="42" t="s">
        <v>88</v>
      </c>
      <c r="B523" s="11"/>
      <c r="C523" s="8" t="s">
        <v>11</v>
      </c>
      <c r="D523" s="8" t="str">
        <f t="shared" si="1"/>
        <v>-</v>
      </c>
      <c r="E523" s="9" t="s">
        <v>11</v>
      </c>
      <c r="F523" s="10"/>
      <c r="G523" s="9"/>
      <c r="H523" s="26"/>
      <c r="I523" s="9" t="s">
        <v>13</v>
      </c>
      <c r="J523" s="44"/>
    </row>
    <row r="524">
      <c r="A524" s="42" t="s">
        <v>88</v>
      </c>
      <c r="B524" s="11"/>
      <c r="C524" s="8" t="s">
        <v>11</v>
      </c>
      <c r="D524" s="8" t="str">
        <f t="shared" si="1"/>
        <v>-</v>
      </c>
      <c r="E524" s="9" t="s">
        <v>11</v>
      </c>
      <c r="F524" s="10"/>
      <c r="G524" s="9"/>
      <c r="H524" s="26"/>
      <c r="I524" s="9" t="s">
        <v>13</v>
      </c>
      <c r="J524" s="44"/>
    </row>
    <row r="525">
      <c r="A525" s="42" t="s">
        <v>88</v>
      </c>
      <c r="B525" s="11"/>
      <c r="C525" s="8" t="s">
        <v>11</v>
      </c>
      <c r="D525" s="8" t="str">
        <f t="shared" si="1"/>
        <v>-</v>
      </c>
      <c r="E525" s="9" t="s">
        <v>11</v>
      </c>
      <c r="F525" s="10"/>
      <c r="G525" s="9"/>
      <c r="H525" s="26"/>
      <c r="I525" s="9" t="s">
        <v>13</v>
      </c>
      <c r="J525" s="44"/>
    </row>
    <row r="526">
      <c r="A526" s="42" t="s">
        <v>88</v>
      </c>
      <c r="B526" s="11"/>
      <c r="C526" s="8" t="s">
        <v>11</v>
      </c>
      <c r="D526" s="8" t="str">
        <f t="shared" si="1"/>
        <v>-</v>
      </c>
      <c r="E526" s="9" t="s">
        <v>11</v>
      </c>
      <c r="F526" s="10"/>
      <c r="G526" s="9"/>
      <c r="H526" s="26"/>
      <c r="I526" s="9" t="s">
        <v>13</v>
      </c>
      <c r="J526" s="44"/>
    </row>
    <row r="527">
      <c r="A527" s="42" t="s">
        <v>88</v>
      </c>
      <c r="B527" s="11"/>
      <c r="C527" s="8" t="s">
        <v>11</v>
      </c>
      <c r="D527" s="8" t="str">
        <f t="shared" si="1"/>
        <v>-</v>
      </c>
      <c r="E527" s="9" t="s">
        <v>11</v>
      </c>
      <c r="F527" s="10"/>
      <c r="G527" s="9"/>
      <c r="H527" s="26"/>
      <c r="I527" s="9" t="s">
        <v>13</v>
      </c>
      <c r="J527" s="44"/>
    </row>
    <row r="528">
      <c r="A528" s="42" t="s">
        <v>88</v>
      </c>
      <c r="B528" s="11"/>
      <c r="C528" s="8" t="s">
        <v>11</v>
      </c>
      <c r="D528" s="8" t="str">
        <f t="shared" si="1"/>
        <v>-</v>
      </c>
      <c r="E528" s="9" t="s">
        <v>11</v>
      </c>
      <c r="F528" s="10"/>
      <c r="G528" s="9"/>
      <c r="H528" s="26"/>
      <c r="I528" s="9" t="s">
        <v>13</v>
      </c>
      <c r="J528" s="44"/>
    </row>
    <row r="529">
      <c r="A529" s="42" t="s">
        <v>88</v>
      </c>
      <c r="B529" s="11"/>
      <c r="C529" s="8" t="s">
        <v>11</v>
      </c>
      <c r="D529" s="8" t="str">
        <f t="shared" si="1"/>
        <v>-</v>
      </c>
      <c r="E529" s="9" t="s">
        <v>11</v>
      </c>
      <c r="F529" s="10"/>
      <c r="G529" s="9"/>
      <c r="H529" s="26"/>
      <c r="I529" s="9" t="s">
        <v>13</v>
      </c>
      <c r="J529" s="44"/>
    </row>
    <row r="530">
      <c r="A530" s="42" t="s">
        <v>88</v>
      </c>
      <c r="B530" s="11"/>
      <c r="C530" s="8" t="s">
        <v>11</v>
      </c>
      <c r="D530" s="8" t="str">
        <f t="shared" si="1"/>
        <v>-</v>
      </c>
      <c r="E530" s="9" t="s">
        <v>11</v>
      </c>
      <c r="F530" s="10"/>
      <c r="G530" s="9"/>
      <c r="H530" s="26"/>
      <c r="I530" s="9" t="s">
        <v>13</v>
      </c>
      <c r="J530" s="44"/>
    </row>
    <row r="531">
      <c r="A531" s="42" t="s">
        <v>88</v>
      </c>
      <c r="B531" s="11"/>
      <c r="C531" s="8" t="s">
        <v>11</v>
      </c>
      <c r="D531" s="8" t="str">
        <f t="shared" si="1"/>
        <v>-</v>
      </c>
      <c r="E531" s="9" t="s">
        <v>11</v>
      </c>
      <c r="F531" s="10"/>
      <c r="G531" s="9"/>
      <c r="H531" s="26"/>
      <c r="I531" s="9" t="s">
        <v>13</v>
      </c>
      <c r="J531" s="44"/>
    </row>
    <row r="532">
      <c r="A532" s="42" t="s">
        <v>88</v>
      </c>
      <c r="B532" s="11"/>
      <c r="C532" s="8" t="s">
        <v>11</v>
      </c>
      <c r="D532" s="8" t="str">
        <f t="shared" si="1"/>
        <v>-</v>
      </c>
      <c r="E532" s="9" t="s">
        <v>11</v>
      </c>
      <c r="F532" s="10"/>
      <c r="G532" s="9"/>
      <c r="H532" s="26"/>
      <c r="I532" s="9" t="s">
        <v>13</v>
      </c>
      <c r="J532" s="44"/>
    </row>
    <row r="533">
      <c r="A533" s="42" t="s">
        <v>88</v>
      </c>
      <c r="B533" s="11"/>
      <c r="C533" s="8" t="s">
        <v>11</v>
      </c>
      <c r="D533" s="8" t="str">
        <f t="shared" si="1"/>
        <v>-</v>
      </c>
      <c r="E533" s="9" t="s">
        <v>11</v>
      </c>
      <c r="F533" s="10"/>
      <c r="G533" s="9"/>
      <c r="H533" s="26"/>
      <c r="I533" s="9" t="s">
        <v>13</v>
      </c>
      <c r="J533" s="44"/>
    </row>
    <row r="534">
      <c r="A534" s="42" t="s">
        <v>88</v>
      </c>
      <c r="B534" s="11"/>
      <c r="C534" s="8" t="s">
        <v>11</v>
      </c>
      <c r="D534" s="8" t="str">
        <f t="shared" si="1"/>
        <v>-</v>
      </c>
      <c r="E534" s="9" t="s">
        <v>11</v>
      </c>
      <c r="F534" s="10"/>
      <c r="G534" s="9"/>
      <c r="H534" s="26"/>
      <c r="I534" s="9" t="s">
        <v>13</v>
      </c>
      <c r="J534" s="44"/>
    </row>
    <row r="535">
      <c r="A535" s="42" t="s">
        <v>88</v>
      </c>
      <c r="B535" s="11"/>
      <c r="C535" s="8" t="s">
        <v>11</v>
      </c>
      <c r="D535" s="8" t="str">
        <f t="shared" si="1"/>
        <v>-</v>
      </c>
      <c r="E535" s="9" t="s">
        <v>11</v>
      </c>
      <c r="F535" s="10"/>
      <c r="G535" s="9"/>
      <c r="H535" s="26"/>
      <c r="I535" s="9" t="s">
        <v>13</v>
      </c>
      <c r="J535" s="44"/>
    </row>
    <row r="536">
      <c r="A536" s="42" t="s">
        <v>88</v>
      </c>
      <c r="B536" s="11"/>
      <c r="C536" s="8" t="s">
        <v>11</v>
      </c>
      <c r="D536" s="8" t="str">
        <f t="shared" si="1"/>
        <v>-</v>
      </c>
      <c r="E536" s="9" t="s">
        <v>11</v>
      </c>
      <c r="F536" s="10"/>
      <c r="G536" s="9"/>
      <c r="H536" s="26"/>
      <c r="I536" s="9" t="s">
        <v>13</v>
      </c>
      <c r="J536" s="44"/>
    </row>
    <row r="537">
      <c r="A537" s="42" t="s">
        <v>88</v>
      </c>
      <c r="B537" s="11"/>
      <c r="C537" s="8" t="s">
        <v>11</v>
      </c>
      <c r="D537" s="8" t="str">
        <f t="shared" si="1"/>
        <v>-</v>
      </c>
      <c r="E537" s="9" t="s">
        <v>11</v>
      </c>
      <c r="F537" s="10"/>
      <c r="G537" s="9"/>
      <c r="H537" s="26"/>
      <c r="I537" s="9" t="s">
        <v>13</v>
      </c>
      <c r="J537" s="44"/>
    </row>
    <row r="538">
      <c r="A538" s="42" t="s">
        <v>88</v>
      </c>
      <c r="B538" s="11"/>
      <c r="C538" s="8" t="s">
        <v>11</v>
      </c>
      <c r="D538" s="8" t="str">
        <f t="shared" si="1"/>
        <v>-</v>
      </c>
      <c r="E538" s="9" t="s">
        <v>11</v>
      </c>
      <c r="F538" s="10"/>
      <c r="G538" s="9"/>
      <c r="H538" s="26"/>
      <c r="I538" s="9" t="s">
        <v>13</v>
      </c>
      <c r="J538" s="44"/>
    </row>
    <row r="539">
      <c r="A539" s="42" t="s">
        <v>88</v>
      </c>
      <c r="B539" s="11"/>
      <c r="C539" s="8" t="s">
        <v>11</v>
      </c>
      <c r="D539" s="8" t="str">
        <f t="shared" si="1"/>
        <v>-</v>
      </c>
      <c r="E539" s="9" t="s">
        <v>11</v>
      </c>
      <c r="F539" s="10"/>
      <c r="G539" s="9"/>
      <c r="H539" s="26"/>
      <c r="I539" s="9" t="s">
        <v>13</v>
      </c>
      <c r="J539" s="44"/>
    </row>
    <row r="540">
      <c r="A540" s="42" t="s">
        <v>88</v>
      </c>
      <c r="B540" s="11"/>
      <c r="C540" s="8" t="s">
        <v>11</v>
      </c>
      <c r="D540" s="8" t="str">
        <f t="shared" si="1"/>
        <v>-</v>
      </c>
      <c r="E540" s="9" t="s">
        <v>11</v>
      </c>
      <c r="F540" s="10"/>
      <c r="G540" s="9"/>
      <c r="H540" s="26"/>
      <c r="I540" s="9" t="s">
        <v>13</v>
      </c>
      <c r="J540" s="44"/>
    </row>
    <row r="541">
      <c r="A541" s="42" t="s">
        <v>88</v>
      </c>
      <c r="B541" s="11"/>
      <c r="C541" s="8" t="s">
        <v>11</v>
      </c>
      <c r="D541" s="8" t="str">
        <f t="shared" si="1"/>
        <v>-</v>
      </c>
      <c r="E541" s="9" t="s">
        <v>11</v>
      </c>
      <c r="F541" s="10"/>
      <c r="G541" s="9"/>
      <c r="H541" s="26"/>
      <c r="I541" s="9" t="s">
        <v>13</v>
      </c>
      <c r="J541" s="44"/>
    </row>
    <row r="542">
      <c r="A542" s="42" t="s">
        <v>88</v>
      </c>
      <c r="B542" s="11"/>
      <c r="C542" s="8" t="s">
        <v>11</v>
      </c>
      <c r="D542" s="8" t="str">
        <f t="shared" si="1"/>
        <v>-</v>
      </c>
      <c r="E542" s="9" t="s">
        <v>11</v>
      </c>
      <c r="F542" s="10"/>
      <c r="G542" s="9"/>
      <c r="H542" s="26"/>
      <c r="I542" s="9" t="s">
        <v>13</v>
      </c>
      <c r="J542" s="44"/>
    </row>
    <row r="543">
      <c r="A543" s="42" t="s">
        <v>88</v>
      </c>
      <c r="B543" s="11"/>
      <c r="C543" s="8" t="s">
        <v>11</v>
      </c>
      <c r="D543" s="8" t="str">
        <f t="shared" si="1"/>
        <v>-</v>
      </c>
      <c r="E543" s="9" t="s">
        <v>11</v>
      </c>
      <c r="F543" s="10"/>
      <c r="G543" s="9"/>
      <c r="H543" s="26"/>
      <c r="I543" s="9" t="s">
        <v>13</v>
      </c>
      <c r="J543" s="44"/>
    </row>
    <row r="544">
      <c r="A544" s="42" t="s">
        <v>88</v>
      </c>
      <c r="B544" s="11"/>
      <c r="C544" s="8" t="s">
        <v>11</v>
      </c>
      <c r="D544" s="8" t="str">
        <f t="shared" si="1"/>
        <v>-</v>
      </c>
      <c r="E544" s="9" t="s">
        <v>11</v>
      </c>
      <c r="F544" s="10"/>
      <c r="G544" s="9"/>
      <c r="H544" s="26"/>
      <c r="I544" s="9" t="s">
        <v>13</v>
      </c>
      <c r="J544" s="44"/>
    </row>
    <row r="545">
      <c r="A545" s="42" t="s">
        <v>88</v>
      </c>
      <c r="B545" s="11"/>
      <c r="C545" s="8" t="s">
        <v>11</v>
      </c>
      <c r="D545" s="8" t="str">
        <f t="shared" si="1"/>
        <v>-</v>
      </c>
      <c r="E545" s="9" t="s">
        <v>11</v>
      </c>
      <c r="F545" s="10"/>
      <c r="G545" s="9"/>
      <c r="H545" s="26"/>
      <c r="I545" s="9" t="s">
        <v>13</v>
      </c>
      <c r="J545" s="44"/>
    </row>
    <row r="546">
      <c r="A546" s="42" t="s">
        <v>88</v>
      </c>
      <c r="B546" s="11"/>
      <c r="C546" s="8" t="s">
        <v>11</v>
      </c>
      <c r="D546" s="8" t="str">
        <f t="shared" si="1"/>
        <v>-</v>
      </c>
      <c r="E546" s="9" t="s">
        <v>11</v>
      </c>
      <c r="F546" s="10"/>
      <c r="G546" s="9"/>
      <c r="H546" s="26"/>
      <c r="I546" s="9" t="s">
        <v>13</v>
      </c>
      <c r="J546" s="44"/>
    </row>
    <row r="547">
      <c r="A547" s="42" t="s">
        <v>88</v>
      </c>
      <c r="B547" s="11"/>
      <c r="C547" s="8" t="s">
        <v>11</v>
      </c>
      <c r="D547" s="8" t="str">
        <f t="shared" si="1"/>
        <v>-</v>
      </c>
      <c r="E547" s="9" t="s">
        <v>11</v>
      </c>
      <c r="F547" s="10"/>
      <c r="G547" s="9"/>
      <c r="H547" s="26"/>
      <c r="I547" s="9" t="s">
        <v>13</v>
      </c>
      <c r="J547" s="44"/>
    </row>
    <row r="548">
      <c r="A548" s="42" t="s">
        <v>88</v>
      </c>
      <c r="B548" s="11"/>
      <c r="C548" s="8" t="s">
        <v>11</v>
      </c>
      <c r="D548" s="8" t="str">
        <f t="shared" si="1"/>
        <v>-</v>
      </c>
      <c r="E548" s="9" t="s">
        <v>11</v>
      </c>
      <c r="F548" s="10"/>
      <c r="G548" s="9"/>
      <c r="H548" s="26"/>
      <c r="I548" s="9" t="s">
        <v>13</v>
      </c>
      <c r="J548" s="44"/>
    </row>
    <row r="549">
      <c r="A549" s="42" t="s">
        <v>88</v>
      </c>
      <c r="B549" s="11"/>
      <c r="C549" s="8" t="s">
        <v>11</v>
      </c>
      <c r="D549" s="8" t="str">
        <f t="shared" si="1"/>
        <v>-</v>
      </c>
      <c r="E549" s="9" t="s">
        <v>11</v>
      </c>
      <c r="F549" s="10"/>
      <c r="G549" s="9"/>
      <c r="H549" s="26"/>
      <c r="I549" s="9" t="s">
        <v>13</v>
      </c>
      <c r="J549" s="44"/>
    </row>
    <row r="550">
      <c r="A550" s="42" t="s">
        <v>88</v>
      </c>
      <c r="B550" s="11"/>
      <c r="C550" s="8" t="s">
        <v>11</v>
      </c>
      <c r="D550" s="8" t="str">
        <f t="shared" si="1"/>
        <v>-</v>
      </c>
      <c r="E550" s="9" t="s">
        <v>11</v>
      </c>
      <c r="F550" s="10"/>
      <c r="G550" s="9"/>
      <c r="H550" s="26"/>
      <c r="I550" s="9" t="s">
        <v>13</v>
      </c>
      <c r="J550" s="44"/>
    </row>
    <row r="551">
      <c r="A551" s="42" t="s">
        <v>88</v>
      </c>
      <c r="B551" s="11"/>
      <c r="C551" s="8" t="s">
        <v>11</v>
      </c>
      <c r="D551" s="8" t="str">
        <f t="shared" si="1"/>
        <v>-</v>
      </c>
      <c r="E551" s="9" t="s">
        <v>11</v>
      </c>
      <c r="F551" s="10"/>
      <c r="G551" s="9"/>
      <c r="H551" s="26"/>
      <c r="I551" s="9" t="s">
        <v>13</v>
      </c>
      <c r="J551" s="44"/>
    </row>
    <row r="552">
      <c r="A552" s="42" t="s">
        <v>88</v>
      </c>
      <c r="B552" s="11"/>
      <c r="C552" s="8" t="s">
        <v>11</v>
      </c>
      <c r="D552" s="8" t="str">
        <f t="shared" si="1"/>
        <v>-</v>
      </c>
      <c r="E552" s="9" t="s">
        <v>11</v>
      </c>
      <c r="F552" s="10"/>
      <c r="G552" s="9"/>
      <c r="H552" s="26"/>
      <c r="I552" s="9" t="s">
        <v>13</v>
      </c>
      <c r="J552" s="44"/>
    </row>
    <row r="553">
      <c r="A553" s="42" t="s">
        <v>88</v>
      </c>
      <c r="B553" s="11"/>
      <c r="C553" s="8" t="s">
        <v>11</v>
      </c>
      <c r="D553" s="8" t="str">
        <f t="shared" si="1"/>
        <v>-</v>
      </c>
      <c r="E553" s="9" t="s">
        <v>11</v>
      </c>
      <c r="F553" s="10"/>
      <c r="G553" s="9"/>
      <c r="H553" s="26"/>
      <c r="I553" s="9" t="s">
        <v>13</v>
      </c>
      <c r="J553" s="44"/>
    </row>
    <row r="554">
      <c r="A554" s="42" t="s">
        <v>88</v>
      </c>
      <c r="B554" s="11"/>
      <c r="C554" s="8" t="s">
        <v>11</v>
      </c>
      <c r="D554" s="8" t="str">
        <f t="shared" si="1"/>
        <v>-</v>
      </c>
      <c r="E554" s="9" t="s">
        <v>11</v>
      </c>
      <c r="F554" s="10"/>
      <c r="G554" s="9"/>
      <c r="H554" s="26"/>
      <c r="I554" s="9" t="s">
        <v>13</v>
      </c>
      <c r="J554" s="44"/>
    </row>
    <row r="555">
      <c r="A555" s="42" t="s">
        <v>88</v>
      </c>
      <c r="B555" s="11"/>
      <c r="C555" s="8" t="s">
        <v>11</v>
      </c>
      <c r="D555" s="8" t="str">
        <f t="shared" si="1"/>
        <v>-</v>
      </c>
      <c r="E555" s="9" t="s">
        <v>11</v>
      </c>
      <c r="F555" s="10"/>
      <c r="G555" s="9"/>
      <c r="H555" s="26"/>
      <c r="I555" s="9" t="s">
        <v>13</v>
      </c>
      <c r="J555" s="44"/>
    </row>
    <row r="556">
      <c r="A556" s="42" t="s">
        <v>88</v>
      </c>
      <c r="B556" s="11"/>
      <c r="C556" s="8" t="s">
        <v>11</v>
      </c>
      <c r="D556" s="8" t="str">
        <f t="shared" si="1"/>
        <v>-</v>
      </c>
      <c r="E556" s="9" t="s">
        <v>11</v>
      </c>
      <c r="F556" s="10"/>
      <c r="G556" s="9"/>
      <c r="H556" s="26"/>
      <c r="I556" s="9" t="s">
        <v>13</v>
      </c>
      <c r="J556" s="44"/>
    </row>
    <row r="557">
      <c r="A557" s="42" t="s">
        <v>88</v>
      </c>
      <c r="B557" s="11"/>
      <c r="C557" s="8" t="s">
        <v>11</v>
      </c>
      <c r="D557" s="8" t="str">
        <f t="shared" si="1"/>
        <v>-</v>
      </c>
      <c r="E557" s="9" t="s">
        <v>11</v>
      </c>
      <c r="F557" s="10"/>
      <c r="G557" s="9"/>
      <c r="H557" s="26"/>
      <c r="I557" s="9" t="s">
        <v>13</v>
      </c>
      <c r="J557" s="44"/>
    </row>
    <row r="558">
      <c r="A558" s="42" t="s">
        <v>88</v>
      </c>
      <c r="B558" s="11"/>
      <c r="C558" s="8" t="s">
        <v>11</v>
      </c>
      <c r="D558" s="8" t="str">
        <f t="shared" si="1"/>
        <v>-</v>
      </c>
      <c r="E558" s="9" t="s">
        <v>11</v>
      </c>
      <c r="F558" s="10"/>
      <c r="G558" s="9"/>
      <c r="H558" s="26"/>
      <c r="I558" s="9" t="s">
        <v>13</v>
      </c>
      <c r="J558" s="44"/>
    </row>
    <row r="559">
      <c r="A559" s="42" t="s">
        <v>88</v>
      </c>
      <c r="B559" s="11"/>
      <c r="C559" s="8" t="s">
        <v>11</v>
      </c>
      <c r="D559" s="8" t="str">
        <f t="shared" si="1"/>
        <v>-</v>
      </c>
      <c r="E559" s="9" t="s">
        <v>11</v>
      </c>
      <c r="F559" s="10"/>
      <c r="G559" s="9"/>
      <c r="H559" s="26"/>
      <c r="I559" s="9" t="s">
        <v>13</v>
      </c>
      <c r="J559" s="44"/>
    </row>
    <row r="560">
      <c r="A560" s="42" t="s">
        <v>88</v>
      </c>
      <c r="B560" s="11"/>
      <c r="C560" s="8" t="s">
        <v>11</v>
      </c>
      <c r="D560" s="8" t="str">
        <f t="shared" si="1"/>
        <v>-</v>
      </c>
      <c r="E560" s="9" t="s">
        <v>11</v>
      </c>
      <c r="F560" s="10"/>
      <c r="G560" s="9"/>
      <c r="H560" s="26"/>
      <c r="I560" s="9" t="s">
        <v>13</v>
      </c>
      <c r="J560" s="44"/>
    </row>
    <row r="561">
      <c r="A561" s="42" t="s">
        <v>88</v>
      </c>
      <c r="B561" s="11"/>
      <c r="C561" s="8" t="s">
        <v>11</v>
      </c>
      <c r="D561" s="8" t="str">
        <f t="shared" si="1"/>
        <v>-</v>
      </c>
      <c r="E561" s="9" t="s">
        <v>11</v>
      </c>
      <c r="F561" s="10"/>
      <c r="G561" s="9"/>
      <c r="H561" s="26"/>
      <c r="I561" s="9" t="s">
        <v>13</v>
      </c>
      <c r="J561" s="44"/>
    </row>
    <row r="562">
      <c r="A562" s="42" t="s">
        <v>88</v>
      </c>
      <c r="B562" s="11"/>
      <c r="C562" s="8" t="s">
        <v>11</v>
      </c>
      <c r="D562" s="8" t="str">
        <f t="shared" si="1"/>
        <v>-</v>
      </c>
      <c r="E562" s="9" t="s">
        <v>11</v>
      </c>
      <c r="F562" s="10"/>
      <c r="G562" s="9"/>
      <c r="H562" s="26"/>
      <c r="I562" s="9" t="s">
        <v>13</v>
      </c>
      <c r="J562" s="44"/>
    </row>
    <row r="563">
      <c r="A563" s="42" t="s">
        <v>88</v>
      </c>
      <c r="B563" s="11"/>
      <c r="C563" s="8" t="s">
        <v>11</v>
      </c>
      <c r="D563" s="8" t="str">
        <f t="shared" si="1"/>
        <v>-</v>
      </c>
      <c r="E563" s="9" t="s">
        <v>11</v>
      </c>
      <c r="F563" s="10"/>
      <c r="G563" s="9"/>
      <c r="H563" s="26"/>
      <c r="I563" s="9" t="s">
        <v>13</v>
      </c>
      <c r="J563" s="44"/>
    </row>
    <row r="564">
      <c r="A564" s="42" t="s">
        <v>88</v>
      </c>
      <c r="B564" s="11"/>
      <c r="C564" s="8" t="s">
        <v>11</v>
      </c>
      <c r="D564" s="8" t="str">
        <f t="shared" si="1"/>
        <v>-</v>
      </c>
      <c r="E564" s="9" t="s">
        <v>11</v>
      </c>
      <c r="F564" s="10"/>
      <c r="G564" s="9"/>
      <c r="H564" s="26"/>
      <c r="I564" s="9" t="s">
        <v>13</v>
      </c>
      <c r="J564" s="44"/>
    </row>
    <row r="565">
      <c r="A565" s="42" t="s">
        <v>88</v>
      </c>
      <c r="B565" s="11"/>
      <c r="C565" s="8" t="s">
        <v>11</v>
      </c>
      <c r="D565" s="8" t="str">
        <f t="shared" si="1"/>
        <v>-</v>
      </c>
      <c r="E565" s="9" t="s">
        <v>11</v>
      </c>
      <c r="F565" s="10"/>
      <c r="G565" s="9"/>
      <c r="H565" s="26"/>
      <c r="I565" s="9" t="s">
        <v>13</v>
      </c>
      <c r="J565" s="44"/>
    </row>
    <row r="566">
      <c r="A566" s="42" t="s">
        <v>88</v>
      </c>
      <c r="B566" s="11"/>
      <c r="C566" s="8" t="s">
        <v>11</v>
      </c>
      <c r="D566" s="8" t="str">
        <f t="shared" si="1"/>
        <v>-</v>
      </c>
      <c r="E566" s="9" t="s">
        <v>11</v>
      </c>
      <c r="F566" s="10"/>
      <c r="G566" s="9"/>
      <c r="H566" s="26"/>
      <c r="I566" s="9" t="s">
        <v>13</v>
      </c>
      <c r="J566" s="44"/>
    </row>
    <row r="567">
      <c r="A567" s="42" t="s">
        <v>88</v>
      </c>
      <c r="B567" s="11"/>
      <c r="C567" s="8" t="s">
        <v>11</v>
      </c>
      <c r="D567" s="8" t="str">
        <f t="shared" si="1"/>
        <v>-</v>
      </c>
      <c r="E567" s="9" t="s">
        <v>11</v>
      </c>
      <c r="F567" s="10"/>
      <c r="G567" s="9"/>
      <c r="H567" s="26"/>
      <c r="I567" s="9" t="s">
        <v>13</v>
      </c>
      <c r="J567" s="44"/>
    </row>
    <row r="568">
      <c r="A568" s="42" t="s">
        <v>88</v>
      </c>
      <c r="B568" s="11"/>
      <c r="C568" s="8" t="s">
        <v>11</v>
      </c>
      <c r="D568" s="8" t="str">
        <f t="shared" si="1"/>
        <v>-</v>
      </c>
      <c r="E568" s="9" t="s">
        <v>11</v>
      </c>
      <c r="F568" s="10"/>
      <c r="G568" s="9"/>
      <c r="H568" s="26"/>
      <c r="I568" s="9" t="s">
        <v>13</v>
      </c>
      <c r="J568" s="44"/>
    </row>
    <row r="569">
      <c r="A569" s="42" t="s">
        <v>88</v>
      </c>
      <c r="B569" s="11"/>
      <c r="C569" s="8" t="s">
        <v>11</v>
      </c>
      <c r="D569" s="8" t="str">
        <f t="shared" si="1"/>
        <v>-</v>
      </c>
      <c r="E569" s="9" t="s">
        <v>11</v>
      </c>
      <c r="F569" s="10"/>
      <c r="G569" s="9"/>
      <c r="H569" s="26"/>
      <c r="I569" s="9" t="s">
        <v>13</v>
      </c>
      <c r="J569" s="44"/>
    </row>
    <row r="570">
      <c r="A570" s="42" t="s">
        <v>88</v>
      </c>
      <c r="B570" s="11"/>
      <c r="C570" s="8" t="s">
        <v>11</v>
      </c>
      <c r="D570" s="8" t="str">
        <f t="shared" si="1"/>
        <v>-</v>
      </c>
      <c r="E570" s="9" t="s">
        <v>11</v>
      </c>
      <c r="F570" s="10"/>
      <c r="G570" s="9"/>
      <c r="H570" s="26"/>
      <c r="I570" s="9" t="s">
        <v>13</v>
      </c>
      <c r="J570" s="44"/>
    </row>
    <row r="571">
      <c r="A571" s="42" t="s">
        <v>88</v>
      </c>
      <c r="B571" s="11"/>
      <c r="C571" s="8" t="s">
        <v>11</v>
      </c>
      <c r="D571" s="8" t="str">
        <f t="shared" si="1"/>
        <v>-</v>
      </c>
      <c r="E571" s="9" t="s">
        <v>11</v>
      </c>
      <c r="F571" s="10"/>
      <c r="G571" s="9"/>
      <c r="H571" s="26"/>
      <c r="I571" s="9" t="s">
        <v>13</v>
      </c>
      <c r="J571" s="44"/>
    </row>
    <row r="572">
      <c r="A572" s="42" t="s">
        <v>88</v>
      </c>
      <c r="B572" s="11"/>
      <c r="C572" s="8" t="s">
        <v>11</v>
      </c>
      <c r="D572" s="8" t="str">
        <f t="shared" si="1"/>
        <v>-</v>
      </c>
      <c r="E572" s="9" t="s">
        <v>11</v>
      </c>
      <c r="F572" s="10"/>
      <c r="G572" s="9"/>
      <c r="H572" s="26"/>
      <c r="I572" s="9" t="s">
        <v>13</v>
      </c>
      <c r="J572" s="44"/>
    </row>
    <row r="573">
      <c r="A573" s="42" t="s">
        <v>88</v>
      </c>
      <c r="B573" s="11"/>
      <c r="C573" s="8" t="s">
        <v>11</v>
      </c>
      <c r="D573" s="8" t="str">
        <f t="shared" si="1"/>
        <v>-</v>
      </c>
      <c r="E573" s="9" t="s">
        <v>11</v>
      </c>
      <c r="F573" s="10"/>
      <c r="G573" s="9"/>
      <c r="H573" s="26"/>
      <c r="I573" s="9" t="s">
        <v>13</v>
      </c>
      <c r="J573" s="44"/>
    </row>
    <row r="574">
      <c r="A574" s="42" t="s">
        <v>88</v>
      </c>
      <c r="B574" s="11"/>
      <c r="C574" s="8" t="s">
        <v>11</v>
      </c>
      <c r="D574" s="8" t="str">
        <f t="shared" si="1"/>
        <v>-</v>
      </c>
      <c r="E574" s="9" t="s">
        <v>11</v>
      </c>
      <c r="F574" s="10"/>
      <c r="G574" s="9"/>
      <c r="H574" s="26"/>
      <c r="I574" s="9" t="s">
        <v>13</v>
      </c>
      <c r="J574" s="44"/>
    </row>
    <row r="575">
      <c r="A575" s="42" t="s">
        <v>88</v>
      </c>
      <c r="B575" s="11"/>
      <c r="C575" s="8" t="s">
        <v>11</v>
      </c>
      <c r="D575" s="8" t="str">
        <f t="shared" si="1"/>
        <v>-</v>
      </c>
      <c r="E575" s="9" t="s">
        <v>11</v>
      </c>
      <c r="F575" s="10"/>
      <c r="G575" s="9"/>
      <c r="H575" s="26"/>
      <c r="I575" s="9" t="s">
        <v>13</v>
      </c>
      <c r="J575" s="44"/>
    </row>
    <row r="576">
      <c r="A576" s="42" t="s">
        <v>88</v>
      </c>
      <c r="B576" s="11"/>
      <c r="C576" s="8" t="s">
        <v>11</v>
      </c>
      <c r="D576" s="8" t="str">
        <f t="shared" si="1"/>
        <v>-</v>
      </c>
      <c r="E576" s="9" t="s">
        <v>11</v>
      </c>
      <c r="F576" s="10"/>
      <c r="G576" s="9"/>
      <c r="H576" s="26"/>
      <c r="I576" s="9" t="s">
        <v>13</v>
      </c>
      <c r="J576" s="44"/>
    </row>
    <row r="577">
      <c r="A577" s="42" t="s">
        <v>88</v>
      </c>
      <c r="B577" s="11"/>
      <c r="C577" s="8" t="s">
        <v>11</v>
      </c>
      <c r="D577" s="8" t="str">
        <f t="shared" si="1"/>
        <v>-</v>
      </c>
      <c r="E577" s="9" t="s">
        <v>11</v>
      </c>
      <c r="F577" s="10"/>
      <c r="G577" s="9"/>
      <c r="H577" s="26"/>
      <c r="I577" s="9" t="s">
        <v>13</v>
      </c>
      <c r="J577" s="44"/>
    </row>
    <row r="578">
      <c r="A578" s="42" t="s">
        <v>88</v>
      </c>
      <c r="B578" s="11"/>
      <c r="C578" s="8" t="s">
        <v>11</v>
      </c>
      <c r="D578" s="8" t="str">
        <f t="shared" si="1"/>
        <v>-</v>
      </c>
      <c r="E578" s="9" t="s">
        <v>11</v>
      </c>
      <c r="F578" s="10"/>
      <c r="G578" s="9"/>
      <c r="H578" s="26"/>
      <c r="I578" s="9" t="s">
        <v>13</v>
      </c>
      <c r="J578" s="44"/>
    </row>
    <row r="579">
      <c r="A579" s="42" t="s">
        <v>88</v>
      </c>
      <c r="B579" s="11"/>
      <c r="C579" s="8" t="s">
        <v>11</v>
      </c>
      <c r="D579" s="8" t="str">
        <f t="shared" si="1"/>
        <v>-</v>
      </c>
      <c r="E579" s="9" t="s">
        <v>11</v>
      </c>
      <c r="F579" s="10"/>
      <c r="G579" s="9"/>
      <c r="H579" s="26"/>
      <c r="I579" s="9" t="s">
        <v>13</v>
      </c>
      <c r="J579" s="44"/>
    </row>
    <row r="580">
      <c r="A580" s="42" t="s">
        <v>88</v>
      </c>
      <c r="B580" s="11"/>
      <c r="C580" s="8" t="s">
        <v>11</v>
      </c>
      <c r="D580" s="8" t="str">
        <f t="shared" si="1"/>
        <v>-</v>
      </c>
      <c r="E580" s="9" t="s">
        <v>11</v>
      </c>
      <c r="F580" s="10"/>
      <c r="G580" s="9"/>
      <c r="H580" s="26"/>
      <c r="I580" s="9" t="s">
        <v>13</v>
      </c>
      <c r="J580" s="44"/>
    </row>
    <row r="581">
      <c r="A581" s="42" t="s">
        <v>88</v>
      </c>
      <c r="B581" s="11"/>
      <c r="C581" s="8" t="s">
        <v>11</v>
      </c>
      <c r="D581" s="8" t="str">
        <f t="shared" si="1"/>
        <v>-</v>
      </c>
      <c r="E581" s="9" t="s">
        <v>11</v>
      </c>
      <c r="F581" s="10"/>
      <c r="G581" s="9"/>
      <c r="H581" s="26"/>
      <c r="I581" s="9" t="s">
        <v>13</v>
      </c>
      <c r="J581" s="44"/>
    </row>
    <row r="582">
      <c r="A582" s="42" t="s">
        <v>88</v>
      </c>
      <c r="B582" s="11"/>
      <c r="C582" s="8" t="s">
        <v>11</v>
      </c>
      <c r="D582" s="8" t="str">
        <f t="shared" si="1"/>
        <v>-</v>
      </c>
      <c r="E582" s="9" t="s">
        <v>11</v>
      </c>
      <c r="F582" s="10"/>
      <c r="G582" s="9"/>
      <c r="H582" s="26"/>
      <c r="I582" s="9" t="s">
        <v>13</v>
      </c>
      <c r="J582" s="44"/>
    </row>
    <row r="583">
      <c r="A583" s="42" t="s">
        <v>88</v>
      </c>
      <c r="B583" s="11"/>
      <c r="C583" s="8" t="s">
        <v>11</v>
      </c>
      <c r="D583" s="8" t="str">
        <f t="shared" si="1"/>
        <v>-</v>
      </c>
      <c r="E583" s="9" t="s">
        <v>11</v>
      </c>
      <c r="F583" s="10"/>
      <c r="G583" s="9"/>
      <c r="H583" s="26"/>
      <c r="I583" s="9" t="s">
        <v>13</v>
      </c>
      <c r="J583" s="44"/>
    </row>
    <row r="584">
      <c r="A584" s="42" t="s">
        <v>88</v>
      </c>
      <c r="B584" s="11"/>
      <c r="C584" s="8" t="s">
        <v>11</v>
      </c>
      <c r="D584" s="8" t="str">
        <f t="shared" si="1"/>
        <v>-</v>
      </c>
      <c r="E584" s="9" t="s">
        <v>11</v>
      </c>
      <c r="F584" s="10"/>
      <c r="G584" s="9"/>
      <c r="H584" s="26"/>
      <c r="I584" s="9" t="s">
        <v>13</v>
      </c>
      <c r="J584" s="44"/>
    </row>
    <row r="585">
      <c r="A585" s="42" t="s">
        <v>88</v>
      </c>
      <c r="B585" s="11"/>
      <c r="C585" s="8" t="s">
        <v>11</v>
      </c>
      <c r="D585" s="8" t="str">
        <f t="shared" si="1"/>
        <v>-</v>
      </c>
      <c r="E585" s="9" t="s">
        <v>11</v>
      </c>
      <c r="F585" s="10"/>
      <c r="G585" s="9"/>
      <c r="H585" s="26"/>
      <c r="I585" s="9" t="s">
        <v>13</v>
      </c>
      <c r="J585" s="44"/>
    </row>
    <row r="586">
      <c r="A586" s="42" t="s">
        <v>88</v>
      </c>
      <c r="B586" s="11"/>
      <c r="C586" s="8" t="s">
        <v>11</v>
      </c>
      <c r="D586" s="8" t="str">
        <f t="shared" si="1"/>
        <v>-</v>
      </c>
      <c r="E586" s="9" t="s">
        <v>11</v>
      </c>
      <c r="F586" s="10"/>
      <c r="G586" s="9"/>
      <c r="H586" s="26"/>
      <c r="I586" s="9" t="s">
        <v>13</v>
      </c>
      <c r="J586" s="44"/>
    </row>
    <row r="587">
      <c r="A587" s="42" t="s">
        <v>88</v>
      </c>
      <c r="B587" s="11"/>
      <c r="C587" s="8" t="s">
        <v>11</v>
      </c>
      <c r="D587" s="8" t="str">
        <f t="shared" si="1"/>
        <v>-</v>
      </c>
      <c r="E587" s="9" t="s">
        <v>11</v>
      </c>
      <c r="F587" s="10"/>
      <c r="G587" s="9"/>
      <c r="H587" s="26"/>
      <c r="I587" s="9" t="s">
        <v>13</v>
      </c>
      <c r="J587" s="44"/>
    </row>
    <row r="588">
      <c r="A588" s="42" t="s">
        <v>88</v>
      </c>
      <c r="B588" s="11"/>
      <c r="C588" s="8" t="s">
        <v>11</v>
      </c>
      <c r="D588" s="8" t="str">
        <f t="shared" si="1"/>
        <v>-</v>
      </c>
      <c r="E588" s="9" t="s">
        <v>11</v>
      </c>
      <c r="F588" s="10"/>
      <c r="G588" s="9"/>
      <c r="H588" s="26"/>
      <c r="I588" s="9" t="s">
        <v>13</v>
      </c>
      <c r="J588" s="44"/>
    </row>
    <row r="589">
      <c r="A589" s="42" t="s">
        <v>88</v>
      </c>
      <c r="B589" s="11"/>
      <c r="C589" s="8" t="s">
        <v>11</v>
      </c>
      <c r="D589" s="8" t="str">
        <f t="shared" si="1"/>
        <v>-</v>
      </c>
      <c r="E589" s="9" t="s">
        <v>11</v>
      </c>
      <c r="F589" s="10"/>
      <c r="G589" s="9"/>
      <c r="H589" s="26"/>
      <c r="I589" s="9" t="s">
        <v>13</v>
      </c>
      <c r="J589" s="44"/>
    </row>
    <row r="590">
      <c r="A590" s="42" t="s">
        <v>88</v>
      </c>
      <c r="B590" s="11"/>
      <c r="C590" s="8" t="s">
        <v>11</v>
      </c>
      <c r="D590" s="8" t="str">
        <f t="shared" si="1"/>
        <v>-</v>
      </c>
      <c r="E590" s="9" t="s">
        <v>11</v>
      </c>
      <c r="F590" s="10"/>
      <c r="G590" s="9"/>
      <c r="H590" s="26"/>
      <c r="I590" s="9" t="s">
        <v>13</v>
      </c>
      <c r="J590" s="44"/>
    </row>
    <row r="591">
      <c r="A591" s="42" t="s">
        <v>88</v>
      </c>
      <c r="B591" s="11"/>
      <c r="C591" s="8" t="s">
        <v>11</v>
      </c>
      <c r="D591" s="8" t="str">
        <f t="shared" si="1"/>
        <v>-</v>
      </c>
      <c r="E591" s="9" t="s">
        <v>11</v>
      </c>
      <c r="F591" s="10"/>
      <c r="G591" s="9"/>
      <c r="H591" s="26"/>
      <c r="I591" s="9" t="s">
        <v>13</v>
      </c>
      <c r="J591" s="44"/>
    </row>
    <row r="592">
      <c r="A592" s="42" t="s">
        <v>88</v>
      </c>
      <c r="B592" s="11"/>
      <c r="C592" s="8" t="s">
        <v>11</v>
      </c>
      <c r="D592" s="8" t="str">
        <f t="shared" si="1"/>
        <v>-</v>
      </c>
      <c r="E592" s="9" t="s">
        <v>11</v>
      </c>
      <c r="F592" s="10"/>
      <c r="G592" s="9"/>
      <c r="H592" s="26"/>
      <c r="I592" s="9" t="s">
        <v>13</v>
      </c>
      <c r="J592" s="44"/>
    </row>
    <row r="593">
      <c r="A593" s="42" t="s">
        <v>88</v>
      </c>
      <c r="B593" s="11"/>
      <c r="C593" s="8" t="s">
        <v>11</v>
      </c>
      <c r="D593" s="8" t="str">
        <f t="shared" si="1"/>
        <v>-</v>
      </c>
      <c r="E593" s="9" t="s">
        <v>11</v>
      </c>
      <c r="F593" s="10"/>
      <c r="G593" s="9"/>
      <c r="H593" s="26"/>
      <c r="I593" s="9" t="s">
        <v>13</v>
      </c>
      <c r="J593" s="44"/>
    </row>
    <row r="594">
      <c r="A594" s="42" t="s">
        <v>88</v>
      </c>
      <c r="B594" s="11"/>
      <c r="C594" s="8" t="s">
        <v>11</v>
      </c>
      <c r="D594" s="8" t="str">
        <f t="shared" si="1"/>
        <v>-</v>
      </c>
      <c r="E594" s="9" t="s">
        <v>11</v>
      </c>
      <c r="F594" s="10"/>
      <c r="G594" s="9"/>
      <c r="H594" s="26"/>
      <c r="I594" s="9" t="s">
        <v>13</v>
      </c>
      <c r="J594" s="44"/>
    </row>
    <row r="595">
      <c r="A595" s="42" t="s">
        <v>88</v>
      </c>
      <c r="B595" s="11"/>
      <c r="C595" s="8" t="s">
        <v>11</v>
      </c>
      <c r="D595" s="8" t="str">
        <f t="shared" si="1"/>
        <v>-</v>
      </c>
      <c r="E595" s="9" t="s">
        <v>11</v>
      </c>
      <c r="F595" s="10"/>
      <c r="G595" s="9"/>
      <c r="H595" s="26"/>
      <c r="I595" s="9" t="s">
        <v>13</v>
      </c>
      <c r="J595" s="44"/>
    </row>
    <row r="596">
      <c r="A596" s="42" t="s">
        <v>88</v>
      </c>
      <c r="B596" s="11"/>
      <c r="C596" s="8" t="s">
        <v>11</v>
      </c>
      <c r="D596" s="8" t="str">
        <f t="shared" si="1"/>
        <v>-</v>
      </c>
      <c r="E596" s="9" t="s">
        <v>11</v>
      </c>
      <c r="F596" s="10"/>
      <c r="G596" s="9"/>
      <c r="H596" s="26"/>
      <c r="I596" s="9" t="s">
        <v>13</v>
      </c>
      <c r="J596" s="44"/>
    </row>
    <row r="597">
      <c r="A597" s="42" t="s">
        <v>88</v>
      </c>
      <c r="B597" s="11"/>
      <c r="C597" s="8" t="s">
        <v>11</v>
      </c>
      <c r="D597" s="8" t="str">
        <f t="shared" si="1"/>
        <v>-</v>
      </c>
      <c r="E597" s="9" t="s">
        <v>11</v>
      </c>
      <c r="F597" s="10"/>
      <c r="G597" s="9"/>
      <c r="H597" s="26"/>
      <c r="I597" s="9" t="s">
        <v>13</v>
      </c>
      <c r="J597" s="44"/>
    </row>
    <row r="598">
      <c r="A598" s="42" t="s">
        <v>88</v>
      </c>
      <c r="B598" s="11"/>
      <c r="C598" s="8" t="s">
        <v>11</v>
      </c>
      <c r="D598" s="8" t="str">
        <f t="shared" si="1"/>
        <v>-</v>
      </c>
      <c r="E598" s="9" t="s">
        <v>11</v>
      </c>
      <c r="F598" s="10"/>
      <c r="G598" s="9"/>
      <c r="H598" s="26"/>
      <c r="I598" s="9" t="s">
        <v>13</v>
      </c>
      <c r="J598" s="44"/>
    </row>
    <row r="599">
      <c r="A599" s="42" t="s">
        <v>88</v>
      </c>
      <c r="B599" s="11"/>
      <c r="C599" s="8" t="s">
        <v>11</v>
      </c>
      <c r="D599" s="8" t="str">
        <f t="shared" si="1"/>
        <v>-</v>
      </c>
      <c r="E599" s="9" t="s">
        <v>11</v>
      </c>
      <c r="F599" s="10"/>
      <c r="G599" s="9"/>
      <c r="H599" s="26"/>
      <c r="I599" s="9" t="s">
        <v>13</v>
      </c>
      <c r="J599" s="44"/>
    </row>
    <row r="600">
      <c r="A600" s="42" t="s">
        <v>88</v>
      </c>
      <c r="B600" s="11"/>
      <c r="C600" s="8" t="s">
        <v>11</v>
      </c>
      <c r="D600" s="8" t="str">
        <f t="shared" si="1"/>
        <v>-</v>
      </c>
      <c r="E600" s="9" t="s">
        <v>11</v>
      </c>
      <c r="F600" s="10"/>
      <c r="G600" s="9"/>
      <c r="H600" s="26"/>
      <c r="I600" s="9" t="s">
        <v>13</v>
      </c>
      <c r="J600" s="44"/>
    </row>
    <row r="601">
      <c r="A601" s="42" t="s">
        <v>88</v>
      </c>
      <c r="B601" s="11"/>
      <c r="C601" s="8" t="s">
        <v>11</v>
      </c>
      <c r="D601" s="8" t="str">
        <f t="shared" si="1"/>
        <v>-</v>
      </c>
      <c r="E601" s="9" t="s">
        <v>11</v>
      </c>
      <c r="F601" s="10"/>
      <c r="G601" s="9"/>
      <c r="H601" s="26"/>
      <c r="I601" s="9" t="s">
        <v>13</v>
      </c>
      <c r="J601" s="44"/>
    </row>
    <row r="602">
      <c r="A602" s="42" t="s">
        <v>88</v>
      </c>
      <c r="B602" s="11"/>
      <c r="C602" s="8" t="s">
        <v>11</v>
      </c>
      <c r="D602" s="8" t="str">
        <f t="shared" si="1"/>
        <v>-</v>
      </c>
      <c r="E602" s="9" t="s">
        <v>11</v>
      </c>
      <c r="F602" s="10"/>
      <c r="G602" s="9"/>
      <c r="H602" s="26"/>
      <c r="I602" s="9" t="s">
        <v>13</v>
      </c>
      <c r="J602" s="44"/>
    </row>
    <row r="603">
      <c r="A603" s="42" t="s">
        <v>88</v>
      </c>
      <c r="B603" s="11"/>
      <c r="C603" s="8" t="s">
        <v>11</v>
      </c>
      <c r="D603" s="8" t="str">
        <f t="shared" si="1"/>
        <v>-</v>
      </c>
      <c r="E603" s="9" t="s">
        <v>11</v>
      </c>
      <c r="F603" s="10"/>
      <c r="G603" s="9"/>
      <c r="H603" s="26"/>
      <c r="I603" s="9" t="s">
        <v>13</v>
      </c>
      <c r="J603" s="44"/>
    </row>
    <row r="604">
      <c r="A604" s="42" t="s">
        <v>88</v>
      </c>
      <c r="B604" s="11"/>
      <c r="C604" s="8" t="s">
        <v>11</v>
      </c>
      <c r="D604" s="8" t="str">
        <f t="shared" si="1"/>
        <v>-</v>
      </c>
      <c r="E604" s="9" t="s">
        <v>11</v>
      </c>
      <c r="F604" s="10"/>
      <c r="G604" s="9"/>
      <c r="H604" s="26"/>
      <c r="I604" s="9" t="s">
        <v>13</v>
      </c>
      <c r="J604" s="44"/>
    </row>
    <row r="605">
      <c r="A605" s="42" t="s">
        <v>88</v>
      </c>
      <c r="B605" s="11"/>
      <c r="C605" s="8" t="s">
        <v>11</v>
      </c>
      <c r="D605" s="8" t="str">
        <f t="shared" si="1"/>
        <v>-</v>
      </c>
      <c r="E605" s="9" t="s">
        <v>11</v>
      </c>
      <c r="F605" s="10"/>
      <c r="G605" s="9"/>
      <c r="H605" s="26"/>
      <c r="I605" s="9" t="s">
        <v>13</v>
      </c>
      <c r="J605" s="44"/>
    </row>
    <row r="606">
      <c r="A606" s="42" t="s">
        <v>88</v>
      </c>
      <c r="B606" s="11"/>
      <c r="C606" s="8" t="s">
        <v>11</v>
      </c>
      <c r="D606" s="8" t="str">
        <f t="shared" si="1"/>
        <v>-</v>
      </c>
      <c r="E606" s="9" t="s">
        <v>11</v>
      </c>
      <c r="F606" s="10"/>
      <c r="G606" s="9"/>
      <c r="H606" s="26"/>
      <c r="I606" s="9" t="s">
        <v>13</v>
      </c>
      <c r="J606" s="44"/>
    </row>
    <row r="607">
      <c r="A607" s="42" t="s">
        <v>88</v>
      </c>
      <c r="B607" s="11"/>
      <c r="C607" s="8" t="s">
        <v>11</v>
      </c>
      <c r="D607" s="8" t="str">
        <f t="shared" si="1"/>
        <v>-</v>
      </c>
      <c r="E607" s="9" t="s">
        <v>11</v>
      </c>
      <c r="F607" s="10"/>
      <c r="G607" s="9"/>
      <c r="H607" s="26"/>
      <c r="I607" s="9" t="s">
        <v>13</v>
      </c>
      <c r="J607" s="44"/>
    </row>
    <row r="608">
      <c r="A608" s="42" t="s">
        <v>88</v>
      </c>
      <c r="B608" s="11"/>
      <c r="C608" s="8" t="s">
        <v>11</v>
      </c>
      <c r="D608" s="8" t="str">
        <f t="shared" si="1"/>
        <v>-</v>
      </c>
      <c r="E608" s="9" t="s">
        <v>11</v>
      </c>
      <c r="F608" s="10"/>
      <c r="G608" s="9"/>
      <c r="H608" s="26"/>
      <c r="I608" s="9" t="s">
        <v>13</v>
      </c>
      <c r="J608" s="44"/>
    </row>
    <row r="609">
      <c r="A609" s="42" t="s">
        <v>88</v>
      </c>
      <c r="B609" s="11"/>
      <c r="C609" s="8" t="s">
        <v>11</v>
      </c>
      <c r="D609" s="8" t="str">
        <f t="shared" si="1"/>
        <v>-</v>
      </c>
      <c r="E609" s="9" t="s">
        <v>11</v>
      </c>
      <c r="F609" s="10"/>
      <c r="G609" s="9"/>
      <c r="H609" s="26"/>
      <c r="I609" s="9" t="s">
        <v>13</v>
      </c>
      <c r="J609" s="44"/>
    </row>
    <row r="610">
      <c r="A610" s="42" t="s">
        <v>88</v>
      </c>
      <c r="B610" s="11"/>
      <c r="C610" s="8" t="s">
        <v>11</v>
      </c>
      <c r="D610" s="8" t="str">
        <f t="shared" si="1"/>
        <v>-</v>
      </c>
      <c r="E610" s="9" t="s">
        <v>11</v>
      </c>
      <c r="F610" s="10"/>
      <c r="G610" s="9"/>
      <c r="H610" s="26"/>
      <c r="I610" s="9" t="s">
        <v>13</v>
      </c>
      <c r="J610" s="44"/>
    </row>
    <row r="611">
      <c r="A611" s="42" t="s">
        <v>88</v>
      </c>
      <c r="B611" s="11"/>
      <c r="C611" s="8" t="s">
        <v>11</v>
      </c>
      <c r="D611" s="8" t="str">
        <f t="shared" si="1"/>
        <v>-</v>
      </c>
      <c r="E611" s="9" t="s">
        <v>11</v>
      </c>
      <c r="F611" s="10"/>
      <c r="G611" s="9"/>
      <c r="H611" s="26"/>
      <c r="I611" s="9" t="s">
        <v>13</v>
      </c>
      <c r="J611" s="44"/>
    </row>
    <row r="612">
      <c r="A612" s="42" t="s">
        <v>88</v>
      </c>
      <c r="B612" s="11"/>
      <c r="C612" s="8" t="s">
        <v>11</v>
      </c>
      <c r="D612" s="8" t="str">
        <f t="shared" si="1"/>
        <v>-</v>
      </c>
      <c r="E612" s="9" t="s">
        <v>11</v>
      </c>
      <c r="F612" s="10"/>
      <c r="G612" s="9"/>
      <c r="H612" s="26"/>
      <c r="I612" s="9" t="s">
        <v>13</v>
      </c>
      <c r="J612" s="44"/>
    </row>
    <row r="613">
      <c r="A613" s="42" t="s">
        <v>88</v>
      </c>
      <c r="B613" s="11"/>
      <c r="C613" s="8" t="s">
        <v>11</v>
      </c>
      <c r="D613" s="8" t="str">
        <f t="shared" si="1"/>
        <v>-</v>
      </c>
      <c r="E613" s="9" t="s">
        <v>11</v>
      </c>
      <c r="F613" s="10"/>
      <c r="G613" s="9"/>
      <c r="H613" s="26"/>
      <c r="I613" s="9" t="s">
        <v>13</v>
      </c>
      <c r="J613" s="44"/>
    </row>
    <row r="614">
      <c r="A614" s="42" t="s">
        <v>88</v>
      </c>
      <c r="B614" s="11"/>
      <c r="C614" s="8" t="s">
        <v>11</v>
      </c>
      <c r="D614" s="8" t="str">
        <f t="shared" si="1"/>
        <v>-</v>
      </c>
      <c r="E614" s="9" t="s">
        <v>11</v>
      </c>
      <c r="F614" s="10"/>
      <c r="G614" s="9"/>
      <c r="H614" s="26"/>
      <c r="I614" s="9" t="s">
        <v>13</v>
      </c>
      <c r="J614" s="44"/>
    </row>
    <row r="615">
      <c r="A615" s="42" t="s">
        <v>88</v>
      </c>
      <c r="B615" s="11"/>
      <c r="C615" s="8" t="s">
        <v>11</v>
      </c>
      <c r="D615" s="8" t="str">
        <f t="shared" si="1"/>
        <v>-</v>
      </c>
      <c r="E615" s="9" t="s">
        <v>11</v>
      </c>
      <c r="F615" s="10"/>
      <c r="G615" s="9"/>
      <c r="H615" s="26"/>
      <c r="I615" s="9" t="s">
        <v>13</v>
      </c>
      <c r="J615" s="44"/>
    </row>
    <row r="616">
      <c r="A616" s="42" t="s">
        <v>88</v>
      </c>
      <c r="B616" s="11"/>
      <c r="C616" s="8" t="s">
        <v>11</v>
      </c>
      <c r="D616" s="8" t="str">
        <f t="shared" si="1"/>
        <v>-</v>
      </c>
      <c r="E616" s="9" t="s">
        <v>11</v>
      </c>
      <c r="F616" s="10"/>
      <c r="G616" s="9"/>
      <c r="H616" s="26"/>
      <c r="I616" s="9" t="s">
        <v>13</v>
      </c>
      <c r="J616" s="44"/>
    </row>
    <row r="617">
      <c r="A617" s="42" t="s">
        <v>88</v>
      </c>
      <c r="B617" s="11"/>
      <c r="C617" s="8" t="s">
        <v>11</v>
      </c>
      <c r="D617" s="8" t="str">
        <f t="shared" si="1"/>
        <v>-</v>
      </c>
      <c r="E617" s="9" t="s">
        <v>11</v>
      </c>
      <c r="F617" s="10"/>
      <c r="G617" s="9"/>
      <c r="H617" s="26"/>
      <c r="I617" s="9" t="s">
        <v>13</v>
      </c>
      <c r="J617" s="44"/>
    </row>
    <row r="618">
      <c r="A618" s="42" t="s">
        <v>88</v>
      </c>
      <c r="B618" s="11"/>
      <c r="C618" s="8" t="s">
        <v>11</v>
      </c>
      <c r="D618" s="8" t="str">
        <f t="shared" si="1"/>
        <v>-</v>
      </c>
      <c r="E618" s="9" t="s">
        <v>11</v>
      </c>
      <c r="F618" s="10"/>
      <c r="G618" s="9"/>
      <c r="H618" s="26"/>
      <c r="I618" s="9" t="s">
        <v>13</v>
      </c>
      <c r="J618" s="44"/>
    </row>
    <row r="619">
      <c r="A619" s="42" t="s">
        <v>88</v>
      </c>
      <c r="B619" s="11"/>
      <c r="C619" s="8" t="s">
        <v>11</v>
      </c>
      <c r="D619" s="8" t="str">
        <f t="shared" si="1"/>
        <v>-</v>
      </c>
      <c r="E619" s="9" t="s">
        <v>11</v>
      </c>
      <c r="F619" s="10"/>
      <c r="G619" s="9"/>
      <c r="H619" s="26"/>
      <c r="I619" s="9" t="s">
        <v>13</v>
      </c>
      <c r="J619" s="44"/>
    </row>
    <row r="620">
      <c r="A620" s="42" t="s">
        <v>88</v>
      </c>
      <c r="B620" s="11"/>
      <c r="C620" s="8" t="s">
        <v>11</v>
      </c>
      <c r="D620" s="8" t="str">
        <f t="shared" si="1"/>
        <v>-</v>
      </c>
      <c r="E620" s="9" t="s">
        <v>11</v>
      </c>
      <c r="F620" s="10"/>
      <c r="G620" s="9"/>
      <c r="H620" s="26"/>
      <c r="I620" s="9" t="s">
        <v>13</v>
      </c>
      <c r="J620" s="44"/>
    </row>
    <row r="621">
      <c r="A621" s="42" t="s">
        <v>88</v>
      </c>
      <c r="B621" s="11"/>
      <c r="C621" s="8" t="s">
        <v>11</v>
      </c>
      <c r="D621" s="8" t="str">
        <f t="shared" si="1"/>
        <v>-</v>
      </c>
      <c r="E621" s="9" t="s">
        <v>11</v>
      </c>
      <c r="F621" s="10"/>
      <c r="G621" s="9"/>
      <c r="H621" s="26"/>
      <c r="I621" s="9" t="s">
        <v>13</v>
      </c>
      <c r="J621" s="44"/>
    </row>
    <row r="622">
      <c r="A622" s="42" t="s">
        <v>88</v>
      </c>
      <c r="B622" s="11"/>
      <c r="C622" s="8" t="s">
        <v>11</v>
      </c>
      <c r="D622" s="8" t="str">
        <f t="shared" si="1"/>
        <v>-</v>
      </c>
      <c r="E622" s="9" t="s">
        <v>11</v>
      </c>
      <c r="F622" s="10"/>
      <c r="G622" s="9"/>
      <c r="H622" s="26"/>
      <c r="I622" s="9" t="s">
        <v>13</v>
      </c>
      <c r="J622" s="44"/>
    </row>
    <row r="623">
      <c r="A623" s="42" t="s">
        <v>88</v>
      </c>
      <c r="B623" s="11"/>
      <c r="C623" s="8" t="s">
        <v>11</v>
      </c>
      <c r="D623" s="8" t="str">
        <f t="shared" si="1"/>
        <v>-</v>
      </c>
      <c r="E623" s="9" t="s">
        <v>11</v>
      </c>
      <c r="F623" s="10"/>
      <c r="G623" s="9"/>
      <c r="H623" s="26"/>
      <c r="I623" s="9" t="s">
        <v>13</v>
      </c>
      <c r="J623" s="44"/>
    </row>
    <row r="624">
      <c r="A624" s="42" t="s">
        <v>88</v>
      </c>
      <c r="B624" s="11"/>
      <c r="C624" s="8" t="s">
        <v>11</v>
      </c>
      <c r="D624" s="8" t="str">
        <f t="shared" si="1"/>
        <v>-</v>
      </c>
      <c r="E624" s="9" t="s">
        <v>11</v>
      </c>
      <c r="F624" s="10"/>
      <c r="G624" s="9"/>
      <c r="H624" s="26"/>
      <c r="I624" s="9" t="s">
        <v>13</v>
      </c>
      <c r="J624" s="44"/>
    </row>
    <row r="625">
      <c r="A625" s="42" t="s">
        <v>88</v>
      </c>
      <c r="B625" s="11"/>
      <c r="C625" s="8" t="s">
        <v>11</v>
      </c>
      <c r="D625" s="8" t="str">
        <f t="shared" si="1"/>
        <v>-</v>
      </c>
      <c r="E625" s="9" t="s">
        <v>11</v>
      </c>
      <c r="F625" s="10"/>
      <c r="G625" s="9"/>
      <c r="H625" s="26"/>
      <c r="I625" s="9" t="s">
        <v>13</v>
      </c>
      <c r="J625" s="44"/>
    </row>
    <row r="626">
      <c r="A626" s="42" t="s">
        <v>88</v>
      </c>
      <c r="B626" s="11"/>
      <c r="C626" s="8" t="s">
        <v>11</v>
      </c>
      <c r="D626" s="8" t="str">
        <f t="shared" si="1"/>
        <v>-</v>
      </c>
      <c r="E626" s="9" t="s">
        <v>11</v>
      </c>
      <c r="F626" s="10"/>
      <c r="G626" s="9"/>
      <c r="H626" s="26"/>
      <c r="I626" s="9" t="s">
        <v>13</v>
      </c>
      <c r="J626" s="44"/>
    </row>
    <row r="627">
      <c r="A627" s="42" t="s">
        <v>88</v>
      </c>
      <c r="B627" s="11"/>
      <c r="C627" s="8" t="s">
        <v>11</v>
      </c>
      <c r="D627" s="8" t="str">
        <f t="shared" si="1"/>
        <v>-</v>
      </c>
      <c r="E627" s="9" t="s">
        <v>11</v>
      </c>
      <c r="F627" s="10"/>
      <c r="G627" s="9"/>
      <c r="H627" s="26"/>
      <c r="I627" s="9" t="s">
        <v>13</v>
      </c>
      <c r="J627" s="44"/>
    </row>
    <row r="628">
      <c r="A628" s="42" t="s">
        <v>88</v>
      </c>
      <c r="B628" s="11"/>
      <c r="C628" s="8" t="s">
        <v>11</v>
      </c>
      <c r="D628" s="8" t="str">
        <f t="shared" si="1"/>
        <v>-</v>
      </c>
      <c r="E628" s="9" t="s">
        <v>11</v>
      </c>
      <c r="F628" s="10"/>
      <c r="G628" s="9"/>
      <c r="H628" s="26"/>
      <c r="I628" s="9" t="s">
        <v>13</v>
      </c>
      <c r="J628" s="44"/>
    </row>
    <row r="629">
      <c r="A629" s="42" t="s">
        <v>88</v>
      </c>
      <c r="B629" s="11"/>
      <c r="C629" s="8" t="s">
        <v>11</v>
      </c>
      <c r="D629" s="8" t="str">
        <f t="shared" si="1"/>
        <v>-</v>
      </c>
      <c r="E629" s="9" t="s">
        <v>11</v>
      </c>
      <c r="F629" s="10"/>
      <c r="G629" s="9"/>
      <c r="H629" s="26"/>
      <c r="I629" s="9" t="s">
        <v>13</v>
      </c>
      <c r="J629" s="44"/>
    </row>
    <row r="630">
      <c r="A630" s="42" t="s">
        <v>88</v>
      </c>
      <c r="B630" s="11"/>
      <c r="C630" s="8" t="s">
        <v>11</v>
      </c>
      <c r="D630" s="8" t="str">
        <f t="shared" si="1"/>
        <v>-</v>
      </c>
      <c r="E630" s="9" t="s">
        <v>11</v>
      </c>
      <c r="F630" s="10"/>
      <c r="G630" s="9"/>
      <c r="H630" s="26"/>
      <c r="I630" s="9" t="s">
        <v>13</v>
      </c>
      <c r="J630" s="44"/>
    </row>
    <row r="631">
      <c r="A631" s="42" t="s">
        <v>88</v>
      </c>
      <c r="B631" s="11"/>
      <c r="C631" s="8" t="s">
        <v>11</v>
      </c>
      <c r="D631" s="8" t="str">
        <f t="shared" si="1"/>
        <v>-</v>
      </c>
      <c r="E631" s="9" t="s">
        <v>11</v>
      </c>
      <c r="F631" s="10"/>
      <c r="G631" s="9"/>
      <c r="H631" s="26"/>
      <c r="I631" s="9" t="s">
        <v>13</v>
      </c>
      <c r="J631" s="44"/>
    </row>
    <row r="632">
      <c r="A632" s="42" t="s">
        <v>88</v>
      </c>
      <c r="B632" s="11"/>
      <c r="C632" s="8" t="s">
        <v>11</v>
      </c>
      <c r="D632" s="8" t="str">
        <f t="shared" si="1"/>
        <v>-</v>
      </c>
      <c r="E632" s="9" t="s">
        <v>11</v>
      </c>
      <c r="F632" s="10"/>
      <c r="G632" s="9"/>
      <c r="H632" s="26"/>
      <c r="I632" s="9" t="s">
        <v>13</v>
      </c>
      <c r="J632" s="44"/>
    </row>
    <row r="633">
      <c r="A633" s="42" t="s">
        <v>88</v>
      </c>
      <c r="B633" s="11"/>
      <c r="C633" s="8" t="s">
        <v>11</v>
      </c>
      <c r="D633" s="8" t="str">
        <f t="shared" si="1"/>
        <v>-</v>
      </c>
      <c r="E633" s="9" t="s">
        <v>11</v>
      </c>
      <c r="F633" s="10"/>
      <c r="G633" s="9"/>
      <c r="H633" s="26"/>
      <c r="I633" s="9" t="s">
        <v>13</v>
      </c>
      <c r="J633" s="44"/>
    </row>
    <row r="634">
      <c r="A634" s="42" t="s">
        <v>88</v>
      </c>
      <c r="B634" s="11"/>
      <c r="C634" s="8" t="s">
        <v>11</v>
      </c>
      <c r="D634" s="8" t="str">
        <f t="shared" si="1"/>
        <v>-</v>
      </c>
      <c r="E634" s="9" t="s">
        <v>11</v>
      </c>
      <c r="F634" s="10"/>
      <c r="G634" s="9"/>
      <c r="H634" s="26"/>
      <c r="I634" s="9" t="s">
        <v>13</v>
      </c>
      <c r="J634" s="44"/>
    </row>
    <row r="635">
      <c r="A635" s="42" t="s">
        <v>88</v>
      </c>
      <c r="B635" s="11"/>
      <c r="C635" s="8" t="s">
        <v>11</v>
      </c>
      <c r="D635" s="8" t="str">
        <f t="shared" si="1"/>
        <v>-</v>
      </c>
      <c r="E635" s="9" t="s">
        <v>11</v>
      </c>
      <c r="F635" s="10"/>
      <c r="G635" s="9"/>
      <c r="H635" s="26"/>
      <c r="I635" s="9" t="s">
        <v>13</v>
      </c>
      <c r="J635" s="44"/>
    </row>
    <row r="636">
      <c r="A636" s="42" t="s">
        <v>88</v>
      </c>
      <c r="B636" s="11"/>
      <c r="C636" s="8" t="s">
        <v>11</v>
      </c>
      <c r="D636" s="8" t="str">
        <f t="shared" si="1"/>
        <v>-</v>
      </c>
      <c r="E636" s="9" t="s">
        <v>11</v>
      </c>
      <c r="F636" s="10"/>
      <c r="G636" s="9"/>
      <c r="H636" s="26"/>
      <c r="I636" s="9" t="s">
        <v>13</v>
      </c>
      <c r="J636" s="44"/>
    </row>
    <row r="637">
      <c r="A637" s="42" t="s">
        <v>88</v>
      </c>
      <c r="B637" s="11"/>
      <c r="C637" s="8" t="s">
        <v>11</v>
      </c>
      <c r="D637" s="8" t="str">
        <f t="shared" si="1"/>
        <v>-</v>
      </c>
      <c r="E637" s="9" t="s">
        <v>11</v>
      </c>
      <c r="F637" s="10"/>
      <c r="G637" s="9"/>
      <c r="H637" s="26"/>
      <c r="I637" s="9" t="s">
        <v>13</v>
      </c>
      <c r="J637" s="44"/>
    </row>
    <row r="638">
      <c r="A638" s="42" t="s">
        <v>88</v>
      </c>
      <c r="B638" s="11"/>
      <c r="C638" s="8" t="s">
        <v>11</v>
      </c>
      <c r="D638" s="8" t="str">
        <f t="shared" si="1"/>
        <v>-</v>
      </c>
      <c r="E638" s="9" t="s">
        <v>11</v>
      </c>
      <c r="F638" s="10"/>
      <c r="G638" s="9"/>
      <c r="H638" s="26"/>
      <c r="I638" s="9" t="s">
        <v>13</v>
      </c>
      <c r="J638" s="44"/>
    </row>
    <row r="639">
      <c r="A639" s="42" t="s">
        <v>88</v>
      </c>
      <c r="B639" s="11"/>
      <c r="C639" s="8" t="s">
        <v>11</v>
      </c>
      <c r="D639" s="8" t="str">
        <f t="shared" si="1"/>
        <v>-</v>
      </c>
      <c r="E639" s="9" t="s">
        <v>11</v>
      </c>
      <c r="F639" s="10"/>
      <c r="G639" s="9"/>
      <c r="H639" s="26"/>
      <c r="I639" s="9" t="s">
        <v>13</v>
      </c>
      <c r="J639" s="44"/>
    </row>
    <row r="640">
      <c r="A640" s="42" t="s">
        <v>88</v>
      </c>
      <c r="B640" s="11"/>
      <c r="C640" s="8" t="s">
        <v>11</v>
      </c>
      <c r="D640" s="8" t="str">
        <f t="shared" si="1"/>
        <v>-</v>
      </c>
      <c r="E640" s="9" t="s">
        <v>11</v>
      </c>
      <c r="F640" s="10"/>
      <c r="G640" s="9"/>
      <c r="H640" s="26"/>
      <c r="I640" s="9" t="s">
        <v>13</v>
      </c>
      <c r="J640" s="44"/>
    </row>
    <row r="641">
      <c r="A641" s="42" t="s">
        <v>88</v>
      </c>
      <c r="B641" s="11"/>
      <c r="C641" s="8" t="s">
        <v>11</v>
      </c>
      <c r="D641" s="8" t="str">
        <f t="shared" si="1"/>
        <v>-</v>
      </c>
      <c r="E641" s="9" t="s">
        <v>11</v>
      </c>
      <c r="F641" s="10"/>
      <c r="G641" s="9"/>
      <c r="H641" s="26"/>
      <c r="I641" s="9" t="s">
        <v>13</v>
      </c>
      <c r="J641" s="44"/>
    </row>
    <row r="642">
      <c r="A642" s="42" t="s">
        <v>88</v>
      </c>
      <c r="B642" s="11"/>
      <c r="C642" s="8" t="s">
        <v>11</v>
      </c>
      <c r="D642" s="8" t="str">
        <f t="shared" si="1"/>
        <v>-</v>
      </c>
      <c r="E642" s="9" t="s">
        <v>11</v>
      </c>
      <c r="F642" s="10"/>
      <c r="G642" s="9"/>
      <c r="H642" s="26"/>
      <c r="I642" s="9" t="s">
        <v>13</v>
      </c>
      <c r="J642" s="44"/>
    </row>
    <row r="643">
      <c r="A643" s="42" t="s">
        <v>88</v>
      </c>
      <c r="B643" s="11"/>
      <c r="C643" s="8" t="s">
        <v>11</v>
      </c>
      <c r="D643" s="8" t="str">
        <f t="shared" si="1"/>
        <v>-</v>
      </c>
      <c r="E643" s="9" t="s">
        <v>11</v>
      </c>
      <c r="F643" s="10"/>
      <c r="G643" s="9"/>
      <c r="H643" s="26"/>
      <c r="I643" s="9" t="s">
        <v>13</v>
      </c>
      <c r="J643" s="44"/>
    </row>
    <row r="644">
      <c r="A644" s="42" t="s">
        <v>88</v>
      </c>
      <c r="B644" s="11"/>
      <c r="C644" s="8" t="s">
        <v>11</v>
      </c>
      <c r="D644" s="8" t="str">
        <f t="shared" si="1"/>
        <v>-</v>
      </c>
      <c r="E644" s="9" t="s">
        <v>11</v>
      </c>
      <c r="F644" s="10"/>
      <c r="G644" s="9"/>
      <c r="H644" s="26"/>
      <c r="I644" s="9" t="s">
        <v>13</v>
      </c>
      <c r="J644" s="44"/>
    </row>
    <row r="645">
      <c r="A645" s="42" t="s">
        <v>88</v>
      </c>
      <c r="B645" s="11"/>
      <c r="C645" s="8" t="s">
        <v>11</v>
      </c>
      <c r="D645" s="8" t="str">
        <f t="shared" si="1"/>
        <v>-</v>
      </c>
      <c r="E645" s="9" t="s">
        <v>11</v>
      </c>
      <c r="F645" s="10"/>
      <c r="G645" s="9"/>
      <c r="H645" s="26"/>
      <c r="I645" s="9" t="s">
        <v>13</v>
      </c>
      <c r="J645" s="44"/>
    </row>
    <row r="646">
      <c r="A646" s="42" t="s">
        <v>88</v>
      </c>
      <c r="B646" s="11"/>
      <c r="C646" s="8" t="s">
        <v>11</v>
      </c>
      <c r="D646" s="8" t="str">
        <f t="shared" si="1"/>
        <v>-</v>
      </c>
      <c r="E646" s="9" t="s">
        <v>11</v>
      </c>
      <c r="F646" s="10"/>
      <c r="G646" s="9"/>
      <c r="H646" s="26"/>
      <c r="I646" s="9" t="s">
        <v>13</v>
      </c>
      <c r="J646" s="44"/>
    </row>
    <row r="647">
      <c r="A647" s="42" t="s">
        <v>88</v>
      </c>
      <c r="B647" s="11"/>
      <c r="C647" s="8" t="s">
        <v>11</v>
      </c>
      <c r="D647" s="8" t="str">
        <f t="shared" si="1"/>
        <v>-</v>
      </c>
      <c r="E647" s="9" t="s">
        <v>11</v>
      </c>
      <c r="F647" s="10"/>
      <c r="G647" s="9"/>
      <c r="H647" s="26"/>
      <c r="I647" s="9" t="s">
        <v>13</v>
      </c>
      <c r="J647" s="44"/>
    </row>
    <row r="648">
      <c r="A648" s="42" t="s">
        <v>88</v>
      </c>
      <c r="B648" s="11"/>
      <c r="C648" s="8" t="s">
        <v>11</v>
      </c>
      <c r="D648" s="8" t="str">
        <f t="shared" si="1"/>
        <v>-</v>
      </c>
      <c r="E648" s="9" t="s">
        <v>11</v>
      </c>
      <c r="F648" s="10"/>
      <c r="G648" s="9"/>
      <c r="H648" s="26"/>
      <c r="I648" s="9" t="s">
        <v>13</v>
      </c>
      <c r="J648" s="44"/>
    </row>
    <row r="649">
      <c r="A649" s="42" t="s">
        <v>88</v>
      </c>
      <c r="B649" s="11"/>
      <c r="C649" s="8" t="s">
        <v>11</v>
      </c>
      <c r="D649" s="8" t="str">
        <f t="shared" si="1"/>
        <v>-</v>
      </c>
      <c r="E649" s="9" t="s">
        <v>11</v>
      </c>
      <c r="F649" s="10"/>
      <c r="G649" s="9"/>
      <c r="H649" s="26"/>
      <c r="I649" s="9" t="s">
        <v>13</v>
      </c>
      <c r="J649" s="44"/>
    </row>
    <row r="650">
      <c r="A650" s="42" t="s">
        <v>88</v>
      </c>
      <c r="B650" s="11"/>
      <c r="C650" s="8" t="s">
        <v>11</v>
      </c>
      <c r="D650" s="8" t="str">
        <f t="shared" si="1"/>
        <v>-</v>
      </c>
      <c r="E650" s="9" t="s">
        <v>11</v>
      </c>
      <c r="F650" s="10"/>
      <c r="G650" s="9"/>
      <c r="H650" s="26"/>
      <c r="I650" s="9" t="s">
        <v>13</v>
      </c>
      <c r="J650" s="44"/>
    </row>
    <row r="651">
      <c r="A651" s="42" t="s">
        <v>88</v>
      </c>
      <c r="B651" s="11"/>
      <c r="C651" s="8" t="s">
        <v>11</v>
      </c>
      <c r="D651" s="8" t="str">
        <f t="shared" si="1"/>
        <v>-</v>
      </c>
      <c r="E651" s="9" t="s">
        <v>11</v>
      </c>
      <c r="F651" s="10"/>
      <c r="G651" s="9"/>
      <c r="H651" s="26"/>
      <c r="I651" s="9" t="s">
        <v>13</v>
      </c>
      <c r="J651" s="44"/>
    </row>
    <row r="652">
      <c r="A652" s="42" t="s">
        <v>88</v>
      </c>
      <c r="B652" s="11"/>
      <c r="C652" s="8" t="s">
        <v>11</v>
      </c>
      <c r="D652" s="8" t="str">
        <f t="shared" si="1"/>
        <v>-</v>
      </c>
      <c r="E652" s="9" t="s">
        <v>11</v>
      </c>
      <c r="F652" s="10"/>
      <c r="G652" s="9"/>
      <c r="H652" s="26"/>
      <c r="I652" s="9" t="s">
        <v>13</v>
      </c>
      <c r="J652" s="44"/>
    </row>
    <row r="653">
      <c r="A653" s="42" t="s">
        <v>88</v>
      </c>
      <c r="B653" s="11"/>
      <c r="C653" s="8" t="s">
        <v>11</v>
      </c>
      <c r="D653" s="8" t="str">
        <f t="shared" si="1"/>
        <v>-</v>
      </c>
      <c r="E653" s="9" t="s">
        <v>11</v>
      </c>
      <c r="F653" s="10"/>
      <c r="G653" s="9"/>
      <c r="H653" s="26"/>
      <c r="I653" s="9" t="s">
        <v>13</v>
      </c>
      <c r="J653" s="44"/>
    </row>
    <row r="654">
      <c r="A654" s="42" t="s">
        <v>88</v>
      </c>
      <c r="B654" s="11"/>
      <c r="C654" s="8" t="s">
        <v>11</v>
      </c>
      <c r="D654" s="8" t="str">
        <f t="shared" si="1"/>
        <v>-</v>
      </c>
      <c r="E654" s="9" t="s">
        <v>11</v>
      </c>
      <c r="F654" s="10"/>
      <c r="G654" s="9"/>
      <c r="H654" s="26"/>
      <c r="I654" s="9" t="s">
        <v>13</v>
      </c>
      <c r="J654" s="44"/>
    </row>
    <row r="655">
      <c r="A655" s="42" t="s">
        <v>88</v>
      </c>
      <c r="B655" s="11"/>
      <c r="C655" s="8" t="s">
        <v>11</v>
      </c>
      <c r="D655" s="8" t="str">
        <f t="shared" si="1"/>
        <v>-</v>
      </c>
      <c r="E655" s="9" t="s">
        <v>11</v>
      </c>
      <c r="F655" s="10"/>
      <c r="G655" s="9"/>
      <c r="H655" s="26"/>
      <c r="I655" s="9" t="s">
        <v>13</v>
      </c>
      <c r="J655" s="44"/>
    </row>
    <row r="656">
      <c r="A656" s="42" t="s">
        <v>88</v>
      </c>
      <c r="B656" s="11"/>
      <c r="C656" s="8" t="s">
        <v>11</v>
      </c>
      <c r="D656" s="8" t="str">
        <f t="shared" si="1"/>
        <v>-</v>
      </c>
      <c r="E656" s="9" t="s">
        <v>11</v>
      </c>
      <c r="F656" s="10"/>
      <c r="G656" s="9"/>
      <c r="H656" s="26"/>
      <c r="I656" s="9" t="s">
        <v>13</v>
      </c>
      <c r="J656" s="44"/>
    </row>
    <row r="657">
      <c r="A657" s="42" t="s">
        <v>88</v>
      </c>
      <c r="B657" s="11"/>
      <c r="C657" s="8" t="s">
        <v>11</v>
      </c>
      <c r="D657" s="8" t="str">
        <f t="shared" si="1"/>
        <v>-</v>
      </c>
      <c r="E657" s="9" t="s">
        <v>11</v>
      </c>
      <c r="F657" s="10"/>
      <c r="G657" s="9"/>
      <c r="H657" s="26"/>
      <c r="I657" s="9" t="s">
        <v>13</v>
      </c>
      <c r="J657" s="44"/>
    </row>
    <row r="658">
      <c r="A658" s="42" t="s">
        <v>88</v>
      </c>
      <c r="B658" s="11"/>
      <c r="C658" s="8" t="s">
        <v>11</v>
      </c>
      <c r="D658" s="8" t="str">
        <f t="shared" si="1"/>
        <v>-</v>
      </c>
      <c r="E658" s="9" t="s">
        <v>11</v>
      </c>
      <c r="F658" s="10"/>
      <c r="G658" s="9"/>
      <c r="H658" s="26"/>
      <c r="I658" s="9" t="s">
        <v>13</v>
      </c>
      <c r="J658" s="44"/>
    </row>
    <row r="659">
      <c r="A659" s="42" t="s">
        <v>88</v>
      </c>
      <c r="B659" s="11"/>
      <c r="C659" s="8" t="s">
        <v>11</v>
      </c>
      <c r="D659" s="8" t="str">
        <f t="shared" si="1"/>
        <v>-</v>
      </c>
      <c r="E659" s="9" t="s">
        <v>11</v>
      </c>
      <c r="F659" s="10"/>
      <c r="G659" s="9"/>
      <c r="H659" s="26"/>
      <c r="I659" s="9" t="s">
        <v>13</v>
      </c>
      <c r="J659" s="44"/>
    </row>
    <row r="660">
      <c r="A660" s="42" t="s">
        <v>88</v>
      </c>
      <c r="B660" s="11"/>
      <c r="C660" s="8" t="s">
        <v>11</v>
      </c>
      <c r="D660" s="8" t="str">
        <f t="shared" si="1"/>
        <v>-</v>
      </c>
      <c r="E660" s="9" t="s">
        <v>11</v>
      </c>
      <c r="F660" s="10"/>
      <c r="G660" s="9"/>
      <c r="H660" s="26"/>
      <c r="I660" s="9" t="s">
        <v>13</v>
      </c>
      <c r="J660" s="44"/>
    </row>
    <row r="661">
      <c r="A661" s="42" t="s">
        <v>88</v>
      </c>
      <c r="B661" s="11"/>
      <c r="C661" s="8" t="s">
        <v>11</v>
      </c>
      <c r="D661" s="8" t="str">
        <f t="shared" si="1"/>
        <v>-</v>
      </c>
      <c r="E661" s="9" t="s">
        <v>11</v>
      </c>
      <c r="F661" s="10"/>
      <c r="G661" s="9"/>
      <c r="H661" s="26"/>
      <c r="I661" s="9" t="s">
        <v>13</v>
      </c>
      <c r="J661" s="44"/>
    </row>
    <row r="662">
      <c r="A662" s="42" t="s">
        <v>88</v>
      </c>
      <c r="B662" s="11"/>
      <c r="C662" s="8" t="s">
        <v>11</v>
      </c>
      <c r="D662" s="8" t="str">
        <f t="shared" si="1"/>
        <v>-</v>
      </c>
      <c r="E662" s="9" t="s">
        <v>11</v>
      </c>
      <c r="F662" s="10"/>
      <c r="G662" s="9"/>
      <c r="H662" s="26"/>
      <c r="I662" s="9" t="s">
        <v>13</v>
      </c>
      <c r="J662" s="44"/>
    </row>
    <row r="663">
      <c r="A663" s="42" t="s">
        <v>88</v>
      </c>
      <c r="B663" s="11"/>
      <c r="C663" s="8" t="s">
        <v>11</v>
      </c>
      <c r="D663" s="8" t="str">
        <f t="shared" si="1"/>
        <v>-</v>
      </c>
      <c r="E663" s="9" t="s">
        <v>11</v>
      </c>
      <c r="F663" s="10"/>
      <c r="G663" s="9"/>
      <c r="H663" s="26"/>
      <c r="I663" s="9" t="s">
        <v>13</v>
      </c>
      <c r="J663" s="44"/>
    </row>
    <row r="664">
      <c r="A664" s="42" t="s">
        <v>88</v>
      </c>
      <c r="B664" s="11"/>
      <c r="C664" s="8" t="s">
        <v>11</v>
      </c>
      <c r="D664" s="8" t="str">
        <f t="shared" si="1"/>
        <v>-</v>
      </c>
      <c r="E664" s="9" t="s">
        <v>11</v>
      </c>
      <c r="F664" s="10"/>
      <c r="G664" s="9"/>
      <c r="H664" s="26"/>
      <c r="I664" s="9" t="s">
        <v>13</v>
      </c>
      <c r="J664" s="44"/>
    </row>
    <row r="665">
      <c r="A665" s="42" t="s">
        <v>88</v>
      </c>
      <c r="B665" s="11"/>
      <c r="C665" s="8" t="s">
        <v>11</v>
      </c>
      <c r="D665" s="8" t="str">
        <f t="shared" si="1"/>
        <v>-</v>
      </c>
      <c r="E665" s="9" t="s">
        <v>11</v>
      </c>
      <c r="F665" s="10"/>
      <c r="G665" s="9"/>
      <c r="H665" s="26"/>
      <c r="I665" s="9" t="s">
        <v>13</v>
      </c>
      <c r="J665" s="44"/>
    </row>
    <row r="666">
      <c r="A666" s="42" t="s">
        <v>88</v>
      </c>
      <c r="B666" s="11"/>
      <c r="C666" s="8" t="s">
        <v>11</v>
      </c>
      <c r="D666" s="8" t="str">
        <f t="shared" si="1"/>
        <v>-</v>
      </c>
      <c r="E666" s="9" t="s">
        <v>11</v>
      </c>
      <c r="F666" s="10"/>
      <c r="G666" s="9"/>
      <c r="H666" s="26"/>
      <c r="I666" s="9" t="s">
        <v>13</v>
      </c>
      <c r="J666" s="44"/>
    </row>
    <row r="667">
      <c r="A667" s="42" t="s">
        <v>88</v>
      </c>
      <c r="B667" s="11"/>
      <c r="C667" s="8" t="s">
        <v>11</v>
      </c>
      <c r="D667" s="8" t="str">
        <f t="shared" si="1"/>
        <v>-</v>
      </c>
      <c r="E667" s="9" t="s">
        <v>11</v>
      </c>
      <c r="F667" s="10"/>
      <c r="G667" s="9"/>
      <c r="H667" s="26"/>
      <c r="I667" s="9" t="s">
        <v>13</v>
      </c>
      <c r="J667" s="44"/>
    </row>
    <row r="668">
      <c r="A668" s="42" t="s">
        <v>88</v>
      </c>
      <c r="B668" s="11"/>
      <c r="C668" s="8" t="s">
        <v>11</v>
      </c>
      <c r="D668" s="8" t="str">
        <f t="shared" si="1"/>
        <v>-</v>
      </c>
      <c r="E668" s="9" t="s">
        <v>11</v>
      </c>
      <c r="F668" s="10"/>
      <c r="G668" s="9"/>
      <c r="H668" s="26"/>
      <c r="I668" s="9" t="s">
        <v>13</v>
      </c>
      <c r="J668" s="44"/>
    </row>
    <row r="669">
      <c r="A669" s="42" t="s">
        <v>88</v>
      </c>
      <c r="B669" s="11"/>
      <c r="C669" s="8" t="s">
        <v>11</v>
      </c>
      <c r="D669" s="8" t="str">
        <f t="shared" si="1"/>
        <v>-</v>
      </c>
      <c r="E669" s="9" t="s">
        <v>11</v>
      </c>
      <c r="F669" s="10"/>
      <c r="G669" s="9"/>
      <c r="H669" s="26"/>
      <c r="I669" s="9" t="s">
        <v>13</v>
      </c>
      <c r="J669" s="44"/>
    </row>
    <row r="670">
      <c r="A670" s="42" t="s">
        <v>88</v>
      </c>
      <c r="B670" s="11"/>
      <c r="C670" s="8" t="s">
        <v>11</v>
      </c>
      <c r="D670" s="8" t="str">
        <f t="shared" si="1"/>
        <v>-</v>
      </c>
      <c r="E670" s="9" t="s">
        <v>11</v>
      </c>
      <c r="F670" s="10"/>
      <c r="G670" s="9"/>
      <c r="H670" s="26"/>
      <c r="I670" s="9" t="s">
        <v>13</v>
      </c>
      <c r="J670" s="44"/>
    </row>
    <row r="671">
      <c r="A671" s="42" t="s">
        <v>88</v>
      </c>
      <c r="B671" s="11"/>
      <c r="C671" s="8" t="s">
        <v>11</v>
      </c>
      <c r="D671" s="8" t="str">
        <f t="shared" si="1"/>
        <v>-</v>
      </c>
      <c r="E671" s="9" t="s">
        <v>11</v>
      </c>
      <c r="F671" s="10"/>
      <c r="G671" s="9"/>
      <c r="H671" s="26"/>
      <c r="I671" s="9" t="s">
        <v>13</v>
      </c>
      <c r="J671" s="44"/>
    </row>
    <row r="672">
      <c r="A672" s="42" t="s">
        <v>88</v>
      </c>
      <c r="B672" s="11"/>
      <c r="C672" s="8" t="s">
        <v>11</v>
      </c>
      <c r="D672" s="8" t="str">
        <f t="shared" si="1"/>
        <v>-</v>
      </c>
      <c r="E672" s="9" t="s">
        <v>11</v>
      </c>
      <c r="F672" s="10"/>
      <c r="G672" s="9"/>
      <c r="H672" s="26"/>
      <c r="I672" s="9" t="s">
        <v>13</v>
      </c>
      <c r="J672" s="44"/>
    </row>
    <row r="673">
      <c r="A673" s="42" t="s">
        <v>88</v>
      </c>
      <c r="B673" s="11"/>
      <c r="C673" s="8" t="s">
        <v>11</v>
      </c>
      <c r="D673" s="8" t="str">
        <f t="shared" si="1"/>
        <v>-</v>
      </c>
      <c r="E673" s="9" t="s">
        <v>11</v>
      </c>
      <c r="F673" s="10"/>
      <c r="G673" s="9"/>
      <c r="H673" s="26"/>
      <c r="I673" s="9" t="s">
        <v>13</v>
      </c>
      <c r="J673" s="44"/>
    </row>
    <row r="674">
      <c r="A674" s="42" t="s">
        <v>88</v>
      </c>
      <c r="B674" s="11"/>
      <c r="C674" s="8" t="s">
        <v>11</v>
      </c>
      <c r="D674" s="8" t="str">
        <f t="shared" si="1"/>
        <v>-</v>
      </c>
      <c r="E674" s="9" t="s">
        <v>11</v>
      </c>
      <c r="F674" s="10"/>
      <c r="G674" s="9"/>
      <c r="H674" s="26"/>
      <c r="I674" s="9" t="s">
        <v>13</v>
      </c>
      <c r="J674" s="44"/>
    </row>
    <row r="675">
      <c r="A675" s="42" t="s">
        <v>88</v>
      </c>
      <c r="B675" s="11"/>
      <c r="C675" s="8" t="s">
        <v>11</v>
      </c>
      <c r="D675" s="8" t="str">
        <f t="shared" si="1"/>
        <v>-</v>
      </c>
      <c r="E675" s="9" t="s">
        <v>11</v>
      </c>
      <c r="F675" s="10"/>
      <c r="G675" s="9"/>
      <c r="H675" s="26"/>
      <c r="I675" s="9" t="s">
        <v>13</v>
      </c>
      <c r="J675" s="44"/>
    </row>
    <row r="676">
      <c r="A676" s="42" t="s">
        <v>88</v>
      </c>
      <c r="B676" s="11"/>
      <c r="C676" s="8" t="s">
        <v>11</v>
      </c>
      <c r="D676" s="8" t="str">
        <f t="shared" si="1"/>
        <v>-</v>
      </c>
      <c r="E676" s="9" t="s">
        <v>11</v>
      </c>
      <c r="F676" s="10"/>
      <c r="G676" s="9"/>
      <c r="H676" s="26"/>
      <c r="I676" s="9" t="s">
        <v>13</v>
      </c>
      <c r="J676" s="44"/>
    </row>
    <row r="677">
      <c r="A677" s="42" t="s">
        <v>88</v>
      </c>
      <c r="B677" s="11"/>
      <c r="C677" s="8" t="s">
        <v>11</v>
      </c>
      <c r="D677" s="8" t="str">
        <f t="shared" si="1"/>
        <v>-</v>
      </c>
      <c r="E677" s="9" t="s">
        <v>11</v>
      </c>
      <c r="F677" s="10"/>
      <c r="G677" s="9"/>
      <c r="H677" s="26"/>
      <c r="I677" s="9" t="s">
        <v>13</v>
      </c>
      <c r="J677" s="44"/>
    </row>
    <row r="678">
      <c r="A678" s="42" t="s">
        <v>88</v>
      </c>
      <c r="B678" s="11"/>
      <c r="C678" s="8" t="s">
        <v>11</v>
      </c>
      <c r="D678" s="8" t="str">
        <f t="shared" si="1"/>
        <v>-</v>
      </c>
      <c r="E678" s="9" t="s">
        <v>11</v>
      </c>
      <c r="F678" s="10"/>
      <c r="G678" s="9"/>
      <c r="H678" s="26"/>
      <c r="I678" s="9" t="s">
        <v>13</v>
      </c>
      <c r="J678" s="44"/>
    </row>
    <row r="679">
      <c r="A679" s="42" t="s">
        <v>88</v>
      </c>
      <c r="B679" s="11"/>
      <c r="C679" s="8" t="s">
        <v>11</v>
      </c>
      <c r="D679" s="8" t="str">
        <f t="shared" si="1"/>
        <v>-</v>
      </c>
      <c r="E679" s="9" t="s">
        <v>11</v>
      </c>
      <c r="F679" s="10"/>
      <c r="G679" s="9"/>
      <c r="H679" s="26"/>
      <c r="I679" s="9" t="s">
        <v>13</v>
      </c>
      <c r="J679" s="44"/>
    </row>
    <row r="680">
      <c r="A680" s="42" t="s">
        <v>88</v>
      </c>
      <c r="B680" s="11"/>
      <c r="C680" s="8" t="s">
        <v>11</v>
      </c>
      <c r="D680" s="8" t="str">
        <f t="shared" si="1"/>
        <v>-</v>
      </c>
      <c r="E680" s="9" t="s">
        <v>11</v>
      </c>
      <c r="F680" s="10"/>
      <c r="G680" s="9"/>
      <c r="H680" s="26"/>
      <c r="I680" s="9" t="s">
        <v>13</v>
      </c>
      <c r="J680" s="44"/>
    </row>
    <row r="681">
      <c r="A681" s="42" t="s">
        <v>88</v>
      </c>
      <c r="B681" s="11"/>
      <c r="C681" s="8" t="s">
        <v>11</v>
      </c>
      <c r="D681" s="8" t="str">
        <f t="shared" si="1"/>
        <v>-</v>
      </c>
      <c r="E681" s="9" t="s">
        <v>11</v>
      </c>
      <c r="F681" s="10"/>
      <c r="G681" s="9"/>
      <c r="H681" s="26"/>
      <c r="I681" s="9" t="s">
        <v>13</v>
      </c>
      <c r="J681" s="44"/>
    </row>
    <row r="682">
      <c r="A682" s="42" t="s">
        <v>88</v>
      </c>
      <c r="B682" s="11"/>
      <c r="C682" s="8" t="s">
        <v>11</v>
      </c>
      <c r="D682" s="8" t="str">
        <f t="shared" si="1"/>
        <v>-</v>
      </c>
      <c r="E682" s="9" t="s">
        <v>11</v>
      </c>
      <c r="F682" s="10"/>
      <c r="G682" s="9"/>
      <c r="H682" s="26"/>
      <c r="I682" s="9" t="s">
        <v>13</v>
      </c>
      <c r="J682" s="44"/>
    </row>
    <row r="683">
      <c r="A683" s="42" t="s">
        <v>88</v>
      </c>
      <c r="B683" s="11"/>
      <c r="C683" s="8" t="s">
        <v>11</v>
      </c>
      <c r="D683" s="8" t="str">
        <f t="shared" si="1"/>
        <v>-</v>
      </c>
      <c r="E683" s="9" t="s">
        <v>11</v>
      </c>
      <c r="F683" s="10"/>
      <c r="G683" s="9"/>
      <c r="H683" s="26"/>
      <c r="I683" s="9" t="s">
        <v>13</v>
      </c>
      <c r="J683" s="44"/>
    </row>
    <row r="684">
      <c r="A684" s="42" t="s">
        <v>88</v>
      </c>
      <c r="B684" s="11"/>
      <c r="C684" s="8" t="s">
        <v>11</v>
      </c>
      <c r="D684" s="8" t="str">
        <f t="shared" si="1"/>
        <v>-</v>
      </c>
      <c r="E684" s="9" t="s">
        <v>11</v>
      </c>
      <c r="F684" s="10"/>
      <c r="G684" s="9"/>
      <c r="H684" s="26"/>
      <c r="I684" s="9" t="s">
        <v>13</v>
      </c>
      <c r="J684" s="44"/>
    </row>
    <row r="685">
      <c r="A685" s="42" t="s">
        <v>88</v>
      </c>
      <c r="B685" s="11"/>
      <c r="C685" s="8" t="s">
        <v>11</v>
      </c>
      <c r="D685" s="8" t="str">
        <f t="shared" si="1"/>
        <v>-</v>
      </c>
      <c r="E685" s="9" t="s">
        <v>11</v>
      </c>
      <c r="F685" s="10"/>
      <c r="G685" s="9"/>
      <c r="H685" s="26"/>
      <c r="I685" s="9" t="s">
        <v>13</v>
      </c>
      <c r="J685" s="44"/>
    </row>
    <row r="686">
      <c r="A686" s="42" t="s">
        <v>88</v>
      </c>
      <c r="B686" s="11"/>
      <c r="C686" s="8" t="s">
        <v>11</v>
      </c>
      <c r="D686" s="8" t="str">
        <f t="shared" si="1"/>
        <v>-</v>
      </c>
      <c r="E686" s="9" t="s">
        <v>11</v>
      </c>
      <c r="F686" s="10"/>
      <c r="G686" s="9"/>
      <c r="H686" s="26"/>
      <c r="I686" s="9" t="s">
        <v>13</v>
      </c>
      <c r="J686" s="44"/>
    </row>
    <row r="687">
      <c r="A687" s="42" t="s">
        <v>88</v>
      </c>
      <c r="B687" s="11"/>
      <c r="C687" s="8" t="s">
        <v>11</v>
      </c>
      <c r="D687" s="8" t="str">
        <f t="shared" si="1"/>
        <v>-</v>
      </c>
      <c r="E687" s="9" t="s">
        <v>11</v>
      </c>
      <c r="F687" s="10"/>
      <c r="G687" s="9"/>
      <c r="H687" s="26"/>
      <c r="I687" s="9" t="s">
        <v>13</v>
      </c>
      <c r="J687" s="44"/>
    </row>
    <row r="688">
      <c r="A688" s="42" t="s">
        <v>88</v>
      </c>
      <c r="B688" s="11"/>
      <c r="C688" s="8" t="s">
        <v>11</v>
      </c>
      <c r="D688" s="8" t="str">
        <f t="shared" si="1"/>
        <v>-</v>
      </c>
      <c r="E688" s="9" t="s">
        <v>11</v>
      </c>
      <c r="F688" s="10"/>
      <c r="G688" s="9"/>
      <c r="H688" s="26"/>
      <c r="I688" s="9" t="s">
        <v>13</v>
      </c>
      <c r="J688" s="44"/>
    </row>
    <row r="689">
      <c r="A689" s="42" t="s">
        <v>88</v>
      </c>
      <c r="B689" s="11"/>
      <c r="C689" s="8" t="s">
        <v>11</v>
      </c>
      <c r="D689" s="8" t="str">
        <f t="shared" si="1"/>
        <v>-</v>
      </c>
      <c r="E689" s="9" t="s">
        <v>11</v>
      </c>
      <c r="F689" s="10"/>
      <c r="G689" s="9"/>
      <c r="H689" s="26"/>
      <c r="I689" s="9" t="s">
        <v>13</v>
      </c>
      <c r="J689" s="44"/>
    </row>
    <row r="690">
      <c r="A690" s="42" t="s">
        <v>88</v>
      </c>
      <c r="B690" s="11"/>
      <c r="C690" s="8" t="s">
        <v>11</v>
      </c>
      <c r="D690" s="8" t="str">
        <f t="shared" si="1"/>
        <v>-</v>
      </c>
      <c r="E690" s="9" t="s">
        <v>11</v>
      </c>
      <c r="F690" s="10"/>
      <c r="G690" s="9"/>
      <c r="H690" s="26"/>
      <c r="I690" s="9" t="s">
        <v>13</v>
      </c>
      <c r="J690" s="44"/>
    </row>
    <row r="691">
      <c r="A691" s="42" t="s">
        <v>88</v>
      </c>
      <c r="B691" s="11"/>
      <c r="C691" s="8" t="s">
        <v>11</v>
      </c>
      <c r="D691" s="8" t="str">
        <f t="shared" si="1"/>
        <v>-</v>
      </c>
      <c r="E691" s="9" t="s">
        <v>11</v>
      </c>
      <c r="F691" s="10"/>
      <c r="G691" s="9"/>
      <c r="H691" s="26"/>
      <c r="I691" s="9" t="s">
        <v>13</v>
      </c>
      <c r="J691" s="44"/>
    </row>
    <row r="692">
      <c r="A692" s="42" t="s">
        <v>88</v>
      </c>
      <c r="B692" s="11"/>
      <c r="C692" s="8" t="s">
        <v>11</v>
      </c>
      <c r="D692" s="8" t="str">
        <f t="shared" si="1"/>
        <v>-</v>
      </c>
      <c r="E692" s="9" t="s">
        <v>11</v>
      </c>
      <c r="F692" s="10"/>
      <c r="G692" s="9"/>
      <c r="H692" s="26"/>
      <c r="I692" s="9" t="s">
        <v>13</v>
      </c>
      <c r="J692" s="44"/>
    </row>
    <row r="693">
      <c r="A693" s="42" t="s">
        <v>88</v>
      </c>
      <c r="B693" s="11"/>
      <c r="C693" s="8" t="s">
        <v>11</v>
      </c>
      <c r="D693" s="8" t="str">
        <f t="shared" si="1"/>
        <v>-</v>
      </c>
      <c r="E693" s="9" t="s">
        <v>11</v>
      </c>
      <c r="F693" s="10"/>
      <c r="G693" s="9"/>
      <c r="H693" s="26"/>
      <c r="I693" s="9" t="s">
        <v>13</v>
      </c>
      <c r="J693" s="44"/>
    </row>
    <row r="694">
      <c r="A694" s="42" t="s">
        <v>88</v>
      </c>
      <c r="B694" s="11"/>
      <c r="C694" s="8" t="s">
        <v>11</v>
      </c>
      <c r="D694" s="8" t="str">
        <f t="shared" si="1"/>
        <v>-</v>
      </c>
      <c r="E694" s="9" t="s">
        <v>11</v>
      </c>
      <c r="F694" s="10"/>
      <c r="G694" s="9"/>
      <c r="H694" s="26"/>
      <c r="I694" s="9" t="s">
        <v>13</v>
      </c>
      <c r="J694" s="44"/>
    </row>
    <row r="695">
      <c r="A695" s="42" t="s">
        <v>88</v>
      </c>
      <c r="B695" s="11"/>
      <c r="C695" s="8" t="s">
        <v>11</v>
      </c>
      <c r="D695" s="8" t="str">
        <f t="shared" si="1"/>
        <v>-</v>
      </c>
      <c r="E695" s="9" t="s">
        <v>11</v>
      </c>
      <c r="F695" s="10"/>
      <c r="G695" s="9"/>
      <c r="H695" s="26"/>
      <c r="I695" s="9" t="s">
        <v>13</v>
      </c>
      <c r="J695" s="44"/>
    </row>
    <row r="696">
      <c r="A696" s="42" t="s">
        <v>88</v>
      </c>
      <c r="B696" s="11"/>
      <c r="C696" s="8" t="s">
        <v>11</v>
      </c>
      <c r="D696" s="8" t="str">
        <f t="shared" si="1"/>
        <v>-</v>
      </c>
      <c r="E696" s="9" t="s">
        <v>11</v>
      </c>
      <c r="F696" s="10"/>
      <c r="G696" s="9"/>
      <c r="H696" s="26"/>
      <c r="I696" s="9" t="s">
        <v>13</v>
      </c>
      <c r="J696" s="44"/>
    </row>
    <row r="697">
      <c r="A697" s="42" t="s">
        <v>88</v>
      </c>
      <c r="B697" s="11"/>
      <c r="C697" s="8" t="s">
        <v>11</v>
      </c>
      <c r="D697" s="8" t="str">
        <f t="shared" si="1"/>
        <v>-</v>
      </c>
      <c r="E697" s="9" t="s">
        <v>11</v>
      </c>
      <c r="F697" s="10"/>
      <c r="G697" s="9"/>
      <c r="H697" s="26"/>
      <c r="I697" s="9" t="s">
        <v>13</v>
      </c>
      <c r="J697" s="44"/>
    </row>
    <row r="698">
      <c r="A698" s="42" t="s">
        <v>88</v>
      </c>
      <c r="B698" s="11"/>
      <c r="C698" s="8" t="s">
        <v>11</v>
      </c>
      <c r="D698" s="8" t="str">
        <f t="shared" si="1"/>
        <v>-</v>
      </c>
      <c r="E698" s="9" t="s">
        <v>11</v>
      </c>
      <c r="F698" s="10"/>
      <c r="G698" s="9"/>
      <c r="H698" s="26"/>
      <c r="I698" s="9" t="s">
        <v>13</v>
      </c>
      <c r="J698" s="44"/>
    </row>
    <row r="699">
      <c r="A699" s="42" t="s">
        <v>88</v>
      </c>
      <c r="B699" s="11"/>
      <c r="C699" s="8" t="s">
        <v>11</v>
      </c>
      <c r="D699" s="8" t="str">
        <f t="shared" si="1"/>
        <v>-</v>
      </c>
      <c r="E699" s="9" t="s">
        <v>11</v>
      </c>
      <c r="F699" s="10"/>
      <c r="G699" s="9"/>
      <c r="H699" s="26"/>
      <c r="I699" s="9" t="s">
        <v>13</v>
      </c>
      <c r="J699" s="44"/>
    </row>
    <row r="700">
      <c r="A700" s="42" t="s">
        <v>88</v>
      </c>
      <c r="B700" s="11"/>
      <c r="C700" s="8" t="s">
        <v>11</v>
      </c>
      <c r="D700" s="8" t="str">
        <f t="shared" si="1"/>
        <v>-</v>
      </c>
      <c r="E700" s="9" t="s">
        <v>11</v>
      </c>
      <c r="F700" s="10"/>
      <c r="G700" s="9"/>
      <c r="H700" s="26"/>
      <c r="I700" s="9" t="s">
        <v>13</v>
      </c>
      <c r="J700" s="44"/>
    </row>
    <row r="701">
      <c r="A701" s="42" t="s">
        <v>88</v>
      </c>
      <c r="B701" s="11"/>
      <c r="C701" s="8" t="s">
        <v>11</v>
      </c>
      <c r="D701" s="8" t="str">
        <f t="shared" si="1"/>
        <v>-</v>
      </c>
      <c r="E701" s="9" t="s">
        <v>11</v>
      </c>
      <c r="F701" s="10"/>
      <c r="G701" s="9"/>
      <c r="H701" s="26"/>
      <c r="I701" s="9" t="s">
        <v>13</v>
      </c>
      <c r="J701" s="44"/>
    </row>
    <row r="702">
      <c r="A702" s="42" t="s">
        <v>88</v>
      </c>
      <c r="B702" s="11"/>
      <c r="C702" s="8" t="s">
        <v>11</v>
      </c>
      <c r="D702" s="8" t="str">
        <f t="shared" si="1"/>
        <v>-</v>
      </c>
      <c r="E702" s="9" t="s">
        <v>11</v>
      </c>
      <c r="F702" s="10"/>
      <c r="G702" s="9"/>
      <c r="H702" s="26"/>
      <c r="I702" s="9" t="s">
        <v>13</v>
      </c>
      <c r="J702" s="44"/>
    </row>
    <row r="703">
      <c r="A703" s="42" t="s">
        <v>88</v>
      </c>
      <c r="B703" s="11"/>
      <c r="C703" s="8" t="s">
        <v>11</v>
      </c>
      <c r="D703" s="8" t="str">
        <f t="shared" si="1"/>
        <v>-</v>
      </c>
      <c r="E703" s="9" t="s">
        <v>11</v>
      </c>
      <c r="F703" s="10"/>
      <c r="G703" s="9"/>
      <c r="H703" s="26"/>
      <c r="I703" s="9" t="s">
        <v>13</v>
      </c>
      <c r="J703" s="44"/>
    </row>
    <row r="704">
      <c r="A704" s="42" t="s">
        <v>88</v>
      </c>
      <c r="B704" s="11"/>
      <c r="C704" s="8" t="s">
        <v>11</v>
      </c>
      <c r="D704" s="8" t="str">
        <f t="shared" si="1"/>
        <v>-</v>
      </c>
      <c r="E704" s="9" t="s">
        <v>11</v>
      </c>
      <c r="F704" s="10"/>
      <c r="G704" s="9"/>
      <c r="H704" s="26"/>
      <c r="I704" s="9" t="s">
        <v>13</v>
      </c>
      <c r="J704" s="44"/>
    </row>
    <row r="705">
      <c r="A705" s="42" t="s">
        <v>88</v>
      </c>
      <c r="B705" s="11"/>
      <c r="C705" s="8" t="s">
        <v>11</v>
      </c>
      <c r="D705" s="8" t="str">
        <f t="shared" si="1"/>
        <v>-</v>
      </c>
      <c r="E705" s="9" t="s">
        <v>11</v>
      </c>
      <c r="F705" s="10"/>
      <c r="G705" s="9"/>
      <c r="H705" s="26"/>
      <c r="I705" s="9" t="s">
        <v>13</v>
      </c>
      <c r="J705" s="44"/>
    </row>
    <row r="706">
      <c r="A706" s="42" t="s">
        <v>88</v>
      </c>
      <c r="B706" s="11"/>
      <c r="C706" s="8" t="s">
        <v>11</v>
      </c>
      <c r="D706" s="8" t="str">
        <f t="shared" si="1"/>
        <v>-</v>
      </c>
      <c r="E706" s="9" t="s">
        <v>11</v>
      </c>
      <c r="F706" s="10"/>
      <c r="G706" s="9"/>
      <c r="H706" s="26"/>
      <c r="I706" s="9" t="s">
        <v>13</v>
      </c>
      <c r="J706" s="44"/>
    </row>
    <row r="707">
      <c r="A707" s="42" t="s">
        <v>88</v>
      </c>
      <c r="B707" s="11"/>
      <c r="C707" s="8" t="s">
        <v>11</v>
      </c>
      <c r="D707" s="8" t="str">
        <f t="shared" si="1"/>
        <v>-</v>
      </c>
      <c r="E707" s="9" t="s">
        <v>11</v>
      </c>
      <c r="F707" s="10"/>
      <c r="G707" s="9"/>
      <c r="H707" s="26"/>
      <c r="I707" s="9" t="s">
        <v>13</v>
      </c>
      <c r="J707" s="44"/>
    </row>
    <row r="708">
      <c r="A708" s="42" t="s">
        <v>88</v>
      </c>
      <c r="B708" s="11"/>
      <c r="C708" s="8" t="s">
        <v>11</v>
      </c>
      <c r="D708" s="8" t="str">
        <f t="shared" si="1"/>
        <v>-</v>
      </c>
      <c r="E708" s="9" t="s">
        <v>11</v>
      </c>
      <c r="F708" s="10"/>
      <c r="G708" s="9"/>
      <c r="H708" s="26"/>
      <c r="I708" s="9" t="s">
        <v>13</v>
      </c>
      <c r="J708" s="44"/>
    </row>
    <row r="709">
      <c r="A709" s="42" t="s">
        <v>88</v>
      </c>
      <c r="B709" s="11"/>
      <c r="C709" s="8" t="s">
        <v>11</v>
      </c>
      <c r="D709" s="8" t="str">
        <f t="shared" si="1"/>
        <v>-</v>
      </c>
      <c r="E709" s="9" t="s">
        <v>11</v>
      </c>
      <c r="F709" s="10"/>
      <c r="G709" s="9"/>
      <c r="H709" s="26"/>
      <c r="I709" s="9" t="s">
        <v>13</v>
      </c>
      <c r="J709" s="44"/>
    </row>
    <row r="710">
      <c r="A710" s="42" t="s">
        <v>88</v>
      </c>
      <c r="B710" s="11"/>
      <c r="C710" s="8" t="s">
        <v>11</v>
      </c>
      <c r="D710" s="8" t="str">
        <f t="shared" si="1"/>
        <v>-</v>
      </c>
      <c r="E710" s="9" t="s">
        <v>11</v>
      </c>
      <c r="F710" s="10"/>
      <c r="G710" s="9"/>
      <c r="H710" s="26"/>
      <c r="I710" s="9" t="s">
        <v>13</v>
      </c>
      <c r="J710" s="44"/>
    </row>
    <row r="711">
      <c r="A711" s="42" t="s">
        <v>88</v>
      </c>
      <c r="B711" s="11"/>
      <c r="C711" s="8" t="s">
        <v>11</v>
      </c>
      <c r="D711" s="8" t="str">
        <f t="shared" si="1"/>
        <v>-</v>
      </c>
      <c r="E711" s="9" t="s">
        <v>11</v>
      </c>
      <c r="F711" s="10"/>
      <c r="G711" s="9"/>
      <c r="H711" s="26"/>
      <c r="I711" s="9" t="s">
        <v>13</v>
      </c>
      <c r="J711" s="44"/>
    </row>
    <row r="712">
      <c r="A712" s="42" t="s">
        <v>88</v>
      </c>
      <c r="B712" s="11"/>
      <c r="C712" s="8" t="s">
        <v>11</v>
      </c>
      <c r="D712" s="8" t="str">
        <f t="shared" si="1"/>
        <v>-</v>
      </c>
      <c r="E712" s="9" t="s">
        <v>11</v>
      </c>
      <c r="F712" s="10"/>
      <c r="G712" s="9"/>
      <c r="H712" s="26"/>
      <c r="I712" s="9" t="s">
        <v>13</v>
      </c>
      <c r="J712" s="44"/>
    </row>
    <row r="713">
      <c r="A713" s="42" t="s">
        <v>88</v>
      </c>
      <c r="B713" s="11"/>
      <c r="C713" s="8" t="s">
        <v>11</v>
      </c>
      <c r="D713" s="8" t="str">
        <f t="shared" si="1"/>
        <v>-</v>
      </c>
      <c r="E713" s="9" t="s">
        <v>11</v>
      </c>
      <c r="F713" s="10"/>
      <c r="G713" s="9"/>
      <c r="H713" s="26"/>
      <c r="I713" s="9" t="s">
        <v>13</v>
      </c>
      <c r="J713" s="44"/>
    </row>
    <row r="714">
      <c r="A714" s="42" t="s">
        <v>88</v>
      </c>
      <c r="B714" s="11"/>
      <c r="C714" s="8" t="s">
        <v>11</v>
      </c>
      <c r="D714" s="8" t="str">
        <f t="shared" si="1"/>
        <v>-</v>
      </c>
      <c r="E714" s="9" t="s">
        <v>11</v>
      </c>
      <c r="F714" s="10"/>
      <c r="G714" s="9"/>
      <c r="H714" s="26"/>
      <c r="I714" s="9" t="s">
        <v>13</v>
      </c>
      <c r="J714" s="44"/>
    </row>
    <row r="715">
      <c r="A715" s="42" t="s">
        <v>88</v>
      </c>
      <c r="B715" s="11"/>
      <c r="C715" s="8" t="s">
        <v>11</v>
      </c>
      <c r="D715" s="8" t="str">
        <f t="shared" si="1"/>
        <v>-</v>
      </c>
      <c r="E715" s="9" t="s">
        <v>11</v>
      </c>
      <c r="F715" s="10"/>
      <c r="G715" s="9"/>
      <c r="H715" s="26"/>
      <c r="I715" s="9" t="s">
        <v>13</v>
      </c>
      <c r="J715" s="44"/>
    </row>
    <row r="716">
      <c r="A716" s="42" t="s">
        <v>88</v>
      </c>
      <c r="B716" s="11"/>
      <c r="C716" s="8" t="s">
        <v>11</v>
      </c>
      <c r="D716" s="8" t="str">
        <f t="shared" si="1"/>
        <v>-</v>
      </c>
      <c r="E716" s="9" t="s">
        <v>11</v>
      </c>
      <c r="F716" s="10"/>
      <c r="G716" s="9"/>
      <c r="H716" s="26"/>
      <c r="I716" s="9" t="s">
        <v>13</v>
      </c>
      <c r="J716" s="44"/>
    </row>
    <row r="717">
      <c r="A717" s="42" t="s">
        <v>88</v>
      </c>
      <c r="B717" s="11"/>
      <c r="C717" s="8" t="s">
        <v>11</v>
      </c>
      <c r="D717" s="8" t="str">
        <f t="shared" si="1"/>
        <v>-</v>
      </c>
      <c r="E717" s="9" t="s">
        <v>11</v>
      </c>
      <c r="F717" s="10"/>
      <c r="G717" s="9"/>
      <c r="H717" s="26"/>
      <c r="I717" s="9" t="s">
        <v>13</v>
      </c>
      <c r="J717" s="44"/>
    </row>
    <row r="718">
      <c r="A718" s="42" t="s">
        <v>88</v>
      </c>
      <c r="B718" s="11"/>
      <c r="C718" s="8" t="s">
        <v>11</v>
      </c>
      <c r="D718" s="8" t="str">
        <f t="shared" si="1"/>
        <v>-</v>
      </c>
      <c r="E718" s="9" t="s">
        <v>11</v>
      </c>
      <c r="F718" s="10"/>
      <c r="G718" s="9"/>
      <c r="H718" s="26"/>
      <c r="I718" s="9" t="s">
        <v>13</v>
      </c>
      <c r="J718" s="44"/>
    </row>
    <row r="719">
      <c r="A719" s="42" t="s">
        <v>88</v>
      </c>
      <c r="B719" s="11"/>
      <c r="C719" s="8" t="s">
        <v>11</v>
      </c>
      <c r="D719" s="8" t="str">
        <f t="shared" si="1"/>
        <v>-</v>
      </c>
      <c r="E719" s="9" t="s">
        <v>11</v>
      </c>
      <c r="F719" s="10"/>
      <c r="G719" s="9"/>
      <c r="H719" s="26"/>
      <c r="I719" s="9" t="s">
        <v>13</v>
      </c>
      <c r="J719" s="44"/>
    </row>
    <row r="720">
      <c r="A720" s="42" t="s">
        <v>88</v>
      </c>
      <c r="B720" s="11"/>
      <c r="C720" s="8" t="s">
        <v>11</v>
      </c>
      <c r="D720" s="8" t="str">
        <f t="shared" si="1"/>
        <v>-</v>
      </c>
      <c r="E720" s="9" t="s">
        <v>11</v>
      </c>
      <c r="F720" s="10"/>
      <c r="G720" s="9"/>
      <c r="H720" s="26"/>
      <c r="I720" s="9" t="s">
        <v>13</v>
      </c>
      <c r="J720" s="44"/>
    </row>
    <row r="721">
      <c r="A721" s="42" t="s">
        <v>88</v>
      </c>
      <c r="B721" s="11"/>
      <c r="C721" s="8" t="s">
        <v>11</v>
      </c>
      <c r="D721" s="8" t="str">
        <f t="shared" si="1"/>
        <v>-</v>
      </c>
      <c r="E721" s="9" t="s">
        <v>11</v>
      </c>
      <c r="F721" s="10"/>
      <c r="G721" s="9"/>
      <c r="H721" s="26"/>
      <c r="I721" s="9" t="s">
        <v>13</v>
      </c>
      <c r="J721" s="44"/>
    </row>
    <row r="722">
      <c r="A722" s="42" t="s">
        <v>88</v>
      </c>
      <c r="B722" s="11"/>
      <c r="C722" s="8" t="s">
        <v>11</v>
      </c>
      <c r="D722" s="8" t="str">
        <f t="shared" si="1"/>
        <v>-</v>
      </c>
      <c r="E722" s="9" t="s">
        <v>11</v>
      </c>
      <c r="F722" s="10"/>
      <c r="G722" s="9"/>
      <c r="H722" s="26"/>
      <c r="I722" s="9" t="s">
        <v>13</v>
      </c>
      <c r="J722" s="44"/>
    </row>
    <row r="723">
      <c r="A723" s="42" t="s">
        <v>88</v>
      </c>
      <c r="B723" s="11"/>
      <c r="C723" s="8" t="s">
        <v>11</v>
      </c>
      <c r="D723" s="8" t="str">
        <f t="shared" si="1"/>
        <v>-</v>
      </c>
      <c r="E723" s="9" t="s">
        <v>11</v>
      </c>
      <c r="F723" s="10"/>
      <c r="G723" s="9"/>
      <c r="H723" s="26"/>
      <c r="I723" s="9" t="s">
        <v>13</v>
      </c>
      <c r="J723" s="44"/>
    </row>
    <row r="724">
      <c r="A724" s="42" t="s">
        <v>88</v>
      </c>
      <c r="B724" s="11"/>
      <c r="C724" s="8" t="s">
        <v>11</v>
      </c>
      <c r="D724" s="8" t="str">
        <f t="shared" si="1"/>
        <v>-</v>
      </c>
      <c r="E724" s="9" t="s">
        <v>11</v>
      </c>
      <c r="F724" s="10"/>
      <c r="G724" s="9"/>
      <c r="H724" s="26"/>
      <c r="I724" s="9" t="s">
        <v>13</v>
      </c>
      <c r="J724" s="44"/>
    </row>
    <row r="725">
      <c r="A725" s="42" t="s">
        <v>88</v>
      </c>
      <c r="B725" s="11"/>
      <c r="C725" s="8" t="s">
        <v>11</v>
      </c>
      <c r="D725" s="8" t="str">
        <f t="shared" si="1"/>
        <v>-</v>
      </c>
      <c r="E725" s="9" t="s">
        <v>11</v>
      </c>
      <c r="F725" s="10"/>
      <c r="G725" s="9"/>
      <c r="H725" s="26"/>
      <c r="I725" s="9" t="s">
        <v>13</v>
      </c>
      <c r="J725" s="44"/>
    </row>
    <row r="726">
      <c r="A726" s="42" t="s">
        <v>88</v>
      </c>
      <c r="B726" s="11"/>
      <c r="C726" s="8" t="s">
        <v>11</v>
      </c>
      <c r="D726" s="8" t="str">
        <f t="shared" si="1"/>
        <v>-</v>
      </c>
      <c r="E726" s="9" t="s">
        <v>11</v>
      </c>
      <c r="F726" s="10"/>
      <c r="G726" s="9"/>
      <c r="H726" s="26"/>
      <c r="I726" s="9" t="s">
        <v>13</v>
      </c>
      <c r="J726" s="44"/>
    </row>
    <row r="727">
      <c r="A727" s="42" t="s">
        <v>88</v>
      </c>
      <c r="B727" s="11"/>
      <c r="C727" s="8" t="s">
        <v>11</v>
      </c>
      <c r="D727" s="8" t="str">
        <f t="shared" si="1"/>
        <v>-</v>
      </c>
      <c r="E727" s="9" t="s">
        <v>11</v>
      </c>
      <c r="F727" s="10"/>
      <c r="G727" s="9"/>
      <c r="H727" s="26"/>
      <c r="I727" s="9" t="s">
        <v>13</v>
      </c>
      <c r="J727" s="44"/>
    </row>
    <row r="728">
      <c r="A728" s="42" t="s">
        <v>88</v>
      </c>
      <c r="B728" s="11"/>
      <c r="C728" s="8" t="s">
        <v>11</v>
      </c>
      <c r="D728" s="8" t="str">
        <f t="shared" si="1"/>
        <v>-</v>
      </c>
      <c r="E728" s="9" t="s">
        <v>11</v>
      </c>
      <c r="F728" s="10"/>
      <c r="G728" s="9"/>
      <c r="H728" s="26"/>
      <c r="I728" s="9" t="s">
        <v>13</v>
      </c>
      <c r="J728" s="44"/>
    </row>
    <row r="729">
      <c r="A729" s="42" t="s">
        <v>88</v>
      </c>
      <c r="B729" s="11"/>
      <c r="C729" s="8" t="s">
        <v>11</v>
      </c>
      <c r="D729" s="8" t="str">
        <f t="shared" si="1"/>
        <v>-</v>
      </c>
      <c r="E729" s="9" t="s">
        <v>11</v>
      </c>
      <c r="F729" s="10"/>
      <c r="G729" s="9"/>
      <c r="H729" s="26"/>
      <c r="I729" s="9" t="s">
        <v>13</v>
      </c>
      <c r="J729" s="44"/>
    </row>
    <row r="730">
      <c r="A730" s="42" t="s">
        <v>88</v>
      </c>
      <c r="B730" s="11"/>
      <c r="C730" s="8" t="s">
        <v>11</v>
      </c>
      <c r="D730" s="8" t="str">
        <f t="shared" si="1"/>
        <v>-</v>
      </c>
      <c r="E730" s="9" t="s">
        <v>11</v>
      </c>
      <c r="F730" s="10"/>
      <c r="G730" s="9"/>
      <c r="H730" s="26"/>
      <c r="I730" s="9" t="s">
        <v>13</v>
      </c>
      <c r="J730" s="44"/>
    </row>
    <row r="731">
      <c r="A731" s="42" t="s">
        <v>88</v>
      </c>
      <c r="B731" s="11"/>
      <c r="C731" s="8" t="s">
        <v>11</v>
      </c>
      <c r="D731" s="8" t="str">
        <f t="shared" si="1"/>
        <v>-</v>
      </c>
      <c r="E731" s="9" t="s">
        <v>11</v>
      </c>
      <c r="F731" s="10"/>
      <c r="G731" s="9"/>
      <c r="H731" s="26"/>
      <c r="I731" s="9" t="s">
        <v>13</v>
      </c>
      <c r="J731" s="44"/>
    </row>
    <row r="732">
      <c r="A732" s="42" t="s">
        <v>88</v>
      </c>
      <c r="B732" s="11"/>
      <c r="C732" s="8" t="s">
        <v>11</v>
      </c>
      <c r="D732" s="8" t="str">
        <f t="shared" si="1"/>
        <v>-</v>
      </c>
      <c r="E732" s="9" t="s">
        <v>11</v>
      </c>
      <c r="F732" s="10"/>
      <c r="G732" s="9"/>
      <c r="H732" s="26"/>
      <c r="I732" s="9" t="s">
        <v>13</v>
      </c>
      <c r="J732" s="44"/>
    </row>
    <row r="733">
      <c r="A733" s="42" t="s">
        <v>88</v>
      </c>
      <c r="B733" s="11"/>
      <c r="C733" s="8" t="s">
        <v>11</v>
      </c>
      <c r="D733" s="8" t="str">
        <f t="shared" si="1"/>
        <v>-</v>
      </c>
      <c r="E733" s="9" t="s">
        <v>11</v>
      </c>
      <c r="F733" s="10"/>
      <c r="G733" s="9"/>
      <c r="H733" s="26"/>
      <c r="I733" s="9" t="s">
        <v>13</v>
      </c>
      <c r="J733" s="44"/>
    </row>
    <row r="734">
      <c r="A734" s="42" t="s">
        <v>88</v>
      </c>
      <c r="B734" s="11"/>
      <c r="C734" s="8" t="s">
        <v>11</v>
      </c>
      <c r="D734" s="8" t="str">
        <f t="shared" si="1"/>
        <v>-</v>
      </c>
      <c r="E734" s="9" t="s">
        <v>11</v>
      </c>
      <c r="F734" s="10"/>
      <c r="G734" s="9"/>
      <c r="H734" s="26"/>
      <c r="I734" s="9" t="s">
        <v>13</v>
      </c>
      <c r="J734" s="44"/>
    </row>
    <row r="735">
      <c r="A735" s="42" t="s">
        <v>88</v>
      </c>
      <c r="B735" s="11"/>
      <c r="C735" s="8" t="s">
        <v>11</v>
      </c>
      <c r="D735" s="8" t="str">
        <f t="shared" si="1"/>
        <v>-</v>
      </c>
      <c r="E735" s="9" t="s">
        <v>11</v>
      </c>
      <c r="F735" s="10"/>
      <c r="G735" s="9"/>
      <c r="H735" s="26"/>
      <c r="I735" s="9" t="s">
        <v>13</v>
      </c>
      <c r="J735" s="44"/>
    </row>
    <row r="736">
      <c r="A736" s="42" t="s">
        <v>88</v>
      </c>
      <c r="B736" s="11"/>
      <c r="C736" s="8" t="s">
        <v>11</v>
      </c>
      <c r="D736" s="8" t="str">
        <f t="shared" si="1"/>
        <v>-</v>
      </c>
      <c r="E736" s="9" t="s">
        <v>11</v>
      </c>
      <c r="F736" s="10"/>
      <c r="G736" s="9"/>
      <c r="H736" s="26"/>
      <c r="I736" s="9" t="s">
        <v>13</v>
      </c>
      <c r="J736" s="44"/>
    </row>
    <row r="737">
      <c r="A737" s="42" t="s">
        <v>88</v>
      </c>
      <c r="B737" s="11"/>
      <c r="C737" s="8" t="s">
        <v>11</v>
      </c>
      <c r="D737" s="8" t="str">
        <f t="shared" si="1"/>
        <v>-</v>
      </c>
      <c r="E737" s="9" t="s">
        <v>11</v>
      </c>
      <c r="F737" s="10"/>
      <c r="G737" s="9"/>
      <c r="H737" s="26"/>
      <c r="I737" s="9" t="s">
        <v>13</v>
      </c>
      <c r="J737" s="44"/>
    </row>
    <row r="738">
      <c r="A738" s="42" t="s">
        <v>88</v>
      </c>
      <c r="B738" s="11"/>
      <c r="C738" s="8" t="s">
        <v>11</v>
      </c>
      <c r="D738" s="8" t="str">
        <f t="shared" si="1"/>
        <v>-</v>
      </c>
      <c r="E738" s="9" t="s">
        <v>11</v>
      </c>
      <c r="F738" s="10"/>
      <c r="G738" s="9"/>
      <c r="H738" s="26"/>
      <c r="I738" s="9" t="s">
        <v>13</v>
      </c>
      <c r="J738" s="44"/>
    </row>
    <row r="739">
      <c r="A739" s="42" t="s">
        <v>88</v>
      </c>
      <c r="B739" s="11"/>
      <c r="C739" s="8" t="s">
        <v>11</v>
      </c>
      <c r="D739" s="8" t="str">
        <f t="shared" si="1"/>
        <v>-</v>
      </c>
      <c r="E739" s="9" t="s">
        <v>11</v>
      </c>
      <c r="F739" s="10"/>
      <c r="G739" s="9"/>
      <c r="H739" s="26"/>
      <c r="I739" s="9" t="s">
        <v>13</v>
      </c>
      <c r="J739" s="44"/>
    </row>
    <row r="740">
      <c r="A740" s="42" t="s">
        <v>88</v>
      </c>
      <c r="B740" s="11"/>
      <c r="C740" s="8" t="s">
        <v>11</v>
      </c>
      <c r="D740" s="8" t="str">
        <f t="shared" si="1"/>
        <v>-</v>
      </c>
      <c r="E740" s="9" t="s">
        <v>11</v>
      </c>
      <c r="F740" s="10"/>
      <c r="G740" s="9"/>
      <c r="H740" s="26"/>
      <c r="I740" s="9" t="s">
        <v>13</v>
      </c>
      <c r="J740" s="44"/>
    </row>
    <row r="741">
      <c r="A741" s="42" t="s">
        <v>88</v>
      </c>
      <c r="B741" s="11"/>
      <c r="C741" s="8" t="s">
        <v>11</v>
      </c>
      <c r="D741" s="8" t="str">
        <f t="shared" si="1"/>
        <v>-</v>
      </c>
      <c r="E741" s="9" t="s">
        <v>11</v>
      </c>
      <c r="F741" s="10"/>
      <c r="G741" s="9"/>
      <c r="H741" s="26"/>
      <c r="I741" s="9" t="s">
        <v>13</v>
      </c>
      <c r="J741" s="44"/>
    </row>
    <row r="742">
      <c r="A742" s="42" t="s">
        <v>88</v>
      </c>
      <c r="B742" s="11"/>
      <c r="C742" s="8" t="s">
        <v>11</v>
      </c>
      <c r="D742" s="8" t="str">
        <f t="shared" si="1"/>
        <v>-</v>
      </c>
      <c r="E742" s="9" t="s">
        <v>11</v>
      </c>
      <c r="F742" s="10"/>
      <c r="G742" s="9"/>
      <c r="H742" s="26"/>
      <c r="I742" s="9" t="s">
        <v>13</v>
      </c>
      <c r="J742" s="44"/>
    </row>
    <row r="743">
      <c r="A743" s="42" t="s">
        <v>88</v>
      </c>
      <c r="B743" s="11"/>
      <c r="C743" s="8" t="s">
        <v>11</v>
      </c>
      <c r="D743" s="8" t="str">
        <f t="shared" si="1"/>
        <v>-</v>
      </c>
      <c r="E743" s="9" t="s">
        <v>11</v>
      </c>
      <c r="F743" s="10"/>
      <c r="G743" s="9"/>
      <c r="H743" s="26"/>
      <c r="I743" s="9" t="s">
        <v>13</v>
      </c>
      <c r="J743" s="44"/>
    </row>
    <row r="744">
      <c r="A744" s="42" t="s">
        <v>88</v>
      </c>
      <c r="B744" s="11"/>
      <c r="C744" s="8" t="s">
        <v>11</v>
      </c>
      <c r="D744" s="8" t="str">
        <f t="shared" si="1"/>
        <v>-</v>
      </c>
      <c r="E744" s="9" t="s">
        <v>11</v>
      </c>
      <c r="F744" s="10"/>
      <c r="G744" s="9"/>
      <c r="H744" s="26"/>
      <c r="I744" s="9" t="s">
        <v>13</v>
      </c>
      <c r="J744" s="44"/>
    </row>
    <row r="745">
      <c r="A745" s="42" t="s">
        <v>88</v>
      </c>
      <c r="B745" s="11"/>
      <c r="C745" s="8" t="s">
        <v>11</v>
      </c>
      <c r="D745" s="8" t="str">
        <f t="shared" si="1"/>
        <v>-</v>
      </c>
      <c r="E745" s="9" t="s">
        <v>11</v>
      </c>
      <c r="F745" s="10"/>
      <c r="G745" s="9"/>
      <c r="H745" s="26"/>
      <c r="I745" s="9" t="s">
        <v>13</v>
      </c>
      <c r="J745" s="44"/>
    </row>
    <row r="746">
      <c r="A746" s="42" t="s">
        <v>88</v>
      </c>
      <c r="B746" s="11"/>
      <c r="C746" s="8" t="s">
        <v>11</v>
      </c>
      <c r="D746" s="8" t="str">
        <f t="shared" si="1"/>
        <v>-</v>
      </c>
      <c r="E746" s="9" t="s">
        <v>11</v>
      </c>
      <c r="F746" s="10"/>
      <c r="G746" s="9"/>
      <c r="H746" s="26"/>
      <c r="I746" s="9" t="s">
        <v>13</v>
      </c>
      <c r="J746" s="44"/>
    </row>
    <row r="747">
      <c r="A747" s="42" t="s">
        <v>88</v>
      </c>
      <c r="B747" s="11"/>
      <c r="C747" s="8" t="s">
        <v>11</v>
      </c>
      <c r="D747" s="8" t="str">
        <f t="shared" si="1"/>
        <v>-</v>
      </c>
      <c r="E747" s="9" t="s">
        <v>11</v>
      </c>
      <c r="F747" s="10"/>
      <c r="G747" s="9"/>
      <c r="H747" s="26"/>
      <c r="I747" s="9" t="s">
        <v>13</v>
      </c>
      <c r="J747" s="44"/>
    </row>
    <row r="748">
      <c r="A748" s="42" t="s">
        <v>88</v>
      </c>
      <c r="B748" s="11"/>
      <c r="C748" s="8" t="s">
        <v>11</v>
      </c>
      <c r="D748" s="8" t="str">
        <f t="shared" si="1"/>
        <v>-</v>
      </c>
      <c r="E748" s="9" t="s">
        <v>11</v>
      </c>
      <c r="F748" s="10"/>
      <c r="G748" s="9"/>
      <c r="H748" s="26"/>
      <c r="I748" s="9" t="s">
        <v>13</v>
      </c>
      <c r="J748" s="44"/>
    </row>
    <row r="749">
      <c r="A749" s="42" t="s">
        <v>88</v>
      </c>
      <c r="B749" s="11"/>
      <c r="C749" s="8" t="s">
        <v>11</v>
      </c>
      <c r="D749" s="8" t="str">
        <f t="shared" si="1"/>
        <v>-</v>
      </c>
      <c r="E749" s="9" t="s">
        <v>11</v>
      </c>
      <c r="F749" s="10"/>
      <c r="G749" s="9"/>
      <c r="H749" s="26"/>
      <c r="I749" s="9" t="s">
        <v>13</v>
      </c>
      <c r="J749" s="44"/>
    </row>
    <row r="750">
      <c r="A750" s="42" t="s">
        <v>88</v>
      </c>
      <c r="B750" s="11"/>
      <c r="C750" s="8" t="s">
        <v>11</v>
      </c>
      <c r="D750" s="8" t="str">
        <f t="shared" si="1"/>
        <v>-</v>
      </c>
      <c r="E750" s="9" t="s">
        <v>11</v>
      </c>
      <c r="F750" s="10"/>
      <c r="G750" s="9"/>
      <c r="H750" s="26"/>
      <c r="I750" s="9" t="s">
        <v>13</v>
      </c>
      <c r="J750" s="44"/>
    </row>
    <row r="751">
      <c r="A751" s="42" t="s">
        <v>88</v>
      </c>
      <c r="B751" s="11"/>
      <c r="C751" s="8" t="s">
        <v>11</v>
      </c>
      <c r="D751" s="8" t="str">
        <f t="shared" si="1"/>
        <v>-</v>
      </c>
      <c r="E751" s="9" t="s">
        <v>11</v>
      </c>
      <c r="F751" s="10"/>
      <c r="G751" s="9"/>
      <c r="H751" s="26"/>
      <c r="I751" s="9" t="s">
        <v>13</v>
      </c>
      <c r="J751" s="44"/>
    </row>
    <row r="752">
      <c r="A752" s="42" t="s">
        <v>88</v>
      </c>
      <c r="B752" s="11"/>
      <c r="C752" s="8" t="s">
        <v>11</v>
      </c>
      <c r="D752" s="8" t="str">
        <f t="shared" si="1"/>
        <v>-</v>
      </c>
      <c r="E752" s="9" t="s">
        <v>11</v>
      </c>
      <c r="F752" s="10"/>
      <c r="G752" s="9"/>
      <c r="H752" s="26"/>
      <c r="I752" s="9" t="s">
        <v>13</v>
      </c>
      <c r="J752" s="44"/>
    </row>
    <row r="753">
      <c r="A753" s="42" t="s">
        <v>88</v>
      </c>
      <c r="B753" s="11"/>
      <c r="C753" s="8" t="s">
        <v>11</v>
      </c>
      <c r="D753" s="8" t="str">
        <f t="shared" si="1"/>
        <v>-</v>
      </c>
      <c r="E753" s="9" t="s">
        <v>11</v>
      </c>
      <c r="F753" s="10"/>
      <c r="G753" s="9"/>
      <c r="H753" s="26"/>
      <c r="I753" s="9" t="s">
        <v>13</v>
      </c>
      <c r="J753" s="44"/>
    </row>
    <row r="754">
      <c r="A754" s="42" t="s">
        <v>88</v>
      </c>
      <c r="B754" s="11"/>
      <c r="C754" s="8" t="s">
        <v>11</v>
      </c>
      <c r="D754" s="8" t="str">
        <f t="shared" si="1"/>
        <v>-</v>
      </c>
      <c r="E754" s="9" t="s">
        <v>11</v>
      </c>
      <c r="F754" s="10"/>
      <c r="G754" s="9"/>
      <c r="H754" s="26"/>
      <c r="I754" s="9" t="s">
        <v>13</v>
      </c>
      <c r="J754" s="44"/>
    </row>
    <row r="755">
      <c r="A755" s="42" t="s">
        <v>88</v>
      </c>
      <c r="B755" s="11"/>
      <c r="C755" s="8" t="s">
        <v>11</v>
      </c>
      <c r="D755" s="8" t="str">
        <f t="shared" si="1"/>
        <v>-</v>
      </c>
      <c r="E755" s="9" t="s">
        <v>11</v>
      </c>
      <c r="F755" s="10"/>
      <c r="G755" s="9"/>
      <c r="H755" s="26"/>
      <c r="I755" s="9" t="s">
        <v>13</v>
      </c>
      <c r="J755" s="44"/>
    </row>
    <row r="756">
      <c r="A756" s="42" t="s">
        <v>88</v>
      </c>
      <c r="B756" s="11"/>
      <c r="C756" s="8" t="s">
        <v>11</v>
      </c>
      <c r="D756" s="8" t="str">
        <f t="shared" si="1"/>
        <v>-</v>
      </c>
      <c r="E756" s="9" t="s">
        <v>11</v>
      </c>
      <c r="F756" s="10"/>
      <c r="G756" s="9"/>
      <c r="H756" s="26"/>
      <c r="I756" s="9" t="s">
        <v>13</v>
      </c>
      <c r="J756" s="44"/>
    </row>
    <row r="757">
      <c r="A757" s="42" t="s">
        <v>88</v>
      </c>
      <c r="B757" s="11"/>
      <c r="C757" s="8" t="s">
        <v>11</v>
      </c>
      <c r="D757" s="8" t="str">
        <f t="shared" si="1"/>
        <v>-</v>
      </c>
      <c r="E757" s="9" t="s">
        <v>11</v>
      </c>
      <c r="F757" s="10"/>
      <c r="G757" s="9"/>
      <c r="H757" s="26"/>
      <c r="I757" s="9" t="s">
        <v>13</v>
      </c>
      <c r="J757" s="44"/>
    </row>
    <row r="758">
      <c r="A758" s="42" t="s">
        <v>88</v>
      </c>
      <c r="B758" s="11"/>
      <c r="C758" s="8" t="s">
        <v>11</v>
      </c>
      <c r="D758" s="8" t="str">
        <f t="shared" si="1"/>
        <v>-</v>
      </c>
      <c r="E758" s="9" t="s">
        <v>11</v>
      </c>
      <c r="F758" s="10"/>
      <c r="G758" s="9"/>
      <c r="H758" s="26"/>
      <c r="I758" s="9" t="s">
        <v>13</v>
      </c>
      <c r="J758" s="44"/>
    </row>
    <row r="759">
      <c r="A759" s="42" t="s">
        <v>88</v>
      </c>
      <c r="B759" s="11"/>
      <c r="C759" s="8" t="s">
        <v>11</v>
      </c>
      <c r="D759" s="8" t="str">
        <f t="shared" si="1"/>
        <v>-</v>
      </c>
      <c r="E759" s="9" t="s">
        <v>11</v>
      </c>
      <c r="F759" s="10"/>
      <c r="G759" s="9"/>
      <c r="H759" s="26"/>
      <c r="I759" s="9" t="s">
        <v>13</v>
      </c>
      <c r="J759" s="44"/>
    </row>
    <row r="760">
      <c r="A760" s="42" t="s">
        <v>88</v>
      </c>
      <c r="B760" s="11"/>
      <c r="C760" s="8" t="s">
        <v>11</v>
      </c>
      <c r="D760" s="8" t="str">
        <f t="shared" si="1"/>
        <v>-</v>
      </c>
      <c r="E760" s="9" t="s">
        <v>11</v>
      </c>
      <c r="F760" s="10"/>
      <c r="G760" s="9"/>
      <c r="H760" s="26"/>
      <c r="I760" s="9" t="s">
        <v>13</v>
      </c>
      <c r="J760" s="44"/>
    </row>
    <row r="761">
      <c r="A761" s="42" t="s">
        <v>88</v>
      </c>
      <c r="B761" s="11"/>
      <c r="C761" s="8" t="s">
        <v>11</v>
      </c>
      <c r="D761" s="8" t="str">
        <f t="shared" si="1"/>
        <v>-</v>
      </c>
      <c r="E761" s="9" t="s">
        <v>11</v>
      </c>
      <c r="F761" s="10"/>
      <c r="G761" s="9"/>
      <c r="H761" s="26"/>
      <c r="I761" s="9" t="s">
        <v>13</v>
      </c>
      <c r="J761" s="44"/>
    </row>
    <row r="762">
      <c r="A762" s="42" t="s">
        <v>88</v>
      </c>
      <c r="B762" s="11"/>
      <c r="C762" s="8" t="s">
        <v>11</v>
      </c>
      <c r="D762" s="8" t="str">
        <f t="shared" si="1"/>
        <v>-</v>
      </c>
      <c r="E762" s="9" t="s">
        <v>11</v>
      </c>
      <c r="F762" s="10"/>
      <c r="G762" s="9"/>
      <c r="H762" s="26"/>
      <c r="I762" s="9" t="s">
        <v>13</v>
      </c>
      <c r="J762" s="44"/>
    </row>
    <row r="763">
      <c r="A763" s="42" t="s">
        <v>88</v>
      </c>
      <c r="B763" s="11"/>
      <c r="C763" s="8" t="s">
        <v>11</v>
      </c>
      <c r="D763" s="8" t="str">
        <f t="shared" si="1"/>
        <v>-</v>
      </c>
      <c r="E763" s="9" t="s">
        <v>11</v>
      </c>
      <c r="F763" s="10"/>
      <c r="G763" s="9"/>
      <c r="H763" s="26"/>
      <c r="I763" s="9" t="s">
        <v>13</v>
      </c>
      <c r="J763" s="44"/>
    </row>
    <row r="764">
      <c r="A764" s="42" t="s">
        <v>88</v>
      </c>
      <c r="B764" s="11"/>
      <c r="C764" s="8" t="s">
        <v>11</v>
      </c>
      <c r="D764" s="8" t="str">
        <f t="shared" si="1"/>
        <v>-</v>
      </c>
      <c r="E764" s="9" t="s">
        <v>11</v>
      </c>
      <c r="F764" s="10"/>
      <c r="G764" s="9"/>
      <c r="H764" s="26"/>
      <c r="I764" s="9" t="s">
        <v>13</v>
      </c>
      <c r="J764" s="44"/>
    </row>
    <row r="765">
      <c r="A765" s="42" t="s">
        <v>88</v>
      </c>
      <c r="B765" s="11"/>
      <c r="C765" s="8" t="s">
        <v>11</v>
      </c>
      <c r="D765" s="8" t="str">
        <f t="shared" si="1"/>
        <v>-</v>
      </c>
      <c r="E765" s="9" t="s">
        <v>11</v>
      </c>
      <c r="F765" s="10"/>
      <c r="G765" s="9"/>
      <c r="H765" s="26"/>
      <c r="I765" s="9" t="s">
        <v>13</v>
      </c>
      <c r="J765" s="44"/>
    </row>
    <row r="766">
      <c r="A766" s="42" t="s">
        <v>88</v>
      </c>
      <c r="B766" s="11"/>
      <c r="C766" s="8" t="s">
        <v>11</v>
      </c>
      <c r="D766" s="8" t="str">
        <f t="shared" si="1"/>
        <v>-</v>
      </c>
      <c r="E766" s="9" t="s">
        <v>11</v>
      </c>
      <c r="F766" s="10"/>
      <c r="G766" s="9"/>
      <c r="H766" s="26"/>
      <c r="I766" s="9" t="s">
        <v>13</v>
      </c>
      <c r="J766" s="44"/>
    </row>
    <row r="767">
      <c r="A767" s="42" t="s">
        <v>88</v>
      </c>
      <c r="B767" s="11"/>
      <c r="C767" s="8" t="s">
        <v>11</v>
      </c>
      <c r="D767" s="8" t="str">
        <f t="shared" si="1"/>
        <v>-</v>
      </c>
      <c r="E767" s="9" t="s">
        <v>11</v>
      </c>
      <c r="F767" s="10"/>
      <c r="G767" s="9"/>
      <c r="H767" s="26"/>
      <c r="I767" s="9" t="s">
        <v>13</v>
      </c>
      <c r="J767" s="44"/>
    </row>
    <row r="768">
      <c r="A768" s="42" t="s">
        <v>88</v>
      </c>
      <c r="B768" s="11"/>
      <c r="C768" s="8" t="s">
        <v>11</v>
      </c>
      <c r="D768" s="8" t="str">
        <f t="shared" si="1"/>
        <v>-</v>
      </c>
      <c r="E768" s="9" t="s">
        <v>11</v>
      </c>
      <c r="F768" s="10"/>
      <c r="G768" s="9"/>
      <c r="H768" s="26"/>
      <c r="I768" s="9" t="s">
        <v>13</v>
      </c>
      <c r="J768" s="44"/>
    </row>
    <row r="769">
      <c r="A769" s="42" t="s">
        <v>88</v>
      </c>
      <c r="B769" s="11"/>
      <c r="C769" s="8" t="s">
        <v>11</v>
      </c>
      <c r="D769" s="8" t="str">
        <f t="shared" si="1"/>
        <v>-</v>
      </c>
      <c r="E769" s="9" t="s">
        <v>11</v>
      </c>
      <c r="F769" s="10"/>
      <c r="G769" s="9"/>
      <c r="H769" s="26"/>
      <c r="I769" s="9" t="s">
        <v>13</v>
      </c>
      <c r="J769" s="44"/>
    </row>
    <row r="770">
      <c r="A770" s="42" t="s">
        <v>88</v>
      </c>
      <c r="B770" s="11"/>
      <c r="C770" s="8" t="s">
        <v>11</v>
      </c>
      <c r="D770" s="8" t="str">
        <f t="shared" si="1"/>
        <v>-</v>
      </c>
      <c r="E770" s="9" t="s">
        <v>11</v>
      </c>
      <c r="F770" s="10"/>
      <c r="G770" s="9"/>
      <c r="H770" s="26"/>
      <c r="I770" s="9" t="s">
        <v>13</v>
      </c>
      <c r="J770" s="44"/>
    </row>
    <row r="771">
      <c r="A771" s="42" t="s">
        <v>88</v>
      </c>
      <c r="B771" s="11"/>
      <c r="C771" s="8" t="s">
        <v>11</v>
      </c>
      <c r="D771" s="8" t="str">
        <f t="shared" si="1"/>
        <v>-</v>
      </c>
      <c r="E771" s="9" t="s">
        <v>11</v>
      </c>
      <c r="F771" s="10"/>
      <c r="G771" s="9"/>
      <c r="H771" s="26"/>
      <c r="I771" s="9" t="s">
        <v>13</v>
      </c>
      <c r="J771" s="44"/>
    </row>
    <row r="772">
      <c r="A772" s="42" t="s">
        <v>88</v>
      </c>
      <c r="B772" s="11"/>
      <c r="C772" s="8" t="s">
        <v>11</v>
      </c>
      <c r="D772" s="8" t="str">
        <f t="shared" si="1"/>
        <v>-</v>
      </c>
      <c r="E772" s="9" t="s">
        <v>11</v>
      </c>
      <c r="F772" s="10"/>
      <c r="G772" s="9"/>
      <c r="H772" s="26"/>
      <c r="I772" s="9" t="s">
        <v>13</v>
      </c>
      <c r="J772" s="44"/>
    </row>
    <row r="773">
      <c r="A773" s="42" t="s">
        <v>88</v>
      </c>
      <c r="B773" s="11"/>
      <c r="C773" s="8" t="s">
        <v>11</v>
      </c>
      <c r="D773" s="8" t="str">
        <f t="shared" si="1"/>
        <v>-</v>
      </c>
      <c r="E773" s="9" t="s">
        <v>11</v>
      </c>
      <c r="F773" s="10"/>
      <c r="G773" s="9"/>
      <c r="H773" s="26"/>
      <c r="I773" s="9" t="s">
        <v>13</v>
      </c>
      <c r="J773" s="44"/>
    </row>
    <row r="774">
      <c r="A774" s="42" t="s">
        <v>88</v>
      </c>
      <c r="B774" s="11"/>
      <c r="C774" s="8" t="s">
        <v>11</v>
      </c>
      <c r="D774" s="8" t="str">
        <f t="shared" si="1"/>
        <v>-</v>
      </c>
      <c r="E774" s="9" t="s">
        <v>11</v>
      </c>
      <c r="F774" s="10"/>
      <c r="G774" s="9"/>
      <c r="H774" s="26"/>
      <c r="I774" s="9" t="s">
        <v>13</v>
      </c>
      <c r="J774" s="44"/>
    </row>
    <row r="775">
      <c r="A775" s="42" t="s">
        <v>88</v>
      </c>
      <c r="B775" s="11"/>
      <c r="C775" s="8" t="s">
        <v>11</v>
      </c>
      <c r="D775" s="8" t="str">
        <f t="shared" si="1"/>
        <v>-</v>
      </c>
      <c r="E775" s="9" t="s">
        <v>11</v>
      </c>
      <c r="F775" s="10"/>
      <c r="G775" s="9"/>
      <c r="H775" s="26"/>
      <c r="I775" s="9" t="s">
        <v>13</v>
      </c>
      <c r="J775" s="44"/>
    </row>
    <row r="776">
      <c r="A776" s="42" t="s">
        <v>88</v>
      </c>
      <c r="B776" s="11"/>
      <c r="C776" s="8" t="s">
        <v>11</v>
      </c>
      <c r="D776" s="8" t="str">
        <f t="shared" si="1"/>
        <v>-</v>
      </c>
      <c r="E776" s="9" t="s">
        <v>11</v>
      </c>
      <c r="F776" s="10"/>
      <c r="G776" s="9"/>
      <c r="H776" s="26"/>
      <c r="I776" s="9" t="s">
        <v>13</v>
      </c>
      <c r="J776" s="44"/>
    </row>
    <row r="777">
      <c r="A777" s="42" t="s">
        <v>88</v>
      </c>
      <c r="B777" s="11"/>
      <c r="C777" s="8" t="s">
        <v>11</v>
      </c>
      <c r="D777" s="8" t="str">
        <f t="shared" si="1"/>
        <v>-</v>
      </c>
      <c r="E777" s="9" t="s">
        <v>11</v>
      </c>
      <c r="F777" s="10"/>
      <c r="G777" s="9"/>
      <c r="H777" s="26"/>
      <c r="I777" s="9" t="s">
        <v>13</v>
      </c>
      <c r="J777" s="44"/>
    </row>
    <row r="778">
      <c r="A778" s="42" t="s">
        <v>88</v>
      </c>
      <c r="B778" s="11"/>
      <c r="C778" s="8" t="s">
        <v>11</v>
      </c>
      <c r="D778" s="8" t="str">
        <f t="shared" si="1"/>
        <v>-</v>
      </c>
      <c r="E778" s="9" t="s">
        <v>11</v>
      </c>
      <c r="F778" s="10"/>
      <c r="G778" s="9"/>
      <c r="H778" s="26"/>
      <c r="I778" s="9" t="s">
        <v>13</v>
      </c>
      <c r="J778" s="44"/>
    </row>
    <row r="779">
      <c r="A779" s="42" t="s">
        <v>88</v>
      </c>
      <c r="B779" s="11"/>
      <c r="C779" s="8" t="s">
        <v>11</v>
      </c>
      <c r="D779" s="8" t="str">
        <f t="shared" si="1"/>
        <v>-</v>
      </c>
      <c r="E779" s="9" t="s">
        <v>11</v>
      </c>
      <c r="F779" s="10"/>
      <c r="G779" s="9"/>
      <c r="H779" s="26"/>
      <c r="I779" s="9" t="s">
        <v>13</v>
      </c>
      <c r="J779" s="44"/>
    </row>
    <row r="780">
      <c r="A780" s="42" t="s">
        <v>88</v>
      </c>
      <c r="B780" s="11"/>
      <c r="C780" s="8" t="s">
        <v>11</v>
      </c>
      <c r="D780" s="8" t="str">
        <f t="shared" si="1"/>
        <v>-</v>
      </c>
      <c r="E780" s="9" t="s">
        <v>11</v>
      </c>
      <c r="F780" s="10"/>
      <c r="G780" s="9"/>
      <c r="H780" s="26"/>
      <c r="I780" s="9" t="s">
        <v>13</v>
      </c>
      <c r="J780" s="44"/>
    </row>
    <row r="781">
      <c r="A781" s="42" t="s">
        <v>88</v>
      </c>
      <c r="B781" s="11"/>
      <c r="C781" s="8" t="s">
        <v>11</v>
      </c>
      <c r="D781" s="8" t="str">
        <f t="shared" si="1"/>
        <v>-</v>
      </c>
      <c r="E781" s="9" t="s">
        <v>11</v>
      </c>
      <c r="F781" s="10"/>
      <c r="G781" s="9"/>
      <c r="H781" s="26"/>
      <c r="I781" s="9" t="s">
        <v>13</v>
      </c>
      <c r="J781" s="44"/>
    </row>
    <row r="782">
      <c r="A782" s="42" t="s">
        <v>88</v>
      </c>
      <c r="B782" s="11"/>
      <c r="C782" s="8" t="s">
        <v>11</v>
      </c>
      <c r="D782" s="8" t="str">
        <f t="shared" si="1"/>
        <v>-</v>
      </c>
      <c r="E782" s="9" t="s">
        <v>11</v>
      </c>
      <c r="F782" s="10"/>
      <c r="G782" s="9"/>
      <c r="H782" s="26"/>
      <c r="I782" s="9" t="s">
        <v>13</v>
      </c>
      <c r="J782" s="44"/>
    </row>
    <row r="783">
      <c r="A783" s="42" t="s">
        <v>88</v>
      </c>
      <c r="B783" s="11"/>
      <c r="C783" s="8" t="s">
        <v>11</v>
      </c>
      <c r="D783" s="8" t="str">
        <f t="shared" si="1"/>
        <v>-</v>
      </c>
      <c r="E783" s="9" t="s">
        <v>11</v>
      </c>
      <c r="F783" s="10"/>
      <c r="G783" s="9"/>
      <c r="H783" s="26"/>
      <c r="I783" s="9" t="s">
        <v>13</v>
      </c>
      <c r="J783" s="44"/>
    </row>
    <row r="784">
      <c r="A784" s="42" t="s">
        <v>88</v>
      </c>
      <c r="B784" s="11"/>
      <c r="C784" s="8" t="s">
        <v>11</v>
      </c>
      <c r="D784" s="8" t="str">
        <f t="shared" si="1"/>
        <v>-</v>
      </c>
      <c r="E784" s="9" t="s">
        <v>11</v>
      </c>
      <c r="F784" s="10"/>
      <c r="G784" s="9"/>
      <c r="H784" s="26"/>
      <c r="I784" s="9" t="s">
        <v>13</v>
      </c>
      <c r="J784" s="44"/>
    </row>
    <row r="785">
      <c r="A785" s="42" t="s">
        <v>88</v>
      </c>
      <c r="B785" s="11"/>
      <c r="C785" s="8" t="s">
        <v>11</v>
      </c>
      <c r="D785" s="8" t="str">
        <f t="shared" si="1"/>
        <v>-</v>
      </c>
      <c r="E785" s="9" t="s">
        <v>11</v>
      </c>
      <c r="F785" s="10"/>
      <c r="G785" s="9"/>
      <c r="H785" s="26"/>
      <c r="I785" s="9" t="s">
        <v>13</v>
      </c>
      <c r="J785" s="44"/>
    </row>
    <row r="786">
      <c r="A786" s="42" t="s">
        <v>88</v>
      </c>
      <c r="B786" s="11"/>
      <c r="C786" s="8" t="s">
        <v>11</v>
      </c>
      <c r="D786" s="8" t="str">
        <f t="shared" si="1"/>
        <v>-</v>
      </c>
      <c r="E786" s="9" t="s">
        <v>11</v>
      </c>
      <c r="F786" s="10"/>
      <c r="G786" s="9"/>
      <c r="H786" s="26"/>
      <c r="I786" s="9" t="s">
        <v>13</v>
      </c>
      <c r="J786" s="44"/>
    </row>
    <row r="787">
      <c r="A787" s="42" t="s">
        <v>88</v>
      </c>
      <c r="B787" s="11"/>
      <c r="C787" s="8" t="s">
        <v>11</v>
      </c>
      <c r="D787" s="8" t="str">
        <f t="shared" si="1"/>
        <v>-</v>
      </c>
      <c r="E787" s="9" t="s">
        <v>11</v>
      </c>
      <c r="F787" s="10"/>
      <c r="G787" s="9"/>
      <c r="H787" s="26"/>
      <c r="I787" s="9" t="s">
        <v>13</v>
      </c>
      <c r="J787" s="44"/>
    </row>
    <row r="788">
      <c r="A788" s="42" t="s">
        <v>88</v>
      </c>
      <c r="B788" s="11"/>
      <c r="C788" s="8" t="s">
        <v>11</v>
      </c>
      <c r="D788" s="8" t="str">
        <f t="shared" si="1"/>
        <v>-</v>
      </c>
      <c r="E788" s="9" t="s">
        <v>11</v>
      </c>
      <c r="F788" s="10"/>
      <c r="G788" s="9"/>
      <c r="H788" s="26"/>
      <c r="I788" s="9" t="s">
        <v>13</v>
      </c>
      <c r="J788" s="44"/>
    </row>
    <row r="789">
      <c r="A789" s="42" t="s">
        <v>88</v>
      </c>
      <c r="B789" s="11"/>
      <c r="C789" s="8" t="s">
        <v>11</v>
      </c>
      <c r="D789" s="8" t="str">
        <f t="shared" si="1"/>
        <v>-</v>
      </c>
      <c r="E789" s="9" t="s">
        <v>11</v>
      </c>
      <c r="F789" s="10"/>
      <c r="G789" s="9"/>
      <c r="H789" s="26"/>
      <c r="I789" s="9" t="s">
        <v>13</v>
      </c>
      <c r="J789" s="44"/>
    </row>
    <row r="790">
      <c r="A790" s="42" t="s">
        <v>88</v>
      </c>
      <c r="B790" s="11"/>
      <c r="C790" s="8" t="s">
        <v>11</v>
      </c>
      <c r="D790" s="8" t="str">
        <f t="shared" si="1"/>
        <v>-</v>
      </c>
      <c r="E790" s="9" t="s">
        <v>11</v>
      </c>
      <c r="F790" s="10"/>
      <c r="G790" s="9"/>
      <c r="H790" s="26"/>
      <c r="I790" s="9" t="s">
        <v>13</v>
      </c>
      <c r="J790" s="44"/>
    </row>
    <row r="791">
      <c r="A791" s="42" t="s">
        <v>88</v>
      </c>
      <c r="B791" s="11"/>
      <c r="C791" s="8" t="s">
        <v>11</v>
      </c>
      <c r="D791" s="8" t="str">
        <f t="shared" si="1"/>
        <v>-</v>
      </c>
      <c r="E791" s="9" t="s">
        <v>11</v>
      </c>
      <c r="F791" s="10"/>
      <c r="G791" s="9"/>
      <c r="H791" s="26"/>
      <c r="I791" s="9" t="s">
        <v>13</v>
      </c>
      <c r="J791" s="44"/>
    </row>
    <row r="792">
      <c r="A792" s="42" t="s">
        <v>88</v>
      </c>
      <c r="B792" s="11"/>
      <c r="C792" s="8" t="s">
        <v>11</v>
      </c>
      <c r="D792" s="8" t="str">
        <f t="shared" si="1"/>
        <v>-</v>
      </c>
      <c r="E792" s="9" t="s">
        <v>11</v>
      </c>
      <c r="F792" s="10"/>
      <c r="G792" s="9"/>
      <c r="H792" s="26"/>
      <c r="I792" s="9" t="s">
        <v>13</v>
      </c>
      <c r="J792" s="44"/>
    </row>
    <row r="793">
      <c r="A793" s="42" t="s">
        <v>88</v>
      </c>
      <c r="B793" s="11"/>
      <c r="C793" s="8" t="s">
        <v>11</v>
      </c>
      <c r="D793" s="8" t="str">
        <f t="shared" si="1"/>
        <v>-</v>
      </c>
      <c r="E793" s="9" t="s">
        <v>11</v>
      </c>
      <c r="F793" s="10"/>
      <c r="G793" s="9"/>
      <c r="H793" s="26"/>
      <c r="I793" s="9" t="s">
        <v>13</v>
      </c>
      <c r="J793" s="44"/>
    </row>
    <row r="794">
      <c r="A794" s="42" t="s">
        <v>88</v>
      </c>
      <c r="B794" s="11"/>
      <c r="C794" s="8" t="s">
        <v>11</v>
      </c>
      <c r="D794" s="8" t="str">
        <f t="shared" si="1"/>
        <v>-</v>
      </c>
      <c r="E794" s="9" t="s">
        <v>11</v>
      </c>
      <c r="F794" s="10"/>
      <c r="G794" s="9"/>
      <c r="H794" s="26"/>
      <c r="I794" s="9" t="s">
        <v>13</v>
      </c>
      <c r="J794" s="44"/>
    </row>
    <row r="795">
      <c r="A795" s="42" t="s">
        <v>88</v>
      </c>
      <c r="B795" s="11"/>
      <c r="C795" s="8" t="s">
        <v>11</v>
      </c>
      <c r="D795" s="8" t="str">
        <f t="shared" si="1"/>
        <v>-</v>
      </c>
      <c r="E795" s="9" t="s">
        <v>11</v>
      </c>
      <c r="F795" s="10"/>
      <c r="G795" s="9"/>
      <c r="H795" s="26"/>
      <c r="I795" s="9" t="s">
        <v>13</v>
      </c>
      <c r="J795" s="44"/>
    </row>
    <row r="796">
      <c r="A796" s="42" t="s">
        <v>88</v>
      </c>
      <c r="B796" s="11"/>
      <c r="C796" s="8" t="s">
        <v>11</v>
      </c>
      <c r="D796" s="8" t="str">
        <f t="shared" si="1"/>
        <v>-</v>
      </c>
      <c r="E796" s="9" t="s">
        <v>11</v>
      </c>
      <c r="F796" s="10"/>
      <c r="G796" s="9"/>
      <c r="H796" s="26"/>
      <c r="I796" s="9" t="s">
        <v>13</v>
      </c>
      <c r="J796" s="44"/>
    </row>
    <row r="797">
      <c r="A797" s="42" t="s">
        <v>88</v>
      </c>
      <c r="B797" s="11"/>
      <c r="C797" s="8" t="s">
        <v>11</v>
      </c>
      <c r="D797" s="8" t="str">
        <f t="shared" si="1"/>
        <v>-</v>
      </c>
      <c r="E797" s="9" t="s">
        <v>11</v>
      </c>
      <c r="F797" s="10"/>
      <c r="G797" s="9"/>
      <c r="H797" s="26"/>
      <c r="I797" s="9" t="s">
        <v>13</v>
      </c>
      <c r="J797" s="44"/>
    </row>
    <row r="798">
      <c r="A798" s="42" t="s">
        <v>88</v>
      </c>
      <c r="B798" s="11"/>
      <c r="C798" s="8" t="s">
        <v>11</v>
      </c>
      <c r="D798" s="8" t="str">
        <f t="shared" si="1"/>
        <v>-</v>
      </c>
      <c r="E798" s="9" t="s">
        <v>11</v>
      </c>
      <c r="F798" s="10"/>
      <c r="G798" s="9"/>
      <c r="H798" s="26"/>
      <c r="I798" s="9" t="s">
        <v>13</v>
      </c>
      <c r="J798" s="44"/>
    </row>
    <row r="799">
      <c r="A799" s="42" t="s">
        <v>88</v>
      </c>
      <c r="B799" s="11"/>
      <c r="C799" s="8" t="s">
        <v>11</v>
      </c>
      <c r="D799" s="8" t="str">
        <f t="shared" si="1"/>
        <v>-</v>
      </c>
      <c r="E799" s="9" t="s">
        <v>11</v>
      </c>
      <c r="F799" s="10"/>
      <c r="G799" s="9"/>
      <c r="H799" s="26"/>
      <c r="I799" s="9" t="s">
        <v>13</v>
      </c>
      <c r="J799" s="44"/>
    </row>
    <row r="800">
      <c r="A800" s="42" t="s">
        <v>88</v>
      </c>
      <c r="B800" s="11"/>
      <c r="C800" s="8" t="s">
        <v>11</v>
      </c>
      <c r="D800" s="8" t="str">
        <f t="shared" si="1"/>
        <v>-</v>
      </c>
      <c r="E800" s="9" t="s">
        <v>11</v>
      </c>
      <c r="F800" s="10"/>
      <c r="G800" s="9"/>
      <c r="H800" s="26"/>
      <c r="I800" s="9" t="s">
        <v>13</v>
      </c>
      <c r="J800" s="44"/>
    </row>
    <row r="801">
      <c r="A801" s="42" t="s">
        <v>88</v>
      </c>
      <c r="B801" s="11"/>
      <c r="C801" s="8" t="s">
        <v>11</v>
      </c>
      <c r="D801" s="8" t="str">
        <f t="shared" si="1"/>
        <v>-</v>
      </c>
      <c r="E801" s="9" t="s">
        <v>11</v>
      </c>
      <c r="F801" s="10"/>
      <c r="G801" s="9"/>
      <c r="H801" s="26"/>
      <c r="I801" s="9" t="s">
        <v>13</v>
      </c>
      <c r="J801" s="44"/>
    </row>
    <row r="802">
      <c r="A802" s="42" t="s">
        <v>88</v>
      </c>
      <c r="B802" s="11"/>
      <c r="C802" s="8" t="s">
        <v>11</v>
      </c>
      <c r="D802" s="8" t="str">
        <f t="shared" si="1"/>
        <v>-</v>
      </c>
      <c r="E802" s="9" t="s">
        <v>11</v>
      </c>
      <c r="F802" s="10"/>
      <c r="G802" s="9"/>
      <c r="H802" s="26"/>
      <c r="I802" s="9" t="s">
        <v>13</v>
      </c>
      <c r="J802" s="44"/>
    </row>
    <row r="803">
      <c r="A803" s="42" t="s">
        <v>88</v>
      </c>
      <c r="B803" s="11"/>
      <c r="C803" s="8" t="s">
        <v>11</v>
      </c>
      <c r="D803" s="8" t="str">
        <f t="shared" si="1"/>
        <v>-</v>
      </c>
      <c r="E803" s="9" t="s">
        <v>11</v>
      </c>
      <c r="F803" s="10"/>
      <c r="G803" s="9"/>
      <c r="H803" s="26"/>
      <c r="I803" s="9" t="s">
        <v>13</v>
      </c>
      <c r="J803" s="44"/>
    </row>
    <row r="804">
      <c r="A804" s="42" t="s">
        <v>88</v>
      </c>
      <c r="B804" s="11"/>
      <c r="C804" s="8" t="s">
        <v>11</v>
      </c>
      <c r="D804" s="8" t="str">
        <f t="shared" si="1"/>
        <v>-</v>
      </c>
      <c r="E804" s="9" t="s">
        <v>11</v>
      </c>
      <c r="F804" s="10"/>
      <c r="G804" s="9"/>
      <c r="H804" s="26"/>
      <c r="I804" s="9" t="s">
        <v>13</v>
      </c>
      <c r="J804" s="44"/>
    </row>
    <row r="805">
      <c r="A805" s="42" t="s">
        <v>88</v>
      </c>
      <c r="B805" s="11"/>
      <c r="C805" s="8" t="s">
        <v>11</v>
      </c>
      <c r="D805" s="8" t="str">
        <f t="shared" si="1"/>
        <v>-</v>
      </c>
      <c r="E805" s="9" t="s">
        <v>11</v>
      </c>
      <c r="F805" s="10"/>
      <c r="G805" s="9"/>
      <c r="H805" s="26"/>
      <c r="I805" s="9" t="s">
        <v>13</v>
      </c>
      <c r="J805" s="44"/>
    </row>
    <row r="806">
      <c r="A806" s="42" t="s">
        <v>88</v>
      </c>
      <c r="B806" s="11"/>
      <c r="C806" s="8" t="s">
        <v>11</v>
      </c>
      <c r="D806" s="8" t="str">
        <f t="shared" si="1"/>
        <v>-</v>
      </c>
      <c r="E806" s="9" t="s">
        <v>11</v>
      </c>
      <c r="F806" s="10"/>
      <c r="G806" s="9"/>
      <c r="H806" s="26"/>
      <c r="I806" s="9" t="s">
        <v>13</v>
      </c>
      <c r="J806" s="44"/>
    </row>
    <row r="807">
      <c r="A807" s="42" t="s">
        <v>88</v>
      </c>
      <c r="B807" s="11"/>
      <c r="C807" s="8" t="s">
        <v>11</v>
      </c>
      <c r="D807" s="8" t="str">
        <f t="shared" si="1"/>
        <v>-</v>
      </c>
      <c r="E807" s="9" t="s">
        <v>11</v>
      </c>
      <c r="F807" s="10"/>
      <c r="G807" s="9"/>
      <c r="H807" s="26"/>
      <c r="I807" s="9" t="s">
        <v>13</v>
      </c>
      <c r="J807" s="44"/>
    </row>
    <row r="808">
      <c r="A808" s="42" t="s">
        <v>88</v>
      </c>
      <c r="B808" s="11"/>
      <c r="C808" s="8" t="s">
        <v>11</v>
      </c>
      <c r="D808" s="8" t="str">
        <f t="shared" si="1"/>
        <v>-</v>
      </c>
      <c r="E808" s="9" t="s">
        <v>11</v>
      </c>
      <c r="F808" s="10"/>
      <c r="G808" s="9"/>
      <c r="H808" s="26"/>
      <c r="I808" s="9" t="s">
        <v>13</v>
      </c>
      <c r="J808" s="44"/>
    </row>
    <row r="809">
      <c r="A809" s="42" t="s">
        <v>88</v>
      </c>
      <c r="B809" s="11"/>
      <c r="C809" s="8" t="s">
        <v>11</v>
      </c>
      <c r="D809" s="8" t="str">
        <f t="shared" si="1"/>
        <v>-</v>
      </c>
      <c r="E809" s="9" t="s">
        <v>11</v>
      </c>
      <c r="F809" s="10"/>
      <c r="G809" s="9"/>
      <c r="H809" s="26"/>
      <c r="I809" s="9" t="s">
        <v>13</v>
      </c>
      <c r="J809" s="44"/>
    </row>
    <row r="810">
      <c r="A810" s="42" t="s">
        <v>88</v>
      </c>
      <c r="B810" s="11"/>
      <c r="C810" s="8" t="s">
        <v>11</v>
      </c>
      <c r="D810" s="8" t="str">
        <f t="shared" si="1"/>
        <v>-</v>
      </c>
      <c r="E810" s="9" t="s">
        <v>11</v>
      </c>
      <c r="F810" s="10"/>
      <c r="G810" s="9"/>
      <c r="H810" s="26"/>
      <c r="I810" s="9" t="s">
        <v>13</v>
      </c>
      <c r="J810" s="44"/>
    </row>
    <row r="811">
      <c r="A811" s="42" t="s">
        <v>88</v>
      </c>
      <c r="B811" s="11"/>
      <c r="C811" s="8" t="s">
        <v>11</v>
      </c>
      <c r="D811" s="8" t="str">
        <f t="shared" si="1"/>
        <v>-</v>
      </c>
      <c r="E811" s="9" t="s">
        <v>11</v>
      </c>
      <c r="F811" s="10"/>
      <c r="G811" s="9"/>
      <c r="H811" s="26"/>
      <c r="I811" s="9" t="s">
        <v>13</v>
      </c>
      <c r="J811" s="44"/>
    </row>
    <row r="812">
      <c r="A812" s="42" t="s">
        <v>88</v>
      </c>
      <c r="B812" s="11"/>
      <c r="C812" s="8" t="s">
        <v>11</v>
      </c>
      <c r="D812" s="8" t="str">
        <f t="shared" si="1"/>
        <v>-</v>
      </c>
      <c r="E812" s="9" t="s">
        <v>11</v>
      </c>
      <c r="F812" s="10"/>
      <c r="G812" s="9"/>
      <c r="H812" s="26"/>
      <c r="I812" s="9" t="s">
        <v>13</v>
      </c>
      <c r="J812" s="44"/>
    </row>
    <row r="813">
      <c r="A813" s="42" t="s">
        <v>88</v>
      </c>
      <c r="B813" s="11"/>
      <c r="C813" s="8" t="s">
        <v>11</v>
      </c>
      <c r="D813" s="8" t="str">
        <f t="shared" si="1"/>
        <v>-</v>
      </c>
      <c r="E813" s="9" t="s">
        <v>11</v>
      </c>
      <c r="F813" s="10"/>
      <c r="G813" s="9"/>
      <c r="H813" s="26"/>
      <c r="I813" s="9" t="s">
        <v>13</v>
      </c>
      <c r="J813" s="44"/>
    </row>
    <row r="814">
      <c r="A814" s="42" t="s">
        <v>88</v>
      </c>
      <c r="B814" s="11"/>
      <c r="C814" s="8" t="s">
        <v>11</v>
      </c>
      <c r="D814" s="8" t="str">
        <f t="shared" si="1"/>
        <v>-</v>
      </c>
      <c r="E814" s="9" t="s">
        <v>11</v>
      </c>
      <c r="F814" s="10"/>
      <c r="G814" s="9"/>
      <c r="H814" s="26"/>
      <c r="I814" s="9" t="s">
        <v>13</v>
      </c>
      <c r="J814" s="44"/>
    </row>
    <row r="815">
      <c r="A815" s="42" t="s">
        <v>88</v>
      </c>
      <c r="B815" s="11"/>
      <c r="C815" s="8" t="s">
        <v>11</v>
      </c>
      <c r="D815" s="8" t="str">
        <f t="shared" si="1"/>
        <v>-</v>
      </c>
      <c r="E815" s="9" t="s">
        <v>11</v>
      </c>
      <c r="F815" s="10"/>
      <c r="G815" s="9"/>
      <c r="H815" s="26"/>
      <c r="I815" s="9" t="s">
        <v>13</v>
      </c>
      <c r="J815" s="44"/>
    </row>
    <row r="816">
      <c r="A816" s="42" t="s">
        <v>88</v>
      </c>
      <c r="B816" s="11"/>
      <c r="C816" s="8" t="s">
        <v>11</v>
      </c>
      <c r="D816" s="8" t="str">
        <f t="shared" si="1"/>
        <v>-</v>
      </c>
      <c r="E816" s="9" t="s">
        <v>11</v>
      </c>
      <c r="F816" s="10"/>
      <c r="G816" s="9"/>
      <c r="H816" s="26"/>
      <c r="I816" s="9" t="s">
        <v>13</v>
      </c>
      <c r="J816" s="44"/>
    </row>
    <row r="817">
      <c r="A817" s="42" t="s">
        <v>88</v>
      </c>
      <c r="B817" s="11"/>
      <c r="C817" s="8" t="s">
        <v>11</v>
      </c>
      <c r="D817" s="8" t="str">
        <f t="shared" si="1"/>
        <v>-</v>
      </c>
      <c r="E817" s="9" t="s">
        <v>11</v>
      </c>
      <c r="F817" s="10"/>
      <c r="G817" s="9"/>
      <c r="H817" s="26"/>
      <c r="I817" s="9" t="s">
        <v>13</v>
      </c>
      <c r="J817" s="44"/>
    </row>
    <row r="818">
      <c r="A818" s="42" t="s">
        <v>88</v>
      </c>
      <c r="B818" s="11"/>
      <c r="C818" s="8" t="s">
        <v>11</v>
      </c>
      <c r="D818" s="8" t="str">
        <f t="shared" si="1"/>
        <v>-</v>
      </c>
      <c r="E818" s="9" t="s">
        <v>11</v>
      </c>
      <c r="F818" s="10"/>
      <c r="G818" s="9"/>
      <c r="H818" s="26"/>
      <c r="I818" s="9" t="s">
        <v>13</v>
      </c>
      <c r="J818" s="44"/>
    </row>
    <row r="819">
      <c r="A819" s="42" t="s">
        <v>88</v>
      </c>
      <c r="B819" s="11"/>
      <c r="C819" s="8" t="s">
        <v>11</v>
      </c>
      <c r="D819" s="8" t="str">
        <f t="shared" si="1"/>
        <v>-</v>
      </c>
      <c r="E819" s="9" t="s">
        <v>11</v>
      </c>
      <c r="F819" s="10"/>
      <c r="G819" s="9"/>
      <c r="H819" s="26"/>
      <c r="I819" s="9" t="s">
        <v>13</v>
      </c>
      <c r="J819" s="44"/>
    </row>
    <row r="820">
      <c r="A820" s="42" t="s">
        <v>88</v>
      </c>
      <c r="B820" s="11"/>
      <c r="C820" s="8" t="s">
        <v>11</v>
      </c>
      <c r="D820" s="8" t="str">
        <f t="shared" si="1"/>
        <v>-</v>
      </c>
      <c r="E820" s="9" t="s">
        <v>11</v>
      </c>
      <c r="F820" s="10"/>
      <c r="G820" s="9"/>
      <c r="H820" s="26"/>
      <c r="I820" s="9" t="s">
        <v>13</v>
      </c>
      <c r="J820" s="44"/>
    </row>
    <row r="821">
      <c r="A821" s="42" t="s">
        <v>88</v>
      </c>
      <c r="B821" s="11"/>
      <c r="C821" s="8" t="s">
        <v>11</v>
      </c>
      <c r="D821" s="8" t="str">
        <f t="shared" si="1"/>
        <v>-</v>
      </c>
      <c r="E821" s="9" t="s">
        <v>11</v>
      </c>
      <c r="F821" s="10"/>
      <c r="G821" s="9"/>
      <c r="H821" s="26"/>
      <c r="I821" s="9" t="s">
        <v>13</v>
      </c>
      <c r="J821" s="44"/>
    </row>
    <row r="822">
      <c r="A822" s="42" t="s">
        <v>88</v>
      </c>
      <c r="B822" s="11"/>
      <c r="C822" s="8" t="s">
        <v>11</v>
      </c>
      <c r="D822" s="8" t="str">
        <f t="shared" si="1"/>
        <v>-</v>
      </c>
      <c r="E822" s="9" t="s">
        <v>11</v>
      </c>
      <c r="F822" s="10"/>
      <c r="G822" s="9"/>
      <c r="H822" s="26"/>
      <c r="I822" s="9" t="s">
        <v>13</v>
      </c>
      <c r="J822" s="44"/>
    </row>
    <row r="823">
      <c r="A823" s="42" t="s">
        <v>88</v>
      </c>
      <c r="B823" s="11"/>
      <c r="C823" s="8" t="s">
        <v>11</v>
      </c>
      <c r="D823" s="8" t="str">
        <f t="shared" si="1"/>
        <v>-</v>
      </c>
      <c r="E823" s="9" t="s">
        <v>11</v>
      </c>
      <c r="F823" s="10"/>
      <c r="G823" s="9"/>
      <c r="H823" s="26"/>
      <c r="I823" s="9" t="s">
        <v>13</v>
      </c>
      <c r="J823" s="44"/>
    </row>
    <row r="824">
      <c r="A824" s="42" t="s">
        <v>88</v>
      </c>
      <c r="B824" s="11"/>
      <c r="C824" s="8" t="s">
        <v>11</v>
      </c>
      <c r="D824" s="8" t="str">
        <f t="shared" si="1"/>
        <v>-</v>
      </c>
      <c r="E824" s="9" t="s">
        <v>11</v>
      </c>
      <c r="F824" s="10"/>
      <c r="G824" s="9"/>
      <c r="H824" s="26"/>
      <c r="I824" s="9" t="s">
        <v>13</v>
      </c>
      <c r="J824" s="44"/>
    </row>
    <row r="825">
      <c r="A825" s="42" t="s">
        <v>88</v>
      </c>
      <c r="B825" s="11"/>
      <c r="C825" s="8" t="s">
        <v>11</v>
      </c>
      <c r="D825" s="8" t="str">
        <f t="shared" si="1"/>
        <v>-</v>
      </c>
      <c r="E825" s="9" t="s">
        <v>11</v>
      </c>
      <c r="F825" s="10"/>
      <c r="G825" s="9"/>
      <c r="H825" s="26"/>
      <c r="I825" s="9" t="s">
        <v>13</v>
      </c>
      <c r="J825" s="44"/>
    </row>
    <row r="826">
      <c r="A826" s="42" t="s">
        <v>88</v>
      </c>
      <c r="B826" s="11"/>
      <c r="C826" s="8" t="s">
        <v>11</v>
      </c>
      <c r="D826" s="8" t="str">
        <f t="shared" si="1"/>
        <v>-</v>
      </c>
      <c r="E826" s="9" t="s">
        <v>11</v>
      </c>
      <c r="F826" s="10"/>
      <c r="G826" s="9"/>
      <c r="H826" s="26"/>
      <c r="I826" s="9" t="s">
        <v>13</v>
      </c>
      <c r="J826" s="44"/>
    </row>
    <row r="827">
      <c r="A827" s="42" t="s">
        <v>88</v>
      </c>
      <c r="B827" s="11"/>
      <c r="C827" s="8"/>
      <c r="D827" s="8"/>
      <c r="E827" s="9"/>
      <c r="F827" s="10"/>
      <c r="G827" s="9"/>
      <c r="H827" s="26"/>
      <c r="I827" s="9"/>
      <c r="J827" s="44"/>
    </row>
  </sheetData>
  <mergeCells count="1">
    <mergeCell ref="A1:J1"/>
  </mergeCells>
  <conditionalFormatting sqref="A1:J827">
    <cfRule type="containsText" dxfId="0" priority="1" operator="containsText" text="FAB A FAIRE">
      <formula>NOT(ISERROR(SEARCH(("FAB A FAIRE"),(A1))))</formula>
    </cfRule>
  </conditionalFormatting>
  <conditionalFormatting sqref="B3:H827">
    <cfRule type="expression" dxfId="1" priority="2">
      <formula>$G3="Stand-by"</formula>
    </cfRule>
  </conditionalFormatting>
  <conditionalFormatting sqref="G2:G827">
    <cfRule type="cellIs" dxfId="2" priority="3" operator="equal">
      <formula>"A faire"</formula>
    </cfRule>
  </conditionalFormatting>
  <conditionalFormatting sqref="G2:G827">
    <cfRule type="cellIs" dxfId="3" priority="4" operator="equal">
      <formula>"En cours"</formula>
    </cfRule>
  </conditionalFormatting>
  <conditionalFormatting sqref="B3:H827">
    <cfRule type="expression" dxfId="4" priority="5">
      <formula>$G3="Sur T.L."</formula>
    </cfRule>
  </conditionalFormatting>
  <conditionalFormatting sqref="G2:G827">
    <cfRule type="cellIs" dxfId="5" priority="6" operator="equal">
      <formula>"Attente R."</formula>
    </cfRule>
  </conditionalFormatting>
  <dataValidations>
    <dataValidation type="list" allowBlank="1" sqref="E4 E6:E826">
      <formula1>"-,M,A,S"</formula1>
    </dataValidation>
    <dataValidation type="list" allowBlank="1" sqref="G3:G827">
      <formula1>"-,A faire,En cours,Attente R.,Stand-by,Sur T.L."</formula1>
    </dataValidation>
    <dataValidation type="list" allowBlank="1" sqref="E3 E5 E827">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54.0"/>
    <col customWidth="1" min="3" max="3" width="9.38"/>
    <col customWidth="1" min="4" max="4" width="12.13"/>
    <col customWidth="1" min="5" max="5" width="6.88"/>
    <col customWidth="1" min="6" max="6" width="8.63"/>
    <col customWidth="1" min="7" max="7" width="11.88"/>
    <col customWidth="1" min="8" max="8" width="47.25"/>
    <col customWidth="1" min="9" max="9" width="11.63"/>
    <col customWidth="1" min="10" max="10" width="2.63"/>
  </cols>
  <sheetData>
    <row r="1" ht="24.0" customHeight="1">
      <c r="A1" s="323" t="s">
        <v>9162</v>
      </c>
    </row>
    <row r="2">
      <c r="A2" s="70"/>
      <c r="B2" s="50" t="s">
        <v>1</v>
      </c>
      <c r="C2" s="51" t="s">
        <v>2</v>
      </c>
      <c r="D2" s="51" t="s">
        <v>3</v>
      </c>
      <c r="E2" s="52" t="s">
        <v>4</v>
      </c>
      <c r="F2" s="51" t="s">
        <v>5</v>
      </c>
      <c r="G2" s="52" t="s">
        <v>6</v>
      </c>
      <c r="H2" s="52" t="s">
        <v>7</v>
      </c>
      <c r="I2" s="52" t="s">
        <v>8</v>
      </c>
      <c r="J2" s="53"/>
    </row>
    <row r="3">
      <c r="A3" s="54" t="s">
        <v>6247</v>
      </c>
      <c r="B3" s="26"/>
      <c r="C3" s="8" t="s">
        <v>11</v>
      </c>
      <c r="D3" s="8" t="str">
        <f t="shared" ref="D3:D833" si="1">IFERROR(_xlfn.WORKDAY.INTL(C3, 2),"-")</f>
        <v>-</v>
      </c>
      <c r="E3" s="9" t="s">
        <v>11</v>
      </c>
      <c r="F3" s="10"/>
      <c r="G3" s="9"/>
      <c r="H3" s="26"/>
      <c r="I3" s="9" t="s">
        <v>13</v>
      </c>
      <c r="J3" s="55"/>
    </row>
    <row r="4">
      <c r="A4" s="54" t="s">
        <v>6247</v>
      </c>
      <c r="B4" s="26"/>
      <c r="C4" s="8" t="s">
        <v>11</v>
      </c>
      <c r="D4" s="8" t="str">
        <f t="shared" si="1"/>
        <v>-</v>
      </c>
      <c r="E4" s="9" t="s">
        <v>11</v>
      </c>
      <c r="F4" s="10"/>
      <c r="G4" s="9"/>
      <c r="H4" s="26"/>
      <c r="I4" s="9" t="s">
        <v>13</v>
      </c>
      <c r="J4" s="55"/>
    </row>
    <row r="5">
      <c r="A5" s="54" t="s">
        <v>6247</v>
      </c>
      <c r="B5" s="26"/>
      <c r="C5" s="8" t="s">
        <v>11</v>
      </c>
      <c r="D5" s="8" t="str">
        <f t="shared" si="1"/>
        <v>-</v>
      </c>
      <c r="E5" s="9" t="s">
        <v>11</v>
      </c>
      <c r="F5" s="10"/>
      <c r="G5" s="9"/>
      <c r="H5" s="26"/>
      <c r="I5" s="9" t="s">
        <v>13</v>
      </c>
      <c r="J5" s="55"/>
    </row>
    <row r="6">
      <c r="A6" s="54" t="s">
        <v>6247</v>
      </c>
      <c r="B6" s="26"/>
      <c r="C6" s="8" t="s">
        <v>11</v>
      </c>
      <c r="D6" s="8" t="str">
        <f t="shared" si="1"/>
        <v>-</v>
      </c>
      <c r="E6" s="9" t="s">
        <v>11</v>
      </c>
      <c r="F6" s="10"/>
      <c r="G6" s="9"/>
      <c r="H6" s="26"/>
      <c r="I6" s="9" t="s">
        <v>13</v>
      </c>
      <c r="J6" s="55"/>
    </row>
    <row r="7">
      <c r="A7" s="54" t="s">
        <v>6247</v>
      </c>
      <c r="B7" s="26"/>
      <c r="C7" s="8" t="s">
        <v>11</v>
      </c>
      <c r="D7" s="8" t="str">
        <f t="shared" si="1"/>
        <v>-</v>
      </c>
      <c r="E7" s="9" t="s">
        <v>11</v>
      </c>
      <c r="F7" s="10"/>
      <c r="G7" s="9"/>
      <c r="H7" s="26"/>
      <c r="I7" s="9" t="s">
        <v>13</v>
      </c>
      <c r="J7" s="55"/>
    </row>
    <row r="8">
      <c r="A8" s="54" t="s">
        <v>6247</v>
      </c>
      <c r="B8" s="26"/>
      <c r="C8" s="8" t="s">
        <v>11</v>
      </c>
      <c r="D8" s="8" t="str">
        <f t="shared" si="1"/>
        <v>-</v>
      </c>
      <c r="E8" s="9" t="s">
        <v>11</v>
      </c>
      <c r="F8" s="10"/>
      <c r="G8" s="9"/>
      <c r="H8" s="26"/>
      <c r="I8" s="9" t="s">
        <v>13</v>
      </c>
      <c r="J8" s="55"/>
    </row>
    <row r="9">
      <c r="A9" s="54" t="s">
        <v>6247</v>
      </c>
      <c r="B9" s="26"/>
      <c r="C9" s="8" t="s">
        <v>11</v>
      </c>
      <c r="D9" s="8" t="str">
        <f t="shared" si="1"/>
        <v>-</v>
      </c>
      <c r="E9" s="9" t="s">
        <v>11</v>
      </c>
      <c r="F9" s="10"/>
      <c r="G9" s="9"/>
      <c r="H9" s="26"/>
      <c r="I9" s="9" t="s">
        <v>13</v>
      </c>
      <c r="J9" s="55"/>
    </row>
    <row r="10">
      <c r="A10" s="54" t="s">
        <v>6247</v>
      </c>
      <c r="B10" s="26"/>
      <c r="C10" s="8" t="s">
        <v>11</v>
      </c>
      <c r="D10" s="8" t="str">
        <f t="shared" si="1"/>
        <v>-</v>
      </c>
      <c r="E10" s="9" t="s">
        <v>11</v>
      </c>
      <c r="F10" s="10"/>
      <c r="G10" s="9"/>
      <c r="H10" s="26"/>
      <c r="I10" s="9" t="s">
        <v>13</v>
      </c>
      <c r="J10" s="55"/>
    </row>
    <row r="11">
      <c r="A11" s="54" t="s">
        <v>6247</v>
      </c>
      <c r="B11" s="26"/>
      <c r="C11" s="8" t="s">
        <v>11</v>
      </c>
      <c r="D11" s="8" t="str">
        <f t="shared" si="1"/>
        <v>-</v>
      </c>
      <c r="E11" s="9" t="s">
        <v>11</v>
      </c>
      <c r="F11" s="10"/>
      <c r="G11" s="9"/>
      <c r="H11" s="26"/>
      <c r="I11" s="9" t="s">
        <v>13</v>
      </c>
      <c r="J11" s="55"/>
    </row>
    <row r="12">
      <c r="A12" s="54" t="s">
        <v>6247</v>
      </c>
      <c r="B12" s="26"/>
      <c r="C12" s="8" t="s">
        <v>11</v>
      </c>
      <c r="D12" s="8" t="str">
        <f t="shared" si="1"/>
        <v>-</v>
      </c>
      <c r="E12" s="9" t="s">
        <v>11</v>
      </c>
      <c r="F12" s="10"/>
      <c r="G12" s="9"/>
      <c r="H12" s="26"/>
      <c r="I12" s="9" t="s">
        <v>13</v>
      </c>
      <c r="J12" s="55"/>
    </row>
    <row r="13">
      <c r="A13" s="54" t="s">
        <v>6247</v>
      </c>
      <c r="B13" s="26"/>
      <c r="C13" s="8" t="s">
        <v>11</v>
      </c>
      <c r="D13" s="8" t="str">
        <f t="shared" si="1"/>
        <v>-</v>
      </c>
      <c r="E13" s="9" t="s">
        <v>11</v>
      </c>
      <c r="F13" s="10"/>
      <c r="G13" s="9"/>
      <c r="H13" s="26"/>
      <c r="I13" s="9" t="s">
        <v>13</v>
      </c>
      <c r="J13" s="55"/>
    </row>
    <row r="14">
      <c r="A14" s="54" t="s">
        <v>6247</v>
      </c>
      <c r="B14" s="26"/>
      <c r="C14" s="8" t="s">
        <v>11</v>
      </c>
      <c r="D14" s="8" t="str">
        <f t="shared" si="1"/>
        <v>-</v>
      </c>
      <c r="E14" s="9" t="s">
        <v>11</v>
      </c>
      <c r="F14" s="10"/>
      <c r="G14" s="9"/>
      <c r="H14" s="26"/>
      <c r="I14" s="9" t="s">
        <v>13</v>
      </c>
      <c r="J14" s="55"/>
    </row>
    <row r="15">
      <c r="A15" s="54" t="s">
        <v>6247</v>
      </c>
      <c r="B15" s="26"/>
      <c r="C15" s="8" t="s">
        <v>11</v>
      </c>
      <c r="D15" s="8" t="str">
        <f t="shared" si="1"/>
        <v>-</v>
      </c>
      <c r="E15" s="9" t="s">
        <v>11</v>
      </c>
      <c r="F15" s="10"/>
      <c r="G15" s="9"/>
      <c r="H15" s="26"/>
      <c r="I15" s="9" t="s">
        <v>13</v>
      </c>
      <c r="J15" s="55"/>
    </row>
    <row r="16">
      <c r="A16" s="54" t="s">
        <v>6247</v>
      </c>
      <c r="B16" s="26"/>
      <c r="C16" s="8" t="s">
        <v>11</v>
      </c>
      <c r="D16" s="8" t="str">
        <f t="shared" si="1"/>
        <v>-</v>
      </c>
      <c r="E16" s="9" t="s">
        <v>11</v>
      </c>
      <c r="F16" s="10"/>
      <c r="G16" s="9"/>
      <c r="H16" s="26"/>
      <c r="I16" s="9" t="s">
        <v>13</v>
      </c>
      <c r="J16" s="55"/>
    </row>
    <row r="17">
      <c r="A17" s="54" t="s">
        <v>6247</v>
      </c>
      <c r="B17" s="26"/>
      <c r="C17" s="8" t="s">
        <v>11</v>
      </c>
      <c r="D17" s="8" t="str">
        <f t="shared" si="1"/>
        <v>-</v>
      </c>
      <c r="E17" s="9" t="s">
        <v>11</v>
      </c>
      <c r="F17" s="10"/>
      <c r="G17" s="9"/>
      <c r="H17" s="26"/>
      <c r="I17" s="9" t="s">
        <v>13</v>
      </c>
      <c r="J17" s="55"/>
    </row>
    <row r="18">
      <c r="A18" s="54" t="s">
        <v>6247</v>
      </c>
      <c r="B18" s="26"/>
      <c r="C18" s="8" t="s">
        <v>11</v>
      </c>
      <c r="D18" s="8" t="str">
        <f t="shared" si="1"/>
        <v>-</v>
      </c>
      <c r="E18" s="9" t="s">
        <v>11</v>
      </c>
      <c r="F18" s="10"/>
      <c r="G18" s="9"/>
      <c r="H18" s="26"/>
      <c r="I18" s="9" t="s">
        <v>13</v>
      </c>
      <c r="J18" s="55"/>
    </row>
    <row r="19">
      <c r="A19" s="54" t="s">
        <v>6247</v>
      </c>
      <c r="B19" s="26"/>
      <c r="C19" s="8" t="s">
        <v>11</v>
      </c>
      <c r="D19" s="8" t="str">
        <f t="shared" si="1"/>
        <v>-</v>
      </c>
      <c r="E19" s="9" t="s">
        <v>11</v>
      </c>
      <c r="F19" s="10"/>
      <c r="G19" s="9"/>
      <c r="H19" s="26"/>
      <c r="I19" s="9" t="s">
        <v>13</v>
      </c>
      <c r="J19" s="55"/>
    </row>
    <row r="20">
      <c r="A20" s="54" t="s">
        <v>6247</v>
      </c>
      <c r="B20" s="26"/>
      <c r="C20" s="8" t="s">
        <v>11</v>
      </c>
      <c r="D20" s="8" t="str">
        <f t="shared" si="1"/>
        <v>-</v>
      </c>
      <c r="E20" s="9" t="s">
        <v>11</v>
      </c>
      <c r="F20" s="10"/>
      <c r="G20" s="9"/>
      <c r="H20" s="26"/>
      <c r="I20" s="9" t="s">
        <v>13</v>
      </c>
      <c r="J20" s="55"/>
    </row>
    <row r="21">
      <c r="A21" s="54" t="s">
        <v>6247</v>
      </c>
      <c r="B21" s="26"/>
      <c r="C21" s="8" t="s">
        <v>11</v>
      </c>
      <c r="D21" s="8" t="str">
        <f t="shared" si="1"/>
        <v>-</v>
      </c>
      <c r="E21" s="9" t="s">
        <v>11</v>
      </c>
      <c r="F21" s="10"/>
      <c r="G21" s="9"/>
      <c r="H21" s="26"/>
      <c r="I21" s="9" t="s">
        <v>13</v>
      </c>
      <c r="J21" s="55"/>
    </row>
    <row r="22">
      <c r="A22" s="54" t="s">
        <v>6247</v>
      </c>
      <c r="B22" s="26"/>
      <c r="C22" s="8" t="s">
        <v>11</v>
      </c>
      <c r="D22" s="8" t="str">
        <f t="shared" si="1"/>
        <v>-</v>
      </c>
      <c r="E22" s="9" t="s">
        <v>11</v>
      </c>
      <c r="F22" s="10"/>
      <c r="G22" s="9"/>
      <c r="H22" s="26"/>
      <c r="I22" s="9" t="s">
        <v>13</v>
      </c>
      <c r="J22" s="55"/>
    </row>
    <row r="23">
      <c r="A23" s="54" t="s">
        <v>6247</v>
      </c>
      <c r="B23" s="26"/>
      <c r="C23" s="8" t="s">
        <v>11</v>
      </c>
      <c r="D23" s="8" t="str">
        <f t="shared" si="1"/>
        <v>-</v>
      </c>
      <c r="E23" s="9" t="s">
        <v>11</v>
      </c>
      <c r="F23" s="10"/>
      <c r="G23" s="9"/>
      <c r="H23" s="26"/>
      <c r="I23" s="9" t="s">
        <v>13</v>
      </c>
      <c r="J23" s="55"/>
    </row>
    <row r="24">
      <c r="A24" s="54" t="s">
        <v>6247</v>
      </c>
      <c r="B24" s="26"/>
      <c r="C24" s="8" t="s">
        <v>11</v>
      </c>
      <c r="D24" s="8" t="str">
        <f t="shared" si="1"/>
        <v>-</v>
      </c>
      <c r="E24" s="9" t="s">
        <v>11</v>
      </c>
      <c r="F24" s="10"/>
      <c r="G24" s="9"/>
      <c r="H24" s="26"/>
      <c r="I24" s="9" t="s">
        <v>13</v>
      </c>
      <c r="J24" s="55"/>
    </row>
    <row r="25">
      <c r="A25" s="54" t="s">
        <v>6247</v>
      </c>
      <c r="B25" s="26"/>
      <c r="C25" s="8" t="s">
        <v>11</v>
      </c>
      <c r="D25" s="8" t="str">
        <f t="shared" si="1"/>
        <v>-</v>
      </c>
      <c r="E25" s="9" t="s">
        <v>11</v>
      </c>
      <c r="F25" s="10"/>
      <c r="G25" s="9"/>
      <c r="H25" s="26"/>
      <c r="I25" s="9" t="s">
        <v>13</v>
      </c>
      <c r="J25" s="55"/>
    </row>
    <row r="26">
      <c r="A26" s="54" t="s">
        <v>6247</v>
      </c>
      <c r="B26" s="26"/>
      <c r="C26" s="8" t="s">
        <v>11</v>
      </c>
      <c r="D26" s="8" t="str">
        <f t="shared" si="1"/>
        <v>-</v>
      </c>
      <c r="E26" s="9" t="s">
        <v>11</v>
      </c>
      <c r="F26" s="10"/>
      <c r="G26" s="9"/>
      <c r="H26" s="26"/>
      <c r="I26" s="9" t="s">
        <v>13</v>
      </c>
      <c r="J26" s="55"/>
    </row>
    <row r="27">
      <c r="A27" s="54" t="s">
        <v>6247</v>
      </c>
      <c r="B27" s="26"/>
      <c r="C27" s="8" t="s">
        <v>11</v>
      </c>
      <c r="D27" s="8" t="str">
        <f t="shared" si="1"/>
        <v>-</v>
      </c>
      <c r="E27" s="9" t="s">
        <v>11</v>
      </c>
      <c r="F27" s="10"/>
      <c r="G27" s="9"/>
      <c r="H27" s="26"/>
      <c r="I27" s="9" t="s">
        <v>13</v>
      </c>
      <c r="J27" s="55"/>
    </row>
    <row r="28">
      <c r="A28" s="54" t="s">
        <v>6247</v>
      </c>
      <c r="B28" s="26"/>
      <c r="C28" s="8" t="s">
        <v>11</v>
      </c>
      <c r="D28" s="8" t="str">
        <f t="shared" si="1"/>
        <v>-</v>
      </c>
      <c r="E28" s="9" t="s">
        <v>11</v>
      </c>
      <c r="F28" s="10"/>
      <c r="G28" s="9"/>
      <c r="H28" s="26"/>
      <c r="I28" s="9" t="s">
        <v>13</v>
      </c>
      <c r="J28" s="55"/>
    </row>
    <row r="29">
      <c r="A29" s="54" t="s">
        <v>6247</v>
      </c>
      <c r="B29" s="26"/>
      <c r="C29" s="8" t="s">
        <v>11</v>
      </c>
      <c r="D29" s="8" t="str">
        <f t="shared" si="1"/>
        <v>-</v>
      </c>
      <c r="E29" s="9" t="s">
        <v>11</v>
      </c>
      <c r="F29" s="10"/>
      <c r="G29" s="9"/>
      <c r="H29" s="26"/>
      <c r="I29" s="9" t="s">
        <v>13</v>
      </c>
      <c r="J29" s="55"/>
    </row>
    <row r="30">
      <c r="A30" s="54" t="s">
        <v>6247</v>
      </c>
      <c r="B30" s="26"/>
      <c r="C30" s="8" t="s">
        <v>11</v>
      </c>
      <c r="D30" s="8" t="str">
        <f t="shared" si="1"/>
        <v>-</v>
      </c>
      <c r="E30" s="9" t="s">
        <v>11</v>
      </c>
      <c r="F30" s="10"/>
      <c r="G30" s="9"/>
      <c r="H30" s="26"/>
      <c r="I30" s="9" t="s">
        <v>13</v>
      </c>
      <c r="J30" s="55"/>
    </row>
    <row r="31">
      <c r="A31" s="54" t="s">
        <v>6247</v>
      </c>
      <c r="B31" s="26"/>
      <c r="C31" s="8" t="s">
        <v>11</v>
      </c>
      <c r="D31" s="8" t="str">
        <f t="shared" si="1"/>
        <v>-</v>
      </c>
      <c r="E31" s="9" t="s">
        <v>11</v>
      </c>
      <c r="F31" s="10"/>
      <c r="G31" s="9"/>
      <c r="H31" s="26"/>
      <c r="I31" s="9" t="s">
        <v>13</v>
      </c>
      <c r="J31" s="55"/>
    </row>
    <row r="32">
      <c r="A32" s="54" t="s">
        <v>6247</v>
      </c>
      <c r="B32" s="26"/>
      <c r="C32" s="8" t="s">
        <v>11</v>
      </c>
      <c r="D32" s="8" t="str">
        <f t="shared" si="1"/>
        <v>-</v>
      </c>
      <c r="E32" s="9" t="s">
        <v>11</v>
      </c>
      <c r="F32" s="10"/>
      <c r="G32" s="9"/>
      <c r="H32" s="26"/>
      <c r="I32" s="9" t="s">
        <v>13</v>
      </c>
      <c r="J32" s="55"/>
    </row>
    <row r="33">
      <c r="A33" s="54" t="s">
        <v>6247</v>
      </c>
      <c r="B33" s="26"/>
      <c r="C33" s="8" t="s">
        <v>11</v>
      </c>
      <c r="D33" s="8" t="str">
        <f t="shared" si="1"/>
        <v>-</v>
      </c>
      <c r="E33" s="9" t="s">
        <v>11</v>
      </c>
      <c r="F33" s="10"/>
      <c r="G33" s="9"/>
      <c r="H33" s="26"/>
      <c r="I33" s="9" t="s">
        <v>13</v>
      </c>
      <c r="J33" s="55"/>
    </row>
    <row r="34">
      <c r="A34" s="54" t="s">
        <v>6247</v>
      </c>
      <c r="B34" s="26"/>
      <c r="C34" s="8" t="s">
        <v>11</v>
      </c>
      <c r="D34" s="8" t="str">
        <f t="shared" si="1"/>
        <v>-</v>
      </c>
      <c r="E34" s="9" t="s">
        <v>11</v>
      </c>
      <c r="F34" s="10"/>
      <c r="G34" s="9"/>
      <c r="H34" s="26"/>
      <c r="I34" s="9" t="s">
        <v>13</v>
      </c>
      <c r="J34" s="55"/>
    </row>
    <row r="35">
      <c r="A35" s="54" t="s">
        <v>6247</v>
      </c>
      <c r="B35" s="26"/>
      <c r="C35" s="8" t="s">
        <v>11</v>
      </c>
      <c r="D35" s="8" t="str">
        <f t="shared" si="1"/>
        <v>-</v>
      </c>
      <c r="E35" s="9" t="s">
        <v>11</v>
      </c>
      <c r="F35" s="10"/>
      <c r="G35" s="9"/>
      <c r="H35" s="26"/>
      <c r="I35" s="9" t="s">
        <v>13</v>
      </c>
      <c r="J35" s="55"/>
    </row>
    <row r="36">
      <c r="A36" s="54" t="s">
        <v>6247</v>
      </c>
      <c r="B36" s="26"/>
      <c r="C36" s="8" t="s">
        <v>11</v>
      </c>
      <c r="D36" s="8" t="str">
        <f t="shared" si="1"/>
        <v>-</v>
      </c>
      <c r="E36" s="9" t="s">
        <v>11</v>
      </c>
      <c r="F36" s="10"/>
      <c r="G36" s="9"/>
      <c r="H36" s="26"/>
      <c r="I36" s="9" t="s">
        <v>13</v>
      </c>
      <c r="J36" s="55"/>
    </row>
    <row r="37">
      <c r="A37" s="54" t="s">
        <v>6247</v>
      </c>
      <c r="B37" s="26"/>
      <c r="C37" s="8" t="s">
        <v>11</v>
      </c>
      <c r="D37" s="8" t="str">
        <f t="shared" si="1"/>
        <v>-</v>
      </c>
      <c r="E37" s="9" t="s">
        <v>11</v>
      </c>
      <c r="F37" s="10"/>
      <c r="G37" s="9"/>
      <c r="H37" s="26"/>
      <c r="I37" s="9" t="s">
        <v>13</v>
      </c>
      <c r="J37" s="55"/>
    </row>
    <row r="38">
      <c r="A38" s="54" t="s">
        <v>6247</v>
      </c>
      <c r="B38" s="26"/>
      <c r="C38" s="8" t="s">
        <v>11</v>
      </c>
      <c r="D38" s="8" t="str">
        <f t="shared" si="1"/>
        <v>-</v>
      </c>
      <c r="E38" s="9" t="s">
        <v>11</v>
      </c>
      <c r="F38" s="10"/>
      <c r="G38" s="9"/>
      <c r="H38" s="26"/>
      <c r="I38" s="9" t="s">
        <v>13</v>
      </c>
      <c r="J38" s="55"/>
    </row>
    <row r="39">
      <c r="A39" s="54" t="s">
        <v>6247</v>
      </c>
      <c r="B39" s="26"/>
      <c r="C39" s="8" t="s">
        <v>11</v>
      </c>
      <c r="D39" s="8" t="str">
        <f t="shared" si="1"/>
        <v>-</v>
      </c>
      <c r="E39" s="9" t="s">
        <v>11</v>
      </c>
      <c r="F39" s="10"/>
      <c r="G39" s="9"/>
      <c r="H39" s="26"/>
      <c r="I39" s="9" t="s">
        <v>13</v>
      </c>
      <c r="J39" s="55"/>
    </row>
    <row r="40">
      <c r="A40" s="54" t="s">
        <v>6247</v>
      </c>
      <c r="B40" s="26"/>
      <c r="C40" s="8" t="s">
        <v>11</v>
      </c>
      <c r="D40" s="8" t="str">
        <f t="shared" si="1"/>
        <v>-</v>
      </c>
      <c r="E40" s="9" t="s">
        <v>11</v>
      </c>
      <c r="F40" s="10"/>
      <c r="G40" s="9"/>
      <c r="H40" s="26"/>
      <c r="I40" s="9" t="s">
        <v>13</v>
      </c>
      <c r="J40" s="55"/>
    </row>
    <row r="41">
      <c r="A41" s="54" t="s">
        <v>6247</v>
      </c>
      <c r="B41" s="26"/>
      <c r="C41" s="8" t="s">
        <v>11</v>
      </c>
      <c r="D41" s="8" t="str">
        <f t="shared" si="1"/>
        <v>-</v>
      </c>
      <c r="E41" s="9" t="s">
        <v>11</v>
      </c>
      <c r="F41" s="10"/>
      <c r="G41" s="9"/>
      <c r="H41" s="26"/>
      <c r="I41" s="9" t="s">
        <v>13</v>
      </c>
      <c r="J41" s="55"/>
    </row>
    <row r="42">
      <c r="A42" s="54" t="s">
        <v>6247</v>
      </c>
      <c r="B42" s="26"/>
      <c r="C42" s="8" t="s">
        <v>11</v>
      </c>
      <c r="D42" s="8" t="str">
        <f t="shared" si="1"/>
        <v>-</v>
      </c>
      <c r="E42" s="9" t="s">
        <v>11</v>
      </c>
      <c r="F42" s="10"/>
      <c r="G42" s="9"/>
      <c r="H42" s="26"/>
      <c r="I42" s="9" t="s">
        <v>13</v>
      </c>
      <c r="J42" s="55"/>
    </row>
    <row r="43">
      <c r="A43" s="54" t="s">
        <v>6247</v>
      </c>
      <c r="B43" s="26"/>
      <c r="C43" s="8" t="s">
        <v>11</v>
      </c>
      <c r="D43" s="8" t="str">
        <f t="shared" si="1"/>
        <v>-</v>
      </c>
      <c r="E43" s="9" t="s">
        <v>11</v>
      </c>
      <c r="F43" s="10"/>
      <c r="G43" s="9"/>
      <c r="H43" s="26"/>
      <c r="I43" s="9" t="s">
        <v>13</v>
      </c>
      <c r="J43" s="55"/>
    </row>
    <row r="44">
      <c r="A44" s="54" t="s">
        <v>6247</v>
      </c>
      <c r="B44" s="26"/>
      <c r="C44" s="8" t="s">
        <v>11</v>
      </c>
      <c r="D44" s="8" t="str">
        <f t="shared" si="1"/>
        <v>-</v>
      </c>
      <c r="E44" s="9" t="s">
        <v>11</v>
      </c>
      <c r="F44" s="10"/>
      <c r="G44" s="9"/>
      <c r="H44" s="26"/>
      <c r="I44" s="9" t="s">
        <v>13</v>
      </c>
      <c r="J44" s="55"/>
    </row>
    <row r="45">
      <c r="A45" s="54" t="s">
        <v>6247</v>
      </c>
      <c r="B45" s="26"/>
      <c r="C45" s="8" t="s">
        <v>11</v>
      </c>
      <c r="D45" s="8" t="str">
        <f t="shared" si="1"/>
        <v>-</v>
      </c>
      <c r="E45" s="9" t="s">
        <v>11</v>
      </c>
      <c r="F45" s="10"/>
      <c r="G45" s="9"/>
      <c r="H45" s="26"/>
      <c r="I45" s="9" t="s">
        <v>13</v>
      </c>
      <c r="J45" s="55"/>
    </row>
    <row r="46">
      <c r="A46" s="54" t="s">
        <v>6247</v>
      </c>
      <c r="B46" s="26"/>
      <c r="C46" s="8" t="s">
        <v>11</v>
      </c>
      <c r="D46" s="8" t="str">
        <f t="shared" si="1"/>
        <v>-</v>
      </c>
      <c r="E46" s="9" t="s">
        <v>11</v>
      </c>
      <c r="F46" s="10"/>
      <c r="G46" s="9"/>
      <c r="H46" s="26"/>
      <c r="I46" s="9" t="s">
        <v>13</v>
      </c>
      <c r="J46" s="55"/>
    </row>
    <row r="47">
      <c r="A47" s="54" t="s">
        <v>6247</v>
      </c>
      <c r="B47" s="26"/>
      <c r="C47" s="8" t="s">
        <v>11</v>
      </c>
      <c r="D47" s="8" t="str">
        <f t="shared" si="1"/>
        <v>-</v>
      </c>
      <c r="E47" s="9" t="s">
        <v>11</v>
      </c>
      <c r="F47" s="10"/>
      <c r="G47" s="9"/>
      <c r="H47" s="26"/>
      <c r="I47" s="9" t="s">
        <v>13</v>
      </c>
      <c r="J47" s="55"/>
    </row>
    <row r="48">
      <c r="A48" s="54" t="s">
        <v>6247</v>
      </c>
      <c r="B48" s="26"/>
      <c r="C48" s="8" t="s">
        <v>11</v>
      </c>
      <c r="D48" s="8" t="str">
        <f t="shared" si="1"/>
        <v>-</v>
      </c>
      <c r="E48" s="9" t="s">
        <v>11</v>
      </c>
      <c r="F48" s="10"/>
      <c r="G48" s="9"/>
      <c r="H48" s="26"/>
      <c r="I48" s="9" t="s">
        <v>13</v>
      </c>
      <c r="J48" s="55"/>
    </row>
    <row r="49">
      <c r="A49" s="54" t="s">
        <v>6247</v>
      </c>
      <c r="B49" s="26"/>
      <c r="C49" s="8" t="s">
        <v>11</v>
      </c>
      <c r="D49" s="8" t="str">
        <f t="shared" si="1"/>
        <v>-</v>
      </c>
      <c r="E49" s="9" t="s">
        <v>11</v>
      </c>
      <c r="F49" s="10"/>
      <c r="G49" s="9"/>
      <c r="H49" s="26"/>
      <c r="I49" s="9" t="s">
        <v>13</v>
      </c>
      <c r="J49" s="55"/>
    </row>
    <row r="50">
      <c r="A50" s="54" t="s">
        <v>6247</v>
      </c>
      <c r="B50" s="26"/>
      <c r="C50" s="8" t="s">
        <v>11</v>
      </c>
      <c r="D50" s="8" t="str">
        <f t="shared" si="1"/>
        <v>-</v>
      </c>
      <c r="E50" s="9" t="s">
        <v>11</v>
      </c>
      <c r="F50" s="10"/>
      <c r="G50" s="9"/>
      <c r="H50" s="26"/>
      <c r="I50" s="9" t="s">
        <v>13</v>
      </c>
      <c r="J50" s="55"/>
    </row>
    <row r="51">
      <c r="A51" s="54" t="s">
        <v>6247</v>
      </c>
      <c r="B51" s="26"/>
      <c r="C51" s="8" t="s">
        <v>11</v>
      </c>
      <c r="D51" s="8" t="str">
        <f t="shared" si="1"/>
        <v>-</v>
      </c>
      <c r="E51" s="9" t="s">
        <v>11</v>
      </c>
      <c r="F51" s="10"/>
      <c r="G51" s="9"/>
      <c r="H51" s="26"/>
      <c r="I51" s="9" t="s">
        <v>13</v>
      </c>
      <c r="J51" s="55"/>
    </row>
    <row r="52">
      <c r="A52" s="54" t="s">
        <v>6247</v>
      </c>
      <c r="B52" s="26"/>
      <c r="C52" s="8" t="s">
        <v>11</v>
      </c>
      <c r="D52" s="8" t="str">
        <f t="shared" si="1"/>
        <v>-</v>
      </c>
      <c r="E52" s="9" t="s">
        <v>11</v>
      </c>
      <c r="F52" s="10"/>
      <c r="G52" s="9"/>
      <c r="H52" s="26"/>
      <c r="I52" s="9" t="s">
        <v>13</v>
      </c>
      <c r="J52" s="55"/>
    </row>
    <row r="53">
      <c r="A53" s="54" t="s">
        <v>6247</v>
      </c>
      <c r="B53" s="26"/>
      <c r="C53" s="8" t="s">
        <v>11</v>
      </c>
      <c r="D53" s="8" t="str">
        <f t="shared" si="1"/>
        <v>-</v>
      </c>
      <c r="E53" s="9" t="s">
        <v>11</v>
      </c>
      <c r="F53" s="10"/>
      <c r="G53" s="9"/>
      <c r="H53" s="26"/>
      <c r="I53" s="9" t="s">
        <v>13</v>
      </c>
      <c r="J53" s="55"/>
    </row>
    <row r="54">
      <c r="A54" s="54" t="s">
        <v>6247</v>
      </c>
      <c r="B54" s="26"/>
      <c r="C54" s="8" t="s">
        <v>11</v>
      </c>
      <c r="D54" s="8" t="str">
        <f t="shared" si="1"/>
        <v>-</v>
      </c>
      <c r="E54" s="9" t="s">
        <v>11</v>
      </c>
      <c r="F54" s="10"/>
      <c r="G54" s="9"/>
      <c r="H54" s="26"/>
      <c r="I54" s="9" t="s">
        <v>13</v>
      </c>
      <c r="J54" s="55"/>
    </row>
    <row r="55">
      <c r="A55" s="54" t="s">
        <v>6247</v>
      </c>
      <c r="B55" s="26"/>
      <c r="C55" s="8" t="s">
        <v>11</v>
      </c>
      <c r="D55" s="8" t="str">
        <f t="shared" si="1"/>
        <v>-</v>
      </c>
      <c r="E55" s="9" t="s">
        <v>11</v>
      </c>
      <c r="F55" s="10"/>
      <c r="G55" s="9"/>
      <c r="H55" s="26"/>
      <c r="I55" s="9" t="s">
        <v>13</v>
      </c>
      <c r="J55" s="55"/>
    </row>
    <row r="56">
      <c r="A56" s="54" t="s">
        <v>6247</v>
      </c>
      <c r="B56" s="26"/>
      <c r="C56" s="8" t="s">
        <v>11</v>
      </c>
      <c r="D56" s="8" t="str">
        <f t="shared" si="1"/>
        <v>-</v>
      </c>
      <c r="E56" s="9" t="s">
        <v>11</v>
      </c>
      <c r="F56" s="10"/>
      <c r="G56" s="9"/>
      <c r="H56" s="26"/>
      <c r="I56" s="9" t="s">
        <v>13</v>
      </c>
      <c r="J56" s="55"/>
    </row>
    <row r="57">
      <c r="A57" s="54" t="s">
        <v>6247</v>
      </c>
      <c r="B57" s="26"/>
      <c r="C57" s="8" t="s">
        <v>11</v>
      </c>
      <c r="D57" s="8" t="str">
        <f t="shared" si="1"/>
        <v>-</v>
      </c>
      <c r="E57" s="9" t="s">
        <v>11</v>
      </c>
      <c r="F57" s="10"/>
      <c r="G57" s="9"/>
      <c r="H57" s="26"/>
      <c r="I57" s="9" t="s">
        <v>13</v>
      </c>
      <c r="J57" s="55"/>
    </row>
    <row r="58">
      <c r="A58" s="54" t="s">
        <v>6247</v>
      </c>
      <c r="B58" s="26"/>
      <c r="C58" s="8" t="s">
        <v>11</v>
      </c>
      <c r="D58" s="8" t="str">
        <f t="shared" si="1"/>
        <v>-</v>
      </c>
      <c r="E58" s="9" t="s">
        <v>11</v>
      </c>
      <c r="F58" s="10"/>
      <c r="G58" s="9"/>
      <c r="H58" s="26"/>
      <c r="I58" s="9" t="s">
        <v>13</v>
      </c>
      <c r="J58" s="55"/>
    </row>
    <row r="59">
      <c r="A59" s="54" t="s">
        <v>6247</v>
      </c>
      <c r="B59" s="26"/>
      <c r="C59" s="8" t="s">
        <v>11</v>
      </c>
      <c r="D59" s="8" t="str">
        <f t="shared" si="1"/>
        <v>-</v>
      </c>
      <c r="E59" s="9" t="s">
        <v>11</v>
      </c>
      <c r="F59" s="10"/>
      <c r="G59" s="9"/>
      <c r="H59" s="26"/>
      <c r="I59" s="9" t="s">
        <v>13</v>
      </c>
      <c r="J59" s="55"/>
    </row>
    <row r="60">
      <c r="A60" s="54" t="s">
        <v>6247</v>
      </c>
      <c r="B60" s="26"/>
      <c r="C60" s="8" t="s">
        <v>11</v>
      </c>
      <c r="D60" s="8" t="str">
        <f t="shared" si="1"/>
        <v>-</v>
      </c>
      <c r="E60" s="9" t="s">
        <v>11</v>
      </c>
      <c r="F60" s="10"/>
      <c r="G60" s="9"/>
      <c r="H60" s="26"/>
      <c r="I60" s="9" t="s">
        <v>13</v>
      </c>
      <c r="J60" s="55"/>
    </row>
    <row r="61">
      <c r="A61" s="54" t="s">
        <v>6247</v>
      </c>
      <c r="B61" s="26"/>
      <c r="C61" s="8" t="s">
        <v>11</v>
      </c>
      <c r="D61" s="8" t="str">
        <f t="shared" si="1"/>
        <v>-</v>
      </c>
      <c r="E61" s="9" t="s">
        <v>11</v>
      </c>
      <c r="F61" s="10"/>
      <c r="G61" s="9"/>
      <c r="H61" s="26"/>
      <c r="I61" s="9" t="s">
        <v>13</v>
      </c>
      <c r="J61" s="55"/>
    </row>
    <row r="62">
      <c r="A62" s="54" t="s">
        <v>6247</v>
      </c>
      <c r="B62" s="26"/>
      <c r="C62" s="8" t="s">
        <v>11</v>
      </c>
      <c r="D62" s="8" t="str">
        <f t="shared" si="1"/>
        <v>-</v>
      </c>
      <c r="E62" s="9" t="s">
        <v>11</v>
      </c>
      <c r="F62" s="10"/>
      <c r="G62" s="9"/>
      <c r="H62" s="26"/>
      <c r="I62" s="9" t="s">
        <v>13</v>
      </c>
      <c r="J62" s="55"/>
    </row>
    <row r="63">
      <c r="A63" s="54" t="s">
        <v>6247</v>
      </c>
      <c r="B63" s="26"/>
      <c r="C63" s="8" t="s">
        <v>11</v>
      </c>
      <c r="D63" s="8" t="str">
        <f t="shared" si="1"/>
        <v>-</v>
      </c>
      <c r="E63" s="9" t="s">
        <v>11</v>
      </c>
      <c r="F63" s="10"/>
      <c r="G63" s="9"/>
      <c r="H63" s="26"/>
      <c r="I63" s="9" t="s">
        <v>13</v>
      </c>
      <c r="J63" s="55"/>
    </row>
    <row r="64">
      <c r="A64" s="54" t="s">
        <v>6247</v>
      </c>
      <c r="B64" s="26"/>
      <c r="C64" s="8" t="s">
        <v>11</v>
      </c>
      <c r="D64" s="8" t="str">
        <f t="shared" si="1"/>
        <v>-</v>
      </c>
      <c r="E64" s="9" t="s">
        <v>11</v>
      </c>
      <c r="F64" s="10"/>
      <c r="G64" s="9"/>
      <c r="H64" s="26"/>
      <c r="I64" s="9" t="s">
        <v>13</v>
      </c>
      <c r="J64" s="55"/>
    </row>
    <row r="65">
      <c r="A65" s="54" t="s">
        <v>6247</v>
      </c>
      <c r="B65" s="26"/>
      <c r="C65" s="8" t="s">
        <v>11</v>
      </c>
      <c r="D65" s="8" t="str">
        <f t="shared" si="1"/>
        <v>-</v>
      </c>
      <c r="E65" s="9" t="s">
        <v>11</v>
      </c>
      <c r="F65" s="10"/>
      <c r="G65" s="9"/>
      <c r="H65" s="26"/>
      <c r="I65" s="9" t="s">
        <v>13</v>
      </c>
      <c r="J65" s="55"/>
    </row>
    <row r="66">
      <c r="A66" s="54" t="s">
        <v>6247</v>
      </c>
      <c r="B66" s="26"/>
      <c r="C66" s="8" t="s">
        <v>11</v>
      </c>
      <c r="D66" s="8" t="str">
        <f t="shared" si="1"/>
        <v>-</v>
      </c>
      <c r="E66" s="9" t="s">
        <v>11</v>
      </c>
      <c r="F66" s="10"/>
      <c r="G66" s="9"/>
      <c r="H66" s="26"/>
      <c r="I66" s="9" t="s">
        <v>13</v>
      </c>
      <c r="J66" s="55"/>
    </row>
    <row r="67">
      <c r="A67" s="54" t="s">
        <v>6247</v>
      </c>
      <c r="B67" s="26"/>
      <c r="C67" s="8" t="s">
        <v>11</v>
      </c>
      <c r="D67" s="8" t="str">
        <f t="shared" si="1"/>
        <v>-</v>
      </c>
      <c r="E67" s="9" t="s">
        <v>11</v>
      </c>
      <c r="F67" s="10"/>
      <c r="G67" s="9"/>
      <c r="H67" s="26"/>
      <c r="I67" s="9" t="s">
        <v>13</v>
      </c>
      <c r="J67" s="55"/>
    </row>
    <row r="68">
      <c r="A68" s="54" t="s">
        <v>6247</v>
      </c>
      <c r="B68" s="26"/>
      <c r="C68" s="8" t="s">
        <v>11</v>
      </c>
      <c r="D68" s="8" t="str">
        <f t="shared" si="1"/>
        <v>-</v>
      </c>
      <c r="E68" s="9" t="s">
        <v>11</v>
      </c>
      <c r="F68" s="10"/>
      <c r="G68" s="9"/>
      <c r="H68" s="26"/>
      <c r="I68" s="9" t="s">
        <v>13</v>
      </c>
      <c r="J68" s="55"/>
    </row>
    <row r="69">
      <c r="A69" s="54" t="s">
        <v>6247</v>
      </c>
      <c r="B69" s="26"/>
      <c r="C69" s="8" t="s">
        <v>11</v>
      </c>
      <c r="D69" s="8" t="str">
        <f t="shared" si="1"/>
        <v>-</v>
      </c>
      <c r="E69" s="9" t="s">
        <v>11</v>
      </c>
      <c r="F69" s="10"/>
      <c r="G69" s="9"/>
      <c r="H69" s="26"/>
      <c r="I69" s="9" t="s">
        <v>13</v>
      </c>
      <c r="J69" s="55"/>
    </row>
    <row r="70">
      <c r="A70" s="54" t="s">
        <v>6247</v>
      </c>
      <c r="B70" s="26"/>
      <c r="C70" s="8" t="s">
        <v>11</v>
      </c>
      <c r="D70" s="8" t="str">
        <f t="shared" si="1"/>
        <v>-</v>
      </c>
      <c r="E70" s="9" t="s">
        <v>11</v>
      </c>
      <c r="F70" s="10"/>
      <c r="G70" s="9"/>
      <c r="H70" s="26"/>
      <c r="I70" s="9" t="s">
        <v>13</v>
      </c>
      <c r="J70" s="55"/>
    </row>
    <row r="71">
      <c r="A71" s="54" t="s">
        <v>6247</v>
      </c>
      <c r="B71" s="26"/>
      <c r="C71" s="8" t="s">
        <v>11</v>
      </c>
      <c r="D71" s="8" t="str">
        <f t="shared" si="1"/>
        <v>-</v>
      </c>
      <c r="E71" s="9" t="s">
        <v>11</v>
      </c>
      <c r="F71" s="10"/>
      <c r="G71" s="9"/>
      <c r="H71" s="26"/>
      <c r="I71" s="9" t="s">
        <v>13</v>
      </c>
      <c r="J71" s="55"/>
    </row>
    <row r="72">
      <c r="A72" s="54" t="s">
        <v>6247</v>
      </c>
      <c r="B72" s="26"/>
      <c r="C72" s="8" t="s">
        <v>11</v>
      </c>
      <c r="D72" s="8" t="str">
        <f t="shared" si="1"/>
        <v>-</v>
      </c>
      <c r="E72" s="9" t="s">
        <v>11</v>
      </c>
      <c r="F72" s="10"/>
      <c r="G72" s="9"/>
      <c r="H72" s="26"/>
      <c r="I72" s="9" t="s">
        <v>13</v>
      </c>
      <c r="J72" s="55"/>
    </row>
    <row r="73">
      <c r="A73" s="54" t="s">
        <v>6247</v>
      </c>
      <c r="B73" s="26"/>
      <c r="C73" s="8" t="s">
        <v>11</v>
      </c>
      <c r="D73" s="8" t="str">
        <f t="shared" si="1"/>
        <v>-</v>
      </c>
      <c r="E73" s="9" t="s">
        <v>11</v>
      </c>
      <c r="F73" s="10"/>
      <c r="G73" s="9"/>
      <c r="H73" s="26"/>
      <c r="I73" s="9" t="s">
        <v>13</v>
      </c>
      <c r="J73" s="55"/>
    </row>
    <row r="74">
      <c r="A74" s="54" t="s">
        <v>6247</v>
      </c>
      <c r="B74" s="26"/>
      <c r="C74" s="8" t="s">
        <v>11</v>
      </c>
      <c r="D74" s="8" t="str">
        <f t="shared" si="1"/>
        <v>-</v>
      </c>
      <c r="E74" s="9" t="s">
        <v>11</v>
      </c>
      <c r="F74" s="10"/>
      <c r="G74" s="9"/>
      <c r="H74" s="26"/>
      <c r="I74" s="9" t="s">
        <v>13</v>
      </c>
      <c r="J74" s="55"/>
    </row>
    <row r="75">
      <c r="A75" s="54" t="s">
        <v>6247</v>
      </c>
      <c r="B75" s="26"/>
      <c r="C75" s="8" t="s">
        <v>11</v>
      </c>
      <c r="D75" s="8" t="str">
        <f t="shared" si="1"/>
        <v>-</v>
      </c>
      <c r="E75" s="9" t="s">
        <v>11</v>
      </c>
      <c r="F75" s="10"/>
      <c r="G75" s="9"/>
      <c r="H75" s="26"/>
      <c r="I75" s="9" t="s">
        <v>13</v>
      </c>
      <c r="J75" s="55"/>
    </row>
    <row r="76">
      <c r="A76" s="54" t="s">
        <v>6247</v>
      </c>
      <c r="B76" s="26"/>
      <c r="C76" s="8" t="s">
        <v>11</v>
      </c>
      <c r="D76" s="8" t="str">
        <f t="shared" si="1"/>
        <v>-</v>
      </c>
      <c r="E76" s="9" t="s">
        <v>11</v>
      </c>
      <c r="F76" s="10"/>
      <c r="G76" s="9"/>
      <c r="H76" s="26"/>
      <c r="I76" s="9" t="s">
        <v>13</v>
      </c>
      <c r="J76" s="55"/>
    </row>
    <row r="77">
      <c r="A77" s="54" t="s">
        <v>6247</v>
      </c>
      <c r="B77" s="26"/>
      <c r="C77" s="8" t="s">
        <v>11</v>
      </c>
      <c r="D77" s="8" t="str">
        <f t="shared" si="1"/>
        <v>-</v>
      </c>
      <c r="E77" s="9" t="s">
        <v>11</v>
      </c>
      <c r="F77" s="10"/>
      <c r="G77" s="9"/>
      <c r="H77" s="26"/>
      <c r="I77" s="9" t="s">
        <v>13</v>
      </c>
      <c r="J77" s="55"/>
    </row>
    <row r="78">
      <c r="A78" s="54" t="s">
        <v>6247</v>
      </c>
      <c r="B78" s="26"/>
      <c r="C78" s="8" t="s">
        <v>11</v>
      </c>
      <c r="D78" s="8" t="str">
        <f t="shared" si="1"/>
        <v>-</v>
      </c>
      <c r="E78" s="9" t="s">
        <v>11</v>
      </c>
      <c r="F78" s="10"/>
      <c r="G78" s="9"/>
      <c r="H78" s="26"/>
      <c r="I78" s="9" t="s">
        <v>13</v>
      </c>
      <c r="J78" s="55"/>
    </row>
    <row r="79">
      <c r="A79" s="54" t="s">
        <v>6247</v>
      </c>
      <c r="B79" s="26"/>
      <c r="C79" s="8" t="s">
        <v>11</v>
      </c>
      <c r="D79" s="8" t="str">
        <f t="shared" si="1"/>
        <v>-</v>
      </c>
      <c r="E79" s="9" t="s">
        <v>11</v>
      </c>
      <c r="F79" s="10"/>
      <c r="G79" s="9"/>
      <c r="H79" s="26"/>
      <c r="I79" s="9" t="s">
        <v>13</v>
      </c>
      <c r="J79" s="55"/>
    </row>
    <row r="80">
      <c r="A80" s="54" t="s">
        <v>6247</v>
      </c>
      <c r="B80" s="26"/>
      <c r="C80" s="8" t="s">
        <v>11</v>
      </c>
      <c r="D80" s="8" t="str">
        <f t="shared" si="1"/>
        <v>-</v>
      </c>
      <c r="E80" s="9" t="s">
        <v>11</v>
      </c>
      <c r="F80" s="10"/>
      <c r="G80" s="9"/>
      <c r="H80" s="26"/>
      <c r="I80" s="9" t="s">
        <v>13</v>
      </c>
      <c r="J80" s="55"/>
    </row>
    <row r="81">
      <c r="A81" s="54" t="s">
        <v>6247</v>
      </c>
      <c r="B81" s="26"/>
      <c r="C81" s="8" t="s">
        <v>11</v>
      </c>
      <c r="D81" s="8" t="str">
        <f t="shared" si="1"/>
        <v>-</v>
      </c>
      <c r="E81" s="9" t="s">
        <v>11</v>
      </c>
      <c r="F81" s="10"/>
      <c r="G81" s="9"/>
      <c r="H81" s="26"/>
      <c r="I81" s="9" t="s">
        <v>13</v>
      </c>
      <c r="J81" s="55"/>
    </row>
    <row r="82">
      <c r="A82" s="54" t="s">
        <v>6247</v>
      </c>
      <c r="B82" s="26"/>
      <c r="C82" s="8" t="s">
        <v>11</v>
      </c>
      <c r="D82" s="8" t="str">
        <f t="shared" si="1"/>
        <v>-</v>
      </c>
      <c r="E82" s="9" t="s">
        <v>11</v>
      </c>
      <c r="F82" s="10"/>
      <c r="G82" s="9"/>
      <c r="H82" s="26"/>
      <c r="I82" s="9" t="s">
        <v>13</v>
      </c>
      <c r="J82" s="55"/>
    </row>
    <row r="83">
      <c r="A83" s="54" t="s">
        <v>6247</v>
      </c>
      <c r="B83" s="26"/>
      <c r="C83" s="8" t="s">
        <v>11</v>
      </c>
      <c r="D83" s="8" t="str">
        <f t="shared" si="1"/>
        <v>-</v>
      </c>
      <c r="E83" s="9" t="s">
        <v>11</v>
      </c>
      <c r="F83" s="10"/>
      <c r="G83" s="9"/>
      <c r="H83" s="26"/>
      <c r="I83" s="9" t="s">
        <v>13</v>
      </c>
      <c r="J83" s="55"/>
    </row>
    <row r="84">
      <c r="A84" s="54" t="s">
        <v>6247</v>
      </c>
      <c r="B84" s="26"/>
      <c r="C84" s="8" t="s">
        <v>11</v>
      </c>
      <c r="D84" s="8" t="str">
        <f t="shared" si="1"/>
        <v>-</v>
      </c>
      <c r="E84" s="9" t="s">
        <v>11</v>
      </c>
      <c r="F84" s="10"/>
      <c r="G84" s="9"/>
      <c r="H84" s="26"/>
      <c r="I84" s="9" t="s">
        <v>13</v>
      </c>
      <c r="J84" s="55"/>
    </row>
    <row r="85">
      <c r="A85" s="54" t="s">
        <v>6247</v>
      </c>
      <c r="B85" s="26"/>
      <c r="C85" s="8" t="s">
        <v>11</v>
      </c>
      <c r="D85" s="8" t="str">
        <f t="shared" si="1"/>
        <v>-</v>
      </c>
      <c r="E85" s="9" t="s">
        <v>11</v>
      </c>
      <c r="F85" s="10"/>
      <c r="G85" s="9"/>
      <c r="H85" s="26"/>
      <c r="I85" s="9" t="s">
        <v>13</v>
      </c>
      <c r="J85" s="55"/>
    </row>
    <row r="86">
      <c r="A86" s="54" t="s">
        <v>6247</v>
      </c>
      <c r="B86" s="26"/>
      <c r="C86" s="8" t="s">
        <v>11</v>
      </c>
      <c r="D86" s="8" t="str">
        <f t="shared" si="1"/>
        <v>-</v>
      </c>
      <c r="E86" s="9" t="s">
        <v>11</v>
      </c>
      <c r="F86" s="10"/>
      <c r="G86" s="9"/>
      <c r="H86" s="26"/>
      <c r="I86" s="9" t="s">
        <v>13</v>
      </c>
      <c r="J86" s="55"/>
    </row>
    <row r="87">
      <c r="A87" s="54" t="s">
        <v>6247</v>
      </c>
      <c r="B87" s="26"/>
      <c r="C87" s="8" t="s">
        <v>11</v>
      </c>
      <c r="D87" s="8" t="str">
        <f t="shared" si="1"/>
        <v>-</v>
      </c>
      <c r="E87" s="9" t="s">
        <v>11</v>
      </c>
      <c r="F87" s="10"/>
      <c r="G87" s="9"/>
      <c r="H87" s="26"/>
      <c r="I87" s="9" t="s">
        <v>13</v>
      </c>
      <c r="J87" s="55"/>
    </row>
    <row r="88">
      <c r="A88" s="54" t="s">
        <v>6247</v>
      </c>
      <c r="B88" s="26"/>
      <c r="C88" s="8" t="s">
        <v>11</v>
      </c>
      <c r="D88" s="8" t="str">
        <f t="shared" si="1"/>
        <v>-</v>
      </c>
      <c r="E88" s="9" t="s">
        <v>11</v>
      </c>
      <c r="F88" s="10"/>
      <c r="G88" s="9"/>
      <c r="H88" s="26"/>
      <c r="I88" s="9" t="s">
        <v>13</v>
      </c>
      <c r="J88" s="55"/>
    </row>
    <row r="89">
      <c r="A89" s="54" t="s">
        <v>6247</v>
      </c>
      <c r="B89" s="26"/>
      <c r="C89" s="8" t="s">
        <v>11</v>
      </c>
      <c r="D89" s="8" t="str">
        <f t="shared" si="1"/>
        <v>-</v>
      </c>
      <c r="E89" s="9" t="s">
        <v>11</v>
      </c>
      <c r="F89" s="10"/>
      <c r="G89" s="9"/>
      <c r="H89" s="26"/>
      <c r="I89" s="9" t="s">
        <v>13</v>
      </c>
      <c r="J89" s="55"/>
    </row>
    <row r="90">
      <c r="A90" s="54" t="s">
        <v>6247</v>
      </c>
      <c r="B90" s="26"/>
      <c r="C90" s="8" t="s">
        <v>11</v>
      </c>
      <c r="D90" s="8" t="str">
        <f t="shared" si="1"/>
        <v>-</v>
      </c>
      <c r="E90" s="9" t="s">
        <v>11</v>
      </c>
      <c r="F90" s="10"/>
      <c r="G90" s="9"/>
      <c r="H90" s="26"/>
      <c r="I90" s="9" t="s">
        <v>13</v>
      </c>
      <c r="J90" s="55"/>
    </row>
    <row r="91">
      <c r="A91" s="54" t="s">
        <v>6247</v>
      </c>
      <c r="B91" s="26"/>
      <c r="C91" s="8" t="s">
        <v>11</v>
      </c>
      <c r="D91" s="8" t="str">
        <f t="shared" si="1"/>
        <v>-</v>
      </c>
      <c r="E91" s="9" t="s">
        <v>11</v>
      </c>
      <c r="F91" s="10"/>
      <c r="G91" s="9"/>
      <c r="H91" s="26"/>
      <c r="I91" s="9" t="s">
        <v>13</v>
      </c>
      <c r="J91" s="55"/>
    </row>
    <row r="92">
      <c r="A92" s="54" t="s">
        <v>6247</v>
      </c>
      <c r="B92" s="26"/>
      <c r="C92" s="8" t="s">
        <v>11</v>
      </c>
      <c r="D92" s="8" t="str">
        <f t="shared" si="1"/>
        <v>-</v>
      </c>
      <c r="E92" s="9" t="s">
        <v>11</v>
      </c>
      <c r="F92" s="10"/>
      <c r="G92" s="9"/>
      <c r="H92" s="26"/>
      <c r="I92" s="9" t="s">
        <v>13</v>
      </c>
      <c r="J92" s="55"/>
    </row>
    <row r="93">
      <c r="A93" s="54" t="s">
        <v>6247</v>
      </c>
      <c r="B93" s="26"/>
      <c r="C93" s="8" t="s">
        <v>11</v>
      </c>
      <c r="D93" s="8" t="str">
        <f t="shared" si="1"/>
        <v>-</v>
      </c>
      <c r="E93" s="9" t="s">
        <v>11</v>
      </c>
      <c r="F93" s="10"/>
      <c r="G93" s="9"/>
      <c r="H93" s="26"/>
      <c r="I93" s="9" t="s">
        <v>13</v>
      </c>
      <c r="J93" s="55"/>
    </row>
    <row r="94">
      <c r="A94" s="54" t="s">
        <v>6247</v>
      </c>
      <c r="B94" s="26"/>
      <c r="C94" s="8" t="s">
        <v>11</v>
      </c>
      <c r="D94" s="8" t="str">
        <f t="shared" si="1"/>
        <v>-</v>
      </c>
      <c r="E94" s="9" t="s">
        <v>11</v>
      </c>
      <c r="F94" s="10"/>
      <c r="G94" s="9"/>
      <c r="H94" s="26"/>
      <c r="I94" s="9" t="s">
        <v>13</v>
      </c>
      <c r="J94" s="55"/>
    </row>
    <row r="95">
      <c r="A95" s="54" t="s">
        <v>6247</v>
      </c>
      <c r="B95" s="26"/>
      <c r="C95" s="8" t="s">
        <v>11</v>
      </c>
      <c r="D95" s="8" t="str">
        <f t="shared" si="1"/>
        <v>-</v>
      </c>
      <c r="E95" s="9" t="s">
        <v>11</v>
      </c>
      <c r="F95" s="10"/>
      <c r="G95" s="9"/>
      <c r="H95" s="26"/>
      <c r="I95" s="9" t="s">
        <v>13</v>
      </c>
      <c r="J95" s="55"/>
    </row>
    <row r="96">
      <c r="A96" s="54" t="s">
        <v>6247</v>
      </c>
      <c r="B96" s="26"/>
      <c r="C96" s="8" t="s">
        <v>11</v>
      </c>
      <c r="D96" s="8" t="str">
        <f t="shared" si="1"/>
        <v>-</v>
      </c>
      <c r="E96" s="9" t="s">
        <v>11</v>
      </c>
      <c r="F96" s="10"/>
      <c r="G96" s="9"/>
      <c r="H96" s="26"/>
      <c r="I96" s="9" t="s">
        <v>13</v>
      </c>
      <c r="J96" s="55"/>
    </row>
    <row r="97">
      <c r="A97" s="54" t="s">
        <v>6247</v>
      </c>
      <c r="B97" s="26"/>
      <c r="C97" s="8" t="s">
        <v>11</v>
      </c>
      <c r="D97" s="8" t="str">
        <f t="shared" si="1"/>
        <v>-</v>
      </c>
      <c r="E97" s="9" t="s">
        <v>11</v>
      </c>
      <c r="F97" s="10"/>
      <c r="G97" s="9"/>
      <c r="H97" s="26"/>
      <c r="I97" s="9" t="s">
        <v>13</v>
      </c>
      <c r="J97" s="55"/>
    </row>
    <row r="98">
      <c r="A98" s="54" t="s">
        <v>6247</v>
      </c>
      <c r="B98" s="26"/>
      <c r="C98" s="8" t="s">
        <v>11</v>
      </c>
      <c r="D98" s="8" t="str">
        <f t="shared" si="1"/>
        <v>-</v>
      </c>
      <c r="E98" s="9" t="s">
        <v>11</v>
      </c>
      <c r="F98" s="10"/>
      <c r="G98" s="9"/>
      <c r="H98" s="26"/>
      <c r="I98" s="9" t="s">
        <v>13</v>
      </c>
      <c r="J98" s="55"/>
    </row>
    <row r="99">
      <c r="A99" s="54" t="s">
        <v>6247</v>
      </c>
      <c r="B99" s="26"/>
      <c r="C99" s="8" t="s">
        <v>11</v>
      </c>
      <c r="D99" s="8" t="str">
        <f t="shared" si="1"/>
        <v>-</v>
      </c>
      <c r="E99" s="9" t="s">
        <v>11</v>
      </c>
      <c r="F99" s="10"/>
      <c r="G99" s="9"/>
      <c r="H99" s="26"/>
      <c r="I99" s="9" t="s">
        <v>13</v>
      </c>
      <c r="J99" s="55"/>
    </row>
    <row r="100">
      <c r="A100" s="54" t="s">
        <v>6247</v>
      </c>
      <c r="B100" s="26"/>
      <c r="C100" s="8" t="s">
        <v>11</v>
      </c>
      <c r="D100" s="8" t="str">
        <f t="shared" si="1"/>
        <v>-</v>
      </c>
      <c r="E100" s="9" t="s">
        <v>11</v>
      </c>
      <c r="F100" s="10"/>
      <c r="G100" s="9"/>
      <c r="H100" s="26"/>
      <c r="I100" s="9" t="s">
        <v>13</v>
      </c>
      <c r="J100" s="55"/>
    </row>
    <row r="101">
      <c r="A101" s="54" t="s">
        <v>6247</v>
      </c>
      <c r="B101" s="26"/>
      <c r="C101" s="8" t="s">
        <v>11</v>
      </c>
      <c r="D101" s="8" t="str">
        <f t="shared" si="1"/>
        <v>-</v>
      </c>
      <c r="E101" s="9" t="s">
        <v>11</v>
      </c>
      <c r="F101" s="10"/>
      <c r="G101" s="9"/>
      <c r="H101" s="26"/>
      <c r="I101" s="9" t="s">
        <v>13</v>
      </c>
      <c r="J101" s="55"/>
    </row>
    <row r="102">
      <c r="A102" s="54" t="s">
        <v>6247</v>
      </c>
      <c r="B102" s="26"/>
      <c r="C102" s="8" t="s">
        <v>11</v>
      </c>
      <c r="D102" s="8" t="str">
        <f t="shared" si="1"/>
        <v>-</v>
      </c>
      <c r="E102" s="9" t="s">
        <v>11</v>
      </c>
      <c r="F102" s="10"/>
      <c r="G102" s="9"/>
      <c r="H102" s="26"/>
      <c r="I102" s="9" t="s">
        <v>13</v>
      </c>
      <c r="J102" s="55"/>
    </row>
    <row r="103">
      <c r="A103" s="54" t="s">
        <v>6247</v>
      </c>
      <c r="B103" s="26"/>
      <c r="C103" s="8" t="s">
        <v>11</v>
      </c>
      <c r="D103" s="8" t="str">
        <f t="shared" si="1"/>
        <v>-</v>
      </c>
      <c r="E103" s="9" t="s">
        <v>11</v>
      </c>
      <c r="F103" s="10"/>
      <c r="G103" s="9"/>
      <c r="H103" s="26"/>
      <c r="I103" s="9" t="s">
        <v>13</v>
      </c>
      <c r="J103" s="55"/>
    </row>
    <row r="104">
      <c r="A104" s="54" t="s">
        <v>6247</v>
      </c>
      <c r="B104" s="26"/>
      <c r="C104" s="8" t="s">
        <v>11</v>
      </c>
      <c r="D104" s="8" t="str">
        <f t="shared" si="1"/>
        <v>-</v>
      </c>
      <c r="E104" s="9" t="s">
        <v>11</v>
      </c>
      <c r="F104" s="10"/>
      <c r="G104" s="9"/>
      <c r="H104" s="26"/>
      <c r="I104" s="9" t="s">
        <v>13</v>
      </c>
      <c r="J104" s="55"/>
    </row>
    <row r="105">
      <c r="A105" s="54" t="s">
        <v>6247</v>
      </c>
      <c r="B105" s="26"/>
      <c r="C105" s="8" t="s">
        <v>11</v>
      </c>
      <c r="D105" s="8" t="str">
        <f t="shared" si="1"/>
        <v>-</v>
      </c>
      <c r="E105" s="9" t="s">
        <v>11</v>
      </c>
      <c r="F105" s="10"/>
      <c r="G105" s="9"/>
      <c r="H105" s="26"/>
      <c r="I105" s="9" t="s">
        <v>13</v>
      </c>
      <c r="J105" s="55"/>
    </row>
    <row r="106">
      <c r="A106" s="54" t="s">
        <v>6247</v>
      </c>
      <c r="B106" s="26"/>
      <c r="C106" s="8" t="s">
        <v>11</v>
      </c>
      <c r="D106" s="8" t="str">
        <f t="shared" si="1"/>
        <v>-</v>
      </c>
      <c r="E106" s="9" t="s">
        <v>11</v>
      </c>
      <c r="F106" s="10"/>
      <c r="G106" s="9"/>
      <c r="H106" s="26"/>
      <c r="I106" s="9" t="s">
        <v>13</v>
      </c>
      <c r="J106" s="55"/>
    </row>
    <row r="107">
      <c r="A107" s="54" t="s">
        <v>6247</v>
      </c>
      <c r="B107" s="26"/>
      <c r="C107" s="8" t="s">
        <v>11</v>
      </c>
      <c r="D107" s="8" t="str">
        <f t="shared" si="1"/>
        <v>-</v>
      </c>
      <c r="E107" s="9" t="s">
        <v>11</v>
      </c>
      <c r="F107" s="10"/>
      <c r="G107" s="9"/>
      <c r="H107" s="26"/>
      <c r="I107" s="9" t="s">
        <v>13</v>
      </c>
      <c r="J107" s="55"/>
    </row>
    <row r="108">
      <c r="A108" s="54" t="s">
        <v>6247</v>
      </c>
      <c r="B108" s="26"/>
      <c r="C108" s="8" t="s">
        <v>11</v>
      </c>
      <c r="D108" s="8" t="str">
        <f t="shared" si="1"/>
        <v>-</v>
      </c>
      <c r="E108" s="9" t="s">
        <v>11</v>
      </c>
      <c r="F108" s="10"/>
      <c r="G108" s="9"/>
      <c r="H108" s="26"/>
      <c r="I108" s="9" t="s">
        <v>13</v>
      </c>
      <c r="J108" s="55"/>
    </row>
    <row r="109">
      <c r="A109" s="54" t="s">
        <v>6247</v>
      </c>
      <c r="B109" s="26"/>
      <c r="C109" s="8" t="s">
        <v>11</v>
      </c>
      <c r="D109" s="8" t="str">
        <f t="shared" si="1"/>
        <v>-</v>
      </c>
      <c r="E109" s="9" t="s">
        <v>11</v>
      </c>
      <c r="F109" s="10"/>
      <c r="G109" s="9"/>
      <c r="H109" s="26"/>
      <c r="I109" s="9" t="s">
        <v>13</v>
      </c>
      <c r="J109" s="55"/>
    </row>
    <row r="110">
      <c r="A110" s="54" t="s">
        <v>6247</v>
      </c>
      <c r="B110" s="26"/>
      <c r="C110" s="8" t="s">
        <v>11</v>
      </c>
      <c r="D110" s="8" t="str">
        <f t="shared" si="1"/>
        <v>-</v>
      </c>
      <c r="E110" s="9" t="s">
        <v>11</v>
      </c>
      <c r="F110" s="10"/>
      <c r="G110" s="9"/>
      <c r="H110" s="26"/>
      <c r="I110" s="9" t="s">
        <v>13</v>
      </c>
      <c r="J110" s="55"/>
    </row>
    <row r="111">
      <c r="A111" s="54" t="s">
        <v>6247</v>
      </c>
      <c r="B111" s="26"/>
      <c r="C111" s="8" t="s">
        <v>11</v>
      </c>
      <c r="D111" s="8" t="str">
        <f t="shared" si="1"/>
        <v>-</v>
      </c>
      <c r="E111" s="9" t="s">
        <v>11</v>
      </c>
      <c r="F111" s="10"/>
      <c r="G111" s="9"/>
      <c r="H111" s="26"/>
      <c r="I111" s="9" t="s">
        <v>13</v>
      </c>
      <c r="J111" s="55"/>
    </row>
    <row r="112">
      <c r="A112" s="54" t="s">
        <v>6247</v>
      </c>
      <c r="B112" s="26"/>
      <c r="C112" s="8" t="s">
        <v>11</v>
      </c>
      <c r="D112" s="8" t="str">
        <f t="shared" si="1"/>
        <v>-</v>
      </c>
      <c r="E112" s="9" t="s">
        <v>11</v>
      </c>
      <c r="F112" s="10"/>
      <c r="G112" s="9"/>
      <c r="H112" s="26"/>
      <c r="I112" s="9" t="s">
        <v>13</v>
      </c>
      <c r="J112" s="55"/>
    </row>
    <row r="113">
      <c r="A113" s="54" t="s">
        <v>6247</v>
      </c>
      <c r="B113" s="26"/>
      <c r="C113" s="8" t="s">
        <v>11</v>
      </c>
      <c r="D113" s="8" t="str">
        <f t="shared" si="1"/>
        <v>-</v>
      </c>
      <c r="E113" s="9" t="s">
        <v>11</v>
      </c>
      <c r="F113" s="10"/>
      <c r="G113" s="9"/>
      <c r="H113" s="26"/>
      <c r="I113" s="9" t="s">
        <v>13</v>
      </c>
      <c r="J113" s="55"/>
    </row>
    <row r="114">
      <c r="A114" s="54" t="s">
        <v>6247</v>
      </c>
      <c r="B114" s="26"/>
      <c r="C114" s="8" t="s">
        <v>11</v>
      </c>
      <c r="D114" s="8" t="str">
        <f t="shared" si="1"/>
        <v>-</v>
      </c>
      <c r="E114" s="9" t="s">
        <v>11</v>
      </c>
      <c r="F114" s="10"/>
      <c r="G114" s="9"/>
      <c r="H114" s="26"/>
      <c r="I114" s="9" t="s">
        <v>13</v>
      </c>
      <c r="J114" s="55"/>
    </row>
    <row r="115">
      <c r="A115" s="54" t="s">
        <v>6247</v>
      </c>
      <c r="B115" s="26"/>
      <c r="C115" s="8" t="s">
        <v>11</v>
      </c>
      <c r="D115" s="8" t="str">
        <f t="shared" si="1"/>
        <v>-</v>
      </c>
      <c r="E115" s="9" t="s">
        <v>11</v>
      </c>
      <c r="F115" s="10"/>
      <c r="G115" s="9"/>
      <c r="H115" s="26"/>
      <c r="I115" s="9" t="s">
        <v>13</v>
      </c>
      <c r="J115" s="55"/>
    </row>
    <row r="116">
      <c r="A116" s="54" t="s">
        <v>6247</v>
      </c>
      <c r="B116" s="26"/>
      <c r="C116" s="8" t="s">
        <v>11</v>
      </c>
      <c r="D116" s="8" t="str">
        <f t="shared" si="1"/>
        <v>-</v>
      </c>
      <c r="E116" s="9" t="s">
        <v>11</v>
      </c>
      <c r="F116" s="10"/>
      <c r="G116" s="9"/>
      <c r="H116" s="26"/>
      <c r="I116" s="9" t="s">
        <v>13</v>
      </c>
      <c r="J116" s="55"/>
    </row>
    <row r="117">
      <c r="A117" s="54" t="s">
        <v>6247</v>
      </c>
      <c r="B117" s="26"/>
      <c r="C117" s="8" t="s">
        <v>11</v>
      </c>
      <c r="D117" s="8" t="str">
        <f t="shared" si="1"/>
        <v>-</v>
      </c>
      <c r="E117" s="9" t="s">
        <v>11</v>
      </c>
      <c r="F117" s="10"/>
      <c r="G117" s="9"/>
      <c r="H117" s="26"/>
      <c r="I117" s="9" t="s">
        <v>13</v>
      </c>
      <c r="J117" s="55"/>
    </row>
    <row r="118">
      <c r="A118" s="54" t="s">
        <v>6247</v>
      </c>
      <c r="B118" s="26"/>
      <c r="C118" s="8" t="s">
        <v>11</v>
      </c>
      <c r="D118" s="8" t="str">
        <f t="shared" si="1"/>
        <v>-</v>
      </c>
      <c r="E118" s="9" t="s">
        <v>11</v>
      </c>
      <c r="F118" s="10"/>
      <c r="G118" s="9"/>
      <c r="H118" s="26"/>
      <c r="I118" s="9" t="s">
        <v>13</v>
      </c>
      <c r="J118" s="55"/>
    </row>
    <row r="119">
      <c r="A119" s="54" t="s">
        <v>6247</v>
      </c>
      <c r="B119" s="26"/>
      <c r="C119" s="8" t="s">
        <v>11</v>
      </c>
      <c r="D119" s="8" t="str">
        <f t="shared" si="1"/>
        <v>-</v>
      </c>
      <c r="E119" s="9" t="s">
        <v>11</v>
      </c>
      <c r="F119" s="10"/>
      <c r="G119" s="9"/>
      <c r="H119" s="26"/>
      <c r="I119" s="9" t="s">
        <v>13</v>
      </c>
      <c r="J119" s="55"/>
    </row>
    <row r="120">
      <c r="A120" s="54" t="s">
        <v>6247</v>
      </c>
      <c r="B120" s="26"/>
      <c r="C120" s="8" t="s">
        <v>11</v>
      </c>
      <c r="D120" s="8" t="str">
        <f t="shared" si="1"/>
        <v>-</v>
      </c>
      <c r="E120" s="9" t="s">
        <v>11</v>
      </c>
      <c r="F120" s="10"/>
      <c r="G120" s="9"/>
      <c r="H120" s="26"/>
      <c r="I120" s="9" t="s">
        <v>13</v>
      </c>
      <c r="J120" s="55"/>
    </row>
    <row r="121">
      <c r="A121" s="54" t="s">
        <v>6247</v>
      </c>
      <c r="B121" s="26"/>
      <c r="C121" s="8" t="s">
        <v>11</v>
      </c>
      <c r="D121" s="8" t="str">
        <f t="shared" si="1"/>
        <v>-</v>
      </c>
      <c r="E121" s="9" t="s">
        <v>11</v>
      </c>
      <c r="F121" s="10"/>
      <c r="G121" s="9"/>
      <c r="H121" s="26"/>
      <c r="I121" s="9" t="s">
        <v>13</v>
      </c>
      <c r="J121" s="55"/>
    </row>
    <row r="122">
      <c r="A122" s="54" t="s">
        <v>6247</v>
      </c>
      <c r="B122" s="26"/>
      <c r="C122" s="8" t="s">
        <v>11</v>
      </c>
      <c r="D122" s="8" t="str">
        <f t="shared" si="1"/>
        <v>-</v>
      </c>
      <c r="E122" s="9" t="s">
        <v>11</v>
      </c>
      <c r="F122" s="10"/>
      <c r="G122" s="9"/>
      <c r="H122" s="26"/>
      <c r="I122" s="9" t="s">
        <v>13</v>
      </c>
      <c r="J122" s="55"/>
    </row>
    <row r="123">
      <c r="A123" s="54" t="s">
        <v>6247</v>
      </c>
      <c r="B123" s="26"/>
      <c r="C123" s="8" t="s">
        <v>11</v>
      </c>
      <c r="D123" s="8" t="str">
        <f t="shared" si="1"/>
        <v>-</v>
      </c>
      <c r="E123" s="9" t="s">
        <v>11</v>
      </c>
      <c r="F123" s="10"/>
      <c r="G123" s="9"/>
      <c r="H123" s="26"/>
      <c r="I123" s="9" t="s">
        <v>13</v>
      </c>
      <c r="J123" s="55"/>
    </row>
    <row r="124">
      <c r="A124" s="54" t="s">
        <v>6247</v>
      </c>
      <c r="B124" s="26"/>
      <c r="C124" s="8" t="s">
        <v>11</v>
      </c>
      <c r="D124" s="8" t="str">
        <f t="shared" si="1"/>
        <v>-</v>
      </c>
      <c r="E124" s="9" t="s">
        <v>11</v>
      </c>
      <c r="F124" s="10"/>
      <c r="G124" s="9"/>
      <c r="H124" s="26"/>
      <c r="I124" s="9" t="s">
        <v>13</v>
      </c>
      <c r="J124" s="55"/>
    </row>
    <row r="125">
      <c r="A125" s="54" t="s">
        <v>6247</v>
      </c>
      <c r="B125" s="26"/>
      <c r="C125" s="8" t="s">
        <v>11</v>
      </c>
      <c r="D125" s="8" t="str">
        <f t="shared" si="1"/>
        <v>-</v>
      </c>
      <c r="E125" s="9" t="s">
        <v>11</v>
      </c>
      <c r="F125" s="10"/>
      <c r="G125" s="9"/>
      <c r="H125" s="26"/>
      <c r="I125" s="9" t="s">
        <v>13</v>
      </c>
      <c r="J125" s="55"/>
    </row>
    <row r="126">
      <c r="A126" s="54" t="s">
        <v>6247</v>
      </c>
      <c r="B126" s="26"/>
      <c r="C126" s="8" t="s">
        <v>11</v>
      </c>
      <c r="D126" s="8" t="str">
        <f t="shared" si="1"/>
        <v>-</v>
      </c>
      <c r="E126" s="9" t="s">
        <v>11</v>
      </c>
      <c r="F126" s="10"/>
      <c r="G126" s="9"/>
      <c r="H126" s="26"/>
      <c r="I126" s="9" t="s">
        <v>13</v>
      </c>
      <c r="J126" s="55"/>
    </row>
    <row r="127">
      <c r="A127" s="54" t="s">
        <v>6247</v>
      </c>
      <c r="B127" s="26"/>
      <c r="C127" s="8" t="s">
        <v>11</v>
      </c>
      <c r="D127" s="8" t="str">
        <f t="shared" si="1"/>
        <v>-</v>
      </c>
      <c r="E127" s="9" t="s">
        <v>11</v>
      </c>
      <c r="F127" s="10"/>
      <c r="G127" s="9"/>
      <c r="H127" s="26"/>
      <c r="I127" s="9" t="s">
        <v>13</v>
      </c>
      <c r="J127" s="55"/>
    </row>
    <row r="128">
      <c r="A128" s="54" t="s">
        <v>6247</v>
      </c>
      <c r="B128" s="26"/>
      <c r="C128" s="8" t="s">
        <v>11</v>
      </c>
      <c r="D128" s="8" t="str">
        <f t="shared" si="1"/>
        <v>-</v>
      </c>
      <c r="E128" s="9" t="s">
        <v>11</v>
      </c>
      <c r="F128" s="10"/>
      <c r="G128" s="9"/>
      <c r="H128" s="26"/>
      <c r="I128" s="9" t="s">
        <v>13</v>
      </c>
      <c r="J128" s="55"/>
    </row>
    <row r="129">
      <c r="A129" s="54" t="s">
        <v>6247</v>
      </c>
      <c r="B129" s="26"/>
      <c r="C129" s="8" t="s">
        <v>11</v>
      </c>
      <c r="D129" s="8" t="str">
        <f t="shared" si="1"/>
        <v>-</v>
      </c>
      <c r="E129" s="9" t="s">
        <v>11</v>
      </c>
      <c r="F129" s="10"/>
      <c r="G129" s="9"/>
      <c r="H129" s="26"/>
      <c r="I129" s="9" t="s">
        <v>13</v>
      </c>
      <c r="J129" s="55"/>
    </row>
    <row r="130">
      <c r="A130" s="54" t="s">
        <v>6247</v>
      </c>
      <c r="B130" s="26"/>
      <c r="C130" s="8" t="s">
        <v>11</v>
      </c>
      <c r="D130" s="8" t="str">
        <f t="shared" si="1"/>
        <v>-</v>
      </c>
      <c r="E130" s="9" t="s">
        <v>11</v>
      </c>
      <c r="F130" s="10"/>
      <c r="G130" s="9"/>
      <c r="H130" s="26"/>
      <c r="I130" s="9" t="s">
        <v>13</v>
      </c>
      <c r="J130" s="55"/>
    </row>
    <row r="131">
      <c r="A131" s="54" t="s">
        <v>6247</v>
      </c>
      <c r="B131" s="26"/>
      <c r="C131" s="8" t="s">
        <v>11</v>
      </c>
      <c r="D131" s="8" t="str">
        <f t="shared" si="1"/>
        <v>-</v>
      </c>
      <c r="E131" s="9" t="s">
        <v>11</v>
      </c>
      <c r="F131" s="10"/>
      <c r="G131" s="9"/>
      <c r="H131" s="26"/>
      <c r="I131" s="9" t="s">
        <v>13</v>
      </c>
      <c r="J131" s="55"/>
    </row>
    <row r="132">
      <c r="A132" s="54" t="s">
        <v>6247</v>
      </c>
      <c r="B132" s="26"/>
      <c r="C132" s="8" t="s">
        <v>11</v>
      </c>
      <c r="D132" s="8" t="str">
        <f t="shared" si="1"/>
        <v>-</v>
      </c>
      <c r="E132" s="9" t="s">
        <v>11</v>
      </c>
      <c r="F132" s="10"/>
      <c r="G132" s="9"/>
      <c r="H132" s="26"/>
      <c r="I132" s="9" t="s">
        <v>13</v>
      </c>
      <c r="J132" s="55"/>
    </row>
    <row r="133">
      <c r="A133" s="54" t="s">
        <v>6247</v>
      </c>
      <c r="B133" s="26"/>
      <c r="C133" s="8" t="s">
        <v>11</v>
      </c>
      <c r="D133" s="8" t="str">
        <f t="shared" si="1"/>
        <v>-</v>
      </c>
      <c r="E133" s="9" t="s">
        <v>11</v>
      </c>
      <c r="F133" s="10"/>
      <c r="G133" s="9"/>
      <c r="H133" s="26"/>
      <c r="I133" s="9" t="s">
        <v>13</v>
      </c>
      <c r="J133" s="55"/>
    </row>
    <row r="134">
      <c r="A134" s="54" t="s">
        <v>6247</v>
      </c>
      <c r="B134" s="26"/>
      <c r="C134" s="8" t="s">
        <v>11</v>
      </c>
      <c r="D134" s="8" t="str">
        <f t="shared" si="1"/>
        <v>-</v>
      </c>
      <c r="E134" s="9" t="s">
        <v>11</v>
      </c>
      <c r="F134" s="10"/>
      <c r="G134" s="9"/>
      <c r="H134" s="26"/>
      <c r="I134" s="9" t="s">
        <v>13</v>
      </c>
      <c r="J134" s="55"/>
    </row>
    <row r="135">
      <c r="A135" s="54" t="s">
        <v>6247</v>
      </c>
      <c r="B135" s="26"/>
      <c r="C135" s="8" t="s">
        <v>11</v>
      </c>
      <c r="D135" s="8" t="str">
        <f t="shared" si="1"/>
        <v>-</v>
      </c>
      <c r="E135" s="9" t="s">
        <v>11</v>
      </c>
      <c r="F135" s="10"/>
      <c r="G135" s="9"/>
      <c r="H135" s="26"/>
      <c r="I135" s="9" t="s">
        <v>13</v>
      </c>
      <c r="J135" s="55"/>
    </row>
    <row r="136">
      <c r="A136" s="54" t="s">
        <v>6247</v>
      </c>
      <c r="B136" s="26"/>
      <c r="C136" s="8" t="s">
        <v>11</v>
      </c>
      <c r="D136" s="8" t="str">
        <f t="shared" si="1"/>
        <v>-</v>
      </c>
      <c r="E136" s="9" t="s">
        <v>11</v>
      </c>
      <c r="F136" s="10"/>
      <c r="G136" s="9"/>
      <c r="H136" s="26"/>
      <c r="I136" s="9" t="s">
        <v>13</v>
      </c>
      <c r="J136" s="55"/>
    </row>
    <row r="137">
      <c r="A137" s="54" t="s">
        <v>6247</v>
      </c>
      <c r="B137" s="26"/>
      <c r="C137" s="8" t="s">
        <v>11</v>
      </c>
      <c r="D137" s="8" t="str">
        <f t="shared" si="1"/>
        <v>-</v>
      </c>
      <c r="E137" s="9" t="s">
        <v>11</v>
      </c>
      <c r="F137" s="10"/>
      <c r="G137" s="9"/>
      <c r="H137" s="26"/>
      <c r="I137" s="9" t="s">
        <v>13</v>
      </c>
      <c r="J137" s="55"/>
    </row>
    <row r="138">
      <c r="A138" s="54" t="s">
        <v>6247</v>
      </c>
      <c r="B138" s="26"/>
      <c r="C138" s="8" t="s">
        <v>11</v>
      </c>
      <c r="D138" s="8" t="str">
        <f t="shared" si="1"/>
        <v>-</v>
      </c>
      <c r="E138" s="9" t="s">
        <v>11</v>
      </c>
      <c r="F138" s="10"/>
      <c r="G138" s="9"/>
      <c r="H138" s="26"/>
      <c r="I138" s="9" t="s">
        <v>13</v>
      </c>
      <c r="J138" s="55"/>
    </row>
    <row r="139">
      <c r="A139" s="54" t="s">
        <v>6247</v>
      </c>
      <c r="B139" s="26"/>
      <c r="C139" s="8" t="s">
        <v>11</v>
      </c>
      <c r="D139" s="8" t="str">
        <f t="shared" si="1"/>
        <v>-</v>
      </c>
      <c r="E139" s="9" t="s">
        <v>11</v>
      </c>
      <c r="F139" s="10"/>
      <c r="G139" s="9"/>
      <c r="H139" s="26"/>
      <c r="I139" s="9" t="s">
        <v>13</v>
      </c>
      <c r="J139" s="55"/>
    </row>
    <row r="140">
      <c r="A140" s="54" t="s">
        <v>6247</v>
      </c>
      <c r="B140" s="26"/>
      <c r="C140" s="8" t="s">
        <v>11</v>
      </c>
      <c r="D140" s="8" t="str">
        <f t="shared" si="1"/>
        <v>-</v>
      </c>
      <c r="E140" s="9" t="s">
        <v>11</v>
      </c>
      <c r="F140" s="10"/>
      <c r="G140" s="9"/>
      <c r="H140" s="26"/>
      <c r="I140" s="9" t="s">
        <v>13</v>
      </c>
      <c r="J140" s="55"/>
    </row>
    <row r="141">
      <c r="A141" s="54" t="s">
        <v>6247</v>
      </c>
      <c r="B141" s="26"/>
      <c r="C141" s="8" t="s">
        <v>11</v>
      </c>
      <c r="D141" s="8" t="str">
        <f t="shared" si="1"/>
        <v>-</v>
      </c>
      <c r="E141" s="9" t="s">
        <v>11</v>
      </c>
      <c r="F141" s="10"/>
      <c r="G141" s="9"/>
      <c r="H141" s="26"/>
      <c r="I141" s="9" t="s">
        <v>13</v>
      </c>
      <c r="J141" s="55"/>
    </row>
    <row r="142">
      <c r="A142" s="54" t="s">
        <v>6247</v>
      </c>
      <c r="B142" s="26"/>
      <c r="C142" s="8" t="s">
        <v>11</v>
      </c>
      <c r="D142" s="8" t="str">
        <f t="shared" si="1"/>
        <v>-</v>
      </c>
      <c r="E142" s="9" t="s">
        <v>11</v>
      </c>
      <c r="F142" s="10"/>
      <c r="G142" s="9"/>
      <c r="H142" s="26"/>
      <c r="I142" s="9" t="s">
        <v>13</v>
      </c>
      <c r="J142" s="55"/>
    </row>
    <row r="143">
      <c r="A143" s="54" t="s">
        <v>6247</v>
      </c>
      <c r="B143" s="26"/>
      <c r="C143" s="8" t="s">
        <v>11</v>
      </c>
      <c r="D143" s="8" t="str">
        <f t="shared" si="1"/>
        <v>-</v>
      </c>
      <c r="E143" s="9" t="s">
        <v>11</v>
      </c>
      <c r="F143" s="10"/>
      <c r="G143" s="9"/>
      <c r="H143" s="26"/>
      <c r="I143" s="9" t="s">
        <v>13</v>
      </c>
      <c r="J143" s="55"/>
    </row>
    <row r="144">
      <c r="A144" s="54" t="s">
        <v>6247</v>
      </c>
      <c r="B144" s="26"/>
      <c r="C144" s="8" t="s">
        <v>11</v>
      </c>
      <c r="D144" s="8" t="str">
        <f t="shared" si="1"/>
        <v>-</v>
      </c>
      <c r="E144" s="9" t="s">
        <v>11</v>
      </c>
      <c r="F144" s="10"/>
      <c r="G144" s="9"/>
      <c r="H144" s="26"/>
      <c r="I144" s="9" t="s">
        <v>13</v>
      </c>
      <c r="J144" s="55"/>
    </row>
    <row r="145">
      <c r="A145" s="54" t="s">
        <v>6247</v>
      </c>
      <c r="B145" s="26"/>
      <c r="C145" s="8" t="s">
        <v>11</v>
      </c>
      <c r="D145" s="8" t="str">
        <f t="shared" si="1"/>
        <v>-</v>
      </c>
      <c r="E145" s="9" t="s">
        <v>11</v>
      </c>
      <c r="F145" s="10"/>
      <c r="G145" s="9"/>
      <c r="H145" s="26"/>
      <c r="I145" s="9" t="s">
        <v>13</v>
      </c>
      <c r="J145" s="55"/>
    </row>
    <row r="146">
      <c r="A146" s="54" t="s">
        <v>6247</v>
      </c>
      <c r="B146" s="26"/>
      <c r="C146" s="8" t="s">
        <v>11</v>
      </c>
      <c r="D146" s="8" t="str">
        <f t="shared" si="1"/>
        <v>-</v>
      </c>
      <c r="E146" s="9" t="s">
        <v>11</v>
      </c>
      <c r="F146" s="10"/>
      <c r="G146" s="9"/>
      <c r="H146" s="26"/>
      <c r="I146" s="9" t="s">
        <v>13</v>
      </c>
      <c r="J146" s="55"/>
    </row>
    <row r="147">
      <c r="A147" s="54" t="s">
        <v>6247</v>
      </c>
      <c r="B147" s="26"/>
      <c r="C147" s="8" t="s">
        <v>11</v>
      </c>
      <c r="D147" s="8" t="str">
        <f t="shared" si="1"/>
        <v>-</v>
      </c>
      <c r="E147" s="9" t="s">
        <v>11</v>
      </c>
      <c r="F147" s="10"/>
      <c r="G147" s="9"/>
      <c r="H147" s="26"/>
      <c r="I147" s="9" t="s">
        <v>13</v>
      </c>
      <c r="J147" s="55"/>
    </row>
    <row r="148">
      <c r="A148" s="54" t="s">
        <v>6247</v>
      </c>
      <c r="B148" s="26"/>
      <c r="C148" s="8" t="s">
        <v>11</v>
      </c>
      <c r="D148" s="8" t="str">
        <f t="shared" si="1"/>
        <v>-</v>
      </c>
      <c r="E148" s="9" t="s">
        <v>11</v>
      </c>
      <c r="F148" s="10"/>
      <c r="G148" s="9"/>
      <c r="H148" s="26"/>
      <c r="I148" s="9" t="s">
        <v>13</v>
      </c>
      <c r="J148" s="55"/>
    </row>
    <row r="149">
      <c r="A149" s="54" t="s">
        <v>6247</v>
      </c>
      <c r="B149" s="26"/>
      <c r="C149" s="8" t="s">
        <v>11</v>
      </c>
      <c r="D149" s="8" t="str">
        <f t="shared" si="1"/>
        <v>-</v>
      </c>
      <c r="E149" s="9" t="s">
        <v>11</v>
      </c>
      <c r="F149" s="10"/>
      <c r="G149" s="9"/>
      <c r="H149" s="26"/>
      <c r="I149" s="9" t="s">
        <v>13</v>
      </c>
      <c r="J149" s="55"/>
    </row>
    <row r="150">
      <c r="A150" s="54" t="s">
        <v>6247</v>
      </c>
      <c r="B150" s="26"/>
      <c r="C150" s="8" t="s">
        <v>11</v>
      </c>
      <c r="D150" s="8" t="str">
        <f t="shared" si="1"/>
        <v>-</v>
      </c>
      <c r="E150" s="9" t="s">
        <v>11</v>
      </c>
      <c r="F150" s="10"/>
      <c r="G150" s="9"/>
      <c r="H150" s="26"/>
      <c r="I150" s="9" t="s">
        <v>13</v>
      </c>
      <c r="J150" s="55"/>
    </row>
    <row r="151">
      <c r="A151" s="54" t="s">
        <v>6247</v>
      </c>
      <c r="B151" s="26"/>
      <c r="C151" s="8" t="s">
        <v>11</v>
      </c>
      <c r="D151" s="8" t="str">
        <f t="shared" si="1"/>
        <v>-</v>
      </c>
      <c r="E151" s="9" t="s">
        <v>11</v>
      </c>
      <c r="F151" s="10"/>
      <c r="G151" s="9"/>
      <c r="H151" s="26"/>
      <c r="I151" s="9" t="s">
        <v>13</v>
      </c>
      <c r="J151" s="55"/>
    </row>
    <row r="152">
      <c r="A152" s="54" t="s">
        <v>6247</v>
      </c>
      <c r="B152" s="26"/>
      <c r="C152" s="8" t="s">
        <v>11</v>
      </c>
      <c r="D152" s="8" t="str">
        <f t="shared" si="1"/>
        <v>-</v>
      </c>
      <c r="E152" s="9" t="s">
        <v>11</v>
      </c>
      <c r="F152" s="10"/>
      <c r="G152" s="9"/>
      <c r="H152" s="26"/>
      <c r="I152" s="9" t="s">
        <v>13</v>
      </c>
      <c r="J152" s="55"/>
    </row>
    <row r="153">
      <c r="A153" s="54" t="s">
        <v>6247</v>
      </c>
      <c r="B153" s="26"/>
      <c r="C153" s="8" t="s">
        <v>11</v>
      </c>
      <c r="D153" s="8" t="str">
        <f t="shared" si="1"/>
        <v>-</v>
      </c>
      <c r="E153" s="9" t="s">
        <v>11</v>
      </c>
      <c r="F153" s="10"/>
      <c r="G153" s="9"/>
      <c r="H153" s="26"/>
      <c r="I153" s="9" t="s">
        <v>13</v>
      </c>
      <c r="J153" s="55"/>
    </row>
    <row r="154">
      <c r="A154" s="54" t="s">
        <v>6247</v>
      </c>
      <c r="B154" s="26"/>
      <c r="C154" s="8" t="s">
        <v>11</v>
      </c>
      <c r="D154" s="8" t="str">
        <f t="shared" si="1"/>
        <v>-</v>
      </c>
      <c r="E154" s="9" t="s">
        <v>11</v>
      </c>
      <c r="F154" s="10"/>
      <c r="G154" s="9"/>
      <c r="H154" s="26"/>
      <c r="I154" s="9" t="s">
        <v>13</v>
      </c>
      <c r="J154" s="55"/>
    </row>
    <row r="155">
      <c r="A155" s="54" t="s">
        <v>6247</v>
      </c>
      <c r="B155" s="26"/>
      <c r="C155" s="8" t="s">
        <v>11</v>
      </c>
      <c r="D155" s="8" t="str">
        <f t="shared" si="1"/>
        <v>-</v>
      </c>
      <c r="E155" s="9" t="s">
        <v>11</v>
      </c>
      <c r="F155" s="10"/>
      <c r="G155" s="9"/>
      <c r="H155" s="26"/>
      <c r="I155" s="9" t="s">
        <v>13</v>
      </c>
      <c r="J155" s="55"/>
    </row>
    <row r="156">
      <c r="A156" s="54" t="s">
        <v>6247</v>
      </c>
      <c r="B156" s="26"/>
      <c r="C156" s="8" t="s">
        <v>11</v>
      </c>
      <c r="D156" s="8" t="str">
        <f t="shared" si="1"/>
        <v>-</v>
      </c>
      <c r="E156" s="9" t="s">
        <v>11</v>
      </c>
      <c r="F156" s="10"/>
      <c r="G156" s="9"/>
      <c r="H156" s="26"/>
      <c r="I156" s="9" t="s">
        <v>13</v>
      </c>
      <c r="J156" s="55"/>
    </row>
    <row r="157">
      <c r="A157" s="54" t="s">
        <v>6247</v>
      </c>
      <c r="B157" s="26"/>
      <c r="C157" s="8" t="s">
        <v>11</v>
      </c>
      <c r="D157" s="8" t="str">
        <f t="shared" si="1"/>
        <v>-</v>
      </c>
      <c r="E157" s="9" t="s">
        <v>11</v>
      </c>
      <c r="F157" s="10"/>
      <c r="G157" s="9"/>
      <c r="H157" s="26"/>
      <c r="I157" s="9" t="s">
        <v>13</v>
      </c>
      <c r="J157" s="55"/>
    </row>
    <row r="158">
      <c r="A158" s="54" t="s">
        <v>6247</v>
      </c>
      <c r="B158" s="26"/>
      <c r="C158" s="8" t="s">
        <v>11</v>
      </c>
      <c r="D158" s="8" t="str">
        <f t="shared" si="1"/>
        <v>-</v>
      </c>
      <c r="E158" s="9" t="s">
        <v>11</v>
      </c>
      <c r="F158" s="10"/>
      <c r="G158" s="9"/>
      <c r="H158" s="26"/>
      <c r="I158" s="9" t="s">
        <v>13</v>
      </c>
      <c r="J158" s="55"/>
    </row>
    <row r="159">
      <c r="A159" s="54" t="s">
        <v>6247</v>
      </c>
      <c r="B159" s="26"/>
      <c r="C159" s="8" t="s">
        <v>11</v>
      </c>
      <c r="D159" s="8" t="str">
        <f t="shared" si="1"/>
        <v>-</v>
      </c>
      <c r="E159" s="9" t="s">
        <v>11</v>
      </c>
      <c r="F159" s="10"/>
      <c r="G159" s="9"/>
      <c r="H159" s="26"/>
      <c r="I159" s="9" t="s">
        <v>13</v>
      </c>
      <c r="J159" s="55"/>
    </row>
    <row r="160">
      <c r="A160" s="54" t="s">
        <v>6247</v>
      </c>
      <c r="B160" s="26"/>
      <c r="C160" s="8" t="s">
        <v>11</v>
      </c>
      <c r="D160" s="8" t="str">
        <f t="shared" si="1"/>
        <v>-</v>
      </c>
      <c r="E160" s="9" t="s">
        <v>11</v>
      </c>
      <c r="F160" s="10"/>
      <c r="G160" s="9"/>
      <c r="H160" s="26"/>
      <c r="I160" s="9" t="s">
        <v>13</v>
      </c>
      <c r="J160" s="55"/>
    </row>
    <row r="161">
      <c r="A161" s="54" t="s">
        <v>6247</v>
      </c>
      <c r="B161" s="26"/>
      <c r="C161" s="8" t="s">
        <v>11</v>
      </c>
      <c r="D161" s="8" t="str">
        <f t="shared" si="1"/>
        <v>-</v>
      </c>
      <c r="E161" s="9" t="s">
        <v>11</v>
      </c>
      <c r="F161" s="10"/>
      <c r="G161" s="9"/>
      <c r="H161" s="26"/>
      <c r="I161" s="9" t="s">
        <v>13</v>
      </c>
      <c r="J161" s="55"/>
    </row>
    <row r="162">
      <c r="A162" s="54" t="s">
        <v>6247</v>
      </c>
      <c r="B162" s="26"/>
      <c r="C162" s="8" t="s">
        <v>11</v>
      </c>
      <c r="D162" s="8" t="str">
        <f t="shared" si="1"/>
        <v>-</v>
      </c>
      <c r="E162" s="9" t="s">
        <v>11</v>
      </c>
      <c r="F162" s="10"/>
      <c r="G162" s="9"/>
      <c r="H162" s="26"/>
      <c r="I162" s="9" t="s">
        <v>13</v>
      </c>
      <c r="J162" s="55"/>
    </row>
    <row r="163">
      <c r="A163" s="54" t="s">
        <v>6247</v>
      </c>
      <c r="B163" s="26"/>
      <c r="C163" s="8" t="s">
        <v>11</v>
      </c>
      <c r="D163" s="8" t="str">
        <f t="shared" si="1"/>
        <v>-</v>
      </c>
      <c r="E163" s="9" t="s">
        <v>11</v>
      </c>
      <c r="F163" s="10"/>
      <c r="G163" s="9"/>
      <c r="H163" s="26"/>
      <c r="I163" s="9" t="s">
        <v>13</v>
      </c>
      <c r="J163" s="55"/>
    </row>
    <row r="164">
      <c r="A164" s="54" t="s">
        <v>6247</v>
      </c>
      <c r="B164" s="26"/>
      <c r="C164" s="8" t="s">
        <v>11</v>
      </c>
      <c r="D164" s="8" t="str">
        <f t="shared" si="1"/>
        <v>-</v>
      </c>
      <c r="E164" s="9" t="s">
        <v>11</v>
      </c>
      <c r="F164" s="10"/>
      <c r="G164" s="9"/>
      <c r="H164" s="26"/>
      <c r="I164" s="9" t="s">
        <v>13</v>
      </c>
      <c r="J164" s="55"/>
    </row>
    <row r="165">
      <c r="A165" s="54" t="s">
        <v>6247</v>
      </c>
      <c r="B165" s="26"/>
      <c r="C165" s="8" t="s">
        <v>11</v>
      </c>
      <c r="D165" s="8" t="str">
        <f t="shared" si="1"/>
        <v>-</v>
      </c>
      <c r="E165" s="9" t="s">
        <v>11</v>
      </c>
      <c r="F165" s="10"/>
      <c r="G165" s="9"/>
      <c r="H165" s="26"/>
      <c r="I165" s="9" t="s">
        <v>13</v>
      </c>
      <c r="J165" s="55"/>
    </row>
    <row r="166">
      <c r="A166" s="54" t="s">
        <v>6247</v>
      </c>
      <c r="B166" s="26"/>
      <c r="C166" s="8" t="s">
        <v>11</v>
      </c>
      <c r="D166" s="8" t="str">
        <f t="shared" si="1"/>
        <v>-</v>
      </c>
      <c r="E166" s="9" t="s">
        <v>11</v>
      </c>
      <c r="F166" s="10"/>
      <c r="G166" s="9"/>
      <c r="H166" s="26"/>
      <c r="I166" s="9" t="s">
        <v>13</v>
      </c>
      <c r="J166" s="55"/>
    </row>
    <row r="167">
      <c r="A167" s="54" t="s">
        <v>6247</v>
      </c>
      <c r="B167" s="26"/>
      <c r="C167" s="8" t="s">
        <v>11</v>
      </c>
      <c r="D167" s="8" t="str">
        <f t="shared" si="1"/>
        <v>-</v>
      </c>
      <c r="E167" s="9" t="s">
        <v>11</v>
      </c>
      <c r="F167" s="10"/>
      <c r="G167" s="9"/>
      <c r="H167" s="26"/>
      <c r="I167" s="9" t="s">
        <v>13</v>
      </c>
      <c r="J167" s="55"/>
    </row>
    <row r="168">
      <c r="A168" s="54" t="s">
        <v>6247</v>
      </c>
      <c r="B168" s="26"/>
      <c r="C168" s="8" t="s">
        <v>11</v>
      </c>
      <c r="D168" s="8" t="str">
        <f t="shared" si="1"/>
        <v>-</v>
      </c>
      <c r="E168" s="9" t="s">
        <v>11</v>
      </c>
      <c r="F168" s="10"/>
      <c r="G168" s="9"/>
      <c r="H168" s="26"/>
      <c r="I168" s="9" t="s">
        <v>13</v>
      </c>
      <c r="J168" s="55"/>
    </row>
    <row r="169">
      <c r="A169" s="54" t="s">
        <v>6247</v>
      </c>
      <c r="B169" s="26"/>
      <c r="C169" s="8" t="s">
        <v>11</v>
      </c>
      <c r="D169" s="8" t="str">
        <f t="shared" si="1"/>
        <v>-</v>
      </c>
      <c r="E169" s="9" t="s">
        <v>11</v>
      </c>
      <c r="F169" s="10"/>
      <c r="G169" s="9"/>
      <c r="H169" s="26"/>
      <c r="I169" s="9" t="s">
        <v>13</v>
      </c>
      <c r="J169" s="55"/>
    </row>
    <row r="170">
      <c r="A170" s="54" t="s">
        <v>6247</v>
      </c>
      <c r="B170" s="26"/>
      <c r="C170" s="8" t="s">
        <v>11</v>
      </c>
      <c r="D170" s="8" t="str">
        <f t="shared" si="1"/>
        <v>-</v>
      </c>
      <c r="E170" s="9" t="s">
        <v>11</v>
      </c>
      <c r="F170" s="10"/>
      <c r="G170" s="9"/>
      <c r="H170" s="26"/>
      <c r="I170" s="9" t="s">
        <v>13</v>
      </c>
      <c r="J170" s="55"/>
    </row>
    <row r="171">
      <c r="A171" s="54" t="s">
        <v>6247</v>
      </c>
      <c r="B171" s="26"/>
      <c r="C171" s="8" t="s">
        <v>11</v>
      </c>
      <c r="D171" s="8" t="str">
        <f t="shared" si="1"/>
        <v>-</v>
      </c>
      <c r="E171" s="9" t="s">
        <v>11</v>
      </c>
      <c r="F171" s="10"/>
      <c r="G171" s="9"/>
      <c r="H171" s="26"/>
      <c r="I171" s="9" t="s">
        <v>13</v>
      </c>
      <c r="J171" s="55"/>
    </row>
    <row r="172">
      <c r="A172" s="54" t="s">
        <v>6247</v>
      </c>
      <c r="B172" s="26"/>
      <c r="C172" s="8" t="s">
        <v>11</v>
      </c>
      <c r="D172" s="8" t="str">
        <f t="shared" si="1"/>
        <v>-</v>
      </c>
      <c r="E172" s="9" t="s">
        <v>11</v>
      </c>
      <c r="F172" s="10"/>
      <c r="G172" s="9"/>
      <c r="H172" s="26"/>
      <c r="I172" s="9" t="s">
        <v>13</v>
      </c>
      <c r="J172" s="55"/>
    </row>
    <row r="173">
      <c r="A173" s="54" t="s">
        <v>6247</v>
      </c>
      <c r="B173" s="26"/>
      <c r="C173" s="8" t="s">
        <v>11</v>
      </c>
      <c r="D173" s="8" t="str">
        <f t="shared" si="1"/>
        <v>-</v>
      </c>
      <c r="E173" s="9" t="s">
        <v>11</v>
      </c>
      <c r="F173" s="10"/>
      <c r="G173" s="9"/>
      <c r="H173" s="26"/>
      <c r="I173" s="9" t="s">
        <v>13</v>
      </c>
      <c r="J173" s="55"/>
    </row>
    <row r="174">
      <c r="A174" s="54" t="s">
        <v>6247</v>
      </c>
      <c r="B174" s="26"/>
      <c r="C174" s="8" t="s">
        <v>11</v>
      </c>
      <c r="D174" s="8" t="str">
        <f t="shared" si="1"/>
        <v>-</v>
      </c>
      <c r="E174" s="9" t="s">
        <v>11</v>
      </c>
      <c r="F174" s="10"/>
      <c r="G174" s="9"/>
      <c r="H174" s="26"/>
      <c r="I174" s="9" t="s">
        <v>13</v>
      </c>
      <c r="J174" s="55"/>
    </row>
    <row r="175">
      <c r="A175" s="54" t="s">
        <v>6247</v>
      </c>
      <c r="B175" s="26"/>
      <c r="C175" s="8" t="s">
        <v>11</v>
      </c>
      <c r="D175" s="8" t="str">
        <f t="shared" si="1"/>
        <v>-</v>
      </c>
      <c r="E175" s="9" t="s">
        <v>11</v>
      </c>
      <c r="F175" s="10"/>
      <c r="G175" s="9"/>
      <c r="H175" s="26"/>
      <c r="I175" s="9" t="s">
        <v>13</v>
      </c>
      <c r="J175" s="55"/>
    </row>
    <row r="176">
      <c r="A176" s="54" t="s">
        <v>6247</v>
      </c>
      <c r="B176" s="26"/>
      <c r="C176" s="8" t="s">
        <v>11</v>
      </c>
      <c r="D176" s="8" t="str">
        <f t="shared" si="1"/>
        <v>-</v>
      </c>
      <c r="E176" s="9" t="s">
        <v>11</v>
      </c>
      <c r="F176" s="10"/>
      <c r="G176" s="9"/>
      <c r="H176" s="26"/>
      <c r="I176" s="9" t="s">
        <v>13</v>
      </c>
      <c r="J176" s="55"/>
    </row>
    <row r="177">
      <c r="A177" s="54" t="s">
        <v>6247</v>
      </c>
      <c r="B177" s="26"/>
      <c r="C177" s="8" t="s">
        <v>11</v>
      </c>
      <c r="D177" s="8" t="str">
        <f t="shared" si="1"/>
        <v>-</v>
      </c>
      <c r="E177" s="9" t="s">
        <v>11</v>
      </c>
      <c r="F177" s="10"/>
      <c r="G177" s="9"/>
      <c r="H177" s="26"/>
      <c r="I177" s="9" t="s">
        <v>13</v>
      </c>
      <c r="J177" s="55"/>
    </row>
    <row r="178">
      <c r="A178" s="54" t="s">
        <v>6247</v>
      </c>
      <c r="B178" s="26"/>
      <c r="C178" s="8" t="s">
        <v>11</v>
      </c>
      <c r="D178" s="8" t="str">
        <f t="shared" si="1"/>
        <v>-</v>
      </c>
      <c r="E178" s="9" t="s">
        <v>11</v>
      </c>
      <c r="F178" s="10"/>
      <c r="G178" s="9"/>
      <c r="H178" s="26"/>
      <c r="I178" s="9" t="s">
        <v>13</v>
      </c>
      <c r="J178" s="55"/>
    </row>
    <row r="179">
      <c r="A179" s="54" t="s">
        <v>6247</v>
      </c>
      <c r="B179" s="26"/>
      <c r="C179" s="8" t="s">
        <v>11</v>
      </c>
      <c r="D179" s="8" t="str">
        <f t="shared" si="1"/>
        <v>-</v>
      </c>
      <c r="E179" s="9" t="s">
        <v>11</v>
      </c>
      <c r="F179" s="10"/>
      <c r="G179" s="9"/>
      <c r="H179" s="26"/>
      <c r="I179" s="9" t="s">
        <v>13</v>
      </c>
      <c r="J179" s="55"/>
    </row>
    <row r="180">
      <c r="A180" s="54" t="s">
        <v>6247</v>
      </c>
      <c r="B180" s="26"/>
      <c r="C180" s="8" t="s">
        <v>11</v>
      </c>
      <c r="D180" s="8" t="str">
        <f t="shared" si="1"/>
        <v>-</v>
      </c>
      <c r="E180" s="9" t="s">
        <v>11</v>
      </c>
      <c r="F180" s="10"/>
      <c r="G180" s="9"/>
      <c r="H180" s="26"/>
      <c r="I180" s="9" t="s">
        <v>13</v>
      </c>
      <c r="J180" s="55"/>
    </row>
    <row r="181">
      <c r="A181" s="54" t="s">
        <v>6247</v>
      </c>
      <c r="B181" s="26"/>
      <c r="C181" s="8" t="s">
        <v>11</v>
      </c>
      <c r="D181" s="8" t="str">
        <f t="shared" si="1"/>
        <v>-</v>
      </c>
      <c r="E181" s="9" t="s">
        <v>11</v>
      </c>
      <c r="F181" s="10"/>
      <c r="G181" s="9"/>
      <c r="H181" s="26"/>
      <c r="I181" s="9" t="s">
        <v>13</v>
      </c>
      <c r="J181" s="55"/>
    </row>
    <row r="182">
      <c r="A182" s="54" t="s">
        <v>6247</v>
      </c>
      <c r="B182" s="26"/>
      <c r="C182" s="8" t="s">
        <v>11</v>
      </c>
      <c r="D182" s="8" t="str">
        <f t="shared" si="1"/>
        <v>-</v>
      </c>
      <c r="E182" s="9" t="s">
        <v>11</v>
      </c>
      <c r="F182" s="10"/>
      <c r="G182" s="9"/>
      <c r="H182" s="26"/>
      <c r="I182" s="9" t="s">
        <v>13</v>
      </c>
      <c r="J182" s="55"/>
    </row>
    <row r="183">
      <c r="A183" s="54" t="s">
        <v>6247</v>
      </c>
      <c r="B183" s="26"/>
      <c r="C183" s="8" t="s">
        <v>11</v>
      </c>
      <c r="D183" s="8" t="str">
        <f t="shared" si="1"/>
        <v>-</v>
      </c>
      <c r="E183" s="9" t="s">
        <v>11</v>
      </c>
      <c r="F183" s="10"/>
      <c r="G183" s="9"/>
      <c r="H183" s="26"/>
      <c r="I183" s="9" t="s">
        <v>13</v>
      </c>
      <c r="J183" s="55"/>
    </row>
    <row r="184">
      <c r="A184" s="54" t="s">
        <v>6247</v>
      </c>
      <c r="B184" s="26"/>
      <c r="C184" s="8" t="s">
        <v>11</v>
      </c>
      <c r="D184" s="8" t="str">
        <f t="shared" si="1"/>
        <v>-</v>
      </c>
      <c r="E184" s="9" t="s">
        <v>11</v>
      </c>
      <c r="F184" s="10"/>
      <c r="G184" s="9"/>
      <c r="H184" s="26"/>
      <c r="I184" s="9" t="s">
        <v>13</v>
      </c>
      <c r="J184" s="55"/>
    </row>
    <row r="185">
      <c r="A185" s="54" t="s">
        <v>6247</v>
      </c>
      <c r="B185" s="26"/>
      <c r="C185" s="8" t="s">
        <v>11</v>
      </c>
      <c r="D185" s="8" t="str">
        <f t="shared" si="1"/>
        <v>-</v>
      </c>
      <c r="E185" s="9" t="s">
        <v>11</v>
      </c>
      <c r="F185" s="10"/>
      <c r="G185" s="9"/>
      <c r="H185" s="26"/>
      <c r="I185" s="9" t="s">
        <v>13</v>
      </c>
      <c r="J185" s="55"/>
    </row>
    <row r="186">
      <c r="A186" s="54" t="s">
        <v>6247</v>
      </c>
      <c r="B186" s="26"/>
      <c r="C186" s="8" t="s">
        <v>11</v>
      </c>
      <c r="D186" s="8" t="str">
        <f t="shared" si="1"/>
        <v>-</v>
      </c>
      <c r="E186" s="9" t="s">
        <v>11</v>
      </c>
      <c r="F186" s="10"/>
      <c r="G186" s="9"/>
      <c r="H186" s="26"/>
      <c r="I186" s="9" t="s">
        <v>13</v>
      </c>
      <c r="J186" s="55"/>
    </row>
    <row r="187">
      <c r="A187" s="54" t="s">
        <v>6247</v>
      </c>
      <c r="B187" s="26"/>
      <c r="C187" s="8" t="s">
        <v>11</v>
      </c>
      <c r="D187" s="8" t="str">
        <f t="shared" si="1"/>
        <v>-</v>
      </c>
      <c r="E187" s="9" t="s">
        <v>11</v>
      </c>
      <c r="F187" s="10"/>
      <c r="G187" s="9"/>
      <c r="H187" s="26"/>
      <c r="I187" s="9" t="s">
        <v>13</v>
      </c>
      <c r="J187" s="55"/>
    </row>
    <row r="188">
      <c r="A188" s="54" t="s">
        <v>6247</v>
      </c>
      <c r="B188" s="26"/>
      <c r="C188" s="8" t="s">
        <v>11</v>
      </c>
      <c r="D188" s="8" t="str">
        <f t="shared" si="1"/>
        <v>-</v>
      </c>
      <c r="E188" s="9" t="s">
        <v>11</v>
      </c>
      <c r="F188" s="10"/>
      <c r="G188" s="9"/>
      <c r="H188" s="26"/>
      <c r="I188" s="9" t="s">
        <v>13</v>
      </c>
      <c r="J188" s="55"/>
    </row>
    <row r="189">
      <c r="A189" s="54" t="s">
        <v>6247</v>
      </c>
      <c r="B189" s="26"/>
      <c r="C189" s="8" t="s">
        <v>11</v>
      </c>
      <c r="D189" s="8" t="str">
        <f t="shared" si="1"/>
        <v>-</v>
      </c>
      <c r="E189" s="9" t="s">
        <v>11</v>
      </c>
      <c r="F189" s="10"/>
      <c r="G189" s="9"/>
      <c r="H189" s="26"/>
      <c r="I189" s="9" t="s">
        <v>13</v>
      </c>
      <c r="J189" s="55"/>
    </row>
    <row r="190">
      <c r="A190" s="54" t="s">
        <v>6247</v>
      </c>
      <c r="B190" s="26"/>
      <c r="C190" s="8" t="s">
        <v>11</v>
      </c>
      <c r="D190" s="8" t="str">
        <f t="shared" si="1"/>
        <v>-</v>
      </c>
      <c r="E190" s="9" t="s">
        <v>11</v>
      </c>
      <c r="F190" s="10"/>
      <c r="G190" s="9"/>
      <c r="H190" s="26"/>
      <c r="I190" s="9" t="s">
        <v>13</v>
      </c>
      <c r="J190" s="55"/>
    </row>
    <row r="191">
      <c r="A191" s="54" t="s">
        <v>6247</v>
      </c>
      <c r="B191" s="26"/>
      <c r="C191" s="8" t="s">
        <v>11</v>
      </c>
      <c r="D191" s="8" t="str">
        <f t="shared" si="1"/>
        <v>-</v>
      </c>
      <c r="E191" s="9" t="s">
        <v>11</v>
      </c>
      <c r="F191" s="10"/>
      <c r="G191" s="9"/>
      <c r="H191" s="26"/>
      <c r="I191" s="9" t="s">
        <v>13</v>
      </c>
      <c r="J191" s="55"/>
    </row>
    <row r="192">
      <c r="A192" s="54" t="s">
        <v>6247</v>
      </c>
      <c r="B192" s="26"/>
      <c r="C192" s="8" t="s">
        <v>11</v>
      </c>
      <c r="D192" s="8" t="str">
        <f t="shared" si="1"/>
        <v>-</v>
      </c>
      <c r="E192" s="9" t="s">
        <v>11</v>
      </c>
      <c r="F192" s="10"/>
      <c r="G192" s="9"/>
      <c r="H192" s="26"/>
      <c r="I192" s="9" t="s">
        <v>13</v>
      </c>
      <c r="J192" s="55"/>
    </row>
    <row r="193">
      <c r="A193" s="54" t="s">
        <v>6247</v>
      </c>
      <c r="B193" s="26"/>
      <c r="C193" s="8" t="s">
        <v>11</v>
      </c>
      <c r="D193" s="8" t="str">
        <f t="shared" si="1"/>
        <v>-</v>
      </c>
      <c r="E193" s="9" t="s">
        <v>11</v>
      </c>
      <c r="F193" s="10"/>
      <c r="G193" s="9"/>
      <c r="H193" s="26"/>
      <c r="I193" s="9" t="s">
        <v>13</v>
      </c>
      <c r="J193" s="55"/>
    </row>
    <row r="194">
      <c r="A194" s="54" t="s">
        <v>6247</v>
      </c>
      <c r="B194" s="26"/>
      <c r="C194" s="8" t="s">
        <v>11</v>
      </c>
      <c r="D194" s="8" t="str">
        <f t="shared" si="1"/>
        <v>-</v>
      </c>
      <c r="E194" s="9" t="s">
        <v>11</v>
      </c>
      <c r="F194" s="10"/>
      <c r="G194" s="9"/>
      <c r="H194" s="26"/>
      <c r="I194" s="9" t="s">
        <v>13</v>
      </c>
      <c r="J194" s="55"/>
    </row>
    <row r="195">
      <c r="A195" s="54" t="s">
        <v>6247</v>
      </c>
      <c r="B195" s="26"/>
      <c r="C195" s="8" t="s">
        <v>11</v>
      </c>
      <c r="D195" s="8" t="str">
        <f t="shared" si="1"/>
        <v>-</v>
      </c>
      <c r="E195" s="9" t="s">
        <v>11</v>
      </c>
      <c r="F195" s="10"/>
      <c r="G195" s="9"/>
      <c r="H195" s="26"/>
      <c r="I195" s="9" t="s">
        <v>13</v>
      </c>
      <c r="J195" s="55"/>
    </row>
    <row r="196">
      <c r="A196" s="54" t="s">
        <v>6247</v>
      </c>
      <c r="B196" s="26"/>
      <c r="C196" s="8" t="s">
        <v>11</v>
      </c>
      <c r="D196" s="8" t="str">
        <f t="shared" si="1"/>
        <v>-</v>
      </c>
      <c r="E196" s="9" t="s">
        <v>11</v>
      </c>
      <c r="F196" s="10"/>
      <c r="G196" s="9"/>
      <c r="H196" s="26"/>
      <c r="I196" s="9" t="s">
        <v>13</v>
      </c>
      <c r="J196" s="55"/>
    </row>
    <row r="197">
      <c r="A197" s="54" t="s">
        <v>6247</v>
      </c>
      <c r="B197" s="26"/>
      <c r="C197" s="8" t="s">
        <v>11</v>
      </c>
      <c r="D197" s="8" t="str">
        <f t="shared" si="1"/>
        <v>-</v>
      </c>
      <c r="E197" s="9" t="s">
        <v>11</v>
      </c>
      <c r="F197" s="10"/>
      <c r="G197" s="9"/>
      <c r="H197" s="26"/>
      <c r="I197" s="9" t="s">
        <v>13</v>
      </c>
      <c r="J197" s="55"/>
    </row>
    <row r="198">
      <c r="A198" s="54" t="s">
        <v>6247</v>
      </c>
      <c r="B198" s="26"/>
      <c r="C198" s="8" t="s">
        <v>11</v>
      </c>
      <c r="D198" s="8" t="str">
        <f t="shared" si="1"/>
        <v>-</v>
      </c>
      <c r="E198" s="9" t="s">
        <v>11</v>
      </c>
      <c r="F198" s="10"/>
      <c r="G198" s="9"/>
      <c r="H198" s="26"/>
      <c r="I198" s="9" t="s">
        <v>13</v>
      </c>
      <c r="J198" s="55"/>
    </row>
    <row r="199">
      <c r="A199" s="54" t="s">
        <v>6247</v>
      </c>
      <c r="B199" s="26"/>
      <c r="C199" s="8" t="s">
        <v>11</v>
      </c>
      <c r="D199" s="8" t="str">
        <f t="shared" si="1"/>
        <v>-</v>
      </c>
      <c r="E199" s="9" t="s">
        <v>11</v>
      </c>
      <c r="F199" s="10"/>
      <c r="G199" s="9"/>
      <c r="H199" s="26"/>
      <c r="I199" s="9" t="s">
        <v>13</v>
      </c>
      <c r="J199" s="55"/>
    </row>
    <row r="200">
      <c r="A200" s="54" t="s">
        <v>6247</v>
      </c>
      <c r="B200" s="26"/>
      <c r="C200" s="8" t="s">
        <v>11</v>
      </c>
      <c r="D200" s="8" t="str">
        <f t="shared" si="1"/>
        <v>-</v>
      </c>
      <c r="E200" s="9" t="s">
        <v>11</v>
      </c>
      <c r="F200" s="10"/>
      <c r="G200" s="9"/>
      <c r="H200" s="26"/>
      <c r="I200" s="9" t="s">
        <v>13</v>
      </c>
      <c r="J200" s="55"/>
    </row>
    <row r="201">
      <c r="A201" s="54" t="s">
        <v>6247</v>
      </c>
      <c r="B201" s="26"/>
      <c r="C201" s="8" t="s">
        <v>11</v>
      </c>
      <c r="D201" s="8" t="str">
        <f t="shared" si="1"/>
        <v>-</v>
      </c>
      <c r="E201" s="9" t="s">
        <v>11</v>
      </c>
      <c r="F201" s="10"/>
      <c r="G201" s="9"/>
      <c r="H201" s="26"/>
      <c r="I201" s="9" t="s">
        <v>13</v>
      </c>
      <c r="J201" s="55"/>
    </row>
    <row r="202">
      <c r="A202" s="54" t="s">
        <v>6247</v>
      </c>
      <c r="B202" s="26"/>
      <c r="C202" s="8" t="s">
        <v>11</v>
      </c>
      <c r="D202" s="8" t="str">
        <f t="shared" si="1"/>
        <v>-</v>
      </c>
      <c r="E202" s="9" t="s">
        <v>11</v>
      </c>
      <c r="F202" s="10"/>
      <c r="G202" s="9"/>
      <c r="H202" s="26"/>
      <c r="I202" s="9" t="s">
        <v>13</v>
      </c>
      <c r="J202" s="55"/>
    </row>
    <row r="203">
      <c r="A203" s="54" t="s">
        <v>6247</v>
      </c>
      <c r="B203" s="26"/>
      <c r="C203" s="8" t="s">
        <v>11</v>
      </c>
      <c r="D203" s="8" t="str">
        <f t="shared" si="1"/>
        <v>-</v>
      </c>
      <c r="E203" s="9" t="s">
        <v>11</v>
      </c>
      <c r="F203" s="10"/>
      <c r="G203" s="9"/>
      <c r="H203" s="26"/>
      <c r="I203" s="9" t="s">
        <v>13</v>
      </c>
      <c r="J203" s="55"/>
    </row>
    <row r="204">
      <c r="A204" s="54" t="s">
        <v>6247</v>
      </c>
      <c r="B204" s="26"/>
      <c r="C204" s="8" t="s">
        <v>11</v>
      </c>
      <c r="D204" s="8" t="str">
        <f t="shared" si="1"/>
        <v>-</v>
      </c>
      <c r="E204" s="9" t="s">
        <v>11</v>
      </c>
      <c r="F204" s="10"/>
      <c r="G204" s="9"/>
      <c r="H204" s="26"/>
      <c r="I204" s="9" t="s">
        <v>13</v>
      </c>
      <c r="J204" s="55"/>
    </row>
    <row r="205">
      <c r="A205" s="54" t="s">
        <v>6247</v>
      </c>
      <c r="B205" s="26"/>
      <c r="C205" s="8" t="s">
        <v>11</v>
      </c>
      <c r="D205" s="8" t="str">
        <f t="shared" si="1"/>
        <v>-</v>
      </c>
      <c r="E205" s="9" t="s">
        <v>11</v>
      </c>
      <c r="F205" s="10"/>
      <c r="G205" s="9"/>
      <c r="H205" s="26"/>
      <c r="I205" s="9" t="s">
        <v>13</v>
      </c>
      <c r="J205" s="55"/>
    </row>
    <row r="206">
      <c r="A206" s="54" t="s">
        <v>6247</v>
      </c>
      <c r="B206" s="26"/>
      <c r="C206" s="8" t="s">
        <v>11</v>
      </c>
      <c r="D206" s="8" t="str">
        <f t="shared" si="1"/>
        <v>-</v>
      </c>
      <c r="E206" s="9" t="s">
        <v>11</v>
      </c>
      <c r="F206" s="10"/>
      <c r="G206" s="9"/>
      <c r="H206" s="26"/>
      <c r="I206" s="9" t="s">
        <v>13</v>
      </c>
      <c r="J206" s="55"/>
    </row>
    <row r="207">
      <c r="A207" s="54" t="s">
        <v>6247</v>
      </c>
      <c r="B207" s="26"/>
      <c r="C207" s="8" t="s">
        <v>11</v>
      </c>
      <c r="D207" s="8" t="str">
        <f t="shared" si="1"/>
        <v>-</v>
      </c>
      <c r="E207" s="9" t="s">
        <v>11</v>
      </c>
      <c r="F207" s="10"/>
      <c r="G207" s="9"/>
      <c r="H207" s="26"/>
      <c r="I207" s="9" t="s">
        <v>13</v>
      </c>
      <c r="J207" s="55"/>
    </row>
    <row r="208">
      <c r="A208" s="54" t="s">
        <v>6247</v>
      </c>
      <c r="B208" s="26"/>
      <c r="C208" s="8" t="s">
        <v>11</v>
      </c>
      <c r="D208" s="8" t="str">
        <f t="shared" si="1"/>
        <v>-</v>
      </c>
      <c r="E208" s="9" t="s">
        <v>11</v>
      </c>
      <c r="F208" s="10"/>
      <c r="G208" s="9"/>
      <c r="H208" s="26"/>
      <c r="I208" s="9" t="s">
        <v>13</v>
      </c>
      <c r="J208" s="55"/>
    </row>
    <row r="209">
      <c r="A209" s="54" t="s">
        <v>6247</v>
      </c>
      <c r="B209" s="26"/>
      <c r="C209" s="8" t="s">
        <v>11</v>
      </c>
      <c r="D209" s="8" t="str">
        <f t="shared" si="1"/>
        <v>-</v>
      </c>
      <c r="E209" s="9" t="s">
        <v>11</v>
      </c>
      <c r="F209" s="10"/>
      <c r="G209" s="9"/>
      <c r="H209" s="26"/>
      <c r="I209" s="9" t="s">
        <v>13</v>
      </c>
      <c r="J209" s="55"/>
    </row>
    <row r="210">
      <c r="A210" s="54" t="s">
        <v>6247</v>
      </c>
      <c r="B210" s="26"/>
      <c r="C210" s="8" t="s">
        <v>11</v>
      </c>
      <c r="D210" s="8" t="str">
        <f t="shared" si="1"/>
        <v>-</v>
      </c>
      <c r="E210" s="9" t="s">
        <v>11</v>
      </c>
      <c r="F210" s="10"/>
      <c r="G210" s="9"/>
      <c r="H210" s="26"/>
      <c r="I210" s="9" t="s">
        <v>13</v>
      </c>
      <c r="J210" s="55"/>
    </row>
    <row r="211">
      <c r="A211" s="54" t="s">
        <v>6247</v>
      </c>
      <c r="B211" s="26"/>
      <c r="C211" s="8" t="s">
        <v>11</v>
      </c>
      <c r="D211" s="8" t="str">
        <f t="shared" si="1"/>
        <v>-</v>
      </c>
      <c r="E211" s="9" t="s">
        <v>11</v>
      </c>
      <c r="F211" s="10"/>
      <c r="G211" s="9"/>
      <c r="H211" s="26"/>
      <c r="I211" s="9" t="s">
        <v>13</v>
      </c>
      <c r="J211" s="55"/>
    </row>
    <row r="212">
      <c r="A212" s="54" t="s">
        <v>6247</v>
      </c>
      <c r="B212" s="26"/>
      <c r="C212" s="8" t="s">
        <v>11</v>
      </c>
      <c r="D212" s="8" t="str">
        <f t="shared" si="1"/>
        <v>-</v>
      </c>
      <c r="E212" s="9" t="s">
        <v>11</v>
      </c>
      <c r="F212" s="10"/>
      <c r="G212" s="9"/>
      <c r="H212" s="26"/>
      <c r="I212" s="9" t="s">
        <v>13</v>
      </c>
      <c r="J212" s="55"/>
    </row>
    <row r="213">
      <c r="A213" s="54" t="s">
        <v>6247</v>
      </c>
      <c r="B213" s="26"/>
      <c r="C213" s="8" t="s">
        <v>11</v>
      </c>
      <c r="D213" s="8" t="str">
        <f t="shared" si="1"/>
        <v>-</v>
      </c>
      <c r="E213" s="9" t="s">
        <v>11</v>
      </c>
      <c r="F213" s="10"/>
      <c r="G213" s="9"/>
      <c r="H213" s="26"/>
      <c r="I213" s="9" t="s">
        <v>13</v>
      </c>
      <c r="J213" s="55"/>
    </row>
    <row r="214">
      <c r="A214" s="54" t="s">
        <v>6247</v>
      </c>
      <c r="B214" s="26"/>
      <c r="C214" s="8" t="s">
        <v>11</v>
      </c>
      <c r="D214" s="8" t="str">
        <f t="shared" si="1"/>
        <v>-</v>
      </c>
      <c r="E214" s="9" t="s">
        <v>11</v>
      </c>
      <c r="F214" s="10"/>
      <c r="G214" s="9"/>
      <c r="H214" s="26"/>
      <c r="I214" s="9" t="s">
        <v>13</v>
      </c>
      <c r="J214" s="55"/>
    </row>
    <row r="215">
      <c r="A215" s="54" t="s">
        <v>6247</v>
      </c>
      <c r="B215" s="26"/>
      <c r="C215" s="8" t="s">
        <v>11</v>
      </c>
      <c r="D215" s="8" t="str">
        <f t="shared" si="1"/>
        <v>-</v>
      </c>
      <c r="E215" s="9" t="s">
        <v>11</v>
      </c>
      <c r="F215" s="10"/>
      <c r="G215" s="9"/>
      <c r="H215" s="26"/>
      <c r="I215" s="9" t="s">
        <v>13</v>
      </c>
      <c r="J215" s="55"/>
    </row>
    <row r="216">
      <c r="A216" s="54" t="s">
        <v>6247</v>
      </c>
      <c r="B216" s="26"/>
      <c r="C216" s="8" t="s">
        <v>11</v>
      </c>
      <c r="D216" s="8" t="str">
        <f t="shared" si="1"/>
        <v>-</v>
      </c>
      <c r="E216" s="9" t="s">
        <v>11</v>
      </c>
      <c r="F216" s="10"/>
      <c r="G216" s="9"/>
      <c r="H216" s="26"/>
      <c r="I216" s="9" t="s">
        <v>13</v>
      </c>
      <c r="J216" s="55"/>
    </row>
    <row r="217">
      <c r="A217" s="54" t="s">
        <v>6247</v>
      </c>
      <c r="B217" s="26"/>
      <c r="C217" s="8" t="s">
        <v>11</v>
      </c>
      <c r="D217" s="8" t="str">
        <f t="shared" si="1"/>
        <v>-</v>
      </c>
      <c r="E217" s="9" t="s">
        <v>11</v>
      </c>
      <c r="F217" s="10"/>
      <c r="G217" s="9"/>
      <c r="H217" s="26"/>
      <c r="I217" s="9" t="s">
        <v>13</v>
      </c>
      <c r="J217" s="55"/>
    </row>
    <row r="218">
      <c r="A218" s="54" t="s">
        <v>6247</v>
      </c>
      <c r="B218" s="26"/>
      <c r="C218" s="8" t="s">
        <v>11</v>
      </c>
      <c r="D218" s="8" t="str">
        <f t="shared" si="1"/>
        <v>-</v>
      </c>
      <c r="E218" s="9" t="s">
        <v>11</v>
      </c>
      <c r="F218" s="10"/>
      <c r="G218" s="9"/>
      <c r="H218" s="26"/>
      <c r="I218" s="9" t="s">
        <v>13</v>
      </c>
      <c r="J218" s="55"/>
    </row>
    <row r="219">
      <c r="A219" s="54" t="s">
        <v>6247</v>
      </c>
      <c r="B219" s="26"/>
      <c r="C219" s="8" t="s">
        <v>11</v>
      </c>
      <c r="D219" s="8" t="str">
        <f t="shared" si="1"/>
        <v>-</v>
      </c>
      <c r="E219" s="9" t="s">
        <v>11</v>
      </c>
      <c r="F219" s="10"/>
      <c r="G219" s="9"/>
      <c r="H219" s="26"/>
      <c r="I219" s="9" t="s">
        <v>13</v>
      </c>
      <c r="J219" s="55"/>
    </row>
    <row r="220">
      <c r="A220" s="54" t="s">
        <v>6247</v>
      </c>
      <c r="B220" s="26"/>
      <c r="C220" s="8" t="s">
        <v>11</v>
      </c>
      <c r="D220" s="8" t="str">
        <f t="shared" si="1"/>
        <v>-</v>
      </c>
      <c r="E220" s="9" t="s">
        <v>11</v>
      </c>
      <c r="F220" s="10"/>
      <c r="G220" s="9"/>
      <c r="H220" s="26"/>
      <c r="I220" s="9" t="s">
        <v>13</v>
      </c>
      <c r="J220" s="55"/>
    </row>
    <row r="221">
      <c r="A221" s="54" t="s">
        <v>6247</v>
      </c>
      <c r="B221" s="26"/>
      <c r="C221" s="8" t="s">
        <v>11</v>
      </c>
      <c r="D221" s="8" t="str">
        <f t="shared" si="1"/>
        <v>-</v>
      </c>
      <c r="E221" s="9" t="s">
        <v>11</v>
      </c>
      <c r="F221" s="10"/>
      <c r="G221" s="9"/>
      <c r="H221" s="26"/>
      <c r="I221" s="9" t="s">
        <v>13</v>
      </c>
      <c r="J221" s="55"/>
    </row>
    <row r="222">
      <c r="A222" s="54" t="s">
        <v>6247</v>
      </c>
      <c r="B222" s="26"/>
      <c r="C222" s="8" t="s">
        <v>11</v>
      </c>
      <c r="D222" s="8" t="str">
        <f t="shared" si="1"/>
        <v>-</v>
      </c>
      <c r="E222" s="9" t="s">
        <v>11</v>
      </c>
      <c r="F222" s="10"/>
      <c r="G222" s="9"/>
      <c r="H222" s="26"/>
      <c r="I222" s="9" t="s">
        <v>13</v>
      </c>
      <c r="J222" s="55"/>
    </row>
    <row r="223">
      <c r="A223" s="54" t="s">
        <v>6247</v>
      </c>
      <c r="B223" s="26"/>
      <c r="C223" s="8" t="s">
        <v>11</v>
      </c>
      <c r="D223" s="8" t="str">
        <f t="shared" si="1"/>
        <v>-</v>
      </c>
      <c r="E223" s="9" t="s">
        <v>11</v>
      </c>
      <c r="F223" s="10"/>
      <c r="G223" s="9"/>
      <c r="H223" s="26"/>
      <c r="I223" s="9" t="s">
        <v>13</v>
      </c>
      <c r="J223" s="55"/>
    </row>
    <row r="224">
      <c r="A224" s="54" t="s">
        <v>6247</v>
      </c>
      <c r="B224" s="26"/>
      <c r="C224" s="8" t="s">
        <v>11</v>
      </c>
      <c r="D224" s="8" t="str">
        <f t="shared" si="1"/>
        <v>-</v>
      </c>
      <c r="E224" s="9" t="s">
        <v>11</v>
      </c>
      <c r="F224" s="10"/>
      <c r="G224" s="9"/>
      <c r="H224" s="26"/>
      <c r="I224" s="9" t="s">
        <v>13</v>
      </c>
      <c r="J224" s="55"/>
    </row>
    <row r="225">
      <c r="A225" s="54" t="s">
        <v>6247</v>
      </c>
      <c r="B225" s="26"/>
      <c r="C225" s="8" t="s">
        <v>11</v>
      </c>
      <c r="D225" s="8" t="str">
        <f t="shared" si="1"/>
        <v>-</v>
      </c>
      <c r="E225" s="9" t="s">
        <v>11</v>
      </c>
      <c r="F225" s="10"/>
      <c r="G225" s="9"/>
      <c r="H225" s="26"/>
      <c r="I225" s="9" t="s">
        <v>13</v>
      </c>
      <c r="J225" s="55"/>
    </row>
    <row r="226">
      <c r="A226" s="54" t="s">
        <v>6247</v>
      </c>
      <c r="B226" s="26"/>
      <c r="C226" s="8" t="s">
        <v>11</v>
      </c>
      <c r="D226" s="8" t="str">
        <f t="shared" si="1"/>
        <v>-</v>
      </c>
      <c r="E226" s="9" t="s">
        <v>11</v>
      </c>
      <c r="F226" s="10"/>
      <c r="G226" s="9"/>
      <c r="H226" s="26"/>
      <c r="I226" s="9" t="s">
        <v>13</v>
      </c>
      <c r="J226" s="55"/>
    </row>
    <row r="227">
      <c r="A227" s="54" t="s">
        <v>6247</v>
      </c>
      <c r="B227" s="26"/>
      <c r="C227" s="8" t="s">
        <v>11</v>
      </c>
      <c r="D227" s="8" t="str">
        <f t="shared" si="1"/>
        <v>-</v>
      </c>
      <c r="E227" s="9" t="s">
        <v>11</v>
      </c>
      <c r="F227" s="10"/>
      <c r="G227" s="9"/>
      <c r="H227" s="26"/>
      <c r="I227" s="9" t="s">
        <v>13</v>
      </c>
      <c r="J227" s="55"/>
    </row>
    <row r="228">
      <c r="A228" s="54" t="s">
        <v>6247</v>
      </c>
      <c r="B228" s="26"/>
      <c r="C228" s="8" t="s">
        <v>11</v>
      </c>
      <c r="D228" s="8" t="str">
        <f t="shared" si="1"/>
        <v>-</v>
      </c>
      <c r="E228" s="9" t="s">
        <v>11</v>
      </c>
      <c r="F228" s="10"/>
      <c r="G228" s="9"/>
      <c r="H228" s="26"/>
      <c r="I228" s="9" t="s">
        <v>13</v>
      </c>
      <c r="J228" s="55"/>
    </row>
    <row r="229">
      <c r="A229" s="54" t="s">
        <v>6247</v>
      </c>
      <c r="B229" s="26"/>
      <c r="C229" s="8" t="s">
        <v>11</v>
      </c>
      <c r="D229" s="8" t="str">
        <f t="shared" si="1"/>
        <v>-</v>
      </c>
      <c r="E229" s="9" t="s">
        <v>11</v>
      </c>
      <c r="F229" s="10"/>
      <c r="G229" s="9"/>
      <c r="H229" s="26"/>
      <c r="I229" s="9" t="s">
        <v>13</v>
      </c>
      <c r="J229" s="55"/>
    </row>
    <row r="230">
      <c r="A230" s="54" t="s">
        <v>6247</v>
      </c>
      <c r="B230" s="26"/>
      <c r="C230" s="8" t="s">
        <v>11</v>
      </c>
      <c r="D230" s="8" t="str">
        <f t="shared" si="1"/>
        <v>-</v>
      </c>
      <c r="E230" s="9" t="s">
        <v>11</v>
      </c>
      <c r="F230" s="10"/>
      <c r="G230" s="9"/>
      <c r="H230" s="26"/>
      <c r="I230" s="9" t="s">
        <v>13</v>
      </c>
      <c r="J230" s="55"/>
    </row>
    <row r="231">
      <c r="A231" s="54" t="s">
        <v>6247</v>
      </c>
      <c r="B231" s="26"/>
      <c r="C231" s="8" t="s">
        <v>11</v>
      </c>
      <c r="D231" s="8" t="str">
        <f t="shared" si="1"/>
        <v>-</v>
      </c>
      <c r="E231" s="9" t="s">
        <v>11</v>
      </c>
      <c r="F231" s="10"/>
      <c r="G231" s="9"/>
      <c r="H231" s="26"/>
      <c r="I231" s="9" t="s">
        <v>13</v>
      </c>
      <c r="J231" s="55"/>
    </row>
    <row r="232">
      <c r="A232" s="54" t="s">
        <v>6247</v>
      </c>
      <c r="B232" s="26"/>
      <c r="C232" s="8" t="s">
        <v>11</v>
      </c>
      <c r="D232" s="8" t="str">
        <f t="shared" si="1"/>
        <v>-</v>
      </c>
      <c r="E232" s="9" t="s">
        <v>11</v>
      </c>
      <c r="F232" s="10"/>
      <c r="G232" s="9"/>
      <c r="H232" s="26"/>
      <c r="I232" s="9" t="s">
        <v>13</v>
      </c>
      <c r="J232" s="55"/>
    </row>
    <row r="233">
      <c r="A233" s="54" t="s">
        <v>6247</v>
      </c>
      <c r="B233" s="26"/>
      <c r="C233" s="8" t="s">
        <v>11</v>
      </c>
      <c r="D233" s="8" t="str">
        <f t="shared" si="1"/>
        <v>-</v>
      </c>
      <c r="E233" s="9" t="s">
        <v>11</v>
      </c>
      <c r="F233" s="10"/>
      <c r="G233" s="9"/>
      <c r="H233" s="26"/>
      <c r="I233" s="9" t="s">
        <v>13</v>
      </c>
      <c r="J233" s="55"/>
    </row>
    <row r="234">
      <c r="A234" s="54" t="s">
        <v>6247</v>
      </c>
      <c r="B234" s="26"/>
      <c r="C234" s="8" t="s">
        <v>11</v>
      </c>
      <c r="D234" s="8" t="str">
        <f t="shared" si="1"/>
        <v>-</v>
      </c>
      <c r="E234" s="9" t="s">
        <v>11</v>
      </c>
      <c r="F234" s="10"/>
      <c r="G234" s="9"/>
      <c r="H234" s="26"/>
      <c r="I234" s="9" t="s">
        <v>13</v>
      </c>
      <c r="J234" s="55"/>
    </row>
    <row r="235">
      <c r="A235" s="54" t="s">
        <v>6247</v>
      </c>
      <c r="B235" s="26"/>
      <c r="C235" s="8" t="s">
        <v>11</v>
      </c>
      <c r="D235" s="8" t="str">
        <f t="shared" si="1"/>
        <v>-</v>
      </c>
      <c r="E235" s="9" t="s">
        <v>11</v>
      </c>
      <c r="F235" s="10"/>
      <c r="G235" s="9"/>
      <c r="H235" s="26"/>
      <c r="I235" s="9" t="s">
        <v>13</v>
      </c>
      <c r="J235" s="55"/>
    </row>
    <row r="236">
      <c r="A236" s="54" t="s">
        <v>6247</v>
      </c>
      <c r="B236" s="26"/>
      <c r="C236" s="8" t="s">
        <v>11</v>
      </c>
      <c r="D236" s="8" t="str">
        <f t="shared" si="1"/>
        <v>-</v>
      </c>
      <c r="E236" s="9" t="s">
        <v>11</v>
      </c>
      <c r="F236" s="10"/>
      <c r="G236" s="9"/>
      <c r="H236" s="26"/>
      <c r="I236" s="9" t="s">
        <v>13</v>
      </c>
      <c r="J236" s="55"/>
    </row>
    <row r="237">
      <c r="A237" s="54" t="s">
        <v>6247</v>
      </c>
      <c r="B237" s="26"/>
      <c r="C237" s="8" t="s">
        <v>11</v>
      </c>
      <c r="D237" s="8" t="str">
        <f t="shared" si="1"/>
        <v>-</v>
      </c>
      <c r="E237" s="9" t="s">
        <v>11</v>
      </c>
      <c r="F237" s="10"/>
      <c r="G237" s="9"/>
      <c r="H237" s="26"/>
      <c r="I237" s="9" t="s">
        <v>13</v>
      </c>
      <c r="J237" s="55"/>
    </row>
    <row r="238">
      <c r="A238" s="54" t="s">
        <v>6247</v>
      </c>
      <c r="B238" s="26"/>
      <c r="C238" s="8" t="s">
        <v>11</v>
      </c>
      <c r="D238" s="8" t="str">
        <f t="shared" si="1"/>
        <v>-</v>
      </c>
      <c r="E238" s="9" t="s">
        <v>11</v>
      </c>
      <c r="F238" s="10"/>
      <c r="G238" s="9"/>
      <c r="H238" s="26"/>
      <c r="I238" s="9" t="s">
        <v>13</v>
      </c>
      <c r="J238" s="55"/>
    </row>
    <row r="239">
      <c r="A239" s="54" t="s">
        <v>6247</v>
      </c>
      <c r="B239" s="26"/>
      <c r="C239" s="8" t="s">
        <v>11</v>
      </c>
      <c r="D239" s="8" t="str">
        <f t="shared" si="1"/>
        <v>-</v>
      </c>
      <c r="E239" s="9" t="s">
        <v>11</v>
      </c>
      <c r="F239" s="10"/>
      <c r="G239" s="9"/>
      <c r="H239" s="26"/>
      <c r="I239" s="9" t="s">
        <v>13</v>
      </c>
      <c r="J239" s="55"/>
    </row>
    <row r="240">
      <c r="A240" s="54" t="s">
        <v>6247</v>
      </c>
      <c r="B240" s="26"/>
      <c r="C240" s="8" t="s">
        <v>11</v>
      </c>
      <c r="D240" s="8" t="str">
        <f t="shared" si="1"/>
        <v>-</v>
      </c>
      <c r="E240" s="9" t="s">
        <v>11</v>
      </c>
      <c r="F240" s="10"/>
      <c r="G240" s="9"/>
      <c r="H240" s="26"/>
      <c r="I240" s="9" t="s">
        <v>13</v>
      </c>
      <c r="J240" s="55"/>
    </row>
    <row r="241">
      <c r="A241" s="54" t="s">
        <v>6247</v>
      </c>
      <c r="B241" s="26"/>
      <c r="C241" s="8" t="s">
        <v>11</v>
      </c>
      <c r="D241" s="8" t="str">
        <f t="shared" si="1"/>
        <v>-</v>
      </c>
      <c r="E241" s="9" t="s">
        <v>11</v>
      </c>
      <c r="F241" s="10"/>
      <c r="G241" s="9"/>
      <c r="H241" s="26"/>
      <c r="I241" s="9" t="s">
        <v>13</v>
      </c>
      <c r="J241" s="55"/>
    </row>
    <row r="242">
      <c r="A242" s="54" t="s">
        <v>6247</v>
      </c>
      <c r="B242" s="26"/>
      <c r="C242" s="8" t="s">
        <v>11</v>
      </c>
      <c r="D242" s="8" t="str">
        <f t="shared" si="1"/>
        <v>-</v>
      </c>
      <c r="E242" s="9" t="s">
        <v>11</v>
      </c>
      <c r="F242" s="10"/>
      <c r="G242" s="9"/>
      <c r="H242" s="26"/>
      <c r="I242" s="9" t="s">
        <v>13</v>
      </c>
      <c r="J242" s="55"/>
    </row>
    <row r="243">
      <c r="A243" s="54" t="s">
        <v>6247</v>
      </c>
      <c r="B243" s="26"/>
      <c r="C243" s="8" t="s">
        <v>11</v>
      </c>
      <c r="D243" s="8" t="str">
        <f t="shared" si="1"/>
        <v>-</v>
      </c>
      <c r="E243" s="9" t="s">
        <v>11</v>
      </c>
      <c r="F243" s="10"/>
      <c r="G243" s="9"/>
      <c r="H243" s="26"/>
      <c r="I243" s="9" t="s">
        <v>13</v>
      </c>
      <c r="J243" s="55"/>
    </row>
    <row r="244">
      <c r="A244" s="54" t="s">
        <v>6247</v>
      </c>
      <c r="B244" s="26"/>
      <c r="C244" s="8" t="s">
        <v>11</v>
      </c>
      <c r="D244" s="8" t="str">
        <f t="shared" si="1"/>
        <v>-</v>
      </c>
      <c r="E244" s="9" t="s">
        <v>11</v>
      </c>
      <c r="F244" s="10"/>
      <c r="G244" s="9"/>
      <c r="H244" s="26"/>
      <c r="I244" s="9" t="s">
        <v>13</v>
      </c>
      <c r="J244" s="55"/>
    </row>
    <row r="245">
      <c r="A245" s="54" t="s">
        <v>6247</v>
      </c>
      <c r="B245" s="26"/>
      <c r="C245" s="8" t="s">
        <v>11</v>
      </c>
      <c r="D245" s="8" t="str">
        <f t="shared" si="1"/>
        <v>-</v>
      </c>
      <c r="E245" s="9" t="s">
        <v>11</v>
      </c>
      <c r="F245" s="10"/>
      <c r="G245" s="9"/>
      <c r="H245" s="26"/>
      <c r="I245" s="9" t="s">
        <v>13</v>
      </c>
      <c r="J245" s="55"/>
    </row>
    <row r="246">
      <c r="A246" s="54" t="s">
        <v>6247</v>
      </c>
      <c r="B246" s="26"/>
      <c r="C246" s="8" t="s">
        <v>11</v>
      </c>
      <c r="D246" s="8" t="str">
        <f t="shared" si="1"/>
        <v>-</v>
      </c>
      <c r="E246" s="9" t="s">
        <v>11</v>
      </c>
      <c r="F246" s="10"/>
      <c r="G246" s="9"/>
      <c r="H246" s="26"/>
      <c r="I246" s="9" t="s">
        <v>13</v>
      </c>
      <c r="J246" s="55"/>
    </row>
    <row r="247">
      <c r="A247" s="54" t="s">
        <v>6247</v>
      </c>
      <c r="B247" s="26"/>
      <c r="C247" s="8" t="s">
        <v>11</v>
      </c>
      <c r="D247" s="8" t="str">
        <f t="shared" si="1"/>
        <v>-</v>
      </c>
      <c r="E247" s="9" t="s">
        <v>11</v>
      </c>
      <c r="F247" s="10"/>
      <c r="G247" s="9"/>
      <c r="H247" s="26"/>
      <c r="I247" s="9" t="s">
        <v>13</v>
      </c>
      <c r="J247" s="55"/>
    </row>
    <row r="248">
      <c r="A248" s="54" t="s">
        <v>6247</v>
      </c>
      <c r="B248" s="26"/>
      <c r="C248" s="8" t="s">
        <v>11</v>
      </c>
      <c r="D248" s="8" t="str">
        <f t="shared" si="1"/>
        <v>-</v>
      </c>
      <c r="E248" s="9" t="s">
        <v>11</v>
      </c>
      <c r="F248" s="10"/>
      <c r="G248" s="9"/>
      <c r="H248" s="26"/>
      <c r="I248" s="9" t="s">
        <v>13</v>
      </c>
      <c r="J248" s="55"/>
    </row>
    <row r="249">
      <c r="A249" s="54" t="s">
        <v>6247</v>
      </c>
      <c r="B249" s="26"/>
      <c r="C249" s="8" t="s">
        <v>11</v>
      </c>
      <c r="D249" s="8" t="str">
        <f t="shared" si="1"/>
        <v>-</v>
      </c>
      <c r="E249" s="9" t="s">
        <v>11</v>
      </c>
      <c r="F249" s="10"/>
      <c r="G249" s="9"/>
      <c r="H249" s="26"/>
      <c r="I249" s="9" t="s">
        <v>13</v>
      </c>
      <c r="J249" s="55"/>
    </row>
    <row r="250">
      <c r="A250" s="54" t="s">
        <v>6247</v>
      </c>
      <c r="B250" s="26"/>
      <c r="C250" s="8" t="s">
        <v>11</v>
      </c>
      <c r="D250" s="8" t="str">
        <f t="shared" si="1"/>
        <v>-</v>
      </c>
      <c r="E250" s="9" t="s">
        <v>11</v>
      </c>
      <c r="F250" s="10"/>
      <c r="G250" s="9"/>
      <c r="H250" s="26"/>
      <c r="I250" s="9" t="s">
        <v>13</v>
      </c>
      <c r="J250" s="55"/>
    </row>
    <row r="251">
      <c r="A251" s="54" t="s">
        <v>6247</v>
      </c>
      <c r="B251" s="26"/>
      <c r="C251" s="8" t="s">
        <v>11</v>
      </c>
      <c r="D251" s="8" t="str">
        <f t="shared" si="1"/>
        <v>-</v>
      </c>
      <c r="E251" s="9" t="s">
        <v>11</v>
      </c>
      <c r="F251" s="10"/>
      <c r="G251" s="9"/>
      <c r="H251" s="26"/>
      <c r="I251" s="9" t="s">
        <v>13</v>
      </c>
      <c r="J251" s="55"/>
    </row>
    <row r="252">
      <c r="A252" s="54" t="s">
        <v>6247</v>
      </c>
      <c r="B252" s="26"/>
      <c r="C252" s="8" t="s">
        <v>11</v>
      </c>
      <c r="D252" s="8" t="str">
        <f t="shared" si="1"/>
        <v>-</v>
      </c>
      <c r="E252" s="9" t="s">
        <v>11</v>
      </c>
      <c r="F252" s="10"/>
      <c r="G252" s="9"/>
      <c r="H252" s="26"/>
      <c r="I252" s="9" t="s">
        <v>13</v>
      </c>
      <c r="J252" s="55"/>
    </row>
    <row r="253">
      <c r="A253" s="54" t="s">
        <v>6247</v>
      </c>
      <c r="B253" s="26"/>
      <c r="C253" s="8" t="s">
        <v>11</v>
      </c>
      <c r="D253" s="8" t="str">
        <f t="shared" si="1"/>
        <v>-</v>
      </c>
      <c r="E253" s="9" t="s">
        <v>11</v>
      </c>
      <c r="F253" s="10"/>
      <c r="G253" s="9"/>
      <c r="H253" s="26"/>
      <c r="I253" s="9" t="s">
        <v>13</v>
      </c>
      <c r="J253" s="55"/>
    </row>
    <row r="254">
      <c r="A254" s="54" t="s">
        <v>6247</v>
      </c>
      <c r="B254" s="26"/>
      <c r="C254" s="8" t="s">
        <v>11</v>
      </c>
      <c r="D254" s="8" t="str">
        <f t="shared" si="1"/>
        <v>-</v>
      </c>
      <c r="E254" s="9" t="s">
        <v>11</v>
      </c>
      <c r="F254" s="10"/>
      <c r="G254" s="9"/>
      <c r="H254" s="26"/>
      <c r="I254" s="9" t="s">
        <v>13</v>
      </c>
      <c r="J254" s="55"/>
    </row>
    <row r="255">
      <c r="A255" s="54" t="s">
        <v>6247</v>
      </c>
      <c r="B255" s="26"/>
      <c r="C255" s="8" t="s">
        <v>11</v>
      </c>
      <c r="D255" s="8" t="str">
        <f t="shared" si="1"/>
        <v>-</v>
      </c>
      <c r="E255" s="9" t="s">
        <v>11</v>
      </c>
      <c r="F255" s="10"/>
      <c r="G255" s="9"/>
      <c r="H255" s="26"/>
      <c r="I255" s="9" t="s">
        <v>13</v>
      </c>
      <c r="J255" s="55"/>
    </row>
    <row r="256">
      <c r="A256" s="54" t="s">
        <v>6247</v>
      </c>
      <c r="B256" s="26"/>
      <c r="C256" s="8" t="s">
        <v>11</v>
      </c>
      <c r="D256" s="8" t="str">
        <f t="shared" si="1"/>
        <v>-</v>
      </c>
      <c r="E256" s="9" t="s">
        <v>11</v>
      </c>
      <c r="F256" s="10"/>
      <c r="G256" s="9"/>
      <c r="H256" s="26"/>
      <c r="I256" s="9" t="s">
        <v>13</v>
      </c>
      <c r="J256" s="55"/>
    </row>
    <row r="257">
      <c r="A257" s="54" t="s">
        <v>6247</v>
      </c>
      <c r="B257" s="26"/>
      <c r="C257" s="8" t="s">
        <v>11</v>
      </c>
      <c r="D257" s="8" t="str">
        <f t="shared" si="1"/>
        <v>-</v>
      </c>
      <c r="E257" s="9" t="s">
        <v>11</v>
      </c>
      <c r="F257" s="10"/>
      <c r="G257" s="9"/>
      <c r="H257" s="26"/>
      <c r="I257" s="9" t="s">
        <v>13</v>
      </c>
      <c r="J257" s="55"/>
    </row>
    <row r="258">
      <c r="A258" s="54" t="s">
        <v>6247</v>
      </c>
      <c r="B258" s="26"/>
      <c r="C258" s="8" t="s">
        <v>11</v>
      </c>
      <c r="D258" s="8" t="str">
        <f t="shared" si="1"/>
        <v>-</v>
      </c>
      <c r="E258" s="9" t="s">
        <v>11</v>
      </c>
      <c r="F258" s="10"/>
      <c r="G258" s="9"/>
      <c r="H258" s="26"/>
      <c r="I258" s="9" t="s">
        <v>13</v>
      </c>
      <c r="J258" s="55"/>
    </row>
    <row r="259">
      <c r="A259" s="54" t="s">
        <v>6247</v>
      </c>
      <c r="B259" s="26"/>
      <c r="C259" s="8" t="s">
        <v>11</v>
      </c>
      <c r="D259" s="8" t="str">
        <f t="shared" si="1"/>
        <v>-</v>
      </c>
      <c r="E259" s="9" t="s">
        <v>11</v>
      </c>
      <c r="F259" s="10"/>
      <c r="G259" s="9"/>
      <c r="H259" s="26"/>
      <c r="I259" s="9" t="s">
        <v>13</v>
      </c>
      <c r="J259" s="55"/>
    </row>
    <row r="260">
      <c r="A260" s="54" t="s">
        <v>6247</v>
      </c>
      <c r="B260" s="26"/>
      <c r="C260" s="8" t="s">
        <v>11</v>
      </c>
      <c r="D260" s="8" t="str">
        <f t="shared" si="1"/>
        <v>-</v>
      </c>
      <c r="E260" s="9" t="s">
        <v>11</v>
      </c>
      <c r="F260" s="10"/>
      <c r="G260" s="9"/>
      <c r="H260" s="26"/>
      <c r="I260" s="9" t="s">
        <v>13</v>
      </c>
      <c r="J260" s="55"/>
    </row>
    <row r="261">
      <c r="A261" s="54" t="s">
        <v>6247</v>
      </c>
      <c r="B261" s="26"/>
      <c r="C261" s="8" t="s">
        <v>11</v>
      </c>
      <c r="D261" s="8" t="str">
        <f t="shared" si="1"/>
        <v>-</v>
      </c>
      <c r="E261" s="9" t="s">
        <v>11</v>
      </c>
      <c r="F261" s="10"/>
      <c r="G261" s="9"/>
      <c r="H261" s="26"/>
      <c r="I261" s="9" t="s">
        <v>13</v>
      </c>
      <c r="J261" s="55"/>
    </row>
    <row r="262">
      <c r="A262" s="54" t="s">
        <v>6247</v>
      </c>
      <c r="B262" s="26"/>
      <c r="C262" s="8" t="s">
        <v>11</v>
      </c>
      <c r="D262" s="8" t="str">
        <f t="shared" si="1"/>
        <v>-</v>
      </c>
      <c r="E262" s="9" t="s">
        <v>11</v>
      </c>
      <c r="F262" s="10"/>
      <c r="G262" s="9"/>
      <c r="H262" s="26"/>
      <c r="I262" s="9" t="s">
        <v>13</v>
      </c>
      <c r="J262" s="55"/>
    </row>
    <row r="263">
      <c r="A263" s="54" t="s">
        <v>6247</v>
      </c>
      <c r="B263" s="26"/>
      <c r="C263" s="8" t="s">
        <v>11</v>
      </c>
      <c r="D263" s="8" t="str">
        <f t="shared" si="1"/>
        <v>-</v>
      </c>
      <c r="E263" s="9" t="s">
        <v>11</v>
      </c>
      <c r="F263" s="10"/>
      <c r="G263" s="9"/>
      <c r="H263" s="26"/>
      <c r="I263" s="9" t="s">
        <v>13</v>
      </c>
      <c r="J263" s="55"/>
    </row>
    <row r="264">
      <c r="A264" s="54" t="s">
        <v>6247</v>
      </c>
      <c r="B264" s="26"/>
      <c r="C264" s="8" t="s">
        <v>11</v>
      </c>
      <c r="D264" s="8" t="str">
        <f t="shared" si="1"/>
        <v>-</v>
      </c>
      <c r="E264" s="9" t="s">
        <v>11</v>
      </c>
      <c r="F264" s="10"/>
      <c r="G264" s="9"/>
      <c r="H264" s="26"/>
      <c r="I264" s="9" t="s">
        <v>13</v>
      </c>
      <c r="J264" s="55"/>
    </row>
    <row r="265">
      <c r="A265" s="54" t="s">
        <v>6247</v>
      </c>
      <c r="B265" s="26"/>
      <c r="C265" s="8" t="s">
        <v>11</v>
      </c>
      <c r="D265" s="8" t="str">
        <f t="shared" si="1"/>
        <v>-</v>
      </c>
      <c r="E265" s="9" t="s">
        <v>11</v>
      </c>
      <c r="F265" s="10"/>
      <c r="G265" s="9"/>
      <c r="H265" s="26"/>
      <c r="I265" s="9" t="s">
        <v>13</v>
      </c>
      <c r="J265" s="55"/>
    </row>
    <row r="266">
      <c r="A266" s="54" t="s">
        <v>6247</v>
      </c>
      <c r="B266" s="26"/>
      <c r="C266" s="8" t="s">
        <v>11</v>
      </c>
      <c r="D266" s="8" t="str">
        <f t="shared" si="1"/>
        <v>-</v>
      </c>
      <c r="E266" s="9" t="s">
        <v>11</v>
      </c>
      <c r="F266" s="10"/>
      <c r="G266" s="9"/>
      <c r="H266" s="26"/>
      <c r="I266" s="9" t="s">
        <v>13</v>
      </c>
      <c r="J266" s="55"/>
    </row>
    <row r="267">
      <c r="A267" s="54" t="s">
        <v>6247</v>
      </c>
      <c r="B267" s="26"/>
      <c r="C267" s="8" t="s">
        <v>11</v>
      </c>
      <c r="D267" s="8" t="str">
        <f t="shared" si="1"/>
        <v>-</v>
      </c>
      <c r="E267" s="9" t="s">
        <v>11</v>
      </c>
      <c r="F267" s="10"/>
      <c r="G267" s="9"/>
      <c r="H267" s="26"/>
      <c r="I267" s="9" t="s">
        <v>13</v>
      </c>
      <c r="J267" s="55"/>
    </row>
    <row r="268">
      <c r="A268" s="54" t="s">
        <v>6247</v>
      </c>
      <c r="B268" s="26"/>
      <c r="C268" s="8" t="s">
        <v>11</v>
      </c>
      <c r="D268" s="8" t="str">
        <f t="shared" si="1"/>
        <v>-</v>
      </c>
      <c r="E268" s="9" t="s">
        <v>11</v>
      </c>
      <c r="F268" s="10"/>
      <c r="G268" s="9"/>
      <c r="H268" s="26"/>
      <c r="I268" s="9" t="s">
        <v>13</v>
      </c>
      <c r="J268" s="55"/>
    </row>
    <row r="269">
      <c r="A269" s="54" t="s">
        <v>6247</v>
      </c>
      <c r="B269" s="26"/>
      <c r="C269" s="8" t="s">
        <v>11</v>
      </c>
      <c r="D269" s="8" t="str">
        <f t="shared" si="1"/>
        <v>-</v>
      </c>
      <c r="E269" s="9" t="s">
        <v>11</v>
      </c>
      <c r="F269" s="10"/>
      <c r="G269" s="9"/>
      <c r="H269" s="26"/>
      <c r="I269" s="9" t="s">
        <v>13</v>
      </c>
      <c r="J269" s="55"/>
    </row>
    <row r="270">
      <c r="A270" s="54" t="s">
        <v>6247</v>
      </c>
      <c r="B270" s="26"/>
      <c r="C270" s="8" t="s">
        <v>11</v>
      </c>
      <c r="D270" s="8" t="str">
        <f t="shared" si="1"/>
        <v>-</v>
      </c>
      <c r="E270" s="9" t="s">
        <v>11</v>
      </c>
      <c r="F270" s="10"/>
      <c r="G270" s="9"/>
      <c r="H270" s="26"/>
      <c r="I270" s="9" t="s">
        <v>13</v>
      </c>
      <c r="J270" s="55"/>
    </row>
    <row r="271">
      <c r="A271" s="54" t="s">
        <v>6247</v>
      </c>
      <c r="B271" s="26"/>
      <c r="C271" s="8" t="s">
        <v>11</v>
      </c>
      <c r="D271" s="8" t="str">
        <f t="shared" si="1"/>
        <v>-</v>
      </c>
      <c r="E271" s="9" t="s">
        <v>11</v>
      </c>
      <c r="F271" s="10"/>
      <c r="G271" s="9"/>
      <c r="H271" s="26"/>
      <c r="I271" s="9" t="s">
        <v>13</v>
      </c>
      <c r="J271" s="55"/>
    </row>
    <row r="272">
      <c r="A272" s="54" t="s">
        <v>6247</v>
      </c>
      <c r="B272" s="26"/>
      <c r="C272" s="8" t="s">
        <v>11</v>
      </c>
      <c r="D272" s="8" t="str">
        <f t="shared" si="1"/>
        <v>-</v>
      </c>
      <c r="E272" s="9" t="s">
        <v>11</v>
      </c>
      <c r="F272" s="10"/>
      <c r="G272" s="9"/>
      <c r="H272" s="26"/>
      <c r="I272" s="9" t="s">
        <v>13</v>
      </c>
      <c r="J272" s="55"/>
    </row>
    <row r="273">
      <c r="A273" s="54" t="s">
        <v>6247</v>
      </c>
      <c r="B273" s="26"/>
      <c r="C273" s="8" t="s">
        <v>11</v>
      </c>
      <c r="D273" s="8" t="str">
        <f t="shared" si="1"/>
        <v>-</v>
      </c>
      <c r="E273" s="9" t="s">
        <v>11</v>
      </c>
      <c r="F273" s="10"/>
      <c r="G273" s="9"/>
      <c r="H273" s="26"/>
      <c r="I273" s="9" t="s">
        <v>13</v>
      </c>
      <c r="J273" s="55"/>
    </row>
    <row r="274">
      <c r="A274" s="54" t="s">
        <v>6247</v>
      </c>
      <c r="B274" s="26"/>
      <c r="C274" s="8" t="s">
        <v>11</v>
      </c>
      <c r="D274" s="8" t="str">
        <f t="shared" si="1"/>
        <v>-</v>
      </c>
      <c r="E274" s="9" t="s">
        <v>11</v>
      </c>
      <c r="F274" s="10"/>
      <c r="G274" s="9"/>
      <c r="H274" s="26"/>
      <c r="I274" s="9" t="s">
        <v>13</v>
      </c>
      <c r="J274" s="55"/>
    </row>
    <row r="275">
      <c r="A275" s="54" t="s">
        <v>6247</v>
      </c>
      <c r="B275" s="26"/>
      <c r="C275" s="8" t="s">
        <v>11</v>
      </c>
      <c r="D275" s="8" t="str">
        <f t="shared" si="1"/>
        <v>-</v>
      </c>
      <c r="E275" s="9" t="s">
        <v>11</v>
      </c>
      <c r="F275" s="10"/>
      <c r="G275" s="9"/>
      <c r="H275" s="26"/>
      <c r="I275" s="9" t="s">
        <v>13</v>
      </c>
      <c r="J275" s="55"/>
    </row>
    <row r="276">
      <c r="A276" s="54" t="s">
        <v>6247</v>
      </c>
      <c r="B276" s="26"/>
      <c r="C276" s="8" t="s">
        <v>11</v>
      </c>
      <c r="D276" s="8" t="str">
        <f t="shared" si="1"/>
        <v>-</v>
      </c>
      <c r="E276" s="9" t="s">
        <v>11</v>
      </c>
      <c r="F276" s="10"/>
      <c r="G276" s="9"/>
      <c r="H276" s="26"/>
      <c r="I276" s="9" t="s">
        <v>13</v>
      </c>
      <c r="J276" s="55"/>
    </row>
    <row r="277">
      <c r="A277" s="54" t="s">
        <v>6247</v>
      </c>
      <c r="B277" s="26"/>
      <c r="C277" s="8" t="s">
        <v>11</v>
      </c>
      <c r="D277" s="8" t="str">
        <f t="shared" si="1"/>
        <v>-</v>
      </c>
      <c r="E277" s="9" t="s">
        <v>11</v>
      </c>
      <c r="F277" s="10"/>
      <c r="G277" s="9"/>
      <c r="H277" s="26"/>
      <c r="I277" s="9" t="s">
        <v>13</v>
      </c>
      <c r="J277" s="55"/>
    </row>
    <row r="278">
      <c r="A278" s="54" t="s">
        <v>6247</v>
      </c>
      <c r="B278" s="26"/>
      <c r="C278" s="8" t="s">
        <v>11</v>
      </c>
      <c r="D278" s="8" t="str">
        <f t="shared" si="1"/>
        <v>-</v>
      </c>
      <c r="E278" s="9" t="s">
        <v>11</v>
      </c>
      <c r="F278" s="10"/>
      <c r="G278" s="9"/>
      <c r="H278" s="26"/>
      <c r="I278" s="9" t="s">
        <v>13</v>
      </c>
      <c r="J278" s="55"/>
    </row>
    <row r="279">
      <c r="A279" s="54" t="s">
        <v>6247</v>
      </c>
      <c r="B279" s="26"/>
      <c r="C279" s="8" t="s">
        <v>11</v>
      </c>
      <c r="D279" s="8" t="str">
        <f t="shared" si="1"/>
        <v>-</v>
      </c>
      <c r="E279" s="9" t="s">
        <v>11</v>
      </c>
      <c r="F279" s="10"/>
      <c r="G279" s="9"/>
      <c r="H279" s="26"/>
      <c r="I279" s="9" t="s">
        <v>13</v>
      </c>
      <c r="J279" s="55"/>
    </row>
    <row r="280">
      <c r="A280" s="54" t="s">
        <v>6247</v>
      </c>
      <c r="B280" s="26"/>
      <c r="C280" s="8" t="s">
        <v>11</v>
      </c>
      <c r="D280" s="8" t="str">
        <f t="shared" si="1"/>
        <v>-</v>
      </c>
      <c r="E280" s="9" t="s">
        <v>11</v>
      </c>
      <c r="F280" s="10"/>
      <c r="G280" s="9"/>
      <c r="H280" s="26"/>
      <c r="I280" s="9" t="s">
        <v>13</v>
      </c>
      <c r="J280" s="55"/>
    </row>
    <row r="281">
      <c r="A281" s="54" t="s">
        <v>6247</v>
      </c>
      <c r="B281" s="26"/>
      <c r="C281" s="8" t="s">
        <v>11</v>
      </c>
      <c r="D281" s="8" t="str">
        <f t="shared" si="1"/>
        <v>-</v>
      </c>
      <c r="E281" s="9" t="s">
        <v>11</v>
      </c>
      <c r="F281" s="10"/>
      <c r="G281" s="9"/>
      <c r="H281" s="26"/>
      <c r="I281" s="9" t="s">
        <v>13</v>
      </c>
      <c r="J281" s="55"/>
    </row>
    <row r="282">
      <c r="A282" s="54" t="s">
        <v>6247</v>
      </c>
      <c r="B282" s="26"/>
      <c r="C282" s="8" t="s">
        <v>11</v>
      </c>
      <c r="D282" s="8" t="str">
        <f t="shared" si="1"/>
        <v>-</v>
      </c>
      <c r="E282" s="9" t="s">
        <v>11</v>
      </c>
      <c r="F282" s="10"/>
      <c r="G282" s="9"/>
      <c r="H282" s="26"/>
      <c r="I282" s="9" t="s">
        <v>13</v>
      </c>
      <c r="J282" s="55"/>
    </row>
    <row r="283">
      <c r="A283" s="54" t="s">
        <v>6247</v>
      </c>
      <c r="B283" s="26"/>
      <c r="C283" s="8" t="s">
        <v>11</v>
      </c>
      <c r="D283" s="8" t="str">
        <f t="shared" si="1"/>
        <v>-</v>
      </c>
      <c r="E283" s="9" t="s">
        <v>11</v>
      </c>
      <c r="F283" s="10"/>
      <c r="G283" s="9"/>
      <c r="H283" s="26"/>
      <c r="I283" s="9" t="s">
        <v>13</v>
      </c>
      <c r="J283" s="55"/>
    </row>
    <row r="284">
      <c r="A284" s="54" t="s">
        <v>6247</v>
      </c>
      <c r="B284" s="26"/>
      <c r="C284" s="8" t="s">
        <v>11</v>
      </c>
      <c r="D284" s="8" t="str">
        <f t="shared" si="1"/>
        <v>-</v>
      </c>
      <c r="E284" s="9" t="s">
        <v>11</v>
      </c>
      <c r="F284" s="10"/>
      <c r="G284" s="9"/>
      <c r="H284" s="26"/>
      <c r="I284" s="9" t="s">
        <v>13</v>
      </c>
      <c r="J284" s="55"/>
    </row>
    <row r="285">
      <c r="A285" s="54" t="s">
        <v>6247</v>
      </c>
      <c r="B285" s="26"/>
      <c r="C285" s="8" t="s">
        <v>11</v>
      </c>
      <c r="D285" s="8" t="str">
        <f t="shared" si="1"/>
        <v>-</v>
      </c>
      <c r="E285" s="9" t="s">
        <v>11</v>
      </c>
      <c r="F285" s="10"/>
      <c r="G285" s="9"/>
      <c r="H285" s="26"/>
      <c r="I285" s="9" t="s">
        <v>13</v>
      </c>
      <c r="J285" s="55"/>
    </row>
    <row r="286">
      <c r="A286" s="54" t="s">
        <v>6247</v>
      </c>
      <c r="B286" s="26"/>
      <c r="C286" s="8" t="s">
        <v>11</v>
      </c>
      <c r="D286" s="8" t="str">
        <f t="shared" si="1"/>
        <v>-</v>
      </c>
      <c r="E286" s="9" t="s">
        <v>11</v>
      </c>
      <c r="F286" s="10"/>
      <c r="G286" s="9"/>
      <c r="H286" s="26"/>
      <c r="I286" s="9" t="s">
        <v>13</v>
      </c>
      <c r="J286" s="55"/>
    </row>
    <row r="287">
      <c r="A287" s="54" t="s">
        <v>6247</v>
      </c>
      <c r="B287" s="26"/>
      <c r="C287" s="8" t="s">
        <v>11</v>
      </c>
      <c r="D287" s="8" t="str">
        <f t="shared" si="1"/>
        <v>-</v>
      </c>
      <c r="E287" s="9" t="s">
        <v>11</v>
      </c>
      <c r="F287" s="10"/>
      <c r="G287" s="9"/>
      <c r="H287" s="26"/>
      <c r="I287" s="9" t="s">
        <v>13</v>
      </c>
      <c r="J287" s="55"/>
    </row>
    <row r="288">
      <c r="A288" s="54" t="s">
        <v>6247</v>
      </c>
      <c r="B288" s="26"/>
      <c r="C288" s="8" t="s">
        <v>11</v>
      </c>
      <c r="D288" s="8" t="str">
        <f t="shared" si="1"/>
        <v>-</v>
      </c>
      <c r="E288" s="9" t="s">
        <v>11</v>
      </c>
      <c r="F288" s="10"/>
      <c r="G288" s="9"/>
      <c r="H288" s="26"/>
      <c r="I288" s="9" t="s">
        <v>13</v>
      </c>
      <c r="J288" s="55"/>
    </row>
    <row r="289">
      <c r="A289" s="54" t="s">
        <v>6247</v>
      </c>
      <c r="B289" s="26"/>
      <c r="C289" s="8" t="s">
        <v>11</v>
      </c>
      <c r="D289" s="8" t="str">
        <f t="shared" si="1"/>
        <v>-</v>
      </c>
      <c r="E289" s="9" t="s">
        <v>11</v>
      </c>
      <c r="F289" s="10"/>
      <c r="G289" s="9"/>
      <c r="H289" s="26"/>
      <c r="I289" s="9" t="s">
        <v>13</v>
      </c>
      <c r="J289" s="55"/>
    </row>
    <row r="290">
      <c r="A290" s="54" t="s">
        <v>6247</v>
      </c>
      <c r="B290" s="26"/>
      <c r="C290" s="8" t="s">
        <v>11</v>
      </c>
      <c r="D290" s="8" t="str">
        <f t="shared" si="1"/>
        <v>-</v>
      </c>
      <c r="E290" s="9" t="s">
        <v>11</v>
      </c>
      <c r="F290" s="10"/>
      <c r="G290" s="9"/>
      <c r="H290" s="26"/>
      <c r="I290" s="9" t="s">
        <v>13</v>
      </c>
      <c r="J290" s="55"/>
    </row>
    <row r="291">
      <c r="A291" s="54" t="s">
        <v>6247</v>
      </c>
      <c r="B291" s="26"/>
      <c r="C291" s="8" t="s">
        <v>11</v>
      </c>
      <c r="D291" s="8" t="str">
        <f t="shared" si="1"/>
        <v>-</v>
      </c>
      <c r="E291" s="9" t="s">
        <v>11</v>
      </c>
      <c r="F291" s="10"/>
      <c r="G291" s="9"/>
      <c r="H291" s="26"/>
      <c r="I291" s="9" t="s">
        <v>13</v>
      </c>
      <c r="J291" s="55"/>
    </row>
    <row r="292">
      <c r="A292" s="54" t="s">
        <v>6247</v>
      </c>
      <c r="B292" s="26"/>
      <c r="C292" s="8" t="s">
        <v>11</v>
      </c>
      <c r="D292" s="8" t="str">
        <f t="shared" si="1"/>
        <v>-</v>
      </c>
      <c r="E292" s="9" t="s">
        <v>11</v>
      </c>
      <c r="F292" s="10"/>
      <c r="G292" s="9"/>
      <c r="H292" s="26"/>
      <c r="I292" s="9" t="s">
        <v>13</v>
      </c>
      <c r="J292" s="55"/>
    </row>
    <row r="293">
      <c r="A293" s="54" t="s">
        <v>6247</v>
      </c>
      <c r="B293" s="26"/>
      <c r="C293" s="8" t="s">
        <v>11</v>
      </c>
      <c r="D293" s="8" t="str">
        <f t="shared" si="1"/>
        <v>-</v>
      </c>
      <c r="E293" s="9" t="s">
        <v>11</v>
      </c>
      <c r="F293" s="10"/>
      <c r="G293" s="9"/>
      <c r="H293" s="26"/>
      <c r="I293" s="9" t="s">
        <v>13</v>
      </c>
      <c r="J293" s="55"/>
    </row>
    <row r="294">
      <c r="A294" s="54" t="s">
        <v>6247</v>
      </c>
      <c r="B294" s="26"/>
      <c r="C294" s="8" t="s">
        <v>11</v>
      </c>
      <c r="D294" s="8" t="str">
        <f t="shared" si="1"/>
        <v>-</v>
      </c>
      <c r="E294" s="9" t="s">
        <v>11</v>
      </c>
      <c r="F294" s="10"/>
      <c r="G294" s="9"/>
      <c r="H294" s="26"/>
      <c r="I294" s="9" t="s">
        <v>13</v>
      </c>
      <c r="J294" s="55"/>
    </row>
    <row r="295">
      <c r="A295" s="54" t="s">
        <v>6247</v>
      </c>
      <c r="B295" s="26"/>
      <c r="C295" s="8" t="s">
        <v>11</v>
      </c>
      <c r="D295" s="8" t="str">
        <f t="shared" si="1"/>
        <v>-</v>
      </c>
      <c r="E295" s="9" t="s">
        <v>11</v>
      </c>
      <c r="F295" s="10"/>
      <c r="G295" s="9"/>
      <c r="H295" s="26"/>
      <c r="I295" s="9" t="s">
        <v>13</v>
      </c>
      <c r="J295" s="55"/>
    </row>
    <row r="296">
      <c r="A296" s="54" t="s">
        <v>6247</v>
      </c>
      <c r="B296" s="26"/>
      <c r="C296" s="8" t="s">
        <v>11</v>
      </c>
      <c r="D296" s="8" t="str">
        <f t="shared" si="1"/>
        <v>-</v>
      </c>
      <c r="E296" s="9" t="s">
        <v>11</v>
      </c>
      <c r="F296" s="10"/>
      <c r="G296" s="9"/>
      <c r="H296" s="26"/>
      <c r="I296" s="9" t="s">
        <v>13</v>
      </c>
      <c r="J296" s="55"/>
    </row>
    <row r="297">
      <c r="A297" s="54" t="s">
        <v>6247</v>
      </c>
      <c r="B297" s="26"/>
      <c r="C297" s="8" t="s">
        <v>11</v>
      </c>
      <c r="D297" s="8" t="str">
        <f t="shared" si="1"/>
        <v>-</v>
      </c>
      <c r="E297" s="9" t="s">
        <v>11</v>
      </c>
      <c r="F297" s="10"/>
      <c r="G297" s="9"/>
      <c r="H297" s="26"/>
      <c r="I297" s="9" t="s">
        <v>13</v>
      </c>
      <c r="J297" s="55"/>
    </row>
    <row r="298">
      <c r="A298" s="54" t="s">
        <v>6247</v>
      </c>
      <c r="B298" s="26"/>
      <c r="C298" s="8" t="s">
        <v>11</v>
      </c>
      <c r="D298" s="8" t="str">
        <f t="shared" si="1"/>
        <v>-</v>
      </c>
      <c r="E298" s="9" t="s">
        <v>11</v>
      </c>
      <c r="F298" s="10"/>
      <c r="G298" s="9"/>
      <c r="H298" s="26"/>
      <c r="I298" s="9" t="s">
        <v>13</v>
      </c>
      <c r="J298" s="55"/>
    </row>
    <row r="299">
      <c r="A299" s="54" t="s">
        <v>6247</v>
      </c>
      <c r="B299" s="26"/>
      <c r="C299" s="8" t="s">
        <v>11</v>
      </c>
      <c r="D299" s="8" t="str">
        <f t="shared" si="1"/>
        <v>-</v>
      </c>
      <c r="E299" s="9" t="s">
        <v>11</v>
      </c>
      <c r="F299" s="10"/>
      <c r="G299" s="9"/>
      <c r="H299" s="26"/>
      <c r="I299" s="9" t="s">
        <v>13</v>
      </c>
      <c r="J299" s="55"/>
    </row>
    <row r="300">
      <c r="A300" s="54" t="s">
        <v>6247</v>
      </c>
      <c r="B300" s="26"/>
      <c r="C300" s="8" t="s">
        <v>11</v>
      </c>
      <c r="D300" s="8" t="str">
        <f t="shared" si="1"/>
        <v>-</v>
      </c>
      <c r="E300" s="9" t="s">
        <v>11</v>
      </c>
      <c r="F300" s="10"/>
      <c r="G300" s="9"/>
      <c r="H300" s="26"/>
      <c r="I300" s="9" t="s">
        <v>13</v>
      </c>
      <c r="J300" s="55"/>
    </row>
    <row r="301">
      <c r="A301" s="54" t="s">
        <v>6247</v>
      </c>
      <c r="B301" s="26"/>
      <c r="C301" s="8" t="s">
        <v>11</v>
      </c>
      <c r="D301" s="8" t="str">
        <f t="shared" si="1"/>
        <v>-</v>
      </c>
      <c r="E301" s="9" t="s">
        <v>11</v>
      </c>
      <c r="F301" s="10"/>
      <c r="G301" s="9"/>
      <c r="H301" s="26"/>
      <c r="I301" s="9" t="s">
        <v>13</v>
      </c>
      <c r="J301" s="55"/>
    </row>
    <row r="302">
      <c r="A302" s="54" t="s">
        <v>6247</v>
      </c>
      <c r="B302" s="26"/>
      <c r="C302" s="8" t="s">
        <v>11</v>
      </c>
      <c r="D302" s="8" t="str">
        <f t="shared" si="1"/>
        <v>-</v>
      </c>
      <c r="E302" s="9" t="s">
        <v>11</v>
      </c>
      <c r="F302" s="10"/>
      <c r="G302" s="9"/>
      <c r="H302" s="26"/>
      <c r="I302" s="9" t="s">
        <v>13</v>
      </c>
      <c r="J302" s="55"/>
    </row>
    <row r="303">
      <c r="A303" s="54" t="s">
        <v>6247</v>
      </c>
      <c r="B303" s="26"/>
      <c r="C303" s="8" t="s">
        <v>11</v>
      </c>
      <c r="D303" s="8" t="str">
        <f t="shared" si="1"/>
        <v>-</v>
      </c>
      <c r="E303" s="9" t="s">
        <v>11</v>
      </c>
      <c r="F303" s="10"/>
      <c r="G303" s="9"/>
      <c r="H303" s="26"/>
      <c r="I303" s="9" t="s">
        <v>13</v>
      </c>
      <c r="J303" s="55"/>
    </row>
    <row r="304">
      <c r="A304" s="54" t="s">
        <v>6247</v>
      </c>
      <c r="B304" s="26"/>
      <c r="C304" s="8" t="s">
        <v>11</v>
      </c>
      <c r="D304" s="8" t="str">
        <f t="shared" si="1"/>
        <v>-</v>
      </c>
      <c r="E304" s="9" t="s">
        <v>11</v>
      </c>
      <c r="F304" s="10"/>
      <c r="G304" s="9"/>
      <c r="H304" s="26"/>
      <c r="I304" s="9" t="s">
        <v>13</v>
      </c>
      <c r="J304" s="55"/>
    </row>
    <row r="305">
      <c r="A305" s="54" t="s">
        <v>6247</v>
      </c>
      <c r="B305" s="26"/>
      <c r="C305" s="8" t="s">
        <v>11</v>
      </c>
      <c r="D305" s="8" t="str">
        <f t="shared" si="1"/>
        <v>-</v>
      </c>
      <c r="E305" s="9" t="s">
        <v>11</v>
      </c>
      <c r="F305" s="10"/>
      <c r="G305" s="9"/>
      <c r="H305" s="26"/>
      <c r="I305" s="9" t="s">
        <v>13</v>
      </c>
      <c r="J305" s="55"/>
    </row>
    <row r="306">
      <c r="A306" s="54" t="s">
        <v>6247</v>
      </c>
      <c r="B306" s="26"/>
      <c r="C306" s="8" t="s">
        <v>11</v>
      </c>
      <c r="D306" s="8" t="str">
        <f t="shared" si="1"/>
        <v>-</v>
      </c>
      <c r="E306" s="9" t="s">
        <v>11</v>
      </c>
      <c r="F306" s="10"/>
      <c r="G306" s="9"/>
      <c r="H306" s="26"/>
      <c r="I306" s="9" t="s">
        <v>13</v>
      </c>
      <c r="J306" s="55"/>
    </row>
    <row r="307">
      <c r="A307" s="54" t="s">
        <v>6247</v>
      </c>
      <c r="B307" s="26"/>
      <c r="C307" s="8" t="s">
        <v>11</v>
      </c>
      <c r="D307" s="8" t="str">
        <f t="shared" si="1"/>
        <v>-</v>
      </c>
      <c r="E307" s="9" t="s">
        <v>11</v>
      </c>
      <c r="F307" s="10"/>
      <c r="G307" s="9"/>
      <c r="H307" s="26"/>
      <c r="I307" s="9" t="s">
        <v>13</v>
      </c>
      <c r="J307" s="55"/>
    </row>
    <row r="308">
      <c r="A308" s="54" t="s">
        <v>6247</v>
      </c>
      <c r="B308" s="26"/>
      <c r="C308" s="8" t="s">
        <v>11</v>
      </c>
      <c r="D308" s="8" t="str">
        <f t="shared" si="1"/>
        <v>-</v>
      </c>
      <c r="E308" s="9" t="s">
        <v>11</v>
      </c>
      <c r="F308" s="10"/>
      <c r="G308" s="9"/>
      <c r="H308" s="26"/>
      <c r="I308" s="9" t="s">
        <v>13</v>
      </c>
      <c r="J308" s="55"/>
    </row>
    <row r="309">
      <c r="A309" s="54" t="s">
        <v>6247</v>
      </c>
      <c r="B309" s="26"/>
      <c r="C309" s="8" t="s">
        <v>11</v>
      </c>
      <c r="D309" s="8" t="str">
        <f t="shared" si="1"/>
        <v>-</v>
      </c>
      <c r="E309" s="9" t="s">
        <v>11</v>
      </c>
      <c r="F309" s="10"/>
      <c r="G309" s="9"/>
      <c r="H309" s="26"/>
      <c r="I309" s="9" t="s">
        <v>13</v>
      </c>
      <c r="J309" s="55"/>
    </row>
    <row r="310">
      <c r="A310" s="54" t="s">
        <v>6247</v>
      </c>
      <c r="B310" s="26"/>
      <c r="C310" s="8" t="s">
        <v>11</v>
      </c>
      <c r="D310" s="8" t="str">
        <f t="shared" si="1"/>
        <v>-</v>
      </c>
      <c r="E310" s="9" t="s">
        <v>11</v>
      </c>
      <c r="F310" s="10"/>
      <c r="G310" s="9"/>
      <c r="H310" s="26"/>
      <c r="I310" s="9" t="s">
        <v>13</v>
      </c>
      <c r="J310" s="55"/>
    </row>
    <row r="311">
      <c r="A311" s="54" t="s">
        <v>6247</v>
      </c>
      <c r="B311" s="26"/>
      <c r="C311" s="8" t="s">
        <v>11</v>
      </c>
      <c r="D311" s="8" t="str">
        <f t="shared" si="1"/>
        <v>-</v>
      </c>
      <c r="E311" s="9" t="s">
        <v>11</v>
      </c>
      <c r="F311" s="10"/>
      <c r="G311" s="9"/>
      <c r="H311" s="26"/>
      <c r="I311" s="9" t="s">
        <v>13</v>
      </c>
      <c r="J311" s="55"/>
    </row>
    <row r="312">
      <c r="A312" s="54" t="s">
        <v>6247</v>
      </c>
      <c r="B312" s="26"/>
      <c r="C312" s="8" t="s">
        <v>11</v>
      </c>
      <c r="D312" s="8" t="str">
        <f t="shared" si="1"/>
        <v>-</v>
      </c>
      <c r="E312" s="9" t="s">
        <v>11</v>
      </c>
      <c r="F312" s="10"/>
      <c r="G312" s="9"/>
      <c r="H312" s="26"/>
      <c r="I312" s="9" t="s">
        <v>13</v>
      </c>
      <c r="J312" s="55"/>
    </row>
    <row r="313">
      <c r="A313" s="54" t="s">
        <v>6247</v>
      </c>
      <c r="B313" s="26"/>
      <c r="C313" s="8" t="s">
        <v>11</v>
      </c>
      <c r="D313" s="8" t="str">
        <f t="shared" si="1"/>
        <v>-</v>
      </c>
      <c r="E313" s="9" t="s">
        <v>11</v>
      </c>
      <c r="F313" s="10"/>
      <c r="G313" s="9"/>
      <c r="H313" s="26"/>
      <c r="I313" s="9" t="s">
        <v>13</v>
      </c>
      <c r="J313" s="55"/>
    </row>
    <row r="314">
      <c r="A314" s="54" t="s">
        <v>6247</v>
      </c>
      <c r="B314" s="26"/>
      <c r="C314" s="8" t="s">
        <v>11</v>
      </c>
      <c r="D314" s="8" t="str">
        <f t="shared" si="1"/>
        <v>-</v>
      </c>
      <c r="E314" s="9" t="s">
        <v>11</v>
      </c>
      <c r="F314" s="10"/>
      <c r="G314" s="9"/>
      <c r="H314" s="26"/>
      <c r="I314" s="9" t="s">
        <v>13</v>
      </c>
      <c r="J314" s="55"/>
    </row>
    <row r="315">
      <c r="A315" s="54" t="s">
        <v>6247</v>
      </c>
      <c r="B315" s="26"/>
      <c r="C315" s="8" t="s">
        <v>11</v>
      </c>
      <c r="D315" s="8" t="str">
        <f t="shared" si="1"/>
        <v>-</v>
      </c>
      <c r="E315" s="9" t="s">
        <v>11</v>
      </c>
      <c r="F315" s="10"/>
      <c r="G315" s="9"/>
      <c r="H315" s="26"/>
      <c r="I315" s="9" t="s">
        <v>13</v>
      </c>
      <c r="J315" s="55"/>
    </row>
    <row r="316">
      <c r="A316" s="54" t="s">
        <v>6247</v>
      </c>
      <c r="B316" s="26"/>
      <c r="C316" s="8" t="s">
        <v>11</v>
      </c>
      <c r="D316" s="8" t="str">
        <f t="shared" si="1"/>
        <v>-</v>
      </c>
      <c r="E316" s="9" t="s">
        <v>11</v>
      </c>
      <c r="F316" s="10"/>
      <c r="G316" s="9"/>
      <c r="H316" s="26"/>
      <c r="I316" s="9" t="s">
        <v>13</v>
      </c>
      <c r="J316" s="55"/>
    </row>
    <row r="317">
      <c r="A317" s="54" t="s">
        <v>6247</v>
      </c>
      <c r="B317" s="26"/>
      <c r="C317" s="8" t="s">
        <v>11</v>
      </c>
      <c r="D317" s="8" t="str">
        <f t="shared" si="1"/>
        <v>-</v>
      </c>
      <c r="E317" s="9" t="s">
        <v>11</v>
      </c>
      <c r="F317" s="10"/>
      <c r="G317" s="9"/>
      <c r="H317" s="26"/>
      <c r="I317" s="9" t="s">
        <v>13</v>
      </c>
      <c r="J317" s="55"/>
    </row>
    <row r="318">
      <c r="A318" s="54" t="s">
        <v>6247</v>
      </c>
      <c r="B318" s="26"/>
      <c r="C318" s="8" t="s">
        <v>11</v>
      </c>
      <c r="D318" s="8" t="str">
        <f t="shared" si="1"/>
        <v>-</v>
      </c>
      <c r="E318" s="9" t="s">
        <v>11</v>
      </c>
      <c r="F318" s="10"/>
      <c r="G318" s="9"/>
      <c r="H318" s="26"/>
      <c r="I318" s="9" t="s">
        <v>13</v>
      </c>
      <c r="J318" s="55"/>
    </row>
    <row r="319">
      <c r="A319" s="54" t="s">
        <v>6247</v>
      </c>
      <c r="B319" s="26"/>
      <c r="C319" s="8" t="s">
        <v>11</v>
      </c>
      <c r="D319" s="8" t="str">
        <f t="shared" si="1"/>
        <v>-</v>
      </c>
      <c r="E319" s="9" t="s">
        <v>11</v>
      </c>
      <c r="F319" s="10"/>
      <c r="G319" s="9"/>
      <c r="H319" s="26"/>
      <c r="I319" s="9" t="s">
        <v>13</v>
      </c>
      <c r="J319" s="55"/>
    </row>
    <row r="320">
      <c r="A320" s="54" t="s">
        <v>6247</v>
      </c>
      <c r="B320" s="26"/>
      <c r="C320" s="8" t="s">
        <v>11</v>
      </c>
      <c r="D320" s="8" t="str">
        <f t="shared" si="1"/>
        <v>-</v>
      </c>
      <c r="E320" s="9" t="s">
        <v>11</v>
      </c>
      <c r="F320" s="10"/>
      <c r="G320" s="9"/>
      <c r="H320" s="26"/>
      <c r="I320" s="9" t="s">
        <v>13</v>
      </c>
      <c r="J320" s="55"/>
    </row>
    <row r="321">
      <c r="A321" s="54" t="s">
        <v>6247</v>
      </c>
      <c r="B321" s="26"/>
      <c r="C321" s="8" t="s">
        <v>11</v>
      </c>
      <c r="D321" s="8" t="str">
        <f t="shared" si="1"/>
        <v>-</v>
      </c>
      <c r="E321" s="9" t="s">
        <v>11</v>
      </c>
      <c r="F321" s="10"/>
      <c r="G321" s="9"/>
      <c r="H321" s="26"/>
      <c r="I321" s="9" t="s">
        <v>13</v>
      </c>
      <c r="J321" s="55"/>
    </row>
    <row r="322">
      <c r="A322" s="54" t="s">
        <v>6247</v>
      </c>
      <c r="B322" s="26"/>
      <c r="C322" s="8" t="s">
        <v>11</v>
      </c>
      <c r="D322" s="8" t="str">
        <f t="shared" si="1"/>
        <v>-</v>
      </c>
      <c r="E322" s="9" t="s">
        <v>11</v>
      </c>
      <c r="F322" s="10"/>
      <c r="G322" s="9"/>
      <c r="H322" s="26"/>
      <c r="I322" s="9" t="s">
        <v>13</v>
      </c>
      <c r="J322" s="55"/>
    </row>
    <row r="323">
      <c r="A323" s="54" t="s">
        <v>6247</v>
      </c>
      <c r="B323" s="26"/>
      <c r="C323" s="8" t="s">
        <v>11</v>
      </c>
      <c r="D323" s="8" t="str">
        <f t="shared" si="1"/>
        <v>-</v>
      </c>
      <c r="E323" s="9" t="s">
        <v>11</v>
      </c>
      <c r="F323" s="10"/>
      <c r="G323" s="9"/>
      <c r="H323" s="26"/>
      <c r="I323" s="9" t="s">
        <v>13</v>
      </c>
      <c r="J323" s="55"/>
    </row>
    <row r="324">
      <c r="A324" s="54" t="s">
        <v>6247</v>
      </c>
      <c r="B324" s="26"/>
      <c r="C324" s="8" t="s">
        <v>11</v>
      </c>
      <c r="D324" s="8" t="str">
        <f t="shared" si="1"/>
        <v>-</v>
      </c>
      <c r="E324" s="9" t="s">
        <v>11</v>
      </c>
      <c r="F324" s="10"/>
      <c r="G324" s="9"/>
      <c r="H324" s="26"/>
      <c r="I324" s="9" t="s">
        <v>13</v>
      </c>
      <c r="J324" s="55"/>
    </row>
    <row r="325">
      <c r="A325" s="54" t="s">
        <v>6247</v>
      </c>
      <c r="B325" s="26"/>
      <c r="C325" s="8" t="s">
        <v>11</v>
      </c>
      <c r="D325" s="8" t="str">
        <f t="shared" si="1"/>
        <v>-</v>
      </c>
      <c r="E325" s="9" t="s">
        <v>11</v>
      </c>
      <c r="F325" s="10"/>
      <c r="G325" s="9"/>
      <c r="H325" s="26"/>
      <c r="I325" s="9" t="s">
        <v>13</v>
      </c>
      <c r="J325" s="55"/>
    </row>
    <row r="326">
      <c r="A326" s="54" t="s">
        <v>6247</v>
      </c>
      <c r="B326" s="26"/>
      <c r="C326" s="8" t="s">
        <v>11</v>
      </c>
      <c r="D326" s="8" t="str">
        <f t="shared" si="1"/>
        <v>-</v>
      </c>
      <c r="E326" s="9" t="s">
        <v>11</v>
      </c>
      <c r="F326" s="10"/>
      <c r="G326" s="9"/>
      <c r="H326" s="26"/>
      <c r="I326" s="9" t="s">
        <v>13</v>
      </c>
      <c r="J326" s="55"/>
    </row>
    <row r="327">
      <c r="A327" s="54" t="s">
        <v>6247</v>
      </c>
      <c r="B327" s="26"/>
      <c r="C327" s="8" t="s">
        <v>11</v>
      </c>
      <c r="D327" s="8" t="str">
        <f t="shared" si="1"/>
        <v>-</v>
      </c>
      <c r="E327" s="9" t="s">
        <v>11</v>
      </c>
      <c r="F327" s="10"/>
      <c r="G327" s="9"/>
      <c r="H327" s="26"/>
      <c r="I327" s="9" t="s">
        <v>13</v>
      </c>
      <c r="J327" s="55"/>
    </row>
    <row r="328">
      <c r="A328" s="54" t="s">
        <v>6247</v>
      </c>
      <c r="B328" s="26"/>
      <c r="C328" s="8" t="s">
        <v>11</v>
      </c>
      <c r="D328" s="8" t="str">
        <f t="shared" si="1"/>
        <v>-</v>
      </c>
      <c r="E328" s="9" t="s">
        <v>11</v>
      </c>
      <c r="F328" s="10"/>
      <c r="G328" s="9"/>
      <c r="H328" s="26"/>
      <c r="I328" s="9" t="s">
        <v>13</v>
      </c>
      <c r="J328" s="55"/>
    </row>
    <row r="329">
      <c r="A329" s="54" t="s">
        <v>6247</v>
      </c>
      <c r="B329" s="26"/>
      <c r="C329" s="8" t="s">
        <v>11</v>
      </c>
      <c r="D329" s="8" t="str">
        <f t="shared" si="1"/>
        <v>-</v>
      </c>
      <c r="E329" s="9" t="s">
        <v>11</v>
      </c>
      <c r="F329" s="10"/>
      <c r="G329" s="9"/>
      <c r="H329" s="26"/>
      <c r="I329" s="9" t="s">
        <v>13</v>
      </c>
      <c r="J329" s="55"/>
    </row>
    <row r="330">
      <c r="A330" s="54" t="s">
        <v>6247</v>
      </c>
      <c r="B330" s="26"/>
      <c r="C330" s="8" t="s">
        <v>11</v>
      </c>
      <c r="D330" s="8" t="str">
        <f t="shared" si="1"/>
        <v>-</v>
      </c>
      <c r="E330" s="9" t="s">
        <v>11</v>
      </c>
      <c r="F330" s="10"/>
      <c r="G330" s="9"/>
      <c r="H330" s="26"/>
      <c r="I330" s="9" t="s">
        <v>13</v>
      </c>
      <c r="J330" s="55"/>
    </row>
    <row r="331">
      <c r="A331" s="54" t="s">
        <v>6247</v>
      </c>
      <c r="B331" s="26"/>
      <c r="C331" s="8" t="s">
        <v>11</v>
      </c>
      <c r="D331" s="8" t="str">
        <f t="shared" si="1"/>
        <v>-</v>
      </c>
      <c r="E331" s="9" t="s">
        <v>11</v>
      </c>
      <c r="F331" s="10"/>
      <c r="G331" s="9"/>
      <c r="H331" s="26"/>
      <c r="I331" s="9" t="s">
        <v>13</v>
      </c>
      <c r="J331" s="55"/>
    </row>
    <row r="332">
      <c r="A332" s="54" t="s">
        <v>6247</v>
      </c>
      <c r="B332" s="26"/>
      <c r="C332" s="8" t="s">
        <v>11</v>
      </c>
      <c r="D332" s="8" t="str">
        <f t="shared" si="1"/>
        <v>-</v>
      </c>
      <c r="E332" s="9" t="s">
        <v>11</v>
      </c>
      <c r="F332" s="10"/>
      <c r="G332" s="9"/>
      <c r="H332" s="26"/>
      <c r="I332" s="9" t="s">
        <v>13</v>
      </c>
      <c r="J332" s="55"/>
    </row>
    <row r="333">
      <c r="A333" s="54" t="s">
        <v>6247</v>
      </c>
      <c r="B333" s="26"/>
      <c r="C333" s="8" t="s">
        <v>11</v>
      </c>
      <c r="D333" s="8" t="str">
        <f t="shared" si="1"/>
        <v>-</v>
      </c>
      <c r="E333" s="9" t="s">
        <v>11</v>
      </c>
      <c r="F333" s="10"/>
      <c r="G333" s="9"/>
      <c r="H333" s="26"/>
      <c r="I333" s="9" t="s">
        <v>13</v>
      </c>
      <c r="J333" s="55"/>
    </row>
    <row r="334">
      <c r="A334" s="54" t="s">
        <v>6247</v>
      </c>
      <c r="B334" s="26"/>
      <c r="C334" s="8" t="s">
        <v>11</v>
      </c>
      <c r="D334" s="8" t="str">
        <f t="shared" si="1"/>
        <v>-</v>
      </c>
      <c r="E334" s="9" t="s">
        <v>11</v>
      </c>
      <c r="F334" s="10"/>
      <c r="G334" s="9"/>
      <c r="H334" s="26"/>
      <c r="I334" s="9" t="s">
        <v>13</v>
      </c>
      <c r="J334" s="55"/>
    </row>
    <row r="335">
      <c r="A335" s="54" t="s">
        <v>6247</v>
      </c>
      <c r="B335" s="26"/>
      <c r="C335" s="8" t="s">
        <v>11</v>
      </c>
      <c r="D335" s="8" t="str">
        <f t="shared" si="1"/>
        <v>-</v>
      </c>
      <c r="E335" s="9" t="s">
        <v>11</v>
      </c>
      <c r="F335" s="10"/>
      <c r="G335" s="9"/>
      <c r="H335" s="26"/>
      <c r="I335" s="9" t="s">
        <v>13</v>
      </c>
      <c r="J335" s="55"/>
    </row>
    <row r="336">
      <c r="A336" s="54" t="s">
        <v>6247</v>
      </c>
      <c r="B336" s="26"/>
      <c r="C336" s="8" t="s">
        <v>11</v>
      </c>
      <c r="D336" s="8" t="str">
        <f t="shared" si="1"/>
        <v>-</v>
      </c>
      <c r="E336" s="9" t="s">
        <v>11</v>
      </c>
      <c r="F336" s="10"/>
      <c r="G336" s="9"/>
      <c r="H336" s="26"/>
      <c r="I336" s="9" t="s">
        <v>13</v>
      </c>
      <c r="J336" s="55"/>
    </row>
    <row r="337">
      <c r="A337" s="54" t="s">
        <v>6247</v>
      </c>
      <c r="B337" s="26"/>
      <c r="C337" s="8" t="s">
        <v>11</v>
      </c>
      <c r="D337" s="8" t="str">
        <f t="shared" si="1"/>
        <v>-</v>
      </c>
      <c r="E337" s="9" t="s">
        <v>11</v>
      </c>
      <c r="F337" s="10"/>
      <c r="G337" s="9"/>
      <c r="H337" s="26"/>
      <c r="I337" s="9" t="s">
        <v>13</v>
      </c>
      <c r="J337" s="55"/>
    </row>
    <row r="338">
      <c r="A338" s="54" t="s">
        <v>6247</v>
      </c>
      <c r="B338" s="26"/>
      <c r="C338" s="8" t="s">
        <v>11</v>
      </c>
      <c r="D338" s="8" t="str">
        <f t="shared" si="1"/>
        <v>-</v>
      </c>
      <c r="E338" s="9" t="s">
        <v>11</v>
      </c>
      <c r="F338" s="10"/>
      <c r="G338" s="9"/>
      <c r="H338" s="26"/>
      <c r="I338" s="9" t="s">
        <v>13</v>
      </c>
      <c r="J338" s="55"/>
    </row>
    <row r="339">
      <c r="A339" s="54" t="s">
        <v>6247</v>
      </c>
      <c r="B339" s="26"/>
      <c r="C339" s="8" t="s">
        <v>11</v>
      </c>
      <c r="D339" s="8" t="str">
        <f t="shared" si="1"/>
        <v>-</v>
      </c>
      <c r="E339" s="9" t="s">
        <v>11</v>
      </c>
      <c r="F339" s="10"/>
      <c r="G339" s="9"/>
      <c r="H339" s="26"/>
      <c r="I339" s="9" t="s">
        <v>13</v>
      </c>
      <c r="J339" s="55"/>
    </row>
    <row r="340">
      <c r="A340" s="54" t="s">
        <v>6247</v>
      </c>
      <c r="B340" s="26"/>
      <c r="C340" s="8" t="s">
        <v>11</v>
      </c>
      <c r="D340" s="8" t="str">
        <f t="shared" si="1"/>
        <v>-</v>
      </c>
      <c r="E340" s="9" t="s">
        <v>11</v>
      </c>
      <c r="F340" s="10"/>
      <c r="G340" s="9"/>
      <c r="H340" s="26"/>
      <c r="I340" s="9" t="s">
        <v>13</v>
      </c>
      <c r="J340" s="55"/>
    </row>
    <row r="341">
      <c r="A341" s="54" t="s">
        <v>6247</v>
      </c>
      <c r="B341" s="26"/>
      <c r="C341" s="8" t="s">
        <v>11</v>
      </c>
      <c r="D341" s="8" t="str">
        <f t="shared" si="1"/>
        <v>-</v>
      </c>
      <c r="E341" s="9" t="s">
        <v>11</v>
      </c>
      <c r="F341" s="10"/>
      <c r="G341" s="9"/>
      <c r="H341" s="26"/>
      <c r="I341" s="9" t="s">
        <v>13</v>
      </c>
      <c r="J341" s="55"/>
    </row>
    <row r="342">
      <c r="A342" s="54" t="s">
        <v>6247</v>
      </c>
      <c r="B342" s="26"/>
      <c r="C342" s="8" t="s">
        <v>11</v>
      </c>
      <c r="D342" s="8" t="str">
        <f t="shared" si="1"/>
        <v>-</v>
      </c>
      <c r="E342" s="9" t="s">
        <v>11</v>
      </c>
      <c r="F342" s="10"/>
      <c r="G342" s="9"/>
      <c r="H342" s="26"/>
      <c r="I342" s="9" t="s">
        <v>13</v>
      </c>
      <c r="J342" s="55"/>
    </row>
    <row r="343">
      <c r="A343" s="54" t="s">
        <v>6247</v>
      </c>
      <c r="B343" s="26"/>
      <c r="C343" s="8" t="s">
        <v>11</v>
      </c>
      <c r="D343" s="8" t="str">
        <f t="shared" si="1"/>
        <v>-</v>
      </c>
      <c r="E343" s="9" t="s">
        <v>11</v>
      </c>
      <c r="F343" s="10"/>
      <c r="G343" s="9"/>
      <c r="H343" s="26"/>
      <c r="I343" s="9" t="s">
        <v>13</v>
      </c>
      <c r="J343" s="55"/>
    </row>
    <row r="344">
      <c r="A344" s="54" t="s">
        <v>6247</v>
      </c>
      <c r="B344" s="26"/>
      <c r="C344" s="8" t="s">
        <v>11</v>
      </c>
      <c r="D344" s="8" t="str">
        <f t="shared" si="1"/>
        <v>-</v>
      </c>
      <c r="E344" s="9" t="s">
        <v>11</v>
      </c>
      <c r="F344" s="10"/>
      <c r="G344" s="9"/>
      <c r="H344" s="26"/>
      <c r="I344" s="9" t="s">
        <v>13</v>
      </c>
      <c r="J344" s="55"/>
    </row>
    <row r="345">
      <c r="A345" s="54" t="s">
        <v>6247</v>
      </c>
      <c r="B345" s="26"/>
      <c r="C345" s="8" t="s">
        <v>11</v>
      </c>
      <c r="D345" s="8" t="str">
        <f t="shared" si="1"/>
        <v>-</v>
      </c>
      <c r="E345" s="9" t="s">
        <v>11</v>
      </c>
      <c r="F345" s="10"/>
      <c r="G345" s="9"/>
      <c r="H345" s="26"/>
      <c r="I345" s="9" t="s">
        <v>13</v>
      </c>
      <c r="J345" s="55"/>
    </row>
    <row r="346">
      <c r="A346" s="54" t="s">
        <v>6247</v>
      </c>
      <c r="B346" s="26"/>
      <c r="C346" s="8" t="s">
        <v>11</v>
      </c>
      <c r="D346" s="8" t="str">
        <f t="shared" si="1"/>
        <v>-</v>
      </c>
      <c r="E346" s="9" t="s">
        <v>11</v>
      </c>
      <c r="F346" s="10"/>
      <c r="G346" s="9"/>
      <c r="H346" s="26"/>
      <c r="I346" s="9" t="s">
        <v>13</v>
      </c>
      <c r="J346" s="55"/>
    </row>
    <row r="347">
      <c r="A347" s="54" t="s">
        <v>6247</v>
      </c>
      <c r="B347" s="26"/>
      <c r="C347" s="8" t="s">
        <v>11</v>
      </c>
      <c r="D347" s="8" t="str">
        <f t="shared" si="1"/>
        <v>-</v>
      </c>
      <c r="E347" s="9" t="s">
        <v>11</v>
      </c>
      <c r="F347" s="10"/>
      <c r="G347" s="9"/>
      <c r="H347" s="26"/>
      <c r="I347" s="9" t="s">
        <v>13</v>
      </c>
      <c r="J347" s="55"/>
    </row>
    <row r="348">
      <c r="A348" s="54" t="s">
        <v>6247</v>
      </c>
      <c r="B348" s="26"/>
      <c r="C348" s="8" t="s">
        <v>11</v>
      </c>
      <c r="D348" s="8" t="str">
        <f t="shared" si="1"/>
        <v>-</v>
      </c>
      <c r="E348" s="9" t="s">
        <v>11</v>
      </c>
      <c r="F348" s="10"/>
      <c r="G348" s="9"/>
      <c r="H348" s="26"/>
      <c r="I348" s="9" t="s">
        <v>13</v>
      </c>
      <c r="J348" s="55"/>
    </row>
    <row r="349">
      <c r="A349" s="54" t="s">
        <v>6247</v>
      </c>
      <c r="B349" s="26"/>
      <c r="C349" s="8" t="s">
        <v>11</v>
      </c>
      <c r="D349" s="8" t="str">
        <f t="shared" si="1"/>
        <v>-</v>
      </c>
      <c r="E349" s="9" t="s">
        <v>11</v>
      </c>
      <c r="F349" s="10"/>
      <c r="G349" s="9"/>
      <c r="H349" s="26"/>
      <c r="I349" s="9" t="s">
        <v>13</v>
      </c>
      <c r="J349" s="55"/>
    </row>
    <row r="350">
      <c r="A350" s="54" t="s">
        <v>6247</v>
      </c>
      <c r="B350" s="26"/>
      <c r="C350" s="8" t="s">
        <v>11</v>
      </c>
      <c r="D350" s="8" t="str">
        <f t="shared" si="1"/>
        <v>-</v>
      </c>
      <c r="E350" s="9" t="s">
        <v>11</v>
      </c>
      <c r="F350" s="10"/>
      <c r="G350" s="9"/>
      <c r="H350" s="26"/>
      <c r="I350" s="9" t="s">
        <v>13</v>
      </c>
      <c r="J350" s="55"/>
    </row>
    <row r="351">
      <c r="A351" s="54" t="s">
        <v>6247</v>
      </c>
      <c r="B351" s="26"/>
      <c r="C351" s="8" t="s">
        <v>11</v>
      </c>
      <c r="D351" s="8" t="str">
        <f t="shared" si="1"/>
        <v>-</v>
      </c>
      <c r="E351" s="9" t="s">
        <v>11</v>
      </c>
      <c r="F351" s="10"/>
      <c r="G351" s="9"/>
      <c r="H351" s="26"/>
      <c r="I351" s="9" t="s">
        <v>13</v>
      </c>
      <c r="J351" s="55"/>
    </row>
    <row r="352">
      <c r="A352" s="54" t="s">
        <v>6247</v>
      </c>
      <c r="B352" s="26"/>
      <c r="C352" s="8" t="s">
        <v>11</v>
      </c>
      <c r="D352" s="8" t="str">
        <f t="shared" si="1"/>
        <v>-</v>
      </c>
      <c r="E352" s="9" t="s">
        <v>11</v>
      </c>
      <c r="F352" s="10"/>
      <c r="G352" s="9"/>
      <c r="H352" s="26"/>
      <c r="I352" s="9" t="s">
        <v>13</v>
      </c>
      <c r="J352" s="55"/>
    </row>
    <row r="353">
      <c r="A353" s="54" t="s">
        <v>6247</v>
      </c>
      <c r="B353" s="26"/>
      <c r="C353" s="8" t="s">
        <v>11</v>
      </c>
      <c r="D353" s="8" t="str">
        <f t="shared" si="1"/>
        <v>-</v>
      </c>
      <c r="E353" s="9" t="s">
        <v>11</v>
      </c>
      <c r="F353" s="10"/>
      <c r="G353" s="9"/>
      <c r="H353" s="26"/>
      <c r="I353" s="9" t="s">
        <v>13</v>
      </c>
      <c r="J353" s="55"/>
    </row>
    <row r="354">
      <c r="A354" s="54" t="s">
        <v>6247</v>
      </c>
      <c r="B354" s="26"/>
      <c r="C354" s="8" t="s">
        <v>11</v>
      </c>
      <c r="D354" s="8" t="str">
        <f t="shared" si="1"/>
        <v>-</v>
      </c>
      <c r="E354" s="9" t="s">
        <v>11</v>
      </c>
      <c r="F354" s="10"/>
      <c r="G354" s="9"/>
      <c r="H354" s="26"/>
      <c r="I354" s="9" t="s">
        <v>13</v>
      </c>
      <c r="J354" s="55"/>
    </row>
    <row r="355">
      <c r="A355" s="54" t="s">
        <v>6247</v>
      </c>
      <c r="B355" s="26"/>
      <c r="C355" s="8" t="s">
        <v>11</v>
      </c>
      <c r="D355" s="8" t="str">
        <f t="shared" si="1"/>
        <v>-</v>
      </c>
      <c r="E355" s="9" t="s">
        <v>11</v>
      </c>
      <c r="F355" s="10"/>
      <c r="G355" s="9"/>
      <c r="H355" s="26"/>
      <c r="I355" s="9" t="s">
        <v>13</v>
      </c>
      <c r="J355" s="55"/>
    </row>
    <row r="356">
      <c r="A356" s="54" t="s">
        <v>6247</v>
      </c>
      <c r="B356" s="26"/>
      <c r="C356" s="8" t="s">
        <v>11</v>
      </c>
      <c r="D356" s="8" t="str">
        <f t="shared" si="1"/>
        <v>-</v>
      </c>
      <c r="E356" s="9" t="s">
        <v>11</v>
      </c>
      <c r="F356" s="10"/>
      <c r="G356" s="9"/>
      <c r="H356" s="26"/>
      <c r="I356" s="9" t="s">
        <v>13</v>
      </c>
      <c r="J356" s="55"/>
    </row>
    <row r="357">
      <c r="A357" s="54" t="s">
        <v>6247</v>
      </c>
      <c r="B357" s="26"/>
      <c r="C357" s="8" t="s">
        <v>11</v>
      </c>
      <c r="D357" s="8" t="str">
        <f t="shared" si="1"/>
        <v>-</v>
      </c>
      <c r="E357" s="9" t="s">
        <v>11</v>
      </c>
      <c r="F357" s="10"/>
      <c r="G357" s="9"/>
      <c r="H357" s="26"/>
      <c r="I357" s="9" t="s">
        <v>13</v>
      </c>
      <c r="J357" s="55"/>
    </row>
    <row r="358">
      <c r="A358" s="54" t="s">
        <v>6247</v>
      </c>
      <c r="B358" s="26"/>
      <c r="C358" s="8" t="s">
        <v>11</v>
      </c>
      <c r="D358" s="8" t="str">
        <f t="shared" si="1"/>
        <v>-</v>
      </c>
      <c r="E358" s="9" t="s">
        <v>11</v>
      </c>
      <c r="F358" s="10"/>
      <c r="G358" s="9"/>
      <c r="H358" s="26"/>
      <c r="I358" s="9" t="s">
        <v>13</v>
      </c>
      <c r="J358" s="55"/>
    </row>
    <row r="359">
      <c r="A359" s="54" t="s">
        <v>6247</v>
      </c>
      <c r="B359" s="26"/>
      <c r="C359" s="8" t="s">
        <v>11</v>
      </c>
      <c r="D359" s="8" t="str">
        <f t="shared" si="1"/>
        <v>-</v>
      </c>
      <c r="E359" s="9" t="s">
        <v>11</v>
      </c>
      <c r="F359" s="10"/>
      <c r="G359" s="9"/>
      <c r="H359" s="26"/>
      <c r="I359" s="9" t="s">
        <v>13</v>
      </c>
      <c r="J359" s="55"/>
    </row>
    <row r="360">
      <c r="A360" s="54" t="s">
        <v>6247</v>
      </c>
      <c r="B360" s="26"/>
      <c r="C360" s="8" t="s">
        <v>11</v>
      </c>
      <c r="D360" s="8" t="str">
        <f t="shared" si="1"/>
        <v>-</v>
      </c>
      <c r="E360" s="9" t="s">
        <v>11</v>
      </c>
      <c r="F360" s="10"/>
      <c r="G360" s="9"/>
      <c r="H360" s="26"/>
      <c r="I360" s="9" t="s">
        <v>13</v>
      </c>
      <c r="J360" s="55"/>
    </row>
    <row r="361">
      <c r="A361" s="54" t="s">
        <v>6247</v>
      </c>
      <c r="B361" s="26"/>
      <c r="C361" s="8" t="s">
        <v>11</v>
      </c>
      <c r="D361" s="8" t="str">
        <f t="shared" si="1"/>
        <v>-</v>
      </c>
      <c r="E361" s="9" t="s">
        <v>11</v>
      </c>
      <c r="F361" s="10"/>
      <c r="G361" s="9"/>
      <c r="H361" s="26"/>
      <c r="I361" s="9" t="s">
        <v>13</v>
      </c>
      <c r="J361" s="55"/>
    </row>
    <row r="362">
      <c r="A362" s="54" t="s">
        <v>6247</v>
      </c>
      <c r="B362" s="26"/>
      <c r="C362" s="8" t="s">
        <v>11</v>
      </c>
      <c r="D362" s="8" t="str">
        <f t="shared" si="1"/>
        <v>-</v>
      </c>
      <c r="E362" s="9" t="s">
        <v>11</v>
      </c>
      <c r="F362" s="10"/>
      <c r="G362" s="9"/>
      <c r="H362" s="26"/>
      <c r="I362" s="9" t="s">
        <v>13</v>
      </c>
      <c r="J362" s="55"/>
    </row>
    <row r="363">
      <c r="A363" s="54" t="s">
        <v>6247</v>
      </c>
      <c r="B363" s="26"/>
      <c r="C363" s="8" t="s">
        <v>11</v>
      </c>
      <c r="D363" s="8" t="str">
        <f t="shared" si="1"/>
        <v>-</v>
      </c>
      <c r="E363" s="9" t="s">
        <v>11</v>
      </c>
      <c r="F363" s="10"/>
      <c r="G363" s="9"/>
      <c r="H363" s="26"/>
      <c r="I363" s="9" t="s">
        <v>13</v>
      </c>
      <c r="J363" s="55"/>
    </row>
    <row r="364">
      <c r="A364" s="54" t="s">
        <v>6247</v>
      </c>
      <c r="B364" s="26"/>
      <c r="C364" s="8" t="s">
        <v>11</v>
      </c>
      <c r="D364" s="8" t="str">
        <f t="shared" si="1"/>
        <v>-</v>
      </c>
      <c r="E364" s="9" t="s">
        <v>11</v>
      </c>
      <c r="F364" s="10"/>
      <c r="G364" s="9"/>
      <c r="H364" s="26"/>
      <c r="I364" s="9" t="s">
        <v>13</v>
      </c>
      <c r="J364" s="55"/>
    </row>
    <row r="365">
      <c r="A365" s="54" t="s">
        <v>6247</v>
      </c>
      <c r="B365" s="26"/>
      <c r="C365" s="8" t="s">
        <v>11</v>
      </c>
      <c r="D365" s="8" t="str">
        <f t="shared" si="1"/>
        <v>-</v>
      </c>
      <c r="E365" s="9" t="s">
        <v>11</v>
      </c>
      <c r="F365" s="10"/>
      <c r="G365" s="9"/>
      <c r="H365" s="26"/>
      <c r="I365" s="9" t="s">
        <v>13</v>
      </c>
      <c r="J365" s="55"/>
    </row>
    <row r="366">
      <c r="A366" s="54" t="s">
        <v>6247</v>
      </c>
      <c r="B366" s="26"/>
      <c r="C366" s="8" t="s">
        <v>11</v>
      </c>
      <c r="D366" s="8" t="str">
        <f t="shared" si="1"/>
        <v>-</v>
      </c>
      <c r="E366" s="9" t="s">
        <v>11</v>
      </c>
      <c r="F366" s="10"/>
      <c r="G366" s="9"/>
      <c r="H366" s="26"/>
      <c r="I366" s="9" t="s">
        <v>13</v>
      </c>
      <c r="J366" s="55"/>
    </row>
    <row r="367">
      <c r="A367" s="54" t="s">
        <v>6247</v>
      </c>
      <c r="B367" s="26"/>
      <c r="C367" s="8" t="s">
        <v>11</v>
      </c>
      <c r="D367" s="8" t="str">
        <f t="shared" si="1"/>
        <v>-</v>
      </c>
      <c r="E367" s="9" t="s">
        <v>11</v>
      </c>
      <c r="F367" s="10"/>
      <c r="G367" s="9"/>
      <c r="H367" s="26"/>
      <c r="I367" s="9" t="s">
        <v>13</v>
      </c>
      <c r="J367" s="55"/>
    </row>
    <row r="368">
      <c r="A368" s="54" t="s">
        <v>6247</v>
      </c>
      <c r="B368" s="26"/>
      <c r="C368" s="8" t="s">
        <v>11</v>
      </c>
      <c r="D368" s="8" t="str">
        <f t="shared" si="1"/>
        <v>-</v>
      </c>
      <c r="E368" s="9" t="s">
        <v>11</v>
      </c>
      <c r="F368" s="10"/>
      <c r="G368" s="9"/>
      <c r="H368" s="26"/>
      <c r="I368" s="9" t="s">
        <v>13</v>
      </c>
      <c r="J368" s="55"/>
    </row>
    <row r="369">
      <c r="A369" s="54" t="s">
        <v>6247</v>
      </c>
      <c r="B369" s="26"/>
      <c r="C369" s="8" t="s">
        <v>11</v>
      </c>
      <c r="D369" s="8" t="str">
        <f t="shared" si="1"/>
        <v>-</v>
      </c>
      <c r="E369" s="9" t="s">
        <v>11</v>
      </c>
      <c r="F369" s="10"/>
      <c r="G369" s="9"/>
      <c r="H369" s="26"/>
      <c r="I369" s="9" t="s">
        <v>13</v>
      </c>
      <c r="J369" s="55"/>
    </row>
    <row r="370">
      <c r="A370" s="54" t="s">
        <v>6247</v>
      </c>
      <c r="B370" s="26"/>
      <c r="C370" s="8" t="s">
        <v>11</v>
      </c>
      <c r="D370" s="8" t="str">
        <f t="shared" si="1"/>
        <v>-</v>
      </c>
      <c r="E370" s="9" t="s">
        <v>11</v>
      </c>
      <c r="F370" s="10"/>
      <c r="G370" s="9"/>
      <c r="H370" s="26"/>
      <c r="I370" s="9" t="s">
        <v>13</v>
      </c>
      <c r="J370" s="55"/>
    </row>
    <row r="371">
      <c r="A371" s="54" t="s">
        <v>6247</v>
      </c>
      <c r="B371" s="26"/>
      <c r="C371" s="8" t="s">
        <v>11</v>
      </c>
      <c r="D371" s="8" t="str">
        <f t="shared" si="1"/>
        <v>-</v>
      </c>
      <c r="E371" s="9" t="s">
        <v>11</v>
      </c>
      <c r="F371" s="10"/>
      <c r="G371" s="9"/>
      <c r="H371" s="26"/>
      <c r="I371" s="9" t="s">
        <v>13</v>
      </c>
      <c r="J371" s="55"/>
    </row>
    <row r="372">
      <c r="A372" s="54" t="s">
        <v>6247</v>
      </c>
      <c r="B372" s="26"/>
      <c r="C372" s="8" t="s">
        <v>11</v>
      </c>
      <c r="D372" s="8" t="str">
        <f t="shared" si="1"/>
        <v>-</v>
      </c>
      <c r="E372" s="9" t="s">
        <v>11</v>
      </c>
      <c r="F372" s="10"/>
      <c r="G372" s="9"/>
      <c r="H372" s="26"/>
      <c r="I372" s="9" t="s">
        <v>13</v>
      </c>
      <c r="J372" s="55"/>
    </row>
    <row r="373">
      <c r="A373" s="54" t="s">
        <v>6247</v>
      </c>
      <c r="B373" s="26"/>
      <c r="C373" s="8" t="s">
        <v>11</v>
      </c>
      <c r="D373" s="8" t="str">
        <f t="shared" si="1"/>
        <v>-</v>
      </c>
      <c r="E373" s="9" t="s">
        <v>11</v>
      </c>
      <c r="F373" s="10"/>
      <c r="G373" s="9"/>
      <c r="H373" s="26"/>
      <c r="I373" s="9" t="s">
        <v>13</v>
      </c>
      <c r="J373" s="55"/>
    </row>
    <row r="374">
      <c r="A374" s="54" t="s">
        <v>6247</v>
      </c>
      <c r="B374" s="26"/>
      <c r="C374" s="8" t="s">
        <v>11</v>
      </c>
      <c r="D374" s="8" t="str">
        <f t="shared" si="1"/>
        <v>-</v>
      </c>
      <c r="E374" s="9" t="s">
        <v>11</v>
      </c>
      <c r="F374" s="10"/>
      <c r="G374" s="9"/>
      <c r="H374" s="26"/>
      <c r="I374" s="9" t="s">
        <v>13</v>
      </c>
      <c r="J374" s="55"/>
    </row>
    <row r="375">
      <c r="A375" s="54" t="s">
        <v>6247</v>
      </c>
      <c r="B375" s="26"/>
      <c r="C375" s="8" t="s">
        <v>11</v>
      </c>
      <c r="D375" s="8" t="str">
        <f t="shared" si="1"/>
        <v>-</v>
      </c>
      <c r="E375" s="9" t="s">
        <v>11</v>
      </c>
      <c r="F375" s="10"/>
      <c r="G375" s="9"/>
      <c r="H375" s="26"/>
      <c r="I375" s="9" t="s">
        <v>13</v>
      </c>
      <c r="J375" s="55"/>
    </row>
    <row r="376">
      <c r="A376" s="54" t="s">
        <v>6247</v>
      </c>
      <c r="B376" s="26"/>
      <c r="C376" s="8" t="s">
        <v>11</v>
      </c>
      <c r="D376" s="8" t="str">
        <f t="shared" si="1"/>
        <v>-</v>
      </c>
      <c r="E376" s="9" t="s">
        <v>11</v>
      </c>
      <c r="F376" s="10"/>
      <c r="G376" s="9"/>
      <c r="H376" s="26"/>
      <c r="I376" s="9" t="s">
        <v>13</v>
      </c>
      <c r="J376" s="55"/>
    </row>
    <row r="377">
      <c r="A377" s="54" t="s">
        <v>6247</v>
      </c>
      <c r="B377" s="26"/>
      <c r="C377" s="8" t="s">
        <v>11</v>
      </c>
      <c r="D377" s="8" t="str">
        <f t="shared" si="1"/>
        <v>-</v>
      </c>
      <c r="E377" s="9" t="s">
        <v>11</v>
      </c>
      <c r="F377" s="10"/>
      <c r="G377" s="9"/>
      <c r="H377" s="26"/>
      <c r="I377" s="9" t="s">
        <v>13</v>
      </c>
      <c r="J377" s="55"/>
    </row>
    <row r="378">
      <c r="A378" s="54" t="s">
        <v>6247</v>
      </c>
      <c r="B378" s="26"/>
      <c r="C378" s="8" t="s">
        <v>11</v>
      </c>
      <c r="D378" s="8" t="str">
        <f t="shared" si="1"/>
        <v>-</v>
      </c>
      <c r="E378" s="9" t="s">
        <v>11</v>
      </c>
      <c r="F378" s="10"/>
      <c r="G378" s="9"/>
      <c r="H378" s="26"/>
      <c r="I378" s="9" t="s">
        <v>13</v>
      </c>
      <c r="J378" s="55"/>
    </row>
    <row r="379">
      <c r="A379" s="54" t="s">
        <v>6247</v>
      </c>
      <c r="B379" s="26"/>
      <c r="C379" s="8" t="s">
        <v>11</v>
      </c>
      <c r="D379" s="8" t="str">
        <f t="shared" si="1"/>
        <v>-</v>
      </c>
      <c r="E379" s="9" t="s">
        <v>11</v>
      </c>
      <c r="F379" s="10"/>
      <c r="G379" s="9"/>
      <c r="H379" s="26"/>
      <c r="I379" s="9" t="s">
        <v>13</v>
      </c>
      <c r="J379" s="55"/>
    </row>
    <row r="380">
      <c r="A380" s="54" t="s">
        <v>6247</v>
      </c>
      <c r="B380" s="26"/>
      <c r="C380" s="8" t="s">
        <v>11</v>
      </c>
      <c r="D380" s="8" t="str">
        <f t="shared" si="1"/>
        <v>-</v>
      </c>
      <c r="E380" s="9" t="s">
        <v>11</v>
      </c>
      <c r="F380" s="10"/>
      <c r="G380" s="9"/>
      <c r="H380" s="26"/>
      <c r="I380" s="9" t="s">
        <v>13</v>
      </c>
      <c r="J380" s="55"/>
    </row>
    <row r="381">
      <c r="A381" s="54" t="s">
        <v>6247</v>
      </c>
      <c r="B381" s="26"/>
      <c r="C381" s="8" t="s">
        <v>11</v>
      </c>
      <c r="D381" s="8" t="str">
        <f t="shared" si="1"/>
        <v>-</v>
      </c>
      <c r="E381" s="9" t="s">
        <v>11</v>
      </c>
      <c r="F381" s="10"/>
      <c r="G381" s="9"/>
      <c r="H381" s="26"/>
      <c r="I381" s="9" t="s">
        <v>13</v>
      </c>
      <c r="J381" s="55"/>
    </row>
    <row r="382">
      <c r="A382" s="54" t="s">
        <v>6247</v>
      </c>
      <c r="B382" s="26"/>
      <c r="C382" s="8" t="s">
        <v>11</v>
      </c>
      <c r="D382" s="8" t="str">
        <f t="shared" si="1"/>
        <v>-</v>
      </c>
      <c r="E382" s="9" t="s">
        <v>11</v>
      </c>
      <c r="F382" s="10"/>
      <c r="G382" s="9"/>
      <c r="H382" s="26"/>
      <c r="I382" s="9" t="s">
        <v>13</v>
      </c>
      <c r="J382" s="55"/>
    </row>
    <row r="383">
      <c r="A383" s="54" t="s">
        <v>6247</v>
      </c>
      <c r="B383" s="26"/>
      <c r="C383" s="8" t="s">
        <v>11</v>
      </c>
      <c r="D383" s="8" t="str">
        <f t="shared" si="1"/>
        <v>-</v>
      </c>
      <c r="E383" s="9" t="s">
        <v>11</v>
      </c>
      <c r="F383" s="10"/>
      <c r="G383" s="9"/>
      <c r="H383" s="26"/>
      <c r="I383" s="9" t="s">
        <v>13</v>
      </c>
      <c r="J383" s="55"/>
    </row>
    <row r="384">
      <c r="A384" s="54" t="s">
        <v>6247</v>
      </c>
      <c r="B384" s="26"/>
      <c r="C384" s="8" t="s">
        <v>11</v>
      </c>
      <c r="D384" s="8" t="str">
        <f t="shared" si="1"/>
        <v>-</v>
      </c>
      <c r="E384" s="9" t="s">
        <v>11</v>
      </c>
      <c r="F384" s="10"/>
      <c r="G384" s="9"/>
      <c r="H384" s="26"/>
      <c r="I384" s="9" t="s">
        <v>13</v>
      </c>
      <c r="J384" s="55"/>
    </row>
    <row r="385">
      <c r="A385" s="54" t="s">
        <v>6247</v>
      </c>
      <c r="B385" s="26"/>
      <c r="C385" s="8" t="s">
        <v>11</v>
      </c>
      <c r="D385" s="8" t="str">
        <f t="shared" si="1"/>
        <v>-</v>
      </c>
      <c r="E385" s="9" t="s">
        <v>11</v>
      </c>
      <c r="F385" s="10"/>
      <c r="G385" s="9"/>
      <c r="H385" s="26"/>
      <c r="I385" s="9" t="s">
        <v>13</v>
      </c>
      <c r="J385" s="55"/>
    </row>
    <row r="386">
      <c r="A386" s="54" t="s">
        <v>6247</v>
      </c>
      <c r="B386" s="26"/>
      <c r="C386" s="8" t="s">
        <v>11</v>
      </c>
      <c r="D386" s="8" t="str">
        <f t="shared" si="1"/>
        <v>-</v>
      </c>
      <c r="E386" s="9" t="s">
        <v>11</v>
      </c>
      <c r="F386" s="10"/>
      <c r="G386" s="9"/>
      <c r="H386" s="26"/>
      <c r="I386" s="9" t="s">
        <v>13</v>
      </c>
      <c r="J386" s="55"/>
    </row>
    <row r="387">
      <c r="A387" s="54" t="s">
        <v>6247</v>
      </c>
      <c r="B387" s="26"/>
      <c r="C387" s="8" t="s">
        <v>11</v>
      </c>
      <c r="D387" s="8" t="str">
        <f t="shared" si="1"/>
        <v>-</v>
      </c>
      <c r="E387" s="9" t="s">
        <v>11</v>
      </c>
      <c r="F387" s="10"/>
      <c r="G387" s="9"/>
      <c r="H387" s="26"/>
      <c r="I387" s="9" t="s">
        <v>13</v>
      </c>
      <c r="J387" s="55"/>
    </row>
    <row r="388">
      <c r="A388" s="54" t="s">
        <v>6247</v>
      </c>
      <c r="B388" s="26"/>
      <c r="C388" s="8" t="s">
        <v>11</v>
      </c>
      <c r="D388" s="8" t="str">
        <f t="shared" si="1"/>
        <v>-</v>
      </c>
      <c r="E388" s="9" t="s">
        <v>11</v>
      </c>
      <c r="F388" s="10"/>
      <c r="G388" s="9"/>
      <c r="H388" s="26"/>
      <c r="I388" s="9" t="s">
        <v>13</v>
      </c>
      <c r="J388" s="55"/>
    </row>
    <row r="389">
      <c r="A389" s="54" t="s">
        <v>6247</v>
      </c>
      <c r="B389" s="26"/>
      <c r="C389" s="8" t="s">
        <v>11</v>
      </c>
      <c r="D389" s="8" t="str">
        <f t="shared" si="1"/>
        <v>-</v>
      </c>
      <c r="E389" s="9" t="s">
        <v>11</v>
      </c>
      <c r="F389" s="10"/>
      <c r="G389" s="9"/>
      <c r="H389" s="26"/>
      <c r="I389" s="9" t="s">
        <v>13</v>
      </c>
      <c r="J389" s="55"/>
    </row>
    <row r="390">
      <c r="A390" s="54" t="s">
        <v>6247</v>
      </c>
      <c r="B390" s="26"/>
      <c r="C390" s="8" t="s">
        <v>11</v>
      </c>
      <c r="D390" s="8" t="str">
        <f t="shared" si="1"/>
        <v>-</v>
      </c>
      <c r="E390" s="9" t="s">
        <v>11</v>
      </c>
      <c r="F390" s="10"/>
      <c r="G390" s="9"/>
      <c r="H390" s="26"/>
      <c r="I390" s="9" t="s">
        <v>13</v>
      </c>
      <c r="J390" s="55"/>
    </row>
    <row r="391">
      <c r="A391" s="54" t="s">
        <v>6247</v>
      </c>
      <c r="B391" s="26"/>
      <c r="C391" s="8" t="s">
        <v>11</v>
      </c>
      <c r="D391" s="8" t="str">
        <f t="shared" si="1"/>
        <v>-</v>
      </c>
      <c r="E391" s="9" t="s">
        <v>11</v>
      </c>
      <c r="F391" s="10"/>
      <c r="G391" s="9"/>
      <c r="H391" s="26"/>
      <c r="I391" s="9" t="s">
        <v>13</v>
      </c>
      <c r="J391" s="55"/>
    </row>
    <row r="392">
      <c r="A392" s="54" t="s">
        <v>6247</v>
      </c>
      <c r="B392" s="26"/>
      <c r="C392" s="8" t="s">
        <v>11</v>
      </c>
      <c r="D392" s="8" t="str">
        <f t="shared" si="1"/>
        <v>-</v>
      </c>
      <c r="E392" s="9" t="s">
        <v>11</v>
      </c>
      <c r="F392" s="10"/>
      <c r="G392" s="9"/>
      <c r="H392" s="26"/>
      <c r="I392" s="9" t="s">
        <v>13</v>
      </c>
      <c r="J392" s="55"/>
    </row>
    <row r="393">
      <c r="A393" s="54" t="s">
        <v>6247</v>
      </c>
      <c r="B393" s="26"/>
      <c r="C393" s="8" t="s">
        <v>11</v>
      </c>
      <c r="D393" s="8" t="str">
        <f t="shared" si="1"/>
        <v>-</v>
      </c>
      <c r="E393" s="9" t="s">
        <v>11</v>
      </c>
      <c r="F393" s="10"/>
      <c r="G393" s="9"/>
      <c r="H393" s="26"/>
      <c r="I393" s="9" t="s">
        <v>13</v>
      </c>
      <c r="J393" s="55"/>
    </row>
    <row r="394">
      <c r="A394" s="54" t="s">
        <v>6247</v>
      </c>
      <c r="B394" s="26"/>
      <c r="C394" s="8" t="s">
        <v>11</v>
      </c>
      <c r="D394" s="8" t="str">
        <f t="shared" si="1"/>
        <v>-</v>
      </c>
      <c r="E394" s="9" t="s">
        <v>11</v>
      </c>
      <c r="F394" s="10"/>
      <c r="G394" s="9"/>
      <c r="H394" s="26"/>
      <c r="I394" s="9" t="s">
        <v>13</v>
      </c>
      <c r="J394" s="55"/>
    </row>
    <row r="395">
      <c r="A395" s="54" t="s">
        <v>6247</v>
      </c>
      <c r="B395" s="26"/>
      <c r="C395" s="8" t="s">
        <v>11</v>
      </c>
      <c r="D395" s="8" t="str">
        <f t="shared" si="1"/>
        <v>-</v>
      </c>
      <c r="E395" s="9" t="s">
        <v>11</v>
      </c>
      <c r="F395" s="10"/>
      <c r="G395" s="9"/>
      <c r="H395" s="26"/>
      <c r="I395" s="9" t="s">
        <v>13</v>
      </c>
      <c r="J395" s="55"/>
    </row>
    <row r="396">
      <c r="A396" s="54" t="s">
        <v>6247</v>
      </c>
      <c r="B396" s="26"/>
      <c r="C396" s="8" t="s">
        <v>11</v>
      </c>
      <c r="D396" s="8" t="str">
        <f t="shared" si="1"/>
        <v>-</v>
      </c>
      <c r="E396" s="9" t="s">
        <v>11</v>
      </c>
      <c r="F396" s="10"/>
      <c r="G396" s="9"/>
      <c r="H396" s="26"/>
      <c r="I396" s="9" t="s">
        <v>13</v>
      </c>
      <c r="J396" s="55"/>
    </row>
    <row r="397">
      <c r="A397" s="54" t="s">
        <v>6247</v>
      </c>
      <c r="B397" s="26"/>
      <c r="C397" s="8" t="s">
        <v>11</v>
      </c>
      <c r="D397" s="8" t="str">
        <f t="shared" si="1"/>
        <v>-</v>
      </c>
      <c r="E397" s="9" t="s">
        <v>11</v>
      </c>
      <c r="F397" s="10"/>
      <c r="G397" s="9"/>
      <c r="H397" s="26"/>
      <c r="I397" s="9" t="s">
        <v>13</v>
      </c>
      <c r="J397" s="55"/>
    </row>
    <row r="398">
      <c r="A398" s="54" t="s">
        <v>6247</v>
      </c>
      <c r="B398" s="26"/>
      <c r="C398" s="8" t="s">
        <v>11</v>
      </c>
      <c r="D398" s="8" t="str">
        <f t="shared" si="1"/>
        <v>-</v>
      </c>
      <c r="E398" s="9" t="s">
        <v>11</v>
      </c>
      <c r="F398" s="10"/>
      <c r="G398" s="9"/>
      <c r="H398" s="26"/>
      <c r="I398" s="9" t="s">
        <v>13</v>
      </c>
      <c r="J398" s="55"/>
    </row>
    <row r="399">
      <c r="A399" s="54" t="s">
        <v>6247</v>
      </c>
      <c r="B399" s="26"/>
      <c r="C399" s="8" t="s">
        <v>11</v>
      </c>
      <c r="D399" s="8" t="str">
        <f t="shared" si="1"/>
        <v>-</v>
      </c>
      <c r="E399" s="9" t="s">
        <v>11</v>
      </c>
      <c r="F399" s="10"/>
      <c r="G399" s="9"/>
      <c r="H399" s="26"/>
      <c r="I399" s="9" t="s">
        <v>13</v>
      </c>
      <c r="J399" s="55"/>
    </row>
    <row r="400">
      <c r="A400" s="54" t="s">
        <v>6247</v>
      </c>
      <c r="B400" s="26"/>
      <c r="C400" s="8" t="s">
        <v>11</v>
      </c>
      <c r="D400" s="8" t="str">
        <f t="shared" si="1"/>
        <v>-</v>
      </c>
      <c r="E400" s="9" t="s">
        <v>11</v>
      </c>
      <c r="F400" s="10"/>
      <c r="G400" s="9"/>
      <c r="H400" s="26"/>
      <c r="I400" s="9" t="s">
        <v>13</v>
      </c>
      <c r="J400" s="55"/>
    </row>
    <row r="401">
      <c r="A401" s="54" t="s">
        <v>6247</v>
      </c>
      <c r="B401" s="26"/>
      <c r="C401" s="8" t="s">
        <v>11</v>
      </c>
      <c r="D401" s="8" t="str">
        <f t="shared" si="1"/>
        <v>-</v>
      </c>
      <c r="E401" s="9" t="s">
        <v>11</v>
      </c>
      <c r="F401" s="10"/>
      <c r="G401" s="9"/>
      <c r="H401" s="26"/>
      <c r="I401" s="9" t="s">
        <v>13</v>
      </c>
      <c r="J401" s="55"/>
    </row>
    <row r="402">
      <c r="A402" s="54" t="s">
        <v>6247</v>
      </c>
      <c r="B402" s="26"/>
      <c r="C402" s="8" t="s">
        <v>11</v>
      </c>
      <c r="D402" s="8" t="str">
        <f t="shared" si="1"/>
        <v>-</v>
      </c>
      <c r="E402" s="9" t="s">
        <v>11</v>
      </c>
      <c r="F402" s="10"/>
      <c r="G402" s="9"/>
      <c r="H402" s="26"/>
      <c r="I402" s="9" t="s">
        <v>13</v>
      </c>
      <c r="J402" s="55"/>
    </row>
    <row r="403">
      <c r="A403" s="54" t="s">
        <v>6247</v>
      </c>
      <c r="B403" s="26"/>
      <c r="C403" s="8" t="s">
        <v>11</v>
      </c>
      <c r="D403" s="8" t="str">
        <f t="shared" si="1"/>
        <v>-</v>
      </c>
      <c r="E403" s="9" t="s">
        <v>11</v>
      </c>
      <c r="F403" s="10"/>
      <c r="G403" s="9"/>
      <c r="H403" s="26"/>
      <c r="I403" s="9" t="s">
        <v>13</v>
      </c>
      <c r="J403" s="55"/>
    </row>
    <row r="404">
      <c r="A404" s="54" t="s">
        <v>6247</v>
      </c>
      <c r="B404" s="26"/>
      <c r="C404" s="8" t="s">
        <v>11</v>
      </c>
      <c r="D404" s="8" t="str">
        <f t="shared" si="1"/>
        <v>-</v>
      </c>
      <c r="E404" s="9" t="s">
        <v>11</v>
      </c>
      <c r="F404" s="10"/>
      <c r="G404" s="9"/>
      <c r="H404" s="26"/>
      <c r="I404" s="9" t="s">
        <v>13</v>
      </c>
      <c r="J404" s="55"/>
    </row>
    <row r="405">
      <c r="A405" s="54" t="s">
        <v>6247</v>
      </c>
      <c r="B405" s="26"/>
      <c r="C405" s="8" t="s">
        <v>11</v>
      </c>
      <c r="D405" s="8" t="str">
        <f t="shared" si="1"/>
        <v>-</v>
      </c>
      <c r="E405" s="9" t="s">
        <v>11</v>
      </c>
      <c r="F405" s="10"/>
      <c r="G405" s="9"/>
      <c r="H405" s="26"/>
      <c r="I405" s="9" t="s">
        <v>13</v>
      </c>
      <c r="J405" s="55"/>
    </row>
    <row r="406">
      <c r="A406" s="54" t="s">
        <v>6247</v>
      </c>
      <c r="B406" s="26"/>
      <c r="C406" s="8" t="s">
        <v>11</v>
      </c>
      <c r="D406" s="8" t="str">
        <f t="shared" si="1"/>
        <v>-</v>
      </c>
      <c r="E406" s="9" t="s">
        <v>11</v>
      </c>
      <c r="F406" s="10"/>
      <c r="G406" s="9"/>
      <c r="H406" s="26"/>
      <c r="I406" s="9" t="s">
        <v>13</v>
      </c>
      <c r="J406" s="55"/>
    </row>
    <row r="407">
      <c r="A407" s="54" t="s">
        <v>6247</v>
      </c>
      <c r="B407" s="26"/>
      <c r="C407" s="8" t="s">
        <v>11</v>
      </c>
      <c r="D407" s="8" t="str">
        <f t="shared" si="1"/>
        <v>-</v>
      </c>
      <c r="E407" s="9" t="s">
        <v>11</v>
      </c>
      <c r="F407" s="10"/>
      <c r="G407" s="9"/>
      <c r="H407" s="26"/>
      <c r="I407" s="9" t="s">
        <v>13</v>
      </c>
      <c r="J407" s="55"/>
    </row>
    <row r="408">
      <c r="A408" s="54" t="s">
        <v>6247</v>
      </c>
      <c r="B408" s="26"/>
      <c r="C408" s="8" t="s">
        <v>11</v>
      </c>
      <c r="D408" s="8" t="str">
        <f t="shared" si="1"/>
        <v>-</v>
      </c>
      <c r="E408" s="9" t="s">
        <v>11</v>
      </c>
      <c r="F408" s="10"/>
      <c r="G408" s="9"/>
      <c r="H408" s="26"/>
      <c r="I408" s="9" t="s">
        <v>13</v>
      </c>
      <c r="J408" s="55"/>
    </row>
    <row r="409">
      <c r="A409" s="54" t="s">
        <v>6247</v>
      </c>
      <c r="B409" s="26"/>
      <c r="C409" s="8" t="s">
        <v>11</v>
      </c>
      <c r="D409" s="8" t="str">
        <f t="shared" si="1"/>
        <v>-</v>
      </c>
      <c r="E409" s="9" t="s">
        <v>11</v>
      </c>
      <c r="F409" s="10"/>
      <c r="G409" s="9"/>
      <c r="H409" s="26"/>
      <c r="I409" s="9" t="s">
        <v>13</v>
      </c>
      <c r="J409" s="55"/>
    </row>
    <row r="410">
      <c r="A410" s="54" t="s">
        <v>6247</v>
      </c>
      <c r="B410" s="26"/>
      <c r="C410" s="8" t="s">
        <v>11</v>
      </c>
      <c r="D410" s="8" t="str">
        <f t="shared" si="1"/>
        <v>-</v>
      </c>
      <c r="E410" s="9" t="s">
        <v>11</v>
      </c>
      <c r="F410" s="10"/>
      <c r="G410" s="9"/>
      <c r="H410" s="26"/>
      <c r="I410" s="9" t="s">
        <v>13</v>
      </c>
      <c r="J410" s="55"/>
    </row>
    <row r="411">
      <c r="A411" s="54" t="s">
        <v>6247</v>
      </c>
      <c r="B411" s="26"/>
      <c r="C411" s="8" t="s">
        <v>11</v>
      </c>
      <c r="D411" s="8" t="str">
        <f t="shared" si="1"/>
        <v>-</v>
      </c>
      <c r="E411" s="9" t="s">
        <v>11</v>
      </c>
      <c r="F411" s="10"/>
      <c r="G411" s="9"/>
      <c r="H411" s="26"/>
      <c r="I411" s="9" t="s">
        <v>13</v>
      </c>
      <c r="J411" s="55"/>
    </row>
    <row r="412">
      <c r="A412" s="54" t="s">
        <v>6247</v>
      </c>
      <c r="B412" s="26"/>
      <c r="C412" s="8" t="s">
        <v>11</v>
      </c>
      <c r="D412" s="8" t="str">
        <f t="shared" si="1"/>
        <v>-</v>
      </c>
      <c r="E412" s="9" t="s">
        <v>11</v>
      </c>
      <c r="F412" s="10"/>
      <c r="G412" s="9"/>
      <c r="H412" s="26"/>
      <c r="I412" s="9" t="s">
        <v>13</v>
      </c>
      <c r="J412" s="55"/>
    </row>
    <row r="413">
      <c r="A413" s="54" t="s">
        <v>6247</v>
      </c>
      <c r="B413" s="26"/>
      <c r="C413" s="8" t="s">
        <v>11</v>
      </c>
      <c r="D413" s="8" t="str">
        <f t="shared" si="1"/>
        <v>-</v>
      </c>
      <c r="E413" s="9" t="s">
        <v>11</v>
      </c>
      <c r="F413" s="10"/>
      <c r="G413" s="9"/>
      <c r="H413" s="26"/>
      <c r="I413" s="9" t="s">
        <v>13</v>
      </c>
      <c r="J413" s="55"/>
    </row>
    <row r="414">
      <c r="A414" s="54" t="s">
        <v>6247</v>
      </c>
      <c r="B414" s="26"/>
      <c r="C414" s="8" t="s">
        <v>11</v>
      </c>
      <c r="D414" s="8" t="str">
        <f t="shared" si="1"/>
        <v>-</v>
      </c>
      <c r="E414" s="9" t="s">
        <v>11</v>
      </c>
      <c r="F414" s="10"/>
      <c r="G414" s="9"/>
      <c r="H414" s="26"/>
      <c r="I414" s="9" t="s">
        <v>13</v>
      </c>
      <c r="J414" s="55"/>
    </row>
    <row r="415">
      <c r="A415" s="54" t="s">
        <v>6247</v>
      </c>
      <c r="B415" s="26"/>
      <c r="C415" s="8" t="s">
        <v>11</v>
      </c>
      <c r="D415" s="8" t="str">
        <f t="shared" si="1"/>
        <v>-</v>
      </c>
      <c r="E415" s="9" t="s">
        <v>11</v>
      </c>
      <c r="F415" s="10"/>
      <c r="G415" s="9"/>
      <c r="H415" s="26"/>
      <c r="I415" s="9" t="s">
        <v>13</v>
      </c>
      <c r="J415" s="55"/>
    </row>
    <row r="416">
      <c r="A416" s="54" t="s">
        <v>6247</v>
      </c>
      <c r="B416" s="26"/>
      <c r="C416" s="8" t="s">
        <v>11</v>
      </c>
      <c r="D416" s="8" t="str">
        <f t="shared" si="1"/>
        <v>-</v>
      </c>
      <c r="E416" s="9" t="s">
        <v>11</v>
      </c>
      <c r="F416" s="10"/>
      <c r="G416" s="9"/>
      <c r="H416" s="26"/>
      <c r="I416" s="9" t="s">
        <v>13</v>
      </c>
      <c r="J416" s="55"/>
    </row>
    <row r="417">
      <c r="A417" s="54" t="s">
        <v>6247</v>
      </c>
      <c r="B417" s="26"/>
      <c r="C417" s="8" t="s">
        <v>11</v>
      </c>
      <c r="D417" s="8" t="str">
        <f t="shared" si="1"/>
        <v>-</v>
      </c>
      <c r="E417" s="9" t="s">
        <v>11</v>
      </c>
      <c r="F417" s="10"/>
      <c r="G417" s="9"/>
      <c r="H417" s="26"/>
      <c r="I417" s="9" t="s">
        <v>13</v>
      </c>
      <c r="J417" s="55"/>
    </row>
    <row r="418">
      <c r="A418" s="54" t="s">
        <v>6247</v>
      </c>
      <c r="B418" s="26"/>
      <c r="C418" s="8" t="s">
        <v>11</v>
      </c>
      <c r="D418" s="8" t="str">
        <f t="shared" si="1"/>
        <v>-</v>
      </c>
      <c r="E418" s="9" t="s">
        <v>11</v>
      </c>
      <c r="F418" s="10"/>
      <c r="G418" s="9"/>
      <c r="H418" s="26"/>
      <c r="I418" s="9" t="s">
        <v>13</v>
      </c>
      <c r="J418" s="55"/>
    </row>
    <row r="419">
      <c r="A419" s="54" t="s">
        <v>6247</v>
      </c>
      <c r="B419" s="26"/>
      <c r="C419" s="8" t="s">
        <v>11</v>
      </c>
      <c r="D419" s="8" t="str">
        <f t="shared" si="1"/>
        <v>-</v>
      </c>
      <c r="E419" s="9" t="s">
        <v>11</v>
      </c>
      <c r="F419" s="10"/>
      <c r="G419" s="9"/>
      <c r="H419" s="26"/>
      <c r="I419" s="9" t="s">
        <v>13</v>
      </c>
      <c r="J419" s="55"/>
    </row>
    <row r="420">
      <c r="A420" s="54" t="s">
        <v>6247</v>
      </c>
      <c r="B420" s="26"/>
      <c r="C420" s="8" t="s">
        <v>11</v>
      </c>
      <c r="D420" s="8" t="str">
        <f t="shared" si="1"/>
        <v>-</v>
      </c>
      <c r="E420" s="9" t="s">
        <v>11</v>
      </c>
      <c r="F420" s="10"/>
      <c r="G420" s="9"/>
      <c r="H420" s="26"/>
      <c r="I420" s="9" t="s">
        <v>13</v>
      </c>
      <c r="J420" s="55"/>
    </row>
    <row r="421">
      <c r="A421" s="54" t="s">
        <v>6247</v>
      </c>
      <c r="B421" s="26"/>
      <c r="C421" s="8" t="s">
        <v>11</v>
      </c>
      <c r="D421" s="8" t="str">
        <f t="shared" si="1"/>
        <v>-</v>
      </c>
      <c r="E421" s="9" t="s">
        <v>11</v>
      </c>
      <c r="F421" s="10"/>
      <c r="G421" s="9"/>
      <c r="H421" s="26"/>
      <c r="I421" s="9" t="s">
        <v>13</v>
      </c>
      <c r="J421" s="55"/>
    </row>
    <row r="422">
      <c r="A422" s="54" t="s">
        <v>6247</v>
      </c>
      <c r="B422" s="26"/>
      <c r="C422" s="8" t="s">
        <v>11</v>
      </c>
      <c r="D422" s="8" t="str">
        <f t="shared" si="1"/>
        <v>-</v>
      </c>
      <c r="E422" s="9" t="s">
        <v>11</v>
      </c>
      <c r="F422" s="10"/>
      <c r="G422" s="9"/>
      <c r="H422" s="26"/>
      <c r="I422" s="9" t="s">
        <v>13</v>
      </c>
      <c r="J422" s="55"/>
    </row>
    <row r="423">
      <c r="A423" s="54" t="s">
        <v>6247</v>
      </c>
      <c r="B423" s="26"/>
      <c r="C423" s="8" t="s">
        <v>11</v>
      </c>
      <c r="D423" s="8" t="str">
        <f t="shared" si="1"/>
        <v>-</v>
      </c>
      <c r="E423" s="9" t="s">
        <v>11</v>
      </c>
      <c r="F423" s="10"/>
      <c r="G423" s="9"/>
      <c r="H423" s="26"/>
      <c r="I423" s="9" t="s">
        <v>13</v>
      </c>
      <c r="J423" s="55"/>
    </row>
    <row r="424">
      <c r="A424" s="54" t="s">
        <v>6247</v>
      </c>
      <c r="B424" s="26"/>
      <c r="C424" s="8" t="s">
        <v>11</v>
      </c>
      <c r="D424" s="8" t="str">
        <f t="shared" si="1"/>
        <v>-</v>
      </c>
      <c r="E424" s="9" t="s">
        <v>11</v>
      </c>
      <c r="F424" s="10"/>
      <c r="G424" s="9"/>
      <c r="H424" s="26"/>
      <c r="I424" s="9" t="s">
        <v>13</v>
      </c>
      <c r="J424" s="55"/>
    </row>
    <row r="425">
      <c r="A425" s="54" t="s">
        <v>6247</v>
      </c>
      <c r="B425" s="26"/>
      <c r="C425" s="8" t="s">
        <v>11</v>
      </c>
      <c r="D425" s="8" t="str">
        <f t="shared" si="1"/>
        <v>-</v>
      </c>
      <c r="E425" s="9" t="s">
        <v>11</v>
      </c>
      <c r="F425" s="10"/>
      <c r="G425" s="9"/>
      <c r="H425" s="26"/>
      <c r="I425" s="9" t="s">
        <v>13</v>
      </c>
      <c r="J425" s="55"/>
    </row>
    <row r="426">
      <c r="A426" s="54" t="s">
        <v>6247</v>
      </c>
      <c r="B426" s="26"/>
      <c r="C426" s="8" t="s">
        <v>11</v>
      </c>
      <c r="D426" s="8" t="str">
        <f t="shared" si="1"/>
        <v>-</v>
      </c>
      <c r="E426" s="9" t="s">
        <v>11</v>
      </c>
      <c r="F426" s="10"/>
      <c r="G426" s="9"/>
      <c r="H426" s="26"/>
      <c r="I426" s="9" t="s">
        <v>13</v>
      </c>
      <c r="J426" s="55"/>
    </row>
    <row r="427">
      <c r="A427" s="54" t="s">
        <v>6247</v>
      </c>
      <c r="B427" s="26"/>
      <c r="C427" s="8" t="s">
        <v>11</v>
      </c>
      <c r="D427" s="8" t="str">
        <f t="shared" si="1"/>
        <v>-</v>
      </c>
      <c r="E427" s="9" t="s">
        <v>11</v>
      </c>
      <c r="F427" s="10"/>
      <c r="G427" s="9"/>
      <c r="H427" s="26"/>
      <c r="I427" s="9" t="s">
        <v>13</v>
      </c>
      <c r="J427" s="55"/>
    </row>
    <row r="428">
      <c r="A428" s="54" t="s">
        <v>6247</v>
      </c>
      <c r="B428" s="26"/>
      <c r="C428" s="8" t="s">
        <v>11</v>
      </c>
      <c r="D428" s="8" t="str">
        <f t="shared" si="1"/>
        <v>-</v>
      </c>
      <c r="E428" s="9" t="s">
        <v>11</v>
      </c>
      <c r="F428" s="10"/>
      <c r="G428" s="9"/>
      <c r="H428" s="26"/>
      <c r="I428" s="9" t="s">
        <v>13</v>
      </c>
      <c r="J428" s="55"/>
    </row>
    <row r="429">
      <c r="A429" s="54" t="s">
        <v>6247</v>
      </c>
      <c r="B429" s="26"/>
      <c r="C429" s="8" t="s">
        <v>11</v>
      </c>
      <c r="D429" s="8" t="str">
        <f t="shared" si="1"/>
        <v>-</v>
      </c>
      <c r="E429" s="9" t="s">
        <v>11</v>
      </c>
      <c r="F429" s="10"/>
      <c r="G429" s="9"/>
      <c r="H429" s="26"/>
      <c r="I429" s="9" t="s">
        <v>13</v>
      </c>
      <c r="J429" s="55"/>
    </row>
    <row r="430">
      <c r="A430" s="54" t="s">
        <v>6247</v>
      </c>
      <c r="B430" s="26"/>
      <c r="C430" s="8" t="s">
        <v>11</v>
      </c>
      <c r="D430" s="8" t="str">
        <f t="shared" si="1"/>
        <v>-</v>
      </c>
      <c r="E430" s="9" t="s">
        <v>11</v>
      </c>
      <c r="F430" s="10"/>
      <c r="G430" s="9"/>
      <c r="H430" s="26"/>
      <c r="I430" s="9" t="s">
        <v>13</v>
      </c>
      <c r="J430" s="55"/>
    </row>
    <row r="431">
      <c r="A431" s="54" t="s">
        <v>6247</v>
      </c>
      <c r="B431" s="26"/>
      <c r="C431" s="8" t="s">
        <v>11</v>
      </c>
      <c r="D431" s="8" t="str">
        <f t="shared" si="1"/>
        <v>-</v>
      </c>
      <c r="E431" s="9" t="s">
        <v>11</v>
      </c>
      <c r="F431" s="10"/>
      <c r="G431" s="9"/>
      <c r="H431" s="26"/>
      <c r="I431" s="9" t="s">
        <v>13</v>
      </c>
      <c r="J431" s="55"/>
    </row>
    <row r="432">
      <c r="A432" s="54" t="s">
        <v>6247</v>
      </c>
      <c r="B432" s="26"/>
      <c r="C432" s="8" t="s">
        <v>11</v>
      </c>
      <c r="D432" s="8" t="str">
        <f t="shared" si="1"/>
        <v>-</v>
      </c>
      <c r="E432" s="9" t="s">
        <v>11</v>
      </c>
      <c r="F432" s="10"/>
      <c r="G432" s="9"/>
      <c r="H432" s="26"/>
      <c r="I432" s="9" t="s">
        <v>13</v>
      </c>
      <c r="J432" s="55"/>
    </row>
    <row r="433">
      <c r="A433" s="54" t="s">
        <v>6247</v>
      </c>
      <c r="B433" s="26"/>
      <c r="C433" s="8" t="s">
        <v>11</v>
      </c>
      <c r="D433" s="8" t="str">
        <f t="shared" si="1"/>
        <v>-</v>
      </c>
      <c r="E433" s="9" t="s">
        <v>11</v>
      </c>
      <c r="F433" s="10"/>
      <c r="G433" s="9"/>
      <c r="H433" s="26"/>
      <c r="I433" s="9" t="s">
        <v>13</v>
      </c>
      <c r="J433" s="55"/>
    </row>
    <row r="434">
      <c r="A434" s="54" t="s">
        <v>6247</v>
      </c>
      <c r="B434" s="26"/>
      <c r="C434" s="8" t="s">
        <v>11</v>
      </c>
      <c r="D434" s="8" t="str">
        <f t="shared" si="1"/>
        <v>-</v>
      </c>
      <c r="E434" s="9" t="s">
        <v>11</v>
      </c>
      <c r="F434" s="10"/>
      <c r="G434" s="9"/>
      <c r="H434" s="26"/>
      <c r="I434" s="9" t="s">
        <v>13</v>
      </c>
      <c r="J434" s="55"/>
    </row>
    <row r="435">
      <c r="A435" s="54" t="s">
        <v>6247</v>
      </c>
      <c r="B435" s="26"/>
      <c r="C435" s="8" t="s">
        <v>11</v>
      </c>
      <c r="D435" s="8" t="str">
        <f t="shared" si="1"/>
        <v>-</v>
      </c>
      <c r="E435" s="9" t="s">
        <v>11</v>
      </c>
      <c r="F435" s="10"/>
      <c r="G435" s="9"/>
      <c r="H435" s="26"/>
      <c r="I435" s="9" t="s">
        <v>13</v>
      </c>
      <c r="J435" s="55"/>
    </row>
    <row r="436">
      <c r="A436" s="54" t="s">
        <v>6247</v>
      </c>
      <c r="B436" s="26"/>
      <c r="C436" s="8" t="s">
        <v>11</v>
      </c>
      <c r="D436" s="8" t="str">
        <f t="shared" si="1"/>
        <v>-</v>
      </c>
      <c r="E436" s="9" t="s">
        <v>11</v>
      </c>
      <c r="F436" s="10"/>
      <c r="G436" s="9"/>
      <c r="H436" s="26"/>
      <c r="I436" s="9" t="s">
        <v>13</v>
      </c>
      <c r="J436" s="55"/>
    </row>
    <row r="437">
      <c r="A437" s="54" t="s">
        <v>6247</v>
      </c>
      <c r="B437" s="26"/>
      <c r="C437" s="8" t="s">
        <v>11</v>
      </c>
      <c r="D437" s="8" t="str">
        <f t="shared" si="1"/>
        <v>-</v>
      </c>
      <c r="E437" s="9" t="s">
        <v>11</v>
      </c>
      <c r="F437" s="10"/>
      <c r="G437" s="9"/>
      <c r="H437" s="26"/>
      <c r="I437" s="9" t="s">
        <v>13</v>
      </c>
      <c r="J437" s="55"/>
    </row>
    <row r="438">
      <c r="A438" s="54" t="s">
        <v>6247</v>
      </c>
      <c r="B438" s="26"/>
      <c r="C438" s="8" t="s">
        <v>11</v>
      </c>
      <c r="D438" s="8" t="str">
        <f t="shared" si="1"/>
        <v>-</v>
      </c>
      <c r="E438" s="9" t="s">
        <v>11</v>
      </c>
      <c r="F438" s="10"/>
      <c r="G438" s="9"/>
      <c r="H438" s="26"/>
      <c r="I438" s="9" t="s">
        <v>13</v>
      </c>
      <c r="J438" s="55"/>
    </row>
    <row r="439">
      <c r="A439" s="54" t="s">
        <v>6247</v>
      </c>
      <c r="B439" s="26"/>
      <c r="C439" s="8" t="s">
        <v>11</v>
      </c>
      <c r="D439" s="8" t="str">
        <f t="shared" si="1"/>
        <v>-</v>
      </c>
      <c r="E439" s="9" t="s">
        <v>11</v>
      </c>
      <c r="F439" s="10"/>
      <c r="G439" s="9"/>
      <c r="H439" s="26"/>
      <c r="I439" s="9" t="s">
        <v>13</v>
      </c>
      <c r="J439" s="55"/>
    </row>
    <row r="440">
      <c r="A440" s="54" t="s">
        <v>6247</v>
      </c>
      <c r="B440" s="26"/>
      <c r="C440" s="8" t="s">
        <v>11</v>
      </c>
      <c r="D440" s="8" t="str">
        <f t="shared" si="1"/>
        <v>-</v>
      </c>
      <c r="E440" s="9" t="s">
        <v>11</v>
      </c>
      <c r="F440" s="10"/>
      <c r="G440" s="9"/>
      <c r="H440" s="26"/>
      <c r="I440" s="9" t="s">
        <v>13</v>
      </c>
      <c r="J440" s="55"/>
    </row>
    <row r="441">
      <c r="A441" s="54" t="s">
        <v>6247</v>
      </c>
      <c r="B441" s="26"/>
      <c r="C441" s="8" t="s">
        <v>11</v>
      </c>
      <c r="D441" s="8" t="str">
        <f t="shared" si="1"/>
        <v>-</v>
      </c>
      <c r="E441" s="9" t="s">
        <v>11</v>
      </c>
      <c r="F441" s="10"/>
      <c r="G441" s="9"/>
      <c r="H441" s="26"/>
      <c r="I441" s="9" t="s">
        <v>13</v>
      </c>
      <c r="J441" s="55"/>
    </row>
    <row r="442">
      <c r="A442" s="54" t="s">
        <v>6247</v>
      </c>
      <c r="B442" s="26"/>
      <c r="C442" s="8" t="s">
        <v>11</v>
      </c>
      <c r="D442" s="8" t="str">
        <f t="shared" si="1"/>
        <v>-</v>
      </c>
      <c r="E442" s="9" t="s">
        <v>11</v>
      </c>
      <c r="F442" s="10"/>
      <c r="G442" s="9"/>
      <c r="H442" s="26"/>
      <c r="I442" s="9" t="s">
        <v>13</v>
      </c>
      <c r="J442" s="55"/>
    </row>
    <row r="443">
      <c r="A443" s="54" t="s">
        <v>6247</v>
      </c>
      <c r="B443" s="26"/>
      <c r="C443" s="8" t="s">
        <v>11</v>
      </c>
      <c r="D443" s="8" t="str">
        <f t="shared" si="1"/>
        <v>-</v>
      </c>
      <c r="E443" s="9" t="s">
        <v>11</v>
      </c>
      <c r="F443" s="10"/>
      <c r="G443" s="9"/>
      <c r="H443" s="26"/>
      <c r="I443" s="9" t="s">
        <v>13</v>
      </c>
      <c r="J443" s="55"/>
    </row>
    <row r="444">
      <c r="A444" s="54" t="s">
        <v>6247</v>
      </c>
      <c r="B444" s="26"/>
      <c r="C444" s="8" t="s">
        <v>11</v>
      </c>
      <c r="D444" s="8" t="str">
        <f t="shared" si="1"/>
        <v>-</v>
      </c>
      <c r="E444" s="9" t="s">
        <v>11</v>
      </c>
      <c r="F444" s="10"/>
      <c r="G444" s="9"/>
      <c r="H444" s="26"/>
      <c r="I444" s="9" t="s">
        <v>13</v>
      </c>
      <c r="J444" s="55"/>
    </row>
    <row r="445">
      <c r="A445" s="54" t="s">
        <v>6247</v>
      </c>
      <c r="B445" s="26"/>
      <c r="C445" s="8" t="s">
        <v>11</v>
      </c>
      <c r="D445" s="8" t="str">
        <f t="shared" si="1"/>
        <v>-</v>
      </c>
      <c r="E445" s="9" t="s">
        <v>11</v>
      </c>
      <c r="F445" s="10"/>
      <c r="G445" s="9"/>
      <c r="H445" s="26"/>
      <c r="I445" s="9" t="s">
        <v>13</v>
      </c>
      <c r="J445" s="55"/>
    </row>
    <row r="446">
      <c r="A446" s="54" t="s">
        <v>6247</v>
      </c>
      <c r="B446" s="26"/>
      <c r="C446" s="8" t="s">
        <v>11</v>
      </c>
      <c r="D446" s="8" t="str">
        <f t="shared" si="1"/>
        <v>-</v>
      </c>
      <c r="E446" s="9" t="s">
        <v>11</v>
      </c>
      <c r="F446" s="10"/>
      <c r="G446" s="9"/>
      <c r="H446" s="26"/>
      <c r="I446" s="9" t="s">
        <v>13</v>
      </c>
      <c r="J446" s="55"/>
    </row>
    <row r="447">
      <c r="A447" s="54" t="s">
        <v>6247</v>
      </c>
      <c r="B447" s="26"/>
      <c r="C447" s="8" t="s">
        <v>11</v>
      </c>
      <c r="D447" s="8" t="str">
        <f t="shared" si="1"/>
        <v>-</v>
      </c>
      <c r="E447" s="9" t="s">
        <v>11</v>
      </c>
      <c r="F447" s="10"/>
      <c r="G447" s="9"/>
      <c r="H447" s="26"/>
      <c r="I447" s="9" t="s">
        <v>13</v>
      </c>
      <c r="J447" s="55"/>
    </row>
    <row r="448">
      <c r="A448" s="54" t="s">
        <v>6247</v>
      </c>
      <c r="B448" s="26"/>
      <c r="C448" s="8" t="s">
        <v>11</v>
      </c>
      <c r="D448" s="8" t="str">
        <f t="shared" si="1"/>
        <v>-</v>
      </c>
      <c r="E448" s="9" t="s">
        <v>11</v>
      </c>
      <c r="F448" s="10"/>
      <c r="G448" s="9"/>
      <c r="H448" s="26"/>
      <c r="I448" s="9" t="s">
        <v>13</v>
      </c>
      <c r="J448" s="55"/>
    </row>
    <row r="449">
      <c r="A449" s="54" t="s">
        <v>6247</v>
      </c>
      <c r="B449" s="26"/>
      <c r="C449" s="8" t="s">
        <v>11</v>
      </c>
      <c r="D449" s="8" t="str">
        <f t="shared" si="1"/>
        <v>-</v>
      </c>
      <c r="E449" s="9" t="s">
        <v>11</v>
      </c>
      <c r="F449" s="10"/>
      <c r="G449" s="9"/>
      <c r="H449" s="26"/>
      <c r="I449" s="9" t="s">
        <v>13</v>
      </c>
      <c r="J449" s="55"/>
    </row>
    <row r="450">
      <c r="A450" s="54" t="s">
        <v>6247</v>
      </c>
      <c r="B450" s="26"/>
      <c r="C450" s="8" t="s">
        <v>11</v>
      </c>
      <c r="D450" s="8" t="str">
        <f t="shared" si="1"/>
        <v>-</v>
      </c>
      <c r="E450" s="9" t="s">
        <v>11</v>
      </c>
      <c r="F450" s="10"/>
      <c r="G450" s="9"/>
      <c r="H450" s="26"/>
      <c r="I450" s="9" t="s">
        <v>13</v>
      </c>
      <c r="J450" s="55"/>
    </row>
    <row r="451">
      <c r="A451" s="54" t="s">
        <v>6247</v>
      </c>
      <c r="B451" s="26"/>
      <c r="C451" s="8" t="s">
        <v>11</v>
      </c>
      <c r="D451" s="8" t="str">
        <f t="shared" si="1"/>
        <v>-</v>
      </c>
      <c r="E451" s="9" t="s">
        <v>11</v>
      </c>
      <c r="F451" s="10"/>
      <c r="G451" s="9"/>
      <c r="H451" s="26"/>
      <c r="I451" s="9" t="s">
        <v>13</v>
      </c>
      <c r="J451" s="55"/>
    </row>
    <row r="452">
      <c r="A452" s="54" t="s">
        <v>6247</v>
      </c>
      <c r="B452" s="26"/>
      <c r="C452" s="8" t="s">
        <v>11</v>
      </c>
      <c r="D452" s="8" t="str">
        <f t="shared" si="1"/>
        <v>-</v>
      </c>
      <c r="E452" s="9" t="s">
        <v>11</v>
      </c>
      <c r="F452" s="10"/>
      <c r="G452" s="9"/>
      <c r="H452" s="26"/>
      <c r="I452" s="9" t="s">
        <v>13</v>
      </c>
      <c r="J452" s="55"/>
    </row>
    <row r="453">
      <c r="A453" s="54" t="s">
        <v>6247</v>
      </c>
      <c r="B453" s="26"/>
      <c r="C453" s="8" t="s">
        <v>11</v>
      </c>
      <c r="D453" s="8" t="str">
        <f t="shared" si="1"/>
        <v>-</v>
      </c>
      <c r="E453" s="9" t="s">
        <v>11</v>
      </c>
      <c r="F453" s="10"/>
      <c r="G453" s="9"/>
      <c r="H453" s="26"/>
      <c r="I453" s="9" t="s">
        <v>13</v>
      </c>
      <c r="J453" s="55"/>
    </row>
    <row r="454">
      <c r="A454" s="54" t="s">
        <v>6247</v>
      </c>
      <c r="B454" s="26"/>
      <c r="C454" s="8" t="s">
        <v>11</v>
      </c>
      <c r="D454" s="8" t="str">
        <f t="shared" si="1"/>
        <v>-</v>
      </c>
      <c r="E454" s="9" t="s">
        <v>11</v>
      </c>
      <c r="F454" s="10"/>
      <c r="G454" s="9"/>
      <c r="H454" s="26"/>
      <c r="I454" s="9" t="s">
        <v>13</v>
      </c>
      <c r="J454" s="55"/>
    </row>
    <row r="455">
      <c r="A455" s="54" t="s">
        <v>6247</v>
      </c>
      <c r="B455" s="26"/>
      <c r="C455" s="8" t="s">
        <v>11</v>
      </c>
      <c r="D455" s="8" t="str">
        <f t="shared" si="1"/>
        <v>-</v>
      </c>
      <c r="E455" s="9" t="s">
        <v>11</v>
      </c>
      <c r="F455" s="10"/>
      <c r="G455" s="9"/>
      <c r="H455" s="26"/>
      <c r="I455" s="9" t="s">
        <v>13</v>
      </c>
      <c r="J455" s="55"/>
    </row>
    <row r="456">
      <c r="A456" s="54" t="s">
        <v>6247</v>
      </c>
      <c r="B456" s="26"/>
      <c r="C456" s="8" t="s">
        <v>11</v>
      </c>
      <c r="D456" s="8" t="str">
        <f t="shared" si="1"/>
        <v>-</v>
      </c>
      <c r="E456" s="9" t="s">
        <v>11</v>
      </c>
      <c r="F456" s="10"/>
      <c r="G456" s="9"/>
      <c r="H456" s="26"/>
      <c r="I456" s="9" t="s">
        <v>13</v>
      </c>
      <c r="J456" s="55"/>
    </row>
    <row r="457">
      <c r="A457" s="54" t="s">
        <v>6247</v>
      </c>
      <c r="B457" s="26"/>
      <c r="C457" s="8" t="s">
        <v>11</v>
      </c>
      <c r="D457" s="8" t="str">
        <f t="shared" si="1"/>
        <v>-</v>
      </c>
      <c r="E457" s="9" t="s">
        <v>11</v>
      </c>
      <c r="F457" s="10"/>
      <c r="G457" s="9"/>
      <c r="H457" s="26"/>
      <c r="I457" s="9" t="s">
        <v>13</v>
      </c>
      <c r="J457" s="55"/>
    </row>
    <row r="458">
      <c r="A458" s="54" t="s">
        <v>6247</v>
      </c>
      <c r="B458" s="26"/>
      <c r="C458" s="8" t="s">
        <v>11</v>
      </c>
      <c r="D458" s="8" t="str">
        <f t="shared" si="1"/>
        <v>-</v>
      </c>
      <c r="E458" s="9" t="s">
        <v>11</v>
      </c>
      <c r="F458" s="10"/>
      <c r="G458" s="9"/>
      <c r="H458" s="26"/>
      <c r="I458" s="9" t="s">
        <v>13</v>
      </c>
      <c r="J458" s="55"/>
    </row>
    <row r="459">
      <c r="A459" s="54" t="s">
        <v>6247</v>
      </c>
      <c r="B459" s="26"/>
      <c r="C459" s="8" t="s">
        <v>11</v>
      </c>
      <c r="D459" s="8" t="str">
        <f t="shared" si="1"/>
        <v>-</v>
      </c>
      <c r="E459" s="9" t="s">
        <v>11</v>
      </c>
      <c r="F459" s="10"/>
      <c r="G459" s="9"/>
      <c r="H459" s="26"/>
      <c r="I459" s="9" t="s">
        <v>13</v>
      </c>
      <c r="J459" s="55"/>
    </row>
    <row r="460">
      <c r="A460" s="54" t="s">
        <v>6247</v>
      </c>
      <c r="B460" s="26"/>
      <c r="C460" s="8" t="s">
        <v>11</v>
      </c>
      <c r="D460" s="8" t="str">
        <f t="shared" si="1"/>
        <v>-</v>
      </c>
      <c r="E460" s="9" t="s">
        <v>11</v>
      </c>
      <c r="F460" s="10"/>
      <c r="G460" s="9"/>
      <c r="H460" s="26"/>
      <c r="I460" s="9" t="s">
        <v>13</v>
      </c>
      <c r="J460" s="55"/>
    </row>
    <row r="461">
      <c r="A461" s="54" t="s">
        <v>6247</v>
      </c>
      <c r="B461" s="26"/>
      <c r="C461" s="8" t="s">
        <v>11</v>
      </c>
      <c r="D461" s="8" t="str">
        <f t="shared" si="1"/>
        <v>-</v>
      </c>
      <c r="E461" s="9" t="s">
        <v>11</v>
      </c>
      <c r="F461" s="10"/>
      <c r="G461" s="9"/>
      <c r="H461" s="26"/>
      <c r="I461" s="9" t="s">
        <v>13</v>
      </c>
      <c r="J461" s="55"/>
    </row>
    <row r="462">
      <c r="A462" s="54" t="s">
        <v>6247</v>
      </c>
      <c r="B462" s="26"/>
      <c r="C462" s="8" t="s">
        <v>11</v>
      </c>
      <c r="D462" s="8" t="str">
        <f t="shared" si="1"/>
        <v>-</v>
      </c>
      <c r="E462" s="9" t="s">
        <v>11</v>
      </c>
      <c r="F462" s="10"/>
      <c r="G462" s="9"/>
      <c r="H462" s="26"/>
      <c r="I462" s="9" t="s">
        <v>13</v>
      </c>
      <c r="J462" s="55"/>
    </row>
    <row r="463">
      <c r="A463" s="54" t="s">
        <v>6247</v>
      </c>
      <c r="B463" s="26"/>
      <c r="C463" s="8" t="s">
        <v>11</v>
      </c>
      <c r="D463" s="8" t="str">
        <f t="shared" si="1"/>
        <v>-</v>
      </c>
      <c r="E463" s="9" t="s">
        <v>11</v>
      </c>
      <c r="F463" s="10"/>
      <c r="G463" s="9"/>
      <c r="H463" s="26"/>
      <c r="I463" s="9" t="s">
        <v>13</v>
      </c>
      <c r="J463" s="55"/>
    </row>
    <row r="464">
      <c r="A464" s="54" t="s">
        <v>6247</v>
      </c>
      <c r="B464" s="26"/>
      <c r="C464" s="8" t="s">
        <v>11</v>
      </c>
      <c r="D464" s="8" t="str">
        <f t="shared" si="1"/>
        <v>-</v>
      </c>
      <c r="E464" s="9" t="s">
        <v>11</v>
      </c>
      <c r="F464" s="10"/>
      <c r="G464" s="9"/>
      <c r="H464" s="26"/>
      <c r="I464" s="9" t="s">
        <v>13</v>
      </c>
      <c r="J464" s="55"/>
    </row>
    <row r="465">
      <c r="A465" s="54" t="s">
        <v>6247</v>
      </c>
      <c r="B465" s="26"/>
      <c r="C465" s="8" t="s">
        <v>11</v>
      </c>
      <c r="D465" s="8" t="str">
        <f t="shared" si="1"/>
        <v>-</v>
      </c>
      <c r="E465" s="9" t="s">
        <v>11</v>
      </c>
      <c r="F465" s="10"/>
      <c r="G465" s="9"/>
      <c r="H465" s="26"/>
      <c r="I465" s="9" t="s">
        <v>13</v>
      </c>
      <c r="J465" s="55"/>
    </row>
    <row r="466">
      <c r="A466" s="54" t="s">
        <v>6247</v>
      </c>
      <c r="B466" s="26"/>
      <c r="C466" s="8" t="s">
        <v>11</v>
      </c>
      <c r="D466" s="8" t="str">
        <f t="shared" si="1"/>
        <v>-</v>
      </c>
      <c r="E466" s="9" t="s">
        <v>11</v>
      </c>
      <c r="F466" s="10"/>
      <c r="G466" s="9"/>
      <c r="H466" s="26"/>
      <c r="I466" s="9" t="s">
        <v>13</v>
      </c>
      <c r="J466" s="55"/>
    </row>
    <row r="467">
      <c r="A467" s="54" t="s">
        <v>6247</v>
      </c>
      <c r="B467" s="26"/>
      <c r="C467" s="8" t="s">
        <v>11</v>
      </c>
      <c r="D467" s="8" t="str">
        <f t="shared" si="1"/>
        <v>-</v>
      </c>
      <c r="E467" s="9" t="s">
        <v>11</v>
      </c>
      <c r="F467" s="10"/>
      <c r="G467" s="9"/>
      <c r="H467" s="26"/>
      <c r="I467" s="9" t="s">
        <v>13</v>
      </c>
      <c r="J467" s="55"/>
    </row>
    <row r="468">
      <c r="A468" s="54" t="s">
        <v>6247</v>
      </c>
      <c r="B468" s="26"/>
      <c r="C468" s="8" t="s">
        <v>11</v>
      </c>
      <c r="D468" s="8" t="str">
        <f t="shared" si="1"/>
        <v>-</v>
      </c>
      <c r="E468" s="9" t="s">
        <v>11</v>
      </c>
      <c r="F468" s="10"/>
      <c r="G468" s="9"/>
      <c r="H468" s="26"/>
      <c r="I468" s="9" t="s">
        <v>13</v>
      </c>
      <c r="J468" s="55"/>
    </row>
    <row r="469">
      <c r="A469" s="54" t="s">
        <v>6247</v>
      </c>
      <c r="B469" s="26"/>
      <c r="C469" s="8" t="s">
        <v>11</v>
      </c>
      <c r="D469" s="8" t="str">
        <f t="shared" si="1"/>
        <v>-</v>
      </c>
      <c r="E469" s="9" t="s">
        <v>11</v>
      </c>
      <c r="F469" s="10"/>
      <c r="G469" s="9"/>
      <c r="H469" s="26"/>
      <c r="I469" s="9" t="s">
        <v>13</v>
      </c>
      <c r="J469" s="55"/>
    </row>
    <row r="470">
      <c r="A470" s="54" t="s">
        <v>6247</v>
      </c>
      <c r="B470" s="26"/>
      <c r="C470" s="8" t="s">
        <v>11</v>
      </c>
      <c r="D470" s="8" t="str">
        <f t="shared" si="1"/>
        <v>-</v>
      </c>
      <c r="E470" s="9" t="s">
        <v>11</v>
      </c>
      <c r="F470" s="10"/>
      <c r="G470" s="9"/>
      <c r="H470" s="26"/>
      <c r="I470" s="9" t="s">
        <v>13</v>
      </c>
      <c r="J470" s="55"/>
    </row>
    <row r="471">
      <c r="A471" s="54" t="s">
        <v>6247</v>
      </c>
      <c r="B471" s="26"/>
      <c r="C471" s="8" t="s">
        <v>11</v>
      </c>
      <c r="D471" s="8" t="str">
        <f t="shared" si="1"/>
        <v>-</v>
      </c>
      <c r="E471" s="9" t="s">
        <v>11</v>
      </c>
      <c r="F471" s="10"/>
      <c r="G471" s="9"/>
      <c r="H471" s="26"/>
      <c r="I471" s="9" t="s">
        <v>13</v>
      </c>
      <c r="J471" s="55"/>
    </row>
    <row r="472">
      <c r="A472" s="54" t="s">
        <v>6247</v>
      </c>
      <c r="B472" s="26"/>
      <c r="C472" s="8" t="s">
        <v>11</v>
      </c>
      <c r="D472" s="8" t="str">
        <f t="shared" si="1"/>
        <v>-</v>
      </c>
      <c r="E472" s="9" t="s">
        <v>11</v>
      </c>
      <c r="F472" s="10"/>
      <c r="G472" s="9"/>
      <c r="H472" s="26"/>
      <c r="I472" s="9" t="s">
        <v>13</v>
      </c>
      <c r="J472" s="55"/>
    </row>
    <row r="473">
      <c r="A473" s="54" t="s">
        <v>6247</v>
      </c>
      <c r="B473" s="26"/>
      <c r="C473" s="8" t="s">
        <v>11</v>
      </c>
      <c r="D473" s="8" t="str">
        <f t="shared" si="1"/>
        <v>-</v>
      </c>
      <c r="E473" s="9" t="s">
        <v>11</v>
      </c>
      <c r="F473" s="10"/>
      <c r="G473" s="9"/>
      <c r="H473" s="26"/>
      <c r="I473" s="9" t="s">
        <v>13</v>
      </c>
      <c r="J473" s="55"/>
    </row>
    <row r="474">
      <c r="A474" s="54" t="s">
        <v>6247</v>
      </c>
      <c r="B474" s="26"/>
      <c r="C474" s="8" t="s">
        <v>11</v>
      </c>
      <c r="D474" s="8" t="str">
        <f t="shared" si="1"/>
        <v>-</v>
      </c>
      <c r="E474" s="9" t="s">
        <v>11</v>
      </c>
      <c r="F474" s="10"/>
      <c r="G474" s="9"/>
      <c r="H474" s="26"/>
      <c r="I474" s="9" t="s">
        <v>13</v>
      </c>
      <c r="J474" s="55"/>
    </row>
    <row r="475">
      <c r="A475" s="54" t="s">
        <v>6247</v>
      </c>
      <c r="B475" s="26"/>
      <c r="C475" s="8" t="s">
        <v>11</v>
      </c>
      <c r="D475" s="8" t="str">
        <f t="shared" si="1"/>
        <v>-</v>
      </c>
      <c r="E475" s="9" t="s">
        <v>11</v>
      </c>
      <c r="F475" s="10"/>
      <c r="G475" s="9"/>
      <c r="H475" s="26"/>
      <c r="I475" s="9" t="s">
        <v>13</v>
      </c>
      <c r="J475" s="55"/>
    </row>
    <row r="476">
      <c r="A476" s="54" t="s">
        <v>6247</v>
      </c>
      <c r="B476" s="26"/>
      <c r="C476" s="8" t="s">
        <v>11</v>
      </c>
      <c r="D476" s="8" t="str">
        <f t="shared" si="1"/>
        <v>-</v>
      </c>
      <c r="E476" s="9" t="s">
        <v>11</v>
      </c>
      <c r="F476" s="10"/>
      <c r="G476" s="9"/>
      <c r="H476" s="26"/>
      <c r="I476" s="9" t="s">
        <v>13</v>
      </c>
      <c r="J476" s="55"/>
    </row>
    <row r="477">
      <c r="A477" s="54" t="s">
        <v>6247</v>
      </c>
      <c r="B477" s="26"/>
      <c r="C477" s="8" t="s">
        <v>11</v>
      </c>
      <c r="D477" s="8" t="str">
        <f t="shared" si="1"/>
        <v>-</v>
      </c>
      <c r="E477" s="9" t="s">
        <v>11</v>
      </c>
      <c r="F477" s="10"/>
      <c r="G477" s="9"/>
      <c r="H477" s="26"/>
      <c r="I477" s="9" t="s">
        <v>13</v>
      </c>
      <c r="J477" s="55"/>
    </row>
    <row r="478">
      <c r="A478" s="54" t="s">
        <v>6247</v>
      </c>
      <c r="B478" s="26"/>
      <c r="C478" s="8" t="s">
        <v>11</v>
      </c>
      <c r="D478" s="8" t="str">
        <f t="shared" si="1"/>
        <v>-</v>
      </c>
      <c r="E478" s="9" t="s">
        <v>11</v>
      </c>
      <c r="F478" s="10"/>
      <c r="G478" s="9"/>
      <c r="H478" s="26"/>
      <c r="I478" s="9" t="s">
        <v>13</v>
      </c>
      <c r="J478" s="55"/>
    </row>
    <row r="479">
      <c r="A479" s="54" t="s">
        <v>6247</v>
      </c>
      <c r="B479" s="26"/>
      <c r="C479" s="8" t="s">
        <v>11</v>
      </c>
      <c r="D479" s="8" t="str">
        <f t="shared" si="1"/>
        <v>-</v>
      </c>
      <c r="E479" s="9" t="s">
        <v>11</v>
      </c>
      <c r="F479" s="10"/>
      <c r="G479" s="9"/>
      <c r="H479" s="26"/>
      <c r="I479" s="9" t="s">
        <v>13</v>
      </c>
      <c r="J479" s="55"/>
    </row>
    <row r="480">
      <c r="A480" s="54" t="s">
        <v>6247</v>
      </c>
      <c r="B480" s="26"/>
      <c r="C480" s="8" t="s">
        <v>11</v>
      </c>
      <c r="D480" s="8" t="str">
        <f t="shared" si="1"/>
        <v>-</v>
      </c>
      <c r="E480" s="9" t="s">
        <v>11</v>
      </c>
      <c r="F480" s="10"/>
      <c r="G480" s="9"/>
      <c r="H480" s="26"/>
      <c r="I480" s="9" t="s">
        <v>13</v>
      </c>
      <c r="J480" s="55"/>
    </row>
    <row r="481">
      <c r="A481" s="54" t="s">
        <v>6247</v>
      </c>
      <c r="B481" s="26"/>
      <c r="C481" s="8" t="s">
        <v>11</v>
      </c>
      <c r="D481" s="8" t="str">
        <f t="shared" si="1"/>
        <v>-</v>
      </c>
      <c r="E481" s="9" t="s">
        <v>11</v>
      </c>
      <c r="F481" s="10"/>
      <c r="G481" s="9"/>
      <c r="H481" s="26"/>
      <c r="I481" s="9" t="s">
        <v>13</v>
      </c>
      <c r="J481" s="55"/>
    </row>
    <row r="482">
      <c r="A482" s="54" t="s">
        <v>6247</v>
      </c>
      <c r="B482" s="26"/>
      <c r="C482" s="8" t="s">
        <v>11</v>
      </c>
      <c r="D482" s="8" t="str">
        <f t="shared" si="1"/>
        <v>-</v>
      </c>
      <c r="E482" s="9" t="s">
        <v>11</v>
      </c>
      <c r="F482" s="10"/>
      <c r="G482" s="9"/>
      <c r="H482" s="26"/>
      <c r="I482" s="9" t="s">
        <v>13</v>
      </c>
      <c r="J482" s="55"/>
    </row>
    <row r="483">
      <c r="A483" s="54" t="s">
        <v>6247</v>
      </c>
      <c r="B483" s="26"/>
      <c r="C483" s="8" t="s">
        <v>11</v>
      </c>
      <c r="D483" s="8" t="str">
        <f t="shared" si="1"/>
        <v>-</v>
      </c>
      <c r="E483" s="9" t="s">
        <v>11</v>
      </c>
      <c r="F483" s="10"/>
      <c r="G483" s="9"/>
      <c r="H483" s="26"/>
      <c r="I483" s="9" t="s">
        <v>13</v>
      </c>
      <c r="J483" s="55"/>
    </row>
    <row r="484">
      <c r="A484" s="54" t="s">
        <v>6247</v>
      </c>
      <c r="B484" s="26"/>
      <c r="C484" s="8" t="s">
        <v>11</v>
      </c>
      <c r="D484" s="8" t="str">
        <f t="shared" si="1"/>
        <v>-</v>
      </c>
      <c r="E484" s="9" t="s">
        <v>11</v>
      </c>
      <c r="F484" s="10"/>
      <c r="G484" s="9"/>
      <c r="H484" s="26"/>
      <c r="I484" s="9" t="s">
        <v>13</v>
      </c>
      <c r="J484" s="55"/>
    </row>
    <row r="485">
      <c r="A485" s="54" t="s">
        <v>6247</v>
      </c>
      <c r="B485" s="26"/>
      <c r="C485" s="8" t="s">
        <v>11</v>
      </c>
      <c r="D485" s="8" t="str">
        <f t="shared" si="1"/>
        <v>-</v>
      </c>
      <c r="E485" s="9" t="s">
        <v>11</v>
      </c>
      <c r="F485" s="10"/>
      <c r="G485" s="9"/>
      <c r="H485" s="26"/>
      <c r="I485" s="9" t="s">
        <v>13</v>
      </c>
      <c r="J485" s="55"/>
    </row>
    <row r="486">
      <c r="A486" s="54" t="s">
        <v>6247</v>
      </c>
      <c r="B486" s="26"/>
      <c r="C486" s="8" t="s">
        <v>11</v>
      </c>
      <c r="D486" s="8" t="str">
        <f t="shared" si="1"/>
        <v>-</v>
      </c>
      <c r="E486" s="9" t="s">
        <v>11</v>
      </c>
      <c r="F486" s="10"/>
      <c r="G486" s="9"/>
      <c r="H486" s="26"/>
      <c r="I486" s="9" t="s">
        <v>13</v>
      </c>
      <c r="J486" s="55"/>
    </row>
    <row r="487">
      <c r="A487" s="54" t="s">
        <v>6247</v>
      </c>
      <c r="B487" s="26"/>
      <c r="C487" s="8" t="s">
        <v>11</v>
      </c>
      <c r="D487" s="8" t="str">
        <f t="shared" si="1"/>
        <v>-</v>
      </c>
      <c r="E487" s="9" t="s">
        <v>11</v>
      </c>
      <c r="F487" s="10"/>
      <c r="G487" s="9"/>
      <c r="H487" s="26"/>
      <c r="I487" s="9" t="s">
        <v>13</v>
      </c>
      <c r="J487" s="55"/>
    </row>
    <row r="488">
      <c r="A488" s="54" t="s">
        <v>6247</v>
      </c>
      <c r="B488" s="26"/>
      <c r="C488" s="8" t="s">
        <v>11</v>
      </c>
      <c r="D488" s="8" t="str">
        <f t="shared" si="1"/>
        <v>-</v>
      </c>
      <c r="E488" s="9" t="s">
        <v>11</v>
      </c>
      <c r="F488" s="10"/>
      <c r="G488" s="9"/>
      <c r="H488" s="26"/>
      <c r="I488" s="9" t="s">
        <v>13</v>
      </c>
      <c r="J488" s="55"/>
    </row>
    <row r="489">
      <c r="A489" s="54" t="s">
        <v>6247</v>
      </c>
      <c r="B489" s="26"/>
      <c r="C489" s="8" t="s">
        <v>11</v>
      </c>
      <c r="D489" s="8" t="str">
        <f t="shared" si="1"/>
        <v>-</v>
      </c>
      <c r="E489" s="9" t="s">
        <v>11</v>
      </c>
      <c r="F489" s="10"/>
      <c r="G489" s="9"/>
      <c r="H489" s="26"/>
      <c r="I489" s="9" t="s">
        <v>13</v>
      </c>
      <c r="J489" s="55"/>
    </row>
    <row r="490">
      <c r="A490" s="54" t="s">
        <v>6247</v>
      </c>
      <c r="B490" s="26"/>
      <c r="C490" s="8" t="s">
        <v>11</v>
      </c>
      <c r="D490" s="8" t="str">
        <f t="shared" si="1"/>
        <v>-</v>
      </c>
      <c r="E490" s="9" t="s">
        <v>11</v>
      </c>
      <c r="F490" s="10"/>
      <c r="G490" s="9"/>
      <c r="H490" s="26"/>
      <c r="I490" s="9" t="s">
        <v>13</v>
      </c>
      <c r="J490" s="55"/>
    </row>
    <row r="491">
      <c r="A491" s="54" t="s">
        <v>6247</v>
      </c>
      <c r="B491" s="26"/>
      <c r="C491" s="8" t="s">
        <v>11</v>
      </c>
      <c r="D491" s="8" t="str">
        <f t="shared" si="1"/>
        <v>-</v>
      </c>
      <c r="E491" s="9" t="s">
        <v>11</v>
      </c>
      <c r="F491" s="10"/>
      <c r="G491" s="9"/>
      <c r="H491" s="26"/>
      <c r="I491" s="9" t="s">
        <v>13</v>
      </c>
      <c r="J491" s="55"/>
    </row>
    <row r="492">
      <c r="A492" s="54" t="s">
        <v>6247</v>
      </c>
      <c r="B492" s="26"/>
      <c r="C492" s="8" t="s">
        <v>11</v>
      </c>
      <c r="D492" s="8" t="str">
        <f t="shared" si="1"/>
        <v>-</v>
      </c>
      <c r="E492" s="9" t="s">
        <v>11</v>
      </c>
      <c r="F492" s="10"/>
      <c r="G492" s="9"/>
      <c r="H492" s="26"/>
      <c r="I492" s="9" t="s">
        <v>13</v>
      </c>
      <c r="J492" s="55"/>
    </row>
    <row r="493">
      <c r="A493" s="54" t="s">
        <v>6247</v>
      </c>
      <c r="B493" s="26"/>
      <c r="C493" s="8" t="s">
        <v>11</v>
      </c>
      <c r="D493" s="8" t="str">
        <f t="shared" si="1"/>
        <v>-</v>
      </c>
      <c r="E493" s="9" t="s">
        <v>11</v>
      </c>
      <c r="F493" s="10"/>
      <c r="G493" s="9"/>
      <c r="H493" s="26"/>
      <c r="I493" s="9" t="s">
        <v>13</v>
      </c>
      <c r="J493" s="55"/>
    </row>
    <row r="494">
      <c r="A494" s="54" t="s">
        <v>6247</v>
      </c>
      <c r="B494" s="26"/>
      <c r="C494" s="8" t="s">
        <v>11</v>
      </c>
      <c r="D494" s="8" t="str">
        <f t="shared" si="1"/>
        <v>-</v>
      </c>
      <c r="E494" s="9" t="s">
        <v>11</v>
      </c>
      <c r="F494" s="10"/>
      <c r="G494" s="9"/>
      <c r="H494" s="26"/>
      <c r="I494" s="9" t="s">
        <v>13</v>
      </c>
      <c r="J494" s="55"/>
    </row>
    <row r="495">
      <c r="A495" s="54" t="s">
        <v>6247</v>
      </c>
      <c r="B495" s="26"/>
      <c r="C495" s="8" t="s">
        <v>11</v>
      </c>
      <c r="D495" s="8" t="str">
        <f t="shared" si="1"/>
        <v>-</v>
      </c>
      <c r="E495" s="9" t="s">
        <v>11</v>
      </c>
      <c r="F495" s="10"/>
      <c r="G495" s="9"/>
      <c r="H495" s="26"/>
      <c r="I495" s="9" t="s">
        <v>13</v>
      </c>
      <c r="J495" s="55"/>
    </row>
    <row r="496">
      <c r="A496" s="54" t="s">
        <v>6247</v>
      </c>
      <c r="B496" s="26"/>
      <c r="C496" s="8" t="s">
        <v>11</v>
      </c>
      <c r="D496" s="8" t="str">
        <f t="shared" si="1"/>
        <v>-</v>
      </c>
      <c r="E496" s="9" t="s">
        <v>11</v>
      </c>
      <c r="F496" s="10"/>
      <c r="G496" s="9"/>
      <c r="H496" s="26"/>
      <c r="I496" s="9" t="s">
        <v>13</v>
      </c>
      <c r="J496" s="55"/>
    </row>
    <row r="497">
      <c r="A497" s="54" t="s">
        <v>6247</v>
      </c>
      <c r="B497" s="26"/>
      <c r="C497" s="8" t="s">
        <v>11</v>
      </c>
      <c r="D497" s="8" t="str">
        <f t="shared" si="1"/>
        <v>-</v>
      </c>
      <c r="E497" s="9" t="s">
        <v>11</v>
      </c>
      <c r="F497" s="10"/>
      <c r="G497" s="9"/>
      <c r="H497" s="26"/>
      <c r="I497" s="9" t="s">
        <v>13</v>
      </c>
      <c r="J497" s="55"/>
    </row>
    <row r="498">
      <c r="A498" s="54" t="s">
        <v>6247</v>
      </c>
      <c r="B498" s="26"/>
      <c r="C498" s="8" t="s">
        <v>11</v>
      </c>
      <c r="D498" s="8" t="str">
        <f t="shared" si="1"/>
        <v>-</v>
      </c>
      <c r="E498" s="9" t="s">
        <v>11</v>
      </c>
      <c r="F498" s="10"/>
      <c r="G498" s="9"/>
      <c r="H498" s="26"/>
      <c r="I498" s="9" t="s">
        <v>13</v>
      </c>
      <c r="J498" s="55"/>
    </row>
    <row r="499">
      <c r="A499" s="54" t="s">
        <v>6247</v>
      </c>
      <c r="B499" s="26"/>
      <c r="C499" s="8" t="s">
        <v>11</v>
      </c>
      <c r="D499" s="8" t="str">
        <f t="shared" si="1"/>
        <v>-</v>
      </c>
      <c r="E499" s="9" t="s">
        <v>11</v>
      </c>
      <c r="F499" s="10"/>
      <c r="G499" s="9"/>
      <c r="H499" s="26"/>
      <c r="I499" s="9" t="s">
        <v>13</v>
      </c>
      <c r="J499" s="55"/>
    </row>
    <row r="500">
      <c r="A500" s="54" t="s">
        <v>6247</v>
      </c>
      <c r="B500" s="26"/>
      <c r="C500" s="8" t="s">
        <v>11</v>
      </c>
      <c r="D500" s="8" t="str">
        <f t="shared" si="1"/>
        <v>-</v>
      </c>
      <c r="E500" s="9" t="s">
        <v>11</v>
      </c>
      <c r="F500" s="10"/>
      <c r="G500" s="9"/>
      <c r="H500" s="26"/>
      <c r="I500" s="9" t="s">
        <v>13</v>
      </c>
      <c r="J500" s="55"/>
    </row>
    <row r="501">
      <c r="A501" s="54" t="s">
        <v>6247</v>
      </c>
      <c r="B501" s="26"/>
      <c r="C501" s="8" t="s">
        <v>11</v>
      </c>
      <c r="D501" s="8" t="str">
        <f t="shared" si="1"/>
        <v>-</v>
      </c>
      <c r="E501" s="9" t="s">
        <v>11</v>
      </c>
      <c r="F501" s="10"/>
      <c r="G501" s="9"/>
      <c r="H501" s="26"/>
      <c r="I501" s="9" t="s">
        <v>13</v>
      </c>
      <c r="J501" s="55"/>
    </row>
    <row r="502">
      <c r="A502" s="54" t="s">
        <v>6247</v>
      </c>
      <c r="B502" s="26"/>
      <c r="C502" s="8" t="s">
        <v>11</v>
      </c>
      <c r="D502" s="8" t="str">
        <f t="shared" si="1"/>
        <v>-</v>
      </c>
      <c r="E502" s="9" t="s">
        <v>11</v>
      </c>
      <c r="F502" s="10"/>
      <c r="G502" s="9"/>
      <c r="H502" s="26"/>
      <c r="I502" s="9" t="s">
        <v>13</v>
      </c>
      <c r="J502" s="55"/>
    </row>
    <row r="503">
      <c r="A503" s="54" t="s">
        <v>6247</v>
      </c>
      <c r="B503" s="26"/>
      <c r="C503" s="8" t="s">
        <v>11</v>
      </c>
      <c r="D503" s="8" t="str">
        <f t="shared" si="1"/>
        <v>-</v>
      </c>
      <c r="E503" s="9" t="s">
        <v>11</v>
      </c>
      <c r="F503" s="10"/>
      <c r="G503" s="9"/>
      <c r="H503" s="26"/>
      <c r="I503" s="9" t="s">
        <v>13</v>
      </c>
      <c r="J503" s="55"/>
    </row>
    <row r="504">
      <c r="A504" s="54" t="s">
        <v>6247</v>
      </c>
      <c r="B504" s="26"/>
      <c r="C504" s="8" t="s">
        <v>11</v>
      </c>
      <c r="D504" s="8" t="str">
        <f t="shared" si="1"/>
        <v>-</v>
      </c>
      <c r="E504" s="9" t="s">
        <v>11</v>
      </c>
      <c r="F504" s="10"/>
      <c r="G504" s="9"/>
      <c r="H504" s="26"/>
      <c r="I504" s="9" t="s">
        <v>13</v>
      </c>
      <c r="J504" s="55"/>
    </row>
    <row r="505">
      <c r="A505" s="54" t="s">
        <v>6247</v>
      </c>
      <c r="B505" s="26"/>
      <c r="C505" s="8" t="s">
        <v>11</v>
      </c>
      <c r="D505" s="8" t="str">
        <f t="shared" si="1"/>
        <v>-</v>
      </c>
      <c r="E505" s="9" t="s">
        <v>11</v>
      </c>
      <c r="F505" s="10"/>
      <c r="G505" s="9"/>
      <c r="H505" s="26"/>
      <c r="I505" s="9" t="s">
        <v>13</v>
      </c>
      <c r="J505" s="55"/>
    </row>
    <row r="506">
      <c r="A506" s="54" t="s">
        <v>6247</v>
      </c>
      <c r="B506" s="26"/>
      <c r="C506" s="8" t="s">
        <v>11</v>
      </c>
      <c r="D506" s="8" t="str">
        <f t="shared" si="1"/>
        <v>-</v>
      </c>
      <c r="E506" s="9" t="s">
        <v>11</v>
      </c>
      <c r="F506" s="10"/>
      <c r="G506" s="9"/>
      <c r="H506" s="26"/>
      <c r="I506" s="9" t="s">
        <v>13</v>
      </c>
      <c r="J506" s="55"/>
    </row>
    <row r="507">
      <c r="A507" s="54" t="s">
        <v>6247</v>
      </c>
      <c r="B507" s="26"/>
      <c r="C507" s="8" t="s">
        <v>11</v>
      </c>
      <c r="D507" s="8" t="str">
        <f t="shared" si="1"/>
        <v>-</v>
      </c>
      <c r="E507" s="9" t="s">
        <v>11</v>
      </c>
      <c r="F507" s="10"/>
      <c r="G507" s="9"/>
      <c r="H507" s="26"/>
      <c r="I507" s="9" t="s">
        <v>13</v>
      </c>
      <c r="J507" s="55"/>
    </row>
    <row r="508">
      <c r="A508" s="54" t="s">
        <v>6247</v>
      </c>
      <c r="B508" s="26"/>
      <c r="C508" s="8" t="s">
        <v>11</v>
      </c>
      <c r="D508" s="8" t="str">
        <f t="shared" si="1"/>
        <v>-</v>
      </c>
      <c r="E508" s="9" t="s">
        <v>11</v>
      </c>
      <c r="F508" s="10"/>
      <c r="G508" s="9"/>
      <c r="H508" s="26"/>
      <c r="I508" s="9" t="s">
        <v>13</v>
      </c>
      <c r="J508" s="55"/>
    </row>
    <row r="509">
      <c r="A509" s="54" t="s">
        <v>6247</v>
      </c>
      <c r="B509" s="26"/>
      <c r="C509" s="8" t="s">
        <v>11</v>
      </c>
      <c r="D509" s="8" t="str">
        <f t="shared" si="1"/>
        <v>-</v>
      </c>
      <c r="E509" s="9" t="s">
        <v>11</v>
      </c>
      <c r="F509" s="10"/>
      <c r="G509" s="9"/>
      <c r="H509" s="26"/>
      <c r="I509" s="9" t="s">
        <v>13</v>
      </c>
      <c r="J509" s="55"/>
    </row>
    <row r="510">
      <c r="A510" s="54" t="s">
        <v>6247</v>
      </c>
      <c r="B510" s="26"/>
      <c r="C510" s="8" t="s">
        <v>11</v>
      </c>
      <c r="D510" s="8" t="str">
        <f t="shared" si="1"/>
        <v>-</v>
      </c>
      <c r="E510" s="9" t="s">
        <v>11</v>
      </c>
      <c r="F510" s="10"/>
      <c r="G510" s="9"/>
      <c r="H510" s="26"/>
      <c r="I510" s="9" t="s">
        <v>13</v>
      </c>
      <c r="J510" s="55"/>
    </row>
    <row r="511">
      <c r="A511" s="54" t="s">
        <v>6247</v>
      </c>
      <c r="B511" s="26"/>
      <c r="C511" s="8" t="s">
        <v>11</v>
      </c>
      <c r="D511" s="8" t="str">
        <f t="shared" si="1"/>
        <v>-</v>
      </c>
      <c r="E511" s="9" t="s">
        <v>11</v>
      </c>
      <c r="F511" s="10"/>
      <c r="G511" s="9"/>
      <c r="H511" s="26"/>
      <c r="I511" s="9" t="s">
        <v>13</v>
      </c>
      <c r="J511" s="55"/>
    </row>
    <row r="512">
      <c r="A512" s="54" t="s">
        <v>6247</v>
      </c>
      <c r="B512" s="26"/>
      <c r="C512" s="8" t="s">
        <v>11</v>
      </c>
      <c r="D512" s="8" t="str">
        <f t="shared" si="1"/>
        <v>-</v>
      </c>
      <c r="E512" s="9" t="s">
        <v>11</v>
      </c>
      <c r="F512" s="10"/>
      <c r="G512" s="9"/>
      <c r="H512" s="26"/>
      <c r="I512" s="9" t="s">
        <v>13</v>
      </c>
      <c r="J512" s="55"/>
    </row>
    <row r="513">
      <c r="A513" s="54" t="s">
        <v>6247</v>
      </c>
      <c r="B513" s="26"/>
      <c r="C513" s="8" t="s">
        <v>11</v>
      </c>
      <c r="D513" s="8" t="str">
        <f t="shared" si="1"/>
        <v>-</v>
      </c>
      <c r="E513" s="9" t="s">
        <v>11</v>
      </c>
      <c r="F513" s="10"/>
      <c r="G513" s="9"/>
      <c r="H513" s="26"/>
      <c r="I513" s="9" t="s">
        <v>13</v>
      </c>
      <c r="J513" s="55"/>
    </row>
    <row r="514">
      <c r="A514" s="54" t="s">
        <v>6247</v>
      </c>
      <c r="B514" s="26"/>
      <c r="C514" s="8" t="s">
        <v>11</v>
      </c>
      <c r="D514" s="8" t="str">
        <f t="shared" si="1"/>
        <v>-</v>
      </c>
      <c r="E514" s="9" t="s">
        <v>11</v>
      </c>
      <c r="F514" s="10"/>
      <c r="G514" s="9"/>
      <c r="H514" s="26"/>
      <c r="I514" s="9" t="s">
        <v>13</v>
      </c>
      <c r="J514" s="55"/>
    </row>
    <row r="515">
      <c r="A515" s="54" t="s">
        <v>6247</v>
      </c>
      <c r="B515" s="26"/>
      <c r="C515" s="8" t="s">
        <v>11</v>
      </c>
      <c r="D515" s="8" t="str">
        <f t="shared" si="1"/>
        <v>-</v>
      </c>
      <c r="E515" s="9" t="s">
        <v>11</v>
      </c>
      <c r="F515" s="10"/>
      <c r="G515" s="9"/>
      <c r="H515" s="26"/>
      <c r="I515" s="9" t="s">
        <v>13</v>
      </c>
      <c r="J515" s="55"/>
    </row>
    <row r="516">
      <c r="A516" s="54" t="s">
        <v>6247</v>
      </c>
      <c r="B516" s="26"/>
      <c r="C516" s="8" t="s">
        <v>11</v>
      </c>
      <c r="D516" s="8" t="str">
        <f t="shared" si="1"/>
        <v>-</v>
      </c>
      <c r="E516" s="9" t="s">
        <v>11</v>
      </c>
      <c r="F516" s="10"/>
      <c r="G516" s="9"/>
      <c r="H516" s="26"/>
      <c r="I516" s="9" t="s">
        <v>13</v>
      </c>
      <c r="J516" s="55"/>
    </row>
    <row r="517">
      <c r="A517" s="54" t="s">
        <v>6247</v>
      </c>
      <c r="B517" s="26"/>
      <c r="C517" s="8" t="s">
        <v>11</v>
      </c>
      <c r="D517" s="8" t="str">
        <f t="shared" si="1"/>
        <v>-</v>
      </c>
      <c r="E517" s="9" t="s">
        <v>11</v>
      </c>
      <c r="F517" s="10"/>
      <c r="G517" s="9"/>
      <c r="H517" s="26"/>
      <c r="I517" s="9" t="s">
        <v>13</v>
      </c>
      <c r="J517" s="55"/>
    </row>
    <row r="518">
      <c r="A518" s="54" t="s">
        <v>6247</v>
      </c>
      <c r="B518" s="26"/>
      <c r="C518" s="8" t="s">
        <v>11</v>
      </c>
      <c r="D518" s="8" t="str">
        <f t="shared" si="1"/>
        <v>-</v>
      </c>
      <c r="E518" s="9" t="s">
        <v>11</v>
      </c>
      <c r="F518" s="10"/>
      <c r="G518" s="9"/>
      <c r="H518" s="26"/>
      <c r="I518" s="9" t="s">
        <v>13</v>
      </c>
      <c r="J518" s="55"/>
    </row>
    <row r="519">
      <c r="A519" s="54" t="s">
        <v>6247</v>
      </c>
      <c r="B519" s="26"/>
      <c r="C519" s="8" t="s">
        <v>11</v>
      </c>
      <c r="D519" s="8" t="str">
        <f t="shared" si="1"/>
        <v>-</v>
      </c>
      <c r="E519" s="9" t="s">
        <v>11</v>
      </c>
      <c r="F519" s="10"/>
      <c r="G519" s="9"/>
      <c r="H519" s="26"/>
      <c r="I519" s="9" t="s">
        <v>13</v>
      </c>
      <c r="J519" s="55"/>
    </row>
    <row r="520">
      <c r="A520" s="54" t="s">
        <v>6247</v>
      </c>
      <c r="B520" s="26"/>
      <c r="C520" s="8" t="s">
        <v>11</v>
      </c>
      <c r="D520" s="8" t="str">
        <f t="shared" si="1"/>
        <v>-</v>
      </c>
      <c r="E520" s="9" t="s">
        <v>11</v>
      </c>
      <c r="F520" s="10"/>
      <c r="G520" s="9"/>
      <c r="H520" s="26"/>
      <c r="I520" s="9" t="s">
        <v>13</v>
      </c>
      <c r="J520" s="55"/>
    </row>
    <row r="521">
      <c r="A521" s="54" t="s">
        <v>6247</v>
      </c>
      <c r="B521" s="26"/>
      <c r="C521" s="8" t="s">
        <v>11</v>
      </c>
      <c r="D521" s="8" t="str">
        <f t="shared" si="1"/>
        <v>-</v>
      </c>
      <c r="E521" s="9" t="s">
        <v>11</v>
      </c>
      <c r="F521" s="10"/>
      <c r="G521" s="9"/>
      <c r="H521" s="26"/>
      <c r="I521" s="9" t="s">
        <v>13</v>
      </c>
      <c r="J521" s="55"/>
    </row>
    <row r="522">
      <c r="A522" s="54" t="s">
        <v>6247</v>
      </c>
      <c r="B522" s="26"/>
      <c r="C522" s="8" t="s">
        <v>11</v>
      </c>
      <c r="D522" s="8" t="str">
        <f t="shared" si="1"/>
        <v>-</v>
      </c>
      <c r="E522" s="9" t="s">
        <v>11</v>
      </c>
      <c r="F522" s="10"/>
      <c r="G522" s="9"/>
      <c r="H522" s="26"/>
      <c r="I522" s="9" t="s">
        <v>13</v>
      </c>
      <c r="J522" s="55"/>
    </row>
    <row r="523">
      <c r="A523" s="54" t="s">
        <v>6247</v>
      </c>
      <c r="B523" s="26"/>
      <c r="C523" s="8" t="s">
        <v>11</v>
      </c>
      <c r="D523" s="8" t="str">
        <f t="shared" si="1"/>
        <v>-</v>
      </c>
      <c r="E523" s="9" t="s">
        <v>11</v>
      </c>
      <c r="F523" s="10"/>
      <c r="G523" s="9"/>
      <c r="H523" s="26"/>
      <c r="I523" s="9" t="s">
        <v>13</v>
      </c>
      <c r="J523" s="55"/>
    </row>
    <row r="524">
      <c r="A524" s="54" t="s">
        <v>6247</v>
      </c>
      <c r="B524" s="26"/>
      <c r="C524" s="8" t="s">
        <v>11</v>
      </c>
      <c r="D524" s="8" t="str">
        <f t="shared" si="1"/>
        <v>-</v>
      </c>
      <c r="E524" s="9" t="s">
        <v>11</v>
      </c>
      <c r="F524" s="10"/>
      <c r="G524" s="9"/>
      <c r="H524" s="26"/>
      <c r="I524" s="9" t="s">
        <v>13</v>
      </c>
      <c r="J524" s="55"/>
    </row>
    <row r="525">
      <c r="A525" s="54" t="s">
        <v>6247</v>
      </c>
      <c r="B525" s="26"/>
      <c r="C525" s="8" t="s">
        <v>11</v>
      </c>
      <c r="D525" s="8" t="str">
        <f t="shared" si="1"/>
        <v>-</v>
      </c>
      <c r="E525" s="9" t="s">
        <v>11</v>
      </c>
      <c r="F525" s="10"/>
      <c r="G525" s="9"/>
      <c r="H525" s="26"/>
      <c r="I525" s="9" t="s">
        <v>13</v>
      </c>
      <c r="J525" s="55"/>
    </row>
    <row r="526">
      <c r="A526" s="54" t="s">
        <v>6247</v>
      </c>
      <c r="B526" s="26"/>
      <c r="C526" s="8" t="s">
        <v>11</v>
      </c>
      <c r="D526" s="8" t="str">
        <f t="shared" si="1"/>
        <v>-</v>
      </c>
      <c r="E526" s="9" t="s">
        <v>11</v>
      </c>
      <c r="F526" s="10"/>
      <c r="G526" s="9"/>
      <c r="H526" s="26"/>
      <c r="I526" s="9" t="s">
        <v>13</v>
      </c>
      <c r="J526" s="55"/>
    </row>
    <row r="527">
      <c r="A527" s="54" t="s">
        <v>6247</v>
      </c>
      <c r="B527" s="26"/>
      <c r="C527" s="8" t="s">
        <v>11</v>
      </c>
      <c r="D527" s="8" t="str">
        <f t="shared" si="1"/>
        <v>-</v>
      </c>
      <c r="E527" s="9" t="s">
        <v>11</v>
      </c>
      <c r="F527" s="10"/>
      <c r="G527" s="9"/>
      <c r="H527" s="26"/>
      <c r="I527" s="9" t="s">
        <v>13</v>
      </c>
      <c r="J527" s="55"/>
    </row>
    <row r="528">
      <c r="A528" s="54" t="s">
        <v>6247</v>
      </c>
      <c r="B528" s="26"/>
      <c r="C528" s="8" t="s">
        <v>11</v>
      </c>
      <c r="D528" s="8" t="str">
        <f t="shared" si="1"/>
        <v>-</v>
      </c>
      <c r="E528" s="9" t="s">
        <v>11</v>
      </c>
      <c r="F528" s="10"/>
      <c r="G528" s="9"/>
      <c r="H528" s="26"/>
      <c r="I528" s="9" t="s">
        <v>13</v>
      </c>
      <c r="J528" s="55"/>
    </row>
    <row r="529">
      <c r="A529" s="54" t="s">
        <v>6247</v>
      </c>
      <c r="B529" s="26"/>
      <c r="C529" s="8" t="s">
        <v>11</v>
      </c>
      <c r="D529" s="8" t="str">
        <f t="shared" si="1"/>
        <v>-</v>
      </c>
      <c r="E529" s="9" t="s">
        <v>11</v>
      </c>
      <c r="F529" s="10"/>
      <c r="G529" s="9"/>
      <c r="H529" s="26"/>
      <c r="I529" s="9" t="s">
        <v>13</v>
      </c>
      <c r="J529" s="55"/>
    </row>
    <row r="530">
      <c r="A530" s="54" t="s">
        <v>6247</v>
      </c>
      <c r="B530" s="26"/>
      <c r="C530" s="8" t="s">
        <v>11</v>
      </c>
      <c r="D530" s="8" t="str">
        <f t="shared" si="1"/>
        <v>-</v>
      </c>
      <c r="E530" s="9" t="s">
        <v>11</v>
      </c>
      <c r="F530" s="10"/>
      <c r="G530" s="9"/>
      <c r="H530" s="26"/>
      <c r="I530" s="9" t="s">
        <v>13</v>
      </c>
      <c r="J530" s="55"/>
    </row>
    <row r="531">
      <c r="A531" s="54" t="s">
        <v>6247</v>
      </c>
      <c r="B531" s="26"/>
      <c r="C531" s="8" t="s">
        <v>11</v>
      </c>
      <c r="D531" s="8" t="str">
        <f t="shared" si="1"/>
        <v>-</v>
      </c>
      <c r="E531" s="9" t="s">
        <v>11</v>
      </c>
      <c r="F531" s="10"/>
      <c r="G531" s="9"/>
      <c r="H531" s="26"/>
      <c r="I531" s="9" t="s">
        <v>13</v>
      </c>
      <c r="J531" s="55"/>
    </row>
    <row r="532">
      <c r="A532" s="54" t="s">
        <v>6247</v>
      </c>
      <c r="B532" s="26"/>
      <c r="C532" s="8" t="s">
        <v>11</v>
      </c>
      <c r="D532" s="8" t="str">
        <f t="shared" si="1"/>
        <v>-</v>
      </c>
      <c r="E532" s="9" t="s">
        <v>11</v>
      </c>
      <c r="F532" s="10"/>
      <c r="G532" s="9"/>
      <c r="H532" s="26"/>
      <c r="I532" s="9" t="s">
        <v>13</v>
      </c>
      <c r="J532" s="55"/>
    </row>
    <row r="533">
      <c r="A533" s="54" t="s">
        <v>6247</v>
      </c>
      <c r="B533" s="26"/>
      <c r="C533" s="8" t="s">
        <v>11</v>
      </c>
      <c r="D533" s="8" t="str">
        <f t="shared" si="1"/>
        <v>-</v>
      </c>
      <c r="E533" s="9" t="s">
        <v>11</v>
      </c>
      <c r="F533" s="10"/>
      <c r="G533" s="9"/>
      <c r="H533" s="26"/>
      <c r="I533" s="9" t="s">
        <v>13</v>
      </c>
      <c r="J533" s="55"/>
    </row>
    <row r="534">
      <c r="A534" s="54" t="s">
        <v>6247</v>
      </c>
      <c r="B534" s="26"/>
      <c r="C534" s="8" t="s">
        <v>11</v>
      </c>
      <c r="D534" s="8" t="str">
        <f t="shared" si="1"/>
        <v>-</v>
      </c>
      <c r="E534" s="9" t="s">
        <v>11</v>
      </c>
      <c r="F534" s="10"/>
      <c r="G534" s="9"/>
      <c r="H534" s="26"/>
      <c r="I534" s="9" t="s">
        <v>13</v>
      </c>
      <c r="J534" s="55"/>
    </row>
    <row r="535">
      <c r="A535" s="54" t="s">
        <v>6247</v>
      </c>
      <c r="B535" s="26"/>
      <c r="C535" s="8" t="s">
        <v>11</v>
      </c>
      <c r="D535" s="8" t="str">
        <f t="shared" si="1"/>
        <v>-</v>
      </c>
      <c r="E535" s="9" t="s">
        <v>11</v>
      </c>
      <c r="F535" s="10"/>
      <c r="G535" s="9"/>
      <c r="H535" s="26"/>
      <c r="I535" s="9" t="s">
        <v>13</v>
      </c>
      <c r="J535" s="55"/>
    </row>
    <row r="536">
      <c r="A536" s="54" t="s">
        <v>6247</v>
      </c>
      <c r="B536" s="26"/>
      <c r="C536" s="8" t="s">
        <v>11</v>
      </c>
      <c r="D536" s="8" t="str">
        <f t="shared" si="1"/>
        <v>-</v>
      </c>
      <c r="E536" s="9" t="s">
        <v>11</v>
      </c>
      <c r="F536" s="10"/>
      <c r="G536" s="9"/>
      <c r="H536" s="26"/>
      <c r="I536" s="9" t="s">
        <v>13</v>
      </c>
      <c r="J536" s="55"/>
    </row>
    <row r="537">
      <c r="A537" s="54" t="s">
        <v>6247</v>
      </c>
      <c r="B537" s="26"/>
      <c r="C537" s="8" t="s">
        <v>11</v>
      </c>
      <c r="D537" s="8" t="str">
        <f t="shared" si="1"/>
        <v>-</v>
      </c>
      <c r="E537" s="9" t="s">
        <v>11</v>
      </c>
      <c r="F537" s="10"/>
      <c r="G537" s="9"/>
      <c r="H537" s="26"/>
      <c r="I537" s="9" t="s">
        <v>13</v>
      </c>
      <c r="J537" s="55"/>
    </row>
    <row r="538">
      <c r="A538" s="54" t="s">
        <v>6247</v>
      </c>
      <c r="B538" s="26"/>
      <c r="C538" s="8" t="s">
        <v>11</v>
      </c>
      <c r="D538" s="8" t="str">
        <f t="shared" si="1"/>
        <v>-</v>
      </c>
      <c r="E538" s="9" t="s">
        <v>11</v>
      </c>
      <c r="F538" s="10"/>
      <c r="G538" s="9"/>
      <c r="H538" s="26"/>
      <c r="I538" s="9" t="s">
        <v>13</v>
      </c>
      <c r="J538" s="55"/>
    </row>
    <row r="539">
      <c r="A539" s="54" t="s">
        <v>6247</v>
      </c>
      <c r="B539" s="26"/>
      <c r="C539" s="8" t="s">
        <v>11</v>
      </c>
      <c r="D539" s="8" t="str">
        <f t="shared" si="1"/>
        <v>-</v>
      </c>
      <c r="E539" s="9" t="s">
        <v>11</v>
      </c>
      <c r="F539" s="10"/>
      <c r="G539" s="9"/>
      <c r="H539" s="26"/>
      <c r="I539" s="9" t="s">
        <v>13</v>
      </c>
      <c r="J539" s="55"/>
    </row>
    <row r="540">
      <c r="A540" s="54" t="s">
        <v>6247</v>
      </c>
      <c r="B540" s="26"/>
      <c r="C540" s="8" t="s">
        <v>11</v>
      </c>
      <c r="D540" s="8" t="str">
        <f t="shared" si="1"/>
        <v>-</v>
      </c>
      <c r="E540" s="9" t="s">
        <v>11</v>
      </c>
      <c r="F540" s="10"/>
      <c r="G540" s="9"/>
      <c r="H540" s="26"/>
      <c r="I540" s="9" t="s">
        <v>13</v>
      </c>
      <c r="J540" s="55"/>
    </row>
    <row r="541">
      <c r="A541" s="54" t="s">
        <v>6247</v>
      </c>
      <c r="B541" s="26"/>
      <c r="C541" s="8" t="s">
        <v>11</v>
      </c>
      <c r="D541" s="8" t="str">
        <f t="shared" si="1"/>
        <v>-</v>
      </c>
      <c r="E541" s="9" t="s">
        <v>11</v>
      </c>
      <c r="F541" s="10"/>
      <c r="G541" s="9"/>
      <c r="H541" s="26"/>
      <c r="I541" s="9" t="s">
        <v>13</v>
      </c>
      <c r="J541" s="55"/>
    </row>
    <row r="542">
      <c r="A542" s="54" t="s">
        <v>6247</v>
      </c>
      <c r="B542" s="26"/>
      <c r="C542" s="8" t="s">
        <v>11</v>
      </c>
      <c r="D542" s="8" t="str">
        <f t="shared" si="1"/>
        <v>-</v>
      </c>
      <c r="E542" s="9" t="s">
        <v>11</v>
      </c>
      <c r="F542" s="10"/>
      <c r="G542" s="9"/>
      <c r="H542" s="26"/>
      <c r="I542" s="9" t="s">
        <v>13</v>
      </c>
      <c r="J542" s="55"/>
    </row>
    <row r="543">
      <c r="A543" s="54" t="s">
        <v>6247</v>
      </c>
      <c r="B543" s="26"/>
      <c r="C543" s="8" t="s">
        <v>11</v>
      </c>
      <c r="D543" s="8" t="str">
        <f t="shared" si="1"/>
        <v>-</v>
      </c>
      <c r="E543" s="9" t="s">
        <v>11</v>
      </c>
      <c r="F543" s="10"/>
      <c r="G543" s="9"/>
      <c r="H543" s="26"/>
      <c r="I543" s="9" t="s">
        <v>13</v>
      </c>
      <c r="J543" s="55"/>
    </row>
    <row r="544">
      <c r="A544" s="54" t="s">
        <v>6247</v>
      </c>
      <c r="B544" s="26"/>
      <c r="C544" s="8" t="s">
        <v>11</v>
      </c>
      <c r="D544" s="8" t="str">
        <f t="shared" si="1"/>
        <v>-</v>
      </c>
      <c r="E544" s="9" t="s">
        <v>11</v>
      </c>
      <c r="F544" s="10"/>
      <c r="G544" s="9"/>
      <c r="H544" s="26"/>
      <c r="I544" s="9" t="s">
        <v>13</v>
      </c>
      <c r="J544" s="55"/>
    </row>
    <row r="545">
      <c r="A545" s="54" t="s">
        <v>6247</v>
      </c>
      <c r="B545" s="26"/>
      <c r="C545" s="8" t="s">
        <v>11</v>
      </c>
      <c r="D545" s="8" t="str">
        <f t="shared" si="1"/>
        <v>-</v>
      </c>
      <c r="E545" s="9" t="s">
        <v>11</v>
      </c>
      <c r="F545" s="10"/>
      <c r="G545" s="9"/>
      <c r="H545" s="26"/>
      <c r="I545" s="9" t="s">
        <v>13</v>
      </c>
      <c r="J545" s="55"/>
    </row>
    <row r="546">
      <c r="A546" s="54" t="s">
        <v>6247</v>
      </c>
      <c r="B546" s="26"/>
      <c r="C546" s="8" t="s">
        <v>11</v>
      </c>
      <c r="D546" s="8" t="str">
        <f t="shared" si="1"/>
        <v>-</v>
      </c>
      <c r="E546" s="9" t="s">
        <v>11</v>
      </c>
      <c r="F546" s="10"/>
      <c r="G546" s="9"/>
      <c r="H546" s="26"/>
      <c r="I546" s="9" t="s">
        <v>13</v>
      </c>
      <c r="J546" s="55"/>
    </row>
    <row r="547">
      <c r="A547" s="54" t="s">
        <v>6247</v>
      </c>
      <c r="B547" s="26"/>
      <c r="C547" s="8" t="s">
        <v>11</v>
      </c>
      <c r="D547" s="8" t="str">
        <f t="shared" si="1"/>
        <v>-</v>
      </c>
      <c r="E547" s="9" t="s">
        <v>11</v>
      </c>
      <c r="F547" s="10"/>
      <c r="G547" s="9"/>
      <c r="H547" s="26"/>
      <c r="I547" s="9" t="s">
        <v>13</v>
      </c>
      <c r="J547" s="55"/>
    </row>
    <row r="548">
      <c r="A548" s="54" t="s">
        <v>6247</v>
      </c>
      <c r="B548" s="26"/>
      <c r="C548" s="8" t="s">
        <v>11</v>
      </c>
      <c r="D548" s="8" t="str">
        <f t="shared" si="1"/>
        <v>-</v>
      </c>
      <c r="E548" s="9" t="s">
        <v>11</v>
      </c>
      <c r="F548" s="10"/>
      <c r="G548" s="9"/>
      <c r="H548" s="26"/>
      <c r="I548" s="9" t="s">
        <v>13</v>
      </c>
      <c r="J548" s="55"/>
    </row>
    <row r="549">
      <c r="A549" s="54" t="s">
        <v>6247</v>
      </c>
      <c r="B549" s="26"/>
      <c r="C549" s="8" t="s">
        <v>11</v>
      </c>
      <c r="D549" s="8" t="str">
        <f t="shared" si="1"/>
        <v>-</v>
      </c>
      <c r="E549" s="9" t="s">
        <v>11</v>
      </c>
      <c r="F549" s="10"/>
      <c r="G549" s="9"/>
      <c r="H549" s="26"/>
      <c r="I549" s="9" t="s">
        <v>13</v>
      </c>
      <c r="J549" s="55"/>
    </row>
    <row r="550">
      <c r="A550" s="54" t="s">
        <v>6247</v>
      </c>
      <c r="B550" s="26"/>
      <c r="C550" s="8" t="s">
        <v>11</v>
      </c>
      <c r="D550" s="8" t="str">
        <f t="shared" si="1"/>
        <v>-</v>
      </c>
      <c r="E550" s="9" t="s">
        <v>11</v>
      </c>
      <c r="F550" s="10"/>
      <c r="G550" s="9"/>
      <c r="H550" s="26"/>
      <c r="I550" s="9" t="s">
        <v>13</v>
      </c>
      <c r="J550" s="55"/>
    </row>
    <row r="551">
      <c r="A551" s="54" t="s">
        <v>6247</v>
      </c>
      <c r="B551" s="26"/>
      <c r="C551" s="8" t="s">
        <v>11</v>
      </c>
      <c r="D551" s="8" t="str">
        <f t="shared" si="1"/>
        <v>-</v>
      </c>
      <c r="E551" s="9" t="s">
        <v>11</v>
      </c>
      <c r="F551" s="10"/>
      <c r="G551" s="9"/>
      <c r="H551" s="26"/>
      <c r="I551" s="9" t="s">
        <v>13</v>
      </c>
      <c r="J551" s="55"/>
    </row>
    <row r="552">
      <c r="A552" s="54" t="s">
        <v>6247</v>
      </c>
      <c r="B552" s="26"/>
      <c r="C552" s="8" t="s">
        <v>11</v>
      </c>
      <c r="D552" s="8" t="str">
        <f t="shared" si="1"/>
        <v>-</v>
      </c>
      <c r="E552" s="9" t="s">
        <v>11</v>
      </c>
      <c r="F552" s="10"/>
      <c r="G552" s="9"/>
      <c r="H552" s="26"/>
      <c r="I552" s="9" t="s">
        <v>13</v>
      </c>
      <c r="J552" s="55"/>
    </row>
    <row r="553">
      <c r="A553" s="54" t="s">
        <v>6247</v>
      </c>
      <c r="B553" s="26"/>
      <c r="C553" s="8" t="s">
        <v>11</v>
      </c>
      <c r="D553" s="8" t="str">
        <f t="shared" si="1"/>
        <v>-</v>
      </c>
      <c r="E553" s="9" t="s">
        <v>11</v>
      </c>
      <c r="F553" s="10"/>
      <c r="G553" s="9"/>
      <c r="H553" s="26"/>
      <c r="I553" s="9" t="s">
        <v>13</v>
      </c>
      <c r="J553" s="55"/>
    </row>
    <row r="554">
      <c r="A554" s="54" t="s">
        <v>6247</v>
      </c>
      <c r="B554" s="26"/>
      <c r="C554" s="8" t="s">
        <v>11</v>
      </c>
      <c r="D554" s="8" t="str">
        <f t="shared" si="1"/>
        <v>-</v>
      </c>
      <c r="E554" s="9" t="s">
        <v>11</v>
      </c>
      <c r="F554" s="10"/>
      <c r="G554" s="9"/>
      <c r="H554" s="26"/>
      <c r="I554" s="9" t="s">
        <v>13</v>
      </c>
      <c r="J554" s="55"/>
    </row>
    <row r="555">
      <c r="A555" s="54" t="s">
        <v>6247</v>
      </c>
      <c r="B555" s="26"/>
      <c r="C555" s="8" t="s">
        <v>11</v>
      </c>
      <c r="D555" s="8" t="str">
        <f t="shared" si="1"/>
        <v>-</v>
      </c>
      <c r="E555" s="9" t="s">
        <v>11</v>
      </c>
      <c r="F555" s="10"/>
      <c r="G555" s="9"/>
      <c r="H555" s="26"/>
      <c r="I555" s="9" t="s">
        <v>13</v>
      </c>
      <c r="J555" s="55"/>
    </row>
    <row r="556">
      <c r="A556" s="54" t="s">
        <v>6247</v>
      </c>
      <c r="B556" s="26"/>
      <c r="C556" s="8" t="s">
        <v>11</v>
      </c>
      <c r="D556" s="8" t="str">
        <f t="shared" si="1"/>
        <v>-</v>
      </c>
      <c r="E556" s="9" t="s">
        <v>11</v>
      </c>
      <c r="F556" s="10"/>
      <c r="G556" s="9"/>
      <c r="H556" s="26"/>
      <c r="I556" s="9" t="s">
        <v>13</v>
      </c>
      <c r="J556" s="55"/>
    </row>
    <row r="557">
      <c r="A557" s="54" t="s">
        <v>6247</v>
      </c>
      <c r="B557" s="26"/>
      <c r="C557" s="8" t="s">
        <v>11</v>
      </c>
      <c r="D557" s="8" t="str">
        <f t="shared" si="1"/>
        <v>-</v>
      </c>
      <c r="E557" s="9" t="s">
        <v>11</v>
      </c>
      <c r="F557" s="10"/>
      <c r="G557" s="9"/>
      <c r="H557" s="26"/>
      <c r="I557" s="9" t="s">
        <v>13</v>
      </c>
      <c r="J557" s="55"/>
    </row>
    <row r="558">
      <c r="A558" s="54" t="s">
        <v>6247</v>
      </c>
      <c r="B558" s="26"/>
      <c r="C558" s="8" t="s">
        <v>11</v>
      </c>
      <c r="D558" s="8" t="str">
        <f t="shared" si="1"/>
        <v>-</v>
      </c>
      <c r="E558" s="9" t="s">
        <v>11</v>
      </c>
      <c r="F558" s="10"/>
      <c r="G558" s="9"/>
      <c r="H558" s="26"/>
      <c r="I558" s="9" t="s">
        <v>13</v>
      </c>
      <c r="J558" s="55"/>
    </row>
    <row r="559">
      <c r="A559" s="54" t="s">
        <v>6247</v>
      </c>
      <c r="B559" s="26"/>
      <c r="C559" s="8" t="s">
        <v>11</v>
      </c>
      <c r="D559" s="8" t="str">
        <f t="shared" si="1"/>
        <v>-</v>
      </c>
      <c r="E559" s="9" t="s">
        <v>11</v>
      </c>
      <c r="F559" s="10"/>
      <c r="G559" s="9"/>
      <c r="H559" s="26"/>
      <c r="I559" s="9" t="s">
        <v>13</v>
      </c>
      <c r="J559" s="55"/>
    </row>
    <row r="560">
      <c r="A560" s="54" t="s">
        <v>6247</v>
      </c>
      <c r="B560" s="26"/>
      <c r="C560" s="8" t="s">
        <v>11</v>
      </c>
      <c r="D560" s="8" t="str">
        <f t="shared" si="1"/>
        <v>-</v>
      </c>
      <c r="E560" s="9" t="s">
        <v>11</v>
      </c>
      <c r="F560" s="10"/>
      <c r="G560" s="9"/>
      <c r="H560" s="26"/>
      <c r="I560" s="9" t="s">
        <v>13</v>
      </c>
      <c r="J560" s="55"/>
    </row>
    <row r="561">
      <c r="A561" s="54" t="s">
        <v>6247</v>
      </c>
      <c r="B561" s="26"/>
      <c r="C561" s="8" t="s">
        <v>11</v>
      </c>
      <c r="D561" s="8" t="str">
        <f t="shared" si="1"/>
        <v>-</v>
      </c>
      <c r="E561" s="9" t="s">
        <v>11</v>
      </c>
      <c r="F561" s="10"/>
      <c r="G561" s="9"/>
      <c r="H561" s="26"/>
      <c r="I561" s="9" t="s">
        <v>13</v>
      </c>
      <c r="J561" s="55"/>
    </row>
    <row r="562">
      <c r="A562" s="54" t="s">
        <v>6247</v>
      </c>
      <c r="B562" s="26"/>
      <c r="C562" s="8" t="s">
        <v>11</v>
      </c>
      <c r="D562" s="8" t="str">
        <f t="shared" si="1"/>
        <v>-</v>
      </c>
      <c r="E562" s="9" t="s">
        <v>11</v>
      </c>
      <c r="F562" s="10"/>
      <c r="G562" s="9"/>
      <c r="H562" s="26"/>
      <c r="I562" s="9" t="s">
        <v>13</v>
      </c>
      <c r="J562" s="55"/>
    </row>
    <row r="563">
      <c r="A563" s="54" t="s">
        <v>6247</v>
      </c>
      <c r="B563" s="26"/>
      <c r="C563" s="8" t="s">
        <v>11</v>
      </c>
      <c r="D563" s="8" t="str">
        <f t="shared" si="1"/>
        <v>-</v>
      </c>
      <c r="E563" s="9" t="s">
        <v>11</v>
      </c>
      <c r="F563" s="10"/>
      <c r="G563" s="9"/>
      <c r="H563" s="26"/>
      <c r="I563" s="9" t="s">
        <v>13</v>
      </c>
      <c r="J563" s="55"/>
    </row>
    <row r="564">
      <c r="A564" s="54" t="s">
        <v>6247</v>
      </c>
      <c r="B564" s="26"/>
      <c r="C564" s="8" t="s">
        <v>11</v>
      </c>
      <c r="D564" s="8" t="str">
        <f t="shared" si="1"/>
        <v>-</v>
      </c>
      <c r="E564" s="9" t="s">
        <v>11</v>
      </c>
      <c r="F564" s="10"/>
      <c r="G564" s="9"/>
      <c r="H564" s="26"/>
      <c r="I564" s="9" t="s">
        <v>13</v>
      </c>
      <c r="J564" s="55"/>
    </row>
    <row r="565">
      <c r="A565" s="54" t="s">
        <v>6247</v>
      </c>
      <c r="B565" s="26"/>
      <c r="C565" s="8" t="s">
        <v>11</v>
      </c>
      <c r="D565" s="8" t="str">
        <f t="shared" si="1"/>
        <v>-</v>
      </c>
      <c r="E565" s="9" t="s">
        <v>11</v>
      </c>
      <c r="F565" s="10"/>
      <c r="G565" s="9"/>
      <c r="H565" s="26"/>
      <c r="I565" s="9" t="s">
        <v>13</v>
      </c>
      <c r="J565" s="55"/>
    </row>
    <row r="566">
      <c r="A566" s="54" t="s">
        <v>6247</v>
      </c>
      <c r="B566" s="26"/>
      <c r="C566" s="8" t="s">
        <v>11</v>
      </c>
      <c r="D566" s="8" t="str">
        <f t="shared" si="1"/>
        <v>-</v>
      </c>
      <c r="E566" s="9" t="s">
        <v>11</v>
      </c>
      <c r="F566" s="10"/>
      <c r="G566" s="9"/>
      <c r="H566" s="26"/>
      <c r="I566" s="9" t="s">
        <v>13</v>
      </c>
      <c r="J566" s="55"/>
    </row>
    <row r="567">
      <c r="A567" s="54" t="s">
        <v>6247</v>
      </c>
      <c r="B567" s="26"/>
      <c r="C567" s="8" t="s">
        <v>11</v>
      </c>
      <c r="D567" s="8" t="str">
        <f t="shared" si="1"/>
        <v>-</v>
      </c>
      <c r="E567" s="9" t="s">
        <v>11</v>
      </c>
      <c r="F567" s="10"/>
      <c r="G567" s="9"/>
      <c r="H567" s="26"/>
      <c r="I567" s="9" t="s">
        <v>13</v>
      </c>
      <c r="J567" s="55"/>
    </row>
    <row r="568">
      <c r="A568" s="54" t="s">
        <v>6247</v>
      </c>
      <c r="B568" s="26"/>
      <c r="C568" s="8" t="s">
        <v>11</v>
      </c>
      <c r="D568" s="8" t="str">
        <f t="shared" si="1"/>
        <v>-</v>
      </c>
      <c r="E568" s="9" t="s">
        <v>11</v>
      </c>
      <c r="F568" s="10"/>
      <c r="G568" s="9"/>
      <c r="H568" s="26"/>
      <c r="I568" s="9" t="s">
        <v>13</v>
      </c>
      <c r="J568" s="55"/>
    </row>
    <row r="569">
      <c r="A569" s="54" t="s">
        <v>6247</v>
      </c>
      <c r="B569" s="26"/>
      <c r="C569" s="8" t="s">
        <v>11</v>
      </c>
      <c r="D569" s="8" t="str">
        <f t="shared" si="1"/>
        <v>-</v>
      </c>
      <c r="E569" s="9" t="s">
        <v>11</v>
      </c>
      <c r="F569" s="10"/>
      <c r="G569" s="9"/>
      <c r="H569" s="26"/>
      <c r="I569" s="9" t="s">
        <v>13</v>
      </c>
      <c r="J569" s="55"/>
    </row>
    <row r="570">
      <c r="A570" s="54" t="s">
        <v>6247</v>
      </c>
      <c r="B570" s="26"/>
      <c r="C570" s="8" t="s">
        <v>11</v>
      </c>
      <c r="D570" s="8" t="str">
        <f t="shared" si="1"/>
        <v>-</v>
      </c>
      <c r="E570" s="9" t="s">
        <v>11</v>
      </c>
      <c r="F570" s="10"/>
      <c r="G570" s="9"/>
      <c r="H570" s="26"/>
      <c r="I570" s="9" t="s">
        <v>13</v>
      </c>
      <c r="J570" s="55"/>
    </row>
    <row r="571">
      <c r="A571" s="54" t="s">
        <v>6247</v>
      </c>
      <c r="B571" s="26"/>
      <c r="C571" s="8" t="s">
        <v>11</v>
      </c>
      <c r="D571" s="8" t="str">
        <f t="shared" si="1"/>
        <v>-</v>
      </c>
      <c r="E571" s="9" t="s">
        <v>11</v>
      </c>
      <c r="F571" s="10"/>
      <c r="G571" s="9"/>
      <c r="H571" s="26"/>
      <c r="I571" s="9" t="s">
        <v>13</v>
      </c>
      <c r="J571" s="55"/>
    </row>
    <row r="572">
      <c r="A572" s="54" t="s">
        <v>6247</v>
      </c>
      <c r="B572" s="26"/>
      <c r="C572" s="8" t="s">
        <v>11</v>
      </c>
      <c r="D572" s="8" t="str">
        <f t="shared" si="1"/>
        <v>-</v>
      </c>
      <c r="E572" s="9" t="s">
        <v>11</v>
      </c>
      <c r="F572" s="10"/>
      <c r="G572" s="9"/>
      <c r="H572" s="26"/>
      <c r="I572" s="9" t="s">
        <v>13</v>
      </c>
      <c r="J572" s="55"/>
    </row>
    <row r="573">
      <c r="A573" s="54" t="s">
        <v>6247</v>
      </c>
      <c r="B573" s="26"/>
      <c r="C573" s="8" t="s">
        <v>11</v>
      </c>
      <c r="D573" s="8" t="str">
        <f t="shared" si="1"/>
        <v>-</v>
      </c>
      <c r="E573" s="9" t="s">
        <v>11</v>
      </c>
      <c r="F573" s="10"/>
      <c r="G573" s="9"/>
      <c r="H573" s="26"/>
      <c r="I573" s="9" t="s">
        <v>13</v>
      </c>
      <c r="J573" s="55"/>
    </row>
    <row r="574">
      <c r="A574" s="54" t="s">
        <v>6247</v>
      </c>
      <c r="B574" s="26"/>
      <c r="C574" s="8" t="s">
        <v>11</v>
      </c>
      <c r="D574" s="8" t="str">
        <f t="shared" si="1"/>
        <v>-</v>
      </c>
      <c r="E574" s="9" t="s">
        <v>11</v>
      </c>
      <c r="F574" s="10"/>
      <c r="G574" s="9"/>
      <c r="H574" s="26"/>
      <c r="I574" s="9" t="s">
        <v>13</v>
      </c>
      <c r="J574" s="55"/>
    </row>
    <row r="575">
      <c r="A575" s="54" t="s">
        <v>6247</v>
      </c>
      <c r="B575" s="26"/>
      <c r="C575" s="8" t="s">
        <v>11</v>
      </c>
      <c r="D575" s="8" t="str">
        <f t="shared" si="1"/>
        <v>-</v>
      </c>
      <c r="E575" s="9" t="s">
        <v>11</v>
      </c>
      <c r="F575" s="10"/>
      <c r="G575" s="9"/>
      <c r="H575" s="26"/>
      <c r="I575" s="9" t="s">
        <v>13</v>
      </c>
      <c r="J575" s="55"/>
    </row>
    <row r="576">
      <c r="A576" s="54" t="s">
        <v>6247</v>
      </c>
      <c r="B576" s="26"/>
      <c r="C576" s="8" t="s">
        <v>11</v>
      </c>
      <c r="D576" s="8" t="str">
        <f t="shared" si="1"/>
        <v>-</v>
      </c>
      <c r="E576" s="9" t="s">
        <v>11</v>
      </c>
      <c r="F576" s="10"/>
      <c r="G576" s="9"/>
      <c r="H576" s="26"/>
      <c r="I576" s="9" t="s">
        <v>13</v>
      </c>
      <c r="J576" s="55"/>
    </row>
    <row r="577">
      <c r="A577" s="54" t="s">
        <v>6247</v>
      </c>
      <c r="B577" s="26"/>
      <c r="C577" s="8" t="s">
        <v>11</v>
      </c>
      <c r="D577" s="8" t="str">
        <f t="shared" si="1"/>
        <v>-</v>
      </c>
      <c r="E577" s="9" t="s">
        <v>11</v>
      </c>
      <c r="F577" s="10"/>
      <c r="G577" s="9"/>
      <c r="H577" s="26"/>
      <c r="I577" s="9" t="s">
        <v>13</v>
      </c>
      <c r="J577" s="55"/>
    </row>
    <row r="578">
      <c r="A578" s="54" t="s">
        <v>6247</v>
      </c>
      <c r="B578" s="26"/>
      <c r="C578" s="8" t="s">
        <v>11</v>
      </c>
      <c r="D578" s="8" t="str">
        <f t="shared" si="1"/>
        <v>-</v>
      </c>
      <c r="E578" s="9" t="s">
        <v>11</v>
      </c>
      <c r="F578" s="10"/>
      <c r="G578" s="9"/>
      <c r="H578" s="26"/>
      <c r="I578" s="9" t="s">
        <v>13</v>
      </c>
      <c r="J578" s="55"/>
    </row>
    <row r="579">
      <c r="A579" s="54" t="s">
        <v>6247</v>
      </c>
      <c r="B579" s="26"/>
      <c r="C579" s="8" t="s">
        <v>11</v>
      </c>
      <c r="D579" s="8" t="str">
        <f t="shared" si="1"/>
        <v>-</v>
      </c>
      <c r="E579" s="9" t="s">
        <v>11</v>
      </c>
      <c r="F579" s="10"/>
      <c r="G579" s="9"/>
      <c r="H579" s="26"/>
      <c r="I579" s="9" t="s">
        <v>13</v>
      </c>
      <c r="J579" s="55"/>
    </row>
    <row r="580">
      <c r="A580" s="54" t="s">
        <v>6247</v>
      </c>
      <c r="B580" s="26"/>
      <c r="C580" s="8" t="s">
        <v>11</v>
      </c>
      <c r="D580" s="8" t="str">
        <f t="shared" si="1"/>
        <v>-</v>
      </c>
      <c r="E580" s="9" t="s">
        <v>11</v>
      </c>
      <c r="F580" s="10"/>
      <c r="G580" s="9"/>
      <c r="H580" s="26"/>
      <c r="I580" s="9" t="s">
        <v>13</v>
      </c>
      <c r="J580" s="55"/>
    </row>
    <row r="581">
      <c r="A581" s="54" t="s">
        <v>6247</v>
      </c>
      <c r="B581" s="26"/>
      <c r="C581" s="8" t="s">
        <v>11</v>
      </c>
      <c r="D581" s="8" t="str">
        <f t="shared" si="1"/>
        <v>-</v>
      </c>
      <c r="E581" s="9" t="s">
        <v>11</v>
      </c>
      <c r="F581" s="10"/>
      <c r="G581" s="9"/>
      <c r="H581" s="26"/>
      <c r="I581" s="9" t="s">
        <v>13</v>
      </c>
      <c r="J581" s="55"/>
    </row>
    <row r="582">
      <c r="A582" s="54" t="s">
        <v>6247</v>
      </c>
      <c r="B582" s="26"/>
      <c r="C582" s="8" t="s">
        <v>11</v>
      </c>
      <c r="D582" s="8" t="str">
        <f t="shared" si="1"/>
        <v>-</v>
      </c>
      <c r="E582" s="9" t="s">
        <v>11</v>
      </c>
      <c r="F582" s="10"/>
      <c r="G582" s="9"/>
      <c r="H582" s="26"/>
      <c r="I582" s="9" t="s">
        <v>13</v>
      </c>
      <c r="J582" s="55"/>
    </row>
    <row r="583">
      <c r="A583" s="54" t="s">
        <v>6247</v>
      </c>
      <c r="B583" s="26"/>
      <c r="C583" s="8" t="s">
        <v>11</v>
      </c>
      <c r="D583" s="8" t="str">
        <f t="shared" si="1"/>
        <v>-</v>
      </c>
      <c r="E583" s="9" t="s">
        <v>11</v>
      </c>
      <c r="F583" s="10"/>
      <c r="G583" s="9"/>
      <c r="H583" s="26"/>
      <c r="I583" s="9" t="s">
        <v>13</v>
      </c>
      <c r="J583" s="55"/>
    </row>
    <row r="584">
      <c r="A584" s="54" t="s">
        <v>6247</v>
      </c>
      <c r="B584" s="26"/>
      <c r="C584" s="8" t="s">
        <v>11</v>
      </c>
      <c r="D584" s="8" t="str">
        <f t="shared" si="1"/>
        <v>-</v>
      </c>
      <c r="E584" s="9" t="s">
        <v>11</v>
      </c>
      <c r="F584" s="10"/>
      <c r="G584" s="9"/>
      <c r="H584" s="26"/>
      <c r="I584" s="9" t="s">
        <v>13</v>
      </c>
      <c r="J584" s="55"/>
    </row>
    <row r="585">
      <c r="A585" s="54" t="s">
        <v>6247</v>
      </c>
      <c r="B585" s="26"/>
      <c r="C585" s="8" t="s">
        <v>11</v>
      </c>
      <c r="D585" s="8" t="str">
        <f t="shared" si="1"/>
        <v>-</v>
      </c>
      <c r="E585" s="9" t="s">
        <v>11</v>
      </c>
      <c r="F585" s="10"/>
      <c r="G585" s="9"/>
      <c r="H585" s="26"/>
      <c r="I585" s="9" t="s">
        <v>13</v>
      </c>
      <c r="J585" s="55"/>
    </row>
    <row r="586">
      <c r="A586" s="54" t="s">
        <v>6247</v>
      </c>
      <c r="B586" s="26"/>
      <c r="C586" s="8" t="s">
        <v>11</v>
      </c>
      <c r="D586" s="8" t="str">
        <f t="shared" si="1"/>
        <v>-</v>
      </c>
      <c r="E586" s="9" t="s">
        <v>11</v>
      </c>
      <c r="F586" s="10"/>
      <c r="G586" s="9"/>
      <c r="H586" s="26"/>
      <c r="I586" s="9" t="s">
        <v>13</v>
      </c>
      <c r="J586" s="55"/>
    </row>
    <row r="587">
      <c r="A587" s="54" t="s">
        <v>6247</v>
      </c>
      <c r="B587" s="26"/>
      <c r="C587" s="8" t="s">
        <v>11</v>
      </c>
      <c r="D587" s="8" t="str">
        <f t="shared" si="1"/>
        <v>-</v>
      </c>
      <c r="E587" s="9" t="s">
        <v>11</v>
      </c>
      <c r="F587" s="10"/>
      <c r="G587" s="9"/>
      <c r="H587" s="26"/>
      <c r="I587" s="9" t="s">
        <v>13</v>
      </c>
      <c r="J587" s="55"/>
    </row>
    <row r="588">
      <c r="A588" s="54" t="s">
        <v>6247</v>
      </c>
      <c r="B588" s="26"/>
      <c r="C588" s="8" t="s">
        <v>11</v>
      </c>
      <c r="D588" s="8" t="str">
        <f t="shared" si="1"/>
        <v>-</v>
      </c>
      <c r="E588" s="9" t="s">
        <v>11</v>
      </c>
      <c r="F588" s="10"/>
      <c r="G588" s="9"/>
      <c r="H588" s="26"/>
      <c r="I588" s="9" t="s">
        <v>13</v>
      </c>
      <c r="J588" s="55"/>
    </row>
    <row r="589">
      <c r="A589" s="54" t="s">
        <v>6247</v>
      </c>
      <c r="B589" s="26"/>
      <c r="C589" s="8" t="s">
        <v>11</v>
      </c>
      <c r="D589" s="8" t="str">
        <f t="shared" si="1"/>
        <v>-</v>
      </c>
      <c r="E589" s="9" t="s">
        <v>11</v>
      </c>
      <c r="F589" s="10"/>
      <c r="G589" s="9"/>
      <c r="H589" s="26"/>
      <c r="I589" s="9" t="s">
        <v>13</v>
      </c>
      <c r="J589" s="55"/>
    </row>
    <row r="590">
      <c r="A590" s="54" t="s">
        <v>6247</v>
      </c>
      <c r="B590" s="26"/>
      <c r="C590" s="8" t="s">
        <v>11</v>
      </c>
      <c r="D590" s="8" t="str">
        <f t="shared" si="1"/>
        <v>-</v>
      </c>
      <c r="E590" s="9" t="s">
        <v>11</v>
      </c>
      <c r="F590" s="10"/>
      <c r="G590" s="9"/>
      <c r="H590" s="26"/>
      <c r="I590" s="9" t="s">
        <v>13</v>
      </c>
      <c r="J590" s="55"/>
    </row>
    <row r="591">
      <c r="A591" s="54" t="s">
        <v>6247</v>
      </c>
      <c r="B591" s="26"/>
      <c r="C591" s="8" t="s">
        <v>11</v>
      </c>
      <c r="D591" s="8" t="str">
        <f t="shared" si="1"/>
        <v>-</v>
      </c>
      <c r="E591" s="9" t="s">
        <v>11</v>
      </c>
      <c r="F591" s="10"/>
      <c r="G591" s="9"/>
      <c r="H591" s="26"/>
      <c r="I591" s="9" t="s">
        <v>13</v>
      </c>
      <c r="J591" s="55"/>
    </row>
    <row r="592">
      <c r="A592" s="54" t="s">
        <v>6247</v>
      </c>
      <c r="B592" s="26"/>
      <c r="C592" s="8" t="s">
        <v>11</v>
      </c>
      <c r="D592" s="8" t="str">
        <f t="shared" si="1"/>
        <v>-</v>
      </c>
      <c r="E592" s="9" t="s">
        <v>11</v>
      </c>
      <c r="F592" s="10"/>
      <c r="G592" s="9"/>
      <c r="H592" s="26"/>
      <c r="I592" s="9" t="s">
        <v>13</v>
      </c>
      <c r="J592" s="55"/>
    </row>
    <row r="593">
      <c r="A593" s="54" t="s">
        <v>6247</v>
      </c>
      <c r="B593" s="26"/>
      <c r="C593" s="8" t="s">
        <v>11</v>
      </c>
      <c r="D593" s="8" t="str">
        <f t="shared" si="1"/>
        <v>-</v>
      </c>
      <c r="E593" s="9" t="s">
        <v>11</v>
      </c>
      <c r="F593" s="10"/>
      <c r="G593" s="9"/>
      <c r="H593" s="26"/>
      <c r="I593" s="9" t="s">
        <v>13</v>
      </c>
      <c r="J593" s="55"/>
    </row>
    <row r="594">
      <c r="A594" s="54" t="s">
        <v>6247</v>
      </c>
      <c r="B594" s="26"/>
      <c r="C594" s="8" t="s">
        <v>11</v>
      </c>
      <c r="D594" s="8" t="str">
        <f t="shared" si="1"/>
        <v>-</v>
      </c>
      <c r="E594" s="9" t="s">
        <v>11</v>
      </c>
      <c r="F594" s="10"/>
      <c r="G594" s="9"/>
      <c r="H594" s="26"/>
      <c r="I594" s="9" t="s">
        <v>13</v>
      </c>
      <c r="J594" s="55"/>
    </row>
    <row r="595">
      <c r="A595" s="54" t="s">
        <v>6247</v>
      </c>
      <c r="B595" s="26"/>
      <c r="C595" s="8" t="s">
        <v>11</v>
      </c>
      <c r="D595" s="8" t="str">
        <f t="shared" si="1"/>
        <v>-</v>
      </c>
      <c r="E595" s="9" t="s">
        <v>11</v>
      </c>
      <c r="F595" s="10"/>
      <c r="G595" s="9"/>
      <c r="H595" s="26"/>
      <c r="I595" s="9" t="s">
        <v>13</v>
      </c>
      <c r="J595" s="55"/>
    </row>
    <row r="596">
      <c r="A596" s="54" t="s">
        <v>6247</v>
      </c>
      <c r="B596" s="26"/>
      <c r="C596" s="8" t="s">
        <v>11</v>
      </c>
      <c r="D596" s="8" t="str">
        <f t="shared" si="1"/>
        <v>-</v>
      </c>
      <c r="E596" s="9" t="s">
        <v>11</v>
      </c>
      <c r="F596" s="10"/>
      <c r="G596" s="9"/>
      <c r="H596" s="26"/>
      <c r="I596" s="9" t="s">
        <v>13</v>
      </c>
      <c r="J596" s="55"/>
    </row>
    <row r="597">
      <c r="A597" s="54" t="s">
        <v>6247</v>
      </c>
      <c r="B597" s="26"/>
      <c r="C597" s="8" t="s">
        <v>11</v>
      </c>
      <c r="D597" s="8" t="str">
        <f t="shared" si="1"/>
        <v>-</v>
      </c>
      <c r="E597" s="9" t="s">
        <v>11</v>
      </c>
      <c r="F597" s="10"/>
      <c r="G597" s="9"/>
      <c r="H597" s="26"/>
      <c r="I597" s="9" t="s">
        <v>13</v>
      </c>
      <c r="J597" s="55"/>
    </row>
    <row r="598">
      <c r="A598" s="54" t="s">
        <v>6247</v>
      </c>
      <c r="B598" s="26"/>
      <c r="C598" s="8" t="s">
        <v>11</v>
      </c>
      <c r="D598" s="8" t="str">
        <f t="shared" si="1"/>
        <v>-</v>
      </c>
      <c r="E598" s="9" t="s">
        <v>11</v>
      </c>
      <c r="F598" s="10"/>
      <c r="G598" s="9"/>
      <c r="H598" s="26"/>
      <c r="I598" s="9" t="s">
        <v>13</v>
      </c>
      <c r="J598" s="55"/>
    </row>
    <row r="599">
      <c r="A599" s="54" t="s">
        <v>6247</v>
      </c>
      <c r="B599" s="26"/>
      <c r="C599" s="8" t="s">
        <v>11</v>
      </c>
      <c r="D599" s="8" t="str">
        <f t="shared" si="1"/>
        <v>-</v>
      </c>
      <c r="E599" s="9" t="s">
        <v>11</v>
      </c>
      <c r="F599" s="10"/>
      <c r="G599" s="9"/>
      <c r="H599" s="26"/>
      <c r="I599" s="9" t="s">
        <v>13</v>
      </c>
      <c r="J599" s="55"/>
    </row>
    <row r="600">
      <c r="A600" s="54" t="s">
        <v>6247</v>
      </c>
      <c r="B600" s="26"/>
      <c r="C600" s="8" t="s">
        <v>11</v>
      </c>
      <c r="D600" s="8" t="str">
        <f t="shared" si="1"/>
        <v>-</v>
      </c>
      <c r="E600" s="9" t="s">
        <v>11</v>
      </c>
      <c r="F600" s="10"/>
      <c r="G600" s="9"/>
      <c r="H600" s="26"/>
      <c r="I600" s="9" t="s">
        <v>13</v>
      </c>
      <c r="J600" s="55"/>
    </row>
    <row r="601">
      <c r="A601" s="54" t="s">
        <v>6247</v>
      </c>
      <c r="B601" s="26"/>
      <c r="C601" s="8" t="s">
        <v>11</v>
      </c>
      <c r="D601" s="8" t="str">
        <f t="shared" si="1"/>
        <v>-</v>
      </c>
      <c r="E601" s="9" t="s">
        <v>11</v>
      </c>
      <c r="F601" s="10"/>
      <c r="G601" s="9"/>
      <c r="H601" s="26"/>
      <c r="I601" s="9" t="s">
        <v>13</v>
      </c>
      <c r="J601" s="55"/>
    </row>
    <row r="602">
      <c r="A602" s="54" t="s">
        <v>6247</v>
      </c>
      <c r="B602" s="26"/>
      <c r="C602" s="8" t="s">
        <v>11</v>
      </c>
      <c r="D602" s="8" t="str">
        <f t="shared" si="1"/>
        <v>-</v>
      </c>
      <c r="E602" s="9" t="s">
        <v>11</v>
      </c>
      <c r="F602" s="10"/>
      <c r="G602" s="9"/>
      <c r="H602" s="26"/>
      <c r="I602" s="9" t="s">
        <v>13</v>
      </c>
      <c r="J602" s="55"/>
    </row>
    <row r="603">
      <c r="A603" s="54" t="s">
        <v>6247</v>
      </c>
      <c r="B603" s="26"/>
      <c r="C603" s="8" t="s">
        <v>11</v>
      </c>
      <c r="D603" s="8" t="str">
        <f t="shared" si="1"/>
        <v>-</v>
      </c>
      <c r="E603" s="9" t="s">
        <v>11</v>
      </c>
      <c r="F603" s="10"/>
      <c r="G603" s="9"/>
      <c r="H603" s="26"/>
      <c r="I603" s="9" t="s">
        <v>13</v>
      </c>
      <c r="J603" s="55"/>
    </row>
    <row r="604">
      <c r="A604" s="54" t="s">
        <v>6247</v>
      </c>
      <c r="B604" s="26"/>
      <c r="C604" s="8" t="s">
        <v>11</v>
      </c>
      <c r="D604" s="8" t="str">
        <f t="shared" si="1"/>
        <v>-</v>
      </c>
      <c r="E604" s="9" t="s">
        <v>11</v>
      </c>
      <c r="F604" s="10"/>
      <c r="G604" s="9"/>
      <c r="H604" s="26"/>
      <c r="I604" s="9" t="s">
        <v>13</v>
      </c>
      <c r="J604" s="55"/>
    </row>
    <row r="605">
      <c r="A605" s="54" t="s">
        <v>6247</v>
      </c>
      <c r="B605" s="26"/>
      <c r="C605" s="8" t="s">
        <v>11</v>
      </c>
      <c r="D605" s="8" t="str">
        <f t="shared" si="1"/>
        <v>-</v>
      </c>
      <c r="E605" s="9" t="s">
        <v>11</v>
      </c>
      <c r="F605" s="10"/>
      <c r="G605" s="9"/>
      <c r="H605" s="26"/>
      <c r="I605" s="9" t="s">
        <v>13</v>
      </c>
      <c r="J605" s="55"/>
    </row>
    <row r="606">
      <c r="A606" s="54" t="s">
        <v>6247</v>
      </c>
      <c r="B606" s="26"/>
      <c r="C606" s="8" t="s">
        <v>11</v>
      </c>
      <c r="D606" s="8" t="str">
        <f t="shared" si="1"/>
        <v>-</v>
      </c>
      <c r="E606" s="9" t="s">
        <v>11</v>
      </c>
      <c r="F606" s="10"/>
      <c r="G606" s="9"/>
      <c r="H606" s="26"/>
      <c r="I606" s="9" t="s">
        <v>13</v>
      </c>
      <c r="J606" s="55"/>
    </row>
    <row r="607">
      <c r="A607" s="54" t="s">
        <v>6247</v>
      </c>
      <c r="B607" s="26"/>
      <c r="C607" s="8" t="s">
        <v>11</v>
      </c>
      <c r="D607" s="8" t="str">
        <f t="shared" si="1"/>
        <v>-</v>
      </c>
      <c r="E607" s="9" t="s">
        <v>11</v>
      </c>
      <c r="F607" s="10"/>
      <c r="G607" s="9"/>
      <c r="H607" s="26"/>
      <c r="I607" s="9" t="s">
        <v>13</v>
      </c>
      <c r="J607" s="55"/>
    </row>
    <row r="608">
      <c r="A608" s="54" t="s">
        <v>6247</v>
      </c>
      <c r="B608" s="26"/>
      <c r="C608" s="8" t="s">
        <v>11</v>
      </c>
      <c r="D608" s="8" t="str">
        <f t="shared" si="1"/>
        <v>-</v>
      </c>
      <c r="E608" s="9" t="s">
        <v>11</v>
      </c>
      <c r="F608" s="10"/>
      <c r="G608" s="9"/>
      <c r="H608" s="26"/>
      <c r="I608" s="9" t="s">
        <v>13</v>
      </c>
      <c r="J608" s="55"/>
    </row>
    <row r="609">
      <c r="A609" s="54" t="s">
        <v>6247</v>
      </c>
      <c r="B609" s="26"/>
      <c r="C609" s="8" t="s">
        <v>11</v>
      </c>
      <c r="D609" s="8" t="str">
        <f t="shared" si="1"/>
        <v>-</v>
      </c>
      <c r="E609" s="9" t="s">
        <v>11</v>
      </c>
      <c r="F609" s="10"/>
      <c r="G609" s="9"/>
      <c r="H609" s="26"/>
      <c r="I609" s="9" t="s">
        <v>13</v>
      </c>
      <c r="J609" s="55"/>
    </row>
    <row r="610">
      <c r="A610" s="54" t="s">
        <v>6247</v>
      </c>
      <c r="B610" s="26"/>
      <c r="C610" s="8" t="s">
        <v>11</v>
      </c>
      <c r="D610" s="8" t="str">
        <f t="shared" si="1"/>
        <v>-</v>
      </c>
      <c r="E610" s="9" t="s">
        <v>11</v>
      </c>
      <c r="F610" s="10"/>
      <c r="G610" s="9"/>
      <c r="H610" s="26"/>
      <c r="I610" s="9" t="s">
        <v>13</v>
      </c>
      <c r="J610" s="55"/>
    </row>
    <row r="611">
      <c r="A611" s="54" t="s">
        <v>6247</v>
      </c>
      <c r="B611" s="26"/>
      <c r="C611" s="8" t="s">
        <v>11</v>
      </c>
      <c r="D611" s="8" t="str">
        <f t="shared" si="1"/>
        <v>-</v>
      </c>
      <c r="E611" s="9" t="s">
        <v>11</v>
      </c>
      <c r="F611" s="10"/>
      <c r="G611" s="9"/>
      <c r="H611" s="26"/>
      <c r="I611" s="9" t="s">
        <v>13</v>
      </c>
      <c r="J611" s="55"/>
    </row>
    <row r="612">
      <c r="A612" s="54" t="s">
        <v>6247</v>
      </c>
      <c r="B612" s="26"/>
      <c r="C612" s="8" t="s">
        <v>11</v>
      </c>
      <c r="D612" s="8" t="str">
        <f t="shared" si="1"/>
        <v>-</v>
      </c>
      <c r="E612" s="9" t="s">
        <v>11</v>
      </c>
      <c r="F612" s="10"/>
      <c r="G612" s="9"/>
      <c r="H612" s="26"/>
      <c r="I612" s="9" t="s">
        <v>13</v>
      </c>
      <c r="J612" s="55"/>
    </row>
    <row r="613">
      <c r="A613" s="54" t="s">
        <v>6247</v>
      </c>
      <c r="B613" s="26"/>
      <c r="C613" s="8" t="s">
        <v>11</v>
      </c>
      <c r="D613" s="8" t="str">
        <f t="shared" si="1"/>
        <v>-</v>
      </c>
      <c r="E613" s="9" t="s">
        <v>11</v>
      </c>
      <c r="F613" s="10"/>
      <c r="G613" s="9"/>
      <c r="H613" s="26"/>
      <c r="I613" s="9" t="s">
        <v>13</v>
      </c>
      <c r="J613" s="55"/>
    </row>
    <row r="614">
      <c r="A614" s="54" t="s">
        <v>6247</v>
      </c>
      <c r="B614" s="26"/>
      <c r="C614" s="8" t="s">
        <v>11</v>
      </c>
      <c r="D614" s="8" t="str">
        <f t="shared" si="1"/>
        <v>-</v>
      </c>
      <c r="E614" s="9" t="s">
        <v>11</v>
      </c>
      <c r="F614" s="10"/>
      <c r="G614" s="9"/>
      <c r="H614" s="26"/>
      <c r="I614" s="9" t="s">
        <v>13</v>
      </c>
      <c r="J614" s="55"/>
    </row>
    <row r="615">
      <c r="A615" s="54" t="s">
        <v>6247</v>
      </c>
      <c r="B615" s="26"/>
      <c r="C615" s="8" t="s">
        <v>11</v>
      </c>
      <c r="D615" s="8" t="str">
        <f t="shared" si="1"/>
        <v>-</v>
      </c>
      <c r="E615" s="9" t="s">
        <v>11</v>
      </c>
      <c r="F615" s="10"/>
      <c r="G615" s="9"/>
      <c r="H615" s="26"/>
      <c r="I615" s="9" t="s">
        <v>13</v>
      </c>
      <c r="J615" s="55"/>
    </row>
    <row r="616">
      <c r="A616" s="54" t="s">
        <v>6247</v>
      </c>
      <c r="B616" s="26"/>
      <c r="C616" s="8" t="s">
        <v>11</v>
      </c>
      <c r="D616" s="8" t="str">
        <f t="shared" si="1"/>
        <v>-</v>
      </c>
      <c r="E616" s="9" t="s">
        <v>11</v>
      </c>
      <c r="F616" s="10"/>
      <c r="G616" s="9"/>
      <c r="H616" s="26"/>
      <c r="I616" s="9" t="s">
        <v>13</v>
      </c>
      <c r="J616" s="55"/>
    </row>
    <row r="617">
      <c r="A617" s="54" t="s">
        <v>6247</v>
      </c>
      <c r="B617" s="26"/>
      <c r="C617" s="8" t="s">
        <v>11</v>
      </c>
      <c r="D617" s="8" t="str">
        <f t="shared" si="1"/>
        <v>-</v>
      </c>
      <c r="E617" s="9" t="s">
        <v>11</v>
      </c>
      <c r="F617" s="10"/>
      <c r="G617" s="9"/>
      <c r="H617" s="26"/>
      <c r="I617" s="9" t="s">
        <v>13</v>
      </c>
      <c r="J617" s="55"/>
    </row>
    <row r="618">
      <c r="A618" s="54" t="s">
        <v>6247</v>
      </c>
      <c r="B618" s="26"/>
      <c r="C618" s="8" t="s">
        <v>11</v>
      </c>
      <c r="D618" s="8" t="str">
        <f t="shared" si="1"/>
        <v>-</v>
      </c>
      <c r="E618" s="9" t="s">
        <v>11</v>
      </c>
      <c r="F618" s="10"/>
      <c r="G618" s="9"/>
      <c r="H618" s="26"/>
      <c r="I618" s="9" t="s">
        <v>13</v>
      </c>
      <c r="J618" s="55"/>
    </row>
    <row r="619">
      <c r="A619" s="54" t="s">
        <v>6247</v>
      </c>
      <c r="B619" s="26"/>
      <c r="C619" s="8" t="s">
        <v>11</v>
      </c>
      <c r="D619" s="8" t="str">
        <f t="shared" si="1"/>
        <v>-</v>
      </c>
      <c r="E619" s="9" t="s">
        <v>11</v>
      </c>
      <c r="F619" s="10"/>
      <c r="G619" s="9"/>
      <c r="H619" s="26"/>
      <c r="I619" s="9" t="s">
        <v>13</v>
      </c>
      <c r="J619" s="55"/>
    </row>
    <row r="620">
      <c r="A620" s="54" t="s">
        <v>6247</v>
      </c>
      <c r="B620" s="26"/>
      <c r="C620" s="8" t="s">
        <v>11</v>
      </c>
      <c r="D620" s="8" t="str">
        <f t="shared" si="1"/>
        <v>-</v>
      </c>
      <c r="E620" s="9" t="s">
        <v>11</v>
      </c>
      <c r="F620" s="10"/>
      <c r="G620" s="9"/>
      <c r="H620" s="26"/>
      <c r="I620" s="9" t="s">
        <v>13</v>
      </c>
      <c r="J620" s="55"/>
    </row>
    <row r="621">
      <c r="A621" s="54" t="s">
        <v>6247</v>
      </c>
      <c r="B621" s="26"/>
      <c r="C621" s="8" t="s">
        <v>11</v>
      </c>
      <c r="D621" s="8" t="str">
        <f t="shared" si="1"/>
        <v>-</v>
      </c>
      <c r="E621" s="9" t="s">
        <v>11</v>
      </c>
      <c r="F621" s="10"/>
      <c r="G621" s="9"/>
      <c r="H621" s="26"/>
      <c r="I621" s="9" t="s">
        <v>13</v>
      </c>
      <c r="J621" s="55"/>
    </row>
    <row r="622">
      <c r="A622" s="54" t="s">
        <v>6247</v>
      </c>
      <c r="B622" s="26"/>
      <c r="C622" s="8" t="s">
        <v>11</v>
      </c>
      <c r="D622" s="8" t="str">
        <f t="shared" si="1"/>
        <v>-</v>
      </c>
      <c r="E622" s="9" t="s">
        <v>11</v>
      </c>
      <c r="F622" s="10"/>
      <c r="G622" s="9"/>
      <c r="H622" s="26"/>
      <c r="I622" s="9" t="s">
        <v>13</v>
      </c>
      <c r="J622" s="55"/>
    </row>
    <row r="623">
      <c r="A623" s="54" t="s">
        <v>6247</v>
      </c>
      <c r="B623" s="26"/>
      <c r="C623" s="8" t="s">
        <v>11</v>
      </c>
      <c r="D623" s="8" t="str">
        <f t="shared" si="1"/>
        <v>-</v>
      </c>
      <c r="E623" s="9" t="s">
        <v>11</v>
      </c>
      <c r="F623" s="10"/>
      <c r="G623" s="9"/>
      <c r="H623" s="26"/>
      <c r="I623" s="9" t="s">
        <v>13</v>
      </c>
      <c r="J623" s="55"/>
    </row>
    <row r="624">
      <c r="A624" s="54" t="s">
        <v>6247</v>
      </c>
      <c r="B624" s="26"/>
      <c r="C624" s="8" t="s">
        <v>11</v>
      </c>
      <c r="D624" s="8" t="str">
        <f t="shared" si="1"/>
        <v>-</v>
      </c>
      <c r="E624" s="9" t="s">
        <v>11</v>
      </c>
      <c r="F624" s="10"/>
      <c r="G624" s="9"/>
      <c r="H624" s="26"/>
      <c r="I624" s="9" t="s">
        <v>13</v>
      </c>
      <c r="J624" s="55"/>
    </row>
    <row r="625">
      <c r="A625" s="54" t="s">
        <v>6247</v>
      </c>
      <c r="B625" s="26"/>
      <c r="C625" s="8" t="s">
        <v>11</v>
      </c>
      <c r="D625" s="8" t="str">
        <f t="shared" si="1"/>
        <v>-</v>
      </c>
      <c r="E625" s="9" t="s">
        <v>11</v>
      </c>
      <c r="F625" s="10"/>
      <c r="G625" s="9"/>
      <c r="H625" s="26"/>
      <c r="I625" s="9" t="s">
        <v>13</v>
      </c>
      <c r="J625" s="55"/>
    </row>
    <row r="626">
      <c r="A626" s="54" t="s">
        <v>6247</v>
      </c>
      <c r="B626" s="26"/>
      <c r="C626" s="8" t="s">
        <v>11</v>
      </c>
      <c r="D626" s="8" t="str">
        <f t="shared" si="1"/>
        <v>-</v>
      </c>
      <c r="E626" s="9" t="s">
        <v>11</v>
      </c>
      <c r="F626" s="10"/>
      <c r="G626" s="9"/>
      <c r="H626" s="26"/>
      <c r="I626" s="9" t="s">
        <v>13</v>
      </c>
      <c r="J626" s="55"/>
    </row>
    <row r="627">
      <c r="A627" s="54" t="s">
        <v>6247</v>
      </c>
      <c r="B627" s="26"/>
      <c r="C627" s="8" t="s">
        <v>11</v>
      </c>
      <c r="D627" s="8" t="str">
        <f t="shared" si="1"/>
        <v>-</v>
      </c>
      <c r="E627" s="9" t="s">
        <v>11</v>
      </c>
      <c r="F627" s="10"/>
      <c r="G627" s="9"/>
      <c r="H627" s="26"/>
      <c r="I627" s="9" t="s">
        <v>13</v>
      </c>
      <c r="J627" s="55"/>
    </row>
    <row r="628">
      <c r="A628" s="54" t="s">
        <v>6247</v>
      </c>
      <c r="B628" s="26"/>
      <c r="C628" s="8" t="s">
        <v>11</v>
      </c>
      <c r="D628" s="8" t="str">
        <f t="shared" si="1"/>
        <v>-</v>
      </c>
      <c r="E628" s="9" t="s">
        <v>11</v>
      </c>
      <c r="F628" s="10"/>
      <c r="G628" s="9"/>
      <c r="H628" s="26"/>
      <c r="I628" s="9" t="s">
        <v>13</v>
      </c>
      <c r="J628" s="55"/>
    </row>
    <row r="629">
      <c r="A629" s="54" t="s">
        <v>6247</v>
      </c>
      <c r="B629" s="26"/>
      <c r="C629" s="8" t="s">
        <v>11</v>
      </c>
      <c r="D629" s="8" t="str">
        <f t="shared" si="1"/>
        <v>-</v>
      </c>
      <c r="E629" s="9" t="s">
        <v>11</v>
      </c>
      <c r="F629" s="10"/>
      <c r="G629" s="9"/>
      <c r="H629" s="26"/>
      <c r="I629" s="9" t="s">
        <v>13</v>
      </c>
      <c r="J629" s="55"/>
    </row>
    <row r="630">
      <c r="A630" s="54" t="s">
        <v>6247</v>
      </c>
      <c r="B630" s="26"/>
      <c r="C630" s="8" t="s">
        <v>11</v>
      </c>
      <c r="D630" s="8" t="str">
        <f t="shared" si="1"/>
        <v>-</v>
      </c>
      <c r="E630" s="9" t="s">
        <v>11</v>
      </c>
      <c r="F630" s="10"/>
      <c r="G630" s="9"/>
      <c r="H630" s="26"/>
      <c r="I630" s="9" t="s">
        <v>13</v>
      </c>
      <c r="J630" s="55"/>
    </row>
    <row r="631">
      <c r="A631" s="54" t="s">
        <v>6247</v>
      </c>
      <c r="B631" s="26"/>
      <c r="C631" s="8" t="s">
        <v>11</v>
      </c>
      <c r="D631" s="8" t="str">
        <f t="shared" si="1"/>
        <v>-</v>
      </c>
      <c r="E631" s="9" t="s">
        <v>11</v>
      </c>
      <c r="F631" s="10"/>
      <c r="G631" s="9"/>
      <c r="H631" s="26"/>
      <c r="I631" s="9" t="s">
        <v>13</v>
      </c>
      <c r="J631" s="55"/>
    </row>
    <row r="632">
      <c r="A632" s="54" t="s">
        <v>6247</v>
      </c>
      <c r="B632" s="26"/>
      <c r="C632" s="8" t="s">
        <v>11</v>
      </c>
      <c r="D632" s="8" t="str">
        <f t="shared" si="1"/>
        <v>-</v>
      </c>
      <c r="E632" s="9" t="s">
        <v>11</v>
      </c>
      <c r="F632" s="10"/>
      <c r="G632" s="9"/>
      <c r="H632" s="26"/>
      <c r="I632" s="9" t="s">
        <v>13</v>
      </c>
      <c r="J632" s="55"/>
    </row>
    <row r="633">
      <c r="A633" s="54" t="s">
        <v>6247</v>
      </c>
      <c r="B633" s="26"/>
      <c r="C633" s="8" t="s">
        <v>11</v>
      </c>
      <c r="D633" s="8" t="str">
        <f t="shared" si="1"/>
        <v>-</v>
      </c>
      <c r="E633" s="9" t="s">
        <v>11</v>
      </c>
      <c r="F633" s="10"/>
      <c r="G633" s="9"/>
      <c r="H633" s="26"/>
      <c r="I633" s="9" t="s">
        <v>13</v>
      </c>
      <c r="J633" s="55"/>
    </row>
    <row r="634">
      <c r="A634" s="54" t="s">
        <v>6247</v>
      </c>
      <c r="B634" s="26"/>
      <c r="C634" s="8" t="s">
        <v>11</v>
      </c>
      <c r="D634" s="8" t="str">
        <f t="shared" si="1"/>
        <v>-</v>
      </c>
      <c r="E634" s="9" t="s">
        <v>11</v>
      </c>
      <c r="F634" s="10"/>
      <c r="G634" s="9"/>
      <c r="H634" s="26"/>
      <c r="I634" s="9" t="s">
        <v>13</v>
      </c>
      <c r="J634" s="55"/>
    </row>
    <row r="635">
      <c r="A635" s="54" t="s">
        <v>6247</v>
      </c>
      <c r="B635" s="26"/>
      <c r="C635" s="8" t="s">
        <v>11</v>
      </c>
      <c r="D635" s="8" t="str">
        <f t="shared" si="1"/>
        <v>-</v>
      </c>
      <c r="E635" s="9" t="s">
        <v>11</v>
      </c>
      <c r="F635" s="10"/>
      <c r="G635" s="9"/>
      <c r="H635" s="26"/>
      <c r="I635" s="9" t="s">
        <v>13</v>
      </c>
      <c r="J635" s="55"/>
    </row>
    <row r="636">
      <c r="A636" s="54" t="s">
        <v>6247</v>
      </c>
      <c r="B636" s="26"/>
      <c r="C636" s="8" t="s">
        <v>11</v>
      </c>
      <c r="D636" s="8" t="str">
        <f t="shared" si="1"/>
        <v>-</v>
      </c>
      <c r="E636" s="9" t="s">
        <v>11</v>
      </c>
      <c r="F636" s="10"/>
      <c r="G636" s="9"/>
      <c r="H636" s="26"/>
      <c r="I636" s="9" t="s">
        <v>13</v>
      </c>
      <c r="J636" s="55"/>
    </row>
    <row r="637">
      <c r="A637" s="54" t="s">
        <v>6247</v>
      </c>
      <c r="B637" s="26"/>
      <c r="C637" s="8" t="s">
        <v>11</v>
      </c>
      <c r="D637" s="8" t="str">
        <f t="shared" si="1"/>
        <v>-</v>
      </c>
      <c r="E637" s="9" t="s">
        <v>11</v>
      </c>
      <c r="F637" s="10"/>
      <c r="G637" s="9"/>
      <c r="H637" s="26"/>
      <c r="I637" s="9" t="s">
        <v>13</v>
      </c>
      <c r="J637" s="55"/>
    </row>
    <row r="638">
      <c r="A638" s="54" t="s">
        <v>6247</v>
      </c>
      <c r="B638" s="26"/>
      <c r="C638" s="8" t="s">
        <v>11</v>
      </c>
      <c r="D638" s="8" t="str">
        <f t="shared" si="1"/>
        <v>-</v>
      </c>
      <c r="E638" s="9" t="s">
        <v>11</v>
      </c>
      <c r="F638" s="10"/>
      <c r="G638" s="9"/>
      <c r="H638" s="26"/>
      <c r="I638" s="9" t="s">
        <v>13</v>
      </c>
      <c r="J638" s="55"/>
    </row>
    <row r="639">
      <c r="A639" s="54" t="s">
        <v>6247</v>
      </c>
      <c r="B639" s="26"/>
      <c r="C639" s="8" t="s">
        <v>11</v>
      </c>
      <c r="D639" s="8" t="str">
        <f t="shared" si="1"/>
        <v>-</v>
      </c>
      <c r="E639" s="9" t="s">
        <v>11</v>
      </c>
      <c r="F639" s="10"/>
      <c r="G639" s="9"/>
      <c r="H639" s="26"/>
      <c r="I639" s="9" t="s">
        <v>13</v>
      </c>
      <c r="J639" s="55"/>
    </row>
    <row r="640">
      <c r="A640" s="54" t="s">
        <v>6247</v>
      </c>
      <c r="B640" s="26"/>
      <c r="C640" s="8" t="s">
        <v>11</v>
      </c>
      <c r="D640" s="8" t="str">
        <f t="shared" si="1"/>
        <v>-</v>
      </c>
      <c r="E640" s="9" t="s">
        <v>11</v>
      </c>
      <c r="F640" s="10"/>
      <c r="G640" s="9"/>
      <c r="H640" s="26"/>
      <c r="I640" s="9" t="s">
        <v>13</v>
      </c>
      <c r="J640" s="55"/>
    </row>
    <row r="641">
      <c r="A641" s="54" t="s">
        <v>6247</v>
      </c>
      <c r="B641" s="26"/>
      <c r="C641" s="8" t="s">
        <v>11</v>
      </c>
      <c r="D641" s="8" t="str">
        <f t="shared" si="1"/>
        <v>-</v>
      </c>
      <c r="E641" s="9" t="s">
        <v>11</v>
      </c>
      <c r="F641" s="10"/>
      <c r="G641" s="9"/>
      <c r="H641" s="26"/>
      <c r="I641" s="9" t="s">
        <v>13</v>
      </c>
      <c r="J641" s="55"/>
    </row>
    <row r="642">
      <c r="A642" s="54" t="s">
        <v>6247</v>
      </c>
      <c r="B642" s="26"/>
      <c r="C642" s="8" t="s">
        <v>11</v>
      </c>
      <c r="D642" s="8" t="str">
        <f t="shared" si="1"/>
        <v>-</v>
      </c>
      <c r="E642" s="9" t="s">
        <v>11</v>
      </c>
      <c r="F642" s="10"/>
      <c r="G642" s="9"/>
      <c r="H642" s="26"/>
      <c r="I642" s="9" t="s">
        <v>13</v>
      </c>
      <c r="J642" s="55"/>
    </row>
    <row r="643">
      <c r="A643" s="54" t="s">
        <v>6247</v>
      </c>
      <c r="B643" s="26"/>
      <c r="C643" s="8" t="s">
        <v>11</v>
      </c>
      <c r="D643" s="8" t="str">
        <f t="shared" si="1"/>
        <v>-</v>
      </c>
      <c r="E643" s="9" t="s">
        <v>11</v>
      </c>
      <c r="F643" s="10"/>
      <c r="G643" s="9"/>
      <c r="H643" s="26"/>
      <c r="I643" s="9" t="s">
        <v>13</v>
      </c>
      <c r="J643" s="55"/>
    </row>
    <row r="644">
      <c r="A644" s="54" t="s">
        <v>6247</v>
      </c>
      <c r="B644" s="26"/>
      <c r="C644" s="8" t="s">
        <v>11</v>
      </c>
      <c r="D644" s="8" t="str">
        <f t="shared" si="1"/>
        <v>-</v>
      </c>
      <c r="E644" s="9" t="s">
        <v>11</v>
      </c>
      <c r="F644" s="10"/>
      <c r="G644" s="9"/>
      <c r="H644" s="26"/>
      <c r="I644" s="9" t="s">
        <v>13</v>
      </c>
      <c r="J644" s="55"/>
    </row>
    <row r="645">
      <c r="A645" s="54" t="s">
        <v>6247</v>
      </c>
      <c r="B645" s="26"/>
      <c r="C645" s="8" t="s">
        <v>11</v>
      </c>
      <c r="D645" s="8" t="str">
        <f t="shared" si="1"/>
        <v>-</v>
      </c>
      <c r="E645" s="9" t="s">
        <v>11</v>
      </c>
      <c r="F645" s="10"/>
      <c r="G645" s="9"/>
      <c r="H645" s="26"/>
      <c r="I645" s="9" t="s">
        <v>13</v>
      </c>
      <c r="J645" s="55"/>
    </row>
    <row r="646">
      <c r="A646" s="54" t="s">
        <v>6247</v>
      </c>
      <c r="B646" s="26"/>
      <c r="C646" s="8" t="s">
        <v>11</v>
      </c>
      <c r="D646" s="8" t="str">
        <f t="shared" si="1"/>
        <v>-</v>
      </c>
      <c r="E646" s="9" t="s">
        <v>11</v>
      </c>
      <c r="F646" s="10"/>
      <c r="G646" s="9"/>
      <c r="H646" s="26"/>
      <c r="I646" s="9" t="s">
        <v>13</v>
      </c>
      <c r="J646" s="55"/>
    </row>
    <row r="647">
      <c r="A647" s="54" t="s">
        <v>6247</v>
      </c>
      <c r="B647" s="26"/>
      <c r="C647" s="8" t="s">
        <v>11</v>
      </c>
      <c r="D647" s="8" t="str">
        <f t="shared" si="1"/>
        <v>-</v>
      </c>
      <c r="E647" s="9" t="s">
        <v>11</v>
      </c>
      <c r="F647" s="10"/>
      <c r="G647" s="9"/>
      <c r="H647" s="26"/>
      <c r="I647" s="9" t="s">
        <v>13</v>
      </c>
      <c r="J647" s="55"/>
    </row>
    <row r="648">
      <c r="A648" s="54" t="s">
        <v>6247</v>
      </c>
      <c r="B648" s="26"/>
      <c r="C648" s="8" t="s">
        <v>11</v>
      </c>
      <c r="D648" s="8" t="str">
        <f t="shared" si="1"/>
        <v>-</v>
      </c>
      <c r="E648" s="9" t="s">
        <v>11</v>
      </c>
      <c r="F648" s="10"/>
      <c r="G648" s="9"/>
      <c r="H648" s="26"/>
      <c r="I648" s="9" t="s">
        <v>13</v>
      </c>
      <c r="J648" s="55"/>
    </row>
    <row r="649">
      <c r="A649" s="54" t="s">
        <v>6247</v>
      </c>
      <c r="B649" s="26"/>
      <c r="C649" s="8" t="s">
        <v>11</v>
      </c>
      <c r="D649" s="8" t="str">
        <f t="shared" si="1"/>
        <v>-</v>
      </c>
      <c r="E649" s="9" t="s">
        <v>11</v>
      </c>
      <c r="F649" s="10"/>
      <c r="G649" s="9"/>
      <c r="H649" s="26"/>
      <c r="I649" s="9" t="s">
        <v>13</v>
      </c>
      <c r="J649" s="55"/>
    </row>
    <row r="650">
      <c r="A650" s="54" t="s">
        <v>6247</v>
      </c>
      <c r="B650" s="26"/>
      <c r="C650" s="8" t="s">
        <v>11</v>
      </c>
      <c r="D650" s="8" t="str">
        <f t="shared" si="1"/>
        <v>-</v>
      </c>
      <c r="E650" s="9" t="s">
        <v>11</v>
      </c>
      <c r="F650" s="10"/>
      <c r="G650" s="9"/>
      <c r="H650" s="26"/>
      <c r="I650" s="9" t="s">
        <v>13</v>
      </c>
      <c r="J650" s="55"/>
    </row>
    <row r="651">
      <c r="A651" s="54" t="s">
        <v>6247</v>
      </c>
      <c r="B651" s="26"/>
      <c r="C651" s="8" t="s">
        <v>11</v>
      </c>
      <c r="D651" s="8" t="str">
        <f t="shared" si="1"/>
        <v>-</v>
      </c>
      <c r="E651" s="9" t="s">
        <v>11</v>
      </c>
      <c r="F651" s="10"/>
      <c r="G651" s="9"/>
      <c r="H651" s="26"/>
      <c r="I651" s="9" t="s">
        <v>13</v>
      </c>
      <c r="J651" s="55"/>
    </row>
    <row r="652">
      <c r="A652" s="54" t="s">
        <v>6247</v>
      </c>
      <c r="B652" s="26"/>
      <c r="C652" s="8" t="s">
        <v>11</v>
      </c>
      <c r="D652" s="8" t="str">
        <f t="shared" si="1"/>
        <v>-</v>
      </c>
      <c r="E652" s="9" t="s">
        <v>11</v>
      </c>
      <c r="F652" s="10"/>
      <c r="G652" s="9"/>
      <c r="H652" s="26"/>
      <c r="I652" s="9" t="s">
        <v>13</v>
      </c>
      <c r="J652" s="55"/>
    </row>
    <row r="653">
      <c r="A653" s="54" t="s">
        <v>6247</v>
      </c>
      <c r="B653" s="26"/>
      <c r="C653" s="8" t="s">
        <v>11</v>
      </c>
      <c r="D653" s="8" t="str">
        <f t="shared" si="1"/>
        <v>-</v>
      </c>
      <c r="E653" s="9" t="s">
        <v>11</v>
      </c>
      <c r="F653" s="10"/>
      <c r="G653" s="9"/>
      <c r="H653" s="26"/>
      <c r="I653" s="9" t="s">
        <v>13</v>
      </c>
      <c r="J653" s="55"/>
    </row>
    <row r="654">
      <c r="A654" s="54" t="s">
        <v>6247</v>
      </c>
      <c r="B654" s="26"/>
      <c r="C654" s="8" t="s">
        <v>11</v>
      </c>
      <c r="D654" s="8" t="str">
        <f t="shared" si="1"/>
        <v>-</v>
      </c>
      <c r="E654" s="9" t="s">
        <v>11</v>
      </c>
      <c r="F654" s="10"/>
      <c r="G654" s="9"/>
      <c r="H654" s="26"/>
      <c r="I654" s="9" t="s">
        <v>13</v>
      </c>
      <c r="J654" s="55"/>
    </row>
    <row r="655">
      <c r="A655" s="54" t="s">
        <v>6247</v>
      </c>
      <c r="B655" s="26"/>
      <c r="C655" s="8" t="s">
        <v>11</v>
      </c>
      <c r="D655" s="8" t="str">
        <f t="shared" si="1"/>
        <v>-</v>
      </c>
      <c r="E655" s="9" t="s">
        <v>11</v>
      </c>
      <c r="F655" s="10"/>
      <c r="G655" s="9"/>
      <c r="H655" s="26"/>
      <c r="I655" s="9" t="s">
        <v>13</v>
      </c>
      <c r="J655" s="55"/>
    </row>
    <row r="656">
      <c r="A656" s="54" t="s">
        <v>6247</v>
      </c>
      <c r="B656" s="26"/>
      <c r="C656" s="8" t="s">
        <v>11</v>
      </c>
      <c r="D656" s="8" t="str">
        <f t="shared" si="1"/>
        <v>-</v>
      </c>
      <c r="E656" s="9" t="s">
        <v>11</v>
      </c>
      <c r="F656" s="10"/>
      <c r="G656" s="9"/>
      <c r="H656" s="26"/>
      <c r="I656" s="9" t="s">
        <v>13</v>
      </c>
      <c r="J656" s="55"/>
    </row>
    <row r="657">
      <c r="A657" s="54" t="s">
        <v>6247</v>
      </c>
      <c r="B657" s="26"/>
      <c r="C657" s="8" t="s">
        <v>11</v>
      </c>
      <c r="D657" s="8" t="str">
        <f t="shared" si="1"/>
        <v>-</v>
      </c>
      <c r="E657" s="9" t="s">
        <v>11</v>
      </c>
      <c r="F657" s="10"/>
      <c r="G657" s="9"/>
      <c r="H657" s="26"/>
      <c r="I657" s="9" t="s">
        <v>13</v>
      </c>
      <c r="J657" s="55"/>
    </row>
    <row r="658">
      <c r="A658" s="54" t="s">
        <v>6247</v>
      </c>
      <c r="B658" s="26"/>
      <c r="C658" s="8" t="s">
        <v>11</v>
      </c>
      <c r="D658" s="8" t="str">
        <f t="shared" si="1"/>
        <v>-</v>
      </c>
      <c r="E658" s="9" t="s">
        <v>11</v>
      </c>
      <c r="F658" s="10"/>
      <c r="G658" s="9"/>
      <c r="H658" s="26"/>
      <c r="I658" s="9" t="s">
        <v>13</v>
      </c>
      <c r="J658" s="55"/>
    </row>
    <row r="659">
      <c r="A659" s="54" t="s">
        <v>6247</v>
      </c>
      <c r="B659" s="26"/>
      <c r="C659" s="8" t="s">
        <v>11</v>
      </c>
      <c r="D659" s="8" t="str">
        <f t="shared" si="1"/>
        <v>-</v>
      </c>
      <c r="E659" s="9" t="s">
        <v>11</v>
      </c>
      <c r="F659" s="10"/>
      <c r="G659" s="9"/>
      <c r="H659" s="26"/>
      <c r="I659" s="9" t="s">
        <v>13</v>
      </c>
      <c r="J659" s="55"/>
    </row>
    <row r="660">
      <c r="A660" s="54" t="s">
        <v>6247</v>
      </c>
      <c r="B660" s="26"/>
      <c r="C660" s="8" t="s">
        <v>11</v>
      </c>
      <c r="D660" s="8" t="str">
        <f t="shared" si="1"/>
        <v>-</v>
      </c>
      <c r="E660" s="9" t="s">
        <v>11</v>
      </c>
      <c r="F660" s="10"/>
      <c r="G660" s="9"/>
      <c r="H660" s="26"/>
      <c r="I660" s="9" t="s">
        <v>13</v>
      </c>
      <c r="J660" s="55"/>
    </row>
    <row r="661">
      <c r="A661" s="54" t="s">
        <v>6247</v>
      </c>
      <c r="B661" s="26"/>
      <c r="C661" s="8" t="s">
        <v>11</v>
      </c>
      <c r="D661" s="8" t="str">
        <f t="shared" si="1"/>
        <v>-</v>
      </c>
      <c r="E661" s="9" t="s">
        <v>11</v>
      </c>
      <c r="F661" s="10"/>
      <c r="G661" s="9"/>
      <c r="H661" s="26"/>
      <c r="I661" s="9" t="s">
        <v>13</v>
      </c>
      <c r="J661" s="55"/>
    </row>
    <row r="662">
      <c r="A662" s="54" t="s">
        <v>6247</v>
      </c>
      <c r="B662" s="26"/>
      <c r="C662" s="8" t="s">
        <v>11</v>
      </c>
      <c r="D662" s="8" t="str">
        <f t="shared" si="1"/>
        <v>-</v>
      </c>
      <c r="E662" s="9" t="s">
        <v>11</v>
      </c>
      <c r="F662" s="10"/>
      <c r="G662" s="9"/>
      <c r="H662" s="26"/>
      <c r="I662" s="9" t="s">
        <v>13</v>
      </c>
      <c r="J662" s="55"/>
    </row>
    <row r="663">
      <c r="A663" s="54" t="s">
        <v>6247</v>
      </c>
      <c r="B663" s="26"/>
      <c r="C663" s="8" t="s">
        <v>11</v>
      </c>
      <c r="D663" s="8" t="str">
        <f t="shared" si="1"/>
        <v>-</v>
      </c>
      <c r="E663" s="9" t="s">
        <v>11</v>
      </c>
      <c r="F663" s="10"/>
      <c r="G663" s="9"/>
      <c r="H663" s="26"/>
      <c r="I663" s="9" t="s">
        <v>13</v>
      </c>
      <c r="J663" s="55"/>
    </row>
    <row r="664">
      <c r="A664" s="54" t="s">
        <v>6247</v>
      </c>
      <c r="B664" s="26"/>
      <c r="C664" s="8" t="s">
        <v>11</v>
      </c>
      <c r="D664" s="8" t="str">
        <f t="shared" si="1"/>
        <v>-</v>
      </c>
      <c r="E664" s="9" t="s">
        <v>11</v>
      </c>
      <c r="F664" s="10"/>
      <c r="G664" s="9"/>
      <c r="H664" s="26"/>
      <c r="I664" s="9" t="s">
        <v>13</v>
      </c>
      <c r="J664" s="55"/>
    </row>
    <row r="665">
      <c r="A665" s="54" t="s">
        <v>6247</v>
      </c>
      <c r="B665" s="26"/>
      <c r="C665" s="8" t="s">
        <v>11</v>
      </c>
      <c r="D665" s="8" t="str">
        <f t="shared" si="1"/>
        <v>-</v>
      </c>
      <c r="E665" s="9" t="s">
        <v>11</v>
      </c>
      <c r="F665" s="10"/>
      <c r="G665" s="9"/>
      <c r="H665" s="26"/>
      <c r="I665" s="9" t="s">
        <v>13</v>
      </c>
      <c r="J665" s="55"/>
    </row>
    <row r="666">
      <c r="A666" s="54" t="s">
        <v>6247</v>
      </c>
      <c r="B666" s="26"/>
      <c r="C666" s="8" t="s">
        <v>11</v>
      </c>
      <c r="D666" s="8" t="str">
        <f t="shared" si="1"/>
        <v>-</v>
      </c>
      <c r="E666" s="9" t="s">
        <v>11</v>
      </c>
      <c r="F666" s="10"/>
      <c r="G666" s="9"/>
      <c r="H666" s="26"/>
      <c r="I666" s="9" t="s">
        <v>13</v>
      </c>
      <c r="J666" s="55"/>
    </row>
    <row r="667">
      <c r="A667" s="54" t="s">
        <v>6247</v>
      </c>
      <c r="B667" s="26"/>
      <c r="C667" s="8" t="s">
        <v>11</v>
      </c>
      <c r="D667" s="8" t="str">
        <f t="shared" si="1"/>
        <v>-</v>
      </c>
      <c r="E667" s="9" t="s">
        <v>11</v>
      </c>
      <c r="F667" s="10"/>
      <c r="G667" s="9"/>
      <c r="H667" s="26"/>
      <c r="I667" s="9" t="s">
        <v>13</v>
      </c>
      <c r="J667" s="55"/>
    </row>
    <row r="668">
      <c r="A668" s="54" t="s">
        <v>6247</v>
      </c>
      <c r="B668" s="26"/>
      <c r="C668" s="8" t="s">
        <v>11</v>
      </c>
      <c r="D668" s="8" t="str">
        <f t="shared" si="1"/>
        <v>-</v>
      </c>
      <c r="E668" s="9" t="s">
        <v>11</v>
      </c>
      <c r="F668" s="10"/>
      <c r="G668" s="9"/>
      <c r="H668" s="26"/>
      <c r="I668" s="9" t="s">
        <v>13</v>
      </c>
      <c r="J668" s="55"/>
    </row>
    <row r="669">
      <c r="A669" s="54" t="s">
        <v>6247</v>
      </c>
      <c r="B669" s="26"/>
      <c r="C669" s="8" t="s">
        <v>11</v>
      </c>
      <c r="D669" s="8" t="str">
        <f t="shared" si="1"/>
        <v>-</v>
      </c>
      <c r="E669" s="9" t="s">
        <v>11</v>
      </c>
      <c r="F669" s="10"/>
      <c r="G669" s="9"/>
      <c r="H669" s="26"/>
      <c r="I669" s="9" t="s">
        <v>13</v>
      </c>
      <c r="J669" s="55"/>
    </row>
    <row r="670">
      <c r="A670" s="54" t="s">
        <v>6247</v>
      </c>
      <c r="B670" s="26"/>
      <c r="C670" s="8" t="s">
        <v>11</v>
      </c>
      <c r="D670" s="8" t="str">
        <f t="shared" si="1"/>
        <v>-</v>
      </c>
      <c r="E670" s="9" t="s">
        <v>11</v>
      </c>
      <c r="F670" s="10"/>
      <c r="G670" s="9"/>
      <c r="H670" s="26"/>
      <c r="I670" s="9" t="s">
        <v>13</v>
      </c>
      <c r="J670" s="55"/>
    </row>
    <row r="671">
      <c r="A671" s="54" t="s">
        <v>6247</v>
      </c>
      <c r="B671" s="26"/>
      <c r="C671" s="8" t="s">
        <v>11</v>
      </c>
      <c r="D671" s="8" t="str">
        <f t="shared" si="1"/>
        <v>-</v>
      </c>
      <c r="E671" s="9" t="s">
        <v>11</v>
      </c>
      <c r="F671" s="10"/>
      <c r="G671" s="9"/>
      <c r="H671" s="26"/>
      <c r="I671" s="9" t="s">
        <v>13</v>
      </c>
      <c r="J671" s="55"/>
    </row>
    <row r="672">
      <c r="A672" s="54" t="s">
        <v>6247</v>
      </c>
      <c r="B672" s="26"/>
      <c r="C672" s="8" t="s">
        <v>11</v>
      </c>
      <c r="D672" s="8" t="str">
        <f t="shared" si="1"/>
        <v>-</v>
      </c>
      <c r="E672" s="9" t="s">
        <v>11</v>
      </c>
      <c r="F672" s="10"/>
      <c r="G672" s="9"/>
      <c r="H672" s="26"/>
      <c r="I672" s="9" t="s">
        <v>13</v>
      </c>
      <c r="J672" s="55"/>
    </row>
    <row r="673">
      <c r="A673" s="54" t="s">
        <v>6247</v>
      </c>
      <c r="B673" s="26"/>
      <c r="C673" s="8" t="s">
        <v>11</v>
      </c>
      <c r="D673" s="8" t="str">
        <f t="shared" si="1"/>
        <v>-</v>
      </c>
      <c r="E673" s="9" t="s">
        <v>11</v>
      </c>
      <c r="F673" s="10"/>
      <c r="G673" s="9"/>
      <c r="H673" s="26"/>
      <c r="I673" s="9" t="s">
        <v>13</v>
      </c>
      <c r="J673" s="55"/>
    </row>
    <row r="674">
      <c r="A674" s="54" t="s">
        <v>6247</v>
      </c>
      <c r="B674" s="26"/>
      <c r="C674" s="8" t="s">
        <v>11</v>
      </c>
      <c r="D674" s="8" t="str">
        <f t="shared" si="1"/>
        <v>-</v>
      </c>
      <c r="E674" s="9" t="s">
        <v>11</v>
      </c>
      <c r="F674" s="10"/>
      <c r="G674" s="9"/>
      <c r="H674" s="26"/>
      <c r="I674" s="9" t="s">
        <v>13</v>
      </c>
      <c r="J674" s="55"/>
    </row>
    <row r="675">
      <c r="A675" s="54" t="s">
        <v>6247</v>
      </c>
      <c r="B675" s="26"/>
      <c r="C675" s="8" t="s">
        <v>11</v>
      </c>
      <c r="D675" s="8" t="str">
        <f t="shared" si="1"/>
        <v>-</v>
      </c>
      <c r="E675" s="9" t="s">
        <v>11</v>
      </c>
      <c r="F675" s="10"/>
      <c r="G675" s="9"/>
      <c r="H675" s="26"/>
      <c r="I675" s="9" t="s">
        <v>13</v>
      </c>
      <c r="J675" s="55"/>
    </row>
    <row r="676">
      <c r="A676" s="54" t="s">
        <v>6247</v>
      </c>
      <c r="B676" s="26"/>
      <c r="C676" s="8" t="s">
        <v>11</v>
      </c>
      <c r="D676" s="8" t="str">
        <f t="shared" si="1"/>
        <v>-</v>
      </c>
      <c r="E676" s="9" t="s">
        <v>11</v>
      </c>
      <c r="F676" s="10"/>
      <c r="G676" s="9"/>
      <c r="H676" s="26"/>
      <c r="I676" s="9" t="s">
        <v>13</v>
      </c>
      <c r="J676" s="55"/>
    </row>
    <row r="677">
      <c r="A677" s="54" t="s">
        <v>6247</v>
      </c>
      <c r="B677" s="26"/>
      <c r="C677" s="8" t="s">
        <v>11</v>
      </c>
      <c r="D677" s="8" t="str">
        <f t="shared" si="1"/>
        <v>-</v>
      </c>
      <c r="E677" s="9" t="s">
        <v>11</v>
      </c>
      <c r="F677" s="10"/>
      <c r="G677" s="9"/>
      <c r="H677" s="26"/>
      <c r="I677" s="9" t="s">
        <v>13</v>
      </c>
      <c r="J677" s="55"/>
    </row>
    <row r="678">
      <c r="A678" s="54" t="s">
        <v>6247</v>
      </c>
      <c r="B678" s="26"/>
      <c r="C678" s="8" t="s">
        <v>11</v>
      </c>
      <c r="D678" s="8" t="str">
        <f t="shared" si="1"/>
        <v>-</v>
      </c>
      <c r="E678" s="9" t="s">
        <v>11</v>
      </c>
      <c r="F678" s="10"/>
      <c r="G678" s="9"/>
      <c r="H678" s="26"/>
      <c r="I678" s="9" t="s">
        <v>13</v>
      </c>
      <c r="J678" s="55"/>
    </row>
    <row r="679">
      <c r="A679" s="54" t="s">
        <v>6247</v>
      </c>
      <c r="B679" s="26"/>
      <c r="C679" s="8" t="s">
        <v>11</v>
      </c>
      <c r="D679" s="8" t="str">
        <f t="shared" si="1"/>
        <v>-</v>
      </c>
      <c r="E679" s="9" t="s">
        <v>11</v>
      </c>
      <c r="F679" s="10"/>
      <c r="G679" s="9"/>
      <c r="H679" s="26"/>
      <c r="I679" s="9" t="s">
        <v>13</v>
      </c>
      <c r="J679" s="55"/>
    </row>
    <row r="680">
      <c r="A680" s="54" t="s">
        <v>6247</v>
      </c>
      <c r="B680" s="26"/>
      <c r="C680" s="8" t="s">
        <v>11</v>
      </c>
      <c r="D680" s="8" t="str">
        <f t="shared" si="1"/>
        <v>-</v>
      </c>
      <c r="E680" s="9" t="s">
        <v>11</v>
      </c>
      <c r="F680" s="10"/>
      <c r="G680" s="9"/>
      <c r="H680" s="26"/>
      <c r="I680" s="9" t="s">
        <v>13</v>
      </c>
      <c r="J680" s="55"/>
    </row>
    <row r="681">
      <c r="A681" s="54" t="s">
        <v>6247</v>
      </c>
      <c r="B681" s="26"/>
      <c r="C681" s="8" t="s">
        <v>11</v>
      </c>
      <c r="D681" s="8" t="str">
        <f t="shared" si="1"/>
        <v>-</v>
      </c>
      <c r="E681" s="9" t="s">
        <v>11</v>
      </c>
      <c r="F681" s="10"/>
      <c r="G681" s="9"/>
      <c r="H681" s="26"/>
      <c r="I681" s="9" t="s">
        <v>13</v>
      </c>
      <c r="J681" s="55"/>
    </row>
    <row r="682">
      <c r="A682" s="54" t="s">
        <v>6247</v>
      </c>
      <c r="B682" s="26"/>
      <c r="C682" s="8" t="s">
        <v>11</v>
      </c>
      <c r="D682" s="8" t="str">
        <f t="shared" si="1"/>
        <v>-</v>
      </c>
      <c r="E682" s="9" t="s">
        <v>11</v>
      </c>
      <c r="F682" s="10"/>
      <c r="G682" s="9"/>
      <c r="H682" s="26"/>
      <c r="I682" s="9" t="s">
        <v>13</v>
      </c>
      <c r="J682" s="55"/>
    </row>
    <row r="683">
      <c r="A683" s="54" t="s">
        <v>6247</v>
      </c>
      <c r="B683" s="26"/>
      <c r="C683" s="8" t="s">
        <v>11</v>
      </c>
      <c r="D683" s="8" t="str">
        <f t="shared" si="1"/>
        <v>-</v>
      </c>
      <c r="E683" s="9" t="s">
        <v>11</v>
      </c>
      <c r="F683" s="10"/>
      <c r="G683" s="9"/>
      <c r="H683" s="26"/>
      <c r="I683" s="9" t="s">
        <v>13</v>
      </c>
      <c r="J683" s="55"/>
    </row>
    <row r="684">
      <c r="A684" s="54" t="s">
        <v>6247</v>
      </c>
      <c r="B684" s="26"/>
      <c r="C684" s="8" t="s">
        <v>11</v>
      </c>
      <c r="D684" s="8" t="str">
        <f t="shared" si="1"/>
        <v>-</v>
      </c>
      <c r="E684" s="9" t="s">
        <v>11</v>
      </c>
      <c r="F684" s="10"/>
      <c r="G684" s="9"/>
      <c r="H684" s="26"/>
      <c r="I684" s="9" t="s">
        <v>13</v>
      </c>
      <c r="J684" s="55"/>
    </row>
    <row r="685">
      <c r="A685" s="54" t="s">
        <v>6247</v>
      </c>
      <c r="B685" s="26"/>
      <c r="C685" s="8" t="s">
        <v>11</v>
      </c>
      <c r="D685" s="8" t="str">
        <f t="shared" si="1"/>
        <v>-</v>
      </c>
      <c r="E685" s="9" t="s">
        <v>11</v>
      </c>
      <c r="F685" s="10"/>
      <c r="G685" s="9"/>
      <c r="H685" s="26"/>
      <c r="I685" s="9" t="s">
        <v>13</v>
      </c>
      <c r="J685" s="55"/>
    </row>
    <row r="686">
      <c r="A686" s="54" t="s">
        <v>6247</v>
      </c>
      <c r="B686" s="26"/>
      <c r="C686" s="8" t="s">
        <v>11</v>
      </c>
      <c r="D686" s="8" t="str">
        <f t="shared" si="1"/>
        <v>-</v>
      </c>
      <c r="E686" s="9" t="s">
        <v>11</v>
      </c>
      <c r="F686" s="10"/>
      <c r="G686" s="9"/>
      <c r="H686" s="26"/>
      <c r="I686" s="9" t="s">
        <v>13</v>
      </c>
      <c r="J686" s="55"/>
    </row>
    <row r="687">
      <c r="A687" s="54" t="s">
        <v>6247</v>
      </c>
      <c r="B687" s="26"/>
      <c r="C687" s="8" t="s">
        <v>11</v>
      </c>
      <c r="D687" s="8" t="str">
        <f t="shared" si="1"/>
        <v>-</v>
      </c>
      <c r="E687" s="9" t="s">
        <v>11</v>
      </c>
      <c r="F687" s="10"/>
      <c r="G687" s="9"/>
      <c r="H687" s="26"/>
      <c r="I687" s="9" t="s">
        <v>13</v>
      </c>
      <c r="J687" s="55"/>
    </row>
    <row r="688">
      <c r="A688" s="54" t="s">
        <v>6247</v>
      </c>
      <c r="B688" s="26"/>
      <c r="C688" s="8" t="s">
        <v>11</v>
      </c>
      <c r="D688" s="8" t="str">
        <f t="shared" si="1"/>
        <v>-</v>
      </c>
      <c r="E688" s="9" t="s">
        <v>11</v>
      </c>
      <c r="F688" s="10"/>
      <c r="G688" s="9"/>
      <c r="H688" s="26"/>
      <c r="I688" s="9" t="s">
        <v>13</v>
      </c>
      <c r="J688" s="55"/>
    </row>
    <row r="689">
      <c r="A689" s="54" t="s">
        <v>6247</v>
      </c>
      <c r="B689" s="26"/>
      <c r="C689" s="8" t="s">
        <v>11</v>
      </c>
      <c r="D689" s="8" t="str">
        <f t="shared" si="1"/>
        <v>-</v>
      </c>
      <c r="E689" s="9" t="s">
        <v>11</v>
      </c>
      <c r="F689" s="10"/>
      <c r="G689" s="9"/>
      <c r="H689" s="26"/>
      <c r="I689" s="9" t="s">
        <v>13</v>
      </c>
      <c r="J689" s="55"/>
    </row>
    <row r="690">
      <c r="A690" s="54" t="s">
        <v>6247</v>
      </c>
      <c r="B690" s="26"/>
      <c r="C690" s="8" t="s">
        <v>11</v>
      </c>
      <c r="D690" s="8" t="str">
        <f t="shared" si="1"/>
        <v>-</v>
      </c>
      <c r="E690" s="9" t="s">
        <v>11</v>
      </c>
      <c r="F690" s="10"/>
      <c r="G690" s="9"/>
      <c r="H690" s="26"/>
      <c r="I690" s="9" t="s">
        <v>13</v>
      </c>
      <c r="J690" s="55"/>
    </row>
    <row r="691">
      <c r="A691" s="54" t="s">
        <v>6247</v>
      </c>
      <c r="B691" s="26"/>
      <c r="C691" s="8" t="s">
        <v>11</v>
      </c>
      <c r="D691" s="8" t="str">
        <f t="shared" si="1"/>
        <v>-</v>
      </c>
      <c r="E691" s="9" t="s">
        <v>11</v>
      </c>
      <c r="F691" s="10"/>
      <c r="G691" s="9"/>
      <c r="H691" s="26"/>
      <c r="I691" s="9" t="s">
        <v>13</v>
      </c>
      <c r="J691" s="55"/>
    </row>
    <row r="692">
      <c r="A692" s="54" t="s">
        <v>6247</v>
      </c>
      <c r="B692" s="26"/>
      <c r="C692" s="8" t="s">
        <v>11</v>
      </c>
      <c r="D692" s="8" t="str">
        <f t="shared" si="1"/>
        <v>-</v>
      </c>
      <c r="E692" s="9" t="s">
        <v>11</v>
      </c>
      <c r="F692" s="10"/>
      <c r="G692" s="9"/>
      <c r="H692" s="26"/>
      <c r="I692" s="9" t="s">
        <v>13</v>
      </c>
      <c r="J692" s="55"/>
    </row>
    <row r="693">
      <c r="A693" s="54" t="s">
        <v>6247</v>
      </c>
      <c r="B693" s="26"/>
      <c r="C693" s="8" t="s">
        <v>11</v>
      </c>
      <c r="D693" s="8" t="str">
        <f t="shared" si="1"/>
        <v>-</v>
      </c>
      <c r="E693" s="9" t="s">
        <v>11</v>
      </c>
      <c r="F693" s="10"/>
      <c r="G693" s="9"/>
      <c r="H693" s="26"/>
      <c r="I693" s="9" t="s">
        <v>13</v>
      </c>
      <c r="J693" s="55"/>
    </row>
    <row r="694">
      <c r="A694" s="54" t="s">
        <v>6247</v>
      </c>
      <c r="B694" s="26"/>
      <c r="C694" s="8" t="s">
        <v>11</v>
      </c>
      <c r="D694" s="8" t="str">
        <f t="shared" si="1"/>
        <v>-</v>
      </c>
      <c r="E694" s="9" t="s">
        <v>11</v>
      </c>
      <c r="F694" s="10"/>
      <c r="G694" s="9"/>
      <c r="H694" s="26"/>
      <c r="I694" s="9" t="s">
        <v>13</v>
      </c>
      <c r="J694" s="55"/>
    </row>
    <row r="695">
      <c r="A695" s="54" t="s">
        <v>6247</v>
      </c>
      <c r="B695" s="26"/>
      <c r="C695" s="8" t="s">
        <v>11</v>
      </c>
      <c r="D695" s="8" t="str">
        <f t="shared" si="1"/>
        <v>-</v>
      </c>
      <c r="E695" s="9" t="s">
        <v>11</v>
      </c>
      <c r="F695" s="10"/>
      <c r="G695" s="9"/>
      <c r="H695" s="26"/>
      <c r="I695" s="9" t="s">
        <v>13</v>
      </c>
      <c r="J695" s="55"/>
    </row>
    <row r="696">
      <c r="A696" s="54" t="s">
        <v>6247</v>
      </c>
      <c r="B696" s="26"/>
      <c r="C696" s="8" t="s">
        <v>11</v>
      </c>
      <c r="D696" s="8" t="str">
        <f t="shared" si="1"/>
        <v>-</v>
      </c>
      <c r="E696" s="9" t="s">
        <v>11</v>
      </c>
      <c r="F696" s="10"/>
      <c r="G696" s="9"/>
      <c r="H696" s="26"/>
      <c r="I696" s="9" t="s">
        <v>13</v>
      </c>
      <c r="J696" s="55"/>
    </row>
    <row r="697">
      <c r="A697" s="54" t="s">
        <v>6247</v>
      </c>
      <c r="B697" s="26"/>
      <c r="C697" s="8" t="s">
        <v>11</v>
      </c>
      <c r="D697" s="8" t="str">
        <f t="shared" si="1"/>
        <v>-</v>
      </c>
      <c r="E697" s="9" t="s">
        <v>11</v>
      </c>
      <c r="F697" s="10"/>
      <c r="G697" s="9"/>
      <c r="H697" s="26"/>
      <c r="I697" s="9" t="s">
        <v>13</v>
      </c>
      <c r="J697" s="55"/>
    </row>
    <row r="698">
      <c r="A698" s="54" t="s">
        <v>6247</v>
      </c>
      <c r="B698" s="26"/>
      <c r="C698" s="8" t="s">
        <v>11</v>
      </c>
      <c r="D698" s="8" t="str">
        <f t="shared" si="1"/>
        <v>-</v>
      </c>
      <c r="E698" s="9" t="s">
        <v>11</v>
      </c>
      <c r="F698" s="10"/>
      <c r="G698" s="9"/>
      <c r="H698" s="26"/>
      <c r="I698" s="9" t="s">
        <v>13</v>
      </c>
      <c r="J698" s="55"/>
    </row>
    <row r="699">
      <c r="A699" s="54" t="s">
        <v>6247</v>
      </c>
      <c r="B699" s="26"/>
      <c r="C699" s="8" t="s">
        <v>11</v>
      </c>
      <c r="D699" s="8" t="str">
        <f t="shared" si="1"/>
        <v>-</v>
      </c>
      <c r="E699" s="9" t="s">
        <v>11</v>
      </c>
      <c r="F699" s="10"/>
      <c r="G699" s="9"/>
      <c r="H699" s="26"/>
      <c r="I699" s="9" t="s">
        <v>13</v>
      </c>
      <c r="J699" s="55"/>
    </row>
    <row r="700">
      <c r="A700" s="54" t="s">
        <v>6247</v>
      </c>
      <c r="B700" s="26"/>
      <c r="C700" s="8" t="s">
        <v>11</v>
      </c>
      <c r="D700" s="8" t="str">
        <f t="shared" si="1"/>
        <v>-</v>
      </c>
      <c r="E700" s="9" t="s">
        <v>11</v>
      </c>
      <c r="F700" s="10"/>
      <c r="G700" s="9"/>
      <c r="H700" s="26"/>
      <c r="I700" s="9" t="s">
        <v>13</v>
      </c>
      <c r="J700" s="55"/>
    </row>
    <row r="701">
      <c r="A701" s="54" t="s">
        <v>6247</v>
      </c>
      <c r="B701" s="26"/>
      <c r="C701" s="8" t="s">
        <v>11</v>
      </c>
      <c r="D701" s="8" t="str">
        <f t="shared" si="1"/>
        <v>-</v>
      </c>
      <c r="E701" s="9" t="s">
        <v>11</v>
      </c>
      <c r="F701" s="10"/>
      <c r="G701" s="9"/>
      <c r="H701" s="26"/>
      <c r="I701" s="9" t="s">
        <v>13</v>
      </c>
      <c r="J701" s="55"/>
    </row>
    <row r="702">
      <c r="A702" s="54" t="s">
        <v>6247</v>
      </c>
      <c r="B702" s="26"/>
      <c r="C702" s="8" t="s">
        <v>11</v>
      </c>
      <c r="D702" s="8" t="str">
        <f t="shared" si="1"/>
        <v>-</v>
      </c>
      <c r="E702" s="9" t="s">
        <v>11</v>
      </c>
      <c r="F702" s="10"/>
      <c r="G702" s="9"/>
      <c r="H702" s="26"/>
      <c r="I702" s="9" t="s">
        <v>13</v>
      </c>
      <c r="J702" s="55"/>
    </row>
    <row r="703">
      <c r="A703" s="54" t="s">
        <v>6247</v>
      </c>
      <c r="B703" s="26"/>
      <c r="C703" s="8" t="s">
        <v>11</v>
      </c>
      <c r="D703" s="8" t="str">
        <f t="shared" si="1"/>
        <v>-</v>
      </c>
      <c r="E703" s="9" t="s">
        <v>11</v>
      </c>
      <c r="F703" s="10"/>
      <c r="G703" s="9"/>
      <c r="H703" s="26"/>
      <c r="I703" s="9" t="s">
        <v>13</v>
      </c>
      <c r="J703" s="55"/>
    </row>
    <row r="704">
      <c r="A704" s="54" t="s">
        <v>6247</v>
      </c>
      <c r="B704" s="26"/>
      <c r="C704" s="8" t="s">
        <v>11</v>
      </c>
      <c r="D704" s="8" t="str">
        <f t="shared" si="1"/>
        <v>-</v>
      </c>
      <c r="E704" s="9" t="s">
        <v>11</v>
      </c>
      <c r="F704" s="10"/>
      <c r="G704" s="9"/>
      <c r="H704" s="26"/>
      <c r="I704" s="9" t="s">
        <v>13</v>
      </c>
      <c r="J704" s="55"/>
    </row>
    <row r="705">
      <c r="A705" s="54" t="s">
        <v>6247</v>
      </c>
      <c r="B705" s="26"/>
      <c r="C705" s="8" t="s">
        <v>11</v>
      </c>
      <c r="D705" s="8" t="str">
        <f t="shared" si="1"/>
        <v>-</v>
      </c>
      <c r="E705" s="9" t="s">
        <v>11</v>
      </c>
      <c r="F705" s="10"/>
      <c r="G705" s="9"/>
      <c r="H705" s="26"/>
      <c r="I705" s="9" t="s">
        <v>13</v>
      </c>
      <c r="J705" s="55"/>
    </row>
    <row r="706">
      <c r="A706" s="54" t="s">
        <v>6247</v>
      </c>
      <c r="B706" s="26"/>
      <c r="C706" s="8" t="s">
        <v>11</v>
      </c>
      <c r="D706" s="8" t="str">
        <f t="shared" si="1"/>
        <v>-</v>
      </c>
      <c r="E706" s="9" t="s">
        <v>11</v>
      </c>
      <c r="F706" s="10"/>
      <c r="G706" s="9"/>
      <c r="H706" s="26"/>
      <c r="I706" s="9" t="s">
        <v>13</v>
      </c>
      <c r="J706" s="55"/>
    </row>
    <row r="707">
      <c r="A707" s="54" t="s">
        <v>6247</v>
      </c>
      <c r="B707" s="26"/>
      <c r="C707" s="8" t="s">
        <v>11</v>
      </c>
      <c r="D707" s="8" t="str">
        <f t="shared" si="1"/>
        <v>-</v>
      </c>
      <c r="E707" s="9" t="s">
        <v>11</v>
      </c>
      <c r="F707" s="10"/>
      <c r="G707" s="9"/>
      <c r="H707" s="26"/>
      <c r="I707" s="9" t="s">
        <v>13</v>
      </c>
      <c r="J707" s="55"/>
    </row>
    <row r="708">
      <c r="A708" s="54" t="s">
        <v>6247</v>
      </c>
      <c r="B708" s="26"/>
      <c r="C708" s="8" t="s">
        <v>11</v>
      </c>
      <c r="D708" s="8" t="str">
        <f t="shared" si="1"/>
        <v>-</v>
      </c>
      <c r="E708" s="9" t="s">
        <v>11</v>
      </c>
      <c r="F708" s="10"/>
      <c r="G708" s="9"/>
      <c r="H708" s="26"/>
      <c r="I708" s="9" t="s">
        <v>13</v>
      </c>
      <c r="J708" s="55"/>
    </row>
    <row r="709">
      <c r="A709" s="54" t="s">
        <v>6247</v>
      </c>
      <c r="B709" s="26"/>
      <c r="C709" s="8" t="s">
        <v>11</v>
      </c>
      <c r="D709" s="8" t="str">
        <f t="shared" si="1"/>
        <v>-</v>
      </c>
      <c r="E709" s="9" t="s">
        <v>11</v>
      </c>
      <c r="F709" s="10"/>
      <c r="G709" s="9"/>
      <c r="H709" s="26"/>
      <c r="I709" s="9" t="s">
        <v>13</v>
      </c>
      <c r="J709" s="55"/>
    </row>
    <row r="710">
      <c r="A710" s="54" t="s">
        <v>6247</v>
      </c>
      <c r="B710" s="26"/>
      <c r="C710" s="8" t="s">
        <v>11</v>
      </c>
      <c r="D710" s="8" t="str">
        <f t="shared" si="1"/>
        <v>-</v>
      </c>
      <c r="E710" s="9" t="s">
        <v>11</v>
      </c>
      <c r="F710" s="10"/>
      <c r="G710" s="9"/>
      <c r="H710" s="26"/>
      <c r="I710" s="9" t="s">
        <v>13</v>
      </c>
      <c r="J710" s="55"/>
    </row>
    <row r="711">
      <c r="A711" s="54" t="s">
        <v>6247</v>
      </c>
      <c r="B711" s="26"/>
      <c r="C711" s="8" t="s">
        <v>11</v>
      </c>
      <c r="D711" s="8" t="str">
        <f t="shared" si="1"/>
        <v>-</v>
      </c>
      <c r="E711" s="9" t="s">
        <v>11</v>
      </c>
      <c r="F711" s="10"/>
      <c r="G711" s="9"/>
      <c r="H711" s="26"/>
      <c r="I711" s="9" t="s">
        <v>13</v>
      </c>
      <c r="J711" s="55"/>
    </row>
    <row r="712">
      <c r="A712" s="54" t="s">
        <v>6247</v>
      </c>
      <c r="B712" s="26"/>
      <c r="C712" s="8" t="s">
        <v>11</v>
      </c>
      <c r="D712" s="8" t="str">
        <f t="shared" si="1"/>
        <v>-</v>
      </c>
      <c r="E712" s="9" t="s">
        <v>11</v>
      </c>
      <c r="F712" s="10"/>
      <c r="G712" s="9"/>
      <c r="H712" s="26"/>
      <c r="I712" s="9" t="s">
        <v>13</v>
      </c>
      <c r="J712" s="55"/>
    </row>
    <row r="713">
      <c r="A713" s="54" t="s">
        <v>6247</v>
      </c>
      <c r="B713" s="26"/>
      <c r="C713" s="8" t="s">
        <v>11</v>
      </c>
      <c r="D713" s="8" t="str">
        <f t="shared" si="1"/>
        <v>-</v>
      </c>
      <c r="E713" s="9" t="s">
        <v>11</v>
      </c>
      <c r="F713" s="10"/>
      <c r="G713" s="9"/>
      <c r="H713" s="26"/>
      <c r="I713" s="9" t="s">
        <v>13</v>
      </c>
      <c r="J713" s="55"/>
    </row>
    <row r="714">
      <c r="A714" s="54" t="s">
        <v>6247</v>
      </c>
      <c r="B714" s="26"/>
      <c r="C714" s="8" t="s">
        <v>11</v>
      </c>
      <c r="D714" s="8" t="str">
        <f t="shared" si="1"/>
        <v>-</v>
      </c>
      <c r="E714" s="9" t="s">
        <v>11</v>
      </c>
      <c r="F714" s="10"/>
      <c r="G714" s="9"/>
      <c r="H714" s="26"/>
      <c r="I714" s="9" t="s">
        <v>13</v>
      </c>
      <c r="J714" s="55"/>
    </row>
    <row r="715">
      <c r="A715" s="54" t="s">
        <v>6247</v>
      </c>
      <c r="B715" s="26"/>
      <c r="C715" s="8" t="s">
        <v>11</v>
      </c>
      <c r="D715" s="8" t="str">
        <f t="shared" si="1"/>
        <v>-</v>
      </c>
      <c r="E715" s="9" t="s">
        <v>11</v>
      </c>
      <c r="F715" s="10"/>
      <c r="G715" s="9"/>
      <c r="H715" s="26"/>
      <c r="I715" s="9" t="s">
        <v>13</v>
      </c>
      <c r="J715" s="55"/>
    </row>
    <row r="716">
      <c r="A716" s="54" t="s">
        <v>6247</v>
      </c>
      <c r="B716" s="26"/>
      <c r="C716" s="8" t="s">
        <v>11</v>
      </c>
      <c r="D716" s="8" t="str">
        <f t="shared" si="1"/>
        <v>-</v>
      </c>
      <c r="E716" s="9" t="s">
        <v>11</v>
      </c>
      <c r="F716" s="10"/>
      <c r="G716" s="9"/>
      <c r="H716" s="26"/>
      <c r="I716" s="9" t="s">
        <v>13</v>
      </c>
      <c r="J716" s="55"/>
    </row>
    <row r="717">
      <c r="A717" s="54" t="s">
        <v>6247</v>
      </c>
      <c r="B717" s="26"/>
      <c r="C717" s="8" t="s">
        <v>11</v>
      </c>
      <c r="D717" s="8" t="str">
        <f t="shared" si="1"/>
        <v>-</v>
      </c>
      <c r="E717" s="9" t="s">
        <v>11</v>
      </c>
      <c r="F717" s="10"/>
      <c r="G717" s="9"/>
      <c r="H717" s="26"/>
      <c r="I717" s="9" t="s">
        <v>13</v>
      </c>
      <c r="J717" s="55"/>
    </row>
    <row r="718">
      <c r="A718" s="54" t="s">
        <v>6247</v>
      </c>
      <c r="B718" s="26"/>
      <c r="C718" s="8" t="s">
        <v>11</v>
      </c>
      <c r="D718" s="8" t="str">
        <f t="shared" si="1"/>
        <v>-</v>
      </c>
      <c r="E718" s="9" t="s">
        <v>11</v>
      </c>
      <c r="F718" s="10"/>
      <c r="G718" s="9"/>
      <c r="H718" s="26"/>
      <c r="I718" s="9" t="s">
        <v>13</v>
      </c>
      <c r="J718" s="55"/>
    </row>
    <row r="719">
      <c r="A719" s="54" t="s">
        <v>6247</v>
      </c>
      <c r="B719" s="26"/>
      <c r="C719" s="8" t="s">
        <v>11</v>
      </c>
      <c r="D719" s="8" t="str">
        <f t="shared" si="1"/>
        <v>-</v>
      </c>
      <c r="E719" s="9" t="s">
        <v>11</v>
      </c>
      <c r="F719" s="10"/>
      <c r="G719" s="9"/>
      <c r="H719" s="26"/>
      <c r="I719" s="9" t="s">
        <v>13</v>
      </c>
      <c r="J719" s="55"/>
    </row>
    <row r="720">
      <c r="A720" s="54" t="s">
        <v>6247</v>
      </c>
      <c r="B720" s="26"/>
      <c r="C720" s="8" t="s">
        <v>11</v>
      </c>
      <c r="D720" s="8" t="str">
        <f t="shared" si="1"/>
        <v>-</v>
      </c>
      <c r="E720" s="9" t="s">
        <v>11</v>
      </c>
      <c r="F720" s="10"/>
      <c r="G720" s="9"/>
      <c r="H720" s="26"/>
      <c r="I720" s="9" t="s">
        <v>13</v>
      </c>
      <c r="J720" s="55"/>
    </row>
    <row r="721">
      <c r="A721" s="54" t="s">
        <v>6247</v>
      </c>
      <c r="B721" s="26"/>
      <c r="C721" s="8" t="s">
        <v>11</v>
      </c>
      <c r="D721" s="8" t="str">
        <f t="shared" si="1"/>
        <v>-</v>
      </c>
      <c r="E721" s="9" t="s">
        <v>11</v>
      </c>
      <c r="F721" s="10"/>
      <c r="G721" s="9"/>
      <c r="H721" s="26"/>
      <c r="I721" s="9" t="s">
        <v>13</v>
      </c>
      <c r="J721" s="55"/>
    </row>
    <row r="722">
      <c r="A722" s="54" t="s">
        <v>6247</v>
      </c>
      <c r="B722" s="26"/>
      <c r="C722" s="8" t="s">
        <v>11</v>
      </c>
      <c r="D722" s="8" t="str">
        <f t="shared" si="1"/>
        <v>-</v>
      </c>
      <c r="E722" s="9" t="s">
        <v>11</v>
      </c>
      <c r="F722" s="10"/>
      <c r="G722" s="9"/>
      <c r="H722" s="26"/>
      <c r="I722" s="9" t="s">
        <v>13</v>
      </c>
      <c r="J722" s="55"/>
    </row>
    <row r="723">
      <c r="A723" s="54" t="s">
        <v>6247</v>
      </c>
      <c r="B723" s="26"/>
      <c r="C723" s="8" t="s">
        <v>11</v>
      </c>
      <c r="D723" s="8" t="str">
        <f t="shared" si="1"/>
        <v>-</v>
      </c>
      <c r="E723" s="9" t="s">
        <v>11</v>
      </c>
      <c r="F723" s="10"/>
      <c r="G723" s="9"/>
      <c r="H723" s="26"/>
      <c r="I723" s="9" t="s">
        <v>13</v>
      </c>
      <c r="J723" s="55"/>
    </row>
    <row r="724">
      <c r="A724" s="54" t="s">
        <v>6247</v>
      </c>
      <c r="B724" s="26"/>
      <c r="C724" s="8" t="s">
        <v>11</v>
      </c>
      <c r="D724" s="8" t="str">
        <f t="shared" si="1"/>
        <v>-</v>
      </c>
      <c r="E724" s="9" t="s">
        <v>11</v>
      </c>
      <c r="F724" s="10"/>
      <c r="G724" s="9"/>
      <c r="H724" s="26"/>
      <c r="I724" s="9" t="s">
        <v>13</v>
      </c>
      <c r="J724" s="55"/>
    </row>
    <row r="725">
      <c r="A725" s="54" t="s">
        <v>6247</v>
      </c>
      <c r="B725" s="26"/>
      <c r="C725" s="8" t="s">
        <v>11</v>
      </c>
      <c r="D725" s="8" t="str">
        <f t="shared" si="1"/>
        <v>-</v>
      </c>
      <c r="E725" s="9" t="s">
        <v>11</v>
      </c>
      <c r="F725" s="10"/>
      <c r="G725" s="9"/>
      <c r="H725" s="26"/>
      <c r="I725" s="9" t="s">
        <v>13</v>
      </c>
      <c r="J725" s="55"/>
    </row>
    <row r="726">
      <c r="A726" s="54" t="s">
        <v>6247</v>
      </c>
      <c r="B726" s="26"/>
      <c r="C726" s="8" t="s">
        <v>11</v>
      </c>
      <c r="D726" s="8" t="str">
        <f t="shared" si="1"/>
        <v>-</v>
      </c>
      <c r="E726" s="9" t="s">
        <v>11</v>
      </c>
      <c r="F726" s="10"/>
      <c r="G726" s="9"/>
      <c r="H726" s="26"/>
      <c r="I726" s="9" t="s">
        <v>13</v>
      </c>
      <c r="J726" s="55"/>
    </row>
    <row r="727">
      <c r="A727" s="54" t="s">
        <v>6247</v>
      </c>
      <c r="B727" s="26"/>
      <c r="C727" s="8" t="s">
        <v>11</v>
      </c>
      <c r="D727" s="8" t="str">
        <f t="shared" si="1"/>
        <v>-</v>
      </c>
      <c r="E727" s="9" t="s">
        <v>11</v>
      </c>
      <c r="F727" s="10"/>
      <c r="G727" s="9"/>
      <c r="H727" s="26"/>
      <c r="I727" s="9" t="s">
        <v>13</v>
      </c>
      <c r="J727" s="55"/>
    </row>
    <row r="728">
      <c r="A728" s="54" t="s">
        <v>6247</v>
      </c>
      <c r="B728" s="26"/>
      <c r="C728" s="8" t="s">
        <v>11</v>
      </c>
      <c r="D728" s="8" t="str">
        <f t="shared" si="1"/>
        <v>-</v>
      </c>
      <c r="E728" s="9" t="s">
        <v>11</v>
      </c>
      <c r="F728" s="10"/>
      <c r="G728" s="9"/>
      <c r="H728" s="26"/>
      <c r="I728" s="9" t="s">
        <v>13</v>
      </c>
      <c r="J728" s="55"/>
    </row>
    <row r="729">
      <c r="A729" s="54" t="s">
        <v>6247</v>
      </c>
      <c r="B729" s="26"/>
      <c r="C729" s="8" t="s">
        <v>11</v>
      </c>
      <c r="D729" s="8" t="str">
        <f t="shared" si="1"/>
        <v>-</v>
      </c>
      <c r="E729" s="9" t="s">
        <v>11</v>
      </c>
      <c r="F729" s="10"/>
      <c r="G729" s="9"/>
      <c r="H729" s="26"/>
      <c r="I729" s="9" t="s">
        <v>13</v>
      </c>
      <c r="J729" s="55"/>
    </row>
    <row r="730">
      <c r="A730" s="54" t="s">
        <v>6247</v>
      </c>
      <c r="B730" s="26"/>
      <c r="C730" s="8" t="s">
        <v>11</v>
      </c>
      <c r="D730" s="8" t="str">
        <f t="shared" si="1"/>
        <v>-</v>
      </c>
      <c r="E730" s="9" t="s">
        <v>11</v>
      </c>
      <c r="F730" s="10"/>
      <c r="G730" s="9"/>
      <c r="H730" s="26"/>
      <c r="I730" s="9" t="s">
        <v>13</v>
      </c>
      <c r="J730" s="55"/>
    </row>
    <row r="731">
      <c r="A731" s="54" t="s">
        <v>6247</v>
      </c>
      <c r="B731" s="26"/>
      <c r="C731" s="8" t="s">
        <v>11</v>
      </c>
      <c r="D731" s="8" t="str">
        <f t="shared" si="1"/>
        <v>-</v>
      </c>
      <c r="E731" s="9" t="s">
        <v>11</v>
      </c>
      <c r="F731" s="10"/>
      <c r="G731" s="9"/>
      <c r="H731" s="26"/>
      <c r="I731" s="9" t="s">
        <v>13</v>
      </c>
      <c r="J731" s="55"/>
    </row>
    <row r="732">
      <c r="A732" s="54" t="s">
        <v>6247</v>
      </c>
      <c r="B732" s="26"/>
      <c r="C732" s="8" t="s">
        <v>11</v>
      </c>
      <c r="D732" s="8" t="str">
        <f t="shared" si="1"/>
        <v>-</v>
      </c>
      <c r="E732" s="9" t="s">
        <v>11</v>
      </c>
      <c r="F732" s="10"/>
      <c r="G732" s="9"/>
      <c r="H732" s="26"/>
      <c r="I732" s="9" t="s">
        <v>13</v>
      </c>
      <c r="J732" s="55"/>
    </row>
    <row r="733">
      <c r="A733" s="54" t="s">
        <v>6247</v>
      </c>
      <c r="B733" s="26"/>
      <c r="C733" s="8" t="s">
        <v>11</v>
      </c>
      <c r="D733" s="8" t="str">
        <f t="shared" si="1"/>
        <v>-</v>
      </c>
      <c r="E733" s="9" t="s">
        <v>11</v>
      </c>
      <c r="F733" s="10"/>
      <c r="G733" s="9"/>
      <c r="H733" s="26"/>
      <c r="I733" s="9" t="s">
        <v>13</v>
      </c>
      <c r="J733" s="55"/>
    </row>
    <row r="734">
      <c r="A734" s="54" t="s">
        <v>6247</v>
      </c>
      <c r="B734" s="26"/>
      <c r="C734" s="8" t="s">
        <v>11</v>
      </c>
      <c r="D734" s="8" t="str">
        <f t="shared" si="1"/>
        <v>-</v>
      </c>
      <c r="E734" s="9" t="s">
        <v>11</v>
      </c>
      <c r="F734" s="10"/>
      <c r="G734" s="9"/>
      <c r="H734" s="26"/>
      <c r="I734" s="9" t="s">
        <v>13</v>
      </c>
      <c r="J734" s="55"/>
    </row>
    <row r="735">
      <c r="A735" s="54" t="s">
        <v>6247</v>
      </c>
      <c r="B735" s="26"/>
      <c r="C735" s="8" t="s">
        <v>11</v>
      </c>
      <c r="D735" s="8" t="str">
        <f t="shared" si="1"/>
        <v>-</v>
      </c>
      <c r="E735" s="9" t="s">
        <v>11</v>
      </c>
      <c r="F735" s="10"/>
      <c r="G735" s="9"/>
      <c r="H735" s="26"/>
      <c r="I735" s="9" t="s">
        <v>13</v>
      </c>
      <c r="J735" s="55"/>
    </row>
    <row r="736">
      <c r="A736" s="54" t="s">
        <v>6247</v>
      </c>
      <c r="B736" s="26"/>
      <c r="C736" s="8" t="s">
        <v>11</v>
      </c>
      <c r="D736" s="8" t="str">
        <f t="shared" si="1"/>
        <v>-</v>
      </c>
      <c r="E736" s="9" t="s">
        <v>11</v>
      </c>
      <c r="F736" s="10"/>
      <c r="G736" s="9"/>
      <c r="H736" s="26"/>
      <c r="I736" s="9" t="s">
        <v>13</v>
      </c>
      <c r="J736" s="55"/>
    </row>
    <row r="737">
      <c r="A737" s="54" t="s">
        <v>6247</v>
      </c>
      <c r="B737" s="26"/>
      <c r="C737" s="8" t="s">
        <v>11</v>
      </c>
      <c r="D737" s="8" t="str">
        <f t="shared" si="1"/>
        <v>-</v>
      </c>
      <c r="E737" s="9" t="s">
        <v>11</v>
      </c>
      <c r="F737" s="10"/>
      <c r="G737" s="9"/>
      <c r="H737" s="26"/>
      <c r="I737" s="9" t="s">
        <v>13</v>
      </c>
      <c r="J737" s="55"/>
    </row>
    <row r="738">
      <c r="A738" s="54" t="s">
        <v>6247</v>
      </c>
      <c r="B738" s="26"/>
      <c r="C738" s="8" t="s">
        <v>11</v>
      </c>
      <c r="D738" s="8" t="str">
        <f t="shared" si="1"/>
        <v>-</v>
      </c>
      <c r="E738" s="9" t="s">
        <v>11</v>
      </c>
      <c r="F738" s="10"/>
      <c r="G738" s="9"/>
      <c r="H738" s="26"/>
      <c r="I738" s="9" t="s">
        <v>13</v>
      </c>
      <c r="J738" s="55"/>
    </row>
    <row r="739">
      <c r="A739" s="54" t="s">
        <v>6247</v>
      </c>
      <c r="B739" s="26"/>
      <c r="C739" s="8" t="s">
        <v>11</v>
      </c>
      <c r="D739" s="8" t="str">
        <f t="shared" si="1"/>
        <v>-</v>
      </c>
      <c r="E739" s="9" t="s">
        <v>11</v>
      </c>
      <c r="F739" s="10"/>
      <c r="G739" s="9"/>
      <c r="H739" s="26"/>
      <c r="I739" s="9" t="s">
        <v>13</v>
      </c>
      <c r="J739" s="55"/>
    </row>
    <row r="740">
      <c r="A740" s="54" t="s">
        <v>6247</v>
      </c>
      <c r="B740" s="26"/>
      <c r="C740" s="8" t="s">
        <v>11</v>
      </c>
      <c r="D740" s="8" t="str">
        <f t="shared" si="1"/>
        <v>-</v>
      </c>
      <c r="E740" s="9" t="s">
        <v>11</v>
      </c>
      <c r="F740" s="10"/>
      <c r="G740" s="9"/>
      <c r="H740" s="26"/>
      <c r="I740" s="9" t="s">
        <v>13</v>
      </c>
      <c r="J740" s="55"/>
    </row>
    <row r="741">
      <c r="A741" s="54" t="s">
        <v>6247</v>
      </c>
      <c r="B741" s="26"/>
      <c r="C741" s="8" t="s">
        <v>11</v>
      </c>
      <c r="D741" s="8" t="str">
        <f t="shared" si="1"/>
        <v>-</v>
      </c>
      <c r="E741" s="9" t="s">
        <v>11</v>
      </c>
      <c r="F741" s="10"/>
      <c r="G741" s="9"/>
      <c r="H741" s="26"/>
      <c r="I741" s="9" t="s">
        <v>13</v>
      </c>
      <c r="J741" s="55"/>
    </row>
    <row r="742">
      <c r="A742" s="54" t="s">
        <v>6247</v>
      </c>
      <c r="B742" s="26"/>
      <c r="C742" s="8" t="s">
        <v>11</v>
      </c>
      <c r="D742" s="8" t="str">
        <f t="shared" si="1"/>
        <v>-</v>
      </c>
      <c r="E742" s="9" t="s">
        <v>11</v>
      </c>
      <c r="F742" s="10"/>
      <c r="G742" s="9"/>
      <c r="H742" s="26"/>
      <c r="I742" s="9" t="s">
        <v>13</v>
      </c>
      <c r="J742" s="55"/>
    </row>
    <row r="743">
      <c r="A743" s="54" t="s">
        <v>6247</v>
      </c>
      <c r="B743" s="26"/>
      <c r="C743" s="8" t="s">
        <v>11</v>
      </c>
      <c r="D743" s="8" t="str">
        <f t="shared" si="1"/>
        <v>-</v>
      </c>
      <c r="E743" s="9" t="s">
        <v>11</v>
      </c>
      <c r="F743" s="10"/>
      <c r="G743" s="9"/>
      <c r="H743" s="26"/>
      <c r="I743" s="9" t="s">
        <v>13</v>
      </c>
      <c r="J743" s="55"/>
    </row>
    <row r="744">
      <c r="A744" s="54" t="s">
        <v>6247</v>
      </c>
      <c r="B744" s="26"/>
      <c r="C744" s="8" t="s">
        <v>11</v>
      </c>
      <c r="D744" s="8" t="str">
        <f t="shared" si="1"/>
        <v>-</v>
      </c>
      <c r="E744" s="9" t="s">
        <v>11</v>
      </c>
      <c r="F744" s="10"/>
      <c r="G744" s="9"/>
      <c r="H744" s="26"/>
      <c r="I744" s="9" t="s">
        <v>13</v>
      </c>
      <c r="J744" s="55"/>
    </row>
    <row r="745">
      <c r="A745" s="54" t="s">
        <v>6247</v>
      </c>
      <c r="B745" s="26"/>
      <c r="C745" s="8" t="s">
        <v>11</v>
      </c>
      <c r="D745" s="8" t="str">
        <f t="shared" si="1"/>
        <v>-</v>
      </c>
      <c r="E745" s="9" t="s">
        <v>11</v>
      </c>
      <c r="F745" s="10"/>
      <c r="G745" s="9"/>
      <c r="H745" s="26"/>
      <c r="I745" s="9" t="s">
        <v>13</v>
      </c>
      <c r="J745" s="55"/>
    </row>
    <row r="746">
      <c r="A746" s="54" t="s">
        <v>6247</v>
      </c>
      <c r="B746" s="26"/>
      <c r="C746" s="8" t="s">
        <v>11</v>
      </c>
      <c r="D746" s="8" t="str">
        <f t="shared" si="1"/>
        <v>-</v>
      </c>
      <c r="E746" s="9" t="s">
        <v>11</v>
      </c>
      <c r="F746" s="10"/>
      <c r="G746" s="9"/>
      <c r="H746" s="26"/>
      <c r="I746" s="9" t="s">
        <v>13</v>
      </c>
      <c r="J746" s="55"/>
    </row>
    <row r="747">
      <c r="A747" s="54" t="s">
        <v>6247</v>
      </c>
      <c r="B747" s="26"/>
      <c r="C747" s="8" t="s">
        <v>11</v>
      </c>
      <c r="D747" s="8" t="str">
        <f t="shared" si="1"/>
        <v>-</v>
      </c>
      <c r="E747" s="9" t="s">
        <v>11</v>
      </c>
      <c r="F747" s="10"/>
      <c r="G747" s="9"/>
      <c r="H747" s="26"/>
      <c r="I747" s="9" t="s">
        <v>13</v>
      </c>
      <c r="J747" s="55"/>
    </row>
    <row r="748">
      <c r="A748" s="54" t="s">
        <v>6247</v>
      </c>
      <c r="B748" s="26"/>
      <c r="C748" s="8" t="s">
        <v>11</v>
      </c>
      <c r="D748" s="8" t="str">
        <f t="shared" si="1"/>
        <v>-</v>
      </c>
      <c r="E748" s="9" t="s">
        <v>11</v>
      </c>
      <c r="F748" s="10"/>
      <c r="G748" s="9"/>
      <c r="H748" s="26"/>
      <c r="I748" s="9" t="s">
        <v>13</v>
      </c>
      <c r="J748" s="55"/>
    </row>
    <row r="749">
      <c r="A749" s="54" t="s">
        <v>6247</v>
      </c>
      <c r="B749" s="26"/>
      <c r="C749" s="8" t="s">
        <v>11</v>
      </c>
      <c r="D749" s="8" t="str">
        <f t="shared" si="1"/>
        <v>-</v>
      </c>
      <c r="E749" s="9" t="s">
        <v>11</v>
      </c>
      <c r="F749" s="10"/>
      <c r="G749" s="9"/>
      <c r="H749" s="26"/>
      <c r="I749" s="9" t="s">
        <v>13</v>
      </c>
      <c r="J749" s="55"/>
    </row>
    <row r="750">
      <c r="A750" s="54" t="s">
        <v>6247</v>
      </c>
      <c r="B750" s="26"/>
      <c r="C750" s="8" t="s">
        <v>11</v>
      </c>
      <c r="D750" s="8" t="str">
        <f t="shared" si="1"/>
        <v>-</v>
      </c>
      <c r="E750" s="9" t="s">
        <v>11</v>
      </c>
      <c r="F750" s="10"/>
      <c r="G750" s="9"/>
      <c r="H750" s="26"/>
      <c r="I750" s="9" t="s">
        <v>13</v>
      </c>
      <c r="J750" s="55"/>
    </row>
    <row r="751">
      <c r="A751" s="54" t="s">
        <v>6247</v>
      </c>
      <c r="B751" s="26"/>
      <c r="C751" s="8" t="s">
        <v>11</v>
      </c>
      <c r="D751" s="8" t="str">
        <f t="shared" si="1"/>
        <v>-</v>
      </c>
      <c r="E751" s="9" t="s">
        <v>11</v>
      </c>
      <c r="F751" s="10"/>
      <c r="G751" s="9"/>
      <c r="H751" s="26"/>
      <c r="I751" s="9" t="s">
        <v>13</v>
      </c>
      <c r="J751" s="55"/>
    </row>
    <row r="752">
      <c r="A752" s="54" t="s">
        <v>6247</v>
      </c>
      <c r="B752" s="26"/>
      <c r="C752" s="8" t="s">
        <v>11</v>
      </c>
      <c r="D752" s="8" t="str">
        <f t="shared" si="1"/>
        <v>-</v>
      </c>
      <c r="E752" s="9" t="s">
        <v>11</v>
      </c>
      <c r="F752" s="10"/>
      <c r="G752" s="9"/>
      <c r="H752" s="26"/>
      <c r="I752" s="9" t="s">
        <v>13</v>
      </c>
      <c r="J752" s="55"/>
    </row>
    <row r="753">
      <c r="A753" s="54" t="s">
        <v>6247</v>
      </c>
      <c r="B753" s="26"/>
      <c r="C753" s="8" t="s">
        <v>11</v>
      </c>
      <c r="D753" s="8" t="str">
        <f t="shared" si="1"/>
        <v>-</v>
      </c>
      <c r="E753" s="9" t="s">
        <v>11</v>
      </c>
      <c r="F753" s="10"/>
      <c r="G753" s="9"/>
      <c r="H753" s="26"/>
      <c r="I753" s="9" t="s">
        <v>13</v>
      </c>
      <c r="J753" s="55"/>
    </row>
    <row r="754">
      <c r="A754" s="54" t="s">
        <v>6247</v>
      </c>
      <c r="B754" s="26"/>
      <c r="C754" s="8" t="s">
        <v>11</v>
      </c>
      <c r="D754" s="8" t="str">
        <f t="shared" si="1"/>
        <v>-</v>
      </c>
      <c r="E754" s="9" t="s">
        <v>11</v>
      </c>
      <c r="F754" s="10"/>
      <c r="G754" s="9"/>
      <c r="H754" s="26"/>
      <c r="I754" s="9" t="s">
        <v>13</v>
      </c>
      <c r="J754" s="55"/>
    </row>
    <row r="755">
      <c r="A755" s="54" t="s">
        <v>6247</v>
      </c>
      <c r="B755" s="26"/>
      <c r="C755" s="8" t="s">
        <v>11</v>
      </c>
      <c r="D755" s="8" t="str">
        <f t="shared" si="1"/>
        <v>-</v>
      </c>
      <c r="E755" s="9" t="s">
        <v>11</v>
      </c>
      <c r="F755" s="10"/>
      <c r="G755" s="9"/>
      <c r="H755" s="26"/>
      <c r="I755" s="9" t="s">
        <v>13</v>
      </c>
      <c r="J755" s="55"/>
    </row>
    <row r="756">
      <c r="A756" s="54" t="s">
        <v>6247</v>
      </c>
      <c r="B756" s="26"/>
      <c r="C756" s="8" t="s">
        <v>11</v>
      </c>
      <c r="D756" s="8" t="str">
        <f t="shared" si="1"/>
        <v>-</v>
      </c>
      <c r="E756" s="9" t="s">
        <v>11</v>
      </c>
      <c r="F756" s="10"/>
      <c r="G756" s="9"/>
      <c r="H756" s="26"/>
      <c r="I756" s="9" t="s">
        <v>13</v>
      </c>
      <c r="J756" s="55"/>
    </row>
    <row r="757">
      <c r="A757" s="54" t="s">
        <v>6247</v>
      </c>
      <c r="B757" s="26"/>
      <c r="C757" s="8" t="s">
        <v>11</v>
      </c>
      <c r="D757" s="8" t="str">
        <f t="shared" si="1"/>
        <v>-</v>
      </c>
      <c r="E757" s="9" t="s">
        <v>11</v>
      </c>
      <c r="F757" s="10"/>
      <c r="G757" s="9"/>
      <c r="H757" s="26"/>
      <c r="I757" s="9" t="s">
        <v>13</v>
      </c>
      <c r="J757" s="55"/>
    </row>
    <row r="758">
      <c r="A758" s="54" t="s">
        <v>6247</v>
      </c>
      <c r="B758" s="26"/>
      <c r="C758" s="8" t="s">
        <v>11</v>
      </c>
      <c r="D758" s="8" t="str">
        <f t="shared" si="1"/>
        <v>-</v>
      </c>
      <c r="E758" s="9" t="s">
        <v>11</v>
      </c>
      <c r="F758" s="10"/>
      <c r="G758" s="9"/>
      <c r="H758" s="26"/>
      <c r="I758" s="9" t="s">
        <v>13</v>
      </c>
      <c r="J758" s="55"/>
    </row>
    <row r="759">
      <c r="A759" s="54" t="s">
        <v>6247</v>
      </c>
      <c r="B759" s="26"/>
      <c r="C759" s="8" t="s">
        <v>11</v>
      </c>
      <c r="D759" s="8" t="str">
        <f t="shared" si="1"/>
        <v>-</v>
      </c>
      <c r="E759" s="9" t="s">
        <v>11</v>
      </c>
      <c r="F759" s="10"/>
      <c r="G759" s="9"/>
      <c r="H759" s="26"/>
      <c r="I759" s="9" t="s">
        <v>13</v>
      </c>
      <c r="J759" s="55"/>
    </row>
    <row r="760">
      <c r="A760" s="54" t="s">
        <v>6247</v>
      </c>
      <c r="B760" s="26"/>
      <c r="C760" s="8" t="s">
        <v>11</v>
      </c>
      <c r="D760" s="8" t="str">
        <f t="shared" si="1"/>
        <v>-</v>
      </c>
      <c r="E760" s="9" t="s">
        <v>11</v>
      </c>
      <c r="F760" s="10"/>
      <c r="G760" s="9"/>
      <c r="H760" s="26"/>
      <c r="I760" s="9" t="s">
        <v>13</v>
      </c>
      <c r="J760" s="55"/>
    </row>
    <row r="761">
      <c r="A761" s="54" t="s">
        <v>6247</v>
      </c>
      <c r="B761" s="26"/>
      <c r="C761" s="8" t="s">
        <v>11</v>
      </c>
      <c r="D761" s="8" t="str">
        <f t="shared" si="1"/>
        <v>-</v>
      </c>
      <c r="E761" s="9" t="s">
        <v>11</v>
      </c>
      <c r="F761" s="10"/>
      <c r="G761" s="9"/>
      <c r="H761" s="26"/>
      <c r="I761" s="9" t="s">
        <v>13</v>
      </c>
      <c r="J761" s="55"/>
    </row>
    <row r="762">
      <c r="A762" s="54" t="s">
        <v>6247</v>
      </c>
      <c r="B762" s="26"/>
      <c r="C762" s="8" t="s">
        <v>11</v>
      </c>
      <c r="D762" s="8" t="str">
        <f t="shared" si="1"/>
        <v>-</v>
      </c>
      <c r="E762" s="9" t="s">
        <v>11</v>
      </c>
      <c r="F762" s="10"/>
      <c r="G762" s="9"/>
      <c r="H762" s="26"/>
      <c r="I762" s="9" t="s">
        <v>13</v>
      </c>
      <c r="J762" s="55"/>
    </row>
    <row r="763">
      <c r="A763" s="54" t="s">
        <v>6247</v>
      </c>
      <c r="B763" s="26"/>
      <c r="C763" s="8" t="s">
        <v>11</v>
      </c>
      <c r="D763" s="8" t="str">
        <f t="shared" si="1"/>
        <v>-</v>
      </c>
      <c r="E763" s="9" t="s">
        <v>11</v>
      </c>
      <c r="F763" s="10"/>
      <c r="G763" s="9"/>
      <c r="H763" s="26"/>
      <c r="I763" s="9" t="s">
        <v>13</v>
      </c>
      <c r="J763" s="55"/>
    </row>
    <row r="764">
      <c r="A764" s="54" t="s">
        <v>6247</v>
      </c>
      <c r="B764" s="26"/>
      <c r="C764" s="8" t="s">
        <v>11</v>
      </c>
      <c r="D764" s="8" t="str">
        <f t="shared" si="1"/>
        <v>-</v>
      </c>
      <c r="E764" s="9" t="s">
        <v>11</v>
      </c>
      <c r="F764" s="10"/>
      <c r="G764" s="9"/>
      <c r="H764" s="26"/>
      <c r="I764" s="9" t="s">
        <v>13</v>
      </c>
      <c r="J764" s="55"/>
    </row>
    <row r="765">
      <c r="A765" s="54" t="s">
        <v>6247</v>
      </c>
      <c r="B765" s="26"/>
      <c r="C765" s="8" t="s">
        <v>11</v>
      </c>
      <c r="D765" s="8" t="str">
        <f t="shared" si="1"/>
        <v>-</v>
      </c>
      <c r="E765" s="9" t="s">
        <v>11</v>
      </c>
      <c r="F765" s="10"/>
      <c r="G765" s="9"/>
      <c r="H765" s="26"/>
      <c r="I765" s="9" t="s">
        <v>13</v>
      </c>
      <c r="J765" s="55"/>
    </row>
    <row r="766">
      <c r="A766" s="54" t="s">
        <v>6247</v>
      </c>
      <c r="B766" s="26"/>
      <c r="C766" s="8" t="s">
        <v>11</v>
      </c>
      <c r="D766" s="8" t="str">
        <f t="shared" si="1"/>
        <v>-</v>
      </c>
      <c r="E766" s="9" t="s">
        <v>11</v>
      </c>
      <c r="F766" s="10"/>
      <c r="G766" s="9"/>
      <c r="H766" s="26"/>
      <c r="I766" s="9" t="s">
        <v>13</v>
      </c>
      <c r="J766" s="55"/>
    </row>
    <row r="767">
      <c r="A767" s="54" t="s">
        <v>6247</v>
      </c>
      <c r="B767" s="26"/>
      <c r="C767" s="8" t="s">
        <v>11</v>
      </c>
      <c r="D767" s="8" t="str">
        <f t="shared" si="1"/>
        <v>-</v>
      </c>
      <c r="E767" s="9" t="s">
        <v>11</v>
      </c>
      <c r="F767" s="10"/>
      <c r="G767" s="9"/>
      <c r="H767" s="26"/>
      <c r="I767" s="9" t="s">
        <v>13</v>
      </c>
      <c r="J767" s="55"/>
    </row>
    <row r="768">
      <c r="A768" s="54" t="s">
        <v>6247</v>
      </c>
      <c r="B768" s="26"/>
      <c r="C768" s="8" t="s">
        <v>11</v>
      </c>
      <c r="D768" s="8" t="str">
        <f t="shared" si="1"/>
        <v>-</v>
      </c>
      <c r="E768" s="9" t="s">
        <v>11</v>
      </c>
      <c r="F768" s="10"/>
      <c r="G768" s="9"/>
      <c r="H768" s="26"/>
      <c r="I768" s="9" t="s">
        <v>13</v>
      </c>
      <c r="J768" s="55"/>
    </row>
    <row r="769">
      <c r="A769" s="54" t="s">
        <v>6247</v>
      </c>
      <c r="B769" s="26"/>
      <c r="C769" s="8" t="s">
        <v>11</v>
      </c>
      <c r="D769" s="8" t="str">
        <f t="shared" si="1"/>
        <v>-</v>
      </c>
      <c r="E769" s="9" t="s">
        <v>11</v>
      </c>
      <c r="F769" s="10"/>
      <c r="G769" s="9"/>
      <c r="H769" s="26"/>
      <c r="I769" s="9" t="s">
        <v>13</v>
      </c>
      <c r="J769" s="55"/>
    </row>
    <row r="770">
      <c r="A770" s="54" t="s">
        <v>6247</v>
      </c>
      <c r="B770" s="26"/>
      <c r="C770" s="8" t="s">
        <v>11</v>
      </c>
      <c r="D770" s="8" t="str">
        <f t="shared" si="1"/>
        <v>-</v>
      </c>
      <c r="E770" s="9" t="s">
        <v>11</v>
      </c>
      <c r="F770" s="10"/>
      <c r="G770" s="9"/>
      <c r="H770" s="26"/>
      <c r="I770" s="9" t="s">
        <v>13</v>
      </c>
      <c r="J770" s="55"/>
    </row>
    <row r="771">
      <c r="A771" s="54" t="s">
        <v>6247</v>
      </c>
      <c r="B771" s="26"/>
      <c r="C771" s="8" t="s">
        <v>11</v>
      </c>
      <c r="D771" s="8" t="str">
        <f t="shared" si="1"/>
        <v>-</v>
      </c>
      <c r="E771" s="9" t="s">
        <v>11</v>
      </c>
      <c r="F771" s="10"/>
      <c r="G771" s="9"/>
      <c r="H771" s="26"/>
      <c r="I771" s="9" t="s">
        <v>13</v>
      </c>
      <c r="J771" s="55"/>
    </row>
    <row r="772">
      <c r="A772" s="54" t="s">
        <v>6247</v>
      </c>
      <c r="B772" s="26"/>
      <c r="C772" s="8" t="s">
        <v>11</v>
      </c>
      <c r="D772" s="8" t="str">
        <f t="shared" si="1"/>
        <v>-</v>
      </c>
      <c r="E772" s="9" t="s">
        <v>11</v>
      </c>
      <c r="F772" s="10"/>
      <c r="G772" s="9"/>
      <c r="H772" s="26"/>
      <c r="I772" s="9" t="s">
        <v>13</v>
      </c>
      <c r="J772" s="55"/>
    </row>
    <row r="773">
      <c r="A773" s="54" t="s">
        <v>6247</v>
      </c>
      <c r="B773" s="26"/>
      <c r="C773" s="8" t="s">
        <v>11</v>
      </c>
      <c r="D773" s="8" t="str">
        <f t="shared" si="1"/>
        <v>-</v>
      </c>
      <c r="E773" s="9" t="s">
        <v>11</v>
      </c>
      <c r="F773" s="10"/>
      <c r="G773" s="9"/>
      <c r="H773" s="26"/>
      <c r="I773" s="9" t="s">
        <v>13</v>
      </c>
      <c r="J773" s="55"/>
    </row>
    <row r="774">
      <c r="A774" s="54" t="s">
        <v>6247</v>
      </c>
      <c r="B774" s="26"/>
      <c r="C774" s="8" t="s">
        <v>11</v>
      </c>
      <c r="D774" s="8" t="str">
        <f t="shared" si="1"/>
        <v>-</v>
      </c>
      <c r="E774" s="9" t="s">
        <v>11</v>
      </c>
      <c r="F774" s="10"/>
      <c r="G774" s="9"/>
      <c r="H774" s="26"/>
      <c r="I774" s="9" t="s">
        <v>13</v>
      </c>
      <c r="J774" s="55"/>
    </row>
    <row r="775">
      <c r="A775" s="54" t="s">
        <v>6247</v>
      </c>
      <c r="B775" s="26"/>
      <c r="C775" s="8" t="s">
        <v>11</v>
      </c>
      <c r="D775" s="8" t="str">
        <f t="shared" si="1"/>
        <v>-</v>
      </c>
      <c r="E775" s="9" t="s">
        <v>11</v>
      </c>
      <c r="F775" s="10"/>
      <c r="G775" s="9"/>
      <c r="H775" s="26"/>
      <c r="I775" s="9" t="s">
        <v>13</v>
      </c>
      <c r="J775" s="55"/>
    </row>
    <row r="776">
      <c r="A776" s="54" t="s">
        <v>6247</v>
      </c>
      <c r="B776" s="26"/>
      <c r="C776" s="8" t="s">
        <v>11</v>
      </c>
      <c r="D776" s="8" t="str">
        <f t="shared" si="1"/>
        <v>-</v>
      </c>
      <c r="E776" s="9" t="s">
        <v>11</v>
      </c>
      <c r="F776" s="10"/>
      <c r="G776" s="9"/>
      <c r="H776" s="26"/>
      <c r="I776" s="9" t="s">
        <v>13</v>
      </c>
      <c r="J776" s="55"/>
    </row>
    <row r="777">
      <c r="A777" s="54" t="s">
        <v>6247</v>
      </c>
      <c r="B777" s="26"/>
      <c r="C777" s="8" t="s">
        <v>11</v>
      </c>
      <c r="D777" s="8" t="str">
        <f t="shared" si="1"/>
        <v>-</v>
      </c>
      <c r="E777" s="9" t="s">
        <v>11</v>
      </c>
      <c r="F777" s="10"/>
      <c r="G777" s="9"/>
      <c r="H777" s="26"/>
      <c r="I777" s="9" t="s">
        <v>13</v>
      </c>
      <c r="J777" s="55"/>
    </row>
    <row r="778">
      <c r="A778" s="54" t="s">
        <v>6247</v>
      </c>
      <c r="B778" s="26"/>
      <c r="C778" s="8" t="s">
        <v>11</v>
      </c>
      <c r="D778" s="8" t="str">
        <f t="shared" si="1"/>
        <v>-</v>
      </c>
      <c r="E778" s="9" t="s">
        <v>11</v>
      </c>
      <c r="F778" s="10"/>
      <c r="G778" s="9"/>
      <c r="H778" s="26"/>
      <c r="I778" s="9" t="s">
        <v>13</v>
      </c>
      <c r="J778" s="55"/>
    </row>
    <row r="779">
      <c r="A779" s="54" t="s">
        <v>6247</v>
      </c>
      <c r="B779" s="26"/>
      <c r="C779" s="8" t="s">
        <v>11</v>
      </c>
      <c r="D779" s="8" t="str">
        <f t="shared" si="1"/>
        <v>-</v>
      </c>
      <c r="E779" s="9" t="s">
        <v>11</v>
      </c>
      <c r="F779" s="10"/>
      <c r="G779" s="9"/>
      <c r="H779" s="26"/>
      <c r="I779" s="9" t="s">
        <v>13</v>
      </c>
      <c r="J779" s="55"/>
    </row>
    <row r="780">
      <c r="A780" s="54" t="s">
        <v>6247</v>
      </c>
      <c r="B780" s="26"/>
      <c r="C780" s="8" t="s">
        <v>11</v>
      </c>
      <c r="D780" s="8" t="str">
        <f t="shared" si="1"/>
        <v>-</v>
      </c>
      <c r="E780" s="9" t="s">
        <v>11</v>
      </c>
      <c r="F780" s="10"/>
      <c r="G780" s="9"/>
      <c r="H780" s="26"/>
      <c r="I780" s="9" t="s">
        <v>13</v>
      </c>
      <c r="J780" s="55"/>
    </row>
    <row r="781">
      <c r="A781" s="54" t="s">
        <v>6247</v>
      </c>
      <c r="B781" s="26"/>
      <c r="C781" s="8" t="s">
        <v>11</v>
      </c>
      <c r="D781" s="8" t="str">
        <f t="shared" si="1"/>
        <v>-</v>
      </c>
      <c r="E781" s="9" t="s">
        <v>11</v>
      </c>
      <c r="F781" s="10"/>
      <c r="G781" s="9"/>
      <c r="H781" s="26"/>
      <c r="I781" s="9" t="s">
        <v>13</v>
      </c>
      <c r="J781" s="55"/>
    </row>
    <row r="782">
      <c r="A782" s="54" t="s">
        <v>6247</v>
      </c>
      <c r="B782" s="26"/>
      <c r="C782" s="8" t="s">
        <v>11</v>
      </c>
      <c r="D782" s="8" t="str">
        <f t="shared" si="1"/>
        <v>-</v>
      </c>
      <c r="E782" s="9" t="s">
        <v>11</v>
      </c>
      <c r="F782" s="10"/>
      <c r="G782" s="9"/>
      <c r="H782" s="26"/>
      <c r="I782" s="9" t="s">
        <v>13</v>
      </c>
      <c r="J782" s="55"/>
    </row>
    <row r="783">
      <c r="A783" s="54" t="s">
        <v>6247</v>
      </c>
      <c r="B783" s="26"/>
      <c r="C783" s="8" t="s">
        <v>11</v>
      </c>
      <c r="D783" s="8" t="str">
        <f t="shared" si="1"/>
        <v>-</v>
      </c>
      <c r="E783" s="9" t="s">
        <v>11</v>
      </c>
      <c r="F783" s="10"/>
      <c r="G783" s="9"/>
      <c r="H783" s="26"/>
      <c r="I783" s="9" t="s">
        <v>13</v>
      </c>
      <c r="J783" s="55"/>
    </row>
    <row r="784">
      <c r="A784" s="54" t="s">
        <v>6247</v>
      </c>
      <c r="B784" s="26"/>
      <c r="C784" s="8" t="s">
        <v>11</v>
      </c>
      <c r="D784" s="8" t="str">
        <f t="shared" si="1"/>
        <v>-</v>
      </c>
      <c r="E784" s="9" t="s">
        <v>11</v>
      </c>
      <c r="F784" s="10"/>
      <c r="G784" s="9"/>
      <c r="H784" s="26"/>
      <c r="I784" s="9" t="s">
        <v>13</v>
      </c>
      <c r="J784" s="55"/>
    </row>
    <row r="785">
      <c r="A785" s="54" t="s">
        <v>6247</v>
      </c>
      <c r="B785" s="26"/>
      <c r="C785" s="8" t="s">
        <v>11</v>
      </c>
      <c r="D785" s="8" t="str">
        <f t="shared" si="1"/>
        <v>-</v>
      </c>
      <c r="E785" s="9" t="s">
        <v>11</v>
      </c>
      <c r="F785" s="10"/>
      <c r="G785" s="9"/>
      <c r="H785" s="26"/>
      <c r="I785" s="9" t="s">
        <v>13</v>
      </c>
      <c r="J785" s="55"/>
    </row>
    <row r="786">
      <c r="A786" s="54" t="s">
        <v>6247</v>
      </c>
      <c r="B786" s="26"/>
      <c r="C786" s="8" t="s">
        <v>11</v>
      </c>
      <c r="D786" s="8" t="str">
        <f t="shared" si="1"/>
        <v>-</v>
      </c>
      <c r="E786" s="9" t="s">
        <v>11</v>
      </c>
      <c r="F786" s="10"/>
      <c r="G786" s="9"/>
      <c r="H786" s="26"/>
      <c r="I786" s="9" t="s">
        <v>13</v>
      </c>
      <c r="J786" s="55"/>
    </row>
    <row r="787">
      <c r="A787" s="54" t="s">
        <v>6247</v>
      </c>
      <c r="B787" s="26"/>
      <c r="C787" s="8" t="s">
        <v>11</v>
      </c>
      <c r="D787" s="8" t="str">
        <f t="shared" si="1"/>
        <v>-</v>
      </c>
      <c r="E787" s="9" t="s">
        <v>11</v>
      </c>
      <c r="F787" s="10"/>
      <c r="G787" s="9"/>
      <c r="H787" s="26"/>
      <c r="I787" s="9" t="s">
        <v>13</v>
      </c>
      <c r="J787" s="55"/>
    </row>
    <row r="788">
      <c r="A788" s="54" t="s">
        <v>6247</v>
      </c>
      <c r="B788" s="26"/>
      <c r="C788" s="8" t="s">
        <v>11</v>
      </c>
      <c r="D788" s="8" t="str">
        <f t="shared" si="1"/>
        <v>-</v>
      </c>
      <c r="E788" s="9" t="s">
        <v>11</v>
      </c>
      <c r="F788" s="10"/>
      <c r="G788" s="9"/>
      <c r="H788" s="26"/>
      <c r="I788" s="9" t="s">
        <v>13</v>
      </c>
      <c r="J788" s="55"/>
    </row>
    <row r="789">
      <c r="A789" s="54" t="s">
        <v>6247</v>
      </c>
      <c r="B789" s="26"/>
      <c r="C789" s="8" t="s">
        <v>11</v>
      </c>
      <c r="D789" s="8" t="str">
        <f t="shared" si="1"/>
        <v>-</v>
      </c>
      <c r="E789" s="9" t="s">
        <v>11</v>
      </c>
      <c r="F789" s="10"/>
      <c r="G789" s="9"/>
      <c r="H789" s="26"/>
      <c r="I789" s="9" t="s">
        <v>13</v>
      </c>
      <c r="J789" s="55"/>
    </row>
    <row r="790">
      <c r="A790" s="54" t="s">
        <v>6247</v>
      </c>
      <c r="B790" s="26"/>
      <c r="C790" s="8" t="s">
        <v>11</v>
      </c>
      <c r="D790" s="8" t="str">
        <f t="shared" si="1"/>
        <v>-</v>
      </c>
      <c r="E790" s="9" t="s">
        <v>11</v>
      </c>
      <c r="F790" s="10"/>
      <c r="G790" s="9"/>
      <c r="H790" s="26"/>
      <c r="I790" s="9" t="s">
        <v>13</v>
      </c>
      <c r="J790" s="55"/>
    </row>
    <row r="791">
      <c r="A791" s="54" t="s">
        <v>6247</v>
      </c>
      <c r="B791" s="26"/>
      <c r="C791" s="8" t="s">
        <v>11</v>
      </c>
      <c r="D791" s="8" t="str">
        <f t="shared" si="1"/>
        <v>-</v>
      </c>
      <c r="E791" s="9" t="s">
        <v>11</v>
      </c>
      <c r="F791" s="10"/>
      <c r="G791" s="9"/>
      <c r="H791" s="26"/>
      <c r="I791" s="9" t="s">
        <v>13</v>
      </c>
      <c r="J791" s="55"/>
    </row>
    <row r="792">
      <c r="A792" s="54" t="s">
        <v>6247</v>
      </c>
      <c r="B792" s="26"/>
      <c r="C792" s="8" t="s">
        <v>11</v>
      </c>
      <c r="D792" s="8" t="str">
        <f t="shared" si="1"/>
        <v>-</v>
      </c>
      <c r="E792" s="9" t="s">
        <v>11</v>
      </c>
      <c r="F792" s="10"/>
      <c r="G792" s="9"/>
      <c r="H792" s="26"/>
      <c r="I792" s="9" t="s">
        <v>13</v>
      </c>
      <c r="J792" s="55"/>
    </row>
    <row r="793">
      <c r="A793" s="54" t="s">
        <v>6247</v>
      </c>
      <c r="B793" s="26"/>
      <c r="C793" s="8" t="s">
        <v>11</v>
      </c>
      <c r="D793" s="8" t="str">
        <f t="shared" si="1"/>
        <v>-</v>
      </c>
      <c r="E793" s="9" t="s">
        <v>11</v>
      </c>
      <c r="F793" s="10"/>
      <c r="G793" s="9"/>
      <c r="H793" s="26"/>
      <c r="I793" s="9" t="s">
        <v>13</v>
      </c>
      <c r="J793" s="55"/>
    </row>
    <row r="794">
      <c r="A794" s="54" t="s">
        <v>6247</v>
      </c>
      <c r="B794" s="26"/>
      <c r="C794" s="8" t="s">
        <v>11</v>
      </c>
      <c r="D794" s="8" t="str">
        <f t="shared" si="1"/>
        <v>-</v>
      </c>
      <c r="E794" s="9" t="s">
        <v>11</v>
      </c>
      <c r="F794" s="10"/>
      <c r="G794" s="9"/>
      <c r="H794" s="26"/>
      <c r="I794" s="9" t="s">
        <v>13</v>
      </c>
      <c r="J794" s="55"/>
    </row>
    <row r="795">
      <c r="A795" s="54" t="s">
        <v>6247</v>
      </c>
      <c r="B795" s="26"/>
      <c r="C795" s="8" t="s">
        <v>11</v>
      </c>
      <c r="D795" s="8" t="str">
        <f t="shared" si="1"/>
        <v>-</v>
      </c>
      <c r="E795" s="9" t="s">
        <v>11</v>
      </c>
      <c r="F795" s="10"/>
      <c r="G795" s="9"/>
      <c r="H795" s="26"/>
      <c r="I795" s="9" t="s">
        <v>13</v>
      </c>
      <c r="J795" s="55"/>
    </row>
    <row r="796">
      <c r="A796" s="54" t="s">
        <v>6247</v>
      </c>
      <c r="B796" s="26"/>
      <c r="C796" s="8" t="s">
        <v>11</v>
      </c>
      <c r="D796" s="8" t="str">
        <f t="shared" si="1"/>
        <v>-</v>
      </c>
      <c r="E796" s="9" t="s">
        <v>11</v>
      </c>
      <c r="F796" s="10"/>
      <c r="G796" s="9"/>
      <c r="H796" s="26"/>
      <c r="I796" s="9" t="s">
        <v>13</v>
      </c>
      <c r="J796" s="55"/>
    </row>
    <row r="797">
      <c r="A797" s="54" t="s">
        <v>6247</v>
      </c>
      <c r="B797" s="26"/>
      <c r="C797" s="8" t="s">
        <v>11</v>
      </c>
      <c r="D797" s="8" t="str">
        <f t="shared" si="1"/>
        <v>-</v>
      </c>
      <c r="E797" s="9" t="s">
        <v>11</v>
      </c>
      <c r="F797" s="10"/>
      <c r="G797" s="9"/>
      <c r="H797" s="26"/>
      <c r="I797" s="9" t="s">
        <v>13</v>
      </c>
      <c r="J797" s="55"/>
    </row>
    <row r="798">
      <c r="A798" s="54" t="s">
        <v>6247</v>
      </c>
      <c r="B798" s="26"/>
      <c r="C798" s="8" t="s">
        <v>11</v>
      </c>
      <c r="D798" s="8" t="str">
        <f t="shared" si="1"/>
        <v>-</v>
      </c>
      <c r="E798" s="9" t="s">
        <v>11</v>
      </c>
      <c r="F798" s="10"/>
      <c r="G798" s="9"/>
      <c r="H798" s="26"/>
      <c r="I798" s="9" t="s">
        <v>13</v>
      </c>
      <c r="J798" s="55"/>
    </row>
    <row r="799">
      <c r="A799" s="54" t="s">
        <v>6247</v>
      </c>
      <c r="B799" s="26"/>
      <c r="C799" s="8" t="s">
        <v>11</v>
      </c>
      <c r="D799" s="8" t="str">
        <f t="shared" si="1"/>
        <v>-</v>
      </c>
      <c r="E799" s="9" t="s">
        <v>11</v>
      </c>
      <c r="F799" s="10"/>
      <c r="G799" s="9"/>
      <c r="H799" s="26"/>
      <c r="I799" s="9" t="s">
        <v>13</v>
      </c>
      <c r="J799" s="55"/>
    </row>
    <row r="800">
      <c r="A800" s="54" t="s">
        <v>6247</v>
      </c>
      <c r="B800" s="26"/>
      <c r="C800" s="8" t="s">
        <v>11</v>
      </c>
      <c r="D800" s="8" t="str">
        <f t="shared" si="1"/>
        <v>-</v>
      </c>
      <c r="E800" s="9" t="s">
        <v>11</v>
      </c>
      <c r="F800" s="10"/>
      <c r="G800" s="9"/>
      <c r="H800" s="26"/>
      <c r="I800" s="9" t="s">
        <v>13</v>
      </c>
      <c r="J800" s="55"/>
    </row>
    <row r="801">
      <c r="A801" s="54" t="s">
        <v>6247</v>
      </c>
      <c r="B801" s="26"/>
      <c r="C801" s="8" t="s">
        <v>11</v>
      </c>
      <c r="D801" s="8" t="str">
        <f t="shared" si="1"/>
        <v>-</v>
      </c>
      <c r="E801" s="9" t="s">
        <v>11</v>
      </c>
      <c r="F801" s="10"/>
      <c r="G801" s="9"/>
      <c r="H801" s="26"/>
      <c r="I801" s="9" t="s">
        <v>13</v>
      </c>
      <c r="J801" s="55"/>
    </row>
    <row r="802">
      <c r="A802" s="54" t="s">
        <v>6247</v>
      </c>
      <c r="B802" s="26"/>
      <c r="C802" s="8" t="s">
        <v>11</v>
      </c>
      <c r="D802" s="8" t="str">
        <f t="shared" si="1"/>
        <v>-</v>
      </c>
      <c r="E802" s="9" t="s">
        <v>11</v>
      </c>
      <c r="F802" s="10"/>
      <c r="G802" s="9"/>
      <c r="H802" s="26"/>
      <c r="I802" s="9" t="s">
        <v>13</v>
      </c>
      <c r="J802" s="55"/>
    </row>
    <row r="803">
      <c r="A803" s="54" t="s">
        <v>6247</v>
      </c>
      <c r="B803" s="26"/>
      <c r="C803" s="8" t="s">
        <v>11</v>
      </c>
      <c r="D803" s="8" t="str">
        <f t="shared" si="1"/>
        <v>-</v>
      </c>
      <c r="E803" s="9" t="s">
        <v>11</v>
      </c>
      <c r="F803" s="10"/>
      <c r="G803" s="9"/>
      <c r="H803" s="26"/>
      <c r="I803" s="9" t="s">
        <v>13</v>
      </c>
      <c r="J803" s="55"/>
    </row>
    <row r="804">
      <c r="A804" s="54" t="s">
        <v>6247</v>
      </c>
      <c r="B804" s="26"/>
      <c r="C804" s="8" t="s">
        <v>11</v>
      </c>
      <c r="D804" s="8" t="str">
        <f t="shared" si="1"/>
        <v>-</v>
      </c>
      <c r="E804" s="9" t="s">
        <v>11</v>
      </c>
      <c r="F804" s="10"/>
      <c r="G804" s="9"/>
      <c r="H804" s="26"/>
      <c r="I804" s="9" t="s">
        <v>13</v>
      </c>
      <c r="J804" s="55"/>
    </row>
    <row r="805">
      <c r="A805" s="54" t="s">
        <v>6247</v>
      </c>
      <c r="B805" s="26"/>
      <c r="C805" s="8" t="s">
        <v>11</v>
      </c>
      <c r="D805" s="8" t="str">
        <f t="shared" si="1"/>
        <v>-</v>
      </c>
      <c r="E805" s="9" t="s">
        <v>11</v>
      </c>
      <c r="F805" s="10"/>
      <c r="G805" s="9"/>
      <c r="H805" s="26"/>
      <c r="I805" s="9" t="s">
        <v>13</v>
      </c>
      <c r="J805" s="55"/>
    </row>
    <row r="806">
      <c r="A806" s="54" t="s">
        <v>6247</v>
      </c>
      <c r="B806" s="26"/>
      <c r="C806" s="8" t="s">
        <v>11</v>
      </c>
      <c r="D806" s="8" t="str">
        <f t="shared" si="1"/>
        <v>-</v>
      </c>
      <c r="E806" s="9" t="s">
        <v>11</v>
      </c>
      <c r="F806" s="10"/>
      <c r="G806" s="9"/>
      <c r="H806" s="26"/>
      <c r="I806" s="9" t="s">
        <v>13</v>
      </c>
      <c r="J806" s="55"/>
    </row>
    <row r="807">
      <c r="A807" s="54" t="s">
        <v>6247</v>
      </c>
      <c r="B807" s="26"/>
      <c r="C807" s="8" t="s">
        <v>11</v>
      </c>
      <c r="D807" s="8" t="str">
        <f t="shared" si="1"/>
        <v>-</v>
      </c>
      <c r="E807" s="9" t="s">
        <v>11</v>
      </c>
      <c r="F807" s="10"/>
      <c r="G807" s="9"/>
      <c r="H807" s="26"/>
      <c r="I807" s="9" t="s">
        <v>13</v>
      </c>
      <c r="J807" s="55"/>
    </row>
    <row r="808">
      <c r="A808" s="54" t="s">
        <v>6247</v>
      </c>
      <c r="B808" s="26"/>
      <c r="C808" s="8" t="s">
        <v>11</v>
      </c>
      <c r="D808" s="8" t="str">
        <f t="shared" si="1"/>
        <v>-</v>
      </c>
      <c r="E808" s="9" t="s">
        <v>11</v>
      </c>
      <c r="F808" s="10"/>
      <c r="G808" s="9"/>
      <c r="H808" s="26"/>
      <c r="I808" s="9" t="s">
        <v>13</v>
      </c>
      <c r="J808" s="55"/>
    </row>
    <row r="809">
      <c r="A809" s="54" t="s">
        <v>6247</v>
      </c>
      <c r="B809" s="26"/>
      <c r="C809" s="8" t="s">
        <v>11</v>
      </c>
      <c r="D809" s="8" t="str">
        <f t="shared" si="1"/>
        <v>-</v>
      </c>
      <c r="E809" s="9" t="s">
        <v>11</v>
      </c>
      <c r="F809" s="10"/>
      <c r="G809" s="9"/>
      <c r="H809" s="26"/>
      <c r="I809" s="9" t="s">
        <v>13</v>
      </c>
      <c r="J809" s="55"/>
    </row>
    <row r="810">
      <c r="A810" s="54" t="s">
        <v>6247</v>
      </c>
      <c r="B810" s="26"/>
      <c r="C810" s="8" t="s">
        <v>11</v>
      </c>
      <c r="D810" s="8" t="str">
        <f t="shared" si="1"/>
        <v>-</v>
      </c>
      <c r="E810" s="9" t="s">
        <v>11</v>
      </c>
      <c r="F810" s="10"/>
      <c r="G810" s="9"/>
      <c r="H810" s="26"/>
      <c r="I810" s="9" t="s">
        <v>13</v>
      </c>
      <c r="J810" s="55"/>
    </row>
    <row r="811">
      <c r="A811" s="54" t="s">
        <v>6247</v>
      </c>
      <c r="B811" s="26"/>
      <c r="C811" s="8" t="s">
        <v>11</v>
      </c>
      <c r="D811" s="8" t="str">
        <f t="shared" si="1"/>
        <v>-</v>
      </c>
      <c r="E811" s="9" t="s">
        <v>11</v>
      </c>
      <c r="F811" s="10"/>
      <c r="G811" s="9"/>
      <c r="H811" s="26"/>
      <c r="I811" s="9" t="s">
        <v>13</v>
      </c>
      <c r="J811" s="55"/>
    </row>
    <row r="812">
      <c r="A812" s="54" t="s">
        <v>6247</v>
      </c>
      <c r="B812" s="26"/>
      <c r="C812" s="8" t="s">
        <v>11</v>
      </c>
      <c r="D812" s="8" t="str">
        <f t="shared" si="1"/>
        <v>-</v>
      </c>
      <c r="E812" s="9" t="s">
        <v>11</v>
      </c>
      <c r="F812" s="10"/>
      <c r="G812" s="9"/>
      <c r="H812" s="26"/>
      <c r="I812" s="9" t="s">
        <v>13</v>
      </c>
      <c r="J812" s="55"/>
    </row>
    <row r="813">
      <c r="A813" s="54" t="s">
        <v>6247</v>
      </c>
      <c r="B813" s="26"/>
      <c r="C813" s="8" t="s">
        <v>11</v>
      </c>
      <c r="D813" s="8" t="str">
        <f t="shared" si="1"/>
        <v>-</v>
      </c>
      <c r="E813" s="9" t="s">
        <v>11</v>
      </c>
      <c r="F813" s="10"/>
      <c r="G813" s="9"/>
      <c r="H813" s="26"/>
      <c r="I813" s="9" t="s">
        <v>13</v>
      </c>
      <c r="J813" s="55"/>
    </row>
    <row r="814">
      <c r="A814" s="54" t="s">
        <v>6247</v>
      </c>
      <c r="B814" s="26"/>
      <c r="C814" s="8" t="s">
        <v>11</v>
      </c>
      <c r="D814" s="8" t="str">
        <f t="shared" si="1"/>
        <v>-</v>
      </c>
      <c r="E814" s="9" t="s">
        <v>11</v>
      </c>
      <c r="F814" s="10"/>
      <c r="G814" s="9"/>
      <c r="H814" s="26"/>
      <c r="I814" s="9" t="s">
        <v>13</v>
      </c>
      <c r="J814" s="55"/>
    </row>
    <row r="815">
      <c r="A815" s="54" t="s">
        <v>6247</v>
      </c>
      <c r="B815" s="26"/>
      <c r="C815" s="8" t="s">
        <v>11</v>
      </c>
      <c r="D815" s="8" t="str">
        <f t="shared" si="1"/>
        <v>-</v>
      </c>
      <c r="E815" s="9" t="s">
        <v>11</v>
      </c>
      <c r="F815" s="10"/>
      <c r="G815" s="9"/>
      <c r="H815" s="26"/>
      <c r="I815" s="9" t="s">
        <v>13</v>
      </c>
      <c r="J815" s="55"/>
    </row>
    <row r="816">
      <c r="A816" s="54" t="s">
        <v>6247</v>
      </c>
      <c r="B816" s="26"/>
      <c r="C816" s="8" t="s">
        <v>11</v>
      </c>
      <c r="D816" s="8" t="str">
        <f t="shared" si="1"/>
        <v>-</v>
      </c>
      <c r="E816" s="9" t="s">
        <v>11</v>
      </c>
      <c r="F816" s="10"/>
      <c r="G816" s="9"/>
      <c r="H816" s="26"/>
      <c r="I816" s="9" t="s">
        <v>13</v>
      </c>
      <c r="J816" s="55"/>
    </row>
    <row r="817">
      <c r="A817" s="54" t="s">
        <v>6247</v>
      </c>
      <c r="B817" s="26"/>
      <c r="C817" s="8" t="s">
        <v>11</v>
      </c>
      <c r="D817" s="8" t="str">
        <f t="shared" si="1"/>
        <v>-</v>
      </c>
      <c r="E817" s="9" t="s">
        <v>11</v>
      </c>
      <c r="F817" s="10"/>
      <c r="G817" s="9"/>
      <c r="H817" s="26"/>
      <c r="I817" s="9" t="s">
        <v>13</v>
      </c>
      <c r="J817" s="55"/>
    </row>
    <row r="818">
      <c r="A818" s="54" t="s">
        <v>6247</v>
      </c>
      <c r="B818" s="26"/>
      <c r="C818" s="8" t="s">
        <v>11</v>
      </c>
      <c r="D818" s="8" t="str">
        <f t="shared" si="1"/>
        <v>-</v>
      </c>
      <c r="E818" s="9" t="s">
        <v>11</v>
      </c>
      <c r="F818" s="10"/>
      <c r="G818" s="9"/>
      <c r="H818" s="26"/>
      <c r="I818" s="9" t="s">
        <v>13</v>
      </c>
      <c r="J818" s="55"/>
    </row>
    <row r="819">
      <c r="A819" s="54" t="s">
        <v>6247</v>
      </c>
      <c r="B819" s="26"/>
      <c r="C819" s="8" t="s">
        <v>11</v>
      </c>
      <c r="D819" s="8" t="str">
        <f t="shared" si="1"/>
        <v>-</v>
      </c>
      <c r="E819" s="9" t="s">
        <v>11</v>
      </c>
      <c r="F819" s="10"/>
      <c r="G819" s="9"/>
      <c r="H819" s="26"/>
      <c r="I819" s="9" t="s">
        <v>13</v>
      </c>
      <c r="J819" s="55"/>
    </row>
    <row r="820">
      <c r="A820" s="54" t="s">
        <v>6247</v>
      </c>
      <c r="B820" s="26"/>
      <c r="C820" s="8" t="s">
        <v>11</v>
      </c>
      <c r="D820" s="8" t="str">
        <f t="shared" si="1"/>
        <v>-</v>
      </c>
      <c r="E820" s="9" t="s">
        <v>11</v>
      </c>
      <c r="F820" s="10"/>
      <c r="G820" s="9"/>
      <c r="H820" s="26"/>
      <c r="I820" s="9" t="s">
        <v>13</v>
      </c>
      <c r="J820" s="55"/>
    </row>
    <row r="821">
      <c r="A821" s="54" t="s">
        <v>6247</v>
      </c>
      <c r="B821" s="26"/>
      <c r="C821" s="8" t="s">
        <v>11</v>
      </c>
      <c r="D821" s="8" t="str">
        <f t="shared" si="1"/>
        <v>-</v>
      </c>
      <c r="E821" s="9" t="s">
        <v>11</v>
      </c>
      <c r="F821" s="10"/>
      <c r="G821" s="9"/>
      <c r="H821" s="26"/>
      <c r="I821" s="9" t="s">
        <v>13</v>
      </c>
      <c r="J821" s="55"/>
    </row>
    <row r="822">
      <c r="A822" s="54" t="s">
        <v>6247</v>
      </c>
      <c r="B822" s="26"/>
      <c r="C822" s="8" t="s">
        <v>11</v>
      </c>
      <c r="D822" s="8" t="str">
        <f t="shared" si="1"/>
        <v>-</v>
      </c>
      <c r="E822" s="9" t="s">
        <v>11</v>
      </c>
      <c r="F822" s="10"/>
      <c r="G822" s="9"/>
      <c r="H822" s="26"/>
      <c r="I822" s="9" t="s">
        <v>13</v>
      </c>
      <c r="J822" s="55"/>
    </row>
    <row r="823">
      <c r="A823" s="54" t="s">
        <v>6247</v>
      </c>
      <c r="B823" s="26"/>
      <c r="C823" s="8" t="s">
        <v>11</v>
      </c>
      <c r="D823" s="8" t="str">
        <f t="shared" si="1"/>
        <v>-</v>
      </c>
      <c r="E823" s="9" t="s">
        <v>11</v>
      </c>
      <c r="F823" s="10"/>
      <c r="G823" s="9"/>
      <c r="H823" s="26"/>
      <c r="I823" s="9" t="s">
        <v>13</v>
      </c>
      <c r="J823" s="55"/>
    </row>
    <row r="824">
      <c r="A824" s="54" t="s">
        <v>6247</v>
      </c>
      <c r="B824" s="26"/>
      <c r="C824" s="8" t="s">
        <v>11</v>
      </c>
      <c r="D824" s="8" t="str">
        <f t="shared" si="1"/>
        <v>-</v>
      </c>
      <c r="E824" s="9" t="s">
        <v>11</v>
      </c>
      <c r="F824" s="10"/>
      <c r="G824" s="9"/>
      <c r="H824" s="26"/>
      <c r="I824" s="9" t="s">
        <v>13</v>
      </c>
      <c r="J824" s="55"/>
    </row>
    <row r="825">
      <c r="A825" s="54" t="s">
        <v>6247</v>
      </c>
      <c r="B825" s="26"/>
      <c r="C825" s="8" t="s">
        <v>11</v>
      </c>
      <c r="D825" s="8" t="str">
        <f t="shared" si="1"/>
        <v>-</v>
      </c>
      <c r="E825" s="9" t="s">
        <v>11</v>
      </c>
      <c r="F825" s="10"/>
      <c r="G825" s="9"/>
      <c r="H825" s="26"/>
      <c r="I825" s="9" t="s">
        <v>13</v>
      </c>
      <c r="J825" s="55"/>
    </row>
    <row r="826">
      <c r="A826" s="54" t="s">
        <v>6247</v>
      </c>
      <c r="B826" s="26"/>
      <c r="C826" s="8" t="s">
        <v>11</v>
      </c>
      <c r="D826" s="8" t="str">
        <f t="shared" si="1"/>
        <v>-</v>
      </c>
      <c r="E826" s="9" t="s">
        <v>11</v>
      </c>
      <c r="F826" s="10"/>
      <c r="G826" s="9"/>
      <c r="H826" s="26"/>
      <c r="I826" s="9" t="s">
        <v>13</v>
      </c>
      <c r="J826" s="55"/>
    </row>
    <row r="827">
      <c r="A827" s="54" t="s">
        <v>6247</v>
      </c>
      <c r="B827" s="26"/>
      <c r="C827" s="8" t="s">
        <v>11</v>
      </c>
      <c r="D827" s="8" t="str">
        <f t="shared" si="1"/>
        <v>-</v>
      </c>
      <c r="E827" s="9" t="s">
        <v>11</v>
      </c>
      <c r="F827" s="10"/>
      <c r="G827" s="9"/>
      <c r="H827" s="26"/>
      <c r="I827" s="9" t="s">
        <v>13</v>
      </c>
      <c r="J827" s="55"/>
    </row>
    <row r="828">
      <c r="A828" s="54" t="s">
        <v>6247</v>
      </c>
      <c r="B828" s="26"/>
      <c r="C828" s="8" t="s">
        <v>11</v>
      </c>
      <c r="D828" s="8" t="str">
        <f t="shared" si="1"/>
        <v>-</v>
      </c>
      <c r="E828" s="9" t="s">
        <v>11</v>
      </c>
      <c r="F828" s="10"/>
      <c r="G828" s="9"/>
      <c r="H828" s="26"/>
      <c r="I828" s="9" t="s">
        <v>13</v>
      </c>
      <c r="J828" s="55"/>
    </row>
    <row r="829">
      <c r="A829" s="54" t="s">
        <v>6247</v>
      </c>
      <c r="B829" s="26"/>
      <c r="C829" s="8" t="s">
        <v>11</v>
      </c>
      <c r="D829" s="8" t="str">
        <f t="shared" si="1"/>
        <v>-</v>
      </c>
      <c r="E829" s="9" t="s">
        <v>11</v>
      </c>
      <c r="F829" s="10"/>
      <c r="G829" s="9"/>
      <c r="H829" s="26"/>
      <c r="I829" s="9" t="s">
        <v>13</v>
      </c>
      <c r="J829" s="55"/>
    </row>
    <row r="830">
      <c r="A830" s="54" t="s">
        <v>6247</v>
      </c>
      <c r="B830" s="26"/>
      <c r="C830" s="8" t="s">
        <v>11</v>
      </c>
      <c r="D830" s="8" t="str">
        <f t="shared" si="1"/>
        <v>-</v>
      </c>
      <c r="E830" s="9" t="s">
        <v>11</v>
      </c>
      <c r="F830" s="10"/>
      <c r="G830" s="9"/>
      <c r="H830" s="26"/>
      <c r="I830" s="9" t="s">
        <v>13</v>
      </c>
      <c r="J830" s="55"/>
    </row>
    <row r="831">
      <c r="A831" s="54" t="s">
        <v>6247</v>
      </c>
      <c r="B831" s="26"/>
      <c r="C831" s="8" t="s">
        <v>11</v>
      </c>
      <c r="D831" s="8" t="str">
        <f t="shared" si="1"/>
        <v>-</v>
      </c>
      <c r="E831" s="9" t="s">
        <v>11</v>
      </c>
      <c r="F831" s="10"/>
      <c r="G831" s="9"/>
      <c r="H831" s="26"/>
      <c r="I831" s="9" t="s">
        <v>13</v>
      </c>
      <c r="J831" s="55"/>
    </row>
    <row r="832">
      <c r="A832" s="54" t="s">
        <v>6247</v>
      </c>
      <c r="B832" s="26"/>
      <c r="C832" s="8" t="s">
        <v>11</v>
      </c>
      <c r="D832" s="8" t="str">
        <f t="shared" si="1"/>
        <v>-</v>
      </c>
      <c r="E832" s="9" t="s">
        <v>11</v>
      </c>
      <c r="F832" s="10"/>
      <c r="G832" s="9"/>
      <c r="H832" s="26"/>
      <c r="I832" s="9" t="s">
        <v>13</v>
      </c>
      <c r="J832" s="55"/>
    </row>
    <row r="833">
      <c r="A833" s="54" t="s">
        <v>6247</v>
      </c>
      <c r="B833" s="26"/>
      <c r="C833" s="8" t="s">
        <v>11</v>
      </c>
      <c r="D833" s="8" t="str">
        <f t="shared" si="1"/>
        <v>-</v>
      </c>
      <c r="E833" s="9" t="s">
        <v>11</v>
      </c>
      <c r="F833" s="10"/>
      <c r="G833" s="9"/>
      <c r="H833" s="26"/>
      <c r="I833" s="9" t="s">
        <v>13</v>
      </c>
      <c r="J833" s="55"/>
    </row>
    <row r="834">
      <c r="A834" s="54" t="s">
        <v>6247</v>
      </c>
      <c r="B834" s="26"/>
      <c r="C834" s="8"/>
      <c r="D834" s="8"/>
      <c r="E834" s="9"/>
      <c r="F834" s="10"/>
      <c r="G834" s="9"/>
      <c r="H834" s="26"/>
      <c r="I834" s="9"/>
      <c r="J834" s="55"/>
    </row>
  </sheetData>
  <mergeCells count="1">
    <mergeCell ref="A1:J1"/>
  </mergeCells>
  <conditionalFormatting sqref="G3:G834">
    <cfRule type="expression" dxfId="4" priority="1">
      <formula>$G3="Sur T.L."</formula>
    </cfRule>
  </conditionalFormatting>
  <conditionalFormatting sqref="G3:G834">
    <cfRule type="cellIs" dxfId="5" priority="2" operator="equal">
      <formula>"Attente R."</formula>
    </cfRule>
  </conditionalFormatting>
  <conditionalFormatting sqref="A1:J834">
    <cfRule type="containsText" dxfId="0" priority="3" operator="containsText" text="FAB A FAIRE">
      <formula>NOT(ISERROR(SEARCH(("FAB A FAIRE"),(A1))))</formula>
    </cfRule>
  </conditionalFormatting>
  <conditionalFormatting sqref="B3:H834">
    <cfRule type="expression" dxfId="1" priority="4">
      <formula>$G3="Stand-by"</formula>
    </cfRule>
  </conditionalFormatting>
  <conditionalFormatting sqref="G2:G834">
    <cfRule type="cellIs" dxfId="2" priority="5" operator="equal">
      <formula>"A faire"</formula>
    </cfRule>
  </conditionalFormatting>
  <conditionalFormatting sqref="G2:G834">
    <cfRule type="cellIs" dxfId="3" priority="6" operator="equal">
      <formula>"En cours"</formula>
    </cfRule>
  </conditionalFormatting>
  <dataValidations>
    <dataValidation type="list" allowBlank="1" sqref="G3:G834">
      <formula1>"-,A faire,En cours,Attente R.,Stand-by,Sur T.L."</formula1>
    </dataValidation>
    <dataValidation type="list" allowBlank="1" sqref="E3:E834">
      <formula1>"-,M,A"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25"/>
    <col customWidth="1" min="6" max="6" width="10.63"/>
    <col customWidth="1" min="7" max="7" width="9.88"/>
  </cols>
  <sheetData>
    <row r="8">
      <c r="E8" s="324" t="s">
        <v>9163</v>
      </c>
    </row>
    <row r="9" ht="68.25" customHeight="1">
      <c r="E9" s="140"/>
      <c r="F9" s="140">
        <v>1.0</v>
      </c>
      <c r="G9" s="140"/>
    </row>
  </sheetData>
  <mergeCells count="1">
    <mergeCell ref="E8:G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90">
        <v>264.0</v>
      </c>
      <c r="B1" s="284"/>
      <c r="C1" s="284"/>
      <c r="D1" s="284"/>
      <c r="E1" s="284"/>
      <c r="F1" s="284"/>
      <c r="G1" s="284"/>
      <c r="H1" s="284"/>
      <c r="I1" s="284"/>
      <c r="J1" s="284"/>
      <c r="K1" s="285"/>
      <c r="L1" s="285"/>
      <c r="M1" s="284"/>
      <c r="N1" s="284"/>
      <c r="O1" s="284"/>
      <c r="P1" s="284"/>
      <c r="Q1" s="284"/>
      <c r="R1" s="284"/>
      <c r="S1" s="284"/>
      <c r="T1" s="284"/>
      <c r="U1" s="284"/>
      <c r="V1" s="284"/>
      <c r="W1" s="284"/>
      <c r="X1" s="284"/>
      <c r="Y1" s="284"/>
    </row>
    <row r="2">
      <c r="A2" s="284"/>
      <c r="B2" s="286"/>
      <c r="C2" s="286"/>
      <c r="D2" s="286"/>
      <c r="E2" s="286"/>
      <c r="F2" s="286"/>
      <c r="G2" s="286"/>
      <c r="H2" s="286"/>
      <c r="I2" s="284"/>
      <c r="J2" s="286"/>
      <c r="K2" s="287"/>
      <c r="L2" s="287"/>
      <c r="M2" s="286"/>
      <c r="N2" s="286"/>
      <c r="O2" s="286"/>
      <c r="P2" s="286"/>
      <c r="Q2" s="284"/>
      <c r="R2" s="286"/>
      <c r="S2" s="286"/>
      <c r="T2" s="286"/>
      <c r="U2" s="286"/>
      <c r="V2" s="286"/>
      <c r="W2" s="286"/>
      <c r="X2" s="286"/>
      <c r="Y2" s="284"/>
    </row>
    <row r="3">
      <c r="A3" s="288" t="s">
        <v>8649</v>
      </c>
      <c r="B3" s="325">
        <v>0.0</v>
      </c>
      <c r="C3" s="286"/>
      <c r="D3" s="286"/>
      <c r="E3" s="286"/>
      <c r="F3" s="286"/>
      <c r="G3" s="286"/>
      <c r="H3" s="286"/>
      <c r="I3" s="288"/>
      <c r="J3" s="286">
        <f>SUM(L3+K3)</f>
        <v>493</v>
      </c>
      <c r="K3" s="289">
        <f>COUNTIF(ARCHIVE!A3179:A4517,"J")</f>
        <v>493</v>
      </c>
      <c r="L3" s="289"/>
      <c r="M3" s="286"/>
      <c r="N3" s="286"/>
      <c r="O3" s="286"/>
      <c r="P3" s="286"/>
      <c r="Q3" s="284"/>
      <c r="R3" s="289">
        <f>SUM(B3+J3)</f>
        <v>493</v>
      </c>
      <c r="S3" s="286"/>
      <c r="T3" s="286"/>
      <c r="U3" s="286"/>
      <c r="V3" s="286"/>
      <c r="W3" s="286"/>
      <c r="X3" s="286"/>
      <c r="Y3" s="284"/>
    </row>
    <row r="4">
      <c r="A4" s="288"/>
      <c r="B4" s="289"/>
      <c r="C4" s="286"/>
      <c r="D4" s="286"/>
      <c r="E4" s="286"/>
      <c r="F4" s="286"/>
      <c r="G4" s="286"/>
      <c r="H4" s="286"/>
      <c r="I4" s="288"/>
      <c r="J4" s="286"/>
      <c r="K4" s="289"/>
      <c r="L4" s="287"/>
      <c r="M4" s="286"/>
      <c r="N4" s="286"/>
      <c r="O4" s="286"/>
      <c r="P4" s="286"/>
      <c r="Q4" s="284"/>
      <c r="R4" s="289"/>
      <c r="S4" s="286"/>
      <c r="T4" s="286"/>
      <c r="U4" s="286"/>
      <c r="V4" s="286"/>
      <c r="W4" s="286"/>
      <c r="X4" s="286"/>
      <c r="Y4" s="284"/>
    </row>
    <row r="5">
      <c r="A5" s="288"/>
      <c r="B5" s="289"/>
      <c r="C5" s="286"/>
      <c r="D5" s="286"/>
      <c r="E5" s="286"/>
      <c r="F5" s="286"/>
      <c r="G5" s="286"/>
      <c r="H5" s="286"/>
      <c r="I5" s="288"/>
      <c r="J5" s="286"/>
      <c r="K5" s="289"/>
      <c r="L5" s="287"/>
      <c r="M5" s="286"/>
      <c r="N5" s="286"/>
      <c r="O5" s="286"/>
      <c r="P5" s="286"/>
      <c r="Q5" s="284"/>
      <c r="R5" s="289"/>
      <c r="S5" s="286"/>
      <c r="T5" s="286"/>
      <c r="U5" s="286"/>
      <c r="V5" s="286"/>
      <c r="W5" s="286"/>
      <c r="X5" s="286"/>
      <c r="Y5" s="284"/>
    </row>
    <row r="6">
      <c r="A6" s="290"/>
      <c r="B6" s="286"/>
      <c r="C6" s="286"/>
      <c r="D6" s="286"/>
      <c r="E6" s="286"/>
      <c r="F6" s="286"/>
      <c r="G6" s="286"/>
      <c r="H6" s="286"/>
      <c r="I6" s="284"/>
      <c r="J6" s="286"/>
      <c r="K6" s="289"/>
      <c r="L6" s="287"/>
      <c r="M6" s="286"/>
      <c r="N6" s="286"/>
      <c r="O6" s="286"/>
      <c r="P6" s="286"/>
      <c r="Q6" s="284"/>
      <c r="R6" s="289"/>
      <c r="S6" s="286"/>
      <c r="T6" s="286"/>
      <c r="U6" s="286"/>
      <c r="V6" s="286"/>
      <c r="W6" s="286"/>
      <c r="X6" s="286"/>
      <c r="Y6" s="284"/>
    </row>
    <row r="7">
      <c r="A7" s="290"/>
      <c r="B7" s="286"/>
      <c r="C7" s="286"/>
      <c r="D7" s="286"/>
      <c r="E7" s="286"/>
      <c r="F7" s="286"/>
      <c r="G7" s="286"/>
      <c r="H7" s="286"/>
      <c r="I7" s="284"/>
      <c r="J7" s="286"/>
      <c r="K7" s="287"/>
      <c r="L7" s="287"/>
      <c r="M7" s="286"/>
      <c r="N7" s="286"/>
      <c r="O7" s="286"/>
      <c r="P7" s="286"/>
      <c r="Q7" s="284"/>
      <c r="R7" s="289"/>
      <c r="S7" s="286"/>
      <c r="T7" s="286"/>
      <c r="U7" s="286"/>
      <c r="V7" s="286"/>
      <c r="W7" s="286"/>
      <c r="X7" s="286"/>
      <c r="Y7" s="284"/>
    </row>
    <row r="8">
      <c r="A8" s="290" t="s">
        <v>9113</v>
      </c>
      <c r="B8" s="291">
        <v>0.0</v>
      </c>
      <c r="C8" s="286"/>
      <c r="D8" s="286"/>
      <c r="E8" s="286"/>
      <c r="F8" s="286"/>
      <c r="G8" s="286"/>
      <c r="H8" s="286"/>
      <c r="I8" s="284"/>
      <c r="J8" s="286">
        <f t="shared" ref="J8:J13" si="1">SUM(L8+K8)</f>
        <v>305</v>
      </c>
      <c r="K8" s="287">
        <f>COUNTIF(ARCHIVE!A3179:A4517,"H")</f>
        <v>305</v>
      </c>
      <c r="L8" s="287"/>
      <c r="M8" s="286"/>
      <c r="N8" s="286"/>
      <c r="O8" s="286"/>
      <c r="P8" s="286"/>
      <c r="Q8" s="284"/>
      <c r="R8" s="289">
        <f t="shared" ref="R8:R13" si="2">SUM(B8+J8)</f>
        <v>305</v>
      </c>
      <c r="S8" s="286"/>
      <c r="T8" s="286"/>
      <c r="U8" s="286"/>
      <c r="V8" s="286"/>
      <c r="W8" s="286"/>
      <c r="X8" s="286"/>
      <c r="Y8" s="284"/>
    </row>
    <row r="9">
      <c r="A9" s="290" t="s">
        <v>9122</v>
      </c>
      <c r="B9" s="291">
        <v>0.0</v>
      </c>
      <c r="C9" s="286"/>
      <c r="D9" s="286"/>
      <c r="E9" s="286"/>
      <c r="F9" s="286"/>
      <c r="G9" s="286"/>
      <c r="H9" s="286"/>
      <c r="I9" s="284"/>
      <c r="J9" s="286">
        <f t="shared" si="1"/>
        <v>207</v>
      </c>
      <c r="K9" s="287">
        <f>COUNTIF(ARCHIVE!A3179:A4517,"G")</f>
        <v>207</v>
      </c>
      <c r="L9" s="287"/>
      <c r="M9" s="286"/>
      <c r="N9" s="286"/>
      <c r="O9" s="286"/>
      <c r="P9" s="286"/>
      <c r="Q9" s="284"/>
      <c r="R9" s="289">
        <f t="shared" si="2"/>
        <v>207</v>
      </c>
      <c r="S9" s="286"/>
      <c r="T9" s="286"/>
      <c r="U9" s="286"/>
      <c r="V9" s="286"/>
      <c r="W9" s="286"/>
      <c r="X9" s="286"/>
      <c r="Y9" s="284"/>
    </row>
    <row r="10">
      <c r="A10" s="290" t="s">
        <v>6565</v>
      </c>
      <c r="B10" s="291">
        <v>0.0</v>
      </c>
      <c r="C10" s="286"/>
      <c r="D10" s="286"/>
      <c r="E10" s="286"/>
      <c r="F10" s="286"/>
      <c r="G10" s="286"/>
      <c r="H10" s="286"/>
      <c r="I10" s="284"/>
      <c r="J10" s="286">
        <f t="shared" si="1"/>
        <v>37</v>
      </c>
      <c r="K10" s="287">
        <f>COUNTIF(ARCHIVE!A3179:A4517,"JB")</f>
        <v>37</v>
      </c>
      <c r="L10" s="287"/>
      <c r="M10" s="286"/>
      <c r="N10" s="286"/>
      <c r="O10" s="286"/>
      <c r="P10" s="286"/>
      <c r="Q10" s="284"/>
      <c r="R10" s="286">
        <f t="shared" si="2"/>
        <v>37</v>
      </c>
      <c r="S10" s="286"/>
      <c r="T10" s="286"/>
      <c r="U10" s="286"/>
      <c r="V10" s="286"/>
      <c r="W10" s="286"/>
      <c r="X10" s="286"/>
      <c r="Y10" s="284"/>
    </row>
    <row r="11">
      <c r="A11" s="290" t="s">
        <v>9123</v>
      </c>
      <c r="B11" s="291">
        <v>0.0</v>
      </c>
      <c r="C11" s="286"/>
      <c r="D11" s="286"/>
      <c r="E11" s="286"/>
      <c r="F11" s="286"/>
      <c r="G11" s="286"/>
      <c r="H11" s="286"/>
      <c r="I11" s="284"/>
      <c r="J11" s="286">
        <f t="shared" si="1"/>
        <v>102</v>
      </c>
      <c r="K11" s="287">
        <f>COUNTIF(ARCHIVE!A3179:A4518,"L")</f>
        <v>102</v>
      </c>
      <c r="L11" s="287"/>
      <c r="M11" s="286"/>
      <c r="N11" s="286"/>
      <c r="O11" s="286"/>
      <c r="P11" s="286"/>
      <c r="Q11" s="284"/>
      <c r="R11" s="289">
        <f t="shared" si="2"/>
        <v>102</v>
      </c>
      <c r="S11" s="286"/>
      <c r="T11" s="286"/>
      <c r="U11" s="286"/>
      <c r="V11" s="286"/>
      <c r="W11" s="286"/>
      <c r="X11" s="286"/>
      <c r="Y11" s="284"/>
    </row>
    <row r="12">
      <c r="A12" s="290" t="s">
        <v>9124</v>
      </c>
      <c r="B12" s="291">
        <v>0.0</v>
      </c>
      <c r="C12" s="286"/>
      <c r="D12" s="286"/>
      <c r="E12" s="286"/>
      <c r="F12" s="286"/>
      <c r="G12" s="286"/>
      <c r="H12" s="286"/>
      <c r="I12" s="284"/>
      <c r="J12" s="286">
        <f t="shared" si="1"/>
        <v>26</v>
      </c>
      <c r="K12" s="287">
        <f>COUNTIF(ARCHIVE!A3179:A4518,"V")</f>
        <v>26</v>
      </c>
      <c r="L12" s="287"/>
      <c r="M12" s="286"/>
      <c r="N12" s="286"/>
      <c r="O12" s="286"/>
      <c r="P12" s="286"/>
      <c r="Q12" s="284"/>
      <c r="R12" s="286">
        <f t="shared" si="2"/>
        <v>26</v>
      </c>
      <c r="S12" s="286"/>
      <c r="T12" s="286"/>
      <c r="U12" s="286"/>
      <c r="V12" s="286"/>
      <c r="W12" s="286"/>
      <c r="X12" s="286"/>
      <c r="Y12" s="284"/>
    </row>
    <row r="13">
      <c r="A13" s="290" t="s">
        <v>8665</v>
      </c>
      <c r="B13" s="291">
        <v>0.0</v>
      </c>
      <c r="C13" s="286"/>
      <c r="D13" s="286"/>
      <c r="E13" s="286"/>
      <c r="F13" s="286"/>
      <c r="G13" s="286"/>
      <c r="H13" s="286"/>
      <c r="I13" s="284"/>
      <c r="J13" s="286">
        <f t="shared" si="1"/>
        <v>134</v>
      </c>
      <c r="K13" s="287">
        <f>COUNTIF(ARCHIVE!A3179:A4518,"C")</f>
        <v>134</v>
      </c>
      <c r="L13" s="287"/>
      <c r="M13" s="286"/>
      <c r="N13" s="286"/>
      <c r="O13" s="286"/>
      <c r="P13" s="286"/>
      <c r="Q13" s="284"/>
      <c r="R13" s="286">
        <f t="shared" si="2"/>
        <v>134</v>
      </c>
      <c r="S13" s="286"/>
      <c r="T13" s="286"/>
      <c r="U13" s="286"/>
      <c r="V13" s="286"/>
      <c r="W13" s="286"/>
      <c r="X13" s="286"/>
      <c r="Y13" s="284"/>
    </row>
    <row r="14">
      <c r="A14" s="284"/>
      <c r="B14" s="286"/>
      <c r="C14" s="286"/>
      <c r="D14" s="286"/>
      <c r="E14" s="286"/>
      <c r="F14" s="286"/>
      <c r="G14" s="286"/>
      <c r="H14" s="286"/>
      <c r="I14" s="284"/>
      <c r="J14" s="286"/>
      <c r="K14" s="287"/>
      <c r="L14" s="287"/>
      <c r="M14" s="286"/>
      <c r="N14" s="286"/>
      <c r="O14" s="286"/>
      <c r="P14" s="286"/>
      <c r="Q14" s="284"/>
      <c r="R14" s="286"/>
      <c r="S14" s="286"/>
      <c r="T14" s="286"/>
      <c r="U14" s="286"/>
      <c r="V14" s="286"/>
      <c r="W14" s="286"/>
      <c r="X14" s="286"/>
      <c r="Y14" s="284"/>
    </row>
    <row r="15">
      <c r="A15" s="284"/>
      <c r="B15" s="286"/>
      <c r="C15" s="286"/>
      <c r="D15" s="286"/>
      <c r="E15" s="286"/>
      <c r="F15" s="286"/>
      <c r="G15" s="286"/>
      <c r="H15" s="286"/>
      <c r="I15" s="284"/>
      <c r="J15" s="286"/>
      <c r="K15" s="287"/>
      <c r="L15" s="287"/>
      <c r="M15" s="286"/>
      <c r="N15" s="286"/>
      <c r="O15" s="286"/>
      <c r="P15" s="286"/>
      <c r="Q15" s="284"/>
      <c r="R15" s="286"/>
      <c r="S15" s="286"/>
      <c r="T15" s="286"/>
      <c r="U15" s="286"/>
      <c r="V15" s="286"/>
      <c r="W15" s="286"/>
      <c r="X15" s="286"/>
      <c r="Y15" s="284"/>
    </row>
    <row r="16">
      <c r="A16" s="284"/>
      <c r="B16" s="286"/>
      <c r="C16" s="286"/>
      <c r="D16" s="286"/>
      <c r="E16" s="286"/>
      <c r="F16" s="286"/>
      <c r="G16" s="286"/>
      <c r="H16" s="286"/>
      <c r="I16" s="284"/>
      <c r="J16" s="286"/>
      <c r="K16" s="287"/>
      <c r="L16" s="287"/>
      <c r="M16" s="286"/>
      <c r="N16" s="286"/>
      <c r="O16" s="286"/>
      <c r="P16" s="286"/>
      <c r="Q16" s="284"/>
      <c r="R16" s="286"/>
      <c r="S16" s="286"/>
      <c r="T16" s="286"/>
      <c r="U16" s="286"/>
      <c r="V16" s="286"/>
      <c r="W16" s="286"/>
      <c r="X16" s="286"/>
      <c r="Y16" s="284"/>
    </row>
    <row r="17">
      <c r="A17" s="284"/>
      <c r="B17" s="286"/>
      <c r="C17" s="286"/>
      <c r="D17" s="286"/>
      <c r="E17" s="286"/>
      <c r="F17" s="286"/>
      <c r="G17" s="286"/>
      <c r="H17" s="286"/>
      <c r="I17" s="284"/>
      <c r="J17" s="286"/>
      <c r="K17" s="287"/>
      <c r="L17" s="287"/>
      <c r="M17" s="286"/>
      <c r="N17" s="286"/>
      <c r="O17" s="286"/>
      <c r="P17" s="286"/>
      <c r="Q17" s="284"/>
      <c r="R17" s="286"/>
      <c r="S17" s="286"/>
      <c r="T17" s="286"/>
      <c r="U17" s="286"/>
      <c r="V17" s="286"/>
      <c r="W17" s="286"/>
      <c r="X17" s="286"/>
      <c r="Y17" s="284"/>
    </row>
    <row r="18">
      <c r="A18" s="284"/>
      <c r="B18" s="286"/>
      <c r="C18" s="286"/>
      <c r="D18" s="286"/>
      <c r="E18" s="286"/>
      <c r="F18" s="286"/>
      <c r="G18" s="286"/>
      <c r="H18" s="286"/>
      <c r="I18" s="284"/>
      <c r="J18" s="286"/>
      <c r="K18" s="287"/>
      <c r="L18" s="287"/>
      <c r="M18" s="286"/>
      <c r="N18" s="286"/>
      <c r="O18" s="286"/>
      <c r="P18" s="286"/>
      <c r="Q18" s="284"/>
      <c r="R18" s="286"/>
      <c r="S18" s="286"/>
      <c r="T18" s="286"/>
      <c r="U18" s="286"/>
      <c r="V18" s="286"/>
      <c r="W18" s="286"/>
      <c r="X18" s="286"/>
      <c r="Y18" s="284"/>
    </row>
    <row r="19">
      <c r="A19" s="284"/>
      <c r="B19" s="286"/>
      <c r="C19" s="286"/>
      <c r="D19" s="286"/>
      <c r="E19" s="286"/>
      <c r="F19" s="286"/>
      <c r="G19" s="286"/>
      <c r="H19" s="286"/>
      <c r="I19" s="284"/>
      <c r="J19" s="286"/>
      <c r="K19" s="287"/>
      <c r="L19" s="287"/>
      <c r="M19" s="286"/>
      <c r="N19" s="286"/>
      <c r="O19" s="286"/>
      <c r="P19" s="286"/>
      <c r="Q19" s="284"/>
      <c r="R19" s="286"/>
      <c r="S19" s="286"/>
      <c r="T19" s="286"/>
      <c r="U19" s="286"/>
      <c r="V19" s="286"/>
      <c r="W19" s="286"/>
      <c r="X19" s="286"/>
      <c r="Y19" s="284"/>
    </row>
    <row r="20">
      <c r="A20" s="284"/>
      <c r="B20" s="284"/>
      <c r="C20" s="284"/>
      <c r="D20" s="284"/>
      <c r="E20" s="284"/>
      <c r="F20" s="284"/>
      <c r="G20" s="284"/>
      <c r="H20" s="284"/>
      <c r="I20" s="284"/>
      <c r="J20" s="284"/>
      <c r="K20" s="293"/>
      <c r="L20" s="285"/>
      <c r="M20" s="284"/>
      <c r="N20" s="284"/>
      <c r="O20" s="284"/>
      <c r="P20" s="284"/>
      <c r="Q20" s="284"/>
      <c r="R20" s="284"/>
      <c r="S20" s="284"/>
      <c r="T20" s="284"/>
      <c r="U20" s="284"/>
      <c r="V20" s="284"/>
      <c r="W20" s="284"/>
      <c r="X20" s="284"/>
      <c r="Y20" s="284"/>
    </row>
    <row r="21">
      <c r="A21" s="284"/>
      <c r="B21" s="326">
        <v>45300.0</v>
      </c>
      <c r="C21" s="295">
        <v>44931.0</v>
      </c>
      <c r="D21" s="296" t="s">
        <v>9120</v>
      </c>
      <c r="F21" s="297">
        <f>NETWORKDAYS(C21, B21,)</f>
        <v>264</v>
      </c>
      <c r="G21" s="298"/>
      <c r="H21" s="299"/>
      <c r="I21" s="299"/>
      <c r="J21" s="284"/>
      <c r="K21" s="296" t="s">
        <v>9121</v>
      </c>
      <c r="M21" s="300">
        <f>SUM(R:R)</f>
        <v>1304</v>
      </c>
      <c r="N21" s="284"/>
      <c r="O21" s="284"/>
      <c r="P21" s="284"/>
      <c r="Q21" s="284"/>
      <c r="R21" s="284"/>
      <c r="S21" s="284"/>
      <c r="T21" s="284"/>
      <c r="U21" s="284"/>
      <c r="V21" s="284"/>
      <c r="W21" s="284"/>
      <c r="X21" s="284"/>
      <c r="Y21" s="284"/>
    </row>
  </sheetData>
  <mergeCells count="2">
    <mergeCell ref="D21:E21"/>
    <mergeCell ref="K21:L21"/>
  </mergeCells>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2.88"/>
    <col customWidth="1" min="4" max="4" width="24.75"/>
    <col customWidth="1" min="7" max="7" width="10.0"/>
    <col customWidth="1" min="8" max="8" width="0.38"/>
    <col customWidth="1" min="9" max="9" width="2.63"/>
    <col customWidth="1" min="10" max="10" width="2.88"/>
    <col customWidth="1" min="16" max="16" width="10.13"/>
    <col customWidth="1" min="17" max="17" width="2.63"/>
    <col customWidth="1" min="18" max="18" width="2.88"/>
    <col customWidth="1" min="24" max="24" width="9.75"/>
    <col customWidth="1" min="25" max="25" width="2.63"/>
  </cols>
  <sheetData>
    <row r="1" ht="15.0" customHeight="1">
      <c r="A1" s="284"/>
      <c r="B1" s="292"/>
      <c r="C1" s="292"/>
      <c r="D1" s="292"/>
      <c r="E1" s="292"/>
      <c r="F1" s="292"/>
      <c r="G1" s="292"/>
      <c r="H1" s="292"/>
      <c r="I1" s="284"/>
      <c r="J1" s="292"/>
      <c r="K1" s="327"/>
      <c r="L1" s="327"/>
      <c r="M1" s="292"/>
      <c r="N1" s="292"/>
      <c r="O1" s="292"/>
      <c r="P1" s="292"/>
      <c r="Q1" s="292"/>
      <c r="R1" s="292"/>
      <c r="S1" s="292"/>
      <c r="T1" s="292"/>
      <c r="U1" s="292"/>
      <c r="V1" s="292"/>
      <c r="W1" s="292"/>
      <c r="X1" s="292"/>
      <c r="Y1" s="292"/>
    </row>
    <row r="2">
      <c r="A2" s="284"/>
      <c r="B2" s="328"/>
      <c r="C2" s="328"/>
      <c r="D2" s="328"/>
      <c r="I2" s="284"/>
      <c r="J2" s="328"/>
      <c r="K2" s="329"/>
      <c r="L2" s="329"/>
      <c r="Q2" s="292"/>
      <c r="R2" s="328"/>
      <c r="S2" s="328"/>
      <c r="T2" s="328"/>
      <c r="U2" s="328"/>
      <c r="Y2" s="292"/>
    </row>
    <row r="3">
      <c r="A3" s="288" t="s">
        <v>8649</v>
      </c>
      <c r="B3" s="140">
        <v>0.0</v>
      </c>
      <c r="C3" s="328"/>
      <c r="D3" s="328"/>
      <c r="I3" s="288"/>
      <c r="J3" s="328">
        <f t="shared" ref="J3:J9" si="1">SUM(L3+K3)</f>
        <v>573</v>
      </c>
      <c r="K3" s="320">
        <f>COUNTIF(ARCHIVE!A21:A4286,"J")</f>
        <v>392</v>
      </c>
      <c r="L3" s="320">
        <f>COUNTIF(ARCHIVE!D:D,"Jordan")</f>
        <v>181</v>
      </c>
      <c r="Q3" s="292"/>
      <c r="R3" s="320">
        <f t="shared" ref="R3:R9" si="2">SUM(B3+J3)</f>
        <v>573</v>
      </c>
      <c r="S3" s="328"/>
      <c r="T3" s="328"/>
      <c r="U3" s="328"/>
      <c r="Y3" s="292"/>
    </row>
    <row r="4">
      <c r="A4" s="288" t="s">
        <v>8638</v>
      </c>
      <c r="B4" s="140">
        <v>0.0</v>
      </c>
      <c r="C4" s="328"/>
      <c r="D4" s="328"/>
      <c r="I4" s="288"/>
      <c r="J4" s="328">
        <f t="shared" si="1"/>
        <v>185</v>
      </c>
      <c r="K4" s="320">
        <f>COUNTIF(ARCHIVE!A21:A4286,"D")</f>
        <v>103</v>
      </c>
      <c r="L4" s="329">
        <f>COUNTIF(ARCHIVE!D:D,"David")</f>
        <v>82</v>
      </c>
      <c r="Q4" s="292"/>
      <c r="R4" s="320">
        <f t="shared" si="2"/>
        <v>185</v>
      </c>
      <c r="S4" s="328"/>
      <c r="T4" s="328"/>
      <c r="U4" s="328"/>
      <c r="Y4" s="292"/>
    </row>
    <row r="5">
      <c r="A5" s="288" t="s">
        <v>8665</v>
      </c>
      <c r="B5" s="140">
        <v>0.0</v>
      </c>
      <c r="C5" s="328"/>
      <c r="D5" s="328"/>
      <c r="I5" s="288"/>
      <c r="J5" s="328">
        <f t="shared" si="1"/>
        <v>208</v>
      </c>
      <c r="K5" s="320">
        <f>COUNTIF(ARCHIVE!A21:A4286,"C")</f>
        <v>79</v>
      </c>
      <c r="L5" s="329">
        <f>COUNTIF(ARCHIVE!D:D,"Carole")</f>
        <v>129</v>
      </c>
      <c r="Q5" s="292"/>
      <c r="R5" s="320">
        <f t="shared" si="2"/>
        <v>208</v>
      </c>
      <c r="S5" s="328"/>
      <c r="T5" s="328"/>
      <c r="U5" s="328"/>
      <c r="Y5" s="292"/>
    </row>
    <row r="6">
      <c r="A6" s="290" t="s">
        <v>8640</v>
      </c>
      <c r="B6" s="111">
        <v>0.0</v>
      </c>
      <c r="C6" s="328"/>
      <c r="D6" s="328"/>
      <c r="I6" s="284"/>
      <c r="J6" s="328">
        <f t="shared" si="1"/>
        <v>37</v>
      </c>
      <c r="K6" s="320">
        <f>COUNTIF(ARCHIVE!A21:A4286,"Q")</f>
        <v>33</v>
      </c>
      <c r="L6" s="329">
        <f>COUNTIF(ARCHIVE!D:D,"Quentin")</f>
        <v>4</v>
      </c>
      <c r="Q6" s="292"/>
      <c r="R6" s="320">
        <f t="shared" si="2"/>
        <v>37</v>
      </c>
      <c r="S6" s="328"/>
      <c r="T6" s="328"/>
      <c r="U6" s="328"/>
      <c r="Y6" s="292"/>
    </row>
    <row r="7">
      <c r="A7" s="290" t="s">
        <v>4270</v>
      </c>
      <c r="B7" s="111">
        <v>0.0</v>
      </c>
      <c r="C7" s="328"/>
      <c r="D7" s="328"/>
      <c r="I7" s="284"/>
      <c r="J7" s="328">
        <f t="shared" si="1"/>
        <v>21</v>
      </c>
      <c r="K7" s="329">
        <f>COUNTIF(ARCHIVE!A:A,"M")</f>
        <v>21</v>
      </c>
      <c r="L7" s="329"/>
      <c r="Q7" s="292"/>
      <c r="R7" s="320">
        <f t="shared" si="2"/>
        <v>21</v>
      </c>
      <c r="S7" s="328"/>
      <c r="T7" s="328"/>
      <c r="U7" s="328"/>
      <c r="Y7" s="292"/>
    </row>
    <row r="8">
      <c r="A8" s="290" t="s">
        <v>9113</v>
      </c>
      <c r="B8" s="111">
        <v>0.0</v>
      </c>
      <c r="C8" s="328"/>
      <c r="D8" s="328"/>
      <c r="I8" s="284"/>
      <c r="J8" s="328">
        <f t="shared" si="1"/>
        <v>99</v>
      </c>
      <c r="K8" s="329">
        <f>COUNTIF(ARCHIVE!A21:A4286,"H")</f>
        <v>99</v>
      </c>
      <c r="L8" s="329"/>
      <c r="Q8" s="292"/>
      <c r="R8" s="320">
        <f t="shared" si="2"/>
        <v>99</v>
      </c>
      <c r="S8" s="328"/>
      <c r="T8" s="328"/>
      <c r="U8" s="328"/>
      <c r="Y8" s="292"/>
    </row>
    <row r="9">
      <c r="A9" s="290" t="s">
        <v>9122</v>
      </c>
      <c r="B9" s="111">
        <v>0.0</v>
      </c>
      <c r="C9" s="328"/>
      <c r="D9" s="328"/>
      <c r="I9" s="284"/>
      <c r="J9" s="328">
        <f t="shared" si="1"/>
        <v>52</v>
      </c>
      <c r="K9" s="329">
        <f>COUNTIF(ARCHIVE!A21:A4286,"G")</f>
        <v>52</v>
      </c>
      <c r="L9" s="329"/>
      <c r="Q9" s="292"/>
      <c r="R9" s="320">
        <f t="shared" si="2"/>
        <v>52</v>
      </c>
      <c r="S9" s="328"/>
      <c r="T9" s="328"/>
      <c r="U9" s="328"/>
      <c r="Y9" s="292"/>
    </row>
    <row r="10">
      <c r="A10" s="284"/>
      <c r="B10" s="328"/>
      <c r="C10" s="328"/>
      <c r="D10" s="328"/>
      <c r="I10" s="284"/>
      <c r="J10" s="328"/>
      <c r="K10" s="329"/>
      <c r="L10" s="329"/>
      <c r="Q10" s="292"/>
      <c r="R10" s="328"/>
      <c r="S10" s="328"/>
      <c r="T10" s="328"/>
      <c r="U10" s="328"/>
      <c r="Y10" s="292"/>
    </row>
    <row r="11">
      <c r="A11" s="284"/>
      <c r="B11" s="328"/>
      <c r="C11" s="328"/>
      <c r="D11" s="328"/>
      <c r="I11" s="284"/>
      <c r="J11" s="328"/>
      <c r="K11" s="329"/>
      <c r="L11" s="329"/>
      <c r="Q11" s="292"/>
      <c r="R11" s="328"/>
      <c r="S11" s="328"/>
      <c r="T11" s="328"/>
      <c r="U11" s="328"/>
      <c r="Y11" s="292"/>
    </row>
    <row r="12">
      <c r="A12" s="284"/>
      <c r="B12" s="328"/>
      <c r="C12" s="328"/>
      <c r="D12" s="328"/>
      <c r="I12" s="284"/>
      <c r="J12" s="328"/>
      <c r="K12" s="329"/>
      <c r="L12" s="329"/>
      <c r="Q12" s="292"/>
      <c r="Y12" s="292"/>
    </row>
    <row r="13">
      <c r="A13" s="284"/>
      <c r="B13" s="328"/>
      <c r="C13" s="328"/>
      <c r="D13" s="328"/>
      <c r="I13" s="284"/>
      <c r="K13" s="329"/>
      <c r="L13" s="329"/>
      <c r="Q13" s="292"/>
      <c r="Y13" s="292"/>
    </row>
    <row r="14">
      <c r="A14" s="284"/>
      <c r="B14" s="328"/>
      <c r="C14" s="328"/>
      <c r="D14" s="328"/>
      <c r="I14" s="284"/>
      <c r="K14" s="329"/>
      <c r="L14" s="329"/>
      <c r="Q14" s="292"/>
      <c r="Y14" s="292"/>
    </row>
    <row r="15">
      <c r="A15" s="284"/>
      <c r="I15" s="284"/>
      <c r="K15" s="329"/>
      <c r="L15" s="329"/>
      <c r="Q15" s="292"/>
      <c r="Y15" s="292"/>
    </row>
    <row r="16">
      <c r="A16" s="284"/>
      <c r="I16" s="284"/>
      <c r="K16" s="329"/>
      <c r="L16" s="329"/>
      <c r="Q16" s="292"/>
      <c r="Y16" s="292"/>
    </row>
    <row r="17">
      <c r="A17" s="284"/>
      <c r="I17" s="284"/>
      <c r="K17" s="329"/>
      <c r="L17" s="329"/>
      <c r="Q17" s="292"/>
      <c r="Y17" s="292"/>
    </row>
    <row r="18">
      <c r="A18" s="284"/>
      <c r="I18" s="284"/>
      <c r="K18" s="329"/>
      <c r="L18" s="329"/>
      <c r="Q18" s="292"/>
      <c r="Y18" s="292"/>
    </row>
    <row r="19">
      <c r="A19" s="284"/>
      <c r="I19" s="284"/>
      <c r="K19" s="329"/>
      <c r="L19" s="329"/>
      <c r="Q19" s="292"/>
      <c r="Y19" s="292"/>
    </row>
    <row r="20">
      <c r="A20" s="284"/>
      <c r="B20" s="292"/>
      <c r="C20" s="292"/>
      <c r="D20" s="292"/>
      <c r="E20" s="292"/>
      <c r="F20" s="292"/>
      <c r="G20" s="292"/>
      <c r="H20" s="292"/>
      <c r="I20" s="284"/>
      <c r="J20" s="292"/>
      <c r="K20" s="330"/>
      <c r="L20" s="327"/>
      <c r="M20" s="292"/>
      <c r="N20" s="292"/>
      <c r="O20" s="292"/>
      <c r="P20" s="292"/>
      <c r="Q20" s="292"/>
      <c r="R20" s="292"/>
      <c r="S20" s="292"/>
      <c r="T20" s="292"/>
      <c r="U20" s="292"/>
      <c r="V20" s="292"/>
      <c r="W20" s="292"/>
      <c r="X20" s="292"/>
      <c r="Y20" s="292"/>
    </row>
    <row r="21">
      <c r="A21" s="284"/>
      <c r="B21" s="326">
        <v>45001.0</v>
      </c>
      <c r="C21" s="295">
        <v>44580.0</v>
      </c>
      <c r="D21" s="296" t="s">
        <v>9120</v>
      </c>
      <c r="F21" s="300">
        <f>NETWORKDAYS(C21, B21,)</f>
        <v>302</v>
      </c>
      <c r="G21" s="331"/>
      <c r="H21" s="292"/>
      <c r="I21" s="292"/>
      <c r="J21" s="292"/>
      <c r="K21" s="296" t="s">
        <v>9121</v>
      </c>
      <c r="M21" s="300">
        <f>SUM(R:R)</f>
        <v>1175</v>
      </c>
      <c r="N21" s="331"/>
      <c r="O21" s="292"/>
      <c r="P21" s="292"/>
      <c r="Q21" s="292"/>
      <c r="R21" s="292"/>
      <c r="S21" s="292"/>
      <c r="T21" s="292"/>
      <c r="U21" s="292"/>
      <c r="V21" s="292"/>
      <c r="W21" s="292"/>
      <c r="X21" s="292"/>
      <c r="Y21" s="292"/>
    </row>
  </sheetData>
  <mergeCells count="2">
    <mergeCell ref="D21:E21"/>
    <mergeCell ref="K21:L2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3" max="3" width="15.38"/>
    <col customWidth="1" min="4" max="4" width="62.38"/>
    <col customWidth="1" min="6" max="6" width="10.13"/>
    <col customWidth="1" min="7" max="7" width="2.63"/>
  </cols>
  <sheetData>
    <row r="1">
      <c r="A1" s="332"/>
      <c r="B1" s="332"/>
      <c r="C1" s="332"/>
      <c r="D1" s="332"/>
      <c r="E1" s="332"/>
      <c r="F1" s="332"/>
      <c r="G1" s="332"/>
    </row>
    <row r="2">
      <c r="A2" s="332"/>
      <c r="B2" s="333" t="s">
        <v>9164</v>
      </c>
      <c r="C2" s="333" t="s">
        <v>9165</v>
      </c>
      <c r="D2" s="333" t="s">
        <v>9166</v>
      </c>
      <c r="E2" s="333" t="s">
        <v>9167</v>
      </c>
      <c r="F2" s="333" t="s">
        <v>7692</v>
      </c>
      <c r="G2" s="332"/>
    </row>
    <row r="3">
      <c r="A3" s="332"/>
      <c r="B3" s="334" t="s">
        <v>1489</v>
      </c>
      <c r="C3" s="334" t="s">
        <v>9168</v>
      </c>
      <c r="D3" s="334" t="s">
        <v>9169</v>
      </c>
      <c r="E3" s="334" t="s">
        <v>8665</v>
      </c>
      <c r="F3" s="335" t="b">
        <v>0</v>
      </c>
      <c r="G3" s="332"/>
    </row>
    <row r="4">
      <c r="A4" s="332"/>
      <c r="B4" s="334" t="s">
        <v>1489</v>
      </c>
      <c r="C4" s="334" t="s">
        <v>9170</v>
      </c>
      <c r="D4" s="334" t="s">
        <v>9171</v>
      </c>
      <c r="E4" s="334"/>
      <c r="F4" s="335" t="b">
        <v>0</v>
      </c>
      <c r="G4" s="332"/>
    </row>
    <row r="5">
      <c r="A5" s="332"/>
      <c r="B5" s="334" t="s">
        <v>1489</v>
      </c>
      <c r="C5" s="334" t="s">
        <v>9172</v>
      </c>
      <c r="D5" s="334" t="s">
        <v>9173</v>
      </c>
      <c r="E5" s="334" t="s">
        <v>8665</v>
      </c>
      <c r="F5" s="335" t="b">
        <v>0</v>
      </c>
      <c r="G5" s="332"/>
    </row>
    <row r="6">
      <c r="A6" s="332"/>
      <c r="B6" s="334" t="s">
        <v>1097</v>
      </c>
      <c r="C6" s="334" t="s">
        <v>9174</v>
      </c>
      <c r="D6" s="334" t="s">
        <v>9175</v>
      </c>
      <c r="E6" s="334"/>
      <c r="F6" s="334" t="b">
        <v>1</v>
      </c>
      <c r="G6" s="332"/>
    </row>
    <row r="7">
      <c r="A7" s="332"/>
      <c r="B7" s="336" t="s">
        <v>1489</v>
      </c>
      <c r="C7" s="336" t="s">
        <v>9176</v>
      </c>
      <c r="D7" s="336" t="s">
        <v>9177</v>
      </c>
      <c r="E7" s="336" t="s">
        <v>8649</v>
      </c>
      <c r="F7" s="336" t="b">
        <v>1</v>
      </c>
      <c r="G7" s="332"/>
    </row>
    <row r="8">
      <c r="A8" s="332"/>
      <c r="B8" s="334" t="s">
        <v>1489</v>
      </c>
      <c r="C8" s="334" t="s">
        <v>9178</v>
      </c>
      <c r="D8" s="334" t="s">
        <v>9179</v>
      </c>
      <c r="E8" s="334"/>
      <c r="F8" s="335" t="b">
        <v>0</v>
      </c>
      <c r="G8" s="332"/>
    </row>
    <row r="9">
      <c r="A9" s="332"/>
      <c r="B9" s="334" t="s">
        <v>1489</v>
      </c>
      <c r="C9" s="334" t="s">
        <v>9180</v>
      </c>
      <c r="D9" s="334" t="s">
        <v>9181</v>
      </c>
      <c r="E9" s="334"/>
      <c r="F9" s="335" t="b">
        <v>0</v>
      </c>
      <c r="G9" s="332"/>
    </row>
    <row r="10">
      <c r="A10" s="332"/>
      <c r="B10" s="334" t="s">
        <v>1489</v>
      </c>
      <c r="C10" s="334" t="s">
        <v>9182</v>
      </c>
      <c r="D10" s="334" t="s">
        <v>9183</v>
      </c>
      <c r="E10" s="335"/>
      <c r="F10" s="335" t="b">
        <v>0</v>
      </c>
      <c r="G10" s="332"/>
    </row>
    <row r="11">
      <c r="A11" s="332"/>
      <c r="B11" s="334" t="s">
        <v>1489</v>
      </c>
      <c r="C11" s="334" t="s">
        <v>9184</v>
      </c>
      <c r="D11" s="334" t="s">
        <v>9185</v>
      </c>
      <c r="E11" s="335"/>
      <c r="F11" s="335" t="b">
        <v>0</v>
      </c>
      <c r="G11" s="332"/>
    </row>
    <row r="12">
      <c r="A12" s="332"/>
      <c r="B12" s="334" t="s">
        <v>1489</v>
      </c>
      <c r="C12" s="334" t="s">
        <v>9186</v>
      </c>
      <c r="D12" s="334" t="s">
        <v>9187</v>
      </c>
      <c r="E12" s="334"/>
      <c r="F12" s="334" t="b">
        <v>1</v>
      </c>
      <c r="G12" s="332"/>
    </row>
    <row r="13">
      <c r="A13" s="332"/>
      <c r="B13" s="334" t="s">
        <v>9188</v>
      </c>
      <c r="C13" s="335"/>
      <c r="D13" s="334" t="s">
        <v>9189</v>
      </c>
      <c r="E13" s="335"/>
      <c r="F13" s="335" t="b">
        <v>0</v>
      </c>
      <c r="G13" s="332"/>
    </row>
    <row r="14">
      <c r="A14" s="332"/>
      <c r="B14" s="334" t="s">
        <v>1489</v>
      </c>
      <c r="C14" s="335"/>
      <c r="D14" s="334" t="s">
        <v>9190</v>
      </c>
      <c r="E14" s="335"/>
      <c r="F14" s="335" t="b">
        <v>0</v>
      </c>
      <c r="G14" s="332"/>
    </row>
    <row r="15">
      <c r="A15" s="332"/>
      <c r="B15" s="334" t="s">
        <v>1489</v>
      </c>
      <c r="C15" s="335"/>
      <c r="D15" s="334" t="s">
        <v>9191</v>
      </c>
      <c r="E15" s="335"/>
      <c r="F15" s="335" t="b">
        <v>0</v>
      </c>
      <c r="G15" s="332"/>
    </row>
    <row r="16">
      <c r="A16" s="332"/>
      <c r="B16" s="335"/>
      <c r="C16" s="335"/>
      <c r="D16" s="335"/>
      <c r="E16" s="335"/>
      <c r="F16" s="335" t="b">
        <v>0</v>
      </c>
      <c r="G16" s="332"/>
    </row>
    <row r="17">
      <c r="A17" s="332"/>
      <c r="B17" s="335"/>
      <c r="C17" s="335"/>
      <c r="D17" s="335"/>
      <c r="E17" s="335"/>
      <c r="F17" s="335" t="b">
        <v>0</v>
      </c>
      <c r="G17" s="332"/>
    </row>
    <row r="18">
      <c r="A18" s="332"/>
      <c r="B18" s="335"/>
      <c r="C18" s="335"/>
      <c r="D18" s="335"/>
      <c r="E18" s="335"/>
      <c r="F18" s="335" t="b">
        <v>0</v>
      </c>
      <c r="G18" s="332"/>
    </row>
    <row r="19">
      <c r="A19" s="332"/>
      <c r="B19" s="335"/>
      <c r="C19" s="335"/>
      <c r="D19" s="335"/>
      <c r="E19" s="335"/>
      <c r="F19" s="335" t="b">
        <v>0</v>
      </c>
      <c r="G19" s="332"/>
    </row>
    <row r="20">
      <c r="A20" s="332"/>
      <c r="B20" s="335"/>
      <c r="C20" s="335"/>
      <c r="D20" s="335"/>
      <c r="E20" s="335"/>
      <c r="F20" s="335" t="b">
        <v>0</v>
      </c>
      <c r="G20" s="332"/>
    </row>
    <row r="21">
      <c r="A21" s="332"/>
      <c r="B21" s="335"/>
      <c r="C21" s="335"/>
      <c r="D21" s="335"/>
      <c r="E21" s="335"/>
      <c r="F21" s="335" t="b">
        <v>0</v>
      </c>
      <c r="G21" s="332"/>
    </row>
    <row r="22">
      <c r="A22" s="332"/>
      <c r="B22" s="335"/>
      <c r="C22" s="335"/>
      <c r="D22" s="335"/>
      <c r="E22" s="335"/>
      <c r="F22" s="335" t="b">
        <v>0</v>
      </c>
      <c r="G22" s="332"/>
    </row>
    <row r="23">
      <c r="A23" s="332"/>
      <c r="B23" s="335"/>
      <c r="C23" s="335"/>
      <c r="D23" s="335"/>
      <c r="E23" s="335"/>
      <c r="F23" s="335" t="b">
        <v>0</v>
      </c>
      <c r="G23" s="332"/>
    </row>
    <row r="24">
      <c r="A24" s="332"/>
      <c r="B24" s="335"/>
      <c r="C24" s="335"/>
      <c r="D24" s="335"/>
      <c r="E24" s="335"/>
      <c r="F24" s="335" t="b">
        <v>0</v>
      </c>
      <c r="G24" s="332"/>
    </row>
    <row r="25">
      <c r="A25" s="332"/>
      <c r="B25" s="335"/>
      <c r="C25" s="335"/>
      <c r="D25" s="335"/>
      <c r="E25" s="335"/>
      <c r="F25" s="335" t="b">
        <v>0</v>
      </c>
      <c r="G25" s="332"/>
    </row>
    <row r="26">
      <c r="A26" s="332"/>
      <c r="B26" s="335"/>
      <c r="C26" s="335"/>
      <c r="D26" s="335"/>
      <c r="E26" s="335"/>
      <c r="F26" s="335" t="b">
        <v>0</v>
      </c>
      <c r="G26" s="332"/>
    </row>
    <row r="27">
      <c r="A27" s="332"/>
      <c r="B27" s="335"/>
      <c r="C27" s="335"/>
      <c r="D27" s="335"/>
      <c r="E27" s="335"/>
      <c r="F27" s="335" t="b">
        <v>0</v>
      </c>
      <c r="G27" s="332"/>
    </row>
    <row r="28">
      <c r="A28" s="332"/>
      <c r="B28" s="335"/>
      <c r="C28" s="335"/>
      <c r="D28" s="335"/>
      <c r="E28" s="335"/>
      <c r="F28" s="335" t="b">
        <v>0</v>
      </c>
      <c r="G28" s="332"/>
    </row>
    <row r="29">
      <c r="A29" s="332"/>
      <c r="B29" s="335"/>
      <c r="C29" s="335"/>
      <c r="D29" s="335"/>
      <c r="E29" s="335"/>
      <c r="F29" s="335" t="b">
        <v>0</v>
      </c>
      <c r="G29" s="332"/>
    </row>
    <row r="30">
      <c r="A30" s="332"/>
      <c r="B30" s="335"/>
      <c r="C30" s="335"/>
      <c r="D30" s="335"/>
      <c r="E30" s="335"/>
      <c r="F30" s="335" t="b">
        <v>0</v>
      </c>
      <c r="G30" s="332"/>
    </row>
    <row r="31">
      <c r="A31" s="332"/>
      <c r="B31" s="335"/>
      <c r="C31" s="335"/>
      <c r="D31" s="335"/>
      <c r="E31" s="335"/>
      <c r="F31" s="335" t="b">
        <v>0</v>
      </c>
      <c r="G31" s="332"/>
    </row>
    <row r="32">
      <c r="A32" s="332"/>
      <c r="B32" s="335"/>
      <c r="C32" s="335"/>
      <c r="D32" s="335"/>
      <c r="E32" s="335"/>
      <c r="F32" s="335" t="b">
        <v>0</v>
      </c>
      <c r="G32" s="332"/>
    </row>
    <row r="33">
      <c r="A33" s="332"/>
      <c r="B33" s="335"/>
      <c r="C33" s="335"/>
      <c r="D33" s="335"/>
      <c r="E33" s="335"/>
      <c r="F33" s="335" t="b">
        <v>0</v>
      </c>
      <c r="G33" s="332"/>
    </row>
    <row r="34">
      <c r="A34" s="332"/>
      <c r="B34" s="335"/>
      <c r="C34" s="335"/>
      <c r="D34" s="335"/>
      <c r="E34" s="335"/>
      <c r="F34" s="335" t="b">
        <v>0</v>
      </c>
      <c r="G34" s="332"/>
    </row>
    <row r="35">
      <c r="A35" s="332"/>
      <c r="B35" s="335"/>
      <c r="C35" s="335"/>
      <c r="D35" s="335"/>
      <c r="E35" s="335"/>
      <c r="F35" s="335" t="b">
        <v>0</v>
      </c>
      <c r="G35" s="332"/>
    </row>
    <row r="36">
      <c r="A36" s="332"/>
      <c r="B36" s="335"/>
      <c r="C36" s="335"/>
      <c r="D36" s="335"/>
      <c r="E36" s="335"/>
      <c r="F36" s="335" t="b">
        <v>0</v>
      </c>
      <c r="G36" s="332"/>
    </row>
    <row r="37">
      <c r="A37" s="332"/>
      <c r="B37" s="335"/>
      <c r="C37" s="335"/>
      <c r="D37" s="335"/>
      <c r="E37" s="335"/>
      <c r="F37" s="335" t="b">
        <v>0</v>
      </c>
      <c r="G37" s="332"/>
    </row>
    <row r="38">
      <c r="A38" s="332"/>
      <c r="B38" s="335"/>
      <c r="C38" s="335"/>
      <c r="D38" s="335"/>
      <c r="E38" s="335"/>
      <c r="F38" s="335" t="b">
        <v>0</v>
      </c>
      <c r="G38" s="332"/>
    </row>
    <row r="39">
      <c r="A39" s="332"/>
      <c r="B39" s="335"/>
      <c r="C39" s="335"/>
      <c r="D39" s="335"/>
      <c r="E39" s="335"/>
      <c r="F39" s="335" t="b">
        <v>0</v>
      </c>
      <c r="G39" s="332"/>
    </row>
    <row r="40">
      <c r="A40" s="332"/>
      <c r="B40" s="335"/>
      <c r="C40" s="335"/>
      <c r="D40" s="335"/>
      <c r="E40" s="335"/>
      <c r="F40" s="335" t="b">
        <v>0</v>
      </c>
      <c r="G40" s="332"/>
    </row>
    <row r="41">
      <c r="A41" s="332"/>
      <c r="B41" s="335"/>
      <c r="C41" s="335"/>
      <c r="D41" s="335"/>
      <c r="E41" s="335"/>
      <c r="F41" s="335" t="b">
        <v>0</v>
      </c>
      <c r="G41" s="332"/>
    </row>
    <row r="42">
      <c r="A42" s="332"/>
      <c r="B42" s="335"/>
      <c r="C42" s="335"/>
      <c r="D42" s="335"/>
      <c r="E42" s="335"/>
      <c r="F42" s="335" t="b">
        <v>0</v>
      </c>
      <c r="G42" s="332"/>
    </row>
    <row r="43">
      <c r="A43" s="332"/>
      <c r="B43" s="335"/>
      <c r="C43" s="335"/>
      <c r="D43" s="335"/>
      <c r="E43" s="335"/>
      <c r="F43" s="335" t="b">
        <v>0</v>
      </c>
      <c r="G43" s="332"/>
    </row>
    <row r="44">
      <c r="A44" s="332"/>
      <c r="B44" s="335"/>
      <c r="C44" s="335"/>
      <c r="D44" s="335"/>
      <c r="E44" s="335"/>
      <c r="F44" s="335" t="b">
        <v>0</v>
      </c>
      <c r="G44" s="332"/>
    </row>
    <row r="45">
      <c r="A45" s="332"/>
      <c r="B45" s="335"/>
      <c r="C45" s="335"/>
      <c r="D45" s="335"/>
      <c r="E45" s="335"/>
      <c r="F45" s="335" t="b">
        <v>0</v>
      </c>
      <c r="G45" s="332"/>
    </row>
    <row r="46">
      <c r="A46" s="332"/>
      <c r="B46" s="335"/>
      <c r="C46" s="335"/>
      <c r="D46" s="335"/>
      <c r="E46" s="335"/>
      <c r="F46" s="335" t="b">
        <v>0</v>
      </c>
      <c r="G46" s="332"/>
    </row>
    <row r="47">
      <c r="A47" s="332"/>
      <c r="B47" s="335"/>
      <c r="C47" s="335"/>
      <c r="D47" s="335"/>
      <c r="E47" s="335"/>
      <c r="F47" s="335" t="b">
        <v>0</v>
      </c>
      <c r="G47" s="332"/>
    </row>
    <row r="48">
      <c r="A48" s="332"/>
      <c r="B48" s="335"/>
      <c r="C48" s="335"/>
      <c r="D48" s="335"/>
      <c r="E48" s="335"/>
      <c r="F48" s="335" t="b">
        <v>0</v>
      </c>
      <c r="G48" s="332"/>
    </row>
    <row r="49">
      <c r="A49" s="332"/>
      <c r="B49" s="335"/>
      <c r="C49" s="335"/>
      <c r="D49" s="335"/>
      <c r="E49" s="335"/>
      <c r="F49" s="335" t="b">
        <v>0</v>
      </c>
      <c r="G49" s="332"/>
    </row>
    <row r="50">
      <c r="A50" s="332"/>
      <c r="B50" s="335"/>
      <c r="C50" s="335"/>
      <c r="D50" s="335"/>
      <c r="E50" s="335"/>
      <c r="F50" s="335" t="b">
        <v>0</v>
      </c>
      <c r="G50" s="332"/>
    </row>
    <row r="51">
      <c r="A51" s="332"/>
      <c r="B51" s="335"/>
      <c r="C51" s="335"/>
      <c r="D51" s="335"/>
      <c r="E51" s="335"/>
      <c r="F51" s="335" t="b">
        <v>0</v>
      </c>
      <c r="G51" s="332"/>
    </row>
    <row r="52">
      <c r="A52" s="332"/>
      <c r="B52" s="335"/>
      <c r="C52" s="335"/>
      <c r="D52" s="335"/>
      <c r="E52" s="335"/>
      <c r="F52" s="335" t="b">
        <v>0</v>
      </c>
      <c r="G52" s="332"/>
    </row>
    <row r="53">
      <c r="A53" s="332"/>
      <c r="B53" s="335"/>
      <c r="C53" s="335"/>
      <c r="D53" s="335"/>
      <c r="E53" s="335"/>
      <c r="F53" s="335" t="b">
        <v>0</v>
      </c>
      <c r="G53" s="332"/>
    </row>
    <row r="54">
      <c r="A54" s="332"/>
      <c r="B54" s="335"/>
      <c r="C54" s="335"/>
      <c r="D54" s="335"/>
      <c r="E54" s="335"/>
      <c r="F54" s="335" t="b">
        <v>0</v>
      </c>
      <c r="G54" s="332"/>
    </row>
    <row r="55">
      <c r="A55" s="332"/>
      <c r="B55" s="335"/>
      <c r="C55" s="335"/>
      <c r="D55" s="335"/>
      <c r="E55" s="335"/>
      <c r="F55" s="335" t="b">
        <v>0</v>
      </c>
      <c r="G55" s="332"/>
    </row>
    <row r="56">
      <c r="A56" s="332"/>
      <c r="B56" s="335"/>
      <c r="C56" s="335"/>
      <c r="D56" s="335"/>
      <c r="E56" s="335"/>
      <c r="F56" s="335" t="b">
        <v>0</v>
      </c>
      <c r="G56" s="332"/>
    </row>
    <row r="57">
      <c r="A57" s="332"/>
      <c r="B57" s="335"/>
      <c r="C57" s="335"/>
      <c r="D57" s="335"/>
      <c r="E57" s="335"/>
      <c r="F57" s="335" t="b">
        <v>0</v>
      </c>
      <c r="G57" s="332"/>
    </row>
    <row r="58">
      <c r="A58" s="332"/>
      <c r="B58" s="335"/>
      <c r="C58" s="335"/>
      <c r="D58" s="335"/>
      <c r="E58" s="335"/>
      <c r="F58" s="335" t="b">
        <v>0</v>
      </c>
      <c r="G58" s="332"/>
    </row>
    <row r="59">
      <c r="A59" s="332"/>
      <c r="B59" s="335"/>
      <c r="C59" s="335"/>
      <c r="D59" s="335"/>
      <c r="E59" s="335"/>
      <c r="F59" s="335" t="b">
        <v>0</v>
      </c>
      <c r="G59" s="332"/>
    </row>
    <row r="60">
      <c r="A60" s="332"/>
      <c r="B60" s="335"/>
      <c r="C60" s="335"/>
      <c r="D60" s="335"/>
      <c r="E60" s="335"/>
      <c r="F60" s="335" t="b">
        <v>0</v>
      </c>
      <c r="G60" s="332"/>
    </row>
    <row r="61">
      <c r="A61" s="332"/>
      <c r="B61" s="335"/>
      <c r="C61" s="335"/>
      <c r="D61" s="335"/>
      <c r="E61" s="335"/>
      <c r="F61" s="335" t="b">
        <v>0</v>
      </c>
      <c r="G61" s="332"/>
    </row>
    <row r="62">
      <c r="A62" s="332"/>
      <c r="B62" s="335"/>
      <c r="C62" s="335"/>
      <c r="D62" s="335"/>
      <c r="E62" s="335"/>
      <c r="F62" s="335" t="b">
        <v>0</v>
      </c>
      <c r="G62" s="332"/>
    </row>
    <row r="63">
      <c r="A63" s="332"/>
      <c r="B63" s="335"/>
      <c r="C63" s="335"/>
      <c r="D63" s="335"/>
      <c r="E63" s="335"/>
      <c r="F63" s="335" t="b">
        <v>0</v>
      </c>
      <c r="G63" s="332"/>
    </row>
    <row r="64">
      <c r="A64" s="332"/>
      <c r="B64" s="335"/>
      <c r="C64" s="335"/>
      <c r="D64" s="335"/>
      <c r="E64" s="335"/>
      <c r="F64" s="335" t="b">
        <v>0</v>
      </c>
      <c r="G64" s="332"/>
    </row>
    <row r="65">
      <c r="A65" s="332"/>
      <c r="B65" s="335"/>
      <c r="C65" s="335"/>
      <c r="D65" s="335"/>
      <c r="E65" s="335"/>
      <c r="F65" s="335" t="b">
        <v>0</v>
      </c>
      <c r="G65" s="332"/>
    </row>
    <row r="66">
      <c r="A66" s="332"/>
      <c r="B66" s="335"/>
      <c r="C66" s="335"/>
      <c r="D66" s="335"/>
      <c r="E66" s="335"/>
      <c r="F66" s="335" t="b">
        <v>0</v>
      </c>
      <c r="G66" s="332"/>
    </row>
    <row r="67">
      <c r="A67" s="332"/>
      <c r="B67" s="335"/>
      <c r="C67" s="335"/>
      <c r="D67" s="335"/>
      <c r="E67" s="335"/>
      <c r="F67" s="335" t="b">
        <v>0</v>
      </c>
      <c r="G67" s="332"/>
    </row>
    <row r="68">
      <c r="A68" s="332"/>
      <c r="B68" s="335"/>
      <c r="C68" s="335"/>
      <c r="D68" s="335"/>
      <c r="E68" s="335"/>
      <c r="F68" s="335" t="b">
        <v>0</v>
      </c>
      <c r="G68" s="332"/>
    </row>
    <row r="69">
      <c r="A69" s="332"/>
      <c r="B69" s="335"/>
      <c r="C69" s="335"/>
      <c r="D69" s="335"/>
      <c r="E69" s="335"/>
      <c r="F69" s="335" t="b">
        <v>0</v>
      </c>
      <c r="G69" s="332"/>
    </row>
    <row r="70">
      <c r="A70" s="332"/>
      <c r="B70" s="335"/>
      <c r="C70" s="335"/>
      <c r="D70" s="335"/>
      <c r="E70" s="335"/>
      <c r="F70" s="335" t="b">
        <v>0</v>
      </c>
      <c r="G70" s="332"/>
    </row>
    <row r="71">
      <c r="A71" s="332"/>
      <c r="B71" s="335"/>
      <c r="C71" s="335"/>
      <c r="D71" s="335"/>
      <c r="E71" s="335"/>
      <c r="F71" s="335" t="b">
        <v>0</v>
      </c>
      <c r="G71" s="332"/>
    </row>
    <row r="72">
      <c r="A72" s="332"/>
      <c r="B72" s="335"/>
      <c r="C72" s="335"/>
      <c r="D72" s="335"/>
      <c r="E72" s="335"/>
      <c r="F72" s="335" t="b">
        <v>0</v>
      </c>
      <c r="G72" s="332"/>
    </row>
    <row r="73">
      <c r="A73" s="332"/>
      <c r="B73" s="335"/>
      <c r="C73" s="335"/>
      <c r="D73" s="335"/>
      <c r="E73" s="335"/>
      <c r="F73" s="335" t="b">
        <v>0</v>
      </c>
      <c r="G73" s="332"/>
    </row>
    <row r="74">
      <c r="A74" s="332"/>
      <c r="B74" s="335"/>
      <c r="C74" s="335"/>
      <c r="D74" s="335"/>
      <c r="E74" s="335"/>
      <c r="F74" s="335" t="b">
        <v>0</v>
      </c>
      <c r="G74" s="332"/>
    </row>
    <row r="75">
      <c r="A75" s="332"/>
      <c r="B75" s="335"/>
      <c r="C75" s="335"/>
      <c r="D75" s="335"/>
      <c r="E75" s="335"/>
      <c r="F75" s="335" t="b">
        <v>0</v>
      </c>
      <c r="G75" s="332"/>
    </row>
    <row r="76">
      <c r="A76" s="332"/>
      <c r="B76" s="335"/>
      <c r="C76" s="335"/>
      <c r="D76" s="335"/>
      <c r="E76" s="335"/>
      <c r="F76" s="335" t="b">
        <v>0</v>
      </c>
      <c r="G76" s="332"/>
    </row>
    <row r="77">
      <c r="A77" s="332"/>
      <c r="B77" s="335"/>
      <c r="C77" s="335"/>
      <c r="D77" s="335"/>
      <c r="E77" s="335"/>
      <c r="F77" s="335" t="b">
        <v>0</v>
      </c>
      <c r="G77" s="332"/>
    </row>
    <row r="78">
      <c r="A78" s="332"/>
      <c r="B78" s="335"/>
      <c r="C78" s="335"/>
      <c r="D78" s="335"/>
      <c r="E78" s="335"/>
      <c r="F78" s="335" t="b">
        <v>0</v>
      </c>
      <c r="G78" s="332"/>
    </row>
    <row r="79">
      <c r="A79" s="332"/>
      <c r="B79" s="335"/>
      <c r="C79" s="335"/>
      <c r="D79" s="335"/>
      <c r="E79" s="335"/>
      <c r="F79" s="335" t="b">
        <v>0</v>
      </c>
      <c r="G79" s="332"/>
    </row>
    <row r="80">
      <c r="A80" s="332"/>
      <c r="B80" s="335"/>
      <c r="C80" s="335"/>
      <c r="D80" s="335"/>
      <c r="E80" s="335"/>
      <c r="F80" s="335" t="b">
        <v>0</v>
      </c>
      <c r="G80" s="332"/>
    </row>
    <row r="81">
      <c r="A81" s="332"/>
      <c r="B81" s="335"/>
      <c r="C81" s="335"/>
      <c r="D81" s="335"/>
      <c r="E81" s="335"/>
      <c r="F81" s="335" t="b">
        <v>0</v>
      </c>
      <c r="G81" s="332"/>
    </row>
    <row r="82">
      <c r="A82" s="332"/>
      <c r="B82" s="335"/>
      <c r="C82" s="335"/>
      <c r="D82" s="335"/>
      <c r="E82" s="335"/>
      <c r="F82" s="335" t="b">
        <v>0</v>
      </c>
      <c r="G82" s="332"/>
    </row>
    <row r="83">
      <c r="A83" s="332"/>
      <c r="B83" s="335"/>
      <c r="C83" s="335"/>
      <c r="D83" s="335"/>
      <c r="E83" s="335"/>
      <c r="F83" s="335" t="b">
        <v>0</v>
      </c>
      <c r="G83" s="332"/>
    </row>
    <row r="84">
      <c r="A84" s="332"/>
      <c r="B84" s="335"/>
      <c r="C84" s="335"/>
      <c r="D84" s="335"/>
      <c r="E84" s="335"/>
      <c r="F84" s="335" t="b">
        <v>0</v>
      </c>
      <c r="G84" s="332"/>
    </row>
    <row r="85">
      <c r="A85" s="332"/>
      <c r="B85" s="335"/>
      <c r="C85" s="335"/>
      <c r="D85" s="335"/>
      <c r="E85" s="335"/>
      <c r="F85" s="335" t="b">
        <v>0</v>
      </c>
      <c r="G85" s="332"/>
    </row>
    <row r="86">
      <c r="A86" s="332"/>
      <c r="B86" s="335"/>
      <c r="C86" s="335"/>
      <c r="D86" s="335"/>
      <c r="E86" s="335"/>
      <c r="F86" s="335" t="b">
        <v>0</v>
      </c>
      <c r="G86" s="332"/>
    </row>
    <row r="87">
      <c r="A87" s="332"/>
      <c r="B87" s="335"/>
      <c r="C87" s="335"/>
      <c r="D87" s="335"/>
      <c r="E87" s="335"/>
      <c r="F87" s="335" t="b">
        <v>0</v>
      </c>
      <c r="G87" s="332"/>
    </row>
    <row r="88">
      <c r="A88" s="332"/>
      <c r="B88" s="335"/>
      <c r="C88" s="335"/>
      <c r="D88" s="335"/>
      <c r="E88" s="335"/>
      <c r="F88" s="335" t="b">
        <v>0</v>
      </c>
      <c r="G88" s="332"/>
    </row>
    <row r="89">
      <c r="A89" s="332"/>
      <c r="B89" s="335"/>
      <c r="C89" s="335"/>
      <c r="D89" s="335"/>
      <c r="E89" s="335"/>
      <c r="F89" s="335" t="b">
        <v>0</v>
      </c>
      <c r="G89" s="332"/>
    </row>
    <row r="90">
      <c r="A90" s="332"/>
      <c r="B90" s="335"/>
      <c r="C90" s="335"/>
      <c r="D90" s="335"/>
      <c r="E90" s="335"/>
      <c r="F90" s="335" t="b">
        <v>0</v>
      </c>
      <c r="G90" s="332"/>
    </row>
    <row r="91">
      <c r="A91" s="332"/>
      <c r="B91" s="335"/>
      <c r="C91" s="335"/>
      <c r="D91" s="335"/>
      <c r="E91" s="335"/>
      <c r="F91" s="335" t="b">
        <v>0</v>
      </c>
      <c r="G91" s="332"/>
    </row>
    <row r="92">
      <c r="A92" s="332"/>
      <c r="B92" s="335"/>
      <c r="C92" s="335"/>
      <c r="D92" s="335"/>
      <c r="E92" s="335"/>
      <c r="F92" s="335" t="b">
        <v>0</v>
      </c>
      <c r="G92" s="332"/>
    </row>
    <row r="93">
      <c r="A93" s="332"/>
      <c r="B93" s="335"/>
      <c r="C93" s="335"/>
      <c r="D93" s="335"/>
      <c r="E93" s="335"/>
      <c r="F93" s="335" t="b">
        <v>0</v>
      </c>
      <c r="G93" s="332"/>
    </row>
    <row r="94">
      <c r="A94" s="332"/>
      <c r="B94" s="335"/>
      <c r="C94" s="335"/>
      <c r="D94" s="335"/>
      <c r="E94" s="335"/>
      <c r="F94" s="335" t="b">
        <v>0</v>
      </c>
      <c r="G94" s="332"/>
    </row>
    <row r="95">
      <c r="A95" s="332"/>
      <c r="B95" s="335"/>
      <c r="C95" s="335"/>
      <c r="D95" s="335"/>
      <c r="E95" s="335"/>
      <c r="F95" s="335" t="b">
        <v>0</v>
      </c>
      <c r="G95" s="332"/>
    </row>
    <row r="96">
      <c r="A96" s="332"/>
      <c r="B96" s="335"/>
      <c r="C96" s="335"/>
      <c r="D96" s="335"/>
      <c r="E96" s="335"/>
      <c r="F96" s="335" t="b">
        <v>0</v>
      </c>
      <c r="G96" s="332"/>
    </row>
    <row r="97">
      <c r="A97" s="332"/>
      <c r="B97" s="335"/>
      <c r="C97" s="335"/>
      <c r="D97" s="335"/>
      <c r="E97" s="335"/>
      <c r="F97" s="335" t="b">
        <v>0</v>
      </c>
      <c r="G97" s="332"/>
    </row>
    <row r="98">
      <c r="A98" s="332"/>
      <c r="B98" s="335"/>
      <c r="C98" s="335"/>
      <c r="D98" s="335"/>
      <c r="E98" s="335"/>
      <c r="F98" s="335" t="b">
        <v>0</v>
      </c>
      <c r="G98" s="332"/>
    </row>
    <row r="99">
      <c r="A99" s="332"/>
      <c r="B99" s="335"/>
      <c r="C99" s="335"/>
      <c r="D99" s="335"/>
      <c r="E99" s="335"/>
      <c r="F99" s="335" t="b">
        <v>0</v>
      </c>
      <c r="G99" s="332"/>
    </row>
    <row r="100">
      <c r="A100" s="332"/>
      <c r="B100" s="335"/>
      <c r="C100" s="335"/>
      <c r="D100" s="335"/>
      <c r="E100" s="335"/>
      <c r="F100" s="335" t="b">
        <v>0</v>
      </c>
      <c r="G100" s="332"/>
    </row>
    <row r="101">
      <c r="A101" s="332"/>
      <c r="B101" s="335"/>
      <c r="C101" s="335"/>
      <c r="D101" s="335"/>
      <c r="E101" s="335"/>
      <c r="F101" s="335" t="b">
        <v>0</v>
      </c>
      <c r="G101" s="332"/>
    </row>
    <row r="102">
      <c r="A102" s="332"/>
      <c r="B102" s="335"/>
      <c r="C102" s="335"/>
      <c r="D102" s="335"/>
      <c r="E102" s="335"/>
      <c r="F102" s="335" t="b">
        <v>0</v>
      </c>
      <c r="G102" s="332"/>
    </row>
    <row r="103">
      <c r="A103" s="332"/>
      <c r="B103" s="335"/>
      <c r="C103" s="335"/>
      <c r="D103" s="335"/>
      <c r="E103" s="335"/>
      <c r="F103" s="335" t="b">
        <v>0</v>
      </c>
      <c r="G103" s="332"/>
    </row>
    <row r="104">
      <c r="A104" s="332"/>
      <c r="B104" s="335"/>
      <c r="C104" s="335"/>
      <c r="D104" s="335"/>
      <c r="E104" s="335"/>
      <c r="F104" s="335" t="b">
        <v>0</v>
      </c>
      <c r="G104" s="332"/>
    </row>
    <row r="105">
      <c r="A105" s="332"/>
      <c r="B105" s="335"/>
      <c r="C105" s="335"/>
      <c r="D105" s="335"/>
      <c r="E105" s="335"/>
      <c r="F105" s="335" t="b">
        <v>0</v>
      </c>
      <c r="G105" s="332"/>
    </row>
    <row r="106">
      <c r="A106" s="332"/>
      <c r="B106" s="335"/>
      <c r="C106" s="335"/>
      <c r="D106" s="335"/>
      <c r="E106" s="335"/>
      <c r="F106" s="335" t="b">
        <v>0</v>
      </c>
      <c r="G106" s="332"/>
    </row>
    <row r="107">
      <c r="A107" s="332"/>
      <c r="B107" s="335"/>
      <c r="C107" s="335"/>
      <c r="D107" s="335"/>
      <c r="E107" s="335"/>
      <c r="F107" s="335" t="b">
        <v>0</v>
      </c>
      <c r="G107" s="332"/>
    </row>
    <row r="108">
      <c r="A108" s="332"/>
      <c r="B108" s="335"/>
      <c r="C108" s="335"/>
      <c r="D108" s="335"/>
      <c r="E108" s="335"/>
      <c r="F108" s="335" t="b">
        <v>0</v>
      </c>
      <c r="G108" s="332"/>
    </row>
    <row r="109">
      <c r="A109" s="332"/>
      <c r="B109" s="335"/>
      <c r="C109" s="335"/>
      <c r="D109" s="335"/>
      <c r="E109" s="335"/>
      <c r="F109" s="335" t="b">
        <v>0</v>
      </c>
      <c r="G109" s="332"/>
    </row>
    <row r="110">
      <c r="A110" s="332"/>
      <c r="B110" s="335"/>
      <c r="C110" s="335"/>
      <c r="D110" s="335"/>
      <c r="E110" s="335"/>
      <c r="F110" s="335" t="b">
        <v>0</v>
      </c>
      <c r="G110" s="332"/>
    </row>
    <row r="111">
      <c r="A111" s="332"/>
      <c r="B111" s="335"/>
      <c r="C111" s="335"/>
      <c r="D111" s="335"/>
      <c r="E111" s="335"/>
      <c r="F111" s="335" t="b">
        <v>0</v>
      </c>
      <c r="G111" s="332"/>
    </row>
    <row r="112">
      <c r="A112" s="332"/>
      <c r="B112" s="335"/>
      <c r="C112" s="335"/>
      <c r="D112" s="335"/>
      <c r="E112" s="335"/>
      <c r="F112" s="335" t="b">
        <v>0</v>
      </c>
      <c r="G112" s="332"/>
    </row>
    <row r="113">
      <c r="A113" s="332"/>
      <c r="B113" s="335"/>
      <c r="C113" s="335"/>
      <c r="D113" s="335"/>
      <c r="E113" s="335"/>
      <c r="F113" s="335" t="b">
        <v>0</v>
      </c>
      <c r="G113" s="332"/>
    </row>
    <row r="114">
      <c r="A114" s="332"/>
      <c r="B114" s="335"/>
      <c r="C114" s="335"/>
      <c r="D114" s="335"/>
      <c r="E114" s="335"/>
      <c r="F114" s="335" t="b">
        <v>0</v>
      </c>
      <c r="G114" s="332"/>
    </row>
    <row r="115">
      <c r="A115" s="332"/>
      <c r="B115" s="335"/>
      <c r="C115" s="335"/>
      <c r="D115" s="335"/>
      <c r="E115" s="335"/>
      <c r="F115" s="335" t="b">
        <v>0</v>
      </c>
      <c r="G115" s="332"/>
    </row>
    <row r="116">
      <c r="A116" s="332"/>
      <c r="B116" s="335"/>
      <c r="C116" s="335"/>
      <c r="D116" s="335"/>
      <c r="E116" s="335"/>
      <c r="F116" s="335" t="b">
        <v>0</v>
      </c>
      <c r="G116" s="332"/>
    </row>
    <row r="117">
      <c r="A117" s="332"/>
      <c r="B117" s="335"/>
      <c r="C117" s="335"/>
      <c r="D117" s="335"/>
      <c r="E117" s="335"/>
      <c r="F117" s="335" t="b">
        <v>0</v>
      </c>
      <c r="G117" s="332"/>
    </row>
    <row r="118">
      <c r="A118" s="332"/>
      <c r="B118" s="335"/>
      <c r="C118" s="335"/>
      <c r="D118" s="335"/>
      <c r="E118" s="335"/>
      <c r="F118" s="335" t="b">
        <v>0</v>
      </c>
      <c r="G118" s="332"/>
    </row>
    <row r="119">
      <c r="A119" s="332"/>
      <c r="B119" s="335"/>
      <c r="C119" s="335"/>
      <c r="D119" s="335"/>
      <c r="E119" s="335"/>
      <c r="F119" s="335" t="b">
        <v>0</v>
      </c>
      <c r="G119" s="332"/>
    </row>
    <row r="120">
      <c r="A120" s="332"/>
      <c r="B120" s="335"/>
      <c r="C120" s="335"/>
      <c r="D120" s="335"/>
      <c r="E120" s="335"/>
      <c r="F120" s="335" t="b">
        <v>0</v>
      </c>
      <c r="G120" s="332"/>
    </row>
    <row r="121">
      <c r="A121" s="332"/>
      <c r="B121" s="335"/>
      <c r="C121" s="335"/>
      <c r="D121" s="335"/>
      <c r="E121" s="335"/>
      <c r="F121" s="335" t="b">
        <v>0</v>
      </c>
      <c r="G121" s="332"/>
    </row>
    <row r="122">
      <c r="A122" s="332"/>
      <c r="B122" s="335"/>
      <c r="C122" s="335"/>
      <c r="D122" s="335"/>
      <c r="E122" s="335"/>
      <c r="F122" s="335" t="b">
        <v>0</v>
      </c>
      <c r="G122" s="332"/>
    </row>
    <row r="123">
      <c r="A123" s="332"/>
      <c r="B123" s="335"/>
      <c r="C123" s="335"/>
      <c r="D123" s="335"/>
      <c r="E123" s="335"/>
      <c r="F123" s="335" t="b">
        <v>0</v>
      </c>
      <c r="G123" s="332"/>
    </row>
    <row r="124">
      <c r="A124" s="332"/>
      <c r="B124" s="335"/>
      <c r="C124" s="335"/>
      <c r="D124" s="335"/>
      <c r="E124" s="335"/>
      <c r="F124" s="335" t="b">
        <v>0</v>
      </c>
      <c r="G124" s="332"/>
    </row>
    <row r="125">
      <c r="A125" s="332"/>
      <c r="B125" s="335"/>
      <c r="C125" s="335"/>
      <c r="D125" s="335"/>
      <c r="E125" s="335"/>
      <c r="F125" s="335" t="b">
        <v>0</v>
      </c>
      <c r="G125" s="332"/>
    </row>
    <row r="126">
      <c r="A126" s="332"/>
      <c r="B126" s="335"/>
      <c r="C126" s="335"/>
      <c r="D126" s="335"/>
      <c r="E126" s="335"/>
      <c r="F126" s="335" t="b">
        <v>0</v>
      </c>
      <c r="G126" s="332"/>
    </row>
    <row r="127">
      <c r="A127" s="332"/>
      <c r="B127" s="335"/>
      <c r="C127" s="335"/>
      <c r="D127" s="335"/>
      <c r="E127" s="335"/>
      <c r="F127" s="335" t="b">
        <v>0</v>
      </c>
      <c r="G127" s="332"/>
    </row>
    <row r="128">
      <c r="A128" s="332"/>
      <c r="B128" s="335"/>
      <c r="C128" s="335"/>
      <c r="D128" s="335"/>
      <c r="E128" s="335"/>
      <c r="F128" s="335" t="b">
        <v>0</v>
      </c>
      <c r="G128" s="332"/>
    </row>
    <row r="129">
      <c r="A129" s="332"/>
      <c r="B129" s="335"/>
      <c r="C129" s="335"/>
      <c r="D129" s="335"/>
      <c r="E129" s="335"/>
      <c r="F129" s="335" t="b">
        <v>0</v>
      </c>
      <c r="G129" s="332"/>
    </row>
    <row r="130">
      <c r="A130" s="332"/>
      <c r="B130" s="335"/>
      <c r="C130" s="335"/>
      <c r="D130" s="335"/>
      <c r="E130" s="335"/>
      <c r="F130" s="335" t="b">
        <v>0</v>
      </c>
      <c r="G130" s="332"/>
    </row>
    <row r="131">
      <c r="A131" s="332"/>
      <c r="B131" s="335"/>
      <c r="C131" s="335"/>
      <c r="D131" s="335"/>
      <c r="E131" s="335"/>
      <c r="F131" s="335" t="b">
        <v>0</v>
      </c>
      <c r="G131" s="332"/>
    </row>
    <row r="132">
      <c r="A132" s="332"/>
      <c r="B132" s="335"/>
      <c r="C132" s="335"/>
      <c r="D132" s="335"/>
      <c r="E132" s="335"/>
      <c r="F132" s="335" t="b">
        <v>0</v>
      </c>
      <c r="G132" s="332"/>
    </row>
    <row r="133">
      <c r="A133" s="332"/>
      <c r="B133" s="335"/>
      <c r="C133" s="335"/>
      <c r="D133" s="335"/>
      <c r="E133" s="335"/>
      <c r="F133" s="335" t="b">
        <v>0</v>
      </c>
      <c r="G133" s="332"/>
    </row>
    <row r="134">
      <c r="A134" s="332"/>
      <c r="B134" s="335"/>
      <c r="C134" s="335"/>
      <c r="D134" s="335"/>
      <c r="E134" s="335"/>
      <c r="F134" s="335" t="b">
        <v>0</v>
      </c>
      <c r="G134" s="332"/>
    </row>
    <row r="135">
      <c r="A135" s="332"/>
      <c r="B135" s="335"/>
      <c r="C135" s="335"/>
      <c r="D135" s="335"/>
      <c r="E135" s="335"/>
      <c r="F135" s="335" t="b">
        <v>0</v>
      </c>
      <c r="G135" s="332"/>
    </row>
    <row r="136">
      <c r="A136" s="332"/>
      <c r="B136" s="335"/>
      <c r="C136" s="335"/>
      <c r="D136" s="335"/>
      <c r="E136" s="335"/>
      <c r="F136" s="335" t="b">
        <v>0</v>
      </c>
      <c r="G136" s="332"/>
    </row>
    <row r="137">
      <c r="A137" s="332"/>
      <c r="B137" s="335"/>
      <c r="C137" s="335"/>
      <c r="D137" s="335"/>
      <c r="E137" s="335"/>
      <c r="F137" s="335" t="b">
        <v>0</v>
      </c>
      <c r="G137" s="332"/>
    </row>
    <row r="138">
      <c r="A138" s="332"/>
      <c r="B138" s="335"/>
      <c r="C138" s="335"/>
      <c r="D138" s="335"/>
      <c r="E138" s="335"/>
      <c r="F138" s="335" t="b">
        <v>0</v>
      </c>
      <c r="G138" s="332"/>
    </row>
    <row r="139">
      <c r="A139" s="332"/>
      <c r="B139" s="335"/>
      <c r="C139" s="335"/>
      <c r="D139" s="335"/>
      <c r="E139" s="335"/>
      <c r="F139" s="335" t="b">
        <v>0</v>
      </c>
      <c r="G139" s="332"/>
    </row>
    <row r="140">
      <c r="A140" s="332"/>
      <c r="B140" s="335"/>
      <c r="C140" s="335"/>
      <c r="D140" s="335"/>
      <c r="E140" s="335"/>
      <c r="F140" s="335" t="b">
        <v>0</v>
      </c>
      <c r="G140" s="332"/>
    </row>
    <row r="141">
      <c r="A141" s="332"/>
      <c r="B141" s="335"/>
      <c r="C141" s="335"/>
      <c r="D141" s="335"/>
      <c r="E141" s="335"/>
      <c r="F141" s="335" t="b">
        <v>0</v>
      </c>
      <c r="G141" s="332"/>
    </row>
    <row r="142">
      <c r="A142" s="332"/>
      <c r="B142" s="335"/>
      <c r="C142" s="335"/>
      <c r="D142" s="335"/>
      <c r="E142" s="335"/>
      <c r="F142" s="335" t="b">
        <v>0</v>
      </c>
      <c r="G142" s="332"/>
    </row>
    <row r="143">
      <c r="A143" s="332"/>
      <c r="B143" s="335"/>
      <c r="C143" s="335"/>
      <c r="D143" s="335"/>
      <c r="E143" s="335"/>
      <c r="F143" s="335" t="b">
        <v>0</v>
      </c>
      <c r="G143" s="332"/>
    </row>
    <row r="144">
      <c r="A144" s="332"/>
      <c r="B144" s="335"/>
      <c r="C144" s="335"/>
      <c r="D144" s="335"/>
      <c r="E144" s="335"/>
      <c r="F144" s="335" t="b">
        <v>0</v>
      </c>
      <c r="G144" s="332"/>
    </row>
    <row r="145">
      <c r="A145" s="332"/>
      <c r="B145" s="335"/>
      <c r="C145" s="335"/>
      <c r="D145" s="335"/>
      <c r="E145" s="335"/>
      <c r="F145" s="335" t="b">
        <v>0</v>
      </c>
      <c r="G145" s="332"/>
    </row>
    <row r="146">
      <c r="A146" s="332"/>
      <c r="B146" s="335"/>
      <c r="C146" s="335"/>
      <c r="D146" s="335"/>
      <c r="E146" s="335"/>
      <c r="F146" s="335" t="b">
        <v>0</v>
      </c>
      <c r="G146" s="332"/>
    </row>
    <row r="147">
      <c r="A147" s="332"/>
      <c r="B147" s="335"/>
      <c r="C147" s="335"/>
      <c r="D147" s="335"/>
      <c r="E147" s="335"/>
      <c r="F147" s="335" t="b">
        <v>0</v>
      </c>
      <c r="G147" s="332"/>
    </row>
    <row r="148">
      <c r="A148" s="332"/>
      <c r="B148" s="335"/>
      <c r="C148" s="335"/>
      <c r="D148" s="335"/>
      <c r="E148" s="335"/>
      <c r="F148" s="335" t="b">
        <v>0</v>
      </c>
      <c r="G148" s="332"/>
    </row>
    <row r="149">
      <c r="A149" s="332"/>
      <c r="B149" s="335"/>
      <c r="C149" s="335"/>
      <c r="D149" s="335"/>
      <c r="E149" s="335"/>
      <c r="F149" s="335" t="b">
        <v>0</v>
      </c>
      <c r="G149" s="332"/>
    </row>
    <row r="150">
      <c r="A150" s="332"/>
      <c r="B150" s="335"/>
      <c r="C150" s="335"/>
      <c r="D150" s="335"/>
      <c r="E150" s="335"/>
      <c r="F150" s="335" t="b">
        <v>0</v>
      </c>
      <c r="G150" s="332"/>
    </row>
    <row r="151">
      <c r="A151" s="332"/>
      <c r="B151" s="335"/>
      <c r="C151" s="335"/>
      <c r="D151" s="335"/>
      <c r="E151" s="335"/>
      <c r="F151" s="335" t="b">
        <v>0</v>
      </c>
      <c r="G151" s="332"/>
    </row>
    <row r="152">
      <c r="A152" s="332"/>
      <c r="B152" s="335"/>
      <c r="C152" s="335"/>
      <c r="D152" s="335"/>
      <c r="E152" s="335"/>
      <c r="F152" s="335" t="b">
        <v>0</v>
      </c>
      <c r="G152" s="332"/>
    </row>
    <row r="153">
      <c r="A153" s="332"/>
      <c r="B153" s="335"/>
      <c r="C153" s="335"/>
      <c r="D153" s="335"/>
      <c r="E153" s="335"/>
      <c r="F153" s="335" t="b">
        <v>0</v>
      </c>
      <c r="G153" s="332"/>
    </row>
    <row r="154">
      <c r="A154" s="332"/>
      <c r="B154" s="335"/>
      <c r="C154" s="335"/>
      <c r="D154" s="335"/>
      <c r="E154" s="335"/>
      <c r="F154" s="335" t="b">
        <v>0</v>
      </c>
      <c r="G154" s="332"/>
    </row>
    <row r="155">
      <c r="A155" s="332"/>
      <c r="B155" s="335"/>
      <c r="C155" s="335"/>
      <c r="D155" s="335"/>
      <c r="E155" s="335"/>
      <c r="F155" s="335" t="b">
        <v>0</v>
      </c>
      <c r="G155" s="332"/>
    </row>
    <row r="156">
      <c r="A156" s="332"/>
      <c r="B156" s="335"/>
      <c r="C156" s="335"/>
      <c r="D156" s="335"/>
      <c r="E156" s="335"/>
      <c r="F156" s="335" t="b">
        <v>0</v>
      </c>
      <c r="G156" s="332"/>
    </row>
    <row r="157">
      <c r="A157" s="332"/>
      <c r="B157" s="335"/>
      <c r="C157" s="335"/>
      <c r="D157" s="335"/>
      <c r="E157" s="335"/>
      <c r="F157" s="335" t="b">
        <v>0</v>
      </c>
      <c r="G157" s="332"/>
    </row>
    <row r="158">
      <c r="A158" s="332"/>
      <c r="B158" s="335"/>
      <c r="C158" s="335"/>
      <c r="D158" s="335"/>
      <c r="E158" s="335"/>
      <c r="F158" s="335" t="b">
        <v>0</v>
      </c>
      <c r="G158" s="332"/>
    </row>
    <row r="159">
      <c r="A159" s="332"/>
      <c r="B159" s="335"/>
      <c r="C159" s="335"/>
      <c r="D159" s="335"/>
      <c r="E159" s="335"/>
      <c r="F159" s="335" t="b">
        <v>0</v>
      </c>
      <c r="G159" s="332"/>
    </row>
    <row r="160">
      <c r="A160" s="332"/>
      <c r="B160" s="335"/>
      <c r="C160" s="335"/>
      <c r="D160" s="335"/>
      <c r="E160" s="335"/>
      <c r="F160" s="335" t="b">
        <v>0</v>
      </c>
      <c r="G160" s="332"/>
    </row>
    <row r="161">
      <c r="A161" s="332"/>
      <c r="B161" s="335"/>
      <c r="C161" s="335"/>
      <c r="D161" s="335"/>
      <c r="E161" s="335"/>
      <c r="F161" s="335" t="b">
        <v>0</v>
      </c>
      <c r="G161" s="332"/>
    </row>
    <row r="162">
      <c r="A162" s="332"/>
      <c r="B162" s="335"/>
      <c r="C162" s="335"/>
      <c r="D162" s="335"/>
      <c r="E162" s="335"/>
      <c r="F162" s="335" t="b">
        <v>0</v>
      </c>
      <c r="G162" s="332"/>
    </row>
    <row r="163">
      <c r="A163" s="332"/>
      <c r="B163" s="335"/>
      <c r="C163" s="335"/>
      <c r="D163" s="335"/>
      <c r="E163" s="335"/>
      <c r="F163" s="335" t="b">
        <v>0</v>
      </c>
      <c r="G163" s="332"/>
    </row>
    <row r="164">
      <c r="A164" s="332"/>
      <c r="B164" s="335"/>
      <c r="C164" s="335"/>
      <c r="D164" s="335"/>
      <c r="E164" s="335"/>
      <c r="F164" s="335" t="b">
        <v>0</v>
      </c>
      <c r="G164" s="332"/>
    </row>
    <row r="165">
      <c r="A165" s="332"/>
      <c r="B165" s="335"/>
      <c r="C165" s="335"/>
      <c r="D165" s="335"/>
      <c r="E165" s="335"/>
      <c r="F165" s="335" t="b">
        <v>0</v>
      </c>
      <c r="G165" s="332"/>
    </row>
    <row r="166">
      <c r="A166" s="332"/>
      <c r="B166" s="335"/>
      <c r="C166" s="335"/>
      <c r="D166" s="335"/>
      <c r="E166" s="335"/>
      <c r="F166" s="335" t="b">
        <v>0</v>
      </c>
      <c r="G166" s="332"/>
    </row>
    <row r="167">
      <c r="A167" s="332"/>
      <c r="B167" s="335"/>
      <c r="C167" s="335"/>
      <c r="D167" s="335"/>
      <c r="E167" s="335"/>
      <c r="F167" s="335" t="b">
        <v>0</v>
      </c>
      <c r="G167" s="332"/>
    </row>
    <row r="168">
      <c r="A168" s="332"/>
      <c r="B168" s="335"/>
      <c r="C168" s="335"/>
      <c r="D168" s="335"/>
      <c r="E168" s="335"/>
      <c r="F168" s="335" t="b">
        <v>0</v>
      </c>
      <c r="G168" s="332"/>
    </row>
    <row r="169">
      <c r="A169" s="332"/>
      <c r="B169" s="335"/>
      <c r="C169" s="335"/>
      <c r="D169" s="335"/>
      <c r="E169" s="335"/>
      <c r="F169" s="335" t="b">
        <v>0</v>
      </c>
      <c r="G169" s="332"/>
    </row>
    <row r="170">
      <c r="A170" s="332"/>
      <c r="B170" s="335"/>
      <c r="C170" s="335"/>
      <c r="D170" s="335"/>
      <c r="E170" s="335"/>
      <c r="F170" s="335" t="b">
        <v>0</v>
      </c>
      <c r="G170" s="332"/>
    </row>
    <row r="171">
      <c r="A171" s="332"/>
      <c r="B171" s="335"/>
      <c r="C171" s="335"/>
      <c r="D171" s="335"/>
      <c r="E171" s="335"/>
      <c r="F171" s="335" t="b">
        <v>0</v>
      </c>
      <c r="G171" s="332"/>
    </row>
    <row r="172">
      <c r="A172" s="332"/>
      <c r="B172" s="335"/>
      <c r="C172" s="335"/>
      <c r="D172" s="335"/>
      <c r="E172" s="335"/>
      <c r="F172" s="335" t="b">
        <v>0</v>
      </c>
      <c r="G172" s="332"/>
    </row>
    <row r="173">
      <c r="A173" s="332"/>
      <c r="B173" s="335"/>
      <c r="C173" s="335"/>
      <c r="D173" s="335"/>
      <c r="E173" s="335"/>
      <c r="F173" s="335" t="b">
        <v>0</v>
      </c>
      <c r="G173" s="332"/>
    </row>
    <row r="174">
      <c r="A174" s="332"/>
      <c r="B174" s="335"/>
      <c r="C174" s="335"/>
      <c r="D174" s="335"/>
      <c r="E174" s="335"/>
      <c r="F174" s="335" t="b">
        <v>0</v>
      </c>
      <c r="G174" s="332"/>
    </row>
    <row r="175">
      <c r="A175" s="332"/>
      <c r="B175" s="335"/>
      <c r="C175" s="335"/>
      <c r="D175" s="335"/>
      <c r="E175" s="335"/>
      <c r="F175" s="335" t="b">
        <v>0</v>
      </c>
      <c r="G175" s="332"/>
    </row>
    <row r="176">
      <c r="A176" s="332"/>
      <c r="B176" s="335"/>
      <c r="C176" s="335"/>
      <c r="D176" s="335"/>
      <c r="E176" s="335"/>
      <c r="F176" s="335" t="b">
        <v>0</v>
      </c>
      <c r="G176" s="332"/>
    </row>
    <row r="177">
      <c r="A177" s="332"/>
      <c r="B177" s="335"/>
      <c r="C177" s="335"/>
      <c r="D177" s="335"/>
      <c r="E177" s="335"/>
      <c r="F177" s="335" t="b">
        <v>0</v>
      </c>
      <c r="G177" s="332"/>
    </row>
    <row r="178">
      <c r="A178" s="332"/>
      <c r="B178" s="335"/>
      <c r="C178" s="335"/>
      <c r="D178" s="335"/>
      <c r="E178" s="335"/>
      <c r="F178" s="335" t="b">
        <v>0</v>
      </c>
      <c r="G178" s="332"/>
    </row>
    <row r="179">
      <c r="A179" s="332"/>
      <c r="B179" s="335"/>
      <c r="C179" s="335"/>
      <c r="D179" s="335"/>
      <c r="E179" s="335"/>
      <c r="F179" s="335" t="b">
        <v>0</v>
      </c>
      <c r="G179" s="332"/>
    </row>
    <row r="180">
      <c r="A180" s="332"/>
      <c r="B180" s="335"/>
      <c r="C180" s="335"/>
      <c r="D180" s="335"/>
      <c r="E180" s="335"/>
      <c r="F180" s="335" t="b">
        <v>0</v>
      </c>
      <c r="G180" s="332"/>
    </row>
    <row r="181">
      <c r="A181" s="332"/>
      <c r="B181" s="335"/>
      <c r="C181" s="335"/>
      <c r="D181" s="335"/>
      <c r="E181" s="335"/>
      <c r="F181" s="335" t="b">
        <v>0</v>
      </c>
      <c r="G181" s="332"/>
    </row>
    <row r="182">
      <c r="A182" s="332"/>
      <c r="B182" s="335"/>
      <c r="C182" s="335"/>
      <c r="D182" s="335"/>
      <c r="E182" s="335"/>
      <c r="F182" s="335" t="b">
        <v>0</v>
      </c>
      <c r="G182" s="332"/>
    </row>
    <row r="183">
      <c r="A183" s="332"/>
      <c r="B183" s="335"/>
      <c r="C183" s="335"/>
      <c r="D183" s="335"/>
      <c r="E183" s="335"/>
      <c r="F183" s="335" t="b">
        <v>0</v>
      </c>
      <c r="G183" s="332"/>
    </row>
    <row r="184">
      <c r="A184" s="332"/>
      <c r="B184" s="335"/>
      <c r="C184" s="335"/>
      <c r="D184" s="335"/>
      <c r="E184" s="335"/>
      <c r="F184" s="335" t="b">
        <v>0</v>
      </c>
      <c r="G184" s="332"/>
    </row>
    <row r="185">
      <c r="A185" s="332"/>
      <c r="B185" s="335"/>
      <c r="C185" s="335"/>
      <c r="D185" s="335"/>
      <c r="E185" s="335"/>
      <c r="F185" s="335" t="b">
        <v>0</v>
      </c>
      <c r="G185" s="332"/>
    </row>
    <row r="186">
      <c r="A186" s="332"/>
      <c r="B186" s="335"/>
      <c r="C186" s="335"/>
      <c r="D186" s="335"/>
      <c r="E186" s="335"/>
      <c r="F186" s="335" t="b">
        <v>0</v>
      </c>
      <c r="G186" s="332"/>
    </row>
    <row r="187">
      <c r="A187" s="332"/>
      <c r="B187" s="335"/>
      <c r="C187" s="335"/>
      <c r="D187" s="335"/>
      <c r="E187" s="335"/>
      <c r="F187" s="335" t="b">
        <v>0</v>
      </c>
      <c r="G187" s="332"/>
    </row>
    <row r="188">
      <c r="A188" s="332"/>
      <c r="B188" s="335"/>
      <c r="C188" s="335"/>
      <c r="D188" s="335"/>
      <c r="E188" s="335"/>
      <c r="F188" s="335" t="b">
        <v>0</v>
      </c>
      <c r="G188" s="332"/>
    </row>
    <row r="189">
      <c r="A189" s="332"/>
      <c r="B189" s="335"/>
      <c r="C189" s="335"/>
      <c r="D189" s="335"/>
      <c r="E189" s="335"/>
      <c r="F189" s="335" t="b">
        <v>0</v>
      </c>
      <c r="G189" s="332"/>
    </row>
    <row r="190">
      <c r="A190" s="332"/>
      <c r="B190" s="335"/>
      <c r="C190" s="335"/>
      <c r="D190" s="335"/>
      <c r="E190" s="335"/>
      <c r="F190" s="335" t="b">
        <v>0</v>
      </c>
      <c r="G190" s="332"/>
    </row>
    <row r="191">
      <c r="A191" s="332"/>
      <c r="B191" s="335"/>
      <c r="C191" s="335"/>
      <c r="D191" s="335"/>
      <c r="E191" s="335"/>
      <c r="F191" s="335" t="b">
        <v>0</v>
      </c>
      <c r="G191" s="332"/>
    </row>
    <row r="192">
      <c r="A192" s="332"/>
      <c r="B192" s="335"/>
      <c r="C192" s="335"/>
      <c r="D192" s="335"/>
      <c r="E192" s="335"/>
      <c r="F192" s="335" t="b">
        <v>0</v>
      </c>
      <c r="G192" s="332"/>
    </row>
    <row r="193">
      <c r="A193" s="332"/>
      <c r="B193" s="335"/>
      <c r="C193" s="335"/>
      <c r="D193" s="335"/>
      <c r="E193" s="335"/>
      <c r="F193" s="335" t="b">
        <v>0</v>
      </c>
      <c r="G193" s="332"/>
    </row>
    <row r="194">
      <c r="A194" s="332"/>
      <c r="B194" s="335"/>
      <c r="C194" s="335"/>
      <c r="D194" s="335"/>
      <c r="E194" s="335"/>
      <c r="F194" s="335" t="b">
        <v>0</v>
      </c>
      <c r="G194" s="332"/>
    </row>
    <row r="195">
      <c r="A195" s="332"/>
      <c r="B195" s="335"/>
      <c r="C195" s="335"/>
      <c r="D195" s="335"/>
      <c r="E195" s="335"/>
      <c r="F195" s="335" t="b">
        <v>0</v>
      </c>
      <c r="G195" s="332"/>
    </row>
    <row r="196">
      <c r="A196" s="332"/>
      <c r="B196" s="335"/>
      <c r="C196" s="335"/>
      <c r="D196" s="335"/>
      <c r="E196" s="335"/>
      <c r="F196" s="335" t="b">
        <v>0</v>
      </c>
      <c r="G196" s="332"/>
    </row>
    <row r="197">
      <c r="A197" s="332"/>
      <c r="B197" s="335"/>
      <c r="C197" s="335"/>
      <c r="D197" s="335"/>
      <c r="E197" s="335"/>
      <c r="F197" s="335" t="b">
        <v>0</v>
      </c>
      <c r="G197" s="332"/>
    </row>
    <row r="198">
      <c r="A198" s="332"/>
      <c r="B198" s="335"/>
      <c r="C198" s="335"/>
      <c r="D198" s="335"/>
      <c r="E198" s="335"/>
      <c r="F198" s="335" t="b">
        <v>0</v>
      </c>
      <c r="G198" s="332"/>
    </row>
    <row r="199">
      <c r="A199" s="332"/>
      <c r="B199" s="335"/>
      <c r="C199" s="335"/>
      <c r="D199" s="335"/>
      <c r="E199" s="335"/>
      <c r="F199" s="335" t="b">
        <v>0</v>
      </c>
      <c r="G199" s="332"/>
    </row>
    <row r="200">
      <c r="A200" s="332"/>
      <c r="B200" s="335"/>
      <c r="C200" s="335"/>
      <c r="D200" s="335"/>
      <c r="E200" s="335"/>
      <c r="F200" s="335" t="b">
        <v>0</v>
      </c>
      <c r="G200" s="332"/>
    </row>
    <row r="201">
      <c r="A201" s="332"/>
      <c r="B201" s="335"/>
      <c r="C201" s="335"/>
      <c r="D201" s="335"/>
      <c r="E201" s="335"/>
      <c r="F201" s="335" t="b">
        <v>0</v>
      </c>
      <c r="G201" s="332"/>
    </row>
    <row r="202">
      <c r="A202" s="332"/>
      <c r="B202" s="335"/>
      <c r="C202" s="335"/>
      <c r="D202" s="335"/>
      <c r="E202" s="335"/>
      <c r="F202" s="335" t="b">
        <v>0</v>
      </c>
      <c r="G202" s="332"/>
    </row>
    <row r="203">
      <c r="A203" s="332"/>
      <c r="B203" s="335"/>
      <c r="C203" s="335"/>
      <c r="D203" s="335"/>
      <c r="E203" s="335"/>
      <c r="F203" s="335" t="b">
        <v>0</v>
      </c>
      <c r="G203" s="332"/>
    </row>
    <row r="204">
      <c r="A204" s="332"/>
      <c r="B204" s="335"/>
      <c r="C204" s="335"/>
      <c r="D204" s="335"/>
      <c r="E204" s="335"/>
      <c r="F204" s="335" t="b">
        <v>0</v>
      </c>
      <c r="G204" s="332"/>
    </row>
    <row r="205">
      <c r="A205" s="332"/>
      <c r="B205" s="335"/>
      <c r="C205" s="335"/>
      <c r="D205" s="335"/>
      <c r="E205" s="335"/>
      <c r="F205" s="335" t="b">
        <v>0</v>
      </c>
      <c r="G205" s="332"/>
    </row>
    <row r="206">
      <c r="A206" s="332"/>
      <c r="B206" s="335"/>
      <c r="C206" s="335"/>
      <c r="D206" s="335"/>
      <c r="E206" s="335"/>
      <c r="F206" s="335" t="b">
        <v>0</v>
      </c>
      <c r="G206" s="332"/>
    </row>
    <row r="207">
      <c r="A207" s="332"/>
      <c r="B207" s="335"/>
      <c r="C207" s="335"/>
      <c r="D207" s="335"/>
      <c r="E207" s="335"/>
      <c r="F207" s="335" t="b">
        <v>0</v>
      </c>
      <c r="G207" s="332"/>
    </row>
    <row r="208">
      <c r="A208" s="332"/>
      <c r="B208" s="335"/>
      <c r="C208" s="335"/>
      <c r="D208" s="335"/>
      <c r="E208" s="335"/>
      <c r="F208" s="335" t="b">
        <v>0</v>
      </c>
      <c r="G208" s="332"/>
    </row>
    <row r="209">
      <c r="A209" s="332"/>
      <c r="B209" s="335"/>
      <c r="C209" s="335"/>
      <c r="D209" s="335"/>
      <c r="E209" s="335"/>
      <c r="F209" s="335" t="b">
        <v>0</v>
      </c>
      <c r="G209" s="332"/>
    </row>
    <row r="210">
      <c r="A210" s="332"/>
      <c r="B210" s="335"/>
      <c r="C210" s="335"/>
      <c r="D210" s="335"/>
      <c r="E210" s="335"/>
      <c r="F210" s="335" t="b">
        <v>0</v>
      </c>
      <c r="G210" s="332"/>
    </row>
    <row r="211">
      <c r="A211" s="332"/>
      <c r="B211" s="335"/>
      <c r="C211" s="335"/>
      <c r="D211" s="335"/>
      <c r="E211" s="335"/>
      <c r="F211" s="335" t="b">
        <v>0</v>
      </c>
      <c r="G211" s="332"/>
    </row>
    <row r="212">
      <c r="A212" s="332"/>
      <c r="B212" s="335"/>
      <c r="C212" s="335"/>
      <c r="D212" s="335"/>
      <c r="E212" s="335"/>
      <c r="F212" s="335" t="b">
        <v>0</v>
      </c>
      <c r="G212" s="332"/>
    </row>
    <row r="213">
      <c r="A213" s="332"/>
      <c r="B213" s="335"/>
      <c r="C213" s="335"/>
      <c r="D213" s="335"/>
      <c r="E213" s="335"/>
      <c r="F213" s="335" t="b">
        <v>0</v>
      </c>
      <c r="G213" s="332"/>
    </row>
    <row r="214">
      <c r="A214" s="332"/>
      <c r="B214" s="335"/>
      <c r="C214" s="335"/>
      <c r="D214" s="335"/>
      <c r="E214" s="335"/>
      <c r="F214" s="335" t="b">
        <v>0</v>
      </c>
      <c r="G214" s="332"/>
    </row>
    <row r="215">
      <c r="A215" s="332"/>
      <c r="B215" s="335"/>
      <c r="C215" s="335"/>
      <c r="D215" s="335"/>
      <c r="E215" s="335"/>
      <c r="F215" s="335" t="b">
        <v>0</v>
      </c>
      <c r="G215" s="332"/>
    </row>
    <row r="216">
      <c r="A216" s="332"/>
      <c r="B216" s="335"/>
      <c r="C216" s="335"/>
      <c r="D216" s="335"/>
      <c r="E216" s="335"/>
      <c r="F216" s="335" t="b">
        <v>0</v>
      </c>
      <c r="G216" s="332"/>
    </row>
    <row r="217">
      <c r="A217" s="332"/>
      <c r="B217" s="335"/>
      <c r="C217" s="335"/>
      <c r="D217" s="335"/>
      <c r="E217" s="335"/>
      <c r="F217" s="335" t="b">
        <v>0</v>
      </c>
      <c r="G217" s="332"/>
    </row>
    <row r="218">
      <c r="A218" s="332"/>
      <c r="B218" s="335"/>
      <c r="C218" s="335"/>
      <c r="D218" s="335"/>
      <c r="E218" s="335"/>
      <c r="F218" s="335" t="b">
        <v>0</v>
      </c>
      <c r="G218" s="332"/>
    </row>
    <row r="219">
      <c r="A219" s="332"/>
      <c r="B219" s="335"/>
      <c r="C219" s="335"/>
      <c r="D219" s="335"/>
      <c r="E219" s="335"/>
      <c r="F219" s="335" t="b">
        <v>0</v>
      </c>
      <c r="G219" s="332"/>
    </row>
    <row r="220">
      <c r="A220" s="332"/>
      <c r="B220" s="335"/>
      <c r="C220" s="335"/>
      <c r="D220" s="335"/>
      <c r="E220" s="335"/>
      <c r="F220" s="335" t="b">
        <v>0</v>
      </c>
      <c r="G220" s="332"/>
    </row>
    <row r="221">
      <c r="A221" s="332"/>
      <c r="B221" s="335"/>
      <c r="C221" s="335"/>
      <c r="D221" s="335"/>
      <c r="E221" s="335"/>
      <c r="F221" s="335" t="b">
        <v>0</v>
      </c>
      <c r="G221" s="332"/>
    </row>
    <row r="222">
      <c r="A222" s="332"/>
      <c r="B222" s="335"/>
      <c r="C222" s="335"/>
      <c r="D222" s="335"/>
      <c r="E222" s="335"/>
      <c r="F222" s="335" t="b">
        <v>0</v>
      </c>
      <c r="G222" s="332"/>
    </row>
    <row r="223">
      <c r="A223" s="332"/>
      <c r="B223" s="335"/>
      <c r="C223" s="335"/>
      <c r="D223" s="335"/>
      <c r="E223" s="335"/>
      <c r="F223" s="335" t="b">
        <v>0</v>
      </c>
      <c r="G223" s="332"/>
    </row>
    <row r="224">
      <c r="A224" s="332"/>
      <c r="B224" s="335"/>
      <c r="C224" s="335"/>
      <c r="D224" s="335"/>
      <c r="E224" s="335"/>
      <c r="F224" s="335" t="b">
        <v>0</v>
      </c>
      <c r="G224" s="332"/>
    </row>
    <row r="225">
      <c r="A225" s="332"/>
      <c r="B225" s="335"/>
      <c r="C225" s="335"/>
      <c r="D225" s="335"/>
      <c r="E225" s="335"/>
      <c r="F225" s="335" t="b">
        <v>0</v>
      </c>
      <c r="G225" s="332"/>
    </row>
    <row r="226">
      <c r="A226" s="332"/>
      <c r="B226" s="335"/>
      <c r="C226" s="335"/>
      <c r="D226" s="335"/>
      <c r="E226" s="335"/>
      <c r="F226" s="335" t="b">
        <v>0</v>
      </c>
      <c r="G226" s="332"/>
    </row>
    <row r="227">
      <c r="A227" s="332"/>
      <c r="B227" s="335"/>
      <c r="C227" s="335"/>
      <c r="D227" s="335"/>
      <c r="E227" s="335"/>
      <c r="F227" s="335" t="b">
        <v>0</v>
      </c>
      <c r="G227" s="332"/>
    </row>
    <row r="228">
      <c r="A228" s="332"/>
      <c r="B228" s="335"/>
      <c r="C228" s="335"/>
      <c r="D228" s="335"/>
      <c r="E228" s="335"/>
      <c r="F228" s="335" t="b">
        <v>0</v>
      </c>
      <c r="G228" s="332"/>
    </row>
    <row r="229">
      <c r="A229" s="332"/>
      <c r="B229" s="335"/>
      <c r="C229" s="335"/>
      <c r="D229" s="335"/>
      <c r="E229" s="335"/>
      <c r="F229" s="335" t="b">
        <v>0</v>
      </c>
      <c r="G229" s="332"/>
    </row>
    <row r="230">
      <c r="A230" s="332"/>
      <c r="B230" s="335"/>
      <c r="C230" s="335"/>
      <c r="D230" s="335"/>
      <c r="E230" s="335"/>
      <c r="F230" s="335" t="b">
        <v>0</v>
      </c>
      <c r="G230" s="332"/>
    </row>
    <row r="231">
      <c r="A231" s="332"/>
      <c r="B231" s="335"/>
      <c r="C231" s="335"/>
      <c r="D231" s="335"/>
      <c r="E231" s="335"/>
      <c r="F231" s="335" t="b">
        <v>0</v>
      </c>
      <c r="G231" s="332"/>
    </row>
    <row r="232">
      <c r="A232" s="332"/>
      <c r="B232" s="335"/>
      <c r="C232" s="335"/>
      <c r="D232" s="335"/>
      <c r="E232" s="335"/>
      <c r="F232" s="335" t="b">
        <v>0</v>
      </c>
      <c r="G232" s="332"/>
    </row>
    <row r="233">
      <c r="A233" s="332"/>
      <c r="B233" s="335"/>
      <c r="C233" s="335"/>
      <c r="D233" s="335"/>
      <c r="E233" s="335"/>
      <c r="F233" s="335" t="b">
        <v>0</v>
      </c>
      <c r="G233" s="332"/>
    </row>
    <row r="234">
      <c r="A234" s="332"/>
      <c r="B234" s="335"/>
      <c r="C234" s="335"/>
      <c r="D234" s="335"/>
      <c r="E234" s="335"/>
      <c r="F234" s="335" t="b">
        <v>0</v>
      </c>
      <c r="G234" s="332"/>
    </row>
    <row r="235">
      <c r="A235" s="332"/>
      <c r="B235" s="335"/>
      <c r="C235" s="335"/>
      <c r="D235" s="335"/>
      <c r="E235" s="335"/>
      <c r="F235" s="335" t="b">
        <v>0</v>
      </c>
      <c r="G235" s="332"/>
    </row>
    <row r="236">
      <c r="A236" s="332"/>
      <c r="B236" s="335"/>
      <c r="C236" s="335"/>
      <c r="D236" s="335"/>
      <c r="E236" s="335"/>
      <c r="F236" s="335" t="b">
        <v>0</v>
      </c>
      <c r="G236" s="332"/>
    </row>
    <row r="237">
      <c r="A237" s="332"/>
      <c r="B237" s="335"/>
      <c r="C237" s="335"/>
      <c r="D237" s="335"/>
      <c r="E237" s="335"/>
      <c r="F237" s="335" t="b">
        <v>0</v>
      </c>
      <c r="G237" s="332"/>
    </row>
    <row r="238">
      <c r="A238" s="332"/>
      <c r="B238" s="335"/>
      <c r="C238" s="335"/>
      <c r="D238" s="335"/>
      <c r="E238" s="335"/>
      <c r="F238" s="335" t="b">
        <v>0</v>
      </c>
      <c r="G238" s="332"/>
    </row>
    <row r="239">
      <c r="A239" s="332"/>
      <c r="B239" s="335"/>
      <c r="C239" s="335"/>
      <c r="D239" s="335"/>
      <c r="E239" s="335"/>
      <c r="F239" s="335" t="b">
        <v>0</v>
      </c>
      <c r="G239" s="332"/>
    </row>
    <row r="240">
      <c r="A240" s="332"/>
      <c r="B240" s="335"/>
      <c r="C240" s="335"/>
      <c r="D240" s="335"/>
      <c r="E240" s="335"/>
      <c r="F240" s="335" t="b">
        <v>0</v>
      </c>
      <c r="G240" s="332"/>
    </row>
    <row r="241">
      <c r="A241" s="332"/>
      <c r="B241" s="335"/>
      <c r="C241" s="335"/>
      <c r="D241" s="335"/>
      <c r="E241" s="335"/>
      <c r="F241" s="335" t="b">
        <v>0</v>
      </c>
      <c r="G241" s="332"/>
    </row>
    <row r="242">
      <c r="A242" s="332"/>
      <c r="B242" s="335"/>
      <c r="C242" s="335"/>
      <c r="D242" s="335"/>
      <c r="E242" s="335"/>
      <c r="F242" s="335" t="b">
        <v>0</v>
      </c>
      <c r="G242" s="332"/>
    </row>
    <row r="243">
      <c r="A243" s="332"/>
      <c r="B243" s="335"/>
      <c r="C243" s="335"/>
      <c r="D243" s="335"/>
      <c r="E243" s="335"/>
      <c r="F243" s="335" t="b">
        <v>0</v>
      </c>
      <c r="G243" s="332"/>
    </row>
    <row r="244">
      <c r="A244" s="332"/>
      <c r="B244" s="335"/>
      <c r="C244" s="335"/>
      <c r="D244" s="335"/>
      <c r="E244" s="335"/>
      <c r="F244" s="335" t="b">
        <v>0</v>
      </c>
      <c r="G244" s="332"/>
    </row>
    <row r="245">
      <c r="A245" s="332"/>
      <c r="B245" s="335"/>
      <c r="C245" s="335"/>
      <c r="D245" s="335"/>
      <c r="E245" s="335"/>
      <c r="F245" s="335" t="b">
        <v>0</v>
      </c>
      <c r="G245" s="332"/>
    </row>
    <row r="246">
      <c r="A246" s="332"/>
      <c r="B246" s="335"/>
      <c r="C246" s="335"/>
      <c r="D246" s="335"/>
      <c r="E246" s="335"/>
      <c r="F246" s="335" t="b">
        <v>0</v>
      </c>
      <c r="G246" s="332"/>
    </row>
    <row r="247">
      <c r="A247" s="332"/>
      <c r="B247" s="335"/>
      <c r="C247" s="335"/>
      <c r="D247" s="335"/>
      <c r="E247" s="335"/>
      <c r="F247" s="335" t="b">
        <v>0</v>
      </c>
      <c r="G247" s="332"/>
    </row>
    <row r="248">
      <c r="A248" s="332"/>
      <c r="B248" s="335"/>
      <c r="C248" s="335"/>
      <c r="D248" s="335"/>
      <c r="E248" s="335"/>
      <c r="F248" s="335" t="b">
        <v>0</v>
      </c>
      <c r="G248" s="332"/>
    </row>
    <row r="249">
      <c r="A249" s="332"/>
      <c r="B249" s="335"/>
      <c r="C249" s="335"/>
      <c r="D249" s="335"/>
      <c r="E249" s="335"/>
      <c r="F249" s="335" t="b">
        <v>0</v>
      </c>
      <c r="G249" s="332"/>
    </row>
    <row r="250">
      <c r="A250" s="332"/>
      <c r="B250" s="335"/>
      <c r="C250" s="335"/>
      <c r="D250" s="335"/>
      <c r="E250" s="335"/>
      <c r="F250" s="335" t="b">
        <v>0</v>
      </c>
      <c r="G250" s="332"/>
    </row>
    <row r="251">
      <c r="A251" s="332"/>
      <c r="B251" s="335"/>
      <c r="C251" s="335"/>
      <c r="D251" s="335"/>
      <c r="E251" s="335"/>
      <c r="F251" s="335" t="b">
        <v>0</v>
      </c>
      <c r="G251" s="332"/>
    </row>
    <row r="252">
      <c r="A252" s="332"/>
      <c r="B252" s="335"/>
      <c r="C252" s="335"/>
      <c r="D252" s="335"/>
      <c r="E252" s="335"/>
      <c r="F252" s="335" t="b">
        <v>0</v>
      </c>
      <c r="G252" s="332"/>
    </row>
    <row r="253">
      <c r="A253" s="332"/>
      <c r="B253" s="335"/>
      <c r="C253" s="335"/>
      <c r="D253" s="335"/>
      <c r="E253" s="335"/>
      <c r="F253" s="335" t="b">
        <v>0</v>
      </c>
      <c r="G253" s="332"/>
    </row>
    <row r="254">
      <c r="A254" s="332"/>
      <c r="B254" s="335"/>
      <c r="C254" s="335"/>
      <c r="D254" s="335"/>
      <c r="E254" s="335"/>
      <c r="F254" s="335" t="b">
        <v>0</v>
      </c>
      <c r="G254" s="332"/>
    </row>
    <row r="255">
      <c r="A255" s="332"/>
      <c r="B255" s="335"/>
      <c r="C255" s="335"/>
      <c r="D255" s="335"/>
      <c r="E255" s="335"/>
      <c r="F255" s="335" t="b">
        <v>0</v>
      </c>
      <c r="G255" s="332"/>
    </row>
    <row r="256">
      <c r="A256" s="332"/>
      <c r="B256" s="335"/>
      <c r="C256" s="335"/>
      <c r="D256" s="335"/>
      <c r="E256" s="335"/>
      <c r="F256" s="335" t="b">
        <v>0</v>
      </c>
      <c r="G256" s="332"/>
    </row>
    <row r="257">
      <c r="A257" s="332"/>
      <c r="B257" s="335"/>
      <c r="C257" s="335"/>
      <c r="D257" s="335"/>
      <c r="E257" s="335"/>
      <c r="F257" s="335" t="b">
        <v>0</v>
      </c>
      <c r="G257" s="332"/>
    </row>
    <row r="258">
      <c r="A258" s="332"/>
      <c r="B258" s="335"/>
      <c r="C258" s="335"/>
      <c r="D258" s="335"/>
      <c r="E258" s="335"/>
      <c r="F258" s="335" t="b">
        <v>0</v>
      </c>
      <c r="G258" s="332"/>
    </row>
    <row r="259">
      <c r="A259" s="332"/>
      <c r="B259" s="335"/>
      <c r="C259" s="335"/>
      <c r="D259" s="335"/>
      <c r="E259" s="335"/>
      <c r="F259" s="335" t="b">
        <v>0</v>
      </c>
      <c r="G259" s="332"/>
    </row>
    <row r="260">
      <c r="A260" s="332"/>
      <c r="B260" s="335"/>
      <c r="C260" s="335"/>
      <c r="D260" s="335"/>
      <c r="E260" s="335"/>
      <c r="F260" s="335" t="b">
        <v>0</v>
      </c>
      <c r="G260" s="332"/>
    </row>
    <row r="261">
      <c r="A261" s="332"/>
      <c r="B261" s="335"/>
      <c r="C261" s="335"/>
      <c r="D261" s="335"/>
      <c r="E261" s="335"/>
      <c r="F261" s="335" t="b">
        <v>0</v>
      </c>
      <c r="G261" s="332"/>
    </row>
    <row r="262">
      <c r="A262" s="332"/>
      <c r="B262" s="335"/>
      <c r="C262" s="335"/>
      <c r="D262" s="335"/>
      <c r="E262" s="335"/>
      <c r="F262" s="335" t="b">
        <v>0</v>
      </c>
      <c r="G262" s="332"/>
    </row>
    <row r="263">
      <c r="A263" s="332"/>
      <c r="B263" s="335"/>
      <c r="C263" s="335"/>
      <c r="D263" s="335"/>
      <c r="E263" s="335"/>
      <c r="F263" s="335" t="b">
        <v>0</v>
      </c>
      <c r="G263" s="332"/>
    </row>
    <row r="264">
      <c r="A264" s="332"/>
      <c r="B264" s="335"/>
      <c r="C264" s="335"/>
      <c r="D264" s="335"/>
      <c r="E264" s="335"/>
      <c r="F264" s="335" t="b">
        <v>0</v>
      </c>
      <c r="G264" s="332"/>
    </row>
    <row r="265">
      <c r="A265" s="332"/>
      <c r="B265" s="335"/>
      <c r="C265" s="335"/>
      <c r="D265" s="335"/>
      <c r="E265" s="335"/>
      <c r="F265" s="335" t="b">
        <v>0</v>
      </c>
      <c r="G265" s="332"/>
    </row>
    <row r="266">
      <c r="A266" s="332"/>
      <c r="B266" s="335"/>
      <c r="C266" s="335"/>
      <c r="D266" s="335"/>
      <c r="E266" s="335"/>
      <c r="F266" s="335" t="b">
        <v>0</v>
      </c>
      <c r="G266" s="332"/>
    </row>
    <row r="267">
      <c r="A267" s="332"/>
      <c r="B267" s="335"/>
      <c r="C267" s="335"/>
      <c r="D267" s="335"/>
      <c r="E267" s="335"/>
      <c r="F267" s="335" t="b">
        <v>0</v>
      </c>
      <c r="G267" s="332"/>
    </row>
    <row r="268">
      <c r="A268" s="332"/>
      <c r="B268" s="335"/>
      <c r="C268" s="335"/>
      <c r="D268" s="335"/>
      <c r="E268" s="335"/>
      <c r="F268" s="335" t="b">
        <v>0</v>
      </c>
      <c r="G268" s="332"/>
    </row>
    <row r="269">
      <c r="A269" s="332"/>
      <c r="B269" s="335"/>
      <c r="C269" s="335"/>
      <c r="D269" s="335"/>
      <c r="E269" s="335"/>
      <c r="F269" s="335" t="b">
        <v>0</v>
      </c>
      <c r="G269" s="332"/>
    </row>
    <row r="270">
      <c r="A270" s="332"/>
      <c r="B270" s="335"/>
      <c r="C270" s="335"/>
      <c r="D270" s="335"/>
      <c r="E270" s="335"/>
      <c r="F270" s="335" t="b">
        <v>0</v>
      </c>
      <c r="G270" s="332"/>
    </row>
    <row r="271">
      <c r="A271" s="332"/>
      <c r="B271" s="335"/>
      <c r="C271" s="335"/>
      <c r="D271" s="335"/>
      <c r="E271" s="335"/>
      <c r="F271" s="335" t="b">
        <v>0</v>
      </c>
      <c r="G271" s="332"/>
    </row>
    <row r="272">
      <c r="A272" s="332"/>
      <c r="B272" s="335"/>
      <c r="C272" s="335"/>
      <c r="D272" s="335"/>
      <c r="E272" s="335"/>
      <c r="F272" s="335" t="b">
        <v>0</v>
      </c>
      <c r="G272" s="332"/>
    </row>
    <row r="273">
      <c r="A273" s="332"/>
      <c r="B273" s="335"/>
      <c r="C273" s="335"/>
      <c r="D273" s="335"/>
      <c r="E273" s="335"/>
      <c r="F273" s="335" t="b">
        <v>0</v>
      </c>
      <c r="G273" s="332"/>
    </row>
    <row r="274">
      <c r="A274" s="332"/>
      <c r="B274" s="335"/>
      <c r="C274" s="335"/>
      <c r="D274" s="335"/>
      <c r="E274" s="335"/>
      <c r="F274" s="335" t="b">
        <v>0</v>
      </c>
      <c r="G274" s="332"/>
    </row>
    <row r="275">
      <c r="A275" s="332"/>
      <c r="B275" s="335"/>
      <c r="C275" s="335"/>
      <c r="D275" s="335"/>
      <c r="E275" s="335"/>
      <c r="F275" s="335" t="b">
        <v>0</v>
      </c>
      <c r="G275" s="332"/>
    </row>
    <row r="276">
      <c r="A276" s="332"/>
      <c r="B276" s="335"/>
      <c r="C276" s="335"/>
      <c r="D276" s="335"/>
      <c r="E276" s="335"/>
      <c r="F276" s="335" t="b">
        <v>0</v>
      </c>
      <c r="G276" s="332"/>
    </row>
    <row r="277">
      <c r="A277" s="332"/>
      <c r="B277" s="335"/>
      <c r="C277" s="335"/>
      <c r="D277" s="335"/>
      <c r="E277" s="335"/>
      <c r="F277" s="335" t="b">
        <v>0</v>
      </c>
      <c r="G277" s="332"/>
    </row>
    <row r="278">
      <c r="A278" s="332"/>
      <c r="B278" s="335"/>
      <c r="C278" s="335"/>
      <c r="D278" s="335"/>
      <c r="E278" s="335"/>
      <c r="F278" s="335" t="b">
        <v>0</v>
      </c>
      <c r="G278" s="332"/>
    </row>
    <row r="279">
      <c r="A279" s="332"/>
      <c r="B279" s="335"/>
      <c r="C279" s="335"/>
      <c r="D279" s="335"/>
      <c r="E279" s="335"/>
      <c r="F279" s="335" t="b">
        <v>0</v>
      </c>
      <c r="G279" s="332"/>
    </row>
    <row r="280">
      <c r="A280" s="332"/>
      <c r="B280" s="335"/>
      <c r="C280" s="335"/>
      <c r="D280" s="335"/>
      <c r="E280" s="335"/>
      <c r="F280" s="335" t="b">
        <v>0</v>
      </c>
      <c r="G280" s="332"/>
    </row>
    <row r="281">
      <c r="A281" s="332"/>
      <c r="B281" s="335"/>
      <c r="C281" s="335"/>
      <c r="D281" s="335"/>
      <c r="E281" s="335"/>
      <c r="F281" s="335" t="b">
        <v>0</v>
      </c>
      <c r="G281" s="332"/>
    </row>
    <row r="282">
      <c r="A282" s="332"/>
      <c r="B282" s="335"/>
      <c r="C282" s="335"/>
      <c r="D282" s="335"/>
      <c r="E282" s="335"/>
      <c r="F282" s="335" t="b">
        <v>0</v>
      </c>
      <c r="G282" s="332"/>
    </row>
    <row r="283">
      <c r="A283" s="332"/>
      <c r="B283" s="335"/>
      <c r="C283" s="335"/>
      <c r="D283" s="335"/>
      <c r="E283" s="335"/>
      <c r="F283" s="335" t="b">
        <v>0</v>
      </c>
      <c r="G283" s="332"/>
    </row>
    <row r="284">
      <c r="A284" s="332"/>
      <c r="B284" s="335"/>
      <c r="C284" s="335"/>
      <c r="D284" s="335"/>
      <c r="E284" s="335"/>
      <c r="F284" s="335" t="b">
        <v>0</v>
      </c>
      <c r="G284" s="332"/>
    </row>
    <row r="285">
      <c r="A285" s="332"/>
      <c r="B285" s="335"/>
      <c r="C285" s="335"/>
      <c r="D285" s="335"/>
      <c r="E285" s="335"/>
      <c r="F285" s="335" t="b">
        <v>0</v>
      </c>
      <c r="G285" s="332"/>
    </row>
    <row r="286">
      <c r="A286" s="332"/>
      <c r="B286" s="335"/>
      <c r="C286" s="335"/>
      <c r="D286" s="335"/>
      <c r="E286" s="335"/>
      <c r="F286" s="335" t="b">
        <v>0</v>
      </c>
      <c r="G286" s="332"/>
    </row>
    <row r="287">
      <c r="A287" s="332"/>
      <c r="B287" s="335"/>
      <c r="C287" s="335"/>
      <c r="D287" s="335"/>
      <c r="E287" s="335"/>
      <c r="F287" s="335" t="b">
        <v>0</v>
      </c>
      <c r="G287" s="332"/>
    </row>
    <row r="288">
      <c r="A288" s="332"/>
      <c r="B288" s="335"/>
      <c r="C288" s="335"/>
      <c r="D288" s="335"/>
      <c r="E288" s="335"/>
      <c r="F288" s="335" t="b">
        <v>0</v>
      </c>
      <c r="G288" s="332"/>
    </row>
    <row r="289">
      <c r="A289" s="332"/>
      <c r="B289" s="335"/>
      <c r="C289" s="335"/>
      <c r="D289" s="335"/>
      <c r="E289" s="335"/>
      <c r="F289" s="335" t="b">
        <v>0</v>
      </c>
      <c r="G289" s="332"/>
    </row>
    <row r="290">
      <c r="A290" s="332"/>
      <c r="B290" s="335"/>
      <c r="C290" s="335"/>
      <c r="D290" s="335"/>
      <c r="E290" s="335"/>
      <c r="F290" s="335" t="b">
        <v>0</v>
      </c>
      <c r="G290" s="332"/>
    </row>
    <row r="291">
      <c r="A291" s="332"/>
      <c r="B291" s="335"/>
      <c r="C291" s="335"/>
      <c r="D291" s="335"/>
      <c r="E291" s="335"/>
      <c r="F291" s="335" t="b">
        <v>0</v>
      </c>
      <c r="G291" s="332"/>
    </row>
    <row r="292">
      <c r="A292" s="332"/>
      <c r="B292" s="335"/>
      <c r="C292" s="335"/>
      <c r="D292" s="335"/>
      <c r="E292" s="335"/>
      <c r="F292" s="335" t="b">
        <v>0</v>
      </c>
      <c r="G292" s="332"/>
    </row>
    <row r="293">
      <c r="A293" s="332"/>
      <c r="B293" s="335"/>
      <c r="C293" s="335"/>
      <c r="D293" s="335"/>
      <c r="E293" s="335"/>
      <c r="F293" s="335" t="b">
        <v>0</v>
      </c>
      <c r="G293" s="332"/>
    </row>
    <row r="294">
      <c r="A294" s="332"/>
      <c r="B294" s="335"/>
      <c r="C294" s="335"/>
      <c r="D294" s="335"/>
      <c r="E294" s="335"/>
      <c r="F294" s="335" t="b">
        <v>0</v>
      </c>
      <c r="G294" s="332"/>
    </row>
    <row r="295">
      <c r="A295" s="332"/>
      <c r="B295" s="335"/>
      <c r="C295" s="335"/>
      <c r="D295" s="335"/>
      <c r="E295" s="335"/>
      <c r="F295" s="335" t="b">
        <v>0</v>
      </c>
      <c r="G295" s="332"/>
    </row>
    <row r="296">
      <c r="A296" s="332"/>
      <c r="B296" s="335"/>
      <c r="C296" s="335"/>
      <c r="D296" s="335"/>
      <c r="E296" s="335"/>
      <c r="F296" s="335" t="b">
        <v>0</v>
      </c>
      <c r="G296" s="332"/>
    </row>
    <row r="297">
      <c r="A297" s="332"/>
      <c r="B297" s="335"/>
      <c r="C297" s="335"/>
      <c r="D297" s="335"/>
      <c r="E297" s="335"/>
      <c r="F297" s="335" t="b">
        <v>0</v>
      </c>
      <c r="G297" s="332"/>
    </row>
    <row r="298">
      <c r="A298" s="332"/>
      <c r="B298" s="335"/>
      <c r="C298" s="335"/>
      <c r="D298" s="335"/>
      <c r="E298" s="335"/>
      <c r="F298" s="335" t="b">
        <v>0</v>
      </c>
      <c r="G298" s="332"/>
    </row>
    <row r="299">
      <c r="A299" s="332"/>
      <c r="B299" s="335"/>
      <c r="C299" s="335"/>
      <c r="D299" s="335"/>
      <c r="E299" s="335"/>
      <c r="F299" s="335" t="b">
        <v>0</v>
      </c>
      <c r="G299" s="332"/>
    </row>
    <row r="300">
      <c r="A300" s="332"/>
      <c r="B300" s="335"/>
      <c r="C300" s="335"/>
      <c r="D300" s="335"/>
      <c r="E300" s="335"/>
      <c r="F300" s="335" t="b">
        <v>0</v>
      </c>
      <c r="G300" s="332"/>
    </row>
    <row r="301">
      <c r="A301" s="332"/>
      <c r="B301" s="335"/>
      <c r="C301" s="335"/>
      <c r="D301" s="335"/>
      <c r="E301" s="335"/>
      <c r="F301" s="335" t="b">
        <v>0</v>
      </c>
      <c r="G301" s="332"/>
    </row>
    <row r="302">
      <c r="A302" s="332"/>
      <c r="B302" s="335"/>
      <c r="C302" s="335"/>
      <c r="D302" s="335"/>
      <c r="E302" s="335"/>
      <c r="F302" s="335" t="b">
        <v>0</v>
      </c>
      <c r="G302" s="332"/>
    </row>
    <row r="303">
      <c r="A303" s="332"/>
      <c r="B303" s="335"/>
      <c r="C303" s="335"/>
      <c r="D303" s="335"/>
      <c r="E303" s="335"/>
      <c r="F303" s="335" t="b">
        <v>0</v>
      </c>
      <c r="G303" s="332"/>
    </row>
    <row r="304">
      <c r="A304" s="332"/>
      <c r="B304" s="335"/>
      <c r="C304" s="335"/>
      <c r="D304" s="335"/>
      <c r="E304" s="335"/>
      <c r="F304" s="335" t="b">
        <v>0</v>
      </c>
      <c r="G304" s="332"/>
    </row>
    <row r="305">
      <c r="A305" s="332"/>
      <c r="B305" s="335"/>
      <c r="C305" s="335"/>
      <c r="D305" s="335"/>
      <c r="E305" s="335"/>
      <c r="F305" s="335" t="b">
        <v>0</v>
      </c>
      <c r="G305" s="332"/>
    </row>
    <row r="306">
      <c r="A306" s="332"/>
      <c r="B306" s="335"/>
      <c r="C306" s="335"/>
      <c r="D306" s="335"/>
      <c r="E306" s="335"/>
      <c r="F306" s="335" t="b">
        <v>0</v>
      </c>
      <c r="G306" s="332"/>
    </row>
    <row r="307">
      <c r="A307" s="332"/>
      <c r="B307" s="335"/>
      <c r="C307" s="335"/>
      <c r="D307" s="335"/>
      <c r="E307" s="335"/>
      <c r="F307" s="335" t="b">
        <v>0</v>
      </c>
      <c r="G307" s="332"/>
    </row>
    <row r="308">
      <c r="A308" s="332"/>
      <c r="B308" s="335"/>
      <c r="C308" s="335"/>
      <c r="D308" s="335"/>
      <c r="E308" s="335"/>
      <c r="F308" s="335" t="b">
        <v>0</v>
      </c>
      <c r="G308" s="332"/>
    </row>
    <row r="309">
      <c r="A309" s="332"/>
      <c r="B309" s="335"/>
      <c r="C309" s="335"/>
      <c r="D309" s="335"/>
      <c r="E309" s="335"/>
      <c r="F309" s="335" t="b">
        <v>0</v>
      </c>
      <c r="G309" s="332"/>
    </row>
    <row r="310">
      <c r="A310" s="332"/>
      <c r="B310" s="335"/>
      <c r="C310" s="335"/>
      <c r="D310" s="335"/>
      <c r="E310" s="335"/>
      <c r="F310" s="335" t="b">
        <v>0</v>
      </c>
      <c r="G310" s="332"/>
    </row>
    <row r="311">
      <c r="A311" s="332"/>
      <c r="B311" s="335"/>
      <c r="C311" s="335"/>
      <c r="D311" s="335"/>
      <c r="E311" s="335"/>
      <c r="F311" s="335" t="b">
        <v>0</v>
      </c>
      <c r="G311" s="332"/>
    </row>
    <row r="312">
      <c r="A312" s="332"/>
      <c r="B312" s="335"/>
      <c r="C312" s="335"/>
      <c r="D312" s="335"/>
      <c r="E312" s="335"/>
      <c r="F312" s="335" t="b">
        <v>0</v>
      </c>
      <c r="G312" s="332"/>
    </row>
    <row r="313">
      <c r="A313" s="332"/>
      <c r="B313" s="335"/>
      <c r="C313" s="335"/>
      <c r="D313" s="335"/>
      <c r="E313" s="335"/>
      <c r="F313" s="335" t="b">
        <v>0</v>
      </c>
      <c r="G313" s="332"/>
    </row>
    <row r="314">
      <c r="A314" s="332"/>
      <c r="B314" s="335"/>
      <c r="C314" s="335"/>
      <c r="D314" s="335"/>
      <c r="E314" s="335"/>
      <c r="F314" s="335" t="b">
        <v>0</v>
      </c>
      <c r="G314" s="332"/>
    </row>
    <row r="315">
      <c r="A315" s="332"/>
      <c r="B315" s="335"/>
      <c r="C315" s="335"/>
      <c r="D315" s="335"/>
      <c r="E315" s="335"/>
      <c r="F315" s="335" t="b">
        <v>0</v>
      </c>
      <c r="G315" s="332"/>
    </row>
    <row r="316">
      <c r="A316" s="332"/>
      <c r="B316" s="335"/>
      <c r="C316" s="335"/>
      <c r="D316" s="335"/>
      <c r="E316" s="335"/>
      <c r="F316" s="335" t="b">
        <v>0</v>
      </c>
      <c r="G316" s="332"/>
    </row>
    <row r="317">
      <c r="A317" s="332"/>
      <c r="B317" s="335"/>
      <c r="C317" s="335"/>
      <c r="D317" s="335"/>
      <c r="E317" s="335"/>
      <c r="F317" s="335" t="b">
        <v>0</v>
      </c>
      <c r="G317" s="332"/>
    </row>
    <row r="318">
      <c r="A318" s="332"/>
      <c r="B318" s="335"/>
      <c r="C318" s="335"/>
      <c r="D318" s="335"/>
      <c r="E318" s="335"/>
      <c r="F318" s="335" t="b">
        <v>0</v>
      </c>
      <c r="G318" s="332"/>
    </row>
    <row r="319">
      <c r="A319" s="332"/>
      <c r="B319" s="335"/>
      <c r="C319" s="335"/>
      <c r="D319" s="335"/>
      <c r="E319" s="335"/>
      <c r="F319" s="335" t="b">
        <v>0</v>
      </c>
      <c r="G319" s="332"/>
    </row>
    <row r="320">
      <c r="A320" s="332"/>
      <c r="B320" s="335"/>
      <c r="C320" s="335"/>
      <c r="D320" s="335"/>
      <c r="E320" s="335"/>
      <c r="F320" s="335" t="b">
        <v>0</v>
      </c>
      <c r="G320" s="332"/>
    </row>
    <row r="321">
      <c r="A321" s="332"/>
      <c r="B321" s="335"/>
      <c r="C321" s="335"/>
      <c r="D321" s="335"/>
      <c r="E321" s="335"/>
      <c r="F321" s="335" t="b">
        <v>0</v>
      </c>
      <c r="G321" s="332"/>
    </row>
    <row r="322">
      <c r="A322" s="332"/>
      <c r="B322" s="335"/>
      <c r="C322" s="335"/>
      <c r="D322" s="335"/>
      <c r="E322" s="335"/>
      <c r="F322" s="335" t="b">
        <v>0</v>
      </c>
      <c r="G322" s="332"/>
    </row>
    <row r="323">
      <c r="A323" s="332"/>
      <c r="B323" s="335"/>
      <c r="C323" s="335"/>
      <c r="D323" s="335"/>
      <c r="E323" s="335"/>
      <c r="F323" s="335" t="b">
        <v>0</v>
      </c>
      <c r="G323" s="332"/>
    </row>
    <row r="324">
      <c r="A324" s="332"/>
      <c r="B324" s="335"/>
      <c r="C324" s="335"/>
      <c r="D324" s="335"/>
      <c r="E324" s="335"/>
      <c r="F324" s="335" t="b">
        <v>0</v>
      </c>
      <c r="G324" s="332"/>
    </row>
    <row r="325">
      <c r="A325" s="332"/>
      <c r="B325" s="335"/>
      <c r="C325" s="335"/>
      <c r="D325" s="335"/>
      <c r="E325" s="335"/>
      <c r="F325" s="335" t="b">
        <v>0</v>
      </c>
      <c r="G325" s="332"/>
    </row>
    <row r="326">
      <c r="A326" s="332"/>
      <c r="B326" s="335"/>
      <c r="C326" s="335"/>
      <c r="D326" s="335"/>
      <c r="E326" s="335"/>
      <c r="F326" s="335" t="b">
        <v>0</v>
      </c>
      <c r="G326" s="332"/>
    </row>
    <row r="327">
      <c r="A327" s="332"/>
      <c r="B327" s="335"/>
      <c r="C327" s="335"/>
      <c r="D327" s="335"/>
      <c r="E327" s="335"/>
      <c r="F327" s="335" t="b">
        <v>0</v>
      </c>
      <c r="G327" s="332"/>
    </row>
    <row r="328">
      <c r="A328" s="332"/>
      <c r="B328" s="335"/>
      <c r="C328" s="335"/>
      <c r="D328" s="335"/>
      <c r="E328" s="335"/>
      <c r="F328" s="335" t="b">
        <v>0</v>
      </c>
      <c r="G328" s="332"/>
    </row>
    <row r="329">
      <c r="A329" s="332"/>
      <c r="B329" s="335"/>
      <c r="C329" s="335"/>
      <c r="D329" s="335"/>
      <c r="E329" s="335"/>
      <c r="F329" s="335" t="b">
        <v>0</v>
      </c>
      <c r="G329" s="332"/>
    </row>
    <row r="330">
      <c r="A330" s="332"/>
      <c r="B330" s="335"/>
      <c r="C330" s="335"/>
      <c r="D330" s="335"/>
      <c r="E330" s="335"/>
      <c r="F330" s="335" t="b">
        <v>0</v>
      </c>
      <c r="G330" s="332"/>
    </row>
    <row r="331">
      <c r="A331" s="332"/>
      <c r="B331" s="335"/>
      <c r="C331" s="335"/>
      <c r="D331" s="335"/>
      <c r="E331" s="335"/>
      <c r="F331" s="335" t="b">
        <v>0</v>
      </c>
      <c r="G331" s="332"/>
    </row>
    <row r="332">
      <c r="A332" s="332"/>
      <c r="B332" s="335"/>
      <c r="C332" s="335"/>
      <c r="D332" s="335"/>
      <c r="E332" s="335"/>
      <c r="F332" s="335" t="b">
        <v>0</v>
      </c>
      <c r="G332" s="332"/>
    </row>
    <row r="333">
      <c r="A333" s="332"/>
      <c r="B333" s="335"/>
      <c r="C333" s="335"/>
      <c r="D333" s="335"/>
      <c r="E333" s="335"/>
      <c r="F333" s="335" t="b">
        <v>0</v>
      </c>
      <c r="G333" s="332"/>
    </row>
    <row r="334">
      <c r="A334" s="332"/>
      <c r="B334" s="335"/>
      <c r="C334" s="335"/>
      <c r="D334" s="335"/>
      <c r="E334" s="335"/>
      <c r="F334" s="335" t="b">
        <v>0</v>
      </c>
      <c r="G334" s="332"/>
    </row>
    <row r="335">
      <c r="A335" s="332"/>
      <c r="B335" s="335"/>
      <c r="C335" s="335"/>
      <c r="D335" s="335"/>
      <c r="E335" s="335"/>
      <c r="F335" s="335" t="b">
        <v>0</v>
      </c>
      <c r="G335" s="332"/>
    </row>
    <row r="336">
      <c r="A336" s="332"/>
      <c r="B336" s="335"/>
      <c r="C336" s="335"/>
      <c r="D336" s="335"/>
      <c r="E336" s="335"/>
      <c r="F336" s="335" t="b">
        <v>0</v>
      </c>
      <c r="G336" s="332"/>
    </row>
    <row r="337">
      <c r="A337" s="332"/>
      <c r="B337" s="335"/>
      <c r="C337" s="335"/>
      <c r="D337" s="335"/>
      <c r="E337" s="335"/>
      <c r="F337" s="335" t="b">
        <v>0</v>
      </c>
      <c r="G337" s="332"/>
    </row>
    <row r="338">
      <c r="A338" s="332"/>
      <c r="B338" s="335"/>
      <c r="C338" s="335"/>
      <c r="D338" s="335"/>
      <c r="E338" s="335"/>
      <c r="F338" s="335" t="b">
        <v>0</v>
      </c>
      <c r="G338" s="332"/>
    </row>
    <row r="339">
      <c r="A339" s="332"/>
      <c r="B339" s="335"/>
      <c r="C339" s="335"/>
      <c r="D339" s="335"/>
      <c r="E339" s="335"/>
      <c r="F339" s="335" t="b">
        <v>0</v>
      </c>
      <c r="G339" s="332"/>
    </row>
    <row r="340">
      <c r="A340" s="332"/>
      <c r="B340" s="335"/>
      <c r="C340" s="335"/>
      <c r="D340" s="335"/>
      <c r="E340" s="335"/>
      <c r="F340" s="335" t="b">
        <v>0</v>
      </c>
      <c r="G340" s="332"/>
    </row>
    <row r="341">
      <c r="A341" s="332"/>
      <c r="B341" s="335"/>
      <c r="C341" s="335"/>
      <c r="D341" s="335"/>
      <c r="E341" s="335"/>
      <c r="F341" s="335" t="b">
        <v>0</v>
      </c>
      <c r="G341" s="332"/>
    </row>
    <row r="342">
      <c r="A342" s="332"/>
      <c r="B342" s="335"/>
      <c r="C342" s="335"/>
      <c r="D342" s="335"/>
      <c r="E342" s="335"/>
      <c r="F342" s="335" t="b">
        <v>0</v>
      </c>
      <c r="G342" s="332"/>
    </row>
    <row r="343">
      <c r="A343" s="332"/>
      <c r="B343" s="335"/>
      <c r="C343" s="335"/>
      <c r="D343" s="335"/>
      <c r="E343" s="335"/>
      <c r="F343" s="335" t="b">
        <v>0</v>
      </c>
      <c r="G343" s="332"/>
    </row>
    <row r="344">
      <c r="A344" s="332"/>
      <c r="B344" s="335"/>
      <c r="C344" s="335"/>
      <c r="D344" s="335"/>
      <c r="E344" s="335"/>
      <c r="F344" s="335" t="b">
        <v>0</v>
      </c>
      <c r="G344" s="332"/>
    </row>
    <row r="345">
      <c r="A345" s="332"/>
      <c r="B345" s="335"/>
      <c r="C345" s="335"/>
      <c r="D345" s="335"/>
      <c r="E345" s="335"/>
      <c r="F345" s="335" t="b">
        <v>0</v>
      </c>
      <c r="G345" s="332"/>
    </row>
    <row r="346">
      <c r="A346" s="332"/>
      <c r="B346" s="335"/>
      <c r="C346" s="335"/>
      <c r="D346" s="335"/>
      <c r="E346" s="335"/>
      <c r="F346" s="335" t="b">
        <v>0</v>
      </c>
      <c r="G346" s="332"/>
    </row>
    <row r="347">
      <c r="A347" s="332"/>
      <c r="B347" s="335"/>
      <c r="C347" s="335"/>
      <c r="D347" s="335"/>
      <c r="E347" s="335"/>
      <c r="F347" s="335" t="b">
        <v>0</v>
      </c>
      <c r="G347" s="332"/>
    </row>
    <row r="348">
      <c r="A348" s="332"/>
      <c r="B348" s="335"/>
      <c r="C348" s="335"/>
      <c r="D348" s="335"/>
      <c r="E348" s="335"/>
      <c r="F348" s="335" t="b">
        <v>0</v>
      </c>
      <c r="G348" s="332"/>
    </row>
    <row r="349">
      <c r="A349" s="332"/>
      <c r="B349" s="335"/>
      <c r="C349" s="335"/>
      <c r="D349" s="335"/>
      <c r="E349" s="335"/>
      <c r="F349" s="335" t="b">
        <v>0</v>
      </c>
      <c r="G349" s="332"/>
    </row>
    <row r="350">
      <c r="A350" s="332"/>
      <c r="B350" s="335"/>
      <c r="C350" s="335"/>
      <c r="D350" s="335"/>
      <c r="E350" s="335"/>
      <c r="F350" s="335" t="b">
        <v>0</v>
      </c>
      <c r="G350" s="332"/>
    </row>
    <row r="351">
      <c r="A351" s="332"/>
      <c r="B351" s="335"/>
      <c r="C351" s="335"/>
      <c r="D351" s="335"/>
      <c r="E351" s="335"/>
      <c r="F351" s="335" t="b">
        <v>0</v>
      </c>
      <c r="G351" s="332"/>
    </row>
    <row r="352">
      <c r="A352" s="332"/>
      <c r="B352" s="335"/>
      <c r="C352" s="335"/>
      <c r="D352" s="335"/>
      <c r="E352" s="335"/>
      <c r="F352" s="335" t="b">
        <v>0</v>
      </c>
      <c r="G352" s="332"/>
    </row>
    <row r="353">
      <c r="A353" s="332"/>
      <c r="B353" s="335"/>
      <c r="C353" s="335"/>
      <c r="D353" s="335"/>
      <c r="E353" s="335"/>
      <c r="F353" s="335" t="b">
        <v>0</v>
      </c>
      <c r="G353" s="332"/>
    </row>
    <row r="354">
      <c r="A354" s="332"/>
      <c r="B354" s="335"/>
      <c r="C354" s="335"/>
      <c r="D354" s="335"/>
      <c r="E354" s="335"/>
      <c r="F354" s="335" t="b">
        <v>0</v>
      </c>
      <c r="G354" s="332"/>
    </row>
    <row r="355">
      <c r="A355" s="332"/>
      <c r="B355" s="335"/>
      <c r="C355" s="335"/>
      <c r="D355" s="335"/>
      <c r="E355" s="335"/>
      <c r="F355" s="335" t="b">
        <v>0</v>
      </c>
      <c r="G355" s="332"/>
    </row>
    <row r="356">
      <c r="A356" s="332"/>
      <c r="B356" s="335"/>
      <c r="C356" s="335"/>
      <c r="D356" s="335"/>
      <c r="E356" s="335"/>
      <c r="F356" s="335" t="b">
        <v>0</v>
      </c>
      <c r="G356" s="332"/>
    </row>
    <row r="357">
      <c r="A357" s="332"/>
      <c r="B357" s="335"/>
      <c r="C357" s="335"/>
      <c r="D357" s="335"/>
      <c r="E357" s="335"/>
      <c r="F357" s="335" t="b">
        <v>0</v>
      </c>
      <c r="G357" s="332"/>
    </row>
    <row r="358">
      <c r="A358" s="332"/>
      <c r="B358" s="335"/>
      <c r="C358" s="335"/>
      <c r="D358" s="335"/>
      <c r="E358" s="335"/>
      <c r="F358" s="335" t="b">
        <v>0</v>
      </c>
      <c r="G358" s="332"/>
    </row>
    <row r="359">
      <c r="A359" s="332"/>
      <c r="B359" s="335"/>
      <c r="C359" s="335"/>
      <c r="D359" s="335"/>
      <c r="E359" s="335"/>
      <c r="F359" s="335" t="b">
        <v>0</v>
      </c>
      <c r="G359" s="332"/>
    </row>
    <row r="360">
      <c r="A360" s="332"/>
      <c r="B360" s="335"/>
      <c r="C360" s="335"/>
      <c r="D360" s="335"/>
      <c r="E360" s="335"/>
      <c r="F360" s="335" t="b">
        <v>0</v>
      </c>
      <c r="G360" s="332"/>
    </row>
    <row r="361">
      <c r="A361" s="332"/>
      <c r="B361" s="335"/>
      <c r="C361" s="335"/>
      <c r="D361" s="335"/>
      <c r="E361" s="335"/>
      <c r="F361" s="335" t="b">
        <v>0</v>
      </c>
      <c r="G361" s="332"/>
    </row>
    <row r="362">
      <c r="A362" s="332"/>
      <c r="B362" s="335"/>
      <c r="C362" s="335"/>
      <c r="D362" s="335"/>
      <c r="E362" s="335"/>
      <c r="F362" s="335" t="b">
        <v>0</v>
      </c>
      <c r="G362" s="332"/>
    </row>
    <row r="363">
      <c r="A363" s="332"/>
      <c r="B363" s="335"/>
      <c r="C363" s="335"/>
      <c r="D363" s="335"/>
      <c r="E363" s="335"/>
      <c r="F363" s="335" t="b">
        <v>0</v>
      </c>
      <c r="G363" s="332"/>
    </row>
    <row r="364">
      <c r="A364" s="332"/>
      <c r="B364" s="335"/>
      <c r="C364" s="335"/>
      <c r="D364" s="335"/>
      <c r="E364" s="335"/>
      <c r="F364" s="335" t="b">
        <v>0</v>
      </c>
      <c r="G364" s="332"/>
    </row>
    <row r="365">
      <c r="A365" s="332"/>
      <c r="B365" s="335"/>
      <c r="C365" s="335"/>
      <c r="D365" s="335"/>
      <c r="E365" s="335"/>
      <c r="F365" s="335" t="b">
        <v>0</v>
      </c>
      <c r="G365" s="332"/>
    </row>
    <row r="366">
      <c r="A366" s="332"/>
      <c r="B366" s="335"/>
      <c r="C366" s="335"/>
      <c r="D366" s="335"/>
      <c r="E366" s="335"/>
      <c r="F366" s="335" t="b">
        <v>0</v>
      </c>
      <c r="G366" s="332"/>
    </row>
    <row r="367">
      <c r="A367" s="332"/>
      <c r="B367" s="335"/>
      <c r="C367" s="335"/>
      <c r="D367" s="335"/>
      <c r="E367" s="335"/>
      <c r="F367" s="335" t="b">
        <v>0</v>
      </c>
      <c r="G367" s="332"/>
    </row>
    <row r="368">
      <c r="A368" s="332"/>
      <c r="B368" s="335"/>
      <c r="C368" s="335"/>
      <c r="D368" s="335"/>
      <c r="E368" s="335"/>
      <c r="F368" s="335" t="b">
        <v>0</v>
      </c>
      <c r="G368" s="332"/>
    </row>
    <row r="369">
      <c r="A369" s="332"/>
      <c r="B369" s="335"/>
      <c r="C369" s="335"/>
      <c r="D369" s="335"/>
      <c r="E369" s="335"/>
      <c r="F369" s="335" t="b">
        <v>0</v>
      </c>
      <c r="G369" s="332"/>
    </row>
    <row r="370">
      <c r="A370" s="332"/>
      <c r="B370" s="335"/>
      <c r="C370" s="335"/>
      <c r="D370" s="335"/>
      <c r="E370" s="335"/>
      <c r="F370" s="335" t="b">
        <v>0</v>
      </c>
      <c r="G370" s="332"/>
    </row>
    <row r="371">
      <c r="A371" s="332"/>
      <c r="B371" s="335"/>
      <c r="C371" s="335"/>
      <c r="D371" s="335"/>
      <c r="E371" s="335"/>
      <c r="F371" s="335" t="b">
        <v>0</v>
      </c>
      <c r="G371" s="332"/>
    </row>
    <row r="372">
      <c r="A372" s="332"/>
      <c r="B372" s="335"/>
      <c r="C372" s="335"/>
      <c r="D372" s="335"/>
      <c r="E372" s="335"/>
      <c r="F372" s="335" t="b">
        <v>0</v>
      </c>
      <c r="G372" s="332"/>
    </row>
    <row r="373">
      <c r="A373" s="332"/>
      <c r="B373" s="335"/>
      <c r="C373" s="335"/>
      <c r="D373" s="335"/>
      <c r="E373" s="335"/>
      <c r="F373" s="335" t="b">
        <v>0</v>
      </c>
      <c r="G373" s="332"/>
    </row>
    <row r="374">
      <c r="A374" s="332"/>
      <c r="B374" s="335"/>
      <c r="C374" s="335"/>
      <c r="D374" s="335"/>
      <c r="E374" s="335"/>
      <c r="F374" s="335" t="b">
        <v>0</v>
      </c>
      <c r="G374" s="332"/>
    </row>
    <row r="375">
      <c r="A375" s="332"/>
      <c r="B375" s="335"/>
      <c r="C375" s="335"/>
      <c r="D375" s="335"/>
      <c r="E375" s="335"/>
      <c r="F375" s="335" t="b">
        <v>0</v>
      </c>
      <c r="G375" s="332"/>
    </row>
    <row r="376">
      <c r="A376" s="332"/>
      <c r="B376" s="335"/>
      <c r="C376" s="335"/>
      <c r="D376" s="335"/>
      <c r="E376" s="335"/>
      <c r="F376" s="335" t="b">
        <v>0</v>
      </c>
      <c r="G376" s="332"/>
    </row>
    <row r="377">
      <c r="A377" s="332"/>
      <c r="B377" s="335"/>
      <c r="C377" s="335"/>
      <c r="D377" s="335"/>
      <c r="E377" s="335"/>
      <c r="F377" s="335" t="b">
        <v>0</v>
      </c>
      <c r="G377" s="332"/>
    </row>
    <row r="378">
      <c r="A378" s="332"/>
      <c r="B378" s="335"/>
      <c r="C378" s="335"/>
      <c r="D378" s="335"/>
      <c r="E378" s="335"/>
      <c r="F378" s="335" t="b">
        <v>0</v>
      </c>
      <c r="G378" s="332"/>
    </row>
    <row r="379">
      <c r="A379" s="332"/>
      <c r="B379" s="335"/>
      <c r="C379" s="335"/>
      <c r="D379" s="335"/>
      <c r="E379" s="335"/>
      <c r="F379" s="335" t="b">
        <v>0</v>
      </c>
      <c r="G379" s="332"/>
    </row>
    <row r="380">
      <c r="A380" s="332"/>
      <c r="B380" s="335"/>
      <c r="C380" s="335"/>
      <c r="D380" s="335"/>
      <c r="E380" s="335"/>
      <c r="F380" s="335" t="b">
        <v>0</v>
      </c>
      <c r="G380" s="332"/>
    </row>
    <row r="381">
      <c r="A381" s="332"/>
      <c r="B381" s="335"/>
      <c r="C381" s="335"/>
      <c r="D381" s="335"/>
      <c r="E381" s="335"/>
      <c r="F381" s="335" t="b">
        <v>0</v>
      </c>
      <c r="G381" s="332"/>
    </row>
    <row r="382">
      <c r="A382" s="332"/>
      <c r="B382" s="335"/>
      <c r="C382" s="335"/>
      <c r="D382" s="335"/>
      <c r="E382" s="335"/>
      <c r="F382" s="335" t="b">
        <v>0</v>
      </c>
      <c r="G382" s="332"/>
    </row>
    <row r="383">
      <c r="A383" s="332"/>
      <c r="B383" s="335"/>
      <c r="C383" s="335"/>
      <c r="D383" s="335"/>
      <c r="E383" s="335"/>
      <c r="F383" s="335" t="b">
        <v>0</v>
      </c>
      <c r="G383" s="332"/>
    </row>
    <row r="384">
      <c r="A384" s="332"/>
      <c r="B384" s="335"/>
      <c r="C384" s="335"/>
      <c r="D384" s="335"/>
      <c r="E384" s="335"/>
      <c r="F384" s="335" t="b">
        <v>0</v>
      </c>
      <c r="G384" s="332"/>
    </row>
    <row r="385">
      <c r="A385" s="332"/>
      <c r="B385" s="335"/>
      <c r="C385" s="335"/>
      <c r="D385" s="335"/>
      <c r="E385" s="335"/>
      <c r="F385" s="335" t="b">
        <v>0</v>
      </c>
      <c r="G385" s="332"/>
    </row>
    <row r="386">
      <c r="A386" s="332"/>
      <c r="B386" s="335"/>
      <c r="C386" s="335"/>
      <c r="D386" s="335"/>
      <c r="E386" s="335"/>
      <c r="F386" s="335" t="b">
        <v>0</v>
      </c>
      <c r="G386" s="332"/>
    </row>
    <row r="387">
      <c r="A387" s="332"/>
      <c r="B387" s="335"/>
      <c r="C387" s="335"/>
      <c r="D387" s="335"/>
      <c r="E387" s="335"/>
      <c r="F387" s="335" t="b">
        <v>0</v>
      </c>
      <c r="G387" s="332"/>
    </row>
    <row r="388">
      <c r="A388" s="332"/>
      <c r="B388" s="335"/>
      <c r="C388" s="335"/>
      <c r="D388" s="335"/>
      <c r="E388" s="335"/>
      <c r="F388" s="335" t="b">
        <v>0</v>
      </c>
      <c r="G388" s="332"/>
    </row>
    <row r="389">
      <c r="A389" s="332"/>
      <c r="B389" s="335"/>
      <c r="C389" s="335"/>
      <c r="D389" s="335"/>
      <c r="E389" s="335"/>
      <c r="F389" s="335" t="b">
        <v>0</v>
      </c>
      <c r="G389" s="332"/>
    </row>
    <row r="390">
      <c r="A390" s="332"/>
      <c r="B390" s="335"/>
      <c r="C390" s="335"/>
      <c r="D390" s="335"/>
      <c r="E390" s="335"/>
      <c r="F390" s="335" t="b">
        <v>0</v>
      </c>
      <c r="G390" s="332"/>
    </row>
    <row r="391">
      <c r="A391" s="332"/>
      <c r="B391" s="335"/>
      <c r="C391" s="335"/>
      <c r="D391" s="335"/>
      <c r="E391" s="335"/>
      <c r="F391" s="335" t="b">
        <v>0</v>
      </c>
      <c r="G391" s="332"/>
    </row>
    <row r="392">
      <c r="A392" s="332"/>
      <c r="B392" s="335"/>
      <c r="C392" s="335"/>
      <c r="D392" s="335"/>
      <c r="E392" s="335"/>
      <c r="F392" s="335" t="b">
        <v>0</v>
      </c>
      <c r="G392" s="332"/>
    </row>
    <row r="393">
      <c r="A393" s="332"/>
      <c r="B393" s="335"/>
      <c r="C393" s="335"/>
      <c r="D393" s="335"/>
      <c r="E393" s="335"/>
      <c r="F393" s="335" t="b">
        <v>0</v>
      </c>
      <c r="G393" s="332"/>
    </row>
    <row r="394">
      <c r="A394" s="332"/>
      <c r="B394" s="335"/>
      <c r="C394" s="335"/>
      <c r="D394" s="335"/>
      <c r="E394" s="335"/>
      <c r="F394" s="335" t="b">
        <v>0</v>
      </c>
      <c r="G394" s="332"/>
    </row>
    <row r="395">
      <c r="A395" s="332"/>
      <c r="B395" s="335"/>
      <c r="C395" s="335"/>
      <c r="D395" s="335"/>
      <c r="E395" s="335"/>
      <c r="F395" s="335" t="b">
        <v>0</v>
      </c>
      <c r="G395" s="332"/>
    </row>
    <row r="396">
      <c r="A396" s="332"/>
      <c r="B396" s="335"/>
      <c r="C396" s="335"/>
      <c r="D396" s="335"/>
      <c r="E396" s="335"/>
      <c r="F396" s="335" t="b">
        <v>0</v>
      </c>
      <c r="G396" s="332"/>
    </row>
    <row r="397">
      <c r="A397" s="332"/>
      <c r="B397" s="335"/>
      <c r="C397" s="335"/>
      <c r="D397" s="335"/>
      <c r="E397" s="335"/>
      <c r="F397" s="335" t="b">
        <v>0</v>
      </c>
      <c r="G397" s="332"/>
    </row>
    <row r="398">
      <c r="A398" s="332"/>
      <c r="B398" s="335"/>
      <c r="C398" s="335"/>
      <c r="D398" s="335"/>
      <c r="E398" s="335"/>
      <c r="F398" s="335" t="b">
        <v>0</v>
      </c>
      <c r="G398" s="332"/>
    </row>
    <row r="399">
      <c r="A399" s="332"/>
      <c r="B399" s="335"/>
      <c r="C399" s="335"/>
      <c r="D399" s="335"/>
      <c r="E399" s="335"/>
      <c r="F399" s="335" t="b">
        <v>0</v>
      </c>
      <c r="G399" s="332"/>
    </row>
    <row r="400">
      <c r="A400" s="332"/>
      <c r="B400" s="335"/>
      <c r="C400" s="335"/>
      <c r="D400" s="335"/>
      <c r="E400" s="335"/>
      <c r="F400" s="335" t="b">
        <v>0</v>
      </c>
      <c r="G400" s="332"/>
    </row>
    <row r="401">
      <c r="A401" s="332"/>
      <c r="B401" s="335"/>
      <c r="C401" s="335"/>
      <c r="D401" s="335"/>
      <c r="E401" s="335"/>
      <c r="F401" s="335" t="b">
        <v>0</v>
      </c>
      <c r="G401" s="332"/>
    </row>
    <row r="402">
      <c r="A402" s="332"/>
      <c r="B402" s="335"/>
      <c r="C402" s="335"/>
      <c r="D402" s="335"/>
      <c r="E402" s="335"/>
      <c r="F402" s="335" t="b">
        <v>0</v>
      </c>
      <c r="G402" s="332"/>
    </row>
    <row r="403">
      <c r="A403" s="332"/>
      <c r="B403" s="335"/>
      <c r="C403" s="335"/>
      <c r="D403" s="335"/>
      <c r="E403" s="335"/>
      <c r="F403" s="335" t="b">
        <v>0</v>
      </c>
      <c r="G403" s="332"/>
    </row>
    <row r="404">
      <c r="A404" s="332"/>
      <c r="B404" s="335"/>
      <c r="C404" s="335"/>
      <c r="D404" s="335"/>
      <c r="E404" s="335"/>
      <c r="F404" s="335" t="b">
        <v>0</v>
      </c>
      <c r="G404" s="332"/>
    </row>
    <row r="405">
      <c r="A405" s="332"/>
      <c r="B405" s="335"/>
      <c r="C405" s="335"/>
      <c r="D405" s="335"/>
      <c r="E405" s="335"/>
      <c r="F405" s="335" t="b">
        <v>0</v>
      </c>
      <c r="G405" s="332"/>
    </row>
    <row r="406">
      <c r="A406" s="332"/>
      <c r="B406" s="335"/>
      <c r="C406" s="335"/>
      <c r="D406" s="335"/>
      <c r="E406" s="335"/>
      <c r="F406" s="335" t="b">
        <v>0</v>
      </c>
      <c r="G406" s="332"/>
    </row>
    <row r="407">
      <c r="A407" s="332"/>
      <c r="B407" s="335"/>
      <c r="C407" s="335"/>
      <c r="D407" s="335"/>
      <c r="E407" s="335"/>
      <c r="F407" s="335" t="b">
        <v>0</v>
      </c>
      <c r="G407" s="332"/>
    </row>
    <row r="408">
      <c r="A408" s="332"/>
      <c r="B408" s="335"/>
      <c r="C408" s="335"/>
      <c r="D408" s="335"/>
      <c r="E408" s="335"/>
      <c r="F408" s="335" t="b">
        <v>0</v>
      </c>
      <c r="G408" s="332"/>
    </row>
    <row r="409">
      <c r="A409" s="332"/>
      <c r="B409" s="335"/>
      <c r="C409" s="335"/>
      <c r="D409" s="335"/>
      <c r="E409" s="335"/>
      <c r="F409" s="335" t="b">
        <v>0</v>
      </c>
      <c r="G409" s="332"/>
    </row>
    <row r="410">
      <c r="A410" s="332"/>
      <c r="B410" s="335"/>
      <c r="C410" s="335"/>
      <c r="D410" s="335"/>
      <c r="E410" s="335"/>
      <c r="F410" s="335" t="b">
        <v>0</v>
      </c>
      <c r="G410" s="332"/>
    </row>
    <row r="411">
      <c r="A411" s="332"/>
      <c r="B411" s="335"/>
      <c r="C411" s="335"/>
      <c r="D411" s="335"/>
      <c r="E411" s="335"/>
      <c r="F411" s="335" t="b">
        <v>0</v>
      </c>
      <c r="G411" s="332"/>
    </row>
    <row r="412">
      <c r="A412" s="332"/>
      <c r="B412" s="335"/>
      <c r="C412" s="335"/>
      <c r="D412" s="335"/>
      <c r="E412" s="335"/>
      <c r="F412" s="335" t="b">
        <v>0</v>
      </c>
      <c r="G412" s="332"/>
    </row>
    <row r="413">
      <c r="A413" s="332"/>
      <c r="B413" s="335"/>
      <c r="C413" s="335"/>
      <c r="D413" s="335"/>
      <c r="E413" s="335"/>
      <c r="F413" s="335" t="b">
        <v>0</v>
      </c>
      <c r="G413" s="332"/>
    </row>
    <row r="414">
      <c r="A414" s="332"/>
      <c r="B414" s="335"/>
      <c r="C414" s="335"/>
      <c r="D414" s="335"/>
      <c r="E414" s="335"/>
      <c r="F414" s="335" t="b">
        <v>0</v>
      </c>
      <c r="G414" s="332"/>
    </row>
    <row r="415">
      <c r="A415" s="332"/>
      <c r="B415" s="335"/>
      <c r="C415" s="335"/>
      <c r="D415" s="335"/>
      <c r="E415" s="335"/>
      <c r="F415" s="335" t="b">
        <v>0</v>
      </c>
      <c r="G415" s="332"/>
    </row>
    <row r="416">
      <c r="A416" s="332"/>
      <c r="B416" s="335"/>
      <c r="C416" s="335"/>
      <c r="D416" s="335"/>
      <c r="E416" s="335"/>
      <c r="F416" s="335" t="b">
        <v>0</v>
      </c>
      <c r="G416" s="332"/>
    </row>
    <row r="417">
      <c r="A417" s="332"/>
      <c r="B417" s="335"/>
      <c r="C417" s="335"/>
      <c r="D417" s="335"/>
      <c r="E417" s="335"/>
      <c r="F417" s="335" t="b">
        <v>0</v>
      </c>
      <c r="G417" s="332"/>
    </row>
    <row r="418">
      <c r="A418" s="332"/>
      <c r="B418" s="335"/>
      <c r="C418" s="335"/>
      <c r="D418" s="335"/>
      <c r="E418" s="335"/>
      <c r="F418" s="335" t="b">
        <v>0</v>
      </c>
      <c r="G418" s="332"/>
    </row>
    <row r="419">
      <c r="A419" s="332"/>
      <c r="B419" s="335"/>
      <c r="C419" s="335"/>
      <c r="D419" s="335"/>
      <c r="E419" s="335"/>
      <c r="F419" s="335" t="b">
        <v>0</v>
      </c>
      <c r="G419" s="332"/>
    </row>
    <row r="420">
      <c r="A420" s="332"/>
      <c r="B420" s="335"/>
      <c r="C420" s="335"/>
      <c r="D420" s="335"/>
      <c r="E420" s="335"/>
      <c r="F420" s="335" t="b">
        <v>0</v>
      </c>
      <c r="G420" s="332"/>
    </row>
    <row r="421">
      <c r="A421" s="332"/>
      <c r="B421" s="335"/>
      <c r="C421" s="335"/>
      <c r="D421" s="335"/>
      <c r="E421" s="335"/>
      <c r="F421" s="335" t="b">
        <v>0</v>
      </c>
      <c r="G421" s="332"/>
    </row>
    <row r="422">
      <c r="A422" s="332"/>
      <c r="B422" s="335"/>
      <c r="C422" s="335"/>
      <c r="D422" s="335"/>
      <c r="E422" s="335"/>
      <c r="F422" s="335" t="b">
        <v>0</v>
      </c>
      <c r="G422" s="332"/>
    </row>
    <row r="423">
      <c r="A423" s="332"/>
      <c r="B423" s="335"/>
      <c r="C423" s="335"/>
      <c r="D423" s="335"/>
      <c r="E423" s="335"/>
      <c r="F423" s="335" t="b">
        <v>0</v>
      </c>
      <c r="G423" s="332"/>
    </row>
    <row r="424">
      <c r="A424" s="332"/>
      <c r="B424" s="335"/>
      <c r="C424" s="335"/>
      <c r="D424" s="335"/>
      <c r="E424" s="335"/>
      <c r="F424" s="335" t="b">
        <v>0</v>
      </c>
      <c r="G424" s="332"/>
    </row>
    <row r="425">
      <c r="A425" s="332"/>
      <c r="B425" s="335"/>
      <c r="C425" s="335"/>
      <c r="D425" s="335"/>
      <c r="E425" s="335"/>
      <c r="F425" s="335" t="b">
        <v>0</v>
      </c>
      <c r="G425" s="332"/>
    </row>
    <row r="426">
      <c r="A426" s="332"/>
      <c r="B426" s="335"/>
      <c r="C426" s="335"/>
      <c r="D426" s="335"/>
      <c r="E426" s="335"/>
      <c r="F426" s="335" t="b">
        <v>0</v>
      </c>
      <c r="G426" s="332"/>
    </row>
    <row r="427">
      <c r="A427" s="332"/>
      <c r="B427" s="335"/>
      <c r="C427" s="335"/>
      <c r="D427" s="335"/>
      <c r="E427" s="335"/>
      <c r="F427" s="335" t="b">
        <v>0</v>
      </c>
      <c r="G427" s="332"/>
    </row>
    <row r="428">
      <c r="A428" s="332"/>
      <c r="B428" s="335"/>
      <c r="C428" s="335"/>
      <c r="D428" s="335"/>
      <c r="E428" s="335"/>
      <c r="F428" s="335" t="b">
        <v>0</v>
      </c>
      <c r="G428" s="332"/>
    </row>
    <row r="429">
      <c r="A429" s="332"/>
      <c r="B429" s="335"/>
      <c r="C429" s="335"/>
      <c r="D429" s="335"/>
      <c r="E429" s="335"/>
      <c r="F429" s="335" t="b">
        <v>0</v>
      </c>
      <c r="G429" s="332"/>
    </row>
    <row r="430">
      <c r="A430" s="332"/>
      <c r="B430" s="335"/>
      <c r="C430" s="335"/>
      <c r="D430" s="335"/>
      <c r="E430" s="335"/>
      <c r="F430" s="335" t="b">
        <v>0</v>
      </c>
      <c r="G430" s="332"/>
    </row>
    <row r="431">
      <c r="A431" s="332"/>
      <c r="B431" s="335"/>
      <c r="C431" s="335"/>
      <c r="D431" s="335"/>
      <c r="E431" s="335"/>
      <c r="F431" s="335" t="b">
        <v>0</v>
      </c>
      <c r="G431" s="332"/>
    </row>
    <row r="432">
      <c r="A432" s="332"/>
      <c r="B432" s="335"/>
      <c r="C432" s="335"/>
      <c r="D432" s="335"/>
      <c r="E432" s="335"/>
      <c r="F432" s="335" t="b">
        <v>0</v>
      </c>
      <c r="G432" s="332"/>
    </row>
    <row r="433">
      <c r="A433" s="332"/>
      <c r="B433" s="335"/>
      <c r="C433" s="335"/>
      <c r="D433" s="335"/>
      <c r="E433" s="335"/>
      <c r="F433" s="335" t="b">
        <v>0</v>
      </c>
      <c r="G433" s="332"/>
    </row>
    <row r="434">
      <c r="A434" s="332"/>
      <c r="B434" s="335"/>
      <c r="C434" s="335"/>
      <c r="D434" s="335"/>
      <c r="E434" s="335"/>
      <c r="F434" s="335" t="b">
        <v>0</v>
      </c>
      <c r="G434" s="332"/>
    </row>
    <row r="435">
      <c r="A435" s="332"/>
      <c r="B435" s="335"/>
      <c r="C435" s="335"/>
      <c r="D435" s="335"/>
      <c r="E435" s="335"/>
      <c r="F435" s="335" t="b">
        <v>0</v>
      </c>
      <c r="G435" s="332"/>
    </row>
    <row r="436">
      <c r="A436" s="332"/>
      <c r="B436" s="335"/>
      <c r="C436" s="335"/>
      <c r="D436" s="335"/>
      <c r="E436" s="335"/>
      <c r="F436" s="335" t="b">
        <v>0</v>
      </c>
      <c r="G436" s="332"/>
    </row>
    <row r="437">
      <c r="A437" s="332"/>
      <c r="B437" s="335"/>
      <c r="C437" s="335"/>
      <c r="D437" s="335"/>
      <c r="E437" s="335"/>
      <c r="F437" s="335" t="b">
        <v>0</v>
      </c>
      <c r="G437" s="332"/>
    </row>
    <row r="438">
      <c r="A438" s="332"/>
      <c r="B438" s="335"/>
      <c r="C438" s="335"/>
      <c r="D438" s="335"/>
      <c r="E438" s="335"/>
      <c r="F438" s="335" t="b">
        <v>0</v>
      </c>
      <c r="G438" s="332"/>
    </row>
    <row r="439">
      <c r="A439" s="332"/>
      <c r="B439" s="335"/>
      <c r="C439" s="335"/>
      <c r="D439" s="335"/>
      <c r="E439" s="335"/>
      <c r="F439" s="335" t="b">
        <v>0</v>
      </c>
      <c r="G439" s="332"/>
    </row>
    <row r="440">
      <c r="A440" s="332"/>
      <c r="B440" s="335"/>
      <c r="C440" s="335"/>
      <c r="D440" s="335"/>
      <c r="E440" s="335"/>
      <c r="F440" s="335" t="b">
        <v>0</v>
      </c>
      <c r="G440" s="332"/>
    </row>
    <row r="441">
      <c r="A441" s="332"/>
      <c r="B441" s="335"/>
      <c r="C441" s="335"/>
      <c r="D441" s="335"/>
      <c r="E441" s="335"/>
      <c r="F441" s="335" t="b">
        <v>0</v>
      </c>
      <c r="G441" s="332"/>
    </row>
    <row r="442">
      <c r="A442" s="332"/>
      <c r="B442" s="335"/>
      <c r="C442" s="335"/>
      <c r="D442" s="335"/>
      <c r="E442" s="335"/>
      <c r="F442" s="335" t="b">
        <v>0</v>
      </c>
      <c r="G442" s="332"/>
    </row>
    <row r="443">
      <c r="A443" s="332"/>
      <c r="B443" s="335"/>
      <c r="C443" s="335"/>
      <c r="D443" s="335"/>
      <c r="E443" s="335"/>
      <c r="F443" s="335" t="b">
        <v>0</v>
      </c>
      <c r="G443" s="332"/>
    </row>
    <row r="444">
      <c r="A444" s="332"/>
      <c r="B444" s="335"/>
      <c r="C444" s="335"/>
      <c r="D444" s="335"/>
      <c r="E444" s="335"/>
      <c r="F444" s="335" t="b">
        <v>0</v>
      </c>
      <c r="G444" s="332"/>
    </row>
    <row r="445">
      <c r="A445" s="332"/>
      <c r="B445" s="335"/>
      <c r="C445" s="335"/>
      <c r="D445" s="335"/>
      <c r="E445" s="335"/>
      <c r="F445" s="335" t="b">
        <v>0</v>
      </c>
      <c r="G445" s="332"/>
    </row>
    <row r="446">
      <c r="A446" s="332"/>
      <c r="B446" s="335"/>
      <c r="C446" s="335"/>
      <c r="D446" s="335"/>
      <c r="E446" s="335"/>
      <c r="F446" s="335" t="b">
        <v>0</v>
      </c>
      <c r="G446" s="332"/>
    </row>
    <row r="447">
      <c r="A447" s="332"/>
      <c r="B447" s="335"/>
      <c r="C447" s="335"/>
      <c r="D447" s="335"/>
      <c r="E447" s="335"/>
      <c r="F447" s="335" t="b">
        <v>0</v>
      </c>
      <c r="G447" s="332"/>
    </row>
    <row r="448">
      <c r="A448" s="332"/>
      <c r="B448" s="335"/>
      <c r="C448" s="335"/>
      <c r="D448" s="335"/>
      <c r="E448" s="335"/>
      <c r="F448" s="335" t="b">
        <v>0</v>
      </c>
      <c r="G448" s="332"/>
    </row>
    <row r="449">
      <c r="A449" s="332"/>
      <c r="B449" s="335"/>
      <c r="C449" s="335"/>
      <c r="D449" s="335"/>
      <c r="E449" s="335"/>
      <c r="F449" s="335" t="b">
        <v>0</v>
      </c>
      <c r="G449" s="332"/>
    </row>
    <row r="450">
      <c r="A450" s="332"/>
      <c r="B450" s="335"/>
      <c r="C450" s="335"/>
      <c r="D450" s="335"/>
      <c r="E450" s="335"/>
      <c r="F450" s="335" t="b">
        <v>0</v>
      </c>
      <c r="G450" s="332"/>
    </row>
    <row r="451">
      <c r="A451" s="332"/>
      <c r="B451" s="335"/>
      <c r="C451" s="335"/>
      <c r="D451" s="335"/>
      <c r="E451" s="335"/>
      <c r="F451" s="335" t="b">
        <v>0</v>
      </c>
      <c r="G451" s="332"/>
    </row>
    <row r="452">
      <c r="A452" s="332"/>
      <c r="B452" s="335"/>
      <c r="C452" s="335"/>
      <c r="D452" s="335"/>
      <c r="E452" s="335"/>
      <c r="F452" s="335" t="b">
        <v>0</v>
      </c>
      <c r="G452" s="332"/>
    </row>
    <row r="453">
      <c r="A453" s="332"/>
      <c r="B453" s="335"/>
      <c r="C453" s="335"/>
      <c r="D453" s="335"/>
      <c r="E453" s="335"/>
      <c r="F453" s="335" t="b">
        <v>0</v>
      </c>
      <c r="G453" s="332"/>
    </row>
    <row r="454">
      <c r="A454" s="332"/>
      <c r="B454" s="335"/>
      <c r="C454" s="335"/>
      <c r="D454" s="335"/>
      <c r="E454" s="335"/>
      <c r="F454" s="335" t="b">
        <v>0</v>
      </c>
      <c r="G454" s="332"/>
    </row>
    <row r="455">
      <c r="A455" s="332"/>
      <c r="B455" s="335"/>
      <c r="C455" s="335"/>
      <c r="D455" s="335"/>
      <c r="E455" s="335"/>
      <c r="F455" s="335" t="b">
        <v>0</v>
      </c>
      <c r="G455" s="332"/>
    </row>
    <row r="456">
      <c r="A456" s="332"/>
      <c r="B456" s="335"/>
      <c r="C456" s="335"/>
      <c r="D456" s="335"/>
      <c r="E456" s="335"/>
      <c r="F456" s="335" t="b">
        <v>0</v>
      </c>
      <c r="G456" s="332"/>
    </row>
    <row r="457">
      <c r="A457" s="332"/>
      <c r="B457" s="335"/>
      <c r="C457" s="335"/>
      <c r="D457" s="335"/>
      <c r="E457" s="335"/>
      <c r="F457" s="335" t="b">
        <v>0</v>
      </c>
      <c r="G457" s="332"/>
    </row>
    <row r="458">
      <c r="A458" s="332"/>
      <c r="B458" s="335"/>
      <c r="C458" s="335"/>
      <c r="D458" s="335"/>
      <c r="E458" s="335"/>
      <c r="F458" s="335" t="b">
        <v>0</v>
      </c>
      <c r="G458" s="332"/>
    </row>
    <row r="459">
      <c r="A459" s="332"/>
      <c r="B459" s="335"/>
      <c r="C459" s="335"/>
      <c r="D459" s="335"/>
      <c r="E459" s="335"/>
      <c r="F459" s="335" t="b">
        <v>0</v>
      </c>
      <c r="G459" s="332"/>
    </row>
    <row r="460">
      <c r="A460" s="332"/>
      <c r="B460" s="335"/>
      <c r="C460" s="335"/>
      <c r="D460" s="335"/>
      <c r="E460" s="335"/>
      <c r="F460" s="335" t="b">
        <v>0</v>
      </c>
      <c r="G460" s="332"/>
    </row>
    <row r="461">
      <c r="A461" s="332"/>
      <c r="B461" s="335"/>
      <c r="C461" s="335"/>
      <c r="D461" s="335"/>
      <c r="E461" s="335"/>
      <c r="F461" s="335" t="b">
        <v>0</v>
      </c>
      <c r="G461" s="332"/>
    </row>
    <row r="462">
      <c r="A462" s="332"/>
      <c r="B462" s="335"/>
      <c r="C462" s="335"/>
      <c r="D462" s="335"/>
      <c r="E462" s="335"/>
      <c r="F462" s="335" t="b">
        <v>0</v>
      </c>
      <c r="G462" s="332"/>
    </row>
    <row r="463">
      <c r="A463" s="332"/>
      <c r="B463" s="335"/>
      <c r="C463" s="335"/>
      <c r="D463" s="335"/>
      <c r="E463" s="335"/>
      <c r="F463" s="335" t="b">
        <v>0</v>
      </c>
      <c r="G463" s="332"/>
    </row>
    <row r="464">
      <c r="A464" s="332"/>
      <c r="B464" s="335"/>
      <c r="C464" s="335"/>
      <c r="D464" s="335"/>
      <c r="E464" s="335"/>
      <c r="F464" s="335" t="b">
        <v>0</v>
      </c>
      <c r="G464" s="332"/>
    </row>
    <row r="465">
      <c r="A465" s="332"/>
      <c r="B465" s="335"/>
      <c r="C465" s="335"/>
      <c r="D465" s="335"/>
      <c r="E465" s="335"/>
      <c r="F465" s="335" t="b">
        <v>0</v>
      </c>
      <c r="G465" s="332"/>
    </row>
    <row r="466">
      <c r="A466" s="332"/>
      <c r="B466" s="335"/>
      <c r="C466" s="335"/>
      <c r="D466" s="335"/>
      <c r="E466" s="335"/>
      <c r="F466" s="335" t="b">
        <v>0</v>
      </c>
      <c r="G466" s="332"/>
    </row>
    <row r="467">
      <c r="A467" s="332"/>
      <c r="B467" s="335"/>
      <c r="C467" s="335"/>
      <c r="D467" s="335"/>
      <c r="E467" s="335"/>
      <c r="F467" s="335" t="b">
        <v>0</v>
      </c>
      <c r="G467" s="332"/>
    </row>
    <row r="468">
      <c r="A468" s="332"/>
      <c r="B468" s="335"/>
      <c r="C468" s="335"/>
      <c r="D468" s="335"/>
      <c r="E468" s="335"/>
      <c r="F468" s="335" t="b">
        <v>0</v>
      </c>
      <c r="G468" s="332"/>
    </row>
    <row r="469">
      <c r="A469" s="332"/>
      <c r="B469" s="335"/>
      <c r="C469" s="335"/>
      <c r="D469" s="335"/>
      <c r="E469" s="335"/>
      <c r="F469" s="335" t="b">
        <v>0</v>
      </c>
      <c r="G469" s="332"/>
    </row>
    <row r="470">
      <c r="A470" s="332"/>
      <c r="B470" s="335"/>
      <c r="C470" s="335"/>
      <c r="D470" s="335"/>
      <c r="E470" s="335"/>
      <c r="F470" s="335" t="b">
        <v>0</v>
      </c>
      <c r="G470" s="332"/>
    </row>
    <row r="471">
      <c r="A471" s="332"/>
      <c r="B471" s="335"/>
      <c r="C471" s="335"/>
      <c r="D471" s="335"/>
      <c r="E471" s="335"/>
      <c r="F471" s="335" t="b">
        <v>0</v>
      </c>
      <c r="G471" s="332"/>
    </row>
    <row r="472">
      <c r="A472" s="332"/>
      <c r="B472" s="335"/>
      <c r="C472" s="335"/>
      <c r="D472" s="335"/>
      <c r="E472" s="335"/>
      <c r="F472" s="335" t="b">
        <v>0</v>
      </c>
      <c r="G472" s="332"/>
    </row>
    <row r="473">
      <c r="A473" s="332"/>
      <c r="B473" s="335"/>
      <c r="C473" s="335"/>
      <c r="D473" s="335"/>
      <c r="E473" s="335"/>
      <c r="F473" s="335" t="b">
        <v>0</v>
      </c>
      <c r="G473" s="332"/>
    </row>
    <row r="474">
      <c r="A474" s="332"/>
      <c r="B474" s="335"/>
      <c r="C474" s="335"/>
      <c r="D474" s="335"/>
      <c r="E474" s="335"/>
      <c r="F474" s="335" t="b">
        <v>0</v>
      </c>
      <c r="G474" s="332"/>
    </row>
    <row r="475">
      <c r="A475" s="332"/>
      <c r="B475" s="335"/>
      <c r="C475" s="335"/>
      <c r="D475" s="335"/>
      <c r="E475" s="335"/>
      <c r="F475" s="335" t="b">
        <v>0</v>
      </c>
      <c r="G475" s="332"/>
    </row>
    <row r="476">
      <c r="A476" s="332"/>
      <c r="B476" s="335"/>
      <c r="C476" s="335"/>
      <c r="D476" s="335"/>
      <c r="E476" s="335"/>
      <c r="F476" s="335" t="b">
        <v>0</v>
      </c>
      <c r="G476" s="332"/>
    </row>
    <row r="477">
      <c r="A477" s="332"/>
      <c r="B477" s="335"/>
      <c r="C477" s="335"/>
      <c r="D477" s="335"/>
      <c r="E477" s="335"/>
      <c r="F477" s="335" t="b">
        <v>0</v>
      </c>
      <c r="G477" s="332"/>
    </row>
    <row r="478">
      <c r="A478" s="332"/>
      <c r="B478" s="335"/>
      <c r="C478" s="335"/>
      <c r="D478" s="335"/>
      <c r="E478" s="335"/>
      <c r="F478" s="335" t="b">
        <v>0</v>
      </c>
      <c r="G478" s="332"/>
    </row>
    <row r="479">
      <c r="A479" s="332"/>
      <c r="B479" s="335"/>
      <c r="C479" s="335"/>
      <c r="D479" s="335"/>
      <c r="E479" s="335"/>
      <c r="F479" s="335" t="b">
        <v>0</v>
      </c>
      <c r="G479" s="332"/>
    </row>
    <row r="480">
      <c r="A480" s="332"/>
      <c r="B480" s="335"/>
      <c r="C480" s="335"/>
      <c r="D480" s="335"/>
      <c r="E480" s="335"/>
      <c r="F480" s="335" t="b">
        <v>0</v>
      </c>
      <c r="G480" s="332"/>
    </row>
    <row r="481">
      <c r="A481" s="332"/>
      <c r="B481" s="335"/>
      <c r="C481" s="335"/>
      <c r="D481" s="335"/>
      <c r="E481" s="335"/>
      <c r="F481" s="335" t="b">
        <v>0</v>
      </c>
      <c r="G481" s="332"/>
    </row>
    <row r="482">
      <c r="A482" s="332"/>
      <c r="B482" s="335"/>
      <c r="C482" s="335"/>
      <c r="D482" s="335"/>
      <c r="E482" s="335"/>
      <c r="F482" s="335" t="b">
        <v>0</v>
      </c>
      <c r="G482" s="332"/>
    </row>
    <row r="483">
      <c r="A483" s="332"/>
      <c r="B483" s="335"/>
      <c r="C483" s="335"/>
      <c r="D483" s="335"/>
      <c r="E483" s="335"/>
      <c r="F483" s="335" t="b">
        <v>0</v>
      </c>
      <c r="G483" s="332"/>
    </row>
    <row r="484">
      <c r="A484" s="332"/>
      <c r="B484" s="335"/>
      <c r="C484" s="335"/>
      <c r="D484" s="335"/>
      <c r="E484" s="335"/>
      <c r="F484" s="335" t="b">
        <v>0</v>
      </c>
      <c r="G484" s="332"/>
    </row>
    <row r="485">
      <c r="A485" s="332"/>
      <c r="B485" s="335"/>
      <c r="C485" s="335"/>
      <c r="D485" s="335"/>
      <c r="E485" s="335"/>
      <c r="F485" s="335" t="b">
        <v>0</v>
      </c>
      <c r="G485" s="332"/>
    </row>
    <row r="486">
      <c r="A486" s="332"/>
      <c r="B486" s="335"/>
      <c r="C486" s="335"/>
      <c r="D486" s="335"/>
      <c r="E486" s="335"/>
      <c r="F486" s="335" t="b">
        <v>0</v>
      </c>
      <c r="G486" s="332"/>
    </row>
    <row r="487">
      <c r="A487" s="332"/>
      <c r="B487" s="335"/>
      <c r="C487" s="335"/>
      <c r="D487" s="335"/>
      <c r="E487" s="335"/>
      <c r="F487" s="335" t="b">
        <v>0</v>
      </c>
      <c r="G487" s="332"/>
    </row>
    <row r="488">
      <c r="A488" s="332"/>
      <c r="B488" s="335"/>
      <c r="C488" s="335"/>
      <c r="D488" s="335"/>
      <c r="E488" s="335"/>
      <c r="F488" s="335" t="b">
        <v>0</v>
      </c>
      <c r="G488" s="332"/>
    </row>
    <row r="489">
      <c r="A489" s="332"/>
      <c r="B489" s="335"/>
      <c r="C489" s="335"/>
      <c r="D489" s="335"/>
      <c r="E489" s="335"/>
      <c r="F489" s="335" t="b">
        <v>0</v>
      </c>
      <c r="G489" s="332"/>
    </row>
    <row r="490">
      <c r="A490" s="332"/>
      <c r="B490" s="335"/>
      <c r="C490" s="335"/>
      <c r="D490" s="335"/>
      <c r="E490" s="335"/>
      <c r="F490" s="335" t="b">
        <v>0</v>
      </c>
      <c r="G490" s="332"/>
    </row>
    <row r="491">
      <c r="A491" s="332"/>
      <c r="B491" s="335"/>
      <c r="C491" s="335"/>
      <c r="D491" s="335"/>
      <c r="E491" s="335"/>
      <c r="F491" s="335" t="b">
        <v>0</v>
      </c>
      <c r="G491" s="332"/>
    </row>
    <row r="492">
      <c r="A492" s="332"/>
      <c r="B492" s="335"/>
      <c r="C492" s="335"/>
      <c r="D492" s="335"/>
      <c r="E492" s="335"/>
      <c r="F492" s="335" t="b">
        <v>0</v>
      </c>
      <c r="G492" s="332"/>
    </row>
    <row r="493">
      <c r="A493" s="332"/>
      <c r="B493" s="335"/>
      <c r="C493" s="335"/>
      <c r="D493" s="335"/>
      <c r="E493" s="335"/>
      <c r="F493" s="335" t="b">
        <v>0</v>
      </c>
      <c r="G493" s="332"/>
    </row>
    <row r="494">
      <c r="A494" s="332"/>
      <c r="B494" s="335"/>
      <c r="C494" s="335"/>
      <c r="D494" s="335"/>
      <c r="E494" s="335"/>
      <c r="F494" s="335" t="b">
        <v>0</v>
      </c>
      <c r="G494" s="332"/>
    </row>
    <row r="495">
      <c r="A495" s="332"/>
      <c r="B495" s="335"/>
      <c r="C495" s="335"/>
      <c r="D495" s="335"/>
      <c r="E495" s="335"/>
      <c r="F495" s="335" t="b">
        <v>0</v>
      </c>
      <c r="G495" s="332"/>
    </row>
    <row r="496">
      <c r="A496" s="332"/>
      <c r="B496" s="335"/>
      <c r="C496" s="335"/>
      <c r="D496" s="335"/>
      <c r="E496" s="335"/>
      <c r="F496" s="335" t="b">
        <v>0</v>
      </c>
      <c r="G496" s="332"/>
    </row>
    <row r="497">
      <c r="A497" s="332"/>
      <c r="B497" s="335"/>
      <c r="C497" s="335"/>
      <c r="D497" s="335"/>
      <c r="E497" s="335"/>
      <c r="F497" s="335" t="b">
        <v>0</v>
      </c>
      <c r="G497" s="332"/>
    </row>
    <row r="498">
      <c r="A498" s="332"/>
      <c r="B498" s="335"/>
      <c r="C498" s="335"/>
      <c r="D498" s="335"/>
      <c r="E498" s="335"/>
      <c r="F498" s="335" t="b">
        <v>0</v>
      </c>
      <c r="G498" s="332"/>
    </row>
    <row r="499">
      <c r="A499" s="332"/>
      <c r="B499" s="335"/>
      <c r="C499" s="335"/>
      <c r="D499" s="335"/>
      <c r="E499" s="335"/>
      <c r="F499" s="335" t="b">
        <v>0</v>
      </c>
      <c r="G499" s="332"/>
    </row>
    <row r="500">
      <c r="A500" s="332"/>
      <c r="B500" s="335"/>
      <c r="C500" s="335"/>
      <c r="D500" s="335"/>
      <c r="E500" s="335"/>
      <c r="F500" s="335" t="b">
        <v>0</v>
      </c>
      <c r="G500" s="332"/>
    </row>
    <row r="501">
      <c r="A501" s="332"/>
      <c r="B501" s="335"/>
      <c r="C501" s="335"/>
      <c r="D501" s="335"/>
      <c r="E501" s="335"/>
      <c r="F501" s="335" t="b">
        <v>0</v>
      </c>
      <c r="G501" s="332"/>
    </row>
    <row r="502">
      <c r="A502" s="332"/>
      <c r="B502" s="335"/>
      <c r="C502" s="335"/>
      <c r="D502" s="335"/>
      <c r="E502" s="335"/>
      <c r="F502" s="335" t="b">
        <v>0</v>
      </c>
      <c r="G502" s="332"/>
    </row>
    <row r="503">
      <c r="A503" s="332"/>
      <c r="B503" s="335"/>
      <c r="C503" s="335"/>
      <c r="D503" s="335"/>
      <c r="E503" s="335"/>
      <c r="F503" s="335" t="b">
        <v>0</v>
      </c>
      <c r="G503" s="332"/>
    </row>
    <row r="504">
      <c r="A504" s="332"/>
      <c r="B504" s="335"/>
      <c r="C504" s="335"/>
      <c r="D504" s="335"/>
      <c r="E504" s="335"/>
      <c r="F504" s="335" t="b">
        <v>0</v>
      </c>
      <c r="G504" s="332"/>
    </row>
    <row r="505">
      <c r="A505" s="332"/>
      <c r="B505" s="335"/>
      <c r="C505" s="335"/>
      <c r="D505" s="335"/>
      <c r="E505" s="335"/>
      <c r="F505" s="335" t="b">
        <v>0</v>
      </c>
      <c r="G505" s="332"/>
    </row>
    <row r="506">
      <c r="A506" s="332"/>
      <c r="B506" s="335"/>
      <c r="C506" s="335"/>
      <c r="D506" s="335"/>
      <c r="E506" s="335"/>
      <c r="F506" s="335" t="b">
        <v>0</v>
      </c>
      <c r="G506" s="332"/>
    </row>
    <row r="507">
      <c r="A507" s="332"/>
      <c r="B507" s="335"/>
      <c r="C507" s="335"/>
      <c r="D507" s="335"/>
      <c r="E507" s="335"/>
      <c r="F507" s="335" t="b">
        <v>0</v>
      </c>
      <c r="G507" s="332"/>
    </row>
    <row r="508">
      <c r="A508" s="332"/>
      <c r="B508" s="335"/>
      <c r="C508" s="335"/>
      <c r="D508" s="335"/>
      <c r="E508" s="335"/>
      <c r="F508" s="335" t="b">
        <v>0</v>
      </c>
      <c r="G508" s="332"/>
    </row>
    <row r="509">
      <c r="A509" s="332"/>
      <c r="B509" s="335"/>
      <c r="C509" s="335"/>
      <c r="D509" s="335"/>
      <c r="E509" s="335"/>
      <c r="F509" s="335" t="b">
        <v>0</v>
      </c>
      <c r="G509" s="332"/>
    </row>
    <row r="510">
      <c r="A510" s="332"/>
      <c r="B510" s="335"/>
      <c r="C510" s="335"/>
      <c r="D510" s="335"/>
      <c r="E510" s="335"/>
      <c r="F510" s="335" t="b">
        <v>0</v>
      </c>
      <c r="G510" s="332"/>
    </row>
    <row r="511">
      <c r="A511" s="332"/>
      <c r="B511" s="335"/>
      <c r="C511" s="335"/>
      <c r="D511" s="335"/>
      <c r="E511" s="335"/>
      <c r="F511" s="335" t="b">
        <v>0</v>
      </c>
      <c r="G511" s="332"/>
    </row>
    <row r="512">
      <c r="A512" s="332"/>
      <c r="B512" s="335"/>
      <c r="C512" s="335"/>
      <c r="D512" s="335"/>
      <c r="E512" s="335"/>
      <c r="F512" s="335" t="b">
        <v>0</v>
      </c>
      <c r="G512" s="332"/>
    </row>
    <row r="513">
      <c r="A513" s="332"/>
      <c r="B513" s="335"/>
      <c r="C513" s="335"/>
      <c r="D513" s="335"/>
      <c r="E513" s="335"/>
      <c r="F513" s="335" t="b">
        <v>0</v>
      </c>
      <c r="G513" s="332"/>
    </row>
    <row r="514">
      <c r="A514" s="332"/>
      <c r="B514" s="335"/>
      <c r="C514" s="335"/>
      <c r="D514" s="335"/>
      <c r="E514" s="335"/>
      <c r="F514" s="335" t="b">
        <v>0</v>
      </c>
      <c r="G514" s="332"/>
    </row>
    <row r="515">
      <c r="A515" s="332"/>
      <c r="B515" s="335"/>
      <c r="C515" s="335"/>
      <c r="D515" s="335"/>
      <c r="E515" s="335"/>
      <c r="F515" s="335" t="b">
        <v>0</v>
      </c>
      <c r="G515" s="332"/>
    </row>
    <row r="516">
      <c r="A516" s="332"/>
      <c r="B516" s="335"/>
      <c r="C516" s="335"/>
      <c r="D516" s="335"/>
      <c r="E516" s="335"/>
      <c r="F516" s="335" t="b">
        <v>0</v>
      </c>
      <c r="G516" s="332"/>
    </row>
    <row r="517">
      <c r="A517" s="332"/>
      <c r="B517" s="335"/>
      <c r="C517" s="335"/>
      <c r="D517" s="335"/>
      <c r="E517" s="335"/>
      <c r="F517" s="335" t="b">
        <v>0</v>
      </c>
      <c r="G517" s="332"/>
    </row>
    <row r="518">
      <c r="A518" s="332"/>
      <c r="B518" s="335"/>
      <c r="C518" s="335"/>
      <c r="D518" s="335"/>
      <c r="E518" s="335"/>
      <c r="F518" s="335" t="b">
        <v>0</v>
      </c>
      <c r="G518" s="332"/>
    </row>
    <row r="519">
      <c r="A519" s="332"/>
      <c r="B519" s="335"/>
      <c r="C519" s="335"/>
      <c r="D519" s="335"/>
      <c r="E519" s="335"/>
      <c r="F519" s="335" t="b">
        <v>0</v>
      </c>
      <c r="G519" s="332"/>
    </row>
    <row r="520">
      <c r="A520" s="332"/>
      <c r="B520" s="335"/>
      <c r="C520" s="335"/>
      <c r="D520" s="335"/>
      <c r="E520" s="335"/>
      <c r="F520" s="335" t="b">
        <v>0</v>
      </c>
      <c r="G520" s="332"/>
    </row>
    <row r="521">
      <c r="A521" s="332"/>
      <c r="B521" s="335"/>
      <c r="C521" s="335"/>
      <c r="D521" s="335"/>
      <c r="E521" s="335"/>
      <c r="F521" s="335" t="b">
        <v>0</v>
      </c>
      <c r="G521" s="332"/>
    </row>
    <row r="522">
      <c r="A522" s="332"/>
      <c r="B522" s="335"/>
      <c r="C522" s="335"/>
      <c r="D522" s="335"/>
      <c r="E522" s="335"/>
      <c r="F522" s="335" t="b">
        <v>0</v>
      </c>
      <c r="G522" s="332"/>
    </row>
    <row r="523">
      <c r="A523" s="332"/>
      <c r="B523" s="335"/>
      <c r="C523" s="335"/>
      <c r="D523" s="335"/>
      <c r="E523" s="335"/>
      <c r="F523" s="335" t="b">
        <v>0</v>
      </c>
      <c r="G523" s="332"/>
    </row>
    <row r="524">
      <c r="A524" s="332"/>
      <c r="B524" s="335"/>
      <c r="C524" s="335"/>
      <c r="D524" s="335"/>
      <c r="E524" s="335"/>
      <c r="F524" s="335" t="b">
        <v>0</v>
      </c>
      <c r="G524" s="332"/>
    </row>
    <row r="525">
      <c r="A525" s="332"/>
      <c r="B525" s="335"/>
      <c r="C525" s="335"/>
      <c r="D525" s="335"/>
      <c r="E525" s="335"/>
      <c r="F525" s="335" t="b">
        <v>0</v>
      </c>
      <c r="G525" s="332"/>
    </row>
    <row r="526">
      <c r="A526" s="332"/>
      <c r="B526" s="335"/>
      <c r="C526" s="335"/>
      <c r="D526" s="335"/>
      <c r="E526" s="335"/>
      <c r="F526" s="335" t="b">
        <v>0</v>
      </c>
      <c r="G526" s="332"/>
    </row>
    <row r="527">
      <c r="A527" s="332"/>
      <c r="B527" s="335"/>
      <c r="C527" s="335"/>
      <c r="D527" s="335"/>
      <c r="E527" s="335"/>
      <c r="F527" s="335" t="b">
        <v>0</v>
      </c>
      <c r="G527" s="332"/>
    </row>
    <row r="528">
      <c r="A528" s="332"/>
      <c r="B528" s="335"/>
      <c r="C528" s="335"/>
      <c r="D528" s="335"/>
      <c r="E528" s="335"/>
      <c r="F528" s="335" t="b">
        <v>0</v>
      </c>
      <c r="G528" s="332"/>
    </row>
    <row r="529">
      <c r="A529" s="332"/>
      <c r="B529" s="335"/>
      <c r="C529" s="335"/>
      <c r="D529" s="335"/>
      <c r="E529" s="335"/>
      <c r="F529" s="335" t="b">
        <v>0</v>
      </c>
      <c r="G529" s="332"/>
    </row>
    <row r="530">
      <c r="A530" s="332"/>
      <c r="B530" s="335"/>
      <c r="C530" s="335"/>
      <c r="D530" s="335"/>
      <c r="E530" s="335"/>
      <c r="F530" s="335" t="b">
        <v>0</v>
      </c>
      <c r="G530" s="332"/>
    </row>
    <row r="531">
      <c r="A531" s="332"/>
      <c r="B531" s="335"/>
      <c r="C531" s="335"/>
      <c r="D531" s="335"/>
      <c r="E531" s="335"/>
      <c r="F531" s="335" t="b">
        <v>0</v>
      </c>
      <c r="G531" s="332"/>
    </row>
    <row r="532">
      <c r="A532" s="332"/>
      <c r="B532" s="335"/>
      <c r="C532" s="335"/>
      <c r="D532" s="335"/>
      <c r="E532" s="335"/>
      <c r="F532" s="335" t="b">
        <v>0</v>
      </c>
      <c r="G532" s="332"/>
    </row>
    <row r="533">
      <c r="A533" s="332"/>
      <c r="B533" s="335"/>
      <c r="C533" s="335"/>
      <c r="D533" s="335"/>
      <c r="E533" s="335"/>
      <c r="F533" s="335" t="b">
        <v>0</v>
      </c>
      <c r="G533" s="332"/>
    </row>
    <row r="534">
      <c r="A534" s="332"/>
      <c r="B534" s="335"/>
      <c r="C534" s="335"/>
      <c r="D534" s="335"/>
      <c r="E534" s="335"/>
      <c r="F534" s="335" t="b">
        <v>0</v>
      </c>
      <c r="G534" s="332"/>
    </row>
    <row r="535">
      <c r="A535" s="332"/>
      <c r="B535" s="335"/>
      <c r="C535" s="335"/>
      <c r="D535" s="335"/>
      <c r="E535" s="335"/>
      <c r="F535" s="335" t="b">
        <v>0</v>
      </c>
      <c r="G535" s="332"/>
    </row>
    <row r="536">
      <c r="A536" s="332"/>
      <c r="B536" s="335"/>
      <c r="C536" s="335"/>
      <c r="D536" s="335"/>
      <c r="E536" s="335"/>
      <c r="F536" s="335" t="b">
        <v>0</v>
      </c>
      <c r="G536" s="332"/>
    </row>
    <row r="537">
      <c r="A537" s="332"/>
      <c r="B537" s="335"/>
      <c r="C537" s="335"/>
      <c r="D537" s="335"/>
      <c r="E537" s="335"/>
      <c r="F537" s="335" t="b">
        <v>0</v>
      </c>
      <c r="G537" s="332"/>
    </row>
    <row r="538">
      <c r="A538" s="332"/>
      <c r="B538" s="335"/>
      <c r="C538" s="335"/>
      <c r="D538" s="335"/>
      <c r="E538" s="335"/>
      <c r="F538" s="335" t="b">
        <v>0</v>
      </c>
      <c r="G538" s="332"/>
    </row>
    <row r="539">
      <c r="A539" s="332"/>
      <c r="B539" s="335"/>
      <c r="C539" s="335"/>
      <c r="D539" s="335"/>
      <c r="E539" s="335"/>
      <c r="F539" s="335" t="b">
        <v>0</v>
      </c>
      <c r="G539" s="332"/>
    </row>
    <row r="540">
      <c r="A540" s="332"/>
      <c r="B540" s="335"/>
      <c r="C540" s="335"/>
      <c r="D540" s="335"/>
      <c r="E540" s="335"/>
      <c r="F540" s="335" t="b">
        <v>0</v>
      </c>
      <c r="G540" s="332"/>
    </row>
    <row r="541">
      <c r="A541" s="332"/>
      <c r="B541" s="335"/>
      <c r="C541" s="335"/>
      <c r="D541" s="335"/>
      <c r="E541" s="335"/>
      <c r="F541" s="335" t="b">
        <v>0</v>
      </c>
      <c r="G541" s="332"/>
    </row>
    <row r="542">
      <c r="A542" s="332"/>
      <c r="B542" s="335"/>
      <c r="C542" s="335"/>
      <c r="D542" s="335"/>
      <c r="E542" s="335"/>
      <c r="F542" s="335" t="b">
        <v>0</v>
      </c>
      <c r="G542" s="332"/>
    </row>
    <row r="543">
      <c r="A543" s="332"/>
      <c r="B543" s="335"/>
      <c r="C543" s="335"/>
      <c r="D543" s="335"/>
      <c r="E543" s="335"/>
      <c r="F543" s="335" t="b">
        <v>0</v>
      </c>
      <c r="G543" s="332"/>
    </row>
    <row r="544">
      <c r="A544" s="332"/>
      <c r="B544" s="335"/>
      <c r="C544" s="335"/>
      <c r="D544" s="335"/>
      <c r="E544" s="335"/>
      <c r="F544" s="335" t="b">
        <v>0</v>
      </c>
      <c r="G544" s="332"/>
    </row>
    <row r="545">
      <c r="A545" s="332"/>
      <c r="B545" s="335"/>
      <c r="C545" s="335"/>
      <c r="D545" s="335"/>
      <c r="E545" s="335"/>
      <c r="F545" s="335" t="b">
        <v>0</v>
      </c>
      <c r="G545" s="332"/>
    </row>
    <row r="546">
      <c r="A546" s="332"/>
      <c r="B546" s="335"/>
      <c r="C546" s="335"/>
      <c r="D546" s="335"/>
      <c r="E546" s="335"/>
      <c r="F546" s="335" t="b">
        <v>0</v>
      </c>
      <c r="G546" s="332"/>
    </row>
    <row r="547">
      <c r="A547" s="332"/>
      <c r="B547" s="335"/>
      <c r="C547" s="335"/>
      <c r="D547" s="335"/>
      <c r="E547" s="335"/>
      <c r="F547" s="335" t="b">
        <v>0</v>
      </c>
      <c r="G547" s="332"/>
    </row>
    <row r="548">
      <c r="A548" s="332"/>
      <c r="B548" s="335"/>
      <c r="C548" s="335"/>
      <c r="D548" s="335"/>
      <c r="E548" s="335"/>
      <c r="F548" s="335" t="b">
        <v>0</v>
      </c>
      <c r="G548" s="332"/>
    </row>
    <row r="549">
      <c r="A549" s="332"/>
      <c r="B549" s="335"/>
      <c r="C549" s="335"/>
      <c r="D549" s="335"/>
      <c r="E549" s="335"/>
      <c r="F549" s="335" t="b">
        <v>0</v>
      </c>
      <c r="G549" s="332"/>
    </row>
    <row r="550">
      <c r="A550" s="332"/>
      <c r="B550" s="335"/>
      <c r="C550" s="335"/>
      <c r="D550" s="335"/>
      <c r="E550" s="335"/>
      <c r="F550" s="335" t="b">
        <v>0</v>
      </c>
      <c r="G550" s="332"/>
    </row>
    <row r="551">
      <c r="A551" s="332"/>
      <c r="B551" s="335"/>
      <c r="C551" s="335"/>
      <c r="D551" s="335"/>
      <c r="E551" s="335"/>
      <c r="F551" s="335" t="b">
        <v>0</v>
      </c>
      <c r="G551" s="332"/>
    </row>
    <row r="552">
      <c r="A552" s="332"/>
      <c r="B552" s="335"/>
      <c r="C552" s="335"/>
      <c r="D552" s="335"/>
      <c r="E552" s="335"/>
      <c r="F552" s="335" t="b">
        <v>0</v>
      </c>
      <c r="G552" s="332"/>
    </row>
    <row r="553">
      <c r="A553" s="332"/>
      <c r="B553" s="335"/>
      <c r="C553" s="335"/>
      <c r="D553" s="335"/>
      <c r="E553" s="335"/>
      <c r="F553" s="335" t="b">
        <v>0</v>
      </c>
      <c r="G553" s="332"/>
    </row>
    <row r="554">
      <c r="A554" s="332"/>
      <c r="B554" s="335"/>
      <c r="C554" s="335"/>
      <c r="D554" s="335"/>
      <c r="E554" s="335"/>
      <c r="F554" s="335" t="b">
        <v>0</v>
      </c>
      <c r="G554" s="332"/>
    </row>
    <row r="555">
      <c r="A555" s="332"/>
      <c r="B555" s="335"/>
      <c r="C555" s="335"/>
      <c r="D555" s="335"/>
      <c r="E555" s="335"/>
      <c r="F555" s="335" t="b">
        <v>0</v>
      </c>
      <c r="G555" s="332"/>
    </row>
    <row r="556">
      <c r="A556" s="332"/>
      <c r="B556" s="335"/>
      <c r="C556" s="335"/>
      <c r="D556" s="335"/>
      <c r="E556" s="335"/>
      <c r="F556" s="335" t="b">
        <v>0</v>
      </c>
      <c r="G556" s="332"/>
    </row>
    <row r="557">
      <c r="A557" s="332"/>
      <c r="B557" s="335"/>
      <c r="C557" s="335"/>
      <c r="D557" s="335"/>
      <c r="E557" s="335"/>
      <c r="F557" s="335" t="b">
        <v>0</v>
      </c>
      <c r="G557" s="332"/>
    </row>
    <row r="558">
      <c r="A558" s="332"/>
      <c r="B558" s="335"/>
      <c r="C558" s="335"/>
      <c r="D558" s="335"/>
      <c r="E558" s="335"/>
      <c r="F558" s="335" t="b">
        <v>0</v>
      </c>
      <c r="G558" s="332"/>
    </row>
    <row r="559">
      <c r="A559" s="332"/>
      <c r="B559" s="335"/>
      <c r="C559" s="335"/>
      <c r="D559" s="335"/>
      <c r="E559" s="335"/>
      <c r="F559" s="335" t="b">
        <v>0</v>
      </c>
      <c r="G559" s="332"/>
    </row>
    <row r="560">
      <c r="A560" s="332"/>
      <c r="B560" s="335"/>
      <c r="C560" s="335"/>
      <c r="D560" s="335"/>
      <c r="E560" s="335"/>
      <c r="F560" s="335" t="b">
        <v>0</v>
      </c>
      <c r="G560" s="332"/>
    </row>
    <row r="561">
      <c r="A561" s="332"/>
      <c r="B561" s="335"/>
      <c r="C561" s="335"/>
      <c r="D561" s="335"/>
      <c r="E561" s="335"/>
      <c r="F561" s="335" t="b">
        <v>0</v>
      </c>
      <c r="G561" s="332"/>
    </row>
    <row r="562">
      <c r="A562" s="332"/>
      <c r="B562" s="335"/>
      <c r="C562" s="335"/>
      <c r="D562" s="335"/>
      <c r="E562" s="335"/>
      <c r="F562" s="335" t="b">
        <v>0</v>
      </c>
      <c r="G562" s="332"/>
    </row>
    <row r="563">
      <c r="A563" s="332"/>
      <c r="B563" s="335"/>
      <c r="C563" s="335"/>
      <c r="D563" s="335"/>
      <c r="E563" s="335"/>
      <c r="F563" s="335" t="b">
        <v>0</v>
      </c>
      <c r="G563" s="332"/>
    </row>
    <row r="564">
      <c r="A564" s="332"/>
      <c r="B564" s="335"/>
      <c r="C564" s="335"/>
      <c r="D564" s="335"/>
      <c r="E564" s="335"/>
      <c r="F564" s="335" t="b">
        <v>0</v>
      </c>
      <c r="G564" s="332"/>
    </row>
    <row r="565">
      <c r="A565" s="332"/>
      <c r="B565" s="335"/>
      <c r="C565" s="335"/>
      <c r="D565" s="335"/>
      <c r="E565" s="335"/>
      <c r="F565" s="335" t="b">
        <v>0</v>
      </c>
      <c r="G565" s="332"/>
    </row>
    <row r="566">
      <c r="A566" s="332"/>
      <c r="B566" s="335"/>
      <c r="C566" s="335"/>
      <c r="D566" s="335"/>
      <c r="E566" s="335"/>
      <c r="F566" s="335" t="b">
        <v>0</v>
      </c>
      <c r="G566" s="332"/>
    </row>
    <row r="567">
      <c r="A567" s="332"/>
      <c r="B567" s="335"/>
      <c r="C567" s="335"/>
      <c r="D567" s="335"/>
      <c r="E567" s="335"/>
      <c r="F567" s="335" t="b">
        <v>0</v>
      </c>
      <c r="G567" s="332"/>
    </row>
    <row r="568">
      <c r="A568" s="332"/>
      <c r="B568" s="335"/>
      <c r="C568" s="335"/>
      <c r="D568" s="335"/>
      <c r="E568" s="335"/>
      <c r="F568" s="335" t="b">
        <v>0</v>
      </c>
      <c r="G568" s="332"/>
    </row>
    <row r="569">
      <c r="A569" s="332"/>
      <c r="B569" s="335"/>
      <c r="C569" s="335"/>
      <c r="D569" s="335"/>
      <c r="E569" s="335"/>
      <c r="F569" s="335" t="b">
        <v>0</v>
      </c>
      <c r="G569" s="332"/>
    </row>
    <row r="570">
      <c r="A570" s="332"/>
      <c r="B570" s="335"/>
      <c r="C570" s="335"/>
      <c r="D570" s="335"/>
      <c r="E570" s="335"/>
      <c r="F570" s="335" t="b">
        <v>0</v>
      </c>
      <c r="G570" s="332"/>
    </row>
    <row r="571">
      <c r="A571" s="332"/>
      <c r="B571" s="335"/>
      <c r="C571" s="335"/>
      <c r="D571" s="335"/>
      <c r="E571" s="335"/>
      <c r="F571" s="335" t="b">
        <v>0</v>
      </c>
      <c r="G571" s="332"/>
    </row>
    <row r="572">
      <c r="A572" s="332"/>
      <c r="B572" s="335"/>
      <c r="C572" s="335"/>
      <c r="D572" s="335"/>
      <c r="E572" s="335"/>
      <c r="F572" s="335" t="b">
        <v>0</v>
      </c>
      <c r="G572" s="332"/>
    </row>
    <row r="573">
      <c r="A573" s="332"/>
      <c r="B573" s="335"/>
      <c r="C573" s="335"/>
      <c r="D573" s="335"/>
      <c r="E573" s="335"/>
      <c r="F573" s="335" t="b">
        <v>0</v>
      </c>
      <c r="G573" s="332"/>
    </row>
    <row r="574">
      <c r="A574" s="332"/>
      <c r="B574" s="335"/>
      <c r="C574" s="335"/>
      <c r="D574" s="335"/>
      <c r="E574" s="335"/>
      <c r="F574" s="335" t="b">
        <v>0</v>
      </c>
      <c r="G574" s="332"/>
    </row>
    <row r="575">
      <c r="A575" s="332"/>
      <c r="B575" s="335"/>
      <c r="C575" s="335"/>
      <c r="D575" s="335"/>
      <c r="E575" s="335"/>
      <c r="F575" s="335" t="b">
        <v>0</v>
      </c>
      <c r="G575" s="332"/>
    </row>
    <row r="576">
      <c r="A576" s="332"/>
      <c r="B576" s="335"/>
      <c r="C576" s="335"/>
      <c r="D576" s="335"/>
      <c r="E576" s="335"/>
      <c r="F576" s="335" t="b">
        <v>0</v>
      </c>
      <c r="G576" s="332"/>
    </row>
    <row r="577">
      <c r="A577" s="332"/>
      <c r="B577" s="335"/>
      <c r="C577" s="335"/>
      <c r="D577" s="335"/>
      <c r="E577" s="335"/>
      <c r="F577" s="335" t="b">
        <v>0</v>
      </c>
      <c r="G577" s="332"/>
    </row>
    <row r="578">
      <c r="A578" s="332"/>
      <c r="B578" s="335"/>
      <c r="C578" s="335"/>
      <c r="D578" s="335"/>
      <c r="E578" s="335"/>
      <c r="F578" s="335" t="b">
        <v>0</v>
      </c>
      <c r="G578" s="332"/>
    </row>
    <row r="579">
      <c r="A579" s="332"/>
      <c r="B579" s="335"/>
      <c r="C579" s="335"/>
      <c r="D579" s="335"/>
      <c r="E579" s="335"/>
      <c r="F579" s="335" t="b">
        <v>0</v>
      </c>
      <c r="G579" s="332"/>
    </row>
    <row r="580">
      <c r="A580" s="332"/>
      <c r="B580" s="335"/>
      <c r="C580" s="335"/>
      <c r="D580" s="335"/>
      <c r="E580" s="335"/>
      <c r="F580" s="335" t="b">
        <v>0</v>
      </c>
      <c r="G580" s="332"/>
    </row>
    <row r="581">
      <c r="A581" s="332"/>
      <c r="B581" s="335"/>
      <c r="C581" s="335"/>
      <c r="D581" s="335"/>
      <c r="E581" s="335"/>
      <c r="F581" s="335" t="b">
        <v>0</v>
      </c>
      <c r="G581" s="332"/>
    </row>
    <row r="582">
      <c r="A582" s="332"/>
      <c r="B582" s="335"/>
      <c r="C582" s="335"/>
      <c r="D582" s="335"/>
      <c r="E582" s="335"/>
      <c r="F582" s="335" t="b">
        <v>0</v>
      </c>
      <c r="G582" s="332"/>
    </row>
    <row r="583">
      <c r="A583" s="332"/>
      <c r="B583" s="335"/>
      <c r="C583" s="335"/>
      <c r="D583" s="335"/>
      <c r="E583" s="335"/>
      <c r="F583" s="335" t="b">
        <v>0</v>
      </c>
      <c r="G583" s="332"/>
    </row>
    <row r="584">
      <c r="A584" s="332"/>
      <c r="B584" s="335"/>
      <c r="C584" s="335"/>
      <c r="D584" s="335"/>
      <c r="E584" s="335"/>
      <c r="F584" s="335" t="b">
        <v>0</v>
      </c>
      <c r="G584" s="332"/>
    </row>
    <row r="585">
      <c r="A585" s="332"/>
      <c r="B585" s="335"/>
      <c r="C585" s="335"/>
      <c r="D585" s="335"/>
      <c r="E585" s="335"/>
      <c r="F585" s="335" t="b">
        <v>0</v>
      </c>
      <c r="G585" s="332"/>
    </row>
    <row r="586">
      <c r="A586" s="332"/>
      <c r="B586" s="335"/>
      <c r="C586" s="335"/>
      <c r="D586" s="335"/>
      <c r="E586" s="335"/>
      <c r="F586" s="335" t="b">
        <v>0</v>
      </c>
      <c r="G586" s="332"/>
    </row>
    <row r="587">
      <c r="A587" s="332"/>
      <c r="B587" s="335"/>
      <c r="C587" s="335"/>
      <c r="D587" s="335"/>
      <c r="E587" s="335"/>
      <c r="F587" s="335" t="b">
        <v>0</v>
      </c>
      <c r="G587" s="332"/>
    </row>
    <row r="588">
      <c r="A588" s="332"/>
      <c r="B588" s="335"/>
      <c r="C588" s="335"/>
      <c r="D588" s="335"/>
      <c r="E588" s="335"/>
      <c r="F588" s="335" t="b">
        <v>0</v>
      </c>
      <c r="G588" s="332"/>
    </row>
    <row r="589">
      <c r="A589" s="332"/>
      <c r="B589" s="335"/>
      <c r="C589" s="335"/>
      <c r="D589" s="335"/>
      <c r="E589" s="335"/>
      <c r="F589" s="335" t="b">
        <v>0</v>
      </c>
      <c r="G589" s="332"/>
    </row>
    <row r="590">
      <c r="A590" s="332"/>
      <c r="B590" s="335"/>
      <c r="C590" s="335"/>
      <c r="D590" s="335"/>
      <c r="E590" s="335"/>
      <c r="F590" s="335" t="b">
        <v>0</v>
      </c>
      <c r="G590" s="332"/>
    </row>
    <row r="591">
      <c r="A591" s="332"/>
      <c r="B591" s="335"/>
      <c r="C591" s="335"/>
      <c r="D591" s="335"/>
      <c r="E591" s="335"/>
      <c r="F591" s="335" t="b">
        <v>0</v>
      </c>
      <c r="G591" s="332"/>
    </row>
    <row r="592">
      <c r="A592" s="332"/>
      <c r="B592" s="335"/>
      <c r="C592" s="335"/>
      <c r="D592" s="335"/>
      <c r="E592" s="335"/>
      <c r="F592" s="335" t="b">
        <v>0</v>
      </c>
      <c r="G592" s="332"/>
    </row>
    <row r="593">
      <c r="A593" s="332"/>
      <c r="B593" s="335"/>
      <c r="C593" s="335"/>
      <c r="D593" s="335"/>
      <c r="E593" s="335"/>
      <c r="F593" s="335" t="b">
        <v>0</v>
      </c>
      <c r="G593" s="332"/>
    </row>
    <row r="594">
      <c r="A594" s="332"/>
      <c r="B594" s="335"/>
      <c r="C594" s="335"/>
      <c r="D594" s="335"/>
      <c r="E594" s="335"/>
      <c r="F594" s="335" t="b">
        <v>0</v>
      </c>
      <c r="G594" s="332"/>
    </row>
    <row r="595">
      <c r="A595" s="332"/>
      <c r="B595" s="335"/>
      <c r="C595" s="335"/>
      <c r="D595" s="335"/>
      <c r="E595" s="335"/>
      <c r="F595" s="335" t="b">
        <v>0</v>
      </c>
      <c r="G595" s="332"/>
    </row>
    <row r="596">
      <c r="A596" s="332"/>
      <c r="B596" s="335"/>
      <c r="C596" s="335"/>
      <c r="D596" s="335"/>
      <c r="E596" s="335"/>
      <c r="F596" s="335" t="b">
        <v>0</v>
      </c>
      <c r="G596" s="332"/>
    </row>
    <row r="597">
      <c r="A597" s="332"/>
      <c r="B597" s="335"/>
      <c r="C597" s="335"/>
      <c r="D597" s="335"/>
      <c r="E597" s="335"/>
      <c r="F597" s="335" t="b">
        <v>0</v>
      </c>
      <c r="G597" s="332"/>
    </row>
    <row r="598">
      <c r="A598" s="332"/>
      <c r="B598" s="335"/>
      <c r="C598" s="335"/>
      <c r="D598" s="335"/>
      <c r="E598" s="335"/>
      <c r="F598" s="335" t="b">
        <v>0</v>
      </c>
      <c r="G598" s="332"/>
    </row>
    <row r="599">
      <c r="A599" s="332"/>
      <c r="B599" s="335"/>
      <c r="C599" s="335"/>
      <c r="D599" s="335"/>
      <c r="E599" s="335"/>
      <c r="F599" s="335" t="b">
        <v>0</v>
      </c>
      <c r="G599" s="332"/>
    </row>
    <row r="600">
      <c r="A600" s="332"/>
      <c r="B600" s="335"/>
      <c r="C600" s="335"/>
      <c r="D600" s="335"/>
      <c r="E600" s="335"/>
      <c r="F600" s="335" t="b">
        <v>0</v>
      </c>
      <c r="G600" s="332"/>
    </row>
    <row r="601">
      <c r="A601" s="332"/>
      <c r="B601" s="335"/>
      <c r="C601" s="335"/>
      <c r="D601" s="335"/>
      <c r="E601" s="335"/>
      <c r="F601" s="335" t="b">
        <v>0</v>
      </c>
      <c r="G601" s="332"/>
    </row>
    <row r="602">
      <c r="A602" s="332"/>
      <c r="B602" s="335"/>
      <c r="C602" s="335"/>
      <c r="D602" s="335"/>
      <c r="E602" s="335"/>
      <c r="F602" s="335" t="b">
        <v>0</v>
      </c>
      <c r="G602" s="332"/>
    </row>
    <row r="603">
      <c r="A603" s="332"/>
      <c r="B603" s="335"/>
      <c r="C603" s="335"/>
      <c r="D603" s="335"/>
      <c r="E603" s="335"/>
      <c r="F603" s="335" t="b">
        <v>0</v>
      </c>
      <c r="G603" s="332"/>
    </row>
    <row r="604">
      <c r="A604" s="332"/>
      <c r="B604" s="335"/>
      <c r="C604" s="335"/>
      <c r="D604" s="335"/>
      <c r="E604" s="335"/>
      <c r="F604" s="335" t="b">
        <v>0</v>
      </c>
      <c r="G604" s="332"/>
    </row>
    <row r="605">
      <c r="A605" s="332"/>
      <c r="B605" s="335"/>
      <c r="C605" s="335"/>
      <c r="D605" s="335"/>
      <c r="E605" s="335"/>
      <c r="F605" s="335" t="b">
        <v>0</v>
      </c>
      <c r="G605" s="332"/>
    </row>
    <row r="606">
      <c r="A606" s="332"/>
      <c r="B606" s="335"/>
      <c r="C606" s="335"/>
      <c r="D606" s="335"/>
      <c r="E606" s="335"/>
      <c r="F606" s="335" t="b">
        <v>0</v>
      </c>
      <c r="G606" s="332"/>
    </row>
    <row r="607">
      <c r="A607" s="332"/>
      <c r="B607" s="335"/>
      <c r="C607" s="335"/>
      <c r="D607" s="335"/>
      <c r="E607" s="335"/>
      <c r="F607" s="335" t="b">
        <v>0</v>
      </c>
      <c r="G607" s="332"/>
    </row>
    <row r="608">
      <c r="A608" s="332"/>
      <c r="B608" s="335"/>
      <c r="C608" s="335"/>
      <c r="D608" s="335"/>
      <c r="E608" s="335"/>
      <c r="F608" s="335" t="b">
        <v>0</v>
      </c>
      <c r="G608" s="332"/>
    </row>
    <row r="609">
      <c r="A609" s="332"/>
      <c r="B609" s="335"/>
      <c r="C609" s="335"/>
      <c r="D609" s="335"/>
      <c r="E609" s="335"/>
      <c r="F609" s="335" t="b">
        <v>0</v>
      </c>
      <c r="G609" s="332"/>
    </row>
    <row r="610">
      <c r="A610" s="332"/>
      <c r="B610" s="335"/>
      <c r="C610" s="335"/>
      <c r="D610" s="335"/>
      <c r="E610" s="335"/>
      <c r="F610" s="335" t="b">
        <v>0</v>
      </c>
      <c r="G610" s="332"/>
    </row>
    <row r="611">
      <c r="A611" s="332"/>
      <c r="B611" s="335"/>
      <c r="C611" s="335"/>
      <c r="D611" s="335"/>
      <c r="E611" s="335"/>
      <c r="F611" s="335" t="b">
        <v>0</v>
      </c>
      <c r="G611" s="332"/>
    </row>
    <row r="612">
      <c r="A612" s="332"/>
      <c r="B612" s="335"/>
      <c r="C612" s="335"/>
      <c r="D612" s="335"/>
      <c r="E612" s="335"/>
      <c r="F612" s="335" t="b">
        <v>0</v>
      </c>
      <c r="G612" s="332"/>
    </row>
    <row r="613">
      <c r="A613" s="332"/>
      <c r="B613" s="335"/>
      <c r="C613" s="335"/>
      <c r="D613" s="335"/>
      <c r="E613" s="335"/>
      <c r="F613" s="335" t="b">
        <v>0</v>
      </c>
      <c r="G613" s="332"/>
    </row>
    <row r="614">
      <c r="A614" s="332"/>
      <c r="B614" s="335"/>
      <c r="C614" s="335"/>
      <c r="D614" s="335"/>
      <c r="E614" s="335"/>
      <c r="F614" s="335" t="b">
        <v>0</v>
      </c>
      <c r="G614" s="332"/>
    </row>
    <row r="615">
      <c r="A615" s="332"/>
      <c r="B615" s="335"/>
      <c r="C615" s="335"/>
      <c r="D615" s="335"/>
      <c r="E615" s="335"/>
      <c r="F615" s="335" t="b">
        <v>0</v>
      </c>
      <c r="G615" s="332"/>
    </row>
    <row r="616">
      <c r="A616" s="332"/>
      <c r="B616" s="335"/>
      <c r="C616" s="335"/>
      <c r="D616" s="335"/>
      <c r="E616" s="335"/>
      <c r="F616" s="335" t="b">
        <v>0</v>
      </c>
      <c r="G616" s="332"/>
    </row>
    <row r="617">
      <c r="A617" s="332"/>
      <c r="B617" s="335"/>
      <c r="C617" s="335"/>
      <c r="D617" s="335"/>
      <c r="E617" s="335"/>
      <c r="F617" s="335" t="b">
        <v>0</v>
      </c>
      <c r="G617" s="332"/>
    </row>
    <row r="618">
      <c r="A618" s="332"/>
      <c r="B618" s="335"/>
      <c r="C618" s="335"/>
      <c r="D618" s="335"/>
      <c r="E618" s="335"/>
      <c r="F618" s="335" t="b">
        <v>0</v>
      </c>
      <c r="G618" s="332"/>
    </row>
    <row r="619">
      <c r="A619" s="332"/>
      <c r="B619" s="335"/>
      <c r="C619" s="335"/>
      <c r="D619" s="335"/>
      <c r="E619" s="335"/>
      <c r="F619" s="335" t="b">
        <v>0</v>
      </c>
      <c r="G619" s="332"/>
    </row>
    <row r="620">
      <c r="A620" s="332"/>
      <c r="B620" s="335"/>
      <c r="C620" s="335"/>
      <c r="D620" s="335"/>
      <c r="E620" s="335"/>
      <c r="F620" s="335" t="b">
        <v>0</v>
      </c>
      <c r="G620" s="332"/>
    </row>
    <row r="621">
      <c r="A621" s="332"/>
      <c r="B621" s="335"/>
      <c r="C621" s="335"/>
      <c r="D621" s="335"/>
      <c r="E621" s="335"/>
      <c r="F621" s="335" t="b">
        <v>0</v>
      </c>
      <c r="G621" s="332"/>
    </row>
    <row r="622">
      <c r="A622" s="332"/>
      <c r="B622" s="335"/>
      <c r="C622" s="335"/>
      <c r="D622" s="335"/>
      <c r="E622" s="335"/>
      <c r="F622" s="335" t="b">
        <v>0</v>
      </c>
      <c r="G622" s="332"/>
    </row>
    <row r="623">
      <c r="A623" s="332"/>
      <c r="B623" s="335"/>
      <c r="C623" s="335"/>
      <c r="D623" s="335"/>
      <c r="E623" s="335"/>
      <c r="F623" s="335" t="b">
        <v>0</v>
      </c>
      <c r="G623" s="332"/>
    </row>
    <row r="624">
      <c r="A624" s="332"/>
      <c r="B624" s="335"/>
      <c r="C624" s="335"/>
      <c r="D624" s="335"/>
      <c r="E624" s="335"/>
      <c r="F624" s="335" t="b">
        <v>0</v>
      </c>
      <c r="G624" s="332"/>
    </row>
    <row r="625">
      <c r="A625" s="332"/>
      <c r="B625" s="335"/>
      <c r="C625" s="335"/>
      <c r="D625" s="335"/>
      <c r="E625" s="335"/>
      <c r="F625" s="335" t="b">
        <v>0</v>
      </c>
      <c r="G625" s="332"/>
    </row>
    <row r="626">
      <c r="A626" s="332"/>
      <c r="B626" s="335"/>
      <c r="C626" s="335"/>
      <c r="D626" s="335"/>
      <c r="E626" s="335"/>
      <c r="F626" s="335" t="b">
        <v>0</v>
      </c>
      <c r="G626" s="332"/>
    </row>
    <row r="627">
      <c r="A627" s="332"/>
      <c r="B627" s="335"/>
      <c r="C627" s="335"/>
      <c r="D627" s="335"/>
      <c r="E627" s="335"/>
      <c r="F627" s="335" t="b">
        <v>0</v>
      </c>
      <c r="G627" s="332"/>
    </row>
    <row r="628">
      <c r="A628" s="332"/>
      <c r="B628" s="335"/>
      <c r="C628" s="335"/>
      <c r="D628" s="335"/>
      <c r="E628" s="335"/>
      <c r="F628" s="335" t="b">
        <v>0</v>
      </c>
      <c r="G628" s="332"/>
    </row>
    <row r="629">
      <c r="A629" s="332"/>
      <c r="B629" s="335"/>
      <c r="C629" s="335"/>
      <c r="D629" s="335"/>
      <c r="E629" s="335"/>
      <c r="F629" s="335" t="b">
        <v>0</v>
      </c>
      <c r="G629" s="332"/>
    </row>
    <row r="630">
      <c r="A630" s="332"/>
      <c r="B630" s="335"/>
      <c r="C630" s="335"/>
      <c r="D630" s="335"/>
      <c r="E630" s="335"/>
      <c r="F630" s="335" t="b">
        <v>0</v>
      </c>
      <c r="G630" s="332"/>
    </row>
    <row r="631">
      <c r="A631" s="332"/>
      <c r="B631" s="335"/>
      <c r="C631" s="335"/>
      <c r="D631" s="335"/>
      <c r="E631" s="335"/>
      <c r="F631" s="335" t="b">
        <v>0</v>
      </c>
      <c r="G631" s="332"/>
    </row>
    <row r="632">
      <c r="A632" s="332"/>
      <c r="B632" s="335"/>
      <c r="C632" s="335"/>
      <c r="D632" s="335"/>
      <c r="E632" s="335"/>
      <c r="F632" s="335" t="b">
        <v>0</v>
      </c>
      <c r="G632" s="332"/>
    </row>
    <row r="633">
      <c r="A633" s="332"/>
      <c r="B633" s="335"/>
      <c r="C633" s="335"/>
      <c r="D633" s="335"/>
      <c r="E633" s="335"/>
      <c r="F633" s="335" t="b">
        <v>0</v>
      </c>
      <c r="G633" s="332"/>
    </row>
    <row r="634">
      <c r="A634" s="332"/>
      <c r="B634" s="335"/>
      <c r="C634" s="335"/>
      <c r="D634" s="335"/>
      <c r="E634" s="335"/>
      <c r="F634" s="335" t="b">
        <v>0</v>
      </c>
      <c r="G634" s="332"/>
    </row>
    <row r="635">
      <c r="A635" s="332"/>
      <c r="B635" s="335"/>
      <c r="C635" s="335"/>
      <c r="D635" s="335"/>
      <c r="E635" s="335"/>
      <c r="F635" s="335" t="b">
        <v>0</v>
      </c>
      <c r="G635" s="332"/>
    </row>
    <row r="636">
      <c r="A636" s="332"/>
      <c r="B636" s="335"/>
      <c r="C636" s="335"/>
      <c r="D636" s="335"/>
      <c r="E636" s="335"/>
      <c r="F636" s="335" t="b">
        <v>0</v>
      </c>
      <c r="G636" s="332"/>
    </row>
    <row r="637">
      <c r="A637" s="332"/>
      <c r="B637" s="335"/>
      <c r="C637" s="335"/>
      <c r="D637" s="335"/>
      <c r="E637" s="335"/>
      <c r="F637" s="335" t="b">
        <v>0</v>
      </c>
      <c r="G637" s="332"/>
    </row>
    <row r="638">
      <c r="A638" s="332"/>
      <c r="B638" s="335"/>
      <c r="C638" s="335"/>
      <c r="D638" s="335"/>
      <c r="E638" s="335"/>
      <c r="F638" s="335" t="b">
        <v>0</v>
      </c>
      <c r="G638" s="332"/>
    </row>
    <row r="639">
      <c r="A639" s="332"/>
      <c r="B639" s="335"/>
      <c r="C639" s="335"/>
      <c r="D639" s="335"/>
      <c r="E639" s="335"/>
      <c r="F639" s="335" t="b">
        <v>0</v>
      </c>
      <c r="G639" s="332"/>
    </row>
    <row r="640">
      <c r="A640" s="332"/>
      <c r="B640" s="335"/>
      <c r="C640" s="335"/>
      <c r="D640" s="335"/>
      <c r="E640" s="335"/>
      <c r="F640" s="335" t="b">
        <v>0</v>
      </c>
      <c r="G640" s="332"/>
    </row>
    <row r="641">
      <c r="A641" s="332"/>
      <c r="B641" s="335"/>
      <c r="C641" s="335"/>
      <c r="D641" s="335"/>
      <c r="E641" s="335"/>
      <c r="F641" s="335" t="b">
        <v>0</v>
      </c>
      <c r="G641" s="332"/>
    </row>
    <row r="642">
      <c r="A642" s="332"/>
      <c r="B642" s="335"/>
      <c r="C642" s="335"/>
      <c r="D642" s="335"/>
      <c r="E642" s="335"/>
      <c r="F642" s="335" t="b">
        <v>0</v>
      </c>
      <c r="G642" s="332"/>
    </row>
    <row r="643">
      <c r="A643" s="332"/>
      <c r="B643" s="335"/>
      <c r="C643" s="335"/>
      <c r="D643" s="335"/>
      <c r="E643" s="335"/>
      <c r="F643" s="335" t="b">
        <v>0</v>
      </c>
      <c r="G643" s="332"/>
    </row>
    <row r="644">
      <c r="A644" s="332"/>
      <c r="B644" s="335"/>
      <c r="C644" s="335"/>
      <c r="D644" s="335"/>
      <c r="E644" s="335"/>
      <c r="F644" s="335" t="b">
        <v>0</v>
      </c>
      <c r="G644" s="332"/>
    </row>
    <row r="645">
      <c r="A645" s="332"/>
      <c r="B645" s="335"/>
      <c r="C645" s="335"/>
      <c r="D645" s="335"/>
      <c r="E645" s="335"/>
      <c r="F645" s="335" t="b">
        <v>0</v>
      </c>
      <c r="G645" s="332"/>
    </row>
    <row r="646">
      <c r="A646" s="332"/>
      <c r="B646" s="335"/>
      <c r="C646" s="335"/>
      <c r="D646" s="335"/>
      <c r="E646" s="335"/>
      <c r="F646" s="335" t="b">
        <v>0</v>
      </c>
      <c r="G646" s="332"/>
    </row>
    <row r="647">
      <c r="A647" s="332"/>
      <c r="B647" s="335"/>
      <c r="C647" s="335"/>
      <c r="D647" s="335"/>
      <c r="E647" s="335"/>
      <c r="F647" s="335" t="b">
        <v>0</v>
      </c>
      <c r="G647" s="332"/>
    </row>
    <row r="648">
      <c r="A648" s="332"/>
      <c r="B648" s="335"/>
      <c r="C648" s="335"/>
      <c r="D648" s="335"/>
      <c r="E648" s="335"/>
      <c r="F648" s="335" t="b">
        <v>0</v>
      </c>
      <c r="G648" s="332"/>
    </row>
    <row r="649">
      <c r="A649" s="332"/>
      <c r="B649" s="335"/>
      <c r="C649" s="335"/>
      <c r="D649" s="335"/>
      <c r="E649" s="335"/>
      <c r="F649" s="335" t="b">
        <v>0</v>
      </c>
      <c r="G649" s="332"/>
    </row>
    <row r="650">
      <c r="A650" s="332"/>
      <c r="B650" s="335"/>
      <c r="C650" s="335"/>
      <c r="D650" s="335"/>
      <c r="E650" s="335"/>
      <c r="F650" s="335" t="b">
        <v>0</v>
      </c>
      <c r="G650" s="332"/>
    </row>
    <row r="651">
      <c r="A651" s="332"/>
      <c r="B651" s="335"/>
      <c r="C651" s="335"/>
      <c r="D651" s="335"/>
      <c r="E651" s="335"/>
      <c r="F651" s="335" t="b">
        <v>0</v>
      </c>
      <c r="G651" s="332"/>
    </row>
    <row r="652">
      <c r="A652" s="332"/>
      <c r="B652" s="335"/>
      <c r="C652" s="335"/>
      <c r="D652" s="335"/>
      <c r="E652" s="335"/>
      <c r="F652" s="335" t="b">
        <v>0</v>
      </c>
      <c r="G652" s="332"/>
    </row>
    <row r="653">
      <c r="A653" s="332"/>
      <c r="B653" s="335"/>
      <c r="C653" s="335"/>
      <c r="D653" s="335"/>
      <c r="E653" s="335"/>
      <c r="F653" s="335" t="b">
        <v>0</v>
      </c>
      <c r="G653" s="332"/>
    </row>
    <row r="654">
      <c r="A654" s="332"/>
      <c r="B654" s="335"/>
      <c r="C654" s="335"/>
      <c r="D654" s="335"/>
      <c r="E654" s="335"/>
      <c r="F654" s="335" t="b">
        <v>0</v>
      </c>
      <c r="G654" s="332"/>
    </row>
    <row r="655">
      <c r="A655" s="332"/>
      <c r="B655" s="335"/>
      <c r="C655" s="335"/>
      <c r="D655" s="335"/>
      <c r="E655" s="335"/>
      <c r="F655" s="335" t="b">
        <v>0</v>
      </c>
      <c r="G655" s="332"/>
    </row>
    <row r="656">
      <c r="A656" s="332"/>
      <c r="B656" s="335"/>
      <c r="C656" s="335"/>
      <c r="D656" s="335"/>
      <c r="E656" s="335"/>
      <c r="F656" s="335" t="b">
        <v>0</v>
      </c>
      <c r="G656" s="332"/>
    </row>
    <row r="657">
      <c r="A657" s="332"/>
      <c r="B657" s="335"/>
      <c r="C657" s="335"/>
      <c r="D657" s="335"/>
      <c r="E657" s="335"/>
      <c r="F657" s="335" t="b">
        <v>0</v>
      </c>
      <c r="G657" s="332"/>
    </row>
    <row r="658">
      <c r="A658" s="332"/>
      <c r="B658" s="335"/>
      <c r="C658" s="335"/>
      <c r="D658" s="335"/>
      <c r="E658" s="335"/>
      <c r="F658" s="335" t="b">
        <v>0</v>
      </c>
      <c r="G658" s="332"/>
    </row>
    <row r="659">
      <c r="A659" s="332"/>
      <c r="B659" s="335"/>
      <c r="C659" s="335"/>
      <c r="D659" s="335"/>
      <c r="E659" s="335"/>
      <c r="F659" s="335" t="b">
        <v>0</v>
      </c>
      <c r="G659" s="332"/>
    </row>
    <row r="660">
      <c r="A660" s="332"/>
      <c r="B660" s="335"/>
      <c r="C660" s="335"/>
      <c r="D660" s="335"/>
      <c r="E660" s="335"/>
      <c r="F660" s="335" t="b">
        <v>0</v>
      </c>
      <c r="G660" s="332"/>
    </row>
    <row r="661">
      <c r="A661" s="332"/>
      <c r="B661" s="335"/>
      <c r="C661" s="335"/>
      <c r="D661" s="335"/>
      <c r="E661" s="335"/>
      <c r="F661" s="335" t="b">
        <v>0</v>
      </c>
      <c r="G661" s="332"/>
    </row>
    <row r="662">
      <c r="A662" s="332"/>
      <c r="B662" s="335"/>
      <c r="C662" s="335"/>
      <c r="D662" s="335"/>
      <c r="E662" s="335"/>
      <c r="F662" s="335" t="b">
        <v>0</v>
      </c>
      <c r="G662" s="332"/>
    </row>
    <row r="663">
      <c r="A663" s="332"/>
      <c r="B663" s="335"/>
      <c r="C663" s="335"/>
      <c r="D663" s="335"/>
      <c r="E663" s="335"/>
      <c r="F663" s="335" t="b">
        <v>0</v>
      </c>
      <c r="G663" s="332"/>
    </row>
    <row r="664">
      <c r="A664" s="332"/>
      <c r="B664" s="335"/>
      <c r="C664" s="335"/>
      <c r="D664" s="335"/>
      <c r="E664" s="335"/>
      <c r="F664" s="335" t="b">
        <v>0</v>
      </c>
      <c r="G664" s="332"/>
    </row>
    <row r="665">
      <c r="A665" s="332"/>
      <c r="B665" s="335"/>
      <c r="C665" s="335"/>
      <c r="D665" s="335"/>
      <c r="E665" s="335"/>
      <c r="F665" s="335" t="b">
        <v>0</v>
      </c>
      <c r="G665" s="332"/>
    </row>
    <row r="666">
      <c r="A666" s="332"/>
      <c r="B666" s="335"/>
      <c r="C666" s="335"/>
      <c r="D666" s="335"/>
      <c r="E666" s="335"/>
      <c r="F666" s="335" t="b">
        <v>0</v>
      </c>
      <c r="G666" s="332"/>
    </row>
    <row r="667">
      <c r="A667" s="332"/>
      <c r="B667" s="335"/>
      <c r="C667" s="335"/>
      <c r="D667" s="335"/>
      <c r="E667" s="335"/>
      <c r="F667" s="335" t="b">
        <v>0</v>
      </c>
      <c r="G667" s="332"/>
    </row>
    <row r="668">
      <c r="A668" s="332"/>
      <c r="B668" s="335"/>
      <c r="C668" s="335"/>
      <c r="D668" s="335"/>
      <c r="E668" s="335"/>
      <c r="F668" s="335" t="b">
        <v>0</v>
      </c>
      <c r="G668" s="332"/>
    </row>
    <row r="669">
      <c r="A669" s="332"/>
      <c r="B669" s="335"/>
      <c r="C669" s="335"/>
      <c r="D669" s="335"/>
      <c r="E669" s="335"/>
      <c r="F669" s="335" t="b">
        <v>0</v>
      </c>
      <c r="G669" s="332"/>
    </row>
    <row r="670">
      <c r="A670" s="332"/>
      <c r="B670" s="335"/>
      <c r="C670" s="335"/>
      <c r="D670" s="335"/>
      <c r="E670" s="335"/>
      <c r="F670" s="335" t="b">
        <v>0</v>
      </c>
      <c r="G670" s="332"/>
    </row>
    <row r="671">
      <c r="A671" s="332"/>
      <c r="B671" s="335"/>
      <c r="C671" s="335"/>
      <c r="D671" s="335"/>
      <c r="E671" s="335"/>
      <c r="F671" s="335" t="b">
        <v>0</v>
      </c>
      <c r="G671" s="332"/>
    </row>
    <row r="672">
      <c r="A672" s="332"/>
      <c r="B672" s="335"/>
      <c r="C672" s="335"/>
      <c r="D672" s="335"/>
      <c r="E672" s="335"/>
      <c r="F672" s="335" t="b">
        <v>0</v>
      </c>
      <c r="G672" s="332"/>
    </row>
    <row r="673">
      <c r="A673" s="332"/>
      <c r="B673" s="335"/>
      <c r="C673" s="335"/>
      <c r="D673" s="335"/>
      <c r="E673" s="335"/>
      <c r="F673" s="335" t="b">
        <v>0</v>
      </c>
      <c r="G673" s="332"/>
    </row>
    <row r="674">
      <c r="A674" s="332"/>
      <c r="B674" s="335"/>
      <c r="C674" s="335"/>
      <c r="D674" s="335"/>
      <c r="E674" s="335"/>
      <c r="F674" s="335" t="b">
        <v>0</v>
      </c>
      <c r="G674" s="332"/>
    </row>
    <row r="675">
      <c r="A675" s="332"/>
      <c r="B675" s="335"/>
      <c r="C675" s="335"/>
      <c r="D675" s="335"/>
      <c r="E675" s="335"/>
      <c r="F675" s="335" t="b">
        <v>0</v>
      </c>
      <c r="G675" s="332"/>
    </row>
    <row r="676">
      <c r="A676" s="332"/>
      <c r="B676" s="335"/>
      <c r="C676" s="335"/>
      <c r="D676" s="335"/>
      <c r="E676" s="335"/>
      <c r="F676" s="335" t="b">
        <v>0</v>
      </c>
      <c r="G676" s="332"/>
    </row>
    <row r="677">
      <c r="A677" s="332"/>
      <c r="B677" s="335"/>
      <c r="C677" s="335"/>
      <c r="D677" s="335"/>
      <c r="E677" s="335"/>
      <c r="F677" s="335" t="b">
        <v>0</v>
      </c>
      <c r="G677" s="332"/>
    </row>
    <row r="678">
      <c r="A678" s="332"/>
      <c r="B678" s="335"/>
      <c r="C678" s="335"/>
      <c r="D678" s="335"/>
      <c r="E678" s="335"/>
      <c r="F678" s="335" t="b">
        <v>0</v>
      </c>
      <c r="G678" s="332"/>
    </row>
    <row r="679">
      <c r="A679" s="332"/>
      <c r="B679" s="335"/>
      <c r="C679" s="335"/>
      <c r="D679" s="335"/>
      <c r="E679" s="335"/>
      <c r="F679" s="335" t="b">
        <v>0</v>
      </c>
      <c r="G679" s="332"/>
    </row>
    <row r="680">
      <c r="A680" s="332"/>
      <c r="B680" s="335"/>
      <c r="C680" s="335"/>
      <c r="D680" s="335"/>
      <c r="E680" s="335"/>
      <c r="F680" s="335" t="b">
        <v>0</v>
      </c>
      <c r="G680" s="332"/>
    </row>
    <row r="681">
      <c r="A681" s="332"/>
      <c r="B681" s="335"/>
      <c r="C681" s="335"/>
      <c r="D681" s="335"/>
      <c r="E681" s="335"/>
      <c r="F681" s="335" t="b">
        <v>0</v>
      </c>
      <c r="G681" s="332"/>
    </row>
    <row r="682">
      <c r="A682" s="332"/>
      <c r="B682" s="335"/>
      <c r="C682" s="335"/>
      <c r="D682" s="335"/>
      <c r="E682" s="335"/>
      <c r="F682" s="335" t="b">
        <v>0</v>
      </c>
      <c r="G682" s="332"/>
    </row>
    <row r="683">
      <c r="A683" s="332"/>
      <c r="B683" s="335"/>
      <c r="C683" s="335"/>
      <c r="D683" s="335"/>
      <c r="E683" s="335"/>
      <c r="F683" s="335" t="b">
        <v>0</v>
      </c>
      <c r="G683" s="332"/>
    </row>
    <row r="684">
      <c r="A684" s="332"/>
      <c r="B684" s="335"/>
      <c r="C684" s="335"/>
      <c r="D684" s="335"/>
      <c r="E684" s="335"/>
      <c r="F684" s="335" t="b">
        <v>0</v>
      </c>
      <c r="G684" s="332"/>
    </row>
    <row r="685">
      <c r="A685" s="332"/>
      <c r="B685" s="335"/>
      <c r="C685" s="335"/>
      <c r="D685" s="335"/>
      <c r="E685" s="335"/>
      <c r="F685" s="335" t="b">
        <v>0</v>
      </c>
      <c r="G685" s="332"/>
    </row>
    <row r="686">
      <c r="A686" s="332"/>
      <c r="B686" s="335"/>
      <c r="C686" s="335"/>
      <c r="D686" s="335"/>
      <c r="E686" s="335"/>
      <c r="F686" s="335" t="b">
        <v>0</v>
      </c>
      <c r="G686" s="332"/>
    </row>
    <row r="687">
      <c r="A687" s="332"/>
      <c r="B687" s="335"/>
      <c r="C687" s="335"/>
      <c r="D687" s="335"/>
      <c r="E687" s="335"/>
      <c r="F687" s="335" t="b">
        <v>0</v>
      </c>
      <c r="G687" s="332"/>
    </row>
    <row r="688">
      <c r="A688" s="332"/>
      <c r="B688" s="335"/>
      <c r="C688" s="335"/>
      <c r="D688" s="335"/>
      <c r="E688" s="335"/>
      <c r="F688" s="335" t="b">
        <v>0</v>
      </c>
      <c r="G688" s="332"/>
    </row>
    <row r="689">
      <c r="A689" s="332"/>
      <c r="B689" s="335"/>
      <c r="C689" s="335"/>
      <c r="D689" s="335"/>
      <c r="E689" s="335"/>
      <c r="F689" s="335" t="b">
        <v>0</v>
      </c>
      <c r="G689" s="332"/>
    </row>
    <row r="690">
      <c r="A690" s="332"/>
      <c r="B690" s="335"/>
      <c r="C690" s="335"/>
      <c r="D690" s="335"/>
      <c r="E690" s="335"/>
      <c r="F690" s="335" t="b">
        <v>0</v>
      </c>
      <c r="G690" s="332"/>
    </row>
    <row r="691">
      <c r="A691" s="332"/>
      <c r="B691" s="335"/>
      <c r="C691" s="335"/>
      <c r="D691" s="335"/>
      <c r="E691" s="335"/>
      <c r="F691" s="335" t="b">
        <v>0</v>
      </c>
      <c r="G691" s="332"/>
    </row>
    <row r="692">
      <c r="A692" s="332"/>
      <c r="B692" s="335"/>
      <c r="C692" s="335"/>
      <c r="D692" s="335"/>
      <c r="E692" s="335"/>
      <c r="F692" s="335" t="b">
        <v>0</v>
      </c>
      <c r="G692" s="332"/>
    </row>
    <row r="693">
      <c r="A693" s="332"/>
      <c r="B693" s="335"/>
      <c r="C693" s="335"/>
      <c r="D693" s="335"/>
      <c r="E693" s="335"/>
      <c r="F693" s="335" t="b">
        <v>0</v>
      </c>
      <c r="G693" s="332"/>
    </row>
    <row r="694">
      <c r="A694" s="332"/>
      <c r="B694" s="335"/>
      <c r="C694" s="335"/>
      <c r="D694" s="335"/>
      <c r="E694" s="335"/>
      <c r="F694" s="335" t="b">
        <v>0</v>
      </c>
      <c r="G694" s="332"/>
    </row>
    <row r="695">
      <c r="A695" s="332"/>
      <c r="B695" s="335"/>
      <c r="C695" s="335"/>
      <c r="D695" s="335"/>
      <c r="E695" s="335"/>
      <c r="F695" s="335" t="b">
        <v>0</v>
      </c>
      <c r="G695" s="332"/>
    </row>
    <row r="696">
      <c r="A696" s="332"/>
      <c r="B696" s="335"/>
      <c r="C696" s="335"/>
      <c r="D696" s="335"/>
      <c r="E696" s="335"/>
      <c r="F696" s="335" t="b">
        <v>0</v>
      </c>
      <c r="G696" s="332"/>
    </row>
    <row r="697">
      <c r="A697" s="332"/>
      <c r="B697" s="335"/>
      <c r="C697" s="335"/>
      <c r="D697" s="335"/>
      <c r="E697" s="335"/>
      <c r="F697" s="335" t="b">
        <v>0</v>
      </c>
      <c r="G697" s="332"/>
    </row>
    <row r="698">
      <c r="A698" s="332"/>
      <c r="B698" s="335"/>
      <c r="C698" s="335"/>
      <c r="D698" s="335"/>
      <c r="E698" s="335"/>
      <c r="F698" s="335" t="b">
        <v>0</v>
      </c>
      <c r="G698" s="332"/>
    </row>
    <row r="699">
      <c r="A699" s="332"/>
      <c r="B699" s="335"/>
      <c r="C699" s="335"/>
      <c r="D699" s="335"/>
      <c r="E699" s="335"/>
      <c r="F699" s="335" t="b">
        <v>0</v>
      </c>
      <c r="G699" s="332"/>
    </row>
    <row r="700">
      <c r="A700" s="332"/>
      <c r="B700" s="335"/>
      <c r="C700" s="335"/>
      <c r="D700" s="335"/>
      <c r="E700" s="335"/>
      <c r="F700" s="335" t="b">
        <v>0</v>
      </c>
      <c r="G700" s="332"/>
    </row>
    <row r="701">
      <c r="A701" s="332"/>
      <c r="B701" s="335"/>
      <c r="C701" s="335"/>
      <c r="D701" s="335"/>
      <c r="E701" s="335"/>
      <c r="F701" s="335" t="b">
        <v>0</v>
      </c>
      <c r="G701" s="332"/>
    </row>
    <row r="702">
      <c r="A702" s="332"/>
      <c r="B702" s="335"/>
      <c r="C702" s="335"/>
      <c r="D702" s="335"/>
      <c r="E702" s="335"/>
      <c r="F702" s="335" t="b">
        <v>0</v>
      </c>
      <c r="G702" s="332"/>
    </row>
    <row r="703">
      <c r="A703" s="332"/>
      <c r="B703" s="335"/>
      <c r="C703" s="335"/>
      <c r="D703" s="335"/>
      <c r="E703" s="335"/>
      <c r="F703" s="335" t="b">
        <v>0</v>
      </c>
      <c r="G703" s="332"/>
    </row>
    <row r="704">
      <c r="A704" s="332"/>
      <c r="B704" s="335"/>
      <c r="C704" s="335"/>
      <c r="D704" s="335"/>
      <c r="E704" s="335"/>
      <c r="F704" s="335" t="b">
        <v>0</v>
      </c>
      <c r="G704" s="332"/>
    </row>
    <row r="705">
      <c r="A705" s="332"/>
      <c r="B705" s="335"/>
      <c r="C705" s="335"/>
      <c r="D705" s="335"/>
      <c r="E705" s="335"/>
      <c r="F705" s="335" t="b">
        <v>0</v>
      </c>
      <c r="G705" s="332"/>
    </row>
    <row r="706">
      <c r="A706" s="332"/>
      <c r="B706" s="335"/>
      <c r="C706" s="335"/>
      <c r="D706" s="335"/>
      <c r="E706" s="335"/>
      <c r="F706" s="335" t="b">
        <v>0</v>
      </c>
      <c r="G706" s="332"/>
    </row>
    <row r="707">
      <c r="A707" s="332"/>
      <c r="B707" s="335"/>
      <c r="C707" s="335"/>
      <c r="D707" s="335"/>
      <c r="E707" s="335"/>
      <c r="F707" s="335" t="b">
        <v>0</v>
      </c>
      <c r="G707" s="332"/>
    </row>
    <row r="708">
      <c r="A708" s="332"/>
      <c r="B708" s="335"/>
      <c r="C708" s="335"/>
      <c r="D708" s="335"/>
      <c r="E708" s="335"/>
      <c r="F708" s="335" t="b">
        <v>0</v>
      </c>
      <c r="G708" s="332"/>
    </row>
    <row r="709">
      <c r="A709" s="332"/>
      <c r="B709" s="335"/>
      <c r="C709" s="335"/>
      <c r="D709" s="335"/>
      <c r="E709" s="335"/>
      <c r="F709" s="335" t="b">
        <v>0</v>
      </c>
      <c r="G709" s="332"/>
    </row>
    <row r="710">
      <c r="A710" s="332"/>
      <c r="B710" s="335"/>
      <c r="C710" s="335"/>
      <c r="D710" s="335"/>
      <c r="E710" s="335"/>
      <c r="F710" s="335" t="b">
        <v>0</v>
      </c>
      <c r="G710" s="332"/>
    </row>
    <row r="711">
      <c r="A711" s="332"/>
      <c r="B711" s="335"/>
      <c r="C711" s="335"/>
      <c r="D711" s="335"/>
      <c r="E711" s="335"/>
      <c r="F711" s="335" t="b">
        <v>0</v>
      </c>
      <c r="G711" s="332"/>
    </row>
    <row r="712">
      <c r="A712" s="332"/>
      <c r="B712" s="335"/>
      <c r="C712" s="335"/>
      <c r="D712" s="335"/>
      <c r="E712" s="335"/>
      <c r="F712" s="335" t="b">
        <v>0</v>
      </c>
      <c r="G712" s="332"/>
    </row>
    <row r="713">
      <c r="A713" s="332"/>
      <c r="B713" s="335"/>
      <c r="C713" s="335"/>
      <c r="D713" s="335"/>
      <c r="E713" s="335"/>
      <c r="F713" s="335" t="b">
        <v>0</v>
      </c>
      <c r="G713" s="332"/>
    </row>
    <row r="714">
      <c r="A714" s="332"/>
      <c r="B714" s="335"/>
      <c r="C714" s="335"/>
      <c r="D714" s="335"/>
      <c r="E714" s="335"/>
      <c r="F714" s="335" t="b">
        <v>0</v>
      </c>
      <c r="G714" s="332"/>
    </row>
    <row r="715">
      <c r="A715" s="332"/>
      <c r="B715" s="335"/>
      <c r="C715" s="335"/>
      <c r="D715" s="335"/>
      <c r="E715" s="335"/>
      <c r="F715" s="335" t="b">
        <v>0</v>
      </c>
      <c r="G715" s="332"/>
    </row>
    <row r="716">
      <c r="A716" s="332"/>
      <c r="B716" s="335"/>
      <c r="C716" s="335"/>
      <c r="D716" s="335"/>
      <c r="E716" s="335"/>
      <c r="F716" s="335" t="b">
        <v>0</v>
      </c>
      <c r="G716" s="332"/>
    </row>
    <row r="717">
      <c r="A717" s="332"/>
      <c r="B717" s="335"/>
      <c r="C717" s="335"/>
      <c r="D717" s="335"/>
      <c r="E717" s="335"/>
      <c r="F717" s="335" t="b">
        <v>0</v>
      </c>
      <c r="G717" s="332"/>
    </row>
    <row r="718">
      <c r="A718" s="332"/>
      <c r="B718" s="335"/>
      <c r="C718" s="335"/>
      <c r="D718" s="335"/>
      <c r="E718" s="335"/>
      <c r="F718" s="335" t="b">
        <v>0</v>
      </c>
      <c r="G718" s="332"/>
    </row>
    <row r="719">
      <c r="A719" s="332"/>
      <c r="B719" s="335"/>
      <c r="C719" s="335"/>
      <c r="D719" s="335"/>
      <c r="E719" s="335"/>
      <c r="F719" s="335" t="b">
        <v>0</v>
      </c>
      <c r="G719" s="332"/>
    </row>
    <row r="720">
      <c r="A720" s="332"/>
      <c r="B720" s="335"/>
      <c r="C720" s="335"/>
      <c r="D720" s="335"/>
      <c r="E720" s="335"/>
      <c r="F720" s="335" t="b">
        <v>0</v>
      </c>
      <c r="G720" s="332"/>
    </row>
    <row r="721">
      <c r="A721" s="332"/>
      <c r="B721" s="335"/>
      <c r="C721" s="335"/>
      <c r="D721" s="335"/>
      <c r="E721" s="335"/>
      <c r="F721" s="335" t="b">
        <v>0</v>
      </c>
      <c r="G721" s="332"/>
    </row>
    <row r="722">
      <c r="A722" s="332"/>
      <c r="B722" s="335"/>
      <c r="C722" s="335"/>
      <c r="D722" s="335"/>
      <c r="E722" s="335"/>
      <c r="F722" s="335" t="b">
        <v>0</v>
      </c>
      <c r="G722" s="332"/>
    </row>
    <row r="723">
      <c r="A723" s="332"/>
      <c r="B723" s="335"/>
      <c r="C723" s="335"/>
      <c r="D723" s="335"/>
      <c r="E723" s="335"/>
      <c r="F723" s="335" t="b">
        <v>0</v>
      </c>
      <c r="G723" s="332"/>
    </row>
    <row r="724">
      <c r="A724" s="332"/>
      <c r="B724" s="335"/>
      <c r="C724" s="335"/>
      <c r="D724" s="335"/>
      <c r="E724" s="335"/>
      <c r="F724" s="335" t="b">
        <v>0</v>
      </c>
      <c r="G724" s="332"/>
    </row>
    <row r="725">
      <c r="A725" s="332"/>
      <c r="B725" s="335"/>
      <c r="C725" s="335"/>
      <c r="D725" s="335"/>
      <c r="E725" s="335"/>
      <c r="F725" s="335" t="b">
        <v>0</v>
      </c>
      <c r="G725" s="332"/>
    </row>
    <row r="726">
      <c r="A726" s="332"/>
      <c r="B726" s="335"/>
      <c r="C726" s="335"/>
      <c r="D726" s="335"/>
      <c r="E726" s="335"/>
      <c r="F726" s="335" t="b">
        <v>0</v>
      </c>
      <c r="G726" s="332"/>
    </row>
    <row r="727">
      <c r="A727" s="332"/>
      <c r="B727" s="335"/>
      <c r="C727" s="335"/>
      <c r="D727" s="335"/>
      <c r="E727" s="335"/>
      <c r="F727" s="335" t="b">
        <v>0</v>
      </c>
      <c r="G727" s="332"/>
    </row>
    <row r="728">
      <c r="A728" s="332"/>
      <c r="B728" s="335"/>
      <c r="C728" s="335"/>
      <c r="D728" s="335"/>
      <c r="E728" s="335"/>
      <c r="F728" s="335" t="b">
        <v>0</v>
      </c>
      <c r="G728" s="332"/>
    </row>
    <row r="729">
      <c r="A729" s="332"/>
      <c r="B729" s="335"/>
      <c r="C729" s="335"/>
      <c r="D729" s="335"/>
      <c r="E729" s="335"/>
      <c r="F729" s="335" t="b">
        <v>0</v>
      </c>
      <c r="G729" s="332"/>
    </row>
    <row r="730">
      <c r="A730" s="332"/>
      <c r="B730" s="335"/>
      <c r="C730" s="335"/>
      <c r="D730" s="335"/>
      <c r="E730" s="335"/>
      <c r="F730" s="335" t="b">
        <v>0</v>
      </c>
      <c r="G730" s="332"/>
    </row>
    <row r="731">
      <c r="A731" s="332"/>
      <c r="B731" s="335"/>
      <c r="C731" s="335"/>
      <c r="D731" s="335"/>
      <c r="E731" s="335"/>
      <c r="F731" s="335" t="b">
        <v>0</v>
      </c>
      <c r="G731" s="332"/>
    </row>
    <row r="732">
      <c r="A732" s="332"/>
      <c r="B732" s="335"/>
      <c r="C732" s="335"/>
      <c r="D732" s="335"/>
      <c r="E732" s="335"/>
      <c r="F732" s="335" t="b">
        <v>0</v>
      </c>
      <c r="G732" s="332"/>
    </row>
    <row r="733">
      <c r="A733" s="332"/>
      <c r="B733" s="335"/>
      <c r="C733" s="335"/>
      <c r="D733" s="335"/>
      <c r="E733" s="335"/>
      <c r="F733" s="335" t="b">
        <v>0</v>
      </c>
      <c r="G733" s="332"/>
    </row>
    <row r="734">
      <c r="A734" s="332"/>
      <c r="B734" s="335"/>
      <c r="C734" s="335"/>
      <c r="D734" s="335"/>
      <c r="E734" s="335"/>
      <c r="F734" s="335" t="b">
        <v>0</v>
      </c>
      <c r="G734" s="332"/>
    </row>
    <row r="735">
      <c r="A735" s="332"/>
      <c r="B735" s="335"/>
      <c r="C735" s="335"/>
      <c r="D735" s="335"/>
      <c r="E735" s="335"/>
      <c r="F735" s="335" t="b">
        <v>0</v>
      </c>
      <c r="G735" s="332"/>
    </row>
    <row r="736">
      <c r="A736" s="332"/>
      <c r="B736" s="335"/>
      <c r="C736" s="335"/>
      <c r="D736" s="335"/>
      <c r="E736" s="335"/>
      <c r="F736" s="335" t="b">
        <v>0</v>
      </c>
      <c r="G736" s="332"/>
    </row>
    <row r="737">
      <c r="A737" s="332"/>
      <c r="B737" s="335"/>
      <c r="C737" s="335"/>
      <c r="D737" s="335"/>
      <c r="E737" s="335"/>
      <c r="F737" s="335" t="b">
        <v>0</v>
      </c>
      <c r="G737" s="332"/>
    </row>
    <row r="738">
      <c r="A738" s="332"/>
      <c r="B738" s="335"/>
      <c r="C738" s="335"/>
      <c r="D738" s="335"/>
      <c r="E738" s="335"/>
      <c r="F738" s="335" t="b">
        <v>0</v>
      </c>
      <c r="G738" s="332"/>
    </row>
    <row r="739">
      <c r="A739" s="332"/>
      <c r="B739" s="335"/>
      <c r="C739" s="335"/>
      <c r="D739" s="335"/>
      <c r="E739" s="335"/>
      <c r="F739" s="335" t="b">
        <v>0</v>
      </c>
      <c r="G739" s="332"/>
    </row>
    <row r="740">
      <c r="A740" s="332"/>
      <c r="B740" s="335"/>
      <c r="C740" s="335"/>
      <c r="D740" s="335"/>
      <c r="E740" s="335"/>
      <c r="F740" s="335" t="b">
        <v>0</v>
      </c>
      <c r="G740" s="332"/>
    </row>
    <row r="741">
      <c r="A741" s="332"/>
      <c r="B741" s="335"/>
      <c r="C741" s="335"/>
      <c r="D741" s="335"/>
      <c r="E741" s="335"/>
      <c r="F741" s="335" t="b">
        <v>0</v>
      </c>
      <c r="G741" s="332"/>
    </row>
    <row r="742">
      <c r="A742" s="332"/>
      <c r="B742" s="335"/>
      <c r="C742" s="335"/>
      <c r="D742" s="335"/>
      <c r="E742" s="335"/>
      <c r="F742" s="335" t="b">
        <v>0</v>
      </c>
      <c r="G742" s="332"/>
    </row>
    <row r="743">
      <c r="A743" s="332"/>
      <c r="B743" s="335"/>
      <c r="C743" s="335"/>
      <c r="D743" s="335"/>
      <c r="E743" s="335"/>
      <c r="F743" s="335" t="b">
        <v>0</v>
      </c>
      <c r="G743" s="332"/>
    </row>
    <row r="744">
      <c r="A744" s="332"/>
      <c r="B744" s="335"/>
      <c r="C744" s="335"/>
      <c r="D744" s="335"/>
      <c r="E744" s="335"/>
      <c r="F744" s="335" t="b">
        <v>0</v>
      </c>
      <c r="G744" s="332"/>
    </row>
    <row r="745">
      <c r="A745" s="332"/>
      <c r="B745" s="335"/>
      <c r="C745" s="335"/>
      <c r="D745" s="335"/>
      <c r="E745" s="335"/>
      <c r="F745" s="335" t="b">
        <v>0</v>
      </c>
      <c r="G745" s="332"/>
    </row>
    <row r="746">
      <c r="A746" s="332"/>
      <c r="B746" s="335"/>
      <c r="C746" s="335"/>
      <c r="D746" s="335"/>
      <c r="E746" s="335"/>
      <c r="F746" s="335" t="b">
        <v>0</v>
      </c>
      <c r="G746" s="332"/>
    </row>
    <row r="747">
      <c r="A747" s="332"/>
      <c r="B747" s="335"/>
      <c r="C747" s="335"/>
      <c r="D747" s="335"/>
      <c r="E747" s="335"/>
      <c r="F747" s="335" t="b">
        <v>0</v>
      </c>
      <c r="G747" s="332"/>
    </row>
    <row r="748">
      <c r="A748" s="332"/>
      <c r="B748" s="335"/>
      <c r="C748" s="335"/>
      <c r="D748" s="335"/>
      <c r="E748" s="335"/>
      <c r="F748" s="335" t="b">
        <v>0</v>
      </c>
      <c r="G748" s="332"/>
    </row>
    <row r="749">
      <c r="A749" s="332"/>
      <c r="B749" s="335"/>
      <c r="C749" s="335"/>
      <c r="D749" s="335"/>
      <c r="E749" s="335"/>
      <c r="F749" s="335" t="b">
        <v>0</v>
      </c>
      <c r="G749" s="332"/>
    </row>
    <row r="750">
      <c r="A750" s="332"/>
      <c r="B750" s="335"/>
      <c r="C750" s="335"/>
      <c r="D750" s="335"/>
      <c r="E750" s="335"/>
      <c r="F750" s="335" t="b">
        <v>0</v>
      </c>
      <c r="G750" s="332"/>
    </row>
    <row r="751">
      <c r="A751" s="332"/>
      <c r="B751" s="335"/>
      <c r="C751" s="335"/>
      <c r="D751" s="335"/>
      <c r="E751" s="335"/>
      <c r="F751" s="335" t="b">
        <v>0</v>
      </c>
      <c r="G751" s="332"/>
    </row>
    <row r="752">
      <c r="A752" s="332"/>
      <c r="B752" s="335"/>
      <c r="C752" s="335"/>
      <c r="D752" s="335"/>
      <c r="E752" s="335"/>
      <c r="F752" s="335" t="b">
        <v>0</v>
      </c>
      <c r="G752" s="332"/>
    </row>
    <row r="753">
      <c r="A753" s="332"/>
      <c r="B753" s="335"/>
      <c r="C753" s="335"/>
      <c r="D753" s="335"/>
      <c r="E753" s="335"/>
      <c r="F753" s="335" t="b">
        <v>0</v>
      </c>
      <c r="G753" s="332"/>
    </row>
    <row r="754">
      <c r="A754" s="332"/>
      <c r="B754" s="335"/>
      <c r="C754" s="335"/>
      <c r="D754" s="335"/>
      <c r="E754" s="335"/>
      <c r="F754" s="335" t="b">
        <v>0</v>
      </c>
      <c r="G754" s="332"/>
    </row>
    <row r="755">
      <c r="A755" s="332"/>
      <c r="B755" s="335"/>
      <c r="C755" s="335"/>
      <c r="D755" s="335"/>
      <c r="E755" s="335"/>
      <c r="F755" s="335" t="b">
        <v>0</v>
      </c>
      <c r="G755" s="332"/>
    </row>
    <row r="756">
      <c r="A756" s="332"/>
      <c r="B756" s="335"/>
      <c r="C756" s="335"/>
      <c r="D756" s="335"/>
      <c r="E756" s="335"/>
      <c r="F756" s="335" t="b">
        <v>0</v>
      </c>
      <c r="G756" s="332"/>
    </row>
    <row r="757">
      <c r="A757" s="332"/>
      <c r="B757" s="335"/>
      <c r="C757" s="335"/>
      <c r="D757" s="335"/>
      <c r="E757" s="335"/>
      <c r="F757" s="335" t="b">
        <v>0</v>
      </c>
      <c r="G757" s="332"/>
    </row>
    <row r="758">
      <c r="A758" s="332"/>
      <c r="B758" s="335"/>
      <c r="C758" s="335"/>
      <c r="D758" s="335"/>
      <c r="E758" s="335"/>
      <c r="F758" s="335" t="b">
        <v>0</v>
      </c>
      <c r="G758" s="332"/>
    </row>
    <row r="759">
      <c r="A759" s="332"/>
      <c r="B759" s="335"/>
      <c r="C759" s="335"/>
      <c r="D759" s="335"/>
      <c r="E759" s="335"/>
      <c r="F759" s="335" t="b">
        <v>0</v>
      </c>
      <c r="G759" s="332"/>
    </row>
    <row r="760">
      <c r="A760" s="332"/>
      <c r="B760" s="335"/>
      <c r="C760" s="335"/>
      <c r="D760" s="335"/>
      <c r="E760" s="335"/>
      <c r="F760" s="335" t="b">
        <v>0</v>
      </c>
      <c r="G760" s="332"/>
    </row>
    <row r="761">
      <c r="A761" s="332"/>
      <c r="B761" s="335"/>
      <c r="C761" s="335"/>
      <c r="D761" s="335"/>
      <c r="E761" s="335"/>
      <c r="F761" s="335" t="b">
        <v>0</v>
      </c>
      <c r="G761" s="332"/>
    </row>
    <row r="762">
      <c r="A762" s="332"/>
      <c r="B762" s="335"/>
      <c r="C762" s="335"/>
      <c r="D762" s="335"/>
      <c r="E762" s="335"/>
      <c r="F762" s="335" t="b">
        <v>0</v>
      </c>
      <c r="G762" s="332"/>
    </row>
    <row r="763">
      <c r="A763" s="332"/>
      <c r="B763" s="335"/>
      <c r="C763" s="335"/>
      <c r="D763" s="335"/>
      <c r="E763" s="335"/>
      <c r="F763" s="335" t="b">
        <v>0</v>
      </c>
      <c r="G763" s="332"/>
    </row>
    <row r="764">
      <c r="A764" s="332"/>
      <c r="B764" s="335"/>
      <c r="C764" s="335"/>
      <c r="D764" s="335"/>
      <c r="E764" s="335"/>
      <c r="F764" s="335" t="b">
        <v>0</v>
      </c>
      <c r="G764" s="332"/>
    </row>
    <row r="765">
      <c r="A765" s="332"/>
      <c r="B765" s="335"/>
      <c r="C765" s="335"/>
      <c r="D765" s="335"/>
      <c r="E765" s="335"/>
      <c r="F765" s="335" t="b">
        <v>0</v>
      </c>
      <c r="G765" s="332"/>
    </row>
    <row r="766">
      <c r="A766" s="332"/>
      <c r="B766" s="335"/>
      <c r="C766" s="335"/>
      <c r="D766" s="335"/>
      <c r="E766" s="335"/>
      <c r="F766" s="335" t="b">
        <v>0</v>
      </c>
      <c r="G766" s="332"/>
    </row>
    <row r="767">
      <c r="A767" s="332"/>
      <c r="B767" s="335"/>
      <c r="C767" s="335"/>
      <c r="D767" s="335"/>
      <c r="E767" s="335"/>
      <c r="F767" s="335" t="b">
        <v>0</v>
      </c>
      <c r="G767" s="332"/>
    </row>
    <row r="768">
      <c r="A768" s="332"/>
      <c r="B768" s="335"/>
      <c r="C768" s="335"/>
      <c r="D768" s="335"/>
      <c r="E768" s="335"/>
      <c r="F768" s="335" t="b">
        <v>0</v>
      </c>
      <c r="G768" s="332"/>
    </row>
    <row r="769">
      <c r="A769" s="332"/>
      <c r="B769" s="335"/>
      <c r="C769" s="335"/>
      <c r="D769" s="335"/>
      <c r="E769" s="335"/>
      <c r="F769" s="335" t="b">
        <v>0</v>
      </c>
      <c r="G769" s="332"/>
    </row>
    <row r="770">
      <c r="A770" s="332"/>
      <c r="B770" s="335"/>
      <c r="C770" s="335"/>
      <c r="D770" s="335"/>
      <c r="E770" s="335"/>
      <c r="F770" s="335" t="b">
        <v>0</v>
      </c>
      <c r="G770" s="332"/>
    </row>
    <row r="771">
      <c r="A771" s="332"/>
      <c r="B771" s="335"/>
      <c r="C771" s="335"/>
      <c r="D771" s="335"/>
      <c r="E771" s="335"/>
      <c r="F771" s="335" t="b">
        <v>0</v>
      </c>
      <c r="G771" s="332"/>
    </row>
    <row r="772">
      <c r="A772" s="332"/>
      <c r="B772" s="335"/>
      <c r="C772" s="335"/>
      <c r="D772" s="335"/>
      <c r="E772" s="335"/>
      <c r="F772" s="335" t="b">
        <v>0</v>
      </c>
      <c r="G772" s="332"/>
    </row>
    <row r="773">
      <c r="A773" s="332"/>
      <c r="B773" s="335"/>
      <c r="C773" s="335"/>
      <c r="D773" s="335"/>
      <c r="E773" s="335"/>
      <c r="F773" s="335" t="b">
        <v>0</v>
      </c>
      <c r="G773" s="332"/>
    </row>
    <row r="774">
      <c r="A774" s="332"/>
      <c r="B774" s="335"/>
      <c r="C774" s="335"/>
      <c r="D774" s="335"/>
      <c r="E774" s="335"/>
      <c r="F774" s="335" t="b">
        <v>0</v>
      </c>
      <c r="G774" s="332"/>
    </row>
    <row r="775">
      <c r="A775" s="332"/>
      <c r="B775" s="335"/>
      <c r="C775" s="335"/>
      <c r="D775" s="335"/>
      <c r="E775" s="335"/>
      <c r="F775" s="335" t="b">
        <v>0</v>
      </c>
      <c r="G775" s="332"/>
    </row>
    <row r="776">
      <c r="A776" s="332"/>
      <c r="B776" s="335"/>
      <c r="C776" s="335"/>
      <c r="D776" s="335"/>
      <c r="E776" s="335"/>
      <c r="F776" s="335" t="b">
        <v>0</v>
      </c>
      <c r="G776" s="332"/>
    </row>
    <row r="777">
      <c r="A777" s="332"/>
      <c r="B777" s="335"/>
      <c r="C777" s="335"/>
      <c r="D777" s="335"/>
      <c r="E777" s="335"/>
      <c r="F777" s="335" t="b">
        <v>0</v>
      </c>
      <c r="G777" s="332"/>
    </row>
    <row r="778">
      <c r="A778" s="332"/>
      <c r="B778" s="335"/>
      <c r="C778" s="335"/>
      <c r="D778" s="335"/>
      <c r="E778" s="335"/>
      <c r="F778" s="335" t="b">
        <v>0</v>
      </c>
      <c r="G778" s="332"/>
    </row>
    <row r="779">
      <c r="A779" s="332"/>
      <c r="B779" s="335"/>
      <c r="C779" s="335"/>
      <c r="D779" s="335"/>
      <c r="E779" s="335"/>
      <c r="F779" s="335" t="b">
        <v>0</v>
      </c>
      <c r="G779" s="332"/>
    </row>
    <row r="780">
      <c r="A780" s="332"/>
      <c r="B780" s="335"/>
      <c r="C780" s="335"/>
      <c r="D780" s="335"/>
      <c r="E780" s="335"/>
      <c r="F780" s="335" t="b">
        <v>0</v>
      </c>
      <c r="G780" s="332"/>
    </row>
    <row r="781">
      <c r="A781" s="332"/>
      <c r="B781" s="335"/>
      <c r="C781" s="335"/>
      <c r="D781" s="335"/>
      <c r="E781" s="335"/>
      <c r="F781" s="335" t="b">
        <v>0</v>
      </c>
      <c r="G781" s="332"/>
    </row>
    <row r="782">
      <c r="A782" s="332"/>
      <c r="B782" s="335"/>
      <c r="C782" s="335"/>
      <c r="D782" s="335"/>
      <c r="E782" s="335"/>
      <c r="F782" s="335" t="b">
        <v>0</v>
      </c>
      <c r="G782" s="332"/>
    </row>
    <row r="783">
      <c r="A783" s="332"/>
      <c r="B783" s="335"/>
      <c r="C783" s="335"/>
      <c r="D783" s="335"/>
      <c r="E783" s="335"/>
      <c r="F783" s="335" t="b">
        <v>0</v>
      </c>
      <c r="G783" s="332"/>
    </row>
    <row r="784">
      <c r="A784" s="332"/>
      <c r="B784" s="335"/>
      <c r="C784" s="335"/>
      <c r="D784" s="335"/>
      <c r="E784" s="335"/>
      <c r="F784" s="335" t="b">
        <v>0</v>
      </c>
      <c r="G784" s="332"/>
    </row>
    <row r="785">
      <c r="A785" s="332"/>
      <c r="B785" s="335"/>
      <c r="C785" s="335"/>
      <c r="D785" s="335"/>
      <c r="E785" s="335"/>
      <c r="F785" s="335" t="b">
        <v>0</v>
      </c>
      <c r="G785" s="332"/>
    </row>
    <row r="786">
      <c r="A786" s="332"/>
      <c r="B786" s="335"/>
      <c r="C786" s="335"/>
      <c r="D786" s="335"/>
      <c r="E786" s="335"/>
      <c r="F786" s="335" t="b">
        <v>0</v>
      </c>
      <c r="G786" s="332"/>
    </row>
    <row r="787">
      <c r="A787" s="332"/>
      <c r="B787" s="335"/>
      <c r="C787" s="335"/>
      <c r="D787" s="335"/>
      <c r="E787" s="335"/>
      <c r="F787" s="335" t="b">
        <v>0</v>
      </c>
      <c r="G787" s="332"/>
    </row>
    <row r="788">
      <c r="A788" s="332"/>
      <c r="B788" s="335"/>
      <c r="C788" s="335"/>
      <c r="D788" s="335"/>
      <c r="E788" s="335"/>
      <c r="F788" s="335" t="b">
        <v>0</v>
      </c>
      <c r="G788" s="332"/>
    </row>
    <row r="789">
      <c r="A789" s="332"/>
      <c r="B789" s="335"/>
      <c r="C789" s="335"/>
      <c r="D789" s="335"/>
      <c r="E789" s="335"/>
      <c r="F789" s="335" t="b">
        <v>0</v>
      </c>
      <c r="G789" s="332"/>
    </row>
    <row r="790">
      <c r="A790" s="332"/>
      <c r="B790" s="335"/>
      <c r="C790" s="335"/>
      <c r="D790" s="335"/>
      <c r="E790" s="335"/>
      <c r="F790" s="335" t="b">
        <v>0</v>
      </c>
      <c r="G790" s="332"/>
    </row>
    <row r="791">
      <c r="A791" s="332"/>
      <c r="B791" s="335"/>
      <c r="C791" s="335"/>
      <c r="D791" s="335"/>
      <c r="E791" s="335"/>
      <c r="F791" s="335" t="b">
        <v>0</v>
      </c>
      <c r="G791" s="332"/>
    </row>
    <row r="792">
      <c r="A792" s="332"/>
      <c r="B792" s="335"/>
      <c r="C792" s="335"/>
      <c r="D792" s="335"/>
      <c r="E792" s="335"/>
      <c r="F792" s="335" t="b">
        <v>0</v>
      </c>
      <c r="G792" s="332"/>
    </row>
    <row r="793">
      <c r="A793" s="332"/>
      <c r="B793" s="335"/>
      <c r="C793" s="335"/>
      <c r="D793" s="335"/>
      <c r="E793" s="335"/>
      <c r="F793" s="335" t="b">
        <v>0</v>
      </c>
      <c r="G793" s="332"/>
    </row>
    <row r="794">
      <c r="A794" s="332"/>
      <c r="B794" s="335"/>
      <c r="C794" s="335"/>
      <c r="D794" s="335"/>
      <c r="E794" s="335"/>
      <c r="F794" s="335" t="b">
        <v>0</v>
      </c>
      <c r="G794" s="332"/>
    </row>
    <row r="795">
      <c r="A795" s="332"/>
      <c r="B795" s="335"/>
      <c r="C795" s="335"/>
      <c r="D795" s="335"/>
      <c r="E795" s="335"/>
      <c r="F795" s="335" t="b">
        <v>0</v>
      </c>
      <c r="G795" s="332"/>
    </row>
    <row r="796">
      <c r="A796" s="332"/>
      <c r="B796" s="335"/>
      <c r="C796" s="335"/>
      <c r="D796" s="335"/>
      <c r="E796" s="335"/>
      <c r="F796" s="335" t="b">
        <v>0</v>
      </c>
      <c r="G796" s="332"/>
    </row>
    <row r="797">
      <c r="A797" s="332"/>
      <c r="B797" s="335"/>
      <c r="C797" s="335"/>
      <c r="D797" s="335"/>
      <c r="E797" s="335"/>
      <c r="F797" s="335" t="b">
        <v>0</v>
      </c>
      <c r="G797" s="332"/>
    </row>
    <row r="798">
      <c r="A798" s="332"/>
      <c r="B798" s="335"/>
      <c r="C798" s="335"/>
      <c r="D798" s="335"/>
      <c r="E798" s="335"/>
      <c r="F798" s="335" t="b">
        <v>0</v>
      </c>
      <c r="G798" s="332"/>
    </row>
    <row r="799">
      <c r="A799" s="332"/>
      <c r="B799" s="335"/>
      <c r="C799" s="335"/>
      <c r="D799" s="335"/>
      <c r="E799" s="335"/>
      <c r="F799" s="335" t="b">
        <v>0</v>
      </c>
      <c r="G799" s="332"/>
    </row>
    <row r="800">
      <c r="A800" s="332"/>
      <c r="B800" s="335"/>
      <c r="C800" s="335"/>
      <c r="D800" s="335"/>
      <c r="E800" s="335"/>
      <c r="F800" s="335" t="b">
        <v>0</v>
      </c>
      <c r="G800" s="332"/>
    </row>
    <row r="801">
      <c r="A801" s="332"/>
      <c r="B801" s="335"/>
      <c r="C801" s="335"/>
      <c r="D801" s="335"/>
      <c r="E801" s="335"/>
      <c r="F801" s="335" t="b">
        <v>0</v>
      </c>
      <c r="G801" s="332"/>
    </row>
    <row r="802">
      <c r="A802" s="332"/>
      <c r="B802" s="335"/>
      <c r="C802" s="335"/>
      <c r="D802" s="335"/>
      <c r="E802" s="335"/>
      <c r="F802" s="335" t="b">
        <v>0</v>
      </c>
      <c r="G802" s="332"/>
    </row>
    <row r="803">
      <c r="A803" s="332"/>
      <c r="B803" s="335"/>
      <c r="C803" s="335"/>
      <c r="D803" s="335"/>
      <c r="E803" s="335"/>
      <c r="F803" s="335" t="b">
        <v>0</v>
      </c>
      <c r="G803" s="332"/>
    </row>
    <row r="804">
      <c r="A804" s="332"/>
      <c r="B804" s="335"/>
      <c r="C804" s="335"/>
      <c r="D804" s="335"/>
      <c r="E804" s="335"/>
      <c r="F804" s="335" t="b">
        <v>0</v>
      </c>
      <c r="G804" s="332"/>
    </row>
    <row r="805">
      <c r="A805" s="332"/>
      <c r="B805" s="335"/>
      <c r="C805" s="335"/>
      <c r="D805" s="335"/>
      <c r="E805" s="335"/>
      <c r="F805" s="335" t="b">
        <v>0</v>
      </c>
      <c r="G805" s="332"/>
    </row>
    <row r="806">
      <c r="A806" s="332"/>
      <c r="B806" s="335"/>
      <c r="C806" s="335"/>
      <c r="D806" s="335"/>
      <c r="E806" s="335"/>
      <c r="F806" s="335" t="b">
        <v>0</v>
      </c>
      <c r="G806" s="332"/>
    </row>
    <row r="807">
      <c r="A807" s="332"/>
      <c r="B807" s="335"/>
      <c r="C807" s="335"/>
      <c r="D807" s="335"/>
      <c r="E807" s="335"/>
      <c r="F807" s="335" t="b">
        <v>0</v>
      </c>
      <c r="G807" s="332"/>
    </row>
    <row r="808">
      <c r="A808" s="332"/>
      <c r="B808" s="335"/>
      <c r="C808" s="335"/>
      <c r="D808" s="335"/>
      <c r="E808" s="335"/>
      <c r="F808" s="335" t="b">
        <v>0</v>
      </c>
      <c r="G808" s="332"/>
    </row>
    <row r="809">
      <c r="A809" s="332"/>
      <c r="B809" s="335"/>
      <c r="C809" s="335"/>
      <c r="D809" s="335"/>
      <c r="E809" s="335"/>
      <c r="F809" s="335" t="b">
        <v>0</v>
      </c>
      <c r="G809" s="332"/>
    </row>
    <row r="810">
      <c r="A810" s="332"/>
      <c r="B810" s="335"/>
      <c r="C810" s="335"/>
      <c r="D810" s="335"/>
      <c r="E810" s="335"/>
      <c r="F810" s="335" t="b">
        <v>0</v>
      </c>
      <c r="G810" s="332"/>
    </row>
    <row r="811">
      <c r="A811" s="332"/>
      <c r="B811" s="335"/>
      <c r="C811" s="335"/>
      <c r="D811" s="335"/>
      <c r="E811" s="335"/>
      <c r="F811" s="335" t="b">
        <v>0</v>
      </c>
      <c r="G811" s="332"/>
    </row>
    <row r="812">
      <c r="A812" s="332"/>
      <c r="B812" s="335"/>
      <c r="C812" s="335"/>
      <c r="D812" s="335"/>
      <c r="E812" s="335"/>
      <c r="F812" s="335" t="b">
        <v>0</v>
      </c>
      <c r="G812" s="332"/>
    </row>
    <row r="813">
      <c r="A813" s="332"/>
      <c r="B813" s="335"/>
      <c r="C813" s="335"/>
      <c r="D813" s="335"/>
      <c r="E813" s="335"/>
      <c r="F813" s="335" t="b">
        <v>0</v>
      </c>
      <c r="G813" s="332"/>
    </row>
    <row r="814">
      <c r="A814" s="332"/>
      <c r="B814" s="335"/>
      <c r="C814" s="335"/>
      <c r="D814" s="335"/>
      <c r="E814" s="335"/>
      <c r="F814" s="335" t="b">
        <v>0</v>
      </c>
      <c r="G814" s="332"/>
    </row>
    <row r="815">
      <c r="A815" s="332"/>
      <c r="B815" s="335"/>
      <c r="C815" s="335"/>
      <c r="D815" s="335"/>
      <c r="E815" s="335"/>
      <c r="F815" s="335" t="b">
        <v>0</v>
      </c>
      <c r="G815" s="332"/>
    </row>
    <row r="816">
      <c r="A816" s="332"/>
      <c r="B816" s="335"/>
      <c r="C816" s="335"/>
      <c r="D816" s="335"/>
      <c r="E816" s="335"/>
      <c r="F816" s="335" t="b">
        <v>0</v>
      </c>
      <c r="G816" s="332"/>
    </row>
    <row r="817">
      <c r="A817" s="332"/>
      <c r="B817" s="335"/>
      <c r="C817" s="335"/>
      <c r="D817" s="335"/>
      <c r="E817" s="335"/>
      <c r="F817" s="335" t="b">
        <v>0</v>
      </c>
      <c r="G817" s="332"/>
    </row>
    <row r="818">
      <c r="A818" s="332"/>
      <c r="B818" s="335"/>
      <c r="C818" s="335"/>
      <c r="D818" s="335"/>
      <c r="E818" s="335"/>
      <c r="F818" s="335" t="b">
        <v>0</v>
      </c>
      <c r="G818" s="332"/>
    </row>
    <row r="819">
      <c r="A819" s="332"/>
      <c r="B819" s="335"/>
      <c r="C819" s="335"/>
      <c r="D819" s="335"/>
      <c r="E819" s="335"/>
      <c r="F819" s="335" t="b">
        <v>0</v>
      </c>
      <c r="G819" s="332"/>
    </row>
    <row r="820">
      <c r="A820" s="332"/>
      <c r="B820" s="335"/>
      <c r="C820" s="335"/>
      <c r="D820" s="335"/>
      <c r="E820" s="335"/>
      <c r="F820" s="335" t="b">
        <v>0</v>
      </c>
      <c r="G820" s="332"/>
    </row>
    <row r="821">
      <c r="A821" s="332"/>
      <c r="B821" s="335"/>
      <c r="C821" s="335"/>
      <c r="D821" s="335"/>
      <c r="E821" s="335"/>
      <c r="F821" s="335" t="b">
        <v>0</v>
      </c>
      <c r="G821" s="332"/>
    </row>
    <row r="822">
      <c r="A822" s="332"/>
      <c r="B822" s="335"/>
      <c r="C822" s="335"/>
      <c r="D822" s="335"/>
      <c r="E822" s="335"/>
      <c r="F822" s="335" t="b">
        <v>0</v>
      </c>
      <c r="G822" s="332"/>
    </row>
    <row r="823">
      <c r="A823" s="332"/>
      <c r="B823" s="335"/>
      <c r="C823" s="335"/>
      <c r="D823" s="335"/>
      <c r="E823" s="335"/>
      <c r="F823" s="335" t="b">
        <v>0</v>
      </c>
      <c r="G823" s="332"/>
    </row>
    <row r="824">
      <c r="A824" s="332"/>
      <c r="B824" s="335"/>
      <c r="C824" s="335"/>
      <c r="D824" s="335"/>
      <c r="E824" s="335"/>
      <c r="F824" s="335" t="b">
        <v>0</v>
      </c>
      <c r="G824" s="332"/>
    </row>
    <row r="825">
      <c r="A825" s="332"/>
      <c r="B825" s="335"/>
      <c r="C825" s="335"/>
      <c r="D825" s="335"/>
      <c r="E825" s="335"/>
      <c r="F825" s="335" t="b">
        <v>0</v>
      </c>
      <c r="G825" s="332"/>
    </row>
    <row r="826">
      <c r="A826" s="332"/>
      <c r="B826" s="335"/>
      <c r="C826" s="335"/>
      <c r="D826" s="335"/>
      <c r="E826" s="335"/>
      <c r="F826" s="335" t="b">
        <v>0</v>
      </c>
      <c r="G826" s="332"/>
    </row>
    <row r="827">
      <c r="A827" s="332"/>
      <c r="B827" s="335"/>
      <c r="C827" s="335"/>
      <c r="D827" s="335"/>
      <c r="E827" s="335"/>
      <c r="F827" s="335" t="b">
        <v>0</v>
      </c>
      <c r="G827" s="332"/>
    </row>
    <row r="828">
      <c r="A828" s="332"/>
      <c r="B828" s="335"/>
      <c r="C828" s="335"/>
      <c r="D828" s="335"/>
      <c r="E828" s="335"/>
      <c r="F828" s="335" t="b">
        <v>0</v>
      </c>
      <c r="G828" s="332"/>
    </row>
    <row r="829">
      <c r="A829" s="332"/>
      <c r="B829" s="335"/>
      <c r="C829" s="335"/>
      <c r="D829" s="335"/>
      <c r="E829" s="335"/>
      <c r="F829" s="335" t="b">
        <v>0</v>
      </c>
      <c r="G829" s="332"/>
    </row>
    <row r="830">
      <c r="A830" s="332"/>
      <c r="B830" s="335"/>
      <c r="C830" s="335"/>
      <c r="D830" s="335"/>
      <c r="E830" s="335"/>
      <c r="F830" s="335" t="b">
        <v>0</v>
      </c>
      <c r="G830" s="332"/>
    </row>
    <row r="831">
      <c r="A831" s="332"/>
      <c r="B831" s="335"/>
      <c r="C831" s="335"/>
      <c r="D831" s="335"/>
      <c r="E831" s="335"/>
      <c r="F831" s="335" t="b">
        <v>0</v>
      </c>
      <c r="G831" s="332"/>
    </row>
    <row r="832">
      <c r="A832" s="332"/>
      <c r="B832" s="335"/>
      <c r="C832" s="335"/>
      <c r="D832" s="335"/>
      <c r="E832" s="335"/>
      <c r="F832" s="335" t="b">
        <v>0</v>
      </c>
      <c r="G832" s="332"/>
    </row>
    <row r="833">
      <c r="A833" s="332"/>
      <c r="B833" s="335"/>
      <c r="C833" s="335"/>
      <c r="D833" s="335"/>
      <c r="E833" s="335"/>
      <c r="F833" s="335" t="b">
        <v>0</v>
      </c>
      <c r="G833" s="332"/>
    </row>
    <row r="834">
      <c r="A834" s="332"/>
      <c r="B834" s="335"/>
      <c r="C834" s="335"/>
      <c r="D834" s="335"/>
      <c r="E834" s="335"/>
      <c r="F834" s="335" t="b">
        <v>0</v>
      </c>
      <c r="G834" s="332"/>
    </row>
    <row r="835">
      <c r="A835" s="332"/>
      <c r="B835" s="335"/>
      <c r="C835" s="335"/>
      <c r="D835" s="335"/>
      <c r="E835" s="335"/>
      <c r="F835" s="335" t="b">
        <v>0</v>
      </c>
      <c r="G835" s="332"/>
    </row>
    <row r="836">
      <c r="A836" s="332"/>
      <c r="B836" s="335"/>
      <c r="C836" s="335"/>
      <c r="D836" s="335"/>
      <c r="E836" s="335"/>
      <c r="F836" s="335" t="b">
        <v>0</v>
      </c>
      <c r="G836" s="332"/>
    </row>
    <row r="837">
      <c r="A837" s="332"/>
      <c r="B837" s="335"/>
      <c r="C837" s="335"/>
      <c r="D837" s="335"/>
      <c r="E837" s="335"/>
      <c r="F837" s="335" t="b">
        <v>0</v>
      </c>
      <c r="G837" s="332"/>
    </row>
    <row r="838">
      <c r="A838" s="332"/>
      <c r="B838" s="335"/>
      <c r="C838" s="335"/>
      <c r="D838" s="335"/>
      <c r="E838" s="335"/>
      <c r="F838" s="335" t="b">
        <v>0</v>
      </c>
      <c r="G838" s="332"/>
    </row>
    <row r="839">
      <c r="A839" s="332"/>
      <c r="B839" s="335"/>
      <c r="C839" s="335"/>
      <c r="D839" s="335"/>
      <c r="E839" s="335"/>
      <c r="F839" s="335" t="b">
        <v>0</v>
      </c>
      <c r="G839" s="332"/>
    </row>
    <row r="840">
      <c r="A840" s="332"/>
      <c r="B840" s="335"/>
      <c r="C840" s="335"/>
      <c r="D840" s="335"/>
      <c r="E840" s="335"/>
      <c r="F840" s="335" t="b">
        <v>0</v>
      </c>
      <c r="G840" s="332"/>
    </row>
    <row r="841">
      <c r="A841" s="332"/>
      <c r="B841" s="335"/>
      <c r="C841" s="335"/>
      <c r="D841" s="335"/>
      <c r="E841" s="335"/>
      <c r="F841" s="335" t="b">
        <v>0</v>
      </c>
      <c r="G841" s="332"/>
    </row>
    <row r="842">
      <c r="A842" s="332"/>
      <c r="B842" s="335"/>
      <c r="C842" s="335"/>
      <c r="D842" s="335"/>
      <c r="E842" s="335"/>
      <c r="F842" s="335" t="b">
        <v>0</v>
      </c>
      <c r="G842" s="332"/>
    </row>
    <row r="843">
      <c r="A843" s="332"/>
      <c r="B843" s="335"/>
      <c r="C843" s="335"/>
      <c r="D843" s="335"/>
      <c r="E843" s="335"/>
      <c r="F843" s="335" t="b">
        <v>0</v>
      </c>
      <c r="G843" s="332"/>
    </row>
    <row r="844">
      <c r="A844" s="332"/>
      <c r="B844" s="335"/>
      <c r="C844" s="335"/>
      <c r="D844" s="335"/>
      <c r="E844" s="335"/>
      <c r="F844" s="335" t="b">
        <v>0</v>
      </c>
      <c r="G844" s="332"/>
    </row>
    <row r="845">
      <c r="A845" s="332"/>
      <c r="B845" s="335"/>
      <c r="C845" s="335"/>
      <c r="D845" s="335"/>
      <c r="E845" s="335"/>
      <c r="F845" s="335" t="b">
        <v>0</v>
      </c>
      <c r="G845" s="332"/>
    </row>
    <row r="846">
      <c r="A846" s="332"/>
      <c r="B846" s="335"/>
      <c r="C846" s="335"/>
      <c r="D846" s="335"/>
      <c r="E846" s="335"/>
      <c r="F846" s="335" t="b">
        <v>0</v>
      </c>
      <c r="G846" s="332"/>
    </row>
    <row r="847">
      <c r="A847" s="332"/>
      <c r="B847" s="335"/>
      <c r="C847" s="335"/>
      <c r="D847" s="335"/>
      <c r="E847" s="335"/>
      <c r="F847" s="335" t="b">
        <v>0</v>
      </c>
      <c r="G847" s="332"/>
    </row>
    <row r="848">
      <c r="A848" s="332"/>
      <c r="B848" s="335"/>
      <c r="C848" s="335"/>
      <c r="D848" s="335"/>
      <c r="E848" s="335"/>
      <c r="F848" s="335" t="b">
        <v>0</v>
      </c>
      <c r="G848" s="332"/>
    </row>
    <row r="849">
      <c r="A849" s="332"/>
      <c r="B849" s="335"/>
      <c r="C849" s="335"/>
      <c r="D849" s="335"/>
      <c r="E849" s="335"/>
      <c r="F849" s="335" t="b">
        <v>0</v>
      </c>
      <c r="G849" s="332"/>
    </row>
    <row r="850">
      <c r="A850" s="332"/>
      <c r="B850" s="335"/>
      <c r="C850" s="335"/>
      <c r="D850" s="335"/>
      <c r="E850" s="335"/>
      <c r="F850" s="335" t="b">
        <v>0</v>
      </c>
      <c r="G850" s="332"/>
    </row>
    <row r="851">
      <c r="A851" s="332"/>
      <c r="B851" s="335"/>
      <c r="C851" s="335"/>
      <c r="D851" s="335"/>
      <c r="E851" s="335"/>
      <c r="F851" s="335" t="b">
        <v>0</v>
      </c>
      <c r="G851" s="332"/>
    </row>
    <row r="852">
      <c r="A852" s="332"/>
      <c r="B852" s="335"/>
      <c r="C852" s="335"/>
      <c r="D852" s="335"/>
      <c r="E852" s="335"/>
      <c r="F852" s="335" t="b">
        <v>0</v>
      </c>
      <c r="G852" s="332"/>
    </row>
    <row r="853">
      <c r="A853" s="332"/>
      <c r="B853" s="335"/>
      <c r="C853" s="335"/>
      <c r="D853" s="335"/>
      <c r="E853" s="335"/>
      <c r="F853" s="335" t="b">
        <v>0</v>
      </c>
      <c r="G853" s="332"/>
    </row>
    <row r="854">
      <c r="A854" s="332"/>
      <c r="B854" s="335"/>
      <c r="C854" s="335"/>
      <c r="D854" s="335"/>
      <c r="E854" s="335"/>
      <c r="F854" s="335" t="b">
        <v>0</v>
      </c>
      <c r="G854" s="332"/>
    </row>
    <row r="855">
      <c r="A855" s="332"/>
      <c r="B855" s="335"/>
      <c r="C855" s="335"/>
      <c r="D855" s="335"/>
      <c r="E855" s="335"/>
      <c r="F855" s="335" t="b">
        <v>0</v>
      </c>
      <c r="G855" s="332"/>
    </row>
    <row r="856">
      <c r="A856" s="332"/>
      <c r="B856" s="335"/>
      <c r="C856" s="335"/>
      <c r="D856" s="335"/>
      <c r="E856" s="335"/>
      <c r="F856" s="335" t="b">
        <v>0</v>
      </c>
      <c r="G856" s="332"/>
    </row>
    <row r="857">
      <c r="A857" s="332"/>
      <c r="B857" s="335"/>
      <c r="C857" s="335"/>
      <c r="D857" s="335"/>
      <c r="E857" s="335"/>
      <c r="F857" s="335" t="b">
        <v>0</v>
      </c>
      <c r="G857" s="332"/>
    </row>
    <row r="858">
      <c r="A858" s="332"/>
      <c r="B858" s="335"/>
      <c r="C858" s="335"/>
      <c r="D858" s="335"/>
      <c r="E858" s="335"/>
      <c r="F858" s="335" t="b">
        <v>0</v>
      </c>
      <c r="G858" s="332"/>
    </row>
    <row r="859">
      <c r="A859" s="332"/>
      <c r="B859" s="335"/>
      <c r="C859" s="335"/>
      <c r="D859" s="335"/>
      <c r="E859" s="335"/>
      <c r="F859" s="335" t="b">
        <v>0</v>
      </c>
      <c r="G859" s="332"/>
    </row>
    <row r="860">
      <c r="A860" s="332"/>
      <c r="B860" s="335"/>
      <c r="C860" s="335"/>
      <c r="D860" s="335"/>
      <c r="E860" s="335"/>
      <c r="F860" s="335" t="b">
        <v>0</v>
      </c>
      <c r="G860" s="332"/>
    </row>
    <row r="861">
      <c r="A861" s="332"/>
      <c r="B861" s="335"/>
      <c r="C861" s="335"/>
      <c r="D861" s="335"/>
      <c r="E861" s="335"/>
      <c r="F861" s="335" t="b">
        <v>0</v>
      </c>
      <c r="G861" s="332"/>
    </row>
    <row r="862">
      <c r="A862" s="332"/>
      <c r="B862" s="335"/>
      <c r="C862" s="335"/>
      <c r="D862" s="335"/>
      <c r="E862" s="335"/>
      <c r="F862" s="335" t="b">
        <v>0</v>
      </c>
      <c r="G862" s="332"/>
    </row>
    <row r="863">
      <c r="A863" s="332"/>
      <c r="B863" s="335"/>
      <c r="C863" s="335"/>
      <c r="D863" s="335"/>
      <c r="E863" s="335"/>
      <c r="F863" s="335" t="b">
        <v>0</v>
      </c>
      <c r="G863" s="332"/>
    </row>
    <row r="864">
      <c r="A864" s="332"/>
      <c r="B864" s="335"/>
      <c r="C864" s="335"/>
      <c r="D864" s="335"/>
      <c r="E864" s="335"/>
      <c r="F864" s="335" t="b">
        <v>0</v>
      </c>
      <c r="G864" s="332"/>
    </row>
    <row r="865">
      <c r="A865" s="332"/>
      <c r="B865" s="335"/>
      <c r="C865" s="335"/>
      <c r="D865" s="335"/>
      <c r="E865" s="335"/>
      <c r="F865" s="335" t="b">
        <v>0</v>
      </c>
      <c r="G865" s="332"/>
    </row>
    <row r="866">
      <c r="A866" s="332"/>
      <c r="B866" s="335"/>
      <c r="C866" s="335"/>
      <c r="D866" s="335"/>
      <c r="E866" s="335"/>
      <c r="F866" s="335" t="b">
        <v>0</v>
      </c>
      <c r="G866" s="332"/>
    </row>
    <row r="867">
      <c r="A867" s="332"/>
      <c r="B867" s="335"/>
      <c r="C867" s="335"/>
      <c r="D867" s="335"/>
      <c r="E867" s="335"/>
      <c r="F867" s="335" t="b">
        <v>0</v>
      </c>
      <c r="G867" s="332"/>
    </row>
    <row r="868">
      <c r="A868" s="332"/>
      <c r="B868" s="335"/>
      <c r="C868" s="335"/>
      <c r="D868" s="335"/>
      <c r="E868" s="335"/>
      <c r="F868" s="335" t="b">
        <v>0</v>
      </c>
      <c r="G868" s="332"/>
    </row>
    <row r="869">
      <c r="A869" s="332"/>
      <c r="B869" s="335"/>
      <c r="C869" s="335"/>
      <c r="D869" s="335"/>
      <c r="E869" s="335"/>
      <c r="F869" s="335" t="b">
        <v>0</v>
      </c>
      <c r="G869" s="332"/>
    </row>
    <row r="870">
      <c r="A870" s="332"/>
      <c r="B870" s="335"/>
      <c r="C870" s="335"/>
      <c r="D870" s="335"/>
      <c r="E870" s="335"/>
      <c r="F870" s="335" t="b">
        <v>0</v>
      </c>
      <c r="G870" s="332"/>
    </row>
    <row r="871">
      <c r="A871" s="332"/>
      <c r="B871" s="335"/>
      <c r="C871" s="335"/>
      <c r="D871" s="335"/>
      <c r="E871" s="335"/>
      <c r="F871" s="335" t="b">
        <v>0</v>
      </c>
      <c r="G871" s="332"/>
    </row>
    <row r="872">
      <c r="A872" s="332"/>
      <c r="B872" s="335"/>
      <c r="C872" s="335"/>
      <c r="D872" s="335"/>
      <c r="E872" s="335"/>
      <c r="F872" s="335" t="b">
        <v>0</v>
      </c>
      <c r="G872" s="332"/>
    </row>
    <row r="873">
      <c r="A873" s="332"/>
      <c r="B873" s="335"/>
      <c r="C873" s="335"/>
      <c r="D873" s="335"/>
      <c r="E873" s="335"/>
      <c r="F873" s="335" t="b">
        <v>0</v>
      </c>
      <c r="G873" s="332"/>
    </row>
    <row r="874">
      <c r="A874" s="332"/>
      <c r="B874" s="335"/>
      <c r="C874" s="335"/>
      <c r="D874" s="335"/>
      <c r="E874" s="335"/>
      <c r="F874" s="335" t="b">
        <v>0</v>
      </c>
      <c r="G874" s="332"/>
    </row>
    <row r="875">
      <c r="A875" s="332"/>
      <c r="B875" s="335"/>
      <c r="C875" s="335"/>
      <c r="D875" s="335"/>
      <c r="E875" s="335"/>
      <c r="F875" s="335" t="b">
        <v>0</v>
      </c>
      <c r="G875" s="332"/>
    </row>
    <row r="876">
      <c r="A876" s="332"/>
      <c r="B876" s="335"/>
      <c r="C876" s="335"/>
      <c r="D876" s="335"/>
      <c r="E876" s="335"/>
      <c r="F876" s="335" t="b">
        <v>0</v>
      </c>
      <c r="G876" s="332"/>
    </row>
    <row r="877">
      <c r="A877" s="332"/>
      <c r="B877" s="335"/>
      <c r="C877" s="335"/>
      <c r="D877" s="335"/>
      <c r="E877" s="335"/>
      <c r="F877" s="335" t="b">
        <v>0</v>
      </c>
      <c r="G877" s="332"/>
    </row>
    <row r="878">
      <c r="A878" s="332"/>
      <c r="B878" s="335"/>
      <c r="C878" s="335"/>
      <c r="D878" s="335"/>
      <c r="E878" s="335"/>
      <c r="F878" s="335" t="b">
        <v>0</v>
      </c>
      <c r="G878" s="332"/>
    </row>
    <row r="879">
      <c r="A879" s="332"/>
      <c r="B879" s="335"/>
      <c r="C879" s="335"/>
      <c r="D879" s="335"/>
      <c r="E879" s="335"/>
      <c r="F879" s="335" t="b">
        <v>0</v>
      </c>
      <c r="G879" s="332"/>
    </row>
    <row r="880">
      <c r="A880" s="332"/>
      <c r="B880" s="335"/>
      <c r="C880" s="335"/>
      <c r="D880" s="335"/>
      <c r="E880" s="335"/>
      <c r="F880" s="335" t="b">
        <v>0</v>
      </c>
      <c r="G880" s="332"/>
    </row>
    <row r="881">
      <c r="A881" s="332"/>
      <c r="B881" s="335"/>
      <c r="C881" s="335"/>
      <c r="D881" s="335"/>
      <c r="E881" s="335"/>
      <c r="F881" s="335" t="b">
        <v>0</v>
      </c>
      <c r="G881" s="332"/>
    </row>
    <row r="882">
      <c r="A882" s="332"/>
      <c r="B882" s="335"/>
      <c r="C882" s="335"/>
      <c r="D882" s="335"/>
      <c r="E882" s="335"/>
      <c r="F882" s="335" t="b">
        <v>0</v>
      </c>
      <c r="G882" s="332"/>
    </row>
    <row r="883">
      <c r="A883" s="332"/>
      <c r="B883" s="335"/>
      <c r="C883" s="335"/>
      <c r="D883" s="335"/>
      <c r="E883" s="335"/>
      <c r="F883" s="335" t="b">
        <v>0</v>
      </c>
      <c r="G883" s="332"/>
    </row>
    <row r="884">
      <c r="A884" s="332"/>
      <c r="B884" s="335"/>
      <c r="C884" s="335"/>
      <c r="D884" s="335"/>
      <c r="E884" s="335"/>
      <c r="F884" s="335" t="b">
        <v>0</v>
      </c>
      <c r="G884" s="332"/>
    </row>
    <row r="885">
      <c r="A885" s="332"/>
      <c r="B885" s="335"/>
      <c r="C885" s="335"/>
      <c r="D885" s="335"/>
      <c r="E885" s="335"/>
      <c r="F885" s="335" t="b">
        <v>0</v>
      </c>
      <c r="G885" s="332"/>
    </row>
    <row r="886">
      <c r="A886" s="332"/>
      <c r="B886" s="335"/>
      <c r="C886" s="335"/>
      <c r="D886" s="335"/>
      <c r="E886" s="335"/>
      <c r="F886" s="335" t="b">
        <v>0</v>
      </c>
      <c r="G886" s="332"/>
    </row>
    <row r="887">
      <c r="A887" s="332"/>
      <c r="B887" s="335"/>
      <c r="C887" s="335"/>
      <c r="D887" s="335"/>
      <c r="E887" s="335"/>
      <c r="F887" s="335" t="b">
        <v>0</v>
      </c>
      <c r="G887" s="332"/>
    </row>
    <row r="888">
      <c r="A888" s="332"/>
      <c r="B888" s="335"/>
      <c r="C888" s="335"/>
      <c r="D888" s="335"/>
      <c r="E888" s="335"/>
      <c r="F888" s="335" t="b">
        <v>0</v>
      </c>
      <c r="G888" s="332"/>
    </row>
    <row r="889">
      <c r="A889" s="332"/>
      <c r="B889" s="335"/>
      <c r="C889" s="335"/>
      <c r="D889" s="335"/>
      <c r="E889" s="335"/>
      <c r="F889" s="335" t="b">
        <v>0</v>
      </c>
      <c r="G889" s="332"/>
    </row>
    <row r="890">
      <c r="A890" s="332"/>
      <c r="B890" s="335"/>
      <c r="C890" s="335"/>
      <c r="D890" s="335"/>
      <c r="E890" s="335"/>
      <c r="F890" s="335" t="b">
        <v>0</v>
      </c>
      <c r="G890" s="332"/>
    </row>
    <row r="891">
      <c r="A891" s="332"/>
      <c r="B891" s="335"/>
      <c r="C891" s="335"/>
      <c r="D891" s="335"/>
      <c r="E891" s="335"/>
      <c r="F891" s="335" t="b">
        <v>0</v>
      </c>
      <c r="G891" s="332"/>
    </row>
    <row r="892">
      <c r="A892" s="332"/>
      <c r="B892" s="335"/>
      <c r="C892" s="335"/>
      <c r="D892" s="335"/>
      <c r="E892" s="335"/>
      <c r="F892" s="335" t="b">
        <v>0</v>
      </c>
      <c r="G892" s="332"/>
    </row>
    <row r="893">
      <c r="A893" s="332"/>
      <c r="B893" s="335"/>
      <c r="C893" s="335"/>
      <c r="D893" s="335"/>
      <c r="E893" s="335"/>
      <c r="F893" s="335" t="b">
        <v>0</v>
      </c>
      <c r="G893" s="332"/>
    </row>
    <row r="894">
      <c r="A894" s="332"/>
      <c r="B894" s="335"/>
      <c r="C894" s="335"/>
      <c r="D894" s="335"/>
      <c r="E894" s="335"/>
      <c r="F894" s="335" t="b">
        <v>0</v>
      </c>
      <c r="G894" s="332"/>
    </row>
    <row r="895">
      <c r="A895" s="332"/>
      <c r="B895" s="335"/>
      <c r="C895" s="335"/>
      <c r="D895" s="335"/>
      <c r="E895" s="335"/>
      <c r="F895" s="335" t="b">
        <v>0</v>
      </c>
      <c r="G895" s="332"/>
    </row>
    <row r="896">
      <c r="A896" s="332"/>
      <c r="B896" s="335"/>
      <c r="C896" s="335"/>
      <c r="D896" s="335"/>
      <c r="E896" s="335"/>
      <c r="F896" s="335" t="b">
        <v>0</v>
      </c>
      <c r="G896" s="332"/>
    </row>
    <row r="897">
      <c r="A897" s="332"/>
      <c r="B897" s="335"/>
      <c r="C897" s="335"/>
      <c r="D897" s="335"/>
      <c r="E897" s="335"/>
      <c r="F897" s="335" t="b">
        <v>0</v>
      </c>
      <c r="G897" s="332"/>
    </row>
    <row r="898">
      <c r="A898" s="332"/>
      <c r="B898" s="335"/>
      <c r="C898" s="335"/>
      <c r="D898" s="335"/>
      <c r="E898" s="335"/>
      <c r="F898" s="335" t="b">
        <v>0</v>
      </c>
      <c r="G898" s="332"/>
    </row>
    <row r="899">
      <c r="A899" s="332"/>
      <c r="B899" s="335"/>
      <c r="C899" s="335"/>
      <c r="D899" s="335"/>
      <c r="E899" s="335"/>
      <c r="F899" s="335" t="b">
        <v>0</v>
      </c>
      <c r="G899" s="332"/>
    </row>
    <row r="900">
      <c r="A900" s="332"/>
      <c r="B900" s="335"/>
      <c r="C900" s="335"/>
      <c r="D900" s="335"/>
      <c r="E900" s="335"/>
      <c r="F900" s="335" t="b">
        <v>0</v>
      </c>
      <c r="G900" s="332"/>
    </row>
    <row r="901">
      <c r="A901" s="332"/>
      <c r="B901" s="335"/>
      <c r="C901" s="335"/>
      <c r="D901" s="335"/>
      <c r="E901" s="335"/>
      <c r="F901" s="335" t="b">
        <v>0</v>
      </c>
      <c r="G901" s="332"/>
    </row>
    <row r="902">
      <c r="A902" s="332"/>
      <c r="B902" s="335"/>
      <c r="C902" s="335"/>
      <c r="D902" s="335"/>
      <c r="E902" s="335"/>
      <c r="F902" s="335" t="b">
        <v>0</v>
      </c>
      <c r="G902" s="332"/>
    </row>
    <row r="903">
      <c r="A903" s="332"/>
      <c r="B903" s="335"/>
      <c r="C903" s="335"/>
      <c r="D903" s="335"/>
      <c r="E903" s="335"/>
      <c r="F903" s="335" t="b">
        <v>0</v>
      </c>
      <c r="G903" s="332"/>
    </row>
    <row r="904">
      <c r="A904" s="332"/>
      <c r="B904" s="335"/>
      <c r="C904" s="335"/>
      <c r="D904" s="335"/>
      <c r="E904" s="335"/>
      <c r="F904" s="335" t="b">
        <v>0</v>
      </c>
      <c r="G904" s="332"/>
    </row>
    <row r="905">
      <c r="A905" s="332"/>
      <c r="B905" s="335"/>
      <c r="C905" s="335"/>
      <c r="D905" s="335"/>
      <c r="E905" s="335"/>
      <c r="F905" s="335" t="b">
        <v>0</v>
      </c>
      <c r="G905" s="332"/>
    </row>
    <row r="906">
      <c r="A906" s="332"/>
      <c r="B906" s="335"/>
      <c r="C906" s="335"/>
      <c r="D906" s="335"/>
      <c r="E906" s="335"/>
      <c r="F906" s="335" t="b">
        <v>0</v>
      </c>
      <c r="G906" s="332"/>
    </row>
    <row r="907">
      <c r="A907" s="332"/>
      <c r="B907" s="335"/>
      <c r="C907" s="335"/>
      <c r="D907" s="335"/>
      <c r="E907" s="335"/>
      <c r="F907" s="335" t="b">
        <v>0</v>
      </c>
      <c r="G907" s="332"/>
    </row>
    <row r="908">
      <c r="A908" s="332"/>
      <c r="B908" s="335"/>
      <c r="C908" s="335"/>
      <c r="D908" s="335"/>
      <c r="E908" s="335"/>
      <c r="F908" s="335" t="b">
        <v>0</v>
      </c>
      <c r="G908" s="332"/>
    </row>
    <row r="909">
      <c r="A909" s="332"/>
      <c r="B909" s="335"/>
      <c r="C909" s="335"/>
      <c r="D909" s="335"/>
      <c r="E909" s="335"/>
      <c r="F909" s="335" t="b">
        <v>0</v>
      </c>
      <c r="G909" s="332"/>
    </row>
    <row r="910">
      <c r="A910" s="332"/>
      <c r="B910" s="335"/>
      <c r="C910" s="335"/>
      <c r="D910" s="335"/>
      <c r="E910" s="335"/>
      <c r="F910" s="335" t="b">
        <v>0</v>
      </c>
      <c r="G910" s="332"/>
    </row>
    <row r="911">
      <c r="A911" s="332"/>
      <c r="B911" s="335"/>
      <c r="C911" s="335"/>
      <c r="D911" s="335"/>
      <c r="E911" s="335"/>
      <c r="F911" s="335" t="b">
        <v>0</v>
      </c>
      <c r="G911" s="332"/>
    </row>
    <row r="912">
      <c r="A912" s="332"/>
      <c r="B912" s="335"/>
      <c r="C912" s="335"/>
      <c r="D912" s="335"/>
      <c r="E912" s="335"/>
      <c r="F912" s="335" t="b">
        <v>0</v>
      </c>
      <c r="G912" s="332"/>
    </row>
    <row r="913">
      <c r="A913" s="332"/>
      <c r="B913" s="335"/>
      <c r="C913" s="335"/>
      <c r="D913" s="335"/>
      <c r="E913" s="335"/>
      <c r="F913" s="335" t="b">
        <v>0</v>
      </c>
      <c r="G913" s="332"/>
    </row>
    <row r="914">
      <c r="A914" s="332"/>
      <c r="B914" s="335"/>
      <c r="C914" s="335"/>
      <c r="D914" s="335"/>
      <c r="E914" s="335"/>
      <c r="F914" s="335" t="b">
        <v>0</v>
      </c>
      <c r="G914" s="332"/>
    </row>
    <row r="915">
      <c r="A915" s="332"/>
      <c r="B915" s="335"/>
      <c r="C915" s="335"/>
      <c r="D915" s="335"/>
      <c r="E915" s="335"/>
      <c r="F915" s="335" t="b">
        <v>0</v>
      </c>
      <c r="G915" s="332"/>
    </row>
    <row r="916">
      <c r="A916" s="332"/>
      <c r="B916" s="335"/>
      <c r="C916" s="335"/>
      <c r="D916" s="335"/>
      <c r="E916" s="335"/>
      <c r="F916" s="335" t="b">
        <v>0</v>
      </c>
      <c r="G916" s="332"/>
    </row>
    <row r="917">
      <c r="A917" s="332"/>
      <c r="B917" s="335"/>
      <c r="C917" s="335"/>
      <c r="D917" s="335"/>
      <c r="E917" s="335"/>
      <c r="F917" s="335" t="b">
        <v>0</v>
      </c>
      <c r="G917" s="332"/>
    </row>
    <row r="918">
      <c r="A918" s="332"/>
      <c r="B918" s="335"/>
      <c r="C918" s="335"/>
      <c r="D918" s="335"/>
      <c r="E918" s="335"/>
      <c r="F918" s="335" t="b">
        <v>0</v>
      </c>
      <c r="G918" s="332"/>
    </row>
    <row r="919">
      <c r="A919" s="332"/>
      <c r="B919" s="335"/>
      <c r="C919" s="335"/>
      <c r="D919" s="335"/>
      <c r="E919" s="335"/>
      <c r="F919" s="335" t="b">
        <v>0</v>
      </c>
      <c r="G919" s="332"/>
    </row>
    <row r="920">
      <c r="A920" s="332"/>
      <c r="B920" s="335"/>
      <c r="C920" s="335"/>
      <c r="D920" s="335"/>
      <c r="E920" s="335"/>
      <c r="F920" s="335" t="b">
        <v>0</v>
      </c>
      <c r="G920" s="332"/>
    </row>
    <row r="921">
      <c r="A921" s="332"/>
      <c r="B921" s="335"/>
      <c r="C921" s="335"/>
      <c r="D921" s="335"/>
      <c r="E921" s="335"/>
      <c r="F921" s="335" t="b">
        <v>0</v>
      </c>
      <c r="G921" s="332"/>
    </row>
    <row r="922">
      <c r="A922" s="332"/>
      <c r="B922" s="335"/>
      <c r="C922" s="335"/>
      <c r="D922" s="335"/>
      <c r="E922" s="335"/>
      <c r="F922" s="335" t="b">
        <v>0</v>
      </c>
      <c r="G922" s="332"/>
    </row>
    <row r="923">
      <c r="A923" s="332"/>
      <c r="B923" s="335"/>
      <c r="C923" s="335"/>
      <c r="D923" s="335"/>
      <c r="E923" s="335"/>
      <c r="F923" s="335" t="b">
        <v>0</v>
      </c>
      <c r="G923" s="332"/>
    </row>
    <row r="924">
      <c r="A924" s="332"/>
      <c r="B924" s="335"/>
      <c r="C924" s="335"/>
      <c r="D924" s="335"/>
      <c r="E924" s="335"/>
      <c r="F924" s="335" t="b">
        <v>0</v>
      </c>
      <c r="G924" s="332"/>
    </row>
    <row r="925">
      <c r="A925" s="332"/>
      <c r="B925" s="335"/>
      <c r="C925" s="335"/>
      <c r="D925" s="335"/>
      <c r="E925" s="335"/>
      <c r="F925" s="335" t="b">
        <v>0</v>
      </c>
      <c r="G925" s="332"/>
    </row>
    <row r="926">
      <c r="A926" s="332"/>
      <c r="B926" s="335"/>
      <c r="C926" s="335"/>
      <c r="D926" s="335"/>
      <c r="E926" s="335"/>
      <c r="F926" s="335" t="b">
        <v>0</v>
      </c>
      <c r="G926" s="332"/>
    </row>
    <row r="927">
      <c r="A927" s="332"/>
      <c r="B927" s="335"/>
      <c r="C927" s="335"/>
      <c r="D927" s="335"/>
      <c r="E927" s="335"/>
      <c r="F927" s="335" t="b">
        <v>0</v>
      </c>
      <c r="G927" s="332"/>
    </row>
    <row r="928">
      <c r="A928" s="332"/>
      <c r="B928" s="335"/>
      <c r="C928" s="335"/>
      <c r="D928" s="335"/>
      <c r="E928" s="335"/>
      <c r="F928" s="335" t="b">
        <v>0</v>
      </c>
      <c r="G928" s="332"/>
    </row>
    <row r="929">
      <c r="A929" s="332"/>
      <c r="B929" s="335"/>
      <c r="C929" s="335"/>
      <c r="D929" s="335"/>
      <c r="E929" s="335"/>
      <c r="F929" s="335" t="b">
        <v>0</v>
      </c>
      <c r="G929" s="332"/>
    </row>
    <row r="930">
      <c r="A930" s="332"/>
      <c r="B930" s="335"/>
      <c r="C930" s="335"/>
      <c r="D930" s="335"/>
      <c r="E930" s="335"/>
      <c r="F930" s="335" t="b">
        <v>0</v>
      </c>
      <c r="G930" s="332"/>
    </row>
    <row r="931">
      <c r="A931" s="332"/>
      <c r="B931" s="335"/>
      <c r="C931" s="335"/>
      <c r="D931" s="335"/>
      <c r="E931" s="335"/>
      <c r="F931" s="335" t="b">
        <v>0</v>
      </c>
      <c r="G931" s="332"/>
    </row>
    <row r="932">
      <c r="A932" s="332"/>
      <c r="B932" s="335"/>
      <c r="C932" s="335"/>
      <c r="D932" s="335"/>
      <c r="E932" s="335"/>
      <c r="F932" s="335" t="b">
        <v>0</v>
      </c>
      <c r="G932" s="332"/>
    </row>
    <row r="933">
      <c r="A933" s="332"/>
      <c r="B933" s="335"/>
      <c r="C933" s="335"/>
      <c r="D933" s="335"/>
      <c r="E933" s="335"/>
      <c r="F933" s="335" t="b">
        <v>0</v>
      </c>
      <c r="G933" s="332"/>
    </row>
    <row r="934">
      <c r="A934" s="332"/>
      <c r="B934" s="335"/>
      <c r="C934" s="335"/>
      <c r="D934" s="335"/>
      <c r="E934" s="335"/>
      <c r="F934" s="335" t="b">
        <v>0</v>
      </c>
      <c r="G934" s="332"/>
    </row>
    <row r="935">
      <c r="A935" s="332"/>
      <c r="B935" s="335"/>
      <c r="C935" s="335"/>
      <c r="D935" s="335"/>
      <c r="E935" s="335"/>
      <c r="F935" s="335" t="b">
        <v>0</v>
      </c>
      <c r="G935" s="332"/>
    </row>
    <row r="936">
      <c r="A936" s="332"/>
      <c r="B936" s="335"/>
      <c r="C936" s="335"/>
      <c r="D936" s="335"/>
      <c r="E936" s="335"/>
      <c r="F936" s="335" t="b">
        <v>0</v>
      </c>
      <c r="G936" s="332"/>
    </row>
    <row r="937">
      <c r="A937" s="332"/>
      <c r="B937" s="335"/>
      <c r="C937" s="335"/>
      <c r="D937" s="335"/>
      <c r="E937" s="335"/>
      <c r="F937" s="335" t="b">
        <v>0</v>
      </c>
      <c r="G937" s="332"/>
    </row>
    <row r="938">
      <c r="A938" s="332"/>
      <c r="B938" s="335"/>
      <c r="C938" s="335"/>
      <c r="D938" s="335"/>
      <c r="E938" s="335"/>
      <c r="F938" s="335" t="b">
        <v>0</v>
      </c>
      <c r="G938" s="332"/>
    </row>
    <row r="939">
      <c r="A939" s="332"/>
      <c r="B939" s="335"/>
      <c r="C939" s="335"/>
      <c r="D939" s="335"/>
      <c r="E939" s="335"/>
      <c r="F939" s="335" t="b">
        <v>0</v>
      </c>
      <c r="G939" s="332"/>
    </row>
    <row r="940">
      <c r="A940" s="332"/>
      <c r="B940" s="335"/>
      <c r="C940" s="335"/>
      <c r="D940" s="335"/>
      <c r="E940" s="335"/>
      <c r="F940" s="335" t="b">
        <v>0</v>
      </c>
      <c r="G940" s="332"/>
    </row>
    <row r="941">
      <c r="A941" s="332"/>
      <c r="B941" s="335"/>
      <c r="C941" s="335"/>
      <c r="D941" s="335"/>
      <c r="E941" s="335"/>
      <c r="F941" s="335" t="b">
        <v>0</v>
      </c>
      <c r="G941" s="332"/>
    </row>
    <row r="942">
      <c r="A942" s="332"/>
      <c r="B942" s="335"/>
      <c r="C942" s="335"/>
      <c r="D942" s="335"/>
      <c r="E942" s="335"/>
      <c r="F942" s="335" t="b">
        <v>0</v>
      </c>
      <c r="G942" s="332"/>
    </row>
    <row r="943">
      <c r="A943" s="332"/>
      <c r="B943" s="335"/>
      <c r="C943" s="335"/>
      <c r="D943" s="335"/>
      <c r="E943" s="335"/>
      <c r="F943" s="335" t="b">
        <v>0</v>
      </c>
      <c r="G943" s="332"/>
    </row>
    <row r="944">
      <c r="A944" s="332"/>
      <c r="B944" s="335"/>
      <c r="C944" s="335"/>
      <c r="D944" s="335"/>
      <c r="E944" s="335"/>
      <c r="F944" s="335" t="b">
        <v>0</v>
      </c>
      <c r="G944" s="332"/>
    </row>
    <row r="945">
      <c r="A945" s="332"/>
      <c r="B945" s="335"/>
      <c r="C945" s="335"/>
      <c r="D945" s="335"/>
      <c r="E945" s="335"/>
      <c r="F945" s="335" t="b">
        <v>0</v>
      </c>
      <c r="G945" s="332"/>
    </row>
    <row r="946">
      <c r="A946" s="332"/>
      <c r="B946" s="335"/>
      <c r="C946" s="335"/>
      <c r="D946" s="335"/>
      <c r="E946" s="335"/>
      <c r="F946" s="335" t="b">
        <v>0</v>
      </c>
      <c r="G946" s="332"/>
    </row>
    <row r="947">
      <c r="A947" s="332"/>
      <c r="B947" s="335"/>
      <c r="C947" s="335"/>
      <c r="D947" s="335"/>
      <c r="E947" s="335"/>
      <c r="F947" s="335" t="b">
        <v>0</v>
      </c>
      <c r="G947" s="332"/>
    </row>
    <row r="948">
      <c r="A948" s="332"/>
      <c r="B948" s="335"/>
      <c r="C948" s="335"/>
      <c r="D948" s="335"/>
      <c r="E948" s="335"/>
      <c r="F948" s="335" t="b">
        <v>0</v>
      </c>
      <c r="G948" s="332"/>
    </row>
    <row r="949">
      <c r="A949" s="332"/>
      <c r="B949" s="335"/>
      <c r="C949" s="335"/>
      <c r="D949" s="335"/>
      <c r="E949" s="335"/>
      <c r="F949" s="335" t="b">
        <v>0</v>
      </c>
      <c r="G949" s="332"/>
    </row>
    <row r="950">
      <c r="A950" s="332"/>
      <c r="B950" s="335"/>
      <c r="C950" s="335"/>
      <c r="D950" s="335"/>
      <c r="E950" s="335"/>
      <c r="F950" s="335" t="b">
        <v>0</v>
      </c>
      <c r="G950" s="332"/>
    </row>
    <row r="951">
      <c r="A951" s="332"/>
      <c r="B951" s="335"/>
      <c r="C951" s="335"/>
      <c r="D951" s="335"/>
      <c r="E951" s="335"/>
      <c r="F951" s="335" t="b">
        <v>0</v>
      </c>
      <c r="G951" s="332"/>
    </row>
    <row r="952">
      <c r="A952" s="332"/>
      <c r="B952" s="335"/>
      <c r="C952" s="335"/>
      <c r="D952" s="335"/>
      <c r="E952" s="335"/>
      <c r="F952" s="335" t="b">
        <v>0</v>
      </c>
      <c r="G952" s="332"/>
    </row>
    <row r="953">
      <c r="A953" s="332"/>
      <c r="B953" s="335"/>
      <c r="C953" s="335"/>
      <c r="D953" s="335"/>
      <c r="E953" s="335"/>
      <c r="F953" s="335" t="b">
        <v>0</v>
      </c>
      <c r="G953" s="332"/>
    </row>
    <row r="954">
      <c r="A954" s="332"/>
      <c r="B954" s="335"/>
      <c r="C954" s="335"/>
      <c r="D954" s="335"/>
      <c r="E954" s="335"/>
      <c r="F954" s="335" t="b">
        <v>0</v>
      </c>
      <c r="G954" s="332"/>
    </row>
    <row r="955">
      <c r="A955" s="332"/>
      <c r="B955" s="335"/>
      <c r="C955" s="335"/>
      <c r="D955" s="335"/>
      <c r="E955" s="335"/>
      <c r="F955" s="335" t="b">
        <v>0</v>
      </c>
      <c r="G955" s="332"/>
    </row>
    <row r="956">
      <c r="A956" s="332"/>
      <c r="B956" s="335"/>
      <c r="C956" s="335"/>
      <c r="D956" s="335"/>
      <c r="E956" s="335"/>
      <c r="F956" s="335" t="b">
        <v>0</v>
      </c>
      <c r="G956" s="332"/>
    </row>
    <row r="957">
      <c r="A957" s="332"/>
      <c r="B957" s="335"/>
      <c r="C957" s="335"/>
      <c r="D957" s="335"/>
      <c r="E957" s="335"/>
      <c r="F957" s="335" t="b">
        <v>0</v>
      </c>
      <c r="G957" s="332"/>
    </row>
    <row r="958">
      <c r="A958" s="332"/>
      <c r="B958" s="335"/>
      <c r="C958" s="335"/>
      <c r="D958" s="335"/>
      <c r="E958" s="335"/>
      <c r="F958" s="335" t="b">
        <v>0</v>
      </c>
      <c r="G958" s="332"/>
    </row>
    <row r="959">
      <c r="A959" s="332"/>
      <c r="B959" s="335"/>
      <c r="C959" s="335"/>
      <c r="D959" s="335"/>
      <c r="E959" s="335"/>
      <c r="F959" s="335" t="b">
        <v>0</v>
      </c>
      <c r="G959" s="332"/>
    </row>
    <row r="960">
      <c r="A960" s="332"/>
      <c r="B960" s="335"/>
      <c r="C960" s="335"/>
      <c r="D960" s="335"/>
      <c r="E960" s="335"/>
      <c r="F960" s="335" t="b">
        <v>0</v>
      </c>
      <c r="G960" s="332"/>
    </row>
    <row r="961">
      <c r="A961" s="332"/>
      <c r="B961" s="335"/>
      <c r="C961" s="335"/>
      <c r="D961" s="335"/>
      <c r="E961" s="335"/>
      <c r="F961" s="335" t="b">
        <v>0</v>
      </c>
      <c r="G961" s="332"/>
    </row>
    <row r="962">
      <c r="A962" s="332"/>
      <c r="B962" s="335"/>
      <c r="C962" s="335"/>
      <c r="D962" s="335"/>
      <c r="E962" s="335"/>
      <c r="F962" s="335" t="b">
        <v>0</v>
      </c>
      <c r="G962" s="332"/>
    </row>
    <row r="963">
      <c r="A963" s="332"/>
      <c r="B963" s="335"/>
      <c r="C963" s="335"/>
      <c r="D963" s="335"/>
      <c r="E963" s="335"/>
      <c r="F963" s="335" t="b">
        <v>0</v>
      </c>
      <c r="G963" s="332"/>
    </row>
    <row r="964">
      <c r="A964" s="332"/>
      <c r="B964" s="335"/>
      <c r="C964" s="335"/>
      <c r="D964" s="335"/>
      <c r="E964" s="335"/>
      <c r="F964" s="335" t="b">
        <v>0</v>
      </c>
      <c r="G964" s="332"/>
    </row>
    <row r="965">
      <c r="A965" s="332"/>
      <c r="B965" s="335"/>
      <c r="C965" s="335"/>
      <c r="D965" s="335"/>
      <c r="E965" s="335"/>
      <c r="F965" s="335" t="b">
        <v>0</v>
      </c>
      <c r="G965" s="332"/>
    </row>
    <row r="966">
      <c r="A966" s="332"/>
      <c r="B966" s="335"/>
      <c r="C966" s="335"/>
      <c r="D966" s="335"/>
      <c r="E966" s="335"/>
      <c r="F966" s="335" t="b">
        <v>0</v>
      </c>
      <c r="G966" s="332"/>
    </row>
    <row r="967">
      <c r="A967" s="332"/>
      <c r="B967" s="335"/>
      <c r="C967" s="335"/>
      <c r="D967" s="335"/>
      <c r="E967" s="335"/>
      <c r="F967" s="335" t="b">
        <v>0</v>
      </c>
      <c r="G967" s="332"/>
    </row>
    <row r="968">
      <c r="A968" s="332"/>
      <c r="B968" s="335"/>
      <c r="C968" s="335"/>
      <c r="D968" s="335"/>
      <c r="E968" s="335"/>
      <c r="F968" s="335" t="b">
        <v>0</v>
      </c>
      <c r="G968" s="332"/>
    </row>
    <row r="969">
      <c r="A969" s="332"/>
      <c r="B969" s="335"/>
      <c r="C969" s="335"/>
      <c r="D969" s="335"/>
      <c r="E969" s="335"/>
      <c r="F969" s="335" t="b">
        <v>0</v>
      </c>
      <c r="G969" s="332"/>
    </row>
    <row r="970">
      <c r="A970" s="332"/>
      <c r="B970" s="335"/>
      <c r="C970" s="335"/>
      <c r="D970" s="335"/>
      <c r="E970" s="335"/>
      <c r="F970" s="335" t="b">
        <v>0</v>
      </c>
      <c r="G970" s="332"/>
    </row>
    <row r="971">
      <c r="A971" s="332"/>
      <c r="B971" s="335"/>
      <c r="C971" s="335"/>
      <c r="D971" s="335"/>
      <c r="E971" s="335"/>
      <c r="F971" s="335" t="b">
        <v>0</v>
      </c>
      <c r="G971" s="332"/>
    </row>
    <row r="972">
      <c r="A972" s="332"/>
      <c r="B972" s="335"/>
      <c r="C972" s="335"/>
      <c r="D972" s="335"/>
      <c r="E972" s="335"/>
      <c r="F972" s="335" t="b">
        <v>0</v>
      </c>
      <c r="G972" s="332"/>
    </row>
    <row r="973">
      <c r="A973" s="332"/>
      <c r="B973" s="335"/>
      <c r="C973" s="335"/>
      <c r="D973" s="335"/>
      <c r="E973" s="335"/>
      <c r="F973" s="335" t="b">
        <v>0</v>
      </c>
      <c r="G973" s="332"/>
    </row>
    <row r="974">
      <c r="A974" s="332"/>
      <c r="B974" s="335"/>
      <c r="C974" s="335"/>
      <c r="D974" s="335"/>
      <c r="E974" s="335"/>
      <c r="F974" s="335" t="b">
        <v>0</v>
      </c>
      <c r="G974" s="332"/>
    </row>
    <row r="975">
      <c r="A975" s="332"/>
      <c r="B975" s="335"/>
      <c r="C975" s="335"/>
      <c r="D975" s="335"/>
      <c r="E975" s="335"/>
      <c r="F975" s="335" t="b">
        <v>0</v>
      </c>
      <c r="G975" s="332"/>
    </row>
    <row r="976">
      <c r="A976" s="332"/>
      <c r="B976" s="335"/>
      <c r="C976" s="335"/>
      <c r="D976" s="335"/>
      <c r="E976" s="335"/>
      <c r="F976" s="335" t="b">
        <v>0</v>
      </c>
      <c r="G976" s="332"/>
    </row>
    <row r="977">
      <c r="A977" s="332"/>
      <c r="B977" s="335"/>
      <c r="C977" s="335"/>
      <c r="D977" s="335"/>
      <c r="E977" s="335"/>
      <c r="F977" s="335" t="b">
        <v>0</v>
      </c>
      <c r="G977" s="332"/>
    </row>
    <row r="978">
      <c r="A978" s="332"/>
      <c r="B978" s="335"/>
      <c r="C978" s="335"/>
      <c r="D978" s="335"/>
      <c r="E978" s="335"/>
      <c r="F978" s="335" t="b">
        <v>0</v>
      </c>
      <c r="G978" s="332"/>
    </row>
    <row r="979">
      <c r="A979" s="332"/>
      <c r="B979" s="335"/>
      <c r="C979" s="335"/>
      <c r="D979" s="335"/>
      <c r="E979" s="335"/>
      <c r="F979" s="335" t="b">
        <v>0</v>
      </c>
      <c r="G979" s="332"/>
    </row>
    <row r="980">
      <c r="A980" s="332"/>
      <c r="B980" s="335"/>
      <c r="C980" s="335"/>
      <c r="D980" s="335"/>
      <c r="E980" s="335"/>
      <c r="F980" s="335" t="b">
        <v>0</v>
      </c>
      <c r="G980" s="332"/>
    </row>
    <row r="981">
      <c r="A981" s="332"/>
      <c r="B981" s="335"/>
      <c r="C981" s="335"/>
      <c r="D981" s="335"/>
      <c r="E981" s="335"/>
      <c r="F981" s="335" t="b">
        <v>0</v>
      </c>
      <c r="G981" s="332"/>
    </row>
    <row r="982">
      <c r="A982" s="332"/>
      <c r="B982" s="335"/>
      <c r="C982" s="335"/>
      <c r="D982" s="335"/>
      <c r="E982" s="335"/>
      <c r="F982" s="335" t="b">
        <v>0</v>
      </c>
      <c r="G982" s="332"/>
    </row>
    <row r="983">
      <c r="A983" s="332"/>
      <c r="B983" s="335"/>
      <c r="C983" s="335"/>
      <c r="D983" s="335"/>
      <c r="E983" s="335"/>
      <c r="F983" s="335" t="b">
        <v>0</v>
      </c>
      <c r="G983" s="332"/>
    </row>
    <row r="984">
      <c r="A984" s="332"/>
      <c r="B984" s="335"/>
      <c r="C984" s="335"/>
      <c r="D984" s="335"/>
      <c r="E984" s="335"/>
      <c r="F984" s="335" t="b">
        <v>0</v>
      </c>
      <c r="G984" s="332"/>
    </row>
    <row r="985">
      <c r="A985" s="332"/>
      <c r="B985" s="335"/>
      <c r="C985" s="335"/>
      <c r="D985" s="335"/>
      <c r="E985" s="335"/>
      <c r="F985" s="335" t="b">
        <v>0</v>
      </c>
      <c r="G985" s="332"/>
    </row>
    <row r="986">
      <c r="A986" s="332"/>
      <c r="B986" s="335"/>
      <c r="C986" s="335"/>
      <c r="D986" s="335"/>
      <c r="E986" s="335"/>
      <c r="F986" s="335" t="b">
        <v>0</v>
      </c>
      <c r="G986" s="332"/>
    </row>
    <row r="987">
      <c r="A987" s="332"/>
      <c r="B987" s="335"/>
      <c r="C987" s="335"/>
      <c r="D987" s="335"/>
      <c r="E987" s="335"/>
      <c r="F987" s="335" t="b">
        <v>0</v>
      </c>
      <c r="G987" s="332"/>
    </row>
    <row r="988">
      <c r="A988" s="332"/>
      <c r="B988" s="335"/>
      <c r="C988" s="335"/>
      <c r="D988" s="335"/>
      <c r="E988" s="335"/>
      <c r="F988" s="335" t="b">
        <v>0</v>
      </c>
      <c r="G988" s="332"/>
    </row>
    <row r="989">
      <c r="A989" s="332"/>
      <c r="B989" s="335"/>
      <c r="C989" s="335"/>
      <c r="D989" s="335"/>
      <c r="E989" s="335"/>
      <c r="F989" s="335" t="b">
        <v>0</v>
      </c>
      <c r="G989" s="332"/>
    </row>
    <row r="990">
      <c r="A990" s="332"/>
      <c r="B990" s="335"/>
      <c r="C990" s="335"/>
      <c r="D990" s="335"/>
      <c r="E990" s="335"/>
      <c r="F990" s="335" t="b">
        <v>0</v>
      </c>
      <c r="G990" s="332"/>
    </row>
    <row r="991">
      <c r="A991" s="332"/>
      <c r="B991" s="335"/>
      <c r="C991" s="335"/>
      <c r="D991" s="335"/>
      <c r="E991" s="335"/>
      <c r="F991" s="335" t="b">
        <v>0</v>
      </c>
      <c r="G991" s="332"/>
    </row>
    <row r="992">
      <c r="A992" s="332"/>
      <c r="B992" s="335"/>
      <c r="C992" s="335"/>
      <c r="D992" s="335"/>
      <c r="E992" s="335"/>
      <c r="F992" s="335" t="b">
        <v>0</v>
      </c>
      <c r="G992" s="332"/>
    </row>
    <row r="993">
      <c r="A993" s="332"/>
      <c r="B993" s="335"/>
      <c r="C993" s="335"/>
      <c r="D993" s="335"/>
      <c r="E993" s="335"/>
      <c r="F993" s="335" t="b">
        <v>0</v>
      </c>
      <c r="G993" s="332"/>
    </row>
    <row r="994">
      <c r="A994" s="332"/>
      <c r="B994" s="335"/>
      <c r="C994" s="335"/>
      <c r="D994" s="335"/>
      <c r="E994" s="335"/>
      <c r="F994" s="335" t="b">
        <v>0</v>
      </c>
      <c r="G994" s="332"/>
    </row>
    <row r="995">
      <c r="A995" s="332"/>
      <c r="B995" s="335"/>
      <c r="C995" s="335"/>
      <c r="D995" s="335"/>
      <c r="E995" s="335"/>
      <c r="F995" s="335" t="b">
        <v>0</v>
      </c>
      <c r="G995" s="332"/>
    </row>
    <row r="996">
      <c r="A996" s="332"/>
      <c r="B996" s="335"/>
      <c r="C996" s="335"/>
      <c r="D996" s="335"/>
      <c r="E996" s="335"/>
      <c r="F996" s="335" t="b">
        <v>0</v>
      </c>
      <c r="G996" s="332"/>
    </row>
    <row r="997">
      <c r="A997" s="332"/>
      <c r="B997" s="335"/>
      <c r="C997" s="335"/>
      <c r="D997" s="335"/>
      <c r="E997" s="335"/>
      <c r="F997" s="335" t="b">
        <v>0</v>
      </c>
      <c r="G997" s="332"/>
    </row>
    <row r="998">
      <c r="A998" s="332"/>
      <c r="B998" s="335"/>
      <c r="C998" s="335"/>
      <c r="D998" s="335"/>
      <c r="E998" s="335"/>
      <c r="F998" s="335" t="b">
        <v>0</v>
      </c>
      <c r="G998" s="332"/>
    </row>
    <row r="999">
      <c r="A999" s="332"/>
      <c r="B999" s="335"/>
      <c r="C999" s="335"/>
      <c r="D999" s="335"/>
      <c r="E999" s="335"/>
      <c r="F999" s="335" t="b">
        <v>0</v>
      </c>
      <c r="G999" s="332"/>
    </row>
    <row r="1000">
      <c r="A1000" s="332"/>
      <c r="B1000" s="335"/>
      <c r="C1000" s="335"/>
      <c r="D1000" s="335"/>
      <c r="E1000" s="335"/>
      <c r="F1000" s="335" t="b">
        <v>0</v>
      </c>
      <c r="G1000" s="33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47.5"/>
    <col customWidth="1" min="3" max="3" width="8.25"/>
    <col customWidth="1" min="4" max="4" width="9.63"/>
    <col customWidth="1" min="5" max="5" width="7.38"/>
    <col customWidth="1" min="6" max="6" width="5.88"/>
    <col customWidth="1" min="7" max="7" width="22.75"/>
    <col customWidth="1" min="8" max="8" width="67.88"/>
    <col customWidth="1" min="9" max="9" width="9.88"/>
    <col customWidth="1" min="10" max="12" width="4.13"/>
  </cols>
  <sheetData>
    <row r="1" ht="24.0" customHeight="1">
      <c r="A1" s="337"/>
      <c r="K1" s="337"/>
      <c r="L1" s="337"/>
    </row>
    <row r="2">
      <c r="A2" s="338"/>
      <c r="B2" s="339" t="s">
        <v>1</v>
      </c>
      <c r="C2" s="340" t="s">
        <v>2</v>
      </c>
      <c r="D2" s="340" t="s">
        <v>3</v>
      </c>
      <c r="E2" s="341" t="s">
        <v>4</v>
      </c>
      <c r="F2" s="340" t="s">
        <v>5</v>
      </c>
      <c r="G2" s="341" t="s">
        <v>6</v>
      </c>
      <c r="H2" s="341" t="s">
        <v>7</v>
      </c>
      <c r="I2" s="341" t="s">
        <v>8</v>
      </c>
      <c r="J2" s="342"/>
      <c r="K2" s="342"/>
      <c r="L2" s="342"/>
    </row>
    <row r="3">
      <c r="A3" s="343"/>
      <c r="B3" s="61"/>
      <c r="C3" s="344"/>
      <c r="D3" s="344"/>
      <c r="E3" s="248"/>
      <c r="F3" s="345"/>
      <c r="G3" s="248"/>
      <c r="H3" s="61"/>
      <c r="I3" s="248" t="s">
        <v>13</v>
      </c>
      <c r="J3" s="346"/>
      <c r="K3" s="346"/>
      <c r="L3" s="346"/>
    </row>
    <row r="4">
      <c r="A4" s="102"/>
      <c r="B4" s="11"/>
      <c r="C4" s="8"/>
      <c r="D4" s="8"/>
      <c r="E4" s="9"/>
      <c r="F4" s="10"/>
      <c r="G4" s="9"/>
      <c r="H4" s="11"/>
      <c r="I4" s="9" t="s">
        <v>13</v>
      </c>
      <c r="J4" s="347"/>
      <c r="K4" s="347"/>
      <c r="L4" s="347"/>
    </row>
    <row r="5">
      <c r="A5" s="102"/>
      <c r="B5" s="11"/>
      <c r="C5" s="8"/>
      <c r="D5" s="8"/>
      <c r="E5" s="9"/>
      <c r="F5" s="10"/>
      <c r="G5" s="9"/>
      <c r="H5" s="11"/>
      <c r="I5" s="9" t="s">
        <v>13</v>
      </c>
      <c r="J5" s="347"/>
      <c r="K5" s="347"/>
      <c r="L5" s="347"/>
    </row>
    <row r="6">
      <c r="A6" s="102"/>
      <c r="B6" s="11"/>
      <c r="C6" s="8"/>
      <c r="D6" s="8"/>
      <c r="E6" s="9"/>
      <c r="F6" s="10"/>
      <c r="G6" s="9"/>
      <c r="H6" s="11"/>
      <c r="I6" s="9" t="s">
        <v>13</v>
      </c>
      <c r="J6" s="347"/>
      <c r="K6" s="347"/>
      <c r="L6" s="347"/>
    </row>
    <row r="7">
      <c r="A7" s="102"/>
      <c r="B7" s="11"/>
      <c r="C7" s="8"/>
      <c r="D7" s="8"/>
      <c r="E7" s="9"/>
      <c r="F7" s="10"/>
      <c r="G7" s="9"/>
      <c r="H7" s="11"/>
      <c r="I7" s="9" t="s">
        <v>13</v>
      </c>
      <c r="J7" s="347"/>
      <c r="K7" s="347"/>
      <c r="L7" s="347"/>
    </row>
    <row r="8">
      <c r="A8" s="102"/>
      <c r="B8" s="11"/>
      <c r="C8" s="8"/>
      <c r="D8" s="8"/>
      <c r="E8" s="9"/>
      <c r="F8" s="10"/>
      <c r="G8" s="9"/>
      <c r="H8" s="11"/>
      <c r="I8" s="9" t="s">
        <v>13</v>
      </c>
      <c r="J8" s="347"/>
      <c r="K8" s="347"/>
      <c r="L8" s="347"/>
    </row>
    <row r="9">
      <c r="A9" s="102"/>
      <c r="B9" s="11"/>
      <c r="C9" s="8"/>
      <c r="D9" s="8"/>
      <c r="E9" s="9"/>
      <c r="F9" s="10"/>
      <c r="G9" s="9"/>
      <c r="H9" s="11"/>
      <c r="I9" s="9" t="s">
        <v>13</v>
      </c>
      <c r="J9" s="347"/>
      <c r="K9" s="347"/>
      <c r="L9" s="347"/>
    </row>
    <row r="10">
      <c r="A10" s="102"/>
      <c r="B10" s="11"/>
      <c r="C10" s="8"/>
      <c r="D10" s="8"/>
      <c r="E10" s="9"/>
      <c r="F10" s="10"/>
      <c r="G10" s="9"/>
      <c r="H10" s="11"/>
      <c r="I10" s="9" t="s">
        <v>13</v>
      </c>
      <c r="J10" s="347"/>
      <c r="K10" s="347"/>
      <c r="L10" s="347"/>
    </row>
    <row r="11">
      <c r="A11" s="102"/>
      <c r="B11" s="11"/>
      <c r="C11" s="8"/>
      <c r="D11" s="8"/>
      <c r="E11" s="9"/>
      <c r="F11" s="10"/>
      <c r="G11" s="9"/>
      <c r="H11" s="11"/>
      <c r="I11" s="9" t="s">
        <v>13</v>
      </c>
      <c r="J11" s="347"/>
      <c r="K11" s="347"/>
      <c r="L11" s="347"/>
    </row>
    <row r="12">
      <c r="A12" s="102"/>
      <c r="B12" s="11"/>
      <c r="C12" s="8"/>
      <c r="D12" s="8"/>
      <c r="E12" s="9"/>
      <c r="F12" s="10"/>
      <c r="G12" s="9"/>
      <c r="H12" s="11"/>
      <c r="I12" s="9" t="s">
        <v>13</v>
      </c>
      <c r="J12" s="347"/>
      <c r="K12" s="347"/>
      <c r="L12" s="347"/>
    </row>
    <row r="13">
      <c r="A13" s="102"/>
      <c r="B13" s="11"/>
      <c r="C13" s="8"/>
      <c r="D13" s="8"/>
      <c r="E13" s="9"/>
      <c r="F13" s="10"/>
      <c r="G13" s="9"/>
      <c r="H13" s="11"/>
      <c r="I13" s="9" t="s">
        <v>13</v>
      </c>
      <c r="J13" s="347"/>
      <c r="K13" s="347"/>
      <c r="L13" s="347"/>
    </row>
    <row r="14">
      <c r="A14" s="102"/>
      <c r="B14" s="11"/>
      <c r="C14" s="8"/>
      <c r="D14" s="8"/>
      <c r="E14" s="9"/>
      <c r="F14" s="10"/>
      <c r="G14" s="9"/>
      <c r="H14" s="11"/>
      <c r="I14" s="9" t="s">
        <v>13</v>
      </c>
      <c r="J14" s="347"/>
      <c r="K14" s="347"/>
      <c r="L14" s="347"/>
    </row>
    <row r="15">
      <c r="A15" s="102"/>
      <c r="B15" s="11"/>
      <c r="C15" s="8"/>
      <c r="D15" s="8"/>
      <c r="E15" s="9"/>
      <c r="F15" s="10"/>
      <c r="G15" s="9"/>
      <c r="H15" s="11"/>
      <c r="I15" s="9" t="s">
        <v>13</v>
      </c>
      <c r="J15" s="347"/>
      <c r="K15" s="347"/>
      <c r="L15" s="347"/>
    </row>
    <row r="16">
      <c r="A16" s="102"/>
      <c r="B16" s="11"/>
      <c r="C16" s="8"/>
      <c r="D16" s="8"/>
      <c r="E16" s="9"/>
      <c r="F16" s="10"/>
      <c r="G16" s="9"/>
      <c r="H16" s="11"/>
      <c r="I16" s="9" t="s">
        <v>13</v>
      </c>
      <c r="J16" s="347"/>
      <c r="K16" s="347"/>
      <c r="L16" s="347"/>
    </row>
    <row r="17">
      <c r="A17" s="102"/>
      <c r="B17" s="11"/>
      <c r="C17" s="8"/>
      <c r="D17" s="8"/>
      <c r="E17" s="9"/>
      <c r="F17" s="10"/>
      <c r="G17" s="9"/>
      <c r="H17" s="11"/>
      <c r="I17" s="9" t="s">
        <v>13</v>
      </c>
      <c r="J17" s="347"/>
      <c r="K17" s="347"/>
      <c r="L17" s="347"/>
    </row>
    <row r="18">
      <c r="A18" s="102"/>
      <c r="B18" s="11"/>
      <c r="C18" s="8"/>
      <c r="D18" s="8"/>
      <c r="E18" s="9"/>
      <c r="F18" s="10"/>
      <c r="G18" s="9"/>
      <c r="H18" s="11"/>
      <c r="I18" s="9" t="s">
        <v>13</v>
      </c>
      <c r="J18" s="347"/>
      <c r="K18" s="347"/>
      <c r="L18" s="347"/>
    </row>
    <row r="19">
      <c r="A19" s="102"/>
      <c r="B19" s="11"/>
      <c r="C19" s="8"/>
      <c r="D19" s="8"/>
      <c r="E19" s="9"/>
      <c r="F19" s="10"/>
      <c r="G19" s="9"/>
      <c r="H19" s="11"/>
      <c r="I19" s="9" t="s">
        <v>13</v>
      </c>
      <c r="J19" s="347"/>
      <c r="K19" s="347"/>
      <c r="L19" s="347"/>
    </row>
    <row r="20">
      <c r="A20" s="102"/>
      <c r="B20" s="11"/>
      <c r="C20" s="8"/>
      <c r="D20" s="8"/>
      <c r="E20" s="9"/>
      <c r="F20" s="10"/>
      <c r="G20" s="9"/>
      <c r="H20" s="11"/>
      <c r="I20" s="9" t="s">
        <v>13</v>
      </c>
      <c r="J20" s="347"/>
      <c r="K20" s="347"/>
      <c r="L20" s="347"/>
    </row>
    <row r="21">
      <c r="A21" s="102"/>
      <c r="B21" s="11"/>
      <c r="C21" s="8"/>
      <c r="D21" s="8"/>
      <c r="E21" s="9"/>
      <c r="F21" s="10"/>
      <c r="G21" s="9"/>
      <c r="H21" s="11"/>
      <c r="I21" s="9" t="s">
        <v>13</v>
      </c>
      <c r="J21" s="347"/>
      <c r="K21" s="347"/>
      <c r="L21" s="347"/>
    </row>
    <row r="22">
      <c r="A22" s="102"/>
      <c r="B22" s="11"/>
      <c r="C22" s="8"/>
      <c r="D22" s="8"/>
      <c r="E22" s="9"/>
      <c r="F22" s="10"/>
      <c r="G22" s="9"/>
      <c r="H22" s="11"/>
      <c r="I22" s="9" t="s">
        <v>13</v>
      </c>
      <c r="J22" s="347"/>
      <c r="K22" s="347"/>
      <c r="L22" s="347"/>
    </row>
    <row r="23">
      <c r="A23" s="102"/>
      <c r="B23" s="11"/>
      <c r="C23" s="8"/>
      <c r="D23" s="8"/>
      <c r="E23" s="9"/>
      <c r="F23" s="10"/>
      <c r="G23" s="9"/>
      <c r="H23" s="11"/>
      <c r="I23" s="9" t="s">
        <v>13</v>
      </c>
      <c r="J23" s="347"/>
      <c r="K23" s="347"/>
      <c r="L23" s="347"/>
    </row>
    <row r="24">
      <c r="A24" s="102"/>
      <c r="B24" s="11"/>
      <c r="C24" s="8"/>
      <c r="D24" s="8"/>
      <c r="E24" s="9"/>
      <c r="F24" s="10"/>
      <c r="G24" s="9"/>
      <c r="H24" s="11"/>
      <c r="I24" s="9" t="s">
        <v>13</v>
      </c>
      <c r="J24" s="347"/>
      <c r="K24" s="347"/>
      <c r="L24" s="347"/>
    </row>
    <row r="25">
      <c r="A25" s="102"/>
      <c r="B25" s="11"/>
      <c r="C25" s="8"/>
      <c r="D25" s="8"/>
      <c r="E25" s="9"/>
      <c r="F25" s="10"/>
      <c r="G25" s="9"/>
      <c r="H25" s="11"/>
      <c r="I25" s="9" t="s">
        <v>13</v>
      </c>
      <c r="J25" s="347"/>
      <c r="K25" s="347"/>
      <c r="L25" s="347"/>
    </row>
    <row r="26">
      <c r="A26" s="102"/>
      <c r="B26" s="11"/>
      <c r="C26" s="8"/>
      <c r="D26" s="8"/>
      <c r="E26" s="9"/>
      <c r="F26" s="10"/>
      <c r="G26" s="9"/>
      <c r="H26" s="11"/>
      <c r="I26" s="9" t="s">
        <v>13</v>
      </c>
      <c r="J26" s="347"/>
      <c r="K26" s="347"/>
      <c r="L26" s="347"/>
    </row>
    <row r="27">
      <c r="A27" s="102"/>
      <c r="B27" s="11"/>
      <c r="C27" s="8"/>
      <c r="D27" s="8"/>
      <c r="E27" s="9"/>
      <c r="F27" s="10"/>
      <c r="G27" s="9"/>
      <c r="H27" s="11"/>
      <c r="I27" s="9" t="s">
        <v>13</v>
      </c>
      <c r="J27" s="347"/>
      <c r="K27" s="347"/>
      <c r="L27" s="347"/>
    </row>
    <row r="28">
      <c r="A28" s="102"/>
      <c r="B28" s="11"/>
      <c r="C28" s="8"/>
      <c r="D28" s="8"/>
      <c r="E28" s="9"/>
      <c r="F28" s="10"/>
      <c r="G28" s="9"/>
      <c r="H28" s="11"/>
      <c r="I28" s="9" t="s">
        <v>13</v>
      </c>
      <c r="J28" s="347"/>
      <c r="K28" s="347"/>
      <c r="L28" s="347"/>
    </row>
    <row r="29">
      <c r="A29" s="102"/>
      <c r="B29" s="11"/>
      <c r="C29" s="8"/>
      <c r="D29" s="8"/>
      <c r="E29" s="9"/>
      <c r="F29" s="10"/>
      <c r="G29" s="9"/>
      <c r="H29" s="11"/>
      <c r="I29" s="9" t="s">
        <v>13</v>
      </c>
      <c r="J29" s="347"/>
      <c r="K29" s="347"/>
      <c r="L29" s="347"/>
    </row>
    <row r="30">
      <c r="A30" s="102"/>
      <c r="B30" s="11"/>
      <c r="C30" s="8"/>
      <c r="D30" s="8"/>
      <c r="E30" s="9"/>
      <c r="F30" s="10"/>
      <c r="G30" s="9"/>
      <c r="H30" s="11"/>
      <c r="I30" s="9" t="s">
        <v>13</v>
      </c>
      <c r="J30" s="347"/>
      <c r="K30" s="347"/>
      <c r="L30" s="347"/>
    </row>
    <row r="31">
      <c r="A31" s="102"/>
      <c r="B31" s="11"/>
      <c r="C31" s="8"/>
      <c r="D31" s="8"/>
      <c r="E31" s="9"/>
      <c r="F31" s="10"/>
      <c r="G31" s="9"/>
      <c r="H31" s="11"/>
      <c r="I31" s="9" t="s">
        <v>13</v>
      </c>
      <c r="J31" s="347"/>
      <c r="K31" s="347"/>
      <c r="L31" s="347"/>
    </row>
    <row r="32">
      <c r="A32" s="102"/>
      <c r="B32" s="11"/>
      <c r="C32" s="8"/>
      <c r="D32" s="8"/>
      <c r="E32" s="9"/>
      <c r="F32" s="10"/>
      <c r="G32" s="9"/>
      <c r="H32" s="11"/>
      <c r="I32" s="9" t="s">
        <v>13</v>
      </c>
      <c r="J32" s="347"/>
      <c r="K32" s="347"/>
      <c r="L32" s="347"/>
    </row>
    <row r="33">
      <c r="A33" s="102"/>
      <c r="B33" s="11"/>
      <c r="C33" s="8"/>
      <c r="D33" s="8"/>
      <c r="E33" s="9"/>
      <c r="F33" s="10"/>
      <c r="G33" s="9"/>
      <c r="H33" s="11"/>
      <c r="I33" s="9" t="s">
        <v>13</v>
      </c>
      <c r="J33" s="347"/>
      <c r="K33" s="347"/>
      <c r="L33" s="347"/>
    </row>
    <row r="34">
      <c r="A34" s="102"/>
      <c r="B34" s="11"/>
      <c r="C34" s="8"/>
      <c r="D34" s="8"/>
      <c r="E34" s="9"/>
      <c r="F34" s="10"/>
      <c r="G34" s="9"/>
      <c r="H34" s="11"/>
      <c r="I34" s="9" t="s">
        <v>13</v>
      </c>
      <c r="J34" s="347"/>
      <c r="K34" s="347"/>
      <c r="L34" s="347"/>
    </row>
    <row r="35">
      <c r="A35" s="102"/>
      <c r="B35" s="11"/>
      <c r="C35" s="8"/>
      <c r="D35" s="8"/>
      <c r="E35" s="9"/>
      <c r="F35" s="10"/>
      <c r="G35" s="9"/>
      <c r="H35" s="11"/>
      <c r="I35" s="9" t="s">
        <v>13</v>
      </c>
      <c r="J35" s="347"/>
      <c r="K35" s="347"/>
      <c r="L35" s="347"/>
    </row>
    <row r="36">
      <c r="A36" s="102"/>
      <c r="B36" s="11"/>
      <c r="C36" s="8"/>
      <c r="D36" s="8"/>
      <c r="E36" s="9"/>
      <c r="F36" s="10"/>
      <c r="G36" s="9"/>
      <c r="H36" s="11"/>
      <c r="I36" s="9" t="s">
        <v>13</v>
      </c>
      <c r="J36" s="347"/>
      <c r="K36" s="347"/>
      <c r="L36" s="347"/>
    </row>
    <row r="37">
      <c r="A37" s="102"/>
      <c r="B37" s="11"/>
      <c r="C37" s="8"/>
      <c r="D37" s="8"/>
      <c r="E37" s="9"/>
      <c r="F37" s="10"/>
      <c r="G37" s="9"/>
      <c r="H37" s="11"/>
      <c r="I37" s="9" t="s">
        <v>13</v>
      </c>
      <c r="J37" s="347"/>
      <c r="K37" s="347"/>
      <c r="L37" s="347"/>
    </row>
    <row r="38">
      <c r="A38" s="102"/>
      <c r="B38" s="11"/>
      <c r="C38" s="8"/>
      <c r="D38" s="8"/>
      <c r="E38" s="9"/>
      <c r="F38" s="10"/>
      <c r="G38" s="9"/>
      <c r="H38" s="11"/>
      <c r="I38" s="9" t="s">
        <v>13</v>
      </c>
      <c r="J38" s="347"/>
      <c r="K38" s="347"/>
      <c r="L38" s="347"/>
    </row>
    <row r="39">
      <c r="A39" s="102"/>
      <c r="B39" s="11"/>
      <c r="C39" s="8"/>
      <c r="D39" s="8"/>
      <c r="E39" s="9"/>
      <c r="F39" s="10"/>
      <c r="G39" s="9"/>
      <c r="H39" s="11"/>
      <c r="I39" s="9" t="s">
        <v>13</v>
      </c>
      <c r="J39" s="347"/>
      <c r="K39" s="347"/>
      <c r="L39" s="347"/>
    </row>
    <row r="40">
      <c r="A40" s="102"/>
      <c r="B40" s="11"/>
      <c r="C40" s="8"/>
      <c r="D40" s="8"/>
      <c r="E40" s="9"/>
      <c r="F40" s="10"/>
      <c r="G40" s="9"/>
      <c r="H40" s="11"/>
      <c r="I40" s="9" t="s">
        <v>13</v>
      </c>
      <c r="J40" s="347"/>
      <c r="K40" s="347"/>
      <c r="L40" s="347"/>
    </row>
    <row r="41">
      <c r="A41" s="102"/>
      <c r="B41" s="11"/>
      <c r="C41" s="8"/>
      <c r="D41" s="8"/>
      <c r="E41" s="9"/>
      <c r="F41" s="10"/>
      <c r="G41" s="9"/>
      <c r="H41" s="11"/>
      <c r="I41" s="9" t="s">
        <v>13</v>
      </c>
      <c r="J41" s="347"/>
      <c r="K41" s="347"/>
      <c r="L41" s="347"/>
    </row>
    <row r="42">
      <c r="A42" s="102"/>
      <c r="B42" s="11"/>
      <c r="C42" s="8"/>
      <c r="D42" s="8"/>
      <c r="E42" s="9"/>
      <c r="F42" s="10"/>
      <c r="G42" s="9"/>
      <c r="H42" s="11"/>
      <c r="I42" s="9" t="s">
        <v>13</v>
      </c>
      <c r="J42" s="347"/>
      <c r="K42" s="347"/>
      <c r="L42" s="347"/>
    </row>
    <row r="43">
      <c r="A43" s="102"/>
      <c r="B43" s="11"/>
      <c r="C43" s="8"/>
      <c r="D43" s="8"/>
      <c r="E43" s="9"/>
      <c r="F43" s="10"/>
      <c r="G43" s="9"/>
      <c r="H43" s="11"/>
      <c r="I43" s="9" t="s">
        <v>13</v>
      </c>
      <c r="J43" s="347"/>
      <c r="K43" s="347"/>
      <c r="L43" s="347"/>
    </row>
    <row r="44">
      <c r="A44" s="102"/>
      <c r="B44" s="11"/>
      <c r="C44" s="8"/>
      <c r="D44" s="8"/>
      <c r="E44" s="9"/>
      <c r="F44" s="10"/>
      <c r="G44" s="9"/>
      <c r="H44" s="11"/>
      <c r="I44" s="9" t="s">
        <v>13</v>
      </c>
      <c r="J44" s="347"/>
      <c r="K44" s="347"/>
      <c r="L44" s="347"/>
    </row>
    <row r="45">
      <c r="A45" s="102"/>
      <c r="B45" s="11"/>
      <c r="C45" s="8"/>
      <c r="D45" s="8"/>
      <c r="E45" s="9"/>
      <c r="F45" s="10"/>
      <c r="G45" s="9"/>
      <c r="H45" s="11"/>
      <c r="I45" s="9" t="s">
        <v>13</v>
      </c>
      <c r="J45" s="347"/>
      <c r="K45" s="347"/>
      <c r="L45" s="347"/>
    </row>
    <row r="46">
      <c r="A46" s="102"/>
      <c r="B46" s="11"/>
      <c r="C46" s="8"/>
      <c r="D46" s="8"/>
      <c r="E46" s="9"/>
      <c r="F46" s="10"/>
      <c r="G46" s="9"/>
      <c r="H46" s="11"/>
      <c r="I46" s="9" t="s">
        <v>13</v>
      </c>
      <c r="J46" s="347"/>
      <c r="K46" s="347"/>
      <c r="L46" s="347"/>
    </row>
    <row r="47">
      <c r="A47" s="102"/>
      <c r="B47" s="11"/>
      <c r="C47" s="8"/>
      <c r="D47" s="8"/>
      <c r="E47" s="9"/>
      <c r="F47" s="10"/>
      <c r="G47" s="9"/>
      <c r="H47" s="11"/>
      <c r="I47" s="9" t="s">
        <v>13</v>
      </c>
      <c r="J47" s="347"/>
      <c r="K47" s="347"/>
      <c r="L47" s="347"/>
    </row>
    <row r="48">
      <c r="A48" s="102"/>
      <c r="B48" s="11"/>
      <c r="C48" s="8"/>
      <c r="D48" s="8"/>
      <c r="E48" s="9"/>
      <c r="F48" s="10"/>
      <c r="G48" s="9"/>
      <c r="H48" s="11"/>
      <c r="I48" s="9" t="s">
        <v>13</v>
      </c>
      <c r="J48" s="347"/>
      <c r="K48" s="347"/>
      <c r="L48" s="347"/>
    </row>
    <row r="49">
      <c r="A49" s="102"/>
      <c r="B49" s="11"/>
      <c r="C49" s="8"/>
      <c r="D49" s="8"/>
      <c r="E49" s="9"/>
      <c r="F49" s="10"/>
      <c r="G49" s="9"/>
      <c r="H49" s="11"/>
      <c r="I49" s="9" t="s">
        <v>13</v>
      </c>
      <c r="J49" s="347"/>
      <c r="K49" s="347"/>
      <c r="L49" s="347"/>
    </row>
    <row r="50">
      <c r="A50" s="102"/>
      <c r="B50" s="11"/>
      <c r="C50" s="8"/>
      <c r="D50" s="8"/>
      <c r="E50" s="9"/>
      <c r="F50" s="10"/>
      <c r="G50" s="9"/>
      <c r="H50" s="11"/>
      <c r="I50" s="9" t="s">
        <v>13</v>
      </c>
      <c r="J50" s="347"/>
      <c r="K50" s="347"/>
      <c r="L50" s="347"/>
    </row>
    <row r="51">
      <c r="A51" s="102"/>
      <c r="B51" s="11"/>
      <c r="C51" s="8"/>
      <c r="D51" s="8"/>
      <c r="E51" s="9"/>
      <c r="F51" s="10"/>
      <c r="G51" s="9"/>
      <c r="H51" s="11"/>
      <c r="I51" s="9" t="s">
        <v>13</v>
      </c>
      <c r="J51" s="347"/>
      <c r="K51" s="347"/>
      <c r="L51" s="347"/>
    </row>
    <row r="52">
      <c r="A52" s="102"/>
      <c r="B52" s="11"/>
      <c r="C52" s="8"/>
      <c r="D52" s="8"/>
      <c r="E52" s="9"/>
      <c r="F52" s="10"/>
      <c r="G52" s="9"/>
      <c r="H52" s="11"/>
      <c r="I52" s="9" t="s">
        <v>13</v>
      </c>
      <c r="J52" s="347"/>
      <c r="K52" s="347"/>
      <c r="L52" s="347"/>
    </row>
    <row r="53">
      <c r="A53" s="102"/>
      <c r="B53" s="11"/>
      <c r="C53" s="8"/>
      <c r="D53" s="8"/>
      <c r="E53" s="9"/>
      <c r="F53" s="10"/>
      <c r="G53" s="9"/>
      <c r="H53" s="11"/>
      <c r="I53" s="9" t="s">
        <v>13</v>
      </c>
      <c r="J53" s="347"/>
      <c r="K53" s="347"/>
      <c r="L53" s="347"/>
    </row>
    <row r="54">
      <c r="A54" s="102"/>
      <c r="B54" s="11"/>
      <c r="C54" s="8"/>
      <c r="D54" s="8"/>
      <c r="E54" s="9"/>
      <c r="F54" s="10"/>
      <c r="G54" s="9"/>
      <c r="H54" s="11"/>
      <c r="I54" s="9" t="s">
        <v>13</v>
      </c>
      <c r="J54" s="347"/>
      <c r="K54" s="347"/>
      <c r="L54" s="347"/>
    </row>
    <row r="55">
      <c r="A55" s="102"/>
      <c r="B55" s="11"/>
      <c r="C55" s="8"/>
      <c r="D55" s="8"/>
      <c r="E55" s="9"/>
      <c r="F55" s="10"/>
      <c r="G55" s="9"/>
      <c r="H55" s="11"/>
      <c r="I55" s="9" t="s">
        <v>13</v>
      </c>
      <c r="J55" s="347"/>
      <c r="K55" s="347"/>
      <c r="L55" s="347"/>
    </row>
    <row r="56">
      <c r="A56" s="102"/>
      <c r="B56" s="11"/>
      <c r="C56" s="8"/>
      <c r="D56" s="8"/>
      <c r="E56" s="9"/>
      <c r="F56" s="10"/>
      <c r="G56" s="9"/>
      <c r="H56" s="11"/>
      <c r="I56" s="9" t="s">
        <v>13</v>
      </c>
      <c r="J56" s="347"/>
      <c r="K56" s="347"/>
      <c r="L56" s="347"/>
    </row>
    <row r="57">
      <c r="A57" s="102"/>
      <c r="B57" s="11"/>
      <c r="C57" s="8"/>
      <c r="D57" s="8"/>
      <c r="E57" s="9"/>
      <c r="F57" s="10"/>
      <c r="G57" s="9"/>
      <c r="H57" s="11"/>
      <c r="I57" s="9" t="s">
        <v>13</v>
      </c>
      <c r="J57" s="347"/>
      <c r="K57" s="347"/>
      <c r="L57" s="347"/>
    </row>
    <row r="58">
      <c r="A58" s="102"/>
      <c r="B58" s="11"/>
      <c r="C58" s="8"/>
      <c r="D58" s="8"/>
      <c r="E58" s="9"/>
      <c r="F58" s="10"/>
      <c r="G58" s="9"/>
      <c r="H58" s="11"/>
      <c r="I58" s="9" t="s">
        <v>13</v>
      </c>
      <c r="J58" s="347"/>
      <c r="K58" s="347"/>
      <c r="L58" s="347"/>
    </row>
    <row r="59">
      <c r="A59" s="102"/>
      <c r="B59" s="11"/>
      <c r="C59" s="8"/>
      <c r="D59" s="8"/>
      <c r="E59" s="9"/>
      <c r="F59" s="10"/>
      <c r="G59" s="9"/>
      <c r="H59" s="11"/>
      <c r="I59" s="9" t="s">
        <v>13</v>
      </c>
      <c r="J59" s="347"/>
      <c r="K59" s="347"/>
      <c r="L59" s="347"/>
    </row>
    <row r="60">
      <c r="A60" s="102"/>
      <c r="B60" s="11"/>
      <c r="C60" s="8"/>
      <c r="D60" s="8"/>
      <c r="E60" s="9"/>
      <c r="F60" s="10"/>
      <c r="G60" s="9"/>
      <c r="H60" s="11"/>
      <c r="I60" s="9" t="s">
        <v>13</v>
      </c>
      <c r="J60" s="347"/>
      <c r="K60" s="347"/>
      <c r="L60" s="347"/>
    </row>
    <row r="61">
      <c r="A61" s="102"/>
      <c r="B61" s="11"/>
      <c r="C61" s="8"/>
      <c r="D61" s="8"/>
      <c r="E61" s="9"/>
      <c r="F61" s="10"/>
      <c r="G61" s="9"/>
      <c r="H61" s="11"/>
      <c r="I61" s="9" t="s">
        <v>13</v>
      </c>
      <c r="J61" s="347"/>
      <c r="K61" s="347"/>
      <c r="L61" s="347"/>
    </row>
    <row r="62">
      <c r="A62" s="102"/>
      <c r="B62" s="11"/>
      <c r="C62" s="8"/>
      <c r="D62" s="8"/>
      <c r="E62" s="9"/>
      <c r="F62" s="10"/>
      <c r="G62" s="9"/>
      <c r="H62" s="11"/>
      <c r="I62" s="9" t="s">
        <v>13</v>
      </c>
      <c r="J62" s="347"/>
      <c r="K62" s="347"/>
      <c r="L62" s="347"/>
    </row>
    <row r="63">
      <c r="A63" s="102"/>
      <c r="B63" s="11"/>
      <c r="C63" s="8"/>
      <c r="D63" s="8"/>
      <c r="E63" s="9"/>
      <c r="F63" s="10"/>
      <c r="G63" s="9"/>
      <c r="H63" s="11"/>
      <c r="I63" s="9" t="s">
        <v>13</v>
      </c>
      <c r="J63" s="347"/>
      <c r="K63" s="347"/>
      <c r="L63" s="347"/>
    </row>
    <row r="64">
      <c r="A64" s="102"/>
      <c r="B64" s="11"/>
      <c r="C64" s="8"/>
      <c r="D64" s="8"/>
      <c r="E64" s="9"/>
      <c r="F64" s="10"/>
      <c r="G64" s="9"/>
      <c r="H64" s="11"/>
      <c r="I64" s="9" t="s">
        <v>13</v>
      </c>
      <c r="J64" s="347"/>
      <c r="K64" s="347"/>
      <c r="L64" s="347"/>
    </row>
    <row r="65">
      <c r="A65" s="102"/>
      <c r="B65" s="11"/>
      <c r="C65" s="8"/>
      <c r="D65" s="8"/>
      <c r="E65" s="9"/>
      <c r="F65" s="10"/>
      <c r="G65" s="9"/>
      <c r="H65" s="11"/>
      <c r="I65" s="9" t="s">
        <v>13</v>
      </c>
      <c r="J65" s="347"/>
      <c r="K65" s="347"/>
      <c r="L65" s="347"/>
    </row>
    <row r="66">
      <c r="A66" s="102"/>
      <c r="B66" s="11"/>
      <c r="C66" s="8"/>
      <c r="D66" s="8"/>
      <c r="E66" s="9"/>
      <c r="F66" s="10"/>
      <c r="G66" s="9"/>
      <c r="H66" s="11"/>
      <c r="I66" s="9" t="s">
        <v>13</v>
      </c>
      <c r="J66" s="347"/>
      <c r="K66" s="347"/>
      <c r="L66" s="347"/>
    </row>
    <row r="67">
      <c r="A67" s="102"/>
      <c r="B67" s="11"/>
      <c r="C67" s="8"/>
      <c r="D67" s="8"/>
      <c r="E67" s="9"/>
      <c r="F67" s="10"/>
      <c r="G67" s="9"/>
      <c r="H67" s="11"/>
      <c r="I67" s="9" t="s">
        <v>13</v>
      </c>
      <c r="J67" s="347"/>
      <c r="K67" s="347"/>
      <c r="L67" s="347"/>
    </row>
    <row r="68">
      <c r="A68" s="102"/>
      <c r="B68" s="11"/>
      <c r="C68" s="8"/>
      <c r="D68" s="8"/>
      <c r="E68" s="9"/>
      <c r="F68" s="10"/>
      <c r="G68" s="9"/>
      <c r="H68" s="11"/>
      <c r="I68" s="9" t="s">
        <v>13</v>
      </c>
      <c r="J68" s="347"/>
      <c r="K68" s="347"/>
      <c r="L68" s="347"/>
    </row>
    <row r="69">
      <c r="A69" s="102"/>
      <c r="B69" s="11"/>
      <c r="C69" s="8"/>
      <c r="D69" s="8"/>
      <c r="E69" s="9"/>
      <c r="F69" s="10"/>
      <c r="G69" s="9"/>
      <c r="H69" s="11"/>
      <c r="I69" s="9" t="s">
        <v>13</v>
      </c>
      <c r="J69" s="347"/>
      <c r="K69" s="347"/>
      <c r="L69" s="347"/>
    </row>
    <row r="70">
      <c r="A70" s="102"/>
      <c r="B70" s="11"/>
      <c r="C70" s="8"/>
      <c r="D70" s="8"/>
      <c r="E70" s="9"/>
      <c r="F70" s="10"/>
      <c r="G70" s="9"/>
      <c r="H70" s="11"/>
      <c r="I70" s="9" t="s">
        <v>13</v>
      </c>
      <c r="J70" s="347"/>
      <c r="K70" s="347"/>
      <c r="L70" s="347"/>
    </row>
    <row r="71">
      <c r="A71" s="102"/>
      <c r="B71" s="11"/>
      <c r="C71" s="8"/>
      <c r="D71" s="8"/>
      <c r="E71" s="9"/>
      <c r="F71" s="10"/>
      <c r="G71" s="9"/>
      <c r="H71" s="11"/>
      <c r="I71" s="9" t="s">
        <v>13</v>
      </c>
      <c r="J71" s="347"/>
      <c r="K71" s="347"/>
      <c r="L71" s="347"/>
    </row>
    <row r="72">
      <c r="A72" s="102"/>
      <c r="B72" s="11"/>
      <c r="C72" s="8"/>
      <c r="D72" s="8"/>
      <c r="E72" s="9"/>
      <c r="F72" s="10"/>
      <c r="G72" s="9"/>
      <c r="H72" s="11"/>
      <c r="I72" s="9" t="s">
        <v>13</v>
      </c>
      <c r="J72" s="347"/>
      <c r="K72" s="347"/>
      <c r="L72" s="347"/>
    </row>
    <row r="73">
      <c r="A73" s="102"/>
      <c r="B73" s="11"/>
      <c r="C73" s="8"/>
      <c r="D73" s="8"/>
      <c r="E73" s="9"/>
      <c r="F73" s="10"/>
      <c r="G73" s="9"/>
      <c r="H73" s="11"/>
      <c r="I73" s="9" t="s">
        <v>13</v>
      </c>
      <c r="J73" s="347"/>
      <c r="K73" s="347"/>
      <c r="L73" s="347"/>
    </row>
    <row r="74">
      <c r="A74" s="102"/>
      <c r="B74" s="11"/>
      <c r="C74" s="8"/>
      <c r="D74" s="8"/>
      <c r="E74" s="9"/>
      <c r="F74" s="10"/>
      <c r="G74" s="9"/>
      <c r="H74" s="11"/>
      <c r="I74" s="9" t="s">
        <v>13</v>
      </c>
      <c r="J74" s="347"/>
      <c r="K74" s="347"/>
      <c r="L74" s="347"/>
    </row>
    <row r="75">
      <c r="A75" s="102"/>
      <c r="B75" s="11"/>
      <c r="C75" s="8"/>
      <c r="D75" s="8"/>
      <c r="E75" s="9"/>
      <c r="F75" s="10"/>
      <c r="G75" s="9"/>
      <c r="H75" s="11"/>
      <c r="I75" s="9" t="s">
        <v>13</v>
      </c>
      <c r="J75" s="347"/>
      <c r="K75" s="347"/>
      <c r="L75" s="347"/>
    </row>
    <row r="76">
      <c r="A76" s="102"/>
      <c r="B76" s="11"/>
      <c r="C76" s="8"/>
      <c r="D76" s="8"/>
      <c r="E76" s="9"/>
      <c r="F76" s="10"/>
      <c r="G76" s="9"/>
      <c r="H76" s="11"/>
      <c r="I76" s="9" t="s">
        <v>13</v>
      </c>
      <c r="J76" s="347"/>
      <c r="K76" s="347"/>
      <c r="L76" s="347"/>
    </row>
    <row r="77">
      <c r="A77" s="102"/>
      <c r="B77" s="11"/>
      <c r="C77" s="8"/>
      <c r="D77" s="8"/>
      <c r="E77" s="9"/>
      <c r="F77" s="10"/>
      <c r="G77" s="9"/>
      <c r="H77" s="11"/>
      <c r="I77" s="9" t="s">
        <v>13</v>
      </c>
      <c r="J77" s="347"/>
      <c r="K77" s="347"/>
      <c r="L77" s="347"/>
    </row>
    <row r="78">
      <c r="A78" s="102"/>
      <c r="B78" s="11"/>
      <c r="C78" s="8"/>
      <c r="D78" s="8"/>
      <c r="E78" s="9"/>
      <c r="F78" s="10"/>
      <c r="G78" s="9"/>
      <c r="H78" s="11"/>
      <c r="I78" s="9" t="s">
        <v>13</v>
      </c>
      <c r="J78" s="347"/>
      <c r="K78" s="347"/>
      <c r="L78" s="347"/>
    </row>
    <row r="79">
      <c r="A79" s="102"/>
      <c r="B79" s="11"/>
      <c r="C79" s="8"/>
      <c r="D79" s="8"/>
      <c r="E79" s="9"/>
      <c r="F79" s="10"/>
      <c r="G79" s="9"/>
      <c r="H79" s="11"/>
      <c r="I79" s="9" t="s">
        <v>13</v>
      </c>
      <c r="J79" s="347"/>
      <c r="K79" s="347"/>
      <c r="L79" s="347"/>
    </row>
    <row r="80">
      <c r="A80" s="102"/>
      <c r="B80" s="11"/>
      <c r="C80" s="8"/>
      <c r="D80" s="8"/>
      <c r="E80" s="9"/>
      <c r="F80" s="10"/>
      <c r="G80" s="9"/>
      <c r="H80" s="11"/>
      <c r="I80" s="9" t="s">
        <v>13</v>
      </c>
      <c r="J80" s="347"/>
      <c r="K80" s="347"/>
      <c r="L80" s="347"/>
    </row>
    <row r="81">
      <c r="A81" s="102"/>
      <c r="B81" s="11"/>
      <c r="C81" s="8"/>
      <c r="D81" s="8"/>
      <c r="E81" s="9"/>
      <c r="F81" s="10"/>
      <c r="G81" s="9"/>
      <c r="H81" s="11"/>
      <c r="I81" s="9" t="s">
        <v>13</v>
      </c>
      <c r="J81" s="347"/>
      <c r="K81" s="347"/>
      <c r="L81" s="347"/>
    </row>
    <row r="82">
      <c r="A82" s="102"/>
      <c r="B82" s="11"/>
      <c r="C82" s="8"/>
      <c r="D82" s="8"/>
      <c r="E82" s="9"/>
      <c r="F82" s="10"/>
      <c r="G82" s="9"/>
      <c r="H82" s="11"/>
      <c r="I82" s="9" t="s">
        <v>13</v>
      </c>
      <c r="J82" s="347"/>
      <c r="K82" s="347"/>
      <c r="L82" s="347"/>
    </row>
    <row r="83">
      <c r="A83" s="102"/>
      <c r="B83" s="11"/>
      <c r="C83" s="8"/>
      <c r="D83" s="8"/>
      <c r="E83" s="9"/>
      <c r="F83" s="10"/>
      <c r="G83" s="9"/>
      <c r="H83" s="11"/>
      <c r="I83" s="9" t="s">
        <v>13</v>
      </c>
      <c r="J83" s="347"/>
      <c r="K83" s="347"/>
      <c r="L83" s="347"/>
    </row>
    <row r="84">
      <c r="A84" s="102"/>
      <c r="B84" s="11"/>
      <c r="C84" s="8"/>
      <c r="D84" s="8"/>
      <c r="E84" s="9"/>
      <c r="F84" s="10"/>
      <c r="G84" s="9"/>
      <c r="H84" s="11"/>
      <c r="I84" s="9" t="s">
        <v>13</v>
      </c>
      <c r="J84" s="347"/>
      <c r="K84" s="347"/>
      <c r="L84" s="347"/>
    </row>
    <row r="85">
      <c r="A85" s="102"/>
      <c r="B85" s="11"/>
      <c r="C85" s="8"/>
      <c r="D85" s="8"/>
      <c r="E85" s="9"/>
      <c r="F85" s="10"/>
      <c r="G85" s="9"/>
      <c r="H85" s="11"/>
      <c r="I85" s="9" t="s">
        <v>13</v>
      </c>
      <c r="J85" s="347"/>
      <c r="K85" s="347"/>
      <c r="L85" s="347"/>
    </row>
    <row r="86">
      <c r="A86" s="102"/>
      <c r="B86" s="11"/>
      <c r="C86" s="8"/>
      <c r="D86" s="8"/>
      <c r="E86" s="9"/>
      <c r="F86" s="10"/>
      <c r="G86" s="9"/>
      <c r="H86" s="11"/>
      <c r="I86" s="9" t="s">
        <v>13</v>
      </c>
      <c r="J86" s="347"/>
      <c r="K86" s="347"/>
      <c r="L86" s="347"/>
    </row>
    <row r="87">
      <c r="A87" s="102"/>
      <c r="B87" s="11"/>
      <c r="C87" s="8"/>
      <c r="D87" s="8"/>
      <c r="E87" s="9"/>
      <c r="F87" s="10"/>
      <c r="G87" s="9"/>
      <c r="H87" s="11"/>
      <c r="I87" s="9" t="s">
        <v>13</v>
      </c>
      <c r="J87" s="347"/>
      <c r="K87" s="347"/>
      <c r="L87" s="347"/>
    </row>
    <row r="88">
      <c r="A88" s="102"/>
      <c r="B88" s="11"/>
      <c r="C88" s="8"/>
      <c r="D88" s="8"/>
      <c r="E88" s="9"/>
      <c r="F88" s="10"/>
      <c r="G88" s="9"/>
      <c r="H88" s="11"/>
      <c r="I88" s="9" t="s">
        <v>13</v>
      </c>
      <c r="J88" s="347"/>
      <c r="K88" s="347"/>
      <c r="L88" s="347"/>
    </row>
    <row r="89">
      <c r="A89" s="102"/>
      <c r="B89" s="11"/>
      <c r="C89" s="8"/>
      <c r="D89" s="8"/>
      <c r="E89" s="9"/>
      <c r="F89" s="10"/>
      <c r="G89" s="9"/>
      <c r="H89" s="11"/>
      <c r="I89" s="9" t="s">
        <v>13</v>
      </c>
      <c r="J89" s="347"/>
      <c r="K89" s="347"/>
      <c r="L89" s="347"/>
    </row>
    <row r="90">
      <c r="A90" s="102"/>
      <c r="B90" s="11"/>
      <c r="C90" s="8"/>
      <c r="D90" s="8"/>
      <c r="E90" s="9"/>
      <c r="F90" s="10"/>
      <c r="G90" s="9"/>
      <c r="H90" s="11"/>
      <c r="I90" s="9" t="s">
        <v>13</v>
      </c>
      <c r="J90" s="347"/>
      <c r="K90" s="347"/>
      <c r="L90" s="347"/>
    </row>
    <row r="91">
      <c r="A91" s="102"/>
      <c r="B91" s="11"/>
      <c r="C91" s="8"/>
      <c r="D91" s="8"/>
      <c r="E91" s="9"/>
      <c r="F91" s="10"/>
      <c r="G91" s="9"/>
      <c r="H91" s="11"/>
      <c r="I91" s="9" t="s">
        <v>13</v>
      </c>
      <c r="J91" s="347"/>
      <c r="K91" s="347"/>
      <c r="L91" s="347"/>
    </row>
    <row r="92">
      <c r="A92" s="102"/>
      <c r="B92" s="11"/>
      <c r="C92" s="8"/>
      <c r="D92" s="8"/>
      <c r="E92" s="9"/>
      <c r="F92" s="10"/>
      <c r="G92" s="9"/>
      <c r="H92" s="11"/>
      <c r="I92" s="9" t="s">
        <v>13</v>
      </c>
      <c r="J92" s="347"/>
      <c r="K92" s="347"/>
      <c r="L92" s="347"/>
    </row>
    <row r="93">
      <c r="A93" s="102"/>
      <c r="B93" s="11"/>
      <c r="C93" s="8"/>
      <c r="D93" s="8"/>
      <c r="E93" s="9"/>
      <c r="F93" s="10"/>
      <c r="G93" s="9"/>
      <c r="H93" s="11"/>
      <c r="I93" s="9" t="s">
        <v>13</v>
      </c>
      <c r="J93" s="347"/>
      <c r="K93" s="347"/>
      <c r="L93" s="347"/>
    </row>
    <row r="94">
      <c r="A94" s="102"/>
      <c r="B94" s="11"/>
      <c r="C94" s="8"/>
      <c r="D94" s="8"/>
      <c r="E94" s="9"/>
      <c r="F94" s="10"/>
      <c r="G94" s="9"/>
      <c r="H94" s="11"/>
      <c r="I94" s="9" t="s">
        <v>13</v>
      </c>
      <c r="J94" s="347"/>
      <c r="K94" s="347"/>
      <c r="L94" s="347"/>
    </row>
    <row r="95">
      <c r="A95" s="102"/>
      <c r="B95" s="11"/>
      <c r="C95" s="8"/>
      <c r="D95" s="8"/>
      <c r="E95" s="9"/>
      <c r="F95" s="10"/>
      <c r="G95" s="9"/>
      <c r="H95" s="11"/>
      <c r="I95" s="9" t="s">
        <v>13</v>
      </c>
      <c r="J95" s="347"/>
      <c r="K95" s="347"/>
      <c r="L95" s="347"/>
    </row>
    <row r="96">
      <c r="A96" s="102"/>
      <c r="B96" s="11"/>
      <c r="C96" s="8"/>
      <c r="D96" s="8"/>
      <c r="E96" s="9"/>
      <c r="F96" s="10"/>
      <c r="G96" s="9"/>
      <c r="H96" s="11"/>
      <c r="I96" s="9" t="s">
        <v>13</v>
      </c>
      <c r="J96" s="347"/>
      <c r="K96" s="347"/>
      <c r="L96" s="347"/>
    </row>
    <row r="97">
      <c r="A97" s="102"/>
      <c r="B97" s="11"/>
      <c r="C97" s="8"/>
      <c r="D97" s="8"/>
      <c r="E97" s="9"/>
      <c r="F97" s="10"/>
      <c r="G97" s="9"/>
      <c r="H97" s="11"/>
      <c r="I97" s="9" t="s">
        <v>13</v>
      </c>
      <c r="J97" s="347"/>
      <c r="K97" s="347"/>
      <c r="L97" s="347"/>
    </row>
    <row r="98">
      <c r="A98" s="102"/>
      <c r="B98" s="11"/>
      <c r="C98" s="8"/>
      <c r="D98" s="8"/>
      <c r="E98" s="9"/>
      <c r="F98" s="10"/>
      <c r="G98" s="9"/>
      <c r="H98" s="11"/>
      <c r="I98" s="9" t="s">
        <v>13</v>
      </c>
      <c r="J98" s="347"/>
      <c r="K98" s="347"/>
      <c r="L98" s="347"/>
    </row>
    <row r="99">
      <c r="A99" s="102"/>
      <c r="B99" s="11"/>
      <c r="C99" s="8"/>
      <c r="D99" s="8"/>
      <c r="E99" s="9"/>
      <c r="F99" s="10"/>
      <c r="G99" s="9"/>
      <c r="H99" s="11"/>
      <c r="I99" s="9" t="s">
        <v>13</v>
      </c>
      <c r="J99" s="347"/>
      <c r="K99" s="347"/>
      <c r="L99" s="347"/>
    </row>
    <row r="100">
      <c r="A100" s="102"/>
      <c r="B100" s="11"/>
      <c r="C100" s="8"/>
      <c r="D100" s="8"/>
      <c r="E100" s="9"/>
      <c r="F100" s="10"/>
      <c r="G100" s="9"/>
      <c r="H100" s="11"/>
      <c r="I100" s="9" t="s">
        <v>13</v>
      </c>
      <c r="J100" s="347"/>
      <c r="K100" s="347"/>
      <c r="L100" s="347"/>
    </row>
    <row r="101">
      <c r="A101" s="102"/>
      <c r="B101" s="11"/>
      <c r="C101" s="8"/>
      <c r="D101" s="8"/>
      <c r="E101" s="9"/>
      <c r="F101" s="10"/>
      <c r="G101" s="9"/>
      <c r="H101" s="11"/>
      <c r="I101" s="9" t="s">
        <v>13</v>
      </c>
      <c r="J101" s="347"/>
      <c r="K101" s="347"/>
      <c r="L101" s="347"/>
    </row>
    <row r="102">
      <c r="A102" s="102"/>
      <c r="B102" s="11"/>
      <c r="C102" s="8"/>
      <c r="D102" s="8"/>
      <c r="E102" s="9"/>
      <c r="F102" s="10"/>
      <c r="G102" s="9"/>
      <c r="H102" s="11"/>
      <c r="I102" s="9" t="s">
        <v>13</v>
      </c>
      <c r="J102" s="347"/>
      <c r="K102" s="347"/>
      <c r="L102" s="347"/>
    </row>
    <row r="103">
      <c r="A103" s="102"/>
      <c r="B103" s="11"/>
      <c r="C103" s="8"/>
      <c r="D103" s="8"/>
      <c r="E103" s="9"/>
      <c r="F103" s="10"/>
      <c r="G103" s="9"/>
      <c r="H103" s="11"/>
      <c r="I103" s="9" t="s">
        <v>13</v>
      </c>
      <c r="J103" s="347"/>
      <c r="K103" s="347"/>
      <c r="L103" s="347"/>
    </row>
    <row r="104">
      <c r="A104" s="102"/>
      <c r="B104" s="11"/>
      <c r="C104" s="8"/>
      <c r="D104" s="8"/>
      <c r="E104" s="9"/>
      <c r="F104" s="10"/>
      <c r="G104" s="9"/>
      <c r="H104" s="11"/>
      <c r="I104" s="9" t="s">
        <v>13</v>
      </c>
      <c r="J104" s="347"/>
      <c r="K104" s="347"/>
      <c r="L104" s="347"/>
    </row>
    <row r="105">
      <c r="A105" s="102"/>
      <c r="B105" s="11"/>
      <c r="C105" s="8"/>
      <c r="D105" s="8"/>
      <c r="E105" s="9"/>
      <c r="F105" s="10"/>
      <c r="G105" s="9"/>
      <c r="H105" s="11"/>
      <c r="I105" s="9" t="s">
        <v>13</v>
      </c>
      <c r="J105" s="347"/>
      <c r="K105" s="347"/>
      <c r="L105" s="347"/>
    </row>
    <row r="106">
      <c r="A106" s="102"/>
      <c r="B106" s="11"/>
      <c r="C106" s="8"/>
      <c r="D106" s="8"/>
      <c r="E106" s="9"/>
      <c r="F106" s="10"/>
      <c r="G106" s="9"/>
      <c r="H106" s="11"/>
      <c r="I106" s="9" t="s">
        <v>13</v>
      </c>
      <c r="J106" s="347"/>
      <c r="K106" s="347"/>
      <c r="L106" s="347"/>
    </row>
    <row r="107">
      <c r="A107" s="102"/>
      <c r="B107" s="11"/>
      <c r="C107" s="8"/>
      <c r="D107" s="8"/>
      <c r="E107" s="9"/>
      <c r="F107" s="10"/>
      <c r="G107" s="9"/>
      <c r="H107" s="11"/>
      <c r="I107" s="9" t="s">
        <v>13</v>
      </c>
      <c r="J107" s="347"/>
      <c r="K107" s="347"/>
      <c r="L107" s="347"/>
    </row>
    <row r="108">
      <c r="A108" s="102"/>
      <c r="B108" s="11"/>
      <c r="C108" s="8"/>
      <c r="D108" s="8"/>
      <c r="E108" s="9"/>
      <c r="F108" s="10"/>
      <c r="G108" s="9"/>
      <c r="H108" s="11"/>
      <c r="I108" s="9" t="s">
        <v>13</v>
      </c>
      <c r="J108" s="347"/>
      <c r="K108" s="347"/>
      <c r="L108" s="347"/>
    </row>
    <row r="109">
      <c r="A109" s="102"/>
      <c r="B109" s="11"/>
      <c r="C109" s="8"/>
      <c r="D109" s="8"/>
      <c r="E109" s="9"/>
      <c r="F109" s="10"/>
      <c r="G109" s="9"/>
      <c r="H109" s="11"/>
      <c r="I109" s="9" t="s">
        <v>13</v>
      </c>
      <c r="J109" s="347"/>
      <c r="K109" s="347"/>
      <c r="L109" s="347"/>
    </row>
    <row r="110">
      <c r="A110" s="102"/>
      <c r="B110" s="11"/>
      <c r="C110" s="8"/>
      <c r="D110" s="8"/>
      <c r="E110" s="9"/>
      <c r="F110" s="10"/>
      <c r="G110" s="9"/>
      <c r="H110" s="11"/>
      <c r="I110" s="9" t="s">
        <v>13</v>
      </c>
      <c r="J110" s="347"/>
      <c r="K110" s="347"/>
      <c r="L110" s="347"/>
    </row>
    <row r="111">
      <c r="A111" s="102"/>
      <c r="B111" s="11"/>
      <c r="C111" s="8"/>
      <c r="D111" s="8"/>
      <c r="E111" s="9"/>
      <c r="F111" s="10"/>
      <c r="G111" s="9"/>
      <c r="H111" s="11"/>
      <c r="I111" s="9" t="s">
        <v>13</v>
      </c>
      <c r="J111" s="347"/>
      <c r="K111" s="347"/>
      <c r="L111" s="347"/>
    </row>
    <row r="112">
      <c r="A112" s="102"/>
      <c r="B112" s="11"/>
      <c r="C112" s="8"/>
      <c r="D112" s="8"/>
      <c r="E112" s="9"/>
      <c r="F112" s="10"/>
      <c r="G112" s="9"/>
      <c r="H112" s="11"/>
      <c r="I112" s="9" t="s">
        <v>13</v>
      </c>
      <c r="J112" s="347"/>
      <c r="K112" s="347"/>
      <c r="L112" s="347"/>
    </row>
    <row r="113">
      <c r="A113" s="102"/>
      <c r="B113" s="11"/>
      <c r="C113" s="8"/>
      <c r="D113" s="8"/>
      <c r="E113" s="9"/>
      <c r="F113" s="10"/>
      <c r="G113" s="9"/>
      <c r="H113" s="11"/>
      <c r="I113" s="9" t="s">
        <v>13</v>
      </c>
      <c r="J113" s="347"/>
      <c r="K113" s="347"/>
      <c r="L113" s="347"/>
    </row>
    <row r="114">
      <c r="A114" s="102"/>
      <c r="B114" s="11"/>
      <c r="C114" s="8"/>
      <c r="D114" s="8"/>
      <c r="E114" s="9"/>
      <c r="F114" s="10"/>
      <c r="G114" s="9"/>
      <c r="H114" s="11"/>
      <c r="I114" s="9" t="s">
        <v>13</v>
      </c>
      <c r="J114" s="347"/>
      <c r="K114" s="347"/>
      <c r="L114" s="347"/>
    </row>
    <row r="115">
      <c r="A115" s="102"/>
      <c r="B115" s="11"/>
      <c r="C115" s="8"/>
      <c r="D115" s="8"/>
      <c r="E115" s="9"/>
      <c r="F115" s="10"/>
      <c r="G115" s="9"/>
      <c r="H115" s="11"/>
      <c r="I115" s="9" t="s">
        <v>13</v>
      </c>
      <c r="J115" s="347"/>
      <c r="K115" s="347"/>
      <c r="L115" s="347"/>
    </row>
    <row r="116">
      <c r="A116" s="102"/>
      <c r="B116" s="11"/>
      <c r="C116" s="8"/>
      <c r="D116" s="8"/>
      <c r="E116" s="9"/>
      <c r="F116" s="10"/>
      <c r="G116" s="9"/>
      <c r="H116" s="11"/>
      <c r="I116" s="9" t="s">
        <v>13</v>
      </c>
      <c r="J116" s="347"/>
      <c r="K116" s="347"/>
      <c r="L116" s="347"/>
    </row>
    <row r="117">
      <c r="A117" s="102"/>
      <c r="B117" s="11"/>
      <c r="C117" s="8"/>
      <c r="D117" s="8"/>
      <c r="E117" s="9"/>
      <c r="F117" s="10"/>
      <c r="G117" s="9"/>
      <c r="H117" s="11"/>
      <c r="I117" s="9" t="s">
        <v>13</v>
      </c>
      <c r="J117" s="347"/>
      <c r="K117" s="347"/>
      <c r="L117" s="347"/>
    </row>
    <row r="118">
      <c r="A118" s="102"/>
      <c r="B118" s="11"/>
      <c r="C118" s="8"/>
      <c r="D118" s="8"/>
      <c r="E118" s="9"/>
      <c r="F118" s="10"/>
      <c r="G118" s="9"/>
      <c r="H118" s="11"/>
      <c r="I118" s="9" t="s">
        <v>13</v>
      </c>
      <c r="J118" s="347"/>
      <c r="K118" s="347"/>
      <c r="L118" s="347"/>
    </row>
    <row r="119">
      <c r="A119" s="102"/>
      <c r="B119" s="11"/>
      <c r="C119" s="8"/>
      <c r="D119" s="8"/>
      <c r="E119" s="9"/>
      <c r="F119" s="10"/>
      <c r="G119" s="9"/>
      <c r="H119" s="11"/>
      <c r="I119" s="9" t="s">
        <v>13</v>
      </c>
      <c r="J119" s="347"/>
      <c r="K119" s="347"/>
      <c r="L119" s="347"/>
    </row>
    <row r="120">
      <c r="A120" s="102"/>
      <c r="B120" s="11"/>
      <c r="C120" s="8"/>
      <c r="D120" s="8"/>
      <c r="E120" s="9"/>
      <c r="F120" s="10"/>
      <c r="G120" s="9"/>
      <c r="H120" s="11"/>
      <c r="I120" s="9" t="s">
        <v>13</v>
      </c>
      <c r="J120" s="347"/>
      <c r="K120" s="347"/>
      <c r="L120" s="347"/>
    </row>
    <row r="121">
      <c r="A121" s="102"/>
      <c r="B121" s="11"/>
      <c r="C121" s="8"/>
      <c r="D121" s="8"/>
      <c r="E121" s="9"/>
      <c r="F121" s="10"/>
      <c r="G121" s="9"/>
      <c r="H121" s="11"/>
      <c r="I121" s="9" t="s">
        <v>13</v>
      </c>
      <c r="J121" s="347"/>
      <c r="K121" s="347"/>
      <c r="L121" s="347"/>
    </row>
    <row r="122">
      <c r="A122" s="102"/>
      <c r="B122" s="11"/>
      <c r="C122" s="8"/>
      <c r="D122" s="8"/>
      <c r="E122" s="9"/>
      <c r="F122" s="10"/>
      <c r="G122" s="9"/>
      <c r="H122" s="11"/>
      <c r="I122" s="9" t="s">
        <v>13</v>
      </c>
      <c r="J122" s="347"/>
      <c r="K122" s="347"/>
      <c r="L122" s="347"/>
    </row>
    <row r="123">
      <c r="A123" s="102"/>
      <c r="B123" s="11"/>
      <c r="C123" s="8"/>
      <c r="D123" s="8"/>
      <c r="E123" s="9"/>
      <c r="F123" s="10"/>
      <c r="G123" s="9"/>
      <c r="H123" s="11"/>
      <c r="I123" s="9" t="s">
        <v>13</v>
      </c>
      <c r="J123" s="347"/>
      <c r="K123" s="347"/>
      <c r="L123" s="347"/>
    </row>
    <row r="124">
      <c r="A124" s="102"/>
      <c r="B124" s="11"/>
      <c r="C124" s="8"/>
      <c r="D124" s="8"/>
      <c r="E124" s="9"/>
      <c r="F124" s="10"/>
      <c r="G124" s="9"/>
      <c r="H124" s="11"/>
      <c r="I124" s="9" t="s">
        <v>13</v>
      </c>
      <c r="J124" s="347"/>
      <c r="K124" s="347"/>
      <c r="L124" s="347"/>
    </row>
    <row r="125">
      <c r="A125" s="102"/>
      <c r="B125" s="11"/>
      <c r="C125" s="8"/>
      <c r="D125" s="8"/>
      <c r="E125" s="9"/>
      <c r="F125" s="10"/>
      <c r="G125" s="9"/>
      <c r="H125" s="11"/>
      <c r="I125" s="9" t="s">
        <v>13</v>
      </c>
      <c r="J125" s="347"/>
      <c r="K125" s="347"/>
      <c r="L125" s="347"/>
    </row>
    <row r="126">
      <c r="A126" s="102"/>
      <c r="B126" s="11"/>
      <c r="C126" s="8"/>
      <c r="D126" s="8"/>
      <c r="E126" s="9"/>
      <c r="F126" s="10"/>
      <c r="G126" s="9"/>
      <c r="H126" s="11"/>
      <c r="I126" s="9" t="s">
        <v>13</v>
      </c>
      <c r="J126" s="347"/>
      <c r="K126" s="347"/>
      <c r="L126" s="347"/>
    </row>
    <row r="127">
      <c r="A127" s="102"/>
      <c r="B127" s="11"/>
      <c r="C127" s="8"/>
      <c r="D127" s="8"/>
      <c r="E127" s="9"/>
      <c r="F127" s="10"/>
      <c r="G127" s="9"/>
      <c r="H127" s="11"/>
      <c r="I127" s="9" t="s">
        <v>13</v>
      </c>
      <c r="J127" s="347"/>
      <c r="K127" s="347"/>
      <c r="L127" s="347"/>
    </row>
    <row r="128">
      <c r="A128" s="102"/>
      <c r="B128" s="11"/>
      <c r="C128" s="8"/>
      <c r="D128" s="8"/>
      <c r="E128" s="9"/>
      <c r="F128" s="10"/>
      <c r="G128" s="9"/>
      <c r="H128" s="11"/>
      <c r="I128" s="9" t="s">
        <v>13</v>
      </c>
      <c r="J128" s="347"/>
      <c r="K128" s="347"/>
      <c r="L128" s="347"/>
    </row>
    <row r="129">
      <c r="A129" s="102"/>
      <c r="B129" s="11"/>
      <c r="C129" s="8"/>
      <c r="D129" s="8"/>
      <c r="E129" s="9"/>
      <c r="F129" s="10"/>
      <c r="G129" s="9"/>
      <c r="H129" s="11"/>
      <c r="I129" s="9" t="s">
        <v>13</v>
      </c>
      <c r="J129" s="347"/>
      <c r="K129" s="347"/>
      <c r="L129" s="347"/>
    </row>
    <row r="130">
      <c r="A130" s="102"/>
      <c r="B130" s="11"/>
      <c r="C130" s="8"/>
      <c r="D130" s="8"/>
      <c r="E130" s="9"/>
      <c r="F130" s="10"/>
      <c r="G130" s="9"/>
      <c r="H130" s="11"/>
      <c r="I130" s="9" t="s">
        <v>13</v>
      </c>
      <c r="J130" s="347"/>
      <c r="K130" s="347"/>
      <c r="L130" s="347"/>
    </row>
    <row r="131">
      <c r="A131" s="102"/>
      <c r="B131" s="11"/>
      <c r="C131" s="8"/>
      <c r="D131" s="8"/>
      <c r="E131" s="9"/>
      <c r="F131" s="10"/>
      <c r="G131" s="9"/>
      <c r="H131" s="11"/>
      <c r="I131" s="9" t="s">
        <v>13</v>
      </c>
      <c r="J131" s="347"/>
      <c r="K131" s="347"/>
      <c r="L131" s="347"/>
    </row>
    <row r="132">
      <c r="A132" s="102"/>
      <c r="B132" s="11"/>
      <c r="C132" s="8"/>
      <c r="D132" s="8"/>
      <c r="E132" s="9"/>
      <c r="F132" s="10"/>
      <c r="G132" s="9"/>
      <c r="H132" s="11"/>
      <c r="I132" s="9" t="s">
        <v>13</v>
      </c>
      <c r="J132" s="347"/>
      <c r="K132" s="347"/>
      <c r="L132" s="347"/>
    </row>
    <row r="133">
      <c r="A133" s="102"/>
      <c r="B133" s="11"/>
      <c r="C133" s="8"/>
      <c r="D133" s="8"/>
      <c r="E133" s="9"/>
      <c r="F133" s="10"/>
      <c r="G133" s="9"/>
      <c r="H133" s="11"/>
      <c r="I133" s="9" t="s">
        <v>13</v>
      </c>
      <c r="J133" s="347"/>
      <c r="K133" s="347"/>
      <c r="L133" s="347"/>
    </row>
    <row r="134">
      <c r="A134" s="102"/>
      <c r="B134" s="11"/>
      <c r="C134" s="8"/>
      <c r="D134" s="8"/>
      <c r="E134" s="9"/>
      <c r="F134" s="10"/>
      <c r="G134" s="9"/>
      <c r="H134" s="11"/>
      <c r="I134" s="9" t="s">
        <v>13</v>
      </c>
      <c r="J134" s="347"/>
      <c r="K134" s="347"/>
      <c r="L134" s="347"/>
    </row>
    <row r="135">
      <c r="A135" s="102"/>
      <c r="B135" s="11"/>
      <c r="C135" s="8"/>
      <c r="D135" s="8"/>
      <c r="E135" s="9"/>
      <c r="F135" s="10"/>
      <c r="G135" s="9"/>
      <c r="H135" s="11"/>
      <c r="I135" s="9" t="s">
        <v>13</v>
      </c>
      <c r="J135" s="347"/>
      <c r="K135" s="347"/>
      <c r="L135" s="347"/>
    </row>
    <row r="136">
      <c r="A136" s="102"/>
      <c r="B136" s="11"/>
      <c r="C136" s="8"/>
      <c r="D136" s="8"/>
      <c r="E136" s="9"/>
      <c r="F136" s="10"/>
      <c r="G136" s="9"/>
      <c r="H136" s="11"/>
      <c r="I136" s="9" t="s">
        <v>13</v>
      </c>
      <c r="J136" s="347"/>
      <c r="K136" s="347"/>
      <c r="L136" s="347"/>
    </row>
    <row r="137">
      <c r="A137" s="102"/>
      <c r="B137" s="11"/>
      <c r="C137" s="8"/>
      <c r="D137" s="8"/>
      <c r="E137" s="9"/>
      <c r="F137" s="10"/>
      <c r="G137" s="9"/>
      <c r="H137" s="11"/>
      <c r="I137" s="9" t="s">
        <v>13</v>
      </c>
      <c r="J137" s="347"/>
      <c r="K137" s="347"/>
      <c r="L137" s="347"/>
    </row>
    <row r="138">
      <c r="A138" s="102"/>
      <c r="B138" s="11"/>
      <c r="C138" s="8"/>
      <c r="D138" s="8"/>
      <c r="E138" s="9"/>
      <c r="F138" s="10"/>
      <c r="G138" s="9"/>
      <c r="H138" s="11"/>
      <c r="I138" s="9" t="s">
        <v>13</v>
      </c>
      <c r="J138" s="347"/>
      <c r="K138" s="347"/>
      <c r="L138" s="347"/>
    </row>
    <row r="139">
      <c r="A139" s="102"/>
      <c r="B139" s="11"/>
      <c r="C139" s="8"/>
      <c r="D139" s="8"/>
      <c r="E139" s="9"/>
      <c r="F139" s="10"/>
      <c r="G139" s="9"/>
      <c r="H139" s="11"/>
      <c r="I139" s="9" t="s">
        <v>13</v>
      </c>
      <c r="J139" s="347"/>
      <c r="K139" s="347"/>
      <c r="L139" s="347"/>
    </row>
    <row r="140">
      <c r="A140" s="102"/>
      <c r="B140" s="11"/>
      <c r="C140" s="8"/>
      <c r="D140" s="8"/>
      <c r="E140" s="9"/>
      <c r="F140" s="10"/>
      <c r="G140" s="9"/>
      <c r="H140" s="11"/>
      <c r="I140" s="9" t="s">
        <v>13</v>
      </c>
      <c r="J140" s="347"/>
      <c r="K140" s="347"/>
      <c r="L140" s="347"/>
    </row>
    <row r="141">
      <c r="A141" s="102"/>
      <c r="B141" s="11"/>
      <c r="C141" s="8"/>
      <c r="D141" s="8"/>
      <c r="E141" s="9"/>
      <c r="F141" s="10"/>
      <c r="G141" s="9"/>
      <c r="H141" s="11"/>
      <c r="I141" s="9" t="s">
        <v>13</v>
      </c>
      <c r="J141" s="347"/>
      <c r="K141" s="347"/>
      <c r="L141" s="347"/>
    </row>
    <row r="142">
      <c r="A142" s="102"/>
      <c r="B142" s="11"/>
      <c r="C142" s="8"/>
      <c r="D142" s="8"/>
      <c r="E142" s="9"/>
      <c r="F142" s="10"/>
      <c r="G142" s="9"/>
      <c r="H142" s="11"/>
      <c r="I142" s="9" t="s">
        <v>13</v>
      </c>
      <c r="J142" s="347"/>
      <c r="K142" s="347"/>
      <c r="L142" s="347"/>
    </row>
    <row r="143">
      <c r="A143" s="102"/>
      <c r="B143" s="11"/>
      <c r="C143" s="8"/>
      <c r="D143" s="8"/>
      <c r="E143" s="9"/>
      <c r="F143" s="10"/>
      <c r="G143" s="9"/>
      <c r="H143" s="11"/>
      <c r="I143" s="9" t="s">
        <v>13</v>
      </c>
      <c r="J143" s="347"/>
      <c r="K143" s="347"/>
      <c r="L143" s="347"/>
    </row>
    <row r="144">
      <c r="A144" s="102"/>
      <c r="B144" s="11"/>
      <c r="C144" s="8"/>
      <c r="D144" s="8"/>
      <c r="E144" s="9"/>
      <c r="F144" s="10"/>
      <c r="G144" s="9"/>
      <c r="H144" s="11"/>
      <c r="I144" s="9" t="s">
        <v>13</v>
      </c>
      <c r="J144" s="347"/>
      <c r="K144" s="347"/>
      <c r="L144" s="347"/>
    </row>
    <row r="145">
      <c r="A145" s="102"/>
      <c r="B145" s="11"/>
      <c r="C145" s="8"/>
      <c r="D145" s="8"/>
      <c r="E145" s="9"/>
      <c r="F145" s="10"/>
      <c r="G145" s="9"/>
      <c r="H145" s="11"/>
      <c r="I145" s="9" t="s">
        <v>13</v>
      </c>
      <c r="J145" s="347"/>
      <c r="K145" s="347"/>
      <c r="L145" s="347"/>
    </row>
    <row r="146">
      <c r="A146" s="102"/>
      <c r="B146" s="11"/>
      <c r="C146" s="8"/>
      <c r="D146" s="8"/>
      <c r="E146" s="9"/>
      <c r="F146" s="10"/>
      <c r="G146" s="9"/>
      <c r="H146" s="11"/>
      <c r="I146" s="9" t="s">
        <v>13</v>
      </c>
      <c r="J146" s="347"/>
      <c r="K146" s="347"/>
      <c r="L146" s="347"/>
    </row>
    <row r="147">
      <c r="A147" s="102"/>
      <c r="B147" s="11"/>
      <c r="C147" s="8"/>
      <c r="D147" s="8"/>
      <c r="E147" s="9"/>
      <c r="F147" s="10"/>
      <c r="G147" s="9"/>
      <c r="H147" s="11"/>
      <c r="I147" s="9" t="s">
        <v>13</v>
      </c>
      <c r="J147" s="347"/>
      <c r="K147" s="347"/>
      <c r="L147" s="347"/>
    </row>
    <row r="148">
      <c r="A148" s="102"/>
      <c r="B148" s="11"/>
      <c r="C148" s="8"/>
      <c r="D148" s="8"/>
      <c r="E148" s="9"/>
      <c r="F148" s="10"/>
      <c r="G148" s="9"/>
      <c r="H148" s="11"/>
      <c r="I148" s="9" t="s">
        <v>13</v>
      </c>
      <c r="J148" s="347"/>
      <c r="K148" s="347"/>
      <c r="L148" s="347"/>
    </row>
    <row r="149">
      <c r="A149" s="102"/>
      <c r="B149" s="11"/>
      <c r="C149" s="8"/>
      <c r="D149" s="8"/>
      <c r="E149" s="9"/>
      <c r="F149" s="10"/>
      <c r="G149" s="9"/>
      <c r="H149" s="11"/>
      <c r="I149" s="9" t="s">
        <v>13</v>
      </c>
      <c r="J149" s="347"/>
      <c r="K149" s="347"/>
      <c r="L149" s="347"/>
    </row>
    <row r="150">
      <c r="A150" s="102"/>
      <c r="B150" s="11"/>
      <c r="C150" s="8"/>
      <c r="D150" s="8"/>
      <c r="E150" s="9"/>
      <c r="F150" s="10"/>
      <c r="G150" s="9"/>
      <c r="H150" s="11"/>
      <c r="I150" s="9" t="s">
        <v>13</v>
      </c>
      <c r="J150" s="347"/>
      <c r="K150" s="347"/>
      <c r="L150" s="347"/>
    </row>
    <row r="151">
      <c r="A151" s="102"/>
      <c r="B151" s="11"/>
      <c r="C151" s="8"/>
      <c r="D151" s="8"/>
      <c r="E151" s="9"/>
      <c r="F151" s="10"/>
      <c r="G151" s="9"/>
      <c r="H151" s="11"/>
      <c r="I151" s="9" t="s">
        <v>13</v>
      </c>
      <c r="J151" s="347"/>
      <c r="K151" s="347"/>
      <c r="L151" s="347"/>
    </row>
    <row r="152">
      <c r="A152" s="102"/>
      <c r="B152" s="11"/>
      <c r="C152" s="8"/>
      <c r="D152" s="8"/>
      <c r="E152" s="9"/>
      <c r="F152" s="10"/>
      <c r="G152" s="9"/>
      <c r="H152" s="11"/>
      <c r="I152" s="9" t="s">
        <v>13</v>
      </c>
      <c r="J152" s="347"/>
      <c r="K152" s="347"/>
      <c r="L152" s="347"/>
    </row>
    <row r="153">
      <c r="A153" s="102"/>
      <c r="B153" s="11"/>
      <c r="C153" s="8"/>
      <c r="D153" s="8"/>
      <c r="E153" s="9"/>
      <c r="F153" s="10"/>
      <c r="G153" s="9"/>
      <c r="H153" s="11"/>
      <c r="I153" s="9" t="s">
        <v>13</v>
      </c>
      <c r="J153" s="347"/>
      <c r="K153" s="347"/>
      <c r="L153" s="347"/>
    </row>
    <row r="154">
      <c r="A154" s="102"/>
      <c r="B154" s="11"/>
      <c r="C154" s="8"/>
      <c r="D154" s="8"/>
      <c r="E154" s="9"/>
      <c r="F154" s="10"/>
      <c r="G154" s="9"/>
      <c r="H154" s="11"/>
      <c r="I154" s="9" t="s">
        <v>13</v>
      </c>
      <c r="J154" s="347"/>
      <c r="K154" s="347"/>
      <c r="L154" s="347"/>
    </row>
    <row r="155">
      <c r="A155" s="102"/>
      <c r="B155" s="11"/>
      <c r="C155" s="8"/>
      <c r="D155" s="8"/>
      <c r="E155" s="9"/>
      <c r="F155" s="10"/>
      <c r="G155" s="9"/>
      <c r="H155" s="11"/>
      <c r="I155" s="9" t="s">
        <v>13</v>
      </c>
      <c r="J155" s="347"/>
      <c r="K155" s="347"/>
      <c r="L155" s="347"/>
    </row>
    <row r="156">
      <c r="A156" s="102"/>
      <c r="B156" s="11"/>
      <c r="C156" s="8"/>
      <c r="D156" s="8"/>
      <c r="E156" s="9"/>
      <c r="F156" s="10"/>
      <c r="G156" s="9"/>
      <c r="H156" s="11"/>
      <c r="I156" s="9" t="s">
        <v>13</v>
      </c>
      <c r="J156" s="347"/>
      <c r="K156" s="347"/>
      <c r="L156" s="347"/>
    </row>
    <row r="157">
      <c r="A157" s="102"/>
      <c r="B157" s="11"/>
      <c r="C157" s="8"/>
      <c r="D157" s="8"/>
      <c r="E157" s="9"/>
      <c r="F157" s="10"/>
      <c r="G157" s="9"/>
      <c r="H157" s="11"/>
      <c r="I157" s="9" t="s">
        <v>13</v>
      </c>
      <c r="J157" s="347"/>
      <c r="K157" s="347"/>
      <c r="L157" s="347"/>
    </row>
    <row r="158">
      <c r="A158" s="102"/>
      <c r="B158" s="11"/>
      <c r="C158" s="8"/>
      <c r="D158" s="8"/>
      <c r="E158" s="9"/>
      <c r="F158" s="10"/>
      <c r="G158" s="9"/>
      <c r="H158" s="11"/>
      <c r="I158" s="9" t="s">
        <v>13</v>
      </c>
      <c r="J158" s="347"/>
      <c r="K158" s="347"/>
      <c r="L158" s="347"/>
    </row>
    <row r="159">
      <c r="A159" s="102"/>
      <c r="B159" s="11"/>
      <c r="C159" s="8"/>
      <c r="D159" s="8"/>
      <c r="E159" s="9"/>
      <c r="F159" s="10"/>
      <c r="G159" s="9"/>
      <c r="H159" s="11"/>
      <c r="I159" s="9" t="s">
        <v>13</v>
      </c>
      <c r="J159" s="347"/>
      <c r="K159" s="347"/>
      <c r="L159" s="347"/>
    </row>
    <row r="160">
      <c r="A160" s="102"/>
      <c r="B160" s="11"/>
      <c r="C160" s="8"/>
      <c r="D160" s="8"/>
      <c r="E160" s="9"/>
      <c r="F160" s="10"/>
      <c r="G160" s="9"/>
      <c r="H160" s="11"/>
      <c r="I160" s="9" t="s">
        <v>13</v>
      </c>
      <c r="J160" s="347"/>
      <c r="K160" s="347"/>
      <c r="L160" s="347"/>
    </row>
    <row r="161">
      <c r="A161" s="102"/>
      <c r="B161" s="11"/>
      <c r="C161" s="8"/>
      <c r="D161" s="8"/>
      <c r="E161" s="9"/>
      <c r="F161" s="10"/>
      <c r="G161" s="9"/>
      <c r="H161" s="11"/>
      <c r="I161" s="9" t="s">
        <v>13</v>
      </c>
      <c r="J161" s="347"/>
      <c r="K161" s="347"/>
      <c r="L161" s="347"/>
    </row>
    <row r="162">
      <c r="A162" s="102"/>
      <c r="B162" s="11"/>
      <c r="C162" s="8"/>
      <c r="D162" s="8"/>
      <c r="E162" s="9"/>
      <c r="F162" s="10"/>
      <c r="G162" s="9"/>
      <c r="H162" s="11"/>
      <c r="I162" s="9" t="s">
        <v>13</v>
      </c>
      <c r="J162" s="347"/>
      <c r="K162" s="347"/>
      <c r="L162" s="347"/>
    </row>
    <row r="163">
      <c r="A163" s="102"/>
      <c r="B163" s="11"/>
      <c r="C163" s="8"/>
      <c r="D163" s="8"/>
      <c r="E163" s="9"/>
      <c r="F163" s="10"/>
      <c r="G163" s="9"/>
      <c r="H163" s="11"/>
      <c r="I163" s="9" t="s">
        <v>13</v>
      </c>
      <c r="J163" s="347"/>
      <c r="K163" s="347"/>
      <c r="L163" s="347"/>
    </row>
    <row r="164">
      <c r="A164" s="102"/>
      <c r="B164" s="11"/>
      <c r="C164" s="8"/>
      <c r="D164" s="8"/>
      <c r="E164" s="9"/>
      <c r="F164" s="10"/>
      <c r="G164" s="9"/>
      <c r="H164" s="11"/>
      <c r="I164" s="9" t="s">
        <v>13</v>
      </c>
      <c r="J164" s="347"/>
      <c r="K164" s="347"/>
      <c r="L164" s="347"/>
    </row>
    <row r="165">
      <c r="A165" s="102"/>
      <c r="B165" s="11"/>
      <c r="C165" s="8"/>
      <c r="D165" s="8"/>
      <c r="E165" s="9"/>
      <c r="F165" s="10"/>
      <c r="G165" s="9"/>
      <c r="H165" s="11"/>
      <c r="I165" s="9" t="s">
        <v>13</v>
      </c>
      <c r="J165" s="347"/>
      <c r="K165" s="347"/>
      <c r="L165" s="347"/>
    </row>
    <row r="166">
      <c r="A166" s="102"/>
      <c r="B166" s="11"/>
      <c r="C166" s="8"/>
      <c r="D166" s="8"/>
      <c r="E166" s="9"/>
      <c r="F166" s="10"/>
      <c r="G166" s="9"/>
      <c r="H166" s="11"/>
      <c r="I166" s="9" t="s">
        <v>13</v>
      </c>
      <c r="J166" s="347"/>
      <c r="K166" s="347"/>
      <c r="L166" s="347"/>
    </row>
    <row r="167">
      <c r="A167" s="102"/>
      <c r="B167" s="11"/>
      <c r="C167" s="8"/>
      <c r="D167" s="8"/>
      <c r="E167" s="9"/>
      <c r="F167" s="10"/>
      <c r="G167" s="9"/>
      <c r="H167" s="11"/>
      <c r="I167" s="9" t="s">
        <v>13</v>
      </c>
      <c r="J167" s="347"/>
      <c r="K167" s="347"/>
      <c r="L167" s="347"/>
    </row>
    <row r="168">
      <c r="A168" s="102"/>
      <c r="B168" s="11"/>
      <c r="C168" s="8"/>
      <c r="D168" s="8"/>
      <c r="E168" s="9"/>
      <c r="F168" s="10"/>
      <c r="G168" s="9"/>
      <c r="H168" s="11"/>
      <c r="I168" s="9" t="s">
        <v>13</v>
      </c>
      <c r="J168" s="347"/>
      <c r="K168" s="347"/>
      <c r="L168" s="347"/>
    </row>
    <row r="169">
      <c r="A169" s="102"/>
      <c r="B169" s="11"/>
      <c r="C169" s="8"/>
      <c r="D169" s="8"/>
      <c r="E169" s="9"/>
      <c r="F169" s="10"/>
      <c r="G169" s="9"/>
      <c r="H169" s="11"/>
      <c r="I169" s="9" t="s">
        <v>13</v>
      </c>
      <c r="J169" s="347"/>
      <c r="K169" s="347"/>
      <c r="L169" s="347"/>
    </row>
    <row r="170">
      <c r="A170" s="102"/>
      <c r="B170" s="11"/>
      <c r="C170" s="8"/>
      <c r="D170" s="8"/>
      <c r="E170" s="9"/>
      <c r="F170" s="10"/>
      <c r="G170" s="9"/>
      <c r="H170" s="11"/>
      <c r="I170" s="9" t="s">
        <v>13</v>
      </c>
      <c r="J170" s="347"/>
      <c r="K170" s="347"/>
      <c r="L170" s="347"/>
    </row>
    <row r="171">
      <c r="A171" s="102"/>
      <c r="B171" s="11"/>
      <c r="C171" s="8"/>
      <c r="D171" s="8"/>
      <c r="E171" s="9"/>
      <c r="F171" s="10"/>
      <c r="G171" s="9"/>
      <c r="H171" s="11"/>
      <c r="I171" s="9" t="s">
        <v>13</v>
      </c>
      <c r="J171" s="347"/>
      <c r="K171" s="347"/>
      <c r="L171" s="347"/>
    </row>
    <row r="172">
      <c r="A172" s="102"/>
      <c r="B172" s="11"/>
      <c r="C172" s="8"/>
      <c r="D172" s="8"/>
      <c r="E172" s="9"/>
      <c r="F172" s="10"/>
      <c r="G172" s="9"/>
      <c r="H172" s="11"/>
      <c r="I172" s="9" t="s">
        <v>13</v>
      </c>
      <c r="J172" s="347"/>
      <c r="K172" s="347"/>
      <c r="L172" s="347"/>
    </row>
    <row r="173">
      <c r="A173" s="102"/>
      <c r="B173" s="11"/>
      <c r="C173" s="8"/>
      <c r="D173" s="8"/>
      <c r="E173" s="9"/>
      <c r="F173" s="10"/>
      <c r="G173" s="9"/>
      <c r="H173" s="11"/>
      <c r="I173" s="9" t="s">
        <v>13</v>
      </c>
      <c r="J173" s="347"/>
      <c r="K173" s="347"/>
      <c r="L173" s="347"/>
    </row>
    <row r="174">
      <c r="A174" s="102"/>
      <c r="B174" s="11"/>
      <c r="C174" s="8"/>
      <c r="D174" s="8"/>
      <c r="E174" s="9"/>
      <c r="F174" s="10"/>
      <c r="G174" s="9"/>
      <c r="H174" s="11"/>
      <c r="I174" s="9" t="s">
        <v>13</v>
      </c>
      <c r="J174" s="347"/>
      <c r="K174" s="347"/>
      <c r="L174" s="347"/>
    </row>
    <row r="175">
      <c r="A175" s="102"/>
      <c r="B175" s="11"/>
      <c r="C175" s="8"/>
      <c r="D175" s="8"/>
      <c r="E175" s="9"/>
      <c r="F175" s="10"/>
      <c r="G175" s="9"/>
      <c r="H175" s="11"/>
      <c r="I175" s="9" t="s">
        <v>13</v>
      </c>
      <c r="J175" s="347"/>
      <c r="K175" s="347"/>
      <c r="L175" s="347"/>
    </row>
    <row r="176">
      <c r="A176" s="102"/>
      <c r="B176" s="11"/>
      <c r="C176" s="8"/>
      <c r="D176" s="8"/>
      <c r="E176" s="9"/>
      <c r="F176" s="10"/>
      <c r="G176" s="9"/>
      <c r="H176" s="11"/>
      <c r="I176" s="9" t="s">
        <v>13</v>
      </c>
      <c r="J176" s="347"/>
      <c r="K176" s="347"/>
      <c r="L176" s="347"/>
    </row>
    <row r="177">
      <c r="A177" s="102"/>
      <c r="B177" s="11"/>
      <c r="C177" s="8"/>
      <c r="D177" s="8"/>
      <c r="E177" s="9"/>
      <c r="F177" s="10"/>
      <c r="G177" s="9"/>
      <c r="H177" s="11"/>
      <c r="I177" s="9" t="s">
        <v>13</v>
      </c>
      <c r="J177" s="347"/>
      <c r="K177" s="347"/>
      <c r="L177" s="347"/>
    </row>
    <row r="178">
      <c r="A178" s="102"/>
      <c r="B178" s="11"/>
      <c r="C178" s="8"/>
      <c r="D178" s="8"/>
      <c r="E178" s="9"/>
      <c r="F178" s="10"/>
      <c r="G178" s="9"/>
      <c r="H178" s="11"/>
      <c r="I178" s="9" t="s">
        <v>13</v>
      </c>
      <c r="J178" s="347"/>
      <c r="K178" s="347"/>
      <c r="L178" s="347"/>
    </row>
    <row r="179">
      <c r="A179" s="102"/>
      <c r="B179" s="11"/>
      <c r="C179" s="8"/>
      <c r="D179" s="8"/>
      <c r="E179" s="9"/>
      <c r="F179" s="10"/>
      <c r="G179" s="9"/>
      <c r="H179" s="11"/>
      <c r="I179" s="9" t="s">
        <v>13</v>
      </c>
      <c r="J179" s="347"/>
      <c r="K179" s="347"/>
      <c r="L179" s="347"/>
    </row>
    <row r="180">
      <c r="A180" s="102"/>
      <c r="B180" s="11"/>
      <c r="C180" s="8"/>
      <c r="D180" s="8"/>
      <c r="E180" s="9"/>
      <c r="F180" s="10"/>
      <c r="G180" s="9"/>
      <c r="H180" s="11"/>
      <c r="I180" s="9" t="s">
        <v>13</v>
      </c>
      <c r="J180" s="347"/>
      <c r="K180" s="347"/>
      <c r="L180" s="347"/>
    </row>
    <row r="181">
      <c r="A181" s="102"/>
      <c r="B181" s="11"/>
      <c r="C181" s="8"/>
      <c r="D181" s="8"/>
      <c r="E181" s="9"/>
      <c r="F181" s="10"/>
      <c r="G181" s="9"/>
      <c r="H181" s="11"/>
      <c r="I181" s="9" t="s">
        <v>13</v>
      </c>
      <c r="J181" s="347"/>
      <c r="K181" s="347"/>
      <c r="L181" s="347"/>
    </row>
    <row r="182">
      <c r="A182" s="102"/>
      <c r="B182" s="11"/>
      <c r="C182" s="8"/>
      <c r="D182" s="8"/>
      <c r="E182" s="9"/>
      <c r="F182" s="10"/>
      <c r="G182" s="9"/>
      <c r="H182" s="11"/>
      <c r="I182" s="9" t="s">
        <v>13</v>
      </c>
      <c r="J182" s="347"/>
      <c r="K182" s="347"/>
      <c r="L182" s="347"/>
    </row>
    <row r="183">
      <c r="A183" s="102"/>
      <c r="B183" s="11"/>
      <c r="C183" s="8"/>
      <c r="D183" s="8"/>
      <c r="E183" s="9"/>
      <c r="F183" s="10"/>
      <c r="G183" s="9"/>
      <c r="H183" s="11"/>
      <c r="I183" s="9" t="s">
        <v>13</v>
      </c>
      <c r="J183" s="347"/>
      <c r="K183" s="347"/>
      <c r="L183" s="347"/>
    </row>
    <row r="184">
      <c r="A184" s="102"/>
      <c r="B184" s="11"/>
      <c r="C184" s="8"/>
      <c r="D184" s="8"/>
      <c r="E184" s="9"/>
      <c r="F184" s="10"/>
      <c r="G184" s="9"/>
      <c r="H184" s="11"/>
      <c r="I184" s="9" t="s">
        <v>13</v>
      </c>
      <c r="J184" s="347"/>
      <c r="K184" s="347"/>
      <c r="L184" s="347"/>
    </row>
    <row r="185">
      <c r="A185" s="102"/>
      <c r="B185" s="11"/>
      <c r="C185" s="8"/>
      <c r="D185" s="8"/>
      <c r="E185" s="9"/>
      <c r="F185" s="10"/>
      <c r="G185" s="9"/>
      <c r="H185" s="11"/>
      <c r="I185" s="9" t="s">
        <v>13</v>
      </c>
      <c r="J185" s="347"/>
      <c r="K185" s="347"/>
      <c r="L185" s="347"/>
    </row>
    <row r="186">
      <c r="A186" s="102"/>
      <c r="B186" s="11"/>
      <c r="C186" s="8"/>
      <c r="D186" s="8"/>
      <c r="E186" s="9"/>
      <c r="F186" s="10"/>
      <c r="G186" s="9"/>
      <c r="H186" s="11"/>
      <c r="I186" s="9" t="s">
        <v>13</v>
      </c>
      <c r="J186" s="347"/>
      <c r="K186" s="347"/>
      <c r="L186" s="347"/>
    </row>
    <row r="187">
      <c r="A187" s="102"/>
      <c r="B187" s="11"/>
      <c r="C187" s="8"/>
      <c r="D187" s="8"/>
      <c r="E187" s="9"/>
      <c r="F187" s="10"/>
      <c r="G187" s="9"/>
      <c r="H187" s="11"/>
      <c r="I187" s="9" t="s">
        <v>13</v>
      </c>
      <c r="J187" s="347"/>
      <c r="K187" s="347"/>
      <c r="L187" s="347"/>
    </row>
    <row r="188">
      <c r="A188" s="102"/>
      <c r="B188" s="11"/>
      <c r="C188" s="8"/>
      <c r="D188" s="8"/>
      <c r="E188" s="9"/>
      <c r="F188" s="10"/>
      <c r="G188" s="9"/>
      <c r="H188" s="11"/>
      <c r="I188" s="9" t="s">
        <v>13</v>
      </c>
      <c r="J188" s="347"/>
      <c r="K188" s="347"/>
      <c r="L188" s="347"/>
    </row>
    <row r="189">
      <c r="A189" s="102"/>
      <c r="B189" s="11"/>
      <c r="C189" s="8"/>
      <c r="D189" s="8"/>
      <c r="E189" s="9"/>
      <c r="F189" s="10"/>
      <c r="G189" s="9"/>
      <c r="H189" s="11"/>
      <c r="I189" s="9" t="s">
        <v>13</v>
      </c>
      <c r="J189" s="347"/>
      <c r="K189" s="347"/>
      <c r="L189" s="347"/>
    </row>
    <row r="190">
      <c r="A190" s="102"/>
      <c r="B190" s="11"/>
      <c r="C190" s="8"/>
      <c r="D190" s="8"/>
      <c r="E190" s="9"/>
      <c r="F190" s="10"/>
      <c r="G190" s="9"/>
      <c r="H190" s="11"/>
      <c r="I190" s="9" t="s">
        <v>13</v>
      </c>
      <c r="J190" s="347"/>
      <c r="K190" s="347"/>
      <c r="L190" s="347"/>
    </row>
    <row r="191">
      <c r="A191" s="102"/>
      <c r="B191" s="11"/>
      <c r="C191" s="8"/>
      <c r="D191" s="8"/>
      <c r="E191" s="9"/>
      <c r="F191" s="10"/>
      <c r="G191" s="9"/>
      <c r="H191" s="11"/>
      <c r="I191" s="9" t="s">
        <v>13</v>
      </c>
      <c r="J191" s="347"/>
      <c r="K191" s="347"/>
      <c r="L191" s="347"/>
    </row>
    <row r="192">
      <c r="A192" s="102"/>
      <c r="B192" s="11"/>
      <c r="C192" s="8"/>
      <c r="D192" s="8"/>
      <c r="E192" s="9"/>
      <c r="F192" s="10"/>
      <c r="G192" s="9"/>
      <c r="H192" s="11"/>
      <c r="I192" s="9" t="s">
        <v>13</v>
      </c>
      <c r="J192" s="347"/>
      <c r="K192" s="347"/>
      <c r="L192" s="347"/>
    </row>
    <row r="193">
      <c r="A193" s="102"/>
      <c r="B193" s="11"/>
      <c r="C193" s="8"/>
      <c r="D193" s="8"/>
      <c r="E193" s="9"/>
      <c r="F193" s="10"/>
      <c r="G193" s="9"/>
      <c r="H193" s="11"/>
      <c r="I193" s="9" t="s">
        <v>13</v>
      </c>
      <c r="J193" s="347"/>
      <c r="K193" s="347"/>
      <c r="L193" s="347"/>
    </row>
    <row r="194">
      <c r="A194" s="102"/>
      <c r="B194" s="11"/>
      <c r="C194" s="8"/>
      <c r="D194" s="8"/>
      <c r="E194" s="9"/>
      <c r="F194" s="10"/>
      <c r="G194" s="9"/>
      <c r="H194" s="11"/>
      <c r="I194" s="9" t="s">
        <v>13</v>
      </c>
      <c r="J194" s="347"/>
      <c r="K194" s="347"/>
      <c r="L194" s="347"/>
    </row>
    <row r="195">
      <c r="A195" s="102"/>
      <c r="B195" s="11"/>
      <c r="C195" s="8"/>
      <c r="D195" s="8"/>
      <c r="E195" s="9"/>
      <c r="F195" s="10"/>
      <c r="G195" s="9"/>
      <c r="H195" s="11"/>
      <c r="I195" s="9" t="s">
        <v>13</v>
      </c>
      <c r="J195" s="347"/>
      <c r="K195" s="347"/>
      <c r="L195" s="347"/>
    </row>
    <row r="196">
      <c r="A196" s="102"/>
      <c r="B196" s="11"/>
      <c r="C196" s="8"/>
      <c r="D196" s="8"/>
      <c r="E196" s="9"/>
      <c r="F196" s="10"/>
      <c r="G196" s="9"/>
      <c r="H196" s="11"/>
      <c r="I196" s="9" t="s">
        <v>13</v>
      </c>
      <c r="J196" s="347"/>
      <c r="K196" s="347"/>
      <c r="L196" s="347"/>
    </row>
    <row r="197">
      <c r="A197" s="102"/>
      <c r="B197" s="11"/>
      <c r="C197" s="8"/>
      <c r="D197" s="8"/>
      <c r="E197" s="9"/>
      <c r="F197" s="10"/>
      <c r="G197" s="9"/>
      <c r="H197" s="11"/>
      <c r="I197" s="9" t="s">
        <v>13</v>
      </c>
      <c r="J197" s="347"/>
      <c r="K197" s="347"/>
      <c r="L197" s="347"/>
    </row>
    <row r="198">
      <c r="A198" s="102"/>
      <c r="B198" s="11"/>
      <c r="C198" s="8"/>
      <c r="D198" s="8"/>
      <c r="E198" s="9"/>
      <c r="F198" s="10"/>
      <c r="G198" s="9"/>
      <c r="H198" s="11"/>
      <c r="I198" s="9" t="s">
        <v>13</v>
      </c>
      <c r="J198" s="347"/>
      <c r="K198" s="347"/>
      <c r="L198" s="347"/>
    </row>
    <row r="199">
      <c r="A199" s="102"/>
      <c r="B199" s="11"/>
      <c r="C199" s="8"/>
      <c r="D199" s="8"/>
      <c r="E199" s="9"/>
      <c r="F199" s="10"/>
      <c r="G199" s="9"/>
      <c r="H199" s="11"/>
      <c r="I199" s="9" t="s">
        <v>13</v>
      </c>
      <c r="J199" s="347"/>
      <c r="K199" s="347"/>
      <c r="L199" s="347"/>
    </row>
    <row r="200">
      <c r="A200" s="102"/>
      <c r="B200" s="11"/>
      <c r="C200" s="8"/>
      <c r="D200" s="8"/>
      <c r="E200" s="9"/>
      <c r="F200" s="10"/>
      <c r="G200" s="9"/>
      <c r="H200" s="11"/>
      <c r="I200" s="9" t="s">
        <v>13</v>
      </c>
      <c r="J200" s="347"/>
      <c r="K200" s="347"/>
      <c r="L200" s="347"/>
    </row>
    <row r="201">
      <c r="A201" s="102"/>
      <c r="B201" s="11"/>
      <c r="C201" s="8"/>
      <c r="D201" s="8"/>
      <c r="E201" s="9"/>
      <c r="F201" s="10"/>
      <c r="G201" s="9"/>
      <c r="H201" s="11"/>
      <c r="I201" s="9" t="s">
        <v>13</v>
      </c>
      <c r="J201" s="347"/>
      <c r="K201" s="347"/>
      <c r="L201" s="347"/>
    </row>
    <row r="202">
      <c r="A202" s="102"/>
      <c r="B202" s="11"/>
      <c r="C202" s="8"/>
      <c r="D202" s="8"/>
      <c r="E202" s="9"/>
      <c r="F202" s="10"/>
      <c r="G202" s="9"/>
      <c r="H202" s="11"/>
      <c r="I202" s="9" t="s">
        <v>13</v>
      </c>
      <c r="J202" s="347"/>
      <c r="K202" s="347"/>
      <c r="L202" s="347"/>
    </row>
    <row r="203">
      <c r="A203" s="102"/>
      <c r="B203" s="11"/>
      <c r="C203" s="8"/>
      <c r="D203" s="8"/>
      <c r="E203" s="9"/>
      <c r="F203" s="10"/>
      <c r="G203" s="9"/>
      <c r="H203" s="11"/>
      <c r="I203" s="9" t="s">
        <v>13</v>
      </c>
      <c r="J203" s="347"/>
      <c r="K203" s="347"/>
      <c r="L203" s="347"/>
    </row>
    <row r="204">
      <c r="A204" s="102"/>
      <c r="B204" s="11"/>
      <c r="C204" s="8"/>
      <c r="D204" s="8"/>
      <c r="E204" s="9"/>
      <c r="F204" s="10"/>
      <c r="G204" s="9"/>
      <c r="H204" s="11"/>
      <c r="I204" s="9" t="s">
        <v>13</v>
      </c>
      <c r="J204" s="347"/>
      <c r="K204" s="347"/>
      <c r="L204" s="347"/>
    </row>
    <row r="205">
      <c r="A205" s="102"/>
      <c r="B205" s="11"/>
      <c r="C205" s="8"/>
      <c r="D205" s="8"/>
      <c r="E205" s="9"/>
      <c r="F205" s="10"/>
      <c r="G205" s="9"/>
      <c r="H205" s="11"/>
      <c r="I205" s="9" t="s">
        <v>13</v>
      </c>
      <c r="J205" s="347"/>
      <c r="K205" s="347"/>
      <c r="L205" s="347"/>
    </row>
    <row r="206">
      <c r="A206" s="102"/>
      <c r="B206" s="11"/>
      <c r="C206" s="8"/>
      <c r="D206" s="8"/>
      <c r="E206" s="9"/>
      <c r="F206" s="10"/>
      <c r="G206" s="9"/>
      <c r="H206" s="11"/>
      <c r="I206" s="9" t="s">
        <v>13</v>
      </c>
      <c r="J206" s="347"/>
      <c r="K206" s="347"/>
      <c r="L206" s="347"/>
    </row>
    <row r="207">
      <c r="A207" s="102"/>
      <c r="B207" s="11"/>
      <c r="C207" s="8"/>
      <c r="D207" s="8"/>
      <c r="E207" s="9"/>
      <c r="F207" s="10"/>
      <c r="G207" s="9"/>
      <c r="H207" s="11"/>
      <c r="I207" s="9" t="s">
        <v>13</v>
      </c>
      <c r="J207" s="347"/>
      <c r="K207" s="347"/>
      <c r="L207" s="347"/>
    </row>
    <row r="208">
      <c r="A208" s="102"/>
      <c r="B208" s="11"/>
      <c r="C208" s="8"/>
      <c r="D208" s="8"/>
      <c r="E208" s="9"/>
      <c r="F208" s="10"/>
      <c r="G208" s="9"/>
      <c r="H208" s="11"/>
      <c r="I208" s="9" t="s">
        <v>13</v>
      </c>
      <c r="J208" s="347"/>
      <c r="K208" s="347"/>
      <c r="L208" s="347"/>
    </row>
    <row r="209">
      <c r="A209" s="102"/>
      <c r="B209" s="11"/>
      <c r="C209" s="8"/>
      <c r="D209" s="8"/>
      <c r="E209" s="9"/>
      <c r="F209" s="10"/>
      <c r="G209" s="9"/>
      <c r="H209" s="11"/>
      <c r="I209" s="9" t="s">
        <v>13</v>
      </c>
      <c r="J209" s="347"/>
      <c r="K209" s="347"/>
      <c r="L209" s="347"/>
    </row>
    <row r="210">
      <c r="A210" s="102"/>
      <c r="B210" s="11"/>
      <c r="C210" s="8"/>
      <c r="D210" s="8"/>
      <c r="E210" s="9"/>
      <c r="F210" s="10"/>
      <c r="G210" s="9"/>
      <c r="H210" s="11"/>
      <c r="I210" s="9" t="s">
        <v>13</v>
      </c>
      <c r="J210" s="347"/>
      <c r="K210" s="347"/>
      <c r="L210" s="347"/>
    </row>
    <row r="211">
      <c r="A211" s="102"/>
      <c r="B211" s="11"/>
      <c r="C211" s="8"/>
      <c r="D211" s="8"/>
      <c r="E211" s="9"/>
      <c r="F211" s="10"/>
      <c r="G211" s="9"/>
      <c r="H211" s="11"/>
      <c r="I211" s="9" t="s">
        <v>13</v>
      </c>
      <c r="J211" s="347"/>
      <c r="K211" s="347"/>
      <c r="L211" s="347"/>
    </row>
    <row r="212">
      <c r="A212" s="102"/>
      <c r="B212" s="11"/>
      <c r="C212" s="8"/>
      <c r="D212" s="8"/>
      <c r="E212" s="9"/>
      <c r="F212" s="10"/>
      <c r="G212" s="9"/>
      <c r="H212" s="11"/>
      <c r="I212" s="9" t="s">
        <v>13</v>
      </c>
      <c r="J212" s="347"/>
      <c r="K212" s="347"/>
      <c r="L212" s="347"/>
    </row>
    <row r="213">
      <c r="A213" s="102"/>
      <c r="B213" s="11"/>
      <c r="C213" s="8"/>
      <c r="D213" s="8"/>
      <c r="E213" s="9"/>
      <c r="F213" s="10"/>
      <c r="G213" s="9"/>
      <c r="H213" s="11"/>
      <c r="I213" s="9" t="s">
        <v>13</v>
      </c>
      <c r="J213" s="347"/>
      <c r="K213" s="347"/>
      <c r="L213" s="347"/>
    </row>
    <row r="214">
      <c r="A214" s="102"/>
      <c r="B214" s="11"/>
      <c r="C214" s="8"/>
      <c r="D214" s="8"/>
      <c r="E214" s="9"/>
      <c r="F214" s="10"/>
      <c r="G214" s="9"/>
      <c r="H214" s="11"/>
      <c r="I214" s="9" t="s">
        <v>13</v>
      </c>
      <c r="J214" s="347"/>
      <c r="K214" s="347"/>
      <c r="L214" s="347"/>
    </row>
    <row r="215">
      <c r="A215" s="102"/>
      <c r="B215" s="11"/>
      <c r="C215" s="8"/>
      <c r="D215" s="8"/>
      <c r="E215" s="9"/>
      <c r="F215" s="10"/>
      <c r="G215" s="9"/>
      <c r="H215" s="11"/>
      <c r="I215" s="9" t="s">
        <v>13</v>
      </c>
      <c r="J215" s="347"/>
      <c r="K215" s="347"/>
      <c r="L215" s="347"/>
    </row>
    <row r="216">
      <c r="A216" s="102"/>
      <c r="B216" s="11"/>
      <c r="C216" s="8"/>
      <c r="D216" s="8"/>
      <c r="E216" s="9"/>
      <c r="F216" s="10"/>
      <c r="G216" s="9"/>
      <c r="H216" s="11"/>
      <c r="I216" s="9" t="s">
        <v>13</v>
      </c>
      <c r="J216" s="347"/>
      <c r="K216" s="347"/>
      <c r="L216" s="347"/>
    </row>
    <row r="217">
      <c r="A217" s="102"/>
      <c r="B217" s="11"/>
      <c r="C217" s="8"/>
      <c r="D217" s="8"/>
      <c r="E217" s="9"/>
      <c r="F217" s="10"/>
      <c r="G217" s="9"/>
      <c r="H217" s="11"/>
      <c r="I217" s="9" t="s">
        <v>13</v>
      </c>
      <c r="J217" s="347"/>
      <c r="K217" s="347"/>
      <c r="L217" s="347"/>
    </row>
    <row r="218">
      <c r="A218" s="102"/>
      <c r="B218" s="11"/>
      <c r="C218" s="8"/>
      <c r="D218" s="8"/>
      <c r="E218" s="9"/>
      <c r="F218" s="10"/>
      <c r="G218" s="9"/>
      <c r="H218" s="11"/>
      <c r="I218" s="9" t="s">
        <v>13</v>
      </c>
      <c r="J218" s="347"/>
      <c r="K218" s="347"/>
      <c r="L218" s="347"/>
    </row>
    <row r="219">
      <c r="A219" s="102"/>
      <c r="B219" s="11"/>
      <c r="C219" s="8"/>
      <c r="D219" s="8"/>
      <c r="E219" s="9"/>
      <c r="F219" s="10"/>
      <c r="G219" s="9"/>
      <c r="H219" s="11"/>
      <c r="I219" s="9" t="s">
        <v>13</v>
      </c>
      <c r="J219" s="347"/>
      <c r="K219" s="347"/>
      <c r="L219" s="347"/>
    </row>
    <row r="220">
      <c r="A220" s="102"/>
      <c r="B220" s="11"/>
      <c r="C220" s="8"/>
      <c r="D220" s="8"/>
      <c r="E220" s="9"/>
      <c r="F220" s="10"/>
      <c r="G220" s="9"/>
      <c r="H220" s="11"/>
      <c r="I220" s="9" t="s">
        <v>13</v>
      </c>
      <c r="J220" s="347"/>
      <c r="K220" s="347"/>
      <c r="L220" s="347"/>
    </row>
    <row r="221">
      <c r="A221" s="102"/>
      <c r="B221" s="11"/>
      <c r="C221" s="8"/>
      <c r="D221" s="8"/>
      <c r="E221" s="9"/>
      <c r="F221" s="10"/>
      <c r="G221" s="9"/>
      <c r="H221" s="11"/>
      <c r="I221" s="9" t="s">
        <v>13</v>
      </c>
      <c r="J221" s="347"/>
      <c r="K221" s="347"/>
      <c r="L221" s="347"/>
    </row>
    <row r="222">
      <c r="A222" s="102"/>
      <c r="B222" s="11"/>
      <c r="C222" s="8"/>
      <c r="D222" s="8"/>
      <c r="E222" s="9"/>
      <c r="F222" s="10"/>
      <c r="G222" s="9"/>
      <c r="H222" s="11"/>
      <c r="I222" s="9" t="s">
        <v>13</v>
      </c>
      <c r="J222" s="347"/>
      <c r="K222" s="347"/>
      <c r="L222" s="347"/>
    </row>
    <row r="223">
      <c r="A223" s="102"/>
      <c r="B223" s="11"/>
      <c r="C223" s="8"/>
      <c r="D223" s="8"/>
      <c r="E223" s="9"/>
      <c r="F223" s="10"/>
      <c r="G223" s="9"/>
      <c r="H223" s="11"/>
      <c r="I223" s="9" t="s">
        <v>13</v>
      </c>
      <c r="J223" s="347"/>
      <c r="K223" s="347"/>
      <c r="L223" s="347"/>
    </row>
    <row r="224">
      <c r="A224" s="102"/>
      <c r="B224" s="11"/>
      <c r="C224" s="8"/>
      <c r="D224" s="8"/>
      <c r="E224" s="9"/>
      <c r="F224" s="10"/>
      <c r="G224" s="9"/>
      <c r="H224" s="11"/>
      <c r="I224" s="9" t="s">
        <v>13</v>
      </c>
      <c r="J224" s="347"/>
      <c r="K224" s="347"/>
      <c r="L224" s="347"/>
    </row>
    <row r="225">
      <c r="A225" s="102"/>
      <c r="B225" s="11"/>
      <c r="C225" s="8"/>
      <c r="D225" s="8"/>
      <c r="E225" s="9"/>
      <c r="F225" s="10"/>
      <c r="G225" s="9"/>
      <c r="H225" s="11"/>
      <c r="I225" s="9" t="s">
        <v>13</v>
      </c>
      <c r="J225" s="347"/>
      <c r="K225" s="347"/>
      <c r="L225" s="347"/>
    </row>
    <row r="226">
      <c r="A226" s="102"/>
      <c r="B226" s="11"/>
      <c r="C226" s="8"/>
      <c r="D226" s="8"/>
      <c r="E226" s="9"/>
      <c r="F226" s="10"/>
      <c r="G226" s="9"/>
      <c r="H226" s="11"/>
      <c r="I226" s="9" t="s">
        <v>13</v>
      </c>
      <c r="J226" s="347"/>
      <c r="K226" s="347"/>
      <c r="L226" s="347"/>
    </row>
    <row r="227">
      <c r="A227" s="102"/>
      <c r="B227" s="11"/>
      <c r="C227" s="8"/>
      <c r="D227" s="8"/>
      <c r="E227" s="9"/>
      <c r="F227" s="10"/>
      <c r="G227" s="9"/>
      <c r="H227" s="11"/>
      <c r="I227" s="9" t="s">
        <v>13</v>
      </c>
      <c r="J227" s="347"/>
      <c r="K227" s="347"/>
      <c r="L227" s="347"/>
    </row>
    <row r="228">
      <c r="A228" s="102"/>
      <c r="B228" s="11"/>
      <c r="C228" s="8"/>
      <c r="D228" s="8"/>
      <c r="E228" s="9"/>
      <c r="F228" s="10"/>
      <c r="G228" s="9"/>
      <c r="H228" s="11"/>
      <c r="I228" s="9" t="s">
        <v>13</v>
      </c>
      <c r="J228" s="347"/>
      <c r="K228" s="347"/>
      <c r="L228" s="347"/>
    </row>
    <row r="229">
      <c r="A229" s="102"/>
      <c r="B229" s="11"/>
      <c r="C229" s="8"/>
      <c r="D229" s="8"/>
      <c r="E229" s="9"/>
      <c r="F229" s="10"/>
      <c r="G229" s="9"/>
      <c r="H229" s="11"/>
      <c r="I229" s="9" t="s">
        <v>13</v>
      </c>
      <c r="J229" s="347"/>
      <c r="K229" s="347"/>
      <c r="L229" s="347"/>
    </row>
    <row r="230">
      <c r="A230" s="102"/>
      <c r="B230" s="11"/>
      <c r="C230" s="8"/>
      <c r="D230" s="8"/>
      <c r="E230" s="9"/>
      <c r="F230" s="10"/>
      <c r="G230" s="9"/>
      <c r="H230" s="11"/>
      <c r="I230" s="9" t="s">
        <v>13</v>
      </c>
      <c r="J230" s="347"/>
      <c r="K230" s="347"/>
      <c r="L230" s="347"/>
    </row>
    <row r="231">
      <c r="A231" s="102"/>
      <c r="B231" s="11"/>
      <c r="C231" s="8"/>
      <c r="D231" s="8"/>
      <c r="E231" s="9"/>
      <c r="F231" s="10"/>
      <c r="G231" s="9"/>
      <c r="H231" s="11"/>
      <c r="I231" s="9" t="s">
        <v>13</v>
      </c>
      <c r="J231" s="347"/>
      <c r="K231" s="347"/>
      <c r="L231" s="347"/>
    </row>
    <row r="232">
      <c r="A232" s="102"/>
      <c r="B232" s="11"/>
      <c r="C232" s="8"/>
      <c r="D232" s="8"/>
      <c r="E232" s="9"/>
      <c r="F232" s="10"/>
      <c r="G232" s="9"/>
      <c r="H232" s="11"/>
      <c r="I232" s="9" t="s">
        <v>13</v>
      </c>
      <c r="J232" s="347"/>
      <c r="K232" s="347"/>
      <c r="L232" s="347"/>
    </row>
    <row r="233">
      <c r="A233" s="102"/>
      <c r="B233" s="11"/>
      <c r="C233" s="8"/>
      <c r="D233" s="8"/>
      <c r="E233" s="9"/>
      <c r="F233" s="10"/>
      <c r="G233" s="9"/>
      <c r="H233" s="11"/>
      <c r="I233" s="9" t="s">
        <v>13</v>
      </c>
      <c r="J233" s="347"/>
      <c r="K233" s="347"/>
      <c r="L233" s="347"/>
    </row>
    <row r="234">
      <c r="A234" s="102"/>
      <c r="B234" s="11"/>
      <c r="C234" s="8"/>
      <c r="D234" s="8"/>
      <c r="E234" s="9"/>
      <c r="F234" s="10"/>
      <c r="G234" s="9"/>
      <c r="H234" s="11"/>
      <c r="I234" s="9" t="s">
        <v>13</v>
      </c>
      <c r="J234" s="347"/>
      <c r="K234" s="347"/>
      <c r="L234" s="347"/>
    </row>
    <row r="235">
      <c r="A235" s="102"/>
      <c r="B235" s="11"/>
      <c r="C235" s="8"/>
      <c r="D235" s="8"/>
      <c r="E235" s="9"/>
      <c r="F235" s="10"/>
      <c r="G235" s="9"/>
      <c r="H235" s="11"/>
      <c r="I235" s="9" t="s">
        <v>13</v>
      </c>
      <c r="J235" s="347"/>
      <c r="K235" s="347"/>
      <c r="L235" s="347"/>
    </row>
    <row r="236">
      <c r="A236" s="102"/>
      <c r="B236" s="11"/>
      <c r="C236" s="8"/>
      <c r="D236" s="8"/>
      <c r="E236" s="9"/>
      <c r="F236" s="10"/>
      <c r="G236" s="9"/>
      <c r="H236" s="11"/>
      <c r="I236" s="9" t="s">
        <v>13</v>
      </c>
      <c r="J236" s="347"/>
      <c r="K236" s="347"/>
      <c r="L236" s="347"/>
    </row>
    <row r="237">
      <c r="A237" s="102"/>
      <c r="B237" s="11"/>
      <c r="C237" s="8"/>
      <c r="D237" s="8"/>
      <c r="E237" s="9"/>
      <c r="F237" s="10"/>
      <c r="G237" s="9"/>
      <c r="H237" s="11"/>
      <c r="I237" s="9" t="s">
        <v>13</v>
      </c>
      <c r="J237" s="347"/>
      <c r="K237" s="347"/>
      <c r="L237" s="347"/>
    </row>
    <row r="238">
      <c r="A238" s="102"/>
      <c r="B238" s="11"/>
      <c r="C238" s="8"/>
      <c r="D238" s="8"/>
      <c r="E238" s="9"/>
      <c r="F238" s="10"/>
      <c r="G238" s="9"/>
      <c r="H238" s="11"/>
      <c r="I238" s="9" t="s">
        <v>13</v>
      </c>
      <c r="J238" s="347"/>
      <c r="K238" s="347"/>
      <c r="L238" s="347"/>
    </row>
    <row r="239">
      <c r="A239" s="102"/>
      <c r="B239" s="11"/>
      <c r="C239" s="8"/>
      <c r="D239" s="8"/>
      <c r="E239" s="9"/>
      <c r="F239" s="10"/>
      <c r="G239" s="9"/>
      <c r="H239" s="11"/>
      <c r="I239" s="9" t="s">
        <v>13</v>
      </c>
      <c r="J239" s="347"/>
      <c r="K239" s="347"/>
      <c r="L239" s="347"/>
    </row>
    <row r="240">
      <c r="A240" s="102"/>
      <c r="B240" s="11"/>
      <c r="C240" s="8"/>
      <c r="D240" s="8"/>
      <c r="E240" s="9"/>
      <c r="F240" s="10"/>
      <c r="G240" s="9"/>
      <c r="H240" s="11"/>
      <c r="I240" s="9" t="s">
        <v>13</v>
      </c>
      <c r="J240" s="347"/>
      <c r="K240" s="347"/>
      <c r="L240" s="347"/>
    </row>
    <row r="241">
      <c r="A241" s="102"/>
      <c r="B241" s="11"/>
      <c r="C241" s="8"/>
      <c r="D241" s="8"/>
      <c r="E241" s="9"/>
      <c r="F241" s="10"/>
      <c r="G241" s="9"/>
      <c r="H241" s="11"/>
      <c r="I241" s="9" t="s">
        <v>13</v>
      </c>
      <c r="J241" s="347"/>
      <c r="K241" s="347"/>
      <c r="L241" s="347"/>
    </row>
    <row r="242">
      <c r="A242" s="102"/>
      <c r="B242" s="11"/>
      <c r="C242" s="8"/>
      <c r="D242" s="8"/>
      <c r="E242" s="9"/>
      <c r="F242" s="10"/>
      <c r="G242" s="9"/>
      <c r="H242" s="11"/>
      <c r="I242" s="9" t="s">
        <v>13</v>
      </c>
      <c r="J242" s="347"/>
      <c r="K242" s="347"/>
      <c r="L242" s="347"/>
    </row>
    <row r="243">
      <c r="A243" s="102"/>
      <c r="B243" s="11"/>
      <c r="C243" s="8"/>
      <c r="D243" s="8"/>
      <c r="E243" s="9"/>
      <c r="F243" s="10"/>
      <c r="G243" s="9"/>
      <c r="H243" s="11"/>
      <c r="I243" s="9" t="s">
        <v>13</v>
      </c>
      <c r="J243" s="347"/>
      <c r="K243" s="347"/>
      <c r="L243" s="347"/>
    </row>
    <row r="244">
      <c r="A244" s="102"/>
      <c r="B244" s="11"/>
      <c r="C244" s="8"/>
      <c r="D244" s="8"/>
      <c r="E244" s="9"/>
      <c r="F244" s="10"/>
      <c r="G244" s="9"/>
      <c r="H244" s="11"/>
      <c r="I244" s="9" t="s">
        <v>13</v>
      </c>
      <c r="J244" s="347"/>
      <c r="K244" s="347"/>
      <c r="L244" s="347"/>
    </row>
    <row r="245">
      <c r="A245" s="102"/>
      <c r="B245" s="11"/>
      <c r="C245" s="8"/>
      <c r="D245" s="8"/>
      <c r="E245" s="9"/>
      <c r="F245" s="10"/>
      <c r="G245" s="9"/>
      <c r="H245" s="11"/>
      <c r="I245" s="9" t="s">
        <v>13</v>
      </c>
      <c r="J245" s="347"/>
      <c r="K245" s="347"/>
      <c r="L245" s="347"/>
    </row>
    <row r="246">
      <c r="A246" s="102"/>
      <c r="B246" s="11"/>
      <c r="C246" s="8"/>
      <c r="D246" s="8"/>
      <c r="E246" s="9"/>
      <c r="F246" s="10"/>
      <c r="G246" s="9"/>
      <c r="H246" s="11"/>
      <c r="I246" s="9" t="s">
        <v>13</v>
      </c>
      <c r="J246" s="347"/>
      <c r="K246" s="347"/>
      <c r="L246" s="347"/>
    </row>
    <row r="247">
      <c r="A247" s="102"/>
      <c r="B247" s="11"/>
      <c r="C247" s="8"/>
      <c r="D247" s="8"/>
      <c r="E247" s="9"/>
      <c r="F247" s="10"/>
      <c r="G247" s="9"/>
      <c r="H247" s="11"/>
      <c r="I247" s="9" t="s">
        <v>13</v>
      </c>
      <c r="J247" s="347"/>
      <c r="K247" s="347"/>
      <c r="L247" s="347"/>
    </row>
    <row r="248">
      <c r="A248" s="102"/>
      <c r="B248" s="11"/>
      <c r="C248" s="8"/>
      <c r="D248" s="8"/>
      <c r="E248" s="9"/>
      <c r="F248" s="10"/>
      <c r="G248" s="9"/>
      <c r="H248" s="11"/>
      <c r="I248" s="9" t="s">
        <v>13</v>
      </c>
      <c r="J248" s="347"/>
      <c r="K248" s="347"/>
      <c r="L248" s="347"/>
    </row>
    <row r="249">
      <c r="A249" s="102"/>
      <c r="B249" s="11"/>
      <c r="C249" s="8"/>
      <c r="D249" s="8"/>
      <c r="E249" s="9"/>
      <c r="F249" s="10"/>
      <c r="G249" s="9"/>
      <c r="H249" s="11"/>
      <c r="I249" s="9" t="s">
        <v>13</v>
      </c>
      <c r="J249" s="347"/>
      <c r="K249" s="347"/>
      <c r="L249" s="347"/>
    </row>
    <row r="250">
      <c r="A250" s="102"/>
      <c r="B250" s="11"/>
      <c r="C250" s="8"/>
      <c r="D250" s="8"/>
      <c r="E250" s="9"/>
      <c r="F250" s="10"/>
      <c r="G250" s="9"/>
      <c r="H250" s="11"/>
      <c r="I250" s="9" t="s">
        <v>13</v>
      </c>
      <c r="J250" s="347"/>
      <c r="K250" s="347"/>
      <c r="L250" s="347"/>
    </row>
    <row r="251">
      <c r="A251" s="102"/>
      <c r="B251" s="11"/>
      <c r="C251" s="8"/>
      <c r="D251" s="8"/>
      <c r="E251" s="9"/>
      <c r="F251" s="10"/>
      <c r="G251" s="9"/>
      <c r="H251" s="11"/>
      <c r="I251" s="9" t="s">
        <v>13</v>
      </c>
      <c r="J251" s="347"/>
      <c r="K251" s="347"/>
      <c r="L251" s="347"/>
    </row>
    <row r="252">
      <c r="A252" s="102"/>
      <c r="B252" s="11"/>
      <c r="C252" s="8"/>
      <c r="D252" s="8"/>
      <c r="E252" s="9"/>
      <c r="F252" s="10"/>
      <c r="G252" s="9"/>
      <c r="H252" s="11"/>
      <c r="I252" s="9" t="s">
        <v>13</v>
      </c>
      <c r="J252" s="347"/>
      <c r="K252" s="347"/>
      <c r="L252" s="347"/>
    </row>
    <row r="253">
      <c r="A253" s="102"/>
      <c r="B253" s="11"/>
      <c r="C253" s="8"/>
      <c r="D253" s="8"/>
      <c r="E253" s="9"/>
      <c r="F253" s="10"/>
      <c r="G253" s="9"/>
      <c r="H253" s="11"/>
      <c r="I253" s="9" t="s">
        <v>13</v>
      </c>
      <c r="J253" s="347"/>
      <c r="K253" s="347"/>
      <c r="L253" s="347"/>
    </row>
    <row r="254">
      <c r="A254" s="102"/>
      <c r="B254" s="11"/>
      <c r="C254" s="8"/>
      <c r="D254" s="8"/>
      <c r="E254" s="9"/>
      <c r="F254" s="10"/>
      <c r="G254" s="9"/>
      <c r="H254" s="11"/>
      <c r="I254" s="9" t="s">
        <v>13</v>
      </c>
      <c r="J254" s="347"/>
      <c r="K254" s="347"/>
      <c r="L254" s="347"/>
    </row>
    <row r="255">
      <c r="A255" s="102"/>
      <c r="B255" s="11"/>
      <c r="C255" s="8"/>
      <c r="D255" s="8"/>
      <c r="E255" s="9"/>
      <c r="F255" s="10"/>
      <c r="G255" s="9"/>
      <c r="H255" s="11"/>
      <c r="I255" s="9" t="s">
        <v>13</v>
      </c>
      <c r="J255" s="347"/>
      <c r="K255" s="347"/>
      <c r="L255" s="347"/>
    </row>
    <row r="256">
      <c r="A256" s="102"/>
      <c r="B256" s="11"/>
      <c r="C256" s="8"/>
      <c r="D256" s="8"/>
      <c r="E256" s="9"/>
      <c r="F256" s="10"/>
      <c r="G256" s="9"/>
      <c r="H256" s="11"/>
      <c r="I256" s="9" t="s">
        <v>13</v>
      </c>
      <c r="J256" s="347"/>
      <c r="K256" s="347"/>
      <c r="L256" s="347"/>
    </row>
    <row r="257">
      <c r="A257" s="102"/>
      <c r="B257" s="11"/>
      <c r="C257" s="8"/>
      <c r="D257" s="8"/>
      <c r="E257" s="9"/>
      <c r="F257" s="10"/>
      <c r="G257" s="9"/>
      <c r="H257" s="11"/>
      <c r="I257" s="9" t="s">
        <v>13</v>
      </c>
      <c r="J257" s="347"/>
      <c r="K257" s="347"/>
      <c r="L257" s="347"/>
    </row>
    <row r="258">
      <c r="A258" s="102"/>
      <c r="B258" s="11"/>
      <c r="C258" s="8"/>
      <c r="D258" s="8"/>
      <c r="E258" s="9"/>
      <c r="F258" s="10"/>
      <c r="G258" s="9"/>
      <c r="H258" s="11"/>
      <c r="I258" s="9" t="s">
        <v>13</v>
      </c>
      <c r="J258" s="347"/>
      <c r="K258" s="347"/>
      <c r="L258" s="347"/>
    </row>
    <row r="259">
      <c r="A259" s="102"/>
      <c r="B259" s="11"/>
      <c r="C259" s="8"/>
      <c r="D259" s="8"/>
      <c r="E259" s="9"/>
      <c r="F259" s="10"/>
      <c r="G259" s="9"/>
      <c r="H259" s="11"/>
      <c r="I259" s="9" t="s">
        <v>13</v>
      </c>
      <c r="J259" s="347"/>
      <c r="K259" s="347"/>
      <c r="L259" s="347"/>
    </row>
    <row r="260">
      <c r="A260" s="102"/>
      <c r="B260" s="11"/>
      <c r="C260" s="8"/>
      <c r="D260" s="8"/>
      <c r="E260" s="9"/>
      <c r="F260" s="10"/>
      <c r="G260" s="9"/>
      <c r="H260" s="11"/>
      <c r="I260" s="9" t="s">
        <v>13</v>
      </c>
      <c r="J260" s="347"/>
      <c r="K260" s="347"/>
      <c r="L260" s="347"/>
    </row>
    <row r="261">
      <c r="A261" s="102"/>
      <c r="B261" s="11"/>
      <c r="C261" s="8"/>
      <c r="D261" s="8"/>
      <c r="E261" s="9"/>
      <c r="F261" s="10"/>
      <c r="G261" s="9"/>
      <c r="H261" s="11"/>
      <c r="I261" s="9" t="s">
        <v>13</v>
      </c>
      <c r="J261" s="347"/>
      <c r="K261" s="347"/>
      <c r="L261" s="347"/>
    </row>
    <row r="262">
      <c r="A262" s="102"/>
      <c r="B262" s="11"/>
      <c r="C262" s="8"/>
      <c r="D262" s="8"/>
      <c r="E262" s="9"/>
      <c r="F262" s="10"/>
      <c r="G262" s="9"/>
      <c r="H262" s="11"/>
      <c r="I262" s="9" t="s">
        <v>13</v>
      </c>
      <c r="J262" s="347"/>
      <c r="K262" s="347"/>
      <c r="L262" s="347"/>
    </row>
    <row r="263">
      <c r="A263" s="102"/>
      <c r="B263" s="11"/>
      <c r="C263" s="8"/>
      <c r="D263" s="8"/>
      <c r="E263" s="9"/>
      <c r="F263" s="10"/>
      <c r="G263" s="9"/>
      <c r="H263" s="11"/>
      <c r="I263" s="9" t="s">
        <v>13</v>
      </c>
      <c r="J263" s="347"/>
      <c r="K263" s="347"/>
      <c r="L263" s="347"/>
    </row>
    <row r="264">
      <c r="A264" s="102"/>
      <c r="B264" s="11"/>
      <c r="C264" s="8"/>
      <c r="D264" s="8"/>
      <c r="E264" s="9"/>
      <c r="F264" s="10"/>
      <c r="G264" s="9"/>
      <c r="H264" s="11"/>
      <c r="I264" s="9" t="s">
        <v>13</v>
      </c>
      <c r="J264" s="347"/>
      <c r="K264" s="347"/>
      <c r="L264" s="347"/>
    </row>
    <row r="265">
      <c r="A265" s="102"/>
      <c r="B265" s="11"/>
      <c r="C265" s="8"/>
      <c r="D265" s="8"/>
      <c r="E265" s="9"/>
      <c r="F265" s="10"/>
      <c r="G265" s="9"/>
      <c r="H265" s="11"/>
      <c r="I265" s="9" t="s">
        <v>13</v>
      </c>
      <c r="J265" s="347"/>
      <c r="K265" s="347"/>
      <c r="L265" s="347"/>
    </row>
    <row r="266">
      <c r="A266" s="102"/>
      <c r="B266" s="11"/>
      <c r="C266" s="8"/>
      <c r="D266" s="8"/>
      <c r="E266" s="9"/>
      <c r="F266" s="10"/>
      <c r="G266" s="9"/>
      <c r="H266" s="11"/>
      <c r="I266" s="9" t="s">
        <v>13</v>
      </c>
      <c r="J266" s="347"/>
      <c r="K266" s="347"/>
      <c r="L266" s="347"/>
    </row>
    <row r="267">
      <c r="A267" s="102"/>
      <c r="B267" s="11"/>
      <c r="C267" s="8"/>
      <c r="D267" s="8"/>
      <c r="E267" s="9"/>
      <c r="F267" s="10"/>
      <c r="G267" s="9"/>
      <c r="H267" s="11"/>
      <c r="I267" s="9" t="s">
        <v>13</v>
      </c>
      <c r="J267" s="347"/>
      <c r="K267" s="347"/>
      <c r="L267" s="347"/>
    </row>
    <row r="268">
      <c r="A268" s="102"/>
      <c r="B268" s="11"/>
      <c r="C268" s="8"/>
      <c r="D268" s="8"/>
      <c r="E268" s="9"/>
      <c r="F268" s="10"/>
      <c r="G268" s="9"/>
      <c r="H268" s="11"/>
      <c r="I268" s="9" t="s">
        <v>13</v>
      </c>
      <c r="J268" s="347"/>
      <c r="K268" s="347"/>
      <c r="L268" s="347"/>
    </row>
    <row r="269">
      <c r="A269" s="102"/>
      <c r="B269" s="11"/>
      <c r="C269" s="8"/>
      <c r="D269" s="8"/>
      <c r="E269" s="9"/>
      <c r="F269" s="10"/>
      <c r="G269" s="9"/>
      <c r="H269" s="11"/>
      <c r="I269" s="9" t="s">
        <v>13</v>
      </c>
      <c r="J269" s="347"/>
      <c r="K269" s="347"/>
      <c r="L269" s="347"/>
    </row>
    <row r="270">
      <c r="A270" s="102"/>
      <c r="B270" s="11"/>
      <c r="C270" s="8"/>
      <c r="D270" s="8"/>
      <c r="E270" s="9"/>
      <c r="F270" s="10"/>
      <c r="G270" s="9"/>
      <c r="H270" s="11"/>
      <c r="I270" s="9" t="s">
        <v>13</v>
      </c>
      <c r="J270" s="347"/>
      <c r="K270" s="347"/>
      <c r="L270" s="347"/>
    </row>
    <row r="271">
      <c r="A271" s="102"/>
      <c r="B271" s="11"/>
      <c r="C271" s="8"/>
      <c r="D271" s="8"/>
      <c r="E271" s="9"/>
      <c r="F271" s="10"/>
      <c r="G271" s="9"/>
      <c r="H271" s="11"/>
      <c r="I271" s="9" t="s">
        <v>13</v>
      </c>
      <c r="J271" s="347"/>
      <c r="K271" s="347"/>
      <c r="L271" s="347"/>
    </row>
    <row r="272">
      <c r="A272" s="102"/>
      <c r="B272" s="11"/>
      <c r="C272" s="8"/>
      <c r="D272" s="8"/>
      <c r="E272" s="9"/>
      <c r="F272" s="10"/>
      <c r="G272" s="9"/>
      <c r="H272" s="11"/>
      <c r="I272" s="9" t="s">
        <v>13</v>
      </c>
      <c r="J272" s="347"/>
      <c r="K272" s="347"/>
      <c r="L272" s="347"/>
    </row>
    <row r="273">
      <c r="A273" s="102"/>
      <c r="B273" s="11"/>
      <c r="C273" s="8"/>
      <c r="D273" s="8"/>
      <c r="E273" s="9"/>
      <c r="F273" s="10"/>
      <c r="G273" s="9"/>
      <c r="H273" s="11"/>
      <c r="I273" s="9" t="s">
        <v>13</v>
      </c>
      <c r="J273" s="347"/>
      <c r="K273" s="347"/>
      <c r="L273" s="347"/>
    </row>
    <row r="274">
      <c r="A274" s="102"/>
      <c r="B274" s="11"/>
      <c r="C274" s="8"/>
      <c r="D274" s="8"/>
      <c r="E274" s="9"/>
      <c r="F274" s="10"/>
      <c r="G274" s="9"/>
      <c r="H274" s="11"/>
      <c r="I274" s="9" t="s">
        <v>13</v>
      </c>
      <c r="J274" s="347"/>
      <c r="K274" s="347"/>
      <c r="L274" s="347"/>
    </row>
    <row r="275">
      <c r="A275" s="102"/>
      <c r="B275" s="11"/>
      <c r="C275" s="8"/>
      <c r="D275" s="8"/>
      <c r="E275" s="9"/>
      <c r="F275" s="10"/>
      <c r="G275" s="9"/>
      <c r="H275" s="11"/>
      <c r="I275" s="9" t="s">
        <v>13</v>
      </c>
      <c r="J275" s="347"/>
      <c r="K275" s="347"/>
      <c r="L275" s="347"/>
    </row>
    <row r="276">
      <c r="A276" s="102"/>
      <c r="B276" s="11"/>
      <c r="C276" s="8"/>
      <c r="D276" s="8"/>
      <c r="E276" s="9"/>
      <c r="F276" s="10"/>
      <c r="G276" s="9"/>
      <c r="H276" s="11"/>
      <c r="I276" s="9" t="s">
        <v>13</v>
      </c>
      <c r="J276" s="347"/>
      <c r="K276" s="347"/>
      <c r="L276" s="347"/>
    </row>
    <row r="277">
      <c r="A277" s="102"/>
      <c r="B277" s="11"/>
      <c r="C277" s="8"/>
      <c r="D277" s="8"/>
      <c r="E277" s="9"/>
      <c r="F277" s="10"/>
      <c r="G277" s="9"/>
      <c r="H277" s="11"/>
      <c r="I277" s="9" t="s">
        <v>13</v>
      </c>
      <c r="J277" s="347"/>
      <c r="K277" s="347"/>
      <c r="L277" s="347"/>
    </row>
    <row r="278">
      <c r="A278" s="102"/>
      <c r="B278" s="11"/>
      <c r="C278" s="8"/>
      <c r="D278" s="8"/>
      <c r="E278" s="9"/>
      <c r="F278" s="10"/>
      <c r="G278" s="9"/>
      <c r="H278" s="11"/>
      <c r="I278" s="9" t="s">
        <v>13</v>
      </c>
      <c r="J278" s="347"/>
      <c r="K278" s="347"/>
      <c r="L278" s="347"/>
    </row>
    <row r="279">
      <c r="A279" s="102"/>
      <c r="B279" s="11"/>
      <c r="C279" s="8"/>
      <c r="D279" s="8"/>
      <c r="E279" s="9"/>
      <c r="F279" s="10"/>
      <c r="G279" s="9"/>
      <c r="H279" s="11"/>
      <c r="I279" s="9" t="s">
        <v>13</v>
      </c>
      <c r="J279" s="347"/>
      <c r="K279" s="347"/>
      <c r="L279" s="347"/>
    </row>
    <row r="280">
      <c r="A280" s="102"/>
      <c r="B280" s="11"/>
      <c r="C280" s="8"/>
      <c r="D280" s="8"/>
      <c r="E280" s="9"/>
      <c r="F280" s="10"/>
      <c r="G280" s="9"/>
      <c r="H280" s="11"/>
      <c r="I280" s="9" t="s">
        <v>13</v>
      </c>
      <c r="J280" s="347"/>
      <c r="K280" s="347"/>
      <c r="L280" s="347"/>
    </row>
    <row r="281">
      <c r="A281" s="102"/>
      <c r="B281" s="11"/>
      <c r="C281" s="8"/>
      <c r="D281" s="8"/>
      <c r="E281" s="9"/>
      <c r="F281" s="10"/>
      <c r="G281" s="9"/>
      <c r="H281" s="11"/>
      <c r="I281" s="9" t="s">
        <v>13</v>
      </c>
      <c r="J281" s="347"/>
      <c r="K281" s="347"/>
      <c r="L281" s="347"/>
    </row>
    <row r="282">
      <c r="A282" s="102"/>
      <c r="B282" s="11"/>
      <c r="C282" s="8"/>
      <c r="D282" s="8"/>
      <c r="E282" s="9"/>
      <c r="F282" s="10"/>
      <c r="G282" s="9"/>
      <c r="H282" s="11"/>
      <c r="I282" s="9" t="s">
        <v>13</v>
      </c>
      <c r="J282" s="347"/>
      <c r="K282" s="347"/>
      <c r="L282" s="347"/>
    </row>
    <row r="283">
      <c r="A283" s="102"/>
      <c r="B283" s="11"/>
      <c r="C283" s="8"/>
      <c r="D283" s="8"/>
      <c r="E283" s="9"/>
      <c r="F283" s="10"/>
      <c r="G283" s="9"/>
      <c r="H283" s="11"/>
      <c r="I283" s="9" t="s">
        <v>13</v>
      </c>
      <c r="J283" s="347"/>
      <c r="K283" s="347"/>
      <c r="L283" s="347"/>
    </row>
    <row r="284">
      <c r="A284" s="102"/>
      <c r="B284" s="11"/>
      <c r="C284" s="8"/>
      <c r="D284" s="8"/>
      <c r="E284" s="9"/>
      <c r="F284" s="10"/>
      <c r="G284" s="9"/>
      <c r="H284" s="11"/>
      <c r="I284" s="9" t="s">
        <v>13</v>
      </c>
      <c r="J284" s="347"/>
      <c r="K284" s="347"/>
      <c r="L284" s="347"/>
    </row>
    <row r="285">
      <c r="A285" s="102"/>
      <c r="B285" s="11"/>
      <c r="C285" s="8"/>
      <c r="D285" s="8"/>
      <c r="E285" s="9"/>
      <c r="F285" s="10"/>
      <c r="G285" s="9"/>
      <c r="H285" s="11"/>
      <c r="I285" s="9" t="s">
        <v>13</v>
      </c>
      <c r="J285" s="347"/>
      <c r="K285" s="347"/>
      <c r="L285" s="347"/>
    </row>
    <row r="286">
      <c r="A286" s="102"/>
      <c r="B286" s="11"/>
      <c r="C286" s="8"/>
      <c r="D286" s="8"/>
      <c r="E286" s="9"/>
      <c r="F286" s="10"/>
      <c r="G286" s="9"/>
      <c r="H286" s="11"/>
      <c r="I286" s="9" t="s">
        <v>13</v>
      </c>
      <c r="J286" s="347"/>
      <c r="K286" s="347"/>
      <c r="L286" s="347"/>
    </row>
    <row r="287">
      <c r="A287" s="102"/>
      <c r="B287" s="11"/>
      <c r="C287" s="8"/>
      <c r="D287" s="8"/>
      <c r="E287" s="9"/>
      <c r="F287" s="10"/>
      <c r="G287" s="9"/>
      <c r="H287" s="11"/>
      <c r="I287" s="9" t="s">
        <v>13</v>
      </c>
      <c r="J287" s="347"/>
      <c r="K287" s="347"/>
      <c r="L287" s="347"/>
    </row>
    <row r="288">
      <c r="A288" s="102"/>
      <c r="B288" s="11"/>
      <c r="C288" s="8"/>
      <c r="D288" s="8"/>
      <c r="E288" s="9"/>
      <c r="F288" s="10"/>
      <c r="G288" s="9"/>
      <c r="H288" s="11"/>
      <c r="I288" s="9" t="s">
        <v>13</v>
      </c>
      <c r="J288" s="347"/>
      <c r="K288" s="347"/>
      <c r="L288" s="347"/>
    </row>
    <row r="289">
      <c r="A289" s="102"/>
      <c r="B289" s="11"/>
      <c r="C289" s="8"/>
      <c r="D289" s="8"/>
      <c r="E289" s="9"/>
      <c r="F289" s="10"/>
      <c r="G289" s="9"/>
      <c r="H289" s="11"/>
      <c r="I289" s="9" t="s">
        <v>13</v>
      </c>
      <c r="J289" s="347"/>
      <c r="K289" s="347"/>
      <c r="L289" s="347"/>
    </row>
    <row r="290">
      <c r="A290" s="102"/>
      <c r="B290" s="11"/>
      <c r="C290" s="8"/>
      <c r="D290" s="8"/>
      <c r="E290" s="9"/>
      <c r="F290" s="10"/>
      <c r="G290" s="9"/>
      <c r="H290" s="11"/>
      <c r="I290" s="9" t="s">
        <v>13</v>
      </c>
      <c r="J290" s="347"/>
      <c r="K290" s="347"/>
      <c r="L290" s="347"/>
    </row>
    <row r="291">
      <c r="A291" s="102"/>
      <c r="B291" s="11"/>
      <c r="C291" s="8"/>
      <c r="D291" s="8"/>
      <c r="E291" s="9"/>
      <c r="F291" s="10"/>
      <c r="G291" s="9"/>
      <c r="H291" s="11"/>
      <c r="I291" s="9" t="s">
        <v>13</v>
      </c>
      <c r="J291" s="347"/>
      <c r="K291" s="347"/>
      <c r="L291" s="347"/>
    </row>
    <row r="292">
      <c r="A292" s="102"/>
      <c r="B292" s="11"/>
      <c r="C292" s="8"/>
      <c r="D292" s="8"/>
      <c r="E292" s="9"/>
      <c r="F292" s="10"/>
      <c r="G292" s="9"/>
      <c r="H292" s="11"/>
      <c r="I292" s="9" t="s">
        <v>13</v>
      </c>
      <c r="J292" s="347"/>
      <c r="K292" s="347"/>
      <c r="L292" s="347"/>
    </row>
    <row r="293">
      <c r="A293" s="102"/>
      <c r="B293" s="11"/>
      <c r="C293" s="8"/>
      <c r="D293" s="8"/>
      <c r="E293" s="9"/>
      <c r="F293" s="10"/>
      <c r="G293" s="9"/>
      <c r="H293" s="11"/>
      <c r="I293" s="9" t="s">
        <v>13</v>
      </c>
      <c r="J293" s="347"/>
      <c r="K293" s="347"/>
      <c r="L293" s="347"/>
    </row>
    <row r="294">
      <c r="A294" s="102"/>
      <c r="B294" s="11"/>
      <c r="C294" s="8"/>
      <c r="D294" s="8"/>
      <c r="E294" s="9"/>
      <c r="F294" s="10"/>
      <c r="G294" s="9"/>
      <c r="H294" s="11"/>
      <c r="I294" s="9" t="s">
        <v>13</v>
      </c>
      <c r="J294" s="347"/>
      <c r="K294" s="347"/>
      <c r="L294" s="347"/>
    </row>
    <row r="295">
      <c r="A295" s="102"/>
      <c r="B295" s="11"/>
      <c r="C295" s="8"/>
      <c r="D295" s="8"/>
      <c r="E295" s="9"/>
      <c r="F295" s="10"/>
      <c r="G295" s="9"/>
      <c r="H295" s="11"/>
      <c r="I295" s="9" t="s">
        <v>13</v>
      </c>
      <c r="J295" s="347"/>
      <c r="K295" s="347"/>
      <c r="L295" s="347"/>
    </row>
    <row r="296">
      <c r="A296" s="102"/>
      <c r="B296" s="11"/>
      <c r="C296" s="8"/>
      <c r="D296" s="8"/>
      <c r="E296" s="9"/>
      <c r="F296" s="10"/>
      <c r="G296" s="9"/>
      <c r="H296" s="11"/>
      <c r="I296" s="9" t="s">
        <v>13</v>
      </c>
      <c r="J296" s="347"/>
      <c r="K296" s="347"/>
      <c r="L296" s="347"/>
    </row>
    <row r="297">
      <c r="A297" s="102"/>
      <c r="B297" s="11"/>
      <c r="C297" s="8"/>
      <c r="D297" s="8"/>
      <c r="E297" s="9"/>
      <c r="F297" s="10"/>
      <c r="G297" s="9"/>
      <c r="H297" s="11"/>
      <c r="I297" s="9" t="s">
        <v>13</v>
      </c>
      <c r="J297" s="347"/>
      <c r="K297" s="347"/>
      <c r="L297" s="347"/>
    </row>
    <row r="298">
      <c r="A298" s="102"/>
      <c r="B298" s="11"/>
      <c r="C298" s="8"/>
      <c r="D298" s="8"/>
      <c r="E298" s="9"/>
      <c r="F298" s="10"/>
      <c r="G298" s="9"/>
      <c r="H298" s="11"/>
      <c r="I298" s="9" t="s">
        <v>13</v>
      </c>
      <c r="J298" s="347"/>
      <c r="K298" s="347"/>
      <c r="L298" s="347"/>
    </row>
    <row r="299">
      <c r="A299" s="102"/>
      <c r="B299" s="11"/>
      <c r="C299" s="8"/>
      <c r="D299" s="8"/>
      <c r="E299" s="9"/>
      <c r="F299" s="10"/>
      <c r="G299" s="9"/>
      <c r="H299" s="11"/>
      <c r="I299" s="9" t="s">
        <v>13</v>
      </c>
      <c r="J299" s="347"/>
      <c r="K299" s="347"/>
      <c r="L299" s="347"/>
    </row>
    <row r="300">
      <c r="A300" s="102"/>
      <c r="B300" s="11"/>
      <c r="C300" s="8"/>
      <c r="D300" s="8"/>
      <c r="E300" s="9"/>
      <c r="F300" s="10"/>
      <c r="G300" s="9"/>
      <c r="H300" s="11"/>
      <c r="I300" s="9" t="s">
        <v>13</v>
      </c>
      <c r="J300" s="347"/>
      <c r="K300" s="347"/>
      <c r="L300" s="347"/>
    </row>
    <row r="301">
      <c r="A301" s="102"/>
      <c r="B301" s="11"/>
      <c r="C301" s="8"/>
      <c r="D301" s="8"/>
      <c r="E301" s="9"/>
      <c r="F301" s="10"/>
      <c r="G301" s="9"/>
      <c r="H301" s="11"/>
      <c r="I301" s="9" t="s">
        <v>13</v>
      </c>
      <c r="J301" s="347"/>
      <c r="K301" s="347"/>
      <c r="L301" s="347"/>
    </row>
    <row r="302">
      <c r="A302" s="102"/>
      <c r="B302" s="11"/>
      <c r="C302" s="8"/>
      <c r="D302" s="8"/>
      <c r="E302" s="9"/>
      <c r="F302" s="10"/>
      <c r="G302" s="9"/>
      <c r="H302" s="11"/>
      <c r="I302" s="9" t="s">
        <v>13</v>
      </c>
      <c r="J302" s="347"/>
      <c r="K302" s="347"/>
      <c r="L302" s="347"/>
    </row>
    <row r="303">
      <c r="A303" s="102"/>
      <c r="B303" s="11"/>
      <c r="C303" s="8"/>
      <c r="D303" s="8"/>
      <c r="E303" s="9"/>
      <c r="F303" s="10"/>
      <c r="G303" s="9"/>
      <c r="H303" s="11"/>
      <c r="I303" s="9" t="s">
        <v>13</v>
      </c>
      <c r="J303" s="347"/>
      <c r="K303" s="347"/>
      <c r="L303" s="347"/>
    </row>
    <row r="304">
      <c r="A304" s="102"/>
      <c r="B304" s="11"/>
      <c r="C304" s="8"/>
      <c r="D304" s="8"/>
      <c r="E304" s="9"/>
      <c r="F304" s="10"/>
      <c r="G304" s="9"/>
      <c r="H304" s="11"/>
      <c r="I304" s="9" t="s">
        <v>13</v>
      </c>
      <c r="J304" s="347"/>
      <c r="K304" s="347"/>
      <c r="L304" s="347"/>
    </row>
    <row r="305">
      <c r="A305" s="102"/>
      <c r="B305" s="11"/>
      <c r="C305" s="8"/>
      <c r="D305" s="8"/>
      <c r="E305" s="9"/>
      <c r="F305" s="10"/>
      <c r="G305" s="9"/>
      <c r="H305" s="11"/>
      <c r="I305" s="9" t="s">
        <v>13</v>
      </c>
      <c r="J305" s="347"/>
      <c r="K305" s="347"/>
      <c r="L305" s="347"/>
    </row>
    <row r="306">
      <c r="A306" s="102"/>
      <c r="B306" s="11"/>
      <c r="C306" s="8"/>
      <c r="D306" s="8"/>
      <c r="E306" s="9"/>
      <c r="F306" s="10"/>
      <c r="G306" s="9"/>
      <c r="H306" s="11"/>
      <c r="I306" s="9" t="s">
        <v>13</v>
      </c>
      <c r="J306" s="347"/>
      <c r="K306" s="347"/>
      <c r="L306" s="347"/>
    </row>
    <row r="307">
      <c r="A307" s="102"/>
      <c r="B307" s="11"/>
      <c r="C307" s="8"/>
      <c r="D307" s="8"/>
      <c r="E307" s="9"/>
      <c r="F307" s="10"/>
      <c r="G307" s="9"/>
      <c r="H307" s="11"/>
      <c r="I307" s="9" t="s">
        <v>13</v>
      </c>
      <c r="J307" s="347"/>
      <c r="K307" s="347"/>
      <c r="L307" s="347"/>
    </row>
    <row r="308">
      <c r="A308" s="102"/>
      <c r="B308" s="11"/>
      <c r="C308" s="8"/>
      <c r="D308" s="8"/>
      <c r="E308" s="9"/>
      <c r="F308" s="10"/>
      <c r="G308" s="9"/>
      <c r="H308" s="11"/>
      <c r="I308" s="9" t="s">
        <v>13</v>
      </c>
      <c r="J308" s="347"/>
      <c r="K308" s="347"/>
      <c r="L308" s="347"/>
    </row>
    <row r="309">
      <c r="A309" s="102"/>
      <c r="B309" s="11"/>
      <c r="C309" s="8"/>
      <c r="D309" s="8"/>
      <c r="E309" s="9"/>
      <c r="F309" s="10"/>
      <c r="G309" s="9"/>
      <c r="H309" s="11"/>
      <c r="I309" s="9" t="s">
        <v>13</v>
      </c>
      <c r="J309" s="347"/>
      <c r="K309" s="347"/>
      <c r="L309" s="347"/>
    </row>
    <row r="310">
      <c r="A310" s="102"/>
      <c r="B310" s="11"/>
      <c r="C310" s="8"/>
      <c r="D310" s="8"/>
      <c r="E310" s="9"/>
      <c r="F310" s="10"/>
      <c r="G310" s="9"/>
      <c r="H310" s="11"/>
      <c r="I310" s="9" t="s">
        <v>13</v>
      </c>
      <c r="J310" s="347"/>
      <c r="K310" s="347"/>
      <c r="L310" s="347"/>
    </row>
    <row r="311">
      <c r="A311" s="102"/>
      <c r="B311" s="11"/>
      <c r="C311" s="8"/>
      <c r="D311" s="8"/>
      <c r="E311" s="9"/>
      <c r="F311" s="10"/>
      <c r="G311" s="9"/>
      <c r="H311" s="11"/>
      <c r="I311" s="9" t="s">
        <v>13</v>
      </c>
      <c r="J311" s="347"/>
      <c r="K311" s="347"/>
      <c r="L311" s="347"/>
    </row>
    <row r="312">
      <c r="A312" s="102"/>
      <c r="B312" s="11"/>
      <c r="C312" s="8"/>
      <c r="D312" s="8"/>
      <c r="E312" s="9"/>
      <c r="F312" s="10"/>
      <c r="G312" s="9"/>
      <c r="H312" s="11"/>
      <c r="I312" s="9" t="s">
        <v>13</v>
      </c>
      <c r="J312" s="347"/>
      <c r="K312" s="347"/>
      <c r="L312" s="347"/>
    </row>
    <row r="313">
      <c r="A313" s="102"/>
      <c r="B313" s="11"/>
      <c r="C313" s="8"/>
      <c r="D313" s="8"/>
      <c r="E313" s="9"/>
      <c r="F313" s="10"/>
      <c r="G313" s="9"/>
      <c r="H313" s="11"/>
      <c r="I313" s="9" t="s">
        <v>13</v>
      </c>
      <c r="J313" s="347"/>
      <c r="K313" s="347"/>
      <c r="L313" s="347"/>
    </row>
    <row r="314">
      <c r="A314" s="102"/>
      <c r="B314" s="11"/>
      <c r="C314" s="8"/>
      <c r="D314" s="8"/>
      <c r="E314" s="9"/>
      <c r="F314" s="10"/>
      <c r="G314" s="9"/>
      <c r="H314" s="11"/>
      <c r="I314" s="9" t="s">
        <v>13</v>
      </c>
      <c r="J314" s="347"/>
      <c r="K314" s="347"/>
      <c r="L314" s="347"/>
    </row>
    <row r="315">
      <c r="A315" s="102"/>
      <c r="B315" s="11"/>
      <c r="C315" s="8"/>
      <c r="D315" s="8"/>
      <c r="E315" s="9"/>
      <c r="F315" s="10"/>
      <c r="G315" s="9"/>
      <c r="H315" s="11"/>
      <c r="I315" s="9" t="s">
        <v>13</v>
      </c>
      <c r="J315" s="347"/>
      <c r="K315" s="347"/>
      <c r="L315" s="347"/>
    </row>
    <row r="316">
      <c r="A316" s="102"/>
      <c r="B316" s="11"/>
      <c r="C316" s="8"/>
      <c r="D316" s="8"/>
      <c r="E316" s="9"/>
      <c r="F316" s="10"/>
      <c r="G316" s="9"/>
      <c r="H316" s="11"/>
      <c r="I316" s="9" t="s">
        <v>13</v>
      </c>
      <c r="J316" s="347"/>
      <c r="K316" s="347"/>
      <c r="L316" s="347"/>
    </row>
    <row r="317">
      <c r="A317" s="102"/>
      <c r="B317" s="11"/>
      <c r="C317" s="8"/>
      <c r="D317" s="8"/>
      <c r="E317" s="9"/>
      <c r="F317" s="10"/>
      <c r="G317" s="9"/>
      <c r="H317" s="11"/>
      <c r="I317" s="9" t="s">
        <v>13</v>
      </c>
      <c r="J317" s="347"/>
      <c r="K317" s="347"/>
      <c r="L317" s="347"/>
    </row>
    <row r="318">
      <c r="A318" s="102"/>
      <c r="B318" s="11"/>
      <c r="C318" s="8"/>
      <c r="D318" s="8"/>
      <c r="E318" s="9"/>
      <c r="F318" s="10"/>
      <c r="G318" s="9"/>
      <c r="H318" s="11"/>
      <c r="I318" s="9" t="s">
        <v>13</v>
      </c>
      <c r="J318" s="347"/>
      <c r="K318" s="347"/>
      <c r="L318" s="347"/>
    </row>
    <row r="319">
      <c r="A319" s="102"/>
      <c r="B319" s="11"/>
      <c r="C319" s="8"/>
      <c r="D319" s="8"/>
      <c r="E319" s="9"/>
      <c r="F319" s="10"/>
      <c r="G319" s="9"/>
      <c r="H319" s="11"/>
      <c r="I319" s="9" t="s">
        <v>13</v>
      </c>
      <c r="J319" s="347"/>
      <c r="K319" s="347"/>
      <c r="L319" s="347"/>
    </row>
    <row r="320">
      <c r="A320" s="102"/>
      <c r="B320" s="11"/>
      <c r="C320" s="8"/>
      <c r="D320" s="8"/>
      <c r="E320" s="9"/>
      <c r="F320" s="10"/>
      <c r="G320" s="9"/>
      <c r="H320" s="11"/>
      <c r="I320" s="9" t="s">
        <v>13</v>
      </c>
      <c r="J320" s="347"/>
      <c r="K320" s="347"/>
      <c r="L320" s="347"/>
    </row>
    <row r="321">
      <c r="A321" s="102"/>
      <c r="B321" s="11"/>
      <c r="C321" s="8"/>
      <c r="D321" s="8"/>
      <c r="E321" s="9"/>
      <c r="F321" s="10"/>
      <c r="G321" s="9"/>
      <c r="H321" s="11"/>
      <c r="I321" s="9" t="s">
        <v>13</v>
      </c>
      <c r="J321" s="347"/>
      <c r="K321" s="347"/>
      <c r="L321" s="347"/>
    </row>
    <row r="322">
      <c r="A322" s="102"/>
      <c r="B322" s="11"/>
      <c r="C322" s="8"/>
      <c r="D322" s="8"/>
      <c r="E322" s="9"/>
      <c r="F322" s="10"/>
      <c r="G322" s="9"/>
      <c r="H322" s="11"/>
      <c r="I322" s="9" t="s">
        <v>13</v>
      </c>
      <c r="J322" s="347"/>
      <c r="K322" s="347"/>
      <c r="L322" s="347"/>
    </row>
    <row r="323">
      <c r="A323" s="102"/>
      <c r="B323" s="11"/>
      <c r="C323" s="8"/>
      <c r="D323" s="8"/>
      <c r="E323" s="9"/>
      <c r="F323" s="10"/>
      <c r="G323" s="9"/>
      <c r="H323" s="11"/>
      <c r="I323" s="9" t="s">
        <v>13</v>
      </c>
      <c r="J323" s="347"/>
      <c r="K323" s="347"/>
      <c r="L323" s="347"/>
    </row>
    <row r="324">
      <c r="A324" s="102"/>
      <c r="B324" s="11"/>
      <c r="C324" s="8"/>
      <c r="D324" s="8"/>
      <c r="E324" s="9"/>
      <c r="F324" s="10"/>
      <c r="G324" s="9"/>
      <c r="H324" s="11"/>
      <c r="I324" s="9" t="s">
        <v>13</v>
      </c>
      <c r="J324" s="347"/>
      <c r="K324" s="347"/>
      <c r="L324" s="347"/>
    </row>
    <row r="325">
      <c r="A325" s="102"/>
      <c r="B325" s="11"/>
      <c r="C325" s="8"/>
      <c r="D325" s="8"/>
      <c r="E325" s="9"/>
      <c r="F325" s="10"/>
      <c r="G325" s="9"/>
      <c r="H325" s="11"/>
      <c r="I325" s="9" t="s">
        <v>13</v>
      </c>
      <c r="J325" s="347"/>
      <c r="K325" s="347"/>
      <c r="L325" s="347"/>
    </row>
    <row r="326">
      <c r="A326" s="102"/>
      <c r="B326" s="11"/>
      <c r="C326" s="8"/>
      <c r="D326" s="8"/>
      <c r="E326" s="9"/>
      <c r="F326" s="10"/>
      <c r="G326" s="9"/>
      <c r="H326" s="11"/>
      <c r="I326" s="9" t="s">
        <v>13</v>
      </c>
      <c r="J326" s="347"/>
      <c r="K326" s="347"/>
      <c r="L326" s="347"/>
    </row>
    <row r="327">
      <c r="A327" s="102"/>
      <c r="B327" s="11"/>
      <c r="C327" s="8"/>
      <c r="D327" s="8"/>
      <c r="E327" s="9"/>
      <c r="F327" s="10"/>
      <c r="G327" s="9"/>
      <c r="H327" s="11"/>
      <c r="I327" s="9" t="s">
        <v>13</v>
      </c>
      <c r="J327" s="347"/>
      <c r="K327" s="347"/>
      <c r="L327" s="347"/>
    </row>
    <row r="328">
      <c r="A328" s="102"/>
      <c r="B328" s="11"/>
      <c r="C328" s="8"/>
      <c r="D328" s="8"/>
      <c r="E328" s="9"/>
      <c r="F328" s="10"/>
      <c r="G328" s="9"/>
      <c r="H328" s="11"/>
      <c r="I328" s="9" t="s">
        <v>13</v>
      </c>
      <c r="J328" s="347"/>
      <c r="K328" s="347"/>
      <c r="L328" s="347"/>
    </row>
    <row r="329">
      <c r="A329" s="102"/>
      <c r="B329" s="11"/>
      <c r="C329" s="8"/>
      <c r="D329" s="8"/>
      <c r="E329" s="9"/>
      <c r="F329" s="10"/>
      <c r="G329" s="9"/>
      <c r="H329" s="11"/>
      <c r="I329" s="9" t="s">
        <v>13</v>
      </c>
      <c r="J329" s="347"/>
      <c r="K329" s="347"/>
      <c r="L329" s="347"/>
    </row>
    <row r="330">
      <c r="A330" s="102"/>
      <c r="B330" s="11"/>
      <c r="C330" s="8"/>
      <c r="D330" s="8"/>
      <c r="E330" s="9"/>
      <c r="F330" s="10"/>
      <c r="G330" s="9"/>
      <c r="H330" s="11"/>
      <c r="I330" s="9" t="s">
        <v>13</v>
      </c>
      <c r="J330" s="347"/>
      <c r="K330" s="347"/>
      <c r="L330" s="347"/>
    </row>
    <row r="331">
      <c r="A331" s="102"/>
      <c r="B331" s="11"/>
      <c r="C331" s="8"/>
      <c r="D331" s="8"/>
      <c r="E331" s="9"/>
      <c r="F331" s="10"/>
      <c r="G331" s="9"/>
      <c r="H331" s="11"/>
      <c r="I331" s="9" t="s">
        <v>13</v>
      </c>
      <c r="J331" s="347"/>
      <c r="K331" s="347"/>
      <c r="L331" s="347"/>
    </row>
    <row r="332">
      <c r="A332" s="102"/>
      <c r="B332" s="11"/>
      <c r="C332" s="8"/>
      <c r="D332" s="8"/>
      <c r="E332" s="9"/>
      <c r="F332" s="10"/>
      <c r="G332" s="9"/>
      <c r="H332" s="11"/>
      <c r="I332" s="9" t="s">
        <v>13</v>
      </c>
      <c r="J332" s="347"/>
      <c r="K332" s="347"/>
      <c r="L332" s="347"/>
    </row>
    <row r="333">
      <c r="A333" s="102"/>
      <c r="B333" s="11"/>
      <c r="C333" s="8"/>
      <c r="D333" s="8"/>
      <c r="E333" s="9"/>
      <c r="F333" s="10"/>
      <c r="G333" s="9"/>
      <c r="H333" s="11"/>
      <c r="I333" s="9" t="s">
        <v>13</v>
      </c>
      <c r="J333" s="347"/>
      <c r="K333" s="347"/>
      <c r="L333" s="347"/>
    </row>
    <row r="334">
      <c r="A334" s="102"/>
      <c r="B334" s="11"/>
      <c r="C334" s="8"/>
      <c r="D334" s="8"/>
      <c r="E334" s="9"/>
      <c r="F334" s="10"/>
      <c r="G334" s="9"/>
      <c r="H334" s="11"/>
      <c r="I334" s="9" t="s">
        <v>13</v>
      </c>
      <c r="J334" s="347"/>
      <c r="K334" s="347"/>
      <c r="L334" s="347"/>
    </row>
    <row r="335">
      <c r="A335" s="102"/>
      <c r="B335" s="11"/>
      <c r="C335" s="8"/>
      <c r="D335" s="8"/>
      <c r="E335" s="9"/>
      <c r="F335" s="10"/>
      <c r="G335" s="9"/>
      <c r="H335" s="11"/>
      <c r="I335" s="9" t="s">
        <v>13</v>
      </c>
      <c r="J335" s="347"/>
      <c r="K335" s="347"/>
      <c r="L335" s="347"/>
    </row>
    <row r="336">
      <c r="A336" s="102"/>
      <c r="B336" s="11"/>
      <c r="C336" s="8"/>
      <c r="D336" s="8"/>
      <c r="E336" s="9"/>
      <c r="F336" s="10"/>
      <c r="G336" s="9"/>
      <c r="H336" s="11"/>
      <c r="I336" s="9" t="s">
        <v>13</v>
      </c>
      <c r="J336" s="347"/>
      <c r="K336" s="347"/>
      <c r="L336" s="347"/>
    </row>
    <row r="337">
      <c r="A337" s="102"/>
      <c r="B337" s="11"/>
      <c r="C337" s="8"/>
      <c r="D337" s="8"/>
      <c r="E337" s="9"/>
      <c r="F337" s="10"/>
      <c r="G337" s="9"/>
      <c r="H337" s="11"/>
      <c r="I337" s="9" t="s">
        <v>13</v>
      </c>
      <c r="J337" s="347"/>
      <c r="K337" s="347"/>
      <c r="L337" s="347"/>
    </row>
    <row r="338">
      <c r="A338" s="102"/>
      <c r="B338" s="11"/>
      <c r="C338" s="8"/>
      <c r="D338" s="8"/>
      <c r="E338" s="9"/>
      <c r="F338" s="10"/>
      <c r="G338" s="9"/>
      <c r="H338" s="11"/>
      <c r="I338" s="9" t="s">
        <v>13</v>
      </c>
      <c r="J338" s="347"/>
      <c r="K338" s="347"/>
      <c r="L338" s="347"/>
    </row>
    <row r="339">
      <c r="A339" s="102"/>
      <c r="B339" s="11"/>
      <c r="C339" s="8"/>
      <c r="D339" s="8"/>
      <c r="E339" s="9"/>
      <c r="F339" s="10"/>
      <c r="G339" s="9"/>
      <c r="H339" s="11"/>
      <c r="I339" s="9" t="s">
        <v>13</v>
      </c>
      <c r="J339" s="347"/>
      <c r="K339" s="347"/>
      <c r="L339" s="347"/>
    </row>
    <row r="340">
      <c r="A340" s="102"/>
      <c r="B340" s="11"/>
      <c r="C340" s="8"/>
      <c r="D340" s="8"/>
      <c r="E340" s="9"/>
      <c r="F340" s="10"/>
      <c r="G340" s="9"/>
      <c r="H340" s="11"/>
      <c r="I340" s="9" t="s">
        <v>13</v>
      </c>
      <c r="J340" s="347"/>
      <c r="K340" s="347"/>
      <c r="L340" s="347"/>
    </row>
    <row r="341">
      <c r="A341" s="102"/>
      <c r="B341" s="11"/>
      <c r="C341" s="8"/>
      <c r="D341" s="8"/>
      <c r="E341" s="9"/>
      <c r="F341" s="10"/>
      <c r="G341" s="9"/>
      <c r="H341" s="11"/>
      <c r="I341" s="9" t="s">
        <v>13</v>
      </c>
      <c r="J341" s="347"/>
      <c r="K341" s="347"/>
      <c r="L341" s="347"/>
    </row>
    <row r="342">
      <c r="A342" s="102"/>
      <c r="B342" s="11"/>
      <c r="C342" s="8"/>
      <c r="D342" s="8"/>
      <c r="E342" s="9"/>
      <c r="F342" s="10"/>
      <c r="G342" s="9"/>
      <c r="H342" s="11"/>
      <c r="I342" s="9" t="s">
        <v>13</v>
      </c>
      <c r="J342" s="347"/>
      <c r="K342" s="347"/>
      <c r="L342" s="347"/>
    </row>
    <row r="343">
      <c r="A343" s="102"/>
      <c r="B343" s="11"/>
      <c r="C343" s="8"/>
      <c r="D343" s="8"/>
      <c r="E343" s="9"/>
      <c r="F343" s="10"/>
      <c r="G343" s="9"/>
      <c r="H343" s="11"/>
      <c r="I343" s="9" t="s">
        <v>13</v>
      </c>
      <c r="J343" s="347"/>
      <c r="K343" s="347"/>
      <c r="L343" s="347"/>
    </row>
    <row r="344">
      <c r="A344" s="102"/>
      <c r="B344" s="11"/>
      <c r="C344" s="8"/>
      <c r="D344" s="8"/>
      <c r="E344" s="9"/>
      <c r="F344" s="10"/>
      <c r="G344" s="9"/>
      <c r="H344" s="11"/>
      <c r="I344" s="9" t="s">
        <v>13</v>
      </c>
      <c r="J344" s="347"/>
      <c r="K344" s="347"/>
      <c r="L344" s="347"/>
    </row>
    <row r="345">
      <c r="A345" s="102"/>
      <c r="B345" s="11"/>
      <c r="C345" s="8"/>
      <c r="D345" s="8"/>
      <c r="E345" s="9"/>
      <c r="F345" s="10"/>
      <c r="G345" s="9"/>
      <c r="H345" s="11"/>
      <c r="I345" s="9" t="s">
        <v>13</v>
      </c>
      <c r="J345" s="347"/>
      <c r="K345" s="347"/>
      <c r="L345" s="347"/>
    </row>
    <row r="346">
      <c r="A346" s="102"/>
      <c r="B346" s="11"/>
      <c r="C346" s="8"/>
      <c r="D346" s="8"/>
      <c r="E346" s="9"/>
      <c r="F346" s="10"/>
      <c r="G346" s="9"/>
      <c r="H346" s="11"/>
      <c r="I346" s="9" t="s">
        <v>13</v>
      </c>
      <c r="J346" s="347"/>
      <c r="K346" s="347"/>
      <c r="L346" s="347"/>
    </row>
    <row r="347">
      <c r="A347" s="102"/>
      <c r="B347" s="11"/>
      <c r="C347" s="8"/>
      <c r="D347" s="8"/>
      <c r="E347" s="9"/>
      <c r="F347" s="10"/>
      <c r="G347" s="9"/>
      <c r="H347" s="11"/>
      <c r="I347" s="9" t="s">
        <v>13</v>
      </c>
      <c r="J347" s="347"/>
      <c r="K347" s="347"/>
      <c r="L347" s="347"/>
    </row>
    <row r="348">
      <c r="A348" s="102"/>
      <c r="B348" s="11"/>
      <c r="C348" s="8"/>
      <c r="D348" s="8"/>
      <c r="E348" s="9"/>
      <c r="F348" s="10"/>
      <c r="G348" s="9"/>
      <c r="H348" s="11"/>
      <c r="I348" s="9" t="s">
        <v>13</v>
      </c>
      <c r="J348" s="347"/>
      <c r="K348" s="347"/>
      <c r="L348" s="347"/>
    </row>
    <row r="349">
      <c r="A349" s="102"/>
      <c r="B349" s="11"/>
      <c r="C349" s="8"/>
      <c r="D349" s="8"/>
      <c r="E349" s="9"/>
      <c r="F349" s="10"/>
      <c r="G349" s="9"/>
      <c r="H349" s="11"/>
      <c r="I349" s="9" t="s">
        <v>13</v>
      </c>
      <c r="J349" s="347"/>
      <c r="K349" s="347"/>
      <c r="L349" s="347"/>
    </row>
    <row r="350">
      <c r="A350" s="102"/>
      <c r="B350" s="11"/>
      <c r="C350" s="8"/>
      <c r="D350" s="8"/>
      <c r="E350" s="9"/>
      <c r="F350" s="10"/>
      <c r="G350" s="9"/>
      <c r="H350" s="11"/>
      <c r="I350" s="9" t="s">
        <v>13</v>
      </c>
      <c r="J350" s="347"/>
      <c r="K350" s="347"/>
      <c r="L350" s="347"/>
    </row>
    <row r="351">
      <c r="A351" s="102"/>
      <c r="B351" s="11"/>
      <c r="C351" s="8"/>
      <c r="D351" s="8"/>
      <c r="E351" s="9"/>
      <c r="F351" s="10"/>
      <c r="G351" s="9"/>
      <c r="H351" s="11"/>
      <c r="I351" s="9" t="s">
        <v>13</v>
      </c>
      <c r="J351" s="347"/>
      <c r="K351" s="347"/>
      <c r="L351" s="347"/>
    </row>
    <row r="352">
      <c r="A352" s="102"/>
      <c r="B352" s="11"/>
      <c r="C352" s="8"/>
      <c r="D352" s="8"/>
      <c r="E352" s="9"/>
      <c r="F352" s="10"/>
      <c r="G352" s="9"/>
      <c r="H352" s="11"/>
      <c r="I352" s="9" t="s">
        <v>13</v>
      </c>
      <c r="J352" s="347"/>
      <c r="K352" s="347"/>
      <c r="L352" s="347"/>
    </row>
    <row r="353">
      <c r="A353" s="102"/>
      <c r="B353" s="11"/>
      <c r="C353" s="8"/>
      <c r="D353" s="8"/>
      <c r="E353" s="9"/>
      <c r="F353" s="10"/>
      <c r="G353" s="9"/>
      <c r="H353" s="11"/>
      <c r="I353" s="9" t="s">
        <v>13</v>
      </c>
      <c r="J353" s="347"/>
      <c r="K353" s="347"/>
      <c r="L353" s="347"/>
    </row>
    <row r="354">
      <c r="A354" s="102"/>
      <c r="B354" s="11"/>
      <c r="C354" s="8"/>
      <c r="D354" s="8"/>
      <c r="E354" s="9"/>
      <c r="F354" s="10"/>
      <c r="G354" s="9"/>
      <c r="H354" s="11"/>
      <c r="I354" s="9" t="s">
        <v>13</v>
      </c>
      <c r="J354" s="347"/>
      <c r="K354" s="347"/>
      <c r="L354" s="347"/>
    </row>
    <row r="355">
      <c r="A355" s="102"/>
      <c r="B355" s="11"/>
      <c r="C355" s="8"/>
      <c r="D355" s="8"/>
      <c r="E355" s="9"/>
      <c r="F355" s="10"/>
      <c r="G355" s="9"/>
      <c r="H355" s="11"/>
      <c r="I355" s="9" t="s">
        <v>13</v>
      </c>
      <c r="J355" s="347"/>
      <c r="K355" s="347"/>
      <c r="L355" s="347"/>
    </row>
    <row r="356">
      <c r="A356" s="102"/>
      <c r="B356" s="11"/>
      <c r="C356" s="8"/>
      <c r="D356" s="8"/>
      <c r="E356" s="9"/>
      <c r="F356" s="10"/>
      <c r="G356" s="9"/>
      <c r="H356" s="11"/>
      <c r="I356" s="9" t="s">
        <v>13</v>
      </c>
      <c r="J356" s="347"/>
      <c r="K356" s="347"/>
      <c r="L356" s="347"/>
    </row>
    <row r="357">
      <c r="A357" s="102"/>
      <c r="B357" s="11"/>
      <c r="C357" s="8"/>
      <c r="D357" s="8"/>
      <c r="E357" s="9"/>
      <c r="F357" s="10"/>
      <c r="G357" s="9"/>
      <c r="H357" s="11"/>
      <c r="I357" s="9" t="s">
        <v>13</v>
      </c>
      <c r="J357" s="347"/>
      <c r="K357" s="347"/>
      <c r="L357" s="347"/>
    </row>
    <row r="358">
      <c r="A358" s="102"/>
      <c r="B358" s="11"/>
      <c r="C358" s="8"/>
      <c r="D358" s="8"/>
      <c r="E358" s="9"/>
      <c r="F358" s="10"/>
      <c r="G358" s="9"/>
      <c r="H358" s="11"/>
      <c r="I358" s="9" t="s">
        <v>13</v>
      </c>
      <c r="J358" s="347"/>
      <c r="K358" s="347"/>
      <c r="L358" s="347"/>
    </row>
    <row r="359">
      <c r="A359" s="102"/>
      <c r="B359" s="11"/>
      <c r="C359" s="8"/>
      <c r="D359" s="8"/>
      <c r="E359" s="9"/>
      <c r="F359" s="10"/>
      <c r="G359" s="9"/>
      <c r="H359" s="11"/>
      <c r="I359" s="9" t="s">
        <v>13</v>
      </c>
      <c r="J359" s="347"/>
      <c r="K359" s="347"/>
      <c r="L359" s="347"/>
    </row>
    <row r="360">
      <c r="A360" s="102"/>
      <c r="B360" s="11"/>
      <c r="C360" s="8"/>
      <c r="D360" s="8"/>
      <c r="E360" s="9"/>
      <c r="F360" s="10"/>
      <c r="G360" s="9"/>
      <c r="H360" s="11"/>
      <c r="I360" s="9" t="s">
        <v>13</v>
      </c>
      <c r="J360" s="347"/>
      <c r="K360" s="347"/>
      <c r="L360" s="347"/>
    </row>
    <row r="361">
      <c r="A361" s="102"/>
      <c r="B361" s="11"/>
      <c r="C361" s="8"/>
      <c r="D361" s="8"/>
      <c r="E361" s="9"/>
      <c r="F361" s="10"/>
      <c r="G361" s="9"/>
      <c r="H361" s="11"/>
      <c r="I361" s="9" t="s">
        <v>13</v>
      </c>
      <c r="J361" s="347"/>
      <c r="K361" s="347"/>
      <c r="L361" s="347"/>
    </row>
    <row r="362">
      <c r="A362" s="102"/>
      <c r="B362" s="11"/>
      <c r="C362" s="8"/>
      <c r="D362" s="8"/>
      <c r="E362" s="9"/>
      <c r="F362" s="10"/>
      <c r="G362" s="9"/>
      <c r="H362" s="11"/>
      <c r="I362" s="9" t="s">
        <v>13</v>
      </c>
      <c r="J362" s="347"/>
      <c r="K362" s="347"/>
      <c r="L362" s="347"/>
    </row>
    <row r="363">
      <c r="A363" s="102"/>
      <c r="B363" s="11"/>
      <c r="C363" s="8"/>
      <c r="D363" s="8"/>
      <c r="E363" s="9"/>
      <c r="F363" s="10"/>
      <c r="G363" s="9"/>
      <c r="H363" s="11"/>
      <c r="I363" s="9" t="s">
        <v>13</v>
      </c>
      <c r="J363" s="347"/>
      <c r="K363" s="347"/>
      <c r="L363" s="347"/>
    </row>
    <row r="364">
      <c r="A364" s="102"/>
      <c r="B364" s="11"/>
      <c r="C364" s="8"/>
      <c r="D364" s="8"/>
      <c r="E364" s="9"/>
      <c r="F364" s="10"/>
      <c r="G364" s="9"/>
      <c r="H364" s="11"/>
      <c r="I364" s="9" t="s">
        <v>13</v>
      </c>
      <c r="J364" s="347"/>
      <c r="K364" s="347"/>
      <c r="L364" s="347"/>
    </row>
    <row r="365">
      <c r="A365" s="102"/>
      <c r="B365" s="11"/>
      <c r="C365" s="8"/>
      <c r="D365" s="8"/>
      <c r="E365" s="9"/>
      <c r="F365" s="10"/>
      <c r="G365" s="9"/>
      <c r="H365" s="11"/>
      <c r="I365" s="9" t="s">
        <v>13</v>
      </c>
      <c r="J365" s="347"/>
      <c r="K365" s="347"/>
      <c r="L365" s="347"/>
    </row>
    <row r="366">
      <c r="A366" s="102"/>
      <c r="B366" s="11"/>
      <c r="C366" s="8"/>
      <c r="D366" s="8"/>
      <c r="E366" s="9"/>
      <c r="F366" s="10"/>
      <c r="G366" s="9"/>
      <c r="H366" s="11"/>
      <c r="I366" s="9" t="s">
        <v>13</v>
      </c>
      <c r="J366" s="347"/>
      <c r="K366" s="347"/>
      <c r="L366" s="347"/>
    </row>
    <row r="367">
      <c r="A367" s="102"/>
      <c r="B367" s="11"/>
      <c r="C367" s="8"/>
      <c r="D367" s="8"/>
      <c r="E367" s="9"/>
      <c r="F367" s="10"/>
      <c r="G367" s="9"/>
      <c r="H367" s="11"/>
      <c r="I367" s="9" t="s">
        <v>13</v>
      </c>
      <c r="J367" s="347"/>
      <c r="K367" s="347"/>
      <c r="L367" s="347"/>
    </row>
    <row r="368">
      <c r="A368" s="102"/>
      <c r="B368" s="11"/>
      <c r="C368" s="8"/>
      <c r="D368" s="8"/>
      <c r="E368" s="9"/>
      <c r="F368" s="10"/>
      <c r="G368" s="9"/>
      <c r="H368" s="11"/>
      <c r="I368" s="9" t="s">
        <v>13</v>
      </c>
      <c r="J368" s="347"/>
      <c r="K368" s="347"/>
      <c r="L368" s="347"/>
    </row>
    <row r="369">
      <c r="A369" s="102"/>
      <c r="B369" s="11"/>
      <c r="C369" s="8"/>
      <c r="D369" s="8"/>
      <c r="E369" s="9"/>
      <c r="F369" s="10"/>
      <c r="G369" s="9"/>
      <c r="H369" s="11"/>
      <c r="I369" s="9" t="s">
        <v>13</v>
      </c>
      <c r="J369" s="347"/>
      <c r="K369" s="347"/>
      <c r="L369" s="347"/>
    </row>
    <row r="370">
      <c r="A370" s="102"/>
      <c r="B370" s="11"/>
      <c r="C370" s="8"/>
      <c r="D370" s="8"/>
      <c r="E370" s="9"/>
      <c r="F370" s="10"/>
      <c r="G370" s="9"/>
      <c r="H370" s="11"/>
      <c r="I370" s="9" t="s">
        <v>13</v>
      </c>
      <c r="J370" s="347"/>
      <c r="K370" s="347"/>
      <c r="L370" s="347"/>
    </row>
    <row r="371">
      <c r="A371" s="102"/>
      <c r="B371" s="11"/>
      <c r="C371" s="8"/>
      <c r="D371" s="8"/>
      <c r="E371" s="9"/>
      <c r="F371" s="10"/>
      <c r="G371" s="9"/>
      <c r="H371" s="11"/>
      <c r="I371" s="9" t="s">
        <v>13</v>
      </c>
      <c r="J371" s="347"/>
      <c r="K371" s="347"/>
      <c r="L371" s="347"/>
    </row>
    <row r="372">
      <c r="A372" s="102"/>
      <c r="B372" s="11"/>
      <c r="C372" s="8"/>
      <c r="D372" s="8"/>
      <c r="E372" s="9"/>
      <c r="F372" s="10"/>
      <c r="G372" s="9"/>
      <c r="H372" s="11"/>
      <c r="I372" s="9" t="s">
        <v>13</v>
      </c>
      <c r="J372" s="347"/>
      <c r="K372" s="347"/>
      <c r="L372" s="347"/>
    </row>
    <row r="373">
      <c r="A373" s="102"/>
      <c r="B373" s="11"/>
      <c r="C373" s="8"/>
      <c r="D373" s="8"/>
      <c r="E373" s="9"/>
      <c r="F373" s="10"/>
      <c r="G373" s="9"/>
      <c r="H373" s="11"/>
      <c r="I373" s="9" t="s">
        <v>13</v>
      </c>
      <c r="J373" s="347"/>
      <c r="K373" s="347"/>
      <c r="L373" s="347"/>
    </row>
    <row r="374">
      <c r="A374" s="102"/>
      <c r="B374" s="11"/>
      <c r="C374" s="8"/>
      <c r="D374" s="8"/>
      <c r="E374" s="9"/>
      <c r="F374" s="10"/>
      <c r="G374" s="9"/>
      <c r="H374" s="11"/>
      <c r="I374" s="9" t="s">
        <v>13</v>
      </c>
      <c r="J374" s="347"/>
      <c r="K374" s="347"/>
      <c r="L374" s="347"/>
    </row>
    <row r="375">
      <c r="A375" s="102"/>
      <c r="B375" s="11"/>
      <c r="C375" s="8"/>
      <c r="D375" s="8"/>
      <c r="E375" s="9"/>
      <c r="F375" s="10"/>
      <c r="G375" s="9"/>
      <c r="H375" s="11"/>
      <c r="I375" s="9" t="s">
        <v>13</v>
      </c>
      <c r="J375" s="347"/>
      <c r="K375" s="347"/>
      <c r="L375" s="347"/>
    </row>
    <row r="376">
      <c r="A376" s="102"/>
      <c r="B376" s="11"/>
      <c r="C376" s="8"/>
      <c r="D376" s="8"/>
      <c r="E376" s="9"/>
      <c r="F376" s="10"/>
      <c r="G376" s="9"/>
      <c r="H376" s="11"/>
      <c r="I376" s="9" t="s">
        <v>13</v>
      </c>
      <c r="J376" s="347"/>
      <c r="K376" s="347"/>
      <c r="L376" s="347"/>
    </row>
    <row r="377">
      <c r="A377" s="102"/>
      <c r="B377" s="11"/>
      <c r="C377" s="8"/>
      <c r="D377" s="8"/>
      <c r="E377" s="9"/>
      <c r="F377" s="10"/>
      <c r="G377" s="9"/>
      <c r="H377" s="11"/>
      <c r="I377" s="9" t="s">
        <v>13</v>
      </c>
      <c r="J377" s="347"/>
      <c r="K377" s="347"/>
      <c r="L377" s="347"/>
    </row>
    <row r="378">
      <c r="A378" s="102"/>
      <c r="B378" s="11"/>
      <c r="C378" s="8"/>
      <c r="D378" s="8"/>
      <c r="E378" s="9"/>
      <c r="F378" s="10"/>
      <c r="G378" s="9"/>
      <c r="H378" s="11"/>
      <c r="I378" s="9" t="s">
        <v>13</v>
      </c>
      <c r="J378" s="347"/>
      <c r="K378" s="347"/>
      <c r="L378" s="347"/>
    </row>
    <row r="379">
      <c r="A379" s="102"/>
      <c r="B379" s="11"/>
      <c r="C379" s="8"/>
      <c r="D379" s="8"/>
      <c r="E379" s="9"/>
      <c r="F379" s="10"/>
      <c r="G379" s="9"/>
      <c r="H379" s="11"/>
      <c r="I379" s="9" t="s">
        <v>13</v>
      </c>
      <c r="J379" s="347"/>
      <c r="K379" s="347"/>
      <c r="L379" s="347"/>
    </row>
    <row r="380">
      <c r="A380" s="102"/>
      <c r="B380" s="11"/>
      <c r="C380" s="8"/>
      <c r="D380" s="8"/>
      <c r="E380" s="9"/>
      <c r="F380" s="10"/>
      <c r="G380" s="9"/>
      <c r="H380" s="11"/>
      <c r="I380" s="9" t="s">
        <v>13</v>
      </c>
      <c r="J380" s="347"/>
      <c r="K380" s="347"/>
      <c r="L380" s="347"/>
    </row>
    <row r="381">
      <c r="A381" s="102"/>
      <c r="B381" s="11"/>
      <c r="C381" s="8"/>
      <c r="D381" s="8"/>
      <c r="E381" s="9"/>
      <c r="F381" s="10"/>
      <c r="G381" s="9"/>
      <c r="H381" s="11"/>
      <c r="I381" s="9" t="s">
        <v>13</v>
      </c>
      <c r="J381" s="347"/>
      <c r="K381" s="347"/>
      <c r="L381" s="347"/>
    </row>
    <row r="382">
      <c r="A382" s="102"/>
      <c r="B382" s="11"/>
      <c r="C382" s="8"/>
      <c r="D382" s="8"/>
      <c r="E382" s="9"/>
      <c r="F382" s="10"/>
      <c r="G382" s="9"/>
      <c r="H382" s="11"/>
      <c r="I382" s="9" t="s">
        <v>13</v>
      </c>
      <c r="J382" s="347"/>
      <c r="K382" s="347"/>
      <c r="L382" s="347"/>
    </row>
    <row r="383">
      <c r="A383" s="102"/>
      <c r="B383" s="11"/>
      <c r="C383" s="8"/>
      <c r="D383" s="8"/>
      <c r="E383" s="9"/>
      <c r="F383" s="10"/>
      <c r="G383" s="9"/>
      <c r="H383" s="11"/>
      <c r="I383" s="9" t="s">
        <v>13</v>
      </c>
      <c r="J383" s="347"/>
      <c r="K383" s="347"/>
      <c r="L383" s="347"/>
    </row>
    <row r="384">
      <c r="A384" s="102"/>
      <c r="B384" s="11"/>
      <c r="C384" s="8"/>
      <c r="D384" s="8"/>
      <c r="E384" s="9"/>
      <c r="F384" s="10"/>
      <c r="G384" s="9"/>
      <c r="H384" s="11"/>
      <c r="I384" s="9" t="s">
        <v>13</v>
      </c>
      <c r="J384" s="347"/>
      <c r="K384" s="347"/>
      <c r="L384" s="347"/>
    </row>
    <row r="385">
      <c r="A385" s="102"/>
      <c r="B385" s="11"/>
      <c r="C385" s="8"/>
      <c r="D385" s="8"/>
      <c r="E385" s="9"/>
      <c r="F385" s="10"/>
      <c r="G385" s="9"/>
      <c r="H385" s="11"/>
      <c r="I385" s="9" t="s">
        <v>13</v>
      </c>
      <c r="J385" s="347"/>
      <c r="K385" s="347"/>
      <c r="L385" s="347"/>
    </row>
    <row r="386">
      <c r="A386" s="102"/>
      <c r="B386" s="11"/>
      <c r="C386" s="8"/>
      <c r="D386" s="8"/>
      <c r="E386" s="9"/>
      <c r="F386" s="10"/>
      <c r="G386" s="9"/>
      <c r="H386" s="11"/>
      <c r="I386" s="9" t="s">
        <v>13</v>
      </c>
      <c r="J386" s="347"/>
      <c r="K386" s="347"/>
      <c r="L386" s="347"/>
    </row>
    <row r="387">
      <c r="A387" s="102"/>
      <c r="B387" s="11"/>
      <c r="C387" s="8"/>
      <c r="D387" s="8"/>
      <c r="E387" s="9"/>
      <c r="F387" s="10"/>
      <c r="G387" s="9"/>
      <c r="H387" s="11"/>
      <c r="I387" s="9" t="s">
        <v>13</v>
      </c>
      <c r="J387" s="347"/>
      <c r="K387" s="347"/>
      <c r="L387" s="347"/>
    </row>
    <row r="388">
      <c r="A388" s="102"/>
      <c r="B388" s="11"/>
      <c r="C388" s="8"/>
      <c r="D388" s="8"/>
      <c r="E388" s="9"/>
      <c r="F388" s="10"/>
      <c r="G388" s="9"/>
      <c r="H388" s="11"/>
      <c r="I388" s="9" t="s">
        <v>13</v>
      </c>
      <c r="J388" s="347"/>
      <c r="K388" s="347"/>
      <c r="L388" s="347"/>
    </row>
    <row r="389">
      <c r="A389" s="102"/>
      <c r="B389" s="11"/>
      <c r="C389" s="8"/>
      <c r="D389" s="8"/>
      <c r="E389" s="9"/>
      <c r="F389" s="10"/>
      <c r="G389" s="9"/>
      <c r="H389" s="11"/>
      <c r="I389" s="9" t="s">
        <v>13</v>
      </c>
      <c r="J389" s="347"/>
      <c r="K389" s="347"/>
      <c r="L389" s="347"/>
    </row>
    <row r="390">
      <c r="A390" s="102"/>
      <c r="B390" s="11"/>
      <c r="C390" s="8"/>
      <c r="D390" s="8"/>
      <c r="E390" s="9"/>
      <c r="F390" s="10"/>
      <c r="G390" s="9"/>
      <c r="H390" s="11"/>
      <c r="I390" s="9" t="s">
        <v>13</v>
      </c>
      <c r="J390" s="347"/>
      <c r="K390" s="347"/>
      <c r="L390" s="347"/>
    </row>
    <row r="391">
      <c r="A391" s="102"/>
      <c r="B391" s="11"/>
      <c r="C391" s="8"/>
      <c r="D391" s="8"/>
      <c r="E391" s="9"/>
      <c r="F391" s="10"/>
      <c r="G391" s="9"/>
      <c r="H391" s="11"/>
      <c r="I391" s="9" t="s">
        <v>13</v>
      </c>
      <c r="J391" s="347"/>
      <c r="K391" s="347"/>
      <c r="L391" s="347"/>
    </row>
    <row r="392">
      <c r="A392" s="102"/>
      <c r="B392" s="11"/>
      <c r="C392" s="8"/>
      <c r="D392" s="8"/>
      <c r="E392" s="9"/>
      <c r="F392" s="10"/>
      <c r="G392" s="9"/>
      <c r="H392" s="11"/>
      <c r="I392" s="9" t="s">
        <v>13</v>
      </c>
      <c r="J392" s="347"/>
      <c r="K392" s="347"/>
      <c r="L392" s="347"/>
    </row>
    <row r="393">
      <c r="A393" s="102"/>
      <c r="B393" s="11"/>
      <c r="C393" s="8"/>
      <c r="D393" s="8"/>
      <c r="E393" s="9"/>
      <c r="F393" s="10"/>
      <c r="G393" s="9"/>
      <c r="H393" s="11"/>
      <c r="I393" s="9" t="s">
        <v>13</v>
      </c>
      <c r="J393" s="347"/>
      <c r="K393" s="347"/>
      <c r="L393" s="347"/>
    </row>
    <row r="394">
      <c r="A394" s="102"/>
      <c r="B394" s="11"/>
      <c r="C394" s="8"/>
      <c r="D394" s="8"/>
      <c r="E394" s="9"/>
      <c r="F394" s="10"/>
      <c r="G394" s="9"/>
      <c r="H394" s="11"/>
      <c r="I394" s="9" t="s">
        <v>13</v>
      </c>
      <c r="J394" s="347"/>
      <c r="K394" s="347"/>
      <c r="L394" s="347"/>
    </row>
    <row r="395">
      <c r="A395" s="102"/>
      <c r="B395" s="11"/>
      <c r="C395" s="8"/>
      <c r="D395" s="8"/>
      <c r="E395" s="9"/>
      <c r="F395" s="10"/>
      <c r="G395" s="9"/>
      <c r="H395" s="11"/>
      <c r="I395" s="9" t="s">
        <v>13</v>
      </c>
      <c r="J395" s="347"/>
      <c r="K395" s="347"/>
      <c r="L395" s="347"/>
    </row>
    <row r="396">
      <c r="A396" s="102"/>
      <c r="B396" s="11"/>
      <c r="C396" s="8"/>
      <c r="D396" s="8"/>
      <c r="E396" s="9"/>
      <c r="F396" s="10"/>
      <c r="G396" s="9"/>
      <c r="H396" s="11"/>
      <c r="I396" s="9" t="s">
        <v>13</v>
      </c>
      <c r="J396" s="347"/>
      <c r="K396" s="347"/>
      <c r="L396" s="347"/>
    </row>
    <row r="397">
      <c r="A397" s="102"/>
      <c r="B397" s="11"/>
      <c r="C397" s="8"/>
      <c r="D397" s="8"/>
      <c r="E397" s="9"/>
      <c r="F397" s="10"/>
      <c r="G397" s="9"/>
      <c r="H397" s="11"/>
      <c r="I397" s="9" t="s">
        <v>13</v>
      </c>
      <c r="J397" s="347"/>
      <c r="K397" s="347"/>
      <c r="L397" s="347"/>
    </row>
    <row r="398">
      <c r="A398" s="102"/>
      <c r="B398" s="11"/>
      <c r="C398" s="8"/>
      <c r="D398" s="8"/>
      <c r="E398" s="9"/>
      <c r="F398" s="10"/>
      <c r="G398" s="9"/>
      <c r="H398" s="11"/>
      <c r="I398" s="9" t="s">
        <v>13</v>
      </c>
      <c r="J398" s="347"/>
      <c r="K398" s="347"/>
      <c r="L398" s="347"/>
    </row>
    <row r="399">
      <c r="A399" s="102"/>
      <c r="B399" s="11"/>
      <c r="C399" s="8"/>
      <c r="D399" s="8"/>
      <c r="E399" s="9"/>
      <c r="F399" s="10"/>
      <c r="G399" s="9"/>
      <c r="H399" s="11"/>
      <c r="I399" s="9" t="s">
        <v>13</v>
      </c>
      <c r="J399" s="347"/>
      <c r="K399" s="347"/>
      <c r="L399" s="347"/>
    </row>
    <row r="400">
      <c r="A400" s="102"/>
      <c r="B400" s="11"/>
      <c r="C400" s="8"/>
      <c r="D400" s="8"/>
      <c r="E400" s="9"/>
      <c r="F400" s="10"/>
      <c r="G400" s="9"/>
      <c r="H400" s="11"/>
      <c r="I400" s="9" t="s">
        <v>13</v>
      </c>
      <c r="J400" s="347"/>
      <c r="K400" s="347"/>
      <c r="L400" s="347"/>
    </row>
    <row r="401">
      <c r="A401" s="102"/>
      <c r="B401" s="11"/>
      <c r="C401" s="8"/>
      <c r="D401" s="8"/>
      <c r="E401" s="9"/>
      <c r="F401" s="10"/>
      <c r="G401" s="9"/>
      <c r="H401" s="11"/>
      <c r="I401" s="9" t="s">
        <v>13</v>
      </c>
      <c r="J401" s="347"/>
      <c r="K401" s="347"/>
      <c r="L401" s="347"/>
    </row>
    <row r="402">
      <c r="A402" s="102"/>
      <c r="B402" s="11"/>
      <c r="C402" s="8"/>
      <c r="D402" s="8"/>
      <c r="E402" s="9"/>
      <c r="F402" s="10"/>
      <c r="G402" s="9"/>
      <c r="H402" s="11"/>
      <c r="I402" s="9" t="s">
        <v>13</v>
      </c>
      <c r="J402" s="347"/>
      <c r="K402" s="347"/>
      <c r="L402" s="347"/>
    </row>
    <row r="403">
      <c r="A403" s="102"/>
      <c r="B403" s="11"/>
      <c r="C403" s="8"/>
      <c r="D403" s="8"/>
      <c r="E403" s="9"/>
      <c r="F403" s="10"/>
      <c r="G403" s="9"/>
      <c r="H403" s="11"/>
      <c r="I403" s="9" t="s">
        <v>13</v>
      </c>
      <c r="J403" s="347"/>
      <c r="K403" s="347"/>
      <c r="L403" s="347"/>
    </row>
    <row r="404">
      <c r="A404" s="102"/>
      <c r="B404" s="11"/>
      <c r="C404" s="8"/>
      <c r="D404" s="8"/>
      <c r="E404" s="9"/>
      <c r="F404" s="10"/>
      <c r="G404" s="9"/>
      <c r="H404" s="11"/>
      <c r="I404" s="9" t="s">
        <v>13</v>
      </c>
      <c r="J404" s="347"/>
      <c r="K404" s="347"/>
      <c r="L404" s="347"/>
    </row>
    <row r="405">
      <c r="A405" s="102"/>
      <c r="B405" s="11"/>
      <c r="C405" s="8"/>
      <c r="D405" s="8"/>
      <c r="E405" s="9"/>
      <c r="F405" s="10"/>
      <c r="G405" s="9"/>
      <c r="H405" s="11"/>
      <c r="I405" s="9" t="s">
        <v>13</v>
      </c>
      <c r="J405" s="347"/>
      <c r="K405" s="347"/>
      <c r="L405" s="347"/>
    </row>
    <row r="406">
      <c r="A406" s="102"/>
      <c r="B406" s="11"/>
      <c r="C406" s="8"/>
      <c r="D406" s="8"/>
      <c r="E406" s="9"/>
      <c r="F406" s="10"/>
      <c r="G406" s="9"/>
      <c r="H406" s="11"/>
      <c r="I406" s="9" t="s">
        <v>13</v>
      </c>
      <c r="J406" s="347"/>
      <c r="K406" s="347"/>
      <c r="L406" s="347"/>
    </row>
    <row r="407">
      <c r="A407" s="102"/>
      <c r="B407" s="11"/>
      <c r="C407" s="8"/>
      <c r="D407" s="8"/>
      <c r="E407" s="9"/>
      <c r="F407" s="10"/>
      <c r="G407" s="9"/>
      <c r="H407" s="11"/>
      <c r="I407" s="9" t="s">
        <v>13</v>
      </c>
      <c r="J407" s="347"/>
      <c r="K407" s="347"/>
      <c r="L407" s="347"/>
    </row>
    <row r="408">
      <c r="A408" s="102"/>
      <c r="B408" s="11"/>
      <c r="C408" s="8"/>
      <c r="D408" s="8"/>
      <c r="E408" s="9"/>
      <c r="F408" s="10"/>
      <c r="G408" s="9"/>
      <c r="H408" s="11"/>
      <c r="I408" s="9" t="s">
        <v>13</v>
      </c>
      <c r="J408" s="347"/>
      <c r="K408" s="347"/>
      <c r="L408" s="347"/>
    </row>
    <row r="409">
      <c r="A409" s="102"/>
      <c r="B409" s="11"/>
      <c r="C409" s="8"/>
      <c r="D409" s="8"/>
      <c r="E409" s="9"/>
      <c r="F409" s="10"/>
      <c r="G409" s="9"/>
      <c r="H409" s="11"/>
      <c r="I409" s="9" t="s">
        <v>13</v>
      </c>
      <c r="J409" s="347"/>
      <c r="K409" s="347"/>
      <c r="L409" s="347"/>
    </row>
    <row r="410">
      <c r="A410" s="102"/>
      <c r="B410" s="11"/>
      <c r="C410" s="8"/>
      <c r="D410" s="8"/>
      <c r="E410" s="9"/>
      <c r="F410" s="10"/>
      <c r="G410" s="9"/>
      <c r="H410" s="11"/>
      <c r="I410" s="9" t="s">
        <v>13</v>
      </c>
      <c r="J410" s="347"/>
      <c r="K410" s="347"/>
      <c r="L410" s="347"/>
    </row>
    <row r="411">
      <c r="A411" s="102"/>
      <c r="B411" s="11"/>
      <c r="C411" s="8"/>
      <c r="D411" s="8"/>
      <c r="E411" s="9"/>
      <c r="F411" s="10"/>
      <c r="G411" s="9"/>
      <c r="H411" s="11"/>
      <c r="I411" s="9" t="s">
        <v>13</v>
      </c>
      <c r="J411" s="347"/>
      <c r="K411" s="347"/>
      <c r="L411" s="347"/>
    </row>
    <row r="412">
      <c r="A412" s="102"/>
      <c r="B412" s="11"/>
      <c r="C412" s="8"/>
      <c r="D412" s="8"/>
      <c r="E412" s="9"/>
      <c r="F412" s="10"/>
      <c r="G412" s="9"/>
      <c r="H412" s="11"/>
      <c r="I412" s="9" t="s">
        <v>13</v>
      </c>
      <c r="J412" s="347"/>
      <c r="K412" s="347"/>
      <c r="L412" s="347"/>
    </row>
    <row r="413">
      <c r="A413" s="102"/>
      <c r="B413" s="11"/>
      <c r="C413" s="8"/>
      <c r="D413" s="8"/>
      <c r="E413" s="9"/>
      <c r="F413" s="10"/>
      <c r="G413" s="9"/>
      <c r="H413" s="11"/>
      <c r="I413" s="9" t="s">
        <v>13</v>
      </c>
      <c r="J413" s="347"/>
      <c r="K413" s="347"/>
      <c r="L413" s="347"/>
    </row>
    <row r="414">
      <c r="A414" s="102"/>
      <c r="B414" s="11"/>
      <c r="C414" s="8"/>
      <c r="D414" s="8"/>
      <c r="E414" s="9"/>
      <c r="F414" s="10"/>
      <c r="G414" s="9"/>
      <c r="H414" s="11"/>
      <c r="I414" s="9" t="s">
        <v>13</v>
      </c>
      <c r="J414" s="347"/>
      <c r="K414" s="347"/>
      <c r="L414" s="347"/>
    </row>
    <row r="415">
      <c r="A415" s="102"/>
      <c r="B415" s="11"/>
      <c r="C415" s="8"/>
      <c r="D415" s="8"/>
      <c r="E415" s="9"/>
      <c r="F415" s="10"/>
      <c r="G415" s="9"/>
      <c r="H415" s="11"/>
      <c r="I415" s="9" t="s">
        <v>13</v>
      </c>
      <c r="J415" s="347"/>
      <c r="K415" s="347"/>
      <c r="L415" s="347"/>
    </row>
    <row r="416">
      <c r="A416" s="102"/>
      <c r="B416" s="11"/>
      <c r="C416" s="8"/>
      <c r="D416" s="8"/>
      <c r="E416" s="9"/>
      <c r="F416" s="10"/>
      <c r="G416" s="9"/>
      <c r="H416" s="11"/>
      <c r="I416" s="9" t="s">
        <v>13</v>
      </c>
      <c r="J416" s="347"/>
      <c r="K416" s="347"/>
      <c r="L416" s="347"/>
    </row>
    <row r="417">
      <c r="A417" s="102"/>
      <c r="B417" s="11"/>
      <c r="C417" s="8"/>
      <c r="D417" s="8"/>
      <c r="E417" s="9"/>
      <c r="F417" s="10"/>
      <c r="G417" s="9"/>
      <c r="H417" s="11"/>
      <c r="I417" s="9" t="s">
        <v>13</v>
      </c>
      <c r="J417" s="347"/>
      <c r="K417" s="347"/>
      <c r="L417" s="347"/>
    </row>
    <row r="418">
      <c r="A418" s="102"/>
      <c r="B418" s="11"/>
      <c r="C418" s="8"/>
      <c r="D418" s="8"/>
      <c r="E418" s="9"/>
      <c r="F418" s="10"/>
      <c r="G418" s="9"/>
      <c r="H418" s="11"/>
      <c r="I418" s="9" t="s">
        <v>13</v>
      </c>
      <c r="J418" s="347"/>
      <c r="K418" s="347"/>
      <c r="L418" s="347"/>
    </row>
    <row r="419">
      <c r="A419" s="102"/>
      <c r="B419" s="11"/>
      <c r="C419" s="8"/>
      <c r="D419" s="8"/>
      <c r="E419" s="9"/>
      <c r="F419" s="10"/>
      <c r="G419" s="9"/>
      <c r="H419" s="11"/>
      <c r="I419" s="9" t="s">
        <v>13</v>
      </c>
      <c r="J419" s="347"/>
      <c r="K419" s="347"/>
      <c r="L419" s="347"/>
    </row>
    <row r="420">
      <c r="A420" s="102"/>
      <c r="B420" s="11"/>
      <c r="C420" s="8"/>
      <c r="D420" s="8"/>
      <c r="E420" s="9"/>
      <c r="F420" s="10"/>
      <c r="G420" s="9"/>
      <c r="H420" s="11"/>
      <c r="I420" s="9" t="s">
        <v>13</v>
      </c>
      <c r="J420" s="347"/>
      <c r="K420" s="347"/>
      <c r="L420" s="347"/>
    </row>
    <row r="421">
      <c r="A421" s="102"/>
      <c r="B421" s="11"/>
      <c r="C421" s="8"/>
      <c r="D421" s="8"/>
      <c r="E421" s="9"/>
      <c r="F421" s="10"/>
      <c r="G421" s="9"/>
      <c r="H421" s="11"/>
      <c r="I421" s="9" t="s">
        <v>13</v>
      </c>
      <c r="J421" s="347"/>
      <c r="K421" s="347"/>
      <c r="L421" s="347"/>
    </row>
    <row r="422">
      <c r="A422" s="102"/>
      <c r="B422" s="11"/>
      <c r="C422" s="8"/>
      <c r="D422" s="8"/>
      <c r="E422" s="9"/>
      <c r="F422" s="10"/>
      <c r="G422" s="9"/>
      <c r="H422" s="11"/>
      <c r="I422" s="9" t="s">
        <v>13</v>
      </c>
      <c r="J422" s="347"/>
      <c r="K422" s="347"/>
      <c r="L422" s="347"/>
    </row>
    <row r="423">
      <c r="A423" s="102"/>
      <c r="B423" s="11"/>
      <c r="C423" s="8"/>
      <c r="D423" s="8"/>
      <c r="E423" s="9"/>
      <c r="F423" s="10"/>
      <c r="G423" s="9"/>
      <c r="H423" s="11"/>
      <c r="I423" s="9" t="s">
        <v>13</v>
      </c>
      <c r="J423" s="347"/>
      <c r="K423" s="347"/>
      <c r="L423" s="347"/>
    </row>
    <row r="424">
      <c r="A424" s="102"/>
      <c r="B424" s="11"/>
      <c r="C424" s="8"/>
      <c r="D424" s="8"/>
      <c r="E424" s="9"/>
      <c r="F424" s="10"/>
      <c r="G424" s="9"/>
      <c r="H424" s="11"/>
      <c r="I424" s="9" t="s">
        <v>13</v>
      </c>
      <c r="J424" s="347"/>
      <c r="K424" s="347"/>
      <c r="L424" s="347"/>
    </row>
    <row r="425">
      <c r="A425" s="102"/>
      <c r="B425" s="11"/>
      <c r="C425" s="8"/>
      <c r="D425" s="8"/>
      <c r="E425" s="9"/>
      <c r="F425" s="10"/>
      <c r="G425" s="9"/>
      <c r="H425" s="11"/>
      <c r="I425" s="9" t="s">
        <v>13</v>
      </c>
      <c r="J425" s="347"/>
      <c r="K425" s="347"/>
      <c r="L425" s="347"/>
    </row>
    <row r="426">
      <c r="A426" s="102"/>
      <c r="B426" s="11"/>
      <c r="C426" s="8"/>
      <c r="D426" s="8"/>
      <c r="E426" s="9"/>
      <c r="F426" s="10"/>
      <c r="G426" s="9"/>
      <c r="H426" s="11"/>
      <c r="I426" s="9" t="s">
        <v>13</v>
      </c>
      <c r="J426" s="347"/>
      <c r="K426" s="347"/>
      <c r="L426" s="347"/>
    </row>
    <row r="427">
      <c r="A427" s="102"/>
      <c r="B427" s="11"/>
      <c r="C427" s="8"/>
      <c r="D427" s="8"/>
      <c r="E427" s="9"/>
      <c r="F427" s="10"/>
      <c r="G427" s="9"/>
      <c r="H427" s="11"/>
      <c r="I427" s="9" t="s">
        <v>13</v>
      </c>
      <c r="J427" s="347"/>
      <c r="K427" s="347"/>
      <c r="L427" s="347"/>
    </row>
    <row r="428">
      <c r="A428" s="102"/>
      <c r="B428" s="11"/>
      <c r="C428" s="8"/>
      <c r="D428" s="8"/>
      <c r="E428" s="9"/>
      <c r="F428" s="10"/>
      <c r="G428" s="9"/>
      <c r="H428" s="11"/>
      <c r="I428" s="9" t="s">
        <v>13</v>
      </c>
      <c r="J428" s="347"/>
      <c r="K428" s="347"/>
      <c r="L428" s="347"/>
    </row>
    <row r="429">
      <c r="A429" s="102"/>
      <c r="B429" s="11"/>
      <c r="C429" s="8"/>
      <c r="D429" s="8"/>
      <c r="E429" s="9"/>
      <c r="F429" s="10"/>
      <c r="G429" s="9"/>
      <c r="H429" s="11"/>
      <c r="I429" s="9" t="s">
        <v>13</v>
      </c>
      <c r="J429" s="347"/>
      <c r="K429" s="347"/>
      <c r="L429" s="347"/>
    </row>
    <row r="430">
      <c r="A430" s="102"/>
      <c r="B430" s="11"/>
      <c r="C430" s="8"/>
      <c r="D430" s="8"/>
      <c r="E430" s="9"/>
      <c r="F430" s="10"/>
      <c r="G430" s="9"/>
      <c r="H430" s="11"/>
      <c r="I430" s="9" t="s">
        <v>13</v>
      </c>
      <c r="J430" s="347"/>
      <c r="K430" s="347"/>
      <c r="L430" s="347"/>
    </row>
    <row r="431">
      <c r="A431" s="102"/>
      <c r="B431" s="11"/>
      <c r="C431" s="8"/>
      <c r="D431" s="8"/>
      <c r="E431" s="9"/>
      <c r="F431" s="10"/>
      <c r="G431" s="9"/>
      <c r="H431" s="11"/>
      <c r="I431" s="9" t="s">
        <v>13</v>
      </c>
      <c r="J431" s="347"/>
      <c r="K431" s="347"/>
      <c r="L431" s="347"/>
    </row>
    <row r="432">
      <c r="A432" s="102"/>
      <c r="B432" s="11"/>
      <c r="C432" s="8"/>
      <c r="D432" s="8"/>
      <c r="E432" s="9"/>
      <c r="F432" s="10"/>
      <c r="G432" s="9"/>
      <c r="H432" s="11"/>
      <c r="I432" s="9" t="s">
        <v>13</v>
      </c>
      <c r="J432" s="347"/>
      <c r="K432" s="347"/>
      <c r="L432" s="347"/>
    </row>
    <row r="433">
      <c r="A433" s="102"/>
      <c r="B433" s="11"/>
      <c r="C433" s="8"/>
      <c r="D433" s="8"/>
      <c r="E433" s="9"/>
      <c r="F433" s="10"/>
      <c r="G433" s="9"/>
      <c r="H433" s="11"/>
      <c r="I433" s="9" t="s">
        <v>13</v>
      </c>
      <c r="J433" s="347"/>
      <c r="K433" s="347"/>
      <c r="L433" s="347"/>
    </row>
    <row r="434">
      <c r="A434" s="102"/>
      <c r="B434" s="11"/>
      <c r="C434" s="8"/>
      <c r="D434" s="8"/>
      <c r="E434" s="9"/>
      <c r="F434" s="10"/>
      <c r="G434" s="9"/>
      <c r="H434" s="11"/>
      <c r="I434" s="9" t="s">
        <v>13</v>
      </c>
      <c r="J434" s="347"/>
      <c r="K434" s="347"/>
      <c r="L434" s="347"/>
    </row>
    <row r="435">
      <c r="A435" s="102"/>
      <c r="B435" s="11"/>
      <c r="C435" s="8"/>
      <c r="D435" s="8"/>
      <c r="E435" s="9"/>
      <c r="F435" s="10"/>
      <c r="G435" s="9"/>
      <c r="H435" s="11"/>
      <c r="I435" s="9" t="s">
        <v>13</v>
      </c>
      <c r="J435" s="347"/>
      <c r="K435" s="347"/>
      <c r="L435" s="347"/>
    </row>
    <row r="436">
      <c r="A436" s="102"/>
      <c r="B436" s="11"/>
      <c r="C436" s="8"/>
      <c r="D436" s="8"/>
      <c r="E436" s="9"/>
      <c r="F436" s="10"/>
      <c r="G436" s="9"/>
      <c r="H436" s="11"/>
      <c r="I436" s="9" t="s">
        <v>13</v>
      </c>
      <c r="J436" s="347"/>
      <c r="K436" s="347"/>
      <c r="L436" s="347"/>
    </row>
    <row r="437">
      <c r="A437" s="102"/>
      <c r="B437" s="11"/>
      <c r="C437" s="8"/>
      <c r="D437" s="8"/>
      <c r="E437" s="9"/>
      <c r="F437" s="10"/>
      <c r="G437" s="9"/>
      <c r="H437" s="11"/>
      <c r="I437" s="9" t="s">
        <v>13</v>
      </c>
      <c r="J437" s="347"/>
      <c r="K437" s="347"/>
      <c r="L437" s="347"/>
    </row>
    <row r="438">
      <c r="A438" s="102"/>
      <c r="B438" s="11"/>
      <c r="C438" s="8"/>
      <c r="D438" s="8"/>
      <c r="E438" s="9"/>
      <c r="F438" s="10"/>
      <c r="G438" s="9"/>
      <c r="H438" s="11"/>
      <c r="I438" s="9" t="s">
        <v>13</v>
      </c>
      <c r="J438" s="347"/>
      <c r="K438" s="347"/>
      <c r="L438" s="347"/>
    </row>
    <row r="439">
      <c r="A439" s="102"/>
      <c r="B439" s="11"/>
      <c r="C439" s="8"/>
      <c r="D439" s="8"/>
      <c r="E439" s="9"/>
      <c r="F439" s="10"/>
      <c r="G439" s="9"/>
      <c r="H439" s="11"/>
      <c r="I439" s="9" t="s">
        <v>13</v>
      </c>
      <c r="J439" s="347"/>
      <c r="K439" s="347"/>
      <c r="L439" s="347"/>
    </row>
    <row r="440">
      <c r="A440" s="102"/>
      <c r="B440" s="11"/>
      <c r="C440" s="8"/>
      <c r="D440" s="8"/>
      <c r="E440" s="9"/>
      <c r="F440" s="10"/>
      <c r="G440" s="9"/>
      <c r="H440" s="11"/>
      <c r="I440" s="9" t="s">
        <v>13</v>
      </c>
      <c r="J440" s="347"/>
      <c r="K440" s="347"/>
      <c r="L440" s="347"/>
    </row>
    <row r="441">
      <c r="A441" s="102"/>
      <c r="B441" s="11"/>
      <c r="C441" s="8"/>
      <c r="D441" s="8"/>
      <c r="E441" s="9"/>
      <c r="F441" s="10"/>
      <c r="G441" s="9"/>
      <c r="H441" s="11"/>
      <c r="I441" s="9" t="s">
        <v>13</v>
      </c>
      <c r="J441" s="347"/>
      <c r="K441" s="347"/>
      <c r="L441" s="347"/>
    </row>
    <row r="442">
      <c r="A442" s="102"/>
      <c r="B442" s="11"/>
      <c r="C442" s="8"/>
      <c r="D442" s="8"/>
      <c r="E442" s="9"/>
      <c r="F442" s="10"/>
      <c r="G442" s="9"/>
      <c r="H442" s="11"/>
      <c r="I442" s="9" t="s">
        <v>13</v>
      </c>
      <c r="J442" s="347"/>
      <c r="K442" s="347"/>
      <c r="L442" s="347"/>
    </row>
    <row r="443">
      <c r="A443" s="102"/>
      <c r="B443" s="11"/>
      <c r="C443" s="8"/>
      <c r="D443" s="8"/>
      <c r="E443" s="9"/>
      <c r="F443" s="10"/>
      <c r="G443" s="9"/>
      <c r="H443" s="11"/>
      <c r="I443" s="9" t="s">
        <v>13</v>
      </c>
      <c r="J443" s="347"/>
      <c r="K443" s="347"/>
      <c r="L443" s="347"/>
    </row>
    <row r="444">
      <c r="A444" s="102"/>
      <c r="B444" s="11"/>
      <c r="C444" s="8"/>
      <c r="D444" s="8"/>
      <c r="E444" s="9"/>
      <c r="F444" s="10"/>
      <c r="G444" s="9"/>
      <c r="H444" s="11"/>
      <c r="I444" s="9" t="s">
        <v>13</v>
      </c>
      <c r="J444" s="347"/>
      <c r="K444" s="347"/>
      <c r="L444" s="347"/>
    </row>
    <row r="445">
      <c r="A445" s="102"/>
      <c r="B445" s="11"/>
      <c r="C445" s="8"/>
      <c r="D445" s="8"/>
      <c r="E445" s="9"/>
      <c r="F445" s="10"/>
      <c r="G445" s="9"/>
      <c r="H445" s="11"/>
      <c r="I445" s="9" t="s">
        <v>13</v>
      </c>
      <c r="J445" s="347"/>
      <c r="K445" s="347"/>
      <c r="L445" s="347"/>
    </row>
    <row r="446">
      <c r="A446" s="102"/>
      <c r="B446" s="11"/>
      <c r="C446" s="8"/>
      <c r="D446" s="8"/>
      <c r="E446" s="9"/>
      <c r="F446" s="10"/>
      <c r="G446" s="9"/>
      <c r="H446" s="11"/>
      <c r="I446" s="9" t="s">
        <v>13</v>
      </c>
      <c r="J446" s="347"/>
      <c r="K446" s="347"/>
      <c r="L446" s="347"/>
    </row>
    <row r="447">
      <c r="A447" s="102"/>
      <c r="B447" s="11"/>
      <c r="C447" s="8"/>
      <c r="D447" s="8"/>
      <c r="E447" s="9"/>
      <c r="F447" s="10"/>
      <c r="G447" s="9"/>
      <c r="H447" s="11"/>
      <c r="I447" s="9" t="s">
        <v>13</v>
      </c>
      <c r="J447" s="347"/>
      <c r="K447" s="347"/>
      <c r="L447" s="347"/>
    </row>
    <row r="448">
      <c r="A448" s="102"/>
      <c r="B448" s="11"/>
      <c r="C448" s="8"/>
      <c r="D448" s="8"/>
      <c r="E448" s="9"/>
      <c r="F448" s="10"/>
      <c r="G448" s="9"/>
      <c r="H448" s="11"/>
      <c r="I448" s="9" t="s">
        <v>13</v>
      </c>
      <c r="J448" s="347"/>
      <c r="K448" s="347"/>
      <c r="L448" s="347"/>
    </row>
    <row r="449">
      <c r="A449" s="102"/>
      <c r="B449" s="11"/>
      <c r="C449" s="8"/>
      <c r="D449" s="8"/>
      <c r="E449" s="9"/>
      <c r="F449" s="10"/>
      <c r="G449" s="9"/>
      <c r="H449" s="11"/>
      <c r="I449" s="9" t="s">
        <v>13</v>
      </c>
      <c r="J449" s="347"/>
      <c r="K449" s="347"/>
      <c r="L449" s="347"/>
    </row>
    <row r="450">
      <c r="A450" s="102"/>
      <c r="B450" s="11"/>
      <c r="C450" s="8"/>
      <c r="D450" s="8"/>
      <c r="E450" s="9"/>
      <c r="F450" s="10"/>
      <c r="G450" s="9"/>
      <c r="H450" s="11"/>
      <c r="I450" s="9" t="s">
        <v>13</v>
      </c>
      <c r="J450" s="347"/>
      <c r="K450" s="347"/>
      <c r="L450" s="347"/>
    </row>
    <row r="451">
      <c r="A451" s="102"/>
      <c r="B451" s="11"/>
      <c r="C451" s="8"/>
      <c r="D451" s="8"/>
      <c r="E451" s="9"/>
      <c r="F451" s="10"/>
      <c r="G451" s="9"/>
      <c r="H451" s="11"/>
      <c r="I451" s="9" t="s">
        <v>13</v>
      </c>
      <c r="J451" s="347"/>
      <c r="K451" s="347"/>
      <c r="L451" s="347"/>
    </row>
    <row r="452">
      <c r="A452" s="102"/>
      <c r="B452" s="11"/>
      <c r="C452" s="8"/>
      <c r="D452" s="8"/>
      <c r="E452" s="9"/>
      <c r="F452" s="10"/>
      <c r="G452" s="9"/>
      <c r="H452" s="11"/>
      <c r="I452" s="9" t="s">
        <v>13</v>
      </c>
      <c r="J452" s="347"/>
      <c r="K452" s="347"/>
      <c r="L452" s="347"/>
    </row>
    <row r="453">
      <c r="A453" s="102"/>
      <c r="B453" s="11"/>
      <c r="C453" s="8"/>
      <c r="D453" s="8"/>
      <c r="E453" s="9"/>
      <c r="F453" s="10"/>
      <c r="G453" s="9"/>
      <c r="H453" s="11"/>
      <c r="I453" s="9" t="s">
        <v>13</v>
      </c>
      <c r="J453" s="347"/>
      <c r="K453" s="347"/>
      <c r="L453" s="347"/>
    </row>
    <row r="454">
      <c r="A454" s="102"/>
      <c r="B454" s="11"/>
      <c r="C454" s="8"/>
      <c r="D454" s="8"/>
      <c r="E454" s="9"/>
      <c r="F454" s="10"/>
      <c r="G454" s="9"/>
      <c r="H454" s="11"/>
      <c r="I454" s="9" t="s">
        <v>13</v>
      </c>
      <c r="J454" s="347"/>
      <c r="K454" s="347"/>
      <c r="L454" s="347"/>
    </row>
    <row r="455">
      <c r="A455" s="102"/>
      <c r="B455" s="11"/>
      <c r="C455" s="8"/>
      <c r="D455" s="8"/>
      <c r="E455" s="9"/>
      <c r="F455" s="10"/>
      <c r="G455" s="9"/>
      <c r="H455" s="11"/>
      <c r="I455" s="9" t="s">
        <v>13</v>
      </c>
      <c r="J455" s="347"/>
      <c r="K455" s="347"/>
      <c r="L455" s="347"/>
    </row>
    <row r="456">
      <c r="A456" s="102"/>
      <c r="B456" s="11"/>
      <c r="C456" s="8"/>
      <c r="D456" s="8"/>
      <c r="E456" s="9"/>
      <c r="F456" s="10"/>
      <c r="G456" s="9"/>
      <c r="H456" s="11"/>
      <c r="I456" s="9" t="s">
        <v>13</v>
      </c>
      <c r="J456" s="347"/>
      <c r="K456" s="347"/>
      <c r="L456" s="347"/>
    </row>
    <row r="457">
      <c r="A457" s="102"/>
      <c r="B457" s="11"/>
      <c r="C457" s="8"/>
      <c r="D457" s="8"/>
      <c r="E457" s="9"/>
      <c r="F457" s="10"/>
      <c r="G457" s="9"/>
      <c r="H457" s="11"/>
      <c r="I457" s="9" t="s">
        <v>13</v>
      </c>
      <c r="J457" s="347"/>
      <c r="K457" s="347"/>
      <c r="L457" s="347"/>
    </row>
    <row r="458">
      <c r="A458" s="102"/>
      <c r="B458" s="11"/>
      <c r="C458" s="8"/>
      <c r="D458" s="8"/>
      <c r="E458" s="9"/>
      <c r="F458" s="10"/>
      <c r="G458" s="9"/>
      <c r="H458" s="11"/>
      <c r="I458" s="9" t="s">
        <v>13</v>
      </c>
      <c r="J458" s="347"/>
      <c r="K458" s="347"/>
      <c r="L458" s="347"/>
    </row>
    <row r="459">
      <c r="A459" s="102"/>
      <c r="B459" s="11"/>
      <c r="C459" s="8"/>
      <c r="D459" s="8"/>
      <c r="E459" s="9"/>
      <c r="F459" s="10"/>
      <c r="G459" s="9"/>
      <c r="H459" s="11"/>
      <c r="I459" s="9" t="s">
        <v>13</v>
      </c>
      <c r="J459" s="347"/>
      <c r="K459" s="347"/>
      <c r="L459" s="347"/>
    </row>
    <row r="460">
      <c r="A460" s="102"/>
      <c r="B460" s="11"/>
      <c r="C460" s="8"/>
      <c r="D460" s="8"/>
      <c r="E460" s="9"/>
      <c r="F460" s="10"/>
      <c r="G460" s="9"/>
      <c r="H460" s="11"/>
      <c r="I460" s="9" t="s">
        <v>13</v>
      </c>
      <c r="J460" s="347"/>
      <c r="K460" s="347"/>
      <c r="L460" s="347"/>
    </row>
    <row r="461">
      <c r="A461" s="102"/>
      <c r="B461" s="11"/>
      <c r="C461" s="8"/>
      <c r="D461" s="8"/>
      <c r="E461" s="9"/>
      <c r="F461" s="10"/>
      <c r="G461" s="9"/>
      <c r="H461" s="11"/>
      <c r="I461" s="9" t="s">
        <v>13</v>
      </c>
      <c r="J461" s="347"/>
      <c r="K461" s="347"/>
      <c r="L461" s="347"/>
    </row>
    <row r="462">
      <c r="A462" s="102"/>
      <c r="B462" s="11"/>
      <c r="C462" s="8"/>
      <c r="D462" s="8"/>
      <c r="E462" s="9"/>
      <c r="F462" s="10"/>
      <c r="G462" s="9"/>
      <c r="H462" s="11"/>
      <c r="I462" s="9" t="s">
        <v>13</v>
      </c>
      <c r="J462" s="347"/>
      <c r="K462" s="347"/>
      <c r="L462" s="347"/>
    </row>
    <row r="463">
      <c r="A463" s="102"/>
      <c r="B463" s="11"/>
      <c r="C463" s="8"/>
      <c r="D463" s="8"/>
      <c r="E463" s="9"/>
      <c r="F463" s="10"/>
      <c r="G463" s="9"/>
      <c r="H463" s="11"/>
      <c r="I463" s="9" t="s">
        <v>13</v>
      </c>
      <c r="J463" s="347"/>
      <c r="K463" s="347"/>
      <c r="L463" s="347"/>
    </row>
    <row r="464">
      <c r="A464" s="102"/>
      <c r="B464" s="11"/>
      <c r="C464" s="8"/>
      <c r="D464" s="8"/>
      <c r="E464" s="9"/>
      <c r="F464" s="10"/>
      <c r="G464" s="9"/>
      <c r="H464" s="11"/>
      <c r="I464" s="9" t="s">
        <v>13</v>
      </c>
      <c r="J464" s="347"/>
      <c r="K464" s="347"/>
      <c r="L464" s="347"/>
    </row>
    <row r="465">
      <c r="A465" s="102"/>
      <c r="B465" s="11"/>
      <c r="C465" s="8"/>
      <c r="D465" s="8"/>
      <c r="E465" s="9"/>
      <c r="F465" s="10"/>
      <c r="G465" s="9"/>
      <c r="H465" s="11"/>
      <c r="I465" s="9" t="s">
        <v>13</v>
      </c>
      <c r="J465" s="347"/>
      <c r="K465" s="347"/>
      <c r="L465" s="347"/>
    </row>
    <row r="466">
      <c r="A466" s="102"/>
      <c r="B466" s="11"/>
      <c r="C466" s="8"/>
      <c r="D466" s="8"/>
      <c r="E466" s="9"/>
      <c r="F466" s="10"/>
      <c r="G466" s="9"/>
      <c r="H466" s="11"/>
      <c r="I466" s="9" t="s">
        <v>13</v>
      </c>
      <c r="J466" s="347"/>
      <c r="K466" s="347"/>
      <c r="L466" s="347"/>
    </row>
    <row r="467">
      <c r="A467" s="102"/>
      <c r="B467" s="11"/>
      <c r="C467" s="8"/>
      <c r="D467" s="8"/>
      <c r="E467" s="9"/>
      <c r="F467" s="10"/>
      <c r="G467" s="9"/>
      <c r="H467" s="11"/>
      <c r="I467" s="9" t="s">
        <v>13</v>
      </c>
      <c r="J467" s="347"/>
      <c r="K467" s="347"/>
      <c r="L467" s="347"/>
    </row>
    <row r="468">
      <c r="A468" s="102"/>
      <c r="B468" s="11"/>
      <c r="C468" s="8"/>
      <c r="D468" s="8"/>
      <c r="E468" s="9"/>
      <c r="F468" s="10"/>
      <c r="G468" s="9"/>
      <c r="H468" s="11"/>
      <c r="I468" s="9" t="s">
        <v>13</v>
      </c>
      <c r="J468" s="347"/>
      <c r="K468" s="347"/>
      <c r="L468" s="347"/>
    </row>
    <row r="469">
      <c r="A469" s="102"/>
      <c r="B469" s="11"/>
      <c r="C469" s="8"/>
      <c r="D469" s="8"/>
      <c r="E469" s="9"/>
      <c r="F469" s="10"/>
      <c r="G469" s="9"/>
      <c r="H469" s="11"/>
      <c r="I469" s="9" t="s">
        <v>13</v>
      </c>
      <c r="J469" s="347"/>
      <c r="K469" s="347"/>
      <c r="L469" s="347"/>
    </row>
    <row r="470">
      <c r="A470" s="102"/>
      <c r="B470" s="11"/>
      <c r="C470" s="8"/>
      <c r="D470" s="8"/>
      <c r="E470" s="9"/>
      <c r="F470" s="10"/>
      <c r="G470" s="9"/>
      <c r="H470" s="11"/>
      <c r="I470" s="9" t="s">
        <v>13</v>
      </c>
      <c r="J470" s="347"/>
      <c r="K470" s="347"/>
      <c r="L470" s="347"/>
    </row>
    <row r="471">
      <c r="A471" s="102"/>
      <c r="B471" s="11"/>
      <c r="C471" s="8"/>
      <c r="D471" s="8"/>
      <c r="E471" s="9"/>
      <c r="F471" s="10"/>
      <c r="G471" s="9"/>
      <c r="H471" s="11"/>
      <c r="I471" s="9" t="s">
        <v>13</v>
      </c>
      <c r="J471" s="347"/>
      <c r="K471" s="347"/>
      <c r="L471" s="347"/>
    </row>
    <row r="472">
      <c r="A472" s="102"/>
      <c r="B472" s="11"/>
      <c r="C472" s="8"/>
      <c r="D472" s="8"/>
      <c r="E472" s="9"/>
      <c r="F472" s="10"/>
      <c r="G472" s="9"/>
      <c r="H472" s="11"/>
      <c r="I472" s="9" t="s">
        <v>13</v>
      </c>
      <c r="J472" s="347"/>
      <c r="K472" s="347"/>
      <c r="L472" s="347"/>
    </row>
    <row r="473">
      <c r="A473" s="102"/>
      <c r="B473" s="11"/>
      <c r="C473" s="8"/>
      <c r="D473" s="8"/>
      <c r="E473" s="9"/>
      <c r="F473" s="10"/>
      <c r="G473" s="9"/>
      <c r="H473" s="11"/>
      <c r="I473" s="9" t="s">
        <v>13</v>
      </c>
      <c r="J473" s="347"/>
      <c r="K473" s="347"/>
      <c r="L473" s="347"/>
    </row>
    <row r="474">
      <c r="A474" s="102"/>
      <c r="B474" s="11"/>
      <c r="C474" s="8"/>
      <c r="D474" s="8"/>
      <c r="E474" s="9"/>
      <c r="F474" s="10"/>
      <c r="G474" s="9"/>
      <c r="H474" s="11"/>
      <c r="I474" s="9" t="s">
        <v>13</v>
      </c>
      <c r="J474" s="347"/>
      <c r="K474" s="347"/>
      <c r="L474" s="347"/>
    </row>
    <row r="475">
      <c r="A475" s="102"/>
      <c r="B475" s="11"/>
      <c r="C475" s="8"/>
      <c r="D475" s="8"/>
      <c r="E475" s="9"/>
      <c r="F475" s="10"/>
      <c r="G475" s="9"/>
      <c r="H475" s="11"/>
      <c r="I475" s="9" t="s">
        <v>13</v>
      </c>
      <c r="J475" s="347"/>
      <c r="K475" s="347"/>
      <c r="L475" s="347"/>
    </row>
    <row r="476">
      <c r="A476" s="102"/>
      <c r="B476" s="11"/>
      <c r="C476" s="8"/>
      <c r="D476" s="8"/>
      <c r="E476" s="9"/>
      <c r="F476" s="10"/>
      <c r="G476" s="9"/>
      <c r="H476" s="11"/>
      <c r="I476" s="9" t="s">
        <v>13</v>
      </c>
      <c r="J476" s="347"/>
      <c r="K476" s="347"/>
      <c r="L476" s="347"/>
    </row>
    <row r="477">
      <c r="A477" s="102"/>
      <c r="B477" s="11"/>
      <c r="C477" s="8"/>
      <c r="D477" s="8"/>
      <c r="E477" s="9"/>
      <c r="F477" s="10"/>
      <c r="G477" s="9"/>
      <c r="H477" s="11"/>
      <c r="I477" s="9" t="s">
        <v>13</v>
      </c>
      <c r="J477" s="347"/>
      <c r="K477" s="347"/>
      <c r="L477" s="347"/>
    </row>
    <row r="478">
      <c r="A478" s="102"/>
      <c r="B478" s="11"/>
      <c r="C478" s="8"/>
      <c r="D478" s="8"/>
      <c r="E478" s="9"/>
      <c r="F478" s="10"/>
      <c r="G478" s="9"/>
      <c r="H478" s="11"/>
      <c r="I478" s="9" t="s">
        <v>13</v>
      </c>
      <c r="J478" s="347"/>
      <c r="K478" s="347"/>
      <c r="L478" s="347"/>
    </row>
    <row r="479">
      <c r="A479" s="102"/>
      <c r="B479" s="11"/>
      <c r="C479" s="8"/>
      <c r="D479" s="8"/>
      <c r="E479" s="9"/>
      <c r="F479" s="10"/>
      <c r="G479" s="9"/>
      <c r="H479" s="11"/>
      <c r="I479" s="9" t="s">
        <v>13</v>
      </c>
      <c r="J479" s="347"/>
      <c r="K479" s="347"/>
      <c r="L479" s="347"/>
    </row>
    <row r="480">
      <c r="A480" s="102"/>
      <c r="B480" s="11"/>
      <c r="C480" s="8"/>
      <c r="D480" s="8"/>
      <c r="E480" s="9"/>
      <c r="F480" s="10"/>
      <c r="G480" s="9"/>
      <c r="H480" s="11"/>
      <c r="I480" s="9" t="s">
        <v>13</v>
      </c>
      <c r="J480" s="347"/>
      <c r="K480" s="347"/>
      <c r="L480" s="347"/>
    </row>
    <row r="481">
      <c r="A481" s="102"/>
      <c r="B481" s="11"/>
      <c r="C481" s="8"/>
      <c r="D481" s="8"/>
      <c r="E481" s="9"/>
      <c r="F481" s="10"/>
      <c r="G481" s="9"/>
      <c r="H481" s="11"/>
      <c r="I481" s="9" t="s">
        <v>13</v>
      </c>
      <c r="J481" s="347"/>
      <c r="K481" s="347"/>
      <c r="L481" s="347"/>
    </row>
    <row r="482">
      <c r="A482" s="102"/>
      <c r="B482" s="11"/>
      <c r="C482" s="8"/>
      <c r="D482" s="8"/>
      <c r="E482" s="9"/>
      <c r="F482" s="10"/>
      <c r="G482" s="9"/>
      <c r="H482" s="11"/>
      <c r="I482" s="9" t="s">
        <v>13</v>
      </c>
      <c r="J482" s="347"/>
      <c r="K482" s="347"/>
      <c r="L482" s="347"/>
    </row>
    <row r="483">
      <c r="A483" s="102"/>
      <c r="B483" s="11"/>
      <c r="C483" s="8"/>
      <c r="D483" s="8"/>
      <c r="E483" s="9"/>
      <c r="F483" s="10"/>
      <c r="G483" s="9"/>
      <c r="H483" s="11"/>
      <c r="I483" s="9" t="s">
        <v>13</v>
      </c>
      <c r="J483" s="347"/>
      <c r="K483" s="347"/>
      <c r="L483" s="347"/>
    </row>
    <row r="484">
      <c r="A484" s="102"/>
      <c r="B484" s="11"/>
      <c r="C484" s="8"/>
      <c r="D484" s="8"/>
      <c r="E484" s="9"/>
      <c r="F484" s="10"/>
      <c r="G484" s="9"/>
      <c r="H484" s="11"/>
      <c r="I484" s="9" t="s">
        <v>13</v>
      </c>
      <c r="J484" s="347"/>
      <c r="K484" s="347"/>
      <c r="L484" s="347"/>
    </row>
    <row r="485">
      <c r="A485" s="102"/>
      <c r="B485" s="11"/>
      <c r="C485" s="8"/>
      <c r="D485" s="8"/>
      <c r="E485" s="9"/>
      <c r="F485" s="10"/>
      <c r="G485" s="9"/>
      <c r="H485" s="11"/>
      <c r="I485" s="9" t="s">
        <v>13</v>
      </c>
      <c r="J485" s="347"/>
      <c r="K485" s="347"/>
      <c r="L485" s="347"/>
    </row>
    <row r="486">
      <c r="A486" s="102"/>
      <c r="B486" s="11"/>
      <c r="C486" s="8"/>
      <c r="D486" s="8"/>
      <c r="E486" s="9"/>
      <c r="F486" s="10"/>
      <c r="G486" s="9"/>
      <c r="H486" s="11"/>
      <c r="I486" s="9" t="s">
        <v>13</v>
      </c>
      <c r="J486" s="347"/>
      <c r="K486" s="347"/>
      <c r="L486" s="347"/>
    </row>
    <row r="487">
      <c r="A487" s="102"/>
      <c r="B487" s="11"/>
      <c r="C487" s="8"/>
      <c r="D487" s="8"/>
      <c r="E487" s="9"/>
      <c r="F487" s="10"/>
      <c r="G487" s="9"/>
      <c r="H487" s="11"/>
      <c r="I487" s="9" t="s">
        <v>13</v>
      </c>
      <c r="J487" s="347"/>
      <c r="K487" s="347"/>
      <c r="L487" s="347"/>
    </row>
    <row r="488">
      <c r="A488" s="102"/>
      <c r="B488" s="11"/>
      <c r="C488" s="8"/>
      <c r="D488" s="8"/>
      <c r="E488" s="9"/>
      <c r="F488" s="10"/>
      <c r="G488" s="9"/>
      <c r="H488" s="11"/>
      <c r="I488" s="9" t="s">
        <v>13</v>
      </c>
      <c r="J488" s="347"/>
      <c r="K488" s="347"/>
      <c r="L488" s="347"/>
    </row>
    <row r="489">
      <c r="A489" s="102"/>
      <c r="B489" s="11"/>
      <c r="C489" s="8"/>
      <c r="D489" s="8"/>
      <c r="E489" s="9"/>
      <c r="F489" s="10"/>
      <c r="G489" s="9"/>
      <c r="H489" s="11"/>
      <c r="I489" s="9" t="s">
        <v>13</v>
      </c>
      <c r="J489" s="347"/>
      <c r="K489" s="347"/>
      <c r="L489" s="347"/>
    </row>
    <row r="490">
      <c r="A490" s="102"/>
      <c r="B490" s="11"/>
      <c r="C490" s="8"/>
      <c r="D490" s="8"/>
      <c r="E490" s="9"/>
      <c r="F490" s="10"/>
      <c r="G490" s="9"/>
      <c r="H490" s="11"/>
      <c r="I490" s="9" t="s">
        <v>13</v>
      </c>
      <c r="J490" s="347"/>
      <c r="K490" s="347"/>
      <c r="L490" s="347"/>
    </row>
    <row r="491">
      <c r="A491" s="102"/>
      <c r="B491" s="11"/>
      <c r="C491" s="8"/>
      <c r="D491" s="8"/>
      <c r="E491" s="9"/>
      <c r="F491" s="10"/>
      <c r="G491" s="9"/>
      <c r="H491" s="11"/>
      <c r="I491" s="9" t="s">
        <v>13</v>
      </c>
      <c r="J491" s="347"/>
      <c r="K491" s="347"/>
      <c r="L491" s="347"/>
    </row>
    <row r="492">
      <c r="A492" s="102"/>
      <c r="B492" s="11"/>
      <c r="C492" s="8"/>
      <c r="D492" s="8"/>
      <c r="E492" s="9"/>
      <c r="F492" s="10"/>
      <c r="G492" s="9"/>
      <c r="H492" s="11"/>
      <c r="I492" s="9" t="s">
        <v>13</v>
      </c>
      <c r="J492" s="347"/>
      <c r="K492" s="347"/>
      <c r="L492" s="347"/>
    </row>
    <row r="493">
      <c r="A493" s="102"/>
      <c r="B493" s="11"/>
      <c r="C493" s="8"/>
      <c r="D493" s="8"/>
      <c r="E493" s="9"/>
      <c r="F493" s="10"/>
      <c r="G493" s="9"/>
      <c r="H493" s="11"/>
      <c r="I493" s="9" t="s">
        <v>13</v>
      </c>
      <c r="J493" s="347"/>
      <c r="K493" s="347"/>
      <c r="L493" s="347"/>
    </row>
    <row r="494">
      <c r="A494" s="102"/>
      <c r="B494" s="11"/>
      <c r="C494" s="8"/>
      <c r="D494" s="8"/>
      <c r="E494" s="9"/>
      <c r="F494" s="10"/>
      <c r="G494" s="9"/>
      <c r="H494" s="11"/>
      <c r="I494" s="9" t="s">
        <v>13</v>
      </c>
      <c r="J494" s="347"/>
      <c r="K494" s="347"/>
      <c r="L494" s="347"/>
    </row>
    <row r="495">
      <c r="A495" s="102"/>
      <c r="B495" s="11"/>
      <c r="C495" s="8"/>
      <c r="D495" s="8"/>
      <c r="E495" s="9"/>
      <c r="F495" s="10"/>
      <c r="G495" s="9"/>
      <c r="H495" s="11"/>
      <c r="I495" s="9" t="s">
        <v>13</v>
      </c>
      <c r="J495" s="347"/>
      <c r="K495" s="347"/>
      <c r="L495" s="347"/>
    </row>
    <row r="496">
      <c r="A496" s="102"/>
      <c r="B496" s="11"/>
      <c r="C496" s="8"/>
      <c r="D496" s="8"/>
      <c r="E496" s="9"/>
      <c r="F496" s="10"/>
      <c r="G496" s="9"/>
      <c r="H496" s="11"/>
      <c r="I496" s="9" t="s">
        <v>13</v>
      </c>
      <c r="J496" s="347"/>
      <c r="K496" s="347"/>
      <c r="L496" s="347"/>
    </row>
    <row r="497">
      <c r="A497" s="102"/>
      <c r="B497" s="11"/>
      <c r="C497" s="8"/>
      <c r="D497" s="8"/>
      <c r="E497" s="9"/>
      <c r="F497" s="10"/>
      <c r="G497" s="9"/>
      <c r="H497" s="11"/>
      <c r="I497" s="9" t="s">
        <v>13</v>
      </c>
      <c r="J497" s="347"/>
      <c r="K497" s="347"/>
      <c r="L497" s="347"/>
    </row>
    <row r="498">
      <c r="A498" s="102"/>
      <c r="B498" s="11"/>
      <c r="C498" s="8"/>
      <c r="D498" s="8"/>
      <c r="E498" s="9"/>
      <c r="F498" s="10"/>
      <c r="G498" s="9"/>
      <c r="H498" s="11"/>
      <c r="I498" s="9" t="s">
        <v>13</v>
      </c>
      <c r="J498" s="347"/>
      <c r="K498" s="347"/>
      <c r="L498" s="347"/>
    </row>
    <row r="499">
      <c r="A499" s="102"/>
      <c r="B499" s="11"/>
      <c r="C499" s="8"/>
      <c r="D499" s="8"/>
      <c r="E499" s="9"/>
      <c r="F499" s="10"/>
      <c r="G499" s="9"/>
      <c r="H499" s="11"/>
      <c r="I499" s="9" t="s">
        <v>13</v>
      </c>
      <c r="J499" s="347"/>
      <c r="K499" s="347"/>
      <c r="L499" s="347"/>
    </row>
    <row r="500">
      <c r="A500" s="102"/>
      <c r="B500" s="11"/>
      <c r="C500" s="8"/>
      <c r="D500" s="8"/>
      <c r="E500" s="9"/>
      <c r="F500" s="10"/>
      <c r="G500" s="9"/>
      <c r="H500" s="11"/>
      <c r="I500" s="9" t="s">
        <v>13</v>
      </c>
      <c r="J500" s="347"/>
      <c r="K500" s="347"/>
      <c r="L500" s="347"/>
    </row>
    <row r="501">
      <c r="A501" s="102"/>
      <c r="B501" s="11"/>
      <c r="C501" s="8"/>
      <c r="D501" s="8"/>
      <c r="E501" s="9"/>
      <c r="F501" s="10"/>
      <c r="G501" s="9"/>
      <c r="H501" s="11"/>
      <c r="I501" s="9" t="s">
        <v>13</v>
      </c>
      <c r="J501" s="347"/>
      <c r="K501" s="347"/>
      <c r="L501" s="347"/>
    </row>
    <row r="502">
      <c r="A502" s="102"/>
      <c r="B502" s="11"/>
      <c r="C502" s="8"/>
      <c r="D502" s="8"/>
      <c r="E502" s="9"/>
      <c r="F502" s="10"/>
      <c r="G502" s="9"/>
      <c r="H502" s="11"/>
      <c r="I502" s="9" t="s">
        <v>13</v>
      </c>
      <c r="J502" s="347"/>
      <c r="K502" s="347"/>
      <c r="L502" s="347"/>
    </row>
    <row r="503">
      <c r="A503" s="102"/>
      <c r="B503" s="11"/>
      <c r="C503" s="8"/>
      <c r="D503" s="8"/>
      <c r="E503" s="9"/>
      <c r="F503" s="10"/>
      <c r="G503" s="9"/>
      <c r="H503" s="11"/>
      <c r="I503" s="9" t="s">
        <v>13</v>
      </c>
      <c r="J503" s="347"/>
      <c r="K503" s="347"/>
      <c r="L503" s="347"/>
    </row>
    <row r="504">
      <c r="A504" s="102"/>
      <c r="B504" s="11"/>
      <c r="C504" s="8"/>
      <c r="D504" s="8"/>
      <c r="E504" s="9"/>
      <c r="F504" s="10"/>
      <c r="G504" s="9"/>
      <c r="H504" s="11"/>
      <c r="I504" s="9" t="s">
        <v>13</v>
      </c>
      <c r="J504" s="347"/>
      <c r="K504" s="347"/>
      <c r="L504" s="347"/>
    </row>
    <row r="505">
      <c r="A505" s="102"/>
      <c r="B505" s="11"/>
      <c r="C505" s="8"/>
      <c r="D505" s="8"/>
      <c r="E505" s="9"/>
      <c r="F505" s="10"/>
      <c r="G505" s="9"/>
      <c r="H505" s="11"/>
      <c r="I505" s="9" t="s">
        <v>13</v>
      </c>
      <c r="J505" s="347"/>
      <c r="K505" s="347"/>
      <c r="L505" s="347"/>
    </row>
    <row r="506">
      <c r="A506" s="102"/>
      <c r="B506" s="11"/>
      <c r="C506" s="8"/>
      <c r="D506" s="8"/>
      <c r="E506" s="9"/>
      <c r="F506" s="10"/>
      <c r="G506" s="9"/>
      <c r="H506" s="11"/>
      <c r="I506" s="9" t="s">
        <v>13</v>
      </c>
      <c r="J506" s="347"/>
      <c r="K506" s="347"/>
      <c r="L506" s="347"/>
    </row>
    <row r="507">
      <c r="A507" s="102"/>
      <c r="B507" s="11"/>
      <c r="C507" s="8"/>
      <c r="D507" s="8"/>
      <c r="E507" s="9"/>
      <c r="F507" s="10"/>
      <c r="G507" s="9"/>
      <c r="H507" s="11"/>
      <c r="I507" s="9" t="s">
        <v>13</v>
      </c>
      <c r="J507" s="347"/>
      <c r="K507" s="347"/>
      <c r="L507" s="347"/>
    </row>
    <row r="508">
      <c r="A508" s="102"/>
      <c r="B508" s="11"/>
      <c r="C508" s="8"/>
      <c r="D508" s="8"/>
      <c r="E508" s="9"/>
      <c r="F508" s="10"/>
      <c r="G508" s="9"/>
      <c r="H508" s="11"/>
      <c r="I508" s="9" t="s">
        <v>13</v>
      </c>
      <c r="J508" s="347"/>
      <c r="K508" s="347"/>
      <c r="L508" s="347"/>
    </row>
    <row r="509">
      <c r="A509" s="102"/>
      <c r="B509" s="11"/>
      <c r="C509" s="8"/>
      <c r="D509" s="8"/>
      <c r="E509" s="9"/>
      <c r="F509" s="10"/>
      <c r="G509" s="9"/>
      <c r="H509" s="11"/>
      <c r="I509" s="9" t="s">
        <v>13</v>
      </c>
      <c r="J509" s="347"/>
      <c r="K509" s="347"/>
      <c r="L509" s="347"/>
    </row>
    <row r="510">
      <c r="A510" s="102"/>
      <c r="B510" s="11"/>
      <c r="C510" s="8"/>
      <c r="D510" s="8"/>
      <c r="E510" s="9"/>
      <c r="F510" s="10"/>
      <c r="G510" s="9"/>
      <c r="H510" s="11"/>
      <c r="I510" s="9" t="s">
        <v>13</v>
      </c>
      <c r="J510" s="347"/>
      <c r="K510" s="347"/>
      <c r="L510" s="347"/>
    </row>
    <row r="511">
      <c r="A511" s="102"/>
      <c r="B511" s="11"/>
      <c r="C511" s="8"/>
      <c r="D511" s="8"/>
      <c r="E511" s="9"/>
      <c r="F511" s="10"/>
      <c r="G511" s="9"/>
      <c r="H511" s="11"/>
      <c r="I511" s="9" t="s">
        <v>13</v>
      </c>
      <c r="J511" s="347"/>
      <c r="K511" s="347"/>
      <c r="L511" s="347"/>
    </row>
    <row r="512">
      <c r="A512" s="102"/>
      <c r="B512" s="11"/>
      <c r="C512" s="8"/>
      <c r="D512" s="8"/>
      <c r="E512" s="9"/>
      <c r="F512" s="10"/>
      <c r="G512" s="9"/>
      <c r="H512" s="11"/>
      <c r="I512" s="9" t="s">
        <v>13</v>
      </c>
      <c r="J512" s="347"/>
      <c r="K512" s="347"/>
      <c r="L512" s="347"/>
    </row>
    <row r="513">
      <c r="A513" s="102"/>
      <c r="B513" s="11"/>
      <c r="C513" s="8"/>
      <c r="D513" s="8"/>
      <c r="E513" s="9"/>
      <c r="F513" s="10"/>
      <c r="G513" s="9"/>
      <c r="H513" s="11"/>
      <c r="I513" s="9" t="s">
        <v>13</v>
      </c>
      <c r="J513" s="347"/>
      <c r="K513" s="347"/>
      <c r="L513" s="347"/>
    </row>
    <row r="514">
      <c r="A514" s="102"/>
      <c r="B514" s="11"/>
      <c r="C514" s="8"/>
      <c r="D514" s="8"/>
      <c r="E514" s="9"/>
      <c r="F514" s="10"/>
      <c r="G514" s="9"/>
      <c r="H514" s="11"/>
      <c r="I514" s="9" t="s">
        <v>13</v>
      </c>
      <c r="J514" s="347"/>
      <c r="K514" s="347"/>
      <c r="L514" s="347"/>
    </row>
    <row r="515">
      <c r="A515" s="102"/>
      <c r="B515" s="11"/>
      <c r="C515" s="8"/>
      <c r="D515" s="8"/>
      <c r="E515" s="9"/>
      <c r="F515" s="10"/>
      <c r="G515" s="9"/>
      <c r="H515" s="11"/>
      <c r="I515" s="9" t="s">
        <v>13</v>
      </c>
      <c r="J515" s="347"/>
      <c r="K515" s="347"/>
      <c r="L515" s="347"/>
    </row>
    <row r="516">
      <c r="A516" s="102"/>
      <c r="B516" s="11"/>
      <c r="C516" s="8"/>
      <c r="D516" s="8"/>
      <c r="E516" s="9"/>
      <c r="F516" s="10"/>
      <c r="G516" s="9"/>
      <c r="H516" s="11"/>
      <c r="I516" s="9" t="s">
        <v>13</v>
      </c>
      <c r="J516" s="347"/>
      <c r="K516" s="347"/>
      <c r="L516" s="347"/>
    </row>
    <row r="517">
      <c r="A517" s="102"/>
      <c r="B517" s="11"/>
      <c r="C517" s="8"/>
      <c r="D517" s="8"/>
      <c r="E517" s="9"/>
      <c r="F517" s="10"/>
      <c r="G517" s="9"/>
      <c r="H517" s="11"/>
      <c r="I517" s="9" t="s">
        <v>13</v>
      </c>
      <c r="J517" s="347"/>
      <c r="K517" s="347"/>
      <c r="L517" s="347"/>
    </row>
    <row r="518">
      <c r="A518" s="102"/>
      <c r="B518" s="11"/>
      <c r="C518" s="8"/>
      <c r="D518" s="8"/>
      <c r="E518" s="9"/>
      <c r="F518" s="10"/>
      <c r="G518" s="9"/>
      <c r="H518" s="11"/>
      <c r="I518" s="9" t="s">
        <v>13</v>
      </c>
      <c r="J518" s="347"/>
      <c r="K518" s="347"/>
      <c r="L518" s="347"/>
    </row>
    <row r="519">
      <c r="A519" s="102"/>
      <c r="B519" s="11"/>
      <c r="C519" s="8"/>
      <c r="D519" s="8"/>
      <c r="E519" s="9"/>
      <c r="F519" s="10"/>
      <c r="G519" s="9"/>
      <c r="H519" s="11"/>
      <c r="I519" s="9" t="s">
        <v>13</v>
      </c>
      <c r="J519" s="347"/>
      <c r="K519" s="347"/>
      <c r="L519" s="347"/>
    </row>
    <row r="520">
      <c r="A520" s="102"/>
      <c r="B520" s="11"/>
      <c r="C520" s="8"/>
      <c r="D520" s="8"/>
      <c r="E520" s="9"/>
      <c r="F520" s="10"/>
      <c r="G520" s="9"/>
      <c r="H520" s="11"/>
      <c r="I520" s="9" t="s">
        <v>13</v>
      </c>
      <c r="J520" s="347"/>
      <c r="K520" s="347"/>
      <c r="L520" s="347"/>
    </row>
    <row r="521">
      <c r="A521" s="102"/>
      <c r="B521" s="11"/>
      <c r="C521" s="8"/>
      <c r="D521" s="8"/>
      <c r="E521" s="9"/>
      <c r="F521" s="10"/>
      <c r="G521" s="9"/>
      <c r="H521" s="11"/>
      <c r="I521" s="9" t="s">
        <v>13</v>
      </c>
      <c r="J521" s="347"/>
      <c r="K521" s="347"/>
      <c r="L521" s="347"/>
    </row>
    <row r="522">
      <c r="A522" s="102"/>
      <c r="B522" s="11"/>
      <c r="C522" s="8"/>
      <c r="D522" s="8"/>
      <c r="E522" s="9"/>
      <c r="F522" s="10"/>
      <c r="G522" s="9"/>
      <c r="H522" s="11"/>
      <c r="I522" s="9" t="s">
        <v>13</v>
      </c>
      <c r="J522" s="347"/>
      <c r="K522" s="347"/>
      <c r="L522" s="347"/>
    </row>
    <row r="523">
      <c r="A523" s="102"/>
      <c r="B523" s="11"/>
      <c r="C523" s="8"/>
      <c r="D523" s="8"/>
      <c r="E523" s="9"/>
      <c r="F523" s="10"/>
      <c r="G523" s="9"/>
      <c r="H523" s="11"/>
      <c r="I523" s="9" t="s">
        <v>13</v>
      </c>
      <c r="J523" s="347"/>
      <c r="K523" s="347"/>
      <c r="L523" s="347"/>
    </row>
    <row r="524">
      <c r="A524" s="102"/>
      <c r="B524" s="11"/>
      <c r="C524" s="8"/>
      <c r="D524" s="8"/>
      <c r="E524" s="9"/>
      <c r="F524" s="10"/>
      <c r="G524" s="9"/>
      <c r="H524" s="11"/>
      <c r="I524" s="9" t="s">
        <v>13</v>
      </c>
      <c r="J524" s="347"/>
      <c r="K524" s="347"/>
      <c r="L524" s="347"/>
    </row>
    <row r="525">
      <c r="A525" s="102"/>
      <c r="B525" s="11"/>
      <c r="C525" s="8"/>
      <c r="D525" s="8"/>
      <c r="E525" s="9"/>
      <c r="F525" s="10"/>
      <c r="G525" s="9"/>
      <c r="H525" s="11"/>
      <c r="I525" s="9" t="s">
        <v>13</v>
      </c>
      <c r="J525" s="347"/>
      <c r="K525" s="347"/>
      <c r="L525" s="347"/>
    </row>
    <row r="526">
      <c r="A526" s="102"/>
      <c r="B526" s="11"/>
      <c r="C526" s="8"/>
      <c r="D526" s="8"/>
      <c r="E526" s="9"/>
      <c r="F526" s="10"/>
      <c r="G526" s="9"/>
      <c r="H526" s="11"/>
      <c r="I526" s="9" t="s">
        <v>13</v>
      </c>
      <c r="J526" s="347"/>
      <c r="K526" s="347"/>
      <c r="L526" s="347"/>
    </row>
    <row r="527">
      <c r="A527" s="102"/>
      <c r="B527" s="11"/>
      <c r="C527" s="8"/>
      <c r="D527" s="8"/>
      <c r="E527" s="9"/>
      <c r="F527" s="10"/>
      <c r="G527" s="9"/>
      <c r="H527" s="11"/>
      <c r="I527" s="9" t="s">
        <v>13</v>
      </c>
      <c r="J527" s="347"/>
      <c r="K527" s="347"/>
      <c r="L527" s="347"/>
    </row>
    <row r="528">
      <c r="A528" s="102"/>
      <c r="B528" s="11"/>
      <c r="C528" s="8"/>
      <c r="D528" s="8"/>
      <c r="E528" s="9"/>
      <c r="F528" s="10"/>
      <c r="G528" s="9"/>
      <c r="H528" s="11"/>
      <c r="I528" s="9" t="s">
        <v>13</v>
      </c>
      <c r="J528" s="347"/>
      <c r="K528" s="347"/>
      <c r="L528" s="347"/>
    </row>
    <row r="529">
      <c r="A529" s="102"/>
      <c r="B529" s="11"/>
      <c r="C529" s="8"/>
      <c r="D529" s="8"/>
      <c r="E529" s="9"/>
      <c r="F529" s="10"/>
      <c r="G529" s="9"/>
      <c r="H529" s="11"/>
      <c r="I529" s="9" t="s">
        <v>13</v>
      </c>
      <c r="J529" s="347"/>
      <c r="K529" s="347"/>
      <c r="L529" s="347"/>
    </row>
    <row r="530">
      <c r="A530" s="102"/>
      <c r="B530" s="11"/>
      <c r="C530" s="8"/>
      <c r="D530" s="8"/>
      <c r="E530" s="9"/>
      <c r="F530" s="10"/>
      <c r="G530" s="9"/>
      <c r="H530" s="11"/>
      <c r="I530" s="9" t="s">
        <v>13</v>
      </c>
      <c r="J530" s="347"/>
      <c r="K530" s="347"/>
      <c r="L530" s="347"/>
    </row>
    <row r="531">
      <c r="A531" s="102"/>
      <c r="B531" s="11"/>
      <c r="C531" s="8"/>
      <c r="D531" s="8"/>
      <c r="E531" s="9"/>
      <c r="F531" s="10"/>
      <c r="G531" s="9"/>
      <c r="H531" s="11"/>
      <c r="I531" s="9" t="s">
        <v>13</v>
      </c>
      <c r="J531" s="347"/>
      <c r="K531" s="347"/>
      <c r="L531" s="347"/>
    </row>
    <row r="532">
      <c r="A532" s="102"/>
      <c r="B532" s="11"/>
      <c r="C532" s="8"/>
      <c r="D532" s="8"/>
      <c r="E532" s="9"/>
      <c r="F532" s="10"/>
      <c r="G532" s="9"/>
      <c r="H532" s="11"/>
      <c r="I532" s="9" t="s">
        <v>13</v>
      </c>
      <c r="J532" s="347"/>
      <c r="K532" s="347"/>
      <c r="L532" s="347"/>
    </row>
    <row r="533">
      <c r="A533" s="102"/>
      <c r="B533" s="11"/>
      <c r="C533" s="8"/>
      <c r="D533" s="8"/>
      <c r="E533" s="9"/>
      <c r="F533" s="10"/>
      <c r="G533" s="9"/>
      <c r="H533" s="11"/>
      <c r="I533" s="9" t="s">
        <v>13</v>
      </c>
      <c r="J533" s="347"/>
      <c r="K533" s="347"/>
      <c r="L533" s="347"/>
    </row>
    <row r="534">
      <c r="A534" s="102"/>
      <c r="B534" s="11"/>
      <c r="C534" s="8"/>
      <c r="D534" s="8"/>
      <c r="E534" s="9"/>
      <c r="F534" s="10"/>
      <c r="G534" s="9"/>
      <c r="H534" s="11"/>
      <c r="I534" s="9" t="s">
        <v>13</v>
      </c>
      <c r="J534" s="347"/>
      <c r="K534" s="347"/>
      <c r="L534" s="347"/>
    </row>
    <row r="535">
      <c r="A535" s="102"/>
      <c r="B535" s="11"/>
      <c r="C535" s="8"/>
      <c r="D535" s="8"/>
      <c r="E535" s="9"/>
      <c r="F535" s="10"/>
      <c r="G535" s="9"/>
      <c r="H535" s="11"/>
      <c r="I535" s="9" t="s">
        <v>13</v>
      </c>
      <c r="J535" s="347"/>
      <c r="K535" s="347"/>
      <c r="L535" s="347"/>
    </row>
    <row r="536">
      <c r="A536" s="102"/>
      <c r="B536" s="11"/>
      <c r="C536" s="8"/>
      <c r="D536" s="8"/>
      <c r="E536" s="9"/>
      <c r="F536" s="10"/>
      <c r="G536" s="9"/>
      <c r="H536" s="11"/>
      <c r="I536" s="9" t="s">
        <v>13</v>
      </c>
      <c r="J536" s="347"/>
      <c r="K536" s="347"/>
      <c r="L536" s="347"/>
    </row>
    <row r="537">
      <c r="A537" s="102"/>
      <c r="B537" s="11"/>
      <c r="C537" s="8"/>
      <c r="D537" s="8"/>
      <c r="E537" s="9"/>
      <c r="F537" s="10"/>
      <c r="G537" s="9"/>
      <c r="H537" s="11"/>
      <c r="I537" s="9" t="s">
        <v>13</v>
      </c>
      <c r="J537" s="347"/>
      <c r="K537" s="347"/>
      <c r="L537" s="347"/>
    </row>
    <row r="538">
      <c r="A538" s="102"/>
      <c r="B538" s="11"/>
      <c r="C538" s="8"/>
      <c r="D538" s="8"/>
      <c r="E538" s="9"/>
      <c r="F538" s="10"/>
      <c r="G538" s="9"/>
      <c r="H538" s="11"/>
      <c r="I538" s="9" t="s">
        <v>13</v>
      </c>
      <c r="J538" s="347"/>
      <c r="K538" s="347"/>
      <c r="L538" s="347"/>
    </row>
    <row r="539">
      <c r="A539" s="102"/>
      <c r="B539" s="11"/>
      <c r="C539" s="8"/>
      <c r="D539" s="8"/>
      <c r="E539" s="9"/>
      <c r="F539" s="10"/>
      <c r="G539" s="9"/>
      <c r="H539" s="11"/>
      <c r="I539" s="9" t="s">
        <v>13</v>
      </c>
      <c r="J539" s="347"/>
      <c r="K539" s="347"/>
      <c r="L539" s="347"/>
    </row>
    <row r="540">
      <c r="A540" s="102"/>
      <c r="B540" s="11"/>
      <c r="C540" s="8"/>
      <c r="D540" s="8"/>
      <c r="E540" s="9"/>
      <c r="F540" s="10"/>
      <c r="G540" s="9"/>
      <c r="H540" s="11"/>
      <c r="I540" s="9" t="s">
        <v>13</v>
      </c>
      <c r="J540" s="347"/>
      <c r="K540" s="347"/>
      <c r="L540" s="347"/>
    </row>
    <row r="541">
      <c r="A541" s="102"/>
      <c r="B541" s="11"/>
      <c r="C541" s="8"/>
      <c r="D541" s="8"/>
      <c r="E541" s="9"/>
      <c r="F541" s="10"/>
      <c r="G541" s="9"/>
      <c r="H541" s="11"/>
      <c r="I541" s="9" t="s">
        <v>13</v>
      </c>
      <c r="J541" s="347"/>
      <c r="K541" s="347"/>
      <c r="L541" s="347"/>
    </row>
    <row r="542">
      <c r="A542" s="102"/>
      <c r="B542" s="11"/>
      <c r="C542" s="8"/>
      <c r="D542" s="8"/>
      <c r="E542" s="9"/>
      <c r="F542" s="10"/>
      <c r="G542" s="9"/>
      <c r="H542" s="11"/>
      <c r="I542" s="9" t="s">
        <v>13</v>
      </c>
      <c r="J542" s="347"/>
      <c r="K542" s="347"/>
      <c r="L542" s="347"/>
    </row>
    <row r="543">
      <c r="A543" s="102"/>
      <c r="B543" s="11"/>
      <c r="C543" s="8"/>
      <c r="D543" s="8"/>
      <c r="E543" s="9"/>
      <c r="F543" s="10"/>
      <c r="G543" s="9"/>
      <c r="H543" s="11"/>
      <c r="I543" s="9" t="s">
        <v>13</v>
      </c>
      <c r="J543" s="347"/>
      <c r="K543" s="347"/>
      <c r="L543" s="347"/>
    </row>
    <row r="544">
      <c r="A544" s="102"/>
      <c r="B544" s="11"/>
      <c r="C544" s="8"/>
      <c r="D544" s="8"/>
      <c r="E544" s="9"/>
      <c r="F544" s="10"/>
      <c r="G544" s="9"/>
      <c r="H544" s="11"/>
      <c r="I544" s="9" t="s">
        <v>13</v>
      </c>
      <c r="J544" s="347"/>
      <c r="K544" s="347"/>
      <c r="L544" s="347"/>
    </row>
    <row r="545">
      <c r="A545" s="102"/>
      <c r="B545" s="11"/>
      <c r="C545" s="8"/>
      <c r="D545" s="8"/>
      <c r="E545" s="9"/>
      <c r="F545" s="10"/>
      <c r="G545" s="9"/>
      <c r="H545" s="11"/>
      <c r="I545" s="9" t="s">
        <v>13</v>
      </c>
      <c r="J545" s="347"/>
      <c r="K545" s="347"/>
      <c r="L545" s="347"/>
    </row>
    <row r="546">
      <c r="A546" s="102"/>
      <c r="B546" s="11"/>
      <c r="C546" s="8"/>
      <c r="D546" s="8"/>
      <c r="E546" s="9"/>
      <c r="F546" s="10"/>
      <c r="G546" s="9"/>
      <c r="H546" s="11"/>
      <c r="I546" s="9" t="s">
        <v>13</v>
      </c>
      <c r="J546" s="347"/>
      <c r="K546" s="347"/>
      <c r="L546" s="347"/>
    </row>
    <row r="547">
      <c r="A547" s="102"/>
      <c r="B547" s="11"/>
      <c r="C547" s="8"/>
      <c r="D547" s="8"/>
      <c r="E547" s="9"/>
      <c r="F547" s="10"/>
      <c r="G547" s="9"/>
      <c r="H547" s="11"/>
      <c r="I547" s="9" t="s">
        <v>13</v>
      </c>
      <c r="J547" s="347"/>
      <c r="K547" s="347"/>
      <c r="L547" s="347"/>
    </row>
    <row r="548">
      <c r="A548" s="102"/>
      <c r="B548" s="11"/>
      <c r="C548" s="8"/>
      <c r="D548" s="8"/>
      <c r="E548" s="9"/>
      <c r="F548" s="10"/>
      <c r="G548" s="9"/>
      <c r="H548" s="11"/>
      <c r="I548" s="9" t="s">
        <v>13</v>
      </c>
      <c r="J548" s="347"/>
      <c r="K548" s="347"/>
      <c r="L548" s="347"/>
    </row>
    <row r="549">
      <c r="A549" s="102"/>
      <c r="B549" s="11"/>
      <c r="C549" s="8"/>
      <c r="D549" s="8"/>
      <c r="E549" s="9"/>
      <c r="F549" s="10"/>
      <c r="G549" s="9"/>
      <c r="H549" s="11"/>
      <c r="I549" s="9" t="s">
        <v>13</v>
      </c>
      <c r="J549" s="347"/>
      <c r="K549" s="347"/>
      <c r="L549" s="347"/>
    </row>
    <row r="550">
      <c r="A550" s="102"/>
      <c r="B550" s="11"/>
      <c r="C550" s="8"/>
      <c r="D550" s="8"/>
      <c r="E550" s="9"/>
      <c r="F550" s="10"/>
      <c r="G550" s="9"/>
      <c r="H550" s="11"/>
      <c r="I550" s="9" t="s">
        <v>13</v>
      </c>
      <c r="J550" s="347"/>
      <c r="K550" s="347"/>
      <c r="L550" s="347"/>
    </row>
    <row r="551">
      <c r="A551" s="102"/>
      <c r="B551" s="11"/>
      <c r="C551" s="8"/>
      <c r="D551" s="8"/>
      <c r="E551" s="9"/>
      <c r="F551" s="10"/>
      <c r="G551" s="9"/>
      <c r="H551" s="11"/>
      <c r="I551" s="9" t="s">
        <v>13</v>
      </c>
      <c r="J551" s="347"/>
      <c r="K551" s="347"/>
      <c r="L551" s="347"/>
    </row>
    <row r="552">
      <c r="A552" s="102"/>
      <c r="B552" s="11"/>
      <c r="C552" s="8"/>
      <c r="D552" s="8"/>
      <c r="E552" s="9"/>
      <c r="F552" s="10"/>
      <c r="G552" s="9"/>
      <c r="H552" s="11"/>
      <c r="I552" s="9" t="s">
        <v>13</v>
      </c>
      <c r="J552" s="347"/>
      <c r="K552" s="347"/>
      <c r="L552" s="347"/>
    </row>
    <row r="553">
      <c r="A553" s="102"/>
      <c r="B553" s="11"/>
      <c r="C553" s="8"/>
      <c r="D553" s="8"/>
      <c r="E553" s="9"/>
      <c r="F553" s="10"/>
      <c r="G553" s="9"/>
      <c r="H553" s="11"/>
      <c r="I553" s="9" t="s">
        <v>13</v>
      </c>
      <c r="J553" s="347"/>
      <c r="K553" s="347"/>
      <c r="L553" s="347"/>
    </row>
    <row r="554">
      <c r="A554" s="102"/>
      <c r="B554" s="11"/>
      <c r="C554" s="8"/>
      <c r="D554" s="8"/>
      <c r="E554" s="9"/>
      <c r="F554" s="10"/>
      <c r="G554" s="9"/>
      <c r="H554" s="11"/>
      <c r="I554" s="9" t="s">
        <v>13</v>
      </c>
      <c r="J554" s="347"/>
      <c r="K554" s="347"/>
      <c r="L554" s="347"/>
    </row>
    <row r="555">
      <c r="A555" s="102"/>
      <c r="B555" s="11"/>
      <c r="C555" s="8"/>
      <c r="D555" s="8"/>
      <c r="E555" s="9"/>
      <c r="F555" s="10"/>
      <c r="G555" s="9"/>
      <c r="H555" s="11"/>
      <c r="I555" s="9" t="s">
        <v>13</v>
      </c>
      <c r="J555" s="347"/>
      <c r="K555" s="347"/>
      <c r="L555" s="347"/>
    </row>
    <row r="556">
      <c r="A556" s="102"/>
      <c r="B556" s="11"/>
      <c r="C556" s="8"/>
      <c r="D556" s="8"/>
      <c r="E556" s="9"/>
      <c r="F556" s="10"/>
      <c r="G556" s="9"/>
      <c r="H556" s="11"/>
      <c r="I556" s="9" t="s">
        <v>13</v>
      </c>
      <c r="J556" s="347"/>
      <c r="K556" s="347"/>
      <c r="L556" s="347"/>
    </row>
    <row r="557">
      <c r="A557" s="102"/>
      <c r="B557" s="11"/>
      <c r="C557" s="8"/>
      <c r="D557" s="8"/>
      <c r="E557" s="9"/>
      <c r="F557" s="10"/>
      <c r="G557" s="9"/>
      <c r="H557" s="11"/>
      <c r="I557" s="9" t="s">
        <v>13</v>
      </c>
      <c r="J557" s="347"/>
      <c r="K557" s="347"/>
      <c r="L557" s="347"/>
    </row>
    <row r="558">
      <c r="A558" s="102"/>
      <c r="B558" s="11"/>
      <c r="C558" s="8"/>
      <c r="D558" s="8"/>
      <c r="E558" s="9"/>
      <c r="F558" s="10"/>
      <c r="G558" s="9"/>
      <c r="H558" s="11"/>
      <c r="I558" s="9" t="s">
        <v>13</v>
      </c>
      <c r="J558" s="347"/>
      <c r="K558" s="347"/>
      <c r="L558" s="347"/>
    </row>
    <row r="559">
      <c r="A559" s="102"/>
      <c r="B559" s="11"/>
      <c r="C559" s="8"/>
      <c r="D559" s="8"/>
      <c r="E559" s="9"/>
      <c r="F559" s="10"/>
      <c r="G559" s="9"/>
      <c r="H559" s="11"/>
      <c r="I559" s="9" t="s">
        <v>13</v>
      </c>
      <c r="J559" s="347"/>
      <c r="K559" s="347"/>
      <c r="L559" s="347"/>
    </row>
    <row r="560">
      <c r="A560" s="102"/>
      <c r="B560" s="11"/>
      <c r="C560" s="8"/>
      <c r="D560" s="8"/>
      <c r="E560" s="9"/>
      <c r="F560" s="10"/>
      <c r="G560" s="9"/>
      <c r="H560" s="11"/>
      <c r="I560" s="9" t="s">
        <v>13</v>
      </c>
      <c r="J560" s="347"/>
      <c r="K560" s="347"/>
      <c r="L560" s="347"/>
    </row>
    <row r="561">
      <c r="A561" s="102"/>
      <c r="B561" s="11"/>
      <c r="C561" s="8"/>
      <c r="D561" s="8"/>
      <c r="E561" s="9"/>
      <c r="F561" s="10"/>
      <c r="G561" s="9"/>
      <c r="H561" s="11"/>
      <c r="I561" s="9" t="s">
        <v>13</v>
      </c>
      <c r="J561" s="347"/>
      <c r="K561" s="347"/>
      <c r="L561" s="347"/>
    </row>
    <row r="562">
      <c r="A562" s="102"/>
      <c r="B562" s="11"/>
      <c r="C562" s="8"/>
      <c r="D562" s="8"/>
      <c r="E562" s="9"/>
      <c r="F562" s="10"/>
      <c r="G562" s="9"/>
      <c r="H562" s="11"/>
      <c r="I562" s="9" t="s">
        <v>13</v>
      </c>
      <c r="J562" s="347"/>
      <c r="K562" s="347"/>
      <c r="L562" s="347"/>
    </row>
    <row r="563">
      <c r="A563" s="102"/>
      <c r="B563" s="11"/>
      <c r="C563" s="8"/>
      <c r="D563" s="8"/>
      <c r="E563" s="9"/>
      <c r="F563" s="10"/>
      <c r="G563" s="9"/>
      <c r="H563" s="11"/>
      <c r="I563" s="9" t="s">
        <v>13</v>
      </c>
      <c r="J563" s="347"/>
      <c r="K563" s="347"/>
      <c r="L563" s="347"/>
    </row>
    <row r="564">
      <c r="A564" s="102"/>
      <c r="B564" s="11"/>
      <c r="C564" s="8"/>
      <c r="D564" s="8"/>
      <c r="E564" s="9"/>
      <c r="F564" s="10"/>
      <c r="G564" s="9"/>
      <c r="H564" s="11"/>
      <c r="I564" s="9" t="s">
        <v>13</v>
      </c>
      <c r="J564" s="347"/>
      <c r="K564" s="347"/>
      <c r="L564" s="347"/>
    </row>
    <row r="565">
      <c r="A565" s="102"/>
      <c r="B565" s="11"/>
      <c r="C565" s="8"/>
      <c r="D565" s="8"/>
      <c r="E565" s="9"/>
      <c r="F565" s="10"/>
      <c r="G565" s="9"/>
      <c r="H565" s="11"/>
      <c r="I565" s="9" t="s">
        <v>13</v>
      </c>
      <c r="J565" s="347"/>
      <c r="K565" s="347"/>
      <c r="L565" s="347"/>
    </row>
    <row r="566">
      <c r="A566" s="102"/>
      <c r="B566" s="11"/>
      <c r="C566" s="8"/>
      <c r="D566" s="8"/>
      <c r="E566" s="9"/>
      <c r="F566" s="10"/>
      <c r="G566" s="9"/>
      <c r="H566" s="11"/>
      <c r="I566" s="9" t="s">
        <v>13</v>
      </c>
      <c r="J566" s="347"/>
      <c r="K566" s="347"/>
      <c r="L566" s="347"/>
    </row>
    <row r="567">
      <c r="A567" s="102"/>
      <c r="B567" s="11"/>
      <c r="C567" s="8"/>
      <c r="D567" s="8"/>
      <c r="E567" s="9"/>
      <c r="F567" s="10"/>
      <c r="G567" s="9"/>
      <c r="H567" s="11"/>
      <c r="I567" s="9" t="s">
        <v>13</v>
      </c>
      <c r="J567" s="347"/>
      <c r="K567" s="347"/>
      <c r="L567" s="347"/>
    </row>
    <row r="568">
      <c r="A568" s="102"/>
      <c r="B568" s="11"/>
      <c r="C568" s="8"/>
      <c r="D568" s="8"/>
      <c r="E568" s="9"/>
      <c r="F568" s="10"/>
      <c r="G568" s="9"/>
      <c r="H568" s="11"/>
      <c r="I568" s="9" t="s">
        <v>13</v>
      </c>
      <c r="J568" s="347"/>
      <c r="K568" s="347"/>
      <c r="L568" s="347"/>
    </row>
    <row r="569">
      <c r="A569" s="102"/>
      <c r="B569" s="11"/>
      <c r="C569" s="8"/>
      <c r="D569" s="8"/>
      <c r="E569" s="9"/>
      <c r="F569" s="10"/>
      <c r="G569" s="9"/>
      <c r="H569" s="11"/>
      <c r="I569" s="9" t="s">
        <v>13</v>
      </c>
      <c r="J569" s="347"/>
      <c r="K569" s="347"/>
      <c r="L569" s="347"/>
    </row>
    <row r="570">
      <c r="A570" s="102"/>
      <c r="B570" s="11"/>
      <c r="C570" s="8"/>
      <c r="D570" s="8"/>
      <c r="E570" s="9"/>
      <c r="F570" s="10"/>
      <c r="G570" s="9"/>
      <c r="H570" s="11"/>
      <c r="I570" s="9" t="s">
        <v>13</v>
      </c>
      <c r="J570" s="347"/>
      <c r="K570" s="347"/>
      <c r="L570" s="347"/>
    </row>
    <row r="571">
      <c r="A571" s="102"/>
      <c r="B571" s="11"/>
      <c r="C571" s="8"/>
      <c r="D571" s="8"/>
      <c r="E571" s="9"/>
      <c r="F571" s="10"/>
      <c r="G571" s="9"/>
      <c r="H571" s="11"/>
      <c r="I571" s="9" t="s">
        <v>13</v>
      </c>
      <c r="J571" s="347"/>
      <c r="K571" s="347"/>
      <c r="L571" s="347"/>
    </row>
    <row r="572">
      <c r="A572" s="102"/>
      <c r="B572" s="11"/>
      <c r="C572" s="8"/>
      <c r="D572" s="8"/>
      <c r="E572" s="9"/>
      <c r="F572" s="10"/>
      <c r="G572" s="9"/>
      <c r="H572" s="11"/>
      <c r="I572" s="9" t="s">
        <v>13</v>
      </c>
      <c r="J572" s="347"/>
      <c r="K572" s="347"/>
      <c r="L572" s="347"/>
    </row>
    <row r="573">
      <c r="A573" s="102"/>
      <c r="B573" s="11"/>
      <c r="C573" s="8"/>
      <c r="D573" s="8"/>
      <c r="E573" s="9"/>
      <c r="F573" s="10"/>
      <c r="G573" s="9"/>
      <c r="H573" s="11"/>
      <c r="I573" s="9" t="s">
        <v>13</v>
      </c>
      <c r="J573" s="347"/>
      <c r="K573" s="347"/>
      <c r="L573" s="347"/>
    </row>
    <row r="574">
      <c r="A574" s="102"/>
      <c r="B574" s="11"/>
      <c r="C574" s="8"/>
      <c r="D574" s="8"/>
      <c r="E574" s="9"/>
      <c r="F574" s="10"/>
      <c r="G574" s="9"/>
      <c r="H574" s="11"/>
      <c r="I574" s="9" t="s">
        <v>13</v>
      </c>
      <c r="J574" s="347"/>
      <c r="K574" s="347"/>
      <c r="L574" s="347"/>
    </row>
    <row r="575">
      <c r="A575" s="102"/>
      <c r="B575" s="11"/>
      <c r="C575" s="8"/>
      <c r="D575" s="8"/>
      <c r="E575" s="9"/>
      <c r="F575" s="10"/>
      <c r="G575" s="9"/>
      <c r="H575" s="11"/>
      <c r="I575" s="9" t="s">
        <v>13</v>
      </c>
      <c r="J575" s="347"/>
      <c r="K575" s="347"/>
      <c r="L575" s="347"/>
    </row>
    <row r="576">
      <c r="A576" s="102"/>
      <c r="B576" s="11"/>
      <c r="C576" s="8"/>
      <c r="D576" s="8"/>
      <c r="E576" s="9"/>
      <c r="F576" s="10"/>
      <c r="G576" s="9"/>
      <c r="H576" s="11"/>
      <c r="I576" s="9" t="s">
        <v>13</v>
      </c>
      <c r="J576" s="347"/>
      <c r="K576" s="347"/>
      <c r="L576" s="347"/>
    </row>
    <row r="577">
      <c r="A577" s="102"/>
      <c r="B577" s="11"/>
      <c r="C577" s="8"/>
      <c r="D577" s="8"/>
      <c r="E577" s="9"/>
      <c r="F577" s="10"/>
      <c r="G577" s="9"/>
      <c r="H577" s="11"/>
      <c r="I577" s="9" t="s">
        <v>13</v>
      </c>
      <c r="J577" s="347"/>
      <c r="K577" s="347"/>
      <c r="L577" s="347"/>
    </row>
    <row r="578">
      <c r="A578" s="102"/>
      <c r="B578" s="11"/>
      <c r="C578" s="8"/>
      <c r="D578" s="8"/>
      <c r="E578" s="9"/>
      <c r="F578" s="10"/>
      <c r="G578" s="9"/>
      <c r="H578" s="11"/>
      <c r="I578" s="9" t="s">
        <v>13</v>
      </c>
      <c r="J578" s="347"/>
      <c r="K578" s="347"/>
      <c r="L578" s="347"/>
    </row>
    <row r="579">
      <c r="A579" s="102"/>
      <c r="B579" s="11"/>
      <c r="C579" s="8"/>
      <c r="D579" s="8"/>
      <c r="E579" s="9"/>
      <c r="F579" s="10"/>
      <c r="G579" s="9"/>
      <c r="H579" s="11"/>
      <c r="I579" s="9" t="s">
        <v>13</v>
      </c>
      <c r="J579" s="347"/>
      <c r="K579" s="347"/>
      <c r="L579" s="347"/>
    </row>
    <row r="580">
      <c r="A580" s="102"/>
      <c r="B580" s="11"/>
      <c r="C580" s="8"/>
      <c r="D580" s="8"/>
      <c r="E580" s="9"/>
      <c r="F580" s="10"/>
      <c r="G580" s="9"/>
      <c r="H580" s="11"/>
      <c r="I580" s="9" t="s">
        <v>13</v>
      </c>
      <c r="J580" s="347"/>
      <c r="K580" s="347"/>
      <c r="L580" s="347"/>
    </row>
    <row r="581">
      <c r="A581" s="102"/>
      <c r="B581" s="11"/>
      <c r="C581" s="8"/>
      <c r="D581" s="8"/>
      <c r="E581" s="9"/>
      <c r="F581" s="10"/>
      <c r="G581" s="9"/>
      <c r="H581" s="11"/>
      <c r="I581" s="9" t="s">
        <v>13</v>
      </c>
      <c r="J581" s="347"/>
      <c r="K581" s="347"/>
      <c r="L581" s="347"/>
    </row>
    <row r="582">
      <c r="A582" s="102"/>
      <c r="B582" s="11"/>
      <c r="C582" s="8"/>
      <c r="D582" s="8"/>
      <c r="E582" s="9"/>
      <c r="F582" s="10"/>
      <c r="G582" s="9"/>
      <c r="H582" s="11"/>
      <c r="I582" s="9" t="s">
        <v>13</v>
      </c>
      <c r="J582" s="347"/>
      <c r="K582" s="347"/>
      <c r="L582" s="347"/>
    </row>
    <row r="583">
      <c r="A583" s="102"/>
      <c r="B583" s="11"/>
      <c r="C583" s="8"/>
      <c r="D583" s="8"/>
      <c r="E583" s="9"/>
      <c r="F583" s="10"/>
      <c r="G583" s="9"/>
      <c r="H583" s="11"/>
      <c r="I583" s="9" t="s">
        <v>13</v>
      </c>
      <c r="J583" s="347"/>
      <c r="K583" s="347"/>
      <c r="L583" s="347"/>
    </row>
    <row r="584">
      <c r="A584" s="102"/>
      <c r="B584" s="11"/>
      <c r="C584" s="8"/>
      <c r="D584" s="8"/>
      <c r="E584" s="9"/>
      <c r="F584" s="10"/>
      <c r="G584" s="9"/>
      <c r="H584" s="11"/>
      <c r="I584" s="9" t="s">
        <v>13</v>
      </c>
      <c r="J584" s="347"/>
      <c r="K584" s="347"/>
      <c r="L584" s="347"/>
    </row>
    <row r="585">
      <c r="A585" s="102"/>
      <c r="B585" s="11"/>
      <c r="C585" s="8"/>
      <c r="D585" s="8"/>
      <c r="E585" s="9"/>
      <c r="F585" s="10"/>
      <c r="G585" s="9"/>
      <c r="H585" s="11"/>
      <c r="I585" s="9" t="s">
        <v>13</v>
      </c>
      <c r="J585" s="347"/>
      <c r="K585" s="347"/>
      <c r="L585" s="347"/>
    </row>
    <row r="586">
      <c r="A586" s="102"/>
      <c r="B586" s="11"/>
      <c r="C586" s="8"/>
      <c r="D586" s="8"/>
      <c r="E586" s="9"/>
      <c r="F586" s="10"/>
      <c r="G586" s="9"/>
      <c r="H586" s="11"/>
      <c r="I586" s="9" t="s">
        <v>13</v>
      </c>
      <c r="J586" s="347"/>
      <c r="K586" s="347"/>
      <c r="L586" s="347"/>
    </row>
    <row r="587">
      <c r="A587" s="102"/>
      <c r="B587" s="11"/>
      <c r="C587" s="8"/>
      <c r="D587" s="8"/>
      <c r="E587" s="9"/>
      <c r="F587" s="10"/>
      <c r="G587" s="9"/>
      <c r="H587" s="11"/>
      <c r="I587" s="9" t="s">
        <v>13</v>
      </c>
      <c r="J587" s="347"/>
      <c r="K587" s="347"/>
      <c r="L587" s="347"/>
    </row>
    <row r="588">
      <c r="A588" s="102"/>
      <c r="B588" s="11"/>
      <c r="C588" s="8"/>
      <c r="D588" s="8"/>
      <c r="E588" s="9"/>
      <c r="F588" s="10"/>
      <c r="G588" s="9"/>
      <c r="H588" s="11"/>
      <c r="I588" s="9" t="s">
        <v>13</v>
      </c>
      <c r="J588" s="347"/>
      <c r="K588" s="347"/>
      <c r="L588" s="347"/>
    </row>
    <row r="589">
      <c r="A589" s="102"/>
      <c r="B589" s="11"/>
      <c r="C589" s="8"/>
      <c r="D589" s="8"/>
      <c r="E589" s="9"/>
      <c r="F589" s="10"/>
      <c r="G589" s="9"/>
      <c r="H589" s="11"/>
      <c r="I589" s="9" t="s">
        <v>13</v>
      </c>
      <c r="J589" s="347"/>
      <c r="K589" s="347"/>
      <c r="L589" s="347"/>
    </row>
    <row r="590">
      <c r="A590" s="102"/>
      <c r="B590" s="11"/>
      <c r="C590" s="8"/>
      <c r="D590" s="8"/>
      <c r="E590" s="9"/>
      <c r="F590" s="10"/>
      <c r="G590" s="9"/>
      <c r="H590" s="11"/>
      <c r="I590" s="9" t="s">
        <v>13</v>
      </c>
      <c r="J590" s="347"/>
      <c r="K590" s="347"/>
      <c r="L590" s="347"/>
    </row>
    <row r="591">
      <c r="A591" s="102"/>
      <c r="B591" s="11"/>
      <c r="C591" s="8"/>
      <c r="D591" s="8"/>
      <c r="E591" s="9"/>
      <c r="F591" s="10"/>
      <c r="G591" s="9"/>
      <c r="H591" s="11"/>
      <c r="I591" s="9" t="s">
        <v>13</v>
      </c>
      <c r="J591" s="347"/>
      <c r="K591" s="347"/>
      <c r="L591" s="347"/>
    </row>
    <row r="592">
      <c r="A592" s="102"/>
      <c r="B592" s="11"/>
      <c r="C592" s="8"/>
      <c r="D592" s="8"/>
      <c r="E592" s="9"/>
      <c r="F592" s="10"/>
      <c r="G592" s="9"/>
      <c r="H592" s="11"/>
      <c r="I592" s="9" t="s">
        <v>13</v>
      </c>
      <c r="J592" s="347"/>
      <c r="K592" s="347"/>
      <c r="L592" s="347"/>
    </row>
    <row r="593">
      <c r="A593" s="102"/>
      <c r="B593" s="11"/>
      <c r="C593" s="8"/>
      <c r="D593" s="8"/>
      <c r="E593" s="9"/>
      <c r="F593" s="10"/>
      <c r="G593" s="9"/>
      <c r="H593" s="11"/>
      <c r="I593" s="9" t="s">
        <v>13</v>
      </c>
      <c r="J593" s="347"/>
      <c r="K593" s="347"/>
      <c r="L593" s="347"/>
    </row>
    <row r="594">
      <c r="A594" s="102"/>
      <c r="B594" s="11"/>
      <c r="C594" s="8"/>
      <c r="D594" s="8"/>
      <c r="E594" s="9"/>
      <c r="F594" s="10"/>
      <c r="G594" s="9"/>
      <c r="H594" s="11"/>
      <c r="I594" s="9" t="s">
        <v>13</v>
      </c>
      <c r="J594" s="347"/>
      <c r="K594" s="347"/>
      <c r="L594" s="347"/>
    </row>
    <row r="595">
      <c r="A595" s="102"/>
      <c r="B595" s="11"/>
      <c r="C595" s="8"/>
      <c r="D595" s="8"/>
      <c r="E595" s="9"/>
      <c r="F595" s="10"/>
      <c r="G595" s="9"/>
      <c r="H595" s="11"/>
      <c r="I595" s="9" t="s">
        <v>13</v>
      </c>
      <c r="J595" s="347"/>
      <c r="K595" s="347"/>
      <c r="L595" s="347"/>
    </row>
    <row r="596">
      <c r="A596" s="102"/>
      <c r="B596" s="11"/>
      <c r="C596" s="8"/>
      <c r="D596" s="8"/>
      <c r="E596" s="9"/>
      <c r="F596" s="10"/>
      <c r="G596" s="9"/>
      <c r="H596" s="11"/>
      <c r="I596" s="9" t="s">
        <v>13</v>
      </c>
      <c r="J596" s="347"/>
      <c r="K596" s="347"/>
      <c r="L596" s="347"/>
    </row>
    <row r="597">
      <c r="A597" s="102"/>
      <c r="B597" s="11"/>
      <c r="C597" s="8"/>
      <c r="D597" s="8"/>
      <c r="E597" s="9"/>
      <c r="F597" s="10"/>
      <c r="G597" s="9"/>
      <c r="H597" s="11"/>
      <c r="I597" s="9" t="s">
        <v>13</v>
      </c>
      <c r="J597" s="347"/>
      <c r="K597" s="347"/>
      <c r="L597" s="347"/>
    </row>
    <row r="598">
      <c r="A598" s="102"/>
      <c r="B598" s="11"/>
      <c r="C598" s="8"/>
      <c r="D598" s="8"/>
      <c r="E598" s="9"/>
      <c r="F598" s="10"/>
      <c r="G598" s="9"/>
      <c r="H598" s="11"/>
      <c r="I598" s="9" t="s">
        <v>13</v>
      </c>
      <c r="J598" s="347"/>
      <c r="K598" s="347"/>
      <c r="L598" s="347"/>
    </row>
    <row r="599">
      <c r="A599" s="102"/>
      <c r="B599" s="11"/>
      <c r="C599" s="8"/>
      <c r="D599" s="8"/>
      <c r="E599" s="9"/>
      <c r="F599" s="10"/>
      <c r="G599" s="9"/>
      <c r="H599" s="11"/>
      <c r="I599" s="9" t="s">
        <v>13</v>
      </c>
      <c r="J599" s="347"/>
      <c r="K599" s="347"/>
      <c r="L599" s="347"/>
    </row>
    <row r="600">
      <c r="A600" s="102"/>
      <c r="B600" s="11"/>
      <c r="C600" s="8"/>
      <c r="D600" s="8"/>
      <c r="E600" s="9"/>
      <c r="F600" s="10"/>
      <c r="G600" s="9"/>
      <c r="H600" s="11"/>
      <c r="I600" s="9" t="s">
        <v>13</v>
      </c>
      <c r="J600" s="347"/>
      <c r="K600" s="347"/>
      <c r="L600" s="347"/>
    </row>
    <row r="601">
      <c r="A601" s="102"/>
      <c r="B601" s="11"/>
      <c r="C601" s="8"/>
      <c r="D601" s="8"/>
      <c r="E601" s="9"/>
      <c r="F601" s="10"/>
      <c r="G601" s="9"/>
      <c r="H601" s="11"/>
      <c r="I601" s="9" t="s">
        <v>13</v>
      </c>
      <c r="J601" s="347"/>
      <c r="K601" s="347"/>
      <c r="L601" s="347"/>
    </row>
    <row r="602">
      <c r="A602" s="102"/>
      <c r="B602" s="11"/>
      <c r="C602" s="8"/>
      <c r="D602" s="8"/>
      <c r="E602" s="9"/>
      <c r="F602" s="10"/>
      <c r="G602" s="9"/>
      <c r="H602" s="11"/>
      <c r="I602" s="9" t="s">
        <v>13</v>
      </c>
      <c r="J602" s="347"/>
      <c r="K602" s="347"/>
      <c r="L602" s="347"/>
    </row>
    <row r="603">
      <c r="A603" s="102"/>
      <c r="B603" s="11"/>
      <c r="C603" s="8"/>
      <c r="D603" s="8"/>
      <c r="E603" s="9"/>
      <c r="F603" s="10"/>
      <c r="G603" s="9"/>
      <c r="H603" s="11"/>
      <c r="I603" s="9" t="s">
        <v>13</v>
      </c>
      <c r="J603" s="347"/>
      <c r="K603" s="347"/>
      <c r="L603" s="347"/>
    </row>
    <row r="604">
      <c r="A604" s="102"/>
      <c r="B604" s="11"/>
      <c r="C604" s="8"/>
      <c r="D604" s="8"/>
      <c r="E604" s="9"/>
      <c r="F604" s="10"/>
      <c r="G604" s="9"/>
      <c r="H604" s="11"/>
      <c r="I604" s="9" t="s">
        <v>13</v>
      </c>
      <c r="J604" s="347"/>
      <c r="K604" s="347"/>
      <c r="L604" s="347"/>
    </row>
    <row r="605">
      <c r="A605" s="102"/>
      <c r="B605" s="11"/>
      <c r="C605" s="8"/>
      <c r="D605" s="8"/>
      <c r="E605" s="9"/>
      <c r="F605" s="10"/>
      <c r="G605" s="9"/>
      <c r="H605" s="11"/>
      <c r="I605" s="9" t="s">
        <v>13</v>
      </c>
      <c r="J605" s="347"/>
      <c r="K605" s="347"/>
      <c r="L605" s="347"/>
    </row>
    <row r="606">
      <c r="A606" s="102"/>
      <c r="B606" s="11"/>
      <c r="C606" s="8"/>
      <c r="D606" s="8"/>
      <c r="E606" s="9"/>
      <c r="F606" s="10"/>
      <c r="G606" s="9"/>
      <c r="H606" s="11"/>
      <c r="I606" s="9" t="s">
        <v>13</v>
      </c>
      <c r="J606" s="347"/>
      <c r="K606" s="347"/>
      <c r="L606" s="347"/>
    </row>
    <row r="607">
      <c r="A607" s="102"/>
      <c r="B607" s="11"/>
      <c r="C607" s="8"/>
      <c r="D607" s="8"/>
      <c r="E607" s="9"/>
      <c r="F607" s="10"/>
      <c r="G607" s="9"/>
      <c r="H607" s="11"/>
      <c r="I607" s="9" t="s">
        <v>13</v>
      </c>
      <c r="J607" s="347"/>
      <c r="K607" s="347"/>
      <c r="L607" s="347"/>
    </row>
    <row r="608">
      <c r="A608" s="102"/>
      <c r="B608" s="11"/>
      <c r="C608" s="8"/>
      <c r="D608" s="8"/>
      <c r="E608" s="9"/>
      <c r="F608" s="10"/>
      <c r="G608" s="9"/>
      <c r="H608" s="11"/>
      <c r="I608" s="9" t="s">
        <v>13</v>
      </c>
      <c r="J608" s="347"/>
      <c r="K608" s="347"/>
      <c r="L608" s="347"/>
    </row>
    <row r="609">
      <c r="A609" s="102"/>
      <c r="B609" s="11"/>
      <c r="C609" s="8"/>
      <c r="D609" s="8"/>
      <c r="E609" s="9"/>
      <c r="F609" s="10"/>
      <c r="G609" s="9"/>
      <c r="H609" s="11"/>
      <c r="I609" s="9" t="s">
        <v>13</v>
      </c>
      <c r="J609" s="347"/>
      <c r="K609" s="347"/>
      <c r="L609" s="347"/>
    </row>
    <row r="610">
      <c r="A610" s="102"/>
      <c r="B610" s="11"/>
      <c r="C610" s="8"/>
      <c r="D610" s="8"/>
      <c r="E610" s="9"/>
      <c r="F610" s="10"/>
      <c r="G610" s="9"/>
      <c r="H610" s="11"/>
      <c r="I610" s="9" t="s">
        <v>13</v>
      </c>
      <c r="J610" s="347"/>
      <c r="K610" s="347"/>
      <c r="L610" s="347"/>
    </row>
    <row r="611">
      <c r="A611" s="102"/>
      <c r="B611" s="11"/>
      <c r="C611" s="8"/>
      <c r="D611" s="8"/>
      <c r="E611" s="9"/>
      <c r="F611" s="10"/>
      <c r="G611" s="9"/>
      <c r="H611" s="11"/>
      <c r="I611" s="9" t="s">
        <v>13</v>
      </c>
      <c r="J611" s="347"/>
      <c r="K611" s="347"/>
      <c r="L611" s="347"/>
    </row>
    <row r="612">
      <c r="A612" s="102"/>
      <c r="B612" s="11"/>
      <c r="C612" s="8"/>
      <c r="D612" s="8"/>
      <c r="E612" s="9"/>
      <c r="F612" s="10"/>
      <c r="G612" s="9"/>
      <c r="H612" s="11"/>
      <c r="I612" s="9" t="s">
        <v>13</v>
      </c>
      <c r="J612" s="347"/>
      <c r="K612" s="347"/>
      <c r="L612" s="347"/>
    </row>
    <row r="613">
      <c r="A613" s="102"/>
      <c r="B613" s="11"/>
      <c r="C613" s="8"/>
      <c r="D613" s="8"/>
      <c r="E613" s="9"/>
      <c r="F613" s="10"/>
      <c r="G613" s="9"/>
      <c r="H613" s="11"/>
      <c r="I613" s="9" t="s">
        <v>13</v>
      </c>
      <c r="J613" s="347"/>
      <c r="K613" s="347"/>
      <c r="L613" s="347"/>
    </row>
    <row r="614">
      <c r="A614" s="102"/>
      <c r="B614" s="11"/>
      <c r="C614" s="8"/>
      <c r="D614" s="8"/>
      <c r="E614" s="9"/>
      <c r="F614" s="10"/>
      <c r="G614" s="9"/>
      <c r="H614" s="11"/>
      <c r="I614" s="9" t="s">
        <v>13</v>
      </c>
      <c r="J614" s="347"/>
      <c r="K614" s="347"/>
      <c r="L614" s="347"/>
    </row>
    <row r="615">
      <c r="A615" s="102"/>
      <c r="B615" s="11"/>
      <c r="C615" s="8"/>
      <c r="D615" s="8"/>
      <c r="E615" s="9"/>
      <c r="F615" s="10"/>
      <c r="G615" s="9"/>
      <c r="H615" s="11"/>
      <c r="I615" s="9" t="s">
        <v>13</v>
      </c>
      <c r="J615" s="347"/>
      <c r="K615" s="347"/>
      <c r="L615" s="347"/>
    </row>
    <row r="616">
      <c r="A616" s="102"/>
      <c r="B616" s="11"/>
      <c r="C616" s="8"/>
      <c r="D616" s="8"/>
      <c r="E616" s="9"/>
      <c r="F616" s="10"/>
      <c r="G616" s="9"/>
      <c r="H616" s="11"/>
      <c r="I616" s="9" t="s">
        <v>13</v>
      </c>
      <c r="J616" s="347"/>
      <c r="K616" s="347"/>
      <c r="L616" s="347"/>
    </row>
    <row r="617">
      <c r="A617" s="102"/>
      <c r="B617" s="11"/>
      <c r="C617" s="8"/>
      <c r="D617" s="8"/>
      <c r="E617" s="9"/>
      <c r="F617" s="10"/>
      <c r="G617" s="9"/>
      <c r="H617" s="11"/>
      <c r="I617" s="9" t="s">
        <v>13</v>
      </c>
      <c r="J617" s="347"/>
      <c r="K617" s="347"/>
      <c r="L617" s="347"/>
    </row>
    <row r="618">
      <c r="A618" s="102"/>
      <c r="B618" s="11"/>
      <c r="C618" s="8"/>
      <c r="D618" s="8"/>
      <c r="E618" s="9"/>
      <c r="F618" s="10"/>
      <c r="G618" s="9"/>
      <c r="H618" s="11"/>
      <c r="I618" s="9" t="s">
        <v>13</v>
      </c>
      <c r="J618" s="347"/>
      <c r="K618" s="347"/>
      <c r="L618" s="347"/>
    </row>
    <row r="619">
      <c r="A619" s="102"/>
      <c r="B619" s="11"/>
      <c r="C619" s="8"/>
      <c r="D619" s="8"/>
      <c r="E619" s="9"/>
      <c r="F619" s="10"/>
      <c r="G619" s="9"/>
      <c r="H619" s="11"/>
      <c r="I619" s="9" t="s">
        <v>13</v>
      </c>
      <c r="J619" s="347"/>
      <c r="K619" s="347"/>
      <c r="L619" s="347"/>
    </row>
    <row r="620">
      <c r="A620" s="102"/>
      <c r="B620" s="11"/>
      <c r="C620" s="8"/>
      <c r="D620" s="8"/>
      <c r="E620" s="9"/>
      <c r="F620" s="10"/>
      <c r="G620" s="9"/>
      <c r="H620" s="11"/>
      <c r="I620" s="9" t="s">
        <v>13</v>
      </c>
      <c r="J620" s="347"/>
      <c r="K620" s="347"/>
      <c r="L620" s="347"/>
    </row>
    <row r="621">
      <c r="A621" s="102"/>
      <c r="B621" s="11"/>
      <c r="C621" s="8"/>
      <c r="D621" s="8"/>
      <c r="E621" s="9"/>
      <c r="F621" s="10"/>
      <c r="G621" s="9"/>
      <c r="H621" s="11"/>
      <c r="I621" s="9" t="s">
        <v>13</v>
      </c>
      <c r="J621" s="347"/>
      <c r="K621" s="347"/>
      <c r="L621" s="347"/>
    </row>
    <row r="622">
      <c r="A622" s="102"/>
      <c r="B622" s="11"/>
      <c r="C622" s="8"/>
      <c r="D622" s="8"/>
      <c r="E622" s="9"/>
      <c r="F622" s="10"/>
      <c r="G622" s="9"/>
      <c r="H622" s="11"/>
      <c r="I622" s="9" t="s">
        <v>13</v>
      </c>
      <c r="J622" s="347"/>
      <c r="K622" s="347"/>
      <c r="L622" s="347"/>
    </row>
    <row r="623">
      <c r="A623" s="102"/>
      <c r="B623" s="11"/>
      <c r="C623" s="8"/>
      <c r="D623" s="8"/>
      <c r="E623" s="9"/>
      <c r="F623" s="10"/>
      <c r="G623" s="9"/>
      <c r="H623" s="11"/>
      <c r="I623" s="9" t="s">
        <v>13</v>
      </c>
      <c r="J623" s="347"/>
      <c r="K623" s="347"/>
      <c r="L623" s="347"/>
    </row>
    <row r="624">
      <c r="A624" s="102"/>
      <c r="B624" s="11"/>
      <c r="C624" s="8"/>
      <c r="D624" s="8"/>
      <c r="E624" s="9"/>
      <c r="F624" s="10"/>
      <c r="G624" s="9"/>
      <c r="H624" s="11"/>
      <c r="I624" s="9" t="s">
        <v>13</v>
      </c>
      <c r="J624" s="347"/>
      <c r="K624" s="347"/>
      <c r="L624" s="347"/>
    </row>
    <row r="625">
      <c r="A625" s="102"/>
      <c r="B625" s="11"/>
      <c r="C625" s="8"/>
      <c r="D625" s="8"/>
      <c r="E625" s="9"/>
      <c r="F625" s="10"/>
      <c r="G625" s="9"/>
      <c r="H625" s="11"/>
      <c r="I625" s="9" t="s">
        <v>13</v>
      </c>
      <c r="J625" s="347"/>
      <c r="K625" s="347"/>
      <c r="L625" s="347"/>
    </row>
    <row r="626">
      <c r="A626" s="102"/>
      <c r="B626" s="11"/>
      <c r="C626" s="8"/>
      <c r="D626" s="8"/>
      <c r="E626" s="9"/>
      <c r="F626" s="10"/>
      <c r="G626" s="9"/>
      <c r="H626" s="11"/>
      <c r="I626" s="9" t="s">
        <v>13</v>
      </c>
      <c r="J626" s="347"/>
      <c r="K626" s="347"/>
      <c r="L626" s="347"/>
    </row>
    <row r="627">
      <c r="A627" s="102"/>
      <c r="B627" s="11"/>
      <c r="C627" s="8"/>
      <c r="D627" s="8"/>
      <c r="E627" s="9"/>
      <c r="F627" s="10"/>
      <c r="G627" s="9"/>
      <c r="H627" s="11"/>
      <c r="I627" s="9" t="s">
        <v>13</v>
      </c>
      <c r="J627" s="347"/>
      <c r="K627" s="347"/>
      <c r="L627" s="347"/>
    </row>
    <row r="628">
      <c r="A628" s="102"/>
      <c r="B628" s="11"/>
      <c r="C628" s="8"/>
      <c r="D628" s="8"/>
      <c r="E628" s="9"/>
      <c r="F628" s="10"/>
      <c r="G628" s="9"/>
      <c r="H628" s="11"/>
      <c r="I628" s="9" t="s">
        <v>13</v>
      </c>
      <c r="J628" s="347"/>
      <c r="K628" s="347"/>
      <c r="L628" s="347"/>
    </row>
    <row r="629">
      <c r="A629" s="102"/>
      <c r="B629" s="11"/>
      <c r="C629" s="8"/>
      <c r="D629" s="8"/>
      <c r="E629" s="9"/>
      <c r="F629" s="10"/>
      <c r="G629" s="9"/>
      <c r="H629" s="11"/>
      <c r="I629" s="9" t="s">
        <v>13</v>
      </c>
      <c r="J629" s="347"/>
      <c r="K629" s="347"/>
      <c r="L629" s="347"/>
    </row>
    <row r="630">
      <c r="A630" s="102"/>
      <c r="B630" s="11"/>
      <c r="C630" s="8"/>
      <c r="D630" s="8"/>
      <c r="E630" s="9"/>
      <c r="F630" s="10"/>
      <c r="G630" s="9"/>
      <c r="H630" s="11"/>
      <c r="I630" s="9" t="s">
        <v>13</v>
      </c>
      <c r="J630" s="347"/>
      <c r="K630" s="347"/>
      <c r="L630" s="347"/>
    </row>
    <row r="631">
      <c r="A631" s="102"/>
      <c r="B631" s="11"/>
      <c r="C631" s="8"/>
      <c r="D631" s="8"/>
      <c r="E631" s="9"/>
      <c r="F631" s="10"/>
      <c r="G631" s="9"/>
      <c r="H631" s="11"/>
      <c r="I631" s="9" t="s">
        <v>13</v>
      </c>
      <c r="J631" s="347"/>
      <c r="K631" s="347"/>
      <c r="L631" s="347"/>
    </row>
    <row r="632">
      <c r="A632" s="102"/>
      <c r="B632" s="11"/>
      <c r="C632" s="8"/>
      <c r="D632" s="8"/>
      <c r="E632" s="9"/>
      <c r="F632" s="10"/>
      <c r="G632" s="9"/>
      <c r="H632" s="11"/>
      <c r="I632" s="9" t="s">
        <v>13</v>
      </c>
      <c r="J632" s="347"/>
      <c r="K632" s="347"/>
      <c r="L632" s="347"/>
    </row>
    <row r="633">
      <c r="A633" s="102"/>
      <c r="B633" s="11"/>
      <c r="C633" s="8"/>
      <c r="D633" s="8"/>
      <c r="E633" s="9"/>
      <c r="F633" s="10"/>
      <c r="G633" s="9"/>
      <c r="H633" s="11"/>
      <c r="I633" s="9" t="s">
        <v>13</v>
      </c>
      <c r="J633" s="347"/>
      <c r="K633" s="347"/>
      <c r="L633" s="347"/>
    </row>
    <row r="634">
      <c r="A634" s="102"/>
      <c r="B634" s="11"/>
      <c r="C634" s="8"/>
      <c r="D634" s="8"/>
      <c r="E634" s="9"/>
      <c r="F634" s="10"/>
      <c r="G634" s="9"/>
      <c r="H634" s="11"/>
      <c r="I634" s="9" t="s">
        <v>13</v>
      </c>
      <c r="J634" s="347"/>
      <c r="K634" s="347"/>
      <c r="L634" s="347"/>
    </row>
    <row r="635">
      <c r="A635" s="102"/>
      <c r="B635" s="11"/>
      <c r="C635" s="8"/>
      <c r="D635" s="8"/>
      <c r="E635" s="9"/>
      <c r="F635" s="10"/>
      <c r="G635" s="9"/>
      <c r="H635" s="11"/>
      <c r="I635" s="9" t="s">
        <v>13</v>
      </c>
      <c r="J635" s="347"/>
      <c r="K635" s="347"/>
      <c r="L635" s="347"/>
    </row>
    <row r="636">
      <c r="A636" s="102"/>
      <c r="B636" s="11"/>
      <c r="C636" s="8"/>
      <c r="D636" s="8"/>
      <c r="E636" s="9"/>
      <c r="F636" s="10"/>
      <c r="G636" s="9"/>
      <c r="H636" s="11"/>
      <c r="I636" s="9" t="s">
        <v>13</v>
      </c>
      <c r="J636" s="347"/>
      <c r="K636" s="347"/>
      <c r="L636" s="347"/>
    </row>
    <row r="637">
      <c r="A637" s="102"/>
      <c r="B637" s="11"/>
      <c r="C637" s="8"/>
      <c r="D637" s="8"/>
      <c r="E637" s="9"/>
      <c r="F637" s="10"/>
      <c r="G637" s="9"/>
      <c r="H637" s="11"/>
      <c r="I637" s="9" t="s">
        <v>13</v>
      </c>
      <c r="J637" s="347"/>
      <c r="K637" s="347"/>
      <c r="L637" s="347"/>
    </row>
    <row r="638">
      <c r="A638" s="102"/>
      <c r="B638" s="11"/>
      <c r="C638" s="8"/>
      <c r="D638" s="8"/>
      <c r="E638" s="9"/>
      <c r="F638" s="10"/>
      <c r="G638" s="9"/>
      <c r="H638" s="11"/>
      <c r="I638" s="9" t="s">
        <v>13</v>
      </c>
      <c r="J638" s="347"/>
      <c r="K638" s="347"/>
      <c r="L638" s="347"/>
    </row>
    <row r="639">
      <c r="A639" s="102"/>
      <c r="B639" s="11"/>
      <c r="C639" s="8"/>
      <c r="D639" s="8"/>
      <c r="E639" s="9"/>
      <c r="F639" s="10"/>
      <c r="G639" s="9"/>
      <c r="H639" s="11"/>
      <c r="I639" s="9" t="s">
        <v>13</v>
      </c>
      <c r="J639" s="347"/>
      <c r="K639" s="347"/>
      <c r="L639" s="347"/>
    </row>
    <row r="640">
      <c r="A640" s="102"/>
      <c r="B640" s="11"/>
      <c r="C640" s="8"/>
      <c r="D640" s="8"/>
      <c r="E640" s="9"/>
      <c r="F640" s="10"/>
      <c r="G640" s="9"/>
      <c r="H640" s="11"/>
      <c r="I640" s="9" t="s">
        <v>13</v>
      </c>
      <c r="J640" s="347"/>
      <c r="K640" s="347"/>
      <c r="L640" s="347"/>
    </row>
    <row r="641">
      <c r="A641" s="102"/>
      <c r="B641" s="11"/>
      <c r="C641" s="8"/>
      <c r="D641" s="8"/>
      <c r="E641" s="9"/>
      <c r="F641" s="10"/>
      <c r="G641" s="9"/>
      <c r="H641" s="11"/>
      <c r="I641" s="9" t="s">
        <v>13</v>
      </c>
      <c r="J641" s="347"/>
      <c r="K641" s="347"/>
      <c r="L641" s="347"/>
    </row>
    <row r="642">
      <c r="A642" s="102"/>
      <c r="B642" s="11"/>
      <c r="C642" s="8"/>
      <c r="D642" s="8"/>
      <c r="E642" s="9"/>
      <c r="F642" s="10"/>
      <c r="G642" s="9"/>
      <c r="H642" s="11"/>
      <c r="I642" s="9" t="s">
        <v>13</v>
      </c>
      <c r="J642" s="347"/>
      <c r="K642" s="347"/>
      <c r="L642" s="347"/>
    </row>
    <row r="643">
      <c r="A643" s="102"/>
      <c r="B643" s="11"/>
      <c r="C643" s="8"/>
      <c r="D643" s="8"/>
      <c r="E643" s="9"/>
      <c r="F643" s="10"/>
      <c r="G643" s="9"/>
      <c r="H643" s="11"/>
      <c r="I643" s="9" t="s">
        <v>13</v>
      </c>
      <c r="J643" s="347"/>
      <c r="K643" s="347"/>
      <c r="L643" s="347"/>
    </row>
    <row r="644">
      <c r="A644" s="102"/>
      <c r="B644" s="11"/>
      <c r="C644" s="8"/>
      <c r="D644" s="8"/>
      <c r="E644" s="9"/>
      <c r="F644" s="10"/>
      <c r="G644" s="9"/>
      <c r="H644" s="11"/>
      <c r="I644" s="9" t="s">
        <v>13</v>
      </c>
      <c r="J644" s="347"/>
      <c r="K644" s="347"/>
      <c r="L644" s="347"/>
    </row>
    <row r="645">
      <c r="A645" s="102"/>
      <c r="B645" s="11"/>
      <c r="C645" s="8"/>
      <c r="D645" s="8"/>
      <c r="E645" s="9"/>
      <c r="F645" s="10"/>
      <c r="G645" s="9"/>
      <c r="H645" s="11"/>
      <c r="I645" s="9" t="s">
        <v>13</v>
      </c>
      <c r="J645" s="347"/>
      <c r="K645" s="347"/>
      <c r="L645" s="347"/>
    </row>
    <row r="646">
      <c r="A646" s="102"/>
      <c r="B646" s="11"/>
      <c r="C646" s="8"/>
      <c r="D646" s="8"/>
      <c r="E646" s="9"/>
      <c r="F646" s="10"/>
      <c r="G646" s="9"/>
      <c r="H646" s="11"/>
      <c r="I646" s="9" t="s">
        <v>13</v>
      </c>
      <c r="J646" s="347"/>
      <c r="K646" s="347"/>
      <c r="L646" s="347"/>
    </row>
    <row r="647">
      <c r="A647" s="102"/>
      <c r="B647" s="11"/>
      <c r="C647" s="8"/>
      <c r="D647" s="8"/>
      <c r="E647" s="9"/>
      <c r="F647" s="10"/>
      <c r="G647" s="9"/>
      <c r="H647" s="11"/>
      <c r="I647" s="9" t="s">
        <v>13</v>
      </c>
      <c r="J647" s="347"/>
      <c r="K647" s="347"/>
      <c r="L647" s="347"/>
    </row>
    <row r="648">
      <c r="A648" s="102"/>
      <c r="B648" s="11"/>
      <c r="C648" s="8"/>
      <c r="D648" s="8"/>
      <c r="E648" s="9"/>
      <c r="F648" s="10"/>
      <c r="G648" s="9"/>
      <c r="H648" s="11"/>
      <c r="I648" s="9" t="s">
        <v>13</v>
      </c>
      <c r="J648" s="347"/>
      <c r="K648" s="347"/>
      <c r="L648" s="347"/>
    </row>
    <row r="649">
      <c r="A649" s="102"/>
      <c r="B649" s="11"/>
      <c r="C649" s="8"/>
      <c r="D649" s="8"/>
      <c r="E649" s="9"/>
      <c r="F649" s="10"/>
      <c r="G649" s="9"/>
      <c r="H649" s="11"/>
      <c r="I649" s="9" t="s">
        <v>13</v>
      </c>
      <c r="J649" s="347"/>
      <c r="K649" s="347"/>
      <c r="L649" s="347"/>
    </row>
    <row r="650">
      <c r="A650" s="102"/>
      <c r="B650" s="11"/>
      <c r="C650" s="8"/>
      <c r="D650" s="8"/>
      <c r="E650" s="9"/>
      <c r="F650" s="10"/>
      <c r="G650" s="9"/>
      <c r="H650" s="11"/>
      <c r="I650" s="9" t="s">
        <v>13</v>
      </c>
      <c r="J650" s="347"/>
      <c r="K650" s="347"/>
      <c r="L650" s="347"/>
    </row>
    <row r="651">
      <c r="A651" s="102"/>
      <c r="B651" s="11"/>
      <c r="C651" s="8"/>
      <c r="D651" s="8"/>
      <c r="E651" s="9"/>
      <c r="F651" s="10"/>
      <c r="G651" s="9"/>
      <c r="H651" s="11"/>
      <c r="I651" s="9" t="s">
        <v>13</v>
      </c>
      <c r="J651" s="347"/>
      <c r="K651" s="347"/>
      <c r="L651" s="347"/>
    </row>
    <row r="652">
      <c r="A652" s="102"/>
      <c r="B652" s="11"/>
      <c r="C652" s="8"/>
      <c r="D652" s="8"/>
      <c r="E652" s="9"/>
      <c r="F652" s="10"/>
      <c r="G652" s="9"/>
      <c r="H652" s="11"/>
      <c r="I652" s="9" t="s">
        <v>13</v>
      </c>
      <c r="J652" s="347"/>
      <c r="K652" s="347"/>
      <c r="L652" s="347"/>
    </row>
    <row r="653">
      <c r="A653" s="102"/>
      <c r="B653" s="11"/>
      <c r="C653" s="8"/>
      <c r="D653" s="8"/>
      <c r="E653" s="9"/>
      <c r="F653" s="10"/>
      <c r="G653" s="9"/>
      <c r="H653" s="11"/>
      <c r="I653" s="9" t="s">
        <v>13</v>
      </c>
      <c r="J653" s="347"/>
      <c r="K653" s="347"/>
      <c r="L653" s="347"/>
    </row>
    <row r="654">
      <c r="A654" s="102"/>
      <c r="B654" s="11"/>
      <c r="C654" s="8"/>
      <c r="D654" s="8"/>
      <c r="E654" s="9"/>
      <c r="F654" s="10"/>
      <c r="G654" s="9"/>
      <c r="H654" s="11"/>
      <c r="I654" s="9" t="s">
        <v>13</v>
      </c>
      <c r="J654" s="347"/>
      <c r="K654" s="347"/>
      <c r="L654" s="347"/>
    </row>
    <row r="655">
      <c r="A655" s="102"/>
      <c r="B655" s="11"/>
      <c r="C655" s="8"/>
      <c r="D655" s="8"/>
      <c r="E655" s="9"/>
      <c r="F655" s="10"/>
      <c r="G655" s="9"/>
      <c r="H655" s="11"/>
      <c r="I655" s="9" t="s">
        <v>13</v>
      </c>
      <c r="J655" s="347"/>
      <c r="K655" s="347"/>
      <c r="L655" s="347"/>
    </row>
    <row r="656">
      <c r="A656" s="102"/>
      <c r="B656" s="11"/>
      <c r="C656" s="8"/>
      <c r="D656" s="8"/>
      <c r="E656" s="9"/>
      <c r="F656" s="10"/>
      <c r="G656" s="9"/>
      <c r="H656" s="11"/>
      <c r="I656" s="9" t="s">
        <v>13</v>
      </c>
      <c r="J656" s="347"/>
      <c r="K656" s="347"/>
      <c r="L656" s="347"/>
    </row>
    <row r="657">
      <c r="A657" s="102"/>
      <c r="B657" s="11"/>
      <c r="C657" s="8"/>
      <c r="D657" s="8"/>
      <c r="E657" s="9"/>
      <c r="F657" s="10"/>
      <c r="G657" s="9"/>
      <c r="H657" s="11"/>
      <c r="I657" s="9" t="s">
        <v>13</v>
      </c>
      <c r="J657" s="347"/>
      <c r="K657" s="347"/>
      <c r="L657" s="347"/>
    </row>
    <row r="658">
      <c r="A658" s="102"/>
      <c r="B658" s="11"/>
      <c r="C658" s="8"/>
      <c r="D658" s="8"/>
      <c r="E658" s="9"/>
      <c r="F658" s="10"/>
      <c r="G658" s="9"/>
      <c r="H658" s="11"/>
      <c r="I658" s="9" t="s">
        <v>13</v>
      </c>
      <c r="J658" s="347"/>
      <c r="K658" s="347"/>
      <c r="L658" s="347"/>
    </row>
    <row r="659">
      <c r="A659" s="102"/>
      <c r="B659" s="11"/>
      <c r="C659" s="8"/>
      <c r="D659" s="8"/>
      <c r="E659" s="9"/>
      <c r="F659" s="10"/>
      <c r="G659" s="9"/>
      <c r="H659" s="11"/>
      <c r="I659" s="9" t="s">
        <v>13</v>
      </c>
      <c r="J659" s="347"/>
      <c r="K659" s="347"/>
      <c r="L659" s="347"/>
    </row>
    <row r="660">
      <c r="A660" s="102"/>
      <c r="B660" s="11"/>
      <c r="C660" s="8"/>
      <c r="D660" s="8"/>
      <c r="E660" s="9"/>
      <c r="F660" s="10"/>
      <c r="G660" s="9"/>
      <c r="H660" s="11"/>
      <c r="I660" s="9" t="s">
        <v>13</v>
      </c>
      <c r="J660" s="347"/>
      <c r="K660" s="347"/>
      <c r="L660" s="347"/>
    </row>
    <row r="661">
      <c r="A661" s="102"/>
      <c r="B661" s="11"/>
      <c r="C661" s="8"/>
      <c r="D661" s="8"/>
      <c r="E661" s="9"/>
      <c r="F661" s="10"/>
      <c r="G661" s="9"/>
      <c r="H661" s="11"/>
      <c r="I661" s="9" t="s">
        <v>13</v>
      </c>
      <c r="J661" s="347"/>
      <c r="K661" s="347"/>
      <c r="L661" s="347"/>
    </row>
    <row r="662">
      <c r="A662" s="102"/>
      <c r="B662" s="11"/>
      <c r="C662" s="8"/>
      <c r="D662" s="8"/>
      <c r="E662" s="9"/>
      <c r="F662" s="10"/>
      <c r="G662" s="9"/>
      <c r="H662" s="11"/>
      <c r="I662" s="9" t="s">
        <v>13</v>
      </c>
      <c r="J662" s="347"/>
      <c r="K662" s="347"/>
      <c r="L662" s="347"/>
    </row>
    <row r="663">
      <c r="A663" s="102"/>
      <c r="B663" s="11"/>
      <c r="C663" s="8"/>
      <c r="D663" s="8"/>
      <c r="E663" s="9"/>
      <c r="F663" s="10"/>
      <c r="G663" s="9"/>
      <c r="H663" s="11"/>
      <c r="I663" s="9" t="s">
        <v>13</v>
      </c>
      <c r="J663" s="347"/>
      <c r="K663" s="347"/>
      <c r="L663" s="347"/>
    </row>
    <row r="664">
      <c r="A664" s="102"/>
      <c r="B664" s="11"/>
      <c r="C664" s="8"/>
      <c r="D664" s="8"/>
      <c r="E664" s="9"/>
      <c r="F664" s="10"/>
      <c r="G664" s="9"/>
      <c r="H664" s="11"/>
      <c r="I664" s="9" t="s">
        <v>13</v>
      </c>
      <c r="J664" s="347"/>
      <c r="K664" s="347"/>
      <c r="L664" s="347"/>
    </row>
    <row r="665">
      <c r="A665" s="102"/>
      <c r="B665" s="11"/>
      <c r="C665" s="8"/>
      <c r="D665" s="8"/>
      <c r="E665" s="9"/>
      <c r="F665" s="10"/>
      <c r="G665" s="9"/>
      <c r="H665" s="11"/>
      <c r="I665" s="9" t="s">
        <v>13</v>
      </c>
      <c r="J665" s="347"/>
      <c r="K665" s="347"/>
      <c r="L665" s="347"/>
    </row>
    <row r="666">
      <c r="A666" s="102"/>
      <c r="B666" s="11"/>
      <c r="C666" s="8"/>
      <c r="D666" s="8"/>
      <c r="E666" s="9"/>
      <c r="F666" s="10"/>
      <c r="G666" s="9"/>
      <c r="H666" s="11"/>
      <c r="I666" s="9" t="s">
        <v>13</v>
      </c>
      <c r="J666" s="347"/>
      <c r="K666" s="347"/>
      <c r="L666" s="347"/>
    </row>
    <row r="667">
      <c r="A667" s="102"/>
      <c r="B667" s="11"/>
      <c r="C667" s="8"/>
      <c r="D667" s="8"/>
      <c r="E667" s="9"/>
      <c r="F667" s="10"/>
      <c r="G667" s="9"/>
      <c r="H667" s="11"/>
      <c r="I667" s="9" t="s">
        <v>13</v>
      </c>
      <c r="J667" s="347"/>
      <c r="K667" s="347"/>
      <c r="L667" s="347"/>
    </row>
    <row r="668">
      <c r="A668" s="102"/>
      <c r="B668" s="11"/>
      <c r="C668" s="8"/>
      <c r="D668" s="8"/>
      <c r="E668" s="9"/>
      <c r="F668" s="10"/>
      <c r="G668" s="9"/>
      <c r="H668" s="11"/>
      <c r="I668" s="9" t="s">
        <v>13</v>
      </c>
      <c r="J668" s="347"/>
      <c r="K668" s="347"/>
      <c r="L668" s="347"/>
    </row>
    <row r="669">
      <c r="A669" s="102"/>
      <c r="B669" s="11"/>
      <c r="C669" s="8"/>
      <c r="D669" s="8"/>
      <c r="E669" s="9"/>
      <c r="F669" s="10"/>
      <c r="G669" s="9"/>
      <c r="H669" s="11"/>
      <c r="I669" s="9" t="s">
        <v>13</v>
      </c>
      <c r="J669" s="347"/>
      <c r="K669" s="347"/>
      <c r="L669" s="347"/>
    </row>
    <row r="670">
      <c r="A670" s="102"/>
      <c r="B670" s="11"/>
      <c r="C670" s="8"/>
      <c r="D670" s="8"/>
      <c r="E670" s="9"/>
      <c r="F670" s="10"/>
      <c r="G670" s="9"/>
      <c r="H670" s="11"/>
      <c r="I670" s="9" t="s">
        <v>13</v>
      </c>
      <c r="J670" s="347"/>
      <c r="K670" s="347"/>
      <c r="L670" s="347"/>
    </row>
    <row r="671">
      <c r="A671" s="102"/>
      <c r="B671" s="11"/>
      <c r="C671" s="8"/>
      <c r="D671" s="8"/>
      <c r="E671" s="9"/>
      <c r="F671" s="10"/>
      <c r="G671" s="9"/>
      <c r="H671" s="11"/>
      <c r="I671" s="9" t="s">
        <v>13</v>
      </c>
      <c r="J671" s="347"/>
      <c r="K671" s="347"/>
      <c r="L671" s="347"/>
    </row>
    <row r="672">
      <c r="A672" s="102"/>
      <c r="B672" s="11"/>
      <c r="C672" s="8"/>
      <c r="D672" s="8"/>
      <c r="E672" s="9"/>
      <c r="F672" s="10"/>
      <c r="G672" s="9"/>
      <c r="H672" s="11"/>
      <c r="I672" s="9" t="s">
        <v>13</v>
      </c>
      <c r="J672" s="347"/>
      <c r="K672" s="347"/>
      <c r="L672" s="347"/>
    </row>
    <row r="673">
      <c r="A673" s="102"/>
      <c r="B673" s="11"/>
      <c r="C673" s="8"/>
      <c r="D673" s="8"/>
      <c r="E673" s="9"/>
      <c r="F673" s="10"/>
      <c r="G673" s="9"/>
      <c r="H673" s="11"/>
      <c r="I673" s="9" t="s">
        <v>13</v>
      </c>
      <c r="J673" s="347"/>
      <c r="K673" s="347"/>
      <c r="L673" s="347"/>
    </row>
    <row r="674">
      <c r="A674" s="102"/>
      <c r="B674" s="11"/>
      <c r="C674" s="8"/>
      <c r="D674" s="8"/>
      <c r="E674" s="9"/>
      <c r="F674" s="10"/>
      <c r="G674" s="9"/>
      <c r="H674" s="11"/>
      <c r="I674" s="9" t="s">
        <v>13</v>
      </c>
      <c r="J674" s="347"/>
      <c r="K674" s="347"/>
      <c r="L674" s="347"/>
    </row>
    <row r="675">
      <c r="A675" s="102"/>
      <c r="B675" s="11"/>
      <c r="C675" s="8"/>
      <c r="D675" s="8"/>
      <c r="E675" s="9"/>
      <c r="F675" s="10"/>
      <c r="G675" s="9"/>
      <c r="H675" s="11"/>
      <c r="I675" s="9" t="s">
        <v>13</v>
      </c>
      <c r="J675" s="347"/>
      <c r="K675" s="347"/>
      <c r="L675" s="347"/>
    </row>
    <row r="676">
      <c r="A676" s="102"/>
      <c r="B676" s="11"/>
      <c r="C676" s="8"/>
      <c r="D676" s="8"/>
      <c r="E676" s="9"/>
      <c r="F676" s="10"/>
      <c r="G676" s="9"/>
      <c r="H676" s="11"/>
      <c r="I676" s="9" t="s">
        <v>13</v>
      </c>
      <c r="J676" s="347"/>
      <c r="K676" s="347"/>
      <c r="L676" s="347"/>
    </row>
    <row r="677">
      <c r="A677" s="102"/>
      <c r="B677" s="11"/>
      <c r="C677" s="8"/>
      <c r="D677" s="8"/>
      <c r="E677" s="9"/>
      <c r="F677" s="10"/>
      <c r="G677" s="9"/>
      <c r="H677" s="11"/>
      <c r="I677" s="9" t="s">
        <v>13</v>
      </c>
      <c r="J677" s="347"/>
      <c r="K677" s="347"/>
      <c r="L677" s="347"/>
    </row>
    <row r="678">
      <c r="A678" s="102"/>
      <c r="B678" s="11"/>
      <c r="C678" s="8"/>
      <c r="D678" s="8"/>
      <c r="E678" s="9"/>
      <c r="F678" s="10"/>
      <c r="G678" s="9"/>
      <c r="H678" s="11"/>
      <c r="I678" s="9" t="s">
        <v>13</v>
      </c>
      <c r="J678" s="347"/>
      <c r="K678" s="347"/>
      <c r="L678" s="347"/>
    </row>
    <row r="679">
      <c r="A679" s="102"/>
      <c r="B679" s="11"/>
      <c r="C679" s="8"/>
      <c r="D679" s="8"/>
      <c r="E679" s="9"/>
      <c r="F679" s="10"/>
      <c r="G679" s="9"/>
      <c r="H679" s="11"/>
      <c r="I679" s="9" t="s">
        <v>13</v>
      </c>
      <c r="J679" s="347"/>
      <c r="K679" s="347"/>
      <c r="L679" s="347"/>
    </row>
    <row r="680">
      <c r="A680" s="102"/>
      <c r="B680" s="11"/>
      <c r="C680" s="8"/>
      <c r="D680" s="8"/>
      <c r="E680" s="9"/>
      <c r="F680" s="10"/>
      <c r="G680" s="9"/>
      <c r="H680" s="11"/>
      <c r="I680" s="9" t="s">
        <v>13</v>
      </c>
      <c r="J680" s="347"/>
      <c r="K680" s="347"/>
      <c r="L680" s="347"/>
    </row>
    <row r="681">
      <c r="A681" s="102"/>
      <c r="B681" s="11"/>
      <c r="C681" s="8"/>
      <c r="D681" s="8"/>
      <c r="E681" s="9"/>
      <c r="F681" s="10"/>
      <c r="G681" s="9"/>
      <c r="H681" s="11"/>
      <c r="I681" s="9" t="s">
        <v>13</v>
      </c>
      <c r="J681" s="347"/>
      <c r="K681" s="347"/>
      <c r="L681" s="347"/>
    </row>
    <row r="682">
      <c r="A682" s="102"/>
      <c r="B682" s="11"/>
      <c r="C682" s="8"/>
      <c r="D682" s="8"/>
      <c r="E682" s="9"/>
      <c r="F682" s="10"/>
      <c r="G682" s="9"/>
      <c r="H682" s="11"/>
      <c r="I682" s="9" t="s">
        <v>13</v>
      </c>
      <c r="J682" s="347"/>
      <c r="K682" s="347"/>
      <c r="L682" s="347"/>
    </row>
    <row r="683">
      <c r="A683" s="102"/>
      <c r="B683" s="11"/>
      <c r="C683" s="8"/>
      <c r="D683" s="8"/>
      <c r="E683" s="9"/>
      <c r="F683" s="10"/>
      <c r="G683" s="9"/>
      <c r="H683" s="11"/>
      <c r="I683" s="9" t="s">
        <v>13</v>
      </c>
      <c r="J683" s="347"/>
      <c r="K683" s="347"/>
      <c r="L683" s="347"/>
    </row>
    <row r="684">
      <c r="A684" s="102"/>
      <c r="B684" s="11"/>
      <c r="C684" s="8"/>
      <c r="D684" s="8"/>
      <c r="E684" s="9"/>
      <c r="F684" s="10"/>
      <c r="G684" s="9"/>
      <c r="H684" s="11"/>
      <c r="I684" s="9" t="s">
        <v>13</v>
      </c>
      <c r="J684" s="347"/>
      <c r="K684" s="347"/>
      <c r="L684" s="347"/>
    </row>
    <row r="685">
      <c r="A685" s="102"/>
      <c r="B685" s="11"/>
      <c r="C685" s="8"/>
      <c r="D685" s="8"/>
      <c r="E685" s="9"/>
      <c r="F685" s="10"/>
      <c r="G685" s="9"/>
      <c r="H685" s="11"/>
      <c r="I685" s="9" t="s">
        <v>13</v>
      </c>
      <c r="J685" s="347"/>
      <c r="K685" s="347"/>
      <c r="L685" s="347"/>
    </row>
    <row r="686">
      <c r="A686" s="102"/>
      <c r="B686" s="11"/>
      <c r="C686" s="8"/>
      <c r="D686" s="8"/>
      <c r="E686" s="9"/>
      <c r="F686" s="10"/>
      <c r="G686" s="9"/>
      <c r="H686" s="11"/>
      <c r="I686" s="9" t="s">
        <v>13</v>
      </c>
      <c r="J686" s="347"/>
      <c r="K686" s="347"/>
      <c r="L686" s="347"/>
    </row>
    <row r="687">
      <c r="A687" s="102"/>
      <c r="B687" s="11"/>
      <c r="C687" s="8"/>
      <c r="D687" s="8"/>
      <c r="E687" s="9"/>
      <c r="F687" s="10"/>
      <c r="G687" s="9"/>
      <c r="H687" s="11"/>
      <c r="I687" s="9" t="s">
        <v>13</v>
      </c>
      <c r="J687" s="347"/>
      <c r="K687" s="347"/>
      <c r="L687" s="347"/>
    </row>
    <row r="688">
      <c r="A688" s="102"/>
      <c r="B688" s="11"/>
      <c r="C688" s="8"/>
      <c r="D688" s="8"/>
      <c r="E688" s="9"/>
      <c r="F688" s="10"/>
      <c r="G688" s="9"/>
      <c r="H688" s="11"/>
      <c r="I688" s="9" t="s">
        <v>13</v>
      </c>
      <c r="J688" s="347"/>
      <c r="K688" s="347"/>
      <c r="L688" s="347"/>
    </row>
    <row r="689">
      <c r="A689" s="102"/>
      <c r="B689" s="11"/>
      <c r="C689" s="8"/>
      <c r="D689" s="8"/>
      <c r="E689" s="9"/>
      <c r="F689" s="10"/>
      <c r="G689" s="9"/>
      <c r="H689" s="11"/>
      <c r="I689" s="9" t="s">
        <v>13</v>
      </c>
      <c r="J689" s="347"/>
      <c r="K689" s="347"/>
      <c r="L689" s="347"/>
    </row>
    <row r="690">
      <c r="A690" s="102"/>
      <c r="B690" s="11"/>
      <c r="C690" s="8"/>
      <c r="D690" s="8"/>
      <c r="E690" s="9"/>
      <c r="F690" s="10"/>
      <c r="G690" s="9"/>
      <c r="H690" s="11"/>
      <c r="I690" s="9" t="s">
        <v>13</v>
      </c>
      <c r="J690" s="347"/>
      <c r="K690" s="347"/>
      <c r="L690" s="347"/>
    </row>
    <row r="691">
      <c r="A691" s="102"/>
      <c r="B691" s="11"/>
      <c r="C691" s="8"/>
      <c r="D691" s="8"/>
      <c r="E691" s="9"/>
      <c r="F691" s="10"/>
      <c r="G691" s="9"/>
      <c r="H691" s="11"/>
      <c r="I691" s="9" t="s">
        <v>13</v>
      </c>
      <c r="J691" s="347"/>
      <c r="K691" s="347"/>
      <c r="L691" s="347"/>
    </row>
    <row r="692">
      <c r="A692" s="102"/>
      <c r="B692" s="11"/>
      <c r="C692" s="8"/>
      <c r="D692" s="8"/>
      <c r="E692" s="9"/>
      <c r="F692" s="10"/>
      <c r="G692" s="9"/>
      <c r="H692" s="11"/>
      <c r="I692" s="9" t="s">
        <v>13</v>
      </c>
      <c r="J692" s="347"/>
      <c r="K692" s="347"/>
      <c r="L692" s="347"/>
    </row>
    <row r="693">
      <c r="A693" s="102"/>
      <c r="B693" s="11"/>
      <c r="C693" s="8"/>
      <c r="D693" s="8"/>
      <c r="E693" s="9"/>
      <c r="F693" s="10"/>
      <c r="G693" s="9"/>
      <c r="H693" s="11"/>
      <c r="I693" s="9" t="s">
        <v>13</v>
      </c>
      <c r="J693" s="347"/>
      <c r="K693" s="347"/>
      <c r="L693" s="347"/>
    </row>
    <row r="694">
      <c r="A694" s="102"/>
      <c r="B694" s="11"/>
      <c r="C694" s="8"/>
      <c r="D694" s="8"/>
      <c r="E694" s="9"/>
      <c r="F694" s="10"/>
      <c r="G694" s="9"/>
      <c r="H694" s="11"/>
      <c r="I694" s="9" t="s">
        <v>13</v>
      </c>
      <c r="J694" s="347"/>
      <c r="K694" s="347"/>
      <c r="L694" s="347"/>
    </row>
    <row r="695">
      <c r="A695" s="102"/>
      <c r="B695" s="11"/>
      <c r="C695" s="8"/>
      <c r="D695" s="8"/>
      <c r="E695" s="9"/>
      <c r="F695" s="10"/>
      <c r="G695" s="9"/>
      <c r="H695" s="11"/>
      <c r="I695" s="9" t="s">
        <v>13</v>
      </c>
      <c r="J695" s="347"/>
      <c r="K695" s="347"/>
      <c r="L695" s="347"/>
    </row>
    <row r="696">
      <c r="A696" s="102"/>
      <c r="B696" s="11"/>
      <c r="C696" s="8"/>
      <c r="D696" s="8"/>
      <c r="E696" s="9"/>
      <c r="F696" s="10"/>
      <c r="G696" s="9"/>
      <c r="H696" s="11"/>
      <c r="I696" s="9" t="s">
        <v>13</v>
      </c>
      <c r="J696" s="347"/>
      <c r="K696" s="347"/>
      <c r="L696" s="347"/>
    </row>
    <row r="697">
      <c r="A697" s="102"/>
      <c r="B697" s="11"/>
      <c r="C697" s="8"/>
      <c r="D697" s="8"/>
      <c r="E697" s="9"/>
      <c r="F697" s="10"/>
      <c r="G697" s="9"/>
      <c r="H697" s="11"/>
      <c r="I697" s="9" t="s">
        <v>13</v>
      </c>
      <c r="J697" s="347"/>
      <c r="K697" s="347"/>
      <c r="L697" s="347"/>
    </row>
    <row r="698">
      <c r="A698" s="102"/>
      <c r="B698" s="11"/>
      <c r="C698" s="8"/>
      <c r="D698" s="8"/>
      <c r="E698" s="9"/>
      <c r="F698" s="10"/>
      <c r="G698" s="9"/>
      <c r="H698" s="11"/>
      <c r="I698" s="9" t="s">
        <v>13</v>
      </c>
      <c r="J698" s="347"/>
      <c r="K698" s="347"/>
      <c r="L698" s="347"/>
    </row>
    <row r="699">
      <c r="A699" s="102"/>
      <c r="B699" s="11"/>
      <c r="C699" s="8"/>
      <c r="D699" s="8"/>
      <c r="E699" s="9"/>
      <c r="F699" s="10"/>
      <c r="G699" s="9"/>
      <c r="H699" s="11"/>
      <c r="I699" s="9" t="s">
        <v>13</v>
      </c>
      <c r="J699" s="347"/>
      <c r="K699" s="347"/>
      <c r="L699" s="347"/>
    </row>
    <row r="700">
      <c r="A700" s="102"/>
      <c r="B700" s="11"/>
      <c r="C700" s="8"/>
      <c r="D700" s="8"/>
      <c r="E700" s="9"/>
      <c r="F700" s="10"/>
      <c r="G700" s="9"/>
      <c r="H700" s="11"/>
      <c r="I700" s="9" t="s">
        <v>13</v>
      </c>
      <c r="J700" s="347"/>
      <c r="K700" s="347"/>
      <c r="L700" s="347"/>
    </row>
    <row r="701">
      <c r="A701" s="102"/>
      <c r="B701" s="11"/>
      <c r="C701" s="8"/>
      <c r="D701" s="8"/>
      <c r="E701" s="9"/>
      <c r="F701" s="10"/>
      <c r="G701" s="9"/>
      <c r="H701" s="11"/>
      <c r="I701" s="9" t="s">
        <v>13</v>
      </c>
      <c r="J701" s="347"/>
      <c r="K701" s="347"/>
      <c r="L701" s="347"/>
    </row>
    <row r="702">
      <c r="A702" s="102"/>
      <c r="B702" s="11"/>
      <c r="C702" s="8"/>
      <c r="D702" s="8"/>
      <c r="E702" s="9"/>
      <c r="F702" s="10"/>
      <c r="G702" s="9"/>
      <c r="H702" s="11"/>
      <c r="I702" s="9" t="s">
        <v>13</v>
      </c>
      <c r="J702" s="347"/>
      <c r="K702" s="347"/>
      <c r="L702" s="347"/>
    </row>
    <row r="703">
      <c r="A703" s="102"/>
      <c r="B703" s="11"/>
      <c r="C703" s="8"/>
      <c r="D703" s="8"/>
      <c r="E703" s="9"/>
      <c r="F703" s="10"/>
      <c r="G703" s="9"/>
      <c r="H703" s="11"/>
      <c r="I703" s="9" t="s">
        <v>13</v>
      </c>
      <c r="J703" s="347"/>
      <c r="K703" s="347"/>
      <c r="L703" s="347"/>
    </row>
    <row r="704">
      <c r="A704" s="102"/>
      <c r="B704" s="11"/>
      <c r="C704" s="8"/>
      <c r="D704" s="8"/>
      <c r="E704" s="9"/>
      <c r="F704" s="10"/>
      <c r="G704" s="9"/>
      <c r="H704" s="11"/>
      <c r="I704" s="9" t="s">
        <v>13</v>
      </c>
      <c r="J704" s="347"/>
      <c r="K704" s="347"/>
      <c r="L704" s="347"/>
    </row>
    <row r="705">
      <c r="A705" s="102"/>
      <c r="B705" s="11"/>
      <c r="C705" s="8"/>
      <c r="D705" s="8"/>
      <c r="E705" s="9"/>
      <c r="F705" s="10"/>
      <c r="G705" s="9"/>
      <c r="H705" s="11"/>
      <c r="I705" s="9" t="s">
        <v>13</v>
      </c>
      <c r="J705" s="347"/>
      <c r="K705" s="347"/>
      <c r="L705" s="347"/>
    </row>
    <row r="706">
      <c r="A706" s="102"/>
      <c r="B706" s="11"/>
      <c r="C706" s="8"/>
      <c r="D706" s="8"/>
      <c r="E706" s="9"/>
      <c r="F706" s="10"/>
      <c r="G706" s="9"/>
      <c r="H706" s="11"/>
      <c r="I706" s="9" t="s">
        <v>13</v>
      </c>
      <c r="J706" s="347"/>
      <c r="K706" s="347"/>
      <c r="L706" s="347"/>
    </row>
    <row r="707">
      <c r="A707" s="102"/>
      <c r="B707" s="11"/>
      <c r="C707" s="8"/>
      <c r="D707" s="8"/>
      <c r="E707" s="9"/>
      <c r="F707" s="10"/>
      <c r="G707" s="9"/>
      <c r="H707" s="11"/>
      <c r="I707" s="9" t="s">
        <v>13</v>
      </c>
      <c r="J707" s="347"/>
      <c r="K707" s="347"/>
      <c r="L707" s="347"/>
    </row>
    <row r="708">
      <c r="A708" s="102"/>
      <c r="B708" s="11"/>
      <c r="C708" s="8"/>
      <c r="D708" s="8"/>
      <c r="E708" s="9"/>
      <c r="F708" s="10"/>
      <c r="G708" s="9"/>
      <c r="H708" s="11"/>
      <c r="I708" s="9" t="s">
        <v>13</v>
      </c>
      <c r="J708" s="347"/>
      <c r="K708" s="347"/>
      <c r="L708" s="347"/>
    </row>
    <row r="709">
      <c r="A709" s="102"/>
      <c r="B709" s="11"/>
      <c r="C709" s="8"/>
      <c r="D709" s="8"/>
      <c r="E709" s="9"/>
      <c r="F709" s="10"/>
      <c r="G709" s="9"/>
      <c r="H709" s="11"/>
      <c r="I709" s="9" t="s">
        <v>13</v>
      </c>
      <c r="J709" s="347"/>
      <c r="K709" s="347"/>
      <c r="L709" s="347"/>
    </row>
    <row r="710">
      <c r="A710" s="102"/>
      <c r="B710" s="11"/>
      <c r="C710" s="8"/>
      <c r="D710" s="8"/>
      <c r="E710" s="9"/>
      <c r="F710" s="10"/>
      <c r="G710" s="9"/>
      <c r="H710" s="11"/>
      <c r="I710" s="9" t="s">
        <v>13</v>
      </c>
      <c r="J710" s="347"/>
      <c r="K710" s="347"/>
      <c r="L710" s="347"/>
    </row>
    <row r="711">
      <c r="A711" s="102"/>
      <c r="B711" s="11"/>
      <c r="C711" s="8"/>
      <c r="D711" s="8"/>
      <c r="E711" s="9"/>
      <c r="F711" s="10"/>
      <c r="G711" s="9"/>
      <c r="H711" s="11"/>
      <c r="I711" s="9" t="s">
        <v>13</v>
      </c>
      <c r="J711" s="347"/>
      <c r="K711" s="347"/>
      <c r="L711" s="347"/>
    </row>
    <row r="712">
      <c r="A712" s="102"/>
      <c r="B712" s="11"/>
      <c r="C712" s="8"/>
      <c r="D712" s="8"/>
      <c r="E712" s="9"/>
      <c r="F712" s="10"/>
      <c r="G712" s="9"/>
      <c r="H712" s="11"/>
      <c r="I712" s="9" t="s">
        <v>13</v>
      </c>
      <c r="J712" s="347"/>
      <c r="K712" s="347"/>
      <c r="L712" s="347"/>
    </row>
    <row r="713">
      <c r="A713" s="102"/>
      <c r="B713" s="11"/>
      <c r="C713" s="8"/>
      <c r="D713" s="8"/>
      <c r="E713" s="9"/>
      <c r="F713" s="10"/>
      <c r="G713" s="9"/>
      <c r="H713" s="11"/>
      <c r="I713" s="9" t="s">
        <v>13</v>
      </c>
      <c r="J713" s="347"/>
      <c r="K713" s="347"/>
      <c r="L713" s="347"/>
    </row>
    <row r="714">
      <c r="A714" s="102"/>
      <c r="B714" s="11"/>
      <c r="C714" s="8"/>
      <c r="D714" s="8"/>
      <c r="E714" s="9"/>
      <c r="F714" s="10"/>
      <c r="G714" s="9"/>
      <c r="H714" s="11"/>
      <c r="I714" s="9" t="s">
        <v>13</v>
      </c>
      <c r="J714" s="347"/>
      <c r="K714" s="347"/>
      <c r="L714" s="347"/>
    </row>
    <row r="715">
      <c r="A715" s="102"/>
      <c r="B715" s="11"/>
      <c r="C715" s="8"/>
      <c r="D715" s="8"/>
      <c r="E715" s="9"/>
      <c r="F715" s="10"/>
      <c r="G715" s="9"/>
      <c r="H715" s="11"/>
      <c r="I715" s="9" t="s">
        <v>13</v>
      </c>
      <c r="J715" s="347"/>
      <c r="K715" s="347"/>
      <c r="L715" s="347"/>
    </row>
    <row r="716">
      <c r="A716" s="102"/>
      <c r="B716" s="11"/>
      <c r="C716" s="8"/>
      <c r="D716" s="8"/>
      <c r="E716" s="9"/>
      <c r="F716" s="10"/>
      <c r="G716" s="9"/>
      <c r="H716" s="11"/>
      <c r="I716" s="9" t="s">
        <v>13</v>
      </c>
      <c r="J716" s="347"/>
      <c r="K716" s="347"/>
      <c r="L716" s="347"/>
    </row>
    <row r="717">
      <c r="A717" s="102"/>
      <c r="B717" s="11"/>
      <c r="C717" s="8"/>
      <c r="D717" s="8"/>
      <c r="E717" s="9"/>
      <c r="F717" s="10"/>
      <c r="G717" s="9"/>
      <c r="H717" s="11"/>
      <c r="I717" s="9" t="s">
        <v>13</v>
      </c>
      <c r="J717" s="347"/>
      <c r="K717" s="347"/>
      <c r="L717" s="347"/>
    </row>
    <row r="718">
      <c r="A718" s="102"/>
      <c r="B718" s="11"/>
      <c r="C718" s="8"/>
      <c r="D718" s="8"/>
      <c r="E718" s="9"/>
      <c r="F718" s="10"/>
      <c r="G718" s="9"/>
      <c r="H718" s="11"/>
      <c r="I718" s="9" t="s">
        <v>13</v>
      </c>
      <c r="J718" s="347"/>
      <c r="K718" s="347"/>
      <c r="L718" s="347"/>
    </row>
    <row r="719">
      <c r="A719" s="102"/>
      <c r="B719" s="11"/>
      <c r="C719" s="8"/>
      <c r="D719" s="8"/>
      <c r="E719" s="9"/>
      <c r="F719" s="10"/>
      <c r="G719" s="9"/>
      <c r="H719" s="11"/>
      <c r="I719" s="9" t="s">
        <v>13</v>
      </c>
      <c r="J719" s="347"/>
      <c r="K719" s="347"/>
      <c r="L719" s="347"/>
    </row>
    <row r="720">
      <c r="A720" s="102"/>
      <c r="B720" s="11"/>
      <c r="C720" s="8"/>
      <c r="D720" s="8"/>
      <c r="E720" s="9"/>
      <c r="F720" s="10"/>
      <c r="G720" s="9"/>
      <c r="H720" s="11"/>
      <c r="I720" s="9" t="s">
        <v>13</v>
      </c>
      <c r="J720" s="347"/>
      <c r="K720" s="347"/>
      <c r="L720" s="347"/>
    </row>
    <row r="721">
      <c r="A721" s="102"/>
      <c r="B721" s="11"/>
      <c r="C721" s="8"/>
      <c r="D721" s="8"/>
      <c r="E721" s="9"/>
      <c r="F721" s="10"/>
      <c r="G721" s="9"/>
      <c r="H721" s="11"/>
      <c r="I721" s="9" t="s">
        <v>13</v>
      </c>
      <c r="J721" s="347"/>
      <c r="K721" s="347"/>
      <c r="L721" s="347"/>
    </row>
    <row r="722">
      <c r="A722" s="102"/>
      <c r="B722" s="11"/>
      <c r="C722" s="8"/>
      <c r="D722" s="8"/>
      <c r="E722" s="9"/>
      <c r="F722" s="10"/>
      <c r="G722" s="9"/>
      <c r="H722" s="11"/>
      <c r="I722" s="9" t="s">
        <v>13</v>
      </c>
      <c r="J722" s="347"/>
      <c r="K722" s="347"/>
      <c r="L722" s="347"/>
    </row>
    <row r="723">
      <c r="A723" s="102"/>
      <c r="B723" s="11"/>
      <c r="C723" s="8"/>
      <c r="D723" s="8"/>
      <c r="E723" s="9"/>
      <c r="F723" s="10"/>
      <c r="G723" s="9"/>
      <c r="H723" s="11"/>
      <c r="I723" s="9" t="s">
        <v>13</v>
      </c>
      <c r="J723" s="347"/>
      <c r="K723" s="347"/>
      <c r="L723" s="347"/>
    </row>
    <row r="724">
      <c r="A724" s="102"/>
      <c r="B724" s="11"/>
      <c r="C724" s="8"/>
      <c r="D724" s="8"/>
      <c r="E724" s="9"/>
      <c r="F724" s="10"/>
      <c r="G724" s="9"/>
      <c r="H724" s="11"/>
      <c r="I724" s="9" t="s">
        <v>13</v>
      </c>
      <c r="J724" s="347"/>
      <c r="K724" s="347"/>
      <c r="L724" s="347"/>
    </row>
    <row r="725">
      <c r="A725" s="102"/>
      <c r="B725" s="11"/>
      <c r="C725" s="8"/>
      <c r="D725" s="8"/>
      <c r="E725" s="9"/>
      <c r="F725" s="10"/>
      <c r="G725" s="9"/>
      <c r="H725" s="11"/>
      <c r="I725" s="9" t="s">
        <v>13</v>
      </c>
      <c r="J725" s="347"/>
      <c r="K725" s="347"/>
      <c r="L725" s="347"/>
    </row>
    <row r="726">
      <c r="A726" s="102"/>
      <c r="B726" s="11"/>
      <c r="C726" s="8"/>
      <c r="D726" s="8"/>
      <c r="E726" s="9"/>
      <c r="F726" s="10"/>
      <c r="G726" s="9"/>
      <c r="H726" s="11"/>
      <c r="I726" s="9" t="s">
        <v>13</v>
      </c>
      <c r="J726" s="347"/>
      <c r="K726" s="347"/>
      <c r="L726" s="347"/>
    </row>
    <row r="727">
      <c r="A727" s="102"/>
      <c r="B727" s="11"/>
      <c r="C727" s="8"/>
      <c r="D727" s="8"/>
      <c r="E727" s="9"/>
      <c r="F727" s="10"/>
      <c r="G727" s="9"/>
      <c r="H727" s="11"/>
      <c r="I727" s="9" t="s">
        <v>13</v>
      </c>
      <c r="J727" s="347"/>
      <c r="K727" s="347"/>
      <c r="L727" s="347"/>
    </row>
    <row r="728">
      <c r="A728" s="102"/>
      <c r="B728" s="11"/>
      <c r="C728" s="8"/>
      <c r="D728" s="8"/>
      <c r="E728" s="9"/>
      <c r="F728" s="10"/>
      <c r="G728" s="9"/>
      <c r="H728" s="11"/>
      <c r="I728" s="9" t="s">
        <v>13</v>
      </c>
      <c r="J728" s="347"/>
      <c r="K728" s="347"/>
      <c r="L728" s="347"/>
    </row>
    <row r="729">
      <c r="A729" s="102"/>
      <c r="B729" s="11"/>
      <c r="C729" s="8"/>
      <c r="D729" s="8"/>
      <c r="E729" s="9"/>
      <c r="F729" s="10"/>
      <c r="G729" s="9"/>
      <c r="H729" s="11"/>
      <c r="I729" s="9" t="s">
        <v>13</v>
      </c>
      <c r="J729" s="347"/>
      <c r="K729" s="347"/>
      <c r="L729" s="347"/>
    </row>
    <row r="730">
      <c r="A730" s="102"/>
      <c r="B730" s="11"/>
      <c r="C730" s="8"/>
      <c r="D730" s="8"/>
      <c r="E730" s="9"/>
      <c r="F730" s="10"/>
      <c r="G730" s="9"/>
      <c r="H730" s="11"/>
      <c r="I730" s="9" t="s">
        <v>13</v>
      </c>
      <c r="J730" s="347"/>
      <c r="K730" s="347"/>
      <c r="L730" s="347"/>
    </row>
    <row r="731">
      <c r="A731" s="102"/>
      <c r="B731" s="11"/>
      <c r="C731" s="8"/>
      <c r="D731" s="8"/>
      <c r="E731" s="9"/>
      <c r="F731" s="10"/>
      <c r="G731" s="9"/>
      <c r="H731" s="11"/>
      <c r="I731" s="9" t="s">
        <v>13</v>
      </c>
      <c r="J731" s="347"/>
      <c r="K731" s="347"/>
      <c r="L731" s="347"/>
    </row>
    <row r="732">
      <c r="A732" s="102"/>
      <c r="B732" s="11"/>
      <c r="C732" s="8"/>
      <c r="D732" s="8"/>
      <c r="E732" s="9"/>
      <c r="F732" s="10"/>
      <c r="G732" s="9"/>
      <c r="H732" s="11"/>
      <c r="I732" s="9" t="s">
        <v>13</v>
      </c>
      <c r="J732" s="347"/>
      <c r="K732" s="347"/>
      <c r="L732" s="347"/>
    </row>
    <row r="733">
      <c r="A733" s="102"/>
      <c r="B733" s="11"/>
      <c r="C733" s="8"/>
      <c r="D733" s="8"/>
      <c r="E733" s="9"/>
      <c r="F733" s="10"/>
      <c r="G733" s="9"/>
      <c r="H733" s="11"/>
      <c r="I733" s="9" t="s">
        <v>13</v>
      </c>
      <c r="J733" s="347"/>
      <c r="K733" s="347"/>
      <c r="L733" s="347"/>
    </row>
    <row r="734">
      <c r="A734" s="102"/>
      <c r="B734" s="11"/>
      <c r="C734" s="8"/>
      <c r="D734" s="8"/>
      <c r="E734" s="9"/>
      <c r="F734" s="10"/>
      <c r="G734" s="9"/>
      <c r="H734" s="11"/>
      <c r="I734" s="9" t="s">
        <v>13</v>
      </c>
      <c r="J734" s="347"/>
      <c r="K734" s="347"/>
      <c r="L734" s="347"/>
    </row>
    <row r="735">
      <c r="A735" s="102"/>
      <c r="B735" s="11"/>
      <c r="C735" s="8"/>
      <c r="D735" s="8"/>
      <c r="E735" s="9"/>
      <c r="F735" s="10"/>
      <c r="G735" s="9"/>
      <c r="H735" s="11"/>
      <c r="I735" s="9" t="s">
        <v>13</v>
      </c>
      <c r="J735" s="347"/>
      <c r="K735" s="347"/>
      <c r="L735" s="347"/>
    </row>
    <row r="736">
      <c r="A736" s="102"/>
      <c r="B736" s="11"/>
      <c r="C736" s="8"/>
      <c r="D736" s="8"/>
      <c r="E736" s="9"/>
      <c r="F736" s="10"/>
      <c r="G736" s="9"/>
      <c r="H736" s="11"/>
      <c r="I736" s="9" t="s">
        <v>13</v>
      </c>
      <c r="J736" s="347"/>
      <c r="K736" s="347"/>
      <c r="L736" s="347"/>
    </row>
    <row r="737">
      <c r="A737" s="102"/>
      <c r="B737" s="11"/>
      <c r="C737" s="8"/>
      <c r="D737" s="8"/>
      <c r="E737" s="9"/>
      <c r="F737" s="10"/>
      <c r="G737" s="9"/>
      <c r="H737" s="11"/>
      <c r="I737" s="9" t="s">
        <v>13</v>
      </c>
      <c r="J737" s="347"/>
      <c r="K737" s="347"/>
      <c r="L737" s="347"/>
    </row>
    <row r="738">
      <c r="A738" s="102"/>
      <c r="B738" s="11"/>
      <c r="C738" s="8"/>
      <c r="D738" s="8"/>
      <c r="E738" s="9"/>
      <c r="F738" s="10"/>
      <c r="G738" s="9"/>
      <c r="H738" s="11"/>
      <c r="I738" s="9" t="s">
        <v>13</v>
      </c>
      <c r="J738" s="347"/>
      <c r="K738" s="347"/>
      <c r="L738" s="347"/>
    </row>
    <row r="739">
      <c r="A739" s="102"/>
      <c r="B739" s="11"/>
      <c r="C739" s="8"/>
      <c r="D739" s="8"/>
      <c r="E739" s="9"/>
      <c r="F739" s="10"/>
      <c r="G739" s="9"/>
      <c r="H739" s="11"/>
      <c r="I739" s="9" t="s">
        <v>13</v>
      </c>
      <c r="J739" s="347"/>
      <c r="K739" s="347"/>
      <c r="L739" s="347"/>
    </row>
    <row r="740">
      <c r="A740" s="102"/>
      <c r="B740" s="11"/>
      <c r="C740" s="8"/>
      <c r="D740" s="8"/>
      <c r="E740" s="9"/>
      <c r="F740" s="10"/>
      <c r="G740" s="9"/>
      <c r="H740" s="11"/>
      <c r="I740" s="9" t="s">
        <v>13</v>
      </c>
      <c r="J740" s="347"/>
      <c r="K740" s="347"/>
      <c r="L740" s="347"/>
    </row>
    <row r="741">
      <c r="A741" s="102"/>
      <c r="B741" s="11"/>
      <c r="C741" s="8"/>
      <c r="D741" s="8"/>
      <c r="E741" s="9"/>
      <c r="F741" s="10"/>
      <c r="G741" s="9"/>
      <c r="H741" s="11"/>
      <c r="I741" s="9" t="s">
        <v>13</v>
      </c>
      <c r="J741" s="347"/>
      <c r="K741" s="347"/>
      <c r="L741" s="347"/>
    </row>
    <row r="742">
      <c r="A742" s="102"/>
      <c r="B742" s="11"/>
      <c r="C742" s="8"/>
      <c r="D742" s="8"/>
      <c r="E742" s="9"/>
      <c r="F742" s="10"/>
      <c r="G742" s="9"/>
      <c r="H742" s="11"/>
      <c r="I742" s="9" t="s">
        <v>13</v>
      </c>
      <c r="J742" s="347"/>
      <c r="K742" s="347"/>
      <c r="L742" s="347"/>
    </row>
    <row r="743">
      <c r="A743" s="102"/>
      <c r="B743" s="11"/>
      <c r="C743" s="8"/>
      <c r="D743" s="8"/>
      <c r="E743" s="9"/>
      <c r="F743" s="10"/>
      <c r="G743" s="9"/>
      <c r="H743" s="11"/>
      <c r="I743" s="9" t="s">
        <v>13</v>
      </c>
      <c r="J743" s="347"/>
      <c r="K743" s="347"/>
      <c r="L743" s="347"/>
    </row>
    <row r="744">
      <c r="A744" s="102"/>
      <c r="B744" s="11"/>
      <c r="C744" s="8"/>
      <c r="D744" s="8"/>
      <c r="E744" s="9"/>
      <c r="F744" s="10"/>
      <c r="G744" s="9"/>
      <c r="H744" s="11"/>
      <c r="I744" s="9" t="s">
        <v>13</v>
      </c>
      <c r="J744" s="347"/>
      <c r="K744" s="347"/>
      <c r="L744" s="347"/>
    </row>
    <row r="745">
      <c r="A745" s="102"/>
      <c r="B745" s="11"/>
      <c r="C745" s="8"/>
      <c r="D745" s="8"/>
      <c r="E745" s="9"/>
      <c r="F745" s="10"/>
      <c r="G745" s="9"/>
      <c r="H745" s="11"/>
      <c r="I745" s="9" t="s">
        <v>13</v>
      </c>
      <c r="J745" s="347"/>
      <c r="K745" s="347"/>
      <c r="L745" s="347"/>
    </row>
    <row r="746">
      <c r="A746" s="102"/>
      <c r="B746" s="11"/>
      <c r="C746" s="8"/>
      <c r="D746" s="8"/>
      <c r="E746" s="9"/>
      <c r="F746" s="10"/>
      <c r="G746" s="9"/>
      <c r="H746" s="11"/>
      <c r="I746" s="9" t="s">
        <v>13</v>
      </c>
      <c r="J746" s="347"/>
      <c r="K746" s="347"/>
      <c r="L746" s="347"/>
    </row>
    <row r="747">
      <c r="A747" s="102"/>
      <c r="B747" s="11"/>
      <c r="C747" s="8"/>
      <c r="D747" s="8"/>
      <c r="E747" s="9"/>
      <c r="F747" s="10"/>
      <c r="G747" s="9"/>
      <c r="H747" s="11"/>
      <c r="I747" s="9" t="s">
        <v>13</v>
      </c>
      <c r="J747" s="347"/>
      <c r="K747" s="347"/>
      <c r="L747" s="347"/>
    </row>
    <row r="748">
      <c r="A748" s="102"/>
      <c r="B748" s="11"/>
      <c r="C748" s="8"/>
      <c r="D748" s="8"/>
      <c r="E748" s="9"/>
      <c r="F748" s="10"/>
      <c r="G748" s="9"/>
      <c r="H748" s="11"/>
      <c r="I748" s="9" t="s">
        <v>13</v>
      </c>
      <c r="J748" s="347"/>
      <c r="K748" s="347"/>
      <c r="L748" s="347"/>
    </row>
    <row r="749">
      <c r="A749" s="102"/>
      <c r="B749" s="11"/>
      <c r="C749" s="8"/>
      <c r="D749" s="8"/>
      <c r="E749" s="9"/>
      <c r="F749" s="10"/>
      <c r="G749" s="9"/>
      <c r="H749" s="11"/>
      <c r="I749" s="9" t="s">
        <v>13</v>
      </c>
      <c r="J749" s="347"/>
      <c r="K749" s="347"/>
      <c r="L749" s="347"/>
    </row>
    <row r="750">
      <c r="A750" s="102"/>
      <c r="B750" s="11"/>
      <c r="C750" s="8"/>
      <c r="D750" s="8"/>
      <c r="E750" s="9"/>
      <c r="F750" s="10"/>
      <c r="G750" s="9"/>
      <c r="H750" s="11"/>
      <c r="I750" s="9" t="s">
        <v>13</v>
      </c>
      <c r="J750" s="347"/>
      <c r="K750" s="347"/>
      <c r="L750" s="347"/>
    </row>
    <row r="751">
      <c r="A751" s="102"/>
      <c r="B751" s="11"/>
      <c r="C751" s="8"/>
      <c r="D751" s="8"/>
      <c r="E751" s="9"/>
      <c r="F751" s="10"/>
      <c r="G751" s="9"/>
      <c r="H751" s="11"/>
      <c r="I751" s="9" t="s">
        <v>13</v>
      </c>
      <c r="J751" s="347"/>
      <c r="K751" s="347"/>
      <c r="L751" s="347"/>
    </row>
    <row r="752">
      <c r="A752" s="102"/>
      <c r="B752" s="11"/>
      <c r="C752" s="8"/>
      <c r="D752" s="8"/>
      <c r="E752" s="9"/>
      <c r="F752" s="10"/>
      <c r="G752" s="9"/>
      <c r="H752" s="11"/>
      <c r="I752" s="9" t="s">
        <v>13</v>
      </c>
      <c r="J752" s="347"/>
      <c r="K752" s="347"/>
      <c r="L752" s="347"/>
    </row>
    <row r="753">
      <c r="A753" s="102"/>
      <c r="B753" s="11"/>
      <c r="C753" s="8"/>
      <c r="D753" s="8"/>
      <c r="E753" s="9"/>
      <c r="F753" s="10"/>
      <c r="G753" s="9"/>
      <c r="H753" s="11"/>
      <c r="I753" s="9" t="s">
        <v>13</v>
      </c>
      <c r="J753" s="347"/>
      <c r="K753" s="347"/>
      <c r="L753" s="347"/>
    </row>
    <row r="754">
      <c r="A754" s="102"/>
      <c r="B754" s="11"/>
      <c r="C754" s="8"/>
      <c r="D754" s="8"/>
      <c r="E754" s="9"/>
      <c r="F754" s="10"/>
      <c r="G754" s="9"/>
      <c r="H754" s="11"/>
      <c r="I754" s="9" t="s">
        <v>13</v>
      </c>
      <c r="J754" s="347"/>
      <c r="K754" s="347"/>
      <c r="L754" s="347"/>
    </row>
    <row r="755">
      <c r="A755" s="102"/>
      <c r="B755" s="11"/>
      <c r="C755" s="8"/>
      <c r="D755" s="8"/>
      <c r="E755" s="9"/>
      <c r="F755" s="10"/>
      <c r="G755" s="9"/>
      <c r="H755" s="11"/>
      <c r="I755" s="9" t="s">
        <v>13</v>
      </c>
      <c r="J755" s="347"/>
      <c r="K755" s="347"/>
      <c r="L755" s="347"/>
    </row>
    <row r="756">
      <c r="A756" s="102"/>
      <c r="B756" s="11"/>
      <c r="C756" s="8"/>
      <c r="D756" s="8"/>
      <c r="E756" s="9"/>
      <c r="F756" s="10"/>
      <c r="G756" s="9"/>
      <c r="H756" s="11"/>
      <c r="I756" s="9" t="s">
        <v>13</v>
      </c>
      <c r="J756" s="347"/>
      <c r="K756" s="347"/>
      <c r="L756" s="347"/>
    </row>
    <row r="757">
      <c r="A757" s="102"/>
      <c r="B757" s="11"/>
      <c r="C757" s="8"/>
      <c r="D757" s="8"/>
      <c r="E757" s="9"/>
      <c r="F757" s="10"/>
      <c r="G757" s="9"/>
      <c r="H757" s="11"/>
      <c r="I757" s="9" t="s">
        <v>13</v>
      </c>
      <c r="J757" s="347"/>
      <c r="K757" s="347"/>
      <c r="L757" s="347"/>
    </row>
    <row r="758">
      <c r="A758" s="102"/>
      <c r="B758" s="11"/>
      <c r="C758" s="8"/>
      <c r="D758" s="8"/>
      <c r="E758" s="9"/>
      <c r="F758" s="10"/>
      <c r="G758" s="9"/>
      <c r="H758" s="11"/>
      <c r="I758" s="9" t="s">
        <v>13</v>
      </c>
      <c r="J758" s="347"/>
      <c r="K758" s="347"/>
      <c r="L758" s="347"/>
    </row>
    <row r="759">
      <c r="A759" s="102"/>
      <c r="B759" s="11"/>
      <c r="C759" s="8"/>
      <c r="D759" s="8"/>
      <c r="E759" s="9"/>
      <c r="F759" s="10"/>
      <c r="G759" s="9"/>
      <c r="H759" s="11"/>
      <c r="I759" s="9" t="s">
        <v>13</v>
      </c>
      <c r="J759" s="347"/>
      <c r="K759" s="347"/>
      <c r="L759" s="347"/>
    </row>
    <row r="760">
      <c r="A760" s="102"/>
      <c r="B760" s="11"/>
      <c r="C760" s="8"/>
      <c r="D760" s="8"/>
      <c r="E760" s="9"/>
      <c r="F760" s="10"/>
      <c r="G760" s="9"/>
      <c r="H760" s="11"/>
      <c r="I760" s="9" t="s">
        <v>13</v>
      </c>
      <c r="J760" s="347"/>
      <c r="K760" s="347"/>
      <c r="L760" s="347"/>
    </row>
    <row r="761">
      <c r="A761" s="102"/>
      <c r="B761" s="11"/>
      <c r="C761" s="8"/>
      <c r="D761" s="8"/>
      <c r="E761" s="9"/>
      <c r="F761" s="10"/>
      <c r="G761" s="9"/>
      <c r="H761" s="11"/>
      <c r="I761" s="9" t="s">
        <v>13</v>
      </c>
      <c r="J761" s="347"/>
      <c r="K761" s="347"/>
      <c r="L761" s="347"/>
    </row>
    <row r="762">
      <c r="A762" s="102"/>
      <c r="B762" s="11"/>
      <c r="C762" s="8"/>
      <c r="D762" s="8"/>
      <c r="E762" s="9"/>
      <c r="F762" s="10"/>
      <c r="G762" s="9"/>
      <c r="H762" s="11"/>
      <c r="I762" s="9" t="s">
        <v>13</v>
      </c>
      <c r="J762" s="347"/>
      <c r="K762" s="347"/>
      <c r="L762" s="347"/>
    </row>
    <row r="763">
      <c r="A763" s="102"/>
      <c r="B763" s="11"/>
      <c r="C763" s="8"/>
      <c r="D763" s="8"/>
      <c r="E763" s="9"/>
      <c r="F763" s="10"/>
      <c r="G763" s="9"/>
      <c r="H763" s="11"/>
      <c r="I763" s="9" t="s">
        <v>13</v>
      </c>
      <c r="J763" s="347"/>
      <c r="K763" s="347"/>
      <c r="L763" s="347"/>
    </row>
    <row r="764">
      <c r="A764" s="102"/>
      <c r="B764" s="11"/>
      <c r="C764" s="8"/>
      <c r="D764" s="8"/>
      <c r="E764" s="9"/>
      <c r="F764" s="10"/>
      <c r="G764" s="9"/>
      <c r="H764" s="11"/>
      <c r="I764" s="9" t="s">
        <v>13</v>
      </c>
      <c r="J764" s="347"/>
      <c r="K764" s="347"/>
      <c r="L764" s="347"/>
    </row>
    <row r="765">
      <c r="A765" s="102"/>
      <c r="B765" s="11"/>
      <c r="C765" s="8"/>
      <c r="D765" s="8"/>
      <c r="E765" s="9"/>
      <c r="F765" s="10"/>
      <c r="G765" s="9"/>
      <c r="H765" s="11"/>
      <c r="I765" s="9" t="s">
        <v>13</v>
      </c>
      <c r="J765" s="347"/>
      <c r="K765" s="347"/>
      <c r="L765" s="347"/>
    </row>
    <row r="766">
      <c r="A766" s="102"/>
      <c r="B766" s="11"/>
      <c r="C766" s="8"/>
      <c r="D766" s="8"/>
      <c r="E766" s="9"/>
      <c r="F766" s="10"/>
      <c r="G766" s="9"/>
      <c r="H766" s="11"/>
      <c r="I766" s="9" t="s">
        <v>13</v>
      </c>
      <c r="J766" s="347"/>
      <c r="K766" s="347"/>
      <c r="L766" s="347"/>
    </row>
    <row r="767">
      <c r="A767" s="102"/>
      <c r="B767" s="11"/>
      <c r="C767" s="8"/>
      <c r="D767" s="8"/>
      <c r="E767" s="9"/>
      <c r="F767" s="10"/>
      <c r="G767" s="9"/>
      <c r="H767" s="11"/>
      <c r="I767" s="9" t="s">
        <v>13</v>
      </c>
      <c r="J767" s="347"/>
      <c r="K767" s="347"/>
      <c r="L767" s="347"/>
    </row>
    <row r="768">
      <c r="A768" s="102"/>
      <c r="B768" s="11"/>
      <c r="C768" s="8"/>
      <c r="D768" s="8"/>
      <c r="E768" s="9"/>
      <c r="F768" s="10"/>
      <c r="G768" s="9"/>
      <c r="H768" s="11"/>
      <c r="I768" s="9" t="s">
        <v>13</v>
      </c>
      <c r="J768" s="347"/>
      <c r="K768" s="347"/>
      <c r="L768" s="347"/>
    </row>
    <row r="769">
      <c r="A769" s="102"/>
      <c r="B769" s="11"/>
      <c r="C769" s="8"/>
      <c r="D769" s="8"/>
      <c r="E769" s="9"/>
      <c r="F769" s="10"/>
      <c r="G769" s="9"/>
      <c r="H769" s="11"/>
      <c r="I769" s="9" t="s">
        <v>13</v>
      </c>
      <c r="J769" s="347"/>
      <c r="K769" s="347"/>
      <c r="L769" s="347"/>
    </row>
    <row r="770">
      <c r="A770" s="102"/>
      <c r="B770" s="11"/>
      <c r="C770" s="8"/>
      <c r="D770" s="8"/>
      <c r="E770" s="9"/>
      <c r="F770" s="10"/>
      <c r="G770" s="9"/>
      <c r="H770" s="11"/>
      <c r="I770" s="9" t="s">
        <v>13</v>
      </c>
      <c r="J770" s="347"/>
      <c r="K770" s="347"/>
      <c r="L770" s="347"/>
    </row>
    <row r="771">
      <c r="A771" s="102"/>
      <c r="B771" s="11"/>
      <c r="C771" s="8"/>
      <c r="D771" s="8"/>
      <c r="E771" s="9"/>
      <c r="F771" s="10"/>
      <c r="G771" s="9"/>
      <c r="H771" s="11"/>
      <c r="I771" s="9" t="s">
        <v>13</v>
      </c>
      <c r="J771" s="347"/>
      <c r="K771" s="347"/>
      <c r="L771" s="347"/>
    </row>
    <row r="772">
      <c r="A772" s="102"/>
      <c r="B772" s="11"/>
      <c r="C772" s="8"/>
      <c r="D772" s="8"/>
      <c r="E772" s="9"/>
      <c r="F772" s="10"/>
      <c r="G772" s="9"/>
      <c r="H772" s="11"/>
      <c r="I772" s="9" t="s">
        <v>13</v>
      </c>
      <c r="J772" s="347"/>
      <c r="K772" s="347"/>
      <c r="L772" s="347"/>
    </row>
    <row r="773">
      <c r="A773" s="102"/>
      <c r="B773" s="11"/>
      <c r="C773" s="8"/>
      <c r="D773" s="8"/>
      <c r="E773" s="9"/>
      <c r="F773" s="10"/>
      <c r="G773" s="9"/>
      <c r="H773" s="11"/>
      <c r="I773" s="9" t="s">
        <v>13</v>
      </c>
      <c r="J773" s="347"/>
      <c r="K773" s="347"/>
      <c r="L773" s="347"/>
    </row>
    <row r="774">
      <c r="A774" s="102"/>
      <c r="B774" s="11"/>
      <c r="C774" s="8"/>
      <c r="D774" s="8"/>
      <c r="E774" s="9"/>
      <c r="F774" s="10"/>
      <c r="G774" s="9"/>
      <c r="H774" s="11"/>
      <c r="I774" s="9" t="s">
        <v>13</v>
      </c>
      <c r="J774" s="347"/>
      <c r="K774" s="347"/>
      <c r="L774" s="347"/>
    </row>
    <row r="775">
      <c r="A775" s="102"/>
      <c r="B775" s="11"/>
      <c r="C775" s="8"/>
      <c r="D775" s="8"/>
      <c r="E775" s="9"/>
      <c r="F775" s="10"/>
      <c r="G775" s="9"/>
      <c r="H775" s="11"/>
      <c r="I775" s="9" t="s">
        <v>13</v>
      </c>
      <c r="J775" s="347"/>
      <c r="K775" s="347"/>
      <c r="L775" s="347"/>
    </row>
    <row r="776">
      <c r="A776" s="102"/>
      <c r="B776" s="11"/>
      <c r="C776" s="8"/>
      <c r="D776" s="8"/>
      <c r="E776" s="9"/>
      <c r="F776" s="10"/>
      <c r="G776" s="9"/>
      <c r="H776" s="11"/>
      <c r="I776" s="9" t="s">
        <v>13</v>
      </c>
      <c r="J776" s="347"/>
      <c r="K776" s="347"/>
      <c r="L776" s="347"/>
    </row>
    <row r="777">
      <c r="A777" s="102"/>
      <c r="B777" s="11"/>
      <c r="C777" s="8"/>
      <c r="D777" s="8"/>
      <c r="E777" s="9"/>
      <c r="F777" s="10"/>
      <c r="G777" s="9"/>
      <c r="H777" s="11"/>
      <c r="I777" s="9" t="s">
        <v>13</v>
      </c>
      <c r="J777" s="347"/>
      <c r="K777" s="347"/>
      <c r="L777" s="347"/>
    </row>
    <row r="778">
      <c r="A778" s="102"/>
      <c r="B778" s="11"/>
      <c r="C778" s="8"/>
      <c r="D778" s="8"/>
      <c r="E778" s="9"/>
      <c r="F778" s="10"/>
      <c r="G778" s="9"/>
      <c r="H778" s="11"/>
      <c r="I778" s="9" t="s">
        <v>13</v>
      </c>
      <c r="J778" s="347"/>
      <c r="K778" s="347"/>
      <c r="L778" s="347"/>
    </row>
    <row r="779">
      <c r="A779" s="102"/>
      <c r="B779" s="11"/>
      <c r="C779" s="8"/>
      <c r="D779" s="8"/>
      <c r="E779" s="9"/>
      <c r="F779" s="10"/>
      <c r="G779" s="9"/>
      <c r="H779" s="11"/>
      <c r="I779" s="9" t="s">
        <v>13</v>
      </c>
      <c r="J779" s="347"/>
      <c r="K779" s="347"/>
      <c r="L779" s="347"/>
    </row>
    <row r="780">
      <c r="A780" s="102"/>
      <c r="B780" s="11"/>
      <c r="C780" s="8"/>
      <c r="D780" s="8"/>
      <c r="E780" s="9"/>
      <c r="F780" s="10"/>
      <c r="G780" s="9"/>
      <c r="H780" s="11"/>
      <c r="I780" s="9" t="s">
        <v>13</v>
      </c>
      <c r="J780" s="347"/>
      <c r="K780" s="347"/>
      <c r="L780" s="347"/>
    </row>
    <row r="781">
      <c r="A781" s="102"/>
      <c r="B781" s="11"/>
      <c r="C781" s="8"/>
      <c r="D781" s="8"/>
      <c r="E781" s="9"/>
      <c r="F781" s="10"/>
      <c r="G781" s="9"/>
      <c r="H781" s="11"/>
      <c r="I781" s="9" t="s">
        <v>13</v>
      </c>
      <c r="J781" s="347"/>
      <c r="K781" s="347"/>
      <c r="L781" s="347"/>
    </row>
    <row r="782">
      <c r="A782" s="102"/>
      <c r="B782" s="11"/>
      <c r="C782" s="8"/>
      <c r="D782" s="8"/>
      <c r="E782" s="9"/>
      <c r="F782" s="10"/>
      <c r="G782" s="9"/>
      <c r="H782" s="11"/>
      <c r="I782" s="9" t="s">
        <v>13</v>
      </c>
      <c r="J782" s="347"/>
      <c r="K782" s="347"/>
      <c r="L782" s="347"/>
    </row>
    <row r="783">
      <c r="A783" s="102"/>
      <c r="B783" s="11"/>
      <c r="C783" s="8"/>
      <c r="D783" s="8"/>
      <c r="E783" s="9"/>
      <c r="F783" s="10"/>
      <c r="G783" s="9"/>
      <c r="H783" s="11"/>
      <c r="I783" s="9" t="s">
        <v>13</v>
      </c>
      <c r="J783" s="347"/>
      <c r="K783" s="347"/>
      <c r="L783" s="347"/>
    </row>
    <row r="784">
      <c r="A784" s="102"/>
      <c r="B784" s="11"/>
      <c r="C784" s="8"/>
      <c r="D784" s="8"/>
      <c r="E784" s="9"/>
      <c r="F784" s="10"/>
      <c r="G784" s="9"/>
      <c r="H784" s="11"/>
      <c r="I784" s="9" t="s">
        <v>13</v>
      </c>
      <c r="J784" s="347"/>
      <c r="K784" s="347"/>
      <c r="L784" s="347"/>
    </row>
    <row r="785">
      <c r="A785" s="102"/>
      <c r="B785" s="11"/>
      <c r="C785" s="8"/>
      <c r="D785" s="8"/>
      <c r="E785" s="9"/>
      <c r="F785" s="10"/>
      <c r="G785" s="9"/>
      <c r="H785" s="11"/>
      <c r="I785" s="9" t="s">
        <v>13</v>
      </c>
      <c r="J785" s="347"/>
      <c r="K785" s="347"/>
      <c r="L785" s="347"/>
    </row>
    <row r="786">
      <c r="A786" s="102"/>
      <c r="B786" s="11"/>
      <c r="C786" s="8"/>
      <c r="D786" s="8"/>
      <c r="E786" s="9"/>
      <c r="F786" s="10"/>
      <c r="G786" s="9"/>
      <c r="H786" s="11"/>
      <c r="I786" s="9" t="s">
        <v>13</v>
      </c>
      <c r="J786" s="347"/>
      <c r="K786" s="347"/>
      <c r="L786" s="347"/>
    </row>
    <row r="787">
      <c r="A787" s="102"/>
      <c r="B787" s="11"/>
      <c r="C787" s="8"/>
      <c r="D787" s="8"/>
      <c r="E787" s="9"/>
      <c r="F787" s="10"/>
      <c r="G787" s="9"/>
      <c r="H787" s="11"/>
      <c r="I787" s="9" t="s">
        <v>13</v>
      </c>
      <c r="J787" s="347"/>
      <c r="K787" s="347"/>
      <c r="L787" s="347"/>
    </row>
    <row r="788">
      <c r="A788" s="102"/>
      <c r="B788" s="11"/>
      <c r="C788" s="8"/>
      <c r="D788" s="8"/>
      <c r="E788" s="9"/>
      <c r="F788" s="10"/>
      <c r="G788" s="9"/>
      <c r="H788" s="11"/>
      <c r="I788" s="9" t="s">
        <v>13</v>
      </c>
      <c r="J788" s="347"/>
      <c r="K788" s="347"/>
      <c r="L788" s="347"/>
    </row>
    <row r="789">
      <c r="A789" s="102"/>
      <c r="B789" s="11"/>
      <c r="C789" s="8"/>
      <c r="D789" s="8"/>
      <c r="E789" s="9"/>
      <c r="F789" s="10"/>
      <c r="G789" s="9"/>
      <c r="H789" s="11"/>
      <c r="I789" s="9" t="s">
        <v>13</v>
      </c>
      <c r="J789" s="347"/>
      <c r="K789" s="347"/>
      <c r="L789" s="347"/>
    </row>
    <row r="790">
      <c r="A790" s="102"/>
      <c r="B790" s="11"/>
      <c r="C790" s="8"/>
      <c r="D790" s="8"/>
      <c r="E790" s="9"/>
      <c r="F790" s="10"/>
      <c r="G790" s="9"/>
      <c r="H790" s="11"/>
      <c r="I790" s="9" t="s">
        <v>13</v>
      </c>
      <c r="J790" s="347"/>
      <c r="K790" s="347"/>
      <c r="L790" s="347"/>
    </row>
    <row r="791">
      <c r="A791" s="102"/>
      <c r="B791" s="11"/>
      <c r="C791" s="8"/>
      <c r="D791" s="8"/>
      <c r="E791" s="9"/>
      <c r="F791" s="10"/>
      <c r="G791" s="9"/>
      <c r="H791" s="11"/>
      <c r="I791" s="9" t="s">
        <v>13</v>
      </c>
      <c r="J791" s="347"/>
      <c r="K791" s="347"/>
      <c r="L791" s="347"/>
    </row>
    <row r="792">
      <c r="A792" s="102"/>
      <c r="B792" s="11"/>
      <c r="C792" s="8"/>
      <c r="D792" s="8"/>
      <c r="E792" s="9"/>
      <c r="F792" s="10"/>
      <c r="G792" s="9"/>
      <c r="H792" s="11"/>
      <c r="I792" s="9" t="s">
        <v>13</v>
      </c>
      <c r="J792" s="347"/>
      <c r="K792" s="347"/>
      <c r="L792" s="347"/>
    </row>
    <row r="793">
      <c r="A793" s="102"/>
      <c r="B793" s="11"/>
      <c r="C793" s="8"/>
      <c r="D793" s="8"/>
      <c r="E793" s="9"/>
      <c r="F793" s="10"/>
      <c r="G793" s="9"/>
      <c r="H793" s="11"/>
      <c r="I793" s="9" t="s">
        <v>13</v>
      </c>
      <c r="J793" s="347"/>
      <c r="K793" s="347"/>
      <c r="L793" s="347"/>
    </row>
    <row r="794">
      <c r="A794" s="102"/>
      <c r="B794" s="11"/>
      <c r="C794" s="8"/>
      <c r="D794" s="8"/>
      <c r="E794" s="9"/>
      <c r="F794" s="10"/>
      <c r="G794" s="9"/>
      <c r="H794" s="11"/>
      <c r="I794" s="9" t="s">
        <v>13</v>
      </c>
      <c r="J794" s="347"/>
      <c r="K794" s="347"/>
      <c r="L794" s="347"/>
    </row>
    <row r="795">
      <c r="A795" s="102"/>
      <c r="B795" s="11"/>
      <c r="C795" s="8"/>
      <c r="D795" s="8"/>
      <c r="E795" s="9"/>
      <c r="F795" s="10"/>
      <c r="G795" s="9"/>
      <c r="H795" s="11"/>
      <c r="I795" s="9" t="s">
        <v>13</v>
      </c>
      <c r="J795" s="347"/>
      <c r="K795" s="347"/>
      <c r="L795" s="347"/>
    </row>
    <row r="796">
      <c r="A796" s="102"/>
      <c r="B796" s="11"/>
      <c r="C796" s="8"/>
      <c r="D796" s="8"/>
      <c r="E796" s="9"/>
      <c r="F796" s="10"/>
      <c r="G796" s="9"/>
      <c r="H796" s="11"/>
      <c r="I796" s="9" t="s">
        <v>13</v>
      </c>
      <c r="J796" s="347"/>
      <c r="K796" s="347"/>
      <c r="L796" s="347"/>
    </row>
    <row r="797">
      <c r="A797" s="102"/>
      <c r="B797" s="11"/>
      <c r="C797" s="8"/>
      <c r="D797" s="8"/>
      <c r="E797" s="9"/>
      <c r="F797" s="10"/>
      <c r="G797" s="9"/>
      <c r="H797" s="11"/>
      <c r="I797" s="9" t="s">
        <v>13</v>
      </c>
      <c r="J797" s="347"/>
      <c r="K797" s="347"/>
      <c r="L797" s="347"/>
    </row>
    <row r="798">
      <c r="A798" s="102"/>
      <c r="B798" s="11"/>
      <c r="C798" s="8"/>
      <c r="D798" s="8"/>
      <c r="E798" s="9"/>
      <c r="F798" s="10"/>
      <c r="G798" s="9"/>
      <c r="H798" s="11"/>
      <c r="I798" s="9" t="s">
        <v>13</v>
      </c>
      <c r="J798" s="347"/>
      <c r="K798" s="347"/>
      <c r="L798" s="347"/>
    </row>
    <row r="799">
      <c r="A799" s="102"/>
      <c r="B799" s="11"/>
      <c r="C799" s="8"/>
      <c r="D799" s="8"/>
      <c r="E799" s="9"/>
      <c r="F799" s="10"/>
      <c r="G799" s="9"/>
      <c r="H799" s="11"/>
      <c r="I799" s="9" t="s">
        <v>13</v>
      </c>
      <c r="J799" s="347"/>
      <c r="K799" s="347"/>
      <c r="L799" s="347"/>
    </row>
    <row r="800">
      <c r="A800" s="102"/>
      <c r="B800" s="11"/>
      <c r="C800" s="8"/>
      <c r="D800" s="8"/>
      <c r="E800" s="9"/>
      <c r="F800" s="10"/>
      <c r="G800" s="9"/>
      <c r="H800" s="11"/>
      <c r="I800" s="9" t="s">
        <v>13</v>
      </c>
      <c r="J800" s="347"/>
      <c r="K800" s="347"/>
      <c r="L800" s="347"/>
    </row>
    <row r="801">
      <c r="A801" s="102"/>
      <c r="B801" s="11"/>
      <c r="C801" s="8"/>
      <c r="D801" s="8"/>
      <c r="E801" s="9"/>
      <c r="F801" s="10"/>
      <c r="G801" s="9"/>
      <c r="H801" s="11"/>
      <c r="I801" s="9" t="s">
        <v>13</v>
      </c>
      <c r="J801" s="347"/>
      <c r="K801" s="347"/>
      <c r="L801" s="347"/>
    </row>
    <row r="802">
      <c r="A802" s="102"/>
      <c r="B802" s="11"/>
      <c r="C802" s="8"/>
      <c r="D802" s="8"/>
      <c r="E802" s="9"/>
      <c r="F802" s="10"/>
      <c r="G802" s="9"/>
      <c r="H802" s="11"/>
      <c r="I802" s="9" t="s">
        <v>13</v>
      </c>
      <c r="J802" s="347"/>
      <c r="K802" s="347"/>
      <c r="L802" s="347"/>
    </row>
    <row r="803">
      <c r="A803" s="102"/>
      <c r="B803" s="11"/>
      <c r="C803" s="8"/>
      <c r="D803" s="8"/>
      <c r="E803" s="9"/>
      <c r="F803" s="10"/>
      <c r="G803" s="9"/>
      <c r="H803" s="11"/>
      <c r="I803" s="9" t="s">
        <v>13</v>
      </c>
      <c r="J803" s="347"/>
      <c r="K803" s="347"/>
      <c r="L803" s="347"/>
    </row>
    <row r="804">
      <c r="A804" s="102"/>
      <c r="B804" s="11"/>
      <c r="C804" s="8"/>
      <c r="D804" s="8"/>
      <c r="E804" s="9"/>
      <c r="F804" s="10"/>
      <c r="G804" s="9"/>
      <c r="H804" s="11"/>
      <c r="I804" s="9" t="s">
        <v>13</v>
      </c>
      <c r="J804" s="347"/>
      <c r="K804" s="347"/>
      <c r="L804" s="347"/>
    </row>
    <row r="805">
      <c r="A805" s="102"/>
      <c r="B805" s="11"/>
      <c r="C805" s="8"/>
      <c r="D805" s="8"/>
      <c r="E805" s="9"/>
      <c r="F805" s="10"/>
      <c r="G805" s="9"/>
      <c r="H805" s="11"/>
      <c r="I805" s="9" t="s">
        <v>13</v>
      </c>
      <c r="J805" s="347"/>
      <c r="K805" s="347"/>
      <c r="L805" s="347"/>
    </row>
    <row r="806">
      <c r="A806" s="102"/>
      <c r="B806" s="11"/>
      <c r="C806" s="8"/>
      <c r="D806" s="8"/>
      <c r="E806" s="9"/>
      <c r="F806" s="10"/>
      <c r="G806" s="9"/>
      <c r="H806" s="11"/>
      <c r="I806" s="9" t="s">
        <v>13</v>
      </c>
      <c r="J806" s="347"/>
      <c r="K806" s="347"/>
      <c r="L806" s="347"/>
    </row>
    <row r="807">
      <c r="A807" s="102"/>
      <c r="B807" s="11"/>
      <c r="C807" s="8"/>
      <c r="D807" s="8"/>
      <c r="E807" s="9"/>
      <c r="F807" s="10"/>
      <c r="G807" s="9"/>
      <c r="H807" s="11"/>
      <c r="I807" s="9" t="s">
        <v>13</v>
      </c>
      <c r="J807" s="347"/>
      <c r="K807" s="347"/>
      <c r="L807" s="347"/>
    </row>
    <row r="808">
      <c r="A808" s="102"/>
      <c r="B808" s="11"/>
      <c r="C808" s="8"/>
      <c r="D808" s="8"/>
      <c r="E808" s="9"/>
      <c r="F808" s="10"/>
      <c r="G808" s="9"/>
      <c r="H808" s="11"/>
      <c r="I808" s="9" t="s">
        <v>13</v>
      </c>
      <c r="J808" s="347"/>
      <c r="K808" s="347"/>
      <c r="L808" s="347"/>
    </row>
    <row r="809">
      <c r="A809" s="102"/>
      <c r="B809" s="11"/>
      <c r="C809" s="8"/>
      <c r="D809" s="8"/>
      <c r="E809" s="9"/>
      <c r="F809" s="10"/>
      <c r="G809" s="9"/>
      <c r="H809" s="11"/>
      <c r="I809" s="9" t="s">
        <v>13</v>
      </c>
      <c r="J809" s="347"/>
      <c r="K809" s="347"/>
      <c r="L809" s="347"/>
    </row>
    <row r="810">
      <c r="A810" s="102"/>
      <c r="B810" s="11"/>
      <c r="C810" s="8"/>
      <c r="D810" s="8"/>
      <c r="E810" s="9"/>
      <c r="F810" s="10"/>
      <c r="G810" s="9"/>
      <c r="H810" s="11"/>
      <c r="I810" s="9" t="s">
        <v>13</v>
      </c>
      <c r="J810" s="347"/>
      <c r="K810" s="347"/>
      <c r="L810" s="347"/>
    </row>
    <row r="811">
      <c r="A811" s="102"/>
      <c r="B811" s="11"/>
      <c r="C811" s="8"/>
      <c r="D811" s="8"/>
      <c r="E811" s="9"/>
      <c r="F811" s="10"/>
      <c r="G811" s="9"/>
      <c r="H811" s="11"/>
      <c r="I811" s="9" t="s">
        <v>13</v>
      </c>
      <c r="J811" s="347"/>
      <c r="K811" s="347"/>
      <c r="L811" s="347"/>
    </row>
    <row r="812">
      <c r="A812" s="102"/>
      <c r="B812" s="11"/>
      <c r="C812" s="8"/>
      <c r="D812" s="8"/>
      <c r="E812" s="9"/>
      <c r="F812" s="10"/>
      <c r="G812" s="9"/>
      <c r="H812" s="11"/>
      <c r="I812" s="9" t="s">
        <v>13</v>
      </c>
      <c r="J812" s="347"/>
      <c r="K812" s="347"/>
      <c r="L812" s="347"/>
    </row>
    <row r="813">
      <c r="A813" s="102"/>
      <c r="B813" s="11"/>
      <c r="C813" s="8"/>
      <c r="D813" s="8"/>
      <c r="E813" s="9"/>
      <c r="F813" s="10"/>
      <c r="G813" s="9"/>
      <c r="H813" s="11"/>
      <c r="I813" s="9" t="s">
        <v>13</v>
      </c>
      <c r="J813" s="347"/>
      <c r="K813" s="347"/>
      <c r="L813" s="347"/>
    </row>
    <row r="814">
      <c r="A814" s="102"/>
      <c r="B814" s="11"/>
      <c r="C814" s="8"/>
      <c r="D814" s="8"/>
      <c r="E814" s="9"/>
      <c r="F814" s="10"/>
      <c r="G814" s="9"/>
      <c r="H814" s="11"/>
      <c r="I814" s="9" t="s">
        <v>13</v>
      </c>
      <c r="J814" s="347"/>
      <c r="K814" s="347"/>
      <c r="L814" s="347"/>
    </row>
    <row r="815">
      <c r="A815" s="102"/>
      <c r="B815" s="11"/>
      <c r="C815" s="8"/>
      <c r="D815" s="8"/>
      <c r="E815" s="9"/>
      <c r="F815" s="10"/>
      <c r="G815" s="9"/>
      <c r="H815" s="11"/>
      <c r="I815" s="9" t="s">
        <v>13</v>
      </c>
      <c r="J815" s="347"/>
      <c r="K815" s="347"/>
      <c r="L815" s="347"/>
    </row>
    <row r="816">
      <c r="A816" s="102"/>
      <c r="B816" s="11"/>
      <c r="C816" s="8"/>
      <c r="D816" s="8"/>
      <c r="E816" s="9"/>
      <c r="F816" s="10"/>
      <c r="G816" s="9"/>
      <c r="H816" s="11"/>
      <c r="I816" s="9" t="s">
        <v>13</v>
      </c>
      <c r="J816" s="347"/>
      <c r="K816" s="347"/>
      <c r="L816" s="347"/>
    </row>
    <row r="817">
      <c r="A817" s="102"/>
      <c r="B817" s="11"/>
      <c r="C817" s="8"/>
      <c r="D817" s="8"/>
      <c r="E817" s="9"/>
      <c r="F817" s="10"/>
      <c r="G817" s="9"/>
      <c r="H817" s="11"/>
      <c r="I817" s="9" t="s">
        <v>13</v>
      </c>
      <c r="J817" s="347"/>
      <c r="K817" s="347"/>
      <c r="L817" s="347"/>
    </row>
    <row r="818">
      <c r="A818" s="102"/>
      <c r="B818" s="11"/>
      <c r="C818" s="8"/>
      <c r="D818" s="8"/>
      <c r="E818" s="9"/>
      <c r="F818" s="10"/>
      <c r="G818" s="9"/>
      <c r="H818" s="11"/>
      <c r="I818" s="9" t="s">
        <v>13</v>
      </c>
      <c r="J818" s="347"/>
      <c r="K818" s="347"/>
      <c r="L818" s="347"/>
    </row>
    <row r="819">
      <c r="A819" s="102"/>
      <c r="B819" s="11"/>
      <c r="C819" s="8"/>
      <c r="D819" s="8"/>
      <c r="E819" s="9"/>
      <c r="F819" s="10"/>
      <c r="G819" s="9"/>
      <c r="H819" s="11"/>
      <c r="I819" s="9" t="s">
        <v>13</v>
      </c>
      <c r="J819" s="347"/>
      <c r="K819" s="347"/>
      <c r="L819" s="347"/>
    </row>
    <row r="820">
      <c r="A820" s="102"/>
      <c r="B820" s="11"/>
      <c r="C820" s="8"/>
      <c r="D820" s="8"/>
      <c r="E820" s="9"/>
      <c r="F820" s="10"/>
      <c r="G820" s="9"/>
      <c r="H820" s="11"/>
      <c r="I820" s="9" t="s">
        <v>13</v>
      </c>
      <c r="J820" s="347"/>
      <c r="K820" s="347"/>
      <c r="L820" s="347"/>
    </row>
    <row r="821">
      <c r="A821" s="102"/>
      <c r="B821" s="11"/>
      <c r="C821" s="8"/>
      <c r="D821" s="8"/>
      <c r="E821" s="9"/>
      <c r="F821" s="10"/>
      <c r="G821" s="9"/>
      <c r="H821" s="11"/>
      <c r="I821" s="9" t="s">
        <v>13</v>
      </c>
      <c r="J821" s="347"/>
      <c r="K821" s="347"/>
      <c r="L821" s="347"/>
    </row>
    <row r="822">
      <c r="A822" s="102"/>
      <c r="B822" s="11"/>
      <c r="C822" s="8"/>
      <c r="D822" s="8"/>
      <c r="E822" s="9"/>
      <c r="F822" s="10"/>
      <c r="G822" s="9"/>
      <c r="H822" s="11"/>
      <c r="I822" s="9" t="s">
        <v>13</v>
      </c>
      <c r="J822" s="347"/>
      <c r="K822" s="347"/>
      <c r="L822" s="347"/>
    </row>
    <row r="823">
      <c r="A823" s="102"/>
      <c r="B823" s="11"/>
      <c r="C823" s="8"/>
      <c r="D823" s="8"/>
      <c r="E823" s="9"/>
      <c r="F823" s="10"/>
      <c r="G823" s="9"/>
      <c r="H823" s="11"/>
      <c r="I823" s="9" t="s">
        <v>13</v>
      </c>
      <c r="J823" s="347"/>
      <c r="K823" s="347"/>
      <c r="L823" s="347"/>
    </row>
    <row r="824">
      <c r="A824" s="102"/>
      <c r="B824" s="11"/>
      <c r="C824" s="8"/>
      <c r="D824" s="8"/>
      <c r="E824" s="9"/>
      <c r="F824" s="10"/>
      <c r="G824" s="9"/>
      <c r="H824" s="11"/>
      <c r="I824" s="9" t="s">
        <v>13</v>
      </c>
      <c r="J824" s="347"/>
      <c r="K824" s="347"/>
      <c r="L824" s="347"/>
    </row>
    <row r="825">
      <c r="A825" s="102"/>
      <c r="B825" s="11"/>
      <c r="C825" s="8"/>
      <c r="D825" s="8"/>
      <c r="E825" s="9"/>
      <c r="F825" s="10"/>
      <c r="G825" s="9"/>
      <c r="H825" s="11"/>
      <c r="I825" s="9" t="s">
        <v>13</v>
      </c>
      <c r="J825" s="347"/>
      <c r="K825" s="347"/>
      <c r="L825" s="347"/>
    </row>
    <row r="826">
      <c r="A826" s="102"/>
      <c r="B826" s="11"/>
      <c r="C826" s="8"/>
      <c r="D826" s="8"/>
      <c r="E826" s="9"/>
      <c r="F826" s="10"/>
      <c r="G826" s="9"/>
      <c r="H826" s="11"/>
      <c r="I826" s="9" t="s">
        <v>13</v>
      </c>
      <c r="J826" s="347"/>
      <c r="K826" s="347"/>
      <c r="L826" s="347"/>
    </row>
    <row r="827">
      <c r="A827" s="102"/>
      <c r="B827" s="11"/>
      <c r="C827" s="8"/>
      <c r="D827" s="8"/>
      <c r="E827" s="9"/>
      <c r="F827" s="10"/>
      <c r="G827" s="9"/>
      <c r="H827" s="11"/>
      <c r="I827" s="9" t="s">
        <v>13</v>
      </c>
      <c r="J827" s="347"/>
      <c r="K827" s="347"/>
      <c r="L827" s="347"/>
    </row>
    <row r="828">
      <c r="A828" s="102"/>
      <c r="B828" s="11"/>
      <c r="C828" s="8"/>
      <c r="D828" s="8"/>
      <c r="E828" s="9"/>
      <c r="F828" s="10"/>
      <c r="G828" s="9"/>
      <c r="H828" s="11"/>
      <c r="I828" s="9" t="s">
        <v>13</v>
      </c>
      <c r="J828" s="347"/>
      <c r="K828" s="347"/>
      <c r="L828" s="347"/>
    </row>
    <row r="829">
      <c r="A829" s="102"/>
      <c r="B829" s="11"/>
      <c r="C829" s="8"/>
      <c r="D829" s="8"/>
      <c r="E829" s="9"/>
      <c r="F829" s="10"/>
      <c r="G829" s="9"/>
      <c r="H829" s="11"/>
      <c r="I829" s="9" t="s">
        <v>13</v>
      </c>
      <c r="J829" s="347"/>
      <c r="K829" s="347"/>
      <c r="L829" s="347"/>
    </row>
    <row r="830">
      <c r="A830" s="102"/>
      <c r="B830" s="11"/>
      <c r="C830" s="8"/>
      <c r="D830" s="8"/>
      <c r="E830" s="9"/>
      <c r="F830" s="10"/>
      <c r="G830" s="9"/>
      <c r="H830" s="11"/>
      <c r="I830" s="9" t="s">
        <v>13</v>
      </c>
      <c r="J830" s="347"/>
      <c r="K830" s="347"/>
      <c r="L830" s="347"/>
    </row>
    <row r="831">
      <c r="A831" s="102"/>
      <c r="B831" s="11"/>
      <c r="C831" s="8"/>
      <c r="D831" s="8"/>
      <c r="E831" s="9"/>
      <c r="F831" s="10"/>
      <c r="G831" s="9"/>
      <c r="H831" s="11"/>
      <c r="I831" s="9" t="s">
        <v>13</v>
      </c>
      <c r="J831" s="347"/>
      <c r="K831" s="347"/>
      <c r="L831" s="347"/>
    </row>
    <row r="832">
      <c r="A832" s="102"/>
      <c r="B832" s="11"/>
      <c r="C832" s="8"/>
      <c r="D832" s="8"/>
      <c r="E832" s="9"/>
      <c r="F832" s="10"/>
      <c r="G832" s="9"/>
      <c r="H832" s="11"/>
      <c r="I832" s="9" t="s">
        <v>13</v>
      </c>
      <c r="J832" s="347"/>
      <c r="K832" s="347"/>
      <c r="L832" s="347"/>
    </row>
    <row r="833">
      <c r="A833" s="102"/>
      <c r="B833" s="11"/>
      <c r="C833" s="8"/>
      <c r="D833" s="8"/>
      <c r="E833" s="9"/>
      <c r="F833" s="10"/>
      <c r="G833" s="9"/>
      <c r="H833" s="11"/>
      <c r="I833" s="9" t="s">
        <v>13</v>
      </c>
      <c r="J833" s="347"/>
      <c r="K833" s="347"/>
      <c r="L833" s="347"/>
    </row>
    <row r="834">
      <c r="A834" s="102"/>
      <c r="B834" s="11"/>
      <c r="C834" s="8"/>
      <c r="D834" s="8"/>
      <c r="E834" s="9"/>
      <c r="F834" s="10"/>
      <c r="G834" s="9"/>
      <c r="H834" s="11"/>
      <c r="I834" s="9" t="s">
        <v>13</v>
      </c>
      <c r="J834" s="347"/>
      <c r="K834" s="347"/>
      <c r="L834" s="347"/>
    </row>
    <row r="835">
      <c r="A835" s="102"/>
      <c r="B835" s="11"/>
      <c r="C835" s="8"/>
      <c r="D835" s="8"/>
      <c r="E835" s="9"/>
      <c r="F835" s="10"/>
      <c r="G835" s="9"/>
      <c r="H835" s="11"/>
      <c r="I835" s="9" t="s">
        <v>13</v>
      </c>
      <c r="J835" s="347"/>
      <c r="K835" s="347"/>
      <c r="L835" s="347"/>
    </row>
    <row r="836">
      <c r="A836" s="102"/>
      <c r="B836" s="11"/>
      <c r="C836" s="8"/>
      <c r="D836" s="8"/>
      <c r="E836" s="9"/>
      <c r="F836" s="10"/>
      <c r="G836" s="9"/>
      <c r="H836" s="11"/>
      <c r="I836" s="9" t="s">
        <v>13</v>
      </c>
      <c r="J836" s="347"/>
      <c r="K836" s="347"/>
      <c r="L836" s="347"/>
    </row>
    <row r="837">
      <c r="A837" s="102"/>
      <c r="B837" s="11"/>
      <c r="C837" s="8"/>
      <c r="D837" s="8"/>
      <c r="E837" s="9"/>
      <c r="F837" s="10"/>
      <c r="G837" s="9"/>
      <c r="H837" s="11"/>
      <c r="I837" s="9" t="s">
        <v>13</v>
      </c>
      <c r="J837" s="347"/>
      <c r="K837" s="347"/>
      <c r="L837" s="347"/>
    </row>
    <row r="838">
      <c r="A838" s="102"/>
      <c r="B838" s="11"/>
      <c r="C838" s="8"/>
      <c r="D838" s="8"/>
      <c r="E838" s="9"/>
      <c r="F838" s="10"/>
      <c r="G838" s="9"/>
      <c r="H838" s="11"/>
      <c r="I838" s="9" t="s">
        <v>13</v>
      </c>
      <c r="J838" s="347"/>
      <c r="K838" s="347"/>
      <c r="L838" s="347"/>
    </row>
    <row r="839">
      <c r="A839" s="102"/>
      <c r="B839" s="11"/>
      <c r="C839" s="8"/>
      <c r="D839" s="8"/>
      <c r="E839" s="9"/>
      <c r="F839" s="10"/>
      <c r="G839" s="9"/>
      <c r="H839" s="11"/>
      <c r="I839" s="9" t="s">
        <v>13</v>
      </c>
      <c r="J839" s="347"/>
      <c r="K839" s="347"/>
      <c r="L839" s="347"/>
    </row>
    <row r="840">
      <c r="A840" s="102"/>
      <c r="B840" s="11"/>
      <c r="C840" s="8"/>
      <c r="D840" s="8"/>
      <c r="E840" s="9"/>
      <c r="F840" s="10"/>
      <c r="G840" s="9"/>
      <c r="H840" s="11"/>
      <c r="I840" s="9" t="s">
        <v>13</v>
      </c>
      <c r="J840" s="347"/>
      <c r="K840" s="347"/>
      <c r="L840" s="347"/>
    </row>
    <row r="841">
      <c r="A841" s="102"/>
      <c r="B841" s="11"/>
      <c r="C841" s="8"/>
      <c r="D841" s="8"/>
      <c r="E841" s="9"/>
      <c r="F841" s="10"/>
      <c r="G841" s="9"/>
      <c r="H841" s="11"/>
      <c r="I841" s="9" t="s">
        <v>13</v>
      </c>
      <c r="J841" s="347"/>
      <c r="K841" s="347"/>
      <c r="L841" s="347"/>
    </row>
    <row r="842">
      <c r="A842" s="102"/>
      <c r="B842" s="11"/>
      <c r="C842" s="8"/>
      <c r="D842" s="8"/>
      <c r="E842" s="9"/>
      <c r="F842" s="10"/>
      <c r="G842" s="9"/>
      <c r="H842" s="11"/>
      <c r="I842" s="9" t="s">
        <v>13</v>
      </c>
      <c r="J842" s="347"/>
      <c r="K842" s="347"/>
      <c r="L842" s="347"/>
    </row>
    <row r="843">
      <c r="A843" s="102"/>
      <c r="B843" s="11"/>
      <c r="C843" s="8"/>
      <c r="D843" s="8"/>
      <c r="E843" s="9"/>
      <c r="F843" s="10"/>
      <c r="G843" s="9"/>
      <c r="H843" s="11"/>
      <c r="I843" s="9" t="s">
        <v>13</v>
      </c>
      <c r="J843" s="347"/>
      <c r="K843" s="347"/>
      <c r="L843" s="347"/>
    </row>
    <row r="844">
      <c r="A844" s="102"/>
      <c r="B844" s="11"/>
      <c r="C844" s="8"/>
      <c r="D844" s="8"/>
      <c r="E844" s="9"/>
      <c r="F844" s="10"/>
      <c r="G844" s="9"/>
      <c r="H844" s="11"/>
      <c r="I844" s="9" t="s">
        <v>13</v>
      </c>
      <c r="J844" s="347"/>
      <c r="K844" s="347"/>
      <c r="L844" s="347"/>
    </row>
    <row r="845">
      <c r="A845" s="102"/>
      <c r="B845" s="11"/>
      <c r="C845" s="8"/>
      <c r="D845" s="8"/>
      <c r="E845" s="9"/>
      <c r="F845" s="10"/>
      <c r="G845" s="9"/>
      <c r="H845" s="11"/>
      <c r="I845" s="9" t="s">
        <v>13</v>
      </c>
      <c r="J845" s="347"/>
      <c r="K845" s="347"/>
      <c r="L845" s="347"/>
    </row>
    <row r="846">
      <c r="A846" s="102"/>
      <c r="B846" s="11"/>
      <c r="C846" s="8"/>
      <c r="D846" s="8"/>
      <c r="E846" s="9"/>
      <c r="F846" s="10"/>
      <c r="G846" s="9"/>
      <c r="H846" s="11"/>
      <c r="I846" s="9" t="s">
        <v>13</v>
      </c>
      <c r="J846" s="347"/>
      <c r="K846" s="347"/>
      <c r="L846" s="347"/>
    </row>
    <row r="847">
      <c r="A847" s="102"/>
      <c r="B847" s="11"/>
      <c r="C847" s="8"/>
      <c r="D847" s="8"/>
      <c r="E847" s="9"/>
      <c r="F847" s="10"/>
      <c r="G847" s="9"/>
      <c r="H847" s="11"/>
      <c r="I847" s="9" t="s">
        <v>13</v>
      </c>
      <c r="J847" s="347"/>
      <c r="K847" s="347"/>
      <c r="L847" s="347"/>
    </row>
    <row r="848">
      <c r="A848" s="102"/>
      <c r="B848" s="11"/>
      <c r="C848" s="8"/>
      <c r="D848" s="8"/>
      <c r="E848" s="9"/>
      <c r="F848" s="10"/>
      <c r="G848" s="9"/>
      <c r="H848" s="11"/>
      <c r="I848" s="9" t="s">
        <v>13</v>
      </c>
      <c r="J848" s="347"/>
      <c r="K848" s="347"/>
      <c r="L848" s="347"/>
    </row>
    <row r="849">
      <c r="A849" s="102"/>
      <c r="B849" s="11"/>
      <c r="C849" s="8"/>
      <c r="D849" s="8"/>
      <c r="E849" s="9"/>
      <c r="F849" s="10"/>
      <c r="G849" s="9"/>
      <c r="H849" s="11"/>
      <c r="I849" s="9" t="s">
        <v>13</v>
      </c>
      <c r="J849" s="347"/>
      <c r="K849" s="347"/>
      <c r="L849" s="347"/>
    </row>
    <row r="850">
      <c r="A850" s="102"/>
      <c r="B850" s="11"/>
      <c r="C850" s="8"/>
      <c r="D850" s="8"/>
      <c r="E850" s="9"/>
      <c r="F850" s="10"/>
      <c r="G850" s="9"/>
      <c r="H850" s="11"/>
      <c r="I850" s="9" t="s">
        <v>13</v>
      </c>
      <c r="J850" s="347"/>
      <c r="K850" s="347"/>
      <c r="L850" s="347"/>
    </row>
    <row r="851">
      <c r="A851" s="102"/>
      <c r="B851" s="11"/>
      <c r="C851" s="8"/>
      <c r="D851" s="8"/>
      <c r="E851" s="9"/>
      <c r="F851" s="10"/>
      <c r="G851" s="9"/>
      <c r="H851" s="11"/>
      <c r="I851" s="9" t="s">
        <v>13</v>
      </c>
      <c r="J851" s="347"/>
      <c r="K851" s="347"/>
      <c r="L851" s="347"/>
    </row>
    <row r="852">
      <c r="A852" s="102"/>
      <c r="B852" s="11"/>
      <c r="C852" s="8"/>
      <c r="D852" s="8"/>
      <c r="E852" s="9"/>
      <c r="F852" s="10"/>
      <c r="G852" s="9"/>
      <c r="H852" s="11"/>
      <c r="I852" s="9" t="s">
        <v>13</v>
      </c>
      <c r="J852" s="347"/>
      <c r="K852" s="347"/>
      <c r="L852" s="347"/>
    </row>
    <row r="853">
      <c r="A853" s="102"/>
      <c r="B853" s="11"/>
      <c r="C853" s="8"/>
      <c r="D853" s="8"/>
      <c r="E853" s="9"/>
      <c r="F853" s="10"/>
      <c r="G853" s="9"/>
      <c r="H853" s="11"/>
      <c r="I853" s="9" t="s">
        <v>13</v>
      </c>
      <c r="J853" s="347"/>
      <c r="K853" s="347"/>
      <c r="L853" s="347"/>
    </row>
    <row r="854">
      <c r="A854" s="102"/>
      <c r="B854" s="11"/>
      <c r="C854" s="8"/>
      <c r="D854" s="8"/>
      <c r="E854" s="9"/>
      <c r="F854" s="10"/>
      <c r="G854" s="9"/>
      <c r="H854" s="11"/>
      <c r="I854" s="9" t="s">
        <v>13</v>
      </c>
      <c r="J854" s="347"/>
      <c r="K854" s="347"/>
      <c r="L854" s="347"/>
    </row>
    <row r="855">
      <c r="A855" s="102"/>
      <c r="B855" s="11"/>
      <c r="C855" s="8"/>
      <c r="D855" s="8"/>
      <c r="E855" s="9"/>
      <c r="F855" s="10"/>
      <c r="G855" s="9"/>
      <c r="H855" s="11"/>
      <c r="I855" s="9" t="s">
        <v>13</v>
      </c>
      <c r="J855" s="347"/>
      <c r="K855" s="347"/>
      <c r="L855" s="347"/>
    </row>
    <row r="856">
      <c r="A856" s="102"/>
      <c r="B856" s="11"/>
      <c r="C856" s="8"/>
      <c r="D856" s="8"/>
      <c r="E856" s="9"/>
      <c r="F856" s="10"/>
      <c r="G856" s="9"/>
      <c r="H856" s="11"/>
      <c r="I856" s="9" t="s">
        <v>13</v>
      </c>
      <c r="J856" s="347"/>
      <c r="K856" s="347"/>
      <c r="L856" s="347"/>
    </row>
    <row r="857">
      <c r="A857" s="102"/>
      <c r="B857" s="11"/>
      <c r="C857" s="8"/>
      <c r="D857" s="8"/>
      <c r="E857" s="9"/>
      <c r="F857" s="10"/>
      <c r="G857" s="9"/>
      <c r="H857" s="11"/>
      <c r="I857" s="9" t="s">
        <v>13</v>
      </c>
      <c r="J857" s="347"/>
      <c r="K857" s="347"/>
      <c r="L857" s="347"/>
    </row>
    <row r="858">
      <c r="A858" s="102"/>
      <c r="B858" s="11"/>
      <c r="C858" s="8"/>
      <c r="D858" s="8"/>
      <c r="E858" s="9"/>
      <c r="F858" s="10"/>
      <c r="G858" s="9"/>
      <c r="H858" s="11"/>
      <c r="I858" s="9" t="s">
        <v>13</v>
      </c>
      <c r="J858" s="347"/>
      <c r="K858" s="347"/>
      <c r="L858" s="347"/>
    </row>
    <row r="859">
      <c r="A859" s="102"/>
      <c r="B859" s="11"/>
      <c r="C859" s="8"/>
      <c r="D859" s="8"/>
      <c r="E859" s="9"/>
      <c r="F859" s="10"/>
      <c r="G859" s="9"/>
      <c r="H859" s="11"/>
      <c r="I859" s="9" t="s">
        <v>13</v>
      </c>
      <c r="J859" s="347"/>
      <c r="K859" s="347"/>
      <c r="L859" s="347"/>
    </row>
    <row r="860">
      <c r="A860" s="102"/>
      <c r="B860" s="11"/>
      <c r="C860" s="8"/>
      <c r="D860" s="8"/>
      <c r="E860" s="9"/>
      <c r="F860" s="10"/>
      <c r="G860" s="9"/>
      <c r="H860" s="11"/>
      <c r="I860" s="9" t="s">
        <v>13</v>
      </c>
      <c r="J860" s="347"/>
      <c r="K860" s="347"/>
      <c r="L860" s="347"/>
    </row>
    <row r="861">
      <c r="A861" s="102"/>
      <c r="B861" s="11"/>
      <c r="C861" s="8"/>
      <c r="D861" s="8"/>
      <c r="E861" s="9"/>
      <c r="F861" s="10"/>
      <c r="G861" s="9"/>
      <c r="H861" s="11"/>
      <c r="I861" s="9" t="s">
        <v>13</v>
      </c>
      <c r="J861" s="347"/>
      <c r="K861" s="347"/>
      <c r="L861" s="347"/>
    </row>
    <row r="862">
      <c r="A862" s="102"/>
      <c r="B862" s="11"/>
      <c r="C862" s="8"/>
      <c r="D862" s="8"/>
      <c r="E862" s="9"/>
      <c r="F862" s="10"/>
      <c r="G862" s="9"/>
      <c r="H862" s="11"/>
      <c r="I862" s="9" t="s">
        <v>13</v>
      </c>
      <c r="J862" s="347"/>
      <c r="K862" s="347"/>
      <c r="L862" s="347"/>
    </row>
    <row r="863">
      <c r="A863" s="102"/>
      <c r="B863" s="11"/>
      <c r="C863" s="8"/>
      <c r="D863" s="8"/>
      <c r="E863" s="9"/>
      <c r="F863" s="10"/>
      <c r="G863" s="9"/>
      <c r="H863" s="11"/>
      <c r="I863" s="9" t="s">
        <v>13</v>
      </c>
      <c r="J863" s="347"/>
      <c r="K863" s="347"/>
      <c r="L863" s="347"/>
    </row>
    <row r="864">
      <c r="A864" s="102"/>
      <c r="B864" s="11"/>
      <c r="C864" s="8"/>
      <c r="D864" s="8"/>
      <c r="E864" s="9"/>
      <c r="F864" s="10"/>
      <c r="G864" s="9"/>
      <c r="H864" s="11"/>
      <c r="I864" s="9" t="s">
        <v>13</v>
      </c>
      <c r="J864" s="347"/>
      <c r="K864" s="347"/>
      <c r="L864" s="347"/>
    </row>
    <row r="865">
      <c r="A865" s="102"/>
      <c r="B865" s="11"/>
      <c r="C865" s="8"/>
      <c r="D865" s="8"/>
      <c r="E865" s="9"/>
      <c r="F865" s="10"/>
      <c r="G865" s="9"/>
      <c r="H865" s="11"/>
      <c r="I865" s="9" t="s">
        <v>13</v>
      </c>
      <c r="J865" s="347"/>
      <c r="K865" s="347"/>
      <c r="L865" s="347"/>
    </row>
    <row r="866">
      <c r="A866" s="102"/>
      <c r="B866" s="11"/>
      <c r="C866" s="8"/>
      <c r="D866" s="8"/>
      <c r="E866" s="9"/>
      <c r="F866" s="10"/>
      <c r="G866" s="9"/>
      <c r="H866" s="11"/>
      <c r="I866" s="9" t="s">
        <v>13</v>
      </c>
      <c r="J866" s="347"/>
      <c r="K866" s="347"/>
      <c r="L866" s="347"/>
    </row>
    <row r="867">
      <c r="A867" s="102"/>
      <c r="B867" s="11"/>
      <c r="C867" s="8"/>
      <c r="D867" s="8"/>
      <c r="E867" s="9"/>
      <c r="F867" s="10"/>
      <c r="G867" s="9"/>
      <c r="H867" s="11"/>
      <c r="I867" s="9" t="s">
        <v>13</v>
      </c>
      <c r="J867" s="347"/>
      <c r="K867" s="347"/>
      <c r="L867" s="347"/>
    </row>
    <row r="868">
      <c r="A868" s="102"/>
      <c r="B868" s="11"/>
      <c r="C868" s="8"/>
      <c r="D868" s="8"/>
      <c r="E868" s="9"/>
      <c r="F868" s="10"/>
      <c r="G868" s="9"/>
      <c r="H868" s="11"/>
      <c r="I868" s="9" t="s">
        <v>13</v>
      </c>
      <c r="J868" s="347"/>
      <c r="K868" s="347"/>
      <c r="L868" s="347"/>
    </row>
    <row r="869">
      <c r="A869" s="102"/>
      <c r="B869" s="11"/>
      <c r="C869" s="8"/>
      <c r="D869" s="8"/>
      <c r="E869" s="9"/>
      <c r="F869" s="10"/>
      <c r="G869" s="9"/>
      <c r="H869" s="11"/>
      <c r="I869" s="9" t="s">
        <v>13</v>
      </c>
      <c r="J869" s="347"/>
      <c r="K869" s="347"/>
      <c r="L869" s="347"/>
    </row>
    <row r="870">
      <c r="A870" s="102"/>
      <c r="B870" s="11"/>
      <c r="C870" s="8"/>
      <c r="D870" s="8"/>
      <c r="E870" s="9"/>
      <c r="F870" s="10"/>
      <c r="G870" s="9"/>
      <c r="H870" s="11"/>
      <c r="I870" s="9" t="s">
        <v>13</v>
      </c>
      <c r="J870" s="347"/>
      <c r="K870" s="347"/>
      <c r="L870" s="347"/>
    </row>
    <row r="871">
      <c r="A871" s="102"/>
      <c r="B871" s="11"/>
      <c r="C871" s="8"/>
      <c r="D871" s="8"/>
      <c r="E871" s="9"/>
      <c r="F871" s="10"/>
      <c r="G871" s="9"/>
      <c r="H871" s="11"/>
      <c r="I871" s="9" t="s">
        <v>13</v>
      </c>
      <c r="J871" s="347"/>
      <c r="K871" s="347"/>
      <c r="L871" s="347"/>
    </row>
    <row r="872">
      <c r="A872" s="102"/>
      <c r="B872" s="11"/>
      <c r="C872" s="8"/>
      <c r="D872" s="8"/>
      <c r="E872" s="9"/>
      <c r="F872" s="10"/>
      <c r="G872" s="9"/>
      <c r="H872" s="11"/>
      <c r="I872" s="9" t="s">
        <v>13</v>
      </c>
      <c r="J872" s="347"/>
      <c r="K872" s="347"/>
      <c r="L872" s="347"/>
    </row>
    <row r="873">
      <c r="A873" s="102"/>
      <c r="B873" s="11"/>
      <c r="C873" s="8"/>
      <c r="D873" s="8"/>
      <c r="E873" s="9"/>
      <c r="F873" s="10"/>
      <c r="G873" s="9"/>
      <c r="H873" s="11"/>
      <c r="I873" s="9" t="s">
        <v>13</v>
      </c>
      <c r="J873" s="347"/>
      <c r="K873" s="347"/>
      <c r="L873" s="347"/>
    </row>
    <row r="874">
      <c r="A874" s="102"/>
      <c r="B874" s="11"/>
      <c r="C874" s="8"/>
      <c r="D874" s="8"/>
      <c r="E874" s="9"/>
      <c r="F874" s="10"/>
      <c r="G874" s="9"/>
      <c r="H874" s="11"/>
      <c r="I874" s="9" t="s">
        <v>13</v>
      </c>
      <c r="J874" s="347"/>
      <c r="K874" s="347"/>
      <c r="L874" s="347"/>
    </row>
    <row r="875">
      <c r="A875" s="102"/>
      <c r="B875" s="11"/>
      <c r="C875" s="8"/>
      <c r="D875" s="8"/>
      <c r="E875" s="9"/>
      <c r="F875" s="10"/>
      <c r="G875" s="9"/>
      <c r="H875" s="11"/>
      <c r="I875" s="9" t="s">
        <v>13</v>
      </c>
      <c r="J875" s="347"/>
      <c r="K875" s="347"/>
      <c r="L875" s="347"/>
    </row>
    <row r="876">
      <c r="A876" s="102"/>
      <c r="B876" s="11"/>
      <c r="C876" s="8"/>
      <c r="D876" s="8"/>
      <c r="E876" s="9"/>
      <c r="F876" s="10"/>
      <c r="G876" s="9"/>
      <c r="H876" s="11"/>
      <c r="I876" s="9" t="s">
        <v>13</v>
      </c>
      <c r="J876" s="347"/>
      <c r="K876" s="347"/>
      <c r="L876" s="347"/>
    </row>
    <row r="877">
      <c r="A877" s="102"/>
      <c r="B877" s="11"/>
      <c r="C877" s="8"/>
      <c r="D877" s="8"/>
      <c r="E877" s="9"/>
      <c r="F877" s="10"/>
      <c r="G877" s="9"/>
      <c r="H877" s="11"/>
      <c r="I877" s="9" t="s">
        <v>13</v>
      </c>
      <c r="J877" s="347"/>
      <c r="K877" s="347"/>
      <c r="L877" s="347"/>
    </row>
    <row r="878">
      <c r="A878" s="102"/>
      <c r="B878" s="11"/>
      <c r="C878" s="8"/>
      <c r="D878" s="8"/>
      <c r="E878" s="9"/>
      <c r="F878" s="10"/>
      <c r="G878" s="9"/>
      <c r="H878" s="11"/>
      <c r="I878" s="9" t="s">
        <v>13</v>
      </c>
      <c r="J878" s="347"/>
      <c r="K878" s="347"/>
      <c r="L878" s="347"/>
    </row>
    <row r="879">
      <c r="A879" s="102"/>
      <c r="B879" s="11"/>
      <c r="C879" s="8"/>
      <c r="D879" s="8"/>
      <c r="E879" s="9"/>
      <c r="F879" s="10"/>
      <c r="G879" s="9"/>
      <c r="H879" s="11"/>
      <c r="I879" s="9" t="s">
        <v>13</v>
      </c>
      <c r="J879" s="347"/>
      <c r="K879" s="347"/>
      <c r="L879" s="347"/>
    </row>
    <row r="880">
      <c r="A880" s="102"/>
      <c r="B880" s="11"/>
      <c r="C880" s="8"/>
      <c r="D880" s="8"/>
      <c r="E880" s="9"/>
      <c r="F880" s="10"/>
      <c r="G880" s="9"/>
      <c r="H880" s="11"/>
      <c r="I880" s="9" t="s">
        <v>13</v>
      </c>
      <c r="J880" s="347"/>
      <c r="K880" s="347"/>
      <c r="L880" s="347"/>
    </row>
    <row r="881">
      <c r="A881" s="102"/>
      <c r="B881" s="11"/>
      <c r="C881" s="8"/>
      <c r="D881" s="8"/>
      <c r="E881" s="9"/>
      <c r="F881" s="10"/>
      <c r="G881" s="9"/>
      <c r="H881" s="11"/>
      <c r="I881" s="9" t="s">
        <v>13</v>
      </c>
      <c r="J881" s="347"/>
      <c r="K881" s="347"/>
      <c r="L881" s="347"/>
    </row>
    <row r="882">
      <c r="A882" s="102"/>
      <c r="B882" s="11"/>
      <c r="C882" s="8"/>
      <c r="D882" s="8"/>
      <c r="E882" s="9"/>
      <c r="F882" s="10"/>
      <c r="G882" s="9"/>
      <c r="H882" s="11"/>
      <c r="I882" s="9" t="s">
        <v>13</v>
      </c>
      <c r="J882" s="347"/>
      <c r="K882" s="347"/>
      <c r="L882" s="347"/>
    </row>
    <row r="883">
      <c r="A883" s="102"/>
      <c r="B883" s="11"/>
      <c r="C883" s="8"/>
      <c r="D883" s="8"/>
      <c r="E883" s="9"/>
      <c r="F883" s="10"/>
      <c r="G883" s="9"/>
      <c r="H883" s="11"/>
      <c r="I883" s="9" t="s">
        <v>13</v>
      </c>
      <c r="J883" s="347"/>
      <c r="K883" s="347"/>
      <c r="L883" s="347"/>
    </row>
    <row r="884">
      <c r="A884" s="102"/>
      <c r="B884" s="11"/>
      <c r="C884" s="8"/>
      <c r="D884" s="8"/>
      <c r="E884" s="9"/>
      <c r="F884" s="10"/>
      <c r="G884" s="9"/>
      <c r="H884" s="11"/>
      <c r="I884" s="9" t="s">
        <v>13</v>
      </c>
      <c r="J884" s="347"/>
      <c r="K884" s="347"/>
      <c r="L884" s="347"/>
    </row>
    <row r="885">
      <c r="A885" s="102"/>
      <c r="B885" s="11"/>
      <c r="C885" s="8"/>
      <c r="D885" s="8"/>
      <c r="E885" s="9"/>
      <c r="F885" s="10"/>
      <c r="G885" s="9"/>
      <c r="H885" s="11"/>
      <c r="I885" s="9" t="s">
        <v>13</v>
      </c>
      <c r="J885" s="347"/>
      <c r="K885" s="347"/>
      <c r="L885" s="347"/>
    </row>
    <row r="886">
      <c r="A886" s="102"/>
      <c r="B886" s="11"/>
      <c r="C886" s="8"/>
      <c r="D886" s="8"/>
      <c r="E886" s="9"/>
      <c r="F886" s="10"/>
      <c r="G886" s="9"/>
      <c r="H886" s="11"/>
      <c r="I886" s="9" t="s">
        <v>13</v>
      </c>
      <c r="J886" s="347"/>
      <c r="K886" s="347"/>
      <c r="L886" s="347"/>
    </row>
    <row r="887">
      <c r="A887" s="102"/>
      <c r="B887" s="11"/>
      <c r="C887" s="8"/>
      <c r="D887" s="8"/>
      <c r="E887" s="9"/>
      <c r="F887" s="10"/>
      <c r="G887" s="9"/>
      <c r="H887" s="11"/>
      <c r="I887" s="9" t="s">
        <v>13</v>
      </c>
      <c r="J887" s="347"/>
      <c r="K887" s="347"/>
      <c r="L887" s="347"/>
    </row>
    <row r="888">
      <c r="A888" s="102"/>
      <c r="B888" s="11"/>
      <c r="C888" s="8"/>
      <c r="D888" s="8"/>
      <c r="E888" s="9"/>
      <c r="F888" s="10"/>
      <c r="G888" s="9"/>
      <c r="H888" s="11"/>
      <c r="I888" s="9" t="s">
        <v>13</v>
      </c>
      <c r="J888" s="347"/>
      <c r="K888" s="347"/>
      <c r="L888" s="347"/>
    </row>
    <row r="889">
      <c r="A889" s="102"/>
      <c r="B889" s="11"/>
      <c r="C889" s="8"/>
      <c r="D889" s="8"/>
      <c r="E889" s="9"/>
      <c r="F889" s="10"/>
      <c r="G889" s="9"/>
      <c r="H889" s="11"/>
      <c r="I889" s="9" t="s">
        <v>13</v>
      </c>
      <c r="J889" s="347"/>
      <c r="K889" s="347"/>
      <c r="L889" s="347"/>
    </row>
    <row r="890">
      <c r="A890" s="102"/>
      <c r="B890" s="11"/>
      <c r="C890" s="8"/>
      <c r="D890" s="8"/>
      <c r="E890" s="9"/>
      <c r="F890" s="10"/>
      <c r="G890" s="9"/>
      <c r="H890" s="11"/>
      <c r="I890" s="9" t="s">
        <v>13</v>
      </c>
      <c r="J890" s="347"/>
      <c r="K890" s="347"/>
      <c r="L890" s="347"/>
    </row>
    <row r="891">
      <c r="A891" s="102"/>
      <c r="B891" s="11"/>
      <c r="C891" s="8"/>
      <c r="D891" s="8"/>
      <c r="E891" s="9"/>
      <c r="F891" s="10"/>
      <c r="G891" s="9"/>
      <c r="H891" s="11"/>
      <c r="I891" s="9" t="s">
        <v>13</v>
      </c>
      <c r="J891" s="347"/>
      <c r="K891" s="347"/>
      <c r="L891" s="347"/>
    </row>
    <row r="892">
      <c r="A892" s="102"/>
      <c r="B892" s="11"/>
      <c r="C892" s="8"/>
      <c r="D892" s="8"/>
      <c r="E892" s="9"/>
      <c r="F892" s="10"/>
      <c r="G892" s="9"/>
      <c r="H892" s="11"/>
      <c r="I892" s="9" t="s">
        <v>13</v>
      </c>
      <c r="J892" s="347"/>
      <c r="K892" s="347"/>
      <c r="L892" s="347"/>
    </row>
    <row r="893">
      <c r="A893" s="102"/>
      <c r="B893" s="11"/>
      <c r="C893" s="8"/>
      <c r="D893" s="8"/>
      <c r="E893" s="9"/>
      <c r="F893" s="10"/>
      <c r="G893" s="9"/>
      <c r="H893" s="11"/>
      <c r="I893" s="9" t="s">
        <v>13</v>
      </c>
      <c r="J893" s="347"/>
      <c r="K893" s="347"/>
      <c r="L893" s="347"/>
    </row>
    <row r="894">
      <c r="A894" s="102"/>
      <c r="B894" s="11"/>
      <c r="C894" s="8"/>
      <c r="D894" s="8"/>
      <c r="E894" s="9"/>
      <c r="F894" s="10"/>
      <c r="G894" s="9"/>
      <c r="H894" s="11"/>
      <c r="I894" s="9" t="s">
        <v>13</v>
      </c>
      <c r="J894" s="347"/>
      <c r="K894" s="347"/>
      <c r="L894" s="347"/>
    </row>
    <row r="895">
      <c r="A895" s="102"/>
      <c r="B895" s="11"/>
      <c r="C895" s="8"/>
      <c r="D895" s="8"/>
      <c r="E895" s="9"/>
      <c r="F895" s="10"/>
      <c r="G895" s="9"/>
      <c r="H895" s="11"/>
      <c r="I895" s="9" t="s">
        <v>13</v>
      </c>
      <c r="J895" s="347"/>
      <c r="K895" s="347"/>
      <c r="L895" s="347"/>
    </row>
    <row r="896">
      <c r="A896" s="102"/>
      <c r="B896" s="11"/>
      <c r="C896" s="8"/>
      <c r="D896" s="8"/>
      <c r="E896" s="9"/>
      <c r="F896" s="10"/>
      <c r="G896" s="9"/>
      <c r="H896" s="11"/>
      <c r="I896" s="9" t="s">
        <v>13</v>
      </c>
      <c r="J896" s="347"/>
      <c r="K896" s="347"/>
      <c r="L896" s="347"/>
    </row>
    <row r="897">
      <c r="A897" s="102"/>
      <c r="B897" s="11"/>
      <c r="C897" s="8"/>
      <c r="D897" s="8"/>
      <c r="E897" s="9"/>
      <c r="F897" s="10"/>
      <c r="G897" s="9"/>
      <c r="H897" s="11"/>
      <c r="I897" s="9" t="s">
        <v>13</v>
      </c>
      <c r="J897" s="347"/>
      <c r="K897" s="347"/>
      <c r="L897" s="347"/>
    </row>
    <row r="898">
      <c r="A898" s="102"/>
      <c r="B898" s="11"/>
      <c r="C898" s="8"/>
      <c r="D898" s="8"/>
      <c r="E898" s="9"/>
      <c r="F898" s="10"/>
      <c r="G898" s="9"/>
      <c r="H898" s="11"/>
      <c r="I898" s="9" t="s">
        <v>13</v>
      </c>
      <c r="J898" s="347"/>
      <c r="K898" s="347"/>
      <c r="L898" s="347"/>
    </row>
    <row r="899">
      <c r="A899" s="102"/>
      <c r="B899" s="11"/>
      <c r="C899" s="8"/>
      <c r="D899" s="8"/>
      <c r="E899" s="9"/>
      <c r="F899" s="10"/>
      <c r="G899" s="9"/>
      <c r="H899" s="11"/>
      <c r="I899" s="9" t="s">
        <v>13</v>
      </c>
      <c r="J899" s="347"/>
      <c r="K899" s="347"/>
      <c r="L899" s="347"/>
    </row>
    <row r="900">
      <c r="A900" s="102"/>
      <c r="B900" s="11"/>
      <c r="C900" s="8"/>
      <c r="D900" s="8"/>
      <c r="E900" s="9"/>
      <c r="F900" s="10"/>
      <c r="G900" s="9"/>
      <c r="H900" s="11"/>
      <c r="I900" s="9" t="s">
        <v>13</v>
      </c>
      <c r="J900" s="347"/>
      <c r="K900" s="347"/>
      <c r="L900" s="347"/>
    </row>
    <row r="901">
      <c r="A901" s="102"/>
      <c r="B901" s="11"/>
      <c r="C901" s="8"/>
      <c r="D901" s="8"/>
      <c r="E901" s="9"/>
      <c r="F901" s="10"/>
      <c r="G901" s="9"/>
      <c r="H901" s="11"/>
      <c r="I901" s="9" t="s">
        <v>13</v>
      </c>
      <c r="J901" s="347"/>
      <c r="K901" s="347"/>
      <c r="L901" s="347"/>
    </row>
    <row r="902">
      <c r="A902" s="102"/>
      <c r="B902" s="11"/>
      <c r="C902" s="8"/>
      <c r="D902" s="8"/>
      <c r="E902" s="9"/>
      <c r="F902" s="10"/>
      <c r="G902" s="9"/>
      <c r="H902" s="11"/>
      <c r="I902" s="9" t="s">
        <v>13</v>
      </c>
      <c r="J902" s="347"/>
      <c r="K902" s="347"/>
      <c r="L902" s="347"/>
    </row>
    <row r="903">
      <c r="A903" s="102"/>
      <c r="B903" s="11"/>
      <c r="C903" s="8"/>
      <c r="D903" s="8"/>
      <c r="E903" s="9"/>
      <c r="F903" s="10"/>
      <c r="G903" s="9"/>
      <c r="H903" s="11"/>
      <c r="I903" s="9" t="s">
        <v>13</v>
      </c>
      <c r="J903" s="347"/>
      <c r="K903" s="347"/>
      <c r="L903" s="347"/>
    </row>
    <row r="904">
      <c r="A904" s="102"/>
      <c r="B904" s="11"/>
      <c r="C904" s="8"/>
      <c r="D904" s="8"/>
      <c r="E904" s="9"/>
      <c r="F904" s="10"/>
      <c r="G904" s="9"/>
      <c r="H904" s="11"/>
      <c r="I904" s="9" t="s">
        <v>13</v>
      </c>
      <c r="J904" s="347"/>
      <c r="K904" s="347"/>
      <c r="L904" s="347"/>
    </row>
    <row r="905">
      <c r="A905" s="102"/>
      <c r="B905" s="11"/>
      <c r="C905" s="8"/>
      <c r="D905" s="8"/>
      <c r="E905" s="9"/>
      <c r="F905" s="10"/>
      <c r="G905" s="9"/>
      <c r="H905" s="11"/>
      <c r="I905" s="9" t="s">
        <v>13</v>
      </c>
      <c r="J905" s="347"/>
      <c r="K905" s="347"/>
      <c r="L905" s="347"/>
    </row>
    <row r="906">
      <c r="A906" s="102"/>
      <c r="B906" s="11"/>
      <c r="C906" s="8"/>
      <c r="D906" s="8"/>
      <c r="E906" s="9"/>
      <c r="F906" s="10"/>
      <c r="G906" s="9"/>
      <c r="H906" s="11"/>
      <c r="I906" s="9" t="s">
        <v>13</v>
      </c>
      <c r="J906" s="347"/>
      <c r="K906" s="347"/>
      <c r="L906" s="347"/>
    </row>
    <row r="907">
      <c r="A907" s="102"/>
      <c r="B907" s="11"/>
      <c r="C907" s="8"/>
      <c r="D907" s="8"/>
      <c r="E907" s="9"/>
      <c r="F907" s="10"/>
      <c r="G907" s="9"/>
      <c r="H907" s="11"/>
      <c r="I907" s="9" t="s">
        <v>13</v>
      </c>
      <c r="J907" s="347"/>
      <c r="K907" s="347"/>
      <c r="L907" s="347"/>
    </row>
    <row r="908">
      <c r="A908" s="102"/>
      <c r="B908" s="11"/>
      <c r="C908" s="8"/>
      <c r="D908" s="8"/>
      <c r="E908" s="9"/>
      <c r="F908" s="10"/>
      <c r="G908" s="9"/>
      <c r="H908" s="11"/>
      <c r="I908" s="9" t="s">
        <v>13</v>
      </c>
      <c r="J908" s="347"/>
      <c r="K908" s="347"/>
      <c r="L908" s="347"/>
    </row>
    <row r="909">
      <c r="A909" s="102"/>
      <c r="B909" s="11"/>
      <c r="C909" s="8"/>
      <c r="D909" s="8"/>
      <c r="E909" s="9"/>
      <c r="F909" s="10"/>
      <c r="G909" s="9"/>
      <c r="H909" s="11"/>
      <c r="I909" s="9" t="s">
        <v>13</v>
      </c>
      <c r="J909" s="347"/>
      <c r="K909" s="347"/>
      <c r="L909" s="347"/>
    </row>
    <row r="910">
      <c r="A910" s="102"/>
      <c r="B910" s="11"/>
      <c r="C910" s="8"/>
      <c r="D910" s="8"/>
      <c r="E910" s="9"/>
      <c r="F910" s="10"/>
      <c r="G910" s="9"/>
      <c r="H910" s="11"/>
      <c r="I910" s="9" t="s">
        <v>13</v>
      </c>
      <c r="J910" s="347"/>
      <c r="K910" s="347"/>
      <c r="L910" s="347"/>
    </row>
    <row r="911">
      <c r="A911" s="102"/>
      <c r="B911" s="11"/>
      <c r="C911" s="8"/>
      <c r="D911" s="8"/>
      <c r="E911" s="9"/>
      <c r="F911" s="10"/>
      <c r="G911" s="9"/>
      <c r="H911" s="11"/>
      <c r="I911" s="9" t="s">
        <v>13</v>
      </c>
      <c r="J911" s="347"/>
      <c r="K911" s="347"/>
      <c r="L911" s="347"/>
    </row>
    <row r="912">
      <c r="A912" s="102"/>
      <c r="B912" s="11"/>
      <c r="C912" s="8"/>
      <c r="D912" s="8"/>
      <c r="E912" s="9"/>
      <c r="F912" s="10"/>
      <c r="G912" s="9"/>
      <c r="H912" s="11"/>
      <c r="I912" s="9" t="s">
        <v>13</v>
      </c>
      <c r="J912" s="347"/>
      <c r="K912" s="347"/>
      <c r="L912" s="347"/>
    </row>
    <row r="913">
      <c r="A913" s="102"/>
      <c r="B913" s="11"/>
      <c r="C913" s="8"/>
      <c r="D913" s="8"/>
      <c r="E913" s="9"/>
      <c r="F913" s="10"/>
      <c r="G913" s="9"/>
      <c r="H913" s="11"/>
      <c r="I913" s="9" t="s">
        <v>13</v>
      </c>
      <c r="J913" s="347"/>
      <c r="K913" s="347"/>
      <c r="L913" s="347"/>
    </row>
    <row r="914">
      <c r="A914" s="102"/>
      <c r="B914" s="11"/>
      <c r="C914" s="8"/>
      <c r="D914" s="8"/>
      <c r="E914" s="9"/>
      <c r="F914" s="10"/>
      <c r="G914" s="9"/>
      <c r="H914" s="11"/>
      <c r="I914" s="9" t="s">
        <v>13</v>
      </c>
      <c r="J914" s="347"/>
      <c r="K914" s="347"/>
      <c r="L914" s="347"/>
    </row>
    <row r="915">
      <c r="A915" s="102"/>
      <c r="B915" s="11"/>
      <c r="C915" s="8"/>
      <c r="D915" s="8"/>
      <c r="E915" s="9"/>
      <c r="F915" s="10"/>
      <c r="G915" s="9"/>
      <c r="H915" s="11"/>
      <c r="I915" s="9" t="s">
        <v>13</v>
      </c>
      <c r="J915" s="347"/>
      <c r="K915" s="347"/>
      <c r="L915" s="347"/>
    </row>
    <row r="916">
      <c r="A916" s="102"/>
      <c r="B916" s="11"/>
      <c r="C916" s="8"/>
      <c r="D916" s="8"/>
      <c r="E916" s="9"/>
      <c r="F916" s="10"/>
      <c r="G916" s="9"/>
      <c r="H916" s="11"/>
      <c r="I916" s="9" t="s">
        <v>13</v>
      </c>
      <c r="J916" s="347"/>
      <c r="K916" s="347"/>
      <c r="L916" s="347"/>
    </row>
    <row r="917">
      <c r="A917" s="102"/>
      <c r="B917" s="11"/>
      <c r="C917" s="8"/>
      <c r="D917" s="8"/>
      <c r="E917" s="9"/>
      <c r="F917" s="10"/>
      <c r="G917" s="9"/>
      <c r="H917" s="11"/>
      <c r="I917" s="9" t="s">
        <v>13</v>
      </c>
      <c r="J917" s="347"/>
      <c r="K917" s="347"/>
      <c r="L917" s="347"/>
    </row>
    <row r="918">
      <c r="A918" s="102"/>
      <c r="B918" s="11"/>
      <c r="C918" s="8"/>
      <c r="D918" s="8"/>
      <c r="E918" s="9"/>
      <c r="F918" s="10"/>
      <c r="G918" s="9"/>
      <c r="H918" s="11"/>
      <c r="I918" s="9" t="s">
        <v>13</v>
      </c>
      <c r="J918" s="347"/>
      <c r="K918" s="347"/>
      <c r="L918" s="347"/>
    </row>
    <row r="919">
      <c r="A919" s="102"/>
      <c r="B919" s="11"/>
      <c r="C919" s="8"/>
      <c r="D919" s="8"/>
      <c r="E919" s="9"/>
      <c r="F919" s="10"/>
      <c r="G919" s="9"/>
      <c r="H919" s="11"/>
      <c r="I919" s="9" t="s">
        <v>13</v>
      </c>
      <c r="J919" s="347"/>
      <c r="K919" s="347"/>
      <c r="L919" s="347"/>
    </row>
    <row r="920">
      <c r="A920" s="102"/>
      <c r="B920" s="11"/>
      <c r="C920" s="8"/>
      <c r="D920" s="8"/>
      <c r="E920" s="9"/>
      <c r="F920" s="10"/>
      <c r="G920" s="9"/>
      <c r="H920" s="11"/>
      <c r="I920" s="9" t="s">
        <v>13</v>
      </c>
      <c r="J920" s="347"/>
      <c r="K920" s="347"/>
      <c r="L920" s="347"/>
    </row>
    <row r="921">
      <c r="A921" s="102"/>
      <c r="B921" s="11"/>
      <c r="C921" s="8"/>
      <c r="D921" s="8"/>
      <c r="E921" s="9"/>
      <c r="F921" s="10"/>
      <c r="G921" s="9"/>
      <c r="H921" s="11"/>
      <c r="I921" s="9" t="s">
        <v>13</v>
      </c>
      <c r="J921" s="347"/>
      <c r="K921" s="347"/>
      <c r="L921" s="347"/>
    </row>
    <row r="922">
      <c r="A922" s="102"/>
      <c r="B922" s="11"/>
      <c r="C922" s="8"/>
      <c r="D922" s="8"/>
      <c r="E922" s="9"/>
      <c r="F922" s="10"/>
      <c r="G922" s="9"/>
      <c r="H922" s="11"/>
      <c r="I922" s="9" t="s">
        <v>13</v>
      </c>
      <c r="J922" s="347"/>
      <c r="K922" s="347"/>
      <c r="L922" s="347"/>
    </row>
    <row r="923">
      <c r="A923" s="102"/>
      <c r="B923" s="11"/>
      <c r="C923" s="8"/>
      <c r="D923" s="8"/>
      <c r="E923" s="9"/>
      <c r="F923" s="10"/>
      <c r="G923" s="9"/>
      <c r="H923" s="11"/>
      <c r="I923" s="9" t="s">
        <v>13</v>
      </c>
      <c r="J923" s="347"/>
      <c r="K923" s="347"/>
      <c r="L923" s="347"/>
    </row>
    <row r="924">
      <c r="A924" s="102"/>
      <c r="B924" s="11"/>
      <c r="C924" s="8"/>
      <c r="D924" s="8"/>
      <c r="E924" s="9"/>
      <c r="F924" s="10"/>
      <c r="G924" s="9"/>
      <c r="H924" s="11"/>
      <c r="I924" s="9" t="s">
        <v>13</v>
      </c>
      <c r="J924" s="347"/>
      <c r="K924" s="347"/>
      <c r="L924" s="347"/>
    </row>
    <row r="925">
      <c r="A925" s="102"/>
      <c r="B925" s="11"/>
      <c r="C925" s="8"/>
      <c r="D925" s="8"/>
      <c r="E925" s="9"/>
      <c r="F925" s="10"/>
      <c r="G925" s="9"/>
      <c r="H925" s="11"/>
      <c r="I925" s="9" t="s">
        <v>13</v>
      </c>
      <c r="J925" s="347"/>
      <c r="K925" s="347"/>
      <c r="L925" s="347"/>
    </row>
    <row r="926">
      <c r="A926" s="102"/>
      <c r="B926" s="11"/>
      <c r="C926" s="8"/>
      <c r="D926" s="8"/>
      <c r="E926" s="9"/>
      <c r="F926" s="10"/>
      <c r="G926" s="9"/>
      <c r="H926" s="11"/>
      <c r="I926" s="9" t="s">
        <v>13</v>
      </c>
      <c r="J926" s="347"/>
      <c r="K926" s="347"/>
      <c r="L926" s="347"/>
    </row>
    <row r="927">
      <c r="A927" s="102"/>
      <c r="B927" s="11"/>
      <c r="C927" s="8"/>
      <c r="D927" s="8"/>
      <c r="E927" s="9"/>
      <c r="F927" s="10"/>
      <c r="G927" s="9"/>
      <c r="H927" s="11"/>
      <c r="I927" s="9" t="s">
        <v>13</v>
      </c>
      <c r="J927" s="347"/>
      <c r="K927" s="347"/>
      <c r="L927" s="347"/>
    </row>
    <row r="928">
      <c r="A928" s="102"/>
      <c r="B928" s="11"/>
      <c r="C928" s="8"/>
      <c r="D928" s="8"/>
      <c r="E928" s="9"/>
      <c r="F928" s="10"/>
      <c r="G928" s="9"/>
      <c r="H928" s="11"/>
      <c r="I928" s="9" t="s">
        <v>13</v>
      </c>
      <c r="J928" s="347"/>
      <c r="K928" s="347"/>
      <c r="L928" s="347"/>
    </row>
    <row r="929">
      <c r="A929" s="102"/>
      <c r="B929" s="11"/>
      <c r="C929" s="8"/>
      <c r="D929" s="8"/>
      <c r="E929" s="9"/>
      <c r="F929" s="10"/>
      <c r="G929" s="9"/>
      <c r="H929" s="11"/>
      <c r="I929" s="9" t="s">
        <v>13</v>
      </c>
      <c r="J929" s="347"/>
      <c r="K929" s="347"/>
      <c r="L929" s="347"/>
    </row>
    <row r="930">
      <c r="A930" s="102"/>
      <c r="B930" s="11"/>
      <c r="C930" s="8"/>
      <c r="D930" s="8"/>
      <c r="E930" s="9"/>
      <c r="F930" s="10"/>
      <c r="G930" s="9"/>
      <c r="H930" s="11"/>
      <c r="I930" s="9" t="s">
        <v>13</v>
      </c>
      <c r="J930" s="347"/>
      <c r="K930" s="347"/>
      <c r="L930" s="347"/>
    </row>
    <row r="931">
      <c r="A931" s="102"/>
      <c r="B931" s="11"/>
      <c r="C931" s="8"/>
      <c r="D931" s="8"/>
      <c r="E931" s="9"/>
      <c r="F931" s="10"/>
      <c r="G931" s="9"/>
      <c r="H931" s="11"/>
      <c r="I931" s="9" t="s">
        <v>13</v>
      </c>
      <c r="J931" s="347"/>
      <c r="K931" s="347"/>
      <c r="L931" s="347"/>
    </row>
    <row r="932">
      <c r="A932" s="102"/>
      <c r="B932" s="11"/>
      <c r="C932" s="8"/>
      <c r="D932" s="8"/>
      <c r="E932" s="9"/>
      <c r="F932" s="10"/>
      <c r="G932" s="9"/>
      <c r="H932" s="11"/>
      <c r="I932" s="9" t="s">
        <v>13</v>
      </c>
      <c r="J932" s="347"/>
      <c r="K932" s="347"/>
      <c r="L932" s="347"/>
    </row>
    <row r="933">
      <c r="A933" s="102"/>
      <c r="B933" s="11"/>
      <c r="C933" s="8"/>
      <c r="D933" s="8"/>
      <c r="E933" s="9"/>
      <c r="F933" s="10"/>
      <c r="G933" s="9"/>
      <c r="H933" s="11"/>
      <c r="I933" s="9" t="s">
        <v>13</v>
      </c>
      <c r="J933" s="347"/>
      <c r="K933" s="347"/>
      <c r="L933" s="347"/>
    </row>
    <row r="934">
      <c r="A934" s="102"/>
      <c r="B934" s="11"/>
      <c r="C934" s="8"/>
      <c r="D934" s="8"/>
      <c r="E934" s="9"/>
      <c r="F934" s="10"/>
      <c r="G934" s="9"/>
      <c r="H934" s="11"/>
      <c r="I934" s="9" t="s">
        <v>13</v>
      </c>
      <c r="J934" s="347"/>
      <c r="K934" s="347"/>
      <c r="L934" s="347"/>
    </row>
    <row r="935">
      <c r="A935" s="102"/>
      <c r="B935" s="11"/>
      <c r="C935" s="8"/>
      <c r="D935" s="8"/>
      <c r="E935" s="9"/>
      <c r="F935" s="10"/>
      <c r="G935" s="9"/>
      <c r="H935" s="11"/>
      <c r="I935" s="9" t="s">
        <v>13</v>
      </c>
      <c r="J935" s="347"/>
      <c r="K935" s="347"/>
      <c r="L935" s="347"/>
    </row>
    <row r="936">
      <c r="A936" s="102"/>
      <c r="B936" s="11"/>
      <c r="C936" s="8"/>
      <c r="D936" s="8"/>
      <c r="E936" s="9"/>
      <c r="F936" s="10"/>
      <c r="G936" s="9"/>
      <c r="H936" s="11"/>
      <c r="I936" s="9" t="s">
        <v>13</v>
      </c>
      <c r="J936" s="347"/>
      <c r="K936" s="347"/>
      <c r="L936" s="347"/>
    </row>
    <row r="937">
      <c r="A937" s="102"/>
      <c r="B937" s="11"/>
      <c r="C937" s="8"/>
      <c r="D937" s="8"/>
      <c r="E937" s="9"/>
      <c r="F937" s="10"/>
      <c r="G937" s="9"/>
      <c r="H937" s="11"/>
      <c r="I937" s="9" t="s">
        <v>13</v>
      </c>
      <c r="J937" s="347"/>
      <c r="K937" s="347"/>
      <c r="L937" s="347"/>
    </row>
    <row r="938">
      <c r="A938" s="102"/>
      <c r="B938" s="11"/>
      <c r="C938" s="8"/>
      <c r="D938" s="8"/>
      <c r="E938" s="9"/>
      <c r="F938" s="10"/>
      <c r="G938" s="9"/>
      <c r="H938" s="11"/>
      <c r="I938" s="9" t="s">
        <v>13</v>
      </c>
      <c r="J938" s="347"/>
      <c r="K938" s="347"/>
      <c r="L938" s="347"/>
    </row>
    <row r="939">
      <c r="A939" s="102"/>
      <c r="B939" s="11"/>
      <c r="C939" s="8"/>
      <c r="D939" s="8"/>
      <c r="E939" s="9"/>
      <c r="F939" s="10"/>
      <c r="G939" s="9"/>
      <c r="H939" s="11"/>
      <c r="I939" s="9" t="s">
        <v>13</v>
      </c>
      <c r="J939" s="347"/>
      <c r="K939" s="347"/>
      <c r="L939" s="347"/>
    </row>
    <row r="940">
      <c r="A940" s="102"/>
      <c r="B940" s="11"/>
      <c r="C940" s="8"/>
      <c r="D940" s="8"/>
      <c r="E940" s="9"/>
      <c r="F940" s="10"/>
      <c r="G940" s="9"/>
      <c r="H940" s="11"/>
      <c r="I940" s="9" t="s">
        <v>13</v>
      </c>
      <c r="J940" s="347"/>
      <c r="K940" s="347"/>
      <c r="L940" s="347"/>
    </row>
    <row r="941">
      <c r="A941" s="102"/>
      <c r="B941" s="11"/>
      <c r="C941" s="8"/>
      <c r="D941" s="8"/>
      <c r="E941" s="9"/>
      <c r="F941" s="10"/>
      <c r="G941" s="9"/>
      <c r="H941" s="11"/>
      <c r="I941" s="9" t="s">
        <v>13</v>
      </c>
      <c r="J941" s="347"/>
      <c r="K941" s="347"/>
      <c r="L941" s="347"/>
    </row>
    <row r="942">
      <c r="A942" s="102"/>
      <c r="B942" s="11"/>
      <c r="C942" s="8"/>
      <c r="D942" s="8"/>
      <c r="E942" s="9"/>
      <c r="F942" s="10"/>
      <c r="G942" s="9"/>
      <c r="H942" s="11"/>
      <c r="I942" s="9" t="s">
        <v>13</v>
      </c>
      <c r="J942" s="347"/>
      <c r="K942" s="347"/>
      <c r="L942" s="347"/>
    </row>
    <row r="943">
      <c r="A943" s="102"/>
      <c r="B943" s="11"/>
      <c r="C943" s="8"/>
      <c r="D943" s="8"/>
      <c r="E943" s="9"/>
      <c r="F943" s="10"/>
      <c r="G943" s="9"/>
      <c r="H943" s="11"/>
      <c r="I943" s="9" t="s">
        <v>13</v>
      </c>
      <c r="J943" s="347"/>
      <c r="K943" s="347"/>
      <c r="L943" s="347"/>
    </row>
    <row r="944">
      <c r="A944" s="102"/>
      <c r="B944" s="11"/>
      <c r="C944" s="8"/>
      <c r="D944" s="8"/>
      <c r="E944" s="9"/>
      <c r="F944" s="10"/>
      <c r="G944" s="9"/>
      <c r="H944" s="11"/>
      <c r="I944" s="9" t="s">
        <v>13</v>
      </c>
      <c r="J944" s="347"/>
      <c r="K944" s="347"/>
      <c r="L944" s="347"/>
    </row>
    <row r="945">
      <c r="A945" s="102"/>
      <c r="B945" s="11"/>
      <c r="C945" s="8"/>
      <c r="D945" s="8"/>
      <c r="E945" s="9"/>
      <c r="F945" s="10"/>
      <c r="G945" s="9"/>
      <c r="H945" s="11"/>
      <c r="I945" s="9" t="s">
        <v>13</v>
      </c>
      <c r="J945" s="347"/>
      <c r="K945" s="347"/>
      <c r="L945" s="347"/>
    </row>
    <row r="946">
      <c r="A946" s="102"/>
      <c r="B946" s="11"/>
      <c r="C946" s="8"/>
      <c r="D946" s="8"/>
      <c r="E946" s="9"/>
      <c r="F946" s="10"/>
      <c r="G946" s="9"/>
      <c r="H946" s="11"/>
      <c r="I946" s="9" t="s">
        <v>13</v>
      </c>
      <c r="J946" s="347"/>
      <c r="K946" s="347"/>
      <c r="L946" s="347"/>
    </row>
    <row r="947">
      <c r="A947" s="102"/>
      <c r="B947" s="11"/>
      <c r="C947" s="8"/>
      <c r="D947" s="8"/>
      <c r="E947" s="9"/>
      <c r="F947" s="10"/>
      <c r="G947" s="9"/>
      <c r="H947" s="11"/>
      <c r="I947" s="9" t="s">
        <v>13</v>
      </c>
      <c r="J947" s="347"/>
      <c r="K947" s="347"/>
      <c r="L947" s="347"/>
    </row>
    <row r="948">
      <c r="A948" s="102"/>
      <c r="B948" s="11"/>
      <c r="C948" s="8"/>
      <c r="D948" s="8"/>
      <c r="E948" s="9"/>
      <c r="F948" s="10"/>
      <c r="G948" s="9"/>
      <c r="H948" s="11"/>
      <c r="I948" s="9" t="s">
        <v>13</v>
      </c>
      <c r="J948" s="347"/>
      <c r="K948" s="347"/>
      <c r="L948" s="347"/>
    </row>
    <row r="949">
      <c r="A949" s="102"/>
      <c r="B949" s="11"/>
      <c r="C949" s="8"/>
      <c r="D949" s="8"/>
      <c r="E949" s="9"/>
      <c r="F949" s="10"/>
      <c r="G949" s="9"/>
      <c r="H949" s="11"/>
      <c r="I949" s="9" t="s">
        <v>13</v>
      </c>
      <c r="J949" s="347"/>
      <c r="K949" s="347"/>
      <c r="L949" s="347"/>
    </row>
    <row r="950">
      <c r="A950" s="102"/>
      <c r="B950" s="11"/>
      <c r="C950" s="8"/>
      <c r="D950" s="8"/>
      <c r="E950" s="9"/>
      <c r="F950" s="10"/>
      <c r="G950" s="9"/>
      <c r="H950" s="11"/>
      <c r="I950" s="9" t="s">
        <v>13</v>
      </c>
      <c r="J950" s="347"/>
      <c r="K950" s="347"/>
      <c r="L950" s="347"/>
    </row>
    <row r="951">
      <c r="A951" s="102"/>
      <c r="B951" s="11"/>
      <c r="C951" s="8"/>
      <c r="D951" s="8"/>
      <c r="E951" s="9"/>
      <c r="F951" s="10"/>
      <c r="G951" s="9"/>
      <c r="H951" s="11"/>
      <c r="I951" s="9" t="s">
        <v>13</v>
      </c>
      <c r="J951" s="347"/>
      <c r="K951" s="347"/>
      <c r="L951" s="347"/>
    </row>
    <row r="952">
      <c r="A952" s="102"/>
      <c r="B952" s="11"/>
      <c r="C952" s="8"/>
      <c r="D952" s="8"/>
      <c r="E952" s="9"/>
      <c r="F952" s="10"/>
      <c r="G952" s="9"/>
      <c r="H952" s="11"/>
      <c r="I952" s="9" t="s">
        <v>13</v>
      </c>
      <c r="J952" s="347"/>
      <c r="K952" s="347"/>
      <c r="L952" s="347"/>
    </row>
    <row r="953">
      <c r="A953" s="102"/>
      <c r="B953" s="11"/>
      <c r="C953" s="8"/>
      <c r="D953" s="8"/>
      <c r="E953" s="9"/>
      <c r="F953" s="10"/>
      <c r="G953" s="9"/>
      <c r="H953" s="11"/>
      <c r="I953" s="9" t="s">
        <v>13</v>
      </c>
      <c r="J953" s="347"/>
      <c r="K953" s="347"/>
      <c r="L953" s="347"/>
    </row>
    <row r="954">
      <c r="A954" s="102"/>
      <c r="B954" s="11"/>
      <c r="C954" s="8"/>
      <c r="D954" s="8"/>
      <c r="E954" s="9"/>
      <c r="F954" s="10"/>
      <c r="G954" s="9"/>
      <c r="H954" s="11"/>
      <c r="I954" s="9" t="s">
        <v>13</v>
      </c>
      <c r="J954" s="347"/>
      <c r="K954" s="347"/>
      <c r="L954" s="347"/>
    </row>
    <row r="955">
      <c r="A955" s="102"/>
      <c r="B955" s="11"/>
      <c r="C955" s="8"/>
      <c r="D955" s="8"/>
      <c r="E955" s="9"/>
      <c r="F955" s="10"/>
      <c r="G955" s="9"/>
      <c r="H955" s="11"/>
      <c r="I955" s="9" t="s">
        <v>13</v>
      </c>
      <c r="J955" s="347"/>
      <c r="K955" s="347"/>
      <c r="L955" s="347"/>
    </row>
    <row r="956">
      <c r="A956" s="102"/>
      <c r="B956" s="11"/>
      <c r="C956" s="8"/>
      <c r="D956" s="8"/>
      <c r="E956" s="9"/>
      <c r="F956" s="10"/>
      <c r="G956" s="9"/>
      <c r="H956" s="11"/>
      <c r="I956" s="9" t="s">
        <v>13</v>
      </c>
      <c r="J956" s="347"/>
      <c r="K956" s="347"/>
      <c r="L956" s="347"/>
    </row>
    <row r="957">
      <c r="A957" s="102"/>
      <c r="B957" s="11"/>
      <c r="C957" s="8"/>
      <c r="D957" s="8"/>
      <c r="E957" s="9"/>
      <c r="F957" s="10"/>
      <c r="G957" s="9"/>
      <c r="H957" s="11"/>
      <c r="I957" s="9" t="s">
        <v>13</v>
      </c>
      <c r="J957" s="347"/>
      <c r="K957" s="347"/>
      <c r="L957" s="347"/>
    </row>
    <row r="958">
      <c r="A958" s="102"/>
      <c r="B958" s="11"/>
      <c r="C958" s="8"/>
      <c r="D958" s="8"/>
      <c r="E958" s="9"/>
      <c r="F958" s="10"/>
      <c r="G958" s="9"/>
      <c r="H958" s="11"/>
      <c r="I958" s="9" t="s">
        <v>13</v>
      </c>
      <c r="J958" s="347"/>
      <c r="K958" s="347"/>
      <c r="L958" s="347"/>
    </row>
    <row r="959">
      <c r="A959" s="102"/>
      <c r="B959" s="11"/>
      <c r="C959" s="8"/>
      <c r="D959" s="8"/>
      <c r="E959" s="9"/>
      <c r="F959" s="10"/>
      <c r="G959" s="9"/>
      <c r="H959" s="11"/>
      <c r="I959" s="9" t="s">
        <v>13</v>
      </c>
      <c r="J959" s="347"/>
      <c r="K959" s="347"/>
      <c r="L959" s="347"/>
    </row>
    <row r="960">
      <c r="A960" s="102"/>
      <c r="B960" s="11"/>
      <c r="C960" s="8"/>
      <c r="D960" s="8"/>
      <c r="E960" s="9"/>
      <c r="F960" s="10"/>
      <c r="G960" s="9"/>
      <c r="H960" s="11"/>
      <c r="I960" s="9" t="s">
        <v>13</v>
      </c>
      <c r="J960" s="347"/>
      <c r="K960" s="347"/>
      <c r="L960" s="347"/>
    </row>
    <row r="961">
      <c r="A961" s="102"/>
      <c r="B961" s="11"/>
      <c r="C961" s="8"/>
      <c r="D961" s="8"/>
      <c r="E961" s="9"/>
      <c r="F961" s="10"/>
      <c r="G961" s="9"/>
      <c r="H961" s="11"/>
      <c r="I961" s="9" t="s">
        <v>13</v>
      </c>
      <c r="J961" s="347"/>
      <c r="K961" s="347"/>
      <c r="L961" s="347"/>
    </row>
    <row r="962">
      <c r="A962" s="102"/>
      <c r="B962" s="11"/>
      <c r="C962" s="8"/>
      <c r="D962" s="8"/>
      <c r="E962" s="9"/>
      <c r="F962" s="10"/>
      <c r="G962" s="9"/>
      <c r="H962" s="11"/>
      <c r="I962" s="9" t="s">
        <v>13</v>
      </c>
      <c r="J962" s="347"/>
      <c r="K962" s="347"/>
      <c r="L962" s="347"/>
    </row>
    <row r="963">
      <c r="A963" s="102"/>
      <c r="B963" s="11"/>
      <c r="C963" s="8"/>
      <c r="D963" s="8"/>
      <c r="E963" s="9"/>
      <c r="F963" s="10"/>
      <c r="G963" s="9"/>
      <c r="H963" s="11"/>
      <c r="I963" s="9" t="s">
        <v>13</v>
      </c>
      <c r="J963" s="347"/>
      <c r="K963" s="347"/>
      <c r="L963" s="347"/>
    </row>
    <row r="964">
      <c r="A964" s="102"/>
      <c r="B964" s="11"/>
      <c r="C964" s="8"/>
      <c r="D964" s="8"/>
      <c r="E964" s="9"/>
      <c r="F964" s="10"/>
      <c r="G964" s="9"/>
      <c r="H964" s="11"/>
      <c r="I964" s="9" t="s">
        <v>13</v>
      </c>
      <c r="J964" s="347"/>
      <c r="K964" s="347"/>
      <c r="L964" s="347"/>
    </row>
    <row r="965">
      <c r="A965" s="102"/>
      <c r="B965" s="11"/>
      <c r="C965" s="8"/>
      <c r="D965" s="8"/>
      <c r="E965" s="9"/>
      <c r="F965" s="10"/>
      <c r="G965" s="9"/>
      <c r="H965" s="11"/>
      <c r="I965" s="9" t="s">
        <v>13</v>
      </c>
      <c r="J965" s="347"/>
      <c r="K965" s="347"/>
      <c r="L965" s="347"/>
    </row>
    <row r="966">
      <c r="A966" s="102"/>
      <c r="B966" s="11"/>
      <c r="C966" s="8"/>
      <c r="D966" s="8"/>
      <c r="E966" s="9"/>
      <c r="F966" s="10"/>
      <c r="G966" s="9"/>
      <c r="H966" s="11"/>
      <c r="I966" s="9" t="s">
        <v>13</v>
      </c>
      <c r="J966" s="347"/>
      <c r="K966" s="347"/>
      <c r="L966" s="347"/>
    </row>
    <row r="967">
      <c r="A967" s="102"/>
      <c r="B967" s="11"/>
      <c r="C967" s="8"/>
      <c r="D967" s="8"/>
      <c r="E967" s="9"/>
      <c r="F967" s="10"/>
      <c r="G967" s="9"/>
      <c r="H967" s="11"/>
      <c r="I967" s="9" t="s">
        <v>13</v>
      </c>
      <c r="J967" s="347"/>
      <c r="K967" s="347"/>
      <c r="L967" s="347"/>
    </row>
    <row r="968">
      <c r="A968" s="102"/>
      <c r="B968" s="11"/>
      <c r="C968" s="8"/>
      <c r="D968" s="8"/>
      <c r="E968" s="9"/>
      <c r="F968" s="10"/>
      <c r="G968" s="9"/>
      <c r="H968" s="11"/>
      <c r="I968" s="9" t="s">
        <v>13</v>
      </c>
      <c r="J968" s="347"/>
      <c r="K968" s="347"/>
      <c r="L968" s="347"/>
    </row>
    <row r="969">
      <c r="A969" s="102"/>
      <c r="B969" s="11"/>
      <c r="C969" s="8"/>
      <c r="D969" s="8"/>
      <c r="E969" s="9"/>
      <c r="F969" s="10"/>
      <c r="G969" s="9"/>
      <c r="H969" s="11"/>
      <c r="I969" s="9" t="s">
        <v>13</v>
      </c>
      <c r="J969" s="347"/>
      <c r="K969" s="347"/>
      <c r="L969" s="347"/>
    </row>
    <row r="970">
      <c r="A970" s="102"/>
      <c r="B970" s="11"/>
      <c r="C970" s="8"/>
      <c r="D970" s="8"/>
      <c r="E970" s="9"/>
      <c r="F970" s="10"/>
      <c r="G970" s="9"/>
      <c r="H970" s="11"/>
      <c r="I970" s="9" t="s">
        <v>13</v>
      </c>
      <c r="J970" s="347"/>
      <c r="K970" s="347"/>
      <c r="L970" s="347"/>
    </row>
    <row r="971">
      <c r="A971" s="102"/>
      <c r="B971" s="11"/>
      <c r="C971" s="8"/>
      <c r="D971" s="8"/>
      <c r="E971" s="9"/>
      <c r="F971" s="10"/>
      <c r="G971" s="9"/>
      <c r="H971" s="11"/>
      <c r="I971" s="9" t="s">
        <v>13</v>
      </c>
      <c r="J971" s="347"/>
      <c r="K971" s="347"/>
      <c r="L971" s="347"/>
    </row>
    <row r="972">
      <c r="A972" s="102"/>
      <c r="B972" s="11"/>
      <c r="C972" s="8"/>
      <c r="D972" s="8"/>
      <c r="E972" s="9"/>
      <c r="F972" s="10"/>
      <c r="G972" s="9"/>
      <c r="H972" s="11"/>
      <c r="I972" s="9" t="s">
        <v>13</v>
      </c>
      <c r="J972" s="347"/>
      <c r="K972" s="347"/>
      <c r="L972" s="347"/>
    </row>
    <row r="973">
      <c r="A973" s="102"/>
      <c r="B973" s="11"/>
      <c r="C973" s="8"/>
      <c r="D973" s="8"/>
      <c r="E973" s="9"/>
      <c r="F973" s="10"/>
      <c r="G973" s="9"/>
      <c r="H973" s="11"/>
      <c r="I973" s="9" t="s">
        <v>13</v>
      </c>
      <c r="J973" s="347"/>
      <c r="K973" s="347"/>
      <c r="L973" s="347"/>
    </row>
    <row r="974">
      <c r="A974" s="102"/>
      <c r="B974" s="11"/>
      <c r="C974" s="8"/>
      <c r="D974" s="8"/>
      <c r="E974" s="9"/>
      <c r="F974" s="10"/>
      <c r="G974" s="9"/>
      <c r="H974" s="11"/>
      <c r="I974" s="9" t="s">
        <v>13</v>
      </c>
      <c r="J974" s="347"/>
      <c r="K974" s="347"/>
      <c r="L974" s="347"/>
    </row>
    <row r="975">
      <c r="A975" s="102"/>
      <c r="B975" s="11"/>
      <c r="C975" s="8"/>
      <c r="D975" s="8"/>
      <c r="E975" s="9"/>
      <c r="F975" s="10"/>
      <c r="G975" s="9"/>
      <c r="H975" s="11"/>
      <c r="I975" s="9" t="s">
        <v>13</v>
      </c>
      <c r="J975" s="347"/>
      <c r="K975" s="347"/>
      <c r="L975" s="347"/>
    </row>
    <row r="976">
      <c r="A976" s="102"/>
      <c r="B976" s="11"/>
      <c r="C976" s="8"/>
      <c r="D976" s="8"/>
      <c r="E976" s="9"/>
      <c r="F976" s="10"/>
      <c r="G976" s="9"/>
      <c r="H976" s="11"/>
      <c r="I976" s="9" t="s">
        <v>13</v>
      </c>
      <c r="J976" s="347"/>
      <c r="K976" s="347"/>
      <c r="L976" s="347"/>
    </row>
    <row r="977">
      <c r="A977" s="102"/>
      <c r="B977" s="11"/>
      <c r="C977" s="8"/>
      <c r="D977" s="8"/>
      <c r="E977" s="9"/>
      <c r="F977" s="10"/>
      <c r="G977" s="9"/>
      <c r="H977" s="11"/>
      <c r="I977" s="9" t="s">
        <v>13</v>
      </c>
      <c r="J977" s="347"/>
      <c r="K977" s="347"/>
      <c r="L977" s="347"/>
    </row>
    <row r="978">
      <c r="A978" s="102"/>
      <c r="B978" s="11"/>
      <c r="C978" s="8"/>
      <c r="D978" s="8"/>
      <c r="E978" s="9"/>
      <c r="F978" s="10"/>
      <c r="G978" s="9"/>
      <c r="H978" s="11"/>
      <c r="I978" s="9" t="s">
        <v>13</v>
      </c>
      <c r="J978" s="347"/>
      <c r="K978" s="347"/>
      <c r="L978" s="347"/>
    </row>
    <row r="979">
      <c r="A979" s="102"/>
      <c r="B979" s="11"/>
      <c r="C979" s="8"/>
      <c r="D979" s="8"/>
      <c r="E979" s="9"/>
      <c r="F979" s="10"/>
      <c r="G979" s="9"/>
      <c r="H979" s="11"/>
      <c r="I979" s="9" t="s">
        <v>13</v>
      </c>
      <c r="J979" s="347"/>
      <c r="K979" s="347"/>
      <c r="L979" s="347"/>
    </row>
    <row r="980">
      <c r="A980" s="102"/>
      <c r="B980" s="11"/>
      <c r="C980" s="8"/>
      <c r="D980" s="8"/>
      <c r="E980" s="9"/>
      <c r="F980" s="10"/>
      <c r="G980" s="9"/>
      <c r="H980" s="11"/>
      <c r="I980" s="9" t="s">
        <v>13</v>
      </c>
      <c r="J980" s="347"/>
      <c r="K980" s="347"/>
      <c r="L980" s="347"/>
    </row>
    <row r="981">
      <c r="A981" s="102"/>
      <c r="B981" s="11"/>
      <c r="C981" s="8"/>
      <c r="D981" s="8"/>
      <c r="E981" s="9"/>
      <c r="F981" s="10"/>
      <c r="G981" s="9"/>
      <c r="H981" s="11"/>
      <c r="I981" s="9" t="s">
        <v>13</v>
      </c>
      <c r="J981" s="347"/>
      <c r="K981" s="347"/>
      <c r="L981" s="347"/>
    </row>
    <row r="982">
      <c r="A982" s="102"/>
      <c r="B982" s="11"/>
      <c r="C982" s="8"/>
      <c r="D982" s="8"/>
      <c r="E982" s="9"/>
      <c r="F982" s="10"/>
      <c r="G982" s="9"/>
      <c r="H982" s="11"/>
      <c r="I982" s="9" t="s">
        <v>13</v>
      </c>
      <c r="J982" s="347"/>
      <c r="K982" s="347"/>
      <c r="L982" s="347"/>
    </row>
    <row r="983">
      <c r="A983" s="102"/>
      <c r="B983" s="11"/>
      <c r="C983" s="8"/>
      <c r="D983" s="8"/>
      <c r="E983" s="9"/>
      <c r="F983" s="10"/>
      <c r="G983" s="9"/>
      <c r="H983" s="11"/>
      <c r="I983" s="9" t="s">
        <v>13</v>
      </c>
      <c r="J983" s="347"/>
      <c r="K983" s="347"/>
      <c r="L983" s="347"/>
    </row>
    <row r="984">
      <c r="A984" s="102"/>
      <c r="B984" s="11"/>
      <c r="C984" s="8"/>
      <c r="D984" s="8"/>
      <c r="E984" s="9"/>
      <c r="F984" s="10"/>
      <c r="G984" s="9"/>
      <c r="H984" s="11"/>
      <c r="I984" s="9" t="s">
        <v>13</v>
      </c>
      <c r="J984" s="347"/>
      <c r="K984" s="347"/>
      <c r="L984" s="347"/>
    </row>
    <row r="985">
      <c r="A985" s="102"/>
      <c r="B985" s="11"/>
      <c r="C985" s="8"/>
      <c r="D985" s="8"/>
      <c r="E985" s="9"/>
      <c r="F985" s="10"/>
      <c r="G985" s="9"/>
      <c r="H985" s="11"/>
      <c r="I985" s="9" t="s">
        <v>13</v>
      </c>
      <c r="J985" s="347"/>
      <c r="K985" s="347"/>
      <c r="L985" s="347"/>
    </row>
  </sheetData>
  <mergeCells count="1">
    <mergeCell ref="A1:J1"/>
  </mergeCells>
  <conditionalFormatting sqref="H3">
    <cfRule type="containsText" dxfId="10" priority="1" operator="containsText" text="URGENT">
      <formula>NOT(ISERROR(SEARCH(("URGENT"),(H3))))</formula>
    </cfRule>
  </conditionalFormatting>
  <conditionalFormatting sqref="A1:L985">
    <cfRule type="containsText" dxfId="0" priority="2" operator="containsText" text="FAB A FAIRE">
      <formula>NOT(ISERROR(SEARCH(("FAB A FAIRE"),(A1))))</formula>
    </cfRule>
  </conditionalFormatting>
  <conditionalFormatting sqref="B3:H985">
    <cfRule type="expression" dxfId="1" priority="3">
      <formula>$G3="Stand-by"</formula>
    </cfRule>
  </conditionalFormatting>
  <conditionalFormatting sqref="G2:G985">
    <cfRule type="cellIs" dxfId="2" priority="4" operator="equal">
      <formula>"A faire"</formula>
    </cfRule>
  </conditionalFormatting>
  <conditionalFormatting sqref="G2:G985">
    <cfRule type="cellIs" dxfId="3" priority="5" operator="equal">
      <formula>"En cours"</formula>
    </cfRule>
  </conditionalFormatting>
  <conditionalFormatting sqref="B3:H985">
    <cfRule type="expression" dxfId="4" priority="6">
      <formula>$G3="Sur T.L."</formula>
    </cfRule>
  </conditionalFormatting>
  <conditionalFormatting sqref="G2:G985">
    <cfRule type="cellIs" dxfId="5" priority="7" operator="equal">
      <formula>"Attente R."</formula>
    </cfRule>
  </conditionalFormatting>
  <conditionalFormatting sqref="F2:F985">
    <cfRule type="timePeriod" dxfId="6" priority="8" timePeriod="today"/>
  </conditionalFormatting>
  <conditionalFormatting sqref="F2:F985">
    <cfRule type="expression" dxfId="7" priority="9">
      <formula>AND(ISNUMBER(F2),TRUNC(F2)&lt;TODAY())</formula>
    </cfRule>
  </conditionalFormatting>
  <conditionalFormatting sqref="G2:G985">
    <cfRule type="cellIs" dxfId="8" priority="10" operator="equal">
      <formula>"Mairie"</formula>
    </cfRule>
  </conditionalFormatting>
  <conditionalFormatting sqref="H2:H985">
    <cfRule type="containsText" dxfId="9" priority="11" operator="containsText" text="REPRISE DOSSIER CAROLE">
      <formula>NOT(ISERROR(SEARCH(("REPRISE DOSSIER CAROLE"),(H2))))</formula>
    </cfRule>
  </conditionalFormatting>
  <dataValidations>
    <dataValidation type="list" allowBlank="1" sqref="E4:E985">
      <formula1>"-,M,A"</formula1>
    </dataValidation>
    <dataValidation type="list" allowBlank="1" sqref="G3:G985">
      <formula1>"-,A faire,En cours,Attente R.,Stand-by,Sur T.L.,Mairie,Attente retour ST,Bloqué,FAB à faire,REFAB"</formula1>
    </dataValidation>
    <dataValidation type="list" allowBlank="1" sqref="E3">
      <formula1>"-,M,A,D,F,Mag,E,S"</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5"/>
    <col customWidth="1" min="2" max="2" width="88.0"/>
  </cols>
  <sheetData>
    <row r="1">
      <c r="A1" s="348" t="s">
        <v>9192</v>
      </c>
      <c r="B1" s="225" t="s">
        <v>9193</v>
      </c>
    </row>
    <row r="2">
      <c r="A2" s="225" t="s">
        <v>8586</v>
      </c>
      <c r="B2" s="225" t="s">
        <v>9194</v>
      </c>
    </row>
    <row r="3">
      <c r="A3" s="225" t="s">
        <v>8347</v>
      </c>
      <c r="B3" s="225" t="s">
        <v>9195</v>
      </c>
    </row>
    <row r="4">
      <c r="A4" s="225" t="s">
        <v>3841</v>
      </c>
      <c r="B4" s="225" t="s">
        <v>9196</v>
      </c>
    </row>
    <row r="5">
      <c r="A5" s="225" t="s">
        <v>8709</v>
      </c>
      <c r="B5" s="225" t="s">
        <v>9197</v>
      </c>
    </row>
    <row r="6">
      <c r="A6" s="225" t="s">
        <v>7375</v>
      </c>
      <c r="B6" s="225" t="s">
        <v>7376</v>
      </c>
    </row>
    <row r="7">
      <c r="A7" s="225" t="s">
        <v>6290</v>
      </c>
      <c r="B7" s="225" t="s">
        <v>8185</v>
      </c>
    </row>
    <row r="8">
      <c r="A8" s="225" t="s">
        <v>8732</v>
      </c>
      <c r="B8" s="225" t="s">
        <v>9198</v>
      </c>
    </row>
    <row r="9">
      <c r="A9" s="225" t="s">
        <v>7377</v>
      </c>
      <c r="B9" s="225" t="s">
        <v>9199</v>
      </c>
    </row>
    <row r="10">
      <c r="A10" s="225" t="s">
        <v>6290</v>
      </c>
      <c r="B10" s="225" t="s">
        <v>8186</v>
      </c>
    </row>
    <row r="11">
      <c r="A11" s="225" t="s">
        <v>8703</v>
      </c>
      <c r="B11" s="225" t="s">
        <v>8704</v>
      </c>
    </row>
    <row r="12">
      <c r="A12" s="225" t="s">
        <v>6290</v>
      </c>
      <c r="B12" s="225" t="s">
        <v>9200</v>
      </c>
    </row>
    <row r="13">
      <c r="A13" s="225" t="s">
        <v>6290</v>
      </c>
      <c r="B13" s="225" t="s">
        <v>9201</v>
      </c>
    </row>
    <row r="14">
      <c r="A14" s="225" t="s">
        <v>8568</v>
      </c>
      <c r="B14" s="349" t="s">
        <v>9202</v>
      </c>
    </row>
    <row r="15">
      <c r="A15" s="225" t="s">
        <v>1083</v>
      </c>
      <c r="B15" s="225" t="s">
        <v>9203</v>
      </c>
    </row>
    <row r="16">
      <c r="A16" s="225" t="s">
        <v>6290</v>
      </c>
      <c r="B16" s="225" t="s">
        <v>9204</v>
      </c>
    </row>
    <row r="17">
      <c r="A17" s="225" t="s">
        <v>8779</v>
      </c>
      <c r="B17" s="225" t="s">
        <v>8780</v>
      </c>
    </row>
    <row r="18">
      <c r="A18" s="225" t="s">
        <v>8736</v>
      </c>
      <c r="B18" s="225" t="s">
        <v>9205</v>
      </c>
    </row>
    <row r="19">
      <c r="A19" s="225" t="s">
        <v>8111</v>
      </c>
      <c r="B19" s="225" t="s">
        <v>8773</v>
      </c>
    </row>
    <row r="20">
      <c r="A20" s="225" t="s">
        <v>5699</v>
      </c>
      <c r="B20" s="225" t="s">
        <v>9206</v>
      </c>
    </row>
    <row r="21">
      <c r="A21" s="225" t="s">
        <v>6290</v>
      </c>
      <c r="B21" s="225" t="s">
        <v>9207</v>
      </c>
    </row>
    <row r="22">
      <c r="A22" s="225" t="s">
        <v>3608</v>
      </c>
      <c r="B22" s="225" t="s">
        <v>9208</v>
      </c>
    </row>
    <row r="23">
      <c r="A23" s="225" t="s">
        <v>8762</v>
      </c>
      <c r="B23" s="225" t="s">
        <v>9209</v>
      </c>
    </row>
    <row r="24">
      <c r="A24" s="350" t="s">
        <v>8776</v>
      </c>
      <c r="B24" s="350" t="s">
        <v>8777</v>
      </c>
    </row>
    <row r="25">
      <c r="A25" s="350" t="s">
        <v>7147</v>
      </c>
      <c r="B25" s="350" t="s">
        <v>9210</v>
      </c>
    </row>
    <row r="26">
      <c r="A26" s="351" t="s">
        <v>3238</v>
      </c>
      <c r="B26" s="351" t="s">
        <v>9211</v>
      </c>
    </row>
    <row r="27">
      <c r="A27" s="351" t="s">
        <v>8125</v>
      </c>
      <c r="B27" s="351" t="s">
        <v>9212</v>
      </c>
    </row>
    <row r="28">
      <c r="A28" s="351" t="s">
        <v>8082</v>
      </c>
      <c r="B28" s="351" t="s">
        <v>9213</v>
      </c>
    </row>
    <row r="29">
      <c r="A29" s="351" t="s">
        <v>7990</v>
      </c>
      <c r="B29" s="351" t="s">
        <v>9214</v>
      </c>
    </row>
    <row r="30">
      <c r="A30" s="352" t="s">
        <v>8291</v>
      </c>
      <c r="B30" s="352" t="s">
        <v>437</v>
      </c>
    </row>
    <row r="31">
      <c r="A31" s="352" t="s">
        <v>8771</v>
      </c>
      <c r="B31" s="352" t="s">
        <v>8772</v>
      </c>
    </row>
    <row r="32">
      <c r="A32" s="352" t="s">
        <v>8696</v>
      </c>
      <c r="B32" s="352" t="s">
        <v>9215</v>
      </c>
    </row>
    <row r="33">
      <c r="A33" s="352" t="s">
        <v>8734</v>
      </c>
      <c r="B33" s="352" t="s">
        <v>8735</v>
      </c>
    </row>
    <row r="34">
      <c r="A34" s="352" t="s">
        <v>8774</v>
      </c>
      <c r="B34" s="352" t="s">
        <v>8775</v>
      </c>
    </row>
    <row r="35">
      <c r="A35" s="352" t="s">
        <v>9216</v>
      </c>
      <c r="B35" s="352" t="s">
        <v>9217</v>
      </c>
    </row>
    <row r="36">
      <c r="A36" s="352" t="s">
        <v>2814</v>
      </c>
      <c r="B36" s="352" t="s">
        <v>9218</v>
      </c>
    </row>
    <row r="37">
      <c r="A37" s="352" t="s">
        <v>6290</v>
      </c>
      <c r="B37" s="352" t="s">
        <v>8587</v>
      </c>
    </row>
    <row r="38">
      <c r="A38" s="352" t="s">
        <v>8584</v>
      </c>
      <c r="B38" s="352" t="s">
        <v>9219</v>
      </c>
    </row>
    <row r="39">
      <c r="A39" s="352" t="s">
        <v>6290</v>
      </c>
      <c r="B39" s="352" t="s">
        <v>8778</v>
      </c>
    </row>
  </sheetData>
  <hyperlinks>
    <hyperlink r:id="rId1" ref="B14"/>
  </hyperlinks>
  <printOptions gridLines="1" horizontalCentered="1"/>
  <pageMargins bottom="0.75" footer="0.0" header="0.0" left="0.7" right="0.7" top="0.75"/>
  <pageSetup fitToHeight="0" paperSize="9" cellComments="atEnd" orientation="portrait" pageOrder="overThenDown"/>
  <drawing r:id="rId2"/>
</worksheet>
</file>